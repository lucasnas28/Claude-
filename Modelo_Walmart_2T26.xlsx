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aaa" hidden="1" function="0" vbProcedure="0">{#N/A,#N/A,FALSE,"Aging Summary";#N/A,#N/A,FALSE,"Ratio Analysis";#N/A,#N/A,FALSE,"Test 120 Day Accts";#N/A,#N/A,FALSE,"Tickmarks"}</definedName>
    <definedName name="AAAA" hidden="1" function="0" vbProcedure="0">{#N/A,#N/A,FALSE,"Aging Summary";#N/A,#N/A,FALSE,"Ratio Analysis";#N/A,#N/A,FALSE,"Test 120 Day Accts";#N/A,#N/A,FALSE,"Tickmarks"}</definedName>
    <definedName name="AS2DocOpenMode" hidden="1" function="0" vbProcedure="0">"AS2DocumentEdit"</definedName>
    <definedName name="AS2NamedRange" hidden="1" function="0" vbProcedure="0">15</definedName>
    <definedName name="AS2ReportLS" hidden="1" function="0" vbProcedure="0">1</definedName>
    <definedName name="AS2StaticLS" hidden="1" function="0" vbProcedure="0">#REF!</definedName>
    <definedName name="AS2SyncStepLS" hidden="1" function="0" vbProcedure="0">0</definedName>
    <definedName name="AS2TickmarkLS" hidden="1" function="0" vbProcedure="0">#REF!</definedName>
    <definedName name="AS2VersionLS" hidden="1" function="0" vbProcedure="0">300</definedName>
    <definedName name="BalType" hidden="1" function="0" vbProcedure="0">TRUE()</definedName>
    <definedName name="beta_observed" hidden="0" function="0" vbProcedure="0">Valuation!$D$93</definedName>
    <definedName name="beta_observed_unlevered" hidden="0" function="0" vbProcedure="0">#REF!</definedName>
    <definedName name="beta_unlev_comps" hidden="0" function="0" vbProcedure="0">#REF!</definedName>
    <definedName name="BG_Del" hidden="1" function="0" vbProcedure="0">15</definedName>
    <definedName name="BG_Ins" hidden="1" function="0" vbProcedure="0">4</definedName>
    <definedName name="BG_Mod" hidden="1" function="0" vbProcedure="0">6</definedName>
    <definedName name="cirkbreak" hidden="0" function="0" vbProcedure="0">#REF!</definedName>
    <definedName name="costdebtfirm" hidden="0" function="0" vbProcedure="0">#REF!</definedName>
    <definedName name="costequity" hidden="0" function="0" vbProcedure="0">#REF!</definedName>
    <definedName name="Debt" hidden="0" function="0" vbProcedure="0">#REF!</definedName>
    <definedName name="debt_weight" hidden="0" function="0" vbProcedure="0">#REF!</definedName>
    <definedName name="GrpAcct1" hidden="1" function="0" vbProcedure="0">"5611"</definedName>
    <definedName name="GrpAcct2" hidden="1" function="0" vbProcedure="0">"5612"</definedName>
    <definedName name="GrpLevel" hidden="1" function="0" vbProcedure="0">2</definedName>
    <definedName name="IQ_ACCOUNTS_PAY" hidden="1" function="0" vbProcedure="0">"c1343"</definedName>
    <definedName name="IQ_ACCOUNT_CHANGE" hidden="1" function="0" vbProcedure="0">"c1449"</definedName>
    <definedName name="IQ_ACCRUED_EXP" hidden="1" function="0" vbProcedure="0">"c1341"</definedName>
    <definedName name="IQ_ACCR_INT_PAY" hidden="1" function="0" vbProcedure="0">"c1"</definedName>
    <definedName name="IQ_ACCR_INT_PAY_CF" hidden="1" function="0" vbProcedure="0">"c2"</definedName>
    <definedName name="IQ_ACCR_INT_RECEIV" hidden="1" function="0" vbProcedure="0">"c3"</definedName>
    <definedName name="IQ_ACCR_INT_RECEIV_CF" hidden="1" function="0" vbProcedure="0">"c4"</definedName>
    <definedName name="IQ_ACCT_RECV_10YR_ANN_GROWTH" hidden="1" function="0" vbProcedure="0">"c1924"</definedName>
    <definedName name="IQ_ACCT_RECV_1YR_ANN_GROWTH" hidden="1" function="0" vbProcedure="0">"c1919"</definedName>
    <definedName name="IQ_ACCT_RECV_2YR_ANN_GROWTH" hidden="1" function="0" vbProcedure="0">"c1920"</definedName>
    <definedName name="IQ_ACCT_RECV_3YR_ANN_GROWTH" hidden="1" function="0" vbProcedure="0">"c1921"</definedName>
    <definedName name="IQ_ACCT_RECV_5YR_ANN_GROWTH" hidden="1" function="0" vbProcedure="0">"c1922"</definedName>
    <definedName name="IQ_ACCT_RECV_7YR_ANN_GROWTH" hidden="1" function="0" vbProcedure="0">"c1923"</definedName>
    <definedName name="IQ_ACCUMULATED_PENSION_OBLIGATION" hidden="1" function="0" vbProcedure="0">"c2108"</definedName>
    <definedName name="IQ_ACCUM_DEP" hidden="1" function="0" vbProcedure="0">"c1340"</definedName>
    <definedName name="IQ_ACQUIRE_REAL_ESTATE_CF" hidden="1" function="0" vbProcedure="0">"c6"</definedName>
    <definedName name="IQ_ACQUISITION_RE_ASSETS" hidden="1" function="0" vbProcedure="0">"c1628"</definedName>
    <definedName name="IQ_ACQ_COSTS_CAPITALIZED" hidden="1" function="0" vbProcedure="0">"c5"</definedName>
    <definedName name="IQ_ACQ_COST_SUB" hidden="1" function="0" vbProcedure="0">"c2125"</definedName>
    <definedName name="IQ_AD" hidden="1" function="0" vbProcedure="0">"c7"</definedName>
    <definedName name="IQ_ADD_PAID_IN" hidden="1" function="0" vbProcedure="0">"c1344"</definedName>
    <definedName name="IQ_ADVERTISING_MARKETING" hidden="1" function="0" vbProcedure="0">"c1566"</definedName>
    <definedName name="IQ_AE" hidden="1" function="0" vbProcedure="0">"c8"</definedName>
    <definedName name="IQ_AE_BNK" hidden="1" function="0" vbProcedure="0">"c9"</definedName>
    <definedName name="IQ_AE_BR" hidden="1" function="0" vbProcedure="0">"c10"</definedName>
    <definedName name="IQ_AE_FIN" hidden="1" function="0" vbProcedure="0">"c11"</definedName>
    <definedName name="IQ_AE_INS" hidden="1" function="0" vbProcedure="0">"c12"</definedName>
    <definedName name="IQ_AE_REIT" hidden="1" function="0" vbProcedure="0">"c13"</definedName>
    <definedName name="IQ_AE_UTI" hidden="1" function="0" vbProcedure="0">"c14"</definedName>
    <definedName name="IQ_ALLOWANCE_10YR_ANN_GROWTH" hidden="1" function="0" vbProcedure="0">"c18"</definedName>
    <definedName name="IQ_ALLOWANCE_1YR_ANN_GROWTH" hidden="1" function="0" vbProcedure="0">"c19"</definedName>
    <definedName name="IQ_ALLOWANCE_2YR_ANN_GROWTH" hidden="1" function="0" vbProcedure="0">"c20"</definedName>
    <definedName name="IQ_ALLOWANCE_3YR_ANN_GROWTH" hidden="1" function="0" vbProcedure="0">"c21"</definedName>
    <definedName name="IQ_ALLOWANCE_5YR_ANN_GROWTH" hidden="1" function="0" vbProcedure="0">"c22"</definedName>
    <definedName name="IQ_ALLOWANCE_7YR_ANN_GROWTH" hidden="1" function="0" vbProcedure="0">"c23"</definedName>
    <definedName name="IQ_ALLOWANCE_CHARGE_OFFS" hidden="1" function="0" vbProcedure="0">"c24"</definedName>
    <definedName name="IQ_ALLOWANCE_NON_PERF_LOANS" hidden="1" function="0" vbProcedure="0">"c25"</definedName>
    <definedName name="IQ_ALLOWANCE_TOTAL_LOANS" hidden="1" function="0" vbProcedure="0">"c26"</definedName>
    <definedName name="IQ_ALLOW_BORROW_CONST" hidden="1" function="0" vbProcedure="0">"c15"</definedName>
    <definedName name="IQ_ALLOW_CONST" hidden="1" function="0" vbProcedure="0">"c1342"</definedName>
    <definedName name="IQ_ALLOW_DOUBT_ACCT" hidden="1" function="0" vbProcedure="0">"c2092"</definedName>
    <definedName name="IQ_ALLOW_EQUITY_CONST" hidden="1" function="0" vbProcedure="0">"c16"</definedName>
    <definedName name="IQ_ALLOW_LL" hidden="1" function="0" vbProcedure="0">"c17"</definedName>
    <definedName name="IQ_AMORTIZATION" hidden="1" function="0" vbProcedure="0">"c1591"</definedName>
    <definedName name="IQ_ANNUALIZED_DIVIDEND" hidden="1" function="0" vbProcedure="0">"c1579"</definedName>
    <definedName name="IQ_ANNUITY_LIAB" hidden="1" function="0" vbProcedure="0">"c27"</definedName>
    <definedName name="IQ_ANNUITY_PAY" hidden="1" function="0" vbProcedure="0">"c28"</definedName>
    <definedName name="IQ_ANNUITY_POLICY_EXP" hidden="1" function="0" vbProcedure="0">"c29"</definedName>
    <definedName name="IQ_ANNUITY_REC" hidden="1" function="0" vbProcedure="0">"c30"</definedName>
    <definedName name="IQ_ANNUITY_REV" hidden="1" function="0" vbProcedure="0">"c31"</definedName>
    <definedName name="IQ_AP" hidden="1" function="0" vbProcedure="0">"c32"</definedName>
    <definedName name="IQ_APIC" hidden="1" function="0" vbProcedure="0">"c39"</definedName>
    <definedName name="IQ_AP_BNK" hidden="1" function="0" vbProcedure="0">"c33"</definedName>
    <definedName name="IQ_AP_BR" hidden="1" function="0" vbProcedure="0">"c34"</definedName>
    <definedName name="IQ_AP_FIN" hidden="1" function="0" vbProcedure="0">"c35"</definedName>
    <definedName name="IQ_AP_INS" hidden="1" function="0" vbProcedure="0">"c36"</definedName>
    <definedName name="IQ_AP_REIT" hidden="1" function="0" vbProcedure="0">"c37"</definedName>
    <definedName name="IQ_AP_UTI" hidden="1" function="0" vbProcedure="0">"c38"</definedName>
    <definedName name="IQ_AR" hidden="1" function="0" vbProcedure="0">"c40"</definedName>
    <definedName name="IQ_ARPU" hidden="1" function="0" vbProcedure="0">"c2126"</definedName>
    <definedName name="IQ_AR_BR" hidden="1" function="0" vbProcedure="0">"c41"</definedName>
    <definedName name="IQ_AR_LT" hidden="1" function="0" vbProcedure="0">"c42"</definedName>
    <definedName name="IQ_AR_REIT" hidden="1" function="0" vbProcedure="0">"c43"</definedName>
    <definedName name="IQ_AR_TURNS" hidden="1" function="0" vbProcedure="0">"c44"</definedName>
    <definedName name="IQ_AR_UTI" hidden="1" function="0" vbProcedure="0">"c45"</definedName>
    <definedName name="IQ_ASSETS_CAP_LEASE_DEPR" hidden="1" function="0" vbProcedure="0">"c2068"</definedName>
    <definedName name="IQ_ASSETS_CAP_LEASE_GROSS" hidden="1" function="0" vbProcedure="0">"c2069"</definedName>
    <definedName name="IQ_ASSETS_OPER_LEASE_DEPR" hidden="1" function="0" vbProcedure="0">"c2070"</definedName>
    <definedName name="IQ_ASSETS_OPER_LEASE_GROSS" hidden="1" function="0" vbProcedure="0">"c2071"</definedName>
    <definedName name="IQ_ASSET_MGMT_FEE" hidden="1" function="0" vbProcedure="0">"c46"</definedName>
    <definedName name="IQ_ASSET_TURNS" hidden="1" function="0" vbProcedure="0">"c47"</definedName>
    <definedName name="IQ_ASSET_WRITEDOWN" hidden="1" function="0" vbProcedure="0">"c48"</definedName>
    <definedName name="IQ_ASSET_WRITEDOWN_BNK" hidden="1" function="0" vbProcedure="0">"c49"</definedName>
    <definedName name="IQ_ASSET_WRITEDOWN_BR" hidden="1" function="0" vbProcedure="0">"c50"</definedName>
    <definedName name="IQ_ASSET_WRITEDOWN_CF" hidden="1" function="0" vbProcedure="0">"c51"</definedName>
    <definedName name="IQ_ASSET_WRITEDOWN_CF_BNK" hidden="1" function="0" vbProcedure="0">"c52"</definedName>
    <definedName name="IQ_ASSET_WRITEDOWN_CF_BR" hidden="1" function="0" vbProcedure="0">"c53"</definedName>
    <definedName name="IQ_ASSET_WRITEDOWN_CF_FIN" hidden="1" function="0" vbProcedure="0">"c54"</definedName>
    <definedName name="IQ_ASSET_WRITEDOWN_CF_INS" hidden="1" function="0" vbProcedure="0">"c55"</definedName>
    <definedName name="IQ_ASSET_WRITEDOWN_CF_REIT" hidden="1" function="0" vbProcedure="0">"c56"</definedName>
    <definedName name="IQ_ASSET_WRITEDOWN_CF_UTI" hidden="1" function="0" vbProcedure="0">"c57"</definedName>
    <definedName name="IQ_ASSET_WRITEDOWN_FIN" hidden="1" function="0" vbProcedure="0">"c58"</definedName>
    <definedName name="IQ_ASSET_WRITEDOWN_INS" hidden="1" function="0" vbProcedure="0">"c59"</definedName>
    <definedName name="IQ_ASSET_WRITEDOWN_REIT" hidden="1" function="0" vbProcedure="0">"c60"</definedName>
    <definedName name="IQ_ASSET_WRITEDOWN_UTI" hidden="1" function="0" vbProcedure="0">"c61"</definedName>
    <definedName name="IQ_AUDITOR_NAME" hidden="1" function="0" vbProcedure="0">"c1539"</definedName>
    <definedName name="IQ_AUDITOR_OPINION" hidden="1" function="0" vbProcedure="0">"c1540"</definedName>
    <definedName name="IQ_AUTO_WRITTEN" hidden="1" function="0" vbProcedure="0">"c62"</definedName>
    <definedName name="IQ_AVG_BANK_ASSETS" hidden="1" function="0" vbProcedure="0">"c2072"</definedName>
    <definedName name="IQ_AVG_BANK_LOANS" hidden="1" function="0" vbProcedure="0">"c2073"</definedName>
    <definedName name="IQ_AVG_BROKER_REC" hidden="1" function="0" vbProcedure="0">"c63"</definedName>
    <definedName name="IQ_AVG_BROKER_REC_NO" hidden="1" function="0" vbProcedure="0">"c64"</definedName>
    <definedName name="IQ_AVG_DAILY_VOL" hidden="1" function="0" vbProcedure="0">"c65"</definedName>
    <definedName name="IQ_AVG_INT_BEAR_LIAB" hidden="1" function="0" vbProcedure="0">"c66"</definedName>
    <definedName name="IQ_AVG_INT_BEAR_LIAB_10YR_ANN_GROWTH" hidden="1" function="0" vbProcedure="0">"c67"</definedName>
    <definedName name="IQ_AVG_INT_BEAR_LIAB_1YR_ANN_GROWTH" hidden="1" function="0" vbProcedure="0">"c68"</definedName>
    <definedName name="IQ_AVG_INT_BEAR_LIAB_2YR_ANN_GROWTH" hidden="1" function="0" vbProcedure="0">"c69"</definedName>
    <definedName name="IQ_AVG_INT_BEAR_LIAB_3YR_ANN_GROWTH" hidden="1" function="0" vbProcedure="0">"c70"</definedName>
    <definedName name="IQ_AVG_INT_BEAR_LIAB_5YR_ANN_GROWTH" hidden="1" function="0" vbProcedure="0">"c71"</definedName>
    <definedName name="IQ_AVG_INT_BEAR_LIAB_7YR_ANN_GROWTH" hidden="1" function="0" vbProcedure="0">"c72"</definedName>
    <definedName name="IQ_AVG_INT_EARN_ASSETS" hidden="1" function="0" vbProcedure="0">"c73"</definedName>
    <definedName name="IQ_AVG_INT_EARN_ASSETS_10YR_ANN_GROWTH" hidden="1" function="0" vbProcedure="0">"c74"</definedName>
    <definedName name="IQ_AVG_INT_EARN_ASSETS_1YR_ANN_GROWTH" hidden="1" function="0" vbProcedure="0">"c75"</definedName>
    <definedName name="IQ_AVG_INT_EARN_ASSETS_2YR_ANN_GROWTH" hidden="1" function="0" vbProcedure="0">"c76"</definedName>
    <definedName name="IQ_AVG_INT_EARN_ASSETS_3YR_ANN_GROWTH" hidden="1" function="0" vbProcedure="0">"c77"</definedName>
    <definedName name="IQ_AVG_INT_EARN_ASSETS_5YR_ANN_GROWTH" hidden="1" function="0" vbProcedure="0">"c78"</definedName>
    <definedName name="IQ_AVG_INT_EARN_ASSETS_7YR_ANN_GROWTH" hidden="1" function="0" vbProcedure="0">"c79"</definedName>
    <definedName name="IQ_AVG_MKTCAP" hidden="1" function="0" vbProcedure="0">"c80"</definedName>
    <definedName name="IQ_AVG_PRICE" hidden="1" function="0" vbProcedure="0">"c81"</definedName>
    <definedName name="IQ_AVG_SHAREOUTSTANDING" hidden="1" function="0" vbProcedure="0">"c83"</definedName>
    <definedName name="IQ_AVG_TEV" hidden="1" function="0" vbProcedure="0">"c84"</definedName>
    <definedName name="IQ_AVG_VOLUME" hidden="1" function="0" vbProcedure="0">"c1346"</definedName>
    <definedName name="IQ_BASIC_EPS_EXCL" hidden="1" function="0" vbProcedure="0">"c85"</definedName>
    <definedName name="IQ_BASIC_EPS_INCL" hidden="1" function="0" vbProcedure="0">"c86"</definedName>
    <definedName name="IQ_BASIC_NORMAL_EPS" hidden="1" function="0" vbProcedure="0">"c1592"</definedName>
    <definedName name="IQ_BASIC_WEIGHT" hidden="1" function="0" vbProcedure="0">"c87"</definedName>
    <definedName name="IQ_BETA" hidden="1" function="0" vbProcedure="0">"c2133"</definedName>
    <definedName name="IQ_BETA_1YR" hidden="1" function="0" vbProcedure="0">"c1966"</definedName>
    <definedName name="IQ_BETA_1YR_RSQ" hidden="1" function="0" vbProcedure="0">"c2132"</definedName>
    <definedName name="IQ_BETA_2YR" hidden="1" function="0" vbProcedure="0">"c1965"</definedName>
    <definedName name="IQ_BETA_2YR_RSQ" hidden="1" function="0" vbProcedure="0">"c2131"</definedName>
    <definedName name="IQ_BETA_5YR" hidden="1" function="0" vbProcedure="0">"c88"</definedName>
    <definedName name="IQ_BETA_5YR_RSQ" hidden="1" function="0" vbProcedure="0">"c2130"</definedName>
    <definedName name="IQ_BIG_INT_BEAR_CD" hidden="1" function="0" vbProcedure="0">"c89"</definedName>
    <definedName name="IQ_BOARD_MEMBER" hidden="1" function="0" vbProcedure="0">"c96"</definedName>
    <definedName name="IQ_BOARD_MEMBER_BACKGROUND" hidden="1" function="0" vbProcedure="0">"c2101"</definedName>
    <definedName name="IQ_BOARD_MEMBER_TITLE" hidden="1" function="0" vbProcedure="0">"c97"</definedName>
    <definedName name="IQ_BROK_COMISSION" hidden="1" function="0" vbProcedure="0">"c98"</definedName>
    <definedName name="IQ_BUILDINGS" hidden="1" function="0" vbProcedure="0">"c99"</definedName>
    <definedName name="IQ_BUSINESS_DESCRIPTION" hidden="1" function="0" vbProcedure="0">"c322"</definedName>
    <definedName name="IQ_BV_OVER_SHARES" hidden="1" function="0" vbProcedure="0">"c1349"</definedName>
    <definedName name="IQ_BV_SHARE" hidden="1" function="0" vbProcedure="0">"c100"</definedName>
    <definedName name="IQ_CAL_Q" hidden="1" function="0" vbProcedure="0">"c101"</definedName>
    <definedName name="IQ_CAL_Y" hidden="1" function="0" vbProcedure="0">"c102"</definedName>
    <definedName name="IQ_CAPEX" hidden="1" function="0" vbProcedure="0">"c103"</definedName>
    <definedName name="IQ_CAPEX_10YR_ANN_GROWTH" hidden="1" function="0" vbProcedure="0">"c104"</definedName>
    <definedName name="IQ_CAPEX_1YR_ANN_GROWTH" hidden="1" function="0" vbProcedure="0">"c105"</definedName>
    <definedName name="IQ_CAPEX_2YR_ANN_GROWTH" hidden="1" function="0" vbProcedure="0">"c106"</definedName>
    <definedName name="IQ_CAPEX_3YR_ANN_GROWTH" hidden="1" function="0" vbProcedure="0">"c107"</definedName>
    <definedName name="IQ_CAPEX_5YR_ANN_GROWTH" hidden="1" function="0" vbProcedure="0">"c108"</definedName>
    <definedName name="IQ_CAPEX_7YR_ANN_GROWTH" hidden="1" function="0" vbProcedure="0">"c109"</definedName>
    <definedName name="IQ_CAPEX_BNK" hidden="1" function="0" vbProcedure="0">"c110"</definedName>
    <definedName name="IQ_CAPEX_BR" hidden="1" function="0" vbProcedure="0">"c111"</definedName>
    <definedName name="IQ_CAPEX_FIN" hidden="1" function="0" vbProcedure="0">"c112"</definedName>
    <definedName name="IQ_CAPEX_INS" hidden="1" function="0" vbProcedure="0">"c113"</definedName>
    <definedName name="IQ_CAPEX_UTI" hidden="1" function="0" vbProcedure="0">"c114"</definedName>
    <definedName name="IQ_CAPITALIZED_INTEREST" hidden="1" function="0" vbProcedure="0">"c2076"</definedName>
    <definedName name="IQ_CAPITAL_LEASE" hidden="1" function="0" vbProcedure="0">"c1350"</definedName>
    <definedName name="IQ_CAPITAL_LEASES" hidden="1" function="0" vbProcedure="0">"c115"</definedName>
    <definedName name="IQ_CASH" hidden="1" function="0" vbProcedure="0">"c1458"</definedName>
    <definedName name="IQ_CASH_ACQUIRE_CF" hidden="1" function="0" vbProcedure="0">"c1630"</definedName>
    <definedName name="IQ_CASH_CONVERSION" hidden="1" function="0" vbProcedure="0">"c117"</definedName>
    <definedName name="IQ_CASH_DUE_BANKS" hidden="1" function="0" vbProcedure="0">"c1351"</definedName>
    <definedName name="IQ_CASH_EQUIV" hidden="1" function="0" vbProcedure="0">"c118"</definedName>
    <definedName name="IQ_CASH_FINAN" hidden="1" function="0" vbProcedure="0">"c119"</definedName>
    <definedName name="IQ_CASH_INTEREST" hidden="1" function="0" vbProcedure="0">"c120"</definedName>
    <definedName name="IQ_CASH_INVEST" hidden="1" function="0" vbProcedure="0">"c121"</definedName>
    <definedName name="IQ_CASH_OPER" hidden="1" function="0" vbProcedure="0">"c122"</definedName>
    <definedName name="IQ_CASH_SEGREG" hidden="1" function="0" vbProcedure="0">"c123"</definedName>
    <definedName name="IQ_CASH_SHARE" hidden="1" function="0" vbProcedure="0">"c1911"</definedName>
    <definedName name="IQ_CASH_ST" hidden="1" function="0" vbProcedure="0">"c1355"</definedName>
    <definedName name="IQ_CASH_ST_INVEST" hidden="1" function="0" vbProcedure="0">"c124"</definedName>
    <definedName name="IQ_CASH_TAXES" hidden="1" function="0" vbProcedure="0">"c125"</definedName>
    <definedName name="IQ_CFO_10YR_ANN_GROWTH" hidden="1" function="0" vbProcedure="0">"c126"</definedName>
    <definedName name="IQ_CFO_1YR_ANN_GROWTH" hidden="1" function="0" vbProcedure="0">"c127"</definedName>
    <definedName name="IQ_CFO_2YR_ANN_GROWTH" hidden="1" function="0" vbProcedure="0">"c128"</definedName>
    <definedName name="IQ_CFO_3YR_ANN_GROWTH" hidden="1" function="0" vbProcedure="0">"c129"</definedName>
    <definedName name="IQ_CFO_5YR_ANN_GROWTH" hidden="1" function="0" vbProcedure="0">"c130"</definedName>
    <definedName name="IQ_CFO_7YR_ANN_GROWTH" hidden="1" function="0" vbProcedure="0">"c131"</definedName>
    <definedName name="IQ_CFO_CURRENT_LIAB" hidden="1" function="0" vbProcedure="0">"c132"</definedName>
    <definedName name="IQ_CHANGES_WORK_CAP" hidden="1" function="0" vbProcedure="0">"c1357"</definedName>
    <definedName name="IQ_CHANGE_AP" hidden="1" function="0" vbProcedure="0">"c133"</definedName>
    <definedName name="IQ_CHANGE_AP_BNK" hidden="1" function="0" vbProcedure="0">"c134"</definedName>
    <definedName name="IQ_CHANGE_AP_BR" hidden="1" function="0" vbProcedure="0">"c135"</definedName>
    <definedName name="IQ_CHANGE_AP_FIN" hidden="1" function="0" vbProcedure="0">"c136"</definedName>
    <definedName name="IQ_CHANGE_AP_INS" hidden="1" function="0" vbProcedure="0">"c137"</definedName>
    <definedName name="IQ_CHANGE_AP_REIT" hidden="1" function="0" vbProcedure="0">"c138"</definedName>
    <definedName name="IQ_CHANGE_AP_UTI" hidden="1" function="0" vbProcedure="0">"c139"</definedName>
    <definedName name="IQ_CHANGE_AR" hidden="1" function="0" vbProcedure="0">"c140"</definedName>
    <definedName name="IQ_CHANGE_AR_BNK" hidden="1" function="0" vbProcedure="0">"c141"</definedName>
    <definedName name="IQ_CHANGE_AR_BR" hidden="1" function="0" vbProcedure="0">"c142"</definedName>
    <definedName name="IQ_CHANGE_AR_FIN" hidden="1" function="0" vbProcedure="0">"c143"</definedName>
    <definedName name="IQ_CHANGE_AR_INS" hidden="1" function="0" vbProcedure="0">"c144"</definedName>
    <definedName name="IQ_CHANGE_AR_REIT" hidden="1" function="0" vbProcedure="0">"c145"</definedName>
    <definedName name="IQ_CHANGE_AR_UTI" hidden="1" function="0" vbProcedure="0">"c146"</definedName>
    <definedName name="IQ_CHANGE_DEF_TAX" hidden="1" function="0" vbProcedure="0">"c147"</definedName>
    <definedName name="IQ_CHANGE_DEPOSIT_ACCT" hidden="1" function="0" vbProcedure="0">"c148"</definedName>
    <definedName name="IQ_CHANGE_INC_TAX" hidden="1" function="0" vbProcedure="0">"c149"</definedName>
    <definedName name="IQ_CHANGE_INS_RES_LIAB" hidden="1" function="0" vbProcedure="0">"c150"</definedName>
    <definedName name="IQ_CHANGE_INVENTORY" hidden="1" function="0" vbProcedure="0">"c151"</definedName>
    <definedName name="IQ_CHANGE_NET_WORKING_CAPITAL" hidden="1" function="0" vbProcedure="0">"c1909"</definedName>
    <definedName name="IQ_CHANGE_OTHER_WORK_CAP" hidden="1" function="0" vbProcedure="0">"c152"</definedName>
    <definedName name="IQ_CHANGE_OTHER_WORK_CAP_BNK" hidden="1" function="0" vbProcedure="0">"c153"</definedName>
    <definedName name="IQ_CHANGE_OTHER_WORK_CAP_BR" hidden="1" function="0" vbProcedure="0">"c154"</definedName>
    <definedName name="IQ_CHANGE_OTHER_WORK_CAP_FIN" hidden="1" function="0" vbProcedure="0">"c155"</definedName>
    <definedName name="IQ_CHANGE_OTHER_WORK_CAP_INS" hidden="1" function="0" vbProcedure="0">"c156"</definedName>
    <definedName name="IQ_CHANGE_OTHER_WORK_CAP_REIT" hidden="1" function="0" vbProcedure="0">"c157"</definedName>
    <definedName name="IQ_CHANGE_OTHER_WORK_CAP_UTI" hidden="1" function="0" vbProcedure="0">"c158"</definedName>
    <definedName name="IQ_CHANGE_TRADING_ASSETS" hidden="1" function="0" vbProcedure="0">"c159"</definedName>
    <definedName name="IQ_CHANGE_UNEARN_REV" hidden="1" function="0" vbProcedure="0">"c160"</definedName>
    <definedName name="IQ_CHANGE_WORK_CAP" hidden="1" function="0" vbProcedure="0">"c161"</definedName>
    <definedName name="IQ_CHARGE_OFFS_GROSS" hidden="1" function="0" vbProcedure="0">"c162"</definedName>
    <definedName name="IQ_CHARGE_OFFS_NET" hidden="1" function="0" vbProcedure="0">"c163"</definedName>
    <definedName name="IQ_CHARGE_OFFS_RECOVERED" hidden="1" function="0" vbProcedure="0">"c164"</definedName>
    <definedName name="IQ_CHARGE_OFFS_TOTAL_AVG_LOANS" hidden="1" function="0" vbProcedure="0">"c165"</definedName>
    <definedName name="IQ_CITY" hidden="1" function="0" vbProcedure="0">"c166"</definedName>
    <definedName name="IQ_CLASSA_OUTSTANDING_BS_DATE" hidden="1" function="0" vbProcedure="0">"c1971"</definedName>
    <definedName name="IQ_CLASSA_OUTSTANDING_FILING_DATE" hidden="1" function="0" vbProcedure="0">"c1973"</definedName>
    <definedName name="IQ_CLOSEPRICE" hidden="1" function="0" vbProcedure="0">"c174"</definedName>
    <definedName name="IQ_CLOSEPRICE_ADJ" hidden="1" function="0" vbProcedure="0">"c2115"</definedName>
    <definedName name="IQ_CL_DUE_AFTER_FIVE" hidden="1" function="0" vbProcedure="0">"c167"</definedName>
    <definedName name="IQ_CL_DUE_CY" hidden="1" function="0" vbProcedure="0">"c168"</definedName>
    <definedName name="IQ_CL_DUE_CY1" hidden="1" function="0" vbProcedure="0">"c169"</definedName>
    <definedName name="IQ_CL_DUE_CY2" hidden="1" function="0" vbProcedure="0">"c170"</definedName>
    <definedName name="IQ_CL_DUE_CY3" hidden="1" function="0" vbProcedure="0">"c171"</definedName>
    <definedName name="IQ_CL_DUE_CY4" hidden="1" function="0" vbProcedure="0">"c172"</definedName>
    <definedName name="IQ_CL_DUE_NEXT_FIVE" hidden="1" function="0" vbProcedure="0">"c173"</definedName>
    <definedName name="IQ_COGS" hidden="1" function="0" vbProcedure="0">"c175"</definedName>
    <definedName name="IQ_COMBINED_RATIO" hidden="1" function="0" vbProcedure="0">"c176"</definedName>
    <definedName name="IQ_COMMERCIAL_DOM" hidden="1" function="0" vbProcedure="0">"c177"</definedName>
    <definedName name="IQ_COMMERCIAL_FIRE_WRITTEN" hidden="1" function="0" vbProcedure="0">"c178"</definedName>
    <definedName name="IQ_COMMERCIAL_MORT" hidden="1" function="0" vbProcedure="0">"c179"</definedName>
    <definedName name="IQ_COMMISSION_DEF" hidden="1" function="0" vbProcedure="0">"c181"</definedName>
    <definedName name="IQ_COMMISS_FEES" hidden="1" function="0" vbProcedure="0">"c180"</definedName>
    <definedName name="IQ_COMMON" hidden="1" function="0" vbProcedure="0">"c182"</definedName>
    <definedName name="IQ_COMMON_APIC" hidden="1" function="0" vbProcedure="0">"c183"</definedName>
    <definedName name="IQ_COMMON_APIC_BNK" hidden="1" function="0" vbProcedure="0">"c184"</definedName>
    <definedName name="IQ_COMMON_APIC_BR" hidden="1" function="0" vbProcedure="0">"c185"</definedName>
    <definedName name="IQ_COMMON_APIC_FIN" hidden="1" function="0" vbProcedure="0">"c186"</definedName>
    <definedName name="IQ_COMMON_APIC_INS" hidden="1" function="0" vbProcedure="0">"c187"</definedName>
    <definedName name="IQ_COMMON_APIC_REIT" hidden="1" function="0" vbProcedure="0">"c188"</definedName>
    <definedName name="IQ_COMMON_APIC_UTI" hidden="1" function="0" vbProcedure="0">"c189"</definedName>
    <definedName name="IQ_COMMON_DIV_CF" hidden="1" function="0" vbProcedure="0">"c190"</definedName>
    <definedName name="IQ_COMMON_EQUITY_10YR_ANN_GROWTH" hidden="1" function="0" vbProcedure="0">"c191"</definedName>
    <definedName name="IQ_COMMON_EQUITY_1YR_ANN_GROWTH" hidden="1" function="0" vbProcedure="0">"c192"</definedName>
    <definedName name="IQ_COMMON_EQUITY_2YR_ANN_GROWTH" hidden="1" function="0" vbProcedure="0">"c193"</definedName>
    <definedName name="IQ_COMMON_EQUITY_3YR_ANN_GROWTH" hidden="1" function="0" vbProcedure="0">"c194"</definedName>
    <definedName name="IQ_COMMON_EQUITY_5YR_ANN_GROWTH" hidden="1" function="0" vbProcedure="0">"c195"</definedName>
    <definedName name="IQ_COMMON_EQUITY_7YR_ANN_GROWTH" hidden="1" function="0" vbProcedure="0">"c196"</definedName>
    <definedName name="IQ_COMMON_ISSUED" hidden="1" function="0" vbProcedure="0">"c197"</definedName>
    <definedName name="IQ_COMMON_ISSUED_BNK" hidden="1" function="0" vbProcedure="0">"c198"</definedName>
    <definedName name="IQ_COMMON_ISSUED_BR" hidden="1" function="0" vbProcedure="0">"c199"</definedName>
    <definedName name="IQ_COMMON_ISSUED_FIN" hidden="1" function="0" vbProcedure="0">"c200"</definedName>
    <definedName name="IQ_COMMON_ISSUED_INS" hidden="1" function="0" vbProcedure="0">"c201"</definedName>
    <definedName name="IQ_COMMON_ISSUED_REIT" hidden="1" function="0" vbProcedure="0">"c202"</definedName>
    <definedName name="IQ_COMMON_ISSUED_UTI" hidden="1" function="0" vbProcedure="0">"c203"</definedName>
    <definedName name="IQ_COMMON_PER_ADR" hidden="1" function="0" vbProcedure="0">"c204"</definedName>
    <definedName name="IQ_COMMON_PREF_DIV_CF" hidden="1" function="0" vbProcedure="0">"c205"</definedName>
    <definedName name="IQ_COMMON_REP" hidden="1" function="0" vbProcedure="0">"c206"</definedName>
    <definedName name="IQ_COMMON_REP_BNK" hidden="1" function="0" vbProcedure="0">"c207"</definedName>
    <definedName name="IQ_COMMON_REP_BR" hidden="1" function="0" vbProcedure="0">"c208"</definedName>
    <definedName name="IQ_COMMON_REP_FIN" hidden="1" function="0" vbProcedure="0">"c209"</definedName>
    <definedName name="IQ_COMMON_REP_INS" hidden="1" function="0" vbProcedure="0">"c210"</definedName>
    <definedName name="IQ_COMMON_REP_REIT" hidden="1" function="0" vbProcedure="0">"c211"</definedName>
    <definedName name="IQ_COMMON_REP_UTI" hidden="1" function="0" vbProcedure="0">"c212"</definedName>
    <definedName name="IQ_COMMON_STOCK" hidden="1" function="0" vbProcedure="0">"c1358"</definedName>
    <definedName name="IQ_COMPANY_ADDRESS" hidden="1" function="0" vbProcedure="0">"c214"</definedName>
    <definedName name="IQ_COMPANY_NAME" hidden="1" function="0" vbProcedure="0">"c215"</definedName>
    <definedName name="IQ_COMPANY_NAME_LONG" hidden="1" function="0" vbProcedure="0">"c1585"</definedName>
    <definedName name="IQ_COMPANY_PHONE" hidden="1" function="0" vbProcedure="0">"c216"</definedName>
    <definedName name="IQ_COMPANY_STATUS" hidden="1" function="0" vbProcedure="0">"c2097"</definedName>
    <definedName name="IQ_COMPANY_STREET1" hidden="1" function="0" vbProcedure="0">"c217"</definedName>
    <definedName name="IQ_COMPANY_STREET2" hidden="1" function="0" vbProcedure="0">"c218"</definedName>
    <definedName name="IQ_COMPANY_TICKER" hidden="1" function="0" vbProcedure="0">"c219"</definedName>
    <definedName name="IQ_COMPANY_TYPE" hidden="1" function="0" vbProcedure="0">"c2096"</definedName>
    <definedName name="IQ_COMPANY_WEBSITE" hidden="1" function="0" vbProcedure="0">"c220"</definedName>
    <definedName name="IQ_COMPANY_ZIP" hidden="1" function="0" vbProcedure="0">"c221"</definedName>
    <definedName name="IQ_COMP_BENEFITS" hidden="1" function="0" vbProcedure="0">"c213"</definedName>
    <definedName name="IQ_CONSTRUCTION_LOANS" hidden="1" function="0" vbProcedure="0">"c222"</definedName>
    <definedName name="IQ_CONSUMER_LOANS" hidden="1" function="0" vbProcedure="0">"c223"</definedName>
    <definedName name="IQ_COST_BORROWINGS" hidden="1" function="0" vbProcedure="0">"c225"</definedName>
    <definedName name="IQ_COST_REV" hidden="1" function="0" vbProcedure="0">"c226"</definedName>
    <definedName name="IQ_COST_REVENUE" hidden="1" function="0" vbProcedure="0">"c1359"</definedName>
    <definedName name="IQ_COST_SAVINGS" hidden="1" function="0" vbProcedure="0">"c227"</definedName>
    <definedName name="IQ_COST_SERVICE" hidden="1" function="0" vbProcedure="0">"c228"</definedName>
    <definedName name="IQ_COST_TOTAL_BORROWINGS" hidden="1" function="0" vbProcedure="0">"c229"</definedName>
    <definedName name="IQ_COUNTRY_NAME" hidden="1" function="0" vbProcedure="0">"c230"</definedName>
    <definedName name="IQ_COVERED_POPS" hidden="1" function="0" vbProcedure="0">"c2124"</definedName>
    <definedName name="IQ_CQ" hidden="1" function="0" vbProcedure="0">5000</definedName>
    <definedName name="IQ_CREDIT_CARD_FEE_BNK" hidden="1" function="0" vbProcedure="0">"c231"</definedName>
    <definedName name="IQ_CREDIT_CARD_FEE_FIN" hidden="1" function="0" vbProcedure="0">"c1583"</definedName>
    <definedName name="IQ_CREDIT_LOSS_CF" hidden="1" function="0" vbProcedure="0">"c232"</definedName>
    <definedName name="IQ_CUMULATIVE_SPLIT_FACTOR" hidden="1" function="0" vbProcedure="0">"c2094"</definedName>
    <definedName name="IQ_CURRENCY_FACTOR_BS" hidden="1" function="0" vbProcedure="0">"c233"</definedName>
    <definedName name="IQ_CURRENCY_FACTOR_IS" hidden="1" function="0" vbProcedure="0">"c234"</definedName>
    <definedName name="IQ_CURRENCY_GAIN" hidden="1" function="0" vbProcedure="0">"c235"</definedName>
    <definedName name="IQ_CURRENCY_GAIN_BR" hidden="1" function="0" vbProcedure="0">"c236"</definedName>
    <definedName name="IQ_CURRENCY_GAIN_FIN" hidden="1" function="0" vbProcedure="0">"c237"</definedName>
    <definedName name="IQ_CURRENCY_GAIN_INS" hidden="1" function="0" vbProcedure="0">"c238"</definedName>
    <definedName name="IQ_CURRENCY_GAIN_REIT" hidden="1" function="0" vbProcedure="0">"c239"</definedName>
    <definedName name="IQ_CURRENCY_GAIN_UTI" hidden="1" function="0" vbProcedure="0">"c240"</definedName>
    <definedName name="IQ_CURRENT_PORT" hidden="1" function="0" vbProcedure="0">"c241"</definedName>
    <definedName name="IQ_CURRENT_PORT_BNK" hidden="1" function="0" vbProcedure="0">"c242"</definedName>
    <definedName name="IQ_CURRENT_PORT_DEBT" hidden="1" function="0" vbProcedure="0">"c243"</definedName>
    <definedName name="IQ_CURRENT_PORT_DEBT_BNK" hidden="1" function="0" vbProcedure="0">"c244"</definedName>
    <definedName name="IQ_CURRENT_PORT_DEBT_BR" hidden="1" function="0" vbProcedure="0">"c1567"</definedName>
    <definedName name="IQ_CURRENT_PORT_DEBT_FIN" hidden="1" function="0" vbProcedure="0">"c1568"</definedName>
    <definedName name="IQ_CURRENT_PORT_DEBT_INS" hidden="1" function="0" vbProcedure="0">"c1569"</definedName>
    <definedName name="IQ_CURRENT_PORT_DEBT_REIT" hidden="1" function="0" vbProcedure="0">"c1570"</definedName>
    <definedName name="IQ_CURRENT_PORT_DEBT_UTI" hidden="1" function="0" vbProcedure="0">"c1571"</definedName>
    <definedName name="IQ_CURRENT_PORT_LEASES" hidden="1" function="0" vbProcedure="0">"c245"</definedName>
    <definedName name="IQ_CURRENT_RATIO" hidden="1" function="0" vbProcedure="0">"c246"</definedName>
    <definedName name="IQ_CURR_DOMESTIC_TAXES" hidden="1" function="0" vbProcedure="0">"c2074"</definedName>
    <definedName name="IQ_CURR_FOREIGN_TAXES" hidden="1" function="0" vbProcedure="0">"c2075"</definedName>
    <definedName name="IQ_CY" hidden="1" function="0" vbProcedure="0">10000</definedName>
    <definedName name="IQ_DA" hidden="1" function="0" vbProcedure="0">"c247"</definedName>
    <definedName name="IQ_DAYS_COVER_SHORT" hidden="1" function="0" vbProcedure="0">"c1578"</definedName>
    <definedName name="IQ_DAYS_INVENTORY_OUT" hidden="1" function="0" vbProcedure="0">"c273"</definedName>
    <definedName name="IQ_DAYS_PAYABLE_OUT" hidden="1" function="0" vbProcedure="0">"c274"</definedName>
    <definedName name="IQ_DAYS_PAY_OUTST" hidden="1" function="0" vbProcedure="0">"c1362"</definedName>
    <definedName name="IQ_DAYS_SALES_OUT" hidden="1" function="0" vbProcedure="0">"c275"</definedName>
    <definedName name="IQ_DAYS_SALES_OUTST" hidden="1" function="0" vbProcedure="0">"c1363"</definedName>
    <definedName name="IQ_DA_BR" hidden="1" function="0" vbProcedure="0">"c248"</definedName>
    <definedName name="IQ_DA_CF" hidden="1" function="0" vbProcedure="0">"c249"</definedName>
    <definedName name="IQ_DA_CF_BNK" hidden="1" function="0" vbProcedure="0">"c250"</definedName>
    <definedName name="IQ_DA_CF_BR" hidden="1" function="0" vbProcedure="0">"c251"</definedName>
    <definedName name="IQ_DA_CF_FIN" hidden="1" function="0" vbProcedure="0">"c252"</definedName>
    <definedName name="IQ_DA_CF_INS" hidden="1" function="0" vbProcedure="0">"c253"</definedName>
    <definedName name="IQ_DA_CF_REIT" hidden="1" function="0" vbProcedure="0">"c254"</definedName>
    <definedName name="IQ_DA_CF_UTI" hidden="1" function="0" vbProcedure="0">"c255"</definedName>
    <definedName name="IQ_DA_FIN" hidden="1" function="0" vbProcedure="0">"c256"</definedName>
    <definedName name="IQ_DA_INS" hidden="1" function="0" vbProcedure="0">"c257"</definedName>
    <definedName name="IQ_DA_REIT" hidden="1" function="0" vbProcedure="0">"c258"</definedName>
    <definedName name="IQ_DA_SUPPL" hidden="1" function="0" vbProcedure="0">"c259"</definedName>
    <definedName name="IQ_DA_SUPPL_BR" hidden="1" function="0" vbProcedure="0">"c260"</definedName>
    <definedName name="IQ_DA_SUPPL_CF" hidden="1" function="0" vbProcedure="0">"c261"</definedName>
    <definedName name="IQ_DA_SUPPL_CF_BNK" hidden="1" function="0" vbProcedure="0">"c262"</definedName>
    <definedName name="IQ_DA_SUPPL_CF_BR" hidden="1" function="0" vbProcedure="0">"c263"</definedName>
    <definedName name="IQ_DA_SUPPL_CF_FIN" hidden="1" function="0" vbProcedure="0">"c264"</definedName>
    <definedName name="IQ_DA_SUPPL_CF_INS" hidden="1" function="0" vbProcedure="0">"c265"</definedName>
    <definedName name="IQ_DA_SUPPL_CF_REIT" hidden="1" function="0" vbProcedure="0">"c266"</definedName>
    <definedName name="IQ_DA_SUPPL_CF_UTI" hidden="1" function="0" vbProcedure="0">"c267"</definedName>
    <definedName name="IQ_DA_SUPPL_FIN" hidden="1" function="0" vbProcedure="0">"c268"</definedName>
    <definedName name="IQ_DA_SUPPL_INS" hidden="1" function="0" vbProcedure="0">"c269"</definedName>
    <definedName name="IQ_DA_SUPPL_REIT" hidden="1" function="0" vbProcedure="0">"c270"</definedName>
    <definedName name="IQ_DA_SUPPL_UTI" hidden="1" function="0" vbProcedure="0">"c271"</definedName>
    <definedName name="IQ_DA_UTI" hidden="1" function="0" vbProcedure="0">"c272"</definedName>
    <definedName name="IQ_DEFERRED_DOMESTIC_TAXES" hidden="1" function="0" vbProcedure="0">"c2077"</definedName>
    <definedName name="IQ_DEFERRED_FOREIGN_TAXES" hidden="1" function="0" vbProcedure="0">"c2078"</definedName>
    <definedName name="IQ_DEFERRED_INC_TAX" hidden="1" function="0" vbProcedure="0">"c1447"</definedName>
    <definedName name="IQ_DEFERRED_TAXES" hidden="1" function="0" vbProcedure="0">"c1356"</definedName>
    <definedName name="IQ_DEF_ACQ_CST" hidden="1" function="0" vbProcedure="0">"c1364"</definedName>
    <definedName name="IQ_DEF_AMORT" hidden="1" function="0" vbProcedure="0">"c276"</definedName>
    <definedName name="IQ_DEF_AMORT_BNK" hidden="1" function="0" vbProcedure="0">"c277"</definedName>
    <definedName name="IQ_DEF_AMORT_BR" hidden="1" function="0" vbProcedure="0">"c278"</definedName>
    <definedName name="IQ_DEF_AMORT_FIN" hidden="1" function="0" vbProcedure="0">"c279"</definedName>
    <definedName name="IQ_DEF_AMORT_INS" hidden="1" function="0" vbProcedure="0">"c280"</definedName>
    <definedName name="IQ_DEF_AMORT_REIT" hidden="1" function="0" vbProcedure="0">"c281"</definedName>
    <definedName name="IQ_DEF_AMORT_UTI" hidden="1" function="0" vbProcedure="0">"c282"</definedName>
    <definedName name="IQ_DEF_BENEFIT_INTEREST_COST" hidden="1" function="0" vbProcedure="0">"c283"</definedName>
    <definedName name="IQ_DEF_BENEFIT_OTHER_COST" hidden="1" function="0" vbProcedure="0">"c284"</definedName>
    <definedName name="IQ_DEF_BENEFIT_ROA" hidden="1" function="0" vbProcedure="0">"c285"</definedName>
    <definedName name="IQ_DEF_BENEFIT_SERVICE_COST" hidden="1" function="0" vbProcedure="0">"c286"</definedName>
    <definedName name="IQ_DEF_BENEFIT_TOTAL_COST" hidden="1" function="0" vbProcedure="0">"c287"</definedName>
    <definedName name="IQ_DEF_CHARGES_BR" hidden="1" function="0" vbProcedure="0">"c288"</definedName>
    <definedName name="IQ_DEF_CHARGES_CF" hidden="1" function="0" vbProcedure="0">"c289"</definedName>
    <definedName name="IQ_DEF_CHARGES_FIN" hidden="1" function="0" vbProcedure="0">"c290"</definedName>
    <definedName name="IQ_DEF_CHARGES_INS" hidden="1" function="0" vbProcedure="0">"c291"</definedName>
    <definedName name="IQ_DEF_CHARGES_LT" hidden="1" function="0" vbProcedure="0">"c292"</definedName>
    <definedName name="IQ_DEF_CHARGES_LT_BNK" hidden="1" function="0" vbProcedure="0">"c293"</definedName>
    <definedName name="IQ_DEF_CHARGES_LT_BR" hidden="1" function="0" vbProcedure="0">"c294"</definedName>
    <definedName name="IQ_DEF_CHARGES_LT_FIN" hidden="1" function="0" vbProcedure="0">"c295"</definedName>
    <definedName name="IQ_DEF_CHARGES_LT_INS" hidden="1" function="0" vbProcedure="0">"c296"</definedName>
    <definedName name="IQ_DEF_CHARGES_LT_REIT" hidden="1" function="0" vbProcedure="0">"c297"</definedName>
    <definedName name="IQ_DEF_CHARGES_LT_UTI" hidden="1" function="0" vbProcedure="0">"c298"</definedName>
    <definedName name="IQ_DEF_CHARGES_REIT" hidden="1" function="0" vbProcedure="0">"c299"</definedName>
    <definedName name="IQ_DEF_CONTRIBUTION_TOTAL_COST" hidden="1" function="0" vbProcedure="0">"c300"</definedName>
    <definedName name="IQ_DEF_INC_TAX" hidden="1" function="0" vbProcedure="0">"c1365"</definedName>
    <definedName name="IQ_DEF_POLICY_ACQ_COSTS" hidden="1" function="0" vbProcedure="0">"c301"</definedName>
    <definedName name="IQ_DEF_POLICY_ACQ_COSTS_CF" hidden="1" function="0" vbProcedure="0">"c302"</definedName>
    <definedName name="IQ_DEF_POLICY_AMORT" hidden="1" function="0" vbProcedure="0">"c303"</definedName>
    <definedName name="IQ_DEF_TAX_ASSETS_CURRENT" hidden="1" function="0" vbProcedure="0">"c309"</definedName>
    <definedName name="IQ_DEF_TAX_ASSETS_LT" hidden="1" function="0" vbProcedure="0">"c310"</definedName>
    <definedName name="IQ_DEF_TAX_ASSETS_LT_BNK" hidden="1" function="0" vbProcedure="0">"c311"</definedName>
    <definedName name="IQ_DEF_TAX_ASSET_LT_BR" hidden="1" function="0" vbProcedure="0">"c304"</definedName>
    <definedName name="IQ_DEF_TAX_ASSET_LT_FIN" hidden="1" function="0" vbProcedure="0">"c305"</definedName>
    <definedName name="IQ_DEF_TAX_ASSET_LT_INS" hidden="1" function="0" vbProcedure="0">"c306"</definedName>
    <definedName name="IQ_DEF_TAX_ASSET_LT_REIT" hidden="1" function="0" vbProcedure="0">"c307"</definedName>
    <definedName name="IQ_DEF_TAX_ASSET_LT_UTI" hidden="1" function="0" vbProcedure="0">"c308"</definedName>
    <definedName name="IQ_DEF_TAX_LIAB_CURRENT" hidden="1" function="0" vbProcedure="0">"c312"</definedName>
    <definedName name="IQ_DEF_TAX_LIAB_LT" hidden="1" function="0" vbProcedure="0">"c313"</definedName>
    <definedName name="IQ_DEF_TAX_LIAB_LT_BNK" hidden="1" function="0" vbProcedure="0">"c314"</definedName>
    <definedName name="IQ_DEF_TAX_LIAB_LT_BR" hidden="1" function="0" vbProcedure="0">"c315"</definedName>
    <definedName name="IQ_DEF_TAX_LIAB_LT_FIN" hidden="1" function="0" vbProcedure="0">"c316"</definedName>
    <definedName name="IQ_DEF_TAX_LIAB_LT_INS" hidden="1" function="0" vbProcedure="0">"c317"</definedName>
    <definedName name="IQ_DEF_TAX_LIAB_LT_REIT" hidden="1" function="0" vbProcedure="0">"c318"</definedName>
    <definedName name="IQ_DEF_TAX_LIAB_LT_UTI" hidden="1" function="0" vbProcedure="0">"c319"</definedName>
    <definedName name="IQ_DEMAND_DEP" hidden="1" function="0" vbProcedure="0">"c320"</definedName>
    <definedName name="IQ_DEPOSITS_FIN" hidden="1" function="0" vbProcedure="0">"c321"</definedName>
    <definedName name="IQ_DEPRE_AMORT" hidden="1" function="0" vbProcedure="0">"c1360"</definedName>
    <definedName name="IQ_DEPRE_AMORT_SUPPL" hidden="1" function="0" vbProcedure="0">"c1593"</definedName>
    <definedName name="IQ_DEPRE_DEPLE" hidden="1" function="0" vbProcedure="0">"c1361"</definedName>
    <definedName name="IQ_DEPRE_SUPP" hidden="1" function="0" vbProcedure="0">"c1443"</definedName>
    <definedName name="IQ_DESCRIPTION_LONG" hidden="1" function="0" vbProcedure="0">"c1520"</definedName>
    <definedName name="IQ_DEVELOP_LAND" hidden="1" function="0" vbProcedure="0">"c323"</definedName>
    <definedName name="IQ_DIFF_LASTCLOSE_TARGET_PRICE" hidden="1" function="0" vbProcedure="0">"c1854"</definedName>
    <definedName name="IQ_DILUT_ADJUST" hidden="1" function="0" vbProcedure="0">"c1621"</definedName>
    <definedName name="IQ_DILUT_EPS_EXCL" hidden="1" function="0" vbProcedure="0">"c324"</definedName>
    <definedName name="IQ_DILUT_EPS_INCL" hidden="1" function="0" vbProcedure="0">"c325"</definedName>
    <definedName name="IQ_DILUT_EPS_NORM" hidden="1" function="0" vbProcedure="0">"c1903"</definedName>
    <definedName name="IQ_DILUT_NI" hidden="1" function="0" vbProcedure="0">"c2079"</definedName>
    <definedName name="IQ_DILUT_NORMAL_EPS" hidden="1" function="0" vbProcedure="0">"c1594"</definedName>
    <definedName name="IQ_DILUT_WEIGHT" hidden="1" function="0" vbProcedure="0">"c326"</definedName>
    <definedName name="IQ_DISCONT_OPER" hidden="1" function="0" vbProcedure="0">"c1367"</definedName>
    <definedName name="IQ_DISCOUNT_RATE_PENSION_DOMESTIC" hidden="1" function="0" vbProcedure="0">"c327"</definedName>
    <definedName name="IQ_DISCOUNT_RATE_PENSION_FOREIGN" hidden="1" function="0" vbProcedure="0">"c328"</definedName>
    <definedName name="IQ_DISTR_EXCESS_EARN" hidden="1" function="0" vbProcedure="0">"c329"</definedName>
    <definedName name="IQ_DIVEST_CF" hidden="1" function="0" vbProcedure="0">"c331"</definedName>
    <definedName name="IQ_DIVIDEND_YIELD" hidden="1" function="0" vbProcedure="0">"c332"</definedName>
    <definedName name="IQ_DIVID_SHARE" hidden="1" function="0" vbProcedure="0">"c1366"</definedName>
    <definedName name="IQ_DIV_PAYMENT_DATE" hidden="1" function="0" vbProcedure="0">"c2106"</definedName>
    <definedName name="IQ_DIV_RECORD_DATE" hidden="1" function="0" vbProcedure="0">"c2105"</definedName>
    <definedName name="IQ_DIV_SHARE" hidden="1" function="0" vbProcedure="0">"c330"</definedName>
    <definedName name="IQ_DO" hidden="1" function="0" vbProcedure="0">"c333"</definedName>
    <definedName name="IQ_DO_ASSETS_CURRENT" hidden="1" function="0" vbProcedure="0">"c334"</definedName>
    <definedName name="IQ_DO_ASSETS_LT" hidden="1" function="0" vbProcedure="0">"c335"</definedName>
    <definedName name="IQ_DO_CF" hidden="1" function="0" vbProcedure="0">"c336"</definedName>
    <definedName name="IQ_DPS_10YR_ANN_GROWTH" hidden="1" function="0" vbProcedure="0">"c337"</definedName>
    <definedName name="IQ_DPS_1YR_ANN_GROWTH" hidden="1" function="0" vbProcedure="0">"c338"</definedName>
    <definedName name="IQ_DPS_2YR_ANN_GROWTH" hidden="1" function="0" vbProcedure="0">"c339"</definedName>
    <definedName name="IQ_DPS_3YR_ANN_GROWTH" hidden="1" function="0" vbProcedure="0">"c340"</definedName>
    <definedName name="IQ_DPS_5YR_ANN_GROWTH" hidden="1" function="0" vbProcedure="0">"c341"</definedName>
    <definedName name="IQ_DPS_7YR_ANN_GROWTH" hidden="1" function="0" vbProcedure="0">"c342"</definedName>
    <definedName name="IQ_EARNINGS_ANNOUNCE_DATE" hidden="1" function="0" vbProcedure="0">"c1649"</definedName>
    <definedName name="IQ_EARNING_ASSET_YIELD" hidden="1" function="0" vbProcedure="0">"c343"</definedName>
    <definedName name="IQ_EARNING_CO" hidden="1" function="0" vbProcedure="0">"c344"</definedName>
    <definedName name="IQ_EARNING_CO_10YR_ANN_GROWTH" hidden="1" function="0" vbProcedure="0">"c345"</definedName>
    <definedName name="IQ_EARNING_CO_1YR_ANN_GROWTH" hidden="1" function="0" vbProcedure="0">"c346"</definedName>
    <definedName name="IQ_EARNING_CO_2YR_ANN_GROWTH" hidden="1" function="0" vbProcedure="0">"c347"</definedName>
    <definedName name="IQ_EARNING_CO_3YR_ANN_GROWTH" hidden="1" function="0" vbProcedure="0">"c348"</definedName>
    <definedName name="IQ_EARNING_CO_5YR_ANN_GROWTH" hidden="1" function="0" vbProcedure="0">"c349"</definedName>
    <definedName name="IQ_EARNING_CO_7YR_ANN_GROWTH" hidden="1" function="0" vbProcedure="0">"c350"</definedName>
    <definedName name="IQ_EARNING_CO_MARGIN" hidden="1" function="0" vbProcedure="0">"c351"</definedName>
    <definedName name="IQ_EBIT" hidden="1" function="0" vbProcedure="0">"c352"</definedName>
    <definedName name="IQ_EBITA" hidden="1" function="0" vbProcedure="0">"c1910"</definedName>
    <definedName name="IQ_EBITA_10YR_ANN_GROWTH" hidden="1" function="0" vbProcedure="0">"c1954"</definedName>
    <definedName name="IQ_EBITA_1YR_ANN_GROWTH" hidden="1" function="0" vbProcedure="0">"c1949"</definedName>
    <definedName name="IQ_EBITA_2YR_ANN_GROWTH" hidden="1" function="0" vbProcedure="0">"c1950"</definedName>
    <definedName name="IQ_EBITA_3YR_ANN_GROWTH" hidden="1" function="0" vbProcedure="0">"c1951"</definedName>
    <definedName name="IQ_EBITA_5YR_ANN_GROWTH" hidden="1" function="0" vbProcedure="0">"c1952"</definedName>
    <definedName name="IQ_EBITA_7YR_ANN_GROWTH" hidden="1" function="0" vbProcedure="0">"c1953"</definedName>
    <definedName name="IQ_EBITA_MARGIN" hidden="1" function="0" vbProcedure="0">"c1963"</definedName>
    <definedName name="IQ_EBITDA" hidden="1" function="0" vbProcedure="0">"c361"</definedName>
    <definedName name="IQ_EBITDA_10YR_ANN_GROWTH" hidden="1" function="0" vbProcedure="0">"c362"</definedName>
    <definedName name="IQ_EBITDA_1YR_ANN_GROWTH" hidden="1" function="0" vbProcedure="0">"c363"</definedName>
    <definedName name="IQ_EBITDA_2YR_ANN_GROWTH" hidden="1" function="0" vbProcedure="0">"c364"</definedName>
    <definedName name="IQ_EBITDA_3YR_ANN_GROWTH" hidden="1" function="0" vbProcedure="0">"c365"</definedName>
    <definedName name="IQ_EBITDA_5YR_ANN_GROWTH" hidden="1" function="0" vbProcedure="0">"c366"</definedName>
    <definedName name="IQ_EBITDA_7YR_ANN_GROWTH" hidden="1" function="0" vbProcedure="0">"c367"</definedName>
    <definedName name="IQ_EBITDA_CAPEX_INT" hidden="1" function="0" vbProcedure="0">"c368"</definedName>
    <definedName name="IQ_EBITDA_CAPEX_OVER_TOTAL_IE" hidden="1" function="0" vbProcedure="0">"c1370"</definedName>
    <definedName name="IQ_EBITDA_INT" hidden="1" function="0" vbProcedure="0">"c373"</definedName>
    <definedName name="IQ_EBITDA_MARGIN" hidden="1" function="0" vbProcedure="0">"c372"</definedName>
    <definedName name="IQ_EBITDA_OVER_TOTAL_IE" hidden="1" function="0" vbProcedure="0">"c1371"</definedName>
    <definedName name="IQ_EBIT_10YR_ANN_GROWTH" hidden="1" function="0" vbProcedure="0">"c353"</definedName>
    <definedName name="IQ_EBIT_1YR_ANN_GROWTH" hidden="1" function="0" vbProcedure="0">"c354"</definedName>
    <definedName name="IQ_EBIT_2YR_ANN_GROWTH" hidden="1" function="0" vbProcedure="0">"c355"</definedName>
    <definedName name="IQ_EBIT_3YR_ANN_GROWTH" hidden="1" function="0" vbProcedure="0">"c356"</definedName>
    <definedName name="IQ_EBIT_5YR_ANN_GROWTH" hidden="1" function="0" vbProcedure="0">"c357"</definedName>
    <definedName name="IQ_EBIT_7YR_ANN_GROWTH" hidden="1" function="0" vbProcedure="0">"c358"</definedName>
    <definedName name="IQ_EBIT_INT" hidden="1" function="0" vbProcedure="0">"c360"</definedName>
    <definedName name="IQ_EBIT_MARGIN" hidden="1" function="0" vbProcedure="0">"c359"</definedName>
    <definedName name="IQ_EBIT_OVER_IE" hidden="1" function="0" vbProcedure="0">"c1369"</definedName>
    <definedName name="IQ_EBT" hidden="1" function="0" vbProcedure="0">"c376"</definedName>
    <definedName name="IQ_EBT_BNK" hidden="1" function="0" vbProcedure="0">"c377"</definedName>
    <definedName name="IQ_EBT_BR" hidden="1" function="0" vbProcedure="0">"c378"</definedName>
    <definedName name="IQ_EBT_EXCL" hidden="1" function="0" vbProcedure="0">"c379"</definedName>
    <definedName name="IQ_EBT_EXCL_BNK" hidden="1" function="0" vbProcedure="0">"c380"</definedName>
    <definedName name="IQ_EBT_EXCL_BR" hidden="1" function="0" vbProcedure="0">"c381"</definedName>
    <definedName name="IQ_EBT_EXCL_FIN" hidden="1" function="0" vbProcedure="0">"c382"</definedName>
    <definedName name="IQ_EBT_EXCL_INS" hidden="1" function="0" vbProcedure="0">"c383"</definedName>
    <definedName name="IQ_EBT_EXCL_MARGIN" hidden="1" function="0" vbProcedure="0">"c1462"</definedName>
    <definedName name="IQ_EBT_EXCL_REIT" hidden="1" function="0" vbProcedure="0">"c384"</definedName>
    <definedName name="IQ_EBT_EXCL_UTI" hidden="1" function="0" vbProcedure="0">"c385"</definedName>
    <definedName name="IQ_EBT_FIN" hidden="1" function="0" vbProcedure="0">"c386"</definedName>
    <definedName name="IQ_EBT_INCL_MARGIN" hidden="1" function="0" vbProcedure="0">"c387"</definedName>
    <definedName name="IQ_EBT_INS" hidden="1" function="0" vbProcedure="0">"c388"</definedName>
    <definedName name="IQ_EBT_REIT" hidden="1" function="0" vbProcedure="0">"c389"</definedName>
    <definedName name="IQ_EBT_UTI" hidden="1" function="0" vbProcedure="0">"c390"</definedName>
    <definedName name="IQ_EFFECT_SPECIAL_CHARGE" hidden="1" function="0" vbProcedure="0">"c1595"</definedName>
    <definedName name="IQ_EFFECT_TAX_RATE" hidden="1" function="0" vbProcedure="0">"c1899"</definedName>
    <definedName name="IQ_EFFICIENCY_RATIO" hidden="1" function="0" vbProcedure="0">"c391"</definedName>
    <definedName name="IQ_EMPLOYEES" hidden="1" function="0" vbProcedure="0">"c392"</definedName>
    <definedName name="IQ_ENTERPRISE_VALUE" hidden="1" function="0" vbProcedure="0">"c1348"</definedName>
    <definedName name="IQ_EPS_10YR_ANN_GROWTH" hidden="1" function="0" vbProcedure="0">"c393"</definedName>
    <definedName name="IQ_EPS_1YR_ANN_GROWTH" hidden="1" function="0" vbProcedure="0">"c394"</definedName>
    <definedName name="IQ_EPS_2YR_ANN_GROWTH" hidden="1" function="0" vbProcedure="0">"c395"</definedName>
    <definedName name="IQ_EPS_3YR_ANN_GROWTH" hidden="1" function="0" vbProcedure="0">"c396"</definedName>
    <definedName name="IQ_EPS_5YR_ANN_GROWTH" hidden="1" function="0" vbProcedure="0">"c397"</definedName>
    <definedName name="IQ_EPS_7YR_ANN_GROWTH" hidden="1" function="0" vbProcedure="0">"c398"</definedName>
    <definedName name="IQ_EPS_EST" hidden="1" function="0" vbProcedure="0">"c399"</definedName>
    <definedName name="IQ_EPS_HIGH_EST" hidden="1" function="0" vbProcedure="0">"c400"</definedName>
    <definedName name="IQ_EPS_LOW_EST" hidden="1" function="0" vbProcedure="0">"c401"</definedName>
    <definedName name="IQ_EPS_MEDIAN_EST" hidden="1" function="0" vbProcedure="0">"c1661"</definedName>
    <definedName name="IQ_EPS_NORM" hidden="1" function="0" vbProcedure="0">"c1902"</definedName>
    <definedName name="IQ_EPS_NUM_EST" hidden="1" function="0" vbProcedure="0">"c402"</definedName>
    <definedName name="IQ_EPS_STDDEV_EST" hidden="1" function="0" vbProcedure="0">"c403"</definedName>
    <definedName name="IQ_EQUITY_AFFIL" hidden="1" function="0" vbProcedure="0">"c1451"</definedName>
    <definedName name="IQ_EQUITY_METHOD" hidden="1" function="0" vbProcedure="0">"c404"</definedName>
    <definedName name="IQ_EQV_OVER_BV" hidden="1" function="0" vbProcedure="0">"c1596"</definedName>
    <definedName name="IQ_EQV_OVER_LTM_PRETAX_INC" hidden="1" function="0" vbProcedure="0">"c1390"</definedName>
    <definedName name="IQ_ESOP_DEBT" hidden="1" function="0" vbProcedure="0">"c1597"</definedName>
    <definedName name="IQ_EST_ACT_EPS" hidden="1" function="0" vbProcedure="0">"c1648"</definedName>
    <definedName name="IQ_EST_CURRENCY" hidden="1" function="0" vbProcedure="0">"c2140"</definedName>
    <definedName name="IQ_EST_DATE" hidden="1" function="0" vbProcedure="0">"c1634"</definedName>
    <definedName name="IQ_EST_EPS_DIFF" hidden="1" function="0" vbProcedure="0">"c1864"</definedName>
    <definedName name="IQ_EST_EPS_GROWTH_1YR" hidden="1" function="0" vbProcedure="0">"c1636"</definedName>
    <definedName name="IQ_EST_EPS_GROWTH_5YR" hidden="1" function="0" vbProcedure="0">"c1655"</definedName>
    <definedName name="IQ_EST_EPS_GROWTH_5YR_HIGH" hidden="1" function="0" vbProcedure="0">"c1657"</definedName>
    <definedName name="IQ_EST_EPS_GROWTH_5YR_LOW" hidden="1" function="0" vbProcedure="0">"c1658"</definedName>
    <definedName name="IQ_EST_EPS_GROWTH_5YR_MEDIAN" hidden="1" function="0" vbProcedure="0">"c1656"</definedName>
    <definedName name="IQ_EST_EPS_GROWTH_5YR_NUM" hidden="1" function="0" vbProcedure="0">"c1659"</definedName>
    <definedName name="IQ_EST_EPS_GROWTH_5YR_STDDEV" hidden="1" function="0" vbProcedure="0">"c1660"</definedName>
    <definedName name="IQ_EST_EPS_GROWTH_Q_1YR" hidden="1" function="0" vbProcedure="0">"c1641"</definedName>
    <definedName name="IQ_EV_OVER_EMPLOYEE" hidden="1" function="0" vbProcedure="0">"c1428"</definedName>
    <definedName name="IQ_EV_OVER_LTM_EBIT" hidden="1" function="0" vbProcedure="0">"c1426"</definedName>
    <definedName name="IQ_EV_OVER_LTM_EBITDA" hidden="1" function="0" vbProcedure="0">"c1427"</definedName>
    <definedName name="IQ_EV_OVER_LTM_REVENUE" hidden="1" function="0" vbProcedure="0">"c1429"</definedName>
    <definedName name="IQ_EXCHANGE" hidden="1" function="0" vbProcedure="0">"c405"</definedName>
    <definedName name="IQ_EXERCISED" hidden="1" function="0" vbProcedure="0">"c406"</definedName>
    <definedName name="IQ_EXERCISE_PRICE" hidden="1" function="0" vbProcedure="0">"c1897"</definedName>
    <definedName name="IQ_EXPLORE_DRILL" hidden="1" function="0" vbProcedure="0">"c409"</definedName>
    <definedName name="IQ_EXP_RETURN_PENSION_DOMESTIC" hidden="1" function="0" vbProcedure="0">"c407"</definedName>
    <definedName name="IQ_EXP_RETURN_PENSION_FOREIGN" hidden="1" function="0" vbProcedure="0">"c408"</definedName>
    <definedName name="IQ_EXTRA_ACC_ITEMS" hidden="1" function="0" vbProcedure="0">"c410"</definedName>
    <definedName name="IQ_EXTRA_ACC_ITEMS_BNK" hidden="1" function="0" vbProcedure="0">"c411"</definedName>
    <definedName name="IQ_EXTRA_ACC_ITEMS_BR" hidden="1" function="0" vbProcedure="0">"c412"</definedName>
    <definedName name="IQ_EXTRA_ACC_ITEMS_FIN" hidden="1" function="0" vbProcedure="0">"c413"</definedName>
    <definedName name="IQ_EXTRA_ACC_ITEMS_INS" hidden="1" function="0" vbProcedure="0">"c414"</definedName>
    <definedName name="IQ_EXTRA_ACC_ITEMS_REIT" hidden="1" function="0" vbProcedure="0">"c415"</definedName>
    <definedName name="IQ_EXTRA_ACC_ITEMS_UTI" hidden="1" function="0" vbProcedure="0">"c416"</definedName>
    <definedName name="IQ_EXTRA_ITEMS" hidden="1" function="0" vbProcedure="0">"c1459"</definedName>
    <definedName name="IQ_FDIC" hidden="1" function="0" vbProcedure="0">"c417"</definedName>
    <definedName name="IQ_FFO" hidden="1" function="0" vbProcedure="0">"c1574"</definedName>
    <definedName name="IQ_FHLB_DEBT" hidden="1" function="0" vbProcedure="0">"c423"</definedName>
    <definedName name="IQ_FHLB_DUE_CY" hidden="1" function="0" vbProcedure="0">"c2080"</definedName>
    <definedName name="IQ_FHLB_DUE_CY1" hidden="1" function="0" vbProcedure="0">"c2081"</definedName>
    <definedName name="IQ_FHLB_DUE_CY2" hidden="1" function="0" vbProcedure="0">"c2082"</definedName>
    <definedName name="IQ_FHLB_DUE_CY3" hidden="1" function="0" vbProcedure="0">"c2083"</definedName>
    <definedName name="IQ_FHLB_DUE_CY4" hidden="1" function="0" vbProcedure="0">"c2084"</definedName>
    <definedName name="IQ_FHLB_DUE_NEXT_FIVE" hidden="1" function="0" vbProcedure="0">"c2085"</definedName>
    <definedName name="IQ_FILINGDATE_BS" hidden="1" function="0" vbProcedure="0">"c424"</definedName>
    <definedName name="IQ_FILINGDATE_CF" hidden="1" function="0" vbProcedure="0">"c425"</definedName>
    <definedName name="IQ_FILINGDATE_IS" hidden="1" function="0" vbProcedure="0">"c426"</definedName>
    <definedName name="IQ_FILING_CURRENCY" hidden="1" function="0" vbProcedure="0">"c2129"</definedName>
    <definedName name="IQ_FINANCING_CASH" hidden="1" function="0" vbProcedure="0">"c1405"</definedName>
    <definedName name="IQ_FINANCING_CASH_SUPPL" hidden="1" function="0" vbProcedure="0">"c1406"</definedName>
    <definedName name="IQ_FINISHED_INV" hidden="1" function="0" vbProcedure="0">"c438"</definedName>
    <definedName name="IQ_FIN_DIV_ASSETS_CURRENT" hidden="1" function="0" vbProcedure="0">"c427"</definedName>
    <definedName name="IQ_FIN_DIV_ASSETS_LT" hidden="1" function="0" vbProcedure="0">"c428"</definedName>
    <definedName name="IQ_FIN_DIV_DEBT_CURRENT" hidden="1" function="0" vbProcedure="0">"c429"</definedName>
    <definedName name="IQ_FIN_DIV_DEBT_LT" hidden="1" function="0" vbProcedure="0">"c430"</definedName>
    <definedName name="IQ_FIN_DIV_EXP" hidden="1" function="0" vbProcedure="0">"c431"</definedName>
    <definedName name="IQ_FIN_DIV_INT_EXP" hidden="1" function="0" vbProcedure="0">"c432"</definedName>
    <definedName name="IQ_FIN_DIV_LIAB_CURRENT" hidden="1" function="0" vbProcedure="0">"c433"</definedName>
    <definedName name="IQ_FIN_DIV_LIAB_LT" hidden="1" function="0" vbProcedure="0">"c434"</definedName>
    <definedName name="IQ_FIN_DIV_LOANS_CURRENT" hidden="1" function="0" vbProcedure="0">"c435"</definedName>
    <definedName name="IQ_FIN_DIV_LOANS_LT" hidden="1" function="0" vbProcedure="0">"c436"</definedName>
    <definedName name="IQ_FIN_DIV_REV" hidden="1" function="0" vbProcedure="0">"c437"</definedName>
    <definedName name="IQ_FIRST_YEAR_LIFE" hidden="1" function="0" vbProcedure="0">"c439"</definedName>
    <definedName name="IQ_FISCAL_Q" hidden="1" function="0" vbProcedure="0">"c440"</definedName>
    <definedName name="IQ_FISCAL_Y" hidden="1" function="0" vbProcedure="0">"c441"</definedName>
    <definedName name="IQ_FIVEPERCENT_PERCENT" hidden="1" function="0" vbProcedure="0">"c443"</definedName>
    <definedName name="IQ_FIVEPERCENT_SHARES" hidden="1" function="0" vbProcedure="0">"c444"</definedName>
    <definedName name="IQ_FIVE_PERCENT_OWNER" hidden="1" function="0" vbProcedure="0">"c442"</definedName>
    <definedName name="IQ_FIXED_ASSET_TURNS" hidden="1" function="0" vbProcedure="0">"c445"</definedName>
    <definedName name="IQ_FLOAT_PERCENT" hidden="1" function="0" vbProcedure="0">"c1575"</definedName>
    <definedName name="IQ_FOREIGN_DEP_IB" hidden="1" function="0" vbProcedure="0">"c446"</definedName>
    <definedName name="IQ_FOREIGN_DEP_NON_IB" hidden="1" function="0" vbProcedure="0">"c447"</definedName>
    <definedName name="IQ_FOREIGN_EXCHANGE" hidden="1" function="0" vbProcedure="0">"c1376"</definedName>
    <definedName name="IQ_FOREIGN_LOANS" hidden="1" function="0" vbProcedure="0">"c448"</definedName>
    <definedName name="IQ_FQ" hidden="1" function="0" vbProcedure="0">500</definedName>
    <definedName name="IQ_FUEL" hidden="1" function="0" vbProcedure="0">"c449"</definedName>
    <definedName name="IQ_FULL_TIME" hidden="1" function="0" vbProcedure="0">"c450"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X" hidden="1" function="0" vbProcedure="0">"c451"</definedName>
    <definedName name="IQ_FY" hidden="1" function="0" vbProcedure="0">1000</definedName>
    <definedName name="IQ_GAIN_ASSETS" hidden="1" function="0" vbProcedure="0">"c452"</definedName>
    <definedName name="IQ_GAIN_ASSETS_BNK" hidden="1" function="0" vbProcedure="0">"c453"</definedName>
    <definedName name="IQ_GAIN_ASSETS_BR" hidden="1" function="0" vbProcedure="0">"c454"</definedName>
    <definedName name="IQ_GAIN_ASSETS_CF" hidden="1" function="0" vbProcedure="0">"c455"</definedName>
    <definedName name="IQ_GAIN_ASSETS_CF_BNK" hidden="1" function="0" vbProcedure="0">"c456"</definedName>
    <definedName name="IQ_GAIN_ASSETS_CF_BR" hidden="1" function="0" vbProcedure="0">"c457"</definedName>
    <definedName name="IQ_GAIN_ASSETS_CF_FIN" hidden="1" function="0" vbProcedure="0">"c458"</definedName>
    <definedName name="IQ_GAIN_ASSETS_CF_INS" hidden="1" function="0" vbProcedure="0">"c459"</definedName>
    <definedName name="IQ_GAIN_ASSETS_CF_REIT" hidden="1" function="0" vbProcedure="0">"c460"</definedName>
    <definedName name="IQ_GAIN_ASSETS_CF_UTI" hidden="1" function="0" vbProcedure="0">"c461"</definedName>
    <definedName name="IQ_GAIN_ASSETS_FIN" hidden="1" function="0" vbProcedure="0">"c462"</definedName>
    <definedName name="IQ_GAIN_ASSETS_INS" hidden="1" function="0" vbProcedure="0">"c463"</definedName>
    <definedName name="IQ_GAIN_ASSETS_REIT" hidden="1" function="0" vbProcedure="0">"c471"</definedName>
    <definedName name="IQ_GAIN_ASSETS_REV" hidden="1" function="0" vbProcedure="0">"c472"</definedName>
    <definedName name="IQ_GAIN_ASSETS_REV_BNK" hidden="1" function="0" vbProcedure="0">"c473"</definedName>
    <definedName name="IQ_GAIN_ASSETS_REV_BR" hidden="1" function="0" vbProcedure="0">"c474"</definedName>
    <definedName name="IQ_GAIN_ASSETS_REV_FIN" hidden="1" function="0" vbProcedure="0">"c475"</definedName>
    <definedName name="IQ_GAIN_ASSETS_REV_INS" hidden="1" function="0" vbProcedure="0">"c476"</definedName>
    <definedName name="IQ_GAIN_ASSETS_REV_REIT" hidden="1" function="0" vbProcedure="0">"c477"</definedName>
    <definedName name="IQ_GAIN_ASSETS_REV_UTI" hidden="1" function="0" vbProcedure="0">"c478"</definedName>
    <definedName name="IQ_GAIN_ASSETS_UTI" hidden="1" function="0" vbProcedure="0">"c479"</definedName>
    <definedName name="IQ_GAIN_INVEST" hidden="1" function="0" vbProcedure="0">"c1463"</definedName>
    <definedName name="IQ_GAIN_INVEST_BNK" hidden="1" function="0" vbProcedure="0">"c1582"</definedName>
    <definedName name="IQ_GAIN_INVEST_BR" hidden="1" function="0" vbProcedure="0">"c1464"</definedName>
    <definedName name="IQ_GAIN_INVEST_CF" hidden="1" function="0" vbProcedure="0">"c480"</definedName>
    <definedName name="IQ_GAIN_INVEST_CF_BNK" hidden="1" function="0" vbProcedure="0">"c481"</definedName>
    <definedName name="IQ_GAIN_INVEST_CF_BR" hidden="1" function="0" vbProcedure="0">"c482"</definedName>
    <definedName name="IQ_GAIN_INVEST_CF_FIN" hidden="1" function="0" vbProcedure="0">"c483"</definedName>
    <definedName name="IQ_GAIN_INVEST_CF_INS" hidden="1" function="0" vbProcedure="0">"c484"</definedName>
    <definedName name="IQ_GAIN_INVEST_CF_REIT" hidden="1" function="0" vbProcedure="0">"c485"</definedName>
    <definedName name="IQ_GAIN_INVEST_CF_UTI" hidden="1" function="0" vbProcedure="0">"c486"</definedName>
    <definedName name="IQ_GAIN_INVEST_FIN" hidden="1" function="0" vbProcedure="0">"c1465"</definedName>
    <definedName name="IQ_GAIN_INVEST_INS" hidden="1" function="0" vbProcedure="0">"c1466"</definedName>
    <definedName name="IQ_GAIN_INVEST_REIT" hidden="1" function="0" vbProcedure="0">"c1467"</definedName>
    <definedName name="IQ_GAIN_INVEST_REV" hidden="1" function="0" vbProcedure="0">"c494"</definedName>
    <definedName name="IQ_GAIN_INVEST_REV_BNK" hidden="1" function="0" vbProcedure="0">"c495"</definedName>
    <definedName name="IQ_GAIN_INVEST_REV_BR" hidden="1" function="0" vbProcedure="0">"c496"</definedName>
    <definedName name="IQ_GAIN_INVEST_REV_FIN" hidden="1" function="0" vbProcedure="0">"c497"</definedName>
    <definedName name="IQ_GAIN_INVEST_REV_INS" hidden="1" function="0" vbProcedure="0">"c498"</definedName>
    <definedName name="IQ_GAIN_INVEST_REV_REIT" hidden="1" function="0" vbProcedure="0">"c499"</definedName>
    <definedName name="IQ_GAIN_INVEST_REV_UTI" hidden="1" function="0" vbProcedure="0">"c500"</definedName>
    <definedName name="IQ_GAIN_INVEST_UTI" hidden="1" function="0" vbProcedure="0">"c1468"</definedName>
    <definedName name="IQ_GAIN_LOANS_REC" hidden="1" function="0" vbProcedure="0">"c501"</definedName>
    <definedName name="IQ_GAIN_LOANS_RECEIV" hidden="1" function="0" vbProcedure="0">"c502"</definedName>
    <definedName name="IQ_GAIN_LOANS_RECEIV_REV_FIN" hidden="1" function="0" vbProcedure="0">"c503"</definedName>
    <definedName name="IQ_GAIN_LOANS_REV" hidden="1" function="0" vbProcedure="0">"c504"</definedName>
    <definedName name="IQ_GAIN_SALE_ASSETS" hidden="1" function="0" vbProcedure="0">"c1377"</definedName>
    <definedName name="IQ_GOODWILL_NET" hidden="1" function="0" vbProcedure="0">"c1380"</definedName>
    <definedName name="IQ_GP" hidden="1" function="0" vbProcedure="0">"c511"</definedName>
    <definedName name="IQ_GPPE" hidden="1" function="0" vbProcedure="0">"c518"</definedName>
    <definedName name="IQ_GP_10YR_ANN_GROWTH" hidden="1" function="0" vbProcedure="0">"c512"</definedName>
    <definedName name="IQ_GP_1YR_ANN_GROWTH" hidden="1" function="0" vbProcedure="0">"c513"</definedName>
    <definedName name="IQ_GP_2YR_ANN_GROWTH" hidden="1" function="0" vbProcedure="0">"c514"</definedName>
    <definedName name="IQ_GP_3YR_ANN_GROWTH" hidden="1" function="0" vbProcedure="0">"c515"</definedName>
    <definedName name="IQ_GP_5YR_ANN_GROWTH" hidden="1" function="0" vbProcedure="0">"c516"</definedName>
    <definedName name="IQ_GP_7YR_ANN_GROWTH" hidden="1" function="0" vbProcedure="0">"c517"</definedName>
    <definedName name="IQ_GROSS_DIVID" hidden="1" function="0" vbProcedure="0">"c1446"</definedName>
    <definedName name="IQ_GROSS_LOANS" hidden="1" function="0" vbProcedure="0">"c521"</definedName>
    <definedName name="IQ_GROSS_LOANS_10YR_ANN_GROWTH" hidden="1" function="0" vbProcedure="0">"c522"</definedName>
    <definedName name="IQ_GROSS_LOANS_1YR_ANN_GROWTH" hidden="1" function="0" vbProcedure="0">"c523"</definedName>
    <definedName name="IQ_GROSS_LOANS_2YR_ANN_GROWTH" hidden="1" function="0" vbProcedure="0">"c524"</definedName>
    <definedName name="IQ_GROSS_LOANS_3YR_ANN_GROWTH" hidden="1" function="0" vbProcedure="0">"c525"</definedName>
    <definedName name="IQ_GROSS_LOANS_5YR_ANN_GROWTH" hidden="1" function="0" vbProcedure="0">"c526"</definedName>
    <definedName name="IQ_GROSS_LOANS_7YR_ANN_GROWTH" hidden="1" function="0" vbProcedure="0">"c527"</definedName>
    <definedName name="IQ_GROSS_LOANS_TOTAL_DEPOSITS" hidden="1" function="0" vbProcedure="0">"c528"</definedName>
    <definedName name="IQ_GROSS_MARGIN" hidden="1" function="0" vbProcedure="0">"c529"</definedName>
    <definedName name="IQ_GROSS_PROFIT" hidden="1" function="0" vbProcedure="0">"c1378"</definedName>
    <definedName name="IQ_GW" hidden="1" function="0" vbProcedure="0">"c530"</definedName>
    <definedName name="IQ_GW_AMORT_BR" hidden="1" function="0" vbProcedure="0">"c532"</definedName>
    <definedName name="IQ_GW_AMORT_FIN" hidden="1" function="0" vbProcedure="0">"c540"</definedName>
    <definedName name="IQ_GW_AMORT_INS" hidden="1" function="0" vbProcedure="0">"c541"</definedName>
    <definedName name="IQ_GW_AMORT_REIT" hidden="1" function="0" vbProcedure="0">"c542"</definedName>
    <definedName name="IQ_GW_AMORT_UTI" hidden="1" function="0" vbProcedure="0">"c543"</definedName>
    <definedName name="IQ_GW_INTAN_AMORT" hidden="1" function="0" vbProcedure="0">"c1469"</definedName>
    <definedName name="IQ_GW_INTAN_AMORT_BNK" hidden="1" function="0" vbProcedure="0">"c544"</definedName>
    <definedName name="IQ_GW_INTAN_AMORT_BR" hidden="1" function="0" vbProcedure="0">"c1470"</definedName>
    <definedName name="IQ_GW_INTAN_AMORT_CF" hidden="1" function="0" vbProcedure="0">"c1471"</definedName>
    <definedName name="IQ_GW_INTAN_AMORT_CF_BNK" hidden="1" function="0" vbProcedure="0">"c1472"</definedName>
    <definedName name="IQ_GW_INTAN_AMORT_CF_BR" hidden="1" function="0" vbProcedure="0">"c1473"</definedName>
    <definedName name="IQ_GW_INTAN_AMORT_CF_FIN" hidden="1" function="0" vbProcedure="0">"c1474"</definedName>
    <definedName name="IQ_GW_INTAN_AMORT_CF_INS" hidden="1" function="0" vbProcedure="0">"c1475"</definedName>
    <definedName name="IQ_GW_INTAN_AMORT_CF_REIT" hidden="1" function="0" vbProcedure="0">"c1476"</definedName>
    <definedName name="IQ_GW_INTAN_AMORT_CF_UTI" hidden="1" function="0" vbProcedure="0">"c1477"</definedName>
    <definedName name="IQ_GW_INTAN_AMORT_FIN" hidden="1" function="0" vbProcedure="0">"c1478"</definedName>
    <definedName name="IQ_GW_INTAN_AMORT_INS" hidden="1" function="0" vbProcedure="0">"c1479"</definedName>
    <definedName name="IQ_GW_INTAN_AMORT_REIT" hidden="1" function="0" vbProcedure="0">"c1480"</definedName>
    <definedName name="IQ_GW_INTAN_AMORT_UTI" hidden="1" function="0" vbProcedure="0">"c1481"</definedName>
    <definedName name="IQ_HIGHPRICE" hidden="1" function="0" vbProcedure="0">"c545"</definedName>
    <definedName name="IQ_HOMEOWNERS_WRITTEN" hidden="1" function="0" vbProcedure="0">"c546"</definedName>
    <definedName name="IQ_IMPAIRMENT_GW" hidden="1" function="0" vbProcedure="0">"c548"</definedName>
    <definedName name="IQ_IMPAIR_OIL" hidden="1" function="0" vbProcedure="0">"c547"</definedName>
    <definedName name="IQ_INC_AFTER_TAX" hidden="1" function="0" vbProcedure="0">"c1598"</definedName>
    <definedName name="IQ_INC_AVAIL_EXCL" hidden="1" function="0" vbProcedure="0">"c1395"</definedName>
    <definedName name="IQ_INC_AVAIL_INCL" hidden="1" function="0" vbProcedure="0">"c1396"</definedName>
    <definedName name="IQ_INC_BEFORE_TAX" hidden="1" function="0" vbProcedure="0">"c1375"</definedName>
    <definedName name="IQ_INC_EQUITY" hidden="1" function="0" vbProcedure="0">"c549"</definedName>
    <definedName name="IQ_INC_EQUITY_BR" hidden="1" function="0" vbProcedure="0">"c550"</definedName>
    <definedName name="IQ_INC_EQUITY_CF" hidden="1" function="0" vbProcedure="0">"c551"</definedName>
    <definedName name="IQ_INC_EQUITY_FIN" hidden="1" function="0" vbProcedure="0">"c552"</definedName>
    <definedName name="IQ_INC_EQUITY_INS" hidden="1" function="0" vbProcedure="0">"c553"</definedName>
    <definedName name="IQ_INC_EQUITY_REC_BNK" hidden="1" function="0" vbProcedure="0">"c554"</definedName>
    <definedName name="IQ_INC_EQUITY_REIT" hidden="1" function="0" vbProcedure="0">"c555"</definedName>
    <definedName name="IQ_INC_EQUITY_REV_BNK" hidden="1" function="0" vbProcedure="0">"c556"</definedName>
    <definedName name="IQ_INC_EQUITY_UTI" hidden="1" function="0" vbProcedure="0">"c557"</definedName>
    <definedName name="IQ_INC_REAL_ESTATE_REC" hidden="1" function="0" vbProcedure="0">"c558"</definedName>
    <definedName name="IQ_INC_REAL_ESTATE_REV" hidden="1" function="0" vbProcedure="0">"c559"</definedName>
    <definedName name="IQ_INC_TAX" hidden="1" function="0" vbProcedure="0">"c560"</definedName>
    <definedName name="IQ_INC_TAX_EXCL" hidden="1" function="0" vbProcedure="0">"c1599"</definedName>
    <definedName name="IQ_INC_TAX_PAY_CURRENT" hidden="1" function="0" vbProcedure="0">"c561"</definedName>
    <definedName name="IQ_INC_TRADE_ACT" hidden="1" function="0" vbProcedure="0">"c562"</definedName>
    <definedName name="IQ_INSIDER_3MTH_BOUGHT_PCT" hidden="1" function="0" vbProcedure="0">"c1534"</definedName>
    <definedName name="IQ_INSIDER_3MTH_NET_PCT" hidden="1" function="0" vbProcedure="0">"c1535"</definedName>
    <definedName name="IQ_INSIDER_3MTH_SOLD_PCT" hidden="1" function="0" vbProcedure="0">"c1533"</definedName>
    <definedName name="IQ_INSIDER_6MTH_BOUGHT_PCT" hidden="1" function="0" vbProcedure="0">"c1537"</definedName>
    <definedName name="IQ_INSIDER_6MTH_NET_PCT" hidden="1" function="0" vbProcedure="0">"c1538"</definedName>
    <definedName name="IQ_INSIDER_6MTH_SOLD_PCT" hidden="1" function="0" vbProcedure="0">"c1536"</definedName>
    <definedName name="IQ_INSIDER_OVER_TOTAL" hidden="1" function="0" vbProcedure="0">"c1581"</definedName>
    <definedName name="IQ_INSIDER_OWNER" hidden="1" function="0" vbProcedure="0">"c577"</definedName>
    <definedName name="IQ_INSIDER_PERCENT" hidden="1" function="0" vbProcedure="0">"c578"</definedName>
    <definedName name="IQ_INSIDER_SHARES" hidden="1" function="0" vbProcedure="0">"c579"</definedName>
    <definedName name="IQ_INSTITUTIONAL_OVER_TOTAL" hidden="1" function="0" vbProcedure="0">"c1580"</definedName>
    <definedName name="IQ_INSTITUTIONAL_OWNER" hidden="1" function="0" vbProcedure="0">"c580"</definedName>
    <definedName name="IQ_INSTITUTIONAL_PERCENT" hidden="1" function="0" vbProcedure="0">"c581"</definedName>
    <definedName name="IQ_INSTITUTIONAL_SHARES" hidden="1" function="0" vbProcedure="0">"c582"</definedName>
    <definedName name="IQ_INSUR_RECEIV" hidden="1" function="0" vbProcedure="0">"c1600"</definedName>
    <definedName name="IQ_INS_ANNUITY_LIAB" hidden="1" function="0" vbProcedure="0">"c563"</definedName>
    <definedName name="IQ_INS_DIV_EXP" hidden="1" function="0" vbProcedure="0">"c564"</definedName>
    <definedName name="IQ_INS_DIV_REV" hidden="1" function="0" vbProcedure="0">"c565"</definedName>
    <definedName name="IQ_INS_IN_FORCE" hidden="1" function="0" vbProcedure="0">"c566"</definedName>
    <definedName name="IQ_INS_LIAB" hidden="1" function="0" vbProcedure="0">"c567"</definedName>
    <definedName name="IQ_INS_POLICY_EXP" hidden="1" function="0" vbProcedure="0">"c568"</definedName>
    <definedName name="IQ_INS_REV" hidden="1" function="0" vbProcedure="0">"c569"</definedName>
    <definedName name="IQ_INS_SETTLE" hidden="1" function="0" vbProcedure="0">"c570"</definedName>
    <definedName name="IQ_INS_SETTLE_BNK" hidden="1" function="0" vbProcedure="0">"c571"</definedName>
    <definedName name="IQ_INS_SETTLE_BR" hidden="1" function="0" vbProcedure="0">"c572"</definedName>
    <definedName name="IQ_INS_SETTLE_FIN" hidden="1" function="0" vbProcedure="0">"c573"</definedName>
    <definedName name="IQ_INS_SETTLE_INS" hidden="1" function="0" vbProcedure="0">"c574"</definedName>
    <definedName name="IQ_INS_SETTLE_REIT" hidden="1" function="0" vbProcedure="0">"c575"</definedName>
    <definedName name="IQ_INS_SETTLE_UTI" hidden="1" function="0" vbProcedure="0">"c576"</definedName>
    <definedName name="IQ_INTANGIBLES_NET" hidden="1" function="0" vbProcedure="0">"c1407"</definedName>
    <definedName name="IQ_INTEREST_EXP" hidden="1" function="0" vbProcedure="0">"c618"</definedName>
    <definedName name="IQ_INTEREST_EXP_NET" hidden="1" function="0" vbProcedure="0">"c1450"</definedName>
    <definedName name="IQ_INTEREST_EXP_NON" hidden="1" function="0" vbProcedure="0">"c1383"</definedName>
    <definedName name="IQ_INTEREST_EXP_SUPPL" hidden="1" function="0" vbProcedure="0">"c1460"</definedName>
    <definedName name="IQ_INTEREST_INC" hidden="1" function="0" vbProcedure="0">"c1393"</definedName>
    <definedName name="IQ_INTEREST_INC_NON" hidden="1" function="0" vbProcedure="0">"c1384"</definedName>
    <definedName name="IQ_INTEREST_INVEST_INC" hidden="1" function="0" vbProcedure="0">"c619"</definedName>
    <definedName name="IQ_INT_BORROW" hidden="1" function="0" vbProcedure="0">"c583"</definedName>
    <definedName name="IQ_INT_DEPOSITS" hidden="1" function="0" vbProcedure="0">"c584"</definedName>
    <definedName name="IQ_INT_DIV_INC" hidden="1" function="0" vbProcedure="0">"c585"</definedName>
    <definedName name="IQ_INT_EXP_BR" hidden="1" function="0" vbProcedure="0">"c586"</definedName>
    <definedName name="IQ_INT_EXP_COVERAGE" hidden="1" function="0" vbProcedure="0">"c587"</definedName>
    <definedName name="IQ_INT_EXP_FIN" hidden="1" function="0" vbProcedure="0">"c588"</definedName>
    <definedName name="IQ_INT_EXP_INS" hidden="1" function="0" vbProcedure="0">"c589"</definedName>
    <definedName name="IQ_INT_EXP_LTD" hidden="1" function="0" vbProcedure="0">"c2086"</definedName>
    <definedName name="IQ_INT_EXP_REIT" hidden="1" function="0" vbProcedure="0">"c590"</definedName>
    <definedName name="IQ_INT_EXP_TOTAL" hidden="1" function="0" vbProcedure="0">"c591"</definedName>
    <definedName name="IQ_INT_EXP_UTI" hidden="1" function="0" vbProcedure="0">"c592"</definedName>
    <definedName name="IQ_INT_INC_BR" hidden="1" function="0" vbProcedure="0">"c593"</definedName>
    <definedName name="IQ_INT_INC_FIN" hidden="1" function="0" vbProcedure="0">"c594"</definedName>
    <definedName name="IQ_INT_INC_INVEST" hidden="1" function="0" vbProcedure="0">"c595"</definedName>
    <definedName name="IQ_INT_INC_LOANS" hidden="1" function="0" vbProcedure="0">"c596"</definedName>
    <definedName name="IQ_INT_INC_REIT" hidden="1" function="0" vbProcedure="0">"c597"</definedName>
    <definedName name="IQ_INT_INC_TOTAL" hidden="1" function="0" vbProcedure="0">"c598"</definedName>
    <definedName name="IQ_INT_INC_UTI" hidden="1" function="0" vbProcedure="0">"c599"</definedName>
    <definedName name="IQ_INT_INV_INC" hidden="1" function="0" vbProcedure="0">"c600"</definedName>
    <definedName name="IQ_INT_INV_INC_REIT" hidden="1" function="0" vbProcedure="0">"c601"</definedName>
    <definedName name="IQ_INT_INV_INC_UTI" hidden="1" function="0" vbProcedure="0">"c602"</definedName>
    <definedName name="IQ_INT_ON_BORROWING_COVERAGE" hidden="1" function="0" vbProcedure="0">"c603"</definedName>
    <definedName name="IQ_INT_RATE_SPREAD" hidden="1" function="0" vbProcedure="0">"c604"</definedName>
    <definedName name="IQ_INVENTORY" hidden="1" function="0" vbProcedure="0">"c622"</definedName>
    <definedName name="IQ_INVENTORY_TURNS" hidden="1" function="0" vbProcedure="0">"c623"</definedName>
    <definedName name="IQ_INVENTORY_UTI" hidden="1" function="0" vbProcedure="0">"c624"</definedName>
    <definedName name="IQ_INVEST_DEBT" hidden="1" function="0" vbProcedure="0">"c625"</definedName>
    <definedName name="IQ_INVEST_EQUITY_PREF" hidden="1" function="0" vbProcedure="0">"c626"</definedName>
    <definedName name="IQ_INVEST_FHLB" hidden="1" function="0" vbProcedure="0">"c627"</definedName>
    <definedName name="IQ_INVEST_LOANS_CF" hidden="1" function="0" vbProcedure="0">"c628"</definedName>
    <definedName name="IQ_INVEST_LOANS_CF_BNK" hidden="1" function="0" vbProcedure="0">"c629"</definedName>
    <definedName name="IQ_INVEST_LOANS_CF_BR" hidden="1" function="0" vbProcedure="0">"c630"</definedName>
    <definedName name="IQ_INVEST_LOANS_CF_FIN" hidden="1" function="0" vbProcedure="0">"c631"</definedName>
    <definedName name="IQ_INVEST_LOANS_CF_INS" hidden="1" function="0" vbProcedure="0">"c632"</definedName>
    <definedName name="IQ_INVEST_LOANS_CF_REIT" hidden="1" function="0" vbProcedure="0">"c633"</definedName>
    <definedName name="IQ_INVEST_LOANS_CF_UTI" hidden="1" function="0" vbProcedure="0">"c634"</definedName>
    <definedName name="IQ_INVEST_REAL_ESTATE" hidden="1" function="0" vbProcedure="0">"c635"</definedName>
    <definedName name="IQ_INVEST_SECURITY" hidden="1" function="0" vbProcedure="0">"c636"</definedName>
    <definedName name="IQ_INVEST_SECURITY_CF" hidden="1" function="0" vbProcedure="0">"c637"</definedName>
    <definedName name="IQ_INVEST_SECURITY_CF_BNK" hidden="1" function="0" vbProcedure="0">"c638"</definedName>
    <definedName name="IQ_INVEST_SECURITY_CF_BR" hidden="1" function="0" vbProcedure="0">"c639"</definedName>
    <definedName name="IQ_INVEST_SECURITY_CF_FIN" hidden="1" function="0" vbProcedure="0">"c640"</definedName>
    <definedName name="IQ_INVEST_SECURITY_CF_INS" hidden="1" function="0" vbProcedure="0">"c641"</definedName>
    <definedName name="IQ_INVEST_SECURITY_CF_REIT" hidden="1" function="0" vbProcedure="0">"c642"</definedName>
    <definedName name="IQ_INVEST_SECURITY_CF_UTI" hidden="1" function="0" vbProcedure="0">"c643"</definedName>
    <definedName name="IQ_INV_10YR_ANN_GROWTH" hidden="1" function="0" vbProcedure="0">"c1930"</definedName>
    <definedName name="IQ_INV_1YR_ANN_GROWTH" hidden="1" function="0" vbProcedure="0">"c1925"</definedName>
    <definedName name="IQ_INV_2YR_ANN_GROWTH" hidden="1" function="0" vbProcedure="0">"c1926"</definedName>
    <definedName name="IQ_INV_3YR_ANN_GROWTH" hidden="1" function="0" vbProcedure="0">"c1927"</definedName>
    <definedName name="IQ_INV_5YR_ANN_GROWTH" hidden="1" function="0" vbProcedure="0">"c1928"</definedName>
    <definedName name="IQ_INV_7YR_ANN_GROWTH" hidden="1" function="0" vbProcedure="0">"c1929"</definedName>
    <definedName name="IQ_INV_BANKING_FEE" hidden="1" function="0" vbProcedure="0">"c620"</definedName>
    <definedName name="IQ_INV_METHOD" hidden="1" function="0" vbProcedure="0">"c621"</definedName>
    <definedName name="IQ_IPRD" hidden="1" function="0" vbProcedure="0">"c644"</definedName>
    <definedName name="IQ_ISS_DEBT_NET" hidden="1" function="0" vbProcedure="0">"c1391"</definedName>
    <definedName name="IQ_ISS_STOCK_NET" hidden="1" function="0" vbProcedure="0">"c1601"</definedName>
    <definedName name="IQ_LAND" hidden="1" function="0" vbProcedure="0">"c645"</definedName>
    <definedName name="IQ_LASTSALEPRICE" hidden="1" function="0" vbProcedure="0">"c646"</definedName>
    <definedName name="IQ_LASTSALEPRICE_DATE" hidden="1" function="0" vbProcedure="0">"c2109"</definedName>
    <definedName name="IQ_LAST_SPLIT_DATE" hidden="1" function="0" vbProcedure="0">"c2095"</definedName>
    <definedName name="IQ_LAST_SPLIT_FACTOR" hidden="1" function="0" vbProcedure="0">"c2093"</definedName>
    <definedName name="IQ_LATESTK" hidden="1" function="0" vbProcedure="0">1000</definedName>
    <definedName name="IQ_LATESTQ" hidden="1" function="0" vbProcedure="0">500</definedName>
    <definedName name="IQ_LEGAL_SETTLE" hidden="1" function="0" vbProcedure="0">"c647"</definedName>
    <definedName name="IQ_LEGAL_SETTLE_BNK" hidden="1" function="0" vbProcedure="0">"c648"</definedName>
    <definedName name="IQ_LEGAL_SETTLE_BR" hidden="1" function="0" vbProcedure="0">"c649"</definedName>
    <definedName name="IQ_LEGAL_SETTLE_FIN" hidden="1" function="0" vbProcedure="0">"c650"</definedName>
    <definedName name="IQ_LEGAL_SETTLE_INS" hidden="1" function="0" vbProcedure="0">"c651"</definedName>
    <definedName name="IQ_LEGAL_SETTLE_REIT" hidden="1" function="0" vbProcedure="0">"c652"</definedName>
    <definedName name="IQ_LEGAL_SETTLE_UTI" hidden="1" function="0" vbProcedure="0">"c653"</definedName>
    <definedName name="IQ_LEVERAGE_RATIO" hidden="1" function="0" vbProcedure="0">"c654"</definedName>
    <definedName name="IQ_LEVERED_FCF" hidden="1" function="0" vbProcedure="0">"c1907"</definedName>
    <definedName name="IQ_LFCF_10YR_ANN_GROWTH" hidden="1" function="0" vbProcedure="0">"c1942"</definedName>
    <definedName name="IQ_LFCF_1YR_ANN_GROWTH" hidden="1" function="0" vbProcedure="0">"c1937"</definedName>
    <definedName name="IQ_LFCF_2YR_ANN_GROWTH" hidden="1" function="0" vbProcedure="0">"c1938"</definedName>
    <definedName name="IQ_LFCF_3YR_ANN_GROWTH" hidden="1" function="0" vbProcedure="0">"c1939"</definedName>
    <definedName name="IQ_LFCF_5YR_ANN_GROWTH" hidden="1" function="0" vbProcedure="0">"c1940"</definedName>
    <definedName name="IQ_LFCF_7YR_ANN_GROWTH" hidden="1" function="0" vbProcedure="0">"c1941"</definedName>
    <definedName name="IQ_LFCF_MARGIN" hidden="1" function="0" vbProcedure="0">"c1961"</definedName>
    <definedName name="IQ_LICENSED_POPS" hidden="1" function="0" vbProcedure="0">"c2123"</definedName>
    <definedName name="IQ_LIFOR" hidden="1" function="0" vbProcedure="0">"c655"</definedName>
    <definedName name="IQ_LL" hidden="1" function="0" vbProcedure="0">"c656"</definedName>
    <definedName name="IQ_LOANS_CF" hidden="1" function="0" vbProcedure="0">"c659"</definedName>
    <definedName name="IQ_LOANS_CF_BNK" hidden="1" function="0" vbProcedure="0">"c660"</definedName>
    <definedName name="IQ_LOANS_CF_BR" hidden="1" function="0" vbProcedure="0">"c661"</definedName>
    <definedName name="IQ_LOANS_CF_FIN" hidden="1" function="0" vbProcedure="0">"c662"</definedName>
    <definedName name="IQ_LOANS_CF_INS" hidden="1" function="0" vbProcedure="0">"c663"</definedName>
    <definedName name="IQ_LOANS_CF_REIT" hidden="1" function="0" vbProcedure="0">"c664"</definedName>
    <definedName name="IQ_LOANS_CF_UTI" hidden="1" function="0" vbProcedure="0">"c665"</definedName>
    <definedName name="IQ_LOANS_FOR_SALE" hidden="1" function="0" vbProcedure="0">"c666"</definedName>
    <definedName name="IQ_LOANS_PAST_DUE" hidden="1" function="0" vbProcedure="0">"c667"</definedName>
    <definedName name="IQ_LOANS_RECEIV_CURRENT" hidden="1" function="0" vbProcedure="0">"c668"</definedName>
    <definedName name="IQ_LOANS_RECEIV_LT" hidden="1" function="0" vbProcedure="0">"c669"</definedName>
    <definedName name="IQ_LOANS_RECEIV_LT_UTI" hidden="1" function="0" vbProcedure="0">"c670"</definedName>
    <definedName name="IQ_LOAN_LEASE_RECEIV" hidden="1" function="0" vbProcedure="0">"c657"</definedName>
    <definedName name="IQ_LOAN_LOSS" hidden="1" function="0" vbProcedure="0">"c1386"</definedName>
    <definedName name="IQ_LOAN_SERVICE_REV" hidden="1" function="0" vbProcedure="0">"c658"</definedName>
    <definedName name="IQ_LONG_TERM_DEBT" hidden="1" function="0" vbProcedure="0">"c1387"</definedName>
    <definedName name="IQ_LONG_TERM_DEBT_OVER_TOTAL_CAP" hidden="1" function="0" vbProcedure="0">"c1388"</definedName>
    <definedName name="IQ_LONG_TERM_GROWTH" hidden="1" function="0" vbProcedure="0">"c671"</definedName>
    <definedName name="IQ_LONG_TERM_INV" hidden="1" function="0" vbProcedure="0">"c1389"</definedName>
    <definedName name="IQ_LOSS_LOSS_EXP" hidden="1" function="0" vbProcedure="0">"c672"</definedName>
    <definedName name="IQ_LOWPRICE" hidden="1" function="0" vbProcedure="0">"c673"</definedName>
    <definedName name="IQ_LTD_DUE_AFTER_FIVE" hidden="1" function="0" vbProcedure="0">"c704"</definedName>
    <definedName name="IQ_LTD_DUE_CY" hidden="1" function="0" vbProcedure="0">"c705"</definedName>
    <definedName name="IQ_LTD_DUE_CY1" hidden="1" function="0" vbProcedure="0">"c706"</definedName>
    <definedName name="IQ_LTD_DUE_CY2" hidden="1" function="0" vbProcedure="0">"c707"</definedName>
    <definedName name="IQ_LTD_DUE_CY3" hidden="1" function="0" vbProcedure="0">"c708"</definedName>
    <definedName name="IQ_LTD_DUE_CY4" hidden="1" function="0" vbProcedure="0">"c709"</definedName>
    <definedName name="IQ_LTD_DUE_NEXT_FIVE" hidden="1" function="0" vbProcedure="0">"c710"</definedName>
    <definedName name="IQ_LTM" hidden="1" function="0" vbProcedure="0">2000</definedName>
    <definedName name="IQ_LTM_REVENUE_OVER_EMPLOYEES" hidden="1" function="0" vbProcedure="0">"c1437"</definedName>
    <definedName name="IQ_LT_DEBT" hidden="1" function="0" vbProcedure="0">"c674"</definedName>
    <definedName name="IQ_LT_DEBT_BNK" hidden="1" function="0" vbProcedure="0">"c675"</definedName>
    <definedName name="IQ_LT_DEBT_BR" hidden="1" function="0" vbProcedure="0">"c676"</definedName>
    <definedName name="IQ_LT_DEBT_CAPITAL" hidden="1" function="0" vbProcedure="0">"c677"</definedName>
    <definedName name="IQ_LT_DEBT_EQUITY" hidden="1" function="0" vbProcedure="0">"c678"</definedName>
    <definedName name="IQ_LT_DEBT_FIN" hidden="1" function="0" vbProcedure="0">"c679"</definedName>
    <definedName name="IQ_LT_DEBT_INS" hidden="1" function="0" vbProcedure="0">"c680"</definedName>
    <definedName name="IQ_LT_DEBT_ISSUED" hidden="1" function="0" vbProcedure="0">"c681"</definedName>
    <definedName name="IQ_LT_DEBT_ISSUED_BNK" hidden="1" function="0" vbProcedure="0">"c682"</definedName>
    <definedName name="IQ_LT_DEBT_ISSUED_BR" hidden="1" function="0" vbProcedure="0">"c683"</definedName>
    <definedName name="IQ_LT_DEBT_ISSUED_FIN" hidden="1" function="0" vbProcedure="0">"c684"</definedName>
    <definedName name="IQ_LT_DEBT_ISSUED_INS" hidden="1" function="0" vbProcedure="0">"c685"</definedName>
    <definedName name="IQ_LT_DEBT_ISSUED_REIT" hidden="1" function="0" vbProcedure="0">"c686"</definedName>
    <definedName name="IQ_LT_DEBT_ISSUED_UTI" hidden="1" function="0" vbProcedure="0">"c687"</definedName>
    <definedName name="IQ_LT_DEBT_REIT" hidden="1" function="0" vbProcedure="0">"c688"</definedName>
    <definedName name="IQ_LT_DEBT_REPAID" hidden="1" function="0" vbProcedure="0">"c689"</definedName>
    <definedName name="IQ_LT_DEBT_REPAID_BNK" hidden="1" function="0" vbProcedure="0">"c690"</definedName>
    <definedName name="IQ_LT_DEBT_REPAID_BR" hidden="1" function="0" vbProcedure="0">"c691"</definedName>
    <definedName name="IQ_LT_DEBT_REPAID_FIN" hidden="1" function="0" vbProcedure="0">"c692"</definedName>
    <definedName name="IQ_LT_DEBT_REPAID_INS" hidden="1" function="0" vbProcedure="0">"c693"</definedName>
    <definedName name="IQ_LT_DEBT_REPAID_REIT" hidden="1" function="0" vbProcedure="0">"c694"</definedName>
    <definedName name="IQ_LT_DEBT_REPAID_UTI" hidden="1" function="0" vbProcedure="0">"c695"</definedName>
    <definedName name="IQ_LT_DEBT_UTI" hidden="1" function="0" vbProcedure="0">"c696"</definedName>
    <definedName name="IQ_LT_INVEST" hidden="1" function="0" vbProcedure="0">"c697"</definedName>
    <definedName name="IQ_LT_INVEST_BR" hidden="1" function="0" vbProcedure="0">"c698"</definedName>
    <definedName name="IQ_LT_INVEST_FIN" hidden="1" function="0" vbProcedure="0">"c699"</definedName>
    <definedName name="IQ_LT_INVEST_REIT" hidden="1" function="0" vbProcedure="0">"c700"</definedName>
    <definedName name="IQ_LT_INVEST_UTI" hidden="1" function="0" vbProcedure="0">"c701"</definedName>
    <definedName name="IQ_LT_NOTE_RECEIV" hidden="1" function="0" vbProcedure="0">"c1602"</definedName>
    <definedName name="IQ_MACHINERY" hidden="1" function="0" vbProcedure="0">"c711"</definedName>
    <definedName name="IQ_MAINT_REPAIR" hidden="1" function="0" vbProcedure="0">"c2087"</definedName>
    <definedName name="IQ_MARKETCAP" hidden="1" function="0" vbProcedure="0">"c712"</definedName>
    <definedName name="IQ_MERGER" hidden="1" function="0" vbProcedure="0">"c713"</definedName>
    <definedName name="IQ_MERGER_BNK" hidden="1" function="0" vbProcedure="0">"c714"</definedName>
    <definedName name="IQ_MERGER_BR" hidden="1" function="0" vbProcedure="0">"c715"</definedName>
    <definedName name="IQ_MERGER_FIN" hidden="1" function="0" vbProcedure="0">"c716"</definedName>
    <definedName name="IQ_MERGER_INS" hidden="1" function="0" vbProcedure="0">"c717"</definedName>
    <definedName name="IQ_MERGER_REIT" hidden="1" function="0" vbProcedure="0">"c718"</definedName>
    <definedName name="IQ_MERGER_RESTRUCTURE" hidden="1" function="0" vbProcedure="0">"c719"</definedName>
    <definedName name="IQ_MERGER_RESTRUCTURE_BNK" hidden="1" function="0" vbProcedure="0">"c720"</definedName>
    <definedName name="IQ_MERGER_RESTRUCTURE_BR" hidden="1" function="0" vbProcedure="0">"c721"</definedName>
    <definedName name="IQ_MERGER_RESTRUCTURE_FIN" hidden="1" function="0" vbProcedure="0">"c722"</definedName>
    <definedName name="IQ_MERGER_RESTRUCTURE_INS" hidden="1" function="0" vbProcedure="0">"c723"</definedName>
    <definedName name="IQ_MERGER_RESTRUCTURE_REIT" hidden="1" function="0" vbProcedure="0">"c724"</definedName>
    <definedName name="IQ_MERGER_RESTRUCTURE_UTI" hidden="1" function="0" vbProcedure="0">"c725"</definedName>
    <definedName name="IQ_MERGER_UTI" hidden="1" function="0" vbProcedure="0">"c726"</definedName>
    <definedName name="IQ_MINORITY_INTEREST" hidden="1" function="0" vbProcedure="0">"c727"</definedName>
    <definedName name="IQ_MINORITY_INTEREST_BNK" hidden="1" function="0" vbProcedure="0">"c728"</definedName>
    <definedName name="IQ_MINORITY_INTEREST_BR" hidden="1" function="0" vbProcedure="0">"c729"</definedName>
    <definedName name="IQ_MINORITY_INTEREST_CF" hidden="1" function="0" vbProcedure="0">"c730"</definedName>
    <definedName name="IQ_MINORITY_INTEREST_FIN" hidden="1" function="0" vbProcedure="0">"c731"</definedName>
    <definedName name="IQ_MINORITY_INTEREST_INS" hidden="1" function="0" vbProcedure="0">"c732"</definedName>
    <definedName name="IQ_MINORITY_INTEREST_IS" hidden="1" function="0" vbProcedure="0">"c733"</definedName>
    <definedName name="IQ_MINORITY_INTEREST_REIT" hidden="1" function="0" vbProcedure="0">"c734"</definedName>
    <definedName name="IQ_MINORITY_INTEREST_TOTAL" hidden="1" function="0" vbProcedure="0">"c1905"</definedName>
    <definedName name="IQ_MINORITY_INTEREST_UTI" hidden="1" function="0" vbProcedure="0">"c735"</definedName>
    <definedName name="IQ_MISC_ADJUST_CF" hidden="1" function="0" vbProcedure="0">"c736"</definedName>
    <definedName name="IQ_MISC_EARN_ADJ" hidden="1" function="0" vbProcedure="0">"c1603"</definedName>
    <definedName name="IQ_MKTCAP_EBT_EXCL" hidden="1" function="0" vbProcedure="0">"c737"</definedName>
    <definedName name="IQ_MKTCAP_EBT_EXCL_AVG" hidden="1" function="0" vbProcedure="0">"c738"</definedName>
    <definedName name="IQ_MKTCAP_EBT_INCL_AVG" hidden="1" function="0" vbProcedure="0">"c739"</definedName>
    <definedName name="IQ_MKTCAP_TOTAL_REV" hidden="1" function="0" vbProcedure="0">"c740"</definedName>
    <definedName name="IQ_MKTCAP_TOTAL_REV_AVG" hidden="1" function="0" vbProcedure="0">"c741"</definedName>
    <definedName name="IQ_MM_ACCOUNT" hidden="1" function="0" vbProcedure="0">"c743"</definedName>
    <definedName name="IQ_MORT_BANKING_FEE" hidden="1" function="0" vbProcedure="0">"c745"</definedName>
    <definedName name="IQ_MORT_BANK_ACT" hidden="1" function="0" vbProcedure="0">"c744"</definedName>
    <definedName name="IQ_MORT_INT_INC" hidden="1" function="0" vbProcedure="0">"c746"</definedName>
    <definedName name="IQ_MORT_LOANS" hidden="1" function="0" vbProcedure="0">"c747"</definedName>
    <definedName name="IQ_MORT_SECURITY" hidden="1" function="0" vbProcedure="0">"c748"</definedName>
    <definedName name="IQ_NET_CHANGE" hidden="1" function="0" vbProcedure="0">"c749"</definedName>
    <definedName name="IQ_NET_DEBT" hidden="1" function="0" vbProcedure="0">"c1584"</definedName>
    <definedName name="IQ_NET_DEBT_EBITDA" hidden="1" function="0" vbProcedure="0">"c750"</definedName>
    <definedName name="IQ_NET_DEBT_ISSUED" hidden="1" function="0" vbProcedure="0">"c751"</definedName>
    <definedName name="IQ_NET_DEBT_ISSUED_BNK" hidden="1" function="0" vbProcedure="0">"c752"</definedName>
    <definedName name="IQ_NET_DEBT_ISSUED_BR" hidden="1" function="0" vbProcedure="0">"c753"</definedName>
    <definedName name="IQ_NET_DEBT_ISSUED_FIN" hidden="1" function="0" vbProcedure="0">"c754"</definedName>
    <definedName name="IQ_NET_DEBT_ISSUED_INS" hidden="1" function="0" vbProcedure="0">"c755"</definedName>
    <definedName name="IQ_NET_DEBT_ISSUED_REIT" hidden="1" function="0" vbProcedure="0">"c756"</definedName>
    <definedName name="IQ_NET_DEBT_ISSUED_UTI" hidden="1" function="0" vbProcedure="0">"c757"</definedName>
    <definedName name="IQ_NET_INC" hidden="1" function="0" vbProcedure="0">"c1394"</definedName>
    <definedName name="IQ_NET_INC_BEFORE" hidden="1" function="0" vbProcedure="0">"c1368"</definedName>
    <definedName name="IQ_NET_INC_CF" hidden="1" function="0" vbProcedure="0">"c1397"</definedName>
    <definedName name="IQ_NET_INC_MARGIN" hidden="1" function="0" vbProcedure="0">"c1398"</definedName>
    <definedName name="IQ_NET_INTEREST_EXP" hidden="1" function="0" vbProcedure="0">"c769"</definedName>
    <definedName name="IQ_NET_INTEREST_EXP_REIT" hidden="1" function="0" vbProcedure="0">"c770"</definedName>
    <definedName name="IQ_NET_INTEREST_EXP_UTI" hidden="1" function="0" vbProcedure="0">"c771"</definedName>
    <definedName name="IQ_NET_INTEREST_INC" hidden="1" function="0" vbProcedure="0">"c1392"</definedName>
    <definedName name="IQ_NET_INTEREST_INC_AFTER_LL" hidden="1" function="0" vbProcedure="0">"c1604"</definedName>
    <definedName name="IQ_NET_INT_INC_10YR_ANN_GROWTH" hidden="1" function="0" vbProcedure="0">"c758"</definedName>
    <definedName name="IQ_NET_INT_INC_1YR_ANN_GROWTH" hidden="1" function="0" vbProcedure="0">"c759"</definedName>
    <definedName name="IQ_NET_INT_INC_2YR_ANN_GROWTH" hidden="1" function="0" vbProcedure="0">"c760"</definedName>
    <definedName name="IQ_NET_INT_INC_3YR_ANN_GROWTH" hidden="1" function="0" vbProcedure="0">"c761"</definedName>
    <definedName name="IQ_NET_INT_INC_5YR_ANN_GROWTH" hidden="1" function="0" vbProcedure="0">"c762"</definedName>
    <definedName name="IQ_NET_INT_INC_7YR_ANN_GROWTH" hidden="1" function="0" vbProcedure="0">"c763"</definedName>
    <definedName name="IQ_NET_INT_INC_BNK" hidden="1" function="0" vbProcedure="0">"c764"</definedName>
    <definedName name="IQ_NET_INT_INC_BR" hidden="1" function="0" vbProcedure="0">"c765"</definedName>
    <definedName name="IQ_NET_INT_INC_FIN" hidden="1" function="0" vbProcedure="0">"c766"</definedName>
    <definedName name="IQ_NET_INT_INC_TOTAL_REV" hidden="1" function="0" vbProcedure="0">"c767"</definedName>
    <definedName name="IQ_NET_INT_MARGIN" hidden="1" function="0" vbProcedure="0">"c768"</definedName>
    <definedName name="IQ_NET_LOANS" hidden="1" function="0" vbProcedure="0">"c772"</definedName>
    <definedName name="IQ_NET_LOANS_10YR_ANN_GROWTH" hidden="1" function="0" vbProcedure="0">"c773"</definedName>
    <definedName name="IQ_NET_LOANS_1YR_ANN_GROWTH" hidden="1" function="0" vbProcedure="0">"c774"</definedName>
    <definedName name="IQ_NET_LOANS_2YR_ANN_GROWTH" hidden="1" function="0" vbProcedure="0">"c775"</definedName>
    <definedName name="IQ_NET_LOANS_3YR_ANN_GROWTH" hidden="1" function="0" vbProcedure="0">"c776"</definedName>
    <definedName name="IQ_NET_LOANS_5YR_ANN_GROWTH" hidden="1" function="0" vbProcedure="0">"c777"</definedName>
    <definedName name="IQ_NET_LOANS_7YR_ANN_GROWTH" hidden="1" function="0" vbProcedure="0">"c778"</definedName>
    <definedName name="IQ_NET_LOANS_TOTAL_DEPOSITS" hidden="1" function="0" vbProcedure="0">"c779"</definedName>
    <definedName name="IQ_NET_RENTAL_EXP_FN" hidden="1" function="0" vbProcedure="0">"c780"</definedName>
    <definedName name="IQ_NI" hidden="1" function="0" vbProcedure="0">"c781"</definedName>
    <definedName name="IQ_NI_10YR_ANN_GROWTH" hidden="1" function="0" vbProcedure="0">"c782"</definedName>
    <definedName name="IQ_NI_1YR_ANN_GROWTH" hidden="1" function="0" vbProcedure="0">"c783"</definedName>
    <definedName name="IQ_NI_2YR_ANN_GROWTH" hidden="1" function="0" vbProcedure="0">"c784"</definedName>
    <definedName name="IQ_NI_3YR_ANN_GROWTH" hidden="1" function="0" vbProcedure="0">"c785"</definedName>
    <definedName name="IQ_NI_5YR_ANN_GROWTH" hidden="1" function="0" vbProcedure="0">"c786"</definedName>
    <definedName name="IQ_NI_7YR_ANN_GROWTH" hidden="1" function="0" vbProcedure="0">"c787"</definedName>
    <definedName name="IQ_NI_AFTER_CAPITALIZED" hidden="1" function="0" vbProcedure="0">"c788"</definedName>
    <definedName name="IQ_NI_AVAIL_EXCL" hidden="1" function="0" vbProcedure="0">"c789"</definedName>
    <definedName name="IQ_NI_AVAIL_EXCL_MARGIN" hidden="1" function="0" vbProcedure="0">"c790"</definedName>
    <definedName name="IQ_NI_AVAIL_INCL" hidden="1" function="0" vbProcedure="0">"c791"</definedName>
    <definedName name="IQ_NI_BEFORE_CAPITALIZED" hidden="1" function="0" vbProcedure="0">"c792"</definedName>
    <definedName name="IQ_NI_CF" hidden="1" function="0" vbProcedure="0">"c793"</definedName>
    <definedName name="IQ_NI_MARGIN" hidden="1" function="0" vbProcedure="0">"c794"</definedName>
    <definedName name="IQ_NI_NORM" hidden="1" function="0" vbProcedure="0">"c1901"</definedName>
    <definedName name="IQ_NI_NORM_10YR_ANN_GROWTH" hidden="1" function="0" vbProcedure="0">"c1960"</definedName>
    <definedName name="IQ_NI_NORM_1YR_ANN_GROWTH" hidden="1" function="0" vbProcedure="0">"c1955"</definedName>
    <definedName name="IQ_NI_NORM_2YR_ANN_GROWTH" hidden="1" function="0" vbProcedure="0">"c1956"</definedName>
    <definedName name="IQ_NI_NORM_3YR_ANN_GROWTH" hidden="1" function="0" vbProcedure="0">"c1957"</definedName>
    <definedName name="IQ_NI_NORM_5YR_ANN_GROWTH" hidden="1" function="0" vbProcedure="0">"c1958"</definedName>
    <definedName name="IQ_NI_NORM_7YR_ANN_GROWTH" hidden="1" function="0" vbProcedure="0">"c1959"</definedName>
    <definedName name="IQ_NI_NORM_MARGIN" hidden="1" function="0" vbProcedure="0">"c1964"</definedName>
    <definedName name="IQ_NI_SFAS" hidden="1" function="0" vbProcedure="0">"c795"</definedName>
    <definedName name="IQ_NONUTIL_REV" hidden="1" function="0" vbProcedure="0">"c2089"</definedName>
    <definedName name="IQ_NON_ACCRUAL_LOANS" hidden="1" function="0" vbProcedure="0">"c796"</definedName>
    <definedName name="IQ_NON_CASH" hidden="1" function="0" vbProcedure="0">"c1399"</definedName>
    <definedName name="IQ_NON_CASH_ITEMS" hidden="1" function="0" vbProcedure="0">"c797"</definedName>
    <definedName name="IQ_NON_INS_EXP" hidden="1" function="0" vbProcedure="0">"c798"</definedName>
    <definedName name="IQ_NON_INS_REV" hidden="1" function="0" vbProcedure="0">"c799"</definedName>
    <definedName name="IQ_NON_INTEREST_EXP" hidden="1" function="0" vbProcedure="0">"c1400"</definedName>
    <definedName name="IQ_NON_INTEREST_INC" hidden="1" function="0" vbProcedure="0">"c1401"</definedName>
    <definedName name="IQ_NON_INT_BEAR_CD" hidden="1" function="0" vbProcedure="0">"c800"</definedName>
    <definedName name="IQ_NON_INT_EXP" hidden="1" function="0" vbProcedure="0">"c801"</definedName>
    <definedName name="IQ_NON_INT_INC" hidden="1" function="0" vbProcedure="0">"c802"</definedName>
    <definedName name="IQ_NON_INT_INC_10YR_ANN_GROWTH" hidden="1" function="0" vbProcedure="0">"c803"</definedName>
    <definedName name="IQ_NON_INT_INC_1YR_ANN_GROWTH" hidden="1" function="0" vbProcedure="0">"c804"</definedName>
    <definedName name="IQ_NON_INT_INC_2YR_ANN_GROWTH" hidden="1" function="0" vbProcedure="0">"c805"</definedName>
    <definedName name="IQ_NON_INT_INC_3YR_ANN_GROWTH" hidden="1" function="0" vbProcedure="0">"c806"</definedName>
    <definedName name="IQ_NON_INT_INC_5YR_ANN_GROWTH" hidden="1" function="0" vbProcedure="0">"c807"</definedName>
    <definedName name="IQ_NON_INT_INC_7YR_ANN_GROWTH" hidden="1" function="0" vbProcedure="0">"c808"</definedName>
    <definedName name="IQ_NON_OPER_EXP" hidden="1" function="0" vbProcedure="0">"c809"</definedName>
    <definedName name="IQ_NON_OPER_INC" hidden="1" function="0" vbProcedure="0">"c810"</definedName>
    <definedName name="IQ_NON_PERFORMING_ASSETS" hidden="1" function="0" vbProcedure="0">"c826"</definedName>
    <definedName name="IQ_NON_PERFORMING_LOANS" hidden="1" function="0" vbProcedure="0">"c827"</definedName>
    <definedName name="IQ_NON_PERF_ASSETS_10YR_ANN_GROWTH" hidden="1" function="0" vbProcedure="0">"c811"</definedName>
    <definedName name="IQ_NON_PERF_ASSETS_1YR_ANN_GROWTH" hidden="1" function="0" vbProcedure="0">"c812"</definedName>
    <definedName name="IQ_NON_PERF_ASSETS_2YR_ANN_GROWTH" hidden="1" function="0" vbProcedure="0">"c813"</definedName>
    <definedName name="IQ_NON_PERF_ASSETS_3YR_ANN_GROWTH" hidden="1" function="0" vbProcedure="0">"c814"</definedName>
    <definedName name="IQ_NON_PERF_ASSETS_5YR_ANN_GROWTH" hidden="1" function="0" vbProcedure="0">"c815"</definedName>
    <definedName name="IQ_NON_PERF_ASSETS_7YR_ANN_GROWTH" hidden="1" function="0" vbProcedure="0">"c816"</definedName>
    <definedName name="IQ_NON_PERF_ASSETS_TOTAL_ASSETS" hidden="1" function="0" vbProcedure="0">"c817"</definedName>
    <definedName name="IQ_NON_PERF_LOANS_10YR_ANN_GROWTH" hidden="1" function="0" vbProcedure="0">"c818"</definedName>
    <definedName name="IQ_NON_PERF_LOANS_1YR_ANN_GROWTH" hidden="1" function="0" vbProcedure="0">"c819"</definedName>
    <definedName name="IQ_NON_PERF_LOANS_2YR_ANN_GROWTH" hidden="1" function="0" vbProcedure="0">"c820"</definedName>
    <definedName name="IQ_NON_PERF_LOANS_3YR_ANN_GROWTH" hidden="1" function="0" vbProcedure="0">"c821"</definedName>
    <definedName name="IQ_NON_PERF_LOANS_5YR_ANN_GROWTH" hidden="1" function="0" vbProcedure="0">"c822"</definedName>
    <definedName name="IQ_NON_PERF_LOANS_7YR_ANN_GROWTH" hidden="1" function="0" vbProcedure="0">"c823"</definedName>
    <definedName name="IQ_NON_PERF_LOANS_TOTAL_ASSETS" hidden="1" function="0" vbProcedure="0">"c824"</definedName>
    <definedName name="IQ_NON_PERF_LOANS_TOTAL_LOANS" hidden="1" function="0" vbProcedure="0">"c825"</definedName>
    <definedName name="IQ_NORMAL_INC_AFTER" hidden="1" function="0" vbProcedure="0">"c1605"</definedName>
    <definedName name="IQ_NORMAL_INC_AVAIL" hidden="1" function="0" vbProcedure="0">"c1606"</definedName>
    <definedName name="IQ_NORMAL_INC_BEFORE" hidden="1" function="0" vbProcedure="0">"c1607"</definedName>
    <definedName name="IQ_NOTES_PAY" hidden="1" function="0" vbProcedure="0">"c1423"</definedName>
    <definedName name="IQ_NOW_ACCOUNT" hidden="1" function="0" vbProcedure="0">"c828"</definedName>
    <definedName name="IQ_NPPE" hidden="1" function="0" vbProcedure="0">"c829"</definedName>
    <definedName name="IQ_NPPE_10YR_ANN_GROWTH" hidden="1" function="0" vbProcedure="0">"c830"</definedName>
    <definedName name="IQ_NPPE_1YR_ANN_GROWTH" hidden="1" function="0" vbProcedure="0">"c831"</definedName>
    <definedName name="IQ_NPPE_2YR_ANN_GROWTH" hidden="1" function="0" vbProcedure="0">"c832"</definedName>
    <definedName name="IQ_NPPE_3YR_ANN_GROWTH" hidden="1" function="0" vbProcedure="0">"c833"</definedName>
    <definedName name="IQ_NPPE_5YR_ANN_GROWTH" hidden="1" function="0" vbProcedure="0">"c834"</definedName>
    <definedName name="IQ_NPPE_7YR_ANN_GROWTH" hidden="1" function="0" vbProcedure="0">"c835"</definedName>
    <definedName name="IQ_NTM" hidden="1" function="0" vbProcedure="0">6000</definedName>
    <definedName name="IQ_NUKE" hidden="1" function="0" vbProcedure="0">"c836"</definedName>
    <definedName name="IQ_NUKE_CF" hidden="1" function="0" vbProcedure="0">"c837"</definedName>
    <definedName name="IQ_NUKE_CONTR" hidden="1" function="0" vbProcedure="0">"c838"</definedName>
    <definedName name="IQ_NUMBER_ADRHOLDERS" hidden="1" function="0" vbProcedure="0">"c1970"</definedName>
    <definedName name="IQ_NUMBER_DAYS" hidden="1" function="0" vbProcedure="0">"c1904"</definedName>
    <definedName name="IQ_NUMBER_SHAREHOLDERS" hidden="1" function="0" vbProcedure="0">"c1967"</definedName>
    <definedName name="IQ_NUMBER_SHAREHOLDERS_CLASSA" hidden="1" function="0" vbProcedure="0">"c1968"</definedName>
    <definedName name="IQ_NUMBER_SHAREHOLDERS_OTHER" hidden="1" function="0" vbProcedure="0">"c1969"</definedName>
    <definedName name="IQ_NUM_BRANCHES" hidden="1" function="0" vbProcedure="0">"c2088"</definedName>
    <definedName name="IQ_OCCUPY_EXP" hidden="1" function="0" vbProcedure="0">"c839"</definedName>
    <definedName name="IQ_OG_10DISC" hidden="1" function="0" vbProcedure="0">"c1998"</definedName>
    <definedName name="IQ_OG_10DISC_GAS" hidden="1" function="0" vbProcedure="0">"c2018"</definedName>
    <definedName name="IQ_OG_10DISC_OIL" hidden="1" function="0" vbProcedure="0">"c2008"</definedName>
    <definedName name="IQ_OG_ACQ_COST_PROVED" hidden="1" function="0" vbProcedure="0">"c1975"</definedName>
    <definedName name="IQ_OG_ACQ_COST_PROVED_GAS" hidden="1" function="0" vbProcedure="0">"c1987"</definedName>
    <definedName name="IQ_OG_ACQ_COST_PROVED_OIL" hidden="1" function="0" vbProcedure="0">"c1981"</definedName>
    <definedName name="IQ_OG_ACQ_COST_UNPROVED" hidden="1" function="0" vbProcedure="0">"c1976"</definedName>
    <definedName name="IQ_OG_ACQ_COST_UNPROVED_GAS" hidden="1" function="0" vbProcedure="0">"c1988"</definedName>
    <definedName name="IQ_OG_ACQ_COST_UNPROVED_OIL" hidden="1" function="0" vbProcedure="0">"c1982"</definedName>
    <definedName name="IQ_OG_CLOSE_BALANCE_GAS" hidden="1" function="0" vbProcedure="0">"c2049"</definedName>
    <definedName name="IQ_OG_CLOSE_BALANCE_OIL" hidden="1" function="0" vbProcedure="0">"c2037"</definedName>
    <definedName name="IQ_OG_DCF_BEFORE_TAXES" hidden="1" function="0" vbProcedure="0">"c2023"</definedName>
    <definedName name="IQ_OG_DCF_BEFORE_TAXES_GAS" hidden="1" function="0" vbProcedure="0">"c2025"</definedName>
    <definedName name="IQ_OG_DCF_BEFORE_TAXES_OIL" hidden="1" function="0" vbProcedure="0">"c2024"</definedName>
    <definedName name="IQ_OG_DEVELOPED_RESERVES_GAS" hidden="1" function="0" vbProcedure="0">"c2053"</definedName>
    <definedName name="IQ_OG_DEVELOPED_RESERVES_OIL" hidden="1" function="0" vbProcedure="0">"c2054"</definedName>
    <definedName name="IQ_OG_DEVELOPMENT_COSTS" hidden="1" function="0" vbProcedure="0">"c1978"</definedName>
    <definedName name="IQ_OG_DEVELOPMENT_COSTS_GAS" hidden="1" function="0" vbProcedure="0">"c1990"</definedName>
    <definedName name="IQ_OG_DEVELOPMENT_COSTS_OIL" hidden="1" function="0" vbProcedure="0">"c1984"</definedName>
    <definedName name="IQ_OG_EQUITY_DCF" hidden="1" function="0" vbProcedure="0">"c2002"</definedName>
    <definedName name="IQ_OG_EQUITY_DCF_GAS" hidden="1" function="0" vbProcedure="0">"c2022"</definedName>
    <definedName name="IQ_OG_EQUITY_DCF_OIL" hidden="1" function="0" vbProcedure="0">"c2012"</definedName>
    <definedName name="IQ_OG_EQUTY_RESERVES_GAS" hidden="1" function="0" vbProcedure="0">"c2050"</definedName>
    <definedName name="IQ_OG_EQUTY_RESERVES_OIL" hidden="1" function="0" vbProcedure="0">"c2038"</definedName>
    <definedName name="IQ_OG_EXPLORATION_COSTS" hidden="1" function="0" vbProcedure="0">"c1977"</definedName>
    <definedName name="IQ_OG_EXPLORATION_COSTS_GAS" hidden="1" function="0" vbProcedure="0">"c1989"</definedName>
    <definedName name="IQ_OG_EXPLORATION_COSTS_OIL" hidden="1" function="0" vbProcedure="0">"c1983"</definedName>
    <definedName name="IQ_OG_EXT_DISC_GAS" hidden="1" function="0" vbProcedure="0">"c2043"</definedName>
    <definedName name="IQ_OG_EXT_DISC_OIL" hidden="1" function="0" vbProcedure="0">"c2031"</definedName>
    <definedName name="IQ_OG_FUTURE_CASH_INFLOWS" hidden="1" function="0" vbProcedure="0">"c1993"</definedName>
    <definedName name="IQ_OG_FUTURE_CASH_INFLOWS_GAS" hidden="1" function="0" vbProcedure="0">"c2013"</definedName>
    <definedName name="IQ_OG_FUTURE_CASH_INFLOWS_OIL" hidden="1" function="0" vbProcedure="0">"c2003"</definedName>
    <definedName name="IQ_OG_FUTURE_DEVELOPMENT_COSTS" hidden="1" function="0" vbProcedure="0">"c1995"</definedName>
    <definedName name="IQ_OG_FUTURE_DEVELOPMENT_COSTS_GAS" hidden="1" function="0" vbProcedure="0">"c2015"</definedName>
    <definedName name="IQ_OG_FUTURE_DEVELOPMENT_COSTS_OIL" hidden="1" function="0" vbProcedure="0">"c2005"</definedName>
    <definedName name="IQ_OG_FUTURE_INC_TAXES" hidden="1" function="0" vbProcedure="0">"c1997"</definedName>
    <definedName name="IQ_OG_FUTURE_INC_TAXES_GAS" hidden="1" function="0" vbProcedure="0">"c2017"</definedName>
    <definedName name="IQ_OG_FUTURE_INC_TAXES_OIL" hidden="1" function="0" vbProcedure="0">"c2007"</definedName>
    <definedName name="IQ_OG_FUTURE_PRODUCTION_COSTS" hidden="1" function="0" vbProcedure="0">"c1994"</definedName>
    <definedName name="IQ_OG_FUTURE_PRODUCTION_COSTS_GAS" hidden="1" function="0" vbProcedure="0">"c2014"</definedName>
    <definedName name="IQ_OG_FUTURE_PRODUCTION_COSTS_OIL" hidden="1" function="0" vbProcedure="0">"c2004"</definedName>
    <definedName name="IQ_OG_GAS_PRICE_HEDGED" hidden="1" function="0" vbProcedure="0">"c2056"</definedName>
    <definedName name="IQ_OG_GAS_PRICE_UNHEDGED" hidden="1" function="0" vbProcedure="0">"c2058"</definedName>
    <definedName name="IQ_OG_IMPROVED_RECOVERY_GAS" hidden="1" function="0" vbProcedure="0">"c2044"</definedName>
    <definedName name="IQ_OG_IMPROVED_RECOVERY_OIL" hidden="1" function="0" vbProcedure="0">"c2032"</definedName>
    <definedName name="IQ_OG_NET_FUTURE_CASH_FLOWS" hidden="1" function="0" vbProcedure="0">"c1996"</definedName>
    <definedName name="IQ_OG_NET_FUTURE_CASH_FLOWS_GAS" hidden="1" function="0" vbProcedure="0">"c2016"</definedName>
    <definedName name="IQ_OG_NET_FUTURE_CASH_FLOWS_OIL" hidden="1" function="0" vbProcedure="0">"c2006"</definedName>
    <definedName name="IQ_OG_OIL_PRICE_HEDGED" hidden="1" function="0" vbProcedure="0">"c2055"</definedName>
    <definedName name="IQ_OG_OIL_PRICE_UNHEDGED" hidden="1" function="0" vbProcedure="0">"c2057"</definedName>
    <definedName name="IQ_OG_OPEN_BALANCE_GAS" hidden="1" function="0" vbProcedure="0">"c2041"</definedName>
    <definedName name="IQ_OG_OPEN_BALANCE_OIL" hidden="1" function="0" vbProcedure="0">"c2029"</definedName>
    <definedName name="IQ_OG_OTHER_ADJ_FCF" hidden="1" function="0" vbProcedure="0">"c1999"</definedName>
    <definedName name="IQ_OG_OTHER_ADJ_FCF_GAS" hidden="1" function="0" vbProcedure="0">"c2019"</definedName>
    <definedName name="IQ_OG_OTHER_ADJ_FCF_OIL" hidden="1" function="0" vbProcedure="0">"c2009"</definedName>
    <definedName name="IQ_OG_OTHER_ADJ_GAS" hidden="1" function="0" vbProcedure="0">"c2048"</definedName>
    <definedName name="IQ_OG_OTHER_ADJ_OIL" hidden="1" function="0" vbProcedure="0">"c2036"</definedName>
    <definedName name="IQ_OG_OTHER_COSTS" hidden="1" function="0" vbProcedure="0">"c1979"</definedName>
    <definedName name="IQ_OG_OTHER_COSTS_GAS" hidden="1" function="0" vbProcedure="0">"c1991"</definedName>
    <definedName name="IQ_OG_OTHER_COSTS_OIL" hidden="1" function="0" vbProcedure="0">"c1985"</definedName>
    <definedName name="IQ_OG_PRODUCTION_GAS" hidden="1" function="0" vbProcedure="0">"c2047"</definedName>
    <definedName name="IQ_OG_PRODUCTION_OIL" hidden="1" function="0" vbProcedure="0">"c2035"</definedName>
    <definedName name="IQ_OG_PURCHASES_GAS" hidden="1" function="0" vbProcedure="0">"c2045"</definedName>
    <definedName name="IQ_OG_PURCHASES_OIL" hidden="1" function="0" vbProcedure="0">"c2033"</definedName>
    <definedName name="IQ_OG_REVISIONS_GAS" hidden="1" function="0" vbProcedure="0">"c2042"</definedName>
    <definedName name="IQ_OG_REVISIONS_OIL" hidden="1" function="0" vbProcedure="0">"c2030"</definedName>
    <definedName name="IQ_OG_SALES_IN_PLACE_GAS" hidden="1" function="0" vbProcedure="0">"c2046"</definedName>
    <definedName name="IQ_OG_SALES_IN_PLACE_OIL" hidden="1" function="0" vbProcedure="0">"c2034"</definedName>
    <definedName name="IQ_OG_STANDARDIZED_DCF" hidden="1" function="0" vbProcedure="0">"c2000"</definedName>
    <definedName name="IQ_OG_STANDARDIZED_DCF_GAS" hidden="1" function="0" vbProcedure="0">"c2020"</definedName>
    <definedName name="IQ_OG_STANDARDIZED_DCF_HEDGED" hidden="1" function="0" vbProcedure="0">"c2001"</definedName>
    <definedName name="IQ_OG_STANDARDIZED_DCF_HEDGED_GAS" hidden="1" function="0" vbProcedure="0">"c2021"</definedName>
    <definedName name="IQ_OG_STANDARDIZED_DCF_HEDGED_OIL" hidden="1" function="0" vbProcedure="0">"c2011"</definedName>
    <definedName name="IQ_OG_STANDARDIZED_DCF_OIL" hidden="1" function="0" vbProcedure="0">"c2010"</definedName>
    <definedName name="IQ_OG_TAXES" hidden="1" function="0" vbProcedure="0">"c2026"</definedName>
    <definedName name="IQ_OG_TAXES_GAS" hidden="1" function="0" vbProcedure="0">"c2028"</definedName>
    <definedName name="IQ_OG_TAXES_OIL" hidden="1" function="0" vbProcedure="0">"c2027"</definedName>
    <definedName name="IQ_OG_TOTAL_COSTS" hidden="1" function="0" vbProcedure="0">"c1980"</definedName>
    <definedName name="IQ_OG_TOTAL_COSTS_GAS" hidden="1" function="0" vbProcedure="0">"c1992"</definedName>
    <definedName name="IQ_OG_TOTAL_COSTS_OIL" hidden="1" function="0" vbProcedure="0">"c1986"</definedName>
    <definedName name="IQ_OG_TOTAL_EST_PROVED_RESERVES_GAS" hidden="1" function="0" vbProcedure="0">"c2052"</definedName>
    <definedName name="IQ_OG_TOTAL_GAS_PRODUCTION" hidden="1" function="0" vbProcedure="0">"c2060"</definedName>
    <definedName name="IQ_OG_TOTAL_OIL_PRODUCTON" hidden="1" function="0" vbProcedure="0">"c2059"</definedName>
    <definedName name="IQ_OG_UNDEVELOPED_RESERVES_GAS" hidden="1" function="0" vbProcedure="0">"c2051"</definedName>
    <definedName name="IQ_OG_UNDEVELOPED_RESERVES_OIL" hidden="1" function="0" vbProcedure="0">"c2039"</definedName>
    <definedName name="IQ_OIL_IMPAIR" hidden="1" function="0" vbProcedure="0">"c840"</definedName>
    <definedName name="IQ_OL_COMM_AFTER_FIVE" hidden="1" function="0" vbProcedure="0">"c841"</definedName>
    <definedName name="IQ_OL_COMM_CY" hidden="1" function="0" vbProcedure="0">"c842"</definedName>
    <definedName name="IQ_OL_COMM_CY1" hidden="1" function="0" vbProcedure="0">"c843"</definedName>
    <definedName name="IQ_OL_COMM_CY2" hidden="1" function="0" vbProcedure="0">"c844"</definedName>
    <definedName name="IQ_OL_COMM_CY3" hidden="1" function="0" vbProcedure="0">"c845"</definedName>
    <definedName name="IQ_OL_COMM_CY4" hidden="1" function="0" vbProcedure="0">"c846"</definedName>
    <definedName name="IQ_OL_COMM_NEXT_FIVE" hidden="1" function="0" vbProcedure="0">"c847"</definedName>
    <definedName name="IQ_OPENPRICE" hidden="1" function="0" vbProcedure="0">"c848"</definedName>
    <definedName name="IQ_OPERATIONS_EXP" hidden="1" function="0" vbProcedure="0">"c855"</definedName>
    <definedName name="IQ_OPER_INC" hidden="1" function="0" vbProcedure="0">"c849"</definedName>
    <definedName name="IQ_OPER_INC_BR" hidden="1" function="0" vbProcedure="0">"c850"</definedName>
    <definedName name="IQ_OPER_INC_FIN" hidden="1" function="0" vbProcedure="0">"c851"</definedName>
    <definedName name="IQ_OPER_INC_INS" hidden="1" function="0" vbProcedure="0">"c852"</definedName>
    <definedName name="IQ_OPER_INC_MARGIN" hidden="1" function="0" vbProcedure="0">"c1448"</definedName>
    <definedName name="IQ_OPER_INC_REIT" hidden="1" function="0" vbProcedure="0">"c853"</definedName>
    <definedName name="IQ_OPER_INC_UTI" hidden="1" function="0" vbProcedure="0">"c854"</definedName>
    <definedName name="IQ_OPTIONS_BEG_OS" hidden="1" function="0" vbProcedure="0">"c1572"</definedName>
    <definedName name="IQ_OPTIONS_CANCELLED" hidden="1" function="0" vbProcedure="0">"c856"</definedName>
    <definedName name="IQ_OPTIONS_END_OS" hidden="1" function="0" vbProcedure="0">"c1573"</definedName>
    <definedName name="IQ_OPTIONS_EXERCISED" hidden="1" function="0" vbProcedure="0">"c2116"</definedName>
    <definedName name="IQ_OPTIONS_ISSUED" hidden="1" function="0" vbProcedure="0">"c857"</definedName>
    <definedName name="IQ_ORDER_BACKLOG" hidden="1" function="0" vbProcedure="0">"c2090"</definedName>
    <definedName name="IQ_OTHER_ADJUST_GROSS_LOANS" hidden="1" function="0" vbProcedure="0">"c859"</definedName>
    <definedName name="IQ_OTHER_ASSETS" hidden="1" function="0" vbProcedure="0">"c860"</definedName>
    <definedName name="IQ_OTHER_ASSETS_BNK" hidden="1" function="0" vbProcedure="0">"c861"</definedName>
    <definedName name="IQ_OTHER_ASSETS_BR" hidden="1" function="0" vbProcedure="0">"c862"</definedName>
    <definedName name="IQ_OTHER_ASSETS_FIN" hidden="1" function="0" vbProcedure="0">"c863"</definedName>
    <definedName name="IQ_OTHER_ASSETS_INS" hidden="1" function="0" vbProcedure="0">"c864"</definedName>
    <definedName name="IQ_OTHER_ASSETS_REIT" hidden="1" function="0" vbProcedure="0">"c865"</definedName>
    <definedName name="IQ_OTHER_ASSETS_UTI" hidden="1" function="0" vbProcedure="0">"c866"</definedName>
    <definedName name="IQ_OTHER_BEARING_LIAB" hidden="1" function="0" vbProcedure="0">"c1608"</definedName>
    <definedName name="IQ_OTHER_BENEFITS_OBLIGATION" hidden="1" function="0" vbProcedure="0">"c867"</definedName>
    <definedName name="IQ_OTHER_CA" hidden="1" function="0" vbProcedure="0">"c868"</definedName>
    <definedName name="IQ_OTHER_CA_SUPPL" hidden="1" function="0" vbProcedure="0">"c869"</definedName>
    <definedName name="IQ_OTHER_CA_SUPPL_BNK" hidden="1" function="0" vbProcedure="0">"c870"</definedName>
    <definedName name="IQ_OTHER_CA_SUPPL_BR" hidden="1" function="0" vbProcedure="0">"c871"</definedName>
    <definedName name="IQ_OTHER_CA_SUPPL_FIN" hidden="1" function="0" vbProcedure="0">"c872"</definedName>
    <definedName name="IQ_OTHER_CA_SUPPL_INS" hidden="1" function="0" vbProcedure="0">"c873"</definedName>
    <definedName name="IQ_OTHER_CA_SUPPL_REIT" hidden="1" function="0" vbProcedure="0">"c874"</definedName>
    <definedName name="IQ_OTHER_CA_SUPPL_UTI" hidden="1" function="0" vbProcedure="0">"c875"</definedName>
    <definedName name="IQ_OTHER_CA_UTI" hidden="1" function="0" vbProcedure="0">"c876"</definedName>
    <definedName name="IQ_OTHER_CL" hidden="1" function="0" vbProcedure="0">"c877"</definedName>
    <definedName name="IQ_OTHER_CL_SUPPL" hidden="1" function="0" vbProcedure="0">"c878"</definedName>
    <definedName name="IQ_OTHER_CL_SUPPL_BNK" hidden="1" function="0" vbProcedure="0">"c879"</definedName>
    <definedName name="IQ_OTHER_CL_SUPPL_BR" hidden="1" function="0" vbProcedure="0">"c880"</definedName>
    <definedName name="IQ_OTHER_CL_SUPPL_FIN" hidden="1" function="0" vbProcedure="0">"c881"</definedName>
    <definedName name="IQ_OTHER_CL_SUPPL_REIT" hidden="1" function="0" vbProcedure="0">"c882"</definedName>
    <definedName name="IQ_OTHER_CL_SUPPL_UTI" hidden="1" function="0" vbProcedure="0">"c883"</definedName>
    <definedName name="IQ_OTHER_CL_UTI" hidden="1" function="0" vbProcedure="0">"c884"</definedName>
    <definedName name="IQ_OTHER_CURRENT_ASSETS" hidden="1" function="0" vbProcedure="0">"c1403"</definedName>
    <definedName name="IQ_OTHER_CURRENT_LIAB" hidden="1" function="0" vbProcedure="0">"c1404"</definedName>
    <definedName name="IQ_OTHER_DEP" hidden="1" function="0" vbProcedure="0">"c885"</definedName>
    <definedName name="IQ_OTHER_EARNING" hidden="1" function="0" vbProcedure="0">"c1609"</definedName>
    <definedName name="IQ_OTHER_EQUITY" hidden="1" function="0" vbProcedure="0">"c886"</definedName>
    <definedName name="IQ_OTHER_EQUITY_BNK" hidden="1" function="0" vbProcedure="0">"c887"</definedName>
    <definedName name="IQ_OTHER_EQUITY_BR" hidden="1" function="0" vbProcedure="0">"c888"</definedName>
    <definedName name="IQ_OTHER_EQUITY_FIN" hidden="1" function="0" vbProcedure="0">"c889"</definedName>
    <definedName name="IQ_OTHER_EQUITY_INS" hidden="1" function="0" vbProcedure="0">"c890"</definedName>
    <definedName name="IQ_OTHER_EQUITY_REIT" hidden="1" function="0" vbProcedure="0">"c891"</definedName>
    <definedName name="IQ_OTHER_EQUITY_UTI" hidden="1" function="0" vbProcedure="0">"c892"</definedName>
    <definedName name="IQ_OTHER_FINANCE_ACT" hidden="1" function="0" vbProcedure="0">"c893"</definedName>
    <definedName name="IQ_OTHER_FINANCE_ACT_BNK" hidden="1" function="0" vbProcedure="0">"c894"</definedName>
    <definedName name="IQ_OTHER_FINANCE_ACT_BR" hidden="1" function="0" vbProcedure="0">"c895"</definedName>
    <definedName name="IQ_OTHER_FINANCE_ACT_FIN" hidden="1" function="0" vbProcedure="0">"c896"</definedName>
    <definedName name="IQ_OTHER_FINANCE_ACT_INS" hidden="1" function="0" vbProcedure="0">"c897"</definedName>
    <definedName name="IQ_OTHER_FINANCE_ACT_REIT" hidden="1" function="0" vbProcedure="0">"c898"</definedName>
    <definedName name="IQ_OTHER_FINANCE_ACT_SUPPL" hidden="1" function="0" vbProcedure="0">"c899"</definedName>
    <definedName name="IQ_OTHER_FINANCE_ACT_SUPPL_BNK" hidden="1" function="0" vbProcedure="0">"c900"</definedName>
    <definedName name="IQ_OTHER_FINANCE_ACT_SUPPL_BR" hidden="1" function="0" vbProcedure="0">"c901"</definedName>
    <definedName name="IQ_OTHER_FINANCE_ACT_SUPPL_FIN" hidden="1" function="0" vbProcedure="0">"c902"</definedName>
    <definedName name="IQ_OTHER_FINANCE_ACT_SUPPL_INS" hidden="1" function="0" vbProcedure="0">"c903"</definedName>
    <definedName name="IQ_OTHER_FINANCE_ACT_SUPPL_REIT" hidden="1" function="0" vbProcedure="0">"c904"</definedName>
    <definedName name="IQ_OTHER_FINANCE_ACT_SUPPL_UTI" hidden="1" function="0" vbProcedure="0">"c905"</definedName>
    <definedName name="IQ_OTHER_FINANCE_ACT_UTI" hidden="1" function="0" vbProcedure="0">"c906"</definedName>
    <definedName name="IQ_OTHER_INTAN" hidden="1" function="0" vbProcedure="0">"c907"</definedName>
    <definedName name="IQ_OTHER_INTAN_BNK" hidden="1" function="0" vbProcedure="0">"c908"</definedName>
    <definedName name="IQ_OTHER_INTAN_BR" hidden="1" function="0" vbProcedure="0">"c909"</definedName>
    <definedName name="IQ_OTHER_INTAN_FIN" hidden="1" function="0" vbProcedure="0">"c910"</definedName>
    <definedName name="IQ_OTHER_INTAN_INS" hidden="1" function="0" vbProcedure="0">"c911"</definedName>
    <definedName name="IQ_OTHER_INTAN_REIT" hidden="1" function="0" vbProcedure="0">"c912"</definedName>
    <definedName name="IQ_OTHER_INTAN_UTI" hidden="1" function="0" vbProcedure="0">"c913"</definedName>
    <definedName name="IQ_OTHER_INV" hidden="1" function="0" vbProcedure="0">"c914"</definedName>
    <definedName name="IQ_OTHER_INVEST" hidden="1" function="0" vbProcedure="0">"c915"</definedName>
    <definedName name="IQ_OTHER_INVESTING" hidden="1" function="0" vbProcedure="0">"c1408"</definedName>
    <definedName name="IQ_OTHER_INVEST_ACT" hidden="1" function="0" vbProcedure="0">"c916"</definedName>
    <definedName name="IQ_OTHER_INVEST_ACT_BNK" hidden="1" function="0" vbProcedure="0">"c917"</definedName>
    <definedName name="IQ_OTHER_INVEST_ACT_BR" hidden="1" function="0" vbProcedure="0">"c918"</definedName>
    <definedName name="IQ_OTHER_INVEST_ACT_FIN" hidden="1" function="0" vbProcedure="0">"c919"</definedName>
    <definedName name="IQ_OTHER_INVEST_ACT_INS" hidden="1" function="0" vbProcedure="0">"c920"</definedName>
    <definedName name="IQ_OTHER_INVEST_ACT_REIT" hidden="1" function="0" vbProcedure="0">"c921"</definedName>
    <definedName name="IQ_OTHER_INVEST_ACT_SUPPL" hidden="1" function="0" vbProcedure="0">"c922"</definedName>
    <definedName name="IQ_OTHER_INVEST_ACT_SUPPL_BNK" hidden="1" function="0" vbProcedure="0">"c923"</definedName>
    <definedName name="IQ_OTHER_INVEST_ACT_SUPPL_BR" hidden="1" function="0" vbProcedure="0">"c924"</definedName>
    <definedName name="IQ_OTHER_INVEST_ACT_SUPPL_FIN" hidden="1" function="0" vbProcedure="0">"c925"</definedName>
    <definedName name="IQ_OTHER_INVEST_ACT_SUPPL_INS" hidden="1" function="0" vbProcedure="0">"c926"</definedName>
    <definedName name="IQ_OTHER_INVEST_ACT_SUPPL_REIT" hidden="1" function="0" vbProcedure="0">"c927"</definedName>
    <definedName name="IQ_OTHER_INVEST_ACT_SUPPL_UTI" hidden="1" function="0" vbProcedure="0">"c928"</definedName>
    <definedName name="IQ_OTHER_INVEST_ACT_UTI" hidden="1" function="0" vbProcedure="0">"c929"</definedName>
    <definedName name="IQ_OTHER_LIAB" hidden="1" function="0" vbProcedure="0">"c930"</definedName>
    <definedName name="IQ_OTHER_LIAB_BNK" hidden="1" function="0" vbProcedure="0">"c931"</definedName>
    <definedName name="IQ_OTHER_LIAB_BR" hidden="1" function="0" vbProcedure="0">"c932"</definedName>
    <definedName name="IQ_OTHER_LIAB_FIN" hidden="1" function="0" vbProcedure="0">"c933"</definedName>
    <definedName name="IQ_OTHER_LIAB_INS" hidden="1" function="0" vbProcedure="0">"c934"</definedName>
    <definedName name="IQ_OTHER_LIAB_LT" hidden="1" function="0" vbProcedure="0">"c935"</definedName>
    <definedName name="IQ_OTHER_LIAB_LT_BNK" hidden="1" function="0" vbProcedure="0">"c936"</definedName>
    <definedName name="IQ_OTHER_LIAB_LT_BR" hidden="1" function="0" vbProcedure="0">"c937"</definedName>
    <definedName name="IQ_OTHER_LIAB_LT_FIN" hidden="1" function="0" vbProcedure="0">"c938"</definedName>
    <definedName name="IQ_OTHER_LIAB_LT_INS" hidden="1" function="0" vbProcedure="0">"c939"</definedName>
    <definedName name="IQ_OTHER_LIAB_LT_REIT" hidden="1" function="0" vbProcedure="0">"c940"</definedName>
    <definedName name="IQ_OTHER_LIAB_LT_UTI" hidden="1" function="0" vbProcedure="0">"c941"</definedName>
    <definedName name="IQ_OTHER_LIAB_REIT" hidden="1" function="0" vbProcedure="0">"c942"</definedName>
    <definedName name="IQ_OTHER_LIAB_UTI" hidden="1" function="0" vbProcedure="0">"c943"</definedName>
    <definedName name="IQ_OTHER_LIAB_WRITTEN" hidden="1" function="0" vbProcedure="0">"c944"</definedName>
    <definedName name="IQ_OTHER_LOANS" hidden="1" function="0" vbProcedure="0">"c945"</definedName>
    <definedName name="IQ_OTHER_LONG_TERM" hidden="1" function="0" vbProcedure="0">"c1409"</definedName>
    <definedName name="IQ_OTHER_LT_ASSETS" hidden="1" function="0" vbProcedure="0">"c946"</definedName>
    <definedName name="IQ_OTHER_LT_ASSETS_BNK" hidden="1" function="0" vbProcedure="0">"c947"</definedName>
    <definedName name="IQ_OTHER_LT_ASSETS_BR" hidden="1" function="0" vbProcedure="0">"c948"</definedName>
    <definedName name="IQ_OTHER_LT_ASSETS_FIN" hidden="1" function="0" vbProcedure="0">"c949"</definedName>
    <definedName name="IQ_OTHER_LT_ASSETS_INS" hidden="1" function="0" vbProcedure="0">"c950"</definedName>
    <definedName name="IQ_OTHER_LT_ASSETS_REIT" hidden="1" function="0" vbProcedure="0">"c951"</definedName>
    <definedName name="IQ_OTHER_LT_ASSETS_UTI" hidden="1" function="0" vbProcedure="0">"c952"</definedName>
    <definedName name="IQ_OTHER_NET" hidden="1" function="0" vbProcedure="0">"c1453"</definedName>
    <definedName name="IQ_OTHER_NON_INT_EXP" hidden="1" function="0" vbProcedure="0">"c953"</definedName>
    <definedName name="IQ_OTHER_NON_INT_EXP_TOTAL" hidden="1" function="0" vbProcedure="0">"c954"</definedName>
    <definedName name="IQ_OTHER_NON_INT_INC" hidden="1" function="0" vbProcedure="0">"c955"</definedName>
    <definedName name="IQ_OTHER_NON_OPER_EXP" hidden="1" function="0" vbProcedure="0">"c956"</definedName>
    <definedName name="IQ_OTHER_NON_OPER_EXP_BR" hidden="1" function="0" vbProcedure="0">"c957"</definedName>
    <definedName name="IQ_OTHER_NON_OPER_EXP_FIN" hidden="1" function="0" vbProcedure="0">"c958"</definedName>
    <definedName name="IQ_OTHER_NON_OPER_EXP_INS" hidden="1" function="0" vbProcedure="0">"c959"</definedName>
    <definedName name="IQ_OTHER_NON_OPER_EXP_REIT" hidden="1" function="0" vbProcedure="0">"c960"</definedName>
    <definedName name="IQ_OTHER_NON_OPER_EXP_SUPPL" hidden="1" function="0" vbProcedure="0">"c961"</definedName>
    <definedName name="IQ_OTHER_NON_OPER_EXP_SUPPL_BR" hidden="1" function="0" vbProcedure="0">"c962"</definedName>
    <definedName name="IQ_OTHER_NON_OPER_EXP_SUPPL_FIN" hidden="1" function="0" vbProcedure="0">"c963"</definedName>
    <definedName name="IQ_OTHER_NON_OPER_EXP_SUPPL_INS" hidden="1" function="0" vbProcedure="0">"c964"</definedName>
    <definedName name="IQ_OTHER_NON_OPER_EXP_SUPPL_REIT" hidden="1" function="0" vbProcedure="0">"c965"</definedName>
    <definedName name="IQ_OTHER_NON_OPER_EXP_SUPPL_UTI" hidden="1" function="0" vbProcedure="0">"c966"</definedName>
    <definedName name="IQ_OTHER_NON_OPER_EXP_UTI" hidden="1" function="0" vbProcedure="0">"c967"</definedName>
    <definedName name="IQ_OTHER_OPER" hidden="1" function="0" vbProcedure="0">"c982"</definedName>
    <definedName name="IQ_OTHER_OPER_ACT" hidden="1" function="0" vbProcedure="0">"c983"</definedName>
    <definedName name="IQ_OTHER_OPER_ACT_BNK" hidden="1" function="0" vbProcedure="0">"c984"</definedName>
    <definedName name="IQ_OTHER_OPER_ACT_BR" hidden="1" function="0" vbProcedure="0">"c985"</definedName>
    <definedName name="IQ_OTHER_OPER_ACT_FIN" hidden="1" function="0" vbProcedure="0">"c986"</definedName>
    <definedName name="IQ_OTHER_OPER_ACT_INS" hidden="1" function="0" vbProcedure="0">"c987"</definedName>
    <definedName name="IQ_OTHER_OPER_ACT_REIT" hidden="1" function="0" vbProcedure="0">"c988"</definedName>
    <definedName name="IQ_OTHER_OPER_ACT_UTI" hidden="1" function="0" vbProcedure="0">"c989"</definedName>
    <definedName name="IQ_OTHER_OPER_BR" hidden="1" function="0" vbProcedure="0">"c990"</definedName>
    <definedName name="IQ_OTHER_OPER_FIN" hidden="1" function="0" vbProcedure="0">"c991"</definedName>
    <definedName name="IQ_OTHER_OPER_INS" hidden="1" function="0" vbProcedure="0">"c992"</definedName>
    <definedName name="IQ_OTHER_OPER_REIT" hidden="1" function="0" vbProcedure="0">"c993"</definedName>
    <definedName name="IQ_OTHER_OPER_SUPPL_BR" hidden="1" function="0" vbProcedure="0">"c994"</definedName>
    <definedName name="IQ_OTHER_OPER_SUPPL_FIN" hidden="1" function="0" vbProcedure="0">"c995"</definedName>
    <definedName name="IQ_OTHER_OPER_SUPPL_INS" hidden="1" function="0" vbProcedure="0">"c996"</definedName>
    <definedName name="IQ_OTHER_OPER_SUPPL_REIT" hidden="1" function="0" vbProcedure="0">"c997"</definedName>
    <definedName name="IQ_OTHER_OPER_SUPPL_UTI" hidden="1" function="0" vbProcedure="0">"c998"</definedName>
    <definedName name="IQ_OTHER_OPER_TOT_BNK" hidden="1" function="0" vbProcedure="0">"c999"</definedName>
    <definedName name="IQ_OTHER_OPER_TOT_BR" hidden="1" function="0" vbProcedure="0">"c1000"</definedName>
    <definedName name="IQ_OTHER_OPER_TOT_FIN" hidden="1" function="0" vbProcedure="0">"c1001"</definedName>
    <definedName name="IQ_OTHER_OPER_TOT_INS" hidden="1" function="0" vbProcedure="0">"c1002"</definedName>
    <definedName name="IQ_OTHER_OPER_TOT_REIT" hidden="1" function="0" vbProcedure="0">"c1003"</definedName>
    <definedName name="IQ_OTHER_OPER_TOT_UTI" hidden="1" function="0" vbProcedure="0">"c1004"</definedName>
    <definedName name="IQ_OTHER_OPER_UTI" hidden="1" function="0" vbProcedure="0">"c1005"</definedName>
    <definedName name="IQ_OTHER_OUTSTANDING_BS_DATE" hidden="1" function="0" vbProcedure="0">"c1972"</definedName>
    <definedName name="IQ_OTHER_OUTSTANDING_FILING_DATE" hidden="1" function="0" vbProcedure="0">"c1974"</definedName>
    <definedName name="IQ_OTHER_PC_WRITTEN" hidden="1" function="0" vbProcedure="0">"c1006"</definedName>
    <definedName name="IQ_OTHER_REAL_ESTATE" hidden="1" function="0" vbProcedure="0">"c1007"</definedName>
    <definedName name="IQ_OTHER_RECEIV" hidden="1" function="0" vbProcedure="0">"c1008"</definedName>
    <definedName name="IQ_OTHER_RECEIV_INS" hidden="1" function="0" vbProcedure="0">"c1009"</definedName>
    <definedName name="IQ_OTHER_REV" hidden="1" function="0" vbProcedure="0">"c1010"</definedName>
    <definedName name="IQ_OTHER_REVENUE" hidden="1" function="0" vbProcedure="0">"c1410"</definedName>
    <definedName name="IQ_OTHER_REV_BR" hidden="1" function="0" vbProcedure="0">"c1011"</definedName>
    <definedName name="IQ_OTHER_REV_FIN" hidden="1" function="0" vbProcedure="0">"c1012"</definedName>
    <definedName name="IQ_OTHER_REV_INS" hidden="1" function="0" vbProcedure="0">"c1013"</definedName>
    <definedName name="IQ_OTHER_REV_REIT" hidden="1" function="0" vbProcedure="0">"c1014"</definedName>
    <definedName name="IQ_OTHER_REV_SUPPL" hidden="1" function="0" vbProcedure="0">"c1015"</definedName>
    <definedName name="IQ_OTHER_REV_SUPPL_BR" hidden="1" function="0" vbProcedure="0">"c1016"</definedName>
    <definedName name="IQ_OTHER_REV_SUPPL_FIN" hidden="1" function="0" vbProcedure="0">"c1017"</definedName>
    <definedName name="IQ_OTHER_REV_SUPPL_INS" hidden="1" function="0" vbProcedure="0">"c1018"</definedName>
    <definedName name="IQ_OTHER_REV_SUPPL_REIT" hidden="1" function="0" vbProcedure="0">"c1019"</definedName>
    <definedName name="IQ_OTHER_REV_SUPPL_UTI" hidden="1" function="0" vbProcedure="0">"c1020"</definedName>
    <definedName name="IQ_OTHER_REV_UTI" hidden="1" function="0" vbProcedure="0">"c1021"</definedName>
    <definedName name="IQ_OTHER_UNUSUAL" hidden="1" function="0" vbProcedure="0">"c1488"</definedName>
    <definedName name="IQ_OTHER_UNUSUAL_BNK" hidden="1" function="0" vbProcedure="0">"c1560"</definedName>
    <definedName name="IQ_OTHER_UNUSUAL_BR" hidden="1" function="0" vbProcedure="0">"c1561"</definedName>
    <definedName name="IQ_OTHER_UNUSUAL_FIN" hidden="1" function="0" vbProcedure="0">"c1562"</definedName>
    <definedName name="IQ_OTHER_UNUSUAL_INS" hidden="1" function="0" vbProcedure="0">"c1563"</definedName>
    <definedName name="IQ_OTHER_UNUSUAL_REIT" hidden="1" function="0" vbProcedure="0">"c1564"</definedName>
    <definedName name="IQ_OTHER_UNUSUAL_SUPPL" hidden="1" function="0" vbProcedure="0">"c1494"</definedName>
    <definedName name="IQ_OTHER_UNUSUAL_SUPPL_BNK" hidden="1" function="0" vbProcedure="0">"c1495"</definedName>
    <definedName name="IQ_OTHER_UNUSUAL_SUPPL_BR" hidden="1" function="0" vbProcedure="0">"c1496"</definedName>
    <definedName name="IQ_OTHER_UNUSUAL_SUPPL_FIN" hidden="1" function="0" vbProcedure="0">"c1497"</definedName>
    <definedName name="IQ_OTHER_UNUSUAL_SUPPL_INS" hidden="1" function="0" vbProcedure="0">"c1498"</definedName>
    <definedName name="IQ_OTHER_UNUSUAL_SUPPL_REIT" hidden="1" function="0" vbProcedure="0">"c1499"</definedName>
    <definedName name="IQ_OTHER_UNUSUAL_SUPPL_UTI" hidden="1" function="0" vbProcedure="0">"c1500"</definedName>
    <definedName name="IQ_OTHER_UNUSUAL_UTI" hidden="1" function="0" vbProcedure="0">"c1565"</definedName>
    <definedName name="IQ_OUTSTANDING_BS_DATE" hidden="1" function="0" vbProcedure="0">"c2128"</definedName>
    <definedName name="IQ_OUTSTANDING_FILING_DATE" hidden="1" function="0" vbProcedure="0">"c2127"</definedName>
    <definedName name="IQ_PART_TIME" hidden="1" function="0" vbProcedure="0">"c1024"</definedName>
    <definedName name="IQ_PAYOUT_RATIO" hidden="1" function="0" vbProcedure="0">"c1900"</definedName>
    <definedName name="IQ_PAY_ACCRUED" hidden="1" function="0" vbProcedure="0">"c1457"</definedName>
    <definedName name="IQ_PBV" hidden="1" function="0" vbProcedure="0">"c1025"</definedName>
    <definedName name="IQ_PBV_AVG" hidden="1" function="0" vbProcedure="0">"c1026"</definedName>
    <definedName name="IQ_PC_WRITTEN" hidden="1" function="0" vbProcedure="0">"c1027"</definedName>
    <definedName name="IQ_PENSION" hidden="1" function="0" vbProcedure="0">"c1031"</definedName>
    <definedName name="IQ_PERIODDATE" hidden="1" function="0" vbProcedure="0">"c1414"</definedName>
    <definedName name="IQ_PERIODDATE_BS" hidden="1" function="0" vbProcedure="0">"c1032"</definedName>
    <definedName name="IQ_PERIODDATE_CF" hidden="1" function="0" vbProcedure="0">"c1033"</definedName>
    <definedName name="IQ_PERIODDATE_IS" hidden="1" function="0" vbProcedure="0">"c1034"</definedName>
    <definedName name="IQ_PERIODLENGTH_CF" hidden="1" function="0" vbProcedure="0">"c1502"</definedName>
    <definedName name="IQ_PERIODLENGTH_IS" hidden="1" function="0" vbProcedure="0">"c1503"</definedName>
    <definedName name="IQ_PERTYPE" hidden="1" function="0" vbProcedure="0">"c1611"</definedName>
    <definedName name="IQ_PE_EXCL" hidden="1" function="0" vbProcedure="0">"c1028"</definedName>
    <definedName name="IQ_PE_EXCL_AVG" hidden="1" function="0" vbProcedure="0">"c1029"</definedName>
    <definedName name="IQ_PE_EXCL_FWD" hidden="1" function="0" vbProcedure="0">"c1030"</definedName>
    <definedName name="IQ_PE_RATIO" hidden="1" function="0" vbProcedure="0">"c1610"</definedName>
    <definedName name="IQ_PLL" hidden="1" function="0" vbProcedure="0">"c2114"</definedName>
    <definedName name="IQ_POLICY_BENEFITS" hidden="1" function="0" vbProcedure="0">"c1036"</definedName>
    <definedName name="IQ_POLICY_COST" hidden="1" function="0" vbProcedure="0">"c1037"</definedName>
    <definedName name="IQ_POLICY_LIAB" hidden="1" function="0" vbProcedure="0">"c1612"</definedName>
    <definedName name="IQ_POLICY_LOANS" hidden="1" function="0" vbProcedure="0">"c1038"</definedName>
    <definedName name="IQ_POSTPAID_CHURN" hidden="1" function="0" vbProcedure="0">"c2121"</definedName>
    <definedName name="IQ_POSTPAID_SUBS" hidden="1" function="0" vbProcedure="0">"c2118"</definedName>
    <definedName name="IQ_POST_RETIRE_EXP" hidden="1" function="0" vbProcedure="0">"c1039"</definedName>
    <definedName name="IQ_PREF_CONVERT" hidden="1" function="0" vbProcedure="0">"c1041"</definedName>
    <definedName name="IQ_PREF_DIVID" hidden="1" function="0" vbProcedure="0">"c1461"</definedName>
    <definedName name="IQ_PREF_DIV_CF" hidden="1" function="0" vbProcedure="0">"c1042"</definedName>
    <definedName name="IQ_PREF_DIV_OTHER" hidden="1" function="0" vbProcedure="0">"c1043"</definedName>
    <definedName name="IQ_PREF_EQUITY" hidden="1" function="0" vbProcedure="0">"c1044"</definedName>
    <definedName name="IQ_PREF_ISSUED" hidden="1" function="0" vbProcedure="0">"c1045"</definedName>
    <definedName name="IQ_PREF_ISSUED_BNK" hidden="1" function="0" vbProcedure="0">"c1046"</definedName>
    <definedName name="IQ_PREF_ISSUED_BR" hidden="1" function="0" vbProcedure="0">"c1047"</definedName>
    <definedName name="IQ_PREF_ISSUED_FIN" hidden="1" function="0" vbProcedure="0">"c1048"</definedName>
    <definedName name="IQ_PREF_ISSUED_INS" hidden="1" function="0" vbProcedure="0">"c1049"</definedName>
    <definedName name="IQ_PREF_ISSUED_REIT" hidden="1" function="0" vbProcedure="0">"c1050"</definedName>
    <definedName name="IQ_PREF_ISSUED_UTI" hidden="1" function="0" vbProcedure="0">"c1051"</definedName>
    <definedName name="IQ_PREF_NON_REDEEM" hidden="1" function="0" vbProcedure="0">"c1052"</definedName>
    <definedName name="IQ_PREF_OTHER" hidden="1" function="0" vbProcedure="0">"c1053"</definedName>
    <definedName name="IQ_PREF_OTHER_BNK" hidden="1" function="0" vbProcedure="0">"c1054"</definedName>
    <definedName name="IQ_PREF_OTHER_BR" hidden="1" function="0" vbProcedure="0">"c1055"</definedName>
    <definedName name="IQ_PREF_OTHER_FIN" hidden="1" function="0" vbProcedure="0">"c1056"</definedName>
    <definedName name="IQ_PREF_OTHER_INS" hidden="1" function="0" vbProcedure="0">"c1057"</definedName>
    <definedName name="IQ_PREF_OTHER_REIT" hidden="1" function="0" vbProcedure="0">"c1058"</definedName>
    <definedName name="IQ_PREF_REDEEM" hidden="1" function="0" vbProcedure="0">"c1059"</definedName>
    <definedName name="IQ_PREF_REP" hidden="1" function="0" vbProcedure="0">"c1060"</definedName>
    <definedName name="IQ_PREF_REP_BNK" hidden="1" function="0" vbProcedure="0">"c1061"</definedName>
    <definedName name="IQ_PREF_REP_BR" hidden="1" function="0" vbProcedure="0">"c1062"</definedName>
    <definedName name="IQ_PREF_REP_FIN" hidden="1" function="0" vbProcedure="0">"c1063"</definedName>
    <definedName name="IQ_PREF_REP_INS" hidden="1" function="0" vbProcedure="0">"c1064"</definedName>
    <definedName name="IQ_PREF_REP_REIT" hidden="1" function="0" vbProcedure="0">"c1065"</definedName>
    <definedName name="IQ_PREF_REP_UTI" hidden="1" function="0" vbProcedure="0">"c1066"</definedName>
    <definedName name="IQ_PREF_STOCK" hidden="1" function="0" vbProcedure="0">"c1416"</definedName>
    <definedName name="IQ_PREF_TOT" hidden="1" function="0" vbProcedure="0">"c1415"</definedName>
    <definedName name="IQ_PREMIUMS_ANNUITY_REV" hidden="1" function="0" vbProcedure="0">"c1067"</definedName>
    <definedName name="IQ_PREPAID_CHURN" hidden="1" function="0" vbProcedure="0">"c2120"</definedName>
    <definedName name="IQ_PREPAID_EXP" hidden="1" function="0" vbProcedure="0">"c1068"</definedName>
    <definedName name="IQ_PREPAID_EXPEN" hidden="1" function="0" vbProcedure="0">"c1418"</definedName>
    <definedName name="IQ_PREPAID_SUBS" hidden="1" function="0" vbProcedure="0">"c2117"</definedName>
    <definedName name="IQ_PRE_OPEN_COST" hidden="1" function="0" vbProcedure="0">"c1040"</definedName>
    <definedName name="IQ_PRICEDATE" hidden="1" function="0" vbProcedure="0">"c1069"</definedName>
    <definedName name="IQ_PRICE_OVER_BVPS" hidden="1" function="0" vbProcedure="0">"c1412"</definedName>
    <definedName name="IQ_PRICE_OVER_LTM_EPS" hidden="1" function="0" vbProcedure="0">"c1413"</definedName>
    <definedName name="IQ_PRICE_TARGET" hidden="1" function="0" vbProcedure="0">"c82"</definedName>
    <definedName name="IQ_PRICING_DATE" hidden="1" function="0" vbProcedure="0">"c1613"</definedName>
    <definedName name="IQ_PRIMARY_INDUSTRY" hidden="1" function="0" vbProcedure="0">"c1070"</definedName>
    <definedName name="IQ_PROFESSIONAL" hidden="1" function="0" vbProcedure="0">"c1071"</definedName>
    <definedName name="IQ_PROFESSIONAL_TITLE" hidden="1" function="0" vbProcedure="0">"c1072"</definedName>
    <definedName name="IQ_PROPERTY_EXP" hidden="1" function="0" vbProcedure="0">"c1073"</definedName>
    <definedName name="IQ_PROPERTY_GROSS" hidden="1" function="0" vbProcedure="0">"c1379"</definedName>
    <definedName name="IQ_PROPERTY_MGMT_FEE" hidden="1" function="0" vbProcedure="0">"c1074"</definedName>
    <definedName name="IQ_PROPERTY_NET" hidden="1" function="0" vbProcedure="0">"c1402"</definedName>
    <definedName name="IQ_PROVISION_10YR_ANN_GROWTH" hidden="1" function="0" vbProcedure="0">"c1077"</definedName>
    <definedName name="IQ_PROVISION_1YR_ANN_GROWTH" hidden="1" function="0" vbProcedure="0">"c1078"</definedName>
    <definedName name="IQ_PROVISION_2YR_ANN_GROWTH" hidden="1" function="0" vbProcedure="0">"c1079"</definedName>
    <definedName name="IQ_PROVISION_3YR_ANN_GROWTH" hidden="1" function="0" vbProcedure="0">"c1080"</definedName>
    <definedName name="IQ_PROVISION_5YR_ANN_GROWTH" hidden="1" function="0" vbProcedure="0">"c1081"</definedName>
    <definedName name="IQ_PROVISION_7YR_ANN_GROWTH" hidden="1" function="0" vbProcedure="0">"c1082"</definedName>
    <definedName name="IQ_PROVISION_CHARGE_OFFS" hidden="1" function="0" vbProcedure="0">"c1083"</definedName>
    <definedName name="IQ_PROV_BAD_DEBTS" hidden="1" function="0" vbProcedure="0">"c1075"</definedName>
    <definedName name="IQ_PROV_BAD_DEBTS_CF" hidden="1" function="0" vbProcedure="0">"c1076"</definedName>
    <definedName name="IQ_PRO_FORMA_BASIC_EPS" hidden="1" function="0" vbProcedure="0">"c1614"</definedName>
    <definedName name="IQ_PRO_FORMA_DILUT_EPS" hidden="1" function="0" vbProcedure="0">"c1615"</definedName>
    <definedName name="IQ_PRO_FORMA_NET_INC" hidden="1" function="0" vbProcedure="0">"c1452"</definedName>
    <definedName name="IQ_PTBV" hidden="1" function="0" vbProcedure="0">"c1084"</definedName>
    <definedName name="IQ_PTBV_AVG" hidden="1" function="0" vbProcedure="0">"c1085"</definedName>
    <definedName name="IQ_QUICK_RATIO" hidden="1" function="0" vbProcedure="0">"c1086"</definedName>
    <definedName name="IQ_RATE_COMP_GROWTH_DOMESTIC" hidden="1" function="0" vbProcedure="0">"c1087"</definedName>
    <definedName name="IQ_RATE_COMP_GROWTH_FOREIGN" hidden="1" function="0" vbProcedure="0">"c1088"</definedName>
    <definedName name="IQ_RAW_INV" hidden="1" function="0" vbProcedure="0">"c1089"</definedName>
    <definedName name="IQ_RD_EXP" hidden="1" function="0" vbProcedure="0">"c1090"</definedName>
    <definedName name="IQ_RD_EXP_FN" hidden="1" function="0" vbProcedure="0">"c1091"</definedName>
    <definedName name="IQ_RE" hidden="1" function="0" vbProcedure="0">"c1092"</definedName>
    <definedName name="IQ_REAL_ESTATE" hidden="1" function="0" vbProcedure="0">"c1093"</definedName>
    <definedName name="IQ_REAL_ESTATE_ASSETS" hidden="1" function="0" vbProcedure="0">"c1094"</definedName>
    <definedName name="IQ_REDEEM_PREF_STOCK" hidden="1" function="0" vbProcedure="0">"c1417"</definedName>
    <definedName name="IQ_REG_ASSETS" hidden="1" function="0" vbProcedure="0">"c1095"</definedName>
    <definedName name="IQ_REINSURANCE" hidden="1" function="0" vbProcedure="0">"c1100"</definedName>
    <definedName name="IQ_REINSUR_PAY" hidden="1" function="0" vbProcedure="0">"c1096"</definedName>
    <definedName name="IQ_REINSUR_PAY_CF" hidden="1" function="0" vbProcedure="0">"c1097"</definedName>
    <definedName name="IQ_REINSUR_RECOVER" hidden="1" function="0" vbProcedure="0">"c1098"</definedName>
    <definedName name="IQ_REINSUR_RECOVER_CF" hidden="1" function="0" vbProcedure="0">"c1099"</definedName>
    <definedName name="IQ_RENTAL_REV" hidden="1" function="0" vbProcedure="0">"c1101"</definedName>
    <definedName name="IQ_RESEARCH_DEV" hidden="1" function="0" vbProcedure="0">"c1419"</definedName>
    <definedName name="IQ_RESIDENTIAL_LOANS" hidden="1" function="0" vbProcedure="0">"c1102"</definedName>
    <definedName name="IQ_RESTATEMENT_BS" hidden="1" function="0" vbProcedure="0">"c1643"</definedName>
    <definedName name="IQ_RESTATEMENT_CF" hidden="1" function="0" vbProcedure="0">"c1644"</definedName>
    <definedName name="IQ_RESTATEMENT_IS" hidden="1" function="0" vbProcedure="0">"c1642"</definedName>
    <definedName name="IQ_RESTRICTED_CASH" hidden="1" function="0" vbProcedure="0">"c1103"</definedName>
    <definedName name="IQ_RESTRUCTURE" hidden="1" function="0" vbProcedure="0">"c1104"</definedName>
    <definedName name="IQ_RESTRUCTURED_LOANS" hidden="1" function="0" vbProcedure="0">"c1112"</definedName>
    <definedName name="IQ_RESTRUCTURE_BNK" hidden="1" function="0" vbProcedure="0">"c1105"</definedName>
    <definedName name="IQ_RESTRUCTURE_BR" hidden="1" function="0" vbProcedure="0">"c1106"</definedName>
    <definedName name="IQ_RESTRUCTURE_CF" hidden="1" function="0" vbProcedure="0">"c1107"</definedName>
    <definedName name="IQ_RESTRUCTURE_FIN" hidden="1" function="0" vbProcedure="0">"c1108"</definedName>
    <definedName name="IQ_RESTRUCTURE_INS" hidden="1" function="0" vbProcedure="0">"c1109"</definedName>
    <definedName name="IQ_RESTRUCTURE_REIT" hidden="1" function="0" vbProcedure="0">"c1110"</definedName>
    <definedName name="IQ_RESTRUCTURE_UTI" hidden="1" function="0" vbProcedure="0">"c1111"</definedName>
    <definedName name="IQ_RETAIL_AVG_STORE_SIZE_GROSS" hidden="1" function="0" vbProcedure="0">"c2066"</definedName>
    <definedName name="IQ_RETAIL_AVG_STORE_SIZE_NET" hidden="1" function="0" vbProcedure="0">"c2067"</definedName>
    <definedName name="IQ_RETAIL_CLOSED_STORES" hidden="1" function="0" vbProcedure="0">"c2063"</definedName>
    <definedName name="IQ_RETAIL_OPENED_STORES" hidden="1" function="0" vbProcedure="0">"c2062"</definedName>
    <definedName name="IQ_RETAIL_SALES_SQFT_ALL_GROSS" hidden="1" function="0" vbProcedure="0">"c2138"</definedName>
    <definedName name="IQ_RETAIL_SALES_SQFT_ALL_NET" hidden="1" function="0" vbProcedure="0">"c2139"</definedName>
    <definedName name="IQ_RETAIL_SALES_SQFT_COMPARABLE_GROSS" hidden="1" function="0" vbProcedure="0">"c2136"</definedName>
    <definedName name="IQ_RETAIL_SALES_SQFT_COMPARABLE_NET" hidden="1" function="0" vbProcedure="0">"c2137"</definedName>
    <definedName name="IQ_RETAIL_SALES_SQFT_OWNED_GROSS" hidden="1" function="0" vbProcedure="0">"c2134"</definedName>
    <definedName name="IQ_RETAIL_SALES_SQFT_OWNED_NET" hidden="1" function="0" vbProcedure="0">"c2135"</definedName>
    <definedName name="IQ_RETAIL_SQ_FOOTAGE" hidden="1" function="0" vbProcedure="0">"c2064"</definedName>
    <definedName name="IQ_RETAIL_STORE_SELLING_AREA" hidden="1" function="0" vbProcedure="0">"c2065"</definedName>
    <definedName name="IQ_RETAIL_TOTAL_STORES" hidden="1" function="0" vbProcedure="0">"c2061"</definedName>
    <definedName name="IQ_RETAINED_EARN" hidden="1" function="0" vbProcedure="0">"c1420"</definedName>
    <definedName name="IQ_RETURN_ASSETS" hidden="1" function="0" vbProcedure="0">"c1113"</definedName>
    <definedName name="IQ_RETURN_ASSETS_BANK" hidden="1" function="0" vbProcedure="0">"c1114"</definedName>
    <definedName name="IQ_RETURN_ASSETS_BROK" hidden="1" function="0" vbProcedure="0">"c1115"</definedName>
    <definedName name="IQ_RETURN_ASSETS_FS" hidden="1" function="0" vbProcedure="0">"c1116"</definedName>
    <definedName name="IQ_RETURN_CAPITAL" hidden="1" function="0" vbProcedure="0">"c1117"</definedName>
    <definedName name="IQ_RETURN_EQUITY" hidden="1" function="0" vbProcedure="0">"c1118"</definedName>
    <definedName name="IQ_RETURN_EQUITY_BANK" hidden="1" function="0" vbProcedure="0">"c1119"</definedName>
    <definedName name="IQ_RETURN_EQUITY_BROK" hidden="1" function="0" vbProcedure="0">"c1120"</definedName>
    <definedName name="IQ_RETURN_EQUITY_FS" hidden="1" function="0" vbProcedure="0">"c1121"</definedName>
    <definedName name="IQ_RETURN_INVESTMENT" hidden="1" function="0" vbProcedure="0">"c1421"</definedName>
    <definedName name="IQ_REV" hidden="1" function="0" vbProcedure="0">"c1122"</definedName>
    <definedName name="IQ_REVENUE" hidden="1" function="0" vbProcedure="0">"c1422"</definedName>
    <definedName name="IQ_REV_BEFORE_LL" hidden="1" function="0" vbProcedure="0">"c1123"</definedName>
    <definedName name="IQ_REV_UTI" hidden="1" function="0" vbProcedure="0">"c1125"</definedName>
    <definedName name="IQ_SALARY" hidden="1" function="0" vbProcedure="0">"c1130"</definedName>
    <definedName name="IQ_SALE_INTAN_CF" hidden="1" function="0" vbProcedure="0">"c1131"</definedName>
    <definedName name="IQ_SALE_INTAN_CF_BNK" hidden="1" function="0" vbProcedure="0">"c1132"</definedName>
    <definedName name="IQ_SALE_INTAN_CF_BR" hidden="1" function="0" vbProcedure="0">"c1133"</definedName>
    <definedName name="IQ_SALE_INTAN_CF_FIN" hidden="1" function="0" vbProcedure="0">"c1134"</definedName>
    <definedName name="IQ_SALE_INTAN_CF_INS" hidden="1" function="0" vbProcedure="0">"c1135"</definedName>
    <definedName name="IQ_SALE_INTAN_CF_REIT" hidden="1" function="0" vbProcedure="0">"c1627"</definedName>
    <definedName name="IQ_SALE_INTAN_CF_UTI" hidden="1" function="0" vbProcedure="0">"c1136"</definedName>
    <definedName name="IQ_SALE_PPE_CF" hidden="1" function="0" vbProcedure="0">"c1137"</definedName>
    <definedName name="IQ_SALE_PPE_CF_BNK" hidden="1" function="0" vbProcedure="0">"c1138"</definedName>
    <definedName name="IQ_SALE_PPE_CF_BR" hidden="1" function="0" vbProcedure="0">"c1139"</definedName>
    <definedName name="IQ_SALE_PPE_CF_FIN" hidden="1" function="0" vbProcedure="0">"c1140"</definedName>
    <definedName name="IQ_SALE_PPE_CF_INS" hidden="1" function="0" vbProcedure="0">"c1141"</definedName>
    <definedName name="IQ_SALE_PPE_CF_UTI" hidden="1" function="0" vbProcedure="0">"c1142"</definedName>
    <definedName name="IQ_SALE_REAL_ESTATE_CF" hidden="1" function="0" vbProcedure="0">"c1143"</definedName>
    <definedName name="IQ_SALE_REAL_ESTATE_CF_BNK" hidden="1" function="0" vbProcedure="0">"c1144"</definedName>
    <definedName name="IQ_SALE_REAL_ESTATE_CF_BR" hidden="1" function="0" vbProcedure="0">"c1145"</definedName>
    <definedName name="IQ_SALE_REAL_ESTATE_CF_FIN" hidden="1" function="0" vbProcedure="0">"c1146"</definedName>
    <definedName name="IQ_SALE_REAL_ESTATE_CF_INS" hidden="1" function="0" vbProcedure="0">"c1147"</definedName>
    <definedName name="IQ_SALE_REAL_ESTATE_CF_UTI" hidden="1" function="0" vbProcedure="0">"c1148"</definedName>
    <definedName name="IQ_SALE_RE_ASSETS" hidden="1" function="0" vbProcedure="0">"c1629"</definedName>
    <definedName name="IQ_SAME_STORE" hidden="1" function="0" vbProcedure="0">"c1149"</definedName>
    <definedName name="IQ_SAVING_DEP" hidden="1" function="0" vbProcedure="0">"c1150"</definedName>
    <definedName name="IQ_SECURITY_BORROW" hidden="1" function="0" vbProcedure="0">"c1152"</definedName>
    <definedName name="IQ_SECURITY_OWN" hidden="1" function="0" vbProcedure="0">"c1153"</definedName>
    <definedName name="IQ_SECURITY_RESELL" hidden="1" function="0" vbProcedure="0">"c1154"</definedName>
    <definedName name="IQ_SECUR_RECEIV" hidden="1" function="0" vbProcedure="0">"c1151"</definedName>
    <definedName name="IQ_SEPARATE_ACCT_ASSETS" hidden="1" function="0" vbProcedure="0">"c1155"</definedName>
    <definedName name="IQ_SEPARATE_ACCT_LIAB" hidden="1" function="0" vbProcedure="0">"c1156"</definedName>
    <definedName name="IQ_SERV_CHARGE_DEPOSITS" hidden="1" function="0" vbProcedure="0">"c1157"</definedName>
    <definedName name="IQ_SGA" hidden="1" function="0" vbProcedure="0">"c1158"</definedName>
    <definedName name="IQ_SGA_BNK" hidden="1" function="0" vbProcedure="0">"c1159"</definedName>
    <definedName name="IQ_SGA_INS" hidden="1" function="0" vbProcedure="0">"c1160"</definedName>
    <definedName name="IQ_SGA_MARGIN" hidden="1" function="0" vbProcedure="0">"c1898"</definedName>
    <definedName name="IQ_SGA_REIT" hidden="1" function="0" vbProcedure="0">"c1161"</definedName>
    <definedName name="IQ_SGA_SUPPL" hidden="1" function="0" vbProcedure="0">"c1162"</definedName>
    <definedName name="IQ_SGA_UTI" hidden="1" function="0" vbProcedure="0">"c1163"</definedName>
    <definedName name="IQ_SHAREOUTSTANDING" hidden="1" function="0" vbProcedure="0">"c1347"</definedName>
    <definedName name="IQ_SHARESOUTSTANDING" hidden="1" function="0" vbProcedure="0">"c1164"</definedName>
    <definedName name="IQ_SHORT_INTEREST" hidden="1" function="0" vbProcedure="0">"c1165"</definedName>
    <definedName name="IQ_SHORT_INTEREST_OVER_FLOAT" hidden="1" function="0" vbProcedure="0">"c1577"</definedName>
    <definedName name="IQ_SHORT_INTEREST_PERCENT" hidden="1" function="0" vbProcedure="0">"c1576"</definedName>
    <definedName name="IQ_SHORT_TERM_INVEST" hidden="1" function="0" vbProcedure="0">"c1425"</definedName>
    <definedName name="IQ_SMALL_INT_BEAR_CD" hidden="1" function="0" vbProcedure="0">"c1166"</definedName>
    <definedName name="IQ_SOFTWARE" hidden="1" function="0" vbProcedure="0">"c1167"</definedName>
    <definedName name="IQ_SOURCE" hidden="1" function="0" vbProcedure="0">"c1168"</definedName>
    <definedName name="IQ_SPECIAL_DIV_CF" hidden="1" function="0" vbProcedure="0">"c1169"</definedName>
    <definedName name="IQ_SPECIAL_DIV_CF_BNK" hidden="1" function="0" vbProcedure="0">"c1170"</definedName>
    <definedName name="IQ_SPECIAL_DIV_CF_BR" hidden="1" function="0" vbProcedure="0">"c1171"</definedName>
    <definedName name="IQ_SPECIAL_DIV_CF_FIN" hidden="1" function="0" vbProcedure="0">"c1172"</definedName>
    <definedName name="IQ_SPECIAL_DIV_CF_INS" hidden="1" function="0" vbProcedure="0">"c1173"</definedName>
    <definedName name="IQ_SPECIAL_DIV_CF_REIT" hidden="1" function="0" vbProcedure="0">"c1174"</definedName>
    <definedName name="IQ_SPECIAL_DIV_CF_UTI" hidden="1" function="0" vbProcedure="0">"c1175"</definedName>
    <definedName name="IQ_STATE" hidden="1" function="0" vbProcedure="0">"c1200"</definedName>
    <definedName name="IQ_STATUTORY_SURPLUS" hidden="1" function="0" vbProcedure="0">"c1201"</definedName>
    <definedName name="IQ_STOCK_BASED" hidden="1" function="0" vbProcedure="0">"c1202"</definedName>
    <definedName name="IQ_STOCK_BASED_CF" hidden="1" function="0" vbProcedure="0">"c1203"</definedName>
    <definedName name="IQ_STRIKE_PRICE_ISSUED" hidden="1" function="0" vbProcedure="0">"c1645"</definedName>
    <definedName name="IQ_STRIKE_PRICE_OS" hidden="1" function="0" vbProcedure="0">"c1646"</definedName>
    <definedName name="IQ_ST_DEBT" hidden="1" function="0" vbProcedure="0">"c1176"</definedName>
    <definedName name="IQ_ST_DEBT_BNK" hidden="1" function="0" vbProcedure="0">"c1177"</definedName>
    <definedName name="IQ_ST_DEBT_BR" hidden="1" function="0" vbProcedure="0">"c1178"</definedName>
    <definedName name="IQ_ST_DEBT_FIN" hidden="1" function="0" vbProcedure="0">"c1179"</definedName>
    <definedName name="IQ_ST_DEBT_INS" hidden="1" function="0" vbProcedure="0">"c1180"</definedName>
    <definedName name="IQ_ST_DEBT_ISSUED" hidden="1" function="0" vbProcedure="0">"c1181"</definedName>
    <definedName name="IQ_ST_DEBT_ISSUED_BNK" hidden="1" function="0" vbProcedure="0">"c1182"</definedName>
    <definedName name="IQ_ST_DEBT_ISSUED_BR" hidden="1" function="0" vbProcedure="0">"c1183"</definedName>
    <definedName name="IQ_ST_DEBT_ISSUED_FIN" hidden="1" function="0" vbProcedure="0">"c1184"</definedName>
    <definedName name="IQ_ST_DEBT_ISSUED_INS" hidden="1" function="0" vbProcedure="0">"c1185"</definedName>
    <definedName name="IQ_ST_DEBT_ISSUED_REIT" hidden="1" function="0" vbProcedure="0">"c1186"</definedName>
    <definedName name="IQ_ST_DEBT_ISSUED_UTI" hidden="1" function="0" vbProcedure="0">"c1187"</definedName>
    <definedName name="IQ_ST_DEBT_REIT" hidden="1" function="0" vbProcedure="0">"c1188"</definedName>
    <definedName name="IQ_ST_DEBT_REPAID" hidden="1" function="0" vbProcedure="0">"c1189"</definedName>
    <definedName name="IQ_ST_DEBT_REPAID_BNK" hidden="1" function="0" vbProcedure="0">"c1190"</definedName>
    <definedName name="IQ_ST_DEBT_REPAID_BR" hidden="1" function="0" vbProcedure="0">"c1191"</definedName>
    <definedName name="IQ_ST_DEBT_REPAID_FIN" hidden="1" function="0" vbProcedure="0">"c1192"</definedName>
    <definedName name="IQ_ST_DEBT_REPAID_INS" hidden="1" function="0" vbProcedure="0">"c1193"</definedName>
    <definedName name="IQ_ST_DEBT_REPAID_REIT" hidden="1" function="0" vbProcedure="0">"c1194"</definedName>
    <definedName name="IQ_ST_DEBT_REPAID_UTI" hidden="1" function="0" vbProcedure="0">"c1195"</definedName>
    <definedName name="IQ_ST_DEBT_UTI" hidden="1" function="0" vbProcedure="0">"c1196"</definedName>
    <definedName name="IQ_ST_INVEST" hidden="1" function="0" vbProcedure="0">"c1197"</definedName>
    <definedName name="IQ_ST_INVEST_UTI" hidden="1" function="0" vbProcedure="0">"c1198"</definedName>
    <definedName name="IQ_ST_NOTE_RECEIV" hidden="1" function="0" vbProcedure="0">"c1199"</definedName>
    <definedName name="IQ_SUB_LEASE_AFTER_FIVE" hidden="1" function="0" vbProcedure="0">"c1207"</definedName>
    <definedName name="IQ_SUB_LEASE_INC_CY" hidden="1" function="0" vbProcedure="0">"c1208"</definedName>
    <definedName name="IQ_SUB_LEASE_INC_CY1" hidden="1" function="0" vbProcedure="0">"c1209"</definedName>
    <definedName name="IQ_SUB_LEASE_INC_CY2" hidden="1" function="0" vbProcedure="0">"c1210"</definedName>
    <definedName name="IQ_SUB_LEASE_INC_CY3" hidden="1" function="0" vbProcedure="0">"c1211"</definedName>
    <definedName name="IQ_SUB_LEASE_INC_CY4" hidden="1" function="0" vbProcedure="0">"c1212"</definedName>
    <definedName name="IQ_SUB_LEASE_NEXT_FIVE" hidden="1" function="0" vbProcedure="0">"c1213"</definedName>
    <definedName name="IQ_SVA" hidden="1" function="0" vbProcedure="0">"c1214"</definedName>
    <definedName name="IQ_TAX_BENEFIT_OPTIONS" hidden="1" function="0" vbProcedure="0">"c1215"</definedName>
    <definedName name="IQ_TAX_EQUIV_NET_INT_INC" hidden="1" function="0" vbProcedure="0">"c1216"</definedName>
    <definedName name="IQ_TBV" hidden="1" function="0" vbProcedure="0">"c1906"</definedName>
    <definedName name="IQ_TBV_10YR_ANN_GROWTH" hidden="1" function="0" vbProcedure="0">"c1936"</definedName>
    <definedName name="IQ_TBV_1YR_ANN_GROWTH" hidden="1" function="0" vbProcedure="0">"c1931"</definedName>
    <definedName name="IQ_TBV_2YR_ANN_GROWTH" hidden="1" function="0" vbProcedure="0">"c1932"</definedName>
    <definedName name="IQ_TBV_3YR_ANN_GROWTH" hidden="1" function="0" vbProcedure="0">"c1933"</definedName>
    <definedName name="IQ_TBV_5YR_ANN_GROWTH" hidden="1" function="0" vbProcedure="0">"c1934"</definedName>
    <definedName name="IQ_TBV_7YR_ANN_GROWTH" hidden="1" function="0" vbProcedure="0">"c1935"</definedName>
    <definedName name="IQ_TBV_SHARE" hidden="1" function="0" vbProcedure="0">"c1217"</definedName>
    <definedName name="IQ_TEMPLATE" hidden="1" function="0" vbProcedure="0">"c1521"</definedName>
    <definedName name="IQ_TENANT" hidden="1" function="0" vbProcedure="0">"c1218"</definedName>
    <definedName name="IQ_TEV" hidden="1" function="0" vbProcedure="0">"c1219"</definedName>
    <definedName name="IQ_TEV_EBIT" hidden="1" function="0" vbProcedure="0">"c1220"</definedName>
    <definedName name="IQ_TEV_EBITDA" hidden="1" function="0" vbProcedure="0">"c1222"</definedName>
    <definedName name="IQ_TEV_EBITDA_AVG" hidden="1" function="0" vbProcedure="0">"c1223"</definedName>
    <definedName name="IQ_TEV_EBIT_AVG" hidden="1" function="0" vbProcedure="0">"c1221"</definedName>
    <definedName name="IQ_TEV_EMPLOYEE_AVG" hidden="1" function="0" vbProcedure="0">"c1225"</definedName>
    <definedName name="IQ_TEV_TOTAL_REV" hidden="1" function="0" vbProcedure="0">"c1226"</definedName>
    <definedName name="IQ_TEV_TOTAL_REV_AVG" hidden="1" function="0" vbProcedure="0">"c1227"</definedName>
    <definedName name="IQ_TIER_ONE_RATIO" hidden="1" function="0" vbProcedure="0">"c1229"</definedName>
    <definedName name="IQ_TIME_DEP" hidden="1" function="0" vbProcedure="0">"c1230"</definedName>
    <definedName name="IQ_TODAY" hidden="1" function="0" vbProcedure="0">0</definedName>
    <definedName name="IQ_TOTAL_AR_BR" hidden="1" function="0" vbProcedure="0">"c1231"</definedName>
    <definedName name="IQ_TOTAL_AR_REIT" hidden="1" function="0" vbProcedure="0">"c1232"</definedName>
    <definedName name="IQ_TOTAL_AR_UTI" hidden="1" function="0" vbProcedure="0">"c1233"</definedName>
    <definedName name="IQ_TOTAL_ASSETS" hidden="1" function="0" vbProcedure="0">"c1234"</definedName>
    <definedName name="IQ_TOTAL_ASSETS_10YR_ANN_GROWTH" hidden="1" function="0" vbProcedure="0">"c1235"</definedName>
    <definedName name="IQ_TOTAL_ASSETS_1YR_ANN_GROWTH" hidden="1" function="0" vbProcedure="0">"c1236"</definedName>
    <definedName name="IQ_TOTAL_ASSETS_2YR_ANN_GROWTH" hidden="1" function="0" vbProcedure="0">"c1237"</definedName>
    <definedName name="IQ_TOTAL_ASSETS_3YR_ANN_GROWTH" hidden="1" function="0" vbProcedure="0">"c1238"</definedName>
    <definedName name="IQ_TOTAL_ASSETS_5YR_ANN_GROWTH" hidden="1" function="0" vbProcedure="0">"c1239"</definedName>
    <definedName name="IQ_TOTAL_ASSETS_7YR_ANN_GROWTH" hidden="1" function="0" vbProcedure="0">"c1240"</definedName>
    <definedName name="IQ_TOTAL_AVG_CE_TOTAL_AVG_ASSETS" hidden="1" function="0" vbProcedure="0">"c1241"</definedName>
    <definedName name="IQ_TOTAL_AVG_EQUITY_TOTAL_AVG_ASSETS" hidden="1" function="0" vbProcedure="0">"c1242"</definedName>
    <definedName name="IQ_TOTAL_CA" hidden="1" function="0" vbProcedure="0">"c1243"</definedName>
    <definedName name="IQ_TOTAL_CAP" hidden="1" function="0" vbProcedure="0">"c1507"</definedName>
    <definedName name="IQ_TOTAL_CAPITAL_RATIO" hidden="1" function="0" vbProcedure="0">"c1244"</definedName>
    <definedName name="IQ_TOTAL_CASH_DIVID" hidden="1" function="0" vbProcedure="0">"c1455"</definedName>
    <definedName name="IQ_TOTAL_CASH_FINAN" hidden="1" function="0" vbProcedure="0">"c1352"</definedName>
    <definedName name="IQ_TOTAL_CASH_INVEST" hidden="1" function="0" vbProcedure="0">"c1353"</definedName>
    <definedName name="IQ_TOTAL_CASH_OPER" hidden="1" function="0" vbProcedure="0">"c1354"</definedName>
    <definedName name="IQ_TOTAL_CHURN" hidden="1" function="0" vbProcedure="0">"c2122"</definedName>
    <definedName name="IQ_TOTAL_CL" hidden="1" function="0" vbProcedure="0">"c1245"</definedName>
    <definedName name="IQ_TOTAL_COMMON" hidden="1" function="0" vbProcedure="0">"c1411"</definedName>
    <definedName name="IQ_TOTAL_COMMON_EQUITY" hidden="1" function="0" vbProcedure="0">"c1246"</definedName>
    <definedName name="IQ_TOTAL_CURRENT_ASSETS" hidden="1" function="0" vbProcedure="0">"c1430"</definedName>
    <definedName name="IQ_TOTAL_CURRENT_LIAB" hidden="1" function="0" vbProcedure="0">"c1431"</definedName>
    <definedName name="IQ_TOTAL_DEBT" hidden="1" function="0" vbProcedure="0">"c1247"</definedName>
    <definedName name="IQ_TOTAL_DEBT_CAPITAL" hidden="1" function="0" vbProcedure="0">"c1248"</definedName>
    <definedName name="IQ_TOTAL_DEBT_EBITDA" hidden="1" function="0" vbProcedure="0">"c1249"</definedName>
    <definedName name="IQ_TOTAL_DEBT_EQUITY" hidden="1" function="0" vbProcedure="0">"c1250"</definedName>
    <definedName name="IQ_TOTAL_DEBT_ISSUED" hidden="1" function="0" vbProcedure="0">"c1251"</definedName>
    <definedName name="IQ_TOTAL_DEBT_ISSUED_BNK" hidden="1" function="0" vbProcedure="0">"c1252"</definedName>
    <definedName name="IQ_TOTAL_DEBT_ISSUED_BR" hidden="1" function="0" vbProcedure="0">"c1253"</definedName>
    <definedName name="IQ_TOTAL_DEBT_ISSUED_FIN" hidden="1" function="0" vbProcedure="0">"c1254"</definedName>
    <definedName name="IQ_TOTAL_DEBT_ISSUED_REIT" hidden="1" function="0" vbProcedure="0">"c1255"</definedName>
    <definedName name="IQ_TOTAL_DEBT_ISSUED_UTI" hidden="1" function="0" vbProcedure="0">"c1256"</definedName>
    <definedName name="IQ_TOTAL_DEBT_ISSUES_INS" hidden="1" function="0" vbProcedure="0">"c1257"</definedName>
    <definedName name="IQ_TOTAL_DEBT_OVER_EBITDA" hidden="1" function="0" vbProcedure="0">"c1433"</definedName>
    <definedName name="IQ_TOTAL_DEBT_OVER_TOTAL_BV" hidden="1" function="0" vbProcedure="0">"c1434"</definedName>
    <definedName name="IQ_TOTAL_DEBT_OVER_TOTAL_CAP" hidden="1" function="0" vbProcedure="0">"c1432"</definedName>
    <definedName name="IQ_TOTAL_DEBT_REPAID" hidden="1" function="0" vbProcedure="0">"c1258"</definedName>
    <definedName name="IQ_TOTAL_DEBT_REPAID_BNK" hidden="1" function="0" vbProcedure="0">"c1259"</definedName>
    <definedName name="IQ_TOTAL_DEBT_REPAID_BR" hidden="1" function="0" vbProcedure="0">"c1260"</definedName>
    <definedName name="IQ_TOTAL_DEBT_REPAID_FIN" hidden="1" function="0" vbProcedure="0">"c1261"</definedName>
    <definedName name="IQ_TOTAL_DEBT_REPAID_INS" hidden="1" function="0" vbProcedure="0">"c1262"</definedName>
    <definedName name="IQ_TOTAL_DEBT_REPAID_REIT" hidden="1" function="0" vbProcedure="0">"c1263"</definedName>
    <definedName name="IQ_TOTAL_DEBT_REPAID_UTI" hidden="1" function="0" vbProcedure="0">"c1264"</definedName>
    <definedName name="IQ_TOTAL_DEPOSITS" hidden="1" function="0" vbProcedure="0">"c1265"</definedName>
    <definedName name="IQ_TOTAL_DIV_PAID_CF" hidden="1" function="0" vbProcedure="0">"c1266"</definedName>
    <definedName name="IQ_TOTAL_EMPLOYEES" hidden="1" function="0" vbProcedure="0">"c1522"</definedName>
    <definedName name="IQ_TOTAL_EQUITY" hidden="1" function="0" vbProcedure="0">"c1267"</definedName>
    <definedName name="IQ_TOTAL_EQUITY_10YR_ANN_GROWTH" hidden="1" function="0" vbProcedure="0">"c1268"</definedName>
    <definedName name="IQ_TOTAL_EQUITY_1YR_ANN_GROWTH" hidden="1" function="0" vbProcedure="0">"c1269"</definedName>
    <definedName name="IQ_TOTAL_EQUITY_2YR_ANN_GROWTH" hidden="1" function="0" vbProcedure="0">"c1270"</definedName>
    <definedName name="IQ_TOTAL_EQUITY_3YR_ANN_GROWTH" hidden="1" function="0" vbProcedure="0">"c1271"</definedName>
    <definedName name="IQ_TOTAL_EQUITY_5YR_ANN_GROWTH" hidden="1" function="0" vbProcedure="0">"c1272"</definedName>
    <definedName name="IQ_TOTAL_EQUITY_7YR_ANN_GROWTH" hidden="1" function="0" vbProcedure="0">"c1273"</definedName>
    <definedName name="IQ_TOTAL_EQUITY_ALLOWANCE_TOTAL_LOANS" hidden="1" function="0" vbProcedure="0">"c1274"</definedName>
    <definedName name="IQ_TOTAL_INTEREST_EXP" hidden="1" function="0" vbProcedure="0">"c1382"</definedName>
    <definedName name="IQ_TOTAL_INVENTORY" hidden="1" function="0" vbProcedure="0">"c1385"</definedName>
    <definedName name="IQ_TOTAL_INVEST" hidden="1" function="0" vbProcedure="0">"c1275"</definedName>
    <definedName name="IQ_TOTAL_LIAB" hidden="1" function="0" vbProcedure="0">"c1276"</definedName>
    <definedName name="IQ_TOTAL_LIAB_BNK" hidden="1" function="0" vbProcedure="0">"c1277"</definedName>
    <definedName name="IQ_TOTAL_LIAB_BR" hidden="1" function="0" vbProcedure="0">"c1278"</definedName>
    <definedName name="IQ_TOTAL_LIAB_EQUITY" hidden="1" function="0" vbProcedure="0">"c1279"</definedName>
    <definedName name="IQ_TOTAL_LIAB_FIN" hidden="1" function="0" vbProcedure="0">"c1280"</definedName>
    <definedName name="IQ_TOTAL_LIAB_INS" hidden="1" function="0" vbProcedure="0">"c1281"</definedName>
    <definedName name="IQ_TOTAL_LIAB_REIT" hidden="1" function="0" vbProcedure="0">"c1282"</definedName>
    <definedName name="IQ_TOTAL_LIAB_SHAREHOLD" hidden="1" function="0" vbProcedure="0">"c1435"</definedName>
    <definedName name="IQ_TOTAL_LIAB_TOTAL_ASSETS" hidden="1" function="0" vbProcedure="0">"c1283"</definedName>
    <definedName name="IQ_TOTAL_LONG_DEBT" hidden="1" function="0" vbProcedure="0">"c1617"</definedName>
    <definedName name="IQ_TOTAL_NON_REC" hidden="1" function="0" vbProcedure="0">"c1444"</definedName>
    <definedName name="IQ_TOTAL_OPER_EXPEN" hidden="1" function="0" vbProcedure="0">"c1445"</definedName>
    <definedName name="IQ_TOTAL_OPER_EXP_BR" hidden="1" function="0" vbProcedure="0">"c1284"</definedName>
    <definedName name="IQ_TOTAL_OPER_EXP_FIN" hidden="1" function="0" vbProcedure="0">"c1285"</definedName>
    <definedName name="IQ_TOTAL_OPER_EXP_INS" hidden="1" function="0" vbProcedure="0">"c1286"</definedName>
    <definedName name="IQ_TOTAL_OPER_EXP_REIT" hidden="1" function="0" vbProcedure="0">"c1287"</definedName>
    <definedName name="IQ_TOTAL_OPER_EXP_UTI" hidden="1" function="0" vbProcedure="0">"c1288"</definedName>
    <definedName name="IQ_TOTAL_OTHER_OPER" hidden="1" function="0" vbProcedure="0">"c1289"</definedName>
    <definedName name="IQ_TOTAL_OUTSTANDING_BS_DATE" hidden="1" function="0" vbProcedure="0">"c1022"</definedName>
    <definedName name="IQ_TOTAL_OUTSTANDING_FILING_DATE" hidden="1" function="0" vbProcedure="0">"c2107"</definedName>
    <definedName name="IQ_TOTAL_PENSION_ASSETS" hidden="1" function="0" vbProcedure="0">"c1290"</definedName>
    <definedName name="IQ_TOTAL_PENSION_EXP" hidden="1" function="0" vbProcedure="0">"c1291"</definedName>
    <definedName name="IQ_TOTAL_PENSION_OBLIGATION" hidden="1" function="0" vbProcedure="0">"c1292"</definedName>
    <definedName name="IQ_TOTAL_PROVED_RESERVES_OIL" hidden="1" function="0" vbProcedure="0">"c2040"</definedName>
    <definedName name="IQ_TOTAL_RECEIV" hidden="1" function="0" vbProcedure="0">"c1293"</definedName>
    <definedName name="IQ_TOTAL_REV" hidden="1" function="0" vbProcedure="0">"c1294"</definedName>
    <definedName name="IQ_TOTAL_REVENUE" hidden="1" function="0" vbProcedure="0">"c1436"</definedName>
    <definedName name="IQ_TOTAL_REV_10YR_ANN_GROWTH" hidden="1" function="0" vbProcedure="0">"c1295"</definedName>
    <definedName name="IQ_TOTAL_REV_1YR_ANN_GROWTH" hidden="1" function="0" vbProcedure="0">"c1296"</definedName>
    <definedName name="IQ_TOTAL_REV_2YR_ANN_GROWTH" hidden="1" function="0" vbProcedure="0">"c1297"</definedName>
    <definedName name="IQ_TOTAL_REV_3YR_ANN_GROWTH" hidden="1" function="0" vbProcedure="0">"c1298"</definedName>
    <definedName name="IQ_TOTAL_REV_5YR_ANN_GROWTH" hidden="1" function="0" vbProcedure="0">"c1299"</definedName>
    <definedName name="IQ_TOTAL_REV_7YR_ANN_GROWTH" hidden="1" function="0" vbProcedure="0">"c1300"</definedName>
    <definedName name="IQ_TOTAL_REV_AS_REPORTED" hidden="1" function="0" vbProcedure="0">"c1301"</definedName>
    <definedName name="IQ_TOTAL_REV_BNK" hidden="1" function="0" vbProcedure="0">"c1302"</definedName>
    <definedName name="IQ_TOTAL_REV_BR" hidden="1" function="0" vbProcedure="0">"c1303"</definedName>
    <definedName name="IQ_TOTAL_REV_EMPLOYEE" hidden="1" function="0" vbProcedure="0">"c1304"</definedName>
    <definedName name="IQ_TOTAL_REV_FIN" hidden="1" function="0" vbProcedure="0">"c1305"</definedName>
    <definedName name="IQ_TOTAL_REV_INS" hidden="1" function="0" vbProcedure="0">"c1306"</definedName>
    <definedName name="IQ_TOTAL_REV_REIT" hidden="1" function="0" vbProcedure="0">"c1307"</definedName>
    <definedName name="IQ_TOTAL_REV_SHARE" hidden="1" function="0" vbProcedure="0">"c1912"</definedName>
    <definedName name="IQ_TOTAL_REV_UTI" hidden="1" function="0" vbProcedure="0">"c1308"</definedName>
    <definedName name="IQ_TOTAL_SPECIAL" hidden="1" function="0" vbProcedure="0">"c1618"</definedName>
    <definedName name="IQ_TOTAL_ST_BORROW" hidden="1" function="0" vbProcedure="0">"c1424"</definedName>
    <definedName name="IQ_TOTAL_SUBS" hidden="1" function="0" vbProcedure="0">"c2119"</definedName>
    <definedName name="IQ_TOTAL_UNUSUAL" hidden="1" function="0" vbProcedure="0">"c1508"</definedName>
    <definedName name="IQ_TOT_ADJ_INC" hidden="1" function="0" vbProcedure="0">"c1616"</definedName>
    <definedName name="IQ_TRADE_AR" hidden="1" function="0" vbProcedure="0">"c1345"</definedName>
    <definedName name="IQ_TRADE_PRINCIPAL" hidden="1" function="0" vbProcedure="0">"c1309"</definedName>
    <definedName name="IQ_TRADING_ASSETS" hidden="1" function="0" vbProcedure="0">"c1310"</definedName>
    <definedName name="IQ_TREASURY" hidden="1" function="0" vbProcedure="0">"c1311"</definedName>
    <definedName name="IQ_TREASURY_OTHER_EQUITY" hidden="1" function="0" vbProcedure="0">"c1312"</definedName>
    <definedName name="IQ_TREASURY_OTHER_EQUITY_BNK" hidden="1" function="0" vbProcedure="0">"c1313"</definedName>
    <definedName name="IQ_TREASURY_OTHER_EQUITY_BR" hidden="1" function="0" vbProcedure="0">"c1314"</definedName>
    <definedName name="IQ_TREASURY_OTHER_EQUITY_FIN" hidden="1" function="0" vbProcedure="0">"c1315"</definedName>
    <definedName name="IQ_TREASURY_OTHER_EQUITY_INS" hidden="1" function="0" vbProcedure="0">"c1316"</definedName>
    <definedName name="IQ_TREASURY_OTHER_EQUITY_REIT" hidden="1" function="0" vbProcedure="0">"c1317"</definedName>
    <definedName name="IQ_TREASURY_OTHER_EQUITY_UTI" hidden="1" function="0" vbProcedure="0">"c1318"</definedName>
    <definedName name="IQ_TREASURY_STOCK" hidden="1" function="0" vbProcedure="0">"c1438"</definedName>
    <definedName name="IQ_TRUST_INC" hidden="1" function="0" vbProcedure="0">"c1319"</definedName>
    <definedName name="IQ_TRUST_PREF" hidden="1" function="0" vbProcedure="0">"c1320"</definedName>
    <definedName name="IQ_UFCF_10YR_ANN_GROWTH" hidden="1" function="0" vbProcedure="0">"c1948"</definedName>
    <definedName name="IQ_UFCF_1YR_ANN_GROWTH" hidden="1" function="0" vbProcedure="0">"c1943"</definedName>
    <definedName name="IQ_UFCF_2YR_ANN_GROWTH" hidden="1" function="0" vbProcedure="0">"c1944"</definedName>
    <definedName name="IQ_UFCF_3YR_ANN_GROWTH" hidden="1" function="0" vbProcedure="0">"c1945"</definedName>
    <definedName name="IQ_UFCF_5YR_ANN_GROWTH" hidden="1" function="0" vbProcedure="0">"c1946"</definedName>
    <definedName name="IQ_UFCF_7YR_ANN_GROWTH" hidden="1" function="0" vbProcedure="0">"c1947"</definedName>
    <definedName name="IQ_UFCF_MARGIN" hidden="1" function="0" vbProcedure="0">"c1962"</definedName>
    <definedName name="IQ_UNEARN_PREMIUM" hidden="1" function="0" vbProcedure="0">"c1321"</definedName>
    <definedName name="IQ_UNEARN_REV_CURRENT" hidden="1" function="0" vbProcedure="0">"c1322"</definedName>
    <definedName name="IQ_UNEARN_REV_CURRENT_BNK" hidden="1" function="0" vbProcedure="0">"c1323"</definedName>
    <definedName name="IQ_UNEARN_REV_CURRENT_BR" hidden="1" function="0" vbProcedure="0">"c1324"</definedName>
    <definedName name="IQ_UNEARN_REV_CURRENT_FIN" hidden="1" function="0" vbProcedure="0">"c1325"</definedName>
    <definedName name="IQ_UNEARN_REV_CURRENT_INS" hidden="1" function="0" vbProcedure="0">"c1326"</definedName>
    <definedName name="IQ_UNEARN_REV_CURRENT_REIT" hidden="1" function="0" vbProcedure="0">"c1327"</definedName>
    <definedName name="IQ_UNEARN_REV_CURRENT_UTI" hidden="1" function="0" vbProcedure="0">"c1328"</definedName>
    <definedName name="IQ_UNEARN_REV_LT" hidden="1" function="0" vbProcedure="0">"c1329"</definedName>
    <definedName name="IQ_UNLEVERED_FCF" hidden="1" function="0" vbProcedure="0">"c1908"</definedName>
    <definedName name="IQ_UNPAID_CLAIMS" hidden="1" function="0" vbProcedure="0">"c1330"</definedName>
    <definedName name="IQ_UNREALIZED_GAIN" hidden="1" function="0" vbProcedure="0">"c1619"</definedName>
    <definedName name="IQ_UNUSUAL_EXP" hidden="1" function="0" vbProcedure="0">"c1456"</definedName>
    <definedName name="IQ_US_GAAP" hidden="1" function="0" vbProcedure="0">"c1331"</definedName>
    <definedName name="IQ_UTIL_PPE_NET" hidden="1" function="0" vbProcedure="0">"c1620"</definedName>
    <definedName name="IQ_UTIL_REV" hidden="1" function="0" vbProcedure="0">"c2091"</definedName>
    <definedName name="IQ_UV_PENSION_LIAB" hidden="1" function="0" vbProcedure="0">"c1332"</definedName>
    <definedName name="IQ_VALUE_TRADED_LAST_3MTH" hidden="1" function="0" vbProcedure="0">"c1530"</definedName>
    <definedName name="IQ_VALUE_TRADED_LAST_6MTH" hidden="1" function="0" vbProcedure="0">"c1531"</definedName>
    <definedName name="IQ_VALUE_TRADED_LAST_MTH" hidden="1" function="0" vbProcedure="0">"c1529"</definedName>
    <definedName name="IQ_VALUE_TRADED_LAST_WK" hidden="1" function="0" vbProcedure="0">"c1528"</definedName>
    <definedName name="IQ_VALUE_TRADED_LAST_YR" hidden="1" function="0" vbProcedure="0">"c1532"</definedName>
    <definedName name="IQ_VOLUME" hidden="1" function="0" vbProcedure="0">"c1333"</definedName>
    <definedName name="IQ_VOL_LAST_3MTH" hidden="1" function="0" vbProcedure="0">"c1525"</definedName>
    <definedName name="IQ_VOL_LAST_6MTH" hidden="1" function="0" vbProcedure="0">"c1526"</definedName>
    <definedName name="IQ_VOL_LAST_MTH" hidden="1" function="0" vbProcedure="0">"c1524"</definedName>
    <definedName name="IQ_VOL_LAST_WK" hidden="1" function="0" vbProcedure="0">"c1523"</definedName>
    <definedName name="IQ_VOL_LAST_YR" hidden="1" function="0" vbProcedure="0">"c1527"</definedName>
    <definedName name="IQ_WEIGHTED_AVG_PRICE" hidden="1" function="0" vbProcedure="0">"c1334"</definedName>
    <definedName name="IQ_WIP_INV" hidden="1" function="0" vbProcedure="0">"c1335"</definedName>
    <definedName name="IQ_WORKMEN_WRITTEN" hidden="1" function="0" vbProcedure="0">"c1336"</definedName>
    <definedName name="IQ_XDIV_DATE" hidden="1" function="0" vbProcedure="0">"c2104"</definedName>
    <definedName name="IQ_YEARHIGH" hidden="1" function="0" vbProcedure="0">"c1337"</definedName>
    <definedName name="IQ_YEARLOW" hidden="1" function="0" vbProcedure="0">"c1338"</definedName>
    <definedName name="IQ_YTD" hidden="1" function="0" vbProcedure="0">3000</definedName>
    <definedName name="IQ_Z_SCORE" hidden="1" function="0" vbProcedure="0">"c1339"</definedName>
    <definedName name="last_close" hidden="0" function="0" vbProcedure="0">Valuation!$G$7</definedName>
    <definedName name="Market_Equity" hidden="0" function="0" vbProcedure="0">#REF!</definedName>
    <definedName name="midyear" hidden="0" function="0" vbProcedure="0">#REF!</definedName>
    <definedName name="Net_Debt" hidden="0" function="0" vbProcedure="0">#REF!</definedName>
    <definedName name="NumofGrpAccts" hidden="1" function="0" vbProcedure="0">2</definedName>
    <definedName name="nvnvnvnv" hidden="1" function="0" vbProcedure="0">{#N/A,#N/A,FALSE,"Aging Summary";#N/A,#N/A,FALSE,"Ratio Analysis";#N/A,#N/A,FALSE,"Test 120 Day Accts";#N/A,#N/A,FALSE,"Tickmarks"}</definedName>
    <definedName name="range" hidden="0" function="0" vbProcedure="0">#REF!</definedName>
    <definedName name="RowLevel" hidden="1" function="0" vbProcedure="0">1</definedName>
    <definedName name="Stub_year_fraction" hidden="0" function="0" vbProcedure="0">#REF!</definedName>
    <definedName name="TBdbName" hidden="1" function="0" vbProcedure="0">"88D5BF544BE111D2B8C5006097494125.mdb"</definedName>
    <definedName name="TextRefCopyRangeCount" hidden="1" function="0" vbProcedure="0">68</definedName>
    <definedName name="ticker" hidden="0" function="0" vbProcedure="0">Valuation!$D$7</definedName>
    <definedName name="Useful_Life_of_Depreciable_PP_E" hidden="0" function="0" vbProcedure="0">"PPElife"</definedName>
    <definedName name="wrn.Aging._.and._.Trend._.Analysis." hidden="1" function="0" vbProcedure="0">{#N/A,#N/A,FALSE,"Aging Summary";#N/A,#N/A,FALSE,"Ratio Analysis";#N/A,#N/A,FALSE,"Test 120 Day Accts";#N/A,#N/A,FALSE,"Tickmarks"}</definedName>
    <definedName name="wrn.EXPENSES._.98._.US." hidden="1" function="0" vbProcedure="0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 function="0" vbProcedure="0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 function="0" vbProcedure="0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 function="0" vbProcedure="0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 function="0" vbProcedure="0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 function="0" vbProcedure="0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 function="0" vbProcedure="0">{#N/A,#N/A,FALSE,"Graficos    ( 9 )"}</definedName>
    <definedName name="wrn.WORK._.PAPER." hidden="1" function="0" vbProcedure="0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 function="0" vbProcedure="0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 function="0" vbProcedure="0">2</definedName>
    <definedName name="XRefCopy1" hidden="1" function="0" vbProcedure="0">#REF!</definedName>
    <definedName name="XRefCopy10" hidden="1" function="0" vbProcedure="0">#REF!</definedName>
    <definedName name="XRefCopy10Row" hidden="1" function="0" vbProcedure="0">#REF!</definedName>
    <definedName name="XRefCopy12" hidden="1" function="0" vbProcedure="0">#REF!</definedName>
    <definedName name="XRefCopy12Row" hidden="1" function="0" vbProcedure="0">#REF!</definedName>
    <definedName name="XRefCopy13" hidden="1" function="0" vbProcedure="0">#REF!</definedName>
    <definedName name="XRefCopy13Row" hidden="1" function="0" vbProcedure="0">#REF!</definedName>
    <definedName name="XRefCopy15" hidden="1" function="0" vbProcedure="0">#REF!</definedName>
    <definedName name="XRefCopy15Row" hidden="1" function="0" vbProcedure="0">#REF!</definedName>
    <definedName name="XRefCopy16Row" hidden="1" function="0" vbProcedure="0">#REF!</definedName>
    <definedName name="XRefCopy17" hidden="1" function="0" vbProcedure="0">#REF!</definedName>
    <definedName name="XRefCopy17Row" hidden="1" function="0" vbProcedure="0">#REF!</definedName>
    <definedName name="XRefCopy18" hidden="1" function="0" vbProcedure="0">#REF!</definedName>
    <definedName name="XRefCopy18Row" hidden="1" function="0" vbProcedure="0">#REF!</definedName>
    <definedName name="XRefCopy19" hidden="1" function="0" vbProcedure="0">#REF!</definedName>
    <definedName name="XRefCopy19Row" hidden="1" function="0" vbProcedure="0">#REF!</definedName>
    <definedName name="XRefCopy2" hidden="1" function="0" vbProcedure="0">#REF!</definedName>
    <definedName name="XRefCopy20" hidden="1" function="0" vbProcedure="0">#REF!</definedName>
    <definedName name="XRefCopy20Row" hidden="1" function="0" vbProcedure="0">#REF!</definedName>
    <definedName name="XRefCopy21" hidden="1" function="0" vbProcedure="0">#REF!</definedName>
    <definedName name="XRefCopy21Row" hidden="1" function="0" vbProcedure="0">#REF!</definedName>
    <definedName name="XRefCopy28" hidden="1" function="0" vbProcedure="0">#REF!</definedName>
    <definedName name="XRefCopy28Row" hidden="1" function="0" vbProcedure="0">#REF!</definedName>
    <definedName name="XRefCopy29" hidden="1" function="0" vbProcedure="0">#REF!</definedName>
    <definedName name="XRefCopy29Row" hidden="1" function="0" vbProcedure="0">#REF!</definedName>
    <definedName name="XRefCopy3" hidden="1" function="0" vbProcedure="0">#REF!</definedName>
    <definedName name="XRefCopy30Row" hidden="1" function="0" vbProcedure="0">#REF!</definedName>
    <definedName name="XRefCopy31" hidden="1" function="0" vbProcedure="0">#REF!</definedName>
    <definedName name="XRefCopy31Row" hidden="1" function="0" vbProcedure="0">#REF!</definedName>
    <definedName name="XRefCopy33Row" hidden="1" function="0" vbProcedure="0">#REF!</definedName>
    <definedName name="XRefCopy39" hidden="1" function="0" vbProcedure="0">#REF!</definedName>
    <definedName name="XRefCopy4" hidden="1" function="0" vbProcedure="0">#REF!</definedName>
    <definedName name="XRefCopy40Row" hidden="1" function="0" vbProcedure="0">#REF!</definedName>
    <definedName name="XRefCopy43Row" hidden="1" function="0" vbProcedure="0">#REF!</definedName>
    <definedName name="XRefCopy44Row" hidden="1" function="0" vbProcedure="0">#REF!</definedName>
    <definedName name="XRefCopy49Row" hidden="1" function="0" vbProcedure="0">#REF!</definedName>
    <definedName name="XRefCopy4Row" hidden="1" function="0" vbProcedure="0">#REF!</definedName>
    <definedName name="XRefCopy5" hidden="1" function="0" vbProcedure="0">#REF!</definedName>
    <definedName name="XRefCopy50Row" hidden="1" function="0" vbProcedure="0">#REF!</definedName>
    <definedName name="XRefCopy51Row" hidden="1" function="0" vbProcedure="0">#REF!</definedName>
    <definedName name="XRefCopy52Row" hidden="1" function="0" vbProcedure="0">#REF!</definedName>
    <definedName name="XRefCopy53Row" hidden="1" function="0" vbProcedure="0">#REF!</definedName>
    <definedName name="XRefCopy55Row" hidden="1" function="0" vbProcedure="0">#REF!</definedName>
    <definedName name="XRefCopy56" hidden="1" function="0" vbProcedure="0">#REF!</definedName>
    <definedName name="XRefCopy56Row" hidden="1" function="0" vbProcedure="0">#REF!</definedName>
    <definedName name="XRefCopy5Row" hidden="1" function="0" vbProcedure="0">#REF!</definedName>
    <definedName name="XRefCopy6" hidden="1" function="0" vbProcedure="0">#REF!</definedName>
    <definedName name="XRefCopy61" hidden="1" function="0" vbProcedure="0">#REF!</definedName>
    <definedName name="XRefCopy61Row" hidden="1" function="0" vbProcedure="0">#REF!</definedName>
    <definedName name="XRefCopy63Row" hidden="1" function="0" vbProcedure="0">#REF!</definedName>
    <definedName name="XRefCopy64Row" hidden="1" function="0" vbProcedure="0">#REF!</definedName>
    <definedName name="XRefCopy65Row" hidden="1" function="0" vbProcedure="0">#REF!</definedName>
    <definedName name="XRefCopy66" hidden="1" function="0" vbProcedure="0">#REF!</definedName>
    <definedName name="XRefCopy66Row" hidden="1" function="0" vbProcedure="0">#REF!</definedName>
    <definedName name="XRefCopy67Row" hidden="1" function="0" vbProcedure="0">#REF!</definedName>
    <definedName name="XRefCopy68Row" hidden="1" function="0" vbProcedure="0">#REF!</definedName>
    <definedName name="XRefCopy69Row" hidden="1" function="0" vbProcedure="0">#REF!</definedName>
    <definedName name="XRefCopy6Row" hidden="1" function="0" vbProcedure="0">#REF!</definedName>
    <definedName name="XRefCopy7" hidden="1" function="0" vbProcedure="0">#REF!</definedName>
    <definedName name="XRefCopy70Row" hidden="1" function="0" vbProcedure="0">#REF!</definedName>
    <definedName name="XRefCopy71Row" hidden="1" function="0" vbProcedure="0">#REF!</definedName>
    <definedName name="XRefCopy72Row" hidden="1" function="0" vbProcedure="0">#REF!</definedName>
    <definedName name="XRefCopy73Row" hidden="1" function="0" vbProcedure="0">#REF!</definedName>
    <definedName name="XRefCopy74Row" hidden="1" function="0" vbProcedure="0">#REF!</definedName>
    <definedName name="XRefCopy75Row" hidden="1" function="0" vbProcedure="0">#REF!</definedName>
    <definedName name="XRefCopy76Row" hidden="1" function="0" vbProcedure="0">#REF!</definedName>
    <definedName name="XRefCopy77Row" hidden="1" function="0" vbProcedure="0">#REF!</definedName>
    <definedName name="XRefCopy78Row" hidden="1" function="0" vbProcedure="0">#REF!</definedName>
    <definedName name="XRefCopy7Row" hidden="1" function="0" vbProcedure="0">#REF!</definedName>
    <definedName name="XRefCopy8" hidden="1" function="0" vbProcedure="0">#REF!</definedName>
    <definedName name="XRefCopy80Row" hidden="1" function="0" vbProcedure="0">#REF!</definedName>
    <definedName name="XRefCopy81" hidden="1" function="0" vbProcedure="0">#REF!</definedName>
    <definedName name="XRefCopy81Row" hidden="1" function="0" vbProcedure="0">#REF!</definedName>
    <definedName name="XRefCopy82Row" hidden="1" function="0" vbProcedure="0">#REF!</definedName>
    <definedName name="XRefCopy8Row" hidden="1" function="0" vbProcedure="0">#REF!</definedName>
    <definedName name="XRefCopy9" hidden="1" function="0" vbProcedure="0">#REF!</definedName>
    <definedName name="XRefCopy9Row" hidden="1" function="0" vbProcedure="0">#REF!</definedName>
    <definedName name="XRefCopyRangeCount" hidden="1" function="0" vbProcedure="0">5</definedName>
    <definedName name="XRefPaste1" hidden="1" function="0" vbProcedure="0">#REF!</definedName>
    <definedName name="XRefPaste10" hidden="1" function="0" vbProcedure="0">#REF!</definedName>
    <definedName name="XRefPaste101" hidden="1" function="0" vbProcedure="0">#REF!</definedName>
    <definedName name="XRefPaste101Row" hidden="1" function="0" vbProcedure="0">#REF!</definedName>
    <definedName name="XRefPaste102" hidden="1" function="0" vbProcedure="0">#REF!</definedName>
    <definedName name="XRefPaste102Row" hidden="1" function="0" vbProcedure="0">#REF!</definedName>
    <definedName name="XRefPaste103" hidden="1" function="0" vbProcedure="0">#REF!</definedName>
    <definedName name="XRefPaste103Row" hidden="1" function="0" vbProcedure="0">#REF!</definedName>
    <definedName name="XRefPaste104Row" hidden="1" function="0" vbProcedure="0">#REF!</definedName>
    <definedName name="XRefPaste105Row" hidden="1" function="0" vbProcedure="0">#REF!</definedName>
    <definedName name="XRefPaste106" hidden="1" function="0" vbProcedure="0">#REF!</definedName>
    <definedName name="XRefPaste106Row" hidden="1" function="0" vbProcedure="0">#REF!</definedName>
    <definedName name="XRefPaste107Row" hidden="1" function="0" vbProcedure="0">#REF!</definedName>
    <definedName name="XRefPaste108Row" hidden="1" function="0" vbProcedure="0">#REF!</definedName>
    <definedName name="XRefPaste11" hidden="1" function="0" vbProcedure="0">#REF!</definedName>
    <definedName name="XRefPaste111Row" hidden="1" function="0" vbProcedure="0">#REF!</definedName>
    <definedName name="XRefPaste112Row" hidden="1" function="0" vbProcedure="0">#REF!</definedName>
    <definedName name="XRefPaste117" hidden="1" function="0" vbProcedure="0">#REF!</definedName>
    <definedName name="XRefPaste117Row" hidden="1" function="0" vbProcedure="0">#REF!</definedName>
    <definedName name="XRefPaste118" hidden="1" function="0" vbProcedure="0">#REF!</definedName>
    <definedName name="XRefPaste118Row" hidden="1" function="0" vbProcedure="0">#REF!</definedName>
    <definedName name="XRefPaste119" hidden="1" function="0" vbProcedure="0">#REF!</definedName>
    <definedName name="XRefPaste119Row" hidden="1" function="0" vbProcedure="0">#REF!</definedName>
    <definedName name="XRefPaste12" hidden="1" function="0" vbProcedure="0">#REF!</definedName>
    <definedName name="XRefPaste120" hidden="1" function="0" vbProcedure="0">#REF!</definedName>
    <definedName name="XRefPaste120Row" hidden="1" function="0" vbProcedure="0">#REF!</definedName>
    <definedName name="XRefPaste121Row" hidden="1" function="0" vbProcedure="0">#REF!</definedName>
    <definedName name="XRefPaste122Row" hidden="1" function="0" vbProcedure="0">#REF!</definedName>
    <definedName name="XRefPaste123Row" hidden="1" function="0" vbProcedure="0">#REF!</definedName>
    <definedName name="XRefPaste124Row" hidden="1" function="0" vbProcedure="0">#REF!</definedName>
    <definedName name="XRefPaste126Row" hidden="1" function="0" vbProcedure="0">#REF!</definedName>
    <definedName name="XRefPaste127Row" hidden="1" function="0" vbProcedure="0">#REF!</definedName>
    <definedName name="XRefPaste128Row" hidden="1" function="0" vbProcedure="0">#REF!</definedName>
    <definedName name="XRefPaste129Row" hidden="1" function="0" vbProcedure="0">#REF!</definedName>
    <definedName name="XRefPaste13" hidden="1" function="0" vbProcedure="0">#REF!</definedName>
    <definedName name="XRefPaste130Row" hidden="1" function="0" vbProcedure="0">#REF!</definedName>
    <definedName name="XRefPaste131Row" hidden="1" function="0" vbProcedure="0">#REF!</definedName>
    <definedName name="XRefPaste132Row" hidden="1" function="0" vbProcedure="0">#REF!</definedName>
    <definedName name="XRefPaste133Row" hidden="1" function="0" vbProcedure="0">#REF!</definedName>
    <definedName name="XRefPaste134Row" hidden="1" function="0" vbProcedure="0">#REF!</definedName>
    <definedName name="XRefPaste135Row" hidden="1" function="0" vbProcedure="0">#REF!</definedName>
    <definedName name="XRefPaste136Row" hidden="1" function="0" vbProcedure="0">#REF!</definedName>
    <definedName name="XRefPaste137Row" hidden="1" function="0" vbProcedure="0">#REF!</definedName>
    <definedName name="XRefPaste138Row" hidden="1" function="0" vbProcedure="0">#REF!</definedName>
    <definedName name="XRefPaste139" hidden="1" function="0" vbProcedure="0">#REF!</definedName>
    <definedName name="XRefPaste139Row" hidden="1" function="0" vbProcedure="0">#REF!</definedName>
    <definedName name="XRefPaste14" hidden="1" function="0" vbProcedure="0">#REF!</definedName>
    <definedName name="XRefPaste15" hidden="1" function="0" vbProcedure="0">#REF!</definedName>
    <definedName name="XRefPaste15Row" hidden="1" function="0" vbProcedure="0">#REF!</definedName>
    <definedName name="XRefPaste16" hidden="1" function="0" vbProcedure="0">#REF!</definedName>
    <definedName name="XRefPaste16Row" hidden="1" function="0" vbProcedure="0">#REF!</definedName>
    <definedName name="XRefPaste17Row" hidden="1" function="0" vbProcedure="0">#REF!</definedName>
    <definedName name="XRefPaste18" hidden="1" function="0" vbProcedure="0">#REF!</definedName>
    <definedName name="XRefPaste18Row" hidden="1" function="0" vbProcedure="0">#REF!</definedName>
    <definedName name="XRefPaste19" hidden="1" function="0" vbProcedure="0">#REF!</definedName>
    <definedName name="XRefPaste19Row" hidden="1" function="0" vbProcedure="0">#REF!</definedName>
    <definedName name="XRefPaste1Row" hidden="1" function="0" vbProcedure="0">#REF!</definedName>
    <definedName name="XRefPaste2" hidden="1" function="0" vbProcedure="0">#REF!</definedName>
    <definedName name="XRefPaste26" hidden="1" function="0" vbProcedure="0">#REF!</definedName>
    <definedName name="XRefPaste26Row" hidden="1" function="0" vbProcedure="0">#REF!</definedName>
    <definedName name="XRefPaste27Row" hidden="1" function="0" vbProcedure="0">#REF!</definedName>
    <definedName name="XRefPaste28" hidden="1" function="0" vbProcedure="0">#REF!</definedName>
    <definedName name="XRefPaste28Row" hidden="1" function="0" vbProcedure="0">#REF!</definedName>
    <definedName name="XRefPaste29" hidden="1" function="0" vbProcedure="0">#REF!</definedName>
    <definedName name="XRefPaste29Row" hidden="1" function="0" vbProcedure="0">#REF!</definedName>
    <definedName name="XRefPaste2Row" hidden="1" function="0" vbProcedure="0">#REF!</definedName>
    <definedName name="XRefPaste3" hidden="1" function="0" vbProcedure="0">#REF!</definedName>
    <definedName name="XRefPaste31" hidden="1" function="0" vbProcedure="0">#REF!</definedName>
    <definedName name="XRefPaste31Row" hidden="1" function="0" vbProcedure="0">#REF!</definedName>
    <definedName name="XRefPaste32" hidden="1" function="0" vbProcedure="0">#REF!</definedName>
    <definedName name="XRefPaste32Row" hidden="1" function="0" vbProcedure="0">#REF!</definedName>
    <definedName name="XRefPaste35" hidden="1" function="0" vbProcedure="0">#REF!</definedName>
    <definedName name="XRefPaste35Row" hidden="1" function="0" vbProcedure="0">#REF!</definedName>
    <definedName name="XRefPaste37" hidden="1" function="0" vbProcedure="0">#REF!</definedName>
    <definedName name="XRefPaste37Row" hidden="1" function="0" vbProcedure="0">#REF!</definedName>
    <definedName name="XRefPaste38" hidden="1" function="0" vbProcedure="0">#REF!</definedName>
    <definedName name="XRefPaste38Row" hidden="1" function="0" vbProcedure="0">#REF!</definedName>
    <definedName name="XRefPaste39" hidden="1" function="0" vbProcedure="0">#REF!</definedName>
    <definedName name="XRefPaste39Row" hidden="1" function="0" vbProcedure="0">#REF!</definedName>
    <definedName name="XRefPaste3Row" hidden="1" function="0" vbProcedure="0">#REF!</definedName>
    <definedName name="XRefPaste4" hidden="1" function="0" vbProcedure="0">#REF!</definedName>
    <definedName name="XRefPaste44" hidden="1" function="0" vbProcedure="0">#REF!</definedName>
    <definedName name="XRefPaste44Row" hidden="1" function="0" vbProcedure="0">#REF!</definedName>
    <definedName name="XRefPaste45" hidden="1" function="0" vbProcedure="0">#REF!</definedName>
    <definedName name="XRefPaste45Row" hidden="1" function="0" vbProcedure="0">#REF!</definedName>
    <definedName name="XRefPaste4Row" hidden="1" function="0" vbProcedure="0">#REF!</definedName>
    <definedName name="XRefPaste5" hidden="1" function="0" vbProcedure="0">#REF!</definedName>
    <definedName name="XRefPaste56Row" hidden="1" function="0" vbProcedure="0">#REF!</definedName>
    <definedName name="XRefPaste57Row" hidden="1" function="0" vbProcedure="0">#REF!</definedName>
    <definedName name="XRefPaste59Row" hidden="1" function="0" vbProcedure="0">#REF!</definedName>
    <definedName name="XRefPaste5Row" hidden="1" function="0" vbProcedure="0">#REF!</definedName>
    <definedName name="XRefPaste6" hidden="1" function="0" vbProcedure="0">#REF!</definedName>
    <definedName name="XRefPaste62Row" hidden="1" function="0" vbProcedure="0">#REF!</definedName>
    <definedName name="XRefPaste63Row" hidden="1" function="0" vbProcedure="0">#REF!</definedName>
    <definedName name="XRefPaste64Row" hidden="1" function="0" vbProcedure="0">#REF!</definedName>
    <definedName name="XRefPaste65Row" hidden="1" function="0" vbProcedure="0">#REF!</definedName>
    <definedName name="XRefPaste67Row" hidden="1" function="0" vbProcedure="0">#REF!</definedName>
    <definedName name="XRefPaste68Row" hidden="1" function="0" vbProcedure="0">#REF!</definedName>
    <definedName name="XRefPaste69Row" hidden="1" function="0" vbProcedure="0">#REF!</definedName>
    <definedName name="XRefPaste6Row" hidden="1" function="0" vbProcedure="0">#REF!</definedName>
    <definedName name="XRefPaste7" hidden="1" function="0" vbProcedure="0">#REF!</definedName>
    <definedName name="XRefPaste70Row" hidden="1" function="0" vbProcedure="0">#REF!</definedName>
    <definedName name="XRefPaste71Row" hidden="1" function="0" vbProcedure="0">#REF!</definedName>
    <definedName name="XRefPaste75Row" hidden="1" function="0" vbProcedure="0">#REF!</definedName>
    <definedName name="XRefPaste7Row" hidden="1" function="0" vbProcedure="0">#REF!</definedName>
    <definedName name="XRefPaste8" hidden="1" function="0" vbProcedure="0">#REF!</definedName>
    <definedName name="XRefPaste9" hidden="1" function="0" vbProcedure="0">#REF!</definedName>
    <definedName name="XRefPaste99Row" hidden="1" function="0" vbProcedure="0">#REF!</definedName>
    <definedName name="XRefPasteRangeCount" hidden="1" function="0" vbProcedure="0">35</definedName>
    <definedName name="XREF_COLUMN_1" hidden="1" function="0" vbProcedure="0">#REF!</definedName>
    <definedName name="XREF_COLUMN_10" hidden="1" function="0" vbProcedure="0">#REF!</definedName>
    <definedName name="XREF_COLUMN_11" hidden="1" function="0" vbProcedure="0">#REF!</definedName>
    <definedName name="XREF_COLUMN_14" hidden="1" function="0" vbProcedure="0">#REF!</definedName>
    <definedName name="XREF_COLUMN_15" hidden="1" function="0" vbProcedure="0">#REF!</definedName>
    <definedName name="XREF_COLUMN_16" hidden="1" function="0" vbProcedure="0">#REF!</definedName>
    <definedName name="XREF_COLUMN_17" hidden="1" function="0" vbProcedure="0">#REF!</definedName>
    <definedName name="XREF_COLUMN_19" hidden="1" function="0" vbProcedure="0">#REF!</definedName>
    <definedName name="XREF_COLUMN_2" hidden="1" function="0" vbProcedure="0">#REF!</definedName>
    <definedName name="XREF_COLUMN_20" hidden="1" function="0" vbProcedure="0">#REF!</definedName>
    <definedName name="XREF_COLUMN_21" hidden="1" function="0" vbProcedure="0">#REF!</definedName>
    <definedName name="XREF_COLUMN_3" hidden="1" function="0" vbProcedure="0">#REF!</definedName>
    <definedName name="XREF_COLUMN_4" hidden="1" function="0" vbProcedure="0">#REF!</definedName>
    <definedName name="XREF_COLUMN_5" hidden="1" function="0" vbProcedure="0">#REF!</definedName>
    <definedName name="XREF_COLUMN_6" hidden="1" function="0" vbProcedure="0">#REF!</definedName>
    <definedName name="XREF_COLUMN_7" hidden="1" function="0" vbProcedure="0">#REF!</definedName>
    <definedName name="XREF_COLUMN_8" hidden="1" function="0" vbProcedure="0">#REF!</definedName>
    <definedName name="XREF_COLUMN_9" hidden="1" function="0" vbProcedure="0">#REF!</definedName>
    <definedName name="_Fill" hidden="1" function="0" vbProcedure="0">#REF!</definedName>
    <definedName name="beta_observed" localSheetId="1" hidden="0" function="0" vbProcedure="0">#REF!</definedName>
    <definedName name="ticker" localSheetId="1" hidden="0" function="0" vbProcedure="0">#REF!</definedName>
    <definedName name="costdebtfirm" localSheetId="3" hidden="0" function="0" vbProcedure="0">Valuation!$D$86</definedName>
    <definedName name="costequity" localSheetId="3" hidden="0" function="0" vbProcedure="0">Valuation!$D$94</definedName>
    <definedName name="debt" localSheetId="3" hidden="0" function="0" vbProcedure="0">Valuation!$G$88</definedName>
    <definedName name="debt_weight" localSheetId="3" hidden="0" function="0" vbProcedure="0">Valuation!$J$88</definedName>
    <definedName name="g" localSheetId="3" hidden="0" function="0" vbProcedure="0">Valuation!$D$63</definedName>
    <definedName name="market_equity" localSheetId="3" hidden="0" function="0" vbProcedure="0">Valuation!$G$89</definedName>
    <definedName name="noplat_t1" localSheetId="3" hidden="0" function="0" vbProcedure="0">Valuation!$D$65</definedName>
    <definedName name="relevered_beta" localSheetId="3" hidden="0" function="0" vbProcedure="0">Valuation!$M$102</definedName>
    <definedName name="risk_free_rate" localSheetId="3" hidden="0" function="0" vbProcedure="0">Valuation!$D$91</definedName>
    <definedName name="risk_premium" localSheetId="3" hidden="0" function="0" vbProcedure="0">Valuation!$D$92</definedName>
    <definedName name="ronic" localSheetId="3" hidden="0" function="0" vbProcedure="0">Valuation!$D$64</definedName>
    <definedName name="scenario" localSheetId="3" hidden="0" function="0" vbProcedure="0">Valuation!$E$8</definedName>
    <definedName name="stub_year_fraction" localSheetId="3" hidden="0" function="0" vbProcedure="0">Valuation!$D$11</definedName>
    <definedName name="totalcap" localSheetId="3" hidden="0" function="0" vbProcedure="0">Valuation!$G$90</definedName>
    <definedName name="wacc" localSheetId="3" hidden="0" function="0" vbProcedure="0">Valuation!$D$12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3">
    <numFmt numFmtId="164" formatCode="#,##0.0;\(#,##0.0\)"/>
    <numFmt numFmtId="165" formatCode="#,##0;\(#,##0\)"/>
    <numFmt numFmtId="166" formatCode="#,##0_ ;[RED]\-#,##0\ "/>
    <numFmt numFmtId="167" formatCode="#,##0_);[RED]\(#,##0\)"/>
    <numFmt numFmtId="168" formatCode="#,##0.0_);[RED]\(#,##0.0\)"/>
    <numFmt numFmtId="169" formatCode="#,##0.0_ ;[RED]\-#,##0.0\ "/>
    <numFmt numFmtId="170" formatCode="[$-409]d\-mmm;@"/>
    <numFmt numFmtId="171" formatCode="[$-409]d\-mmm"/>
    <numFmt numFmtId="172" formatCode="[$-416]d\-mmm"/>
    <numFmt numFmtId="173" formatCode="0.0%"/>
    <numFmt numFmtId="174" formatCode="#,##0.0;[RED]#,##0.0"/>
    <numFmt numFmtId="175" formatCode="#,##0.00_);[RED]\(#,##0.00\)"/>
    <numFmt numFmtId="176" formatCode="0.0\x"/>
    <numFmt numFmtId="177" formatCode="0.0"/>
    <numFmt numFmtId="178" formatCode="[$-409]d\-mmm\-yy;@"/>
    <numFmt numFmtId="179" formatCode="[$BRL]\ #,##0.00_);[RED]\([$BRL]\ #,##0.00\)"/>
    <numFmt numFmtId="180" formatCode="#,##0.0_);\(#,##0.0\)"/>
    <numFmt numFmtId="181" formatCode="#,##0.000_);\(#,##0.000\)"/>
    <numFmt numFmtId="182" formatCode="&quot;R$ &quot;#,##0.00"/>
    <numFmt numFmtId="183" formatCode="#,##0.0\x"/>
    <numFmt numFmtId="184" formatCode="\$#,##0.00_);&quot;($&quot;#,##0.00\)"/>
    <numFmt numFmtId="185" formatCode="#,##0.000_);[RED]\(#,##0.000\)"/>
    <numFmt numFmtId="186" formatCode="\$#,##0.00_);[RED]&quot;($&quot;#,##0.00\)"/>
    <numFmt numFmtId="187" formatCode="\$#,##0.0_);&quot;($&quot;#,##0.0\)"/>
    <numFmt numFmtId="188" formatCode="#,##0_);\(#,##0\)"/>
    <numFmt numFmtId="189" formatCode="0.0%;\(0.0%\)"/>
    <numFmt numFmtId="190" formatCode="0.000"/>
    <numFmt numFmtId="191" formatCode="#,##0.00_);\(#,##0.00\)"/>
    <numFmt numFmtId="192" formatCode="_(\$* #,##0.00_);_(\$* \(#,##0.00\);_(\$* \-??_);_(@_)"/>
    <numFmt numFmtId="193" formatCode="m/d/yyyy"/>
    <numFmt numFmtId="194" formatCode="0_);\(0\)"/>
    <numFmt numFmtId="195" formatCode="_(* #,##0.00_);_(* \(#,##0.00\);_(* \-??_);_(@_)"/>
    <numFmt numFmtId="196" formatCode="#,##0.0"/>
  </numFmts>
  <fonts count="28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8"/>
    </font>
    <font>
      <name val="Verdana"/>
      <charset val="1"/>
      <family val="2"/>
      <color theme="1"/>
      <sz val="10"/>
    </font>
    <font>
      <name val="Arial"/>
      <charset val="1"/>
      <family val="2"/>
      <sz val="8"/>
    </font>
    <font>
      <name val="Arial"/>
      <charset val="1"/>
      <family val="2"/>
      <b val="1"/>
      <color rgb="FF333333"/>
      <sz val="10"/>
    </font>
    <font>
      <name val="Calibri"/>
      <charset val="1"/>
      <family val="2"/>
      <color rgb="FF000000"/>
      <sz val="11"/>
    </font>
    <font>
      <name val="Cambria"/>
      <charset val="1"/>
      <family val="0"/>
      <b val="1"/>
      <sz val="11"/>
    </font>
    <font>
      <name val="Verdana"/>
      <charset val="1"/>
      <family val="0"/>
      <color rgb="FF808080"/>
      <sz val="10"/>
    </font>
    <font>
      <name val="Verdana"/>
      <charset val="1"/>
      <family val="2"/>
      <color rgb="FF0000FF"/>
      <sz val="10"/>
    </font>
    <font>
      <name val="Verdana"/>
      <charset val="1"/>
      <family val="2"/>
      <b val="1"/>
      <color theme="1"/>
      <sz val="10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i val="1"/>
      <color theme="1"/>
      <sz val="10"/>
    </font>
    <font>
      <name val="Verdana"/>
      <charset val="1"/>
      <family val="2"/>
      <sz val="10"/>
    </font>
    <font>
      <name val="Verdana"/>
      <charset val="1"/>
      <family val="2"/>
      <b val="1"/>
      <color theme="0"/>
      <sz val="10"/>
    </font>
    <font>
      <name val="Verdana"/>
      <charset val="1"/>
      <family val="2"/>
      <b val="1"/>
      <sz val="10"/>
    </font>
    <font>
      <name val="Verdana"/>
      <charset val="1"/>
      <family val="2"/>
      <b val="1"/>
      <color theme="0" tint="-0.05"/>
      <sz val="10"/>
    </font>
    <font>
      <name val="Cambria"/>
      <charset val="1"/>
      <family val="0"/>
      <color rgb="FF808080"/>
      <sz val="11"/>
    </font>
    <font>
      <name val="Verdana"/>
      <charset val="1"/>
      <family val="2"/>
      <b val="1"/>
      <color rgb="FF333333"/>
      <sz val="10"/>
    </font>
    <font>
      <name val="Verdana"/>
      <charset val="1"/>
      <family val="2"/>
      <b val="1"/>
      <color rgb="FF0000FF"/>
      <sz val="10"/>
    </font>
    <font>
      <name val="Verdana"/>
      <charset val="1"/>
      <family val="2"/>
      <sz val="10"/>
      <u val="single"/>
    </font>
    <font>
      <name val="Verdana"/>
      <charset val="1"/>
      <family val="2"/>
      <color rgb="FF008000"/>
      <sz val="10"/>
    </font>
    <font>
      <name val="Arial"/>
      <family val="2"/>
      <sz val="10"/>
    </font>
    <font>
      <b val="1"/>
    </font>
    <font>
      <name val="Verdana"/>
      <b val="1"/>
      <sz val="10"/>
    </font>
  </fonts>
  <fills count="12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theme="4" tint="0.3999"/>
        <bgColor rgb="FF00B0F0"/>
      </patternFill>
    </fill>
    <fill>
      <patternFill patternType="solid">
        <fgColor rgb="FF00B0F0"/>
        <bgColor rgb="FF46B1E1"/>
      </patternFill>
    </fill>
    <fill>
      <patternFill patternType="solid">
        <fgColor theme="0" tint="-0.05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hair">
        <color rgb="FF0000FF"/>
      </left>
      <right style="hair">
        <color rgb="FF0000FF"/>
      </right>
      <top style="thin"/>
      <bottom style="hair">
        <color rgb="FF0000FF"/>
      </bottom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/>
      <diagonal/>
    </border>
    <border>
      <left style="thin">
        <color rgb="FFFFFF00"/>
      </left>
      <right/>
      <top/>
      <bottom style="thin"/>
      <diagonal/>
    </border>
    <border>
      <left style="medium">
        <color rgb="FF00B050"/>
      </left>
      <right style="thin"/>
      <top style="medium">
        <color rgb="FF00B050"/>
      </top>
      <bottom style="medium">
        <color rgb="FF00B050"/>
      </bottom>
      <diagonal/>
    </border>
    <border>
      <left/>
      <right style="thin"/>
      <top style="thin">
        <color rgb="FFFFFF00"/>
      </top>
      <bottom style="thin">
        <color rgb="FFFFFF00"/>
      </bottom>
      <diagonal/>
    </border>
    <border>
      <left/>
      <right style="thin"/>
      <top style="thin">
        <color rgb="FFFFFF00"/>
      </top>
      <bottom/>
      <diagonal/>
    </border>
    <border>
      <left style="thin"/>
      <right style="thin"/>
      <top style="thin"/>
      <bottom style="thin"/>
      <diagonal/>
    </border>
  </borders>
  <cellStyleXfs count="1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92" fontId="4" fillId="0" borderId="0" applyAlignment="1">
      <alignment horizontal="general" vertical="bottom"/>
    </xf>
    <xf numFmtId="193" fontId="5" fillId="0" borderId="1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194" fontId="7" fillId="0" borderId="0" applyAlignment="1">
      <alignment horizontal="general" vertical="bottom"/>
    </xf>
    <xf numFmtId="0" fontId="8" fillId="2" borderId="2" applyAlignment="1">
      <alignment horizontal="general" vertical="bottom"/>
    </xf>
    <xf numFmtId="9" fontId="6" fillId="0" borderId="0" applyAlignment="1">
      <alignment horizontal="general" vertical="bottom"/>
    </xf>
    <xf numFmtId="195" fontId="9" fillId="0" borderId="0" applyAlignment="1">
      <alignment horizontal="general" vertical="bottom"/>
    </xf>
  </cellStyleXfs>
  <cellXfs count="520"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0" fontId="13" fillId="0" borderId="0" applyAlignment="1" pivotButton="0" quotePrefix="0" xfId="0">
      <alignment horizontal="general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general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0" fillId="0" borderId="1" pivotButton="0" quotePrefix="0" xfId="0"/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0" fillId="0" borderId="11" pivotButton="0" quotePrefix="0" xfId="0"/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26" fillId="0" borderId="0" pivotButton="0" quotePrefix="0" xfId="0"/>
    <xf numFmtId="3" fontId="0" fillId="0" borderId="0" pivotButton="0" quotePrefix="0" xfId="0"/>
    <xf numFmtId="196" fontId="12" fillId="4" borderId="0" applyAlignment="1" pivotButton="0" quotePrefix="0" xfId="0">
      <alignment horizontal="center" vertical="bottom"/>
    </xf>
    <xf numFmtId="196" fontId="6" fillId="0" borderId="0" applyAlignment="1" pivotButton="0" quotePrefix="0" xfId="0">
      <alignment horizontal="center" vertical="bottom"/>
    </xf>
    <xf numFmtId="3" fontId="13" fillId="5" borderId="0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0" fontId="27" fillId="5" borderId="0" applyAlignment="1" pivotButton="0" quotePrefix="0" xfId="22">
      <alignment horizontal="general" vertical="bottom"/>
    </xf>
    <xf numFmtId="173" fontId="13" fillId="5" borderId="0" applyAlignment="1" pivotButton="0" quotePrefix="0" xfId="0">
      <alignment horizontal="center" vertical="bottom"/>
    </xf>
    <xf numFmtId="173" fontId="13" fillId="0" borderId="0" applyAlignment="1" pivotButton="0" quotePrefix="0" xfId="0">
      <alignment horizontal="center" vertical="bottom"/>
    </xf>
  </cellXfs>
  <cellStyles count="1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m/d/yy" xfId="7"/>
    <cellStyle name="Normal 2" xfId="8"/>
    <cellStyle name="Normal 2 2" xfId="9"/>
    <cellStyle name="Normal 2 3" xfId="10"/>
    <cellStyle name="Normal 4" xfId="11"/>
    <cellStyle name="Normal [3] 2" xfId="12"/>
    <cellStyle name="Output_dcfmodel" xfId="13"/>
    <cellStyle name="Porcentagem 3" xfId="14"/>
    <cellStyle name="Separador de milhares 2 17" xfId="15"/>
  </cellStyles>
  <dxfs count="4"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2CC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J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baseColWidth="8" defaultColWidth="8.53125" defaultRowHeight="15" zeroHeight="0" outlineLevelRow="0"/>
  <cols>
    <col width="6" customWidth="1" style="254" min="1" max="1"/>
    <col width="7" customWidth="1" style="254" min="2" max="2"/>
    <col width="6" customWidth="1" style="254" min="3" max="3"/>
    <col width="7" customWidth="1" style="254" min="4" max="4"/>
    <col width="6" customWidth="1" style="254" min="5" max="5"/>
    <col width="7" customWidth="1" style="254" min="6" max="6"/>
    <col width="8" customWidth="1" style="254" min="7" max="7"/>
    <col width="95" customWidth="1" style="254" min="8" max="8"/>
    <col width="20" customWidth="1" style="254" min="9" max="9"/>
    <col width="10" customWidth="1" style="254" min="10" max="10"/>
    <col width="13" customWidth="1" style="254" min="11" max="36"/>
  </cols>
  <sheetData>
    <row r="1" ht="15" customHeight="1" s="255">
      <c r="A1" s="254" t="inlineStr">
        <is>
          <t>Fator p/ milhões:</t>
        </is>
      </c>
      <c r="B1" s="254" t="n">
        <v>1e-06</v>
      </c>
      <c r="D1" s="254" t="inlineStr">
        <is>
          <t>Walmart Inc. (WMT, CIK 104169)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 ht="15" customHeight="1" s="255">
      <c r="J2" s="254" t="inlineStr">
        <is>
          <t>Trimestre fiscal</t>
        </is>
      </c>
      <c r="K2" s="254" t="inlineStr">
        <is>
          <t>FQ1</t>
        </is>
      </c>
      <c r="L2" s="254" t="inlineStr">
        <is>
          <t>FQ2</t>
        </is>
      </c>
      <c r="M2" s="254" t="inlineStr">
        <is>
          <t>FQ3</t>
        </is>
      </c>
      <c r="N2" s="254" t="inlineStr">
        <is>
          <t>FQ4</t>
        </is>
      </c>
      <c r="O2" s="254" t="inlineStr">
        <is>
          <t>FQ1</t>
        </is>
      </c>
      <c r="P2" s="254" t="inlineStr">
        <is>
          <t>FQ2</t>
        </is>
      </c>
      <c r="Q2" s="254" t="inlineStr">
        <is>
          <t>FQ3</t>
        </is>
      </c>
      <c r="R2" s="254" t="inlineStr">
        <is>
          <t>FQ4</t>
        </is>
      </c>
      <c r="S2" s="254" t="inlineStr">
        <is>
          <t>FQ1</t>
        </is>
      </c>
      <c r="T2" s="254" t="inlineStr">
        <is>
          <t>FQ2</t>
        </is>
      </c>
      <c r="U2" s="254" t="inlineStr">
        <is>
          <t>FQ3</t>
        </is>
      </c>
      <c r="V2" s="254" t="inlineStr">
        <is>
          <t>FQ4</t>
        </is>
      </c>
      <c r="W2" s="254" t="inlineStr">
        <is>
          <t>FQ1</t>
        </is>
      </c>
      <c r="X2" s="254" t="inlineStr">
        <is>
          <t>FQ2</t>
        </is>
      </c>
      <c r="Y2" s="254" t="inlineStr">
        <is>
          <t>FQ3</t>
        </is>
      </c>
      <c r="Z2" s="254" t="inlineStr">
        <is>
          <t>FQ4</t>
        </is>
      </c>
      <c r="AA2" s="254" t="inlineStr">
        <is>
          <t>FQ1</t>
        </is>
      </c>
      <c r="AB2" s="254" t="inlineStr">
        <is>
          <t>FQ2</t>
        </is>
      </c>
      <c r="AC2" s="254" t="inlineStr">
        <is>
          <t>FQ3</t>
        </is>
      </c>
      <c r="AD2" s="254" t="inlineStr">
        <is>
          <t>FQ4</t>
        </is>
      </c>
      <c r="AE2" s="254" t="inlineStr">
        <is>
          <t>FQ1</t>
        </is>
      </c>
      <c r="AF2" s="254" t="inlineStr">
        <is>
          <t>FQ2</t>
        </is>
      </c>
      <c r="AG2" s="254" t="inlineStr">
        <is>
          <t>FQ3</t>
        </is>
      </c>
      <c r="AH2" s="254" t="inlineStr">
        <is>
          <t>FQ4</t>
        </is>
      </c>
      <c r="AI2" s="254" t="inlineStr">
        <is>
          <t>FQ1</t>
        </is>
      </c>
      <c r="AJ2" s="254" t="inlineStr">
        <is>
          <t>FQ2</t>
        </is>
      </c>
    </row>
    <row r="4" ht="15" customHeight="1" s="255">
      <c r="A4" s="256" t="inlineStr">
        <is>
          <t>COD1</t>
        </is>
      </c>
      <c r="B4" s="256" t="inlineStr">
        <is>
          <t>SINAL1</t>
        </is>
      </c>
      <c r="C4" s="256" t="inlineStr">
        <is>
          <t>COD2</t>
        </is>
      </c>
      <c r="D4" s="256" t="inlineStr">
        <is>
          <t>SINAL2</t>
        </is>
      </c>
      <c r="E4" s="256" t="inlineStr">
        <is>
          <t>COD3</t>
        </is>
      </c>
      <c r="F4" s="256" t="inlineStr">
        <is>
          <t>SINAL3</t>
        </is>
      </c>
      <c r="G4" s="256" t="inlineStr">
        <is>
          <t>UNID</t>
        </is>
      </c>
      <c r="H4" s="256" t="inlineStr">
        <is>
          <t>Conta (PT) / origem</t>
        </is>
      </c>
      <c r="I4" s="256" t="inlineStr">
        <is>
          <t>Account (EN)</t>
        </is>
      </c>
      <c r="J4" s="256" t="inlineStr">
        <is>
          <t>ORIGEM</t>
        </is>
      </c>
      <c r="K4" s="256" t="inlineStr">
        <is>
          <t>1Q20</t>
        </is>
      </c>
      <c r="L4" s="256" t="inlineStr">
        <is>
          <t>2Q20</t>
        </is>
      </c>
      <c r="M4" s="256" t="inlineStr">
        <is>
          <t>3Q20</t>
        </is>
      </c>
      <c r="N4" s="256" t="inlineStr">
        <is>
          <t>4Q20</t>
        </is>
      </c>
      <c r="O4" s="256" t="inlineStr">
        <is>
          <t>1Q21</t>
        </is>
      </c>
      <c r="P4" s="256" t="inlineStr">
        <is>
          <t>2Q21</t>
        </is>
      </c>
      <c r="Q4" s="256" t="inlineStr">
        <is>
          <t>3Q21</t>
        </is>
      </c>
      <c r="R4" s="256" t="inlineStr">
        <is>
          <t>4Q21</t>
        </is>
      </c>
      <c r="S4" s="256" t="inlineStr">
        <is>
          <t>1Q22</t>
        </is>
      </c>
      <c r="T4" s="256" t="inlineStr">
        <is>
          <t>2Q22</t>
        </is>
      </c>
      <c r="U4" s="256" t="inlineStr">
        <is>
          <t>3Q22</t>
        </is>
      </c>
      <c r="V4" s="256" t="inlineStr">
        <is>
          <t>4Q22</t>
        </is>
      </c>
      <c r="W4" s="256" t="inlineStr">
        <is>
          <t>1Q23</t>
        </is>
      </c>
      <c r="X4" s="256" t="inlineStr">
        <is>
          <t>2Q23</t>
        </is>
      </c>
      <c r="Y4" s="256" t="inlineStr">
        <is>
          <t>3Q23</t>
        </is>
      </c>
      <c r="Z4" s="256" t="inlineStr">
        <is>
          <t>4Q23</t>
        </is>
      </c>
      <c r="AA4" s="256" t="inlineStr">
        <is>
          <t>1Q24</t>
        </is>
      </c>
      <c r="AB4" s="256" t="inlineStr">
        <is>
          <t>2Q24</t>
        </is>
      </c>
      <c r="AC4" s="256" t="inlineStr">
        <is>
          <t>3Q24</t>
        </is>
      </c>
      <c r="AD4" s="256" t="inlineStr">
        <is>
          <t>4Q24</t>
        </is>
      </c>
      <c r="AE4" s="256" t="inlineStr">
        <is>
          <t>1Q25</t>
        </is>
      </c>
      <c r="AF4" s="256" t="inlineStr">
        <is>
          <t>2Q25</t>
        </is>
      </c>
      <c r="AG4" s="256" t="inlineStr">
        <is>
          <t>3Q25</t>
        </is>
      </c>
      <c r="AH4" s="256" t="inlineStr">
        <is>
          <t>4Q25</t>
        </is>
      </c>
      <c r="AI4" s="256" t="inlineStr">
        <is>
          <t>1Q26</t>
        </is>
      </c>
      <c r="AJ4" s="256" t="inlineStr">
        <is>
          <t>2Q26</t>
        </is>
      </c>
    </row>
    <row r="5" ht="15" customHeight="1" s="255">
      <c r="H5" s="256" t="inlineStr">
        <is>
          <t>DRE - trimestre isolado (USD). Brutos SEC XBRL; linhas "derivada" são fórmulas nesta aba</t>
        </is>
      </c>
    </row>
    <row r="6" ht="15" customHeight="1" s="255">
      <c r="A6" s="254" t="n">
        <v>1</v>
      </c>
      <c r="B6" s="254" t="n">
        <v>1</v>
      </c>
      <c r="G6" s="254" t="inlineStr">
        <is>
          <t>moeda</t>
        </is>
      </c>
      <c r="H6" s="254" t="inlineStr">
        <is>
          <t>Receita [us-gaap:Revenues/RevenueFromContractWithCustomerExcludingAssessedTax]</t>
        </is>
      </c>
      <c r="J6" s="254" t="inlineStr">
        <is>
          <t>fonte</t>
        </is>
      </c>
      <c r="K6" s="257" t="n">
        <v>134622000000</v>
      </c>
      <c r="L6" s="257" t="n">
        <v>137742000000</v>
      </c>
      <c r="M6" s="257" t="n">
        <v>134708000000</v>
      </c>
      <c r="N6" s="257" t="n">
        <v>152079000000</v>
      </c>
      <c r="O6" s="257" t="n">
        <v>138310000000</v>
      </c>
      <c r="P6" s="257" t="n">
        <v>141048000000</v>
      </c>
      <c r="Q6" s="257" t="n">
        <v>140525000000</v>
      </c>
      <c r="R6" s="257" t="n">
        <v>152871000000</v>
      </c>
      <c r="S6" s="257" t="n">
        <v>141569000000</v>
      </c>
      <c r="T6" s="257" t="n">
        <v>152859000000</v>
      </c>
      <c r="U6" s="257" t="n">
        <v>152813000000</v>
      </c>
      <c r="V6" s="257" t="n">
        <v>164048000000</v>
      </c>
      <c r="W6" s="257" t="n">
        <v>152301000000</v>
      </c>
      <c r="X6" s="257" t="n">
        <v>161632000000</v>
      </c>
      <c r="Y6" s="257" t="n">
        <v>160804000000</v>
      </c>
      <c r="Z6" s="257" t="n">
        <v>173388000000</v>
      </c>
      <c r="AA6" s="257" t="n">
        <v>161508000000</v>
      </c>
      <c r="AB6" s="257" t="n">
        <v>169335000000</v>
      </c>
      <c r="AC6" s="257" t="n">
        <v>169588000000</v>
      </c>
      <c r="AD6" s="257" t="n">
        <v>180554000000</v>
      </c>
      <c r="AE6" s="257" t="n">
        <v>165609000000</v>
      </c>
      <c r="AF6" s="257" t="n">
        <v>177402000000</v>
      </c>
      <c r="AG6" s="257" t="n">
        <v>179496000000</v>
      </c>
      <c r="AH6" s="257" t="n">
        <v>190656000000</v>
      </c>
      <c r="AI6" s="257" t="n">
        <v>177751000000</v>
      </c>
      <c r="AJ6" s="257" t="n">
        <v>187937000000</v>
      </c>
    </row>
    <row r="7" ht="15" customHeight="1" s="255">
      <c r="A7" s="254" t="n">
        <v>2</v>
      </c>
      <c r="B7" s="254" t="n">
        <v>-1</v>
      </c>
      <c r="G7" s="254" t="inlineStr">
        <is>
          <t>moeda</t>
        </is>
      </c>
      <c r="H7" s="254" t="inlineStr">
        <is>
          <t>Custo da receita (divulgado positivo) [us-gaap:CostOfRevenue/CostOfGoodsAndServicesSold]</t>
        </is>
      </c>
      <c r="J7" s="254" t="inlineStr">
        <is>
          <t>fonte</t>
        </is>
      </c>
      <c r="K7" s="257" t="n">
        <v>102026000000</v>
      </c>
      <c r="L7" s="257" t="n">
        <v>102689000000</v>
      </c>
      <c r="M7" s="257" t="n">
        <v>100339000000</v>
      </c>
      <c r="N7" s="257" t="n">
        <v>115261000000</v>
      </c>
      <c r="O7" s="257" t="n">
        <v>103272000000</v>
      </c>
      <c r="P7" s="257" t="n">
        <v>105183000000</v>
      </c>
      <c r="Q7" s="257" t="n">
        <v>105023000000</v>
      </c>
      <c r="R7" s="257" t="n">
        <v>115522000000</v>
      </c>
      <c r="S7" s="257" t="n">
        <v>106847000000</v>
      </c>
      <c r="T7" s="257" t="n">
        <v>115838000000</v>
      </c>
      <c r="U7" s="257" t="n">
        <v>115613000000</v>
      </c>
      <c r="V7" s="257" t="n">
        <v>125423000000</v>
      </c>
      <c r="W7" s="257" t="n">
        <v>115284000000</v>
      </c>
      <c r="X7" s="257" t="n">
        <v>121850000000</v>
      </c>
      <c r="Y7" s="257" t="n">
        <v>121183000000</v>
      </c>
      <c r="Z7" s="257" t="n">
        <v>131825000000</v>
      </c>
      <c r="AA7" s="257" t="n">
        <v>121431000000</v>
      </c>
      <c r="AB7" s="257" t="n">
        <v>126810000000</v>
      </c>
      <c r="AC7" s="257" t="n">
        <v>127340000000</v>
      </c>
      <c r="AD7" s="257" t="n">
        <v>136172000000</v>
      </c>
      <c r="AE7" s="257" t="n">
        <v>124303000000</v>
      </c>
      <c r="AF7" s="257" t="n">
        <v>132771000000</v>
      </c>
      <c r="AG7" s="257" t="n">
        <v>134706000000</v>
      </c>
      <c r="AH7" s="257" t="n">
        <v>143615000000</v>
      </c>
      <c r="AI7" s="257" t="n">
        <v>133058000000</v>
      </c>
      <c r="AJ7" s="257" t="n">
        <v>138804000000</v>
      </c>
    </row>
    <row r="8" ht="15" customHeight="1" s="255">
      <c r="G8" s="254" t="inlineStr">
        <is>
          <t>moeda</t>
        </is>
      </c>
      <c r="H8" s="254" t="inlineStr">
        <is>
          <t>Lucro operacional [us-gaap:OperatingIncomeLoss]</t>
        </is>
      </c>
      <c r="J8" s="254" t="inlineStr">
        <is>
          <t>memoria</t>
        </is>
      </c>
      <c r="K8" s="257" t="n">
        <v>5224000000</v>
      </c>
      <c r="L8" s="257" t="n">
        <v>6059000000</v>
      </c>
      <c r="M8" s="257" t="n">
        <v>5778000000</v>
      </c>
      <c r="N8" s="257" t="n">
        <v>5487000000</v>
      </c>
      <c r="O8" s="257" t="n">
        <v>6909000000</v>
      </c>
      <c r="P8" s="257" t="n">
        <v>7354000000</v>
      </c>
      <c r="Q8" s="257" t="n">
        <v>5792000000</v>
      </c>
      <c r="R8" s="257" t="n">
        <v>5887000000</v>
      </c>
      <c r="S8" s="257" t="n">
        <v>5318000000</v>
      </c>
      <c r="T8" s="257" t="n">
        <v>6854000000</v>
      </c>
      <c r="U8" s="257" t="n">
        <v>2695000000</v>
      </c>
      <c r="V8" s="257" t="n">
        <v>5561000000</v>
      </c>
      <c r="W8" s="257" t="n">
        <v>6240000000</v>
      </c>
      <c r="X8" s="257" t="n">
        <v>7316000000</v>
      </c>
      <c r="Y8" s="257" t="n">
        <v>6202000000</v>
      </c>
      <c r="Z8" s="257" t="n">
        <v>7254000000</v>
      </c>
      <c r="AA8" s="257" t="n">
        <v>6841000000</v>
      </c>
      <c r="AB8" s="257" t="n">
        <v>7940000000</v>
      </c>
      <c r="AC8" s="257" t="n">
        <v>6708000000</v>
      </c>
      <c r="AD8" s="257" t="n">
        <v>7859000000</v>
      </c>
      <c r="AE8" s="257" t="n">
        <v>7135000000</v>
      </c>
      <c r="AF8" s="257" t="n">
        <v>7286000000</v>
      </c>
      <c r="AG8" s="257" t="n">
        <v>6696000000</v>
      </c>
      <c r="AH8" s="257" t="n">
        <v>8708000000</v>
      </c>
      <c r="AI8" s="257" t="n">
        <v>7493000000</v>
      </c>
      <c r="AJ8" s="257" t="n">
        <v>9383000000</v>
      </c>
    </row>
    <row r="9" ht="15" customHeight="1" s="255">
      <c r="A9" s="254" t="n">
        <v>3</v>
      </c>
      <c r="B9" s="254" t="n">
        <v>-1</v>
      </c>
      <c r="G9" s="254" t="inlineStr">
        <is>
          <t>moeda</t>
        </is>
      </c>
      <c r="H9" s="254" t="inlineStr">
        <is>
          <t>Despesas operacionais = receita - custo - lucro operacional (P&amp;D + SG&amp;A + outras operacionais)</t>
        </is>
      </c>
      <c r="J9" s="254" t="inlineStr">
        <is>
          <t>derivada</t>
        </is>
      </c>
      <c r="K9" s="257">
        <f>N(K6)-N(K7)-N(K8)</f>
        <v>27372000000</v>
      </c>
      <c r="L9" s="257">
        <f>N(L6)-N(L7)-N(L8)</f>
        <v>28994000000</v>
      </c>
      <c r="M9" s="257">
        <f>N(M6)-N(M7)-N(M8)</f>
        <v>28591000000</v>
      </c>
      <c r="N9" s="257">
        <f>N(N6)-N(N7)-N(N8)</f>
        <v>31331000000</v>
      </c>
      <c r="O9" s="257">
        <f>N(O6)-N(O7)-N(O8)</f>
        <v>28129000000</v>
      </c>
      <c r="P9" s="257">
        <f>N(P6)-N(P7)-N(P8)</f>
        <v>28511000000</v>
      </c>
      <c r="Q9" s="257">
        <f>N(Q6)-N(Q7)-N(Q8)</f>
        <v>29710000000</v>
      </c>
      <c r="R9" s="257">
        <f>N(R6)-N(R7)-N(R8)</f>
        <v>31462000000</v>
      </c>
      <c r="S9" s="257">
        <f>N(S6)-N(S7)-N(S8)</f>
        <v>29404000000</v>
      </c>
      <c r="T9" s="257">
        <f>N(T6)-N(T7)-N(T8)</f>
        <v>30167000000</v>
      </c>
      <c r="U9" s="257">
        <f>N(U6)-N(U7)-N(U8)</f>
        <v>34505000000</v>
      </c>
      <c r="V9" s="257">
        <f>N(V6)-N(V7)-N(V8)</f>
        <v>33064000000</v>
      </c>
      <c r="W9" s="257">
        <f>N(W6)-N(W7)-N(W8)</f>
        <v>30777000000</v>
      </c>
      <c r="X9" s="257">
        <f>N(X6)-N(X7)-N(X8)</f>
        <v>32466000000</v>
      </c>
      <c r="Y9" s="257">
        <f>N(Y6)-N(Y7)-N(Y8)</f>
        <v>33419000000</v>
      </c>
      <c r="Z9" s="257">
        <f>N(Z6)-N(Z7)-N(Z8)</f>
        <v>34309000000</v>
      </c>
      <c r="AA9" s="257">
        <f>N(AA6)-N(AA7)-N(AA8)</f>
        <v>33236000000</v>
      </c>
      <c r="AB9" s="257">
        <f>N(AB6)-N(AB7)-N(AB8)</f>
        <v>34585000000</v>
      </c>
      <c r="AC9" s="257">
        <f>N(AC6)-N(AC7)-N(AC8)</f>
        <v>35540000000</v>
      </c>
      <c r="AD9" s="257">
        <f>N(AD6)-N(AD7)-N(AD8)</f>
        <v>36523000000</v>
      </c>
      <c r="AE9" s="257">
        <f>N(AE6)-N(AE7)-N(AE8)</f>
        <v>34171000000</v>
      </c>
      <c r="AF9" s="257">
        <f>N(AF6)-N(AF7)-N(AF8)</f>
        <v>37345000000</v>
      </c>
      <c r="AG9" s="257">
        <f>N(AG6)-N(AG7)-N(AG8)</f>
        <v>38094000000</v>
      </c>
      <c r="AH9" s="257">
        <f>N(AH6)-N(AH7)-N(AH8)</f>
        <v>38333000000</v>
      </c>
      <c r="AI9" s="257">
        <f>N(AI6)-N(AI7)-N(AI8)</f>
        <v>37200000000</v>
      </c>
      <c r="AJ9" s="257">
        <f>N(AJ6)-N(AJ7)-N(AJ8)</f>
        <v>39750000000</v>
      </c>
    </row>
    <row r="10" ht="15" customHeight="1" s="255">
      <c r="G10" s="254" t="inlineStr">
        <is>
          <t>moeda</t>
        </is>
      </c>
      <c r="H10" s="254" t="inlineStr">
        <is>
          <t>Lucro antes do IR [us-gaap:IncomeLossFromContinuingOperationsBeforeIncomeTaxesExtraordi]</t>
        </is>
      </c>
      <c r="J10" s="254" t="inlineStr">
        <is>
          <t>memoria</t>
        </is>
      </c>
      <c r="K10" s="257" t="n">
        <v>5396000000</v>
      </c>
      <c r="L10" s="257" t="n">
        <v>8646000000</v>
      </c>
      <c r="M10" s="257" t="n">
        <v>7115000000</v>
      </c>
      <c r="N10" s="257" t="n">
        <v>-593000000</v>
      </c>
      <c r="O10" s="257" t="n">
        <v>3844000000</v>
      </c>
      <c r="P10" s="257" t="n">
        <v>5923000000</v>
      </c>
      <c r="Q10" s="257" t="n">
        <v>4147000000</v>
      </c>
      <c r="R10" s="257" t="n">
        <v>4782000000</v>
      </c>
      <c r="S10" s="257" t="n">
        <v>2901000000</v>
      </c>
      <c r="T10" s="257" t="n">
        <v>6644000000</v>
      </c>
      <c r="U10" s="257" t="n">
        <v>-1431000000</v>
      </c>
      <c r="V10" s="257" t="n">
        <v>8902000000</v>
      </c>
      <c r="W10" s="257" t="n">
        <v>2688000000</v>
      </c>
      <c r="X10" s="257" t="n">
        <v>10727000000</v>
      </c>
      <c r="Y10" s="257" t="n">
        <v>915000000</v>
      </c>
      <c r="Z10" s="257" t="n">
        <v>7518000000</v>
      </c>
      <c r="AA10" s="257" t="n">
        <v>7035000000</v>
      </c>
      <c r="AB10" s="257" t="n">
        <v>6213000000</v>
      </c>
      <c r="AC10" s="257" t="n">
        <v>6098000000</v>
      </c>
      <c r="AD10" s="257" t="n">
        <v>6963000000</v>
      </c>
      <c r="AE10" s="257" t="n">
        <v>5994000000</v>
      </c>
      <c r="AF10" s="257" t="n">
        <v>9319000000</v>
      </c>
      <c r="AG10" s="257" t="n">
        <v>8186000000</v>
      </c>
      <c r="AH10" s="257" t="n">
        <v>5970000000</v>
      </c>
      <c r="AI10" s="257" t="n">
        <v>7148000000</v>
      </c>
      <c r="AJ10" s="257" t="n">
        <v>8012000000</v>
      </c>
    </row>
    <row r="11" ht="15" customHeight="1" s="255">
      <c r="A11" s="254" t="n">
        <v>6</v>
      </c>
      <c r="B11" s="254" t="n">
        <v>1</v>
      </c>
      <c r="G11" s="254" t="inlineStr">
        <is>
          <t>moeda</t>
        </is>
      </c>
      <c r="H11" s="254" t="inlineStr">
        <is>
          <t>Resultado não operacional total = lucro antes do IR - lucro operacional</t>
        </is>
      </c>
      <c r="J11" s="254" t="inlineStr">
        <is>
          <t>derivada</t>
        </is>
      </c>
      <c r="K11" s="257">
        <f>N(K10)-N(K8)</f>
        <v>172000000</v>
      </c>
      <c r="L11" s="257">
        <f>N(L10)-N(L8)</f>
        <v>2587000000</v>
      </c>
      <c r="M11" s="257">
        <f>N(M10)-N(M8)</f>
        <v>1337000000</v>
      </c>
      <c r="N11" s="257">
        <f>N(N10)-N(N8)</f>
        <v>-6080000000</v>
      </c>
      <c r="O11" s="257">
        <f>N(O10)-N(O8)</f>
        <v>-3065000000</v>
      </c>
      <c r="P11" s="257">
        <f>N(P10)-N(P8)</f>
        <v>-1431000000</v>
      </c>
      <c r="Q11" s="257">
        <f>N(Q10)-N(Q8)</f>
        <v>-1645000000</v>
      </c>
      <c r="R11" s="257">
        <f>N(R10)-N(R8)</f>
        <v>-1105000000</v>
      </c>
      <c r="S11" s="257">
        <f>N(S10)-N(S8)</f>
        <v>-2417000000</v>
      </c>
      <c r="T11" s="257">
        <f>N(T10)-N(T8)</f>
        <v>-210000000</v>
      </c>
      <c r="U11" s="257">
        <f>N(U10)-N(U8)</f>
        <v>-4126000000</v>
      </c>
      <c r="V11" s="257">
        <f>N(V10)-N(V8)</f>
        <v>3341000000</v>
      </c>
      <c r="W11" s="257">
        <f>N(W10)-N(W8)</f>
        <v>-3552000000</v>
      </c>
      <c r="X11" s="257">
        <f>N(X10)-N(X8)</f>
        <v>3411000000</v>
      </c>
      <c r="Y11" s="257">
        <f>N(Y10)-N(Y8)</f>
        <v>-5287000000</v>
      </c>
      <c r="Z11" s="257">
        <f>N(Z10)-N(Z8)</f>
        <v>264000000</v>
      </c>
      <c r="AA11" s="257">
        <f>N(AA10)-N(AA8)</f>
        <v>194000000</v>
      </c>
      <c r="AB11" s="257">
        <f>N(AB10)-N(AB8)</f>
        <v>-1727000000</v>
      </c>
      <c r="AC11" s="257">
        <f>N(AC10)-N(AC8)</f>
        <v>-610000000</v>
      </c>
      <c r="AD11" s="257">
        <f>N(AD10)-N(AD8)</f>
        <v>-896000000</v>
      </c>
      <c r="AE11" s="257">
        <f>N(AE10)-N(AE8)</f>
        <v>-1141000000</v>
      </c>
      <c r="AF11" s="257">
        <f>N(AF10)-N(AF8)</f>
        <v>2033000000</v>
      </c>
      <c r="AG11" s="257">
        <f>N(AG10)-N(AG8)</f>
        <v>1490000000</v>
      </c>
      <c r="AH11" s="257">
        <f>N(AH10)-N(AH8)</f>
        <v>-2738000000</v>
      </c>
      <c r="AI11" s="257">
        <f>N(AI10)-N(AI8)</f>
        <v>-345000000</v>
      </c>
      <c r="AJ11" s="257">
        <f>N(AJ10)-N(AJ8)</f>
        <v>-1371000000</v>
      </c>
    </row>
    <row r="12" ht="15" customHeight="1" s="255">
      <c r="A12" s="254" t="n">
        <v>5</v>
      </c>
      <c r="B12" s="254" t="n">
        <v>-1</v>
      </c>
      <c r="C12" s="254" t="n">
        <v>6</v>
      </c>
      <c r="D12" s="254" t="n">
        <v>1</v>
      </c>
      <c r="G12" s="254" t="inlineStr">
        <is>
          <t>moeda</t>
        </is>
      </c>
      <c r="H12" s="254" t="inlineStr">
        <is>
          <t>Despesa de juros (divulgado positivo): COD1=5 lança; COD2=6 devolve ao não operacional, que já a contém [us-gaap:InterestExpense/InterestExpenseNonoperating]</t>
        </is>
      </c>
      <c r="J12" s="254" t="inlineStr">
        <is>
          <t>fonte</t>
        </is>
      </c>
      <c r="K12" s="257" t="n">
        <v>510000000</v>
      </c>
      <c r="L12" s="257" t="n">
        <v>577000000</v>
      </c>
      <c r="M12" s="257" t="n">
        <v>455000000</v>
      </c>
      <c r="N12" s="257" t="n">
        <v>434000000</v>
      </c>
      <c r="O12" s="257" t="n">
        <v>481000000</v>
      </c>
      <c r="P12" s="257" t="n">
        <v>437000000</v>
      </c>
      <c r="Q12" s="257" t="n">
        <v>408000000</v>
      </c>
      <c r="R12" s="257" t="n">
        <v>348000000</v>
      </c>
      <c r="S12" s="257" t="n">
        <v>372000000</v>
      </c>
      <c r="T12" s="257" t="n">
        <v>395000000</v>
      </c>
      <c r="U12" s="257" t="n">
        <v>499000000</v>
      </c>
      <c r="V12" s="257" t="n">
        <v>521000000</v>
      </c>
      <c r="W12" s="257" t="n">
        <v>568000000</v>
      </c>
      <c r="X12" s="257" t="n">
        <v>543000000</v>
      </c>
      <c r="Y12" s="257" t="n">
        <v>572000000</v>
      </c>
      <c r="Z12" s="257" t="n">
        <v>576000000</v>
      </c>
      <c r="AA12" s="257" t="n">
        <v>597000000</v>
      </c>
      <c r="AB12" s="257" t="n">
        <v>557000000</v>
      </c>
      <c r="AC12" s="257" t="n">
        <v>496000000</v>
      </c>
      <c r="AD12" s="257" t="n">
        <v>599000000</v>
      </c>
      <c r="AE12" s="257" t="n">
        <v>519000000</v>
      </c>
      <c r="AF12" s="257" t="n">
        <v>651000000</v>
      </c>
      <c r="AG12" s="257" t="n">
        <v>563000000</v>
      </c>
      <c r="AH12" s="257" t="n">
        <v>585000000</v>
      </c>
      <c r="AI12" s="257" t="n">
        <v>574000000</v>
      </c>
      <c r="AJ12" s="257" t="n">
        <v>137000000</v>
      </c>
    </row>
    <row r="13" ht="15" customHeight="1" s="255">
      <c r="A13" s="254" t="n">
        <v>7</v>
      </c>
      <c r="B13" s="254" t="n">
        <v>-1</v>
      </c>
      <c r="G13" s="254" t="inlineStr">
        <is>
          <t>moeda</t>
        </is>
      </c>
      <c r="H13" s="254" t="inlineStr">
        <is>
          <t>Imposto de renda (divulgado positivo) [us-gaap:IncomeTaxExpenseBenefit]</t>
        </is>
      </c>
      <c r="J13" s="254" t="inlineStr">
        <is>
          <t>fonte</t>
        </is>
      </c>
      <c r="K13" s="257" t="n">
        <v>1322000000</v>
      </c>
      <c r="L13" s="257" t="n">
        <v>2207000000</v>
      </c>
      <c r="M13" s="257" t="n">
        <v>1914000000</v>
      </c>
      <c r="N13" s="257" t="n">
        <v>1415000000</v>
      </c>
      <c r="O13" s="257" t="n">
        <v>1033000000</v>
      </c>
      <c r="P13" s="257" t="n">
        <v>1559000000</v>
      </c>
      <c r="Q13" s="257" t="n">
        <v>1015000000</v>
      </c>
      <c r="R13" s="257" t="n">
        <v>1149000000</v>
      </c>
      <c r="S13" s="257" t="n">
        <v>798000000</v>
      </c>
      <c r="T13" s="257" t="n">
        <v>1497000000</v>
      </c>
      <c r="U13" s="257" t="n">
        <v>336000000</v>
      </c>
      <c r="V13" s="257" t="n">
        <v>3093000000</v>
      </c>
      <c r="W13" s="257" t="n">
        <v>792000000</v>
      </c>
      <c r="X13" s="257" t="n">
        <v>2674000000</v>
      </c>
      <c r="Y13" s="257" t="n">
        <v>272000000</v>
      </c>
      <c r="Z13" s="257" t="n">
        <v>1840000000</v>
      </c>
      <c r="AA13" s="257" t="n">
        <v>1728000000</v>
      </c>
      <c r="AB13" s="257" t="n">
        <v>1502000000</v>
      </c>
      <c r="AC13" s="257" t="n">
        <v>1384000000</v>
      </c>
      <c r="AD13" s="257" t="n">
        <v>1538000000</v>
      </c>
      <c r="AE13" s="257" t="n">
        <v>1355000000</v>
      </c>
      <c r="AF13" s="257" t="n">
        <v>2168000000</v>
      </c>
      <c r="AG13" s="257" t="n">
        <v>2098000000</v>
      </c>
      <c r="AH13" s="257" t="n">
        <v>1578000000</v>
      </c>
      <c r="AI13" s="257" t="n">
        <v>1658000000</v>
      </c>
      <c r="AJ13" s="257" t="n">
        <v>1483000000</v>
      </c>
    </row>
    <row r="14" ht="15" customHeight="1" s="255">
      <c r="A14" s="254" t="n">
        <v>9</v>
      </c>
      <c r="B14" s="254" t="n">
        <v>-1</v>
      </c>
      <c r="G14" s="254" t="inlineStr">
        <is>
          <t>moeda</t>
        </is>
      </c>
      <c r="H14" s="254" t="inlineStr">
        <is>
          <t>Lucro atribuído a não controladores (divulgado positivo) [us-gaap:NetIncomeLossAttributableToNoncontrollingInterest]</t>
        </is>
      </c>
      <c r="J14" s="254" t="inlineStr">
        <is>
          <t>fonte</t>
        </is>
      </c>
      <c r="K14" s="257" t="n">
        <v>84000000</v>
      </c>
      <c r="L14" s="257" t="n">
        <v>-37000000</v>
      </c>
      <c r="M14" s="257" t="n">
        <v>66000000</v>
      </c>
      <c r="N14" s="257" t="n">
        <v>83000000</v>
      </c>
      <c r="O14" s="257" t="n">
        <v>81000000</v>
      </c>
      <c r="P14" s="257" t="n">
        <v>88000000</v>
      </c>
      <c r="Q14" s="257" t="n">
        <v>27000000</v>
      </c>
      <c r="R14" s="257" t="n">
        <v>71000000</v>
      </c>
      <c r="S14" s="257" t="n">
        <v>49000000</v>
      </c>
      <c r="T14" s="257" t="n">
        <v>-2000000</v>
      </c>
      <c r="U14" s="257" t="n">
        <v>31000000</v>
      </c>
      <c r="V14" s="257" t="n">
        <v>-466000000</v>
      </c>
      <c r="W14" s="257" t="n">
        <v>223000000</v>
      </c>
      <c r="X14" s="257" t="n">
        <v>162000000</v>
      </c>
      <c r="Y14" s="257" t="n">
        <v>190000000</v>
      </c>
      <c r="Z14" s="257" t="n">
        <v>184000000</v>
      </c>
      <c r="AA14" s="257" t="n">
        <v>203000000</v>
      </c>
      <c r="AB14" s="257" t="n">
        <v>210000000</v>
      </c>
      <c r="AC14" s="257" t="n">
        <v>137000000</v>
      </c>
      <c r="AD14" s="257" t="n">
        <v>171000000</v>
      </c>
      <c r="AE14" s="257" t="n">
        <v>152000000</v>
      </c>
      <c r="AF14" s="257" t="n">
        <v>125000000</v>
      </c>
      <c r="AG14" s="257" t="n">
        <v>-55000000</v>
      </c>
      <c r="AH14" s="257" t="n">
        <v>155000000</v>
      </c>
      <c r="AI14" s="257" t="n">
        <v>160000000</v>
      </c>
      <c r="AJ14" s="257" t="n">
        <v>163000000</v>
      </c>
    </row>
    <row r="15" ht="15" customHeight="1" s="255">
      <c r="G15" s="254" t="inlineStr">
        <is>
          <t>moeda</t>
        </is>
      </c>
      <c r="H15" s="254" t="inlineStr">
        <is>
          <t>Lucro líquido atribuído à companhia [us-gaap:NetIncomeLoss]</t>
        </is>
      </c>
      <c r="J15" s="254" t="inlineStr">
        <is>
          <t>memoria</t>
        </is>
      </c>
      <c r="K15" s="257" t="n">
        <v>3990000000</v>
      </c>
      <c r="L15" s="257" t="n">
        <v>6476000000</v>
      </c>
      <c r="M15" s="257" t="n">
        <v>5135000000</v>
      </c>
      <c r="N15" s="257" t="n">
        <v>-2091000000</v>
      </c>
      <c r="O15" s="257" t="n">
        <v>2730000000</v>
      </c>
      <c r="P15" s="257" t="n">
        <v>4276000000</v>
      </c>
      <c r="Q15" s="257" t="n">
        <v>3105000000</v>
      </c>
      <c r="R15" s="257" t="n">
        <v>3562000000</v>
      </c>
      <c r="S15" s="257" t="n">
        <v>2054000000</v>
      </c>
      <c r="T15" s="257" t="n">
        <v>5149000000</v>
      </c>
      <c r="U15" s="257" t="n">
        <v>-1798000000</v>
      </c>
      <c r="V15" s="257" t="n">
        <v>6275000000</v>
      </c>
      <c r="W15" s="257" t="n">
        <v>1673000000</v>
      </c>
      <c r="X15" s="257" t="n">
        <v>7891000000</v>
      </c>
      <c r="Y15" s="257" t="n">
        <v>453000000</v>
      </c>
      <c r="Z15" s="257" t="n">
        <v>5494000000</v>
      </c>
      <c r="AA15" s="257" t="n">
        <v>5104000000</v>
      </c>
      <c r="AB15" s="257" t="n">
        <v>4501000000</v>
      </c>
      <c r="AC15" s="257" t="n">
        <v>4577000000</v>
      </c>
      <c r="AD15" s="257" t="n">
        <v>5254000000</v>
      </c>
      <c r="AE15" s="257" t="n">
        <v>4487000000</v>
      </c>
      <c r="AF15" s="257" t="n">
        <v>7026000000</v>
      </c>
      <c r="AG15" s="257" t="n">
        <v>6143000000</v>
      </c>
      <c r="AH15" s="257" t="n">
        <v>4237000000</v>
      </c>
      <c r="AI15" s="257" t="n">
        <v>5330000000</v>
      </c>
      <c r="AJ15" s="257" t="n">
        <v>6366000000</v>
      </c>
    </row>
    <row r="16" ht="15" customHeight="1" s="255">
      <c r="A16" s="254" t="n">
        <v>8</v>
      </c>
      <c r="B16" s="254" t="n">
        <v>1</v>
      </c>
      <c r="G16" s="254" t="inlineStr">
        <is>
          <t>moeda</t>
        </is>
      </c>
      <c r="H16" s="254" t="inlineStr">
        <is>
          <t>Resultado após IR não classificado acima (equivalência patrimonial, operações descontinuadas): lucro - (LAIR - IR - minoritários); zero quando não há</t>
        </is>
      </c>
      <c r="J16" s="254" t="inlineStr">
        <is>
          <t>derivada</t>
        </is>
      </c>
      <c r="K16" s="257">
        <f>N(K15)-(N(K10)-N(K13)-N(K14))</f>
        <v>0</v>
      </c>
      <c r="L16" s="257">
        <f>N(L15)-(N(L10)-N(L13)-N(L14))</f>
        <v>0</v>
      </c>
      <c r="M16" s="257">
        <f>N(M15)-(N(M10)-N(M13)-N(M14))</f>
        <v>0</v>
      </c>
      <c r="N16" s="257">
        <f>N(N15)-(N(N10)-N(N13)-N(N14))</f>
        <v>0</v>
      </c>
      <c r="O16" s="257">
        <f>N(O15)-(N(O10)-N(O13)-N(O14))</f>
        <v>0</v>
      </c>
      <c r="P16" s="257">
        <f>N(P15)-(N(P10)-N(P13)-N(P14))</f>
        <v>0</v>
      </c>
      <c r="Q16" s="257">
        <f>N(Q15)-(N(Q10)-N(Q13)-N(Q14))</f>
        <v>0</v>
      </c>
      <c r="R16" s="257">
        <f>N(R15)-(N(R10)-N(R13)-N(R14))</f>
        <v>0</v>
      </c>
      <c r="S16" s="257">
        <f>N(S15)-(N(S10)-N(S13)-N(S14))</f>
        <v>0</v>
      </c>
      <c r="T16" s="257">
        <f>N(T15)-(N(T10)-N(T13)-N(T14))</f>
        <v>0</v>
      </c>
      <c r="U16" s="257">
        <f>N(U15)-(N(U10)-N(U13)-N(U14))</f>
        <v>0</v>
      </c>
      <c r="V16" s="257">
        <f>N(V15)-(N(V10)-N(V13)-N(V14))</f>
        <v>0</v>
      </c>
      <c r="W16" s="257">
        <f>N(W15)-(N(W10)-N(W13)-N(W14))</f>
        <v>0</v>
      </c>
      <c r="X16" s="257">
        <f>N(X15)-(N(X10)-N(X13)-N(X14))</f>
        <v>0</v>
      </c>
      <c r="Y16" s="257">
        <f>N(Y15)-(N(Y10)-N(Y13)-N(Y14))</f>
        <v>0</v>
      </c>
      <c r="Z16" s="257">
        <f>N(Z15)-(N(Z10)-N(Z13)-N(Z14))</f>
        <v>0</v>
      </c>
      <c r="AA16" s="257">
        <f>N(AA15)-(N(AA10)-N(AA13)-N(AA14))</f>
        <v>0</v>
      </c>
      <c r="AB16" s="257">
        <f>N(AB15)-(N(AB10)-N(AB13)-N(AB14))</f>
        <v>0</v>
      </c>
      <c r="AC16" s="257">
        <f>N(AC15)-(N(AC10)-N(AC13)-N(AC14))</f>
        <v>0</v>
      </c>
      <c r="AD16" s="257">
        <f>N(AD15)-(N(AD10)-N(AD13)-N(AD14))</f>
        <v>0</v>
      </c>
      <c r="AE16" s="257">
        <f>N(AE15)-(N(AE10)-N(AE13)-N(AE14))</f>
        <v>0</v>
      </c>
      <c r="AF16" s="257">
        <f>N(AF15)-(N(AF10)-N(AF13)-N(AF14))</f>
        <v>0</v>
      </c>
      <c r="AG16" s="257">
        <f>N(AG15)-(N(AG10)-N(AG13)-N(AG14))</f>
        <v>0</v>
      </c>
      <c r="AH16" s="257">
        <f>N(AH15)-(N(AH10)-N(AH13)-N(AH14))</f>
        <v>0</v>
      </c>
      <c r="AI16" s="257">
        <f>N(AI15)-(N(AI10)-N(AI13)-N(AI14))</f>
        <v>0</v>
      </c>
      <c r="AJ16" s="257">
        <f>N(AJ15)-(N(AJ10)-N(AJ13)-N(AJ14))</f>
        <v>0</v>
      </c>
    </row>
    <row r="17" ht="15" customHeight="1" s="255">
      <c r="A17" s="254" t="n">
        <v>44</v>
      </c>
      <c r="B17" s="254" t="n">
        <v>1</v>
      </c>
      <c r="G17" s="254" t="inlineStr">
        <is>
          <t>moeda</t>
        </is>
      </c>
      <c r="H17" s="254" t="inlineStr">
        <is>
          <t>Lucro líquido (check IS, código 44)</t>
        </is>
      </c>
      <c r="J17" s="254" t="inlineStr">
        <is>
          <t>derivada</t>
        </is>
      </c>
      <c r="K17" s="257">
        <f>N(K15)</f>
        <v>3990000000</v>
      </c>
      <c r="L17" s="257">
        <f>N(L15)</f>
        <v>6476000000</v>
      </c>
      <c r="M17" s="257">
        <f>N(M15)</f>
        <v>5135000000</v>
      </c>
      <c r="N17" s="257">
        <f>N(N15)</f>
        <v>-2091000000</v>
      </c>
      <c r="O17" s="257">
        <f>N(O15)</f>
        <v>2730000000</v>
      </c>
      <c r="P17" s="257">
        <f>N(P15)</f>
        <v>4276000000</v>
      </c>
      <c r="Q17" s="257">
        <f>N(Q15)</f>
        <v>3105000000</v>
      </c>
      <c r="R17" s="257">
        <f>N(R15)</f>
        <v>3562000000</v>
      </c>
      <c r="S17" s="257">
        <f>N(S15)</f>
        <v>2054000000</v>
      </c>
      <c r="T17" s="257">
        <f>N(T15)</f>
        <v>5149000000</v>
      </c>
      <c r="U17" s="257">
        <f>N(U15)</f>
        <v>-1798000000</v>
      </c>
      <c r="V17" s="257">
        <f>N(V15)</f>
        <v>6275000000</v>
      </c>
      <c r="W17" s="257">
        <f>N(W15)</f>
        <v>1673000000</v>
      </c>
      <c r="X17" s="257">
        <f>N(X15)</f>
        <v>7891000000</v>
      </c>
      <c r="Y17" s="257">
        <f>N(Y15)</f>
        <v>453000000</v>
      </c>
      <c r="Z17" s="257">
        <f>N(Z15)</f>
        <v>5494000000</v>
      </c>
      <c r="AA17" s="257">
        <f>N(AA15)</f>
        <v>5104000000</v>
      </c>
      <c r="AB17" s="257">
        <f>N(AB15)</f>
        <v>4501000000</v>
      </c>
      <c r="AC17" s="257">
        <f>N(AC15)</f>
        <v>4577000000</v>
      </c>
      <c r="AD17" s="257">
        <f>N(AD15)</f>
        <v>5254000000</v>
      </c>
      <c r="AE17" s="257">
        <f>N(AE15)</f>
        <v>4487000000</v>
      </c>
      <c r="AF17" s="257">
        <f>N(AF15)</f>
        <v>7026000000</v>
      </c>
      <c r="AG17" s="257">
        <f>N(AG15)</f>
        <v>6143000000</v>
      </c>
      <c r="AH17" s="257">
        <f>N(AH15)</f>
        <v>4237000000</v>
      </c>
      <c r="AI17" s="257">
        <f>N(AI15)</f>
        <v>5330000000</v>
      </c>
      <c r="AJ17" s="257">
        <f>N(AJ15)</f>
        <v>6366000000</v>
      </c>
    </row>
    <row r="18" ht="15" customHeight="1" s="255">
      <c r="H18" s="256" t="inlineStr">
        <is>
          <t>DFC - trimestre isolado (desacumulado na extração)</t>
        </is>
      </c>
    </row>
    <row r="19" ht="15" customHeight="1" s="255">
      <c r="A19" s="254" t="n">
        <v>4</v>
      </c>
      <c r="B19" s="254" t="n">
        <v>-1</v>
      </c>
      <c r="C19" s="254" t="n">
        <v>3</v>
      </c>
      <c r="D19" s="254" t="n">
        <v>1</v>
      </c>
      <c r="G19" s="254" t="inlineStr">
        <is>
          <t>moeda</t>
        </is>
      </c>
      <c r="H19" s="25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9" s="254" t="inlineStr">
        <is>
          <t>fonte</t>
        </is>
      </c>
      <c r="K19" s="257" t="n">
        <v>2791000000</v>
      </c>
      <c r="L19" s="257" t="n">
        <v>2771000000</v>
      </c>
      <c r="M19" s="257" t="n">
        <v>2771000000</v>
      </c>
      <c r="N19" s="257" t="n">
        <v>2819000000</v>
      </c>
      <c r="O19" s="257" t="n">
        <v>2661000000</v>
      </c>
      <c r="P19" s="257" t="n">
        <v>2641000000</v>
      </c>
      <c r="Q19" s="257" t="n">
        <v>2650000000</v>
      </c>
      <c r="R19" s="257" t="n">
        <v>2706000000</v>
      </c>
      <c r="S19" s="257" t="n">
        <v>2680000000</v>
      </c>
      <c r="T19" s="257" t="n">
        <v>2699000000</v>
      </c>
      <c r="U19" s="257" t="n">
        <v>2755000000</v>
      </c>
      <c r="V19" s="257" t="n">
        <v>2811000000</v>
      </c>
      <c r="W19" s="257" t="n">
        <v>2845000000</v>
      </c>
      <c r="X19" s="257" t="n">
        <v>2905000000</v>
      </c>
      <c r="Y19" s="257" t="n">
        <v>2986000000</v>
      </c>
      <c r="Z19" s="257" t="n">
        <v>3117000000</v>
      </c>
      <c r="AA19" s="257" t="n">
        <v>3128000000</v>
      </c>
      <c r="AB19" s="257" t="n">
        <v>3211000000</v>
      </c>
      <c r="AC19" s="257" t="n">
        <v>3260000000</v>
      </c>
      <c r="AD19" s="257" t="n">
        <v>3374000000</v>
      </c>
      <c r="AE19" s="257" t="n">
        <v>3369000000</v>
      </c>
      <c r="AF19" s="257" t="n">
        <v>3487000000</v>
      </c>
      <c r="AG19" s="257" t="n">
        <v>3606000000</v>
      </c>
      <c r="AH19" s="257" t="n">
        <v>3741000000</v>
      </c>
      <c r="AI19" s="257" t="n">
        <v>3821000000</v>
      </c>
      <c r="AJ19" s="257" t="n">
        <v>3925000000</v>
      </c>
    </row>
    <row r="20" ht="15" customHeight="1" s="255">
      <c r="A20" s="254" t="n">
        <v>10</v>
      </c>
      <c r="B20" s="254" t="n">
        <v>-1</v>
      </c>
      <c r="G20" s="254" t="inlineStr">
        <is>
          <t>moeda</t>
        </is>
      </c>
      <c r="H20" s="254" t="inlineStr">
        <is>
          <t>Dividendos pagos [us-gaap:PaymentsOfDividends]</t>
        </is>
      </c>
      <c r="J20" s="254" t="inlineStr">
        <is>
          <t>fonte</t>
        </is>
      </c>
      <c r="K20" s="257" t="n">
        <v>1529000000</v>
      </c>
      <c r="L20" s="257" t="n">
        <v>1529000000</v>
      </c>
      <c r="M20" s="257" t="n">
        <v>1524000000</v>
      </c>
      <c r="N20" s="257" t="n">
        <v>1534000000</v>
      </c>
      <c r="O20" s="257" t="n">
        <v>1549000000</v>
      </c>
      <c r="P20" s="257" t="n">
        <v>1542000000</v>
      </c>
      <c r="Q20" s="257" t="n">
        <v>1536000000</v>
      </c>
      <c r="R20" s="257" t="n">
        <v>1525000000</v>
      </c>
      <c r="S20" s="257" t="n">
        <v>1543000000</v>
      </c>
      <c r="T20" s="257" t="n">
        <v>1538000000</v>
      </c>
      <c r="U20" s="257" t="n">
        <v>1519000000</v>
      </c>
      <c r="V20" s="257" t="n">
        <v>1514000000</v>
      </c>
      <c r="W20" s="257" t="n">
        <v>1538000000</v>
      </c>
      <c r="X20" s="257" t="n">
        <v>1534000000</v>
      </c>
      <c r="Y20" s="257" t="n">
        <v>1534000000</v>
      </c>
      <c r="Z20" s="257" t="n">
        <v>1534000000</v>
      </c>
      <c r="AA20" s="257" t="n">
        <v>1671000000</v>
      </c>
      <c r="AB20" s="257" t="n">
        <v>1665000000</v>
      </c>
      <c r="AC20" s="257" t="n">
        <v>1668000000</v>
      </c>
      <c r="AD20" s="257" t="n">
        <v>1684000000</v>
      </c>
      <c r="AE20" s="257" t="n">
        <v>1880000000</v>
      </c>
      <c r="AF20" s="257" t="n">
        <v>1875000000</v>
      </c>
      <c r="AG20" s="257" t="n">
        <v>1875000000</v>
      </c>
      <c r="AH20" s="257" t="n">
        <v>1877000000</v>
      </c>
      <c r="AI20" s="257" t="n">
        <v>1972000000</v>
      </c>
      <c r="AJ20" s="257" t="n">
        <v>1973000000</v>
      </c>
    </row>
    <row r="21" ht="15" customHeight="1" s="255">
      <c r="H21" s="256" t="inlineStr">
        <is>
          <t>BALANÇO DE FACE (USD, saldo no fim do trimestre; cada trimestre lido da instância do próprio 10-Q/10-K)</t>
        </is>
      </c>
    </row>
    <row r="22" ht="15" customHeight="1" s="255">
      <c r="A22" s="254" t="n">
        <v>11</v>
      </c>
      <c r="B22" s="254" t="n">
        <v>1</v>
      </c>
      <c r="G22" s="254" t="inlineStr">
        <is>
          <t>moeda</t>
        </is>
      </c>
      <c r="H22" s="254" t="inlineStr">
        <is>
          <t>CashAndCashEquivalentsAtCarryingValue</t>
        </is>
      </c>
      <c r="J22" s="254" t="inlineStr">
        <is>
          <t>fonte</t>
        </is>
      </c>
      <c r="K22" s="257" t="n">
        <v>14930000000</v>
      </c>
      <c r="L22" s="257" t="n">
        <v>16906000000</v>
      </c>
      <c r="M22" s="257" t="n">
        <v>14325000000</v>
      </c>
      <c r="N22" s="257" t="n">
        <v>17741000000</v>
      </c>
      <c r="O22" s="257" t="n">
        <v>22846000000</v>
      </c>
      <c r="P22" s="257" t="n">
        <v>22831000000</v>
      </c>
      <c r="Q22" s="257" t="n">
        <v>16111000000</v>
      </c>
      <c r="R22" s="257" t="n">
        <v>14760000000</v>
      </c>
      <c r="S22" s="257" t="n">
        <v>11817000000</v>
      </c>
      <c r="T22" s="257" t="n">
        <v>13923000000</v>
      </c>
      <c r="U22" s="257" t="n">
        <v>11587000000</v>
      </c>
      <c r="V22" s="257" t="n">
        <v>8625000000</v>
      </c>
      <c r="W22" s="257" t="n">
        <v>10575000000</v>
      </c>
      <c r="X22" s="257" t="n">
        <v>13888000000</v>
      </c>
      <c r="Y22" s="257" t="n">
        <v>12154000000</v>
      </c>
      <c r="Z22" s="257" t="n">
        <v>9867000000</v>
      </c>
      <c r="AA22" s="257" t="n">
        <v>9405000000</v>
      </c>
      <c r="AB22" s="257" t="n">
        <v>8811000000</v>
      </c>
      <c r="AC22" s="257" t="n">
        <v>10049000000</v>
      </c>
      <c r="AD22" s="257" t="n">
        <v>9037000000</v>
      </c>
      <c r="AE22" s="257" t="n">
        <v>9311000000</v>
      </c>
      <c r="AF22" s="257" t="n">
        <v>9431000000</v>
      </c>
      <c r="AG22" s="257" t="n">
        <v>10582000000</v>
      </c>
      <c r="AH22" s="257" t="n">
        <v>10727000000</v>
      </c>
      <c r="AI22" s="257" t="n">
        <v>10729000000</v>
      </c>
      <c r="AJ22" s="257" t="n">
        <v>11529000000</v>
      </c>
    </row>
    <row r="23" ht="15" customHeight="1" s="255">
      <c r="A23" s="254" t="n">
        <v>12</v>
      </c>
      <c r="B23" s="254" t="n">
        <v>1</v>
      </c>
      <c r="G23" s="254" t="inlineStr">
        <is>
          <t>moeda</t>
        </is>
      </c>
      <c r="H23" s="254" t="inlineStr">
        <is>
          <t>ReceivablesNetCurrent</t>
        </is>
      </c>
      <c r="J23" s="254" t="inlineStr">
        <is>
          <t>fonte</t>
        </is>
      </c>
      <c r="K23" s="257" t="n">
        <v>5029000000</v>
      </c>
      <c r="L23" s="257" t="n">
        <v>5111000000</v>
      </c>
      <c r="M23" s="257" t="n">
        <v>5770000000</v>
      </c>
      <c r="N23" s="257" t="n">
        <v>6516000000</v>
      </c>
      <c r="O23" s="257" t="n">
        <v>5797000000</v>
      </c>
      <c r="P23" s="257" t="n">
        <v>6103000000</v>
      </c>
      <c r="Q23" s="257" t="n">
        <v>7349000000</v>
      </c>
      <c r="R23" s="257" t="n">
        <v>8280000000</v>
      </c>
      <c r="S23" s="257" t="n">
        <v>7674000000</v>
      </c>
      <c r="T23" s="257" t="n">
        <v>7522000000</v>
      </c>
      <c r="U23" s="257" t="n">
        <v>8218000000</v>
      </c>
      <c r="V23" s="257" t="n">
        <v>7933000000</v>
      </c>
      <c r="W23" s="257" t="n">
        <v>7647000000</v>
      </c>
      <c r="X23" s="257" t="n">
        <v>7891000000</v>
      </c>
      <c r="Y23" s="257" t="n">
        <v>8625000000</v>
      </c>
      <c r="Z23" s="257" t="n">
        <v>8796000000</v>
      </c>
      <c r="AA23" s="257" t="n">
        <v>9075000000</v>
      </c>
      <c r="AB23" s="257" t="n">
        <v>8650000000</v>
      </c>
      <c r="AC23" s="257" t="n">
        <v>10039000000</v>
      </c>
      <c r="AD23" s="257" t="n">
        <v>9975000000</v>
      </c>
      <c r="AE23" s="257" t="n">
        <v>9686000000</v>
      </c>
      <c r="AF23" s="257" t="n">
        <v>10518000000</v>
      </c>
      <c r="AG23" s="257" t="n">
        <v>12115000000</v>
      </c>
      <c r="AH23" s="257" t="n">
        <v>11172000000</v>
      </c>
      <c r="AI23" s="257" t="n">
        <v>10662000000</v>
      </c>
      <c r="AJ23" s="257" t="n">
        <v>11075000000</v>
      </c>
    </row>
    <row r="24" ht="15" customHeight="1" s="255">
      <c r="A24" s="254" t="n">
        <v>13</v>
      </c>
      <c r="B24" s="254" t="n">
        <v>1</v>
      </c>
      <c r="G24" s="254" t="inlineStr">
        <is>
          <t>moeda</t>
        </is>
      </c>
      <c r="H24" s="254" t="inlineStr">
        <is>
          <t>InventoryNet</t>
        </is>
      </c>
      <c r="J24" s="254" t="inlineStr">
        <is>
          <t>fonte</t>
        </is>
      </c>
      <c r="K24" s="257" t="n">
        <v>41217000000</v>
      </c>
      <c r="L24" s="257" t="n">
        <v>41084000000</v>
      </c>
      <c r="M24" s="257" t="n">
        <v>51842000000</v>
      </c>
      <c r="N24" s="257" t="n">
        <v>44949000000</v>
      </c>
      <c r="O24" s="257" t="n">
        <v>46383000000</v>
      </c>
      <c r="P24" s="257" t="n">
        <v>47754000000</v>
      </c>
      <c r="Q24" s="257" t="n">
        <v>57484000000</v>
      </c>
      <c r="R24" s="257" t="n">
        <v>56511000000</v>
      </c>
      <c r="S24" s="257" t="n">
        <v>61229000000</v>
      </c>
      <c r="T24" s="257" t="n">
        <v>59921000000</v>
      </c>
      <c r="U24" s="257" t="n">
        <v>64706000000</v>
      </c>
      <c r="V24" s="257" t="n">
        <v>56576000000</v>
      </c>
      <c r="W24" s="257" t="n">
        <v>56932000000</v>
      </c>
      <c r="X24" s="257" t="n">
        <v>56722000000</v>
      </c>
      <c r="Y24" s="257" t="n">
        <v>63951000000</v>
      </c>
      <c r="Z24" s="257" t="n">
        <v>54892000000</v>
      </c>
      <c r="AA24" s="257" t="n">
        <v>55382000000</v>
      </c>
      <c r="AB24" s="257" t="n">
        <v>55611000000</v>
      </c>
      <c r="AC24" s="257" t="n">
        <v>63302000000</v>
      </c>
      <c r="AD24" s="257" t="n">
        <v>56435000000</v>
      </c>
      <c r="AE24" s="257" t="n">
        <v>57467000000</v>
      </c>
      <c r="AF24" s="257" t="n">
        <v>57729000000</v>
      </c>
      <c r="AG24" s="257" t="n">
        <v>65354000000</v>
      </c>
      <c r="AH24" s="257" t="n">
        <v>58851000000</v>
      </c>
      <c r="AI24" s="257" t="n">
        <v>62570000000</v>
      </c>
      <c r="AJ24" s="257" t="n">
        <v>61600000000</v>
      </c>
    </row>
    <row r="25" ht="15" customHeight="1" s="255">
      <c r="A25" s="254" t="n">
        <v>16</v>
      </c>
      <c r="B25" s="254" t="n">
        <v>1</v>
      </c>
      <c r="G25" s="254" t="inlineStr">
        <is>
          <t>moeda</t>
        </is>
      </c>
      <c r="H25" s="254" t="inlineStr">
        <is>
          <t>PrepaidExpenseAndOtherAssetsCurrent</t>
        </is>
      </c>
      <c r="J25" s="254" t="inlineStr">
        <is>
          <t>fonte</t>
        </is>
      </c>
      <c r="K25" s="257" t="n">
        <v>2152000000</v>
      </c>
      <c r="L25" s="257" t="n">
        <v>1895000000</v>
      </c>
      <c r="M25" s="257" t="n">
        <v>1665000000</v>
      </c>
      <c r="N25" s="257" t="n">
        <v>20861000000</v>
      </c>
      <c r="O25" s="257" t="n">
        <v>1565000000</v>
      </c>
      <c r="P25" s="257" t="n">
        <v>1555000000</v>
      </c>
      <c r="Q25" s="257" t="n">
        <v>2020000000</v>
      </c>
      <c r="R25" s="257" t="n">
        <v>1519000000</v>
      </c>
      <c r="S25" s="257" t="n">
        <v>2500000000</v>
      </c>
      <c r="T25" s="257" t="n">
        <v>2798000000</v>
      </c>
      <c r="U25" s="257" t="n">
        <v>3169000000</v>
      </c>
      <c r="V25" s="257" t="n">
        <v>2521000000</v>
      </c>
      <c r="W25" s="257" t="n">
        <v>3357000000</v>
      </c>
      <c r="X25" s="257" t="n">
        <v>3531000000</v>
      </c>
      <c r="Y25" s="257" t="n">
        <v>3661000000</v>
      </c>
      <c r="Z25" s="257" t="n">
        <v>3322000000</v>
      </c>
      <c r="AA25" s="257" t="n">
        <v>3290000000</v>
      </c>
      <c r="AB25" s="257" t="n">
        <v>3438000000</v>
      </c>
      <c r="AC25" s="257" t="n">
        <v>3548000000</v>
      </c>
      <c r="AD25" s="257" t="n">
        <v>4011000000</v>
      </c>
      <c r="AE25" s="257" t="n">
        <v>3789000000</v>
      </c>
      <c r="AF25" s="257" t="n">
        <v>4355000000</v>
      </c>
      <c r="AG25" s="257" t="n">
        <v>4869000000</v>
      </c>
      <c r="AH25" s="257" t="n">
        <v>4124000000</v>
      </c>
      <c r="AI25" s="257" t="n">
        <v>4433000000</v>
      </c>
      <c r="AJ25" s="257" t="n">
        <v>4499000000</v>
      </c>
    </row>
    <row r="26" ht="15" customHeight="1" s="255">
      <c r="A26" s="254" t="n">
        <v>18</v>
      </c>
      <c r="B26" s="254" t="n">
        <v>1</v>
      </c>
      <c r="G26" s="254" t="inlineStr">
        <is>
          <t>moeda</t>
        </is>
      </c>
      <c r="H26" s="254" t="inlineStr">
        <is>
          <t>PropertyPlantAndEquipmentNet</t>
        </is>
      </c>
      <c r="J26" s="254" t="inlineStr">
        <is>
          <t>fonte</t>
        </is>
      </c>
      <c r="K26" s="257" t="n">
        <v>101872000000</v>
      </c>
      <c r="L26" s="257" t="n">
        <v>101182000000</v>
      </c>
      <c r="M26" s="257" t="n">
        <v>102232000000</v>
      </c>
      <c r="N26" s="257" t="n">
        <v>92201000000</v>
      </c>
      <c r="O26" s="257" t="n">
        <v>90996000000</v>
      </c>
      <c r="P26" s="257" t="n">
        <v>91621000000</v>
      </c>
      <c r="Q26" s="257" t="n">
        <v>92242000000</v>
      </c>
      <c r="R26" s="257" t="n">
        <v>94515000000</v>
      </c>
      <c r="S26" s="257" t="n">
        <v>94741000000</v>
      </c>
      <c r="T26" s="257" t="n">
        <v>96006000000</v>
      </c>
      <c r="U26" s="257" t="n">
        <v>97553000000</v>
      </c>
      <c r="V26" s="257" t="n">
        <v>100760000000</v>
      </c>
      <c r="W26" s="257" t="n">
        <v>102335000000</v>
      </c>
      <c r="X26" s="257" t="n">
        <v>104733000000</v>
      </c>
      <c r="Y26" s="257" t="n">
        <v>107471000000</v>
      </c>
      <c r="Z26" s="257" t="n">
        <v>110810000000</v>
      </c>
      <c r="AA26" s="257" t="n">
        <v>111498000000</v>
      </c>
      <c r="AB26" s="257" t="n">
        <v>113818000000</v>
      </c>
      <c r="AC26" s="257" t="n">
        <v>116598000000</v>
      </c>
      <c r="AD26" s="257" t="n">
        <v>119993000000</v>
      </c>
      <c r="AE26" s="257" t="n">
        <v>121261000000</v>
      </c>
      <c r="AF26" s="257" t="n">
        <v>125476000000</v>
      </c>
      <c r="AG26" s="257" t="n">
        <v>130201000000</v>
      </c>
      <c r="AH26" s="257" t="n">
        <v>136083000000</v>
      </c>
      <c r="AI26" s="257" t="n">
        <v>137789000000</v>
      </c>
      <c r="AJ26" s="257" t="n">
        <v>142482000000</v>
      </c>
    </row>
    <row r="27" ht="15" customHeight="1" s="255">
      <c r="A27" s="254" t="n">
        <v>19</v>
      </c>
      <c r="B27" s="254" t="n">
        <v>1</v>
      </c>
      <c r="G27" s="254" t="inlineStr">
        <is>
          <t>moeda</t>
        </is>
      </c>
      <c r="H27" s="254" t="inlineStr">
        <is>
          <t>OperatingLeaseRightOfUseAsset</t>
        </is>
      </c>
      <c r="J27" s="254" t="inlineStr">
        <is>
          <t>fonte</t>
        </is>
      </c>
      <c r="K27" s="257" t="n">
        <v>16895000000</v>
      </c>
      <c r="L27" s="257" t="n">
        <v>16869000000</v>
      </c>
      <c r="M27" s="257" t="n">
        <v>17128000000</v>
      </c>
      <c r="N27" s="257" t="n">
        <v>13642000000</v>
      </c>
      <c r="O27" s="257" t="n">
        <v>13650000000</v>
      </c>
      <c r="P27" s="257" t="n">
        <v>13868000000</v>
      </c>
      <c r="Q27" s="257" t="n">
        <v>13863000000</v>
      </c>
      <c r="R27" s="257" t="n">
        <v>13758000000</v>
      </c>
      <c r="S27" s="257" t="n">
        <v>13971000000</v>
      </c>
      <c r="T27" s="257" t="n">
        <v>13872000000</v>
      </c>
      <c r="U27" s="257" t="n">
        <v>13394000000</v>
      </c>
      <c r="V27" s="257" t="n">
        <v>13555000000</v>
      </c>
      <c r="W27" s="257" t="n">
        <v>13679000000</v>
      </c>
      <c r="X27" s="257" t="n">
        <v>13710000000</v>
      </c>
      <c r="Y27" s="257" t="n">
        <v>13547000000</v>
      </c>
      <c r="Z27" s="257" t="n">
        <v>13673000000</v>
      </c>
      <c r="AA27" s="257" t="n">
        <v>13562000000</v>
      </c>
      <c r="AB27" s="257" t="n">
        <v>13579000000</v>
      </c>
      <c r="AC27" s="257" t="n">
        <v>13701000000</v>
      </c>
      <c r="AD27" s="257" t="n">
        <v>13599000000</v>
      </c>
      <c r="AE27" s="257" t="n">
        <v>13567000000</v>
      </c>
      <c r="AF27" s="257" t="n">
        <v>13953000000</v>
      </c>
      <c r="AG27" s="257" t="n">
        <v>14501000000</v>
      </c>
      <c r="AH27" s="257" t="n">
        <v>14750000000</v>
      </c>
      <c r="AI27" s="257" t="n">
        <v>15220000000</v>
      </c>
      <c r="AJ27" s="257" t="n">
        <v>15650000000</v>
      </c>
    </row>
    <row r="28" ht="15" customHeight="1" s="255">
      <c r="A28" s="254" t="n">
        <v>20</v>
      </c>
      <c r="B28" s="254" t="n">
        <v>1</v>
      </c>
      <c r="G28" s="254" t="inlineStr">
        <is>
          <t>moeda</t>
        </is>
      </c>
      <c r="H28" s="254" t="inlineStr">
        <is>
          <t>Goodwill</t>
        </is>
      </c>
      <c r="J28" s="254" t="inlineStr">
        <is>
          <t>fonte</t>
        </is>
      </c>
      <c r="K28" s="257" t="n">
        <v>29416000000</v>
      </c>
      <c r="L28" s="257" t="n">
        <v>29542000000</v>
      </c>
      <c r="M28" s="257" t="n">
        <v>30236000000</v>
      </c>
      <c r="N28" s="257" t="n">
        <v>28983000000</v>
      </c>
      <c r="O28" s="257" t="n">
        <v>28872000000</v>
      </c>
      <c r="P28" s="257" t="n">
        <v>29159000000</v>
      </c>
      <c r="Q28" s="257" t="n">
        <v>28923000000</v>
      </c>
      <c r="R28" s="257" t="n">
        <v>29014000000</v>
      </c>
      <c r="S28" s="257" t="n">
        <v>29438000000</v>
      </c>
      <c r="T28" s="257" t="n">
        <v>28664000000</v>
      </c>
      <c r="U28" s="257" t="n">
        <v>28137000000</v>
      </c>
      <c r="V28" s="257" t="n">
        <v>28174000000</v>
      </c>
      <c r="W28" s="257" t="n">
        <v>28306000000</v>
      </c>
      <c r="X28" s="257" t="n">
        <v>28268000000</v>
      </c>
      <c r="Y28" s="257" t="n">
        <v>28015000000</v>
      </c>
      <c r="Z28" s="257" t="n">
        <v>28113000000</v>
      </c>
      <c r="AA28" s="257" t="n">
        <v>27999000000</v>
      </c>
      <c r="AB28" s="257" t="n">
        <v>27930000000</v>
      </c>
      <c r="AC28" s="257" t="n">
        <v>27942000000</v>
      </c>
      <c r="AD28" s="257" t="n">
        <v>28792000000</v>
      </c>
      <c r="AE28" s="257" t="n">
        <v>28866000000</v>
      </c>
      <c r="AF28" s="257" t="n">
        <v>29060000000</v>
      </c>
      <c r="AG28" s="257" t="n">
        <v>28722000000</v>
      </c>
      <c r="AH28" s="257" t="n">
        <v>28735000000</v>
      </c>
      <c r="AI28" s="257" t="n">
        <v>28152000000</v>
      </c>
      <c r="AJ28" s="257" t="n">
        <v>28260000000</v>
      </c>
    </row>
    <row r="29" ht="15" customHeight="1" s="255">
      <c r="A29" s="254" t="n">
        <v>22</v>
      </c>
      <c r="B29" s="254" t="n">
        <v>1</v>
      </c>
      <c r="G29" s="254" t="inlineStr">
        <is>
          <t>moeda</t>
        </is>
      </c>
      <c r="H29" s="254" t="inlineStr">
        <is>
          <t>FinanceLeaseRightOfUseAsset</t>
        </is>
      </c>
      <c r="J29" s="254" t="inlineStr">
        <is>
          <t>fonte</t>
        </is>
      </c>
      <c r="K29" s="257" t="n">
        <v>4611000000</v>
      </c>
      <c r="L29" s="257" t="n">
        <v>4843000000</v>
      </c>
      <c r="M29" s="257" t="n">
        <v>4929000000</v>
      </c>
      <c r="N29" s="257" t="n">
        <v>4005000000</v>
      </c>
      <c r="O29" s="257" t="n">
        <v>3979000000</v>
      </c>
      <c r="P29" s="257" t="n">
        <v>4109000000</v>
      </c>
      <c r="Q29" s="257" t="n">
        <v>4226000000</v>
      </c>
      <c r="R29" s="257" t="n">
        <v>4351000000</v>
      </c>
      <c r="S29" s="257" t="n">
        <v>4505000000</v>
      </c>
      <c r="T29" s="257" t="n">
        <v>4514000000</v>
      </c>
      <c r="U29" s="257" t="n">
        <v>4597000000</v>
      </c>
      <c r="V29" s="257" t="n">
        <v>4919000000</v>
      </c>
      <c r="W29" s="257" t="n">
        <v>5124000000</v>
      </c>
      <c r="X29" s="257" t="n">
        <v>5552000000</v>
      </c>
      <c r="Y29" s="257" t="n">
        <v>5806000000</v>
      </c>
      <c r="Z29" s="257" t="n">
        <v>5855000000</v>
      </c>
      <c r="AA29" s="257" t="n">
        <v>6285000000</v>
      </c>
      <c r="AB29" s="257" t="n">
        <v>6341000000</v>
      </c>
      <c r="AC29" s="257" t="n">
        <v>6227000000</v>
      </c>
      <c r="AD29" s="257" t="n">
        <v>6112000000</v>
      </c>
      <c r="AE29" s="257" t="n">
        <v>6056000000</v>
      </c>
      <c r="AF29" s="257" t="n">
        <v>6128000000</v>
      </c>
      <c r="AG29" s="257" t="n">
        <v>6138000000</v>
      </c>
      <c r="AH29" s="257" t="n">
        <v>6123000000</v>
      </c>
      <c r="AI29" s="257" t="n">
        <v>6033000000</v>
      </c>
      <c r="AJ29" s="257" t="n">
        <v>6178000000</v>
      </c>
    </row>
    <row r="30" ht="15" customHeight="1" s="255">
      <c r="A30" s="254" t="n">
        <v>22</v>
      </c>
      <c r="B30" s="254" t="n">
        <v>1</v>
      </c>
      <c r="G30" s="254" t="inlineStr">
        <is>
          <t>moeda</t>
        </is>
      </c>
      <c r="H30" s="254" t="inlineStr">
        <is>
          <t>OtherAssetsNoncurrent</t>
        </is>
      </c>
      <c r="J30" s="254" t="inlineStr">
        <is>
          <t>fonte</t>
        </is>
      </c>
      <c r="K30" s="257" t="n">
        <v>16770000000</v>
      </c>
      <c r="L30" s="257" t="n">
        <v>19950000000</v>
      </c>
      <c r="M30" s="257" t="n">
        <v>22736000000</v>
      </c>
      <c r="N30" s="257" t="n">
        <v>23598000000</v>
      </c>
      <c r="O30" s="257" t="n">
        <v>22493000000</v>
      </c>
      <c r="P30" s="257" t="n">
        <v>21552000000</v>
      </c>
      <c r="Q30" s="257" t="n">
        <v>22633000000</v>
      </c>
      <c r="R30" s="257" t="n">
        <v>22152000000</v>
      </c>
      <c r="S30" s="257" t="n">
        <v>20267000000</v>
      </c>
      <c r="T30" s="257" t="n">
        <v>19979000000</v>
      </c>
      <c r="U30" s="257" t="n">
        <v>16295000000</v>
      </c>
      <c r="V30" s="257" t="n">
        <v>20134000000</v>
      </c>
      <c r="W30" s="257" t="n">
        <v>17098000000</v>
      </c>
      <c r="X30" s="257" t="n">
        <v>20826000000</v>
      </c>
      <c r="Y30" s="257" t="n">
        <v>15944000000</v>
      </c>
      <c r="Z30" s="257" t="n">
        <v>17071000000</v>
      </c>
      <c r="AA30" s="257" t="n">
        <v>17558000000</v>
      </c>
      <c r="AB30" s="257" t="n">
        <v>16262000000</v>
      </c>
      <c r="AC30" s="257" t="n">
        <v>11993000000</v>
      </c>
      <c r="AD30" s="257" t="n">
        <v>12869000000</v>
      </c>
      <c r="AE30" s="257" t="n">
        <v>12369000000</v>
      </c>
      <c r="AF30" s="257" t="n">
        <v>14187000000</v>
      </c>
      <c r="AG30" s="257" t="n">
        <v>16173000000</v>
      </c>
      <c r="AH30" s="257" t="n">
        <v>14103000000</v>
      </c>
      <c r="AI30" s="257" t="n">
        <v>14019000000</v>
      </c>
      <c r="AJ30" s="257" t="n">
        <v>12641000000</v>
      </c>
    </row>
    <row r="31" ht="15" customHeight="1" s="255">
      <c r="A31" s="254" t="n">
        <v>23</v>
      </c>
      <c r="B31" s="254" t="n">
        <v>1</v>
      </c>
      <c r="G31" s="254" t="inlineStr">
        <is>
          <t>moeda</t>
        </is>
      </c>
      <c r="H31" s="254" t="inlineStr">
        <is>
          <t>AccountsPayableCurrent</t>
        </is>
      </c>
      <c r="J31" s="254" t="inlineStr">
        <is>
          <t>fonte</t>
        </is>
      </c>
      <c r="K31" s="257" t="n">
        <v>44096000000</v>
      </c>
      <c r="L31" s="257" t="n">
        <v>46326000000</v>
      </c>
      <c r="M31" s="257" t="n">
        <v>54152000000</v>
      </c>
      <c r="N31" s="257" t="n">
        <v>49141000000</v>
      </c>
      <c r="O31" s="257" t="n">
        <v>48151000000</v>
      </c>
      <c r="P31" s="257" t="n">
        <v>49601000000</v>
      </c>
      <c r="Q31" s="257" t="n">
        <v>57156000000</v>
      </c>
      <c r="R31" s="257" t="n">
        <v>55261000000</v>
      </c>
      <c r="S31" s="257" t="n">
        <v>52926000000</v>
      </c>
      <c r="T31" s="257" t="n">
        <v>54191000000</v>
      </c>
      <c r="U31" s="257" t="n">
        <v>57263000000</v>
      </c>
      <c r="V31" s="257" t="n">
        <v>53742000000</v>
      </c>
      <c r="W31" s="257" t="n">
        <v>54268000000</v>
      </c>
      <c r="X31" s="257" t="n">
        <v>56576000000</v>
      </c>
      <c r="Y31" s="257" t="n">
        <v>61049000000</v>
      </c>
      <c r="Z31" s="257" t="n">
        <v>56812000000</v>
      </c>
      <c r="AA31" s="257" t="n">
        <v>56071000000</v>
      </c>
      <c r="AB31" s="257" t="n">
        <v>56716000000</v>
      </c>
      <c r="AC31" s="257" t="n">
        <v>62863000000</v>
      </c>
      <c r="AD31" s="257" t="n">
        <v>58666000000</v>
      </c>
      <c r="AE31" s="257" t="n">
        <v>57700000000</v>
      </c>
      <c r="AF31" s="257" t="n">
        <v>60086000000</v>
      </c>
      <c r="AG31" s="257" t="n">
        <v>67156000000</v>
      </c>
      <c r="AH31" s="257" t="n">
        <v>63061000000</v>
      </c>
      <c r="AI31" s="257" t="n">
        <v>62876000000</v>
      </c>
      <c r="AJ31" s="257" t="n">
        <v>64318000000</v>
      </c>
    </row>
    <row r="32" ht="15" customHeight="1" s="255">
      <c r="A32" s="254" t="n">
        <v>24</v>
      </c>
      <c r="B32" s="254" t="n">
        <v>1</v>
      </c>
      <c r="G32" s="254" t="inlineStr">
        <is>
          <t>moeda</t>
        </is>
      </c>
      <c r="H32" s="254" t="inlineStr">
        <is>
          <t>AccruedLiabilitiesCurrent</t>
        </is>
      </c>
      <c r="J32" s="254" t="inlineStr">
        <is>
          <t>fonte</t>
        </is>
      </c>
      <c r="K32" s="257" t="n">
        <v>20377000000</v>
      </c>
      <c r="L32" s="257" t="n">
        <v>23768000000</v>
      </c>
      <c r="M32" s="257" t="n">
        <v>24995000000</v>
      </c>
      <c r="N32" s="257" t="n">
        <v>37966000000</v>
      </c>
      <c r="O32" s="257" t="n">
        <v>21371000000</v>
      </c>
      <c r="P32" s="257" t="n">
        <v>23915000000</v>
      </c>
      <c r="Q32" s="257" t="n">
        <v>24474000000</v>
      </c>
      <c r="R32" s="257" t="n">
        <v>26060000000</v>
      </c>
      <c r="S32" s="257" t="n">
        <v>21061000000</v>
      </c>
      <c r="T32" s="257" t="n">
        <v>23843000000</v>
      </c>
      <c r="U32" s="257" t="n">
        <v>27443000000</v>
      </c>
      <c r="V32" s="257" t="n">
        <v>31126000000</v>
      </c>
      <c r="W32" s="257" t="n">
        <v>27527000000</v>
      </c>
      <c r="X32" s="257" t="n">
        <v>29239000000</v>
      </c>
      <c r="Y32" s="257" t="n">
        <v>26132000000</v>
      </c>
      <c r="Z32" s="257" t="n">
        <v>28759000000</v>
      </c>
      <c r="AA32" s="257" t="n">
        <v>24092000000</v>
      </c>
      <c r="AB32" s="257" t="n">
        <v>27656000000</v>
      </c>
      <c r="AC32" s="257" t="n">
        <v>28117000000</v>
      </c>
      <c r="AD32" s="257" t="n">
        <v>29345000000</v>
      </c>
      <c r="AE32" s="257" t="n">
        <v>26085000000</v>
      </c>
      <c r="AF32" s="257" t="n">
        <v>28821000000</v>
      </c>
      <c r="AG32" s="257" t="n">
        <v>31521000000</v>
      </c>
      <c r="AH32" s="257" t="n">
        <v>31187000000</v>
      </c>
      <c r="AI32" s="257" t="n">
        <v>27530000000</v>
      </c>
      <c r="AJ32" s="257" t="n">
        <v>30074000000</v>
      </c>
    </row>
    <row r="33" ht="15" customHeight="1" s="255">
      <c r="A33" s="254" t="n">
        <v>25</v>
      </c>
      <c r="B33" s="254" t="n">
        <v>1</v>
      </c>
      <c r="G33" s="254" t="inlineStr">
        <is>
          <t>moeda</t>
        </is>
      </c>
      <c r="H33" s="254" t="inlineStr">
        <is>
          <t>AccruedIncomeTaxesCurrent</t>
        </is>
      </c>
      <c r="J33" s="254" t="inlineStr">
        <is>
          <t>fonte</t>
        </is>
      </c>
      <c r="K33" s="257" t="n">
        <v>1303000000</v>
      </c>
      <c r="L33" s="257" t="n">
        <v>610000000</v>
      </c>
      <c r="M33" s="257" t="n">
        <v>548000000</v>
      </c>
      <c r="N33" s="257" t="n">
        <v>242000000</v>
      </c>
      <c r="O33" s="257" t="n">
        <v>851000000</v>
      </c>
      <c r="P33" s="257" t="n">
        <v>267000000</v>
      </c>
      <c r="Q33" s="257" t="n">
        <v>446000000</v>
      </c>
      <c r="R33" s="257" t="n">
        <v>851000000</v>
      </c>
      <c r="S33" s="257" t="n">
        <v>904000000</v>
      </c>
      <c r="T33" s="257" t="n">
        <v>868000000</v>
      </c>
      <c r="U33" s="257" t="n">
        <v>900000000</v>
      </c>
      <c r="V33" s="257" t="n">
        <v>727000000</v>
      </c>
      <c r="W33" s="257" t="n">
        <v>1325000000</v>
      </c>
      <c r="X33" s="257" t="n">
        <v>770000000</v>
      </c>
      <c r="Y33" s="257" t="n">
        <v>606000000</v>
      </c>
      <c r="Z33" s="257" t="n">
        <v>307000000</v>
      </c>
      <c r="AA33" s="257" t="n">
        <v>1276000000</v>
      </c>
      <c r="AB33" s="257" t="n">
        <v>576000000</v>
      </c>
      <c r="AC33" s="257" t="n">
        <v>783000000</v>
      </c>
      <c r="AD33" s="257" t="n">
        <v>608000000</v>
      </c>
      <c r="AE33" s="257" t="n">
        <v>1465000000</v>
      </c>
      <c r="AF33" s="257" t="n">
        <v>620000000</v>
      </c>
      <c r="AG33" s="257" t="n">
        <v>789000000</v>
      </c>
      <c r="AH33" s="257" t="n">
        <v>596000000</v>
      </c>
      <c r="AI33" s="257" t="n">
        <v>1174000000</v>
      </c>
      <c r="AJ33" s="257" t="n">
        <v>746000000</v>
      </c>
    </row>
    <row r="34" ht="15" customHeight="1" s="255">
      <c r="A34" s="254" t="n">
        <v>26</v>
      </c>
      <c r="B34" s="254" t="n">
        <v>1</v>
      </c>
      <c r="G34" s="254" t="inlineStr">
        <is>
          <t>moeda</t>
        </is>
      </c>
      <c r="H34" s="254" t="inlineStr">
        <is>
          <t>DividendsPayableCurrent</t>
        </is>
      </c>
      <c r="J34" s="254" t="inlineStr">
        <is>
          <t>fonte</t>
        </is>
      </c>
      <c r="K34" s="257" t="n">
        <v>4588000000</v>
      </c>
      <c r="L34" s="257" t="n">
        <v>3060000000</v>
      </c>
      <c r="M34" s="257" t="n">
        <v>1529000000</v>
      </c>
      <c r="N34" s="257" t="n">
        <v>0</v>
      </c>
      <c r="O34" s="257" t="n">
        <v>4651000000</v>
      </c>
      <c r="P34" s="257" t="n">
        <v>3109000000</v>
      </c>
      <c r="Q34" s="257" t="n">
        <v>1528000000</v>
      </c>
      <c r="R34" s="257" t="n">
        <v>0</v>
      </c>
      <c r="S34" s="257" t="n">
        <v>4631000000</v>
      </c>
      <c r="T34" s="257" t="n">
        <v>3049000000</v>
      </c>
      <c r="U34" s="257" t="n">
        <v>1527000000</v>
      </c>
      <c r="V34" s="257" t="n">
        <v>0</v>
      </c>
      <c r="W34" s="257" t="n">
        <v>4602000000</v>
      </c>
      <c r="X34" s="257" t="n">
        <v>3067000000</v>
      </c>
      <c r="Y34" s="257" t="n">
        <v>1533000000</v>
      </c>
      <c r="Z34" s="257" t="n">
        <v>0</v>
      </c>
      <c r="AA34" s="257" t="n">
        <v>5013000000</v>
      </c>
      <c r="AB34" s="257" t="n">
        <v>3343000000</v>
      </c>
      <c r="AC34" s="257" t="n">
        <v>1674000000</v>
      </c>
      <c r="AD34" s="257" t="n">
        <v>0</v>
      </c>
      <c r="AE34" s="257" t="n">
        <v>5660000000</v>
      </c>
      <c r="AF34" s="257" t="n">
        <v>3783000000</v>
      </c>
      <c r="AG34" s="257" t="n">
        <v>1908000000</v>
      </c>
      <c r="AH34" s="257" t="n">
        <v>0</v>
      </c>
      <c r="AI34" s="257" t="n">
        <v>5921000000</v>
      </c>
      <c r="AJ34" s="257" t="n">
        <v>3949000000</v>
      </c>
    </row>
    <row r="35" ht="15" customHeight="1" s="255">
      <c r="A35" s="254" t="n">
        <v>26</v>
      </c>
      <c r="B35" s="254" t="n">
        <v>1</v>
      </c>
      <c r="G35" s="254" t="inlineStr">
        <is>
          <t>moeda</t>
        </is>
      </c>
      <c r="H35" s="254" t="inlineStr">
        <is>
          <t>FinanceLeaseLiabilityCurrent</t>
        </is>
      </c>
      <c r="J35" s="254" t="inlineStr">
        <is>
          <t>fonte</t>
        </is>
      </c>
      <c r="K35" s="257" t="n">
        <v>523000000</v>
      </c>
      <c r="L35" s="257" t="n">
        <v>549000000</v>
      </c>
      <c r="M35" s="257" t="n">
        <v>574000000</v>
      </c>
      <c r="N35" s="257" t="n">
        <v>491000000</v>
      </c>
      <c r="O35" s="257" t="n">
        <v>507000000</v>
      </c>
      <c r="P35" s="257" t="n">
        <v>501000000</v>
      </c>
      <c r="Q35" s="257" t="n">
        <v>508000000</v>
      </c>
      <c r="R35" s="257" t="n">
        <v>511000000</v>
      </c>
      <c r="S35" s="257" t="n">
        <v>511000000</v>
      </c>
      <c r="T35" s="257" t="n">
        <v>534000000</v>
      </c>
      <c r="U35" s="257" t="n">
        <v>549000000</v>
      </c>
      <c r="V35" s="257" t="n">
        <v>567000000</v>
      </c>
      <c r="W35" s="257" t="n">
        <v>607000000</v>
      </c>
      <c r="X35" s="257" t="n">
        <v>653000000</v>
      </c>
      <c r="Y35" s="257" t="n">
        <v>688000000</v>
      </c>
      <c r="Z35" s="257" t="n">
        <v>725000000</v>
      </c>
      <c r="AA35" s="257" t="n">
        <v>844000000</v>
      </c>
      <c r="AB35" s="257" t="n">
        <v>786000000</v>
      </c>
      <c r="AC35" s="257" t="n">
        <v>789000000</v>
      </c>
      <c r="AD35" s="257" t="n">
        <v>800000000</v>
      </c>
      <c r="AE35" s="257" t="n">
        <v>791000000</v>
      </c>
      <c r="AF35" s="257" t="n">
        <v>828000000</v>
      </c>
      <c r="AG35" s="257" t="n">
        <v>842000000</v>
      </c>
      <c r="AH35" s="257" t="n">
        <v>856000000</v>
      </c>
      <c r="AI35" s="257" t="n">
        <v>851000000</v>
      </c>
      <c r="AJ35" s="257" t="n">
        <v>880000000</v>
      </c>
    </row>
    <row r="36" ht="15" customHeight="1" s="255">
      <c r="A36" s="254" t="n">
        <v>27</v>
      </c>
      <c r="B36" s="254" t="n">
        <v>1</v>
      </c>
      <c r="G36" s="254" t="inlineStr">
        <is>
          <t>moeda</t>
        </is>
      </c>
      <c r="H36" s="254" t="inlineStr">
        <is>
          <t>ShortTermBorrowings</t>
        </is>
      </c>
      <c r="J36" s="254" t="inlineStr">
        <is>
          <t>fonte</t>
        </is>
      </c>
      <c r="K36" s="257" t="n">
        <v>4048000000</v>
      </c>
      <c r="L36" s="257" t="n">
        <v>357000000</v>
      </c>
      <c r="M36" s="257" t="n">
        <v>240000000</v>
      </c>
      <c r="N36" s="257" t="n">
        <v>224000000</v>
      </c>
      <c r="O36" s="257" t="n">
        <v>362000000</v>
      </c>
      <c r="P36" s="257" t="n">
        <v>671000000</v>
      </c>
      <c r="Q36" s="257" t="n">
        <v>447000000</v>
      </c>
      <c r="R36" s="257" t="n">
        <v>410000000</v>
      </c>
      <c r="S36" s="257" t="n">
        <v>11432000000</v>
      </c>
      <c r="T36" s="257" t="n">
        <v>10634000000</v>
      </c>
      <c r="U36" s="257" t="n">
        <v>6811000000</v>
      </c>
      <c r="V36" s="257" t="n">
        <v>372000000</v>
      </c>
      <c r="W36" s="257" t="n">
        <v>1711000000</v>
      </c>
      <c r="X36" s="257" t="n">
        <v>4546000000</v>
      </c>
      <c r="Y36" s="257" t="n">
        <v>9942000000</v>
      </c>
      <c r="Z36" s="257" t="n">
        <v>878000000</v>
      </c>
      <c r="AA36" s="257" t="n">
        <v>5457000000</v>
      </c>
      <c r="AB36" s="257" t="n">
        <v>3195000000</v>
      </c>
      <c r="AC36" s="257" t="n">
        <v>3579000000</v>
      </c>
      <c r="AD36" s="257" t="n">
        <v>3068000000</v>
      </c>
      <c r="AE36" s="257" t="n">
        <v>5595000000</v>
      </c>
      <c r="AF36" s="257" t="n">
        <v>3837000000</v>
      </c>
      <c r="AG36" s="257" t="n">
        <v>8401000000</v>
      </c>
      <c r="AH36" s="257" t="n">
        <v>6596000000</v>
      </c>
      <c r="AI36" s="257" t="n">
        <v>10673000000</v>
      </c>
      <c r="AJ36" s="257" t="n">
        <v>10479000000</v>
      </c>
    </row>
    <row r="37" ht="15" customHeight="1" s="255">
      <c r="A37" s="254" t="n">
        <v>27</v>
      </c>
      <c r="B37" s="254" t="n">
        <v>1</v>
      </c>
      <c r="G37" s="254" t="inlineStr">
        <is>
          <t>moeda</t>
        </is>
      </c>
      <c r="H37" s="254" t="inlineStr">
        <is>
          <t>LongTermDebtCurrent</t>
        </is>
      </c>
      <c r="J37" s="254" t="inlineStr">
        <is>
          <t>fonte</t>
        </is>
      </c>
      <c r="K37" s="257" t="n">
        <v>5983000000</v>
      </c>
      <c r="L37" s="257" t="n">
        <v>5553000000</v>
      </c>
      <c r="M37" s="257" t="n">
        <v>4358000000</v>
      </c>
      <c r="N37" s="257" t="n">
        <v>3115000000</v>
      </c>
      <c r="O37" s="257" t="n">
        <v>3500000000</v>
      </c>
      <c r="P37" s="257" t="n">
        <v>1617000000</v>
      </c>
      <c r="Q37" s="257" t="n">
        <v>1575000000</v>
      </c>
      <c r="R37" s="257" t="n">
        <v>2803000000</v>
      </c>
      <c r="S37" s="257" t="n">
        <v>3580000000</v>
      </c>
      <c r="T37" s="257" t="n">
        <v>5316000000</v>
      </c>
      <c r="U37" s="257" t="n">
        <v>5458000000</v>
      </c>
      <c r="V37" s="257" t="n">
        <v>4191000000</v>
      </c>
      <c r="W37" s="257" t="n">
        <v>3975000000</v>
      </c>
      <c r="X37" s="257" t="n">
        <v>2897000000</v>
      </c>
      <c r="Y37" s="257" t="n">
        <v>2806000000</v>
      </c>
      <c r="Z37" s="257" t="n">
        <v>3447000000</v>
      </c>
      <c r="AA37" s="257" t="n">
        <v>1865000000</v>
      </c>
      <c r="AB37" s="257" t="n">
        <v>1495000000</v>
      </c>
      <c r="AC37" s="257" t="n">
        <v>3246000000</v>
      </c>
      <c r="AD37" s="257" t="n">
        <v>2598000000</v>
      </c>
      <c r="AE37" s="257" t="n">
        <v>4085000000</v>
      </c>
      <c r="AF37" s="257" t="n">
        <v>4011000000</v>
      </c>
      <c r="AG37" s="257" t="n">
        <v>3523000000</v>
      </c>
      <c r="AH37" s="257" t="n">
        <v>3542000000</v>
      </c>
      <c r="AI37" s="257" t="n">
        <v>3896000000</v>
      </c>
      <c r="AJ37" s="257" t="n">
        <v>3470000000</v>
      </c>
    </row>
    <row r="38" ht="15" customHeight="1" s="255">
      <c r="A38" s="254" t="n">
        <v>29</v>
      </c>
      <c r="B38" s="254" t="n">
        <v>1</v>
      </c>
      <c r="G38" s="254" t="inlineStr">
        <is>
          <t>moeda</t>
        </is>
      </c>
      <c r="H38" s="254" t="inlineStr">
        <is>
          <t>OperatingLeaseLiabilityCurrent</t>
        </is>
      </c>
      <c r="J38" s="254" t="inlineStr">
        <is>
          <t>fonte</t>
        </is>
      </c>
      <c r="K38" s="257" t="n">
        <v>1729000000</v>
      </c>
      <c r="L38" s="257" t="n">
        <v>1734000000</v>
      </c>
      <c r="M38" s="257" t="n">
        <v>1725000000</v>
      </c>
      <c r="N38" s="257" t="n">
        <v>1466000000</v>
      </c>
      <c r="O38" s="257" t="n">
        <v>1448000000</v>
      </c>
      <c r="P38" s="257" t="n">
        <v>1441000000</v>
      </c>
      <c r="Q38" s="257" t="n">
        <v>1486000000</v>
      </c>
      <c r="R38" s="257" t="n">
        <v>1483000000</v>
      </c>
      <c r="S38" s="257" t="n">
        <v>1485000000</v>
      </c>
      <c r="T38" s="257" t="n">
        <v>1464000000</v>
      </c>
      <c r="U38" s="257" t="n">
        <v>1457000000</v>
      </c>
      <c r="V38" s="257" t="n">
        <v>1473000000</v>
      </c>
      <c r="W38" s="257" t="n">
        <v>1490000000</v>
      </c>
      <c r="X38" s="257" t="n">
        <v>1472000000</v>
      </c>
      <c r="Y38" s="257" t="n">
        <v>1474000000</v>
      </c>
      <c r="Z38" s="257" t="n">
        <v>1487000000</v>
      </c>
      <c r="AA38" s="257" t="n">
        <v>1482000000</v>
      </c>
      <c r="AB38" s="257" t="n">
        <v>1493000000</v>
      </c>
      <c r="AC38" s="257" t="n">
        <v>1507000000</v>
      </c>
      <c r="AD38" s="257" t="n">
        <v>1499000000</v>
      </c>
      <c r="AE38" s="257" t="n">
        <v>1539000000</v>
      </c>
      <c r="AF38" s="257" t="n">
        <v>1580000000</v>
      </c>
      <c r="AG38" s="257" t="n">
        <v>1592000000</v>
      </c>
      <c r="AH38" s="257" t="n">
        <v>1631000000</v>
      </c>
      <c r="AI38" s="257" t="n">
        <v>1662000000</v>
      </c>
      <c r="AJ38" s="257" t="n">
        <v>1714000000</v>
      </c>
    </row>
    <row r="39" ht="15" customHeight="1" s="255">
      <c r="A39" s="254" t="n">
        <v>30</v>
      </c>
      <c r="B39" s="254" t="n">
        <v>1</v>
      </c>
      <c r="G39" s="254" t="inlineStr">
        <is>
          <t>moeda</t>
        </is>
      </c>
      <c r="H39" s="254" t="inlineStr">
        <is>
          <t>LongTermDebtNoncurrent</t>
        </is>
      </c>
      <c r="J39" s="254" t="inlineStr">
        <is>
          <t>fonte</t>
        </is>
      </c>
      <c r="K39" s="257" t="n">
        <v>43006000000</v>
      </c>
      <c r="L39" s="257" t="n">
        <v>40959000000</v>
      </c>
      <c r="M39" s="257" t="n">
        <v>40849000000</v>
      </c>
      <c r="N39" s="257" t="n">
        <v>41194000000</v>
      </c>
      <c r="O39" s="257" t="n">
        <v>40273000000</v>
      </c>
      <c r="P39" s="257" t="n">
        <v>39581000000</v>
      </c>
      <c r="Q39" s="257" t="n">
        <v>36425000000</v>
      </c>
      <c r="R39" s="257" t="n">
        <v>34864000000</v>
      </c>
      <c r="S39" s="257" t="n">
        <v>32174000000</v>
      </c>
      <c r="T39" s="257" t="n">
        <v>29801000000</v>
      </c>
      <c r="U39" s="257" t="n">
        <v>33935000000</v>
      </c>
      <c r="V39" s="257" t="n">
        <v>34649000000</v>
      </c>
      <c r="W39" s="257" t="n">
        <v>38120000000</v>
      </c>
      <c r="X39" s="257" t="n">
        <v>36806000000</v>
      </c>
      <c r="Y39" s="257" t="n">
        <v>36342000000</v>
      </c>
      <c r="Z39" s="257" t="n">
        <v>36132000000</v>
      </c>
      <c r="AA39" s="257" t="n">
        <v>35928000000</v>
      </c>
      <c r="AB39" s="257" t="n">
        <v>35364000000</v>
      </c>
      <c r="AC39" s="257" t="n">
        <v>33645000000</v>
      </c>
      <c r="AD39" s="257" t="n">
        <v>33401000000</v>
      </c>
      <c r="AE39" s="257" t="n">
        <v>36520000000</v>
      </c>
      <c r="AF39" s="257" t="n">
        <v>35640000000</v>
      </c>
      <c r="AG39" s="257" t="n">
        <v>34445000000</v>
      </c>
      <c r="AH39" s="257" t="n">
        <v>34624000000</v>
      </c>
      <c r="AI39" s="257" t="n">
        <v>36887000000</v>
      </c>
      <c r="AJ39" s="257" t="n">
        <v>36462000000</v>
      </c>
    </row>
    <row r="40" ht="15" customHeight="1" s="255">
      <c r="A40" s="254" t="n">
        <v>31</v>
      </c>
      <c r="B40" s="254" t="n">
        <v>1</v>
      </c>
      <c r="G40" s="254" t="inlineStr">
        <is>
          <t>moeda</t>
        </is>
      </c>
      <c r="H40" s="254" t="inlineStr">
        <is>
          <t>OperatingLeaseLiabilityNoncurrent</t>
        </is>
      </c>
      <c r="J40" s="254" t="inlineStr">
        <is>
          <t>fonte</t>
        </is>
      </c>
      <c r="K40" s="257" t="n">
        <v>15669000000</v>
      </c>
      <c r="L40" s="257" t="n">
        <v>15669000000</v>
      </c>
      <c r="M40" s="257" t="n">
        <v>15982000000</v>
      </c>
      <c r="N40" s="257" t="n">
        <v>12909000000</v>
      </c>
      <c r="O40" s="257" t="n">
        <v>12930000000</v>
      </c>
      <c r="P40" s="257" t="n">
        <v>13116000000</v>
      </c>
      <c r="Q40" s="257" t="n">
        <v>13095000000</v>
      </c>
      <c r="R40" s="257" t="n">
        <v>13009000000</v>
      </c>
      <c r="S40" s="257" t="n">
        <v>13226000000</v>
      </c>
      <c r="T40" s="257" t="n">
        <v>13140000000</v>
      </c>
      <c r="U40" s="257" t="n">
        <v>12658000000</v>
      </c>
      <c r="V40" s="257" t="n">
        <v>12828000000</v>
      </c>
      <c r="W40" s="257" t="n">
        <v>12925000000</v>
      </c>
      <c r="X40" s="257" t="n">
        <v>12978000000</v>
      </c>
      <c r="Y40" s="257" t="n">
        <v>12817000000</v>
      </c>
      <c r="Z40" s="257" t="n">
        <v>12943000000</v>
      </c>
      <c r="AA40" s="257" t="n">
        <v>12840000000</v>
      </c>
      <c r="AB40" s="257" t="n">
        <v>12811000000</v>
      </c>
      <c r="AC40" s="257" t="n">
        <v>12927000000</v>
      </c>
      <c r="AD40" s="257" t="n">
        <v>12825000000</v>
      </c>
      <c r="AE40" s="257" t="n">
        <v>12797000000</v>
      </c>
      <c r="AF40" s="257" t="n">
        <v>13171000000</v>
      </c>
      <c r="AG40" s="257" t="n">
        <v>13705000000</v>
      </c>
      <c r="AH40" s="257" t="n">
        <v>13941000000</v>
      </c>
      <c r="AI40" s="257" t="n">
        <v>14388000000</v>
      </c>
      <c r="AJ40" s="257" t="n">
        <v>14798000000</v>
      </c>
    </row>
    <row r="41" ht="15" customHeight="1" s="255">
      <c r="A41" s="254" t="n">
        <v>34</v>
      </c>
      <c r="B41" s="254" t="n">
        <v>1</v>
      </c>
      <c r="G41" s="254" t="inlineStr">
        <is>
          <t>moeda</t>
        </is>
      </c>
      <c r="H41" s="254" t="inlineStr">
        <is>
          <t>FinanceLeaseLiabilityNoncurrent</t>
        </is>
      </c>
      <c r="J41" s="254" t="inlineStr">
        <is>
          <t>fonte</t>
        </is>
      </c>
      <c r="K41" s="257" t="n">
        <v>4474000000</v>
      </c>
      <c r="L41" s="257" t="n">
        <v>4673000000</v>
      </c>
      <c r="M41" s="257" t="n">
        <v>4750000000</v>
      </c>
      <c r="N41" s="257" t="n">
        <v>3847000000</v>
      </c>
      <c r="O41" s="257" t="n">
        <v>3802000000</v>
      </c>
      <c r="P41" s="257" t="n">
        <v>3952000000</v>
      </c>
      <c r="Q41" s="257" t="n">
        <v>4061000000</v>
      </c>
      <c r="R41" s="257" t="n">
        <v>4243000000</v>
      </c>
      <c r="S41" s="257" t="n">
        <v>4409000000</v>
      </c>
      <c r="T41" s="257" t="n">
        <v>4420000000</v>
      </c>
      <c r="U41" s="257" t="n">
        <v>4512000000</v>
      </c>
      <c r="V41" s="257" t="n">
        <v>4843000000</v>
      </c>
      <c r="W41" s="257" t="n">
        <v>5039000000</v>
      </c>
      <c r="X41" s="257" t="n">
        <v>5449000000</v>
      </c>
      <c r="Y41" s="257" t="n">
        <v>5670000000</v>
      </c>
      <c r="Z41" s="257" t="n">
        <v>5709000000</v>
      </c>
      <c r="AA41" s="257" t="n">
        <v>6047000000</v>
      </c>
      <c r="AB41" s="257" t="n">
        <v>6161000000</v>
      </c>
      <c r="AC41" s="257" t="n">
        <v>6056000000</v>
      </c>
      <c r="AD41" s="257" t="n">
        <v>5923000000</v>
      </c>
      <c r="AE41" s="257" t="n">
        <v>5878000000</v>
      </c>
      <c r="AF41" s="257" t="n">
        <v>5947000000</v>
      </c>
      <c r="AG41" s="257" t="n">
        <v>5916000000</v>
      </c>
      <c r="AH41" s="257" t="n">
        <v>5905000000</v>
      </c>
      <c r="AI41" s="257" t="n">
        <v>5822000000</v>
      </c>
      <c r="AJ41" s="257" t="n">
        <v>5952000000</v>
      </c>
    </row>
    <row r="42" ht="15" customHeight="1" s="255">
      <c r="A42" s="254" t="n">
        <v>34</v>
      </c>
      <c r="B42" s="254" t="n">
        <v>1</v>
      </c>
      <c r="G42" s="254" t="inlineStr">
        <is>
          <t>moeda</t>
        </is>
      </c>
      <c r="H42" s="254" t="inlineStr">
        <is>
          <t>DeferredIncomeTaxesAndOtherLiabilitiesNoncurrent</t>
        </is>
      </c>
      <c r="J42" s="254" t="inlineStr">
        <is>
          <t>fonte</t>
        </is>
      </c>
      <c r="K42" s="257" t="n">
        <v>12986000000</v>
      </c>
      <c r="L42" s="257" t="n">
        <v>12927000000</v>
      </c>
      <c r="M42" s="257" t="n">
        <v>13657000000</v>
      </c>
      <c r="N42" s="257" t="n">
        <v>14370000000</v>
      </c>
      <c r="O42" s="257" t="n">
        <v>14143000000</v>
      </c>
      <c r="P42" s="257" t="n">
        <v>13654000000</v>
      </c>
      <c r="Q42" s="257" t="n">
        <v>12893000000</v>
      </c>
      <c r="R42" s="257" t="n">
        <v>13474000000</v>
      </c>
      <c r="S42" s="257" t="n">
        <v>13943000000</v>
      </c>
      <c r="T42" s="257" t="n">
        <v>14092000000</v>
      </c>
      <c r="U42" s="257" t="n">
        <v>14760000000</v>
      </c>
      <c r="V42" s="257" t="n">
        <v>14688000000</v>
      </c>
      <c r="W42" s="257" t="n">
        <v>13999000000</v>
      </c>
      <c r="X42" s="257" t="n">
        <v>15109000000</v>
      </c>
      <c r="Y42" s="257" t="n">
        <v>14304000000</v>
      </c>
      <c r="Z42" s="257" t="n">
        <v>14629000000</v>
      </c>
      <c r="AA42" s="257" t="n">
        <v>14849000000</v>
      </c>
      <c r="AB42" s="257" t="n">
        <v>14072000000</v>
      </c>
      <c r="AC42" s="257" t="n">
        <v>13748000000</v>
      </c>
      <c r="AD42" s="257" t="n">
        <v>14398000000</v>
      </c>
      <c r="AE42" s="257" t="n">
        <v>13609000000</v>
      </c>
      <c r="AF42" s="257" t="n">
        <v>15656000000</v>
      </c>
      <c r="AG42" s="257" t="n">
        <v>16345000000</v>
      </c>
      <c r="AH42" s="257" t="n">
        <v>16549000000</v>
      </c>
      <c r="AI42" s="257" t="n">
        <v>16952000000</v>
      </c>
      <c r="AJ42" s="257" t="n">
        <v>16273000000</v>
      </c>
    </row>
    <row r="43" ht="15" customHeight="1" s="255">
      <c r="A43" s="254" t="n">
        <v>35</v>
      </c>
      <c r="B43" s="254" t="n">
        <v>1</v>
      </c>
      <c r="G43" s="254" t="inlineStr">
        <is>
          <t>moeda</t>
        </is>
      </c>
      <c r="H43" s="254" t="inlineStr">
        <is>
          <t>MinorityInterest</t>
        </is>
      </c>
      <c r="J43" s="254" t="inlineStr">
        <is>
          <t>fonte</t>
        </is>
      </c>
      <c r="K43" s="257" t="n">
        <v>5870000000</v>
      </c>
      <c r="L43" s="257" t="n">
        <v>5887000000</v>
      </c>
      <c r="M43" s="257" t="n">
        <v>6073000000</v>
      </c>
      <c r="N43" s="257" t="n">
        <v>6606000000</v>
      </c>
      <c r="O43" s="257" t="n">
        <v>6257000000</v>
      </c>
      <c r="P43" s="257" t="n">
        <v>6598000000</v>
      </c>
      <c r="Q43" s="257" t="n">
        <v>8483000000</v>
      </c>
      <c r="R43" s="257" t="n">
        <v>8638000000</v>
      </c>
      <c r="S43" s="257" t="n">
        <v>8704000000</v>
      </c>
      <c r="T43" s="257" t="n">
        <v>8018000000</v>
      </c>
      <c r="U43" s="257" t="n">
        <v>7870000000</v>
      </c>
      <c r="V43" s="257" t="n">
        <v>7061000000</v>
      </c>
      <c r="W43" s="257" t="n">
        <v>6826000000</v>
      </c>
      <c r="X43" s="257" t="n">
        <v>5771000000</v>
      </c>
      <c r="Y43" s="257" t="n">
        <v>6127000000</v>
      </c>
      <c r="Z43" s="257" t="n">
        <v>6488000000</v>
      </c>
      <c r="AA43" s="257" t="n">
        <v>6780000000</v>
      </c>
      <c r="AB43" s="257" t="n">
        <v>6142000000</v>
      </c>
      <c r="AC43" s="257" t="n">
        <v>6168000000</v>
      </c>
      <c r="AD43" s="257" t="n">
        <v>6408000000</v>
      </c>
      <c r="AE43" s="257" t="n">
        <v>6548000000</v>
      </c>
      <c r="AF43" s="257" t="n">
        <v>6440000000</v>
      </c>
      <c r="AG43" s="257" t="n">
        <v>6112000000</v>
      </c>
      <c r="AH43" s="257" t="n">
        <v>6270000000</v>
      </c>
      <c r="AI43" s="257" t="n">
        <v>6352000000</v>
      </c>
      <c r="AJ43" s="257" t="n">
        <v>6268000000</v>
      </c>
    </row>
    <row r="44" ht="15" customHeight="1" s="255">
      <c r="A44" s="254" t="n">
        <v>35</v>
      </c>
      <c r="B44" s="254" t="n">
        <v>1</v>
      </c>
      <c r="G44" s="254" t="inlineStr">
        <is>
          <t>moeda</t>
        </is>
      </c>
      <c r="H44" s="254" t="inlineStr">
        <is>
          <t>RedeemableNoncontrollingInterestEquityCarryingAmount</t>
        </is>
      </c>
      <c r="J44" s="254" t="inlineStr">
        <is>
          <t>fonte</t>
        </is>
      </c>
      <c r="K44" s="257" t="n">
        <v>0</v>
      </c>
      <c r="L44" s="257" t="n">
        <v>0</v>
      </c>
      <c r="M44" s="257" t="n">
        <v>0</v>
      </c>
      <c r="N44" s="257" t="n">
        <v>0</v>
      </c>
      <c r="O44" s="257" t="n">
        <v>0</v>
      </c>
      <c r="P44" s="257" t="n">
        <v>0</v>
      </c>
      <c r="Q44" s="257" t="n">
        <v>0</v>
      </c>
      <c r="R44" s="257" t="n">
        <v>0</v>
      </c>
      <c r="S44" s="257" t="n">
        <v>260000000</v>
      </c>
      <c r="T44" s="257" t="n">
        <v>260000000</v>
      </c>
      <c r="U44" s="257" t="n">
        <v>260000000</v>
      </c>
      <c r="V44" s="257" t="n">
        <v>237000000</v>
      </c>
      <c r="W44" s="257" t="n">
        <v>234000000</v>
      </c>
      <c r="X44" s="257" t="n">
        <v>232000000</v>
      </c>
      <c r="Y44" s="257" t="n">
        <v>228000000</v>
      </c>
      <c r="Z44" s="257" t="n">
        <v>222000000</v>
      </c>
      <c r="AA44" s="257" t="n">
        <v>217000000</v>
      </c>
      <c r="AB44" s="257" t="n">
        <v>207000000</v>
      </c>
      <c r="AC44" s="257" t="n">
        <v>189000000</v>
      </c>
      <c r="AD44" s="257" t="n">
        <v>271000000</v>
      </c>
      <c r="AE44" s="257" t="n">
        <v>307000000</v>
      </c>
      <c r="AF44" s="257" t="n">
        <v>307000000</v>
      </c>
      <c r="AG44" s="257" t="n">
        <v>306000000</v>
      </c>
      <c r="AH44" s="257" t="n">
        <v>293000000</v>
      </c>
      <c r="AI44" s="257" t="n">
        <v>293000000</v>
      </c>
      <c r="AJ44" s="257" t="n">
        <v>293000000</v>
      </c>
    </row>
    <row r="45" ht="15" customHeight="1" s="255">
      <c r="A45" s="254" t="n">
        <v>37</v>
      </c>
      <c r="B45" s="254" t="n">
        <v>1</v>
      </c>
      <c r="G45" s="254" t="inlineStr">
        <is>
          <t>moeda</t>
        </is>
      </c>
      <c r="H45" s="254" t="inlineStr">
        <is>
          <t>CommonStockValue</t>
        </is>
      </c>
      <c r="J45" s="254" t="inlineStr">
        <is>
          <t>fonte</t>
        </is>
      </c>
      <c r="K45" s="257" t="n">
        <v>284000000</v>
      </c>
      <c r="L45" s="257" t="n">
        <v>283000000</v>
      </c>
      <c r="M45" s="257" t="n">
        <v>283000000</v>
      </c>
      <c r="N45" s="257" t="n">
        <v>282000000</v>
      </c>
      <c r="O45" s="257" t="n">
        <v>280000000</v>
      </c>
      <c r="P45" s="257" t="n">
        <v>278000000</v>
      </c>
      <c r="Q45" s="257" t="n">
        <v>277000000</v>
      </c>
      <c r="R45" s="257" t="n">
        <v>276000000</v>
      </c>
      <c r="S45" s="257" t="n">
        <v>275000000</v>
      </c>
      <c r="T45" s="257" t="n">
        <v>272000000</v>
      </c>
      <c r="U45" s="257" t="n">
        <v>270000000</v>
      </c>
      <c r="V45" s="257" t="n">
        <v>269000000</v>
      </c>
      <c r="W45" s="257" t="n">
        <v>269000000</v>
      </c>
      <c r="X45" s="257" t="n">
        <v>269000000</v>
      </c>
      <c r="Y45" s="257" t="n">
        <v>269000000</v>
      </c>
      <c r="Z45" s="257" t="n">
        <v>805000000</v>
      </c>
      <c r="AA45" s="257" t="n">
        <v>805000000</v>
      </c>
      <c r="AB45" s="257" t="n">
        <v>803000000</v>
      </c>
      <c r="AC45" s="257" t="n">
        <v>803000000</v>
      </c>
      <c r="AD45" s="257" t="n">
        <v>802000000</v>
      </c>
      <c r="AE45" s="257" t="n">
        <v>799000000</v>
      </c>
      <c r="AF45" s="257" t="n">
        <v>797000000</v>
      </c>
      <c r="AG45" s="257" t="n">
        <v>797000000</v>
      </c>
      <c r="AH45" s="257" t="n">
        <v>797000000</v>
      </c>
      <c r="AI45" s="257" t="n">
        <v>796000000</v>
      </c>
      <c r="AJ45" s="257" t="n">
        <v>794000000</v>
      </c>
    </row>
    <row r="46" ht="15" customHeight="1" s="255">
      <c r="A46" s="254" t="n">
        <v>37</v>
      </c>
      <c r="B46" s="254" t="n">
        <v>1</v>
      </c>
      <c r="G46" s="254" t="inlineStr">
        <is>
          <t>moeda</t>
        </is>
      </c>
      <c r="H46" s="254" t="inlineStr">
        <is>
          <t>AdditionalPaidInCapital</t>
        </is>
      </c>
      <c r="J46" s="254" t="inlineStr">
        <is>
          <t>fonte</t>
        </is>
      </c>
      <c r="K46" s="257" t="n">
        <v>2983000000</v>
      </c>
      <c r="L46" s="257" t="n">
        <v>3197000000</v>
      </c>
      <c r="M46" s="257" t="n">
        <v>3485000000</v>
      </c>
      <c r="N46" s="257" t="n">
        <v>3646000000</v>
      </c>
      <c r="O46" s="257" t="n">
        <v>3424000000</v>
      </c>
      <c r="P46" s="257" t="n">
        <v>3655000000</v>
      </c>
      <c r="Q46" s="257" t="n">
        <v>4811000000</v>
      </c>
      <c r="R46" s="257" t="n">
        <v>4839000000</v>
      </c>
      <c r="S46" s="257" t="n">
        <v>4587000000</v>
      </c>
      <c r="T46" s="257" t="n">
        <v>4672000000</v>
      </c>
      <c r="U46" s="257" t="n">
        <v>4817000000</v>
      </c>
      <c r="V46" s="257" t="n">
        <v>4969000000</v>
      </c>
      <c r="W46" s="257" t="n">
        <v>5248000000</v>
      </c>
      <c r="X46" s="257" t="n">
        <v>4635000000</v>
      </c>
      <c r="Y46" s="257" t="n">
        <v>4929000000</v>
      </c>
      <c r="Z46" s="257" t="n">
        <v>4544000000</v>
      </c>
      <c r="AA46" s="257" t="n">
        <v>4625000000</v>
      </c>
      <c r="AB46" s="257" t="n">
        <v>5010000000</v>
      </c>
      <c r="AC46" s="257" t="n">
        <v>5395000000</v>
      </c>
      <c r="AD46" s="257" t="n">
        <v>5503000000</v>
      </c>
      <c r="AE46" s="257" t="n">
        <v>5441000000</v>
      </c>
      <c r="AF46" s="257" t="n">
        <v>5718000000</v>
      </c>
      <c r="AG46" s="257" t="n">
        <v>6863000000</v>
      </c>
      <c r="AH46" s="257" t="n">
        <v>6816000000</v>
      </c>
      <c r="AI46" s="257" t="n">
        <v>6898000000</v>
      </c>
      <c r="AJ46" s="257" t="n">
        <v>7046000000</v>
      </c>
    </row>
    <row r="47" ht="15" customHeight="1" s="255">
      <c r="A47" s="254" t="n">
        <v>39</v>
      </c>
      <c r="B47" s="254" t="n">
        <v>1</v>
      </c>
      <c r="G47" s="254" t="inlineStr">
        <is>
          <t>moeda</t>
        </is>
      </c>
      <c r="H47" s="254" t="inlineStr">
        <is>
          <t>AccumulatedOtherComprehensiveIncomeLossNetOfTax</t>
        </is>
      </c>
      <c r="J47" s="254" t="inlineStr">
        <is>
          <t>fonte</t>
        </is>
      </c>
      <c r="K47" s="257" t="n">
        <v>-16168000000</v>
      </c>
      <c r="L47" s="257" t="n">
        <v>-15784000000</v>
      </c>
      <c r="M47" s="257" t="n">
        <v>-14616000000</v>
      </c>
      <c r="N47" s="257" t="n">
        <v>-11766000000</v>
      </c>
      <c r="O47" s="257" t="n">
        <v>-7946000000</v>
      </c>
      <c r="P47" s="257" t="n">
        <v>-7976000000</v>
      </c>
      <c r="Q47" s="257" t="n">
        <v>-8488000000</v>
      </c>
      <c r="R47" s="257" t="n">
        <v>-8766000000</v>
      </c>
      <c r="S47" s="257" t="n">
        <v>-8498000000</v>
      </c>
      <c r="T47" s="257" t="n">
        <v>-9894000000</v>
      </c>
      <c r="U47" s="257" t="n">
        <v>-10780000000</v>
      </c>
      <c r="V47" s="257" t="n">
        <v>-11680000000</v>
      </c>
      <c r="W47" s="257" t="n">
        <v>-11147000000</v>
      </c>
      <c r="X47" s="257" t="n">
        <v>-10818000000</v>
      </c>
      <c r="Y47" s="257" t="n">
        <v>-11573000000</v>
      </c>
      <c r="Z47" s="257" t="n">
        <v>-11302000000</v>
      </c>
      <c r="AA47" s="257" t="n">
        <v>-11367000000</v>
      </c>
      <c r="AB47" s="257" t="n">
        <v>-12178000000</v>
      </c>
      <c r="AC47" s="257" t="n">
        <v>-12525000000</v>
      </c>
      <c r="AD47" s="257" t="n">
        <v>-13605000000</v>
      </c>
      <c r="AE47" s="257" t="n">
        <v>-13296000000</v>
      </c>
      <c r="AF47" s="257" t="n">
        <v>-12733000000</v>
      </c>
      <c r="AG47" s="257" t="n">
        <v>-13124000000</v>
      </c>
      <c r="AH47" s="257" t="n">
        <v>-12770000000</v>
      </c>
      <c r="AI47" s="257" t="n">
        <v>-13605000000</v>
      </c>
      <c r="AJ47" s="257" t="n">
        <v>-13203000000</v>
      </c>
    </row>
    <row r="48" ht="15" customHeight="1" s="255">
      <c r="A48" s="254" t="n">
        <v>41</v>
      </c>
      <c r="B48" s="254" t="n">
        <v>1</v>
      </c>
      <c r="G48" s="254" t="inlineStr">
        <is>
          <t>moeda</t>
        </is>
      </c>
      <c r="H48" s="254" t="inlineStr">
        <is>
          <t>RetainedEarningsAccumulatedDeficit</t>
        </is>
      </c>
      <c r="J48" s="254" t="inlineStr">
        <is>
          <t>fonte</t>
        </is>
      </c>
      <c r="K48" s="257" t="n">
        <v>81141000000</v>
      </c>
      <c r="L48" s="257" t="n">
        <v>87614000000</v>
      </c>
      <c r="M48" s="257" t="n">
        <v>92279000000</v>
      </c>
      <c r="N48" s="257" t="n">
        <v>88763000000</v>
      </c>
      <c r="O48" s="257" t="n">
        <v>82577000000</v>
      </c>
      <c r="P48" s="257" t="n">
        <v>84572000000</v>
      </c>
      <c r="Q48" s="257" t="n">
        <v>85674000000</v>
      </c>
      <c r="R48" s="257" t="n">
        <v>86904000000</v>
      </c>
      <c r="S48" s="257" t="n">
        <v>80532000000</v>
      </c>
      <c r="T48" s="257" t="n">
        <v>82519000000</v>
      </c>
      <c r="U48" s="257" t="n">
        <v>77946000000</v>
      </c>
      <c r="V48" s="257" t="n">
        <v>83135000000</v>
      </c>
      <c r="W48" s="257" t="n">
        <v>78035000000</v>
      </c>
      <c r="X48" s="257" t="n">
        <v>85470000000</v>
      </c>
      <c r="Y48" s="257" t="n">
        <v>85831000000</v>
      </c>
      <c r="Z48" s="257" t="n">
        <v>89814000000</v>
      </c>
      <c r="AA48" s="257" t="n">
        <v>87230000000</v>
      </c>
      <c r="AB48" s="257" t="n">
        <v>90788000000</v>
      </c>
      <c r="AC48" s="257" t="n">
        <v>94435000000</v>
      </c>
      <c r="AD48" s="257" t="n">
        <v>98313000000</v>
      </c>
      <c r="AE48" s="257" t="n">
        <v>90849000000</v>
      </c>
      <c r="AF48" s="257" t="n">
        <v>96328000000</v>
      </c>
      <c r="AG48" s="257" t="n">
        <v>101558000000</v>
      </c>
      <c r="AH48" s="257" t="n">
        <v>104774000000</v>
      </c>
      <c r="AI48" s="257" t="n">
        <v>100241000000</v>
      </c>
      <c r="AJ48" s="257" t="n">
        <v>103601000000</v>
      </c>
    </row>
    <row r="49" ht="15" customHeight="1" s="255">
      <c r="A49" s="254" t="n">
        <v>14</v>
      </c>
      <c r="B49" s="254" t="n">
        <v>1</v>
      </c>
      <c r="G49" s="254" t="inlineStr">
        <is>
          <t>moeda</t>
        </is>
      </c>
      <c r="H49" s="254" t="inlineStr">
        <is>
          <t>[vazio] IR diferido ativo: não aparece como linha própria nas demonstrações (zero)</t>
        </is>
      </c>
      <c r="J49" s="254" t="inlineStr">
        <is>
          <t>derivada</t>
        </is>
      </c>
      <c r="K49" s="257" t="n">
        <v>0</v>
      </c>
      <c r="L49" s="257" t="n">
        <v>0</v>
      </c>
      <c r="M49" s="257" t="n">
        <v>0</v>
      </c>
      <c r="N49" s="257" t="n">
        <v>0</v>
      </c>
      <c r="O49" s="257" t="n">
        <v>0</v>
      </c>
      <c r="P49" s="257" t="n">
        <v>0</v>
      </c>
      <c r="Q49" s="257" t="n">
        <v>0</v>
      </c>
      <c r="R49" s="257" t="n">
        <v>0</v>
      </c>
      <c r="S49" s="257" t="n">
        <v>0</v>
      </c>
      <c r="T49" s="257" t="n">
        <v>0</v>
      </c>
      <c r="U49" s="257" t="n">
        <v>0</v>
      </c>
      <c r="V49" s="257" t="n">
        <v>0</v>
      </c>
      <c r="W49" s="257" t="n">
        <v>0</v>
      </c>
      <c r="X49" s="257" t="n">
        <v>0</v>
      </c>
      <c r="Y49" s="257" t="n">
        <v>0</v>
      </c>
      <c r="Z49" s="257" t="n">
        <v>0</v>
      </c>
      <c r="AA49" s="257" t="n">
        <v>0</v>
      </c>
      <c r="AB49" s="257" t="n">
        <v>0</v>
      </c>
      <c r="AC49" s="257" t="n">
        <v>0</v>
      </c>
      <c r="AD49" s="257" t="n">
        <v>0</v>
      </c>
      <c r="AE49" s="257" t="n">
        <v>0</v>
      </c>
      <c r="AF49" s="257" t="n">
        <v>0</v>
      </c>
      <c r="AG49" s="257" t="n">
        <v>0</v>
      </c>
      <c r="AH49" s="257" t="n">
        <v>0</v>
      </c>
      <c r="AI49" s="257" t="n">
        <v>0</v>
      </c>
      <c r="AJ49" s="257" t="n">
        <v>0</v>
      </c>
    </row>
    <row r="50" ht="15" customHeight="1" s="255">
      <c r="A50" s="254" t="n">
        <v>15</v>
      </c>
      <c r="B50" s="254" t="n">
        <v>1</v>
      </c>
      <c r="G50" s="254" t="inlineStr">
        <is>
          <t>moeda</t>
        </is>
      </c>
      <c r="H50" s="254" t="inlineStr">
        <is>
          <t>[vazio] Despesas antecipadas: não aparece como linha própria nas demonstrações (zero)</t>
        </is>
      </c>
      <c r="J50" s="254" t="inlineStr">
        <is>
          <t>derivada</t>
        </is>
      </c>
      <c r="K50" s="257" t="n">
        <v>0</v>
      </c>
      <c r="L50" s="257" t="n">
        <v>0</v>
      </c>
      <c r="M50" s="257" t="n">
        <v>0</v>
      </c>
      <c r="N50" s="257" t="n">
        <v>0</v>
      </c>
      <c r="O50" s="257" t="n">
        <v>0</v>
      </c>
      <c r="P50" s="257" t="n">
        <v>0</v>
      </c>
      <c r="Q50" s="257" t="n">
        <v>0</v>
      </c>
      <c r="R50" s="257" t="n">
        <v>0</v>
      </c>
      <c r="S50" s="257" t="n">
        <v>0</v>
      </c>
      <c r="T50" s="257" t="n">
        <v>0</v>
      </c>
      <c r="U50" s="257" t="n">
        <v>0</v>
      </c>
      <c r="V50" s="257" t="n">
        <v>0</v>
      </c>
      <c r="W50" s="257" t="n">
        <v>0</v>
      </c>
      <c r="X50" s="257" t="n">
        <v>0</v>
      </c>
      <c r="Y50" s="257" t="n">
        <v>0</v>
      </c>
      <c r="Z50" s="257" t="n">
        <v>0</v>
      </c>
      <c r="AA50" s="257" t="n">
        <v>0</v>
      </c>
      <c r="AB50" s="257" t="n">
        <v>0</v>
      </c>
      <c r="AC50" s="257" t="n">
        <v>0</v>
      </c>
      <c r="AD50" s="257" t="n">
        <v>0</v>
      </c>
      <c r="AE50" s="257" t="n">
        <v>0</v>
      </c>
      <c r="AF50" s="257" t="n">
        <v>0</v>
      </c>
      <c r="AG50" s="257" t="n">
        <v>0</v>
      </c>
      <c r="AH50" s="257" t="n">
        <v>0</v>
      </c>
      <c r="AI50" s="257" t="n">
        <v>0</v>
      </c>
      <c r="AJ50" s="257" t="n">
        <v>0</v>
      </c>
    </row>
    <row r="51" ht="15" customHeight="1" s="255">
      <c r="A51" s="254" t="n">
        <v>17</v>
      </c>
      <c r="B51" s="254" t="n">
        <v>1</v>
      </c>
      <c r="G51" s="254" t="inlineStr">
        <is>
          <t>moeda</t>
        </is>
      </c>
      <c r="H51" s="254" t="inlineStr">
        <is>
          <t>[vazio] Investimentos em coligadas: não aparece como linha própria nas demonstrações (zero)</t>
        </is>
      </c>
      <c r="J51" s="254" t="inlineStr">
        <is>
          <t>derivada</t>
        </is>
      </c>
      <c r="K51" s="257" t="n">
        <v>0</v>
      </c>
      <c r="L51" s="257" t="n">
        <v>0</v>
      </c>
      <c r="M51" s="257" t="n">
        <v>0</v>
      </c>
      <c r="N51" s="257" t="n">
        <v>0</v>
      </c>
      <c r="O51" s="257" t="n">
        <v>0</v>
      </c>
      <c r="P51" s="257" t="n">
        <v>0</v>
      </c>
      <c r="Q51" s="257" t="n">
        <v>0</v>
      </c>
      <c r="R51" s="257" t="n">
        <v>0</v>
      </c>
      <c r="S51" s="257" t="n">
        <v>0</v>
      </c>
      <c r="T51" s="257" t="n">
        <v>0</v>
      </c>
      <c r="U51" s="257" t="n">
        <v>0</v>
      </c>
      <c r="V51" s="257" t="n">
        <v>0</v>
      </c>
      <c r="W51" s="257" t="n">
        <v>0</v>
      </c>
      <c r="X51" s="257" t="n">
        <v>0</v>
      </c>
      <c r="Y51" s="257" t="n">
        <v>0</v>
      </c>
      <c r="Z51" s="257" t="n">
        <v>0</v>
      </c>
      <c r="AA51" s="257" t="n">
        <v>0</v>
      </c>
      <c r="AB51" s="257" t="n">
        <v>0</v>
      </c>
      <c r="AC51" s="257" t="n">
        <v>0</v>
      </c>
      <c r="AD51" s="257" t="n">
        <v>0</v>
      </c>
      <c r="AE51" s="257" t="n">
        <v>0</v>
      </c>
      <c r="AF51" s="257" t="n">
        <v>0</v>
      </c>
      <c r="AG51" s="257" t="n">
        <v>0</v>
      </c>
      <c r="AH51" s="257" t="n">
        <v>0</v>
      </c>
      <c r="AI51" s="257" t="n">
        <v>0</v>
      </c>
      <c r="AJ51" s="257" t="n">
        <v>0</v>
      </c>
    </row>
    <row r="52" ht="15" customHeight="1" s="255">
      <c r="A52" s="254" t="n">
        <v>21</v>
      </c>
      <c r="B52" s="254" t="n">
        <v>1</v>
      </c>
      <c r="G52" s="254" t="inlineStr">
        <is>
          <t>moeda</t>
        </is>
      </c>
      <c r="H52" s="254" t="inlineStr">
        <is>
          <t>[vazio] Intangíveis: não aparece como linha própria nas demonstrações (zero)</t>
        </is>
      </c>
      <c r="J52" s="254" t="inlineStr">
        <is>
          <t>derivada</t>
        </is>
      </c>
      <c r="K52" s="257" t="n">
        <v>0</v>
      </c>
      <c r="L52" s="257" t="n">
        <v>0</v>
      </c>
      <c r="M52" s="257" t="n">
        <v>0</v>
      </c>
      <c r="N52" s="257" t="n">
        <v>0</v>
      </c>
      <c r="O52" s="257" t="n">
        <v>0</v>
      </c>
      <c r="P52" s="257" t="n">
        <v>0</v>
      </c>
      <c r="Q52" s="257" t="n">
        <v>0</v>
      </c>
      <c r="R52" s="257" t="n">
        <v>0</v>
      </c>
      <c r="S52" s="257" t="n">
        <v>0</v>
      </c>
      <c r="T52" s="257" t="n">
        <v>0</v>
      </c>
      <c r="U52" s="257" t="n">
        <v>0</v>
      </c>
      <c r="V52" s="257" t="n">
        <v>0</v>
      </c>
      <c r="W52" s="257" t="n">
        <v>0</v>
      </c>
      <c r="X52" s="257" t="n">
        <v>0</v>
      </c>
      <c r="Y52" s="257" t="n">
        <v>0</v>
      </c>
      <c r="Z52" s="257" t="n">
        <v>0</v>
      </c>
      <c r="AA52" s="257" t="n">
        <v>0</v>
      </c>
      <c r="AB52" s="257" t="n">
        <v>0</v>
      </c>
      <c r="AC52" s="257" t="n">
        <v>0</v>
      </c>
      <c r="AD52" s="257" t="n">
        <v>0</v>
      </c>
      <c r="AE52" s="257" t="n">
        <v>0</v>
      </c>
      <c r="AF52" s="257" t="n">
        <v>0</v>
      </c>
      <c r="AG52" s="257" t="n">
        <v>0</v>
      </c>
      <c r="AH52" s="257" t="n">
        <v>0</v>
      </c>
      <c r="AI52" s="257" t="n">
        <v>0</v>
      </c>
      <c r="AJ52" s="257" t="n">
        <v>0</v>
      </c>
    </row>
    <row r="53" ht="15" customHeight="1" s="255">
      <c r="A53" s="254" t="n">
        <v>28</v>
      </c>
      <c r="B53" s="254" t="n">
        <v>1</v>
      </c>
      <c r="G53" s="254" t="inlineStr">
        <is>
          <t>moeda</t>
        </is>
      </c>
      <c r="H53" s="254" t="inlineStr">
        <is>
          <t>[vazio] Revolving: não aparece como linha própria nas demonstrações (zero)</t>
        </is>
      </c>
      <c r="J53" s="254" t="inlineStr">
        <is>
          <t>derivada</t>
        </is>
      </c>
      <c r="K53" s="257" t="n">
        <v>0</v>
      </c>
      <c r="L53" s="257" t="n">
        <v>0</v>
      </c>
      <c r="M53" s="257" t="n">
        <v>0</v>
      </c>
      <c r="N53" s="257" t="n">
        <v>0</v>
      </c>
      <c r="O53" s="257" t="n">
        <v>0</v>
      </c>
      <c r="P53" s="257" t="n">
        <v>0</v>
      </c>
      <c r="Q53" s="257" t="n">
        <v>0</v>
      </c>
      <c r="R53" s="257" t="n">
        <v>0</v>
      </c>
      <c r="S53" s="257" t="n">
        <v>0</v>
      </c>
      <c r="T53" s="257" t="n">
        <v>0</v>
      </c>
      <c r="U53" s="257" t="n">
        <v>0</v>
      </c>
      <c r="V53" s="257" t="n">
        <v>0</v>
      </c>
      <c r="W53" s="257" t="n">
        <v>0</v>
      </c>
      <c r="X53" s="257" t="n">
        <v>0</v>
      </c>
      <c r="Y53" s="257" t="n">
        <v>0</v>
      </c>
      <c r="Z53" s="257" t="n">
        <v>0</v>
      </c>
      <c r="AA53" s="257" t="n">
        <v>0</v>
      </c>
      <c r="AB53" s="257" t="n">
        <v>0</v>
      </c>
      <c r="AC53" s="257" t="n">
        <v>0</v>
      </c>
      <c r="AD53" s="257" t="n">
        <v>0</v>
      </c>
      <c r="AE53" s="257" t="n">
        <v>0</v>
      </c>
      <c r="AF53" s="257" t="n">
        <v>0</v>
      </c>
      <c r="AG53" s="257" t="n">
        <v>0</v>
      </c>
      <c r="AH53" s="257" t="n">
        <v>0</v>
      </c>
      <c r="AI53" s="257" t="n">
        <v>0</v>
      </c>
      <c r="AJ53" s="257" t="n">
        <v>0</v>
      </c>
    </row>
    <row r="54" ht="15" customHeight="1" s="255">
      <c r="A54" s="254" t="n">
        <v>32</v>
      </c>
      <c r="B54" s="254" t="n">
        <v>1</v>
      </c>
      <c r="G54" s="254" t="inlineStr">
        <is>
          <t>moeda</t>
        </is>
      </c>
      <c r="H54" s="254" t="inlineStr">
        <is>
          <t>[vazio] Dívida conversível: não aparece como linha própria nas demonstrações (zero)</t>
        </is>
      </c>
      <c r="J54" s="254" t="inlineStr">
        <is>
          <t>derivada</t>
        </is>
      </c>
      <c r="K54" s="257" t="n">
        <v>0</v>
      </c>
      <c r="L54" s="257" t="n">
        <v>0</v>
      </c>
      <c r="M54" s="257" t="n">
        <v>0</v>
      </c>
      <c r="N54" s="257" t="n">
        <v>0</v>
      </c>
      <c r="O54" s="257" t="n">
        <v>0</v>
      </c>
      <c r="P54" s="257" t="n">
        <v>0</v>
      </c>
      <c r="Q54" s="257" t="n">
        <v>0</v>
      </c>
      <c r="R54" s="257" t="n">
        <v>0</v>
      </c>
      <c r="S54" s="257" t="n">
        <v>0</v>
      </c>
      <c r="T54" s="257" t="n">
        <v>0</v>
      </c>
      <c r="U54" s="257" t="n">
        <v>0</v>
      </c>
      <c r="V54" s="257" t="n">
        <v>0</v>
      </c>
      <c r="W54" s="257" t="n">
        <v>0</v>
      </c>
      <c r="X54" s="257" t="n">
        <v>0</v>
      </c>
      <c r="Y54" s="257" t="n">
        <v>0</v>
      </c>
      <c r="Z54" s="257" t="n">
        <v>0</v>
      </c>
      <c r="AA54" s="257" t="n">
        <v>0</v>
      </c>
      <c r="AB54" s="257" t="n">
        <v>0</v>
      </c>
      <c r="AC54" s="257" t="n">
        <v>0</v>
      </c>
      <c r="AD54" s="257" t="n">
        <v>0</v>
      </c>
      <c r="AE54" s="257" t="n">
        <v>0</v>
      </c>
      <c r="AF54" s="257" t="n">
        <v>0</v>
      </c>
      <c r="AG54" s="257" t="n">
        <v>0</v>
      </c>
      <c r="AH54" s="257" t="n">
        <v>0</v>
      </c>
      <c r="AI54" s="257" t="n">
        <v>0</v>
      </c>
      <c r="AJ54" s="257" t="n">
        <v>0</v>
      </c>
    </row>
    <row r="55" ht="15" customHeight="1" s="255">
      <c r="A55" s="254" t="n">
        <v>33</v>
      </c>
      <c r="B55" s="254" t="n">
        <v>1</v>
      </c>
      <c r="G55" s="254" t="inlineStr">
        <is>
          <t>moeda</t>
        </is>
      </c>
      <c r="H55" s="254" t="inlineStr">
        <is>
          <t>[vazio] IR diferido passivo: não aparece como linha própria nas demonstrações (zero)</t>
        </is>
      </c>
      <c r="J55" s="254" t="inlineStr">
        <is>
          <t>derivada</t>
        </is>
      </c>
      <c r="K55" s="257" t="n">
        <v>0</v>
      </c>
      <c r="L55" s="257" t="n">
        <v>0</v>
      </c>
      <c r="M55" s="257" t="n">
        <v>0</v>
      </c>
      <c r="N55" s="257" t="n">
        <v>0</v>
      </c>
      <c r="O55" s="257" t="n">
        <v>0</v>
      </c>
      <c r="P55" s="257" t="n">
        <v>0</v>
      </c>
      <c r="Q55" s="257" t="n">
        <v>0</v>
      </c>
      <c r="R55" s="257" t="n">
        <v>0</v>
      </c>
      <c r="S55" s="257" t="n">
        <v>0</v>
      </c>
      <c r="T55" s="257" t="n">
        <v>0</v>
      </c>
      <c r="U55" s="257" t="n">
        <v>0</v>
      </c>
      <c r="V55" s="257" t="n">
        <v>0</v>
      </c>
      <c r="W55" s="257" t="n">
        <v>0</v>
      </c>
      <c r="X55" s="257" t="n">
        <v>0</v>
      </c>
      <c r="Y55" s="257" t="n">
        <v>0</v>
      </c>
      <c r="Z55" s="257" t="n">
        <v>0</v>
      </c>
      <c r="AA55" s="257" t="n">
        <v>0</v>
      </c>
      <c r="AB55" s="257" t="n">
        <v>0</v>
      </c>
      <c r="AC55" s="257" t="n">
        <v>0</v>
      </c>
      <c r="AD55" s="257" t="n">
        <v>0</v>
      </c>
      <c r="AE55" s="257" t="n">
        <v>0</v>
      </c>
      <c r="AF55" s="257" t="n">
        <v>0</v>
      </c>
      <c r="AG55" s="257" t="n">
        <v>0</v>
      </c>
      <c r="AH55" s="257" t="n">
        <v>0</v>
      </c>
      <c r="AI55" s="257" t="n">
        <v>0</v>
      </c>
      <c r="AJ55" s="257" t="n">
        <v>0</v>
      </c>
    </row>
    <row r="56" ht="15" customHeight="1" s="255">
      <c r="A56" s="254" t="n">
        <v>38</v>
      </c>
      <c r="B56" s="254" t="n">
        <v>1</v>
      </c>
      <c r="G56" s="254" t="inlineStr">
        <is>
          <t>moeda</t>
        </is>
      </c>
      <c r="H56" s="254" t="inlineStr">
        <is>
          <t>[vazio] Tesouraria: não aparece como linha própria nas demonstrações (zero)</t>
        </is>
      </c>
      <c r="J56" s="254" t="inlineStr">
        <is>
          <t>derivada</t>
        </is>
      </c>
      <c r="K56" s="257" t="n">
        <v>0</v>
      </c>
      <c r="L56" s="257" t="n">
        <v>0</v>
      </c>
      <c r="M56" s="257" t="n">
        <v>0</v>
      </c>
      <c r="N56" s="257" t="n">
        <v>0</v>
      </c>
      <c r="O56" s="257" t="n">
        <v>0</v>
      </c>
      <c r="P56" s="257" t="n">
        <v>0</v>
      </c>
      <c r="Q56" s="257" t="n">
        <v>0</v>
      </c>
      <c r="R56" s="257" t="n">
        <v>0</v>
      </c>
      <c r="S56" s="257" t="n">
        <v>0</v>
      </c>
      <c r="T56" s="257" t="n">
        <v>0</v>
      </c>
      <c r="U56" s="257" t="n">
        <v>0</v>
      </c>
      <c r="V56" s="257" t="n">
        <v>0</v>
      </c>
      <c r="W56" s="257" t="n">
        <v>0</v>
      </c>
      <c r="X56" s="257" t="n">
        <v>0</v>
      </c>
      <c r="Y56" s="257" t="n">
        <v>0</v>
      </c>
      <c r="Z56" s="257" t="n">
        <v>0</v>
      </c>
      <c r="AA56" s="257" t="n">
        <v>0</v>
      </c>
      <c r="AB56" s="257" t="n">
        <v>0</v>
      </c>
      <c r="AC56" s="257" t="n">
        <v>0</v>
      </c>
      <c r="AD56" s="257" t="n">
        <v>0</v>
      </c>
      <c r="AE56" s="257" t="n">
        <v>0</v>
      </c>
      <c r="AF56" s="257" t="n">
        <v>0</v>
      </c>
      <c r="AG56" s="257" t="n">
        <v>0</v>
      </c>
      <c r="AH56" s="257" t="n">
        <v>0</v>
      </c>
      <c r="AI56" s="257" t="n">
        <v>0</v>
      </c>
      <c r="AJ56" s="257" t="n">
        <v>0</v>
      </c>
    </row>
    <row r="57" ht="15" customHeight="1" s="255">
      <c r="A57" s="254" t="n">
        <v>40</v>
      </c>
      <c r="B57" s="254" t="n">
        <v>1</v>
      </c>
      <c r="G57" s="254" t="inlineStr">
        <is>
          <t>moeda</t>
        </is>
      </c>
      <c r="H57" s="254" t="inlineStr">
        <is>
          <t>[vazio] Outras contas do PL: não aparece como linha própria nas demonstrações (zero)</t>
        </is>
      </c>
      <c r="J57" s="254" t="inlineStr">
        <is>
          <t>derivada</t>
        </is>
      </c>
      <c r="K57" s="257" t="n">
        <v>0</v>
      </c>
      <c r="L57" s="257" t="n">
        <v>0</v>
      </c>
      <c r="M57" s="257" t="n">
        <v>0</v>
      </c>
      <c r="N57" s="257" t="n">
        <v>0</v>
      </c>
      <c r="O57" s="257" t="n">
        <v>0</v>
      </c>
      <c r="P57" s="257" t="n">
        <v>0</v>
      </c>
      <c r="Q57" s="257" t="n">
        <v>0</v>
      </c>
      <c r="R57" s="257" t="n">
        <v>0</v>
      </c>
      <c r="S57" s="257" t="n">
        <v>0</v>
      </c>
      <c r="T57" s="257" t="n">
        <v>0</v>
      </c>
      <c r="U57" s="257" t="n">
        <v>0</v>
      </c>
      <c r="V57" s="257" t="n">
        <v>0</v>
      </c>
      <c r="W57" s="257" t="n">
        <v>0</v>
      </c>
      <c r="X57" s="257" t="n">
        <v>0</v>
      </c>
      <c r="Y57" s="257" t="n">
        <v>0</v>
      </c>
      <c r="Z57" s="257" t="n">
        <v>0</v>
      </c>
      <c r="AA57" s="257" t="n">
        <v>0</v>
      </c>
      <c r="AB57" s="257" t="n">
        <v>0</v>
      </c>
      <c r="AC57" s="257" t="n">
        <v>0</v>
      </c>
      <c r="AD57" s="257" t="n">
        <v>0</v>
      </c>
      <c r="AE57" s="257" t="n">
        <v>0</v>
      </c>
      <c r="AF57" s="257" t="n">
        <v>0</v>
      </c>
      <c r="AG57" s="257" t="n">
        <v>0</v>
      </c>
      <c r="AH57" s="257" t="n">
        <v>0</v>
      </c>
      <c r="AI57" s="257" t="n">
        <v>0</v>
      </c>
      <c r="AJ57" s="257" t="n">
        <v>0</v>
      </c>
    </row>
    <row r="58" ht="15" customHeight="1" s="255">
      <c r="H58" s="256" t="inlineStr">
        <is>
          <t>BALANÇO - totais divulgados (memória)</t>
        </is>
      </c>
    </row>
    <row r="59" ht="15" customHeight="1" s="255">
      <c r="G59" s="254" t="inlineStr">
        <is>
          <t>moeda</t>
        </is>
      </c>
      <c r="H59" s="254" t="inlineStr">
        <is>
          <t>Total do ativo [us-gaap:Assets]</t>
        </is>
      </c>
      <c r="J59" s="254" t="inlineStr">
        <is>
          <t>memoria</t>
        </is>
      </c>
      <c r="K59" s="257" t="n">
        <v>232892000000</v>
      </c>
      <c r="L59" s="257" t="n">
        <v>237382000000</v>
      </c>
      <c r="M59" s="257" t="n">
        <v>250863000000</v>
      </c>
      <c r="N59" s="257" t="n">
        <v>252496000000</v>
      </c>
      <c r="O59" s="257" t="n">
        <v>236581000000</v>
      </c>
      <c r="P59" s="257" t="n">
        <v>238552000000</v>
      </c>
      <c r="Q59" s="257" t="n">
        <v>244851000000</v>
      </c>
      <c r="R59" s="257" t="n">
        <v>244860000000</v>
      </c>
      <c r="S59" s="257" t="n">
        <v>246142000000</v>
      </c>
      <c r="T59" s="257" t="n">
        <v>247199000000</v>
      </c>
      <c r="U59" s="257" t="n">
        <v>247656000000</v>
      </c>
      <c r="V59" s="257" t="n">
        <v>243197000000</v>
      </c>
      <c r="W59" s="257" t="n">
        <v>245053000000</v>
      </c>
      <c r="X59" s="257" t="n">
        <v>255121000000</v>
      </c>
      <c r="Y59" s="257" t="n">
        <v>259174000000</v>
      </c>
      <c r="Z59" s="257" t="n">
        <v>252399000000</v>
      </c>
      <c r="AA59" s="257" t="n">
        <v>254054000000</v>
      </c>
      <c r="AB59" s="257" t="n">
        <v>254440000000</v>
      </c>
      <c r="AC59" s="257" t="n">
        <v>263399000000</v>
      </c>
      <c r="AD59" s="257" t="n">
        <v>260823000000</v>
      </c>
      <c r="AE59" s="257" t="n">
        <v>262372000000</v>
      </c>
      <c r="AF59" s="257" t="n">
        <v>270837000000</v>
      </c>
      <c r="AG59" s="257" t="n">
        <v>288655000000</v>
      </c>
      <c r="AH59" s="257" t="n">
        <v>284668000000</v>
      </c>
      <c r="AI59" s="257" t="n">
        <v>289607000000</v>
      </c>
      <c r="AJ59" s="257" t="n">
        <v>293914000000</v>
      </c>
    </row>
    <row r="60" ht="15" customHeight="1" s="255">
      <c r="G60" s="254" t="inlineStr">
        <is>
          <t>moeda</t>
        </is>
      </c>
      <c r="H60" s="254" t="inlineStr">
        <is>
          <t>Total do passivo + PL [us-gaap:LiabilitiesAndStockholdersEquity]</t>
        </is>
      </c>
      <c r="J60" s="254" t="inlineStr">
        <is>
          <t>memoria</t>
        </is>
      </c>
      <c r="K60" s="257" t="n">
        <v>232892000000</v>
      </c>
      <c r="L60" s="257" t="n">
        <v>237382000000</v>
      </c>
      <c r="M60" s="257" t="n">
        <v>250863000000</v>
      </c>
      <c r="N60" s="257" t="n">
        <v>252496000000</v>
      </c>
      <c r="O60" s="257" t="n">
        <v>236581000000</v>
      </c>
      <c r="P60" s="257" t="n">
        <v>238552000000</v>
      </c>
      <c r="Q60" s="257" t="n">
        <v>244851000000</v>
      </c>
      <c r="R60" s="257" t="n">
        <v>244860000000</v>
      </c>
      <c r="S60" s="257" t="n">
        <v>246142000000</v>
      </c>
      <c r="T60" s="257" t="n">
        <v>247199000000</v>
      </c>
      <c r="U60" s="257" t="n">
        <v>247656000000</v>
      </c>
      <c r="V60" s="257" t="n">
        <v>243197000000</v>
      </c>
      <c r="W60" s="257" t="n">
        <v>245053000000</v>
      </c>
      <c r="X60" s="257" t="n">
        <v>255121000000</v>
      </c>
      <c r="Y60" s="257" t="n">
        <v>259174000000</v>
      </c>
      <c r="Z60" s="257" t="n">
        <v>252399000000</v>
      </c>
      <c r="AA60" s="257" t="n">
        <v>254054000000</v>
      </c>
      <c r="AB60" s="257" t="n">
        <v>254440000000</v>
      </c>
      <c r="AC60" s="257" t="n">
        <v>263399000000</v>
      </c>
      <c r="AD60" s="257" t="n">
        <v>260823000000</v>
      </c>
      <c r="AE60" s="257" t="n">
        <v>262372000000</v>
      </c>
      <c r="AF60" s="257" t="n">
        <v>270837000000</v>
      </c>
      <c r="AG60" s="257" t="n">
        <v>288655000000</v>
      </c>
      <c r="AH60" s="257" t="n">
        <v>284668000000</v>
      </c>
      <c r="AI60" s="257" t="n">
        <v>289607000000</v>
      </c>
      <c r="AJ60" s="257" t="n">
        <v>293914000000</v>
      </c>
    </row>
    <row r="61" ht="15" customHeight="1" s="255">
      <c r="H61" s="256" t="inlineStr">
        <is>
          <t>CHECKS (devem ser 0)</t>
        </is>
      </c>
    </row>
    <row r="62" ht="15" customHeight="1" s="255">
      <c r="G62" s="254" t="inlineStr">
        <is>
          <t>moeda</t>
        </is>
      </c>
      <c r="H62" s="254" t="inlineStr">
        <is>
          <t>CHECK: contas de ativo - ativo total (USD, arredondado a 100 mil)</t>
        </is>
      </c>
      <c r="J62" s="254" t="inlineStr">
        <is>
          <t>derivada</t>
        </is>
      </c>
      <c r="K62" s="258">
        <f>ROUND(N(K22)+N(K23)+N(K24)+N(K25)+N(K26)+N(K27)+N(K28)+N(K29)+N(K30)-N(K59),-5)</f>
        <v>0</v>
      </c>
      <c r="L62" s="258">
        <f>ROUND(N(L22)+N(L23)+N(L24)+N(L25)+N(L26)+N(L27)+N(L28)+N(L29)+N(L30)-N(L59),-5)</f>
        <v>0</v>
      </c>
      <c r="M62" s="258">
        <f>ROUND(N(M22)+N(M23)+N(M24)+N(M25)+N(M26)+N(M27)+N(M28)+N(M29)+N(M30)-N(M59),-5)</f>
        <v>0</v>
      </c>
      <c r="N62" s="258">
        <f>ROUND(N(N22)+N(N23)+N(N24)+N(N25)+N(N26)+N(N27)+N(N28)+N(N29)+N(N30)-N(N59),-5)</f>
        <v>0</v>
      </c>
      <c r="O62" s="258">
        <f>ROUND(N(O22)+N(O23)+N(O24)+N(O25)+N(O26)+N(O27)+N(O28)+N(O29)+N(O30)-N(O59),-5)</f>
        <v>0</v>
      </c>
      <c r="P62" s="258">
        <f>ROUND(N(P22)+N(P23)+N(P24)+N(P25)+N(P26)+N(P27)+N(P28)+N(P29)+N(P30)-N(P59),-5)</f>
        <v>0</v>
      </c>
      <c r="Q62" s="258">
        <f>ROUND(N(Q22)+N(Q23)+N(Q24)+N(Q25)+N(Q26)+N(Q27)+N(Q28)+N(Q29)+N(Q30)-N(Q59),-5)</f>
        <v>0</v>
      </c>
      <c r="R62" s="258">
        <f>ROUND(N(R22)+N(R23)+N(R24)+N(R25)+N(R26)+N(R27)+N(R28)+N(R29)+N(R30)-N(R59),-5)</f>
        <v>0</v>
      </c>
      <c r="S62" s="258">
        <f>ROUND(N(S22)+N(S23)+N(S24)+N(S25)+N(S26)+N(S27)+N(S28)+N(S29)+N(S30)-N(S59),-5)</f>
        <v>0</v>
      </c>
      <c r="T62" s="258">
        <f>ROUND(N(T22)+N(T23)+N(T24)+N(T25)+N(T26)+N(T27)+N(T28)+N(T29)+N(T30)-N(T59),-5)</f>
        <v>0</v>
      </c>
      <c r="U62" s="258">
        <f>ROUND(N(U22)+N(U23)+N(U24)+N(U25)+N(U26)+N(U27)+N(U28)+N(U29)+N(U30)-N(U59),-5)</f>
        <v>0</v>
      </c>
      <c r="V62" s="258">
        <f>ROUND(N(V22)+N(V23)+N(V24)+N(V25)+N(V26)+N(V27)+N(V28)+N(V29)+N(V30)-N(V59),-5)</f>
        <v>0</v>
      </c>
      <c r="W62" s="258">
        <f>ROUND(N(W22)+N(W23)+N(W24)+N(W25)+N(W26)+N(W27)+N(W28)+N(W29)+N(W30)-N(W59),-5)</f>
        <v>0</v>
      </c>
      <c r="X62" s="258">
        <f>ROUND(N(X22)+N(X23)+N(X24)+N(X25)+N(X26)+N(X27)+N(X28)+N(X29)+N(X30)-N(X59),-5)</f>
        <v>0</v>
      </c>
      <c r="Y62" s="258">
        <f>ROUND(N(Y22)+N(Y23)+N(Y24)+N(Y25)+N(Y26)+N(Y27)+N(Y28)+N(Y29)+N(Y30)-N(Y59),-5)</f>
        <v>0</v>
      </c>
      <c r="Z62" s="258">
        <f>ROUND(N(Z22)+N(Z23)+N(Z24)+N(Z25)+N(Z26)+N(Z27)+N(Z28)+N(Z29)+N(Z30)-N(Z59),-5)</f>
        <v>0</v>
      </c>
      <c r="AA62" s="258">
        <f>ROUND(N(AA22)+N(AA23)+N(AA24)+N(AA25)+N(AA26)+N(AA27)+N(AA28)+N(AA29)+N(AA30)-N(AA59),-5)</f>
        <v>0</v>
      </c>
      <c r="AB62" s="258">
        <f>ROUND(N(AB22)+N(AB23)+N(AB24)+N(AB25)+N(AB26)+N(AB27)+N(AB28)+N(AB29)+N(AB30)-N(AB59),-5)</f>
        <v>0</v>
      </c>
      <c r="AC62" s="258">
        <f>ROUND(N(AC22)+N(AC23)+N(AC24)+N(AC25)+N(AC26)+N(AC27)+N(AC28)+N(AC29)+N(AC30)-N(AC59),-5)</f>
        <v>0</v>
      </c>
      <c r="AD62" s="258">
        <f>ROUND(N(AD22)+N(AD23)+N(AD24)+N(AD25)+N(AD26)+N(AD27)+N(AD28)+N(AD29)+N(AD30)-N(AD59),-5)</f>
        <v>0</v>
      </c>
      <c r="AE62" s="258">
        <f>ROUND(N(AE22)+N(AE23)+N(AE24)+N(AE25)+N(AE26)+N(AE27)+N(AE28)+N(AE29)+N(AE30)-N(AE59),-5)</f>
        <v>0</v>
      </c>
      <c r="AF62" s="258">
        <f>ROUND(N(AF22)+N(AF23)+N(AF24)+N(AF25)+N(AF26)+N(AF27)+N(AF28)+N(AF29)+N(AF30)-N(AF59),-5)</f>
        <v>0</v>
      </c>
      <c r="AG62" s="258">
        <f>ROUND(N(AG22)+N(AG23)+N(AG24)+N(AG25)+N(AG26)+N(AG27)+N(AG28)+N(AG29)+N(AG30)-N(AG59),-5)</f>
        <v>0</v>
      </c>
      <c r="AH62" s="258">
        <f>ROUND(N(AH22)+N(AH23)+N(AH24)+N(AH25)+N(AH26)+N(AH27)+N(AH28)+N(AH29)+N(AH30)-N(AH59),-5)</f>
        <v>0</v>
      </c>
      <c r="AI62" s="258">
        <f>ROUND(N(AI22)+N(AI23)+N(AI24)+N(AI25)+N(AI26)+N(AI27)+N(AI28)+N(AI29)+N(AI30)-N(AI59),-5)</f>
        <v>0</v>
      </c>
      <c r="AJ62" s="258">
        <f>ROUND(N(AJ22)+N(AJ23)+N(AJ24)+N(AJ25)+N(AJ26)+N(AJ27)+N(AJ28)+N(AJ29)+N(AJ30)-N(AJ59),-5)</f>
        <v>0</v>
      </c>
    </row>
    <row r="63" ht="15" customHeight="1" s="255">
      <c r="G63" s="254" t="inlineStr">
        <is>
          <t>moeda</t>
        </is>
      </c>
      <c r="H63" s="254" t="inlineStr">
        <is>
          <t>CHECK: passivo + PL (contas) - passivo + PL total</t>
        </is>
      </c>
      <c r="J63" s="254" t="inlineStr">
        <is>
          <t>derivada</t>
        </is>
      </c>
      <c r="K63" s="258">
        <f>ROUND(N(K31)+N(K32)+N(K33)+N(K34)+N(K35)+N(K36)+N(K37)+N(K38)+N(K39)+N(K40)+N(K41)+N(K42)+N(K43)+N(K44)+N(K45)+N(K46)+N(K47)+N(K48)-N(K60),-5)</f>
        <v>0</v>
      </c>
      <c r="L63" s="258">
        <f>ROUND(N(L31)+N(L32)+N(L33)+N(L34)+N(L35)+N(L36)+N(L37)+N(L38)+N(L39)+N(L40)+N(L41)+N(L42)+N(L43)+N(L44)+N(L45)+N(L46)+N(L47)+N(L48)-N(L60),-5)</f>
        <v>0</v>
      </c>
      <c r="M63" s="258">
        <f>ROUND(N(M31)+N(M32)+N(M33)+N(M34)+N(M35)+N(M36)+N(M37)+N(M38)+N(M39)+N(M40)+N(M41)+N(M42)+N(M43)+N(M44)+N(M45)+N(M46)+N(M47)+N(M48)-N(M60),-5)</f>
        <v>0</v>
      </c>
      <c r="N63" s="258">
        <f>ROUND(N(N31)+N(N32)+N(N33)+N(N34)+N(N35)+N(N36)+N(N37)+N(N38)+N(N39)+N(N40)+N(N41)+N(N42)+N(N43)+N(N44)+N(N45)+N(N46)+N(N47)+N(N48)-N(N60),-5)</f>
        <v>0</v>
      </c>
      <c r="O63" s="258">
        <f>ROUND(N(O31)+N(O32)+N(O33)+N(O34)+N(O35)+N(O36)+N(O37)+N(O38)+N(O39)+N(O40)+N(O41)+N(O42)+N(O43)+N(O44)+N(O45)+N(O46)+N(O47)+N(O48)-N(O60),-5)</f>
        <v>0</v>
      </c>
      <c r="P63" s="258">
        <f>ROUND(N(P31)+N(P32)+N(P33)+N(P34)+N(P35)+N(P36)+N(P37)+N(P38)+N(P39)+N(P40)+N(P41)+N(P42)+N(P43)+N(P44)+N(P45)+N(P46)+N(P47)+N(P48)-N(P60),-5)</f>
        <v>0</v>
      </c>
      <c r="Q63" s="258">
        <f>ROUND(N(Q31)+N(Q32)+N(Q33)+N(Q34)+N(Q35)+N(Q36)+N(Q37)+N(Q38)+N(Q39)+N(Q40)+N(Q41)+N(Q42)+N(Q43)+N(Q44)+N(Q45)+N(Q46)+N(Q47)+N(Q48)-N(Q60),-5)</f>
        <v>0</v>
      </c>
      <c r="R63" s="258">
        <f>ROUND(N(R31)+N(R32)+N(R33)+N(R34)+N(R35)+N(R36)+N(R37)+N(R38)+N(R39)+N(R40)+N(R41)+N(R42)+N(R43)+N(R44)+N(R45)+N(R46)+N(R47)+N(R48)-N(R60),-5)</f>
        <v>0</v>
      </c>
      <c r="S63" s="258">
        <f>ROUND(N(S31)+N(S32)+N(S33)+N(S34)+N(S35)+N(S36)+N(S37)+N(S38)+N(S39)+N(S40)+N(S41)+N(S42)+N(S43)+N(S44)+N(S45)+N(S46)+N(S47)+N(S48)-N(S60),-5)</f>
        <v>0</v>
      </c>
      <c r="T63" s="258">
        <f>ROUND(N(T31)+N(T32)+N(T33)+N(T34)+N(T35)+N(T36)+N(T37)+N(T38)+N(T39)+N(T40)+N(T41)+N(T42)+N(T43)+N(T44)+N(T45)+N(T46)+N(T47)+N(T48)-N(T60),-5)</f>
        <v>0</v>
      </c>
      <c r="U63" s="258">
        <f>ROUND(N(U31)+N(U32)+N(U33)+N(U34)+N(U35)+N(U36)+N(U37)+N(U38)+N(U39)+N(U40)+N(U41)+N(U42)+N(U43)+N(U44)+N(U45)+N(U46)+N(U47)+N(U48)-N(U60),-5)</f>
        <v>0</v>
      </c>
      <c r="V63" s="258">
        <f>ROUND(N(V31)+N(V32)+N(V33)+N(V34)+N(V35)+N(V36)+N(V37)+N(V38)+N(V39)+N(V40)+N(V41)+N(V42)+N(V43)+N(V44)+N(V45)+N(V46)+N(V47)+N(V48)-N(V60),-5)</f>
        <v>0</v>
      </c>
      <c r="W63" s="258">
        <f>ROUND(N(W31)+N(W32)+N(W33)+N(W34)+N(W35)+N(W36)+N(W37)+N(W38)+N(W39)+N(W40)+N(W41)+N(W42)+N(W43)+N(W44)+N(W45)+N(W46)+N(W47)+N(W48)-N(W60),-5)</f>
        <v>0</v>
      </c>
      <c r="X63" s="258">
        <f>ROUND(N(X31)+N(X32)+N(X33)+N(X34)+N(X35)+N(X36)+N(X37)+N(X38)+N(X39)+N(X40)+N(X41)+N(X42)+N(X43)+N(X44)+N(X45)+N(X46)+N(X47)+N(X48)-N(X60),-5)</f>
        <v>0</v>
      </c>
      <c r="Y63" s="258">
        <f>ROUND(N(Y31)+N(Y32)+N(Y33)+N(Y34)+N(Y35)+N(Y36)+N(Y37)+N(Y38)+N(Y39)+N(Y40)+N(Y41)+N(Y42)+N(Y43)+N(Y44)+N(Y45)+N(Y46)+N(Y47)+N(Y48)-N(Y60),-5)</f>
        <v>0</v>
      </c>
      <c r="Z63" s="258">
        <f>ROUND(N(Z31)+N(Z32)+N(Z33)+N(Z34)+N(Z35)+N(Z36)+N(Z37)+N(Z38)+N(Z39)+N(Z40)+N(Z41)+N(Z42)+N(Z43)+N(Z44)+N(Z45)+N(Z46)+N(Z47)+N(Z48)-N(Z60),-5)</f>
        <v>0</v>
      </c>
      <c r="AA63" s="258">
        <f>ROUND(N(AA31)+N(AA32)+N(AA33)+N(AA34)+N(AA35)+N(AA36)+N(AA37)+N(AA38)+N(AA39)+N(AA40)+N(AA41)+N(AA42)+N(AA43)+N(AA44)+N(AA45)+N(AA46)+N(AA47)+N(AA48)-N(AA60),-5)</f>
        <v>0</v>
      </c>
      <c r="AB63" s="258">
        <f>ROUND(N(AB31)+N(AB32)+N(AB33)+N(AB34)+N(AB35)+N(AB36)+N(AB37)+N(AB38)+N(AB39)+N(AB40)+N(AB41)+N(AB42)+N(AB43)+N(AB44)+N(AB45)+N(AB46)+N(AB47)+N(AB48)-N(AB60),-5)</f>
        <v>0</v>
      </c>
      <c r="AC63" s="258">
        <f>ROUND(N(AC31)+N(AC32)+N(AC33)+N(AC34)+N(AC35)+N(AC36)+N(AC37)+N(AC38)+N(AC39)+N(AC40)+N(AC41)+N(AC42)+N(AC43)+N(AC44)+N(AC45)+N(AC46)+N(AC47)+N(AC48)-N(AC60),-5)</f>
        <v>0</v>
      </c>
      <c r="AD63" s="258">
        <f>ROUND(N(AD31)+N(AD32)+N(AD33)+N(AD34)+N(AD35)+N(AD36)+N(AD37)+N(AD38)+N(AD39)+N(AD40)+N(AD41)+N(AD42)+N(AD43)+N(AD44)+N(AD45)+N(AD46)+N(AD47)+N(AD48)-N(AD60),-5)</f>
        <v>0</v>
      </c>
      <c r="AE63" s="258">
        <f>ROUND(N(AE31)+N(AE32)+N(AE33)+N(AE34)+N(AE35)+N(AE36)+N(AE37)+N(AE38)+N(AE39)+N(AE40)+N(AE41)+N(AE42)+N(AE43)+N(AE44)+N(AE45)+N(AE46)+N(AE47)+N(AE48)-N(AE60),-5)</f>
        <v>0</v>
      </c>
      <c r="AF63" s="258">
        <f>ROUND(N(AF31)+N(AF32)+N(AF33)+N(AF34)+N(AF35)+N(AF36)+N(AF37)+N(AF38)+N(AF39)+N(AF40)+N(AF41)+N(AF42)+N(AF43)+N(AF44)+N(AF45)+N(AF46)+N(AF47)+N(AF48)-N(AF60),-5)</f>
        <v>0</v>
      </c>
      <c r="AG63" s="258">
        <f>ROUND(N(AG31)+N(AG32)+N(AG33)+N(AG34)+N(AG35)+N(AG36)+N(AG37)+N(AG38)+N(AG39)+N(AG40)+N(AG41)+N(AG42)+N(AG43)+N(AG44)+N(AG45)+N(AG46)+N(AG47)+N(AG48)-N(AG60),-5)</f>
        <v>0</v>
      </c>
      <c r="AH63" s="258">
        <f>ROUND(N(AH31)+N(AH32)+N(AH33)+N(AH34)+N(AH35)+N(AH36)+N(AH37)+N(AH38)+N(AH39)+N(AH40)+N(AH41)+N(AH42)+N(AH43)+N(AH44)+N(AH45)+N(AH46)+N(AH47)+N(AH48)-N(AH60),-5)</f>
        <v>0</v>
      </c>
      <c r="AI63" s="258">
        <f>ROUND(N(AI31)+N(AI32)+N(AI33)+N(AI34)+N(AI35)+N(AI36)+N(AI37)+N(AI38)+N(AI39)+N(AI40)+N(AI41)+N(AI42)+N(AI43)+N(AI44)+N(AI45)+N(AI46)+N(AI47)+N(AI48)-N(AI60),-5)</f>
        <v>0</v>
      </c>
      <c r="AJ63" s="258">
        <f>ROUND(N(AJ31)+N(AJ32)+N(AJ33)+N(AJ34)+N(AJ35)+N(AJ36)+N(AJ37)+N(AJ38)+N(AJ39)+N(AJ40)+N(AJ41)+N(AJ42)+N(AJ43)+N(AJ44)+N(AJ45)+N(AJ46)+N(AJ47)+N(AJ48)-N(AJ60),-5)</f>
        <v>0</v>
      </c>
    </row>
    <row r="64" ht="15" customHeight="1" s="255">
      <c r="H64" s="254" t="inlineStr">
        <is>
          <t>CHECK: receita - custo - despesas + não operacional - IR - minoritários + outros após IR - lucro (deve ser 0)</t>
        </is>
      </c>
      <c r="J64" s="254" t="inlineStr">
        <is>
          <t>derivada</t>
        </is>
      </c>
      <c r="K64" s="254">
        <f>ROUND(N(K6)-N(K7)-N(K9)+N(K11)-N(K13)-N(K14)+N(K16)-N(K17),-5)</f>
        <v>0</v>
      </c>
      <c r="L64" s="254">
        <f>ROUND(N(L6)-N(L7)-N(L9)+N(L11)-N(L13)-N(L14)+N(L16)-N(L17),-5)</f>
        <v>0</v>
      </c>
      <c r="M64" s="254">
        <f>ROUND(N(M6)-N(M7)-N(M9)+N(M11)-N(M13)-N(M14)+N(M16)-N(M17),-5)</f>
        <v>0</v>
      </c>
      <c r="N64" s="254">
        <f>ROUND(N(N6)-N(N7)-N(N9)+N(N11)-N(N13)-N(N14)+N(N16)-N(N17),-5)</f>
        <v>0</v>
      </c>
      <c r="O64" s="254">
        <f>ROUND(N(O6)-N(O7)-N(O9)+N(O11)-N(O13)-N(O14)+N(O16)-N(O17),-5)</f>
        <v>0</v>
      </c>
      <c r="P64" s="254">
        <f>ROUND(N(P6)-N(P7)-N(P9)+N(P11)-N(P13)-N(P14)+N(P16)-N(P17),-5)</f>
        <v>0</v>
      </c>
      <c r="Q64" s="254">
        <f>ROUND(N(Q6)-N(Q7)-N(Q9)+N(Q11)-N(Q13)-N(Q14)+N(Q16)-N(Q17),-5)</f>
        <v>0</v>
      </c>
      <c r="R64" s="254">
        <f>ROUND(N(R6)-N(R7)-N(R9)+N(R11)-N(R13)-N(R14)+N(R16)-N(R17),-5)</f>
        <v>0</v>
      </c>
      <c r="S64" s="254">
        <f>ROUND(N(S6)-N(S7)-N(S9)+N(S11)-N(S13)-N(S14)+N(S16)-N(S17),-5)</f>
        <v>0</v>
      </c>
      <c r="T64" s="254">
        <f>ROUND(N(T6)-N(T7)-N(T9)+N(T11)-N(T13)-N(T14)+N(T16)-N(T17),-5)</f>
        <v>0</v>
      </c>
      <c r="U64" s="254">
        <f>ROUND(N(U6)-N(U7)-N(U9)+N(U11)-N(U13)-N(U14)+N(U16)-N(U17),-5)</f>
        <v>0</v>
      </c>
      <c r="V64" s="254">
        <f>ROUND(N(V6)-N(V7)-N(V9)+N(V11)-N(V13)-N(V14)+N(V16)-N(V17),-5)</f>
        <v>0</v>
      </c>
      <c r="W64" s="254">
        <f>ROUND(N(W6)-N(W7)-N(W9)+N(W11)-N(W13)-N(W14)+N(W16)-N(W17),-5)</f>
        <v>0</v>
      </c>
      <c r="X64" s="254">
        <f>ROUND(N(X6)-N(X7)-N(X9)+N(X11)-N(X13)-N(X14)+N(X16)-N(X17),-5)</f>
        <v>0</v>
      </c>
      <c r="Y64" s="254">
        <f>ROUND(N(Y6)-N(Y7)-N(Y9)+N(Y11)-N(Y13)-N(Y14)+N(Y16)-N(Y17),-5)</f>
        <v>0</v>
      </c>
      <c r="Z64" s="254">
        <f>ROUND(N(Z6)-N(Z7)-N(Z9)+N(Z11)-N(Z13)-N(Z14)+N(Z16)-N(Z17),-5)</f>
        <v>0</v>
      </c>
      <c r="AA64" s="254">
        <f>ROUND(N(AA6)-N(AA7)-N(AA9)+N(AA11)-N(AA13)-N(AA14)+N(AA16)-N(AA17),-5)</f>
        <v>0</v>
      </c>
      <c r="AB64" s="254">
        <f>ROUND(N(AB6)-N(AB7)-N(AB9)+N(AB11)-N(AB13)-N(AB14)+N(AB16)-N(AB17),-5)</f>
        <v>0</v>
      </c>
      <c r="AC64" s="254">
        <f>ROUND(N(AC6)-N(AC7)-N(AC9)+N(AC11)-N(AC13)-N(AC14)+N(AC16)-N(AC17),-5)</f>
        <v>0</v>
      </c>
      <c r="AD64" s="254">
        <f>ROUND(N(AD6)-N(AD7)-N(AD9)+N(AD11)-N(AD13)-N(AD14)+N(AD16)-N(AD17),-5)</f>
        <v>0</v>
      </c>
      <c r="AE64" s="254">
        <f>ROUND(N(AE6)-N(AE7)-N(AE9)+N(AE11)-N(AE13)-N(AE14)+N(AE16)-N(AE17),-5)</f>
        <v>0</v>
      </c>
      <c r="AF64" s="254">
        <f>ROUND(N(AF6)-N(AF7)-N(AF9)+N(AF11)-N(AF13)-N(AF14)+N(AF16)-N(AF17),-5)</f>
        <v>0</v>
      </c>
      <c r="AG64" s="254">
        <f>ROUND(N(AG6)-N(AG7)-N(AG9)+N(AG11)-N(AG13)-N(AG14)+N(AG16)-N(AG17),-5)</f>
        <v>0</v>
      </c>
      <c r="AH64" s="254">
        <f>ROUND(N(AH6)-N(AH7)-N(AH9)+N(AH11)-N(AH13)-N(AH14)+N(AH16)-N(AH17),-5)</f>
        <v>0</v>
      </c>
      <c r="AI64" s="254">
        <f>ROUND(N(AI6)-N(AI7)-N(AI9)+N(AI11)-N(AI13)-N(AI14)+N(AI16)-N(AI17),-5)</f>
        <v>0</v>
      </c>
      <c r="AJ64" s="254">
        <f>ROUND(N(AJ6)-N(AJ7)-N(AJ9)+N(AJ11)-N(AJ13)-N(AJ14)+N(AJ16)-N(AJ17),-5)</f>
        <v>0</v>
      </c>
    </row>
    <row r="66">
      <c r="H66" s="511" t="inlineStr">
        <is>
          <t>DRIVERS DE RECEITA (codigos 45+): segmentos Walmart U.S., Walmart International e Sam's Club U.S. (receita e lucro operacional), categorias do Walmart U.S. e e-commerce - SEC XBRL (USD, fator 0,000001).</t>
        </is>
      </c>
    </row>
    <row r="67">
      <c r="A67" t="n">
        <v>45</v>
      </c>
      <c r="B67" t="n">
        <v>1</v>
      </c>
      <c r="G67" t="inlineStr">
        <is>
          <t>moeda</t>
        </is>
      </c>
      <c r="H67" t="inlineStr">
        <is>
          <t>Walmart U.S. - receita (USD)</t>
        </is>
      </c>
      <c r="J67" t="inlineStr">
        <is>
          <t>fonte</t>
        </is>
      </c>
      <c r="K67" s="512" t="n">
        <v>88743000000</v>
      </c>
      <c r="L67" s="512" t="n">
        <v>93282000000</v>
      </c>
      <c r="M67" s="512" t="n">
        <v>88353000000</v>
      </c>
      <c r="N67" s="512" t="n">
        <v>99585000000</v>
      </c>
      <c r="O67" s="512" t="n">
        <v>93167000000</v>
      </c>
      <c r="P67" s="512" t="n">
        <v>98192000000</v>
      </c>
      <c r="Q67" s="512" t="n">
        <v>96609000000</v>
      </c>
      <c r="R67" s="512" t="n">
        <v>105279000000</v>
      </c>
      <c r="S67" s="512" t="n">
        <v>96904000000</v>
      </c>
      <c r="T67" s="512" t="n">
        <v>105130000000</v>
      </c>
      <c r="U67" s="512" t="n">
        <v>104775000000</v>
      </c>
      <c r="V67" s="512" t="n">
        <v>113744000000</v>
      </c>
      <c r="W67" s="512" t="n">
        <v>103901000000</v>
      </c>
      <c r="X67" s="512" t="n">
        <v>110854000000</v>
      </c>
      <c r="Y67" s="512" t="n">
        <v>109419000000</v>
      </c>
      <c r="Z67" s="512" t="n">
        <v>117643000000</v>
      </c>
      <c r="AA67" s="512" t="n">
        <v>108670000000</v>
      </c>
      <c r="AB67" s="512" t="n">
        <v>115347000000</v>
      </c>
      <c r="AC67" s="512" t="n">
        <v>114875000000</v>
      </c>
      <c r="AD67" s="512" t="n">
        <v>123523000000</v>
      </c>
      <c r="AE67" s="512" t="n">
        <v>112163000000</v>
      </c>
      <c r="AF67" s="512" t="n">
        <v>120911000000</v>
      </c>
      <c r="AG67" s="512" t="n">
        <v>120678000000</v>
      </c>
      <c r="AH67" s="512" t="n">
        <v>129223000000</v>
      </c>
      <c r="AI67" s="512" t="n">
        <v>117169000000</v>
      </c>
      <c r="AJ67" s="512" t="n">
        <v>125189000000</v>
      </c>
    </row>
    <row r="68">
      <c r="A68" t="n">
        <v>46</v>
      </c>
      <c r="B68" t="n">
        <v>1</v>
      </c>
      <c r="G68" t="inlineStr">
        <is>
          <t>moeda</t>
        </is>
      </c>
      <c r="H68" t="inlineStr">
        <is>
          <t>Walmart U.S. - lucro do segmento (USD)</t>
        </is>
      </c>
      <c r="J68" t="inlineStr">
        <is>
          <t>fonte</t>
        </is>
      </c>
      <c r="K68" s="512" t="n">
        <v>4302000000</v>
      </c>
      <c r="L68" s="512" t="n">
        <v>5057000000</v>
      </c>
      <c r="M68" s="512" t="n">
        <v>4589000000</v>
      </c>
      <c r="N68" s="512" t="n">
        <v>5168000000</v>
      </c>
      <c r="O68" s="512" t="n">
        <v>5455000000</v>
      </c>
      <c r="P68" s="512" t="n">
        <v>6089000000</v>
      </c>
      <c r="Q68" s="512" t="n">
        <v>4860000000</v>
      </c>
      <c r="R68" s="512" t="n">
        <v>5183000000</v>
      </c>
      <c r="S68" s="512" t="n">
        <v>4462000000</v>
      </c>
      <c r="T68" s="512" t="n">
        <v>5683000000</v>
      </c>
      <c r="U68" s="512" t="n">
        <v>5093000000</v>
      </c>
      <c r="V68" s="512" t="n">
        <v>5382000000</v>
      </c>
      <c r="W68" s="512" t="n">
        <v>4984000000</v>
      </c>
      <c r="X68" s="512" t="n">
        <v>6114000000</v>
      </c>
      <c r="Y68" s="512" t="n">
        <v>4981000000</v>
      </c>
      <c r="Z68" s="512" t="n">
        <v>6075000000</v>
      </c>
      <c r="AA68" s="512" t="n">
        <v>5332000000</v>
      </c>
      <c r="AB68" s="512" t="n">
        <v>6591000000</v>
      </c>
      <c r="AC68" s="512" t="n">
        <v>5435000000</v>
      </c>
      <c r="AD68" s="512" t="n">
        <v>6524000000</v>
      </c>
      <c r="AE68" s="512" t="n">
        <v>5696000000</v>
      </c>
      <c r="AF68" s="512" t="n">
        <v>6732000000</v>
      </c>
      <c r="AG68" s="512" t="n">
        <v>5780000000</v>
      </c>
      <c r="AH68" s="512" t="n">
        <v>6953000000</v>
      </c>
      <c r="AI68" s="512" t="n">
        <v>5897000000</v>
      </c>
      <c r="AJ68" s="512" t="n">
        <v>8120000000</v>
      </c>
    </row>
    <row r="69">
      <c r="A69" t="n">
        <v>47</v>
      </c>
      <c r="B69" t="n">
        <v>1</v>
      </c>
      <c r="G69" t="inlineStr">
        <is>
          <t>moeda</t>
        </is>
      </c>
      <c r="H69" t="inlineStr">
        <is>
          <t>Walmart International - receita (USD)</t>
        </is>
      </c>
      <c r="J69" t="inlineStr">
        <is>
          <t>fonte</t>
        </is>
      </c>
      <c r="K69" s="512" t="n">
        <v>29766000000</v>
      </c>
      <c r="L69" s="512" t="n">
        <v>27167000000</v>
      </c>
      <c r="M69" s="512" t="n">
        <v>29554000000</v>
      </c>
      <c r="N69" s="512" t="n">
        <v>34873000000</v>
      </c>
      <c r="O69" s="512" t="n">
        <v>27300000000</v>
      </c>
      <c r="P69" s="512" t="n">
        <v>23035000000</v>
      </c>
      <c r="Q69" s="512" t="n">
        <v>23627000000</v>
      </c>
      <c r="R69" s="512" t="n">
        <v>26997000000</v>
      </c>
      <c r="S69" s="512" t="n">
        <v>23763000000</v>
      </c>
      <c r="T69" s="512" t="n">
        <v>24350000000</v>
      </c>
      <c r="U69" s="512" t="n">
        <v>25295000000</v>
      </c>
      <c r="V69" s="512" t="n">
        <v>27575000000</v>
      </c>
      <c r="W69" s="512" t="n">
        <v>26604000000</v>
      </c>
      <c r="X69" s="512" t="n">
        <v>27596000000</v>
      </c>
      <c r="Y69" s="512" t="n">
        <v>28022000000</v>
      </c>
      <c r="Z69" s="512" t="n">
        <v>32419000000</v>
      </c>
      <c r="AA69" s="512" t="n">
        <v>29833000000</v>
      </c>
      <c r="AB69" s="512" t="n">
        <v>29567000000</v>
      </c>
      <c r="AC69" s="512" t="n">
        <v>30277000000</v>
      </c>
      <c r="AD69" s="512" t="n">
        <v>32208000000</v>
      </c>
      <c r="AE69" s="512" t="n">
        <v>29754000000</v>
      </c>
      <c r="AF69" s="512" t="n">
        <v>31201000000</v>
      </c>
      <c r="AG69" s="512" t="n">
        <v>33541000000</v>
      </c>
      <c r="AH69" s="512" t="n">
        <v>35927000000</v>
      </c>
      <c r="AI69" s="512" t="n">
        <v>35110000000</v>
      </c>
      <c r="AJ69" s="512" t="n">
        <v>35198000000</v>
      </c>
    </row>
    <row r="70">
      <c r="A70" t="n">
        <v>48</v>
      </c>
      <c r="B70" t="n">
        <v>1</v>
      </c>
      <c r="G70" t="inlineStr">
        <is>
          <t>moeda</t>
        </is>
      </c>
      <c r="H70" t="inlineStr">
        <is>
          <t>Walmart International - lucro do segmento (USD)</t>
        </is>
      </c>
      <c r="J70" t="inlineStr">
        <is>
          <t>fonte</t>
        </is>
      </c>
      <c r="K70" s="512" t="n">
        <v>806000000</v>
      </c>
      <c r="L70" s="512" t="n">
        <v>812000000</v>
      </c>
      <c r="M70" s="512" t="n">
        <v>1078000000</v>
      </c>
      <c r="N70" s="512" t="n">
        <v>964000000</v>
      </c>
      <c r="O70" s="512" t="n">
        <v>1194000000</v>
      </c>
      <c r="P70" s="512" t="n">
        <v>861000000</v>
      </c>
      <c r="Q70" s="512" t="n">
        <v>871000000</v>
      </c>
      <c r="R70" s="512" t="n">
        <v>832000000</v>
      </c>
      <c r="S70" s="512" t="n">
        <v>772000000</v>
      </c>
      <c r="T70" s="512" t="n">
        <v>1043000000</v>
      </c>
      <c r="U70" s="512" t="n">
        <v>861000000</v>
      </c>
      <c r="V70" s="512" t="n">
        <v>289000000</v>
      </c>
      <c r="W70" s="512" t="n">
        <v>1164000000</v>
      </c>
      <c r="X70" s="512" t="n">
        <v>1190000000</v>
      </c>
      <c r="Y70" s="512" t="n">
        <v>1117000000</v>
      </c>
      <c r="Z70" s="512" t="n">
        <v>1438000000</v>
      </c>
      <c r="AA70" s="512" t="n">
        <v>1533000000</v>
      </c>
      <c r="AB70" s="512" t="n">
        <v>1360000000</v>
      </c>
      <c r="AC70" s="512" t="n">
        <v>1204000000</v>
      </c>
      <c r="AD70" s="512" t="n">
        <v>1404000000</v>
      </c>
      <c r="AE70" s="512" t="n">
        <v>1293000000</v>
      </c>
      <c r="AF70" s="512" t="n">
        <v>1234000000</v>
      </c>
      <c r="AG70" s="512" t="n">
        <v>702000000</v>
      </c>
      <c r="AH70" s="512" t="n">
        <v>1910000000</v>
      </c>
      <c r="AI70" s="512" t="n">
        <v>1602000000</v>
      </c>
      <c r="AJ70" s="512" t="n">
        <v>1439000000</v>
      </c>
    </row>
    <row r="71">
      <c r="A71" t="n">
        <v>49</v>
      </c>
      <c r="B71" t="n">
        <v>1</v>
      </c>
      <c r="G71" t="inlineStr">
        <is>
          <t>moeda</t>
        </is>
      </c>
      <c r="H71" t="inlineStr">
        <is>
          <t>Sam's Club U.S. - receita (USD)</t>
        </is>
      </c>
      <c r="J71" t="inlineStr">
        <is>
          <t>fonte</t>
        </is>
      </c>
      <c r="K71" s="512" t="n">
        <v>15163000000</v>
      </c>
      <c r="L71" s="512" t="n">
        <v>16375000000</v>
      </c>
      <c r="M71" s="512" t="n">
        <v>15845000000</v>
      </c>
      <c r="N71" s="512" t="n">
        <v>16527000000</v>
      </c>
      <c r="O71" s="512" t="n">
        <v>16692000000</v>
      </c>
      <c r="P71" s="512" t="n">
        <v>18644000000</v>
      </c>
      <c r="Q71" s="512" t="n">
        <v>18971000000</v>
      </c>
      <c r="R71" s="512" t="n">
        <v>19249000000</v>
      </c>
      <c r="S71" s="512" t="n">
        <v>19621000000</v>
      </c>
      <c r="T71" s="512" t="n">
        <v>21901000000</v>
      </c>
      <c r="U71" s="512" t="n">
        <v>21399000000</v>
      </c>
      <c r="V71" s="512" t="n">
        <v>21424000000</v>
      </c>
      <c r="W71" s="512" t="n">
        <v>20499000000</v>
      </c>
      <c r="X71" s="512" t="n">
        <v>21830000000</v>
      </c>
      <c r="Y71" s="512" t="n">
        <v>21998000000</v>
      </c>
      <c r="Z71" s="512" t="n">
        <v>21852000000</v>
      </c>
      <c r="AA71" s="512" t="n">
        <v>21435000000</v>
      </c>
      <c r="AB71" s="512" t="n">
        <v>22853000000</v>
      </c>
      <c r="AC71" s="512" t="n">
        <v>22851000000</v>
      </c>
      <c r="AD71" s="512" t="n">
        <v>23099000000</v>
      </c>
      <c r="AE71" s="512" t="n">
        <v>22064000000</v>
      </c>
      <c r="AF71" s="512" t="n">
        <v>23638000000</v>
      </c>
      <c r="AG71" s="512" t="n">
        <v>23550000000</v>
      </c>
      <c r="AH71" s="512" t="n">
        <v>23763000000</v>
      </c>
      <c r="AI71" s="512" t="n">
        <v>23405000000</v>
      </c>
      <c r="AJ71" s="512" t="n">
        <v>25713000000</v>
      </c>
    </row>
    <row r="72">
      <c r="A72" t="n">
        <v>50</v>
      </c>
      <c r="B72" t="n">
        <v>1</v>
      </c>
      <c r="G72" t="inlineStr">
        <is>
          <t>moeda</t>
        </is>
      </c>
      <c r="H72" t="inlineStr">
        <is>
          <t>Sam's Club U.S. - lucro do segmento (USD)</t>
        </is>
      </c>
      <c r="J72" t="inlineStr">
        <is>
          <t>fonte</t>
        </is>
      </c>
      <c r="K72" s="512" t="n">
        <v>494000000</v>
      </c>
      <c r="L72" s="512" t="n">
        <v>592000000</v>
      </c>
      <c r="M72" s="512" t="n">
        <v>431000000</v>
      </c>
      <c r="N72" s="512" t="n">
        <v>389000000</v>
      </c>
      <c r="O72" s="512" t="n">
        <v>575000000</v>
      </c>
      <c r="P72" s="512" t="n">
        <v>660000000</v>
      </c>
      <c r="Q72" s="512" t="n">
        <v>475000000</v>
      </c>
      <c r="R72" s="512" t="n">
        <v>549000000</v>
      </c>
      <c r="S72" s="512" t="n">
        <v>460000000</v>
      </c>
      <c r="T72" s="512" t="n">
        <v>427000000</v>
      </c>
      <c r="U72" s="512" t="n">
        <v>562000000</v>
      </c>
      <c r="V72" s="512" t="n">
        <v>515000000</v>
      </c>
      <c r="W72" s="512" t="n">
        <v>458000000</v>
      </c>
      <c r="X72" s="512" t="n">
        <v>521000000</v>
      </c>
      <c r="Y72" s="512" t="n">
        <v>593000000</v>
      </c>
      <c r="Z72" s="512" t="n">
        <v>620000000</v>
      </c>
      <c r="AA72" s="512" t="n">
        <v>615000000</v>
      </c>
      <c r="AB72" s="512" t="n">
        <v>581000000</v>
      </c>
      <c r="AC72" s="512" t="n">
        <v>634000000</v>
      </c>
      <c r="AD72" s="512" t="n">
        <v>574000000</v>
      </c>
      <c r="AE72" s="512" t="n">
        <v>666000000</v>
      </c>
      <c r="AF72" s="512" t="n">
        <v>470000000</v>
      </c>
      <c r="AG72" s="512" t="n">
        <v>671000000</v>
      </c>
      <c r="AH72" s="512" t="n">
        <v>596000000</v>
      </c>
      <c r="AI72" s="512" t="n">
        <v>674000000</v>
      </c>
      <c r="AJ72" s="512" t="n">
        <v>678000000</v>
      </c>
    </row>
    <row r="73">
      <c r="A73" t="n">
        <v>51</v>
      </c>
      <c r="B73" t="n">
        <v>1</v>
      </c>
      <c r="G73" t="inlineStr">
        <is>
          <t>moeda</t>
        </is>
      </c>
      <c r="H73" t="inlineStr">
        <is>
          <t>Walmart U.S. - Grocery (USD)</t>
        </is>
      </c>
      <c r="J73" t="inlineStr">
        <is>
          <t>fonte</t>
        </is>
      </c>
      <c r="K73" s="512" t="n">
        <v>52921000000</v>
      </c>
      <c r="L73" s="512" t="n">
        <v>51545000000</v>
      </c>
      <c r="M73" s="512" t="n">
        <v>50683000000</v>
      </c>
      <c r="N73" s="512" t="n">
        <v>53264000000</v>
      </c>
      <c r="O73" s="512" t="n">
        <v>51391000000</v>
      </c>
      <c r="P73" s="512" t="n">
        <v>54649000000</v>
      </c>
      <c r="Q73" s="512" t="n">
        <v>55560000000</v>
      </c>
      <c r="R73" s="512" t="n">
        <v>57344000000</v>
      </c>
      <c r="S73" s="512" t="n">
        <v>56764000000</v>
      </c>
      <c r="T73" s="512" t="n">
        <v>61469000000</v>
      </c>
      <c r="U73" s="512" t="n">
        <v>63231000000</v>
      </c>
      <c r="V73" s="512" t="n">
        <v>65835000000</v>
      </c>
      <c r="W73" s="512" t="n">
        <v>63407000000</v>
      </c>
      <c r="X73" s="512" t="n">
        <v>66240000000</v>
      </c>
      <c r="Y73" s="512" t="n">
        <v>66289000000</v>
      </c>
      <c r="Z73" s="512" t="n">
        <v>68274000000</v>
      </c>
      <c r="AA73" s="512" t="n">
        <v>66431000000</v>
      </c>
      <c r="AB73" s="512" t="n">
        <v>68680000000</v>
      </c>
      <c r="AC73" s="512" t="n">
        <v>69344000000</v>
      </c>
      <c r="AD73" s="512" t="n">
        <v>71548000000</v>
      </c>
      <c r="AE73" s="512" t="n">
        <v>67831000000</v>
      </c>
      <c r="AF73" s="512" t="n">
        <v>71092000000</v>
      </c>
      <c r="AG73" s="512" t="n">
        <v>71713000000</v>
      </c>
      <c r="AH73" s="512" t="n">
        <v>74846000000</v>
      </c>
      <c r="AI73" s="512" t="n">
        <v>70696000000</v>
      </c>
      <c r="AJ73" s="512" t="n">
        <v>74130000000</v>
      </c>
    </row>
    <row r="74">
      <c r="A74" t="n">
        <v>52</v>
      </c>
      <c r="B74" t="n">
        <v>1</v>
      </c>
      <c r="G74" t="inlineStr">
        <is>
          <t>moeda</t>
        </is>
      </c>
      <c r="H74" t="inlineStr">
        <is>
          <t>Walmart U.S. - General merchandise (USD)</t>
        </is>
      </c>
      <c r="J74" t="inlineStr">
        <is>
          <t>fonte</t>
        </is>
      </c>
      <c r="K74" s="512" t="n">
        <v>25466000000</v>
      </c>
      <c r="L74" s="512" t="n">
        <v>31682000000</v>
      </c>
      <c r="M74" s="512" t="n">
        <v>26927000000</v>
      </c>
      <c r="N74" s="512" t="n">
        <v>35331000000</v>
      </c>
      <c r="O74" s="512" t="n">
        <v>30607000000</v>
      </c>
      <c r="P74" s="512" t="n">
        <v>31707000000</v>
      </c>
      <c r="Q74" s="512" t="n">
        <v>28544000000</v>
      </c>
      <c r="R74" s="512" t="n">
        <v>35018000000</v>
      </c>
      <c r="S74" s="512" t="n">
        <v>27379000000</v>
      </c>
      <c r="T74" s="512" t="n">
        <v>30073000000</v>
      </c>
      <c r="U74" s="512" t="n">
        <v>27605000000</v>
      </c>
      <c r="V74" s="512" t="n">
        <v>33540000000</v>
      </c>
      <c r="W74" s="512" t="n">
        <v>25765000000</v>
      </c>
      <c r="X74" s="512" t="n">
        <v>29076000000</v>
      </c>
      <c r="Y74" s="512" t="n">
        <v>26579000000</v>
      </c>
      <c r="Z74" s="512" t="n">
        <v>32565000000</v>
      </c>
      <c r="AA74" s="512" t="n">
        <v>25711000000</v>
      </c>
      <c r="AB74" s="512" t="n">
        <v>28980000000</v>
      </c>
      <c r="AC74" s="512" t="n">
        <v>26621000000</v>
      </c>
      <c r="AD74" s="512" t="n">
        <v>32609000000</v>
      </c>
      <c r="AE74" s="512" t="n">
        <v>25276000000</v>
      </c>
      <c r="AF74" s="512" t="n">
        <v>29458000000</v>
      </c>
      <c r="AG74" s="512" t="n">
        <v>27366000000</v>
      </c>
      <c r="AH74" s="512" t="n">
        <v>32960000000</v>
      </c>
      <c r="AI74" s="512" t="n">
        <v>26420000000</v>
      </c>
      <c r="AJ74" s="512" t="n">
        <v>29728000000</v>
      </c>
    </row>
    <row r="75">
      <c r="A75" t="n">
        <v>53</v>
      </c>
      <c r="B75" t="n">
        <v>1</v>
      </c>
      <c r="G75" t="inlineStr">
        <is>
          <t>moeda</t>
        </is>
      </c>
      <c r="H75" t="inlineStr">
        <is>
          <t>Walmart U.S. - Health and wellness (USD)</t>
        </is>
      </c>
      <c r="J75" t="inlineStr">
        <is>
          <t>fonte</t>
        </is>
      </c>
      <c r="K75" s="512" t="n">
        <v>9600000000</v>
      </c>
      <c r="L75" s="512" t="n">
        <v>9154000000</v>
      </c>
      <c r="M75" s="512" t="n">
        <v>9806000000</v>
      </c>
      <c r="N75" s="512" t="n">
        <v>9962000000</v>
      </c>
      <c r="O75" s="512" t="n">
        <v>9970000000</v>
      </c>
      <c r="P75" s="512" t="n">
        <v>10480000000</v>
      </c>
      <c r="Q75" s="512" t="n">
        <v>11030000000</v>
      </c>
      <c r="R75" s="512" t="n">
        <v>11359000000</v>
      </c>
      <c r="S75" s="512" t="n">
        <v>10894000000</v>
      </c>
      <c r="T75" s="512" t="n">
        <v>11331000000</v>
      </c>
      <c r="U75" s="512" t="n">
        <v>11947000000</v>
      </c>
      <c r="V75" s="512" t="n">
        <v>12419000000</v>
      </c>
      <c r="W75" s="512" t="n">
        <v>12848000000</v>
      </c>
      <c r="X75" s="512" t="n">
        <v>13374000000</v>
      </c>
      <c r="Y75" s="512" t="n">
        <v>14173000000</v>
      </c>
      <c r="Z75" s="512" t="n">
        <v>14503000000</v>
      </c>
      <c r="AA75" s="512" t="n">
        <v>14249000000</v>
      </c>
      <c r="AB75" s="512" t="n">
        <v>15030000000</v>
      </c>
      <c r="AC75" s="512" t="n">
        <v>16360000000</v>
      </c>
      <c r="AD75" s="512" t="n">
        <v>16453000000</v>
      </c>
      <c r="AE75" s="512" t="n">
        <v>16244000000</v>
      </c>
      <c r="AF75" s="512" t="n">
        <v>17248000000</v>
      </c>
      <c r="AG75" s="512" t="n">
        <v>18379000000</v>
      </c>
      <c r="AH75" s="512" t="n">
        <v>17676000000</v>
      </c>
      <c r="AI75" s="512" t="n">
        <v>16355000000</v>
      </c>
      <c r="AJ75" s="512" t="n">
        <v>16942000000</v>
      </c>
    </row>
    <row r="76">
      <c r="A76" t="n">
        <v>54</v>
      </c>
      <c r="B76" t="n">
        <v>1</v>
      </c>
      <c r="G76" t="inlineStr">
        <is>
          <t>moeda</t>
        </is>
      </c>
      <c r="H76" t="inlineStr">
        <is>
          <t>Walmart U.S. - eCommerce (USD)</t>
        </is>
      </c>
      <c r="J76" t="inlineStr">
        <is>
          <t>fonte</t>
        </is>
      </c>
      <c r="K76" s="512" t="n">
        <v>8300000000</v>
      </c>
      <c r="L76" s="512" t="n">
        <v>10500000000</v>
      </c>
      <c r="M76" s="512" t="n">
        <v>10300000000</v>
      </c>
      <c r="N76" s="512" t="n">
        <v>13900000000</v>
      </c>
      <c r="O76" s="512" t="n">
        <v>11300000000</v>
      </c>
      <c r="P76" s="512" t="n">
        <v>11200000000</v>
      </c>
      <c r="Q76" s="512" t="n">
        <v>11100000000</v>
      </c>
      <c r="R76" s="512" t="n">
        <v>14200000000</v>
      </c>
      <c r="S76" s="512" t="n">
        <v>11400000000</v>
      </c>
      <c r="T76" s="512" t="n">
        <v>12500000000</v>
      </c>
      <c r="U76" s="512" t="n">
        <v>12900000000</v>
      </c>
      <c r="V76" s="512" t="n">
        <v>16500000000</v>
      </c>
      <c r="W76" s="512" t="n">
        <v>14500000000</v>
      </c>
      <c r="X76" s="512" t="n">
        <v>15500000000</v>
      </c>
      <c r="Y76" s="512" t="n">
        <v>16000000000</v>
      </c>
      <c r="Z76" s="512" t="n">
        <v>19400000000</v>
      </c>
      <c r="AA76" s="512" t="n">
        <v>17600000000</v>
      </c>
      <c r="AB76" s="512" t="n">
        <v>18900000000</v>
      </c>
      <c r="AC76" s="512" t="n">
        <v>19500000000</v>
      </c>
      <c r="AD76" s="512" t="n">
        <v>23300000000</v>
      </c>
      <c r="AE76" s="512" t="n">
        <v>21400000000</v>
      </c>
      <c r="AF76" s="512" t="n">
        <v>23700000000</v>
      </c>
      <c r="AG76" s="512" t="n">
        <v>24800000000</v>
      </c>
      <c r="AH76" s="512" t="n">
        <v>29600000000</v>
      </c>
      <c r="AI76" s="512" t="n">
        <v>27100000000</v>
      </c>
      <c r="AJ76" s="512" t="n">
        <v>29400000000</v>
      </c>
    </row>
    <row r="77">
      <c r="A77" t="n">
        <v>55</v>
      </c>
      <c r="B77" t="n">
        <v>1</v>
      </c>
      <c r="G77" t="inlineStr">
        <is>
          <t>moeda</t>
        </is>
      </c>
      <c r="H77" t="inlineStr">
        <is>
          <t>Walmart International - eCommerce (USD)</t>
        </is>
      </c>
      <c r="J77" t="inlineStr">
        <is>
          <t>fonte</t>
        </is>
      </c>
      <c r="K77" s="512" t="n">
        <v>2900000000</v>
      </c>
      <c r="L77" s="512" t="n">
        <v>3300000000</v>
      </c>
      <c r="M77" s="512" t="n">
        <v>4300000000</v>
      </c>
      <c r="N77" s="512" t="n">
        <v>6100000000</v>
      </c>
      <c r="O77" s="512" t="n">
        <v>4300000000</v>
      </c>
      <c r="P77" s="512" t="n">
        <v>4100000000</v>
      </c>
      <c r="Q77" s="512" t="n">
        <v>4300000000</v>
      </c>
      <c r="R77" s="512" t="n">
        <v>5800000000</v>
      </c>
      <c r="S77" s="512" t="n">
        <v>4300000000</v>
      </c>
      <c r="T77" s="512" t="n">
        <v>4600000000</v>
      </c>
      <c r="U77" s="512" t="n">
        <v>5900000000</v>
      </c>
      <c r="V77" s="512" t="n">
        <v>5500000000</v>
      </c>
      <c r="W77" s="512" t="n">
        <v>5400000000</v>
      </c>
      <c r="X77" s="512" t="n">
        <v>5800000000</v>
      </c>
      <c r="Y77" s="512" t="n">
        <v>5700000000</v>
      </c>
      <c r="Z77" s="512" t="n">
        <v>8000000000</v>
      </c>
      <c r="AA77" s="512" t="n">
        <v>6400000000</v>
      </c>
      <c r="AB77" s="512" t="n">
        <v>6800000000</v>
      </c>
      <c r="AC77" s="512" t="n">
        <v>8100000000</v>
      </c>
      <c r="AD77" s="512" t="n">
        <v>8200000000</v>
      </c>
      <c r="AE77" s="512" t="n">
        <v>7700000000</v>
      </c>
      <c r="AF77" s="512" t="n">
        <v>8300000000</v>
      </c>
      <c r="AG77" s="512" t="n">
        <v>10200000000</v>
      </c>
      <c r="AH77" s="512" t="n">
        <v>9700000000</v>
      </c>
      <c r="AI77" s="512" t="n">
        <v>9700000000</v>
      </c>
      <c r="AJ77" s="512" t="n">
        <v>9900000000</v>
      </c>
    </row>
    <row r="78">
      <c r="A78" t="n">
        <v>56</v>
      </c>
      <c r="B78" t="n">
        <v>1</v>
      </c>
      <c r="G78" t="inlineStr">
        <is>
          <t>moeda</t>
        </is>
      </c>
      <c r="H78" t="inlineStr">
        <is>
          <t>Walmart International - México e América Central (USD)</t>
        </is>
      </c>
      <c r="J78" t="inlineStr">
        <is>
          <t>fonte</t>
        </is>
      </c>
      <c r="K78" s="512" t="n">
        <v>8496000000</v>
      </c>
      <c r="L78" s="512" t="n">
        <v>7208000000</v>
      </c>
      <c r="M78" s="512" t="n">
        <v>7429000000</v>
      </c>
      <c r="N78" s="512" t="n">
        <v>9509000000</v>
      </c>
      <c r="O78" s="512" t="n">
        <v>8330000000</v>
      </c>
      <c r="P78" s="512" t="n">
        <v>8658000000</v>
      </c>
      <c r="Q78" s="512" t="n">
        <v>8718000000</v>
      </c>
      <c r="R78" s="512" t="n">
        <v>10258000000</v>
      </c>
      <c r="S78" s="512" t="n">
        <v>9088000000</v>
      </c>
      <c r="T78" s="512" t="n">
        <v>9690000000</v>
      </c>
      <c r="U78" s="512" t="n">
        <v>9702000000</v>
      </c>
      <c r="V78" s="512" t="n">
        <v>12016000000</v>
      </c>
      <c r="W78" s="512" t="n">
        <v>10958000000</v>
      </c>
      <c r="X78" s="512" t="n">
        <v>11994000000</v>
      </c>
      <c r="Y78" s="512" t="n">
        <v>12389000000</v>
      </c>
      <c r="Z78" s="512" t="n">
        <v>14385000000</v>
      </c>
      <c r="AA78" s="512" t="n">
        <v>13232000000</v>
      </c>
      <c r="AB78" s="512" t="n">
        <v>13099000000</v>
      </c>
      <c r="AC78" s="512" t="n">
        <v>12064000000</v>
      </c>
      <c r="AD78" s="512" t="n">
        <v>13575000000</v>
      </c>
      <c r="AE78" s="512" t="n">
        <v>11714000000</v>
      </c>
      <c r="AF78" s="512" t="n">
        <v>12546000000</v>
      </c>
      <c r="AG78" s="512" t="n">
        <v>12869000000</v>
      </c>
      <c r="AH78" s="512" t="n">
        <v>15363000000</v>
      </c>
      <c r="AI78" s="512" t="n">
        <v>13847000000</v>
      </c>
      <c r="AJ78" s="512" t="n">
        <v>14331000000</v>
      </c>
    </row>
    <row r="79">
      <c r="H79" t="inlineStr">
        <is>
          <t>Notas: valores dimensionais das instâncias XBRL. Ano fiscal termina em 31/jan: o 4T fiscal entra como 4T do calendário anterior (ex.: jan/26 = 4Q25). A receita de segmentos é a receita líquida de vendas; a receita total do modelo inclui também a receita de membership, por isso a linha de diferença mostra membership e outras receitas.</t>
        </is>
      </c>
    </row>
    <row r="113">
      <c r="H113" s="511" t="inlineStr">
        <is>
          <t>CONVENCOES</t>
        </is>
      </c>
    </row>
    <row r="114">
      <c r="H114" t="inlineStr">
        <is>
          <t>Linhas de origem: 5 a 79. As formulas da Inputs (2) varrem as linhas 5 a 110; as linhas 80 a 110 estao livres para novas contas.</t>
        </is>
      </c>
    </row>
    <row r="115">
      <c r="H115" t="inlineStr">
        <is>
          <t>Periodos: colunas K a AJ = trimestres-calendário 1Q20 a 2Q26 (linha 2: trimestre fiscal correspondente).</t>
        </is>
      </c>
    </row>
    <row r="116">
      <c r="H116" t="inlineStr">
        <is>
          <t>Brutos em USD unidades: fator da célula B1 = 0,000001 converte para USD milhões nas linhas UNID = moeda.</t>
        </is>
      </c>
    </row>
    <row r="117">
      <c r="H117" t="inlineStr">
        <is>
          <t>ORIGEM: fonte = copiado da SEC; memoria = como divulgado, sem codigo; derivada = formula nesta aba ou desacumulado na extração.</t>
        </is>
      </c>
    </row>
    <row r="118">
      <c r="H118" t="inlineStr">
        <is>
          <t>Balanço: contas de face sem mapeamento específico vão para "outros" do seu bloco (ativo circulante 16, não circulante 22, passivo circulante 26, não circulante 34, PL 40).</t>
        </is>
      </c>
    </row>
    <row r="119">
      <c r="H119" t="inlineStr">
        <is>
          <t>Codigos 45 a 56: drivers de receita (memoria); alimentam o bloco logo abaixo da receita liquida no Model.</t>
        </is>
      </c>
    </row>
    <row r="133" ht="15" customHeight="1" s="255">
      <c r="H133" s="256" t="n"/>
    </row>
    <row r="134" ht="15" customHeight="1" s="255">
      <c r="H134" s="254" t="n"/>
    </row>
    <row r="135" ht="15" customHeight="1" s="255">
      <c r="H135" s="254" t="n"/>
    </row>
    <row r="136" ht="15" customHeight="1" s="255">
      <c r="H136" s="254" t="n"/>
    </row>
    <row r="137" ht="15" customHeight="1" s="255">
      <c r="H137" s="254" t="n"/>
    </row>
    <row r="138" ht="15" customHeight="1" s="255">
      <c r="H138" s="254" t="n"/>
    </row>
    <row r="139"/>
    <row r="140"/>
    <row r="141"/>
    <row r="142"/>
    <row r="143"/>
    <row r="144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N64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G24" activeCellId="0" sqref="G24"/>
    </sheetView>
  </sheetViews>
  <sheetFormatPr baseColWidth="8" defaultColWidth="9.140625" defaultRowHeight="12.75" zeroHeight="0" outlineLevelRow="0"/>
  <cols>
    <col width="2.28" customWidth="1" style="259" min="1" max="1"/>
    <col width="4.42" customWidth="1" style="259" min="2" max="2"/>
    <col width="53.14" customWidth="1" style="260" min="3" max="3"/>
    <col width="8.140000000000001" customWidth="1" style="259" min="4" max="4"/>
    <col width="9.279999999999999" customWidth="1" style="259" min="5" max="7"/>
    <col width="10" customWidth="1" style="259" min="8" max="8"/>
    <col width="8.140000000000001" customWidth="1" style="259" min="9" max="9"/>
    <col width="9.279999999999999" customWidth="1" style="259" min="10" max="12"/>
    <col width="10" customWidth="1" style="259" min="13" max="13"/>
    <col width="8.140000000000001" customWidth="1" style="259" min="14" max="14"/>
    <col width="9.279999999999999" customWidth="1" style="259" min="15" max="16"/>
    <col width="10" customWidth="1" style="259" min="17" max="18"/>
    <col width="8.140000000000001" customWidth="1" style="259" min="19" max="19"/>
    <col width="9.279999999999999" customWidth="1" style="259" min="20" max="20"/>
    <col width="10" customWidth="1" style="259" min="21" max="23"/>
    <col width="8.140000000000001" customWidth="1" style="259" min="24" max="24"/>
    <col width="10" customWidth="1" style="259" min="25" max="27"/>
    <col width="10.42" customWidth="1" style="259" min="28" max="28"/>
    <col width="9.279999999999999" customWidth="1" style="259" min="29" max="29"/>
    <col width="11.71" customWidth="1" style="259" min="30" max="31"/>
    <col width="12.71" customWidth="1" style="259" min="32" max="32"/>
    <col width="10.28" customWidth="1" style="259" min="33" max="33"/>
    <col width="9.279999999999999" customWidth="1" style="260" min="34" max="54"/>
    <col width="9.710000000000001" customWidth="1" style="260" min="55" max="55"/>
    <col width="9.140000000000001" customWidth="1" style="260" min="56" max="16384"/>
  </cols>
  <sheetData>
    <row r="1" ht="12.75" customFormat="1" customHeight="1" s="259">
      <c r="A1" s="259">
        <f>COUNTIF($B$3:$B$1048576,$B$1)</f>
        <v>1</v>
      </c>
      <c r="B1" s="259">
        <f>MAX($B$3:$B$1048576)</f>
        <v>56</v>
      </c>
    </row>
    <row r="2" ht="12.75" customFormat="1" customHeight="1" s="260">
      <c r="D2" s="261" t="inlineStr">
        <is>
          <t>1Q21</t>
        </is>
      </c>
      <c r="E2" s="261" t="inlineStr">
        <is>
          <t>2Q21</t>
        </is>
      </c>
      <c r="F2" s="261" t="inlineStr">
        <is>
          <t>3Q21</t>
        </is>
      </c>
      <c r="G2" s="261" t="inlineStr">
        <is>
          <t>4Q21</t>
        </is>
      </c>
      <c r="H2" s="262" t="n">
        <v>2021</v>
      </c>
      <c r="I2" s="261" t="inlineStr">
        <is>
          <t>1Q22</t>
        </is>
      </c>
      <c r="J2" s="261" t="inlineStr">
        <is>
          <t>2Q22</t>
        </is>
      </c>
      <c r="K2" s="261" t="inlineStr">
        <is>
          <t>3Q22</t>
        </is>
      </c>
      <c r="L2" s="261" t="inlineStr">
        <is>
          <t>4Q22</t>
        </is>
      </c>
      <c r="M2" s="262" t="n">
        <v>2022</v>
      </c>
      <c r="N2" s="261" t="inlineStr">
        <is>
          <t>1Q23</t>
        </is>
      </c>
      <c r="O2" s="261" t="inlineStr">
        <is>
          <t>2Q23</t>
        </is>
      </c>
      <c r="P2" s="261" t="inlineStr">
        <is>
          <t>3Q23</t>
        </is>
      </c>
      <c r="Q2" s="261" t="inlineStr">
        <is>
          <t>4Q23</t>
        </is>
      </c>
      <c r="R2" s="262" t="n">
        <v>2023</v>
      </c>
      <c r="S2" s="261" t="inlineStr">
        <is>
          <t>1Q24</t>
        </is>
      </c>
      <c r="T2" s="261" t="inlineStr">
        <is>
          <t>2Q24</t>
        </is>
      </c>
      <c r="U2" s="261" t="inlineStr">
        <is>
          <t>3Q24</t>
        </is>
      </c>
      <c r="V2" s="261" t="inlineStr">
        <is>
          <t>4Q24</t>
        </is>
      </c>
      <c r="W2" s="262" t="n">
        <v>2024</v>
      </c>
      <c r="X2" s="261" t="inlineStr">
        <is>
          <t>1Q25</t>
        </is>
      </c>
      <c r="Y2" s="261" t="inlineStr">
        <is>
          <t>2Q25</t>
        </is>
      </c>
      <c r="Z2" s="261" t="inlineStr">
        <is>
          <t>3Q25</t>
        </is>
      </c>
      <c r="AA2" s="261" t="inlineStr">
        <is>
          <t>4Q25</t>
        </is>
      </c>
      <c r="AB2" s="262" t="n">
        <v>2025</v>
      </c>
      <c r="AC2" s="261" t="inlineStr">
        <is>
          <t>1Q26</t>
        </is>
      </c>
      <c r="AD2" s="261" t="inlineStr">
        <is>
          <t>2Q26</t>
        </is>
      </c>
      <c r="AE2" s="263" t="inlineStr">
        <is>
          <t>3Q26</t>
        </is>
      </c>
      <c r="AF2" s="263" t="inlineStr">
        <is>
          <t>4Q26</t>
        </is>
      </c>
      <c r="AG2" s="264" t="n">
        <v>2026</v>
      </c>
      <c r="AH2" s="261" t="inlineStr">
        <is>
          <t>1Q20</t>
        </is>
      </c>
      <c r="AI2" s="261" t="inlineStr">
        <is>
          <t>2Q20</t>
        </is>
      </c>
      <c r="AJ2" s="261" t="inlineStr">
        <is>
          <t>3Q20</t>
        </is>
      </c>
      <c r="AK2" s="261" t="inlineStr">
        <is>
          <t>4Q20</t>
        </is>
      </c>
      <c r="AL2" s="262" t="n">
        <v>2020</v>
      </c>
      <c r="AN2" s="260" t="inlineStr">
        <is>
          <t>Sem dado na fonte: 3Q26, 4Q26 e 2026 (rotulo em cinza). 2020 fica nas colunas AH-AL.</t>
        </is>
      </c>
    </row>
    <row r="3"/>
    <row r="4" ht="12.75" customHeight="1" s="255">
      <c r="B4" s="265" t="n">
        <v>1</v>
      </c>
      <c r="C4" s="266" t="inlineStr">
        <is>
          <t>Net Revenues</t>
        </is>
      </c>
      <c r="D4" s="267">
        <f>IF(ISNA(MATCH(D$2,Inputs!$K$4:$AJ$4,0)),NA(),IF(SUMPRODUCT((Inputs!$A$5:$A$110=$B4)*ISNUMBER(INDEX(Inputs!$K$5:$AJ$110,0,MATCH(D$2,Inputs!$K$4:$AJ$4,0))))+SUMPRODUCT((Inputs!$C$5:$C$110=$B4)*ISNUMBER(INDEX(Inputs!$K$5:$AJ$110,0,MATCH(D$2,Inputs!$K$4:$AJ$4,0))))+SUMPRODUCT((Inputs!$E$5:$E$110=$B4)*ISNUMBER(INDEX(Inputs!$K$5:$AJ$110,0,MATCH(D$2,Inputs!$K$4:$AJ$4,0))))=0,NA(),SUMPRODUCT((Inputs!$A$5:$A$110=$B4)*Inputs!$B$5:$B$110*(((Inputs!$G$5:$G$110="moeda")+(Inputs!$G$5:$G$110="acoes"))*Inputs!$B$1+((Inputs!$G$5:$G$110&lt;&gt;"moeda")*(Inputs!$G$5:$G$110&lt;&gt;"acoes")))*INDEX(Inputs!$K$5:$AJ$110,0,MATCH(D$2,Inputs!$K$4:$AJ$4,0)))+SUMPRODUCT((Inputs!$C$5:$C$110=$B4)*Inputs!$D$5:$D$110*(((Inputs!$G$5:$G$110="moeda")+(Inputs!$G$5:$G$110="acoes"))*Inputs!$B$1+((Inputs!$G$5:$G$110&lt;&gt;"moeda")*(Inputs!$G$5:$G$110&lt;&gt;"acoes")))*INDEX(Inputs!$K$5:$AJ$110,0,MATCH(D$2,Inputs!$K$4:$AJ$4,0)))+SUMPRODUCT((Inputs!$E$5:$E$110=$B4)*Inputs!$F$5:$F$110*(((Inputs!$G$5:$G$110="moeda")+(Inputs!$G$5:$G$110="acoes"))*Inputs!$B$1+((Inputs!$G$5:$G$110&lt;&gt;"moeda")*(Inputs!$G$5:$G$110&lt;&gt;"acoes")))*INDEX(Inputs!$K$5:$AJ$110,0,MATCH(D$2,Inputs!$K$4:$AJ$4,0)))))</f>
        <v>138310</v>
      </c>
      <c r="E4" s="267">
        <f>IF(ISNA(MATCH(E$2,Inputs!$K$4:$AJ$4,0)),NA(),IF(SUMPRODUCT((Inputs!$A$5:$A$110=$B4)*ISNUMBER(INDEX(Inputs!$K$5:$AJ$110,0,MATCH(E$2,Inputs!$K$4:$AJ$4,0))))+SUMPRODUCT((Inputs!$C$5:$C$110=$B4)*ISNUMBER(INDEX(Inputs!$K$5:$AJ$110,0,MATCH(E$2,Inputs!$K$4:$AJ$4,0))))+SUMPRODUCT((Inputs!$E$5:$E$110=$B4)*ISNUMBER(INDEX(Inputs!$K$5:$AJ$110,0,MATCH(E$2,Inputs!$K$4:$AJ$4,0))))=0,NA(),SUMPRODUCT((Inputs!$A$5:$A$110=$B4)*Inputs!$B$5:$B$110*(((Inputs!$G$5:$G$110="moeda")+(Inputs!$G$5:$G$110="acoes"))*Inputs!$B$1+((Inputs!$G$5:$G$110&lt;&gt;"moeda")*(Inputs!$G$5:$G$110&lt;&gt;"acoes")))*INDEX(Inputs!$K$5:$AJ$110,0,MATCH(E$2,Inputs!$K$4:$AJ$4,0)))+SUMPRODUCT((Inputs!$C$5:$C$110=$B4)*Inputs!$D$5:$D$110*(((Inputs!$G$5:$G$110="moeda")+(Inputs!$G$5:$G$110="acoes"))*Inputs!$B$1+((Inputs!$G$5:$G$110&lt;&gt;"moeda")*(Inputs!$G$5:$G$110&lt;&gt;"acoes")))*INDEX(Inputs!$K$5:$AJ$110,0,MATCH(E$2,Inputs!$K$4:$AJ$4,0)))+SUMPRODUCT((Inputs!$E$5:$E$110=$B4)*Inputs!$F$5:$F$110*(((Inputs!$G$5:$G$110="moeda")+(Inputs!$G$5:$G$110="acoes"))*Inputs!$B$1+((Inputs!$G$5:$G$110&lt;&gt;"moeda")*(Inputs!$G$5:$G$110&lt;&gt;"acoes")))*INDEX(Inputs!$K$5:$AJ$110,0,MATCH(E$2,Inputs!$K$4:$AJ$4,0)))))</f>
        <v>141048</v>
      </c>
      <c r="F4" s="267">
        <f>IF(ISNA(MATCH(F$2,Inputs!$K$4:$AJ$4,0)),NA(),IF(SUMPRODUCT((Inputs!$A$5:$A$110=$B4)*ISNUMBER(INDEX(Inputs!$K$5:$AJ$110,0,MATCH(F$2,Inputs!$K$4:$AJ$4,0))))+SUMPRODUCT((Inputs!$C$5:$C$110=$B4)*ISNUMBER(INDEX(Inputs!$K$5:$AJ$110,0,MATCH(F$2,Inputs!$K$4:$AJ$4,0))))+SUMPRODUCT((Inputs!$E$5:$E$110=$B4)*ISNUMBER(INDEX(Inputs!$K$5:$AJ$110,0,MATCH(F$2,Inputs!$K$4:$AJ$4,0))))=0,NA(),SUMPRODUCT((Inputs!$A$5:$A$110=$B4)*Inputs!$B$5:$B$110*(((Inputs!$G$5:$G$110="moeda")+(Inputs!$G$5:$G$110="acoes"))*Inputs!$B$1+((Inputs!$G$5:$G$110&lt;&gt;"moeda")*(Inputs!$G$5:$G$110&lt;&gt;"acoes")))*INDEX(Inputs!$K$5:$AJ$110,0,MATCH(F$2,Inputs!$K$4:$AJ$4,0)))+SUMPRODUCT((Inputs!$C$5:$C$110=$B4)*Inputs!$D$5:$D$110*(((Inputs!$G$5:$G$110="moeda")+(Inputs!$G$5:$G$110="acoes"))*Inputs!$B$1+((Inputs!$G$5:$G$110&lt;&gt;"moeda")*(Inputs!$G$5:$G$110&lt;&gt;"acoes")))*INDEX(Inputs!$K$5:$AJ$110,0,MATCH(F$2,Inputs!$K$4:$AJ$4,0)))+SUMPRODUCT((Inputs!$E$5:$E$110=$B4)*Inputs!$F$5:$F$110*(((Inputs!$G$5:$G$110="moeda")+(Inputs!$G$5:$G$110="acoes"))*Inputs!$B$1+((Inputs!$G$5:$G$110&lt;&gt;"moeda")*(Inputs!$G$5:$G$110&lt;&gt;"acoes")))*INDEX(Inputs!$K$5:$AJ$110,0,MATCH(F$2,Inputs!$K$4:$AJ$4,0)))))</f>
        <v>140525</v>
      </c>
      <c r="G4" s="267">
        <f>IF(ISNA(MATCH(G$2,Inputs!$K$4:$AJ$4,0)),NA(),IF(SUMPRODUCT((Inputs!$A$5:$A$110=$B4)*ISNUMBER(INDEX(Inputs!$K$5:$AJ$110,0,MATCH(G$2,Inputs!$K$4:$AJ$4,0))))+SUMPRODUCT((Inputs!$C$5:$C$110=$B4)*ISNUMBER(INDEX(Inputs!$K$5:$AJ$110,0,MATCH(G$2,Inputs!$K$4:$AJ$4,0))))+SUMPRODUCT((Inputs!$E$5:$E$110=$B4)*ISNUMBER(INDEX(Inputs!$K$5:$AJ$110,0,MATCH(G$2,Inputs!$K$4:$AJ$4,0))))=0,NA(),SUMPRODUCT((Inputs!$A$5:$A$110=$B4)*Inputs!$B$5:$B$110*(((Inputs!$G$5:$G$110="moeda")+(Inputs!$G$5:$G$110="acoes"))*Inputs!$B$1+((Inputs!$G$5:$G$110&lt;&gt;"moeda")*(Inputs!$G$5:$G$110&lt;&gt;"acoes")))*INDEX(Inputs!$K$5:$AJ$110,0,MATCH(G$2,Inputs!$K$4:$AJ$4,0)))+SUMPRODUCT((Inputs!$C$5:$C$110=$B4)*Inputs!$D$5:$D$110*(((Inputs!$G$5:$G$110="moeda")+(Inputs!$G$5:$G$110="acoes"))*Inputs!$B$1+((Inputs!$G$5:$G$110&lt;&gt;"moeda")*(Inputs!$G$5:$G$110&lt;&gt;"acoes")))*INDEX(Inputs!$K$5:$AJ$110,0,MATCH(G$2,Inputs!$K$4:$AJ$4,0)))+SUMPRODUCT((Inputs!$E$5:$E$110=$B4)*Inputs!$F$5:$F$110*(((Inputs!$G$5:$G$110="moeda")+(Inputs!$G$5:$G$110="acoes"))*Inputs!$B$1+((Inputs!$G$5:$G$110&lt;&gt;"moeda")*(Inputs!$G$5:$G$110&lt;&gt;"acoes")))*INDEX(Inputs!$K$5:$AJ$110,0,MATCH(G$2,Inputs!$K$4:$AJ$4,0)))))</f>
        <v>152871</v>
      </c>
      <c r="H4" s="268">
        <f>SUM(D4:G4)</f>
        <v>572754</v>
      </c>
      <c r="I4" s="267">
        <f>IF(ISNA(MATCH(I$2,Inputs!$K$4:$AJ$4,0)),NA(),IF(SUMPRODUCT((Inputs!$A$5:$A$110=$B4)*ISNUMBER(INDEX(Inputs!$K$5:$AJ$110,0,MATCH(I$2,Inputs!$K$4:$AJ$4,0))))+SUMPRODUCT((Inputs!$C$5:$C$110=$B4)*ISNUMBER(INDEX(Inputs!$K$5:$AJ$110,0,MATCH(I$2,Inputs!$K$4:$AJ$4,0))))+SUMPRODUCT((Inputs!$E$5:$E$110=$B4)*ISNUMBER(INDEX(Inputs!$K$5:$AJ$110,0,MATCH(I$2,Inputs!$K$4:$AJ$4,0))))=0,NA(),SUMPRODUCT((Inputs!$A$5:$A$110=$B4)*Inputs!$B$5:$B$110*(((Inputs!$G$5:$G$110="moeda")+(Inputs!$G$5:$G$110="acoes"))*Inputs!$B$1+((Inputs!$G$5:$G$110&lt;&gt;"moeda")*(Inputs!$G$5:$G$110&lt;&gt;"acoes")))*INDEX(Inputs!$K$5:$AJ$110,0,MATCH(I$2,Inputs!$K$4:$AJ$4,0)))+SUMPRODUCT((Inputs!$C$5:$C$110=$B4)*Inputs!$D$5:$D$110*(((Inputs!$G$5:$G$110="moeda")+(Inputs!$G$5:$G$110="acoes"))*Inputs!$B$1+((Inputs!$G$5:$G$110&lt;&gt;"moeda")*(Inputs!$G$5:$G$110&lt;&gt;"acoes")))*INDEX(Inputs!$K$5:$AJ$110,0,MATCH(I$2,Inputs!$K$4:$AJ$4,0)))+SUMPRODUCT((Inputs!$E$5:$E$110=$B4)*Inputs!$F$5:$F$110*(((Inputs!$G$5:$G$110="moeda")+(Inputs!$G$5:$G$110="acoes"))*Inputs!$B$1+((Inputs!$G$5:$G$110&lt;&gt;"moeda")*(Inputs!$G$5:$G$110&lt;&gt;"acoes")))*INDEX(Inputs!$K$5:$AJ$110,0,MATCH(I$2,Inputs!$K$4:$AJ$4,0)))))</f>
        <v>141569</v>
      </c>
      <c r="J4" s="267">
        <f>IF(ISNA(MATCH(J$2,Inputs!$K$4:$AJ$4,0)),NA(),IF(SUMPRODUCT((Inputs!$A$5:$A$110=$B4)*ISNUMBER(INDEX(Inputs!$K$5:$AJ$110,0,MATCH(J$2,Inputs!$K$4:$AJ$4,0))))+SUMPRODUCT((Inputs!$C$5:$C$110=$B4)*ISNUMBER(INDEX(Inputs!$K$5:$AJ$110,0,MATCH(J$2,Inputs!$K$4:$AJ$4,0))))+SUMPRODUCT((Inputs!$E$5:$E$110=$B4)*ISNUMBER(INDEX(Inputs!$K$5:$AJ$110,0,MATCH(J$2,Inputs!$K$4:$AJ$4,0))))=0,NA(),SUMPRODUCT((Inputs!$A$5:$A$110=$B4)*Inputs!$B$5:$B$110*(((Inputs!$G$5:$G$110="moeda")+(Inputs!$G$5:$G$110="acoes"))*Inputs!$B$1+((Inputs!$G$5:$G$110&lt;&gt;"moeda")*(Inputs!$G$5:$G$110&lt;&gt;"acoes")))*INDEX(Inputs!$K$5:$AJ$110,0,MATCH(J$2,Inputs!$K$4:$AJ$4,0)))+SUMPRODUCT((Inputs!$C$5:$C$110=$B4)*Inputs!$D$5:$D$110*(((Inputs!$G$5:$G$110="moeda")+(Inputs!$G$5:$G$110="acoes"))*Inputs!$B$1+((Inputs!$G$5:$G$110&lt;&gt;"moeda")*(Inputs!$G$5:$G$110&lt;&gt;"acoes")))*INDEX(Inputs!$K$5:$AJ$110,0,MATCH(J$2,Inputs!$K$4:$AJ$4,0)))+SUMPRODUCT((Inputs!$E$5:$E$110=$B4)*Inputs!$F$5:$F$110*(((Inputs!$G$5:$G$110="moeda")+(Inputs!$G$5:$G$110="acoes"))*Inputs!$B$1+((Inputs!$G$5:$G$110&lt;&gt;"moeda")*(Inputs!$G$5:$G$110&lt;&gt;"acoes")))*INDEX(Inputs!$K$5:$AJ$110,0,MATCH(J$2,Inputs!$K$4:$AJ$4,0)))))</f>
        <v>152859</v>
      </c>
      <c r="K4" s="267">
        <f>IF(ISNA(MATCH(K$2,Inputs!$K$4:$AJ$4,0)),NA(),IF(SUMPRODUCT((Inputs!$A$5:$A$110=$B4)*ISNUMBER(INDEX(Inputs!$K$5:$AJ$110,0,MATCH(K$2,Inputs!$K$4:$AJ$4,0))))+SUMPRODUCT((Inputs!$C$5:$C$110=$B4)*ISNUMBER(INDEX(Inputs!$K$5:$AJ$110,0,MATCH(K$2,Inputs!$K$4:$AJ$4,0))))+SUMPRODUCT((Inputs!$E$5:$E$110=$B4)*ISNUMBER(INDEX(Inputs!$K$5:$AJ$110,0,MATCH(K$2,Inputs!$K$4:$AJ$4,0))))=0,NA(),SUMPRODUCT((Inputs!$A$5:$A$110=$B4)*Inputs!$B$5:$B$110*(((Inputs!$G$5:$G$110="moeda")+(Inputs!$G$5:$G$110="acoes"))*Inputs!$B$1+((Inputs!$G$5:$G$110&lt;&gt;"moeda")*(Inputs!$G$5:$G$110&lt;&gt;"acoes")))*INDEX(Inputs!$K$5:$AJ$110,0,MATCH(K$2,Inputs!$K$4:$AJ$4,0)))+SUMPRODUCT((Inputs!$C$5:$C$110=$B4)*Inputs!$D$5:$D$110*(((Inputs!$G$5:$G$110="moeda")+(Inputs!$G$5:$G$110="acoes"))*Inputs!$B$1+((Inputs!$G$5:$G$110&lt;&gt;"moeda")*(Inputs!$G$5:$G$110&lt;&gt;"acoes")))*INDEX(Inputs!$K$5:$AJ$110,0,MATCH(K$2,Inputs!$K$4:$AJ$4,0)))+SUMPRODUCT((Inputs!$E$5:$E$110=$B4)*Inputs!$F$5:$F$110*(((Inputs!$G$5:$G$110="moeda")+(Inputs!$G$5:$G$110="acoes"))*Inputs!$B$1+((Inputs!$G$5:$G$110&lt;&gt;"moeda")*(Inputs!$G$5:$G$110&lt;&gt;"acoes")))*INDEX(Inputs!$K$5:$AJ$110,0,MATCH(K$2,Inputs!$K$4:$AJ$4,0)))))</f>
        <v>152813</v>
      </c>
      <c r="L4" s="267">
        <f>IF(ISNA(MATCH(L$2,Inputs!$K$4:$AJ$4,0)),NA(),IF(SUMPRODUCT((Inputs!$A$5:$A$110=$B4)*ISNUMBER(INDEX(Inputs!$K$5:$AJ$110,0,MATCH(L$2,Inputs!$K$4:$AJ$4,0))))+SUMPRODUCT((Inputs!$C$5:$C$110=$B4)*ISNUMBER(INDEX(Inputs!$K$5:$AJ$110,0,MATCH(L$2,Inputs!$K$4:$AJ$4,0))))+SUMPRODUCT((Inputs!$E$5:$E$110=$B4)*ISNUMBER(INDEX(Inputs!$K$5:$AJ$110,0,MATCH(L$2,Inputs!$K$4:$AJ$4,0))))=0,NA(),SUMPRODUCT((Inputs!$A$5:$A$110=$B4)*Inputs!$B$5:$B$110*(((Inputs!$G$5:$G$110="moeda")+(Inputs!$G$5:$G$110="acoes"))*Inputs!$B$1+((Inputs!$G$5:$G$110&lt;&gt;"moeda")*(Inputs!$G$5:$G$110&lt;&gt;"acoes")))*INDEX(Inputs!$K$5:$AJ$110,0,MATCH(L$2,Inputs!$K$4:$AJ$4,0)))+SUMPRODUCT((Inputs!$C$5:$C$110=$B4)*Inputs!$D$5:$D$110*(((Inputs!$G$5:$G$110="moeda")+(Inputs!$G$5:$G$110="acoes"))*Inputs!$B$1+((Inputs!$G$5:$G$110&lt;&gt;"moeda")*(Inputs!$G$5:$G$110&lt;&gt;"acoes")))*INDEX(Inputs!$K$5:$AJ$110,0,MATCH(L$2,Inputs!$K$4:$AJ$4,0)))+SUMPRODUCT((Inputs!$E$5:$E$110=$B4)*Inputs!$F$5:$F$110*(((Inputs!$G$5:$G$110="moeda")+(Inputs!$G$5:$G$110="acoes"))*Inputs!$B$1+((Inputs!$G$5:$G$110&lt;&gt;"moeda")*(Inputs!$G$5:$G$110&lt;&gt;"acoes")))*INDEX(Inputs!$K$5:$AJ$110,0,MATCH(L$2,Inputs!$K$4:$AJ$4,0)))))</f>
        <v>164048</v>
      </c>
      <c r="M4" s="268">
        <f>SUM(I4:L4)</f>
        <v>611289</v>
      </c>
      <c r="N4" s="267">
        <f>IF(ISNA(MATCH(N$2,Inputs!$K$4:$AJ$4,0)),NA(),IF(SUMPRODUCT((Inputs!$A$5:$A$110=$B4)*ISNUMBER(INDEX(Inputs!$K$5:$AJ$110,0,MATCH(N$2,Inputs!$K$4:$AJ$4,0))))+SUMPRODUCT((Inputs!$C$5:$C$110=$B4)*ISNUMBER(INDEX(Inputs!$K$5:$AJ$110,0,MATCH(N$2,Inputs!$K$4:$AJ$4,0))))+SUMPRODUCT((Inputs!$E$5:$E$110=$B4)*ISNUMBER(INDEX(Inputs!$K$5:$AJ$110,0,MATCH(N$2,Inputs!$K$4:$AJ$4,0))))=0,NA(),SUMPRODUCT((Inputs!$A$5:$A$110=$B4)*Inputs!$B$5:$B$110*(((Inputs!$G$5:$G$110="moeda")+(Inputs!$G$5:$G$110="acoes"))*Inputs!$B$1+((Inputs!$G$5:$G$110&lt;&gt;"moeda")*(Inputs!$G$5:$G$110&lt;&gt;"acoes")))*INDEX(Inputs!$K$5:$AJ$110,0,MATCH(N$2,Inputs!$K$4:$AJ$4,0)))+SUMPRODUCT((Inputs!$C$5:$C$110=$B4)*Inputs!$D$5:$D$110*(((Inputs!$G$5:$G$110="moeda")+(Inputs!$G$5:$G$110="acoes"))*Inputs!$B$1+((Inputs!$G$5:$G$110&lt;&gt;"moeda")*(Inputs!$G$5:$G$110&lt;&gt;"acoes")))*INDEX(Inputs!$K$5:$AJ$110,0,MATCH(N$2,Inputs!$K$4:$AJ$4,0)))+SUMPRODUCT((Inputs!$E$5:$E$110=$B4)*Inputs!$F$5:$F$110*(((Inputs!$G$5:$G$110="moeda")+(Inputs!$G$5:$G$110="acoes"))*Inputs!$B$1+((Inputs!$G$5:$G$110&lt;&gt;"moeda")*(Inputs!$G$5:$G$110&lt;&gt;"acoes")))*INDEX(Inputs!$K$5:$AJ$110,0,MATCH(N$2,Inputs!$K$4:$AJ$4,0)))))</f>
        <v>152301</v>
      </c>
      <c r="O4" s="267">
        <f>IF(ISNA(MATCH(O$2,Inputs!$K$4:$AJ$4,0)),NA(),IF(SUMPRODUCT((Inputs!$A$5:$A$110=$B4)*ISNUMBER(INDEX(Inputs!$K$5:$AJ$110,0,MATCH(O$2,Inputs!$K$4:$AJ$4,0))))+SUMPRODUCT((Inputs!$C$5:$C$110=$B4)*ISNUMBER(INDEX(Inputs!$K$5:$AJ$110,0,MATCH(O$2,Inputs!$K$4:$AJ$4,0))))+SUMPRODUCT((Inputs!$E$5:$E$110=$B4)*ISNUMBER(INDEX(Inputs!$K$5:$AJ$110,0,MATCH(O$2,Inputs!$K$4:$AJ$4,0))))=0,NA(),SUMPRODUCT((Inputs!$A$5:$A$110=$B4)*Inputs!$B$5:$B$110*(((Inputs!$G$5:$G$110="moeda")+(Inputs!$G$5:$G$110="acoes"))*Inputs!$B$1+((Inputs!$G$5:$G$110&lt;&gt;"moeda")*(Inputs!$G$5:$G$110&lt;&gt;"acoes")))*INDEX(Inputs!$K$5:$AJ$110,0,MATCH(O$2,Inputs!$K$4:$AJ$4,0)))+SUMPRODUCT((Inputs!$C$5:$C$110=$B4)*Inputs!$D$5:$D$110*(((Inputs!$G$5:$G$110="moeda")+(Inputs!$G$5:$G$110="acoes"))*Inputs!$B$1+((Inputs!$G$5:$G$110&lt;&gt;"moeda")*(Inputs!$G$5:$G$110&lt;&gt;"acoes")))*INDEX(Inputs!$K$5:$AJ$110,0,MATCH(O$2,Inputs!$K$4:$AJ$4,0)))+SUMPRODUCT((Inputs!$E$5:$E$110=$B4)*Inputs!$F$5:$F$110*(((Inputs!$G$5:$G$110="moeda")+(Inputs!$G$5:$G$110="acoes"))*Inputs!$B$1+((Inputs!$G$5:$G$110&lt;&gt;"moeda")*(Inputs!$G$5:$G$110&lt;&gt;"acoes")))*INDEX(Inputs!$K$5:$AJ$110,0,MATCH(O$2,Inputs!$K$4:$AJ$4,0)))))</f>
        <v>161632</v>
      </c>
      <c r="P4" s="267">
        <f>IF(ISNA(MATCH(P$2,Inputs!$K$4:$AJ$4,0)),NA(),IF(SUMPRODUCT((Inputs!$A$5:$A$110=$B4)*ISNUMBER(INDEX(Inputs!$K$5:$AJ$110,0,MATCH(P$2,Inputs!$K$4:$AJ$4,0))))+SUMPRODUCT((Inputs!$C$5:$C$110=$B4)*ISNUMBER(INDEX(Inputs!$K$5:$AJ$110,0,MATCH(P$2,Inputs!$K$4:$AJ$4,0))))+SUMPRODUCT((Inputs!$E$5:$E$110=$B4)*ISNUMBER(INDEX(Inputs!$K$5:$AJ$110,0,MATCH(P$2,Inputs!$K$4:$AJ$4,0))))=0,NA(),SUMPRODUCT((Inputs!$A$5:$A$110=$B4)*Inputs!$B$5:$B$110*(((Inputs!$G$5:$G$110="moeda")+(Inputs!$G$5:$G$110="acoes"))*Inputs!$B$1+((Inputs!$G$5:$G$110&lt;&gt;"moeda")*(Inputs!$G$5:$G$110&lt;&gt;"acoes")))*INDEX(Inputs!$K$5:$AJ$110,0,MATCH(P$2,Inputs!$K$4:$AJ$4,0)))+SUMPRODUCT((Inputs!$C$5:$C$110=$B4)*Inputs!$D$5:$D$110*(((Inputs!$G$5:$G$110="moeda")+(Inputs!$G$5:$G$110="acoes"))*Inputs!$B$1+((Inputs!$G$5:$G$110&lt;&gt;"moeda")*(Inputs!$G$5:$G$110&lt;&gt;"acoes")))*INDEX(Inputs!$K$5:$AJ$110,0,MATCH(P$2,Inputs!$K$4:$AJ$4,0)))+SUMPRODUCT((Inputs!$E$5:$E$110=$B4)*Inputs!$F$5:$F$110*(((Inputs!$G$5:$G$110="moeda")+(Inputs!$G$5:$G$110="acoes"))*Inputs!$B$1+((Inputs!$G$5:$G$110&lt;&gt;"moeda")*(Inputs!$G$5:$G$110&lt;&gt;"acoes")))*INDEX(Inputs!$K$5:$AJ$110,0,MATCH(P$2,Inputs!$K$4:$AJ$4,0)))))</f>
        <v>160804</v>
      </c>
      <c r="Q4" s="267">
        <f>IF(ISNA(MATCH(Q$2,Inputs!$K$4:$AJ$4,0)),NA(),IF(SUMPRODUCT((Inputs!$A$5:$A$110=$B4)*ISNUMBER(INDEX(Inputs!$K$5:$AJ$110,0,MATCH(Q$2,Inputs!$K$4:$AJ$4,0))))+SUMPRODUCT((Inputs!$C$5:$C$110=$B4)*ISNUMBER(INDEX(Inputs!$K$5:$AJ$110,0,MATCH(Q$2,Inputs!$K$4:$AJ$4,0))))+SUMPRODUCT((Inputs!$E$5:$E$110=$B4)*ISNUMBER(INDEX(Inputs!$K$5:$AJ$110,0,MATCH(Q$2,Inputs!$K$4:$AJ$4,0))))=0,NA(),SUMPRODUCT((Inputs!$A$5:$A$110=$B4)*Inputs!$B$5:$B$110*(((Inputs!$G$5:$G$110="moeda")+(Inputs!$G$5:$G$110="acoes"))*Inputs!$B$1+((Inputs!$G$5:$G$110&lt;&gt;"moeda")*(Inputs!$G$5:$G$110&lt;&gt;"acoes")))*INDEX(Inputs!$K$5:$AJ$110,0,MATCH(Q$2,Inputs!$K$4:$AJ$4,0)))+SUMPRODUCT((Inputs!$C$5:$C$110=$B4)*Inputs!$D$5:$D$110*(((Inputs!$G$5:$G$110="moeda")+(Inputs!$G$5:$G$110="acoes"))*Inputs!$B$1+((Inputs!$G$5:$G$110&lt;&gt;"moeda")*(Inputs!$G$5:$G$110&lt;&gt;"acoes")))*INDEX(Inputs!$K$5:$AJ$110,0,MATCH(Q$2,Inputs!$K$4:$AJ$4,0)))+SUMPRODUCT((Inputs!$E$5:$E$110=$B4)*Inputs!$F$5:$F$110*(((Inputs!$G$5:$G$110="moeda")+(Inputs!$G$5:$G$110="acoes"))*Inputs!$B$1+((Inputs!$G$5:$G$110&lt;&gt;"moeda")*(Inputs!$G$5:$G$110&lt;&gt;"acoes")))*INDEX(Inputs!$K$5:$AJ$110,0,MATCH(Q$2,Inputs!$K$4:$AJ$4,0)))))</f>
        <v>173388</v>
      </c>
      <c r="R4" s="268">
        <f>SUM(N4:Q4)</f>
        <v>648125</v>
      </c>
      <c r="S4" s="267">
        <f>IF(ISNA(MATCH(S$2,Inputs!$K$4:$AJ$4,0)),NA(),IF(SUMPRODUCT((Inputs!$A$5:$A$110=$B4)*ISNUMBER(INDEX(Inputs!$K$5:$AJ$110,0,MATCH(S$2,Inputs!$K$4:$AJ$4,0))))+SUMPRODUCT((Inputs!$C$5:$C$110=$B4)*ISNUMBER(INDEX(Inputs!$K$5:$AJ$110,0,MATCH(S$2,Inputs!$K$4:$AJ$4,0))))+SUMPRODUCT((Inputs!$E$5:$E$110=$B4)*ISNUMBER(INDEX(Inputs!$K$5:$AJ$110,0,MATCH(S$2,Inputs!$K$4:$AJ$4,0))))=0,NA(),SUMPRODUCT((Inputs!$A$5:$A$110=$B4)*Inputs!$B$5:$B$110*(((Inputs!$G$5:$G$110="moeda")+(Inputs!$G$5:$G$110="acoes"))*Inputs!$B$1+((Inputs!$G$5:$G$110&lt;&gt;"moeda")*(Inputs!$G$5:$G$110&lt;&gt;"acoes")))*INDEX(Inputs!$K$5:$AJ$110,0,MATCH(S$2,Inputs!$K$4:$AJ$4,0)))+SUMPRODUCT((Inputs!$C$5:$C$110=$B4)*Inputs!$D$5:$D$110*(((Inputs!$G$5:$G$110="moeda")+(Inputs!$G$5:$G$110="acoes"))*Inputs!$B$1+((Inputs!$G$5:$G$110&lt;&gt;"moeda")*(Inputs!$G$5:$G$110&lt;&gt;"acoes")))*INDEX(Inputs!$K$5:$AJ$110,0,MATCH(S$2,Inputs!$K$4:$AJ$4,0)))+SUMPRODUCT((Inputs!$E$5:$E$110=$B4)*Inputs!$F$5:$F$110*(((Inputs!$G$5:$G$110="moeda")+(Inputs!$G$5:$G$110="acoes"))*Inputs!$B$1+((Inputs!$G$5:$G$110&lt;&gt;"moeda")*(Inputs!$G$5:$G$110&lt;&gt;"acoes")))*INDEX(Inputs!$K$5:$AJ$110,0,MATCH(S$2,Inputs!$K$4:$AJ$4,0)))))</f>
        <v>161508</v>
      </c>
      <c r="T4" s="267">
        <f>IF(ISNA(MATCH(T$2,Inputs!$K$4:$AJ$4,0)),NA(),IF(SUMPRODUCT((Inputs!$A$5:$A$110=$B4)*ISNUMBER(INDEX(Inputs!$K$5:$AJ$110,0,MATCH(T$2,Inputs!$K$4:$AJ$4,0))))+SUMPRODUCT((Inputs!$C$5:$C$110=$B4)*ISNUMBER(INDEX(Inputs!$K$5:$AJ$110,0,MATCH(T$2,Inputs!$K$4:$AJ$4,0))))+SUMPRODUCT((Inputs!$E$5:$E$110=$B4)*ISNUMBER(INDEX(Inputs!$K$5:$AJ$110,0,MATCH(T$2,Inputs!$K$4:$AJ$4,0))))=0,NA(),SUMPRODUCT((Inputs!$A$5:$A$110=$B4)*Inputs!$B$5:$B$110*(((Inputs!$G$5:$G$110="moeda")+(Inputs!$G$5:$G$110="acoes"))*Inputs!$B$1+((Inputs!$G$5:$G$110&lt;&gt;"moeda")*(Inputs!$G$5:$G$110&lt;&gt;"acoes")))*INDEX(Inputs!$K$5:$AJ$110,0,MATCH(T$2,Inputs!$K$4:$AJ$4,0)))+SUMPRODUCT((Inputs!$C$5:$C$110=$B4)*Inputs!$D$5:$D$110*(((Inputs!$G$5:$G$110="moeda")+(Inputs!$G$5:$G$110="acoes"))*Inputs!$B$1+((Inputs!$G$5:$G$110&lt;&gt;"moeda")*(Inputs!$G$5:$G$110&lt;&gt;"acoes")))*INDEX(Inputs!$K$5:$AJ$110,0,MATCH(T$2,Inputs!$K$4:$AJ$4,0)))+SUMPRODUCT((Inputs!$E$5:$E$110=$B4)*Inputs!$F$5:$F$110*(((Inputs!$G$5:$G$110="moeda")+(Inputs!$G$5:$G$110="acoes"))*Inputs!$B$1+((Inputs!$G$5:$G$110&lt;&gt;"moeda")*(Inputs!$G$5:$G$110&lt;&gt;"acoes")))*INDEX(Inputs!$K$5:$AJ$110,0,MATCH(T$2,Inputs!$K$4:$AJ$4,0)))))</f>
        <v>169335</v>
      </c>
      <c r="U4" s="267">
        <f>IF(ISNA(MATCH(U$2,Inputs!$K$4:$AJ$4,0)),NA(),IF(SUMPRODUCT((Inputs!$A$5:$A$110=$B4)*ISNUMBER(INDEX(Inputs!$K$5:$AJ$110,0,MATCH(U$2,Inputs!$K$4:$AJ$4,0))))+SUMPRODUCT((Inputs!$C$5:$C$110=$B4)*ISNUMBER(INDEX(Inputs!$K$5:$AJ$110,0,MATCH(U$2,Inputs!$K$4:$AJ$4,0))))+SUMPRODUCT((Inputs!$E$5:$E$110=$B4)*ISNUMBER(INDEX(Inputs!$K$5:$AJ$110,0,MATCH(U$2,Inputs!$K$4:$AJ$4,0))))=0,NA(),SUMPRODUCT((Inputs!$A$5:$A$110=$B4)*Inputs!$B$5:$B$110*(((Inputs!$G$5:$G$110="moeda")+(Inputs!$G$5:$G$110="acoes"))*Inputs!$B$1+((Inputs!$G$5:$G$110&lt;&gt;"moeda")*(Inputs!$G$5:$G$110&lt;&gt;"acoes")))*INDEX(Inputs!$K$5:$AJ$110,0,MATCH(U$2,Inputs!$K$4:$AJ$4,0)))+SUMPRODUCT((Inputs!$C$5:$C$110=$B4)*Inputs!$D$5:$D$110*(((Inputs!$G$5:$G$110="moeda")+(Inputs!$G$5:$G$110="acoes"))*Inputs!$B$1+((Inputs!$G$5:$G$110&lt;&gt;"moeda")*(Inputs!$G$5:$G$110&lt;&gt;"acoes")))*INDEX(Inputs!$K$5:$AJ$110,0,MATCH(U$2,Inputs!$K$4:$AJ$4,0)))+SUMPRODUCT((Inputs!$E$5:$E$110=$B4)*Inputs!$F$5:$F$110*(((Inputs!$G$5:$G$110="moeda")+(Inputs!$G$5:$G$110="acoes"))*Inputs!$B$1+((Inputs!$G$5:$G$110&lt;&gt;"moeda")*(Inputs!$G$5:$G$110&lt;&gt;"acoes")))*INDEX(Inputs!$K$5:$AJ$110,0,MATCH(U$2,Inputs!$K$4:$AJ$4,0)))))</f>
        <v>169588</v>
      </c>
      <c r="V4" s="267">
        <f>IF(ISNA(MATCH(V$2,Inputs!$K$4:$AJ$4,0)),NA(),IF(SUMPRODUCT((Inputs!$A$5:$A$110=$B4)*ISNUMBER(INDEX(Inputs!$K$5:$AJ$110,0,MATCH(V$2,Inputs!$K$4:$AJ$4,0))))+SUMPRODUCT((Inputs!$C$5:$C$110=$B4)*ISNUMBER(INDEX(Inputs!$K$5:$AJ$110,0,MATCH(V$2,Inputs!$K$4:$AJ$4,0))))+SUMPRODUCT((Inputs!$E$5:$E$110=$B4)*ISNUMBER(INDEX(Inputs!$K$5:$AJ$110,0,MATCH(V$2,Inputs!$K$4:$AJ$4,0))))=0,NA(),SUMPRODUCT((Inputs!$A$5:$A$110=$B4)*Inputs!$B$5:$B$110*(((Inputs!$G$5:$G$110="moeda")+(Inputs!$G$5:$G$110="acoes"))*Inputs!$B$1+((Inputs!$G$5:$G$110&lt;&gt;"moeda")*(Inputs!$G$5:$G$110&lt;&gt;"acoes")))*INDEX(Inputs!$K$5:$AJ$110,0,MATCH(V$2,Inputs!$K$4:$AJ$4,0)))+SUMPRODUCT((Inputs!$C$5:$C$110=$B4)*Inputs!$D$5:$D$110*(((Inputs!$G$5:$G$110="moeda")+(Inputs!$G$5:$G$110="acoes"))*Inputs!$B$1+((Inputs!$G$5:$G$110&lt;&gt;"moeda")*(Inputs!$G$5:$G$110&lt;&gt;"acoes")))*INDEX(Inputs!$K$5:$AJ$110,0,MATCH(V$2,Inputs!$K$4:$AJ$4,0)))+SUMPRODUCT((Inputs!$E$5:$E$110=$B4)*Inputs!$F$5:$F$110*(((Inputs!$G$5:$G$110="moeda")+(Inputs!$G$5:$G$110="acoes"))*Inputs!$B$1+((Inputs!$G$5:$G$110&lt;&gt;"moeda")*(Inputs!$G$5:$G$110&lt;&gt;"acoes")))*INDEX(Inputs!$K$5:$AJ$110,0,MATCH(V$2,Inputs!$K$4:$AJ$4,0)))))</f>
        <v>180554</v>
      </c>
      <c r="W4" s="268">
        <f>SUM(S4:V4)</f>
        <v>680985</v>
      </c>
      <c r="X4" s="267">
        <f>IF(ISNA(MATCH(X$2,Inputs!$K$4:$AJ$4,0)),NA(),IF(SUMPRODUCT((Inputs!$A$5:$A$110=$B4)*ISNUMBER(INDEX(Inputs!$K$5:$AJ$110,0,MATCH(X$2,Inputs!$K$4:$AJ$4,0))))+SUMPRODUCT((Inputs!$C$5:$C$110=$B4)*ISNUMBER(INDEX(Inputs!$K$5:$AJ$110,0,MATCH(X$2,Inputs!$K$4:$AJ$4,0))))+SUMPRODUCT((Inputs!$E$5:$E$110=$B4)*ISNUMBER(INDEX(Inputs!$K$5:$AJ$110,0,MATCH(X$2,Inputs!$K$4:$AJ$4,0))))=0,NA(),SUMPRODUCT((Inputs!$A$5:$A$110=$B4)*Inputs!$B$5:$B$110*(((Inputs!$G$5:$G$110="moeda")+(Inputs!$G$5:$G$110="acoes"))*Inputs!$B$1+((Inputs!$G$5:$G$110&lt;&gt;"moeda")*(Inputs!$G$5:$G$110&lt;&gt;"acoes")))*INDEX(Inputs!$K$5:$AJ$110,0,MATCH(X$2,Inputs!$K$4:$AJ$4,0)))+SUMPRODUCT((Inputs!$C$5:$C$110=$B4)*Inputs!$D$5:$D$110*(((Inputs!$G$5:$G$110="moeda")+(Inputs!$G$5:$G$110="acoes"))*Inputs!$B$1+((Inputs!$G$5:$G$110&lt;&gt;"moeda")*(Inputs!$G$5:$G$110&lt;&gt;"acoes")))*INDEX(Inputs!$K$5:$AJ$110,0,MATCH(X$2,Inputs!$K$4:$AJ$4,0)))+SUMPRODUCT((Inputs!$E$5:$E$110=$B4)*Inputs!$F$5:$F$110*(((Inputs!$G$5:$G$110="moeda")+(Inputs!$G$5:$G$110="acoes"))*Inputs!$B$1+((Inputs!$G$5:$G$110&lt;&gt;"moeda")*(Inputs!$G$5:$G$110&lt;&gt;"acoes")))*INDEX(Inputs!$K$5:$AJ$110,0,MATCH(X$2,Inputs!$K$4:$AJ$4,0)))))</f>
        <v>165609</v>
      </c>
      <c r="Y4" s="267">
        <f>IF(ISNA(MATCH(Y$2,Inputs!$K$4:$AJ$4,0)),NA(),IF(SUMPRODUCT((Inputs!$A$5:$A$110=$B4)*ISNUMBER(INDEX(Inputs!$K$5:$AJ$110,0,MATCH(Y$2,Inputs!$K$4:$AJ$4,0))))+SUMPRODUCT((Inputs!$C$5:$C$110=$B4)*ISNUMBER(INDEX(Inputs!$K$5:$AJ$110,0,MATCH(Y$2,Inputs!$K$4:$AJ$4,0))))+SUMPRODUCT((Inputs!$E$5:$E$110=$B4)*ISNUMBER(INDEX(Inputs!$K$5:$AJ$110,0,MATCH(Y$2,Inputs!$K$4:$AJ$4,0))))=0,NA(),SUMPRODUCT((Inputs!$A$5:$A$110=$B4)*Inputs!$B$5:$B$110*(((Inputs!$G$5:$G$110="moeda")+(Inputs!$G$5:$G$110="acoes"))*Inputs!$B$1+((Inputs!$G$5:$G$110&lt;&gt;"moeda")*(Inputs!$G$5:$G$110&lt;&gt;"acoes")))*INDEX(Inputs!$K$5:$AJ$110,0,MATCH(Y$2,Inputs!$K$4:$AJ$4,0)))+SUMPRODUCT((Inputs!$C$5:$C$110=$B4)*Inputs!$D$5:$D$110*(((Inputs!$G$5:$G$110="moeda")+(Inputs!$G$5:$G$110="acoes"))*Inputs!$B$1+((Inputs!$G$5:$G$110&lt;&gt;"moeda")*(Inputs!$G$5:$G$110&lt;&gt;"acoes")))*INDEX(Inputs!$K$5:$AJ$110,0,MATCH(Y$2,Inputs!$K$4:$AJ$4,0)))+SUMPRODUCT((Inputs!$E$5:$E$110=$B4)*Inputs!$F$5:$F$110*(((Inputs!$G$5:$G$110="moeda")+(Inputs!$G$5:$G$110="acoes"))*Inputs!$B$1+((Inputs!$G$5:$G$110&lt;&gt;"moeda")*(Inputs!$G$5:$G$110&lt;&gt;"acoes")))*INDEX(Inputs!$K$5:$AJ$110,0,MATCH(Y$2,Inputs!$K$4:$AJ$4,0)))))</f>
        <v>177402</v>
      </c>
      <c r="Z4" s="267">
        <f>IF(ISNA(MATCH(Z$2,Inputs!$K$4:$AJ$4,0)),NA(),IF(SUMPRODUCT((Inputs!$A$5:$A$110=$B4)*ISNUMBER(INDEX(Inputs!$K$5:$AJ$110,0,MATCH(Z$2,Inputs!$K$4:$AJ$4,0))))+SUMPRODUCT((Inputs!$C$5:$C$110=$B4)*ISNUMBER(INDEX(Inputs!$K$5:$AJ$110,0,MATCH(Z$2,Inputs!$K$4:$AJ$4,0))))+SUMPRODUCT((Inputs!$E$5:$E$110=$B4)*ISNUMBER(INDEX(Inputs!$K$5:$AJ$110,0,MATCH(Z$2,Inputs!$K$4:$AJ$4,0))))=0,NA(),SUMPRODUCT((Inputs!$A$5:$A$110=$B4)*Inputs!$B$5:$B$110*(((Inputs!$G$5:$G$110="moeda")+(Inputs!$G$5:$G$110="acoes"))*Inputs!$B$1+((Inputs!$G$5:$G$110&lt;&gt;"moeda")*(Inputs!$G$5:$G$110&lt;&gt;"acoes")))*INDEX(Inputs!$K$5:$AJ$110,0,MATCH(Z$2,Inputs!$K$4:$AJ$4,0)))+SUMPRODUCT((Inputs!$C$5:$C$110=$B4)*Inputs!$D$5:$D$110*(((Inputs!$G$5:$G$110="moeda")+(Inputs!$G$5:$G$110="acoes"))*Inputs!$B$1+((Inputs!$G$5:$G$110&lt;&gt;"moeda")*(Inputs!$G$5:$G$110&lt;&gt;"acoes")))*INDEX(Inputs!$K$5:$AJ$110,0,MATCH(Z$2,Inputs!$K$4:$AJ$4,0)))+SUMPRODUCT((Inputs!$E$5:$E$110=$B4)*Inputs!$F$5:$F$110*(((Inputs!$G$5:$G$110="moeda")+(Inputs!$G$5:$G$110="acoes"))*Inputs!$B$1+((Inputs!$G$5:$G$110&lt;&gt;"moeda")*(Inputs!$G$5:$G$110&lt;&gt;"acoes")))*INDEX(Inputs!$K$5:$AJ$110,0,MATCH(Z$2,Inputs!$K$4:$AJ$4,0)))))</f>
        <v>179496</v>
      </c>
      <c r="AA4" s="267">
        <f>IF(ISNA(MATCH(AA$2,Inputs!$K$4:$AJ$4,0)),NA(),IF(SUMPRODUCT((Inputs!$A$5:$A$110=$B4)*ISNUMBER(INDEX(Inputs!$K$5:$AJ$110,0,MATCH(AA$2,Inputs!$K$4:$AJ$4,0))))+SUMPRODUCT((Inputs!$C$5:$C$110=$B4)*ISNUMBER(INDEX(Inputs!$K$5:$AJ$110,0,MATCH(AA$2,Inputs!$K$4:$AJ$4,0))))+SUMPRODUCT((Inputs!$E$5:$E$110=$B4)*ISNUMBER(INDEX(Inputs!$K$5:$AJ$110,0,MATCH(AA$2,Inputs!$K$4:$AJ$4,0))))=0,NA(),SUMPRODUCT((Inputs!$A$5:$A$110=$B4)*Inputs!$B$5:$B$110*(((Inputs!$G$5:$G$110="moeda")+(Inputs!$G$5:$G$110="acoes"))*Inputs!$B$1+((Inputs!$G$5:$G$110&lt;&gt;"moeda")*(Inputs!$G$5:$G$110&lt;&gt;"acoes")))*INDEX(Inputs!$K$5:$AJ$110,0,MATCH(AA$2,Inputs!$K$4:$AJ$4,0)))+SUMPRODUCT((Inputs!$C$5:$C$110=$B4)*Inputs!$D$5:$D$110*(((Inputs!$G$5:$G$110="moeda")+(Inputs!$G$5:$G$110="acoes"))*Inputs!$B$1+((Inputs!$G$5:$G$110&lt;&gt;"moeda")*(Inputs!$G$5:$G$110&lt;&gt;"acoes")))*INDEX(Inputs!$K$5:$AJ$110,0,MATCH(AA$2,Inputs!$K$4:$AJ$4,0)))+SUMPRODUCT((Inputs!$E$5:$E$110=$B4)*Inputs!$F$5:$F$110*(((Inputs!$G$5:$G$110="moeda")+(Inputs!$G$5:$G$110="acoes"))*Inputs!$B$1+((Inputs!$G$5:$G$110&lt;&gt;"moeda")*(Inputs!$G$5:$G$110&lt;&gt;"acoes")))*INDEX(Inputs!$K$5:$AJ$110,0,MATCH(AA$2,Inputs!$K$4:$AJ$4,0)))))</f>
        <v>190656</v>
      </c>
      <c r="AB4" s="268">
        <f>SUM(X4:AA4)</f>
        <v>713163</v>
      </c>
      <c r="AC4" s="267">
        <f>IF(ISNA(MATCH(AC$2,Inputs!$K$4:$AJ$4,0)),NA(),IF(SUMPRODUCT((Inputs!$A$5:$A$110=$B4)*ISNUMBER(INDEX(Inputs!$K$5:$AJ$110,0,MATCH(AC$2,Inputs!$K$4:$AJ$4,0))))+SUMPRODUCT((Inputs!$C$5:$C$110=$B4)*ISNUMBER(INDEX(Inputs!$K$5:$AJ$110,0,MATCH(AC$2,Inputs!$K$4:$AJ$4,0))))+SUMPRODUCT((Inputs!$E$5:$E$110=$B4)*ISNUMBER(INDEX(Inputs!$K$5:$AJ$110,0,MATCH(AC$2,Inputs!$K$4:$AJ$4,0))))=0,NA(),SUMPRODUCT((Inputs!$A$5:$A$110=$B4)*Inputs!$B$5:$B$110*(((Inputs!$G$5:$G$110="moeda")+(Inputs!$G$5:$G$110="acoes"))*Inputs!$B$1+((Inputs!$G$5:$G$110&lt;&gt;"moeda")*(Inputs!$G$5:$G$110&lt;&gt;"acoes")))*INDEX(Inputs!$K$5:$AJ$110,0,MATCH(AC$2,Inputs!$K$4:$AJ$4,0)))+SUMPRODUCT((Inputs!$C$5:$C$110=$B4)*Inputs!$D$5:$D$110*(((Inputs!$G$5:$G$110="moeda")+(Inputs!$G$5:$G$110="acoes"))*Inputs!$B$1+((Inputs!$G$5:$G$110&lt;&gt;"moeda")*(Inputs!$G$5:$G$110&lt;&gt;"acoes")))*INDEX(Inputs!$K$5:$AJ$110,0,MATCH(AC$2,Inputs!$K$4:$AJ$4,0)))+SUMPRODUCT((Inputs!$E$5:$E$110=$B4)*Inputs!$F$5:$F$110*(((Inputs!$G$5:$G$110="moeda")+(Inputs!$G$5:$G$110="acoes"))*Inputs!$B$1+((Inputs!$G$5:$G$110&lt;&gt;"moeda")*(Inputs!$G$5:$G$110&lt;&gt;"acoes")))*INDEX(Inputs!$K$5:$AJ$110,0,MATCH(AC$2,Inputs!$K$4:$AJ$4,0)))))</f>
        <v>177751</v>
      </c>
      <c r="AD4" s="267">
        <f>IF(ISNA(MATCH(AD$2,Inputs!$K$4:$AJ$4,0)),NA(),IF(SUMPRODUCT((Inputs!$A$5:$A$110=$B4)*ISNUMBER(INDEX(Inputs!$K$5:$AJ$110,0,MATCH(AD$2,Inputs!$K$4:$AJ$4,0))))+SUMPRODUCT((Inputs!$C$5:$C$110=$B4)*ISNUMBER(INDEX(Inputs!$K$5:$AJ$110,0,MATCH(AD$2,Inputs!$K$4:$AJ$4,0))))+SUMPRODUCT((Inputs!$E$5:$E$110=$B4)*ISNUMBER(INDEX(Inputs!$K$5:$AJ$110,0,MATCH(AD$2,Inputs!$K$4:$AJ$4,0))))=0,NA(),SUMPRODUCT((Inputs!$A$5:$A$110=$B4)*Inputs!$B$5:$B$110*(((Inputs!$G$5:$G$110="moeda")+(Inputs!$G$5:$G$110="acoes"))*Inputs!$B$1+((Inputs!$G$5:$G$110&lt;&gt;"moeda")*(Inputs!$G$5:$G$110&lt;&gt;"acoes")))*INDEX(Inputs!$K$5:$AJ$110,0,MATCH(AD$2,Inputs!$K$4:$AJ$4,0)))+SUMPRODUCT((Inputs!$C$5:$C$110=$B4)*Inputs!$D$5:$D$110*(((Inputs!$G$5:$G$110="moeda")+(Inputs!$G$5:$G$110="acoes"))*Inputs!$B$1+((Inputs!$G$5:$G$110&lt;&gt;"moeda")*(Inputs!$G$5:$G$110&lt;&gt;"acoes")))*INDEX(Inputs!$K$5:$AJ$110,0,MATCH(AD$2,Inputs!$K$4:$AJ$4,0)))+SUMPRODUCT((Inputs!$E$5:$E$110=$B4)*Inputs!$F$5:$F$110*(((Inputs!$G$5:$G$110="moeda")+(Inputs!$G$5:$G$110="acoes"))*Inputs!$B$1+((Inputs!$G$5:$G$110&lt;&gt;"moeda")*(Inputs!$G$5:$G$110&lt;&gt;"acoes")))*INDEX(Inputs!$K$5:$AJ$110,0,MATCH(AD$2,Inputs!$K$4:$AJ$4,0)))))</f>
        <v>187937</v>
      </c>
      <c r="AE4" s="267" t="e">
        <f>IF(ISNA(MATCH(AE$2,Inputs!$K$4:$AJ$4,0)),NA(),IF(SUMPRODUCT((Inputs!$A$5:$A$110=$B4)*ISNUMBER(INDEX(Inputs!$K$5:$AJ$110,0,MATCH(AE$2,Inputs!$K$4:$AJ$4,0))))+SUMPRODUCT((Inputs!$C$5:$C$110=$B4)*ISNUMBER(INDEX(Inputs!$K$5:$AJ$110,0,MATCH(AE$2,Inputs!$K$4:$AJ$4,0))))+SUMPRODUCT((Inputs!$E$5:$E$110=$B4)*ISNUMBER(INDEX(Inputs!$K$5:$AJ$110,0,MATCH(AE$2,Inputs!$K$4:$AJ$4,0))))=0,NA(),SUMPRODUCT((Inputs!$A$5:$A$110=$B4)*Inputs!$B$5:$B$110*(((Inputs!$G$5:$G$110="moeda")+(Inputs!$G$5:$G$110="acoes"))*Inputs!$B$1+((Inputs!$G$5:$G$110&lt;&gt;"moeda")*(Inputs!$G$5:$G$110&lt;&gt;"acoes")))*INDEX(Inputs!$K$5:$AJ$110,0,MATCH(AE$2,Inputs!$K$4:$AJ$4,0)))+SUMPRODUCT((Inputs!$C$5:$C$110=$B4)*Inputs!$D$5:$D$110*(((Inputs!$G$5:$G$110="moeda")+(Inputs!$G$5:$G$110="acoes"))*Inputs!$B$1+((Inputs!$G$5:$G$110&lt;&gt;"moeda")*(Inputs!$G$5:$G$110&lt;&gt;"acoes")))*INDEX(Inputs!$K$5:$AJ$110,0,MATCH(AE$2,Inputs!$K$4:$AJ$4,0)))+SUMPRODUCT((Inputs!$E$5:$E$110=$B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" s="267" t="e">
        <f>IF(ISNA(MATCH(AF$2,Inputs!$K$4:$AJ$4,0)),NA(),IF(SUMPRODUCT((Inputs!$A$5:$A$110=$B4)*ISNUMBER(INDEX(Inputs!$K$5:$AJ$110,0,MATCH(AF$2,Inputs!$K$4:$AJ$4,0))))+SUMPRODUCT((Inputs!$C$5:$C$110=$B4)*ISNUMBER(INDEX(Inputs!$K$5:$AJ$110,0,MATCH(AF$2,Inputs!$K$4:$AJ$4,0))))+SUMPRODUCT((Inputs!$E$5:$E$110=$B4)*ISNUMBER(INDEX(Inputs!$K$5:$AJ$110,0,MATCH(AF$2,Inputs!$K$4:$AJ$4,0))))=0,NA(),SUMPRODUCT((Inputs!$A$5:$A$110=$B4)*Inputs!$B$5:$B$110*(((Inputs!$G$5:$G$110="moeda")+(Inputs!$G$5:$G$110="acoes"))*Inputs!$B$1+((Inputs!$G$5:$G$110&lt;&gt;"moeda")*(Inputs!$G$5:$G$110&lt;&gt;"acoes")))*INDEX(Inputs!$K$5:$AJ$110,0,MATCH(AF$2,Inputs!$K$4:$AJ$4,0)))+SUMPRODUCT((Inputs!$C$5:$C$110=$B4)*Inputs!$D$5:$D$110*(((Inputs!$G$5:$G$110="moeda")+(Inputs!$G$5:$G$110="acoes"))*Inputs!$B$1+((Inputs!$G$5:$G$110&lt;&gt;"moeda")*(Inputs!$G$5:$G$110&lt;&gt;"acoes")))*INDEX(Inputs!$K$5:$AJ$110,0,MATCH(AF$2,Inputs!$K$4:$AJ$4,0)))+SUMPRODUCT((Inputs!$E$5:$E$110=$B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" s="268" t="e">
        <f>SUM(AC4:AF4)</f>
        <v>#N/A</v>
      </c>
      <c r="AH4" s="267">
        <f>IF(ISNA(MATCH(AH$2,Inputs!$K$4:$AJ$4,0)),NA(),IF(SUMPRODUCT((Inputs!$A$5:$A$110=$B4)*ISNUMBER(INDEX(Inputs!$K$5:$AJ$110,0,MATCH(AH$2,Inputs!$K$4:$AJ$4,0))))+SUMPRODUCT((Inputs!$C$5:$C$110=$B4)*ISNUMBER(INDEX(Inputs!$K$5:$AJ$110,0,MATCH(AH$2,Inputs!$K$4:$AJ$4,0))))+SUMPRODUCT((Inputs!$E$5:$E$110=$B4)*ISNUMBER(INDEX(Inputs!$K$5:$AJ$110,0,MATCH(AH$2,Inputs!$K$4:$AJ$4,0))))=0,NA(),SUMPRODUCT((Inputs!$A$5:$A$110=$B4)*Inputs!$B$5:$B$110*(((Inputs!$G$5:$G$110="moeda")+(Inputs!$G$5:$G$110="acoes"))*Inputs!$B$1+((Inputs!$G$5:$G$110&lt;&gt;"moeda")*(Inputs!$G$5:$G$110&lt;&gt;"acoes")))*INDEX(Inputs!$K$5:$AJ$110,0,MATCH(AH$2,Inputs!$K$4:$AJ$4,0)))+SUMPRODUCT((Inputs!$C$5:$C$110=$B4)*Inputs!$D$5:$D$110*(((Inputs!$G$5:$G$110="moeda")+(Inputs!$G$5:$G$110="acoes"))*Inputs!$B$1+((Inputs!$G$5:$G$110&lt;&gt;"moeda")*(Inputs!$G$5:$G$110&lt;&gt;"acoes")))*INDEX(Inputs!$K$5:$AJ$110,0,MATCH(AH$2,Inputs!$K$4:$AJ$4,0)))+SUMPRODUCT((Inputs!$E$5:$E$110=$B4)*Inputs!$F$5:$F$110*(((Inputs!$G$5:$G$110="moeda")+(Inputs!$G$5:$G$110="acoes"))*Inputs!$B$1+((Inputs!$G$5:$G$110&lt;&gt;"moeda")*(Inputs!$G$5:$G$110&lt;&gt;"acoes")))*INDEX(Inputs!$K$5:$AJ$110,0,MATCH(AH$2,Inputs!$K$4:$AJ$4,0)))))</f>
        <v>134622</v>
      </c>
      <c r="AI4" s="267">
        <f>IF(ISNA(MATCH(AI$2,Inputs!$K$4:$AJ$4,0)),NA(),IF(SUMPRODUCT((Inputs!$A$5:$A$110=$B4)*ISNUMBER(INDEX(Inputs!$K$5:$AJ$110,0,MATCH(AI$2,Inputs!$K$4:$AJ$4,0))))+SUMPRODUCT((Inputs!$C$5:$C$110=$B4)*ISNUMBER(INDEX(Inputs!$K$5:$AJ$110,0,MATCH(AI$2,Inputs!$K$4:$AJ$4,0))))+SUMPRODUCT((Inputs!$E$5:$E$110=$B4)*ISNUMBER(INDEX(Inputs!$K$5:$AJ$110,0,MATCH(AI$2,Inputs!$K$4:$AJ$4,0))))=0,NA(),SUMPRODUCT((Inputs!$A$5:$A$110=$B4)*Inputs!$B$5:$B$110*(((Inputs!$G$5:$G$110="moeda")+(Inputs!$G$5:$G$110="acoes"))*Inputs!$B$1+((Inputs!$G$5:$G$110&lt;&gt;"moeda")*(Inputs!$G$5:$G$110&lt;&gt;"acoes")))*INDEX(Inputs!$K$5:$AJ$110,0,MATCH(AI$2,Inputs!$K$4:$AJ$4,0)))+SUMPRODUCT((Inputs!$C$5:$C$110=$B4)*Inputs!$D$5:$D$110*(((Inputs!$G$5:$G$110="moeda")+(Inputs!$G$5:$G$110="acoes"))*Inputs!$B$1+((Inputs!$G$5:$G$110&lt;&gt;"moeda")*(Inputs!$G$5:$G$110&lt;&gt;"acoes")))*INDEX(Inputs!$K$5:$AJ$110,0,MATCH(AI$2,Inputs!$K$4:$AJ$4,0)))+SUMPRODUCT((Inputs!$E$5:$E$110=$B4)*Inputs!$F$5:$F$110*(((Inputs!$G$5:$G$110="moeda")+(Inputs!$G$5:$G$110="acoes"))*Inputs!$B$1+((Inputs!$G$5:$G$110&lt;&gt;"moeda")*(Inputs!$G$5:$G$110&lt;&gt;"acoes")))*INDEX(Inputs!$K$5:$AJ$110,0,MATCH(AI$2,Inputs!$K$4:$AJ$4,0)))))</f>
        <v>137742</v>
      </c>
      <c r="AJ4" s="267">
        <f>IF(ISNA(MATCH(AJ$2,Inputs!$K$4:$AJ$4,0)),NA(),IF(SUMPRODUCT((Inputs!$A$5:$A$110=$B4)*ISNUMBER(INDEX(Inputs!$K$5:$AJ$110,0,MATCH(AJ$2,Inputs!$K$4:$AJ$4,0))))+SUMPRODUCT((Inputs!$C$5:$C$110=$B4)*ISNUMBER(INDEX(Inputs!$K$5:$AJ$110,0,MATCH(AJ$2,Inputs!$K$4:$AJ$4,0))))+SUMPRODUCT((Inputs!$E$5:$E$110=$B4)*ISNUMBER(INDEX(Inputs!$K$5:$AJ$110,0,MATCH(AJ$2,Inputs!$K$4:$AJ$4,0))))=0,NA(),SUMPRODUCT((Inputs!$A$5:$A$110=$B4)*Inputs!$B$5:$B$110*(((Inputs!$G$5:$G$110="moeda")+(Inputs!$G$5:$G$110="acoes"))*Inputs!$B$1+((Inputs!$G$5:$G$110&lt;&gt;"moeda")*(Inputs!$G$5:$G$110&lt;&gt;"acoes")))*INDEX(Inputs!$K$5:$AJ$110,0,MATCH(AJ$2,Inputs!$K$4:$AJ$4,0)))+SUMPRODUCT((Inputs!$C$5:$C$110=$B4)*Inputs!$D$5:$D$110*(((Inputs!$G$5:$G$110="moeda")+(Inputs!$G$5:$G$110="acoes"))*Inputs!$B$1+((Inputs!$G$5:$G$110&lt;&gt;"moeda")*(Inputs!$G$5:$G$110&lt;&gt;"acoes")))*INDEX(Inputs!$K$5:$AJ$110,0,MATCH(AJ$2,Inputs!$K$4:$AJ$4,0)))+SUMPRODUCT((Inputs!$E$5:$E$110=$B4)*Inputs!$F$5:$F$110*(((Inputs!$G$5:$G$110="moeda")+(Inputs!$G$5:$G$110="acoes"))*Inputs!$B$1+((Inputs!$G$5:$G$110&lt;&gt;"moeda")*(Inputs!$G$5:$G$110&lt;&gt;"acoes")))*INDEX(Inputs!$K$5:$AJ$110,0,MATCH(AJ$2,Inputs!$K$4:$AJ$4,0)))))</f>
        <v>134708</v>
      </c>
      <c r="AK4" s="267">
        <f>IF(ISNA(MATCH(AK$2,Inputs!$K$4:$AJ$4,0)),NA(),IF(SUMPRODUCT((Inputs!$A$5:$A$110=$B4)*ISNUMBER(INDEX(Inputs!$K$5:$AJ$110,0,MATCH(AK$2,Inputs!$K$4:$AJ$4,0))))+SUMPRODUCT((Inputs!$C$5:$C$110=$B4)*ISNUMBER(INDEX(Inputs!$K$5:$AJ$110,0,MATCH(AK$2,Inputs!$K$4:$AJ$4,0))))+SUMPRODUCT((Inputs!$E$5:$E$110=$B4)*ISNUMBER(INDEX(Inputs!$K$5:$AJ$110,0,MATCH(AK$2,Inputs!$K$4:$AJ$4,0))))=0,NA(),SUMPRODUCT((Inputs!$A$5:$A$110=$B4)*Inputs!$B$5:$B$110*(((Inputs!$G$5:$G$110="moeda")+(Inputs!$G$5:$G$110="acoes"))*Inputs!$B$1+((Inputs!$G$5:$G$110&lt;&gt;"moeda")*(Inputs!$G$5:$G$110&lt;&gt;"acoes")))*INDEX(Inputs!$K$5:$AJ$110,0,MATCH(AK$2,Inputs!$K$4:$AJ$4,0)))+SUMPRODUCT((Inputs!$C$5:$C$110=$B4)*Inputs!$D$5:$D$110*(((Inputs!$G$5:$G$110="moeda")+(Inputs!$G$5:$G$110="acoes"))*Inputs!$B$1+((Inputs!$G$5:$G$110&lt;&gt;"moeda")*(Inputs!$G$5:$G$110&lt;&gt;"acoes")))*INDEX(Inputs!$K$5:$AJ$110,0,MATCH(AK$2,Inputs!$K$4:$AJ$4,0)))+SUMPRODUCT((Inputs!$E$5:$E$110=$B4)*Inputs!$F$5:$F$110*(((Inputs!$G$5:$G$110="moeda")+(Inputs!$G$5:$G$110="acoes"))*Inputs!$B$1+((Inputs!$G$5:$G$110&lt;&gt;"moeda")*(Inputs!$G$5:$G$110&lt;&gt;"acoes")))*INDEX(Inputs!$K$5:$AJ$110,0,MATCH(AK$2,Inputs!$K$4:$AJ$4,0)))))</f>
        <v>152079</v>
      </c>
      <c r="AL4" s="268">
        <f>SUM(AH4:AK4)</f>
        <v>559151</v>
      </c>
    </row>
    <row r="5" ht="12.75" customHeight="1" s="255">
      <c r="B5" s="265" t="n">
        <v>2</v>
      </c>
      <c r="C5" s="269" t="inlineStr">
        <is>
          <t>COGS (cash)</t>
        </is>
      </c>
      <c r="D5" s="267">
        <f>IF(ISNA(MATCH(D$2,Inputs!$K$4:$AJ$4,0)),NA(),IF(SUMPRODUCT((Inputs!$A$5:$A$110=$B5)*ISNUMBER(INDEX(Inputs!$K$5:$AJ$110,0,MATCH(D$2,Inputs!$K$4:$AJ$4,0))))+SUMPRODUCT((Inputs!$C$5:$C$110=$B5)*ISNUMBER(INDEX(Inputs!$K$5:$AJ$110,0,MATCH(D$2,Inputs!$K$4:$AJ$4,0))))+SUMPRODUCT((Inputs!$E$5:$E$110=$B5)*ISNUMBER(INDEX(Inputs!$K$5:$AJ$110,0,MATCH(D$2,Inputs!$K$4:$AJ$4,0))))=0,NA(),SUMPRODUCT((Inputs!$A$5:$A$110=$B5)*Inputs!$B$5:$B$110*(((Inputs!$G$5:$G$110="moeda")+(Inputs!$G$5:$G$110="acoes"))*Inputs!$B$1+((Inputs!$G$5:$G$110&lt;&gt;"moeda")*(Inputs!$G$5:$G$110&lt;&gt;"acoes")))*INDEX(Inputs!$K$5:$AJ$110,0,MATCH(D$2,Inputs!$K$4:$AJ$4,0)))+SUMPRODUCT((Inputs!$C$5:$C$110=$B5)*Inputs!$D$5:$D$110*(((Inputs!$G$5:$G$110="moeda")+(Inputs!$G$5:$G$110="acoes"))*Inputs!$B$1+((Inputs!$G$5:$G$110&lt;&gt;"moeda")*(Inputs!$G$5:$G$110&lt;&gt;"acoes")))*INDEX(Inputs!$K$5:$AJ$110,0,MATCH(D$2,Inputs!$K$4:$AJ$4,0)))+SUMPRODUCT((Inputs!$E$5:$E$110=$B5)*Inputs!$F$5:$F$110*(((Inputs!$G$5:$G$110="moeda")+(Inputs!$G$5:$G$110="acoes"))*Inputs!$B$1+((Inputs!$G$5:$G$110&lt;&gt;"moeda")*(Inputs!$G$5:$G$110&lt;&gt;"acoes")))*INDEX(Inputs!$K$5:$AJ$110,0,MATCH(D$2,Inputs!$K$4:$AJ$4,0)))))</f>
        <v>-103272</v>
      </c>
      <c r="E5" s="267">
        <f>IF(ISNA(MATCH(E$2,Inputs!$K$4:$AJ$4,0)),NA(),IF(SUMPRODUCT((Inputs!$A$5:$A$110=$B5)*ISNUMBER(INDEX(Inputs!$K$5:$AJ$110,0,MATCH(E$2,Inputs!$K$4:$AJ$4,0))))+SUMPRODUCT((Inputs!$C$5:$C$110=$B5)*ISNUMBER(INDEX(Inputs!$K$5:$AJ$110,0,MATCH(E$2,Inputs!$K$4:$AJ$4,0))))+SUMPRODUCT((Inputs!$E$5:$E$110=$B5)*ISNUMBER(INDEX(Inputs!$K$5:$AJ$110,0,MATCH(E$2,Inputs!$K$4:$AJ$4,0))))=0,NA(),SUMPRODUCT((Inputs!$A$5:$A$110=$B5)*Inputs!$B$5:$B$110*(((Inputs!$G$5:$G$110="moeda")+(Inputs!$G$5:$G$110="acoes"))*Inputs!$B$1+((Inputs!$G$5:$G$110&lt;&gt;"moeda")*(Inputs!$G$5:$G$110&lt;&gt;"acoes")))*INDEX(Inputs!$K$5:$AJ$110,0,MATCH(E$2,Inputs!$K$4:$AJ$4,0)))+SUMPRODUCT((Inputs!$C$5:$C$110=$B5)*Inputs!$D$5:$D$110*(((Inputs!$G$5:$G$110="moeda")+(Inputs!$G$5:$G$110="acoes"))*Inputs!$B$1+((Inputs!$G$5:$G$110&lt;&gt;"moeda")*(Inputs!$G$5:$G$110&lt;&gt;"acoes")))*INDEX(Inputs!$K$5:$AJ$110,0,MATCH(E$2,Inputs!$K$4:$AJ$4,0)))+SUMPRODUCT((Inputs!$E$5:$E$110=$B5)*Inputs!$F$5:$F$110*(((Inputs!$G$5:$G$110="moeda")+(Inputs!$G$5:$G$110="acoes"))*Inputs!$B$1+((Inputs!$G$5:$G$110&lt;&gt;"moeda")*(Inputs!$G$5:$G$110&lt;&gt;"acoes")))*INDEX(Inputs!$K$5:$AJ$110,0,MATCH(E$2,Inputs!$K$4:$AJ$4,0)))))</f>
        <v>-105183</v>
      </c>
      <c r="F5" s="267">
        <f>IF(ISNA(MATCH(F$2,Inputs!$K$4:$AJ$4,0)),NA(),IF(SUMPRODUCT((Inputs!$A$5:$A$110=$B5)*ISNUMBER(INDEX(Inputs!$K$5:$AJ$110,0,MATCH(F$2,Inputs!$K$4:$AJ$4,0))))+SUMPRODUCT((Inputs!$C$5:$C$110=$B5)*ISNUMBER(INDEX(Inputs!$K$5:$AJ$110,0,MATCH(F$2,Inputs!$K$4:$AJ$4,0))))+SUMPRODUCT((Inputs!$E$5:$E$110=$B5)*ISNUMBER(INDEX(Inputs!$K$5:$AJ$110,0,MATCH(F$2,Inputs!$K$4:$AJ$4,0))))=0,NA(),SUMPRODUCT((Inputs!$A$5:$A$110=$B5)*Inputs!$B$5:$B$110*(((Inputs!$G$5:$G$110="moeda")+(Inputs!$G$5:$G$110="acoes"))*Inputs!$B$1+((Inputs!$G$5:$G$110&lt;&gt;"moeda")*(Inputs!$G$5:$G$110&lt;&gt;"acoes")))*INDEX(Inputs!$K$5:$AJ$110,0,MATCH(F$2,Inputs!$K$4:$AJ$4,0)))+SUMPRODUCT((Inputs!$C$5:$C$110=$B5)*Inputs!$D$5:$D$110*(((Inputs!$G$5:$G$110="moeda")+(Inputs!$G$5:$G$110="acoes"))*Inputs!$B$1+((Inputs!$G$5:$G$110&lt;&gt;"moeda")*(Inputs!$G$5:$G$110&lt;&gt;"acoes")))*INDEX(Inputs!$K$5:$AJ$110,0,MATCH(F$2,Inputs!$K$4:$AJ$4,0)))+SUMPRODUCT((Inputs!$E$5:$E$110=$B5)*Inputs!$F$5:$F$110*(((Inputs!$G$5:$G$110="moeda")+(Inputs!$G$5:$G$110="acoes"))*Inputs!$B$1+((Inputs!$G$5:$G$110&lt;&gt;"moeda")*(Inputs!$G$5:$G$110&lt;&gt;"acoes")))*INDEX(Inputs!$K$5:$AJ$110,0,MATCH(F$2,Inputs!$K$4:$AJ$4,0)))))</f>
        <v>-105023</v>
      </c>
      <c r="G5" s="267">
        <f>IF(ISNA(MATCH(G$2,Inputs!$K$4:$AJ$4,0)),NA(),IF(SUMPRODUCT((Inputs!$A$5:$A$110=$B5)*ISNUMBER(INDEX(Inputs!$K$5:$AJ$110,0,MATCH(G$2,Inputs!$K$4:$AJ$4,0))))+SUMPRODUCT((Inputs!$C$5:$C$110=$B5)*ISNUMBER(INDEX(Inputs!$K$5:$AJ$110,0,MATCH(G$2,Inputs!$K$4:$AJ$4,0))))+SUMPRODUCT((Inputs!$E$5:$E$110=$B5)*ISNUMBER(INDEX(Inputs!$K$5:$AJ$110,0,MATCH(G$2,Inputs!$K$4:$AJ$4,0))))=0,NA(),SUMPRODUCT((Inputs!$A$5:$A$110=$B5)*Inputs!$B$5:$B$110*(((Inputs!$G$5:$G$110="moeda")+(Inputs!$G$5:$G$110="acoes"))*Inputs!$B$1+((Inputs!$G$5:$G$110&lt;&gt;"moeda")*(Inputs!$G$5:$G$110&lt;&gt;"acoes")))*INDEX(Inputs!$K$5:$AJ$110,0,MATCH(G$2,Inputs!$K$4:$AJ$4,0)))+SUMPRODUCT((Inputs!$C$5:$C$110=$B5)*Inputs!$D$5:$D$110*(((Inputs!$G$5:$G$110="moeda")+(Inputs!$G$5:$G$110="acoes"))*Inputs!$B$1+((Inputs!$G$5:$G$110&lt;&gt;"moeda")*(Inputs!$G$5:$G$110&lt;&gt;"acoes")))*INDEX(Inputs!$K$5:$AJ$110,0,MATCH(G$2,Inputs!$K$4:$AJ$4,0)))+SUMPRODUCT((Inputs!$E$5:$E$110=$B5)*Inputs!$F$5:$F$110*(((Inputs!$G$5:$G$110="moeda")+(Inputs!$G$5:$G$110="acoes"))*Inputs!$B$1+((Inputs!$G$5:$G$110&lt;&gt;"moeda")*(Inputs!$G$5:$G$110&lt;&gt;"acoes")))*INDEX(Inputs!$K$5:$AJ$110,0,MATCH(G$2,Inputs!$K$4:$AJ$4,0)))))</f>
        <v>-115522</v>
      </c>
      <c r="H5" s="268">
        <f>SUM(D5:G5)</f>
        <v>-429000</v>
      </c>
      <c r="I5" s="267">
        <f>IF(ISNA(MATCH(I$2,Inputs!$K$4:$AJ$4,0)),NA(),IF(SUMPRODUCT((Inputs!$A$5:$A$110=$B5)*ISNUMBER(INDEX(Inputs!$K$5:$AJ$110,0,MATCH(I$2,Inputs!$K$4:$AJ$4,0))))+SUMPRODUCT((Inputs!$C$5:$C$110=$B5)*ISNUMBER(INDEX(Inputs!$K$5:$AJ$110,0,MATCH(I$2,Inputs!$K$4:$AJ$4,0))))+SUMPRODUCT((Inputs!$E$5:$E$110=$B5)*ISNUMBER(INDEX(Inputs!$K$5:$AJ$110,0,MATCH(I$2,Inputs!$K$4:$AJ$4,0))))=0,NA(),SUMPRODUCT((Inputs!$A$5:$A$110=$B5)*Inputs!$B$5:$B$110*(((Inputs!$G$5:$G$110="moeda")+(Inputs!$G$5:$G$110="acoes"))*Inputs!$B$1+((Inputs!$G$5:$G$110&lt;&gt;"moeda")*(Inputs!$G$5:$G$110&lt;&gt;"acoes")))*INDEX(Inputs!$K$5:$AJ$110,0,MATCH(I$2,Inputs!$K$4:$AJ$4,0)))+SUMPRODUCT((Inputs!$C$5:$C$110=$B5)*Inputs!$D$5:$D$110*(((Inputs!$G$5:$G$110="moeda")+(Inputs!$G$5:$G$110="acoes"))*Inputs!$B$1+((Inputs!$G$5:$G$110&lt;&gt;"moeda")*(Inputs!$G$5:$G$110&lt;&gt;"acoes")))*INDEX(Inputs!$K$5:$AJ$110,0,MATCH(I$2,Inputs!$K$4:$AJ$4,0)))+SUMPRODUCT((Inputs!$E$5:$E$110=$B5)*Inputs!$F$5:$F$110*(((Inputs!$G$5:$G$110="moeda")+(Inputs!$G$5:$G$110="acoes"))*Inputs!$B$1+((Inputs!$G$5:$G$110&lt;&gt;"moeda")*(Inputs!$G$5:$G$110&lt;&gt;"acoes")))*INDEX(Inputs!$K$5:$AJ$110,0,MATCH(I$2,Inputs!$K$4:$AJ$4,0)))))</f>
        <v>-106847</v>
      </c>
      <c r="J5" s="267">
        <f>IF(ISNA(MATCH(J$2,Inputs!$K$4:$AJ$4,0)),NA(),IF(SUMPRODUCT((Inputs!$A$5:$A$110=$B5)*ISNUMBER(INDEX(Inputs!$K$5:$AJ$110,0,MATCH(J$2,Inputs!$K$4:$AJ$4,0))))+SUMPRODUCT((Inputs!$C$5:$C$110=$B5)*ISNUMBER(INDEX(Inputs!$K$5:$AJ$110,0,MATCH(J$2,Inputs!$K$4:$AJ$4,0))))+SUMPRODUCT((Inputs!$E$5:$E$110=$B5)*ISNUMBER(INDEX(Inputs!$K$5:$AJ$110,0,MATCH(J$2,Inputs!$K$4:$AJ$4,0))))=0,NA(),SUMPRODUCT((Inputs!$A$5:$A$110=$B5)*Inputs!$B$5:$B$110*(((Inputs!$G$5:$G$110="moeda")+(Inputs!$G$5:$G$110="acoes"))*Inputs!$B$1+((Inputs!$G$5:$G$110&lt;&gt;"moeda")*(Inputs!$G$5:$G$110&lt;&gt;"acoes")))*INDEX(Inputs!$K$5:$AJ$110,0,MATCH(J$2,Inputs!$K$4:$AJ$4,0)))+SUMPRODUCT((Inputs!$C$5:$C$110=$B5)*Inputs!$D$5:$D$110*(((Inputs!$G$5:$G$110="moeda")+(Inputs!$G$5:$G$110="acoes"))*Inputs!$B$1+((Inputs!$G$5:$G$110&lt;&gt;"moeda")*(Inputs!$G$5:$G$110&lt;&gt;"acoes")))*INDEX(Inputs!$K$5:$AJ$110,0,MATCH(J$2,Inputs!$K$4:$AJ$4,0)))+SUMPRODUCT((Inputs!$E$5:$E$110=$B5)*Inputs!$F$5:$F$110*(((Inputs!$G$5:$G$110="moeda")+(Inputs!$G$5:$G$110="acoes"))*Inputs!$B$1+((Inputs!$G$5:$G$110&lt;&gt;"moeda")*(Inputs!$G$5:$G$110&lt;&gt;"acoes")))*INDEX(Inputs!$K$5:$AJ$110,0,MATCH(J$2,Inputs!$K$4:$AJ$4,0)))))</f>
        <v>-115838</v>
      </c>
      <c r="K5" s="267">
        <f>IF(ISNA(MATCH(K$2,Inputs!$K$4:$AJ$4,0)),NA(),IF(SUMPRODUCT((Inputs!$A$5:$A$110=$B5)*ISNUMBER(INDEX(Inputs!$K$5:$AJ$110,0,MATCH(K$2,Inputs!$K$4:$AJ$4,0))))+SUMPRODUCT((Inputs!$C$5:$C$110=$B5)*ISNUMBER(INDEX(Inputs!$K$5:$AJ$110,0,MATCH(K$2,Inputs!$K$4:$AJ$4,0))))+SUMPRODUCT((Inputs!$E$5:$E$110=$B5)*ISNUMBER(INDEX(Inputs!$K$5:$AJ$110,0,MATCH(K$2,Inputs!$K$4:$AJ$4,0))))=0,NA(),SUMPRODUCT((Inputs!$A$5:$A$110=$B5)*Inputs!$B$5:$B$110*(((Inputs!$G$5:$G$110="moeda")+(Inputs!$G$5:$G$110="acoes"))*Inputs!$B$1+((Inputs!$G$5:$G$110&lt;&gt;"moeda")*(Inputs!$G$5:$G$110&lt;&gt;"acoes")))*INDEX(Inputs!$K$5:$AJ$110,0,MATCH(K$2,Inputs!$K$4:$AJ$4,0)))+SUMPRODUCT((Inputs!$C$5:$C$110=$B5)*Inputs!$D$5:$D$110*(((Inputs!$G$5:$G$110="moeda")+(Inputs!$G$5:$G$110="acoes"))*Inputs!$B$1+((Inputs!$G$5:$G$110&lt;&gt;"moeda")*(Inputs!$G$5:$G$110&lt;&gt;"acoes")))*INDEX(Inputs!$K$5:$AJ$110,0,MATCH(K$2,Inputs!$K$4:$AJ$4,0)))+SUMPRODUCT((Inputs!$E$5:$E$110=$B5)*Inputs!$F$5:$F$110*(((Inputs!$G$5:$G$110="moeda")+(Inputs!$G$5:$G$110="acoes"))*Inputs!$B$1+((Inputs!$G$5:$G$110&lt;&gt;"moeda")*(Inputs!$G$5:$G$110&lt;&gt;"acoes")))*INDEX(Inputs!$K$5:$AJ$110,0,MATCH(K$2,Inputs!$K$4:$AJ$4,0)))))</f>
        <v>-115613</v>
      </c>
      <c r="L5" s="267">
        <f>IF(ISNA(MATCH(L$2,Inputs!$K$4:$AJ$4,0)),NA(),IF(SUMPRODUCT((Inputs!$A$5:$A$110=$B5)*ISNUMBER(INDEX(Inputs!$K$5:$AJ$110,0,MATCH(L$2,Inputs!$K$4:$AJ$4,0))))+SUMPRODUCT((Inputs!$C$5:$C$110=$B5)*ISNUMBER(INDEX(Inputs!$K$5:$AJ$110,0,MATCH(L$2,Inputs!$K$4:$AJ$4,0))))+SUMPRODUCT((Inputs!$E$5:$E$110=$B5)*ISNUMBER(INDEX(Inputs!$K$5:$AJ$110,0,MATCH(L$2,Inputs!$K$4:$AJ$4,0))))=0,NA(),SUMPRODUCT((Inputs!$A$5:$A$110=$B5)*Inputs!$B$5:$B$110*(((Inputs!$G$5:$G$110="moeda")+(Inputs!$G$5:$G$110="acoes"))*Inputs!$B$1+((Inputs!$G$5:$G$110&lt;&gt;"moeda")*(Inputs!$G$5:$G$110&lt;&gt;"acoes")))*INDEX(Inputs!$K$5:$AJ$110,0,MATCH(L$2,Inputs!$K$4:$AJ$4,0)))+SUMPRODUCT((Inputs!$C$5:$C$110=$B5)*Inputs!$D$5:$D$110*(((Inputs!$G$5:$G$110="moeda")+(Inputs!$G$5:$G$110="acoes"))*Inputs!$B$1+((Inputs!$G$5:$G$110&lt;&gt;"moeda")*(Inputs!$G$5:$G$110&lt;&gt;"acoes")))*INDEX(Inputs!$K$5:$AJ$110,0,MATCH(L$2,Inputs!$K$4:$AJ$4,0)))+SUMPRODUCT((Inputs!$E$5:$E$110=$B5)*Inputs!$F$5:$F$110*(((Inputs!$G$5:$G$110="moeda")+(Inputs!$G$5:$G$110="acoes"))*Inputs!$B$1+((Inputs!$G$5:$G$110&lt;&gt;"moeda")*(Inputs!$G$5:$G$110&lt;&gt;"acoes")))*INDEX(Inputs!$K$5:$AJ$110,0,MATCH(L$2,Inputs!$K$4:$AJ$4,0)))))</f>
        <v>-125423</v>
      </c>
      <c r="M5" s="268">
        <f>SUM(I5:L5)</f>
        <v>-463721</v>
      </c>
      <c r="N5" s="267">
        <f>IF(ISNA(MATCH(N$2,Inputs!$K$4:$AJ$4,0)),NA(),IF(SUMPRODUCT((Inputs!$A$5:$A$110=$B5)*ISNUMBER(INDEX(Inputs!$K$5:$AJ$110,0,MATCH(N$2,Inputs!$K$4:$AJ$4,0))))+SUMPRODUCT((Inputs!$C$5:$C$110=$B5)*ISNUMBER(INDEX(Inputs!$K$5:$AJ$110,0,MATCH(N$2,Inputs!$K$4:$AJ$4,0))))+SUMPRODUCT((Inputs!$E$5:$E$110=$B5)*ISNUMBER(INDEX(Inputs!$K$5:$AJ$110,0,MATCH(N$2,Inputs!$K$4:$AJ$4,0))))=0,NA(),SUMPRODUCT((Inputs!$A$5:$A$110=$B5)*Inputs!$B$5:$B$110*(((Inputs!$G$5:$G$110="moeda")+(Inputs!$G$5:$G$110="acoes"))*Inputs!$B$1+((Inputs!$G$5:$G$110&lt;&gt;"moeda")*(Inputs!$G$5:$G$110&lt;&gt;"acoes")))*INDEX(Inputs!$K$5:$AJ$110,0,MATCH(N$2,Inputs!$K$4:$AJ$4,0)))+SUMPRODUCT((Inputs!$C$5:$C$110=$B5)*Inputs!$D$5:$D$110*(((Inputs!$G$5:$G$110="moeda")+(Inputs!$G$5:$G$110="acoes"))*Inputs!$B$1+((Inputs!$G$5:$G$110&lt;&gt;"moeda")*(Inputs!$G$5:$G$110&lt;&gt;"acoes")))*INDEX(Inputs!$K$5:$AJ$110,0,MATCH(N$2,Inputs!$K$4:$AJ$4,0)))+SUMPRODUCT((Inputs!$E$5:$E$110=$B5)*Inputs!$F$5:$F$110*(((Inputs!$G$5:$G$110="moeda")+(Inputs!$G$5:$G$110="acoes"))*Inputs!$B$1+((Inputs!$G$5:$G$110&lt;&gt;"moeda")*(Inputs!$G$5:$G$110&lt;&gt;"acoes")))*INDEX(Inputs!$K$5:$AJ$110,0,MATCH(N$2,Inputs!$K$4:$AJ$4,0)))))</f>
        <v>-115284</v>
      </c>
      <c r="O5" s="267">
        <f>IF(ISNA(MATCH(O$2,Inputs!$K$4:$AJ$4,0)),NA(),IF(SUMPRODUCT((Inputs!$A$5:$A$110=$B5)*ISNUMBER(INDEX(Inputs!$K$5:$AJ$110,0,MATCH(O$2,Inputs!$K$4:$AJ$4,0))))+SUMPRODUCT((Inputs!$C$5:$C$110=$B5)*ISNUMBER(INDEX(Inputs!$K$5:$AJ$110,0,MATCH(O$2,Inputs!$K$4:$AJ$4,0))))+SUMPRODUCT((Inputs!$E$5:$E$110=$B5)*ISNUMBER(INDEX(Inputs!$K$5:$AJ$110,0,MATCH(O$2,Inputs!$K$4:$AJ$4,0))))=0,NA(),SUMPRODUCT((Inputs!$A$5:$A$110=$B5)*Inputs!$B$5:$B$110*(((Inputs!$G$5:$G$110="moeda")+(Inputs!$G$5:$G$110="acoes"))*Inputs!$B$1+((Inputs!$G$5:$G$110&lt;&gt;"moeda")*(Inputs!$G$5:$G$110&lt;&gt;"acoes")))*INDEX(Inputs!$K$5:$AJ$110,0,MATCH(O$2,Inputs!$K$4:$AJ$4,0)))+SUMPRODUCT((Inputs!$C$5:$C$110=$B5)*Inputs!$D$5:$D$110*(((Inputs!$G$5:$G$110="moeda")+(Inputs!$G$5:$G$110="acoes"))*Inputs!$B$1+((Inputs!$G$5:$G$110&lt;&gt;"moeda")*(Inputs!$G$5:$G$110&lt;&gt;"acoes")))*INDEX(Inputs!$K$5:$AJ$110,0,MATCH(O$2,Inputs!$K$4:$AJ$4,0)))+SUMPRODUCT((Inputs!$E$5:$E$110=$B5)*Inputs!$F$5:$F$110*(((Inputs!$G$5:$G$110="moeda")+(Inputs!$G$5:$G$110="acoes"))*Inputs!$B$1+((Inputs!$G$5:$G$110&lt;&gt;"moeda")*(Inputs!$G$5:$G$110&lt;&gt;"acoes")))*INDEX(Inputs!$K$5:$AJ$110,0,MATCH(O$2,Inputs!$K$4:$AJ$4,0)))))</f>
        <v>-121850</v>
      </c>
      <c r="P5" s="267">
        <f>IF(ISNA(MATCH(P$2,Inputs!$K$4:$AJ$4,0)),NA(),IF(SUMPRODUCT((Inputs!$A$5:$A$110=$B5)*ISNUMBER(INDEX(Inputs!$K$5:$AJ$110,0,MATCH(P$2,Inputs!$K$4:$AJ$4,0))))+SUMPRODUCT((Inputs!$C$5:$C$110=$B5)*ISNUMBER(INDEX(Inputs!$K$5:$AJ$110,0,MATCH(P$2,Inputs!$K$4:$AJ$4,0))))+SUMPRODUCT((Inputs!$E$5:$E$110=$B5)*ISNUMBER(INDEX(Inputs!$K$5:$AJ$110,0,MATCH(P$2,Inputs!$K$4:$AJ$4,0))))=0,NA(),SUMPRODUCT((Inputs!$A$5:$A$110=$B5)*Inputs!$B$5:$B$110*(((Inputs!$G$5:$G$110="moeda")+(Inputs!$G$5:$G$110="acoes"))*Inputs!$B$1+((Inputs!$G$5:$G$110&lt;&gt;"moeda")*(Inputs!$G$5:$G$110&lt;&gt;"acoes")))*INDEX(Inputs!$K$5:$AJ$110,0,MATCH(P$2,Inputs!$K$4:$AJ$4,0)))+SUMPRODUCT((Inputs!$C$5:$C$110=$B5)*Inputs!$D$5:$D$110*(((Inputs!$G$5:$G$110="moeda")+(Inputs!$G$5:$G$110="acoes"))*Inputs!$B$1+((Inputs!$G$5:$G$110&lt;&gt;"moeda")*(Inputs!$G$5:$G$110&lt;&gt;"acoes")))*INDEX(Inputs!$K$5:$AJ$110,0,MATCH(P$2,Inputs!$K$4:$AJ$4,0)))+SUMPRODUCT((Inputs!$E$5:$E$110=$B5)*Inputs!$F$5:$F$110*(((Inputs!$G$5:$G$110="moeda")+(Inputs!$G$5:$G$110="acoes"))*Inputs!$B$1+((Inputs!$G$5:$G$110&lt;&gt;"moeda")*(Inputs!$G$5:$G$110&lt;&gt;"acoes")))*INDEX(Inputs!$K$5:$AJ$110,0,MATCH(P$2,Inputs!$K$4:$AJ$4,0)))))</f>
        <v>-121183</v>
      </c>
      <c r="Q5" s="267">
        <f>IF(ISNA(MATCH(Q$2,Inputs!$K$4:$AJ$4,0)),NA(),IF(SUMPRODUCT((Inputs!$A$5:$A$110=$B5)*ISNUMBER(INDEX(Inputs!$K$5:$AJ$110,0,MATCH(Q$2,Inputs!$K$4:$AJ$4,0))))+SUMPRODUCT((Inputs!$C$5:$C$110=$B5)*ISNUMBER(INDEX(Inputs!$K$5:$AJ$110,0,MATCH(Q$2,Inputs!$K$4:$AJ$4,0))))+SUMPRODUCT((Inputs!$E$5:$E$110=$B5)*ISNUMBER(INDEX(Inputs!$K$5:$AJ$110,0,MATCH(Q$2,Inputs!$K$4:$AJ$4,0))))=0,NA(),SUMPRODUCT((Inputs!$A$5:$A$110=$B5)*Inputs!$B$5:$B$110*(((Inputs!$G$5:$G$110="moeda")+(Inputs!$G$5:$G$110="acoes"))*Inputs!$B$1+((Inputs!$G$5:$G$110&lt;&gt;"moeda")*(Inputs!$G$5:$G$110&lt;&gt;"acoes")))*INDEX(Inputs!$K$5:$AJ$110,0,MATCH(Q$2,Inputs!$K$4:$AJ$4,0)))+SUMPRODUCT((Inputs!$C$5:$C$110=$B5)*Inputs!$D$5:$D$110*(((Inputs!$G$5:$G$110="moeda")+(Inputs!$G$5:$G$110="acoes"))*Inputs!$B$1+((Inputs!$G$5:$G$110&lt;&gt;"moeda")*(Inputs!$G$5:$G$110&lt;&gt;"acoes")))*INDEX(Inputs!$K$5:$AJ$110,0,MATCH(Q$2,Inputs!$K$4:$AJ$4,0)))+SUMPRODUCT((Inputs!$E$5:$E$110=$B5)*Inputs!$F$5:$F$110*(((Inputs!$G$5:$G$110="moeda")+(Inputs!$G$5:$G$110="acoes"))*Inputs!$B$1+((Inputs!$G$5:$G$110&lt;&gt;"moeda")*(Inputs!$G$5:$G$110&lt;&gt;"acoes")))*INDEX(Inputs!$K$5:$AJ$110,0,MATCH(Q$2,Inputs!$K$4:$AJ$4,0)))))</f>
        <v>-131825</v>
      </c>
      <c r="R5" s="268">
        <f>SUM(N5:Q5)</f>
        <v>-490142</v>
      </c>
      <c r="S5" s="267">
        <f>IF(ISNA(MATCH(S$2,Inputs!$K$4:$AJ$4,0)),NA(),IF(SUMPRODUCT((Inputs!$A$5:$A$110=$B5)*ISNUMBER(INDEX(Inputs!$K$5:$AJ$110,0,MATCH(S$2,Inputs!$K$4:$AJ$4,0))))+SUMPRODUCT((Inputs!$C$5:$C$110=$B5)*ISNUMBER(INDEX(Inputs!$K$5:$AJ$110,0,MATCH(S$2,Inputs!$K$4:$AJ$4,0))))+SUMPRODUCT((Inputs!$E$5:$E$110=$B5)*ISNUMBER(INDEX(Inputs!$K$5:$AJ$110,0,MATCH(S$2,Inputs!$K$4:$AJ$4,0))))=0,NA(),SUMPRODUCT((Inputs!$A$5:$A$110=$B5)*Inputs!$B$5:$B$110*(((Inputs!$G$5:$G$110="moeda")+(Inputs!$G$5:$G$110="acoes"))*Inputs!$B$1+((Inputs!$G$5:$G$110&lt;&gt;"moeda")*(Inputs!$G$5:$G$110&lt;&gt;"acoes")))*INDEX(Inputs!$K$5:$AJ$110,0,MATCH(S$2,Inputs!$K$4:$AJ$4,0)))+SUMPRODUCT((Inputs!$C$5:$C$110=$B5)*Inputs!$D$5:$D$110*(((Inputs!$G$5:$G$110="moeda")+(Inputs!$G$5:$G$110="acoes"))*Inputs!$B$1+((Inputs!$G$5:$G$110&lt;&gt;"moeda")*(Inputs!$G$5:$G$110&lt;&gt;"acoes")))*INDEX(Inputs!$K$5:$AJ$110,0,MATCH(S$2,Inputs!$K$4:$AJ$4,0)))+SUMPRODUCT((Inputs!$E$5:$E$110=$B5)*Inputs!$F$5:$F$110*(((Inputs!$G$5:$G$110="moeda")+(Inputs!$G$5:$G$110="acoes"))*Inputs!$B$1+((Inputs!$G$5:$G$110&lt;&gt;"moeda")*(Inputs!$G$5:$G$110&lt;&gt;"acoes")))*INDEX(Inputs!$K$5:$AJ$110,0,MATCH(S$2,Inputs!$K$4:$AJ$4,0)))))</f>
        <v>-121431</v>
      </c>
      <c r="T5" s="267">
        <f>IF(ISNA(MATCH(T$2,Inputs!$K$4:$AJ$4,0)),NA(),IF(SUMPRODUCT((Inputs!$A$5:$A$110=$B5)*ISNUMBER(INDEX(Inputs!$K$5:$AJ$110,0,MATCH(T$2,Inputs!$K$4:$AJ$4,0))))+SUMPRODUCT((Inputs!$C$5:$C$110=$B5)*ISNUMBER(INDEX(Inputs!$K$5:$AJ$110,0,MATCH(T$2,Inputs!$K$4:$AJ$4,0))))+SUMPRODUCT((Inputs!$E$5:$E$110=$B5)*ISNUMBER(INDEX(Inputs!$K$5:$AJ$110,0,MATCH(T$2,Inputs!$K$4:$AJ$4,0))))=0,NA(),SUMPRODUCT((Inputs!$A$5:$A$110=$B5)*Inputs!$B$5:$B$110*(((Inputs!$G$5:$G$110="moeda")+(Inputs!$G$5:$G$110="acoes"))*Inputs!$B$1+((Inputs!$G$5:$G$110&lt;&gt;"moeda")*(Inputs!$G$5:$G$110&lt;&gt;"acoes")))*INDEX(Inputs!$K$5:$AJ$110,0,MATCH(T$2,Inputs!$K$4:$AJ$4,0)))+SUMPRODUCT((Inputs!$C$5:$C$110=$B5)*Inputs!$D$5:$D$110*(((Inputs!$G$5:$G$110="moeda")+(Inputs!$G$5:$G$110="acoes"))*Inputs!$B$1+((Inputs!$G$5:$G$110&lt;&gt;"moeda")*(Inputs!$G$5:$G$110&lt;&gt;"acoes")))*INDEX(Inputs!$K$5:$AJ$110,0,MATCH(T$2,Inputs!$K$4:$AJ$4,0)))+SUMPRODUCT((Inputs!$E$5:$E$110=$B5)*Inputs!$F$5:$F$110*(((Inputs!$G$5:$G$110="moeda")+(Inputs!$G$5:$G$110="acoes"))*Inputs!$B$1+((Inputs!$G$5:$G$110&lt;&gt;"moeda")*(Inputs!$G$5:$G$110&lt;&gt;"acoes")))*INDEX(Inputs!$K$5:$AJ$110,0,MATCH(T$2,Inputs!$K$4:$AJ$4,0)))))</f>
        <v>-126810</v>
      </c>
      <c r="U5" s="267">
        <f>IF(ISNA(MATCH(U$2,Inputs!$K$4:$AJ$4,0)),NA(),IF(SUMPRODUCT((Inputs!$A$5:$A$110=$B5)*ISNUMBER(INDEX(Inputs!$K$5:$AJ$110,0,MATCH(U$2,Inputs!$K$4:$AJ$4,0))))+SUMPRODUCT((Inputs!$C$5:$C$110=$B5)*ISNUMBER(INDEX(Inputs!$K$5:$AJ$110,0,MATCH(U$2,Inputs!$K$4:$AJ$4,0))))+SUMPRODUCT((Inputs!$E$5:$E$110=$B5)*ISNUMBER(INDEX(Inputs!$K$5:$AJ$110,0,MATCH(U$2,Inputs!$K$4:$AJ$4,0))))=0,NA(),SUMPRODUCT((Inputs!$A$5:$A$110=$B5)*Inputs!$B$5:$B$110*(((Inputs!$G$5:$G$110="moeda")+(Inputs!$G$5:$G$110="acoes"))*Inputs!$B$1+((Inputs!$G$5:$G$110&lt;&gt;"moeda")*(Inputs!$G$5:$G$110&lt;&gt;"acoes")))*INDEX(Inputs!$K$5:$AJ$110,0,MATCH(U$2,Inputs!$K$4:$AJ$4,0)))+SUMPRODUCT((Inputs!$C$5:$C$110=$B5)*Inputs!$D$5:$D$110*(((Inputs!$G$5:$G$110="moeda")+(Inputs!$G$5:$G$110="acoes"))*Inputs!$B$1+((Inputs!$G$5:$G$110&lt;&gt;"moeda")*(Inputs!$G$5:$G$110&lt;&gt;"acoes")))*INDEX(Inputs!$K$5:$AJ$110,0,MATCH(U$2,Inputs!$K$4:$AJ$4,0)))+SUMPRODUCT((Inputs!$E$5:$E$110=$B5)*Inputs!$F$5:$F$110*(((Inputs!$G$5:$G$110="moeda")+(Inputs!$G$5:$G$110="acoes"))*Inputs!$B$1+((Inputs!$G$5:$G$110&lt;&gt;"moeda")*(Inputs!$G$5:$G$110&lt;&gt;"acoes")))*INDEX(Inputs!$K$5:$AJ$110,0,MATCH(U$2,Inputs!$K$4:$AJ$4,0)))))</f>
        <v>-127340</v>
      </c>
      <c r="V5" s="267">
        <f>IF(ISNA(MATCH(V$2,Inputs!$K$4:$AJ$4,0)),NA(),IF(SUMPRODUCT((Inputs!$A$5:$A$110=$B5)*ISNUMBER(INDEX(Inputs!$K$5:$AJ$110,0,MATCH(V$2,Inputs!$K$4:$AJ$4,0))))+SUMPRODUCT((Inputs!$C$5:$C$110=$B5)*ISNUMBER(INDEX(Inputs!$K$5:$AJ$110,0,MATCH(V$2,Inputs!$K$4:$AJ$4,0))))+SUMPRODUCT((Inputs!$E$5:$E$110=$B5)*ISNUMBER(INDEX(Inputs!$K$5:$AJ$110,0,MATCH(V$2,Inputs!$K$4:$AJ$4,0))))=0,NA(),SUMPRODUCT((Inputs!$A$5:$A$110=$B5)*Inputs!$B$5:$B$110*(((Inputs!$G$5:$G$110="moeda")+(Inputs!$G$5:$G$110="acoes"))*Inputs!$B$1+((Inputs!$G$5:$G$110&lt;&gt;"moeda")*(Inputs!$G$5:$G$110&lt;&gt;"acoes")))*INDEX(Inputs!$K$5:$AJ$110,0,MATCH(V$2,Inputs!$K$4:$AJ$4,0)))+SUMPRODUCT((Inputs!$C$5:$C$110=$B5)*Inputs!$D$5:$D$110*(((Inputs!$G$5:$G$110="moeda")+(Inputs!$G$5:$G$110="acoes"))*Inputs!$B$1+((Inputs!$G$5:$G$110&lt;&gt;"moeda")*(Inputs!$G$5:$G$110&lt;&gt;"acoes")))*INDEX(Inputs!$K$5:$AJ$110,0,MATCH(V$2,Inputs!$K$4:$AJ$4,0)))+SUMPRODUCT((Inputs!$E$5:$E$110=$B5)*Inputs!$F$5:$F$110*(((Inputs!$G$5:$G$110="moeda")+(Inputs!$G$5:$G$110="acoes"))*Inputs!$B$1+((Inputs!$G$5:$G$110&lt;&gt;"moeda")*(Inputs!$G$5:$G$110&lt;&gt;"acoes")))*INDEX(Inputs!$K$5:$AJ$110,0,MATCH(V$2,Inputs!$K$4:$AJ$4,0)))))</f>
        <v>-136172</v>
      </c>
      <c r="W5" s="268">
        <f>SUM(S5:V5)</f>
        <v>-511753</v>
      </c>
      <c r="X5" s="267">
        <f>IF(ISNA(MATCH(X$2,Inputs!$K$4:$AJ$4,0)),NA(),IF(SUMPRODUCT((Inputs!$A$5:$A$110=$B5)*ISNUMBER(INDEX(Inputs!$K$5:$AJ$110,0,MATCH(X$2,Inputs!$K$4:$AJ$4,0))))+SUMPRODUCT((Inputs!$C$5:$C$110=$B5)*ISNUMBER(INDEX(Inputs!$K$5:$AJ$110,0,MATCH(X$2,Inputs!$K$4:$AJ$4,0))))+SUMPRODUCT((Inputs!$E$5:$E$110=$B5)*ISNUMBER(INDEX(Inputs!$K$5:$AJ$110,0,MATCH(X$2,Inputs!$K$4:$AJ$4,0))))=0,NA(),SUMPRODUCT((Inputs!$A$5:$A$110=$B5)*Inputs!$B$5:$B$110*(((Inputs!$G$5:$G$110="moeda")+(Inputs!$G$5:$G$110="acoes"))*Inputs!$B$1+((Inputs!$G$5:$G$110&lt;&gt;"moeda")*(Inputs!$G$5:$G$110&lt;&gt;"acoes")))*INDEX(Inputs!$K$5:$AJ$110,0,MATCH(X$2,Inputs!$K$4:$AJ$4,0)))+SUMPRODUCT((Inputs!$C$5:$C$110=$B5)*Inputs!$D$5:$D$110*(((Inputs!$G$5:$G$110="moeda")+(Inputs!$G$5:$G$110="acoes"))*Inputs!$B$1+((Inputs!$G$5:$G$110&lt;&gt;"moeda")*(Inputs!$G$5:$G$110&lt;&gt;"acoes")))*INDEX(Inputs!$K$5:$AJ$110,0,MATCH(X$2,Inputs!$K$4:$AJ$4,0)))+SUMPRODUCT((Inputs!$E$5:$E$110=$B5)*Inputs!$F$5:$F$110*(((Inputs!$G$5:$G$110="moeda")+(Inputs!$G$5:$G$110="acoes"))*Inputs!$B$1+((Inputs!$G$5:$G$110&lt;&gt;"moeda")*(Inputs!$G$5:$G$110&lt;&gt;"acoes")))*INDEX(Inputs!$K$5:$AJ$110,0,MATCH(X$2,Inputs!$K$4:$AJ$4,0)))))</f>
        <v>-124303</v>
      </c>
      <c r="Y5" s="267">
        <f>IF(ISNA(MATCH(Y$2,Inputs!$K$4:$AJ$4,0)),NA(),IF(SUMPRODUCT((Inputs!$A$5:$A$110=$B5)*ISNUMBER(INDEX(Inputs!$K$5:$AJ$110,0,MATCH(Y$2,Inputs!$K$4:$AJ$4,0))))+SUMPRODUCT((Inputs!$C$5:$C$110=$B5)*ISNUMBER(INDEX(Inputs!$K$5:$AJ$110,0,MATCH(Y$2,Inputs!$K$4:$AJ$4,0))))+SUMPRODUCT((Inputs!$E$5:$E$110=$B5)*ISNUMBER(INDEX(Inputs!$K$5:$AJ$110,0,MATCH(Y$2,Inputs!$K$4:$AJ$4,0))))=0,NA(),SUMPRODUCT((Inputs!$A$5:$A$110=$B5)*Inputs!$B$5:$B$110*(((Inputs!$G$5:$G$110="moeda")+(Inputs!$G$5:$G$110="acoes"))*Inputs!$B$1+((Inputs!$G$5:$G$110&lt;&gt;"moeda")*(Inputs!$G$5:$G$110&lt;&gt;"acoes")))*INDEX(Inputs!$K$5:$AJ$110,0,MATCH(Y$2,Inputs!$K$4:$AJ$4,0)))+SUMPRODUCT((Inputs!$C$5:$C$110=$B5)*Inputs!$D$5:$D$110*(((Inputs!$G$5:$G$110="moeda")+(Inputs!$G$5:$G$110="acoes"))*Inputs!$B$1+((Inputs!$G$5:$G$110&lt;&gt;"moeda")*(Inputs!$G$5:$G$110&lt;&gt;"acoes")))*INDEX(Inputs!$K$5:$AJ$110,0,MATCH(Y$2,Inputs!$K$4:$AJ$4,0)))+SUMPRODUCT((Inputs!$E$5:$E$110=$B5)*Inputs!$F$5:$F$110*(((Inputs!$G$5:$G$110="moeda")+(Inputs!$G$5:$G$110="acoes"))*Inputs!$B$1+((Inputs!$G$5:$G$110&lt;&gt;"moeda")*(Inputs!$G$5:$G$110&lt;&gt;"acoes")))*INDEX(Inputs!$K$5:$AJ$110,0,MATCH(Y$2,Inputs!$K$4:$AJ$4,0)))))</f>
        <v>-132771</v>
      </c>
      <c r="Z5" s="267">
        <f>IF(ISNA(MATCH(Z$2,Inputs!$K$4:$AJ$4,0)),NA(),IF(SUMPRODUCT((Inputs!$A$5:$A$110=$B5)*ISNUMBER(INDEX(Inputs!$K$5:$AJ$110,0,MATCH(Z$2,Inputs!$K$4:$AJ$4,0))))+SUMPRODUCT((Inputs!$C$5:$C$110=$B5)*ISNUMBER(INDEX(Inputs!$K$5:$AJ$110,0,MATCH(Z$2,Inputs!$K$4:$AJ$4,0))))+SUMPRODUCT((Inputs!$E$5:$E$110=$B5)*ISNUMBER(INDEX(Inputs!$K$5:$AJ$110,0,MATCH(Z$2,Inputs!$K$4:$AJ$4,0))))=0,NA(),SUMPRODUCT((Inputs!$A$5:$A$110=$B5)*Inputs!$B$5:$B$110*(((Inputs!$G$5:$G$110="moeda")+(Inputs!$G$5:$G$110="acoes"))*Inputs!$B$1+((Inputs!$G$5:$G$110&lt;&gt;"moeda")*(Inputs!$G$5:$G$110&lt;&gt;"acoes")))*INDEX(Inputs!$K$5:$AJ$110,0,MATCH(Z$2,Inputs!$K$4:$AJ$4,0)))+SUMPRODUCT((Inputs!$C$5:$C$110=$B5)*Inputs!$D$5:$D$110*(((Inputs!$G$5:$G$110="moeda")+(Inputs!$G$5:$G$110="acoes"))*Inputs!$B$1+((Inputs!$G$5:$G$110&lt;&gt;"moeda")*(Inputs!$G$5:$G$110&lt;&gt;"acoes")))*INDEX(Inputs!$K$5:$AJ$110,0,MATCH(Z$2,Inputs!$K$4:$AJ$4,0)))+SUMPRODUCT((Inputs!$E$5:$E$110=$B5)*Inputs!$F$5:$F$110*(((Inputs!$G$5:$G$110="moeda")+(Inputs!$G$5:$G$110="acoes"))*Inputs!$B$1+((Inputs!$G$5:$G$110&lt;&gt;"moeda")*(Inputs!$G$5:$G$110&lt;&gt;"acoes")))*INDEX(Inputs!$K$5:$AJ$110,0,MATCH(Z$2,Inputs!$K$4:$AJ$4,0)))))</f>
        <v>-134706</v>
      </c>
      <c r="AA5" s="267">
        <f>IF(ISNA(MATCH(AA$2,Inputs!$K$4:$AJ$4,0)),NA(),IF(SUMPRODUCT((Inputs!$A$5:$A$110=$B5)*ISNUMBER(INDEX(Inputs!$K$5:$AJ$110,0,MATCH(AA$2,Inputs!$K$4:$AJ$4,0))))+SUMPRODUCT((Inputs!$C$5:$C$110=$B5)*ISNUMBER(INDEX(Inputs!$K$5:$AJ$110,0,MATCH(AA$2,Inputs!$K$4:$AJ$4,0))))+SUMPRODUCT((Inputs!$E$5:$E$110=$B5)*ISNUMBER(INDEX(Inputs!$K$5:$AJ$110,0,MATCH(AA$2,Inputs!$K$4:$AJ$4,0))))=0,NA(),SUMPRODUCT((Inputs!$A$5:$A$110=$B5)*Inputs!$B$5:$B$110*(((Inputs!$G$5:$G$110="moeda")+(Inputs!$G$5:$G$110="acoes"))*Inputs!$B$1+((Inputs!$G$5:$G$110&lt;&gt;"moeda")*(Inputs!$G$5:$G$110&lt;&gt;"acoes")))*INDEX(Inputs!$K$5:$AJ$110,0,MATCH(AA$2,Inputs!$K$4:$AJ$4,0)))+SUMPRODUCT((Inputs!$C$5:$C$110=$B5)*Inputs!$D$5:$D$110*(((Inputs!$G$5:$G$110="moeda")+(Inputs!$G$5:$G$110="acoes"))*Inputs!$B$1+((Inputs!$G$5:$G$110&lt;&gt;"moeda")*(Inputs!$G$5:$G$110&lt;&gt;"acoes")))*INDEX(Inputs!$K$5:$AJ$110,0,MATCH(AA$2,Inputs!$K$4:$AJ$4,0)))+SUMPRODUCT((Inputs!$E$5:$E$110=$B5)*Inputs!$F$5:$F$110*(((Inputs!$G$5:$G$110="moeda")+(Inputs!$G$5:$G$110="acoes"))*Inputs!$B$1+((Inputs!$G$5:$G$110&lt;&gt;"moeda")*(Inputs!$G$5:$G$110&lt;&gt;"acoes")))*INDEX(Inputs!$K$5:$AJ$110,0,MATCH(AA$2,Inputs!$K$4:$AJ$4,0)))))</f>
        <v>-143615</v>
      </c>
      <c r="AB5" s="268">
        <f>SUM(X5:AA5)</f>
        <v>-535395</v>
      </c>
      <c r="AC5" s="267">
        <f>IF(ISNA(MATCH(AC$2,Inputs!$K$4:$AJ$4,0)),NA(),IF(SUMPRODUCT((Inputs!$A$5:$A$110=$B5)*ISNUMBER(INDEX(Inputs!$K$5:$AJ$110,0,MATCH(AC$2,Inputs!$K$4:$AJ$4,0))))+SUMPRODUCT((Inputs!$C$5:$C$110=$B5)*ISNUMBER(INDEX(Inputs!$K$5:$AJ$110,0,MATCH(AC$2,Inputs!$K$4:$AJ$4,0))))+SUMPRODUCT((Inputs!$E$5:$E$110=$B5)*ISNUMBER(INDEX(Inputs!$K$5:$AJ$110,0,MATCH(AC$2,Inputs!$K$4:$AJ$4,0))))=0,NA(),SUMPRODUCT((Inputs!$A$5:$A$110=$B5)*Inputs!$B$5:$B$110*(((Inputs!$G$5:$G$110="moeda")+(Inputs!$G$5:$G$110="acoes"))*Inputs!$B$1+((Inputs!$G$5:$G$110&lt;&gt;"moeda")*(Inputs!$G$5:$G$110&lt;&gt;"acoes")))*INDEX(Inputs!$K$5:$AJ$110,0,MATCH(AC$2,Inputs!$K$4:$AJ$4,0)))+SUMPRODUCT((Inputs!$C$5:$C$110=$B5)*Inputs!$D$5:$D$110*(((Inputs!$G$5:$G$110="moeda")+(Inputs!$G$5:$G$110="acoes"))*Inputs!$B$1+((Inputs!$G$5:$G$110&lt;&gt;"moeda")*(Inputs!$G$5:$G$110&lt;&gt;"acoes")))*INDEX(Inputs!$K$5:$AJ$110,0,MATCH(AC$2,Inputs!$K$4:$AJ$4,0)))+SUMPRODUCT((Inputs!$E$5:$E$110=$B5)*Inputs!$F$5:$F$110*(((Inputs!$G$5:$G$110="moeda")+(Inputs!$G$5:$G$110="acoes"))*Inputs!$B$1+((Inputs!$G$5:$G$110&lt;&gt;"moeda")*(Inputs!$G$5:$G$110&lt;&gt;"acoes")))*INDEX(Inputs!$K$5:$AJ$110,0,MATCH(AC$2,Inputs!$K$4:$AJ$4,0)))))</f>
        <v>-133058</v>
      </c>
      <c r="AD5" s="267">
        <f>IF(ISNA(MATCH(AD$2,Inputs!$K$4:$AJ$4,0)),NA(),IF(SUMPRODUCT((Inputs!$A$5:$A$110=$B5)*ISNUMBER(INDEX(Inputs!$K$5:$AJ$110,0,MATCH(AD$2,Inputs!$K$4:$AJ$4,0))))+SUMPRODUCT((Inputs!$C$5:$C$110=$B5)*ISNUMBER(INDEX(Inputs!$K$5:$AJ$110,0,MATCH(AD$2,Inputs!$K$4:$AJ$4,0))))+SUMPRODUCT((Inputs!$E$5:$E$110=$B5)*ISNUMBER(INDEX(Inputs!$K$5:$AJ$110,0,MATCH(AD$2,Inputs!$K$4:$AJ$4,0))))=0,NA(),SUMPRODUCT((Inputs!$A$5:$A$110=$B5)*Inputs!$B$5:$B$110*(((Inputs!$G$5:$G$110="moeda")+(Inputs!$G$5:$G$110="acoes"))*Inputs!$B$1+((Inputs!$G$5:$G$110&lt;&gt;"moeda")*(Inputs!$G$5:$G$110&lt;&gt;"acoes")))*INDEX(Inputs!$K$5:$AJ$110,0,MATCH(AD$2,Inputs!$K$4:$AJ$4,0)))+SUMPRODUCT((Inputs!$C$5:$C$110=$B5)*Inputs!$D$5:$D$110*(((Inputs!$G$5:$G$110="moeda")+(Inputs!$G$5:$G$110="acoes"))*Inputs!$B$1+((Inputs!$G$5:$G$110&lt;&gt;"moeda")*(Inputs!$G$5:$G$110&lt;&gt;"acoes")))*INDEX(Inputs!$K$5:$AJ$110,0,MATCH(AD$2,Inputs!$K$4:$AJ$4,0)))+SUMPRODUCT((Inputs!$E$5:$E$110=$B5)*Inputs!$F$5:$F$110*(((Inputs!$G$5:$G$110="moeda")+(Inputs!$G$5:$G$110="acoes"))*Inputs!$B$1+((Inputs!$G$5:$G$110&lt;&gt;"moeda")*(Inputs!$G$5:$G$110&lt;&gt;"acoes")))*INDEX(Inputs!$K$5:$AJ$110,0,MATCH(AD$2,Inputs!$K$4:$AJ$4,0)))))</f>
        <v>-138804</v>
      </c>
      <c r="AE5" s="267" t="e">
        <f>IF(ISNA(MATCH(AE$2,Inputs!$K$4:$AJ$4,0)),NA(),IF(SUMPRODUCT((Inputs!$A$5:$A$110=$B5)*ISNUMBER(INDEX(Inputs!$K$5:$AJ$110,0,MATCH(AE$2,Inputs!$K$4:$AJ$4,0))))+SUMPRODUCT((Inputs!$C$5:$C$110=$B5)*ISNUMBER(INDEX(Inputs!$K$5:$AJ$110,0,MATCH(AE$2,Inputs!$K$4:$AJ$4,0))))+SUMPRODUCT((Inputs!$E$5:$E$110=$B5)*ISNUMBER(INDEX(Inputs!$K$5:$AJ$110,0,MATCH(AE$2,Inputs!$K$4:$AJ$4,0))))=0,NA(),SUMPRODUCT((Inputs!$A$5:$A$110=$B5)*Inputs!$B$5:$B$110*(((Inputs!$G$5:$G$110="moeda")+(Inputs!$G$5:$G$110="acoes"))*Inputs!$B$1+((Inputs!$G$5:$G$110&lt;&gt;"moeda")*(Inputs!$G$5:$G$110&lt;&gt;"acoes")))*INDEX(Inputs!$K$5:$AJ$110,0,MATCH(AE$2,Inputs!$K$4:$AJ$4,0)))+SUMPRODUCT((Inputs!$C$5:$C$110=$B5)*Inputs!$D$5:$D$110*(((Inputs!$G$5:$G$110="moeda")+(Inputs!$G$5:$G$110="acoes"))*Inputs!$B$1+((Inputs!$G$5:$G$110&lt;&gt;"moeda")*(Inputs!$G$5:$G$110&lt;&gt;"acoes")))*INDEX(Inputs!$K$5:$AJ$110,0,MATCH(AE$2,Inputs!$K$4:$AJ$4,0)))+SUMPRODUCT((Inputs!$E$5:$E$110=$B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" s="267" t="e">
        <f>IF(ISNA(MATCH(AF$2,Inputs!$K$4:$AJ$4,0)),NA(),IF(SUMPRODUCT((Inputs!$A$5:$A$110=$B5)*ISNUMBER(INDEX(Inputs!$K$5:$AJ$110,0,MATCH(AF$2,Inputs!$K$4:$AJ$4,0))))+SUMPRODUCT((Inputs!$C$5:$C$110=$B5)*ISNUMBER(INDEX(Inputs!$K$5:$AJ$110,0,MATCH(AF$2,Inputs!$K$4:$AJ$4,0))))+SUMPRODUCT((Inputs!$E$5:$E$110=$B5)*ISNUMBER(INDEX(Inputs!$K$5:$AJ$110,0,MATCH(AF$2,Inputs!$K$4:$AJ$4,0))))=0,NA(),SUMPRODUCT((Inputs!$A$5:$A$110=$B5)*Inputs!$B$5:$B$110*(((Inputs!$G$5:$G$110="moeda")+(Inputs!$G$5:$G$110="acoes"))*Inputs!$B$1+((Inputs!$G$5:$G$110&lt;&gt;"moeda")*(Inputs!$G$5:$G$110&lt;&gt;"acoes")))*INDEX(Inputs!$K$5:$AJ$110,0,MATCH(AF$2,Inputs!$K$4:$AJ$4,0)))+SUMPRODUCT((Inputs!$C$5:$C$110=$B5)*Inputs!$D$5:$D$110*(((Inputs!$G$5:$G$110="moeda")+(Inputs!$G$5:$G$110="acoes"))*Inputs!$B$1+((Inputs!$G$5:$G$110&lt;&gt;"moeda")*(Inputs!$G$5:$G$110&lt;&gt;"acoes")))*INDEX(Inputs!$K$5:$AJ$110,0,MATCH(AF$2,Inputs!$K$4:$AJ$4,0)))+SUMPRODUCT((Inputs!$E$5:$E$110=$B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" s="268" t="e">
        <f>SUM(AC5:AF5)</f>
        <v>#N/A</v>
      </c>
      <c r="AH5" s="267">
        <f>IF(ISNA(MATCH(AH$2,Inputs!$K$4:$AJ$4,0)),NA(),IF(SUMPRODUCT((Inputs!$A$5:$A$110=$B5)*ISNUMBER(INDEX(Inputs!$K$5:$AJ$110,0,MATCH(AH$2,Inputs!$K$4:$AJ$4,0))))+SUMPRODUCT((Inputs!$C$5:$C$110=$B5)*ISNUMBER(INDEX(Inputs!$K$5:$AJ$110,0,MATCH(AH$2,Inputs!$K$4:$AJ$4,0))))+SUMPRODUCT((Inputs!$E$5:$E$110=$B5)*ISNUMBER(INDEX(Inputs!$K$5:$AJ$110,0,MATCH(AH$2,Inputs!$K$4:$AJ$4,0))))=0,NA(),SUMPRODUCT((Inputs!$A$5:$A$110=$B5)*Inputs!$B$5:$B$110*(((Inputs!$G$5:$G$110="moeda")+(Inputs!$G$5:$G$110="acoes"))*Inputs!$B$1+((Inputs!$G$5:$G$110&lt;&gt;"moeda")*(Inputs!$G$5:$G$110&lt;&gt;"acoes")))*INDEX(Inputs!$K$5:$AJ$110,0,MATCH(AH$2,Inputs!$K$4:$AJ$4,0)))+SUMPRODUCT((Inputs!$C$5:$C$110=$B5)*Inputs!$D$5:$D$110*(((Inputs!$G$5:$G$110="moeda")+(Inputs!$G$5:$G$110="acoes"))*Inputs!$B$1+((Inputs!$G$5:$G$110&lt;&gt;"moeda")*(Inputs!$G$5:$G$110&lt;&gt;"acoes")))*INDEX(Inputs!$K$5:$AJ$110,0,MATCH(AH$2,Inputs!$K$4:$AJ$4,0)))+SUMPRODUCT((Inputs!$E$5:$E$110=$B5)*Inputs!$F$5:$F$110*(((Inputs!$G$5:$G$110="moeda")+(Inputs!$G$5:$G$110="acoes"))*Inputs!$B$1+((Inputs!$G$5:$G$110&lt;&gt;"moeda")*(Inputs!$G$5:$G$110&lt;&gt;"acoes")))*INDEX(Inputs!$K$5:$AJ$110,0,MATCH(AH$2,Inputs!$K$4:$AJ$4,0)))))</f>
        <v>-102026</v>
      </c>
      <c r="AI5" s="267">
        <f>IF(ISNA(MATCH(AI$2,Inputs!$K$4:$AJ$4,0)),NA(),IF(SUMPRODUCT((Inputs!$A$5:$A$110=$B5)*ISNUMBER(INDEX(Inputs!$K$5:$AJ$110,0,MATCH(AI$2,Inputs!$K$4:$AJ$4,0))))+SUMPRODUCT((Inputs!$C$5:$C$110=$B5)*ISNUMBER(INDEX(Inputs!$K$5:$AJ$110,0,MATCH(AI$2,Inputs!$K$4:$AJ$4,0))))+SUMPRODUCT((Inputs!$E$5:$E$110=$B5)*ISNUMBER(INDEX(Inputs!$K$5:$AJ$110,0,MATCH(AI$2,Inputs!$K$4:$AJ$4,0))))=0,NA(),SUMPRODUCT((Inputs!$A$5:$A$110=$B5)*Inputs!$B$5:$B$110*(((Inputs!$G$5:$G$110="moeda")+(Inputs!$G$5:$G$110="acoes"))*Inputs!$B$1+((Inputs!$G$5:$G$110&lt;&gt;"moeda")*(Inputs!$G$5:$G$110&lt;&gt;"acoes")))*INDEX(Inputs!$K$5:$AJ$110,0,MATCH(AI$2,Inputs!$K$4:$AJ$4,0)))+SUMPRODUCT((Inputs!$C$5:$C$110=$B5)*Inputs!$D$5:$D$110*(((Inputs!$G$5:$G$110="moeda")+(Inputs!$G$5:$G$110="acoes"))*Inputs!$B$1+((Inputs!$G$5:$G$110&lt;&gt;"moeda")*(Inputs!$G$5:$G$110&lt;&gt;"acoes")))*INDEX(Inputs!$K$5:$AJ$110,0,MATCH(AI$2,Inputs!$K$4:$AJ$4,0)))+SUMPRODUCT((Inputs!$E$5:$E$110=$B5)*Inputs!$F$5:$F$110*(((Inputs!$G$5:$G$110="moeda")+(Inputs!$G$5:$G$110="acoes"))*Inputs!$B$1+((Inputs!$G$5:$G$110&lt;&gt;"moeda")*(Inputs!$G$5:$G$110&lt;&gt;"acoes")))*INDEX(Inputs!$K$5:$AJ$110,0,MATCH(AI$2,Inputs!$K$4:$AJ$4,0)))))</f>
        <v>-102689</v>
      </c>
      <c r="AJ5" s="267">
        <f>IF(ISNA(MATCH(AJ$2,Inputs!$K$4:$AJ$4,0)),NA(),IF(SUMPRODUCT((Inputs!$A$5:$A$110=$B5)*ISNUMBER(INDEX(Inputs!$K$5:$AJ$110,0,MATCH(AJ$2,Inputs!$K$4:$AJ$4,0))))+SUMPRODUCT((Inputs!$C$5:$C$110=$B5)*ISNUMBER(INDEX(Inputs!$K$5:$AJ$110,0,MATCH(AJ$2,Inputs!$K$4:$AJ$4,0))))+SUMPRODUCT((Inputs!$E$5:$E$110=$B5)*ISNUMBER(INDEX(Inputs!$K$5:$AJ$110,0,MATCH(AJ$2,Inputs!$K$4:$AJ$4,0))))=0,NA(),SUMPRODUCT((Inputs!$A$5:$A$110=$B5)*Inputs!$B$5:$B$110*(((Inputs!$G$5:$G$110="moeda")+(Inputs!$G$5:$G$110="acoes"))*Inputs!$B$1+((Inputs!$G$5:$G$110&lt;&gt;"moeda")*(Inputs!$G$5:$G$110&lt;&gt;"acoes")))*INDEX(Inputs!$K$5:$AJ$110,0,MATCH(AJ$2,Inputs!$K$4:$AJ$4,0)))+SUMPRODUCT((Inputs!$C$5:$C$110=$B5)*Inputs!$D$5:$D$110*(((Inputs!$G$5:$G$110="moeda")+(Inputs!$G$5:$G$110="acoes"))*Inputs!$B$1+((Inputs!$G$5:$G$110&lt;&gt;"moeda")*(Inputs!$G$5:$G$110&lt;&gt;"acoes")))*INDEX(Inputs!$K$5:$AJ$110,0,MATCH(AJ$2,Inputs!$K$4:$AJ$4,0)))+SUMPRODUCT((Inputs!$E$5:$E$110=$B5)*Inputs!$F$5:$F$110*(((Inputs!$G$5:$G$110="moeda")+(Inputs!$G$5:$G$110="acoes"))*Inputs!$B$1+((Inputs!$G$5:$G$110&lt;&gt;"moeda")*(Inputs!$G$5:$G$110&lt;&gt;"acoes")))*INDEX(Inputs!$K$5:$AJ$110,0,MATCH(AJ$2,Inputs!$K$4:$AJ$4,0)))))</f>
        <v>-100339</v>
      </c>
      <c r="AK5" s="267">
        <f>IF(ISNA(MATCH(AK$2,Inputs!$K$4:$AJ$4,0)),NA(),IF(SUMPRODUCT((Inputs!$A$5:$A$110=$B5)*ISNUMBER(INDEX(Inputs!$K$5:$AJ$110,0,MATCH(AK$2,Inputs!$K$4:$AJ$4,0))))+SUMPRODUCT((Inputs!$C$5:$C$110=$B5)*ISNUMBER(INDEX(Inputs!$K$5:$AJ$110,0,MATCH(AK$2,Inputs!$K$4:$AJ$4,0))))+SUMPRODUCT((Inputs!$E$5:$E$110=$B5)*ISNUMBER(INDEX(Inputs!$K$5:$AJ$110,0,MATCH(AK$2,Inputs!$K$4:$AJ$4,0))))=0,NA(),SUMPRODUCT((Inputs!$A$5:$A$110=$B5)*Inputs!$B$5:$B$110*(((Inputs!$G$5:$G$110="moeda")+(Inputs!$G$5:$G$110="acoes"))*Inputs!$B$1+((Inputs!$G$5:$G$110&lt;&gt;"moeda")*(Inputs!$G$5:$G$110&lt;&gt;"acoes")))*INDEX(Inputs!$K$5:$AJ$110,0,MATCH(AK$2,Inputs!$K$4:$AJ$4,0)))+SUMPRODUCT((Inputs!$C$5:$C$110=$B5)*Inputs!$D$5:$D$110*(((Inputs!$G$5:$G$110="moeda")+(Inputs!$G$5:$G$110="acoes"))*Inputs!$B$1+((Inputs!$G$5:$G$110&lt;&gt;"moeda")*(Inputs!$G$5:$G$110&lt;&gt;"acoes")))*INDEX(Inputs!$K$5:$AJ$110,0,MATCH(AK$2,Inputs!$K$4:$AJ$4,0)))+SUMPRODUCT((Inputs!$E$5:$E$110=$B5)*Inputs!$F$5:$F$110*(((Inputs!$G$5:$G$110="moeda")+(Inputs!$G$5:$G$110="acoes"))*Inputs!$B$1+((Inputs!$G$5:$G$110&lt;&gt;"moeda")*(Inputs!$G$5:$G$110&lt;&gt;"acoes")))*INDEX(Inputs!$K$5:$AJ$110,0,MATCH(AK$2,Inputs!$K$4:$AJ$4,0)))))</f>
        <v>-115261</v>
      </c>
      <c r="AL5" s="268">
        <f>SUM(AH5:AK5)</f>
        <v>-420315</v>
      </c>
    </row>
    <row r="6" ht="12.75" customHeight="1" s="255">
      <c r="B6" s="265" t="n">
        <v>3</v>
      </c>
      <c r="C6" s="269" t="inlineStr">
        <is>
          <t>SG&amp;A and Other (cash)</t>
        </is>
      </c>
      <c r="D6" s="267">
        <f>IF(ISNA(MATCH(D$2,Inputs!$K$4:$AJ$4,0)),NA(),IF(SUMPRODUCT((Inputs!$A$5:$A$110=$B6)*ISNUMBER(INDEX(Inputs!$K$5:$AJ$110,0,MATCH(D$2,Inputs!$K$4:$AJ$4,0))))+SUMPRODUCT((Inputs!$C$5:$C$110=$B6)*ISNUMBER(INDEX(Inputs!$K$5:$AJ$110,0,MATCH(D$2,Inputs!$K$4:$AJ$4,0))))+SUMPRODUCT((Inputs!$E$5:$E$110=$B6)*ISNUMBER(INDEX(Inputs!$K$5:$AJ$110,0,MATCH(D$2,Inputs!$K$4:$AJ$4,0))))=0,NA(),SUMPRODUCT((Inputs!$A$5:$A$110=$B6)*Inputs!$B$5:$B$110*(((Inputs!$G$5:$G$110="moeda")+(Inputs!$G$5:$G$110="acoes"))*Inputs!$B$1+((Inputs!$G$5:$G$110&lt;&gt;"moeda")*(Inputs!$G$5:$G$110&lt;&gt;"acoes")))*INDEX(Inputs!$K$5:$AJ$110,0,MATCH(D$2,Inputs!$K$4:$AJ$4,0)))+SUMPRODUCT((Inputs!$C$5:$C$110=$B6)*Inputs!$D$5:$D$110*(((Inputs!$G$5:$G$110="moeda")+(Inputs!$G$5:$G$110="acoes"))*Inputs!$B$1+((Inputs!$G$5:$G$110&lt;&gt;"moeda")*(Inputs!$G$5:$G$110&lt;&gt;"acoes")))*INDEX(Inputs!$K$5:$AJ$110,0,MATCH(D$2,Inputs!$K$4:$AJ$4,0)))+SUMPRODUCT((Inputs!$E$5:$E$110=$B6)*Inputs!$F$5:$F$110*(((Inputs!$G$5:$G$110="moeda")+(Inputs!$G$5:$G$110="acoes"))*Inputs!$B$1+((Inputs!$G$5:$G$110&lt;&gt;"moeda")*(Inputs!$G$5:$G$110&lt;&gt;"acoes")))*INDEX(Inputs!$K$5:$AJ$110,0,MATCH(D$2,Inputs!$K$4:$AJ$4,0)))))</f>
        <v>-25468</v>
      </c>
      <c r="E6" s="267">
        <f>IF(ISNA(MATCH(E$2,Inputs!$K$4:$AJ$4,0)),NA(),IF(SUMPRODUCT((Inputs!$A$5:$A$110=$B6)*ISNUMBER(INDEX(Inputs!$K$5:$AJ$110,0,MATCH(E$2,Inputs!$K$4:$AJ$4,0))))+SUMPRODUCT((Inputs!$C$5:$C$110=$B6)*ISNUMBER(INDEX(Inputs!$K$5:$AJ$110,0,MATCH(E$2,Inputs!$K$4:$AJ$4,0))))+SUMPRODUCT((Inputs!$E$5:$E$110=$B6)*ISNUMBER(INDEX(Inputs!$K$5:$AJ$110,0,MATCH(E$2,Inputs!$K$4:$AJ$4,0))))=0,NA(),SUMPRODUCT((Inputs!$A$5:$A$110=$B6)*Inputs!$B$5:$B$110*(((Inputs!$G$5:$G$110="moeda")+(Inputs!$G$5:$G$110="acoes"))*Inputs!$B$1+((Inputs!$G$5:$G$110&lt;&gt;"moeda")*(Inputs!$G$5:$G$110&lt;&gt;"acoes")))*INDEX(Inputs!$K$5:$AJ$110,0,MATCH(E$2,Inputs!$K$4:$AJ$4,0)))+SUMPRODUCT((Inputs!$C$5:$C$110=$B6)*Inputs!$D$5:$D$110*(((Inputs!$G$5:$G$110="moeda")+(Inputs!$G$5:$G$110="acoes"))*Inputs!$B$1+((Inputs!$G$5:$G$110&lt;&gt;"moeda")*(Inputs!$G$5:$G$110&lt;&gt;"acoes")))*INDEX(Inputs!$K$5:$AJ$110,0,MATCH(E$2,Inputs!$K$4:$AJ$4,0)))+SUMPRODUCT((Inputs!$E$5:$E$110=$B6)*Inputs!$F$5:$F$110*(((Inputs!$G$5:$G$110="moeda")+(Inputs!$G$5:$G$110="acoes"))*Inputs!$B$1+((Inputs!$G$5:$G$110&lt;&gt;"moeda")*(Inputs!$G$5:$G$110&lt;&gt;"acoes")))*INDEX(Inputs!$K$5:$AJ$110,0,MATCH(E$2,Inputs!$K$4:$AJ$4,0)))))</f>
        <v>-25870</v>
      </c>
      <c r="F6" s="267">
        <f>IF(ISNA(MATCH(F$2,Inputs!$K$4:$AJ$4,0)),NA(),IF(SUMPRODUCT((Inputs!$A$5:$A$110=$B6)*ISNUMBER(INDEX(Inputs!$K$5:$AJ$110,0,MATCH(F$2,Inputs!$K$4:$AJ$4,0))))+SUMPRODUCT((Inputs!$C$5:$C$110=$B6)*ISNUMBER(INDEX(Inputs!$K$5:$AJ$110,0,MATCH(F$2,Inputs!$K$4:$AJ$4,0))))+SUMPRODUCT((Inputs!$E$5:$E$110=$B6)*ISNUMBER(INDEX(Inputs!$K$5:$AJ$110,0,MATCH(F$2,Inputs!$K$4:$AJ$4,0))))=0,NA(),SUMPRODUCT((Inputs!$A$5:$A$110=$B6)*Inputs!$B$5:$B$110*(((Inputs!$G$5:$G$110="moeda")+(Inputs!$G$5:$G$110="acoes"))*Inputs!$B$1+((Inputs!$G$5:$G$110&lt;&gt;"moeda")*(Inputs!$G$5:$G$110&lt;&gt;"acoes")))*INDEX(Inputs!$K$5:$AJ$110,0,MATCH(F$2,Inputs!$K$4:$AJ$4,0)))+SUMPRODUCT((Inputs!$C$5:$C$110=$B6)*Inputs!$D$5:$D$110*(((Inputs!$G$5:$G$110="moeda")+(Inputs!$G$5:$G$110="acoes"))*Inputs!$B$1+((Inputs!$G$5:$G$110&lt;&gt;"moeda")*(Inputs!$G$5:$G$110&lt;&gt;"acoes")))*INDEX(Inputs!$K$5:$AJ$110,0,MATCH(F$2,Inputs!$K$4:$AJ$4,0)))+SUMPRODUCT((Inputs!$E$5:$E$110=$B6)*Inputs!$F$5:$F$110*(((Inputs!$G$5:$G$110="moeda")+(Inputs!$G$5:$G$110="acoes"))*Inputs!$B$1+((Inputs!$G$5:$G$110&lt;&gt;"moeda")*(Inputs!$G$5:$G$110&lt;&gt;"acoes")))*INDEX(Inputs!$K$5:$AJ$110,0,MATCH(F$2,Inputs!$K$4:$AJ$4,0)))))</f>
        <v>-27060</v>
      </c>
      <c r="G6" s="267">
        <f>IF(ISNA(MATCH(G$2,Inputs!$K$4:$AJ$4,0)),NA(),IF(SUMPRODUCT((Inputs!$A$5:$A$110=$B6)*ISNUMBER(INDEX(Inputs!$K$5:$AJ$110,0,MATCH(G$2,Inputs!$K$4:$AJ$4,0))))+SUMPRODUCT((Inputs!$C$5:$C$110=$B6)*ISNUMBER(INDEX(Inputs!$K$5:$AJ$110,0,MATCH(G$2,Inputs!$K$4:$AJ$4,0))))+SUMPRODUCT((Inputs!$E$5:$E$110=$B6)*ISNUMBER(INDEX(Inputs!$K$5:$AJ$110,0,MATCH(G$2,Inputs!$K$4:$AJ$4,0))))=0,NA(),SUMPRODUCT((Inputs!$A$5:$A$110=$B6)*Inputs!$B$5:$B$110*(((Inputs!$G$5:$G$110="moeda")+(Inputs!$G$5:$G$110="acoes"))*Inputs!$B$1+((Inputs!$G$5:$G$110&lt;&gt;"moeda")*(Inputs!$G$5:$G$110&lt;&gt;"acoes")))*INDEX(Inputs!$K$5:$AJ$110,0,MATCH(G$2,Inputs!$K$4:$AJ$4,0)))+SUMPRODUCT((Inputs!$C$5:$C$110=$B6)*Inputs!$D$5:$D$110*(((Inputs!$G$5:$G$110="moeda")+(Inputs!$G$5:$G$110="acoes"))*Inputs!$B$1+((Inputs!$G$5:$G$110&lt;&gt;"moeda")*(Inputs!$G$5:$G$110&lt;&gt;"acoes")))*INDEX(Inputs!$K$5:$AJ$110,0,MATCH(G$2,Inputs!$K$4:$AJ$4,0)))+SUMPRODUCT((Inputs!$E$5:$E$110=$B6)*Inputs!$F$5:$F$110*(((Inputs!$G$5:$G$110="moeda")+(Inputs!$G$5:$G$110="acoes"))*Inputs!$B$1+((Inputs!$G$5:$G$110&lt;&gt;"moeda")*(Inputs!$G$5:$G$110&lt;&gt;"acoes")))*INDEX(Inputs!$K$5:$AJ$110,0,MATCH(G$2,Inputs!$K$4:$AJ$4,0)))))</f>
        <v>-28756</v>
      </c>
      <c r="H6" s="268">
        <f>SUM(D6:G6)</f>
        <v>-107154</v>
      </c>
      <c r="I6" s="267">
        <f>IF(ISNA(MATCH(I$2,Inputs!$K$4:$AJ$4,0)),NA(),IF(SUMPRODUCT((Inputs!$A$5:$A$110=$B6)*ISNUMBER(INDEX(Inputs!$K$5:$AJ$110,0,MATCH(I$2,Inputs!$K$4:$AJ$4,0))))+SUMPRODUCT((Inputs!$C$5:$C$110=$B6)*ISNUMBER(INDEX(Inputs!$K$5:$AJ$110,0,MATCH(I$2,Inputs!$K$4:$AJ$4,0))))+SUMPRODUCT((Inputs!$E$5:$E$110=$B6)*ISNUMBER(INDEX(Inputs!$K$5:$AJ$110,0,MATCH(I$2,Inputs!$K$4:$AJ$4,0))))=0,NA(),SUMPRODUCT((Inputs!$A$5:$A$110=$B6)*Inputs!$B$5:$B$110*(((Inputs!$G$5:$G$110="moeda")+(Inputs!$G$5:$G$110="acoes"))*Inputs!$B$1+((Inputs!$G$5:$G$110&lt;&gt;"moeda")*(Inputs!$G$5:$G$110&lt;&gt;"acoes")))*INDEX(Inputs!$K$5:$AJ$110,0,MATCH(I$2,Inputs!$K$4:$AJ$4,0)))+SUMPRODUCT((Inputs!$C$5:$C$110=$B6)*Inputs!$D$5:$D$110*(((Inputs!$G$5:$G$110="moeda")+(Inputs!$G$5:$G$110="acoes"))*Inputs!$B$1+((Inputs!$G$5:$G$110&lt;&gt;"moeda")*(Inputs!$G$5:$G$110&lt;&gt;"acoes")))*INDEX(Inputs!$K$5:$AJ$110,0,MATCH(I$2,Inputs!$K$4:$AJ$4,0)))+SUMPRODUCT((Inputs!$E$5:$E$110=$B6)*Inputs!$F$5:$F$110*(((Inputs!$G$5:$G$110="moeda")+(Inputs!$G$5:$G$110="acoes"))*Inputs!$B$1+((Inputs!$G$5:$G$110&lt;&gt;"moeda")*(Inputs!$G$5:$G$110&lt;&gt;"acoes")))*INDEX(Inputs!$K$5:$AJ$110,0,MATCH(I$2,Inputs!$K$4:$AJ$4,0)))))</f>
        <v>-26724</v>
      </c>
      <c r="J6" s="267">
        <f>IF(ISNA(MATCH(J$2,Inputs!$K$4:$AJ$4,0)),NA(),IF(SUMPRODUCT((Inputs!$A$5:$A$110=$B6)*ISNUMBER(INDEX(Inputs!$K$5:$AJ$110,0,MATCH(J$2,Inputs!$K$4:$AJ$4,0))))+SUMPRODUCT((Inputs!$C$5:$C$110=$B6)*ISNUMBER(INDEX(Inputs!$K$5:$AJ$110,0,MATCH(J$2,Inputs!$K$4:$AJ$4,0))))+SUMPRODUCT((Inputs!$E$5:$E$110=$B6)*ISNUMBER(INDEX(Inputs!$K$5:$AJ$110,0,MATCH(J$2,Inputs!$K$4:$AJ$4,0))))=0,NA(),SUMPRODUCT((Inputs!$A$5:$A$110=$B6)*Inputs!$B$5:$B$110*(((Inputs!$G$5:$G$110="moeda")+(Inputs!$G$5:$G$110="acoes"))*Inputs!$B$1+((Inputs!$G$5:$G$110&lt;&gt;"moeda")*(Inputs!$G$5:$G$110&lt;&gt;"acoes")))*INDEX(Inputs!$K$5:$AJ$110,0,MATCH(J$2,Inputs!$K$4:$AJ$4,0)))+SUMPRODUCT((Inputs!$C$5:$C$110=$B6)*Inputs!$D$5:$D$110*(((Inputs!$G$5:$G$110="moeda")+(Inputs!$G$5:$G$110="acoes"))*Inputs!$B$1+((Inputs!$G$5:$G$110&lt;&gt;"moeda")*(Inputs!$G$5:$G$110&lt;&gt;"acoes")))*INDEX(Inputs!$K$5:$AJ$110,0,MATCH(J$2,Inputs!$K$4:$AJ$4,0)))+SUMPRODUCT((Inputs!$E$5:$E$110=$B6)*Inputs!$F$5:$F$110*(((Inputs!$G$5:$G$110="moeda")+(Inputs!$G$5:$G$110="acoes"))*Inputs!$B$1+((Inputs!$G$5:$G$110&lt;&gt;"moeda")*(Inputs!$G$5:$G$110&lt;&gt;"acoes")))*INDEX(Inputs!$K$5:$AJ$110,0,MATCH(J$2,Inputs!$K$4:$AJ$4,0)))))</f>
        <v>-27468</v>
      </c>
      <c r="K6" s="267">
        <f>IF(ISNA(MATCH(K$2,Inputs!$K$4:$AJ$4,0)),NA(),IF(SUMPRODUCT((Inputs!$A$5:$A$110=$B6)*ISNUMBER(INDEX(Inputs!$K$5:$AJ$110,0,MATCH(K$2,Inputs!$K$4:$AJ$4,0))))+SUMPRODUCT((Inputs!$C$5:$C$110=$B6)*ISNUMBER(INDEX(Inputs!$K$5:$AJ$110,0,MATCH(K$2,Inputs!$K$4:$AJ$4,0))))+SUMPRODUCT((Inputs!$E$5:$E$110=$B6)*ISNUMBER(INDEX(Inputs!$K$5:$AJ$110,0,MATCH(K$2,Inputs!$K$4:$AJ$4,0))))=0,NA(),SUMPRODUCT((Inputs!$A$5:$A$110=$B6)*Inputs!$B$5:$B$110*(((Inputs!$G$5:$G$110="moeda")+(Inputs!$G$5:$G$110="acoes"))*Inputs!$B$1+((Inputs!$G$5:$G$110&lt;&gt;"moeda")*(Inputs!$G$5:$G$110&lt;&gt;"acoes")))*INDEX(Inputs!$K$5:$AJ$110,0,MATCH(K$2,Inputs!$K$4:$AJ$4,0)))+SUMPRODUCT((Inputs!$C$5:$C$110=$B6)*Inputs!$D$5:$D$110*(((Inputs!$G$5:$G$110="moeda")+(Inputs!$G$5:$G$110="acoes"))*Inputs!$B$1+((Inputs!$G$5:$G$110&lt;&gt;"moeda")*(Inputs!$G$5:$G$110&lt;&gt;"acoes")))*INDEX(Inputs!$K$5:$AJ$110,0,MATCH(K$2,Inputs!$K$4:$AJ$4,0)))+SUMPRODUCT((Inputs!$E$5:$E$110=$B6)*Inputs!$F$5:$F$110*(((Inputs!$G$5:$G$110="moeda")+(Inputs!$G$5:$G$110="acoes"))*Inputs!$B$1+((Inputs!$G$5:$G$110&lt;&gt;"moeda")*(Inputs!$G$5:$G$110&lt;&gt;"acoes")))*INDEX(Inputs!$K$5:$AJ$110,0,MATCH(K$2,Inputs!$K$4:$AJ$4,0)))))</f>
        <v>-31750</v>
      </c>
      <c r="L6" s="267">
        <f>IF(ISNA(MATCH(L$2,Inputs!$K$4:$AJ$4,0)),NA(),IF(SUMPRODUCT((Inputs!$A$5:$A$110=$B6)*ISNUMBER(INDEX(Inputs!$K$5:$AJ$110,0,MATCH(L$2,Inputs!$K$4:$AJ$4,0))))+SUMPRODUCT((Inputs!$C$5:$C$110=$B6)*ISNUMBER(INDEX(Inputs!$K$5:$AJ$110,0,MATCH(L$2,Inputs!$K$4:$AJ$4,0))))+SUMPRODUCT((Inputs!$E$5:$E$110=$B6)*ISNUMBER(INDEX(Inputs!$K$5:$AJ$110,0,MATCH(L$2,Inputs!$K$4:$AJ$4,0))))=0,NA(),SUMPRODUCT((Inputs!$A$5:$A$110=$B6)*Inputs!$B$5:$B$110*(((Inputs!$G$5:$G$110="moeda")+(Inputs!$G$5:$G$110="acoes"))*Inputs!$B$1+((Inputs!$G$5:$G$110&lt;&gt;"moeda")*(Inputs!$G$5:$G$110&lt;&gt;"acoes")))*INDEX(Inputs!$K$5:$AJ$110,0,MATCH(L$2,Inputs!$K$4:$AJ$4,0)))+SUMPRODUCT((Inputs!$C$5:$C$110=$B6)*Inputs!$D$5:$D$110*(((Inputs!$G$5:$G$110="moeda")+(Inputs!$G$5:$G$110="acoes"))*Inputs!$B$1+((Inputs!$G$5:$G$110&lt;&gt;"moeda")*(Inputs!$G$5:$G$110&lt;&gt;"acoes")))*INDEX(Inputs!$K$5:$AJ$110,0,MATCH(L$2,Inputs!$K$4:$AJ$4,0)))+SUMPRODUCT((Inputs!$E$5:$E$110=$B6)*Inputs!$F$5:$F$110*(((Inputs!$G$5:$G$110="moeda")+(Inputs!$G$5:$G$110="acoes"))*Inputs!$B$1+((Inputs!$G$5:$G$110&lt;&gt;"moeda")*(Inputs!$G$5:$G$110&lt;&gt;"acoes")))*INDEX(Inputs!$K$5:$AJ$110,0,MATCH(L$2,Inputs!$K$4:$AJ$4,0)))))</f>
        <v>-30253</v>
      </c>
      <c r="M6" s="268">
        <f>SUM(I6:L6)</f>
        <v>-116195</v>
      </c>
      <c r="N6" s="267">
        <f>IF(ISNA(MATCH(N$2,Inputs!$K$4:$AJ$4,0)),NA(),IF(SUMPRODUCT((Inputs!$A$5:$A$110=$B6)*ISNUMBER(INDEX(Inputs!$K$5:$AJ$110,0,MATCH(N$2,Inputs!$K$4:$AJ$4,0))))+SUMPRODUCT((Inputs!$C$5:$C$110=$B6)*ISNUMBER(INDEX(Inputs!$K$5:$AJ$110,0,MATCH(N$2,Inputs!$K$4:$AJ$4,0))))+SUMPRODUCT((Inputs!$E$5:$E$110=$B6)*ISNUMBER(INDEX(Inputs!$K$5:$AJ$110,0,MATCH(N$2,Inputs!$K$4:$AJ$4,0))))=0,NA(),SUMPRODUCT((Inputs!$A$5:$A$110=$B6)*Inputs!$B$5:$B$110*(((Inputs!$G$5:$G$110="moeda")+(Inputs!$G$5:$G$110="acoes"))*Inputs!$B$1+((Inputs!$G$5:$G$110&lt;&gt;"moeda")*(Inputs!$G$5:$G$110&lt;&gt;"acoes")))*INDEX(Inputs!$K$5:$AJ$110,0,MATCH(N$2,Inputs!$K$4:$AJ$4,0)))+SUMPRODUCT((Inputs!$C$5:$C$110=$B6)*Inputs!$D$5:$D$110*(((Inputs!$G$5:$G$110="moeda")+(Inputs!$G$5:$G$110="acoes"))*Inputs!$B$1+((Inputs!$G$5:$G$110&lt;&gt;"moeda")*(Inputs!$G$5:$G$110&lt;&gt;"acoes")))*INDEX(Inputs!$K$5:$AJ$110,0,MATCH(N$2,Inputs!$K$4:$AJ$4,0)))+SUMPRODUCT((Inputs!$E$5:$E$110=$B6)*Inputs!$F$5:$F$110*(((Inputs!$G$5:$G$110="moeda")+(Inputs!$G$5:$G$110="acoes"))*Inputs!$B$1+((Inputs!$G$5:$G$110&lt;&gt;"moeda")*(Inputs!$G$5:$G$110&lt;&gt;"acoes")))*INDEX(Inputs!$K$5:$AJ$110,0,MATCH(N$2,Inputs!$K$4:$AJ$4,0)))))</f>
        <v>-27932</v>
      </c>
      <c r="O6" s="267">
        <f>IF(ISNA(MATCH(O$2,Inputs!$K$4:$AJ$4,0)),NA(),IF(SUMPRODUCT((Inputs!$A$5:$A$110=$B6)*ISNUMBER(INDEX(Inputs!$K$5:$AJ$110,0,MATCH(O$2,Inputs!$K$4:$AJ$4,0))))+SUMPRODUCT((Inputs!$C$5:$C$110=$B6)*ISNUMBER(INDEX(Inputs!$K$5:$AJ$110,0,MATCH(O$2,Inputs!$K$4:$AJ$4,0))))+SUMPRODUCT((Inputs!$E$5:$E$110=$B6)*ISNUMBER(INDEX(Inputs!$K$5:$AJ$110,0,MATCH(O$2,Inputs!$K$4:$AJ$4,0))))=0,NA(),SUMPRODUCT((Inputs!$A$5:$A$110=$B6)*Inputs!$B$5:$B$110*(((Inputs!$G$5:$G$110="moeda")+(Inputs!$G$5:$G$110="acoes"))*Inputs!$B$1+((Inputs!$G$5:$G$110&lt;&gt;"moeda")*(Inputs!$G$5:$G$110&lt;&gt;"acoes")))*INDEX(Inputs!$K$5:$AJ$110,0,MATCH(O$2,Inputs!$K$4:$AJ$4,0)))+SUMPRODUCT((Inputs!$C$5:$C$110=$B6)*Inputs!$D$5:$D$110*(((Inputs!$G$5:$G$110="moeda")+(Inputs!$G$5:$G$110="acoes"))*Inputs!$B$1+((Inputs!$G$5:$G$110&lt;&gt;"moeda")*(Inputs!$G$5:$G$110&lt;&gt;"acoes")))*INDEX(Inputs!$K$5:$AJ$110,0,MATCH(O$2,Inputs!$K$4:$AJ$4,0)))+SUMPRODUCT((Inputs!$E$5:$E$110=$B6)*Inputs!$F$5:$F$110*(((Inputs!$G$5:$G$110="moeda")+(Inputs!$G$5:$G$110="acoes"))*Inputs!$B$1+((Inputs!$G$5:$G$110&lt;&gt;"moeda")*(Inputs!$G$5:$G$110&lt;&gt;"acoes")))*INDEX(Inputs!$K$5:$AJ$110,0,MATCH(O$2,Inputs!$K$4:$AJ$4,0)))))</f>
        <v>-29561</v>
      </c>
      <c r="P6" s="267">
        <f>IF(ISNA(MATCH(P$2,Inputs!$K$4:$AJ$4,0)),NA(),IF(SUMPRODUCT((Inputs!$A$5:$A$110=$B6)*ISNUMBER(INDEX(Inputs!$K$5:$AJ$110,0,MATCH(P$2,Inputs!$K$4:$AJ$4,0))))+SUMPRODUCT((Inputs!$C$5:$C$110=$B6)*ISNUMBER(INDEX(Inputs!$K$5:$AJ$110,0,MATCH(P$2,Inputs!$K$4:$AJ$4,0))))+SUMPRODUCT((Inputs!$E$5:$E$110=$B6)*ISNUMBER(INDEX(Inputs!$K$5:$AJ$110,0,MATCH(P$2,Inputs!$K$4:$AJ$4,0))))=0,NA(),SUMPRODUCT((Inputs!$A$5:$A$110=$B6)*Inputs!$B$5:$B$110*(((Inputs!$G$5:$G$110="moeda")+(Inputs!$G$5:$G$110="acoes"))*Inputs!$B$1+((Inputs!$G$5:$G$110&lt;&gt;"moeda")*(Inputs!$G$5:$G$110&lt;&gt;"acoes")))*INDEX(Inputs!$K$5:$AJ$110,0,MATCH(P$2,Inputs!$K$4:$AJ$4,0)))+SUMPRODUCT((Inputs!$C$5:$C$110=$B6)*Inputs!$D$5:$D$110*(((Inputs!$G$5:$G$110="moeda")+(Inputs!$G$5:$G$110="acoes"))*Inputs!$B$1+((Inputs!$G$5:$G$110&lt;&gt;"moeda")*(Inputs!$G$5:$G$110&lt;&gt;"acoes")))*INDEX(Inputs!$K$5:$AJ$110,0,MATCH(P$2,Inputs!$K$4:$AJ$4,0)))+SUMPRODUCT((Inputs!$E$5:$E$110=$B6)*Inputs!$F$5:$F$110*(((Inputs!$G$5:$G$110="moeda")+(Inputs!$G$5:$G$110="acoes"))*Inputs!$B$1+((Inputs!$G$5:$G$110&lt;&gt;"moeda")*(Inputs!$G$5:$G$110&lt;&gt;"acoes")))*INDEX(Inputs!$K$5:$AJ$110,0,MATCH(P$2,Inputs!$K$4:$AJ$4,0)))))</f>
        <v>-30433</v>
      </c>
      <c r="Q6" s="267">
        <f>IF(ISNA(MATCH(Q$2,Inputs!$K$4:$AJ$4,0)),NA(),IF(SUMPRODUCT((Inputs!$A$5:$A$110=$B6)*ISNUMBER(INDEX(Inputs!$K$5:$AJ$110,0,MATCH(Q$2,Inputs!$K$4:$AJ$4,0))))+SUMPRODUCT((Inputs!$C$5:$C$110=$B6)*ISNUMBER(INDEX(Inputs!$K$5:$AJ$110,0,MATCH(Q$2,Inputs!$K$4:$AJ$4,0))))+SUMPRODUCT((Inputs!$E$5:$E$110=$B6)*ISNUMBER(INDEX(Inputs!$K$5:$AJ$110,0,MATCH(Q$2,Inputs!$K$4:$AJ$4,0))))=0,NA(),SUMPRODUCT((Inputs!$A$5:$A$110=$B6)*Inputs!$B$5:$B$110*(((Inputs!$G$5:$G$110="moeda")+(Inputs!$G$5:$G$110="acoes"))*Inputs!$B$1+((Inputs!$G$5:$G$110&lt;&gt;"moeda")*(Inputs!$G$5:$G$110&lt;&gt;"acoes")))*INDEX(Inputs!$K$5:$AJ$110,0,MATCH(Q$2,Inputs!$K$4:$AJ$4,0)))+SUMPRODUCT((Inputs!$C$5:$C$110=$B6)*Inputs!$D$5:$D$110*(((Inputs!$G$5:$G$110="moeda")+(Inputs!$G$5:$G$110="acoes"))*Inputs!$B$1+((Inputs!$G$5:$G$110&lt;&gt;"moeda")*(Inputs!$G$5:$G$110&lt;&gt;"acoes")))*INDEX(Inputs!$K$5:$AJ$110,0,MATCH(Q$2,Inputs!$K$4:$AJ$4,0)))+SUMPRODUCT((Inputs!$E$5:$E$110=$B6)*Inputs!$F$5:$F$110*(((Inputs!$G$5:$G$110="moeda")+(Inputs!$G$5:$G$110="acoes"))*Inputs!$B$1+((Inputs!$G$5:$G$110&lt;&gt;"moeda")*(Inputs!$G$5:$G$110&lt;&gt;"acoes")))*INDEX(Inputs!$K$5:$AJ$110,0,MATCH(Q$2,Inputs!$K$4:$AJ$4,0)))))</f>
        <v>-31192</v>
      </c>
      <c r="R6" s="268">
        <f>SUM(N6:Q6)</f>
        <v>-119118</v>
      </c>
      <c r="S6" s="267">
        <f>IF(ISNA(MATCH(S$2,Inputs!$K$4:$AJ$4,0)),NA(),IF(SUMPRODUCT((Inputs!$A$5:$A$110=$B6)*ISNUMBER(INDEX(Inputs!$K$5:$AJ$110,0,MATCH(S$2,Inputs!$K$4:$AJ$4,0))))+SUMPRODUCT((Inputs!$C$5:$C$110=$B6)*ISNUMBER(INDEX(Inputs!$K$5:$AJ$110,0,MATCH(S$2,Inputs!$K$4:$AJ$4,0))))+SUMPRODUCT((Inputs!$E$5:$E$110=$B6)*ISNUMBER(INDEX(Inputs!$K$5:$AJ$110,0,MATCH(S$2,Inputs!$K$4:$AJ$4,0))))=0,NA(),SUMPRODUCT((Inputs!$A$5:$A$110=$B6)*Inputs!$B$5:$B$110*(((Inputs!$G$5:$G$110="moeda")+(Inputs!$G$5:$G$110="acoes"))*Inputs!$B$1+((Inputs!$G$5:$G$110&lt;&gt;"moeda")*(Inputs!$G$5:$G$110&lt;&gt;"acoes")))*INDEX(Inputs!$K$5:$AJ$110,0,MATCH(S$2,Inputs!$K$4:$AJ$4,0)))+SUMPRODUCT((Inputs!$C$5:$C$110=$B6)*Inputs!$D$5:$D$110*(((Inputs!$G$5:$G$110="moeda")+(Inputs!$G$5:$G$110="acoes"))*Inputs!$B$1+((Inputs!$G$5:$G$110&lt;&gt;"moeda")*(Inputs!$G$5:$G$110&lt;&gt;"acoes")))*INDEX(Inputs!$K$5:$AJ$110,0,MATCH(S$2,Inputs!$K$4:$AJ$4,0)))+SUMPRODUCT((Inputs!$E$5:$E$110=$B6)*Inputs!$F$5:$F$110*(((Inputs!$G$5:$G$110="moeda")+(Inputs!$G$5:$G$110="acoes"))*Inputs!$B$1+((Inputs!$G$5:$G$110&lt;&gt;"moeda")*(Inputs!$G$5:$G$110&lt;&gt;"acoes")))*INDEX(Inputs!$K$5:$AJ$110,0,MATCH(S$2,Inputs!$K$4:$AJ$4,0)))))</f>
        <v>-30108</v>
      </c>
      <c r="T6" s="267">
        <f>IF(ISNA(MATCH(T$2,Inputs!$K$4:$AJ$4,0)),NA(),IF(SUMPRODUCT((Inputs!$A$5:$A$110=$B6)*ISNUMBER(INDEX(Inputs!$K$5:$AJ$110,0,MATCH(T$2,Inputs!$K$4:$AJ$4,0))))+SUMPRODUCT((Inputs!$C$5:$C$110=$B6)*ISNUMBER(INDEX(Inputs!$K$5:$AJ$110,0,MATCH(T$2,Inputs!$K$4:$AJ$4,0))))+SUMPRODUCT((Inputs!$E$5:$E$110=$B6)*ISNUMBER(INDEX(Inputs!$K$5:$AJ$110,0,MATCH(T$2,Inputs!$K$4:$AJ$4,0))))=0,NA(),SUMPRODUCT((Inputs!$A$5:$A$110=$B6)*Inputs!$B$5:$B$110*(((Inputs!$G$5:$G$110="moeda")+(Inputs!$G$5:$G$110="acoes"))*Inputs!$B$1+((Inputs!$G$5:$G$110&lt;&gt;"moeda")*(Inputs!$G$5:$G$110&lt;&gt;"acoes")))*INDEX(Inputs!$K$5:$AJ$110,0,MATCH(T$2,Inputs!$K$4:$AJ$4,0)))+SUMPRODUCT((Inputs!$C$5:$C$110=$B6)*Inputs!$D$5:$D$110*(((Inputs!$G$5:$G$110="moeda")+(Inputs!$G$5:$G$110="acoes"))*Inputs!$B$1+((Inputs!$G$5:$G$110&lt;&gt;"moeda")*(Inputs!$G$5:$G$110&lt;&gt;"acoes")))*INDEX(Inputs!$K$5:$AJ$110,0,MATCH(T$2,Inputs!$K$4:$AJ$4,0)))+SUMPRODUCT((Inputs!$E$5:$E$110=$B6)*Inputs!$F$5:$F$110*(((Inputs!$G$5:$G$110="moeda")+(Inputs!$G$5:$G$110="acoes"))*Inputs!$B$1+((Inputs!$G$5:$G$110&lt;&gt;"moeda")*(Inputs!$G$5:$G$110&lt;&gt;"acoes")))*INDEX(Inputs!$K$5:$AJ$110,0,MATCH(T$2,Inputs!$K$4:$AJ$4,0)))))</f>
        <v>-31374</v>
      </c>
      <c r="U6" s="267">
        <f>IF(ISNA(MATCH(U$2,Inputs!$K$4:$AJ$4,0)),NA(),IF(SUMPRODUCT((Inputs!$A$5:$A$110=$B6)*ISNUMBER(INDEX(Inputs!$K$5:$AJ$110,0,MATCH(U$2,Inputs!$K$4:$AJ$4,0))))+SUMPRODUCT((Inputs!$C$5:$C$110=$B6)*ISNUMBER(INDEX(Inputs!$K$5:$AJ$110,0,MATCH(U$2,Inputs!$K$4:$AJ$4,0))))+SUMPRODUCT((Inputs!$E$5:$E$110=$B6)*ISNUMBER(INDEX(Inputs!$K$5:$AJ$110,0,MATCH(U$2,Inputs!$K$4:$AJ$4,0))))=0,NA(),SUMPRODUCT((Inputs!$A$5:$A$110=$B6)*Inputs!$B$5:$B$110*(((Inputs!$G$5:$G$110="moeda")+(Inputs!$G$5:$G$110="acoes"))*Inputs!$B$1+((Inputs!$G$5:$G$110&lt;&gt;"moeda")*(Inputs!$G$5:$G$110&lt;&gt;"acoes")))*INDEX(Inputs!$K$5:$AJ$110,0,MATCH(U$2,Inputs!$K$4:$AJ$4,0)))+SUMPRODUCT((Inputs!$C$5:$C$110=$B6)*Inputs!$D$5:$D$110*(((Inputs!$G$5:$G$110="moeda")+(Inputs!$G$5:$G$110="acoes"))*Inputs!$B$1+((Inputs!$G$5:$G$110&lt;&gt;"moeda")*(Inputs!$G$5:$G$110&lt;&gt;"acoes")))*INDEX(Inputs!$K$5:$AJ$110,0,MATCH(U$2,Inputs!$K$4:$AJ$4,0)))+SUMPRODUCT((Inputs!$E$5:$E$110=$B6)*Inputs!$F$5:$F$110*(((Inputs!$G$5:$G$110="moeda")+(Inputs!$G$5:$G$110="acoes"))*Inputs!$B$1+((Inputs!$G$5:$G$110&lt;&gt;"moeda")*(Inputs!$G$5:$G$110&lt;&gt;"acoes")))*INDEX(Inputs!$K$5:$AJ$110,0,MATCH(U$2,Inputs!$K$4:$AJ$4,0)))))</f>
        <v>-32280</v>
      </c>
      <c r="V6" s="267">
        <f>IF(ISNA(MATCH(V$2,Inputs!$K$4:$AJ$4,0)),NA(),IF(SUMPRODUCT((Inputs!$A$5:$A$110=$B6)*ISNUMBER(INDEX(Inputs!$K$5:$AJ$110,0,MATCH(V$2,Inputs!$K$4:$AJ$4,0))))+SUMPRODUCT((Inputs!$C$5:$C$110=$B6)*ISNUMBER(INDEX(Inputs!$K$5:$AJ$110,0,MATCH(V$2,Inputs!$K$4:$AJ$4,0))))+SUMPRODUCT((Inputs!$E$5:$E$110=$B6)*ISNUMBER(INDEX(Inputs!$K$5:$AJ$110,0,MATCH(V$2,Inputs!$K$4:$AJ$4,0))))=0,NA(),SUMPRODUCT((Inputs!$A$5:$A$110=$B6)*Inputs!$B$5:$B$110*(((Inputs!$G$5:$G$110="moeda")+(Inputs!$G$5:$G$110="acoes"))*Inputs!$B$1+((Inputs!$G$5:$G$110&lt;&gt;"moeda")*(Inputs!$G$5:$G$110&lt;&gt;"acoes")))*INDEX(Inputs!$K$5:$AJ$110,0,MATCH(V$2,Inputs!$K$4:$AJ$4,0)))+SUMPRODUCT((Inputs!$C$5:$C$110=$B6)*Inputs!$D$5:$D$110*(((Inputs!$G$5:$G$110="moeda")+(Inputs!$G$5:$G$110="acoes"))*Inputs!$B$1+((Inputs!$G$5:$G$110&lt;&gt;"moeda")*(Inputs!$G$5:$G$110&lt;&gt;"acoes")))*INDEX(Inputs!$K$5:$AJ$110,0,MATCH(V$2,Inputs!$K$4:$AJ$4,0)))+SUMPRODUCT((Inputs!$E$5:$E$110=$B6)*Inputs!$F$5:$F$110*(((Inputs!$G$5:$G$110="moeda")+(Inputs!$G$5:$G$110="acoes"))*Inputs!$B$1+((Inputs!$G$5:$G$110&lt;&gt;"moeda")*(Inputs!$G$5:$G$110&lt;&gt;"acoes")))*INDEX(Inputs!$K$5:$AJ$110,0,MATCH(V$2,Inputs!$K$4:$AJ$4,0)))))</f>
        <v>-33149</v>
      </c>
      <c r="W6" s="268">
        <f>SUM(S6:V6)</f>
        <v>-126911</v>
      </c>
      <c r="X6" s="267">
        <f>IF(ISNA(MATCH(X$2,Inputs!$K$4:$AJ$4,0)),NA(),IF(SUMPRODUCT((Inputs!$A$5:$A$110=$B6)*ISNUMBER(INDEX(Inputs!$K$5:$AJ$110,0,MATCH(X$2,Inputs!$K$4:$AJ$4,0))))+SUMPRODUCT((Inputs!$C$5:$C$110=$B6)*ISNUMBER(INDEX(Inputs!$K$5:$AJ$110,0,MATCH(X$2,Inputs!$K$4:$AJ$4,0))))+SUMPRODUCT((Inputs!$E$5:$E$110=$B6)*ISNUMBER(INDEX(Inputs!$K$5:$AJ$110,0,MATCH(X$2,Inputs!$K$4:$AJ$4,0))))=0,NA(),SUMPRODUCT((Inputs!$A$5:$A$110=$B6)*Inputs!$B$5:$B$110*(((Inputs!$G$5:$G$110="moeda")+(Inputs!$G$5:$G$110="acoes"))*Inputs!$B$1+((Inputs!$G$5:$G$110&lt;&gt;"moeda")*(Inputs!$G$5:$G$110&lt;&gt;"acoes")))*INDEX(Inputs!$K$5:$AJ$110,0,MATCH(X$2,Inputs!$K$4:$AJ$4,0)))+SUMPRODUCT((Inputs!$C$5:$C$110=$B6)*Inputs!$D$5:$D$110*(((Inputs!$G$5:$G$110="moeda")+(Inputs!$G$5:$G$110="acoes"))*Inputs!$B$1+((Inputs!$G$5:$G$110&lt;&gt;"moeda")*(Inputs!$G$5:$G$110&lt;&gt;"acoes")))*INDEX(Inputs!$K$5:$AJ$110,0,MATCH(X$2,Inputs!$K$4:$AJ$4,0)))+SUMPRODUCT((Inputs!$E$5:$E$110=$B6)*Inputs!$F$5:$F$110*(((Inputs!$G$5:$G$110="moeda")+(Inputs!$G$5:$G$110="acoes"))*Inputs!$B$1+((Inputs!$G$5:$G$110&lt;&gt;"moeda")*(Inputs!$G$5:$G$110&lt;&gt;"acoes")))*INDEX(Inputs!$K$5:$AJ$110,0,MATCH(X$2,Inputs!$K$4:$AJ$4,0)))))</f>
        <v>-30802</v>
      </c>
      <c r="Y6" s="267">
        <f>IF(ISNA(MATCH(Y$2,Inputs!$K$4:$AJ$4,0)),NA(),IF(SUMPRODUCT((Inputs!$A$5:$A$110=$B6)*ISNUMBER(INDEX(Inputs!$K$5:$AJ$110,0,MATCH(Y$2,Inputs!$K$4:$AJ$4,0))))+SUMPRODUCT((Inputs!$C$5:$C$110=$B6)*ISNUMBER(INDEX(Inputs!$K$5:$AJ$110,0,MATCH(Y$2,Inputs!$K$4:$AJ$4,0))))+SUMPRODUCT((Inputs!$E$5:$E$110=$B6)*ISNUMBER(INDEX(Inputs!$K$5:$AJ$110,0,MATCH(Y$2,Inputs!$K$4:$AJ$4,0))))=0,NA(),SUMPRODUCT((Inputs!$A$5:$A$110=$B6)*Inputs!$B$5:$B$110*(((Inputs!$G$5:$G$110="moeda")+(Inputs!$G$5:$G$110="acoes"))*Inputs!$B$1+((Inputs!$G$5:$G$110&lt;&gt;"moeda")*(Inputs!$G$5:$G$110&lt;&gt;"acoes")))*INDEX(Inputs!$K$5:$AJ$110,0,MATCH(Y$2,Inputs!$K$4:$AJ$4,0)))+SUMPRODUCT((Inputs!$C$5:$C$110=$B6)*Inputs!$D$5:$D$110*(((Inputs!$G$5:$G$110="moeda")+(Inputs!$G$5:$G$110="acoes"))*Inputs!$B$1+((Inputs!$G$5:$G$110&lt;&gt;"moeda")*(Inputs!$G$5:$G$110&lt;&gt;"acoes")))*INDEX(Inputs!$K$5:$AJ$110,0,MATCH(Y$2,Inputs!$K$4:$AJ$4,0)))+SUMPRODUCT((Inputs!$E$5:$E$110=$B6)*Inputs!$F$5:$F$110*(((Inputs!$G$5:$G$110="moeda")+(Inputs!$G$5:$G$110="acoes"))*Inputs!$B$1+((Inputs!$G$5:$G$110&lt;&gt;"moeda")*(Inputs!$G$5:$G$110&lt;&gt;"acoes")))*INDEX(Inputs!$K$5:$AJ$110,0,MATCH(Y$2,Inputs!$K$4:$AJ$4,0)))))</f>
        <v>-33858</v>
      </c>
      <c r="Z6" s="267">
        <f>IF(ISNA(MATCH(Z$2,Inputs!$K$4:$AJ$4,0)),NA(),IF(SUMPRODUCT((Inputs!$A$5:$A$110=$B6)*ISNUMBER(INDEX(Inputs!$K$5:$AJ$110,0,MATCH(Z$2,Inputs!$K$4:$AJ$4,0))))+SUMPRODUCT((Inputs!$C$5:$C$110=$B6)*ISNUMBER(INDEX(Inputs!$K$5:$AJ$110,0,MATCH(Z$2,Inputs!$K$4:$AJ$4,0))))+SUMPRODUCT((Inputs!$E$5:$E$110=$B6)*ISNUMBER(INDEX(Inputs!$K$5:$AJ$110,0,MATCH(Z$2,Inputs!$K$4:$AJ$4,0))))=0,NA(),SUMPRODUCT((Inputs!$A$5:$A$110=$B6)*Inputs!$B$5:$B$110*(((Inputs!$G$5:$G$110="moeda")+(Inputs!$G$5:$G$110="acoes"))*Inputs!$B$1+((Inputs!$G$5:$G$110&lt;&gt;"moeda")*(Inputs!$G$5:$G$110&lt;&gt;"acoes")))*INDEX(Inputs!$K$5:$AJ$110,0,MATCH(Z$2,Inputs!$K$4:$AJ$4,0)))+SUMPRODUCT((Inputs!$C$5:$C$110=$B6)*Inputs!$D$5:$D$110*(((Inputs!$G$5:$G$110="moeda")+(Inputs!$G$5:$G$110="acoes"))*Inputs!$B$1+((Inputs!$G$5:$G$110&lt;&gt;"moeda")*(Inputs!$G$5:$G$110&lt;&gt;"acoes")))*INDEX(Inputs!$K$5:$AJ$110,0,MATCH(Z$2,Inputs!$K$4:$AJ$4,0)))+SUMPRODUCT((Inputs!$E$5:$E$110=$B6)*Inputs!$F$5:$F$110*(((Inputs!$G$5:$G$110="moeda")+(Inputs!$G$5:$G$110="acoes"))*Inputs!$B$1+((Inputs!$G$5:$G$110&lt;&gt;"moeda")*(Inputs!$G$5:$G$110&lt;&gt;"acoes")))*INDEX(Inputs!$K$5:$AJ$110,0,MATCH(Z$2,Inputs!$K$4:$AJ$4,0)))))</f>
        <v>-34488</v>
      </c>
      <c r="AA6" s="267">
        <f>IF(ISNA(MATCH(AA$2,Inputs!$K$4:$AJ$4,0)),NA(),IF(SUMPRODUCT((Inputs!$A$5:$A$110=$B6)*ISNUMBER(INDEX(Inputs!$K$5:$AJ$110,0,MATCH(AA$2,Inputs!$K$4:$AJ$4,0))))+SUMPRODUCT((Inputs!$C$5:$C$110=$B6)*ISNUMBER(INDEX(Inputs!$K$5:$AJ$110,0,MATCH(AA$2,Inputs!$K$4:$AJ$4,0))))+SUMPRODUCT((Inputs!$E$5:$E$110=$B6)*ISNUMBER(INDEX(Inputs!$K$5:$AJ$110,0,MATCH(AA$2,Inputs!$K$4:$AJ$4,0))))=0,NA(),SUMPRODUCT((Inputs!$A$5:$A$110=$B6)*Inputs!$B$5:$B$110*(((Inputs!$G$5:$G$110="moeda")+(Inputs!$G$5:$G$110="acoes"))*Inputs!$B$1+((Inputs!$G$5:$G$110&lt;&gt;"moeda")*(Inputs!$G$5:$G$110&lt;&gt;"acoes")))*INDEX(Inputs!$K$5:$AJ$110,0,MATCH(AA$2,Inputs!$K$4:$AJ$4,0)))+SUMPRODUCT((Inputs!$C$5:$C$110=$B6)*Inputs!$D$5:$D$110*(((Inputs!$G$5:$G$110="moeda")+(Inputs!$G$5:$G$110="acoes"))*Inputs!$B$1+((Inputs!$G$5:$G$110&lt;&gt;"moeda")*(Inputs!$G$5:$G$110&lt;&gt;"acoes")))*INDEX(Inputs!$K$5:$AJ$110,0,MATCH(AA$2,Inputs!$K$4:$AJ$4,0)))+SUMPRODUCT((Inputs!$E$5:$E$110=$B6)*Inputs!$F$5:$F$110*(((Inputs!$G$5:$G$110="moeda")+(Inputs!$G$5:$G$110="acoes"))*Inputs!$B$1+((Inputs!$G$5:$G$110&lt;&gt;"moeda")*(Inputs!$G$5:$G$110&lt;&gt;"acoes")))*INDEX(Inputs!$K$5:$AJ$110,0,MATCH(AA$2,Inputs!$K$4:$AJ$4,0)))))</f>
        <v>-34592</v>
      </c>
      <c r="AB6" s="268">
        <f>SUM(X6:AA6)</f>
        <v>-133740</v>
      </c>
      <c r="AC6" s="267">
        <f>IF(ISNA(MATCH(AC$2,Inputs!$K$4:$AJ$4,0)),NA(),IF(SUMPRODUCT((Inputs!$A$5:$A$110=$B6)*ISNUMBER(INDEX(Inputs!$K$5:$AJ$110,0,MATCH(AC$2,Inputs!$K$4:$AJ$4,0))))+SUMPRODUCT((Inputs!$C$5:$C$110=$B6)*ISNUMBER(INDEX(Inputs!$K$5:$AJ$110,0,MATCH(AC$2,Inputs!$K$4:$AJ$4,0))))+SUMPRODUCT((Inputs!$E$5:$E$110=$B6)*ISNUMBER(INDEX(Inputs!$K$5:$AJ$110,0,MATCH(AC$2,Inputs!$K$4:$AJ$4,0))))=0,NA(),SUMPRODUCT((Inputs!$A$5:$A$110=$B6)*Inputs!$B$5:$B$110*(((Inputs!$G$5:$G$110="moeda")+(Inputs!$G$5:$G$110="acoes"))*Inputs!$B$1+((Inputs!$G$5:$G$110&lt;&gt;"moeda")*(Inputs!$G$5:$G$110&lt;&gt;"acoes")))*INDEX(Inputs!$K$5:$AJ$110,0,MATCH(AC$2,Inputs!$K$4:$AJ$4,0)))+SUMPRODUCT((Inputs!$C$5:$C$110=$B6)*Inputs!$D$5:$D$110*(((Inputs!$G$5:$G$110="moeda")+(Inputs!$G$5:$G$110="acoes"))*Inputs!$B$1+((Inputs!$G$5:$G$110&lt;&gt;"moeda")*(Inputs!$G$5:$G$110&lt;&gt;"acoes")))*INDEX(Inputs!$K$5:$AJ$110,0,MATCH(AC$2,Inputs!$K$4:$AJ$4,0)))+SUMPRODUCT((Inputs!$E$5:$E$110=$B6)*Inputs!$F$5:$F$110*(((Inputs!$G$5:$G$110="moeda")+(Inputs!$G$5:$G$110="acoes"))*Inputs!$B$1+((Inputs!$G$5:$G$110&lt;&gt;"moeda")*(Inputs!$G$5:$G$110&lt;&gt;"acoes")))*INDEX(Inputs!$K$5:$AJ$110,0,MATCH(AC$2,Inputs!$K$4:$AJ$4,0)))))</f>
        <v>-33379</v>
      </c>
      <c r="AD6" s="267">
        <f>IF(ISNA(MATCH(AD$2,Inputs!$K$4:$AJ$4,0)),NA(),IF(SUMPRODUCT((Inputs!$A$5:$A$110=$B6)*ISNUMBER(INDEX(Inputs!$K$5:$AJ$110,0,MATCH(AD$2,Inputs!$K$4:$AJ$4,0))))+SUMPRODUCT((Inputs!$C$5:$C$110=$B6)*ISNUMBER(INDEX(Inputs!$K$5:$AJ$110,0,MATCH(AD$2,Inputs!$K$4:$AJ$4,0))))+SUMPRODUCT((Inputs!$E$5:$E$110=$B6)*ISNUMBER(INDEX(Inputs!$K$5:$AJ$110,0,MATCH(AD$2,Inputs!$K$4:$AJ$4,0))))=0,NA(),SUMPRODUCT((Inputs!$A$5:$A$110=$B6)*Inputs!$B$5:$B$110*(((Inputs!$G$5:$G$110="moeda")+(Inputs!$G$5:$G$110="acoes"))*Inputs!$B$1+((Inputs!$G$5:$G$110&lt;&gt;"moeda")*(Inputs!$G$5:$G$110&lt;&gt;"acoes")))*INDEX(Inputs!$K$5:$AJ$110,0,MATCH(AD$2,Inputs!$K$4:$AJ$4,0)))+SUMPRODUCT((Inputs!$C$5:$C$110=$B6)*Inputs!$D$5:$D$110*(((Inputs!$G$5:$G$110="moeda")+(Inputs!$G$5:$G$110="acoes"))*Inputs!$B$1+((Inputs!$G$5:$G$110&lt;&gt;"moeda")*(Inputs!$G$5:$G$110&lt;&gt;"acoes")))*INDEX(Inputs!$K$5:$AJ$110,0,MATCH(AD$2,Inputs!$K$4:$AJ$4,0)))+SUMPRODUCT((Inputs!$E$5:$E$110=$B6)*Inputs!$F$5:$F$110*(((Inputs!$G$5:$G$110="moeda")+(Inputs!$G$5:$G$110="acoes"))*Inputs!$B$1+((Inputs!$G$5:$G$110&lt;&gt;"moeda")*(Inputs!$G$5:$G$110&lt;&gt;"acoes")))*INDEX(Inputs!$K$5:$AJ$110,0,MATCH(AD$2,Inputs!$K$4:$AJ$4,0)))))</f>
        <v>-35825</v>
      </c>
      <c r="AE6" s="267" t="e">
        <f>IF(ISNA(MATCH(AE$2,Inputs!$K$4:$AJ$4,0)),NA(),IF(SUMPRODUCT((Inputs!$A$5:$A$110=$B6)*ISNUMBER(INDEX(Inputs!$K$5:$AJ$110,0,MATCH(AE$2,Inputs!$K$4:$AJ$4,0))))+SUMPRODUCT((Inputs!$C$5:$C$110=$B6)*ISNUMBER(INDEX(Inputs!$K$5:$AJ$110,0,MATCH(AE$2,Inputs!$K$4:$AJ$4,0))))+SUMPRODUCT((Inputs!$E$5:$E$110=$B6)*ISNUMBER(INDEX(Inputs!$K$5:$AJ$110,0,MATCH(AE$2,Inputs!$K$4:$AJ$4,0))))=0,NA(),SUMPRODUCT((Inputs!$A$5:$A$110=$B6)*Inputs!$B$5:$B$110*(((Inputs!$G$5:$G$110="moeda")+(Inputs!$G$5:$G$110="acoes"))*Inputs!$B$1+((Inputs!$G$5:$G$110&lt;&gt;"moeda")*(Inputs!$G$5:$G$110&lt;&gt;"acoes")))*INDEX(Inputs!$K$5:$AJ$110,0,MATCH(AE$2,Inputs!$K$4:$AJ$4,0)))+SUMPRODUCT((Inputs!$C$5:$C$110=$B6)*Inputs!$D$5:$D$110*(((Inputs!$G$5:$G$110="moeda")+(Inputs!$G$5:$G$110="acoes"))*Inputs!$B$1+((Inputs!$G$5:$G$110&lt;&gt;"moeda")*(Inputs!$G$5:$G$110&lt;&gt;"acoes")))*INDEX(Inputs!$K$5:$AJ$110,0,MATCH(AE$2,Inputs!$K$4:$AJ$4,0)))+SUMPRODUCT((Inputs!$E$5:$E$110=$B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" s="267" t="e">
        <f>IF(ISNA(MATCH(AF$2,Inputs!$K$4:$AJ$4,0)),NA(),IF(SUMPRODUCT((Inputs!$A$5:$A$110=$B6)*ISNUMBER(INDEX(Inputs!$K$5:$AJ$110,0,MATCH(AF$2,Inputs!$K$4:$AJ$4,0))))+SUMPRODUCT((Inputs!$C$5:$C$110=$B6)*ISNUMBER(INDEX(Inputs!$K$5:$AJ$110,0,MATCH(AF$2,Inputs!$K$4:$AJ$4,0))))+SUMPRODUCT((Inputs!$E$5:$E$110=$B6)*ISNUMBER(INDEX(Inputs!$K$5:$AJ$110,0,MATCH(AF$2,Inputs!$K$4:$AJ$4,0))))=0,NA(),SUMPRODUCT((Inputs!$A$5:$A$110=$B6)*Inputs!$B$5:$B$110*(((Inputs!$G$5:$G$110="moeda")+(Inputs!$G$5:$G$110="acoes"))*Inputs!$B$1+((Inputs!$G$5:$G$110&lt;&gt;"moeda")*(Inputs!$G$5:$G$110&lt;&gt;"acoes")))*INDEX(Inputs!$K$5:$AJ$110,0,MATCH(AF$2,Inputs!$K$4:$AJ$4,0)))+SUMPRODUCT((Inputs!$C$5:$C$110=$B6)*Inputs!$D$5:$D$110*(((Inputs!$G$5:$G$110="moeda")+(Inputs!$G$5:$G$110="acoes"))*Inputs!$B$1+((Inputs!$G$5:$G$110&lt;&gt;"moeda")*(Inputs!$G$5:$G$110&lt;&gt;"acoes")))*INDEX(Inputs!$K$5:$AJ$110,0,MATCH(AF$2,Inputs!$K$4:$AJ$4,0)))+SUMPRODUCT((Inputs!$E$5:$E$110=$B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" s="268" t="e">
        <f>SUM(AC6:AF6)</f>
        <v>#N/A</v>
      </c>
      <c r="AH6" s="267">
        <f>IF(ISNA(MATCH(AH$2,Inputs!$K$4:$AJ$4,0)),NA(),IF(SUMPRODUCT((Inputs!$A$5:$A$110=$B6)*ISNUMBER(INDEX(Inputs!$K$5:$AJ$110,0,MATCH(AH$2,Inputs!$K$4:$AJ$4,0))))+SUMPRODUCT((Inputs!$C$5:$C$110=$B6)*ISNUMBER(INDEX(Inputs!$K$5:$AJ$110,0,MATCH(AH$2,Inputs!$K$4:$AJ$4,0))))+SUMPRODUCT((Inputs!$E$5:$E$110=$B6)*ISNUMBER(INDEX(Inputs!$K$5:$AJ$110,0,MATCH(AH$2,Inputs!$K$4:$AJ$4,0))))=0,NA(),SUMPRODUCT((Inputs!$A$5:$A$110=$B6)*Inputs!$B$5:$B$110*(((Inputs!$G$5:$G$110="moeda")+(Inputs!$G$5:$G$110="acoes"))*Inputs!$B$1+((Inputs!$G$5:$G$110&lt;&gt;"moeda")*(Inputs!$G$5:$G$110&lt;&gt;"acoes")))*INDEX(Inputs!$K$5:$AJ$110,0,MATCH(AH$2,Inputs!$K$4:$AJ$4,0)))+SUMPRODUCT((Inputs!$C$5:$C$110=$B6)*Inputs!$D$5:$D$110*(((Inputs!$G$5:$G$110="moeda")+(Inputs!$G$5:$G$110="acoes"))*Inputs!$B$1+((Inputs!$G$5:$G$110&lt;&gt;"moeda")*(Inputs!$G$5:$G$110&lt;&gt;"acoes")))*INDEX(Inputs!$K$5:$AJ$110,0,MATCH(AH$2,Inputs!$K$4:$AJ$4,0)))+SUMPRODUCT((Inputs!$E$5:$E$110=$B6)*Inputs!$F$5:$F$110*(((Inputs!$G$5:$G$110="moeda")+(Inputs!$G$5:$G$110="acoes"))*Inputs!$B$1+((Inputs!$G$5:$G$110&lt;&gt;"moeda")*(Inputs!$G$5:$G$110&lt;&gt;"acoes")))*INDEX(Inputs!$K$5:$AJ$110,0,MATCH(AH$2,Inputs!$K$4:$AJ$4,0)))))</f>
        <v>-24581</v>
      </c>
      <c r="AI6" s="267">
        <f>IF(ISNA(MATCH(AI$2,Inputs!$K$4:$AJ$4,0)),NA(),IF(SUMPRODUCT((Inputs!$A$5:$A$110=$B6)*ISNUMBER(INDEX(Inputs!$K$5:$AJ$110,0,MATCH(AI$2,Inputs!$K$4:$AJ$4,0))))+SUMPRODUCT((Inputs!$C$5:$C$110=$B6)*ISNUMBER(INDEX(Inputs!$K$5:$AJ$110,0,MATCH(AI$2,Inputs!$K$4:$AJ$4,0))))+SUMPRODUCT((Inputs!$E$5:$E$110=$B6)*ISNUMBER(INDEX(Inputs!$K$5:$AJ$110,0,MATCH(AI$2,Inputs!$K$4:$AJ$4,0))))=0,NA(),SUMPRODUCT((Inputs!$A$5:$A$110=$B6)*Inputs!$B$5:$B$110*(((Inputs!$G$5:$G$110="moeda")+(Inputs!$G$5:$G$110="acoes"))*Inputs!$B$1+((Inputs!$G$5:$G$110&lt;&gt;"moeda")*(Inputs!$G$5:$G$110&lt;&gt;"acoes")))*INDEX(Inputs!$K$5:$AJ$110,0,MATCH(AI$2,Inputs!$K$4:$AJ$4,0)))+SUMPRODUCT((Inputs!$C$5:$C$110=$B6)*Inputs!$D$5:$D$110*(((Inputs!$G$5:$G$110="moeda")+(Inputs!$G$5:$G$110="acoes"))*Inputs!$B$1+((Inputs!$G$5:$G$110&lt;&gt;"moeda")*(Inputs!$G$5:$G$110&lt;&gt;"acoes")))*INDEX(Inputs!$K$5:$AJ$110,0,MATCH(AI$2,Inputs!$K$4:$AJ$4,0)))+SUMPRODUCT((Inputs!$E$5:$E$110=$B6)*Inputs!$F$5:$F$110*(((Inputs!$G$5:$G$110="moeda")+(Inputs!$G$5:$G$110="acoes"))*Inputs!$B$1+((Inputs!$G$5:$G$110&lt;&gt;"moeda")*(Inputs!$G$5:$G$110&lt;&gt;"acoes")))*INDEX(Inputs!$K$5:$AJ$110,0,MATCH(AI$2,Inputs!$K$4:$AJ$4,0)))))</f>
        <v>-26223</v>
      </c>
      <c r="AJ6" s="267">
        <f>IF(ISNA(MATCH(AJ$2,Inputs!$K$4:$AJ$4,0)),NA(),IF(SUMPRODUCT((Inputs!$A$5:$A$110=$B6)*ISNUMBER(INDEX(Inputs!$K$5:$AJ$110,0,MATCH(AJ$2,Inputs!$K$4:$AJ$4,0))))+SUMPRODUCT((Inputs!$C$5:$C$110=$B6)*ISNUMBER(INDEX(Inputs!$K$5:$AJ$110,0,MATCH(AJ$2,Inputs!$K$4:$AJ$4,0))))+SUMPRODUCT((Inputs!$E$5:$E$110=$B6)*ISNUMBER(INDEX(Inputs!$K$5:$AJ$110,0,MATCH(AJ$2,Inputs!$K$4:$AJ$4,0))))=0,NA(),SUMPRODUCT((Inputs!$A$5:$A$110=$B6)*Inputs!$B$5:$B$110*(((Inputs!$G$5:$G$110="moeda")+(Inputs!$G$5:$G$110="acoes"))*Inputs!$B$1+((Inputs!$G$5:$G$110&lt;&gt;"moeda")*(Inputs!$G$5:$G$110&lt;&gt;"acoes")))*INDEX(Inputs!$K$5:$AJ$110,0,MATCH(AJ$2,Inputs!$K$4:$AJ$4,0)))+SUMPRODUCT((Inputs!$C$5:$C$110=$B6)*Inputs!$D$5:$D$110*(((Inputs!$G$5:$G$110="moeda")+(Inputs!$G$5:$G$110="acoes"))*Inputs!$B$1+((Inputs!$G$5:$G$110&lt;&gt;"moeda")*(Inputs!$G$5:$G$110&lt;&gt;"acoes")))*INDEX(Inputs!$K$5:$AJ$110,0,MATCH(AJ$2,Inputs!$K$4:$AJ$4,0)))+SUMPRODUCT((Inputs!$E$5:$E$110=$B6)*Inputs!$F$5:$F$110*(((Inputs!$G$5:$G$110="moeda")+(Inputs!$G$5:$G$110="acoes"))*Inputs!$B$1+((Inputs!$G$5:$G$110&lt;&gt;"moeda")*(Inputs!$G$5:$G$110&lt;&gt;"acoes")))*INDEX(Inputs!$K$5:$AJ$110,0,MATCH(AJ$2,Inputs!$K$4:$AJ$4,0)))))</f>
        <v>-25820</v>
      </c>
      <c r="AK6" s="267">
        <f>IF(ISNA(MATCH(AK$2,Inputs!$K$4:$AJ$4,0)),NA(),IF(SUMPRODUCT((Inputs!$A$5:$A$110=$B6)*ISNUMBER(INDEX(Inputs!$K$5:$AJ$110,0,MATCH(AK$2,Inputs!$K$4:$AJ$4,0))))+SUMPRODUCT((Inputs!$C$5:$C$110=$B6)*ISNUMBER(INDEX(Inputs!$K$5:$AJ$110,0,MATCH(AK$2,Inputs!$K$4:$AJ$4,0))))+SUMPRODUCT((Inputs!$E$5:$E$110=$B6)*ISNUMBER(INDEX(Inputs!$K$5:$AJ$110,0,MATCH(AK$2,Inputs!$K$4:$AJ$4,0))))=0,NA(),SUMPRODUCT((Inputs!$A$5:$A$110=$B6)*Inputs!$B$5:$B$110*(((Inputs!$G$5:$G$110="moeda")+(Inputs!$G$5:$G$110="acoes"))*Inputs!$B$1+((Inputs!$G$5:$G$110&lt;&gt;"moeda")*(Inputs!$G$5:$G$110&lt;&gt;"acoes")))*INDEX(Inputs!$K$5:$AJ$110,0,MATCH(AK$2,Inputs!$K$4:$AJ$4,0)))+SUMPRODUCT((Inputs!$C$5:$C$110=$B6)*Inputs!$D$5:$D$110*(((Inputs!$G$5:$G$110="moeda")+(Inputs!$G$5:$G$110="acoes"))*Inputs!$B$1+((Inputs!$G$5:$G$110&lt;&gt;"moeda")*(Inputs!$G$5:$G$110&lt;&gt;"acoes")))*INDEX(Inputs!$K$5:$AJ$110,0,MATCH(AK$2,Inputs!$K$4:$AJ$4,0)))+SUMPRODUCT((Inputs!$E$5:$E$110=$B6)*Inputs!$F$5:$F$110*(((Inputs!$G$5:$G$110="moeda")+(Inputs!$G$5:$G$110="acoes"))*Inputs!$B$1+((Inputs!$G$5:$G$110&lt;&gt;"moeda")*(Inputs!$G$5:$G$110&lt;&gt;"acoes")))*INDEX(Inputs!$K$5:$AJ$110,0,MATCH(AK$2,Inputs!$K$4:$AJ$4,0)))))</f>
        <v>-28512</v>
      </c>
      <c r="AL6" s="268">
        <f>SUM(AH6:AK6)</f>
        <v>-105136</v>
      </c>
    </row>
    <row r="7" ht="12.75" customHeight="1" s="255">
      <c r="B7" s="265" t="n">
        <v>4</v>
      </c>
      <c r="C7" s="269" t="inlineStr">
        <is>
          <t>D&amp;A</t>
        </is>
      </c>
      <c r="D7" s="267">
        <f>IF(ISNA(MATCH(D$2,Inputs!$K$4:$AJ$4,0)),NA(),IF(SUMPRODUCT((Inputs!$A$5:$A$110=$B7)*ISNUMBER(INDEX(Inputs!$K$5:$AJ$110,0,MATCH(D$2,Inputs!$K$4:$AJ$4,0))))+SUMPRODUCT((Inputs!$C$5:$C$110=$B7)*ISNUMBER(INDEX(Inputs!$K$5:$AJ$110,0,MATCH(D$2,Inputs!$K$4:$AJ$4,0))))+SUMPRODUCT((Inputs!$E$5:$E$110=$B7)*ISNUMBER(INDEX(Inputs!$K$5:$AJ$110,0,MATCH(D$2,Inputs!$K$4:$AJ$4,0))))=0,NA(),SUMPRODUCT((Inputs!$A$5:$A$110=$B7)*Inputs!$B$5:$B$110*(((Inputs!$G$5:$G$110="moeda")+(Inputs!$G$5:$G$110="acoes"))*Inputs!$B$1+((Inputs!$G$5:$G$110&lt;&gt;"moeda")*(Inputs!$G$5:$G$110&lt;&gt;"acoes")))*INDEX(Inputs!$K$5:$AJ$110,0,MATCH(D$2,Inputs!$K$4:$AJ$4,0)))+SUMPRODUCT((Inputs!$C$5:$C$110=$B7)*Inputs!$D$5:$D$110*(((Inputs!$G$5:$G$110="moeda")+(Inputs!$G$5:$G$110="acoes"))*Inputs!$B$1+((Inputs!$G$5:$G$110&lt;&gt;"moeda")*(Inputs!$G$5:$G$110&lt;&gt;"acoes")))*INDEX(Inputs!$K$5:$AJ$110,0,MATCH(D$2,Inputs!$K$4:$AJ$4,0)))+SUMPRODUCT((Inputs!$E$5:$E$110=$B7)*Inputs!$F$5:$F$110*(((Inputs!$G$5:$G$110="moeda")+(Inputs!$G$5:$G$110="acoes"))*Inputs!$B$1+((Inputs!$G$5:$G$110&lt;&gt;"moeda")*(Inputs!$G$5:$G$110&lt;&gt;"acoes")))*INDEX(Inputs!$K$5:$AJ$110,0,MATCH(D$2,Inputs!$K$4:$AJ$4,0)))))</f>
        <v>-2661</v>
      </c>
      <c r="E7" s="267">
        <f>IF(ISNA(MATCH(E$2,Inputs!$K$4:$AJ$4,0)),NA(),IF(SUMPRODUCT((Inputs!$A$5:$A$110=$B7)*ISNUMBER(INDEX(Inputs!$K$5:$AJ$110,0,MATCH(E$2,Inputs!$K$4:$AJ$4,0))))+SUMPRODUCT((Inputs!$C$5:$C$110=$B7)*ISNUMBER(INDEX(Inputs!$K$5:$AJ$110,0,MATCH(E$2,Inputs!$K$4:$AJ$4,0))))+SUMPRODUCT((Inputs!$E$5:$E$110=$B7)*ISNUMBER(INDEX(Inputs!$K$5:$AJ$110,0,MATCH(E$2,Inputs!$K$4:$AJ$4,0))))=0,NA(),SUMPRODUCT((Inputs!$A$5:$A$110=$B7)*Inputs!$B$5:$B$110*(((Inputs!$G$5:$G$110="moeda")+(Inputs!$G$5:$G$110="acoes"))*Inputs!$B$1+((Inputs!$G$5:$G$110&lt;&gt;"moeda")*(Inputs!$G$5:$G$110&lt;&gt;"acoes")))*INDEX(Inputs!$K$5:$AJ$110,0,MATCH(E$2,Inputs!$K$4:$AJ$4,0)))+SUMPRODUCT((Inputs!$C$5:$C$110=$B7)*Inputs!$D$5:$D$110*(((Inputs!$G$5:$G$110="moeda")+(Inputs!$G$5:$G$110="acoes"))*Inputs!$B$1+((Inputs!$G$5:$G$110&lt;&gt;"moeda")*(Inputs!$G$5:$G$110&lt;&gt;"acoes")))*INDEX(Inputs!$K$5:$AJ$110,0,MATCH(E$2,Inputs!$K$4:$AJ$4,0)))+SUMPRODUCT((Inputs!$E$5:$E$110=$B7)*Inputs!$F$5:$F$110*(((Inputs!$G$5:$G$110="moeda")+(Inputs!$G$5:$G$110="acoes"))*Inputs!$B$1+((Inputs!$G$5:$G$110&lt;&gt;"moeda")*(Inputs!$G$5:$G$110&lt;&gt;"acoes")))*INDEX(Inputs!$K$5:$AJ$110,0,MATCH(E$2,Inputs!$K$4:$AJ$4,0)))))</f>
        <v>-2641</v>
      </c>
      <c r="F7" s="267">
        <f>IF(ISNA(MATCH(F$2,Inputs!$K$4:$AJ$4,0)),NA(),IF(SUMPRODUCT((Inputs!$A$5:$A$110=$B7)*ISNUMBER(INDEX(Inputs!$K$5:$AJ$110,0,MATCH(F$2,Inputs!$K$4:$AJ$4,0))))+SUMPRODUCT((Inputs!$C$5:$C$110=$B7)*ISNUMBER(INDEX(Inputs!$K$5:$AJ$110,0,MATCH(F$2,Inputs!$K$4:$AJ$4,0))))+SUMPRODUCT((Inputs!$E$5:$E$110=$B7)*ISNUMBER(INDEX(Inputs!$K$5:$AJ$110,0,MATCH(F$2,Inputs!$K$4:$AJ$4,0))))=0,NA(),SUMPRODUCT((Inputs!$A$5:$A$110=$B7)*Inputs!$B$5:$B$110*(((Inputs!$G$5:$G$110="moeda")+(Inputs!$G$5:$G$110="acoes"))*Inputs!$B$1+((Inputs!$G$5:$G$110&lt;&gt;"moeda")*(Inputs!$G$5:$G$110&lt;&gt;"acoes")))*INDEX(Inputs!$K$5:$AJ$110,0,MATCH(F$2,Inputs!$K$4:$AJ$4,0)))+SUMPRODUCT((Inputs!$C$5:$C$110=$B7)*Inputs!$D$5:$D$110*(((Inputs!$G$5:$G$110="moeda")+(Inputs!$G$5:$G$110="acoes"))*Inputs!$B$1+((Inputs!$G$5:$G$110&lt;&gt;"moeda")*(Inputs!$G$5:$G$110&lt;&gt;"acoes")))*INDEX(Inputs!$K$5:$AJ$110,0,MATCH(F$2,Inputs!$K$4:$AJ$4,0)))+SUMPRODUCT((Inputs!$E$5:$E$110=$B7)*Inputs!$F$5:$F$110*(((Inputs!$G$5:$G$110="moeda")+(Inputs!$G$5:$G$110="acoes"))*Inputs!$B$1+((Inputs!$G$5:$G$110&lt;&gt;"moeda")*(Inputs!$G$5:$G$110&lt;&gt;"acoes")))*INDEX(Inputs!$K$5:$AJ$110,0,MATCH(F$2,Inputs!$K$4:$AJ$4,0)))))</f>
        <v>-2650</v>
      </c>
      <c r="G7" s="267">
        <f>IF(ISNA(MATCH(G$2,Inputs!$K$4:$AJ$4,0)),NA(),IF(SUMPRODUCT((Inputs!$A$5:$A$110=$B7)*ISNUMBER(INDEX(Inputs!$K$5:$AJ$110,0,MATCH(G$2,Inputs!$K$4:$AJ$4,0))))+SUMPRODUCT((Inputs!$C$5:$C$110=$B7)*ISNUMBER(INDEX(Inputs!$K$5:$AJ$110,0,MATCH(G$2,Inputs!$K$4:$AJ$4,0))))+SUMPRODUCT((Inputs!$E$5:$E$110=$B7)*ISNUMBER(INDEX(Inputs!$K$5:$AJ$110,0,MATCH(G$2,Inputs!$K$4:$AJ$4,0))))=0,NA(),SUMPRODUCT((Inputs!$A$5:$A$110=$B7)*Inputs!$B$5:$B$110*(((Inputs!$G$5:$G$110="moeda")+(Inputs!$G$5:$G$110="acoes"))*Inputs!$B$1+((Inputs!$G$5:$G$110&lt;&gt;"moeda")*(Inputs!$G$5:$G$110&lt;&gt;"acoes")))*INDEX(Inputs!$K$5:$AJ$110,0,MATCH(G$2,Inputs!$K$4:$AJ$4,0)))+SUMPRODUCT((Inputs!$C$5:$C$110=$B7)*Inputs!$D$5:$D$110*(((Inputs!$G$5:$G$110="moeda")+(Inputs!$G$5:$G$110="acoes"))*Inputs!$B$1+((Inputs!$G$5:$G$110&lt;&gt;"moeda")*(Inputs!$G$5:$G$110&lt;&gt;"acoes")))*INDEX(Inputs!$K$5:$AJ$110,0,MATCH(G$2,Inputs!$K$4:$AJ$4,0)))+SUMPRODUCT((Inputs!$E$5:$E$110=$B7)*Inputs!$F$5:$F$110*(((Inputs!$G$5:$G$110="moeda")+(Inputs!$G$5:$G$110="acoes"))*Inputs!$B$1+((Inputs!$G$5:$G$110&lt;&gt;"moeda")*(Inputs!$G$5:$G$110&lt;&gt;"acoes")))*INDEX(Inputs!$K$5:$AJ$110,0,MATCH(G$2,Inputs!$K$4:$AJ$4,0)))))</f>
        <v>-2706</v>
      </c>
      <c r="H7" s="268">
        <f>SUM(D7:G7)</f>
        <v>-10658</v>
      </c>
      <c r="I7" s="267">
        <f>IF(ISNA(MATCH(I$2,Inputs!$K$4:$AJ$4,0)),NA(),IF(SUMPRODUCT((Inputs!$A$5:$A$110=$B7)*ISNUMBER(INDEX(Inputs!$K$5:$AJ$110,0,MATCH(I$2,Inputs!$K$4:$AJ$4,0))))+SUMPRODUCT((Inputs!$C$5:$C$110=$B7)*ISNUMBER(INDEX(Inputs!$K$5:$AJ$110,0,MATCH(I$2,Inputs!$K$4:$AJ$4,0))))+SUMPRODUCT((Inputs!$E$5:$E$110=$B7)*ISNUMBER(INDEX(Inputs!$K$5:$AJ$110,0,MATCH(I$2,Inputs!$K$4:$AJ$4,0))))=0,NA(),SUMPRODUCT((Inputs!$A$5:$A$110=$B7)*Inputs!$B$5:$B$110*(((Inputs!$G$5:$G$110="moeda")+(Inputs!$G$5:$G$110="acoes"))*Inputs!$B$1+((Inputs!$G$5:$G$110&lt;&gt;"moeda")*(Inputs!$G$5:$G$110&lt;&gt;"acoes")))*INDEX(Inputs!$K$5:$AJ$110,0,MATCH(I$2,Inputs!$K$4:$AJ$4,0)))+SUMPRODUCT((Inputs!$C$5:$C$110=$B7)*Inputs!$D$5:$D$110*(((Inputs!$G$5:$G$110="moeda")+(Inputs!$G$5:$G$110="acoes"))*Inputs!$B$1+((Inputs!$G$5:$G$110&lt;&gt;"moeda")*(Inputs!$G$5:$G$110&lt;&gt;"acoes")))*INDEX(Inputs!$K$5:$AJ$110,0,MATCH(I$2,Inputs!$K$4:$AJ$4,0)))+SUMPRODUCT((Inputs!$E$5:$E$110=$B7)*Inputs!$F$5:$F$110*(((Inputs!$G$5:$G$110="moeda")+(Inputs!$G$5:$G$110="acoes"))*Inputs!$B$1+((Inputs!$G$5:$G$110&lt;&gt;"moeda")*(Inputs!$G$5:$G$110&lt;&gt;"acoes")))*INDEX(Inputs!$K$5:$AJ$110,0,MATCH(I$2,Inputs!$K$4:$AJ$4,0)))))</f>
        <v>-2680</v>
      </c>
      <c r="J7" s="267">
        <f>IF(ISNA(MATCH(J$2,Inputs!$K$4:$AJ$4,0)),NA(),IF(SUMPRODUCT((Inputs!$A$5:$A$110=$B7)*ISNUMBER(INDEX(Inputs!$K$5:$AJ$110,0,MATCH(J$2,Inputs!$K$4:$AJ$4,0))))+SUMPRODUCT((Inputs!$C$5:$C$110=$B7)*ISNUMBER(INDEX(Inputs!$K$5:$AJ$110,0,MATCH(J$2,Inputs!$K$4:$AJ$4,0))))+SUMPRODUCT((Inputs!$E$5:$E$110=$B7)*ISNUMBER(INDEX(Inputs!$K$5:$AJ$110,0,MATCH(J$2,Inputs!$K$4:$AJ$4,0))))=0,NA(),SUMPRODUCT((Inputs!$A$5:$A$110=$B7)*Inputs!$B$5:$B$110*(((Inputs!$G$5:$G$110="moeda")+(Inputs!$G$5:$G$110="acoes"))*Inputs!$B$1+((Inputs!$G$5:$G$110&lt;&gt;"moeda")*(Inputs!$G$5:$G$110&lt;&gt;"acoes")))*INDEX(Inputs!$K$5:$AJ$110,0,MATCH(J$2,Inputs!$K$4:$AJ$4,0)))+SUMPRODUCT((Inputs!$C$5:$C$110=$B7)*Inputs!$D$5:$D$110*(((Inputs!$G$5:$G$110="moeda")+(Inputs!$G$5:$G$110="acoes"))*Inputs!$B$1+((Inputs!$G$5:$G$110&lt;&gt;"moeda")*(Inputs!$G$5:$G$110&lt;&gt;"acoes")))*INDEX(Inputs!$K$5:$AJ$110,0,MATCH(J$2,Inputs!$K$4:$AJ$4,0)))+SUMPRODUCT((Inputs!$E$5:$E$110=$B7)*Inputs!$F$5:$F$110*(((Inputs!$G$5:$G$110="moeda")+(Inputs!$G$5:$G$110="acoes"))*Inputs!$B$1+((Inputs!$G$5:$G$110&lt;&gt;"moeda")*(Inputs!$G$5:$G$110&lt;&gt;"acoes")))*INDEX(Inputs!$K$5:$AJ$110,0,MATCH(J$2,Inputs!$K$4:$AJ$4,0)))))</f>
        <v>-2699</v>
      </c>
      <c r="K7" s="267">
        <f>IF(ISNA(MATCH(K$2,Inputs!$K$4:$AJ$4,0)),NA(),IF(SUMPRODUCT((Inputs!$A$5:$A$110=$B7)*ISNUMBER(INDEX(Inputs!$K$5:$AJ$110,0,MATCH(K$2,Inputs!$K$4:$AJ$4,0))))+SUMPRODUCT((Inputs!$C$5:$C$110=$B7)*ISNUMBER(INDEX(Inputs!$K$5:$AJ$110,0,MATCH(K$2,Inputs!$K$4:$AJ$4,0))))+SUMPRODUCT((Inputs!$E$5:$E$110=$B7)*ISNUMBER(INDEX(Inputs!$K$5:$AJ$110,0,MATCH(K$2,Inputs!$K$4:$AJ$4,0))))=0,NA(),SUMPRODUCT((Inputs!$A$5:$A$110=$B7)*Inputs!$B$5:$B$110*(((Inputs!$G$5:$G$110="moeda")+(Inputs!$G$5:$G$110="acoes"))*Inputs!$B$1+((Inputs!$G$5:$G$110&lt;&gt;"moeda")*(Inputs!$G$5:$G$110&lt;&gt;"acoes")))*INDEX(Inputs!$K$5:$AJ$110,0,MATCH(K$2,Inputs!$K$4:$AJ$4,0)))+SUMPRODUCT((Inputs!$C$5:$C$110=$B7)*Inputs!$D$5:$D$110*(((Inputs!$G$5:$G$110="moeda")+(Inputs!$G$5:$G$110="acoes"))*Inputs!$B$1+((Inputs!$G$5:$G$110&lt;&gt;"moeda")*(Inputs!$G$5:$G$110&lt;&gt;"acoes")))*INDEX(Inputs!$K$5:$AJ$110,0,MATCH(K$2,Inputs!$K$4:$AJ$4,0)))+SUMPRODUCT((Inputs!$E$5:$E$110=$B7)*Inputs!$F$5:$F$110*(((Inputs!$G$5:$G$110="moeda")+(Inputs!$G$5:$G$110="acoes"))*Inputs!$B$1+((Inputs!$G$5:$G$110&lt;&gt;"moeda")*(Inputs!$G$5:$G$110&lt;&gt;"acoes")))*INDEX(Inputs!$K$5:$AJ$110,0,MATCH(K$2,Inputs!$K$4:$AJ$4,0)))))</f>
        <v>-2755</v>
      </c>
      <c r="L7" s="267">
        <f>IF(ISNA(MATCH(L$2,Inputs!$K$4:$AJ$4,0)),NA(),IF(SUMPRODUCT((Inputs!$A$5:$A$110=$B7)*ISNUMBER(INDEX(Inputs!$K$5:$AJ$110,0,MATCH(L$2,Inputs!$K$4:$AJ$4,0))))+SUMPRODUCT((Inputs!$C$5:$C$110=$B7)*ISNUMBER(INDEX(Inputs!$K$5:$AJ$110,0,MATCH(L$2,Inputs!$K$4:$AJ$4,0))))+SUMPRODUCT((Inputs!$E$5:$E$110=$B7)*ISNUMBER(INDEX(Inputs!$K$5:$AJ$110,0,MATCH(L$2,Inputs!$K$4:$AJ$4,0))))=0,NA(),SUMPRODUCT((Inputs!$A$5:$A$110=$B7)*Inputs!$B$5:$B$110*(((Inputs!$G$5:$G$110="moeda")+(Inputs!$G$5:$G$110="acoes"))*Inputs!$B$1+((Inputs!$G$5:$G$110&lt;&gt;"moeda")*(Inputs!$G$5:$G$110&lt;&gt;"acoes")))*INDEX(Inputs!$K$5:$AJ$110,0,MATCH(L$2,Inputs!$K$4:$AJ$4,0)))+SUMPRODUCT((Inputs!$C$5:$C$110=$B7)*Inputs!$D$5:$D$110*(((Inputs!$G$5:$G$110="moeda")+(Inputs!$G$5:$G$110="acoes"))*Inputs!$B$1+((Inputs!$G$5:$G$110&lt;&gt;"moeda")*(Inputs!$G$5:$G$110&lt;&gt;"acoes")))*INDEX(Inputs!$K$5:$AJ$110,0,MATCH(L$2,Inputs!$K$4:$AJ$4,0)))+SUMPRODUCT((Inputs!$E$5:$E$110=$B7)*Inputs!$F$5:$F$110*(((Inputs!$G$5:$G$110="moeda")+(Inputs!$G$5:$G$110="acoes"))*Inputs!$B$1+((Inputs!$G$5:$G$110&lt;&gt;"moeda")*(Inputs!$G$5:$G$110&lt;&gt;"acoes")))*INDEX(Inputs!$K$5:$AJ$110,0,MATCH(L$2,Inputs!$K$4:$AJ$4,0)))))</f>
        <v>-2811</v>
      </c>
      <c r="M7" s="268">
        <f>SUM(I7:L7)</f>
        <v>-10945</v>
      </c>
      <c r="N7" s="267">
        <f>IF(ISNA(MATCH(N$2,Inputs!$K$4:$AJ$4,0)),NA(),IF(SUMPRODUCT((Inputs!$A$5:$A$110=$B7)*ISNUMBER(INDEX(Inputs!$K$5:$AJ$110,0,MATCH(N$2,Inputs!$K$4:$AJ$4,0))))+SUMPRODUCT((Inputs!$C$5:$C$110=$B7)*ISNUMBER(INDEX(Inputs!$K$5:$AJ$110,0,MATCH(N$2,Inputs!$K$4:$AJ$4,0))))+SUMPRODUCT((Inputs!$E$5:$E$110=$B7)*ISNUMBER(INDEX(Inputs!$K$5:$AJ$110,0,MATCH(N$2,Inputs!$K$4:$AJ$4,0))))=0,NA(),SUMPRODUCT((Inputs!$A$5:$A$110=$B7)*Inputs!$B$5:$B$110*(((Inputs!$G$5:$G$110="moeda")+(Inputs!$G$5:$G$110="acoes"))*Inputs!$B$1+((Inputs!$G$5:$G$110&lt;&gt;"moeda")*(Inputs!$G$5:$G$110&lt;&gt;"acoes")))*INDEX(Inputs!$K$5:$AJ$110,0,MATCH(N$2,Inputs!$K$4:$AJ$4,0)))+SUMPRODUCT((Inputs!$C$5:$C$110=$B7)*Inputs!$D$5:$D$110*(((Inputs!$G$5:$G$110="moeda")+(Inputs!$G$5:$G$110="acoes"))*Inputs!$B$1+((Inputs!$G$5:$G$110&lt;&gt;"moeda")*(Inputs!$G$5:$G$110&lt;&gt;"acoes")))*INDEX(Inputs!$K$5:$AJ$110,0,MATCH(N$2,Inputs!$K$4:$AJ$4,0)))+SUMPRODUCT((Inputs!$E$5:$E$110=$B7)*Inputs!$F$5:$F$110*(((Inputs!$G$5:$G$110="moeda")+(Inputs!$G$5:$G$110="acoes"))*Inputs!$B$1+((Inputs!$G$5:$G$110&lt;&gt;"moeda")*(Inputs!$G$5:$G$110&lt;&gt;"acoes")))*INDEX(Inputs!$K$5:$AJ$110,0,MATCH(N$2,Inputs!$K$4:$AJ$4,0)))))</f>
        <v>-2845</v>
      </c>
      <c r="O7" s="267">
        <f>IF(ISNA(MATCH(O$2,Inputs!$K$4:$AJ$4,0)),NA(),IF(SUMPRODUCT((Inputs!$A$5:$A$110=$B7)*ISNUMBER(INDEX(Inputs!$K$5:$AJ$110,0,MATCH(O$2,Inputs!$K$4:$AJ$4,0))))+SUMPRODUCT((Inputs!$C$5:$C$110=$B7)*ISNUMBER(INDEX(Inputs!$K$5:$AJ$110,0,MATCH(O$2,Inputs!$K$4:$AJ$4,0))))+SUMPRODUCT((Inputs!$E$5:$E$110=$B7)*ISNUMBER(INDEX(Inputs!$K$5:$AJ$110,0,MATCH(O$2,Inputs!$K$4:$AJ$4,0))))=0,NA(),SUMPRODUCT((Inputs!$A$5:$A$110=$B7)*Inputs!$B$5:$B$110*(((Inputs!$G$5:$G$110="moeda")+(Inputs!$G$5:$G$110="acoes"))*Inputs!$B$1+((Inputs!$G$5:$G$110&lt;&gt;"moeda")*(Inputs!$G$5:$G$110&lt;&gt;"acoes")))*INDEX(Inputs!$K$5:$AJ$110,0,MATCH(O$2,Inputs!$K$4:$AJ$4,0)))+SUMPRODUCT((Inputs!$C$5:$C$110=$B7)*Inputs!$D$5:$D$110*(((Inputs!$G$5:$G$110="moeda")+(Inputs!$G$5:$G$110="acoes"))*Inputs!$B$1+((Inputs!$G$5:$G$110&lt;&gt;"moeda")*(Inputs!$G$5:$G$110&lt;&gt;"acoes")))*INDEX(Inputs!$K$5:$AJ$110,0,MATCH(O$2,Inputs!$K$4:$AJ$4,0)))+SUMPRODUCT((Inputs!$E$5:$E$110=$B7)*Inputs!$F$5:$F$110*(((Inputs!$G$5:$G$110="moeda")+(Inputs!$G$5:$G$110="acoes"))*Inputs!$B$1+((Inputs!$G$5:$G$110&lt;&gt;"moeda")*(Inputs!$G$5:$G$110&lt;&gt;"acoes")))*INDEX(Inputs!$K$5:$AJ$110,0,MATCH(O$2,Inputs!$K$4:$AJ$4,0)))))</f>
        <v>-2905</v>
      </c>
      <c r="P7" s="267">
        <f>IF(ISNA(MATCH(P$2,Inputs!$K$4:$AJ$4,0)),NA(),IF(SUMPRODUCT((Inputs!$A$5:$A$110=$B7)*ISNUMBER(INDEX(Inputs!$K$5:$AJ$110,0,MATCH(P$2,Inputs!$K$4:$AJ$4,0))))+SUMPRODUCT((Inputs!$C$5:$C$110=$B7)*ISNUMBER(INDEX(Inputs!$K$5:$AJ$110,0,MATCH(P$2,Inputs!$K$4:$AJ$4,0))))+SUMPRODUCT((Inputs!$E$5:$E$110=$B7)*ISNUMBER(INDEX(Inputs!$K$5:$AJ$110,0,MATCH(P$2,Inputs!$K$4:$AJ$4,0))))=0,NA(),SUMPRODUCT((Inputs!$A$5:$A$110=$B7)*Inputs!$B$5:$B$110*(((Inputs!$G$5:$G$110="moeda")+(Inputs!$G$5:$G$110="acoes"))*Inputs!$B$1+((Inputs!$G$5:$G$110&lt;&gt;"moeda")*(Inputs!$G$5:$G$110&lt;&gt;"acoes")))*INDEX(Inputs!$K$5:$AJ$110,0,MATCH(P$2,Inputs!$K$4:$AJ$4,0)))+SUMPRODUCT((Inputs!$C$5:$C$110=$B7)*Inputs!$D$5:$D$110*(((Inputs!$G$5:$G$110="moeda")+(Inputs!$G$5:$G$110="acoes"))*Inputs!$B$1+((Inputs!$G$5:$G$110&lt;&gt;"moeda")*(Inputs!$G$5:$G$110&lt;&gt;"acoes")))*INDEX(Inputs!$K$5:$AJ$110,0,MATCH(P$2,Inputs!$K$4:$AJ$4,0)))+SUMPRODUCT((Inputs!$E$5:$E$110=$B7)*Inputs!$F$5:$F$110*(((Inputs!$G$5:$G$110="moeda")+(Inputs!$G$5:$G$110="acoes"))*Inputs!$B$1+((Inputs!$G$5:$G$110&lt;&gt;"moeda")*(Inputs!$G$5:$G$110&lt;&gt;"acoes")))*INDEX(Inputs!$K$5:$AJ$110,0,MATCH(P$2,Inputs!$K$4:$AJ$4,0)))))</f>
        <v>-2986</v>
      </c>
      <c r="Q7" s="267">
        <f>IF(ISNA(MATCH(Q$2,Inputs!$K$4:$AJ$4,0)),NA(),IF(SUMPRODUCT((Inputs!$A$5:$A$110=$B7)*ISNUMBER(INDEX(Inputs!$K$5:$AJ$110,0,MATCH(Q$2,Inputs!$K$4:$AJ$4,0))))+SUMPRODUCT((Inputs!$C$5:$C$110=$B7)*ISNUMBER(INDEX(Inputs!$K$5:$AJ$110,0,MATCH(Q$2,Inputs!$K$4:$AJ$4,0))))+SUMPRODUCT((Inputs!$E$5:$E$110=$B7)*ISNUMBER(INDEX(Inputs!$K$5:$AJ$110,0,MATCH(Q$2,Inputs!$K$4:$AJ$4,0))))=0,NA(),SUMPRODUCT((Inputs!$A$5:$A$110=$B7)*Inputs!$B$5:$B$110*(((Inputs!$G$5:$G$110="moeda")+(Inputs!$G$5:$G$110="acoes"))*Inputs!$B$1+((Inputs!$G$5:$G$110&lt;&gt;"moeda")*(Inputs!$G$5:$G$110&lt;&gt;"acoes")))*INDEX(Inputs!$K$5:$AJ$110,0,MATCH(Q$2,Inputs!$K$4:$AJ$4,0)))+SUMPRODUCT((Inputs!$C$5:$C$110=$B7)*Inputs!$D$5:$D$110*(((Inputs!$G$5:$G$110="moeda")+(Inputs!$G$5:$G$110="acoes"))*Inputs!$B$1+((Inputs!$G$5:$G$110&lt;&gt;"moeda")*(Inputs!$G$5:$G$110&lt;&gt;"acoes")))*INDEX(Inputs!$K$5:$AJ$110,0,MATCH(Q$2,Inputs!$K$4:$AJ$4,0)))+SUMPRODUCT((Inputs!$E$5:$E$110=$B7)*Inputs!$F$5:$F$110*(((Inputs!$G$5:$G$110="moeda")+(Inputs!$G$5:$G$110="acoes"))*Inputs!$B$1+((Inputs!$G$5:$G$110&lt;&gt;"moeda")*(Inputs!$G$5:$G$110&lt;&gt;"acoes")))*INDEX(Inputs!$K$5:$AJ$110,0,MATCH(Q$2,Inputs!$K$4:$AJ$4,0)))))</f>
        <v>-3117</v>
      </c>
      <c r="R7" s="268">
        <f>SUM(N7:Q7)</f>
        <v>-11853</v>
      </c>
      <c r="S7" s="267">
        <f>IF(ISNA(MATCH(S$2,Inputs!$K$4:$AJ$4,0)),NA(),IF(SUMPRODUCT((Inputs!$A$5:$A$110=$B7)*ISNUMBER(INDEX(Inputs!$K$5:$AJ$110,0,MATCH(S$2,Inputs!$K$4:$AJ$4,0))))+SUMPRODUCT((Inputs!$C$5:$C$110=$B7)*ISNUMBER(INDEX(Inputs!$K$5:$AJ$110,0,MATCH(S$2,Inputs!$K$4:$AJ$4,0))))+SUMPRODUCT((Inputs!$E$5:$E$110=$B7)*ISNUMBER(INDEX(Inputs!$K$5:$AJ$110,0,MATCH(S$2,Inputs!$K$4:$AJ$4,0))))=0,NA(),SUMPRODUCT((Inputs!$A$5:$A$110=$B7)*Inputs!$B$5:$B$110*(((Inputs!$G$5:$G$110="moeda")+(Inputs!$G$5:$G$110="acoes"))*Inputs!$B$1+((Inputs!$G$5:$G$110&lt;&gt;"moeda")*(Inputs!$G$5:$G$110&lt;&gt;"acoes")))*INDEX(Inputs!$K$5:$AJ$110,0,MATCH(S$2,Inputs!$K$4:$AJ$4,0)))+SUMPRODUCT((Inputs!$C$5:$C$110=$B7)*Inputs!$D$5:$D$110*(((Inputs!$G$5:$G$110="moeda")+(Inputs!$G$5:$G$110="acoes"))*Inputs!$B$1+((Inputs!$G$5:$G$110&lt;&gt;"moeda")*(Inputs!$G$5:$G$110&lt;&gt;"acoes")))*INDEX(Inputs!$K$5:$AJ$110,0,MATCH(S$2,Inputs!$K$4:$AJ$4,0)))+SUMPRODUCT((Inputs!$E$5:$E$110=$B7)*Inputs!$F$5:$F$110*(((Inputs!$G$5:$G$110="moeda")+(Inputs!$G$5:$G$110="acoes"))*Inputs!$B$1+((Inputs!$G$5:$G$110&lt;&gt;"moeda")*(Inputs!$G$5:$G$110&lt;&gt;"acoes")))*INDEX(Inputs!$K$5:$AJ$110,0,MATCH(S$2,Inputs!$K$4:$AJ$4,0)))))</f>
        <v>-3128</v>
      </c>
      <c r="T7" s="267">
        <f>IF(ISNA(MATCH(T$2,Inputs!$K$4:$AJ$4,0)),NA(),IF(SUMPRODUCT((Inputs!$A$5:$A$110=$B7)*ISNUMBER(INDEX(Inputs!$K$5:$AJ$110,0,MATCH(T$2,Inputs!$K$4:$AJ$4,0))))+SUMPRODUCT((Inputs!$C$5:$C$110=$B7)*ISNUMBER(INDEX(Inputs!$K$5:$AJ$110,0,MATCH(T$2,Inputs!$K$4:$AJ$4,0))))+SUMPRODUCT((Inputs!$E$5:$E$110=$B7)*ISNUMBER(INDEX(Inputs!$K$5:$AJ$110,0,MATCH(T$2,Inputs!$K$4:$AJ$4,0))))=0,NA(),SUMPRODUCT((Inputs!$A$5:$A$110=$B7)*Inputs!$B$5:$B$110*(((Inputs!$G$5:$G$110="moeda")+(Inputs!$G$5:$G$110="acoes"))*Inputs!$B$1+((Inputs!$G$5:$G$110&lt;&gt;"moeda")*(Inputs!$G$5:$G$110&lt;&gt;"acoes")))*INDEX(Inputs!$K$5:$AJ$110,0,MATCH(T$2,Inputs!$K$4:$AJ$4,0)))+SUMPRODUCT((Inputs!$C$5:$C$110=$B7)*Inputs!$D$5:$D$110*(((Inputs!$G$5:$G$110="moeda")+(Inputs!$G$5:$G$110="acoes"))*Inputs!$B$1+((Inputs!$G$5:$G$110&lt;&gt;"moeda")*(Inputs!$G$5:$G$110&lt;&gt;"acoes")))*INDEX(Inputs!$K$5:$AJ$110,0,MATCH(T$2,Inputs!$K$4:$AJ$4,0)))+SUMPRODUCT((Inputs!$E$5:$E$110=$B7)*Inputs!$F$5:$F$110*(((Inputs!$G$5:$G$110="moeda")+(Inputs!$G$5:$G$110="acoes"))*Inputs!$B$1+((Inputs!$G$5:$G$110&lt;&gt;"moeda")*(Inputs!$G$5:$G$110&lt;&gt;"acoes")))*INDEX(Inputs!$K$5:$AJ$110,0,MATCH(T$2,Inputs!$K$4:$AJ$4,0)))))</f>
        <v>-3211</v>
      </c>
      <c r="U7" s="267">
        <f>IF(ISNA(MATCH(U$2,Inputs!$K$4:$AJ$4,0)),NA(),IF(SUMPRODUCT((Inputs!$A$5:$A$110=$B7)*ISNUMBER(INDEX(Inputs!$K$5:$AJ$110,0,MATCH(U$2,Inputs!$K$4:$AJ$4,0))))+SUMPRODUCT((Inputs!$C$5:$C$110=$B7)*ISNUMBER(INDEX(Inputs!$K$5:$AJ$110,0,MATCH(U$2,Inputs!$K$4:$AJ$4,0))))+SUMPRODUCT((Inputs!$E$5:$E$110=$B7)*ISNUMBER(INDEX(Inputs!$K$5:$AJ$110,0,MATCH(U$2,Inputs!$K$4:$AJ$4,0))))=0,NA(),SUMPRODUCT((Inputs!$A$5:$A$110=$B7)*Inputs!$B$5:$B$110*(((Inputs!$G$5:$G$110="moeda")+(Inputs!$G$5:$G$110="acoes"))*Inputs!$B$1+((Inputs!$G$5:$G$110&lt;&gt;"moeda")*(Inputs!$G$5:$G$110&lt;&gt;"acoes")))*INDEX(Inputs!$K$5:$AJ$110,0,MATCH(U$2,Inputs!$K$4:$AJ$4,0)))+SUMPRODUCT((Inputs!$C$5:$C$110=$B7)*Inputs!$D$5:$D$110*(((Inputs!$G$5:$G$110="moeda")+(Inputs!$G$5:$G$110="acoes"))*Inputs!$B$1+((Inputs!$G$5:$G$110&lt;&gt;"moeda")*(Inputs!$G$5:$G$110&lt;&gt;"acoes")))*INDEX(Inputs!$K$5:$AJ$110,0,MATCH(U$2,Inputs!$K$4:$AJ$4,0)))+SUMPRODUCT((Inputs!$E$5:$E$110=$B7)*Inputs!$F$5:$F$110*(((Inputs!$G$5:$G$110="moeda")+(Inputs!$G$5:$G$110="acoes"))*Inputs!$B$1+((Inputs!$G$5:$G$110&lt;&gt;"moeda")*(Inputs!$G$5:$G$110&lt;&gt;"acoes")))*INDEX(Inputs!$K$5:$AJ$110,0,MATCH(U$2,Inputs!$K$4:$AJ$4,0)))))</f>
        <v>-3260</v>
      </c>
      <c r="V7" s="267">
        <f>IF(ISNA(MATCH(V$2,Inputs!$K$4:$AJ$4,0)),NA(),IF(SUMPRODUCT((Inputs!$A$5:$A$110=$B7)*ISNUMBER(INDEX(Inputs!$K$5:$AJ$110,0,MATCH(V$2,Inputs!$K$4:$AJ$4,0))))+SUMPRODUCT((Inputs!$C$5:$C$110=$B7)*ISNUMBER(INDEX(Inputs!$K$5:$AJ$110,0,MATCH(V$2,Inputs!$K$4:$AJ$4,0))))+SUMPRODUCT((Inputs!$E$5:$E$110=$B7)*ISNUMBER(INDEX(Inputs!$K$5:$AJ$110,0,MATCH(V$2,Inputs!$K$4:$AJ$4,0))))=0,NA(),SUMPRODUCT((Inputs!$A$5:$A$110=$B7)*Inputs!$B$5:$B$110*(((Inputs!$G$5:$G$110="moeda")+(Inputs!$G$5:$G$110="acoes"))*Inputs!$B$1+((Inputs!$G$5:$G$110&lt;&gt;"moeda")*(Inputs!$G$5:$G$110&lt;&gt;"acoes")))*INDEX(Inputs!$K$5:$AJ$110,0,MATCH(V$2,Inputs!$K$4:$AJ$4,0)))+SUMPRODUCT((Inputs!$C$5:$C$110=$B7)*Inputs!$D$5:$D$110*(((Inputs!$G$5:$G$110="moeda")+(Inputs!$G$5:$G$110="acoes"))*Inputs!$B$1+((Inputs!$G$5:$G$110&lt;&gt;"moeda")*(Inputs!$G$5:$G$110&lt;&gt;"acoes")))*INDEX(Inputs!$K$5:$AJ$110,0,MATCH(V$2,Inputs!$K$4:$AJ$4,0)))+SUMPRODUCT((Inputs!$E$5:$E$110=$B7)*Inputs!$F$5:$F$110*(((Inputs!$G$5:$G$110="moeda")+(Inputs!$G$5:$G$110="acoes"))*Inputs!$B$1+((Inputs!$G$5:$G$110&lt;&gt;"moeda")*(Inputs!$G$5:$G$110&lt;&gt;"acoes")))*INDEX(Inputs!$K$5:$AJ$110,0,MATCH(V$2,Inputs!$K$4:$AJ$4,0)))))</f>
        <v>-3374</v>
      </c>
      <c r="W7" s="268">
        <f>SUM(S7:V7)</f>
        <v>-12973</v>
      </c>
      <c r="X7" s="267">
        <f>IF(ISNA(MATCH(X$2,Inputs!$K$4:$AJ$4,0)),NA(),IF(SUMPRODUCT((Inputs!$A$5:$A$110=$B7)*ISNUMBER(INDEX(Inputs!$K$5:$AJ$110,0,MATCH(X$2,Inputs!$K$4:$AJ$4,0))))+SUMPRODUCT((Inputs!$C$5:$C$110=$B7)*ISNUMBER(INDEX(Inputs!$K$5:$AJ$110,0,MATCH(X$2,Inputs!$K$4:$AJ$4,0))))+SUMPRODUCT((Inputs!$E$5:$E$110=$B7)*ISNUMBER(INDEX(Inputs!$K$5:$AJ$110,0,MATCH(X$2,Inputs!$K$4:$AJ$4,0))))=0,NA(),SUMPRODUCT((Inputs!$A$5:$A$110=$B7)*Inputs!$B$5:$B$110*(((Inputs!$G$5:$G$110="moeda")+(Inputs!$G$5:$G$110="acoes"))*Inputs!$B$1+((Inputs!$G$5:$G$110&lt;&gt;"moeda")*(Inputs!$G$5:$G$110&lt;&gt;"acoes")))*INDEX(Inputs!$K$5:$AJ$110,0,MATCH(X$2,Inputs!$K$4:$AJ$4,0)))+SUMPRODUCT((Inputs!$C$5:$C$110=$B7)*Inputs!$D$5:$D$110*(((Inputs!$G$5:$G$110="moeda")+(Inputs!$G$5:$G$110="acoes"))*Inputs!$B$1+((Inputs!$G$5:$G$110&lt;&gt;"moeda")*(Inputs!$G$5:$G$110&lt;&gt;"acoes")))*INDEX(Inputs!$K$5:$AJ$110,0,MATCH(X$2,Inputs!$K$4:$AJ$4,0)))+SUMPRODUCT((Inputs!$E$5:$E$110=$B7)*Inputs!$F$5:$F$110*(((Inputs!$G$5:$G$110="moeda")+(Inputs!$G$5:$G$110="acoes"))*Inputs!$B$1+((Inputs!$G$5:$G$110&lt;&gt;"moeda")*(Inputs!$G$5:$G$110&lt;&gt;"acoes")))*INDEX(Inputs!$K$5:$AJ$110,0,MATCH(X$2,Inputs!$K$4:$AJ$4,0)))))</f>
        <v>-3369</v>
      </c>
      <c r="Y7" s="267">
        <f>IF(ISNA(MATCH(Y$2,Inputs!$K$4:$AJ$4,0)),NA(),IF(SUMPRODUCT((Inputs!$A$5:$A$110=$B7)*ISNUMBER(INDEX(Inputs!$K$5:$AJ$110,0,MATCH(Y$2,Inputs!$K$4:$AJ$4,0))))+SUMPRODUCT((Inputs!$C$5:$C$110=$B7)*ISNUMBER(INDEX(Inputs!$K$5:$AJ$110,0,MATCH(Y$2,Inputs!$K$4:$AJ$4,0))))+SUMPRODUCT((Inputs!$E$5:$E$110=$B7)*ISNUMBER(INDEX(Inputs!$K$5:$AJ$110,0,MATCH(Y$2,Inputs!$K$4:$AJ$4,0))))=0,NA(),SUMPRODUCT((Inputs!$A$5:$A$110=$B7)*Inputs!$B$5:$B$110*(((Inputs!$G$5:$G$110="moeda")+(Inputs!$G$5:$G$110="acoes"))*Inputs!$B$1+((Inputs!$G$5:$G$110&lt;&gt;"moeda")*(Inputs!$G$5:$G$110&lt;&gt;"acoes")))*INDEX(Inputs!$K$5:$AJ$110,0,MATCH(Y$2,Inputs!$K$4:$AJ$4,0)))+SUMPRODUCT((Inputs!$C$5:$C$110=$B7)*Inputs!$D$5:$D$110*(((Inputs!$G$5:$G$110="moeda")+(Inputs!$G$5:$G$110="acoes"))*Inputs!$B$1+((Inputs!$G$5:$G$110&lt;&gt;"moeda")*(Inputs!$G$5:$G$110&lt;&gt;"acoes")))*INDEX(Inputs!$K$5:$AJ$110,0,MATCH(Y$2,Inputs!$K$4:$AJ$4,0)))+SUMPRODUCT((Inputs!$E$5:$E$110=$B7)*Inputs!$F$5:$F$110*(((Inputs!$G$5:$G$110="moeda")+(Inputs!$G$5:$G$110="acoes"))*Inputs!$B$1+((Inputs!$G$5:$G$110&lt;&gt;"moeda")*(Inputs!$G$5:$G$110&lt;&gt;"acoes")))*INDEX(Inputs!$K$5:$AJ$110,0,MATCH(Y$2,Inputs!$K$4:$AJ$4,0)))))</f>
        <v>-3487</v>
      </c>
      <c r="Z7" s="267">
        <f>IF(ISNA(MATCH(Z$2,Inputs!$K$4:$AJ$4,0)),NA(),IF(SUMPRODUCT((Inputs!$A$5:$A$110=$B7)*ISNUMBER(INDEX(Inputs!$K$5:$AJ$110,0,MATCH(Z$2,Inputs!$K$4:$AJ$4,0))))+SUMPRODUCT((Inputs!$C$5:$C$110=$B7)*ISNUMBER(INDEX(Inputs!$K$5:$AJ$110,0,MATCH(Z$2,Inputs!$K$4:$AJ$4,0))))+SUMPRODUCT((Inputs!$E$5:$E$110=$B7)*ISNUMBER(INDEX(Inputs!$K$5:$AJ$110,0,MATCH(Z$2,Inputs!$K$4:$AJ$4,0))))=0,NA(),SUMPRODUCT((Inputs!$A$5:$A$110=$B7)*Inputs!$B$5:$B$110*(((Inputs!$G$5:$G$110="moeda")+(Inputs!$G$5:$G$110="acoes"))*Inputs!$B$1+((Inputs!$G$5:$G$110&lt;&gt;"moeda")*(Inputs!$G$5:$G$110&lt;&gt;"acoes")))*INDEX(Inputs!$K$5:$AJ$110,0,MATCH(Z$2,Inputs!$K$4:$AJ$4,0)))+SUMPRODUCT((Inputs!$C$5:$C$110=$B7)*Inputs!$D$5:$D$110*(((Inputs!$G$5:$G$110="moeda")+(Inputs!$G$5:$G$110="acoes"))*Inputs!$B$1+((Inputs!$G$5:$G$110&lt;&gt;"moeda")*(Inputs!$G$5:$G$110&lt;&gt;"acoes")))*INDEX(Inputs!$K$5:$AJ$110,0,MATCH(Z$2,Inputs!$K$4:$AJ$4,0)))+SUMPRODUCT((Inputs!$E$5:$E$110=$B7)*Inputs!$F$5:$F$110*(((Inputs!$G$5:$G$110="moeda")+(Inputs!$G$5:$G$110="acoes"))*Inputs!$B$1+((Inputs!$G$5:$G$110&lt;&gt;"moeda")*(Inputs!$G$5:$G$110&lt;&gt;"acoes")))*INDEX(Inputs!$K$5:$AJ$110,0,MATCH(Z$2,Inputs!$K$4:$AJ$4,0)))))</f>
        <v>-3606</v>
      </c>
      <c r="AA7" s="267">
        <f>IF(ISNA(MATCH(AA$2,Inputs!$K$4:$AJ$4,0)),NA(),IF(SUMPRODUCT((Inputs!$A$5:$A$110=$B7)*ISNUMBER(INDEX(Inputs!$K$5:$AJ$110,0,MATCH(AA$2,Inputs!$K$4:$AJ$4,0))))+SUMPRODUCT((Inputs!$C$5:$C$110=$B7)*ISNUMBER(INDEX(Inputs!$K$5:$AJ$110,0,MATCH(AA$2,Inputs!$K$4:$AJ$4,0))))+SUMPRODUCT((Inputs!$E$5:$E$110=$B7)*ISNUMBER(INDEX(Inputs!$K$5:$AJ$110,0,MATCH(AA$2,Inputs!$K$4:$AJ$4,0))))=0,NA(),SUMPRODUCT((Inputs!$A$5:$A$110=$B7)*Inputs!$B$5:$B$110*(((Inputs!$G$5:$G$110="moeda")+(Inputs!$G$5:$G$110="acoes"))*Inputs!$B$1+((Inputs!$G$5:$G$110&lt;&gt;"moeda")*(Inputs!$G$5:$G$110&lt;&gt;"acoes")))*INDEX(Inputs!$K$5:$AJ$110,0,MATCH(AA$2,Inputs!$K$4:$AJ$4,0)))+SUMPRODUCT((Inputs!$C$5:$C$110=$B7)*Inputs!$D$5:$D$110*(((Inputs!$G$5:$G$110="moeda")+(Inputs!$G$5:$G$110="acoes"))*Inputs!$B$1+((Inputs!$G$5:$G$110&lt;&gt;"moeda")*(Inputs!$G$5:$G$110&lt;&gt;"acoes")))*INDEX(Inputs!$K$5:$AJ$110,0,MATCH(AA$2,Inputs!$K$4:$AJ$4,0)))+SUMPRODUCT((Inputs!$E$5:$E$110=$B7)*Inputs!$F$5:$F$110*(((Inputs!$G$5:$G$110="moeda")+(Inputs!$G$5:$G$110="acoes"))*Inputs!$B$1+((Inputs!$G$5:$G$110&lt;&gt;"moeda")*(Inputs!$G$5:$G$110&lt;&gt;"acoes")))*INDEX(Inputs!$K$5:$AJ$110,0,MATCH(AA$2,Inputs!$K$4:$AJ$4,0)))))</f>
        <v>-3741</v>
      </c>
      <c r="AB7" s="268">
        <f>SUM(X7:AA7)</f>
        <v>-14203</v>
      </c>
      <c r="AC7" s="267">
        <f>IF(ISNA(MATCH(AC$2,Inputs!$K$4:$AJ$4,0)),NA(),IF(SUMPRODUCT((Inputs!$A$5:$A$110=$B7)*ISNUMBER(INDEX(Inputs!$K$5:$AJ$110,0,MATCH(AC$2,Inputs!$K$4:$AJ$4,0))))+SUMPRODUCT((Inputs!$C$5:$C$110=$B7)*ISNUMBER(INDEX(Inputs!$K$5:$AJ$110,0,MATCH(AC$2,Inputs!$K$4:$AJ$4,0))))+SUMPRODUCT((Inputs!$E$5:$E$110=$B7)*ISNUMBER(INDEX(Inputs!$K$5:$AJ$110,0,MATCH(AC$2,Inputs!$K$4:$AJ$4,0))))=0,NA(),SUMPRODUCT((Inputs!$A$5:$A$110=$B7)*Inputs!$B$5:$B$110*(((Inputs!$G$5:$G$110="moeda")+(Inputs!$G$5:$G$110="acoes"))*Inputs!$B$1+((Inputs!$G$5:$G$110&lt;&gt;"moeda")*(Inputs!$G$5:$G$110&lt;&gt;"acoes")))*INDEX(Inputs!$K$5:$AJ$110,0,MATCH(AC$2,Inputs!$K$4:$AJ$4,0)))+SUMPRODUCT((Inputs!$C$5:$C$110=$B7)*Inputs!$D$5:$D$110*(((Inputs!$G$5:$G$110="moeda")+(Inputs!$G$5:$G$110="acoes"))*Inputs!$B$1+((Inputs!$G$5:$G$110&lt;&gt;"moeda")*(Inputs!$G$5:$G$110&lt;&gt;"acoes")))*INDEX(Inputs!$K$5:$AJ$110,0,MATCH(AC$2,Inputs!$K$4:$AJ$4,0)))+SUMPRODUCT((Inputs!$E$5:$E$110=$B7)*Inputs!$F$5:$F$110*(((Inputs!$G$5:$G$110="moeda")+(Inputs!$G$5:$G$110="acoes"))*Inputs!$B$1+((Inputs!$G$5:$G$110&lt;&gt;"moeda")*(Inputs!$G$5:$G$110&lt;&gt;"acoes")))*INDEX(Inputs!$K$5:$AJ$110,0,MATCH(AC$2,Inputs!$K$4:$AJ$4,0)))))</f>
        <v>-3821</v>
      </c>
      <c r="AD7" s="267">
        <f>IF(ISNA(MATCH(AD$2,Inputs!$K$4:$AJ$4,0)),NA(),IF(SUMPRODUCT((Inputs!$A$5:$A$110=$B7)*ISNUMBER(INDEX(Inputs!$K$5:$AJ$110,0,MATCH(AD$2,Inputs!$K$4:$AJ$4,0))))+SUMPRODUCT((Inputs!$C$5:$C$110=$B7)*ISNUMBER(INDEX(Inputs!$K$5:$AJ$110,0,MATCH(AD$2,Inputs!$K$4:$AJ$4,0))))+SUMPRODUCT((Inputs!$E$5:$E$110=$B7)*ISNUMBER(INDEX(Inputs!$K$5:$AJ$110,0,MATCH(AD$2,Inputs!$K$4:$AJ$4,0))))=0,NA(),SUMPRODUCT((Inputs!$A$5:$A$110=$B7)*Inputs!$B$5:$B$110*(((Inputs!$G$5:$G$110="moeda")+(Inputs!$G$5:$G$110="acoes"))*Inputs!$B$1+((Inputs!$G$5:$G$110&lt;&gt;"moeda")*(Inputs!$G$5:$G$110&lt;&gt;"acoes")))*INDEX(Inputs!$K$5:$AJ$110,0,MATCH(AD$2,Inputs!$K$4:$AJ$4,0)))+SUMPRODUCT((Inputs!$C$5:$C$110=$B7)*Inputs!$D$5:$D$110*(((Inputs!$G$5:$G$110="moeda")+(Inputs!$G$5:$G$110="acoes"))*Inputs!$B$1+((Inputs!$G$5:$G$110&lt;&gt;"moeda")*(Inputs!$G$5:$G$110&lt;&gt;"acoes")))*INDEX(Inputs!$K$5:$AJ$110,0,MATCH(AD$2,Inputs!$K$4:$AJ$4,0)))+SUMPRODUCT((Inputs!$E$5:$E$110=$B7)*Inputs!$F$5:$F$110*(((Inputs!$G$5:$G$110="moeda")+(Inputs!$G$5:$G$110="acoes"))*Inputs!$B$1+((Inputs!$G$5:$G$110&lt;&gt;"moeda")*(Inputs!$G$5:$G$110&lt;&gt;"acoes")))*INDEX(Inputs!$K$5:$AJ$110,0,MATCH(AD$2,Inputs!$K$4:$AJ$4,0)))))</f>
        <v>-3925</v>
      </c>
      <c r="AE7" s="267" t="e">
        <f>IF(ISNA(MATCH(AE$2,Inputs!$K$4:$AJ$4,0)),NA(),IF(SUMPRODUCT((Inputs!$A$5:$A$110=$B7)*ISNUMBER(INDEX(Inputs!$K$5:$AJ$110,0,MATCH(AE$2,Inputs!$K$4:$AJ$4,0))))+SUMPRODUCT((Inputs!$C$5:$C$110=$B7)*ISNUMBER(INDEX(Inputs!$K$5:$AJ$110,0,MATCH(AE$2,Inputs!$K$4:$AJ$4,0))))+SUMPRODUCT((Inputs!$E$5:$E$110=$B7)*ISNUMBER(INDEX(Inputs!$K$5:$AJ$110,0,MATCH(AE$2,Inputs!$K$4:$AJ$4,0))))=0,NA(),SUMPRODUCT((Inputs!$A$5:$A$110=$B7)*Inputs!$B$5:$B$110*(((Inputs!$G$5:$G$110="moeda")+(Inputs!$G$5:$G$110="acoes"))*Inputs!$B$1+((Inputs!$G$5:$G$110&lt;&gt;"moeda")*(Inputs!$G$5:$G$110&lt;&gt;"acoes")))*INDEX(Inputs!$K$5:$AJ$110,0,MATCH(AE$2,Inputs!$K$4:$AJ$4,0)))+SUMPRODUCT((Inputs!$C$5:$C$110=$B7)*Inputs!$D$5:$D$110*(((Inputs!$G$5:$G$110="moeda")+(Inputs!$G$5:$G$110="acoes"))*Inputs!$B$1+((Inputs!$G$5:$G$110&lt;&gt;"moeda")*(Inputs!$G$5:$G$110&lt;&gt;"acoes")))*INDEX(Inputs!$K$5:$AJ$110,0,MATCH(AE$2,Inputs!$K$4:$AJ$4,0)))+SUMPRODUCT((Inputs!$E$5:$E$110=$B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7" s="267" t="e">
        <f>IF(ISNA(MATCH(AF$2,Inputs!$K$4:$AJ$4,0)),NA(),IF(SUMPRODUCT((Inputs!$A$5:$A$110=$B7)*ISNUMBER(INDEX(Inputs!$K$5:$AJ$110,0,MATCH(AF$2,Inputs!$K$4:$AJ$4,0))))+SUMPRODUCT((Inputs!$C$5:$C$110=$B7)*ISNUMBER(INDEX(Inputs!$K$5:$AJ$110,0,MATCH(AF$2,Inputs!$K$4:$AJ$4,0))))+SUMPRODUCT((Inputs!$E$5:$E$110=$B7)*ISNUMBER(INDEX(Inputs!$K$5:$AJ$110,0,MATCH(AF$2,Inputs!$K$4:$AJ$4,0))))=0,NA(),SUMPRODUCT((Inputs!$A$5:$A$110=$B7)*Inputs!$B$5:$B$110*(((Inputs!$G$5:$G$110="moeda")+(Inputs!$G$5:$G$110="acoes"))*Inputs!$B$1+((Inputs!$G$5:$G$110&lt;&gt;"moeda")*(Inputs!$G$5:$G$110&lt;&gt;"acoes")))*INDEX(Inputs!$K$5:$AJ$110,0,MATCH(AF$2,Inputs!$K$4:$AJ$4,0)))+SUMPRODUCT((Inputs!$C$5:$C$110=$B7)*Inputs!$D$5:$D$110*(((Inputs!$G$5:$G$110="moeda")+(Inputs!$G$5:$G$110="acoes"))*Inputs!$B$1+((Inputs!$G$5:$G$110&lt;&gt;"moeda")*(Inputs!$G$5:$G$110&lt;&gt;"acoes")))*INDEX(Inputs!$K$5:$AJ$110,0,MATCH(AF$2,Inputs!$K$4:$AJ$4,0)))+SUMPRODUCT((Inputs!$E$5:$E$110=$B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7" s="268" t="e">
        <f>SUM(AC7:AF7)</f>
        <v>#N/A</v>
      </c>
      <c r="AH7" s="267">
        <f>IF(ISNA(MATCH(AH$2,Inputs!$K$4:$AJ$4,0)),NA(),IF(SUMPRODUCT((Inputs!$A$5:$A$110=$B7)*ISNUMBER(INDEX(Inputs!$K$5:$AJ$110,0,MATCH(AH$2,Inputs!$K$4:$AJ$4,0))))+SUMPRODUCT((Inputs!$C$5:$C$110=$B7)*ISNUMBER(INDEX(Inputs!$K$5:$AJ$110,0,MATCH(AH$2,Inputs!$K$4:$AJ$4,0))))+SUMPRODUCT((Inputs!$E$5:$E$110=$B7)*ISNUMBER(INDEX(Inputs!$K$5:$AJ$110,0,MATCH(AH$2,Inputs!$K$4:$AJ$4,0))))=0,NA(),SUMPRODUCT((Inputs!$A$5:$A$110=$B7)*Inputs!$B$5:$B$110*(((Inputs!$G$5:$G$110="moeda")+(Inputs!$G$5:$G$110="acoes"))*Inputs!$B$1+((Inputs!$G$5:$G$110&lt;&gt;"moeda")*(Inputs!$G$5:$G$110&lt;&gt;"acoes")))*INDEX(Inputs!$K$5:$AJ$110,0,MATCH(AH$2,Inputs!$K$4:$AJ$4,0)))+SUMPRODUCT((Inputs!$C$5:$C$110=$B7)*Inputs!$D$5:$D$110*(((Inputs!$G$5:$G$110="moeda")+(Inputs!$G$5:$G$110="acoes"))*Inputs!$B$1+((Inputs!$G$5:$G$110&lt;&gt;"moeda")*(Inputs!$G$5:$G$110&lt;&gt;"acoes")))*INDEX(Inputs!$K$5:$AJ$110,0,MATCH(AH$2,Inputs!$K$4:$AJ$4,0)))+SUMPRODUCT((Inputs!$E$5:$E$110=$B7)*Inputs!$F$5:$F$110*(((Inputs!$G$5:$G$110="moeda")+(Inputs!$G$5:$G$110="acoes"))*Inputs!$B$1+((Inputs!$G$5:$G$110&lt;&gt;"moeda")*(Inputs!$G$5:$G$110&lt;&gt;"acoes")))*INDEX(Inputs!$K$5:$AJ$110,0,MATCH(AH$2,Inputs!$K$4:$AJ$4,0)))))</f>
        <v>-2791</v>
      </c>
      <c r="AI7" s="267">
        <f>IF(ISNA(MATCH(AI$2,Inputs!$K$4:$AJ$4,0)),NA(),IF(SUMPRODUCT((Inputs!$A$5:$A$110=$B7)*ISNUMBER(INDEX(Inputs!$K$5:$AJ$110,0,MATCH(AI$2,Inputs!$K$4:$AJ$4,0))))+SUMPRODUCT((Inputs!$C$5:$C$110=$B7)*ISNUMBER(INDEX(Inputs!$K$5:$AJ$110,0,MATCH(AI$2,Inputs!$K$4:$AJ$4,0))))+SUMPRODUCT((Inputs!$E$5:$E$110=$B7)*ISNUMBER(INDEX(Inputs!$K$5:$AJ$110,0,MATCH(AI$2,Inputs!$K$4:$AJ$4,0))))=0,NA(),SUMPRODUCT((Inputs!$A$5:$A$110=$B7)*Inputs!$B$5:$B$110*(((Inputs!$G$5:$G$110="moeda")+(Inputs!$G$5:$G$110="acoes"))*Inputs!$B$1+((Inputs!$G$5:$G$110&lt;&gt;"moeda")*(Inputs!$G$5:$G$110&lt;&gt;"acoes")))*INDEX(Inputs!$K$5:$AJ$110,0,MATCH(AI$2,Inputs!$K$4:$AJ$4,0)))+SUMPRODUCT((Inputs!$C$5:$C$110=$B7)*Inputs!$D$5:$D$110*(((Inputs!$G$5:$G$110="moeda")+(Inputs!$G$5:$G$110="acoes"))*Inputs!$B$1+((Inputs!$G$5:$G$110&lt;&gt;"moeda")*(Inputs!$G$5:$G$110&lt;&gt;"acoes")))*INDEX(Inputs!$K$5:$AJ$110,0,MATCH(AI$2,Inputs!$K$4:$AJ$4,0)))+SUMPRODUCT((Inputs!$E$5:$E$110=$B7)*Inputs!$F$5:$F$110*(((Inputs!$G$5:$G$110="moeda")+(Inputs!$G$5:$G$110="acoes"))*Inputs!$B$1+((Inputs!$G$5:$G$110&lt;&gt;"moeda")*(Inputs!$G$5:$G$110&lt;&gt;"acoes")))*INDEX(Inputs!$K$5:$AJ$110,0,MATCH(AI$2,Inputs!$K$4:$AJ$4,0)))))</f>
        <v>-2771</v>
      </c>
      <c r="AJ7" s="267">
        <f>IF(ISNA(MATCH(AJ$2,Inputs!$K$4:$AJ$4,0)),NA(),IF(SUMPRODUCT((Inputs!$A$5:$A$110=$B7)*ISNUMBER(INDEX(Inputs!$K$5:$AJ$110,0,MATCH(AJ$2,Inputs!$K$4:$AJ$4,0))))+SUMPRODUCT((Inputs!$C$5:$C$110=$B7)*ISNUMBER(INDEX(Inputs!$K$5:$AJ$110,0,MATCH(AJ$2,Inputs!$K$4:$AJ$4,0))))+SUMPRODUCT((Inputs!$E$5:$E$110=$B7)*ISNUMBER(INDEX(Inputs!$K$5:$AJ$110,0,MATCH(AJ$2,Inputs!$K$4:$AJ$4,0))))=0,NA(),SUMPRODUCT((Inputs!$A$5:$A$110=$B7)*Inputs!$B$5:$B$110*(((Inputs!$G$5:$G$110="moeda")+(Inputs!$G$5:$G$110="acoes"))*Inputs!$B$1+((Inputs!$G$5:$G$110&lt;&gt;"moeda")*(Inputs!$G$5:$G$110&lt;&gt;"acoes")))*INDEX(Inputs!$K$5:$AJ$110,0,MATCH(AJ$2,Inputs!$K$4:$AJ$4,0)))+SUMPRODUCT((Inputs!$C$5:$C$110=$B7)*Inputs!$D$5:$D$110*(((Inputs!$G$5:$G$110="moeda")+(Inputs!$G$5:$G$110="acoes"))*Inputs!$B$1+((Inputs!$G$5:$G$110&lt;&gt;"moeda")*(Inputs!$G$5:$G$110&lt;&gt;"acoes")))*INDEX(Inputs!$K$5:$AJ$110,0,MATCH(AJ$2,Inputs!$K$4:$AJ$4,0)))+SUMPRODUCT((Inputs!$E$5:$E$110=$B7)*Inputs!$F$5:$F$110*(((Inputs!$G$5:$G$110="moeda")+(Inputs!$G$5:$G$110="acoes"))*Inputs!$B$1+((Inputs!$G$5:$G$110&lt;&gt;"moeda")*(Inputs!$G$5:$G$110&lt;&gt;"acoes")))*INDEX(Inputs!$K$5:$AJ$110,0,MATCH(AJ$2,Inputs!$K$4:$AJ$4,0)))))</f>
        <v>-2771</v>
      </c>
      <c r="AK7" s="267">
        <f>IF(ISNA(MATCH(AK$2,Inputs!$K$4:$AJ$4,0)),NA(),IF(SUMPRODUCT((Inputs!$A$5:$A$110=$B7)*ISNUMBER(INDEX(Inputs!$K$5:$AJ$110,0,MATCH(AK$2,Inputs!$K$4:$AJ$4,0))))+SUMPRODUCT((Inputs!$C$5:$C$110=$B7)*ISNUMBER(INDEX(Inputs!$K$5:$AJ$110,0,MATCH(AK$2,Inputs!$K$4:$AJ$4,0))))+SUMPRODUCT((Inputs!$E$5:$E$110=$B7)*ISNUMBER(INDEX(Inputs!$K$5:$AJ$110,0,MATCH(AK$2,Inputs!$K$4:$AJ$4,0))))=0,NA(),SUMPRODUCT((Inputs!$A$5:$A$110=$B7)*Inputs!$B$5:$B$110*(((Inputs!$G$5:$G$110="moeda")+(Inputs!$G$5:$G$110="acoes"))*Inputs!$B$1+((Inputs!$G$5:$G$110&lt;&gt;"moeda")*(Inputs!$G$5:$G$110&lt;&gt;"acoes")))*INDEX(Inputs!$K$5:$AJ$110,0,MATCH(AK$2,Inputs!$K$4:$AJ$4,0)))+SUMPRODUCT((Inputs!$C$5:$C$110=$B7)*Inputs!$D$5:$D$110*(((Inputs!$G$5:$G$110="moeda")+(Inputs!$G$5:$G$110="acoes"))*Inputs!$B$1+((Inputs!$G$5:$G$110&lt;&gt;"moeda")*(Inputs!$G$5:$G$110&lt;&gt;"acoes")))*INDEX(Inputs!$K$5:$AJ$110,0,MATCH(AK$2,Inputs!$K$4:$AJ$4,0)))+SUMPRODUCT((Inputs!$E$5:$E$110=$B7)*Inputs!$F$5:$F$110*(((Inputs!$G$5:$G$110="moeda")+(Inputs!$G$5:$G$110="acoes"))*Inputs!$B$1+((Inputs!$G$5:$G$110&lt;&gt;"moeda")*(Inputs!$G$5:$G$110&lt;&gt;"acoes")))*INDEX(Inputs!$K$5:$AJ$110,0,MATCH(AK$2,Inputs!$K$4:$AJ$4,0)))))</f>
        <v>-2819</v>
      </c>
      <c r="AL7" s="268">
        <f>SUM(AH7:AK7)</f>
        <v>-11152</v>
      </c>
    </row>
    <row r="8" ht="12.75" customHeight="1" s="255">
      <c r="B8" s="265" t="n">
        <v>5</v>
      </c>
      <c r="C8" s="270" t="inlineStr">
        <is>
          <t>Interest Expense</t>
        </is>
      </c>
      <c r="D8" s="267">
        <f>IF(ISNA(MATCH(D$2,Inputs!$K$4:$AJ$4,0)),NA(),IF(SUMPRODUCT((Inputs!$A$5:$A$110=$B8)*ISNUMBER(INDEX(Inputs!$K$5:$AJ$110,0,MATCH(D$2,Inputs!$K$4:$AJ$4,0))))+SUMPRODUCT((Inputs!$C$5:$C$110=$B8)*ISNUMBER(INDEX(Inputs!$K$5:$AJ$110,0,MATCH(D$2,Inputs!$K$4:$AJ$4,0))))+SUMPRODUCT((Inputs!$E$5:$E$110=$B8)*ISNUMBER(INDEX(Inputs!$K$5:$AJ$110,0,MATCH(D$2,Inputs!$K$4:$AJ$4,0))))=0,NA(),SUMPRODUCT((Inputs!$A$5:$A$110=$B8)*Inputs!$B$5:$B$110*(((Inputs!$G$5:$G$110="moeda")+(Inputs!$G$5:$G$110="acoes"))*Inputs!$B$1+((Inputs!$G$5:$G$110&lt;&gt;"moeda")*(Inputs!$G$5:$G$110&lt;&gt;"acoes")))*INDEX(Inputs!$K$5:$AJ$110,0,MATCH(D$2,Inputs!$K$4:$AJ$4,0)))+SUMPRODUCT((Inputs!$C$5:$C$110=$B8)*Inputs!$D$5:$D$110*(((Inputs!$G$5:$G$110="moeda")+(Inputs!$G$5:$G$110="acoes"))*Inputs!$B$1+((Inputs!$G$5:$G$110&lt;&gt;"moeda")*(Inputs!$G$5:$G$110&lt;&gt;"acoes")))*INDEX(Inputs!$K$5:$AJ$110,0,MATCH(D$2,Inputs!$K$4:$AJ$4,0)))+SUMPRODUCT((Inputs!$E$5:$E$110=$B8)*Inputs!$F$5:$F$110*(((Inputs!$G$5:$G$110="moeda")+(Inputs!$G$5:$G$110="acoes"))*Inputs!$B$1+((Inputs!$G$5:$G$110&lt;&gt;"moeda")*(Inputs!$G$5:$G$110&lt;&gt;"acoes")))*INDEX(Inputs!$K$5:$AJ$110,0,MATCH(D$2,Inputs!$K$4:$AJ$4,0)))))</f>
        <v>-481</v>
      </c>
      <c r="E8" s="267">
        <f>IF(ISNA(MATCH(E$2,Inputs!$K$4:$AJ$4,0)),NA(),IF(SUMPRODUCT((Inputs!$A$5:$A$110=$B8)*ISNUMBER(INDEX(Inputs!$K$5:$AJ$110,0,MATCH(E$2,Inputs!$K$4:$AJ$4,0))))+SUMPRODUCT((Inputs!$C$5:$C$110=$B8)*ISNUMBER(INDEX(Inputs!$K$5:$AJ$110,0,MATCH(E$2,Inputs!$K$4:$AJ$4,0))))+SUMPRODUCT((Inputs!$E$5:$E$110=$B8)*ISNUMBER(INDEX(Inputs!$K$5:$AJ$110,0,MATCH(E$2,Inputs!$K$4:$AJ$4,0))))=0,NA(),SUMPRODUCT((Inputs!$A$5:$A$110=$B8)*Inputs!$B$5:$B$110*(((Inputs!$G$5:$G$110="moeda")+(Inputs!$G$5:$G$110="acoes"))*Inputs!$B$1+((Inputs!$G$5:$G$110&lt;&gt;"moeda")*(Inputs!$G$5:$G$110&lt;&gt;"acoes")))*INDEX(Inputs!$K$5:$AJ$110,0,MATCH(E$2,Inputs!$K$4:$AJ$4,0)))+SUMPRODUCT((Inputs!$C$5:$C$110=$B8)*Inputs!$D$5:$D$110*(((Inputs!$G$5:$G$110="moeda")+(Inputs!$G$5:$G$110="acoes"))*Inputs!$B$1+((Inputs!$G$5:$G$110&lt;&gt;"moeda")*(Inputs!$G$5:$G$110&lt;&gt;"acoes")))*INDEX(Inputs!$K$5:$AJ$110,0,MATCH(E$2,Inputs!$K$4:$AJ$4,0)))+SUMPRODUCT((Inputs!$E$5:$E$110=$B8)*Inputs!$F$5:$F$110*(((Inputs!$G$5:$G$110="moeda")+(Inputs!$G$5:$G$110="acoes"))*Inputs!$B$1+((Inputs!$G$5:$G$110&lt;&gt;"moeda")*(Inputs!$G$5:$G$110&lt;&gt;"acoes")))*INDEX(Inputs!$K$5:$AJ$110,0,MATCH(E$2,Inputs!$K$4:$AJ$4,0)))))</f>
        <v>-437</v>
      </c>
      <c r="F8" s="267">
        <f>IF(ISNA(MATCH(F$2,Inputs!$K$4:$AJ$4,0)),NA(),IF(SUMPRODUCT((Inputs!$A$5:$A$110=$B8)*ISNUMBER(INDEX(Inputs!$K$5:$AJ$110,0,MATCH(F$2,Inputs!$K$4:$AJ$4,0))))+SUMPRODUCT((Inputs!$C$5:$C$110=$B8)*ISNUMBER(INDEX(Inputs!$K$5:$AJ$110,0,MATCH(F$2,Inputs!$K$4:$AJ$4,0))))+SUMPRODUCT((Inputs!$E$5:$E$110=$B8)*ISNUMBER(INDEX(Inputs!$K$5:$AJ$110,0,MATCH(F$2,Inputs!$K$4:$AJ$4,0))))=0,NA(),SUMPRODUCT((Inputs!$A$5:$A$110=$B8)*Inputs!$B$5:$B$110*(((Inputs!$G$5:$G$110="moeda")+(Inputs!$G$5:$G$110="acoes"))*Inputs!$B$1+((Inputs!$G$5:$G$110&lt;&gt;"moeda")*(Inputs!$G$5:$G$110&lt;&gt;"acoes")))*INDEX(Inputs!$K$5:$AJ$110,0,MATCH(F$2,Inputs!$K$4:$AJ$4,0)))+SUMPRODUCT((Inputs!$C$5:$C$110=$B8)*Inputs!$D$5:$D$110*(((Inputs!$G$5:$G$110="moeda")+(Inputs!$G$5:$G$110="acoes"))*Inputs!$B$1+((Inputs!$G$5:$G$110&lt;&gt;"moeda")*(Inputs!$G$5:$G$110&lt;&gt;"acoes")))*INDEX(Inputs!$K$5:$AJ$110,0,MATCH(F$2,Inputs!$K$4:$AJ$4,0)))+SUMPRODUCT((Inputs!$E$5:$E$110=$B8)*Inputs!$F$5:$F$110*(((Inputs!$G$5:$G$110="moeda")+(Inputs!$G$5:$G$110="acoes"))*Inputs!$B$1+((Inputs!$G$5:$G$110&lt;&gt;"moeda")*(Inputs!$G$5:$G$110&lt;&gt;"acoes")))*INDEX(Inputs!$K$5:$AJ$110,0,MATCH(F$2,Inputs!$K$4:$AJ$4,0)))))</f>
        <v>-408</v>
      </c>
      <c r="G8" s="267">
        <f>IF(ISNA(MATCH(G$2,Inputs!$K$4:$AJ$4,0)),NA(),IF(SUMPRODUCT((Inputs!$A$5:$A$110=$B8)*ISNUMBER(INDEX(Inputs!$K$5:$AJ$110,0,MATCH(G$2,Inputs!$K$4:$AJ$4,0))))+SUMPRODUCT((Inputs!$C$5:$C$110=$B8)*ISNUMBER(INDEX(Inputs!$K$5:$AJ$110,0,MATCH(G$2,Inputs!$K$4:$AJ$4,0))))+SUMPRODUCT((Inputs!$E$5:$E$110=$B8)*ISNUMBER(INDEX(Inputs!$K$5:$AJ$110,0,MATCH(G$2,Inputs!$K$4:$AJ$4,0))))=0,NA(),SUMPRODUCT((Inputs!$A$5:$A$110=$B8)*Inputs!$B$5:$B$110*(((Inputs!$G$5:$G$110="moeda")+(Inputs!$G$5:$G$110="acoes"))*Inputs!$B$1+((Inputs!$G$5:$G$110&lt;&gt;"moeda")*(Inputs!$G$5:$G$110&lt;&gt;"acoes")))*INDEX(Inputs!$K$5:$AJ$110,0,MATCH(G$2,Inputs!$K$4:$AJ$4,0)))+SUMPRODUCT((Inputs!$C$5:$C$110=$B8)*Inputs!$D$5:$D$110*(((Inputs!$G$5:$G$110="moeda")+(Inputs!$G$5:$G$110="acoes"))*Inputs!$B$1+((Inputs!$G$5:$G$110&lt;&gt;"moeda")*(Inputs!$G$5:$G$110&lt;&gt;"acoes")))*INDEX(Inputs!$K$5:$AJ$110,0,MATCH(G$2,Inputs!$K$4:$AJ$4,0)))+SUMPRODUCT((Inputs!$E$5:$E$110=$B8)*Inputs!$F$5:$F$110*(((Inputs!$G$5:$G$110="moeda")+(Inputs!$G$5:$G$110="acoes"))*Inputs!$B$1+((Inputs!$G$5:$G$110&lt;&gt;"moeda")*(Inputs!$G$5:$G$110&lt;&gt;"acoes")))*INDEX(Inputs!$K$5:$AJ$110,0,MATCH(G$2,Inputs!$K$4:$AJ$4,0)))))</f>
        <v>-348</v>
      </c>
      <c r="H8" s="268">
        <f>SUM(D8:G8)</f>
        <v>-1674</v>
      </c>
      <c r="I8" s="267">
        <f>IF(ISNA(MATCH(I$2,Inputs!$K$4:$AJ$4,0)),NA(),IF(SUMPRODUCT((Inputs!$A$5:$A$110=$B8)*ISNUMBER(INDEX(Inputs!$K$5:$AJ$110,0,MATCH(I$2,Inputs!$K$4:$AJ$4,0))))+SUMPRODUCT((Inputs!$C$5:$C$110=$B8)*ISNUMBER(INDEX(Inputs!$K$5:$AJ$110,0,MATCH(I$2,Inputs!$K$4:$AJ$4,0))))+SUMPRODUCT((Inputs!$E$5:$E$110=$B8)*ISNUMBER(INDEX(Inputs!$K$5:$AJ$110,0,MATCH(I$2,Inputs!$K$4:$AJ$4,0))))=0,NA(),SUMPRODUCT((Inputs!$A$5:$A$110=$B8)*Inputs!$B$5:$B$110*(((Inputs!$G$5:$G$110="moeda")+(Inputs!$G$5:$G$110="acoes"))*Inputs!$B$1+((Inputs!$G$5:$G$110&lt;&gt;"moeda")*(Inputs!$G$5:$G$110&lt;&gt;"acoes")))*INDEX(Inputs!$K$5:$AJ$110,0,MATCH(I$2,Inputs!$K$4:$AJ$4,0)))+SUMPRODUCT((Inputs!$C$5:$C$110=$B8)*Inputs!$D$5:$D$110*(((Inputs!$G$5:$G$110="moeda")+(Inputs!$G$5:$G$110="acoes"))*Inputs!$B$1+((Inputs!$G$5:$G$110&lt;&gt;"moeda")*(Inputs!$G$5:$G$110&lt;&gt;"acoes")))*INDEX(Inputs!$K$5:$AJ$110,0,MATCH(I$2,Inputs!$K$4:$AJ$4,0)))+SUMPRODUCT((Inputs!$E$5:$E$110=$B8)*Inputs!$F$5:$F$110*(((Inputs!$G$5:$G$110="moeda")+(Inputs!$G$5:$G$110="acoes"))*Inputs!$B$1+((Inputs!$G$5:$G$110&lt;&gt;"moeda")*(Inputs!$G$5:$G$110&lt;&gt;"acoes")))*INDEX(Inputs!$K$5:$AJ$110,0,MATCH(I$2,Inputs!$K$4:$AJ$4,0)))))</f>
        <v>-372</v>
      </c>
      <c r="J8" s="267">
        <f>IF(ISNA(MATCH(J$2,Inputs!$K$4:$AJ$4,0)),NA(),IF(SUMPRODUCT((Inputs!$A$5:$A$110=$B8)*ISNUMBER(INDEX(Inputs!$K$5:$AJ$110,0,MATCH(J$2,Inputs!$K$4:$AJ$4,0))))+SUMPRODUCT((Inputs!$C$5:$C$110=$B8)*ISNUMBER(INDEX(Inputs!$K$5:$AJ$110,0,MATCH(J$2,Inputs!$K$4:$AJ$4,0))))+SUMPRODUCT((Inputs!$E$5:$E$110=$B8)*ISNUMBER(INDEX(Inputs!$K$5:$AJ$110,0,MATCH(J$2,Inputs!$K$4:$AJ$4,0))))=0,NA(),SUMPRODUCT((Inputs!$A$5:$A$110=$B8)*Inputs!$B$5:$B$110*(((Inputs!$G$5:$G$110="moeda")+(Inputs!$G$5:$G$110="acoes"))*Inputs!$B$1+((Inputs!$G$5:$G$110&lt;&gt;"moeda")*(Inputs!$G$5:$G$110&lt;&gt;"acoes")))*INDEX(Inputs!$K$5:$AJ$110,0,MATCH(J$2,Inputs!$K$4:$AJ$4,0)))+SUMPRODUCT((Inputs!$C$5:$C$110=$B8)*Inputs!$D$5:$D$110*(((Inputs!$G$5:$G$110="moeda")+(Inputs!$G$5:$G$110="acoes"))*Inputs!$B$1+((Inputs!$G$5:$G$110&lt;&gt;"moeda")*(Inputs!$G$5:$G$110&lt;&gt;"acoes")))*INDEX(Inputs!$K$5:$AJ$110,0,MATCH(J$2,Inputs!$K$4:$AJ$4,0)))+SUMPRODUCT((Inputs!$E$5:$E$110=$B8)*Inputs!$F$5:$F$110*(((Inputs!$G$5:$G$110="moeda")+(Inputs!$G$5:$G$110="acoes"))*Inputs!$B$1+((Inputs!$G$5:$G$110&lt;&gt;"moeda")*(Inputs!$G$5:$G$110&lt;&gt;"acoes")))*INDEX(Inputs!$K$5:$AJ$110,0,MATCH(J$2,Inputs!$K$4:$AJ$4,0)))))</f>
        <v>-395</v>
      </c>
      <c r="K8" s="267">
        <f>IF(ISNA(MATCH(K$2,Inputs!$K$4:$AJ$4,0)),NA(),IF(SUMPRODUCT((Inputs!$A$5:$A$110=$B8)*ISNUMBER(INDEX(Inputs!$K$5:$AJ$110,0,MATCH(K$2,Inputs!$K$4:$AJ$4,0))))+SUMPRODUCT((Inputs!$C$5:$C$110=$B8)*ISNUMBER(INDEX(Inputs!$K$5:$AJ$110,0,MATCH(K$2,Inputs!$K$4:$AJ$4,0))))+SUMPRODUCT((Inputs!$E$5:$E$110=$B8)*ISNUMBER(INDEX(Inputs!$K$5:$AJ$110,0,MATCH(K$2,Inputs!$K$4:$AJ$4,0))))=0,NA(),SUMPRODUCT((Inputs!$A$5:$A$110=$B8)*Inputs!$B$5:$B$110*(((Inputs!$G$5:$G$110="moeda")+(Inputs!$G$5:$G$110="acoes"))*Inputs!$B$1+((Inputs!$G$5:$G$110&lt;&gt;"moeda")*(Inputs!$G$5:$G$110&lt;&gt;"acoes")))*INDEX(Inputs!$K$5:$AJ$110,0,MATCH(K$2,Inputs!$K$4:$AJ$4,0)))+SUMPRODUCT((Inputs!$C$5:$C$110=$B8)*Inputs!$D$5:$D$110*(((Inputs!$G$5:$G$110="moeda")+(Inputs!$G$5:$G$110="acoes"))*Inputs!$B$1+((Inputs!$G$5:$G$110&lt;&gt;"moeda")*(Inputs!$G$5:$G$110&lt;&gt;"acoes")))*INDEX(Inputs!$K$5:$AJ$110,0,MATCH(K$2,Inputs!$K$4:$AJ$4,0)))+SUMPRODUCT((Inputs!$E$5:$E$110=$B8)*Inputs!$F$5:$F$110*(((Inputs!$G$5:$G$110="moeda")+(Inputs!$G$5:$G$110="acoes"))*Inputs!$B$1+((Inputs!$G$5:$G$110&lt;&gt;"moeda")*(Inputs!$G$5:$G$110&lt;&gt;"acoes")))*INDEX(Inputs!$K$5:$AJ$110,0,MATCH(K$2,Inputs!$K$4:$AJ$4,0)))))</f>
        <v>-499</v>
      </c>
      <c r="L8" s="267">
        <f>IF(ISNA(MATCH(L$2,Inputs!$K$4:$AJ$4,0)),NA(),IF(SUMPRODUCT((Inputs!$A$5:$A$110=$B8)*ISNUMBER(INDEX(Inputs!$K$5:$AJ$110,0,MATCH(L$2,Inputs!$K$4:$AJ$4,0))))+SUMPRODUCT((Inputs!$C$5:$C$110=$B8)*ISNUMBER(INDEX(Inputs!$K$5:$AJ$110,0,MATCH(L$2,Inputs!$K$4:$AJ$4,0))))+SUMPRODUCT((Inputs!$E$5:$E$110=$B8)*ISNUMBER(INDEX(Inputs!$K$5:$AJ$110,0,MATCH(L$2,Inputs!$K$4:$AJ$4,0))))=0,NA(),SUMPRODUCT((Inputs!$A$5:$A$110=$B8)*Inputs!$B$5:$B$110*(((Inputs!$G$5:$G$110="moeda")+(Inputs!$G$5:$G$110="acoes"))*Inputs!$B$1+((Inputs!$G$5:$G$110&lt;&gt;"moeda")*(Inputs!$G$5:$G$110&lt;&gt;"acoes")))*INDEX(Inputs!$K$5:$AJ$110,0,MATCH(L$2,Inputs!$K$4:$AJ$4,0)))+SUMPRODUCT((Inputs!$C$5:$C$110=$B8)*Inputs!$D$5:$D$110*(((Inputs!$G$5:$G$110="moeda")+(Inputs!$G$5:$G$110="acoes"))*Inputs!$B$1+((Inputs!$G$5:$G$110&lt;&gt;"moeda")*(Inputs!$G$5:$G$110&lt;&gt;"acoes")))*INDEX(Inputs!$K$5:$AJ$110,0,MATCH(L$2,Inputs!$K$4:$AJ$4,0)))+SUMPRODUCT((Inputs!$E$5:$E$110=$B8)*Inputs!$F$5:$F$110*(((Inputs!$G$5:$G$110="moeda")+(Inputs!$G$5:$G$110="acoes"))*Inputs!$B$1+((Inputs!$G$5:$G$110&lt;&gt;"moeda")*(Inputs!$G$5:$G$110&lt;&gt;"acoes")))*INDEX(Inputs!$K$5:$AJ$110,0,MATCH(L$2,Inputs!$K$4:$AJ$4,0)))))</f>
        <v>-521</v>
      </c>
      <c r="M8" s="268">
        <f>SUM(I8:L8)</f>
        <v>-1787</v>
      </c>
      <c r="N8" s="267">
        <f>IF(ISNA(MATCH(N$2,Inputs!$K$4:$AJ$4,0)),NA(),IF(SUMPRODUCT((Inputs!$A$5:$A$110=$B8)*ISNUMBER(INDEX(Inputs!$K$5:$AJ$110,0,MATCH(N$2,Inputs!$K$4:$AJ$4,0))))+SUMPRODUCT((Inputs!$C$5:$C$110=$B8)*ISNUMBER(INDEX(Inputs!$K$5:$AJ$110,0,MATCH(N$2,Inputs!$K$4:$AJ$4,0))))+SUMPRODUCT((Inputs!$E$5:$E$110=$B8)*ISNUMBER(INDEX(Inputs!$K$5:$AJ$110,0,MATCH(N$2,Inputs!$K$4:$AJ$4,0))))=0,NA(),SUMPRODUCT((Inputs!$A$5:$A$110=$B8)*Inputs!$B$5:$B$110*(((Inputs!$G$5:$G$110="moeda")+(Inputs!$G$5:$G$110="acoes"))*Inputs!$B$1+((Inputs!$G$5:$G$110&lt;&gt;"moeda")*(Inputs!$G$5:$G$110&lt;&gt;"acoes")))*INDEX(Inputs!$K$5:$AJ$110,0,MATCH(N$2,Inputs!$K$4:$AJ$4,0)))+SUMPRODUCT((Inputs!$C$5:$C$110=$B8)*Inputs!$D$5:$D$110*(((Inputs!$G$5:$G$110="moeda")+(Inputs!$G$5:$G$110="acoes"))*Inputs!$B$1+((Inputs!$G$5:$G$110&lt;&gt;"moeda")*(Inputs!$G$5:$G$110&lt;&gt;"acoes")))*INDEX(Inputs!$K$5:$AJ$110,0,MATCH(N$2,Inputs!$K$4:$AJ$4,0)))+SUMPRODUCT((Inputs!$E$5:$E$110=$B8)*Inputs!$F$5:$F$110*(((Inputs!$G$5:$G$110="moeda")+(Inputs!$G$5:$G$110="acoes"))*Inputs!$B$1+((Inputs!$G$5:$G$110&lt;&gt;"moeda")*(Inputs!$G$5:$G$110&lt;&gt;"acoes")))*INDEX(Inputs!$K$5:$AJ$110,0,MATCH(N$2,Inputs!$K$4:$AJ$4,0)))))</f>
        <v>-568</v>
      </c>
      <c r="O8" s="267">
        <f>IF(ISNA(MATCH(O$2,Inputs!$K$4:$AJ$4,0)),NA(),IF(SUMPRODUCT((Inputs!$A$5:$A$110=$B8)*ISNUMBER(INDEX(Inputs!$K$5:$AJ$110,0,MATCH(O$2,Inputs!$K$4:$AJ$4,0))))+SUMPRODUCT((Inputs!$C$5:$C$110=$B8)*ISNUMBER(INDEX(Inputs!$K$5:$AJ$110,0,MATCH(O$2,Inputs!$K$4:$AJ$4,0))))+SUMPRODUCT((Inputs!$E$5:$E$110=$B8)*ISNUMBER(INDEX(Inputs!$K$5:$AJ$110,0,MATCH(O$2,Inputs!$K$4:$AJ$4,0))))=0,NA(),SUMPRODUCT((Inputs!$A$5:$A$110=$B8)*Inputs!$B$5:$B$110*(((Inputs!$G$5:$G$110="moeda")+(Inputs!$G$5:$G$110="acoes"))*Inputs!$B$1+((Inputs!$G$5:$G$110&lt;&gt;"moeda")*(Inputs!$G$5:$G$110&lt;&gt;"acoes")))*INDEX(Inputs!$K$5:$AJ$110,0,MATCH(O$2,Inputs!$K$4:$AJ$4,0)))+SUMPRODUCT((Inputs!$C$5:$C$110=$B8)*Inputs!$D$5:$D$110*(((Inputs!$G$5:$G$110="moeda")+(Inputs!$G$5:$G$110="acoes"))*Inputs!$B$1+((Inputs!$G$5:$G$110&lt;&gt;"moeda")*(Inputs!$G$5:$G$110&lt;&gt;"acoes")))*INDEX(Inputs!$K$5:$AJ$110,0,MATCH(O$2,Inputs!$K$4:$AJ$4,0)))+SUMPRODUCT((Inputs!$E$5:$E$110=$B8)*Inputs!$F$5:$F$110*(((Inputs!$G$5:$G$110="moeda")+(Inputs!$G$5:$G$110="acoes"))*Inputs!$B$1+((Inputs!$G$5:$G$110&lt;&gt;"moeda")*(Inputs!$G$5:$G$110&lt;&gt;"acoes")))*INDEX(Inputs!$K$5:$AJ$110,0,MATCH(O$2,Inputs!$K$4:$AJ$4,0)))))</f>
        <v>-543</v>
      </c>
      <c r="P8" s="267">
        <f>IF(ISNA(MATCH(P$2,Inputs!$K$4:$AJ$4,0)),NA(),IF(SUMPRODUCT((Inputs!$A$5:$A$110=$B8)*ISNUMBER(INDEX(Inputs!$K$5:$AJ$110,0,MATCH(P$2,Inputs!$K$4:$AJ$4,0))))+SUMPRODUCT((Inputs!$C$5:$C$110=$B8)*ISNUMBER(INDEX(Inputs!$K$5:$AJ$110,0,MATCH(P$2,Inputs!$K$4:$AJ$4,0))))+SUMPRODUCT((Inputs!$E$5:$E$110=$B8)*ISNUMBER(INDEX(Inputs!$K$5:$AJ$110,0,MATCH(P$2,Inputs!$K$4:$AJ$4,0))))=0,NA(),SUMPRODUCT((Inputs!$A$5:$A$110=$B8)*Inputs!$B$5:$B$110*(((Inputs!$G$5:$G$110="moeda")+(Inputs!$G$5:$G$110="acoes"))*Inputs!$B$1+((Inputs!$G$5:$G$110&lt;&gt;"moeda")*(Inputs!$G$5:$G$110&lt;&gt;"acoes")))*INDEX(Inputs!$K$5:$AJ$110,0,MATCH(P$2,Inputs!$K$4:$AJ$4,0)))+SUMPRODUCT((Inputs!$C$5:$C$110=$B8)*Inputs!$D$5:$D$110*(((Inputs!$G$5:$G$110="moeda")+(Inputs!$G$5:$G$110="acoes"))*Inputs!$B$1+((Inputs!$G$5:$G$110&lt;&gt;"moeda")*(Inputs!$G$5:$G$110&lt;&gt;"acoes")))*INDEX(Inputs!$K$5:$AJ$110,0,MATCH(P$2,Inputs!$K$4:$AJ$4,0)))+SUMPRODUCT((Inputs!$E$5:$E$110=$B8)*Inputs!$F$5:$F$110*(((Inputs!$G$5:$G$110="moeda")+(Inputs!$G$5:$G$110="acoes"))*Inputs!$B$1+((Inputs!$G$5:$G$110&lt;&gt;"moeda")*(Inputs!$G$5:$G$110&lt;&gt;"acoes")))*INDEX(Inputs!$K$5:$AJ$110,0,MATCH(P$2,Inputs!$K$4:$AJ$4,0)))))</f>
        <v>-572</v>
      </c>
      <c r="Q8" s="267">
        <f>IF(ISNA(MATCH(Q$2,Inputs!$K$4:$AJ$4,0)),NA(),IF(SUMPRODUCT((Inputs!$A$5:$A$110=$B8)*ISNUMBER(INDEX(Inputs!$K$5:$AJ$110,0,MATCH(Q$2,Inputs!$K$4:$AJ$4,0))))+SUMPRODUCT((Inputs!$C$5:$C$110=$B8)*ISNUMBER(INDEX(Inputs!$K$5:$AJ$110,0,MATCH(Q$2,Inputs!$K$4:$AJ$4,0))))+SUMPRODUCT((Inputs!$E$5:$E$110=$B8)*ISNUMBER(INDEX(Inputs!$K$5:$AJ$110,0,MATCH(Q$2,Inputs!$K$4:$AJ$4,0))))=0,NA(),SUMPRODUCT((Inputs!$A$5:$A$110=$B8)*Inputs!$B$5:$B$110*(((Inputs!$G$5:$G$110="moeda")+(Inputs!$G$5:$G$110="acoes"))*Inputs!$B$1+((Inputs!$G$5:$G$110&lt;&gt;"moeda")*(Inputs!$G$5:$G$110&lt;&gt;"acoes")))*INDEX(Inputs!$K$5:$AJ$110,0,MATCH(Q$2,Inputs!$K$4:$AJ$4,0)))+SUMPRODUCT((Inputs!$C$5:$C$110=$B8)*Inputs!$D$5:$D$110*(((Inputs!$G$5:$G$110="moeda")+(Inputs!$G$5:$G$110="acoes"))*Inputs!$B$1+((Inputs!$G$5:$G$110&lt;&gt;"moeda")*(Inputs!$G$5:$G$110&lt;&gt;"acoes")))*INDEX(Inputs!$K$5:$AJ$110,0,MATCH(Q$2,Inputs!$K$4:$AJ$4,0)))+SUMPRODUCT((Inputs!$E$5:$E$110=$B8)*Inputs!$F$5:$F$110*(((Inputs!$G$5:$G$110="moeda")+(Inputs!$G$5:$G$110="acoes"))*Inputs!$B$1+((Inputs!$G$5:$G$110&lt;&gt;"moeda")*(Inputs!$G$5:$G$110&lt;&gt;"acoes")))*INDEX(Inputs!$K$5:$AJ$110,0,MATCH(Q$2,Inputs!$K$4:$AJ$4,0)))))</f>
        <v>-576</v>
      </c>
      <c r="R8" s="268">
        <f>SUM(N8:Q8)</f>
        <v>-2259</v>
      </c>
      <c r="S8" s="267">
        <f>IF(ISNA(MATCH(S$2,Inputs!$K$4:$AJ$4,0)),NA(),IF(SUMPRODUCT((Inputs!$A$5:$A$110=$B8)*ISNUMBER(INDEX(Inputs!$K$5:$AJ$110,0,MATCH(S$2,Inputs!$K$4:$AJ$4,0))))+SUMPRODUCT((Inputs!$C$5:$C$110=$B8)*ISNUMBER(INDEX(Inputs!$K$5:$AJ$110,0,MATCH(S$2,Inputs!$K$4:$AJ$4,0))))+SUMPRODUCT((Inputs!$E$5:$E$110=$B8)*ISNUMBER(INDEX(Inputs!$K$5:$AJ$110,0,MATCH(S$2,Inputs!$K$4:$AJ$4,0))))=0,NA(),SUMPRODUCT((Inputs!$A$5:$A$110=$B8)*Inputs!$B$5:$B$110*(((Inputs!$G$5:$G$110="moeda")+(Inputs!$G$5:$G$110="acoes"))*Inputs!$B$1+((Inputs!$G$5:$G$110&lt;&gt;"moeda")*(Inputs!$G$5:$G$110&lt;&gt;"acoes")))*INDEX(Inputs!$K$5:$AJ$110,0,MATCH(S$2,Inputs!$K$4:$AJ$4,0)))+SUMPRODUCT((Inputs!$C$5:$C$110=$B8)*Inputs!$D$5:$D$110*(((Inputs!$G$5:$G$110="moeda")+(Inputs!$G$5:$G$110="acoes"))*Inputs!$B$1+((Inputs!$G$5:$G$110&lt;&gt;"moeda")*(Inputs!$G$5:$G$110&lt;&gt;"acoes")))*INDEX(Inputs!$K$5:$AJ$110,0,MATCH(S$2,Inputs!$K$4:$AJ$4,0)))+SUMPRODUCT((Inputs!$E$5:$E$110=$B8)*Inputs!$F$5:$F$110*(((Inputs!$G$5:$G$110="moeda")+(Inputs!$G$5:$G$110="acoes"))*Inputs!$B$1+((Inputs!$G$5:$G$110&lt;&gt;"moeda")*(Inputs!$G$5:$G$110&lt;&gt;"acoes")))*INDEX(Inputs!$K$5:$AJ$110,0,MATCH(S$2,Inputs!$K$4:$AJ$4,0)))))</f>
        <v>-597</v>
      </c>
      <c r="T8" s="267">
        <f>IF(ISNA(MATCH(T$2,Inputs!$K$4:$AJ$4,0)),NA(),IF(SUMPRODUCT((Inputs!$A$5:$A$110=$B8)*ISNUMBER(INDEX(Inputs!$K$5:$AJ$110,0,MATCH(T$2,Inputs!$K$4:$AJ$4,0))))+SUMPRODUCT((Inputs!$C$5:$C$110=$B8)*ISNUMBER(INDEX(Inputs!$K$5:$AJ$110,0,MATCH(T$2,Inputs!$K$4:$AJ$4,0))))+SUMPRODUCT((Inputs!$E$5:$E$110=$B8)*ISNUMBER(INDEX(Inputs!$K$5:$AJ$110,0,MATCH(T$2,Inputs!$K$4:$AJ$4,0))))=0,NA(),SUMPRODUCT((Inputs!$A$5:$A$110=$B8)*Inputs!$B$5:$B$110*(((Inputs!$G$5:$G$110="moeda")+(Inputs!$G$5:$G$110="acoes"))*Inputs!$B$1+((Inputs!$G$5:$G$110&lt;&gt;"moeda")*(Inputs!$G$5:$G$110&lt;&gt;"acoes")))*INDEX(Inputs!$K$5:$AJ$110,0,MATCH(T$2,Inputs!$K$4:$AJ$4,0)))+SUMPRODUCT((Inputs!$C$5:$C$110=$B8)*Inputs!$D$5:$D$110*(((Inputs!$G$5:$G$110="moeda")+(Inputs!$G$5:$G$110="acoes"))*Inputs!$B$1+((Inputs!$G$5:$G$110&lt;&gt;"moeda")*(Inputs!$G$5:$G$110&lt;&gt;"acoes")))*INDEX(Inputs!$K$5:$AJ$110,0,MATCH(T$2,Inputs!$K$4:$AJ$4,0)))+SUMPRODUCT((Inputs!$E$5:$E$110=$B8)*Inputs!$F$5:$F$110*(((Inputs!$G$5:$G$110="moeda")+(Inputs!$G$5:$G$110="acoes"))*Inputs!$B$1+((Inputs!$G$5:$G$110&lt;&gt;"moeda")*(Inputs!$G$5:$G$110&lt;&gt;"acoes")))*INDEX(Inputs!$K$5:$AJ$110,0,MATCH(T$2,Inputs!$K$4:$AJ$4,0)))))</f>
        <v>-557</v>
      </c>
      <c r="U8" s="267">
        <f>IF(ISNA(MATCH(U$2,Inputs!$K$4:$AJ$4,0)),NA(),IF(SUMPRODUCT((Inputs!$A$5:$A$110=$B8)*ISNUMBER(INDEX(Inputs!$K$5:$AJ$110,0,MATCH(U$2,Inputs!$K$4:$AJ$4,0))))+SUMPRODUCT((Inputs!$C$5:$C$110=$B8)*ISNUMBER(INDEX(Inputs!$K$5:$AJ$110,0,MATCH(U$2,Inputs!$K$4:$AJ$4,0))))+SUMPRODUCT((Inputs!$E$5:$E$110=$B8)*ISNUMBER(INDEX(Inputs!$K$5:$AJ$110,0,MATCH(U$2,Inputs!$K$4:$AJ$4,0))))=0,NA(),SUMPRODUCT((Inputs!$A$5:$A$110=$B8)*Inputs!$B$5:$B$110*(((Inputs!$G$5:$G$110="moeda")+(Inputs!$G$5:$G$110="acoes"))*Inputs!$B$1+((Inputs!$G$5:$G$110&lt;&gt;"moeda")*(Inputs!$G$5:$G$110&lt;&gt;"acoes")))*INDEX(Inputs!$K$5:$AJ$110,0,MATCH(U$2,Inputs!$K$4:$AJ$4,0)))+SUMPRODUCT((Inputs!$C$5:$C$110=$B8)*Inputs!$D$5:$D$110*(((Inputs!$G$5:$G$110="moeda")+(Inputs!$G$5:$G$110="acoes"))*Inputs!$B$1+((Inputs!$G$5:$G$110&lt;&gt;"moeda")*(Inputs!$G$5:$G$110&lt;&gt;"acoes")))*INDEX(Inputs!$K$5:$AJ$110,0,MATCH(U$2,Inputs!$K$4:$AJ$4,0)))+SUMPRODUCT((Inputs!$E$5:$E$110=$B8)*Inputs!$F$5:$F$110*(((Inputs!$G$5:$G$110="moeda")+(Inputs!$G$5:$G$110="acoes"))*Inputs!$B$1+((Inputs!$G$5:$G$110&lt;&gt;"moeda")*(Inputs!$G$5:$G$110&lt;&gt;"acoes")))*INDEX(Inputs!$K$5:$AJ$110,0,MATCH(U$2,Inputs!$K$4:$AJ$4,0)))))</f>
        <v>-496</v>
      </c>
      <c r="V8" s="267">
        <f>IF(ISNA(MATCH(V$2,Inputs!$K$4:$AJ$4,0)),NA(),IF(SUMPRODUCT((Inputs!$A$5:$A$110=$B8)*ISNUMBER(INDEX(Inputs!$K$5:$AJ$110,0,MATCH(V$2,Inputs!$K$4:$AJ$4,0))))+SUMPRODUCT((Inputs!$C$5:$C$110=$B8)*ISNUMBER(INDEX(Inputs!$K$5:$AJ$110,0,MATCH(V$2,Inputs!$K$4:$AJ$4,0))))+SUMPRODUCT((Inputs!$E$5:$E$110=$B8)*ISNUMBER(INDEX(Inputs!$K$5:$AJ$110,0,MATCH(V$2,Inputs!$K$4:$AJ$4,0))))=0,NA(),SUMPRODUCT((Inputs!$A$5:$A$110=$B8)*Inputs!$B$5:$B$110*(((Inputs!$G$5:$G$110="moeda")+(Inputs!$G$5:$G$110="acoes"))*Inputs!$B$1+((Inputs!$G$5:$G$110&lt;&gt;"moeda")*(Inputs!$G$5:$G$110&lt;&gt;"acoes")))*INDEX(Inputs!$K$5:$AJ$110,0,MATCH(V$2,Inputs!$K$4:$AJ$4,0)))+SUMPRODUCT((Inputs!$C$5:$C$110=$B8)*Inputs!$D$5:$D$110*(((Inputs!$G$5:$G$110="moeda")+(Inputs!$G$5:$G$110="acoes"))*Inputs!$B$1+((Inputs!$G$5:$G$110&lt;&gt;"moeda")*(Inputs!$G$5:$G$110&lt;&gt;"acoes")))*INDEX(Inputs!$K$5:$AJ$110,0,MATCH(V$2,Inputs!$K$4:$AJ$4,0)))+SUMPRODUCT((Inputs!$E$5:$E$110=$B8)*Inputs!$F$5:$F$110*(((Inputs!$G$5:$G$110="moeda")+(Inputs!$G$5:$G$110="acoes"))*Inputs!$B$1+((Inputs!$G$5:$G$110&lt;&gt;"moeda")*(Inputs!$G$5:$G$110&lt;&gt;"acoes")))*INDEX(Inputs!$K$5:$AJ$110,0,MATCH(V$2,Inputs!$K$4:$AJ$4,0)))))</f>
        <v>-599</v>
      </c>
      <c r="W8" s="268">
        <f>SUM(S8:V8)</f>
        <v>-2249</v>
      </c>
      <c r="X8" s="267">
        <f>IF(ISNA(MATCH(X$2,Inputs!$K$4:$AJ$4,0)),NA(),IF(SUMPRODUCT((Inputs!$A$5:$A$110=$B8)*ISNUMBER(INDEX(Inputs!$K$5:$AJ$110,0,MATCH(X$2,Inputs!$K$4:$AJ$4,0))))+SUMPRODUCT((Inputs!$C$5:$C$110=$B8)*ISNUMBER(INDEX(Inputs!$K$5:$AJ$110,0,MATCH(X$2,Inputs!$K$4:$AJ$4,0))))+SUMPRODUCT((Inputs!$E$5:$E$110=$B8)*ISNUMBER(INDEX(Inputs!$K$5:$AJ$110,0,MATCH(X$2,Inputs!$K$4:$AJ$4,0))))=0,NA(),SUMPRODUCT((Inputs!$A$5:$A$110=$B8)*Inputs!$B$5:$B$110*(((Inputs!$G$5:$G$110="moeda")+(Inputs!$G$5:$G$110="acoes"))*Inputs!$B$1+((Inputs!$G$5:$G$110&lt;&gt;"moeda")*(Inputs!$G$5:$G$110&lt;&gt;"acoes")))*INDEX(Inputs!$K$5:$AJ$110,0,MATCH(X$2,Inputs!$K$4:$AJ$4,0)))+SUMPRODUCT((Inputs!$C$5:$C$110=$B8)*Inputs!$D$5:$D$110*(((Inputs!$G$5:$G$110="moeda")+(Inputs!$G$5:$G$110="acoes"))*Inputs!$B$1+((Inputs!$G$5:$G$110&lt;&gt;"moeda")*(Inputs!$G$5:$G$110&lt;&gt;"acoes")))*INDEX(Inputs!$K$5:$AJ$110,0,MATCH(X$2,Inputs!$K$4:$AJ$4,0)))+SUMPRODUCT((Inputs!$E$5:$E$110=$B8)*Inputs!$F$5:$F$110*(((Inputs!$G$5:$G$110="moeda")+(Inputs!$G$5:$G$110="acoes"))*Inputs!$B$1+((Inputs!$G$5:$G$110&lt;&gt;"moeda")*(Inputs!$G$5:$G$110&lt;&gt;"acoes")))*INDEX(Inputs!$K$5:$AJ$110,0,MATCH(X$2,Inputs!$K$4:$AJ$4,0)))))</f>
        <v>-519</v>
      </c>
      <c r="Y8" s="267">
        <f>IF(ISNA(MATCH(Y$2,Inputs!$K$4:$AJ$4,0)),NA(),IF(SUMPRODUCT((Inputs!$A$5:$A$110=$B8)*ISNUMBER(INDEX(Inputs!$K$5:$AJ$110,0,MATCH(Y$2,Inputs!$K$4:$AJ$4,0))))+SUMPRODUCT((Inputs!$C$5:$C$110=$B8)*ISNUMBER(INDEX(Inputs!$K$5:$AJ$110,0,MATCH(Y$2,Inputs!$K$4:$AJ$4,0))))+SUMPRODUCT((Inputs!$E$5:$E$110=$B8)*ISNUMBER(INDEX(Inputs!$K$5:$AJ$110,0,MATCH(Y$2,Inputs!$K$4:$AJ$4,0))))=0,NA(),SUMPRODUCT((Inputs!$A$5:$A$110=$B8)*Inputs!$B$5:$B$110*(((Inputs!$G$5:$G$110="moeda")+(Inputs!$G$5:$G$110="acoes"))*Inputs!$B$1+((Inputs!$G$5:$G$110&lt;&gt;"moeda")*(Inputs!$G$5:$G$110&lt;&gt;"acoes")))*INDEX(Inputs!$K$5:$AJ$110,0,MATCH(Y$2,Inputs!$K$4:$AJ$4,0)))+SUMPRODUCT((Inputs!$C$5:$C$110=$B8)*Inputs!$D$5:$D$110*(((Inputs!$G$5:$G$110="moeda")+(Inputs!$G$5:$G$110="acoes"))*Inputs!$B$1+((Inputs!$G$5:$G$110&lt;&gt;"moeda")*(Inputs!$G$5:$G$110&lt;&gt;"acoes")))*INDEX(Inputs!$K$5:$AJ$110,0,MATCH(Y$2,Inputs!$K$4:$AJ$4,0)))+SUMPRODUCT((Inputs!$E$5:$E$110=$B8)*Inputs!$F$5:$F$110*(((Inputs!$G$5:$G$110="moeda")+(Inputs!$G$5:$G$110="acoes"))*Inputs!$B$1+((Inputs!$G$5:$G$110&lt;&gt;"moeda")*(Inputs!$G$5:$G$110&lt;&gt;"acoes")))*INDEX(Inputs!$K$5:$AJ$110,0,MATCH(Y$2,Inputs!$K$4:$AJ$4,0)))))</f>
        <v>-651</v>
      </c>
      <c r="Z8" s="267">
        <f>IF(ISNA(MATCH(Z$2,Inputs!$K$4:$AJ$4,0)),NA(),IF(SUMPRODUCT((Inputs!$A$5:$A$110=$B8)*ISNUMBER(INDEX(Inputs!$K$5:$AJ$110,0,MATCH(Z$2,Inputs!$K$4:$AJ$4,0))))+SUMPRODUCT((Inputs!$C$5:$C$110=$B8)*ISNUMBER(INDEX(Inputs!$K$5:$AJ$110,0,MATCH(Z$2,Inputs!$K$4:$AJ$4,0))))+SUMPRODUCT((Inputs!$E$5:$E$110=$B8)*ISNUMBER(INDEX(Inputs!$K$5:$AJ$110,0,MATCH(Z$2,Inputs!$K$4:$AJ$4,0))))=0,NA(),SUMPRODUCT((Inputs!$A$5:$A$110=$B8)*Inputs!$B$5:$B$110*(((Inputs!$G$5:$G$110="moeda")+(Inputs!$G$5:$G$110="acoes"))*Inputs!$B$1+((Inputs!$G$5:$G$110&lt;&gt;"moeda")*(Inputs!$G$5:$G$110&lt;&gt;"acoes")))*INDEX(Inputs!$K$5:$AJ$110,0,MATCH(Z$2,Inputs!$K$4:$AJ$4,0)))+SUMPRODUCT((Inputs!$C$5:$C$110=$B8)*Inputs!$D$5:$D$110*(((Inputs!$G$5:$G$110="moeda")+(Inputs!$G$5:$G$110="acoes"))*Inputs!$B$1+((Inputs!$G$5:$G$110&lt;&gt;"moeda")*(Inputs!$G$5:$G$110&lt;&gt;"acoes")))*INDEX(Inputs!$K$5:$AJ$110,0,MATCH(Z$2,Inputs!$K$4:$AJ$4,0)))+SUMPRODUCT((Inputs!$E$5:$E$110=$B8)*Inputs!$F$5:$F$110*(((Inputs!$G$5:$G$110="moeda")+(Inputs!$G$5:$G$110="acoes"))*Inputs!$B$1+((Inputs!$G$5:$G$110&lt;&gt;"moeda")*(Inputs!$G$5:$G$110&lt;&gt;"acoes")))*INDEX(Inputs!$K$5:$AJ$110,0,MATCH(Z$2,Inputs!$K$4:$AJ$4,0)))))</f>
        <v>-563</v>
      </c>
      <c r="AA8" s="267">
        <f>IF(ISNA(MATCH(AA$2,Inputs!$K$4:$AJ$4,0)),NA(),IF(SUMPRODUCT((Inputs!$A$5:$A$110=$B8)*ISNUMBER(INDEX(Inputs!$K$5:$AJ$110,0,MATCH(AA$2,Inputs!$K$4:$AJ$4,0))))+SUMPRODUCT((Inputs!$C$5:$C$110=$B8)*ISNUMBER(INDEX(Inputs!$K$5:$AJ$110,0,MATCH(AA$2,Inputs!$K$4:$AJ$4,0))))+SUMPRODUCT((Inputs!$E$5:$E$110=$B8)*ISNUMBER(INDEX(Inputs!$K$5:$AJ$110,0,MATCH(AA$2,Inputs!$K$4:$AJ$4,0))))=0,NA(),SUMPRODUCT((Inputs!$A$5:$A$110=$B8)*Inputs!$B$5:$B$110*(((Inputs!$G$5:$G$110="moeda")+(Inputs!$G$5:$G$110="acoes"))*Inputs!$B$1+((Inputs!$G$5:$G$110&lt;&gt;"moeda")*(Inputs!$G$5:$G$110&lt;&gt;"acoes")))*INDEX(Inputs!$K$5:$AJ$110,0,MATCH(AA$2,Inputs!$K$4:$AJ$4,0)))+SUMPRODUCT((Inputs!$C$5:$C$110=$B8)*Inputs!$D$5:$D$110*(((Inputs!$G$5:$G$110="moeda")+(Inputs!$G$5:$G$110="acoes"))*Inputs!$B$1+((Inputs!$G$5:$G$110&lt;&gt;"moeda")*(Inputs!$G$5:$G$110&lt;&gt;"acoes")))*INDEX(Inputs!$K$5:$AJ$110,0,MATCH(AA$2,Inputs!$K$4:$AJ$4,0)))+SUMPRODUCT((Inputs!$E$5:$E$110=$B8)*Inputs!$F$5:$F$110*(((Inputs!$G$5:$G$110="moeda")+(Inputs!$G$5:$G$110="acoes"))*Inputs!$B$1+((Inputs!$G$5:$G$110&lt;&gt;"moeda")*(Inputs!$G$5:$G$110&lt;&gt;"acoes")))*INDEX(Inputs!$K$5:$AJ$110,0,MATCH(AA$2,Inputs!$K$4:$AJ$4,0)))))</f>
        <v>-585</v>
      </c>
      <c r="AB8" s="268">
        <f>SUM(X8:AA8)</f>
        <v>-2318</v>
      </c>
      <c r="AC8" s="267">
        <f>IF(ISNA(MATCH(AC$2,Inputs!$K$4:$AJ$4,0)),NA(),IF(SUMPRODUCT((Inputs!$A$5:$A$110=$B8)*ISNUMBER(INDEX(Inputs!$K$5:$AJ$110,0,MATCH(AC$2,Inputs!$K$4:$AJ$4,0))))+SUMPRODUCT((Inputs!$C$5:$C$110=$B8)*ISNUMBER(INDEX(Inputs!$K$5:$AJ$110,0,MATCH(AC$2,Inputs!$K$4:$AJ$4,0))))+SUMPRODUCT((Inputs!$E$5:$E$110=$B8)*ISNUMBER(INDEX(Inputs!$K$5:$AJ$110,0,MATCH(AC$2,Inputs!$K$4:$AJ$4,0))))=0,NA(),SUMPRODUCT((Inputs!$A$5:$A$110=$B8)*Inputs!$B$5:$B$110*(((Inputs!$G$5:$G$110="moeda")+(Inputs!$G$5:$G$110="acoes"))*Inputs!$B$1+((Inputs!$G$5:$G$110&lt;&gt;"moeda")*(Inputs!$G$5:$G$110&lt;&gt;"acoes")))*INDEX(Inputs!$K$5:$AJ$110,0,MATCH(AC$2,Inputs!$K$4:$AJ$4,0)))+SUMPRODUCT((Inputs!$C$5:$C$110=$B8)*Inputs!$D$5:$D$110*(((Inputs!$G$5:$G$110="moeda")+(Inputs!$G$5:$G$110="acoes"))*Inputs!$B$1+((Inputs!$G$5:$G$110&lt;&gt;"moeda")*(Inputs!$G$5:$G$110&lt;&gt;"acoes")))*INDEX(Inputs!$K$5:$AJ$110,0,MATCH(AC$2,Inputs!$K$4:$AJ$4,0)))+SUMPRODUCT((Inputs!$E$5:$E$110=$B8)*Inputs!$F$5:$F$110*(((Inputs!$G$5:$G$110="moeda")+(Inputs!$G$5:$G$110="acoes"))*Inputs!$B$1+((Inputs!$G$5:$G$110&lt;&gt;"moeda")*(Inputs!$G$5:$G$110&lt;&gt;"acoes")))*INDEX(Inputs!$K$5:$AJ$110,0,MATCH(AC$2,Inputs!$K$4:$AJ$4,0)))))</f>
        <v>-574</v>
      </c>
      <c r="AD8" s="267">
        <f>IF(ISNA(MATCH(AD$2,Inputs!$K$4:$AJ$4,0)),NA(),IF(SUMPRODUCT((Inputs!$A$5:$A$110=$B8)*ISNUMBER(INDEX(Inputs!$K$5:$AJ$110,0,MATCH(AD$2,Inputs!$K$4:$AJ$4,0))))+SUMPRODUCT((Inputs!$C$5:$C$110=$B8)*ISNUMBER(INDEX(Inputs!$K$5:$AJ$110,0,MATCH(AD$2,Inputs!$K$4:$AJ$4,0))))+SUMPRODUCT((Inputs!$E$5:$E$110=$B8)*ISNUMBER(INDEX(Inputs!$K$5:$AJ$110,0,MATCH(AD$2,Inputs!$K$4:$AJ$4,0))))=0,NA(),SUMPRODUCT((Inputs!$A$5:$A$110=$B8)*Inputs!$B$5:$B$110*(((Inputs!$G$5:$G$110="moeda")+(Inputs!$G$5:$G$110="acoes"))*Inputs!$B$1+((Inputs!$G$5:$G$110&lt;&gt;"moeda")*(Inputs!$G$5:$G$110&lt;&gt;"acoes")))*INDEX(Inputs!$K$5:$AJ$110,0,MATCH(AD$2,Inputs!$K$4:$AJ$4,0)))+SUMPRODUCT((Inputs!$C$5:$C$110=$B8)*Inputs!$D$5:$D$110*(((Inputs!$G$5:$G$110="moeda")+(Inputs!$G$5:$G$110="acoes"))*Inputs!$B$1+((Inputs!$G$5:$G$110&lt;&gt;"moeda")*(Inputs!$G$5:$G$110&lt;&gt;"acoes")))*INDEX(Inputs!$K$5:$AJ$110,0,MATCH(AD$2,Inputs!$K$4:$AJ$4,0)))+SUMPRODUCT((Inputs!$E$5:$E$110=$B8)*Inputs!$F$5:$F$110*(((Inputs!$G$5:$G$110="moeda")+(Inputs!$G$5:$G$110="acoes"))*Inputs!$B$1+((Inputs!$G$5:$G$110&lt;&gt;"moeda")*(Inputs!$G$5:$G$110&lt;&gt;"acoes")))*INDEX(Inputs!$K$5:$AJ$110,0,MATCH(AD$2,Inputs!$K$4:$AJ$4,0)))))</f>
        <v>-137</v>
      </c>
      <c r="AE8" s="267" t="e">
        <f>IF(ISNA(MATCH(AE$2,Inputs!$K$4:$AJ$4,0)),NA(),IF(SUMPRODUCT((Inputs!$A$5:$A$110=$B8)*ISNUMBER(INDEX(Inputs!$K$5:$AJ$110,0,MATCH(AE$2,Inputs!$K$4:$AJ$4,0))))+SUMPRODUCT((Inputs!$C$5:$C$110=$B8)*ISNUMBER(INDEX(Inputs!$K$5:$AJ$110,0,MATCH(AE$2,Inputs!$K$4:$AJ$4,0))))+SUMPRODUCT((Inputs!$E$5:$E$110=$B8)*ISNUMBER(INDEX(Inputs!$K$5:$AJ$110,0,MATCH(AE$2,Inputs!$K$4:$AJ$4,0))))=0,NA(),SUMPRODUCT((Inputs!$A$5:$A$110=$B8)*Inputs!$B$5:$B$110*(((Inputs!$G$5:$G$110="moeda")+(Inputs!$G$5:$G$110="acoes"))*Inputs!$B$1+((Inputs!$G$5:$G$110&lt;&gt;"moeda")*(Inputs!$G$5:$G$110&lt;&gt;"acoes")))*INDEX(Inputs!$K$5:$AJ$110,0,MATCH(AE$2,Inputs!$K$4:$AJ$4,0)))+SUMPRODUCT((Inputs!$C$5:$C$110=$B8)*Inputs!$D$5:$D$110*(((Inputs!$G$5:$G$110="moeda")+(Inputs!$G$5:$G$110="acoes"))*Inputs!$B$1+((Inputs!$G$5:$G$110&lt;&gt;"moeda")*(Inputs!$G$5:$G$110&lt;&gt;"acoes")))*INDEX(Inputs!$K$5:$AJ$110,0,MATCH(AE$2,Inputs!$K$4:$AJ$4,0)))+SUMPRODUCT((Inputs!$E$5:$E$110=$B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8" s="267" t="e">
        <f>IF(ISNA(MATCH(AF$2,Inputs!$K$4:$AJ$4,0)),NA(),IF(SUMPRODUCT((Inputs!$A$5:$A$110=$B8)*ISNUMBER(INDEX(Inputs!$K$5:$AJ$110,0,MATCH(AF$2,Inputs!$K$4:$AJ$4,0))))+SUMPRODUCT((Inputs!$C$5:$C$110=$B8)*ISNUMBER(INDEX(Inputs!$K$5:$AJ$110,0,MATCH(AF$2,Inputs!$K$4:$AJ$4,0))))+SUMPRODUCT((Inputs!$E$5:$E$110=$B8)*ISNUMBER(INDEX(Inputs!$K$5:$AJ$110,0,MATCH(AF$2,Inputs!$K$4:$AJ$4,0))))=0,NA(),SUMPRODUCT((Inputs!$A$5:$A$110=$B8)*Inputs!$B$5:$B$110*(((Inputs!$G$5:$G$110="moeda")+(Inputs!$G$5:$G$110="acoes"))*Inputs!$B$1+((Inputs!$G$5:$G$110&lt;&gt;"moeda")*(Inputs!$G$5:$G$110&lt;&gt;"acoes")))*INDEX(Inputs!$K$5:$AJ$110,0,MATCH(AF$2,Inputs!$K$4:$AJ$4,0)))+SUMPRODUCT((Inputs!$C$5:$C$110=$B8)*Inputs!$D$5:$D$110*(((Inputs!$G$5:$G$110="moeda")+(Inputs!$G$5:$G$110="acoes"))*Inputs!$B$1+((Inputs!$G$5:$G$110&lt;&gt;"moeda")*(Inputs!$G$5:$G$110&lt;&gt;"acoes")))*INDEX(Inputs!$K$5:$AJ$110,0,MATCH(AF$2,Inputs!$K$4:$AJ$4,0)))+SUMPRODUCT((Inputs!$E$5:$E$110=$B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8" s="268" t="e">
        <f>SUM(AC8:AF8)</f>
        <v>#N/A</v>
      </c>
      <c r="AH8" s="267">
        <f>IF(ISNA(MATCH(AH$2,Inputs!$K$4:$AJ$4,0)),NA(),IF(SUMPRODUCT((Inputs!$A$5:$A$110=$B8)*ISNUMBER(INDEX(Inputs!$K$5:$AJ$110,0,MATCH(AH$2,Inputs!$K$4:$AJ$4,0))))+SUMPRODUCT((Inputs!$C$5:$C$110=$B8)*ISNUMBER(INDEX(Inputs!$K$5:$AJ$110,0,MATCH(AH$2,Inputs!$K$4:$AJ$4,0))))+SUMPRODUCT((Inputs!$E$5:$E$110=$B8)*ISNUMBER(INDEX(Inputs!$K$5:$AJ$110,0,MATCH(AH$2,Inputs!$K$4:$AJ$4,0))))=0,NA(),SUMPRODUCT((Inputs!$A$5:$A$110=$B8)*Inputs!$B$5:$B$110*(((Inputs!$G$5:$G$110="moeda")+(Inputs!$G$5:$G$110="acoes"))*Inputs!$B$1+((Inputs!$G$5:$G$110&lt;&gt;"moeda")*(Inputs!$G$5:$G$110&lt;&gt;"acoes")))*INDEX(Inputs!$K$5:$AJ$110,0,MATCH(AH$2,Inputs!$K$4:$AJ$4,0)))+SUMPRODUCT((Inputs!$C$5:$C$110=$B8)*Inputs!$D$5:$D$110*(((Inputs!$G$5:$G$110="moeda")+(Inputs!$G$5:$G$110="acoes"))*Inputs!$B$1+((Inputs!$G$5:$G$110&lt;&gt;"moeda")*(Inputs!$G$5:$G$110&lt;&gt;"acoes")))*INDEX(Inputs!$K$5:$AJ$110,0,MATCH(AH$2,Inputs!$K$4:$AJ$4,0)))+SUMPRODUCT((Inputs!$E$5:$E$110=$B8)*Inputs!$F$5:$F$110*(((Inputs!$G$5:$G$110="moeda")+(Inputs!$G$5:$G$110="acoes"))*Inputs!$B$1+((Inputs!$G$5:$G$110&lt;&gt;"moeda")*(Inputs!$G$5:$G$110&lt;&gt;"acoes")))*INDEX(Inputs!$K$5:$AJ$110,0,MATCH(AH$2,Inputs!$K$4:$AJ$4,0)))))</f>
        <v>-510</v>
      </c>
      <c r="AI8" s="267">
        <f>IF(ISNA(MATCH(AI$2,Inputs!$K$4:$AJ$4,0)),NA(),IF(SUMPRODUCT((Inputs!$A$5:$A$110=$B8)*ISNUMBER(INDEX(Inputs!$K$5:$AJ$110,0,MATCH(AI$2,Inputs!$K$4:$AJ$4,0))))+SUMPRODUCT((Inputs!$C$5:$C$110=$B8)*ISNUMBER(INDEX(Inputs!$K$5:$AJ$110,0,MATCH(AI$2,Inputs!$K$4:$AJ$4,0))))+SUMPRODUCT((Inputs!$E$5:$E$110=$B8)*ISNUMBER(INDEX(Inputs!$K$5:$AJ$110,0,MATCH(AI$2,Inputs!$K$4:$AJ$4,0))))=0,NA(),SUMPRODUCT((Inputs!$A$5:$A$110=$B8)*Inputs!$B$5:$B$110*(((Inputs!$G$5:$G$110="moeda")+(Inputs!$G$5:$G$110="acoes"))*Inputs!$B$1+((Inputs!$G$5:$G$110&lt;&gt;"moeda")*(Inputs!$G$5:$G$110&lt;&gt;"acoes")))*INDEX(Inputs!$K$5:$AJ$110,0,MATCH(AI$2,Inputs!$K$4:$AJ$4,0)))+SUMPRODUCT((Inputs!$C$5:$C$110=$B8)*Inputs!$D$5:$D$110*(((Inputs!$G$5:$G$110="moeda")+(Inputs!$G$5:$G$110="acoes"))*Inputs!$B$1+((Inputs!$G$5:$G$110&lt;&gt;"moeda")*(Inputs!$G$5:$G$110&lt;&gt;"acoes")))*INDEX(Inputs!$K$5:$AJ$110,0,MATCH(AI$2,Inputs!$K$4:$AJ$4,0)))+SUMPRODUCT((Inputs!$E$5:$E$110=$B8)*Inputs!$F$5:$F$110*(((Inputs!$G$5:$G$110="moeda")+(Inputs!$G$5:$G$110="acoes"))*Inputs!$B$1+((Inputs!$G$5:$G$110&lt;&gt;"moeda")*(Inputs!$G$5:$G$110&lt;&gt;"acoes")))*INDEX(Inputs!$K$5:$AJ$110,0,MATCH(AI$2,Inputs!$K$4:$AJ$4,0)))))</f>
        <v>-577</v>
      </c>
      <c r="AJ8" s="267">
        <f>IF(ISNA(MATCH(AJ$2,Inputs!$K$4:$AJ$4,0)),NA(),IF(SUMPRODUCT((Inputs!$A$5:$A$110=$B8)*ISNUMBER(INDEX(Inputs!$K$5:$AJ$110,0,MATCH(AJ$2,Inputs!$K$4:$AJ$4,0))))+SUMPRODUCT((Inputs!$C$5:$C$110=$B8)*ISNUMBER(INDEX(Inputs!$K$5:$AJ$110,0,MATCH(AJ$2,Inputs!$K$4:$AJ$4,0))))+SUMPRODUCT((Inputs!$E$5:$E$110=$B8)*ISNUMBER(INDEX(Inputs!$K$5:$AJ$110,0,MATCH(AJ$2,Inputs!$K$4:$AJ$4,0))))=0,NA(),SUMPRODUCT((Inputs!$A$5:$A$110=$B8)*Inputs!$B$5:$B$110*(((Inputs!$G$5:$G$110="moeda")+(Inputs!$G$5:$G$110="acoes"))*Inputs!$B$1+((Inputs!$G$5:$G$110&lt;&gt;"moeda")*(Inputs!$G$5:$G$110&lt;&gt;"acoes")))*INDEX(Inputs!$K$5:$AJ$110,0,MATCH(AJ$2,Inputs!$K$4:$AJ$4,0)))+SUMPRODUCT((Inputs!$C$5:$C$110=$B8)*Inputs!$D$5:$D$110*(((Inputs!$G$5:$G$110="moeda")+(Inputs!$G$5:$G$110="acoes"))*Inputs!$B$1+((Inputs!$G$5:$G$110&lt;&gt;"moeda")*(Inputs!$G$5:$G$110&lt;&gt;"acoes")))*INDEX(Inputs!$K$5:$AJ$110,0,MATCH(AJ$2,Inputs!$K$4:$AJ$4,0)))+SUMPRODUCT((Inputs!$E$5:$E$110=$B8)*Inputs!$F$5:$F$110*(((Inputs!$G$5:$G$110="moeda")+(Inputs!$G$5:$G$110="acoes"))*Inputs!$B$1+((Inputs!$G$5:$G$110&lt;&gt;"moeda")*(Inputs!$G$5:$G$110&lt;&gt;"acoes")))*INDEX(Inputs!$K$5:$AJ$110,0,MATCH(AJ$2,Inputs!$K$4:$AJ$4,0)))))</f>
        <v>-455</v>
      </c>
      <c r="AK8" s="267">
        <f>IF(ISNA(MATCH(AK$2,Inputs!$K$4:$AJ$4,0)),NA(),IF(SUMPRODUCT((Inputs!$A$5:$A$110=$B8)*ISNUMBER(INDEX(Inputs!$K$5:$AJ$110,0,MATCH(AK$2,Inputs!$K$4:$AJ$4,0))))+SUMPRODUCT((Inputs!$C$5:$C$110=$B8)*ISNUMBER(INDEX(Inputs!$K$5:$AJ$110,0,MATCH(AK$2,Inputs!$K$4:$AJ$4,0))))+SUMPRODUCT((Inputs!$E$5:$E$110=$B8)*ISNUMBER(INDEX(Inputs!$K$5:$AJ$110,0,MATCH(AK$2,Inputs!$K$4:$AJ$4,0))))=0,NA(),SUMPRODUCT((Inputs!$A$5:$A$110=$B8)*Inputs!$B$5:$B$110*(((Inputs!$G$5:$G$110="moeda")+(Inputs!$G$5:$G$110="acoes"))*Inputs!$B$1+((Inputs!$G$5:$G$110&lt;&gt;"moeda")*(Inputs!$G$5:$G$110&lt;&gt;"acoes")))*INDEX(Inputs!$K$5:$AJ$110,0,MATCH(AK$2,Inputs!$K$4:$AJ$4,0)))+SUMPRODUCT((Inputs!$C$5:$C$110=$B8)*Inputs!$D$5:$D$110*(((Inputs!$G$5:$G$110="moeda")+(Inputs!$G$5:$G$110="acoes"))*Inputs!$B$1+((Inputs!$G$5:$G$110&lt;&gt;"moeda")*(Inputs!$G$5:$G$110&lt;&gt;"acoes")))*INDEX(Inputs!$K$5:$AJ$110,0,MATCH(AK$2,Inputs!$K$4:$AJ$4,0)))+SUMPRODUCT((Inputs!$E$5:$E$110=$B8)*Inputs!$F$5:$F$110*(((Inputs!$G$5:$G$110="moeda")+(Inputs!$G$5:$G$110="acoes"))*Inputs!$B$1+((Inputs!$G$5:$G$110&lt;&gt;"moeda")*(Inputs!$G$5:$G$110&lt;&gt;"acoes")))*INDEX(Inputs!$K$5:$AJ$110,0,MATCH(AK$2,Inputs!$K$4:$AJ$4,0)))))</f>
        <v>-434</v>
      </c>
      <c r="AL8" s="268">
        <f>SUM(AH8:AK8)</f>
        <v>-1976</v>
      </c>
    </row>
    <row r="9" ht="12.75" customHeight="1" s="255">
      <c r="B9" s="265" t="n">
        <v>6</v>
      </c>
      <c r="C9" s="270" t="inlineStr">
        <is>
          <t>Nonoperating Income / (Loss)</t>
        </is>
      </c>
      <c r="D9" s="267">
        <f>IF(ISNA(MATCH(D$2,Inputs!$K$4:$AJ$4,0)),NA(),IF(SUMPRODUCT((Inputs!$A$5:$A$110=$B9)*ISNUMBER(INDEX(Inputs!$K$5:$AJ$110,0,MATCH(D$2,Inputs!$K$4:$AJ$4,0))))+SUMPRODUCT((Inputs!$C$5:$C$110=$B9)*ISNUMBER(INDEX(Inputs!$K$5:$AJ$110,0,MATCH(D$2,Inputs!$K$4:$AJ$4,0))))+SUMPRODUCT((Inputs!$E$5:$E$110=$B9)*ISNUMBER(INDEX(Inputs!$K$5:$AJ$110,0,MATCH(D$2,Inputs!$K$4:$AJ$4,0))))=0,NA(),SUMPRODUCT((Inputs!$A$5:$A$110=$B9)*Inputs!$B$5:$B$110*(((Inputs!$G$5:$G$110="moeda")+(Inputs!$G$5:$G$110="acoes"))*Inputs!$B$1+((Inputs!$G$5:$G$110&lt;&gt;"moeda")*(Inputs!$G$5:$G$110&lt;&gt;"acoes")))*INDEX(Inputs!$K$5:$AJ$110,0,MATCH(D$2,Inputs!$K$4:$AJ$4,0)))+SUMPRODUCT((Inputs!$C$5:$C$110=$B9)*Inputs!$D$5:$D$110*(((Inputs!$G$5:$G$110="moeda")+(Inputs!$G$5:$G$110="acoes"))*Inputs!$B$1+((Inputs!$G$5:$G$110&lt;&gt;"moeda")*(Inputs!$G$5:$G$110&lt;&gt;"acoes")))*INDEX(Inputs!$K$5:$AJ$110,0,MATCH(D$2,Inputs!$K$4:$AJ$4,0)))+SUMPRODUCT((Inputs!$E$5:$E$110=$B9)*Inputs!$F$5:$F$110*(((Inputs!$G$5:$G$110="moeda")+(Inputs!$G$5:$G$110="acoes"))*Inputs!$B$1+((Inputs!$G$5:$G$110&lt;&gt;"moeda")*(Inputs!$G$5:$G$110&lt;&gt;"acoes")))*INDEX(Inputs!$K$5:$AJ$110,0,MATCH(D$2,Inputs!$K$4:$AJ$4,0)))))</f>
        <v>-2584</v>
      </c>
      <c r="E9" s="267">
        <f>IF(ISNA(MATCH(E$2,Inputs!$K$4:$AJ$4,0)),NA(),IF(SUMPRODUCT((Inputs!$A$5:$A$110=$B9)*ISNUMBER(INDEX(Inputs!$K$5:$AJ$110,0,MATCH(E$2,Inputs!$K$4:$AJ$4,0))))+SUMPRODUCT((Inputs!$C$5:$C$110=$B9)*ISNUMBER(INDEX(Inputs!$K$5:$AJ$110,0,MATCH(E$2,Inputs!$K$4:$AJ$4,0))))+SUMPRODUCT((Inputs!$E$5:$E$110=$B9)*ISNUMBER(INDEX(Inputs!$K$5:$AJ$110,0,MATCH(E$2,Inputs!$K$4:$AJ$4,0))))=0,NA(),SUMPRODUCT((Inputs!$A$5:$A$110=$B9)*Inputs!$B$5:$B$110*(((Inputs!$G$5:$G$110="moeda")+(Inputs!$G$5:$G$110="acoes"))*Inputs!$B$1+((Inputs!$G$5:$G$110&lt;&gt;"moeda")*(Inputs!$G$5:$G$110&lt;&gt;"acoes")))*INDEX(Inputs!$K$5:$AJ$110,0,MATCH(E$2,Inputs!$K$4:$AJ$4,0)))+SUMPRODUCT((Inputs!$C$5:$C$110=$B9)*Inputs!$D$5:$D$110*(((Inputs!$G$5:$G$110="moeda")+(Inputs!$G$5:$G$110="acoes"))*Inputs!$B$1+((Inputs!$G$5:$G$110&lt;&gt;"moeda")*(Inputs!$G$5:$G$110&lt;&gt;"acoes")))*INDEX(Inputs!$K$5:$AJ$110,0,MATCH(E$2,Inputs!$K$4:$AJ$4,0)))+SUMPRODUCT((Inputs!$E$5:$E$110=$B9)*Inputs!$F$5:$F$110*(((Inputs!$G$5:$G$110="moeda")+(Inputs!$G$5:$G$110="acoes"))*Inputs!$B$1+((Inputs!$G$5:$G$110&lt;&gt;"moeda")*(Inputs!$G$5:$G$110&lt;&gt;"acoes")))*INDEX(Inputs!$K$5:$AJ$110,0,MATCH(E$2,Inputs!$K$4:$AJ$4,0)))))</f>
        <v>-994</v>
      </c>
      <c r="F9" s="267">
        <f>IF(ISNA(MATCH(F$2,Inputs!$K$4:$AJ$4,0)),NA(),IF(SUMPRODUCT((Inputs!$A$5:$A$110=$B9)*ISNUMBER(INDEX(Inputs!$K$5:$AJ$110,0,MATCH(F$2,Inputs!$K$4:$AJ$4,0))))+SUMPRODUCT((Inputs!$C$5:$C$110=$B9)*ISNUMBER(INDEX(Inputs!$K$5:$AJ$110,0,MATCH(F$2,Inputs!$K$4:$AJ$4,0))))+SUMPRODUCT((Inputs!$E$5:$E$110=$B9)*ISNUMBER(INDEX(Inputs!$K$5:$AJ$110,0,MATCH(F$2,Inputs!$K$4:$AJ$4,0))))=0,NA(),SUMPRODUCT((Inputs!$A$5:$A$110=$B9)*Inputs!$B$5:$B$110*(((Inputs!$G$5:$G$110="moeda")+(Inputs!$G$5:$G$110="acoes"))*Inputs!$B$1+((Inputs!$G$5:$G$110&lt;&gt;"moeda")*(Inputs!$G$5:$G$110&lt;&gt;"acoes")))*INDEX(Inputs!$K$5:$AJ$110,0,MATCH(F$2,Inputs!$K$4:$AJ$4,0)))+SUMPRODUCT((Inputs!$C$5:$C$110=$B9)*Inputs!$D$5:$D$110*(((Inputs!$G$5:$G$110="moeda")+(Inputs!$G$5:$G$110="acoes"))*Inputs!$B$1+((Inputs!$G$5:$G$110&lt;&gt;"moeda")*(Inputs!$G$5:$G$110&lt;&gt;"acoes")))*INDEX(Inputs!$K$5:$AJ$110,0,MATCH(F$2,Inputs!$K$4:$AJ$4,0)))+SUMPRODUCT((Inputs!$E$5:$E$110=$B9)*Inputs!$F$5:$F$110*(((Inputs!$G$5:$G$110="moeda")+(Inputs!$G$5:$G$110="acoes"))*Inputs!$B$1+((Inputs!$G$5:$G$110&lt;&gt;"moeda")*(Inputs!$G$5:$G$110&lt;&gt;"acoes")))*INDEX(Inputs!$K$5:$AJ$110,0,MATCH(F$2,Inputs!$K$4:$AJ$4,0)))))</f>
        <v>-1237</v>
      </c>
      <c r="G9" s="267">
        <f>IF(ISNA(MATCH(G$2,Inputs!$K$4:$AJ$4,0)),NA(),IF(SUMPRODUCT((Inputs!$A$5:$A$110=$B9)*ISNUMBER(INDEX(Inputs!$K$5:$AJ$110,0,MATCH(G$2,Inputs!$K$4:$AJ$4,0))))+SUMPRODUCT((Inputs!$C$5:$C$110=$B9)*ISNUMBER(INDEX(Inputs!$K$5:$AJ$110,0,MATCH(G$2,Inputs!$K$4:$AJ$4,0))))+SUMPRODUCT((Inputs!$E$5:$E$110=$B9)*ISNUMBER(INDEX(Inputs!$K$5:$AJ$110,0,MATCH(G$2,Inputs!$K$4:$AJ$4,0))))=0,NA(),SUMPRODUCT((Inputs!$A$5:$A$110=$B9)*Inputs!$B$5:$B$110*(((Inputs!$G$5:$G$110="moeda")+(Inputs!$G$5:$G$110="acoes"))*Inputs!$B$1+((Inputs!$G$5:$G$110&lt;&gt;"moeda")*(Inputs!$G$5:$G$110&lt;&gt;"acoes")))*INDEX(Inputs!$K$5:$AJ$110,0,MATCH(G$2,Inputs!$K$4:$AJ$4,0)))+SUMPRODUCT((Inputs!$C$5:$C$110=$B9)*Inputs!$D$5:$D$110*(((Inputs!$G$5:$G$110="moeda")+(Inputs!$G$5:$G$110="acoes"))*Inputs!$B$1+((Inputs!$G$5:$G$110&lt;&gt;"moeda")*(Inputs!$G$5:$G$110&lt;&gt;"acoes")))*INDEX(Inputs!$K$5:$AJ$110,0,MATCH(G$2,Inputs!$K$4:$AJ$4,0)))+SUMPRODUCT((Inputs!$E$5:$E$110=$B9)*Inputs!$F$5:$F$110*(((Inputs!$G$5:$G$110="moeda")+(Inputs!$G$5:$G$110="acoes"))*Inputs!$B$1+((Inputs!$G$5:$G$110&lt;&gt;"moeda")*(Inputs!$G$5:$G$110&lt;&gt;"acoes")))*INDEX(Inputs!$K$5:$AJ$110,0,MATCH(G$2,Inputs!$K$4:$AJ$4,0)))))</f>
        <v>-757</v>
      </c>
      <c r="H9" s="268">
        <f>SUM(D9:G9)</f>
        <v>-5572</v>
      </c>
      <c r="I9" s="267">
        <f>IF(ISNA(MATCH(I$2,Inputs!$K$4:$AJ$4,0)),NA(),IF(SUMPRODUCT((Inputs!$A$5:$A$110=$B9)*ISNUMBER(INDEX(Inputs!$K$5:$AJ$110,0,MATCH(I$2,Inputs!$K$4:$AJ$4,0))))+SUMPRODUCT((Inputs!$C$5:$C$110=$B9)*ISNUMBER(INDEX(Inputs!$K$5:$AJ$110,0,MATCH(I$2,Inputs!$K$4:$AJ$4,0))))+SUMPRODUCT((Inputs!$E$5:$E$110=$B9)*ISNUMBER(INDEX(Inputs!$K$5:$AJ$110,0,MATCH(I$2,Inputs!$K$4:$AJ$4,0))))=0,NA(),SUMPRODUCT((Inputs!$A$5:$A$110=$B9)*Inputs!$B$5:$B$110*(((Inputs!$G$5:$G$110="moeda")+(Inputs!$G$5:$G$110="acoes"))*Inputs!$B$1+((Inputs!$G$5:$G$110&lt;&gt;"moeda")*(Inputs!$G$5:$G$110&lt;&gt;"acoes")))*INDEX(Inputs!$K$5:$AJ$110,0,MATCH(I$2,Inputs!$K$4:$AJ$4,0)))+SUMPRODUCT((Inputs!$C$5:$C$110=$B9)*Inputs!$D$5:$D$110*(((Inputs!$G$5:$G$110="moeda")+(Inputs!$G$5:$G$110="acoes"))*Inputs!$B$1+((Inputs!$G$5:$G$110&lt;&gt;"moeda")*(Inputs!$G$5:$G$110&lt;&gt;"acoes")))*INDEX(Inputs!$K$5:$AJ$110,0,MATCH(I$2,Inputs!$K$4:$AJ$4,0)))+SUMPRODUCT((Inputs!$E$5:$E$110=$B9)*Inputs!$F$5:$F$110*(((Inputs!$G$5:$G$110="moeda")+(Inputs!$G$5:$G$110="acoes"))*Inputs!$B$1+((Inputs!$G$5:$G$110&lt;&gt;"moeda")*(Inputs!$G$5:$G$110&lt;&gt;"acoes")))*INDEX(Inputs!$K$5:$AJ$110,0,MATCH(I$2,Inputs!$K$4:$AJ$4,0)))))</f>
        <v>-2045</v>
      </c>
      <c r="J9" s="267">
        <f>IF(ISNA(MATCH(J$2,Inputs!$K$4:$AJ$4,0)),NA(),IF(SUMPRODUCT((Inputs!$A$5:$A$110=$B9)*ISNUMBER(INDEX(Inputs!$K$5:$AJ$110,0,MATCH(J$2,Inputs!$K$4:$AJ$4,0))))+SUMPRODUCT((Inputs!$C$5:$C$110=$B9)*ISNUMBER(INDEX(Inputs!$K$5:$AJ$110,0,MATCH(J$2,Inputs!$K$4:$AJ$4,0))))+SUMPRODUCT((Inputs!$E$5:$E$110=$B9)*ISNUMBER(INDEX(Inputs!$K$5:$AJ$110,0,MATCH(J$2,Inputs!$K$4:$AJ$4,0))))=0,NA(),SUMPRODUCT((Inputs!$A$5:$A$110=$B9)*Inputs!$B$5:$B$110*(((Inputs!$G$5:$G$110="moeda")+(Inputs!$G$5:$G$110="acoes"))*Inputs!$B$1+((Inputs!$G$5:$G$110&lt;&gt;"moeda")*(Inputs!$G$5:$G$110&lt;&gt;"acoes")))*INDEX(Inputs!$K$5:$AJ$110,0,MATCH(J$2,Inputs!$K$4:$AJ$4,0)))+SUMPRODUCT((Inputs!$C$5:$C$110=$B9)*Inputs!$D$5:$D$110*(((Inputs!$G$5:$G$110="moeda")+(Inputs!$G$5:$G$110="acoes"))*Inputs!$B$1+((Inputs!$G$5:$G$110&lt;&gt;"moeda")*(Inputs!$G$5:$G$110&lt;&gt;"acoes")))*INDEX(Inputs!$K$5:$AJ$110,0,MATCH(J$2,Inputs!$K$4:$AJ$4,0)))+SUMPRODUCT((Inputs!$E$5:$E$110=$B9)*Inputs!$F$5:$F$110*(((Inputs!$G$5:$G$110="moeda")+(Inputs!$G$5:$G$110="acoes"))*Inputs!$B$1+((Inputs!$G$5:$G$110&lt;&gt;"moeda")*(Inputs!$G$5:$G$110&lt;&gt;"acoes")))*INDEX(Inputs!$K$5:$AJ$110,0,MATCH(J$2,Inputs!$K$4:$AJ$4,0)))))</f>
        <v>185</v>
      </c>
      <c r="K9" s="267">
        <f>IF(ISNA(MATCH(K$2,Inputs!$K$4:$AJ$4,0)),NA(),IF(SUMPRODUCT((Inputs!$A$5:$A$110=$B9)*ISNUMBER(INDEX(Inputs!$K$5:$AJ$110,0,MATCH(K$2,Inputs!$K$4:$AJ$4,0))))+SUMPRODUCT((Inputs!$C$5:$C$110=$B9)*ISNUMBER(INDEX(Inputs!$K$5:$AJ$110,0,MATCH(K$2,Inputs!$K$4:$AJ$4,0))))+SUMPRODUCT((Inputs!$E$5:$E$110=$B9)*ISNUMBER(INDEX(Inputs!$K$5:$AJ$110,0,MATCH(K$2,Inputs!$K$4:$AJ$4,0))))=0,NA(),SUMPRODUCT((Inputs!$A$5:$A$110=$B9)*Inputs!$B$5:$B$110*(((Inputs!$G$5:$G$110="moeda")+(Inputs!$G$5:$G$110="acoes"))*Inputs!$B$1+((Inputs!$G$5:$G$110&lt;&gt;"moeda")*(Inputs!$G$5:$G$110&lt;&gt;"acoes")))*INDEX(Inputs!$K$5:$AJ$110,0,MATCH(K$2,Inputs!$K$4:$AJ$4,0)))+SUMPRODUCT((Inputs!$C$5:$C$110=$B9)*Inputs!$D$5:$D$110*(((Inputs!$G$5:$G$110="moeda")+(Inputs!$G$5:$G$110="acoes"))*Inputs!$B$1+((Inputs!$G$5:$G$110&lt;&gt;"moeda")*(Inputs!$G$5:$G$110&lt;&gt;"acoes")))*INDEX(Inputs!$K$5:$AJ$110,0,MATCH(K$2,Inputs!$K$4:$AJ$4,0)))+SUMPRODUCT((Inputs!$E$5:$E$110=$B9)*Inputs!$F$5:$F$110*(((Inputs!$G$5:$G$110="moeda")+(Inputs!$G$5:$G$110="acoes"))*Inputs!$B$1+((Inputs!$G$5:$G$110&lt;&gt;"moeda")*(Inputs!$G$5:$G$110&lt;&gt;"acoes")))*INDEX(Inputs!$K$5:$AJ$110,0,MATCH(K$2,Inputs!$K$4:$AJ$4,0)))))</f>
        <v>-3627</v>
      </c>
      <c r="L9" s="267">
        <f>IF(ISNA(MATCH(L$2,Inputs!$K$4:$AJ$4,0)),NA(),IF(SUMPRODUCT((Inputs!$A$5:$A$110=$B9)*ISNUMBER(INDEX(Inputs!$K$5:$AJ$110,0,MATCH(L$2,Inputs!$K$4:$AJ$4,0))))+SUMPRODUCT((Inputs!$C$5:$C$110=$B9)*ISNUMBER(INDEX(Inputs!$K$5:$AJ$110,0,MATCH(L$2,Inputs!$K$4:$AJ$4,0))))+SUMPRODUCT((Inputs!$E$5:$E$110=$B9)*ISNUMBER(INDEX(Inputs!$K$5:$AJ$110,0,MATCH(L$2,Inputs!$K$4:$AJ$4,0))))=0,NA(),SUMPRODUCT((Inputs!$A$5:$A$110=$B9)*Inputs!$B$5:$B$110*(((Inputs!$G$5:$G$110="moeda")+(Inputs!$G$5:$G$110="acoes"))*Inputs!$B$1+((Inputs!$G$5:$G$110&lt;&gt;"moeda")*(Inputs!$G$5:$G$110&lt;&gt;"acoes")))*INDEX(Inputs!$K$5:$AJ$110,0,MATCH(L$2,Inputs!$K$4:$AJ$4,0)))+SUMPRODUCT((Inputs!$C$5:$C$110=$B9)*Inputs!$D$5:$D$110*(((Inputs!$G$5:$G$110="moeda")+(Inputs!$G$5:$G$110="acoes"))*Inputs!$B$1+((Inputs!$G$5:$G$110&lt;&gt;"moeda")*(Inputs!$G$5:$G$110&lt;&gt;"acoes")))*INDEX(Inputs!$K$5:$AJ$110,0,MATCH(L$2,Inputs!$K$4:$AJ$4,0)))+SUMPRODUCT((Inputs!$E$5:$E$110=$B9)*Inputs!$F$5:$F$110*(((Inputs!$G$5:$G$110="moeda")+(Inputs!$G$5:$G$110="acoes"))*Inputs!$B$1+((Inputs!$G$5:$G$110&lt;&gt;"moeda")*(Inputs!$G$5:$G$110&lt;&gt;"acoes")))*INDEX(Inputs!$K$5:$AJ$110,0,MATCH(L$2,Inputs!$K$4:$AJ$4,0)))))</f>
        <v>3862</v>
      </c>
      <c r="M9" s="268">
        <f>SUM(I9:L9)</f>
        <v>-1625</v>
      </c>
      <c r="N9" s="267">
        <f>IF(ISNA(MATCH(N$2,Inputs!$K$4:$AJ$4,0)),NA(),IF(SUMPRODUCT((Inputs!$A$5:$A$110=$B9)*ISNUMBER(INDEX(Inputs!$K$5:$AJ$110,0,MATCH(N$2,Inputs!$K$4:$AJ$4,0))))+SUMPRODUCT((Inputs!$C$5:$C$110=$B9)*ISNUMBER(INDEX(Inputs!$K$5:$AJ$110,0,MATCH(N$2,Inputs!$K$4:$AJ$4,0))))+SUMPRODUCT((Inputs!$E$5:$E$110=$B9)*ISNUMBER(INDEX(Inputs!$K$5:$AJ$110,0,MATCH(N$2,Inputs!$K$4:$AJ$4,0))))=0,NA(),SUMPRODUCT((Inputs!$A$5:$A$110=$B9)*Inputs!$B$5:$B$110*(((Inputs!$G$5:$G$110="moeda")+(Inputs!$G$5:$G$110="acoes"))*Inputs!$B$1+((Inputs!$G$5:$G$110&lt;&gt;"moeda")*(Inputs!$G$5:$G$110&lt;&gt;"acoes")))*INDEX(Inputs!$K$5:$AJ$110,0,MATCH(N$2,Inputs!$K$4:$AJ$4,0)))+SUMPRODUCT((Inputs!$C$5:$C$110=$B9)*Inputs!$D$5:$D$110*(((Inputs!$G$5:$G$110="moeda")+(Inputs!$G$5:$G$110="acoes"))*Inputs!$B$1+((Inputs!$G$5:$G$110&lt;&gt;"moeda")*(Inputs!$G$5:$G$110&lt;&gt;"acoes")))*INDEX(Inputs!$K$5:$AJ$110,0,MATCH(N$2,Inputs!$K$4:$AJ$4,0)))+SUMPRODUCT((Inputs!$E$5:$E$110=$B9)*Inputs!$F$5:$F$110*(((Inputs!$G$5:$G$110="moeda")+(Inputs!$G$5:$G$110="acoes"))*Inputs!$B$1+((Inputs!$G$5:$G$110&lt;&gt;"moeda")*(Inputs!$G$5:$G$110&lt;&gt;"acoes")))*INDEX(Inputs!$K$5:$AJ$110,0,MATCH(N$2,Inputs!$K$4:$AJ$4,0)))))</f>
        <v>-2984</v>
      </c>
      <c r="O9" s="267">
        <f>IF(ISNA(MATCH(O$2,Inputs!$K$4:$AJ$4,0)),NA(),IF(SUMPRODUCT((Inputs!$A$5:$A$110=$B9)*ISNUMBER(INDEX(Inputs!$K$5:$AJ$110,0,MATCH(O$2,Inputs!$K$4:$AJ$4,0))))+SUMPRODUCT((Inputs!$C$5:$C$110=$B9)*ISNUMBER(INDEX(Inputs!$K$5:$AJ$110,0,MATCH(O$2,Inputs!$K$4:$AJ$4,0))))+SUMPRODUCT((Inputs!$E$5:$E$110=$B9)*ISNUMBER(INDEX(Inputs!$K$5:$AJ$110,0,MATCH(O$2,Inputs!$K$4:$AJ$4,0))))=0,NA(),SUMPRODUCT((Inputs!$A$5:$A$110=$B9)*Inputs!$B$5:$B$110*(((Inputs!$G$5:$G$110="moeda")+(Inputs!$G$5:$G$110="acoes"))*Inputs!$B$1+((Inputs!$G$5:$G$110&lt;&gt;"moeda")*(Inputs!$G$5:$G$110&lt;&gt;"acoes")))*INDEX(Inputs!$K$5:$AJ$110,0,MATCH(O$2,Inputs!$K$4:$AJ$4,0)))+SUMPRODUCT((Inputs!$C$5:$C$110=$B9)*Inputs!$D$5:$D$110*(((Inputs!$G$5:$G$110="moeda")+(Inputs!$G$5:$G$110="acoes"))*Inputs!$B$1+((Inputs!$G$5:$G$110&lt;&gt;"moeda")*(Inputs!$G$5:$G$110&lt;&gt;"acoes")))*INDEX(Inputs!$K$5:$AJ$110,0,MATCH(O$2,Inputs!$K$4:$AJ$4,0)))+SUMPRODUCT((Inputs!$E$5:$E$110=$B9)*Inputs!$F$5:$F$110*(((Inputs!$G$5:$G$110="moeda")+(Inputs!$G$5:$G$110="acoes"))*Inputs!$B$1+((Inputs!$G$5:$G$110&lt;&gt;"moeda")*(Inputs!$G$5:$G$110&lt;&gt;"acoes")))*INDEX(Inputs!$K$5:$AJ$110,0,MATCH(O$2,Inputs!$K$4:$AJ$4,0)))))</f>
        <v>3954</v>
      </c>
      <c r="P9" s="267">
        <f>IF(ISNA(MATCH(P$2,Inputs!$K$4:$AJ$4,0)),NA(),IF(SUMPRODUCT((Inputs!$A$5:$A$110=$B9)*ISNUMBER(INDEX(Inputs!$K$5:$AJ$110,0,MATCH(P$2,Inputs!$K$4:$AJ$4,0))))+SUMPRODUCT((Inputs!$C$5:$C$110=$B9)*ISNUMBER(INDEX(Inputs!$K$5:$AJ$110,0,MATCH(P$2,Inputs!$K$4:$AJ$4,0))))+SUMPRODUCT((Inputs!$E$5:$E$110=$B9)*ISNUMBER(INDEX(Inputs!$K$5:$AJ$110,0,MATCH(P$2,Inputs!$K$4:$AJ$4,0))))=0,NA(),SUMPRODUCT((Inputs!$A$5:$A$110=$B9)*Inputs!$B$5:$B$110*(((Inputs!$G$5:$G$110="moeda")+(Inputs!$G$5:$G$110="acoes"))*Inputs!$B$1+((Inputs!$G$5:$G$110&lt;&gt;"moeda")*(Inputs!$G$5:$G$110&lt;&gt;"acoes")))*INDEX(Inputs!$K$5:$AJ$110,0,MATCH(P$2,Inputs!$K$4:$AJ$4,0)))+SUMPRODUCT((Inputs!$C$5:$C$110=$B9)*Inputs!$D$5:$D$110*(((Inputs!$G$5:$G$110="moeda")+(Inputs!$G$5:$G$110="acoes"))*Inputs!$B$1+((Inputs!$G$5:$G$110&lt;&gt;"moeda")*(Inputs!$G$5:$G$110&lt;&gt;"acoes")))*INDEX(Inputs!$K$5:$AJ$110,0,MATCH(P$2,Inputs!$K$4:$AJ$4,0)))+SUMPRODUCT((Inputs!$E$5:$E$110=$B9)*Inputs!$F$5:$F$110*(((Inputs!$G$5:$G$110="moeda")+(Inputs!$G$5:$G$110="acoes"))*Inputs!$B$1+((Inputs!$G$5:$G$110&lt;&gt;"moeda")*(Inputs!$G$5:$G$110&lt;&gt;"acoes")))*INDEX(Inputs!$K$5:$AJ$110,0,MATCH(P$2,Inputs!$K$4:$AJ$4,0)))))</f>
        <v>-4715</v>
      </c>
      <c r="Q9" s="267">
        <f>IF(ISNA(MATCH(Q$2,Inputs!$K$4:$AJ$4,0)),NA(),IF(SUMPRODUCT((Inputs!$A$5:$A$110=$B9)*ISNUMBER(INDEX(Inputs!$K$5:$AJ$110,0,MATCH(Q$2,Inputs!$K$4:$AJ$4,0))))+SUMPRODUCT((Inputs!$C$5:$C$110=$B9)*ISNUMBER(INDEX(Inputs!$K$5:$AJ$110,0,MATCH(Q$2,Inputs!$K$4:$AJ$4,0))))+SUMPRODUCT((Inputs!$E$5:$E$110=$B9)*ISNUMBER(INDEX(Inputs!$K$5:$AJ$110,0,MATCH(Q$2,Inputs!$K$4:$AJ$4,0))))=0,NA(),SUMPRODUCT((Inputs!$A$5:$A$110=$B9)*Inputs!$B$5:$B$110*(((Inputs!$G$5:$G$110="moeda")+(Inputs!$G$5:$G$110="acoes"))*Inputs!$B$1+((Inputs!$G$5:$G$110&lt;&gt;"moeda")*(Inputs!$G$5:$G$110&lt;&gt;"acoes")))*INDEX(Inputs!$K$5:$AJ$110,0,MATCH(Q$2,Inputs!$K$4:$AJ$4,0)))+SUMPRODUCT((Inputs!$C$5:$C$110=$B9)*Inputs!$D$5:$D$110*(((Inputs!$G$5:$G$110="moeda")+(Inputs!$G$5:$G$110="acoes"))*Inputs!$B$1+((Inputs!$G$5:$G$110&lt;&gt;"moeda")*(Inputs!$G$5:$G$110&lt;&gt;"acoes")))*INDEX(Inputs!$K$5:$AJ$110,0,MATCH(Q$2,Inputs!$K$4:$AJ$4,0)))+SUMPRODUCT((Inputs!$E$5:$E$110=$B9)*Inputs!$F$5:$F$110*(((Inputs!$G$5:$G$110="moeda")+(Inputs!$G$5:$G$110="acoes"))*Inputs!$B$1+((Inputs!$G$5:$G$110&lt;&gt;"moeda")*(Inputs!$G$5:$G$110&lt;&gt;"acoes")))*INDEX(Inputs!$K$5:$AJ$110,0,MATCH(Q$2,Inputs!$K$4:$AJ$4,0)))))</f>
        <v>840</v>
      </c>
      <c r="R9" s="268">
        <f>SUM(N9:Q9)</f>
        <v>-2905</v>
      </c>
      <c r="S9" s="267">
        <f>IF(ISNA(MATCH(S$2,Inputs!$K$4:$AJ$4,0)),NA(),IF(SUMPRODUCT((Inputs!$A$5:$A$110=$B9)*ISNUMBER(INDEX(Inputs!$K$5:$AJ$110,0,MATCH(S$2,Inputs!$K$4:$AJ$4,0))))+SUMPRODUCT((Inputs!$C$5:$C$110=$B9)*ISNUMBER(INDEX(Inputs!$K$5:$AJ$110,0,MATCH(S$2,Inputs!$K$4:$AJ$4,0))))+SUMPRODUCT((Inputs!$E$5:$E$110=$B9)*ISNUMBER(INDEX(Inputs!$K$5:$AJ$110,0,MATCH(S$2,Inputs!$K$4:$AJ$4,0))))=0,NA(),SUMPRODUCT((Inputs!$A$5:$A$110=$B9)*Inputs!$B$5:$B$110*(((Inputs!$G$5:$G$110="moeda")+(Inputs!$G$5:$G$110="acoes"))*Inputs!$B$1+((Inputs!$G$5:$G$110&lt;&gt;"moeda")*(Inputs!$G$5:$G$110&lt;&gt;"acoes")))*INDEX(Inputs!$K$5:$AJ$110,0,MATCH(S$2,Inputs!$K$4:$AJ$4,0)))+SUMPRODUCT((Inputs!$C$5:$C$110=$B9)*Inputs!$D$5:$D$110*(((Inputs!$G$5:$G$110="moeda")+(Inputs!$G$5:$G$110="acoes"))*Inputs!$B$1+((Inputs!$G$5:$G$110&lt;&gt;"moeda")*(Inputs!$G$5:$G$110&lt;&gt;"acoes")))*INDEX(Inputs!$K$5:$AJ$110,0,MATCH(S$2,Inputs!$K$4:$AJ$4,0)))+SUMPRODUCT((Inputs!$E$5:$E$110=$B9)*Inputs!$F$5:$F$110*(((Inputs!$G$5:$G$110="moeda")+(Inputs!$G$5:$G$110="acoes"))*Inputs!$B$1+((Inputs!$G$5:$G$110&lt;&gt;"moeda")*(Inputs!$G$5:$G$110&lt;&gt;"acoes")))*INDEX(Inputs!$K$5:$AJ$110,0,MATCH(S$2,Inputs!$K$4:$AJ$4,0)))))</f>
        <v>791</v>
      </c>
      <c r="T9" s="267">
        <f>IF(ISNA(MATCH(T$2,Inputs!$K$4:$AJ$4,0)),NA(),IF(SUMPRODUCT((Inputs!$A$5:$A$110=$B9)*ISNUMBER(INDEX(Inputs!$K$5:$AJ$110,0,MATCH(T$2,Inputs!$K$4:$AJ$4,0))))+SUMPRODUCT((Inputs!$C$5:$C$110=$B9)*ISNUMBER(INDEX(Inputs!$K$5:$AJ$110,0,MATCH(T$2,Inputs!$K$4:$AJ$4,0))))+SUMPRODUCT((Inputs!$E$5:$E$110=$B9)*ISNUMBER(INDEX(Inputs!$K$5:$AJ$110,0,MATCH(T$2,Inputs!$K$4:$AJ$4,0))))=0,NA(),SUMPRODUCT((Inputs!$A$5:$A$110=$B9)*Inputs!$B$5:$B$110*(((Inputs!$G$5:$G$110="moeda")+(Inputs!$G$5:$G$110="acoes"))*Inputs!$B$1+((Inputs!$G$5:$G$110&lt;&gt;"moeda")*(Inputs!$G$5:$G$110&lt;&gt;"acoes")))*INDEX(Inputs!$K$5:$AJ$110,0,MATCH(T$2,Inputs!$K$4:$AJ$4,0)))+SUMPRODUCT((Inputs!$C$5:$C$110=$B9)*Inputs!$D$5:$D$110*(((Inputs!$G$5:$G$110="moeda")+(Inputs!$G$5:$G$110="acoes"))*Inputs!$B$1+((Inputs!$G$5:$G$110&lt;&gt;"moeda")*(Inputs!$G$5:$G$110&lt;&gt;"acoes")))*INDEX(Inputs!$K$5:$AJ$110,0,MATCH(T$2,Inputs!$K$4:$AJ$4,0)))+SUMPRODUCT((Inputs!$E$5:$E$110=$B9)*Inputs!$F$5:$F$110*(((Inputs!$G$5:$G$110="moeda")+(Inputs!$G$5:$G$110="acoes"))*Inputs!$B$1+((Inputs!$G$5:$G$110&lt;&gt;"moeda")*(Inputs!$G$5:$G$110&lt;&gt;"acoes")))*INDEX(Inputs!$K$5:$AJ$110,0,MATCH(T$2,Inputs!$K$4:$AJ$4,0)))))</f>
        <v>-1170</v>
      </c>
      <c r="U9" s="267">
        <f>IF(ISNA(MATCH(U$2,Inputs!$K$4:$AJ$4,0)),NA(),IF(SUMPRODUCT((Inputs!$A$5:$A$110=$B9)*ISNUMBER(INDEX(Inputs!$K$5:$AJ$110,0,MATCH(U$2,Inputs!$K$4:$AJ$4,0))))+SUMPRODUCT((Inputs!$C$5:$C$110=$B9)*ISNUMBER(INDEX(Inputs!$K$5:$AJ$110,0,MATCH(U$2,Inputs!$K$4:$AJ$4,0))))+SUMPRODUCT((Inputs!$E$5:$E$110=$B9)*ISNUMBER(INDEX(Inputs!$K$5:$AJ$110,0,MATCH(U$2,Inputs!$K$4:$AJ$4,0))))=0,NA(),SUMPRODUCT((Inputs!$A$5:$A$110=$B9)*Inputs!$B$5:$B$110*(((Inputs!$G$5:$G$110="moeda")+(Inputs!$G$5:$G$110="acoes"))*Inputs!$B$1+((Inputs!$G$5:$G$110&lt;&gt;"moeda")*(Inputs!$G$5:$G$110&lt;&gt;"acoes")))*INDEX(Inputs!$K$5:$AJ$110,0,MATCH(U$2,Inputs!$K$4:$AJ$4,0)))+SUMPRODUCT((Inputs!$C$5:$C$110=$B9)*Inputs!$D$5:$D$110*(((Inputs!$G$5:$G$110="moeda")+(Inputs!$G$5:$G$110="acoes"))*Inputs!$B$1+((Inputs!$G$5:$G$110&lt;&gt;"moeda")*(Inputs!$G$5:$G$110&lt;&gt;"acoes")))*INDEX(Inputs!$K$5:$AJ$110,0,MATCH(U$2,Inputs!$K$4:$AJ$4,0)))+SUMPRODUCT((Inputs!$E$5:$E$110=$B9)*Inputs!$F$5:$F$110*(((Inputs!$G$5:$G$110="moeda")+(Inputs!$G$5:$G$110="acoes"))*Inputs!$B$1+((Inputs!$G$5:$G$110&lt;&gt;"moeda")*(Inputs!$G$5:$G$110&lt;&gt;"acoes")))*INDEX(Inputs!$K$5:$AJ$110,0,MATCH(U$2,Inputs!$K$4:$AJ$4,0)))))</f>
        <v>-114</v>
      </c>
      <c r="V9" s="267">
        <f>IF(ISNA(MATCH(V$2,Inputs!$K$4:$AJ$4,0)),NA(),IF(SUMPRODUCT((Inputs!$A$5:$A$110=$B9)*ISNUMBER(INDEX(Inputs!$K$5:$AJ$110,0,MATCH(V$2,Inputs!$K$4:$AJ$4,0))))+SUMPRODUCT((Inputs!$C$5:$C$110=$B9)*ISNUMBER(INDEX(Inputs!$K$5:$AJ$110,0,MATCH(V$2,Inputs!$K$4:$AJ$4,0))))+SUMPRODUCT((Inputs!$E$5:$E$110=$B9)*ISNUMBER(INDEX(Inputs!$K$5:$AJ$110,0,MATCH(V$2,Inputs!$K$4:$AJ$4,0))))=0,NA(),SUMPRODUCT((Inputs!$A$5:$A$110=$B9)*Inputs!$B$5:$B$110*(((Inputs!$G$5:$G$110="moeda")+(Inputs!$G$5:$G$110="acoes"))*Inputs!$B$1+((Inputs!$G$5:$G$110&lt;&gt;"moeda")*(Inputs!$G$5:$G$110&lt;&gt;"acoes")))*INDEX(Inputs!$K$5:$AJ$110,0,MATCH(V$2,Inputs!$K$4:$AJ$4,0)))+SUMPRODUCT((Inputs!$C$5:$C$110=$B9)*Inputs!$D$5:$D$110*(((Inputs!$G$5:$G$110="moeda")+(Inputs!$G$5:$G$110="acoes"))*Inputs!$B$1+((Inputs!$G$5:$G$110&lt;&gt;"moeda")*(Inputs!$G$5:$G$110&lt;&gt;"acoes")))*INDEX(Inputs!$K$5:$AJ$110,0,MATCH(V$2,Inputs!$K$4:$AJ$4,0)))+SUMPRODUCT((Inputs!$E$5:$E$110=$B9)*Inputs!$F$5:$F$110*(((Inputs!$G$5:$G$110="moeda")+(Inputs!$G$5:$G$110="acoes"))*Inputs!$B$1+((Inputs!$G$5:$G$110&lt;&gt;"moeda")*(Inputs!$G$5:$G$110&lt;&gt;"acoes")))*INDEX(Inputs!$K$5:$AJ$110,0,MATCH(V$2,Inputs!$K$4:$AJ$4,0)))))</f>
        <v>-297</v>
      </c>
      <c r="W9" s="268">
        <f>SUM(S9:V9)</f>
        <v>-790</v>
      </c>
      <c r="X9" s="267">
        <f>IF(ISNA(MATCH(X$2,Inputs!$K$4:$AJ$4,0)),NA(),IF(SUMPRODUCT((Inputs!$A$5:$A$110=$B9)*ISNUMBER(INDEX(Inputs!$K$5:$AJ$110,0,MATCH(X$2,Inputs!$K$4:$AJ$4,0))))+SUMPRODUCT((Inputs!$C$5:$C$110=$B9)*ISNUMBER(INDEX(Inputs!$K$5:$AJ$110,0,MATCH(X$2,Inputs!$K$4:$AJ$4,0))))+SUMPRODUCT((Inputs!$E$5:$E$110=$B9)*ISNUMBER(INDEX(Inputs!$K$5:$AJ$110,0,MATCH(X$2,Inputs!$K$4:$AJ$4,0))))=0,NA(),SUMPRODUCT((Inputs!$A$5:$A$110=$B9)*Inputs!$B$5:$B$110*(((Inputs!$G$5:$G$110="moeda")+(Inputs!$G$5:$G$110="acoes"))*Inputs!$B$1+((Inputs!$G$5:$G$110&lt;&gt;"moeda")*(Inputs!$G$5:$G$110&lt;&gt;"acoes")))*INDEX(Inputs!$K$5:$AJ$110,0,MATCH(X$2,Inputs!$K$4:$AJ$4,0)))+SUMPRODUCT((Inputs!$C$5:$C$110=$B9)*Inputs!$D$5:$D$110*(((Inputs!$G$5:$G$110="moeda")+(Inputs!$G$5:$G$110="acoes"))*Inputs!$B$1+((Inputs!$G$5:$G$110&lt;&gt;"moeda")*(Inputs!$G$5:$G$110&lt;&gt;"acoes")))*INDEX(Inputs!$K$5:$AJ$110,0,MATCH(X$2,Inputs!$K$4:$AJ$4,0)))+SUMPRODUCT((Inputs!$E$5:$E$110=$B9)*Inputs!$F$5:$F$110*(((Inputs!$G$5:$G$110="moeda")+(Inputs!$G$5:$G$110="acoes"))*Inputs!$B$1+((Inputs!$G$5:$G$110&lt;&gt;"moeda")*(Inputs!$G$5:$G$110&lt;&gt;"acoes")))*INDEX(Inputs!$K$5:$AJ$110,0,MATCH(X$2,Inputs!$K$4:$AJ$4,0)))))</f>
        <v>-622</v>
      </c>
      <c r="Y9" s="267">
        <f>IF(ISNA(MATCH(Y$2,Inputs!$K$4:$AJ$4,0)),NA(),IF(SUMPRODUCT((Inputs!$A$5:$A$110=$B9)*ISNUMBER(INDEX(Inputs!$K$5:$AJ$110,0,MATCH(Y$2,Inputs!$K$4:$AJ$4,0))))+SUMPRODUCT((Inputs!$C$5:$C$110=$B9)*ISNUMBER(INDEX(Inputs!$K$5:$AJ$110,0,MATCH(Y$2,Inputs!$K$4:$AJ$4,0))))+SUMPRODUCT((Inputs!$E$5:$E$110=$B9)*ISNUMBER(INDEX(Inputs!$K$5:$AJ$110,0,MATCH(Y$2,Inputs!$K$4:$AJ$4,0))))=0,NA(),SUMPRODUCT((Inputs!$A$5:$A$110=$B9)*Inputs!$B$5:$B$110*(((Inputs!$G$5:$G$110="moeda")+(Inputs!$G$5:$G$110="acoes"))*Inputs!$B$1+((Inputs!$G$5:$G$110&lt;&gt;"moeda")*(Inputs!$G$5:$G$110&lt;&gt;"acoes")))*INDEX(Inputs!$K$5:$AJ$110,0,MATCH(Y$2,Inputs!$K$4:$AJ$4,0)))+SUMPRODUCT((Inputs!$C$5:$C$110=$B9)*Inputs!$D$5:$D$110*(((Inputs!$G$5:$G$110="moeda")+(Inputs!$G$5:$G$110="acoes"))*Inputs!$B$1+((Inputs!$G$5:$G$110&lt;&gt;"moeda")*(Inputs!$G$5:$G$110&lt;&gt;"acoes")))*INDEX(Inputs!$K$5:$AJ$110,0,MATCH(Y$2,Inputs!$K$4:$AJ$4,0)))+SUMPRODUCT((Inputs!$E$5:$E$110=$B9)*Inputs!$F$5:$F$110*(((Inputs!$G$5:$G$110="moeda")+(Inputs!$G$5:$G$110="acoes"))*Inputs!$B$1+((Inputs!$G$5:$G$110&lt;&gt;"moeda")*(Inputs!$G$5:$G$110&lt;&gt;"acoes")))*INDEX(Inputs!$K$5:$AJ$110,0,MATCH(Y$2,Inputs!$K$4:$AJ$4,0)))))</f>
        <v>2684</v>
      </c>
      <c r="Z9" s="267">
        <f>IF(ISNA(MATCH(Z$2,Inputs!$K$4:$AJ$4,0)),NA(),IF(SUMPRODUCT((Inputs!$A$5:$A$110=$B9)*ISNUMBER(INDEX(Inputs!$K$5:$AJ$110,0,MATCH(Z$2,Inputs!$K$4:$AJ$4,0))))+SUMPRODUCT((Inputs!$C$5:$C$110=$B9)*ISNUMBER(INDEX(Inputs!$K$5:$AJ$110,0,MATCH(Z$2,Inputs!$K$4:$AJ$4,0))))+SUMPRODUCT((Inputs!$E$5:$E$110=$B9)*ISNUMBER(INDEX(Inputs!$K$5:$AJ$110,0,MATCH(Z$2,Inputs!$K$4:$AJ$4,0))))=0,NA(),SUMPRODUCT((Inputs!$A$5:$A$110=$B9)*Inputs!$B$5:$B$110*(((Inputs!$G$5:$G$110="moeda")+(Inputs!$G$5:$G$110="acoes"))*Inputs!$B$1+((Inputs!$G$5:$G$110&lt;&gt;"moeda")*(Inputs!$G$5:$G$110&lt;&gt;"acoes")))*INDEX(Inputs!$K$5:$AJ$110,0,MATCH(Z$2,Inputs!$K$4:$AJ$4,0)))+SUMPRODUCT((Inputs!$C$5:$C$110=$B9)*Inputs!$D$5:$D$110*(((Inputs!$G$5:$G$110="moeda")+(Inputs!$G$5:$G$110="acoes"))*Inputs!$B$1+((Inputs!$G$5:$G$110&lt;&gt;"moeda")*(Inputs!$G$5:$G$110&lt;&gt;"acoes")))*INDEX(Inputs!$K$5:$AJ$110,0,MATCH(Z$2,Inputs!$K$4:$AJ$4,0)))+SUMPRODUCT((Inputs!$E$5:$E$110=$B9)*Inputs!$F$5:$F$110*(((Inputs!$G$5:$G$110="moeda")+(Inputs!$G$5:$G$110="acoes"))*Inputs!$B$1+((Inputs!$G$5:$G$110&lt;&gt;"moeda")*(Inputs!$G$5:$G$110&lt;&gt;"acoes")))*INDEX(Inputs!$K$5:$AJ$110,0,MATCH(Z$2,Inputs!$K$4:$AJ$4,0)))))</f>
        <v>2053</v>
      </c>
      <c r="AA9" s="267">
        <f>IF(ISNA(MATCH(AA$2,Inputs!$K$4:$AJ$4,0)),NA(),IF(SUMPRODUCT((Inputs!$A$5:$A$110=$B9)*ISNUMBER(INDEX(Inputs!$K$5:$AJ$110,0,MATCH(AA$2,Inputs!$K$4:$AJ$4,0))))+SUMPRODUCT((Inputs!$C$5:$C$110=$B9)*ISNUMBER(INDEX(Inputs!$K$5:$AJ$110,0,MATCH(AA$2,Inputs!$K$4:$AJ$4,0))))+SUMPRODUCT((Inputs!$E$5:$E$110=$B9)*ISNUMBER(INDEX(Inputs!$K$5:$AJ$110,0,MATCH(AA$2,Inputs!$K$4:$AJ$4,0))))=0,NA(),SUMPRODUCT((Inputs!$A$5:$A$110=$B9)*Inputs!$B$5:$B$110*(((Inputs!$G$5:$G$110="moeda")+(Inputs!$G$5:$G$110="acoes"))*Inputs!$B$1+((Inputs!$G$5:$G$110&lt;&gt;"moeda")*(Inputs!$G$5:$G$110&lt;&gt;"acoes")))*INDEX(Inputs!$K$5:$AJ$110,0,MATCH(AA$2,Inputs!$K$4:$AJ$4,0)))+SUMPRODUCT((Inputs!$C$5:$C$110=$B9)*Inputs!$D$5:$D$110*(((Inputs!$G$5:$G$110="moeda")+(Inputs!$G$5:$G$110="acoes"))*Inputs!$B$1+((Inputs!$G$5:$G$110&lt;&gt;"moeda")*(Inputs!$G$5:$G$110&lt;&gt;"acoes")))*INDEX(Inputs!$K$5:$AJ$110,0,MATCH(AA$2,Inputs!$K$4:$AJ$4,0)))+SUMPRODUCT((Inputs!$E$5:$E$110=$B9)*Inputs!$F$5:$F$110*(((Inputs!$G$5:$G$110="moeda")+(Inputs!$G$5:$G$110="acoes"))*Inputs!$B$1+((Inputs!$G$5:$G$110&lt;&gt;"moeda")*(Inputs!$G$5:$G$110&lt;&gt;"acoes")))*INDEX(Inputs!$K$5:$AJ$110,0,MATCH(AA$2,Inputs!$K$4:$AJ$4,0)))))</f>
        <v>-2153</v>
      </c>
      <c r="AB9" s="268">
        <f>SUM(X9:AA9)</f>
        <v>1962</v>
      </c>
      <c r="AC9" s="267">
        <f>IF(ISNA(MATCH(AC$2,Inputs!$K$4:$AJ$4,0)),NA(),IF(SUMPRODUCT((Inputs!$A$5:$A$110=$B9)*ISNUMBER(INDEX(Inputs!$K$5:$AJ$110,0,MATCH(AC$2,Inputs!$K$4:$AJ$4,0))))+SUMPRODUCT((Inputs!$C$5:$C$110=$B9)*ISNUMBER(INDEX(Inputs!$K$5:$AJ$110,0,MATCH(AC$2,Inputs!$K$4:$AJ$4,0))))+SUMPRODUCT((Inputs!$E$5:$E$110=$B9)*ISNUMBER(INDEX(Inputs!$K$5:$AJ$110,0,MATCH(AC$2,Inputs!$K$4:$AJ$4,0))))=0,NA(),SUMPRODUCT((Inputs!$A$5:$A$110=$B9)*Inputs!$B$5:$B$110*(((Inputs!$G$5:$G$110="moeda")+(Inputs!$G$5:$G$110="acoes"))*Inputs!$B$1+((Inputs!$G$5:$G$110&lt;&gt;"moeda")*(Inputs!$G$5:$G$110&lt;&gt;"acoes")))*INDEX(Inputs!$K$5:$AJ$110,0,MATCH(AC$2,Inputs!$K$4:$AJ$4,0)))+SUMPRODUCT((Inputs!$C$5:$C$110=$B9)*Inputs!$D$5:$D$110*(((Inputs!$G$5:$G$110="moeda")+(Inputs!$G$5:$G$110="acoes"))*Inputs!$B$1+((Inputs!$G$5:$G$110&lt;&gt;"moeda")*(Inputs!$G$5:$G$110&lt;&gt;"acoes")))*INDEX(Inputs!$K$5:$AJ$110,0,MATCH(AC$2,Inputs!$K$4:$AJ$4,0)))+SUMPRODUCT((Inputs!$E$5:$E$110=$B9)*Inputs!$F$5:$F$110*(((Inputs!$G$5:$G$110="moeda")+(Inputs!$G$5:$G$110="acoes"))*Inputs!$B$1+((Inputs!$G$5:$G$110&lt;&gt;"moeda")*(Inputs!$G$5:$G$110&lt;&gt;"acoes")))*INDEX(Inputs!$K$5:$AJ$110,0,MATCH(AC$2,Inputs!$K$4:$AJ$4,0)))))</f>
        <v>229</v>
      </c>
      <c r="AD9" s="267">
        <f>IF(ISNA(MATCH(AD$2,Inputs!$K$4:$AJ$4,0)),NA(),IF(SUMPRODUCT((Inputs!$A$5:$A$110=$B9)*ISNUMBER(INDEX(Inputs!$K$5:$AJ$110,0,MATCH(AD$2,Inputs!$K$4:$AJ$4,0))))+SUMPRODUCT((Inputs!$C$5:$C$110=$B9)*ISNUMBER(INDEX(Inputs!$K$5:$AJ$110,0,MATCH(AD$2,Inputs!$K$4:$AJ$4,0))))+SUMPRODUCT((Inputs!$E$5:$E$110=$B9)*ISNUMBER(INDEX(Inputs!$K$5:$AJ$110,0,MATCH(AD$2,Inputs!$K$4:$AJ$4,0))))=0,NA(),SUMPRODUCT((Inputs!$A$5:$A$110=$B9)*Inputs!$B$5:$B$110*(((Inputs!$G$5:$G$110="moeda")+(Inputs!$G$5:$G$110="acoes"))*Inputs!$B$1+((Inputs!$G$5:$G$110&lt;&gt;"moeda")*(Inputs!$G$5:$G$110&lt;&gt;"acoes")))*INDEX(Inputs!$K$5:$AJ$110,0,MATCH(AD$2,Inputs!$K$4:$AJ$4,0)))+SUMPRODUCT((Inputs!$C$5:$C$110=$B9)*Inputs!$D$5:$D$110*(((Inputs!$G$5:$G$110="moeda")+(Inputs!$G$5:$G$110="acoes"))*Inputs!$B$1+((Inputs!$G$5:$G$110&lt;&gt;"moeda")*(Inputs!$G$5:$G$110&lt;&gt;"acoes")))*INDEX(Inputs!$K$5:$AJ$110,0,MATCH(AD$2,Inputs!$K$4:$AJ$4,0)))+SUMPRODUCT((Inputs!$E$5:$E$110=$B9)*Inputs!$F$5:$F$110*(((Inputs!$G$5:$G$110="moeda")+(Inputs!$G$5:$G$110="acoes"))*Inputs!$B$1+((Inputs!$G$5:$G$110&lt;&gt;"moeda")*(Inputs!$G$5:$G$110&lt;&gt;"acoes")))*INDEX(Inputs!$K$5:$AJ$110,0,MATCH(AD$2,Inputs!$K$4:$AJ$4,0)))))</f>
        <v>-1234</v>
      </c>
      <c r="AE9" s="267" t="e">
        <f>IF(ISNA(MATCH(AE$2,Inputs!$K$4:$AJ$4,0)),NA(),IF(SUMPRODUCT((Inputs!$A$5:$A$110=$B9)*ISNUMBER(INDEX(Inputs!$K$5:$AJ$110,0,MATCH(AE$2,Inputs!$K$4:$AJ$4,0))))+SUMPRODUCT((Inputs!$C$5:$C$110=$B9)*ISNUMBER(INDEX(Inputs!$K$5:$AJ$110,0,MATCH(AE$2,Inputs!$K$4:$AJ$4,0))))+SUMPRODUCT((Inputs!$E$5:$E$110=$B9)*ISNUMBER(INDEX(Inputs!$K$5:$AJ$110,0,MATCH(AE$2,Inputs!$K$4:$AJ$4,0))))=0,NA(),SUMPRODUCT((Inputs!$A$5:$A$110=$B9)*Inputs!$B$5:$B$110*(((Inputs!$G$5:$G$110="moeda")+(Inputs!$G$5:$G$110="acoes"))*Inputs!$B$1+((Inputs!$G$5:$G$110&lt;&gt;"moeda")*(Inputs!$G$5:$G$110&lt;&gt;"acoes")))*INDEX(Inputs!$K$5:$AJ$110,0,MATCH(AE$2,Inputs!$K$4:$AJ$4,0)))+SUMPRODUCT((Inputs!$C$5:$C$110=$B9)*Inputs!$D$5:$D$110*(((Inputs!$G$5:$G$110="moeda")+(Inputs!$G$5:$G$110="acoes"))*Inputs!$B$1+((Inputs!$G$5:$G$110&lt;&gt;"moeda")*(Inputs!$G$5:$G$110&lt;&gt;"acoes")))*INDEX(Inputs!$K$5:$AJ$110,0,MATCH(AE$2,Inputs!$K$4:$AJ$4,0)))+SUMPRODUCT((Inputs!$E$5:$E$110=$B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9" s="267" t="e">
        <f>IF(ISNA(MATCH(AF$2,Inputs!$K$4:$AJ$4,0)),NA(),IF(SUMPRODUCT((Inputs!$A$5:$A$110=$B9)*ISNUMBER(INDEX(Inputs!$K$5:$AJ$110,0,MATCH(AF$2,Inputs!$K$4:$AJ$4,0))))+SUMPRODUCT((Inputs!$C$5:$C$110=$B9)*ISNUMBER(INDEX(Inputs!$K$5:$AJ$110,0,MATCH(AF$2,Inputs!$K$4:$AJ$4,0))))+SUMPRODUCT((Inputs!$E$5:$E$110=$B9)*ISNUMBER(INDEX(Inputs!$K$5:$AJ$110,0,MATCH(AF$2,Inputs!$K$4:$AJ$4,0))))=0,NA(),SUMPRODUCT((Inputs!$A$5:$A$110=$B9)*Inputs!$B$5:$B$110*(((Inputs!$G$5:$G$110="moeda")+(Inputs!$G$5:$G$110="acoes"))*Inputs!$B$1+((Inputs!$G$5:$G$110&lt;&gt;"moeda")*(Inputs!$G$5:$G$110&lt;&gt;"acoes")))*INDEX(Inputs!$K$5:$AJ$110,0,MATCH(AF$2,Inputs!$K$4:$AJ$4,0)))+SUMPRODUCT((Inputs!$C$5:$C$110=$B9)*Inputs!$D$5:$D$110*(((Inputs!$G$5:$G$110="moeda")+(Inputs!$G$5:$G$110="acoes"))*Inputs!$B$1+((Inputs!$G$5:$G$110&lt;&gt;"moeda")*(Inputs!$G$5:$G$110&lt;&gt;"acoes")))*INDEX(Inputs!$K$5:$AJ$110,0,MATCH(AF$2,Inputs!$K$4:$AJ$4,0)))+SUMPRODUCT((Inputs!$E$5:$E$110=$B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9" s="268" t="e">
        <f>SUM(AC9:AF9)</f>
        <v>#N/A</v>
      </c>
      <c r="AH9" s="267">
        <f>IF(ISNA(MATCH(AH$2,Inputs!$K$4:$AJ$4,0)),NA(),IF(SUMPRODUCT((Inputs!$A$5:$A$110=$B9)*ISNUMBER(INDEX(Inputs!$K$5:$AJ$110,0,MATCH(AH$2,Inputs!$K$4:$AJ$4,0))))+SUMPRODUCT((Inputs!$C$5:$C$110=$B9)*ISNUMBER(INDEX(Inputs!$K$5:$AJ$110,0,MATCH(AH$2,Inputs!$K$4:$AJ$4,0))))+SUMPRODUCT((Inputs!$E$5:$E$110=$B9)*ISNUMBER(INDEX(Inputs!$K$5:$AJ$110,0,MATCH(AH$2,Inputs!$K$4:$AJ$4,0))))=0,NA(),SUMPRODUCT((Inputs!$A$5:$A$110=$B9)*Inputs!$B$5:$B$110*(((Inputs!$G$5:$G$110="moeda")+(Inputs!$G$5:$G$110="acoes"))*Inputs!$B$1+((Inputs!$G$5:$G$110&lt;&gt;"moeda")*(Inputs!$G$5:$G$110&lt;&gt;"acoes")))*INDEX(Inputs!$K$5:$AJ$110,0,MATCH(AH$2,Inputs!$K$4:$AJ$4,0)))+SUMPRODUCT((Inputs!$C$5:$C$110=$B9)*Inputs!$D$5:$D$110*(((Inputs!$G$5:$G$110="moeda")+(Inputs!$G$5:$G$110="acoes"))*Inputs!$B$1+((Inputs!$G$5:$G$110&lt;&gt;"moeda")*(Inputs!$G$5:$G$110&lt;&gt;"acoes")))*INDEX(Inputs!$K$5:$AJ$110,0,MATCH(AH$2,Inputs!$K$4:$AJ$4,0)))+SUMPRODUCT((Inputs!$E$5:$E$110=$B9)*Inputs!$F$5:$F$110*(((Inputs!$G$5:$G$110="moeda")+(Inputs!$G$5:$G$110="acoes"))*Inputs!$B$1+((Inputs!$G$5:$G$110&lt;&gt;"moeda")*(Inputs!$G$5:$G$110&lt;&gt;"acoes")))*INDEX(Inputs!$K$5:$AJ$110,0,MATCH(AH$2,Inputs!$K$4:$AJ$4,0)))))</f>
        <v>682</v>
      </c>
      <c r="AI9" s="267">
        <f>IF(ISNA(MATCH(AI$2,Inputs!$K$4:$AJ$4,0)),NA(),IF(SUMPRODUCT((Inputs!$A$5:$A$110=$B9)*ISNUMBER(INDEX(Inputs!$K$5:$AJ$110,0,MATCH(AI$2,Inputs!$K$4:$AJ$4,0))))+SUMPRODUCT((Inputs!$C$5:$C$110=$B9)*ISNUMBER(INDEX(Inputs!$K$5:$AJ$110,0,MATCH(AI$2,Inputs!$K$4:$AJ$4,0))))+SUMPRODUCT((Inputs!$E$5:$E$110=$B9)*ISNUMBER(INDEX(Inputs!$K$5:$AJ$110,0,MATCH(AI$2,Inputs!$K$4:$AJ$4,0))))=0,NA(),SUMPRODUCT((Inputs!$A$5:$A$110=$B9)*Inputs!$B$5:$B$110*(((Inputs!$G$5:$G$110="moeda")+(Inputs!$G$5:$G$110="acoes"))*Inputs!$B$1+((Inputs!$G$5:$G$110&lt;&gt;"moeda")*(Inputs!$G$5:$G$110&lt;&gt;"acoes")))*INDEX(Inputs!$K$5:$AJ$110,0,MATCH(AI$2,Inputs!$K$4:$AJ$4,0)))+SUMPRODUCT((Inputs!$C$5:$C$110=$B9)*Inputs!$D$5:$D$110*(((Inputs!$G$5:$G$110="moeda")+(Inputs!$G$5:$G$110="acoes"))*Inputs!$B$1+((Inputs!$G$5:$G$110&lt;&gt;"moeda")*(Inputs!$G$5:$G$110&lt;&gt;"acoes")))*INDEX(Inputs!$K$5:$AJ$110,0,MATCH(AI$2,Inputs!$K$4:$AJ$4,0)))+SUMPRODUCT((Inputs!$E$5:$E$110=$B9)*Inputs!$F$5:$F$110*(((Inputs!$G$5:$G$110="moeda")+(Inputs!$G$5:$G$110="acoes"))*Inputs!$B$1+((Inputs!$G$5:$G$110&lt;&gt;"moeda")*(Inputs!$G$5:$G$110&lt;&gt;"acoes")))*INDEX(Inputs!$K$5:$AJ$110,0,MATCH(AI$2,Inputs!$K$4:$AJ$4,0)))))</f>
        <v>3164</v>
      </c>
      <c r="AJ9" s="267">
        <f>IF(ISNA(MATCH(AJ$2,Inputs!$K$4:$AJ$4,0)),NA(),IF(SUMPRODUCT((Inputs!$A$5:$A$110=$B9)*ISNUMBER(INDEX(Inputs!$K$5:$AJ$110,0,MATCH(AJ$2,Inputs!$K$4:$AJ$4,0))))+SUMPRODUCT((Inputs!$C$5:$C$110=$B9)*ISNUMBER(INDEX(Inputs!$K$5:$AJ$110,0,MATCH(AJ$2,Inputs!$K$4:$AJ$4,0))))+SUMPRODUCT((Inputs!$E$5:$E$110=$B9)*ISNUMBER(INDEX(Inputs!$K$5:$AJ$110,0,MATCH(AJ$2,Inputs!$K$4:$AJ$4,0))))=0,NA(),SUMPRODUCT((Inputs!$A$5:$A$110=$B9)*Inputs!$B$5:$B$110*(((Inputs!$G$5:$G$110="moeda")+(Inputs!$G$5:$G$110="acoes"))*Inputs!$B$1+((Inputs!$G$5:$G$110&lt;&gt;"moeda")*(Inputs!$G$5:$G$110&lt;&gt;"acoes")))*INDEX(Inputs!$K$5:$AJ$110,0,MATCH(AJ$2,Inputs!$K$4:$AJ$4,0)))+SUMPRODUCT((Inputs!$C$5:$C$110=$B9)*Inputs!$D$5:$D$110*(((Inputs!$G$5:$G$110="moeda")+(Inputs!$G$5:$G$110="acoes"))*Inputs!$B$1+((Inputs!$G$5:$G$110&lt;&gt;"moeda")*(Inputs!$G$5:$G$110&lt;&gt;"acoes")))*INDEX(Inputs!$K$5:$AJ$110,0,MATCH(AJ$2,Inputs!$K$4:$AJ$4,0)))+SUMPRODUCT((Inputs!$E$5:$E$110=$B9)*Inputs!$F$5:$F$110*(((Inputs!$G$5:$G$110="moeda")+(Inputs!$G$5:$G$110="acoes"))*Inputs!$B$1+((Inputs!$G$5:$G$110&lt;&gt;"moeda")*(Inputs!$G$5:$G$110&lt;&gt;"acoes")))*INDEX(Inputs!$K$5:$AJ$110,0,MATCH(AJ$2,Inputs!$K$4:$AJ$4,0)))))</f>
        <v>1792</v>
      </c>
      <c r="AK9" s="267">
        <f>IF(ISNA(MATCH(AK$2,Inputs!$K$4:$AJ$4,0)),NA(),IF(SUMPRODUCT((Inputs!$A$5:$A$110=$B9)*ISNUMBER(INDEX(Inputs!$K$5:$AJ$110,0,MATCH(AK$2,Inputs!$K$4:$AJ$4,0))))+SUMPRODUCT((Inputs!$C$5:$C$110=$B9)*ISNUMBER(INDEX(Inputs!$K$5:$AJ$110,0,MATCH(AK$2,Inputs!$K$4:$AJ$4,0))))+SUMPRODUCT((Inputs!$E$5:$E$110=$B9)*ISNUMBER(INDEX(Inputs!$K$5:$AJ$110,0,MATCH(AK$2,Inputs!$K$4:$AJ$4,0))))=0,NA(),SUMPRODUCT((Inputs!$A$5:$A$110=$B9)*Inputs!$B$5:$B$110*(((Inputs!$G$5:$G$110="moeda")+(Inputs!$G$5:$G$110="acoes"))*Inputs!$B$1+((Inputs!$G$5:$G$110&lt;&gt;"moeda")*(Inputs!$G$5:$G$110&lt;&gt;"acoes")))*INDEX(Inputs!$K$5:$AJ$110,0,MATCH(AK$2,Inputs!$K$4:$AJ$4,0)))+SUMPRODUCT((Inputs!$C$5:$C$110=$B9)*Inputs!$D$5:$D$110*(((Inputs!$G$5:$G$110="moeda")+(Inputs!$G$5:$G$110="acoes"))*Inputs!$B$1+((Inputs!$G$5:$G$110&lt;&gt;"moeda")*(Inputs!$G$5:$G$110&lt;&gt;"acoes")))*INDEX(Inputs!$K$5:$AJ$110,0,MATCH(AK$2,Inputs!$K$4:$AJ$4,0)))+SUMPRODUCT((Inputs!$E$5:$E$110=$B9)*Inputs!$F$5:$F$110*(((Inputs!$G$5:$G$110="moeda")+(Inputs!$G$5:$G$110="acoes"))*Inputs!$B$1+((Inputs!$G$5:$G$110&lt;&gt;"moeda")*(Inputs!$G$5:$G$110&lt;&gt;"acoes")))*INDEX(Inputs!$K$5:$AJ$110,0,MATCH(AK$2,Inputs!$K$4:$AJ$4,0)))))</f>
        <v>-5646</v>
      </c>
      <c r="AL9" s="268">
        <f>SUM(AH9:AK9)</f>
        <v>-8</v>
      </c>
    </row>
    <row r="10" ht="12.75" customHeight="1" s="255">
      <c r="B10" s="265" t="n">
        <v>7</v>
      </c>
      <c r="C10" s="270" t="inlineStr">
        <is>
          <t>Taxes</t>
        </is>
      </c>
      <c r="D10" s="267">
        <f>IF(ISNA(MATCH(D$2,Inputs!$K$4:$AJ$4,0)),NA(),IF(SUMPRODUCT((Inputs!$A$5:$A$110=$B10)*ISNUMBER(INDEX(Inputs!$K$5:$AJ$110,0,MATCH(D$2,Inputs!$K$4:$AJ$4,0))))+SUMPRODUCT((Inputs!$C$5:$C$110=$B10)*ISNUMBER(INDEX(Inputs!$K$5:$AJ$110,0,MATCH(D$2,Inputs!$K$4:$AJ$4,0))))+SUMPRODUCT((Inputs!$E$5:$E$110=$B10)*ISNUMBER(INDEX(Inputs!$K$5:$AJ$110,0,MATCH(D$2,Inputs!$K$4:$AJ$4,0))))=0,NA(),SUMPRODUCT((Inputs!$A$5:$A$110=$B10)*Inputs!$B$5:$B$110*(((Inputs!$G$5:$G$110="moeda")+(Inputs!$G$5:$G$110="acoes"))*Inputs!$B$1+((Inputs!$G$5:$G$110&lt;&gt;"moeda")*(Inputs!$G$5:$G$110&lt;&gt;"acoes")))*INDEX(Inputs!$K$5:$AJ$110,0,MATCH(D$2,Inputs!$K$4:$AJ$4,0)))+SUMPRODUCT((Inputs!$C$5:$C$110=$B10)*Inputs!$D$5:$D$110*(((Inputs!$G$5:$G$110="moeda")+(Inputs!$G$5:$G$110="acoes"))*Inputs!$B$1+((Inputs!$G$5:$G$110&lt;&gt;"moeda")*(Inputs!$G$5:$G$110&lt;&gt;"acoes")))*INDEX(Inputs!$K$5:$AJ$110,0,MATCH(D$2,Inputs!$K$4:$AJ$4,0)))+SUMPRODUCT((Inputs!$E$5:$E$110=$B10)*Inputs!$F$5:$F$110*(((Inputs!$G$5:$G$110="moeda")+(Inputs!$G$5:$G$110="acoes"))*Inputs!$B$1+((Inputs!$G$5:$G$110&lt;&gt;"moeda")*(Inputs!$G$5:$G$110&lt;&gt;"acoes")))*INDEX(Inputs!$K$5:$AJ$110,0,MATCH(D$2,Inputs!$K$4:$AJ$4,0)))))</f>
        <v>-1033</v>
      </c>
      <c r="E10" s="267">
        <f>IF(ISNA(MATCH(E$2,Inputs!$K$4:$AJ$4,0)),NA(),IF(SUMPRODUCT((Inputs!$A$5:$A$110=$B10)*ISNUMBER(INDEX(Inputs!$K$5:$AJ$110,0,MATCH(E$2,Inputs!$K$4:$AJ$4,0))))+SUMPRODUCT((Inputs!$C$5:$C$110=$B10)*ISNUMBER(INDEX(Inputs!$K$5:$AJ$110,0,MATCH(E$2,Inputs!$K$4:$AJ$4,0))))+SUMPRODUCT((Inputs!$E$5:$E$110=$B10)*ISNUMBER(INDEX(Inputs!$K$5:$AJ$110,0,MATCH(E$2,Inputs!$K$4:$AJ$4,0))))=0,NA(),SUMPRODUCT((Inputs!$A$5:$A$110=$B10)*Inputs!$B$5:$B$110*(((Inputs!$G$5:$G$110="moeda")+(Inputs!$G$5:$G$110="acoes"))*Inputs!$B$1+((Inputs!$G$5:$G$110&lt;&gt;"moeda")*(Inputs!$G$5:$G$110&lt;&gt;"acoes")))*INDEX(Inputs!$K$5:$AJ$110,0,MATCH(E$2,Inputs!$K$4:$AJ$4,0)))+SUMPRODUCT((Inputs!$C$5:$C$110=$B10)*Inputs!$D$5:$D$110*(((Inputs!$G$5:$G$110="moeda")+(Inputs!$G$5:$G$110="acoes"))*Inputs!$B$1+((Inputs!$G$5:$G$110&lt;&gt;"moeda")*(Inputs!$G$5:$G$110&lt;&gt;"acoes")))*INDEX(Inputs!$K$5:$AJ$110,0,MATCH(E$2,Inputs!$K$4:$AJ$4,0)))+SUMPRODUCT((Inputs!$E$5:$E$110=$B10)*Inputs!$F$5:$F$110*(((Inputs!$G$5:$G$110="moeda")+(Inputs!$G$5:$G$110="acoes"))*Inputs!$B$1+((Inputs!$G$5:$G$110&lt;&gt;"moeda")*(Inputs!$G$5:$G$110&lt;&gt;"acoes")))*INDEX(Inputs!$K$5:$AJ$110,0,MATCH(E$2,Inputs!$K$4:$AJ$4,0)))))</f>
        <v>-1559</v>
      </c>
      <c r="F10" s="267">
        <f>IF(ISNA(MATCH(F$2,Inputs!$K$4:$AJ$4,0)),NA(),IF(SUMPRODUCT((Inputs!$A$5:$A$110=$B10)*ISNUMBER(INDEX(Inputs!$K$5:$AJ$110,0,MATCH(F$2,Inputs!$K$4:$AJ$4,0))))+SUMPRODUCT((Inputs!$C$5:$C$110=$B10)*ISNUMBER(INDEX(Inputs!$K$5:$AJ$110,0,MATCH(F$2,Inputs!$K$4:$AJ$4,0))))+SUMPRODUCT((Inputs!$E$5:$E$110=$B10)*ISNUMBER(INDEX(Inputs!$K$5:$AJ$110,0,MATCH(F$2,Inputs!$K$4:$AJ$4,0))))=0,NA(),SUMPRODUCT((Inputs!$A$5:$A$110=$B10)*Inputs!$B$5:$B$110*(((Inputs!$G$5:$G$110="moeda")+(Inputs!$G$5:$G$110="acoes"))*Inputs!$B$1+((Inputs!$G$5:$G$110&lt;&gt;"moeda")*(Inputs!$G$5:$G$110&lt;&gt;"acoes")))*INDEX(Inputs!$K$5:$AJ$110,0,MATCH(F$2,Inputs!$K$4:$AJ$4,0)))+SUMPRODUCT((Inputs!$C$5:$C$110=$B10)*Inputs!$D$5:$D$110*(((Inputs!$G$5:$G$110="moeda")+(Inputs!$G$5:$G$110="acoes"))*Inputs!$B$1+((Inputs!$G$5:$G$110&lt;&gt;"moeda")*(Inputs!$G$5:$G$110&lt;&gt;"acoes")))*INDEX(Inputs!$K$5:$AJ$110,0,MATCH(F$2,Inputs!$K$4:$AJ$4,0)))+SUMPRODUCT((Inputs!$E$5:$E$110=$B10)*Inputs!$F$5:$F$110*(((Inputs!$G$5:$G$110="moeda")+(Inputs!$G$5:$G$110="acoes"))*Inputs!$B$1+((Inputs!$G$5:$G$110&lt;&gt;"moeda")*(Inputs!$G$5:$G$110&lt;&gt;"acoes")))*INDEX(Inputs!$K$5:$AJ$110,0,MATCH(F$2,Inputs!$K$4:$AJ$4,0)))))</f>
        <v>-1015</v>
      </c>
      <c r="G10" s="267">
        <f>IF(ISNA(MATCH(G$2,Inputs!$K$4:$AJ$4,0)),NA(),IF(SUMPRODUCT((Inputs!$A$5:$A$110=$B10)*ISNUMBER(INDEX(Inputs!$K$5:$AJ$110,0,MATCH(G$2,Inputs!$K$4:$AJ$4,0))))+SUMPRODUCT((Inputs!$C$5:$C$110=$B10)*ISNUMBER(INDEX(Inputs!$K$5:$AJ$110,0,MATCH(G$2,Inputs!$K$4:$AJ$4,0))))+SUMPRODUCT((Inputs!$E$5:$E$110=$B10)*ISNUMBER(INDEX(Inputs!$K$5:$AJ$110,0,MATCH(G$2,Inputs!$K$4:$AJ$4,0))))=0,NA(),SUMPRODUCT((Inputs!$A$5:$A$110=$B10)*Inputs!$B$5:$B$110*(((Inputs!$G$5:$G$110="moeda")+(Inputs!$G$5:$G$110="acoes"))*Inputs!$B$1+((Inputs!$G$5:$G$110&lt;&gt;"moeda")*(Inputs!$G$5:$G$110&lt;&gt;"acoes")))*INDEX(Inputs!$K$5:$AJ$110,0,MATCH(G$2,Inputs!$K$4:$AJ$4,0)))+SUMPRODUCT((Inputs!$C$5:$C$110=$B10)*Inputs!$D$5:$D$110*(((Inputs!$G$5:$G$110="moeda")+(Inputs!$G$5:$G$110="acoes"))*Inputs!$B$1+((Inputs!$G$5:$G$110&lt;&gt;"moeda")*(Inputs!$G$5:$G$110&lt;&gt;"acoes")))*INDEX(Inputs!$K$5:$AJ$110,0,MATCH(G$2,Inputs!$K$4:$AJ$4,0)))+SUMPRODUCT((Inputs!$E$5:$E$110=$B10)*Inputs!$F$5:$F$110*(((Inputs!$G$5:$G$110="moeda")+(Inputs!$G$5:$G$110="acoes"))*Inputs!$B$1+((Inputs!$G$5:$G$110&lt;&gt;"moeda")*(Inputs!$G$5:$G$110&lt;&gt;"acoes")))*INDEX(Inputs!$K$5:$AJ$110,0,MATCH(G$2,Inputs!$K$4:$AJ$4,0)))))</f>
        <v>-1149</v>
      </c>
      <c r="H10" s="268">
        <f>SUM(D10:G10)</f>
        <v>-4756</v>
      </c>
      <c r="I10" s="267">
        <f>IF(ISNA(MATCH(I$2,Inputs!$K$4:$AJ$4,0)),NA(),IF(SUMPRODUCT((Inputs!$A$5:$A$110=$B10)*ISNUMBER(INDEX(Inputs!$K$5:$AJ$110,0,MATCH(I$2,Inputs!$K$4:$AJ$4,0))))+SUMPRODUCT((Inputs!$C$5:$C$110=$B10)*ISNUMBER(INDEX(Inputs!$K$5:$AJ$110,0,MATCH(I$2,Inputs!$K$4:$AJ$4,0))))+SUMPRODUCT((Inputs!$E$5:$E$110=$B10)*ISNUMBER(INDEX(Inputs!$K$5:$AJ$110,0,MATCH(I$2,Inputs!$K$4:$AJ$4,0))))=0,NA(),SUMPRODUCT((Inputs!$A$5:$A$110=$B10)*Inputs!$B$5:$B$110*(((Inputs!$G$5:$G$110="moeda")+(Inputs!$G$5:$G$110="acoes"))*Inputs!$B$1+((Inputs!$G$5:$G$110&lt;&gt;"moeda")*(Inputs!$G$5:$G$110&lt;&gt;"acoes")))*INDEX(Inputs!$K$5:$AJ$110,0,MATCH(I$2,Inputs!$K$4:$AJ$4,0)))+SUMPRODUCT((Inputs!$C$5:$C$110=$B10)*Inputs!$D$5:$D$110*(((Inputs!$G$5:$G$110="moeda")+(Inputs!$G$5:$G$110="acoes"))*Inputs!$B$1+((Inputs!$G$5:$G$110&lt;&gt;"moeda")*(Inputs!$G$5:$G$110&lt;&gt;"acoes")))*INDEX(Inputs!$K$5:$AJ$110,0,MATCH(I$2,Inputs!$K$4:$AJ$4,0)))+SUMPRODUCT((Inputs!$E$5:$E$110=$B10)*Inputs!$F$5:$F$110*(((Inputs!$G$5:$G$110="moeda")+(Inputs!$G$5:$G$110="acoes"))*Inputs!$B$1+((Inputs!$G$5:$G$110&lt;&gt;"moeda")*(Inputs!$G$5:$G$110&lt;&gt;"acoes")))*INDEX(Inputs!$K$5:$AJ$110,0,MATCH(I$2,Inputs!$K$4:$AJ$4,0)))))</f>
        <v>-798</v>
      </c>
      <c r="J10" s="267">
        <f>IF(ISNA(MATCH(J$2,Inputs!$K$4:$AJ$4,0)),NA(),IF(SUMPRODUCT((Inputs!$A$5:$A$110=$B10)*ISNUMBER(INDEX(Inputs!$K$5:$AJ$110,0,MATCH(J$2,Inputs!$K$4:$AJ$4,0))))+SUMPRODUCT((Inputs!$C$5:$C$110=$B10)*ISNUMBER(INDEX(Inputs!$K$5:$AJ$110,0,MATCH(J$2,Inputs!$K$4:$AJ$4,0))))+SUMPRODUCT((Inputs!$E$5:$E$110=$B10)*ISNUMBER(INDEX(Inputs!$K$5:$AJ$110,0,MATCH(J$2,Inputs!$K$4:$AJ$4,0))))=0,NA(),SUMPRODUCT((Inputs!$A$5:$A$110=$B10)*Inputs!$B$5:$B$110*(((Inputs!$G$5:$G$110="moeda")+(Inputs!$G$5:$G$110="acoes"))*Inputs!$B$1+((Inputs!$G$5:$G$110&lt;&gt;"moeda")*(Inputs!$G$5:$G$110&lt;&gt;"acoes")))*INDEX(Inputs!$K$5:$AJ$110,0,MATCH(J$2,Inputs!$K$4:$AJ$4,0)))+SUMPRODUCT((Inputs!$C$5:$C$110=$B10)*Inputs!$D$5:$D$110*(((Inputs!$G$5:$G$110="moeda")+(Inputs!$G$5:$G$110="acoes"))*Inputs!$B$1+((Inputs!$G$5:$G$110&lt;&gt;"moeda")*(Inputs!$G$5:$G$110&lt;&gt;"acoes")))*INDEX(Inputs!$K$5:$AJ$110,0,MATCH(J$2,Inputs!$K$4:$AJ$4,0)))+SUMPRODUCT((Inputs!$E$5:$E$110=$B10)*Inputs!$F$5:$F$110*(((Inputs!$G$5:$G$110="moeda")+(Inputs!$G$5:$G$110="acoes"))*Inputs!$B$1+((Inputs!$G$5:$G$110&lt;&gt;"moeda")*(Inputs!$G$5:$G$110&lt;&gt;"acoes")))*INDEX(Inputs!$K$5:$AJ$110,0,MATCH(J$2,Inputs!$K$4:$AJ$4,0)))))</f>
        <v>-1497</v>
      </c>
      <c r="K10" s="267">
        <f>IF(ISNA(MATCH(K$2,Inputs!$K$4:$AJ$4,0)),NA(),IF(SUMPRODUCT((Inputs!$A$5:$A$110=$B10)*ISNUMBER(INDEX(Inputs!$K$5:$AJ$110,0,MATCH(K$2,Inputs!$K$4:$AJ$4,0))))+SUMPRODUCT((Inputs!$C$5:$C$110=$B10)*ISNUMBER(INDEX(Inputs!$K$5:$AJ$110,0,MATCH(K$2,Inputs!$K$4:$AJ$4,0))))+SUMPRODUCT((Inputs!$E$5:$E$110=$B10)*ISNUMBER(INDEX(Inputs!$K$5:$AJ$110,0,MATCH(K$2,Inputs!$K$4:$AJ$4,0))))=0,NA(),SUMPRODUCT((Inputs!$A$5:$A$110=$B10)*Inputs!$B$5:$B$110*(((Inputs!$G$5:$G$110="moeda")+(Inputs!$G$5:$G$110="acoes"))*Inputs!$B$1+((Inputs!$G$5:$G$110&lt;&gt;"moeda")*(Inputs!$G$5:$G$110&lt;&gt;"acoes")))*INDEX(Inputs!$K$5:$AJ$110,0,MATCH(K$2,Inputs!$K$4:$AJ$4,0)))+SUMPRODUCT((Inputs!$C$5:$C$110=$B10)*Inputs!$D$5:$D$110*(((Inputs!$G$5:$G$110="moeda")+(Inputs!$G$5:$G$110="acoes"))*Inputs!$B$1+((Inputs!$G$5:$G$110&lt;&gt;"moeda")*(Inputs!$G$5:$G$110&lt;&gt;"acoes")))*INDEX(Inputs!$K$5:$AJ$110,0,MATCH(K$2,Inputs!$K$4:$AJ$4,0)))+SUMPRODUCT((Inputs!$E$5:$E$110=$B10)*Inputs!$F$5:$F$110*(((Inputs!$G$5:$G$110="moeda")+(Inputs!$G$5:$G$110="acoes"))*Inputs!$B$1+((Inputs!$G$5:$G$110&lt;&gt;"moeda")*(Inputs!$G$5:$G$110&lt;&gt;"acoes")))*INDEX(Inputs!$K$5:$AJ$110,0,MATCH(K$2,Inputs!$K$4:$AJ$4,0)))))</f>
        <v>-336</v>
      </c>
      <c r="L10" s="267">
        <f>IF(ISNA(MATCH(L$2,Inputs!$K$4:$AJ$4,0)),NA(),IF(SUMPRODUCT((Inputs!$A$5:$A$110=$B10)*ISNUMBER(INDEX(Inputs!$K$5:$AJ$110,0,MATCH(L$2,Inputs!$K$4:$AJ$4,0))))+SUMPRODUCT((Inputs!$C$5:$C$110=$B10)*ISNUMBER(INDEX(Inputs!$K$5:$AJ$110,0,MATCH(L$2,Inputs!$K$4:$AJ$4,0))))+SUMPRODUCT((Inputs!$E$5:$E$110=$B10)*ISNUMBER(INDEX(Inputs!$K$5:$AJ$110,0,MATCH(L$2,Inputs!$K$4:$AJ$4,0))))=0,NA(),SUMPRODUCT((Inputs!$A$5:$A$110=$B10)*Inputs!$B$5:$B$110*(((Inputs!$G$5:$G$110="moeda")+(Inputs!$G$5:$G$110="acoes"))*Inputs!$B$1+((Inputs!$G$5:$G$110&lt;&gt;"moeda")*(Inputs!$G$5:$G$110&lt;&gt;"acoes")))*INDEX(Inputs!$K$5:$AJ$110,0,MATCH(L$2,Inputs!$K$4:$AJ$4,0)))+SUMPRODUCT((Inputs!$C$5:$C$110=$B10)*Inputs!$D$5:$D$110*(((Inputs!$G$5:$G$110="moeda")+(Inputs!$G$5:$G$110="acoes"))*Inputs!$B$1+((Inputs!$G$5:$G$110&lt;&gt;"moeda")*(Inputs!$G$5:$G$110&lt;&gt;"acoes")))*INDEX(Inputs!$K$5:$AJ$110,0,MATCH(L$2,Inputs!$K$4:$AJ$4,0)))+SUMPRODUCT((Inputs!$E$5:$E$110=$B10)*Inputs!$F$5:$F$110*(((Inputs!$G$5:$G$110="moeda")+(Inputs!$G$5:$G$110="acoes"))*Inputs!$B$1+((Inputs!$G$5:$G$110&lt;&gt;"moeda")*(Inputs!$G$5:$G$110&lt;&gt;"acoes")))*INDEX(Inputs!$K$5:$AJ$110,0,MATCH(L$2,Inputs!$K$4:$AJ$4,0)))))</f>
        <v>-3093</v>
      </c>
      <c r="M10" s="268">
        <f>SUM(I10:L10)</f>
        <v>-5724</v>
      </c>
      <c r="N10" s="267">
        <f>IF(ISNA(MATCH(N$2,Inputs!$K$4:$AJ$4,0)),NA(),IF(SUMPRODUCT((Inputs!$A$5:$A$110=$B10)*ISNUMBER(INDEX(Inputs!$K$5:$AJ$110,0,MATCH(N$2,Inputs!$K$4:$AJ$4,0))))+SUMPRODUCT((Inputs!$C$5:$C$110=$B10)*ISNUMBER(INDEX(Inputs!$K$5:$AJ$110,0,MATCH(N$2,Inputs!$K$4:$AJ$4,0))))+SUMPRODUCT((Inputs!$E$5:$E$110=$B10)*ISNUMBER(INDEX(Inputs!$K$5:$AJ$110,0,MATCH(N$2,Inputs!$K$4:$AJ$4,0))))=0,NA(),SUMPRODUCT((Inputs!$A$5:$A$110=$B10)*Inputs!$B$5:$B$110*(((Inputs!$G$5:$G$110="moeda")+(Inputs!$G$5:$G$110="acoes"))*Inputs!$B$1+((Inputs!$G$5:$G$110&lt;&gt;"moeda")*(Inputs!$G$5:$G$110&lt;&gt;"acoes")))*INDEX(Inputs!$K$5:$AJ$110,0,MATCH(N$2,Inputs!$K$4:$AJ$4,0)))+SUMPRODUCT((Inputs!$C$5:$C$110=$B10)*Inputs!$D$5:$D$110*(((Inputs!$G$5:$G$110="moeda")+(Inputs!$G$5:$G$110="acoes"))*Inputs!$B$1+((Inputs!$G$5:$G$110&lt;&gt;"moeda")*(Inputs!$G$5:$G$110&lt;&gt;"acoes")))*INDEX(Inputs!$K$5:$AJ$110,0,MATCH(N$2,Inputs!$K$4:$AJ$4,0)))+SUMPRODUCT((Inputs!$E$5:$E$110=$B10)*Inputs!$F$5:$F$110*(((Inputs!$G$5:$G$110="moeda")+(Inputs!$G$5:$G$110="acoes"))*Inputs!$B$1+((Inputs!$G$5:$G$110&lt;&gt;"moeda")*(Inputs!$G$5:$G$110&lt;&gt;"acoes")))*INDEX(Inputs!$K$5:$AJ$110,0,MATCH(N$2,Inputs!$K$4:$AJ$4,0)))))</f>
        <v>-792</v>
      </c>
      <c r="O10" s="267">
        <f>IF(ISNA(MATCH(O$2,Inputs!$K$4:$AJ$4,0)),NA(),IF(SUMPRODUCT((Inputs!$A$5:$A$110=$B10)*ISNUMBER(INDEX(Inputs!$K$5:$AJ$110,0,MATCH(O$2,Inputs!$K$4:$AJ$4,0))))+SUMPRODUCT((Inputs!$C$5:$C$110=$B10)*ISNUMBER(INDEX(Inputs!$K$5:$AJ$110,0,MATCH(O$2,Inputs!$K$4:$AJ$4,0))))+SUMPRODUCT((Inputs!$E$5:$E$110=$B10)*ISNUMBER(INDEX(Inputs!$K$5:$AJ$110,0,MATCH(O$2,Inputs!$K$4:$AJ$4,0))))=0,NA(),SUMPRODUCT((Inputs!$A$5:$A$110=$B10)*Inputs!$B$5:$B$110*(((Inputs!$G$5:$G$110="moeda")+(Inputs!$G$5:$G$110="acoes"))*Inputs!$B$1+((Inputs!$G$5:$G$110&lt;&gt;"moeda")*(Inputs!$G$5:$G$110&lt;&gt;"acoes")))*INDEX(Inputs!$K$5:$AJ$110,0,MATCH(O$2,Inputs!$K$4:$AJ$4,0)))+SUMPRODUCT((Inputs!$C$5:$C$110=$B10)*Inputs!$D$5:$D$110*(((Inputs!$G$5:$G$110="moeda")+(Inputs!$G$5:$G$110="acoes"))*Inputs!$B$1+((Inputs!$G$5:$G$110&lt;&gt;"moeda")*(Inputs!$G$5:$G$110&lt;&gt;"acoes")))*INDEX(Inputs!$K$5:$AJ$110,0,MATCH(O$2,Inputs!$K$4:$AJ$4,0)))+SUMPRODUCT((Inputs!$E$5:$E$110=$B10)*Inputs!$F$5:$F$110*(((Inputs!$G$5:$G$110="moeda")+(Inputs!$G$5:$G$110="acoes"))*Inputs!$B$1+((Inputs!$G$5:$G$110&lt;&gt;"moeda")*(Inputs!$G$5:$G$110&lt;&gt;"acoes")))*INDEX(Inputs!$K$5:$AJ$110,0,MATCH(O$2,Inputs!$K$4:$AJ$4,0)))))</f>
        <v>-2674</v>
      </c>
      <c r="P10" s="267">
        <f>IF(ISNA(MATCH(P$2,Inputs!$K$4:$AJ$4,0)),NA(),IF(SUMPRODUCT((Inputs!$A$5:$A$110=$B10)*ISNUMBER(INDEX(Inputs!$K$5:$AJ$110,0,MATCH(P$2,Inputs!$K$4:$AJ$4,0))))+SUMPRODUCT((Inputs!$C$5:$C$110=$B10)*ISNUMBER(INDEX(Inputs!$K$5:$AJ$110,0,MATCH(P$2,Inputs!$K$4:$AJ$4,0))))+SUMPRODUCT((Inputs!$E$5:$E$110=$B10)*ISNUMBER(INDEX(Inputs!$K$5:$AJ$110,0,MATCH(P$2,Inputs!$K$4:$AJ$4,0))))=0,NA(),SUMPRODUCT((Inputs!$A$5:$A$110=$B10)*Inputs!$B$5:$B$110*(((Inputs!$G$5:$G$110="moeda")+(Inputs!$G$5:$G$110="acoes"))*Inputs!$B$1+((Inputs!$G$5:$G$110&lt;&gt;"moeda")*(Inputs!$G$5:$G$110&lt;&gt;"acoes")))*INDEX(Inputs!$K$5:$AJ$110,0,MATCH(P$2,Inputs!$K$4:$AJ$4,0)))+SUMPRODUCT((Inputs!$C$5:$C$110=$B10)*Inputs!$D$5:$D$110*(((Inputs!$G$5:$G$110="moeda")+(Inputs!$G$5:$G$110="acoes"))*Inputs!$B$1+((Inputs!$G$5:$G$110&lt;&gt;"moeda")*(Inputs!$G$5:$G$110&lt;&gt;"acoes")))*INDEX(Inputs!$K$5:$AJ$110,0,MATCH(P$2,Inputs!$K$4:$AJ$4,0)))+SUMPRODUCT((Inputs!$E$5:$E$110=$B10)*Inputs!$F$5:$F$110*(((Inputs!$G$5:$G$110="moeda")+(Inputs!$G$5:$G$110="acoes"))*Inputs!$B$1+((Inputs!$G$5:$G$110&lt;&gt;"moeda")*(Inputs!$G$5:$G$110&lt;&gt;"acoes")))*INDEX(Inputs!$K$5:$AJ$110,0,MATCH(P$2,Inputs!$K$4:$AJ$4,0)))))</f>
        <v>-272</v>
      </c>
      <c r="Q10" s="267">
        <f>IF(ISNA(MATCH(Q$2,Inputs!$K$4:$AJ$4,0)),NA(),IF(SUMPRODUCT((Inputs!$A$5:$A$110=$B10)*ISNUMBER(INDEX(Inputs!$K$5:$AJ$110,0,MATCH(Q$2,Inputs!$K$4:$AJ$4,0))))+SUMPRODUCT((Inputs!$C$5:$C$110=$B10)*ISNUMBER(INDEX(Inputs!$K$5:$AJ$110,0,MATCH(Q$2,Inputs!$K$4:$AJ$4,0))))+SUMPRODUCT((Inputs!$E$5:$E$110=$B10)*ISNUMBER(INDEX(Inputs!$K$5:$AJ$110,0,MATCH(Q$2,Inputs!$K$4:$AJ$4,0))))=0,NA(),SUMPRODUCT((Inputs!$A$5:$A$110=$B10)*Inputs!$B$5:$B$110*(((Inputs!$G$5:$G$110="moeda")+(Inputs!$G$5:$G$110="acoes"))*Inputs!$B$1+((Inputs!$G$5:$G$110&lt;&gt;"moeda")*(Inputs!$G$5:$G$110&lt;&gt;"acoes")))*INDEX(Inputs!$K$5:$AJ$110,0,MATCH(Q$2,Inputs!$K$4:$AJ$4,0)))+SUMPRODUCT((Inputs!$C$5:$C$110=$B10)*Inputs!$D$5:$D$110*(((Inputs!$G$5:$G$110="moeda")+(Inputs!$G$5:$G$110="acoes"))*Inputs!$B$1+((Inputs!$G$5:$G$110&lt;&gt;"moeda")*(Inputs!$G$5:$G$110&lt;&gt;"acoes")))*INDEX(Inputs!$K$5:$AJ$110,0,MATCH(Q$2,Inputs!$K$4:$AJ$4,0)))+SUMPRODUCT((Inputs!$E$5:$E$110=$B10)*Inputs!$F$5:$F$110*(((Inputs!$G$5:$G$110="moeda")+(Inputs!$G$5:$G$110="acoes"))*Inputs!$B$1+((Inputs!$G$5:$G$110&lt;&gt;"moeda")*(Inputs!$G$5:$G$110&lt;&gt;"acoes")))*INDEX(Inputs!$K$5:$AJ$110,0,MATCH(Q$2,Inputs!$K$4:$AJ$4,0)))))</f>
        <v>-1840</v>
      </c>
      <c r="R10" s="268">
        <f>SUM(N10:Q10)</f>
        <v>-5578</v>
      </c>
      <c r="S10" s="267">
        <f>IF(ISNA(MATCH(S$2,Inputs!$K$4:$AJ$4,0)),NA(),IF(SUMPRODUCT((Inputs!$A$5:$A$110=$B10)*ISNUMBER(INDEX(Inputs!$K$5:$AJ$110,0,MATCH(S$2,Inputs!$K$4:$AJ$4,0))))+SUMPRODUCT((Inputs!$C$5:$C$110=$B10)*ISNUMBER(INDEX(Inputs!$K$5:$AJ$110,0,MATCH(S$2,Inputs!$K$4:$AJ$4,0))))+SUMPRODUCT((Inputs!$E$5:$E$110=$B10)*ISNUMBER(INDEX(Inputs!$K$5:$AJ$110,0,MATCH(S$2,Inputs!$K$4:$AJ$4,0))))=0,NA(),SUMPRODUCT((Inputs!$A$5:$A$110=$B10)*Inputs!$B$5:$B$110*(((Inputs!$G$5:$G$110="moeda")+(Inputs!$G$5:$G$110="acoes"))*Inputs!$B$1+((Inputs!$G$5:$G$110&lt;&gt;"moeda")*(Inputs!$G$5:$G$110&lt;&gt;"acoes")))*INDEX(Inputs!$K$5:$AJ$110,0,MATCH(S$2,Inputs!$K$4:$AJ$4,0)))+SUMPRODUCT((Inputs!$C$5:$C$110=$B10)*Inputs!$D$5:$D$110*(((Inputs!$G$5:$G$110="moeda")+(Inputs!$G$5:$G$110="acoes"))*Inputs!$B$1+((Inputs!$G$5:$G$110&lt;&gt;"moeda")*(Inputs!$G$5:$G$110&lt;&gt;"acoes")))*INDEX(Inputs!$K$5:$AJ$110,0,MATCH(S$2,Inputs!$K$4:$AJ$4,0)))+SUMPRODUCT((Inputs!$E$5:$E$110=$B10)*Inputs!$F$5:$F$110*(((Inputs!$G$5:$G$110="moeda")+(Inputs!$G$5:$G$110="acoes"))*Inputs!$B$1+((Inputs!$G$5:$G$110&lt;&gt;"moeda")*(Inputs!$G$5:$G$110&lt;&gt;"acoes")))*INDEX(Inputs!$K$5:$AJ$110,0,MATCH(S$2,Inputs!$K$4:$AJ$4,0)))))</f>
        <v>-1728</v>
      </c>
      <c r="T10" s="267">
        <f>IF(ISNA(MATCH(T$2,Inputs!$K$4:$AJ$4,0)),NA(),IF(SUMPRODUCT((Inputs!$A$5:$A$110=$B10)*ISNUMBER(INDEX(Inputs!$K$5:$AJ$110,0,MATCH(T$2,Inputs!$K$4:$AJ$4,0))))+SUMPRODUCT((Inputs!$C$5:$C$110=$B10)*ISNUMBER(INDEX(Inputs!$K$5:$AJ$110,0,MATCH(T$2,Inputs!$K$4:$AJ$4,0))))+SUMPRODUCT((Inputs!$E$5:$E$110=$B10)*ISNUMBER(INDEX(Inputs!$K$5:$AJ$110,0,MATCH(T$2,Inputs!$K$4:$AJ$4,0))))=0,NA(),SUMPRODUCT((Inputs!$A$5:$A$110=$B10)*Inputs!$B$5:$B$110*(((Inputs!$G$5:$G$110="moeda")+(Inputs!$G$5:$G$110="acoes"))*Inputs!$B$1+((Inputs!$G$5:$G$110&lt;&gt;"moeda")*(Inputs!$G$5:$G$110&lt;&gt;"acoes")))*INDEX(Inputs!$K$5:$AJ$110,0,MATCH(T$2,Inputs!$K$4:$AJ$4,0)))+SUMPRODUCT((Inputs!$C$5:$C$110=$B10)*Inputs!$D$5:$D$110*(((Inputs!$G$5:$G$110="moeda")+(Inputs!$G$5:$G$110="acoes"))*Inputs!$B$1+((Inputs!$G$5:$G$110&lt;&gt;"moeda")*(Inputs!$G$5:$G$110&lt;&gt;"acoes")))*INDEX(Inputs!$K$5:$AJ$110,0,MATCH(T$2,Inputs!$K$4:$AJ$4,0)))+SUMPRODUCT((Inputs!$E$5:$E$110=$B10)*Inputs!$F$5:$F$110*(((Inputs!$G$5:$G$110="moeda")+(Inputs!$G$5:$G$110="acoes"))*Inputs!$B$1+((Inputs!$G$5:$G$110&lt;&gt;"moeda")*(Inputs!$G$5:$G$110&lt;&gt;"acoes")))*INDEX(Inputs!$K$5:$AJ$110,0,MATCH(T$2,Inputs!$K$4:$AJ$4,0)))))</f>
        <v>-1502</v>
      </c>
      <c r="U10" s="267">
        <f>IF(ISNA(MATCH(U$2,Inputs!$K$4:$AJ$4,0)),NA(),IF(SUMPRODUCT((Inputs!$A$5:$A$110=$B10)*ISNUMBER(INDEX(Inputs!$K$5:$AJ$110,0,MATCH(U$2,Inputs!$K$4:$AJ$4,0))))+SUMPRODUCT((Inputs!$C$5:$C$110=$B10)*ISNUMBER(INDEX(Inputs!$K$5:$AJ$110,0,MATCH(U$2,Inputs!$K$4:$AJ$4,0))))+SUMPRODUCT((Inputs!$E$5:$E$110=$B10)*ISNUMBER(INDEX(Inputs!$K$5:$AJ$110,0,MATCH(U$2,Inputs!$K$4:$AJ$4,0))))=0,NA(),SUMPRODUCT((Inputs!$A$5:$A$110=$B10)*Inputs!$B$5:$B$110*(((Inputs!$G$5:$G$110="moeda")+(Inputs!$G$5:$G$110="acoes"))*Inputs!$B$1+((Inputs!$G$5:$G$110&lt;&gt;"moeda")*(Inputs!$G$5:$G$110&lt;&gt;"acoes")))*INDEX(Inputs!$K$5:$AJ$110,0,MATCH(U$2,Inputs!$K$4:$AJ$4,0)))+SUMPRODUCT((Inputs!$C$5:$C$110=$B10)*Inputs!$D$5:$D$110*(((Inputs!$G$5:$G$110="moeda")+(Inputs!$G$5:$G$110="acoes"))*Inputs!$B$1+((Inputs!$G$5:$G$110&lt;&gt;"moeda")*(Inputs!$G$5:$G$110&lt;&gt;"acoes")))*INDEX(Inputs!$K$5:$AJ$110,0,MATCH(U$2,Inputs!$K$4:$AJ$4,0)))+SUMPRODUCT((Inputs!$E$5:$E$110=$B10)*Inputs!$F$5:$F$110*(((Inputs!$G$5:$G$110="moeda")+(Inputs!$G$5:$G$110="acoes"))*Inputs!$B$1+((Inputs!$G$5:$G$110&lt;&gt;"moeda")*(Inputs!$G$5:$G$110&lt;&gt;"acoes")))*INDEX(Inputs!$K$5:$AJ$110,0,MATCH(U$2,Inputs!$K$4:$AJ$4,0)))))</f>
        <v>-1384</v>
      </c>
      <c r="V10" s="267">
        <f>IF(ISNA(MATCH(V$2,Inputs!$K$4:$AJ$4,0)),NA(),IF(SUMPRODUCT((Inputs!$A$5:$A$110=$B10)*ISNUMBER(INDEX(Inputs!$K$5:$AJ$110,0,MATCH(V$2,Inputs!$K$4:$AJ$4,0))))+SUMPRODUCT((Inputs!$C$5:$C$110=$B10)*ISNUMBER(INDEX(Inputs!$K$5:$AJ$110,0,MATCH(V$2,Inputs!$K$4:$AJ$4,0))))+SUMPRODUCT((Inputs!$E$5:$E$110=$B10)*ISNUMBER(INDEX(Inputs!$K$5:$AJ$110,0,MATCH(V$2,Inputs!$K$4:$AJ$4,0))))=0,NA(),SUMPRODUCT((Inputs!$A$5:$A$110=$B10)*Inputs!$B$5:$B$110*(((Inputs!$G$5:$G$110="moeda")+(Inputs!$G$5:$G$110="acoes"))*Inputs!$B$1+((Inputs!$G$5:$G$110&lt;&gt;"moeda")*(Inputs!$G$5:$G$110&lt;&gt;"acoes")))*INDEX(Inputs!$K$5:$AJ$110,0,MATCH(V$2,Inputs!$K$4:$AJ$4,0)))+SUMPRODUCT((Inputs!$C$5:$C$110=$B10)*Inputs!$D$5:$D$110*(((Inputs!$G$5:$G$110="moeda")+(Inputs!$G$5:$G$110="acoes"))*Inputs!$B$1+((Inputs!$G$5:$G$110&lt;&gt;"moeda")*(Inputs!$G$5:$G$110&lt;&gt;"acoes")))*INDEX(Inputs!$K$5:$AJ$110,0,MATCH(V$2,Inputs!$K$4:$AJ$4,0)))+SUMPRODUCT((Inputs!$E$5:$E$110=$B10)*Inputs!$F$5:$F$110*(((Inputs!$G$5:$G$110="moeda")+(Inputs!$G$5:$G$110="acoes"))*Inputs!$B$1+((Inputs!$G$5:$G$110&lt;&gt;"moeda")*(Inputs!$G$5:$G$110&lt;&gt;"acoes")))*INDEX(Inputs!$K$5:$AJ$110,0,MATCH(V$2,Inputs!$K$4:$AJ$4,0)))))</f>
        <v>-1538</v>
      </c>
      <c r="W10" s="268">
        <f>SUM(S10:V10)</f>
        <v>-6152</v>
      </c>
      <c r="X10" s="267">
        <f>IF(ISNA(MATCH(X$2,Inputs!$K$4:$AJ$4,0)),NA(),IF(SUMPRODUCT((Inputs!$A$5:$A$110=$B10)*ISNUMBER(INDEX(Inputs!$K$5:$AJ$110,0,MATCH(X$2,Inputs!$K$4:$AJ$4,0))))+SUMPRODUCT((Inputs!$C$5:$C$110=$B10)*ISNUMBER(INDEX(Inputs!$K$5:$AJ$110,0,MATCH(X$2,Inputs!$K$4:$AJ$4,0))))+SUMPRODUCT((Inputs!$E$5:$E$110=$B10)*ISNUMBER(INDEX(Inputs!$K$5:$AJ$110,0,MATCH(X$2,Inputs!$K$4:$AJ$4,0))))=0,NA(),SUMPRODUCT((Inputs!$A$5:$A$110=$B10)*Inputs!$B$5:$B$110*(((Inputs!$G$5:$G$110="moeda")+(Inputs!$G$5:$G$110="acoes"))*Inputs!$B$1+((Inputs!$G$5:$G$110&lt;&gt;"moeda")*(Inputs!$G$5:$G$110&lt;&gt;"acoes")))*INDEX(Inputs!$K$5:$AJ$110,0,MATCH(X$2,Inputs!$K$4:$AJ$4,0)))+SUMPRODUCT((Inputs!$C$5:$C$110=$B10)*Inputs!$D$5:$D$110*(((Inputs!$G$5:$G$110="moeda")+(Inputs!$G$5:$G$110="acoes"))*Inputs!$B$1+((Inputs!$G$5:$G$110&lt;&gt;"moeda")*(Inputs!$G$5:$G$110&lt;&gt;"acoes")))*INDEX(Inputs!$K$5:$AJ$110,0,MATCH(X$2,Inputs!$K$4:$AJ$4,0)))+SUMPRODUCT((Inputs!$E$5:$E$110=$B10)*Inputs!$F$5:$F$110*(((Inputs!$G$5:$G$110="moeda")+(Inputs!$G$5:$G$110="acoes"))*Inputs!$B$1+((Inputs!$G$5:$G$110&lt;&gt;"moeda")*(Inputs!$G$5:$G$110&lt;&gt;"acoes")))*INDEX(Inputs!$K$5:$AJ$110,0,MATCH(X$2,Inputs!$K$4:$AJ$4,0)))))</f>
        <v>-1355</v>
      </c>
      <c r="Y10" s="267">
        <f>IF(ISNA(MATCH(Y$2,Inputs!$K$4:$AJ$4,0)),NA(),IF(SUMPRODUCT((Inputs!$A$5:$A$110=$B10)*ISNUMBER(INDEX(Inputs!$K$5:$AJ$110,0,MATCH(Y$2,Inputs!$K$4:$AJ$4,0))))+SUMPRODUCT((Inputs!$C$5:$C$110=$B10)*ISNUMBER(INDEX(Inputs!$K$5:$AJ$110,0,MATCH(Y$2,Inputs!$K$4:$AJ$4,0))))+SUMPRODUCT((Inputs!$E$5:$E$110=$B10)*ISNUMBER(INDEX(Inputs!$K$5:$AJ$110,0,MATCH(Y$2,Inputs!$K$4:$AJ$4,0))))=0,NA(),SUMPRODUCT((Inputs!$A$5:$A$110=$B10)*Inputs!$B$5:$B$110*(((Inputs!$G$5:$G$110="moeda")+(Inputs!$G$5:$G$110="acoes"))*Inputs!$B$1+((Inputs!$G$5:$G$110&lt;&gt;"moeda")*(Inputs!$G$5:$G$110&lt;&gt;"acoes")))*INDEX(Inputs!$K$5:$AJ$110,0,MATCH(Y$2,Inputs!$K$4:$AJ$4,0)))+SUMPRODUCT((Inputs!$C$5:$C$110=$B10)*Inputs!$D$5:$D$110*(((Inputs!$G$5:$G$110="moeda")+(Inputs!$G$5:$G$110="acoes"))*Inputs!$B$1+((Inputs!$G$5:$G$110&lt;&gt;"moeda")*(Inputs!$G$5:$G$110&lt;&gt;"acoes")))*INDEX(Inputs!$K$5:$AJ$110,0,MATCH(Y$2,Inputs!$K$4:$AJ$4,0)))+SUMPRODUCT((Inputs!$E$5:$E$110=$B10)*Inputs!$F$5:$F$110*(((Inputs!$G$5:$G$110="moeda")+(Inputs!$G$5:$G$110="acoes"))*Inputs!$B$1+((Inputs!$G$5:$G$110&lt;&gt;"moeda")*(Inputs!$G$5:$G$110&lt;&gt;"acoes")))*INDEX(Inputs!$K$5:$AJ$110,0,MATCH(Y$2,Inputs!$K$4:$AJ$4,0)))))</f>
        <v>-2168</v>
      </c>
      <c r="Z10" s="267">
        <f>IF(ISNA(MATCH(Z$2,Inputs!$K$4:$AJ$4,0)),NA(),IF(SUMPRODUCT((Inputs!$A$5:$A$110=$B10)*ISNUMBER(INDEX(Inputs!$K$5:$AJ$110,0,MATCH(Z$2,Inputs!$K$4:$AJ$4,0))))+SUMPRODUCT((Inputs!$C$5:$C$110=$B10)*ISNUMBER(INDEX(Inputs!$K$5:$AJ$110,0,MATCH(Z$2,Inputs!$K$4:$AJ$4,0))))+SUMPRODUCT((Inputs!$E$5:$E$110=$B10)*ISNUMBER(INDEX(Inputs!$K$5:$AJ$110,0,MATCH(Z$2,Inputs!$K$4:$AJ$4,0))))=0,NA(),SUMPRODUCT((Inputs!$A$5:$A$110=$B10)*Inputs!$B$5:$B$110*(((Inputs!$G$5:$G$110="moeda")+(Inputs!$G$5:$G$110="acoes"))*Inputs!$B$1+((Inputs!$G$5:$G$110&lt;&gt;"moeda")*(Inputs!$G$5:$G$110&lt;&gt;"acoes")))*INDEX(Inputs!$K$5:$AJ$110,0,MATCH(Z$2,Inputs!$K$4:$AJ$4,0)))+SUMPRODUCT((Inputs!$C$5:$C$110=$B10)*Inputs!$D$5:$D$110*(((Inputs!$G$5:$G$110="moeda")+(Inputs!$G$5:$G$110="acoes"))*Inputs!$B$1+((Inputs!$G$5:$G$110&lt;&gt;"moeda")*(Inputs!$G$5:$G$110&lt;&gt;"acoes")))*INDEX(Inputs!$K$5:$AJ$110,0,MATCH(Z$2,Inputs!$K$4:$AJ$4,0)))+SUMPRODUCT((Inputs!$E$5:$E$110=$B10)*Inputs!$F$5:$F$110*(((Inputs!$G$5:$G$110="moeda")+(Inputs!$G$5:$G$110="acoes"))*Inputs!$B$1+((Inputs!$G$5:$G$110&lt;&gt;"moeda")*(Inputs!$G$5:$G$110&lt;&gt;"acoes")))*INDEX(Inputs!$K$5:$AJ$110,0,MATCH(Z$2,Inputs!$K$4:$AJ$4,0)))))</f>
        <v>-2098</v>
      </c>
      <c r="AA10" s="267">
        <f>IF(ISNA(MATCH(AA$2,Inputs!$K$4:$AJ$4,0)),NA(),IF(SUMPRODUCT((Inputs!$A$5:$A$110=$B10)*ISNUMBER(INDEX(Inputs!$K$5:$AJ$110,0,MATCH(AA$2,Inputs!$K$4:$AJ$4,0))))+SUMPRODUCT((Inputs!$C$5:$C$110=$B10)*ISNUMBER(INDEX(Inputs!$K$5:$AJ$110,0,MATCH(AA$2,Inputs!$K$4:$AJ$4,0))))+SUMPRODUCT((Inputs!$E$5:$E$110=$B10)*ISNUMBER(INDEX(Inputs!$K$5:$AJ$110,0,MATCH(AA$2,Inputs!$K$4:$AJ$4,0))))=0,NA(),SUMPRODUCT((Inputs!$A$5:$A$110=$B10)*Inputs!$B$5:$B$110*(((Inputs!$G$5:$G$110="moeda")+(Inputs!$G$5:$G$110="acoes"))*Inputs!$B$1+((Inputs!$G$5:$G$110&lt;&gt;"moeda")*(Inputs!$G$5:$G$110&lt;&gt;"acoes")))*INDEX(Inputs!$K$5:$AJ$110,0,MATCH(AA$2,Inputs!$K$4:$AJ$4,0)))+SUMPRODUCT((Inputs!$C$5:$C$110=$B10)*Inputs!$D$5:$D$110*(((Inputs!$G$5:$G$110="moeda")+(Inputs!$G$5:$G$110="acoes"))*Inputs!$B$1+((Inputs!$G$5:$G$110&lt;&gt;"moeda")*(Inputs!$G$5:$G$110&lt;&gt;"acoes")))*INDEX(Inputs!$K$5:$AJ$110,0,MATCH(AA$2,Inputs!$K$4:$AJ$4,0)))+SUMPRODUCT((Inputs!$E$5:$E$110=$B10)*Inputs!$F$5:$F$110*(((Inputs!$G$5:$G$110="moeda")+(Inputs!$G$5:$G$110="acoes"))*Inputs!$B$1+((Inputs!$G$5:$G$110&lt;&gt;"moeda")*(Inputs!$G$5:$G$110&lt;&gt;"acoes")))*INDEX(Inputs!$K$5:$AJ$110,0,MATCH(AA$2,Inputs!$K$4:$AJ$4,0)))))</f>
        <v>-1578</v>
      </c>
      <c r="AB10" s="268">
        <f>SUM(X10:AA10)</f>
        <v>-7199</v>
      </c>
      <c r="AC10" s="267">
        <f>IF(ISNA(MATCH(AC$2,Inputs!$K$4:$AJ$4,0)),NA(),IF(SUMPRODUCT((Inputs!$A$5:$A$110=$B10)*ISNUMBER(INDEX(Inputs!$K$5:$AJ$110,0,MATCH(AC$2,Inputs!$K$4:$AJ$4,0))))+SUMPRODUCT((Inputs!$C$5:$C$110=$B10)*ISNUMBER(INDEX(Inputs!$K$5:$AJ$110,0,MATCH(AC$2,Inputs!$K$4:$AJ$4,0))))+SUMPRODUCT((Inputs!$E$5:$E$110=$B10)*ISNUMBER(INDEX(Inputs!$K$5:$AJ$110,0,MATCH(AC$2,Inputs!$K$4:$AJ$4,0))))=0,NA(),SUMPRODUCT((Inputs!$A$5:$A$110=$B10)*Inputs!$B$5:$B$110*(((Inputs!$G$5:$G$110="moeda")+(Inputs!$G$5:$G$110="acoes"))*Inputs!$B$1+((Inputs!$G$5:$G$110&lt;&gt;"moeda")*(Inputs!$G$5:$G$110&lt;&gt;"acoes")))*INDEX(Inputs!$K$5:$AJ$110,0,MATCH(AC$2,Inputs!$K$4:$AJ$4,0)))+SUMPRODUCT((Inputs!$C$5:$C$110=$B10)*Inputs!$D$5:$D$110*(((Inputs!$G$5:$G$110="moeda")+(Inputs!$G$5:$G$110="acoes"))*Inputs!$B$1+((Inputs!$G$5:$G$110&lt;&gt;"moeda")*(Inputs!$G$5:$G$110&lt;&gt;"acoes")))*INDEX(Inputs!$K$5:$AJ$110,0,MATCH(AC$2,Inputs!$K$4:$AJ$4,0)))+SUMPRODUCT((Inputs!$E$5:$E$110=$B10)*Inputs!$F$5:$F$110*(((Inputs!$G$5:$G$110="moeda")+(Inputs!$G$5:$G$110="acoes"))*Inputs!$B$1+((Inputs!$G$5:$G$110&lt;&gt;"moeda")*(Inputs!$G$5:$G$110&lt;&gt;"acoes")))*INDEX(Inputs!$K$5:$AJ$110,0,MATCH(AC$2,Inputs!$K$4:$AJ$4,0)))))</f>
        <v>-1658</v>
      </c>
      <c r="AD10" s="267">
        <f>IF(ISNA(MATCH(AD$2,Inputs!$K$4:$AJ$4,0)),NA(),IF(SUMPRODUCT((Inputs!$A$5:$A$110=$B10)*ISNUMBER(INDEX(Inputs!$K$5:$AJ$110,0,MATCH(AD$2,Inputs!$K$4:$AJ$4,0))))+SUMPRODUCT((Inputs!$C$5:$C$110=$B10)*ISNUMBER(INDEX(Inputs!$K$5:$AJ$110,0,MATCH(AD$2,Inputs!$K$4:$AJ$4,0))))+SUMPRODUCT((Inputs!$E$5:$E$110=$B10)*ISNUMBER(INDEX(Inputs!$K$5:$AJ$110,0,MATCH(AD$2,Inputs!$K$4:$AJ$4,0))))=0,NA(),SUMPRODUCT((Inputs!$A$5:$A$110=$B10)*Inputs!$B$5:$B$110*(((Inputs!$G$5:$G$110="moeda")+(Inputs!$G$5:$G$110="acoes"))*Inputs!$B$1+((Inputs!$G$5:$G$110&lt;&gt;"moeda")*(Inputs!$G$5:$G$110&lt;&gt;"acoes")))*INDEX(Inputs!$K$5:$AJ$110,0,MATCH(AD$2,Inputs!$K$4:$AJ$4,0)))+SUMPRODUCT((Inputs!$C$5:$C$110=$B10)*Inputs!$D$5:$D$110*(((Inputs!$G$5:$G$110="moeda")+(Inputs!$G$5:$G$110="acoes"))*Inputs!$B$1+((Inputs!$G$5:$G$110&lt;&gt;"moeda")*(Inputs!$G$5:$G$110&lt;&gt;"acoes")))*INDEX(Inputs!$K$5:$AJ$110,0,MATCH(AD$2,Inputs!$K$4:$AJ$4,0)))+SUMPRODUCT((Inputs!$E$5:$E$110=$B10)*Inputs!$F$5:$F$110*(((Inputs!$G$5:$G$110="moeda")+(Inputs!$G$5:$G$110="acoes"))*Inputs!$B$1+((Inputs!$G$5:$G$110&lt;&gt;"moeda")*(Inputs!$G$5:$G$110&lt;&gt;"acoes")))*INDEX(Inputs!$K$5:$AJ$110,0,MATCH(AD$2,Inputs!$K$4:$AJ$4,0)))))</f>
        <v>-1483</v>
      </c>
      <c r="AE10" s="267" t="e">
        <f>IF(ISNA(MATCH(AE$2,Inputs!$K$4:$AJ$4,0)),NA(),IF(SUMPRODUCT((Inputs!$A$5:$A$110=$B10)*ISNUMBER(INDEX(Inputs!$K$5:$AJ$110,0,MATCH(AE$2,Inputs!$K$4:$AJ$4,0))))+SUMPRODUCT((Inputs!$C$5:$C$110=$B10)*ISNUMBER(INDEX(Inputs!$K$5:$AJ$110,0,MATCH(AE$2,Inputs!$K$4:$AJ$4,0))))+SUMPRODUCT((Inputs!$E$5:$E$110=$B10)*ISNUMBER(INDEX(Inputs!$K$5:$AJ$110,0,MATCH(AE$2,Inputs!$K$4:$AJ$4,0))))=0,NA(),SUMPRODUCT((Inputs!$A$5:$A$110=$B10)*Inputs!$B$5:$B$110*(((Inputs!$G$5:$G$110="moeda")+(Inputs!$G$5:$G$110="acoes"))*Inputs!$B$1+((Inputs!$G$5:$G$110&lt;&gt;"moeda")*(Inputs!$G$5:$G$110&lt;&gt;"acoes")))*INDEX(Inputs!$K$5:$AJ$110,0,MATCH(AE$2,Inputs!$K$4:$AJ$4,0)))+SUMPRODUCT((Inputs!$C$5:$C$110=$B10)*Inputs!$D$5:$D$110*(((Inputs!$G$5:$G$110="moeda")+(Inputs!$G$5:$G$110="acoes"))*Inputs!$B$1+((Inputs!$G$5:$G$110&lt;&gt;"moeda")*(Inputs!$G$5:$G$110&lt;&gt;"acoes")))*INDEX(Inputs!$K$5:$AJ$110,0,MATCH(AE$2,Inputs!$K$4:$AJ$4,0)))+SUMPRODUCT((Inputs!$E$5:$E$110=$B10)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0" s="267" t="e">
        <f>IF(ISNA(MATCH(AF$2,Inputs!$K$4:$AJ$4,0)),NA(),IF(SUMPRODUCT((Inputs!$A$5:$A$110=$B10)*ISNUMBER(INDEX(Inputs!$K$5:$AJ$110,0,MATCH(AF$2,Inputs!$K$4:$AJ$4,0))))+SUMPRODUCT((Inputs!$C$5:$C$110=$B10)*ISNUMBER(INDEX(Inputs!$K$5:$AJ$110,0,MATCH(AF$2,Inputs!$K$4:$AJ$4,0))))+SUMPRODUCT((Inputs!$E$5:$E$110=$B10)*ISNUMBER(INDEX(Inputs!$K$5:$AJ$110,0,MATCH(AF$2,Inputs!$K$4:$AJ$4,0))))=0,NA(),SUMPRODUCT((Inputs!$A$5:$A$110=$B10)*Inputs!$B$5:$B$110*(((Inputs!$G$5:$G$110="moeda")+(Inputs!$G$5:$G$110="acoes"))*Inputs!$B$1+((Inputs!$G$5:$G$110&lt;&gt;"moeda")*(Inputs!$G$5:$G$110&lt;&gt;"acoes")))*INDEX(Inputs!$K$5:$AJ$110,0,MATCH(AF$2,Inputs!$K$4:$AJ$4,0)))+SUMPRODUCT((Inputs!$C$5:$C$110=$B10)*Inputs!$D$5:$D$110*(((Inputs!$G$5:$G$110="moeda")+(Inputs!$G$5:$G$110="acoes"))*Inputs!$B$1+((Inputs!$G$5:$G$110&lt;&gt;"moeda")*(Inputs!$G$5:$G$110&lt;&gt;"acoes")))*INDEX(Inputs!$K$5:$AJ$110,0,MATCH(AF$2,Inputs!$K$4:$AJ$4,0)))+SUMPRODUCT((Inputs!$E$5:$E$110=$B10)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0" s="268" t="e">
        <f>SUM(AC10:AF10)</f>
        <v>#N/A</v>
      </c>
      <c r="AH10" s="267">
        <f>IF(ISNA(MATCH(AH$2,Inputs!$K$4:$AJ$4,0)),NA(),IF(SUMPRODUCT((Inputs!$A$5:$A$110=$B10)*ISNUMBER(INDEX(Inputs!$K$5:$AJ$110,0,MATCH(AH$2,Inputs!$K$4:$AJ$4,0))))+SUMPRODUCT((Inputs!$C$5:$C$110=$B10)*ISNUMBER(INDEX(Inputs!$K$5:$AJ$110,0,MATCH(AH$2,Inputs!$K$4:$AJ$4,0))))+SUMPRODUCT((Inputs!$E$5:$E$110=$B10)*ISNUMBER(INDEX(Inputs!$K$5:$AJ$110,0,MATCH(AH$2,Inputs!$K$4:$AJ$4,0))))=0,NA(),SUMPRODUCT((Inputs!$A$5:$A$110=$B10)*Inputs!$B$5:$B$110*(((Inputs!$G$5:$G$110="moeda")+(Inputs!$G$5:$G$110="acoes"))*Inputs!$B$1+((Inputs!$G$5:$G$110&lt;&gt;"moeda")*(Inputs!$G$5:$G$110&lt;&gt;"acoes")))*INDEX(Inputs!$K$5:$AJ$110,0,MATCH(AH$2,Inputs!$K$4:$AJ$4,0)))+SUMPRODUCT((Inputs!$C$5:$C$110=$B10)*Inputs!$D$5:$D$110*(((Inputs!$G$5:$G$110="moeda")+(Inputs!$G$5:$G$110="acoes"))*Inputs!$B$1+((Inputs!$G$5:$G$110&lt;&gt;"moeda")*(Inputs!$G$5:$G$110&lt;&gt;"acoes")))*INDEX(Inputs!$K$5:$AJ$110,0,MATCH(AH$2,Inputs!$K$4:$AJ$4,0)))+SUMPRODUCT((Inputs!$E$5:$E$110=$B10)*Inputs!$F$5:$F$110*(((Inputs!$G$5:$G$110="moeda")+(Inputs!$G$5:$G$110="acoes"))*Inputs!$B$1+((Inputs!$G$5:$G$110&lt;&gt;"moeda")*(Inputs!$G$5:$G$110&lt;&gt;"acoes")))*INDEX(Inputs!$K$5:$AJ$110,0,MATCH(AH$2,Inputs!$K$4:$AJ$4,0)))))</f>
        <v>-1322</v>
      </c>
      <c r="AI10" s="267">
        <f>IF(ISNA(MATCH(AI$2,Inputs!$K$4:$AJ$4,0)),NA(),IF(SUMPRODUCT((Inputs!$A$5:$A$110=$B10)*ISNUMBER(INDEX(Inputs!$K$5:$AJ$110,0,MATCH(AI$2,Inputs!$K$4:$AJ$4,0))))+SUMPRODUCT((Inputs!$C$5:$C$110=$B10)*ISNUMBER(INDEX(Inputs!$K$5:$AJ$110,0,MATCH(AI$2,Inputs!$K$4:$AJ$4,0))))+SUMPRODUCT((Inputs!$E$5:$E$110=$B10)*ISNUMBER(INDEX(Inputs!$K$5:$AJ$110,0,MATCH(AI$2,Inputs!$K$4:$AJ$4,0))))=0,NA(),SUMPRODUCT((Inputs!$A$5:$A$110=$B10)*Inputs!$B$5:$B$110*(((Inputs!$G$5:$G$110="moeda")+(Inputs!$G$5:$G$110="acoes"))*Inputs!$B$1+((Inputs!$G$5:$G$110&lt;&gt;"moeda")*(Inputs!$G$5:$G$110&lt;&gt;"acoes")))*INDEX(Inputs!$K$5:$AJ$110,0,MATCH(AI$2,Inputs!$K$4:$AJ$4,0)))+SUMPRODUCT((Inputs!$C$5:$C$110=$B10)*Inputs!$D$5:$D$110*(((Inputs!$G$5:$G$110="moeda")+(Inputs!$G$5:$G$110="acoes"))*Inputs!$B$1+((Inputs!$G$5:$G$110&lt;&gt;"moeda")*(Inputs!$G$5:$G$110&lt;&gt;"acoes")))*INDEX(Inputs!$K$5:$AJ$110,0,MATCH(AI$2,Inputs!$K$4:$AJ$4,0)))+SUMPRODUCT((Inputs!$E$5:$E$110=$B10)*Inputs!$F$5:$F$110*(((Inputs!$G$5:$G$110="moeda")+(Inputs!$G$5:$G$110="acoes"))*Inputs!$B$1+((Inputs!$G$5:$G$110&lt;&gt;"moeda")*(Inputs!$G$5:$G$110&lt;&gt;"acoes")))*INDEX(Inputs!$K$5:$AJ$110,0,MATCH(AI$2,Inputs!$K$4:$AJ$4,0)))))</f>
        <v>-2207</v>
      </c>
      <c r="AJ10" s="267">
        <f>IF(ISNA(MATCH(AJ$2,Inputs!$K$4:$AJ$4,0)),NA(),IF(SUMPRODUCT((Inputs!$A$5:$A$110=$B10)*ISNUMBER(INDEX(Inputs!$K$5:$AJ$110,0,MATCH(AJ$2,Inputs!$K$4:$AJ$4,0))))+SUMPRODUCT((Inputs!$C$5:$C$110=$B10)*ISNUMBER(INDEX(Inputs!$K$5:$AJ$110,0,MATCH(AJ$2,Inputs!$K$4:$AJ$4,0))))+SUMPRODUCT((Inputs!$E$5:$E$110=$B10)*ISNUMBER(INDEX(Inputs!$K$5:$AJ$110,0,MATCH(AJ$2,Inputs!$K$4:$AJ$4,0))))=0,NA(),SUMPRODUCT((Inputs!$A$5:$A$110=$B10)*Inputs!$B$5:$B$110*(((Inputs!$G$5:$G$110="moeda")+(Inputs!$G$5:$G$110="acoes"))*Inputs!$B$1+((Inputs!$G$5:$G$110&lt;&gt;"moeda")*(Inputs!$G$5:$G$110&lt;&gt;"acoes")))*INDEX(Inputs!$K$5:$AJ$110,0,MATCH(AJ$2,Inputs!$K$4:$AJ$4,0)))+SUMPRODUCT((Inputs!$C$5:$C$110=$B10)*Inputs!$D$5:$D$110*(((Inputs!$G$5:$G$110="moeda")+(Inputs!$G$5:$G$110="acoes"))*Inputs!$B$1+((Inputs!$G$5:$G$110&lt;&gt;"moeda")*(Inputs!$G$5:$G$110&lt;&gt;"acoes")))*INDEX(Inputs!$K$5:$AJ$110,0,MATCH(AJ$2,Inputs!$K$4:$AJ$4,0)))+SUMPRODUCT((Inputs!$E$5:$E$110=$B10)*Inputs!$F$5:$F$110*(((Inputs!$G$5:$G$110="moeda")+(Inputs!$G$5:$G$110="acoes"))*Inputs!$B$1+((Inputs!$G$5:$G$110&lt;&gt;"moeda")*(Inputs!$G$5:$G$110&lt;&gt;"acoes")))*INDEX(Inputs!$K$5:$AJ$110,0,MATCH(AJ$2,Inputs!$K$4:$AJ$4,0)))))</f>
        <v>-1914</v>
      </c>
      <c r="AK10" s="267">
        <f>IF(ISNA(MATCH(AK$2,Inputs!$K$4:$AJ$4,0)),NA(),IF(SUMPRODUCT((Inputs!$A$5:$A$110=$B10)*ISNUMBER(INDEX(Inputs!$K$5:$AJ$110,0,MATCH(AK$2,Inputs!$K$4:$AJ$4,0))))+SUMPRODUCT((Inputs!$C$5:$C$110=$B10)*ISNUMBER(INDEX(Inputs!$K$5:$AJ$110,0,MATCH(AK$2,Inputs!$K$4:$AJ$4,0))))+SUMPRODUCT((Inputs!$E$5:$E$110=$B10)*ISNUMBER(INDEX(Inputs!$K$5:$AJ$110,0,MATCH(AK$2,Inputs!$K$4:$AJ$4,0))))=0,NA(),SUMPRODUCT((Inputs!$A$5:$A$110=$B10)*Inputs!$B$5:$B$110*(((Inputs!$G$5:$G$110="moeda")+(Inputs!$G$5:$G$110="acoes"))*Inputs!$B$1+((Inputs!$G$5:$G$110&lt;&gt;"moeda")*(Inputs!$G$5:$G$110&lt;&gt;"acoes")))*INDEX(Inputs!$K$5:$AJ$110,0,MATCH(AK$2,Inputs!$K$4:$AJ$4,0)))+SUMPRODUCT((Inputs!$C$5:$C$110=$B10)*Inputs!$D$5:$D$110*(((Inputs!$G$5:$G$110="moeda")+(Inputs!$G$5:$G$110="acoes"))*Inputs!$B$1+((Inputs!$G$5:$G$110&lt;&gt;"moeda")*(Inputs!$G$5:$G$110&lt;&gt;"acoes")))*INDEX(Inputs!$K$5:$AJ$110,0,MATCH(AK$2,Inputs!$K$4:$AJ$4,0)))+SUMPRODUCT((Inputs!$E$5:$E$110=$B10)*Inputs!$F$5:$F$110*(((Inputs!$G$5:$G$110="moeda")+(Inputs!$G$5:$G$110="acoes"))*Inputs!$B$1+((Inputs!$G$5:$G$110&lt;&gt;"moeda")*(Inputs!$G$5:$G$110&lt;&gt;"acoes")))*INDEX(Inputs!$K$5:$AJ$110,0,MATCH(AK$2,Inputs!$K$4:$AJ$4,0)))))</f>
        <v>-1415</v>
      </c>
      <c r="AL10" s="268">
        <f>SUM(AH10:AK10)</f>
        <v>-6858</v>
      </c>
    </row>
    <row r="11" ht="12.75" customHeight="1" s="255">
      <c r="B11" s="265" t="n">
        <v>8</v>
      </c>
      <c r="C11" s="270" t="inlineStr">
        <is>
          <t>Equity in Income of Affiliates, after tax (enter as +)</t>
        </is>
      </c>
      <c r="D11" s="267">
        <f>IF(ISNA(MATCH(D$2,Inputs!$K$4:$AJ$4,0)),NA(),IF(SUMPRODUCT((Inputs!$A$5:$A$110=$B11)*ISNUMBER(INDEX(Inputs!$K$5:$AJ$110,0,MATCH(D$2,Inputs!$K$4:$AJ$4,0))))+SUMPRODUCT((Inputs!$C$5:$C$110=$B11)*ISNUMBER(INDEX(Inputs!$K$5:$AJ$110,0,MATCH(D$2,Inputs!$K$4:$AJ$4,0))))+SUMPRODUCT((Inputs!$E$5:$E$110=$B11)*ISNUMBER(INDEX(Inputs!$K$5:$AJ$110,0,MATCH(D$2,Inputs!$K$4:$AJ$4,0))))=0,NA(),SUMPRODUCT((Inputs!$A$5:$A$110=$B11)*Inputs!$B$5:$B$110*(((Inputs!$G$5:$G$110="moeda")+(Inputs!$G$5:$G$110="acoes"))*Inputs!$B$1+((Inputs!$G$5:$G$110&lt;&gt;"moeda")*(Inputs!$G$5:$G$110&lt;&gt;"acoes")))*INDEX(Inputs!$K$5:$AJ$110,0,MATCH(D$2,Inputs!$K$4:$AJ$4,0)))+SUMPRODUCT((Inputs!$C$5:$C$110=$B11)*Inputs!$D$5:$D$110*(((Inputs!$G$5:$G$110="moeda")+(Inputs!$G$5:$G$110="acoes"))*Inputs!$B$1+((Inputs!$G$5:$G$110&lt;&gt;"moeda")*(Inputs!$G$5:$G$110&lt;&gt;"acoes")))*INDEX(Inputs!$K$5:$AJ$110,0,MATCH(D$2,Inputs!$K$4:$AJ$4,0)))+SUMPRODUCT((Inputs!$E$5:$E$110=$B11)*Inputs!$F$5:$F$110*(((Inputs!$G$5:$G$110="moeda")+(Inputs!$G$5:$G$110="acoes"))*Inputs!$B$1+((Inputs!$G$5:$G$110&lt;&gt;"moeda")*(Inputs!$G$5:$G$110&lt;&gt;"acoes")))*INDEX(Inputs!$K$5:$AJ$110,0,MATCH(D$2,Inputs!$K$4:$AJ$4,0)))))</f>
        <v>0</v>
      </c>
      <c r="E11" s="267">
        <f>IF(ISNA(MATCH(E$2,Inputs!$K$4:$AJ$4,0)),NA(),IF(SUMPRODUCT((Inputs!$A$5:$A$110=$B11)*ISNUMBER(INDEX(Inputs!$K$5:$AJ$110,0,MATCH(E$2,Inputs!$K$4:$AJ$4,0))))+SUMPRODUCT((Inputs!$C$5:$C$110=$B11)*ISNUMBER(INDEX(Inputs!$K$5:$AJ$110,0,MATCH(E$2,Inputs!$K$4:$AJ$4,0))))+SUMPRODUCT((Inputs!$E$5:$E$110=$B11)*ISNUMBER(INDEX(Inputs!$K$5:$AJ$110,0,MATCH(E$2,Inputs!$K$4:$AJ$4,0))))=0,NA(),SUMPRODUCT((Inputs!$A$5:$A$110=$B11)*Inputs!$B$5:$B$110*(((Inputs!$G$5:$G$110="moeda")+(Inputs!$G$5:$G$110="acoes"))*Inputs!$B$1+((Inputs!$G$5:$G$110&lt;&gt;"moeda")*(Inputs!$G$5:$G$110&lt;&gt;"acoes")))*INDEX(Inputs!$K$5:$AJ$110,0,MATCH(E$2,Inputs!$K$4:$AJ$4,0)))+SUMPRODUCT((Inputs!$C$5:$C$110=$B11)*Inputs!$D$5:$D$110*(((Inputs!$G$5:$G$110="moeda")+(Inputs!$G$5:$G$110="acoes"))*Inputs!$B$1+((Inputs!$G$5:$G$110&lt;&gt;"moeda")*(Inputs!$G$5:$G$110&lt;&gt;"acoes")))*INDEX(Inputs!$K$5:$AJ$110,0,MATCH(E$2,Inputs!$K$4:$AJ$4,0)))+SUMPRODUCT((Inputs!$E$5:$E$110=$B11)*Inputs!$F$5:$F$110*(((Inputs!$G$5:$G$110="moeda")+(Inputs!$G$5:$G$110="acoes"))*Inputs!$B$1+((Inputs!$G$5:$G$110&lt;&gt;"moeda")*(Inputs!$G$5:$G$110&lt;&gt;"acoes")))*INDEX(Inputs!$K$5:$AJ$110,0,MATCH(E$2,Inputs!$K$4:$AJ$4,0)))))</f>
        <v>0</v>
      </c>
      <c r="F11" s="267">
        <f>IF(ISNA(MATCH(F$2,Inputs!$K$4:$AJ$4,0)),NA(),IF(SUMPRODUCT((Inputs!$A$5:$A$110=$B11)*ISNUMBER(INDEX(Inputs!$K$5:$AJ$110,0,MATCH(F$2,Inputs!$K$4:$AJ$4,0))))+SUMPRODUCT((Inputs!$C$5:$C$110=$B11)*ISNUMBER(INDEX(Inputs!$K$5:$AJ$110,0,MATCH(F$2,Inputs!$K$4:$AJ$4,0))))+SUMPRODUCT((Inputs!$E$5:$E$110=$B11)*ISNUMBER(INDEX(Inputs!$K$5:$AJ$110,0,MATCH(F$2,Inputs!$K$4:$AJ$4,0))))=0,NA(),SUMPRODUCT((Inputs!$A$5:$A$110=$B11)*Inputs!$B$5:$B$110*(((Inputs!$G$5:$G$110="moeda")+(Inputs!$G$5:$G$110="acoes"))*Inputs!$B$1+((Inputs!$G$5:$G$110&lt;&gt;"moeda")*(Inputs!$G$5:$G$110&lt;&gt;"acoes")))*INDEX(Inputs!$K$5:$AJ$110,0,MATCH(F$2,Inputs!$K$4:$AJ$4,0)))+SUMPRODUCT((Inputs!$C$5:$C$110=$B11)*Inputs!$D$5:$D$110*(((Inputs!$G$5:$G$110="moeda")+(Inputs!$G$5:$G$110="acoes"))*Inputs!$B$1+((Inputs!$G$5:$G$110&lt;&gt;"moeda")*(Inputs!$G$5:$G$110&lt;&gt;"acoes")))*INDEX(Inputs!$K$5:$AJ$110,0,MATCH(F$2,Inputs!$K$4:$AJ$4,0)))+SUMPRODUCT((Inputs!$E$5:$E$110=$B11)*Inputs!$F$5:$F$110*(((Inputs!$G$5:$G$110="moeda")+(Inputs!$G$5:$G$110="acoes"))*Inputs!$B$1+((Inputs!$G$5:$G$110&lt;&gt;"moeda")*(Inputs!$G$5:$G$110&lt;&gt;"acoes")))*INDEX(Inputs!$K$5:$AJ$110,0,MATCH(F$2,Inputs!$K$4:$AJ$4,0)))))</f>
        <v>0</v>
      </c>
      <c r="G11" s="267">
        <f>IF(ISNA(MATCH(G$2,Inputs!$K$4:$AJ$4,0)),NA(),IF(SUMPRODUCT((Inputs!$A$5:$A$110=$B11)*ISNUMBER(INDEX(Inputs!$K$5:$AJ$110,0,MATCH(G$2,Inputs!$K$4:$AJ$4,0))))+SUMPRODUCT((Inputs!$C$5:$C$110=$B11)*ISNUMBER(INDEX(Inputs!$K$5:$AJ$110,0,MATCH(G$2,Inputs!$K$4:$AJ$4,0))))+SUMPRODUCT((Inputs!$E$5:$E$110=$B11)*ISNUMBER(INDEX(Inputs!$K$5:$AJ$110,0,MATCH(G$2,Inputs!$K$4:$AJ$4,0))))=0,NA(),SUMPRODUCT((Inputs!$A$5:$A$110=$B11)*Inputs!$B$5:$B$110*(((Inputs!$G$5:$G$110="moeda")+(Inputs!$G$5:$G$110="acoes"))*Inputs!$B$1+((Inputs!$G$5:$G$110&lt;&gt;"moeda")*(Inputs!$G$5:$G$110&lt;&gt;"acoes")))*INDEX(Inputs!$K$5:$AJ$110,0,MATCH(G$2,Inputs!$K$4:$AJ$4,0)))+SUMPRODUCT((Inputs!$C$5:$C$110=$B11)*Inputs!$D$5:$D$110*(((Inputs!$G$5:$G$110="moeda")+(Inputs!$G$5:$G$110="acoes"))*Inputs!$B$1+((Inputs!$G$5:$G$110&lt;&gt;"moeda")*(Inputs!$G$5:$G$110&lt;&gt;"acoes")))*INDEX(Inputs!$K$5:$AJ$110,0,MATCH(G$2,Inputs!$K$4:$AJ$4,0)))+SUMPRODUCT((Inputs!$E$5:$E$110=$B11)*Inputs!$F$5:$F$110*(((Inputs!$G$5:$G$110="moeda")+(Inputs!$G$5:$G$110="acoes"))*Inputs!$B$1+((Inputs!$G$5:$G$110&lt;&gt;"moeda")*(Inputs!$G$5:$G$110&lt;&gt;"acoes")))*INDEX(Inputs!$K$5:$AJ$110,0,MATCH(G$2,Inputs!$K$4:$AJ$4,0)))))</f>
        <v>0</v>
      </c>
      <c r="H11" s="268">
        <f>SUM(D11:G11)</f>
        <v>0</v>
      </c>
      <c r="I11" s="267">
        <f>IF(ISNA(MATCH(I$2,Inputs!$K$4:$AJ$4,0)),NA(),IF(SUMPRODUCT((Inputs!$A$5:$A$110=$B11)*ISNUMBER(INDEX(Inputs!$K$5:$AJ$110,0,MATCH(I$2,Inputs!$K$4:$AJ$4,0))))+SUMPRODUCT((Inputs!$C$5:$C$110=$B11)*ISNUMBER(INDEX(Inputs!$K$5:$AJ$110,0,MATCH(I$2,Inputs!$K$4:$AJ$4,0))))+SUMPRODUCT((Inputs!$E$5:$E$110=$B11)*ISNUMBER(INDEX(Inputs!$K$5:$AJ$110,0,MATCH(I$2,Inputs!$K$4:$AJ$4,0))))=0,NA(),SUMPRODUCT((Inputs!$A$5:$A$110=$B11)*Inputs!$B$5:$B$110*(((Inputs!$G$5:$G$110="moeda")+(Inputs!$G$5:$G$110="acoes"))*Inputs!$B$1+((Inputs!$G$5:$G$110&lt;&gt;"moeda")*(Inputs!$G$5:$G$110&lt;&gt;"acoes")))*INDEX(Inputs!$K$5:$AJ$110,0,MATCH(I$2,Inputs!$K$4:$AJ$4,0)))+SUMPRODUCT((Inputs!$C$5:$C$110=$B11)*Inputs!$D$5:$D$110*(((Inputs!$G$5:$G$110="moeda")+(Inputs!$G$5:$G$110="acoes"))*Inputs!$B$1+((Inputs!$G$5:$G$110&lt;&gt;"moeda")*(Inputs!$G$5:$G$110&lt;&gt;"acoes")))*INDEX(Inputs!$K$5:$AJ$110,0,MATCH(I$2,Inputs!$K$4:$AJ$4,0)))+SUMPRODUCT((Inputs!$E$5:$E$110=$B11)*Inputs!$F$5:$F$110*(((Inputs!$G$5:$G$110="moeda")+(Inputs!$G$5:$G$110="acoes"))*Inputs!$B$1+((Inputs!$G$5:$G$110&lt;&gt;"moeda")*(Inputs!$G$5:$G$110&lt;&gt;"acoes")))*INDEX(Inputs!$K$5:$AJ$110,0,MATCH(I$2,Inputs!$K$4:$AJ$4,0)))))</f>
        <v>0</v>
      </c>
      <c r="J11" s="267">
        <f>IF(ISNA(MATCH(J$2,Inputs!$K$4:$AJ$4,0)),NA(),IF(SUMPRODUCT((Inputs!$A$5:$A$110=$B11)*ISNUMBER(INDEX(Inputs!$K$5:$AJ$110,0,MATCH(J$2,Inputs!$K$4:$AJ$4,0))))+SUMPRODUCT((Inputs!$C$5:$C$110=$B11)*ISNUMBER(INDEX(Inputs!$K$5:$AJ$110,0,MATCH(J$2,Inputs!$K$4:$AJ$4,0))))+SUMPRODUCT((Inputs!$E$5:$E$110=$B11)*ISNUMBER(INDEX(Inputs!$K$5:$AJ$110,0,MATCH(J$2,Inputs!$K$4:$AJ$4,0))))=0,NA(),SUMPRODUCT((Inputs!$A$5:$A$110=$B11)*Inputs!$B$5:$B$110*(((Inputs!$G$5:$G$110="moeda")+(Inputs!$G$5:$G$110="acoes"))*Inputs!$B$1+((Inputs!$G$5:$G$110&lt;&gt;"moeda")*(Inputs!$G$5:$G$110&lt;&gt;"acoes")))*INDEX(Inputs!$K$5:$AJ$110,0,MATCH(J$2,Inputs!$K$4:$AJ$4,0)))+SUMPRODUCT((Inputs!$C$5:$C$110=$B11)*Inputs!$D$5:$D$110*(((Inputs!$G$5:$G$110="moeda")+(Inputs!$G$5:$G$110="acoes"))*Inputs!$B$1+((Inputs!$G$5:$G$110&lt;&gt;"moeda")*(Inputs!$G$5:$G$110&lt;&gt;"acoes")))*INDEX(Inputs!$K$5:$AJ$110,0,MATCH(J$2,Inputs!$K$4:$AJ$4,0)))+SUMPRODUCT((Inputs!$E$5:$E$110=$B11)*Inputs!$F$5:$F$110*(((Inputs!$G$5:$G$110="moeda")+(Inputs!$G$5:$G$110="acoes"))*Inputs!$B$1+((Inputs!$G$5:$G$110&lt;&gt;"moeda")*(Inputs!$G$5:$G$110&lt;&gt;"acoes")))*INDEX(Inputs!$K$5:$AJ$110,0,MATCH(J$2,Inputs!$K$4:$AJ$4,0)))))</f>
        <v>0</v>
      </c>
      <c r="K11" s="267">
        <f>IF(ISNA(MATCH(K$2,Inputs!$K$4:$AJ$4,0)),NA(),IF(SUMPRODUCT((Inputs!$A$5:$A$110=$B11)*ISNUMBER(INDEX(Inputs!$K$5:$AJ$110,0,MATCH(K$2,Inputs!$K$4:$AJ$4,0))))+SUMPRODUCT((Inputs!$C$5:$C$110=$B11)*ISNUMBER(INDEX(Inputs!$K$5:$AJ$110,0,MATCH(K$2,Inputs!$K$4:$AJ$4,0))))+SUMPRODUCT((Inputs!$E$5:$E$110=$B11)*ISNUMBER(INDEX(Inputs!$K$5:$AJ$110,0,MATCH(K$2,Inputs!$K$4:$AJ$4,0))))=0,NA(),SUMPRODUCT((Inputs!$A$5:$A$110=$B11)*Inputs!$B$5:$B$110*(((Inputs!$G$5:$G$110="moeda")+(Inputs!$G$5:$G$110="acoes"))*Inputs!$B$1+((Inputs!$G$5:$G$110&lt;&gt;"moeda")*(Inputs!$G$5:$G$110&lt;&gt;"acoes")))*INDEX(Inputs!$K$5:$AJ$110,0,MATCH(K$2,Inputs!$K$4:$AJ$4,0)))+SUMPRODUCT((Inputs!$C$5:$C$110=$B11)*Inputs!$D$5:$D$110*(((Inputs!$G$5:$G$110="moeda")+(Inputs!$G$5:$G$110="acoes"))*Inputs!$B$1+((Inputs!$G$5:$G$110&lt;&gt;"moeda")*(Inputs!$G$5:$G$110&lt;&gt;"acoes")))*INDEX(Inputs!$K$5:$AJ$110,0,MATCH(K$2,Inputs!$K$4:$AJ$4,0)))+SUMPRODUCT((Inputs!$E$5:$E$110=$B11)*Inputs!$F$5:$F$110*(((Inputs!$G$5:$G$110="moeda")+(Inputs!$G$5:$G$110="acoes"))*Inputs!$B$1+((Inputs!$G$5:$G$110&lt;&gt;"moeda")*(Inputs!$G$5:$G$110&lt;&gt;"acoes")))*INDEX(Inputs!$K$5:$AJ$110,0,MATCH(K$2,Inputs!$K$4:$AJ$4,0)))))</f>
        <v>0</v>
      </c>
      <c r="L11" s="267">
        <f>IF(ISNA(MATCH(L$2,Inputs!$K$4:$AJ$4,0)),NA(),IF(SUMPRODUCT((Inputs!$A$5:$A$110=$B11)*ISNUMBER(INDEX(Inputs!$K$5:$AJ$110,0,MATCH(L$2,Inputs!$K$4:$AJ$4,0))))+SUMPRODUCT((Inputs!$C$5:$C$110=$B11)*ISNUMBER(INDEX(Inputs!$K$5:$AJ$110,0,MATCH(L$2,Inputs!$K$4:$AJ$4,0))))+SUMPRODUCT((Inputs!$E$5:$E$110=$B11)*ISNUMBER(INDEX(Inputs!$K$5:$AJ$110,0,MATCH(L$2,Inputs!$K$4:$AJ$4,0))))=0,NA(),SUMPRODUCT((Inputs!$A$5:$A$110=$B11)*Inputs!$B$5:$B$110*(((Inputs!$G$5:$G$110="moeda")+(Inputs!$G$5:$G$110="acoes"))*Inputs!$B$1+((Inputs!$G$5:$G$110&lt;&gt;"moeda")*(Inputs!$G$5:$G$110&lt;&gt;"acoes")))*INDEX(Inputs!$K$5:$AJ$110,0,MATCH(L$2,Inputs!$K$4:$AJ$4,0)))+SUMPRODUCT((Inputs!$C$5:$C$110=$B11)*Inputs!$D$5:$D$110*(((Inputs!$G$5:$G$110="moeda")+(Inputs!$G$5:$G$110="acoes"))*Inputs!$B$1+((Inputs!$G$5:$G$110&lt;&gt;"moeda")*(Inputs!$G$5:$G$110&lt;&gt;"acoes")))*INDEX(Inputs!$K$5:$AJ$110,0,MATCH(L$2,Inputs!$K$4:$AJ$4,0)))+SUMPRODUCT((Inputs!$E$5:$E$110=$B11)*Inputs!$F$5:$F$110*(((Inputs!$G$5:$G$110="moeda")+(Inputs!$G$5:$G$110="acoes"))*Inputs!$B$1+((Inputs!$G$5:$G$110&lt;&gt;"moeda")*(Inputs!$G$5:$G$110&lt;&gt;"acoes")))*INDEX(Inputs!$K$5:$AJ$110,0,MATCH(L$2,Inputs!$K$4:$AJ$4,0)))))</f>
        <v>0</v>
      </c>
      <c r="M11" s="268">
        <f>SUM(I11:L11)</f>
        <v>0</v>
      </c>
      <c r="N11" s="267">
        <f>IF(ISNA(MATCH(N$2,Inputs!$K$4:$AJ$4,0)),NA(),IF(SUMPRODUCT((Inputs!$A$5:$A$110=$B11)*ISNUMBER(INDEX(Inputs!$K$5:$AJ$110,0,MATCH(N$2,Inputs!$K$4:$AJ$4,0))))+SUMPRODUCT((Inputs!$C$5:$C$110=$B11)*ISNUMBER(INDEX(Inputs!$K$5:$AJ$110,0,MATCH(N$2,Inputs!$K$4:$AJ$4,0))))+SUMPRODUCT((Inputs!$E$5:$E$110=$B11)*ISNUMBER(INDEX(Inputs!$K$5:$AJ$110,0,MATCH(N$2,Inputs!$K$4:$AJ$4,0))))=0,NA(),SUMPRODUCT((Inputs!$A$5:$A$110=$B11)*Inputs!$B$5:$B$110*(((Inputs!$G$5:$G$110="moeda")+(Inputs!$G$5:$G$110="acoes"))*Inputs!$B$1+((Inputs!$G$5:$G$110&lt;&gt;"moeda")*(Inputs!$G$5:$G$110&lt;&gt;"acoes")))*INDEX(Inputs!$K$5:$AJ$110,0,MATCH(N$2,Inputs!$K$4:$AJ$4,0)))+SUMPRODUCT((Inputs!$C$5:$C$110=$B11)*Inputs!$D$5:$D$110*(((Inputs!$G$5:$G$110="moeda")+(Inputs!$G$5:$G$110="acoes"))*Inputs!$B$1+((Inputs!$G$5:$G$110&lt;&gt;"moeda")*(Inputs!$G$5:$G$110&lt;&gt;"acoes")))*INDEX(Inputs!$K$5:$AJ$110,0,MATCH(N$2,Inputs!$K$4:$AJ$4,0)))+SUMPRODUCT((Inputs!$E$5:$E$110=$B11)*Inputs!$F$5:$F$110*(((Inputs!$G$5:$G$110="moeda")+(Inputs!$G$5:$G$110="acoes"))*Inputs!$B$1+((Inputs!$G$5:$G$110&lt;&gt;"moeda")*(Inputs!$G$5:$G$110&lt;&gt;"acoes")))*INDEX(Inputs!$K$5:$AJ$110,0,MATCH(N$2,Inputs!$K$4:$AJ$4,0)))))</f>
        <v>0</v>
      </c>
      <c r="O11" s="267">
        <f>IF(ISNA(MATCH(O$2,Inputs!$K$4:$AJ$4,0)),NA(),IF(SUMPRODUCT((Inputs!$A$5:$A$110=$B11)*ISNUMBER(INDEX(Inputs!$K$5:$AJ$110,0,MATCH(O$2,Inputs!$K$4:$AJ$4,0))))+SUMPRODUCT((Inputs!$C$5:$C$110=$B11)*ISNUMBER(INDEX(Inputs!$K$5:$AJ$110,0,MATCH(O$2,Inputs!$K$4:$AJ$4,0))))+SUMPRODUCT((Inputs!$E$5:$E$110=$B11)*ISNUMBER(INDEX(Inputs!$K$5:$AJ$110,0,MATCH(O$2,Inputs!$K$4:$AJ$4,0))))=0,NA(),SUMPRODUCT((Inputs!$A$5:$A$110=$B11)*Inputs!$B$5:$B$110*(((Inputs!$G$5:$G$110="moeda")+(Inputs!$G$5:$G$110="acoes"))*Inputs!$B$1+((Inputs!$G$5:$G$110&lt;&gt;"moeda")*(Inputs!$G$5:$G$110&lt;&gt;"acoes")))*INDEX(Inputs!$K$5:$AJ$110,0,MATCH(O$2,Inputs!$K$4:$AJ$4,0)))+SUMPRODUCT((Inputs!$C$5:$C$110=$B11)*Inputs!$D$5:$D$110*(((Inputs!$G$5:$G$110="moeda")+(Inputs!$G$5:$G$110="acoes"))*Inputs!$B$1+((Inputs!$G$5:$G$110&lt;&gt;"moeda")*(Inputs!$G$5:$G$110&lt;&gt;"acoes")))*INDEX(Inputs!$K$5:$AJ$110,0,MATCH(O$2,Inputs!$K$4:$AJ$4,0)))+SUMPRODUCT((Inputs!$E$5:$E$110=$B11)*Inputs!$F$5:$F$110*(((Inputs!$G$5:$G$110="moeda")+(Inputs!$G$5:$G$110="acoes"))*Inputs!$B$1+((Inputs!$G$5:$G$110&lt;&gt;"moeda")*(Inputs!$G$5:$G$110&lt;&gt;"acoes")))*INDEX(Inputs!$K$5:$AJ$110,0,MATCH(O$2,Inputs!$K$4:$AJ$4,0)))))</f>
        <v>0</v>
      </c>
      <c r="P11" s="267">
        <f>IF(ISNA(MATCH(P$2,Inputs!$K$4:$AJ$4,0)),NA(),IF(SUMPRODUCT((Inputs!$A$5:$A$110=$B11)*ISNUMBER(INDEX(Inputs!$K$5:$AJ$110,0,MATCH(P$2,Inputs!$K$4:$AJ$4,0))))+SUMPRODUCT((Inputs!$C$5:$C$110=$B11)*ISNUMBER(INDEX(Inputs!$K$5:$AJ$110,0,MATCH(P$2,Inputs!$K$4:$AJ$4,0))))+SUMPRODUCT((Inputs!$E$5:$E$110=$B11)*ISNUMBER(INDEX(Inputs!$K$5:$AJ$110,0,MATCH(P$2,Inputs!$K$4:$AJ$4,0))))=0,NA(),SUMPRODUCT((Inputs!$A$5:$A$110=$B11)*Inputs!$B$5:$B$110*(((Inputs!$G$5:$G$110="moeda")+(Inputs!$G$5:$G$110="acoes"))*Inputs!$B$1+((Inputs!$G$5:$G$110&lt;&gt;"moeda")*(Inputs!$G$5:$G$110&lt;&gt;"acoes")))*INDEX(Inputs!$K$5:$AJ$110,0,MATCH(P$2,Inputs!$K$4:$AJ$4,0)))+SUMPRODUCT((Inputs!$C$5:$C$110=$B11)*Inputs!$D$5:$D$110*(((Inputs!$G$5:$G$110="moeda")+(Inputs!$G$5:$G$110="acoes"))*Inputs!$B$1+((Inputs!$G$5:$G$110&lt;&gt;"moeda")*(Inputs!$G$5:$G$110&lt;&gt;"acoes")))*INDEX(Inputs!$K$5:$AJ$110,0,MATCH(P$2,Inputs!$K$4:$AJ$4,0)))+SUMPRODUCT((Inputs!$E$5:$E$110=$B11)*Inputs!$F$5:$F$110*(((Inputs!$G$5:$G$110="moeda")+(Inputs!$G$5:$G$110="acoes"))*Inputs!$B$1+((Inputs!$G$5:$G$110&lt;&gt;"moeda")*(Inputs!$G$5:$G$110&lt;&gt;"acoes")))*INDEX(Inputs!$K$5:$AJ$110,0,MATCH(P$2,Inputs!$K$4:$AJ$4,0)))))</f>
        <v>0</v>
      </c>
      <c r="Q11" s="267">
        <f>IF(ISNA(MATCH(Q$2,Inputs!$K$4:$AJ$4,0)),NA(),IF(SUMPRODUCT((Inputs!$A$5:$A$110=$B11)*ISNUMBER(INDEX(Inputs!$K$5:$AJ$110,0,MATCH(Q$2,Inputs!$K$4:$AJ$4,0))))+SUMPRODUCT((Inputs!$C$5:$C$110=$B11)*ISNUMBER(INDEX(Inputs!$K$5:$AJ$110,0,MATCH(Q$2,Inputs!$K$4:$AJ$4,0))))+SUMPRODUCT((Inputs!$E$5:$E$110=$B11)*ISNUMBER(INDEX(Inputs!$K$5:$AJ$110,0,MATCH(Q$2,Inputs!$K$4:$AJ$4,0))))=0,NA(),SUMPRODUCT((Inputs!$A$5:$A$110=$B11)*Inputs!$B$5:$B$110*(((Inputs!$G$5:$G$110="moeda")+(Inputs!$G$5:$G$110="acoes"))*Inputs!$B$1+((Inputs!$G$5:$G$110&lt;&gt;"moeda")*(Inputs!$G$5:$G$110&lt;&gt;"acoes")))*INDEX(Inputs!$K$5:$AJ$110,0,MATCH(Q$2,Inputs!$K$4:$AJ$4,0)))+SUMPRODUCT((Inputs!$C$5:$C$110=$B11)*Inputs!$D$5:$D$110*(((Inputs!$G$5:$G$110="moeda")+(Inputs!$G$5:$G$110="acoes"))*Inputs!$B$1+((Inputs!$G$5:$G$110&lt;&gt;"moeda")*(Inputs!$G$5:$G$110&lt;&gt;"acoes")))*INDEX(Inputs!$K$5:$AJ$110,0,MATCH(Q$2,Inputs!$K$4:$AJ$4,0)))+SUMPRODUCT((Inputs!$E$5:$E$110=$B11)*Inputs!$F$5:$F$110*(((Inputs!$G$5:$G$110="moeda")+(Inputs!$G$5:$G$110="acoes"))*Inputs!$B$1+((Inputs!$G$5:$G$110&lt;&gt;"moeda")*(Inputs!$G$5:$G$110&lt;&gt;"acoes")))*INDEX(Inputs!$K$5:$AJ$110,0,MATCH(Q$2,Inputs!$K$4:$AJ$4,0)))))</f>
        <v>0</v>
      </c>
      <c r="R11" s="268">
        <f>SUM(N11:Q11)</f>
        <v>0</v>
      </c>
      <c r="S11" s="267">
        <f>IF(ISNA(MATCH(S$2,Inputs!$K$4:$AJ$4,0)),NA(),IF(SUMPRODUCT((Inputs!$A$5:$A$110=$B11)*ISNUMBER(INDEX(Inputs!$K$5:$AJ$110,0,MATCH(S$2,Inputs!$K$4:$AJ$4,0))))+SUMPRODUCT((Inputs!$C$5:$C$110=$B11)*ISNUMBER(INDEX(Inputs!$K$5:$AJ$110,0,MATCH(S$2,Inputs!$K$4:$AJ$4,0))))+SUMPRODUCT((Inputs!$E$5:$E$110=$B11)*ISNUMBER(INDEX(Inputs!$K$5:$AJ$110,0,MATCH(S$2,Inputs!$K$4:$AJ$4,0))))=0,NA(),SUMPRODUCT((Inputs!$A$5:$A$110=$B11)*Inputs!$B$5:$B$110*(((Inputs!$G$5:$G$110="moeda")+(Inputs!$G$5:$G$110="acoes"))*Inputs!$B$1+((Inputs!$G$5:$G$110&lt;&gt;"moeda")*(Inputs!$G$5:$G$110&lt;&gt;"acoes")))*INDEX(Inputs!$K$5:$AJ$110,0,MATCH(S$2,Inputs!$K$4:$AJ$4,0)))+SUMPRODUCT((Inputs!$C$5:$C$110=$B11)*Inputs!$D$5:$D$110*(((Inputs!$G$5:$G$110="moeda")+(Inputs!$G$5:$G$110="acoes"))*Inputs!$B$1+((Inputs!$G$5:$G$110&lt;&gt;"moeda")*(Inputs!$G$5:$G$110&lt;&gt;"acoes")))*INDEX(Inputs!$K$5:$AJ$110,0,MATCH(S$2,Inputs!$K$4:$AJ$4,0)))+SUMPRODUCT((Inputs!$E$5:$E$110=$B11)*Inputs!$F$5:$F$110*(((Inputs!$G$5:$G$110="moeda")+(Inputs!$G$5:$G$110="acoes"))*Inputs!$B$1+((Inputs!$G$5:$G$110&lt;&gt;"moeda")*(Inputs!$G$5:$G$110&lt;&gt;"acoes")))*INDEX(Inputs!$K$5:$AJ$110,0,MATCH(S$2,Inputs!$K$4:$AJ$4,0)))))</f>
        <v>0</v>
      </c>
      <c r="T11" s="267">
        <f>IF(ISNA(MATCH(T$2,Inputs!$K$4:$AJ$4,0)),NA(),IF(SUMPRODUCT((Inputs!$A$5:$A$110=$B11)*ISNUMBER(INDEX(Inputs!$K$5:$AJ$110,0,MATCH(T$2,Inputs!$K$4:$AJ$4,0))))+SUMPRODUCT((Inputs!$C$5:$C$110=$B11)*ISNUMBER(INDEX(Inputs!$K$5:$AJ$110,0,MATCH(T$2,Inputs!$K$4:$AJ$4,0))))+SUMPRODUCT((Inputs!$E$5:$E$110=$B11)*ISNUMBER(INDEX(Inputs!$K$5:$AJ$110,0,MATCH(T$2,Inputs!$K$4:$AJ$4,0))))=0,NA(),SUMPRODUCT((Inputs!$A$5:$A$110=$B11)*Inputs!$B$5:$B$110*(((Inputs!$G$5:$G$110="moeda")+(Inputs!$G$5:$G$110="acoes"))*Inputs!$B$1+((Inputs!$G$5:$G$110&lt;&gt;"moeda")*(Inputs!$G$5:$G$110&lt;&gt;"acoes")))*INDEX(Inputs!$K$5:$AJ$110,0,MATCH(T$2,Inputs!$K$4:$AJ$4,0)))+SUMPRODUCT((Inputs!$C$5:$C$110=$B11)*Inputs!$D$5:$D$110*(((Inputs!$G$5:$G$110="moeda")+(Inputs!$G$5:$G$110="acoes"))*Inputs!$B$1+((Inputs!$G$5:$G$110&lt;&gt;"moeda")*(Inputs!$G$5:$G$110&lt;&gt;"acoes")))*INDEX(Inputs!$K$5:$AJ$110,0,MATCH(T$2,Inputs!$K$4:$AJ$4,0)))+SUMPRODUCT((Inputs!$E$5:$E$110=$B11)*Inputs!$F$5:$F$110*(((Inputs!$G$5:$G$110="moeda")+(Inputs!$G$5:$G$110="acoes"))*Inputs!$B$1+((Inputs!$G$5:$G$110&lt;&gt;"moeda")*(Inputs!$G$5:$G$110&lt;&gt;"acoes")))*INDEX(Inputs!$K$5:$AJ$110,0,MATCH(T$2,Inputs!$K$4:$AJ$4,0)))))</f>
        <v>0</v>
      </c>
      <c r="U11" s="267">
        <f>IF(ISNA(MATCH(U$2,Inputs!$K$4:$AJ$4,0)),NA(),IF(SUMPRODUCT((Inputs!$A$5:$A$110=$B11)*ISNUMBER(INDEX(Inputs!$K$5:$AJ$110,0,MATCH(U$2,Inputs!$K$4:$AJ$4,0))))+SUMPRODUCT((Inputs!$C$5:$C$110=$B11)*ISNUMBER(INDEX(Inputs!$K$5:$AJ$110,0,MATCH(U$2,Inputs!$K$4:$AJ$4,0))))+SUMPRODUCT((Inputs!$E$5:$E$110=$B11)*ISNUMBER(INDEX(Inputs!$K$5:$AJ$110,0,MATCH(U$2,Inputs!$K$4:$AJ$4,0))))=0,NA(),SUMPRODUCT((Inputs!$A$5:$A$110=$B11)*Inputs!$B$5:$B$110*(((Inputs!$G$5:$G$110="moeda")+(Inputs!$G$5:$G$110="acoes"))*Inputs!$B$1+((Inputs!$G$5:$G$110&lt;&gt;"moeda")*(Inputs!$G$5:$G$110&lt;&gt;"acoes")))*INDEX(Inputs!$K$5:$AJ$110,0,MATCH(U$2,Inputs!$K$4:$AJ$4,0)))+SUMPRODUCT((Inputs!$C$5:$C$110=$B11)*Inputs!$D$5:$D$110*(((Inputs!$G$5:$G$110="moeda")+(Inputs!$G$5:$G$110="acoes"))*Inputs!$B$1+((Inputs!$G$5:$G$110&lt;&gt;"moeda")*(Inputs!$G$5:$G$110&lt;&gt;"acoes")))*INDEX(Inputs!$K$5:$AJ$110,0,MATCH(U$2,Inputs!$K$4:$AJ$4,0)))+SUMPRODUCT((Inputs!$E$5:$E$110=$B11)*Inputs!$F$5:$F$110*(((Inputs!$G$5:$G$110="moeda")+(Inputs!$G$5:$G$110="acoes"))*Inputs!$B$1+((Inputs!$G$5:$G$110&lt;&gt;"moeda")*(Inputs!$G$5:$G$110&lt;&gt;"acoes")))*INDEX(Inputs!$K$5:$AJ$110,0,MATCH(U$2,Inputs!$K$4:$AJ$4,0)))))</f>
        <v>0</v>
      </c>
      <c r="V11" s="267">
        <f>IF(ISNA(MATCH(V$2,Inputs!$K$4:$AJ$4,0)),NA(),IF(SUMPRODUCT((Inputs!$A$5:$A$110=$B11)*ISNUMBER(INDEX(Inputs!$K$5:$AJ$110,0,MATCH(V$2,Inputs!$K$4:$AJ$4,0))))+SUMPRODUCT((Inputs!$C$5:$C$110=$B11)*ISNUMBER(INDEX(Inputs!$K$5:$AJ$110,0,MATCH(V$2,Inputs!$K$4:$AJ$4,0))))+SUMPRODUCT((Inputs!$E$5:$E$110=$B11)*ISNUMBER(INDEX(Inputs!$K$5:$AJ$110,0,MATCH(V$2,Inputs!$K$4:$AJ$4,0))))=0,NA(),SUMPRODUCT((Inputs!$A$5:$A$110=$B11)*Inputs!$B$5:$B$110*(((Inputs!$G$5:$G$110="moeda")+(Inputs!$G$5:$G$110="acoes"))*Inputs!$B$1+((Inputs!$G$5:$G$110&lt;&gt;"moeda")*(Inputs!$G$5:$G$110&lt;&gt;"acoes")))*INDEX(Inputs!$K$5:$AJ$110,0,MATCH(V$2,Inputs!$K$4:$AJ$4,0)))+SUMPRODUCT((Inputs!$C$5:$C$110=$B11)*Inputs!$D$5:$D$110*(((Inputs!$G$5:$G$110="moeda")+(Inputs!$G$5:$G$110="acoes"))*Inputs!$B$1+((Inputs!$G$5:$G$110&lt;&gt;"moeda")*(Inputs!$G$5:$G$110&lt;&gt;"acoes")))*INDEX(Inputs!$K$5:$AJ$110,0,MATCH(V$2,Inputs!$K$4:$AJ$4,0)))+SUMPRODUCT((Inputs!$E$5:$E$110=$B11)*Inputs!$F$5:$F$110*(((Inputs!$G$5:$G$110="moeda")+(Inputs!$G$5:$G$110="acoes"))*Inputs!$B$1+((Inputs!$G$5:$G$110&lt;&gt;"moeda")*(Inputs!$G$5:$G$110&lt;&gt;"acoes")))*INDEX(Inputs!$K$5:$AJ$110,0,MATCH(V$2,Inputs!$K$4:$AJ$4,0)))))</f>
        <v>0</v>
      </c>
      <c r="W11" s="268">
        <f>SUM(S11:V11)</f>
        <v>0</v>
      </c>
      <c r="X11" s="267">
        <f>IF(ISNA(MATCH(X$2,Inputs!$K$4:$AJ$4,0)),NA(),IF(SUMPRODUCT((Inputs!$A$5:$A$110=$B11)*ISNUMBER(INDEX(Inputs!$K$5:$AJ$110,0,MATCH(X$2,Inputs!$K$4:$AJ$4,0))))+SUMPRODUCT((Inputs!$C$5:$C$110=$B11)*ISNUMBER(INDEX(Inputs!$K$5:$AJ$110,0,MATCH(X$2,Inputs!$K$4:$AJ$4,0))))+SUMPRODUCT((Inputs!$E$5:$E$110=$B11)*ISNUMBER(INDEX(Inputs!$K$5:$AJ$110,0,MATCH(X$2,Inputs!$K$4:$AJ$4,0))))=0,NA(),SUMPRODUCT((Inputs!$A$5:$A$110=$B11)*Inputs!$B$5:$B$110*(((Inputs!$G$5:$G$110="moeda")+(Inputs!$G$5:$G$110="acoes"))*Inputs!$B$1+((Inputs!$G$5:$G$110&lt;&gt;"moeda")*(Inputs!$G$5:$G$110&lt;&gt;"acoes")))*INDEX(Inputs!$K$5:$AJ$110,0,MATCH(X$2,Inputs!$K$4:$AJ$4,0)))+SUMPRODUCT((Inputs!$C$5:$C$110=$B11)*Inputs!$D$5:$D$110*(((Inputs!$G$5:$G$110="moeda")+(Inputs!$G$5:$G$110="acoes"))*Inputs!$B$1+((Inputs!$G$5:$G$110&lt;&gt;"moeda")*(Inputs!$G$5:$G$110&lt;&gt;"acoes")))*INDEX(Inputs!$K$5:$AJ$110,0,MATCH(X$2,Inputs!$K$4:$AJ$4,0)))+SUMPRODUCT((Inputs!$E$5:$E$110=$B11)*Inputs!$F$5:$F$110*(((Inputs!$G$5:$G$110="moeda")+(Inputs!$G$5:$G$110="acoes"))*Inputs!$B$1+((Inputs!$G$5:$G$110&lt;&gt;"moeda")*(Inputs!$G$5:$G$110&lt;&gt;"acoes")))*INDEX(Inputs!$K$5:$AJ$110,0,MATCH(X$2,Inputs!$K$4:$AJ$4,0)))))</f>
        <v>0</v>
      </c>
      <c r="Y11" s="267">
        <f>IF(ISNA(MATCH(Y$2,Inputs!$K$4:$AJ$4,0)),NA(),IF(SUMPRODUCT((Inputs!$A$5:$A$110=$B11)*ISNUMBER(INDEX(Inputs!$K$5:$AJ$110,0,MATCH(Y$2,Inputs!$K$4:$AJ$4,0))))+SUMPRODUCT((Inputs!$C$5:$C$110=$B11)*ISNUMBER(INDEX(Inputs!$K$5:$AJ$110,0,MATCH(Y$2,Inputs!$K$4:$AJ$4,0))))+SUMPRODUCT((Inputs!$E$5:$E$110=$B11)*ISNUMBER(INDEX(Inputs!$K$5:$AJ$110,0,MATCH(Y$2,Inputs!$K$4:$AJ$4,0))))=0,NA(),SUMPRODUCT((Inputs!$A$5:$A$110=$B11)*Inputs!$B$5:$B$110*(((Inputs!$G$5:$G$110="moeda")+(Inputs!$G$5:$G$110="acoes"))*Inputs!$B$1+((Inputs!$G$5:$G$110&lt;&gt;"moeda")*(Inputs!$G$5:$G$110&lt;&gt;"acoes")))*INDEX(Inputs!$K$5:$AJ$110,0,MATCH(Y$2,Inputs!$K$4:$AJ$4,0)))+SUMPRODUCT((Inputs!$C$5:$C$110=$B11)*Inputs!$D$5:$D$110*(((Inputs!$G$5:$G$110="moeda")+(Inputs!$G$5:$G$110="acoes"))*Inputs!$B$1+((Inputs!$G$5:$G$110&lt;&gt;"moeda")*(Inputs!$G$5:$G$110&lt;&gt;"acoes")))*INDEX(Inputs!$K$5:$AJ$110,0,MATCH(Y$2,Inputs!$K$4:$AJ$4,0)))+SUMPRODUCT((Inputs!$E$5:$E$110=$B11)*Inputs!$F$5:$F$110*(((Inputs!$G$5:$G$110="moeda")+(Inputs!$G$5:$G$110="acoes"))*Inputs!$B$1+((Inputs!$G$5:$G$110&lt;&gt;"moeda")*(Inputs!$G$5:$G$110&lt;&gt;"acoes")))*INDEX(Inputs!$K$5:$AJ$110,0,MATCH(Y$2,Inputs!$K$4:$AJ$4,0)))))</f>
        <v>0</v>
      </c>
      <c r="Z11" s="267">
        <f>IF(ISNA(MATCH(Z$2,Inputs!$K$4:$AJ$4,0)),NA(),IF(SUMPRODUCT((Inputs!$A$5:$A$110=$B11)*ISNUMBER(INDEX(Inputs!$K$5:$AJ$110,0,MATCH(Z$2,Inputs!$K$4:$AJ$4,0))))+SUMPRODUCT((Inputs!$C$5:$C$110=$B11)*ISNUMBER(INDEX(Inputs!$K$5:$AJ$110,0,MATCH(Z$2,Inputs!$K$4:$AJ$4,0))))+SUMPRODUCT((Inputs!$E$5:$E$110=$B11)*ISNUMBER(INDEX(Inputs!$K$5:$AJ$110,0,MATCH(Z$2,Inputs!$K$4:$AJ$4,0))))=0,NA(),SUMPRODUCT((Inputs!$A$5:$A$110=$B11)*Inputs!$B$5:$B$110*(((Inputs!$G$5:$G$110="moeda")+(Inputs!$G$5:$G$110="acoes"))*Inputs!$B$1+((Inputs!$G$5:$G$110&lt;&gt;"moeda")*(Inputs!$G$5:$G$110&lt;&gt;"acoes")))*INDEX(Inputs!$K$5:$AJ$110,0,MATCH(Z$2,Inputs!$K$4:$AJ$4,0)))+SUMPRODUCT((Inputs!$C$5:$C$110=$B11)*Inputs!$D$5:$D$110*(((Inputs!$G$5:$G$110="moeda")+(Inputs!$G$5:$G$110="acoes"))*Inputs!$B$1+((Inputs!$G$5:$G$110&lt;&gt;"moeda")*(Inputs!$G$5:$G$110&lt;&gt;"acoes")))*INDEX(Inputs!$K$5:$AJ$110,0,MATCH(Z$2,Inputs!$K$4:$AJ$4,0)))+SUMPRODUCT((Inputs!$E$5:$E$110=$B11)*Inputs!$F$5:$F$110*(((Inputs!$G$5:$G$110="moeda")+(Inputs!$G$5:$G$110="acoes"))*Inputs!$B$1+((Inputs!$G$5:$G$110&lt;&gt;"moeda")*(Inputs!$G$5:$G$110&lt;&gt;"acoes")))*INDEX(Inputs!$K$5:$AJ$110,0,MATCH(Z$2,Inputs!$K$4:$AJ$4,0)))))</f>
        <v>0</v>
      </c>
      <c r="AA11" s="267">
        <f>IF(ISNA(MATCH(AA$2,Inputs!$K$4:$AJ$4,0)),NA(),IF(SUMPRODUCT((Inputs!$A$5:$A$110=$B11)*ISNUMBER(INDEX(Inputs!$K$5:$AJ$110,0,MATCH(AA$2,Inputs!$K$4:$AJ$4,0))))+SUMPRODUCT((Inputs!$C$5:$C$110=$B11)*ISNUMBER(INDEX(Inputs!$K$5:$AJ$110,0,MATCH(AA$2,Inputs!$K$4:$AJ$4,0))))+SUMPRODUCT((Inputs!$E$5:$E$110=$B11)*ISNUMBER(INDEX(Inputs!$K$5:$AJ$110,0,MATCH(AA$2,Inputs!$K$4:$AJ$4,0))))=0,NA(),SUMPRODUCT((Inputs!$A$5:$A$110=$B11)*Inputs!$B$5:$B$110*(((Inputs!$G$5:$G$110="moeda")+(Inputs!$G$5:$G$110="acoes"))*Inputs!$B$1+((Inputs!$G$5:$G$110&lt;&gt;"moeda")*(Inputs!$G$5:$G$110&lt;&gt;"acoes")))*INDEX(Inputs!$K$5:$AJ$110,0,MATCH(AA$2,Inputs!$K$4:$AJ$4,0)))+SUMPRODUCT((Inputs!$C$5:$C$110=$B11)*Inputs!$D$5:$D$110*(((Inputs!$G$5:$G$110="moeda")+(Inputs!$G$5:$G$110="acoes"))*Inputs!$B$1+((Inputs!$G$5:$G$110&lt;&gt;"moeda")*(Inputs!$G$5:$G$110&lt;&gt;"acoes")))*INDEX(Inputs!$K$5:$AJ$110,0,MATCH(AA$2,Inputs!$K$4:$AJ$4,0)))+SUMPRODUCT((Inputs!$E$5:$E$110=$B11)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1" s="268">
        <f>SUM(X11:AA11)</f>
        <v>0</v>
      </c>
      <c r="AC11" s="267">
        <f>IF(ISNA(MATCH(AC$2,Inputs!$K$4:$AJ$4,0)),NA(),IF(SUMPRODUCT((Inputs!$A$5:$A$110=$B11)*ISNUMBER(INDEX(Inputs!$K$5:$AJ$110,0,MATCH(AC$2,Inputs!$K$4:$AJ$4,0))))+SUMPRODUCT((Inputs!$C$5:$C$110=$B11)*ISNUMBER(INDEX(Inputs!$K$5:$AJ$110,0,MATCH(AC$2,Inputs!$K$4:$AJ$4,0))))+SUMPRODUCT((Inputs!$E$5:$E$110=$B11)*ISNUMBER(INDEX(Inputs!$K$5:$AJ$110,0,MATCH(AC$2,Inputs!$K$4:$AJ$4,0))))=0,NA(),SUMPRODUCT((Inputs!$A$5:$A$110=$B11)*Inputs!$B$5:$B$110*(((Inputs!$G$5:$G$110="moeda")+(Inputs!$G$5:$G$110="acoes"))*Inputs!$B$1+((Inputs!$G$5:$G$110&lt;&gt;"moeda")*(Inputs!$G$5:$G$110&lt;&gt;"acoes")))*INDEX(Inputs!$K$5:$AJ$110,0,MATCH(AC$2,Inputs!$K$4:$AJ$4,0)))+SUMPRODUCT((Inputs!$C$5:$C$110=$B11)*Inputs!$D$5:$D$110*(((Inputs!$G$5:$G$110="moeda")+(Inputs!$G$5:$G$110="acoes"))*Inputs!$B$1+((Inputs!$G$5:$G$110&lt;&gt;"moeda")*(Inputs!$G$5:$G$110&lt;&gt;"acoes")))*INDEX(Inputs!$K$5:$AJ$110,0,MATCH(AC$2,Inputs!$K$4:$AJ$4,0)))+SUMPRODUCT((Inputs!$E$5:$E$110=$B11)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1" s="267">
        <f>IF(ISNA(MATCH(AD$2,Inputs!$K$4:$AJ$4,0)),NA(),IF(SUMPRODUCT((Inputs!$A$5:$A$110=$B11)*ISNUMBER(INDEX(Inputs!$K$5:$AJ$110,0,MATCH(AD$2,Inputs!$K$4:$AJ$4,0))))+SUMPRODUCT((Inputs!$C$5:$C$110=$B11)*ISNUMBER(INDEX(Inputs!$K$5:$AJ$110,0,MATCH(AD$2,Inputs!$K$4:$AJ$4,0))))+SUMPRODUCT((Inputs!$E$5:$E$110=$B11)*ISNUMBER(INDEX(Inputs!$K$5:$AJ$110,0,MATCH(AD$2,Inputs!$K$4:$AJ$4,0))))=0,NA(),SUMPRODUCT((Inputs!$A$5:$A$110=$B11)*Inputs!$B$5:$B$110*(((Inputs!$G$5:$G$110="moeda")+(Inputs!$G$5:$G$110="acoes"))*Inputs!$B$1+((Inputs!$G$5:$G$110&lt;&gt;"moeda")*(Inputs!$G$5:$G$110&lt;&gt;"acoes")))*INDEX(Inputs!$K$5:$AJ$110,0,MATCH(AD$2,Inputs!$K$4:$AJ$4,0)))+SUMPRODUCT((Inputs!$C$5:$C$110=$B11)*Inputs!$D$5:$D$110*(((Inputs!$G$5:$G$110="moeda")+(Inputs!$G$5:$G$110="acoes"))*Inputs!$B$1+((Inputs!$G$5:$G$110&lt;&gt;"moeda")*(Inputs!$G$5:$G$110&lt;&gt;"acoes")))*INDEX(Inputs!$K$5:$AJ$110,0,MATCH(AD$2,Inputs!$K$4:$AJ$4,0)))+SUMPRODUCT((Inputs!$E$5:$E$110=$B11)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1" s="267" t="e">
        <f>IF(ISNA(MATCH(AE$2,Inputs!$K$4:$AJ$4,0)),NA(),IF(SUMPRODUCT((Inputs!$A$5:$A$110=$B11)*ISNUMBER(INDEX(Inputs!$K$5:$AJ$110,0,MATCH(AE$2,Inputs!$K$4:$AJ$4,0))))+SUMPRODUCT((Inputs!$C$5:$C$110=$B11)*ISNUMBER(INDEX(Inputs!$K$5:$AJ$110,0,MATCH(AE$2,Inputs!$K$4:$AJ$4,0))))+SUMPRODUCT((Inputs!$E$5:$E$110=$B11)*ISNUMBER(INDEX(Inputs!$K$5:$AJ$110,0,MATCH(AE$2,Inputs!$K$4:$AJ$4,0))))=0,NA(),SUMPRODUCT((Inputs!$A$5:$A$110=$B11)*Inputs!$B$5:$B$110*(((Inputs!$G$5:$G$110="moeda")+(Inputs!$G$5:$G$110="acoes"))*Inputs!$B$1+((Inputs!$G$5:$G$110&lt;&gt;"moeda")*(Inputs!$G$5:$G$110&lt;&gt;"acoes")))*INDEX(Inputs!$K$5:$AJ$110,0,MATCH(AE$2,Inputs!$K$4:$AJ$4,0)))+SUMPRODUCT((Inputs!$C$5:$C$110=$B11)*Inputs!$D$5:$D$110*(((Inputs!$G$5:$G$110="moeda")+(Inputs!$G$5:$G$110="acoes"))*Inputs!$B$1+((Inputs!$G$5:$G$110&lt;&gt;"moeda")*(Inputs!$G$5:$G$110&lt;&gt;"acoes")))*INDEX(Inputs!$K$5:$AJ$110,0,MATCH(AE$2,Inputs!$K$4:$AJ$4,0)))+SUMPRODUCT((Inputs!$E$5:$E$110=$B11)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1" s="267" t="e">
        <f>IF(ISNA(MATCH(AF$2,Inputs!$K$4:$AJ$4,0)),NA(),IF(SUMPRODUCT((Inputs!$A$5:$A$110=$B11)*ISNUMBER(INDEX(Inputs!$K$5:$AJ$110,0,MATCH(AF$2,Inputs!$K$4:$AJ$4,0))))+SUMPRODUCT((Inputs!$C$5:$C$110=$B11)*ISNUMBER(INDEX(Inputs!$K$5:$AJ$110,0,MATCH(AF$2,Inputs!$K$4:$AJ$4,0))))+SUMPRODUCT((Inputs!$E$5:$E$110=$B11)*ISNUMBER(INDEX(Inputs!$K$5:$AJ$110,0,MATCH(AF$2,Inputs!$K$4:$AJ$4,0))))=0,NA(),SUMPRODUCT((Inputs!$A$5:$A$110=$B11)*Inputs!$B$5:$B$110*(((Inputs!$G$5:$G$110="moeda")+(Inputs!$G$5:$G$110="acoes"))*Inputs!$B$1+((Inputs!$G$5:$G$110&lt;&gt;"moeda")*(Inputs!$G$5:$G$110&lt;&gt;"acoes")))*INDEX(Inputs!$K$5:$AJ$110,0,MATCH(AF$2,Inputs!$K$4:$AJ$4,0)))+SUMPRODUCT((Inputs!$C$5:$C$110=$B11)*Inputs!$D$5:$D$110*(((Inputs!$G$5:$G$110="moeda")+(Inputs!$G$5:$G$110="acoes"))*Inputs!$B$1+((Inputs!$G$5:$G$110&lt;&gt;"moeda")*(Inputs!$G$5:$G$110&lt;&gt;"acoes")))*INDEX(Inputs!$K$5:$AJ$110,0,MATCH(AF$2,Inputs!$K$4:$AJ$4,0)))+SUMPRODUCT((Inputs!$E$5:$E$110=$B11)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1" s="268" t="e">
        <f>SUM(AC11:AF11)</f>
        <v>#N/A</v>
      </c>
      <c r="AH11" s="267">
        <f>IF(ISNA(MATCH(AH$2,Inputs!$K$4:$AJ$4,0)),NA(),IF(SUMPRODUCT((Inputs!$A$5:$A$110=$B11)*ISNUMBER(INDEX(Inputs!$K$5:$AJ$110,0,MATCH(AH$2,Inputs!$K$4:$AJ$4,0))))+SUMPRODUCT((Inputs!$C$5:$C$110=$B11)*ISNUMBER(INDEX(Inputs!$K$5:$AJ$110,0,MATCH(AH$2,Inputs!$K$4:$AJ$4,0))))+SUMPRODUCT((Inputs!$E$5:$E$110=$B11)*ISNUMBER(INDEX(Inputs!$K$5:$AJ$110,0,MATCH(AH$2,Inputs!$K$4:$AJ$4,0))))=0,NA(),SUMPRODUCT((Inputs!$A$5:$A$110=$B11)*Inputs!$B$5:$B$110*(((Inputs!$G$5:$G$110="moeda")+(Inputs!$G$5:$G$110="acoes"))*Inputs!$B$1+((Inputs!$G$5:$G$110&lt;&gt;"moeda")*(Inputs!$G$5:$G$110&lt;&gt;"acoes")))*INDEX(Inputs!$K$5:$AJ$110,0,MATCH(AH$2,Inputs!$K$4:$AJ$4,0)))+SUMPRODUCT((Inputs!$C$5:$C$110=$B11)*Inputs!$D$5:$D$110*(((Inputs!$G$5:$G$110="moeda")+(Inputs!$G$5:$G$110="acoes"))*Inputs!$B$1+((Inputs!$G$5:$G$110&lt;&gt;"moeda")*(Inputs!$G$5:$G$110&lt;&gt;"acoes")))*INDEX(Inputs!$K$5:$AJ$110,0,MATCH(AH$2,Inputs!$K$4:$AJ$4,0)))+SUMPRODUCT((Inputs!$E$5:$E$110=$B11)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1" s="267">
        <f>IF(ISNA(MATCH(AI$2,Inputs!$K$4:$AJ$4,0)),NA(),IF(SUMPRODUCT((Inputs!$A$5:$A$110=$B11)*ISNUMBER(INDEX(Inputs!$K$5:$AJ$110,0,MATCH(AI$2,Inputs!$K$4:$AJ$4,0))))+SUMPRODUCT((Inputs!$C$5:$C$110=$B11)*ISNUMBER(INDEX(Inputs!$K$5:$AJ$110,0,MATCH(AI$2,Inputs!$K$4:$AJ$4,0))))+SUMPRODUCT((Inputs!$E$5:$E$110=$B11)*ISNUMBER(INDEX(Inputs!$K$5:$AJ$110,0,MATCH(AI$2,Inputs!$K$4:$AJ$4,0))))=0,NA(),SUMPRODUCT((Inputs!$A$5:$A$110=$B11)*Inputs!$B$5:$B$110*(((Inputs!$G$5:$G$110="moeda")+(Inputs!$G$5:$G$110="acoes"))*Inputs!$B$1+((Inputs!$G$5:$G$110&lt;&gt;"moeda")*(Inputs!$G$5:$G$110&lt;&gt;"acoes")))*INDEX(Inputs!$K$5:$AJ$110,0,MATCH(AI$2,Inputs!$K$4:$AJ$4,0)))+SUMPRODUCT((Inputs!$C$5:$C$110=$B11)*Inputs!$D$5:$D$110*(((Inputs!$G$5:$G$110="moeda")+(Inputs!$G$5:$G$110="acoes"))*Inputs!$B$1+((Inputs!$G$5:$G$110&lt;&gt;"moeda")*(Inputs!$G$5:$G$110&lt;&gt;"acoes")))*INDEX(Inputs!$K$5:$AJ$110,0,MATCH(AI$2,Inputs!$K$4:$AJ$4,0)))+SUMPRODUCT((Inputs!$E$5:$E$110=$B11)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1" s="267">
        <f>IF(ISNA(MATCH(AJ$2,Inputs!$K$4:$AJ$4,0)),NA(),IF(SUMPRODUCT((Inputs!$A$5:$A$110=$B11)*ISNUMBER(INDEX(Inputs!$K$5:$AJ$110,0,MATCH(AJ$2,Inputs!$K$4:$AJ$4,0))))+SUMPRODUCT((Inputs!$C$5:$C$110=$B11)*ISNUMBER(INDEX(Inputs!$K$5:$AJ$110,0,MATCH(AJ$2,Inputs!$K$4:$AJ$4,0))))+SUMPRODUCT((Inputs!$E$5:$E$110=$B11)*ISNUMBER(INDEX(Inputs!$K$5:$AJ$110,0,MATCH(AJ$2,Inputs!$K$4:$AJ$4,0))))=0,NA(),SUMPRODUCT((Inputs!$A$5:$A$110=$B11)*Inputs!$B$5:$B$110*(((Inputs!$G$5:$G$110="moeda")+(Inputs!$G$5:$G$110="acoes"))*Inputs!$B$1+((Inputs!$G$5:$G$110&lt;&gt;"moeda")*(Inputs!$G$5:$G$110&lt;&gt;"acoes")))*INDEX(Inputs!$K$5:$AJ$110,0,MATCH(AJ$2,Inputs!$K$4:$AJ$4,0)))+SUMPRODUCT((Inputs!$C$5:$C$110=$B11)*Inputs!$D$5:$D$110*(((Inputs!$G$5:$G$110="moeda")+(Inputs!$G$5:$G$110="acoes"))*Inputs!$B$1+((Inputs!$G$5:$G$110&lt;&gt;"moeda")*(Inputs!$G$5:$G$110&lt;&gt;"acoes")))*INDEX(Inputs!$K$5:$AJ$110,0,MATCH(AJ$2,Inputs!$K$4:$AJ$4,0)))+SUMPRODUCT((Inputs!$E$5:$E$110=$B11)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1" s="267">
        <f>IF(ISNA(MATCH(AK$2,Inputs!$K$4:$AJ$4,0)),NA(),IF(SUMPRODUCT((Inputs!$A$5:$A$110=$B11)*ISNUMBER(INDEX(Inputs!$K$5:$AJ$110,0,MATCH(AK$2,Inputs!$K$4:$AJ$4,0))))+SUMPRODUCT((Inputs!$C$5:$C$110=$B11)*ISNUMBER(INDEX(Inputs!$K$5:$AJ$110,0,MATCH(AK$2,Inputs!$K$4:$AJ$4,0))))+SUMPRODUCT((Inputs!$E$5:$E$110=$B11)*ISNUMBER(INDEX(Inputs!$K$5:$AJ$110,0,MATCH(AK$2,Inputs!$K$4:$AJ$4,0))))=0,NA(),SUMPRODUCT((Inputs!$A$5:$A$110=$B11)*Inputs!$B$5:$B$110*(((Inputs!$G$5:$G$110="moeda")+(Inputs!$G$5:$G$110="acoes"))*Inputs!$B$1+((Inputs!$G$5:$G$110&lt;&gt;"moeda")*(Inputs!$G$5:$G$110&lt;&gt;"acoes")))*INDEX(Inputs!$K$5:$AJ$110,0,MATCH(AK$2,Inputs!$K$4:$AJ$4,0)))+SUMPRODUCT((Inputs!$C$5:$C$110=$B11)*Inputs!$D$5:$D$110*(((Inputs!$G$5:$G$110="moeda")+(Inputs!$G$5:$G$110="acoes"))*Inputs!$B$1+((Inputs!$G$5:$G$110&lt;&gt;"moeda")*(Inputs!$G$5:$G$110&lt;&gt;"acoes")))*INDEX(Inputs!$K$5:$AJ$110,0,MATCH(AK$2,Inputs!$K$4:$AJ$4,0)))+SUMPRODUCT((Inputs!$E$5:$E$110=$B11)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1" s="268">
        <f>SUM(AH11:AK11)</f>
        <v>0</v>
      </c>
    </row>
    <row r="12" ht="12.75" customHeight="1" s="255">
      <c r="B12" s="265" t="n">
        <v>9</v>
      </c>
      <c r="C12" s="270" t="inlineStr">
        <is>
          <t>Minority Interest Expense, after tax (enter as - )</t>
        </is>
      </c>
      <c r="D12" s="267">
        <f>IF(ISNA(MATCH(D$2,Inputs!$K$4:$AJ$4,0)),NA(),IF(SUMPRODUCT((Inputs!$A$5:$A$110=$B12)*ISNUMBER(INDEX(Inputs!$K$5:$AJ$110,0,MATCH(D$2,Inputs!$K$4:$AJ$4,0))))+SUMPRODUCT((Inputs!$C$5:$C$110=$B12)*ISNUMBER(INDEX(Inputs!$K$5:$AJ$110,0,MATCH(D$2,Inputs!$K$4:$AJ$4,0))))+SUMPRODUCT((Inputs!$E$5:$E$110=$B12)*ISNUMBER(INDEX(Inputs!$K$5:$AJ$110,0,MATCH(D$2,Inputs!$K$4:$AJ$4,0))))=0,NA(),SUMPRODUCT((Inputs!$A$5:$A$110=$B12)*Inputs!$B$5:$B$110*(((Inputs!$G$5:$G$110="moeda")+(Inputs!$G$5:$G$110="acoes"))*Inputs!$B$1+((Inputs!$G$5:$G$110&lt;&gt;"moeda")*(Inputs!$G$5:$G$110&lt;&gt;"acoes")))*INDEX(Inputs!$K$5:$AJ$110,0,MATCH(D$2,Inputs!$K$4:$AJ$4,0)))+SUMPRODUCT((Inputs!$C$5:$C$110=$B12)*Inputs!$D$5:$D$110*(((Inputs!$G$5:$G$110="moeda")+(Inputs!$G$5:$G$110="acoes"))*Inputs!$B$1+((Inputs!$G$5:$G$110&lt;&gt;"moeda")*(Inputs!$G$5:$G$110&lt;&gt;"acoes")))*INDEX(Inputs!$K$5:$AJ$110,0,MATCH(D$2,Inputs!$K$4:$AJ$4,0)))+SUMPRODUCT((Inputs!$E$5:$E$110=$B12)*Inputs!$F$5:$F$110*(((Inputs!$G$5:$G$110="moeda")+(Inputs!$G$5:$G$110="acoes"))*Inputs!$B$1+((Inputs!$G$5:$G$110&lt;&gt;"moeda")*(Inputs!$G$5:$G$110&lt;&gt;"acoes")))*INDEX(Inputs!$K$5:$AJ$110,0,MATCH(D$2,Inputs!$K$4:$AJ$4,0)))))</f>
        <v>-81</v>
      </c>
      <c r="E12" s="267">
        <f>IF(ISNA(MATCH(E$2,Inputs!$K$4:$AJ$4,0)),NA(),IF(SUMPRODUCT((Inputs!$A$5:$A$110=$B12)*ISNUMBER(INDEX(Inputs!$K$5:$AJ$110,0,MATCH(E$2,Inputs!$K$4:$AJ$4,0))))+SUMPRODUCT((Inputs!$C$5:$C$110=$B12)*ISNUMBER(INDEX(Inputs!$K$5:$AJ$110,0,MATCH(E$2,Inputs!$K$4:$AJ$4,0))))+SUMPRODUCT((Inputs!$E$5:$E$110=$B12)*ISNUMBER(INDEX(Inputs!$K$5:$AJ$110,0,MATCH(E$2,Inputs!$K$4:$AJ$4,0))))=0,NA(),SUMPRODUCT((Inputs!$A$5:$A$110=$B12)*Inputs!$B$5:$B$110*(((Inputs!$G$5:$G$110="moeda")+(Inputs!$G$5:$G$110="acoes"))*Inputs!$B$1+((Inputs!$G$5:$G$110&lt;&gt;"moeda")*(Inputs!$G$5:$G$110&lt;&gt;"acoes")))*INDEX(Inputs!$K$5:$AJ$110,0,MATCH(E$2,Inputs!$K$4:$AJ$4,0)))+SUMPRODUCT((Inputs!$C$5:$C$110=$B12)*Inputs!$D$5:$D$110*(((Inputs!$G$5:$G$110="moeda")+(Inputs!$G$5:$G$110="acoes"))*Inputs!$B$1+((Inputs!$G$5:$G$110&lt;&gt;"moeda")*(Inputs!$G$5:$G$110&lt;&gt;"acoes")))*INDEX(Inputs!$K$5:$AJ$110,0,MATCH(E$2,Inputs!$K$4:$AJ$4,0)))+SUMPRODUCT((Inputs!$E$5:$E$110=$B12)*Inputs!$F$5:$F$110*(((Inputs!$G$5:$G$110="moeda")+(Inputs!$G$5:$G$110="acoes"))*Inputs!$B$1+((Inputs!$G$5:$G$110&lt;&gt;"moeda")*(Inputs!$G$5:$G$110&lt;&gt;"acoes")))*INDEX(Inputs!$K$5:$AJ$110,0,MATCH(E$2,Inputs!$K$4:$AJ$4,0)))))</f>
        <v>-88</v>
      </c>
      <c r="F12" s="267">
        <f>IF(ISNA(MATCH(F$2,Inputs!$K$4:$AJ$4,0)),NA(),IF(SUMPRODUCT((Inputs!$A$5:$A$110=$B12)*ISNUMBER(INDEX(Inputs!$K$5:$AJ$110,0,MATCH(F$2,Inputs!$K$4:$AJ$4,0))))+SUMPRODUCT((Inputs!$C$5:$C$110=$B12)*ISNUMBER(INDEX(Inputs!$K$5:$AJ$110,0,MATCH(F$2,Inputs!$K$4:$AJ$4,0))))+SUMPRODUCT((Inputs!$E$5:$E$110=$B12)*ISNUMBER(INDEX(Inputs!$K$5:$AJ$110,0,MATCH(F$2,Inputs!$K$4:$AJ$4,0))))=0,NA(),SUMPRODUCT((Inputs!$A$5:$A$110=$B12)*Inputs!$B$5:$B$110*(((Inputs!$G$5:$G$110="moeda")+(Inputs!$G$5:$G$110="acoes"))*Inputs!$B$1+((Inputs!$G$5:$G$110&lt;&gt;"moeda")*(Inputs!$G$5:$G$110&lt;&gt;"acoes")))*INDEX(Inputs!$K$5:$AJ$110,0,MATCH(F$2,Inputs!$K$4:$AJ$4,0)))+SUMPRODUCT((Inputs!$C$5:$C$110=$B12)*Inputs!$D$5:$D$110*(((Inputs!$G$5:$G$110="moeda")+(Inputs!$G$5:$G$110="acoes"))*Inputs!$B$1+((Inputs!$G$5:$G$110&lt;&gt;"moeda")*(Inputs!$G$5:$G$110&lt;&gt;"acoes")))*INDEX(Inputs!$K$5:$AJ$110,0,MATCH(F$2,Inputs!$K$4:$AJ$4,0)))+SUMPRODUCT((Inputs!$E$5:$E$110=$B12)*Inputs!$F$5:$F$110*(((Inputs!$G$5:$G$110="moeda")+(Inputs!$G$5:$G$110="acoes"))*Inputs!$B$1+((Inputs!$G$5:$G$110&lt;&gt;"moeda")*(Inputs!$G$5:$G$110&lt;&gt;"acoes")))*INDEX(Inputs!$K$5:$AJ$110,0,MATCH(F$2,Inputs!$K$4:$AJ$4,0)))))</f>
        <v>-27</v>
      </c>
      <c r="G12" s="267">
        <f>IF(ISNA(MATCH(G$2,Inputs!$K$4:$AJ$4,0)),NA(),IF(SUMPRODUCT((Inputs!$A$5:$A$110=$B12)*ISNUMBER(INDEX(Inputs!$K$5:$AJ$110,0,MATCH(G$2,Inputs!$K$4:$AJ$4,0))))+SUMPRODUCT((Inputs!$C$5:$C$110=$B12)*ISNUMBER(INDEX(Inputs!$K$5:$AJ$110,0,MATCH(G$2,Inputs!$K$4:$AJ$4,0))))+SUMPRODUCT((Inputs!$E$5:$E$110=$B12)*ISNUMBER(INDEX(Inputs!$K$5:$AJ$110,0,MATCH(G$2,Inputs!$K$4:$AJ$4,0))))=0,NA(),SUMPRODUCT((Inputs!$A$5:$A$110=$B12)*Inputs!$B$5:$B$110*(((Inputs!$G$5:$G$110="moeda")+(Inputs!$G$5:$G$110="acoes"))*Inputs!$B$1+((Inputs!$G$5:$G$110&lt;&gt;"moeda")*(Inputs!$G$5:$G$110&lt;&gt;"acoes")))*INDEX(Inputs!$K$5:$AJ$110,0,MATCH(G$2,Inputs!$K$4:$AJ$4,0)))+SUMPRODUCT((Inputs!$C$5:$C$110=$B12)*Inputs!$D$5:$D$110*(((Inputs!$G$5:$G$110="moeda")+(Inputs!$G$5:$G$110="acoes"))*Inputs!$B$1+((Inputs!$G$5:$G$110&lt;&gt;"moeda")*(Inputs!$G$5:$G$110&lt;&gt;"acoes")))*INDEX(Inputs!$K$5:$AJ$110,0,MATCH(G$2,Inputs!$K$4:$AJ$4,0)))+SUMPRODUCT((Inputs!$E$5:$E$110=$B12)*Inputs!$F$5:$F$110*(((Inputs!$G$5:$G$110="moeda")+(Inputs!$G$5:$G$110="acoes"))*Inputs!$B$1+((Inputs!$G$5:$G$110&lt;&gt;"moeda")*(Inputs!$G$5:$G$110&lt;&gt;"acoes")))*INDEX(Inputs!$K$5:$AJ$110,0,MATCH(G$2,Inputs!$K$4:$AJ$4,0)))))</f>
        <v>-71</v>
      </c>
      <c r="H12" s="268">
        <f>SUM(D12:G12)</f>
        <v>-267</v>
      </c>
      <c r="I12" s="267">
        <f>IF(ISNA(MATCH(I$2,Inputs!$K$4:$AJ$4,0)),NA(),IF(SUMPRODUCT((Inputs!$A$5:$A$110=$B12)*ISNUMBER(INDEX(Inputs!$K$5:$AJ$110,0,MATCH(I$2,Inputs!$K$4:$AJ$4,0))))+SUMPRODUCT((Inputs!$C$5:$C$110=$B12)*ISNUMBER(INDEX(Inputs!$K$5:$AJ$110,0,MATCH(I$2,Inputs!$K$4:$AJ$4,0))))+SUMPRODUCT((Inputs!$E$5:$E$110=$B12)*ISNUMBER(INDEX(Inputs!$K$5:$AJ$110,0,MATCH(I$2,Inputs!$K$4:$AJ$4,0))))=0,NA(),SUMPRODUCT((Inputs!$A$5:$A$110=$B12)*Inputs!$B$5:$B$110*(((Inputs!$G$5:$G$110="moeda")+(Inputs!$G$5:$G$110="acoes"))*Inputs!$B$1+((Inputs!$G$5:$G$110&lt;&gt;"moeda")*(Inputs!$G$5:$G$110&lt;&gt;"acoes")))*INDEX(Inputs!$K$5:$AJ$110,0,MATCH(I$2,Inputs!$K$4:$AJ$4,0)))+SUMPRODUCT((Inputs!$C$5:$C$110=$B12)*Inputs!$D$5:$D$110*(((Inputs!$G$5:$G$110="moeda")+(Inputs!$G$5:$G$110="acoes"))*Inputs!$B$1+((Inputs!$G$5:$G$110&lt;&gt;"moeda")*(Inputs!$G$5:$G$110&lt;&gt;"acoes")))*INDEX(Inputs!$K$5:$AJ$110,0,MATCH(I$2,Inputs!$K$4:$AJ$4,0)))+SUMPRODUCT((Inputs!$E$5:$E$110=$B12)*Inputs!$F$5:$F$110*(((Inputs!$G$5:$G$110="moeda")+(Inputs!$G$5:$G$110="acoes"))*Inputs!$B$1+((Inputs!$G$5:$G$110&lt;&gt;"moeda")*(Inputs!$G$5:$G$110&lt;&gt;"acoes")))*INDEX(Inputs!$K$5:$AJ$110,0,MATCH(I$2,Inputs!$K$4:$AJ$4,0)))))</f>
        <v>-49</v>
      </c>
      <c r="J12" s="267">
        <f>IF(ISNA(MATCH(J$2,Inputs!$K$4:$AJ$4,0)),NA(),IF(SUMPRODUCT((Inputs!$A$5:$A$110=$B12)*ISNUMBER(INDEX(Inputs!$K$5:$AJ$110,0,MATCH(J$2,Inputs!$K$4:$AJ$4,0))))+SUMPRODUCT((Inputs!$C$5:$C$110=$B12)*ISNUMBER(INDEX(Inputs!$K$5:$AJ$110,0,MATCH(J$2,Inputs!$K$4:$AJ$4,0))))+SUMPRODUCT((Inputs!$E$5:$E$110=$B12)*ISNUMBER(INDEX(Inputs!$K$5:$AJ$110,0,MATCH(J$2,Inputs!$K$4:$AJ$4,0))))=0,NA(),SUMPRODUCT((Inputs!$A$5:$A$110=$B12)*Inputs!$B$5:$B$110*(((Inputs!$G$5:$G$110="moeda")+(Inputs!$G$5:$G$110="acoes"))*Inputs!$B$1+((Inputs!$G$5:$G$110&lt;&gt;"moeda")*(Inputs!$G$5:$G$110&lt;&gt;"acoes")))*INDEX(Inputs!$K$5:$AJ$110,0,MATCH(J$2,Inputs!$K$4:$AJ$4,0)))+SUMPRODUCT((Inputs!$C$5:$C$110=$B12)*Inputs!$D$5:$D$110*(((Inputs!$G$5:$G$110="moeda")+(Inputs!$G$5:$G$110="acoes"))*Inputs!$B$1+((Inputs!$G$5:$G$110&lt;&gt;"moeda")*(Inputs!$G$5:$G$110&lt;&gt;"acoes")))*INDEX(Inputs!$K$5:$AJ$110,0,MATCH(J$2,Inputs!$K$4:$AJ$4,0)))+SUMPRODUCT((Inputs!$E$5:$E$110=$B12)*Inputs!$F$5:$F$110*(((Inputs!$G$5:$G$110="moeda")+(Inputs!$G$5:$G$110="acoes"))*Inputs!$B$1+((Inputs!$G$5:$G$110&lt;&gt;"moeda")*(Inputs!$G$5:$G$110&lt;&gt;"acoes")))*INDEX(Inputs!$K$5:$AJ$110,0,MATCH(J$2,Inputs!$K$4:$AJ$4,0)))))</f>
        <v>2</v>
      </c>
      <c r="K12" s="267">
        <f>IF(ISNA(MATCH(K$2,Inputs!$K$4:$AJ$4,0)),NA(),IF(SUMPRODUCT((Inputs!$A$5:$A$110=$B12)*ISNUMBER(INDEX(Inputs!$K$5:$AJ$110,0,MATCH(K$2,Inputs!$K$4:$AJ$4,0))))+SUMPRODUCT((Inputs!$C$5:$C$110=$B12)*ISNUMBER(INDEX(Inputs!$K$5:$AJ$110,0,MATCH(K$2,Inputs!$K$4:$AJ$4,0))))+SUMPRODUCT((Inputs!$E$5:$E$110=$B12)*ISNUMBER(INDEX(Inputs!$K$5:$AJ$110,0,MATCH(K$2,Inputs!$K$4:$AJ$4,0))))=0,NA(),SUMPRODUCT((Inputs!$A$5:$A$110=$B12)*Inputs!$B$5:$B$110*(((Inputs!$G$5:$G$110="moeda")+(Inputs!$G$5:$G$110="acoes"))*Inputs!$B$1+((Inputs!$G$5:$G$110&lt;&gt;"moeda")*(Inputs!$G$5:$G$110&lt;&gt;"acoes")))*INDEX(Inputs!$K$5:$AJ$110,0,MATCH(K$2,Inputs!$K$4:$AJ$4,0)))+SUMPRODUCT((Inputs!$C$5:$C$110=$B12)*Inputs!$D$5:$D$110*(((Inputs!$G$5:$G$110="moeda")+(Inputs!$G$5:$G$110="acoes"))*Inputs!$B$1+((Inputs!$G$5:$G$110&lt;&gt;"moeda")*(Inputs!$G$5:$G$110&lt;&gt;"acoes")))*INDEX(Inputs!$K$5:$AJ$110,0,MATCH(K$2,Inputs!$K$4:$AJ$4,0)))+SUMPRODUCT((Inputs!$E$5:$E$110=$B12)*Inputs!$F$5:$F$110*(((Inputs!$G$5:$G$110="moeda")+(Inputs!$G$5:$G$110="acoes"))*Inputs!$B$1+((Inputs!$G$5:$G$110&lt;&gt;"moeda")*(Inputs!$G$5:$G$110&lt;&gt;"acoes")))*INDEX(Inputs!$K$5:$AJ$110,0,MATCH(K$2,Inputs!$K$4:$AJ$4,0)))))</f>
        <v>-31</v>
      </c>
      <c r="L12" s="267">
        <f>IF(ISNA(MATCH(L$2,Inputs!$K$4:$AJ$4,0)),NA(),IF(SUMPRODUCT((Inputs!$A$5:$A$110=$B12)*ISNUMBER(INDEX(Inputs!$K$5:$AJ$110,0,MATCH(L$2,Inputs!$K$4:$AJ$4,0))))+SUMPRODUCT((Inputs!$C$5:$C$110=$B12)*ISNUMBER(INDEX(Inputs!$K$5:$AJ$110,0,MATCH(L$2,Inputs!$K$4:$AJ$4,0))))+SUMPRODUCT((Inputs!$E$5:$E$110=$B12)*ISNUMBER(INDEX(Inputs!$K$5:$AJ$110,0,MATCH(L$2,Inputs!$K$4:$AJ$4,0))))=0,NA(),SUMPRODUCT((Inputs!$A$5:$A$110=$B12)*Inputs!$B$5:$B$110*(((Inputs!$G$5:$G$110="moeda")+(Inputs!$G$5:$G$110="acoes"))*Inputs!$B$1+((Inputs!$G$5:$G$110&lt;&gt;"moeda")*(Inputs!$G$5:$G$110&lt;&gt;"acoes")))*INDEX(Inputs!$K$5:$AJ$110,0,MATCH(L$2,Inputs!$K$4:$AJ$4,0)))+SUMPRODUCT((Inputs!$C$5:$C$110=$B12)*Inputs!$D$5:$D$110*(((Inputs!$G$5:$G$110="moeda")+(Inputs!$G$5:$G$110="acoes"))*Inputs!$B$1+((Inputs!$G$5:$G$110&lt;&gt;"moeda")*(Inputs!$G$5:$G$110&lt;&gt;"acoes")))*INDEX(Inputs!$K$5:$AJ$110,0,MATCH(L$2,Inputs!$K$4:$AJ$4,0)))+SUMPRODUCT((Inputs!$E$5:$E$110=$B12)*Inputs!$F$5:$F$110*(((Inputs!$G$5:$G$110="moeda")+(Inputs!$G$5:$G$110="acoes"))*Inputs!$B$1+((Inputs!$G$5:$G$110&lt;&gt;"moeda")*(Inputs!$G$5:$G$110&lt;&gt;"acoes")))*INDEX(Inputs!$K$5:$AJ$110,0,MATCH(L$2,Inputs!$K$4:$AJ$4,0)))))</f>
        <v>466</v>
      </c>
      <c r="M12" s="268">
        <f>SUM(I12:L12)</f>
        <v>388</v>
      </c>
      <c r="N12" s="267">
        <f>IF(ISNA(MATCH(N$2,Inputs!$K$4:$AJ$4,0)),NA(),IF(SUMPRODUCT((Inputs!$A$5:$A$110=$B12)*ISNUMBER(INDEX(Inputs!$K$5:$AJ$110,0,MATCH(N$2,Inputs!$K$4:$AJ$4,0))))+SUMPRODUCT((Inputs!$C$5:$C$110=$B12)*ISNUMBER(INDEX(Inputs!$K$5:$AJ$110,0,MATCH(N$2,Inputs!$K$4:$AJ$4,0))))+SUMPRODUCT((Inputs!$E$5:$E$110=$B12)*ISNUMBER(INDEX(Inputs!$K$5:$AJ$110,0,MATCH(N$2,Inputs!$K$4:$AJ$4,0))))=0,NA(),SUMPRODUCT((Inputs!$A$5:$A$110=$B12)*Inputs!$B$5:$B$110*(((Inputs!$G$5:$G$110="moeda")+(Inputs!$G$5:$G$110="acoes"))*Inputs!$B$1+((Inputs!$G$5:$G$110&lt;&gt;"moeda")*(Inputs!$G$5:$G$110&lt;&gt;"acoes")))*INDEX(Inputs!$K$5:$AJ$110,0,MATCH(N$2,Inputs!$K$4:$AJ$4,0)))+SUMPRODUCT((Inputs!$C$5:$C$110=$B12)*Inputs!$D$5:$D$110*(((Inputs!$G$5:$G$110="moeda")+(Inputs!$G$5:$G$110="acoes"))*Inputs!$B$1+((Inputs!$G$5:$G$110&lt;&gt;"moeda")*(Inputs!$G$5:$G$110&lt;&gt;"acoes")))*INDEX(Inputs!$K$5:$AJ$110,0,MATCH(N$2,Inputs!$K$4:$AJ$4,0)))+SUMPRODUCT((Inputs!$E$5:$E$110=$B12)*Inputs!$F$5:$F$110*(((Inputs!$G$5:$G$110="moeda")+(Inputs!$G$5:$G$110="acoes"))*Inputs!$B$1+((Inputs!$G$5:$G$110&lt;&gt;"moeda")*(Inputs!$G$5:$G$110&lt;&gt;"acoes")))*INDEX(Inputs!$K$5:$AJ$110,0,MATCH(N$2,Inputs!$K$4:$AJ$4,0)))))</f>
        <v>-223</v>
      </c>
      <c r="O12" s="267">
        <f>IF(ISNA(MATCH(O$2,Inputs!$K$4:$AJ$4,0)),NA(),IF(SUMPRODUCT((Inputs!$A$5:$A$110=$B12)*ISNUMBER(INDEX(Inputs!$K$5:$AJ$110,0,MATCH(O$2,Inputs!$K$4:$AJ$4,0))))+SUMPRODUCT((Inputs!$C$5:$C$110=$B12)*ISNUMBER(INDEX(Inputs!$K$5:$AJ$110,0,MATCH(O$2,Inputs!$K$4:$AJ$4,0))))+SUMPRODUCT((Inputs!$E$5:$E$110=$B12)*ISNUMBER(INDEX(Inputs!$K$5:$AJ$110,0,MATCH(O$2,Inputs!$K$4:$AJ$4,0))))=0,NA(),SUMPRODUCT((Inputs!$A$5:$A$110=$B12)*Inputs!$B$5:$B$110*(((Inputs!$G$5:$G$110="moeda")+(Inputs!$G$5:$G$110="acoes"))*Inputs!$B$1+((Inputs!$G$5:$G$110&lt;&gt;"moeda")*(Inputs!$G$5:$G$110&lt;&gt;"acoes")))*INDEX(Inputs!$K$5:$AJ$110,0,MATCH(O$2,Inputs!$K$4:$AJ$4,0)))+SUMPRODUCT((Inputs!$C$5:$C$110=$B12)*Inputs!$D$5:$D$110*(((Inputs!$G$5:$G$110="moeda")+(Inputs!$G$5:$G$110="acoes"))*Inputs!$B$1+((Inputs!$G$5:$G$110&lt;&gt;"moeda")*(Inputs!$G$5:$G$110&lt;&gt;"acoes")))*INDEX(Inputs!$K$5:$AJ$110,0,MATCH(O$2,Inputs!$K$4:$AJ$4,0)))+SUMPRODUCT((Inputs!$E$5:$E$110=$B12)*Inputs!$F$5:$F$110*(((Inputs!$G$5:$G$110="moeda")+(Inputs!$G$5:$G$110="acoes"))*Inputs!$B$1+((Inputs!$G$5:$G$110&lt;&gt;"moeda")*(Inputs!$G$5:$G$110&lt;&gt;"acoes")))*INDEX(Inputs!$K$5:$AJ$110,0,MATCH(O$2,Inputs!$K$4:$AJ$4,0)))))</f>
        <v>-162</v>
      </c>
      <c r="P12" s="267">
        <f>IF(ISNA(MATCH(P$2,Inputs!$K$4:$AJ$4,0)),NA(),IF(SUMPRODUCT((Inputs!$A$5:$A$110=$B12)*ISNUMBER(INDEX(Inputs!$K$5:$AJ$110,0,MATCH(P$2,Inputs!$K$4:$AJ$4,0))))+SUMPRODUCT((Inputs!$C$5:$C$110=$B12)*ISNUMBER(INDEX(Inputs!$K$5:$AJ$110,0,MATCH(P$2,Inputs!$K$4:$AJ$4,0))))+SUMPRODUCT((Inputs!$E$5:$E$110=$B12)*ISNUMBER(INDEX(Inputs!$K$5:$AJ$110,0,MATCH(P$2,Inputs!$K$4:$AJ$4,0))))=0,NA(),SUMPRODUCT((Inputs!$A$5:$A$110=$B12)*Inputs!$B$5:$B$110*(((Inputs!$G$5:$G$110="moeda")+(Inputs!$G$5:$G$110="acoes"))*Inputs!$B$1+((Inputs!$G$5:$G$110&lt;&gt;"moeda")*(Inputs!$G$5:$G$110&lt;&gt;"acoes")))*INDEX(Inputs!$K$5:$AJ$110,0,MATCH(P$2,Inputs!$K$4:$AJ$4,0)))+SUMPRODUCT((Inputs!$C$5:$C$110=$B12)*Inputs!$D$5:$D$110*(((Inputs!$G$5:$G$110="moeda")+(Inputs!$G$5:$G$110="acoes"))*Inputs!$B$1+((Inputs!$G$5:$G$110&lt;&gt;"moeda")*(Inputs!$G$5:$G$110&lt;&gt;"acoes")))*INDEX(Inputs!$K$5:$AJ$110,0,MATCH(P$2,Inputs!$K$4:$AJ$4,0)))+SUMPRODUCT((Inputs!$E$5:$E$110=$B12)*Inputs!$F$5:$F$110*(((Inputs!$G$5:$G$110="moeda")+(Inputs!$G$5:$G$110="acoes"))*Inputs!$B$1+((Inputs!$G$5:$G$110&lt;&gt;"moeda")*(Inputs!$G$5:$G$110&lt;&gt;"acoes")))*INDEX(Inputs!$K$5:$AJ$110,0,MATCH(P$2,Inputs!$K$4:$AJ$4,0)))))</f>
        <v>-190</v>
      </c>
      <c r="Q12" s="267">
        <f>IF(ISNA(MATCH(Q$2,Inputs!$K$4:$AJ$4,0)),NA(),IF(SUMPRODUCT((Inputs!$A$5:$A$110=$B12)*ISNUMBER(INDEX(Inputs!$K$5:$AJ$110,0,MATCH(Q$2,Inputs!$K$4:$AJ$4,0))))+SUMPRODUCT((Inputs!$C$5:$C$110=$B12)*ISNUMBER(INDEX(Inputs!$K$5:$AJ$110,0,MATCH(Q$2,Inputs!$K$4:$AJ$4,0))))+SUMPRODUCT((Inputs!$E$5:$E$110=$B12)*ISNUMBER(INDEX(Inputs!$K$5:$AJ$110,0,MATCH(Q$2,Inputs!$K$4:$AJ$4,0))))=0,NA(),SUMPRODUCT((Inputs!$A$5:$A$110=$B12)*Inputs!$B$5:$B$110*(((Inputs!$G$5:$G$110="moeda")+(Inputs!$G$5:$G$110="acoes"))*Inputs!$B$1+((Inputs!$G$5:$G$110&lt;&gt;"moeda")*(Inputs!$G$5:$G$110&lt;&gt;"acoes")))*INDEX(Inputs!$K$5:$AJ$110,0,MATCH(Q$2,Inputs!$K$4:$AJ$4,0)))+SUMPRODUCT((Inputs!$C$5:$C$110=$B12)*Inputs!$D$5:$D$110*(((Inputs!$G$5:$G$110="moeda")+(Inputs!$G$5:$G$110="acoes"))*Inputs!$B$1+((Inputs!$G$5:$G$110&lt;&gt;"moeda")*(Inputs!$G$5:$G$110&lt;&gt;"acoes")))*INDEX(Inputs!$K$5:$AJ$110,0,MATCH(Q$2,Inputs!$K$4:$AJ$4,0)))+SUMPRODUCT((Inputs!$E$5:$E$110=$B12)*Inputs!$F$5:$F$110*(((Inputs!$G$5:$G$110="moeda")+(Inputs!$G$5:$G$110="acoes"))*Inputs!$B$1+((Inputs!$G$5:$G$110&lt;&gt;"moeda")*(Inputs!$G$5:$G$110&lt;&gt;"acoes")))*INDEX(Inputs!$K$5:$AJ$110,0,MATCH(Q$2,Inputs!$K$4:$AJ$4,0)))))</f>
        <v>-184</v>
      </c>
      <c r="R12" s="268">
        <f>SUM(N12:Q12)</f>
        <v>-759</v>
      </c>
      <c r="S12" s="267">
        <f>IF(ISNA(MATCH(S$2,Inputs!$K$4:$AJ$4,0)),NA(),IF(SUMPRODUCT((Inputs!$A$5:$A$110=$B12)*ISNUMBER(INDEX(Inputs!$K$5:$AJ$110,0,MATCH(S$2,Inputs!$K$4:$AJ$4,0))))+SUMPRODUCT((Inputs!$C$5:$C$110=$B12)*ISNUMBER(INDEX(Inputs!$K$5:$AJ$110,0,MATCH(S$2,Inputs!$K$4:$AJ$4,0))))+SUMPRODUCT((Inputs!$E$5:$E$110=$B12)*ISNUMBER(INDEX(Inputs!$K$5:$AJ$110,0,MATCH(S$2,Inputs!$K$4:$AJ$4,0))))=0,NA(),SUMPRODUCT((Inputs!$A$5:$A$110=$B12)*Inputs!$B$5:$B$110*(((Inputs!$G$5:$G$110="moeda")+(Inputs!$G$5:$G$110="acoes"))*Inputs!$B$1+((Inputs!$G$5:$G$110&lt;&gt;"moeda")*(Inputs!$G$5:$G$110&lt;&gt;"acoes")))*INDEX(Inputs!$K$5:$AJ$110,0,MATCH(S$2,Inputs!$K$4:$AJ$4,0)))+SUMPRODUCT((Inputs!$C$5:$C$110=$B12)*Inputs!$D$5:$D$110*(((Inputs!$G$5:$G$110="moeda")+(Inputs!$G$5:$G$110="acoes"))*Inputs!$B$1+((Inputs!$G$5:$G$110&lt;&gt;"moeda")*(Inputs!$G$5:$G$110&lt;&gt;"acoes")))*INDEX(Inputs!$K$5:$AJ$110,0,MATCH(S$2,Inputs!$K$4:$AJ$4,0)))+SUMPRODUCT((Inputs!$E$5:$E$110=$B12)*Inputs!$F$5:$F$110*(((Inputs!$G$5:$G$110="moeda")+(Inputs!$G$5:$G$110="acoes"))*Inputs!$B$1+((Inputs!$G$5:$G$110&lt;&gt;"moeda")*(Inputs!$G$5:$G$110&lt;&gt;"acoes")))*INDEX(Inputs!$K$5:$AJ$110,0,MATCH(S$2,Inputs!$K$4:$AJ$4,0)))))</f>
        <v>-203</v>
      </c>
      <c r="T12" s="267">
        <f>IF(ISNA(MATCH(T$2,Inputs!$K$4:$AJ$4,0)),NA(),IF(SUMPRODUCT((Inputs!$A$5:$A$110=$B12)*ISNUMBER(INDEX(Inputs!$K$5:$AJ$110,0,MATCH(T$2,Inputs!$K$4:$AJ$4,0))))+SUMPRODUCT((Inputs!$C$5:$C$110=$B12)*ISNUMBER(INDEX(Inputs!$K$5:$AJ$110,0,MATCH(T$2,Inputs!$K$4:$AJ$4,0))))+SUMPRODUCT((Inputs!$E$5:$E$110=$B12)*ISNUMBER(INDEX(Inputs!$K$5:$AJ$110,0,MATCH(T$2,Inputs!$K$4:$AJ$4,0))))=0,NA(),SUMPRODUCT((Inputs!$A$5:$A$110=$B12)*Inputs!$B$5:$B$110*(((Inputs!$G$5:$G$110="moeda")+(Inputs!$G$5:$G$110="acoes"))*Inputs!$B$1+((Inputs!$G$5:$G$110&lt;&gt;"moeda")*(Inputs!$G$5:$G$110&lt;&gt;"acoes")))*INDEX(Inputs!$K$5:$AJ$110,0,MATCH(T$2,Inputs!$K$4:$AJ$4,0)))+SUMPRODUCT((Inputs!$C$5:$C$110=$B12)*Inputs!$D$5:$D$110*(((Inputs!$G$5:$G$110="moeda")+(Inputs!$G$5:$G$110="acoes"))*Inputs!$B$1+((Inputs!$G$5:$G$110&lt;&gt;"moeda")*(Inputs!$G$5:$G$110&lt;&gt;"acoes")))*INDEX(Inputs!$K$5:$AJ$110,0,MATCH(T$2,Inputs!$K$4:$AJ$4,0)))+SUMPRODUCT((Inputs!$E$5:$E$110=$B12)*Inputs!$F$5:$F$110*(((Inputs!$G$5:$G$110="moeda")+(Inputs!$G$5:$G$110="acoes"))*Inputs!$B$1+((Inputs!$G$5:$G$110&lt;&gt;"moeda")*(Inputs!$G$5:$G$110&lt;&gt;"acoes")))*INDEX(Inputs!$K$5:$AJ$110,0,MATCH(T$2,Inputs!$K$4:$AJ$4,0)))))</f>
        <v>-210</v>
      </c>
      <c r="U12" s="267">
        <f>IF(ISNA(MATCH(U$2,Inputs!$K$4:$AJ$4,0)),NA(),IF(SUMPRODUCT((Inputs!$A$5:$A$110=$B12)*ISNUMBER(INDEX(Inputs!$K$5:$AJ$110,0,MATCH(U$2,Inputs!$K$4:$AJ$4,0))))+SUMPRODUCT((Inputs!$C$5:$C$110=$B12)*ISNUMBER(INDEX(Inputs!$K$5:$AJ$110,0,MATCH(U$2,Inputs!$K$4:$AJ$4,0))))+SUMPRODUCT((Inputs!$E$5:$E$110=$B12)*ISNUMBER(INDEX(Inputs!$K$5:$AJ$110,0,MATCH(U$2,Inputs!$K$4:$AJ$4,0))))=0,NA(),SUMPRODUCT((Inputs!$A$5:$A$110=$B12)*Inputs!$B$5:$B$110*(((Inputs!$G$5:$G$110="moeda")+(Inputs!$G$5:$G$110="acoes"))*Inputs!$B$1+((Inputs!$G$5:$G$110&lt;&gt;"moeda")*(Inputs!$G$5:$G$110&lt;&gt;"acoes")))*INDEX(Inputs!$K$5:$AJ$110,0,MATCH(U$2,Inputs!$K$4:$AJ$4,0)))+SUMPRODUCT((Inputs!$C$5:$C$110=$B12)*Inputs!$D$5:$D$110*(((Inputs!$G$5:$G$110="moeda")+(Inputs!$G$5:$G$110="acoes"))*Inputs!$B$1+((Inputs!$G$5:$G$110&lt;&gt;"moeda")*(Inputs!$G$5:$G$110&lt;&gt;"acoes")))*INDEX(Inputs!$K$5:$AJ$110,0,MATCH(U$2,Inputs!$K$4:$AJ$4,0)))+SUMPRODUCT((Inputs!$E$5:$E$110=$B12)*Inputs!$F$5:$F$110*(((Inputs!$G$5:$G$110="moeda")+(Inputs!$G$5:$G$110="acoes"))*Inputs!$B$1+((Inputs!$G$5:$G$110&lt;&gt;"moeda")*(Inputs!$G$5:$G$110&lt;&gt;"acoes")))*INDEX(Inputs!$K$5:$AJ$110,0,MATCH(U$2,Inputs!$K$4:$AJ$4,0)))))</f>
        <v>-137</v>
      </c>
      <c r="V12" s="267">
        <f>IF(ISNA(MATCH(V$2,Inputs!$K$4:$AJ$4,0)),NA(),IF(SUMPRODUCT((Inputs!$A$5:$A$110=$B12)*ISNUMBER(INDEX(Inputs!$K$5:$AJ$110,0,MATCH(V$2,Inputs!$K$4:$AJ$4,0))))+SUMPRODUCT((Inputs!$C$5:$C$110=$B12)*ISNUMBER(INDEX(Inputs!$K$5:$AJ$110,0,MATCH(V$2,Inputs!$K$4:$AJ$4,0))))+SUMPRODUCT((Inputs!$E$5:$E$110=$B12)*ISNUMBER(INDEX(Inputs!$K$5:$AJ$110,0,MATCH(V$2,Inputs!$K$4:$AJ$4,0))))=0,NA(),SUMPRODUCT((Inputs!$A$5:$A$110=$B12)*Inputs!$B$5:$B$110*(((Inputs!$G$5:$G$110="moeda")+(Inputs!$G$5:$G$110="acoes"))*Inputs!$B$1+((Inputs!$G$5:$G$110&lt;&gt;"moeda")*(Inputs!$G$5:$G$110&lt;&gt;"acoes")))*INDEX(Inputs!$K$5:$AJ$110,0,MATCH(V$2,Inputs!$K$4:$AJ$4,0)))+SUMPRODUCT((Inputs!$C$5:$C$110=$B12)*Inputs!$D$5:$D$110*(((Inputs!$G$5:$G$110="moeda")+(Inputs!$G$5:$G$110="acoes"))*Inputs!$B$1+((Inputs!$G$5:$G$110&lt;&gt;"moeda")*(Inputs!$G$5:$G$110&lt;&gt;"acoes")))*INDEX(Inputs!$K$5:$AJ$110,0,MATCH(V$2,Inputs!$K$4:$AJ$4,0)))+SUMPRODUCT((Inputs!$E$5:$E$110=$B12)*Inputs!$F$5:$F$110*(((Inputs!$G$5:$G$110="moeda")+(Inputs!$G$5:$G$110="acoes"))*Inputs!$B$1+((Inputs!$G$5:$G$110&lt;&gt;"moeda")*(Inputs!$G$5:$G$110&lt;&gt;"acoes")))*INDEX(Inputs!$K$5:$AJ$110,0,MATCH(V$2,Inputs!$K$4:$AJ$4,0)))))</f>
        <v>-171</v>
      </c>
      <c r="W12" s="268">
        <f>SUM(S12:V12)</f>
        <v>-721</v>
      </c>
      <c r="X12" s="267">
        <f>IF(ISNA(MATCH(X$2,Inputs!$K$4:$AJ$4,0)),NA(),IF(SUMPRODUCT((Inputs!$A$5:$A$110=$B12)*ISNUMBER(INDEX(Inputs!$K$5:$AJ$110,0,MATCH(X$2,Inputs!$K$4:$AJ$4,0))))+SUMPRODUCT((Inputs!$C$5:$C$110=$B12)*ISNUMBER(INDEX(Inputs!$K$5:$AJ$110,0,MATCH(X$2,Inputs!$K$4:$AJ$4,0))))+SUMPRODUCT((Inputs!$E$5:$E$110=$B12)*ISNUMBER(INDEX(Inputs!$K$5:$AJ$110,0,MATCH(X$2,Inputs!$K$4:$AJ$4,0))))=0,NA(),SUMPRODUCT((Inputs!$A$5:$A$110=$B12)*Inputs!$B$5:$B$110*(((Inputs!$G$5:$G$110="moeda")+(Inputs!$G$5:$G$110="acoes"))*Inputs!$B$1+((Inputs!$G$5:$G$110&lt;&gt;"moeda")*(Inputs!$G$5:$G$110&lt;&gt;"acoes")))*INDEX(Inputs!$K$5:$AJ$110,0,MATCH(X$2,Inputs!$K$4:$AJ$4,0)))+SUMPRODUCT((Inputs!$C$5:$C$110=$B12)*Inputs!$D$5:$D$110*(((Inputs!$G$5:$G$110="moeda")+(Inputs!$G$5:$G$110="acoes"))*Inputs!$B$1+((Inputs!$G$5:$G$110&lt;&gt;"moeda")*(Inputs!$G$5:$G$110&lt;&gt;"acoes")))*INDEX(Inputs!$K$5:$AJ$110,0,MATCH(X$2,Inputs!$K$4:$AJ$4,0)))+SUMPRODUCT((Inputs!$E$5:$E$110=$B12)*Inputs!$F$5:$F$110*(((Inputs!$G$5:$G$110="moeda")+(Inputs!$G$5:$G$110="acoes"))*Inputs!$B$1+((Inputs!$G$5:$G$110&lt;&gt;"moeda")*(Inputs!$G$5:$G$110&lt;&gt;"acoes")))*INDEX(Inputs!$K$5:$AJ$110,0,MATCH(X$2,Inputs!$K$4:$AJ$4,0)))))</f>
        <v>-152</v>
      </c>
      <c r="Y12" s="267">
        <f>IF(ISNA(MATCH(Y$2,Inputs!$K$4:$AJ$4,0)),NA(),IF(SUMPRODUCT((Inputs!$A$5:$A$110=$B12)*ISNUMBER(INDEX(Inputs!$K$5:$AJ$110,0,MATCH(Y$2,Inputs!$K$4:$AJ$4,0))))+SUMPRODUCT((Inputs!$C$5:$C$110=$B12)*ISNUMBER(INDEX(Inputs!$K$5:$AJ$110,0,MATCH(Y$2,Inputs!$K$4:$AJ$4,0))))+SUMPRODUCT((Inputs!$E$5:$E$110=$B12)*ISNUMBER(INDEX(Inputs!$K$5:$AJ$110,0,MATCH(Y$2,Inputs!$K$4:$AJ$4,0))))=0,NA(),SUMPRODUCT((Inputs!$A$5:$A$110=$B12)*Inputs!$B$5:$B$110*(((Inputs!$G$5:$G$110="moeda")+(Inputs!$G$5:$G$110="acoes"))*Inputs!$B$1+((Inputs!$G$5:$G$110&lt;&gt;"moeda")*(Inputs!$G$5:$G$110&lt;&gt;"acoes")))*INDEX(Inputs!$K$5:$AJ$110,0,MATCH(Y$2,Inputs!$K$4:$AJ$4,0)))+SUMPRODUCT((Inputs!$C$5:$C$110=$B12)*Inputs!$D$5:$D$110*(((Inputs!$G$5:$G$110="moeda")+(Inputs!$G$5:$G$110="acoes"))*Inputs!$B$1+((Inputs!$G$5:$G$110&lt;&gt;"moeda")*(Inputs!$G$5:$G$110&lt;&gt;"acoes")))*INDEX(Inputs!$K$5:$AJ$110,0,MATCH(Y$2,Inputs!$K$4:$AJ$4,0)))+SUMPRODUCT((Inputs!$E$5:$E$110=$B12)*Inputs!$F$5:$F$110*(((Inputs!$G$5:$G$110="moeda")+(Inputs!$G$5:$G$110="acoes"))*Inputs!$B$1+((Inputs!$G$5:$G$110&lt;&gt;"moeda")*(Inputs!$G$5:$G$110&lt;&gt;"acoes")))*INDEX(Inputs!$K$5:$AJ$110,0,MATCH(Y$2,Inputs!$K$4:$AJ$4,0)))))</f>
        <v>-125</v>
      </c>
      <c r="Z12" s="267">
        <f>IF(ISNA(MATCH(Z$2,Inputs!$K$4:$AJ$4,0)),NA(),IF(SUMPRODUCT((Inputs!$A$5:$A$110=$B12)*ISNUMBER(INDEX(Inputs!$K$5:$AJ$110,0,MATCH(Z$2,Inputs!$K$4:$AJ$4,0))))+SUMPRODUCT((Inputs!$C$5:$C$110=$B12)*ISNUMBER(INDEX(Inputs!$K$5:$AJ$110,0,MATCH(Z$2,Inputs!$K$4:$AJ$4,0))))+SUMPRODUCT((Inputs!$E$5:$E$110=$B12)*ISNUMBER(INDEX(Inputs!$K$5:$AJ$110,0,MATCH(Z$2,Inputs!$K$4:$AJ$4,0))))=0,NA(),SUMPRODUCT((Inputs!$A$5:$A$110=$B12)*Inputs!$B$5:$B$110*(((Inputs!$G$5:$G$110="moeda")+(Inputs!$G$5:$G$110="acoes"))*Inputs!$B$1+((Inputs!$G$5:$G$110&lt;&gt;"moeda")*(Inputs!$G$5:$G$110&lt;&gt;"acoes")))*INDEX(Inputs!$K$5:$AJ$110,0,MATCH(Z$2,Inputs!$K$4:$AJ$4,0)))+SUMPRODUCT((Inputs!$C$5:$C$110=$B12)*Inputs!$D$5:$D$110*(((Inputs!$G$5:$G$110="moeda")+(Inputs!$G$5:$G$110="acoes"))*Inputs!$B$1+((Inputs!$G$5:$G$110&lt;&gt;"moeda")*(Inputs!$G$5:$G$110&lt;&gt;"acoes")))*INDEX(Inputs!$K$5:$AJ$110,0,MATCH(Z$2,Inputs!$K$4:$AJ$4,0)))+SUMPRODUCT((Inputs!$E$5:$E$110=$B12)*Inputs!$F$5:$F$110*(((Inputs!$G$5:$G$110="moeda")+(Inputs!$G$5:$G$110="acoes"))*Inputs!$B$1+((Inputs!$G$5:$G$110&lt;&gt;"moeda")*(Inputs!$G$5:$G$110&lt;&gt;"acoes")))*INDEX(Inputs!$K$5:$AJ$110,0,MATCH(Z$2,Inputs!$K$4:$AJ$4,0)))))</f>
        <v>55</v>
      </c>
      <c r="AA12" s="267">
        <f>IF(ISNA(MATCH(AA$2,Inputs!$K$4:$AJ$4,0)),NA(),IF(SUMPRODUCT((Inputs!$A$5:$A$110=$B12)*ISNUMBER(INDEX(Inputs!$K$5:$AJ$110,0,MATCH(AA$2,Inputs!$K$4:$AJ$4,0))))+SUMPRODUCT((Inputs!$C$5:$C$110=$B12)*ISNUMBER(INDEX(Inputs!$K$5:$AJ$110,0,MATCH(AA$2,Inputs!$K$4:$AJ$4,0))))+SUMPRODUCT((Inputs!$E$5:$E$110=$B12)*ISNUMBER(INDEX(Inputs!$K$5:$AJ$110,0,MATCH(AA$2,Inputs!$K$4:$AJ$4,0))))=0,NA(),SUMPRODUCT((Inputs!$A$5:$A$110=$B12)*Inputs!$B$5:$B$110*(((Inputs!$G$5:$G$110="moeda")+(Inputs!$G$5:$G$110="acoes"))*Inputs!$B$1+((Inputs!$G$5:$G$110&lt;&gt;"moeda")*(Inputs!$G$5:$G$110&lt;&gt;"acoes")))*INDEX(Inputs!$K$5:$AJ$110,0,MATCH(AA$2,Inputs!$K$4:$AJ$4,0)))+SUMPRODUCT((Inputs!$C$5:$C$110=$B12)*Inputs!$D$5:$D$110*(((Inputs!$G$5:$G$110="moeda")+(Inputs!$G$5:$G$110="acoes"))*Inputs!$B$1+((Inputs!$G$5:$G$110&lt;&gt;"moeda")*(Inputs!$G$5:$G$110&lt;&gt;"acoes")))*INDEX(Inputs!$K$5:$AJ$110,0,MATCH(AA$2,Inputs!$K$4:$AJ$4,0)))+SUMPRODUCT((Inputs!$E$5:$E$110=$B12)*Inputs!$F$5:$F$110*(((Inputs!$G$5:$G$110="moeda")+(Inputs!$G$5:$G$110="acoes"))*Inputs!$B$1+((Inputs!$G$5:$G$110&lt;&gt;"moeda")*(Inputs!$G$5:$G$110&lt;&gt;"acoes")))*INDEX(Inputs!$K$5:$AJ$110,0,MATCH(AA$2,Inputs!$K$4:$AJ$4,0)))))</f>
        <v>-155</v>
      </c>
      <c r="AB12" s="268">
        <f>SUM(X12:AA12)</f>
        <v>-377</v>
      </c>
      <c r="AC12" s="267">
        <f>IF(ISNA(MATCH(AC$2,Inputs!$K$4:$AJ$4,0)),NA(),IF(SUMPRODUCT((Inputs!$A$5:$A$110=$B12)*ISNUMBER(INDEX(Inputs!$K$5:$AJ$110,0,MATCH(AC$2,Inputs!$K$4:$AJ$4,0))))+SUMPRODUCT((Inputs!$C$5:$C$110=$B12)*ISNUMBER(INDEX(Inputs!$K$5:$AJ$110,0,MATCH(AC$2,Inputs!$K$4:$AJ$4,0))))+SUMPRODUCT((Inputs!$E$5:$E$110=$B12)*ISNUMBER(INDEX(Inputs!$K$5:$AJ$110,0,MATCH(AC$2,Inputs!$K$4:$AJ$4,0))))=0,NA(),SUMPRODUCT((Inputs!$A$5:$A$110=$B12)*Inputs!$B$5:$B$110*(((Inputs!$G$5:$G$110="moeda")+(Inputs!$G$5:$G$110="acoes"))*Inputs!$B$1+((Inputs!$G$5:$G$110&lt;&gt;"moeda")*(Inputs!$G$5:$G$110&lt;&gt;"acoes")))*INDEX(Inputs!$K$5:$AJ$110,0,MATCH(AC$2,Inputs!$K$4:$AJ$4,0)))+SUMPRODUCT((Inputs!$C$5:$C$110=$B12)*Inputs!$D$5:$D$110*(((Inputs!$G$5:$G$110="moeda")+(Inputs!$G$5:$G$110="acoes"))*Inputs!$B$1+((Inputs!$G$5:$G$110&lt;&gt;"moeda")*(Inputs!$G$5:$G$110&lt;&gt;"acoes")))*INDEX(Inputs!$K$5:$AJ$110,0,MATCH(AC$2,Inputs!$K$4:$AJ$4,0)))+SUMPRODUCT((Inputs!$E$5:$E$110=$B12)*Inputs!$F$5:$F$110*(((Inputs!$G$5:$G$110="moeda")+(Inputs!$G$5:$G$110="acoes"))*Inputs!$B$1+((Inputs!$G$5:$G$110&lt;&gt;"moeda")*(Inputs!$G$5:$G$110&lt;&gt;"acoes")))*INDEX(Inputs!$K$5:$AJ$110,0,MATCH(AC$2,Inputs!$K$4:$AJ$4,0)))))</f>
        <v>-160</v>
      </c>
      <c r="AD12" s="267">
        <f>IF(ISNA(MATCH(AD$2,Inputs!$K$4:$AJ$4,0)),NA(),IF(SUMPRODUCT((Inputs!$A$5:$A$110=$B12)*ISNUMBER(INDEX(Inputs!$K$5:$AJ$110,0,MATCH(AD$2,Inputs!$K$4:$AJ$4,0))))+SUMPRODUCT((Inputs!$C$5:$C$110=$B12)*ISNUMBER(INDEX(Inputs!$K$5:$AJ$110,0,MATCH(AD$2,Inputs!$K$4:$AJ$4,0))))+SUMPRODUCT((Inputs!$E$5:$E$110=$B12)*ISNUMBER(INDEX(Inputs!$K$5:$AJ$110,0,MATCH(AD$2,Inputs!$K$4:$AJ$4,0))))=0,NA(),SUMPRODUCT((Inputs!$A$5:$A$110=$B12)*Inputs!$B$5:$B$110*(((Inputs!$G$5:$G$110="moeda")+(Inputs!$G$5:$G$110="acoes"))*Inputs!$B$1+((Inputs!$G$5:$G$110&lt;&gt;"moeda")*(Inputs!$G$5:$G$110&lt;&gt;"acoes")))*INDEX(Inputs!$K$5:$AJ$110,0,MATCH(AD$2,Inputs!$K$4:$AJ$4,0)))+SUMPRODUCT((Inputs!$C$5:$C$110=$B12)*Inputs!$D$5:$D$110*(((Inputs!$G$5:$G$110="moeda")+(Inputs!$G$5:$G$110="acoes"))*Inputs!$B$1+((Inputs!$G$5:$G$110&lt;&gt;"moeda")*(Inputs!$G$5:$G$110&lt;&gt;"acoes")))*INDEX(Inputs!$K$5:$AJ$110,0,MATCH(AD$2,Inputs!$K$4:$AJ$4,0)))+SUMPRODUCT((Inputs!$E$5:$E$110=$B12)*Inputs!$F$5:$F$110*(((Inputs!$G$5:$G$110="moeda")+(Inputs!$G$5:$G$110="acoes"))*Inputs!$B$1+((Inputs!$G$5:$G$110&lt;&gt;"moeda")*(Inputs!$G$5:$G$110&lt;&gt;"acoes")))*INDEX(Inputs!$K$5:$AJ$110,0,MATCH(AD$2,Inputs!$K$4:$AJ$4,0)))))</f>
        <v>-163</v>
      </c>
      <c r="AE12" s="267" t="e">
        <f>IF(ISNA(MATCH(AE$2,Inputs!$K$4:$AJ$4,0)),NA(),IF(SUMPRODUCT((Inputs!$A$5:$A$110=$B12)*ISNUMBER(INDEX(Inputs!$K$5:$AJ$110,0,MATCH(AE$2,Inputs!$K$4:$AJ$4,0))))+SUMPRODUCT((Inputs!$C$5:$C$110=$B12)*ISNUMBER(INDEX(Inputs!$K$5:$AJ$110,0,MATCH(AE$2,Inputs!$K$4:$AJ$4,0))))+SUMPRODUCT((Inputs!$E$5:$E$110=$B12)*ISNUMBER(INDEX(Inputs!$K$5:$AJ$110,0,MATCH(AE$2,Inputs!$K$4:$AJ$4,0))))=0,NA(),SUMPRODUCT((Inputs!$A$5:$A$110=$B12)*Inputs!$B$5:$B$110*(((Inputs!$G$5:$G$110="moeda")+(Inputs!$G$5:$G$110="acoes"))*Inputs!$B$1+((Inputs!$G$5:$G$110&lt;&gt;"moeda")*(Inputs!$G$5:$G$110&lt;&gt;"acoes")))*INDEX(Inputs!$K$5:$AJ$110,0,MATCH(AE$2,Inputs!$K$4:$AJ$4,0)))+SUMPRODUCT((Inputs!$C$5:$C$110=$B12)*Inputs!$D$5:$D$110*(((Inputs!$G$5:$G$110="moeda")+(Inputs!$G$5:$G$110="acoes"))*Inputs!$B$1+((Inputs!$G$5:$G$110&lt;&gt;"moeda")*(Inputs!$G$5:$G$110&lt;&gt;"acoes")))*INDEX(Inputs!$K$5:$AJ$110,0,MATCH(AE$2,Inputs!$K$4:$AJ$4,0)))+SUMPRODUCT((Inputs!$E$5:$E$110=$B12)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2" s="267" t="e">
        <f>IF(ISNA(MATCH(AF$2,Inputs!$K$4:$AJ$4,0)),NA(),IF(SUMPRODUCT((Inputs!$A$5:$A$110=$B12)*ISNUMBER(INDEX(Inputs!$K$5:$AJ$110,0,MATCH(AF$2,Inputs!$K$4:$AJ$4,0))))+SUMPRODUCT((Inputs!$C$5:$C$110=$B12)*ISNUMBER(INDEX(Inputs!$K$5:$AJ$110,0,MATCH(AF$2,Inputs!$K$4:$AJ$4,0))))+SUMPRODUCT((Inputs!$E$5:$E$110=$B12)*ISNUMBER(INDEX(Inputs!$K$5:$AJ$110,0,MATCH(AF$2,Inputs!$K$4:$AJ$4,0))))=0,NA(),SUMPRODUCT((Inputs!$A$5:$A$110=$B12)*Inputs!$B$5:$B$110*(((Inputs!$G$5:$G$110="moeda")+(Inputs!$G$5:$G$110="acoes"))*Inputs!$B$1+((Inputs!$G$5:$G$110&lt;&gt;"moeda")*(Inputs!$G$5:$G$110&lt;&gt;"acoes")))*INDEX(Inputs!$K$5:$AJ$110,0,MATCH(AF$2,Inputs!$K$4:$AJ$4,0)))+SUMPRODUCT((Inputs!$C$5:$C$110=$B12)*Inputs!$D$5:$D$110*(((Inputs!$G$5:$G$110="moeda")+(Inputs!$G$5:$G$110="acoes"))*Inputs!$B$1+((Inputs!$G$5:$G$110&lt;&gt;"moeda")*(Inputs!$G$5:$G$110&lt;&gt;"acoes")))*INDEX(Inputs!$K$5:$AJ$110,0,MATCH(AF$2,Inputs!$K$4:$AJ$4,0)))+SUMPRODUCT((Inputs!$E$5:$E$110=$B12)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2" s="268" t="e">
        <f>SUM(AC12:AF12)</f>
        <v>#N/A</v>
      </c>
      <c r="AH12" s="267">
        <f>IF(ISNA(MATCH(AH$2,Inputs!$K$4:$AJ$4,0)),NA(),IF(SUMPRODUCT((Inputs!$A$5:$A$110=$B12)*ISNUMBER(INDEX(Inputs!$K$5:$AJ$110,0,MATCH(AH$2,Inputs!$K$4:$AJ$4,0))))+SUMPRODUCT((Inputs!$C$5:$C$110=$B12)*ISNUMBER(INDEX(Inputs!$K$5:$AJ$110,0,MATCH(AH$2,Inputs!$K$4:$AJ$4,0))))+SUMPRODUCT((Inputs!$E$5:$E$110=$B12)*ISNUMBER(INDEX(Inputs!$K$5:$AJ$110,0,MATCH(AH$2,Inputs!$K$4:$AJ$4,0))))=0,NA(),SUMPRODUCT((Inputs!$A$5:$A$110=$B12)*Inputs!$B$5:$B$110*(((Inputs!$G$5:$G$110="moeda")+(Inputs!$G$5:$G$110="acoes"))*Inputs!$B$1+((Inputs!$G$5:$G$110&lt;&gt;"moeda")*(Inputs!$G$5:$G$110&lt;&gt;"acoes")))*INDEX(Inputs!$K$5:$AJ$110,0,MATCH(AH$2,Inputs!$K$4:$AJ$4,0)))+SUMPRODUCT((Inputs!$C$5:$C$110=$B12)*Inputs!$D$5:$D$110*(((Inputs!$G$5:$G$110="moeda")+(Inputs!$G$5:$G$110="acoes"))*Inputs!$B$1+((Inputs!$G$5:$G$110&lt;&gt;"moeda")*(Inputs!$G$5:$G$110&lt;&gt;"acoes")))*INDEX(Inputs!$K$5:$AJ$110,0,MATCH(AH$2,Inputs!$K$4:$AJ$4,0)))+SUMPRODUCT((Inputs!$E$5:$E$110=$B12)*Inputs!$F$5:$F$110*(((Inputs!$G$5:$G$110="moeda")+(Inputs!$G$5:$G$110="acoes"))*Inputs!$B$1+((Inputs!$G$5:$G$110&lt;&gt;"moeda")*(Inputs!$G$5:$G$110&lt;&gt;"acoes")))*INDEX(Inputs!$K$5:$AJ$110,0,MATCH(AH$2,Inputs!$K$4:$AJ$4,0)))))</f>
        <v>-84</v>
      </c>
      <c r="AI12" s="267">
        <f>IF(ISNA(MATCH(AI$2,Inputs!$K$4:$AJ$4,0)),NA(),IF(SUMPRODUCT((Inputs!$A$5:$A$110=$B12)*ISNUMBER(INDEX(Inputs!$K$5:$AJ$110,0,MATCH(AI$2,Inputs!$K$4:$AJ$4,0))))+SUMPRODUCT((Inputs!$C$5:$C$110=$B12)*ISNUMBER(INDEX(Inputs!$K$5:$AJ$110,0,MATCH(AI$2,Inputs!$K$4:$AJ$4,0))))+SUMPRODUCT((Inputs!$E$5:$E$110=$B12)*ISNUMBER(INDEX(Inputs!$K$5:$AJ$110,0,MATCH(AI$2,Inputs!$K$4:$AJ$4,0))))=0,NA(),SUMPRODUCT((Inputs!$A$5:$A$110=$B12)*Inputs!$B$5:$B$110*(((Inputs!$G$5:$G$110="moeda")+(Inputs!$G$5:$G$110="acoes"))*Inputs!$B$1+((Inputs!$G$5:$G$110&lt;&gt;"moeda")*(Inputs!$G$5:$G$110&lt;&gt;"acoes")))*INDEX(Inputs!$K$5:$AJ$110,0,MATCH(AI$2,Inputs!$K$4:$AJ$4,0)))+SUMPRODUCT((Inputs!$C$5:$C$110=$B12)*Inputs!$D$5:$D$110*(((Inputs!$G$5:$G$110="moeda")+(Inputs!$G$5:$G$110="acoes"))*Inputs!$B$1+((Inputs!$G$5:$G$110&lt;&gt;"moeda")*(Inputs!$G$5:$G$110&lt;&gt;"acoes")))*INDEX(Inputs!$K$5:$AJ$110,0,MATCH(AI$2,Inputs!$K$4:$AJ$4,0)))+SUMPRODUCT((Inputs!$E$5:$E$110=$B12)*Inputs!$F$5:$F$110*(((Inputs!$G$5:$G$110="moeda")+(Inputs!$G$5:$G$110="acoes"))*Inputs!$B$1+((Inputs!$G$5:$G$110&lt;&gt;"moeda")*(Inputs!$G$5:$G$110&lt;&gt;"acoes")))*INDEX(Inputs!$K$5:$AJ$110,0,MATCH(AI$2,Inputs!$K$4:$AJ$4,0)))))</f>
        <v>37</v>
      </c>
      <c r="AJ12" s="267">
        <f>IF(ISNA(MATCH(AJ$2,Inputs!$K$4:$AJ$4,0)),NA(),IF(SUMPRODUCT((Inputs!$A$5:$A$110=$B12)*ISNUMBER(INDEX(Inputs!$K$5:$AJ$110,0,MATCH(AJ$2,Inputs!$K$4:$AJ$4,0))))+SUMPRODUCT((Inputs!$C$5:$C$110=$B12)*ISNUMBER(INDEX(Inputs!$K$5:$AJ$110,0,MATCH(AJ$2,Inputs!$K$4:$AJ$4,0))))+SUMPRODUCT((Inputs!$E$5:$E$110=$B12)*ISNUMBER(INDEX(Inputs!$K$5:$AJ$110,0,MATCH(AJ$2,Inputs!$K$4:$AJ$4,0))))=0,NA(),SUMPRODUCT((Inputs!$A$5:$A$110=$B12)*Inputs!$B$5:$B$110*(((Inputs!$G$5:$G$110="moeda")+(Inputs!$G$5:$G$110="acoes"))*Inputs!$B$1+((Inputs!$G$5:$G$110&lt;&gt;"moeda")*(Inputs!$G$5:$G$110&lt;&gt;"acoes")))*INDEX(Inputs!$K$5:$AJ$110,0,MATCH(AJ$2,Inputs!$K$4:$AJ$4,0)))+SUMPRODUCT((Inputs!$C$5:$C$110=$B12)*Inputs!$D$5:$D$110*(((Inputs!$G$5:$G$110="moeda")+(Inputs!$G$5:$G$110="acoes"))*Inputs!$B$1+((Inputs!$G$5:$G$110&lt;&gt;"moeda")*(Inputs!$G$5:$G$110&lt;&gt;"acoes")))*INDEX(Inputs!$K$5:$AJ$110,0,MATCH(AJ$2,Inputs!$K$4:$AJ$4,0)))+SUMPRODUCT((Inputs!$E$5:$E$110=$B12)*Inputs!$F$5:$F$110*(((Inputs!$G$5:$G$110="moeda")+(Inputs!$G$5:$G$110="acoes"))*Inputs!$B$1+((Inputs!$G$5:$G$110&lt;&gt;"moeda")*(Inputs!$G$5:$G$110&lt;&gt;"acoes")))*INDEX(Inputs!$K$5:$AJ$110,0,MATCH(AJ$2,Inputs!$K$4:$AJ$4,0)))))</f>
        <v>-66</v>
      </c>
      <c r="AK12" s="267">
        <f>IF(ISNA(MATCH(AK$2,Inputs!$K$4:$AJ$4,0)),NA(),IF(SUMPRODUCT((Inputs!$A$5:$A$110=$B12)*ISNUMBER(INDEX(Inputs!$K$5:$AJ$110,0,MATCH(AK$2,Inputs!$K$4:$AJ$4,0))))+SUMPRODUCT((Inputs!$C$5:$C$110=$B12)*ISNUMBER(INDEX(Inputs!$K$5:$AJ$110,0,MATCH(AK$2,Inputs!$K$4:$AJ$4,0))))+SUMPRODUCT((Inputs!$E$5:$E$110=$B12)*ISNUMBER(INDEX(Inputs!$K$5:$AJ$110,0,MATCH(AK$2,Inputs!$K$4:$AJ$4,0))))=0,NA(),SUMPRODUCT((Inputs!$A$5:$A$110=$B12)*Inputs!$B$5:$B$110*(((Inputs!$G$5:$G$110="moeda")+(Inputs!$G$5:$G$110="acoes"))*Inputs!$B$1+((Inputs!$G$5:$G$110&lt;&gt;"moeda")*(Inputs!$G$5:$G$110&lt;&gt;"acoes")))*INDEX(Inputs!$K$5:$AJ$110,0,MATCH(AK$2,Inputs!$K$4:$AJ$4,0)))+SUMPRODUCT((Inputs!$C$5:$C$110=$B12)*Inputs!$D$5:$D$110*(((Inputs!$G$5:$G$110="moeda")+(Inputs!$G$5:$G$110="acoes"))*Inputs!$B$1+((Inputs!$G$5:$G$110&lt;&gt;"moeda")*(Inputs!$G$5:$G$110&lt;&gt;"acoes")))*INDEX(Inputs!$K$5:$AJ$110,0,MATCH(AK$2,Inputs!$K$4:$AJ$4,0)))+SUMPRODUCT((Inputs!$E$5:$E$110=$B12)*Inputs!$F$5:$F$110*(((Inputs!$G$5:$G$110="moeda")+(Inputs!$G$5:$G$110="acoes"))*Inputs!$B$1+((Inputs!$G$5:$G$110&lt;&gt;"moeda")*(Inputs!$G$5:$G$110&lt;&gt;"acoes")))*INDEX(Inputs!$K$5:$AJ$110,0,MATCH(AK$2,Inputs!$K$4:$AJ$4,0)))))</f>
        <v>-83</v>
      </c>
      <c r="AL12" s="268">
        <f>SUM(AH12:AK12)</f>
        <v>-196</v>
      </c>
    </row>
    <row r="13" ht="12.75" customHeight="1" s="255">
      <c r="B13" s="265" t="n">
        <v>10</v>
      </c>
      <c r="C13" s="269" t="inlineStr">
        <is>
          <t>Common Dividends</t>
        </is>
      </c>
      <c r="D13" s="267">
        <f>IF(ISNA(MATCH(D$2,Inputs!$K$4:$AJ$4,0)),NA(),IF(SUMPRODUCT((Inputs!$A$5:$A$110=$B13)*ISNUMBER(INDEX(Inputs!$K$5:$AJ$110,0,MATCH(D$2,Inputs!$K$4:$AJ$4,0))))+SUMPRODUCT((Inputs!$C$5:$C$110=$B13)*ISNUMBER(INDEX(Inputs!$K$5:$AJ$110,0,MATCH(D$2,Inputs!$K$4:$AJ$4,0))))+SUMPRODUCT((Inputs!$E$5:$E$110=$B13)*ISNUMBER(INDEX(Inputs!$K$5:$AJ$110,0,MATCH(D$2,Inputs!$K$4:$AJ$4,0))))=0,NA(),SUMPRODUCT((Inputs!$A$5:$A$110=$B13)*Inputs!$B$5:$B$110*(((Inputs!$G$5:$G$110="moeda")+(Inputs!$G$5:$G$110="acoes"))*Inputs!$B$1+((Inputs!$G$5:$G$110&lt;&gt;"moeda")*(Inputs!$G$5:$G$110&lt;&gt;"acoes")))*INDEX(Inputs!$K$5:$AJ$110,0,MATCH(D$2,Inputs!$K$4:$AJ$4,0)))+SUMPRODUCT((Inputs!$C$5:$C$110=$B13)*Inputs!$D$5:$D$110*(((Inputs!$G$5:$G$110="moeda")+(Inputs!$G$5:$G$110="acoes"))*Inputs!$B$1+((Inputs!$G$5:$G$110&lt;&gt;"moeda")*(Inputs!$G$5:$G$110&lt;&gt;"acoes")))*INDEX(Inputs!$K$5:$AJ$110,0,MATCH(D$2,Inputs!$K$4:$AJ$4,0)))+SUMPRODUCT((Inputs!$E$5:$E$110=$B13)*Inputs!$F$5:$F$110*(((Inputs!$G$5:$G$110="moeda")+(Inputs!$G$5:$G$110="acoes"))*Inputs!$B$1+((Inputs!$G$5:$G$110&lt;&gt;"moeda")*(Inputs!$G$5:$G$110&lt;&gt;"acoes")))*INDEX(Inputs!$K$5:$AJ$110,0,MATCH(D$2,Inputs!$K$4:$AJ$4,0)))))</f>
        <v>-1549</v>
      </c>
      <c r="E13" s="267">
        <f>IF(ISNA(MATCH(E$2,Inputs!$K$4:$AJ$4,0)),NA(),IF(SUMPRODUCT((Inputs!$A$5:$A$110=$B13)*ISNUMBER(INDEX(Inputs!$K$5:$AJ$110,0,MATCH(E$2,Inputs!$K$4:$AJ$4,0))))+SUMPRODUCT((Inputs!$C$5:$C$110=$B13)*ISNUMBER(INDEX(Inputs!$K$5:$AJ$110,0,MATCH(E$2,Inputs!$K$4:$AJ$4,0))))+SUMPRODUCT((Inputs!$E$5:$E$110=$B13)*ISNUMBER(INDEX(Inputs!$K$5:$AJ$110,0,MATCH(E$2,Inputs!$K$4:$AJ$4,0))))=0,NA(),SUMPRODUCT((Inputs!$A$5:$A$110=$B13)*Inputs!$B$5:$B$110*(((Inputs!$G$5:$G$110="moeda")+(Inputs!$G$5:$G$110="acoes"))*Inputs!$B$1+((Inputs!$G$5:$G$110&lt;&gt;"moeda")*(Inputs!$G$5:$G$110&lt;&gt;"acoes")))*INDEX(Inputs!$K$5:$AJ$110,0,MATCH(E$2,Inputs!$K$4:$AJ$4,0)))+SUMPRODUCT((Inputs!$C$5:$C$110=$B13)*Inputs!$D$5:$D$110*(((Inputs!$G$5:$G$110="moeda")+(Inputs!$G$5:$G$110="acoes"))*Inputs!$B$1+((Inputs!$G$5:$G$110&lt;&gt;"moeda")*(Inputs!$G$5:$G$110&lt;&gt;"acoes")))*INDEX(Inputs!$K$5:$AJ$110,0,MATCH(E$2,Inputs!$K$4:$AJ$4,0)))+SUMPRODUCT((Inputs!$E$5:$E$110=$B13)*Inputs!$F$5:$F$110*(((Inputs!$G$5:$G$110="moeda")+(Inputs!$G$5:$G$110="acoes"))*Inputs!$B$1+((Inputs!$G$5:$G$110&lt;&gt;"moeda")*(Inputs!$G$5:$G$110&lt;&gt;"acoes")))*INDEX(Inputs!$K$5:$AJ$110,0,MATCH(E$2,Inputs!$K$4:$AJ$4,0)))))</f>
        <v>-1542</v>
      </c>
      <c r="F13" s="267">
        <f>IF(ISNA(MATCH(F$2,Inputs!$K$4:$AJ$4,0)),NA(),IF(SUMPRODUCT((Inputs!$A$5:$A$110=$B13)*ISNUMBER(INDEX(Inputs!$K$5:$AJ$110,0,MATCH(F$2,Inputs!$K$4:$AJ$4,0))))+SUMPRODUCT((Inputs!$C$5:$C$110=$B13)*ISNUMBER(INDEX(Inputs!$K$5:$AJ$110,0,MATCH(F$2,Inputs!$K$4:$AJ$4,0))))+SUMPRODUCT((Inputs!$E$5:$E$110=$B13)*ISNUMBER(INDEX(Inputs!$K$5:$AJ$110,0,MATCH(F$2,Inputs!$K$4:$AJ$4,0))))=0,NA(),SUMPRODUCT((Inputs!$A$5:$A$110=$B13)*Inputs!$B$5:$B$110*(((Inputs!$G$5:$G$110="moeda")+(Inputs!$G$5:$G$110="acoes"))*Inputs!$B$1+((Inputs!$G$5:$G$110&lt;&gt;"moeda")*(Inputs!$G$5:$G$110&lt;&gt;"acoes")))*INDEX(Inputs!$K$5:$AJ$110,0,MATCH(F$2,Inputs!$K$4:$AJ$4,0)))+SUMPRODUCT((Inputs!$C$5:$C$110=$B13)*Inputs!$D$5:$D$110*(((Inputs!$G$5:$G$110="moeda")+(Inputs!$G$5:$G$110="acoes"))*Inputs!$B$1+((Inputs!$G$5:$G$110&lt;&gt;"moeda")*(Inputs!$G$5:$G$110&lt;&gt;"acoes")))*INDEX(Inputs!$K$5:$AJ$110,0,MATCH(F$2,Inputs!$K$4:$AJ$4,0)))+SUMPRODUCT((Inputs!$E$5:$E$110=$B13)*Inputs!$F$5:$F$110*(((Inputs!$G$5:$G$110="moeda")+(Inputs!$G$5:$G$110="acoes"))*Inputs!$B$1+((Inputs!$G$5:$G$110&lt;&gt;"moeda")*(Inputs!$G$5:$G$110&lt;&gt;"acoes")))*INDEX(Inputs!$K$5:$AJ$110,0,MATCH(F$2,Inputs!$K$4:$AJ$4,0)))))</f>
        <v>-1536</v>
      </c>
      <c r="G13" s="267">
        <f>IF(ISNA(MATCH(G$2,Inputs!$K$4:$AJ$4,0)),NA(),IF(SUMPRODUCT((Inputs!$A$5:$A$110=$B13)*ISNUMBER(INDEX(Inputs!$K$5:$AJ$110,0,MATCH(G$2,Inputs!$K$4:$AJ$4,0))))+SUMPRODUCT((Inputs!$C$5:$C$110=$B13)*ISNUMBER(INDEX(Inputs!$K$5:$AJ$110,0,MATCH(G$2,Inputs!$K$4:$AJ$4,0))))+SUMPRODUCT((Inputs!$E$5:$E$110=$B13)*ISNUMBER(INDEX(Inputs!$K$5:$AJ$110,0,MATCH(G$2,Inputs!$K$4:$AJ$4,0))))=0,NA(),SUMPRODUCT((Inputs!$A$5:$A$110=$B13)*Inputs!$B$5:$B$110*(((Inputs!$G$5:$G$110="moeda")+(Inputs!$G$5:$G$110="acoes"))*Inputs!$B$1+((Inputs!$G$5:$G$110&lt;&gt;"moeda")*(Inputs!$G$5:$G$110&lt;&gt;"acoes")))*INDEX(Inputs!$K$5:$AJ$110,0,MATCH(G$2,Inputs!$K$4:$AJ$4,0)))+SUMPRODUCT((Inputs!$C$5:$C$110=$B13)*Inputs!$D$5:$D$110*(((Inputs!$G$5:$G$110="moeda")+(Inputs!$G$5:$G$110="acoes"))*Inputs!$B$1+((Inputs!$G$5:$G$110&lt;&gt;"moeda")*(Inputs!$G$5:$G$110&lt;&gt;"acoes")))*INDEX(Inputs!$K$5:$AJ$110,0,MATCH(G$2,Inputs!$K$4:$AJ$4,0)))+SUMPRODUCT((Inputs!$E$5:$E$110=$B13)*Inputs!$F$5:$F$110*(((Inputs!$G$5:$G$110="moeda")+(Inputs!$G$5:$G$110="acoes"))*Inputs!$B$1+((Inputs!$G$5:$G$110&lt;&gt;"moeda")*(Inputs!$G$5:$G$110&lt;&gt;"acoes")))*INDEX(Inputs!$K$5:$AJ$110,0,MATCH(G$2,Inputs!$K$4:$AJ$4,0)))))</f>
        <v>-1525</v>
      </c>
      <c r="H13" s="268">
        <f>SUM(D13:G13)</f>
        <v>-6152</v>
      </c>
      <c r="I13" s="267">
        <f>IF(ISNA(MATCH(I$2,Inputs!$K$4:$AJ$4,0)),NA(),IF(SUMPRODUCT((Inputs!$A$5:$A$110=$B13)*ISNUMBER(INDEX(Inputs!$K$5:$AJ$110,0,MATCH(I$2,Inputs!$K$4:$AJ$4,0))))+SUMPRODUCT((Inputs!$C$5:$C$110=$B13)*ISNUMBER(INDEX(Inputs!$K$5:$AJ$110,0,MATCH(I$2,Inputs!$K$4:$AJ$4,0))))+SUMPRODUCT((Inputs!$E$5:$E$110=$B13)*ISNUMBER(INDEX(Inputs!$K$5:$AJ$110,0,MATCH(I$2,Inputs!$K$4:$AJ$4,0))))=0,NA(),SUMPRODUCT((Inputs!$A$5:$A$110=$B13)*Inputs!$B$5:$B$110*(((Inputs!$G$5:$G$110="moeda")+(Inputs!$G$5:$G$110="acoes"))*Inputs!$B$1+((Inputs!$G$5:$G$110&lt;&gt;"moeda")*(Inputs!$G$5:$G$110&lt;&gt;"acoes")))*INDEX(Inputs!$K$5:$AJ$110,0,MATCH(I$2,Inputs!$K$4:$AJ$4,0)))+SUMPRODUCT((Inputs!$C$5:$C$110=$B13)*Inputs!$D$5:$D$110*(((Inputs!$G$5:$G$110="moeda")+(Inputs!$G$5:$G$110="acoes"))*Inputs!$B$1+((Inputs!$G$5:$G$110&lt;&gt;"moeda")*(Inputs!$G$5:$G$110&lt;&gt;"acoes")))*INDEX(Inputs!$K$5:$AJ$110,0,MATCH(I$2,Inputs!$K$4:$AJ$4,0)))+SUMPRODUCT((Inputs!$E$5:$E$110=$B13)*Inputs!$F$5:$F$110*(((Inputs!$G$5:$G$110="moeda")+(Inputs!$G$5:$G$110="acoes"))*Inputs!$B$1+((Inputs!$G$5:$G$110&lt;&gt;"moeda")*(Inputs!$G$5:$G$110&lt;&gt;"acoes")))*INDEX(Inputs!$K$5:$AJ$110,0,MATCH(I$2,Inputs!$K$4:$AJ$4,0)))))</f>
        <v>-1543</v>
      </c>
      <c r="J13" s="267">
        <f>IF(ISNA(MATCH(J$2,Inputs!$K$4:$AJ$4,0)),NA(),IF(SUMPRODUCT((Inputs!$A$5:$A$110=$B13)*ISNUMBER(INDEX(Inputs!$K$5:$AJ$110,0,MATCH(J$2,Inputs!$K$4:$AJ$4,0))))+SUMPRODUCT((Inputs!$C$5:$C$110=$B13)*ISNUMBER(INDEX(Inputs!$K$5:$AJ$110,0,MATCH(J$2,Inputs!$K$4:$AJ$4,0))))+SUMPRODUCT((Inputs!$E$5:$E$110=$B13)*ISNUMBER(INDEX(Inputs!$K$5:$AJ$110,0,MATCH(J$2,Inputs!$K$4:$AJ$4,0))))=0,NA(),SUMPRODUCT((Inputs!$A$5:$A$110=$B13)*Inputs!$B$5:$B$110*(((Inputs!$G$5:$G$110="moeda")+(Inputs!$G$5:$G$110="acoes"))*Inputs!$B$1+((Inputs!$G$5:$G$110&lt;&gt;"moeda")*(Inputs!$G$5:$G$110&lt;&gt;"acoes")))*INDEX(Inputs!$K$5:$AJ$110,0,MATCH(J$2,Inputs!$K$4:$AJ$4,0)))+SUMPRODUCT((Inputs!$C$5:$C$110=$B13)*Inputs!$D$5:$D$110*(((Inputs!$G$5:$G$110="moeda")+(Inputs!$G$5:$G$110="acoes"))*Inputs!$B$1+((Inputs!$G$5:$G$110&lt;&gt;"moeda")*(Inputs!$G$5:$G$110&lt;&gt;"acoes")))*INDEX(Inputs!$K$5:$AJ$110,0,MATCH(J$2,Inputs!$K$4:$AJ$4,0)))+SUMPRODUCT((Inputs!$E$5:$E$110=$B13)*Inputs!$F$5:$F$110*(((Inputs!$G$5:$G$110="moeda")+(Inputs!$G$5:$G$110="acoes"))*Inputs!$B$1+((Inputs!$G$5:$G$110&lt;&gt;"moeda")*(Inputs!$G$5:$G$110&lt;&gt;"acoes")))*INDEX(Inputs!$K$5:$AJ$110,0,MATCH(J$2,Inputs!$K$4:$AJ$4,0)))))</f>
        <v>-1538</v>
      </c>
      <c r="K13" s="267">
        <f>IF(ISNA(MATCH(K$2,Inputs!$K$4:$AJ$4,0)),NA(),IF(SUMPRODUCT((Inputs!$A$5:$A$110=$B13)*ISNUMBER(INDEX(Inputs!$K$5:$AJ$110,0,MATCH(K$2,Inputs!$K$4:$AJ$4,0))))+SUMPRODUCT((Inputs!$C$5:$C$110=$B13)*ISNUMBER(INDEX(Inputs!$K$5:$AJ$110,0,MATCH(K$2,Inputs!$K$4:$AJ$4,0))))+SUMPRODUCT((Inputs!$E$5:$E$110=$B13)*ISNUMBER(INDEX(Inputs!$K$5:$AJ$110,0,MATCH(K$2,Inputs!$K$4:$AJ$4,0))))=0,NA(),SUMPRODUCT((Inputs!$A$5:$A$110=$B13)*Inputs!$B$5:$B$110*(((Inputs!$G$5:$G$110="moeda")+(Inputs!$G$5:$G$110="acoes"))*Inputs!$B$1+((Inputs!$G$5:$G$110&lt;&gt;"moeda")*(Inputs!$G$5:$G$110&lt;&gt;"acoes")))*INDEX(Inputs!$K$5:$AJ$110,0,MATCH(K$2,Inputs!$K$4:$AJ$4,0)))+SUMPRODUCT((Inputs!$C$5:$C$110=$B13)*Inputs!$D$5:$D$110*(((Inputs!$G$5:$G$110="moeda")+(Inputs!$G$5:$G$110="acoes"))*Inputs!$B$1+((Inputs!$G$5:$G$110&lt;&gt;"moeda")*(Inputs!$G$5:$G$110&lt;&gt;"acoes")))*INDEX(Inputs!$K$5:$AJ$110,0,MATCH(K$2,Inputs!$K$4:$AJ$4,0)))+SUMPRODUCT((Inputs!$E$5:$E$110=$B13)*Inputs!$F$5:$F$110*(((Inputs!$G$5:$G$110="moeda")+(Inputs!$G$5:$G$110="acoes"))*Inputs!$B$1+((Inputs!$G$5:$G$110&lt;&gt;"moeda")*(Inputs!$G$5:$G$110&lt;&gt;"acoes")))*INDEX(Inputs!$K$5:$AJ$110,0,MATCH(K$2,Inputs!$K$4:$AJ$4,0)))))</f>
        <v>-1519</v>
      </c>
      <c r="L13" s="267">
        <f>IF(ISNA(MATCH(L$2,Inputs!$K$4:$AJ$4,0)),NA(),IF(SUMPRODUCT((Inputs!$A$5:$A$110=$B13)*ISNUMBER(INDEX(Inputs!$K$5:$AJ$110,0,MATCH(L$2,Inputs!$K$4:$AJ$4,0))))+SUMPRODUCT((Inputs!$C$5:$C$110=$B13)*ISNUMBER(INDEX(Inputs!$K$5:$AJ$110,0,MATCH(L$2,Inputs!$K$4:$AJ$4,0))))+SUMPRODUCT((Inputs!$E$5:$E$110=$B13)*ISNUMBER(INDEX(Inputs!$K$5:$AJ$110,0,MATCH(L$2,Inputs!$K$4:$AJ$4,0))))=0,NA(),SUMPRODUCT((Inputs!$A$5:$A$110=$B13)*Inputs!$B$5:$B$110*(((Inputs!$G$5:$G$110="moeda")+(Inputs!$G$5:$G$110="acoes"))*Inputs!$B$1+((Inputs!$G$5:$G$110&lt;&gt;"moeda")*(Inputs!$G$5:$G$110&lt;&gt;"acoes")))*INDEX(Inputs!$K$5:$AJ$110,0,MATCH(L$2,Inputs!$K$4:$AJ$4,0)))+SUMPRODUCT((Inputs!$C$5:$C$110=$B13)*Inputs!$D$5:$D$110*(((Inputs!$G$5:$G$110="moeda")+(Inputs!$G$5:$G$110="acoes"))*Inputs!$B$1+((Inputs!$G$5:$G$110&lt;&gt;"moeda")*(Inputs!$G$5:$G$110&lt;&gt;"acoes")))*INDEX(Inputs!$K$5:$AJ$110,0,MATCH(L$2,Inputs!$K$4:$AJ$4,0)))+SUMPRODUCT((Inputs!$E$5:$E$110=$B13)*Inputs!$F$5:$F$110*(((Inputs!$G$5:$G$110="moeda")+(Inputs!$G$5:$G$110="acoes"))*Inputs!$B$1+((Inputs!$G$5:$G$110&lt;&gt;"moeda")*(Inputs!$G$5:$G$110&lt;&gt;"acoes")))*INDEX(Inputs!$K$5:$AJ$110,0,MATCH(L$2,Inputs!$K$4:$AJ$4,0)))))</f>
        <v>-1514</v>
      </c>
      <c r="M13" s="268">
        <f>SUM(I13:L13)</f>
        <v>-6114</v>
      </c>
      <c r="N13" s="267">
        <f>IF(ISNA(MATCH(N$2,Inputs!$K$4:$AJ$4,0)),NA(),IF(SUMPRODUCT((Inputs!$A$5:$A$110=$B13)*ISNUMBER(INDEX(Inputs!$K$5:$AJ$110,0,MATCH(N$2,Inputs!$K$4:$AJ$4,0))))+SUMPRODUCT((Inputs!$C$5:$C$110=$B13)*ISNUMBER(INDEX(Inputs!$K$5:$AJ$110,0,MATCH(N$2,Inputs!$K$4:$AJ$4,0))))+SUMPRODUCT((Inputs!$E$5:$E$110=$B13)*ISNUMBER(INDEX(Inputs!$K$5:$AJ$110,0,MATCH(N$2,Inputs!$K$4:$AJ$4,0))))=0,NA(),SUMPRODUCT((Inputs!$A$5:$A$110=$B13)*Inputs!$B$5:$B$110*(((Inputs!$G$5:$G$110="moeda")+(Inputs!$G$5:$G$110="acoes"))*Inputs!$B$1+((Inputs!$G$5:$G$110&lt;&gt;"moeda")*(Inputs!$G$5:$G$110&lt;&gt;"acoes")))*INDEX(Inputs!$K$5:$AJ$110,0,MATCH(N$2,Inputs!$K$4:$AJ$4,0)))+SUMPRODUCT((Inputs!$C$5:$C$110=$B13)*Inputs!$D$5:$D$110*(((Inputs!$G$5:$G$110="moeda")+(Inputs!$G$5:$G$110="acoes"))*Inputs!$B$1+((Inputs!$G$5:$G$110&lt;&gt;"moeda")*(Inputs!$G$5:$G$110&lt;&gt;"acoes")))*INDEX(Inputs!$K$5:$AJ$110,0,MATCH(N$2,Inputs!$K$4:$AJ$4,0)))+SUMPRODUCT((Inputs!$E$5:$E$110=$B13)*Inputs!$F$5:$F$110*(((Inputs!$G$5:$G$110="moeda")+(Inputs!$G$5:$G$110="acoes"))*Inputs!$B$1+((Inputs!$G$5:$G$110&lt;&gt;"moeda")*(Inputs!$G$5:$G$110&lt;&gt;"acoes")))*INDEX(Inputs!$K$5:$AJ$110,0,MATCH(N$2,Inputs!$K$4:$AJ$4,0)))))</f>
        <v>-1538</v>
      </c>
      <c r="O13" s="267">
        <f>IF(ISNA(MATCH(O$2,Inputs!$K$4:$AJ$4,0)),NA(),IF(SUMPRODUCT((Inputs!$A$5:$A$110=$B13)*ISNUMBER(INDEX(Inputs!$K$5:$AJ$110,0,MATCH(O$2,Inputs!$K$4:$AJ$4,0))))+SUMPRODUCT((Inputs!$C$5:$C$110=$B13)*ISNUMBER(INDEX(Inputs!$K$5:$AJ$110,0,MATCH(O$2,Inputs!$K$4:$AJ$4,0))))+SUMPRODUCT((Inputs!$E$5:$E$110=$B13)*ISNUMBER(INDEX(Inputs!$K$5:$AJ$110,0,MATCH(O$2,Inputs!$K$4:$AJ$4,0))))=0,NA(),SUMPRODUCT((Inputs!$A$5:$A$110=$B13)*Inputs!$B$5:$B$110*(((Inputs!$G$5:$G$110="moeda")+(Inputs!$G$5:$G$110="acoes"))*Inputs!$B$1+((Inputs!$G$5:$G$110&lt;&gt;"moeda")*(Inputs!$G$5:$G$110&lt;&gt;"acoes")))*INDEX(Inputs!$K$5:$AJ$110,0,MATCH(O$2,Inputs!$K$4:$AJ$4,0)))+SUMPRODUCT((Inputs!$C$5:$C$110=$B13)*Inputs!$D$5:$D$110*(((Inputs!$G$5:$G$110="moeda")+(Inputs!$G$5:$G$110="acoes"))*Inputs!$B$1+((Inputs!$G$5:$G$110&lt;&gt;"moeda")*(Inputs!$G$5:$G$110&lt;&gt;"acoes")))*INDEX(Inputs!$K$5:$AJ$110,0,MATCH(O$2,Inputs!$K$4:$AJ$4,0)))+SUMPRODUCT((Inputs!$E$5:$E$110=$B13)*Inputs!$F$5:$F$110*(((Inputs!$G$5:$G$110="moeda")+(Inputs!$G$5:$G$110="acoes"))*Inputs!$B$1+((Inputs!$G$5:$G$110&lt;&gt;"moeda")*(Inputs!$G$5:$G$110&lt;&gt;"acoes")))*INDEX(Inputs!$K$5:$AJ$110,0,MATCH(O$2,Inputs!$K$4:$AJ$4,0)))))</f>
        <v>-1534</v>
      </c>
      <c r="P13" s="267">
        <f>IF(ISNA(MATCH(P$2,Inputs!$K$4:$AJ$4,0)),NA(),IF(SUMPRODUCT((Inputs!$A$5:$A$110=$B13)*ISNUMBER(INDEX(Inputs!$K$5:$AJ$110,0,MATCH(P$2,Inputs!$K$4:$AJ$4,0))))+SUMPRODUCT((Inputs!$C$5:$C$110=$B13)*ISNUMBER(INDEX(Inputs!$K$5:$AJ$110,0,MATCH(P$2,Inputs!$K$4:$AJ$4,0))))+SUMPRODUCT((Inputs!$E$5:$E$110=$B13)*ISNUMBER(INDEX(Inputs!$K$5:$AJ$110,0,MATCH(P$2,Inputs!$K$4:$AJ$4,0))))=0,NA(),SUMPRODUCT((Inputs!$A$5:$A$110=$B13)*Inputs!$B$5:$B$110*(((Inputs!$G$5:$G$110="moeda")+(Inputs!$G$5:$G$110="acoes"))*Inputs!$B$1+((Inputs!$G$5:$G$110&lt;&gt;"moeda")*(Inputs!$G$5:$G$110&lt;&gt;"acoes")))*INDEX(Inputs!$K$5:$AJ$110,0,MATCH(P$2,Inputs!$K$4:$AJ$4,0)))+SUMPRODUCT((Inputs!$C$5:$C$110=$B13)*Inputs!$D$5:$D$110*(((Inputs!$G$5:$G$110="moeda")+(Inputs!$G$5:$G$110="acoes"))*Inputs!$B$1+((Inputs!$G$5:$G$110&lt;&gt;"moeda")*(Inputs!$G$5:$G$110&lt;&gt;"acoes")))*INDEX(Inputs!$K$5:$AJ$110,0,MATCH(P$2,Inputs!$K$4:$AJ$4,0)))+SUMPRODUCT((Inputs!$E$5:$E$110=$B13)*Inputs!$F$5:$F$110*(((Inputs!$G$5:$G$110="moeda")+(Inputs!$G$5:$G$110="acoes"))*Inputs!$B$1+((Inputs!$G$5:$G$110&lt;&gt;"moeda")*(Inputs!$G$5:$G$110&lt;&gt;"acoes")))*INDEX(Inputs!$K$5:$AJ$110,0,MATCH(P$2,Inputs!$K$4:$AJ$4,0)))))</f>
        <v>-1534</v>
      </c>
      <c r="Q13" s="267">
        <f>IF(ISNA(MATCH(Q$2,Inputs!$K$4:$AJ$4,0)),NA(),IF(SUMPRODUCT((Inputs!$A$5:$A$110=$B13)*ISNUMBER(INDEX(Inputs!$K$5:$AJ$110,0,MATCH(Q$2,Inputs!$K$4:$AJ$4,0))))+SUMPRODUCT((Inputs!$C$5:$C$110=$B13)*ISNUMBER(INDEX(Inputs!$K$5:$AJ$110,0,MATCH(Q$2,Inputs!$K$4:$AJ$4,0))))+SUMPRODUCT((Inputs!$E$5:$E$110=$B13)*ISNUMBER(INDEX(Inputs!$K$5:$AJ$110,0,MATCH(Q$2,Inputs!$K$4:$AJ$4,0))))=0,NA(),SUMPRODUCT((Inputs!$A$5:$A$110=$B13)*Inputs!$B$5:$B$110*(((Inputs!$G$5:$G$110="moeda")+(Inputs!$G$5:$G$110="acoes"))*Inputs!$B$1+((Inputs!$G$5:$G$110&lt;&gt;"moeda")*(Inputs!$G$5:$G$110&lt;&gt;"acoes")))*INDEX(Inputs!$K$5:$AJ$110,0,MATCH(Q$2,Inputs!$K$4:$AJ$4,0)))+SUMPRODUCT((Inputs!$C$5:$C$110=$B13)*Inputs!$D$5:$D$110*(((Inputs!$G$5:$G$110="moeda")+(Inputs!$G$5:$G$110="acoes"))*Inputs!$B$1+((Inputs!$G$5:$G$110&lt;&gt;"moeda")*(Inputs!$G$5:$G$110&lt;&gt;"acoes")))*INDEX(Inputs!$K$5:$AJ$110,0,MATCH(Q$2,Inputs!$K$4:$AJ$4,0)))+SUMPRODUCT((Inputs!$E$5:$E$110=$B13)*Inputs!$F$5:$F$110*(((Inputs!$G$5:$G$110="moeda")+(Inputs!$G$5:$G$110="acoes"))*Inputs!$B$1+((Inputs!$G$5:$G$110&lt;&gt;"moeda")*(Inputs!$G$5:$G$110&lt;&gt;"acoes")))*INDEX(Inputs!$K$5:$AJ$110,0,MATCH(Q$2,Inputs!$K$4:$AJ$4,0)))))</f>
        <v>-1534</v>
      </c>
      <c r="R13" s="268">
        <f>SUM(N13:Q13)</f>
        <v>-6140</v>
      </c>
      <c r="S13" s="267">
        <f>IF(ISNA(MATCH(S$2,Inputs!$K$4:$AJ$4,0)),NA(),IF(SUMPRODUCT((Inputs!$A$5:$A$110=$B13)*ISNUMBER(INDEX(Inputs!$K$5:$AJ$110,0,MATCH(S$2,Inputs!$K$4:$AJ$4,0))))+SUMPRODUCT((Inputs!$C$5:$C$110=$B13)*ISNUMBER(INDEX(Inputs!$K$5:$AJ$110,0,MATCH(S$2,Inputs!$K$4:$AJ$4,0))))+SUMPRODUCT((Inputs!$E$5:$E$110=$B13)*ISNUMBER(INDEX(Inputs!$K$5:$AJ$110,0,MATCH(S$2,Inputs!$K$4:$AJ$4,0))))=0,NA(),SUMPRODUCT((Inputs!$A$5:$A$110=$B13)*Inputs!$B$5:$B$110*(((Inputs!$G$5:$G$110="moeda")+(Inputs!$G$5:$G$110="acoes"))*Inputs!$B$1+((Inputs!$G$5:$G$110&lt;&gt;"moeda")*(Inputs!$G$5:$G$110&lt;&gt;"acoes")))*INDEX(Inputs!$K$5:$AJ$110,0,MATCH(S$2,Inputs!$K$4:$AJ$4,0)))+SUMPRODUCT((Inputs!$C$5:$C$110=$B13)*Inputs!$D$5:$D$110*(((Inputs!$G$5:$G$110="moeda")+(Inputs!$G$5:$G$110="acoes"))*Inputs!$B$1+((Inputs!$G$5:$G$110&lt;&gt;"moeda")*(Inputs!$G$5:$G$110&lt;&gt;"acoes")))*INDEX(Inputs!$K$5:$AJ$110,0,MATCH(S$2,Inputs!$K$4:$AJ$4,0)))+SUMPRODUCT((Inputs!$E$5:$E$110=$B13)*Inputs!$F$5:$F$110*(((Inputs!$G$5:$G$110="moeda")+(Inputs!$G$5:$G$110="acoes"))*Inputs!$B$1+((Inputs!$G$5:$G$110&lt;&gt;"moeda")*(Inputs!$G$5:$G$110&lt;&gt;"acoes")))*INDEX(Inputs!$K$5:$AJ$110,0,MATCH(S$2,Inputs!$K$4:$AJ$4,0)))))</f>
        <v>-1671</v>
      </c>
      <c r="T13" s="267">
        <f>IF(ISNA(MATCH(T$2,Inputs!$K$4:$AJ$4,0)),NA(),IF(SUMPRODUCT((Inputs!$A$5:$A$110=$B13)*ISNUMBER(INDEX(Inputs!$K$5:$AJ$110,0,MATCH(T$2,Inputs!$K$4:$AJ$4,0))))+SUMPRODUCT((Inputs!$C$5:$C$110=$B13)*ISNUMBER(INDEX(Inputs!$K$5:$AJ$110,0,MATCH(T$2,Inputs!$K$4:$AJ$4,0))))+SUMPRODUCT((Inputs!$E$5:$E$110=$B13)*ISNUMBER(INDEX(Inputs!$K$5:$AJ$110,0,MATCH(T$2,Inputs!$K$4:$AJ$4,0))))=0,NA(),SUMPRODUCT((Inputs!$A$5:$A$110=$B13)*Inputs!$B$5:$B$110*(((Inputs!$G$5:$G$110="moeda")+(Inputs!$G$5:$G$110="acoes"))*Inputs!$B$1+((Inputs!$G$5:$G$110&lt;&gt;"moeda")*(Inputs!$G$5:$G$110&lt;&gt;"acoes")))*INDEX(Inputs!$K$5:$AJ$110,0,MATCH(T$2,Inputs!$K$4:$AJ$4,0)))+SUMPRODUCT((Inputs!$C$5:$C$110=$B13)*Inputs!$D$5:$D$110*(((Inputs!$G$5:$G$110="moeda")+(Inputs!$G$5:$G$110="acoes"))*Inputs!$B$1+((Inputs!$G$5:$G$110&lt;&gt;"moeda")*(Inputs!$G$5:$G$110&lt;&gt;"acoes")))*INDEX(Inputs!$K$5:$AJ$110,0,MATCH(T$2,Inputs!$K$4:$AJ$4,0)))+SUMPRODUCT((Inputs!$E$5:$E$110=$B13)*Inputs!$F$5:$F$110*(((Inputs!$G$5:$G$110="moeda")+(Inputs!$G$5:$G$110="acoes"))*Inputs!$B$1+((Inputs!$G$5:$G$110&lt;&gt;"moeda")*(Inputs!$G$5:$G$110&lt;&gt;"acoes")))*INDEX(Inputs!$K$5:$AJ$110,0,MATCH(T$2,Inputs!$K$4:$AJ$4,0)))))</f>
        <v>-1665</v>
      </c>
      <c r="U13" s="267">
        <f>IF(ISNA(MATCH(U$2,Inputs!$K$4:$AJ$4,0)),NA(),IF(SUMPRODUCT((Inputs!$A$5:$A$110=$B13)*ISNUMBER(INDEX(Inputs!$K$5:$AJ$110,0,MATCH(U$2,Inputs!$K$4:$AJ$4,0))))+SUMPRODUCT((Inputs!$C$5:$C$110=$B13)*ISNUMBER(INDEX(Inputs!$K$5:$AJ$110,0,MATCH(U$2,Inputs!$K$4:$AJ$4,0))))+SUMPRODUCT((Inputs!$E$5:$E$110=$B13)*ISNUMBER(INDEX(Inputs!$K$5:$AJ$110,0,MATCH(U$2,Inputs!$K$4:$AJ$4,0))))=0,NA(),SUMPRODUCT((Inputs!$A$5:$A$110=$B13)*Inputs!$B$5:$B$110*(((Inputs!$G$5:$G$110="moeda")+(Inputs!$G$5:$G$110="acoes"))*Inputs!$B$1+((Inputs!$G$5:$G$110&lt;&gt;"moeda")*(Inputs!$G$5:$G$110&lt;&gt;"acoes")))*INDEX(Inputs!$K$5:$AJ$110,0,MATCH(U$2,Inputs!$K$4:$AJ$4,0)))+SUMPRODUCT((Inputs!$C$5:$C$110=$B13)*Inputs!$D$5:$D$110*(((Inputs!$G$5:$G$110="moeda")+(Inputs!$G$5:$G$110="acoes"))*Inputs!$B$1+((Inputs!$G$5:$G$110&lt;&gt;"moeda")*(Inputs!$G$5:$G$110&lt;&gt;"acoes")))*INDEX(Inputs!$K$5:$AJ$110,0,MATCH(U$2,Inputs!$K$4:$AJ$4,0)))+SUMPRODUCT((Inputs!$E$5:$E$110=$B13)*Inputs!$F$5:$F$110*(((Inputs!$G$5:$G$110="moeda")+(Inputs!$G$5:$G$110="acoes"))*Inputs!$B$1+((Inputs!$G$5:$G$110&lt;&gt;"moeda")*(Inputs!$G$5:$G$110&lt;&gt;"acoes")))*INDEX(Inputs!$K$5:$AJ$110,0,MATCH(U$2,Inputs!$K$4:$AJ$4,0)))))</f>
        <v>-1668</v>
      </c>
      <c r="V13" s="267">
        <f>IF(ISNA(MATCH(V$2,Inputs!$K$4:$AJ$4,0)),NA(),IF(SUMPRODUCT((Inputs!$A$5:$A$110=$B13)*ISNUMBER(INDEX(Inputs!$K$5:$AJ$110,0,MATCH(V$2,Inputs!$K$4:$AJ$4,0))))+SUMPRODUCT((Inputs!$C$5:$C$110=$B13)*ISNUMBER(INDEX(Inputs!$K$5:$AJ$110,0,MATCH(V$2,Inputs!$K$4:$AJ$4,0))))+SUMPRODUCT((Inputs!$E$5:$E$110=$B13)*ISNUMBER(INDEX(Inputs!$K$5:$AJ$110,0,MATCH(V$2,Inputs!$K$4:$AJ$4,0))))=0,NA(),SUMPRODUCT((Inputs!$A$5:$A$110=$B13)*Inputs!$B$5:$B$110*(((Inputs!$G$5:$G$110="moeda")+(Inputs!$G$5:$G$110="acoes"))*Inputs!$B$1+((Inputs!$G$5:$G$110&lt;&gt;"moeda")*(Inputs!$G$5:$G$110&lt;&gt;"acoes")))*INDEX(Inputs!$K$5:$AJ$110,0,MATCH(V$2,Inputs!$K$4:$AJ$4,0)))+SUMPRODUCT((Inputs!$C$5:$C$110=$B13)*Inputs!$D$5:$D$110*(((Inputs!$G$5:$G$110="moeda")+(Inputs!$G$5:$G$110="acoes"))*Inputs!$B$1+((Inputs!$G$5:$G$110&lt;&gt;"moeda")*(Inputs!$G$5:$G$110&lt;&gt;"acoes")))*INDEX(Inputs!$K$5:$AJ$110,0,MATCH(V$2,Inputs!$K$4:$AJ$4,0)))+SUMPRODUCT((Inputs!$E$5:$E$110=$B13)*Inputs!$F$5:$F$110*(((Inputs!$G$5:$G$110="moeda")+(Inputs!$G$5:$G$110="acoes"))*Inputs!$B$1+((Inputs!$G$5:$G$110&lt;&gt;"moeda")*(Inputs!$G$5:$G$110&lt;&gt;"acoes")))*INDEX(Inputs!$K$5:$AJ$110,0,MATCH(V$2,Inputs!$K$4:$AJ$4,0)))))</f>
        <v>-1684</v>
      </c>
      <c r="W13" s="268">
        <f>SUM(S13:V13)</f>
        <v>-6688</v>
      </c>
      <c r="X13" s="267">
        <f>IF(ISNA(MATCH(X$2,Inputs!$K$4:$AJ$4,0)),NA(),IF(SUMPRODUCT((Inputs!$A$5:$A$110=$B13)*ISNUMBER(INDEX(Inputs!$K$5:$AJ$110,0,MATCH(X$2,Inputs!$K$4:$AJ$4,0))))+SUMPRODUCT((Inputs!$C$5:$C$110=$B13)*ISNUMBER(INDEX(Inputs!$K$5:$AJ$110,0,MATCH(X$2,Inputs!$K$4:$AJ$4,0))))+SUMPRODUCT((Inputs!$E$5:$E$110=$B13)*ISNUMBER(INDEX(Inputs!$K$5:$AJ$110,0,MATCH(X$2,Inputs!$K$4:$AJ$4,0))))=0,NA(),SUMPRODUCT((Inputs!$A$5:$A$110=$B13)*Inputs!$B$5:$B$110*(((Inputs!$G$5:$G$110="moeda")+(Inputs!$G$5:$G$110="acoes"))*Inputs!$B$1+((Inputs!$G$5:$G$110&lt;&gt;"moeda")*(Inputs!$G$5:$G$110&lt;&gt;"acoes")))*INDEX(Inputs!$K$5:$AJ$110,0,MATCH(X$2,Inputs!$K$4:$AJ$4,0)))+SUMPRODUCT((Inputs!$C$5:$C$110=$B13)*Inputs!$D$5:$D$110*(((Inputs!$G$5:$G$110="moeda")+(Inputs!$G$5:$G$110="acoes"))*Inputs!$B$1+((Inputs!$G$5:$G$110&lt;&gt;"moeda")*(Inputs!$G$5:$G$110&lt;&gt;"acoes")))*INDEX(Inputs!$K$5:$AJ$110,0,MATCH(X$2,Inputs!$K$4:$AJ$4,0)))+SUMPRODUCT((Inputs!$E$5:$E$110=$B13)*Inputs!$F$5:$F$110*(((Inputs!$G$5:$G$110="moeda")+(Inputs!$G$5:$G$110="acoes"))*Inputs!$B$1+((Inputs!$G$5:$G$110&lt;&gt;"moeda")*(Inputs!$G$5:$G$110&lt;&gt;"acoes")))*INDEX(Inputs!$K$5:$AJ$110,0,MATCH(X$2,Inputs!$K$4:$AJ$4,0)))))</f>
        <v>-1880</v>
      </c>
      <c r="Y13" s="267">
        <f>IF(ISNA(MATCH(Y$2,Inputs!$K$4:$AJ$4,0)),NA(),IF(SUMPRODUCT((Inputs!$A$5:$A$110=$B13)*ISNUMBER(INDEX(Inputs!$K$5:$AJ$110,0,MATCH(Y$2,Inputs!$K$4:$AJ$4,0))))+SUMPRODUCT((Inputs!$C$5:$C$110=$B13)*ISNUMBER(INDEX(Inputs!$K$5:$AJ$110,0,MATCH(Y$2,Inputs!$K$4:$AJ$4,0))))+SUMPRODUCT((Inputs!$E$5:$E$110=$B13)*ISNUMBER(INDEX(Inputs!$K$5:$AJ$110,0,MATCH(Y$2,Inputs!$K$4:$AJ$4,0))))=0,NA(),SUMPRODUCT((Inputs!$A$5:$A$110=$B13)*Inputs!$B$5:$B$110*(((Inputs!$G$5:$G$110="moeda")+(Inputs!$G$5:$G$110="acoes"))*Inputs!$B$1+((Inputs!$G$5:$G$110&lt;&gt;"moeda")*(Inputs!$G$5:$G$110&lt;&gt;"acoes")))*INDEX(Inputs!$K$5:$AJ$110,0,MATCH(Y$2,Inputs!$K$4:$AJ$4,0)))+SUMPRODUCT((Inputs!$C$5:$C$110=$B13)*Inputs!$D$5:$D$110*(((Inputs!$G$5:$G$110="moeda")+(Inputs!$G$5:$G$110="acoes"))*Inputs!$B$1+((Inputs!$G$5:$G$110&lt;&gt;"moeda")*(Inputs!$G$5:$G$110&lt;&gt;"acoes")))*INDEX(Inputs!$K$5:$AJ$110,0,MATCH(Y$2,Inputs!$K$4:$AJ$4,0)))+SUMPRODUCT((Inputs!$E$5:$E$110=$B13)*Inputs!$F$5:$F$110*(((Inputs!$G$5:$G$110="moeda")+(Inputs!$G$5:$G$110="acoes"))*Inputs!$B$1+((Inputs!$G$5:$G$110&lt;&gt;"moeda")*(Inputs!$G$5:$G$110&lt;&gt;"acoes")))*INDEX(Inputs!$K$5:$AJ$110,0,MATCH(Y$2,Inputs!$K$4:$AJ$4,0)))))</f>
        <v>-1875</v>
      </c>
      <c r="Z13" s="267">
        <f>IF(ISNA(MATCH(Z$2,Inputs!$K$4:$AJ$4,0)),NA(),IF(SUMPRODUCT((Inputs!$A$5:$A$110=$B13)*ISNUMBER(INDEX(Inputs!$K$5:$AJ$110,0,MATCH(Z$2,Inputs!$K$4:$AJ$4,0))))+SUMPRODUCT((Inputs!$C$5:$C$110=$B13)*ISNUMBER(INDEX(Inputs!$K$5:$AJ$110,0,MATCH(Z$2,Inputs!$K$4:$AJ$4,0))))+SUMPRODUCT((Inputs!$E$5:$E$110=$B13)*ISNUMBER(INDEX(Inputs!$K$5:$AJ$110,0,MATCH(Z$2,Inputs!$K$4:$AJ$4,0))))=0,NA(),SUMPRODUCT((Inputs!$A$5:$A$110=$B13)*Inputs!$B$5:$B$110*(((Inputs!$G$5:$G$110="moeda")+(Inputs!$G$5:$G$110="acoes"))*Inputs!$B$1+((Inputs!$G$5:$G$110&lt;&gt;"moeda")*(Inputs!$G$5:$G$110&lt;&gt;"acoes")))*INDEX(Inputs!$K$5:$AJ$110,0,MATCH(Z$2,Inputs!$K$4:$AJ$4,0)))+SUMPRODUCT((Inputs!$C$5:$C$110=$B13)*Inputs!$D$5:$D$110*(((Inputs!$G$5:$G$110="moeda")+(Inputs!$G$5:$G$110="acoes"))*Inputs!$B$1+((Inputs!$G$5:$G$110&lt;&gt;"moeda")*(Inputs!$G$5:$G$110&lt;&gt;"acoes")))*INDEX(Inputs!$K$5:$AJ$110,0,MATCH(Z$2,Inputs!$K$4:$AJ$4,0)))+SUMPRODUCT((Inputs!$E$5:$E$110=$B13)*Inputs!$F$5:$F$110*(((Inputs!$G$5:$G$110="moeda")+(Inputs!$G$5:$G$110="acoes"))*Inputs!$B$1+((Inputs!$G$5:$G$110&lt;&gt;"moeda")*(Inputs!$G$5:$G$110&lt;&gt;"acoes")))*INDEX(Inputs!$K$5:$AJ$110,0,MATCH(Z$2,Inputs!$K$4:$AJ$4,0)))))</f>
        <v>-1875</v>
      </c>
      <c r="AA13" s="267">
        <f>IF(ISNA(MATCH(AA$2,Inputs!$K$4:$AJ$4,0)),NA(),IF(SUMPRODUCT((Inputs!$A$5:$A$110=$B13)*ISNUMBER(INDEX(Inputs!$K$5:$AJ$110,0,MATCH(AA$2,Inputs!$K$4:$AJ$4,0))))+SUMPRODUCT((Inputs!$C$5:$C$110=$B13)*ISNUMBER(INDEX(Inputs!$K$5:$AJ$110,0,MATCH(AA$2,Inputs!$K$4:$AJ$4,0))))+SUMPRODUCT((Inputs!$E$5:$E$110=$B13)*ISNUMBER(INDEX(Inputs!$K$5:$AJ$110,0,MATCH(AA$2,Inputs!$K$4:$AJ$4,0))))=0,NA(),SUMPRODUCT((Inputs!$A$5:$A$110=$B13)*Inputs!$B$5:$B$110*(((Inputs!$G$5:$G$110="moeda")+(Inputs!$G$5:$G$110="acoes"))*Inputs!$B$1+((Inputs!$G$5:$G$110&lt;&gt;"moeda")*(Inputs!$G$5:$G$110&lt;&gt;"acoes")))*INDEX(Inputs!$K$5:$AJ$110,0,MATCH(AA$2,Inputs!$K$4:$AJ$4,0)))+SUMPRODUCT((Inputs!$C$5:$C$110=$B13)*Inputs!$D$5:$D$110*(((Inputs!$G$5:$G$110="moeda")+(Inputs!$G$5:$G$110="acoes"))*Inputs!$B$1+((Inputs!$G$5:$G$110&lt;&gt;"moeda")*(Inputs!$G$5:$G$110&lt;&gt;"acoes")))*INDEX(Inputs!$K$5:$AJ$110,0,MATCH(AA$2,Inputs!$K$4:$AJ$4,0)))+SUMPRODUCT((Inputs!$E$5:$E$110=$B13)*Inputs!$F$5:$F$110*(((Inputs!$G$5:$G$110="moeda")+(Inputs!$G$5:$G$110="acoes"))*Inputs!$B$1+((Inputs!$G$5:$G$110&lt;&gt;"moeda")*(Inputs!$G$5:$G$110&lt;&gt;"acoes")))*INDEX(Inputs!$K$5:$AJ$110,0,MATCH(AA$2,Inputs!$K$4:$AJ$4,0)))))</f>
        <v>-1877</v>
      </c>
      <c r="AB13" s="268">
        <f>SUM(X13:AA13)</f>
        <v>-7507</v>
      </c>
      <c r="AC13" s="267">
        <f>IF(ISNA(MATCH(AC$2,Inputs!$K$4:$AJ$4,0)),NA(),IF(SUMPRODUCT((Inputs!$A$5:$A$110=$B13)*ISNUMBER(INDEX(Inputs!$K$5:$AJ$110,0,MATCH(AC$2,Inputs!$K$4:$AJ$4,0))))+SUMPRODUCT((Inputs!$C$5:$C$110=$B13)*ISNUMBER(INDEX(Inputs!$K$5:$AJ$110,0,MATCH(AC$2,Inputs!$K$4:$AJ$4,0))))+SUMPRODUCT((Inputs!$E$5:$E$110=$B13)*ISNUMBER(INDEX(Inputs!$K$5:$AJ$110,0,MATCH(AC$2,Inputs!$K$4:$AJ$4,0))))=0,NA(),SUMPRODUCT((Inputs!$A$5:$A$110=$B13)*Inputs!$B$5:$B$110*(((Inputs!$G$5:$G$110="moeda")+(Inputs!$G$5:$G$110="acoes"))*Inputs!$B$1+((Inputs!$G$5:$G$110&lt;&gt;"moeda")*(Inputs!$G$5:$G$110&lt;&gt;"acoes")))*INDEX(Inputs!$K$5:$AJ$110,0,MATCH(AC$2,Inputs!$K$4:$AJ$4,0)))+SUMPRODUCT((Inputs!$C$5:$C$110=$B13)*Inputs!$D$5:$D$110*(((Inputs!$G$5:$G$110="moeda")+(Inputs!$G$5:$G$110="acoes"))*Inputs!$B$1+((Inputs!$G$5:$G$110&lt;&gt;"moeda")*(Inputs!$G$5:$G$110&lt;&gt;"acoes")))*INDEX(Inputs!$K$5:$AJ$110,0,MATCH(AC$2,Inputs!$K$4:$AJ$4,0)))+SUMPRODUCT((Inputs!$E$5:$E$110=$B13)*Inputs!$F$5:$F$110*(((Inputs!$G$5:$G$110="moeda")+(Inputs!$G$5:$G$110="acoes"))*Inputs!$B$1+((Inputs!$G$5:$G$110&lt;&gt;"moeda")*(Inputs!$G$5:$G$110&lt;&gt;"acoes")))*INDEX(Inputs!$K$5:$AJ$110,0,MATCH(AC$2,Inputs!$K$4:$AJ$4,0)))))</f>
        <v>-1972</v>
      </c>
      <c r="AD13" s="267">
        <f>IF(ISNA(MATCH(AD$2,Inputs!$K$4:$AJ$4,0)),NA(),IF(SUMPRODUCT((Inputs!$A$5:$A$110=$B13)*ISNUMBER(INDEX(Inputs!$K$5:$AJ$110,0,MATCH(AD$2,Inputs!$K$4:$AJ$4,0))))+SUMPRODUCT((Inputs!$C$5:$C$110=$B13)*ISNUMBER(INDEX(Inputs!$K$5:$AJ$110,0,MATCH(AD$2,Inputs!$K$4:$AJ$4,0))))+SUMPRODUCT((Inputs!$E$5:$E$110=$B13)*ISNUMBER(INDEX(Inputs!$K$5:$AJ$110,0,MATCH(AD$2,Inputs!$K$4:$AJ$4,0))))=0,NA(),SUMPRODUCT((Inputs!$A$5:$A$110=$B13)*Inputs!$B$5:$B$110*(((Inputs!$G$5:$G$110="moeda")+(Inputs!$G$5:$G$110="acoes"))*Inputs!$B$1+((Inputs!$G$5:$G$110&lt;&gt;"moeda")*(Inputs!$G$5:$G$110&lt;&gt;"acoes")))*INDEX(Inputs!$K$5:$AJ$110,0,MATCH(AD$2,Inputs!$K$4:$AJ$4,0)))+SUMPRODUCT((Inputs!$C$5:$C$110=$B13)*Inputs!$D$5:$D$110*(((Inputs!$G$5:$G$110="moeda")+(Inputs!$G$5:$G$110="acoes"))*Inputs!$B$1+((Inputs!$G$5:$G$110&lt;&gt;"moeda")*(Inputs!$G$5:$G$110&lt;&gt;"acoes")))*INDEX(Inputs!$K$5:$AJ$110,0,MATCH(AD$2,Inputs!$K$4:$AJ$4,0)))+SUMPRODUCT((Inputs!$E$5:$E$110=$B13)*Inputs!$F$5:$F$110*(((Inputs!$G$5:$G$110="moeda")+(Inputs!$G$5:$G$110="acoes"))*Inputs!$B$1+((Inputs!$G$5:$G$110&lt;&gt;"moeda")*(Inputs!$G$5:$G$110&lt;&gt;"acoes")))*INDEX(Inputs!$K$5:$AJ$110,0,MATCH(AD$2,Inputs!$K$4:$AJ$4,0)))))</f>
        <v>-1973</v>
      </c>
      <c r="AE13" s="267" t="e">
        <f>IF(ISNA(MATCH(AE$2,Inputs!$K$4:$AJ$4,0)),NA(),IF(SUMPRODUCT((Inputs!$A$5:$A$110=$B13)*ISNUMBER(INDEX(Inputs!$K$5:$AJ$110,0,MATCH(AE$2,Inputs!$K$4:$AJ$4,0))))+SUMPRODUCT((Inputs!$C$5:$C$110=$B13)*ISNUMBER(INDEX(Inputs!$K$5:$AJ$110,0,MATCH(AE$2,Inputs!$K$4:$AJ$4,0))))+SUMPRODUCT((Inputs!$E$5:$E$110=$B13)*ISNUMBER(INDEX(Inputs!$K$5:$AJ$110,0,MATCH(AE$2,Inputs!$K$4:$AJ$4,0))))=0,NA(),SUMPRODUCT((Inputs!$A$5:$A$110=$B13)*Inputs!$B$5:$B$110*(((Inputs!$G$5:$G$110="moeda")+(Inputs!$G$5:$G$110="acoes"))*Inputs!$B$1+((Inputs!$G$5:$G$110&lt;&gt;"moeda")*(Inputs!$G$5:$G$110&lt;&gt;"acoes")))*INDEX(Inputs!$K$5:$AJ$110,0,MATCH(AE$2,Inputs!$K$4:$AJ$4,0)))+SUMPRODUCT((Inputs!$C$5:$C$110=$B13)*Inputs!$D$5:$D$110*(((Inputs!$G$5:$G$110="moeda")+(Inputs!$G$5:$G$110="acoes"))*Inputs!$B$1+((Inputs!$G$5:$G$110&lt;&gt;"moeda")*(Inputs!$G$5:$G$110&lt;&gt;"acoes")))*INDEX(Inputs!$K$5:$AJ$110,0,MATCH(AE$2,Inputs!$K$4:$AJ$4,0)))+SUMPRODUCT((Inputs!$E$5:$E$110=$B13)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3" s="267" t="e">
        <f>IF(ISNA(MATCH(AF$2,Inputs!$K$4:$AJ$4,0)),NA(),IF(SUMPRODUCT((Inputs!$A$5:$A$110=$B13)*ISNUMBER(INDEX(Inputs!$K$5:$AJ$110,0,MATCH(AF$2,Inputs!$K$4:$AJ$4,0))))+SUMPRODUCT((Inputs!$C$5:$C$110=$B13)*ISNUMBER(INDEX(Inputs!$K$5:$AJ$110,0,MATCH(AF$2,Inputs!$K$4:$AJ$4,0))))+SUMPRODUCT((Inputs!$E$5:$E$110=$B13)*ISNUMBER(INDEX(Inputs!$K$5:$AJ$110,0,MATCH(AF$2,Inputs!$K$4:$AJ$4,0))))=0,NA(),SUMPRODUCT((Inputs!$A$5:$A$110=$B13)*Inputs!$B$5:$B$110*(((Inputs!$G$5:$G$110="moeda")+(Inputs!$G$5:$G$110="acoes"))*Inputs!$B$1+((Inputs!$G$5:$G$110&lt;&gt;"moeda")*(Inputs!$G$5:$G$110&lt;&gt;"acoes")))*INDEX(Inputs!$K$5:$AJ$110,0,MATCH(AF$2,Inputs!$K$4:$AJ$4,0)))+SUMPRODUCT((Inputs!$C$5:$C$110=$B13)*Inputs!$D$5:$D$110*(((Inputs!$G$5:$G$110="moeda")+(Inputs!$G$5:$G$110="acoes"))*Inputs!$B$1+((Inputs!$G$5:$G$110&lt;&gt;"moeda")*(Inputs!$G$5:$G$110&lt;&gt;"acoes")))*INDEX(Inputs!$K$5:$AJ$110,0,MATCH(AF$2,Inputs!$K$4:$AJ$4,0)))+SUMPRODUCT((Inputs!$E$5:$E$110=$B13)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3" s="268" t="e">
        <f>SUM(AC13:AF13)</f>
        <v>#N/A</v>
      </c>
      <c r="AH13" s="267">
        <f>IF(ISNA(MATCH(AH$2,Inputs!$K$4:$AJ$4,0)),NA(),IF(SUMPRODUCT((Inputs!$A$5:$A$110=$B13)*ISNUMBER(INDEX(Inputs!$K$5:$AJ$110,0,MATCH(AH$2,Inputs!$K$4:$AJ$4,0))))+SUMPRODUCT((Inputs!$C$5:$C$110=$B13)*ISNUMBER(INDEX(Inputs!$K$5:$AJ$110,0,MATCH(AH$2,Inputs!$K$4:$AJ$4,0))))+SUMPRODUCT((Inputs!$E$5:$E$110=$B13)*ISNUMBER(INDEX(Inputs!$K$5:$AJ$110,0,MATCH(AH$2,Inputs!$K$4:$AJ$4,0))))=0,NA(),SUMPRODUCT((Inputs!$A$5:$A$110=$B13)*Inputs!$B$5:$B$110*(((Inputs!$G$5:$G$110="moeda")+(Inputs!$G$5:$G$110="acoes"))*Inputs!$B$1+((Inputs!$G$5:$G$110&lt;&gt;"moeda")*(Inputs!$G$5:$G$110&lt;&gt;"acoes")))*INDEX(Inputs!$K$5:$AJ$110,0,MATCH(AH$2,Inputs!$K$4:$AJ$4,0)))+SUMPRODUCT((Inputs!$C$5:$C$110=$B13)*Inputs!$D$5:$D$110*(((Inputs!$G$5:$G$110="moeda")+(Inputs!$G$5:$G$110="acoes"))*Inputs!$B$1+((Inputs!$G$5:$G$110&lt;&gt;"moeda")*(Inputs!$G$5:$G$110&lt;&gt;"acoes")))*INDEX(Inputs!$K$5:$AJ$110,0,MATCH(AH$2,Inputs!$K$4:$AJ$4,0)))+SUMPRODUCT((Inputs!$E$5:$E$110=$B13)*Inputs!$F$5:$F$110*(((Inputs!$G$5:$G$110="moeda")+(Inputs!$G$5:$G$110="acoes"))*Inputs!$B$1+((Inputs!$G$5:$G$110&lt;&gt;"moeda")*(Inputs!$G$5:$G$110&lt;&gt;"acoes")))*INDEX(Inputs!$K$5:$AJ$110,0,MATCH(AH$2,Inputs!$K$4:$AJ$4,0)))))</f>
        <v>-1529</v>
      </c>
      <c r="AI13" s="267">
        <f>IF(ISNA(MATCH(AI$2,Inputs!$K$4:$AJ$4,0)),NA(),IF(SUMPRODUCT((Inputs!$A$5:$A$110=$B13)*ISNUMBER(INDEX(Inputs!$K$5:$AJ$110,0,MATCH(AI$2,Inputs!$K$4:$AJ$4,0))))+SUMPRODUCT((Inputs!$C$5:$C$110=$B13)*ISNUMBER(INDEX(Inputs!$K$5:$AJ$110,0,MATCH(AI$2,Inputs!$K$4:$AJ$4,0))))+SUMPRODUCT((Inputs!$E$5:$E$110=$B13)*ISNUMBER(INDEX(Inputs!$K$5:$AJ$110,0,MATCH(AI$2,Inputs!$K$4:$AJ$4,0))))=0,NA(),SUMPRODUCT((Inputs!$A$5:$A$110=$B13)*Inputs!$B$5:$B$110*(((Inputs!$G$5:$G$110="moeda")+(Inputs!$G$5:$G$110="acoes"))*Inputs!$B$1+((Inputs!$G$5:$G$110&lt;&gt;"moeda")*(Inputs!$G$5:$G$110&lt;&gt;"acoes")))*INDEX(Inputs!$K$5:$AJ$110,0,MATCH(AI$2,Inputs!$K$4:$AJ$4,0)))+SUMPRODUCT((Inputs!$C$5:$C$110=$B13)*Inputs!$D$5:$D$110*(((Inputs!$G$5:$G$110="moeda")+(Inputs!$G$5:$G$110="acoes"))*Inputs!$B$1+((Inputs!$G$5:$G$110&lt;&gt;"moeda")*(Inputs!$G$5:$G$110&lt;&gt;"acoes")))*INDEX(Inputs!$K$5:$AJ$110,0,MATCH(AI$2,Inputs!$K$4:$AJ$4,0)))+SUMPRODUCT((Inputs!$E$5:$E$110=$B13)*Inputs!$F$5:$F$110*(((Inputs!$G$5:$G$110="moeda")+(Inputs!$G$5:$G$110="acoes"))*Inputs!$B$1+((Inputs!$G$5:$G$110&lt;&gt;"moeda")*(Inputs!$G$5:$G$110&lt;&gt;"acoes")))*INDEX(Inputs!$K$5:$AJ$110,0,MATCH(AI$2,Inputs!$K$4:$AJ$4,0)))))</f>
        <v>-1529</v>
      </c>
      <c r="AJ13" s="267">
        <f>IF(ISNA(MATCH(AJ$2,Inputs!$K$4:$AJ$4,0)),NA(),IF(SUMPRODUCT((Inputs!$A$5:$A$110=$B13)*ISNUMBER(INDEX(Inputs!$K$5:$AJ$110,0,MATCH(AJ$2,Inputs!$K$4:$AJ$4,0))))+SUMPRODUCT((Inputs!$C$5:$C$110=$B13)*ISNUMBER(INDEX(Inputs!$K$5:$AJ$110,0,MATCH(AJ$2,Inputs!$K$4:$AJ$4,0))))+SUMPRODUCT((Inputs!$E$5:$E$110=$B13)*ISNUMBER(INDEX(Inputs!$K$5:$AJ$110,0,MATCH(AJ$2,Inputs!$K$4:$AJ$4,0))))=0,NA(),SUMPRODUCT((Inputs!$A$5:$A$110=$B13)*Inputs!$B$5:$B$110*(((Inputs!$G$5:$G$110="moeda")+(Inputs!$G$5:$G$110="acoes"))*Inputs!$B$1+((Inputs!$G$5:$G$110&lt;&gt;"moeda")*(Inputs!$G$5:$G$110&lt;&gt;"acoes")))*INDEX(Inputs!$K$5:$AJ$110,0,MATCH(AJ$2,Inputs!$K$4:$AJ$4,0)))+SUMPRODUCT((Inputs!$C$5:$C$110=$B13)*Inputs!$D$5:$D$110*(((Inputs!$G$5:$G$110="moeda")+(Inputs!$G$5:$G$110="acoes"))*Inputs!$B$1+((Inputs!$G$5:$G$110&lt;&gt;"moeda")*(Inputs!$G$5:$G$110&lt;&gt;"acoes")))*INDEX(Inputs!$K$5:$AJ$110,0,MATCH(AJ$2,Inputs!$K$4:$AJ$4,0)))+SUMPRODUCT((Inputs!$E$5:$E$110=$B13)*Inputs!$F$5:$F$110*(((Inputs!$G$5:$G$110="moeda")+(Inputs!$G$5:$G$110="acoes"))*Inputs!$B$1+((Inputs!$G$5:$G$110&lt;&gt;"moeda")*(Inputs!$G$5:$G$110&lt;&gt;"acoes")))*INDEX(Inputs!$K$5:$AJ$110,0,MATCH(AJ$2,Inputs!$K$4:$AJ$4,0)))))</f>
        <v>-1524</v>
      </c>
      <c r="AK13" s="267">
        <f>IF(ISNA(MATCH(AK$2,Inputs!$K$4:$AJ$4,0)),NA(),IF(SUMPRODUCT((Inputs!$A$5:$A$110=$B13)*ISNUMBER(INDEX(Inputs!$K$5:$AJ$110,0,MATCH(AK$2,Inputs!$K$4:$AJ$4,0))))+SUMPRODUCT((Inputs!$C$5:$C$110=$B13)*ISNUMBER(INDEX(Inputs!$K$5:$AJ$110,0,MATCH(AK$2,Inputs!$K$4:$AJ$4,0))))+SUMPRODUCT((Inputs!$E$5:$E$110=$B13)*ISNUMBER(INDEX(Inputs!$K$5:$AJ$110,0,MATCH(AK$2,Inputs!$K$4:$AJ$4,0))))=0,NA(),SUMPRODUCT((Inputs!$A$5:$A$110=$B13)*Inputs!$B$5:$B$110*(((Inputs!$G$5:$G$110="moeda")+(Inputs!$G$5:$G$110="acoes"))*Inputs!$B$1+((Inputs!$G$5:$G$110&lt;&gt;"moeda")*(Inputs!$G$5:$G$110&lt;&gt;"acoes")))*INDEX(Inputs!$K$5:$AJ$110,0,MATCH(AK$2,Inputs!$K$4:$AJ$4,0)))+SUMPRODUCT((Inputs!$C$5:$C$110=$B13)*Inputs!$D$5:$D$110*(((Inputs!$G$5:$G$110="moeda")+(Inputs!$G$5:$G$110="acoes"))*Inputs!$B$1+((Inputs!$G$5:$G$110&lt;&gt;"moeda")*(Inputs!$G$5:$G$110&lt;&gt;"acoes")))*INDEX(Inputs!$K$5:$AJ$110,0,MATCH(AK$2,Inputs!$K$4:$AJ$4,0)))+SUMPRODUCT((Inputs!$E$5:$E$110=$B13)*Inputs!$F$5:$F$110*(((Inputs!$G$5:$G$110="moeda")+(Inputs!$G$5:$G$110="acoes"))*Inputs!$B$1+((Inputs!$G$5:$G$110&lt;&gt;"moeda")*(Inputs!$G$5:$G$110&lt;&gt;"acoes")))*INDEX(Inputs!$K$5:$AJ$110,0,MATCH(AK$2,Inputs!$K$4:$AJ$4,0)))))</f>
        <v>-1534</v>
      </c>
      <c r="AL13" s="268">
        <f>SUM(AH13:AK13)</f>
        <v>-6116</v>
      </c>
    </row>
    <row r="14" ht="12.75" customHeight="1" s="255">
      <c r="D14" s="268" t="n"/>
    </row>
    <row r="15" ht="12.75" customHeight="1" s="255">
      <c r="B15" s="265" t="n">
        <v>11</v>
      </c>
      <c r="C15" s="269" t="inlineStr">
        <is>
          <t>Cash and equivalents (inc. investment securities)</t>
        </is>
      </c>
      <c r="D15" s="267">
        <f>IF(ISNA(MATCH(D$2,Inputs!$K$4:$AJ$4,0)),NA(),IF(SUMPRODUCT((Inputs!$A$5:$A$110=$B15)*ISNUMBER(INDEX(Inputs!$K$5:$AJ$110,0,MATCH(D$2,Inputs!$K$4:$AJ$4,0))))+SUMPRODUCT((Inputs!$C$5:$C$110=$B15)*ISNUMBER(INDEX(Inputs!$K$5:$AJ$110,0,MATCH(D$2,Inputs!$K$4:$AJ$4,0))))+SUMPRODUCT((Inputs!$E$5:$E$110=$B15)*ISNUMBER(INDEX(Inputs!$K$5:$AJ$110,0,MATCH(D$2,Inputs!$K$4:$AJ$4,0))))=0,NA(),SUMPRODUCT((Inputs!$A$5:$A$110=$B15)*Inputs!$B$5:$B$110*(((Inputs!$G$5:$G$110="moeda")+(Inputs!$G$5:$G$110="acoes"))*Inputs!$B$1+((Inputs!$G$5:$G$110&lt;&gt;"moeda")*(Inputs!$G$5:$G$110&lt;&gt;"acoes")))*INDEX(Inputs!$K$5:$AJ$110,0,MATCH(D$2,Inputs!$K$4:$AJ$4,0)))+SUMPRODUCT((Inputs!$C$5:$C$110=$B15)*Inputs!$D$5:$D$110*(((Inputs!$G$5:$G$110="moeda")+(Inputs!$G$5:$G$110="acoes"))*Inputs!$B$1+((Inputs!$G$5:$G$110&lt;&gt;"moeda")*(Inputs!$G$5:$G$110&lt;&gt;"acoes")))*INDEX(Inputs!$K$5:$AJ$110,0,MATCH(D$2,Inputs!$K$4:$AJ$4,0)))+SUMPRODUCT((Inputs!$E$5:$E$110=$B15)*Inputs!$F$5:$F$110*(((Inputs!$G$5:$G$110="moeda")+(Inputs!$G$5:$G$110="acoes"))*Inputs!$B$1+((Inputs!$G$5:$G$110&lt;&gt;"moeda")*(Inputs!$G$5:$G$110&lt;&gt;"acoes")))*INDEX(Inputs!$K$5:$AJ$110,0,MATCH(D$2,Inputs!$K$4:$AJ$4,0)))))</f>
        <v>22846</v>
      </c>
      <c r="E15" s="267">
        <f>IF(ISNA(MATCH(E$2,Inputs!$K$4:$AJ$4,0)),NA(),IF(SUMPRODUCT((Inputs!$A$5:$A$110=$B15)*ISNUMBER(INDEX(Inputs!$K$5:$AJ$110,0,MATCH(E$2,Inputs!$K$4:$AJ$4,0))))+SUMPRODUCT((Inputs!$C$5:$C$110=$B15)*ISNUMBER(INDEX(Inputs!$K$5:$AJ$110,0,MATCH(E$2,Inputs!$K$4:$AJ$4,0))))+SUMPRODUCT((Inputs!$E$5:$E$110=$B15)*ISNUMBER(INDEX(Inputs!$K$5:$AJ$110,0,MATCH(E$2,Inputs!$K$4:$AJ$4,0))))=0,NA(),SUMPRODUCT((Inputs!$A$5:$A$110=$B15)*Inputs!$B$5:$B$110*(((Inputs!$G$5:$G$110="moeda")+(Inputs!$G$5:$G$110="acoes"))*Inputs!$B$1+((Inputs!$G$5:$G$110&lt;&gt;"moeda")*(Inputs!$G$5:$G$110&lt;&gt;"acoes")))*INDEX(Inputs!$K$5:$AJ$110,0,MATCH(E$2,Inputs!$K$4:$AJ$4,0)))+SUMPRODUCT((Inputs!$C$5:$C$110=$B15)*Inputs!$D$5:$D$110*(((Inputs!$G$5:$G$110="moeda")+(Inputs!$G$5:$G$110="acoes"))*Inputs!$B$1+((Inputs!$G$5:$G$110&lt;&gt;"moeda")*(Inputs!$G$5:$G$110&lt;&gt;"acoes")))*INDEX(Inputs!$K$5:$AJ$110,0,MATCH(E$2,Inputs!$K$4:$AJ$4,0)))+SUMPRODUCT((Inputs!$E$5:$E$110=$B15)*Inputs!$F$5:$F$110*(((Inputs!$G$5:$G$110="moeda")+(Inputs!$G$5:$G$110="acoes"))*Inputs!$B$1+((Inputs!$G$5:$G$110&lt;&gt;"moeda")*(Inputs!$G$5:$G$110&lt;&gt;"acoes")))*INDEX(Inputs!$K$5:$AJ$110,0,MATCH(E$2,Inputs!$K$4:$AJ$4,0)))))</f>
        <v>22831</v>
      </c>
      <c r="F15" s="267">
        <f>IF(ISNA(MATCH(F$2,Inputs!$K$4:$AJ$4,0)),NA(),IF(SUMPRODUCT((Inputs!$A$5:$A$110=$B15)*ISNUMBER(INDEX(Inputs!$K$5:$AJ$110,0,MATCH(F$2,Inputs!$K$4:$AJ$4,0))))+SUMPRODUCT((Inputs!$C$5:$C$110=$B15)*ISNUMBER(INDEX(Inputs!$K$5:$AJ$110,0,MATCH(F$2,Inputs!$K$4:$AJ$4,0))))+SUMPRODUCT((Inputs!$E$5:$E$110=$B15)*ISNUMBER(INDEX(Inputs!$K$5:$AJ$110,0,MATCH(F$2,Inputs!$K$4:$AJ$4,0))))=0,NA(),SUMPRODUCT((Inputs!$A$5:$A$110=$B15)*Inputs!$B$5:$B$110*(((Inputs!$G$5:$G$110="moeda")+(Inputs!$G$5:$G$110="acoes"))*Inputs!$B$1+((Inputs!$G$5:$G$110&lt;&gt;"moeda")*(Inputs!$G$5:$G$110&lt;&gt;"acoes")))*INDEX(Inputs!$K$5:$AJ$110,0,MATCH(F$2,Inputs!$K$4:$AJ$4,0)))+SUMPRODUCT((Inputs!$C$5:$C$110=$B15)*Inputs!$D$5:$D$110*(((Inputs!$G$5:$G$110="moeda")+(Inputs!$G$5:$G$110="acoes"))*Inputs!$B$1+((Inputs!$G$5:$G$110&lt;&gt;"moeda")*(Inputs!$G$5:$G$110&lt;&gt;"acoes")))*INDEX(Inputs!$K$5:$AJ$110,0,MATCH(F$2,Inputs!$K$4:$AJ$4,0)))+SUMPRODUCT((Inputs!$E$5:$E$110=$B15)*Inputs!$F$5:$F$110*(((Inputs!$G$5:$G$110="moeda")+(Inputs!$G$5:$G$110="acoes"))*Inputs!$B$1+((Inputs!$G$5:$G$110&lt;&gt;"moeda")*(Inputs!$G$5:$G$110&lt;&gt;"acoes")))*INDEX(Inputs!$K$5:$AJ$110,0,MATCH(F$2,Inputs!$K$4:$AJ$4,0)))))</f>
        <v>16111</v>
      </c>
      <c r="G15" s="267">
        <f>IF(ISNA(MATCH(G$2,Inputs!$K$4:$AJ$4,0)),NA(),IF(SUMPRODUCT((Inputs!$A$5:$A$110=$B15)*ISNUMBER(INDEX(Inputs!$K$5:$AJ$110,0,MATCH(G$2,Inputs!$K$4:$AJ$4,0))))+SUMPRODUCT((Inputs!$C$5:$C$110=$B15)*ISNUMBER(INDEX(Inputs!$K$5:$AJ$110,0,MATCH(G$2,Inputs!$K$4:$AJ$4,0))))+SUMPRODUCT((Inputs!$E$5:$E$110=$B15)*ISNUMBER(INDEX(Inputs!$K$5:$AJ$110,0,MATCH(G$2,Inputs!$K$4:$AJ$4,0))))=0,NA(),SUMPRODUCT((Inputs!$A$5:$A$110=$B15)*Inputs!$B$5:$B$110*(((Inputs!$G$5:$G$110="moeda")+(Inputs!$G$5:$G$110="acoes"))*Inputs!$B$1+((Inputs!$G$5:$G$110&lt;&gt;"moeda")*(Inputs!$G$5:$G$110&lt;&gt;"acoes")))*INDEX(Inputs!$K$5:$AJ$110,0,MATCH(G$2,Inputs!$K$4:$AJ$4,0)))+SUMPRODUCT((Inputs!$C$5:$C$110=$B15)*Inputs!$D$5:$D$110*(((Inputs!$G$5:$G$110="moeda")+(Inputs!$G$5:$G$110="acoes"))*Inputs!$B$1+((Inputs!$G$5:$G$110&lt;&gt;"moeda")*(Inputs!$G$5:$G$110&lt;&gt;"acoes")))*INDEX(Inputs!$K$5:$AJ$110,0,MATCH(G$2,Inputs!$K$4:$AJ$4,0)))+SUMPRODUCT((Inputs!$E$5:$E$110=$B15)*Inputs!$F$5:$F$110*(((Inputs!$G$5:$G$110="moeda")+(Inputs!$G$5:$G$110="acoes"))*Inputs!$B$1+((Inputs!$G$5:$G$110&lt;&gt;"moeda")*(Inputs!$G$5:$G$110&lt;&gt;"acoes")))*INDEX(Inputs!$K$5:$AJ$110,0,MATCH(G$2,Inputs!$K$4:$AJ$4,0)))))</f>
        <v>14760</v>
      </c>
      <c r="H15" s="268">
        <f>G15</f>
        <v>14760</v>
      </c>
      <c r="I15" s="267">
        <f>IF(ISNA(MATCH(I$2,Inputs!$K$4:$AJ$4,0)),NA(),IF(SUMPRODUCT((Inputs!$A$5:$A$110=$B15)*ISNUMBER(INDEX(Inputs!$K$5:$AJ$110,0,MATCH(I$2,Inputs!$K$4:$AJ$4,0))))+SUMPRODUCT((Inputs!$C$5:$C$110=$B15)*ISNUMBER(INDEX(Inputs!$K$5:$AJ$110,0,MATCH(I$2,Inputs!$K$4:$AJ$4,0))))+SUMPRODUCT((Inputs!$E$5:$E$110=$B15)*ISNUMBER(INDEX(Inputs!$K$5:$AJ$110,0,MATCH(I$2,Inputs!$K$4:$AJ$4,0))))=0,NA(),SUMPRODUCT((Inputs!$A$5:$A$110=$B15)*Inputs!$B$5:$B$110*(((Inputs!$G$5:$G$110="moeda")+(Inputs!$G$5:$G$110="acoes"))*Inputs!$B$1+((Inputs!$G$5:$G$110&lt;&gt;"moeda")*(Inputs!$G$5:$G$110&lt;&gt;"acoes")))*INDEX(Inputs!$K$5:$AJ$110,0,MATCH(I$2,Inputs!$K$4:$AJ$4,0)))+SUMPRODUCT((Inputs!$C$5:$C$110=$B15)*Inputs!$D$5:$D$110*(((Inputs!$G$5:$G$110="moeda")+(Inputs!$G$5:$G$110="acoes"))*Inputs!$B$1+((Inputs!$G$5:$G$110&lt;&gt;"moeda")*(Inputs!$G$5:$G$110&lt;&gt;"acoes")))*INDEX(Inputs!$K$5:$AJ$110,0,MATCH(I$2,Inputs!$K$4:$AJ$4,0)))+SUMPRODUCT((Inputs!$E$5:$E$110=$B15)*Inputs!$F$5:$F$110*(((Inputs!$G$5:$G$110="moeda")+(Inputs!$G$5:$G$110="acoes"))*Inputs!$B$1+((Inputs!$G$5:$G$110&lt;&gt;"moeda")*(Inputs!$G$5:$G$110&lt;&gt;"acoes")))*INDEX(Inputs!$K$5:$AJ$110,0,MATCH(I$2,Inputs!$K$4:$AJ$4,0)))))</f>
        <v>11817</v>
      </c>
      <c r="J15" s="267">
        <f>IF(ISNA(MATCH(J$2,Inputs!$K$4:$AJ$4,0)),NA(),IF(SUMPRODUCT((Inputs!$A$5:$A$110=$B15)*ISNUMBER(INDEX(Inputs!$K$5:$AJ$110,0,MATCH(J$2,Inputs!$K$4:$AJ$4,0))))+SUMPRODUCT((Inputs!$C$5:$C$110=$B15)*ISNUMBER(INDEX(Inputs!$K$5:$AJ$110,0,MATCH(J$2,Inputs!$K$4:$AJ$4,0))))+SUMPRODUCT((Inputs!$E$5:$E$110=$B15)*ISNUMBER(INDEX(Inputs!$K$5:$AJ$110,0,MATCH(J$2,Inputs!$K$4:$AJ$4,0))))=0,NA(),SUMPRODUCT((Inputs!$A$5:$A$110=$B15)*Inputs!$B$5:$B$110*(((Inputs!$G$5:$G$110="moeda")+(Inputs!$G$5:$G$110="acoes"))*Inputs!$B$1+((Inputs!$G$5:$G$110&lt;&gt;"moeda")*(Inputs!$G$5:$G$110&lt;&gt;"acoes")))*INDEX(Inputs!$K$5:$AJ$110,0,MATCH(J$2,Inputs!$K$4:$AJ$4,0)))+SUMPRODUCT((Inputs!$C$5:$C$110=$B15)*Inputs!$D$5:$D$110*(((Inputs!$G$5:$G$110="moeda")+(Inputs!$G$5:$G$110="acoes"))*Inputs!$B$1+((Inputs!$G$5:$G$110&lt;&gt;"moeda")*(Inputs!$G$5:$G$110&lt;&gt;"acoes")))*INDEX(Inputs!$K$5:$AJ$110,0,MATCH(J$2,Inputs!$K$4:$AJ$4,0)))+SUMPRODUCT((Inputs!$E$5:$E$110=$B15)*Inputs!$F$5:$F$110*(((Inputs!$G$5:$G$110="moeda")+(Inputs!$G$5:$G$110="acoes"))*Inputs!$B$1+((Inputs!$G$5:$G$110&lt;&gt;"moeda")*(Inputs!$G$5:$G$110&lt;&gt;"acoes")))*INDEX(Inputs!$K$5:$AJ$110,0,MATCH(J$2,Inputs!$K$4:$AJ$4,0)))))</f>
        <v>13923</v>
      </c>
      <c r="K15" s="267">
        <f>IF(ISNA(MATCH(K$2,Inputs!$K$4:$AJ$4,0)),NA(),IF(SUMPRODUCT((Inputs!$A$5:$A$110=$B15)*ISNUMBER(INDEX(Inputs!$K$5:$AJ$110,0,MATCH(K$2,Inputs!$K$4:$AJ$4,0))))+SUMPRODUCT((Inputs!$C$5:$C$110=$B15)*ISNUMBER(INDEX(Inputs!$K$5:$AJ$110,0,MATCH(K$2,Inputs!$K$4:$AJ$4,0))))+SUMPRODUCT((Inputs!$E$5:$E$110=$B15)*ISNUMBER(INDEX(Inputs!$K$5:$AJ$110,0,MATCH(K$2,Inputs!$K$4:$AJ$4,0))))=0,NA(),SUMPRODUCT((Inputs!$A$5:$A$110=$B15)*Inputs!$B$5:$B$110*(((Inputs!$G$5:$G$110="moeda")+(Inputs!$G$5:$G$110="acoes"))*Inputs!$B$1+((Inputs!$G$5:$G$110&lt;&gt;"moeda")*(Inputs!$G$5:$G$110&lt;&gt;"acoes")))*INDEX(Inputs!$K$5:$AJ$110,0,MATCH(K$2,Inputs!$K$4:$AJ$4,0)))+SUMPRODUCT((Inputs!$C$5:$C$110=$B15)*Inputs!$D$5:$D$110*(((Inputs!$G$5:$G$110="moeda")+(Inputs!$G$5:$G$110="acoes"))*Inputs!$B$1+((Inputs!$G$5:$G$110&lt;&gt;"moeda")*(Inputs!$G$5:$G$110&lt;&gt;"acoes")))*INDEX(Inputs!$K$5:$AJ$110,0,MATCH(K$2,Inputs!$K$4:$AJ$4,0)))+SUMPRODUCT((Inputs!$E$5:$E$110=$B15)*Inputs!$F$5:$F$110*(((Inputs!$G$5:$G$110="moeda")+(Inputs!$G$5:$G$110="acoes"))*Inputs!$B$1+((Inputs!$G$5:$G$110&lt;&gt;"moeda")*(Inputs!$G$5:$G$110&lt;&gt;"acoes")))*INDEX(Inputs!$K$5:$AJ$110,0,MATCH(K$2,Inputs!$K$4:$AJ$4,0)))))</f>
        <v>11587</v>
      </c>
      <c r="L15" s="267">
        <f>IF(ISNA(MATCH(L$2,Inputs!$K$4:$AJ$4,0)),NA(),IF(SUMPRODUCT((Inputs!$A$5:$A$110=$B15)*ISNUMBER(INDEX(Inputs!$K$5:$AJ$110,0,MATCH(L$2,Inputs!$K$4:$AJ$4,0))))+SUMPRODUCT((Inputs!$C$5:$C$110=$B15)*ISNUMBER(INDEX(Inputs!$K$5:$AJ$110,0,MATCH(L$2,Inputs!$K$4:$AJ$4,0))))+SUMPRODUCT((Inputs!$E$5:$E$110=$B15)*ISNUMBER(INDEX(Inputs!$K$5:$AJ$110,0,MATCH(L$2,Inputs!$K$4:$AJ$4,0))))=0,NA(),SUMPRODUCT((Inputs!$A$5:$A$110=$B15)*Inputs!$B$5:$B$110*(((Inputs!$G$5:$G$110="moeda")+(Inputs!$G$5:$G$110="acoes"))*Inputs!$B$1+((Inputs!$G$5:$G$110&lt;&gt;"moeda")*(Inputs!$G$5:$G$110&lt;&gt;"acoes")))*INDEX(Inputs!$K$5:$AJ$110,0,MATCH(L$2,Inputs!$K$4:$AJ$4,0)))+SUMPRODUCT((Inputs!$C$5:$C$110=$B15)*Inputs!$D$5:$D$110*(((Inputs!$G$5:$G$110="moeda")+(Inputs!$G$5:$G$110="acoes"))*Inputs!$B$1+((Inputs!$G$5:$G$110&lt;&gt;"moeda")*(Inputs!$G$5:$G$110&lt;&gt;"acoes")))*INDEX(Inputs!$K$5:$AJ$110,0,MATCH(L$2,Inputs!$K$4:$AJ$4,0)))+SUMPRODUCT((Inputs!$E$5:$E$110=$B15)*Inputs!$F$5:$F$110*(((Inputs!$G$5:$G$110="moeda")+(Inputs!$G$5:$G$110="acoes"))*Inputs!$B$1+((Inputs!$G$5:$G$110&lt;&gt;"moeda")*(Inputs!$G$5:$G$110&lt;&gt;"acoes")))*INDEX(Inputs!$K$5:$AJ$110,0,MATCH(L$2,Inputs!$K$4:$AJ$4,0)))))</f>
        <v>8625</v>
      </c>
      <c r="M15" s="268">
        <f>L15</f>
        <v>8625</v>
      </c>
      <c r="N15" s="267">
        <f>IF(ISNA(MATCH(N$2,Inputs!$K$4:$AJ$4,0)),NA(),IF(SUMPRODUCT((Inputs!$A$5:$A$110=$B15)*ISNUMBER(INDEX(Inputs!$K$5:$AJ$110,0,MATCH(N$2,Inputs!$K$4:$AJ$4,0))))+SUMPRODUCT((Inputs!$C$5:$C$110=$B15)*ISNUMBER(INDEX(Inputs!$K$5:$AJ$110,0,MATCH(N$2,Inputs!$K$4:$AJ$4,0))))+SUMPRODUCT((Inputs!$E$5:$E$110=$B15)*ISNUMBER(INDEX(Inputs!$K$5:$AJ$110,0,MATCH(N$2,Inputs!$K$4:$AJ$4,0))))=0,NA(),SUMPRODUCT((Inputs!$A$5:$A$110=$B15)*Inputs!$B$5:$B$110*(((Inputs!$G$5:$G$110="moeda")+(Inputs!$G$5:$G$110="acoes"))*Inputs!$B$1+((Inputs!$G$5:$G$110&lt;&gt;"moeda")*(Inputs!$G$5:$G$110&lt;&gt;"acoes")))*INDEX(Inputs!$K$5:$AJ$110,0,MATCH(N$2,Inputs!$K$4:$AJ$4,0)))+SUMPRODUCT((Inputs!$C$5:$C$110=$B15)*Inputs!$D$5:$D$110*(((Inputs!$G$5:$G$110="moeda")+(Inputs!$G$5:$G$110="acoes"))*Inputs!$B$1+((Inputs!$G$5:$G$110&lt;&gt;"moeda")*(Inputs!$G$5:$G$110&lt;&gt;"acoes")))*INDEX(Inputs!$K$5:$AJ$110,0,MATCH(N$2,Inputs!$K$4:$AJ$4,0)))+SUMPRODUCT((Inputs!$E$5:$E$110=$B15)*Inputs!$F$5:$F$110*(((Inputs!$G$5:$G$110="moeda")+(Inputs!$G$5:$G$110="acoes"))*Inputs!$B$1+((Inputs!$G$5:$G$110&lt;&gt;"moeda")*(Inputs!$G$5:$G$110&lt;&gt;"acoes")))*INDEX(Inputs!$K$5:$AJ$110,0,MATCH(N$2,Inputs!$K$4:$AJ$4,0)))))</f>
        <v>10575</v>
      </c>
      <c r="O15" s="267">
        <f>IF(ISNA(MATCH(O$2,Inputs!$K$4:$AJ$4,0)),NA(),IF(SUMPRODUCT((Inputs!$A$5:$A$110=$B15)*ISNUMBER(INDEX(Inputs!$K$5:$AJ$110,0,MATCH(O$2,Inputs!$K$4:$AJ$4,0))))+SUMPRODUCT((Inputs!$C$5:$C$110=$B15)*ISNUMBER(INDEX(Inputs!$K$5:$AJ$110,0,MATCH(O$2,Inputs!$K$4:$AJ$4,0))))+SUMPRODUCT((Inputs!$E$5:$E$110=$B15)*ISNUMBER(INDEX(Inputs!$K$5:$AJ$110,0,MATCH(O$2,Inputs!$K$4:$AJ$4,0))))=0,NA(),SUMPRODUCT((Inputs!$A$5:$A$110=$B15)*Inputs!$B$5:$B$110*(((Inputs!$G$5:$G$110="moeda")+(Inputs!$G$5:$G$110="acoes"))*Inputs!$B$1+((Inputs!$G$5:$G$110&lt;&gt;"moeda")*(Inputs!$G$5:$G$110&lt;&gt;"acoes")))*INDEX(Inputs!$K$5:$AJ$110,0,MATCH(O$2,Inputs!$K$4:$AJ$4,0)))+SUMPRODUCT((Inputs!$C$5:$C$110=$B15)*Inputs!$D$5:$D$110*(((Inputs!$G$5:$G$110="moeda")+(Inputs!$G$5:$G$110="acoes"))*Inputs!$B$1+((Inputs!$G$5:$G$110&lt;&gt;"moeda")*(Inputs!$G$5:$G$110&lt;&gt;"acoes")))*INDEX(Inputs!$K$5:$AJ$110,0,MATCH(O$2,Inputs!$K$4:$AJ$4,0)))+SUMPRODUCT((Inputs!$E$5:$E$110=$B15)*Inputs!$F$5:$F$110*(((Inputs!$G$5:$G$110="moeda")+(Inputs!$G$5:$G$110="acoes"))*Inputs!$B$1+((Inputs!$G$5:$G$110&lt;&gt;"moeda")*(Inputs!$G$5:$G$110&lt;&gt;"acoes")))*INDEX(Inputs!$K$5:$AJ$110,0,MATCH(O$2,Inputs!$K$4:$AJ$4,0)))))</f>
        <v>13888</v>
      </c>
      <c r="P15" s="267">
        <f>IF(ISNA(MATCH(P$2,Inputs!$K$4:$AJ$4,0)),NA(),IF(SUMPRODUCT((Inputs!$A$5:$A$110=$B15)*ISNUMBER(INDEX(Inputs!$K$5:$AJ$110,0,MATCH(P$2,Inputs!$K$4:$AJ$4,0))))+SUMPRODUCT((Inputs!$C$5:$C$110=$B15)*ISNUMBER(INDEX(Inputs!$K$5:$AJ$110,0,MATCH(P$2,Inputs!$K$4:$AJ$4,0))))+SUMPRODUCT((Inputs!$E$5:$E$110=$B15)*ISNUMBER(INDEX(Inputs!$K$5:$AJ$110,0,MATCH(P$2,Inputs!$K$4:$AJ$4,0))))=0,NA(),SUMPRODUCT((Inputs!$A$5:$A$110=$B15)*Inputs!$B$5:$B$110*(((Inputs!$G$5:$G$110="moeda")+(Inputs!$G$5:$G$110="acoes"))*Inputs!$B$1+((Inputs!$G$5:$G$110&lt;&gt;"moeda")*(Inputs!$G$5:$G$110&lt;&gt;"acoes")))*INDEX(Inputs!$K$5:$AJ$110,0,MATCH(P$2,Inputs!$K$4:$AJ$4,0)))+SUMPRODUCT((Inputs!$C$5:$C$110=$B15)*Inputs!$D$5:$D$110*(((Inputs!$G$5:$G$110="moeda")+(Inputs!$G$5:$G$110="acoes"))*Inputs!$B$1+((Inputs!$G$5:$G$110&lt;&gt;"moeda")*(Inputs!$G$5:$G$110&lt;&gt;"acoes")))*INDEX(Inputs!$K$5:$AJ$110,0,MATCH(P$2,Inputs!$K$4:$AJ$4,0)))+SUMPRODUCT((Inputs!$E$5:$E$110=$B15)*Inputs!$F$5:$F$110*(((Inputs!$G$5:$G$110="moeda")+(Inputs!$G$5:$G$110="acoes"))*Inputs!$B$1+((Inputs!$G$5:$G$110&lt;&gt;"moeda")*(Inputs!$G$5:$G$110&lt;&gt;"acoes")))*INDEX(Inputs!$K$5:$AJ$110,0,MATCH(P$2,Inputs!$K$4:$AJ$4,0)))))</f>
        <v>12154</v>
      </c>
      <c r="Q15" s="267">
        <f>IF(ISNA(MATCH(Q$2,Inputs!$K$4:$AJ$4,0)),NA(),IF(SUMPRODUCT((Inputs!$A$5:$A$110=$B15)*ISNUMBER(INDEX(Inputs!$K$5:$AJ$110,0,MATCH(Q$2,Inputs!$K$4:$AJ$4,0))))+SUMPRODUCT((Inputs!$C$5:$C$110=$B15)*ISNUMBER(INDEX(Inputs!$K$5:$AJ$110,0,MATCH(Q$2,Inputs!$K$4:$AJ$4,0))))+SUMPRODUCT((Inputs!$E$5:$E$110=$B15)*ISNUMBER(INDEX(Inputs!$K$5:$AJ$110,0,MATCH(Q$2,Inputs!$K$4:$AJ$4,0))))=0,NA(),SUMPRODUCT((Inputs!$A$5:$A$110=$B15)*Inputs!$B$5:$B$110*(((Inputs!$G$5:$G$110="moeda")+(Inputs!$G$5:$G$110="acoes"))*Inputs!$B$1+((Inputs!$G$5:$G$110&lt;&gt;"moeda")*(Inputs!$G$5:$G$110&lt;&gt;"acoes")))*INDEX(Inputs!$K$5:$AJ$110,0,MATCH(Q$2,Inputs!$K$4:$AJ$4,0)))+SUMPRODUCT((Inputs!$C$5:$C$110=$B15)*Inputs!$D$5:$D$110*(((Inputs!$G$5:$G$110="moeda")+(Inputs!$G$5:$G$110="acoes"))*Inputs!$B$1+((Inputs!$G$5:$G$110&lt;&gt;"moeda")*(Inputs!$G$5:$G$110&lt;&gt;"acoes")))*INDEX(Inputs!$K$5:$AJ$110,0,MATCH(Q$2,Inputs!$K$4:$AJ$4,0)))+SUMPRODUCT((Inputs!$E$5:$E$110=$B15)*Inputs!$F$5:$F$110*(((Inputs!$G$5:$G$110="moeda")+(Inputs!$G$5:$G$110="acoes"))*Inputs!$B$1+((Inputs!$G$5:$G$110&lt;&gt;"moeda")*(Inputs!$G$5:$G$110&lt;&gt;"acoes")))*INDEX(Inputs!$K$5:$AJ$110,0,MATCH(Q$2,Inputs!$K$4:$AJ$4,0)))))</f>
        <v>9867</v>
      </c>
      <c r="R15" s="268">
        <f>Q15</f>
        <v>9867</v>
      </c>
      <c r="S15" s="267">
        <f>IF(ISNA(MATCH(S$2,Inputs!$K$4:$AJ$4,0)),NA(),IF(SUMPRODUCT((Inputs!$A$5:$A$110=$B15)*ISNUMBER(INDEX(Inputs!$K$5:$AJ$110,0,MATCH(S$2,Inputs!$K$4:$AJ$4,0))))+SUMPRODUCT((Inputs!$C$5:$C$110=$B15)*ISNUMBER(INDEX(Inputs!$K$5:$AJ$110,0,MATCH(S$2,Inputs!$K$4:$AJ$4,0))))+SUMPRODUCT((Inputs!$E$5:$E$110=$B15)*ISNUMBER(INDEX(Inputs!$K$5:$AJ$110,0,MATCH(S$2,Inputs!$K$4:$AJ$4,0))))=0,NA(),SUMPRODUCT((Inputs!$A$5:$A$110=$B15)*Inputs!$B$5:$B$110*(((Inputs!$G$5:$G$110="moeda")+(Inputs!$G$5:$G$110="acoes"))*Inputs!$B$1+((Inputs!$G$5:$G$110&lt;&gt;"moeda")*(Inputs!$G$5:$G$110&lt;&gt;"acoes")))*INDEX(Inputs!$K$5:$AJ$110,0,MATCH(S$2,Inputs!$K$4:$AJ$4,0)))+SUMPRODUCT((Inputs!$C$5:$C$110=$B15)*Inputs!$D$5:$D$110*(((Inputs!$G$5:$G$110="moeda")+(Inputs!$G$5:$G$110="acoes"))*Inputs!$B$1+((Inputs!$G$5:$G$110&lt;&gt;"moeda")*(Inputs!$G$5:$G$110&lt;&gt;"acoes")))*INDEX(Inputs!$K$5:$AJ$110,0,MATCH(S$2,Inputs!$K$4:$AJ$4,0)))+SUMPRODUCT((Inputs!$E$5:$E$110=$B15)*Inputs!$F$5:$F$110*(((Inputs!$G$5:$G$110="moeda")+(Inputs!$G$5:$G$110="acoes"))*Inputs!$B$1+((Inputs!$G$5:$G$110&lt;&gt;"moeda")*(Inputs!$G$5:$G$110&lt;&gt;"acoes")))*INDEX(Inputs!$K$5:$AJ$110,0,MATCH(S$2,Inputs!$K$4:$AJ$4,0)))))</f>
        <v>9405</v>
      </c>
      <c r="T15" s="267">
        <f>IF(ISNA(MATCH(T$2,Inputs!$K$4:$AJ$4,0)),NA(),IF(SUMPRODUCT((Inputs!$A$5:$A$110=$B15)*ISNUMBER(INDEX(Inputs!$K$5:$AJ$110,0,MATCH(T$2,Inputs!$K$4:$AJ$4,0))))+SUMPRODUCT((Inputs!$C$5:$C$110=$B15)*ISNUMBER(INDEX(Inputs!$K$5:$AJ$110,0,MATCH(T$2,Inputs!$K$4:$AJ$4,0))))+SUMPRODUCT((Inputs!$E$5:$E$110=$B15)*ISNUMBER(INDEX(Inputs!$K$5:$AJ$110,0,MATCH(T$2,Inputs!$K$4:$AJ$4,0))))=0,NA(),SUMPRODUCT((Inputs!$A$5:$A$110=$B15)*Inputs!$B$5:$B$110*(((Inputs!$G$5:$G$110="moeda")+(Inputs!$G$5:$G$110="acoes"))*Inputs!$B$1+((Inputs!$G$5:$G$110&lt;&gt;"moeda")*(Inputs!$G$5:$G$110&lt;&gt;"acoes")))*INDEX(Inputs!$K$5:$AJ$110,0,MATCH(T$2,Inputs!$K$4:$AJ$4,0)))+SUMPRODUCT((Inputs!$C$5:$C$110=$B15)*Inputs!$D$5:$D$110*(((Inputs!$G$5:$G$110="moeda")+(Inputs!$G$5:$G$110="acoes"))*Inputs!$B$1+((Inputs!$G$5:$G$110&lt;&gt;"moeda")*(Inputs!$G$5:$G$110&lt;&gt;"acoes")))*INDEX(Inputs!$K$5:$AJ$110,0,MATCH(T$2,Inputs!$K$4:$AJ$4,0)))+SUMPRODUCT((Inputs!$E$5:$E$110=$B15)*Inputs!$F$5:$F$110*(((Inputs!$G$5:$G$110="moeda")+(Inputs!$G$5:$G$110="acoes"))*Inputs!$B$1+((Inputs!$G$5:$G$110&lt;&gt;"moeda")*(Inputs!$G$5:$G$110&lt;&gt;"acoes")))*INDEX(Inputs!$K$5:$AJ$110,0,MATCH(T$2,Inputs!$K$4:$AJ$4,0)))))</f>
        <v>8811</v>
      </c>
      <c r="U15" s="267">
        <f>IF(ISNA(MATCH(U$2,Inputs!$K$4:$AJ$4,0)),NA(),IF(SUMPRODUCT((Inputs!$A$5:$A$110=$B15)*ISNUMBER(INDEX(Inputs!$K$5:$AJ$110,0,MATCH(U$2,Inputs!$K$4:$AJ$4,0))))+SUMPRODUCT((Inputs!$C$5:$C$110=$B15)*ISNUMBER(INDEX(Inputs!$K$5:$AJ$110,0,MATCH(U$2,Inputs!$K$4:$AJ$4,0))))+SUMPRODUCT((Inputs!$E$5:$E$110=$B15)*ISNUMBER(INDEX(Inputs!$K$5:$AJ$110,0,MATCH(U$2,Inputs!$K$4:$AJ$4,0))))=0,NA(),SUMPRODUCT((Inputs!$A$5:$A$110=$B15)*Inputs!$B$5:$B$110*(((Inputs!$G$5:$G$110="moeda")+(Inputs!$G$5:$G$110="acoes"))*Inputs!$B$1+((Inputs!$G$5:$G$110&lt;&gt;"moeda")*(Inputs!$G$5:$G$110&lt;&gt;"acoes")))*INDEX(Inputs!$K$5:$AJ$110,0,MATCH(U$2,Inputs!$K$4:$AJ$4,0)))+SUMPRODUCT((Inputs!$C$5:$C$110=$B15)*Inputs!$D$5:$D$110*(((Inputs!$G$5:$G$110="moeda")+(Inputs!$G$5:$G$110="acoes"))*Inputs!$B$1+((Inputs!$G$5:$G$110&lt;&gt;"moeda")*(Inputs!$G$5:$G$110&lt;&gt;"acoes")))*INDEX(Inputs!$K$5:$AJ$110,0,MATCH(U$2,Inputs!$K$4:$AJ$4,0)))+SUMPRODUCT((Inputs!$E$5:$E$110=$B15)*Inputs!$F$5:$F$110*(((Inputs!$G$5:$G$110="moeda")+(Inputs!$G$5:$G$110="acoes"))*Inputs!$B$1+((Inputs!$G$5:$G$110&lt;&gt;"moeda")*(Inputs!$G$5:$G$110&lt;&gt;"acoes")))*INDEX(Inputs!$K$5:$AJ$110,0,MATCH(U$2,Inputs!$K$4:$AJ$4,0)))))</f>
        <v>10049</v>
      </c>
      <c r="V15" s="267">
        <f>IF(ISNA(MATCH(V$2,Inputs!$K$4:$AJ$4,0)),NA(),IF(SUMPRODUCT((Inputs!$A$5:$A$110=$B15)*ISNUMBER(INDEX(Inputs!$K$5:$AJ$110,0,MATCH(V$2,Inputs!$K$4:$AJ$4,0))))+SUMPRODUCT((Inputs!$C$5:$C$110=$B15)*ISNUMBER(INDEX(Inputs!$K$5:$AJ$110,0,MATCH(V$2,Inputs!$K$4:$AJ$4,0))))+SUMPRODUCT((Inputs!$E$5:$E$110=$B15)*ISNUMBER(INDEX(Inputs!$K$5:$AJ$110,0,MATCH(V$2,Inputs!$K$4:$AJ$4,0))))=0,NA(),SUMPRODUCT((Inputs!$A$5:$A$110=$B15)*Inputs!$B$5:$B$110*(((Inputs!$G$5:$G$110="moeda")+(Inputs!$G$5:$G$110="acoes"))*Inputs!$B$1+((Inputs!$G$5:$G$110&lt;&gt;"moeda")*(Inputs!$G$5:$G$110&lt;&gt;"acoes")))*INDEX(Inputs!$K$5:$AJ$110,0,MATCH(V$2,Inputs!$K$4:$AJ$4,0)))+SUMPRODUCT((Inputs!$C$5:$C$110=$B15)*Inputs!$D$5:$D$110*(((Inputs!$G$5:$G$110="moeda")+(Inputs!$G$5:$G$110="acoes"))*Inputs!$B$1+((Inputs!$G$5:$G$110&lt;&gt;"moeda")*(Inputs!$G$5:$G$110&lt;&gt;"acoes")))*INDEX(Inputs!$K$5:$AJ$110,0,MATCH(V$2,Inputs!$K$4:$AJ$4,0)))+SUMPRODUCT((Inputs!$E$5:$E$110=$B15)*Inputs!$F$5:$F$110*(((Inputs!$G$5:$G$110="moeda")+(Inputs!$G$5:$G$110="acoes"))*Inputs!$B$1+((Inputs!$G$5:$G$110&lt;&gt;"moeda")*(Inputs!$G$5:$G$110&lt;&gt;"acoes")))*INDEX(Inputs!$K$5:$AJ$110,0,MATCH(V$2,Inputs!$K$4:$AJ$4,0)))))</f>
        <v>9037</v>
      </c>
      <c r="W15" s="268">
        <f>V15</f>
        <v>9037</v>
      </c>
      <c r="X15" s="267">
        <f>IF(ISNA(MATCH(X$2,Inputs!$K$4:$AJ$4,0)),NA(),IF(SUMPRODUCT((Inputs!$A$5:$A$110=$B15)*ISNUMBER(INDEX(Inputs!$K$5:$AJ$110,0,MATCH(X$2,Inputs!$K$4:$AJ$4,0))))+SUMPRODUCT((Inputs!$C$5:$C$110=$B15)*ISNUMBER(INDEX(Inputs!$K$5:$AJ$110,0,MATCH(X$2,Inputs!$K$4:$AJ$4,0))))+SUMPRODUCT((Inputs!$E$5:$E$110=$B15)*ISNUMBER(INDEX(Inputs!$K$5:$AJ$110,0,MATCH(X$2,Inputs!$K$4:$AJ$4,0))))=0,NA(),SUMPRODUCT((Inputs!$A$5:$A$110=$B15)*Inputs!$B$5:$B$110*(((Inputs!$G$5:$G$110="moeda")+(Inputs!$G$5:$G$110="acoes"))*Inputs!$B$1+((Inputs!$G$5:$G$110&lt;&gt;"moeda")*(Inputs!$G$5:$G$110&lt;&gt;"acoes")))*INDEX(Inputs!$K$5:$AJ$110,0,MATCH(X$2,Inputs!$K$4:$AJ$4,0)))+SUMPRODUCT((Inputs!$C$5:$C$110=$B15)*Inputs!$D$5:$D$110*(((Inputs!$G$5:$G$110="moeda")+(Inputs!$G$5:$G$110="acoes"))*Inputs!$B$1+((Inputs!$G$5:$G$110&lt;&gt;"moeda")*(Inputs!$G$5:$G$110&lt;&gt;"acoes")))*INDEX(Inputs!$K$5:$AJ$110,0,MATCH(X$2,Inputs!$K$4:$AJ$4,0)))+SUMPRODUCT((Inputs!$E$5:$E$110=$B15)*Inputs!$F$5:$F$110*(((Inputs!$G$5:$G$110="moeda")+(Inputs!$G$5:$G$110="acoes"))*Inputs!$B$1+((Inputs!$G$5:$G$110&lt;&gt;"moeda")*(Inputs!$G$5:$G$110&lt;&gt;"acoes")))*INDEX(Inputs!$K$5:$AJ$110,0,MATCH(X$2,Inputs!$K$4:$AJ$4,0)))))</f>
        <v>9311</v>
      </c>
      <c r="Y15" s="267">
        <f>IF(ISNA(MATCH(Y$2,Inputs!$K$4:$AJ$4,0)),NA(),IF(SUMPRODUCT((Inputs!$A$5:$A$110=$B15)*ISNUMBER(INDEX(Inputs!$K$5:$AJ$110,0,MATCH(Y$2,Inputs!$K$4:$AJ$4,0))))+SUMPRODUCT((Inputs!$C$5:$C$110=$B15)*ISNUMBER(INDEX(Inputs!$K$5:$AJ$110,0,MATCH(Y$2,Inputs!$K$4:$AJ$4,0))))+SUMPRODUCT((Inputs!$E$5:$E$110=$B15)*ISNUMBER(INDEX(Inputs!$K$5:$AJ$110,0,MATCH(Y$2,Inputs!$K$4:$AJ$4,0))))=0,NA(),SUMPRODUCT((Inputs!$A$5:$A$110=$B15)*Inputs!$B$5:$B$110*(((Inputs!$G$5:$G$110="moeda")+(Inputs!$G$5:$G$110="acoes"))*Inputs!$B$1+((Inputs!$G$5:$G$110&lt;&gt;"moeda")*(Inputs!$G$5:$G$110&lt;&gt;"acoes")))*INDEX(Inputs!$K$5:$AJ$110,0,MATCH(Y$2,Inputs!$K$4:$AJ$4,0)))+SUMPRODUCT((Inputs!$C$5:$C$110=$B15)*Inputs!$D$5:$D$110*(((Inputs!$G$5:$G$110="moeda")+(Inputs!$G$5:$G$110="acoes"))*Inputs!$B$1+((Inputs!$G$5:$G$110&lt;&gt;"moeda")*(Inputs!$G$5:$G$110&lt;&gt;"acoes")))*INDEX(Inputs!$K$5:$AJ$110,0,MATCH(Y$2,Inputs!$K$4:$AJ$4,0)))+SUMPRODUCT((Inputs!$E$5:$E$110=$B15)*Inputs!$F$5:$F$110*(((Inputs!$G$5:$G$110="moeda")+(Inputs!$G$5:$G$110="acoes"))*Inputs!$B$1+((Inputs!$G$5:$G$110&lt;&gt;"moeda")*(Inputs!$G$5:$G$110&lt;&gt;"acoes")))*INDEX(Inputs!$K$5:$AJ$110,0,MATCH(Y$2,Inputs!$K$4:$AJ$4,0)))))</f>
        <v>9431</v>
      </c>
      <c r="Z15" s="267">
        <f>IF(ISNA(MATCH(Z$2,Inputs!$K$4:$AJ$4,0)),NA(),IF(SUMPRODUCT((Inputs!$A$5:$A$110=$B15)*ISNUMBER(INDEX(Inputs!$K$5:$AJ$110,0,MATCH(Z$2,Inputs!$K$4:$AJ$4,0))))+SUMPRODUCT((Inputs!$C$5:$C$110=$B15)*ISNUMBER(INDEX(Inputs!$K$5:$AJ$110,0,MATCH(Z$2,Inputs!$K$4:$AJ$4,0))))+SUMPRODUCT((Inputs!$E$5:$E$110=$B15)*ISNUMBER(INDEX(Inputs!$K$5:$AJ$110,0,MATCH(Z$2,Inputs!$K$4:$AJ$4,0))))=0,NA(),SUMPRODUCT((Inputs!$A$5:$A$110=$B15)*Inputs!$B$5:$B$110*(((Inputs!$G$5:$G$110="moeda")+(Inputs!$G$5:$G$110="acoes"))*Inputs!$B$1+((Inputs!$G$5:$G$110&lt;&gt;"moeda")*(Inputs!$G$5:$G$110&lt;&gt;"acoes")))*INDEX(Inputs!$K$5:$AJ$110,0,MATCH(Z$2,Inputs!$K$4:$AJ$4,0)))+SUMPRODUCT((Inputs!$C$5:$C$110=$B15)*Inputs!$D$5:$D$110*(((Inputs!$G$5:$G$110="moeda")+(Inputs!$G$5:$G$110="acoes"))*Inputs!$B$1+((Inputs!$G$5:$G$110&lt;&gt;"moeda")*(Inputs!$G$5:$G$110&lt;&gt;"acoes")))*INDEX(Inputs!$K$5:$AJ$110,0,MATCH(Z$2,Inputs!$K$4:$AJ$4,0)))+SUMPRODUCT((Inputs!$E$5:$E$110=$B15)*Inputs!$F$5:$F$110*(((Inputs!$G$5:$G$110="moeda")+(Inputs!$G$5:$G$110="acoes"))*Inputs!$B$1+((Inputs!$G$5:$G$110&lt;&gt;"moeda")*(Inputs!$G$5:$G$110&lt;&gt;"acoes")))*INDEX(Inputs!$K$5:$AJ$110,0,MATCH(Z$2,Inputs!$K$4:$AJ$4,0)))))</f>
        <v>10582</v>
      </c>
      <c r="AA15" s="267">
        <f>IF(ISNA(MATCH(AA$2,Inputs!$K$4:$AJ$4,0)),NA(),IF(SUMPRODUCT((Inputs!$A$5:$A$110=$B15)*ISNUMBER(INDEX(Inputs!$K$5:$AJ$110,0,MATCH(AA$2,Inputs!$K$4:$AJ$4,0))))+SUMPRODUCT((Inputs!$C$5:$C$110=$B15)*ISNUMBER(INDEX(Inputs!$K$5:$AJ$110,0,MATCH(AA$2,Inputs!$K$4:$AJ$4,0))))+SUMPRODUCT((Inputs!$E$5:$E$110=$B15)*ISNUMBER(INDEX(Inputs!$K$5:$AJ$110,0,MATCH(AA$2,Inputs!$K$4:$AJ$4,0))))=0,NA(),SUMPRODUCT((Inputs!$A$5:$A$110=$B15)*Inputs!$B$5:$B$110*(((Inputs!$G$5:$G$110="moeda")+(Inputs!$G$5:$G$110="acoes"))*Inputs!$B$1+((Inputs!$G$5:$G$110&lt;&gt;"moeda")*(Inputs!$G$5:$G$110&lt;&gt;"acoes")))*INDEX(Inputs!$K$5:$AJ$110,0,MATCH(AA$2,Inputs!$K$4:$AJ$4,0)))+SUMPRODUCT((Inputs!$C$5:$C$110=$B15)*Inputs!$D$5:$D$110*(((Inputs!$G$5:$G$110="moeda")+(Inputs!$G$5:$G$110="acoes"))*Inputs!$B$1+((Inputs!$G$5:$G$110&lt;&gt;"moeda")*(Inputs!$G$5:$G$110&lt;&gt;"acoes")))*INDEX(Inputs!$K$5:$AJ$110,0,MATCH(AA$2,Inputs!$K$4:$AJ$4,0)))+SUMPRODUCT((Inputs!$E$5:$E$110=$B15)*Inputs!$F$5:$F$110*(((Inputs!$G$5:$G$110="moeda")+(Inputs!$G$5:$G$110="acoes"))*Inputs!$B$1+((Inputs!$G$5:$G$110&lt;&gt;"moeda")*(Inputs!$G$5:$G$110&lt;&gt;"acoes")))*INDEX(Inputs!$K$5:$AJ$110,0,MATCH(AA$2,Inputs!$K$4:$AJ$4,0)))))</f>
        <v>10727</v>
      </c>
      <c r="AB15" s="268">
        <f>AA15</f>
        <v>10727</v>
      </c>
      <c r="AC15" s="267">
        <f>IF(ISNA(MATCH(AC$2,Inputs!$K$4:$AJ$4,0)),NA(),IF(SUMPRODUCT((Inputs!$A$5:$A$110=$B15)*ISNUMBER(INDEX(Inputs!$K$5:$AJ$110,0,MATCH(AC$2,Inputs!$K$4:$AJ$4,0))))+SUMPRODUCT((Inputs!$C$5:$C$110=$B15)*ISNUMBER(INDEX(Inputs!$K$5:$AJ$110,0,MATCH(AC$2,Inputs!$K$4:$AJ$4,0))))+SUMPRODUCT((Inputs!$E$5:$E$110=$B15)*ISNUMBER(INDEX(Inputs!$K$5:$AJ$110,0,MATCH(AC$2,Inputs!$K$4:$AJ$4,0))))=0,NA(),SUMPRODUCT((Inputs!$A$5:$A$110=$B15)*Inputs!$B$5:$B$110*(((Inputs!$G$5:$G$110="moeda")+(Inputs!$G$5:$G$110="acoes"))*Inputs!$B$1+((Inputs!$G$5:$G$110&lt;&gt;"moeda")*(Inputs!$G$5:$G$110&lt;&gt;"acoes")))*INDEX(Inputs!$K$5:$AJ$110,0,MATCH(AC$2,Inputs!$K$4:$AJ$4,0)))+SUMPRODUCT((Inputs!$C$5:$C$110=$B15)*Inputs!$D$5:$D$110*(((Inputs!$G$5:$G$110="moeda")+(Inputs!$G$5:$G$110="acoes"))*Inputs!$B$1+((Inputs!$G$5:$G$110&lt;&gt;"moeda")*(Inputs!$G$5:$G$110&lt;&gt;"acoes")))*INDEX(Inputs!$K$5:$AJ$110,0,MATCH(AC$2,Inputs!$K$4:$AJ$4,0)))+SUMPRODUCT((Inputs!$E$5:$E$110=$B15)*Inputs!$F$5:$F$110*(((Inputs!$G$5:$G$110="moeda")+(Inputs!$G$5:$G$110="acoes"))*Inputs!$B$1+((Inputs!$G$5:$G$110&lt;&gt;"moeda")*(Inputs!$G$5:$G$110&lt;&gt;"acoes")))*INDEX(Inputs!$K$5:$AJ$110,0,MATCH(AC$2,Inputs!$K$4:$AJ$4,0)))))</f>
        <v>10729</v>
      </c>
      <c r="AD15" s="267">
        <f>IF(ISNA(MATCH(AD$2,Inputs!$K$4:$AJ$4,0)),NA(),IF(SUMPRODUCT((Inputs!$A$5:$A$110=$B15)*ISNUMBER(INDEX(Inputs!$K$5:$AJ$110,0,MATCH(AD$2,Inputs!$K$4:$AJ$4,0))))+SUMPRODUCT((Inputs!$C$5:$C$110=$B15)*ISNUMBER(INDEX(Inputs!$K$5:$AJ$110,0,MATCH(AD$2,Inputs!$K$4:$AJ$4,0))))+SUMPRODUCT((Inputs!$E$5:$E$110=$B15)*ISNUMBER(INDEX(Inputs!$K$5:$AJ$110,0,MATCH(AD$2,Inputs!$K$4:$AJ$4,0))))=0,NA(),SUMPRODUCT((Inputs!$A$5:$A$110=$B15)*Inputs!$B$5:$B$110*(((Inputs!$G$5:$G$110="moeda")+(Inputs!$G$5:$G$110="acoes"))*Inputs!$B$1+((Inputs!$G$5:$G$110&lt;&gt;"moeda")*(Inputs!$G$5:$G$110&lt;&gt;"acoes")))*INDEX(Inputs!$K$5:$AJ$110,0,MATCH(AD$2,Inputs!$K$4:$AJ$4,0)))+SUMPRODUCT((Inputs!$C$5:$C$110=$B15)*Inputs!$D$5:$D$110*(((Inputs!$G$5:$G$110="moeda")+(Inputs!$G$5:$G$110="acoes"))*Inputs!$B$1+((Inputs!$G$5:$G$110&lt;&gt;"moeda")*(Inputs!$G$5:$G$110&lt;&gt;"acoes")))*INDEX(Inputs!$K$5:$AJ$110,0,MATCH(AD$2,Inputs!$K$4:$AJ$4,0)))+SUMPRODUCT((Inputs!$E$5:$E$110=$B15)*Inputs!$F$5:$F$110*(((Inputs!$G$5:$G$110="moeda")+(Inputs!$G$5:$G$110="acoes"))*Inputs!$B$1+((Inputs!$G$5:$G$110&lt;&gt;"moeda")*(Inputs!$G$5:$G$110&lt;&gt;"acoes")))*INDEX(Inputs!$K$5:$AJ$110,0,MATCH(AD$2,Inputs!$K$4:$AJ$4,0)))))</f>
        <v>11529</v>
      </c>
      <c r="AE15" s="267" t="e">
        <f>IF(ISNA(MATCH(AE$2,Inputs!$K$4:$AJ$4,0)),NA(),IF(SUMPRODUCT((Inputs!$A$5:$A$110=$B15)*ISNUMBER(INDEX(Inputs!$K$5:$AJ$110,0,MATCH(AE$2,Inputs!$K$4:$AJ$4,0))))+SUMPRODUCT((Inputs!$C$5:$C$110=$B15)*ISNUMBER(INDEX(Inputs!$K$5:$AJ$110,0,MATCH(AE$2,Inputs!$K$4:$AJ$4,0))))+SUMPRODUCT((Inputs!$E$5:$E$110=$B15)*ISNUMBER(INDEX(Inputs!$K$5:$AJ$110,0,MATCH(AE$2,Inputs!$K$4:$AJ$4,0))))=0,NA(),SUMPRODUCT((Inputs!$A$5:$A$110=$B15)*Inputs!$B$5:$B$110*(((Inputs!$G$5:$G$110="moeda")+(Inputs!$G$5:$G$110="acoes"))*Inputs!$B$1+((Inputs!$G$5:$G$110&lt;&gt;"moeda")*(Inputs!$G$5:$G$110&lt;&gt;"acoes")))*INDEX(Inputs!$K$5:$AJ$110,0,MATCH(AE$2,Inputs!$K$4:$AJ$4,0)))+SUMPRODUCT((Inputs!$C$5:$C$110=$B15)*Inputs!$D$5:$D$110*(((Inputs!$G$5:$G$110="moeda")+(Inputs!$G$5:$G$110="acoes"))*Inputs!$B$1+((Inputs!$G$5:$G$110&lt;&gt;"moeda")*(Inputs!$G$5:$G$110&lt;&gt;"acoes")))*INDEX(Inputs!$K$5:$AJ$110,0,MATCH(AE$2,Inputs!$K$4:$AJ$4,0)))+SUMPRODUCT((Inputs!$E$5:$E$110=$B15)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5" s="267" t="e">
        <f>IF(ISNA(MATCH(AF$2,Inputs!$K$4:$AJ$4,0)),NA(),IF(SUMPRODUCT((Inputs!$A$5:$A$110=$B15)*ISNUMBER(INDEX(Inputs!$K$5:$AJ$110,0,MATCH(AF$2,Inputs!$K$4:$AJ$4,0))))+SUMPRODUCT((Inputs!$C$5:$C$110=$B15)*ISNUMBER(INDEX(Inputs!$K$5:$AJ$110,0,MATCH(AF$2,Inputs!$K$4:$AJ$4,0))))+SUMPRODUCT((Inputs!$E$5:$E$110=$B15)*ISNUMBER(INDEX(Inputs!$K$5:$AJ$110,0,MATCH(AF$2,Inputs!$K$4:$AJ$4,0))))=0,NA(),SUMPRODUCT((Inputs!$A$5:$A$110=$B15)*Inputs!$B$5:$B$110*(((Inputs!$G$5:$G$110="moeda")+(Inputs!$G$5:$G$110="acoes"))*Inputs!$B$1+((Inputs!$G$5:$G$110&lt;&gt;"moeda")*(Inputs!$G$5:$G$110&lt;&gt;"acoes")))*INDEX(Inputs!$K$5:$AJ$110,0,MATCH(AF$2,Inputs!$K$4:$AJ$4,0)))+SUMPRODUCT((Inputs!$C$5:$C$110=$B15)*Inputs!$D$5:$D$110*(((Inputs!$G$5:$G$110="moeda")+(Inputs!$G$5:$G$110="acoes"))*Inputs!$B$1+((Inputs!$G$5:$G$110&lt;&gt;"moeda")*(Inputs!$G$5:$G$110&lt;&gt;"acoes")))*INDEX(Inputs!$K$5:$AJ$110,0,MATCH(AF$2,Inputs!$K$4:$AJ$4,0)))+SUMPRODUCT((Inputs!$E$5:$E$110=$B15)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5" s="268" t="e">
        <f>AF15</f>
        <v>#N/A</v>
      </c>
      <c r="AH15" s="267">
        <f>IF(ISNA(MATCH(AH$2,Inputs!$K$4:$AJ$4,0)),NA(),IF(SUMPRODUCT((Inputs!$A$5:$A$110=$B15)*ISNUMBER(INDEX(Inputs!$K$5:$AJ$110,0,MATCH(AH$2,Inputs!$K$4:$AJ$4,0))))+SUMPRODUCT((Inputs!$C$5:$C$110=$B15)*ISNUMBER(INDEX(Inputs!$K$5:$AJ$110,0,MATCH(AH$2,Inputs!$K$4:$AJ$4,0))))+SUMPRODUCT((Inputs!$E$5:$E$110=$B15)*ISNUMBER(INDEX(Inputs!$K$5:$AJ$110,0,MATCH(AH$2,Inputs!$K$4:$AJ$4,0))))=0,NA(),SUMPRODUCT((Inputs!$A$5:$A$110=$B15)*Inputs!$B$5:$B$110*(((Inputs!$G$5:$G$110="moeda")+(Inputs!$G$5:$G$110="acoes"))*Inputs!$B$1+((Inputs!$G$5:$G$110&lt;&gt;"moeda")*(Inputs!$G$5:$G$110&lt;&gt;"acoes")))*INDEX(Inputs!$K$5:$AJ$110,0,MATCH(AH$2,Inputs!$K$4:$AJ$4,0)))+SUMPRODUCT((Inputs!$C$5:$C$110=$B15)*Inputs!$D$5:$D$110*(((Inputs!$G$5:$G$110="moeda")+(Inputs!$G$5:$G$110="acoes"))*Inputs!$B$1+((Inputs!$G$5:$G$110&lt;&gt;"moeda")*(Inputs!$G$5:$G$110&lt;&gt;"acoes")))*INDEX(Inputs!$K$5:$AJ$110,0,MATCH(AH$2,Inputs!$K$4:$AJ$4,0)))+SUMPRODUCT((Inputs!$E$5:$E$110=$B15)*Inputs!$F$5:$F$110*(((Inputs!$G$5:$G$110="moeda")+(Inputs!$G$5:$G$110="acoes"))*Inputs!$B$1+((Inputs!$G$5:$G$110&lt;&gt;"moeda")*(Inputs!$G$5:$G$110&lt;&gt;"acoes")))*INDEX(Inputs!$K$5:$AJ$110,0,MATCH(AH$2,Inputs!$K$4:$AJ$4,0)))))</f>
        <v>14930</v>
      </c>
      <c r="AI15" s="267">
        <f>IF(ISNA(MATCH(AI$2,Inputs!$K$4:$AJ$4,0)),NA(),IF(SUMPRODUCT((Inputs!$A$5:$A$110=$B15)*ISNUMBER(INDEX(Inputs!$K$5:$AJ$110,0,MATCH(AI$2,Inputs!$K$4:$AJ$4,0))))+SUMPRODUCT((Inputs!$C$5:$C$110=$B15)*ISNUMBER(INDEX(Inputs!$K$5:$AJ$110,0,MATCH(AI$2,Inputs!$K$4:$AJ$4,0))))+SUMPRODUCT((Inputs!$E$5:$E$110=$B15)*ISNUMBER(INDEX(Inputs!$K$5:$AJ$110,0,MATCH(AI$2,Inputs!$K$4:$AJ$4,0))))=0,NA(),SUMPRODUCT((Inputs!$A$5:$A$110=$B15)*Inputs!$B$5:$B$110*(((Inputs!$G$5:$G$110="moeda")+(Inputs!$G$5:$G$110="acoes"))*Inputs!$B$1+((Inputs!$G$5:$G$110&lt;&gt;"moeda")*(Inputs!$G$5:$G$110&lt;&gt;"acoes")))*INDEX(Inputs!$K$5:$AJ$110,0,MATCH(AI$2,Inputs!$K$4:$AJ$4,0)))+SUMPRODUCT((Inputs!$C$5:$C$110=$B15)*Inputs!$D$5:$D$110*(((Inputs!$G$5:$G$110="moeda")+(Inputs!$G$5:$G$110="acoes"))*Inputs!$B$1+((Inputs!$G$5:$G$110&lt;&gt;"moeda")*(Inputs!$G$5:$G$110&lt;&gt;"acoes")))*INDEX(Inputs!$K$5:$AJ$110,0,MATCH(AI$2,Inputs!$K$4:$AJ$4,0)))+SUMPRODUCT((Inputs!$E$5:$E$110=$B15)*Inputs!$F$5:$F$110*(((Inputs!$G$5:$G$110="moeda")+(Inputs!$G$5:$G$110="acoes"))*Inputs!$B$1+((Inputs!$G$5:$G$110&lt;&gt;"moeda")*(Inputs!$G$5:$G$110&lt;&gt;"acoes")))*INDEX(Inputs!$K$5:$AJ$110,0,MATCH(AI$2,Inputs!$K$4:$AJ$4,0)))))</f>
        <v>16906</v>
      </c>
      <c r="AJ15" s="267">
        <f>IF(ISNA(MATCH(AJ$2,Inputs!$K$4:$AJ$4,0)),NA(),IF(SUMPRODUCT((Inputs!$A$5:$A$110=$B15)*ISNUMBER(INDEX(Inputs!$K$5:$AJ$110,0,MATCH(AJ$2,Inputs!$K$4:$AJ$4,0))))+SUMPRODUCT((Inputs!$C$5:$C$110=$B15)*ISNUMBER(INDEX(Inputs!$K$5:$AJ$110,0,MATCH(AJ$2,Inputs!$K$4:$AJ$4,0))))+SUMPRODUCT((Inputs!$E$5:$E$110=$B15)*ISNUMBER(INDEX(Inputs!$K$5:$AJ$110,0,MATCH(AJ$2,Inputs!$K$4:$AJ$4,0))))=0,NA(),SUMPRODUCT((Inputs!$A$5:$A$110=$B15)*Inputs!$B$5:$B$110*(((Inputs!$G$5:$G$110="moeda")+(Inputs!$G$5:$G$110="acoes"))*Inputs!$B$1+((Inputs!$G$5:$G$110&lt;&gt;"moeda")*(Inputs!$G$5:$G$110&lt;&gt;"acoes")))*INDEX(Inputs!$K$5:$AJ$110,0,MATCH(AJ$2,Inputs!$K$4:$AJ$4,0)))+SUMPRODUCT((Inputs!$C$5:$C$110=$B15)*Inputs!$D$5:$D$110*(((Inputs!$G$5:$G$110="moeda")+(Inputs!$G$5:$G$110="acoes"))*Inputs!$B$1+((Inputs!$G$5:$G$110&lt;&gt;"moeda")*(Inputs!$G$5:$G$110&lt;&gt;"acoes")))*INDEX(Inputs!$K$5:$AJ$110,0,MATCH(AJ$2,Inputs!$K$4:$AJ$4,0)))+SUMPRODUCT((Inputs!$E$5:$E$110=$B15)*Inputs!$F$5:$F$110*(((Inputs!$G$5:$G$110="moeda")+(Inputs!$G$5:$G$110="acoes"))*Inputs!$B$1+((Inputs!$G$5:$G$110&lt;&gt;"moeda")*(Inputs!$G$5:$G$110&lt;&gt;"acoes")))*INDEX(Inputs!$K$5:$AJ$110,0,MATCH(AJ$2,Inputs!$K$4:$AJ$4,0)))))</f>
        <v>14325</v>
      </c>
      <c r="AK15" s="267">
        <f>IF(ISNA(MATCH(AK$2,Inputs!$K$4:$AJ$4,0)),NA(),IF(SUMPRODUCT((Inputs!$A$5:$A$110=$B15)*ISNUMBER(INDEX(Inputs!$K$5:$AJ$110,0,MATCH(AK$2,Inputs!$K$4:$AJ$4,0))))+SUMPRODUCT((Inputs!$C$5:$C$110=$B15)*ISNUMBER(INDEX(Inputs!$K$5:$AJ$110,0,MATCH(AK$2,Inputs!$K$4:$AJ$4,0))))+SUMPRODUCT((Inputs!$E$5:$E$110=$B15)*ISNUMBER(INDEX(Inputs!$K$5:$AJ$110,0,MATCH(AK$2,Inputs!$K$4:$AJ$4,0))))=0,NA(),SUMPRODUCT((Inputs!$A$5:$A$110=$B15)*Inputs!$B$5:$B$110*(((Inputs!$G$5:$G$110="moeda")+(Inputs!$G$5:$G$110="acoes"))*Inputs!$B$1+((Inputs!$G$5:$G$110&lt;&gt;"moeda")*(Inputs!$G$5:$G$110&lt;&gt;"acoes")))*INDEX(Inputs!$K$5:$AJ$110,0,MATCH(AK$2,Inputs!$K$4:$AJ$4,0)))+SUMPRODUCT((Inputs!$C$5:$C$110=$B15)*Inputs!$D$5:$D$110*(((Inputs!$G$5:$G$110="moeda")+(Inputs!$G$5:$G$110="acoes"))*Inputs!$B$1+((Inputs!$G$5:$G$110&lt;&gt;"moeda")*(Inputs!$G$5:$G$110&lt;&gt;"acoes")))*INDEX(Inputs!$K$5:$AJ$110,0,MATCH(AK$2,Inputs!$K$4:$AJ$4,0)))+SUMPRODUCT((Inputs!$E$5:$E$110=$B15)*Inputs!$F$5:$F$110*(((Inputs!$G$5:$G$110="moeda")+(Inputs!$G$5:$G$110="acoes"))*Inputs!$B$1+((Inputs!$G$5:$G$110&lt;&gt;"moeda")*(Inputs!$G$5:$G$110&lt;&gt;"acoes")))*INDEX(Inputs!$K$5:$AJ$110,0,MATCH(AK$2,Inputs!$K$4:$AJ$4,0)))))</f>
        <v>17741</v>
      </c>
      <c r="AL15" s="268">
        <f>AK15</f>
        <v>17741</v>
      </c>
    </row>
    <row r="16" ht="12.75" customHeight="1" s="255">
      <c r="B16" s="265" t="n">
        <v>12</v>
      </c>
      <c r="C16" s="270" t="inlineStr">
        <is>
          <t>Accounts receivable</t>
        </is>
      </c>
      <c r="D16" s="267">
        <f>IF(ISNA(MATCH(D$2,Inputs!$K$4:$AJ$4,0)),NA(),IF(SUMPRODUCT((Inputs!$A$5:$A$110=$B16)*ISNUMBER(INDEX(Inputs!$K$5:$AJ$110,0,MATCH(D$2,Inputs!$K$4:$AJ$4,0))))+SUMPRODUCT((Inputs!$C$5:$C$110=$B16)*ISNUMBER(INDEX(Inputs!$K$5:$AJ$110,0,MATCH(D$2,Inputs!$K$4:$AJ$4,0))))+SUMPRODUCT((Inputs!$E$5:$E$110=$B16)*ISNUMBER(INDEX(Inputs!$K$5:$AJ$110,0,MATCH(D$2,Inputs!$K$4:$AJ$4,0))))=0,NA(),SUMPRODUCT((Inputs!$A$5:$A$110=$B16)*Inputs!$B$5:$B$110*(((Inputs!$G$5:$G$110="moeda")+(Inputs!$G$5:$G$110="acoes"))*Inputs!$B$1+((Inputs!$G$5:$G$110&lt;&gt;"moeda")*(Inputs!$G$5:$G$110&lt;&gt;"acoes")))*INDEX(Inputs!$K$5:$AJ$110,0,MATCH(D$2,Inputs!$K$4:$AJ$4,0)))+SUMPRODUCT((Inputs!$C$5:$C$110=$B16)*Inputs!$D$5:$D$110*(((Inputs!$G$5:$G$110="moeda")+(Inputs!$G$5:$G$110="acoes"))*Inputs!$B$1+((Inputs!$G$5:$G$110&lt;&gt;"moeda")*(Inputs!$G$5:$G$110&lt;&gt;"acoes")))*INDEX(Inputs!$K$5:$AJ$110,0,MATCH(D$2,Inputs!$K$4:$AJ$4,0)))+SUMPRODUCT((Inputs!$E$5:$E$110=$B16)*Inputs!$F$5:$F$110*(((Inputs!$G$5:$G$110="moeda")+(Inputs!$G$5:$G$110="acoes"))*Inputs!$B$1+((Inputs!$G$5:$G$110&lt;&gt;"moeda")*(Inputs!$G$5:$G$110&lt;&gt;"acoes")))*INDEX(Inputs!$K$5:$AJ$110,0,MATCH(D$2,Inputs!$K$4:$AJ$4,0)))))</f>
        <v>5797</v>
      </c>
      <c r="E16" s="267">
        <f>IF(ISNA(MATCH(E$2,Inputs!$K$4:$AJ$4,0)),NA(),IF(SUMPRODUCT((Inputs!$A$5:$A$110=$B16)*ISNUMBER(INDEX(Inputs!$K$5:$AJ$110,0,MATCH(E$2,Inputs!$K$4:$AJ$4,0))))+SUMPRODUCT((Inputs!$C$5:$C$110=$B16)*ISNUMBER(INDEX(Inputs!$K$5:$AJ$110,0,MATCH(E$2,Inputs!$K$4:$AJ$4,0))))+SUMPRODUCT((Inputs!$E$5:$E$110=$B16)*ISNUMBER(INDEX(Inputs!$K$5:$AJ$110,0,MATCH(E$2,Inputs!$K$4:$AJ$4,0))))=0,NA(),SUMPRODUCT((Inputs!$A$5:$A$110=$B16)*Inputs!$B$5:$B$110*(((Inputs!$G$5:$G$110="moeda")+(Inputs!$G$5:$G$110="acoes"))*Inputs!$B$1+((Inputs!$G$5:$G$110&lt;&gt;"moeda")*(Inputs!$G$5:$G$110&lt;&gt;"acoes")))*INDEX(Inputs!$K$5:$AJ$110,0,MATCH(E$2,Inputs!$K$4:$AJ$4,0)))+SUMPRODUCT((Inputs!$C$5:$C$110=$B16)*Inputs!$D$5:$D$110*(((Inputs!$G$5:$G$110="moeda")+(Inputs!$G$5:$G$110="acoes"))*Inputs!$B$1+((Inputs!$G$5:$G$110&lt;&gt;"moeda")*(Inputs!$G$5:$G$110&lt;&gt;"acoes")))*INDEX(Inputs!$K$5:$AJ$110,0,MATCH(E$2,Inputs!$K$4:$AJ$4,0)))+SUMPRODUCT((Inputs!$E$5:$E$110=$B16)*Inputs!$F$5:$F$110*(((Inputs!$G$5:$G$110="moeda")+(Inputs!$G$5:$G$110="acoes"))*Inputs!$B$1+((Inputs!$G$5:$G$110&lt;&gt;"moeda")*(Inputs!$G$5:$G$110&lt;&gt;"acoes")))*INDEX(Inputs!$K$5:$AJ$110,0,MATCH(E$2,Inputs!$K$4:$AJ$4,0)))))</f>
        <v>6103</v>
      </c>
      <c r="F16" s="267">
        <f>IF(ISNA(MATCH(F$2,Inputs!$K$4:$AJ$4,0)),NA(),IF(SUMPRODUCT((Inputs!$A$5:$A$110=$B16)*ISNUMBER(INDEX(Inputs!$K$5:$AJ$110,0,MATCH(F$2,Inputs!$K$4:$AJ$4,0))))+SUMPRODUCT((Inputs!$C$5:$C$110=$B16)*ISNUMBER(INDEX(Inputs!$K$5:$AJ$110,0,MATCH(F$2,Inputs!$K$4:$AJ$4,0))))+SUMPRODUCT((Inputs!$E$5:$E$110=$B16)*ISNUMBER(INDEX(Inputs!$K$5:$AJ$110,0,MATCH(F$2,Inputs!$K$4:$AJ$4,0))))=0,NA(),SUMPRODUCT((Inputs!$A$5:$A$110=$B16)*Inputs!$B$5:$B$110*(((Inputs!$G$5:$G$110="moeda")+(Inputs!$G$5:$G$110="acoes"))*Inputs!$B$1+((Inputs!$G$5:$G$110&lt;&gt;"moeda")*(Inputs!$G$5:$G$110&lt;&gt;"acoes")))*INDEX(Inputs!$K$5:$AJ$110,0,MATCH(F$2,Inputs!$K$4:$AJ$4,0)))+SUMPRODUCT((Inputs!$C$5:$C$110=$B16)*Inputs!$D$5:$D$110*(((Inputs!$G$5:$G$110="moeda")+(Inputs!$G$5:$G$110="acoes"))*Inputs!$B$1+((Inputs!$G$5:$G$110&lt;&gt;"moeda")*(Inputs!$G$5:$G$110&lt;&gt;"acoes")))*INDEX(Inputs!$K$5:$AJ$110,0,MATCH(F$2,Inputs!$K$4:$AJ$4,0)))+SUMPRODUCT((Inputs!$E$5:$E$110=$B16)*Inputs!$F$5:$F$110*(((Inputs!$G$5:$G$110="moeda")+(Inputs!$G$5:$G$110="acoes"))*Inputs!$B$1+((Inputs!$G$5:$G$110&lt;&gt;"moeda")*(Inputs!$G$5:$G$110&lt;&gt;"acoes")))*INDEX(Inputs!$K$5:$AJ$110,0,MATCH(F$2,Inputs!$K$4:$AJ$4,0)))))</f>
        <v>7349</v>
      </c>
      <c r="G16" s="267">
        <f>IF(ISNA(MATCH(G$2,Inputs!$K$4:$AJ$4,0)),NA(),IF(SUMPRODUCT((Inputs!$A$5:$A$110=$B16)*ISNUMBER(INDEX(Inputs!$K$5:$AJ$110,0,MATCH(G$2,Inputs!$K$4:$AJ$4,0))))+SUMPRODUCT((Inputs!$C$5:$C$110=$B16)*ISNUMBER(INDEX(Inputs!$K$5:$AJ$110,0,MATCH(G$2,Inputs!$K$4:$AJ$4,0))))+SUMPRODUCT((Inputs!$E$5:$E$110=$B16)*ISNUMBER(INDEX(Inputs!$K$5:$AJ$110,0,MATCH(G$2,Inputs!$K$4:$AJ$4,0))))=0,NA(),SUMPRODUCT((Inputs!$A$5:$A$110=$B16)*Inputs!$B$5:$B$110*(((Inputs!$G$5:$G$110="moeda")+(Inputs!$G$5:$G$110="acoes"))*Inputs!$B$1+((Inputs!$G$5:$G$110&lt;&gt;"moeda")*(Inputs!$G$5:$G$110&lt;&gt;"acoes")))*INDEX(Inputs!$K$5:$AJ$110,0,MATCH(G$2,Inputs!$K$4:$AJ$4,0)))+SUMPRODUCT((Inputs!$C$5:$C$110=$B16)*Inputs!$D$5:$D$110*(((Inputs!$G$5:$G$110="moeda")+(Inputs!$G$5:$G$110="acoes"))*Inputs!$B$1+((Inputs!$G$5:$G$110&lt;&gt;"moeda")*(Inputs!$G$5:$G$110&lt;&gt;"acoes")))*INDEX(Inputs!$K$5:$AJ$110,0,MATCH(G$2,Inputs!$K$4:$AJ$4,0)))+SUMPRODUCT((Inputs!$E$5:$E$110=$B16)*Inputs!$F$5:$F$110*(((Inputs!$G$5:$G$110="moeda")+(Inputs!$G$5:$G$110="acoes"))*Inputs!$B$1+((Inputs!$G$5:$G$110&lt;&gt;"moeda")*(Inputs!$G$5:$G$110&lt;&gt;"acoes")))*INDEX(Inputs!$K$5:$AJ$110,0,MATCH(G$2,Inputs!$K$4:$AJ$4,0)))))</f>
        <v>8280</v>
      </c>
      <c r="H16" s="268">
        <f>G16</f>
        <v>8280</v>
      </c>
      <c r="I16" s="267">
        <f>IF(ISNA(MATCH(I$2,Inputs!$K$4:$AJ$4,0)),NA(),IF(SUMPRODUCT((Inputs!$A$5:$A$110=$B16)*ISNUMBER(INDEX(Inputs!$K$5:$AJ$110,0,MATCH(I$2,Inputs!$K$4:$AJ$4,0))))+SUMPRODUCT((Inputs!$C$5:$C$110=$B16)*ISNUMBER(INDEX(Inputs!$K$5:$AJ$110,0,MATCH(I$2,Inputs!$K$4:$AJ$4,0))))+SUMPRODUCT((Inputs!$E$5:$E$110=$B16)*ISNUMBER(INDEX(Inputs!$K$5:$AJ$110,0,MATCH(I$2,Inputs!$K$4:$AJ$4,0))))=0,NA(),SUMPRODUCT((Inputs!$A$5:$A$110=$B16)*Inputs!$B$5:$B$110*(((Inputs!$G$5:$G$110="moeda")+(Inputs!$G$5:$G$110="acoes"))*Inputs!$B$1+((Inputs!$G$5:$G$110&lt;&gt;"moeda")*(Inputs!$G$5:$G$110&lt;&gt;"acoes")))*INDEX(Inputs!$K$5:$AJ$110,0,MATCH(I$2,Inputs!$K$4:$AJ$4,0)))+SUMPRODUCT((Inputs!$C$5:$C$110=$B16)*Inputs!$D$5:$D$110*(((Inputs!$G$5:$G$110="moeda")+(Inputs!$G$5:$G$110="acoes"))*Inputs!$B$1+((Inputs!$G$5:$G$110&lt;&gt;"moeda")*(Inputs!$G$5:$G$110&lt;&gt;"acoes")))*INDEX(Inputs!$K$5:$AJ$110,0,MATCH(I$2,Inputs!$K$4:$AJ$4,0)))+SUMPRODUCT((Inputs!$E$5:$E$110=$B16)*Inputs!$F$5:$F$110*(((Inputs!$G$5:$G$110="moeda")+(Inputs!$G$5:$G$110="acoes"))*Inputs!$B$1+((Inputs!$G$5:$G$110&lt;&gt;"moeda")*(Inputs!$G$5:$G$110&lt;&gt;"acoes")))*INDEX(Inputs!$K$5:$AJ$110,0,MATCH(I$2,Inputs!$K$4:$AJ$4,0)))))</f>
        <v>7674</v>
      </c>
      <c r="J16" s="267">
        <f>IF(ISNA(MATCH(J$2,Inputs!$K$4:$AJ$4,0)),NA(),IF(SUMPRODUCT((Inputs!$A$5:$A$110=$B16)*ISNUMBER(INDEX(Inputs!$K$5:$AJ$110,0,MATCH(J$2,Inputs!$K$4:$AJ$4,0))))+SUMPRODUCT((Inputs!$C$5:$C$110=$B16)*ISNUMBER(INDEX(Inputs!$K$5:$AJ$110,0,MATCH(J$2,Inputs!$K$4:$AJ$4,0))))+SUMPRODUCT((Inputs!$E$5:$E$110=$B16)*ISNUMBER(INDEX(Inputs!$K$5:$AJ$110,0,MATCH(J$2,Inputs!$K$4:$AJ$4,0))))=0,NA(),SUMPRODUCT((Inputs!$A$5:$A$110=$B16)*Inputs!$B$5:$B$110*(((Inputs!$G$5:$G$110="moeda")+(Inputs!$G$5:$G$110="acoes"))*Inputs!$B$1+((Inputs!$G$5:$G$110&lt;&gt;"moeda")*(Inputs!$G$5:$G$110&lt;&gt;"acoes")))*INDEX(Inputs!$K$5:$AJ$110,0,MATCH(J$2,Inputs!$K$4:$AJ$4,0)))+SUMPRODUCT((Inputs!$C$5:$C$110=$B16)*Inputs!$D$5:$D$110*(((Inputs!$G$5:$G$110="moeda")+(Inputs!$G$5:$G$110="acoes"))*Inputs!$B$1+((Inputs!$G$5:$G$110&lt;&gt;"moeda")*(Inputs!$G$5:$G$110&lt;&gt;"acoes")))*INDEX(Inputs!$K$5:$AJ$110,0,MATCH(J$2,Inputs!$K$4:$AJ$4,0)))+SUMPRODUCT((Inputs!$E$5:$E$110=$B16)*Inputs!$F$5:$F$110*(((Inputs!$G$5:$G$110="moeda")+(Inputs!$G$5:$G$110="acoes"))*Inputs!$B$1+((Inputs!$G$5:$G$110&lt;&gt;"moeda")*(Inputs!$G$5:$G$110&lt;&gt;"acoes")))*INDEX(Inputs!$K$5:$AJ$110,0,MATCH(J$2,Inputs!$K$4:$AJ$4,0)))))</f>
        <v>7522</v>
      </c>
      <c r="K16" s="267">
        <f>IF(ISNA(MATCH(K$2,Inputs!$K$4:$AJ$4,0)),NA(),IF(SUMPRODUCT((Inputs!$A$5:$A$110=$B16)*ISNUMBER(INDEX(Inputs!$K$5:$AJ$110,0,MATCH(K$2,Inputs!$K$4:$AJ$4,0))))+SUMPRODUCT((Inputs!$C$5:$C$110=$B16)*ISNUMBER(INDEX(Inputs!$K$5:$AJ$110,0,MATCH(K$2,Inputs!$K$4:$AJ$4,0))))+SUMPRODUCT((Inputs!$E$5:$E$110=$B16)*ISNUMBER(INDEX(Inputs!$K$5:$AJ$110,0,MATCH(K$2,Inputs!$K$4:$AJ$4,0))))=0,NA(),SUMPRODUCT((Inputs!$A$5:$A$110=$B16)*Inputs!$B$5:$B$110*(((Inputs!$G$5:$G$110="moeda")+(Inputs!$G$5:$G$110="acoes"))*Inputs!$B$1+((Inputs!$G$5:$G$110&lt;&gt;"moeda")*(Inputs!$G$5:$G$110&lt;&gt;"acoes")))*INDEX(Inputs!$K$5:$AJ$110,0,MATCH(K$2,Inputs!$K$4:$AJ$4,0)))+SUMPRODUCT((Inputs!$C$5:$C$110=$B16)*Inputs!$D$5:$D$110*(((Inputs!$G$5:$G$110="moeda")+(Inputs!$G$5:$G$110="acoes"))*Inputs!$B$1+((Inputs!$G$5:$G$110&lt;&gt;"moeda")*(Inputs!$G$5:$G$110&lt;&gt;"acoes")))*INDEX(Inputs!$K$5:$AJ$110,0,MATCH(K$2,Inputs!$K$4:$AJ$4,0)))+SUMPRODUCT((Inputs!$E$5:$E$110=$B16)*Inputs!$F$5:$F$110*(((Inputs!$G$5:$G$110="moeda")+(Inputs!$G$5:$G$110="acoes"))*Inputs!$B$1+((Inputs!$G$5:$G$110&lt;&gt;"moeda")*(Inputs!$G$5:$G$110&lt;&gt;"acoes")))*INDEX(Inputs!$K$5:$AJ$110,0,MATCH(K$2,Inputs!$K$4:$AJ$4,0)))))</f>
        <v>8218</v>
      </c>
      <c r="L16" s="267">
        <f>IF(ISNA(MATCH(L$2,Inputs!$K$4:$AJ$4,0)),NA(),IF(SUMPRODUCT((Inputs!$A$5:$A$110=$B16)*ISNUMBER(INDEX(Inputs!$K$5:$AJ$110,0,MATCH(L$2,Inputs!$K$4:$AJ$4,0))))+SUMPRODUCT((Inputs!$C$5:$C$110=$B16)*ISNUMBER(INDEX(Inputs!$K$5:$AJ$110,0,MATCH(L$2,Inputs!$K$4:$AJ$4,0))))+SUMPRODUCT((Inputs!$E$5:$E$110=$B16)*ISNUMBER(INDEX(Inputs!$K$5:$AJ$110,0,MATCH(L$2,Inputs!$K$4:$AJ$4,0))))=0,NA(),SUMPRODUCT((Inputs!$A$5:$A$110=$B16)*Inputs!$B$5:$B$110*(((Inputs!$G$5:$G$110="moeda")+(Inputs!$G$5:$G$110="acoes"))*Inputs!$B$1+((Inputs!$G$5:$G$110&lt;&gt;"moeda")*(Inputs!$G$5:$G$110&lt;&gt;"acoes")))*INDEX(Inputs!$K$5:$AJ$110,0,MATCH(L$2,Inputs!$K$4:$AJ$4,0)))+SUMPRODUCT((Inputs!$C$5:$C$110=$B16)*Inputs!$D$5:$D$110*(((Inputs!$G$5:$G$110="moeda")+(Inputs!$G$5:$G$110="acoes"))*Inputs!$B$1+((Inputs!$G$5:$G$110&lt;&gt;"moeda")*(Inputs!$G$5:$G$110&lt;&gt;"acoes")))*INDEX(Inputs!$K$5:$AJ$110,0,MATCH(L$2,Inputs!$K$4:$AJ$4,0)))+SUMPRODUCT((Inputs!$E$5:$E$110=$B16)*Inputs!$F$5:$F$110*(((Inputs!$G$5:$G$110="moeda")+(Inputs!$G$5:$G$110="acoes"))*Inputs!$B$1+((Inputs!$G$5:$G$110&lt;&gt;"moeda")*(Inputs!$G$5:$G$110&lt;&gt;"acoes")))*INDEX(Inputs!$K$5:$AJ$110,0,MATCH(L$2,Inputs!$K$4:$AJ$4,0)))))</f>
        <v>7933</v>
      </c>
      <c r="M16" s="268">
        <f>L16</f>
        <v>7933</v>
      </c>
      <c r="N16" s="267">
        <f>IF(ISNA(MATCH(N$2,Inputs!$K$4:$AJ$4,0)),NA(),IF(SUMPRODUCT((Inputs!$A$5:$A$110=$B16)*ISNUMBER(INDEX(Inputs!$K$5:$AJ$110,0,MATCH(N$2,Inputs!$K$4:$AJ$4,0))))+SUMPRODUCT((Inputs!$C$5:$C$110=$B16)*ISNUMBER(INDEX(Inputs!$K$5:$AJ$110,0,MATCH(N$2,Inputs!$K$4:$AJ$4,0))))+SUMPRODUCT((Inputs!$E$5:$E$110=$B16)*ISNUMBER(INDEX(Inputs!$K$5:$AJ$110,0,MATCH(N$2,Inputs!$K$4:$AJ$4,0))))=0,NA(),SUMPRODUCT((Inputs!$A$5:$A$110=$B16)*Inputs!$B$5:$B$110*(((Inputs!$G$5:$G$110="moeda")+(Inputs!$G$5:$G$110="acoes"))*Inputs!$B$1+((Inputs!$G$5:$G$110&lt;&gt;"moeda")*(Inputs!$G$5:$G$110&lt;&gt;"acoes")))*INDEX(Inputs!$K$5:$AJ$110,0,MATCH(N$2,Inputs!$K$4:$AJ$4,0)))+SUMPRODUCT((Inputs!$C$5:$C$110=$B16)*Inputs!$D$5:$D$110*(((Inputs!$G$5:$G$110="moeda")+(Inputs!$G$5:$G$110="acoes"))*Inputs!$B$1+((Inputs!$G$5:$G$110&lt;&gt;"moeda")*(Inputs!$G$5:$G$110&lt;&gt;"acoes")))*INDEX(Inputs!$K$5:$AJ$110,0,MATCH(N$2,Inputs!$K$4:$AJ$4,0)))+SUMPRODUCT((Inputs!$E$5:$E$110=$B16)*Inputs!$F$5:$F$110*(((Inputs!$G$5:$G$110="moeda")+(Inputs!$G$5:$G$110="acoes"))*Inputs!$B$1+((Inputs!$G$5:$G$110&lt;&gt;"moeda")*(Inputs!$G$5:$G$110&lt;&gt;"acoes")))*INDEX(Inputs!$K$5:$AJ$110,0,MATCH(N$2,Inputs!$K$4:$AJ$4,0)))))</f>
        <v>7647</v>
      </c>
      <c r="O16" s="267">
        <f>IF(ISNA(MATCH(O$2,Inputs!$K$4:$AJ$4,0)),NA(),IF(SUMPRODUCT((Inputs!$A$5:$A$110=$B16)*ISNUMBER(INDEX(Inputs!$K$5:$AJ$110,0,MATCH(O$2,Inputs!$K$4:$AJ$4,0))))+SUMPRODUCT((Inputs!$C$5:$C$110=$B16)*ISNUMBER(INDEX(Inputs!$K$5:$AJ$110,0,MATCH(O$2,Inputs!$K$4:$AJ$4,0))))+SUMPRODUCT((Inputs!$E$5:$E$110=$B16)*ISNUMBER(INDEX(Inputs!$K$5:$AJ$110,0,MATCH(O$2,Inputs!$K$4:$AJ$4,0))))=0,NA(),SUMPRODUCT((Inputs!$A$5:$A$110=$B16)*Inputs!$B$5:$B$110*(((Inputs!$G$5:$G$110="moeda")+(Inputs!$G$5:$G$110="acoes"))*Inputs!$B$1+((Inputs!$G$5:$G$110&lt;&gt;"moeda")*(Inputs!$G$5:$G$110&lt;&gt;"acoes")))*INDEX(Inputs!$K$5:$AJ$110,0,MATCH(O$2,Inputs!$K$4:$AJ$4,0)))+SUMPRODUCT((Inputs!$C$5:$C$110=$B16)*Inputs!$D$5:$D$110*(((Inputs!$G$5:$G$110="moeda")+(Inputs!$G$5:$G$110="acoes"))*Inputs!$B$1+((Inputs!$G$5:$G$110&lt;&gt;"moeda")*(Inputs!$G$5:$G$110&lt;&gt;"acoes")))*INDEX(Inputs!$K$5:$AJ$110,0,MATCH(O$2,Inputs!$K$4:$AJ$4,0)))+SUMPRODUCT((Inputs!$E$5:$E$110=$B16)*Inputs!$F$5:$F$110*(((Inputs!$G$5:$G$110="moeda")+(Inputs!$G$5:$G$110="acoes"))*Inputs!$B$1+((Inputs!$G$5:$G$110&lt;&gt;"moeda")*(Inputs!$G$5:$G$110&lt;&gt;"acoes")))*INDEX(Inputs!$K$5:$AJ$110,0,MATCH(O$2,Inputs!$K$4:$AJ$4,0)))))</f>
        <v>7891</v>
      </c>
      <c r="P16" s="267">
        <f>IF(ISNA(MATCH(P$2,Inputs!$K$4:$AJ$4,0)),NA(),IF(SUMPRODUCT((Inputs!$A$5:$A$110=$B16)*ISNUMBER(INDEX(Inputs!$K$5:$AJ$110,0,MATCH(P$2,Inputs!$K$4:$AJ$4,0))))+SUMPRODUCT((Inputs!$C$5:$C$110=$B16)*ISNUMBER(INDEX(Inputs!$K$5:$AJ$110,0,MATCH(P$2,Inputs!$K$4:$AJ$4,0))))+SUMPRODUCT((Inputs!$E$5:$E$110=$B16)*ISNUMBER(INDEX(Inputs!$K$5:$AJ$110,0,MATCH(P$2,Inputs!$K$4:$AJ$4,0))))=0,NA(),SUMPRODUCT((Inputs!$A$5:$A$110=$B16)*Inputs!$B$5:$B$110*(((Inputs!$G$5:$G$110="moeda")+(Inputs!$G$5:$G$110="acoes"))*Inputs!$B$1+((Inputs!$G$5:$G$110&lt;&gt;"moeda")*(Inputs!$G$5:$G$110&lt;&gt;"acoes")))*INDEX(Inputs!$K$5:$AJ$110,0,MATCH(P$2,Inputs!$K$4:$AJ$4,0)))+SUMPRODUCT((Inputs!$C$5:$C$110=$B16)*Inputs!$D$5:$D$110*(((Inputs!$G$5:$G$110="moeda")+(Inputs!$G$5:$G$110="acoes"))*Inputs!$B$1+((Inputs!$G$5:$G$110&lt;&gt;"moeda")*(Inputs!$G$5:$G$110&lt;&gt;"acoes")))*INDEX(Inputs!$K$5:$AJ$110,0,MATCH(P$2,Inputs!$K$4:$AJ$4,0)))+SUMPRODUCT((Inputs!$E$5:$E$110=$B16)*Inputs!$F$5:$F$110*(((Inputs!$G$5:$G$110="moeda")+(Inputs!$G$5:$G$110="acoes"))*Inputs!$B$1+((Inputs!$G$5:$G$110&lt;&gt;"moeda")*(Inputs!$G$5:$G$110&lt;&gt;"acoes")))*INDEX(Inputs!$K$5:$AJ$110,0,MATCH(P$2,Inputs!$K$4:$AJ$4,0)))))</f>
        <v>8625</v>
      </c>
      <c r="Q16" s="267">
        <f>IF(ISNA(MATCH(Q$2,Inputs!$K$4:$AJ$4,0)),NA(),IF(SUMPRODUCT((Inputs!$A$5:$A$110=$B16)*ISNUMBER(INDEX(Inputs!$K$5:$AJ$110,0,MATCH(Q$2,Inputs!$K$4:$AJ$4,0))))+SUMPRODUCT((Inputs!$C$5:$C$110=$B16)*ISNUMBER(INDEX(Inputs!$K$5:$AJ$110,0,MATCH(Q$2,Inputs!$K$4:$AJ$4,0))))+SUMPRODUCT((Inputs!$E$5:$E$110=$B16)*ISNUMBER(INDEX(Inputs!$K$5:$AJ$110,0,MATCH(Q$2,Inputs!$K$4:$AJ$4,0))))=0,NA(),SUMPRODUCT((Inputs!$A$5:$A$110=$B16)*Inputs!$B$5:$B$110*(((Inputs!$G$5:$G$110="moeda")+(Inputs!$G$5:$G$110="acoes"))*Inputs!$B$1+((Inputs!$G$5:$G$110&lt;&gt;"moeda")*(Inputs!$G$5:$G$110&lt;&gt;"acoes")))*INDEX(Inputs!$K$5:$AJ$110,0,MATCH(Q$2,Inputs!$K$4:$AJ$4,0)))+SUMPRODUCT((Inputs!$C$5:$C$110=$B16)*Inputs!$D$5:$D$110*(((Inputs!$G$5:$G$110="moeda")+(Inputs!$G$5:$G$110="acoes"))*Inputs!$B$1+((Inputs!$G$5:$G$110&lt;&gt;"moeda")*(Inputs!$G$5:$G$110&lt;&gt;"acoes")))*INDEX(Inputs!$K$5:$AJ$110,0,MATCH(Q$2,Inputs!$K$4:$AJ$4,0)))+SUMPRODUCT((Inputs!$E$5:$E$110=$B16)*Inputs!$F$5:$F$110*(((Inputs!$G$5:$G$110="moeda")+(Inputs!$G$5:$G$110="acoes"))*Inputs!$B$1+((Inputs!$G$5:$G$110&lt;&gt;"moeda")*(Inputs!$G$5:$G$110&lt;&gt;"acoes")))*INDEX(Inputs!$K$5:$AJ$110,0,MATCH(Q$2,Inputs!$K$4:$AJ$4,0)))))</f>
        <v>8796</v>
      </c>
      <c r="R16" s="268">
        <f>Q16</f>
        <v>8796</v>
      </c>
      <c r="S16" s="267">
        <f>IF(ISNA(MATCH(S$2,Inputs!$K$4:$AJ$4,0)),NA(),IF(SUMPRODUCT((Inputs!$A$5:$A$110=$B16)*ISNUMBER(INDEX(Inputs!$K$5:$AJ$110,0,MATCH(S$2,Inputs!$K$4:$AJ$4,0))))+SUMPRODUCT((Inputs!$C$5:$C$110=$B16)*ISNUMBER(INDEX(Inputs!$K$5:$AJ$110,0,MATCH(S$2,Inputs!$K$4:$AJ$4,0))))+SUMPRODUCT((Inputs!$E$5:$E$110=$B16)*ISNUMBER(INDEX(Inputs!$K$5:$AJ$110,0,MATCH(S$2,Inputs!$K$4:$AJ$4,0))))=0,NA(),SUMPRODUCT((Inputs!$A$5:$A$110=$B16)*Inputs!$B$5:$B$110*(((Inputs!$G$5:$G$110="moeda")+(Inputs!$G$5:$G$110="acoes"))*Inputs!$B$1+((Inputs!$G$5:$G$110&lt;&gt;"moeda")*(Inputs!$G$5:$G$110&lt;&gt;"acoes")))*INDEX(Inputs!$K$5:$AJ$110,0,MATCH(S$2,Inputs!$K$4:$AJ$4,0)))+SUMPRODUCT((Inputs!$C$5:$C$110=$B16)*Inputs!$D$5:$D$110*(((Inputs!$G$5:$G$110="moeda")+(Inputs!$G$5:$G$110="acoes"))*Inputs!$B$1+((Inputs!$G$5:$G$110&lt;&gt;"moeda")*(Inputs!$G$5:$G$110&lt;&gt;"acoes")))*INDEX(Inputs!$K$5:$AJ$110,0,MATCH(S$2,Inputs!$K$4:$AJ$4,0)))+SUMPRODUCT((Inputs!$E$5:$E$110=$B16)*Inputs!$F$5:$F$110*(((Inputs!$G$5:$G$110="moeda")+(Inputs!$G$5:$G$110="acoes"))*Inputs!$B$1+((Inputs!$G$5:$G$110&lt;&gt;"moeda")*(Inputs!$G$5:$G$110&lt;&gt;"acoes")))*INDEX(Inputs!$K$5:$AJ$110,0,MATCH(S$2,Inputs!$K$4:$AJ$4,0)))))</f>
        <v>9075</v>
      </c>
      <c r="T16" s="267">
        <f>IF(ISNA(MATCH(T$2,Inputs!$K$4:$AJ$4,0)),NA(),IF(SUMPRODUCT((Inputs!$A$5:$A$110=$B16)*ISNUMBER(INDEX(Inputs!$K$5:$AJ$110,0,MATCH(T$2,Inputs!$K$4:$AJ$4,0))))+SUMPRODUCT((Inputs!$C$5:$C$110=$B16)*ISNUMBER(INDEX(Inputs!$K$5:$AJ$110,0,MATCH(T$2,Inputs!$K$4:$AJ$4,0))))+SUMPRODUCT((Inputs!$E$5:$E$110=$B16)*ISNUMBER(INDEX(Inputs!$K$5:$AJ$110,0,MATCH(T$2,Inputs!$K$4:$AJ$4,0))))=0,NA(),SUMPRODUCT((Inputs!$A$5:$A$110=$B16)*Inputs!$B$5:$B$110*(((Inputs!$G$5:$G$110="moeda")+(Inputs!$G$5:$G$110="acoes"))*Inputs!$B$1+((Inputs!$G$5:$G$110&lt;&gt;"moeda")*(Inputs!$G$5:$G$110&lt;&gt;"acoes")))*INDEX(Inputs!$K$5:$AJ$110,0,MATCH(T$2,Inputs!$K$4:$AJ$4,0)))+SUMPRODUCT((Inputs!$C$5:$C$110=$B16)*Inputs!$D$5:$D$110*(((Inputs!$G$5:$G$110="moeda")+(Inputs!$G$5:$G$110="acoes"))*Inputs!$B$1+((Inputs!$G$5:$G$110&lt;&gt;"moeda")*(Inputs!$G$5:$G$110&lt;&gt;"acoes")))*INDEX(Inputs!$K$5:$AJ$110,0,MATCH(T$2,Inputs!$K$4:$AJ$4,0)))+SUMPRODUCT((Inputs!$E$5:$E$110=$B16)*Inputs!$F$5:$F$110*(((Inputs!$G$5:$G$110="moeda")+(Inputs!$G$5:$G$110="acoes"))*Inputs!$B$1+((Inputs!$G$5:$G$110&lt;&gt;"moeda")*(Inputs!$G$5:$G$110&lt;&gt;"acoes")))*INDEX(Inputs!$K$5:$AJ$110,0,MATCH(T$2,Inputs!$K$4:$AJ$4,0)))))</f>
        <v>8650</v>
      </c>
      <c r="U16" s="267">
        <f>IF(ISNA(MATCH(U$2,Inputs!$K$4:$AJ$4,0)),NA(),IF(SUMPRODUCT((Inputs!$A$5:$A$110=$B16)*ISNUMBER(INDEX(Inputs!$K$5:$AJ$110,0,MATCH(U$2,Inputs!$K$4:$AJ$4,0))))+SUMPRODUCT((Inputs!$C$5:$C$110=$B16)*ISNUMBER(INDEX(Inputs!$K$5:$AJ$110,0,MATCH(U$2,Inputs!$K$4:$AJ$4,0))))+SUMPRODUCT((Inputs!$E$5:$E$110=$B16)*ISNUMBER(INDEX(Inputs!$K$5:$AJ$110,0,MATCH(U$2,Inputs!$K$4:$AJ$4,0))))=0,NA(),SUMPRODUCT((Inputs!$A$5:$A$110=$B16)*Inputs!$B$5:$B$110*(((Inputs!$G$5:$G$110="moeda")+(Inputs!$G$5:$G$110="acoes"))*Inputs!$B$1+((Inputs!$G$5:$G$110&lt;&gt;"moeda")*(Inputs!$G$5:$G$110&lt;&gt;"acoes")))*INDEX(Inputs!$K$5:$AJ$110,0,MATCH(U$2,Inputs!$K$4:$AJ$4,0)))+SUMPRODUCT((Inputs!$C$5:$C$110=$B16)*Inputs!$D$5:$D$110*(((Inputs!$G$5:$G$110="moeda")+(Inputs!$G$5:$G$110="acoes"))*Inputs!$B$1+((Inputs!$G$5:$G$110&lt;&gt;"moeda")*(Inputs!$G$5:$G$110&lt;&gt;"acoes")))*INDEX(Inputs!$K$5:$AJ$110,0,MATCH(U$2,Inputs!$K$4:$AJ$4,0)))+SUMPRODUCT((Inputs!$E$5:$E$110=$B16)*Inputs!$F$5:$F$110*(((Inputs!$G$5:$G$110="moeda")+(Inputs!$G$5:$G$110="acoes"))*Inputs!$B$1+((Inputs!$G$5:$G$110&lt;&gt;"moeda")*(Inputs!$G$5:$G$110&lt;&gt;"acoes")))*INDEX(Inputs!$K$5:$AJ$110,0,MATCH(U$2,Inputs!$K$4:$AJ$4,0)))))</f>
        <v>10039</v>
      </c>
      <c r="V16" s="267">
        <f>IF(ISNA(MATCH(V$2,Inputs!$K$4:$AJ$4,0)),NA(),IF(SUMPRODUCT((Inputs!$A$5:$A$110=$B16)*ISNUMBER(INDEX(Inputs!$K$5:$AJ$110,0,MATCH(V$2,Inputs!$K$4:$AJ$4,0))))+SUMPRODUCT((Inputs!$C$5:$C$110=$B16)*ISNUMBER(INDEX(Inputs!$K$5:$AJ$110,0,MATCH(V$2,Inputs!$K$4:$AJ$4,0))))+SUMPRODUCT((Inputs!$E$5:$E$110=$B16)*ISNUMBER(INDEX(Inputs!$K$5:$AJ$110,0,MATCH(V$2,Inputs!$K$4:$AJ$4,0))))=0,NA(),SUMPRODUCT((Inputs!$A$5:$A$110=$B16)*Inputs!$B$5:$B$110*(((Inputs!$G$5:$G$110="moeda")+(Inputs!$G$5:$G$110="acoes"))*Inputs!$B$1+((Inputs!$G$5:$G$110&lt;&gt;"moeda")*(Inputs!$G$5:$G$110&lt;&gt;"acoes")))*INDEX(Inputs!$K$5:$AJ$110,0,MATCH(V$2,Inputs!$K$4:$AJ$4,0)))+SUMPRODUCT((Inputs!$C$5:$C$110=$B16)*Inputs!$D$5:$D$110*(((Inputs!$G$5:$G$110="moeda")+(Inputs!$G$5:$G$110="acoes"))*Inputs!$B$1+((Inputs!$G$5:$G$110&lt;&gt;"moeda")*(Inputs!$G$5:$G$110&lt;&gt;"acoes")))*INDEX(Inputs!$K$5:$AJ$110,0,MATCH(V$2,Inputs!$K$4:$AJ$4,0)))+SUMPRODUCT((Inputs!$E$5:$E$110=$B16)*Inputs!$F$5:$F$110*(((Inputs!$G$5:$G$110="moeda")+(Inputs!$G$5:$G$110="acoes"))*Inputs!$B$1+((Inputs!$G$5:$G$110&lt;&gt;"moeda")*(Inputs!$G$5:$G$110&lt;&gt;"acoes")))*INDEX(Inputs!$K$5:$AJ$110,0,MATCH(V$2,Inputs!$K$4:$AJ$4,0)))))</f>
        <v>9975</v>
      </c>
      <c r="W16" s="268">
        <f>V16</f>
        <v>9975</v>
      </c>
      <c r="X16" s="267">
        <f>IF(ISNA(MATCH(X$2,Inputs!$K$4:$AJ$4,0)),NA(),IF(SUMPRODUCT((Inputs!$A$5:$A$110=$B16)*ISNUMBER(INDEX(Inputs!$K$5:$AJ$110,0,MATCH(X$2,Inputs!$K$4:$AJ$4,0))))+SUMPRODUCT((Inputs!$C$5:$C$110=$B16)*ISNUMBER(INDEX(Inputs!$K$5:$AJ$110,0,MATCH(X$2,Inputs!$K$4:$AJ$4,0))))+SUMPRODUCT((Inputs!$E$5:$E$110=$B16)*ISNUMBER(INDEX(Inputs!$K$5:$AJ$110,0,MATCH(X$2,Inputs!$K$4:$AJ$4,0))))=0,NA(),SUMPRODUCT((Inputs!$A$5:$A$110=$B16)*Inputs!$B$5:$B$110*(((Inputs!$G$5:$G$110="moeda")+(Inputs!$G$5:$G$110="acoes"))*Inputs!$B$1+((Inputs!$G$5:$G$110&lt;&gt;"moeda")*(Inputs!$G$5:$G$110&lt;&gt;"acoes")))*INDEX(Inputs!$K$5:$AJ$110,0,MATCH(X$2,Inputs!$K$4:$AJ$4,0)))+SUMPRODUCT((Inputs!$C$5:$C$110=$B16)*Inputs!$D$5:$D$110*(((Inputs!$G$5:$G$110="moeda")+(Inputs!$G$5:$G$110="acoes"))*Inputs!$B$1+((Inputs!$G$5:$G$110&lt;&gt;"moeda")*(Inputs!$G$5:$G$110&lt;&gt;"acoes")))*INDEX(Inputs!$K$5:$AJ$110,0,MATCH(X$2,Inputs!$K$4:$AJ$4,0)))+SUMPRODUCT((Inputs!$E$5:$E$110=$B16)*Inputs!$F$5:$F$110*(((Inputs!$G$5:$G$110="moeda")+(Inputs!$G$5:$G$110="acoes"))*Inputs!$B$1+((Inputs!$G$5:$G$110&lt;&gt;"moeda")*(Inputs!$G$5:$G$110&lt;&gt;"acoes")))*INDEX(Inputs!$K$5:$AJ$110,0,MATCH(X$2,Inputs!$K$4:$AJ$4,0)))))</f>
        <v>9686</v>
      </c>
      <c r="Y16" s="267">
        <f>IF(ISNA(MATCH(Y$2,Inputs!$K$4:$AJ$4,0)),NA(),IF(SUMPRODUCT((Inputs!$A$5:$A$110=$B16)*ISNUMBER(INDEX(Inputs!$K$5:$AJ$110,0,MATCH(Y$2,Inputs!$K$4:$AJ$4,0))))+SUMPRODUCT((Inputs!$C$5:$C$110=$B16)*ISNUMBER(INDEX(Inputs!$K$5:$AJ$110,0,MATCH(Y$2,Inputs!$K$4:$AJ$4,0))))+SUMPRODUCT((Inputs!$E$5:$E$110=$B16)*ISNUMBER(INDEX(Inputs!$K$5:$AJ$110,0,MATCH(Y$2,Inputs!$K$4:$AJ$4,0))))=0,NA(),SUMPRODUCT((Inputs!$A$5:$A$110=$B16)*Inputs!$B$5:$B$110*(((Inputs!$G$5:$G$110="moeda")+(Inputs!$G$5:$G$110="acoes"))*Inputs!$B$1+((Inputs!$G$5:$G$110&lt;&gt;"moeda")*(Inputs!$G$5:$G$110&lt;&gt;"acoes")))*INDEX(Inputs!$K$5:$AJ$110,0,MATCH(Y$2,Inputs!$K$4:$AJ$4,0)))+SUMPRODUCT((Inputs!$C$5:$C$110=$B16)*Inputs!$D$5:$D$110*(((Inputs!$G$5:$G$110="moeda")+(Inputs!$G$5:$G$110="acoes"))*Inputs!$B$1+((Inputs!$G$5:$G$110&lt;&gt;"moeda")*(Inputs!$G$5:$G$110&lt;&gt;"acoes")))*INDEX(Inputs!$K$5:$AJ$110,0,MATCH(Y$2,Inputs!$K$4:$AJ$4,0)))+SUMPRODUCT((Inputs!$E$5:$E$110=$B16)*Inputs!$F$5:$F$110*(((Inputs!$G$5:$G$110="moeda")+(Inputs!$G$5:$G$110="acoes"))*Inputs!$B$1+((Inputs!$G$5:$G$110&lt;&gt;"moeda")*(Inputs!$G$5:$G$110&lt;&gt;"acoes")))*INDEX(Inputs!$K$5:$AJ$110,0,MATCH(Y$2,Inputs!$K$4:$AJ$4,0)))))</f>
        <v>10518</v>
      </c>
      <c r="Z16" s="267">
        <f>IF(ISNA(MATCH(Z$2,Inputs!$K$4:$AJ$4,0)),NA(),IF(SUMPRODUCT((Inputs!$A$5:$A$110=$B16)*ISNUMBER(INDEX(Inputs!$K$5:$AJ$110,0,MATCH(Z$2,Inputs!$K$4:$AJ$4,0))))+SUMPRODUCT((Inputs!$C$5:$C$110=$B16)*ISNUMBER(INDEX(Inputs!$K$5:$AJ$110,0,MATCH(Z$2,Inputs!$K$4:$AJ$4,0))))+SUMPRODUCT((Inputs!$E$5:$E$110=$B16)*ISNUMBER(INDEX(Inputs!$K$5:$AJ$110,0,MATCH(Z$2,Inputs!$K$4:$AJ$4,0))))=0,NA(),SUMPRODUCT((Inputs!$A$5:$A$110=$B16)*Inputs!$B$5:$B$110*(((Inputs!$G$5:$G$110="moeda")+(Inputs!$G$5:$G$110="acoes"))*Inputs!$B$1+((Inputs!$G$5:$G$110&lt;&gt;"moeda")*(Inputs!$G$5:$G$110&lt;&gt;"acoes")))*INDEX(Inputs!$K$5:$AJ$110,0,MATCH(Z$2,Inputs!$K$4:$AJ$4,0)))+SUMPRODUCT((Inputs!$C$5:$C$110=$B16)*Inputs!$D$5:$D$110*(((Inputs!$G$5:$G$110="moeda")+(Inputs!$G$5:$G$110="acoes"))*Inputs!$B$1+((Inputs!$G$5:$G$110&lt;&gt;"moeda")*(Inputs!$G$5:$G$110&lt;&gt;"acoes")))*INDEX(Inputs!$K$5:$AJ$110,0,MATCH(Z$2,Inputs!$K$4:$AJ$4,0)))+SUMPRODUCT((Inputs!$E$5:$E$110=$B16)*Inputs!$F$5:$F$110*(((Inputs!$G$5:$G$110="moeda")+(Inputs!$G$5:$G$110="acoes"))*Inputs!$B$1+((Inputs!$G$5:$G$110&lt;&gt;"moeda")*(Inputs!$G$5:$G$110&lt;&gt;"acoes")))*INDEX(Inputs!$K$5:$AJ$110,0,MATCH(Z$2,Inputs!$K$4:$AJ$4,0)))))</f>
        <v>12115</v>
      </c>
      <c r="AA16" s="267">
        <f>IF(ISNA(MATCH(AA$2,Inputs!$K$4:$AJ$4,0)),NA(),IF(SUMPRODUCT((Inputs!$A$5:$A$110=$B16)*ISNUMBER(INDEX(Inputs!$K$5:$AJ$110,0,MATCH(AA$2,Inputs!$K$4:$AJ$4,0))))+SUMPRODUCT((Inputs!$C$5:$C$110=$B16)*ISNUMBER(INDEX(Inputs!$K$5:$AJ$110,0,MATCH(AA$2,Inputs!$K$4:$AJ$4,0))))+SUMPRODUCT((Inputs!$E$5:$E$110=$B16)*ISNUMBER(INDEX(Inputs!$K$5:$AJ$110,0,MATCH(AA$2,Inputs!$K$4:$AJ$4,0))))=0,NA(),SUMPRODUCT((Inputs!$A$5:$A$110=$B16)*Inputs!$B$5:$B$110*(((Inputs!$G$5:$G$110="moeda")+(Inputs!$G$5:$G$110="acoes"))*Inputs!$B$1+((Inputs!$G$5:$G$110&lt;&gt;"moeda")*(Inputs!$G$5:$G$110&lt;&gt;"acoes")))*INDEX(Inputs!$K$5:$AJ$110,0,MATCH(AA$2,Inputs!$K$4:$AJ$4,0)))+SUMPRODUCT((Inputs!$C$5:$C$110=$B16)*Inputs!$D$5:$D$110*(((Inputs!$G$5:$G$110="moeda")+(Inputs!$G$5:$G$110="acoes"))*Inputs!$B$1+((Inputs!$G$5:$G$110&lt;&gt;"moeda")*(Inputs!$G$5:$G$110&lt;&gt;"acoes")))*INDEX(Inputs!$K$5:$AJ$110,0,MATCH(AA$2,Inputs!$K$4:$AJ$4,0)))+SUMPRODUCT((Inputs!$E$5:$E$110=$B16)*Inputs!$F$5:$F$110*(((Inputs!$G$5:$G$110="moeda")+(Inputs!$G$5:$G$110="acoes"))*Inputs!$B$1+((Inputs!$G$5:$G$110&lt;&gt;"moeda")*(Inputs!$G$5:$G$110&lt;&gt;"acoes")))*INDEX(Inputs!$K$5:$AJ$110,0,MATCH(AA$2,Inputs!$K$4:$AJ$4,0)))))</f>
        <v>11172</v>
      </c>
      <c r="AB16" s="268">
        <f>AA16</f>
        <v>11172</v>
      </c>
      <c r="AC16" s="267">
        <f>IF(ISNA(MATCH(AC$2,Inputs!$K$4:$AJ$4,0)),NA(),IF(SUMPRODUCT((Inputs!$A$5:$A$110=$B16)*ISNUMBER(INDEX(Inputs!$K$5:$AJ$110,0,MATCH(AC$2,Inputs!$K$4:$AJ$4,0))))+SUMPRODUCT((Inputs!$C$5:$C$110=$B16)*ISNUMBER(INDEX(Inputs!$K$5:$AJ$110,0,MATCH(AC$2,Inputs!$K$4:$AJ$4,0))))+SUMPRODUCT((Inputs!$E$5:$E$110=$B16)*ISNUMBER(INDEX(Inputs!$K$5:$AJ$110,0,MATCH(AC$2,Inputs!$K$4:$AJ$4,0))))=0,NA(),SUMPRODUCT((Inputs!$A$5:$A$110=$B16)*Inputs!$B$5:$B$110*(((Inputs!$G$5:$G$110="moeda")+(Inputs!$G$5:$G$110="acoes"))*Inputs!$B$1+((Inputs!$G$5:$G$110&lt;&gt;"moeda")*(Inputs!$G$5:$G$110&lt;&gt;"acoes")))*INDEX(Inputs!$K$5:$AJ$110,0,MATCH(AC$2,Inputs!$K$4:$AJ$4,0)))+SUMPRODUCT((Inputs!$C$5:$C$110=$B16)*Inputs!$D$5:$D$110*(((Inputs!$G$5:$G$110="moeda")+(Inputs!$G$5:$G$110="acoes"))*Inputs!$B$1+((Inputs!$G$5:$G$110&lt;&gt;"moeda")*(Inputs!$G$5:$G$110&lt;&gt;"acoes")))*INDEX(Inputs!$K$5:$AJ$110,0,MATCH(AC$2,Inputs!$K$4:$AJ$4,0)))+SUMPRODUCT((Inputs!$E$5:$E$110=$B16)*Inputs!$F$5:$F$110*(((Inputs!$G$5:$G$110="moeda")+(Inputs!$G$5:$G$110="acoes"))*Inputs!$B$1+((Inputs!$G$5:$G$110&lt;&gt;"moeda")*(Inputs!$G$5:$G$110&lt;&gt;"acoes")))*INDEX(Inputs!$K$5:$AJ$110,0,MATCH(AC$2,Inputs!$K$4:$AJ$4,0)))))</f>
        <v>10662</v>
      </c>
      <c r="AD16" s="267">
        <f>IF(ISNA(MATCH(AD$2,Inputs!$K$4:$AJ$4,0)),NA(),IF(SUMPRODUCT((Inputs!$A$5:$A$110=$B16)*ISNUMBER(INDEX(Inputs!$K$5:$AJ$110,0,MATCH(AD$2,Inputs!$K$4:$AJ$4,0))))+SUMPRODUCT((Inputs!$C$5:$C$110=$B16)*ISNUMBER(INDEX(Inputs!$K$5:$AJ$110,0,MATCH(AD$2,Inputs!$K$4:$AJ$4,0))))+SUMPRODUCT((Inputs!$E$5:$E$110=$B16)*ISNUMBER(INDEX(Inputs!$K$5:$AJ$110,0,MATCH(AD$2,Inputs!$K$4:$AJ$4,0))))=0,NA(),SUMPRODUCT((Inputs!$A$5:$A$110=$B16)*Inputs!$B$5:$B$110*(((Inputs!$G$5:$G$110="moeda")+(Inputs!$G$5:$G$110="acoes"))*Inputs!$B$1+((Inputs!$G$5:$G$110&lt;&gt;"moeda")*(Inputs!$G$5:$G$110&lt;&gt;"acoes")))*INDEX(Inputs!$K$5:$AJ$110,0,MATCH(AD$2,Inputs!$K$4:$AJ$4,0)))+SUMPRODUCT((Inputs!$C$5:$C$110=$B16)*Inputs!$D$5:$D$110*(((Inputs!$G$5:$G$110="moeda")+(Inputs!$G$5:$G$110="acoes"))*Inputs!$B$1+((Inputs!$G$5:$G$110&lt;&gt;"moeda")*(Inputs!$G$5:$G$110&lt;&gt;"acoes")))*INDEX(Inputs!$K$5:$AJ$110,0,MATCH(AD$2,Inputs!$K$4:$AJ$4,0)))+SUMPRODUCT((Inputs!$E$5:$E$110=$B16)*Inputs!$F$5:$F$110*(((Inputs!$G$5:$G$110="moeda")+(Inputs!$G$5:$G$110="acoes"))*Inputs!$B$1+((Inputs!$G$5:$G$110&lt;&gt;"moeda")*(Inputs!$G$5:$G$110&lt;&gt;"acoes")))*INDEX(Inputs!$K$5:$AJ$110,0,MATCH(AD$2,Inputs!$K$4:$AJ$4,0)))))</f>
        <v>11075</v>
      </c>
      <c r="AE16" s="267" t="e">
        <f>IF(ISNA(MATCH(AE$2,Inputs!$K$4:$AJ$4,0)),NA(),IF(SUMPRODUCT((Inputs!$A$5:$A$110=$B16)*ISNUMBER(INDEX(Inputs!$K$5:$AJ$110,0,MATCH(AE$2,Inputs!$K$4:$AJ$4,0))))+SUMPRODUCT((Inputs!$C$5:$C$110=$B16)*ISNUMBER(INDEX(Inputs!$K$5:$AJ$110,0,MATCH(AE$2,Inputs!$K$4:$AJ$4,0))))+SUMPRODUCT((Inputs!$E$5:$E$110=$B16)*ISNUMBER(INDEX(Inputs!$K$5:$AJ$110,0,MATCH(AE$2,Inputs!$K$4:$AJ$4,0))))=0,NA(),SUMPRODUCT((Inputs!$A$5:$A$110=$B16)*Inputs!$B$5:$B$110*(((Inputs!$G$5:$G$110="moeda")+(Inputs!$G$5:$G$110="acoes"))*Inputs!$B$1+((Inputs!$G$5:$G$110&lt;&gt;"moeda")*(Inputs!$G$5:$G$110&lt;&gt;"acoes")))*INDEX(Inputs!$K$5:$AJ$110,0,MATCH(AE$2,Inputs!$K$4:$AJ$4,0)))+SUMPRODUCT((Inputs!$C$5:$C$110=$B16)*Inputs!$D$5:$D$110*(((Inputs!$G$5:$G$110="moeda")+(Inputs!$G$5:$G$110="acoes"))*Inputs!$B$1+((Inputs!$G$5:$G$110&lt;&gt;"moeda")*(Inputs!$G$5:$G$110&lt;&gt;"acoes")))*INDEX(Inputs!$K$5:$AJ$110,0,MATCH(AE$2,Inputs!$K$4:$AJ$4,0)))+SUMPRODUCT((Inputs!$E$5:$E$110=$B16)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6" s="267" t="e">
        <f>IF(ISNA(MATCH(AF$2,Inputs!$K$4:$AJ$4,0)),NA(),IF(SUMPRODUCT((Inputs!$A$5:$A$110=$B16)*ISNUMBER(INDEX(Inputs!$K$5:$AJ$110,0,MATCH(AF$2,Inputs!$K$4:$AJ$4,0))))+SUMPRODUCT((Inputs!$C$5:$C$110=$B16)*ISNUMBER(INDEX(Inputs!$K$5:$AJ$110,0,MATCH(AF$2,Inputs!$K$4:$AJ$4,0))))+SUMPRODUCT((Inputs!$E$5:$E$110=$B16)*ISNUMBER(INDEX(Inputs!$K$5:$AJ$110,0,MATCH(AF$2,Inputs!$K$4:$AJ$4,0))))=0,NA(),SUMPRODUCT((Inputs!$A$5:$A$110=$B16)*Inputs!$B$5:$B$110*(((Inputs!$G$5:$G$110="moeda")+(Inputs!$G$5:$G$110="acoes"))*Inputs!$B$1+((Inputs!$G$5:$G$110&lt;&gt;"moeda")*(Inputs!$G$5:$G$110&lt;&gt;"acoes")))*INDEX(Inputs!$K$5:$AJ$110,0,MATCH(AF$2,Inputs!$K$4:$AJ$4,0)))+SUMPRODUCT((Inputs!$C$5:$C$110=$B16)*Inputs!$D$5:$D$110*(((Inputs!$G$5:$G$110="moeda")+(Inputs!$G$5:$G$110="acoes"))*Inputs!$B$1+((Inputs!$G$5:$G$110&lt;&gt;"moeda")*(Inputs!$G$5:$G$110&lt;&gt;"acoes")))*INDEX(Inputs!$K$5:$AJ$110,0,MATCH(AF$2,Inputs!$K$4:$AJ$4,0)))+SUMPRODUCT((Inputs!$E$5:$E$110=$B16)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6" s="268" t="e">
        <f>AF16</f>
        <v>#N/A</v>
      </c>
      <c r="AH16" s="267">
        <f>IF(ISNA(MATCH(AH$2,Inputs!$K$4:$AJ$4,0)),NA(),IF(SUMPRODUCT((Inputs!$A$5:$A$110=$B16)*ISNUMBER(INDEX(Inputs!$K$5:$AJ$110,0,MATCH(AH$2,Inputs!$K$4:$AJ$4,0))))+SUMPRODUCT((Inputs!$C$5:$C$110=$B16)*ISNUMBER(INDEX(Inputs!$K$5:$AJ$110,0,MATCH(AH$2,Inputs!$K$4:$AJ$4,0))))+SUMPRODUCT((Inputs!$E$5:$E$110=$B16)*ISNUMBER(INDEX(Inputs!$K$5:$AJ$110,0,MATCH(AH$2,Inputs!$K$4:$AJ$4,0))))=0,NA(),SUMPRODUCT((Inputs!$A$5:$A$110=$B16)*Inputs!$B$5:$B$110*(((Inputs!$G$5:$G$110="moeda")+(Inputs!$G$5:$G$110="acoes"))*Inputs!$B$1+((Inputs!$G$5:$G$110&lt;&gt;"moeda")*(Inputs!$G$5:$G$110&lt;&gt;"acoes")))*INDEX(Inputs!$K$5:$AJ$110,0,MATCH(AH$2,Inputs!$K$4:$AJ$4,0)))+SUMPRODUCT((Inputs!$C$5:$C$110=$B16)*Inputs!$D$5:$D$110*(((Inputs!$G$5:$G$110="moeda")+(Inputs!$G$5:$G$110="acoes"))*Inputs!$B$1+((Inputs!$G$5:$G$110&lt;&gt;"moeda")*(Inputs!$G$5:$G$110&lt;&gt;"acoes")))*INDEX(Inputs!$K$5:$AJ$110,0,MATCH(AH$2,Inputs!$K$4:$AJ$4,0)))+SUMPRODUCT((Inputs!$E$5:$E$110=$B16)*Inputs!$F$5:$F$110*(((Inputs!$G$5:$G$110="moeda")+(Inputs!$G$5:$G$110="acoes"))*Inputs!$B$1+((Inputs!$G$5:$G$110&lt;&gt;"moeda")*(Inputs!$G$5:$G$110&lt;&gt;"acoes")))*INDEX(Inputs!$K$5:$AJ$110,0,MATCH(AH$2,Inputs!$K$4:$AJ$4,0)))))</f>
        <v>5029</v>
      </c>
      <c r="AI16" s="267">
        <f>IF(ISNA(MATCH(AI$2,Inputs!$K$4:$AJ$4,0)),NA(),IF(SUMPRODUCT((Inputs!$A$5:$A$110=$B16)*ISNUMBER(INDEX(Inputs!$K$5:$AJ$110,0,MATCH(AI$2,Inputs!$K$4:$AJ$4,0))))+SUMPRODUCT((Inputs!$C$5:$C$110=$B16)*ISNUMBER(INDEX(Inputs!$K$5:$AJ$110,0,MATCH(AI$2,Inputs!$K$4:$AJ$4,0))))+SUMPRODUCT((Inputs!$E$5:$E$110=$B16)*ISNUMBER(INDEX(Inputs!$K$5:$AJ$110,0,MATCH(AI$2,Inputs!$K$4:$AJ$4,0))))=0,NA(),SUMPRODUCT((Inputs!$A$5:$A$110=$B16)*Inputs!$B$5:$B$110*(((Inputs!$G$5:$G$110="moeda")+(Inputs!$G$5:$G$110="acoes"))*Inputs!$B$1+((Inputs!$G$5:$G$110&lt;&gt;"moeda")*(Inputs!$G$5:$G$110&lt;&gt;"acoes")))*INDEX(Inputs!$K$5:$AJ$110,0,MATCH(AI$2,Inputs!$K$4:$AJ$4,0)))+SUMPRODUCT((Inputs!$C$5:$C$110=$B16)*Inputs!$D$5:$D$110*(((Inputs!$G$5:$G$110="moeda")+(Inputs!$G$5:$G$110="acoes"))*Inputs!$B$1+((Inputs!$G$5:$G$110&lt;&gt;"moeda")*(Inputs!$G$5:$G$110&lt;&gt;"acoes")))*INDEX(Inputs!$K$5:$AJ$110,0,MATCH(AI$2,Inputs!$K$4:$AJ$4,0)))+SUMPRODUCT((Inputs!$E$5:$E$110=$B16)*Inputs!$F$5:$F$110*(((Inputs!$G$5:$G$110="moeda")+(Inputs!$G$5:$G$110="acoes"))*Inputs!$B$1+((Inputs!$G$5:$G$110&lt;&gt;"moeda")*(Inputs!$G$5:$G$110&lt;&gt;"acoes")))*INDEX(Inputs!$K$5:$AJ$110,0,MATCH(AI$2,Inputs!$K$4:$AJ$4,0)))))</f>
        <v>5111</v>
      </c>
      <c r="AJ16" s="267">
        <f>IF(ISNA(MATCH(AJ$2,Inputs!$K$4:$AJ$4,0)),NA(),IF(SUMPRODUCT((Inputs!$A$5:$A$110=$B16)*ISNUMBER(INDEX(Inputs!$K$5:$AJ$110,0,MATCH(AJ$2,Inputs!$K$4:$AJ$4,0))))+SUMPRODUCT((Inputs!$C$5:$C$110=$B16)*ISNUMBER(INDEX(Inputs!$K$5:$AJ$110,0,MATCH(AJ$2,Inputs!$K$4:$AJ$4,0))))+SUMPRODUCT((Inputs!$E$5:$E$110=$B16)*ISNUMBER(INDEX(Inputs!$K$5:$AJ$110,0,MATCH(AJ$2,Inputs!$K$4:$AJ$4,0))))=0,NA(),SUMPRODUCT((Inputs!$A$5:$A$110=$B16)*Inputs!$B$5:$B$110*(((Inputs!$G$5:$G$110="moeda")+(Inputs!$G$5:$G$110="acoes"))*Inputs!$B$1+((Inputs!$G$5:$G$110&lt;&gt;"moeda")*(Inputs!$G$5:$G$110&lt;&gt;"acoes")))*INDEX(Inputs!$K$5:$AJ$110,0,MATCH(AJ$2,Inputs!$K$4:$AJ$4,0)))+SUMPRODUCT((Inputs!$C$5:$C$110=$B16)*Inputs!$D$5:$D$110*(((Inputs!$G$5:$G$110="moeda")+(Inputs!$G$5:$G$110="acoes"))*Inputs!$B$1+((Inputs!$G$5:$G$110&lt;&gt;"moeda")*(Inputs!$G$5:$G$110&lt;&gt;"acoes")))*INDEX(Inputs!$K$5:$AJ$110,0,MATCH(AJ$2,Inputs!$K$4:$AJ$4,0)))+SUMPRODUCT((Inputs!$E$5:$E$110=$B16)*Inputs!$F$5:$F$110*(((Inputs!$G$5:$G$110="moeda")+(Inputs!$G$5:$G$110="acoes"))*Inputs!$B$1+((Inputs!$G$5:$G$110&lt;&gt;"moeda")*(Inputs!$G$5:$G$110&lt;&gt;"acoes")))*INDEX(Inputs!$K$5:$AJ$110,0,MATCH(AJ$2,Inputs!$K$4:$AJ$4,0)))))</f>
        <v>5770</v>
      </c>
      <c r="AK16" s="267">
        <f>IF(ISNA(MATCH(AK$2,Inputs!$K$4:$AJ$4,0)),NA(),IF(SUMPRODUCT((Inputs!$A$5:$A$110=$B16)*ISNUMBER(INDEX(Inputs!$K$5:$AJ$110,0,MATCH(AK$2,Inputs!$K$4:$AJ$4,0))))+SUMPRODUCT((Inputs!$C$5:$C$110=$B16)*ISNUMBER(INDEX(Inputs!$K$5:$AJ$110,0,MATCH(AK$2,Inputs!$K$4:$AJ$4,0))))+SUMPRODUCT((Inputs!$E$5:$E$110=$B16)*ISNUMBER(INDEX(Inputs!$K$5:$AJ$110,0,MATCH(AK$2,Inputs!$K$4:$AJ$4,0))))=0,NA(),SUMPRODUCT((Inputs!$A$5:$A$110=$B16)*Inputs!$B$5:$B$110*(((Inputs!$G$5:$G$110="moeda")+(Inputs!$G$5:$G$110="acoes"))*Inputs!$B$1+((Inputs!$G$5:$G$110&lt;&gt;"moeda")*(Inputs!$G$5:$G$110&lt;&gt;"acoes")))*INDEX(Inputs!$K$5:$AJ$110,0,MATCH(AK$2,Inputs!$K$4:$AJ$4,0)))+SUMPRODUCT((Inputs!$C$5:$C$110=$B16)*Inputs!$D$5:$D$110*(((Inputs!$G$5:$G$110="moeda")+(Inputs!$G$5:$G$110="acoes"))*Inputs!$B$1+((Inputs!$G$5:$G$110&lt;&gt;"moeda")*(Inputs!$G$5:$G$110&lt;&gt;"acoes")))*INDEX(Inputs!$K$5:$AJ$110,0,MATCH(AK$2,Inputs!$K$4:$AJ$4,0)))+SUMPRODUCT((Inputs!$E$5:$E$110=$B16)*Inputs!$F$5:$F$110*(((Inputs!$G$5:$G$110="moeda")+(Inputs!$G$5:$G$110="acoes"))*Inputs!$B$1+((Inputs!$G$5:$G$110&lt;&gt;"moeda")*(Inputs!$G$5:$G$110&lt;&gt;"acoes")))*INDEX(Inputs!$K$5:$AJ$110,0,MATCH(AK$2,Inputs!$K$4:$AJ$4,0)))))</f>
        <v>6516</v>
      </c>
      <c r="AL16" s="268">
        <f>AK16</f>
        <v>6516</v>
      </c>
    </row>
    <row r="17" ht="12.75" customHeight="1" s="255">
      <c r="B17" s="265" t="n">
        <v>13</v>
      </c>
      <c r="C17" s="270" t="inlineStr">
        <is>
          <t>Inventories</t>
        </is>
      </c>
      <c r="D17" s="267">
        <f>IF(ISNA(MATCH(D$2,Inputs!$K$4:$AJ$4,0)),NA(),IF(SUMPRODUCT((Inputs!$A$5:$A$110=$B17)*ISNUMBER(INDEX(Inputs!$K$5:$AJ$110,0,MATCH(D$2,Inputs!$K$4:$AJ$4,0))))+SUMPRODUCT((Inputs!$C$5:$C$110=$B17)*ISNUMBER(INDEX(Inputs!$K$5:$AJ$110,0,MATCH(D$2,Inputs!$K$4:$AJ$4,0))))+SUMPRODUCT((Inputs!$E$5:$E$110=$B17)*ISNUMBER(INDEX(Inputs!$K$5:$AJ$110,0,MATCH(D$2,Inputs!$K$4:$AJ$4,0))))=0,NA(),SUMPRODUCT((Inputs!$A$5:$A$110=$B17)*Inputs!$B$5:$B$110*(((Inputs!$G$5:$G$110="moeda")+(Inputs!$G$5:$G$110="acoes"))*Inputs!$B$1+((Inputs!$G$5:$G$110&lt;&gt;"moeda")*(Inputs!$G$5:$G$110&lt;&gt;"acoes")))*INDEX(Inputs!$K$5:$AJ$110,0,MATCH(D$2,Inputs!$K$4:$AJ$4,0)))+SUMPRODUCT((Inputs!$C$5:$C$110=$B17)*Inputs!$D$5:$D$110*(((Inputs!$G$5:$G$110="moeda")+(Inputs!$G$5:$G$110="acoes"))*Inputs!$B$1+((Inputs!$G$5:$G$110&lt;&gt;"moeda")*(Inputs!$G$5:$G$110&lt;&gt;"acoes")))*INDEX(Inputs!$K$5:$AJ$110,0,MATCH(D$2,Inputs!$K$4:$AJ$4,0)))+SUMPRODUCT((Inputs!$E$5:$E$110=$B17)*Inputs!$F$5:$F$110*(((Inputs!$G$5:$G$110="moeda")+(Inputs!$G$5:$G$110="acoes"))*Inputs!$B$1+((Inputs!$G$5:$G$110&lt;&gt;"moeda")*(Inputs!$G$5:$G$110&lt;&gt;"acoes")))*INDEX(Inputs!$K$5:$AJ$110,0,MATCH(D$2,Inputs!$K$4:$AJ$4,0)))))</f>
        <v>46383</v>
      </c>
      <c r="E17" s="267">
        <f>IF(ISNA(MATCH(E$2,Inputs!$K$4:$AJ$4,0)),NA(),IF(SUMPRODUCT((Inputs!$A$5:$A$110=$B17)*ISNUMBER(INDEX(Inputs!$K$5:$AJ$110,0,MATCH(E$2,Inputs!$K$4:$AJ$4,0))))+SUMPRODUCT((Inputs!$C$5:$C$110=$B17)*ISNUMBER(INDEX(Inputs!$K$5:$AJ$110,0,MATCH(E$2,Inputs!$K$4:$AJ$4,0))))+SUMPRODUCT((Inputs!$E$5:$E$110=$B17)*ISNUMBER(INDEX(Inputs!$K$5:$AJ$110,0,MATCH(E$2,Inputs!$K$4:$AJ$4,0))))=0,NA(),SUMPRODUCT((Inputs!$A$5:$A$110=$B17)*Inputs!$B$5:$B$110*(((Inputs!$G$5:$G$110="moeda")+(Inputs!$G$5:$G$110="acoes"))*Inputs!$B$1+((Inputs!$G$5:$G$110&lt;&gt;"moeda")*(Inputs!$G$5:$G$110&lt;&gt;"acoes")))*INDEX(Inputs!$K$5:$AJ$110,0,MATCH(E$2,Inputs!$K$4:$AJ$4,0)))+SUMPRODUCT((Inputs!$C$5:$C$110=$B17)*Inputs!$D$5:$D$110*(((Inputs!$G$5:$G$110="moeda")+(Inputs!$G$5:$G$110="acoes"))*Inputs!$B$1+((Inputs!$G$5:$G$110&lt;&gt;"moeda")*(Inputs!$G$5:$G$110&lt;&gt;"acoes")))*INDEX(Inputs!$K$5:$AJ$110,0,MATCH(E$2,Inputs!$K$4:$AJ$4,0)))+SUMPRODUCT((Inputs!$E$5:$E$110=$B17)*Inputs!$F$5:$F$110*(((Inputs!$G$5:$G$110="moeda")+(Inputs!$G$5:$G$110="acoes"))*Inputs!$B$1+((Inputs!$G$5:$G$110&lt;&gt;"moeda")*(Inputs!$G$5:$G$110&lt;&gt;"acoes")))*INDEX(Inputs!$K$5:$AJ$110,0,MATCH(E$2,Inputs!$K$4:$AJ$4,0)))))</f>
        <v>47754</v>
      </c>
      <c r="F17" s="267">
        <f>IF(ISNA(MATCH(F$2,Inputs!$K$4:$AJ$4,0)),NA(),IF(SUMPRODUCT((Inputs!$A$5:$A$110=$B17)*ISNUMBER(INDEX(Inputs!$K$5:$AJ$110,0,MATCH(F$2,Inputs!$K$4:$AJ$4,0))))+SUMPRODUCT((Inputs!$C$5:$C$110=$B17)*ISNUMBER(INDEX(Inputs!$K$5:$AJ$110,0,MATCH(F$2,Inputs!$K$4:$AJ$4,0))))+SUMPRODUCT((Inputs!$E$5:$E$110=$B17)*ISNUMBER(INDEX(Inputs!$K$5:$AJ$110,0,MATCH(F$2,Inputs!$K$4:$AJ$4,0))))=0,NA(),SUMPRODUCT((Inputs!$A$5:$A$110=$B17)*Inputs!$B$5:$B$110*(((Inputs!$G$5:$G$110="moeda")+(Inputs!$G$5:$G$110="acoes"))*Inputs!$B$1+((Inputs!$G$5:$G$110&lt;&gt;"moeda")*(Inputs!$G$5:$G$110&lt;&gt;"acoes")))*INDEX(Inputs!$K$5:$AJ$110,0,MATCH(F$2,Inputs!$K$4:$AJ$4,0)))+SUMPRODUCT((Inputs!$C$5:$C$110=$B17)*Inputs!$D$5:$D$110*(((Inputs!$G$5:$G$110="moeda")+(Inputs!$G$5:$G$110="acoes"))*Inputs!$B$1+((Inputs!$G$5:$G$110&lt;&gt;"moeda")*(Inputs!$G$5:$G$110&lt;&gt;"acoes")))*INDEX(Inputs!$K$5:$AJ$110,0,MATCH(F$2,Inputs!$K$4:$AJ$4,0)))+SUMPRODUCT((Inputs!$E$5:$E$110=$B17)*Inputs!$F$5:$F$110*(((Inputs!$G$5:$G$110="moeda")+(Inputs!$G$5:$G$110="acoes"))*Inputs!$B$1+((Inputs!$G$5:$G$110&lt;&gt;"moeda")*(Inputs!$G$5:$G$110&lt;&gt;"acoes")))*INDEX(Inputs!$K$5:$AJ$110,0,MATCH(F$2,Inputs!$K$4:$AJ$4,0)))))</f>
        <v>57484</v>
      </c>
      <c r="G17" s="267">
        <f>IF(ISNA(MATCH(G$2,Inputs!$K$4:$AJ$4,0)),NA(),IF(SUMPRODUCT((Inputs!$A$5:$A$110=$B17)*ISNUMBER(INDEX(Inputs!$K$5:$AJ$110,0,MATCH(G$2,Inputs!$K$4:$AJ$4,0))))+SUMPRODUCT((Inputs!$C$5:$C$110=$B17)*ISNUMBER(INDEX(Inputs!$K$5:$AJ$110,0,MATCH(G$2,Inputs!$K$4:$AJ$4,0))))+SUMPRODUCT((Inputs!$E$5:$E$110=$B17)*ISNUMBER(INDEX(Inputs!$K$5:$AJ$110,0,MATCH(G$2,Inputs!$K$4:$AJ$4,0))))=0,NA(),SUMPRODUCT((Inputs!$A$5:$A$110=$B17)*Inputs!$B$5:$B$110*(((Inputs!$G$5:$G$110="moeda")+(Inputs!$G$5:$G$110="acoes"))*Inputs!$B$1+((Inputs!$G$5:$G$110&lt;&gt;"moeda")*(Inputs!$G$5:$G$110&lt;&gt;"acoes")))*INDEX(Inputs!$K$5:$AJ$110,0,MATCH(G$2,Inputs!$K$4:$AJ$4,0)))+SUMPRODUCT((Inputs!$C$5:$C$110=$B17)*Inputs!$D$5:$D$110*(((Inputs!$G$5:$G$110="moeda")+(Inputs!$G$5:$G$110="acoes"))*Inputs!$B$1+((Inputs!$G$5:$G$110&lt;&gt;"moeda")*(Inputs!$G$5:$G$110&lt;&gt;"acoes")))*INDEX(Inputs!$K$5:$AJ$110,0,MATCH(G$2,Inputs!$K$4:$AJ$4,0)))+SUMPRODUCT((Inputs!$E$5:$E$110=$B17)*Inputs!$F$5:$F$110*(((Inputs!$G$5:$G$110="moeda")+(Inputs!$G$5:$G$110="acoes"))*Inputs!$B$1+((Inputs!$G$5:$G$110&lt;&gt;"moeda")*(Inputs!$G$5:$G$110&lt;&gt;"acoes")))*INDEX(Inputs!$K$5:$AJ$110,0,MATCH(G$2,Inputs!$K$4:$AJ$4,0)))))</f>
        <v>56511</v>
      </c>
      <c r="H17" s="268">
        <f>G17</f>
        <v>56511</v>
      </c>
      <c r="I17" s="267">
        <f>IF(ISNA(MATCH(I$2,Inputs!$K$4:$AJ$4,0)),NA(),IF(SUMPRODUCT((Inputs!$A$5:$A$110=$B17)*ISNUMBER(INDEX(Inputs!$K$5:$AJ$110,0,MATCH(I$2,Inputs!$K$4:$AJ$4,0))))+SUMPRODUCT((Inputs!$C$5:$C$110=$B17)*ISNUMBER(INDEX(Inputs!$K$5:$AJ$110,0,MATCH(I$2,Inputs!$K$4:$AJ$4,0))))+SUMPRODUCT((Inputs!$E$5:$E$110=$B17)*ISNUMBER(INDEX(Inputs!$K$5:$AJ$110,0,MATCH(I$2,Inputs!$K$4:$AJ$4,0))))=0,NA(),SUMPRODUCT((Inputs!$A$5:$A$110=$B17)*Inputs!$B$5:$B$110*(((Inputs!$G$5:$G$110="moeda")+(Inputs!$G$5:$G$110="acoes"))*Inputs!$B$1+((Inputs!$G$5:$G$110&lt;&gt;"moeda")*(Inputs!$G$5:$G$110&lt;&gt;"acoes")))*INDEX(Inputs!$K$5:$AJ$110,0,MATCH(I$2,Inputs!$K$4:$AJ$4,0)))+SUMPRODUCT((Inputs!$C$5:$C$110=$B17)*Inputs!$D$5:$D$110*(((Inputs!$G$5:$G$110="moeda")+(Inputs!$G$5:$G$110="acoes"))*Inputs!$B$1+((Inputs!$G$5:$G$110&lt;&gt;"moeda")*(Inputs!$G$5:$G$110&lt;&gt;"acoes")))*INDEX(Inputs!$K$5:$AJ$110,0,MATCH(I$2,Inputs!$K$4:$AJ$4,0)))+SUMPRODUCT((Inputs!$E$5:$E$110=$B17)*Inputs!$F$5:$F$110*(((Inputs!$G$5:$G$110="moeda")+(Inputs!$G$5:$G$110="acoes"))*Inputs!$B$1+((Inputs!$G$5:$G$110&lt;&gt;"moeda")*(Inputs!$G$5:$G$110&lt;&gt;"acoes")))*INDEX(Inputs!$K$5:$AJ$110,0,MATCH(I$2,Inputs!$K$4:$AJ$4,0)))))</f>
        <v>61229</v>
      </c>
      <c r="J17" s="267">
        <f>IF(ISNA(MATCH(J$2,Inputs!$K$4:$AJ$4,0)),NA(),IF(SUMPRODUCT((Inputs!$A$5:$A$110=$B17)*ISNUMBER(INDEX(Inputs!$K$5:$AJ$110,0,MATCH(J$2,Inputs!$K$4:$AJ$4,0))))+SUMPRODUCT((Inputs!$C$5:$C$110=$B17)*ISNUMBER(INDEX(Inputs!$K$5:$AJ$110,0,MATCH(J$2,Inputs!$K$4:$AJ$4,0))))+SUMPRODUCT((Inputs!$E$5:$E$110=$B17)*ISNUMBER(INDEX(Inputs!$K$5:$AJ$110,0,MATCH(J$2,Inputs!$K$4:$AJ$4,0))))=0,NA(),SUMPRODUCT((Inputs!$A$5:$A$110=$B17)*Inputs!$B$5:$B$110*(((Inputs!$G$5:$G$110="moeda")+(Inputs!$G$5:$G$110="acoes"))*Inputs!$B$1+((Inputs!$G$5:$G$110&lt;&gt;"moeda")*(Inputs!$G$5:$G$110&lt;&gt;"acoes")))*INDEX(Inputs!$K$5:$AJ$110,0,MATCH(J$2,Inputs!$K$4:$AJ$4,0)))+SUMPRODUCT((Inputs!$C$5:$C$110=$B17)*Inputs!$D$5:$D$110*(((Inputs!$G$5:$G$110="moeda")+(Inputs!$G$5:$G$110="acoes"))*Inputs!$B$1+((Inputs!$G$5:$G$110&lt;&gt;"moeda")*(Inputs!$G$5:$G$110&lt;&gt;"acoes")))*INDEX(Inputs!$K$5:$AJ$110,0,MATCH(J$2,Inputs!$K$4:$AJ$4,0)))+SUMPRODUCT((Inputs!$E$5:$E$110=$B17)*Inputs!$F$5:$F$110*(((Inputs!$G$5:$G$110="moeda")+(Inputs!$G$5:$G$110="acoes"))*Inputs!$B$1+((Inputs!$G$5:$G$110&lt;&gt;"moeda")*(Inputs!$G$5:$G$110&lt;&gt;"acoes")))*INDEX(Inputs!$K$5:$AJ$110,0,MATCH(J$2,Inputs!$K$4:$AJ$4,0)))))</f>
        <v>59921</v>
      </c>
      <c r="K17" s="267">
        <f>IF(ISNA(MATCH(K$2,Inputs!$K$4:$AJ$4,0)),NA(),IF(SUMPRODUCT((Inputs!$A$5:$A$110=$B17)*ISNUMBER(INDEX(Inputs!$K$5:$AJ$110,0,MATCH(K$2,Inputs!$K$4:$AJ$4,0))))+SUMPRODUCT((Inputs!$C$5:$C$110=$B17)*ISNUMBER(INDEX(Inputs!$K$5:$AJ$110,0,MATCH(K$2,Inputs!$K$4:$AJ$4,0))))+SUMPRODUCT((Inputs!$E$5:$E$110=$B17)*ISNUMBER(INDEX(Inputs!$K$5:$AJ$110,0,MATCH(K$2,Inputs!$K$4:$AJ$4,0))))=0,NA(),SUMPRODUCT((Inputs!$A$5:$A$110=$B17)*Inputs!$B$5:$B$110*(((Inputs!$G$5:$G$110="moeda")+(Inputs!$G$5:$G$110="acoes"))*Inputs!$B$1+((Inputs!$G$5:$G$110&lt;&gt;"moeda")*(Inputs!$G$5:$G$110&lt;&gt;"acoes")))*INDEX(Inputs!$K$5:$AJ$110,0,MATCH(K$2,Inputs!$K$4:$AJ$4,0)))+SUMPRODUCT((Inputs!$C$5:$C$110=$B17)*Inputs!$D$5:$D$110*(((Inputs!$G$5:$G$110="moeda")+(Inputs!$G$5:$G$110="acoes"))*Inputs!$B$1+((Inputs!$G$5:$G$110&lt;&gt;"moeda")*(Inputs!$G$5:$G$110&lt;&gt;"acoes")))*INDEX(Inputs!$K$5:$AJ$110,0,MATCH(K$2,Inputs!$K$4:$AJ$4,0)))+SUMPRODUCT((Inputs!$E$5:$E$110=$B17)*Inputs!$F$5:$F$110*(((Inputs!$G$5:$G$110="moeda")+(Inputs!$G$5:$G$110="acoes"))*Inputs!$B$1+((Inputs!$G$5:$G$110&lt;&gt;"moeda")*(Inputs!$G$5:$G$110&lt;&gt;"acoes")))*INDEX(Inputs!$K$5:$AJ$110,0,MATCH(K$2,Inputs!$K$4:$AJ$4,0)))))</f>
        <v>64706</v>
      </c>
      <c r="L17" s="267">
        <f>IF(ISNA(MATCH(L$2,Inputs!$K$4:$AJ$4,0)),NA(),IF(SUMPRODUCT((Inputs!$A$5:$A$110=$B17)*ISNUMBER(INDEX(Inputs!$K$5:$AJ$110,0,MATCH(L$2,Inputs!$K$4:$AJ$4,0))))+SUMPRODUCT((Inputs!$C$5:$C$110=$B17)*ISNUMBER(INDEX(Inputs!$K$5:$AJ$110,0,MATCH(L$2,Inputs!$K$4:$AJ$4,0))))+SUMPRODUCT((Inputs!$E$5:$E$110=$B17)*ISNUMBER(INDEX(Inputs!$K$5:$AJ$110,0,MATCH(L$2,Inputs!$K$4:$AJ$4,0))))=0,NA(),SUMPRODUCT((Inputs!$A$5:$A$110=$B17)*Inputs!$B$5:$B$110*(((Inputs!$G$5:$G$110="moeda")+(Inputs!$G$5:$G$110="acoes"))*Inputs!$B$1+((Inputs!$G$5:$G$110&lt;&gt;"moeda")*(Inputs!$G$5:$G$110&lt;&gt;"acoes")))*INDEX(Inputs!$K$5:$AJ$110,0,MATCH(L$2,Inputs!$K$4:$AJ$4,0)))+SUMPRODUCT((Inputs!$C$5:$C$110=$B17)*Inputs!$D$5:$D$110*(((Inputs!$G$5:$G$110="moeda")+(Inputs!$G$5:$G$110="acoes"))*Inputs!$B$1+((Inputs!$G$5:$G$110&lt;&gt;"moeda")*(Inputs!$G$5:$G$110&lt;&gt;"acoes")))*INDEX(Inputs!$K$5:$AJ$110,0,MATCH(L$2,Inputs!$K$4:$AJ$4,0)))+SUMPRODUCT((Inputs!$E$5:$E$110=$B17)*Inputs!$F$5:$F$110*(((Inputs!$G$5:$G$110="moeda")+(Inputs!$G$5:$G$110="acoes"))*Inputs!$B$1+((Inputs!$G$5:$G$110&lt;&gt;"moeda")*(Inputs!$G$5:$G$110&lt;&gt;"acoes")))*INDEX(Inputs!$K$5:$AJ$110,0,MATCH(L$2,Inputs!$K$4:$AJ$4,0)))))</f>
        <v>56576</v>
      </c>
      <c r="M17" s="268">
        <f>L17</f>
        <v>56576</v>
      </c>
      <c r="N17" s="267">
        <f>IF(ISNA(MATCH(N$2,Inputs!$K$4:$AJ$4,0)),NA(),IF(SUMPRODUCT((Inputs!$A$5:$A$110=$B17)*ISNUMBER(INDEX(Inputs!$K$5:$AJ$110,0,MATCH(N$2,Inputs!$K$4:$AJ$4,0))))+SUMPRODUCT((Inputs!$C$5:$C$110=$B17)*ISNUMBER(INDEX(Inputs!$K$5:$AJ$110,0,MATCH(N$2,Inputs!$K$4:$AJ$4,0))))+SUMPRODUCT((Inputs!$E$5:$E$110=$B17)*ISNUMBER(INDEX(Inputs!$K$5:$AJ$110,0,MATCH(N$2,Inputs!$K$4:$AJ$4,0))))=0,NA(),SUMPRODUCT((Inputs!$A$5:$A$110=$B17)*Inputs!$B$5:$B$110*(((Inputs!$G$5:$G$110="moeda")+(Inputs!$G$5:$G$110="acoes"))*Inputs!$B$1+((Inputs!$G$5:$G$110&lt;&gt;"moeda")*(Inputs!$G$5:$G$110&lt;&gt;"acoes")))*INDEX(Inputs!$K$5:$AJ$110,0,MATCH(N$2,Inputs!$K$4:$AJ$4,0)))+SUMPRODUCT((Inputs!$C$5:$C$110=$B17)*Inputs!$D$5:$D$110*(((Inputs!$G$5:$G$110="moeda")+(Inputs!$G$5:$G$110="acoes"))*Inputs!$B$1+((Inputs!$G$5:$G$110&lt;&gt;"moeda")*(Inputs!$G$5:$G$110&lt;&gt;"acoes")))*INDEX(Inputs!$K$5:$AJ$110,0,MATCH(N$2,Inputs!$K$4:$AJ$4,0)))+SUMPRODUCT((Inputs!$E$5:$E$110=$B17)*Inputs!$F$5:$F$110*(((Inputs!$G$5:$G$110="moeda")+(Inputs!$G$5:$G$110="acoes"))*Inputs!$B$1+((Inputs!$G$5:$G$110&lt;&gt;"moeda")*(Inputs!$G$5:$G$110&lt;&gt;"acoes")))*INDEX(Inputs!$K$5:$AJ$110,0,MATCH(N$2,Inputs!$K$4:$AJ$4,0)))))</f>
        <v>56932</v>
      </c>
      <c r="O17" s="267">
        <f>IF(ISNA(MATCH(O$2,Inputs!$K$4:$AJ$4,0)),NA(),IF(SUMPRODUCT((Inputs!$A$5:$A$110=$B17)*ISNUMBER(INDEX(Inputs!$K$5:$AJ$110,0,MATCH(O$2,Inputs!$K$4:$AJ$4,0))))+SUMPRODUCT((Inputs!$C$5:$C$110=$B17)*ISNUMBER(INDEX(Inputs!$K$5:$AJ$110,0,MATCH(O$2,Inputs!$K$4:$AJ$4,0))))+SUMPRODUCT((Inputs!$E$5:$E$110=$B17)*ISNUMBER(INDEX(Inputs!$K$5:$AJ$110,0,MATCH(O$2,Inputs!$K$4:$AJ$4,0))))=0,NA(),SUMPRODUCT((Inputs!$A$5:$A$110=$B17)*Inputs!$B$5:$B$110*(((Inputs!$G$5:$G$110="moeda")+(Inputs!$G$5:$G$110="acoes"))*Inputs!$B$1+((Inputs!$G$5:$G$110&lt;&gt;"moeda")*(Inputs!$G$5:$G$110&lt;&gt;"acoes")))*INDEX(Inputs!$K$5:$AJ$110,0,MATCH(O$2,Inputs!$K$4:$AJ$4,0)))+SUMPRODUCT((Inputs!$C$5:$C$110=$B17)*Inputs!$D$5:$D$110*(((Inputs!$G$5:$G$110="moeda")+(Inputs!$G$5:$G$110="acoes"))*Inputs!$B$1+((Inputs!$G$5:$G$110&lt;&gt;"moeda")*(Inputs!$G$5:$G$110&lt;&gt;"acoes")))*INDEX(Inputs!$K$5:$AJ$110,0,MATCH(O$2,Inputs!$K$4:$AJ$4,0)))+SUMPRODUCT((Inputs!$E$5:$E$110=$B17)*Inputs!$F$5:$F$110*(((Inputs!$G$5:$G$110="moeda")+(Inputs!$G$5:$G$110="acoes"))*Inputs!$B$1+((Inputs!$G$5:$G$110&lt;&gt;"moeda")*(Inputs!$G$5:$G$110&lt;&gt;"acoes")))*INDEX(Inputs!$K$5:$AJ$110,0,MATCH(O$2,Inputs!$K$4:$AJ$4,0)))))</f>
        <v>56722</v>
      </c>
      <c r="P17" s="267">
        <f>IF(ISNA(MATCH(P$2,Inputs!$K$4:$AJ$4,0)),NA(),IF(SUMPRODUCT((Inputs!$A$5:$A$110=$B17)*ISNUMBER(INDEX(Inputs!$K$5:$AJ$110,0,MATCH(P$2,Inputs!$K$4:$AJ$4,0))))+SUMPRODUCT((Inputs!$C$5:$C$110=$B17)*ISNUMBER(INDEX(Inputs!$K$5:$AJ$110,0,MATCH(P$2,Inputs!$K$4:$AJ$4,0))))+SUMPRODUCT((Inputs!$E$5:$E$110=$B17)*ISNUMBER(INDEX(Inputs!$K$5:$AJ$110,0,MATCH(P$2,Inputs!$K$4:$AJ$4,0))))=0,NA(),SUMPRODUCT((Inputs!$A$5:$A$110=$B17)*Inputs!$B$5:$B$110*(((Inputs!$G$5:$G$110="moeda")+(Inputs!$G$5:$G$110="acoes"))*Inputs!$B$1+((Inputs!$G$5:$G$110&lt;&gt;"moeda")*(Inputs!$G$5:$G$110&lt;&gt;"acoes")))*INDEX(Inputs!$K$5:$AJ$110,0,MATCH(P$2,Inputs!$K$4:$AJ$4,0)))+SUMPRODUCT((Inputs!$C$5:$C$110=$B17)*Inputs!$D$5:$D$110*(((Inputs!$G$5:$G$110="moeda")+(Inputs!$G$5:$G$110="acoes"))*Inputs!$B$1+((Inputs!$G$5:$G$110&lt;&gt;"moeda")*(Inputs!$G$5:$G$110&lt;&gt;"acoes")))*INDEX(Inputs!$K$5:$AJ$110,0,MATCH(P$2,Inputs!$K$4:$AJ$4,0)))+SUMPRODUCT((Inputs!$E$5:$E$110=$B17)*Inputs!$F$5:$F$110*(((Inputs!$G$5:$G$110="moeda")+(Inputs!$G$5:$G$110="acoes"))*Inputs!$B$1+((Inputs!$G$5:$G$110&lt;&gt;"moeda")*(Inputs!$G$5:$G$110&lt;&gt;"acoes")))*INDEX(Inputs!$K$5:$AJ$110,0,MATCH(P$2,Inputs!$K$4:$AJ$4,0)))))</f>
        <v>63951</v>
      </c>
      <c r="Q17" s="267">
        <f>IF(ISNA(MATCH(Q$2,Inputs!$K$4:$AJ$4,0)),NA(),IF(SUMPRODUCT((Inputs!$A$5:$A$110=$B17)*ISNUMBER(INDEX(Inputs!$K$5:$AJ$110,0,MATCH(Q$2,Inputs!$K$4:$AJ$4,0))))+SUMPRODUCT((Inputs!$C$5:$C$110=$B17)*ISNUMBER(INDEX(Inputs!$K$5:$AJ$110,0,MATCH(Q$2,Inputs!$K$4:$AJ$4,0))))+SUMPRODUCT((Inputs!$E$5:$E$110=$B17)*ISNUMBER(INDEX(Inputs!$K$5:$AJ$110,0,MATCH(Q$2,Inputs!$K$4:$AJ$4,0))))=0,NA(),SUMPRODUCT((Inputs!$A$5:$A$110=$B17)*Inputs!$B$5:$B$110*(((Inputs!$G$5:$G$110="moeda")+(Inputs!$G$5:$G$110="acoes"))*Inputs!$B$1+((Inputs!$G$5:$G$110&lt;&gt;"moeda")*(Inputs!$G$5:$G$110&lt;&gt;"acoes")))*INDEX(Inputs!$K$5:$AJ$110,0,MATCH(Q$2,Inputs!$K$4:$AJ$4,0)))+SUMPRODUCT((Inputs!$C$5:$C$110=$B17)*Inputs!$D$5:$D$110*(((Inputs!$G$5:$G$110="moeda")+(Inputs!$G$5:$G$110="acoes"))*Inputs!$B$1+((Inputs!$G$5:$G$110&lt;&gt;"moeda")*(Inputs!$G$5:$G$110&lt;&gt;"acoes")))*INDEX(Inputs!$K$5:$AJ$110,0,MATCH(Q$2,Inputs!$K$4:$AJ$4,0)))+SUMPRODUCT((Inputs!$E$5:$E$110=$B17)*Inputs!$F$5:$F$110*(((Inputs!$G$5:$G$110="moeda")+(Inputs!$G$5:$G$110="acoes"))*Inputs!$B$1+((Inputs!$G$5:$G$110&lt;&gt;"moeda")*(Inputs!$G$5:$G$110&lt;&gt;"acoes")))*INDEX(Inputs!$K$5:$AJ$110,0,MATCH(Q$2,Inputs!$K$4:$AJ$4,0)))))</f>
        <v>54892</v>
      </c>
      <c r="R17" s="268">
        <f>Q17</f>
        <v>54892</v>
      </c>
      <c r="S17" s="267">
        <f>IF(ISNA(MATCH(S$2,Inputs!$K$4:$AJ$4,0)),NA(),IF(SUMPRODUCT((Inputs!$A$5:$A$110=$B17)*ISNUMBER(INDEX(Inputs!$K$5:$AJ$110,0,MATCH(S$2,Inputs!$K$4:$AJ$4,0))))+SUMPRODUCT((Inputs!$C$5:$C$110=$B17)*ISNUMBER(INDEX(Inputs!$K$5:$AJ$110,0,MATCH(S$2,Inputs!$K$4:$AJ$4,0))))+SUMPRODUCT((Inputs!$E$5:$E$110=$B17)*ISNUMBER(INDEX(Inputs!$K$5:$AJ$110,0,MATCH(S$2,Inputs!$K$4:$AJ$4,0))))=0,NA(),SUMPRODUCT((Inputs!$A$5:$A$110=$B17)*Inputs!$B$5:$B$110*(((Inputs!$G$5:$G$110="moeda")+(Inputs!$G$5:$G$110="acoes"))*Inputs!$B$1+((Inputs!$G$5:$G$110&lt;&gt;"moeda")*(Inputs!$G$5:$G$110&lt;&gt;"acoes")))*INDEX(Inputs!$K$5:$AJ$110,0,MATCH(S$2,Inputs!$K$4:$AJ$4,0)))+SUMPRODUCT((Inputs!$C$5:$C$110=$B17)*Inputs!$D$5:$D$110*(((Inputs!$G$5:$G$110="moeda")+(Inputs!$G$5:$G$110="acoes"))*Inputs!$B$1+((Inputs!$G$5:$G$110&lt;&gt;"moeda")*(Inputs!$G$5:$G$110&lt;&gt;"acoes")))*INDEX(Inputs!$K$5:$AJ$110,0,MATCH(S$2,Inputs!$K$4:$AJ$4,0)))+SUMPRODUCT((Inputs!$E$5:$E$110=$B17)*Inputs!$F$5:$F$110*(((Inputs!$G$5:$G$110="moeda")+(Inputs!$G$5:$G$110="acoes"))*Inputs!$B$1+((Inputs!$G$5:$G$110&lt;&gt;"moeda")*(Inputs!$G$5:$G$110&lt;&gt;"acoes")))*INDEX(Inputs!$K$5:$AJ$110,0,MATCH(S$2,Inputs!$K$4:$AJ$4,0)))))</f>
        <v>55382</v>
      </c>
      <c r="T17" s="267">
        <f>IF(ISNA(MATCH(T$2,Inputs!$K$4:$AJ$4,0)),NA(),IF(SUMPRODUCT((Inputs!$A$5:$A$110=$B17)*ISNUMBER(INDEX(Inputs!$K$5:$AJ$110,0,MATCH(T$2,Inputs!$K$4:$AJ$4,0))))+SUMPRODUCT((Inputs!$C$5:$C$110=$B17)*ISNUMBER(INDEX(Inputs!$K$5:$AJ$110,0,MATCH(T$2,Inputs!$K$4:$AJ$4,0))))+SUMPRODUCT((Inputs!$E$5:$E$110=$B17)*ISNUMBER(INDEX(Inputs!$K$5:$AJ$110,0,MATCH(T$2,Inputs!$K$4:$AJ$4,0))))=0,NA(),SUMPRODUCT((Inputs!$A$5:$A$110=$B17)*Inputs!$B$5:$B$110*(((Inputs!$G$5:$G$110="moeda")+(Inputs!$G$5:$G$110="acoes"))*Inputs!$B$1+((Inputs!$G$5:$G$110&lt;&gt;"moeda")*(Inputs!$G$5:$G$110&lt;&gt;"acoes")))*INDEX(Inputs!$K$5:$AJ$110,0,MATCH(T$2,Inputs!$K$4:$AJ$4,0)))+SUMPRODUCT((Inputs!$C$5:$C$110=$B17)*Inputs!$D$5:$D$110*(((Inputs!$G$5:$G$110="moeda")+(Inputs!$G$5:$G$110="acoes"))*Inputs!$B$1+((Inputs!$G$5:$G$110&lt;&gt;"moeda")*(Inputs!$G$5:$G$110&lt;&gt;"acoes")))*INDEX(Inputs!$K$5:$AJ$110,0,MATCH(T$2,Inputs!$K$4:$AJ$4,0)))+SUMPRODUCT((Inputs!$E$5:$E$110=$B17)*Inputs!$F$5:$F$110*(((Inputs!$G$5:$G$110="moeda")+(Inputs!$G$5:$G$110="acoes"))*Inputs!$B$1+((Inputs!$G$5:$G$110&lt;&gt;"moeda")*(Inputs!$G$5:$G$110&lt;&gt;"acoes")))*INDEX(Inputs!$K$5:$AJ$110,0,MATCH(T$2,Inputs!$K$4:$AJ$4,0)))))</f>
        <v>55611</v>
      </c>
      <c r="U17" s="267">
        <f>IF(ISNA(MATCH(U$2,Inputs!$K$4:$AJ$4,0)),NA(),IF(SUMPRODUCT((Inputs!$A$5:$A$110=$B17)*ISNUMBER(INDEX(Inputs!$K$5:$AJ$110,0,MATCH(U$2,Inputs!$K$4:$AJ$4,0))))+SUMPRODUCT((Inputs!$C$5:$C$110=$B17)*ISNUMBER(INDEX(Inputs!$K$5:$AJ$110,0,MATCH(U$2,Inputs!$K$4:$AJ$4,0))))+SUMPRODUCT((Inputs!$E$5:$E$110=$B17)*ISNUMBER(INDEX(Inputs!$K$5:$AJ$110,0,MATCH(U$2,Inputs!$K$4:$AJ$4,0))))=0,NA(),SUMPRODUCT((Inputs!$A$5:$A$110=$B17)*Inputs!$B$5:$B$110*(((Inputs!$G$5:$G$110="moeda")+(Inputs!$G$5:$G$110="acoes"))*Inputs!$B$1+((Inputs!$G$5:$G$110&lt;&gt;"moeda")*(Inputs!$G$5:$G$110&lt;&gt;"acoes")))*INDEX(Inputs!$K$5:$AJ$110,0,MATCH(U$2,Inputs!$K$4:$AJ$4,0)))+SUMPRODUCT((Inputs!$C$5:$C$110=$B17)*Inputs!$D$5:$D$110*(((Inputs!$G$5:$G$110="moeda")+(Inputs!$G$5:$G$110="acoes"))*Inputs!$B$1+((Inputs!$G$5:$G$110&lt;&gt;"moeda")*(Inputs!$G$5:$G$110&lt;&gt;"acoes")))*INDEX(Inputs!$K$5:$AJ$110,0,MATCH(U$2,Inputs!$K$4:$AJ$4,0)))+SUMPRODUCT((Inputs!$E$5:$E$110=$B17)*Inputs!$F$5:$F$110*(((Inputs!$G$5:$G$110="moeda")+(Inputs!$G$5:$G$110="acoes"))*Inputs!$B$1+((Inputs!$G$5:$G$110&lt;&gt;"moeda")*(Inputs!$G$5:$G$110&lt;&gt;"acoes")))*INDEX(Inputs!$K$5:$AJ$110,0,MATCH(U$2,Inputs!$K$4:$AJ$4,0)))))</f>
        <v>63302</v>
      </c>
      <c r="V17" s="267">
        <f>IF(ISNA(MATCH(V$2,Inputs!$K$4:$AJ$4,0)),NA(),IF(SUMPRODUCT((Inputs!$A$5:$A$110=$B17)*ISNUMBER(INDEX(Inputs!$K$5:$AJ$110,0,MATCH(V$2,Inputs!$K$4:$AJ$4,0))))+SUMPRODUCT((Inputs!$C$5:$C$110=$B17)*ISNUMBER(INDEX(Inputs!$K$5:$AJ$110,0,MATCH(V$2,Inputs!$K$4:$AJ$4,0))))+SUMPRODUCT((Inputs!$E$5:$E$110=$B17)*ISNUMBER(INDEX(Inputs!$K$5:$AJ$110,0,MATCH(V$2,Inputs!$K$4:$AJ$4,0))))=0,NA(),SUMPRODUCT((Inputs!$A$5:$A$110=$B17)*Inputs!$B$5:$B$110*(((Inputs!$G$5:$G$110="moeda")+(Inputs!$G$5:$G$110="acoes"))*Inputs!$B$1+((Inputs!$G$5:$G$110&lt;&gt;"moeda")*(Inputs!$G$5:$G$110&lt;&gt;"acoes")))*INDEX(Inputs!$K$5:$AJ$110,0,MATCH(V$2,Inputs!$K$4:$AJ$4,0)))+SUMPRODUCT((Inputs!$C$5:$C$110=$B17)*Inputs!$D$5:$D$110*(((Inputs!$G$5:$G$110="moeda")+(Inputs!$G$5:$G$110="acoes"))*Inputs!$B$1+((Inputs!$G$5:$G$110&lt;&gt;"moeda")*(Inputs!$G$5:$G$110&lt;&gt;"acoes")))*INDEX(Inputs!$K$5:$AJ$110,0,MATCH(V$2,Inputs!$K$4:$AJ$4,0)))+SUMPRODUCT((Inputs!$E$5:$E$110=$B17)*Inputs!$F$5:$F$110*(((Inputs!$G$5:$G$110="moeda")+(Inputs!$G$5:$G$110="acoes"))*Inputs!$B$1+((Inputs!$G$5:$G$110&lt;&gt;"moeda")*(Inputs!$G$5:$G$110&lt;&gt;"acoes")))*INDEX(Inputs!$K$5:$AJ$110,0,MATCH(V$2,Inputs!$K$4:$AJ$4,0)))))</f>
        <v>56435</v>
      </c>
      <c r="W17" s="268">
        <f>V17</f>
        <v>56435</v>
      </c>
      <c r="X17" s="267">
        <f>IF(ISNA(MATCH(X$2,Inputs!$K$4:$AJ$4,0)),NA(),IF(SUMPRODUCT((Inputs!$A$5:$A$110=$B17)*ISNUMBER(INDEX(Inputs!$K$5:$AJ$110,0,MATCH(X$2,Inputs!$K$4:$AJ$4,0))))+SUMPRODUCT((Inputs!$C$5:$C$110=$B17)*ISNUMBER(INDEX(Inputs!$K$5:$AJ$110,0,MATCH(X$2,Inputs!$K$4:$AJ$4,0))))+SUMPRODUCT((Inputs!$E$5:$E$110=$B17)*ISNUMBER(INDEX(Inputs!$K$5:$AJ$110,0,MATCH(X$2,Inputs!$K$4:$AJ$4,0))))=0,NA(),SUMPRODUCT((Inputs!$A$5:$A$110=$B17)*Inputs!$B$5:$B$110*(((Inputs!$G$5:$G$110="moeda")+(Inputs!$G$5:$G$110="acoes"))*Inputs!$B$1+((Inputs!$G$5:$G$110&lt;&gt;"moeda")*(Inputs!$G$5:$G$110&lt;&gt;"acoes")))*INDEX(Inputs!$K$5:$AJ$110,0,MATCH(X$2,Inputs!$K$4:$AJ$4,0)))+SUMPRODUCT((Inputs!$C$5:$C$110=$B17)*Inputs!$D$5:$D$110*(((Inputs!$G$5:$G$110="moeda")+(Inputs!$G$5:$G$110="acoes"))*Inputs!$B$1+((Inputs!$G$5:$G$110&lt;&gt;"moeda")*(Inputs!$G$5:$G$110&lt;&gt;"acoes")))*INDEX(Inputs!$K$5:$AJ$110,0,MATCH(X$2,Inputs!$K$4:$AJ$4,0)))+SUMPRODUCT((Inputs!$E$5:$E$110=$B17)*Inputs!$F$5:$F$110*(((Inputs!$G$5:$G$110="moeda")+(Inputs!$G$5:$G$110="acoes"))*Inputs!$B$1+((Inputs!$G$5:$G$110&lt;&gt;"moeda")*(Inputs!$G$5:$G$110&lt;&gt;"acoes")))*INDEX(Inputs!$K$5:$AJ$110,0,MATCH(X$2,Inputs!$K$4:$AJ$4,0)))))</f>
        <v>57467</v>
      </c>
      <c r="Y17" s="267">
        <f>IF(ISNA(MATCH(Y$2,Inputs!$K$4:$AJ$4,0)),NA(),IF(SUMPRODUCT((Inputs!$A$5:$A$110=$B17)*ISNUMBER(INDEX(Inputs!$K$5:$AJ$110,0,MATCH(Y$2,Inputs!$K$4:$AJ$4,0))))+SUMPRODUCT((Inputs!$C$5:$C$110=$B17)*ISNUMBER(INDEX(Inputs!$K$5:$AJ$110,0,MATCH(Y$2,Inputs!$K$4:$AJ$4,0))))+SUMPRODUCT((Inputs!$E$5:$E$110=$B17)*ISNUMBER(INDEX(Inputs!$K$5:$AJ$110,0,MATCH(Y$2,Inputs!$K$4:$AJ$4,0))))=0,NA(),SUMPRODUCT((Inputs!$A$5:$A$110=$B17)*Inputs!$B$5:$B$110*(((Inputs!$G$5:$G$110="moeda")+(Inputs!$G$5:$G$110="acoes"))*Inputs!$B$1+((Inputs!$G$5:$G$110&lt;&gt;"moeda")*(Inputs!$G$5:$G$110&lt;&gt;"acoes")))*INDEX(Inputs!$K$5:$AJ$110,0,MATCH(Y$2,Inputs!$K$4:$AJ$4,0)))+SUMPRODUCT((Inputs!$C$5:$C$110=$B17)*Inputs!$D$5:$D$110*(((Inputs!$G$5:$G$110="moeda")+(Inputs!$G$5:$G$110="acoes"))*Inputs!$B$1+((Inputs!$G$5:$G$110&lt;&gt;"moeda")*(Inputs!$G$5:$G$110&lt;&gt;"acoes")))*INDEX(Inputs!$K$5:$AJ$110,0,MATCH(Y$2,Inputs!$K$4:$AJ$4,0)))+SUMPRODUCT((Inputs!$E$5:$E$110=$B17)*Inputs!$F$5:$F$110*(((Inputs!$G$5:$G$110="moeda")+(Inputs!$G$5:$G$110="acoes"))*Inputs!$B$1+((Inputs!$G$5:$G$110&lt;&gt;"moeda")*(Inputs!$G$5:$G$110&lt;&gt;"acoes")))*INDEX(Inputs!$K$5:$AJ$110,0,MATCH(Y$2,Inputs!$K$4:$AJ$4,0)))))</f>
        <v>57729</v>
      </c>
      <c r="Z17" s="267">
        <f>IF(ISNA(MATCH(Z$2,Inputs!$K$4:$AJ$4,0)),NA(),IF(SUMPRODUCT((Inputs!$A$5:$A$110=$B17)*ISNUMBER(INDEX(Inputs!$K$5:$AJ$110,0,MATCH(Z$2,Inputs!$K$4:$AJ$4,0))))+SUMPRODUCT((Inputs!$C$5:$C$110=$B17)*ISNUMBER(INDEX(Inputs!$K$5:$AJ$110,0,MATCH(Z$2,Inputs!$K$4:$AJ$4,0))))+SUMPRODUCT((Inputs!$E$5:$E$110=$B17)*ISNUMBER(INDEX(Inputs!$K$5:$AJ$110,0,MATCH(Z$2,Inputs!$K$4:$AJ$4,0))))=0,NA(),SUMPRODUCT((Inputs!$A$5:$A$110=$B17)*Inputs!$B$5:$B$110*(((Inputs!$G$5:$G$110="moeda")+(Inputs!$G$5:$G$110="acoes"))*Inputs!$B$1+((Inputs!$G$5:$G$110&lt;&gt;"moeda")*(Inputs!$G$5:$G$110&lt;&gt;"acoes")))*INDEX(Inputs!$K$5:$AJ$110,0,MATCH(Z$2,Inputs!$K$4:$AJ$4,0)))+SUMPRODUCT((Inputs!$C$5:$C$110=$B17)*Inputs!$D$5:$D$110*(((Inputs!$G$5:$G$110="moeda")+(Inputs!$G$5:$G$110="acoes"))*Inputs!$B$1+((Inputs!$G$5:$G$110&lt;&gt;"moeda")*(Inputs!$G$5:$G$110&lt;&gt;"acoes")))*INDEX(Inputs!$K$5:$AJ$110,0,MATCH(Z$2,Inputs!$K$4:$AJ$4,0)))+SUMPRODUCT((Inputs!$E$5:$E$110=$B17)*Inputs!$F$5:$F$110*(((Inputs!$G$5:$G$110="moeda")+(Inputs!$G$5:$G$110="acoes"))*Inputs!$B$1+((Inputs!$G$5:$G$110&lt;&gt;"moeda")*(Inputs!$G$5:$G$110&lt;&gt;"acoes")))*INDEX(Inputs!$K$5:$AJ$110,0,MATCH(Z$2,Inputs!$K$4:$AJ$4,0)))))</f>
        <v>65354</v>
      </c>
      <c r="AA17" s="267">
        <f>IF(ISNA(MATCH(AA$2,Inputs!$K$4:$AJ$4,0)),NA(),IF(SUMPRODUCT((Inputs!$A$5:$A$110=$B17)*ISNUMBER(INDEX(Inputs!$K$5:$AJ$110,0,MATCH(AA$2,Inputs!$K$4:$AJ$4,0))))+SUMPRODUCT((Inputs!$C$5:$C$110=$B17)*ISNUMBER(INDEX(Inputs!$K$5:$AJ$110,0,MATCH(AA$2,Inputs!$K$4:$AJ$4,0))))+SUMPRODUCT((Inputs!$E$5:$E$110=$B17)*ISNUMBER(INDEX(Inputs!$K$5:$AJ$110,0,MATCH(AA$2,Inputs!$K$4:$AJ$4,0))))=0,NA(),SUMPRODUCT((Inputs!$A$5:$A$110=$B17)*Inputs!$B$5:$B$110*(((Inputs!$G$5:$G$110="moeda")+(Inputs!$G$5:$G$110="acoes"))*Inputs!$B$1+((Inputs!$G$5:$G$110&lt;&gt;"moeda")*(Inputs!$G$5:$G$110&lt;&gt;"acoes")))*INDEX(Inputs!$K$5:$AJ$110,0,MATCH(AA$2,Inputs!$K$4:$AJ$4,0)))+SUMPRODUCT((Inputs!$C$5:$C$110=$B17)*Inputs!$D$5:$D$110*(((Inputs!$G$5:$G$110="moeda")+(Inputs!$G$5:$G$110="acoes"))*Inputs!$B$1+((Inputs!$G$5:$G$110&lt;&gt;"moeda")*(Inputs!$G$5:$G$110&lt;&gt;"acoes")))*INDEX(Inputs!$K$5:$AJ$110,0,MATCH(AA$2,Inputs!$K$4:$AJ$4,0)))+SUMPRODUCT((Inputs!$E$5:$E$110=$B17)*Inputs!$F$5:$F$110*(((Inputs!$G$5:$G$110="moeda")+(Inputs!$G$5:$G$110="acoes"))*Inputs!$B$1+((Inputs!$G$5:$G$110&lt;&gt;"moeda")*(Inputs!$G$5:$G$110&lt;&gt;"acoes")))*INDEX(Inputs!$K$5:$AJ$110,0,MATCH(AA$2,Inputs!$K$4:$AJ$4,0)))))</f>
        <v>58851</v>
      </c>
      <c r="AB17" s="268">
        <f>AA17</f>
        <v>58851</v>
      </c>
      <c r="AC17" s="267">
        <f>IF(ISNA(MATCH(AC$2,Inputs!$K$4:$AJ$4,0)),NA(),IF(SUMPRODUCT((Inputs!$A$5:$A$110=$B17)*ISNUMBER(INDEX(Inputs!$K$5:$AJ$110,0,MATCH(AC$2,Inputs!$K$4:$AJ$4,0))))+SUMPRODUCT((Inputs!$C$5:$C$110=$B17)*ISNUMBER(INDEX(Inputs!$K$5:$AJ$110,0,MATCH(AC$2,Inputs!$K$4:$AJ$4,0))))+SUMPRODUCT((Inputs!$E$5:$E$110=$B17)*ISNUMBER(INDEX(Inputs!$K$5:$AJ$110,0,MATCH(AC$2,Inputs!$K$4:$AJ$4,0))))=0,NA(),SUMPRODUCT((Inputs!$A$5:$A$110=$B17)*Inputs!$B$5:$B$110*(((Inputs!$G$5:$G$110="moeda")+(Inputs!$G$5:$G$110="acoes"))*Inputs!$B$1+((Inputs!$G$5:$G$110&lt;&gt;"moeda")*(Inputs!$G$5:$G$110&lt;&gt;"acoes")))*INDEX(Inputs!$K$5:$AJ$110,0,MATCH(AC$2,Inputs!$K$4:$AJ$4,0)))+SUMPRODUCT((Inputs!$C$5:$C$110=$B17)*Inputs!$D$5:$D$110*(((Inputs!$G$5:$G$110="moeda")+(Inputs!$G$5:$G$110="acoes"))*Inputs!$B$1+((Inputs!$G$5:$G$110&lt;&gt;"moeda")*(Inputs!$G$5:$G$110&lt;&gt;"acoes")))*INDEX(Inputs!$K$5:$AJ$110,0,MATCH(AC$2,Inputs!$K$4:$AJ$4,0)))+SUMPRODUCT((Inputs!$E$5:$E$110=$B17)*Inputs!$F$5:$F$110*(((Inputs!$G$5:$G$110="moeda")+(Inputs!$G$5:$G$110="acoes"))*Inputs!$B$1+((Inputs!$G$5:$G$110&lt;&gt;"moeda")*(Inputs!$G$5:$G$110&lt;&gt;"acoes")))*INDEX(Inputs!$K$5:$AJ$110,0,MATCH(AC$2,Inputs!$K$4:$AJ$4,0)))))</f>
        <v>62570</v>
      </c>
      <c r="AD17" s="267">
        <f>IF(ISNA(MATCH(AD$2,Inputs!$K$4:$AJ$4,0)),NA(),IF(SUMPRODUCT((Inputs!$A$5:$A$110=$B17)*ISNUMBER(INDEX(Inputs!$K$5:$AJ$110,0,MATCH(AD$2,Inputs!$K$4:$AJ$4,0))))+SUMPRODUCT((Inputs!$C$5:$C$110=$B17)*ISNUMBER(INDEX(Inputs!$K$5:$AJ$110,0,MATCH(AD$2,Inputs!$K$4:$AJ$4,0))))+SUMPRODUCT((Inputs!$E$5:$E$110=$B17)*ISNUMBER(INDEX(Inputs!$K$5:$AJ$110,0,MATCH(AD$2,Inputs!$K$4:$AJ$4,0))))=0,NA(),SUMPRODUCT((Inputs!$A$5:$A$110=$B17)*Inputs!$B$5:$B$110*(((Inputs!$G$5:$G$110="moeda")+(Inputs!$G$5:$G$110="acoes"))*Inputs!$B$1+((Inputs!$G$5:$G$110&lt;&gt;"moeda")*(Inputs!$G$5:$G$110&lt;&gt;"acoes")))*INDEX(Inputs!$K$5:$AJ$110,0,MATCH(AD$2,Inputs!$K$4:$AJ$4,0)))+SUMPRODUCT((Inputs!$C$5:$C$110=$B17)*Inputs!$D$5:$D$110*(((Inputs!$G$5:$G$110="moeda")+(Inputs!$G$5:$G$110="acoes"))*Inputs!$B$1+((Inputs!$G$5:$G$110&lt;&gt;"moeda")*(Inputs!$G$5:$G$110&lt;&gt;"acoes")))*INDEX(Inputs!$K$5:$AJ$110,0,MATCH(AD$2,Inputs!$K$4:$AJ$4,0)))+SUMPRODUCT((Inputs!$E$5:$E$110=$B17)*Inputs!$F$5:$F$110*(((Inputs!$G$5:$G$110="moeda")+(Inputs!$G$5:$G$110="acoes"))*Inputs!$B$1+((Inputs!$G$5:$G$110&lt;&gt;"moeda")*(Inputs!$G$5:$G$110&lt;&gt;"acoes")))*INDEX(Inputs!$K$5:$AJ$110,0,MATCH(AD$2,Inputs!$K$4:$AJ$4,0)))))</f>
        <v>61600</v>
      </c>
      <c r="AE17" s="267" t="e">
        <f>IF(ISNA(MATCH(AE$2,Inputs!$K$4:$AJ$4,0)),NA(),IF(SUMPRODUCT((Inputs!$A$5:$A$110=$B17)*ISNUMBER(INDEX(Inputs!$K$5:$AJ$110,0,MATCH(AE$2,Inputs!$K$4:$AJ$4,0))))+SUMPRODUCT((Inputs!$C$5:$C$110=$B17)*ISNUMBER(INDEX(Inputs!$K$5:$AJ$110,0,MATCH(AE$2,Inputs!$K$4:$AJ$4,0))))+SUMPRODUCT((Inputs!$E$5:$E$110=$B17)*ISNUMBER(INDEX(Inputs!$K$5:$AJ$110,0,MATCH(AE$2,Inputs!$K$4:$AJ$4,0))))=0,NA(),SUMPRODUCT((Inputs!$A$5:$A$110=$B17)*Inputs!$B$5:$B$110*(((Inputs!$G$5:$G$110="moeda")+(Inputs!$G$5:$G$110="acoes"))*Inputs!$B$1+((Inputs!$G$5:$G$110&lt;&gt;"moeda")*(Inputs!$G$5:$G$110&lt;&gt;"acoes")))*INDEX(Inputs!$K$5:$AJ$110,0,MATCH(AE$2,Inputs!$K$4:$AJ$4,0)))+SUMPRODUCT((Inputs!$C$5:$C$110=$B17)*Inputs!$D$5:$D$110*(((Inputs!$G$5:$G$110="moeda")+(Inputs!$G$5:$G$110="acoes"))*Inputs!$B$1+((Inputs!$G$5:$G$110&lt;&gt;"moeda")*(Inputs!$G$5:$G$110&lt;&gt;"acoes")))*INDEX(Inputs!$K$5:$AJ$110,0,MATCH(AE$2,Inputs!$K$4:$AJ$4,0)))+SUMPRODUCT((Inputs!$E$5:$E$110=$B17)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7" s="267" t="e">
        <f>IF(ISNA(MATCH(AF$2,Inputs!$K$4:$AJ$4,0)),NA(),IF(SUMPRODUCT((Inputs!$A$5:$A$110=$B17)*ISNUMBER(INDEX(Inputs!$K$5:$AJ$110,0,MATCH(AF$2,Inputs!$K$4:$AJ$4,0))))+SUMPRODUCT((Inputs!$C$5:$C$110=$B17)*ISNUMBER(INDEX(Inputs!$K$5:$AJ$110,0,MATCH(AF$2,Inputs!$K$4:$AJ$4,0))))+SUMPRODUCT((Inputs!$E$5:$E$110=$B17)*ISNUMBER(INDEX(Inputs!$K$5:$AJ$110,0,MATCH(AF$2,Inputs!$K$4:$AJ$4,0))))=0,NA(),SUMPRODUCT((Inputs!$A$5:$A$110=$B17)*Inputs!$B$5:$B$110*(((Inputs!$G$5:$G$110="moeda")+(Inputs!$G$5:$G$110="acoes"))*Inputs!$B$1+((Inputs!$G$5:$G$110&lt;&gt;"moeda")*(Inputs!$G$5:$G$110&lt;&gt;"acoes")))*INDEX(Inputs!$K$5:$AJ$110,0,MATCH(AF$2,Inputs!$K$4:$AJ$4,0)))+SUMPRODUCT((Inputs!$C$5:$C$110=$B17)*Inputs!$D$5:$D$110*(((Inputs!$G$5:$G$110="moeda")+(Inputs!$G$5:$G$110="acoes"))*Inputs!$B$1+((Inputs!$G$5:$G$110&lt;&gt;"moeda")*(Inputs!$G$5:$G$110&lt;&gt;"acoes")))*INDEX(Inputs!$K$5:$AJ$110,0,MATCH(AF$2,Inputs!$K$4:$AJ$4,0)))+SUMPRODUCT((Inputs!$E$5:$E$110=$B17)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7" s="268" t="e">
        <f>AF17</f>
        <v>#N/A</v>
      </c>
      <c r="AH17" s="267">
        <f>IF(ISNA(MATCH(AH$2,Inputs!$K$4:$AJ$4,0)),NA(),IF(SUMPRODUCT((Inputs!$A$5:$A$110=$B17)*ISNUMBER(INDEX(Inputs!$K$5:$AJ$110,0,MATCH(AH$2,Inputs!$K$4:$AJ$4,0))))+SUMPRODUCT((Inputs!$C$5:$C$110=$B17)*ISNUMBER(INDEX(Inputs!$K$5:$AJ$110,0,MATCH(AH$2,Inputs!$K$4:$AJ$4,0))))+SUMPRODUCT((Inputs!$E$5:$E$110=$B17)*ISNUMBER(INDEX(Inputs!$K$5:$AJ$110,0,MATCH(AH$2,Inputs!$K$4:$AJ$4,0))))=0,NA(),SUMPRODUCT((Inputs!$A$5:$A$110=$B17)*Inputs!$B$5:$B$110*(((Inputs!$G$5:$G$110="moeda")+(Inputs!$G$5:$G$110="acoes"))*Inputs!$B$1+((Inputs!$G$5:$G$110&lt;&gt;"moeda")*(Inputs!$G$5:$G$110&lt;&gt;"acoes")))*INDEX(Inputs!$K$5:$AJ$110,0,MATCH(AH$2,Inputs!$K$4:$AJ$4,0)))+SUMPRODUCT((Inputs!$C$5:$C$110=$B17)*Inputs!$D$5:$D$110*(((Inputs!$G$5:$G$110="moeda")+(Inputs!$G$5:$G$110="acoes"))*Inputs!$B$1+((Inputs!$G$5:$G$110&lt;&gt;"moeda")*(Inputs!$G$5:$G$110&lt;&gt;"acoes")))*INDEX(Inputs!$K$5:$AJ$110,0,MATCH(AH$2,Inputs!$K$4:$AJ$4,0)))+SUMPRODUCT((Inputs!$E$5:$E$110=$B17)*Inputs!$F$5:$F$110*(((Inputs!$G$5:$G$110="moeda")+(Inputs!$G$5:$G$110="acoes"))*Inputs!$B$1+((Inputs!$G$5:$G$110&lt;&gt;"moeda")*(Inputs!$G$5:$G$110&lt;&gt;"acoes")))*INDEX(Inputs!$K$5:$AJ$110,0,MATCH(AH$2,Inputs!$K$4:$AJ$4,0)))))</f>
        <v>41217</v>
      </c>
      <c r="AI17" s="267">
        <f>IF(ISNA(MATCH(AI$2,Inputs!$K$4:$AJ$4,0)),NA(),IF(SUMPRODUCT((Inputs!$A$5:$A$110=$B17)*ISNUMBER(INDEX(Inputs!$K$5:$AJ$110,0,MATCH(AI$2,Inputs!$K$4:$AJ$4,0))))+SUMPRODUCT((Inputs!$C$5:$C$110=$B17)*ISNUMBER(INDEX(Inputs!$K$5:$AJ$110,0,MATCH(AI$2,Inputs!$K$4:$AJ$4,0))))+SUMPRODUCT((Inputs!$E$5:$E$110=$B17)*ISNUMBER(INDEX(Inputs!$K$5:$AJ$110,0,MATCH(AI$2,Inputs!$K$4:$AJ$4,0))))=0,NA(),SUMPRODUCT((Inputs!$A$5:$A$110=$B17)*Inputs!$B$5:$B$110*(((Inputs!$G$5:$G$110="moeda")+(Inputs!$G$5:$G$110="acoes"))*Inputs!$B$1+((Inputs!$G$5:$G$110&lt;&gt;"moeda")*(Inputs!$G$5:$G$110&lt;&gt;"acoes")))*INDEX(Inputs!$K$5:$AJ$110,0,MATCH(AI$2,Inputs!$K$4:$AJ$4,0)))+SUMPRODUCT((Inputs!$C$5:$C$110=$B17)*Inputs!$D$5:$D$110*(((Inputs!$G$5:$G$110="moeda")+(Inputs!$G$5:$G$110="acoes"))*Inputs!$B$1+((Inputs!$G$5:$G$110&lt;&gt;"moeda")*(Inputs!$G$5:$G$110&lt;&gt;"acoes")))*INDEX(Inputs!$K$5:$AJ$110,0,MATCH(AI$2,Inputs!$K$4:$AJ$4,0)))+SUMPRODUCT((Inputs!$E$5:$E$110=$B17)*Inputs!$F$5:$F$110*(((Inputs!$G$5:$G$110="moeda")+(Inputs!$G$5:$G$110="acoes"))*Inputs!$B$1+((Inputs!$G$5:$G$110&lt;&gt;"moeda")*(Inputs!$G$5:$G$110&lt;&gt;"acoes")))*INDEX(Inputs!$K$5:$AJ$110,0,MATCH(AI$2,Inputs!$K$4:$AJ$4,0)))))</f>
        <v>41084</v>
      </c>
      <c r="AJ17" s="267">
        <f>IF(ISNA(MATCH(AJ$2,Inputs!$K$4:$AJ$4,0)),NA(),IF(SUMPRODUCT((Inputs!$A$5:$A$110=$B17)*ISNUMBER(INDEX(Inputs!$K$5:$AJ$110,0,MATCH(AJ$2,Inputs!$K$4:$AJ$4,0))))+SUMPRODUCT((Inputs!$C$5:$C$110=$B17)*ISNUMBER(INDEX(Inputs!$K$5:$AJ$110,0,MATCH(AJ$2,Inputs!$K$4:$AJ$4,0))))+SUMPRODUCT((Inputs!$E$5:$E$110=$B17)*ISNUMBER(INDEX(Inputs!$K$5:$AJ$110,0,MATCH(AJ$2,Inputs!$K$4:$AJ$4,0))))=0,NA(),SUMPRODUCT((Inputs!$A$5:$A$110=$B17)*Inputs!$B$5:$B$110*(((Inputs!$G$5:$G$110="moeda")+(Inputs!$G$5:$G$110="acoes"))*Inputs!$B$1+((Inputs!$G$5:$G$110&lt;&gt;"moeda")*(Inputs!$G$5:$G$110&lt;&gt;"acoes")))*INDEX(Inputs!$K$5:$AJ$110,0,MATCH(AJ$2,Inputs!$K$4:$AJ$4,0)))+SUMPRODUCT((Inputs!$C$5:$C$110=$B17)*Inputs!$D$5:$D$110*(((Inputs!$G$5:$G$110="moeda")+(Inputs!$G$5:$G$110="acoes"))*Inputs!$B$1+((Inputs!$G$5:$G$110&lt;&gt;"moeda")*(Inputs!$G$5:$G$110&lt;&gt;"acoes")))*INDEX(Inputs!$K$5:$AJ$110,0,MATCH(AJ$2,Inputs!$K$4:$AJ$4,0)))+SUMPRODUCT((Inputs!$E$5:$E$110=$B17)*Inputs!$F$5:$F$110*(((Inputs!$G$5:$G$110="moeda")+(Inputs!$G$5:$G$110="acoes"))*Inputs!$B$1+((Inputs!$G$5:$G$110&lt;&gt;"moeda")*(Inputs!$G$5:$G$110&lt;&gt;"acoes")))*INDEX(Inputs!$K$5:$AJ$110,0,MATCH(AJ$2,Inputs!$K$4:$AJ$4,0)))))</f>
        <v>51842</v>
      </c>
      <c r="AK17" s="267">
        <f>IF(ISNA(MATCH(AK$2,Inputs!$K$4:$AJ$4,0)),NA(),IF(SUMPRODUCT((Inputs!$A$5:$A$110=$B17)*ISNUMBER(INDEX(Inputs!$K$5:$AJ$110,0,MATCH(AK$2,Inputs!$K$4:$AJ$4,0))))+SUMPRODUCT((Inputs!$C$5:$C$110=$B17)*ISNUMBER(INDEX(Inputs!$K$5:$AJ$110,0,MATCH(AK$2,Inputs!$K$4:$AJ$4,0))))+SUMPRODUCT((Inputs!$E$5:$E$110=$B17)*ISNUMBER(INDEX(Inputs!$K$5:$AJ$110,0,MATCH(AK$2,Inputs!$K$4:$AJ$4,0))))=0,NA(),SUMPRODUCT((Inputs!$A$5:$A$110=$B17)*Inputs!$B$5:$B$110*(((Inputs!$G$5:$G$110="moeda")+(Inputs!$G$5:$G$110="acoes"))*Inputs!$B$1+((Inputs!$G$5:$G$110&lt;&gt;"moeda")*(Inputs!$G$5:$G$110&lt;&gt;"acoes")))*INDEX(Inputs!$K$5:$AJ$110,0,MATCH(AK$2,Inputs!$K$4:$AJ$4,0)))+SUMPRODUCT((Inputs!$C$5:$C$110=$B17)*Inputs!$D$5:$D$110*(((Inputs!$G$5:$G$110="moeda")+(Inputs!$G$5:$G$110="acoes"))*Inputs!$B$1+((Inputs!$G$5:$G$110&lt;&gt;"moeda")*(Inputs!$G$5:$G$110&lt;&gt;"acoes")))*INDEX(Inputs!$K$5:$AJ$110,0,MATCH(AK$2,Inputs!$K$4:$AJ$4,0)))+SUMPRODUCT((Inputs!$E$5:$E$110=$B17)*Inputs!$F$5:$F$110*(((Inputs!$G$5:$G$110="moeda")+(Inputs!$G$5:$G$110="acoes"))*Inputs!$B$1+((Inputs!$G$5:$G$110&lt;&gt;"moeda")*(Inputs!$G$5:$G$110&lt;&gt;"acoes")))*INDEX(Inputs!$K$5:$AJ$110,0,MATCH(AK$2,Inputs!$K$4:$AJ$4,0)))))</f>
        <v>44949</v>
      </c>
      <c r="AL17" s="268">
        <f>AK17</f>
        <v>44949</v>
      </c>
    </row>
    <row r="18" ht="12.75" customHeight="1" s="255">
      <c r="B18" s="265" t="n">
        <v>14</v>
      </c>
      <c r="C18" s="270" t="inlineStr">
        <is>
          <t>Deferred income taxes</t>
        </is>
      </c>
      <c r="D18" s="267">
        <f>IF(ISNA(MATCH(D$2,Inputs!$K$4:$AJ$4,0)),NA(),IF(SUMPRODUCT((Inputs!$A$5:$A$110=$B18)*ISNUMBER(INDEX(Inputs!$K$5:$AJ$110,0,MATCH(D$2,Inputs!$K$4:$AJ$4,0))))+SUMPRODUCT((Inputs!$C$5:$C$110=$B18)*ISNUMBER(INDEX(Inputs!$K$5:$AJ$110,0,MATCH(D$2,Inputs!$K$4:$AJ$4,0))))+SUMPRODUCT((Inputs!$E$5:$E$110=$B18)*ISNUMBER(INDEX(Inputs!$K$5:$AJ$110,0,MATCH(D$2,Inputs!$K$4:$AJ$4,0))))=0,NA(),SUMPRODUCT((Inputs!$A$5:$A$110=$B18)*Inputs!$B$5:$B$110*(((Inputs!$G$5:$G$110="moeda")+(Inputs!$G$5:$G$110="acoes"))*Inputs!$B$1+((Inputs!$G$5:$G$110&lt;&gt;"moeda")*(Inputs!$G$5:$G$110&lt;&gt;"acoes")))*INDEX(Inputs!$K$5:$AJ$110,0,MATCH(D$2,Inputs!$K$4:$AJ$4,0)))+SUMPRODUCT((Inputs!$C$5:$C$110=$B18)*Inputs!$D$5:$D$110*(((Inputs!$G$5:$G$110="moeda")+(Inputs!$G$5:$G$110="acoes"))*Inputs!$B$1+((Inputs!$G$5:$G$110&lt;&gt;"moeda")*(Inputs!$G$5:$G$110&lt;&gt;"acoes")))*INDEX(Inputs!$K$5:$AJ$110,0,MATCH(D$2,Inputs!$K$4:$AJ$4,0)))+SUMPRODUCT((Inputs!$E$5:$E$110=$B18)*Inputs!$F$5:$F$110*(((Inputs!$G$5:$G$110="moeda")+(Inputs!$G$5:$G$110="acoes"))*Inputs!$B$1+((Inputs!$G$5:$G$110&lt;&gt;"moeda")*(Inputs!$G$5:$G$110&lt;&gt;"acoes")))*INDEX(Inputs!$K$5:$AJ$110,0,MATCH(D$2,Inputs!$K$4:$AJ$4,0)))))</f>
        <v>0</v>
      </c>
      <c r="E18" s="267">
        <f>IF(ISNA(MATCH(E$2,Inputs!$K$4:$AJ$4,0)),NA(),IF(SUMPRODUCT((Inputs!$A$5:$A$110=$B18)*ISNUMBER(INDEX(Inputs!$K$5:$AJ$110,0,MATCH(E$2,Inputs!$K$4:$AJ$4,0))))+SUMPRODUCT((Inputs!$C$5:$C$110=$B18)*ISNUMBER(INDEX(Inputs!$K$5:$AJ$110,0,MATCH(E$2,Inputs!$K$4:$AJ$4,0))))+SUMPRODUCT((Inputs!$E$5:$E$110=$B18)*ISNUMBER(INDEX(Inputs!$K$5:$AJ$110,0,MATCH(E$2,Inputs!$K$4:$AJ$4,0))))=0,NA(),SUMPRODUCT((Inputs!$A$5:$A$110=$B18)*Inputs!$B$5:$B$110*(((Inputs!$G$5:$G$110="moeda")+(Inputs!$G$5:$G$110="acoes"))*Inputs!$B$1+((Inputs!$G$5:$G$110&lt;&gt;"moeda")*(Inputs!$G$5:$G$110&lt;&gt;"acoes")))*INDEX(Inputs!$K$5:$AJ$110,0,MATCH(E$2,Inputs!$K$4:$AJ$4,0)))+SUMPRODUCT((Inputs!$C$5:$C$110=$B18)*Inputs!$D$5:$D$110*(((Inputs!$G$5:$G$110="moeda")+(Inputs!$G$5:$G$110="acoes"))*Inputs!$B$1+((Inputs!$G$5:$G$110&lt;&gt;"moeda")*(Inputs!$G$5:$G$110&lt;&gt;"acoes")))*INDEX(Inputs!$K$5:$AJ$110,0,MATCH(E$2,Inputs!$K$4:$AJ$4,0)))+SUMPRODUCT((Inputs!$E$5:$E$110=$B18)*Inputs!$F$5:$F$110*(((Inputs!$G$5:$G$110="moeda")+(Inputs!$G$5:$G$110="acoes"))*Inputs!$B$1+((Inputs!$G$5:$G$110&lt;&gt;"moeda")*(Inputs!$G$5:$G$110&lt;&gt;"acoes")))*INDEX(Inputs!$K$5:$AJ$110,0,MATCH(E$2,Inputs!$K$4:$AJ$4,0)))))</f>
        <v>0</v>
      </c>
      <c r="F18" s="267">
        <f>IF(ISNA(MATCH(F$2,Inputs!$K$4:$AJ$4,0)),NA(),IF(SUMPRODUCT((Inputs!$A$5:$A$110=$B18)*ISNUMBER(INDEX(Inputs!$K$5:$AJ$110,0,MATCH(F$2,Inputs!$K$4:$AJ$4,0))))+SUMPRODUCT((Inputs!$C$5:$C$110=$B18)*ISNUMBER(INDEX(Inputs!$K$5:$AJ$110,0,MATCH(F$2,Inputs!$K$4:$AJ$4,0))))+SUMPRODUCT((Inputs!$E$5:$E$110=$B18)*ISNUMBER(INDEX(Inputs!$K$5:$AJ$110,0,MATCH(F$2,Inputs!$K$4:$AJ$4,0))))=0,NA(),SUMPRODUCT((Inputs!$A$5:$A$110=$B18)*Inputs!$B$5:$B$110*(((Inputs!$G$5:$G$110="moeda")+(Inputs!$G$5:$G$110="acoes"))*Inputs!$B$1+((Inputs!$G$5:$G$110&lt;&gt;"moeda")*(Inputs!$G$5:$G$110&lt;&gt;"acoes")))*INDEX(Inputs!$K$5:$AJ$110,0,MATCH(F$2,Inputs!$K$4:$AJ$4,0)))+SUMPRODUCT((Inputs!$C$5:$C$110=$B18)*Inputs!$D$5:$D$110*(((Inputs!$G$5:$G$110="moeda")+(Inputs!$G$5:$G$110="acoes"))*Inputs!$B$1+((Inputs!$G$5:$G$110&lt;&gt;"moeda")*(Inputs!$G$5:$G$110&lt;&gt;"acoes")))*INDEX(Inputs!$K$5:$AJ$110,0,MATCH(F$2,Inputs!$K$4:$AJ$4,0)))+SUMPRODUCT((Inputs!$E$5:$E$110=$B18)*Inputs!$F$5:$F$110*(((Inputs!$G$5:$G$110="moeda")+(Inputs!$G$5:$G$110="acoes"))*Inputs!$B$1+((Inputs!$G$5:$G$110&lt;&gt;"moeda")*(Inputs!$G$5:$G$110&lt;&gt;"acoes")))*INDEX(Inputs!$K$5:$AJ$110,0,MATCH(F$2,Inputs!$K$4:$AJ$4,0)))))</f>
        <v>0</v>
      </c>
      <c r="G18" s="267">
        <f>IF(ISNA(MATCH(G$2,Inputs!$K$4:$AJ$4,0)),NA(),IF(SUMPRODUCT((Inputs!$A$5:$A$110=$B18)*ISNUMBER(INDEX(Inputs!$K$5:$AJ$110,0,MATCH(G$2,Inputs!$K$4:$AJ$4,0))))+SUMPRODUCT((Inputs!$C$5:$C$110=$B18)*ISNUMBER(INDEX(Inputs!$K$5:$AJ$110,0,MATCH(G$2,Inputs!$K$4:$AJ$4,0))))+SUMPRODUCT((Inputs!$E$5:$E$110=$B18)*ISNUMBER(INDEX(Inputs!$K$5:$AJ$110,0,MATCH(G$2,Inputs!$K$4:$AJ$4,0))))=0,NA(),SUMPRODUCT((Inputs!$A$5:$A$110=$B18)*Inputs!$B$5:$B$110*(((Inputs!$G$5:$G$110="moeda")+(Inputs!$G$5:$G$110="acoes"))*Inputs!$B$1+((Inputs!$G$5:$G$110&lt;&gt;"moeda")*(Inputs!$G$5:$G$110&lt;&gt;"acoes")))*INDEX(Inputs!$K$5:$AJ$110,0,MATCH(G$2,Inputs!$K$4:$AJ$4,0)))+SUMPRODUCT((Inputs!$C$5:$C$110=$B18)*Inputs!$D$5:$D$110*(((Inputs!$G$5:$G$110="moeda")+(Inputs!$G$5:$G$110="acoes"))*Inputs!$B$1+((Inputs!$G$5:$G$110&lt;&gt;"moeda")*(Inputs!$G$5:$G$110&lt;&gt;"acoes")))*INDEX(Inputs!$K$5:$AJ$110,0,MATCH(G$2,Inputs!$K$4:$AJ$4,0)))+SUMPRODUCT((Inputs!$E$5:$E$110=$B18)*Inputs!$F$5:$F$110*(((Inputs!$G$5:$G$110="moeda")+(Inputs!$G$5:$G$110="acoes"))*Inputs!$B$1+((Inputs!$G$5:$G$110&lt;&gt;"moeda")*(Inputs!$G$5:$G$110&lt;&gt;"acoes")))*INDEX(Inputs!$K$5:$AJ$110,0,MATCH(G$2,Inputs!$K$4:$AJ$4,0)))))</f>
        <v>0</v>
      </c>
      <c r="H18" s="268">
        <f>G18</f>
        <v>0</v>
      </c>
      <c r="I18" s="267">
        <f>IF(ISNA(MATCH(I$2,Inputs!$K$4:$AJ$4,0)),NA(),IF(SUMPRODUCT((Inputs!$A$5:$A$110=$B18)*ISNUMBER(INDEX(Inputs!$K$5:$AJ$110,0,MATCH(I$2,Inputs!$K$4:$AJ$4,0))))+SUMPRODUCT((Inputs!$C$5:$C$110=$B18)*ISNUMBER(INDEX(Inputs!$K$5:$AJ$110,0,MATCH(I$2,Inputs!$K$4:$AJ$4,0))))+SUMPRODUCT((Inputs!$E$5:$E$110=$B18)*ISNUMBER(INDEX(Inputs!$K$5:$AJ$110,0,MATCH(I$2,Inputs!$K$4:$AJ$4,0))))=0,NA(),SUMPRODUCT((Inputs!$A$5:$A$110=$B18)*Inputs!$B$5:$B$110*(((Inputs!$G$5:$G$110="moeda")+(Inputs!$G$5:$G$110="acoes"))*Inputs!$B$1+((Inputs!$G$5:$G$110&lt;&gt;"moeda")*(Inputs!$G$5:$G$110&lt;&gt;"acoes")))*INDEX(Inputs!$K$5:$AJ$110,0,MATCH(I$2,Inputs!$K$4:$AJ$4,0)))+SUMPRODUCT((Inputs!$C$5:$C$110=$B18)*Inputs!$D$5:$D$110*(((Inputs!$G$5:$G$110="moeda")+(Inputs!$G$5:$G$110="acoes"))*Inputs!$B$1+((Inputs!$G$5:$G$110&lt;&gt;"moeda")*(Inputs!$G$5:$G$110&lt;&gt;"acoes")))*INDEX(Inputs!$K$5:$AJ$110,0,MATCH(I$2,Inputs!$K$4:$AJ$4,0)))+SUMPRODUCT((Inputs!$E$5:$E$110=$B18)*Inputs!$F$5:$F$110*(((Inputs!$G$5:$G$110="moeda")+(Inputs!$G$5:$G$110="acoes"))*Inputs!$B$1+((Inputs!$G$5:$G$110&lt;&gt;"moeda")*(Inputs!$G$5:$G$110&lt;&gt;"acoes")))*INDEX(Inputs!$K$5:$AJ$110,0,MATCH(I$2,Inputs!$K$4:$AJ$4,0)))))</f>
        <v>0</v>
      </c>
      <c r="J18" s="267">
        <f>IF(ISNA(MATCH(J$2,Inputs!$K$4:$AJ$4,0)),NA(),IF(SUMPRODUCT((Inputs!$A$5:$A$110=$B18)*ISNUMBER(INDEX(Inputs!$K$5:$AJ$110,0,MATCH(J$2,Inputs!$K$4:$AJ$4,0))))+SUMPRODUCT((Inputs!$C$5:$C$110=$B18)*ISNUMBER(INDEX(Inputs!$K$5:$AJ$110,0,MATCH(J$2,Inputs!$K$4:$AJ$4,0))))+SUMPRODUCT((Inputs!$E$5:$E$110=$B18)*ISNUMBER(INDEX(Inputs!$K$5:$AJ$110,0,MATCH(J$2,Inputs!$K$4:$AJ$4,0))))=0,NA(),SUMPRODUCT((Inputs!$A$5:$A$110=$B18)*Inputs!$B$5:$B$110*(((Inputs!$G$5:$G$110="moeda")+(Inputs!$G$5:$G$110="acoes"))*Inputs!$B$1+((Inputs!$G$5:$G$110&lt;&gt;"moeda")*(Inputs!$G$5:$G$110&lt;&gt;"acoes")))*INDEX(Inputs!$K$5:$AJ$110,0,MATCH(J$2,Inputs!$K$4:$AJ$4,0)))+SUMPRODUCT((Inputs!$C$5:$C$110=$B18)*Inputs!$D$5:$D$110*(((Inputs!$G$5:$G$110="moeda")+(Inputs!$G$5:$G$110="acoes"))*Inputs!$B$1+((Inputs!$G$5:$G$110&lt;&gt;"moeda")*(Inputs!$G$5:$G$110&lt;&gt;"acoes")))*INDEX(Inputs!$K$5:$AJ$110,0,MATCH(J$2,Inputs!$K$4:$AJ$4,0)))+SUMPRODUCT((Inputs!$E$5:$E$110=$B18)*Inputs!$F$5:$F$110*(((Inputs!$G$5:$G$110="moeda")+(Inputs!$G$5:$G$110="acoes"))*Inputs!$B$1+((Inputs!$G$5:$G$110&lt;&gt;"moeda")*(Inputs!$G$5:$G$110&lt;&gt;"acoes")))*INDEX(Inputs!$K$5:$AJ$110,0,MATCH(J$2,Inputs!$K$4:$AJ$4,0)))))</f>
        <v>0</v>
      </c>
      <c r="K18" s="267">
        <f>IF(ISNA(MATCH(K$2,Inputs!$K$4:$AJ$4,0)),NA(),IF(SUMPRODUCT((Inputs!$A$5:$A$110=$B18)*ISNUMBER(INDEX(Inputs!$K$5:$AJ$110,0,MATCH(K$2,Inputs!$K$4:$AJ$4,0))))+SUMPRODUCT((Inputs!$C$5:$C$110=$B18)*ISNUMBER(INDEX(Inputs!$K$5:$AJ$110,0,MATCH(K$2,Inputs!$K$4:$AJ$4,0))))+SUMPRODUCT((Inputs!$E$5:$E$110=$B18)*ISNUMBER(INDEX(Inputs!$K$5:$AJ$110,0,MATCH(K$2,Inputs!$K$4:$AJ$4,0))))=0,NA(),SUMPRODUCT((Inputs!$A$5:$A$110=$B18)*Inputs!$B$5:$B$110*(((Inputs!$G$5:$G$110="moeda")+(Inputs!$G$5:$G$110="acoes"))*Inputs!$B$1+((Inputs!$G$5:$G$110&lt;&gt;"moeda")*(Inputs!$G$5:$G$110&lt;&gt;"acoes")))*INDEX(Inputs!$K$5:$AJ$110,0,MATCH(K$2,Inputs!$K$4:$AJ$4,0)))+SUMPRODUCT((Inputs!$C$5:$C$110=$B18)*Inputs!$D$5:$D$110*(((Inputs!$G$5:$G$110="moeda")+(Inputs!$G$5:$G$110="acoes"))*Inputs!$B$1+((Inputs!$G$5:$G$110&lt;&gt;"moeda")*(Inputs!$G$5:$G$110&lt;&gt;"acoes")))*INDEX(Inputs!$K$5:$AJ$110,0,MATCH(K$2,Inputs!$K$4:$AJ$4,0)))+SUMPRODUCT((Inputs!$E$5:$E$110=$B18)*Inputs!$F$5:$F$110*(((Inputs!$G$5:$G$110="moeda")+(Inputs!$G$5:$G$110="acoes"))*Inputs!$B$1+((Inputs!$G$5:$G$110&lt;&gt;"moeda")*(Inputs!$G$5:$G$110&lt;&gt;"acoes")))*INDEX(Inputs!$K$5:$AJ$110,0,MATCH(K$2,Inputs!$K$4:$AJ$4,0)))))</f>
        <v>0</v>
      </c>
      <c r="L18" s="267">
        <f>IF(ISNA(MATCH(L$2,Inputs!$K$4:$AJ$4,0)),NA(),IF(SUMPRODUCT((Inputs!$A$5:$A$110=$B18)*ISNUMBER(INDEX(Inputs!$K$5:$AJ$110,0,MATCH(L$2,Inputs!$K$4:$AJ$4,0))))+SUMPRODUCT((Inputs!$C$5:$C$110=$B18)*ISNUMBER(INDEX(Inputs!$K$5:$AJ$110,0,MATCH(L$2,Inputs!$K$4:$AJ$4,0))))+SUMPRODUCT((Inputs!$E$5:$E$110=$B18)*ISNUMBER(INDEX(Inputs!$K$5:$AJ$110,0,MATCH(L$2,Inputs!$K$4:$AJ$4,0))))=0,NA(),SUMPRODUCT((Inputs!$A$5:$A$110=$B18)*Inputs!$B$5:$B$110*(((Inputs!$G$5:$G$110="moeda")+(Inputs!$G$5:$G$110="acoes"))*Inputs!$B$1+((Inputs!$G$5:$G$110&lt;&gt;"moeda")*(Inputs!$G$5:$G$110&lt;&gt;"acoes")))*INDEX(Inputs!$K$5:$AJ$110,0,MATCH(L$2,Inputs!$K$4:$AJ$4,0)))+SUMPRODUCT((Inputs!$C$5:$C$110=$B18)*Inputs!$D$5:$D$110*(((Inputs!$G$5:$G$110="moeda")+(Inputs!$G$5:$G$110="acoes"))*Inputs!$B$1+((Inputs!$G$5:$G$110&lt;&gt;"moeda")*(Inputs!$G$5:$G$110&lt;&gt;"acoes")))*INDEX(Inputs!$K$5:$AJ$110,0,MATCH(L$2,Inputs!$K$4:$AJ$4,0)))+SUMPRODUCT((Inputs!$E$5:$E$110=$B18)*Inputs!$F$5:$F$110*(((Inputs!$G$5:$G$110="moeda")+(Inputs!$G$5:$G$110="acoes"))*Inputs!$B$1+((Inputs!$G$5:$G$110&lt;&gt;"moeda")*(Inputs!$G$5:$G$110&lt;&gt;"acoes")))*INDEX(Inputs!$K$5:$AJ$110,0,MATCH(L$2,Inputs!$K$4:$AJ$4,0)))))</f>
        <v>0</v>
      </c>
      <c r="M18" s="268">
        <f>L18</f>
        <v>0</v>
      </c>
      <c r="N18" s="267">
        <f>IF(ISNA(MATCH(N$2,Inputs!$K$4:$AJ$4,0)),NA(),IF(SUMPRODUCT((Inputs!$A$5:$A$110=$B18)*ISNUMBER(INDEX(Inputs!$K$5:$AJ$110,0,MATCH(N$2,Inputs!$K$4:$AJ$4,0))))+SUMPRODUCT((Inputs!$C$5:$C$110=$B18)*ISNUMBER(INDEX(Inputs!$K$5:$AJ$110,0,MATCH(N$2,Inputs!$K$4:$AJ$4,0))))+SUMPRODUCT((Inputs!$E$5:$E$110=$B18)*ISNUMBER(INDEX(Inputs!$K$5:$AJ$110,0,MATCH(N$2,Inputs!$K$4:$AJ$4,0))))=0,NA(),SUMPRODUCT((Inputs!$A$5:$A$110=$B18)*Inputs!$B$5:$B$110*(((Inputs!$G$5:$G$110="moeda")+(Inputs!$G$5:$G$110="acoes"))*Inputs!$B$1+((Inputs!$G$5:$G$110&lt;&gt;"moeda")*(Inputs!$G$5:$G$110&lt;&gt;"acoes")))*INDEX(Inputs!$K$5:$AJ$110,0,MATCH(N$2,Inputs!$K$4:$AJ$4,0)))+SUMPRODUCT((Inputs!$C$5:$C$110=$B18)*Inputs!$D$5:$D$110*(((Inputs!$G$5:$G$110="moeda")+(Inputs!$G$5:$G$110="acoes"))*Inputs!$B$1+((Inputs!$G$5:$G$110&lt;&gt;"moeda")*(Inputs!$G$5:$G$110&lt;&gt;"acoes")))*INDEX(Inputs!$K$5:$AJ$110,0,MATCH(N$2,Inputs!$K$4:$AJ$4,0)))+SUMPRODUCT((Inputs!$E$5:$E$110=$B18)*Inputs!$F$5:$F$110*(((Inputs!$G$5:$G$110="moeda")+(Inputs!$G$5:$G$110="acoes"))*Inputs!$B$1+((Inputs!$G$5:$G$110&lt;&gt;"moeda")*(Inputs!$G$5:$G$110&lt;&gt;"acoes")))*INDEX(Inputs!$K$5:$AJ$110,0,MATCH(N$2,Inputs!$K$4:$AJ$4,0)))))</f>
        <v>0</v>
      </c>
      <c r="O18" s="267">
        <f>IF(ISNA(MATCH(O$2,Inputs!$K$4:$AJ$4,0)),NA(),IF(SUMPRODUCT((Inputs!$A$5:$A$110=$B18)*ISNUMBER(INDEX(Inputs!$K$5:$AJ$110,0,MATCH(O$2,Inputs!$K$4:$AJ$4,0))))+SUMPRODUCT((Inputs!$C$5:$C$110=$B18)*ISNUMBER(INDEX(Inputs!$K$5:$AJ$110,0,MATCH(O$2,Inputs!$K$4:$AJ$4,0))))+SUMPRODUCT((Inputs!$E$5:$E$110=$B18)*ISNUMBER(INDEX(Inputs!$K$5:$AJ$110,0,MATCH(O$2,Inputs!$K$4:$AJ$4,0))))=0,NA(),SUMPRODUCT((Inputs!$A$5:$A$110=$B18)*Inputs!$B$5:$B$110*(((Inputs!$G$5:$G$110="moeda")+(Inputs!$G$5:$G$110="acoes"))*Inputs!$B$1+((Inputs!$G$5:$G$110&lt;&gt;"moeda")*(Inputs!$G$5:$G$110&lt;&gt;"acoes")))*INDEX(Inputs!$K$5:$AJ$110,0,MATCH(O$2,Inputs!$K$4:$AJ$4,0)))+SUMPRODUCT((Inputs!$C$5:$C$110=$B18)*Inputs!$D$5:$D$110*(((Inputs!$G$5:$G$110="moeda")+(Inputs!$G$5:$G$110="acoes"))*Inputs!$B$1+((Inputs!$G$5:$G$110&lt;&gt;"moeda")*(Inputs!$G$5:$G$110&lt;&gt;"acoes")))*INDEX(Inputs!$K$5:$AJ$110,0,MATCH(O$2,Inputs!$K$4:$AJ$4,0)))+SUMPRODUCT((Inputs!$E$5:$E$110=$B18)*Inputs!$F$5:$F$110*(((Inputs!$G$5:$G$110="moeda")+(Inputs!$G$5:$G$110="acoes"))*Inputs!$B$1+((Inputs!$G$5:$G$110&lt;&gt;"moeda")*(Inputs!$G$5:$G$110&lt;&gt;"acoes")))*INDEX(Inputs!$K$5:$AJ$110,0,MATCH(O$2,Inputs!$K$4:$AJ$4,0)))))</f>
        <v>0</v>
      </c>
      <c r="P18" s="267">
        <f>IF(ISNA(MATCH(P$2,Inputs!$K$4:$AJ$4,0)),NA(),IF(SUMPRODUCT((Inputs!$A$5:$A$110=$B18)*ISNUMBER(INDEX(Inputs!$K$5:$AJ$110,0,MATCH(P$2,Inputs!$K$4:$AJ$4,0))))+SUMPRODUCT((Inputs!$C$5:$C$110=$B18)*ISNUMBER(INDEX(Inputs!$K$5:$AJ$110,0,MATCH(P$2,Inputs!$K$4:$AJ$4,0))))+SUMPRODUCT((Inputs!$E$5:$E$110=$B18)*ISNUMBER(INDEX(Inputs!$K$5:$AJ$110,0,MATCH(P$2,Inputs!$K$4:$AJ$4,0))))=0,NA(),SUMPRODUCT((Inputs!$A$5:$A$110=$B18)*Inputs!$B$5:$B$110*(((Inputs!$G$5:$G$110="moeda")+(Inputs!$G$5:$G$110="acoes"))*Inputs!$B$1+((Inputs!$G$5:$G$110&lt;&gt;"moeda")*(Inputs!$G$5:$G$110&lt;&gt;"acoes")))*INDEX(Inputs!$K$5:$AJ$110,0,MATCH(P$2,Inputs!$K$4:$AJ$4,0)))+SUMPRODUCT((Inputs!$C$5:$C$110=$B18)*Inputs!$D$5:$D$110*(((Inputs!$G$5:$G$110="moeda")+(Inputs!$G$5:$G$110="acoes"))*Inputs!$B$1+((Inputs!$G$5:$G$110&lt;&gt;"moeda")*(Inputs!$G$5:$G$110&lt;&gt;"acoes")))*INDEX(Inputs!$K$5:$AJ$110,0,MATCH(P$2,Inputs!$K$4:$AJ$4,0)))+SUMPRODUCT((Inputs!$E$5:$E$110=$B18)*Inputs!$F$5:$F$110*(((Inputs!$G$5:$G$110="moeda")+(Inputs!$G$5:$G$110="acoes"))*Inputs!$B$1+((Inputs!$G$5:$G$110&lt;&gt;"moeda")*(Inputs!$G$5:$G$110&lt;&gt;"acoes")))*INDEX(Inputs!$K$5:$AJ$110,0,MATCH(P$2,Inputs!$K$4:$AJ$4,0)))))</f>
        <v>0</v>
      </c>
      <c r="Q18" s="267">
        <f>IF(ISNA(MATCH(Q$2,Inputs!$K$4:$AJ$4,0)),NA(),IF(SUMPRODUCT((Inputs!$A$5:$A$110=$B18)*ISNUMBER(INDEX(Inputs!$K$5:$AJ$110,0,MATCH(Q$2,Inputs!$K$4:$AJ$4,0))))+SUMPRODUCT((Inputs!$C$5:$C$110=$B18)*ISNUMBER(INDEX(Inputs!$K$5:$AJ$110,0,MATCH(Q$2,Inputs!$K$4:$AJ$4,0))))+SUMPRODUCT((Inputs!$E$5:$E$110=$B18)*ISNUMBER(INDEX(Inputs!$K$5:$AJ$110,0,MATCH(Q$2,Inputs!$K$4:$AJ$4,0))))=0,NA(),SUMPRODUCT((Inputs!$A$5:$A$110=$B18)*Inputs!$B$5:$B$110*(((Inputs!$G$5:$G$110="moeda")+(Inputs!$G$5:$G$110="acoes"))*Inputs!$B$1+((Inputs!$G$5:$G$110&lt;&gt;"moeda")*(Inputs!$G$5:$G$110&lt;&gt;"acoes")))*INDEX(Inputs!$K$5:$AJ$110,0,MATCH(Q$2,Inputs!$K$4:$AJ$4,0)))+SUMPRODUCT((Inputs!$C$5:$C$110=$B18)*Inputs!$D$5:$D$110*(((Inputs!$G$5:$G$110="moeda")+(Inputs!$G$5:$G$110="acoes"))*Inputs!$B$1+((Inputs!$G$5:$G$110&lt;&gt;"moeda")*(Inputs!$G$5:$G$110&lt;&gt;"acoes")))*INDEX(Inputs!$K$5:$AJ$110,0,MATCH(Q$2,Inputs!$K$4:$AJ$4,0)))+SUMPRODUCT((Inputs!$E$5:$E$110=$B18)*Inputs!$F$5:$F$110*(((Inputs!$G$5:$G$110="moeda")+(Inputs!$G$5:$G$110="acoes"))*Inputs!$B$1+((Inputs!$G$5:$G$110&lt;&gt;"moeda")*(Inputs!$G$5:$G$110&lt;&gt;"acoes")))*INDEX(Inputs!$K$5:$AJ$110,0,MATCH(Q$2,Inputs!$K$4:$AJ$4,0)))))</f>
        <v>0</v>
      </c>
      <c r="R18" s="268">
        <f>Q18</f>
        <v>0</v>
      </c>
      <c r="S18" s="267">
        <f>IF(ISNA(MATCH(S$2,Inputs!$K$4:$AJ$4,0)),NA(),IF(SUMPRODUCT((Inputs!$A$5:$A$110=$B18)*ISNUMBER(INDEX(Inputs!$K$5:$AJ$110,0,MATCH(S$2,Inputs!$K$4:$AJ$4,0))))+SUMPRODUCT((Inputs!$C$5:$C$110=$B18)*ISNUMBER(INDEX(Inputs!$K$5:$AJ$110,0,MATCH(S$2,Inputs!$K$4:$AJ$4,0))))+SUMPRODUCT((Inputs!$E$5:$E$110=$B18)*ISNUMBER(INDEX(Inputs!$K$5:$AJ$110,0,MATCH(S$2,Inputs!$K$4:$AJ$4,0))))=0,NA(),SUMPRODUCT((Inputs!$A$5:$A$110=$B18)*Inputs!$B$5:$B$110*(((Inputs!$G$5:$G$110="moeda")+(Inputs!$G$5:$G$110="acoes"))*Inputs!$B$1+((Inputs!$G$5:$G$110&lt;&gt;"moeda")*(Inputs!$G$5:$G$110&lt;&gt;"acoes")))*INDEX(Inputs!$K$5:$AJ$110,0,MATCH(S$2,Inputs!$K$4:$AJ$4,0)))+SUMPRODUCT((Inputs!$C$5:$C$110=$B18)*Inputs!$D$5:$D$110*(((Inputs!$G$5:$G$110="moeda")+(Inputs!$G$5:$G$110="acoes"))*Inputs!$B$1+((Inputs!$G$5:$G$110&lt;&gt;"moeda")*(Inputs!$G$5:$G$110&lt;&gt;"acoes")))*INDEX(Inputs!$K$5:$AJ$110,0,MATCH(S$2,Inputs!$K$4:$AJ$4,0)))+SUMPRODUCT((Inputs!$E$5:$E$110=$B18)*Inputs!$F$5:$F$110*(((Inputs!$G$5:$G$110="moeda")+(Inputs!$G$5:$G$110="acoes"))*Inputs!$B$1+((Inputs!$G$5:$G$110&lt;&gt;"moeda")*(Inputs!$G$5:$G$110&lt;&gt;"acoes")))*INDEX(Inputs!$K$5:$AJ$110,0,MATCH(S$2,Inputs!$K$4:$AJ$4,0)))))</f>
        <v>0</v>
      </c>
      <c r="T18" s="267">
        <f>IF(ISNA(MATCH(T$2,Inputs!$K$4:$AJ$4,0)),NA(),IF(SUMPRODUCT((Inputs!$A$5:$A$110=$B18)*ISNUMBER(INDEX(Inputs!$K$5:$AJ$110,0,MATCH(T$2,Inputs!$K$4:$AJ$4,0))))+SUMPRODUCT((Inputs!$C$5:$C$110=$B18)*ISNUMBER(INDEX(Inputs!$K$5:$AJ$110,0,MATCH(T$2,Inputs!$K$4:$AJ$4,0))))+SUMPRODUCT((Inputs!$E$5:$E$110=$B18)*ISNUMBER(INDEX(Inputs!$K$5:$AJ$110,0,MATCH(T$2,Inputs!$K$4:$AJ$4,0))))=0,NA(),SUMPRODUCT((Inputs!$A$5:$A$110=$B18)*Inputs!$B$5:$B$110*(((Inputs!$G$5:$G$110="moeda")+(Inputs!$G$5:$G$110="acoes"))*Inputs!$B$1+((Inputs!$G$5:$G$110&lt;&gt;"moeda")*(Inputs!$G$5:$G$110&lt;&gt;"acoes")))*INDEX(Inputs!$K$5:$AJ$110,0,MATCH(T$2,Inputs!$K$4:$AJ$4,0)))+SUMPRODUCT((Inputs!$C$5:$C$110=$B18)*Inputs!$D$5:$D$110*(((Inputs!$G$5:$G$110="moeda")+(Inputs!$G$5:$G$110="acoes"))*Inputs!$B$1+((Inputs!$G$5:$G$110&lt;&gt;"moeda")*(Inputs!$G$5:$G$110&lt;&gt;"acoes")))*INDEX(Inputs!$K$5:$AJ$110,0,MATCH(T$2,Inputs!$K$4:$AJ$4,0)))+SUMPRODUCT((Inputs!$E$5:$E$110=$B18)*Inputs!$F$5:$F$110*(((Inputs!$G$5:$G$110="moeda")+(Inputs!$G$5:$G$110="acoes"))*Inputs!$B$1+((Inputs!$G$5:$G$110&lt;&gt;"moeda")*(Inputs!$G$5:$G$110&lt;&gt;"acoes")))*INDEX(Inputs!$K$5:$AJ$110,0,MATCH(T$2,Inputs!$K$4:$AJ$4,0)))))</f>
        <v>0</v>
      </c>
      <c r="U18" s="267">
        <f>IF(ISNA(MATCH(U$2,Inputs!$K$4:$AJ$4,0)),NA(),IF(SUMPRODUCT((Inputs!$A$5:$A$110=$B18)*ISNUMBER(INDEX(Inputs!$K$5:$AJ$110,0,MATCH(U$2,Inputs!$K$4:$AJ$4,0))))+SUMPRODUCT((Inputs!$C$5:$C$110=$B18)*ISNUMBER(INDEX(Inputs!$K$5:$AJ$110,0,MATCH(U$2,Inputs!$K$4:$AJ$4,0))))+SUMPRODUCT((Inputs!$E$5:$E$110=$B18)*ISNUMBER(INDEX(Inputs!$K$5:$AJ$110,0,MATCH(U$2,Inputs!$K$4:$AJ$4,0))))=0,NA(),SUMPRODUCT((Inputs!$A$5:$A$110=$B18)*Inputs!$B$5:$B$110*(((Inputs!$G$5:$G$110="moeda")+(Inputs!$G$5:$G$110="acoes"))*Inputs!$B$1+((Inputs!$G$5:$G$110&lt;&gt;"moeda")*(Inputs!$G$5:$G$110&lt;&gt;"acoes")))*INDEX(Inputs!$K$5:$AJ$110,0,MATCH(U$2,Inputs!$K$4:$AJ$4,0)))+SUMPRODUCT((Inputs!$C$5:$C$110=$B18)*Inputs!$D$5:$D$110*(((Inputs!$G$5:$G$110="moeda")+(Inputs!$G$5:$G$110="acoes"))*Inputs!$B$1+((Inputs!$G$5:$G$110&lt;&gt;"moeda")*(Inputs!$G$5:$G$110&lt;&gt;"acoes")))*INDEX(Inputs!$K$5:$AJ$110,0,MATCH(U$2,Inputs!$K$4:$AJ$4,0)))+SUMPRODUCT((Inputs!$E$5:$E$110=$B18)*Inputs!$F$5:$F$110*(((Inputs!$G$5:$G$110="moeda")+(Inputs!$G$5:$G$110="acoes"))*Inputs!$B$1+((Inputs!$G$5:$G$110&lt;&gt;"moeda")*(Inputs!$G$5:$G$110&lt;&gt;"acoes")))*INDEX(Inputs!$K$5:$AJ$110,0,MATCH(U$2,Inputs!$K$4:$AJ$4,0)))))</f>
        <v>0</v>
      </c>
      <c r="V18" s="267">
        <f>IF(ISNA(MATCH(V$2,Inputs!$K$4:$AJ$4,0)),NA(),IF(SUMPRODUCT((Inputs!$A$5:$A$110=$B18)*ISNUMBER(INDEX(Inputs!$K$5:$AJ$110,0,MATCH(V$2,Inputs!$K$4:$AJ$4,0))))+SUMPRODUCT((Inputs!$C$5:$C$110=$B18)*ISNUMBER(INDEX(Inputs!$K$5:$AJ$110,0,MATCH(V$2,Inputs!$K$4:$AJ$4,0))))+SUMPRODUCT((Inputs!$E$5:$E$110=$B18)*ISNUMBER(INDEX(Inputs!$K$5:$AJ$110,0,MATCH(V$2,Inputs!$K$4:$AJ$4,0))))=0,NA(),SUMPRODUCT((Inputs!$A$5:$A$110=$B18)*Inputs!$B$5:$B$110*(((Inputs!$G$5:$G$110="moeda")+(Inputs!$G$5:$G$110="acoes"))*Inputs!$B$1+((Inputs!$G$5:$G$110&lt;&gt;"moeda")*(Inputs!$G$5:$G$110&lt;&gt;"acoes")))*INDEX(Inputs!$K$5:$AJ$110,0,MATCH(V$2,Inputs!$K$4:$AJ$4,0)))+SUMPRODUCT((Inputs!$C$5:$C$110=$B18)*Inputs!$D$5:$D$110*(((Inputs!$G$5:$G$110="moeda")+(Inputs!$G$5:$G$110="acoes"))*Inputs!$B$1+((Inputs!$G$5:$G$110&lt;&gt;"moeda")*(Inputs!$G$5:$G$110&lt;&gt;"acoes")))*INDEX(Inputs!$K$5:$AJ$110,0,MATCH(V$2,Inputs!$K$4:$AJ$4,0)))+SUMPRODUCT((Inputs!$E$5:$E$110=$B18)*Inputs!$F$5:$F$110*(((Inputs!$G$5:$G$110="moeda")+(Inputs!$G$5:$G$110="acoes"))*Inputs!$B$1+((Inputs!$G$5:$G$110&lt;&gt;"moeda")*(Inputs!$G$5:$G$110&lt;&gt;"acoes")))*INDEX(Inputs!$K$5:$AJ$110,0,MATCH(V$2,Inputs!$K$4:$AJ$4,0)))))</f>
        <v>0</v>
      </c>
      <c r="W18" s="268">
        <f>V18</f>
        <v>0</v>
      </c>
      <c r="X18" s="267">
        <f>IF(ISNA(MATCH(X$2,Inputs!$K$4:$AJ$4,0)),NA(),IF(SUMPRODUCT((Inputs!$A$5:$A$110=$B18)*ISNUMBER(INDEX(Inputs!$K$5:$AJ$110,0,MATCH(X$2,Inputs!$K$4:$AJ$4,0))))+SUMPRODUCT((Inputs!$C$5:$C$110=$B18)*ISNUMBER(INDEX(Inputs!$K$5:$AJ$110,0,MATCH(X$2,Inputs!$K$4:$AJ$4,0))))+SUMPRODUCT((Inputs!$E$5:$E$110=$B18)*ISNUMBER(INDEX(Inputs!$K$5:$AJ$110,0,MATCH(X$2,Inputs!$K$4:$AJ$4,0))))=0,NA(),SUMPRODUCT((Inputs!$A$5:$A$110=$B18)*Inputs!$B$5:$B$110*(((Inputs!$G$5:$G$110="moeda")+(Inputs!$G$5:$G$110="acoes"))*Inputs!$B$1+((Inputs!$G$5:$G$110&lt;&gt;"moeda")*(Inputs!$G$5:$G$110&lt;&gt;"acoes")))*INDEX(Inputs!$K$5:$AJ$110,0,MATCH(X$2,Inputs!$K$4:$AJ$4,0)))+SUMPRODUCT((Inputs!$C$5:$C$110=$B18)*Inputs!$D$5:$D$110*(((Inputs!$G$5:$G$110="moeda")+(Inputs!$G$5:$G$110="acoes"))*Inputs!$B$1+((Inputs!$G$5:$G$110&lt;&gt;"moeda")*(Inputs!$G$5:$G$110&lt;&gt;"acoes")))*INDEX(Inputs!$K$5:$AJ$110,0,MATCH(X$2,Inputs!$K$4:$AJ$4,0)))+SUMPRODUCT((Inputs!$E$5:$E$110=$B18)*Inputs!$F$5:$F$110*(((Inputs!$G$5:$G$110="moeda")+(Inputs!$G$5:$G$110="acoes"))*Inputs!$B$1+((Inputs!$G$5:$G$110&lt;&gt;"moeda")*(Inputs!$G$5:$G$110&lt;&gt;"acoes")))*INDEX(Inputs!$K$5:$AJ$110,0,MATCH(X$2,Inputs!$K$4:$AJ$4,0)))))</f>
        <v>0</v>
      </c>
      <c r="Y18" s="267">
        <f>IF(ISNA(MATCH(Y$2,Inputs!$K$4:$AJ$4,0)),NA(),IF(SUMPRODUCT((Inputs!$A$5:$A$110=$B18)*ISNUMBER(INDEX(Inputs!$K$5:$AJ$110,0,MATCH(Y$2,Inputs!$K$4:$AJ$4,0))))+SUMPRODUCT((Inputs!$C$5:$C$110=$B18)*ISNUMBER(INDEX(Inputs!$K$5:$AJ$110,0,MATCH(Y$2,Inputs!$K$4:$AJ$4,0))))+SUMPRODUCT((Inputs!$E$5:$E$110=$B18)*ISNUMBER(INDEX(Inputs!$K$5:$AJ$110,0,MATCH(Y$2,Inputs!$K$4:$AJ$4,0))))=0,NA(),SUMPRODUCT((Inputs!$A$5:$A$110=$B18)*Inputs!$B$5:$B$110*(((Inputs!$G$5:$G$110="moeda")+(Inputs!$G$5:$G$110="acoes"))*Inputs!$B$1+((Inputs!$G$5:$G$110&lt;&gt;"moeda")*(Inputs!$G$5:$G$110&lt;&gt;"acoes")))*INDEX(Inputs!$K$5:$AJ$110,0,MATCH(Y$2,Inputs!$K$4:$AJ$4,0)))+SUMPRODUCT((Inputs!$C$5:$C$110=$B18)*Inputs!$D$5:$D$110*(((Inputs!$G$5:$G$110="moeda")+(Inputs!$G$5:$G$110="acoes"))*Inputs!$B$1+((Inputs!$G$5:$G$110&lt;&gt;"moeda")*(Inputs!$G$5:$G$110&lt;&gt;"acoes")))*INDEX(Inputs!$K$5:$AJ$110,0,MATCH(Y$2,Inputs!$K$4:$AJ$4,0)))+SUMPRODUCT((Inputs!$E$5:$E$110=$B18)*Inputs!$F$5:$F$110*(((Inputs!$G$5:$G$110="moeda")+(Inputs!$G$5:$G$110="acoes"))*Inputs!$B$1+((Inputs!$G$5:$G$110&lt;&gt;"moeda")*(Inputs!$G$5:$G$110&lt;&gt;"acoes")))*INDEX(Inputs!$K$5:$AJ$110,0,MATCH(Y$2,Inputs!$K$4:$AJ$4,0)))))</f>
        <v>0</v>
      </c>
      <c r="Z18" s="267">
        <f>IF(ISNA(MATCH(Z$2,Inputs!$K$4:$AJ$4,0)),NA(),IF(SUMPRODUCT((Inputs!$A$5:$A$110=$B18)*ISNUMBER(INDEX(Inputs!$K$5:$AJ$110,0,MATCH(Z$2,Inputs!$K$4:$AJ$4,0))))+SUMPRODUCT((Inputs!$C$5:$C$110=$B18)*ISNUMBER(INDEX(Inputs!$K$5:$AJ$110,0,MATCH(Z$2,Inputs!$K$4:$AJ$4,0))))+SUMPRODUCT((Inputs!$E$5:$E$110=$B18)*ISNUMBER(INDEX(Inputs!$K$5:$AJ$110,0,MATCH(Z$2,Inputs!$K$4:$AJ$4,0))))=0,NA(),SUMPRODUCT((Inputs!$A$5:$A$110=$B18)*Inputs!$B$5:$B$110*(((Inputs!$G$5:$G$110="moeda")+(Inputs!$G$5:$G$110="acoes"))*Inputs!$B$1+((Inputs!$G$5:$G$110&lt;&gt;"moeda")*(Inputs!$G$5:$G$110&lt;&gt;"acoes")))*INDEX(Inputs!$K$5:$AJ$110,0,MATCH(Z$2,Inputs!$K$4:$AJ$4,0)))+SUMPRODUCT((Inputs!$C$5:$C$110=$B18)*Inputs!$D$5:$D$110*(((Inputs!$G$5:$G$110="moeda")+(Inputs!$G$5:$G$110="acoes"))*Inputs!$B$1+((Inputs!$G$5:$G$110&lt;&gt;"moeda")*(Inputs!$G$5:$G$110&lt;&gt;"acoes")))*INDEX(Inputs!$K$5:$AJ$110,0,MATCH(Z$2,Inputs!$K$4:$AJ$4,0)))+SUMPRODUCT((Inputs!$E$5:$E$110=$B18)*Inputs!$F$5:$F$110*(((Inputs!$G$5:$G$110="moeda")+(Inputs!$G$5:$G$110="acoes"))*Inputs!$B$1+((Inputs!$G$5:$G$110&lt;&gt;"moeda")*(Inputs!$G$5:$G$110&lt;&gt;"acoes")))*INDEX(Inputs!$K$5:$AJ$110,0,MATCH(Z$2,Inputs!$K$4:$AJ$4,0)))))</f>
        <v>0</v>
      </c>
      <c r="AA18" s="267">
        <f>IF(ISNA(MATCH(AA$2,Inputs!$K$4:$AJ$4,0)),NA(),IF(SUMPRODUCT((Inputs!$A$5:$A$110=$B18)*ISNUMBER(INDEX(Inputs!$K$5:$AJ$110,0,MATCH(AA$2,Inputs!$K$4:$AJ$4,0))))+SUMPRODUCT((Inputs!$C$5:$C$110=$B18)*ISNUMBER(INDEX(Inputs!$K$5:$AJ$110,0,MATCH(AA$2,Inputs!$K$4:$AJ$4,0))))+SUMPRODUCT((Inputs!$E$5:$E$110=$B18)*ISNUMBER(INDEX(Inputs!$K$5:$AJ$110,0,MATCH(AA$2,Inputs!$K$4:$AJ$4,0))))=0,NA(),SUMPRODUCT((Inputs!$A$5:$A$110=$B18)*Inputs!$B$5:$B$110*(((Inputs!$G$5:$G$110="moeda")+(Inputs!$G$5:$G$110="acoes"))*Inputs!$B$1+((Inputs!$G$5:$G$110&lt;&gt;"moeda")*(Inputs!$G$5:$G$110&lt;&gt;"acoes")))*INDEX(Inputs!$K$5:$AJ$110,0,MATCH(AA$2,Inputs!$K$4:$AJ$4,0)))+SUMPRODUCT((Inputs!$C$5:$C$110=$B18)*Inputs!$D$5:$D$110*(((Inputs!$G$5:$G$110="moeda")+(Inputs!$G$5:$G$110="acoes"))*Inputs!$B$1+((Inputs!$G$5:$G$110&lt;&gt;"moeda")*(Inputs!$G$5:$G$110&lt;&gt;"acoes")))*INDEX(Inputs!$K$5:$AJ$110,0,MATCH(AA$2,Inputs!$K$4:$AJ$4,0)))+SUMPRODUCT((Inputs!$E$5:$E$110=$B18)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8" s="268">
        <f>AA18</f>
        <v>0</v>
      </c>
      <c r="AC18" s="267">
        <f>IF(ISNA(MATCH(AC$2,Inputs!$K$4:$AJ$4,0)),NA(),IF(SUMPRODUCT((Inputs!$A$5:$A$110=$B18)*ISNUMBER(INDEX(Inputs!$K$5:$AJ$110,0,MATCH(AC$2,Inputs!$K$4:$AJ$4,0))))+SUMPRODUCT((Inputs!$C$5:$C$110=$B18)*ISNUMBER(INDEX(Inputs!$K$5:$AJ$110,0,MATCH(AC$2,Inputs!$K$4:$AJ$4,0))))+SUMPRODUCT((Inputs!$E$5:$E$110=$B18)*ISNUMBER(INDEX(Inputs!$K$5:$AJ$110,0,MATCH(AC$2,Inputs!$K$4:$AJ$4,0))))=0,NA(),SUMPRODUCT((Inputs!$A$5:$A$110=$B18)*Inputs!$B$5:$B$110*(((Inputs!$G$5:$G$110="moeda")+(Inputs!$G$5:$G$110="acoes"))*Inputs!$B$1+((Inputs!$G$5:$G$110&lt;&gt;"moeda")*(Inputs!$G$5:$G$110&lt;&gt;"acoes")))*INDEX(Inputs!$K$5:$AJ$110,0,MATCH(AC$2,Inputs!$K$4:$AJ$4,0)))+SUMPRODUCT((Inputs!$C$5:$C$110=$B18)*Inputs!$D$5:$D$110*(((Inputs!$G$5:$G$110="moeda")+(Inputs!$G$5:$G$110="acoes"))*Inputs!$B$1+((Inputs!$G$5:$G$110&lt;&gt;"moeda")*(Inputs!$G$5:$G$110&lt;&gt;"acoes")))*INDEX(Inputs!$K$5:$AJ$110,0,MATCH(AC$2,Inputs!$K$4:$AJ$4,0)))+SUMPRODUCT((Inputs!$E$5:$E$110=$B18)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8" s="267">
        <f>IF(ISNA(MATCH(AD$2,Inputs!$K$4:$AJ$4,0)),NA(),IF(SUMPRODUCT((Inputs!$A$5:$A$110=$B18)*ISNUMBER(INDEX(Inputs!$K$5:$AJ$110,0,MATCH(AD$2,Inputs!$K$4:$AJ$4,0))))+SUMPRODUCT((Inputs!$C$5:$C$110=$B18)*ISNUMBER(INDEX(Inputs!$K$5:$AJ$110,0,MATCH(AD$2,Inputs!$K$4:$AJ$4,0))))+SUMPRODUCT((Inputs!$E$5:$E$110=$B18)*ISNUMBER(INDEX(Inputs!$K$5:$AJ$110,0,MATCH(AD$2,Inputs!$K$4:$AJ$4,0))))=0,NA(),SUMPRODUCT((Inputs!$A$5:$A$110=$B18)*Inputs!$B$5:$B$110*(((Inputs!$G$5:$G$110="moeda")+(Inputs!$G$5:$G$110="acoes"))*Inputs!$B$1+((Inputs!$G$5:$G$110&lt;&gt;"moeda")*(Inputs!$G$5:$G$110&lt;&gt;"acoes")))*INDEX(Inputs!$K$5:$AJ$110,0,MATCH(AD$2,Inputs!$K$4:$AJ$4,0)))+SUMPRODUCT((Inputs!$C$5:$C$110=$B18)*Inputs!$D$5:$D$110*(((Inputs!$G$5:$G$110="moeda")+(Inputs!$G$5:$G$110="acoes"))*Inputs!$B$1+((Inputs!$G$5:$G$110&lt;&gt;"moeda")*(Inputs!$G$5:$G$110&lt;&gt;"acoes")))*INDEX(Inputs!$K$5:$AJ$110,0,MATCH(AD$2,Inputs!$K$4:$AJ$4,0)))+SUMPRODUCT((Inputs!$E$5:$E$110=$B18)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8" s="267" t="e">
        <f>IF(ISNA(MATCH(AE$2,Inputs!$K$4:$AJ$4,0)),NA(),IF(SUMPRODUCT((Inputs!$A$5:$A$110=$B18)*ISNUMBER(INDEX(Inputs!$K$5:$AJ$110,0,MATCH(AE$2,Inputs!$K$4:$AJ$4,0))))+SUMPRODUCT((Inputs!$C$5:$C$110=$B18)*ISNUMBER(INDEX(Inputs!$K$5:$AJ$110,0,MATCH(AE$2,Inputs!$K$4:$AJ$4,0))))+SUMPRODUCT((Inputs!$E$5:$E$110=$B18)*ISNUMBER(INDEX(Inputs!$K$5:$AJ$110,0,MATCH(AE$2,Inputs!$K$4:$AJ$4,0))))=0,NA(),SUMPRODUCT((Inputs!$A$5:$A$110=$B18)*Inputs!$B$5:$B$110*(((Inputs!$G$5:$G$110="moeda")+(Inputs!$G$5:$G$110="acoes"))*Inputs!$B$1+((Inputs!$G$5:$G$110&lt;&gt;"moeda")*(Inputs!$G$5:$G$110&lt;&gt;"acoes")))*INDEX(Inputs!$K$5:$AJ$110,0,MATCH(AE$2,Inputs!$K$4:$AJ$4,0)))+SUMPRODUCT((Inputs!$C$5:$C$110=$B18)*Inputs!$D$5:$D$110*(((Inputs!$G$5:$G$110="moeda")+(Inputs!$G$5:$G$110="acoes"))*Inputs!$B$1+((Inputs!$G$5:$G$110&lt;&gt;"moeda")*(Inputs!$G$5:$G$110&lt;&gt;"acoes")))*INDEX(Inputs!$K$5:$AJ$110,0,MATCH(AE$2,Inputs!$K$4:$AJ$4,0)))+SUMPRODUCT((Inputs!$E$5:$E$110=$B18)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8" s="267" t="e">
        <f>IF(ISNA(MATCH(AF$2,Inputs!$K$4:$AJ$4,0)),NA(),IF(SUMPRODUCT((Inputs!$A$5:$A$110=$B18)*ISNUMBER(INDEX(Inputs!$K$5:$AJ$110,0,MATCH(AF$2,Inputs!$K$4:$AJ$4,0))))+SUMPRODUCT((Inputs!$C$5:$C$110=$B18)*ISNUMBER(INDEX(Inputs!$K$5:$AJ$110,0,MATCH(AF$2,Inputs!$K$4:$AJ$4,0))))+SUMPRODUCT((Inputs!$E$5:$E$110=$B18)*ISNUMBER(INDEX(Inputs!$K$5:$AJ$110,0,MATCH(AF$2,Inputs!$K$4:$AJ$4,0))))=0,NA(),SUMPRODUCT((Inputs!$A$5:$A$110=$B18)*Inputs!$B$5:$B$110*(((Inputs!$G$5:$G$110="moeda")+(Inputs!$G$5:$G$110="acoes"))*Inputs!$B$1+((Inputs!$G$5:$G$110&lt;&gt;"moeda")*(Inputs!$G$5:$G$110&lt;&gt;"acoes")))*INDEX(Inputs!$K$5:$AJ$110,0,MATCH(AF$2,Inputs!$K$4:$AJ$4,0)))+SUMPRODUCT((Inputs!$C$5:$C$110=$B18)*Inputs!$D$5:$D$110*(((Inputs!$G$5:$G$110="moeda")+(Inputs!$G$5:$G$110="acoes"))*Inputs!$B$1+((Inputs!$G$5:$G$110&lt;&gt;"moeda")*(Inputs!$G$5:$G$110&lt;&gt;"acoes")))*INDEX(Inputs!$K$5:$AJ$110,0,MATCH(AF$2,Inputs!$K$4:$AJ$4,0)))+SUMPRODUCT((Inputs!$E$5:$E$110=$B18)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8" s="268" t="e">
        <f>AF18</f>
        <v>#N/A</v>
      </c>
      <c r="AH18" s="267">
        <f>IF(ISNA(MATCH(AH$2,Inputs!$K$4:$AJ$4,0)),NA(),IF(SUMPRODUCT((Inputs!$A$5:$A$110=$B18)*ISNUMBER(INDEX(Inputs!$K$5:$AJ$110,0,MATCH(AH$2,Inputs!$K$4:$AJ$4,0))))+SUMPRODUCT((Inputs!$C$5:$C$110=$B18)*ISNUMBER(INDEX(Inputs!$K$5:$AJ$110,0,MATCH(AH$2,Inputs!$K$4:$AJ$4,0))))+SUMPRODUCT((Inputs!$E$5:$E$110=$B18)*ISNUMBER(INDEX(Inputs!$K$5:$AJ$110,0,MATCH(AH$2,Inputs!$K$4:$AJ$4,0))))=0,NA(),SUMPRODUCT((Inputs!$A$5:$A$110=$B18)*Inputs!$B$5:$B$110*(((Inputs!$G$5:$G$110="moeda")+(Inputs!$G$5:$G$110="acoes"))*Inputs!$B$1+((Inputs!$G$5:$G$110&lt;&gt;"moeda")*(Inputs!$G$5:$G$110&lt;&gt;"acoes")))*INDEX(Inputs!$K$5:$AJ$110,0,MATCH(AH$2,Inputs!$K$4:$AJ$4,0)))+SUMPRODUCT((Inputs!$C$5:$C$110=$B18)*Inputs!$D$5:$D$110*(((Inputs!$G$5:$G$110="moeda")+(Inputs!$G$5:$G$110="acoes"))*Inputs!$B$1+((Inputs!$G$5:$G$110&lt;&gt;"moeda")*(Inputs!$G$5:$G$110&lt;&gt;"acoes")))*INDEX(Inputs!$K$5:$AJ$110,0,MATCH(AH$2,Inputs!$K$4:$AJ$4,0)))+SUMPRODUCT((Inputs!$E$5:$E$110=$B18)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8" s="267">
        <f>IF(ISNA(MATCH(AI$2,Inputs!$K$4:$AJ$4,0)),NA(),IF(SUMPRODUCT((Inputs!$A$5:$A$110=$B18)*ISNUMBER(INDEX(Inputs!$K$5:$AJ$110,0,MATCH(AI$2,Inputs!$K$4:$AJ$4,0))))+SUMPRODUCT((Inputs!$C$5:$C$110=$B18)*ISNUMBER(INDEX(Inputs!$K$5:$AJ$110,0,MATCH(AI$2,Inputs!$K$4:$AJ$4,0))))+SUMPRODUCT((Inputs!$E$5:$E$110=$B18)*ISNUMBER(INDEX(Inputs!$K$5:$AJ$110,0,MATCH(AI$2,Inputs!$K$4:$AJ$4,0))))=0,NA(),SUMPRODUCT((Inputs!$A$5:$A$110=$B18)*Inputs!$B$5:$B$110*(((Inputs!$G$5:$G$110="moeda")+(Inputs!$G$5:$G$110="acoes"))*Inputs!$B$1+((Inputs!$G$5:$G$110&lt;&gt;"moeda")*(Inputs!$G$5:$G$110&lt;&gt;"acoes")))*INDEX(Inputs!$K$5:$AJ$110,0,MATCH(AI$2,Inputs!$K$4:$AJ$4,0)))+SUMPRODUCT((Inputs!$C$5:$C$110=$B18)*Inputs!$D$5:$D$110*(((Inputs!$G$5:$G$110="moeda")+(Inputs!$G$5:$G$110="acoes"))*Inputs!$B$1+((Inputs!$G$5:$G$110&lt;&gt;"moeda")*(Inputs!$G$5:$G$110&lt;&gt;"acoes")))*INDEX(Inputs!$K$5:$AJ$110,0,MATCH(AI$2,Inputs!$K$4:$AJ$4,0)))+SUMPRODUCT((Inputs!$E$5:$E$110=$B18)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8" s="267">
        <f>IF(ISNA(MATCH(AJ$2,Inputs!$K$4:$AJ$4,0)),NA(),IF(SUMPRODUCT((Inputs!$A$5:$A$110=$B18)*ISNUMBER(INDEX(Inputs!$K$5:$AJ$110,0,MATCH(AJ$2,Inputs!$K$4:$AJ$4,0))))+SUMPRODUCT((Inputs!$C$5:$C$110=$B18)*ISNUMBER(INDEX(Inputs!$K$5:$AJ$110,0,MATCH(AJ$2,Inputs!$K$4:$AJ$4,0))))+SUMPRODUCT((Inputs!$E$5:$E$110=$B18)*ISNUMBER(INDEX(Inputs!$K$5:$AJ$110,0,MATCH(AJ$2,Inputs!$K$4:$AJ$4,0))))=0,NA(),SUMPRODUCT((Inputs!$A$5:$A$110=$B18)*Inputs!$B$5:$B$110*(((Inputs!$G$5:$G$110="moeda")+(Inputs!$G$5:$G$110="acoes"))*Inputs!$B$1+((Inputs!$G$5:$G$110&lt;&gt;"moeda")*(Inputs!$G$5:$G$110&lt;&gt;"acoes")))*INDEX(Inputs!$K$5:$AJ$110,0,MATCH(AJ$2,Inputs!$K$4:$AJ$4,0)))+SUMPRODUCT((Inputs!$C$5:$C$110=$B18)*Inputs!$D$5:$D$110*(((Inputs!$G$5:$G$110="moeda")+(Inputs!$G$5:$G$110="acoes"))*Inputs!$B$1+((Inputs!$G$5:$G$110&lt;&gt;"moeda")*(Inputs!$G$5:$G$110&lt;&gt;"acoes")))*INDEX(Inputs!$K$5:$AJ$110,0,MATCH(AJ$2,Inputs!$K$4:$AJ$4,0)))+SUMPRODUCT((Inputs!$E$5:$E$110=$B18)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8" s="267">
        <f>IF(ISNA(MATCH(AK$2,Inputs!$K$4:$AJ$4,0)),NA(),IF(SUMPRODUCT((Inputs!$A$5:$A$110=$B18)*ISNUMBER(INDEX(Inputs!$K$5:$AJ$110,0,MATCH(AK$2,Inputs!$K$4:$AJ$4,0))))+SUMPRODUCT((Inputs!$C$5:$C$110=$B18)*ISNUMBER(INDEX(Inputs!$K$5:$AJ$110,0,MATCH(AK$2,Inputs!$K$4:$AJ$4,0))))+SUMPRODUCT((Inputs!$E$5:$E$110=$B18)*ISNUMBER(INDEX(Inputs!$K$5:$AJ$110,0,MATCH(AK$2,Inputs!$K$4:$AJ$4,0))))=0,NA(),SUMPRODUCT((Inputs!$A$5:$A$110=$B18)*Inputs!$B$5:$B$110*(((Inputs!$G$5:$G$110="moeda")+(Inputs!$G$5:$G$110="acoes"))*Inputs!$B$1+((Inputs!$G$5:$G$110&lt;&gt;"moeda")*(Inputs!$G$5:$G$110&lt;&gt;"acoes")))*INDEX(Inputs!$K$5:$AJ$110,0,MATCH(AK$2,Inputs!$K$4:$AJ$4,0)))+SUMPRODUCT((Inputs!$C$5:$C$110=$B18)*Inputs!$D$5:$D$110*(((Inputs!$G$5:$G$110="moeda")+(Inputs!$G$5:$G$110="acoes"))*Inputs!$B$1+((Inputs!$G$5:$G$110&lt;&gt;"moeda")*(Inputs!$G$5:$G$110&lt;&gt;"acoes")))*INDEX(Inputs!$K$5:$AJ$110,0,MATCH(AK$2,Inputs!$K$4:$AJ$4,0)))+SUMPRODUCT((Inputs!$E$5:$E$110=$B18)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8" s="268">
        <f>AK18</f>
        <v>0</v>
      </c>
    </row>
    <row r="19" ht="12.75" customHeight="1" s="255">
      <c r="B19" s="265" t="n">
        <v>15</v>
      </c>
      <c r="C19" s="270" t="inlineStr">
        <is>
          <t>Prepaid expenses</t>
        </is>
      </c>
      <c r="D19" s="267">
        <f>IF(ISNA(MATCH(D$2,Inputs!$K$4:$AJ$4,0)),NA(),IF(SUMPRODUCT((Inputs!$A$5:$A$110=$B19)*ISNUMBER(INDEX(Inputs!$K$5:$AJ$110,0,MATCH(D$2,Inputs!$K$4:$AJ$4,0))))+SUMPRODUCT((Inputs!$C$5:$C$110=$B19)*ISNUMBER(INDEX(Inputs!$K$5:$AJ$110,0,MATCH(D$2,Inputs!$K$4:$AJ$4,0))))+SUMPRODUCT((Inputs!$E$5:$E$110=$B19)*ISNUMBER(INDEX(Inputs!$K$5:$AJ$110,0,MATCH(D$2,Inputs!$K$4:$AJ$4,0))))=0,NA(),SUMPRODUCT((Inputs!$A$5:$A$110=$B19)*Inputs!$B$5:$B$110*(((Inputs!$G$5:$G$110="moeda")+(Inputs!$G$5:$G$110="acoes"))*Inputs!$B$1+((Inputs!$G$5:$G$110&lt;&gt;"moeda")*(Inputs!$G$5:$G$110&lt;&gt;"acoes")))*INDEX(Inputs!$K$5:$AJ$110,0,MATCH(D$2,Inputs!$K$4:$AJ$4,0)))+SUMPRODUCT((Inputs!$C$5:$C$110=$B19)*Inputs!$D$5:$D$110*(((Inputs!$G$5:$G$110="moeda")+(Inputs!$G$5:$G$110="acoes"))*Inputs!$B$1+((Inputs!$G$5:$G$110&lt;&gt;"moeda")*(Inputs!$G$5:$G$110&lt;&gt;"acoes")))*INDEX(Inputs!$K$5:$AJ$110,0,MATCH(D$2,Inputs!$K$4:$AJ$4,0)))+SUMPRODUCT((Inputs!$E$5:$E$110=$B19)*Inputs!$F$5:$F$110*(((Inputs!$G$5:$G$110="moeda")+(Inputs!$G$5:$G$110="acoes"))*Inputs!$B$1+((Inputs!$G$5:$G$110&lt;&gt;"moeda")*(Inputs!$G$5:$G$110&lt;&gt;"acoes")))*INDEX(Inputs!$K$5:$AJ$110,0,MATCH(D$2,Inputs!$K$4:$AJ$4,0)))))</f>
        <v>0</v>
      </c>
      <c r="E19" s="267">
        <f>IF(ISNA(MATCH(E$2,Inputs!$K$4:$AJ$4,0)),NA(),IF(SUMPRODUCT((Inputs!$A$5:$A$110=$B19)*ISNUMBER(INDEX(Inputs!$K$5:$AJ$110,0,MATCH(E$2,Inputs!$K$4:$AJ$4,0))))+SUMPRODUCT((Inputs!$C$5:$C$110=$B19)*ISNUMBER(INDEX(Inputs!$K$5:$AJ$110,0,MATCH(E$2,Inputs!$K$4:$AJ$4,0))))+SUMPRODUCT((Inputs!$E$5:$E$110=$B19)*ISNUMBER(INDEX(Inputs!$K$5:$AJ$110,0,MATCH(E$2,Inputs!$K$4:$AJ$4,0))))=0,NA(),SUMPRODUCT((Inputs!$A$5:$A$110=$B19)*Inputs!$B$5:$B$110*(((Inputs!$G$5:$G$110="moeda")+(Inputs!$G$5:$G$110="acoes"))*Inputs!$B$1+((Inputs!$G$5:$G$110&lt;&gt;"moeda")*(Inputs!$G$5:$G$110&lt;&gt;"acoes")))*INDEX(Inputs!$K$5:$AJ$110,0,MATCH(E$2,Inputs!$K$4:$AJ$4,0)))+SUMPRODUCT((Inputs!$C$5:$C$110=$B19)*Inputs!$D$5:$D$110*(((Inputs!$G$5:$G$110="moeda")+(Inputs!$G$5:$G$110="acoes"))*Inputs!$B$1+((Inputs!$G$5:$G$110&lt;&gt;"moeda")*(Inputs!$G$5:$G$110&lt;&gt;"acoes")))*INDEX(Inputs!$K$5:$AJ$110,0,MATCH(E$2,Inputs!$K$4:$AJ$4,0)))+SUMPRODUCT((Inputs!$E$5:$E$110=$B19)*Inputs!$F$5:$F$110*(((Inputs!$G$5:$G$110="moeda")+(Inputs!$G$5:$G$110="acoes"))*Inputs!$B$1+((Inputs!$G$5:$G$110&lt;&gt;"moeda")*(Inputs!$G$5:$G$110&lt;&gt;"acoes")))*INDEX(Inputs!$K$5:$AJ$110,0,MATCH(E$2,Inputs!$K$4:$AJ$4,0)))))</f>
        <v>0</v>
      </c>
      <c r="F19" s="267">
        <f>IF(ISNA(MATCH(F$2,Inputs!$K$4:$AJ$4,0)),NA(),IF(SUMPRODUCT((Inputs!$A$5:$A$110=$B19)*ISNUMBER(INDEX(Inputs!$K$5:$AJ$110,0,MATCH(F$2,Inputs!$K$4:$AJ$4,0))))+SUMPRODUCT((Inputs!$C$5:$C$110=$B19)*ISNUMBER(INDEX(Inputs!$K$5:$AJ$110,0,MATCH(F$2,Inputs!$K$4:$AJ$4,0))))+SUMPRODUCT((Inputs!$E$5:$E$110=$B19)*ISNUMBER(INDEX(Inputs!$K$5:$AJ$110,0,MATCH(F$2,Inputs!$K$4:$AJ$4,0))))=0,NA(),SUMPRODUCT((Inputs!$A$5:$A$110=$B19)*Inputs!$B$5:$B$110*(((Inputs!$G$5:$G$110="moeda")+(Inputs!$G$5:$G$110="acoes"))*Inputs!$B$1+((Inputs!$G$5:$G$110&lt;&gt;"moeda")*(Inputs!$G$5:$G$110&lt;&gt;"acoes")))*INDEX(Inputs!$K$5:$AJ$110,0,MATCH(F$2,Inputs!$K$4:$AJ$4,0)))+SUMPRODUCT((Inputs!$C$5:$C$110=$B19)*Inputs!$D$5:$D$110*(((Inputs!$G$5:$G$110="moeda")+(Inputs!$G$5:$G$110="acoes"))*Inputs!$B$1+((Inputs!$G$5:$G$110&lt;&gt;"moeda")*(Inputs!$G$5:$G$110&lt;&gt;"acoes")))*INDEX(Inputs!$K$5:$AJ$110,0,MATCH(F$2,Inputs!$K$4:$AJ$4,0)))+SUMPRODUCT((Inputs!$E$5:$E$110=$B19)*Inputs!$F$5:$F$110*(((Inputs!$G$5:$G$110="moeda")+(Inputs!$G$5:$G$110="acoes"))*Inputs!$B$1+((Inputs!$G$5:$G$110&lt;&gt;"moeda")*(Inputs!$G$5:$G$110&lt;&gt;"acoes")))*INDEX(Inputs!$K$5:$AJ$110,0,MATCH(F$2,Inputs!$K$4:$AJ$4,0)))))</f>
        <v>0</v>
      </c>
      <c r="G19" s="267">
        <f>IF(ISNA(MATCH(G$2,Inputs!$K$4:$AJ$4,0)),NA(),IF(SUMPRODUCT((Inputs!$A$5:$A$110=$B19)*ISNUMBER(INDEX(Inputs!$K$5:$AJ$110,0,MATCH(G$2,Inputs!$K$4:$AJ$4,0))))+SUMPRODUCT((Inputs!$C$5:$C$110=$B19)*ISNUMBER(INDEX(Inputs!$K$5:$AJ$110,0,MATCH(G$2,Inputs!$K$4:$AJ$4,0))))+SUMPRODUCT((Inputs!$E$5:$E$110=$B19)*ISNUMBER(INDEX(Inputs!$K$5:$AJ$110,0,MATCH(G$2,Inputs!$K$4:$AJ$4,0))))=0,NA(),SUMPRODUCT((Inputs!$A$5:$A$110=$B19)*Inputs!$B$5:$B$110*(((Inputs!$G$5:$G$110="moeda")+(Inputs!$G$5:$G$110="acoes"))*Inputs!$B$1+((Inputs!$G$5:$G$110&lt;&gt;"moeda")*(Inputs!$G$5:$G$110&lt;&gt;"acoes")))*INDEX(Inputs!$K$5:$AJ$110,0,MATCH(G$2,Inputs!$K$4:$AJ$4,0)))+SUMPRODUCT((Inputs!$C$5:$C$110=$B19)*Inputs!$D$5:$D$110*(((Inputs!$G$5:$G$110="moeda")+(Inputs!$G$5:$G$110="acoes"))*Inputs!$B$1+((Inputs!$G$5:$G$110&lt;&gt;"moeda")*(Inputs!$G$5:$G$110&lt;&gt;"acoes")))*INDEX(Inputs!$K$5:$AJ$110,0,MATCH(G$2,Inputs!$K$4:$AJ$4,0)))+SUMPRODUCT((Inputs!$E$5:$E$110=$B19)*Inputs!$F$5:$F$110*(((Inputs!$G$5:$G$110="moeda")+(Inputs!$G$5:$G$110="acoes"))*Inputs!$B$1+((Inputs!$G$5:$G$110&lt;&gt;"moeda")*(Inputs!$G$5:$G$110&lt;&gt;"acoes")))*INDEX(Inputs!$K$5:$AJ$110,0,MATCH(G$2,Inputs!$K$4:$AJ$4,0)))))</f>
        <v>0</v>
      </c>
      <c r="H19" s="268">
        <f>G19</f>
        <v>0</v>
      </c>
      <c r="I19" s="267">
        <f>IF(ISNA(MATCH(I$2,Inputs!$K$4:$AJ$4,0)),NA(),IF(SUMPRODUCT((Inputs!$A$5:$A$110=$B19)*ISNUMBER(INDEX(Inputs!$K$5:$AJ$110,0,MATCH(I$2,Inputs!$K$4:$AJ$4,0))))+SUMPRODUCT((Inputs!$C$5:$C$110=$B19)*ISNUMBER(INDEX(Inputs!$K$5:$AJ$110,0,MATCH(I$2,Inputs!$K$4:$AJ$4,0))))+SUMPRODUCT((Inputs!$E$5:$E$110=$B19)*ISNUMBER(INDEX(Inputs!$K$5:$AJ$110,0,MATCH(I$2,Inputs!$K$4:$AJ$4,0))))=0,NA(),SUMPRODUCT((Inputs!$A$5:$A$110=$B19)*Inputs!$B$5:$B$110*(((Inputs!$G$5:$G$110="moeda")+(Inputs!$G$5:$G$110="acoes"))*Inputs!$B$1+((Inputs!$G$5:$G$110&lt;&gt;"moeda")*(Inputs!$G$5:$G$110&lt;&gt;"acoes")))*INDEX(Inputs!$K$5:$AJ$110,0,MATCH(I$2,Inputs!$K$4:$AJ$4,0)))+SUMPRODUCT((Inputs!$C$5:$C$110=$B19)*Inputs!$D$5:$D$110*(((Inputs!$G$5:$G$110="moeda")+(Inputs!$G$5:$G$110="acoes"))*Inputs!$B$1+((Inputs!$G$5:$G$110&lt;&gt;"moeda")*(Inputs!$G$5:$G$110&lt;&gt;"acoes")))*INDEX(Inputs!$K$5:$AJ$110,0,MATCH(I$2,Inputs!$K$4:$AJ$4,0)))+SUMPRODUCT((Inputs!$E$5:$E$110=$B19)*Inputs!$F$5:$F$110*(((Inputs!$G$5:$G$110="moeda")+(Inputs!$G$5:$G$110="acoes"))*Inputs!$B$1+((Inputs!$G$5:$G$110&lt;&gt;"moeda")*(Inputs!$G$5:$G$110&lt;&gt;"acoes")))*INDEX(Inputs!$K$5:$AJ$110,0,MATCH(I$2,Inputs!$K$4:$AJ$4,0)))))</f>
        <v>0</v>
      </c>
      <c r="J19" s="267">
        <f>IF(ISNA(MATCH(J$2,Inputs!$K$4:$AJ$4,0)),NA(),IF(SUMPRODUCT((Inputs!$A$5:$A$110=$B19)*ISNUMBER(INDEX(Inputs!$K$5:$AJ$110,0,MATCH(J$2,Inputs!$K$4:$AJ$4,0))))+SUMPRODUCT((Inputs!$C$5:$C$110=$B19)*ISNUMBER(INDEX(Inputs!$K$5:$AJ$110,0,MATCH(J$2,Inputs!$K$4:$AJ$4,0))))+SUMPRODUCT((Inputs!$E$5:$E$110=$B19)*ISNUMBER(INDEX(Inputs!$K$5:$AJ$110,0,MATCH(J$2,Inputs!$K$4:$AJ$4,0))))=0,NA(),SUMPRODUCT((Inputs!$A$5:$A$110=$B19)*Inputs!$B$5:$B$110*(((Inputs!$G$5:$G$110="moeda")+(Inputs!$G$5:$G$110="acoes"))*Inputs!$B$1+((Inputs!$G$5:$G$110&lt;&gt;"moeda")*(Inputs!$G$5:$G$110&lt;&gt;"acoes")))*INDEX(Inputs!$K$5:$AJ$110,0,MATCH(J$2,Inputs!$K$4:$AJ$4,0)))+SUMPRODUCT((Inputs!$C$5:$C$110=$B19)*Inputs!$D$5:$D$110*(((Inputs!$G$5:$G$110="moeda")+(Inputs!$G$5:$G$110="acoes"))*Inputs!$B$1+((Inputs!$G$5:$G$110&lt;&gt;"moeda")*(Inputs!$G$5:$G$110&lt;&gt;"acoes")))*INDEX(Inputs!$K$5:$AJ$110,0,MATCH(J$2,Inputs!$K$4:$AJ$4,0)))+SUMPRODUCT((Inputs!$E$5:$E$110=$B19)*Inputs!$F$5:$F$110*(((Inputs!$G$5:$G$110="moeda")+(Inputs!$G$5:$G$110="acoes"))*Inputs!$B$1+((Inputs!$G$5:$G$110&lt;&gt;"moeda")*(Inputs!$G$5:$G$110&lt;&gt;"acoes")))*INDEX(Inputs!$K$5:$AJ$110,0,MATCH(J$2,Inputs!$K$4:$AJ$4,0)))))</f>
        <v>0</v>
      </c>
      <c r="K19" s="267">
        <f>IF(ISNA(MATCH(K$2,Inputs!$K$4:$AJ$4,0)),NA(),IF(SUMPRODUCT((Inputs!$A$5:$A$110=$B19)*ISNUMBER(INDEX(Inputs!$K$5:$AJ$110,0,MATCH(K$2,Inputs!$K$4:$AJ$4,0))))+SUMPRODUCT((Inputs!$C$5:$C$110=$B19)*ISNUMBER(INDEX(Inputs!$K$5:$AJ$110,0,MATCH(K$2,Inputs!$K$4:$AJ$4,0))))+SUMPRODUCT((Inputs!$E$5:$E$110=$B19)*ISNUMBER(INDEX(Inputs!$K$5:$AJ$110,0,MATCH(K$2,Inputs!$K$4:$AJ$4,0))))=0,NA(),SUMPRODUCT((Inputs!$A$5:$A$110=$B19)*Inputs!$B$5:$B$110*(((Inputs!$G$5:$G$110="moeda")+(Inputs!$G$5:$G$110="acoes"))*Inputs!$B$1+((Inputs!$G$5:$G$110&lt;&gt;"moeda")*(Inputs!$G$5:$G$110&lt;&gt;"acoes")))*INDEX(Inputs!$K$5:$AJ$110,0,MATCH(K$2,Inputs!$K$4:$AJ$4,0)))+SUMPRODUCT((Inputs!$C$5:$C$110=$B19)*Inputs!$D$5:$D$110*(((Inputs!$G$5:$G$110="moeda")+(Inputs!$G$5:$G$110="acoes"))*Inputs!$B$1+((Inputs!$G$5:$G$110&lt;&gt;"moeda")*(Inputs!$G$5:$G$110&lt;&gt;"acoes")))*INDEX(Inputs!$K$5:$AJ$110,0,MATCH(K$2,Inputs!$K$4:$AJ$4,0)))+SUMPRODUCT((Inputs!$E$5:$E$110=$B19)*Inputs!$F$5:$F$110*(((Inputs!$G$5:$G$110="moeda")+(Inputs!$G$5:$G$110="acoes"))*Inputs!$B$1+((Inputs!$G$5:$G$110&lt;&gt;"moeda")*(Inputs!$G$5:$G$110&lt;&gt;"acoes")))*INDEX(Inputs!$K$5:$AJ$110,0,MATCH(K$2,Inputs!$K$4:$AJ$4,0)))))</f>
        <v>0</v>
      </c>
      <c r="L19" s="267">
        <f>IF(ISNA(MATCH(L$2,Inputs!$K$4:$AJ$4,0)),NA(),IF(SUMPRODUCT((Inputs!$A$5:$A$110=$B19)*ISNUMBER(INDEX(Inputs!$K$5:$AJ$110,0,MATCH(L$2,Inputs!$K$4:$AJ$4,0))))+SUMPRODUCT((Inputs!$C$5:$C$110=$B19)*ISNUMBER(INDEX(Inputs!$K$5:$AJ$110,0,MATCH(L$2,Inputs!$K$4:$AJ$4,0))))+SUMPRODUCT((Inputs!$E$5:$E$110=$B19)*ISNUMBER(INDEX(Inputs!$K$5:$AJ$110,0,MATCH(L$2,Inputs!$K$4:$AJ$4,0))))=0,NA(),SUMPRODUCT((Inputs!$A$5:$A$110=$B19)*Inputs!$B$5:$B$110*(((Inputs!$G$5:$G$110="moeda")+(Inputs!$G$5:$G$110="acoes"))*Inputs!$B$1+((Inputs!$G$5:$G$110&lt;&gt;"moeda")*(Inputs!$G$5:$G$110&lt;&gt;"acoes")))*INDEX(Inputs!$K$5:$AJ$110,0,MATCH(L$2,Inputs!$K$4:$AJ$4,0)))+SUMPRODUCT((Inputs!$C$5:$C$110=$B19)*Inputs!$D$5:$D$110*(((Inputs!$G$5:$G$110="moeda")+(Inputs!$G$5:$G$110="acoes"))*Inputs!$B$1+((Inputs!$G$5:$G$110&lt;&gt;"moeda")*(Inputs!$G$5:$G$110&lt;&gt;"acoes")))*INDEX(Inputs!$K$5:$AJ$110,0,MATCH(L$2,Inputs!$K$4:$AJ$4,0)))+SUMPRODUCT((Inputs!$E$5:$E$110=$B19)*Inputs!$F$5:$F$110*(((Inputs!$G$5:$G$110="moeda")+(Inputs!$G$5:$G$110="acoes"))*Inputs!$B$1+((Inputs!$G$5:$G$110&lt;&gt;"moeda")*(Inputs!$G$5:$G$110&lt;&gt;"acoes")))*INDEX(Inputs!$K$5:$AJ$110,0,MATCH(L$2,Inputs!$K$4:$AJ$4,0)))))</f>
        <v>0</v>
      </c>
      <c r="M19" s="268">
        <f>L19</f>
        <v>0</v>
      </c>
      <c r="N19" s="267">
        <f>IF(ISNA(MATCH(N$2,Inputs!$K$4:$AJ$4,0)),NA(),IF(SUMPRODUCT((Inputs!$A$5:$A$110=$B19)*ISNUMBER(INDEX(Inputs!$K$5:$AJ$110,0,MATCH(N$2,Inputs!$K$4:$AJ$4,0))))+SUMPRODUCT((Inputs!$C$5:$C$110=$B19)*ISNUMBER(INDEX(Inputs!$K$5:$AJ$110,0,MATCH(N$2,Inputs!$K$4:$AJ$4,0))))+SUMPRODUCT((Inputs!$E$5:$E$110=$B19)*ISNUMBER(INDEX(Inputs!$K$5:$AJ$110,0,MATCH(N$2,Inputs!$K$4:$AJ$4,0))))=0,NA(),SUMPRODUCT((Inputs!$A$5:$A$110=$B19)*Inputs!$B$5:$B$110*(((Inputs!$G$5:$G$110="moeda")+(Inputs!$G$5:$G$110="acoes"))*Inputs!$B$1+((Inputs!$G$5:$G$110&lt;&gt;"moeda")*(Inputs!$G$5:$G$110&lt;&gt;"acoes")))*INDEX(Inputs!$K$5:$AJ$110,0,MATCH(N$2,Inputs!$K$4:$AJ$4,0)))+SUMPRODUCT((Inputs!$C$5:$C$110=$B19)*Inputs!$D$5:$D$110*(((Inputs!$G$5:$G$110="moeda")+(Inputs!$G$5:$G$110="acoes"))*Inputs!$B$1+((Inputs!$G$5:$G$110&lt;&gt;"moeda")*(Inputs!$G$5:$G$110&lt;&gt;"acoes")))*INDEX(Inputs!$K$5:$AJ$110,0,MATCH(N$2,Inputs!$K$4:$AJ$4,0)))+SUMPRODUCT((Inputs!$E$5:$E$110=$B19)*Inputs!$F$5:$F$110*(((Inputs!$G$5:$G$110="moeda")+(Inputs!$G$5:$G$110="acoes"))*Inputs!$B$1+((Inputs!$G$5:$G$110&lt;&gt;"moeda")*(Inputs!$G$5:$G$110&lt;&gt;"acoes")))*INDEX(Inputs!$K$5:$AJ$110,0,MATCH(N$2,Inputs!$K$4:$AJ$4,0)))))</f>
        <v>0</v>
      </c>
      <c r="O19" s="267">
        <f>IF(ISNA(MATCH(O$2,Inputs!$K$4:$AJ$4,0)),NA(),IF(SUMPRODUCT((Inputs!$A$5:$A$110=$B19)*ISNUMBER(INDEX(Inputs!$K$5:$AJ$110,0,MATCH(O$2,Inputs!$K$4:$AJ$4,0))))+SUMPRODUCT((Inputs!$C$5:$C$110=$B19)*ISNUMBER(INDEX(Inputs!$K$5:$AJ$110,0,MATCH(O$2,Inputs!$K$4:$AJ$4,0))))+SUMPRODUCT((Inputs!$E$5:$E$110=$B19)*ISNUMBER(INDEX(Inputs!$K$5:$AJ$110,0,MATCH(O$2,Inputs!$K$4:$AJ$4,0))))=0,NA(),SUMPRODUCT((Inputs!$A$5:$A$110=$B19)*Inputs!$B$5:$B$110*(((Inputs!$G$5:$G$110="moeda")+(Inputs!$G$5:$G$110="acoes"))*Inputs!$B$1+((Inputs!$G$5:$G$110&lt;&gt;"moeda")*(Inputs!$G$5:$G$110&lt;&gt;"acoes")))*INDEX(Inputs!$K$5:$AJ$110,0,MATCH(O$2,Inputs!$K$4:$AJ$4,0)))+SUMPRODUCT((Inputs!$C$5:$C$110=$B19)*Inputs!$D$5:$D$110*(((Inputs!$G$5:$G$110="moeda")+(Inputs!$G$5:$G$110="acoes"))*Inputs!$B$1+((Inputs!$G$5:$G$110&lt;&gt;"moeda")*(Inputs!$G$5:$G$110&lt;&gt;"acoes")))*INDEX(Inputs!$K$5:$AJ$110,0,MATCH(O$2,Inputs!$K$4:$AJ$4,0)))+SUMPRODUCT((Inputs!$E$5:$E$110=$B19)*Inputs!$F$5:$F$110*(((Inputs!$G$5:$G$110="moeda")+(Inputs!$G$5:$G$110="acoes"))*Inputs!$B$1+((Inputs!$G$5:$G$110&lt;&gt;"moeda")*(Inputs!$G$5:$G$110&lt;&gt;"acoes")))*INDEX(Inputs!$K$5:$AJ$110,0,MATCH(O$2,Inputs!$K$4:$AJ$4,0)))))</f>
        <v>0</v>
      </c>
      <c r="P19" s="267">
        <f>IF(ISNA(MATCH(P$2,Inputs!$K$4:$AJ$4,0)),NA(),IF(SUMPRODUCT((Inputs!$A$5:$A$110=$B19)*ISNUMBER(INDEX(Inputs!$K$5:$AJ$110,0,MATCH(P$2,Inputs!$K$4:$AJ$4,0))))+SUMPRODUCT((Inputs!$C$5:$C$110=$B19)*ISNUMBER(INDEX(Inputs!$K$5:$AJ$110,0,MATCH(P$2,Inputs!$K$4:$AJ$4,0))))+SUMPRODUCT((Inputs!$E$5:$E$110=$B19)*ISNUMBER(INDEX(Inputs!$K$5:$AJ$110,0,MATCH(P$2,Inputs!$K$4:$AJ$4,0))))=0,NA(),SUMPRODUCT((Inputs!$A$5:$A$110=$B19)*Inputs!$B$5:$B$110*(((Inputs!$G$5:$G$110="moeda")+(Inputs!$G$5:$G$110="acoes"))*Inputs!$B$1+((Inputs!$G$5:$G$110&lt;&gt;"moeda")*(Inputs!$G$5:$G$110&lt;&gt;"acoes")))*INDEX(Inputs!$K$5:$AJ$110,0,MATCH(P$2,Inputs!$K$4:$AJ$4,0)))+SUMPRODUCT((Inputs!$C$5:$C$110=$B19)*Inputs!$D$5:$D$110*(((Inputs!$G$5:$G$110="moeda")+(Inputs!$G$5:$G$110="acoes"))*Inputs!$B$1+((Inputs!$G$5:$G$110&lt;&gt;"moeda")*(Inputs!$G$5:$G$110&lt;&gt;"acoes")))*INDEX(Inputs!$K$5:$AJ$110,0,MATCH(P$2,Inputs!$K$4:$AJ$4,0)))+SUMPRODUCT((Inputs!$E$5:$E$110=$B19)*Inputs!$F$5:$F$110*(((Inputs!$G$5:$G$110="moeda")+(Inputs!$G$5:$G$110="acoes"))*Inputs!$B$1+((Inputs!$G$5:$G$110&lt;&gt;"moeda")*(Inputs!$G$5:$G$110&lt;&gt;"acoes")))*INDEX(Inputs!$K$5:$AJ$110,0,MATCH(P$2,Inputs!$K$4:$AJ$4,0)))))</f>
        <v>0</v>
      </c>
      <c r="Q19" s="267">
        <f>IF(ISNA(MATCH(Q$2,Inputs!$K$4:$AJ$4,0)),NA(),IF(SUMPRODUCT((Inputs!$A$5:$A$110=$B19)*ISNUMBER(INDEX(Inputs!$K$5:$AJ$110,0,MATCH(Q$2,Inputs!$K$4:$AJ$4,0))))+SUMPRODUCT((Inputs!$C$5:$C$110=$B19)*ISNUMBER(INDEX(Inputs!$K$5:$AJ$110,0,MATCH(Q$2,Inputs!$K$4:$AJ$4,0))))+SUMPRODUCT((Inputs!$E$5:$E$110=$B19)*ISNUMBER(INDEX(Inputs!$K$5:$AJ$110,0,MATCH(Q$2,Inputs!$K$4:$AJ$4,0))))=0,NA(),SUMPRODUCT((Inputs!$A$5:$A$110=$B19)*Inputs!$B$5:$B$110*(((Inputs!$G$5:$G$110="moeda")+(Inputs!$G$5:$G$110="acoes"))*Inputs!$B$1+((Inputs!$G$5:$G$110&lt;&gt;"moeda")*(Inputs!$G$5:$G$110&lt;&gt;"acoes")))*INDEX(Inputs!$K$5:$AJ$110,0,MATCH(Q$2,Inputs!$K$4:$AJ$4,0)))+SUMPRODUCT((Inputs!$C$5:$C$110=$B19)*Inputs!$D$5:$D$110*(((Inputs!$G$5:$G$110="moeda")+(Inputs!$G$5:$G$110="acoes"))*Inputs!$B$1+((Inputs!$G$5:$G$110&lt;&gt;"moeda")*(Inputs!$G$5:$G$110&lt;&gt;"acoes")))*INDEX(Inputs!$K$5:$AJ$110,0,MATCH(Q$2,Inputs!$K$4:$AJ$4,0)))+SUMPRODUCT((Inputs!$E$5:$E$110=$B19)*Inputs!$F$5:$F$110*(((Inputs!$G$5:$G$110="moeda")+(Inputs!$G$5:$G$110="acoes"))*Inputs!$B$1+((Inputs!$G$5:$G$110&lt;&gt;"moeda")*(Inputs!$G$5:$G$110&lt;&gt;"acoes")))*INDEX(Inputs!$K$5:$AJ$110,0,MATCH(Q$2,Inputs!$K$4:$AJ$4,0)))))</f>
        <v>0</v>
      </c>
      <c r="R19" s="268">
        <f>Q19</f>
        <v>0</v>
      </c>
      <c r="S19" s="267">
        <f>IF(ISNA(MATCH(S$2,Inputs!$K$4:$AJ$4,0)),NA(),IF(SUMPRODUCT((Inputs!$A$5:$A$110=$B19)*ISNUMBER(INDEX(Inputs!$K$5:$AJ$110,0,MATCH(S$2,Inputs!$K$4:$AJ$4,0))))+SUMPRODUCT((Inputs!$C$5:$C$110=$B19)*ISNUMBER(INDEX(Inputs!$K$5:$AJ$110,0,MATCH(S$2,Inputs!$K$4:$AJ$4,0))))+SUMPRODUCT((Inputs!$E$5:$E$110=$B19)*ISNUMBER(INDEX(Inputs!$K$5:$AJ$110,0,MATCH(S$2,Inputs!$K$4:$AJ$4,0))))=0,NA(),SUMPRODUCT((Inputs!$A$5:$A$110=$B19)*Inputs!$B$5:$B$110*(((Inputs!$G$5:$G$110="moeda")+(Inputs!$G$5:$G$110="acoes"))*Inputs!$B$1+((Inputs!$G$5:$G$110&lt;&gt;"moeda")*(Inputs!$G$5:$G$110&lt;&gt;"acoes")))*INDEX(Inputs!$K$5:$AJ$110,0,MATCH(S$2,Inputs!$K$4:$AJ$4,0)))+SUMPRODUCT((Inputs!$C$5:$C$110=$B19)*Inputs!$D$5:$D$110*(((Inputs!$G$5:$G$110="moeda")+(Inputs!$G$5:$G$110="acoes"))*Inputs!$B$1+((Inputs!$G$5:$G$110&lt;&gt;"moeda")*(Inputs!$G$5:$G$110&lt;&gt;"acoes")))*INDEX(Inputs!$K$5:$AJ$110,0,MATCH(S$2,Inputs!$K$4:$AJ$4,0)))+SUMPRODUCT((Inputs!$E$5:$E$110=$B19)*Inputs!$F$5:$F$110*(((Inputs!$G$5:$G$110="moeda")+(Inputs!$G$5:$G$110="acoes"))*Inputs!$B$1+((Inputs!$G$5:$G$110&lt;&gt;"moeda")*(Inputs!$G$5:$G$110&lt;&gt;"acoes")))*INDEX(Inputs!$K$5:$AJ$110,0,MATCH(S$2,Inputs!$K$4:$AJ$4,0)))))</f>
        <v>0</v>
      </c>
      <c r="T19" s="267">
        <f>IF(ISNA(MATCH(T$2,Inputs!$K$4:$AJ$4,0)),NA(),IF(SUMPRODUCT((Inputs!$A$5:$A$110=$B19)*ISNUMBER(INDEX(Inputs!$K$5:$AJ$110,0,MATCH(T$2,Inputs!$K$4:$AJ$4,0))))+SUMPRODUCT((Inputs!$C$5:$C$110=$B19)*ISNUMBER(INDEX(Inputs!$K$5:$AJ$110,0,MATCH(T$2,Inputs!$K$4:$AJ$4,0))))+SUMPRODUCT((Inputs!$E$5:$E$110=$B19)*ISNUMBER(INDEX(Inputs!$K$5:$AJ$110,0,MATCH(T$2,Inputs!$K$4:$AJ$4,0))))=0,NA(),SUMPRODUCT((Inputs!$A$5:$A$110=$B19)*Inputs!$B$5:$B$110*(((Inputs!$G$5:$G$110="moeda")+(Inputs!$G$5:$G$110="acoes"))*Inputs!$B$1+((Inputs!$G$5:$G$110&lt;&gt;"moeda")*(Inputs!$G$5:$G$110&lt;&gt;"acoes")))*INDEX(Inputs!$K$5:$AJ$110,0,MATCH(T$2,Inputs!$K$4:$AJ$4,0)))+SUMPRODUCT((Inputs!$C$5:$C$110=$B19)*Inputs!$D$5:$D$110*(((Inputs!$G$5:$G$110="moeda")+(Inputs!$G$5:$G$110="acoes"))*Inputs!$B$1+((Inputs!$G$5:$G$110&lt;&gt;"moeda")*(Inputs!$G$5:$G$110&lt;&gt;"acoes")))*INDEX(Inputs!$K$5:$AJ$110,0,MATCH(T$2,Inputs!$K$4:$AJ$4,0)))+SUMPRODUCT((Inputs!$E$5:$E$110=$B19)*Inputs!$F$5:$F$110*(((Inputs!$G$5:$G$110="moeda")+(Inputs!$G$5:$G$110="acoes"))*Inputs!$B$1+((Inputs!$G$5:$G$110&lt;&gt;"moeda")*(Inputs!$G$5:$G$110&lt;&gt;"acoes")))*INDEX(Inputs!$K$5:$AJ$110,0,MATCH(T$2,Inputs!$K$4:$AJ$4,0)))))</f>
        <v>0</v>
      </c>
      <c r="U19" s="267">
        <f>IF(ISNA(MATCH(U$2,Inputs!$K$4:$AJ$4,0)),NA(),IF(SUMPRODUCT((Inputs!$A$5:$A$110=$B19)*ISNUMBER(INDEX(Inputs!$K$5:$AJ$110,0,MATCH(U$2,Inputs!$K$4:$AJ$4,0))))+SUMPRODUCT((Inputs!$C$5:$C$110=$B19)*ISNUMBER(INDEX(Inputs!$K$5:$AJ$110,0,MATCH(U$2,Inputs!$K$4:$AJ$4,0))))+SUMPRODUCT((Inputs!$E$5:$E$110=$B19)*ISNUMBER(INDEX(Inputs!$K$5:$AJ$110,0,MATCH(U$2,Inputs!$K$4:$AJ$4,0))))=0,NA(),SUMPRODUCT((Inputs!$A$5:$A$110=$B19)*Inputs!$B$5:$B$110*(((Inputs!$G$5:$G$110="moeda")+(Inputs!$G$5:$G$110="acoes"))*Inputs!$B$1+((Inputs!$G$5:$G$110&lt;&gt;"moeda")*(Inputs!$G$5:$G$110&lt;&gt;"acoes")))*INDEX(Inputs!$K$5:$AJ$110,0,MATCH(U$2,Inputs!$K$4:$AJ$4,0)))+SUMPRODUCT((Inputs!$C$5:$C$110=$B19)*Inputs!$D$5:$D$110*(((Inputs!$G$5:$G$110="moeda")+(Inputs!$G$5:$G$110="acoes"))*Inputs!$B$1+((Inputs!$G$5:$G$110&lt;&gt;"moeda")*(Inputs!$G$5:$G$110&lt;&gt;"acoes")))*INDEX(Inputs!$K$5:$AJ$110,0,MATCH(U$2,Inputs!$K$4:$AJ$4,0)))+SUMPRODUCT((Inputs!$E$5:$E$110=$B19)*Inputs!$F$5:$F$110*(((Inputs!$G$5:$G$110="moeda")+(Inputs!$G$5:$G$110="acoes"))*Inputs!$B$1+((Inputs!$G$5:$G$110&lt;&gt;"moeda")*(Inputs!$G$5:$G$110&lt;&gt;"acoes")))*INDEX(Inputs!$K$5:$AJ$110,0,MATCH(U$2,Inputs!$K$4:$AJ$4,0)))))</f>
        <v>0</v>
      </c>
      <c r="V19" s="267">
        <f>IF(ISNA(MATCH(V$2,Inputs!$K$4:$AJ$4,0)),NA(),IF(SUMPRODUCT((Inputs!$A$5:$A$110=$B19)*ISNUMBER(INDEX(Inputs!$K$5:$AJ$110,0,MATCH(V$2,Inputs!$K$4:$AJ$4,0))))+SUMPRODUCT((Inputs!$C$5:$C$110=$B19)*ISNUMBER(INDEX(Inputs!$K$5:$AJ$110,0,MATCH(V$2,Inputs!$K$4:$AJ$4,0))))+SUMPRODUCT((Inputs!$E$5:$E$110=$B19)*ISNUMBER(INDEX(Inputs!$K$5:$AJ$110,0,MATCH(V$2,Inputs!$K$4:$AJ$4,0))))=0,NA(),SUMPRODUCT((Inputs!$A$5:$A$110=$B19)*Inputs!$B$5:$B$110*(((Inputs!$G$5:$G$110="moeda")+(Inputs!$G$5:$G$110="acoes"))*Inputs!$B$1+((Inputs!$G$5:$G$110&lt;&gt;"moeda")*(Inputs!$G$5:$G$110&lt;&gt;"acoes")))*INDEX(Inputs!$K$5:$AJ$110,0,MATCH(V$2,Inputs!$K$4:$AJ$4,0)))+SUMPRODUCT((Inputs!$C$5:$C$110=$B19)*Inputs!$D$5:$D$110*(((Inputs!$G$5:$G$110="moeda")+(Inputs!$G$5:$G$110="acoes"))*Inputs!$B$1+((Inputs!$G$5:$G$110&lt;&gt;"moeda")*(Inputs!$G$5:$G$110&lt;&gt;"acoes")))*INDEX(Inputs!$K$5:$AJ$110,0,MATCH(V$2,Inputs!$K$4:$AJ$4,0)))+SUMPRODUCT((Inputs!$E$5:$E$110=$B19)*Inputs!$F$5:$F$110*(((Inputs!$G$5:$G$110="moeda")+(Inputs!$G$5:$G$110="acoes"))*Inputs!$B$1+((Inputs!$G$5:$G$110&lt;&gt;"moeda")*(Inputs!$G$5:$G$110&lt;&gt;"acoes")))*INDEX(Inputs!$K$5:$AJ$110,0,MATCH(V$2,Inputs!$K$4:$AJ$4,0)))))</f>
        <v>0</v>
      </c>
      <c r="W19" s="268">
        <f>V19</f>
        <v>0</v>
      </c>
      <c r="X19" s="267">
        <f>IF(ISNA(MATCH(X$2,Inputs!$K$4:$AJ$4,0)),NA(),IF(SUMPRODUCT((Inputs!$A$5:$A$110=$B19)*ISNUMBER(INDEX(Inputs!$K$5:$AJ$110,0,MATCH(X$2,Inputs!$K$4:$AJ$4,0))))+SUMPRODUCT((Inputs!$C$5:$C$110=$B19)*ISNUMBER(INDEX(Inputs!$K$5:$AJ$110,0,MATCH(X$2,Inputs!$K$4:$AJ$4,0))))+SUMPRODUCT((Inputs!$E$5:$E$110=$B19)*ISNUMBER(INDEX(Inputs!$K$5:$AJ$110,0,MATCH(X$2,Inputs!$K$4:$AJ$4,0))))=0,NA(),SUMPRODUCT((Inputs!$A$5:$A$110=$B19)*Inputs!$B$5:$B$110*(((Inputs!$G$5:$G$110="moeda")+(Inputs!$G$5:$G$110="acoes"))*Inputs!$B$1+((Inputs!$G$5:$G$110&lt;&gt;"moeda")*(Inputs!$G$5:$G$110&lt;&gt;"acoes")))*INDEX(Inputs!$K$5:$AJ$110,0,MATCH(X$2,Inputs!$K$4:$AJ$4,0)))+SUMPRODUCT((Inputs!$C$5:$C$110=$B19)*Inputs!$D$5:$D$110*(((Inputs!$G$5:$G$110="moeda")+(Inputs!$G$5:$G$110="acoes"))*Inputs!$B$1+((Inputs!$G$5:$G$110&lt;&gt;"moeda")*(Inputs!$G$5:$G$110&lt;&gt;"acoes")))*INDEX(Inputs!$K$5:$AJ$110,0,MATCH(X$2,Inputs!$K$4:$AJ$4,0)))+SUMPRODUCT((Inputs!$E$5:$E$110=$B19)*Inputs!$F$5:$F$110*(((Inputs!$G$5:$G$110="moeda")+(Inputs!$G$5:$G$110="acoes"))*Inputs!$B$1+((Inputs!$G$5:$G$110&lt;&gt;"moeda")*(Inputs!$G$5:$G$110&lt;&gt;"acoes")))*INDEX(Inputs!$K$5:$AJ$110,0,MATCH(X$2,Inputs!$K$4:$AJ$4,0)))))</f>
        <v>0</v>
      </c>
      <c r="Y19" s="267">
        <f>IF(ISNA(MATCH(Y$2,Inputs!$K$4:$AJ$4,0)),NA(),IF(SUMPRODUCT((Inputs!$A$5:$A$110=$B19)*ISNUMBER(INDEX(Inputs!$K$5:$AJ$110,0,MATCH(Y$2,Inputs!$K$4:$AJ$4,0))))+SUMPRODUCT((Inputs!$C$5:$C$110=$B19)*ISNUMBER(INDEX(Inputs!$K$5:$AJ$110,0,MATCH(Y$2,Inputs!$K$4:$AJ$4,0))))+SUMPRODUCT((Inputs!$E$5:$E$110=$B19)*ISNUMBER(INDEX(Inputs!$K$5:$AJ$110,0,MATCH(Y$2,Inputs!$K$4:$AJ$4,0))))=0,NA(),SUMPRODUCT((Inputs!$A$5:$A$110=$B19)*Inputs!$B$5:$B$110*(((Inputs!$G$5:$G$110="moeda")+(Inputs!$G$5:$G$110="acoes"))*Inputs!$B$1+((Inputs!$G$5:$G$110&lt;&gt;"moeda")*(Inputs!$G$5:$G$110&lt;&gt;"acoes")))*INDEX(Inputs!$K$5:$AJ$110,0,MATCH(Y$2,Inputs!$K$4:$AJ$4,0)))+SUMPRODUCT((Inputs!$C$5:$C$110=$B19)*Inputs!$D$5:$D$110*(((Inputs!$G$5:$G$110="moeda")+(Inputs!$G$5:$G$110="acoes"))*Inputs!$B$1+((Inputs!$G$5:$G$110&lt;&gt;"moeda")*(Inputs!$G$5:$G$110&lt;&gt;"acoes")))*INDEX(Inputs!$K$5:$AJ$110,0,MATCH(Y$2,Inputs!$K$4:$AJ$4,0)))+SUMPRODUCT((Inputs!$E$5:$E$110=$B19)*Inputs!$F$5:$F$110*(((Inputs!$G$5:$G$110="moeda")+(Inputs!$G$5:$G$110="acoes"))*Inputs!$B$1+((Inputs!$G$5:$G$110&lt;&gt;"moeda")*(Inputs!$G$5:$G$110&lt;&gt;"acoes")))*INDEX(Inputs!$K$5:$AJ$110,0,MATCH(Y$2,Inputs!$K$4:$AJ$4,0)))))</f>
        <v>0</v>
      </c>
      <c r="Z19" s="267">
        <f>IF(ISNA(MATCH(Z$2,Inputs!$K$4:$AJ$4,0)),NA(),IF(SUMPRODUCT((Inputs!$A$5:$A$110=$B19)*ISNUMBER(INDEX(Inputs!$K$5:$AJ$110,0,MATCH(Z$2,Inputs!$K$4:$AJ$4,0))))+SUMPRODUCT((Inputs!$C$5:$C$110=$B19)*ISNUMBER(INDEX(Inputs!$K$5:$AJ$110,0,MATCH(Z$2,Inputs!$K$4:$AJ$4,0))))+SUMPRODUCT((Inputs!$E$5:$E$110=$B19)*ISNUMBER(INDEX(Inputs!$K$5:$AJ$110,0,MATCH(Z$2,Inputs!$K$4:$AJ$4,0))))=0,NA(),SUMPRODUCT((Inputs!$A$5:$A$110=$B19)*Inputs!$B$5:$B$110*(((Inputs!$G$5:$G$110="moeda")+(Inputs!$G$5:$G$110="acoes"))*Inputs!$B$1+((Inputs!$G$5:$G$110&lt;&gt;"moeda")*(Inputs!$G$5:$G$110&lt;&gt;"acoes")))*INDEX(Inputs!$K$5:$AJ$110,0,MATCH(Z$2,Inputs!$K$4:$AJ$4,0)))+SUMPRODUCT((Inputs!$C$5:$C$110=$B19)*Inputs!$D$5:$D$110*(((Inputs!$G$5:$G$110="moeda")+(Inputs!$G$5:$G$110="acoes"))*Inputs!$B$1+((Inputs!$G$5:$G$110&lt;&gt;"moeda")*(Inputs!$G$5:$G$110&lt;&gt;"acoes")))*INDEX(Inputs!$K$5:$AJ$110,0,MATCH(Z$2,Inputs!$K$4:$AJ$4,0)))+SUMPRODUCT((Inputs!$E$5:$E$110=$B19)*Inputs!$F$5:$F$110*(((Inputs!$G$5:$G$110="moeda")+(Inputs!$G$5:$G$110="acoes"))*Inputs!$B$1+((Inputs!$G$5:$G$110&lt;&gt;"moeda")*(Inputs!$G$5:$G$110&lt;&gt;"acoes")))*INDEX(Inputs!$K$5:$AJ$110,0,MATCH(Z$2,Inputs!$K$4:$AJ$4,0)))))</f>
        <v>0</v>
      </c>
      <c r="AA19" s="267">
        <f>IF(ISNA(MATCH(AA$2,Inputs!$K$4:$AJ$4,0)),NA(),IF(SUMPRODUCT((Inputs!$A$5:$A$110=$B19)*ISNUMBER(INDEX(Inputs!$K$5:$AJ$110,0,MATCH(AA$2,Inputs!$K$4:$AJ$4,0))))+SUMPRODUCT((Inputs!$C$5:$C$110=$B19)*ISNUMBER(INDEX(Inputs!$K$5:$AJ$110,0,MATCH(AA$2,Inputs!$K$4:$AJ$4,0))))+SUMPRODUCT((Inputs!$E$5:$E$110=$B19)*ISNUMBER(INDEX(Inputs!$K$5:$AJ$110,0,MATCH(AA$2,Inputs!$K$4:$AJ$4,0))))=0,NA(),SUMPRODUCT((Inputs!$A$5:$A$110=$B19)*Inputs!$B$5:$B$110*(((Inputs!$G$5:$G$110="moeda")+(Inputs!$G$5:$G$110="acoes"))*Inputs!$B$1+((Inputs!$G$5:$G$110&lt;&gt;"moeda")*(Inputs!$G$5:$G$110&lt;&gt;"acoes")))*INDEX(Inputs!$K$5:$AJ$110,0,MATCH(AA$2,Inputs!$K$4:$AJ$4,0)))+SUMPRODUCT((Inputs!$C$5:$C$110=$B19)*Inputs!$D$5:$D$110*(((Inputs!$G$5:$G$110="moeda")+(Inputs!$G$5:$G$110="acoes"))*Inputs!$B$1+((Inputs!$G$5:$G$110&lt;&gt;"moeda")*(Inputs!$G$5:$G$110&lt;&gt;"acoes")))*INDEX(Inputs!$K$5:$AJ$110,0,MATCH(AA$2,Inputs!$K$4:$AJ$4,0)))+SUMPRODUCT((Inputs!$E$5:$E$110=$B19)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9" s="268">
        <f>AA19</f>
        <v>0</v>
      </c>
      <c r="AC19" s="267">
        <f>IF(ISNA(MATCH(AC$2,Inputs!$K$4:$AJ$4,0)),NA(),IF(SUMPRODUCT((Inputs!$A$5:$A$110=$B19)*ISNUMBER(INDEX(Inputs!$K$5:$AJ$110,0,MATCH(AC$2,Inputs!$K$4:$AJ$4,0))))+SUMPRODUCT((Inputs!$C$5:$C$110=$B19)*ISNUMBER(INDEX(Inputs!$K$5:$AJ$110,0,MATCH(AC$2,Inputs!$K$4:$AJ$4,0))))+SUMPRODUCT((Inputs!$E$5:$E$110=$B19)*ISNUMBER(INDEX(Inputs!$K$5:$AJ$110,0,MATCH(AC$2,Inputs!$K$4:$AJ$4,0))))=0,NA(),SUMPRODUCT((Inputs!$A$5:$A$110=$B19)*Inputs!$B$5:$B$110*(((Inputs!$G$5:$G$110="moeda")+(Inputs!$G$5:$G$110="acoes"))*Inputs!$B$1+((Inputs!$G$5:$G$110&lt;&gt;"moeda")*(Inputs!$G$5:$G$110&lt;&gt;"acoes")))*INDEX(Inputs!$K$5:$AJ$110,0,MATCH(AC$2,Inputs!$K$4:$AJ$4,0)))+SUMPRODUCT((Inputs!$C$5:$C$110=$B19)*Inputs!$D$5:$D$110*(((Inputs!$G$5:$G$110="moeda")+(Inputs!$G$5:$G$110="acoes"))*Inputs!$B$1+((Inputs!$G$5:$G$110&lt;&gt;"moeda")*(Inputs!$G$5:$G$110&lt;&gt;"acoes")))*INDEX(Inputs!$K$5:$AJ$110,0,MATCH(AC$2,Inputs!$K$4:$AJ$4,0)))+SUMPRODUCT((Inputs!$E$5:$E$110=$B19)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9" s="267">
        <f>IF(ISNA(MATCH(AD$2,Inputs!$K$4:$AJ$4,0)),NA(),IF(SUMPRODUCT((Inputs!$A$5:$A$110=$B19)*ISNUMBER(INDEX(Inputs!$K$5:$AJ$110,0,MATCH(AD$2,Inputs!$K$4:$AJ$4,0))))+SUMPRODUCT((Inputs!$C$5:$C$110=$B19)*ISNUMBER(INDEX(Inputs!$K$5:$AJ$110,0,MATCH(AD$2,Inputs!$K$4:$AJ$4,0))))+SUMPRODUCT((Inputs!$E$5:$E$110=$B19)*ISNUMBER(INDEX(Inputs!$K$5:$AJ$110,0,MATCH(AD$2,Inputs!$K$4:$AJ$4,0))))=0,NA(),SUMPRODUCT((Inputs!$A$5:$A$110=$B19)*Inputs!$B$5:$B$110*(((Inputs!$G$5:$G$110="moeda")+(Inputs!$G$5:$G$110="acoes"))*Inputs!$B$1+((Inputs!$G$5:$G$110&lt;&gt;"moeda")*(Inputs!$G$5:$G$110&lt;&gt;"acoes")))*INDEX(Inputs!$K$5:$AJ$110,0,MATCH(AD$2,Inputs!$K$4:$AJ$4,0)))+SUMPRODUCT((Inputs!$C$5:$C$110=$B19)*Inputs!$D$5:$D$110*(((Inputs!$G$5:$G$110="moeda")+(Inputs!$G$5:$G$110="acoes"))*Inputs!$B$1+((Inputs!$G$5:$G$110&lt;&gt;"moeda")*(Inputs!$G$5:$G$110&lt;&gt;"acoes")))*INDEX(Inputs!$K$5:$AJ$110,0,MATCH(AD$2,Inputs!$K$4:$AJ$4,0)))+SUMPRODUCT((Inputs!$E$5:$E$110=$B19)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9" s="267" t="e">
        <f>IF(ISNA(MATCH(AE$2,Inputs!$K$4:$AJ$4,0)),NA(),IF(SUMPRODUCT((Inputs!$A$5:$A$110=$B19)*ISNUMBER(INDEX(Inputs!$K$5:$AJ$110,0,MATCH(AE$2,Inputs!$K$4:$AJ$4,0))))+SUMPRODUCT((Inputs!$C$5:$C$110=$B19)*ISNUMBER(INDEX(Inputs!$K$5:$AJ$110,0,MATCH(AE$2,Inputs!$K$4:$AJ$4,0))))+SUMPRODUCT((Inputs!$E$5:$E$110=$B19)*ISNUMBER(INDEX(Inputs!$K$5:$AJ$110,0,MATCH(AE$2,Inputs!$K$4:$AJ$4,0))))=0,NA(),SUMPRODUCT((Inputs!$A$5:$A$110=$B19)*Inputs!$B$5:$B$110*(((Inputs!$G$5:$G$110="moeda")+(Inputs!$G$5:$G$110="acoes"))*Inputs!$B$1+((Inputs!$G$5:$G$110&lt;&gt;"moeda")*(Inputs!$G$5:$G$110&lt;&gt;"acoes")))*INDEX(Inputs!$K$5:$AJ$110,0,MATCH(AE$2,Inputs!$K$4:$AJ$4,0)))+SUMPRODUCT((Inputs!$C$5:$C$110=$B19)*Inputs!$D$5:$D$110*(((Inputs!$G$5:$G$110="moeda")+(Inputs!$G$5:$G$110="acoes"))*Inputs!$B$1+((Inputs!$G$5:$G$110&lt;&gt;"moeda")*(Inputs!$G$5:$G$110&lt;&gt;"acoes")))*INDEX(Inputs!$K$5:$AJ$110,0,MATCH(AE$2,Inputs!$K$4:$AJ$4,0)))+SUMPRODUCT((Inputs!$E$5:$E$110=$B19)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9" s="267" t="e">
        <f>IF(ISNA(MATCH(AF$2,Inputs!$K$4:$AJ$4,0)),NA(),IF(SUMPRODUCT((Inputs!$A$5:$A$110=$B19)*ISNUMBER(INDEX(Inputs!$K$5:$AJ$110,0,MATCH(AF$2,Inputs!$K$4:$AJ$4,0))))+SUMPRODUCT((Inputs!$C$5:$C$110=$B19)*ISNUMBER(INDEX(Inputs!$K$5:$AJ$110,0,MATCH(AF$2,Inputs!$K$4:$AJ$4,0))))+SUMPRODUCT((Inputs!$E$5:$E$110=$B19)*ISNUMBER(INDEX(Inputs!$K$5:$AJ$110,0,MATCH(AF$2,Inputs!$K$4:$AJ$4,0))))=0,NA(),SUMPRODUCT((Inputs!$A$5:$A$110=$B19)*Inputs!$B$5:$B$110*(((Inputs!$G$5:$G$110="moeda")+(Inputs!$G$5:$G$110="acoes"))*Inputs!$B$1+((Inputs!$G$5:$G$110&lt;&gt;"moeda")*(Inputs!$G$5:$G$110&lt;&gt;"acoes")))*INDEX(Inputs!$K$5:$AJ$110,0,MATCH(AF$2,Inputs!$K$4:$AJ$4,0)))+SUMPRODUCT((Inputs!$C$5:$C$110=$B19)*Inputs!$D$5:$D$110*(((Inputs!$G$5:$G$110="moeda")+(Inputs!$G$5:$G$110="acoes"))*Inputs!$B$1+((Inputs!$G$5:$G$110&lt;&gt;"moeda")*(Inputs!$G$5:$G$110&lt;&gt;"acoes")))*INDEX(Inputs!$K$5:$AJ$110,0,MATCH(AF$2,Inputs!$K$4:$AJ$4,0)))+SUMPRODUCT((Inputs!$E$5:$E$110=$B19)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9" s="268" t="e">
        <f>AF19</f>
        <v>#N/A</v>
      </c>
      <c r="AH19" s="267">
        <f>IF(ISNA(MATCH(AH$2,Inputs!$K$4:$AJ$4,0)),NA(),IF(SUMPRODUCT((Inputs!$A$5:$A$110=$B19)*ISNUMBER(INDEX(Inputs!$K$5:$AJ$110,0,MATCH(AH$2,Inputs!$K$4:$AJ$4,0))))+SUMPRODUCT((Inputs!$C$5:$C$110=$B19)*ISNUMBER(INDEX(Inputs!$K$5:$AJ$110,0,MATCH(AH$2,Inputs!$K$4:$AJ$4,0))))+SUMPRODUCT((Inputs!$E$5:$E$110=$B19)*ISNUMBER(INDEX(Inputs!$K$5:$AJ$110,0,MATCH(AH$2,Inputs!$K$4:$AJ$4,0))))=0,NA(),SUMPRODUCT((Inputs!$A$5:$A$110=$B19)*Inputs!$B$5:$B$110*(((Inputs!$G$5:$G$110="moeda")+(Inputs!$G$5:$G$110="acoes"))*Inputs!$B$1+((Inputs!$G$5:$G$110&lt;&gt;"moeda")*(Inputs!$G$5:$G$110&lt;&gt;"acoes")))*INDEX(Inputs!$K$5:$AJ$110,0,MATCH(AH$2,Inputs!$K$4:$AJ$4,0)))+SUMPRODUCT((Inputs!$C$5:$C$110=$B19)*Inputs!$D$5:$D$110*(((Inputs!$G$5:$G$110="moeda")+(Inputs!$G$5:$G$110="acoes"))*Inputs!$B$1+((Inputs!$G$5:$G$110&lt;&gt;"moeda")*(Inputs!$G$5:$G$110&lt;&gt;"acoes")))*INDEX(Inputs!$K$5:$AJ$110,0,MATCH(AH$2,Inputs!$K$4:$AJ$4,0)))+SUMPRODUCT((Inputs!$E$5:$E$110=$B19)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9" s="267">
        <f>IF(ISNA(MATCH(AI$2,Inputs!$K$4:$AJ$4,0)),NA(),IF(SUMPRODUCT((Inputs!$A$5:$A$110=$B19)*ISNUMBER(INDEX(Inputs!$K$5:$AJ$110,0,MATCH(AI$2,Inputs!$K$4:$AJ$4,0))))+SUMPRODUCT((Inputs!$C$5:$C$110=$B19)*ISNUMBER(INDEX(Inputs!$K$5:$AJ$110,0,MATCH(AI$2,Inputs!$K$4:$AJ$4,0))))+SUMPRODUCT((Inputs!$E$5:$E$110=$B19)*ISNUMBER(INDEX(Inputs!$K$5:$AJ$110,0,MATCH(AI$2,Inputs!$K$4:$AJ$4,0))))=0,NA(),SUMPRODUCT((Inputs!$A$5:$A$110=$B19)*Inputs!$B$5:$B$110*(((Inputs!$G$5:$G$110="moeda")+(Inputs!$G$5:$G$110="acoes"))*Inputs!$B$1+((Inputs!$G$5:$G$110&lt;&gt;"moeda")*(Inputs!$G$5:$G$110&lt;&gt;"acoes")))*INDEX(Inputs!$K$5:$AJ$110,0,MATCH(AI$2,Inputs!$K$4:$AJ$4,0)))+SUMPRODUCT((Inputs!$C$5:$C$110=$B19)*Inputs!$D$5:$D$110*(((Inputs!$G$5:$G$110="moeda")+(Inputs!$G$5:$G$110="acoes"))*Inputs!$B$1+((Inputs!$G$5:$G$110&lt;&gt;"moeda")*(Inputs!$G$5:$G$110&lt;&gt;"acoes")))*INDEX(Inputs!$K$5:$AJ$110,0,MATCH(AI$2,Inputs!$K$4:$AJ$4,0)))+SUMPRODUCT((Inputs!$E$5:$E$110=$B19)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9" s="267">
        <f>IF(ISNA(MATCH(AJ$2,Inputs!$K$4:$AJ$4,0)),NA(),IF(SUMPRODUCT((Inputs!$A$5:$A$110=$B19)*ISNUMBER(INDEX(Inputs!$K$5:$AJ$110,0,MATCH(AJ$2,Inputs!$K$4:$AJ$4,0))))+SUMPRODUCT((Inputs!$C$5:$C$110=$B19)*ISNUMBER(INDEX(Inputs!$K$5:$AJ$110,0,MATCH(AJ$2,Inputs!$K$4:$AJ$4,0))))+SUMPRODUCT((Inputs!$E$5:$E$110=$B19)*ISNUMBER(INDEX(Inputs!$K$5:$AJ$110,0,MATCH(AJ$2,Inputs!$K$4:$AJ$4,0))))=0,NA(),SUMPRODUCT((Inputs!$A$5:$A$110=$B19)*Inputs!$B$5:$B$110*(((Inputs!$G$5:$G$110="moeda")+(Inputs!$G$5:$G$110="acoes"))*Inputs!$B$1+((Inputs!$G$5:$G$110&lt;&gt;"moeda")*(Inputs!$G$5:$G$110&lt;&gt;"acoes")))*INDEX(Inputs!$K$5:$AJ$110,0,MATCH(AJ$2,Inputs!$K$4:$AJ$4,0)))+SUMPRODUCT((Inputs!$C$5:$C$110=$B19)*Inputs!$D$5:$D$110*(((Inputs!$G$5:$G$110="moeda")+(Inputs!$G$5:$G$110="acoes"))*Inputs!$B$1+((Inputs!$G$5:$G$110&lt;&gt;"moeda")*(Inputs!$G$5:$G$110&lt;&gt;"acoes")))*INDEX(Inputs!$K$5:$AJ$110,0,MATCH(AJ$2,Inputs!$K$4:$AJ$4,0)))+SUMPRODUCT((Inputs!$E$5:$E$110=$B19)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9" s="267">
        <f>IF(ISNA(MATCH(AK$2,Inputs!$K$4:$AJ$4,0)),NA(),IF(SUMPRODUCT((Inputs!$A$5:$A$110=$B19)*ISNUMBER(INDEX(Inputs!$K$5:$AJ$110,0,MATCH(AK$2,Inputs!$K$4:$AJ$4,0))))+SUMPRODUCT((Inputs!$C$5:$C$110=$B19)*ISNUMBER(INDEX(Inputs!$K$5:$AJ$110,0,MATCH(AK$2,Inputs!$K$4:$AJ$4,0))))+SUMPRODUCT((Inputs!$E$5:$E$110=$B19)*ISNUMBER(INDEX(Inputs!$K$5:$AJ$110,0,MATCH(AK$2,Inputs!$K$4:$AJ$4,0))))=0,NA(),SUMPRODUCT((Inputs!$A$5:$A$110=$B19)*Inputs!$B$5:$B$110*(((Inputs!$G$5:$G$110="moeda")+(Inputs!$G$5:$G$110="acoes"))*Inputs!$B$1+((Inputs!$G$5:$G$110&lt;&gt;"moeda")*(Inputs!$G$5:$G$110&lt;&gt;"acoes")))*INDEX(Inputs!$K$5:$AJ$110,0,MATCH(AK$2,Inputs!$K$4:$AJ$4,0)))+SUMPRODUCT((Inputs!$C$5:$C$110=$B19)*Inputs!$D$5:$D$110*(((Inputs!$G$5:$G$110="moeda")+(Inputs!$G$5:$G$110="acoes"))*Inputs!$B$1+((Inputs!$G$5:$G$110&lt;&gt;"moeda")*(Inputs!$G$5:$G$110&lt;&gt;"acoes")))*INDEX(Inputs!$K$5:$AJ$110,0,MATCH(AK$2,Inputs!$K$4:$AJ$4,0)))+SUMPRODUCT((Inputs!$E$5:$E$110=$B19)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9" s="268">
        <f>AK19</f>
        <v>0</v>
      </c>
    </row>
    <row r="20" ht="12.75" customHeight="1" s="255">
      <c r="B20" s="265" t="n">
        <v>16</v>
      </c>
      <c r="C20" s="270" t="inlineStr">
        <is>
          <t>Other current assets</t>
        </is>
      </c>
      <c r="D20" s="267">
        <f>IF(ISNA(MATCH(D$2,Inputs!$K$4:$AJ$4,0)),NA(),IF(SUMPRODUCT((Inputs!$A$5:$A$110=$B20)*ISNUMBER(INDEX(Inputs!$K$5:$AJ$110,0,MATCH(D$2,Inputs!$K$4:$AJ$4,0))))+SUMPRODUCT((Inputs!$C$5:$C$110=$B20)*ISNUMBER(INDEX(Inputs!$K$5:$AJ$110,0,MATCH(D$2,Inputs!$K$4:$AJ$4,0))))+SUMPRODUCT((Inputs!$E$5:$E$110=$B20)*ISNUMBER(INDEX(Inputs!$K$5:$AJ$110,0,MATCH(D$2,Inputs!$K$4:$AJ$4,0))))=0,NA(),SUMPRODUCT((Inputs!$A$5:$A$110=$B20)*Inputs!$B$5:$B$110*(((Inputs!$G$5:$G$110="moeda")+(Inputs!$G$5:$G$110="acoes"))*Inputs!$B$1+((Inputs!$G$5:$G$110&lt;&gt;"moeda")*(Inputs!$G$5:$G$110&lt;&gt;"acoes")))*INDEX(Inputs!$K$5:$AJ$110,0,MATCH(D$2,Inputs!$K$4:$AJ$4,0)))+SUMPRODUCT((Inputs!$C$5:$C$110=$B20)*Inputs!$D$5:$D$110*(((Inputs!$G$5:$G$110="moeda")+(Inputs!$G$5:$G$110="acoes"))*Inputs!$B$1+((Inputs!$G$5:$G$110&lt;&gt;"moeda")*(Inputs!$G$5:$G$110&lt;&gt;"acoes")))*INDEX(Inputs!$K$5:$AJ$110,0,MATCH(D$2,Inputs!$K$4:$AJ$4,0)))+SUMPRODUCT((Inputs!$E$5:$E$110=$B20)*Inputs!$F$5:$F$110*(((Inputs!$G$5:$G$110="moeda")+(Inputs!$G$5:$G$110="acoes"))*Inputs!$B$1+((Inputs!$G$5:$G$110&lt;&gt;"moeda")*(Inputs!$G$5:$G$110&lt;&gt;"acoes")))*INDEX(Inputs!$K$5:$AJ$110,0,MATCH(D$2,Inputs!$K$4:$AJ$4,0)))))</f>
        <v>1565</v>
      </c>
      <c r="E20" s="267">
        <f>IF(ISNA(MATCH(E$2,Inputs!$K$4:$AJ$4,0)),NA(),IF(SUMPRODUCT((Inputs!$A$5:$A$110=$B20)*ISNUMBER(INDEX(Inputs!$K$5:$AJ$110,0,MATCH(E$2,Inputs!$K$4:$AJ$4,0))))+SUMPRODUCT((Inputs!$C$5:$C$110=$B20)*ISNUMBER(INDEX(Inputs!$K$5:$AJ$110,0,MATCH(E$2,Inputs!$K$4:$AJ$4,0))))+SUMPRODUCT((Inputs!$E$5:$E$110=$B20)*ISNUMBER(INDEX(Inputs!$K$5:$AJ$110,0,MATCH(E$2,Inputs!$K$4:$AJ$4,0))))=0,NA(),SUMPRODUCT((Inputs!$A$5:$A$110=$B20)*Inputs!$B$5:$B$110*(((Inputs!$G$5:$G$110="moeda")+(Inputs!$G$5:$G$110="acoes"))*Inputs!$B$1+((Inputs!$G$5:$G$110&lt;&gt;"moeda")*(Inputs!$G$5:$G$110&lt;&gt;"acoes")))*INDEX(Inputs!$K$5:$AJ$110,0,MATCH(E$2,Inputs!$K$4:$AJ$4,0)))+SUMPRODUCT((Inputs!$C$5:$C$110=$B20)*Inputs!$D$5:$D$110*(((Inputs!$G$5:$G$110="moeda")+(Inputs!$G$5:$G$110="acoes"))*Inputs!$B$1+((Inputs!$G$5:$G$110&lt;&gt;"moeda")*(Inputs!$G$5:$G$110&lt;&gt;"acoes")))*INDEX(Inputs!$K$5:$AJ$110,0,MATCH(E$2,Inputs!$K$4:$AJ$4,0)))+SUMPRODUCT((Inputs!$E$5:$E$110=$B20)*Inputs!$F$5:$F$110*(((Inputs!$G$5:$G$110="moeda")+(Inputs!$G$5:$G$110="acoes"))*Inputs!$B$1+((Inputs!$G$5:$G$110&lt;&gt;"moeda")*(Inputs!$G$5:$G$110&lt;&gt;"acoes")))*INDEX(Inputs!$K$5:$AJ$110,0,MATCH(E$2,Inputs!$K$4:$AJ$4,0)))))</f>
        <v>1555</v>
      </c>
      <c r="F20" s="267">
        <f>IF(ISNA(MATCH(F$2,Inputs!$K$4:$AJ$4,0)),NA(),IF(SUMPRODUCT((Inputs!$A$5:$A$110=$B20)*ISNUMBER(INDEX(Inputs!$K$5:$AJ$110,0,MATCH(F$2,Inputs!$K$4:$AJ$4,0))))+SUMPRODUCT((Inputs!$C$5:$C$110=$B20)*ISNUMBER(INDEX(Inputs!$K$5:$AJ$110,0,MATCH(F$2,Inputs!$K$4:$AJ$4,0))))+SUMPRODUCT((Inputs!$E$5:$E$110=$B20)*ISNUMBER(INDEX(Inputs!$K$5:$AJ$110,0,MATCH(F$2,Inputs!$K$4:$AJ$4,0))))=0,NA(),SUMPRODUCT((Inputs!$A$5:$A$110=$B20)*Inputs!$B$5:$B$110*(((Inputs!$G$5:$G$110="moeda")+(Inputs!$G$5:$G$110="acoes"))*Inputs!$B$1+((Inputs!$G$5:$G$110&lt;&gt;"moeda")*(Inputs!$G$5:$G$110&lt;&gt;"acoes")))*INDEX(Inputs!$K$5:$AJ$110,0,MATCH(F$2,Inputs!$K$4:$AJ$4,0)))+SUMPRODUCT((Inputs!$C$5:$C$110=$B20)*Inputs!$D$5:$D$110*(((Inputs!$G$5:$G$110="moeda")+(Inputs!$G$5:$G$110="acoes"))*Inputs!$B$1+((Inputs!$G$5:$G$110&lt;&gt;"moeda")*(Inputs!$G$5:$G$110&lt;&gt;"acoes")))*INDEX(Inputs!$K$5:$AJ$110,0,MATCH(F$2,Inputs!$K$4:$AJ$4,0)))+SUMPRODUCT((Inputs!$E$5:$E$110=$B20)*Inputs!$F$5:$F$110*(((Inputs!$G$5:$G$110="moeda")+(Inputs!$G$5:$G$110="acoes"))*Inputs!$B$1+((Inputs!$G$5:$G$110&lt;&gt;"moeda")*(Inputs!$G$5:$G$110&lt;&gt;"acoes")))*INDEX(Inputs!$K$5:$AJ$110,0,MATCH(F$2,Inputs!$K$4:$AJ$4,0)))))</f>
        <v>2020</v>
      </c>
      <c r="G20" s="267">
        <f>IF(ISNA(MATCH(G$2,Inputs!$K$4:$AJ$4,0)),NA(),IF(SUMPRODUCT((Inputs!$A$5:$A$110=$B20)*ISNUMBER(INDEX(Inputs!$K$5:$AJ$110,0,MATCH(G$2,Inputs!$K$4:$AJ$4,0))))+SUMPRODUCT((Inputs!$C$5:$C$110=$B20)*ISNUMBER(INDEX(Inputs!$K$5:$AJ$110,0,MATCH(G$2,Inputs!$K$4:$AJ$4,0))))+SUMPRODUCT((Inputs!$E$5:$E$110=$B20)*ISNUMBER(INDEX(Inputs!$K$5:$AJ$110,0,MATCH(G$2,Inputs!$K$4:$AJ$4,0))))=0,NA(),SUMPRODUCT((Inputs!$A$5:$A$110=$B20)*Inputs!$B$5:$B$110*(((Inputs!$G$5:$G$110="moeda")+(Inputs!$G$5:$G$110="acoes"))*Inputs!$B$1+((Inputs!$G$5:$G$110&lt;&gt;"moeda")*(Inputs!$G$5:$G$110&lt;&gt;"acoes")))*INDEX(Inputs!$K$5:$AJ$110,0,MATCH(G$2,Inputs!$K$4:$AJ$4,0)))+SUMPRODUCT((Inputs!$C$5:$C$110=$B20)*Inputs!$D$5:$D$110*(((Inputs!$G$5:$G$110="moeda")+(Inputs!$G$5:$G$110="acoes"))*Inputs!$B$1+((Inputs!$G$5:$G$110&lt;&gt;"moeda")*(Inputs!$G$5:$G$110&lt;&gt;"acoes")))*INDEX(Inputs!$K$5:$AJ$110,0,MATCH(G$2,Inputs!$K$4:$AJ$4,0)))+SUMPRODUCT((Inputs!$E$5:$E$110=$B20)*Inputs!$F$5:$F$110*(((Inputs!$G$5:$G$110="moeda")+(Inputs!$G$5:$G$110="acoes"))*Inputs!$B$1+((Inputs!$G$5:$G$110&lt;&gt;"moeda")*(Inputs!$G$5:$G$110&lt;&gt;"acoes")))*INDEX(Inputs!$K$5:$AJ$110,0,MATCH(G$2,Inputs!$K$4:$AJ$4,0)))))</f>
        <v>1519</v>
      </c>
      <c r="H20" s="268">
        <f>G20</f>
        <v>1519</v>
      </c>
      <c r="I20" s="267">
        <f>IF(ISNA(MATCH(I$2,Inputs!$K$4:$AJ$4,0)),NA(),IF(SUMPRODUCT((Inputs!$A$5:$A$110=$B20)*ISNUMBER(INDEX(Inputs!$K$5:$AJ$110,0,MATCH(I$2,Inputs!$K$4:$AJ$4,0))))+SUMPRODUCT((Inputs!$C$5:$C$110=$B20)*ISNUMBER(INDEX(Inputs!$K$5:$AJ$110,0,MATCH(I$2,Inputs!$K$4:$AJ$4,0))))+SUMPRODUCT((Inputs!$E$5:$E$110=$B20)*ISNUMBER(INDEX(Inputs!$K$5:$AJ$110,0,MATCH(I$2,Inputs!$K$4:$AJ$4,0))))=0,NA(),SUMPRODUCT((Inputs!$A$5:$A$110=$B20)*Inputs!$B$5:$B$110*(((Inputs!$G$5:$G$110="moeda")+(Inputs!$G$5:$G$110="acoes"))*Inputs!$B$1+((Inputs!$G$5:$G$110&lt;&gt;"moeda")*(Inputs!$G$5:$G$110&lt;&gt;"acoes")))*INDEX(Inputs!$K$5:$AJ$110,0,MATCH(I$2,Inputs!$K$4:$AJ$4,0)))+SUMPRODUCT((Inputs!$C$5:$C$110=$B20)*Inputs!$D$5:$D$110*(((Inputs!$G$5:$G$110="moeda")+(Inputs!$G$5:$G$110="acoes"))*Inputs!$B$1+((Inputs!$G$5:$G$110&lt;&gt;"moeda")*(Inputs!$G$5:$G$110&lt;&gt;"acoes")))*INDEX(Inputs!$K$5:$AJ$110,0,MATCH(I$2,Inputs!$K$4:$AJ$4,0)))+SUMPRODUCT((Inputs!$E$5:$E$110=$B20)*Inputs!$F$5:$F$110*(((Inputs!$G$5:$G$110="moeda")+(Inputs!$G$5:$G$110="acoes"))*Inputs!$B$1+((Inputs!$G$5:$G$110&lt;&gt;"moeda")*(Inputs!$G$5:$G$110&lt;&gt;"acoes")))*INDEX(Inputs!$K$5:$AJ$110,0,MATCH(I$2,Inputs!$K$4:$AJ$4,0)))))</f>
        <v>2500</v>
      </c>
      <c r="J20" s="267">
        <f>IF(ISNA(MATCH(J$2,Inputs!$K$4:$AJ$4,0)),NA(),IF(SUMPRODUCT((Inputs!$A$5:$A$110=$B20)*ISNUMBER(INDEX(Inputs!$K$5:$AJ$110,0,MATCH(J$2,Inputs!$K$4:$AJ$4,0))))+SUMPRODUCT((Inputs!$C$5:$C$110=$B20)*ISNUMBER(INDEX(Inputs!$K$5:$AJ$110,0,MATCH(J$2,Inputs!$K$4:$AJ$4,0))))+SUMPRODUCT((Inputs!$E$5:$E$110=$B20)*ISNUMBER(INDEX(Inputs!$K$5:$AJ$110,0,MATCH(J$2,Inputs!$K$4:$AJ$4,0))))=0,NA(),SUMPRODUCT((Inputs!$A$5:$A$110=$B20)*Inputs!$B$5:$B$110*(((Inputs!$G$5:$G$110="moeda")+(Inputs!$G$5:$G$110="acoes"))*Inputs!$B$1+((Inputs!$G$5:$G$110&lt;&gt;"moeda")*(Inputs!$G$5:$G$110&lt;&gt;"acoes")))*INDEX(Inputs!$K$5:$AJ$110,0,MATCH(J$2,Inputs!$K$4:$AJ$4,0)))+SUMPRODUCT((Inputs!$C$5:$C$110=$B20)*Inputs!$D$5:$D$110*(((Inputs!$G$5:$G$110="moeda")+(Inputs!$G$5:$G$110="acoes"))*Inputs!$B$1+((Inputs!$G$5:$G$110&lt;&gt;"moeda")*(Inputs!$G$5:$G$110&lt;&gt;"acoes")))*INDEX(Inputs!$K$5:$AJ$110,0,MATCH(J$2,Inputs!$K$4:$AJ$4,0)))+SUMPRODUCT((Inputs!$E$5:$E$110=$B20)*Inputs!$F$5:$F$110*(((Inputs!$G$5:$G$110="moeda")+(Inputs!$G$5:$G$110="acoes"))*Inputs!$B$1+((Inputs!$G$5:$G$110&lt;&gt;"moeda")*(Inputs!$G$5:$G$110&lt;&gt;"acoes")))*INDEX(Inputs!$K$5:$AJ$110,0,MATCH(J$2,Inputs!$K$4:$AJ$4,0)))))</f>
        <v>2798</v>
      </c>
      <c r="K20" s="267">
        <f>IF(ISNA(MATCH(K$2,Inputs!$K$4:$AJ$4,0)),NA(),IF(SUMPRODUCT((Inputs!$A$5:$A$110=$B20)*ISNUMBER(INDEX(Inputs!$K$5:$AJ$110,0,MATCH(K$2,Inputs!$K$4:$AJ$4,0))))+SUMPRODUCT((Inputs!$C$5:$C$110=$B20)*ISNUMBER(INDEX(Inputs!$K$5:$AJ$110,0,MATCH(K$2,Inputs!$K$4:$AJ$4,0))))+SUMPRODUCT((Inputs!$E$5:$E$110=$B20)*ISNUMBER(INDEX(Inputs!$K$5:$AJ$110,0,MATCH(K$2,Inputs!$K$4:$AJ$4,0))))=0,NA(),SUMPRODUCT((Inputs!$A$5:$A$110=$B20)*Inputs!$B$5:$B$110*(((Inputs!$G$5:$G$110="moeda")+(Inputs!$G$5:$G$110="acoes"))*Inputs!$B$1+((Inputs!$G$5:$G$110&lt;&gt;"moeda")*(Inputs!$G$5:$G$110&lt;&gt;"acoes")))*INDEX(Inputs!$K$5:$AJ$110,0,MATCH(K$2,Inputs!$K$4:$AJ$4,0)))+SUMPRODUCT((Inputs!$C$5:$C$110=$B20)*Inputs!$D$5:$D$110*(((Inputs!$G$5:$G$110="moeda")+(Inputs!$G$5:$G$110="acoes"))*Inputs!$B$1+((Inputs!$G$5:$G$110&lt;&gt;"moeda")*(Inputs!$G$5:$G$110&lt;&gt;"acoes")))*INDEX(Inputs!$K$5:$AJ$110,0,MATCH(K$2,Inputs!$K$4:$AJ$4,0)))+SUMPRODUCT((Inputs!$E$5:$E$110=$B20)*Inputs!$F$5:$F$110*(((Inputs!$G$5:$G$110="moeda")+(Inputs!$G$5:$G$110="acoes"))*Inputs!$B$1+((Inputs!$G$5:$G$110&lt;&gt;"moeda")*(Inputs!$G$5:$G$110&lt;&gt;"acoes")))*INDEX(Inputs!$K$5:$AJ$110,0,MATCH(K$2,Inputs!$K$4:$AJ$4,0)))))</f>
        <v>3169</v>
      </c>
      <c r="L20" s="267">
        <f>IF(ISNA(MATCH(L$2,Inputs!$K$4:$AJ$4,0)),NA(),IF(SUMPRODUCT((Inputs!$A$5:$A$110=$B20)*ISNUMBER(INDEX(Inputs!$K$5:$AJ$110,0,MATCH(L$2,Inputs!$K$4:$AJ$4,0))))+SUMPRODUCT((Inputs!$C$5:$C$110=$B20)*ISNUMBER(INDEX(Inputs!$K$5:$AJ$110,0,MATCH(L$2,Inputs!$K$4:$AJ$4,0))))+SUMPRODUCT((Inputs!$E$5:$E$110=$B20)*ISNUMBER(INDEX(Inputs!$K$5:$AJ$110,0,MATCH(L$2,Inputs!$K$4:$AJ$4,0))))=0,NA(),SUMPRODUCT((Inputs!$A$5:$A$110=$B20)*Inputs!$B$5:$B$110*(((Inputs!$G$5:$G$110="moeda")+(Inputs!$G$5:$G$110="acoes"))*Inputs!$B$1+((Inputs!$G$5:$G$110&lt;&gt;"moeda")*(Inputs!$G$5:$G$110&lt;&gt;"acoes")))*INDEX(Inputs!$K$5:$AJ$110,0,MATCH(L$2,Inputs!$K$4:$AJ$4,0)))+SUMPRODUCT((Inputs!$C$5:$C$110=$B20)*Inputs!$D$5:$D$110*(((Inputs!$G$5:$G$110="moeda")+(Inputs!$G$5:$G$110="acoes"))*Inputs!$B$1+((Inputs!$G$5:$G$110&lt;&gt;"moeda")*(Inputs!$G$5:$G$110&lt;&gt;"acoes")))*INDEX(Inputs!$K$5:$AJ$110,0,MATCH(L$2,Inputs!$K$4:$AJ$4,0)))+SUMPRODUCT((Inputs!$E$5:$E$110=$B20)*Inputs!$F$5:$F$110*(((Inputs!$G$5:$G$110="moeda")+(Inputs!$G$5:$G$110="acoes"))*Inputs!$B$1+((Inputs!$G$5:$G$110&lt;&gt;"moeda")*(Inputs!$G$5:$G$110&lt;&gt;"acoes")))*INDEX(Inputs!$K$5:$AJ$110,0,MATCH(L$2,Inputs!$K$4:$AJ$4,0)))))</f>
        <v>2521</v>
      </c>
      <c r="M20" s="268">
        <f>L20</f>
        <v>2521</v>
      </c>
      <c r="N20" s="267">
        <f>IF(ISNA(MATCH(N$2,Inputs!$K$4:$AJ$4,0)),NA(),IF(SUMPRODUCT((Inputs!$A$5:$A$110=$B20)*ISNUMBER(INDEX(Inputs!$K$5:$AJ$110,0,MATCH(N$2,Inputs!$K$4:$AJ$4,0))))+SUMPRODUCT((Inputs!$C$5:$C$110=$B20)*ISNUMBER(INDEX(Inputs!$K$5:$AJ$110,0,MATCH(N$2,Inputs!$K$4:$AJ$4,0))))+SUMPRODUCT((Inputs!$E$5:$E$110=$B20)*ISNUMBER(INDEX(Inputs!$K$5:$AJ$110,0,MATCH(N$2,Inputs!$K$4:$AJ$4,0))))=0,NA(),SUMPRODUCT((Inputs!$A$5:$A$110=$B20)*Inputs!$B$5:$B$110*(((Inputs!$G$5:$G$110="moeda")+(Inputs!$G$5:$G$110="acoes"))*Inputs!$B$1+((Inputs!$G$5:$G$110&lt;&gt;"moeda")*(Inputs!$G$5:$G$110&lt;&gt;"acoes")))*INDEX(Inputs!$K$5:$AJ$110,0,MATCH(N$2,Inputs!$K$4:$AJ$4,0)))+SUMPRODUCT((Inputs!$C$5:$C$110=$B20)*Inputs!$D$5:$D$110*(((Inputs!$G$5:$G$110="moeda")+(Inputs!$G$5:$G$110="acoes"))*Inputs!$B$1+((Inputs!$G$5:$G$110&lt;&gt;"moeda")*(Inputs!$G$5:$G$110&lt;&gt;"acoes")))*INDEX(Inputs!$K$5:$AJ$110,0,MATCH(N$2,Inputs!$K$4:$AJ$4,0)))+SUMPRODUCT((Inputs!$E$5:$E$110=$B20)*Inputs!$F$5:$F$110*(((Inputs!$G$5:$G$110="moeda")+(Inputs!$G$5:$G$110="acoes"))*Inputs!$B$1+((Inputs!$G$5:$G$110&lt;&gt;"moeda")*(Inputs!$G$5:$G$110&lt;&gt;"acoes")))*INDEX(Inputs!$K$5:$AJ$110,0,MATCH(N$2,Inputs!$K$4:$AJ$4,0)))))</f>
        <v>3357</v>
      </c>
      <c r="O20" s="267">
        <f>IF(ISNA(MATCH(O$2,Inputs!$K$4:$AJ$4,0)),NA(),IF(SUMPRODUCT((Inputs!$A$5:$A$110=$B20)*ISNUMBER(INDEX(Inputs!$K$5:$AJ$110,0,MATCH(O$2,Inputs!$K$4:$AJ$4,0))))+SUMPRODUCT((Inputs!$C$5:$C$110=$B20)*ISNUMBER(INDEX(Inputs!$K$5:$AJ$110,0,MATCH(O$2,Inputs!$K$4:$AJ$4,0))))+SUMPRODUCT((Inputs!$E$5:$E$110=$B20)*ISNUMBER(INDEX(Inputs!$K$5:$AJ$110,0,MATCH(O$2,Inputs!$K$4:$AJ$4,0))))=0,NA(),SUMPRODUCT((Inputs!$A$5:$A$110=$B20)*Inputs!$B$5:$B$110*(((Inputs!$G$5:$G$110="moeda")+(Inputs!$G$5:$G$110="acoes"))*Inputs!$B$1+((Inputs!$G$5:$G$110&lt;&gt;"moeda")*(Inputs!$G$5:$G$110&lt;&gt;"acoes")))*INDEX(Inputs!$K$5:$AJ$110,0,MATCH(O$2,Inputs!$K$4:$AJ$4,0)))+SUMPRODUCT((Inputs!$C$5:$C$110=$B20)*Inputs!$D$5:$D$110*(((Inputs!$G$5:$G$110="moeda")+(Inputs!$G$5:$G$110="acoes"))*Inputs!$B$1+((Inputs!$G$5:$G$110&lt;&gt;"moeda")*(Inputs!$G$5:$G$110&lt;&gt;"acoes")))*INDEX(Inputs!$K$5:$AJ$110,0,MATCH(O$2,Inputs!$K$4:$AJ$4,0)))+SUMPRODUCT((Inputs!$E$5:$E$110=$B20)*Inputs!$F$5:$F$110*(((Inputs!$G$5:$G$110="moeda")+(Inputs!$G$5:$G$110="acoes"))*Inputs!$B$1+((Inputs!$G$5:$G$110&lt;&gt;"moeda")*(Inputs!$G$5:$G$110&lt;&gt;"acoes")))*INDEX(Inputs!$K$5:$AJ$110,0,MATCH(O$2,Inputs!$K$4:$AJ$4,0)))))</f>
        <v>3531</v>
      </c>
      <c r="P20" s="267">
        <f>IF(ISNA(MATCH(P$2,Inputs!$K$4:$AJ$4,0)),NA(),IF(SUMPRODUCT((Inputs!$A$5:$A$110=$B20)*ISNUMBER(INDEX(Inputs!$K$5:$AJ$110,0,MATCH(P$2,Inputs!$K$4:$AJ$4,0))))+SUMPRODUCT((Inputs!$C$5:$C$110=$B20)*ISNUMBER(INDEX(Inputs!$K$5:$AJ$110,0,MATCH(P$2,Inputs!$K$4:$AJ$4,0))))+SUMPRODUCT((Inputs!$E$5:$E$110=$B20)*ISNUMBER(INDEX(Inputs!$K$5:$AJ$110,0,MATCH(P$2,Inputs!$K$4:$AJ$4,0))))=0,NA(),SUMPRODUCT((Inputs!$A$5:$A$110=$B20)*Inputs!$B$5:$B$110*(((Inputs!$G$5:$G$110="moeda")+(Inputs!$G$5:$G$110="acoes"))*Inputs!$B$1+((Inputs!$G$5:$G$110&lt;&gt;"moeda")*(Inputs!$G$5:$G$110&lt;&gt;"acoes")))*INDEX(Inputs!$K$5:$AJ$110,0,MATCH(P$2,Inputs!$K$4:$AJ$4,0)))+SUMPRODUCT((Inputs!$C$5:$C$110=$B20)*Inputs!$D$5:$D$110*(((Inputs!$G$5:$G$110="moeda")+(Inputs!$G$5:$G$110="acoes"))*Inputs!$B$1+((Inputs!$G$5:$G$110&lt;&gt;"moeda")*(Inputs!$G$5:$G$110&lt;&gt;"acoes")))*INDEX(Inputs!$K$5:$AJ$110,0,MATCH(P$2,Inputs!$K$4:$AJ$4,0)))+SUMPRODUCT((Inputs!$E$5:$E$110=$B20)*Inputs!$F$5:$F$110*(((Inputs!$G$5:$G$110="moeda")+(Inputs!$G$5:$G$110="acoes"))*Inputs!$B$1+((Inputs!$G$5:$G$110&lt;&gt;"moeda")*(Inputs!$G$5:$G$110&lt;&gt;"acoes")))*INDEX(Inputs!$K$5:$AJ$110,0,MATCH(P$2,Inputs!$K$4:$AJ$4,0)))))</f>
        <v>3661</v>
      </c>
      <c r="Q20" s="267">
        <f>IF(ISNA(MATCH(Q$2,Inputs!$K$4:$AJ$4,0)),NA(),IF(SUMPRODUCT((Inputs!$A$5:$A$110=$B20)*ISNUMBER(INDEX(Inputs!$K$5:$AJ$110,0,MATCH(Q$2,Inputs!$K$4:$AJ$4,0))))+SUMPRODUCT((Inputs!$C$5:$C$110=$B20)*ISNUMBER(INDEX(Inputs!$K$5:$AJ$110,0,MATCH(Q$2,Inputs!$K$4:$AJ$4,0))))+SUMPRODUCT((Inputs!$E$5:$E$110=$B20)*ISNUMBER(INDEX(Inputs!$K$5:$AJ$110,0,MATCH(Q$2,Inputs!$K$4:$AJ$4,0))))=0,NA(),SUMPRODUCT((Inputs!$A$5:$A$110=$B20)*Inputs!$B$5:$B$110*(((Inputs!$G$5:$G$110="moeda")+(Inputs!$G$5:$G$110="acoes"))*Inputs!$B$1+((Inputs!$G$5:$G$110&lt;&gt;"moeda")*(Inputs!$G$5:$G$110&lt;&gt;"acoes")))*INDEX(Inputs!$K$5:$AJ$110,0,MATCH(Q$2,Inputs!$K$4:$AJ$4,0)))+SUMPRODUCT((Inputs!$C$5:$C$110=$B20)*Inputs!$D$5:$D$110*(((Inputs!$G$5:$G$110="moeda")+(Inputs!$G$5:$G$110="acoes"))*Inputs!$B$1+((Inputs!$G$5:$G$110&lt;&gt;"moeda")*(Inputs!$G$5:$G$110&lt;&gt;"acoes")))*INDEX(Inputs!$K$5:$AJ$110,0,MATCH(Q$2,Inputs!$K$4:$AJ$4,0)))+SUMPRODUCT((Inputs!$E$5:$E$110=$B20)*Inputs!$F$5:$F$110*(((Inputs!$G$5:$G$110="moeda")+(Inputs!$G$5:$G$110="acoes"))*Inputs!$B$1+((Inputs!$G$5:$G$110&lt;&gt;"moeda")*(Inputs!$G$5:$G$110&lt;&gt;"acoes")))*INDEX(Inputs!$K$5:$AJ$110,0,MATCH(Q$2,Inputs!$K$4:$AJ$4,0)))))</f>
        <v>3322</v>
      </c>
      <c r="R20" s="268">
        <f>Q20</f>
        <v>3322</v>
      </c>
      <c r="S20" s="267">
        <f>IF(ISNA(MATCH(S$2,Inputs!$K$4:$AJ$4,0)),NA(),IF(SUMPRODUCT((Inputs!$A$5:$A$110=$B20)*ISNUMBER(INDEX(Inputs!$K$5:$AJ$110,0,MATCH(S$2,Inputs!$K$4:$AJ$4,0))))+SUMPRODUCT((Inputs!$C$5:$C$110=$B20)*ISNUMBER(INDEX(Inputs!$K$5:$AJ$110,0,MATCH(S$2,Inputs!$K$4:$AJ$4,0))))+SUMPRODUCT((Inputs!$E$5:$E$110=$B20)*ISNUMBER(INDEX(Inputs!$K$5:$AJ$110,0,MATCH(S$2,Inputs!$K$4:$AJ$4,0))))=0,NA(),SUMPRODUCT((Inputs!$A$5:$A$110=$B20)*Inputs!$B$5:$B$110*(((Inputs!$G$5:$G$110="moeda")+(Inputs!$G$5:$G$110="acoes"))*Inputs!$B$1+((Inputs!$G$5:$G$110&lt;&gt;"moeda")*(Inputs!$G$5:$G$110&lt;&gt;"acoes")))*INDEX(Inputs!$K$5:$AJ$110,0,MATCH(S$2,Inputs!$K$4:$AJ$4,0)))+SUMPRODUCT((Inputs!$C$5:$C$110=$B20)*Inputs!$D$5:$D$110*(((Inputs!$G$5:$G$110="moeda")+(Inputs!$G$5:$G$110="acoes"))*Inputs!$B$1+((Inputs!$G$5:$G$110&lt;&gt;"moeda")*(Inputs!$G$5:$G$110&lt;&gt;"acoes")))*INDEX(Inputs!$K$5:$AJ$110,0,MATCH(S$2,Inputs!$K$4:$AJ$4,0)))+SUMPRODUCT((Inputs!$E$5:$E$110=$B20)*Inputs!$F$5:$F$110*(((Inputs!$G$5:$G$110="moeda")+(Inputs!$G$5:$G$110="acoes"))*Inputs!$B$1+((Inputs!$G$5:$G$110&lt;&gt;"moeda")*(Inputs!$G$5:$G$110&lt;&gt;"acoes")))*INDEX(Inputs!$K$5:$AJ$110,0,MATCH(S$2,Inputs!$K$4:$AJ$4,0)))))</f>
        <v>3290</v>
      </c>
      <c r="T20" s="267">
        <f>IF(ISNA(MATCH(T$2,Inputs!$K$4:$AJ$4,0)),NA(),IF(SUMPRODUCT((Inputs!$A$5:$A$110=$B20)*ISNUMBER(INDEX(Inputs!$K$5:$AJ$110,0,MATCH(T$2,Inputs!$K$4:$AJ$4,0))))+SUMPRODUCT((Inputs!$C$5:$C$110=$B20)*ISNUMBER(INDEX(Inputs!$K$5:$AJ$110,0,MATCH(T$2,Inputs!$K$4:$AJ$4,0))))+SUMPRODUCT((Inputs!$E$5:$E$110=$B20)*ISNUMBER(INDEX(Inputs!$K$5:$AJ$110,0,MATCH(T$2,Inputs!$K$4:$AJ$4,0))))=0,NA(),SUMPRODUCT((Inputs!$A$5:$A$110=$B20)*Inputs!$B$5:$B$110*(((Inputs!$G$5:$G$110="moeda")+(Inputs!$G$5:$G$110="acoes"))*Inputs!$B$1+((Inputs!$G$5:$G$110&lt;&gt;"moeda")*(Inputs!$G$5:$G$110&lt;&gt;"acoes")))*INDEX(Inputs!$K$5:$AJ$110,0,MATCH(T$2,Inputs!$K$4:$AJ$4,0)))+SUMPRODUCT((Inputs!$C$5:$C$110=$B20)*Inputs!$D$5:$D$110*(((Inputs!$G$5:$G$110="moeda")+(Inputs!$G$5:$G$110="acoes"))*Inputs!$B$1+((Inputs!$G$5:$G$110&lt;&gt;"moeda")*(Inputs!$G$5:$G$110&lt;&gt;"acoes")))*INDEX(Inputs!$K$5:$AJ$110,0,MATCH(T$2,Inputs!$K$4:$AJ$4,0)))+SUMPRODUCT((Inputs!$E$5:$E$110=$B20)*Inputs!$F$5:$F$110*(((Inputs!$G$5:$G$110="moeda")+(Inputs!$G$5:$G$110="acoes"))*Inputs!$B$1+((Inputs!$G$5:$G$110&lt;&gt;"moeda")*(Inputs!$G$5:$G$110&lt;&gt;"acoes")))*INDEX(Inputs!$K$5:$AJ$110,0,MATCH(T$2,Inputs!$K$4:$AJ$4,0)))))</f>
        <v>3438</v>
      </c>
      <c r="U20" s="267">
        <f>IF(ISNA(MATCH(U$2,Inputs!$K$4:$AJ$4,0)),NA(),IF(SUMPRODUCT((Inputs!$A$5:$A$110=$B20)*ISNUMBER(INDEX(Inputs!$K$5:$AJ$110,0,MATCH(U$2,Inputs!$K$4:$AJ$4,0))))+SUMPRODUCT((Inputs!$C$5:$C$110=$B20)*ISNUMBER(INDEX(Inputs!$K$5:$AJ$110,0,MATCH(U$2,Inputs!$K$4:$AJ$4,0))))+SUMPRODUCT((Inputs!$E$5:$E$110=$B20)*ISNUMBER(INDEX(Inputs!$K$5:$AJ$110,0,MATCH(U$2,Inputs!$K$4:$AJ$4,0))))=0,NA(),SUMPRODUCT((Inputs!$A$5:$A$110=$B20)*Inputs!$B$5:$B$110*(((Inputs!$G$5:$G$110="moeda")+(Inputs!$G$5:$G$110="acoes"))*Inputs!$B$1+((Inputs!$G$5:$G$110&lt;&gt;"moeda")*(Inputs!$G$5:$G$110&lt;&gt;"acoes")))*INDEX(Inputs!$K$5:$AJ$110,0,MATCH(U$2,Inputs!$K$4:$AJ$4,0)))+SUMPRODUCT((Inputs!$C$5:$C$110=$B20)*Inputs!$D$5:$D$110*(((Inputs!$G$5:$G$110="moeda")+(Inputs!$G$5:$G$110="acoes"))*Inputs!$B$1+((Inputs!$G$5:$G$110&lt;&gt;"moeda")*(Inputs!$G$5:$G$110&lt;&gt;"acoes")))*INDEX(Inputs!$K$5:$AJ$110,0,MATCH(U$2,Inputs!$K$4:$AJ$4,0)))+SUMPRODUCT((Inputs!$E$5:$E$110=$B20)*Inputs!$F$5:$F$110*(((Inputs!$G$5:$G$110="moeda")+(Inputs!$G$5:$G$110="acoes"))*Inputs!$B$1+((Inputs!$G$5:$G$110&lt;&gt;"moeda")*(Inputs!$G$5:$G$110&lt;&gt;"acoes")))*INDEX(Inputs!$K$5:$AJ$110,0,MATCH(U$2,Inputs!$K$4:$AJ$4,0)))))</f>
        <v>3548</v>
      </c>
      <c r="V20" s="267">
        <f>IF(ISNA(MATCH(V$2,Inputs!$K$4:$AJ$4,0)),NA(),IF(SUMPRODUCT((Inputs!$A$5:$A$110=$B20)*ISNUMBER(INDEX(Inputs!$K$5:$AJ$110,0,MATCH(V$2,Inputs!$K$4:$AJ$4,0))))+SUMPRODUCT((Inputs!$C$5:$C$110=$B20)*ISNUMBER(INDEX(Inputs!$K$5:$AJ$110,0,MATCH(V$2,Inputs!$K$4:$AJ$4,0))))+SUMPRODUCT((Inputs!$E$5:$E$110=$B20)*ISNUMBER(INDEX(Inputs!$K$5:$AJ$110,0,MATCH(V$2,Inputs!$K$4:$AJ$4,0))))=0,NA(),SUMPRODUCT((Inputs!$A$5:$A$110=$B20)*Inputs!$B$5:$B$110*(((Inputs!$G$5:$G$110="moeda")+(Inputs!$G$5:$G$110="acoes"))*Inputs!$B$1+((Inputs!$G$5:$G$110&lt;&gt;"moeda")*(Inputs!$G$5:$G$110&lt;&gt;"acoes")))*INDEX(Inputs!$K$5:$AJ$110,0,MATCH(V$2,Inputs!$K$4:$AJ$4,0)))+SUMPRODUCT((Inputs!$C$5:$C$110=$B20)*Inputs!$D$5:$D$110*(((Inputs!$G$5:$G$110="moeda")+(Inputs!$G$5:$G$110="acoes"))*Inputs!$B$1+((Inputs!$G$5:$G$110&lt;&gt;"moeda")*(Inputs!$G$5:$G$110&lt;&gt;"acoes")))*INDEX(Inputs!$K$5:$AJ$110,0,MATCH(V$2,Inputs!$K$4:$AJ$4,0)))+SUMPRODUCT((Inputs!$E$5:$E$110=$B20)*Inputs!$F$5:$F$110*(((Inputs!$G$5:$G$110="moeda")+(Inputs!$G$5:$G$110="acoes"))*Inputs!$B$1+((Inputs!$G$5:$G$110&lt;&gt;"moeda")*(Inputs!$G$5:$G$110&lt;&gt;"acoes")))*INDEX(Inputs!$K$5:$AJ$110,0,MATCH(V$2,Inputs!$K$4:$AJ$4,0)))))</f>
        <v>4011</v>
      </c>
      <c r="W20" s="268">
        <f>V20</f>
        <v>4011</v>
      </c>
      <c r="X20" s="267">
        <f>IF(ISNA(MATCH(X$2,Inputs!$K$4:$AJ$4,0)),NA(),IF(SUMPRODUCT((Inputs!$A$5:$A$110=$B20)*ISNUMBER(INDEX(Inputs!$K$5:$AJ$110,0,MATCH(X$2,Inputs!$K$4:$AJ$4,0))))+SUMPRODUCT((Inputs!$C$5:$C$110=$B20)*ISNUMBER(INDEX(Inputs!$K$5:$AJ$110,0,MATCH(X$2,Inputs!$K$4:$AJ$4,0))))+SUMPRODUCT((Inputs!$E$5:$E$110=$B20)*ISNUMBER(INDEX(Inputs!$K$5:$AJ$110,0,MATCH(X$2,Inputs!$K$4:$AJ$4,0))))=0,NA(),SUMPRODUCT((Inputs!$A$5:$A$110=$B20)*Inputs!$B$5:$B$110*(((Inputs!$G$5:$G$110="moeda")+(Inputs!$G$5:$G$110="acoes"))*Inputs!$B$1+((Inputs!$G$5:$G$110&lt;&gt;"moeda")*(Inputs!$G$5:$G$110&lt;&gt;"acoes")))*INDEX(Inputs!$K$5:$AJ$110,0,MATCH(X$2,Inputs!$K$4:$AJ$4,0)))+SUMPRODUCT((Inputs!$C$5:$C$110=$B20)*Inputs!$D$5:$D$110*(((Inputs!$G$5:$G$110="moeda")+(Inputs!$G$5:$G$110="acoes"))*Inputs!$B$1+((Inputs!$G$5:$G$110&lt;&gt;"moeda")*(Inputs!$G$5:$G$110&lt;&gt;"acoes")))*INDEX(Inputs!$K$5:$AJ$110,0,MATCH(X$2,Inputs!$K$4:$AJ$4,0)))+SUMPRODUCT((Inputs!$E$5:$E$110=$B20)*Inputs!$F$5:$F$110*(((Inputs!$G$5:$G$110="moeda")+(Inputs!$G$5:$G$110="acoes"))*Inputs!$B$1+((Inputs!$G$5:$G$110&lt;&gt;"moeda")*(Inputs!$G$5:$G$110&lt;&gt;"acoes")))*INDEX(Inputs!$K$5:$AJ$110,0,MATCH(X$2,Inputs!$K$4:$AJ$4,0)))))</f>
        <v>3789</v>
      </c>
      <c r="Y20" s="267">
        <f>IF(ISNA(MATCH(Y$2,Inputs!$K$4:$AJ$4,0)),NA(),IF(SUMPRODUCT((Inputs!$A$5:$A$110=$B20)*ISNUMBER(INDEX(Inputs!$K$5:$AJ$110,0,MATCH(Y$2,Inputs!$K$4:$AJ$4,0))))+SUMPRODUCT((Inputs!$C$5:$C$110=$B20)*ISNUMBER(INDEX(Inputs!$K$5:$AJ$110,0,MATCH(Y$2,Inputs!$K$4:$AJ$4,0))))+SUMPRODUCT((Inputs!$E$5:$E$110=$B20)*ISNUMBER(INDEX(Inputs!$K$5:$AJ$110,0,MATCH(Y$2,Inputs!$K$4:$AJ$4,0))))=0,NA(),SUMPRODUCT((Inputs!$A$5:$A$110=$B20)*Inputs!$B$5:$B$110*(((Inputs!$G$5:$G$110="moeda")+(Inputs!$G$5:$G$110="acoes"))*Inputs!$B$1+((Inputs!$G$5:$G$110&lt;&gt;"moeda")*(Inputs!$G$5:$G$110&lt;&gt;"acoes")))*INDEX(Inputs!$K$5:$AJ$110,0,MATCH(Y$2,Inputs!$K$4:$AJ$4,0)))+SUMPRODUCT((Inputs!$C$5:$C$110=$B20)*Inputs!$D$5:$D$110*(((Inputs!$G$5:$G$110="moeda")+(Inputs!$G$5:$G$110="acoes"))*Inputs!$B$1+((Inputs!$G$5:$G$110&lt;&gt;"moeda")*(Inputs!$G$5:$G$110&lt;&gt;"acoes")))*INDEX(Inputs!$K$5:$AJ$110,0,MATCH(Y$2,Inputs!$K$4:$AJ$4,0)))+SUMPRODUCT((Inputs!$E$5:$E$110=$B20)*Inputs!$F$5:$F$110*(((Inputs!$G$5:$G$110="moeda")+(Inputs!$G$5:$G$110="acoes"))*Inputs!$B$1+((Inputs!$G$5:$G$110&lt;&gt;"moeda")*(Inputs!$G$5:$G$110&lt;&gt;"acoes")))*INDEX(Inputs!$K$5:$AJ$110,0,MATCH(Y$2,Inputs!$K$4:$AJ$4,0)))))</f>
        <v>4355</v>
      </c>
      <c r="Z20" s="267">
        <f>IF(ISNA(MATCH(Z$2,Inputs!$K$4:$AJ$4,0)),NA(),IF(SUMPRODUCT((Inputs!$A$5:$A$110=$B20)*ISNUMBER(INDEX(Inputs!$K$5:$AJ$110,0,MATCH(Z$2,Inputs!$K$4:$AJ$4,0))))+SUMPRODUCT((Inputs!$C$5:$C$110=$B20)*ISNUMBER(INDEX(Inputs!$K$5:$AJ$110,0,MATCH(Z$2,Inputs!$K$4:$AJ$4,0))))+SUMPRODUCT((Inputs!$E$5:$E$110=$B20)*ISNUMBER(INDEX(Inputs!$K$5:$AJ$110,0,MATCH(Z$2,Inputs!$K$4:$AJ$4,0))))=0,NA(),SUMPRODUCT((Inputs!$A$5:$A$110=$B20)*Inputs!$B$5:$B$110*(((Inputs!$G$5:$G$110="moeda")+(Inputs!$G$5:$G$110="acoes"))*Inputs!$B$1+((Inputs!$G$5:$G$110&lt;&gt;"moeda")*(Inputs!$G$5:$G$110&lt;&gt;"acoes")))*INDEX(Inputs!$K$5:$AJ$110,0,MATCH(Z$2,Inputs!$K$4:$AJ$4,0)))+SUMPRODUCT((Inputs!$C$5:$C$110=$B20)*Inputs!$D$5:$D$110*(((Inputs!$G$5:$G$110="moeda")+(Inputs!$G$5:$G$110="acoes"))*Inputs!$B$1+((Inputs!$G$5:$G$110&lt;&gt;"moeda")*(Inputs!$G$5:$G$110&lt;&gt;"acoes")))*INDEX(Inputs!$K$5:$AJ$110,0,MATCH(Z$2,Inputs!$K$4:$AJ$4,0)))+SUMPRODUCT((Inputs!$E$5:$E$110=$B20)*Inputs!$F$5:$F$110*(((Inputs!$G$5:$G$110="moeda")+(Inputs!$G$5:$G$110="acoes"))*Inputs!$B$1+((Inputs!$G$5:$G$110&lt;&gt;"moeda")*(Inputs!$G$5:$G$110&lt;&gt;"acoes")))*INDEX(Inputs!$K$5:$AJ$110,0,MATCH(Z$2,Inputs!$K$4:$AJ$4,0)))))</f>
        <v>4869</v>
      </c>
      <c r="AA20" s="267">
        <f>IF(ISNA(MATCH(AA$2,Inputs!$K$4:$AJ$4,0)),NA(),IF(SUMPRODUCT((Inputs!$A$5:$A$110=$B20)*ISNUMBER(INDEX(Inputs!$K$5:$AJ$110,0,MATCH(AA$2,Inputs!$K$4:$AJ$4,0))))+SUMPRODUCT((Inputs!$C$5:$C$110=$B20)*ISNUMBER(INDEX(Inputs!$K$5:$AJ$110,0,MATCH(AA$2,Inputs!$K$4:$AJ$4,0))))+SUMPRODUCT((Inputs!$E$5:$E$110=$B20)*ISNUMBER(INDEX(Inputs!$K$5:$AJ$110,0,MATCH(AA$2,Inputs!$K$4:$AJ$4,0))))=0,NA(),SUMPRODUCT((Inputs!$A$5:$A$110=$B20)*Inputs!$B$5:$B$110*(((Inputs!$G$5:$G$110="moeda")+(Inputs!$G$5:$G$110="acoes"))*Inputs!$B$1+((Inputs!$G$5:$G$110&lt;&gt;"moeda")*(Inputs!$G$5:$G$110&lt;&gt;"acoes")))*INDEX(Inputs!$K$5:$AJ$110,0,MATCH(AA$2,Inputs!$K$4:$AJ$4,0)))+SUMPRODUCT((Inputs!$C$5:$C$110=$B20)*Inputs!$D$5:$D$110*(((Inputs!$G$5:$G$110="moeda")+(Inputs!$G$5:$G$110="acoes"))*Inputs!$B$1+((Inputs!$G$5:$G$110&lt;&gt;"moeda")*(Inputs!$G$5:$G$110&lt;&gt;"acoes")))*INDEX(Inputs!$K$5:$AJ$110,0,MATCH(AA$2,Inputs!$K$4:$AJ$4,0)))+SUMPRODUCT((Inputs!$E$5:$E$110=$B20)*Inputs!$F$5:$F$110*(((Inputs!$G$5:$G$110="moeda")+(Inputs!$G$5:$G$110="acoes"))*Inputs!$B$1+((Inputs!$G$5:$G$110&lt;&gt;"moeda")*(Inputs!$G$5:$G$110&lt;&gt;"acoes")))*INDEX(Inputs!$K$5:$AJ$110,0,MATCH(AA$2,Inputs!$K$4:$AJ$4,0)))))</f>
        <v>4124</v>
      </c>
      <c r="AB20" s="268">
        <f>AA20</f>
        <v>4124</v>
      </c>
      <c r="AC20" s="267">
        <f>IF(ISNA(MATCH(AC$2,Inputs!$K$4:$AJ$4,0)),NA(),IF(SUMPRODUCT((Inputs!$A$5:$A$110=$B20)*ISNUMBER(INDEX(Inputs!$K$5:$AJ$110,0,MATCH(AC$2,Inputs!$K$4:$AJ$4,0))))+SUMPRODUCT((Inputs!$C$5:$C$110=$B20)*ISNUMBER(INDEX(Inputs!$K$5:$AJ$110,0,MATCH(AC$2,Inputs!$K$4:$AJ$4,0))))+SUMPRODUCT((Inputs!$E$5:$E$110=$B20)*ISNUMBER(INDEX(Inputs!$K$5:$AJ$110,0,MATCH(AC$2,Inputs!$K$4:$AJ$4,0))))=0,NA(),SUMPRODUCT((Inputs!$A$5:$A$110=$B20)*Inputs!$B$5:$B$110*(((Inputs!$G$5:$G$110="moeda")+(Inputs!$G$5:$G$110="acoes"))*Inputs!$B$1+((Inputs!$G$5:$G$110&lt;&gt;"moeda")*(Inputs!$G$5:$G$110&lt;&gt;"acoes")))*INDEX(Inputs!$K$5:$AJ$110,0,MATCH(AC$2,Inputs!$K$4:$AJ$4,0)))+SUMPRODUCT((Inputs!$C$5:$C$110=$B20)*Inputs!$D$5:$D$110*(((Inputs!$G$5:$G$110="moeda")+(Inputs!$G$5:$G$110="acoes"))*Inputs!$B$1+((Inputs!$G$5:$G$110&lt;&gt;"moeda")*(Inputs!$G$5:$G$110&lt;&gt;"acoes")))*INDEX(Inputs!$K$5:$AJ$110,0,MATCH(AC$2,Inputs!$K$4:$AJ$4,0)))+SUMPRODUCT((Inputs!$E$5:$E$110=$B20)*Inputs!$F$5:$F$110*(((Inputs!$G$5:$G$110="moeda")+(Inputs!$G$5:$G$110="acoes"))*Inputs!$B$1+((Inputs!$G$5:$G$110&lt;&gt;"moeda")*(Inputs!$G$5:$G$110&lt;&gt;"acoes")))*INDEX(Inputs!$K$5:$AJ$110,0,MATCH(AC$2,Inputs!$K$4:$AJ$4,0)))))</f>
        <v>4433</v>
      </c>
      <c r="AD20" s="267">
        <f>IF(ISNA(MATCH(AD$2,Inputs!$K$4:$AJ$4,0)),NA(),IF(SUMPRODUCT((Inputs!$A$5:$A$110=$B20)*ISNUMBER(INDEX(Inputs!$K$5:$AJ$110,0,MATCH(AD$2,Inputs!$K$4:$AJ$4,0))))+SUMPRODUCT((Inputs!$C$5:$C$110=$B20)*ISNUMBER(INDEX(Inputs!$K$5:$AJ$110,0,MATCH(AD$2,Inputs!$K$4:$AJ$4,0))))+SUMPRODUCT((Inputs!$E$5:$E$110=$B20)*ISNUMBER(INDEX(Inputs!$K$5:$AJ$110,0,MATCH(AD$2,Inputs!$K$4:$AJ$4,0))))=0,NA(),SUMPRODUCT((Inputs!$A$5:$A$110=$B20)*Inputs!$B$5:$B$110*(((Inputs!$G$5:$G$110="moeda")+(Inputs!$G$5:$G$110="acoes"))*Inputs!$B$1+((Inputs!$G$5:$G$110&lt;&gt;"moeda")*(Inputs!$G$5:$G$110&lt;&gt;"acoes")))*INDEX(Inputs!$K$5:$AJ$110,0,MATCH(AD$2,Inputs!$K$4:$AJ$4,0)))+SUMPRODUCT((Inputs!$C$5:$C$110=$B20)*Inputs!$D$5:$D$110*(((Inputs!$G$5:$G$110="moeda")+(Inputs!$G$5:$G$110="acoes"))*Inputs!$B$1+((Inputs!$G$5:$G$110&lt;&gt;"moeda")*(Inputs!$G$5:$G$110&lt;&gt;"acoes")))*INDEX(Inputs!$K$5:$AJ$110,0,MATCH(AD$2,Inputs!$K$4:$AJ$4,0)))+SUMPRODUCT((Inputs!$E$5:$E$110=$B20)*Inputs!$F$5:$F$110*(((Inputs!$G$5:$G$110="moeda")+(Inputs!$G$5:$G$110="acoes"))*Inputs!$B$1+((Inputs!$G$5:$G$110&lt;&gt;"moeda")*(Inputs!$G$5:$G$110&lt;&gt;"acoes")))*INDEX(Inputs!$K$5:$AJ$110,0,MATCH(AD$2,Inputs!$K$4:$AJ$4,0)))))</f>
        <v>4499</v>
      </c>
      <c r="AE20" s="267" t="e">
        <f>IF(ISNA(MATCH(AE$2,Inputs!$K$4:$AJ$4,0)),NA(),IF(SUMPRODUCT((Inputs!$A$5:$A$110=$B20)*ISNUMBER(INDEX(Inputs!$K$5:$AJ$110,0,MATCH(AE$2,Inputs!$K$4:$AJ$4,0))))+SUMPRODUCT((Inputs!$C$5:$C$110=$B20)*ISNUMBER(INDEX(Inputs!$K$5:$AJ$110,0,MATCH(AE$2,Inputs!$K$4:$AJ$4,0))))+SUMPRODUCT((Inputs!$E$5:$E$110=$B20)*ISNUMBER(INDEX(Inputs!$K$5:$AJ$110,0,MATCH(AE$2,Inputs!$K$4:$AJ$4,0))))=0,NA(),SUMPRODUCT((Inputs!$A$5:$A$110=$B20)*Inputs!$B$5:$B$110*(((Inputs!$G$5:$G$110="moeda")+(Inputs!$G$5:$G$110="acoes"))*Inputs!$B$1+((Inputs!$G$5:$G$110&lt;&gt;"moeda")*(Inputs!$G$5:$G$110&lt;&gt;"acoes")))*INDEX(Inputs!$K$5:$AJ$110,0,MATCH(AE$2,Inputs!$K$4:$AJ$4,0)))+SUMPRODUCT((Inputs!$C$5:$C$110=$B20)*Inputs!$D$5:$D$110*(((Inputs!$G$5:$G$110="moeda")+(Inputs!$G$5:$G$110="acoes"))*Inputs!$B$1+((Inputs!$G$5:$G$110&lt;&gt;"moeda")*(Inputs!$G$5:$G$110&lt;&gt;"acoes")))*INDEX(Inputs!$K$5:$AJ$110,0,MATCH(AE$2,Inputs!$K$4:$AJ$4,0)))+SUMPRODUCT((Inputs!$E$5:$E$110=$B20)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0" s="267" t="e">
        <f>IF(ISNA(MATCH(AF$2,Inputs!$K$4:$AJ$4,0)),NA(),IF(SUMPRODUCT((Inputs!$A$5:$A$110=$B20)*ISNUMBER(INDEX(Inputs!$K$5:$AJ$110,0,MATCH(AF$2,Inputs!$K$4:$AJ$4,0))))+SUMPRODUCT((Inputs!$C$5:$C$110=$B20)*ISNUMBER(INDEX(Inputs!$K$5:$AJ$110,0,MATCH(AF$2,Inputs!$K$4:$AJ$4,0))))+SUMPRODUCT((Inputs!$E$5:$E$110=$B20)*ISNUMBER(INDEX(Inputs!$K$5:$AJ$110,0,MATCH(AF$2,Inputs!$K$4:$AJ$4,0))))=0,NA(),SUMPRODUCT((Inputs!$A$5:$A$110=$B20)*Inputs!$B$5:$B$110*(((Inputs!$G$5:$G$110="moeda")+(Inputs!$G$5:$G$110="acoes"))*Inputs!$B$1+((Inputs!$G$5:$G$110&lt;&gt;"moeda")*(Inputs!$G$5:$G$110&lt;&gt;"acoes")))*INDEX(Inputs!$K$5:$AJ$110,0,MATCH(AF$2,Inputs!$K$4:$AJ$4,0)))+SUMPRODUCT((Inputs!$C$5:$C$110=$B20)*Inputs!$D$5:$D$110*(((Inputs!$G$5:$G$110="moeda")+(Inputs!$G$5:$G$110="acoes"))*Inputs!$B$1+((Inputs!$G$5:$G$110&lt;&gt;"moeda")*(Inputs!$G$5:$G$110&lt;&gt;"acoes")))*INDEX(Inputs!$K$5:$AJ$110,0,MATCH(AF$2,Inputs!$K$4:$AJ$4,0)))+SUMPRODUCT((Inputs!$E$5:$E$110=$B20)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0" s="268" t="e">
        <f>AF20</f>
        <v>#N/A</v>
      </c>
      <c r="AH20" s="267">
        <f>IF(ISNA(MATCH(AH$2,Inputs!$K$4:$AJ$4,0)),NA(),IF(SUMPRODUCT((Inputs!$A$5:$A$110=$B20)*ISNUMBER(INDEX(Inputs!$K$5:$AJ$110,0,MATCH(AH$2,Inputs!$K$4:$AJ$4,0))))+SUMPRODUCT((Inputs!$C$5:$C$110=$B20)*ISNUMBER(INDEX(Inputs!$K$5:$AJ$110,0,MATCH(AH$2,Inputs!$K$4:$AJ$4,0))))+SUMPRODUCT((Inputs!$E$5:$E$110=$B20)*ISNUMBER(INDEX(Inputs!$K$5:$AJ$110,0,MATCH(AH$2,Inputs!$K$4:$AJ$4,0))))=0,NA(),SUMPRODUCT((Inputs!$A$5:$A$110=$B20)*Inputs!$B$5:$B$110*(((Inputs!$G$5:$G$110="moeda")+(Inputs!$G$5:$G$110="acoes"))*Inputs!$B$1+((Inputs!$G$5:$G$110&lt;&gt;"moeda")*(Inputs!$G$5:$G$110&lt;&gt;"acoes")))*INDEX(Inputs!$K$5:$AJ$110,0,MATCH(AH$2,Inputs!$K$4:$AJ$4,0)))+SUMPRODUCT((Inputs!$C$5:$C$110=$B20)*Inputs!$D$5:$D$110*(((Inputs!$G$5:$G$110="moeda")+(Inputs!$G$5:$G$110="acoes"))*Inputs!$B$1+((Inputs!$G$5:$G$110&lt;&gt;"moeda")*(Inputs!$G$5:$G$110&lt;&gt;"acoes")))*INDEX(Inputs!$K$5:$AJ$110,0,MATCH(AH$2,Inputs!$K$4:$AJ$4,0)))+SUMPRODUCT((Inputs!$E$5:$E$110=$B20)*Inputs!$F$5:$F$110*(((Inputs!$G$5:$G$110="moeda")+(Inputs!$G$5:$G$110="acoes"))*Inputs!$B$1+((Inputs!$G$5:$G$110&lt;&gt;"moeda")*(Inputs!$G$5:$G$110&lt;&gt;"acoes")))*INDEX(Inputs!$K$5:$AJ$110,0,MATCH(AH$2,Inputs!$K$4:$AJ$4,0)))))</f>
        <v>2152</v>
      </c>
      <c r="AI20" s="267">
        <f>IF(ISNA(MATCH(AI$2,Inputs!$K$4:$AJ$4,0)),NA(),IF(SUMPRODUCT((Inputs!$A$5:$A$110=$B20)*ISNUMBER(INDEX(Inputs!$K$5:$AJ$110,0,MATCH(AI$2,Inputs!$K$4:$AJ$4,0))))+SUMPRODUCT((Inputs!$C$5:$C$110=$B20)*ISNUMBER(INDEX(Inputs!$K$5:$AJ$110,0,MATCH(AI$2,Inputs!$K$4:$AJ$4,0))))+SUMPRODUCT((Inputs!$E$5:$E$110=$B20)*ISNUMBER(INDEX(Inputs!$K$5:$AJ$110,0,MATCH(AI$2,Inputs!$K$4:$AJ$4,0))))=0,NA(),SUMPRODUCT((Inputs!$A$5:$A$110=$B20)*Inputs!$B$5:$B$110*(((Inputs!$G$5:$G$110="moeda")+(Inputs!$G$5:$G$110="acoes"))*Inputs!$B$1+((Inputs!$G$5:$G$110&lt;&gt;"moeda")*(Inputs!$G$5:$G$110&lt;&gt;"acoes")))*INDEX(Inputs!$K$5:$AJ$110,0,MATCH(AI$2,Inputs!$K$4:$AJ$4,0)))+SUMPRODUCT((Inputs!$C$5:$C$110=$B20)*Inputs!$D$5:$D$110*(((Inputs!$G$5:$G$110="moeda")+(Inputs!$G$5:$G$110="acoes"))*Inputs!$B$1+((Inputs!$G$5:$G$110&lt;&gt;"moeda")*(Inputs!$G$5:$G$110&lt;&gt;"acoes")))*INDEX(Inputs!$K$5:$AJ$110,0,MATCH(AI$2,Inputs!$K$4:$AJ$4,0)))+SUMPRODUCT((Inputs!$E$5:$E$110=$B20)*Inputs!$F$5:$F$110*(((Inputs!$G$5:$G$110="moeda")+(Inputs!$G$5:$G$110="acoes"))*Inputs!$B$1+((Inputs!$G$5:$G$110&lt;&gt;"moeda")*(Inputs!$G$5:$G$110&lt;&gt;"acoes")))*INDEX(Inputs!$K$5:$AJ$110,0,MATCH(AI$2,Inputs!$K$4:$AJ$4,0)))))</f>
        <v>1895</v>
      </c>
      <c r="AJ20" s="267">
        <f>IF(ISNA(MATCH(AJ$2,Inputs!$K$4:$AJ$4,0)),NA(),IF(SUMPRODUCT((Inputs!$A$5:$A$110=$B20)*ISNUMBER(INDEX(Inputs!$K$5:$AJ$110,0,MATCH(AJ$2,Inputs!$K$4:$AJ$4,0))))+SUMPRODUCT((Inputs!$C$5:$C$110=$B20)*ISNUMBER(INDEX(Inputs!$K$5:$AJ$110,0,MATCH(AJ$2,Inputs!$K$4:$AJ$4,0))))+SUMPRODUCT((Inputs!$E$5:$E$110=$B20)*ISNUMBER(INDEX(Inputs!$K$5:$AJ$110,0,MATCH(AJ$2,Inputs!$K$4:$AJ$4,0))))=0,NA(),SUMPRODUCT((Inputs!$A$5:$A$110=$B20)*Inputs!$B$5:$B$110*(((Inputs!$G$5:$G$110="moeda")+(Inputs!$G$5:$G$110="acoes"))*Inputs!$B$1+((Inputs!$G$5:$G$110&lt;&gt;"moeda")*(Inputs!$G$5:$G$110&lt;&gt;"acoes")))*INDEX(Inputs!$K$5:$AJ$110,0,MATCH(AJ$2,Inputs!$K$4:$AJ$4,0)))+SUMPRODUCT((Inputs!$C$5:$C$110=$B20)*Inputs!$D$5:$D$110*(((Inputs!$G$5:$G$110="moeda")+(Inputs!$G$5:$G$110="acoes"))*Inputs!$B$1+((Inputs!$G$5:$G$110&lt;&gt;"moeda")*(Inputs!$G$5:$G$110&lt;&gt;"acoes")))*INDEX(Inputs!$K$5:$AJ$110,0,MATCH(AJ$2,Inputs!$K$4:$AJ$4,0)))+SUMPRODUCT((Inputs!$E$5:$E$110=$B20)*Inputs!$F$5:$F$110*(((Inputs!$G$5:$G$110="moeda")+(Inputs!$G$5:$G$110="acoes"))*Inputs!$B$1+((Inputs!$G$5:$G$110&lt;&gt;"moeda")*(Inputs!$G$5:$G$110&lt;&gt;"acoes")))*INDEX(Inputs!$K$5:$AJ$110,0,MATCH(AJ$2,Inputs!$K$4:$AJ$4,0)))))</f>
        <v>1665</v>
      </c>
      <c r="AK20" s="267">
        <f>IF(ISNA(MATCH(AK$2,Inputs!$K$4:$AJ$4,0)),NA(),IF(SUMPRODUCT((Inputs!$A$5:$A$110=$B20)*ISNUMBER(INDEX(Inputs!$K$5:$AJ$110,0,MATCH(AK$2,Inputs!$K$4:$AJ$4,0))))+SUMPRODUCT((Inputs!$C$5:$C$110=$B20)*ISNUMBER(INDEX(Inputs!$K$5:$AJ$110,0,MATCH(AK$2,Inputs!$K$4:$AJ$4,0))))+SUMPRODUCT((Inputs!$E$5:$E$110=$B20)*ISNUMBER(INDEX(Inputs!$K$5:$AJ$110,0,MATCH(AK$2,Inputs!$K$4:$AJ$4,0))))=0,NA(),SUMPRODUCT((Inputs!$A$5:$A$110=$B20)*Inputs!$B$5:$B$110*(((Inputs!$G$5:$G$110="moeda")+(Inputs!$G$5:$G$110="acoes"))*Inputs!$B$1+((Inputs!$G$5:$G$110&lt;&gt;"moeda")*(Inputs!$G$5:$G$110&lt;&gt;"acoes")))*INDEX(Inputs!$K$5:$AJ$110,0,MATCH(AK$2,Inputs!$K$4:$AJ$4,0)))+SUMPRODUCT((Inputs!$C$5:$C$110=$B20)*Inputs!$D$5:$D$110*(((Inputs!$G$5:$G$110="moeda")+(Inputs!$G$5:$G$110="acoes"))*Inputs!$B$1+((Inputs!$G$5:$G$110&lt;&gt;"moeda")*(Inputs!$G$5:$G$110&lt;&gt;"acoes")))*INDEX(Inputs!$K$5:$AJ$110,0,MATCH(AK$2,Inputs!$K$4:$AJ$4,0)))+SUMPRODUCT((Inputs!$E$5:$E$110=$B20)*Inputs!$F$5:$F$110*(((Inputs!$G$5:$G$110="moeda")+(Inputs!$G$5:$G$110="acoes"))*Inputs!$B$1+((Inputs!$G$5:$G$110&lt;&gt;"moeda")*(Inputs!$G$5:$G$110&lt;&gt;"acoes")))*INDEX(Inputs!$K$5:$AJ$110,0,MATCH(AK$2,Inputs!$K$4:$AJ$4,0)))))</f>
        <v>20861</v>
      </c>
      <c r="AL20" s="268">
        <f>AK20</f>
        <v>20861</v>
      </c>
    </row>
    <row r="21" ht="12.75" customHeight="1" s="255">
      <c r="B21" s="265" t="n">
        <v>17</v>
      </c>
      <c r="C21" s="270" t="inlineStr">
        <is>
          <t>Equity in affiliates</t>
        </is>
      </c>
      <c r="D21" s="267">
        <f>IF(ISNA(MATCH(D$2,Inputs!$K$4:$AJ$4,0)),NA(),IF(SUMPRODUCT((Inputs!$A$5:$A$110=$B21)*ISNUMBER(INDEX(Inputs!$K$5:$AJ$110,0,MATCH(D$2,Inputs!$K$4:$AJ$4,0))))+SUMPRODUCT((Inputs!$C$5:$C$110=$B21)*ISNUMBER(INDEX(Inputs!$K$5:$AJ$110,0,MATCH(D$2,Inputs!$K$4:$AJ$4,0))))+SUMPRODUCT((Inputs!$E$5:$E$110=$B21)*ISNUMBER(INDEX(Inputs!$K$5:$AJ$110,0,MATCH(D$2,Inputs!$K$4:$AJ$4,0))))=0,NA(),SUMPRODUCT((Inputs!$A$5:$A$110=$B21)*Inputs!$B$5:$B$110*(((Inputs!$G$5:$G$110="moeda")+(Inputs!$G$5:$G$110="acoes"))*Inputs!$B$1+((Inputs!$G$5:$G$110&lt;&gt;"moeda")*(Inputs!$G$5:$G$110&lt;&gt;"acoes")))*INDEX(Inputs!$K$5:$AJ$110,0,MATCH(D$2,Inputs!$K$4:$AJ$4,0)))+SUMPRODUCT((Inputs!$C$5:$C$110=$B21)*Inputs!$D$5:$D$110*(((Inputs!$G$5:$G$110="moeda")+(Inputs!$G$5:$G$110="acoes"))*Inputs!$B$1+((Inputs!$G$5:$G$110&lt;&gt;"moeda")*(Inputs!$G$5:$G$110&lt;&gt;"acoes")))*INDEX(Inputs!$K$5:$AJ$110,0,MATCH(D$2,Inputs!$K$4:$AJ$4,0)))+SUMPRODUCT((Inputs!$E$5:$E$110=$B21)*Inputs!$F$5:$F$110*(((Inputs!$G$5:$G$110="moeda")+(Inputs!$G$5:$G$110="acoes"))*Inputs!$B$1+((Inputs!$G$5:$G$110&lt;&gt;"moeda")*(Inputs!$G$5:$G$110&lt;&gt;"acoes")))*INDEX(Inputs!$K$5:$AJ$110,0,MATCH(D$2,Inputs!$K$4:$AJ$4,0)))))</f>
        <v>0</v>
      </c>
      <c r="E21" s="267">
        <f>IF(ISNA(MATCH(E$2,Inputs!$K$4:$AJ$4,0)),NA(),IF(SUMPRODUCT((Inputs!$A$5:$A$110=$B21)*ISNUMBER(INDEX(Inputs!$K$5:$AJ$110,0,MATCH(E$2,Inputs!$K$4:$AJ$4,0))))+SUMPRODUCT((Inputs!$C$5:$C$110=$B21)*ISNUMBER(INDEX(Inputs!$K$5:$AJ$110,0,MATCH(E$2,Inputs!$K$4:$AJ$4,0))))+SUMPRODUCT((Inputs!$E$5:$E$110=$B21)*ISNUMBER(INDEX(Inputs!$K$5:$AJ$110,0,MATCH(E$2,Inputs!$K$4:$AJ$4,0))))=0,NA(),SUMPRODUCT((Inputs!$A$5:$A$110=$B21)*Inputs!$B$5:$B$110*(((Inputs!$G$5:$G$110="moeda")+(Inputs!$G$5:$G$110="acoes"))*Inputs!$B$1+((Inputs!$G$5:$G$110&lt;&gt;"moeda")*(Inputs!$G$5:$G$110&lt;&gt;"acoes")))*INDEX(Inputs!$K$5:$AJ$110,0,MATCH(E$2,Inputs!$K$4:$AJ$4,0)))+SUMPRODUCT((Inputs!$C$5:$C$110=$B21)*Inputs!$D$5:$D$110*(((Inputs!$G$5:$G$110="moeda")+(Inputs!$G$5:$G$110="acoes"))*Inputs!$B$1+((Inputs!$G$5:$G$110&lt;&gt;"moeda")*(Inputs!$G$5:$G$110&lt;&gt;"acoes")))*INDEX(Inputs!$K$5:$AJ$110,0,MATCH(E$2,Inputs!$K$4:$AJ$4,0)))+SUMPRODUCT((Inputs!$E$5:$E$110=$B21)*Inputs!$F$5:$F$110*(((Inputs!$G$5:$G$110="moeda")+(Inputs!$G$5:$G$110="acoes"))*Inputs!$B$1+((Inputs!$G$5:$G$110&lt;&gt;"moeda")*(Inputs!$G$5:$G$110&lt;&gt;"acoes")))*INDEX(Inputs!$K$5:$AJ$110,0,MATCH(E$2,Inputs!$K$4:$AJ$4,0)))))</f>
        <v>0</v>
      </c>
      <c r="F21" s="267">
        <f>IF(ISNA(MATCH(F$2,Inputs!$K$4:$AJ$4,0)),NA(),IF(SUMPRODUCT((Inputs!$A$5:$A$110=$B21)*ISNUMBER(INDEX(Inputs!$K$5:$AJ$110,0,MATCH(F$2,Inputs!$K$4:$AJ$4,0))))+SUMPRODUCT((Inputs!$C$5:$C$110=$B21)*ISNUMBER(INDEX(Inputs!$K$5:$AJ$110,0,MATCH(F$2,Inputs!$K$4:$AJ$4,0))))+SUMPRODUCT((Inputs!$E$5:$E$110=$B21)*ISNUMBER(INDEX(Inputs!$K$5:$AJ$110,0,MATCH(F$2,Inputs!$K$4:$AJ$4,0))))=0,NA(),SUMPRODUCT((Inputs!$A$5:$A$110=$B21)*Inputs!$B$5:$B$110*(((Inputs!$G$5:$G$110="moeda")+(Inputs!$G$5:$G$110="acoes"))*Inputs!$B$1+((Inputs!$G$5:$G$110&lt;&gt;"moeda")*(Inputs!$G$5:$G$110&lt;&gt;"acoes")))*INDEX(Inputs!$K$5:$AJ$110,0,MATCH(F$2,Inputs!$K$4:$AJ$4,0)))+SUMPRODUCT((Inputs!$C$5:$C$110=$B21)*Inputs!$D$5:$D$110*(((Inputs!$G$5:$G$110="moeda")+(Inputs!$G$5:$G$110="acoes"))*Inputs!$B$1+((Inputs!$G$5:$G$110&lt;&gt;"moeda")*(Inputs!$G$5:$G$110&lt;&gt;"acoes")))*INDEX(Inputs!$K$5:$AJ$110,0,MATCH(F$2,Inputs!$K$4:$AJ$4,0)))+SUMPRODUCT((Inputs!$E$5:$E$110=$B21)*Inputs!$F$5:$F$110*(((Inputs!$G$5:$G$110="moeda")+(Inputs!$G$5:$G$110="acoes"))*Inputs!$B$1+((Inputs!$G$5:$G$110&lt;&gt;"moeda")*(Inputs!$G$5:$G$110&lt;&gt;"acoes")))*INDEX(Inputs!$K$5:$AJ$110,0,MATCH(F$2,Inputs!$K$4:$AJ$4,0)))))</f>
        <v>0</v>
      </c>
      <c r="G21" s="267">
        <f>IF(ISNA(MATCH(G$2,Inputs!$K$4:$AJ$4,0)),NA(),IF(SUMPRODUCT((Inputs!$A$5:$A$110=$B21)*ISNUMBER(INDEX(Inputs!$K$5:$AJ$110,0,MATCH(G$2,Inputs!$K$4:$AJ$4,0))))+SUMPRODUCT((Inputs!$C$5:$C$110=$B21)*ISNUMBER(INDEX(Inputs!$K$5:$AJ$110,0,MATCH(G$2,Inputs!$K$4:$AJ$4,0))))+SUMPRODUCT((Inputs!$E$5:$E$110=$B21)*ISNUMBER(INDEX(Inputs!$K$5:$AJ$110,0,MATCH(G$2,Inputs!$K$4:$AJ$4,0))))=0,NA(),SUMPRODUCT((Inputs!$A$5:$A$110=$B21)*Inputs!$B$5:$B$110*(((Inputs!$G$5:$G$110="moeda")+(Inputs!$G$5:$G$110="acoes"))*Inputs!$B$1+((Inputs!$G$5:$G$110&lt;&gt;"moeda")*(Inputs!$G$5:$G$110&lt;&gt;"acoes")))*INDEX(Inputs!$K$5:$AJ$110,0,MATCH(G$2,Inputs!$K$4:$AJ$4,0)))+SUMPRODUCT((Inputs!$C$5:$C$110=$B21)*Inputs!$D$5:$D$110*(((Inputs!$G$5:$G$110="moeda")+(Inputs!$G$5:$G$110="acoes"))*Inputs!$B$1+((Inputs!$G$5:$G$110&lt;&gt;"moeda")*(Inputs!$G$5:$G$110&lt;&gt;"acoes")))*INDEX(Inputs!$K$5:$AJ$110,0,MATCH(G$2,Inputs!$K$4:$AJ$4,0)))+SUMPRODUCT((Inputs!$E$5:$E$110=$B21)*Inputs!$F$5:$F$110*(((Inputs!$G$5:$G$110="moeda")+(Inputs!$G$5:$G$110="acoes"))*Inputs!$B$1+((Inputs!$G$5:$G$110&lt;&gt;"moeda")*(Inputs!$G$5:$G$110&lt;&gt;"acoes")))*INDEX(Inputs!$K$5:$AJ$110,0,MATCH(G$2,Inputs!$K$4:$AJ$4,0)))))</f>
        <v>0</v>
      </c>
      <c r="H21" s="268">
        <f>G21</f>
        <v>0</v>
      </c>
      <c r="I21" s="267">
        <f>IF(ISNA(MATCH(I$2,Inputs!$K$4:$AJ$4,0)),NA(),IF(SUMPRODUCT((Inputs!$A$5:$A$110=$B21)*ISNUMBER(INDEX(Inputs!$K$5:$AJ$110,0,MATCH(I$2,Inputs!$K$4:$AJ$4,0))))+SUMPRODUCT((Inputs!$C$5:$C$110=$B21)*ISNUMBER(INDEX(Inputs!$K$5:$AJ$110,0,MATCH(I$2,Inputs!$K$4:$AJ$4,0))))+SUMPRODUCT((Inputs!$E$5:$E$110=$B21)*ISNUMBER(INDEX(Inputs!$K$5:$AJ$110,0,MATCH(I$2,Inputs!$K$4:$AJ$4,0))))=0,NA(),SUMPRODUCT((Inputs!$A$5:$A$110=$B21)*Inputs!$B$5:$B$110*(((Inputs!$G$5:$G$110="moeda")+(Inputs!$G$5:$G$110="acoes"))*Inputs!$B$1+((Inputs!$G$5:$G$110&lt;&gt;"moeda")*(Inputs!$G$5:$G$110&lt;&gt;"acoes")))*INDEX(Inputs!$K$5:$AJ$110,0,MATCH(I$2,Inputs!$K$4:$AJ$4,0)))+SUMPRODUCT((Inputs!$C$5:$C$110=$B21)*Inputs!$D$5:$D$110*(((Inputs!$G$5:$G$110="moeda")+(Inputs!$G$5:$G$110="acoes"))*Inputs!$B$1+((Inputs!$G$5:$G$110&lt;&gt;"moeda")*(Inputs!$G$5:$G$110&lt;&gt;"acoes")))*INDEX(Inputs!$K$5:$AJ$110,0,MATCH(I$2,Inputs!$K$4:$AJ$4,0)))+SUMPRODUCT((Inputs!$E$5:$E$110=$B21)*Inputs!$F$5:$F$110*(((Inputs!$G$5:$G$110="moeda")+(Inputs!$G$5:$G$110="acoes"))*Inputs!$B$1+((Inputs!$G$5:$G$110&lt;&gt;"moeda")*(Inputs!$G$5:$G$110&lt;&gt;"acoes")))*INDEX(Inputs!$K$5:$AJ$110,0,MATCH(I$2,Inputs!$K$4:$AJ$4,0)))))</f>
        <v>0</v>
      </c>
      <c r="J21" s="267">
        <f>IF(ISNA(MATCH(J$2,Inputs!$K$4:$AJ$4,0)),NA(),IF(SUMPRODUCT((Inputs!$A$5:$A$110=$B21)*ISNUMBER(INDEX(Inputs!$K$5:$AJ$110,0,MATCH(J$2,Inputs!$K$4:$AJ$4,0))))+SUMPRODUCT((Inputs!$C$5:$C$110=$B21)*ISNUMBER(INDEX(Inputs!$K$5:$AJ$110,0,MATCH(J$2,Inputs!$K$4:$AJ$4,0))))+SUMPRODUCT((Inputs!$E$5:$E$110=$B21)*ISNUMBER(INDEX(Inputs!$K$5:$AJ$110,0,MATCH(J$2,Inputs!$K$4:$AJ$4,0))))=0,NA(),SUMPRODUCT((Inputs!$A$5:$A$110=$B21)*Inputs!$B$5:$B$110*(((Inputs!$G$5:$G$110="moeda")+(Inputs!$G$5:$G$110="acoes"))*Inputs!$B$1+((Inputs!$G$5:$G$110&lt;&gt;"moeda")*(Inputs!$G$5:$G$110&lt;&gt;"acoes")))*INDEX(Inputs!$K$5:$AJ$110,0,MATCH(J$2,Inputs!$K$4:$AJ$4,0)))+SUMPRODUCT((Inputs!$C$5:$C$110=$B21)*Inputs!$D$5:$D$110*(((Inputs!$G$5:$G$110="moeda")+(Inputs!$G$5:$G$110="acoes"))*Inputs!$B$1+((Inputs!$G$5:$G$110&lt;&gt;"moeda")*(Inputs!$G$5:$G$110&lt;&gt;"acoes")))*INDEX(Inputs!$K$5:$AJ$110,0,MATCH(J$2,Inputs!$K$4:$AJ$4,0)))+SUMPRODUCT((Inputs!$E$5:$E$110=$B21)*Inputs!$F$5:$F$110*(((Inputs!$G$5:$G$110="moeda")+(Inputs!$G$5:$G$110="acoes"))*Inputs!$B$1+((Inputs!$G$5:$G$110&lt;&gt;"moeda")*(Inputs!$G$5:$G$110&lt;&gt;"acoes")))*INDEX(Inputs!$K$5:$AJ$110,0,MATCH(J$2,Inputs!$K$4:$AJ$4,0)))))</f>
        <v>0</v>
      </c>
      <c r="K21" s="267">
        <f>IF(ISNA(MATCH(K$2,Inputs!$K$4:$AJ$4,0)),NA(),IF(SUMPRODUCT((Inputs!$A$5:$A$110=$B21)*ISNUMBER(INDEX(Inputs!$K$5:$AJ$110,0,MATCH(K$2,Inputs!$K$4:$AJ$4,0))))+SUMPRODUCT((Inputs!$C$5:$C$110=$B21)*ISNUMBER(INDEX(Inputs!$K$5:$AJ$110,0,MATCH(K$2,Inputs!$K$4:$AJ$4,0))))+SUMPRODUCT((Inputs!$E$5:$E$110=$B21)*ISNUMBER(INDEX(Inputs!$K$5:$AJ$110,0,MATCH(K$2,Inputs!$K$4:$AJ$4,0))))=0,NA(),SUMPRODUCT((Inputs!$A$5:$A$110=$B21)*Inputs!$B$5:$B$110*(((Inputs!$G$5:$G$110="moeda")+(Inputs!$G$5:$G$110="acoes"))*Inputs!$B$1+((Inputs!$G$5:$G$110&lt;&gt;"moeda")*(Inputs!$G$5:$G$110&lt;&gt;"acoes")))*INDEX(Inputs!$K$5:$AJ$110,0,MATCH(K$2,Inputs!$K$4:$AJ$4,0)))+SUMPRODUCT((Inputs!$C$5:$C$110=$B21)*Inputs!$D$5:$D$110*(((Inputs!$G$5:$G$110="moeda")+(Inputs!$G$5:$G$110="acoes"))*Inputs!$B$1+((Inputs!$G$5:$G$110&lt;&gt;"moeda")*(Inputs!$G$5:$G$110&lt;&gt;"acoes")))*INDEX(Inputs!$K$5:$AJ$110,0,MATCH(K$2,Inputs!$K$4:$AJ$4,0)))+SUMPRODUCT((Inputs!$E$5:$E$110=$B21)*Inputs!$F$5:$F$110*(((Inputs!$G$5:$G$110="moeda")+(Inputs!$G$5:$G$110="acoes"))*Inputs!$B$1+((Inputs!$G$5:$G$110&lt;&gt;"moeda")*(Inputs!$G$5:$G$110&lt;&gt;"acoes")))*INDEX(Inputs!$K$5:$AJ$110,0,MATCH(K$2,Inputs!$K$4:$AJ$4,0)))))</f>
        <v>0</v>
      </c>
      <c r="L21" s="267">
        <f>IF(ISNA(MATCH(L$2,Inputs!$K$4:$AJ$4,0)),NA(),IF(SUMPRODUCT((Inputs!$A$5:$A$110=$B21)*ISNUMBER(INDEX(Inputs!$K$5:$AJ$110,0,MATCH(L$2,Inputs!$K$4:$AJ$4,0))))+SUMPRODUCT((Inputs!$C$5:$C$110=$B21)*ISNUMBER(INDEX(Inputs!$K$5:$AJ$110,0,MATCH(L$2,Inputs!$K$4:$AJ$4,0))))+SUMPRODUCT((Inputs!$E$5:$E$110=$B21)*ISNUMBER(INDEX(Inputs!$K$5:$AJ$110,0,MATCH(L$2,Inputs!$K$4:$AJ$4,0))))=0,NA(),SUMPRODUCT((Inputs!$A$5:$A$110=$B21)*Inputs!$B$5:$B$110*(((Inputs!$G$5:$G$110="moeda")+(Inputs!$G$5:$G$110="acoes"))*Inputs!$B$1+((Inputs!$G$5:$G$110&lt;&gt;"moeda")*(Inputs!$G$5:$G$110&lt;&gt;"acoes")))*INDEX(Inputs!$K$5:$AJ$110,0,MATCH(L$2,Inputs!$K$4:$AJ$4,0)))+SUMPRODUCT((Inputs!$C$5:$C$110=$B21)*Inputs!$D$5:$D$110*(((Inputs!$G$5:$G$110="moeda")+(Inputs!$G$5:$G$110="acoes"))*Inputs!$B$1+((Inputs!$G$5:$G$110&lt;&gt;"moeda")*(Inputs!$G$5:$G$110&lt;&gt;"acoes")))*INDEX(Inputs!$K$5:$AJ$110,0,MATCH(L$2,Inputs!$K$4:$AJ$4,0)))+SUMPRODUCT((Inputs!$E$5:$E$110=$B21)*Inputs!$F$5:$F$110*(((Inputs!$G$5:$G$110="moeda")+(Inputs!$G$5:$G$110="acoes"))*Inputs!$B$1+((Inputs!$G$5:$G$110&lt;&gt;"moeda")*(Inputs!$G$5:$G$110&lt;&gt;"acoes")))*INDEX(Inputs!$K$5:$AJ$110,0,MATCH(L$2,Inputs!$K$4:$AJ$4,0)))))</f>
        <v>0</v>
      </c>
      <c r="M21" s="268">
        <f>L21</f>
        <v>0</v>
      </c>
      <c r="N21" s="267">
        <f>IF(ISNA(MATCH(N$2,Inputs!$K$4:$AJ$4,0)),NA(),IF(SUMPRODUCT((Inputs!$A$5:$A$110=$B21)*ISNUMBER(INDEX(Inputs!$K$5:$AJ$110,0,MATCH(N$2,Inputs!$K$4:$AJ$4,0))))+SUMPRODUCT((Inputs!$C$5:$C$110=$B21)*ISNUMBER(INDEX(Inputs!$K$5:$AJ$110,0,MATCH(N$2,Inputs!$K$4:$AJ$4,0))))+SUMPRODUCT((Inputs!$E$5:$E$110=$B21)*ISNUMBER(INDEX(Inputs!$K$5:$AJ$110,0,MATCH(N$2,Inputs!$K$4:$AJ$4,0))))=0,NA(),SUMPRODUCT((Inputs!$A$5:$A$110=$B21)*Inputs!$B$5:$B$110*(((Inputs!$G$5:$G$110="moeda")+(Inputs!$G$5:$G$110="acoes"))*Inputs!$B$1+((Inputs!$G$5:$G$110&lt;&gt;"moeda")*(Inputs!$G$5:$G$110&lt;&gt;"acoes")))*INDEX(Inputs!$K$5:$AJ$110,0,MATCH(N$2,Inputs!$K$4:$AJ$4,0)))+SUMPRODUCT((Inputs!$C$5:$C$110=$B21)*Inputs!$D$5:$D$110*(((Inputs!$G$5:$G$110="moeda")+(Inputs!$G$5:$G$110="acoes"))*Inputs!$B$1+((Inputs!$G$5:$G$110&lt;&gt;"moeda")*(Inputs!$G$5:$G$110&lt;&gt;"acoes")))*INDEX(Inputs!$K$5:$AJ$110,0,MATCH(N$2,Inputs!$K$4:$AJ$4,0)))+SUMPRODUCT((Inputs!$E$5:$E$110=$B21)*Inputs!$F$5:$F$110*(((Inputs!$G$5:$G$110="moeda")+(Inputs!$G$5:$G$110="acoes"))*Inputs!$B$1+((Inputs!$G$5:$G$110&lt;&gt;"moeda")*(Inputs!$G$5:$G$110&lt;&gt;"acoes")))*INDEX(Inputs!$K$5:$AJ$110,0,MATCH(N$2,Inputs!$K$4:$AJ$4,0)))))</f>
        <v>0</v>
      </c>
      <c r="O21" s="267">
        <f>IF(ISNA(MATCH(O$2,Inputs!$K$4:$AJ$4,0)),NA(),IF(SUMPRODUCT((Inputs!$A$5:$A$110=$B21)*ISNUMBER(INDEX(Inputs!$K$5:$AJ$110,0,MATCH(O$2,Inputs!$K$4:$AJ$4,0))))+SUMPRODUCT((Inputs!$C$5:$C$110=$B21)*ISNUMBER(INDEX(Inputs!$K$5:$AJ$110,0,MATCH(O$2,Inputs!$K$4:$AJ$4,0))))+SUMPRODUCT((Inputs!$E$5:$E$110=$B21)*ISNUMBER(INDEX(Inputs!$K$5:$AJ$110,0,MATCH(O$2,Inputs!$K$4:$AJ$4,0))))=0,NA(),SUMPRODUCT((Inputs!$A$5:$A$110=$B21)*Inputs!$B$5:$B$110*(((Inputs!$G$5:$G$110="moeda")+(Inputs!$G$5:$G$110="acoes"))*Inputs!$B$1+((Inputs!$G$5:$G$110&lt;&gt;"moeda")*(Inputs!$G$5:$G$110&lt;&gt;"acoes")))*INDEX(Inputs!$K$5:$AJ$110,0,MATCH(O$2,Inputs!$K$4:$AJ$4,0)))+SUMPRODUCT((Inputs!$C$5:$C$110=$B21)*Inputs!$D$5:$D$110*(((Inputs!$G$5:$G$110="moeda")+(Inputs!$G$5:$G$110="acoes"))*Inputs!$B$1+((Inputs!$G$5:$G$110&lt;&gt;"moeda")*(Inputs!$G$5:$G$110&lt;&gt;"acoes")))*INDEX(Inputs!$K$5:$AJ$110,0,MATCH(O$2,Inputs!$K$4:$AJ$4,0)))+SUMPRODUCT((Inputs!$E$5:$E$110=$B21)*Inputs!$F$5:$F$110*(((Inputs!$G$5:$G$110="moeda")+(Inputs!$G$5:$G$110="acoes"))*Inputs!$B$1+((Inputs!$G$5:$G$110&lt;&gt;"moeda")*(Inputs!$G$5:$G$110&lt;&gt;"acoes")))*INDEX(Inputs!$K$5:$AJ$110,0,MATCH(O$2,Inputs!$K$4:$AJ$4,0)))))</f>
        <v>0</v>
      </c>
      <c r="P21" s="267">
        <f>IF(ISNA(MATCH(P$2,Inputs!$K$4:$AJ$4,0)),NA(),IF(SUMPRODUCT((Inputs!$A$5:$A$110=$B21)*ISNUMBER(INDEX(Inputs!$K$5:$AJ$110,0,MATCH(P$2,Inputs!$K$4:$AJ$4,0))))+SUMPRODUCT((Inputs!$C$5:$C$110=$B21)*ISNUMBER(INDEX(Inputs!$K$5:$AJ$110,0,MATCH(P$2,Inputs!$K$4:$AJ$4,0))))+SUMPRODUCT((Inputs!$E$5:$E$110=$B21)*ISNUMBER(INDEX(Inputs!$K$5:$AJ$110,0,MATCH(P$2,Inputs!$K$4:$AJ$4,0))))=0,NA(),SUMPRODUCT((Inputs!$A$5:$A$110=$B21)*Inputs!$B$5:$B$110*(((Inputs!$G$5:$G$110="moeda")+(Inputs!$G$5:$G$110="acoes"))*Inputs!$B$1+((Inputs!$G$5:$G$110&lt;&gt;"moeda")*(Inputs!$G$5:$G$110&lt;&gt;"acoes")))*INDEX(Inputs!$K$5:$AJ$110,0,MATCH(P$2,Inputs!$K$4:$AJ$4,0)))+SUMPRODUCT((Inputs!$C$5:$C$110=$B21)*Inputs!$D$5:$D$110*(((Inputs!$G$5:$G$110="moeda")+(Inputs!$G$5:$G$110="acoes"))*Inputs!$B$1+((Inputs!$G$5:$G$110&lt;&gt;"moeda")*(Inputs!$G$5:$G$110&lt;&gt;"acoes")))*INDEX(Inputs!$K$5:$AJ$110,0,MATCH(P$2,Inputs!$K$4:$AJ$4,0)))+SUMPRODUCT((Inputs!$E$5:$E$110=$B21)*Inputs!$F$5:$F$110*(((Inputs!$G$5:$G$110="moeda")+(Inputs!$G$5:$G$110="acoes"))*Inputs!$B$1+((Inputs!$G$5:$G$110&lt;&gt;"moeda")*(Inputs!$G$5:$G$110&lt;&gt;"acoes")))*INDEX(Inputs!$K$5:$AJ$110,0,MATCH(P$2,Inputs!$K$4:$AJ$4,0)))))</f>
        <v>0</v>
      </c>
      <c r="Q21" s="267">
        <f>IF(ISNA(MATCH(Q$2,Inputs!$K$4:$AJ$4,0)),NA(),IF(SUMPRODUCT((Inputs!$A$5:$A$110=$B21)*ISNUMBER(INDEX(Inputs!$K$5:$AJ$110,0,MATCH(Q$2,Inputs!$K$4:$AJ$4,0))))+SUMPRODUCT((Inputs!$C$5:$C$110=$B21)*ISNUMBER(INDEX(Inputs!$K$5:$AJ$110,0,MATCH(Q$2,Inputs!$K$4:$AJ$4,0))))+SUMPRODUCT((Inputs!$E$5:$E$110=$B21)*ISNUMBER(INDEX(Inputs!$K$5:$AJ$110,0,MATCH(Q$2,Inputs!$K$4:$AJ$4,0))))=0,NA(),SUMPRODUCT((Inputs!$A$5:$A$110=$B21)*Inputs!$B$5:$B$110*(((Inputs!$G$5:$G$110="moeda")+(Inputs!$G$5:$G$110="acoes"))*Inputs!$B$1+((Inputs!$G$5:$G$110&lt;&gt;"moeda")*(Inputs!$G$5:$G$110&lt;&gt;"acoes")))*INDEX(Inputs!$K$5:$AJ$110,0,MATCH(Q$2,Inputs!$K$4:$AJ$4,0)))+SUMPRODUCT((Inputs!$C$5:$C$110=$B21)*Inputs!$D$5:$D$110*(((Inputs!$G$5:$G$110="moeda")+(Inputs!$G$5:$G$110="acoes"))*Inputs!$B$1+((Inputs!$G$5:$G$110&lt;&gt;"moeda")*(Inputs!$G$5:$G$110&lt;&gt;"acoes")))*INDEX(Inputs!$K$5:$AJ$110,0,MATCH(Q$2,Inputs!$K$4:$AJ$4,0)))+SUMPRODUCT((Inputs!$E$5:$E$110=$B21)*Inputs!$F$5:$F$110*(((Inputs!$G$5:$G$110="moeda")+(Inputs!$G$5:$G$110="acoes"))*Inputs!$B$1+((Inputs!$G$5:$G$110&lt;&gt;"moeda")*(Inputs!$G$5:$G$110&lt;&gt;"acoes")))*INDEX(Inputs!$K$5:$AJ$110,0,MATCH(Q$2,Inputs!$K$4:$AJ$4,0)))))</f>
        <v>0</v>
      </c>
      <c r="R21" s="268">
        <f>Q21</f>
        <v>0</v>
      </c>
      <c r="S21" s="267">
        <f>IF(ISNA(MATCH(S$2,Inputs!$K$4:$AJ$4,0)),NA(),IF(SUMPRODUCT((Inputs!$A$5:$A$110=$B21)*ISNUMBER(INDEX(Inputs!$K$5:$AJ$110,0,MATCH(S$2,Inputs!$K$4:$AJ$4,0))))+SUMPRODUCT((Inputs!$C$5:$C$110=$B21)*ISNUMBER(INDEX(Inputs!$K$5:$AJ$110,0,MATCH(S$2,Inputs!$K$4:$AJ$4,0))))+SUMPRODUCT((Inputs!$E$5:$E$110=$B21)*ISNUMBER(INDEX(Inputs!$K$5:$AJ$110,0,MATCH(S$2,Inputs!$K$4:$AJ$4,0))))=0,NA(),SUMPRODUCT((Inputs!$A$5:$A$110=$B21)*Inputs!$B$5:$B$110*(((Inputs!$G$5:$G$110="moeda")+(Inputs!$G$5:$G$110="acoes"))*Inputs!$B$1+((Inputs!$G$5:$G$110&lt;&gt;"moeda")*(Inputs!$G$5:$G$110&lt;&gt;"acoes")))*INDEX(Inputs!$K$5:$AJ$110,0,MATCH(S$2,Inputs!$K$4:$AJ$4,0)))+SUMPRODUCT((Inputs!$C$5:$C$110=$B21)*Inputs!$D$5:$D$110*(((Inputs!$G$5:$G$110="moeda")+(Inputs!$G$5:$G$110="acoes"))*Inputs!$B$1+((Inputs!$G$5:$G$110&lt;&gt;"moeda")*(Inputs!$G$5:$G$110&lt;&gt;"acoes")))*INDEX(Inputs!$K$5:$AJ$110,0,MATCH(S$2,Inputs!$K$4:$AJ$4,0)))+SUMPRODUCT((Inputs!$E$5:$E$110=$B21)*Inputs!$F$5:$F$110*(((Inputs!$G$5:$G$110="moeda")+(Inputs!$G$5:$G$110="acoes"))*Inputs!$B$1+((Inputs!$G$5:$G$110&lt;&gt;"moeda")*(Inputs!$G$5:$G$110&lt;&gt;"acoes")))*INDEX(Inputs!$K$5:$AJ$110,0,MATCH(S$2,Inputs!$K$4:$AJ$4,0)))))</f>
        <v>0</v>
      </c>
      <c r="T21" s="267">
        <f>IF(ISNA(MATCH(T$2,Inputs!$K$4:$AJ$4,0)),NA(),IF(SUMPRODUCT((Inputs!$A$5:$A$110=$B21)*ISNUMBER(INDEX(Inputs!$K$5:$AJ$110,0,MATCH(T$2,Inputs!$K$4:$AJ$4,0))))+SUMPRODUCT((Inputs!$C$5:$C$110=$B21)*ISNUMBER(INDEX(Inputs!$K$5:$AJ$110,0,MATCH(T$2,Inputs!$K$4:$AJ$4,0))))+SUMPRODUCT((Inputs!$E$5:$E$110=$B21)*ISNUMBER(INDEX(Inputs!$K$5:$AJ$110,0,MATCH(T$2,Inputs!$K$4:$AJ$4,0))))=0,NA(),SUMPRODUCT((Inputs!$A$5:$A$110=$B21)*Inputs!$B$5:$B$110*(((Inputs!$G$5:$G$110="moeda")+(Inputs!$G$5:$G$110="acoes"))*Inputs!$B$1+((Inputs!$G$5:$G$110&lt;&gt;"moeda")*(Inputs!$G$5:$G$110&lt;&gt;"acoes")))*INDEX(Inputs!$K$5:$AJ$110,0,MATCH(T$2,Inputs!$K$4:$AJ$4,0)))+SUMPRODUCT((Inputs!$C$5:$C$110=$B21)*Inputs!$D$5:$D$110*(((Inputs!$G$5:$G$110="moeda")+(Inputs!$G$5:$G$110="acoes"))*Inputs!$B$1+((Inputs!$G$5:$G$110&lt;&gt;"moeda")*(Inputs!$G$5:$G$110&lt;&gt;"acoes")))*INDEX(Inputs!$K$5:$AJ$110,0,MATCH(T$2,Inputs!$K$4:$AJ$4,0)))+SUMPRODUCT((Inputs!$E$5:$E$110=$B21)*Inputs!$F$5:$F$110*(((Inputs!$G$5:$G$110="moeda")+(Inputs!$G$5:$G$110="acoes"))*Inputs!$B$1+((Inputs!$G$5:$G$110&lt;&gt;"moeda")*(Inputs!$G$5:$G$110&lt;&gt;"acoes")))*INDEX(Inputs!$K$5:$AJ$110,0,MATCH(T$2,Inputs!$K$4:$AJ$4,0)))))</f>
        <v>0</v>
      </c>
      <c r="U21" s="267">
        <f>IF(ISNA(MATCH(U$2,Inputs!$K$4:$AJ$4,0)),NA(),IF(SUMPRODUCT((Inputs!$A$5:$A$110=$B21)*ISNUMBER(INDEX(Inputs!$K$5:$AJ$110,0,MATCH(U$2,Inputs!$K$4:$AJ$4,0))))+SUMPRODUCT((Inputs!$C$5:$C$110=$B21)*ISNUMBER(INDEX(Inputs!$K$5:$AJ$110,0,MATCH(U$2,Inputs!$K$4:$AJ$4,0))))+SUMPRODUCT((Inputs!$E$5:$E$110=$B21)*ISNUMBER(INDEX(Inputs!$K$5:$AJ$110,0,MATCH(U$2,Inputs!$K$4:$AJ$4,0))))=0,NA(),SUMPRODUCT((Inputs!$A$5:$A$110=$B21)*Inputs!$B$5:$B$110*(((Inputs!$G$5:$G$110="moeda")+(Inputs!$G$5:$G$110="acoes"))*Inputs!$B$1+((Inputs!$G$5:$G$110&lt;&gt;"moeda")*(Inputs!$G$5:$G$110&lt;&gt;"acoes")))*INDEX(Inputs!$K$5:$AJ$110,0,MATCH(U$2,Inputs!$K$4:$AJ$4,0)))+SUMPRODUCT((Inputs!$C$5:$C$110=$B21)*Inputs!$D$5:$D$110*(((Inputs!$G$5:$G$110="moeda")+(Inputs!$G$5:$G$110="acoes"))*Inputs!$B$1+((Inputs!$G$5:$G$110&lt;&gt;"moeda")*(Inputs!$G$5:$G$110&lt;&gt;"acoes")))*INDEX(Inputs!$K$5:$AJ$110,0,MATCH(U$2,Inputs!$K$4:$AJ$4,0)))+SUMPRODUCT((Inputs!$E$5:$E$110=$B21)*Inputs!$F$5:$F$110*(((Inputs!$G$5:$G$110="moeda")+(Inputs!$G$5:$G$110="acoes"))*Inputs!$B$1+((Inputs!$G$5:$G$110&lt;&gt;"moeda")*(Inputs!$G$5:$G$110&lt;&gt;"acoes")))*INDEX(Inputs!$K$5:$AJ$110,0,MATCH(U$2,Inputs!$K$4:$AJ$4,0)))))</f>
        <v>0</v>
      </c>
      <c r="V21" s="267">
        <f>IF(ISNA(MATCH(V$2,Inputs!$K$4:$AJ$4,0)),NA(),IF(SUMPRODUCT((Inputs!$A$5:$A$110=$B21)*ISNUMBER(INDEX(Inputs!$K$5:$AJ$110,0,MATCH(V$2,Inputs!$K$4:$AJ$4,0))))+SUMPRODUCT((Inputs!$C$5:$C$110=$B21)*ISNUMBER(INDEX(Inputs!$K$5:$AJ$110,0,MATCH(V$2,Inputs!$K$4:$AJ$4,0))))+SUMPRODUCT((Inputs!$E$5:$E$110=$B21)*ISNUMBER(INDEX(Inputs!$K$5:$AJ$110,0,MATCH(V$2,Inputs!$K$4:$AJ$4,0))))=0,NA(),SUMPRODUCT((Inputs!$A$5:$A$110=$B21)*Inputs!$B$5:$B$110*(((Inputs!$G$5:$G$110="moeda")+(Inputs!$G$5:$G$110="acoes"))*Inputs!$B$1+((Inputs!$G$5:$G$110&lt;&gt;"moeda")*(Inputs!$G$5:$G$110&lt;&gt;"acoes")))*INDEX(Inputs!$K$5:$AJ$110,0,MATCH(V$2,Inputs!$K$4:$AJ$4,0)))+SUMPRODUCT((Inputs!$C$5:$C$110=$B21)*Inputs!$D$5:$D$110*(((Inputs!$G$5:$G$110="moeda")+(Inputs!$G$5:$G$110="acoes"))*Inputs!$B$1+((Inputs!$G$5:$G$110&lt;&gt;"moeda")*(Inputs!$G$5:$G$110&lt;&gt;"acoes")))*INDEX(Inputs!$K$5:$AJ$110,0,MATCH(V$2,Inputs!$K$4:$AJ$4,0)))+SUMPRODUCT((Inputs!$E$5:$E$110=$B21)*Inputs!$F$5:$F$110*(((Inputs!$G$5:$G$110="moeda")+(Inputs!$G$5:$G$110="acoes"))*Inputs!$B$1+((Inputs!$G$5:$G$110&lt;&gt;"moeda")*(Inputs!$G$5:$G$110&lt;&gt;"acoes")))*INDEX(Inputs!$K$5:$AJ$110,0,MATCH(V$2,Inputs!$K$4:$AJ$4,0)))))</f>
        <v>0</v>
      </c>
      <c r="W21" s="268">
        <f>V21</f>
        <v>0</v>
      </c>
      <c r="X21" s="267">
        <f>IF(ISNA(MATCH(X$2,Inputs!$K$4:$AJ$4,0)),NA(),IF(SUMPRODUCT((Inputs!$A$5:$A$110=$B21)*ISNUMBER(INDEX(Inputs!$K$5:$AJ$110,0,MATCH(X$2,Inputs!$K$4:$AJ$4,0))))+SUMPRODUCT((Inputs!$C$5:$C$110=$B21)*ISNUMBER(INDEX(Inputs!$K$5:$AJ$110,0,MATCH(X$2,Inputs!$K$4:$AJ$4,0))))+SUMPRODUCT((Inputs!$E$5:$E$110=$B21)*ISNUMBER(INDEX(Inputs!$K$5:$AJ$110,0,MATCH(X$2,Inputs!$K$4:$AJ$4,0))))=0,NA(),SUMPRODUCT((Inputs!$A$5:$A$110=$B21)*Inputs!$B$5:$B$110*(((Inputs!$G$5:$G$110="moeda")+(Inputs!$G$5:$G$110="acoes"))*Inputs!$B$1+((Inputs!$G$5:$G$110&lt;&gt;"moeda")*(Inputs!$G$5:$G$110&lt;&gt;"acoes")))*INDEX(Inputs!$K$5:$AJ$110,0,MATCH(X$2,Inputs!$K$4:$AJ$4,0)))+SUMPRODUCT((Inputs!$C$5:$C$110=$B21)*Inputs!$D$5:$D$110*(((Inputs!$G$5:$G$110="moeda")+(Inputs!$G$5:$G$110="acoes"))*Inputs!$B$1+((Inputs!$G$5:$G$110&lt;&gt;"moeda")*(Inputs!$G$5:$G$110&lt;&gt;"acoes")))*INDEX(Inputs!$K$5:$AJ$110,0,MATCH(X$2,Inputs!$K$4:$AJ$4,0)))+SUMPRODUCT((Inputs!$E$5:$E$110=$B21)*Inputs!$F$5:$F$110*(((Inputs!$G$5:$G$110="moeda")+(Inputs!$G$5:$G$110="acoes"))*Inputs!$B$1+((Inputs!$G$5:$G$110&lt;&gt;"moeda")*(Inputs!$G$5:$G$110&lt;&gt;"acoes")))*INDEX(Inputs!$K$5:$AJ$110,0,MATCH(X$2,Inputs!$K$4:$AJ$4,0)))))</f>
        <v>0</v>
      </c>
      <c r="Y21" s="267">
        <f>IF(ISNA(MATCH(Y$2,Inputs!$K$4:$AJ$4,0)),NA(),IF(SUMPRODUCT((Inputs!$A$5:$A$110=$B21)*ISNUMBER(INDEX(Inputs!$K$5:$AJ$110,0,MATCH(Y$2,Inputs!$K$4:$AJ$4,0))))+SUMPRODUCT((Inputs!$C$5:$C$110=$B21)*ISNUMBER(INDEX(Inputs!$K$5:$AJ$110,0,MATCH(Y$2,Inputs!$K$4:$AJ$4,0))))+SUMPRODUCT((Inputs!$E$5:$E$110=$B21)*ISNUMBER(INDEX(Inputs!$K$5:$AJ$110,0,MATCH(Y$2,Inputs!$K$4:$AJ$4,0))))=0,NA(),SUMPRODUCT((Inputs!$A$5:$A$110=$B21)*Inputs!$B$5:$B$110*(((Inputs!$G$5:$G$110="moeda")+(Inputs!$G$5:$G$110="acoes"))*Inputs!$B$1+((Inputs!$G$5:$G$110&lt;&gt;"moeda")*(Inputs!$G$5:$G$110&lt;&gt;"acoes")))*INDEX(Inputs!$K$5:$AJ$110,0,MATCH(Y$2,Inputs!$K$4:$AJ$4,0)))+SUMPRODUCT((Inputs!$C$5:$C$110=$B21)*Inputs!$D$5:$D$110*(((Inputs!$G$5:$G$110="moeda")+(Inputs!$G$5:$G$110="acoes"))*Inputs!$B$1+((Inputs!$G$5:$G$110&lt;&gt;"moeda")*(Inputs!$G$5:$G$110&lt;&gt;"acoes")))*INDEX(Inputs!$K$5:$AJ$110,0,MATCH(Y$2,Inputs!$K$4:$AJ$4,0)))+SUMPRODUCT((Inputs!$E$5:$E$110=$B21)*Inputs!$F$5:$F$110*(((Inputs!$G$5:$G$110="moeda")+(Inputs!$G$5:$G$110="acoes"))*Inputs!$B$1+((Inputs!$G$5:$G$110&lt;&gt;"moeda")*(Inputs!$G$5:$G$110&lt;&gt;"acoes")))*INDEX(Inputs!$K$5:$AJ$110,0,MATCH(Y$2,Inputs!$K$4:$AJ$4,0)))))</f>
        <v>0</v>
      </c>
      <c r="Z21" s="267">
        <f>IF(ISNA(MATCH(Z$2,Inputs!$K$4:$AJ$4,0)),NA(),IF(SUMPRODUCT((Inputs!$A$5:$A$110=$B21)*ISNUMBER(INDEX(Inputs!$K$5:$AJ$110,0,MATCH(Z$2,Inputs!$K$4:$AJ$4,0))))+SUMPRODUCT((Inputs!$C$5:$C$110=$B21)*ISNUMBER(INDEX(Inputs!$K$5:$AJ$110,0,MATCH(Z$2,Inputs!$K$4:$AJ$4,0))))+SUMPRODUCT((Inputs!$E$5:$E$110=$B21)*ISNUMBER(INDEX(Inputs!$K$5:$AJ$110,0,MATCH(Z$2,Inputs!$K$4:$AJ$4,0))))=0,NA(),SUMPRODUCT((Inputs!$A$5:$A$110=$B21)*Inputs!$B$5:$B$110*(((Inputs!$G$5:$G$110="moeda")+(Inputs!$G$5:$G$110="acoes"))*Inputs!$B$1+((Inputs!$G$5:$G$110&lt;&gt;"moeda")*(Inputs!$G$5:$G$110&lt;&gt;"acoes")))*INDEX(Inputs!$K$5:$AJ$110,0,MATCH(Z$2,Inputs!$K$4:$AJ$4,0)))+SUMPRODUCT((Inputs!$C$5:$C$110=$B21)*Inputs!$D$5:$D$110*(((Inputs!$G$5:$G$110="moeda")+(Inputs!$G$5:$G$110="acoes"))*Inputs!$B$1+((Inputs!$G$5:$G$110&lt;&gt;"moeda")*(Inputs!$G$5:$G$110&lt;&gt;"acoes")))*INDEX(Inputs!$K$5:$AJ$110,0,MATCH(Z$2,Inputs!$K$4:$AJ$4,0)))+SUMPRODUCT((Inputs!$E$5:$E$110=$B21)*Inputs!$F$5:$F$110*(((Inputs!$G$5:$G$110="moeda")+(Inputs!$G$5:$G$110="acoes"))*Inputs!$B$1+((Inputs!$G$5:$G$110&lt;&gt;"moeda")*(Inputs!$G$5:$G$110&lt;&gt;"acoes")))*INDEX(Inputs!$K$5:$AJ$110,0,MATCH(Z$2,Inputs!$K$4:$AJ$4,0)))))</f>
        <v>0</v>
      </c>
      <c r="AA21" s="267">
        <f>IF(ISNA(MATCH(AA$2,Inputs!$K$4:$AJ$4,0)),NA(),IF(SUMPRODUCT((Inputs!$A$5:$A$110=$B21)*ISNUMBER(INDEX(Inputs!$K$5:$AJ$110,0,MATCH(AA$2,Inputs!$K$4:$AJ$4,0))))+SUMPRODUCT((Inputs!$C$5:$C$110=$B21)*ISNUMBER(INDEX(Inputs!$K$5:$AJ$110,0,MATCH(AA$2,Inputs!$K$4:$AJ$4,0))))+SUMPRODUCT((Inputs!$E$5:$E$110=$B21)*ISNUMBER(INDEX(Inputs!$K$5:$AJ$110,0,MATCH(AA$2,Inputs!$K$4:$AJ$4,0))))=0,NA(),SUMPRODUCT((Inputs!$A$5:$A$110=$B21)*Inputs!$B$5:$B$110*(((Inputs!$G$5:$G$110="moeda")+(Inputs!$G$5:$G$110="acoes"))*Inputs!$B$1+((Inputs!$G$5:$G$110&lt;&gt;"moeda")*(Inputs!$G$5:$G$110&lt;&gt;"acoes")))*INDEX(Inputs!$K$5:$AJ$110,0,MATCH(AA$2,Inputs!$K$4:$AJ$4,0)))+SUMPRODUCT((Inputs!$C$5:$C$110=$B21)*Inputs!$D$5:$D$110*(((Inputs!$G$5:$G$110="moeda")+(Inputs!$G$5:$G$110="acoes"))*Inputs!$B$1+((Inputs!$G$5:$G$110&lt;&gt;"moeda")*(Inputs!$G$5:$G$110&lt;&gt;"acoes")))*INDEX(Inputs!$K$5:$AJ$110,0,MATCH(AA$2,Inputs!$K$4:$AJ$4,0)))+SUMPRODUCT((Inputs!$E$5:$E$110=$B21)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1" s="268">
        <f>AA21</f>
        <v>0</v>
      </c>
      <c r="AC21" s="267">
        <f>IF(ISNA(MATCH(AC$2,Inputs!$K$4:$AJ$4,0)),NA(),IF(SUMPRODUCT((Inputs!$A$5:$A$110=$B21)*ISNUMBER(INDEX(Inputs!$K$5:$AJ$110,0,MATCH(AC$2,Inputs!$K$4:$AJ$4,0))))+SUMPRODUCT((Inputs!$C$5:$C$110=$B21)*ISNUMBER(INDEX(Inputs!$K$5:$AJ$110,0,MATCH(AC$2,Inputs!$K$4:$AJ$4,0))))+SUMPRODUCT((Inputs!$E$5:$E$110=$B21)*ISNUMBER(INDEX(Inputs!$K$5:$AJ$110,0,MATCH(AC$2,Inputs!$K$4:$AJ$4,0))))=0,NA(),SUMPRODUCT((Inputs!$A$5:$A$110=$B21)*Inputs!$B$5:$B$110*(((Inputs!$G$5:$G$110="moeda")+(Inputs!$G$5:$G$110="acoes"))*Inputs!$B$1+((Inputs!$G$5:$G$110&lt;&gt;"moeda")*(Inputs!$G$5:$G$110&lt;&gt;"acoes")))*INDEX(Inputs!$K$5:$AJ$110,0,MATCH(AC$2,Inputs!$K$4:$AJ$4,0)))+SUMPRODUCT((Inputs!$C$5:$C$110=$B21)*Inputs!$D$5:$D$110*(((Inputs!$G$5:$G$110="moeda")+(Inputs!$G$5:$G$110="acoes"))*Inputs!$B$1+((Inputs!$G$5:$G$110&lt;&gt;"moeda")*(Inputs!$G$5:$G$110&lt;&gt;"acoes")))*INDEX(Inputs!$K$5:$AJ$110,0,MATCH(AC$2,Inputs!$K$4:$AJ$4,0)))+SUMPRODUCT((Inputs!$E$5:$E$110=$B21)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1" s="267">
        <f>IF(ISNA(MATCH(AD$2,Inputs!$K$4:$AJ$4,0)),NA(),IF(SUMPRODUCT((Inputs!$A$5:$A$110=$B21)*ISNUMBER(INDEX(Inputs!$K$5:$AJ$110,0,MATCH(AD$2,Inputs!$K$4:$AJ$4,0))))+SUMPRODUCT((Inputs!$C$5:$C$110=$B21)*ISNUMBER(INDEX(Inputs!$K$5:$AJ$110,0,MATCH(AD$2,Inputs!$K$4:$AJ$4,0))))+SUMPRODUCT((Inputs!$E$5:$E$110=$B21)*ISNUMBER(INDEX(Inputs!$K$5:$AJ$110,0,MATCH(AD$2,Inputs!$K$4:$AJ$4,0))))=0,NA(),SUMPRODUCT((Inputs!$A$5:$A$110=$B21)*Inputs!$B$5:$B$110*(((Inputs!$G$5:$G$110="moeda")+(Inputs!$G$5:$G$110="acoes"))*Inputs!$B$1+((Inputs!$G$5:$G$110&lt;&gt;"moeda")*(Inputs!$G$5:$G$110&lt;&gt;"acoes")))*INDEX(Inputs!$K$5:$AJ$110,0,MATCH(AD$2,Inputs!$K$4:$AJ$4,0)))+SUMPRODUCT((Inputs!$C$5:$C$110=$B21)*Inputs!$D$5:$D$110*(((Inputs!$G$5:$G$110="moeda")+(Inputs!$G$5:$G$110="acoes"))*Inputs!$B$1+((Inputs!$G$5:$G$110&lt;&gt;"moeda")*(Inputs!$G$5:$G$110&lt;&gt;"acoes")))*INDEX(Inputs!$K$5:$AJ$110,0,MATCH(AD$2,Inputs!$K$4:$AJ$4,0)))+SUMPRODUCT((Inputs!$E$5:$E$110=$B21)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1" s="267" t="e">
        <f>IF(ISNA(MATCH(AE$2,Inputs!$K$4:$AJ$4,0)),NA(),IF(SUMPRODUCT((Inputs!$A$5:$A$110=$B21)*ISNUMBER(INDEX(Inputs!$K$5:$AJ$110,0,MATCH(AE$2,Inputs!$K$4:$AJ$4,0))))+SUMPRODUCT((Inputs!$C$5:$C$110=$B21)*ISNUMBER(INDEX(Inputs!$K$5:$AJ$110,0,MATCH(AE$2,Inputs!$K$4:$AJ$4,0))))+SUMPRODUCT((Inputs!$E$5:$E$110=$B21)*ISNUMBER(INDEX(Inputs!$K$5:$AJ$110,0,MATCH(AE$2,Inputs!$K$4:$AJ$4,0))))=0,NA(),SUMPRODUCT((Inputs!$A$5:$A$110=$B21)*Inputs!$B$5:$B$110*(((Inputs!$G$5:$G$110="moeda")+(Inputs!$G$5:$G$110="acoes"))*Inputs!$B$1+((Inputs!$G$5:$G$110&lt;&gt;"moeda")*(Inputs!$G$5:$G$110&lt;&gt;"acoes")))*INDEX(Inputs!$K$5:$AJ$110,0,MATCH(AE$2,Inputs!$K$4:$AJ$4,0)))+SUMPRODUCT((Inputs!$C$5:$C$110=$B21)*Inputs!$D$5:$D$110*(((Inputs!$G$5:$G$110="moeda")+(Inputs!$G$5:$G$110="acoes"))*Inputs!$B$1+((Inputs!$G$5:$G$110&lt;&gt;"moeda")*(Inputs!$G$5:$G$110&lt;&gt;"acoes")))*INDEX(Inputs!$K$5:$AJ$110,0,MATCH(AE$2,Inputs!$K$4:$AJ$4,0)))+SUMPRODUCT((Inputs!$E$5:$E$110=$B21)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1" s="267" t="e">
        <f>IF(ISNA(MATCH(AF$2,Inputs!$K$4:$AJ$4,0)),NA(),IF(SUMPRODUCT((Inputs!$A$5:$A$110=$B21)*ISNUMBER(INDEX(Inputs!$K$5:$AJ$110,0,MATCH(AF$2,Inputs!$K$4:$AJ$4,0))))+SUMPRODUCT((Inputs!$C$5:$C$110=$B21)*ISNUMBER(INDEX(Inputs!$K$5:$AJ$110,0,MATCH(AF$2,Inputs!$K$4:$AJ$4,0))))+SUMPRODUCT((Inputs!$E$5:$E$110=$B21)*ISNUMBER(INDEX(Inputs!$K$5:$AJ$110,0,MATCH(AF$2,Inputs!$K$4:$AJ$4,0))))=0,NA(),SUMPRODUCT((Inputs!$A$5:$A$110=$B21)*Inputs!$B$5:$B$110*(((Inputs!$G$5:$G$110="moeda")+(Inputs!$G$5:$G$110="acoes"))*Inputs!$B$1+((Inputs!$G$5:$G$110&lt;&gt;"moeda")*(Inputs!$G$5:$G$110&lt;&gt;"acoes")))*INDEX(Inputs!$K$5:$AJ$110,0,MATCH(AF$2,Inputs!$K$4:$AJ$4,0)))+SUMPRODUCT((Inputs!$C$5:$C$110=$B21)*Inputs!$D$5:$D$110*(((Inputs!$G$5:$G$110="moeda")+(Inputs!$G$5:$G$110="acoes"))*Inputs!$B$1+((Inputs!$G$5:$G$110&lt;&gt;"moeda")*(Inputs!$G$5:$G$110&lt;&gt;"acoes")))*INDEX(Inputs!$K$5:$AJ$110,0,MATCH(AF$2,Inputs!$K$4:$AJ$4,0)))+SUMPRODUCT((Inputs!$E$5:$E$110=$B21)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1" s="268" t="e">
        <f>AF21</f>
        <v>#N/A</v>
      </c>
      <c r="AH21" s="267">
        <f>IF(ISNA(MATCH(AH$2,Inputs!$K$4:$AJ$4,0)),NA(),IF(SUMPRODUCT((Inputs!$A$5:$A$110=$B21)*ISNUMBER(INDEX(Inputs!$K$5:$AJ$110,0,MATCH(AH$2,Inputs!$K$4:$AJ$4,0))))+SUMPRODUCT((Inputs!$C$5:$C$110=$B21)*ISNUMBER(INDEX(Inputs!$K$5:$AJ$110,0,MATCH(AH$2,Inputs!$K$4:$AJ$4,0))))+SUMPRODUCT((Inputs!$E$5:$E$110=$B21)*ISNUMBER(INDEX(Inputs!$K$5:$AJ$110,0,MATCH(AH$2,Inputs!$K$4:$AJ$4,0))))=0,NA(),SUMPRODUCT((Inputs!$A$5:$A$110=$B21)*Inputs!$B$5:$B$110*(((Inputs!$G$5:$G$110="moeda")+(Inputs!$G$5:$G$110="acoes"))*Inputs!$B$1+((Inputs!$G$5:$G$110&lt;&gt;"moeda")*(Inputs!$G$5:$G$110&lt;&gt;"acoes")))*INDEX(Inputs!$K$5:$AJ$110,0,MATCH(AH$2,Inputs!$K$4:$AJ$4,0)))+SUMPRODUCT((Inputs!$C$5:$C$110=$B21)*Inputs!$D$5:$D$110*(((Inputs!$G$5:$G$110="moeda")+(Inputs!$G$5:$G$110="acoes"))*Inputs!$B$1+((Inputs!$G$5:$G$110&lt;&gt;"moeda")*(Inputs!$G$5:$G$110&lt;&gt;"acoes")))*INDEX(Inputs!$K$5:$AJ$110,0,MATCH(AH$2,Inputs!$K$4:$AJ$4,0)))+SUMPRODUCT((Inputs!$E$5:$E$110=$B21)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1" s="267">
        <f>IF(ISNA(MATCH(AI$2,Inputs!$K$4:$AJ$4,0)),NA(),IF(SUMPRODUCT((Inputs!$A$5:$A$110=$B21)*ISNUMBER(INDEX(Inputs!$K$5:$AJ$110,0,MATCH(AI$2,Inputs!$K$4:$AJ$4,0))))+SUMPRODUCT((Inputs!$C$5:$C$110=$B21)*ISNUMBER(INDEX(Inputs!$K$5:$AJ$110,0,MATCH(AI$2,Inputs!$K$4:$AJ$4,0))))+SUMPRODUCT((Inputs!$E$5:$E$110=$B21)*ISNUMBER(INDEX(Inputs!$K$5:$AJ$110,0,MATCH(AI$2,Inputs!$K$4:$AJ$4,0))))=0,NA(),SUMPRODUCT((Inputs!$A$5:$A$110=$B21)*Inputs!$B$5:$B$110*(((Inputs!$G$5:$G$110="moeda")+(Inputs!$G$5:$G$110="acoes"))*Inputs!$B$1+((Inputs!$G$5:$G$110&lt;&gt;"moeda")*(Inputs!$G$5:$G$110&lt;&gt;"acoes")))*INDEX(Inputs!$K$5:$AJ$110,0,MATCH(AI$2,Inputs!$K$4:$AJ$4,0)))+SUMPRODUCT((Inputs!$C$5:$C$110=$B21)*Inputs!$D$5:$D$110*(((Inputs!$G$5:$G$110="moeda")+(Inputs!$G$5:$G$110="acoes"))*Inputs!$B$1+((Inputs!$G$5:$G$110&lt;&gt;"moeda")*(Inputs!$G$5:$G$110&lt;&gt;"acoes")))*INDEX(Inputs!$K$5:$AJ$110,0,MATCH(AI$2,Inputs!$K$4:$AJ$4,0)))+SUMPRODUCT((Inputs!$E$5:$E$110=$B21)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1" s="267">
        <f>IF(ISNA(MATCH(AJ$2,Inputs!$K$4:$AJ$4,0)),NA(),IF(SUMPRODUCT((Inputs!$A$5:$A$110=$B21)*ISNUMBER(INDEX(Inputs!$K$5:$AJ$110,0,MATCH(AJ$2,Inputs!$K$4:$AJ$4,0))))+SUMPRODUCT((Inputs!$C$5:$C$110=$B21)*ISNUMBER(INDEX(Inputs!$K$5:$AJ$110,0,MATCH(AJ$2,Inputs!$K$4:$AJ$4,0))))+SUMPRODUCT((Inputs!$E$5:$E$110=$B21)*ISNUMBER(INDEX(Inputs!$K$5:$AJ$110,0,MATCH(AJ$2,Inputs!$K$4:$AJ$4,0))))=0,NA(),SUMPRODUCT((Inputs!$A$5:$A$110=$B21)*Inputs!$B$5:$B$110*(((Inputs!$G$5:$G$110="moeda")+(Inputs!$G$5:$G$110="acoes"))*Inputs!$B$1+((Inputs!$G$5:$G$110&lt;&gt;"moeda")*(Inputs!$G$5:$G$110&lt;&gt;"acoes")))*INDEX(Inputs!$K$5:$AJ$110,0,MATCH(AJ$2,Inputs!$K$4:$AJ$4,0)))+SUMPRODUCT((Inputs!$C$5:$C$110=$B21)*Inputs!$D$5:$D$110*(((Inputs!$G$5:$G$110="moeda")+(Inputs!$G$5:$G$110="acoes"))*Inputs!$B$1+((Inputs!$G$5:$G$110&lt;&gt;"moeda")*(Inputs!$G$5:$G$110&lt;&gt;"acoes")))*INDEX(Inputs!$K$5:$AJ$110,0,MATCH(AJ$2,Inputs!$K$4:$AJ$4,0)))+SUMPRODUCT((Inputs!$E$5:$E$110=$B21)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1" s="267">
        <f>IF(ISNA(MATCH(AK$2,Inputs!$K$4:$AJ$4,0)),NA(),IF(SUMPRODUCT((Inputs!$A$5:$A$110=$B21)*ISNUMBER(INDEX(Inputs!$K$5:$AJ$110,0,MATCH(AK$2,Inputs!$K$4:$AJ$4,0))))+SUMPRODUCT((Inputs!$C$5:$C$110=$B21)*ISNUMBER(INDEX(Inputs!$K$5:$AJ$110,0,MATCH(AK$2,Inputs!$K$4:$AJ$4,0))))+SUMPRODUCT((Inputs!$E$5:$E$110=$B21)*ISNUMBER(INDEX(Inputs!$K$5:$AJ$110,0,MATCH(AK$2,Inputs!$K$4:$AJ$4,0))))=0,NA(),SUMPRODUCT((Inputs!$A$5:$A$110=$B21)*Inputs!$B$5:$B$110*(((Inputs!$G$5:$G$110="moeda")+(Inputs!$G$5:$G$110="acoes"))*Inputs!$B$1+((Inputs!$G$5:$G$110&lt;&gt;"moeda")*(Inputs!$G$5:$G$110&lt;&gt;"acoes")))*INDEX(Inputs!$K$5:$AJ$110,0,MATCH(AK$2,Inputs!$K$4:$AJ$4,0)))+SUMPRODUCT((Inputs!$C$5:$C$110=$B21)*Inputs!$D$5:$D$110*(((Inputs!$G$5:$G$110="moeda")+(Inputs!$G$5:$G$110="acoes"))*Inputs!$B$1+((Inputs!$G$5:$G$110&lt;&gt;"moeda")*(Inputs!$G$5:$G$110&lt;&gt;"acoes")))*INDEX(Inputs!$K$5:$AJ$110,0,MATCH(AK$2,Inputs!$K$4:$AJ$4,0)))+SUMPRODUCT((Inputs!$E$5:$E$110=$B21)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1" s="268">
        <f>AK21</f>
        <v>0</v>
      </c>
    </row>
    <row r="22" ht="12.75" customHeight="1" s="255">
      <c r="B22" s="265" t="n">
        <v>18</v>
      </c>
      <c r="C22" s="270" t="inlineStr">
        <is>
          <t>PP&amp;E</t>
        </is>
      </c>
      <c r="D22" s="267">
        <f>IF(ISNA(MATCH(D$2,Inputs!$K$4:$AJ$4,0)),NA(),IF(SUMPRODUCT((Inputs!$A$5:$A$110=$B22)*ISNUMBER(INDEX(Inputs!$K$5:$AJ$110,0,MATCH(D$2,Inputs!$K$4:$AJ$4,0))))+SUMPRODUCT((Inputs!$C$5:$C$110=$B22)*ISNUMBER(INDEX(Inputs!$K$5:$AJ$110,0,MATCH(D$2,Inputs!$K$4:$AJ$4,0))))+SUMPRODUCT((Inputs!$E$5:$E$110=$B22)*ISNUMBER(INDEX(Inputs!$K$5:$AJ$110,0,MATCH(D$2,Inputs!$K$4:$AJ$4,0))))=0,NA(),SUMPRODUCT((Inputs!$A$5:$A$110=$B22)*Inputs!$B$5:$B$110*(((Inputs!$G$5:$G$110="moeda")+(Inputs!$G$5:$G$110="acoes"))*Inputs!$B$1+((Inputs!$G$5:$G$110&lt;&gt;"moeda")*(Inputs!$G$5:$G$110&lt;&gt;"acoes")))*INDEX(Inputs!$K$5:$AJ$110,0,MATCH(D$2,Inputs!$K$4:$AJ$4,0)))+SUMPRODUCT((Inputs!$C$5:$C$110=$B22)*Inputs!$D$5:$D$110*(((Inputs!$G$5:$G$110="moeda")+(Inputs!$G$5:$G$110="acoes"))*Inputs!$B$1+((Inputs!$G$5:$G$110&lt;&gt;"moeda")*(Inputs!$G$5:$G$110&lt;&gt;"acoes")))*INDEX(Inputs!$K$5:$AJ$110,0,MATCH(D$2,Inputs!$K$4:$AJ$4,0)))+SUMPRODUCT((Inputs!$E$5:$E$110=$B22)*Inputs!$F$5:$F$110*(((Inputs!$G$5:$G$110="moeda")+(Inputs!$G$5:$G$110="acoes"))*Inputs!$B$1+((Inputs!$G$5:$G$110&lt;&gt;"moeda")*(Inputs!$G$5:$G$110&lt;&gt;"acoes")))*INDEX(Inputs!$K$5:$AJ$110,0,MATCH(D$2,Inputs!$K$4:$AJ$4,0)))))</f>
        <v>90996</v>
      </c>
      <c r="E22" s="267">
        <f>IF(ISNA(MATCH(E$2,Inputs!$K$4:$AJ$4,0)),NA(),IF(SUMPRODUCT((Inputs!$A$5:$A$110=$B22)*ISNUMBER(INDEX(Inputs!$K$5:$AJ$110,0,MATCH(E$2,Inputs!$K$4:$AJ$4,0))))+SUMPRODUCT((Inputs!$C$5:$C$110=$B22)*ISNUMBER(INDEX(Inputs!$K$5:$AJ$110,0,MATCH(E$2,Inputs!$K$4:$AJ$4,0))))+SUMPRODUCT((Inputs!$E$5:$E$110=$B22)*ISNUMBER(INDEX(Inputs!$K$5:$AJ$110,0,MATCH(E$2,Inputs!$K$4:$AJ$4,0))))=0,NA(),SUMPRODUCT((Inputs!$A$5:$A$110=$B22)*Inputs!$B$5:$B$110*(((Inputs!$G$5:$G$110="moeda")+(Inputs!$G$5:$G$110="acoes"))*Inputs!$B$1+((Inputs!$G$5:$G$110&lt;&gt;"moeda")*(Inputs!$G$5:$G$110&lt;&gt;"acoes")))*INDEX(Inputs!$K$5:$AJ$110,0,MATCH(E$2,Inputs!$K$4:$AJ$4,0)))+SUMPRODUCT((Inputs!$C$5:$C$110=$B22)*Inputs!$D$5:$D$110*(((Inputs!$G$5:$G$110="moeda")+(Inputs!$G$5:$G$110="acoes"))*Inputs!$B$1+((Inputs!$G$5:$G$110&lt;&gt;"moeda")*(Inputs!$G$5:$G$110&lt;&gt;"acoes")))*INDEX(Inputs!$K$5:$AJ$110,0,MATCH(E$2,Inputs!$K$4:$AJ$4,0)))+SUMPRODUCT((Inputs!$E$5:$E$110=$B22)*Inputs!$F$5:$F$110*(((Inputs!$G$5:$G$110="moeda")+(Inputs!$G$5:$G$110="acoes"))*Inputs!$B$1+((Inputs!$G$5:$G$110&lt;&gt;"moeda")*(Inputs!$G$5:$G$110&lt;&gt;"acoes")))*INDEX(Inputs!$K$5:$AJ$110,0,MATCH(E$2,Inputs!$K$4:$AJ$4,0)))))</f>
        <v>91621</v>
      </c>
      <c r="F22" s="267">
        <f>IF(ISNA(MATCH(F$2,Inputs!$K$4:$AJ$4,0)),NA(),IF(SUMPRODUCT((Inputs!$A$5:$A$110=$B22)*ISNUMBER(INDEX(Inputs!$K$5:$AJ$110,0,MATCH(F$2,Inputs!$K$4:$AJ$4,0))))+SUMPRODUCT((Inputs!$C$5:$C$110=$B22)*ISNUMBER(INDEX(Inputs!$K$5:$AJ$110,0,MATCH(F$2,Inputs!$K$4:$AJ$4,0))))+SUMPRODUCT((Inputs!$E$5:$E$110=$B22)*ISNUMBER(INDEX(Inputs!$K$5:$AJ$110,0,MATCH(F$2,Inputs!$K$4:$AJ$4,0))))=0,NA(),SUMPRODUCT((Inputs!$A$5:$A$110=$B22)*Inputs!$B$5:$B$110*(((Inputs!$G$5:$G$110="moeda")+(Inputs!$G$5:$G$110="acoes"))*Inputs!$B$1+((Inputs!$G$5:$G$110&lt;&gt;"moeda")*(Inputs!$G$5:$G$110&lt;&gt;"acoes")))*INDEX(Inputs!$K$5:$AJ$110,0,MATCH(F$2,Inputs!$K$4:$AJ$4,0)))+SUMPRODUCT((Inputs!$C$5:$C$110=$B22)*Inputs!$D$5:$D$110*(((Inputs!$G$5:$G$110="moeda")+(Inputs!$G$5:$G$110="acoes"))*Inputs!$B$1+((Inputs!$G$5:$G$110&lt;&gt;"moeda")*(Inputs!$G$5:$G$110&lt;&gt;"acoes")))*INDEX(Inputs!$K$5:$AJ$110,0,MATCH(F$2,Inputs!$K$4:$AJ$4,0)))+SUMPRODUCT((Inputs!$E$5:$E$110=$B22)*Inputs!$F$5:$F$110*(((Inputs!$G$5:$G$110="moeda")+(Inputs!$G$5:$G$110="acoes"))*Inputs!$B$1+((Inputs!$G$5:$G$110&lt;&gt;"moeda")*(Inputs!$G$5:$G$110&lt;&gt;"acoes")))*INDEX(Inputs!$K$5:$AJ$110,0,MATCH(F$2,Inputs!$K$4:$AJ$4,0)))))</f>
        <v>92242</v>
      </c>
      <c r="G22" s="267">
        <f>IF(ISNA(MATCH(G$2,Inputs!$K$4:$AJ$4,0)),NA(),IF(SUMPRODUCT((Inputs!$A$5:$A$110=$B22)*ISNUMBER(INDEX(Inputs!$K$5:$AJ$110,0,MATCH(G$2,Inputs!$K$4:$AJ$4,0))))+SUMPRODUCT((Inputs!$C$5:$C$110=$B22)*ISNUMBER(INDEX(Inputs!$K$5:$AJ$110,0,MATCH(G$2,Inputs!$K$4:$AJ$4,0))))+SUMPRODUCT((Inputs!$E$5:$E$110=$B22)*ISNUMBER(INDEX(Inputs!$K$5:$AJ$110,0,MATCH(G$2,Inputs!$K$4:$AJ$4,0))))=0,NA(),SUMPRODUCT((Inputs!$A$5:$A$110=$B22)*Inputs!$B$5:$B$110*(((Inputs!$G$5:$G$110="moeda")+(Inputs!$G$5:$G$110="acoes"))*Inputs!$B$1+((Inputs!$G$5:$G$110&lt;&gt;"moeda")*(Inputs!$G$5:$G$110&lt;&gt;"acoes")))*INDEX(Inputs!$K$5:$AJ$110,0,MATCH(G$2,Inputs!$K$4:$AJ$4,0)))+SUMPRODUCT((Inputs!$C$5:$C$110=$B22)*Inputs!$D$5:$D$110*(((Inputs!$G$5:$G$110="moeda")+(Inputs!$G$5:$G$110="acoes"))*Inputs!$B$1+((Inputs!$G$5:$G$110&lt;&gt;"moeda")*(Inputs!$G$5:$G$110&lt;&gt;"acoes")))*INDEX(Inputs!$K$5:$AJ$110,0,MATCH(G$2,Inputs!$K$4:$AJ$4,0)))+SUMPRODUCT((Inputs!$E$5:$E$110=$B22)*Inputs!$F$5:$F$110*(((Inputs!$G$5:$G$110="moeda")+(Inputs!$G$5:$G$110="acoes"))*Inputs!$B$1+((Inputs!$G$5:$G$110&lt;&gt;"moeda")*(Inputs!$G$5:$G$110&lt;&gt;"acoes")))*INDEX(Inputs!$K$5:$AJ$110,0,MATCH(G$2,Inputs!$K$4:$AJ$4,0)))))</f>
        <v>94515</v>
      </c>
      <c r="H22" s="268">
        <f>G22</f>
        <v>94515</v>
      </c>
      <c r="I22" s="267">
        <f>IF(ISNA(MATCH(I$2,Inputs!$K$4:$AJ$4,0)),NA(),IF(SUMPRODUCT((Inputs!$A$5:$A$110=$B22)*ISNUMBER(INDEX(Inputs!$K$5:$AJ$110,0,MATCH(I$2,Inputs!$K$4:$AJ$4,0))))+SUMPRODUCT((Inputs!$C$5:$C$110=$B22)*ISNUMBER(INDEX(Inputs!$K$5:$AJ$110,0,MATCH(I$2,Inputs!$K$4:$AJ$4,0))))+SUMPRODUCT((Inputs!$E$5:$E$110=$B22)*ISNUMBER(INDEX(Inputs!$K$5:$AJ$110,0,MATCH(I$2,Inputs!$K$4:$AJ$4,0))))=0,NA(),SUMPRODUCT((Inputs!$A$5:$A$110=$B22)*Inputs!$B$5:$B$110*(((Inputs!$G$5:$G$110="moeda")+(Inputs!$G$5:$G$110="acoes"))*Inputs!$B$1+((Inputs!$G$5:$G$110&lt;&gt;"moeda")*(Inputs!$G$5:$G$110&lt;&gt;"acoes")))*INDEX(Inputs!$K$5:$AJ$110,0,MATCH(I$2,Inputs!$K$4:$AJ$4,0)))+SUMPRODUCT((Inputs!$C$5:$C$110=$B22)*Inputs!$D$5:$D$110*(((Inputs!$G$5:$G$110="moeda")+(Inputs!$G$5:$G$110="acoes"))*Inputs!$B$1+((Inputs!$G$5:$G$110&lt;&gt;"moeda")*(Inputs!$G$5:$G$110&lt;&gt;"acoes")))*INDEX(Inputs!$K$5:$AJ$110,0,MATCH(I$2,Inputs!$K$4:$AJ$4,0)))+SUMPRODUCT((Inputs!$E$5:$E$110=$B22)*Inputs!$F$5:$F$110*(((Inputs!$G$5:$G$110="moeda")+(Inputs!$G$5:$G$110="acoes"))*Inputs!$B$1+((Inputs!$G$5:$G$110&lt;&gt;"moeda")*(Inputs!$G$5:$G$110&lt;&gt;"acoes")))*INDEX(Inputs!$K$5:$AJ$110,0,MATCH(I$2,Inputs!$K$4:$AJ$4,0)))))</f>
        <v>94741</v>
      </c>
      <c r="J22" s="267">
        <f>IF(ISNA(MATCH(J$2,Inputs!$K$4:$AJ$4,0)),NA(),IF(SUMPRODUCT((Inputs!$A$5:$A$110=$B22)*ISNUMBER(INDEX(Inputs!$K$5:$AJ$110,0,MATCH(J$2,Inputs!$K$4:$AJ$4,0))))+SUMPRODUCT((Inputs!$C$5:$C$110=$B22)*ISNUMBER(INDEX(Inputs!$K$5:$AJ$110,0,MATCH(J$2,Inputs!$K$4:$AJ$4,0))))+SUMPRODUCT((Inputs!$E$5:$E$110=$B22)*ISNUMBER(INDEX(Inputs!$K$5:$AJ$110,0,MATCH(J$2,Inputs!$K$4:$AJ$4,0))))=0,NA(),SUMPRODUCT((Inputs!$A$5:$A$110=$B22)*Inputs!$B$5:$B$110*(((Inputs!$G$5:$G$110="moeda")+(Inputs!$G$5:$G$110="acoes"))*Inputs!$B$1+((Inputs!$G$5:$G$110&lt;&gt;"moeda")*(Inputs!$G$5:$G$110&lt;&gt;"acoes")))*INDEX(Inputs!$K$5:$AJ$110,0,MATCH(J$2,Inputs!$K$4:$AJ$4,0)))+SUMPRODUCT((Inputs!$C$5:$C$110=$B22)*Inputs!$D$5:$D$110*(((Inputs!$G$5:$G$110="moeda")+(Inputs!$G$5:$G$110="acoes"))*Inputs!$B$1+((Inputs!$G$5:$G$110&lt;&gt;"moeda")*(Inputs!$G$5:$G$110&lt;&gt;"acoes")))*INDEX(Inputs!$K$5:$AJ$110,0,MATCH(J$2,Inputs!$K$4:$AJ$4,0)))+SUMPRODUCT((Inputs!$E$5:$E$110=$B22)*Inputs!$F$5:$F$110*(((Inputs!$G$5:$G$110="moeda")+(Inputs!$G$5:$G$110="acoes"))*Inputs!$B$1+((Inputs!$G$5:$G$110&lt;&gt;"moeda")*(Inputs!$G$5:$G$110&lt;&gt;"acoes")))*INDEX(Inputs!$K$5:$AJ$110,0,MATCH(J$2,Inputs!$K$4:$AJ$4,0)))))</f>
        <v>96006</v>
      </c>
      <c r="K22" s="267">
        <f>IF(ISNA(MATCH(K$2,Inputs!$K$4:$AJ$4,0)),NA(),IF(SUMPRODUCT((Inputs!$A$5:$A$110=$B22)*ISNUMBER(INDEX(Inputs!$K$5:$AJ$110,0,MATCH(K$2,Inputs!$K$4:$AJ$4,0))))+SUMPRODUCT((Inputs!$C$5:$C$110=$B22)*ISNUMBER(INDEX(Inputs!$K$5:$AJ$110,0,MATCH(K$2,Inputs!$K$4:$AJ$4,0))))+SUMPRODUCT((Inputs!$E$5:$E$110=$B22)*ISNUMBER(INDEX(Inputs!$K$5:$AJ$110,0,MATCH(K$2,Inputs!$K$4:$AJ$4,0))))=0,NA(),SUMPRODUCT((Inputs!$A$5:$A$110=$B22)*Inputs!$B$5:$B$110*(((Inputs!$G$5:$G$110="moeda")+(Inputs!$G$5:$G$110="acoes"))*Inputs!$B$1+((Inputs!$G$5:$G$110&lt;&gt;"moeda")*(Inputs!$G$5:$G$110&lt;&gt;"acoes")))*INDEX(Inputs!$K$5:$AJ$110,0,MATCH(K$2,Inputs!$K$4:$AJ$4,0)))+SUMPRODUCT((Inputs!$C$5:$C$110=$B22)*Inputs!$D$5:$D$110*(((Inputs!$G$5:$G$110="moeda")+(Inputs!$G$5:$G$110="acoes"))*Inputs!$B$1+((Inputs!$G$5:$G$110&lt;&gt;"moeda")*(Inputs!$G$5:$G$110&lt;&gt;"acoes")))*INDEX(Inputs!$K$5:$AJ$110,0,MATCH(K$2,Inputs!$K$4:$AJ$4,0)))+SUMPRODUCT((Inputs!$E$5:$E$110=$B22)*Inputs!$F$5:$F$110*(((Inputs!$G$5:$G$110="moeda")+(Inputs!$G$5:$G$110="acoes"))*Inputs!$B$1+((Inputs!$G$5:$G$110&lt;&gt;"moeda")*(Inputs!$G$5:$G$110&lt;&gt;"acoes")))*INDEX(Inputs!$K$5:$AJ$110,0,MATCH(K$2,Inputs!$K$4:$AJ$4,0)))))</f>
        <v>97553</v>
      </c>
      <c r="L22" s="267">
        <f>IF(ISNA(MATCH(L$2,Inputs!$K$4:$AJ$4,0)),NA(),IF(SUMPRODUCT((Inputs!$A$5:$A$110=$B22)*ISNUMBER(INDEX(Inputs!$K$5:$AJ$110,0,MATCH(L$2,Inputs!$K$4:$AJ$4,0))))+SUMPRODUCT((Inputs!$C$5:$C$110=$B22)*ISNUMBER(INDEX(Inputs!$K$5:$AJ$110,0,MATCH(L$2,Inputs!$K$4:$AJ$4,0))))+SUMPRODUCT((Inputs!$E$5:$E$110=$B22)*ISNUMBER(INDEX(Inputs!$K$5:$AJ$110,0,MATCH(L$2,Inputs!$K$4:$AJ$4,0))))=0,NA(),SUMPRODUCT((Inputs!$A$5:$A$110=$B22)*Inputs!$B$5:$B$110*(((Inputs!$G$5:$G$110="moeda")+(Inputs!$G$5:$G$110="acoes"))*Inputs!$B$1+((Inputs!$G$5:$G$110&lt;&gt;"moeda")*(Inputs!$G$5:$G$110&lt;&gt;"acoes")))*INDEX(Inputs!$K$5:$AJ$110,0,MATCH(L$2,Inputs!$K$4:$AJ$4,0)))+SUMPRODUCT((Inputs!$C$5:$C$110=$B22)*Inputs!$D$5:$D$110*(((Inputs!$G$5:$G$110="moeda")+(Inputs!$G$5:$G$110="acoes"))*Inputs!$B$1+((Inputs!$G$5:$G$110&lt;&gt;"moeda")*(Inputs!$G$5:$G$110&lt;&gt;"acoes")))*INDEX(Inputs!$K$5:$AJ$110,0,MATCH(L$2,Inputs!$K$4:$AJ$4,0)))+SUMPRODUCT((Inputs!$E$5:$E$110=$B22)*Inputs!$F$5:$F$110*(((Inputs!$G$5:$G$110="moeda")+(Inputs!$G$5:$G$110="acoes"))*Inputs!$B$1+((Inputs!$G$5:$G$110&lt;&gt;"moeda")*(Inputs!$G$5:$G$110&lt;&gt;"acoes")))*INDEX(Inputs!$K$5:$AJ$110,0,MATCH(L$2,Inputs!$K$4:$AJ$4,0)))))</f>
        <v>100760</v>
      </c>
      <c r="M22" s="268">
        <f>L22</f>
        <v>100760</v>
      </c>
      <c r="N22" s="267">
        <f>IF(ISNA(MATCH(N$2,Inputs!$K$4:$AJ$4,0)),NA(),IF(SUMPRODUCT((Inputs!$A$5:$A$110=$B22)*ISNUMBER(INDEX(Inputs!$K$5:$AJ$110,0,MATCH(N$2,Inputs!$K$4:$AJ$4,0))))+SUMPRODUCT((Inputs!$C$5:$C$110=$B22)*ISNUMBER(INDEX(Inputs!$K$5:$AJ$110,0,MATCH(N$2,Inputs!$K$4:$AJ$4,0))))+SUMPRODUCT((Inputs!$E$5:$E$110=$B22)*ISNUMBER(INDEX(Inputs!$K$5:$AJ$110,0,MATCH(N$2,Inputs!$K$4:$AJ$4,0))))=0,NA(),SUMPRODUCT((Inputs!$A$5:$A$110=$B22)*Inputs!$B$5:$B$110*(((Inputs!$G$5:$G$110="moeda")+(Inputs!$G$5:$G$110="acoes"))*Inputs!$B$1+((Inputs!$G$5:$G$110&lt;&gt;"moeda")*(Inputs!$G$5:$G$110&lt;&gt;"acoes")))*INDEX(Inputs!$K$5:$AJ$110,0,MATCH(N$2,Inputs!$K$4:$AJ$4,0)))+SUMPRODUCT((Inputs!$C$5:$C$110=$B22)*Inputs!$D$5:$D$110*(((Inputs!$G$5:$G$110="moeda")+(Inputs!$G$5:$G$110="acoes"))*Inputs!$B$1+((Inputs!$G$5:$G$110&lt;&gt;"moeda")*(Inputs!$G$5:$G$110&lt;&gt;"acoes")))*INDEX(Inputs!$K$5:$AJ$110,0,MATCH(N$2,Inputs!$K$4:$AJ$4,0)))+SUMPRODUCT((Inputs!$E$5:$E$110=$B22)*Inputs!$F$5:$F$110*(((Inputs!$G$5:$G$110="moeda")+(Inputs!$G$5:$G$110="acoes"))*Inputs!$B$1+((Inputs!$G$5:$G$110&lt;&gt;"moeda")*(Inputs!$G$5:$G$110&lt;&gt;"acoes")))*INDEX(Inputs!$K$5:$AJ$110,0,MATCH(N$2,Inputs!$K$4:$AJ$4,0)))))</f>
        <v>102335</v>
      </c>
      <c r="O22" s="267">
        <f>IF(ISNA(MATCH(O$2,Inputs!$K$4:$AJ$4,0)),NA(),IF(SUMPRODUCT((Inputs!$A$5:$A$110=$B22)*ISNUMBER(INDEX(Inputs!$K$5:$AJ$110,0,MATCH(O$2,Inputs!$K$4:$AJ$4,0))))+SUMPRODUCT((Inputs!$C$5:$C$110=$B22)*ISNUMBER(INDEX(Inputs!$K$5:$AJ$110,0,MATCH(O$2,Inputs!$K$4:$AJ$4,0))))+SUMPRODUCT((Inputs!$E$5:$E$110=$B22)*ISNUMBER(INDEX(Inputs!$K$5:$AJ$110,0,MATCH(O$2,Inputs!$K$4:$AJ$4,0))))=0,NA(),SUMPRODUCT((Inputs!$A$5:$A$110=$B22)*Inputs!$B$5:$B$110*(((Inputs!$G$5:$G$110="moeda")+(Inputs!$G$5:$G$110="acoes"))*Inputs!$B$1+((Inputs!$G$5:$G$110&lt;&gt;"moeda")*(Inputs!$G$5:$G$110&lt;&gt;"acoes")))*INDEX(Inputs!$K$5:$AJ$110,0,MATCH(O$2,Inputs!$K$4:$AJ$4,0)))+SUMPRODUCT((Inputs!$C$5:$C$110=$B22)*Inputs!$D$5:$D$110*(((Inputs!$G$5:$G$110="moeda")+(Inputs!$G$5:$G$110="acoes"))*Inputs!$B$1+((Inputs!$G$5:$G$110&lt;&gt;"moeda")*(Inputs!$G$5:$G$110&lt;&gt;"acoes")))*INDEX(Inputs!$K$5:$AJ$110,0,MATCH(O$2,Inputs!$K$4:$AJ$4,0)))+SUMPRODUCT((Inputs!$E$5:$E$110=$B22)*Inputs!$F$5:$F$110*(((Inputs!$G$5:$G$110="moeda")+(Inputs!$G$5:$G$110="acoes"))*Inputs!$B$1+((Inputs!$G$5:$G$110&lt;&gt;"moeda")*(Inputs!$G$5:$G$110&lt;&gt;"acoes")))*INDEX(Inputs!$K$5:$AJ$110,0,MATCH(O$2,Inputs!$K$4:$AJ$4,0)))))</f>
        <v>104733</v>
      </c>
      <c r="P22" s="267">
        <f>IF(ISNA(MATCH(P$2,Inputs!$K$4:$AJ$4,0)),NA(),IF(SUMPRODUCT((Inputs!$A$5:$A$110=$B22)*ISNUMBER(INDEX(Inputs!$K$5:$AJ$110,0,MATCH(P$2,Inputs!$K$4:$AJ$4,0))))+SUMPRODUCT((Inputs!$C$5:$C$110=$B22)*ISNUMBER(INDEX(Inputs!$K$5:$AJ$110,0,MATCH(P$2,Inputs!$K$4:$AJ$4,0))))+SUMPRODUCT((Inputs!$E$5:$E$110=$B22)*ISNUMBER(INDEX(Inputs!$K$5:$AJ$110,0,MATCH(P$2,Inputs!$K$4:$AJ$4,0))))=0,NA(),SUMPRODUCT((Inputs!$A$5:$A$110=$B22)*Inputs!$B$5:$B$110*(((Inputs!$G$5:$G$110="moeda")+(Inputs!$G$5:$G$110="acoes"))*Inputs!$B$1+((Inputs!$G$5:$G$110&lt;&gt;"moeda")*(Inputs!$G$5:$G$110&lt;&gt;"acoes")))*INDEX(Inputs!$K$5:$AJ$110,0,MATCH(P$2,Inputs!$K$4:$AJ$4,0)))+SUMPRODUCT((Inputs!$C$5:$C$110=$B22)*Inputs!$D$5:$D$110*(((Inputs!$G$5:$G$110="moeda")+(Inputs!$G$5:$G$110="acoes"))*Inputs!$B$1+((Inputs!$G$5:$G$110&lt;&gt;"moeda")*(Inputs!$G$5:$G$110&lt;&gt;"acoes")))*INDEX(Inputs!$K$5:$AJ$110,0,MATCH(P$2,Inputs!$K$4:$AJ$4,0)))+SUMPRODUCT((Inputs!$E$5:$E$110=$B22)*Inputs!$F$5:$F$110*(((Inputs!$G$5:$G$110="moeda")+(Inputs!$G$5:$G$110="acoes"))*Inputs!$B$1+((Inputs!$G$5:$G$110&lt;&gt;"moeda")*(Inputs!$G$5:$G$110&lt;&gt;"acoes")))*INDEX(Inputs!$K$5:$AJ$110,0,MATCH(P$2,Inputs!$K$4:$AJ$4,0)))))</f>
        <v>107471</v>
      </c>
      <c r="Q22" s="267">
        <f>IF(ISNA(MATCH(Q$2,Inputs!$K$4:$AJ$4,0)),NA(),IF(SUMPRODUCT((Inputs!$A$5:$A$110=$B22)*ISNUMBER(INDEX(Inputs!$K$5:$AJ$110,0,MATCH(Q$2,Inputs!$K$4:$AJ$4,0))))+SUMPRODUCT((Inputs!$C$5:$C$110=$B22)*ISNUMBER(INDEX(Inputs!$K$5:$AJ$110,0,MATCH(Q$2,Inputs!$K$4:$AJ$4,0))))+SUMPRODUCT((Inputs!$E$5:$E$110=$B22)*ISNUMBER(INDEX(Inputs!$K$5:$AJ$110,0,MATCH(Q$2,Inputs!$K$4:$AJ$4,0))))=0,NA(),SUMPRODUCT((Inputs!$A$5:$A$110=$B22)*Inputs!$B$5:$B$110*(((Inputs!$G$5:$G$110="moeda")+(Inputs!$G$5:$G$110="acoes"))*Inputs!$B$1+((Inputs!$G$5:$G$110&lt;&gt;"moeda")*(Inputs!$G$5:$G$110&lt;&gt;"acoes")))*INDEX(Inputs!$K$5:$AJ$110,0,MATCH(Q$2,Inputs!$K$4:$AJ$4,0)))+SUMPRODUCT((Inputs!$C$5:$C$110=$B22)*Inputs!$D$5:$D$110*(((Inputs!$G$5:$G$110="moeda")+(Inputs!$G$5:$G$110="acoes"))*Inputs!$B$1+((Inputs!$G$5:$G$110&lt;&gt;"moeda")*(Inputs!$G$5:$G$110&lt;&gt;"acoes")))*INDEX(Inputs!$K$5:$AJ$110,0,MATCH(Q$2,Inputs!$K$4:$AJ$4,0)))+SUMPRODUCT((Inputs!$E$5:$E$110=$B22)*Inputs!$F$5:$F$110*(((Inputs!$G$5:$G$110="moeda")+(Inputs!$G$5:$G$110="acoes"))*Inputs!$B$1+((Inputs!$G$5:$G$110&lt;&gt;"moeda")*(Inputs!$G$5:$G$110&lt;&gt;"acoes")))*INDEX(Inputs!$K$5:$AJ$110,0,MATCH(Q$2,Inputs!$K$4:$AJ$4,0)))))</f>
        <v>110810</v>
      </c>
      <c r="R22" s="268">
        <f>Q22</f>
        <v>110810</v>
      </c>
      <c r="S22" s="267">
        <f>IF(ISNA(MATCH(S$2,Inputs!$K$4:$AJ$4,0)),NA(),IF(SUMPRODUCT((Inputs!$A$5:$A$110=$B22)*ISNUMBER(INDEX(Inputs!$K$5:$AJ$110,0,MATCH(S$2,Inputs!$K$4:$AJ$4,0))))+SUMPRODUCT((Inputs!$C$5:$C$110=$B22)*ISNUMBER(INDEX(Inputs!$K$5:$AJ$110,0,MATCH(S$2,Inputs!$K$4:$AJ$4,0))))+SUMPRODUCT((Inputs!$E$5:$E$110=$B22)*ISNUMBER(INDEX(Inputs!$K$5:$AJ$110,0,MATCH(S$2,Inputs!$K$4:$AJ$4,0))))=0,NA(),SUMPRODUCT((Inputs!$A$5:$A$110=$B22)*Inputs!$B$5:$B$110*(((Inputs!$G$5:$G$110="moeda")+(Inputs!$G$5:$G$110="acoes"))*Inputs!$B$1+((Inputs!$G$5:$G$110&lt;&gt;"moeda")*(Inputs!$G$5:$G$110&lt;&gt;"acoes")))*INDEX(Inputs!$K$5:$AJ$110,0,MATCH(S$2,Inputs!$K$4:$AJ$4,0)))+SUMPRODUCT((Inputs!$C$5:$C$110=$B22)*Inputs!$D$5:$D$110*(((Inputs!$G$5:$G$110="moeda")+(Inputs!$G$5:$G$110="acoes"))*Inputs!$B$1+((Inputs!$G$5:$G$110&lt;&gt;"moeda")*(Inputs!$G$5:$G$110&lt;&gt;"acoes")))*INDEX(Inputs!$K$5:$AJ$110,0,MATCH(S$2,Inputs!$K$4:$AJ$4,0)))+SUMPRODUCT((Inputs!$E$5:$E$110=$B22)*Inputs!$F$5:$F$110*(((Inputs!$G$5:$G$110="moeda")+(Inputs!$G$5:$G$110="acoes"))*Inputs!$B$1+((Inputs!$G$5:$G$110&lt;&gt;"moeda")*(Inputs!$G$5:$G$110&lt;&gt;"acoes")))*INDEX(Inputs!$K$5:$AJ$110,0,MATCH(S$2,Inputs!$K$4:$AJ$4,0)))))</f>
        <v>111498</v>
      </c>
      <c r="T22" s="267">
        <f>IF(ISNA(MATCH(T$2,Inputs!$K$4:$AJ$4,0)),NA(),IF(SUMPRODUCT((Inputs!$A$5:$A$110=$B22)*ISNUMBER(INDEX(Inputs!$K$5:$AJ$110,0,MATCH(T$2,Inputs!$K$4:$AJ$4,0))))+SUMPRODUCT((Inputs!$C$5:$C$110=$B22)*ISNUMBER(INDEX(Inputs!$K$5:$AJ$110,0,MATCH(T$2,Inputs!$K$4:$AJ$4,0))))+SUMPRODUCT((Inputs!$E$5:$E$110=$B22)*ISNUMBER(INDEX(Inputs!$K$5:$AJ$110,0,MATCH(T$2,Inputs!$K$4:$AJ$4,0))))=0,NA(),SUMPRODUCT((Inputs!$A$5:$A$110=$B22)*Inputs!$B$5:$B$110*(((Inputs!$G$5:$G$110="moeda")+(Inputs!$G$5:$G$110="acoes"))*Inputs!$B$1+((Inputs!$G$5:$G$110&lt;&gt;"moeda")*(Inputs!$G$5:$G$110&lt;&gt;"acoes")))*INDEX(Inputs!$K$5:$AJ$110,0,MATCH(T$2,Inputs!$K$4:$AJ$4,0)))+SUMPRODUCT((Inputs!$C$5:$C$110=$B22)*Inputs!$D$5:$D$110*(((Inputs!$G$5:$G$110="moeda")+(Inputs!$G$5:$G$110="acoes"))*Inputs!$B$1+((Inputs!$G$5:$G$110&lt;&gt;"moeda")*(Inputs!$G$5:$G$110&lt;&gt;"acoes")))*INDEX(Inputs!$K$5:$AJ$110,0,MATCH(T$2,Inputs!$K$4:$AJ$4,0)))+SUMPRODUCT((Inputs!$E$5:$E$110=$B22)*Inputs!$F$5:$F$110*(((Inputs!$G$5:$G$110="moeda")+(Inputs!$G$5:$G$110="acoes"))*Inputs!$B$1+((Inputs!$G$5:$G$110&lt;&gt;"moeda")*(Inputs!$G$5:$G$110&lt;&gt;"acoes")))*INDEX(Inputs!$K$5:$AJ$110,0,MATCH(T$2,Inputs!$K$4:$AJ$4,0)))))</f>
        <v>113818</v>
      </c>
      <c r="U22" s="267">
        <f>IF(ISNA(MATCH(U$2,Inputs!$K$4:$AJ$4,0)),NA(),IF(SUMPRODUCT((Inputs!$A$5:$A$110=$B22)*ISNUMBER(INDEX(Inputs!$K$5:$AJ$110,0,MATCH(U$2,Inputs!$K$4:$AJ$4,0))))+SUMPRODUCT((Inputs!$C$5:$C$110=$B22)*ISNUMBER(INDEX(Inputs!$K$5:$AJ$110,0,MATCH(U$2,Inputs!$K$4:$AJ$4,0))))+SUMPRODUCT((Inputs!$E$5:$E$110=$B22)*ISNUMBER(INDEX(Inputs!$K$5:$AJ$110,0,MATCH(U$2,Inputs!$K$4:$AJ$4,0))))=0,NA(),SUMPRODUCT((Inputs!$A$5:$A$110=$B22)*Inputs!$B$5:$B$110*(((Inputs!$G$5:$G$110="moeda")+(Inputs!$G$5:$G$110="acoes"))*Inputs!$B$1+((Inputs!$G$5:$G$110&lt;&gt;"moeda")*(Inputs!$G$5:$G$110&lt;&gt;"acoes")))*INDEX(Inputs!$K$5:$AJ$110,0,MATCH(U$2,Inputs!$K$4:$AJ$4,0)))+SUMPRODUCT((Inputs!$C$5:$C$110=$B22)*Inputs!$D$5:$D$110*(((Inputs!$G$5:$G$110="moeda")+(Inputs!$G$5:$G$110="acoes"))*Inputs!$B$1+((Inputs!$G$5:$G$110&lt;&gt;"moeda")*(Inputs!$G$5:$G$110&lt;&gt;"acoes")))*INDEX(Inputs!$K$5:$AJ$110,0,MATCH(U$2,Inputs!$K$4:$AJ$4,0)))+SUMPRODUCT((Inputs!$E$5:$E$110=$B22)*Inputs!$F$5:$F$110*(((Inputs!$G$5:$G$110="moeda")+(Inputs!$G$5:$G$110="acoes"))*Inputs!$B$1+((Inputs!$G$5:$G$110&lt;&gt;"moeda")*(Inputs!$G$5:$G$110&lt;&gt;"acoes")))*INDEX(Inputs!$K$5:$AJ$110,0,MATCH(U$2,Inputs!$K$4:$AJ$4,0)))))</f>
        <v>116598</v>
      </c>
      <c r="V22" s="267">
        <f>IF(ISNA(MATCH(V$2,Inputs!$K$4:$AJ$4,0)),NA(),IF(SUMPRODUCT((Inputs!$A$5:$A$110=$B22)*ISNUMBER(INDEX(Inputs!$K$5:$AJ$110,0,MATCH(V$2,Inputs!$K$4:$AJ$4,0))))+SUMPRODUCT((Inputs!$C$5:$C$110=$B22)*ISNUMBER(INDEX(Inputs!$K$5:$AJ$110,0,MATCH(V$2,Inputs!$K$4:$AJ$4,0))))+SUMPRODUCT((Inputs!$E$5:$E$110=$B22)*ISNUMBER(INDEX(Inputs!$K$5:$AJ$110,0,MATCH(V$2,Inputs!$K$4:$AJ$4,0))))=0,NA(),SUMPRODUCT((Inputs!$A$5:$A$110=$B22)*Inputs!$B$5:$B$110*(((Inputs!$G$5:$G$110="moeda")+(Inputs!$G$5:$G$110="acoes"))*Inputs!$B$1+((Inputs!$G$5:$G$110&lt;&gt;"moeda")*(Inputs!$G$5:$G$110&lt;&gt;"acoes")))*INDEX(Inputs!$K$5:$AJ$110,0,MATCH(V$2,Inputs!$K$4:$AJ$4,0)))+SUMPRODUCT((Inputs!$C$5:$C$110=$B22)*Inputs!$D$5:$D$110*(((Inputs!$G$5:$G$110="moeda")+(Inputs!$G$5:$G$110="acoes"))*Inputs!$B$1+((Inputs!$G$5:$G$110&lt;&gt;"moeda")*(Inputs!$G$5:$G$110&lt;&gt;"acoes")))*INDEX(Inputs!$K$5:$AJ$110,0,MATCH(V$2,Inputs!$K$4:$AJ$4,0)))+SUMPRODUCT((Inputs!$E$5:$E$110=$B22)*Inputs!$F$5:$F$110*(((Inputs!$G$5:$G$110="moeda")+(Inputs!$G$5:$G$110="acoes"))*Inputs!$B$1+((Inputs!$G$5:$G$110&lt;&gt;"moeda")*(Inputs!$G$5:$G$110&lt;&gt;"acoes")))*INDEX(Inputs!$K$5:$AJ$110,0,MATCH(V$2,Inputs!$K$4:$AJ$4,0)))))</f>
        <v>119993</v>
      </c>
      <c r="W22" s="268">
        <f>V22</f>
        <v>119993</v>
      </c>
      <c r="X22" s="267">
        <f>IF(ISNA(MATCH(X$2,Inputs!$K$4:$AJ$4,0)),NA(),IF(SUMPRODUCT((Inputs!$A$5:$A$110=$B22)*ISNUMBER(INDEX(Inputs!$K$5:$AJ$110,0,MATCH(X$2,Inputs!$K$4:$AJ$4,0))))+SUMPRODUCT((Inputs!$C$5:$C$110=$B22)*ISNUMBER(INDEX(Inputs!$K$5:$AJ$110,0,MATCH(X$2,Inputs!$K$4:$AJ$4,0))))+SUMPRODUCT((Inputs!$E$5:$E$110=$B22)*ISNUMBER(INDEX(Inputs!$K$5:$AJ$110,0,MATCH(X$2,Inputs!$K$4:$AJ$4,0))))=0,NA(),SUMPRODUCT((Inputs!$A$5:$A$110=$B22)*Inputs!$B$5:$B$110*(((Inputs!$G$5:$G$110="moeda")+(Inputs!$G$5:$G$110="acoes"))*Inputs!$B$1+((Inputs!$G$5:$G$110&lt;&gt;"moeda")*(Inputs!$G$5:$G$110&lt;&gt;"acoes")))*INDEX(Inputs!$K$5:$AJ$110,0,MATCH(X$2,Inputs!$K$4:$AJ$4,0)))+SUMPRODUCT((Inputs!$C$5:$C$110=$B22)*Inputs!$D$5:$D$110*(((Inputs!$G$5:$G$110="moeda")+(Inputs!$G$5:$G$110="acoes"))*Inputs!$B$1+((Inputs!$G$5:$G$110&lt;&gt;"moeda")*(Inputs!$G$5:$G$110&lt;&gt;"acoes")))*INDEX(Inputs!$K$5:$AJ$110,0,MATCH(X$2,Inputs!$K$4:$AJ$4,0)))+SUMPRODUCT((Inputs!$E$5:$E$110=$B22)*Inputs!$F$5:$F$110*(((Inputs!$G$5:$G$110="moeda")+(Inputs!$G$5:$G$110="acoes"))*Inputs!$B$1+((Inputs!$G$5:$G$110&lt;&gt;"moeda")*(Inputs!$G$5:$G$110&lt;&gt;"acoes")))*INDEX(Inputs!$K$5:$AJ$110,0,MATCH(X$2,Inputs!$K$4:$AJ$4,0)))))</f>
        <v>121261</v>
      </c>
      <c r="Y22" s="267">
        <f>IF(ISNA(MATCH(Y$2,Inputs!$K$4:$AJ$4,0)),NA(),IF(SUMPRODUCT((Inputs!$A$5:$A$110=$B22)*ISNUMBER(INDEX(Inputs!$K$5:$AJ$110,0,MATCH(Y$2,Inputs!$K$4:$AJ$4,0))))+SUMPRODUCT((Inputs!$C$5:$C$110=$B22)*ISNUMBER(INDEX(Inputs!$K$5:$AJ$110,0,MATCH(Y$2,Inputs!$K$4:$AJ$4,0))))+SUMPRODUCT((Inputs!$E$5:$E$110=$B22)*ISNUMBER(INDEX(Inputs!$K$5:$AJ$110,0,MATCH(Y$2,Inputs!$K$4:$AJ$4,0))))=0,NA(),SUMPRODUCT((Inputs!$A$5:$A$110=$B22)*Inputs!$B$5:$B$110*(((Inputs!$G$5:$G$110="moeda")+(Inputs!$G$5:$G$110="acoes"))*Inputs!$B$1+((Inputs!$G$5:$G$110&lt;&gt;"moeda")*(Inputs!$G$5:$G$110&lt;&gt;"acoes")))*INDEX(Inputs!$K$5:$AJ$110,0,MATCH(Y$2,Inputs!$K$4:$AJ$4,0)))+SUMPRODUCT((Inputs!$C$5:$C$110=$B22)*Inputs!$D$5:$D$110*(((Inputs!$G$5:$G$110="moeda")+(Inputs!$G$5:$G$110="acoes"))*Inputs!$B$1+((Inputs!$G$5:$G$110&lt;&gt;"moeda")*(Inputs!$G$5:$G$110&lt;&gt;"acoes")))*INDEX(Inputs!$K$5:$AJ$110,0,MATCH(Y$2,Inputs!$K$4:$AJ$4,0)))+SUMPRODUCT((Inputs!$E$5:$E$110=$B22)*Inputs!$F$5:$F$110*(((Inputs!$G$5:$G$110="moeda")+(Inputs!$G$5:$G$110="acoes"))*Inputs!$B$1+((Inputs!$G$5:$G$110&lt;&gt;"moeda")*(Inputs!$G$5:$G$110&lt;&gt;"acoes")))*INDEX(Inputs!$K$5:$AJ$110,0,MATCH(Y$2,Inputs!$K$4:$AJ$4,0)))))</f>
        <v>125476</v>
      </c>
      <c r="Z22" s="267">
        <f>IF(ISNA(MATCH(Z$2,Inputs!$K$4:$AJ$4,0)),NA(),IF(SUMPRODUCT((Inputs!$A$5:$A$110=$B22)*ISNUMBER(INDEX(Inputs!$K$5:$AJ$110,0,MATCH(Z$2,Inputs!$K$4:$AJ$4,0))))+SUMPRODUCT((Inputs!$C$5:$C$110=$B22)*ISNUMBER(INDEX(Inputs!$K$5:$AJ$110,0,MATCH(Z$2,Inputs!$K$4:$AJ$4,0))))+SUMPRODUCT((Inputs!$E$5:$E$110=$B22)*ISNUMBER(INDEX(Inputs!$K$5:$AJ$110,0,MATCH(Z$2,Inputs!$K$4:$AJ$4,0))))=0,NA(),SUMPRODUCT((Inputs!$A$5:$A$110=$B22)*Inputs!$B$5:$B$110*(((Inputs!$G$5:$G$110="moeda")+(Inputs!$G$5:$G$110="acoes"))*Inputs!$B$1+((Inputs!$G$5:$G$110&lt;&gt;"moeda")*(Inputs!$G$5:$G$110&lt;&gt;"acoes")))*INDEX(Inputs!$K$5:$AJ$110,0,MATCH(Z$2,Inputs!$K$4:$AJ$4,0)))+SUMPRODUCT((Inputs!$C$5:$C$110=$B22)*Inputs!$D$5:$D$110*(((Inputs!$G$5:$G$110="moeda")+(Inputs!$G$5:$G$110="acoes"))*Inputs!$B$1+((Inputs!$G$5:$G$110&lt;&gt;"moeda")*(Inputs!$G$5:$G$110&lt;&gt;"acoes")))*INDEX(Inputs!$K$5:$AJ$110,0,MATCH(Z$2,Inputs!$K$4:$AJ$4,0)))+SUMPRODUCT((Inputs!$E$5:$E$110=$B22)*Inputs!$F$5:$F$110*(((Inputs!$G$5:$G$110="moeda")+(Inputs!$G$5:$G$110="acoes"))*Inputs!$B$1+((Inputs!$G$5:$G$110&lt;&gt;"moeda")*(Inputs!$G$5:$G$110&lt;&gt;"acoes")))*INDEX(Inputs!$K$5:$AJ$110,0,MATCH(Z$2,Inputs!$K$4:$AJ$4,0)))))</f>
        <v>130201</v>
      </c>
      <c r="AA22" s="267">
        <f>IF(ISNA(MATCH(AA$2,Inputs!$K$4:$AJ$4,0)),NA(),IF(SUMPRODUCT((Inputs!$A$5:$A$110=$B22)*ISNUMBER(INDEX(Inputs!$K$5:$AJ$110,0,MATCH(AA$2,Inputs!$K$4:$AJ$4,0))))+SUMPRODUCT((Inputs!$C$5:$C$110=$B22)*ISNUMBER(INDEX(Inputs!$K$5:$AJ$110,0,MATCH(AA$2,Inputs!$K$4:$AJ$4,0))))+SUMPRODUCT((Inputs!$E$5:$E$110=$B22)*ISNUMBER(INDEX(Inputs!$K$5:$AJ$110,0,MATCH(AA$2,Inputs!$K$4:$AJ$4,0))))=0,NA(),SUMPRODUCT((Inputs!$A$5:$A$110=$B22)*Inputs!$B$5:$B$110*(((Inputs!$G$5:$G$110="moeda")+(Inputs!$G$5:$G$110="acoes"))*Inputs!$B$1+((Inputs!$G$5:$G$110&lt;&gt;"moeda")*(Inputs!$G$5:$G$110&lt;&gt;"acoes")))*INDEX(Inputs!$K$5:$AJ$110,0,MATCH(AA$2,Inputs!$K$4:$AJ$4,0)))+SUMPRODUCT((Inputs!$C$5:$C$110=$B22)*Inputs!$D$5:$D$110*(((Inputs!$G$5:$G$110="moeda")+(Inputs!$G$5:$G$110="acoes"))*Inputs!$B$1+((Inputs!$G$5:$G$110&lt;&gt;"moeda")*(Inputs!$G$5:$G$110&lt;&gt;"acoes")))*INDEX(Inputs!$K$5:$AJ$110,0,MATCH(AA$2,Inputs!$K$4:$AJ$4,0)))+SUMPRODUCT((Inputs!$E$5:$E$110=$B22)*Inputs!$F$5:$F$110*(((Inputs!$G$5:$G$110="moeda")+(Inputs!$G$5:$G$110="acoes"))*Inputs!$B$1+((Inputs!$G$5:$G$110&lt;&gt;"moeda")*(Inputs!$G$5:$G$110&lt;&gt;"acoes")))*INDEX(Inputs!$K$5:$AJ$110,0,MATCH(AA$2,Inputs!$K$4:$AJ$4,0)))))</f>
        <v>136083</v>
      </c>
      <c r="AB22" s="268">
        <f>AA22</f>
        <v>136083</v>
      </c>
      <c r="AC22" s="267">
        <f>IF(ISNA(MATCH(AC$2,Inputs!$K$4:$AJ$4,0)),NA(),IF(SUMPRODUCT((Inputs!$A$5:$A$110=$B22)*ISNUMBER(INDEX(Inputs!$K$5:$AJ$110,0,MATCH(AC$2,Inputs!$K$4:$AJ$4,0))))+SUMPRODUCT((Inputs!$C$5:$C$110=$B22)*ISNUMBER(INDEX(Inputs!$K$5:$AJ$110,0,MATCH(AC$2,Inputs!$K$4:$AJ$4,0))))+SUMPRODUCT((Inputs!$E$5:$E$110=$B22)*ISNUMBER(INDEX(Inputs!$K$5:$AJ$110,0,MATCH(AC$2,Inputs!$K$4:$AJ$4,0))))=0,NA(),SUMPRODUCT((Inputs!$A$5:$A$110=$B22)*Inputs!$B$5:$B$110*(((Inputs!$G$5:$G$110="moeda")+(Inputs!$G$5:$G$110="acoes"))*Inputs!$B$1+((Inputs!$G$5:$G$110&lt;&gt;"moeda")*(Inputs!$G$5:$G$110&lt;&gt;"acoes")))*INDEX(Inputs!$K$5:$AJ$110,0,MATCH(AC$2,Inputs!$K$4:$AJ$4,0)))+SUMPRODUCT((Inputs!$C$5:$C$110=$B22)*Inputs!$D$5:$D$110*(((Inputs!$G$5:$G$110="moeda")+(Inputs!$G$5:$G$110="acoes"))*Inputs!$B$1+((Inputs!$G$5:$G$110&lt;&gt;"moeda")*(Inputs!$G$5:$G$110&lt;&gt;"acoes")))*INDEX(Inputs!$K$5:$AJ$110,0,MATCH(AC$2,Inputs!$K$4:$AJ$4,0)))+SUMPRODUCT((Inputs!$E$5:$E$110=$B22)*Inputs!$F$5:$F$110*(((Inputs!$G$5:$G$110="moeda")+(Inputs!$G$5:$G$110="acoes"))*Inputs!$B$1+((Inputs!$G$5:$G$110&lt;&gt;"moeda")*(Inputs!$G$5:$G$110&lt;&gt;"acoes")))*INDEX(Inputs!$K$5:$AJ$110,0,MATCH(AC$2,Inputs!$K$4:$AJ$4,0)))))</f>
        <v>137789</v>
      </c>
      <c r="AD22" s="267">
        <f>IF(ISNA(MATCH(AD$2,Inputs!$K$4:$AJ$4,0)),NA(),IF(SUMPRODUCT((Inputs!$A$5:$A$110=$B22)*ISNUMBER(INDEX(Inputs!$K$5:$AJ$110,0,MATCH(AD$2,Inputs!$K$4:$AJ$4,0))))+SUMPRODUCT((Inputs!$C$5:$C$110=$B22)*ISNUMBER(INDEX(Inputs!$K$5:$AJ$110,0,MATCH(AD$2,Inputs!$K$4:$AJ$4,0))))+SUMPRODUCT((Inputs!$E$5:$E$110=$B22)*ISNUMBER(INDEX(Inputs!$K$5:$AJ$110,0,MATCH(AD$2,Inputs!$K$4:$AJ$4,0))))=0,NA(),SUMPRODUCT((Inputs!$A$5:$A$110=$B22)*Inputs!$B$5:$B$110*(((Inputs!$G$5:$G$110="moeda")+(Inputs!$G$5:$G$110="acoes"))*Inputs!$B$1+((Inputs!$G$5:$G$110&lt;&gt;"moeda")*(Inputs!$G$5:$G$110&lt;&gt;"acoes")))*INDEX(Inputs!$K$5:$AJ$110,0,MATCH(AD$2,Inputs!$K$4:$AJ$4,0)))+SUMPRODUCT((Inputs!$C$5:$C$110=$B22)*Inputs!$D$5:$D$110*(((Inputs!$G$5:$G$110="moeda")+(Inputs!$G$5:$G$110="acoes"))*Inputs!$B$1+((Inputs!$G$5:$G$110&lt;&gt;"moeda")*(Inputs!$G$5:$G$110&lt;&gt;"acoes")))*INDEX(Inputs!$K$5:$AJ$110,0,MATCH(AD$2,Inputs!$K$4:$AJ$4,0)))+SUMPRODUCT((Inputs!$E$5:$E$110=$B22)*Inputs!$F$5:$F$110*(((Inputs!$G$5:$G$110="moeda")+(Inputs!$G$5:$G$110="acoes"))*Inputs!$B$1+((Inputs!$G$5:$G$110&lt;&gt;"moeda")*(Inputs!$G$5:$G$110&lt;&gt;"acoes")))*INDEX(Inputs!$K$5:$AJ$110,0,MATCH(AD$2,Inputs!$K$4:$AJ$4,0)))))</f>
        <v>142482</v>
      </c>
      <c r="AE22" s="267" t="e">
        <f>IF(ISNA(MATCH(AE$2,Inputs!$K$4:$AJ$4,0)),NA(),IF(SUMPRODUCT((Inputs!$A$5:$A$110=$B22)*ISNUMBER(INDEX(Inputs!$K$5:$AJ$110,0,MATCH(AE$2,Inputs!$K$4:$AJ$4,0))))+SUMPRODUCT((Inputs!$C$5:$C$110=$B22)*ISNUMBER(INDEX(Inputs!$K$5:$AJ$110,0,MATCH(AE$2,Inputs!$K$4:$AJ$4,0))))+SUMPRODUCT((Inputs!$E$5:$E$110=$B22)*ISNUMBER(INDEX(Inputs!$K$5:$AJ$110,0,MATCH(AE$2,Inputs!$K$4:$AJ$4,0))))=0,NA(),SUMPRODUCT((Inputs!$A$5:$A$110=$B22)*Inputs!$B$5:$B$110*(((Inputs!$G$5:$G$110="moeda")+(Inputs!$G$5:$G$110="acoes"))*Inputs!$B$1+((Inputs!$G$5:$G$110&lt;&gt;"moeda")*(Inputs!$G$5:$G$110&lt;&gt;"acoes")))*INDEX(Inputs!$K$5:$AJ$110,0,MATCH(AE$2,Inputs!$K$4:$AJ$4,0)))+SUMPRODUCT((Inputs!$C$5:$C$110=$B22)*Inputs!$D$5:$D$110*(((Inputs!$G$5:$G$110="moeda")+(Inputs!$G$5:$G$110="acoes"))*Inputs!$B$1+((Inputs!$G$5:$G$110&lt;&gt;"moeda")*(Inputs!$G$5:$G$110&lt;&gt;"acoes")))*INDEX(Inputs!$K$5:$AJ$110,0,MATCH(AE$2,Inputs!$K$4:$AJ$4,0)))+SUMPRODUCT((Inputs!$E$5:$E$110=$B22)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2" s="267" t="e">
        <f>IF(ISNA(MATCH(AF$2,Inputs!$K$4:$AJ$4,0)),NA(),IF(SUMPRODUCT((Inputs!$A$5:$A$110=$B22)*ISNUMBER(INDEX(Inputs!$K$5:$AJ$110,0,MATCH(AF$2,Inputs!$K$4:$AJ$4,0))))+SUMPRODUCT((Inputs!$C$5:$C$110=$B22)*ISNUMBER(INDEX(Inputs!$K$5:$AJ$110,0,MATCH(AF$2,Inputs!$K$4:$AJ$4,0))))+SUMPRODUCT((Inputs!$E$5:$E$110=$B22)*ISNUMBER(INDEX(Inputs!$K$5:$AJ$110,0,MATCH(AF$2,Inputs!$K$4:$AJ$4,0))))=0,NA(),SUMPRODUCT((Inputs!$A$5:$A$110=$B22)*Inputs!$B$5:$B$110*(((Inputs!$G$5:$G$110="moeda")+(Inputs!$G$5:$G$110="acoes"))*Inputs!$B$1+((Inputs!$G$5:$G$110&lt;&gt;"moeda")*(Inputs!$G$5:$G$110&lt;&gt;"acoes")))*INDEX(Inputs!$K$5:$AJ$110,0,MATCH(AF$2,Inputs!$K$4:$AJ$4,0)))+SUMPRODUCT((Inputs!$C$5:$C$110=$B22)*Inputs!$D$5:$D$110*(((Inputs!$G$5:$G$110="moeda")+(Inputs!$G$5:$G$110="acoes"))*Inputs!$B$1+((Inputs!$G$5:$G$110&lt;&gt;"moeda")*(Inputs!$G$5:$G$110&lt;&gt;"acoes")))*INDEX(Inputs!$K$5:$AJ$110,0,MATCH(AF$2,Inputs!$K$4:$AJ$4,0)))+SUMPRODUCT((Inputs!$E$5:$E$110=$B22)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2" s="268" t="e">
        <f>AF22</f>
        <v>#N/A</v>
      </c>
      <c r="AH22" s="267">
        <f>IF(ISNA(MATCH(AH$2,Inputs!$K$4:$AJ$4,0)),NA(),IF(SUMPRODUCT((Inputs!$A$5:$A$110=$B22)*ISNUMBER(INDEX(Inputs!$K$5:$AJ$110,0,MATCH(AH$2,Inputs!$K$4:$AJ$4,0))))+SUMPRODUCT((Inputs!$C$5:$C$110=$B22)*ISNUMBER(INDEX(Inputs!$K$5:$AJ$110,0,MATCH(AH$2,Inputs!$K$4:$AJ$4,0))))+SUMPRODUCT((Inputs!$E$5:$E$110=$B22)*ISNUMBER(INDEX(Inputs!$K$5:$AJ$110,0,MATCH(AH$2,Inputs!$K$4:$AJ$4,0))))=0,NA(),SUMPRODUCT((Inputs!$A$5:$A$110=$B22)*Inputs!$B$5:$B$110*(((Inputs!$G$5:$G$110="moeda")+(Inputs!$G$5:$G$110="acoes"))*Inputs!$B$1+((Inputs!$G$5:$G$110&lt;&gt;"moeda")*(Inputs!$G$5:$G$110&lt;&gt;"acoes")))*INDEX(Inputs!$K$5:$AJ$110,0,MATCH(AH$2,Inputs!$K$4:$AJ$4,0)))+SUMPRODUCT((Inputs!$C$5:$C$110=$B22)*Inputs!$D$5:$D$110*(((Inputs!$G$5:$G$110="moeda")+(Inputs!$G$5:$G$110="acoes"))*Inputs!$B$1+((Inputs!$G$5:$G$110&lt;&gt;"moeda")*(Inputs!$G$5:$G$110&lt;&gt;"acoes")))*INDEX(Inputs!$K$5:$AJ$110,0,MATCH(AH$2,Inputs!$K$4:$AJ$4,0)))+SUMPRODUCT((Inputs!$E$5:$E$110=$B22)*Inputs!$F$5:$F$110*(((Inputs!$G$5:$G$110="moeda")+(Inputs!$G$5:$G$110="acoes"))*Inputs!$B$1+((Inputs!$G$5:$G$110&lt;&gt;"moeda")*(Inputs!$G$5:$G$110&lt;&gt;"acoes")))*INDEX(Inputs!$K$5:$AJ$110,0,MATCH(AH$2,Inputs!$K$4:$AJ$4,0)))))</f>
        <v>101872</v>
      </c>
      <c r="AI22" s="267">
        <f>IF(ISNA(MATCH(AI$2,Inputs!$K$4:$AJ$4,0)),NA(),IF(SUMPRODUCT((Inputs!$A$5:$A$110=$B22)*ISNUMBER(INDEX(Inputs!$K$5:$AJ$110,0,MATCH(AI$2,Inputs!$K$4:$AJ$4,0))))+SUMPRODUCT((Inputs!$C$5:$C$110=$B22)*ISNUMBER(INDEX(Inputs!$K$5:$AJ$110,0,MATCH(AI$2,Inputs!$K$4:$AJ$4,0))))+SUMPRODUCT((Inputs!$E$5:$E$110=$B22)*ISNUMBER(INDEX(Inputs!$K$5:$AJ$110,0,MATCH(AI$2,Inputs!$K$4:$AJ$4,0))))=0,NA(),SUMPRODUCT((Inputs!$A$5:$A$110=$B22)*Inputs!$B$5:$B$110*(((Inputs!$G$5:$G$110="moeda")+(Inputs!$G$5:$G$110="acoes"))*Inputs!$B$1+((Inputs!$G$5:$G$110&lt;&gt;"moeda")*(Inputs!$G$5:$G$110&lt;&gt;"acoes")))*INDEX(Inputs!$K$5:$AJ$110,0,MATCH(AI$2,Inputs!$K$4:$AJ$4,0)))+SUMPRODUCT((Inputs!$C$5:$C$110=$B22)*Inputs!$D$5:$D$110*(((Inputs!$G$5:$G$110="moeda")+(Inputs!$G$5:$G$110="acoes"))*Inputs!$B$1+((Inputs!$G$5:$G$110&lt;&gt;"moeda")*(Inputs!$G$5:$G$110&lt;&gt;"acoes")))*INDEX(Inputs!$K$5:$AJ$110,0,MATCH(AI$2,Inputs!$K$4:$AJ$4,0)))+SUMPRODUCT((Inputs!$E$5:$E$110=$B22)*Inputs!$F$5:$F$110*(((Inputs!$G$5:$G$110="moeda")+(Inputs!$G$5:$G$110="acoes"))*Inputs!$B$1+((Inputs!$G$5:$G$110&lt;&gt;"moeda")*(Inputs!$G$5:$G$110&lt;&gt;"acoes")))*INDEX(Inputs!$K$5:$AJ$110,0,MATCH(AI$2,Inputs!$K$4:$AJ$4,0)))))</f>
        <v>101182</v>
      </c>
      <c r="AJ22" s="267">
        <f>IF(ISNA(MATCH(AJ$2,Inputs!$K$4:$AJ$4,0)),NA(),IF(SUMPRODUCT((Inputs!$A$5:$A$110=$B22)*ISNUMBER(INDEX(Inputs!$K$5:$AJ$110,0,MATCH(AJ$2,Inputs!$K$4:$AJ$4,0))))+SUMPRODUCT((Inputs!$C$5:$C$110=$B22)*ISNUMBER(INDEX(Inputs!$K$5:$AJ$110,0,MATCH(AJ$2,Inputs!$K$4:$AJ$4,0))))+SUMPRODUCT((Inputs!$E$5:$E$110=$B22)*ISNUMBER(INDEX(Inputs!$K$5:$AJ$110,0,MATCH(AJ$2,Inputs!$K$4:$AJ$4,0))))=0,NA(),SUMPRODUCT((Inputs!$A$5:$A$110=$B22)*Inputs!$B$5:$B$110*(((Inputs!$G$5:$G$110="moeda")+(Inputs!$G$5:$G$110="acoes"))*Inputs!$B$1+((Inputs!$G$5:$G$110&lt;&gt;"moeda")*(Inputs!$G$5:$G$110&lt;&gt;"acoes")))*INDEX(Inputs!$K$5:$AJ$110,0,MATCH(AJ$2,Inputs!$K$4:$AJ$4,0)))+SUMPRODUCT((Inputs!$C$5:$C$110=$B22)*Inputs!$D$5:$D$110*(((Inputs!$G$5:$G$110="moeda")+(Inputs!$G$5:$G$110="acoes"))*Inputs!$B$1+((Inputs!$G$5:$G$110&lt;&gt;"moeda")*(Inputs!$G$5:$G$110&lt;&gt;"acoes")))*INDEX(Inputs!$K$5:$AJ$110,0,MATCH(AJ$2,Inputs!$K$4:$AJ$4,0)))+SUMPRODUCT((Inputs!$E$5:$E$110=$B22)*Inputs!$F$5:$F$110*(((Inputs!$G$5:$G$110="moeda")+(Inputs!$G$5:$G$110="acoes"))*Inputs!$B$1+((Inputs!$G$5:$G$110&lt;&gt;"moeda")*(Inputs!$G$5:$G$110&lt;&gt;"acoes")))*INDEX(Inputs!$K$5:$AJ$110,0,MATCH(AJ$2,Inputs!$K$4:$AJ$4,0)))))</f>
        <v>102232</v>
      </c>
      <c r="AK22" s="267">
        <f>IF(ISNA(MATCH(AK$2,Inputs!$K$4:$AJ$4,0)),NA(),IF(SUMPRODUCT((Inputs!$A$5:$A$110=$B22)*ISNUMBER(INDEX(Inputs!$K$5:$AJ$110,0,MATCH(AK$2,Inputs!$K$4:$AJ$4,0))))+SUMPRODUCT((Inputs!$C$5:$C$110=$B22)*ISNUMBER(INDEX(Inputs!$K$5:$AJ$110,0,MATCH(AK$2,Inputs!$K$4:$AJ$4,0))))+SUMPRODUCT((Inputs!$E$5:$E$110=$B22)*ISNUMBER(INDEX(Inputs!$K$5:$AJ$110,0,MATCH(AK$2,Inputs!$K$4:$AJ$4,0))))=0,NA(),SUMPRODUCT((Inputs!$A$5:$A$110=$B22)*Inputs!$B$5:$B$110*(((Inputs!$G$5:$G$110="moeda")+(Inputs!$G$5:$G$110="acoes"))*Inputs!$B$1+((Inputs!$G$5:$G$110&lt;&gt;"moeda")*(Inputs!$G$5:$G$110&lt;&gt;"acoes")))*INDEX(Inputs!$K$5:$AJ$110,0,MATCH(AK$2,Inputs!$K$4:$AJ$4,0)))+SUMPRODUCT((Inputs!$C$5:$C$110=$B22)*Inputs!$D$5:$D$110*(((Inputs!$G$5:$G$110="moeda")+(Inputs!$G$5:$G$110="acoes"))*Inputs!$B$1+((Inputs!$G$5:$G$110&lt;&gt;"moeda")*(Inputs!$G$5:$G$110&lt;&gt;"acoes")))*INDEX(Inputs!$K$5:$AJ$110,0,MATCH(AK$2,Inputs!$K$4:$AJ$4,0)))+SUMPRODUCT((Inputs!$E$5:$E$110=$B22)*Inputs!$F$5:$F$110*(((Inputs!$G$5:$G$110="moeda")+(Inputs!$G$5:$G$110="acoes"))*Inputs!$B$1+((Inputs!$G$5:$G$110&lt;&gt;"moeda")*(Inputs!$G$5:$G$110&lt;&gt;"acoes")))*INDEX(Inputs!$K$5:$AJ$110,0,MATCH(AK$2,Inputs!$K$4:$AJ$4,0)))))</f>
        <v>92201</v>
      </c>
      <c r="AL22" s="268">
        <f>AK22</f>
        <v>92201</v>
      </c>
    </row>
    <row r="23" ht="12.75" customHeight="1" s="255">
      <c r="B23" s="265" t="n">
        <v>19</v>
      </c>
      <c r="C23" s="270" t="inlineStr">
        <is>
          <t>Right-of-use-assets</t>
        </is>
      </c>
      <c r="D23" s="267">
        <f>IF(ISNA(MATCH(D$2,Inputs!$K$4:$AJ$4,0)),NA(),IF(SUMPRODUCT((Inputs!$A$5:$A$110=$B23)*ISNUMBER(INDEX(Inputs!$K$5:$AJ$110,0,MATCH(D$2,Inputs!$K$4:$AJ$4,0))))+SUMPRODUCT((Inputs!$C$5:$C$110=$B23)*ISNUMBER(INDEX(Inputs!$K$5:$AJ$110,0,MATCH(D$2,Inputs!$K$4:$AJ$4,0))))+SUMPRODUCT((Inputs!$E$5:$E$110=$B23)*ISNUMBER(INDEX(Inputs!$K$5:$AJ$110,0,MATCH(D$2,Inputs!$K$4:$AJ$4,0))))=0,NA(),SUMPRODUCT((Inputs!$A$5:$A$110=$B23)*Inputs!$B$5:$B$110*(((Inputs!$G$5:$G$110="moeda")+(Inputs!$G$5:$G$110="acoes"))*Inputs!$B$1+((Inputs!$G$5:$G$110&lt;&gt;"moeda")*(Inputs!$G$5:$G$110&lt;&gt;"acoes")))*INDEX(Inputs!$K$5:$AJ$110,0,MATCH(D$2,Inputs!$K$4:$AJ$4,0)))+SUMPRODUCT((Inputs!$C$5:$C$110=$B23)*Inputs!$D$5:$D$110*(((Inputs!$G$5:$G$110="moeda")+(Inputs!$G$5:$G$110="acoes"))*Inputs!$B$1+((Inputs!$G$5:$G$110&lt;&gt;"moeda")*(Inputs!$G$5:$G$110&lt;&gt;"acoes")))*INDEX(Inputs!$K$5:$AJ$110,0,MATCH(D$2,Inputs!$K$4:$AJ$4,0)))+SUMPRODUCT((Inputs!$E$5:$E$110=$B23)*Inputs!$F$5:$F$110*(((Inputs!$G$5:$G$110="moeda")+(Inputs!$G$5:$G$110="acoes"))*Inputs!$B$1+((Inputs!$G$5:$G$110&lt;&gt;"moeda")*(Inputs!$G$5:$G$110&lt;&gt;"acoes")))*INDEX(Inputs!$K$5:$AJ$110,0,MATCH(D$2,Inputs!$K$4:$AJ$4,0)))))</f>
        <v>13650</v>
      </c>
      <c r="E23" s="267">
        <f>IF(ISNA(MATCH(E$2,Inputs!$K$4:$AJ$4,0)),NA(),IF(SUMPRODUCT((Inputs!$A$5:$A$110=$B23)*ISNUMBER(INDEX(Inputs!$K$5:$AJ$110,0,MATCH(E$2,Inputs!$K$4:$AJ$4,0))))+SUMPRODUCT((Inputs!$C$5:$C$110=$B23)*ISNUMBER(INDEX(Inputs!$K$5:$AJ$110,0,MATCH(E$2,Inputs!$K$4:$AJ$4,0))))+SUMPRODUCT((Inputs!$E$5:$E$110=$B23)*ISNUMBER(INDEX(Inputs!$K$5:$AJ$110,0,MATCH(E$2,Inputs!$K$4:$AJ$4,0))))=0,NA(),SUMPRODUCT((Inputs!$A$5:$A$110=$B23)*Inputs!$B$5:$B$110*(((Inputs!$G$5:$G$110="moeda")+(Inputs!$G$5:$G$110="acoes"))*Inputs!$B$1+((Inputs!$G$5:$G$110&lt;&gt;"moeda")*(Inputs!$G$5:$G$110&lt;&gt;"acoes")))*INDEX(Inputs!$K$5:$AJ$110,0,MATCH(E$2,Inputs!$K$4:$AJ$4,0)))+SUMPRODUCT((Inputs!$C$5:$C$110=$B23)*Inputs!$D$5:$D$110*(((Inputs!$G$5:$G$110="moeda")+(Inputs!$G$5:$G$110="acoes"))*Inputs!$B$1+((Inputs!$G$5:$G$110&lt;&gt;"moeda")*(Inputs!$G$5:$G$110&lt;&gt;"acoes")))*INDEX(Inputs!$K$5:$AJ$110,0,MATCH(E$2,Inputs!$K$4:$AJ$4,0)))+SUMPRODUCT((Inputs!$E$5:$E$110=$B23)*Inputs!$F$5:$F$110*(((Inputs!$G$5:$G$110="moeda")+(Inputs!$G$5:$G$110="acoes"))*Inputs!$B$1+((Inputs!$G$5:$G$110&lt;&gt;"moeda")*(Inputs!$G$5:$G$110&lt;&gt;"acoes")))*INDEX(Inputs!$K$5:$AJ$110,0,MATCH(E$2,Inputs!$K$4:$AJ$4,0)))))</f>
        <v>13868</v>
      </c>
      <c r="F23" s="267">
        <f>IF(ISNA(MATCH(F$2,Inputs!$K$4:$AJ$4,0)),NA(),IF(SUMPRODUCT((Inputs!$A$5:$A$110=$B23)*ISNUMBER(INDEX(Inputs!$K$5:$AJ$110,0,MATCH(F$2,Inputs!$K$4:$AJ$4,0))))+SUMPRODUCT((Inputs!$C$5:$C$110=$B23)*ISNUMBER(INDEX(Inputs!$K$5:$AJ$110,0,MATCH(F$2,Inputs!$K$4:$AJ$4,0))))+SUMPRODUCT((Inputs!$E$5:$E$110=$B23)*ISNUMBER(INDEX(Inputs!$K$5:$AJ$110,0,MATCH(F$2,Inputs!$K$4:$AJ$4,0))))=0,NA(),SUMPRODUCT((Inputs!$A$5:$A$110=$B23)*Inputs!$B$5:$B$110*(((Inputs!$G$5:$G$110="moeda")+(Inputs!$G$5:$G$110="acoes"))*Inputs!$B$1+((Inputs!$G$5:$G$110&lt;&gt;"moeda")*(Inputs!$G$5:$G$110&lt;&gt;"acoes")))*INDEX(Inputs!$K$5:$AJ$110,0,MATCH(F$2,Inputs!$K$4:$AJ$4,0)))+SUMPRODUCT((Inputs!$C$5:$C$110=$B23)*Inputs!$D$5:$D$110*(((Inputs!$G$5:$G$110="moeda")+(Inputs!$G$5:$G$110="acoes"))*Inputs!$B$1+((Inputs!$G$5:$G$110&lt;&gt;"moeda")*(Inputs!$G$5:$G$110&lt;&gt;"acoes")))*INDEX(Inputs!$K$5:$AJ$110,0,MATCH(F$2,Inputs!$K$4:$AJ$4,0)))+SUMPRODUCT((Inputs!$E$5:$E$110=$B23)*Inputs!$F$5:$F$110*(((Inputs!$G$5:$G$110="moeda")+(Inputs!$G$5:$G$110="acoes"))*Inputs!$B$1+((Inputs!$G$5:$G$110&lt;&gt;"moeda")*(Inputs!$G$5:$G$110&lt;&gt;"acoes")))*INDEX(Inputs!$K$5:$AJ$110,0,MATCH(F$2,Inputs!$K$4:$AJ$4,0)))))</f>
        <v>13863</v>
      </c>
      <c r="G23" s="267">
        <f>IF(ISNA(MATCH(G$2,Inputs!$K$4:$AJ$4,0)),NA(),IF(SUMPRODUCT((Inputs!$A$5:$A$110=$B23)*ISNUMBER(INDEX(Inputs!$K$5:$AJ$110,0,MATCH(G$2,Inputs!$K$4:$AJ$4,0))))+SUMPRODUCT((Inputs!$C$5:$C$110=$B23)*ISNUMBER(INDEX(Inputs!$K$5:$AJ$110,0,MATCH(G$2,Inputs!$K$4:$AJ$4,0))))+SUMPRODUCT((Inputs!$E$5:$E$110=$B23)*ISNUMBER(INDEX(Inputs!$K$5:$AJ$110,0,MATCH(G$2,Inputs!$K$4:$AJ$4,0))))=0,NA(),SUMPRODUCT((Inputs!$A$5:$A$110=$B23)*Inputs!$B$5:$B$110*(((Inputs!$G$5:$G$110="moeda")+(Inputs!$G$5:$G$110="acoes"))*Inputs!$B$1+((Inputs!$G$5:$G$110&lt;&gt;"moeda")*(Inputs!$G$5:$G$110&lt;&gt;"acoes")))*INDEX(Inputs!$K$5:$AJ$110,0,MATCH(G$2,Inputs!$K$4:$AJ$4,0)))+SUMPRODUCT((Inputs!$C$5:$C$110=$B23)*Inputs!$D$5:$D$110*(((Inputs!$G$5:$G$110="moeda")+(Inputs!$G$5:$G$110="acoes"))*Inputs!$B$1+((Inputs!$G$5:$G$110&lt;&gt;"moeda")*(Inputs!$G$5:$G$110&lt;&gt;"acoes")))*INDEX(Inputs!$K$5:$AJ$110,0,MATCH(G$2,Inputs!$K$4:$AJ$4,0)))+SUMPRODUCT((Inputs!$E$5:$E$110=$B23)*Inputs!$F$5:$F$110*(((Inputs!$G$5:$G$110="moeda")+(Inputs!$G$5:$G$110="acoes"))*Inputs!$B$1+((Inputs!$G$5:$G$110&lt;&gt;"moeda")*(Inputs!$G$5:$G$110&lt;&gt;"acoes")))*INDEX(Inputs!$K$5:$AJ$110,0,MATCH(G$2,Inputs!$K$4:$AJ$4,0)))))</f>
        <v>13758</v>
      </c>
      <c r="H23" s="268">
        <f>G23</f>
        <v>13758</v>
      </c>
      <c r="I23" s="267">
        <f>IF(ISNA(MATCH(I$2,Inputs!$K$4:$AJ$4,0)),NA(),IF(SUMPRODUCT((Inputs!$A$5:$A$110=$B23)*ISNUMBER(INDEX(Inputs!$K$5:$AJ$110,0,MATCH(I$2,Inputs!$K$4:$AJ$4,0))))+SUMPRODUCT((Inputs!$C$5:$C$110=$B23)*ISNUMBER(INDEX(Inputs!$K$5:$AJ$110,0,MATCH(I$2,Inputs!$K$4:$AJ$4,0))))+SUMPRODUCT((Inputs!$E$5:$E$110=$B23)*ISNUMBER(INDEX(Inputs!$K$5:$AJ$110,0,MATCH(I$2,Inputs!$K$4:$AJ$4,0))))=0,NA(),SUMPRODUCT((Inputs!$A$5:$A$110=$B23)*Inputs!$B$5:$B$110*(((Inputs!$G$5:$G$110="moeda")+(Inputs!$G$5:$G$110="acoes"))*Inputs!$B$1+((Inputs!$G$5:$G$110&lt;&gt;"moeda")*(Inputs!$G$5:$G$110&lt;&gt;"acoes")))*INDEX(Inputs!$K$5:$AJ$110,0,MATCH(I$2,Inputs!$K$4:$AJ$4,0)))+SUMPRODUCT((Inputs!$C$5:$C$110=$B23)*Inputs!$D$5:$D$110*(((Inputs!$G$5:$G$110="moeda")+(Inputs!$G$5:$G$110="acoes"))*Inputs!$B$1+((Inputs!$G$5:$G$110&lt;&gt;"moeda")*(Inputs!$G$5:$G$110&lt;&gt;"acoes")))*INDEX(Inputs!$K$5:$AJ$110,0,MATCH(I$2,Inputs!$K$4:$AJ$4,0)))+SUMPRODUCT((Inputs!$E$5:$E$110=$B23)*Inputs!$F$5:$F$110*(((Inputs!$G$5:$G$110="moeda")+(Inputs!$G$5:$G$110="acoes"))*Inputs!$B$1+((Inputs!$G$5:$G$110&lt;&gt;"moeda")*(Inputs!$G$5:$G$110&lt;&gt;"acoes")))*INDEX(Inputs!$K$5:$AJ$110,0,MATCH(I$2,Inputs!$K$4:$AJ$4,0)))))</f>
        <v>13971</v>
      </c>
      <c r="J23" s="267">
        <f>IF(ISNA(MATCH(J$2,Inputs!$K$4:$AJ$4,0)),NA(),IF(SUMPRODUCT((Inputs!$A$5:$A$110=$B23)*ISNUMBER(INDEX(Inputs!$K$5:$AJ$110,0,MATCH(J$2,Inputs!$K$4:$AJ$4,0))))+SUMPRODUCT((Inputs!$C$5:$C$110=$B23)*ISNUMBER(INDEX(Inputs!$K$5:$AJ$110,0,MATCH(J$2,Inputs!$K$4:$AJ$4,0))))+SUMPRODUCT((Inputs!$E$5:$E$110=$B23)*ISNUMBER(INDEX(Inputs!$K$5:$AJ$110,0,MATCH(J$2,Inputs!$K$4:$AJ$4,0))))=0,NA(),SUMPRODUCT((Inputs!$A$5:$A$110=$B23)*Inputs!$B$5:$B$110*(((Inputs!$G$5:$G$110="moeda")+(Inputs!$G$5:$G$110="acoes"))*Inputs!$B$1+((Inputs!$G$5:$G$110&lt;&gt;"moeda")*(Inputs!$G$5:$G$110&lt;&gt;"acoes")))*INDEX(Inputs!$K$5:$AJ$110,0,MATCH(J$2,Inputs!$K$4:$AJ$4,0)))+SUMPRODUCT((Inputs!$C$5:$C$110=$B23)*Inputs!$D$5:$D$110*(((Inputs!$G$5:$G$110="moeda")+(Inputs!$G$5:$G$110="acoes"))*Inputs!$B$1+((Inputs!$G$5:$G$110&lt;&gt;"moeda")*(Inputs!$G$5:$G$110&lt;&gt;"acoes")))*INDEX(Inputs!$K$5:$AJ$110,0,MATCH(J$2,Inputs!$K$4:$AJ$4,0)))+SUMPRODUCT((Inputs!$E$5:$E$110=$B23)*Inputs!$F$5:$F$110*(((Inputs!$G$5:$G$110="moeda")+(Inputs!$G$5:$G$110="acoes"))*Inputs!$B$1+((Inputs!$G$5:$G$110&lt;&gt;"moeda")*(Inputs!$G$5:$G$110&lt;&gt;"acoes")))*INDEX(Inputs!$K$5:$AJ$110,0,MATCH(J$2,Inputs!$K$4:$AJ$4,0)))))</f>
        <v>13872</v>
      </c>
      <c r="K23" s="267">
        <f>IF(ISNA(MATCH(K$2,Inputs!$K$4:$AJ$4,0)),NA(),IF(SUMPRODUCT((Inputs!$A$5:$A$110=$B23)*ISNUMBER(INDEX(Inputs!$K$5:$AJ$110,0,MATCH(K$2,Inputs!$K$4:$AJ$4,0))))+SUMPRODUCT((Inputs!$C$5:$C$110=$B23)*ISNUMBER(INDEX(Inputs!$K$5:$AJ$110,0,MATCH(K$2,Inputs!$K$4:$AJ$4,0))))+SUMPRODUCT((Inputs!$E$5:$E$110=$B23)*ISNUMBER(INDEX(Inputs!$K$5:$AJ$110,0,MATCH(K$2,Inputs!$K$4:$AJ$4,0))))=0,NA(),SUMPRODUCT((Inputs!$A$5:$A$110=$B23)*Inputs!$B$5:$B$110*(((Inputs!$G$5:$G$110="moeda")+(Inputs!$G$5:$G$110="acoes"))*Inputs!$B$1+((Inputs!$G$5:$G$110&lt;&gt;"moeda")*(Inputs!$G$5:$G$110&lt;&gt;"acoes")))*INDEX(Inputs!$K$5:$AJ$110,0,MATCH(K$2,Inputs!$K$4:$AJ$4,0)))+SUMPRODUCT((Inputs!$C$5:$C$110=$B23)*Inputs!$D$5:$D$110*(((Inputs!$G$5:$G$110="moeda")+(Inputs!$G$5:$G$110="acoes"))*Inputs!$B$1+((Inputs!$G$5:$G$110&lt;&gt;"moeda")*(Inputs!$G$5:$G$110&lt;&gt;"acoes")))*INDEX(Inputs!$K$5:$AJ$110,0,MATCH(K$2,Inputs!$K$4:$AJ$4,0)))+SUMPRODUCT((Inputs!$E$5:$E$110=$B23)*Inputs!$F$5:$F$110*(((Inputs!$G$5:$G$110="moeda")+(Inputs!$G$5:$G$110="acoes"))*Inputs!$B$1+((Inputs!$G$5:$G$110&lt;&gt;"moeda")*(Inputs!$G$5:$G$110&lt;&gt;"acoes")))*INDEX(Inputs!$K$5:$AJ$110,0,MATCH(K$2,Inputs!$K$4:$AJ$4,0)))))</f>
        <v>13394</v>
      </c>
      <c r="L23" s="267">
        <f>IF(ISNA(MATCH(L$2,Inputs!$K$4:$AJ$4,0)),NA(),IF(SUMPRODUCT((Inputs!$A$5:$A$110=$B23)*ISNUMBER(INDEX(Inputs!$K$5:$AJ$110,0,MATCH(L$2,Inputs!$K$4:$AJ$4,0))))+SUMPRODUCT((Inputs!$C$5:$C$110=$B23)*ISNUMBER(INDEX(Inputs!$K$5:$AJ$110,0,MATCH(L$2,Inputs!$K$4:$AJ$4,0))))+SUMPRODUCT((Inputs!$E$5:$E$110=$B23)*ISNUMBER(INDEX(Inputs!$K$5:$AJ$110,0,MATCH(L$2,Inputs!$K$4:$AJ$4,0))))=0,NA(),SUMPRODUCT((Inputs!$A$5:$A$110=$B23)*Inputs!$B$5:$B$110*(((Inputs!$G$5:$G$110="moeda")+(Inputs!$G$5:$G$110="acoes"))*Inputs!$B$1+((Inputs!$G$5:$G$110&lt;&gt;"moeda")*(Inputs!$G$5:$G$110&lt;&gt;"acoes")))*INDEX(Inputs!$K$5:$AJ$110,0,MATCH(L$2,Inputs!$K$4:$AJ$4,0)))+SUMPRODUCT((Inputs!$C$5:$C$110=$B23)*Inputs!$D$5:$D$110*(((Inputs!$G$5:$G$110="moeda")+(Inputs!$G$5:$G$110="acoes"))*Inputs!$B$1+((Inputs!$G$5:$G$110&lt;&gt;"moeda")*(Inputs!$G$5:$G$110&lt;&gt;"acoes")))*INDEX(Inputs!$K$5:$AJ$110,0,MATCH(L$2,Inputs!$K$4:$AJ$4,0)))+SUMPRODUCT((Inputs!$E$5:$E$110=$B23)*Inputs!$F$5:$F$110*(((Inputs!$G$5:$G$110="moeda")+(Inputs!$G$5:$G$110="acoes"))*Inputs!$B$1+((Inputs!$G$5:$G$110&lt;&gt;"moeda")*(Inputs!$G$5:$G$110&lt;&gt;"acoes")))*INDEX(Inputs!$K$5:$AJ$110,0,MATCH(L$2,Inputs!$K$4:$AJ$4,0)))))</f>
        <v>13555</v>
      </c>
      <c r="M23" s="268">
        <f>L23</f>
        <v>13555</v>
      </c>
      <c r="N23" s="267">
        <f>IF(ISNA(MATCH(N$2,Inputs!$K$4:$AJ$4,0)),NA(),IF(SUMPRODUCT((Inputs!$A$5:$A$110=$B23)*ISNUMBER(INDEX(Inputs!$K$5:$AJ$110,0,MATCH(N$2,Inputs!$K$4:$AJ$4,0))))+SUMPRODUCT((Inputs!$C$5:$C$110=$B23)*ISNUMBER(INDEX(Inputs!$K$5:$AJ$110,0,MATCH(N$2,Inputs!$K$4:$AJ$4,0))))+SUMPRODUCT((Inputs!$E$5:$E$110=$B23)*ISNUMBER(INDEX(Inputs!$K$5:$AJ$110,0,MATCH(N$2,Inputs!$K$4:$AJ$4,0))))=0,NA(),SUMPRODUCT((Inputs!$A$5:$A$110=$B23)*Inputs!$B$5:$B$110*(((Inputs!$G$5:$G$110="moeda")+(Inputs!$G$5:$G$110="acoes"))*Inputs!$B$1+((Inputs!$G$5:$G$110&lt;&gt;"moeda")*(Inputs!$G$5:$G$110&lt;&gt;"acoes")))*INDEX(Inputs!$K$5:$AJ$110,0,MATCH(N$2,Inputs!$K$4:$AJ$4,0)))+SUMPRODUCT((Inputs!$C$5:$C$110=$B23)*Inputs!$D$5:$D$110*(((Inputs!$G$5:$G$110="moeda")+(Inputs!$G$5:$G$110="acoes"))*Inputs!$B$1+((Inputs!$G$5:$G$110&lt;&gt;"moeda")*(Inputs!$G$5:$G$110&lt;&gt;"acoes")))*INDEX(Inputs!$K$5:$AJ$110,0,MATCH(N$2,Inputs!$K$4:$AJ$4,0)))+SUMPRODUCT((Inputs!$E$5:$E$110=$B23)*Inputs!$F$5:$F$110*(((Inputs!$G$5:$G$110="moeda")+(Inputs!$G$5:$G$110="acoes"))*Inputs!$B$1+((Inputs!$G$5:$G$110&lt;&gt;"moeda")*(Inputs!$G$5:$G$110&lt;&gt;"acoes")))*INDEX(Inputs!$K$5:$AJ$110,0,MATCH(N$2,Inputs!$K$4:$AJ$4,0)))))</f>
        <v>13679</v>
      </c>
      <c r="O23" s="267">
        <f>IF(ISNA(MATCH(O$2,Inputs!$K$4:$AJ$4,0)),NA(),IF(SUMPRODUCT((Inputs!$A$5:$A$110=$B23)*ISNUMBER(INDEX(Inputs!$K$5:$AJ$110,0,MATCH(O$2,Inputs!$K$4:$AJ$4,0))))+SUMPRODUCT((Inputs!$C$5:$C$110=$B23)*ISNUMBER(INDEX(Inputs!$K$5:$AJ$110,0,MATCH(O$2,Inputs!$K$4:$AJ$4,0))))+SUMPRODUCT((Inputs!$E$5:$E$110=$B23)*ISNUMBER(INDEX(Inputs!$K$5:$AJ$110,0,MATCH(O$2,Inputs!$K$4:$AJ$4,0))))=0,NA(),SUMPRODUCT((Inputs!$A$5:$A$110=$B23)*Inputs!$B$5:$B$110*(((Inputs!$G$5:$G$110="moeda")+(Inputs!$G$5:$G$110="acoes"))*Inputs!$B$1+((Inputs!$G$5:$G$110&lt;&gt;"moeda")*(Inputs!$G$5:$G$110&lt;&gt;"acoes")))*INDEX(Inputs!$K$5:$AJ$110,0,MATCH(O$2,Inputs!$K$4:$AJ$4,0)))+SUMPRODUCT((Inputs!$C$5:$C$110=$B23)*Inputs!$D$5:$D$110*(((Inputs!$G$5:$G$110="moeda")+(Inputs!$G$5:$G$110="acoes"))*Inputs!$B$1+((Inputs!$G$5:$G$110&lt;&gt;"moeda")*(Inputs!$G$5:$G$110&lt;&gt;"acoes")))*INDEX(Inputs!$K$5:$AJ$110,0,MATCH(O$2,Inputs!$K$4:$AJ$4,0)))+SUMPRODUCT((Inputs!$E$5:$E$110=$B23)*Inputs!$F$5:$F$110*(((Inputs!$G$5:$G$110="moeda")+(Inputs!$G$5:$G$110="acoes"))*Inputs!$B$1+((Inputs!$G$5:$G$110&lt;&gt;"moeda")*(Inputs!$G$5:$G$110&lt;&gt;"acoes")))*INDEX(Inputs!$K$5:$AJ$110,0,MATCH(O$2,Inputs!$K$4:$AJ$4,0)))))</f>
        <v>13710</v>
      </c>
      <c r="P23" s="267">
        <f>IF(ISNA(MATCH(P$2,Inputs!$K$4:$AJ$4,0)),NA(),IF(SUMPRODUCT((Inputs!$A$5:$A$110=$B23)*ISNUMBER(INDEX(Inputs!$K$5:$AJ$110,0,MATCH(P$2,Inputs!$K$4:$AJ$4,0))))+SUMPRODUCT((Inputs!$C$5:$C$110=$B23)*ISNUMBER(INDEX(Inputs!$K$5:$AJ$110,0,MATCH(P$2,Inputs!$K$4:$AJ$4,0))))+SUMPRODUCT((Inputs!$E$5:$E$110=$B23)*ISNUMBER(INDEX(Inputs!$K$5:$AJ$110,0,MATCH(P$2,Inputs!$K$4:$AJ$4,0))))=0,NA(),SUMPRODUCT((Inputs!$A$5:$A$110=$B23)*Inputs!$B$5:$B$110*(((Inputs!$G$5:$G$110="moeda")+(Inputs!$G$5:$G$110="acoes"))*Inputs!$B$1+((Inputs!$G$5:$G$110&lt;&gt;"moeda")*(Inputs!$G$5:$G$110&lt;&gt;"acoes")))*INDEX(Inputs!$K$5:$AJ$110,0,MATCH(P$2,Inputs!$K$4:$AJ$4,0)))+SUMPRODUCT((Inputs!$C$5:$C$110=$B23)*Inputs!$D$5:$D$110*(((Inputs!$G$5:$G$110="moeda")+(Inputs!$G$5:$G$110="acoes"))*Inputs!$B$1+((Inputs!$G$5:$G$110&lt;&gt;"moeda")*(Inputs!$G$5:$G$110&lt;&gt;"acoes")))*INDEX(Inputs!$K$5:$AJ$110,0,MATCH(P$2,Inputs!$K$4:$AJ$4,0)))+SUMPRODUCT((Inputs!$E$5:$E$110=$B23)*Inputs!$F$5:$F$110*(((Inputs!$G$5:$G$110="moeda")+(Inputs!$G$5:$G$110="acoes"))*Inputs!$B$1+((Inputs!$G$5:$G$110&lt;&gt;"moeda")*(Inputs!$G$5:$G$110&lt;&gt;"acoes")))*INDEX(Inputs!$K$5:$AJ$110,0,MATCH(P$2,Inputs!$K$4:$AJ$4,0)))))</f>
        <v>13547</v>
      </c>
      <c r="Q23" s="267">
        <f>IF(ISNA(MATCH(Q$2,Inputs!$K$4:$AJ$4,0)),NA(),IF(SUMPRODUCT((Inputs!$A$5:$A$110=$B23)*ISNUMBER(INDEX(Inputs!$K$5:$AJ$110,0,MATCH(Q$2,Inputs!$K$4:$AJ$4,0))))+SUMPRODUCT((Inputs!$C$5:$C$110=$B23)*ISNUMBER(INDEX(Inputs!$K$5:$AJ$110,0,MATCH(Q$2,Inputs!$K$4:$AJ$4,0))))+SUMPRODUCT((Inputs!$E$5:$E$110=$B23)*ISNUMBER(INDEX(Inputs!$K$5:$AJ$110,0,MATCH(Q$2,Inputs!$K$4:$AJ$4,0))))=0,NA(),SUMPRODUCT((Inputs!$A$5:$A$110=$B23)*Inputs!$B$5:$B$110*(((Inputs!$G$5:$G$110="moeda")+(Inputs!$G$5:$G$110="acoes"))*Inputs!$B$1+((Inputs!$G$5:$G$110&lt;&gt;"moeda")*(Inputs!$G$5:$G$110&lt;&gt;"acoes")))*INDEX(Inputs!$K$5:$AJ$110,0,MATCH(Q$2,Inputs!$K$4:$AJ$4,0)))+SUMPRODUCT((Inputs!$C$5:$C$110=$B23)*Inputs!$D$5:$D$110*(((Inputs!$G$5:$G$110="moeda")+(Inputs!$G$5:$G$110="acoes"))*Inputs!$B$1+((Inputs!$G$5:$G$110&lt;&gt;"moeda")*(Inputs!$G$5:$G$110&lt;&gt;"acoes")))*INDEX(Inputs!$K$5:$AJ$110,0,MATCH(Q$2,Inputs!$K$4:$AJ$4,0)))+SUMPRODUCT((Inputs!$E$5:$E$110=$B23)*Inputs!$F$5:$F$110*(((Inputs!$G$5:$G$110="moeda")+(Inputs!$G$5:$G$110="acoes"))*Inputs!$B$1+((Inputs!$G$5:$G$110&lt;&gt;"moeda")*(Inputs!$G$5:$G$110&lt;&gt;"acoes")))*INDEX(Inputs!$K$5:$AJ$110,0,MATCH(Q$2,Inputs!$K$4:$AJ$4,0)))))</f>
        <v>13673</v>
      </c>
      <c r="R23" s="268">
        <f>Q23</f>
        <v>13673</v>
      </c>
      <c r="S23" s="267">
        <f>IF(ISNA(MATCH(S$2,Inputs!$K$4:$AJ$4,0)),NA(),IF(SUMPRODUCT((Inputs!$A$5:$A$110=$B23)*ISNUMBER(INDEX(Inputs!$K$5:$AJ$110,0,MATCH(S$2,Inputs!$K$4:$AJ$4,0))))+SUMPRODUCT((Inputs!$C$5:$C$110=$B23)*ISNUMBER(INDEX(Inputs!$K$5:$AJ$110,0,MATCH(S$2,Inputs!$K$4:$AJ$4,0))))+SUMPRODUCT((Inputs!$E$5:$E$110=$B23)*ISNUMBER(INDEX(Inputs!$K$5:$AJ$110,0,MATCH(S$2,Inputs!$K$4:$AJ$4,0))))=0,NA(),SUMPRODUCT((Inputs!$A$5:$A$110=$B23)*Inputs!$B$5:$B$110*(((Inputs!$G$5:$G$110="moeda")+(Inputs!$G$5:$G$110="acoes"))*Inputs!$B$1+((Inputs!$G$5:$G$110&lt;&gt;"moeda")*(Inputs!$G$5:$G$110&lt;&gt;"acoes")))*INDEX(Inputs!$K$5:$AJ$110,0,MATCH(S$2,Inputs!$K$4:$AJ$4,0)))+SUMPRODUCT((Inputs!$C$5:$C$110=$B23)*Inputs!$D$5:$D$110*(((Inputs!$G$5:$G$110="moeda")+(Inputs!$G$5:$G$110="acoes"))*Inputs!$B$1+((Inputs!$G$5:$G$110&lt;&gt;"moeda")*(Inputs!$G$5:$G$110&lt;&gt;"acoes")))*INDEX(Inputs!$K$5:$AJ$110,0,MATCH(S$2,Inputs!$K$4:$AJ$4,0)))+SUMPRODUCT((Inputs!$E$5:$E$110=$B23)*Inputs!$F$5:$F$110*(((Inputs!$G$5:$G$110="moeda")+(Inputs!$G$5:$G$110="acoes"))*Inputs!$B$1+((Inputs!$G$5:$G$110&lt;&gt;"moeda")*(Inputs!$G$5:$G$110&lt;&gt;"acoes")))*INDEX(Inputs!$K$5:$AJ$110,0,MATCH(S$2,Inputs!$K$4:$AJ$4,0)))))</f>
        <v>13562</v>
      </c>
      <c r="T23" s="267">
        <f>IF(ISNA(MATCH(T$2,Inputs!$K$4:$AJ$4,0)),NA(),IF(SUMPRODUCT((Inputs!$A$5:$A$110=$B23)*ISNUMBER(INDEX(Inputs!$K$5:$AJ$110,0,MATCH(T$2,Inputs!$K$4:$AJ$4,0))))+SUMPRODUCT((Inputs!$C$5:$C$110=$B23)*ISNUMBER(INDEX(Inputs!$K$5:$AJ$110,0,MATCH(T$2,Inputs!$K$4:$AJ$4,0))))+SUMPRODUCT((Inputs!$E$5:$E$110=$B23)*ISNUMBER(INDEX(Inputs!$K$5:$AJ$110,0,MATCH(T$2,Inputs!$K$4:$AJ$4,0))))=0,NA(),SUMPRODUCT((Inputs!$A$5:$A$110=$B23)*Inputs!$B$5:$B$110*(((Inputs!$G$5:$G$110="moeda")+(Inputs!$G$5:$G$110="acoes"))*Inputs!$B$1+((Inputs!$G$5:$G$110&lt;&gt;"moeda")*(Inputs!$G$5:$G$110&lt;&gt;"acoes")))*INDEX(Inputs!$K$5:$AJ$110,0,MATCH(T$2,Inputs!$K$4:$AJ$4,0)))+SUMPRODUCT((Inputs!$C$5:$C$110=$B23)*Inputs!$D$5:$D$110*(((Inputs!$G$5:$G$110="moeda")+(Inputs!$G$5:$G$110="acoes"))*Inputs!$B$1+((Inputs!$G$5:$G$110&lt;&gt;"moeda")*(Inputs!$G$5:$G$110&lt;&gt;"acoes")))*INDEX(Inputs!$K$5:$AJ$110,0,MATCH(T$2,Inputs!$K$4:$AJ$4,0)))+SUMPRODUCT((Inputs!$E$5:$E$110=$B23)*Inputs!$F$5:$F$110*(((Inputs!$G$5:$G$110="moeda")+(Inputs!$G$5:$G$110="acoes"))*Inputs!$B$1+((Inputs!$G$5:$G$110&lt;&gt;"moeda")*(Inputs!$G$5:$G$110&lt;&gt;"acoes")))*INDEX(Inputs!$K$5:$AJ$110,0,MATCH(T$2,Inputs!$K$4:$AJ$4,0)))))</f>
        <v>13579</v>
      </c>
      <c r="U23" s="267">
        <f>IF(ISNA(MATCH(U$2,Inputs!$K$4:$AJ$4,0)),NA(),IF(SUMPRODUCT((Inputs!$A$5:$A$110=$B23)*ISNUMBER(INDEX(Inputs!$K$5:$AJ$110,0,MATCH(U$2,Inputs!$K$4:$AJ$4,0))))+SUMPRODUCT((Inputs!$C$5:$C$110=$B23)*ISNUMBER(INDEX(Inputs!$K$5:$AJ$110,0,MATCH(U$2,Inputs!$K$4:$AJ$4,0))))+SUMPRODUCT((Inputs!$E$5:$E$110=$B23)*ISNUMBER(INDEX(Inputs!$K$5:$AJ$110,0,MATCH(U$2,Inputs!$K$4:$AJ$4,0))))=0,NA(),SUMPRODUCT((Inputs!$A$5:$A$110=$B23)*Inputs!$B$5:$B$110*(((Inputs!$G$5:$G$110="moeda")+(Inputs!$G$5:$G$110="acoes"))*Inputs!$B$1+((Inputs!$G$5:$G$110&lt;&gt;"moeda")*(Inputs!$G$5:$G$110&lt;&gt;"acoes")))*INDEX(Inputs!$K$5:$AJ$110,0,MATCH(U$2,Inputs!$K$4:$AJ$4,0)))+SUMPRODUCT((Inputs!$C$5:$C$110=$B23)*Inputs!$D$5:$D$110*(((Inputs!$G$5:$G$110="moeda")+(Inputs!$G$5:$G$110="acoes"))*Inputs!$B$1+((Inputs!$G$5:$G$110&lt;&gt;"moeda")*(Inputs!$G$5:$G$110&lt;&gt;"acoes")))*INDEX(Inputs!$K$5:$AJ$110,0,MATCH(U$2,Inputs!$K$4:$AJ$4,0)))+SUMPRODUCT((Inputs!$E$5:$E$110=$B23)*Inputs!$F$5:$F$110*(((Inputs!$G$5:$G$110="moeda")+(Inputs!$G$5:$G$110="acoes"))*Inputs!$B$1+((Inputs!$G$5:$G$110&lt;&gt;"moeda")*(Inputs!$G$5:$G$110&lt;&gt;"acoes")))*INDEX(Inputs!$K$5:$AJ$110,0,MATCH(U$2,Inputs!$K$4:$AJ$4,0)))))</f>
        <v>13701</v>
      </c>
      <c r="V23" s="267">
        <f>IF(ISNA(MATCH(V$2,Inputs!$K$4:$AJ$4,0)),NA(),IF(SUMPRODUCT((Inputs!$A$5:$A$110=$B23)*ISNUMBER(INDEX(Inputs!$K$5:$AJ$110,0,MATCH(V$2,Inputs!$K$4:$AJ$4,0))))+SUMPRODUCT((Inputs!$C$5:$C$110=$B23)*ISNUMBER(INDEX(Inputs!$K$5:$AJ$110,0,MATCH(V$2,Inputs!$K$4:$AJ$4,0))))+SUMPRODUCT((Inputs!$E$5:$E$110=$B23)*ISNUMBER(INDEX(Inputs!$K$5:$AJ$110,0,MATCH(V$2,Inputs!$K$4:$AJ$4,0))))=0,NA(),SUMPRODUCT((Inputs!$A$5:$A$110=$B23)*Inputs!$B$5:$B$110*(((Inputs!$G$5:$G$110="moeda")+(Inputs!$G$5:$G$110="acoes"))*Inputs!$B$1+((Inputs!$G$5:$G$110&lt;&gt;"moeda")*(Inputs!$G$5:$G$110&lt;&gt;"acoes")))*INDEX(Inputs!$K$5:$AJ$110,0,MATCH(V$2,Inputs!$K$4:$AJ$4,0)))+SUMPRODUCT((Inputs!$C$5:$C$110=$B23)*Inputs!$D$5:$D$110*(((Inputs!$G$5:$G$110="moeda")+(Inputs!$G$5:$G$110="acoes"))*Inputs!$B$1+((Inputs!$G$5:$G$110&lt;&gt;"moeda")*(Inputs!$G$5:$G$110&lt;&gt;"acoes")))*INDEX(Inputs!$K$5:$AJ$110,0,MATCH(V$2,Inputs!$K$4:$AJ$4,0)))+SUMPRODUCT((Inputs!$E$5:$E$110=$B23)*Inputs!$F$5:$F$110*(((Inputs!$G$5:$G$110="moeda")+(Inputs!$G$5:$G$110="acoes"))*Inputs!$B$1+((Inputs!$G$5:$G$110&lt;&gt;"moeda")*(Inputs!$G$5:$G$110&lt;&gt;"acoes")))*INDEX(Inputs!$K$5:$AJ$110,0,MATCH(V$2,Inputs!$K$4:$AJ$4,0)))))</f>
        <v>13599</v>
      </c>
      <c r="W23" s="268">
        <f>V23</f>
        <v>13599</v>
      </c>
      <c r="X23" s="267">
        <f>IF(ISNA(MATCH(X$2,Inputs!$K$4:$AJ$4,0)),NA(),IF(SUMPRODUCT((Inputs!$A$5:$A$110=$B23)*ISNUMBER(INDEX(Inputs!$K$5:$AJ$110,0,MATCH(X$2,Inputs!$K$4:$AJ$4,0))))+SUMPRODUCT((Inputs!$C$5:$C$110=$B23)*ISNUMBER(INDEX(Inputs!$K$5:$AJ$110,0,MATCH(X$2,Inputs!$K$4:$AJ$4,0))))+SUMPRODUCT((Inputs!$E$5:$E$110=$B23)*ISNUMBER(INDEX(Inputs!$K$5:$AJ$110,0,MATCH(X$2,Inputs!$K$4:$AJ$4,0))))=0,NA(),SUMPRODUCT((Inputs!$A$5:$A$110=$B23)*Inputs!$B$5:$B$110*(((Inputs!$G$5:$G$110="moeda")+(Inputs!$G$5:$G$110="acoes"))*Inputs!$B$1+((Inputs!$G$5:$G$110&lt;&gt;"moeda")*(Inputs!$G$5:$G$110&lt;&gt;"acoes")))*INDEX(Inputs!$K$5:$AJ$110,0,MATCH(X$2,Inputs!$K$4:$AJ$4,0)))+SUMPRODUCT((Inputs!$C$5:$C$110=$B23)*Inputs!$D$5:$D$110*(((Inputs!$G$5:$G$110="moeda")+(Inputs!$G$5:$G$110="acoes"))*Inputs!$B$1+((Inputs!$G$5:$G$110&lt;&gt;"moeda")*(Inputs!$G$5:$G$110&lt;&gt;"acoes")))*INDEX(Inputs!$K$5:$AJ$110,0,MATCH(X$2,Inputs!$K$4:$AJ$4,0)))+SUMPRODUCT((Inputs!$E$5:$E$110=$B23)*Inputs!$F$5:$F$110*(((Inputs!$G$5:$G$110="moeda")+(Inputs!$G$5:$G$110="acoes"))*Inputs!$B$1+((Inputs!$G$5:$G$110&lt;&gt;"moeda")*(Inputs!$G$5:$G$110&lt;&gt;"acoes")))*INDEX(Inputs!$K$5:$AJ$110,0,MATCH(X$2,Inputs!$K$4:$AJ$4,0)))))</f>
        <v>13567</v>
      </c>
      <c r="Y23" s="267">
        <f>IF(ISNA(MATCH(Y$2,Inputs!$K$4:$AJ$4,0)),NA(),IF(SUMPRODUCT((Inputs!$A$5:$A$110=$B23)*ISNUMBER(INDEX(Inputs!$K$5:$AJ$110,0,MATCH(Y$2,Inputs!$K$4:$AJ$4,0))))+SUMPRODUCT((Inputs!$C$5:$C$110=$B23)*ISNUMBER(INDEX(Inputs!$K$5:$AJ$110,0,MATCH(Y$2,Inputs!$K$4:$AJ$4,0))))+SUMPRODUCT((Inputs!$E$5:$E$110=$B23)*ISNUMBER(INDEX(Inputs!$K$5:$AJ$110,0,MATCH(Y$2,Inputs!$K$4:$AJ$4,0))))=0,NA(),SUMPRODUCT((Inputs!$A$5:$A$110=$B23)*Inputs!$B$5:$B$110*(((Inputs!$G$5:$G$110="moeda")+(Inputs!$G$5:$G$110="acoes"))*Inputs!$B$1+((Inputs!$G$5:$G$110&lt;&gt;"moeda")*(Inputs!$G$5:$G$110&lt;&gt;"acoes")))*INDEX(Inputs!$K$5:$AJ$110,0,MATCH(Y$2,Inputs!$K$4:$AJ$4,0)))+SUMPRODUCT((Inputs!$C$5:$C$110=$B23)*Inputs!$D$5:$D$110*(((Inputs!$G$5:$G$110="moeda")+(Inputs!$G$5:$G$110="acoes"))*Inputs!$B$1+((Inputs!$G$5:$G$110&lt;&gt;"moeda")*(Inputs!$G$5:$G$110&lt;&gt;"acoes")))*INDEX(Inputs!$K$5:$AJ$110,0,MATCH(Y$2,Inputs!$K$4:$AJ$4,0)))+SUMPRODUCT((Inputs!$E$5:$E$110=$B23)*Inputs!$F$5:$F$110*(((Inputs!$G$5:$G$110="moeda")+(Inputs!$G$5:$G$110="acoes"))*Inputs!$B$1+((Inputs!$G$5:$G$110&lt;&gt;"moeda")*(Inputs!$G$5:$G$110&lt;&gt;"acoes")))*INDEX(Inputs!$K$5:$AJ$110,0,MATCH(Y$2,Inputs!$K$4:$AJ$4,0)))))</f>
        <v>13953</v>
      </c>
      <c r="Z23" s="267">
        <f>IF(ISNA(MATCH(Z$2,Inputs!$K$4:$AJ$4,0)),NA(),IF(SUMPRODUCT((Inputs!$A$5:$A$110=$B23)*ISNUMBER(INDEX(Inputs!$K$5:$AJ$110,0,MATCH(Z$2,Inputs!$K$4:$AJ$4,0))))+SUMPRODUCT((Inputs!$C$5:$C$110=$B23)*ISNUMBER(INDEX(Inputs!$K$5:$AJ$110,0,MATCH(Z$2,Inputs!$K$4:$AJ$4,0))))+SUMPRODUCT((Inputs!$E$5:$E$110=$B23)*ISNUMBER(INDEX(Inputs!$K$5:$AJ$110,0,MATCH(Z$2,Inputs!$K$4:$AJ$4,0))))=0,NA(),SUMPRODUCT((Inputs!$A$5:$A$110=$B23)*Inputs!$B$5:$B$110*(((Inputs!$G$5:$G$110="moeda")+(Inputs!$G$5:$G$110="acoes"))*Inputs!$B$1+((Inputs!$G$5:$G$110&lt;&gt;"moeda")*(Inputs!$G$5:$G$110&lt;&gt;"acoes")))*INDEX(Inputs!$K$5:$AJ$110,0,MATCH(Z$2,Inputs!$K$4:$AJ$4,0)))+SUMPRODUCT((Inputs!$C$5:$C$110=$B23)*Inputs!$D$5:$D$110*(((Inputs!$G$5:$G$110="moeda")+(Inputs!$G$5:$G$110="acoes"))*Inputs!$B$1+((Inputs!$G$5:$G$110&lt;&gt;"moeda")*(Inputs!$G$5:$G$110&lt;&gt;"acoes")))*INDEX(Inputs!$K$5:$AJ$110,0,MATCH(Z$2,Inputs!$K$4:$AJ$4,0)))+SUMPRODUCT((Inputs!$E$5:$E$110=$B23)*Inputs!$F$5:$F$110*(((Inputs!$G$5:$G$110="moeda")+(Inputs!$G$5:$G$110="acoes"))*Inputs!$B$1+((Inputs!$G$5:$G$110&lt;&gt;"moeda")*(Inputs!$G$5:$G$110&lt;&gt;"acoes")))*INDEX(Inputs!$K$5:$AJ$110,0,MATCH(Z$2,Inputs!$K$4:$AJ$4,0)))))</f>
        <v>14501</v>
      </c>
      <c r="AA23" s="267">
        <f>IF(ISNA(MATCH(AA$2,Inputs!$K$4:$AJ$4,0)),NA(),IF(SUMPRODUCT((Inputs!$A$5:$A$110=$B23)*ISNUMBER(INDEX(Inputs!$K$5:$AJ$110,0,MATCH(AA$2,Inputs!$K$4:$AJ$4,0))))+SUMPRODUCT((Inputs!$C$5:$C$110=$B23)*ISNUMBER(INDEX(Inputs!$K$5:$AJ$110,0,MATCH(AA$2,Inputs!$K$4:$AJ$4,0))))+SUMPRODUCT((Inputs!$E$5:$E$110=$B23)*ISNUMBER(INDEX(Inputs!$K$5:$AJ$110,0,MATCH(AA$2,Inputs!$K$4:$AJ$4,0))))=0,NA(),SUMPRODUCT((Inputs!$A$5:$A$110=$B23)*Inputs!$B$5:$B$110*(((Inputs!$G$5:$G$110="moeda")+(Inputs!$G$5:$G$110="acoes"))*Inputs!$B$1+((Inputs!$G$5:$G$110&lt;&gt;"moeda")*(Inputs!$G$5:$G$110&lt;&gt;"acoes")))*INDEX(Inputs!$K$5:$AJ$110,0,MATCH(AA$2,Inputs!$K$4:$AJ$4,0)))+SUMPRODUCT((Inputs!$C$5:$C$110=$B23)*Inputs!$D$5:$D$110*(((Inputs!$G$5:$G$110="moeda")+(Inputs!$G$5:$G$110="acoes"))*Inputs!$B$1+((Inputs!$G$5:$G$110&lt;&gt;"moeda")*(Inputs!$G$5:$G$110&lt;&gt;"acoes")))*INDEX(Inputs!$K$5:$AJ$110,0,MATCH(AA$2,Inputs!$K$4:$AJ$4,0)))+SUMPRODUCT((Inputs!$E$5:$E$110=$B23)*Inputs!$F$5:$F$110*(((Inputs!$G$5:$G$110="moeda")+(Inputs!$G$5:$G$110="acoes"))*Inputs!$B$1+((Inputs!$G$5:$G$110&lt;&gt;"moeda")*(Inputs!$G$5:$G$110&lt;&gt;"acoes")))*INDEX(Inputs!$K$5:$AJ$110,0,MATCH(AA$2,Inputs!$K$4:$AJ$4,0)))))</f>
        <v>14750</v>
      </c>
      <c r="AB23" s="268">
        <f>AA23</f>
        <v>14750</v>
      </c>
      <c r="AC23" s="267">
        <f>IF(ISNA(MATCH(AC$2,Inputs!$K$4:$AJ$4,0)),NA(),IF(SUMPRODUCT((Inputs!$A$5:$A$110=$B23)*ISNUMBER(INDEX(Inputs!$K$5:$AJ$110,0,MATCH(AC$2,Inputs!$K$4:$AJ$4,0))))+SUMPRODUCT((Inputs!$C$5:$C$110=$B23)*ISNUMBER(INDEX(Inputs!$K$5:$AJ$110,0,MATCH(AC$2,Inputs!$K$4:$AJ$4,0))))+SUMPRODUCT((Inputs!$E$5:$E$110=$B23)*ISNUMBER(INDEX(Inputs!$K$5:$AJ$110,0,MATCH(AC$2,Inputs!$K$4:$AJ$4,0))))=0,NA(),SUMPRODUCT((Inputs!$A$5:$A$110=$B23)*Inputs!$B$5:$B$110*(((Inputs!$G$5:$G$110="moeda")+(Inputs!$G$5:$G$110="acoes"))*Inputs!$B$1+((Inputs!$G$5:$G$110&lt;&gt;"moeda")*(Inputs!$G$5:$G$110&lt;&gt;"acoes")))*INDEX(Inputs!$K$5:$AJ$110,0,MATCH(AC$2,Inputs!$K$4:$AJ$4,0)))+SUMPRODUCT((Inputs!$C$5:$C$110=$B23)*Inputs!$D$5:$D$110*(((Inputs!$G$5:$G$110="moeda")+(Inputs!$G$5:$G$110="acoes"))*Inputs!$B$1+((Inputs!$G$5:$G$110&lt;&gt;"moeda")*(Inputs!$G$5:$G$110&lt;&gt;"acoes")))*INDEX(Inputs!$K$5:$AJ$110,0,MATCH(AC$2,Inputs!$K$4:$AJ$4,0)))+SUMPRODUCT((Inputs!$E$5:$E$110=$B23)*Inputs!$F$5:$F$110*(((Inputs!$G$5:$G$110="moeda")+(Inputs!$G$5:$G$110="acoes"))*Inputs!$B$1+((Inputs!$G$5:$G$110&lt;&gt;"moeda")*(Inputs!$G$5:$G$110&lt;&gt;"acoes")))*INDEX(Inputs!$K$5:$AJ$110,0,MATCH(AC$2,Inputs!$K$4:$AJ$4,0)))))</f>
        <v>15220</v>
      </c>
      <c r="AD23" s="267">
        <f>IF(ISNA(MATCH(AD$2,Inputs!$K$4:$AJ$4,0)),NA(),IF(SUMPRODUCT((Inputs!$A$5:$A$110=$B23)*ISNUMBER(INDEX(Inputs!$K$5:$AJ$110,0,MATCH(AD$2,Inputs!$K$4:$AJ$4,0))))+SUMPRODUCT((Inputs!$C$5:$C$110=$B23)*ISNUMBER(INDEX(Inputs!$K$5:$AJ$110,0,MATCH(AD$2,Inputs!$K$4:$AJ$4,0))))+SUMPRODUCT((Inputs!$E$5:$E$110=$B23)*ISNUMBER(INDEX(Inputs!$K$5:$AJ$110,0,MATCH(AD$2,Inputs!$K$4:$AJ$4,0))))=0,NA(),SUMPRODUCT((Inputs!$A$5:$A$110=$B23)*Inputs!$B$5:$B$110*(((Inputs!$G$5:$G$110="moeda")+(Inputs!$G$5:$G$110="acoes"))*Inputs!$B$1+((Inputs!$G$5:$G$110&lt;&gt;"moeda")*(Inputs!$G$5:$G$110&lt;&gt;"acoes")))*INDEX(Inputs!$K$5:$AJ$110,0,MATCH(AD$2,Inputs!$K$4:$AJ$4,0)))+SUMPRODUCT((Inputs!$C$5:$C$110=$B23)*Inputs!$D$5:$D$110*(((Inputs!$G$5:$G$110="moeda")+(Inputs!$G$5:$G$110="acoes"))*Inputs!$B$1+((Inputs!$G$5:$G$110&lt;&gt;"moeda")*(Inputs!$G$5:$G$110&lt;&gt;"acoes")))*INDEX(Inputs!$K$5:$AJ$110,0,MATCH(AD$2,Inputs!$K$4:$AJ$4,0)))+SUMPRODUCT((Inputs!$E$5:$E$110=$B23)*Inputs!$F$5:$F$110*(((Inputs!$G$5:$G$110="moeda")+(Inputs!$G$5:$G$110="acoes"))*Inputs!$B$1+((Inputs!$G$5:$G$110&lt;&gt;"moeda")*(Inputs!$G$5:$G$110&lt;&gt;"acoes")))*INDEX(Inputs!$K$5:$AJ$110,0,MATCH(AD$2,Inputs!$K$4:$AJ$4,0)))))</f>
        <v>15650</v>
      </c>
      <c r="AE23" s="267" t="e">
        <f>IF(ISNA(MATCH(AE$2,Inputs!$K$4:$AJ$4,0)),NA(),IF(SUMPRODUCT((Inputs!$A$5:$A$110=$B23)*ISNUMBER(INDEX(Inputs!$K$5:$AJ$110,0,MATCH(AE$2,Inputs!$K$4:$AJ$4,0))))+SUMPRODUCT((Inputs!$C$5:$C$110=$B23)*ISNUMBER(INDEX(Inputs!$K$5:$AJ$110,0,MATCH(AE$2,Inputs!$K$4:$AJ$4,0))))+SUMPRODUCT((Inputs!$E$5:$E$110=$B23)*ISNUMBER(INDEX(Inputs!$K$5:$AJ$110,0,MATCH(AE$2,Inputs!$K$4:$AJ$4,0))))=0,NA(),SUMPRODUCT((Inputs!$A$5:$A$110=$B23)*Inputs!$B$5:$B$110*(((Inputs!$G$5:$G$110="moeda")+(Inputs!$G$5:$G$110="acoes"))*Inputs!$B$1+((Inputs!$G$5:$G$110&lt;&gt;"moeda")*(Inputs!$G$5:$G$110&lt;&gt;"acoes")))*INDEX(Inputs!$K$5:$AJ$110,0,MATCH(AE$2,Inputs!$K$4:$AJ$4,0)))+SUMPRODUCT((Inputs!$C$5:$C$110=$B23)*Inputs!$D$5:$D$110*(((Inputs!$G$5:$G$110="moeda")+(Inputs!$G$5:$G$110="acoes"))*Inputs!$B$1+((Inputs!$G$5:$G$110&lt;&gt;"moeda")*(Inputs!$G$5:$G$110&lt;&gt;"acoes")))*INDEX(Inputs!$K$5:$AJ$110,0,MATCH(AE$2,Inputs!$K$4:$AJ$4,0)))+SUMPRODUCT((Inputs!$E$5:$E$110=$B23)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3" s="267" t="e">
        <f>IF(ISNA(MATCH(AF$2,Inputs!$K$4:$AJ$4,0)),NA(),IF(SUMPRODUCT((Inputs!$A$5:$A$110=$B23)*ISNUMBER(INDEX(Inputs!$K$5:$AJ$110,0,MATCH(AF$2,Inputs!$K$4:$AJ$4,0))))+SUMPRODUCT((Inputs!$C$5:$C$110=$B23)*ISNUMBER(INDEX(Inputs!$K$5:$AJ$110,0,MATCH(AF$2,Inputs!$K$4:$AJ$4,0))))+SUMPRODUCT((Inputs!$E$5:$E$110=$B23)*ISNUMBER(INDEX(Inputs!$K$5:$AJ$110,0,MATCH(AF$2,Inputs!$K$4:$AJ$4,0))))=0,NA(),SUMPRODUCT((Inputs!$A$5:$A$110=$B23)*Inputs!$B$5:$B$110*(((Inputs!$G$5:$G$110="moeda")+(Inputs!$G$5:$G$110="acoes"))*Inputs!$B$1+((Inputs!$G$5:$G$110&lt;&gt;"moeda")*(Inputs!$G$5:$G$110&lt;&gt;"acoes")))*INDEX(Inputs!$K$5:$AJ$110,0,MATCH(AF$2,Inputs!$K$4:$AJ$4,0)))+SUMPRODUCT((Inputs!$C$5:$C$110=$B23)*Inputs!$D$5:$D$110*(((Inputs!$G$5:$G$110="moeda")+(Inputs!$G$5:$G$110="acoes"))*Inputs!$B$1+((Inputs!$G$5:$G$110&lt;&gt;"moeda")*(Inputs!$G$5:$G$110&lt;&gt;"acoes")))*INDEX(Inputs!$K$5:$AJ$110,0,MATCH(AF$2,Inputs!$K$4:$AJ$4,0)))+SUMPRODUCT((Inputs!$E$5:$E$110=$B23)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3" s="268" t="e">
        <f>AF23</f>
        <v>#N/A</v>
      </c>
      <c r="AH23" s="267">
        <f>IF(ISNA(MATCH(AH$2,Inputs!$K$4:$AJ$4,0)),NA(),IF(SUMPRODUCT((Inputs!$A$5:$A$110=$B23)*ISNUMBER(INDEX(Inputs!$K$5:$AJ$110,0,MATCH(AH$2,Inputs!$K$4:$AJ$4,0))))+SUMPRODUCT((Inputs!$C$5:$C$110=$B23)*ISNUMBER(INDEX(Inputs!$K$5:$AJ$110,0,MATCH(AH$2,Inputs!$K$4:$AJ$4,0))))+SUMPRODUCT((Inputs!$E$5:$E$110=$B23)*ISNUMBER(INDEX(Inputs!$K$5:$AJ$110,0,MATCH(AH$2,Inputs!$K$4:$AJ$4,0))))=0,NA(),SUMPRODUCT((Inputs!$A$5:$A$110=$B23)*Inputs!$B$5:$B$110*(((Inputs!$G$5:$G$110="moeda")+(Inputs!$G$5:$G$110="acoes"))*Inputs!$B$1+((Inputs!$G$5:$G$110&lt;&gt;"moeda")*(Inputs!$G$5:$G$110&lt;&gt;"acoes")))*INDEX(Inputs!$K$5:$AJ$110,0,MATCH(AH$2,Inputs!$K$4:$AJ$4,0)))+SUMPRODUCT((Inputs!$C$5:$C$110=$B23)*Inputs!$D$5:$D$110*(((Inputs!$G$5:$G$110="moeda")+(Inputs!$G$5:$G$110="acoes"))*Inputs!$B$1+((Inputs!$G$5:$G$110&lt;&gt;"moeda")*(Inputs!$G$5:$G$110&lt;&gt;"acoes")))*INDEX(Inputs!$K$5:$AJ$110,0,MATCH(AH$2,Inputs!$K$4:$AJ$4,0)))+SUMPRODUCT((Inputs!$E$5:$E$110=$B23)*Inputs!$F$5:$F$110*(((Inputs!$G$5:$G$110="moeda")+(Inputs!$G$5:$G$110="acoes"))*Inputs!$B$1+((Inputs!$G$5:$G$110&lt;&gt;"moeda")*(Inputs!$G$5:$G$110&lt;&gt;"acoes")))*INDEX(Inputs!$K$5:$AJ$110,0,MATCH(AH$2,Inputs!$K$4:$AJ$4,0)))))</f>
        <v>16895</v>
      </c>
      <c r="AI23" s="267">
        <f>IF(ISNA(MATCH(AI$2,Inputs!$K$4:$AJ$4,0)),NA(),IF(SUMPRODUCT((Inputs!$A$5:$A$110=$B23)*ISNUMBER(INDEX(Inputs!$K$5:$AJ$110,0,MATCH(AI$2,Inputs!$K$4:$AJ$4,0))))+SUMPRODUCT((Inputs!$C$5:$C$110=$B23)*ISNUMBER(INDEX(Inputs!$K$5:$AJ$110,0,MATCH(AI$2,Inputs!$K$4:$AJ$4,0))))+SUMPRODUCT((Inputs!$E$5:$E$110=$B23)*ISNUMBER(INDEX(Inputs!$K$5:$AJ$110,0,MATCH(AI$2,Inputs!$K$4:$AJ$4,0))))=0,NA(),SUMPRODUCT((Inputs!$A$5:$A$110=$B23)*Inputs!$B$5:$B$110*(((Inputs!$G$5:$G$110="moeda")+(Inputs!$G$5:$G$110="acoes"))*Inputs!$B$1+((Inputs!$G$5:$G$110&lt;&gt;"moeda")*(Inputs!$G$5:$G$110&lt;&gt;"acoes")))*INDEX(Inputs!$K$5:$AJ$110,0,MATCH(AI$2,Inputs!$K$4:$AJ$4,0)))+SUMPRODUCT((Inputs!$C$5:$C$110=$B23)*Inputs!$D$5:$D$110*(((Inputs!$G$5:$G$110="moeda")+(Inputs!$G$5:$G$110="acoes"))*Inputs!$B$1+((Inputs!$G$5:$G$110&lt;&gt;"moeda")*(Inputs!$G$5:$G$110&lt;&gt;"acoes")))*INDEX(Inputs!$K$5:$AJ$110,0,MATCH(AI$2,Inputs!$K$4:$AJ$4,0)))+SUMPRODUCT((Inputs!$E$5:$E$110=$B23)*Inputs!$F$5:$F$110*(((Inputs!$G$5:$G$110="moeda")+(Inputs!$G$5:$G$110="acoes"))*Inputs!$B$1+((Inputs!$G$5:$G$110&lt;&gt;"moeda")*(Inputs!$G$5:$G$110&lt;&gt;"acoes")))*INDEX(Inputs!$K$5:$AJ$110,0,MATCH(AI$2,Inputs!$K$4:$AJ$4,0)))))</f>
        <v>16869</v>
      </c>
      <c r="AJ23" s="267">
        <f>IF(ISNA(MATCH(AJ$2,Inputs!$K$4:$AJ$4,0)),NA(),IF(SUMPRODUCT((Inputs!$A$5:$A$110=$B23)*ISNUMBER(INDEX(Inputs!$K$5:$AJ$110,0,MATCH(AJ$2,Inputs!$K$4:$AJ$4,0))))+SUMPRODUCT((Inputs!$C$5:$C$110=$B23)*ISNUMBER(INDEX(Inputs!$K$5:$AJ$110,0,MATCH(AJ$2,Inputs!$K$4:$AJ$4,0))))+SUMPRODUCT((Inputs!$E$5:$E$110=$B23)*ISNUMBER(INDEX(Inputs!$K$5:$AJ$110,0,MATCH(AJ$2,Inputs!$K$4:$AJ$4,0))))=0,NA(),SUMPRODUCT((Inputs!$A$5:$A$110=$B23)*Inputs!$B$5:$B$110*(((Inputs!$G$5:$G$110="moeda")+(Inputs!$G$5:$G$110="acoes"))*Inputs!$B$1+((Inputs!$G$5:$G$110&lt;&gt;"moeda")*(Inputs!$G$5:$G$110&lt;&gt;"acoes")))*INDEX(Inputs!$K$5:$AJ$110,0,MATCH(AJ$2,Inputs!$K$4:$AJ$4,0)))+SUMPRODUCT((Inputs!$C$5:$C$110=$B23)*Inputs!$D$5:$D$110*(((Inputs!$G$5:$G$110="moeda")+(Inputs!$G$5:$G$110="acoes"))*Inputs!$B$1+((Inputs!$G$5:$G$110&lt;&gt;"moeda")*(Inputs!$G$5:$G$110&lt;&gt;"acoes")))*INDEX(Inputs!$K$5:$AJ$110,0,MATCH(AJ$2,Inputs!$K$4:$AJ$4,0)))+SUMPRODUCT((Inputs!$E$5:$E$110=$B23)*Inputs!$F$5:$F$110*(((Inputs!$G$5:$G$110="moeda")+(Inputs!$G$5:$G$110="acoes"))*Inputs!$B$1+((Inputs!$G$5:$G$110&lt;&gt;"moeda")*(Inputs!$G$5:$G$110&lt;&gt;"acoes")))*INDEX(Inputs!$K$5:$AJ$110,0,MATCH(AJ$2,Inputs!$K$4:$AJ$4,0)))))</f>
        <v>17128</v>
      </c>
      <c r="AK23" s="267">
        <f>IF(ISNA(MATCH(AK$2,Inputs!$K$4:$AJ$4,0)),NA(),IF(SUMPRODUCT((Inputs!$A$5:$A$110=$B23)*ISNUMBER(INDEX(Inputs!$K$5:$AJ$110,0,MATCH(AK$2,Inputs!$K$4:$AJ$4,0))))+SUMPRODUCT((Inputs!$C$5:$C$110=$B23)*ISNUMBER(INDEX(Inputs!$K$5:$AJ$110,0,MATCH(AK$2,Inputs!$K$4:$AJ$4,0))))+SUMPRODUCT((Inputs!$E$5:$E$110=$B23)*ISNUMBER(INDEX(Inputs!$K$5:$AJ$110,0,MATCH(AK$2,Inputs!$K$4:$AJ$4,0))))=0,NA(),SUMPRODUCT((Inputs!$A$5:$A$110=$B23)*Inputs!$B$5:$B$110*(((Inputs!$G$5:$G$110="moeda")+(Inputs!$G$5:$G$110="acoes"))*Inputs!$B$1+((Inputs!$G$5:$G$110&lt;&gt;"moeda")*(Inputs!$G$5:$G$110&lt;&gt;"acoes")))*INDEX(Inputs!$K$5:$AJ$110,0,MATCH(AK$2,Inputs!$K$4:$AJ$4,0)))+SUMPRODUCT((Inputs!$C$5:$C$110=$B23)*Inputs!$D$5:$D$110*(((Inputs!$G$5:$G$110="moeda")+(Inputs!$G$5:$G$110="acoes"))*Inputs!$B$1+((Inputs!$G$5:$G$110&lt;&gt;"moeda")*(Inputs!$G$5:$G$110&lt;&gt;"acoes")))*INDEX(Inputs!$K$5:$AJ$110,0,MATCH(AK$2,Inputs!$K$4:$AJ$4,0)))+SUMPRODUCT((Inputs!$E$5:$E$110=$B23)*Inputs!$F$5:$F$110*(((Inputs!$G$5:$G$110="moeda")+(Inputs!$G$5:$G$110="acoes"))*Inputs!$B$1+((Inputs!$G$5:$G$110&lt;&gt;"moeda")*(Inputs!$G$5:$G$110&lt;&gt;"acoes")))*INDEX(Inputs!$K$5:$AJ$110,0,MATCH(AK$2,Inputs!$K$4:$AJ$4,0)))))</f>
        <v>13642</v>
      </c>
      <c r="AL23" s="268">
        <f>AK23</f>
        <v>13642</v>
      </c>
    </row>
    <row r="24" ht="12.75" customHeight="1" s="255">
      <c r="B24" s="265" t="n">
        <v>20</v>
      </c>
      <c r="C24" s="270" t="inlineStr">
        <is>
          <t>Goodwill</t>
        </is>
      </c>
      <c r="D24" s="267">
        <f>IF(ISNA(MATCH(D$2,Inputs!$K$4:$AJ$4,0)),NA(),IF(SUMPRODUCT((Inputs!$A$5:$A$110=$B24)*ISNUMBER(INDEX(Inputs!$K$5:$AJ$110,0,MATCH(D$2,Inputs!$K$4:$AJ$4,0))))+SUMPRODUCT((Inputs!$C$5:$C$110=$B24)*ISNUMBER(INDEX(Inputs!$K$5:$AJ$110,0,MATCH(D$2,Inputs!$K$4:$AJ$4,0))))+SUMPRODUCT((Inputs!$E$5:$E$110=$B24)*ISNUMBER(INDEX(Inputs!$K$5:$AJ$110,0,MATCH(D$2,Inputs!$K$4:$AJ$4,0))))=0,NA(),SUMPRODUCT((Inputs!$A$5:$A$110=$B24)*Inputs!$B$5:$B$110*(((Inputs!$G$5:$G$110="moeda")+(Inputs!$G$5:$G$110="acoes"))*Inputs!$B$1+((Inputs!$G$5:$G$110&lt;&gt;"moeda")*(Inputs!$G$5:$G$110&lt;&gt;"acoes")))*INDEX(Inputs!$K$5:$AJ$110,0,MATCH(D$2,Inputs!$K$4:$AJ$4,0)))+SUMPRODUCT((Inputs!$C$5:$C$110=$B24)*Inputs!$D$5:$D$110*(((Inputs!$G$5:$G$110="moeda")+(Inputs!$G$5:$G$110="acoes"))*Inputs!$B$1+((Inputs!$G$5:$G$110&lt;&gt;"moeda")*(Inputs!$G$5:$G$110&lt;&gt;"acoes")))*INDEX(Inputs!$K$5:$AJ$110,0,MATCH(D$2,Inputs!$K$4:$AJ$4,0)))+SUMPRODUCT((Inputs!$E$5:$E$110=$B24)*Inputs!$F$5:$F$110*(((Inputs!$G$5:$G$110="moeda")+(Inputs!$G$5:$G$110="acoes"))*Inputs!$B$1+((Inputs!$G$5:$G$110&lt;&gt;"moeda")*(Inputs!$G$5:$G$110&lt;&gt;"acoes")))*INDEX(Inputs!$K$5:$AJ$110,0,MATCH(D$2,Inputs!$K$4:$AJ$4,0)))))</f>
        <v>28872</v>
      </c>
      <c r="E24" s="267">
        <f>IF(ISNA(MATCH(E$2,Inputs!$K$4:$AJ$4,0)),NA(),IF(SUMPRODUCT((Inputs!$A$5:$A$110=$B24)*ISNUMBER(INDEX(Inputs!$K$5:$AJ$110,0,MATCH(E$2,Inputs!$K$4:$AJ$4,0))))+SUMPRODUCT((Inputs!$C$5:$C$110=$B24)*ISNUMBER(INDEX(Inputs!$K$5:$AJ$110,0,MATCH(E$2,Inputs!$K$4:$AJ$4,0))))+SUMPRODUCT((Inputs!$E$5:$E$110=$B24)*ISNUMBER(INDEX(Inputs!$K$5:$AJ$110,0,MATCH(E$2,Inputs!$K$4:$AJ$4,0))))=0,NA(),SUMPRODUCT((Inputs!$A$5:$A$110=$B24)*Inputs!$B$5:$B$110*(((Inputs!$G$5:$G$110="moeda")+(Inputs!$G$5:$G$110="acoes"))*Inputs!$B$1+((Inputs!$G$5:$G$110&lt;&gt;"moeda")*(Inputs!$G$5:$G$110&lt;&gt;"acoes")))*INDEX(Inputs!$K$5:$AJ$110,0,MATCH(E$2,Inputs!$K$4:$AJ$4,0)))+SUMPRODUCT((Inputs!$C$5:$C$110=$B24)*Inputs!$D$5:$D$110*(((Inputs!$G$5:$G$110="moeda")+(Inputs!$G$5:$G$110="acoes"))*Inputs!$B$1+((Inputs!$G$5:$G$110&lt;&gt;"moeda")*(Inputs!$G$5:$G$110&lt;&gt;"acoes")))*INDEX(Inputs!$K$5:$AJ$110,0,MATCH(E$2,Inputs!$K$4:$AJ$4,0)))+SUMPRODUCT((Inputs!$E$5:$E$110=$B24)*Inputs!$F$5:$F$110*(((Inputs!$G$5:$G$110="moeda")+(Inputs!$G$5:$G$110="acoes"))*Inputs!$B$1+((Inputs!$G$5:$G$110&lt;&gt;"moeda")*(Inputs!$G$5:$G$110&lt;&gt;"acoes")))*INDEX(Inputs!$K$5:$AJ$110,0,MATCH(E$2,Inputs!$K$4:$AJ$4,0)))))</f>
        <v>29159</v>
      </c>
      <c r="F24" s="267">
        <f>IF(ISNA(MATCH(F$2,Inputs!$K$4:$AJ$4,0)),NA(),IF(SUMPRODUCT((Inputs!$A$5:$A$110=$B24)*ISNUMBER(INDEX(Inputs!$K$5:$AJ$110,0,MATCH(F$2,Inputs!$K$4:$AJ$4,0))))+SUMPRODUCT((Inputs!$C$5:$C$110=$B24)*ISNUMBER(INDEX(Inputs!$K$5:$AJ$110,0,MATCH(F$2,Inputs!$K$4:$AJ$4,0))))+SUMPRODUCT((Inputs!$E$5:$E$110=$B24)*ISNUMBER(INDEX(Inputs!$K$5:$AJ$110,0,MATCH(F$2,Inputs!$K$4:$AJ$4,0))))=0,NA(),SUMPRODUCT((Inputs!$A$5:$A$110=$B24)*Inputs!$B$5:$B$110*(((Inputs!$G$5:$G$110="moeda")+(Inputs!$G$5:$G$110="acoes"))*Inputs!$B$1+((Inputs!$G$5:$G$110&lt;&gt;"moeda")*(Inputs!$G$5:$G$110&lt;&gt;"acoes")))*INDEX(Inputs!$K$5:$AJ$110,0,MATCH(F$2,Inputs!$K$4:$AJ$4,0)))+SUMPRODUCT((Inputs!$C$5:$C$110=$B24)*Inputs!$D$5:$D$110*(((Inputs!$G$5:$G$110="moeda")+(Inputs!$G$5:$G$110="acoes"))*Inputs!$B$1+((Inputs!$G$5:$G$110&lt;&gt;"moeda")*(Inputs!$G$5:$G$110&lt;&gt;"acoes")))*INDEX(Inputs!$K$5:$AJ$110,0,MATCH(F$2,Inputs!$K$4:$AJ$4,0)))+SUMPRODUCT((Inputs!$E$5:$E$110=$B24)*Inputs!$F$5:$F$110*(((Inputs!$G$5:$G$110="moeda")+(Inputs!$G$5:$G$110="acoes"))*Inputs!$B$1+((Inputs!$G$5:$G$110&lt;&gt;"moeda")*(Inputs!$G$5:$G$110&lt;&gt;"acoes")))*INDEX(Inputs!$K$5:$AJ$110,0,MATCH(F$2,Inputs!$K$4:$AJ$4,0)))))</f>
        <v>28923</v>
      </c>
      <c r="G24" s="267">
        <f>IF(ISNA(MATCH(G$2,Inputs!$K$4:$AJ$4,0)),NA(),IF(SUMPRODUCT((Inputs!$A$5:$A$110=$B24)*ISNUMBER(INDEX(Inputs!$K$5:$AJ$110,0,MATCH(G$2,Inputs!$K$4:$AJ$4,0))))+SUMPRODUCT((Inputs!$C$5:$C$110=$B24)*ISNUMBER(INDEX(Inputs!$K$5:$AJ$110,0,MATCH(G$2,Inputs!$K$4:$AJ$4,0))))+SUMPRODUCT((Inputs!$E$5:$E$110=$B24)*ISNUMBER(INDEX(Inputs!$K$5:$AJ$110,0,MATCH(G$2,Inputs!$K$4:$AJ$4,0))))=0,NA(),SUMPRODUCT((Inputs!$A$5:$A$110=$B24)*Inputs!$B$5:$B$110*(((Inputs!$G$5:$G$110="moeda")+(Inputs!$G$5:$G$110="acoes"))*Inputs!$B$1+((Inputs!$G$5:$G$110&lt;&gt;"moeda")*(Inputs!$G$5:$G$110&lt;&gt;"acoes")))*INDEX(Inputs!$K$5:$AJ$110,0,MATCH(G$2,Inputs!$K$4:$AJ$4,0)))+SUMPRODUCT((Inputs!$C$5:$C$110=$B24)*Inputs!$D$5:$D$110*(((Inputs!$G$5:$G$110="moeda")+(Inputs!$G$5:$G$110="acoes"))*Inputs!$B$1+((Inputs!$G$5:$G$110&lt;&gt;"moeda")*(Inputs!$G$5:$G$110&lt;&gt;"acoes")))*INDEX(Inputs!$K$5:$AJ$110,0,MATCH(G$2,Inputs!$K$4:$AJ$4,0)))+SUMPRODUCT((Inputs!$E$5:$E$110=$B24)*Inputs!$F$5:$F$110*(((Inputs!$G$5:$G$110="moeda")+(Inputs!$G$5:$G$110="acoes"))*Inputs!$B$1+((Inputs!$G$5:$G$110&lt;&gt;"moeda")*(Inputs!$G$5:$G$110&lt;&gt;"acoes")))*INDEX(Inputs!$K$5:$AJ$110,0,MATCH(G$2,Inputs!$K$4:$AJ$4,0)))))</f>
        <v>29014</v>
      </c>
      <c r="H24" s="268">
        <f>G24</f>
        <v>29014</v>
      </c>
      <c r="I24" s="267">
        <f>IF(ISNA(MATCH(I$2,Inputs!$K$4:$AJ$4,0)),NA(),IF(SUMPRODUCT((Inputs!$A$5:$A$110=$B24)*ISNUMBER(INDEX(Inputs!$K$5:$AJ$110,0,MATCH(I$2,Inputs!$K$4:$AJ$4,0))))+SUMPRODUCT((Inputs!$C$5:$C$110=$B24)*ISNUMBER(INDEX(Inputs!$K$5:$AJ$110,0,MATCH(I$2,Inputs!$K$4:$AJ$4,0))))+SUMPRODUCT((Inputs!$E$5:$E$110=$B24)*ISNUMBER(INDEX(Inputs!$K$5:$AJ$110,0,MATCH(I$2,Inputs!$K$4:$AJ$4,0))))=0,NA(),SUMPRODUCT((Inputs!$A$5:$A$110=$B24)*Inputs!$B$5:$B$110*(((Inputs!$G$5:$G$110="moeda")+(Inputs!$G$5:$G$110="acoes"))*Inputs!$B$1+((Inputs!$G$5:$G$110&lt;&gt;"moeda")*(Inputs!$G$5:$G$110&lt;&gt;"acoes")))*INDEX(Inputs!$K$5:$AJ$110,0,MATCH(I$2,Inputs!$K$4:$AJ$4,0)))+SUMPRODUCT((Inputs!$C$5:$C$110=$B24)*Inputs!$D$5:$D$110*(((Inputs!$G$5:$G$110="moeda")+(Inputs!$G$5:$G$110="acoes"))*Inputs!$B$1+((Inputs!$G$5:$G$110&lt;&gt;"moeda")*(Inputs!$G$5:$G$110&lt;&gt;"acoes")))*INDEX(Inputs!$K$5:$AJ$110,0,MATCH(I$2,Inputs!$K$4:$AJ$4,0)))+SUMPRODUCT((Inputs!$E$5:$E$110=$B24)*Inputs!$F$5:$F$110*(((Inputs!$G$5:$G$110="moeda")+(Inputs!$G$5:$G$110="acoes"))*Inputs!$B$1+((Inputs!$G$5:$G$110&lt;&gt;"moeda")*(Inputs!$G$5:$G$110&lt;&gt;"acoes")))*INDEX(Inputs!$K$5:$AJ$110,0,MATCH(I$2,Inputs!$K$4:$AJ$4,0)))))</f>
        <v>29438</v>
      </c>
      <c r="J24" s="267">
        <f>IF(ISNA(MATCH(J$2,Inputs!$K$4:$AJ$4,0)),NA(),IF(SUMPRODUCT((Inputs!$A$5:$A$110=$B24)*ISNUMBER(INDEX(Inputs!$K$5:$AJ$110,0,MATCH(J$2,Inputs!$K$4:$AJ$4,0))))+SUMPRODUCT((Inputs!$C$5:$C$110=$B24)*ISNUMBER(INDEX(Inputs!$K$5:$AJ$110,0,MATCH(J$2,Inputs!$K$4:$AJ$4,0))))+SUMPRODUCT((Inputs!$E$5:$E$110=$B24)*ISNUMBER(INDEX(Inputs!$K$5:$AJ$110,0,MATCH(J$2,Inputs!$K$4:$AJ$4,0))))=0,NA(),SUMPRODUCT((Inputs!$A$5:$A$110=$B24)*Inputs!$B$5:$B$110*(((Inputs!$G$5:$G$110="moeda")+(Inputs!$G$5:$G$110="acoes"))*Inputs!$B$1+((Inputs!$G$5:$G$110&lt;&gt;"moeda")*(Inputs!$G$5:$G$110&lt;&gt;"acoes")))*INDEX(Inputs!$K$5:$AJ$110,0,MATCH(J$2,Inputs!$K$4:$AJ$4,0)))+SUMPRODUCT((Inputs!$C$5:$C$110=$B24)*Inputs!$D$5:$D$110*(((Inputs!$G$5:$G$110="moeda")+(Inputs!$G$5:$G$110="acoes"))*Inputs!$B$1+((Inputs!$G$5:$G$110&lt;&gt;"moeda")*(Inputs!$G$5:$G$110&lt;&gt;"acoes")))*INDEX(Inputs!$K$5:$AJ$110,0,MATCH(J$2,Inputs!$K$4:$AJ$4,0)))+SUMPRODUCT((Inputs!$E$5:$E$110=$B24)*Inputs!$F$5:$F$110*(((Inputs!$G$5:$G$110="moeda")+(Inputs!$G$5:$G$110="acoes"))*Inputs!$B$1+((Inputs!$G$5:$G$110&lt;&gt;"moeda")*(Inputs!$G$5:$G$110&lt;&gt;"acoes")))*INDEX(Inputs!$K$5:$AJ$110,0,MATCH(J$2,Inputs!$K$4:$AJ$4,0)))))</f>
        <v>28664</v>
      </c>
      <c r="K24" s="267">
        <f>IF(ISNA(MATCH(K$2,Inputs!$K$4:$AJ$4,0)),NA(),IF(SUMPRODUCT((Inputs!$A$5:$A$110=$B24)*ISNUMBER(INDEX(Inputs!$K$5:$AJ$110,0,MATCH(K$2,Inputs!$K$4:$AJ$4,0))))+SUMPRODUCT((Inputs!$C$5:$C$110=$B24)*ISNUMBER(INDEX(Inputs!$K$5:$AJ$110,0,MATCH(K$2,Inputs!$K$4:$AJ$4,0))))+SUMPRODUCT((Inputs!$E$5:$E$110=$B24)*ISNUMBER(INDEX(Inputs!$K$5:$AJ$110,0,MATCH(K$2,Inputs!$K$4:$AJ$4,0))))=0,NA(),SUMPRODUCT((Inputs!$A$5:$A$110=$B24)*Inputs!$B$5:$B$110*(((Inputs!$G$5:$G$110="moeda")+(Inputs!$G$5:$G$110="acoes"))*Inputs!$B$1+((Inputs!$G$5:$G$110&lt;&gt;"moeda")*(Inputs!$G$5:$G$110&lt;&gt;"acoes")))*INDEX(Inputs!$K$5:$AJ$110,0,MATCH(K$2,Inputs!$K$4:$AJ$4,0)))+SUMPRODUCT((Inputs!$C$5:$C$110=$B24)*Inputs!$D$5:$D$110*(((Inputs!$G$5:$G$110="moeda")+(Inputs!$G$5:$G$110="acoes"))*Inputs!$B$1+((Inputs!$G$5:$G$110&lt;&gt;"moeda")*(Inputs!$G$5:$G$110&lt;&gt;"acoes")))*INDEX(Inputs!$K$5:$AJ$110,0,MATCH(K$2,Inputs!$K$4:$AJ$4,0)))+SUMPRODUCT((Inputs!$E$5:$E$110=$B24)*Inputs!$F$5:$F$110*(((Inputs!$G$5:$G$110="moeda")+(Inputs!$G$5:$G$110="acoes"))*Inputs!$B$1+((Inputs!$G$5:$G$110&lt;&gt;"moeda")*(Inputs!$G$5:$G$110&lt;&gt;"acoes")))*INDEX(Inputs!$K$5:$AJ$110,0,MATCH(K$2,Inputs!$K$4:$AJ$4,0)))))</f>
        <v>28137</v>
      </c>
      <c r="L24" s="267">
        <f>IF(ISNA(MATCH(L$2,Inputs!$K$4:$AJ$4,0)),NA(),IF(SUMPRODUCT((Inputs!$A$5:$A$110=$B24)*ISNUMBER(INDEX(Inputs!$K$5:$AJ$110,0,MATCH(L$2,Inputs!$K$4:$AJ$4,0))))+SUMPRODUCT((Inputs!$C$5:$C$110=$B24)*ISNUMBER(INDEX(Inputs!$K$5:$AJ$110,0,MATCH(L$2,Inputs!$K$4:$AJ$4,0))))+SUMPRODUCT((Inputs!$E$5:$E$110=$B24)*ISNUMBER(INDEX(Inputs!$K$5:$AJ$110,0,MATCH(L$2,Inputs!$K$4:$AJ$4,0))))=0,NA(),SUMPRODUCT((Inputs!$A$5:$A$110=$B24)*Inputs!$B$5:$B$110*(((Inputs!$G$5:$G$110="moeda")+(Inputs!$G$5:$G$110="acoes"))*Inputs!$B$1+((Inputs!$G$5:$G$110&lt;&gt;"moeda")*(Inputs!$G$5:$G$110&lt;&gt;"acoes")))*INDEX(Inputs!$K$5:$AJ$110,0,MATCH(L$2,Inputs!$K$4:$AJ$4,0)))+SUMPRODUCT((Inputs!$C$5:$C$110=$B24)*Inputs!$D$5:$D$110*(((Inputs!$G$5:$G$110="moeda")+(Inputs!$G$5:$G$110="acoes"))*Inputs!$B$1+((Inputs!$G$5:$G$110&lt;&gt;"moeda")*(Inputs!$G$5:$G$110&lt;&gt;"acoes")))*INDEX(Inputs!$K$5:$AJ$110,0,MATCH(L$2,Inputs!$K$4:$AJ$4,0)))+SUMPRODUCT((Inputs!$E$5:$E$110=$B24)*Inputs!$F$5:$F$110*(((Inputs!$G$5:$G$110="moeda")+(Inputs!$G$5:$G$110="acoes"))*Inputs!$B$1+((Inputs!$G$5:$G$110&lt;&gt;"moeda")*(Inputs!$G$5:$G$110&lt;&gt;"acoes")))*INDEX(Inputs!$K$5:$AJ$110,0,MATCH(L$2,Inputs!$K$4:$AJ$4,0)))))</f>
        <v>28174</v>
      </c>
      <c r="M24" s="268">
        <f>L24</f>
        <v>28174</v>
      </c>
      <c r="N24" s="267">
        <f>IF(ISNA(MATCH(N$2,Inputs!$K$4:$AJ$4,0)),NA(),IF(SUMPRODUCT((Inputs!$A$5:$A$110=$B24)*ISNUMBER(INDEX(Inputs!$K$5:$AJ$110,0,MATCH(N$2,Inputs!$K$4:$AJ$4,0))))+SUMPRODUCT((Inputs!$C$5:$C$110=$B24)*ISNUMBER(INDEX(Inputs!$K$5:$AJ$110,0,MATCH(N$2,Inputs!$K$4:$AJ$4,0))))+SUMPRODUCT((Inputs!$E$5:$E$110=$B24)*ISNUMBER(INDEX(Inputs!$K$5:$AJ$110,0,MATCH(N$2,Inputs!$K$4:$AJ$4,0))))=0,NA(),SUMPRODUCT((Inputs!$A$5:$A$110=$B24)*Inputs!$B$5:$B$110*(((Inputs!$G$5:$G$110="moeda")+(Inputs!$G$5:$G$110="acoes"))*Inputs!$B$1+((Inputs!$G$5:$G$110&lt;&gt;"moeda")*(Inputs!$G$5:$G$110&lt;&gt;"acoes")))*INDEX(Inputs!$K$5:$AJ$110,0,MATCH(N$2,Inputs!$K$4:$AJ$4,0)))+SUMPRODUCT((Inputs!$C$5:$C$110=$B24)*Inputs!$D$5:$D$110*(((Inputs!$G$5:$G$110="moeda")+(Inputs!$G$5:$G$110="acoes"))*Inputs!$B$1+((Inputs!$G$5:$G$110&lt;&gt;"moeda")*(Inputs!$G$5:$G$110&lt;&gt;"acoes")))*INDEX(Inputs!$K$5:$AJ$110,0,MATCH(N$2,Inputs!$K$4:$AJ$4,0)))+SUMPRODUCT((Inputs!$E$5:$E$110=$B24)*Inputs!$F$5:$F$110*(((Inputs!$G$5:$G$110="moeda")+(Inputs!$G$5:$G$110="acoes"))*Inputs!$B$1+((Inputs!$G$5:$G$110&lt;&gt;"moeda")*(Inputs!$G$5:$G$110&lt;&gt;"acoes")))*INDEX(Inputs!$K$5:$AJ$110,0,MATCH(N$2,Inputs!$K$4:$AJ$4,0)))))</f>
        <v>28306</v>
      </c>
      <c r="O24" s="267">
        <f>IF(ISNA(MATCH(O$2,Inputs!$K$4:$AJ$4,0)),NA(),IF(SUMPRODUCT((Inputs!$A$5:$A$110=$B24)*ISNUMBER(INDEX(Inputs!$K$5:$AJ$110,0,MATCH(O$2,Inputs!$K$4:$AJ$4,0))))+SUMPRODUCT((Inputs!$C$5:$C$110=$B24)*ISNUMBER(INDEX(Inputs!$K$5:$AJ$110,0,MATCH(O$2,Inputs!$K$4:$AJ$4,0))))+SUMPRODUCT((Inputs!$E$5:$E$110=$B24)*ISNUMBER(INDEX(Inputs!$K$5:$AJ$110,0,MATCH(O$2,Inputs!$K$4:$AJ$4,0))))=0,NA(),SUMPRODUCT((Inputs!$A$5:$A$110=$B24)*Inputs!$B$5:$B$110*(((Inputs!$G$5:$G$110="moeda")+(Inputs!$G$5:$G$110="acoes"))*Inputs!$B$1+((Inputs!$G$5:$G$110&lt;&gt;"moeda")*(Inputs!$G$5:$G$110&lt;&gt;"acoes")))*INDEX(Inputs!$K$5:$AJ$110,0,MATCH(O$2,Inputs!$K$4:$AJ$4,0)))+SUMPRODUCT((Inputs!$C$5:$C$110=$B24)*Inputs!$D$5:$D$110*(((Inputs!$G$5:$G$110="moeda")+(Inputs!$G$5:$G$110="acoes"))*Inputs!$B$1+((Inputs!$G$5:$G$110&lt;&gt;"moeda")*(Inputs!$G$5:$G$110&lt;&gt;"acoes")))*INDEX(Inputs!$K$5:$AJ$110,0,MATCH(O$2,Inputs!$K$4:$AJ$4,0)))+SUMPRODUCT((Inputs!$E$5:$E$110=$B24)*Inputs!$F$5:$F$110*(((Inputs!$G$5:$G$110="moeda")+(Inputs!$G$5:$G$110="acoes"))*Inputs!$B$1+((Inputs!$G$5:$G$110&lt;&gt;"moeda")*(Inputs!$G$5:$G$110&lt;&gt;"acoes")))*INDEX(Inputs!$K$5:$AJ$110,0,MATCH(O$2,Inputs!$K$4:$AJ$4,0)))))</f>
        <v>28268</v>
      </c>
      <c r="P24" s="267">
        <f>IF(ISNA(MATCH(P$2,Inputs!$K$4:$AJ$4,0)),NA(),IF(SUMPRODUCT((Inputs!$A$5:$A$110=$B24)*ISNUMBER(INDEX(Inputs!$K$5:$AJ$110,0,MATCH(P$2,Inputs!$K$4:$AJ$4,0))))+SUMPRODUCT((Inputs!$C$5:$C$110=$B24)*ISNUMBER(INDEX(Inputs!$K$5:$AJ$110,0,MATCH(P$2,Inputs!$K$4:$AJ$4,0))))+SUMPRODUCT((Inputs!$E$5:$E$110=$B24)*ISNUMBER(INDEX(Inputs!$K$5:$AJ$110,0,MATCH(P$2,Inputs!$K$4:$AJ$4,0))))=0,NA(),SUMPRODUCT((Inputs!$A$5:$A$110=$B24)*Inputs!$B$5:$B$110*(((Inputs!$G$5:$G$110="moeda")+(Inputs!$G$5:$G$110="acoes"))*Inputs!$B$1+((Inputs!$G$5:$G$110&lt;&gt;"moeda")*(Inputs!$G$5:$G$110&lt;&gt;"acoes")))*INDEX(Inputs!$K$5:$AJ$110,0,MATCH(P$2,Inputs!$K$4:$AJ$4,0)))+SUMPRODUCT((Inputs!$C$5:$C$110=$B24)*Inputs!$D$5:$D$110*(((Inputs!$G$5:$G$110="moeda")+(Inputs!$G$5:$G$110="acoes"))*Inputs!$B$1+((Inputs!$G$5:$G$110&lt;&gt;"moeda")*(Inputs!$G$5:$G$110&lt;&gt;"acoes")))*INDEX(Inputs!$K$5:$AJ$110,0,MATCH(P$2,Inputs!$K$4:$AJ$4,0)))+SUMPRODUCT((Inputs!$E$5:$E$110=$B24)*Inputs!$F$5:$F$110*(((Inputs!$G$5:$G$110="moeda")+(Inputs!$G$5:$G$110="acoes"))*Inputs!$B$1+((Inputs!$G$5:$G$110&lt;&gt;"moeda")*(Inputs!$G$5:$G$110&lt;&gt;"acoes")))*INDEX(Inputs!$K$5:$AJ$110,0,MATCH(P$2,Inputs!$K$4:$AJ$4,0)))))</f>
        <v>28015</v>
      </c>
      <c r="Q24" s="267">
        <f>IF(ISNA(MATCH(Q$2,Inputs!$K$4:$AJ$4,0)),NA(),IF(SUMPRODUCT((Inputs!$A$5:$A$110=$B24)*ISNUMBER(INDEX(Inputs!$K$5:$AJ$110,0,MATCH(Q$2,Inputs!$K$4:$AJ$4,0))))+SUMPRODUCT((Inputs!$C$5:$C$110=$B24)*ISNUMBER(INDEX(Inputs!$K$5:$AJ$110,0,MATCH(Q$2,Inputs!$K$4:$AJ$4,0))))+SUMPRODUCT((Inputs!$E$5:$E$110=$B24)*ISNUMBER(INDEX(Inputs!$K$5:$AJ$110,0,MATCH(Q$2,Inputs!$K$4:$AJ$4,0))))=0,NA(),SUMPRODUCT((Inputs!$A$5:$A$110=$B24)*Inputs!$B$5:$B$110*(((Inputs!$G$5:$G$110="moeda")+(Inputs!$G$5:$G$110="acoes"))*Inputs!$B$1+((Inputs!$G$5:$G$110&lt;&gt;"moeda")*(Inputs!$G$5:$G$110&lt;&gt;"acoes")))*INDEX(Inputs!$K$5:$AJ$110,0,MATCH(Q$2,Inputs!$K$4:$AJ$4,0)))+SUMPRODUCT((Inputs!$C$5:$C$110=$B24)*Inputs!$D$5:$D$110*(((Inputs!$G$5:$G$110="moeda")+(Inputs!$G$5:$G$110="acoes"))*Inputs!$B$1+((Inputs!$G$5:$G$110&lt;&gt;"moeda")*(Inputs!$G$5:$G$110&lt;&gt;"acoes")))*INDEX(Inputs!$K$5:$AJ$110,0,MATCH(Q$2,Inputs!$K$4:$AJ$4,0)))+SUMPRODUCT((Inputs!$E$5:$E$110=$B24)*Inputs!$F$5:$F$110*(((Inputs!$G$5:$G$110="moeda")+(Inputs!$G$5:$G$110="acoes"))*Inputs!$B$1+((Inputs!$G$5:$G$110&lt;&gt;"moeda")*(Inputs!$G$5:$G$110&lt;&gt;"acoes")))*INDEX(Inputs!$K$5:$AJ$110,0,MATCH(Q$2,Inputs!$K$4:$AJ$4,0)))))</f>
        <v>28113</v>
      </c>
      <c r="R24" s="268">
        <f>Q24</f>
        <v>28113</v>
      </c>
      <c r="S24" s="267">
        <f>IF(ISNA(MATCH(S$2,Inputs!$K$4:$AJ$4,0)),NA(),IF(SUMPRODUCT((Inputs!$A$5:$A$110=$B24)*ISNUMBER(INDEX(Inputs!$K$5:$AJ$110,0,MATCH(S$2,Inputs!$K$4:$AJ$4,0))))+SUMPRODUCT((Inputs!$C$5:$C$110=$B24)*ISNUMBER(INDEX(Inputs!$K$5:$AJ$110,0,MATCH(S$2,Inputs!$K$4:$AJ$4,0))))+SUMPRODUCT((Inputs!$E$5:$E$110=$B24)*ISNUMBER(INDEX(Inputs!$K$5:$AJ$110,0,MATCH(S$2,Inputs!$K$4:$AJ$4,0))))=0,NA(),SUMPRODUCT((Inputs!$A$5:$A$110=$B24)*Inputs!$B$5:$B$110*(((Inputs!$G$5:$G$110="moeda")+(Inputs!$G$5:$G$110="acoes"))*Inputs!$B$1+((Inputs!$G$5:$G$110&lt;&gt;"moeda")*(Inputs!$G$5:$G$110&lt;&gt;"acoes")))*INDEX(Inputs!$K$5:$AJ$110,0,MATCH(S$2,Inputs!$K$4:$AJ$4,0)))+SUMPRODUCT((Inputs!$C$5:$C$110=$B24)*Inputs!$D$5:$D$110*(((Inputs!$G$5:$G$110="moeda")+(Inputs!$G$5:$G$110="acoes"))*Inputs!$B$1+((Inputs!$G$5:$G$110&lt;&gt;"moeda")*(Inputs!$G$5:$G$110&lt;&gt;"acoes")))*INDEX(Inputs!$K$5:$AJ$110,0,MATCH(S$2,Inputs!$K$4:$AJ$4,0)))+SUMPRODUCT((Inputs!$E$5:$E$110=$B24)*Inputs!$F$5:$F$110*(((Inputs!$G$5:$G$110="moeda")+(Inputs!$G$5:$G$110="acoes"))*Inputs!$B$1+((Inputs!$G$5:$G$110&lt;&gt;"moeda")*(Inputs!$G$5:$G$110&lt;&gt;"acoes")))*INDEX(Inputs!$K$5:$AJ$110,0,MATCH(S$2,Inputs!$K$4:$AJ$4,0)))))</f>
        <v>27999</v>
      </c>
      <c r="T24" s="267">
        <f>IF(ISNA(MATCH(T$2,Inputs!$K$4:$AJ$4,0)),NA(),IF(SUMPRODUCT((Inputs!$A$5:$A$110=$B24)*ISNUMBER(INDEX(Inputs!$K$5:$AJ$110,0,MATCH(T$2,Inputs!$K$4:$AJ$4,0))))+SUMPRODUCT((Inputs!$C$5:$C$110=$B24)*ISNUMBER(INDEX(Inputs!$K$5:$AJ$110,0,MATCH(T$2,Inputs!$K$4:$AJ$4,0))))+SUMPRODUCT((Inputs!$E$5:$E$110=$B24)*ISNUMBER(INDEX(Inputs!$K$5:$AJ$110,0,MATCH(T$2,Inputs!$K$4:$AJ$4,0))))=0,NA(),SUMPRODUCT((Inputs!$A$5:$A$110=$B24)*Inputs!$B$5:$B$110*(((Inputs!$G$5:$G$110="moeda")+(Inputs!$G$5:$G$110="acoes"))*Inputs!$B$1+((Inputs!$G$5:$G$110&lt;&gt;"moeda")*(Inputs!$G$5:$G$110&lt;&gt;"acoes")))*INDEX(Inputs!$K$5:$AJ$110,0,MATCH(T$2,Inputs!$K$4:$AJ$4,0)))+SUMPRODUCT((Inputs!$C$5:$C$110=$B24)*Inputs!$D$5:$D$110*(((Inputs!$G$5:$G$110="moeda")+(Inputs!$G$5:$G$110="acoes"))*Inputs!$B$1+((Inputs!$G$5:$G$110&lt;&gt;"moeda")*(Inputs!$G$5:$G$110&lt;&gt;"acoes")))*INDEX(Inputs!$K$5:$AJ$110,0,MATCH(T$2,Inputs!$K$4:$AJ$4,0)))+SUMPRODUCT((Inputs!$E$5:$E$110=$B24)*Inputs!$F$5:$F$110*(((Inputs!$G$5:$G$110="moeda")+(Inputs!$G$5:$G$110="acoes"))*Inputs!$B$1+((Inputs!$G$5:$G$110&lt;&gt;"moeda")*(Inputs!$G$5:$G$110&lt;&gt;"acoes")))*INDEX(Inputs!$K$5:$AJ$110,0,MATCH(T$2,Inputs!$K$4:$AJ$4,0)))))</f>
        <v>27930</v>
      </c>
      <c r="U24" s="267">
        <f>IF(ISNA(MATCH(U$2,Inputs!$K$4:$AJ$4,0)),NA(),IF(SUMPRODUCT((Inputs!$A$5:$A$110=$B24)*ISNUMBER(INDEX(Inputs!$K$5:$AJ$110,0,MATCH(U$2,Inputs!$K$4:$AJ$4,0))))+SUMPRODUCT((Inputs!$C$5:$C$110=$B24)*ISNUMBER(INDEX(Inputs!$K$5:$AJ$110,0,MATCH(U$2,Inputs!$K$4:$AJ$4,0))))+SUMPRODUCT((Inputs!$E$5:$E$110=$B24)*ISNUMBER(INDEX(Inputs!$K$5:$AJ$110,0,MATCH(U$2,Inputs!$K$4:$AJ$4,0))))=0,NA(),SUMPRODUCT((Inputs!$A$5:$A$110=$B24)*Inputs!$B$5:$B$110*(((Inputs!$G$5:$G$110="moeda")+(Inputs!$G$5:$G$110="acoes"))*Inputs!$B$1+((Inputs!$G$5:$G$110&lt;&gt;"moeda")*(Inputs!$G$5:$G$110&lt;&gt;"acoes")))*INDEX(Inputs!$K$5:$AJ$110,0,MATCH(U$2,Inputs!$K$4:$AJ$4,0)))+SUMPRODUCT((Inputs!$C$5:$C$110=$B24)*Inputs!$D$5:$D$110*(((Inputs!$G$5:$G$110="moeda")+(Inputs!$G$5:$G$110="acoes"))*Inputs!$B$1+((Inputs!$G$5:$G$110&lt;&gt;"moeda")*(Inputs!$G$5:$G$110&lt;&gt;"acoes")))*INDEX(Inputs!$K$5:$AJ$110,0,MATCH(U$2,Inputs!$K$4:$AJ$4,0)))+SUMPRODUCT((Inputs!$E$5:$E$110=$B24)*Inputs!$F$5:$F$110*(((Inputs!$G$5:$G$110="moeda")+(Inputs!$G$5:$G$110="acoes"))*Inputs!$B$1+((Inputs!$G$5:$G$110&lt;&gt;"moeda")*(Inputs!$G$5:$G$110&lt;&gt;"acoes")))*INDEX(Inputs!$K$5:$AJ$110,0,MATCH(U$2,Inputs!$K$4:$AJ$4,0)))))</f>
        <v>27942</v>
      </c>
      <c r="V24" s="267">
        <f>IF(ISNA(MATCH(V$2,Inputs!$K$4:$AJ$4,0)),NA(),IF(SUMPRODUCT((Inputs!$A$5:$A$110=$B24)*ISNUMBER(INDEX(Inputs!$K$5:$AJ$110,0,MATCH(V$2,Inputs!$K$4:$AJ$4,0))))+SUMPRODUCT((Inputs!$C$5:$C$110=$B24)*ISNUMBER(INDEX(Inputs!$K$5:$AJ$110,0,MATCH(V$2,Inputs!$K$4:$AJ$4,0))))+SUMPRODUCT((Inputs!$E$5:$E$110=$B24)*ISNUMBER(INDEX(Inputs!$K$5:$AJ$110,0,MATCH(V$2,Inputs!$K$4:$AJ$4,0))))=0,NA(),SUMPRODUCT((Inputs!$A$5:$A$110=$B24)*Inputs!$B$5:$B$110*(((Inputs!$G$5:$G$110="moeda")+(Inputs!$G$5:$G$110="acoes"))*Inputs!$B$1+((Inputs!$G$5:$G$110&lt;&gt;"moeda")*(Inputs!$G$5:$G$110&lt;&gt;"acoes")))*INDEX(Inputs!$K$5:$AJ$110,0,MATCH(V$2,Inputs!$K$4:$AJ$4,0)))+SUMPRODUCT((Inputs!$C$5:$C$110=$B24)*Inputs!$D$5:$D$110*(((Inputs!$G$5:$G$110="moeda")+(Inputs!$G$5:$G$110="acoes"))*Inputs!$B$1+((Inputs!$G$5:$G$110&lt;&gt;"moeda")*(Inputs!$G$5:$G$110&lt;&gt;"acoes")))*INDEX(Inputs!$K$5:$AJ$110,0,MATCH(V$2,Inputs!$K$4:$AJ$4,0)))+SUMPRODUCT((Inputs!$E$5:$E$110=$B24)*Inputs!$F$5:$F$110*(((Inputs!$G$5:$G$110="moeda")+(Inputs!$G$5:$G$110="acoes"))*Inputs!$B$1+((Inputs!$G$5:$G$110&lt;&gt;"moeda")*(Inputs!$G$5:$G$110&lt;&gt;"acoes")))*INDEX(Inputs!$K$5:$AJ$110,0,MATCH(V$2,Inputs!$K$4:$AJ$4,0)))))</f>
        <v>28792</v>
      </c>
      <c r="W24" s="268">
        <f>V24</f>
        <v>28792</v>
      </c>
      <c r="X24" s="267">
        <f>IF(ISNA(MATCH(X$2,Inputs!$K$4:$AJ$4,0)),NA(),IF(SUMPRODUCT((Inputs!$A$5:$A$110=$B24)*ISNUMBER(INDEX(Inputs!$K$5:$AJ$110,0,MATCH(X$2,Inputs!$K$4:$AJ$4,0))))+SUMPRODUCT((Inputs!$C$5:$C$110=$B24)*ISNUMBER(INDEX(Inputs!$K$5:$AJ$110,0,MATCH(X$2,Inputs!$K$4:$AJ$4,0))))+SUMPRODUCT((Inputs!$E$5:$E$110=$B24)*ISNUMBER(INDEX(Inputs!$K$5:$AJ$110,0,MATCH(X$2,Inputs!$K$4:$AJ$4,0))))=0,NA(),SUMPRODUCT((Inputs!$A$5:$A$110=$B24)*Inputs!$B$5:$B$110*(((Inputs!$G$5:$G$110="moeda")+(Inputs!$G$5:$G$110="acoes"))*Inputs!$B$1+((Inputs!$G$5:$G$110&lt;&gt;"moeda")*(Inputs!$G$5:$G$110&lt;&gt;"acoes")))*INDEX(Inputs!$K$5:$AJ$110,0,MATCH(X$2,Inputs!$K$4:$AJ$4,0)))+SUMPRODUCT((Inputs!$C$5:$C$110=$B24)*Inputs!$D$5:$D$110*(((Inputs!$G$5:$G$110="moeda")+(Inputs!$G$5:$G$110="acoes"))*Inputs!$B$1+((Inputs!$G$5:$G$110&lt;&gt;"moeda")*(Inputs!$G$5:$G$110&lt;&gt;"acoes")))*INDEX(Inputs!$K$5:$AJ$110,0,MATCH(X$2,Inputs!$K$4:$AJ$4,0)))+SUMPRODUCT((Inputs!$E$5:$E$110=$B24)*Inputs!$F$5:$F$110*(((Inputs!$G$5:$G$110="moeda")+(Inputs!$G$5:$G$110="acoes"))*Inputs!$B$1+((Inputs!$G$5:$G$110&lt;&gt;"moeda")*(Inputs!$G$5:$G$110&lt;&gt;"acoes")))*INDEX(Inputs!$K$5:$AJ$110,0,MATCH(X$2,Inputs!$K$4:$AJ$4,0)))))</f>
        <v>28866</v>
      </c>
      <c r="Y24" s="267">
        <f>IF(ISNA(MATCH(Y$2,Inputs!$K$4:$AJ$4,0)),NA(),IF(SUMPRODUCT((Inputs!$A$5:$A$110=$B24)*ISNUMBER(INDEX(Inputs!$K$5:$AJ$110,0,MATCH(Y$2,Inputs!$K$4:$AJ$4,0))))+SUMPRODUCT((Inputs!$C$5:$C$110=$B24)*ISNUMBER(INDEX(Inputs!$K$5:$AJ$110,0,MATCH(Y$2,Inputs!$K$4:$AJ$4,0))))+SUMPRODUCT((Inputs!$E$5:$E$110=$B24)*ISNUMBER(INDEX(Inputs!$K$5:$AJ$110,0,MATCH(Y$2,Inputs!$K$4:$AJ$4,0))))=0,NA(),SUMPRODUCT((Inputs!$A$5:$A$110=$B24)*Inputs!$B$5:$B$110*(((Inputs!$G$5:$G$110="moeda")+(Inputs!$G$5:$G$110="acoes"))*Inputs!$B$1+((Inputs!$G$5:$G$110&lt;&gt;"moeda")*(Inputs!$G$5:$G$110&lt;&gt;"acoes")))*INDEX(Inputs!$K$5:$AJ$110,0,MATCH(Y$2,Inputs!$K$4:$AJ$4,0)))+SUMPRODUCT((Inputs!$C$5:$C$110=$B24)*Inputs!$D$5:$D$110*(((Inputs!$G$5:$G$110="moeda")+(Inputs!$G$5:$G$110="acoes"))*Inputs!$B$1+((Inputs!$G$5:$G$110&lt;&gt;"moeda")*(Inputs!$G$5:$G$110&lt;&gt;"acoes")))*INDEX(Inputs!$K$5:$AJ$110,0,MATCH(Y$2,Inputs!$K$4:$AJ$4,0)))+SUMPRODUCT((Inputs!$E$5:$E$110=$B24)*Inputs!$F$5:$F$110*(((Inputs!$G$5:$G$110="moeda")+(Inputs!$G$5:$G$110="acoes"))*Inputs!$B$1+((Inputs!$G$5:$G$110&lt;&gt;"moeda")*(Inputs!$G$5:$G$110&lt;&gt;"acoes")))*INDEX(Inputs!$K$5:$AJ$110,0,MATCH(Y$2,Inputs!$K$4:$AJ$4,0)))))</f>
        <v>29060</v>
      </c>
      <c r="Z24" s="267">
        <f>IF(ISNA(MATCH(Z$2,Inputs!$K$4:$AJ$4,0)),NA(),IF(SUMPRODUCT((Inputs!$A$5:$A$110=$B24)*ISNUMBER(INDEX(Inputs!$K$5:$AJ$110,0,MATCH(Z$2,Inputs!$K$4:$AJ$4,0))))+SUMPRODUCT((Inputs!$C$5:$C$110=$B24)*ISNUMBER(INDEX(Inputs!$K$5:$AJ$110,0,MATCH(Z$2,Inputs!$K$4:$AJ$4,0))))+SUMPRODUCT((Inputs!$E$5:$E$110=$B24)*ISNUMBER(INDEX(Inputs!$K$5:$AJ$110,0,MATCH(Z$2,Inputs!$K$4:$AJ$4,0))))=0,NA(),SUMPRODUCT((Inputs!$A$5:$A$110=$B24)*Inputs!$B$5:$B$110*(((Inputs!$G$5:$G$110="moeda")+(Inputs!$G$5:$G$110="acoes"))*Inputs!$B$1+((Inputs!$G$5:$G$110&lt;&gt;"moeda")*(Inputs!$G$5:$G$110&lt;&gt;"acoes")))*INDEX(Inputs!$K$5:$AJ$110,0,MATCH(Z$2,Inputs!$K$4:$AJ$4,0)))+SUMPRODUCT((Inputs!$C$5:$C$110=$B24)*Inputs!$D$5:$D$110*(((Inputs!$G$5:$G$110="moeda")+(Inputs!$G$5:$G$110="acoes"))*Inputs!$B$1+((Inputs!$G$5:$G$110&lt;&gt;"moeda")*(Inputs!$G$5:$G$110&lt;&gt;"acoes")))*INDEX(Inputs!$K$5:$AJ$110,0,MATCH(Z$2,Inputs!$K$4:$AJ$4,0)))+SUMPRODUCT((Inputs!$E$5:$E$110=$B24)*Inputs!$F$5:$F$110*(((Inputs!$G$5:$G$110="moeda")+(Inputs!$G$5:$G$110="acoes"))*Inputs!$B$1+((Inputs!$G$5:$G$110&lt;&gt;"moeda")*(Inputs!$G$5:$G$110&lt;&gt;"acoes")))*INDEX(Inputs!$K$5:$AJ$110,0,MATCH(Z$2,Inputs!$K$4:$AJ$4,0)))))</f>
        <v>28722</v>
      </c>
      <c r="AA24" s="267">
        <f>IF(ISNA(MATCH(AA$2,Inputs!$K$4:$AJ$4,0)),NA(),IF(SUMPRODUCT((Inputs!$A$5:$A$110=$B24)*ISNUMBER(INDEX(Inputs!$K$5:$AJ$110,0,MATCH(AA$2,Inputs!$K$4:$AJ$4,0))))+SUMPRODUCT((Inputs!$C$5:$C$110=$B24)*ISNUMBER(INDEX(Inputs!$K$5:$AJ$110,0,MATCH(AA$2,Inputs!$K$4:$AJ$4,0))))+SUMPRODUCT((Inputs!$E$5:$E$110=$B24)*ISNUMBER(INDEX(Inputs!$K$5:$AJ$110,0,MATCH(AA$2,Inputs!$K$4:$AJ$4,0))))=0,NA(),SUMPRODUCT((Inputs!$A$5:$A$110=$B24)*Inputs!$B$5:$B$110*(((Inputs!$G$5:$G$110="moeda")+(Inputs!$G$5:$G$110="acoes"))*Inputs!$B$1+((Inputs!$G$5:$G$110&lt;&gt;"moeda")*(Inputs!$G$5:$G$110&lt;&gt;"acoes")))*INDEX(Inputs!$K$5:$AJ$110,0,MATCH(AA$2,Inputs!$K$4:$AJ$4,0)))+SUMPRODUCT((Inputs!$C$5:$C$110=$B24)*Inputs!$D$5:$D$110*(((Inputs!$G$5:$G$110="moeda")+(Inputs!$G$5:$G$110="acoes"))*Inputs!$B$1+((Inputs!$G$5:$G$110&lt;&gt;"moeda")*(Inputs!$G$5:$G$110&lt;&gt;"acoes")))*INDEX(Inputs!$K$5:$AJ$110,0,MATCH(AA$2,Inputs!$K$4:$AJ$4,0)))+SUMPRODUCT((Inputs!$E$5:$E$110=$B24)*Inputs!$F$5:$F$110*(((Inputs!$G$5:$G$110="moeda")+(Inputs!$G$5:$G$110="acoes"))*Inputs!$B$1+((Inputs!$G$5:$G$110&lt;&gt;"moeda")*(Inputs!$G$5:$G$110&lt;&gt;"acoes")))*INDEX(Inputs!$K$5:$AJ$110,0,MATCH(AA$2,Inputs!$K$4:$AJ$4,0)))))</f>
        <v>28735</v>
      </c>
      <c r="AB24" s="268">
        <f>AA24</f>
        <v>28735</v>
      </c>
      <c r="AC24" s="267">
        <f>IF(ISNA(MATCH(AC$2,Inputs!$K$4:$AJ$4,0)),NA(),IF(SUMPRODUCT((Inputs!$A$5:$A$110=$B24)*ISNUMBER(INDEX(Inputs!$K$5:$AJ$110,0,MATCH(AC$2,Inputs!$K$4:$AJ$4,0))))+SUMPRODUCT((Inputs!$C$5:$C$110=$B24)*ISNUMBER(INDEX(Inputs!$K$5:$AJ$110,0,MATCH(AC$2,Inputs!$K$4:$AJ$4,0))))+SUMPRODUCT((Inputs!$E$5:$E$110=$B24)*ISNUMBER(INDEX(Inputs!$K$5:$AJ$110,0,MATCH(AC$2,Inputs!$K$4:$AJ$4,0))))=0,NA(),SUMPRODUCT((Inputs!$A$5:$A$110=$B24)*Inputs!$B$5:$B$110*(((Inputs!$G$5:$G$110="moeda")+(Inputs!$G$5:$G$110="acoes"))*Inputs!$B$1+((Inputs!$G$5:$G$110&lt;&gt;"moeda")*(Inputs!$G$5:$G$110&lt;&gt;"acoes")))*INDEX(Inputs!$K$5:$AJ$110,0,MATCH(AC$2,Inputs!$K$4:$AJ$4,0)))+SUMPRODUCT((Inputs!$C$5:$C$110=$B24)*Inputs!$D$5:$D$110*(((Inputs!$G$5:$G$110="moeda")+(Inputs!$G$5:$G$110="acoes"))*Inputs!$B$1+((Inputs!$G$5:$G$110&lt;&gt;"moeda")*(Inputs!$G$5:$G$110&lt;&gt;"acoes")))*INDEX(Inputs!$K$5:$AJ$110,0,MATCH(AC$2,Inputs!$K$4:$AJ$4,0)))+SUMPRODUCT((Inputs!$E$5:$E$110=$B24)*Inputs!$F$5:$F$110*(((Inputs!$G$5:$G$110="moeda")+(Inputs!$G$5:$G$110="acoes"))*Inputs!$B$1+((Inputs!$G$5:$G$110&lt;&gt;"moeda")*(Inputs!$G$5:$G$110&lt;&gt;"acoes")))*INDEX(Inputs!$K$5:$AJ$110,0,MATCH(AC$2,Inputs!$K$4:$AJ$4,0)))))</f>
        <v>28152</v>
      </c>
      <c r="AD24" s="267">
        <f>IF(ISNA(MATCH(AD$2,Inputs!$K$4:$AJ$4,0)),NA(),IF(SUMPRODUCT((Inputs!$A$5:$A$110=$B24)*ISNUMBER(INDEX(Inputs!$K$5:$AJ$110,0,MATCH(AD$2,Inputs!$K$4:$AJ$4,0))))+SUMPRODUCT((Inputs!$C$5:$C$110=$B24)*ISNUMBER(INDEX(Inputs!$K$5:$AJ$110,0,MATCH(AD$2,Inputs!$K$4:$AJ$4,0))))+SUMPRODUCT((Inputs!$E$5:$E$110=$B24)*ISNUMBER(INDEX(Inputs!$K$5:$AJ$110,0,MATCH(AD$2,Inputs!$K$4:$AJ$4,0))))=0,NA(),SUMPRODUCT((Inputs!$A$5:$A$110=$B24)*Inputs!$B$5:$B$110*(((Inputs!$G$5:$G$110="moeda")+(Inputs!$G$5:$G$110="acoes"))*Inputs!$B$1+((Inputs!$G$5:$G$110&lt;&gt;"moeda")*(Inputs!$G$5:$G$110&lt;&gt;"acoes")))*INDEX(Inputs!$K$5:$AJ$110,0,MATCH(AD$2,Inputs!$K$4:$AJ$4,0)))+SUMPRODUCT((Inputs!$C$5:$C$110=$B24)*Inputs!$D$5:$D$110*(((Inputs!$G$5:$G$110="moeda")+(Inputs!$G$5:$G$110="acoes"))*Inputs!$B$1+((Inputs!$G$5:$G$110&lt;&gt;"moeda")*(Inputs!$G$5:$G$110&lt;&gt;"acoes")))*INDEX(Inputs!$K$5:$AJ$110,0,MATCH(AD$2,Inputs!$K$4:$AJ$4,0)))+SUMPRODUCT((Inputs!$E$5:$E$110=$B24)*Inputs!$F$5:$F$110*(((Inputs!$G$5:$G$110="moeda")+(Inputs!$G$5:$G$110="acoes"))*Inputs!$B$1+((Inputs!$G$5:$G$110&lt;&gt;"moeda")*(Inputs!$G$5:$G$110&lt;&gt;"acoes")))*INDEX(Inputs!$K$5:$AJ$110,0,MATCH(AD$2,Inputs!$K$4:$AJ$4,0)))))</f>
        <v>28260</v>
      </c>
      <c r="AE24" s="267" t="e">
        <f>IF(ISNA(MATCH(AE$2,Inputs!$K$4:$AJ$4,0)),NA(),IF(SUMPRODUCT((Inputs!$A$5:$A$110=$B24)*ISNUMBER(INDEX(Inputs!$K$5:$AJ$110,0,MATCH(AE$2,Inputs!$K$4:$AJ$4,0))))+SUMPRODUCT((Inputs!$C$5:$C$110=$B24)*ISNUMBER(INDEX(Inputs!$K$5:$AJ$110,0,MATCH(AE$2,Inputs!$K$4:$AJ$4,0))))+SUMPRODUCT((Inputs!$E$5:$E$110=$B24)*ISNUMBER(INDEX(Inputs!$K$5:$AJ$110,0,MATCH(AE$2,Inputs!$K$4:$AJ$4,0))))=0,NA(),SUMPRODUCT((Inputs!$A$5:$A$110=$B24)*Inputs!$B$5:$B$110*(((Inputs!$G$5:$G$110="moeda")+(Inputs!$G$5:$G$110="acoes"))*Inputs!$B$1+((Inputs!$G$5:$G$110&lt;&gt;"moeda")*(Inputs!$G$5:$G$110&lt;&gt;"acoes")))*INDEX(Inputs!$K$5:$AJ$110,0,MATCH(AE$2,Inputs!$K$4:$AJ$4,0)))+SUMPRODUCT((Inputs!$C$5:$C$110=$B24)*Inputs!$D$5:$D$110*(((Inputs!$G$5:$G$110="moeda")+(Inputs!$G$5:$G$110="acoes"))*Inputs!$B$1+((Inputs!$G$5:$G$110&lt;&gt;"moeda")*(Inputs!$G$5:$G$110&lt;&gt;"acoes")))*INDEX(Inputs!$K$5:$AJ$110,0,MATCH(AE$2,Inputs!$K$4:$AJ$4,0)))+SUMPRODUCT((Inputs!$E$5:$E$110=$B24)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4" s="267" t="e">
        <f>IF(ISNA(MATCH(AF$2,Inputs!$K$4:$AJ$4,0)),NA(),IF(SUMPRODUCT((Inputs!$A$5:$A$110=$B24)*ISNUMBER(INDEX(Inputs!$K$5:$AJ$110,0,MATCH(AF$2,Inputs!$K$4:$AJ$4,0))))+SUMPRODUCT((Inputs!$C$5:$C$110=$B24)*ISNUMBER(INDEX(Inputs!$K$5:$AJ$110,0,MATCH(AF$2,Inputs!$K$4:$AJ$4,0))))+SUMPRODUCT((Inputs!$E$5:$E$110=$B24)*ISNUMBER(INDEX(Inputs!$K$5:$AJ$110,0,MATCH(AF$2,Inputs!$K$4:$AJ$4,0))))=0,NA(),SUMPRODUCT((Inputs!$A$5:$A$110=$B24)*Inputs!$B$5:$B$110*(((Inputs!$G$5:$G$110="moeda")+(Inputs!$G$5:$G$110="acoes"))*Inputs!$B$1+((Inputs!$G$5:$G$110&lt;&gt;"moeda")*(Inputs!$G$5:$G$110&lt;&gt;"acoes")))*INDEX(Inputs!$K$5:$AJ$110,0,MATCH(AF$2,Inputs!$K$4:$AJ$4,0)))+SUMPRODUCT((Inputs!$C$5:$C$110=$B24)*Inputs!$D$5:$D$110*(((Inputs!$G$5:$G$110="moeda")+(Inputs!$G$5:$G$110="acoes"))*Inputs!$B$1+((Inputs!$G$5:$G$110&lt;&gt;"moeda")*(Inputs!$G$5:$G$110&lt;&gt;"acoes")))*INDEX(Inputs!$K$5:$AJ$110,0,MATCH(AF$2,Inputs!$K$4:$AJ$4,0)))+SUMPRODUCT((Inputs!$E$5:$E$110=$B24)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4" s="268" t="e">
        <f>AF24</f>
        <v>#N/A</v>
      </c>
      <c r="AH24" s="267">
        <f>IF(ISNA(MATCH(AH$2,Inputs!$K$4:$AJ$4,0)),NA(),IF(SUMPRODUCT((Inputs!$A$5:$A$110=$B24)*ISNUMBER(INDEX(Inputs!$K$5:$AJ$110,0,MATCH(AH$2,Inputs!$K$4:$AJ$4,0))))+SUMPRODUCT((Inputs!$C$5:$C$110=$B24)*ISNUMBER(INDEX(Inputs!$K$5:$AJ$110,0,MATCH(AH$2,Inputs!$K$4:$AJ$4,0))))+SUMPRODUCT((Inputs!$E$5:$E$110=$B24)*ISNUMBER(INDEX(Inputs!$K$5:$AJ$110,0,MATCH(AH$2,Inputs!$K$4:$AJ$4,0))))=0,NA(),SUMPRODUCT((Inputs!$A$5:$A$110=$B24)*Inputs!$B$5:$B$110*(((Inputs!$G$5:$G$110="moeda")+(Inputs!$G$5:$G$110="acoes"))*Inputs!$B$1+((Inputs!$G$5:$G$110&lt;&gt;"moeda")*(Inputs!$G$5:$G$110&lt;&gt;"acoes")))*INDEX(Inputs!$K$5:$AJ$110,0,MATCH(AH$2,Inputs!$K$4:$AJ$4,0)))+SUMPRODUCT((Inputs!$C$5:$C$110=$B24)*Inputs!$D$5:$D$110*(((Inputs!$G$5:$G$110="moeda")+(Inputs!$G$5:$G$110="acoes"))*Inputs!$B$1+((Inputs!$G$5:$G$110&lt;&gt;"moeda")*(Inputs!$G$5:$G$110&lt;&gt;"acoes")))*INDEX(Inputs!$K$5:$AJ$110,0,MATCH(AH$2,Inputs!$K$4:$AJ$4,0)))+SUMPRODUCT((Inputs!$E$5:$E$110=$B24)*Inputs!$F$5:$F$110*(((Inputs!$G$5:$G$110="moeda")+(Inputs!$G$5:$G$110="acoes"))*Inputs!$B$1+((Inputs!$G$5:$G$110&lt;&gt;"moeda")*(Inputs!$G$5:$G$110&lt;&gt;"acoes")))*INDEX(Inputs!$K$5:$AJ$110,0,MATCH(AH$2,Inputs!$K$4:$AJ$4,0)))))</f>
        <v>29416</v>
      </c>
      <c r="AI24" s="267">
        <f>IF(ISNA(MATCH(AI$2,Inputs!$K$4:$AJ$4,0)),NA(),IF(SUMPRODUCT((Inputs!$A$5:$A$110=$B24)*ISNUMBER(INDEX(Inputs!$K$5:$AJ$110,0,MATCH(AI$2,Inputs!$K$4:$AJ$4,0))))+SUMPRODUCT((Inputs!$C$5:$C$110=$B24)*ISNUMBER(INDEX(Inputs!$K$5:$AJ$110,0,MATCH(AI$2,Inputs!$K$4:$AJ$4,0))))+SUMPRODUCT((Inputs!$E$5:$E$110=$B24)*ISNUMBER(INDEX(Inputs!$K$5:$AJ$110,0,MATCH(AI$2,Inputs!$K$4:$AJ$4,0))))=0,NA(),SUMPRODUCT((Inputs!$A$5:$A$110=$B24)*Inputs!$B$5:$B$110*(((Inputs!$G$5:$G$110="moeda")+(Inputs!$G$5:$G$110="acoes"))*Inputs!$B$1+((Inputs!$G$5:$G$110&lt;&gt;"moeda")*(Inputs!$G$5:$G$110&lt;&gt;"acoes")))*INDEX(Inputs!$K$5:$AJ$110,0,MATCH(AI$2,Inputs!$K$4:$AJ$4,0)))+SUMPRODUCT((Inputs!$C$5:$C$110=$B24)*Inputs!$D$5:$D$110*(((Inputs!$G$5:$G$110="moeda")+(Inputs!$G$5:$G$110="acoes"))*Inputs!$B$1+((Inputs!$G$5:$G$110&lt;&gt;"moeda")*(Inputs!$G$5:$G$110&lt;&gt;"acoes")))*INDEX(Inputs!$K$5:$AJ$110,0,MATCH(AI$2,Inputs!$K$4:$AJ$4,0)))+SUMPRODUCT((Inputs!$E$5:$E$110=$B24)*Inputs!$F$5:$F$110*(((Inputs!$G$5:$G$110="moeda")+(Inputs!$G$5:$G$110="acoes"))*Inputs!$B$1+((Inputs!$G$5:$G$110&lt;&gt;"moeda")*(Inputs!$G$5:$G$110&lt;&gt;"acoes")))*INDEX(Inputs!$K$5:$AJ$110,0,MATCH(AI$2,Inputs!$K$4:$AJ$4,0)))))</f>
        <v>29542</v>
      </c>
      <c r="AJ24" s="267">
        <f>IF(ISNA(MATCH(AJ$2,Inputs!$K$4:$AJ$4,0)),NA(),IF(SUMPRODUCT((Inputs!$A$5:$A$110=$B24)*ISNUMBER(INDEX(Inputs!$K$5:$AJ$110,0,MATCH(AJ$2,Inputs!$K$4:$AJ$4,0))))+SUMPRODUCT((Inputs!$C$5:$C$110=$B24)*ISNUMBER(INDEX(Inputs!$K$5:$AJ$110,0,MATCH(AJ$2,Inputs!$K$4:$AJ$4,0))))+SUMPRODUCT((Inputs!$E$5:$E$110=$B24)*ISNUMBER(INDEX(Inputs!$K$5:$AJ$110,0,MATCH(AJ$2,Inputs!$K$4:$AJ$4,0))))=0,NA(),SUMPRODUCT((Inputs!$A$5:$A$110=$B24)*Inputs!$B$5:$B$110*(((Inputs!$G$5:$G$110="moeda")+(Inputs!$G$5:$G$110="acoes"))*Inputs!$B$1+((Inputs!$G$5:$G$110&lt;&gt;"moeda")*(Inputs!$G$5:$G$110&lt;&gt;"acoes")))*INDEX(Inputs!$K$5:$AJ$110,0,MATCH(AJ$2,Inputs!$K$4:$AJ$4,0)))+SUMPRODUCT((Inputs!$C$5:$C$110=$B24)*Inputs!$D$5:$D$110*(((Inputs!$G$5:$G$110="moeda")+(Inputs!$G$5:$G$110="acoes"))*Inputs!$B$1+((Inputs!$G$5:$G$110&lt;&gt;"moeda")*(Inputs!$G$5:$G$110&lt;&gt;"acoes")))*INDEX(Inputs!$K$5:$AJ$110,0,MATCH(AJ$2,Inputs!$K$4:$AJ$4,0)))+SUMPRODUCT((Inputs!$E$5:$E$110=$B24)*Inputs!$F$5:$F$110*(((Inputs!$G$5:$G$110="moeda")+(Inputs!$G$5:$G$110="acoes"))*Inputs!$B$1+((Inputs!$G$5:$G$110&lt;&gt;"moeda")*(Inputs!$G$5:$G$110&lt;&gt;"acoes")))*INDEX(Inputs!$K$5:$AJ$110,0,MATCH(AJ$2,Inputs!$K$4:$AJ$4,0)))))</f>
        <v>30236</v>
      </c>
      <c r="AK24" s="267">
        <f>IF(ISNA(MATCH(AK$2,Inputs!$K$4:$AJ$4,0)),NA(),IF(SUMPRODUCT((Inputs!$A$5:$A$110=$B24)*ISNUMBER(INDEX(Inputs!$K$5:$AJ$110,0,MATCH(AK$2,Inputs!$K$4:$AJ$4,0))))+SUMPRODUCT((Inputs!$C$5:$C$110=$B24)*ISNUMBER(INDEX(Inputs!$K$5:$AJ$110,0,MATCH(AK$2,Inputs!$K$4:$AJ$4,0))))+SUMPRODUCT((Inputs!$E$5:$E$110=$B24)*ISNUMBER(INDEX(Inputs!$K$5:$AJ$110,0,MATCH(AK$2,Inputs!$K$4:$AJ$4,0))))=0,NA(),SUMPRODUCT((Inputs!$A$5:$A$110=$B24)*Inputs!$B$5:$B$110*(((Inputs!$G$5:$G$110="moeda")+(Inputs!$G$5:$G$110="acoes"))*Inputs!$B$1+((Inputs!$G$5:$G$110&lt;&gt;"moeda")*(Inputs!$G$5:$G$110&lt;&gt;"acoes")))*INDEX(Inputs!$K$5:$AJ$110,0,MATCH(AK$2,Inputs!$K$4:$AJ$4,0)))+SUMPRODUCT((Inputs!$C$5:$C$110=$B24)*Inputs!$D$5:$D$110*(((Inputs!$G$5:$G$110="moeda")+(Inputs!$G$5:$G$110="acoes"))*Inputs!$B$1+((Inputs!$G$5:$G$110&lt;&gt;"moeda")*(Inputs!$G$5:$G$110&lt;&gt;"acoes")))*INDEX(Inputs!$K$5:$AJ$110,0,MATCH(AK$2,Inputs!$K$4:$AJ$4,0)))+SUMPRODUCT((Inputs!$E$5:$E$110=$B24)*Inputs!$F$5:$F$110*(((Inputs!$G$5:$G$110="moeda")+(Inputs!$G$5:$G$110="acoes"))*Inputs!$B$1+((Inputs!$G$5:$G$110&lt;&gt;"moeda")*(Inputs!$G$5:$G$110&lt;&gt;"acoes")))*INDEX(Inputs!$K$5:$AJ$110,0,MATCH(AK$2,Inputs!$K$4:$AJ$4,0)))))</f>
        <v>28983</v>
      </c>
      <c r="AL24" s="268">
        <f>AK24</f>
        <v>28983</v>
      </c>
    </row>
    <row r="25" ht="12.75" customHeight="1" s="255">
      <c r="B25" s="265" t="n">
        <v>21</v>
      </c>
      <c r="C25" s="270" t="inlineStr">
        <is>
          <t>Intangibles</t>
        </is>
      </c>
      <c r="D25" s="267">
        <f>IF(ISNA(MATCH(D$2,Inputs!$K$4:$AJ$4,0)),NA(),IF(SUMPRODUCT((Inputs!$A$5:$A$110=$B25)*ISNUMBER(INDEX(Inputs!$K$5:$AJ$110,0,MATCH(D$2,Inputs!$K$4:$AJ$4,0))))+SUMPRODUCT((Inputs!$C$5:$C$110=$B25)*ISNUMBER(INDEX(Inputs!$K$5:$AJ$110,0,MATCH(D$2,Inputs!$K$4:$AJ$4,0))))+SUMPRODUCT((Inputs!$E$5:$E$110=$B25)*ISNUMBER(INDEX(Inputs!$K$5:$AJ$110,0,MATCH(D$2,Inputs!$K$4:$AJ$4,0))))=0,NA(),SUMPRODUCT((Inputs!$A$5:$A$110=$B25)*Inputs!$B$5:$B$110*(((Inputs!$G$5:$G$110="moeda")+(Inputs!$G$5:$G$110="acoes"))*Inputs!$B$1+((Inputs!$G$5:$G$110&lt;&gt;"moeda")*(Inputs!$G$5:$G$110&lt;&gt;"acoes")))*INDEX(Inputs!$K$5:$AJ$110,0,MATCH(D$2,Inputs!$K$4:$AJ$4,0)))+SUMPRODUCT((Inputs!$C$5:$C$110=$B25)*Inputs!$D$5:$D$110*(((Inputs!$G$5:$G$110="moeda")+(Inputs!$G$5:$G$110="acoes"))*Inputs!$B$1+((Inputs!$G$5:$G$110&lt;&gt;"moeda")*(Inputs!$G$5:$G$110&lt;&gt;"acoes")))*INDEX(Inputs!$K$5:$AJ$110,0,MATCH(D$2,Inputs!$K$4:$AJ$4,0)))+SUMPRODUCT((Inputs!$E$5:$E$110=$B25)*Inputs!$F$5:$F$110*(((Inputs!$G$5:$G$110="moeda")+(Inputs!$G$5:$G$110="acoes"))*Inputs!$B$1+((Inputs!$G$5:$G$110&lt;&gt;"moeda")*(Inputs!$G$5:$G$110&lt;&gt;"acoes")))*INDEX(Inputs!$K$5:$AJ$110,0,MATCH(D$2,Inputs!$K$4:$AJ$4,0)))))</f>
        <v>0</v>
      </c>
      <c r="E25" s="267">
        <f>IF(ISNA(MATCH(E$2,Inputs!$K$4:$AJ$4,0)),NA(),IF(SUMPRODUCT((Inputs!$A$5:$A$110=$B25)*ISNUMBER(INDEX(Inputs!$K$5:$AJ$110,0,MATCH(E$2,Inputs!$K$4:$AJ$4,0))))+SUMPRODUCT((Inputs!$C$5:$C$110=$B25)*ISNUMBER(INDEX(Inputs!$K$5:$AJ$110,0,MATCH(E$2,Inputs!$K$4:$AJ$4,0))))+SUMPRODUCT((Inputs!$E$5:$E$110=$B25)*ISNUMBER(INDEX(Inputs!$K$5:$AJ$110,0,MATCH(E$2,Inputs!$K$4:$AJ$4,0))))=0,NA(),SUMPRODUCT((Inputs!$A$5:$A$110=$B25)*Inputs!$B$5:$B$110*(((Inputs!$G$5:$G$110="moeda")+(Inputs!$G$5:$G$110="acoes"))*Inputs!$B$1+((Inputs!$G$5:$G$110&lt;&gt;"moeda")*(Inputs!$G$5:$G$110&lt;&gt;"acoes")))*INDEX(Inputs!$K$5:$AJ$110,0,MATCH(E$2,Inputs!$K$4:$AJ$4,0)))+SUMPRODUCT((Inputs!$C$5:$C$110=$B25)*Inputs!$D$5:$D$110*(((Inputs!$G$5:$G$110="moeda")+(Inputs!$G$5:$G$110="acoes"))*Inputs!$B$1+((Inputs!$G$5:$G$110&lt;&gt;"moeda")*(Inputs!$G$5:$G$110&lt;&gt;"acoes")))*INDEX(Inputs!$K$5:$AJ$110,0,MATCH(E$2,Inputs!$K$4:$AJ$4,0)))+SUMPRODUCT((Inputs!$E$5:$E$110=$B25)*Inputs!$F$5:$F$110*(((Inputs!$G$5:$G$110="moeda")+(Inputs!$G$5:$G$110="acoes"))*Inputs!$B$1+((Inputs!$G$5:$G$110&lt;&gt;"moeda")*(Inputs!$G$5:$G$110&lt;&gt;"acoes")))*INDEX(Inputs!$K$5:$AJ$110,0,MATCH(E$2,Inputs!$K$4:$AJ$4,0)))))</f>
        <v>0</v>
      </c>
      <c r="F25" s="267">
        <f>IF(ISNA(MATCH(F$2,Inputs!$K$4:$AJ$4,0)),NA(),IF(SUMPRODUCT((Inputs!$A$5:$A$110=$B25)*ISNUMBER(INDEX(Inputs!$K$5:$AJ$110,0,MATCH(F$2,Inputs!$K$4:$AJ$4,0))))+SUMPRODUCT((Inputs!$C$5:$C$110=$B25)*ISNUMBER(INDEX(Inputs!$K$5:$AJ$110,0,MATCH(F$2,Inputs!$K$4:$AJ$4,0))))+SUMPRODUCT((Inputs!$E$5:$E$110=$B25)*ISNUMBER(INDEX(Inputs!$K$5:$AJ$110,0,MATCH(F$2,Inputs!$K$4:$AJ$4,0))))=0,NA(),SUMPRODUCT((Inputs!$A$5:$A$110=$B25)*Inputs!$B$5:$B$110*(((Inputs!$G$5:$G$110="moeda")+(Inputs!$G$5:$G$110="acoes"))*Inputs!$B$1+((Inputs!$G$5:$G$110&lt;&gt;"moeda")*(Inputs!$G$5:$G$110&lt;&gt;"acoes")))*INDEX(Inputs!$K$5:$AJ$110,0,MATCH(F$2,Inputs!$K$4:$AJ$4,0)))+SUMPRODUCT((Inputs!$C$5:$C$110=$B25)*Inputs!$D$5:$D$110*(((Inputs!$G$5:$G$110="moeda")+(Inputs!$G$5:$G$110="acoes"))*Inputs!$B$1+((Inputs!$G$5:$G$110&lt;&gt;"moeda")*(Inputs!$G$5:$G$110&lt;&gt;"acoes")))*INDEX(Inputs!$K$5:$AJ$110,0,MATCH(F$2,Inputs!$K$4:$AJ$4,0)))+SUMPRODUCT((Inputs!$E$5:$E$110=$B25)*Inputs!$F$5:$F$110*(((Inputs!$G$5:$G$110="moeda")+(Inputs!$G$5:$G$110="acoes"))*Inputs!$B$1+((Inputs!$G$5:$G$110&lt;&gt;"moeda")*(Inputs!$G$5:$G$110&lt;&gt;"acoes")))*INDEX(Inputs!$K$5:$AJ$110,0,MATCH(F$2,Inputs!$K$4:$AJ$4,0)))))</f>
        <v>0</v>
      </c>
      <c r="G25" s="267">
        <f>IF(ISNA(MATCH(G$2,Inputs!$K$4:$AJ$4,0)),NA(),IF(SUMPRODUCT((Inputs!$A$5:$A$110=$B25)*ISNUMBER(INDEX(Inputs!$K$5:$AJ$110,0,MATCH(G$2,Inputs!$K$4:$AJ$4,0))))+SUMPRODUCT((Inputs!$C$5:$C$110=$B25)*ISNUMBER(INDEX(Inputs!$K$5:$AJ$110,0,MATCH(G$2,Inputs!$K$4:$AJ$4,0))))+SUMPRODUCT((Inputs!$E$5:$E$110=$B25)*ISNUMBER(INDEX(Inputs!$K$5:$AJ$110,0,MATCH(G$2,Inputs!$K$4:$AJ$4,0))))=0,NA(),SUMPRODUCT((Inputs!$A$5:$A$110=$B25)*Inputs!$B$5:$B$110*(((Inputs!$G$5:$G$110="moeda")+(Inputs!$G$5:$G$110="acoes"))*Inputs!$B$1+((Inputs!$G$5:$G$110&lt;&gt;"moeda")*(Inputs!$G$5:$G$110&lt;&gt;"acoes")))*INDEX(Inputs!$K$5:$AJ$110,0,MATCH(G$2,Inputs!$K$4:$AJ$4,0)))+SUMPRODUCT((Inputs!$C$5:$C$110=$B25)*Inputs!$D$5:$D$110*(((Inputs!$G$5:$G$110="moeda")+(Inputs!$G$5:$G$110="acoes"))*Inputs!$B$1+((Inputs!$G$5:$G$110&lt;&gt;"moeda")*(Inputs!$G$5:$G$110&lt;&gt;"acoes")))*INDEX(Inputs!$K$5:$AJ$110,0,MATCH(G$2,Inputs!$K$4:$AJ$4,0)))+SUMPRODUCT((Inputs!$E$5:$E$110=$B25)*Inputs!$F$5:$F$110*(((Inputs!$G$5:$G$110="moeda")+(Inputs!$G$5:$G$110="acoes"))*Inputs!$B$1+((Inputs!$G$5:$G$110&lt;&gt;"moeda")*(Inputs!$G$5:$G$110&lt;&gt;"acoes")))*INDEX(Inputs!$K$5:$AJ$110,0,MATCH(G$2,Inputs!$K$4:$AJ$4,0)))))</f>
        <v>0</v>
      </c>
      <c r="H25" s="268">
        <f>G25</f>
        <v>0</v>
      </c>
      <c r="I25" s="267">
        <f>IF(ISNA(MATCH(I$2,Inputs!$K$4:$AJ$4,0)),NA(),IF(SUMPRODUCT((Inputs!$A$5:$A$110=$B25)*ISNUMBER(INDEX(Inputs!$K$5:$AJ$110,0,MATCH(I$2,Inputs!$K$4:$AJ$4,0))))+SUMPRODUCT((Inputs!$C$5:$C$110=$B25)*ISNUMBER(INDEX(Inputs!$K$5:$AJ$110,0,MATCH(I$2,Inputs!$K$4:$AJ$4,0))))+SUMPRODUCT((Inputs!$E$5:$E$110=$B25)*ISNUMBER(INDEX(Inputs!$K$5:$AJ$110,0,MATCH(I$2,Inputs!$K$4:$AJ$4,0))))=0,NA(),SUMPRODUCT((Inputs!$A$5:$A$110=$B25)*Inputs!$B$5:$B$110*(((Inputs!$G$5:$G$110="moeda")+(Inputs!$G$5:$G$110="acoes"))*Inputs!$B$1+((Inputs!$G$5:$G$110&lt;&gt;"moeda")*(Inputs!$G$5:$G$110&lt;&gt;"acoes")))*INDEX(Inputs!$K$5:$AJ$110,0,MATCH(I$2,Inputs!$K$4:$AJ$4,0)))+SUMPRODUCT((Inputs!$C$5:$C$110=$B25)*Inputs!$D$5:$D$110*(((Inputs!$G$5:$G$110="moeda")+(Inputs!$G$5:$G$110="acoes"))*Inputs!$B$1+((Inputs!$G$5:$G$110&lt;&gt;"moeda")*(Inputs!$G$5:$G$110&lt;&gt;"acoes")))*INDEX(Inputs!$K$5:$AJ$110,0,MATCH(I$2,Inputs!$K$4:$AJ$4,0)))+SUMPRODUCT((Inputs!$E$5:$E$110=$B25)*Inputs!$F$5:$F$110*(((Inputs!$G$5:$G$110="moeda")+(Inputs!$G$5:$G$110="acoes"))*Inputs!$B$1+((Inputs!$G$5:$G$110&lt;&gt;"moeda")*(Inputs!$G$5:$G$110&lt;&gt;"acoes")))*INDEX(Inputs!$K$5:$AJ$110,0,MATCH(I$2,Inputs!$K$4:$AJ$4,0)))))</f>
        <v>0</v>
      </c>
      <c r="J25" s="267">
        <f>IF(ISNA(MATCH(J$2,Inputs!$K$4:$AJ$4,0)),NA(),IF(SUMPRODUCT((Inputs!$A$5:$A$110=$B25)*ISNUMBER(INDEX(Inputs!$K$5:$AJ$110,0,MATCH(J$2,Inputs!$K$4:$AJ$4,0))))+SUMPRODUCT((Inputs!$C$5:$C$110=$B25)*ISNUMBER(INDEX(Inputs!$K$5:$AJ$110,0,MATCH(J$2,Inputs!$K$4:$AJ$4,0))))+SUMPRODUCT((Inputs!$E$5:$E$110=$B25)*ISNUMBER(INDEX(Inputs!$K$5:$AJ$110,0,MATCH(J$2,Inputs!$K$4:$AJ$4,0))))=0,NA(),SUMPRODUCT((Inputs!$A$5:$A$110=$B25)*Inputs!$B$5:$B$110*(((Inputs!$G$5:$G$110="moeda")+(Inputs!$G$5:$G$110="acoes"))*Inputs!$B$1+((Inputs!$G$5:$G$110&lt;&gt;"moeda")*(Inputs!$G$5:$G$110&lt;&gt;"acoes")))*INDEX(Inputs!$K$5:$AJ$110,0,MATCH(J$2,Inputs!$K$4:$AJ$4,0)))+SUMPRODUCT((Inputs!$C$5:$C$110=$B25)*Inputs!$D$5:$D$110*(((Inputs!$G$5:$G$110="moeda")+(Inputs!$G$5:$G$110="acoes"))*Inputs!$B$1+((Inputs!$G$5:$G$110&lt;&gt;"moeda")*(Inputs!$G$5:$G$110&lt;&gt;"acoes")))*INDEX(Inputs!$K$5:$AJ$110,0,MATCH(J$2,Inputs!$K$4:$AJ$4,0)))+SUMPRODUCT((Inputs!$E$5:$E$110=$B25)*Inputs!$F$5:$F$110*(((Inputs!$G$5:$G$110="moeda")+(Inputs!$G$5:$G$110="acoes"))*Inputs!$B$1+((Inputs!$G$5:$G$110&lt;&gt;"moeda")*(Inputs!$G$5:$G$110&lt;&gt;"acoes")))*INDEX(Inputs!$K$5:$AJ$110,0,MATCH(J$2,Inputs!$K$4:$AJ$4,0)))))</f>
        <v>0</v>
      </c>
      <c r="K25" s="267">
        <f>IF(ISNA(MATCH(K$2,Inputs!$K$4:$AJ$4,0)),NA(),IF(SUMPRODUCT((Inputs!$A$5:$A$110=$B25)*ISNUMBER(INDEX(Inputs!$K$5:$AJ$110,0,MATCH(K$2,Inputs!$K$4:$AJ$4,0))))+SUMPRODUCT((Inputs!$C$5:$C$110=$B25)*ISNUMBER(INDEX(Inputs!$K$5:$AJ$110,0,MATCH(K$2,Inputs!$K$4:$AJ$4,0))))+SUMPRODUCT((Inputs!$E$5:$E$110=$B25)*ISNUMBER(INDEX(Inputs!$K$5:$AJ$110,0,MATCH(K$2,Inputs!$K$4:$AJ$4,0))))=0,NA(),SUMPRODUCT((Inputs!$A$5:$A$110=$B25)*Inputs!$B$5:$B$110*(((Inputs!$G$5:$G$110="moeda")+(Inputs!$G$5:$G$110="acoes"))*Inputs!$B$1+((Inputs!$G$5:$G$110&lt;&gt;"moeda")*(Inputs!$G$5:$G$110&lt;&gt;"acoes")))*INDEX(Inputs!$K$5:$AJ$110,0,MATCH(K$2,Inputs!$K$4:$AJ$4,0)))+SUMPRODUCT((Inputs!$C$5:$C$110=$B25)*Inputs!$D$5:$D$110*(((Inputs!$G$5:$G$110="moeda")+(Inputs!$G$5:$G$110="acoes"))*Inputs!$B$1+((Inputs!$G$5:$G$110&lt;&gt;"moeda")*(Inputs!$G$5:$G$110&lt;&gt;"acoes")))*INDEX(Inputs!$K$5:$AJ$110,0,MATCH(K$2,Inputs!$K$4:$AJ$4,0)))+SUMPRODUCT((Inputs!$E$5:$E$110=$B25)*Inputs!$F$5:$F$110*(((Inputs!$G$5:$G$110="moeda")+(Inputs!$G$5:$G$110="acoes"))*Inputs!$B$1+((Inputs!$G$5:$G$110&lt;&gt;"moeda")*(Inputs!$G$5:$G$110&lt;&gt;"acoes")))*INDEX(Inputs!$K$5:$AJ$110,0,MATCH(K$2,Inputs!$K$4:$AJ$4,0)))))</f>
        <v>0</v>
      </c>
      <c r="L25" s="267">
        <f>IF(ISNA(MATCH(L$2,Inputs!$K$4:$AJ$4,0)),NA(),IF(SUMPRODUCT((Inputs!$A$5:$A$110=$B25)*ISNUMBER(INDEX(Inputs!$K$5:$AJ$110,0,MATCH(L$2,Inputs!$K$4:$AJ$4,0))))+SUMPRODUCT((Inputs!$C$5:$C$110=$B25)*ISNUMBER(INDEX(Inputs!$K$5:$AJ$110,0,MATCH(L$2,Inputs!$K$4:$AJ$4,0))))+SUMPRODUCT((Inputs!$E$5:$E$110=$B25)*ISNUMBER(INDEX(Inputs!$K$5:$AJ$110,0,MATCH(L$2,Inputs!$K$4:$AJ$4,0))))=0,NA(),SUMPRODUCT((Inputs!$A$5:$A$110=$B25)*Inputs!$B$5:$B$110*(((Inputs!$G$5:$G$110="moeda")+(Inputs!$G$5:$G$110="acoes"))*Inputs!$B$1+((Inputs!$G$5:$G$110&lt;&gt;"moeda")*(Inputs!$G$5:$G$110&lt;&gt;"acoes")))*INDEX(Inputs!$K$5:$AJ$110,0,MATCH(L$2,Inputs!$K$4:$AJ$4,0)))+SUMPRODUCT((Inputs!$C$5:$C$110=$B25)*Inputs!$D$5:$D$110*(((Inputs!$G$5:$G$110="moeda")+(Inputs!$G$5:$G$110="acoes"))*Inputs!$B$1+((Inputs!$G$5:$G$110&lt;&gt;"moeda")*(Inputs!$G$5:$G$110&lt;&gt;"acoes")))*INDEX(Inputs!$K$5:$AJ$110,0,MATCH(L$2,Inputs!$K$4:$AJ$4,0)))+SUMPRODUCT((Inputs!$E$5:$E$110=$B25)*Inputs!$F$5:$F$110*(((Inputs!$G$5:$G$110="moeda")+(Inputs!$G$5:$G$110="acoes"))*Inputs!$B$1+((Inputs!$G$5:$G$110&lt;&gt;"moeda")*(Inputs!$G$5:$G$110&lt;&gt;"acoes")))*INDEX(Inputs!$K$5:$AJ$110,0,MATCH(L$2,Inputs!$K$4:$AJ$4,0)))))</f>
        <v>0</v>
      </c>
      <c r="M25" s="268">
        <f>L25</f>
        <v>0</v>
      </c>
      <c r="N25" s="267">
        <f>IF(ISNA(MATCH(N$2,Inputs!$K$4:$AJ$4,0)),NA(),IF(SUMPRODUCT((Inputs!$A$5:$A$110=$B25)*ISNUMBER(INDEX(Inputs!$K$5:$AJ$110,0,MATCH(N$2,Inputs!$K$4:$AJ$4,0))))+SUMPRODUCT((Inputs!$C$5:$C$110=$B25)*ISNUMBER(INDEX(Inputs!$K$5:$AJ$110,0,MATCH(N$2,Inputs!$K$4:$AJ$4,0))))+SUMPRODUCT((Inputs!$E$5:$E$110=$B25)*ISNUMBER(INDEX(Inputs!$K$5:$AJ$110,0,MATCH(N$2,Inputs!$K$4:$AJ$4,0))))=0,NA(),SUMPRODUCT((Inputs!$A$5:$A$110=$B25)*Inputs!$B$5:$B$110*(((Inputs!$G$5:$G$110="moeda")+(Inputs!$G$5:$G$110="acoes"))*Inputs!$B$1+((Inputs!$G$5:$G$110&lt;&gt;"moeda")*(Inputs!$G$5:$G$110&lt;&gt;"acoes")))*INDEX(Inputs!$K$5:$AJ$110,0,MATCH(N$2,Inputs!$K$4:$AJ$4,0)))+SUMPRODUCT((Inputs!$C$5:$C$110=$B25)*Inputs!$D$5:$D$110*(((Inputs!$G$5:$G$110="moeda")+(Inputs!$G$5:$G$110="acoes"))*Inputs!$B$1+((Inputs!$G$5:$G$110&lt;&gt;"moeda")*(Inputs!$G$5:$G$110&lt;&gt;"acoes")))*INDEX(Inputs!$K$5:$AJ$110,0,MATCH(N$2,Inputs!$K$4:$AJ$4,0)))+SUMPRODUCT((Inputs!$E$5:$E$110=$B25)*Inputs!$F$5:$F$110*(((Inputs!$G$5:$G$110="moeda")+(Inputs!$G$5:$G$110="acoes"))*Inputs!$B$1+((Inputs!$G$5:$G$110&lt;&gt;"moeda")*(Inputs!$G$5:$G$110&lt;&gt;"acoes")))*INDEX(Inputs!$K$5:$AJ$110,0,MATCH(N$2,Inputs!$K$4:$AJ$4,0)))))</f>
        <v>0</v>
      </c>
      <c r="O25" s="267">
        <f>IF(ISNA(MATCH(O$2,Inputs!$K$4:$AJ$4,0)),NA(),IF(SUMPRODUCT((Inputs!$A$5:$A$110=$B25)*ISNUMBER(INDEX(Inputs!$K$5:$AJ$110,0,MATCH(O$2,Inputs!$K$4:$AJ$4,0))))+SUMPRODUCT((Inputs!$C$5:$C$110=$B25)*ISNUMBER(INDEX(Inputs!$K$5:$AJ$110,0,MATCH(O$2,Inputs!$K$4:$AJ$4,0))))+SUMPRODUCT((Inputs!$E$5:$E$110=$B25)*ISNUMBER(INDEX(Inputs!$K$5:$AJ$110,0,MATCH(O$2,Inputs!$K$4:$AJ$4,0))))=0,NA(),SUMPRODUCT((Inputs!$A$5:$A$110=$B25)*Inputs!$B$5:$B$110*(((Inputs!$G$5:$G$110="moeda")+(Inputs!$G$5:$G$110="acoes"))*Inputs!$B$1+((Inputs!$G$5:$G$110&lt;&gt;"moeda")*(Inputs!$G$5:$G$110&lt;&gt;"acoes")))*INDEX(Inputs!$K$5:$AJ$110,0,MATCH(O$2,Inputs!$K$4:$AJ$4,0)))+SUMPRODUCT((Inputs!$C$5:$C$110=$B25)*Inputs!$D$5:$D$110*(((Inputs!$G$5:$G$110="moeda")+(Inputs!$G$5:$G$110="acoes"))*Inputs!$B$1+((Inputs!$G$5:$G$110&lt;&gt;"moeda")*(Inputs!$G$5:$G$110&lt;&gt;"acoes")))*INDEX(Inputs!$K$5:$AJ$110,0,MATCH(O$2,Inputs!$K$4:$AJ$4,0)))+SUMPRODUCT((Inputs!$E$5:$E$110=$B25)*Inputs!$F$5:$F$110*(((Inputs!$G$5:$G$110="moeda")+(Inputs!$G$5:$G$110="acoes"))*Inputs!$B$1+((Inputs!$G$5:$G$110&lt;&gt;"moeda")*(Inputs!$G$5:$G$110&lt;&gt;"acoes")))*INDEX(Inputs!$K$5:$AJ$110,0,MATCH(O$2,Inputs!$K$4:$AJ$4,0)))))</f>
        <v>0</v>
      </c>
      <c r="P25" s="267">
        <f>IF(ISNA(MATCH(P$2,Inputs!$K$4:$AJ$4,0)),NA(),IF(SUMPRODUCT((Inputs!$A$5:$A$110=$B25)*ISNUMBER(INDEX(Inputs!$K$5:$AJ$110,0,MATCH(P$2,Inputs!$K$4:$AJ$4,0))))+SUMPRODUCT((Inputs!$C$5:$C$110=$B25)*ISNUMBER(INDEX(Inputs!$K$5:$AJ$110,0,MATCH(P$2,Inputs!$K$4:$AJ$4,0))))+SUMPRODUCT((Inputs!$E$5:$E$110=$B25)*ISNUMBER(INDEX(Inputs!$K$5:$AJ$110,0,MATCH(P$2,Inputs!$K$4:$AJ$4,0))))=0,NA(),SUMPRODUCT((Inputs!$A$5:$A$110=$B25)*Inputs!$B$5:$B$110*(((Inputs!$G$5:$G$110="moeda")+(Inputs!$G$5:$G$110="acoes"))*Inputs!$B$1+((Inputs!$G$5:$G$110&lt;&gt;"moeda")*(Inputs!$G$5:$G$110&lt;&gt;"acoes")))*INDEX(Inputs!$K$5:$AJ$110,0,MATCH(P$2,Inputs!$K$4:$AJ$4,0)))+SUMPRODUCT((Inputs!$C$5:$C$110=$B25)*Inputs!$D$5:$D$110*(((Inputs!$G$5:$G$110="moeda")+(Inputs!$G$5:$G$110="acoes"))*Inputs!$B$1+((Inputs!$G$5:$G$110&lt;&gt;"moeda")*(Inputs!$G$5:$G$110&lt;&gt;"acoes")))*INDEX(Inputs!$K$5:$AJ$110,0,MATCH(P$2,Inputs!$K$4:$AJ$4,0)))+SUMPRODUCT((Inputs!$E$5:$E$110=$B25)*Inputs!$F$5:$F$110*(((Inputs!$G$5:$G$110="moeda")+(Inputs!$G$5:$G$110="acoes"))*Inputs!$B$1+((Inputs!$G$5:$G$110&lt;&gt;"moeda")*(Inputs!$G$5:$G$110&lt;&gt;"acoes")))*INDEX(Inputs!$K$5:$AJ$110,0,MATCH(P$2,Inputs!$K$4:$AJ$4,0)))))</f>
        <v>0</v>
      </c>
      <c r="Q25" s="267">
        <f>IF(ISNA(MATCH(Q$2,Inputs!$K$4:$AJ$4,0)),NA(),IF(SUMPRODUCT((Inputs!$A$5:$A$110=$B25)*ISNUMBER(INDEX(Inputs!$K$5:$AJ$110,0,MATCH(Q$2,Inputs!$K$4:$AJ$4,0))))+SUMPRODUCT((Inputs!$C$5:$C$110=$B25)*ISNUMBER(INDEX(Inputs!$K$5:$AJ$110,0,MATCH(Q$2,Inputs!$K$4:$AJ$4,0))))+SUMPRODUCT((Inputs!$E$5:$E$110=$B25)*ISNUMBER(INDEX(Inputs!$K$5:$AJ$110,0,MATCH(Q$2,Inputs!$K$4:$AJ$4,0))))=0,NA(),SUMPRODUCT((Inputs!$A$5:$A$110=$B25)*Inputs!$B$5:$B$110*(((Inputs!$G$5:$G$110="moeda")+(Inputs!$G$5:$G$110="acoes"))*Inputs!$B$1+((Inputs!$G$5:$G$110&lt;&gt;"moeda")*(Inputs!$G$5:$G$110&lt;&gt;"acoes")))*INDEX(Inputs!$K$5:$AJ$110,0,MATCH(Q$2,Inputs!$K$4:$AJ$4,0)))+SUMPRODUCT((Inputs!$C$5:$C$110=$B25)*Inputs!$D$5:$D$110*(((Inputs!$G$5:$G$110="moeda")+(Inputs!$G$5:$G$110="acoes"))*Inputs!$B$1+((Inputs!$G$5:$G$110&lt;&gt;"moeda")*(Inputs!$G$5:$G$110&lt;&gt;"acoes")))*INDEX(Inputs!$K$5:$AJ$110,0,MATCH(Q$2,Inputs!$K$4:$AJ$4,0)))+SUMPRODUCT((Inputs!$E$5:$E$110=$B25)*Inputs!$F$5:$F$110*(((Inputs!$G$5:$G$110="moeda")+(Inputs!$G$5:$G$110="acoes"))*Inputs!$B$1+((Inputs!$G$5:$G$110&lt;&gt;"moeda")*(Inputs!$G$5:$G$110&lt;&gt;"acoes")))*INDEX(Inputs!$K$5:$AJ$110,0,MATCH(Q$2,Inputs!$K$4:$AJ$4,0)))))</f>
        <v>0</v>
      </c>
      <c r="R25" s="268">
        <f>Q25</f>
        <v>0</v>
      </c>
      <c r="S25" s="267">
        <f>IF(ISNA(MATCH(S$2,Inputs!$K$4:$AJ$4,0)),NA(),IF(SUMPRODUCT((Inputs!$A$5:$A$110=$B25)*ISNUMBER(INDEX(Inputs!$K$5:$AJ$110,0,MATCH(S$2,Inputs!$K$4:$AJ$4,0))))+SUMPRODUCT((Inputs!$C$5:$C$110=$B25)*ISNUMBER(INDEX(Inputs!$K$5:$AJ$110,0,MATCH(S$2,Inputs!$K$4:$AJ$4,0))))+SUMPRODUCT((Inputs!$E$5:$E$110=$B25)*ISNUMBER(INDEX(Inputs!$K$5:$AJ$110,0,MATCH(S$2,Inputs!$K$4:$AJ$4,0))))=0,NA(),SUMPRODUCT((Inputs!$A$5:$A$110=$B25)*Inputs!$B$5:$B$110*(((Inputs!$G$5:$G$110="moeda")+(Inputs!$G$5:$G$110="acoes"))*Inputs!$B$1+((Inputs!$G$5:$G$110&lt;&gt;"moeda")*(Inputs!$G$5:$G$110&lt;&gt;"acoes")))*INDEX(Inputs!$K$5:$AJ$110,0,MATCH(S$2,Inputs!$K$4:$AJ$4,0)))+SUMPRODUCT((Inputs!$C$5:$C$110=$B25)*Inputs!$D$5:$D$110*(((Inputs!$G$5:$G$110="moeda")+(Inputs!$G$5:$G$110="acoes"))*Inputs!$B$1+((Inputs!$G$5:$G$110&lt;&gt;"moeda")*(Inputs!$G$5:$G$110&lt;&gt;"acoes")))*INDEX(Inputs!$K$5:$AJ$110,0,MATCH(S$2,Inputs!$K$4:$AJ$4,0)))+SUMPRODUCT((Inputs!$E$5:$E$110=$B25)*Inputs!$F$5:$F$110*(((Inputs!$G$5:$G$110="moeda")+(Inputs!$G$5:$G$110="acoes"))*Inputs!$B$1+((Inputs!$G$5:$G$110&lt;&gt;"moeda")*(Inputs!$G$5:$G$110&lt;&gt;"acoes")))*INDEX(Inputs!$K$5:$AJ$110,0,MATCH(S$2,Inputs!$K$4:$AJ$4,0)))))</f>
        <v>0</v>
      </c>
      <c r="T25" s="267">
        <f>IF(ISNA(MATCH(T$2,Inputs!$K$4:$AJ$4,0)),NA(),IF(SUMPRODUCT((Inputs!$A$5:$A$110=$B25)*ISNUMBER(INDEX(Inputs!$K$5:$AJ$110,0,MATCH(T$2,Inputs!$K$4:$AJ$4,0))))+SUMPRODUCT((Inputs!$C$5:$C$110=$B25)*ISNUMBER(INDEX(Inputs!$K$5:$AJ$110,0,MATCH(T$2,Inputs!$K$4:$AJ$4,0))))+SUMPRODUCT((Inputs!$E$5:$E$110=$B25)*ISNUMBER(INDEX(Inputs!$K$5:$AJ$110,0,MATCH(T$2,Inputs!$K$4:$AJ$4,0))))=0,NA(),SUMPRODUCT((Inputs!$A$5:$A$110=$B25)*Inputs!$B$5:$B$110*(((Inputs!$G$5:$G$110="moeda")+(Inputs!$G$5:$G$110="acoes"))*Inputs!$B$1+((Inputs!$G$5:$G$110&lt;&gt;"moeda")*(Inputs!$G$5:$G$110&lt;&gt;"acoes")))*INDEX(Inputs!$K$5:$AJ$110,0,MATCH(T$2,Inputs!$K$4:$AJ$4,0)))+SUMPRODUCT((Inputs!$C$5:$C$110=$B25)*Inputs!$D$5:$D$110*(((Inputs!$G$5:$G$110="moeda")+(Inputs!$G$5:$G$110="acoes"))*Inputs!$B$1+((Inputs!$G$5:$G$110&lt;&gt;"moeda")*(Inputs!$G$5:$G$110&lt;&gt;"acoes")))*INDEX(Inputs!$K$5:$AJ$110,0,MATCH(T$2,Inputs!$K$4:$AJ$4,0)))+SUMPRODUCT((Inputs!$E$5:$E$110=$B25)*Inputs!$F$5:$F$110*(((Inputs!$G$5:$G$110="moeda")+(Inputs!$G$5:$G$110="acoes"))*Inputs!$B$1+((Inputs!$G$5:$G$110&lt;&gt;"moeda")*(Inputs!$G$5:$G$110&lt;&gt;"acoes")))*INDEX(Inputs!$K$5:$AJ$110,0,MATCH(T$2,Inputs!$K$4:$AJ$4,0)))))</f>
        <v>0</v>
      </c>
      <c r="U25" s="267">
        <f>IF(ISNA(MATCH(U$2,Inputs!$K$4:$AJ$4,0)),NA(),IF(SUMPRODUCT((Inputs!$A$5:$A$110=$B25)*ISNUMBER(INDEX(Inputs!$K$5:$AJ$110,0,MATCH(U$2,Inputs!$K$4:$AJ$4,0))))+SUMPRODUCT((Inputs!$C$5:$C$110=$B25)*ISNUMBER(INDEX(Inputs!$K$5:$AJ$110,0,MATCH(U$2,Inputs!$K$4:$AJ$4,0))))+SUMPRODUCT((Inputs!$E$5:$E$110=$B25)*ISNUMBER(INDEX(Inputs!$K$5:$AJ$110,0,MATCH(U$2,Inputs!$K$4:$AJ$4,0))))=0,NA(),SUMPRODUCT((Inputs!$A$5:$A$110=$B25)*Inputs!$B$5:$B$110*(((Inputs!$G$5:$G$110="moeda")+(Inputs!$G$5:$G$110="acoes"))*Inputs!$B$1+((Inputs!$G$5:$G$110&lt;&gt;"moeda")*(Inputs!$G$5:$G$110&lt;&gt;"acoes")))*INDEX(Inputs!$K$5:$AJ$110,0,MATCH(U$2,Inputs!$K$4:$AJ$4,0)))+SUMPRODUCT((Inputs!$C$5:$C$110=$B25)*Inputs!$D$5:$D$110*(((Inputs!$G$5:$G$110="moeda")+(Inputs!$G$5:$G$110="acoes"))*Inputs!$B$1+((Inputs!$G$5:$G$110&lt;&gt;"moeda")*(Inputs!$G$5:$G$110&lt;&gt;"acoes")))*INDEX(Inputs!$K$5:$AJ$110,0,MATCH(U$2,Inputs!$K$4:$AJ$4,0)))+SUMPRODUCT((Inputs!$E$5:$E$110=$B25)*Inputs!$F$5:$F$110*(((Inputs!$G$5:$G$110="moeda")+(Inputs!$G$5:$G$110="acoes"))*Inputs!$B$1+((Inputs!$G$5:$G$110&lt;&gt;"moeda")*(Inputs!$G$5:$G$110&lt;&gt;"acoes")))*INDEX(Inputs!$K$5:$AJ$110,0,MATCH(U$2,Inputs!$K$4:$AJ$4,0)))))</f>
        <v>0</v>
      </c>
      <c r="V25" s="267">
        <f>IF(ISNA(MATCH(V$2,Inputs!$K$4:$AJ$4,0)),NA(),IF(SUMPRODUCT((Inputs!$A$5:$A$110=$B25)*ISNUMBER(INDEX(Inputs!$K$5:$AJ$110,0,MATCH(V$2,Inputs!$K$4:$AJ$4,0))))+SUMPRODUCT((Inputs!$C$5:$C$110=$B25)*ISNUMBER(INDEX(Inputs!$K$5:$AJ$110,0,MATCH(V$2,Inputs!$K$4:$AJ$4,0))))+SUMPRODUCT((Inputs!$E$5:$E$110=$B25)*ISNUMBER(INDEX(Inputs!$K$5:$AJ$110,0,MATCH(V$2,Inputs!$K$4:$AJ$4,0))))=0,NA(),SUMPRODUCT((Inputs!$A$5:$A$110=$B25)*Inputs!$B$5:$B$110*(((Inputs!$G$5:$G$110="moeda")+(Inputs!$G$5:$G$110="acoes"))*Inputs!$B$1+((Inputs!$G$5:$G$110&lt;&gt;"moeda")*(Inputs!$G$5:$G$110&lt;&gt;"acoes")))*INDEX(Inputs!$K$5:$AJ$110,0,MATCH(V$2,Inputs!$K$4:$AJ$4,0)))+SUMPRODUCT((Inputs!$C$5:$C$110=$B25)*Inputs!$D$5:$D$110*(((Inputs!$G$5:$G$110="moeda")+(Inputs!$G$5:$G$110="acoes"))*Inputs!$B$1+((Inputs!$G$5:$G$110&lt;&gt;"moeda")*(Inputs!$G$5:$G$110&lt;&gt;"acoes")))*INDEX(Inputs!$K$5:$AJ$110,0,MATCH(V$2,Inputs!$K$4:$AJ$4,0)))+SUMPRODUCT((Inputs!$E$5:$E$110=$B25)*Inputs!$F$5:$F$110*(((Inputs!$G$5:$G$110="moeda")+(Inputs!$G$5:$G$110="acoes"))*Inputs!$B$1+((Inputs!$G$5:$G$110&lt;&gt;"moeda")*(Inputs!$G$5:$G$110&lt;&gt;"acoes")))*INDEX(Inputs!$K$5:$AJ$110,0,MATCH(V$2,Inputs!$K$4:$AJ$4,0)))))</f>
        <v>0</v>
      </c>
      <c r="W25" s="268">
        <f>V25</f>
        <v>0</v>
      </c>
      <c r="X25" s="267">
        <f>IF(ISNA(MATCH(X$2,Inputs!$K$4:$AJ$4,0)),NA(),IF(SUMPRODUCT((Inputs!$A$5:$A$110=$B25)*ISNUMBER(INDEX(Inputs!$K$5:$AJ$110,0,MATCH(X$2,Inputs!$K$4:$AJ$4,0))))+SUMPRODUCT((Inputs!$C$5:$C$110=$B25)*ISNUMBER(INDEX(Inputs!$K$5:$AJ$110,0,MATCH(X$2,Inputs!$K$4:$AJ$4,0))))+SUMPRODUCT((Inputs!$E$5:$E$110=$B25)*ISNUMBER(INDEX(Inputs!$K$5:$AJ$110,0,MATCH(X$2,Inputs!$K$4:$AJ$4,0))))=0,NA(),SUMPRODUCT((Inputs!$A$5:$A$110=$B25)*Inputs!$B$5:$B$110*(((Inputs!$G$5:$G$110="moeda")+(Inputs!$G$5:$G$110="acoes"))*Inputs!$B$1+((Inputs!$G$5:$G$110&lt;&gt;"moeda")*(Inputs!$G$5:$G$110&lt;&gt;"acoes")))*INDEX(Inputs!$K$5:$AJ$110,0,MATCH(X$2,Inputs!$K$4:$AJ$4,0)))+SUMPRODUCT((Inputs!$C$5:$C$110=$B25)*Inputs!$D$5:$D$110*(((Inputs!$G$5:$G$110="moeda")+(Inputs!$G$5:$G$110="acoes"))*Inputs!$B$1+((Inputs!$G$5:$G$110&lt;&gt;"moeda")*(Inputs!$G$5:$G$110&lt;&gt;"acoes")))*INDEX(Inputs!$K$5:$AJ$110,0,MATCH(X$2,Inputs!$K$4:$AJ$4,0)))+SUMPRODUCT((Inputs!$E$5:$E$110=$B25)*Inputs!$F$5:$F$110*(((Inputs!$G$5:$G$110="moeda")+(Inputs!$G$5:$G$110="acoes"))*Inputs!$B$1+((Inputs!$G$5:$G$110&lt;&gt;"moeda")*(Inputs!$G$5:$G$110&lt;&gt;"acoes")))*INDEX(Inputs!$K$5:$AJ$110,0,MATCH(X$2,Inputs!$K$4:$AJ$4,0)))))</f>
        <v>0</v>
      </c>
      <c r="Y25" s="267">
        <f>IF(ISNA(MATCH(Y$2,Inputs!$K$4:$AJ$4,0)),NA(),IF(SUMPRODUCT((Inputs!$A$5:$A$110=$B25)*ISNUMBER(INDEX(Inputs!$K$5:$AJ$110,0,MATCH(Y$2,Inputs!$K$4:$AJ$4,0))))+SUMPRODUCT((Inputs!$C$5:$C$110=$B25)*ISNUMBER(INDEX(Inputs!$K$5:$AJ$110,0,MATCH(Y$2,Inputs!$K$4:$AJ$4,0))))+SUMPRODUCT((Inputs!$E$5:$E$110=$B25)*ISNUMBER(INDEX(Inputs!$K$5:$AJ$110,0,MATCH(Y$2,Inputs!$K$4:$AJ$4,0))))=0,NA(),SUMPRODUCT((Inputs!$A$5:$A$110=$B25)*Inputs!$B$5:$B$110*(((Inputs!$G$5:$G$110="moeda")+(Inputs!$G$5:$G$110="acoes"))*Inputs!$B$1+((Inputs!$G$5:$G$110&lt;&gt;"moeda")*(Inputs!$G$5:$G$110&lt;&gt;"acoes")))*INDEX(Inputs!$K$5:$AJ$110,0,MATCH(Y$2,Inputs!$K$4:$AJ$4,0)))+SUMPRODUCT((Inputs!$C$5:$C$110=$B25)*Inputs!$D$5:$D$110*(((Inputs!$G$5:$G$110="moeda")+(Inputs!$G$5:$G$110="acoes"))*Inputs!$B$1+((Inputs!$G$5:$G$110&lt;&gt;"moeda")*(Inputs!$G$5:$G$110&lt;&gt;"acoes")))*INDEX(Inputs!$K$5:$AJ$110,0,MATCH(Y$2,Inputs!$K$4:$AJ$4,0)))+SUMPRODUCT((Inputs!$E$5:$E$110=$B25)*Inputs!$F$5:$F$110*(((Inputs!$G$5:$G$110="moeda")+(Inputs!$G$5:$G$110="acoes"))*Inputs!$B$1+((Inputs!$G$5:$G$110&lt;&gt;"moeda")*(Inputs!$G$5:$G$110&lt;&gt;"acoes")))*INDEX(Inputs!$K$5:$AJ$110,0,MATCH(Y$2,Inputs!$K$4:$AJ$4,0)))))</f>
        <v>0</v>
      </c>
      <c r="Z25" s="267">
        <f>IF(ISNA(MATCH(Z$2,Inputs!$K$4:$AJ$4,0)),NA(),IF(SUMPRODUCT((Inputs!$A$5:$A$110=$B25)*ISNUMBER(INDEX(Inputs!$K$5:$AJ$110,0,MATCH(Z$2,Inputs!$K$4:$AJ$4,0))))+SUMPRODUCT((Inputs!$C$5:$C$110=$B25)*ISNUMBER(INDEX(Inputs!$K$5:$AJ$110,0,MATCH(Z$2,Inputs!$K$4:$AJ$4,0))))+SUMPRODUCT((Inputs!$E$5:$E$110=$B25)*ISNUMBER(INDEX(Inputs!$K$5:$AJ$110,0,MATCH(Z$2,Inputs!$K$4:$AJ$4,0))))=0,NA(),SUMPRODUCT((Inputs!$A$5:$A$110=$B25)*Inputs!$B$5:$B$110*(((Inputs!$G$5:$G$110="moeda")+(Inputs!$G$5:$G$110="acoes"))*Inputs!$B$1+((Inputs!$G$5:$G$110&lt;&gt;"moeda")*(Inputs!$G$5:$G$110&lt;&gt;"acoes")))*INDEX(Inputs!$K$5:$AJ$110,0,MATCH(Z$2,Inputs!$K$4:$AJ$4,0)))+SUMPRODUCT((Inputs!$C$5:$C$110=$B25)*Inputs!$D$5:$D$110*(((Inputs!$G$5:$G$110="moeda")+(Inputs!$G$5:$G$110="acoes"))*Inputs!$B$1+((Inputs!$G$5:$G$110&lt;&gt;"moeda")*(Inputs!$G$5:$G$110&lt;&gt;"acoes")))*INDEX(Inputs!$K$5:$AJ$110,0,MATCH(Z$2,Inputs!$K$4:$AJ$4,0)))+SUMPRODUCT((Inputs!$E$5:$E$110=$B25)*Inputs!$F$5:$F$110*(((Inputs!$G$5:$G$110="moeda")+(Inputs!$G$5:$G$110="acoes"))*Inputs!$B$1+((Inputs!$G$5:$G$110&lt;&gt;"moeda")*(Inputs!$G$5:$G$110&lt;&gt;"acoes")))*INDEX(Inputs!$K$5:$AJ$110,0,MATCH(Z$2,Inputs!$K$4:$AJ$4,0)))))</f>
        <v>0</v>
      </c>
      <c r="AA25" s="267">
        <f>IF(ISNA(MATCH(AA$2,Inputs!$K$4:$AJ$4,0)),NA(),IF(SUMPRODUCT((Inputs!$A$5:$A$110=$B25)*ISNUMBER(INDEX(Inputs!$K$5:$AJ$110,0,MATCH(AA$2,Inputs!$K$4:$AJ$4,0))))+SUMPRODUCT((Inputs!$C$5:$C$110=$B25)*ISNUMBER(INDEX(Inputs!$K$5:$AJ$110,0,MATCH(AA$2,Inputs!$K$4:$AJ$4,0))))+SUMPRODUCT((Inputs!$E$5:$E$110=$B25)*ISNUMBER(INDEX(Inputs!$K$5:$AJ$110,0,MATCH(AA$2,Inputs!$K$4:$AJ$4,0))))=0,NA(),SUMPRODUCT((Inputs!$A$5:$A$110=$B25)*Inputs!$B$5:$B$110*(((Inputs!$G$5:$G$110="moeda")+(Inputs!$G$5:$G$110="acoes"))*Inputs!$B$1+((Inputs!$G$5:$G$110&lt;&gt;"moeda")*(Inputs!$G$5:$G$110&lt;&gt;"acoes")))*INDEX(Inputs!$K$5:$AJ$110,0,MATCH(AA$2,Inputs!$K$4:$AJ$4,0)))+SUMPRODUCT((Inputs!$C$5:$C$110=$B25)*Inputs!$D$5:$D$110*(((Inputs!$G$5:$G$110="moeda")+(Inputs!$G$5:$G$110="acoes"))*Inputs!$B$1+((Inputs!$G$5:$G$110&lt;&gt;"moeda")*(Inputs!$G$5:$G$110&lt;&gt;"acoes")))*INDEX(Inputs!$K$5:$AJ$110,0,MATCH(AA$2,Inputs!$K$4:$AJ$4,0)))+SUMPRODUCT((Inputs!$E$5:$E$110=$B25)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5" s="268">
        <f>AA25</f>
        <v>0</v>
      </c>
      <c r="AC25" s="267">
        <f>IF(ISNA(MATCH(AC$2,Inputs!$K$4:$AJ$4,0)),NA(),IF(SUMPRODUCT((Inputs!$A$5:$A$110=$B25)*ISNUMBER(INDEX(Inputs!$K$5:$AJ$110,0,MATCH(AC$2,Inputs!$K$4:$AJ$4,0))))+SUMPRODUCT((Inputs!$C$5:$C$110=$B25)*ISNUMBER(INDEX(Inputs!$K$5:$AJ$110,0,MATCH(AC$2,Inputs!$K$4:$AJ$4,0))))+SUMPRODUCT((Inputs!$E$5:$E$110=$B25)*ISNUMBER(INDEX(Inputs!$K$5:$AJ$110,0,MATCH(AC$2,Inputs!$K$4:$AJ$4,0))))=0,NA(),SUMPRODUCT((Inputs!$A$5:$A$110=$B25)*Inputs!$B$5:$B$110*(((Inputs!$G$5:$G$110="moeda")+(Inputs!$G$5:$G$110="acoes"))*Inputs!$B$1+((Inputs!$G$5:$G$110&lt;&gt;"moeda")*(Inputs!$G$5:$G$110&lt;&gt;"acoes")))*INDEX(Inputs!$K$5:$AJ$110,0,MATCH(AC$2,Inputs!$K$4:$AJ$4,0)))+SUMPRODUCT((Inputs!$C$5:$C$110=$B25)*Inputs!$D$5:$D$110*(((Inputs!$G$5:$G$110="moeda")+(Inputs!$G$5:$G$110="acoes"))*Inputs!$B$1+((Inputs!$G$5:$G$110&lt;&gt;"moeda")*(Inputs!$G$5:$G$110&lt;&gt;"acoes")))*INDEX(Inputs!$K$5:$AJ$110,0,MATCH(AC$2,Inputs!$K$4:$AJ$4,0)))+SUMPRODUCT((Inputs!$E$5:$E$110=$B25)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5" s="267">
        <f>IF(ISNA(MATCH(AD$2,Inputs!$K$4:$AJ$4,0)),NA(),IF(SUMPRODUCT((Inputs!$A$5:$A$110=$B25)*ISNUMBER(INDEX(Inputs!$K$5:$AJ$110,0,MATCH(AD$2,Inputs!$K$4:$AJ$4,0))))+SUMPRODUCT((Inputs!$C$5:$C$110=$B25)*ISNUMBER(INDEX(Inputs!$K$5:$AJ$110,0,MATCH(AD$2,Inputs!$K$4:$AJ$4,0))))+SUMPRODUCT((Inputs!$E$5:$E$110=$B25)*ISNUMBER(INDEX(Inputs!$K$5:$AJ$110,0,MATCH(AD$2,Inputs!$K$4:$AJ$4,0))))=0,NA(),SUMPRODUCT((Inputs!$A$5:$A$110=$B25)*Inputs!$B$5:$B$110*(((Inputs!$G$5:$G$110="moeda")+(Inputs!$G$5:$G$110="acoes"))*Inputs!$B$1+((Inputs!$G$5:$G$110&lt;&gt;"moeda")*(Inputs!$G$5:$G$110&lt;&gt;"acoes")))*INDEX(Inputs!$K$5:$AJ$110,0,MATCH(AD$2,Inputs!$K$4:$AJ$4,0)))+SUMPRODUCT((Inputs!$C$5:$C$110=$B25)*Inputs!$D$5:$D$110*(((Inputs!$G$5:$G$110="moeda")+(Inputs!$G$5:$G$110="acoes"))*Inputs!$B$1+((Inputs!$G$5:$G$110&lt;&gt;"moeda")*(Inputs!$G$5:$G$110&lt;&gt;"acoes")))*INDEX(Inputs!$K$5:$AJ$110,0,MATCH(AD$2,Inputs!$K$4:$AJ$4,0)))+SUMPRODUCT((Inputs!$E$5:$E$110=$B25)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5" s="267" t="e">
        <f>IF(ISNA(MATCH(AE$2,Inputs!$K$4:$AJ$4,0)),NA(),IF(SUMPRODUCT((Inputs!$A$5:$A$110=$B25)*ISNUMBER(INDEX(Inputs!$K$5:$AJ$110,0,MATCH(AE$2,Inputs!$K$4:$AJ$4,0))))+SUMPRODUCT((Inputs!$C$5:$C$110=$B25)*ISNUMBER(INDEX(Inputs!$K$5:$AJ$110,0,MATCH(AE$2,Inputs!$K$4:$AJ$4,0))))+SUMPRODUCT((Inputs!$E$5:$E$110=$B25)*ISNUMBER(INDEX(Inputs!$K$5:$AJ$110,0,MATCH(AE$2,Inputs!$K$4:$AJ$4,0))))=0,NA(),SUMPRODUCT((Inputs!$A$5:$A$110=$B25)*Inputs!$B$5:$B$110*(((Inputs!$G$5:$G$110="moeda")+(Inputs!$G$5:$G$110="acoes"))*Inputs!$B$1+((Inputs!$G$5:$G$110&lt;&gt;"moeda")*(Inputs!$G$5:$G$110&lt;&gt;"acoes")))*INDEX(Inputs!$K$5:$AJ$110,0,MATCH(AE$2,Inputs!$K$4:$AJ$4,0)))+SUMPRODUCT((Inputs!$C$5:$C$110=$B25)*Inputs!$D$5:$D$110*(((Inputs!$G$5:$G$110="moeda")+(Inputs!$G$5:$G$110="acoes"))*Inputs!$B$1+((Inputs!$G$5:$G$110&lt;&gt;"moeda")*(Inputs!$G$5:$G$110&lt;&gt;"acoes")))*INDEX(Inputs!$K$5:$AJ$110,0,MATCH(AE$2,Inputs!$K$4:$AJ$4,0)))+SUMPRODUCT((Inputs!$E$5:$E$110=$B25)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5" s="267" t="e">
        <f>IF(ISNA(MATCH(AF$2,Inputs!$K$4:$AJ$4,0)),NA(),IF(SUMPRODUCT((Inputs!$A$5:$A$110=$B25)*ISNUMBER(INDEX(Inputs!$K$5:$AJ$110,0,MATCH(AF$2,Inputs!$K$4:$AJ$4,0))))+SUMPRODUCT((Inputs!$C$5:$C$110=$B25)*ISNUMBER(INDEX(Inputs!$K$5:$AJ$110,0,MATCH(AF$2,Inputs!$K$4:$AJ$4,0))))+SUMPRODUCT((Inputs!$E$5:$E$110=$B25)*ISNUMBER(INDEX(Inputs!$K$5:$AJ$110,0,MATCH(AF$2,Inputs!$K$4:$AJ$4,0))))=0,NA(),SUMPRODUCT((Inputs!$A$5:$A$110=$B25)*Inputs!$B$5:$B$110*(((Inputs!$G$5:$G$110="moeda")+(Inputs!$G$5:$G$110="acoes"))*Inputs!$B$1+((Inputs!$G$5:$G$110&lt;&gt;"moeda")*(Inputs!$G$5:$G$110&lt;&gt;"acoes")))*INDEX(Inputs!$K$5:$AJ$110,0,MATCH(AF$2,Inputs!$K$4:$AJ$4,0)))+SUMPRODUCT((Inputs!$C$5:$C$110=$B25)*Inputs!$D$5:$D$110*(((Inputs!$G$5:$G$110="moeda")+(Inputs!$G$5:$G$110="acoes"))*Inputs!$B$1+((Inputs!$G$5:$G$110&lt;&gt;"moeda")*(Inputs!$G$5:$G$110&lt;&gt;"acoes")))*INDEX(Inputs!$K$5:$AJ$110,0,MATCH(AF$2,Inputs!$K$4:$AJ$4,0)))+SUMPRODUCT((Inputs!$E$5:$E$110=$B25)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5" s="268" t="e">
        <f>AF25</f>
        <v>#N/A</v>
      </c>
      <c r="AH25" s="267">
        <f>IF(ISNA(MATCH(AH$2,Inputs!$K$4:$AJ$4,0)),NA(),IF(SUMPRODUCT((Inputs!$A$5:$A$110=$B25)*ISNUMBER(INDEX(Inputs!$K$5:$AJ$110,0,MATCH(AH$2,Inputs!$K$4:$AJ$4,0))))+SUMPRODUCT((Inputs!$C$5:$C$110=$B25)*ISNUMBER(INDEX(Inputs!$K$5:$AJ$110,0,MATCH(AH$2,Inputs!$K$4:$AJ$4,0))))+SUMPRODUCT((Inputs!$E$5:$E$110=$B25)*ISNUMBER(INDEX(Inputs!$K$5:$AJ$110,0,MATCH(AH$2,Inputs!$K$4:$AJ$4,0))))=0,NA(),SUMPRODUCT((Inputs!$A$5:$A$110=$B25)*Inputs!$B$5:$B$110*(((Inputs!$G$5:$G$110="moeda")+(Inputs!$G$5:$G$110="acoes"))*Inputs!$B$1+((Inputs!$G$5:$G$110&lt;&gt;"moeda")*(Inputs!$G$5:$G$110&lt;&gt;"acoes")))*INDEX(Inputs!$K$5:$AJ$110,0,MATCH(AH$2,Inputs!$K$4:$AJ$4,0)))+SUMPRODUCT((Inputs!$C$5:$C$110=$B25)*Inputs!$D$5:$D$110*(((Inputs!$G$5:$G$110="moeda")+(Inputs!$G$5:$G$110="acoes"))*Inputs!$B$1+((Inputs!$G$5:$G$110&lt;&gt;"moeda")*(Inputs!$G$5:$G$110&lt;&gt;"acoes")))*INDEX(Inputs!$K$5:$AJ$110,0,MATCH(AH$2,Inputs!$K$4:$AJ$4,0)))+SUMPRODUCT((Inputs!$E$5:$E$110=$B25)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5" s="267">
        <f>IF(ISNA(MATCH(AI$2,Inputs!$K$4:$AJ$4,0)),NA(),IF(SUMPRODUCT((Inputs!$A$5:$A$110=$B25)*ISNUMBER(INDEX(Inputs!$K$5:$AJ$110,0,MATCH(AI$2,Inputs!$K$4:$AJ$4,0))))+SUMPRODUCT((Inputs!$C$5:$C$110=$B25)*ISNUMBER(INDEX(Inputs!$K$5:$AJ$110,0,MATCH(AI$2,Inputs!$K$4:$AJ$4,0))))+SUMPRODUCT((Inputs!$E$5:$E$110=$B25)*ISNUMBER(INDEX(Inputs!$K$5:$AJ$110,0,MATCH(AI$2,Inputs!$K$4:$AJ$4,0))))=0,NA(),SUMPRODUCT((Inputs!$A$5:$A$110=$B25)*Inputs!$B$5:$B$110*(((Inputs!$G$5:$G$110="moeda")+(Inputs!$G$5:$G$110="acoes"))*Inputs!$B$1+((Inputs!$G$5:$G$110&lt;&gt;"moeda")*(Inputs!$G$5:$G$110&lt;&gt;"acoes")))*INDEX(Inputs!$K$5:$AJ$110,0,MATCH(AI$2,Inputs!$K$4:$AJ$4,0)))+SUMPRODUCT((Inputs!$C$5:$C$110=$B25)*Inputs!$D$5:$D$110*(((Inputs!$G$5:$G$110="moeda")+(Inputs!$G$5:$G$110="acoes"))*Inputs!$B$1+((Inputs!$G$5:$G$110&lt;&gt;"moeda")*(Inputs!$G$5:$G$110&lt;&gt;"acoes")))*INDEX(Inputs!$K$5:$AJ$110,0,MATCH(AI$2,Inputs!$K$4:$AJ$4,0)))+SUMPRODUCT((Inputs!$E$5:$E$110=$B25)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5" s="267">
        <f>IF(ISNA(MATCH(AJ$2,Inputs!$K$4:$AJ$4,0)),NA(),IF(SUMPRODUCT((Inputs!$A$5:$A$110=$B25)*ISNUMBER(INDEX(Inputs!$K$5:$AJ$110,0,MATCH(AJ$2,Inputs!$K$4:$AJ$4,0))))+SUMPRODUCT((Inputs!$C$5:$C$110=$B25)*ISNUMBER(INDEX(Inputs!$K$5:$AJ$110,0,MATCH(AJ$2,Inputs!$K$4:$AJ$4,0))))+SUMPRODUCT((Inputs!$E$5:$E$110=$B25)*ISNUMBER(INDEX(Inputs!$K$5:$AJ$110,0,MATCH(AJ$2,Inputs!$K$4:$AJ$4,0))))=0,NA(),SUMPRODUCT((Inputs!$A$5:$A$110=$B25)*Inputs!$B$5:$B$110*(((Inputs!$G$5:$G$110="moeda")+(Inputs!$G$5:$G$110="acoes"))*Inputs!$B$1+((Inputs!$G$5:$G$110&lt;&gt;"moeda")*(Inputs!$G$5:$G$110&lt;&gt;"acoes")))*INDEX(Inputs!$K$5:$AJ$110,0,MATCH(AJ$2,Inputs!$K$4:$AJ$4,0)))+SUMPRODUCT((Inputs!$C$5:$C$110=$B25)*Inputs!$D$5:$D$110*(((Inputs!$G$5:$G$110="moeda")+(Inputs!$G$5:$G$110="acoes"))*Inputs!$B$1+((Inputs!$G$5:$G$110&lt;&gt;"moeda")*(Inputs!$G$5:$G$110&lt;&gt;"acoes")))*INDEX(Inputs!$K$5:$AJ$110,0,MATCH(AJ$2,Inputs!$K$4:$AJ$4,0)))+SUMPRODUCT((Inputs!$E$5:$E$110=$B25)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5" s="267">
        <f>IF(ISNA(MATCH(AK$2,Inputs!$K$4:$AJ$4,0)),NA(),IF(SUMPRODUCT((Inputs!$A$5:$A$110=$B25)*ISNUMBER(INDEX(Inputs!$K$5:$AJ$110,0,MATCH(AK$2,Inputs!$K$4:$AJ$4,0))))+SUMPRODUCT((Inputs!$C$5:$C$110=$B25)*ISNUMBER(INDEX(Inputs!$K$5:$AJ$110,0,MATCH(AK$2,Inputs!$K$4:$AJ$4,0))))+SUMPRODUCT((Inputs!$E$5:$E$110=$B25)*ISNUMBER(INDEX(Inputs!$K$5:$AJ$110,0,MATCH(AK$2,Inputs!$K$4:$AJ$4,0))))=0,NA(),SUMPRODUCT((Inputs!$A$5:$A$110=$B25)*Inputs!$B$5:$B$110*(((Inputs!$G$5:$G$110="moeda")+(Inputs!$G$5:$G$110="acoes"))*Inputs!$B$1+((Inputs!$G$5:$G$110&lt;&gt;"moeda")*(Inputs!$G$5:$G$110&lt;&gt;"acoes")))*INDEX(Inputs!$K$5:$AJ$110,0,MATCH(AK$2,Inputs!$K$4:$AJ$4,0)))+SUMPRODUCT((Inputs!$C$5:$C$110=$B25)*Inputs!$D$5:$D$110*(((Inputs!$G$5:$G$110="moeda")+(Inputs!$G$5:$G$110="acoes"))*Inputs!$B$1+((Inputs!$G$5:$G$110&lt;&gt;"moeda")*(Inputs!$G$5:$G$110&lt;&gt;"acoes")))*INDEX(Inputs!$K$5:$AJ$110,0,MATCH(AK$2,Inputs!$K$4:$AJ$4,0)))+SUMPRODUCT((Inputs!$E$5:$E$110=$B25)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5" s="268">
        <f>AK25</f>
        <v>0</v>
      </c>
    </row>
    <row r="26" ht="12.75" customHeight="1" s="255">
      <c r="B26" s="265" t="n">
        <v>22</v>
      </c>
      <c r="C26" s="270" t="inlineStr">
        <is>
          <t>Other non-current assets</t>
        </is>
      </c>
      <c r="D26" s="267">
        <f>IF(ISNA(MATCH(D$2,Inputs!$K$4:$AJ$4,0)),NA(),IF(SUMPRODUCT((Inputs!$A$5:$A$110=$B26)*ISNUMBER(INDEX(Inputs!$K$5:$AJ$110,0,MATCH(D$2,Inputs!$K$4:$AJ$4,0))))+SUMPRODUCT((Inputs!$C$5:$C$110=$B26)*ISNUMBER(INDEX(Inputs!$K$5:$AJ$110,0,MATCH(D$2,Inputs!$K$4:$AJ$4,0))))+SUMPRODUCT((Inputs!$E$5:$E$110=$B26)*ISNUMBER(INDEX(Inputs!$K$5:$AJ$110,0,MATCH(D$2,Inputs!$K$4:$AJ$4,0))))=0,NA(),SUMPRODUCT((Inputs!$A$5:$A$110=$B26)*Inputs!$B$5:$B$110*(((Inputs!$G$5:$G$110="moeda")+(Inputs!$G$5:$G$110="acoes"))*Inputs!$B$1+((Inputs!$G$5:$G$110&lt;&gt;"moeda")*(Inputs!$G$5:$G$110&lt;&gt;"acoes")))*INDEX(Inputs!$K$5:$AJ$110,0,MATCH(D$2,Inputs!$K$4:$AJ$4,0)))+SUMPRODUCT((Inputs!$C$5:$C$110=$B26)*Inputs!$D$5:$D$110*(((Inputs!$G$5:$G$110="moeda")+(Inputs!$G$5:$G$110="acoes"))*Inputs!$B$1+((Inputs!$G$5:$G$110&lt;&gt;"moeda")*(Inputs!$G$5:$G$110&lt;&gt;"acoes")))*INDEX(Inputs!$K$5:$AJ$110,0,MATCH(D$2,Inputs!$K$4:$AJ$4,0)))+SUMPRODUCT((Inputs!$E$5:$E$110=$B26)*Inputs!$F$5:$F$110*(((Inputs!$G$5:$G$110="moeda")+(Inputs!$G$5:$G$110="acoes"))*Inputs!$B$1+((Inputs!$G$5:$G$110&lt;&gt;"moeda")*(Inputs!$G$5:$G$110&lt;&gt;"acoes")))*INDEX(Inputs!$K$5:$AJ$110,0,MATCH(D$2,Inputs!$K$4:$AJ$4,0)))))</f>
        <v>26472</v>
      </c>
      <c r="E26" s="267">
        <f>IF(ISNA(MATCH(E$2,Inputs!$K$4:$AJ$4,0)),NA(),IF(SUMPRODUCT((Inputs!$A$5:$A$110=$B26)*ISNUMBER(INDEX(Inputs!$K$5:$AJ$110,0,MATCH(E$2,Inputs!$K$4:$AJ$4,0))))+SUMPRODUCT((Inputs!$C$5:$C$110=$B26)*ISNUMBER(INDEX(Inputs!$K$5:$AJ$110,0,MATCH(E$2,Inputs!$K$4:$AJ$4,0))))+SUMPRODUCT((Inputs!$E$5:$E$110=$B26)*ISNUMBER(INDEX(Inputs!$K$5:$AJ$110,0,MATCH(E$2,Inputs!$K$4:$AJ$4,0))))=0,NA(),SUMPRODUCT((Inputs!$A$5:$A$110=$B26)*Inputs!$B$5:$B$110*(((Inputs!$G$5:$G$110="moeda")+(Inputs!$G$5:$G$110="acoes"))*Inputs!$B$1+((Inputs!$G$5:$G$110&lt;&gt;"moeda")*(Inputs!$G$5:$G$110&lt;&gt;"acoes")))*INDEX(Inputs!$K$5:$AJ$110,0,MATCH(E$2,Inputs!$K$4:$AJ$4,0)))+SUMPRODUCT((Inputs!$C$5:$C$110=$B26)*Inputs!$D$5:$D$110*(((Inputs!$G$5:$G$110="moeda")+(Inputs!$G$5:$G$110="acoes"))*Inputs!$B$1+((Inputs!$G$5:$G$110&lt;&gt;"moeda")*(Inputs!$G$5:$G$110&lt;&gt;"acoes")))*INDEX(Inputs!$K$5:$AJ$110,0,MATCH(E$2,Inputs!$K$4:$AJ$4,0)))+SUMPRODUCT((Inputs!$E$5:$E$110=$B26)*Inputs!$F$5:$F$110*(((Inputs!$G$5:$G$110="moeda")+(Inputs!$G$5:$G$110="acoes"))*Inputs!$B$1+((Inputs!$G$5:$G$110&lt;&gt;"moeda")*(Inputs!$G$5:$G$110&lt;&gt;"acoes")))*INDEX(Inputs!$K$5:$AJ$110,0,MATCH(E$2,Inputs!$K$4:$AJ$4,0)))))</f>
        <v>25661</v>
      </c>
      <c r="F26" s="267">
        <f>IF(ISNA(MATCH(F$2,Inputs!$K$4:$AJ$4,0)),NA(),IF(SUMPRODUCT((Inputs!$A$5:$A$110=$B26)*ISNUMBER(INDEX(Inputs!$K$5:$AJ$110,0,MATCH(F$2,Inputs!$K$4:$AJ$4,0))))+SUMPRODUCT((Inputs!$C$5:$C$110=$B26)*ISNUMBER(INDEX(Inputs!$K$5:$AJ$110,0,MATCH(F$2,Inputs!$K$4:$AJ$4,0))))+SUMPRODUCT((Inputs!$E$5:$E$110=$B26)*ISNUMBER(INDEX(Inputs!$K$5:$AJ$110,0,MATCH(F$2,Inputs!$K$4:$AJ$4,0))))=0,NA(),SUMPRODUCT((Inputs!$A$5:$A$110=$B26)*Inputs!$B$5:$B$110*(((Inputs!$G$5:$G$110="moeda")+(Inputs!$G$5:$G$110="acoes"))*Inputs!$B$1+((Inputs!$G$5:$G$110&lt;&gt;"moeda")*(Inputs!$G$5:$G$110&lt;&gt;"acoes")))*INDEX(Inputs!$K$5:$AJ$110,0,MATCH(F$2,Inputs!$K$4:$AJ$4,0)))+SUMPRODUCT((Inputs!$C$5:$C$110=$B26)*Inputs!$D$5:$D$110*(((Inputs!$G$5:$G$110="moeda")+(Inputs!$G$5:$G$110="acoes"))*Inputs!$B$1+((Inputs!$G$5:$G$110&lt;&gt;"moeda")*(Inputs!$G$5:$G$110&lt;&gt;"acoes")))*INDEX(Inputs!$K$5:$AJ$110,0,MATCH(F$2,Inputs!$K$4:$AJ$4,0)))+SUMPRODUCT((Inputs!$E$5:$E$110=$B26)*Inputs!$F$5:$F$110*(((Inputs!$G$5:$G$110="moeda")+(Inputs!$G$5:$G$110="acoes"))*Inputs!$B$1+((Inputs!$G$5:$G$110&lt;&gt;"moeda")*(Inputs!$G$5:$G$110&lt;&gt;"acoes")))*INDEX(Inputs!$K$5:$AJ$110,0,MATCH(F$2,Inputs!$K$4:$AJ$4,0)))))</f>
        <v>26859</v>
      </c>
      <c r="G26" s="267">
        <f>IF(ISNA(MATCH(G$2,Inputs!$K$4:$AJ$4,0)),NA(),IF(SUMPRODUCT((Inputs!$A$5:$A$110=$B26)*ISNUMBER(INDEX(Inputs!$K$5:$AJ$110,0,MATCH(G$2,Inputs!$K$4:$AJ$4,0))))+SUMPRODUCT((Inputs!$C$5:$C$110=$B26)*ISNUMBER(INDEX(Inputs!$K$5:$AJ$110,0,MATCH(G$2,Inputs!$K$4:$AJ$4,0))))+SUMPRODUCT((Inputs!$E$5:$E$110=$B26)*ISNUMBER(INDEX(Inputs!$K$5:$AJ$110,0,MATCH(G$2,Inputs!$K$4:$AJ$4,0))))=0,NA(),SUMPRODUCT((Inputs!$A$5:$A$110=$B26)*Inputs!$B$5:$B$110*(((Inputs!$G$5:$G$110="moeda")+(Inputs!$G$5:$G$110="acoes"))*Inputs!$B$1+((Inputs!$G$5:$G$110&lt;&gt;"moeda")*(Inputs!$G$5:$G$110&lt;&gt;"acoes")))*INDEX(Inputs!$K$5:$AJ$110,0,MATCH(G$2,Inputs!$K$4:$AJ$4,0)))+SUMPRODUCT((Inputs!$C$5:$C$110=$B26)*Inputs!$D$5:$D$110*(((Inputs!$G$5:$G$110="moeda")+(Inputs!$G$5:$G$110="acoes"))*Inputs!$B$1+((Inputs!$G$5:$G$110&lt;&gt;"moeda")*(Inputs!$G$5:$G$110&lt;&gt;"acoes")))*INDEX(Inputs!$K$5:$AJ$110,0,MATCH(G$2,Inputs!$K$4:$AJ$4,0)))+SUMPRODUCT((Inputs!$E$5:$E$110=$B26)*Inputs!$F$5:$F$110*(((Inputs!$G$5:$G$110="moeda")+(Inputs!$G$5:$G$110="acoes"))*Inputs!$B$1+((Inputs!$G$5:$G$110&lt;&gt;"moeda")*(Inputs!$G$5:$G$110&lt;&gt;"acoes")))*INDEX(Inputs!$K$5:$AJ$110,0,MATCH(G$2,Inputs!$K$4:$AJ$4,0)))))</f>
        <v>26503</v>
      </c>
      <c r="H26" s="268">
        <f>G26</f>
        <v>26503</v>
      </c>
      <c r="I26" s="267">
        <f>IF(ISNA(MATCH(I$2,Inputs!$K$4:$AJ$4,0)),NA(),IF(SUMPRODUCT((Inputs!$A$5:$A$110=$B26)*ISNUMBER(INDEX(Inputs!$K$5:$AJ$110,0,MATCH(I$2,Inputs!$K$4:$AJ$4,0))))+SUMPRODUCT((Inputs!$C$5:$C$110=$B26)*ISNUMBER(INDEX(Inputs!$K$5:$AJ$110,0,MATCH(I$2,Inputs!$K$4:$AJ$4,0))))+SUMPRODUCT((Inputs!$E$5:$E$110=$B26)*ISNUMBER(INDEX(Inputs!$K$5:$AJ$110,0,MATCH(I$2,Inputs!$K$4:$AJ$4,0))))=0,NA(),SUMPRODUCT((Inputs!$A$5:$A$110=$B26)*Inputs!$B$5:$B$110*(((Inputs!$G$5:$G$110="moeda")+(Inputs!$G$5:$G$110="acoes"))*Inputs!$B$1+((Inputs!$G$5:$G$110&lt;&gt;"moeda")*(Inputs!$G$5:$G$110&lt;&gt;"acoes")))*INDEX(Inputs!$K$5:$AJ$110,0,MATCH(I$2,Inputs!$K$4:$AJ$4,0)))+SUMPRODUCT((Inputs!$C$5:$C$110=$B26)*Inputs!$D$5:$D$110*(((Inputs!$G$5:$G$110="moeda")+(Inputs!$G$5:$G$110="acoes"))*Inputs!$B$1+((Inputs!$G$5:$G$110&lt;&gt;"moeda")*(Inputs!$G$5:$G$110&lt;&gt;"acoes")))*INDEX(Inputs!$K$5:$AJ$110,0,MATCH(I$2,Inputs!$K$4:$AJ$4,0)))+SUMPRODUCT((Inputs!$E$5:$E$110=$B26)*Inputs!$F$5:$F$110*(((Inputs!$G$5:$G$110="moeda")+(Inputs!$G$5:$G$110="acoes"))*Inputs!$B$1+((Inputs!$G$5:$G$110&lt;&gt;"moeda")*(Inputs!$G$5:$G$110&lt;&gt;"acoes")))*INDEX(Inputs!$K$5:$AJ$110,0,MATCH(I$2,Inputs!$K$4:$AJ$4,0)))))</f>
        <v>24772</v>
      </c>
      <c r="J26" s="267">
        <f>IF(ISNA(MATCH(J$2,Inputs!$K$4:$AJ$4,0)),NA(),IF(SUMPRODUCT((Inputs!$A$5:$A$110=$B26)*ISNUMBER(INDEX(Inputs!$K$5:$AJ$110,0,MATCH(J$2,Inputs!$K$4:$AJ$4,0))))+SUMPRODUCT((Inputs!$C$5:$C$110=$B26)*ISNUMBER(INDEX(Inputs!$K$5:$AJ$110,0,MATCH(J$2,Inputs!$K$4:$AJ$4,0))))+SUMPRODUCT((Inputs!$E$5:$E$110=$B26)*ISNUMBER(INDEX(Inputs!$K$5:$AJ$110,0,MATCH(J$2,Inputs!$K$4:$AJ$4,0))))=0,NA(),SUMPRODUCT((Inputs!$A$5:$A$110=$B26)*Inputs!$B$5:$B$110*(((Inputs!$G$5:$G$110="moeda")+(Inputs!$G$5:$G$110="acoes"))*Inputs!$B$1+((Inputs!$G$5:$G$110&lt;&gt;"moeda")*(Inputs!$G$5:$G$110&lt;&gt;"acoes")))*INDEX(Inputs!$K$5:$AJ$110,0,MATCH(J$2,Inputs!$K$4:$AJ$4,0)))+SUMPRODUCT((Inputs!$C$5:$C$110=$B26)*Inputs!$D$5:$D$110*(((Inputs!$G$5:$G$110="moeda")+(Inputs!$G$5:$G$110="acoes"))*Inputs!$B$1+((Inputs!$G$5:$G$110&lt;&gt;"moeda")*(Inputs!$G$5:$G$110&lt;&gt;"acoes")))*INDEX(Inputs!$K$5:$AJ$110,0,MATCH(J$2,Inputs!$K$4:$AJ$4,0)))+SUMPRODUCT((Inputs!$E$5:$E$110=$B26)*Inputs!$F$5:$F$110*(((Inputs!$G$5:$G$110="moeda")+(Inputs!$G$5:$G$110="acoes"))*Inputs!$B$1+((Inputs!$G$5:$G$110&lt;&gt;"moeda")*(Inputs!$G$5:$G$110&lt;&gt;"acoes")))*INDEX(Inputs!$K$5:$AJ$110,0,MATCH(J$2,Inputs!$K$4:$AJ$4,0)))))</f>
        <v>24493</v>
      </c>
      <c r="K26" s="267">
        <f>IF(ISNA(MATCH(K$2,Inputs!$K$4:$AJ$4,0)),NA(),IF(SUMPRODUCT((Inputs!$A$5:$A$110=$B26)*ISNUMBER(INDEX(Inputs!$K$5:$AJ$110,0,MATCH(K$2,Inputs!$K$4:$AJ$4,0))))+SUMPRODUCT((Inputs!$C$5:$C$110=$B26)*ISNUMBER(INDEX(Inputs!$K$5:$AJ$110,0,MATCH(K$2,Inputs!$K$4:$AJ$4,0))))+SUMPRODUCT((Inputs!$E$5:$E$110=$B26)*ISNUMBER(INDEX(Inputs!$K$5:$AJ$110,0,MATCH(K$2,Inputs!$K$4:$AJ$4,0))))=0,NA(),SUMPRODUCT((Inputs!$A$5:$A$110=$B26)*Inputs!$B$5:$B$110*(((Inputs!$G$5:$G$110="moeda")+(Inputs!$G$5:$G$110="acoes"))*Inputs!$B$1+((Inputs!$G$5:$G$110&lt;&gt;"moeda")*(Inputs!$G$5:$G$110&lt;&gt;"acoes")))*INDEX(Inputs!$K$5:$AJ$110,0,MATCH(K$2,Inputs!$K$4:$AJ$4,0)))+SUMPRODUCT((Inputs!$C$5:$C$110=$B26)*Inputs!$D$5:$D$110*(((Inputs!$G$5:$G$110="moeda")+(Inputs!$G$5:$G$110="acoes"))*Inputs!$B$1+((Inputs!$G$5:$G$110&lt;&gt;"moeda")*(Inputs!$G$5:$G$110&lt;&gt;"acoes")))*INDEX(Inputs!$K$5:$AJ$110,0,MATCH(K$2,Inputs!$K$4:$AJ$4,0)))+SUMPRODUCT((Inputs!$E$5:$E$110=$B26)*Inputs!$F$5:$F$110*(((Inputs!$G$5:$G$110="moeda")+(Inputs!$G$5:$G$110="acoes"))*Inputs!$B$1+((Inputs!$G$5:$G$110&lt;&gt;"moeda")*(Inputs!$G$5:$G$110&lt;&gt;"acoes")))*INDEX(Inputs!$K$5:$AJ$110,0,MATCH(K$2,Inputs!$K$4:$AJ$4,0)))))</f>
        <v>20892</v>
      </c>
      <c r="L26" s="267">
        <f>IF(ISNA(MATCH(L$2,Inputs!$K$4:$AJ$4,0)),NA(),IF(SUMPRODUCT((Inputs!$A$5:$A$110=$B26)*ISNUMBER(INDEX(Inputs!$K$5:$AJ$110,0,MATCH(L$2,Inputs!$K$4:$AJ$4,0))))+SUMPRODUCT((Inputs!$C$5:$C$110=$B26)*ISNUMBER(INDEX(Inputs!$K$5:$AJ$110,0,MATCH(L$2,Inputs!$K$4:$AJ$4,0))))+SUMPRODUCT((Inputs!$E$5:$E$110=$B26)*ISNUMBER(INDEX(Inputs!$K$5:$AJ$110,0,MATCH(L$2,Inputs!$K$4:$AJ$4,0))))=0,NA(),SUMPRODUCT((Inputs!$A$5:$A$110=$B26)*Inputs!$B$5:$B$110*(((Inputs!$G$5:$G$110="moeda")+(Inputs!$G$5:$G$110="acoes"))*Inputs!$B$1+((Inputs!$G$5:$G$110&lt;&gt;"moeda")*(Inputs!$G$5:$G$110&lt;&gt;"acoes")))*INDEX(Inputs!$K$5:$AJ$110,0,MATCH(L$2,Inputs!$K$4:$AJ$4,0)))+SUMPRODUCT((Inputs!$C$5:$C$110=$B26)*Inputs!$D$5:$D$110*(((Inputs!$G$5:$G$110="moeda")+(Inputs!$G$5:$G$110="acoes"))*Inputs!$B$1+((Inputs!$G$5:$G$110&lt;&gt;"moeda")*(Inputs!$G$5:$G$110&lt;&gt;"acoes")))*INDEX(Inputs!$K$5:$AJ$110,0,MATCH(L$2,Inputs!$K$4:$AJ$4,0)))+SUMPRODUCT((Inputs!$E$5:$E$110=$B26)*Inputs!$F$5:$F$110*(((Inputs!$G$5:$G$110="moeda")+(Inputs!$G$5:$G$110="acoes"))*Inputs!$B$1+((Inputs!$G$5:$G$110&lt;&gt;"moeda")*(Inputs!$G$5:$G$110&lt;&gt;"acoes")))*INDEX(Inputs!$K$5:$AJ$110,0,MATCH(L$2,Inputs!$K$4:$AJ$4,0)))))</f>
        <v>25053</v>
      </c>
      <c r="M26" s="268">
        <f>L26</f>
        <v>25053</v>
      </c>
      <c r="N26" s="267">
        <f>IF(ISNA(MATCH(N$2,Inputs!$K$4:$AJ$4,0)),NA(),IF(SUMPRODUCT((Inputs!$A$5:$A$110=$B26)*ISNUMBER(INDEX(Inputs!$K$5:$AJ$110,0,MATCH(N$2,Inputs!$K$4:$AJ$4,0))))+SUMPRODUCT((Inputs!$C$5:$C$110=$B26)*ISNUMBER(INDEX(Inputs!$K$5:$AJ$110,0,MATCH(N$2,Inputs!$K$4:$AJ$4,0))))+SUMPRODUCT((Inputs!$E$5:$E$110=$B26)*ISNUMBER(INDEX(Inputs!$K$5:$AJ$110,0,MATCH(N$2,Inputs!$K$4:$AJ$4,0))))=0,NA(),SUMPRODUCT((Inputs!$A$5:$A$110=$B26)*Inputs!$B$5:$B$110*(((Inputs!$G$5:$G$110="moeda")+(Inputs!$G$5:$G$110="acoes"))*Inputs!$B$1+((Inputs!$G$5:$G$110&lt;&gt;"moeda")*(Inputs!$G$5:$G$110&lt;&gt;"acoes")))*INDEX(Inputs!$K$5:$AJ$110,0,MATCH(N$2,Inputs!$K$4:$AJ$4,0)))+SUMPRODUCT((Inputs!$C$5:$C$110=$B26)*Inputs!$D$5:$D$110*(((Inputs!$G$5:$G$110="moeda")+(Inputs!$G$5:$G$110="acoes"))*Inputs!$B$1+((Inputs!$G$5:$G$110&lt;&gt;"moeda")*(Inputs!$G$5:$G$110&lt;&gt;"acoes")))*INDEX(Inputs!$K$5:$AJ$110,0,MATCH(N$2,Inputs!$K$4:$AJ$4,0)))+SUMPRODUCT((Inputs!$E$5:$E$110=$B26)*Inputs!$F$5:$F$110*(((Inputs!$G$5:$G$110="moeda")+(Inputs!$G$5:$G$110="acoes"))*Inputs!$B$1+((Inputs!$G$5:$G$110&lt;&gt;"moeda")*(Inputs!$G$5:$G$110&lt;&gt;"acoes")))*INDEX(Inputs!$K$5:$AJ$110,0,MATCH(N$2,Inputs!$K$4:$AJ$4,0)))))</f>
        <v>22222</v>
      </c>
      <c r="O26" s="267">
        <f>IF(ISNA(MATCH(O$2,Inputs!$K$4:$AJ$4,0)),NA(),IF(SUMPRODUCT((Inputs!$A$5:$A$110=$B26)*ISNUMBER(INDEX(Inputs!$K$5:$AJ$110,0,MATCH(O$2,Inputs!$K$4:$AJ$4,0))))+SUMPRODUCT((Inputs!$C$5:$C$110=$B26)*ISNUMBER(INDEX(Inputs!$K$5:$AJ$110,0,MATCH(O$2,Inputs!$K$4:$AJ$4,0))))+SUMPRODUCT((Inputs!$E$5:$E$110=$B26)*ISNUMBER(INDEX(Inputs!$K$5:$AJ$110,0,MATCH(O$2,Inputs!$K$4:$AJ$4,0))))=0,NA(),SUMPRODUCT((Inputs!$A$5:$A$110=$B26)*Inputs!$B$5:$B$110*(((Inputs!$G$5:$G$110="moeda")+(Inputs!$G$5:$G$110="acoes"))*Inputs!$B$1+((Inputs!$G$5:$G$110&lt;&gt;"moeda")*(Inputs!$G$5:$G$110&lt;&gt;"acoes")))*INDEX(Inputs!$K$5:$AJ$110,0,MATCH(O$2,Inputs!$K$4:$AJ$4,0)))+SUMPRODUCT((Inputs!$C$5:$C$110=$B26)*Inputs!$D$5:$D$110*(((Inputs!$G$5:$G$110="moeda")+(Inputs!$G$5:$G$110="acoes"))*Inputs!$B$1+((Inputs!$G$5:$G$110&lt;&gt;"moeda")*(Inputs!$G$5:$G$110&lt;&gt;"acoes")))*INDEX(Inputs!$K$5:$AJ$110,0,MATCH(O$2,Inputs!$K$4:$AJ$4,0)))+SUMPRODUCT((Inputs!$E$5:$E$110=$B26)*Inputs!$F$5:$F$110*(((Inputs!$G$5:$G$110="moeda")+(Inputs!$G$5:$G$110="acoes"))*Inputs!$B$1+((Inputs!$G$5:$G$110&lt;&gt;"moeda")*(Inputs!$G$5:$G$110&lt;&gt;"acoes")))*INDEX(Inputs!$K$5:$AJ$110,0,MATCH(O$2,Inputs!$K$4:$AJ$4,0)))))</f>
        <v>26378</v>
      </c>
      <c r="P26" s="267">
        <f>IF(ISNA(MATCH(P$2,Inputs!$K$4:$AJ$4,0)),NA(),IF(SUMPRODUCT((Inputs!$A$5:$A$110=$B26)*ISNUMBER(INDEX(Inputs!$K$5:$AJ$110,0,MATCH(P$2,Inputs!$K$4:$AJ$4,0))))+SUMPRODUCT((Inputs!$C$5:$C$110=$B26)*ISNUMBER(INDEX(Inputs!$K$5:$AJ$110,0,MATCH(P$2,Inputs!$K$4:$AJ$4,0))))+SUMPRODUCT((Inputs!$E$5:$E$110=$B26)*ISNUMBER(INDEX(Inputs!$K$5:$AJ$110,0,MATCH(P$2,Inputs!$K$4:$AJ$4,0))))=0,NA(),SUMPRODUCT((Inputs!$A$5:$A$110=$B26)*Inputs!$B$5:$B$110*(((Inputs!$G$5:$G$110="moeda")+(Inputs!$G$5:$G$110="acoes"))*Inputs!$B$1+((Inputs!$G$5:$G$110&lt;&gt;"moeda")*(Inputs!$G$5:$G$110&lt;&gt;"acoes")))*INDEX(Inputs!$K$5:$AJ$110,0,MATCH(P$2,Inputs!$K$4:$AJ$4,0)))+SUMPRODUCT((Inputs!$C$5:$C$110=$B26)*Inputs!$D$5:$D$110*(((Inputs!$G$5:$G$110="moeda")+(Inputs!$G$5:$G$110="acoes"))*Inputs!$B$1+((Inputs!$G$5:$G$110&lt;&gt;"moeda")*(Inputs!$G$5:$G$110&lt;&gt;"acoes")))*INDEX(Inputs!$K$5:$AJ$110,0,MATCH(P$2,Inputs!$K$4:$AJ$4,0)))+SUMPRODUCT((Inputs!$E$5:$E$110=$B26)*Inputs!$F$5:$F$110*(((Inputs!$G$5:$G$110="moeda")+(Inputs!$G$5:$G$110="acoes"))*Inputs!$B$1+((Inputs!$G$5:$G$110&lt;&gt;"moeda")*(Inputs!$G$5:$G$110&lt;&gt;"acoes")))*INDEX(Inputs!$K$5:$AJ$110,0,MATCH(P$2,Inputs!$K$4:$AJ$4,0)))))</f>
        <v>21750</v>
      </c>
      <c r="Q26" s="267">
        <f>IF(ISNA(MATCH(Q$2,Inputs!$K$4:$AJ$4,0)),NA(),IF(SUMPRODUCT((Inputs!$A$5:$A$110=$B26)*ISNUMBER(INDEX(Inputs!$K$5:$AJ$110,0,MATCH(Q$2,Inputs!$K$4:$AJ$4,0))))+SUMPRODUCT((Inputs!$C$5:$C$110=$B26)*ISNUMBER(INDEX(Inputs!$K$5:$AJ$110,0,MATCH(Q$2,Inputs!$K$4:$AJ$4,0))))+SUMPRODUCT((Inputs!$E$5:$E$110=$B26)*ISNUMBER(INDEX(Inputs!$K$5:$AJ$110,0,MATCH(Q$2,Inputs!$K$4:$AJ$4,0))))=0,NA(),SUMPRODUCT((Inputs!$A$5:$A$110=$B26)*Inputs!$B$5:$B$110*(((Inputs!$G$5:$G$110="moeda")+(Inputs!$G$5:$G$110="acoes"))*Inputs!$B$1+((Inputs!$G$5:$G$110&lt;&gt;"moeda")*(Inputs!$G$5:$G$110&lt;&gt;"acoes")))*INDEX(Inputs!$K$5:$AJ$110,0,MATCH(Q$2,Inputs!$K$4:$AJ$4,0)))+SUMPRODUCT((Inputs!$C$5:$C$110=$B26)*Inputs!$D$5:$D$110*(((Inputs!$G$5:$G$110="moeda")+(Inputs!$G$5:$G$110="acoes"))*Inputs!$B$1+((Inputs!$G$5:$G$110&lt;&gt;"moeda")*(Inputs!$G$5:$G$110&lt;&gt;"acoes")))*INDEX(Inputs!$K$5:$AJ$110,0,MATCH(Q$2,Inputs!$K$4:$AJ$4,0)))+SUMPRODUCT((Inputs!$E$5:$E$110=$B26)*Inputs!$F$5:$F$110*(((Inputs!$G$5:$G$110="moeda")+(Inputs!$G$5:$G$110="acoes"))*Inputs!$B$1+((Inputs!$G$5:$G$110&lt;&gt;"moeda")*(Inputs!$G$5:$G$110&lt;&gt;"acoes")))*INDEX(Inputs!$K$5:$AJ$110,0,MATCH(Q$2,Inputs!$K$4:$AJ$4,0)))))</f>
        <v>22926</v>
      </c>
      <c r="R26" s="268">
        <f>Q26</f>
        <v>22926</v>
      </c>
      <c r="S26" s="267">
        <f>IF(ISNA(MATCH(S$2,Inputs!$K$4:$AJ$4,0)),NA(),IF(SUMPRODUCT((Inputs!$A$5:$A$110=$B26)*ISNUMBER(INDEX(Inputs!$K$5:$AJ$110,0,MATCH(S$2,Inputs!$K$4:$AJ$4,0))))+SUMPRODUCT((Inputs!$C$5:$C$110=$B26)*ISNUMBER(INDEX(Inputs!$K$5:$AJ$110,0,MATCH(S$2,Inputs!$K$4:$AJ$4,0))))+SUMPRODUCT((Inputs!$E$5:$E$110=$B26)*ISNUMBER(INDEX(Inputs!$K$5:$AJ$110,0,MATCH(S$2,Inputs!$K$4:$AJ$4,0))))=0,NA(),SUMPRODUCT((Inputs!$A$5:$A$110=$B26)*Inputs!$B$5:$B$110*(((Inputs!$G$5:$G$110="moeda")+(Inputs!$G$5:$G$110="acoes"))*Inputs!$B$1+((Inputs!$G$5:$G$110&lt;&gt;"moeda")*(Inputs!$G$5:$G$110&lt;&gt;"acoes")))*INDEX(Inputs!$K$5:$AJ$110,0,MATCH(S$2,Inputs!$K$4:$AJ$4,0)))+SUMPRODUCT((Inputs!$C$5:$C$110=$B26)*Inputs!$D$5:$D$110*(((Inputs!$G$5:$G$110="moeda")+(Inputs!$G$5:$G$110="acoes"))*Inputs!$B$1+((Inputs!$G$5:$G$110&lt;&gt;"moeda")*(Inputs!$G$5:$G$110&lt;&gt;"acoes")))*INDEX(Inputs!$K$5:$AJ$110,0,MATCH(S$2,Inputs!$K$4:$AJ$4,0)))+SUMPRODUCT((Inputs!$E$5:$E$110=$B26)*Inputs!$F$5:$F$110*(((Inputs!$G$5:$G$110="moeda")+(Inputs!$G$5:$G$110="acoes"))*Inputs!$B$1+((Inputs!$G$5:$G$110&lt;&gt;"moeda")*(Inputs!$G$5:$G$110&lt;&gt;"acoes")))*INDEX(Inputs!$K$5:$AJ$110,0,MATCH(S$2,Inputs!$K$4:$AJ$4,0)))))</f>
        <v>23843</v>
      </c>
      <c r="T26" s="267">
        <f>IF(ISNA(MATCH(T$2,Inputs!$K$4:$AJ$4,0)),NA(),IF(SUMPRODUCT((Inputs!$A$5:$A$110=$B26)*ISNUMBER(INDEX(Inputs!$K$5:$AJ$110,0,MATCH(T$2,Inputs!$K$4:$AJ$4,0))))+SUMPRODUCT((Inputs!$C$5:$C$110=$B26)*ISNUMBER(INDEX(Inputs!$K$5:$AJ$110,0,MATCH(T$2,Inputs!$K$4:$AJ$4,0))))+SUMPRODUCT((Inputs!$E$5:$E$110=$B26)*ISNUMBER(INDEX(Inputs!$K$5:$AJ$110,0,MATCH(T$2,Inputs!$K$4:$AJ$4,0))))=0,NA(),SUMPRODUCT((Inputs!$A$5:$A$110=$B26)*Inputs!$B$5:$B$110*(((Inputs!$G$5:$G$110="moeda")+(Inputs!$G$5:$G$110="acoes"))*Inputs!$B$1+((Inputs!$G$5:$G$110&lt;&gt;"moeda")*(Inputs!$G$5:$G$110&lt;&gt;"acoes")))*INDEX(Inputs!$K$5:$AJ$110,0,MATCH(T$2,Inputs!$K$4:$AJ$4,0)))+SUMPRODUCT((Inputs!$C$5:$C$110=$B26)*Inputs!$D$5:$D$110*(((Inputs!$G$5:$G$110="moeda")+(Inputs!$G$5:$G$110="acoes"))*Inputs!$B$1+((Inputs!$G$5:$G$110&lt;&gt;"moeda")*(Inputs!$G$5:$G$110&lt;&gt;"acoes")))*INDEX(Inputs!$K$5:$AJ$110,0,MATCH(T$2,Inputs!$K$4:$AJ$4,0)))+SUMPRODUCT((Inputs!$E$5:$E$110=$B26)*Inputs!$F$5:$F$110*(((Inputs!$G$5:$G$110="moeda")+(Inputs!$G$5:$G$110="acoes"))*Inputs!$B$1+((Inputs!$G$5:$G$110&lt;&gt;"moeda")*(Inputs!$G$5:$G$110&lt;&gt;"acoes")))*INDEX(Inputs!$K$5:$AJ$110,0,MATCH(T$2,Inputs!$K$4:$AJ$4,0)))))</f>
        <v>22603</v>
      </c>
      <c r="U26" s="267">
        <f>IF(ISNA(MATCH(U$2,Inputs!$K$4:$AJ$4,0)),NA(),IF(SUMPRODUCT((Inputs!$A$5:$A$110=$B26)*ISNUMBER(INDEX(Inputs!$K$5:$AJ$110,0,MATCH(U$2,Inputs!$K$4:$AJ$4,0))))+SUMPRODUCT((Inputs!$C$5:$C$110=$B26)*ISNUMBER(INDEX(Inputs!$K$5:$AJ$110,0,MATCH(U$2,Inputs!$K$4:$AJ$4,0))))+SUMPRODUCT((Inputs!$E$5:$E$110=$B26)*ISNUMBER(INDEX(Inputs!$K$5:$AJ$110,0,MATCH(U$2,Inputs!$K$4:$AJ$4,0))))=0,NA(),SUMPRODUCT((Inputs!$A$5:$A$110=$B26)*Inputs!$B$5:$B$110*(((Inputs!$G$5:$G$110="moeda")+(Inputs!$G$5:$G$110="acoes"))*Inputs!$B$1+((Inputs!$G$5:$G$110&lt;&gt;"moeda")*(Inputs!$G$5:$G$110&lt;&gt;"acoes")))*INDEX(Inputs!$K$5:$AJ$110,0,MATCH(U$2,Inputs!$K$4:$AJ$4,0)))+SUMPRODUCT((Inputs!$C$5:$C$110=$B26)*Inputs!$D$5:$D$110*(((Inputs!$G$5:$G$110="moeda")+(Inputs!$G$5:$G$110="acoes"))*Inputs!$B$1+((Inputs!$G$5:$G$110&lt;&gt;"moeda")*(Inputs!$G$5:$G$110&lt;&gt;"acoes")))*INDEX(Inputs!$K$5:$AJ$110,0,MATCH(U$2,Inputs!$K$4:$AJ$4,0)))+SUMPRODUCT((Inputs!$E$5:$E$110=$B26)*Inputs!$F$5:$F$110*(((Inputs!$G$5:$G$110="moeda")+(Inputs!$G$5:$G$110="acoes"))*Inputs!$B$1+((Inputs!$G$5:$G$110&lt;&gt;"moeda")*(Inputs!$G$5:$G$110&lt;&gt;"acoes")))*INDEX(Inputs!$K$5:$AJ$110,0,MATCH(U$2,Inputs!$K$4:$AJ$4,0)))))</f>
        <v>18220</v>
      </c>
      <c r="V26" s="267">
        <f>IF(ISNA(MATCH(V$2,Inputs!$K$4:$AJ$4,0)),NA(),IF(SUMPRODUCT((Inputs!$A$5:$A$110=$B26)*ISNUMBER(INDEX(Inputs!$K$5:$AJ$110,0,MATCH(V$2,Inputs!$K$4:$AJ$4,0))))+SUMPRODUCT((Inputs!$C$5:$C$110=$B26)*ISNUMBER(INDEX(Inputs!$K$5:$AJ$110,0,MATCH(V$2,Inputs!$K$4:$AJ$4,0))))+SUMPRODUCT((Inputs!$E$5:$E$110=$B26)*ISNUMBER(INDEX(Inputs!$K$5:$AJ$110,0,MATCH(V$2,Inputs!$K$4:$AJ$4,0))))=0,NA(),SUMPRODUCT((Inputs!$A$5:$A$110=$B26)*Inputs!$B$5:$B$110*(((Inputs!$G$5:$G$110="moeda")+(Inputs!$G$5:$G$110="acoes"))*Inputs!$B$1+((Inputs!$G$5:$G$110&lt;&gt;"moeda")*(Inputs!$G$5:$G$110&lt;&gt;"acoes")))*INDEX(Inputs!$K$5:$AJ$110,0,MATCH(V$2,Inputs!$K$4:$AJ$4,0)))+SUMPRODUCT((Inputs!$C$5:$C$110=$B26)*Inputs!$D$5:$D$110*(((Inputs!$G$5:$G$110="moeda")+(Inputs!$G$5:$G$110="acoes"))*Inputs!$B$1+((Inputs!$G$5:$G$110&lt;&gt;"moeda")*(Inputs!$G$5:$G$110&lt;&gt;"acoes")))*INDEX(Inputs!$K$5:$AJ$110,0,MATCH(V$2,Inputs!$K$4:$AJ$4,0)))+SUMPRODUCT((Inputs!$E$5:$E$110=$B26)*Inputs!$F$5:$F$110*(((Inputs!$G$5:$G$110="moeda")+(Inputs!$G$5:$G$110="acoes"))*Inputs!$B$1+((Inputs!$G$5:$G$110&lt;&gt;"moeda")*(Inputs!$G$5:$G$110&lt;&gt;"acoes")))*INDEX(Inputs!$K$5:$AJ$110,0,MATCH(V$2,Inputs!$K$4:$AJ$4,0)))))</f>
        <v>18981</v>
      </c>
      <c r="W26" s="268">
        <f>V26</f>
        <v>18981</v>
      </c>
      <c r="X26" s="267">
        <f>IF(ISNA(MATCH(X$2,Inputs!$K$4:$AJ$4,0)),NA(),IF(SUMPRODUCT((Inputs!$A$5:$A$110=$B26)*ISNUMBER(INDEX(Inputs!$K$5:$AJ$110,0,MATCH(X$2,Inputs!$K$4:$AJ$4,0))))+SUMPRODUCT((Inputs!$C$5:$C$110=$B26)*ISNUMBER(INDEX(Inputs!$K$5:$AJ$110,0,MATCH(X$2,Inputs!$K$4:$AJ$4,0))))+SUMPRODUCT((Inputs!$E$5:$E$110=$B26)*ISNUMBER(INDEX(Inputs!$K$5:$AJ$110,0,MATCH(X$2,Inputs!$K$4:$AJ$4,0))))=0,NA(),SUMPRODUCT((Inputs!$A$5:$A$110=$B26)*Inputs!$B$5:$B$110*(((Inputs!$G$5:$G$110="moeda")+(Inputs!$G$5:$G$110="acoes"))*Inputs!$B$1+((Inputs!$G$5:$G$110&lt;&gt;"moeda")*(Inputs!$G$5:$G$110&lt;&gt;"acoes")))*INDEX(Inputs!$K$5:$AJ$110,0,MATCH(X$2,Inputs!$K$4:$AJ$4,0)))+SUMPRODUCT((Inputs!$C$5:$C$110=$B26)*Inputs!$D$5:$D$110*(((Inputs!$G$5:$G$110="moeda")+(Inputs!$G$5:$G$110="acoes"))*Inputs!$B$1+((Inputs!$G$5:$G$110&lt;&gt;"moeda")*(Inputs!$G$5:$G$110&lt;&gt;"acoes")))*INDEX(Inputs!$K$5:$AJ$110,0,MATCH(X$2,Inputs!$K$4:$AJ$4,0)))+SUMPRODUCT((Inputs!$E$5:$E$110=$B26)*Inputs!$F$5:$F$110*(((Inputs!$G$5:$G$110="moeda")+(Inputs!$G$5:$G$110="acoes"))*Inputs!$B$1+((Inputs!$G$5:$G$110&lt;&gt;"moeda")*(Inputs!$G$5:$G$110&lt;&gt;"acoes")))*INDEX(Inputs!$K$5:$AJ$110,0,MATCH(X$2,Inputs!$K$4:$AJ$4,0)))))</f>
        <v>18425</v>
      </c>
      <c r="Y26" s="267">
        <f>IF(ISNA(MATCH(Y$2,Inputs!$K$4:$AJ$4,0)),NA(),IF(SUMPRODUCT((Inputs!$A$5:$A$110=$B26)*ISNUMBER(INDEX(Inputs!$K$5:$AJ$110,0,MATCH(Y$2,Inputs!$K$4:$AJ$4,0))))+SUMPRODUCT((Inputs!$C$5:$C$110=$B26)*ISNUMBER(INDEX(Inputs!$K$5:$AJ$110,0,MATCH(Y$2,Inputs!$K$4:$AJ$4,0))))+SUMPRODUCT((Inputs!$E$5:$E$110=$B26)*ISNUMBER(INDEX(Inputs!$K$5:$AJ$110,0,MATCH(Y$2,Inputs!$K$4:$AJ$4,0))))=0,NA(),SUMPRODUCT((Inputs!$A$5:$A$110=$B26)*Inputs!$B$5:$B$110*(((Inputs!$G$5:$G$110="moeda")+(Inputs!$G$5:$G$110="acoes"))*Inputs!$B$1+((Inputs!$G$5:$G$110&lt;&gt;"moeda")*(Inputs!$G$5:$G$110&lt;&gt;"acoes")))*INDEX(Inputs!$K$5:$AJ$110,0,MATCH(Y$2,Inputs!$K$4:$AJ$4,0)))+SUMPRODUCT((Inputs!$C$5:$C$110=$B26)*Inputs!$D$5:$D$110*(((Inputs!$G$5:$G$110="moeda")+(Inputs!$G$5:$G$110="acoes"))*Inputs!$B$1+((Inputs!$G$5:$G$110&lt;&gt;"moeda")*(Inputs!$G$5:$G$110&lt;&gt;"acoes")))*INDEX(Inputs!$K$5:$AJ$110,0,MATCH(Y$2,Inputs!$K$4:$AJ$4,0)))+SUMPRODUCT((Inputs!$E$5:$E$110=$B26)*Inputs!$F$5:$F$110*(((Inputs!$G$5:$G$110="moeda")+(Inputs!$G$5:$G$110="acoes"))*Inputs!$B$1+((Inputs!$G$5:$G$110&lt;&gt;"moeda")*(Inputs!$G$5:$G$110&lt;&gt;"acoes")))*INDEX(Inputs!$K$5:$AJ$110,0,MATCH(Y$2,Inputs!$K$4:$AJ$4,0)))))</f>
        <v>20315</v>
      </c>
      <c r="Z26" s="267">
        <f>IF(ISNA(MATCH(Z$2,Inputs!$K$4:$AJ$4,0)),NA(),IF(SUMPRODUCT((Inputs!$A$5:$A$110=$B26)*ISNUMBER(INDEX(Inputs!$K$5:$AJ$110,0,MATCH(Z$2,Inputs!$K$4:$AJ$4,0))))+SUMPRODUCT((Inputs!$C$5:$C$110=$B26)*ISNUMBER(INDEX(Inputs!$K$5:$AJ$110,0,MATCH(Z$2,Inputs!$K$4:$AJ$4,0))))+SUMPRODUCT((Inputs!$E$5:$E$110=$B26)*ISNUMBER(INDEX(Inputs!$K$5:$AJ$110,0,MATCH(Z$2,Inputs!$K$4:$AJ$4,0))))=0,NA(),SUMPRODUCT((Inputs!$A$5:$A$110=$B26)*Inputs!$B$5:$B$110*(((Inputs!$G$5:$G$110="moeda")+(Inputs!$G$5:$G$110="acoes"))*Inputs!$B$1+((Inputs!$G$5:$G$110&lt;&gt;"moeda")*(Inputs!$G$5:$G$110&lt;&gt;"acoes")))*INDEX(Inputs!$K$5:$AJ$110,0,MATCH(Z$2,Inputs!$K$4:$AJ$4,0)))+SUMPRODUCT((Inputs!$C$5:$C$110=$B26)*Inputs!$D$5:$D$110*(((Inputs!$G$5:$G$110="moeda")+(Inputs!$G$5:$G$110="acoes"))*Inputs!$B$1+((Inputs!$G$5:$G$110&lt;&gt;"moeda")*(Inputs!$G$5:$G$110&lt;&gt;"acoes")))*INDEX(Inputs!$K$5:$AJ$110,0,MATCH(Z$2,Inputs!$K$4:$AJ$4,0)))+SUMPRODUCT((Inputs!$E$5:$E$110=$B26)*Inputs!$F$5:$F$110*(((Inputs!$G$5:$G$110="moeda")+(Inputs!$G$5:$G$110="acoes"))*Inputs!$B$1+((Inputs!$G$5:$G$110&lt;&gt;"moeda")*(Inputs!$G$5:$G$110&lt;&gt;"acoes")))*INDEX(Inputs!$K$5:$AJ$110,0,MATCH(Z$2,Inputs!$K$4:$AJ$4,0)))))</f>
        <v>22311</v>
      </c>
      <c r="AA26" s="267">
        <f>IF(ISNA(MATCH(AA$2,Inputs!$K$4:$AJ$4,0)),NA(),IF(SUMPRODUCT((Inputs!$A$5:$A$110=$B26)*ISNUMBER(INDEX(Inputs!$K$5:$AJ$110,0,MATCH(AA$2,Inputs!$K$4:$AJ$4,0))))+SUMPRODUCT((Inputs!$C$5:$C$110=$B26)*ISNUMBER(INDEX(Inputs!$K$5:$AJ$110,0,MATCH(AA$2,Inputs!$K$4:$AJ$4,0))))+SUMPRODUCT((Inputs!$E$5:$E$110=$B26)*ISNUMBER(INDEX(Inputs!$K$5:$AJ$110,0,MATCH(AA$2,Inputs!$K$4:$AJ$4,0))))=0,NA(),SUMPRODUCT((Inputs!$A$5:$A$110=$B26)*Inputs!$B$5:$B$110*(((Inputs!$G$5:$G$110="moeda")+(Inputs!$G$5:$G$110="acoes"))*Inputs!$B$1+((Inputs!$G$5:$G$110&lt;&gt;"moeda")*(Inputs!$G$5:$G$110&lt;&gt;"acoes")))*INDEX(Inputs!$K$5:$AJ$110,0,MATCH(AA$2,Inputs!$K$4:$AJ$4,0)))+SUMPRODUCT((Inputs!$C$5:$C$110=$B26)*Inputs!$D$5:$D$110*(((Inputs!$G$5:$G$110="moeda")+(Inputs!$G$5:$G$110="acoes"))*Inputs!$B$1+((Inputs!$G$5:$G$110&lt;&gt;"moeda")*(Inputs!$G$5:$G$110&lt;&gt;"acoes")))*INDEX(Inputs!$K$5:$AJ$110,0,MATCH(AA$2,Inputs!$K$4:$AJ$4,0)))+SUMPRODUCT((Inputs!$E$5:$E$110=$B26)*Inputs!$F$5:$F$110*(((Inputs!$G$5:$G$110="moeda")+(Inputs!$G$5:$G$110="acoes"))*Inputs!$B$1+((Inputs!$G$5:$G$110&lt;&gt;"moeda")*(Inputs!$G$5:$G$110&lt;&gt;"acoes")))*INDEX(Inputs!$K$5:$AJ$110,0,MATCH(AA$2,Inputs!$K$4:$AJ$4,0)))))</f>
        <v>20226</v>
      </c>
      <c r="AB26" s="268">
        <f>AA26</f>
        <v>20226</v>
      </c>
      <c r="AC26" s="267">
        <f>IF(ISNA(MATCH(AC$2,Inputs!$K$4:$AJ$4,0)),NA(),IF(SUMPRODUCT((Inputs!$A$5:$A$110=$B26)*ISNUMBER(INDEX(Inputs!$K$5:$AJ$110,0,MATCH(AC$2,Inputs!$K$4:$AJ$4,0))))+SUMPRODUCT((Inputs!$C$5:$C$110=$B26)*ISNUMBER(INDEX(Inputs!$K$5:$AJ$110,0,MATCH(AC$2,Inputs!$K$4:$AJ$4,0))))+SUMPRODUCT((Inputs!$E$5:$E$110=$B26)*ISNUMBER(INDEX(Inputs!$K$5:$AJ$110,0,MATCH(AC$2,Inputs!$K$4:$AJ$4,0))))=0,NA(),SUMPRODUCT((Inputs!$A$5:$A$110=$B26)*Inputs!$B$5:$B$110*(((Inputs!$G$5:$G$110="moeda")+(Inputs!$G$5:$G$110="acoes"))*Inputs!$B$1+((Inputs!$G$5:$G$110&lt;&gt;"moeda")*(Inputs!$G$5:$G$110&lt;&gt;"acoes")))*INDEX(Inputs!$K$5:$AJ$110,0,MATCH(AC$2,Inputs!$K$4:$AJ$4,0)))+SUMPRODUCT((Inputs!$C$5:$C$110=$B26)*Inputs!$D$5:$D$110*(((Inputs!$G$5:$G$110="moeda")+(Inputs!$G$5:$G$110="acoes"))*Inputs!$B$1+((Inputs!$G$5:$G$110&lt;&gt;"moeda")*(Inputs!$G$5:$G$110&lt;&gt;"acoes")))*INDEX(Inputs!$K$5:$AJ$110,0,MATCH(AC$2,Inputs!$K$4:$AJ$4,0)))+SUMPRODUCT((Inputs!$E$5:$E$110=$B26)*Inputs!$F$5:$F$110*(((Inputs!$G$5:$G$110="moeda")+(Inputs!$G$5:$G$110="acoes"))*Inputs!$B$1+((Inputs!$G$5:$G$110&lt;&gt;"moeda")*(Inputs!$G$5:$G$110&lt;&gt;"acoes")))*INDEX(Inputs!$K$5:$AJ$110,0,MATCH(AC$2,Inputs!$K$4:$AJ$4,0)))))</f>
        <v>20052</v>
      </c>
      <c r="AD26" s="267">
        <f>IF(ISNA(MATCH(AD$2,Inputs!$K$4:$AJ$4,0)),NA(),IF(SUMPRODUCT((Inputs!$A$5:$A$110=$B26)*ISNUMBER(INDEX(Inputs!$K$5:$AJ$110,0,MATCH(AD$2,Inputs!$K$4:$AJ$4,0))))+SUMPRODUCT((Inputs!$C$5:$C$110=$B26)*ISNUMBER(INDEX(Inputs!$K$5:$AJ$110,0,MATCH(AD$2,Inputs!$K$4:$AJ$4,0))))+SUMPRODUCT((Inputs!$E$5:$E$110=$B26)*ISNUMBER(INDEX(Inputs!$K$5:$AJ$110,0,MATCH(AD$2,Inputs!$K$4:$AJ$4,0))))=0,NA(),SUMPRODUCT((Inputs!$A$5:$A$110=$B26)*Inputs!$B$5:$B$110*(((Inputs!$G$5:$G$110="moeda")+(Inputs!$G$5:$G$110="acoes"))*Inputs!$B$1+((Inputs!$G$5:$G$110&lt;&gt;"moeda")*(Inputs!$G$5:$G$110&lt;&gt;"acoes")))*INDEX(Inputs!$K$5:$AJ$110,0,MATCH(AD$2,Inputs!$K$4:$AJ$4,0)))+SUMPRODUCT((Inputs!$C$5:$C$110=$B26)*Inputs!$D$5:$D$110*(((Inputs!$G$5:$G$110="moeda")+(Inputs!$G$5:$G$110="acoes"))*Inputs!$B$1+((Inputs!$G$5:$G$110&lt;&gt;"moeda")*(Inputs!$G$5:$G$110&lt;&gt;"acoes")))*INDEX(Inputs!$K$5:$AJ$110,0,MATCH(AD$2,Inputs!$K$4:$AJ$4,0)))+SUMPRODUCT((Inputs!$E$5:$E$110=$B26)*Inputs!$F$5:$F$110*(((Inputs!$G$5:$G$110="moeda")+(Inputs!$G$5:$G$110="acoes"))*Inputs!$B$1+((Inputs!$G$5:$G$110&lt;&gt;"moeda")*(Inputs!$G$5:$G$110&lt;&gt;"acoes")))*INDEX(Inputs!$K$5:$AJ$110,0,MATCH(AD$2,Inputs!$K$4:$AJ$4,0)))))</f>
        <v>18819</v>
      </c>
      <c r="AE26" s="267" t="e">
        <f>IF(ISNA(MATCH(AE$2,Inputs!$K$4:$AJ$4,0)),NA(),IF(SUMPRODUCT((Inputs!$A$5:$A$110=$B26)*ISNUMBER(INDEX(Inputs!$K$5:$AJ$110,0,MATCH(AE$2,Inputs!$K$4:$AJ$4,0))))+SUMPRODUCT((Inputs!$C$5:$C$110=$B26)*ISNUMBER(INDEX(Inputs!$K$5:$AJ$110,0,MATCH(AE$2,Inputs!$K$4:$AJ$4,0))))+SUMPRODUCT((Inputs!$E$5:$E$110=$B26)*ISNUMBER(INDEX(Inputs!$K$5:$AJ$110,0,MATCH(AE$2,Inputs!$K$4:$AJ$4,0))))=0,NA(),SUMPRODUCT((Inputs!$A$5:$A$110=$B26)*Inputs!$B$5:$B$110*(((Inputs!$G$5:$G$110="moeda")+(Inputs!$G$5:$G$110="acoes"))*Inputs!$B$1+((Inputs!$G$5:$G$110&lt;&gt;"moeda")*(Inputs!$G$5:$G$110&lt;&gt;"acoes")))*INDEX(Inputs!$K$5:$AJ$110,0,MATCH(AE$2,Inputs!$K$4:$AJ$4,0)))+SUMPRODUCT((Inputs!$C$5:$C$110=$B26)*Inputs!$D$5:$D$110*(((Inputs!$G$5:$G$110="moeda")+(Inputs!$G$5:$G$110="acoes"))*Inputs!$B$1+((Inputs!$G$5:$G$110&lt;&gt;"moeda")*(Inputs!$G$5:$G$110&lt;&gt;"acoes")))*INDEX(Inputs!$K$5:$AJ$110,0,MATCH(AE$2,Inputs!$K$4:$AJ$4,0)))+SUMPRODUCT((Inputs!$E$5:$E$110=$B26)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6" s="267" t="e">
        <f>IF(ISNA(MATCH(AF$2,Inputs!$K$4:$AJ$4,0)),NA(),IF(SUMPRODUCT((Inputs!$A$5:$A$110=$B26)*ISNUMBER(INDEX(Inputs!$K$5:$AJ$110,0,MATCH(AF$2,Inputs!$K$4:$AJ$4,0))))+SUMPRODUCT((Inputs!$C$5:$C$110=$B26)*ISNUMBER(INDEX(Inputs!$K$5:$AJ$110,0,MATCH(AF$2,Inputs!$K$4:$AJ$4,0))))+SUMPRODUCT((Inputs!$E$5:$E$110=$B26)*ISNUMBER(INDEX(Inputs!$K$5:$AJ$110,0,MATCH(AF$2,Inputs!$K$4:$AJ$4,0))))=0,NA(),SUMPRODUCT((Inputs!$A$5:$A$110=$B26)*Inputs!$B$5:$B$110*(((Inputs!$G$5:$G$110="moeda")+(Inputs!$G$5:$G$110="acoes"))*Inputs!$B$1+((Inputs!$G$5:$G$110&lt;&gt;"moeda")*(Inputs!$G$5:$G$110&lt;&gt;"acoes")))*INDEX(Inputs!$K$5:$AJ$110,0,MATCH(AF$2,Inputs!$K$4:$AJ$4,0)))+SUMPRODUCT((Inputs!$C$5:$C$110=$B26)*Inputs!$D$5:$D$110*(((Inputs!$G$5:$G$110="moeda")+(Inputs!$G$5:$G$110="acoes"))*Inputs!$B$1+((Inputs!$G$5:$G$110&lt;&gt;"moeda")*(Inputs!$G$5:$G$110&lt;&gt;"acoes")))*INDEX(Inputs!$K$5:$AJ$110,0,MATCH(AF$2,Inputs!$K$4:$AJ$4,0)))+SUMPRODUCT((Inputs!$E$5:$E$110=$B26)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6" s="268" t="e">
        <f>AF26</f>
        <v>#N/A</v>
      </c>
      <c r="AH26" s="267">
        <f>IF(ISNA(MATCH(AH$2,Inputs!$K$4:$AJ$4,0)),NA(),IF(SUMPRODUCT((Inputs!$A$5:$A$110=$B26)*ISNUMBER(INDEX(Inputs!$K$5:$AJ$110,0,MATCH(AH$2,Inputs!$K$4:$AJ$4,0))))+SUMPRODUCT((Inputs!$C$5:$C$110=$B26)*ISNUMBER(INDEX(Inputs!$K$5:$AJ$110,0,MATCH(AH$2,Inputs!$K$4:$AJ$4,0))))+SUMPRODUCT((Inputs!$E$5:$E$110=$B26)*ISNUMBER(INDEX(Inputs!$K$5:$AJ$110,0,MATCH(AH$2,Inputs!$K$4:$AJ$4,0))))=0,NA(),SUMPRODUCT((Inputs!$A$5:$A$110=$B26)*Inputs!$B$5:$B$110*(((Inputs!$G$5:$G$110="moeda")+(Inputs!$G$5:$G$110="acoes"))*Inputs!$B$1+((Inputs!$G$5:$G$110&lt;&gt;"moeda")*(Inputs!$G$5:$G$110&lt;&gt;"acoes")))*INDEX(Inputs!$K$5:$AJ$110,0,MATCH(AH$2,Inputs!$K$4:$AJ$4,0)))+SUMPRODUCT((Inputs!$C$5:$C$110=$B26)*Inputs!$D$5:$D$110*(((Inputs!$G$5:$G$110="moeda")+(Inputs!$G$5:$G$110="acoes"))*Inputs!$B$1+((Inputs!$G$5:$G$110&lt;&gt;"moeda")*(Inputs!$G$5:$G$110&lt;&gt;"acoes")))*INDEX(Inputs!$K$5:$AJ$110,0,MATCH(AH$2,Inputs!$K$4:$AJ$4,0)))+SUMPRODUCT((Inputs!$E$5:$E$110=$B26)*Inputs!$F$5:$F$110*(((Inputs!$G$5:$G$110="moeda")+(Inputs!$G$5:$G$110="acoes"))*Inputs!$B$1+((Inputs!$G$5:$G$110&lt;&gt;"moeda")*(Inputs!$G$5:$G$110&lt;&gt;"acoes")))*INDEX(Inputs!$K$5:$AJ$110,0,MATCH(AH$2,Inputs!$K$4:$AJ$4,0)))))</f>
        <v>21381</v>
      </c>
      <c r="AI26" s="267">
        <f>IF(ISNA(MATCH(AI$2,Inputs!$K$4:$AJ$4,0)),NA(),IF(SUMPRODUCT((Inputs!$A$5:$A$110=$B26)*ISNUMBER(INDEX(Inputs!$K$5:$AJ$110,0,MATCH(AI$2,Inputs!$K$4:$AJ$4,0))))+SUMPRODUCT((Inputs!$C$5:$C$110=$B26)*ISNUMBER(INDEX(Inputs!$K$5:$AJ$110,0,MATCH(AI$2,Inputs!$K$4:$AJ$4,0))))+SUMPRODUCT((Inputs!$E$5:$E$110=$B26)*ISNUMBER(INDEX(Inputs!$K$5:$AJ$110,0,MATCH(AI$2,Inputs!$K$4:$AJ$4,0))))=0,NA(),SUMPRODUCT((Inputs!$A$5:$A$110=$B26)*Inputs!$B$5:$B$110*(((Inputs!$G$5:$G$110="moeda")+(Inputs!$G$5:$G$110="acoes"))*Inputs!$B$1+((Inputs!$G$5:$G$110&lt;&gt;"moeda")*(Inputs!$G$5:$G$110&lt;&gt;"acoes")))*INDEX(Inputs!$K$5:$AJ$110,0,MATCH(AI$2,Inputs!$K$4:$AJ$4,0)))+SUMPRODUCT((Inputs!$C$5:$C$110=$B26)*Inputs!$D$5:$D$110*(((Inputs!$G$5:$G$110="moeda")+(Inputs!$G$5:$G$110="acoes"))*Inputs!$B$1+((Inputs!$G$5:$G$110&lt;&gt;"moeda")*(Inputs!$G$5:$G$110&lt;&gt;"acoes")))*INDEX(Inputs!$K$5:$AJ$110,0,MATCH(AI$2,Inputs!$K$4:$AJ$4,0)))+SUMPRODUCT((Inputs!$E$5:$E$110=$B26)*Inputs!$F$5:$F$110*(((Inputs!$G$5:$G$110="moeda")+(Inputs!$G$5:$G$110="acoes"))*Inputs!$B$1+((Inputs!$G$5:$G$110&lt;&gt;"moeda")*(Inputs!$G$5:$G$110&lt;&gt;"acoes")))*INDEX(Inputs!$K$5:$AJ$110,0,MATCH(AI$2,Inputs!$K$4:$AJ$4,0)))))</f>
        <v>24793</v>
      </c>
      <c r="AJ26" s="267">
        <f>IF(ISNA(MATCH(AJ$2,Inputs!$K$4:$AJ$4,0)),NA(),IF(SUMPRODUCT((Inputs!$A$5:$A$110=$B26)*ISNUMBER(INDEX(Inputs!$K$5:$AJ$110,0,MATCH(AJ$2,Inputs!$K$4:$AJ$4,0))))+SUMPRODUCT((Inputs!$C$5:$C$110=$B26)*ISNUMBER(INDEX(Inputs!$K$5:$AJ$110,0,MATCH(AJ$2,Inputs!$K$4:$AJ$4,0))))+SUMPRODUCT((Inputs!$E$5:$E$110=$B26)*ISNUMBER(INDEX(Inputs!$K$5:$AJ$110,0,MATCH(AJ$2,Inputs!$K$4:$AJ$4,0))))=0,NA(),SUMPRODUCT((Inputs!$A$5:$A$110=$B26)*Inputs!$B$5:$B$110*(((Inputs!$G$5:$G$110="moeda")+(Inputs!$G$5:$G$110="acoes"))*Inputs!$B$1+((Inputs!$G$5:$G$110&lt;&gt;"moeda")*(Inputs!$G$5:$G$110&lt;&gt;"acoes")))*INDEX(Inputs!$K$5:$AJ$110,0,MATCH(AJ$2,Inputs!$K$4:$AJ$4,0)))+SUMPRODUCT((Inputs!$C$5:$C$110=$B26)*Inputs!$D$5:$D$110*(((Inputs!$G$5:$G$110="moeda")+(Inputs!$G$5:$G$110="acoes"))*Inputs!$B$1+((Inputs!$G$5:$G$110&lt;&gt;"moeda")*(Inputs!$G$5:$G$110&lt;&gt;"acoes")))*INDEX(Inputs!$K$5:$AJ$110,0,MATCH(AJ$2,Inputs!$K$4:$AJ$4,0)))+SUMPRODUCT((Inputs!$E$5:$E$110=$B26)*Inputs!$F$5:$F$110*(((Inputs!$G$5:$G$110="moeda")+(Inputs!$G$5:$G$110="acoes"))*Inputs!$B$1+((Inputs!$G$5:$G$110&lt;&gt;"moeda")*(Inputs!$G$5:$G$110&lt;&gt;"acoes")))*INDEX(Inputs!$K$5:$AJ$110,0,MATCH(AJ$2,Inputs!$K$4:$AJ$4,0)))))</f>
        <v>27665</v>
      </c>
      <c r="AK26" s="267">
        <f>IF(ISNA(MATCH(AK$2,Inputs!$K$4:$AJ$4,0)),NA(),IF(SUMPRODUCT((Inputs!$A$5:$A$110=$B26)*ISNUMBER(INDEX(Inputs!$K$5:$AJ$110,0,MATCH(AK$2,Inputs!$K$4:$AJ$4,0))))+SUMPRODUCT((Inputs!$C$5:$C$110=$B26)*ISNUMBER(INDEX(Inputs!$K$5:$AJ$110,0,MATCH(AK$2,Inputs!$K$4:$AJ$4,0))))+SUMPRODUCT((Inputs!$E$5:$E$110=$B26)*ISNUMBER(INDEX(Inputs!$K$5:$AJ$110,0,MATCH(AK$2,Inputs!$K$4:$AJ$4,0))))=0,NA(),SUMPRODUCT((Inputs!$A$5:$A$110=$B26)*Inputs!$B$5:$B$110*(((Inputs!$G$5:$G$110="moeda")+(Inputs!$G$5:$G$110="acoes"))*Inputs!$B$1+((Inputs!$G$5:$G$110&lt;&gt;"moeda")*(Inputs!$G$5:$G$110&lt;&gt;"acoes")))*INDEX(Inputs!$K$5:$AJ$110,0,MATCH(AK$2,Inputs!$K$4:$AJ$4,0)))+SUMPRODUCT((Inputs!$C$5:$C$110=$B26)*Inputs!$D$5:$D$110*(((Inputs!$G$5:$G$110="moeda")+(Inputs!$G$5:$G$110="acoes"))*Inputs!$B$1+((Inputs!$G$5:$G$110&lt;&gt;"moeda")*(Inputs!$G$5:$G$110&lt;&gt;"acoes")))*INDEX(Inputs!$K$5:$AJ$110,0,MATCH(AK$2,Inputs!$K$4:$AJ$4,0)))+SUMPRODUCT((Inputs!$E$5:$E$110=$B26)*Inputs!$F$5:$F$110*(((Inputs!$G$5:$G$110="moeda")+(Inputs!$G$5:$G$110="acoes"))*Inputs!$B$1+((Inputs!$G$5:$G$110&lt;&gt;"moeda")*(Inputs!$G$5:$G$110&lt;&gt;"acoes")))*INDEX(Inputs!$K$5:$AJ$110,0,MATCH(AK$2,Inputs!$K$4:$AJ$4,0)))))</f>
        <v>27603</v>
      </c>
      <c r="AL26" s="268">
        <f>AK26</f>
        <v>27603</v>
      </c>
    </row>
    <row r="27" ht="12.75" customHeight="1" s="255">
      <c r="C27" s="259" t="n"/>
    </row>
    <row r="28" ht="12.75" customHeight="1" s="255">
      <c r="B28" s="265" t="n">
        <v>23</v>
      </c>
      <c r="C28" s="270" t="inlineStr">
        <is>
          <t>Accounts payable</t>
        </is>
      </c>
      <c r="D28" s="267">
        <f>IF(ISNA(MATCH(D$2,Inputs!$K$4:$AJ$4,0)),NA(),IF(SUMPRODUCT((Inputs!$A$5:$A$110=$B28)*ISNUMBER(INDEX(Inputs!$K$5:$AJ$110,0,MATCH(D$2,Inputs!$K$4:$AJ$4,0))))+SUMPRODUCT((Inputs!$C$5:$C$110=$B28)*ISNUMBER(INDEX(Inputs!$K$5:$AJ$110,0,MATCH(D$2,Inputs!$K$4:$AJ$4,0))))+SUMPRODUCT((Inputs!$E$5:$E$110=$B28)*ISNUMBER(INDEX(Inputs!$K$5:$AJ$110,0,MATCH(D$2,Inputs!$K$4:$AJ$4,0))))=0,NA(),SUMPRODUCT((Inputs!$A$5:$A$110=$B28)*Inputs!$B$5:$B$110*(((Inputs!$G$5:$G$110="moeda")+(Inputs!$G$5:$G$110="acoes"))*Inputs!$B$1+((Inputs!$G$5:$G$110&lt;&gt;"moeda")*(Inputs!$G$5:$G$110&lt;&gt;"acoes")))*INDEX(Inputs!$K$5:$AJ$110,0,MATCH(D$2,Inputs!$K$4:$AJ$4,0)))+SUMPRODUCT((Inputs!$C$5:$C$110=$B28)*Inputs!$D$5:$D$110*(((Inputs!$G$5:$G$110="moeda")+(Inputs!$G$5:$G$110="acoes"))*Inputs!$B$1+((Inputs!$G$5:$G$110&lt;&gt;"moeda")*(Inputs!$G$5:$G$110&lt;&gt;"acoes")))*INDEX(Inputs!$K$5:$AJ$110,0,MATCH(D$2,Inputs!$K$4:$AJ$4,0)))+SUMPRODUCT((Inputs!$E$5:$E$110=$B28)*Inputs!$F$5:$F$110*(((Inputs!$G$5:$G$110="moeda")+(Inputs!$G$5:$G$110="acoes"))*Inputs!$B$1+((Inputs!$G$5:$G$110&lt;&gt;"moeda")*(Inputs!$G$5:$G$110&lt;&gt;"acoes")))*INDEX(Inputs!$K$5:$AJ$110,0,MATCH(D$2,Inputs!$K$4:$AJ$4,0)))))</f>
        <v>48151</v>
      </c>
      <c r="E28" s="267">
        <f>IF(ISNA(MATCH(E$2,Inputs!$K$4:$AJ$4,0)),NA(),IF(SUMPRODUCT((Inputs!$A$5:$A$110=$B28)*ISNUMBER(INDEX(Inputs!$K$5:$AJ$110,0,MATCH(E$2,Inputs!$K$4:$AJ$4,0))))+SUMPRODUCT((Inputs!$C$5:$C$110=$B28)*ISNUMBER(INDEX(Inputs!$K$5:$AJ$110,0,MATCH(E$2,Inputs!$K$4:$AJ$4,0))))+SUMPRODUCT((Inputs!$E$5:$E$110=$B28)*ISNUMBER(INDEX(Inputs!$K$5:$AJ$110,0,MATCH(E$2,Inputs!$K$4:$AJ$4,0))))=0,NA(),SUMPRODUCT((Inputs!$A$5:$A$110=$B28)*Inputs!$B$5:$B$110*(((Inputs!$G$5:$G$110="moeda")+(Inputs!$G$5:$G$110="acoes"))*Inputs!$B$1+((Inputs!$G$5:$G$110&lt;&gt;"moeda")*(Inputs!$G$5:$G$110&lt;&gt;"acoes")))*INDEX(Inputs!$K$5:$AJ$110,0,MATCH(E$2,Inputs!$K$4:$AJ$4,0)))+SUMPRODUCT((Inputs!$C$5:$C$110=$B28)*Inputs!$D$5:$D$110*(((Inputs!$G$5:$G$110="moeda")+(Inputs!$G$5:$G$110="acoes"))*Inputs!$B$1+((Inputs!$G$5:$G$110&lt;&gt;"moeda")*(Inputs!$G$5:$G$110&lt;&gt;"acoes")))*INDEX(Inputs!$K$5:$AJ$110,0,MATCH(E$2,Inputs!$K$4:$AJ$4,0)))+SUMPRODUCT((Inputs!$E$5:$E$110=$B28)*Inputs!$F$5:$F$110*(((Inputs!$G$5:$G$110="moeda")+(Inputs!$G$5:$G$110="acoes"))*Inputs!$B$1+((Inputs!$G$5:$G$110&lt;&gt;"moeda")*(Inputs!$G$5:$G$110&lt;&gt;"acoes")))*INDEX(Inputs!$K$5:$AJ$110,0,MATCH(E$2,Inputs!$K$4:$AJ$4,0)))))</f>
        <v>49601</v>
      </c>
      <c r="F28" s="267">
        <f>IF(ISNA(MATCH(F$2,Inputs!$K$4:$AJ$4,0)),NA(),IF(SUMPRODUCT((Inputs!$A$5:$A$110=$B28)*ISNUMBER(INDEX(Inputs!$K$5:$AJ$110,0,MATCH(F$2,Inputs!$K$4:$AJ$4,0))))+SUMPRODUCT((Inputs!$C$5:$C$110=$B28)*ISNUMBER(INDEX(Inputs!$K$5:$AJ$110,0,MATCH(F$2,Inputs!$K$4:$AJ$4,0))))+SUMPRODUCT((Inputs!$E$5:$E$110=$B28)*ISNUMBER(INDEX(Inputs!$K$5:$AJ$110,0,MATCH(F$2,Inputs!$K$4:$AJ$4,0))))=0,NA(),SUMPRODUCT((Inputs!$A$5:$A$110=$B28)*Inputs!$B$5:$B$110*(((Inputs!$G$5:$G$110="moeda")+(Inputs!$G$5:$G$110="acoes"))*Inputs!$B$1+((Inputs!$G$5:$G$110&lt;&gt;"moeda")*(Inputs!$G$5:$G$110&lt;&gt;"acoes")))*INDEX(Inputs!$K$5:$AJ$110,0,MATCH(F$2,Inputs!$K$4:$AJ$4,0)))+SUMPRODUCT((Inputs!$C$5:$C$110=$B28)*Inputs!$D$5:$D$110*(((Inputs!$G$5:$G$110="moeda")+(Inputs!$G$5:$G$110="acoes"))*Inputs!$B$1+((Inputs!$G$5:$G$110&lt;&gt;"moeda")*(Inputs!$G$5:$G$110&lt;&gt;"acoes")))*INDEX(Inputs!$K$5:$AJ$110,0,MATCH(F$2,Inputs!$K$4:$AJ$4,0)))+SUMPRODUCT((Inputs!$E$5:$E$110=$B28)*Inputs!$F$5:$F$110*(((Inputs!$G$5:$G$110="moeda")+(Inputs!$G$5:$G$110="acoes"))*Inputs!$B$1+((Inputs!$G$5:$G$110&lt;&gt;"moeda")*(Inputs!$G$5:$G$110&lt;&gt;"acoes")))*INDEX(Inputs!$K$5:$AJ$110,0,MATCH(F$2,Inputs!$K$4:$AJ$4,0)))))</f>
        <v>57156</v>
      </c>
      <c r="G28" s="267">
        <f>IF(ISNA(MATCH(G$2,Inputs!$K$4:$AJ$4,0)),NA(),IF(SUMPRODUCT((Inputs!$A$5:$A$110=$B28)*ISNUMBER(INDEX(Inputs!$K$5:$AJ$110,0,MATCH(G$2,Inputs!$K$4:$AJ$4,0))))+SUMPRODUCT((Inputs!$C$5:$C$110=$B28)*ISNUMBER(INDEX(Inputs!$K$5:$AJ$110,0,MATCH(G$2,Inputs!$K$4:$AJ$4,0))))+SUMPRODUCT((Inputs!$E$5:$E$110=$B28)*ISNUMBER(INDEX(Inputs!$K$5:$AJ$110,0,MATCH(G$2,Inputs!$K$4:$AJ$4,0))))=0,NA(),SUMPRODUCT((Inputs!$A$5:$A$110=$B28)*Inputs!$B$5:$B$110*(((Inputs!$G$5:$G$110="moeda")+(Inputs!$G$5:$G$110="acoes"))*Inputs!$B$1+((Inputs!$G$5:$G$110&lt;&gt;"moeda")*(Inputs!$G$5:$G$110&lt;&gt;"acoes")))*INDEX(Inputs!$K$5:$AJ$110,0,MATCH(G$2,Inputs!$K$4:$AJ$4,0)))+SUMPRODUCT((Inputs!$C$5:$C$110=$B28)*Inputs!$D$5:$D$110*(((Inputs!$G$5:$G$110="moeda")+(Inputs!$G$5:$G$110="acoes"))*Inputs!$B$1+((Inputs!$G$5:$G$110&lt;&gt;"moeda")*(Inputs!$G$5:$G$110&lt;&gt;"acoes")))*INDEX(Inputs!$K$5:$AJ$110,0,MATCH(G$2,Inputs!$K$4:$AJ$4,0)))+SUMPRODUCT((Inputs!$E$5:$E$110=$B28)*Inputs!$F$5:$F$110*(((Inputs!$G$5:$G$110="moeda")+(Inputs!$G$5:$G$110="acoes"))*Inputs!$B$1+((Inputs!$G$5:$G$110&lt;&gt;"moeda")*(Inputs!$G$5:$G$110&lt;&gt;"acoes")))*INDEX(Inputs!$K$5:$AJ$110,0,MATCH(G$2,Inputs!$K$4:$AJ$4,0)))))</f>
        <v>55261</v>
      </c>
      <c r="H28" s="268">
        <f>G28</f>
        <v>55261</v>
      </c>
      <c r="I28" s="267">
        <f>IF(ISNA(MATCH(I$2,Inputs!$K$4:$AJ$4,0)),NA(),IF(SUMPRODUCT((Inputs!$A$5:$A$110=$B28)*ISNUMBER(INDEX(Inputs!$K$5:$AJ$110,0,MATCH(I$2,Inputs!$K$4:$AJ$4,0))))+SUMPRODUCT((Inputs!$C$5:$C$110=$B28)*ISNUMBER(INDEX(Inputs!$K$5:$AJ$110,0,MATCH(I$2,Inputs!$K$4:$AJ$4,0))))+SUMPRODUCT((Inputs!$E$5:$E$110=$B28)*ISNUMBER(INDEX(Inputs!$K$5:$AJ$110,0,MATCH(I$2,Inputs!$K$4:$AJ$4,0))))=0,NA(),SUMPRODUCT((Inputs!$A$5:$A$110=$B28)*Inputs!$B$5:$B$110*(((Inputs!$G$5:$G$110="moeda")+(Inputs!$G$5:$G$110="acoes"))*Inputs!$B$1+((Inputs!$G$5:$G$110&lt;&gt;"moeda")*(Inputs!$G$5:$G$110&lt;&gt;"acoes")))*INDEX(Inputs!$K$5:$AJ$110,0,MATCH(I$2,Inputs!$K$4:$AJ$4,0)))+SUMPRODUCT((Inputs!$C$5:$C$110=$B28)*Inputs!$D$5:$D$110*(((Inputs!$G$5:$G$110="moeda")+(Inputs!$G$5:$G$110="acoes"))*Inputs!$B$1+((Inputs!$G$5:$G$110&lt;&gt;"moeda")*(Inputs!$G$5:$G$110&lt;&gt;"acoes")))*INDEX(Inputs!$K$5:$AJ$110,0,MATCH(I$2,Inputs!$K$4:$AJ$4,0)))+SUMPRODUCT((Inputs!$E$5:$E$110=$B28)*Inputs!$F$5:$F$110*(((Inputs!$G$5:$G$110="moeda")+(Inputs!$G$5:$G$110="acoes"))*Inputs!$B$1+((Inputs!$G$5:$G$110&lt;&gt;"moeda")*(Inputs!$G$5:$G$110&lt;&gt;"acoes")))*INDEX(Inputs!$K$5:$AJ$110,0,MATCH(I$2,Inputs!$K$4:$AJ$4,0)))))</f>
        <v>52926</v>
      </c>
      <c r="J28" s="267">
        <f>IF(ISNA(MATCH(J$2,Inputs!$K$4:$AJ$4,0)),NA(),IF(SUMPRODUCT((Inputs!$A$5:$A$110=$B28)*ISNUMBER(INDEX(Inputs!$K$5:$AJ$110,0,MATCH(J$2,Inputs!$K$4:$AJ$4,0))))+SUMPRODUCT((Inputs!$C$5:$C$110=$B28)*ISNUMBER(INDEX(Inputs!$K$5:$AJ$110,0,MATCH(J$2,Inputs!$K$4:$AJ$4,0))))+SUMPRODUCT((Inputs!$E$5:$E$110=$B28)*ISNUMBER(INDEX(Inputs!$K$5:$AJ$110,0,MATCH(J$2,Inputs!$K$4:$AJ$4,0))))=0,NA(),SUMPRODUCT((Inputs!$A$5:$A$110=$B28)*Inputs!$B$5:$B$110*(((Inputs!$G$5:$G$110="moeda")+(Inputs!$G$5:$G$110="acoes"))*Inputs!$B$1+((Inputs!$G$5:$G$110&lt;&gt;"moeda")*(Inputs!$G$5:$G$110&lt;&gt;"acoes")))*INDEX(Inputs!$K$5:$AJ$110,0,MATCH(J$2,Inputs!$K$4:$AJ$4,0)))+SUMPRODUCT((Inputs!$C$5:$C$110=$B28)*Inputs!$D$5:$D$110*(((Inputs!$G$5:$G$110="moeda")+(Inputs!$G$5:$G$110="acoes"))*Inputs!$B$1+((Inputs!$G$5:$G$110&lt;&gt;"moeda")*(Inputs!$G$5:$G$110&lt;&gt;"acoes")))*INDEX(Inputs!$K$5:$AJ$110,0,MATCH(J$2,Inputs!$K$4:$AJ$4,0)))+SUMPRODUCT((Inputs!$E$5:$E$110=$B28)*Inputs!$F$5:$F$110*(((Inputs!$G$5:$G$110="moeda")+(Inputs!$G$5:$G$110="acoes"))*Inputs!$B$1+((Inputs!$G$5:$G$110&lt;&gt;"moeda")*(Inputs!$G$5:$G$110&lt;&gt;"acoes")))*INDEX(Inputs!$K$5:$AJ$110,0,MATCH(J$2,Inputs!$K$4:$AJ$4,0)))))</f>
        <v>54191</v>
      </c>
      <c r="K28" s="267">
        <f>IF(ISNA(MATCH(K$2,Inputs!$K$4:$AJ$4,0)),NA(),IF(SUMPRODUCT((Inputs!$A$5:$A$110=$B28)*ISNUMBER(INDEX(Inputs!$K$5:$AJ$110,0,MATCH(K$2,Inputs!$K$4:$AJ$4,0))))+SUMPRODUCT((Inputs!$C$5:$C$110=$B28)*ISNUMBER(INDEX(Inputs!$K$5:$AJ$110,0,MATCH(K$2,Inputs!$K$4:$AJ$4,0))))+SUMPRODUCT((Inputs!$E$5:$E$110=$B28)*ISNUMBER(INDEX(Inputs!$K$5:$AJ$110,0,MATCH(K$2,Inputs!$K$4:$AJ$4,0))))=0,NA(),SUMPRODUCT((Inputs!$A$5:$A$110=$B28)*Inputs!$B$5:$B$110*(((Inputs!$G$5:$G$110="moeda")+(Inputs!$G$5:$G$110="acoes"))*Inputs!$B$1+((Inputs!$G$5:$G$110&lt;&gt;"moeda")*(Inputs!$G$5:$G$110&lt;&gt;"acoes")))*INDEX(Inputs!$K$5:$AJ$110,0,MATCH(K$2,Inputs!$K$4:$AJ$4,0)))+SUMPRODUCT((Inputs!$C$5:$C$110=$B28)*Inputs!$D$5:$D$110*(((Inputs!$G$5:$G$110="moeda")+(Inputs!$G$5:$G$110="acoes"))*Inputs!$B$1+((Inputs!$G$5:$G$110&lt;&gt;"moeda")*(Inputs!$G$5:$G$110&lt;&gt;"acoes")))*INDEX(Inputs!$K$5:$AJ$110,0,MATCH(K$2,Inputs!$K$4:$AJ$4,0)))+SUMPRODUCT((Inputs!$E$5:$E$110=$B28)*Inputs!$F$5:$F$110*(((Inputs!$G$5:$G$110="moeda")+(Inputs!$G$5:$G$110="acoes"))*Inputs!$B$1+((Inputs!$G$5:$G$110&lt;&gt;"moeda")*(Inputs!$G$5:$G$110&lt;&gt;"acoes")))*INDEX(Inputs!$K$5:$AJ$110,0,MATCH(K$2,Inputs!$K$4:$AJ$4,0)))))</f>
        <v>57263</v>
      </c>
      <c r="L28" s="267">
        <f>IF(ISNA(MATCH(L$2,Inputs!$K$4:$AJ$4,0)),NA(),IF(SUMPRODUCT((Inputs!$A$5:$A$110=$B28)*ISNUMBER(INDEX(Inputs!$K$5:$AJ$110,0,MATCH(L$2,Inputs!$K$4:$AJ$4,0))))+SUMPRODUCT((Inputs!$C$5:$C$110=$B28)*ISNUMBER(INDEX(Inputs!$K$5:$AJ$110,0,MATCH(L$2,Inputs!$K$4:$AJ$4,0))))+SUMPRODUCT((Inputs!$E$5:$E$110=$B28)*ISNUMBER(INDEX(Inputs!$K$5:$AJ$110,0,MATCH(L$2,Inputs!$K$4:$AJ$4,0))))=0,NA(),SUMPRODUCT((Inputs!$A$5:$A$110=$B28)*Inputs!$B$5:$B$110*(((Inputs!$G$5:$G$110="moeda")+(Inputs!$G$5:$G$110="acoes"))*Inputs!$B$1+((Inputs!$G$5:$G$110&lt;&gt;"moeda")*(Inputs!$G$5:$G$110&lt;&gt;"acoes")))*INDEX(Inputs!$K$5:$AJ$110,0,MATCH(L$2,Inputs!$K$4:$AJ$4,0)))+SUMPRODUCT((Inputs!$C$5:$C$110=$B28)*Inputs!$D$5:$D$110*(((Inputs!$G$5:$G$110="moeda")+(Inputs!$G$5:$G$110="acoes"))*Inputs!$B$1+((Inputs!$G$5:$G$110&lt;&gt;"moeda")*(Inputs!$G$5:$G$110&lt;&gt;"acoes")))*INDEX(Inputs!$K$5:$AJ$110,0,MATCH(L$2,Inputs!$K$4:$AJ$4,0)))+SUMPRODUCT((Inputs!$E$5:$E$110=$B28)*Inputs!$F$5:$F$110*(((Inputs!$G$5:$G$110="moeda")+(Inputs!$G$5:$G$110="acoes"))*Inputs!$B$1+((Inputs!$G$5:$G$110&lt;&gt;"moeda")*(Inputs!$G$5:$G$110&lt;&gt;"acoes")))*INDEX(Inputs!$K$5:$AJ$110,0,MATCH(L$2,Inputs!$K$4:$AJ$4,0)))))</f>
        <v>53742</v>
      </c>
      <c r="M28" s="268">
        <f>L28</f>
        <v>53742</v>
      </c>
      <c r="N28" s="267">
        <f>IF(ISNA(MATCH(N$2,Inputs!$K$4:$AJ$4,0)),NA(),IF(SUMPRODUCT((Inputs!$A$5:$A$110=$B28)*ISNUMBER(INDEX(Inputs!$K$5:$AJ$110,0,MATCH(N$2,Inputs!$K$4:$AJ$4,0))))+SUMPRODUCT((Inputs!$C$5:$C$110=$B28)*ISNUMBER(INDEX(Inputs!$K$5:$AJ$110,0,MATCH(N$2,Inputs!$K$4:$AJ$4,0))))+SUMPRODUCT((Inputs!$E$5:$E$110=$B28)*ISNUMBER(INDEX(Inputs!$K$5:$AJ$110,0,MATCH(N$2,Inputs!$K$4:$AJ$4,0))))=0,NA(),SUMPRODUCT((Inputs!$A$5:$A$110=$B28)*Inputs!$B$5:$B$110*(((Inputs!$G$5:$G$110="moeda")+(Inputs!$G$5:$G$110="acoes"))*Inputs!$B$1+((Inputs!$G$5:$G$110&lt;&gt;"moeda")*(Inputs!$G$5:$G$110&lt;&gt;"acoes")))*INDEX(Inputs!$K$5:$AJ$110,0,MATCH(N$2,Inputs!$K$4:$AJ$4,0)))+SUMPRODUCT((Inputs!$C$5:$C$110=$B28)*Inputs!$D$5:$D$110*(((Inputs!$G$5:$G$110="moeda")+(Inputs!$G$5:$G$110="acoes"))*Inputs!$B$1+((Inputs!$G$5:$G$110&lt;&gt;"moeda")*(Inputs!$G$5:$G$110&lt;&gt;"acoes")))*INDEX(Inputs!$K$5:$AJ$110,0,MATCH(N$2,Inputs!$K$4:$AJ$4,0)))+SUMPRODUCT((Inputs!$E$5:$E$110=$B28)*Inputs!$F$5:$F$110*(((Inputs!$G$5:$G$110="moeda")+(Inputs!$G$5:$G$110="acoes"))*Inputs!$B$1+((Inputs!$G$5:$G$110&lt;&gt;"moeda")*(Inputs!$G$5:$G$110&lt;&gt;"acoes")))*INDEX(Inputs!$K$5:$AJ$110,0,MATCH(N$2,Inputs!$K$4:$AJ$4,0)))))</f>
        <v>54268</v>
      </c>
      <c r="O28" s="267">
        <f>IF(ISNA(MATCH(O$2,Inputs!$K$4:$AJ$4,0)),NA(),IF(SUMPRODUCT((Inputs!$A$5:$A$110=$B28)*ISNUMBER(INDEX(Inputs!$K$5:$AJ$110,0,MATCH(O$2,Inputs!$K$4:$AJ$4,0))))+SUMPRODUCT((Inputs!$C$5:$C$110=$B28)*ISNUMBER(INDEX(Inputs!$K$5:$AJ$110,0,MATCH(O$2,Inputs!$K$4:$AJ$4,0))))+SUMPRODUCT((Inputs!$E$5:$E$110=$B28)*ISNUMBER(INDEX(Inputs!$K$5:$AJ$110,0,MATCH(O$2,Inputs!$K$4:$AJ$4,0))))=0,NA(),SUMPRODUCT((Inputs!$A$5:$A$110=$B28)*Inputs!$B$5:$B$110*(((Inputs!$G$5:$G$110="moeda")+(Inputs!$G$5:$G$110="acoes"))*Inputs!$B$1+((Inputs!$G$5:$G$110&lt;&gt;"moeda")*(Inputs!$G$5:$G$110&lt;&gt;"acoes")))*INDEX(Inputs!$K$5:$AJ$110,0,MATCH(O$2,Inputs!$K$4:$AJ$4,0)))+SUMPRODUCT((Inputs!$C$5:$C$110=$B28)*Inputs!$D$5:$D$110*(((Inputs!$G$5:$G$110="moeda")+(Inputs!$G$5:$G$110="acoes"))*Inputs!$B$1+((Inputs!$G$5:$G$110&lt;&gt;"moeda")*(Inputs!$G$5:$G$110&lt;&gt;"acoes")))*INDEX(Inputs!$K$5:$AJ$110,0,MATCH(O$2,Inputs!$K$4:$AJ$4,0)))+SUMPRODUCT((Inputs!$E$5:$E$110=$B28)*Inputs!$F$5:$F$110*(((Inputs!$G$5:$G$110="moeda")+(Inputs!$G$5:$G$110="acoes"))*Inputs!$B$1+((Inputs!$G$5:$G$110&lt;&gt;"moeda")*(Inputs!$G$5:$G$110&lt;&gt;"acoes")))*INDEX(Inputs!$K$5:$AJ$110,0,MATCH(O$2,Inputs!$K$4:$AJ$4,0)))))</f>
        <v>56576</v>
      </c>
      <c r="P28" s="267">
        <f>IF(ISNA(MATCH(P$2,Inputs!$K$4:$AJ$4,0)),NA(),IF(SUMPRODUCT((Inputs!$A$5:$A$110=$B28)*ISNUMBER(INDEX(Inputs!$K$5:$AJ$110,0,MATCH(P$2,Inputs!$K$4:$AJ$4,0))))+SUMPRODUCT((Inputs!$C$5:$C$110=$B28)*ISNUMBER(INDEX(Inputs!$K$5:$AJ$110,0,MATCH(P$2,Inputs!$K$4:$AJ$4,0))))+SUMPRODUCT((Inputs!$E$5:$E$110=$B28)*ISNUMBER(INDEX(Inputs!$K$5:$AJ$110,0,MATCH(P$2,Inputs!$K$4:$AJ$4,0))))=0,NA(),SUMPRODUCT((Inputs!$A$5:$A$110=$B28)*Inputs!$B$5:$B$110*(((Inputs!$G$5:$G$110="moeda")+(Inputs!$G$5:$G$110="acoes"))*Inputs!$B$1+((Inputs!$G$5:$G$110&lt;&gt;"moeda")*(Inputs!$G$5:$G$110&lt;&gt;"acoes")))*INDEX(Inputs!$K$5:$AJ$110,0,MATCH(P$2,Inputs!$K$4:$AJ$4,0)))+SUMPRODUCT((Inputs!$C$5:$C$110=$B28)*Inputs!$D$5:$D$110*(((Inputs!$G$5:$G$110="moeda")+(Inputs!$G$5:$G$110="acoes"))*Inputs!$B$1+((Inputs!$G$5:$G$110&lt;&gt;"moeda")*(Inputs!$G$5:$G$110&lt;&gt;"acoes")))*INDEX(Inputs!$K$5:$AJ$110,0,MATCH(P$2,Inputs!$K$4:$AJ$4,0)))+SUMPRODUCT((Inputs!$E$5:$E$110=$B28)*Inputs!$F$5:$F$110*(((Inputs!$G$5:$G$110="moeda")+(Inputs!$G$5:$G$110="acoes"))*Inputs!$B$1+((Inputs!$G$5:$G$110&lt;&gt;"moeda")*(Inputs!$G$5:$G$110&lt;&gt;"acoes")))*INDEX(Inputs!$K$5:$AJ$110,0,MATCH(P$2,Inputs!$K$4:$AJ$4,0)))))</f>
        <v>61049</v>
      </c>
      <c r="Q28" s="267">
        <f>IF(ISNA(MATCH(Q$2,Inputs!$K$4:$AJ$4,0)),NA(),IF(SUMPRODUCT((Inputs!$A$5:$A$110=$B28)*ISNUMBER(INDEX(Inputs!$K$5:$AJ$110,0,MATCH(Q$2,Inputs!$K$4:$AJ$4,0))))+SUMPRODUCT((Inputs!$C$5:$C$110=$B28)*ISNUMBER(INDEX(Inputs!$K$5:$AJ$110,0,MATCH(Q$2,Inputs!$K$4:$AJ$4,0))))+SUMPRODUCT((Inputs!$E$5:$E$110=$B28)*ISNUMBER(INDEX(Inputs!$K$5:$AJ$110,0,MATCH(Q$2,Inputs!$K$4:$AJ$4,0))))=0,NA(),SUMPRODUCT((Inputs!$A$5:$A$110=$B28)*Inputs!$B$5:$B$110*(((Inputs!$G$5:$G$110="moeda")+(Inputs!$G$5:$G$110="acoes"))*Inputs!$B$1+((Inputs!$G$5:$G$110&lt;&gt;"moeda")*(Inputs!$G$5:$G$110&lt;&gt;"acoes")))*INDEX(Inputs!$K$5:$AJ$110,0,MATCH(Q$2,Inputs!$K$4:$AJ$4,0)))+SUMPRODUCT((Inputs!$C$5:$C$110=$B28)*Inputs!$D$5:$D$110*(((Inputs!$G$5:$G$110="moeda")+(Inputs!$G$5:$G$110="acoes"))*Inputs!$B$1+((Inputs!$G$5:$G$110&lt;&gt;"moeda")*(Inputs!$G$5:$G$110&lt;&gt;"acoes")))*INDEX(Inputs!$K$5:$AJ$110,0,MATCH(Q$2,Inputs!$K$4:$AJ$4,0)))+SUMPRODUCT((Inputs!$E$5:$E$110=$B28)*Inputs!$F$5:$F$110*(((Inputs!$G$5:$G$110="moeda")+(Inputs!$G$5:$G$110="acoes"))*Inputs!$B$1+((Inputs!$G$5:$G$110&lt;&gt;"moeda")*(Inputs!$G$5:$G$110&lt;&gt;"acoes")))*INDEX(Inputs!$K$5:$AJ$110,0,MATCH(Q$2,Inputs!$K$4:$AJ$4,0)))))</f>
        <v>56812</v>
      </c>
      <c r="R28" s="268">
        <f>Q28</f>
        <v>56812</v>
      </c>
      <c r="S28" s="267">
        <f>IF(ISNA(MATCH(S$2,Inputs!$K$4:$AJ$4,0)),NA(),IF(SUMPRODUCT((Inputs!$A$5:$A$110=$B28)*ISNUMBER(INDEX(Inputs!$K$5:$AJ$110,0,MATCH(S$2,Inputs!$K$4:$AJ$4,0))))+SUMPRODUCT((Inputs!$C$5:$C$110=$B28)*ISNUMBER(INDEX(Inputs!$K$5:$AJ$110,0,MATCH(S$2,Inputs!$K$4:$AJ$4,0))))+SUMPRODUCT((Inputs!$E$5:$E$110=$B28)*ISNUMBER(INDEX(Inputs!$K$5:$AJ$110,0,MATCH(S$2,Inputs!$K$4:$AJ$4,0))))=0,NA(),SUMPRODUCT((Inputs!$A$5:$A$110=$B28)*Inputs!$B$5:$B$110*(((Inputs!$G$5:$G$110="moeda")+(Inputs!$G$5:$G$110="acoes"))*Inputs!$B$1+((Inputs!$G$5:$G$110&lt;&gt;"moeda")*(Inputs!$G$5:$G$110&lt;&gt;"acoes")))*INDEX(Inputs!$K$5:$AJ$110,0,MATCH(S$2,Inputs!$K$4:$AJ$4,0)))+SUMPRODUCT((Inputs!$C$5:$C$110=$B28)*Inputs!$D$5:$D$110*(((Inputs!$G$5:$G$110="moeda")+(Inputs!$G$5:$G$110="acoes"))*Inputs!$B$1+((Inputs!$G$5:$G$110&lt;&gt;"moeda")*(Inputs!$G$5:$G$110&lt;&gt;"acoes")))*INDEX(Inputs!$K$5:$AJ$110,0,MATCH(S$2,Inputs!$K$4:$AJ$4,0)))+SUMPRODUCT((Inputs!$E$5:$E$110=$B28)*Inputs!$F$5:$F$110*(((Inputs!$G$5:$G$110="moeda")+(Inputs!$G$5:$G$110="acoes"))*Inputs!$B$1+((Inputs!$G$5:$G$110&lt;&gt;"moeda")*(Inputs!$G$5:$G$110&lt;&gt;"acoes")))*INDEX(Inputs!$K$5:$AJ$110,0,MATCH(S$2,Inputs!$K$4:$AJ$4,0)))))</f>
        <v>56071</v>
      </c>
      <c r="T28" s="267">
        <f>IF(ISNA(MATCH(T$2,Inputs!$K$4:$AJ$4,0)),NA(),IF(SUMPRODUCT((Inputs!$A$5:$A$110=$B28)*ISNUMBER(INDEX(Inputs!$K$5:$AJ$110,0,MATCH(T$2,Inputs!$K$4:$AJ$4,0))))+SUMPRODUCT((Inputs!$C$5:$C$110=$B28)*ISNUMBER(INDEX(Inputs!$K$5:$AJ$110,0,MATCH(T$2,Inputs!$K$4:$AJ$4,0))))+SUMPRODUCT((Inputs!$E$5:$E$110=$B28)*ISNUMBER(INDEX(Inputs!$K$5:$AJ$110,0,MATCH(T$2,Inputs!$K$4:$AJ$4,0))))=0,NA(),SUMPRODUCT((Inputs!$A$5:$A$110=$B28)*Inputs!$B$5:$B$110*(((Inputs!$G$5:$G$110="moeda")+(Inputs!$G$5:$G$110="acoes"))*Inputs!$B$1+((Inputs!$G$5:$G$110&lt;&gt;"moeda")*(Inputs!$G$5:$G$110&lt;&gt;"acoes")))*INDEX(Inputs!$K$5:$AJ$110,0,MATCH(T$2,Inputs!$K$4:$AJ$4,0)))+SUMPRODUCT((Inputs!$C$5:$C$110=$B28)*Inputs!$D$5:$D$110*(((Inputs!$G$5:$G$110="moeda")+(Inputs!$G$5:$G$110="acoes"))*Inputs!$B$1+((Inputs!$G$5:$G$110&lt;&gt;"moeda")*(Inputs!$G$5:$G$110&lt;&gt;"acoes")))*INDEX(Inputs!$K$5:$AJ$110,0,MATCH(T$2,Inputs!$K$4:$AJ$4,0)))+SUMPRODUCT((Inputs!$E$5:$E$110=$B28)*Inputs!$F$5:$F$110*(((Inputs!$G$5:$G$110="moeda")+(Inputs!$G$5:$G$110="acoes"))*Inputs!$B$1+((Inputs!$G$5:$G$110&lt;&gt;"moeda")*(Inputs!$G$5:$G$110&lt;&gt;"acoes")))*INDEX(Inputs!$K$5:$AJ$110,0,MATCH(T$2,Inputs!$K$4:$AJ$4,0)))))</f>
        <v>56716</v>
      </c>
      <c r="U28" s="267">
        <f>IF(ISNA(MATCH(U$2,Inputs!$K$4:$AJ$4,0)),NA(),IF(SUMPRODUCT((Inputs!$A$5:$A$110=$B28)*ISNUMBER(INDEX(Inputs!$K$5:$AJ$110,0,MATCH(U$2,Inputs!$K$4:$AJ$4,0))))+SUMPRODUCT((Inputs!$C$5:$C$110=$B28)*ISNUMBER(INDEX(Inputs!$K$5:$AJ$110,0,MATCH(U$2,Inputs!$K$4:$AJ$4,0))))+SUMPRODUCT((Inputs!$E$5:$E$110=$B28)*ISNUMBER(INDEX(Inputs!$K$5:$AJ$110,0,MATCH(U$2,Inputs!$K$4:$AJ$4,0))))=0,NA(),SUMPRODUCT((Inputs!$A$5:$A$110=$B28)*Inputs!$B$5:$B$110*(((Inputs!$G$5:$G$110="moeda")+(Inputs!$G$5:$G$110="acoes"))*Inputs!$B$1+((Inputs!$G$5:$G$110&lt;&gt;"moeda")*(Inputs!$G$5:$G$110&lt;&gt;"acoes")))*INDEX(Inputs!$K$5:$AJ$110,0,MATCH(U$2,Inputs!$K$4:$AJ$4,0)))+SUMPRODUCT((Inputs!$C$5:$C$110=$B28)*Inputs!$D$5:$D$110*(((Inputs!$G$5:$G$110="moeda")+(Inputs!$G$5:$G$110="acoes"))*Inputs!$B$1+((Inputs!$G$5:$G$110&lt;&gt;"moeda")*(Inputs!$G$5:$G$110&lt;&gt;"acoes")))*INDEX(Inputs!$K$5:$AJ$110,0,MATCH(U$2,Inputs!$K$4:$AJ$4,0)))+SUMPRODUCT((Inputs!$E$5:$E$110=$B28)*Inputs!$F$5:$F$110*(((Inputs!$G$5:$G$110="moeda")+(Inputs!$G$5:$G$110="acoes"))*Inputs!$B$1+((Inputs!$G$5:$G$110&lt;&gt;"moeda")*(Inputs!$G$5:$G$110&lt;&gt;"acoes")))*INDEX(Inputs!$K$5:$AJ$110,0,MATCH(U$2,Inputs!$K$4:$AJ$4,0)))))</f>
        <v>62863</v>
      </c>
      <c r="V28" s="267">
        <f>IF(ISNA(MATCH(V$2,Inputs!$K$4:$AJ$4,0)),NA(),IF(SUMPRODUCT((Inputs!$A$5:$A$110=$B28)*ISNUMBER(INDEX(Inputs!$K$5:$AJ$110,0,MATCH(V$2,Inputs!$K$4:$AJ$4,0))))+SUMPRODUCT((Inputs!$C$5:$C$110=$B28)*ISNUMBER(INDEX(Inputs!$K$5:$AJ$110,0,MATCH(V$2,Inputs!$K$4:$AJ$4,0))))+SUMPRODUCT((Inputs!$E$5:$E$110=$B28)*ISNUMBER(INDEX(Inputs!$K$5:$AJ$110,0,MATCH(V$2,Inputs!$K$4:$AJ$4,0))))=0,NA(),SUMPRODUCT((Inputs!$A$5:$A$110=$B28)*Inputs!$B$5:$B$110*(((Inputs!$G$5:$G$110="moeda")+(Inputs!$G$5:$G$110="acoes"))*Inputs!$B$1+((Inputs!$G$5:$G$110&lt;&gt;"moeda")*(Inputs!$G$5:$G$110&lt;&gt;"acoes")))*INDEX(Inputs!$K$5:$AJ$110,0,MATCH(V$2,Inputs!$K$4:$AJ$4,0)))+SUMPRODUCT((Inputs!$C$5:$C$110=$B28)*Inputs!$D$5:$D$110*(((Inputs!$G$5:$G$110="moeda")+(Inputs!$G$5:$G$110="acoes"))*Inputs!$B$1+((Inputs!$G$5:$G$110&lt;&gt;"moeda")*(Inputs!$G$5:$G$110&lt;&gt;"acoes")))*INDEX(Inputs!$K$5:$AJ$110,0,MATCH(V$2,Inputs!$K$4:$AJ$4,0)))+SUMPRODUCT((Inputs!$E$5:$E$110=$B28)*Inputs!$F$5:$F$110*(((Inputs!$G$5:$G$110="moeda")+(Inputs!$G$5:$G$110="acoes"))*Inputs!$B$1+((Inputs!$G$5:$G$110&lt;&gt;"moeda")*(Inputs!$G$5:$G$110&lt;&gt;"acoes")))*INDEX(Inputs!$K$5:$AJ$110,0,MATCH(V$2,Inputs!$K$4:$AJ$4,0)))))</f>
        <v>58666</v>
      </c>
      <c r="W28" s="268">
        <f>V28</f>
        <v>58666</v>
      </c>
      <c r="X28" s="267">
        <f>IF(ISNA(MATCH(X$2,Inputs!$K$4:$AJ$4,0)),NA(),IF(SUMPRODUCT((Inputs!$A$5:$A$110=$B28)*ISNUMBER(INDEX(Inputs!$K$5:$AJ$110,0,MATCH(X$2,Inputs!$K$4:$AJ$4,0))))+SUMPRODUCT((Inputs!$C$5:$C$110=$B28)*ISNUMBER(INDEX(Inputs!$K$5:$AJ$110,0,MATCH(X$2,Inputs!$K$4:$AJ$4,0))))+SUMPRODUCT((Inputs!$E$5:$E$110=$B28)*ISNUMBER(INDEX(Inputs!$K$5:$AJ$110,0,MATCH(X$2,Inputs!$K$4:$AJ$4,0))))=0,NA(),SUMPRODUCT((Inputs!$A$5:$A$110=$B28)*Inputs!$B$5:$B$110*(((Inputs!$G$5:$G$110="moeda")+(Inputs!$G$5:$G$110="acoes"))*Inputs!$B$1+((Inputs!$G$5:$G$110&lt;&gt;"moeda")*(Inputs!$G$5:$G$110&lt;&gt;"acoes")))*INDEX(Inputs!$K$5:$AJ$110,0,MATCH(X$2,Inputs!$K$4:$AJ$4,0)))+SUMPRODUCT((Inputs!$C$5:$C$110=$B28)*Inputs!$D$5:$D$110*(((Inputs!$G$5:$G$110="moeda")+(Inputs!$G$5:$G$110="acoes"))*Inputs!$B$1+((Inputs!$G$5:$G$110&lt;&gt;"moeda")*(Inputs!$G$5:$G$110&lt;&gt;"acoes")))*INDEX(Inputs!$K$5:$AJ$110,0,MATCH(X$2,Inputs!$K$4:$AJ$4,0)))+SUMPRODUCT((Inputs!$E$5:$E$110=$B28)*Inputs!$F$5:$F$110*(((Inputs!$G$5:$G$110="moeda")+(Inputs!$G$5:$G$110="acoes"))*Inputs!$B$1+((Inputs!$G$5:$G$110&lt;&gt;"moeda")*(Inputs!$G$5:$G$110&lt;&gt;"acoes")))*INDEX(Inputs!$K$5:$AJ$110,0,MATCH(X$2,Inputs!$K$4:$AJ$4,0)))))</f>
        <v>57700</v>
      </c>
      <c r="Y28" s="267">
        <f>IF(ISNA(MATCH(Y$2,Inputs!$K$4:$AJ$4,0)),NA(),IF(SUMPRODUCT((Inputs!$A$5:$A$110=$B28)*ISNUMBER(INDEX(Inputs!$K$5:$AJ$110,0,MATCH(Y$2,Inputs!$K$4:$AJ$4,0))))+SUMPRODUCT((Inputs!$C$5:$C$110=$B28)*ISNUMBER(INDEX(Inputs!$K$5:$AJ$110,0,MATCH(Y$2,Inputs!$K$4:$AJ$4,0))))+SUMPRODUCT((Inputs!$E$5:$E$110=$B28)*ISNUMBER(INDEX(Inputs!$K$5:$AJ$110,0,MATCH(Y$2,Inputs!$K$4:$AJ$4,0))))=0,NA(),SUMPRODUCT((Inputs!$A$5:$A$110=$B28)*Inputs!$B$5:$B$110*(((Inputs!$G$5:$G$110="moeda")+(Inputs!$G$5:$G$110="acoes"))*Inputs!$B$1+((Inputs!$G$5:$G$110&lt;&gt;"moeda")*(Inputs!$G$5:$G$110&lt;&gt;"acoes")))*INDEX(Inputs!$K$5:$AJ$110,0,MATCH(Y$2,Inputs!$K$4:$AJ$4,0)))+SUMPRODUCT((Inputs!$C$5:$C$110=$B28)*Inputs!$D$5:$D$110*(((Inputs!$G$5:$G$110="moeda")+(Inputs!$G$5:$G$110="acoes"))*Inputs!$B$1+((Inputs!$G$5:$G$110&lt;&gt;"moeda")*(Inputs!$G$5:$G$110&lt;&gt;"acoes")))*INDEX(Inputs!$K$5:$AJ$110,0,MATCH(Y$2,Inputs!$K$4:$AJ$4,0)))+SUMPRODUCT((Inputs!$E$5:$E$110=$B28)*Inputs!$F$5:$F$110*(((Inputs!$G$5:$G$110="moeda")+(Inputs!$G$5:$G$110="acoes"))*Inputs!$B$1+((Inputs!$G$5:$G$110&lt;&gt;"moeda")*(Inputs!$G$5:$G$110&lt;&gt;"acoes")))*INDEX(Inputs!$K$5:$AJ$110,0,MATCH(Y$2,Inputs!$K$4:$AJ$4,0)))))</f>
        <v>60086</v>
      </c>
      <c r="Z28" s="267">
        <f>IF(ISNA(MATCH(Z$2,Inputs!$K$4:$AJ$4,0)),NA(),IF(SUMPRODUCT((Inputs!$A$5:$A$110=$B28)*ISNUMBER(INDEX(Inputs!$K$5:$AJ$110,0,MATCH(Z$2,Inputs!$K$4:$AJ$4,0))))+SUMPRODUCT((Inputs!$C$5:$C$110=$B28)*ISNUMBER(INDEX(Inputs!$K$5:$AJ$110,0,MATCH(Z$2,Inputs!$K$4:$AJ$4,0))))+SUMPRODUCT((Inputs!$E$5:$E$110=$B28)*ISNUMBER(INDEX(Inputs!$K$5:$AJ$110,0,MATCH(Z$2,Inputs!$K$4:$AJ$4,0))))=0,NA(),SUMPRODUCT((Inputs!$A$5:$A$110=$B28)*Inputs!$B$5:$B$110*(((Inputs!$G$5:$G$110="moeda")+(Inputs!$G$5:$G$110="acoes"))*Inputs!$B$1+((Inputs!$G$5:$G$110&lt;&gt;"moeda")*(Inputs!$G$5:$G$110&lt;&gt;"acoes")))*INDEX(Inputs!$K$5:$AJ$110,0,MATCH(Z$2,Inputs!$K$4:$AJ$4,0)))+SUMPRODUCT((Inputs!$C$5:$C$110=$B28)*Inputs!$D$5:$D$110*(((Inputs!$G$5:$G$110="moeda")+(Inputs!$G$5:$G$110="acoes"))*Inputs!$B$1+((Inputs!$G$5:$G$110&lt;&gt;"moeda")*(Inputs!$G$5:$G$110&lt;&gt;"acoes")))*INDEX(Inputs!$K$5:$AJ$110,0,MATCH(Z$2,Inputs!$K$4:$AJ$4,0)))+SUMPRODUCT((Inputs!$E$5:$E$110=$B28)*Inputs!$F$5:$F$110*(((Inputs!$G$5:$G$110="moeda")+(Inputs!$G$5:$G$110="acoes"))*Inputs!$B$1+((Inputs!$G$5:$G$110&lt;&gt;"moeda")*(Inputs!$G$5:$G$110&lt;&gt;"acoes")))*INDEX(Inputs!$K$5:$AJ$110,0,MATCH(Z$2,Inputs!$K$4:$AJ$4,0)))))</f>
        <v>67156</v>
      </c>
      <c r="AA28" s="267">
        <f>IF(ISNA(MATCH(AA$2,Inputs!$K$4:$AJ$4,0)),NA(),IF(SUMPRODUCT((Inputs!$A$5:$A$110=$B28)*ISNUMBER(INDEX(Inputs!$K$5:$AJ$110,0,MATCH(AA$2,Inputs!$K$4:$AJ$4,0))))+SUMPRODUCT((Inputs!$C$5:$C$110=$B28)*ISNUMBER(INDEX(Inputs!$K$5:$AJ$110,0,MATCH(AA$2,Inputs!$K$4:$AJ$4,0))))+SUMPRODUCT((Inputs!$E$5:$E$110=$B28)*ISNUMBER(INDEX(Inputs!$K$5:$AJ$110,0,MATCH(AA$2,Inputs!$K$4:$AJ$4,0))))=0,NA(),SUMPRODUCT((Inputs!$A$5:$A$110=$B28)*Inputs!$B$5:$B$110*(((Inputs!$G$5:$G$110="moeda")+(Inputs!$G$5:$G$110="acoes"))*Inputs!$B$1+((Inputs!$G$5:$G$110&lt;&gt;"moeda")*(Inputs!$G$5:$G$110&lt;&gt;"acoes")))*INDEX(Inputs!$K$5:$AJ$110,0,MATCH(AA$2,Inputs!$K$4:$AJ$4,0)))+SUMPRODUCT((Inputs!$C$5:$C$110=$B28)*Inputs!$D$5:$D$110*(((Inputs!$G$5:$G$110="moeda")+(Inputs!$G$5:$G$110="acoes"))*Inputs!$B$1+((Inputs!$G$5:$G$110&lt;&gt;"moeda")*(Inputs!$G$5:$G$110&lt;&gt;"acoes")))*INDEX(Inputs!$K$5:$AJ$110,0,MATCH(AA$2,Inputs!$K$4:$AJ$4,0)))+SUMPRODUCT((Inputs!$E$5:$E$110=$B28)*Inputs!$F$5:$F$110*(((Inputs!$G$5:$G$110="moeda")+(Inputs!$G$5:$G$110="acoes"))*Inputs!$B$1+((Inputs!$G$5:$G$110&lt;&gt;"moeda")*(Inputs!$G$5:$G$110&lt;&gt;"acoes")))*INDEX(Inputs!$K$5:$AJ$110,0,MATCH(AA$2,Inputs!$K$4:$AJ$4,0)))))</f>
        <v>63061</v>
      </c>
      <c r="AB28" s="268">
        <f>AA28</f>
        <v>63061</v>
      </c>
      <c r="AC28" s="267">
        <f>IF(ISNA(MATCH(AC$2,Inputs!$K$4:$AJ$4,0)),NA(),IF(SUMPRODUCT((Inputs!$A$5:$A$110=$B28)*ISNUMBER(INDEX(Inputs!$K$5:$AJ$110,0,MATCH(AC$2,Inputs!$K$4:$AJ$4,0))))+SUMPRODUCT((Inputs!$C$5:$C$110=$B28)*ISNUMBER(INDEX(Inputs!$K$5:$AJ$110,0,MATCH(AC$2,Inputs!$K$4:$AJ$4,0))))+SUMPRODUCT((Inputs!$E$5:$E$110=$B28)*ISNUMBER(INDEX(Inputs!$K$5:$AJ$110,0,MATCH(AC$2,Inputs!$K$4:$AJ$4,0))))=0,NA(),SUMPRODUCT((Inputs!$A$5:$A$110=$B28)*Inputs!$B$5:$B$110*(((Inputs!$G$5:$G$110="moeda")+(Inputs!$G$5:$G$110="acoes"))*Inputs!$B$1+((Inputs!$G$5:$G$110&lt;&gt;"moeda")*(Inputs!$G$5:$G$110&lt;&gt;"acoes")))*INDEX(Inputs!$K$5:$AJ$110,0,MATCH(AC$2,Inputs!$K$4:$AJ$4,0)))+SUMPRODUCT((Inputs!$C$5:$C$110=$B28)*Inputs!$D$5:$D$110*(((Inputs!$G$5:$G$110="moeda")+(Inputs!$G$5:$G$110="acoes"))*Inputs!$B$1+((Inputs!$G$5:$G$110&lt;&gt;"moeda")*(Inputs!$G$5:$G$110&lt;&gt;"acoes")))*INDEX(Inputs!$K$5:$AJ$110,0,MATCH(AC$2,Inputs!$K$4:$AJ$4,0)))+SUMPRODUCT((Inputs!$E$5:$E$110=$B28)*Inputs!$F$5:$F$110*(((Inputs!$G$5:$G$110="moeda")+(Inputs!$G$5:$G$110="acoes"))*Inputs!$B$1+((Inputs!$G$5:$G$110&lt;&gt;"moeda")*(Inputs!$G$5:$G$110&lt;&gt;"acoes")))*INDEX(Inputs!$K$5:$AJ$110,0,MATCH(AC$2,Inputs!$K$4:$AJ$4,0)))))</f>
        <v>62876</v>
      </c>
      <c r="AD28" s="267">
        <f>IF(ISNA(MATCH(AD$2,Inputs!$K$4:$AJ$4,0)),NA(),IF(SUMPRODUCT((Inputs!$A$5:$A$110=$B28)*ISNUMBER(INDEX(Inputs!$K$5:$AJ$110,0,MATCH(AD$2,Inputs!$K$4:$AJ$4,0))))+SUMPRODUCT((Inputs!$C$5:$C$110=$B28)*ISNUMBER(INDEX(Inputs!$K$5:$AJ$110,0,MATCH(AD$2,Inputs!$K$4:$AJ$4,0))))+SUMPRODUCT((Inputs!$E$5:$E$110=$B28)*ISNUMBER(INDEX(Inputs!$K$5:$AJ$110,0,MATCH(AD$2,Inputs!$K$4:$AJ$4,0))))=0,NA(),SUMPRODUCT((Inputs!$A$5:$A$110=$B28)*Inputs!$B$5:$B$110*(((Inputs!$G$5:$G$110="moeda")+(Inputs!$G$5:$G$110="acoes"))*Inputs!$B$1+((Inputs!$G$5:$G$110&lt;&gt;"moeda")*(Inputs!$G$5:$G$110&lt;&gt;"acoes")))*INDEX(Inputs!$K$5:$AJ$110,0,MATCH(AD$2,Inputs!$K$4:$AJ$4,0)))+SUMPRODUCT((Inputs!$C$5:$C$110=$B28)*Inputs!$D$5:$D$110*(((Inputs!$G$5:$G$110="moeda")+(Inputs!$G$5:$G$110="acoes"))*Inputs!$B$1+((Inputs!$G$5:$G$110&lt;&gt;"moeda")*(Inputs!$G$5:$G$110&lt;&gt;"acoes")))*INDEX(Inputs!$K$5:$AJ$110,0,MATCH(AD$2,Inputs!$K$4:$AJ$4,0)))+SUMPRODUCT((Inputs!$E$5:$E$110=$B28)*Inputs!$F$5:$F$110*(((Inputs!$G$5:$G$110="moeda")+(Inputs!$G$5:$G$110="acoes"))*Inputs!$B$1+((Inputs!$G$5:$G$110&lt;&gt;"moeda")*(Inputs!$G$5:$G$110&lt;&gt;"acoes")))*INDEX(Inputs!$K$5:$AJ$110,0,MATCH(AD$2,Inputs!$K$4:$AJ$4,0)))))</f>
        <v>64318</v>
      </c>
      <c r="AE28" s="267" t="e">
        <f>IF(ISNA(MATCH(AE$2,Inputs!$K$4:$AJ$4,0)),NA(),IF(SUMPRODUCT((Inputs!$A$5:$A$110=$B28)*ISNUMBER(INDEX(Inputs!$K$5:$AJ$110,0,MATCH(AE$2,Inputs!$K$4:$AJ$4,0))))+SUMPRODUCT((Inputs!$C$5:$C$110=$B28)*ISNUMBER(INDEX(Inputs!$K$5:$AJ$110,0,MATCH(AE$2,Inputs!$K$4:$AJ$4,0))))+SUMPRODUCT((Inputs!$E$5:$E$110=$B28)*ISNUMBER(INDEX(Inputs!$K$5:$AJ$110,0,MATCH(AE$2,Inputs!$K$4:$AJ$4,0))))=0,NA(),SUMPRODUCT((Inputs!$A$5:$A$110=$B28)*Inputs!$B$5:$B$110*(((Inputs!$G$5:$G$110="moeda")+(Inputs!$G$5:$G$110="acoes"))*Inputs!$B$1+((Inputs!$G$5:$G$110&lt;&gt;"moeda")*(Inputs!$G$5:$G$110&lt;&gt;"acoes")))*INDEX(Inputs!$K$5:$AJ$110,0,MATCH(AE$2,Inputs!$K$4:$AJ$4,0)))+SUMPRODUCT((Inputs!$C$5:$C$110=$B28)*Inputs!$D$5:$D$110*(((Inputs!$G$5:$G$110="moeda")+(Inputs!$G$5:$G$110="acoes"))*Inputs!$B$1+((Inputs!$G$5:$G$110&lt;&gt;"moeda")*(Inputs!$G$5:$G$110&lt;&gt;"acoes")))*INDEX(Inputs!$K$5:$AJ$110,0,MATCH(AE$2,Inputs!$K$4:$AJ$4,0)))+SUMPRODUCT((Inputs!$E$5:$E$110=$B28)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8" s="267" t="e">
        <f>IF(ISNA(MATCH(AF$2,Inputs!$K$4:$AJ$4,0)),NA(),IF(SUMPRODUCT((Inputs!$A$5:$A$110=$B28)*ISNUMBER(INDEX(Inputs!$K$5:$AJ$110,0,MATCH(AF$2,Inputs!$K$4:$AJ$4,0))))+SUMPRODUCT((Inputs!$C$5:$C$110=$B28)*ISNUMBER(INDEX(Inputs!$K$5:$AJ$110,0,MATCH(AF$2,Inputs!$K$4:$AJ$4,0))))+SUMPRODUCT((Inputs!$E$5:$E$110=$B28)*ISNUMBER(INDEX(Inputs!$K$5:$AJ$110,0,MATCH(AF$2,Inputs!$K$4:$AJ$4,0))))=0,NA(),SUMPRODUCT((Inputs!$A$5:$A$110=$B28)*Inputs!$B$5:$B$110*(((Inputs!$G$5:$G$110="moeda")+(Inputs!$G$5:$G$110="acoes"))*Inputs!$B$1+((Inputs!$G$5:$G$110&lt;&gt;"moeda")*(Inputs!$G$5:$G$110&lt;&gt;"acoes")))*INDEX(Inputs!$K$5:$AJ$110,0,MATCH(AF$2,Inputs!$K$4:$AJ$4,0)))+SUMPRODUCT((Inputs!$C$5:$C$110=$B28)*Inputs!$D$5:$D$110*(((Inputs!$G$5:$G$110="moeda")+(Inputs!$G$5:$G$110="acoes"))*Inputs!$B$1+((Inputs!$G$5:$G$110&lt;&gt;"moeda")*(Inputs!$G$5:$G$110&lt;&gt;"acoes")))*INDEX(Inputs!$K$5:$AJ$110,0,MATCH(AF$2,Inputs!$K$4:$AJ$4,0)))+SUMPRODUCT((Inputs!$E$5:$E$110=$B28)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8" s="268" t="e">
        <f>AF28</f>
        <v>#N/A</v>
      </c>
      <c r="AH28" s="267">
        <f>IF(ISNA(MATCH(AH$2,Inputs!$K$4:$AJ$4,0)),NA(),IF(SUMPRODUCT((Inputs!$A$5:$A$110=$B28)*ISNUMBER(INDEX(Inputs!$K$5:$AJ$110,0,MATCH(AH$2,Inputs!$K$4:$AJ$4,0))))+SUMPRODUCT((Inputs!$C$5:$C$110=$B28)*ISNUMBER(INDEX(Inputs!$K$5:$AJ$110,0,MATCH(AH$2,Inputs!$K$4:$AJ$4,0))))+SUMPRODUCT((Inputs!$E$5:$E$110=$B28)*ISNUMBER(INDEX(Inputs!$K$5:$AJ$110,0,MATCH(AH$2,Inputs!$K$4:$AJ$4,0))))=0,NA(),SUMPRODUCT((Inputs!$A$5:$A$110=$B28)*Inputs!$B$5:$B$110*(((Inputs!$G$5:$G$110="moeda")+(Inputs!$G$5:$G$110="acoes"))*Inputs!$B$1+((Inputs!$G$5:$G$110&lt;&gt;"moeda")*(Inputs!$G$5:$G$110&lt;&gt;"acoes")))*INDEX(Inputs!$K$5:$AJ$110,0,MATCH(AH$2,Inputs!$K$4:$AJ$4,0)))+SUMPRODUCT((Inputs!$C$5:$C$110=$B28)*Inputs!$D$5:$D$110*(((Inputs!$G$5:$G$110="moeda")+(Inputs!$G$5:$G$110="acoes"))*Inputs!$B$1+((Inputs!$G$5:$G$110&lt;&gt;"moeda")*(Inputs!$G$5:$G$110&lt;&gt;"acoes")))*INDEX(Inputs!$K$5:$AJ$110,0,MATCH(AH$2,Inputs!$K$4:$AJ$4,0)))+SUMPRODUCT((Inputs!$E$5:$E$110=$B28)*Inputs!$F$5:$F$110*(((Inputs!$G$5:$G$110="moeda")+(Inputs!$G$5:$G$110="acoes"))*Inputs!$B$1+((Inputs!$G$5:$G$110&lt;&gt;"moeda")*(Inputs!$G$5:$G$110&lt;&gt;"acoes")))*INDEX(Inputs!$K$5:$AJ$110,0,MATCH(AH$2,Inputs!$K$4:$AJ$4,0)))))</f>
        <v>44096</v>
      </c>
      <c r="AI28" s="267">
        <f>IF(ISNA(MATCH(AI$2,Inputs!$K$4:$AJ$4,0)),NA(),IF(SUMPRODUCT((Inputs!$A$5:$A$110=$B28)*ISNUMBER(INDEX(Inputs!$K$5:$AJ$110,0,MATCH(AI$2,Inputs!$K$4:$AJ$4,0))))+SUMPRODUCT((Inputs!$C$5:$C$110=$B28)*ISNUMBER(INDEX(Inputs!$K$5:$AJ$110,0,MATCH(AI$2,Inputs!$K$4:$AJ$4,0))))+SUMPRODUCT((Inputs!$E$5:$E$110=$B28)*ISNUMBER(INDEX(Inputs!$K$5:$AJ$110,0,MATCH(AI$2,Inputs!$K$4:$AJ$4,0))))=0,NA(),SUMPRODUCT((Inputs!$A$5:$A$110=$B28)*Inputs!$B$5:$B$110*(((Inputs!$G$5:$G$110="moeda")+(Inputs!$G$5:$G$110="acoes"))*Inputs!$B$1+((Inputs!$G$5:$G$110&lt;&gt;"moeda")*(Inputs!$G$5:$G$110&lt;&gt;"acoes")))*INDEX(Inputs!$K$5:$AJ$110,0,MATCH(AI$2,Inputs!$K$4:$AJ$4,0)))+SUMPRODUCT((Inputs!$C$5:$C$110=$B28)*Inputs!$D$5:$D$110*(((Inputs!$G$5:$G$110="moeda")+(Inputs!$G$5:$G$110="acoes"))*Inputs!$B$1+((Inputs!$G$5:$G$110&lt;&gt;"moeda")*(Inputs!$G$5:$G$110&lt;&gt;"acoes")))*INDEX(Inputs!$K$5:$AJ$110,0,MATCH(AI$2,Inputs!$K$4:$AJ$4,0)))+SUMPRODUCT((Inputs!$E$5:$E$110=$B28)*Inputs!$F$5:$F$110*(((Inputs!$G$5:$G$110="moeda")+(Inputs!$G$5:$G$110="acoes"))*Inputs!$B$1+((Inputs!$G$5:$G$110&lt;&gt;"moeda")*(Inputs!$G$5:$G$110&lt;&gt;"acoes")))*INDEX(Inputs!$K$5:$AJ$110,0,MATCH(AI$2,Inputs!$K$4:$AJ$4,0)))))</f>
        <v>46326</v>
      </c>
      <c r="AJ28" s="267">
        <f>IF(ISNA(MATCH(AJ$2,Inputs!$K$4:$AJ$4,0)),NA(),IF(SUMPRODUCT((Inputs!$A$5:$A$110=$B28)*ISNUMBER(INDEX(Inputs!$K$5:$AJ$110,0,MATCH(AJ$2,Inputs!$K$4:$AJ$4,0))))+SUMPRODUCT((Inputs!$C$5:$C$110=$B28)*ISNUMBER(INDEX(Inputs!$K$5:$AJ$110,0,MATCH(AJ$2,Inputs!$K$4:$AJ$4,0))))+SUMPRODUCT((Inputs!$E$5:$E$110=$B28)*ISNUMBER(INDEX(Inputs!$K$5:$AJ$110,0,MATCH(AJ$2,Inputs!$K$4:$AJ$4,0))))=0,NA(),SUMPRODUCT((Inputs!$A$5:$A$110=$B28)*Inputs!$B$5:$B$110*(((Inputs!$G$5:$G$110="moeda")+(Inputs!$G$5:$G$110="acoes"))*Inputs!$B$1+((Inputs!$G$5:$G$110&lt;&gt;"moeda")*(Inputs!$G$5:$G$110&lt;&gt;"acoes")))*INDEX(Inputs!$K$5:$AJ$110,0,MATCH(AJ$2,Inputs!$K$4:$AJ$4,0)))+SUMPRODUCT((Inputs!$C$5:$C$110=$B28)*Inputs!$D$5:$D$110*(((Inputs!$G$5:$G$110="moeda")+(Inputs!$G$5:$G$110="acoes"))*Inputs!$B$1+((Inputs!$G$5:$G$110&lt;&gt;"moeda")*(Inputs!$G$5:$G$110&lt;&gt;"acoes")))*INDEX(Inputs!$K$5:$AJ$110,0,MATCH(AJ$2,Inputs!$K$4:$AJ$4,0)))+SUMPRODUCT((Inputs!$E$5:$E$110=$B28)*Inputs!$F$5:$F$110*(((Inputs!$G$5:$G$110="moeda")+(Inputs!$G$5:$G$110="acoes"))*Inputs!$B$1+((Inputs!$G$5:$G$110&lt;&gt;"moeda")*(Inputs!$G$5:$G$110&lt;&gt;"acoes")))*INDEX(Inputs!$K$5:$AJ$110,0,MATCH(AJ$2,Inputs!$K$4:$AJ$4,0)))))</f>
        <v>54152</v>
      </c>
      <c r="AK28" s="267">
        <f>IF(ISNA(MATCH(AK$2,Inputs!$K$4:$AJ$4,0)),NA(),IF(SUMPRODUCT((Inputs!$A$5:$A$110=$B28)*ISNUMBER(INDEX(Inputs!$K$5:$AJ$110,0,MATCH(AK$2,Inputs!$K$4:$AJ$4,0))))+SUMPRODUCT((Inputs!$C$5:$C$110=$B28)*ISNUMBER(INDEX(Inputs!$K$5:$AJ$110,0,MATCH(AK$2,Inputs!$K$4:$AJ$4,0))))+SUMPRODUCT((Inputs!$E$5:$E$110=$B28)*ISNUMBER(INDEX(Inputs!$K$5:$AJ$110,0,MATCH(AK$2,Inputs!$K$4:$AJ$4,0))))=0,NA(),SUMPRODUCT((Inputs!$A$5:$A$110=$B28)*Inputs!$B$5:$B$110*(((Inputs!$G$5:$G$110="moeda")+(Inputs!$G$5:$G$110="acoes"))*Inputs!$B$1+((Inputs!$G$5:$G$110&lt;&gt;"moeda")*(Inputs!$G$5:$G$110&lt;&gt;"acoes")))*INDEX(Inputs!$K$5:$AJ$110,0,MATCH(AK$2,Inputs!$K$4:$AJ$4,0)))+SUMPRODUCT((Inputs!$C$5:$C$110=$B28)*Inputs!$D$5:$D$110*(((Inputs!$G$5:$G$110="moeda")+(Inputs!$G$5:$G$110="acoes"))*Inputs!$B$1+((Inputs!$G$5:$G$110&lt;&gt;"moeda")*(Inputs!$G$5:$G$110&lt;&gt;"acoes")))*INDEX(Inputs!$K$5:$AJ$110,0,MATCH(AK$2,Inputs!$K$4:$AJ$4,0)))+SUMPRODUCT((Inputs!$E$5:$E$110=$B28)*Inputs!$F$5:$F$110*(((Inputs!$G$5:$G$110="moeda")+(Inputs!$G$5:$G$110="acoes"))*Inputs!$B$1+((Inputs!$G$5:$G$110&lt;&gt;"moeda")*(Inputs!$G$5:$G$110&lt;&gt;"acoes")))*INDEX(Inputs!$K$5:$AJ$110,0,MATCH(AK$2,Inputs!$K$4:$AJ$4,0)))))</f>
        <v>49141</v>
      </c>
      <c r="AL28" s="268">
        <f>AK28</f>
        <v>49141</v>
      </c>
    </row>
    <row r="29" ht="12.75" customHeight="1" s="255">
      <c r="B29" s="265" t="n">
        <v>24</v>
      </c>
      <c r="C29" s="270" t="inlineStr">
        <is>
          <t>Accrued expenses</t>
        </is>
      </c>
      <c r="D29" s="267">
        <f>IF(ISNA(MATCH(D$2,Inputs!$K$4:$AJ$4,0)),NA(),IF(SUMPRODUCT((Inputs!$A$5:$A$110=$B29)*ISNUMBER(INDEX(Inputs!$K$5:$AJ$110,0,MATCH(D$2,Inputs!$K$4:$AJ$4,0))))+SUMPRODUCT((Inputs!$C$5:$C$110=$B29)*ISNUMBER(INDEX(Inputs!$K$5:$AJ$110,0,MATCH(D$2,Inputs!$K$4:$AJ$4,0))))+SUMPRODUCT((Inputs!$E$5:$E$110=$B29)*ISNUMBER(INDEX(Inputs!$K$5:$AJ$110,0,MATCH(D$2,Inputs!$K$4:$AJ$4,0))))=0,NA(),SUMPRODUCT((Inputs!$A$5:$A$110=$B29)*Inputs!$B$5:$B$110*(((Inputs!$G$5:$G$110="moeda")+(Inputs!$G$5:$G$110="acoes"))*Inputs!$B$1+((Inputs!$G$5:$G$110&lt;&gt;"moeda")*(Inputs!$G$5:$G$110&lt;&gt;"acoes")))*INDEX(Inputs!$K$5:$AJ$110,0,MATCH(D$2,Inputs!$K$4:$AJ$4,0)))+SUMPRODUCT((Inputs!$C$5:$C$110=$B29)*Inputs!$D$5:$D$110*(((Inputs!$G$5:$G$110="moeda")+(Inputs!$G$5:$G$110="acoes"))*Inputs!$B$1+((Inputs!$G$5:$G$110&lt;&gt;"moeda")*(Inputs!$G$5:$G$110&lt;&gt;"acoes")))*INDEX(Inputs!$K$5:$AJ$110,0,MATCH(D$2,Inputs!$K$4:$AJ$4,0)))+SUMPRODUCT((Inputs!$E$5:$E$110=$B29)*Inputs!$F$5:$F$110*(((Inputs!$G$5:$G$110="moeda")+(Inputs!$G$5:$G$110="acoes"))*Inputs!$B$1+((Inputs!$G$5:$G$110&lt;&gt;"moeda")*(Inputs!$G$5:$G$110&lt;&gt;"acoes")))*INDEX(Inputs!$K$5:$AJ$110,0,MATCH(D$2,Inputs!$K$4:$AJ$4,0)))))</f>
        <v>21371</v>
      </c>
      <c r="E29" s="267">
        <f>IF(ISNA(MATCH(E$2,Inputs!$K$4:$AJ$4,0)),NA(),IF(SUMPRODUCT((Inputs!$A$5:$A$110=$B29)*ISNUMBER(INDEX(Inputs!$K$5:$AJ$110,0,MATCH(E$2,Inputs!$K$4:$AJ$4,0))))+SUMPRODUCT((Inputs!$C$5:$C$110=$B29)*ISNUMBER(INDEX(Inputs!$K$5:$AJ$110,0,MATCH(E$2,Inputs!$K$4:$AJ$4,0))))+SUMPRODUCT((Inputs!$E$5:$E$110=$B29)*ISNUMBER(INDEX(Inputs!$K$5:$AJ$110,0,MATCH(E$2,Inputs!$K$4:$AJ$4,0))))=0,NA(),SUMPRODUCT((Inputs!$A$5:$A$110=$B29)*Inputs!$B$5:$B$110*(((Inputs!$G$5:$G$110="moeda")+(Inputs!$G$5:$G$110="acoes"))*Inputs!$B$1+((Inputs!$G$5:$G$110&lt;&gt;"moeda")*(Inputs!$G$5:$G$110&lt;&gt;"acoes")))*INDEX(Inputs!$K$5:$AJ$110,0,MATCH(E$2,Inputs!$K$4:$AJ$4,0)))+SUMPRODUCT((Inputs!$C$5:$C$110=$B29)*Inputs!$D$5:$D$110*(((Inputs!$G$5:$G$110="moeda")+(Inputs!$G$5:$G$110="acoes"))*Inputs!$B$1+((Inputs!$G$5:$G$110&lt;&gt;"moeda")*(Inputs!$G$5:$G$110&lt;&gt;"acoes")))*INDEX(Inputs!$K$5:$AJ$110,0,MATCH(E$2,Inputs!$K$4:$AJ$4,0)))+SUMPRODUCT((Inputs!$E$5:$E$110=$B29)*Inputs!$F$5:$F$110*(((Inputs!$G$5:$G$110="moeda")+(Inputs!$G$5:$G$110="acoes"))*Inputs!$B$1+((Inputs!$G$5:$G$110&lt;&gt;"moeda")*(Inputs!$G$5:$G$110&lt;&gt;"acoes")))*INDEX(Inputs!$K$5:$AJ$110,0,MATCH(E$2,Inputs!$K$4:$AJ$4,0)))))</f>
        <v>23915</v>
      </c>
      <c r="F29" s="267">
        <f>IF(ISNA(MATCH(F$2,Inputs!$K$4:$AJ$4,0)),NA(),IF(SUMPRODUCT((Inputs!$A$5:$A$110=$B29)*ISNUMBER(INDEX(Inputs!$K$5:$AJ$110,0,MATCH(F$2,Inputs!$K$4:$AJ$4,0))))+SUMPRODUCT((Inputs!$C$5:$C$110=$B29)*ISNUMBER(INDEX(Inputs!$K$5:$AJ$110,0,MATCH(F$2,Inputs!$K$4:$AJ$4,0))))+SUMPRODUCT((Inputs!$E$5:$E$110=$B29)*ISNUMBER(INDEX(Inputs!$K$5:$AJ$110,0,MATCH(F$2,Inputs!$K$4:$AJ$4,0))))=0,NA(),SUMPRODUCT((Inputs!$A$5:$A$110=$B29)*Inputs!$B$5:$B$110*(((Inputs!$G$5:$G$110="moeda")+(Inputs!$G$5:$G$110="acoes"))*Inputs!$B$1+((Inputs!$G$5:$G$110&lt;&gt;"moeda")*(Inputs!$G$5:$G$110&lt;&gt;"acoes")))*INDEX(Inputs!$K$5:$AJ$110,0,MATCH(F$2,Inputs!$K$4:$AJ$4,0)))+SUMPRODUCT((Inputs!$C$5:$C$110=$B29)*Inputs!$D$5:$D$110*(((Inputs!$G$5:$G$110="moeda")+(Inputs!$G$5:$G$110="acoes"))*Inputs!$B$1+((Inputs!$G$5:$G$110&lt;&gt;"moeda")*(Inputs!$G$5:$G$110&lt;&gt;"acoes")))*INDEX(Inputs!$K$5:$AJ$110,0,MATCH(F$2,Inputs!$K$4:$AJ$4,0)))+SUMPRODUCT((Inputs!$E$5:$E$110=$B29)*Inputs!$F$5:$F$110*(((Inputs!$G$5:$G$110="moeda")+(Inputs!$G$5:$G$110="acoes"))*Inputs!$B$1+((Inputs!$G$5:$G$110&lt;&gt;"moeda")*(Inputs!$G$5:$G$110&lt;&gt;"acoes")))*INDEX(Inputs!$K$5:$AJ$110,0,MATCH(F$2,Inputs!$K$4:$AJ$4,0)))))</f>
        <v>24474</v>
      </c>
      <c r="G29" s="267">
        <f>IF(ISNA(MATCH(G$2,Inputs!$K$4:$AJ$4,0)),NA(),IF(SUMPRODUCT((Inputs!$A$5:$A$110=$B29)*ISNUMBER(INDEX(Inputs!$K$5:$AJ$110,0,MATCH(G$2,Inputs!$K$4:$AJ$4,0))))+SUMPRODUCT((Inputs!$C$5:$C$110=$B29)*ISNUMBER(INDEX(Inputs!$K$5:$AJ$110,0,MATCH(G$2,Inputs!$K$4:$AJ$4,0))))+SUMPRODUCT((Inputs!$E$5:$E$110=$B29)*ISNUMBER(INDEX(Inputs!$K$5:$AJ$110,0,MATCH(G$2,Inputs!$K$4:$AJ$4,0))))=0,NA(),SUMPRODUCT((Inputs!$A$5:$A$110=$B29)*Inputs!$B$5:$B$110*(((Inputs!$G$5:$G$110="moeda")+(Inputs!$G$5:$G$110="acoes"))*Inputs!$B$1+((Inputs!$G$5:$G$110&lt;&gt;"moeda")*(Inputs!$G$5:$G$110&lt;&gt;"acoes")))*INDEX(Inputs!$K$5:$AJ$110,0,MATCH(G$2,Inputs!$K$4:$AJ$4,0)))+SUMPRODUCT((Inputs!$C$5:$C$110=$B29)*Inputs!$D$5:$D$110*(((Inputs!$G$5:$G$110="moeda")+(Inputs!$G$5:$G$110="acoes"))*Inputs!$B$1+((Inputs!$G$5:$G$110&lt;&gt;"moeda")*(Inputs!$G$5:$G$110&lt;&gt;"acoes")))*INDEX(Inputs!$K$5:$AJ$110,0,MATCH(G$2,Inputs!$K$4:$AJ$4,0)))+SUMPRODUCT((Inputs!$E$5:$E$110=$B29)*Inputs!$F$5:$F$110*(((Inputs!$G$5:$G$110="moeda")+(Inputs!$G$5:$G$110="acoes"))*Inputs!$B$1+((Inputs!$G$5:$G$110&lt;&gt;"moeda")*(Inputs!$G$5:$G$110&lt;&gt;"acoes")))*INDEX(Inputs!$K$5:$AJ$110,0,MATCH(G$2,Inputs!$K$4:$AJ$4,0)))))</f>
        <v>26060</v>
      </c>
      <c r="H29" s="268">
        <f>G29</f>
        <v>26060</v>
      </c>
      <c r="I29" s="267">
        <f>IF(ISNA(MATCH(I$2,Inputs!$K$4:$AJ$4,0)),NA(),IF(SUMPRODUCT((Inputs!$A$5:$A$110=$B29)*ISNUMBER(INDEX(Inputs!$K$5:$AJ$110,0,MATCH(I$2,Inputs!$K$4:$AJ$4,0))))+SUMPRODUCT((Inputs!$C$5:$C$110=$B29)*ISNUMBER(INDEX(Inputs!$K$5:$AJ$110,0,MATCH(I$2,Inputs!$K$4:$AJ$4,0))))+SUMPRODUCT((Inputs!$E$5:$E$110=$B29)*ISNUMBER(INDEX(Inputs!$K$5:$AJ$110,0,MATCH(I$2,Inputs!$K$4:$AJ$4,0))))=0,NA(),SUMPRODUCT((Inputs!$A$5:$A$110=$B29)*Inputs!$B$5:$B$110*(((Inputs!$G$5:$G$110="moeda")+(Inputs!$G$5:$G$110="acoes"))*Inputs!$B$1+((Inputs!$G$5:$G$110&lt;&gt;"moeda")*(Inputs!$G$5:$G$110&lt;&gt;"acoes")))*INDEX(Inputs!$K$5:$AJ$110,0,MATCH(I$2,Inputs!$K$4:$AJ$4,0)))+SUMPRODUCT((Inputs!$C$5:$C$110=$B29)*Inputs!$D$5:$D$110*(((Inputs!$G$5:$G$110="moeda")+(Inputs!$G$5:$G$110="acoes"))*Inputs!$B$1+((Inputs!$G$5:$G$110&lt;&gt;"moeda")*(Inputs!$G$5:$G$110&lt;&gt;"acoes")))*INDEX(Inputs!$K$5:$AJ$110,0,MATCH(I$2,Inputs!$K$4:$AJ$4,0)))+SUMPRODUCT((Inputs!$E$5:$E$110=$B29)*Inputs!$F$5:$F$110*(((Inputs!$G$5:$G$110="moeda")+(Inputs!$G$5:$G$110="acoes"))*Inputs!$B$1+((Inputs!$G$5:$G$110&lt;&gt;"moeda")*(Inputs!$G$5:$G$110&lt;&gt;"acoes")))*INDEX(Inputs!$K$5:$AJ$110,0,MATCH(I$2,Inputs!$K$4:$AJ$4,0)))))</f>
        <v>21061</v>
      </c>
      <c r="J29" s="267">
        <f>IF(ISNA(MATCH(J$2,Inputs!$K$4:$AJ$4,0)),NA(),IF(SUMPRODUCT((Inputs!$A$5:$A$110=$B29)*ISNUMBER(INDEX(Inputs!$K$5:$AJ$110,0,MATCH(J$2,Inputs!$K$4:$AJ$4,0))))+SUMPRODUCT((Inputs!$C$5:$C$110=$B29)*ISNUMBER(INDEX(Inputs!$K$5:$AJ$110,0,MATCH(J$2,Inputs!$K$4:$AJ$4,0))))+SUMPRODUCT((Inputs!$E$5:$E$110=$B29)*ISNUMBER(INDEX(Inputs!$K$5:$AJ$110,0,MATCH(J$2,Inputs!$K$4:$AJ$4,0))))=0,NA(),SUMPRODUCT((Inputs!$A$5:$A$110=$B29)*Inputs!$B$5:$B$110*(((Inputs!$G$5:$G$110="moeda")+(Inputs!$G$5:$G$110="acoes"))*Inputs!$B$1+((Inputs!$G$5:$G$110&lt;&gt;"moeda")*(Inputs!$G$5:$G$110&lt;&gt;"acoes")))*INDEX(Inputs!$K$5:$AJ$110,0,MATCH(J$2,Inputs!$K$4:$AJ$4,0)))+SUMPRODUCT((Inputs!$C$5:$C$110=$B29)*Inputs!$D$5:$D$110*(((Inputs!$G$5:$G$110="moeda")+(Inputs!$G$5:$G$110="acoes"))*Inputs!$B$1+((Inputs!$G$5:$G$110&lt;&gt;"moeda")*(Inputs!$G$5:$G$110&lt;&gt;"acoes")))*INDEX(Inputs!$K$5:$AJ$110,0,MATCH(J$2,Inputs!$K$4:$AJ$4,0)))+SUMPRODUCT((Inputs!$E$5:$E$110=$B29)*Inputs!$F$5:$F$110*(((Inputs!$G$5:$G$110="moeda")+(Inputs!$G$5:$G$110="acoes"))*Inputs!$B$1+((Inputs!$G$5:$G$110&lt;&gt;"moeda")*(Inputs!$G$5:$G$110&lt;&gt;"acoes")))*INDEX(Inputs!$K$5:$AJ$110,0,MATCH(J$2,Inputs!$K$4:$AJ$4,0)))))</f>
        <v>23843</v>
      </c>
      <c r="K29" s="267">
        <f>IF(ISNA(MATCH(K$2,Inputs!$K$4:$AJ$4,0)),NA(),IF(SUMPRODUCT((Inputs!$A$5:$A$110=$B29)*ISNUMBER(INDEX(Inputs!$K$5:$AJ$110,0,MATCH(K$2,Inputs!$K$4:$AJ$4,0))))+SUMPRODUCT((Inputs!$C$5:$C$110=$B29)*ISNUMBER(INDEX(Inputs!$K$5:$AJ$110,0,MATCH(K$2,Inputs!$K$4:$AJ$4,0))))+SUMPRODUCT((Inputs!$E$5:$E$110=$B29)*ISNUMBER(INDEX(Inputs!$K$5:$AJ$110,0,MATCH(K$2,Inputs!$K$4:$AJ$4,0))))=0,NA(),SUMPRODUCT((Inputs!$A$5:$A$110=$B29)*Inputs!$B$5:$B$110*(((Inputs!$G$5:$G$110="moeda")+(Inputs!$G$5:$G$110="acoes"))*Inputs!$B$1+((Inputs!$G$5:$G$110&lt;&gt;"moeda")*(Inputs!$G$5:$G$110&lt;&gt;"acoes")))*INDEX(Inputs!$K$5:$AJ$110,0,MATCH(K$2,Inputs!$K$4:$AJ$4,0)))+SUMPRODUCT((Inputs!$C$5:$C$110=$B29)*Inputs!$D$5:$D$110*(((Inputs!$G$5:$G$110="moeda")+(Inputs!$G$5:$G$110="acoes"))*Inputs!$B$1+((Inputs!$G$5:$G$110&lt;&gt;"moeda")*(Inputs!$G$5:$G$110&lt;&gt;"acoes")))*INDEX(Inputs!$K$5:$AJ$110,0,MATCH(K$2,Inputs!$K$4:$AJ$4,0)))+SUMPRODUCT((Inputs!$E$5:$E$110=$B29)*Inputs!$F$5:$F$110*(((Inputs!$G$5:$G$110="moeda")+(Inputs!$G$5:$G$110="acoes"))*Inputs!$B$1+((Inputs!$G$5:$G$110&lt;&gt;"moeda")*(Inputs!$G$5:$G$110&lt;&gt;"acoes")))*INDEX(Inputs!$K$5:$AJ$110,0,MATCH(K$2,Inputs!$K$4:$AJ$4,0)))))</f>
        <v>27443</v>
      </c>
      <c r="L29" s="267">
        <f>IF(ISNA(MATCH(L$2,Inputs!$K$4:$AJ$4,0)),NA(),IF(SUMPRODUCT((Inputs!$A$5:$A$110=$B29)*ISNUMBER(INDEX(Inputs!$K$5:$AJ$110,0,MATCH(L$2,Inputs!$K$4:$AJ$4,0))))+SUMPRODUCT((Inputs!$C$5:$C$110=$B29)*ISNUMBER(INDEX(Inputs!$K$5:$AJ$110,0,MATCH(L$2,Inputs!$K$4:$AJ$4,0))))+SUMPRODUCT((Inputs!$E$5:$E$110=$B29)*ISNUMBER(INDEX(Inputs!$K$5:$AJ$110,0,MATCH(L$2,Inputs!$K$4:$AJ$4,0))))=0,NA(),SUMPRODUCT((Inputs!$A$5:$A$110=$B29)*Inputs!$B$5:$B$110*(((Inputs!$G$5:$G$110="moeda")+(Inputs!$G$5:$G$110="acoes"))*Inputs!$B$1+((Inputs!$G$5:$G$110&lt;&gt;"moeda")*(Inputs!$G$5:$G$110&lt;&gt;"acoes")))*INDEX(Inputs!$K$5:$AJ$110,0,MATCH(L$2,Inputs!$K$4:$AJ$4,0)))+SUMPRODUCT((Inputs!$C$5:$C$110=$B29)*Inputs!$D$5:$D$110*(((Inputs!$G$5:$G$110="moeda")+(Inputs!$G$5:$G$110="acoes"))*Inputs!$B$1+((Inputs!$G$5:$G$110&lt;&gt;"moeda")*(Inputs!$G$5:$G$110&lt;&gt;"acoes")))*INDEX(Inputs!$K$5:$AJ$110,0,MATCH(L$2,Inputs!$K$4:$AJ$4,0)))+SUMPRODUCT((Inputs!$E$5:$E$110=$B29)*Inputs!$F$5:$F$110*(((Inputs!$G$5:$G$110="moeda")+(Inputs!$G$5:$G$110="acoes"))*Inputs!$B$1+((Inputs!$G$5:$G$110&lt;&gt;"moeda")*(Inputs!$G$5:$G$110&lt;&gt;"acoes")))*INDEX(Inputs!$K$5:$AJ$110,0,MATCH(L$2,Inputs!$K$4:$AJ$4,0)))))</f>
        <v>31126</v>
      </c>
      <c r="M29" s="268">
        <f>L29</f>
        <v>31126</v>
      </c>
      <c r="N29" s="267">
        <f>IF(ISNA(MATCH(N$2,Inputs!$K$4:$AJ$4,0)),NA(),IF(SUMPRODUCT((Inputs!$A$5:$A$110=$B29)*ISNUMBER(INDEX(Inputs!$K$5:$AJ$110,0,MATCH(N$2,Inputs!$K$4:$AJ$4,0))))+SUMPRODUCT((Inputs!$C$5:$C$110=$B29)*ISNUMBER(INDEX(Inputs!$K$5:$AJ$110,0,MATCH(N$2,Inputs!$K$4:$AJ$4,0))))+SUMPRODUCT((Inputs!$E$5:$E$110=$B29)*ISNUMBER(INDEX(Inputs!$K$5:$AJ$110,0,MATCH(N$2,Inputs!$K$4:$AJ$4,0))))=0,NA(),SUMPRODUCT((Inputs!$A$5:$A$110=$B29)*Inputs!$B$5:$B$110*(((Inputs!$G$5:$G$110="moeda")+(Inputs!$G$5:$G$110="acoes"))*Inputs!$B$1+((Inputs!$G$5:$G$110&lt;&gt;"moeda")*(Inputs!$G$5:$G$110&lt;&gt;"acoes")))*INDEX(Inputs!$K$5:$AJ$110,0,MATCH(N$2,Inputs!$K$4:$AJ$4,0)))+SUMPRODUCT((Inputs!$C$5:$C$110=$B29)*Inputs!$D$5:$D$110*(((Inputs!$G$5:$G$110="moeda")+(Inputs!$G$5:$G$110="acoes"))*Inputs!$B$1+((Inputs!$G$5:$G$110&lt;&gt;"moeda")*(Inputs!$G$5:$G$110&lt;&gt;"acoes")))*INDEX(Inputs!$K$5:$AJ$110,0,MATCH(N$2,Inputs!$K$4:$AJ$4,0)))+SUMPRODUCT((Inputs!$E$5:$E$110=$B29)*Inputs!$F$5:$F$110*(((Inputs!$G$5:$G$110="moeda")+(Inputs!$G$5:$G$110="acoes"))*Inputs!$B$1+((Inputs!$G$5:$G$110&lt;&gt;"moeda")*(Inputs!$G$5:$G$110&lt;&gt;"acoes")))*INDEX(Inputs!$K$5:$AJ$110,0,MATCH(N$2,Inputs!$K$4:$AJ$4,0)))))</f>
        <v>27527</v>
      </c>
      <c r="O29" s="267">
        <f>IF(ISNA(MATCH(O$2,Inputs!$K$4:$AJ$4,0)),NA(),IF(SUMPRODUCT((Inputs!$A$5:$A$110=$B29)*ISNUMBER(INDEX(Inputs!$K$5:$AJ$110,0,MATCH(O$2,Inputs!$K$4:$AJ$4,0))))+SUMPRODUCT((Inputs!$C$5:$C$110=$B29)*ISNUMBER(INDEX(Inputs!$K$5:$AJ$110,0,MATCH(O$2,Inputs!$K$4:$AJ$4,0))))+SUMPRODUCT((Inputs!$E$5:$E$110=$B29)*ISNUMBER(INDEX(Inputs!$K$5:$AJ$110,0,MATCH(O$2,Inputs!$K$4:$AJ$4,0))))=0,NA(),SUMPRODUCT((Inputs!$A$5:$A$110=$B29)*Inputs!$B$5:$B$110*(((Inputs!$G$5:$G$110="moeda")+(Inputs!$G$5:$G$110="acoes"))*Inputs!$B$1+((Inputs!$G$5:$G$110&lt;&gt;"moeda")*(Inputs!$G$5:$G$110&lt;&gt;"acoes")))*INDEX(Inputs!$K$5:$AJ$110,0,MATCH(O$2,Inputs!$K$4:$AJ$4,0)))+SUMPRODUCT((Inputs!$C$5:$C$110=$B29)*Inputs!$D$5:$D$110*(((Inputs!$G$5:$G$110="moeda")+(Inputs!$G$5:$G$110="acoes"))*Inputs!$B$1+((Inputs!$G$5:$G$110&lt;&gt;"moeda")*(Inputs!$G$5:$G$110&lt;&gt;"acoes")))*INDEX(Inputs!$K$5:$AJ$110,0,MATCH(O$2,Inputs!$K$4:$AJ$4,0)))+SUMPRODUCT((Inputs!$E$5:$E$110=$B29)*Inputs!$F$5:$F$110*(((Inputs!$G$5:$G$110="moeda")+(Inputs!$G$5:$G$110="acoes"))*Inputs!$B$1+((Inputs!$G$5:$G$110&lt;&gt;"moeda")*(Inputs!$G$5:$G$110&lt;&gt;"acoes")))*INDEX(Inputs!$K$5:$AJ$110,0,MATCH(O$2,Inputs!$K$4:$AJ$4,0)))))</f>
        <v>29239</v>
      </c>
      <c r="P29" s="267">
        <f>IF(ISNA(MATCH(P$2,Inputs!$K$4:$AJ$4,0)),NA(),IF(SUMPRODUCT((Inputs!$A$5:$A$110=$B29)*ISNUMBER(INDEX(Inputs!$K$5:$AJ$110,0,MATCH(P$2,Inputs!$K$4:$AJ$4,0))))+SUMPRODUCT((Inputs!$C$5:$C$110=$B29)*ISNUMBER(INDEX(Inputs!$K$5:$AJ$110,0,MATCH(P$2,Inputs!$K$4:$AJ$4,0))))+SUMPRODUCT((Inputs!$E$5:$E$110=$B29)*ISNUMBER(INDEX(Inputs!$K$5:$AJ$110,0,MATCH(P$2,Inputs!$K$4:$AJ$4,0))))=0,NA(),SUMPRODUCT((Inputs!$A$5:$A$110=$B29)*Inputs!$B$5:$B$110*(((Inputs!$G$5:$G$110="moeda")+(Inputs!$G$5:$G$110="acoes"))*Inputs!$B$1+((Inputs!$G$5:$G$110&lt;&gt;"moeda")*(Inputs!$G$5:$G$110&lt;&gt;"acoes")))*INDEX(Inputs!$K$5:$AJ$110,0,MATCH(P$2,Inputs!$K$4:$AJ$4,0)))+SUMPRODUCT((Inputs!$C$5:$C$110=$B29)*Inputs!$D$5:$D$110*(((Inputs!$G$5:$G$110="moeda")+(Inputs!$G$5:$G$110="acoes"))*Inputs!$B$1+((Inputs!$G$5:$G$110&lt;&gt;"moeda")*(Inputs!$G$5:$G$110&lt;&gt;"acoes")))*INDEX(Inputs!$K$5:$AJ$110,0,MATCH(P$2,Inputs!$K$4:$AJ$4,0)))+SUMPRODUCT((Inputs!$E$5:$E$110=$B29)*Inputs!$F$5:$F$110*(((Inputs!$G$5:$G$110="moeda")+(Inputs!$G$5:$G$110="acoes"))*Inputs!$B$1+((Inputs!$G$5:$G$110&lt;&gt;"moeda")*(Inputs!$G$5:$G$110&lt;&gt;"acoes")))*INDEX(Inputs!$K$5:$AJ$110,0,MATCH(P$2,Inputs!$K$4:$AJ$4,0)))))</f>
        <v>26132</v>
      </c>
      <c r="Q29" s="267">
        <f>IF(ISNA(MATCH(Q$2,Inputs!$K$4:$AJ$4,0)),NA(),IF(SUMPRODUCT((Inputs!$A$5:$A$110=$B29)*ISNUMBER(INDEX(Inputs!$K$5:$AJ$110,0,MATCH(Q$2,Inputs!$K$4:$AJ$4,0))))+SUMPRODUCT((Inputs!$C$5:$C$110=$B29)*ISNUMBER(INDEX(Inputs!$K$5:$AJ$110,0,MATCH(Q$2,Inputs!$K$4:$AJ$4,0))))+SUMPRODUCT((Inputs!$E$5:$E$110=$B29)*ISNUMBER(INDEX(Inputs!$K$5:$AJ$110,0,MATCH(Q$2,Inputs!$K$4:$AJ$4,0))))=0,NA(),SUMPRODUCT((Inputs!$A$5:$A$110=$B29)*Inputs!$B$5:$B$110*(((Inputs!$G$5:$G$110="moeda")+(Inputs!$G$5:$G$110="acoes"))*Inputs!$B$1+((Inputs!$G$5:$G$110&lt;&gt;"moeda")*(Inputs!$G$5:$G$110&lt;&gt;"acoes")))*INDEX(Inputs!$K$5:$AJ$110,0,MATCH(Q$2,Inputs!$K$4:$AJ$4,0)))+SUMPRODUCT((Inputs!$C$5:$C$110=$B29)*Inputs!$D$5:$D$110*(((Inputs!$G$5:$G$110="moeda")+(Inputs!$G$5:$G$110="acoes"))*Inputs!$B$1+((Inputs!$G$5:$G$110&lt;&gt;"moeda")*(Inputs!$G$5:$G$110&lt;&gt;"acoes")))*INDEX(Inputs!$K$5:$AJ$110,0,MATCH(Q$2,Inputs!$K$4:$AJ$4,0)))+SUMPRODUCT((Inputs!$E$5:$E$110=$B29)*Inputs!$F$5:$F$110*(((Inputs!$G$5:$G$110="moeda")+(Inputs!$G$5:$G$110="acoes"))*Inputs!$B$1+((Inputs!$G$5:$G$110&lt;&gt;"moeda")*(Inputs!$G$5:$G$110&lt;&gt;"acoes")))*INDEX(Inputs!$K$5:$AJ$110,0,MATCH(Q$2,Inputs!$K$4:$AJ$4,0)))))</f>
        <v>28759</v>
      </c>
      <c r="R29" s="268">
        <f>Q29</f>
        <v>28759</v>
      </c>
      <c r="S29" s="267">
        <f>IF(ISNA(MATCH(S$2,Inputs!$K$4:$AJ$4,0)),NA(),IF(SUMPRODUCT((Inputs!$A$5:$A$110=$B29)*ISNUMBER(INDEX(Inputs!$K$5:$AJ$110,0,MATCH(S$2,Inputs!$K$4:$AJ$4,0))))+SUMPRODUCT((Inputs!$C$5:$C$110=$B29)*ISNUMBER(INDEX(Inputs!$K$5:$AJ$110,0,MATCH(S$2,Inputs!$K$4:$AJ$4,0))))+SUMPRODUCT((Inputs!$E$5:$E$110=$B29)*ISNUMBER(INDEX(Inputs!$K$5:$AJ$110,0,MATCH(S$2,Inputs!$K$4:$AJ$4,0))))=0,NA(),SUMPRODUCT((Inputs!$A$5:$A$110=$B29)*Inputs!$B$5:$B$110*(((Inputs!$G$5:$G$110="moeda")+(Inputs!$G$5:$G$110="acoes"))*Inputs!$B$1+((Inputs!$G$5:$G$110&lt;&gt;"moeda")*(Inputs!$G$5:$G$110&lt;&gt;"acoes")))*INDEX(Inputs!$K$5:$AJ$110,0,MATCH(S$2,Inputs!$K$4:$AJ$4,0)))+SUMPRODUCT((Inputs!$C$5:$C$110=$B29)*Inputs!$D$5:$D$110*(((Inputs!$G$5:$G$110="moeda")+(Inputs!$G$5:$G$110="acoes"))*Inputs!$B$1+((Inputs!$G$5:$G$110&lt;&gt;"moeda")*(Inputs!$G$5:$G$110&lt;&gt;"acoes")))*INDEX(Inputs!$K$5:$AJ$110,0,MATCH(S$2,Inputs!$K$4:$AJ$4,0)))+SUMPRODUCT((Inputs!$E$5:$E$110=$B29)*Inputs!$F$5:$F$110*(((Inputs!$G$5:$G$110="moeda")+(Inputs!$G$5:$G$110="acoes"))*Inputs!$B$1+((Inputs!$G$5:$G$110&lt;&gt;"moeda")*(Inputs!$G$5:$G$110&lt;&gt;"acoes")))*INDEX(Inputs!$K$5:$AJ$110,0,MATCH(S$2,Inputs!$K$4:$AJ$4,0)))))</f>
        <v>24092</v>
      </c>
      <c r="T29" s="267">
        <f>IF(ISNA(MATCH(T$2,Inputs!$K$4:$AJ$4,0)),NA(),IF(SUMPRODUCT((Inputs!$A$5:$A$110=$B29)*ISNUMBER(INDEX(Inputs!$K$5:$AJ$110,0,MATCH(T$2,Inputs!$K$4:$AJ$4,0))))+SUMPRODUCT((Inputs!$C$5:$C$110=$B29)*ISNUMBER(INDEX(Inputs!$K$5:$AJ$110,0,MATCH(T$2,Inputs!$K$4:$AJ$4,0))))+SUMPRODUCT((Inputs!$E$5:$E$110=$B29)*ISNUMBER(INDEX(Inputs!$K$5:$AJ$110,0,MATCH(T$2,Inputs!$K$4:$AJ$4,0))))=0,NA(),SUMPRODUCT((Inputs!$A$5:$A$110=$B29)*Inputs!$B$5:$B$110*(((Inputs!$G$5:$G$110="moeda")+(Inputs!$G$5:$G$110="acoes"))*Inputs!$B$1+((Inputs!$G$5:$G$110&lt;&gt;"moeda")*(Inputs!$G$5:$G$110&lt;&gt;"acoes")))*INDEX(Inputs!$K$5:$AJ$110,0,MATCH(T$2,Inputs!$K$4:$AJ$4,0)))+SUMPRODUCT((Inputs!$C$5:$C$110=$B29)*Inputs!$D$5:$D$110*(((Inputs!$G$5:$G$110="moeda")+(Inputs!$G$5:$G$110="acoes"))*Inputs!$B$1+((Inputs!$G$5:$G$110&lt;&gt;"moeda")*(Inputs!$G$5:$G$110&lt;&gt;"acoes")))*INDEX(Inputs!$K$5:$AJ$110,0,MATCH(T$2,Inputs!$K$4:$AJ$4,0)))+SUMPRODUCT((Inputs!$E$5:$E$110=$B29)*Inputs!$F$5:$F$110*(((Inputs!$G$5:$G$110="moeda")+(Inputs!$G$5:$G$110="acoes"))*Inputs!$B$1+((Inputs!$G$5:$G$110&lt;&gt;"moeda")*(Inputs!$G$5:$G$110&lt;&gt;"acoes")))*INDEX(Inputs!$K$5:$AJ$110,0,MATCH(T$2,Inputs!$K$4:$AJ$4,0)))))</f>
        <v>27656</v>
      </c>
      <c r="U29" s="267">
        <f>IF(ISNA(MATCH(U$2,Inputs!$K$4:$AJ$4,0)),NA(),IF(SUMPRODUCT((Inputs!$A$5:$A$110=$B29)*ISNUMBER(INDEX(Inputs!$K$5:$AJ$110,0,MATCH(U$2,Inputs!$K$4:$AJ$4,0))))+SUMPRODUCT((Inputs!$C$5:$C$110=$B29)*ISNUMBER(INDEX(Inputs!$K$5:$AJ$110,0,MATCH(U$2,Inputs!$K$4:$AJ$4,0))))+SUMPRODUCT((Inputs!$E$5:$E$110=$B29)*ISNUMBER(INDEX(Inputs!$K$5:$AJ$110,0,MATCH(U$2,Inputs!$K$4:$AJ$4,0))))=0,NA(),SUMPRODUCT((Inputs!$A$5:$A$110=$B29)*Inputs!$B$5:$B$110*(((Inputs!$G$5:$G$110="moeda")+(Inputs!$G$5:$G$110="acoes"))*Inputs!$B$1+((Inputs!$G$5:$G$110&lt;&gt;"moeda")*(Inputs!$G$5:$G$110&lt;&gt;"acoes")))*INDEX(Inputs!$K$5:$AJ$110,0,MATCH(U$2,Inputs!$K$4:$AJ$4,0)))+SUMPRODUCT((Inputs!$C$5:$C$110=$B29)*Inputs!$D$5:$D$110*(((Inputs!$G$5:$G$110="moeda")+(Inputs!$G$5:$G$110="acoes"))*Inputs!$B$1+((Inputs!$G$5:$G$110&lt;&gt;"moeda")*(Inputs!$G$5:$G$110&lt;&gt;"acoes")))*INDEX(Inputs!$K$5:$AJ$110,0,MATCH(U$2,Inputs!$K$4:$AJ$4,0)))+SUMPRODUCT((Inputs!$E$5:$E$110=$B29)*Inputs!$F$5:$F$110*(((Inputs!$G$5:$G$110="moeda")+(Inputs!$G$5:$G$110="acoes"))*Inputs!$B$1+((Inputs!$G$5:$G$110&lt;&gt;"moeda")*(Inputs!$G$5:$G$110&lt;&gt;"acoes")))*INDEX(Inputs!$K$5:$AJ$110,0,MATCH(U$2,Inputs!$K$4:$AJ$4,0)))))</f>
        <v>28117</v>
      </c>
      <c r="V29" s="267">
        <f>IF(ISNA(MATCH(V$2,Inputs!$K$4:$AJ$4,0)),NA(),IF(SUMPRODUCT((Inputs!$A$5:$A$110=$B29)*ISNUMBER(INDEX(Inputs!$K$5:$AJ$110,0,MATCH(V$2,Inputs!$K$4:$AJ$4,0))))+SUMPRODUCT((Inputs!$C$5:$C$110=$B29)*ISNUMBER(INDEX(Inputs!$K$5:$AJ$110,0,MATCH(V$2,Inputs!$K$4:$AJ$4,0))))+SUMPRODUCT((Inputs!$E$5:$E$110=$B29)*ISNUMBER(INDEX(Inputs!$K$5:$AJ$110,0,MATCH(V$2,Inputs!$K$4:$AJ$4,0))))=0,NA(),SUMPRODUCT((Inputs!$A$5:$A$110=$B29)*Inputs!$B$5:$B$110*(((Inputs!$G$5:$G$110="moeda")+(Inputs!$G$5:$G$110="acoes"))*Inputs!$B$1+((Inputs!$G$5:$G$110&lt;&gt;"moeda")*(Inputs!$G$5:$G$110&lt;&gt;"acoes")))*INDEX(Inputs!$K$5:$AJ$110,0,MATCH(V$2,Inputs!$K$4:$AJ$4,0)))+SUMPRODUCT((Inputs!$C$5:$C$110=$B29)*Inputs!$D$5:$D$110*(((Inputs!$G$5:$G$110="moeda")+(Inputs!$G$5:$G$110="acoes"))*Inputs!$B$1+((Inputs!$G$5:$G$110&lt;&gt;"moeda")*(Inputs!$G$5:$G$110&lt;&gt;"acoes")))*INDEX(Inputs!$K$5:$AJ$110,0,MATCH(V$2,Inputs!$K$4:$AJ$4,0)))+SUMPRODUCT((Inputs!$E$5:$E$110=$B29)*Inputs!$F$5:$F$110*(((Inputs!$G$5:$G$110="moeda")+(Inputs!$G$5:$G$110="acoes"))*Inputs!$B$1+((Inputs!$G$5:$G$110&lt;&gt;"moeda")*(Inputs!$G$5:$G$110&lt;&gt;"acoes")))*INDEX(Inputs!$K$5:$AJ$110,0,MATCH(V$2,Inputs!$K$4:$AJ$4,0)))))</f>
        <v>29345</v>
      </c>
      <c r="W29" s="268">
        <f>V29</f>
        <v>29345</v>
      </c>
      <c r="X29" s="267">
        <f>IF(ISNA(MATCH(X$2,Inputs!$K$4:$AJ$4,0)),NA(),IF(SUMPRODUCT((Inputs!$A$5:$A$110=$B29)*ISNUMBER(INDEX(Inputs!$K$5:$AJ$110,0,MATCH(X$2,Inputs!$K$4:$AJ$4,0))))+SUMPRODUCT((Inputs!$C$5:$C$110=$B29)*ISNUMBER(INDEX(Inputs!$K$5:$AJ$110,0,MATCH(X$2,Inputs!$K$4:$AJ$4,0))))+SUMPRODUCT((Inputs!$E$5:$E$110=$B29)*ISNUMBER(INDEX(Inputs!$K$5:$AJ$110,0,MATCH(X$2,Inputs!$K$4:$AJ$4,0))))=0,NA(),SUMPRODUCT((Inputs!$A$5:$A$110=$B29)*Inputs!$B$5:$B$110*(((Inputs!$G$5:$G$110="moeda")+(Inputs!$G$5:$G$110="acoes"))*Inputs!$B$1+((Inputs!$G$5:$G$110&lt;&gt;"moeda")*(Inputs!$G$5:$G$110&lt;&gt;"acoes")))*INDEX(Inputs!$K$5:$AJ$110,0,MATCH(X$2,Inputs!$K$4:$AJ$4,0)))+SUMPRODUCT((Inputs!$C$5:$C$110=$B29)*Inputs!$D$5:$D$110*(((Inputs!$G$5:$G$110="moeda")+(Inputs!$G$5:$G$110="acoes"))*Inputs!$B$1+((Inputs!$G$5:$G$110&lt;&gt;"moeda")*(Inputs!$G$5:$G$110&lt;&gt;"acoes")))*INDEX(Inputs!$K$5:$AJ$110,0,MATCH(X$2,Inputs!$K$4:$AJ$4,0)))+SUMPRODUCT((Inputs!$E$5:$E$110=$B29)*Inputs!$F$5:$F$110*(((Inputs!$G$5:$G$110="moeda")+(Inputs!$G$5:$G$110="acoes"))*Inputs!$B$1+((Inputs!$G$5:$G$110&lt;&gt;"moeda")*(Inputs!$G$5:$G$110&lt;&gt;"acoes")))*INDEX(Inputs!$K$5:$AJ$110,0,MATCH(X$2,Inputs!$K$4:$AJ$4,0)))))</f>
        <v>26085</v>
      </c>
      <c r="Y29" s="267">
        <f>IF(ISNA(MATCH(Y$2,Inputs!$K$4:$AJ$4,0)),NA(),IF(SUMPRODUCT((Inputs!$A$5:$A$110=$B29)*ISNUMBER(INDEX(Inputs!$K$5:$AJ$110,0,MATCH(Y$2,Inputs!$K$4:$AJ$4,0))))+SUMPRODUCT((Inputs!$C$5:$C$110=$B29)*ISNUMBER(INDEX(Inputs!$K$5:$AJ$110,0,MATCH(Y$2,Inputs!$K$4:$AJ$4,0))))+SUMPRODUCT((Inputs!$E$5:$E$110=$B29)*ISNUMBER(INDEX(Inputs!$K$5:$AJ$110,0,MATCH(Y$2,Inputs!$K$4:$AJ$4,0))))=0,NA(),SUMPRODUCT((Inputs!$A$5:$A$110=$B29)*Inputs!$B$5:$B$110*(((Inputs!$G$5:$G$110="moeda")+(Inputs!$G$5:$G$110="acoes"))*Inputs!$B$1+((Inputs!$G$5:$G$110&lt;&gt;"moeda")*(Inputs!$G$5:$G$110&lt;&gt;"acoes")))*INDEX(Inputs!$K$5:$AJ$110,0,MATCH(Y$2,Inputs!$K$4:$AJ$4,0)))+SUMPRODUCT((Inputs!$C$5:$C$110=$B29)*Inputs!$D$5:$D$110*(((Inputs!$G$5:$G$110="moeda")+(Inputs!$G$5:$G$110="acoes"))*Inputs!$B$1+((Inputs!$G$5:$G$110&lt;&gt;"moeda")*(Inputs!$G$5:$G$110&lt;&gt;"acoes")))*INDEX(Inputs!$K$5:$AJ$110,0,MATCH(Y$2,Inputs!$K$4:$AJ$4,0)))+SUMPRODUCT((Inputs!$E$5:$E$110=$B29)*Inputs!$F$5:$F$110*(((Inputs!$G$5:$G$110="moeda")+(Inputs!$G$5:$G$110="acoes"))*Inputs!$B$1+((Inputs!$G$5:$G$110&lt;&gt;"moeda")*(Inputs!$G$5:$G$110&lt;&gt;"acoes")))*INDEX(Inputs!$K$5:$AJ$110,0,MATCH(Y$2,Inputs!$K$4:$AJ$4,0)))))</f>
        <v>28821</v>
      </c>
      <c r="Z29" s="267">
        <f>IF(ISNA(MATCH(Z$2,Inputs!$K$4:$AJ$4,0)),NA(),IF(SUMPRODUCT((Inputs!$A$5:$A$110=$B29)*ISNUMBER(INDEX(Inputs!$K$5:$AJ$110,0,MATCH(Z$2,Inputs!$K$4:$AJ$4,0))))+SUMPRODUCT((Inputs!$C$5:$C$110=$B29)*ISNUMBER(INDEX(Inputs!$K$5:$AJ$110,0,MATCH(Z$2,Inputs!$K$4:$AJ$4,0))))+SUMPRODUCT((Inputs!$E$5:$E$110=$B29)*ISNUMBER(INDEX(Inputs!$K$5:$AJ$110,0,MATCH(Z$2,Inputs!$K$4:$AJ$4,0))))=0,NA(),SUMPRODUCT((Inputs!$A$5:$A$110=$B29)*Inputs!$B$5:$B$110*(((Inputs!$G$5:$G$110="moeda")+(Inputs!$G$5:$G$110="acoes"))*Inputs!$B$1+((Inputs!$G$5:$G$110&lt;&gt;"moeda")*(Inputs!$G$5:$G$110&lt;&gt;"acoes")))*INDEX(Inputs!$K$5:$AJ$110,0,MATCH(Z$2,Inputs!$K$4:$AJ$4,0)))+SUMPRODUCT((Inputs!$C$5:$C$110=$B29)*Inputs!$D$5:$D$110*(((Inputs!$G$5:$G$110="moeda")+(Inputs!$G$5:$G$110="acoes"))*Inputs!$B$1+((Inputs!$G$5:$G$110&lt;&gt;"moeda")*(Inputs!$G$5:$G$110&lt;&gt;"acoes")))*INDEX(Inputs!$K$5:$AJ$110,0,MATCH(Z$2,Inputs!$K$4:$AJ$4,0)))+SUMPRODUCT((Inputs!$E$5:$E$110=$B29)*Inputs!$F$5:$F$110*(((Inputs!$G$5:$G$110="moeda")+(Inputs!$G$5:$G$110="acoes"))*Inputs!$B$1+((Inputs!$G$5:$G$110&lt;&gt;"moeda")*(Inputs!$G$5:$G$110&lt;&gt;"acoes")))*INDEX(Inputs!$K$5:$AJ$110,0,MATCH(Z$2,Inputs!$K$4:$AJ$4,0)))))</f>
        <v>31521</v>
      </c>
      <c r="AA29" s="267">
        <f>IF(ISNA(MATCH(AA$2,Inputs!$K$4:$AJ$4,0)),NA(),IF(SUMPRODUCT((Inputs!$A$5:$A$110=$B29)*ISNUMBER(INDEX(Inputs!$K$5:$AJ$110,0,MATCH(AA$2,Inputs!$K$4:$AJ$4,0))))+SUMPRODUCT((Inputs!$C$5:$C$110=$B29)*ISNUMBER(INDEX(Inputs!$K$5:$AJ$110,0,MATCH(AA$2,Inputs!$K$4:$AJ$4,0))))+SUMPRODUCT((Inputs!$E$5:$E$110=$B29)*ISNUMBER(INDEX(Inputs!$K$5:$AJ$110,0,MATCH(AA$2,Inputs!$K$4:$AJ$4,0))))=0,NA(),SUMPRODUCT((Inputs!$A$5:$A$110=$B29)*Inputs!$B$5:$B$110*(((Inputs!$G$5:$G$110="moeda")+(Inputs!$G$5:$G$110="acoes"))*Inputs!$B$1+((Inputs!$G$5:$G$110&lt;&gt;"moeda")*(Inputs!$G$5:$G$110&lt;&gt;"acoes")))*INDEX(Inputs!$K$5:$AJ$110,0,MATCH(AA$2,Inputs!$K$4:$AJ$4,0)))+SUMPRODUCT((Inputs!$C$5:$C$110=$B29)*Inputs!$D$5:$D$110*(((Inputs!$G$5:$G$110="moeda")+(Inputs!$G$5:$G$110="acoes"))*Inputs!$B$1+((Inputs!$G$5:$G$110&lt;&gt;"moeda")*(Inputs!$G$5:$G$110&lt;&gt;"acoes")))*INDEX(Inputs!$K$5:$AJ$110,0,MATCH(AA$2,Inputs!$K$4:$AJ$4,0)))+SUMPRODUCT((Inputs!$E$5:$E$110=$B29)*Inputs!$F$5:$F$110*(((Inputs!$G$5:$G$110="moeda")+(Inputs!$G$5:$G$110="acoes"))*Inputs!$B$1+((Inputs!$G$5:$G$110&lt;&gt;"moeda")*(Inputs!$G$5:$G$110&lt;&gt;"acoes")))*INDEX(Inputs!$K$5:$AJ$110,0,MATCH(AA$2,Inputs!$K$4:$AJ$4,0)))))</f>
        <v>31187</v>
      </c>
      <c r="AB29" s="268">
        <f>AA29</f>
        <v>31187</v>
      </c>
      <c r="AC29" s="267">
        <f>IF(ISNA(MATCH(AC$2,Inputs!$K$4:$AJ$4,0)),NA(),IF(SUMPRODUCT((Inputs!$A$5:$A$110=$B29)*ISNUMBER(INDEX(Inputs!$K$5:$AJ$110,0,MATCH(AC$2,Inputs!$K$4:$AJ$4,0))))+SUMPRODUCT((Inputs!$C$5:$C$110=$B29)*ISNUMBER(INDEX(Inputs!$K$5:$AJ$110,0,MATCH(AC$2,Inputs!$K$4:$AJ$4,0))))+SUMPRODUCT((Inputs!$E$5:$E$110=$B29)*ISNUMBER(INDEX(Inputs!$K$5:$AJ$110,0,MATCH(AC$2,Inputs!$K$4:$AJ$4,0))))=0,NA(),SUMPRODUCT((Inputs!$A$5:$A$110=$B29)*Inputs!$B$5:$B$110*(((Inputs!$G$5:$G$110="moeda")+(Inputs!$G$5:$G$110="acoes"))*Inputs!$B$1+((Inputs!$G$5:$G$110&lt;&gt;"moeda")*(Inputs!$G$5:$G$110&lt;&gt;"acoes")))*INDEX(Inputs!$K$5:$AJ$110,0,MATCH(AC$2,Inputs!$K$4:$AJ$4,0)))+SUMPRODUCT((Inputs!$C$5:$C$110=$B29)*Inputs!$D$5:$D$110*(((Inputs!$G$5:$G$110="moeda")+(Inputs!$G$5:$G$110="acoes"))*Inputs!$B$1+((Inputs!$G$5:$G$110&lt;&gt;"moeda")*(Inputs!$G$5:$G$110&lt;&gt;"acoes")))*INDEX(Inputs!$K$5:$AJ$110,0,MATCH(AC$2,Inputs!$K$4:$AJ$4,0)))+SUMPRODUCT((Inputs!$E$5:$E$110=$B29)*Inputs!$F$5:$F$110*(((Inputs!$G$5:$G$110="moeda")+(Inputs!$G$5:$G$110="acoes"))*Inputs!$B$1+((Inputs!$G$5:$G$110&lt;&gt;"moeda")*(Inputs!$G$5:$G$110&lt;&gt;"acoes")))*INDEX(Inputs!$K$5:$AJ$110,0,MATCH(AC$2,Inputs!$K$4:$AJ$4,0)))))</f>
        <v>27530</v>
      </c>
      <c r="AD29" s="267">
        <f>IF(ISNA(MATCH(AD$2,Inputs!$K$4:$AJ$4,0)),NA(),IF(SUMPRODUCT((Inputs!$A$5:$A$110=$B29)*ISNUMBER(INDEX(Inputs!$K$5:$AJ$110,0,MATCH(AD$2,Inputs!$K$4:$AJ$4,0))))+SUMPRODUCT((Inputs!$C$5:$C$110=$B29)*ISNUMBER(INDEX(Inputs!$K$5:$AJ$110,0,MATCH(AD$2,Inputs!$K$4:$AJ$4,0))))+SUMPRODUCT((Inputs!$E$5:$E$110=$B29)*ISNUMBER(INDEX(Inputs!$K$5:$AJ$110,0,MATCH(AD$2,Inputs!$K$4:$AJ$4,0))))=0,NA(),SUMPRODUCT((Inputs!$A$5:$A$110=$B29)*Inputs!$B$5:$B$110*(((Inputs!$G$5:$G$110="moeda")+(Inputs!$G$5:$G$110="acoes"))*Inputs!$B$1+((Inputs!$G$5:$G$110&lt;&gt;"moeda")*(Inputs!$G$5:$G$110&lt;&gt;"acoes")))*INDEX(Inputs!$K$5:$AJ$110,0,MATCH(AD$2,Inputs!$K$4:$AJ$4,0)))+SUMPRODUCT((Inputs!$C$5:$C$110=$B29)*Inputs!$D$5:$D$110*(((Inputs!$G$5:$G$110="moeda")+(Inputs!$G$5:$G$110="acoes"))*Inputs!$B$1+((Inputs!$G$5:$G$110&lt;&gt;"moeda")*(Inputs!$G$5:$G$110&lt;&gt;"acoes")))*INDEX(Inputs!$K$5:$AJ$110,0,MATCH(AD$2,Inputs!$K$4:$AJ$4,0)))+SUMPRODUCT((Inputs!$E$5:$E$110=$B29)*Inputs!$F$5:$F$110*(((Inputs!$G$5:$G$110="moeda")+(Inputs!$G$5:$G$110="acoes"))*Inputs!$B$1+((Inputs!$G$5:$G$110&lt;&gt;"moeda")*(Inputs!$G$5:$G$110&lt;&gt;"acoes")))*INDEX(Inputs!$K$5:$AJ$110,0,MATCH(AD$2,Inputs!$K$4:$AJ$4,0)))))</f>
        <v>30074</v>
      </c>
      <c r="AE29" s="267" t="e">
        <f>IF(ISNA(MATCH(AE$2,Inputs!$K$4:$AJ$4,0)),NA(),IF(SUMPRODUCT((Inputs!$A$5:$A$110=$B29)*ISNUMBER(INDEX(Inputs!$K$5:$AJ$110,0,MATCH(AE$2,Inputs!$K$4:$AJ$4,0))))+SUMPRODUCT((Inputs!$C$5:$C$110=$B29)*ISNUMBER(INDEX(Inputs!$K$5:$AJ$110,0,MATCH(AE$2,Inputs!$K$4:$AJ$4,0))))+SUMPRODUCT((Inputs!$E$5:$E$110=$B29)*ISNUMBER(INDEX(Inputs!$K$5:$AJ$110,0,MATCH(AE$2,Inputs!$K$4:$AJ$4,0))))=0,NA(),SUMPRODUCT((Inputs!$A$5:$A$110=$B29)*Inputs!$B$5:$B$110*(((Inputs!$G$5:$G$110="moeda")+(Inputs!$G$5:$G$110="acoes"))*Inputs!$B$1+((Inputs!$G$5:$G$110&lt;&gt;"moeda")*(Inputs!$G$5:$G$110&lt;&gt;"acoes")))*INDEX(Inputs!$K$5:$AJ$110,0,MATCH(AE$2,Inputs!$K$4:$AJ$4,0)))+SUMPRODUCT((Inputs!$C$5:$C$110=$B29)*Inputs!$D$5:$D$110*(((Inputs!$G$5:$G$110="moeda")+(Inputs!$G$5:$G$110="acoes"))*Inputs!$B$1+((Inputs!$G$5:$G$110&lt;&gt;"moeda")*(Inputs!$G$5:$G$110&lt;&gt;"acoes")))*INDEX(Inputs!$K$5:$AJ$110,0,MATCH(AE$2,Inputs!$K$4:$AJ$4,0)))+SUMPRODUCT((Inputs!$E$5:$E$110=$B29)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9" s="267" t="e">
        <f>IF(ISNA(MATCH(AF$2,Inputs!$K$4:$AJ$4,0)),NA(),IF(SUMPRODUCT((Inputs!$A$5:$A$110=$B29)*ISNUMBER(INDEX(Inputs!$K$5:$AJ$110,0,MATCH(AF$2,Inputs!$K$4:$AJ$4,0))))+SUMPRODUCT((Inputs!$C$5:$C$110=$B29)*ISNUMBER(INDEX(Inputs!$K$5:$AJ$110,0,MATCH(AF$2,Inputs!$K$4:$AJ$4,0))))+SUMPRODUCT((Inputs!$E$5:$E$110=$B29)*ISNUMBER(INDEX(Inputs!$K$5:$AJ$110,0,MATCH(AF$2,Inputs!$K$4:$AJ$4,0))))=0,NA(),SUMPRODUCT((Inputs!$A$5:$A$110=$B29)*Inputs!$B$5:$B$110*(((Inputs!$G$5:$G$110="moeda")+(Inputs!$G$5:$G$110="acoes"))*Inputs!$B$1+((Inputs!$G$5:$G$110&lt;&gt;"moeda")*(Inputs!$G$5:$G$110&lt;&gt;"acoes")))*INDEX(Inputs!$K$5:$AJ$110,0,MATCH(AF$2,Inputs!$K$4:$AJ$4,0)))+SUMPRODUCT((Inputs!$C$5:$C$110=$B29)*Inputs!$D$5:$D$110*(((Inputs!$G$5:$G$110="moeda")+(Inputs!$G$5:$G$110="acoes"))*Inputs!$B$1+((Inputs!$G$5:$G$110&lt;&gt;"moeda")*(Inputs!$G$5:$G$110&lt;&gt;"acoes")))*INDEX(Inputs!$K$5:$AJ$110,0,MATCH(AF$2,Inputs!$K$4:$AJ$4,0)))+SUMPRODUCT((Inputs!$E$5:$E$110=$B29)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9" s="268" t="e">
        <f>AF29</f>
        <v>#N/A</v>
      </c>
      <c r="AH29" s="267">
        <f>IF(ISNA(MATCH(AH$2,Inputs!$K$4:$AJ$4,0)),NA(),IF(SUMPRODUCT((Inputs!$A$5:$A$110=$B29)*ISNUMBER(INDEX(Inputs!$K$5:$AJ$110,0,MATCH(AH$2,Inputs!$K$4:$AJ$4,0))))+SUMPRODUCT((Inputs!$C$5:$C$110=$B29)*ISNUMBER(INDEX(Inputs!$K$5:$AJ$110,0,MATCH(AH$2,Inputs!$K$4:$AJ$4,0))))+SUMPRODUCT((Inputs!$E$5:$E$110=$B29)*ISNUMBER(INDEX(Inputs!$K$5:$AJ$110,0,MATCH(AH$2,Inputs!$K$4:$AJ$4,0))))=0,NA(),SUMPRODUCT((Inputs!$A$5:$A$110=$B29)*Inputs!$B$5:$B$110*(((Inputs!$G$5:$G$110="moeda")+(Inputs!$G$5:$G$110="acoes"))*Inputs!$B$1+((Inputs!$G$5:$G$110&lt;&gt;"moeda")*(Inputs!$G$5:$G$110&lt;&gt;"acoes")))*INDEX(Inputs!$K$5:$AJ$110,0,MATCH(AH$2,Inputs!$K$4:$AJ$4,0)))+SUMPRODUCT((Inputs!$C$5:$C$110=$B29)*Inputs!$D$5:$D$110*(((Inputs!$G$5:$G$110="moeda")+(Inputs!$G$5:$G$110="acoes"))*Inputs!$B$1+((Inputs!$G$5:$G$110&lt;&gt;"moeda")*(Inputs!$G$5:$G$110&lt;&gt;"acoes")))*INDEX(Inputs!$K$5:$AJ$110,0,MATCH(AH$2,Inputs!$K$4:$AJ$4,0)))+SUMPRODUCT((Inputs!$E$5:$E$110=$B29)*Inputs!$F$5:$F$110*(((Inputs!$G$5:$G$110="moeda")+(Inputs!$G$5:$G$110="acoes"))*Inputs!$B$1+((Inputs!$G$5:$G$110&lt;&gt;"moeda")*(Inputs!$G$5:$G$110&lt;&gt;"acoes")))*INDEX(Inputs!$K$5:$AJ$110,0,MATCH(AH$2,Inputs!$K$4:$AJ$4,0)))))</f>
        <v>20377</v>
      </c>
      <c r="AI29" s="267">
        <f>IF(ISNA(MATCH(AI$2,Inputs!$K$4:$AJ$4,0)),NA(),IF(SUMPRODUCT((Inputs!$A$5:$A$110=$B29)*ISNUMBER(INDEX(Inputs!$K$5:$AJ$110,0,MATCH(AI$2,Inputs!$K$4:$AJ$4,0))))+SUMPRODUCT((Inputs!$C$5:$C$110=$B29)*ISNUMBER(INDEX(Inputs!$K$5:$AJ$110,0,MATCH(AI$2,Inputs!$K$4:$AJ$4,0))))+SUMPRODUCT((Inputs!$E$5:$E$110=$B29)*ISNUMBER(INDEX(Inputs!$K$5:$AJ$110,0,MATCH(AI$2,Inputs!$K$4:$AJ$4,0))))=0,NA(),SUMPRODUCT((Inputs!$A$5:$A$110=$B29)*Inputs!$B$5:$B$110*(((Inputs!$G$5:$G$110="moeda")+(Inputs!$G$5:$G$110="acoes"))*Inputs!$B$1+((Inputs!$G$5:$G$110&lt;&gt;"moeda")*(Inputs!$G$5:$G$110&lt;&gt;"acoes")))*INDEX(Inputs!$K$5:$AJ$110,0,MATCH(AI$2,Inputs!$K$4:$AJ$4,0)))+SUMPRODUCT((Inputs!$C$5:$C$110=$B29)*Inputs!$D$5:$D$110*(((Inputs!$G$5:$G$110="moeda")+(Inputs!$G$5:$G$110="acoes"))*Inputs!$B$1+((Inputs!$G$5:$G$110&lt;&gt;"moeda")*(Inputs!$G$5:$G$110&lt;&gt;"acoes")))*INDEX(Inputs!$K$5:$AJ$110,0,MATCH(AI$2,Inputs!$K$4:$AJ$4,0)))+SUMPRODUCT((Inputs!$E$5:$E$110=$B29)*Inputs!$F$5:$F$110*(((Inputs!$G$5:$G$110="moeda")+(Inputs!$G$5:$G$110="acoes"))*Inputs!$B$1+((Inputs!$G$5:$G$110&lt;&gt;"moeda")*(Inputs!$G$5:$G$110&lt;&gt;"acoes")))*INDEX(Inputs!$K$5:$AJ$110,0,MATCH(AI$2,Inputs!$K$4:$AJ$4,0)))))</f>
        <v>23768</v>
      </c>
      <c r="AJ29" s="267">
        <f>IF(ISNA(MATCH(AJ$2,Inputs!$K$4:$AJ$4,0)),NA(),IF(SUMPRODUCT((Inputs!$A$5:$A$110=$B29)*ISNUMBER(INDEX(Inputs!$K$5:$AJ$110,0,MATCH(AJ$2,Inputs!$K$4:$AJ$4,0))))+SUMPRODUCT((Inputs!$C$5:$C$110=$B29)*ISNUMBER(INDEX(Inputs!$K$5:$AJ$110,0,MATCH(AJ$2,Inputs!$K$4:$AJ$4,0))))+SUMPRODUCT((Inputs!$E$5:$E$110=$B29)*ISNUMBER(INDEX(Inputs!$K$5:$AJ$110,0,MATCH(AJ$2,Inputs!$K$4:$AJ$4,0))))=0,NA(),SUMPRODUCT((Inputs!$A$5:$A$110=$B29)*Inputs!$B$5:$B$110*(((Inputs!$G$5:$G$110="moeda")+(Inputs!$G$5:$G$110="acoes"))*Inputs!$B$1+((Inputs!$G$5:$G$110&lt;&gt;"moeda")*(Inputs!$G$5:$G$110&lt;&gt;"acoes")))*INDEX(Inputs!$K$5:$AJ$110,0,MATCH(AJ$2,Inputs!$K$4:$AJ$4,0)))+SUMPRODUCT((Inputs!$C$5:$C$110=$B29)*Inputs!$D$5:$D$110*(((Inputs!$G$5:$G$110="moeda")+(Inputs!$G$5:$G$110="acoes"))*Inputs!$B$1+((Inputs!$G$5:$G$110&lt;&gt;"moeda")*(Inputs!$G$5:$G$110&lt;&gt;"acoes")))*INDEX(Inputs!$K$5:$AJ$110,0,MATCH(AJ$2,Inputs!$K$4:$AJ$4,0)))+SUMPRODUCT((Inputs!$E$5:$E$110=$B29)*Inputs!$F$5:$F$110*(((Inputs!$G$5:$G$110="moeda")+(Inputs!$G$5:$G$110="acoes"))*Inputs!$B$1+((Inputs!$G$5:$G$110&lt;&gt;"moeda")*(Inputs!$G$5:$G$110&lt;&gt;"acoes")))*INDEX(Inputs!$K$5:$AJ$110,0,MATCH(AJ$2,Inputs!$K$4:$AJ$4,0)))))</f>
        <v>24995</v>
      </c>
      <c r="AK29" s="267">
        <f>IF(ISNA(MATCH(AK$2,Inputs!$K$4:$AJ$4,0)),NA(),IF(SUMPRODUCT((Inputs!$A$5:$A$110=$B29)*ISNUMBER(INDEX(Inputs!$K$5:$AJ$110,0,MATCH(AK$2,Inputs!$K$4:$AJ$4,0))))+SUMPRODUCT((Inputs!$C$5:$C$110=$B29)*ISNUMBER(INDEX(Inputs!$K$5:$AJ$110,0,MATCH(AK$2,Inputs!$K$4:$AJ$4,0))))+SUMPRODUCT((Inputs!$E$5:$E$110=$B29)*ISNUMBER(INDEX(Inputs!$K$5:$AJ$110,0,MATCH(AK$2,Inputs!$K$4:$AJ$4,0))))=0,NA(),SUMPRODUCT((Inputs!$A$5:$A$110=$B29)*Inputs!$B$5:$B$110*(((Inputs!$G$5:$G$110="moeda")+(Inputs!$G$5:$G$110="acoes"))*Inputs!$B$1+((Inputs!$G$5:$G$110&lt;&gt;"moeda")*(Inputs!$G$5:$G$110&lt;&gt;"acoes")))*INDEX(Inputs!$K$5:$AJ$110,0,MATCH(AK$2,Inputs!$K$4:$AJ$4,0)))+SUMPRODUCT((Inputs!$C$5:$C$110=$B29)*Inputs!$D$5:$D$110*(((Inputs!$G$5:$G$110="moeda")+(Inputs!$G$5:$G$110="acoes"))*Inputs!$B$1+((Inputs!$G$5:$G$110&lt;&gt;"moeda")*(Inputs!$G$5:$G$110&lt;&gt;"acoes")))*INDEX(Inputs!$K$5:$AJ$110,0,MATCH(AK$2,Inputs!$K$4:$AJ$4,0)))+SUMPRODUCT((Inputs!$E$5:$E$110=$B29)*Inputs!$F$5:$F$110*(((Inputs!$G$5:$G$110="moeda")+(Inputs!$G$5:$G$110="acoes"))*Inputs!$B$1+((Inputs!$G$5:$G$110&lt;&gt;"moeda")*(Inputs!$G$5:$G$110&lt;&gt;"acoes")))*INDEX(Inputs!$K$5:$AJ$110,0,MATCH(AK$2,Inputs!$K$4:$AJ$4,0)))))</f>
        <v>37966</v>
      </c>
      <c r="AL29" s="268">
        <f>AK29</f>
        <v>37966</v>
      </c>
    </row>
    <row r="30" ht="12.75" customHeight="1" s="255">
      <c r="B30" s="265" t="n">
        <v>25</v>
      </c>
      <c r="C30" s="270" t="inlineStr">
        <is>
          <t>Taxes payable</t>
        </is>
      </c>
      <c r="D30" s="267">
        <f>IF(ISNA(MATCH(D$2,Inputs!$K$4:$AJ$4,0)),NA(),IF(SUMPRODUCT((Inputs!$A$5:$A$110=$B30)*ISNUMBER(INDEX(Inputs!$K$5:$AJ$110,0,MATCH(D$2,Inputs!$K$4:$AJ$4,0))))+SUMPRODUCT((Inputs!$C$5:$C$110=$B30)*ISNUMBER(INDEX(Inputs!$K$5:$AJ$110,0,MATCH(D$2,Inputs!$K$4:$AJ$4,0))))+SUMPRODUCT((Inputs!$E$5:$E$110=$B30)*ISNUMBER(INDEX(Inputs!$K$5:$AJ$110,0,MATCH(D$2,Inputs!$K$4:$AJ$4,0))))=0,NA(),SUMPRODUCT((Inputs!$A$5:$A$110=$B30)*Inputs!$B$5:$B$110*(((Inputs!$G$5:$G$110="moeda")+(Inputs!$G$5:$G$110="acoes"))*Inputs!$B$1+((Inputs!$G$5:$G$110&lt;&gt;"moeda")*(Inputs!$G$5:$G$110&lt;&gt;"acoes")))*INDEX(Inputs!$K$5:$AJ$110,0,MATCH(D$2,Inputs!$K$4:$AJ$4,0)))+SUMPRODUCT((Inputs!$C$5:$C$110=$B30)*Inputs!$D$5:$D$110*(((Inputs!$G$5:$G$110="moeda")+(Inputs!$G$5:$G$110="acoes"))*Inputs!$B$1+((Inputs!$G$5:$G$110&lt;&gt;"moeda")*(Inputs!$G$5:$G$110&lt;&gt;"acoes")))*INDEX(Inputs!$K$5:$AJ$110,0,MATCH(D$2,Inputs!$K$4:$AJ$4,0)))+SUMPRODUCT((Inputs!$E$5:$E$110=$B30)*Inputs!$F$5:$F$110*(((Inputs!$G$5:$G$110="moeda")+(Inputs!$G$5:$G$110="acoes"))*Inputs!$B$1+((Inputs!$G$5:$G$110&lt;&gt;"moeda")*(Inputs!$G$5:$G$110&lt;&gt;"acoes")))*INDEX(Inputs!$K$5:$AJ$110,0,MATCH(D$2,Inputs!$K$4:$AJ$4,0)))))</f>
        <v>851</v>
      </c>
      <c r="E30" s="267">
        <f>IF(ISNA(MATCH(E$2,Inputs!$K$4:$AJ$4,0)),NA(),IF(SUMPRODUCT((Inputs!$A$5:$A$110=$B30)*ISNUMBER(INDEX(Inputs!$K$5:$AJ$110,0,MATCH(E$2,Inputs!$K$4:$AJ$4,0))))+SUMPRODUCT((Inputs!$C$5:$C$110=$B30)*ISNUMBER(INDEX(Inputs!$K$5:$AJ$110,0,MATCH(E$2,Inputs!$K$4:$AJ$4,0))))+SUMPRODUCT((Inputs!$E$5:$E$110=$B30)*ISNUMBER(INDEX(Inputs!$K$5:$AJ$110,0,MATCH(E$2,Inputs!$K$4:$AJ$4,0))))=0,NA(),SUMPRODUCT((Inputs!$A$5:$A$110=$B30)*Inputs!$B$5:$B$110*(((Inputs!$G$5:$G$110="moeda")+(Inputs!$G$5:$G$110="acoes"))*Inputs!$B$1+((Inputs!$G$5:$G$110&lt;&gt;"moeda")*(Inputs!$G$5:$G$110&lt;&gt;"acoes")))*INDEX(Inputs!$K$5:$AJ$110,0,MATCH(E$2,Inputs!$K$4:$AJ$4,0)))+SUMPRODUCT((Inputs!$C$5:$C$110=$B30)*Inputs!$D$5:$D$110*(((Inputs!$G$5:$G$110="moeda")+(Inputs!$G$5:$G$110="acoes"))*Inputs!$B$1+((Inputs!$G$5:$G$110&lt;&gt;"moeda")*(Inputs!$G$5:$G$110&lt;&gt;"acoes")))*INDEX(Inputs!$K$5:$AJ$110,0,MATCH(E$2,Inputs!$K$4:$AJ$4,0)))+SUMPRODUCT((Inputs!$E$5:$E$110=$B30)*Inputs!$F$5:$F$110*(((Inputs!$G$5:$G$110="moeda")+(Inputs!$G$5:$G$110="acoes"))*Inputs!$B$1+((Inputs!$G$5:$G$110&lt;&gt;"moeda")*(Inputs!$G$5:$G$110&lt;&gt;"acoes")))*INDEX(Inputs!$K$5:$AJ$110,0,MATCH(E$2,Inputs!$K$4:$AJ$4,0)))))</f>
        <v>267</v>
      </c>
      <c r="F30" s="267">
        <f>IF(ISNA(MATCH(F$2,Inputs!$K$4:$AJ$4,0)),NA(),IF(SUMPRODUCT((Inputs!$A$5:$A$110=$B30)*ISNUMBER(INDEX(Inputs!$K$5:$AJ$110,0,MATCH(F$2,Inputs!$K$4:$AJ$4,0))))+SUMPRODUCT((Inputs!$C$5:$C$110=$B30)*ISNUMBER(INDEX(Inputs!$K$5:$AJ$110,0,MATCH(F$2,Inputs!$K$4:$AJ$4,0))))+SUMPRODUCT((Inputs!$E$5:$E$110=$B30)*ISNUMBER(INDEX(Inputs!$K$5:$AJ$110,0,MATCH(F$2,Inputs!$K$4:$AJ$4,0))))=0,NA(),SUMPRODUCT((Inputs!$A$5:$A$110=$B30)*Inputs!$B$5:$B$110*(((Inputs!$G$5:$G$110="moeda")+(Inputs!$G$5:$G$110="acoes"))*Inputs!$B$1+((Inputs!$G$5:$G$110&lt;&gt;"moeda")*(Inputs!$G$5:$G$110&lt;&gt;"acoes")))*INDEX(Inputs!$K$5:$AJ$110,0,MATCH(F$2,Inputs!$K$4:$AJ$4,0)))+SUMPRODUCT((Inputs!$C$5:$C$110=$B30)*Inputs!$D$5:$D$110*(((Inputs!$G$5:$G$110="moeda")+(Inputs!$G$5:$G$110="acoes"))*Inputs!$B$1+((Inputs!$G$5:$G$110&lt;&gt;"moeda")*(Inputs!$G$5:$G$110&lt;&gt;"acoes")))*INDEX(Inputs!$K$5:$AJ$110,0,MATCH(F$2,Inputs!$K$4:$AJ$4,0)))+SUMPRODUCT((Inputs!$E$5:$E$110=$B30)*Inputs!$F$5:$F$110*(((Inputs!$G$5:$G$110="moeda")+(Inputs!$G$5:$G$110="acoes"))*Inputs!$B$1+((Inputs!$G$5:$G$110&lt;&gt;"moeda")*(Inputs!$G$5:$G$110&lt;&gt;"acoes")))*INDEX(Inputs!$K$5:$AJ$110,0,MATCH(F$2,Inputs!$K$4:$AJ$4,0)))))</f>
        <v>446</v>
      </c>
      <c r="G30" s="267">
        <f>IF(ISNA(MATCH(G$2,Inputs!$K$4:$AJ$4,0)),NA(),IF(SUMPRODUCT((Inputs!$A$5:$A$110=$B30)*ISNUMBER(INDEX(Inputs!$K$5:$AJ$110,0,MATCH(G$2,Inputs!$K$4:$AJ$4,0))))+SUMPRODUCT((Inputs!$C$5:$C$110=$B30)*ISNUMBER(INDEX(Inputs!$K$5:$AJ$110,0,MATCH(G$2,Inputs!$K$4:$AJ$4,0))))+SUMPRODUCT((Inputs!$E$5:$E$110=$B30)*ISNUMBER(INDEX(Inputs!$K$5:$AJ$110,0,MATCH(G$2,Inputs!$K$4:$AJ$4,0))))=0,NA(),SUMPRODUCT((Inputs!$A$5:$A$110=$B30)*Inputs!$B$5:$B$110*(((Inputs!$G$5:$G$110="moeda")+(Inputs!$G$5:$G$110="acoes"))*Inputs!$B$1+((Inputs!$G$5:$G$110&lt;&gt;"moeda")*(Inputs!$G$5:$G$110&lt;&gt;"acoes")))*INDEX(Inputs!$K$5:$AJ$110,0,MATCH(G$2,Inputs!$K$4:$AJ$4,0)))+SUMPRODUCT((Inputs!$C$5:$C$110=$B30)*Inputs!$D$5:$D$110*(((Inputs!$G$5:$G$110="moeda")+(Inputs!$G$5:$G$110="acoes"))*Inputs!$B$1+((Inputs!$G$5:$G$110&lt;&gt;"moeda")*(Inputs!$G$5:$G$110&lt;&gt;"acoes")))*INDEX(Inputs!$K$5:$AJ$110,0,MATCH(G$2,Inputs!$K$4:$AJ$4,0)))+SUMPRODUCT((Inputs!$E$5:$E$110=$B30)*Inputs!$F$5:$F$110*(((Inputs!$G$5:$G$110="moeda")+(Inputs!$G$5:$G$110="acoes"))*Inputs!$B$1+((Inputs!$G$5:$G$110&lt;&gt;"moeda")*(Inputs!$G$5:$G$110&lt;&gt;"acoes")))*INDEX(Inputs!$K$5:$AJ$110,0,MATCH(G$2,Inputs!$K$4:$AJ$4,0)))))</f>
        <v>851</v>
      </c>
      <c r="H30" s="268">
        <f>G30</f>
        <v>851</v>
      </c>
      <c r="I30" s="267">
        <f>IF(ISNA(MATCH(I$2,Inputs!$K$4:$AJ$4,0)),NA(),IF(SUMPRODUCT((Inputs!$A$5:$A$110=$B30)*ISNUMBER(INDEX(Inputs!$K$5:$AJ$110,0,MATCH(I$2,Inputs!$K$4:$AJ$4,0))))+SUMPRODUCT((Inputs!$C$5:$C$110=$B30)*ISNUMBER(INDEX(Inputs!$K$5:$AJ$110,0,MATCH(I$2,Inputs!$K$4:$AJ$4,0))))+SUMPRODUCT((Inputs!$E$5:$E$110=$B30)*ISNUMBER(INDEX(Inputs!$K$5:$AJ$110,0,MATCH(I$2,Inputs!$K$4:$AJ$4,0))))=0,NA(),SUMPRODUCT((Inputs!$A$5:$A$110=$B30)*Inputs!$B$5:$B$110*(((Inputs!$G$5:$G$110="moeda")+(Inputs!$G$5:$G$110="acoes"))*Inputs!$B$1+((Inputs!$G$5:$G$110&lt;&gt;"moeda")*(Inputs!$G$5:$G$110&lt;&gt;"acoes")))*INDEX(Inputs!$K$5:$AJ$110,0,MATCH(I$2,Inputs!$K$4:$AJ$4,0)))+SUMPRODUCT((Inputs!$C$5:$C$110=$B30)*Inputs!$D$5:$D$110*(((Inputs!$G$5:$G$110="moeda")+(Inputs!$G$5:$G$110="acoes"))*Inputs!$B$1+((Inputs!$G$5:$G$110&lt;&gt;"moeda")*(Inputs!$G$5:$G$110&lt;&gt;"acoes")))*INDEX(Inputs!$K$5:$AJ$110,0,MATCH(I$2,Inputs!$K$4:$AJ$4,0)))+SUMPRODUCT((Inputs!$E$5:$E$110=$B30)*Inputs!$F$5:$F$110*(((Inputs!$G$5:$G$110="moeda")+(Inputs!$G$5:$G$110="acoes"))*Inputs!$B$1+((Inputs!$G$5:$G$110&lt;&gt;"moeda")*(Inputs!$G$5:$G$110&lt;&gt;"acoes")))*INDEX(Inputs!$K$5:$AJ$110,0,MATCH(I$2,Inputs!$K$4:$AJ$4,0)))))</f>
        <v>904</v>
      </c>
      <c r="J30" s="267">
        <f>IF(ISNA(MATCH(J$2,Inputs!$K$4:$AJ$4,0)),NA(),IF(SUMPRODUCT((Inputs!$A$5:$A$110=$B30)*ISNUMBER(INDEX(Inputs!$K$5:$AJ$110,0,MATCH(J$2,Inputs!$K$4:$AJ$4,0))))+SUMPRODUCT((Inputs!$C$5:$C$110=$B30)*ISNUMBER(INDEX(Inputs!$K$5:$AJ$110,0,MATCH(J$2,Inputs!$K$4:$AJ$4,0))))+SUMPRODUCT((Inputs!$E$5:$E$110=$B30)*ISNUMBER(INDEX(Inputs!$K$5:$AJ$110,0,MATCH(J$2,Inputs!$K$4:$AJ$4,0))))=0,NA(),SUMPRODUCT((Inputs!$A$5:$A$110=$B30)*Inputs!$B$5:$B$110*(((Inputs!$G$5:$G$110="moeda")+(Inputs!$G$5:$G$110="acoes"))*Inputs!$B$1+((Inputs!$G$5:$G$110&lt;&gt;"moeda")*(Inputs!$G$5:$G$110&lt;&gt;"acoes")))*INDEX(Inputs!$K$5:$AJ$110,0,MATCH(J$2,Inputs!$K$4:$AJ$4,0)))+SUMPRODUCT((Inputs!$C$5:$C$110=$B30)*Inputs!$D$5:$D$110*(((Inputs!$G$5:$G$110="moeda")+(Inputs!$G$5:$G$110="acoes"))*Inputs!$B$1+((Inputs!$G$5:$G$110&lt;&gt;"moeda")*(Inputs!$G$5:$G$110&lt;&gt;"acoes")))*INDEX(Inputs!$K$5:$AJ$110,0,MATCH(J$2,Inputs!$K$4:$AJ$4,0)))+SUMPRODUCT((Inputs!$E$5:$E$110=$B30)*Inputs!$F$5:$F$110*(((Inputs!$G$5:$G$110="moeda")+(Inputs!$G$5:$G$110="acoes"))*Inputs!$B$1+((Inputs!$G$5:$G$110&lt;&gt;"moeda")*(Inputs!$G$5:$G$110&lt;&gt;"acoes")))*INDEX(Inputs!$K$5:$AJ$110,0,MATCH(J$2,Inputs!$K$4:$AJ$4,0)))))</f>
        <v>868</v>
      </c>
      <c r="K30" s="267">
        <f>IF(ISNA(MATCH(K$2,Inputs!$K$4:$AJ$4,0)),NA(),IF(SUMPRODUCT((Inputs!$A$5:$A$110=$B30)*ISNUMBER(INDEX(Inputs!$K$5:$AJ$110,0,MATCH(K$2,Inputs!$K$4:$AJ$4,0))))+SUMPRODUCT((Inputs!$C$5:$C$110=$B30)*ISNUMBER(INDEX(Inputs!$K$5:$AJ$110,0,MATCH(K$2,Inputs!$K$4:$AJ$4,0))))+SUMPRODUCT((Inputs!$E$5:$E$110=$B30)*ISNUMBER(INDEX(Inputs!$K$5:$AJ$110,0,MATCH(K$2,Inputs!$K$4:$AJ$4,0))))=0,NA(),SUMPRODUCT((Inputs!$A$5:$A$110=$B30)*Inputs!$B$5:$B$110*(((Inputs!$G$5:$G$110="moeda")+(Inputs!$G$5:$G$110="acoes"))*Inputs!$B$1+((Inputs!$G$5:$G$110&lt;&gt;"moeda")*(Inputs!$G$5:$G$110&lt;&gt;"acoes")))*INDEX(Inputs!$K$5:$AJ$110,0,MATCH(K$2,Inputs!$K$4:$AJ$4,0)))+SUMPRODUCT((Inputs!$C$5:$C$110=$B30)*Inputs!$D$5:$D$110*(((Inputs!$G$5:$G$110="moeda")+(Inputs!$G$5:$G$110="acoes"))*Inputs!$B$1+((Inputs!$G$5:$G$110&lt;&gt;"moeda")*(Inputs!$G$5:$G$110&lt;&gt;"acoes")))*INDEX(Inputs!$K$5:$AJ$110,0,MATCH(K$2,Inputs!$K$4:$AJ$4,0)))+SUMPRODUCT((Inputs!$E$5:$E$110=$B30)*Inputs!$F$5:$F$110*(((Inputs!$G$5:$G$110="moeda")+(Inputs!$G$5:$G$110="acoes"))*Inputs!$B$1+((Inputs!$G$5:$G$110&lt;&gt;"moeda")*(Inputs!$G$5:$G$110&lt;&gt;"acoes")))*INDEX(Inputs!$K$5:$AJ$110,0,MATCH(K$2,Inputs!$K$4:$AJ$4,0)))))</f>
        <v>900</v>
      </c>
      <c r="L30" s="267">
        <f>IF(ISNA(MATCH(L$2,Inputs!$K$4:$AJ$4,0)),NA(),IF(SUMPRODUCT((Inputs!$A$5:$A$110=$B30)*ISNUMBER(INDEX(Inputs!$K$5:$AJ$110,0,MATCH(L$2,Inputs!$K$4:$AJ$4,0))))+SUMPRODUCT((Inputs!$C$5:$C$110=$B30)*ISNUMBER(INDEX(Inputs!$K$5:$AJ$110,0,MATCH(L$2,Inputs!$K$4:$AJ$4,0))))+SUMPRODUCT((Inputs!$E$5:$E$110=$B30)*ISNUMBER(INDEX(Inputs!$K$5:$AJ$110,0,MATCH(L$2,Inputs!$K$4:$AJ$4,0))))=0,NA(),SUMPRODUCT((Inputs!$A$5:$A$110=$B30)*Inputs!$B$5:$B$110*(((Inputs!$G$5:$G$110="moeda")+(Inputs!$G$5:$G$110="acoes"))*Inputs!$B$1+((Inputs!$G$5:$G$110&lt;&gt;"moeda")*(Inputs!$G$5:$G$110&lt;&gt;"acoes")))*INDEX(Inputs!$K$5:$AJ$110,0,MATCH(L$2,Inputs!$K$4:$AJ$4,0)))+SUMPRODUCT((Inputs!$C$5:$C$110=$B30)*Inputs!$D$5:$D$110*(((Inputs!$G$5:$G$110="moeda")+(Inputs!$G$5:$G$110="acoes"))*Inputs!$B$1+((Inputs!$G$5:$G$110&lt;&gt;"moeda")*(Inputs!$G$5:$G$110&lt;&gt;"acoes")))*INDEX(Inputs!$K$5:$AJ$110,0,MATCH(L$2,Inputs!$K$4:$AJ$4,0)))+SUMPRODUCT((Inputs!$E$5:$E$110=$B30)*Inputs!$F$5:$F$110*(((Inputs!$G$5:$G$110="moeda")+(Inputs!$G$5:$G$110="acoes"))*Inputs!$B$1+((Inputs!$G$5:$G$110&lt;&gt;"moeda")*(Inputs!$G$5:$G$110&lt;&gt;"acoes")))*INDEX(Inputs!$K$5:$AJ$110,0,MATCH(L$2,Inputs!$K$4:$AJ$4,0)))))</f>
        <v>727</v>
      </c>
      <c r="M30" s="268">
        <f>L30</f>
        <v>727</v>
      </c>
      <c r="N30" s="267">
        <f>IF(ISNA(MATCH(N$2,Inputs!$K$4:$AJ$4,0)),NA(),IF(SUMPRODUCT((Inputs!$A$5:$A$110=$B30)*ISNUMBER(INDEX(Inputs!$K$5:$AJ$110,0,MATCH(N$2,Inputs!$K$4:$AJ$4,0))))+SUMPRODUCT((Inputs!$C$5:$C$110=$B30)*ISNUMBER(INDEX(Inputs!$K$5:$AJ$110,0,MATCH(N$2,Inputs!$K$4:$AJ$4,0))))+SUMPRODUCT((Inputs!$E$5:$E$110=$B30)*ISNUMBER(INDEX(Inputs!$K$5:$AJ$110,0,MATCH(N$2,Inputs!$K$4:$AJ$4,0))))=0,NA(),SUMPRODUCT((Inputs!$A$5:$A$110=$B30)*Inputs!$B$5:$B$110*(((Inputs!$G$5:$G$110="moeda")+(Inputs!$G$5:$G$110="acoes"))*Inputs!$B$1+((Inputs!$G$5:$G$110&lt;&gt;"moeda")*(Inputs!$G$5:$G$110&lt;&gt;"acoes")))*INDEX(Inputs!$K$5:$AJ$110,0,MATCH(N$2,Inputs!$K$4:$AJ$4,0)))+SUMPRODUCT((Inputs!$C$5:$C$110=$B30)*Inputs!$D$5:$D$110*(((Inputs!$G$5:$G$110="moeda")+(Inputs!$G$5:$G$110="acoes"))*Inputs!$B$1+((Inputs!$G$5:$G$110&lt;&gt;"moeda")*(Inputs!$G$5:$G$110&lt;&gt;"acoes")))*INDEX(Inputs!$K$5:$AJ$110,0,MATCH(N$2,Inputs!$K$4:$AJ$4,0)))+SUMPRODUCT((Inputs!$E$5:$E$110=$B30)*Inputs!$F$5:$F$110*(((Inputs!$G$5:$G$110="moeda")+(Inputs!$G$5:$G$110="acoes"))*Inputs!$B$1+((Inputs!$G$5:$G$110&lt;&gt;"moeda")*(Inputs!$G$5:$G$110&lt;&gt;"acoes")))*INDEX(Inputs!$K$5:$AJ$110,0,MATCH(N$2,Inputs!$K$4:$AJ$4,0)))))</f>
        <v>1325</v>
      </c>
      <c r="O30" s="267">
        <f>IF(ISNA(MATCH(O$2,Inputs!$K$4:$AJ$4,0)),NA(),IF(SUMPRODUCT((Inputs!$A$5:$A$110=$B30)*ISNUMBER(INDEX(Inputs!$K$5:$AJ$110,0,MATCH(O$2,Inputs!$K$4:$AJ$4,0))))+SUMPRODUCT((Inputs!$C$5:$C$110=$B30)*ISNUMBER(INDEX(Inputs!$K$5:$AJ$110,0,MATCH(O$2,Inputs!$K$4:$AJ$4,0))))+SUMPRODUCT((Inputs!$E$5:$E$110=$B30)*ISNUMBER(INDEX(Inputs!$K$5:$AJ$110,0,MATCH(O$2,Inputs!$K$4:$AJ$4,0))))=0,NA(),SUMPRODUCT((Inputs!$A$5:$A$110=$B30)*Inputs!$B$5:$B$110*(((Inputs!$G$5:$G$110="moeda")+(Inputs!$G$5:$G$110="acoes"))*Inputs!$B$1+((Inputs!$G$5:$G$110&lt;&gt;"moeda")*(Inputs!$G$5:$G$110&lt;&gt;"acoes")))*INDEX(Inputs!$K$5:$AJ$110,0,MATCH(O$2,Inputs!$K$4:$AJ$4,0)))+SUMPRODUCT((Inputs!$C$5:$C$110=$B30)*Inputs!$D$5:$D$110*(((Inputs!$G$5:$G$110="moeda")+(Inputs!$G$5:$G$110="acoes"))*Inputs!$B$1+((Inputs!$G$5:$G$110&lt;&gt;"moeda")*(Inputs!$G$5:$G$110&lt;&gt;"acoes")))*INDEX(Inputs!$K$5:$AJ$110,0,MATCH(O$2,Inputs!$K$4:$AJ$4,0)))+SUMPRODUCT((Inputs!$E$5:$E$110=$B30)*Inputs!$F$5:$F$110*(((Inputs!$G$5:$G$110="moeda")+(Inputs!$G$5:$G$110="acoes"))*Inputs!$B$1+((Inputs!$G$5:$G$110&lt;&gt;"moeda")*(Inputs!$G$5:$G$110&lt;&gt;"acoes")))*INDEX(Inputs!$K$5:$AJ$110,0,MATCH(O$2,Inputs!$K$4:$AJ$4,0)))))</f>
        <v>770</v>
      </c>
      <c r="P30" s="267">
        <f>IF(ISNA(MATCH(P$2,Inputs!$K$4:$AJ$4,0)),NA(),IF(SUMPRODUCT((Inputs!$A$5:$A$110=$B30)*ISNUMBER(INDEX(Inputs!$K$5:$AJ$110,0,MATCH(P$2,Inputs!$K$4:$AJ$4,0))))+SUMPRODUCT((Inputs!$C$5:$C$110=$B30)*ISNUMBER(INDEX(Inputs!$K$5:$AJ$110,0,MATCH(P$2,Inputs!$K$4:$AJ$4,0))))+SUMPRODUCT((Inputs!$E$5:$E$110=$B30)*ISNUMBER(INDEX(Inputs!$K$5:$AJ$110,0,MATCH(P$2,Inputs!$K$4:$AJ$4,0))))=0,NA(),SUMPRODUCT((Inputs!$A$5:$A$110=$B30)*Inputs!$B$5:$B$110*(((Inputs!$G$5:$G$110="moeda")+(Inputs!$G$5:$G$110="acoes"))*Inputs!$B$1+((Inputs!$G$5:$G$110&lt;&gt;"moeda")*(Inputs!$G$5:$G$110&lt;&gt;"acoes")))*INDEX(Inputs!$K$5:$AJ$110,0,MATCH(P$2,Inputs!$K$4:$AJ$4,0)))+SUMPRODUCT((Inputs!$C$5:$C$110=$B30)*Inputs!$D$5:$D$110*(((Inputs!$G$5:$G$110="moeda")+(Inputs!$G$5:$G$110="acoes"))*Inputs!$B$1+((Inputs!$G$5:$G$110&lt;&gt;"moeda")*(Inputs!$G$5:$G$110&lt;&gt;"acoes")))*INDEX(Inputs!$K$5:$AJ$110,0,MATCH(P$2,Inputs!$K$4:$AJ$4,0)))+SUMPRODUCT((Inputs!$E$5:$E$110=$B30)*Inputs!$F$5:$F$110*(((Inputs!$G$5:$G$110="moeda")+(Inputs!$G$5:$G$110="acoes"))*Inputs!$B$1+((Inputs!$G$5:$G$110&lt;&gt;"moeda")*(Inputs!$G$5:$G$110&lt;&gt;"acoes")))*INDEX(Inputs!$K$5:$AJ$110,0,MATCH(P$2,Inputs!$K$4:$AJ$4,0)))))</f>
        <v>606</v>
      </c>
      <c r="Q30" s="267">
        <f>IF(ISNA(MATCH(Q$2,Inputs!$K$4:$AJ$4,0)),NA(),IF(SUMPRODUCT((Inputs!$A$5:$A$110=$B30)*ISNUMBER(INDEX(Inputs!$K$5:$AJ$110,0,MATCH(Q$2,Inputs!$K$4:$AJ$4,0))))+SUMPRODUCT((Inputs!$C$5:$C$110=$B30)*ISNUMBER(INDEX(Inputs!$K$5:$AJ$110,0,MATCH(Q$2,Inputs!$K$4:$AJ$4,0))))+SUMPRODUCT((Inputs!$E$5:$E$110=$B30)*ISNUMBER(INDEX(Inputs!$K$5:$AJ$110,0,MATCH(Q$2,Inputs!$K$4:$AJ$4,0))))=0,NA(),SUMPRODUCT((Inputs!$A$5:$A$110=$B30)*Inputs!$B$5:$B$110*(((Inputs!$G$5:$G$110="moeda")+(Inputs!$G$5:$G$110="acoes"))*Inputs!$B$1+((Inputs!$G$5:$G$110&lt;&gt;"moeda")*(Inputs!$G$5:$G$110&lt;&gt;"acoes")))*INDEX(Inputs!$K$5:$AJ$110,0,MATCH(Q$2,Inputs!$K$4:$AJ$4,0)))+SUMPRODUCT((Inputs!$C$5:$C$110=$B30)*Inputs!$D$5:$D$110*(((Inputs!$G$5:$G$110="moeda")+(Inputs!$G$5:$G$110="acoes"))*Inputs!$B$1+((Inputs!$G$5:$G$110&lt;&gt;"moeda")*(Inputs!$G$5:$G$110&lt;&gt;"acoes")))*INDEX(Inputs!$K$5:$AJ$110,0,MATCH(Q$2,Inputs!$K$4:$AJ$4,0)))+SUMPRODUCT((Inputs!$E$5:$E$110=$B30)*Inputs!$F$5:$F$110*(((Inputs!$G$5:$G$110="moeda")+(Inputs!$G$5:$G$110="acoes"))*Inputs!$B$1+((Inputs!$G$5:$G$110&lt;&gt;"moeda")*(Inputs!$G$5:$G$110&lt;&gt;"acoes")))*INDEX(Inputs!$K$5:$AJ$110,0,MATCH(Q$2,Inputs!$K$4:$AJ$4,0)))))</f>
        <v>307</v>
      </c>
      <c r="R30" s="268">
        <f>Q30</f>
        <v>307</v>
      </c>
      <c r="S30" s="267">
        <f>IF(ISNA(MATCH(S$2,Inputs!$K$4:$AJ$4,0)),NA(),IF(SUMPRODUCT((Inputs!$A$5:$A$110=$B30)*ISNUMBER(INDEX(Inputs!$K$5:$AJ$110,0,MATCH(S$2,Inputs!$K$4:$AJ$4,0))))+SUMPRODUCT((Inputs!$C$5:$C$110=$B30)*ISNUMBER(INDEX(Inputs!$K$5:$AJ$110,0,MATCH(S$2,Inputs!$K$4:$AJ$4,0))))+SUMPRODUCT((Inputs!$E$5:$E$110=$B30)*ISNUMBER(INDEX(Inputs!$K$5:$AJ$110,0,MATCH(S$2,Inputs!$K$4:$AJ$4,0))))=0,NA(),SUMPRODUCT((Inputs!$A$5:$A$110=$B30)*Inputs!$B$5:$B$110*(((Inputs!$G$5:$G$110="moeda")+(Inputs!$G$5:$G$110="acoes"))*Inputs!$B$1+((Inputs!$G$5:$G$110&lt;&gt;"moeda")*(Inputs!$G$5:$G$110&lt;&gt;"acoes")))*INDEX(Inputs!$K$5:$AJ$110,0,MATCH(S$2,Inputs!$K$4:$AJ$4,0)))+SUMPRODUCT((Inputs!$C$5:$C$110=$B30)*Inputs!$D$5:$D$110*(((Inputs!$G$5:$G$110="moeda")+(Inputs!$G$5:$G$110="acoes"))*Inputs!$B$1+((Inputs!$G$5:$G$110&lt;&gt;"moeda")*(Inputs!$G$5:$G$110&lt;&gt;"acoes")))*INDEX(Inputs!$K$5:$AJ$110,0,MATCH(S$2,Inputs!$K$4:$AJ$4,0)))+SUMPRODUCT((Inputs!$E$5:$E$110=$B30)*Inputs!$F$5:$F$110*(((Inputs!$G$5:$G$110="moeda")+(Inputs!$G$5:$G$110="acoes"))*Inputs!$B$1+((Inputs!$G$5:$G$110&lt;&gt;"moeda")*(Inputs!$G$5:$G$110&lt;&gt;"acoes")))*INDEX(Inputs!$K$5:$AJ$110,0,MATCH(S$2,Inputs!$K$4:$AJ$4,0)))))</f>
        <v>1276</v>
      </c>
      <c r="T30" s="267">
        <f>IF(ISNA(MATCH(T$2,Inputs!$K$4:$AJ$4,0)),NA(),IF(SUMPRODUCT((Inputs!$A$5:$A$110=$B30)*ISNUMBER(INDEX(Inputs!$K$5:$AJ$110,0,MATCH(T$2,Inputs!$K$4:$AJ$4,0))))+SUMPRODUCT((Inputs!$C$5:$C$110=$B30)*ISNUMBER(INDEX(Inputs!$K$5:$AJ$110,0,MATCH(T$2,Inputs!$K$4:$AJ$4,0))))+SUMPRODUCT((Inputs!$E$5:$E$110=$B30)*ISNUMBER(INDEX(Inputs!$K$5:$AJ$110,0,MATCH(T$2,Inputs!$K$4:$AJ$4,0))))=0,NA(),SUMPRODUCT((Inputs!$A$5:$A$110=$B30)*Inputs!$B$5:$B$110*(((Inputs!$G$5:$G$110="moeda")+(Inputs!$G$5:$G$110="acoes"))*Inputs!$B$1+((Inputs!$G$5:$G$110&lt;&gt;"moeda")*(Inputs!$G$5:$G$110&lt;&gt;"acoes")))*INDEX(Inputs!$K$5:$AJ$110,0,MATCH(T$2,Inputs!$K$4:$AJ$4,0)))+SUMPRODUCT((Inputs!$C$5:$C$110=$B30)*Inputs!$D$5:$D$110*(((Inputs!$G$5:$G$110="moeda")+(Inputs!$G$5:$G$110="acoes"))*Inputs!$B$1+((Inputs!$G$5:$G$110&lt;&gt;"moeda")*(Inputs!$G$5:$G$110&lt;&gt;"acoes")))*INDEX(Inputs!$K$5:$AJ$110,0,MATCH(T$2,Inputs!$K$4:$AJ$4,0)))+SUMPRODUCT((Inputs!$E$5:$E$110=$B30)*Inputs!$F$5:$F$110*(((Inputs!$G$5:$G$110="moeda")+(Inputs!$G$5:$G$110="acoes"))*Inputs!$B$1+((Inputs!$G$5:$G$110&lt;&gt;"moeda")*(Inputs!$G$5:$G$110&lt;&gt;"acoes")))*INDEX(Inputs!$K$5:$AJ$110,0,MATCH(T$2,Inputs!$K$4:$AJ$4,0)))))</f>
        <v>576</v>
      </c>
      <c r="U30" s="267">
        <f>IF(ISNA(MATCH(U$2,Inputs!$K$4:$AJ$4,0)),NA(),IF(SUMPRODUCT((Inputs!$A$5:$A$110=$B30)*ISNUMBER(INDEX(Inputs!$K$5:$AJ$110,0,MATCH(U$2,Inputs!$K$4:$AJ$4,0))))+SUMPRODUCT((Inputs!$C$5:$C$110=$B30)*ISNUMBER(INDEX(Inputs!$K$5:$AJ$110,0,MATCH(U$2,Inputs!$K$4:$AJ$4,0))))+SUMPRODUCT((Inputs!$E$5:$E$110=$B30)*ISNUMBER(INDEX(Inputs!$K$5:$AJ$110,0,MATCH(U$2,Inputs!$K$4:$AJ$4,0))))=0,NA(),SUMPRODUCT((Inputs!$A$5:$A$110=$B30)*Inputs!$B$5:$B$110*(((Inputs!$G$5:$G$110="moeda")+(Inputs!$G$5:$G$110="acoes"))*Inputs!$B$1+((Inputs!$G$5:$G$110&lt;&gt;"moeda")*(Inputs!$G$5:$G$110&lt;&gt;"acoes")))*INDEX(Inputs!$K$5:$AJ$110,0,MATCH(U$2,Inputs!$K$4:$AJ$4,0)))+SUMPRODUCT((Inputs!$C$5:$C$110=$B30)*Inputs!$D$5:$D$110*(((Inputs!$G$5:$G$110="moeda")+(Inputs!$G$5:$G$110="acoes"))*Inputs!$B$1+((Inputs!$G$5:$G$110&lt;&gt;"moeda")*(Inputs!$G$5:$G$110&lt;&gt;"acoes")))*INDEX(Inputs!$K$5:$AJ$110,0,MATCH(U$2,Inputs!$K$4:$AJ$4,0)))+SUMPRODUCT((Inputs!$E$5:$E$110=$B30)*Inputs!$F$5:$F$110*(((Inputs!$G$5:$G$110="moeda")+(Inputs!$G$5:$G$110="acoes"))*Inputs!$B$1+((Inputs!$G$5:$G$110&lt;&gt;"moeda")*(Inputs!$G$5:$G$110&lt;&gt;"acoes")))*INDEX(Inputs!$K$5:$AJ$110,0,MATCH(U$2,Inputs!$K$4:$AJ$4,0)))))</f>
        <v>783</v>
      </c>
      <c r="V30" s="267">
        <f>IF(ISNA(MATCH(V$2,Inputs!$K$4:$AJ$4,0)),NA(),IF(SUMPRODUCT((Inputs!$A$5:$A$110=$B30)*ISNUMBER(INDEX(Inputs!$K$5:$AJ$110,0,MATCH(V$2,Inputs!$K$4:$AJ$4,0))))+SUMPRODUCT((Inputs!$C$5:$C$110=$B30)*ISNUMBER(INDEX(Inputs!$K$5:$AJ$110,0,MATCH(V$2,Inputs!$K$4:$AJ$4,0))))+SUMPRODUCT((Inputs!$E$5:$E$110=$B30)*ISNUMBER(INDEX(Inputs!$K$5:$AJ$110,0,MATCH(V$2,Inputs!$K$4:$AJ$4,0))))=0,NA(),SUMPRODUCT((Inputs!$A$5:$A$110=$B30)*Inputs!$B$5:$B$110*(((Inputs!$G$5:$G$110="moeda")+(Inputs!$G$5:$G$110="acoes"))*Inputs!$B$1+((Inputs!$G$5:$G$110&lt;&gt;"moeda")*(Inputs!$G$5:$G$110&lt;&gt;"acoes")))*INDEX(Inputs!$K$5:$AJ$110,0,MATCH(V$2,Inputs!$K$4:$AJ$4,0)))+SUMPRODUCT((Inputs!$C$5:$C$110=$B30)*Inputs!$D$5:$D$110*(((Inputs!$G$5:$G$110="moeda")+(Inputs!$G$5:$G$110="acoes"))*Inputs!$B$1+((Inputs!$G$5:$G$110&lt;&gt;"moeda")*(Inputs!$G$5:$G$110&lt;&gt;"acoes")))*INDEX(Inputs!$K$5:$AJ$110,0,MATCH(V$2,Inputs!$K$4:$AJ$4,0)))+SUMPRODUCT((Inputs!$E$5:$E$110=$B30)*Inputs!$F$5:$F$110*(((Inputs!$G$5:$G$110="moeda")+(Inputs!$G$5:$G$110="acoes"))*Inputs!$B$1+((Inputs!$G$5:$G$110&lt;&gt;"moeda")*(Inputs!$G$5:$G$110&lt;&gt;"acoes")))*INDEX(Inputs!$K$5:$AJ$110,0,MATCH(V$2,Inputs!$K$4:$AJ$4,0)))))</f>
        <v>608</v>
      </c>
      <c r="W30" s="268">
        <f>V30</f>
        <v>608</v>
      </c>
      <c r="X30" s="267">
        <f>IF(ISNA(MATCH(X$2,Inputs!$K$4:$AJ$4,0)),NA(),IF(SUMPRODUCT((Inputs!$A$5:$A$110=$B30)*ISNUMBER(INDEX(Inputs!$K$5:$AJ$110,0,MATCH(X$2,Inputs!$K$4:$AJ$4,0))))+SUMPRODUCT((Inputs!$C$5:$C$110=$B30)*ISNUMBER(INDEX(Inputs!$K$5:$AJ$110,0,MATCH(X$2,Inputs!$K$4:$AJ$4,0))))+SUMPRODUCT((Inputs!$E$5:$E$110=$B30)*ISNUMBER(INDEX(Inputs!$K$5:$AJ$110,0,MATCH(X$2,Inputs!$K$4:$AJ$4,0))))=0,NA(),SUMPRODUCT((Inputs!$A$5:$A$110=$B30)*Inputs!$B$5:$B$110*(((Inputs!$G$5:$G$110="moeda")+(Inputs!$G$5:$G$110="acoes"))*Inputs!$B$1+((Inputs!$G$5:$G$110&lt;&gt;"moeda")*(Inputs!$G$5:$G$110&lt;&gt;"acoes")))*INDEX(Inputs!$K$5:$AJ$110,0,MATCH(X$2,Inputs!$K$4:$AJ$4,0)))+SUMPRODUCT((Inputs!$C$5:$C$110=$B30)*Inputs!$D$5:$D$110*(((Inputs!$G$5:$G$110="moeda")+(Inputs!$G$5:$G$110="acoes"))*Inputs!$B$1+((Inputs!$G$5:$G$110&lt;&gt;"moeda")*(Inputs!$G$5:$G$110&lt;&gt;"acoes")))*INDEX(Inputs!$K$5:$AJ$110,0,MATCH(X$2,Inputs!$K$4:$AJ$4,0)))+SUMPRODUCT((Inputs!$E$5:$E$110=$B30)*Inputs!$F$5:$F$110*(((Inputs!$G$5:$G$110="moeda")+(Inputs!$G$5:$G$110="acoes"))*Inputs!$B$1+((Inputs!$G$5:$G$110&lt;&gt;"moeda")*(Inputs!$G$5:$G$110&lt;&gt;"acoes")))*INDEX(Inputs!$K$5:$AJ$110,0,MATCH(X$2,Inputs!$K$4:$AJ$4,0)))))</f>
        <v>1465</v>
      </c>
      <c r="Y30" s="267">
        <f>IF(ISNA(MATCH(Y$2,Inputs!$K$4:$AJ$4,0)),NA(),IF(SUMPRODUCT((Inputs!$A$5:$A$110=$B30)*ISNUMBER(INDEX(Inputs!$K$5:$AJ$110,0,MATCH(Y$2,Inputs!$K$4:$AJ$4,0))))+SUMPRODUCT((Inputs!$C$5:$C$110=$B30)*ISNUMBER(INDEX(Inputs!$K$5:$AJ$110,0,MATCH(Y$2,Inputs!$K$4:$AJ$4,0))))+SUMPRODUCT((Inputs!$E$5:$E$110=$B30)*ISNUMBER(INDEX(Inputs!$K$5:$AJ$110,0,MATCH(Y$2,Inputs!$K$4:$AJ$4,0))))=0,NA(),SUMPRODUCT((Inputs!$A$5:$A$110=$B30)*Inputs!$B$5:$B$110*(((Inputs!$G$5:$G$110="moeda")+(Inputs!$G$5:$G$110="acoes"))*Inputs!$B$1+((Inputs!$G$5:$G$110&lt;&gt;"moeda")*(Inputs!$G$5:$G$110&lt;&gt;"acoes")))*INDEX(Inputs!$K$5:$AJ$110,0,MATCH(Y$2,Inputs!$K$4:$AJ$4,0)))+SUMPRODUCT((Inputs!$C$5:$C$110=$B30)*Inputs!$D$5:$D$110*(((Inputs!$G$5:$G$110="moeda")+(Inputs!$G$5:$G$110="acoes"))*Inputs!$B$1+((Inputs!$G$5:$G$110&lt;&gt;"moeda")*(Inputs!$G$5:$G$110&lt;&gt;"acoes")))*INDEX(Inputs!$K$5:$AJ$110,0,MATCH(Y$2,Inputs!$K$4:$AJ$4,0)))+SUMPRODUCT((Inputs!$E$5:$E$110=$B30)*Inputs!$F$5:$F$110*(((Inputs!$G$5:$G$110="moeda")+(Inputs!$G$5:$G$110="acoes"))*Inputs!$B$1+((Inputs!$G$5:$G$110&lt;&gt;"moeda")*(Inputs!$G$5:$G$110&lt;&gt;"acoes")))*INDEX(Inputs!$K$5:$AJ$110,0,MATCH(Y$2,Inputs!$K$4:$AJ$4,0)))))</f>
        <v>620</v>
      </c>
      <c r="Z30" s="267">
        <f>IF(ISNA(MATCH(Z$2,Inputs!$K$4:$AJ$4,0)),NA(),IF(SUMPRODUCT((Inputs!$A$5:$A$110=$B30)*ISNUMBER(INDEX(Inputs!$K$5:$AJ$110,0,MATCH(Z$2,Inputs!$K$4:$AJ$4,0))))+SUMPRODUCT((Inputs!$C$5:$C$110=$B30)*ISNUMBER(INDEX(Inputs!$K$5:$AJ$110,0,MATCH(Z$2,Inputs!$K$4:$AJ$4,0))))+SUMPRODUCT((Inputs!$E$5:$E$110=$B30)*ISNUMBER(INDEX(Inputs!$K$5:$AJ$110,0,MATCH(Z$2,Inputs!$K$4:$AJ$4,0))))=0,NA(),SUMPRODUCT((Inputs!$A$5:$A$110=$B30)*Inputs!$B$5:$B$110*(((Inputs!$G$5:$G$110="moeda")+(Inputs!$G$5:$G$110="acoes"))*Inputs!$B$1+((Inputs!$G$5:$G$110&lt;&gt;"moeda")*(Inputs!$G$5:$G$110&lt;&gt;"acoes")))*INDEX(Inputs!$K$5:$AJ$110,0,MATCH(Z$2,Inputs!$K$4:$AJ$4,0)))+SUMPRODUCT((Inputs!$C$5:$C$110=$B30)*Inputs!$D$5:$D$110*(((Inputs!$G$5:$G$110="moeda")+(Inputs!$G$5:$G$110="acoes"))*Inputs!$B$1+((Inputs!$G$5:$G$110&lt;&gt;"moeda")*(Inputs!$G$5:$G$110&lt;&gt;"acoes")))*INDEX(Inputs!$K$5:$AJ$110,0,MATCH(Z$2,Inputs!$K$4:$AJ$4,0)))+SUMPRODUCT((Inputs!$E$5:$E$110=$B30)*Inputs!$F$5:$F$110*(((Inputs!$G$5:$G$110="moeda")+(Inputs!$G$5:$G$110="acoes"))*Inputs!$B$1+((Inputs!$G$5:$G$110&lt;&gt;"moeda")*(Inputs!$G$5:$G$110&lt;&gt;"acoes")))*INDEX(Inputs!$K$5:$AJ$110,0,MATCH(Z$2,Inputs!$K$4:$AJ$4,0)))))</f>
        <v>789</v>
      </c>
      <c r="AA30" s="267">
        <f>IF(ISNA(MATCH(AA$2,Inputs!$K$4:$AJ$4,0)),NA(),IF(SUMPRODUCT((Inputs!$A$5:$A$110=$B30)*ISNUMBER(INDEX(Inputs!$K$5:$AJ$110,0,MATCH(AA$2,Inputs!$K$4:$AJ$4,0))))+SUMPRODUCT((Inputs!$C$5:$C$110=$B30)*ISNUMBER(INDEX(Inputs!$K$5:$AJ$110,0,MATCH(AA$2,Inputs!$K$4:$AJ$4,0))))+SUMPRODUCT((Inputs!$E$5:$E$110=$B30)*ISNUMBER(INDEX(Inputs!$K$5:$AJ$110,0,MATCH(AA$2,Inputs!$K$4:$AJ$4,0))))=0,NA(),SUMPRODUCT((Inputs!$A$5:$A$110=$B30)*Inputs!$B$5:$B$110*(((Inputs!$G$5:$G$110="moeda")+(Inputs!$G$5:$G$110="acoes"))*Inputs!$B$1+((Inputs!$G$5:$G$110&lt;&gt;"moeda")*(Inputs!$G$5:$G$110&lt;&gt;"acoes")))*INDEX(Inputs!$K$5:$AJ$110,0,MATCH(AA$2,Inputs!$K$4:$AJ$4,0)))+SUMPRODUCT((Inputs!$C$5:$C$110=$B30)*Inputs!$D$5:$D$110*(((Inputs!$G$5:$G$110="moeda")+(Inputs!$G$5:$G$110="acoes"))*Inputs!$B$1+((Inputs!$G$5:$G$110&lt;&gt;"moeda")*(Inputs!$G$5:$G$110&lt;&gt;"acoes")))*INDEX(Inputs!$K$5:$AJ$110,0,MATCH(AA$2,Inputs!$K$4:$AJ$4,0)))+SUMPRODUCT((Inputs!$E$5:$E$110=$B30)*Inputs!$F$5:$F$110*(((Inputs!$G$5:$G$110="moeda")+(Inputs!$G$5:$G$110="acoes"))*Inputs!$B$1+((Inputs!$G$5:$G$110&lt;&gt;"moeda")*(Inputs!$G$5:$G$110&lt;&gt;"acoes")))*INDEX(Inputs!$K$5:$AJ$110,0,MATCH(AA$2,Inputs!$K$4:$AJ$4,0)))))</f>
        <v>596</v>
      </c>
      <c r="AB30" s="268">
        <f>AA30</f>
        <v>596</v>
      </c>
      <c r="AC30" s="267">
        <f>IF(ISNA(MATCH(AC$2,Inputs!$K$4:$AJ$4,0)),NA(),IF(SUMPRODUCT((Inputs!$A$5:$A$110=$B30)*ISNUMBER(INDEX(Inputs!$K$5:$AJ$110,0,MATCH(AC$2,Inputs!$K$4:$AJ$4,0))))+SUMPRODUCT((Inputs!$C$5:$C$110=$B30)*ISNUMBER(INDEX(Inputs!$K$5:$AJ$110,0,MATCH(AC$2,Inputs!$K$4:$AJ$4,0))))+SUMPRODUCT((Inputs!$E$5:$E$110=$B30)*ISNUMBER(INDEX(Inputs!$K$5:$AJ$110,0,MATCH(AC$2,Inputs!$K$4:$AJ$4,0))))=0,NA(),SUMPRODUCT((Inputs!$A$5:$A$110=$B30)*Inputs!$B$5:$B$110*(((Inputs!$G$5:$G$110="moeda")+(Inputs!$G$5:$G$110="acoes"))*Inputs!$B$1+((Inputs!$G$5:$G$110&lt;&gt;"moeda")*(Inputs!$G$5:$G$110&lt;&gt;"acoes")))*INDEX(Inputs!$K$5:$AJ$110,0,MATCH(AC$2,Inputs!$K$4:$AJ$4,0)))+SUMPRODUCT((Inputs!$C$5:$C$110=$B30)*Inputs!$D$5:$D$110*(((Inputs!$G$5:$G$110="moeda")+(Inputs!$G$5:$G$110="acoes"))*Inputs!$B$1+((Inputs!$G$5:$G$110&lt;&gt;"moeda")*(Inputs!$G$5:$G$110&lt;&gt;"acoes")))*INDEX(Inputs!$K$5:$AJ$110,0,MATCH(AC$2,Inputs!$K$4:$AJ$4,0)))+SUMPRODUCT((Inputs!$E$5:$E$110=$B30)*Inputs!$F$5:$F$110*(((Inputs!$G$5:$G$110="moeda")+(Inputs!$G$5:$G$110="acoes"))*Inputs!$B$1+((Inputs!$G$5:$G$110&lt;&gt;"moeda")*(Inputs!$G$5:$G$110&lt;&gt;"acoes")))*INDEX(Inputs!$K$5:$AJ$110,0,MATCH(AC$2,Inputs!$K$4:$AJ$4,0)))))</f>
        <v>1174</v>
      </c>
      <c r="AD30" s="267">
        <f>IF(ISNA(MATCH(AD$2,Inputs!$K$4:$AJ$4,0)),NA(),IF(SUMPRODUCT((Inputs!$A$5:$A$110=$B30)*ISNUMBER(INDEX(Inputs!$K$5:$AJ$110,0,MATCH(AD$2,Inputs!$K$4:$AJ$4,0))))+SUMPRODUCT((Inputs!$C$5:$C$110=$B30)*ISNUMBER(INDEX(Inputs!$K$5:$AJ$110,0,MATCH(AD$2,Inputs!$K$4:$AJ$4,0))))+SUMPRODUCT((Inputs!$E$5:$E$110=$B30)*ISNUMBER(INDEX(Inputs!$K$5:$AJ$110,0,MATCH(AD$2,Inputs!$K$4:$AJ$4,0))))=0,NA(),SUMPRODUCT((Inputs!$A$5:$A$110=$B30)*Inputs!$B$5:$B$110*(((Inputs!$G$5:$G$110="moeda")+(Inputs!$G$5:$G$110="acoes"))*Inputs!$B$1+((Inputs!$G$5:$G$110&lt;&gt;"moeda")*(Inputs!$G$5:$G$110&lt;&gt;"acoes")))*INDEX(Inputs!$K$5:$AJ$110,0,MATCH(AD$2,Inputs!$K$4:$AJ$4,0)))+SUMPRODUCT((Inputs!$C$5:$C$110=$B30)*Inputs!$D$5:$D$110*(((Inputs!$G$5:$G$110="moeda")+(Inputs!$G$5:$G$110="acoes"))*Inputs!$B$1+((Inputs!$G$5:$G$110&lt;&gt;"moeda")*(Inputs!$G$5:$G$110&lt;&gt;"acoes")))*INDEX(Inputs!$K$5:$AJ$110,0,MATCH(AD$2,Inputs!$K$4:$AJ$4,0)))+SUMPRODUCT((Inputs!$E$5:$E$110=$B30)*Inputs!$F$5:$F$110*(((Inputs!$G$5:$G$110="moeda")+(Inputs!$G$5:$G$110="acoes"))*Inputs!$B$1+((Inputs!$G$5:$G$110&lt;&gt;"moeda")*(Inputs!$G$5:$G$110&lt;&gt;"acoes")))*INDEX(Inputs!$K$5:$AJ$110,0,MATCH(AD$2,Inputs!$K$4:$AJ$4,0)))))</f>
        <v>746</v>
      </c>
      <c r="AE30" s="267" t="e">
        <f>IF(ISNA(MATCH(AE$2,Inputs!$K$4:$AJ$4,0)),NA(),IF(SUMPRODUCT((Inputs!$A$5:$A$110=$B30)*ISNUMBER(INDEX(Inputs!$K$5:$AJ$110,0,MATCH(AE$2,Inputs!$K$4:$AJ$4,0))))+SUMPRODUCT((Inputs!$C$5:$C$110=$B30)*ISNUMBER(INDEX(Inputs!$K$5:$AJ$110,0,MATCH(AE$2,Inputs!$K$4:$AJ$4,0))))+SUMPRODUCT((Inputs!$E$5:$E$110=$B30)*ISNUMBER(INDEX(Inputs!$K$5:$AJ$110,0,MATCH(AE$2,Inputs!$K$4:$AJ$4,0))))=0,NA(),SUMPRODUCT((Inputs!$A$5:$A$110=$B30)*Inputs!$B$5:$B$110*(((Inputs!$G$5:$G$110="moeda")+(Inputs!$G$5:$G$110="acoes"))*Inputs!$B$1+((Inputs!$G$5:$G$110&lt;&gt;"moeda")*(Inputs!$G$5:$G$110&lt;&gt;"acoes")))*INDEX(Inputs!$K$5:$AJ$110,0,MATCH(AE$2,Inputs!$K$4:$AJ$4,0)))+SUMPRODUCT((Inputs!$C$5:$C$110=$B30)*Inputs!$D$5:$D$110*(((Inputs!$G$5:$G$110="moeda")+(Inputs!$G$5:$G$110="acoes"))*Inputs!$B$1+((Inputs!$G$5:$G$110&lt;&gt;"moeda")*(Inputs!$G$5:$G$110&lt;&gt;"acoes")))*INDEX(Inputs!$K$5:$AJ$110,0,MATCH(AE$2,Inputs!$K$4:$AJ$4,0)))+SUMPRODUCT((Inputs!$E$5:$E$110=$B30)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0" s="267" t="e">
        <f>IF(ISNA(MATCH(AF$2,Inputs!$K$4:$AJ$4,0)),NA(),IF(SUMPRODUCT((Inputs!$A$5:$A$110=$B30)*ISNUMBER(INDEX(Inputs!$K$5:$AJ$110,0,MATCH(AF$2,Inputs!$K$4:$AJ$4,0))))+SUMPRODUCT((Inputs!$C$5:$C$110=$B30)*ISNUMBER(INDEX(Inputs!$K$5:$AJ$110,0,MATCH(AF$2,Inputs!$K$4:$AJ$4,0))))+SUMPRODUCT((Inputs!$E$5:$E$110=$B30)*ISNUMBER(INDEX(Inputs!$K$5:$AJ$110,0,MATCH(AF$2,Inputs!$K$4:$AJ$4,0))))=0,NA(),SUMPRODUCT((Inputs!$A$5:$A$110=$B30)*Inputs!$B$5:$B$110*(((Inputs!$G$5:$G$110="moeda")+(Inputs!$G$5:$G$110="acoes"))*Inputs!$B$1+((Inputs!$G$5:$G$110&lt;&gt;"moeda")*(Inputs!$G$5:$G$110&lt;&gt;"acoes")))*INDEX(Inputs!$K$5:$AJ$110,0,MATCH(AF$2,Inputs!$K$4:$AJ$4,0)))+SUMPRODUCT((Inputs!$C$5:$C$110=$B30)*Inputs!$D$5:$D$110*(((Inputs!$G$5:$G$110="moeda")+(Inputs!$G$5:$G$110="acoes"))*Inputs!$B$1+((Inputs!$G$5:$G$110&lt;&gt;"moeda")*(Inputs!$G$5:$G$110&lt;&gt;"acoes")))*INDEX(Inputs!$K$5:$AJ$110,0,MATCH(AF$2,Inputs!$K$4:$AJ$4,0)))+SUMPRODUCT((Inputs!$E$5:$E$110=$B30)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0" s="268" t="e">
        <f>AF30</f>
        <v>#N/A</v>
      </c>
      <c r="AH30" s="267">
        <f>IF(ISNA(MATCH(AH$2,Inputs!$K$4:$AJ$4,0)),NA(),IF(SUMPRODUCT((Inputs!$A$5:$A$110=$B30)*ISNUMBER(INDEX(Inputs!$K$5:$AJ$110,0,MATCH(AH$2,Inputs!$K$4:$AJ$4,0))))+SUMPRODUCT((Inputs!$C$5:$C$110=$B30)*ISNUMBER(INDEX(Inputs!$K$5:$AJ$110,0,MATCH(AH$2,Inputs!$K$4:$AJ$4,0))))+SUMPRODUCT((Inputs!$E$5:$E$110=$B30)*ISNUMBER(INDEX(Inputs!$K$5:$AJ$110,0,MATCH(AH$2,Inputs!$K$4:$AJ$4,0))))=0,NA(),SUMPRODUCT((Inputs!$A$5:$A$110=$B30)*Inputs!$B$5:$B$110*(((Inputs!$G$5:$G$110="moeda")+(Inputs!$G$5:$G$110="acoes"))*Inputs!$B$1+((Inputs!$G$5:$G$110&lt;&gt;"moeda")*(Inputs!$G$5:$G$110&lt;&gt;"acoes")))*INDEX(Inputs!$K$5:$AJ$110,0,MATCH(AH$2,Inputs!$K$4:$AJ$4,0)))+SUMPRODUCT((Inputs!$C$5:$C$110=$B30)*Inputs!$D$5:$D$110*(((Inputs!$G$5:$G$110="moeda")+(Inputs!$G$5:$G$110="acoes"))*Inputs!$B$1+((Inputs!$G$5:$G$110&lt;&gt;"moeda")*(Inputs!$G$5:$G$110&lt;&gt;"acoes")))*INDEX(Inputs!$K$5:$AJ$110,0,MATCH(AH$2,Inputs!$K$4:$AJ$4,0)))+SUMPRODUCT((Inputs!$E$5:$E$110=$B30)*Inputs!$F$5:$F$110*(((Inputs!$G$5:$G$110="moeda")+(Inputs!$G$5:$G$110="acoes"))*Inputs!$B$1+((Inputs!$G$5:$G$110&lt;&gt;"moeda")*(Inputs!$G$5:$G$110&lt;&gt;"acoes")))*INDEX(Inputs!$K$5:$AJ$110,0,MATCH(AH$2,Inputs!$K$4:$AJ$4,0)))))</f>
        <v>1303</v>
      </c>
      <c r="AI30" s="267">
        <f>IF(ISNA(MATCH(AI$2,Inputs!$K$4:$AJ$4,0)),NA(),IF(SUMPRODUCT((Inputs!$A$5:$A$110=$B30)*ISNUMBER(INDEX(Inputs!$K$5:$AJ$110,0,MATCH(AI$2,Inputs!$K$4:$AJ$4,0))))+SUMPRODUCT((Inputs!$C$5:$C$110=$B30)*ISNUMBER(INDEX(Inputs!$K$5:$AJ$110,0,MATCH(AI$2,Inputs!$K$4:$AJ$4,0))))+SUMPRODUCT((Inputs!$E$5:$E$110=$B30)*ISNUMBER(INDEX(Inputs!$K$5:$AJ$110,0,MATCH(AI$2,Inputs!$K$4:$AJ$4,0))))=0,NA(),SUMPRODUCT((Inputs!$A$5:$A$110=$B30)*Inputs!$B$5:$B$110*(((Inputs!$G$5:$G$110="moeda")+(Inputs!$G$5:$G$110="acoes"))*Inputs!$B$1+((Inputs!$G$5:$G$110&lt;&gt;"moeda")*(Inputs!$G$5:$G$110&lt;&gt;"acoes")))*INDEX(Inputs!$K$5:$AJ$110,0,MATCH(AI$2,Inputs!$K$4:$AJ$4,0)))+SUMPRODUCT((Inputs!$C$5:$C$110=$B30)*Inputs!$D$5:$D$110*(((Inputs!$G$5:$G$110="moeda")+(Inputs!$G$5:$G$110="acoes"))*Inputs!$B$1+((Inputs!$G$5:$G$110&lt;&gt;"moeda")*(Inputs!$G$5:$G$110&lt;&gt;"acoes")))*INDEX(Inputs!$K$5:$AJ$110,0,MATCH(AI$2,Inputs!$K$4:$AJ$4,0)))+SUMPRODUCT((Inputs!$E$5:$E$110=$B30)*Inputs!$F$5:$F$110*(((Inputs!$G$5:$G$110="moeda")+(Inputs!$G$5:$G$110="acoes"))*Inputs!$B$1+((Inputs!$G$5:$G$110&lt;&gt;"moeda")*(Inputs!$G$5:$G$110&lt;&gt;"acoes")))*INDEX(Inputs!$K$5:$AJ$110,0,MATCH(AI$2,Inputs!$K$4:$AJ$4,0)))))</f>
        <v>610</v>
      </c>
      <c r="AJ30" s="267">
        <f>IF(ISNA(MATCH(AJ$2,Inputs!$K$4:$AJ$4,0)),NA(),IF(SUMPRODUCT((Inputs!$A$5:$A$110=$B30)*ISNUMBER(INDEX(Inputs!$K$5:$AJ$110,0,MATCH(AJ$2,Inputs!$K$4:$AJ$4,0))))+SUMPRODUCT((Inputs!$C$5:$C$110=$B30)*ISNUMBER(INDEX(Inputs!$K$5:$AJ$110,0,MATCH(AJ$2,Inputs!$K$4:$AJ$4,0))))+SUMPRODUCT((Inputs!$E$5:$E$110=$B30)*ISNUMBER(INDEX(Inputs!$K$5:$AJ$110,0,MATCH(AJ$2,Inputs!$K$4:$AJ$4,0))))=0,NA(),SUMPRODUCT((Inputs!$A$5:$A$110=$B30)*Inputs!$B$5:$B$110*(((Inputs!$G$5:$G$110="moeda")+(Inputs!$G$5:$G$110="acoes"))*Inputs!$B$1+((Inputs!$G$5:$G$110&lt;&gt;"moeda")*(Inputs!$G$5:$G$110&lt;&gt;"acoes")))*INDEX(Inputs!$K$5:$AJ$110,0,MATCH(AJ$2,Inputs!$K$4:$AJ$4,0)))+SUMPRODUCT((Inputs!$C$5:$C$110=$B30)*Inputs!$D$5:$D$110*(((Inputs!$G$5:$G$110="moeda")+(Inputs!$G$5:$G$110="acoes"))*Inputs!$B$1+((Inputs!$G$5:$G$110&lt;&gt;"moeda")*(Inputs!$G$5:$G$110&lt;&gt;"acoes")))*INDEX(Inputs!$K$5:$AJ$110,0,MATCH(AJ$2,Inputs!$K$4:$AJ$4,0)))+SUMPRODUCT((Inputs!$E$5:$E$110=$B30)*Inputs!$F$5:$F$110*(((Inputs!$G$5:$G$110="moeda")+(Inputs!$G$5:$G$110="acoes"))*Inputs!$B$1+((Inputs!$G$5:$G$110&lt;&gt;"moeda")*(Inputs!$G$5:$G$110&lt;&gt;"acoes")))*INDEX(Inputs!$K$5:$AJ$110,0,MATCH(AJ$2,Inputs!$K$4:$AJ$4,0)))))</f>
        <v>548</v>
      </c>
      <c r="AK30" s="267">
        <f>IF(ISNA(MATCH(AK$2,Inputs!$K$4:$AJ$4,0)),NA(),IF(SUMPRODUCT((Inputs!$A$5:$A$110=$B30)*ISNUMBER(INDEX(Inputs!$K$5:$AJ$110,0,MATCH(AK$2,Inputs!$K$4:$AJ$4,0))))+SUMPRODUCT((Inputs!$C$5:$C$110=$B30)*ISNUMBER(INDEX(Inputs!$K$5:$AJ$110,0,MATCH(AK$2,Inputs!$K$4:$AJ$4,0))))+SUMPRODUCT((Inputs!$E$5:$E$110=$B30)*ISNUMBER(INDEX(Inputs!$K$5:$AJ$110,0,MATCH(AK$2,Inputs!$K$4:$AJ$4,0))))=0,NA(),SUMPRODUCT((Inputs!$A$5:$A$110=$B30)*Inputs!$B$5:$B$110*(((Inputs!$G$5:$G$110="moeda")+(Inputs!$G$5:$G$110="acoes"))*Inputs!$B$1+((Inputs!$G$5:$G$110&lt;&gt;"moeda")*(Inputs!$G$5:$G$110&lt;&gt;"acoes")))*INDEX(Inputs!$K$5:$AJ$110,0,MATCH(AK$2,Inputs!$K$4:$AJ$4,0)))+SUMPRODUCT((Inputs!$C$5:$C$110=$B30)*Inputs!$D$5:$D$110*(((Inputs!$G$5:$G$110="moeda")+(Inputs!$G$5:$G$110="acoes"))*Inputs!$B$1+((Inputs!$G$5:$G$110&lt;&gt;"moeda")*(Inputs!$G$5:$G$110&lt;&gt;"acoes")))*INDEX(Inputs!$K$5:$AJ$110,0,MATCH(AK$2,Inputs!$K$4:$AJ$4,0)))+SUMPRODUCT((Inputs!$E$5:$E$110=$B30)*Inputs!$F$5:$F$110*(((Inputs!$G$5:$G$110="moeda")+(Inputs!$G$5:$G$110="acoes"))*Inputs!$B$1+((Inputs!$G$5:$G$110&lt;&gt;"moeda")*(Inputs!$G$5:$G$110&lt;&gt;"acoes")))*INDEX(Inputs!$K$5:$AJ$110,0,MATCH(AK$2,Inputs!$K$4:$AJ$4,0)))))</f>
        <v>242</v>
      </c>
      <c r="AL30" s="268">
        <f>AK30</f>
        <v>242</v>
      </c>
    </row>
    <row r="31" ht="12.75" customHeight="1" s="255">
      <c r="B31" s="265" t="n">
        <v>26</v>
      </c>
      <c r="C31" s="270" t="inlineStr">
        <is>
          <t>Other current liabilities (non-debt)</t>
        </is>
      </c>
      <c r="D31" s="267">
        <f>IF(ISNA(MATCH(D$2,Inputs!$K$4:$AJ$4,0)),NA(),IF(SUMPRODUCT((Inputs!$A$5:$A$110=$B31)*ISNUMBER(INDEX(Inputs!$K$5:$AJ$110,0,MATCH(D$2,Inputs!$K$4:$AJ$4,0))))+SUMPRODUCT((Inputs!$C$5:$C$110=$B31)*ISNUMBER(INDEX(Inputs!$K$5:$AJ$110,0,MATCH(D$2,Inputs!$K$4:$AJ$4,0))))+SUMPRODUCT((Inputs!$E$5:$E$110=$B31)*ISNUMBER(INDEX(Inputs!$K$5:$AJ$110,0,MATCH(D$2,Inputs!$K$4:$AJ$4,0))))=0,NA(),SUMPRODUCT((Inputs!$A$5:$A$110=$B31)*Inputs!$B$5:$B$110*(((Inputs!$G$5:$G$110="moeda")+(Inputs!$G$5:$G$110="acoes"))*Inputs!$B$1+((Inputs!$G$5:$G$110&lt;&gt;"moeda")*(Inputs!$G$5:$G$110&lt;&gt;"acoes")))*INDEX(Inputs!$K$5:$AJ$110,0,MATCH(D$2,Inputs!$K$4:$AJ$4,0)))+SUMPRODUCT((Inputs!$C$5:$C$110=$B31)*Inputs!$D$5:$D$110*(((Inputs!$G$5:$G$110="moeda")+(Inputs!$G$5:$G$110="acoes"))*Inputs!$B$1+((Inputs!$G$5:$G$110&lt;&gt;"moeda")*(Inputs!$G$5:$G$110&lt;&gt;"acoes")))*INDEX(Inputs!$K$5:$AJ$110,0,MATCH(D$2,Inputs!$K$4:$AJ$4,0)))+SUMPRODUCT((Inputs!$E$5:$E$110=$B31)*Inputs!$F$5:$F$110*(((Inputs!$G$5:$G$110="moeda")+(Inputs!$G$5:$G$110="acoes"))*Inputs!$B$1+((Inputs!$G$5:$G$110&lt;&gt;"moeda")*(Inputs!$G$5:$G$110&lt;&gt;"acoes")))*INDEX(Inputs!$K$5:$AJ$110,0,MATCH(D$2,Inputs!$K$4:$AJ$4,0)))))</f>
        <v>5158</v>
      </c>
      <c r="E31" s="267">
        <f>IF(ISNA(MATCH(E$2,Inputs!$K$4:$AJ$4,0)),NA(),IF(SUMPRODUCT((Inputs!$A$5:$A$110=$B31)*ISNUMBER(INDEX(Inputs!$K$5:$AJ$110,0,MATCH(E$2,Inputs!$K$4:$AJ$4,0))))+SUMPRODUCT((Inputs!$C$5:$C$110=$B31)*ISNUMBER(INDEX(Inputs!$K$5:$AJ$110,0,MATCH(E$2,Inputs!$K$4:$AJ$4,0))))+SUMPRODUCT((Inputs!$E$5:$E$110=$B31)*ISNUMBER(INDEX(Inputs!$K$5:$AJ$110,0,MATCH(E$2,Inputs!$K$4:$AJ$4,0))))=0,NA(),SUMPRODUCT((Inputs!$A$5:$A$110=$B31)*Inputs!$B$5:$B$110*(((Inputs!$G$5:$G$110="moeda")+(Inputs!$G$5:$G$110="acoes"))*Inputs!$B$1+((Inputs!$G$5:$G$110&lt;&gt;"moeda")*(Inputs!$G$5:$G$110&lt;&gt;"acoes")))*INDEX(Inputs!$K$5:$AJ$110,0,MATCH(E$2,Inputs!$K$4:$AJ$4,0)))+SUMPRODUCT((Inputs!$C$5:$C$110=$B31)*Inputs!$D$5:$D$110*(((Inputs!$G$5:$G$110="moeda")+(Inputs!$G$5:$G$110="acoes"))*Inputs!$B$1+((Inputs!$G$5:$G$110&lt;&gt;"moeda")*(Inputs!$G$5:$G$110&lt;&gt;"acoes")))*INDEX(Inputs!$K$5:$AJ$110,0,MATCH(E$2,Inputs!$K$4:$AJ$4,0)))+SUMPRODUCT((Inputs!$E$5:$E$110=$B31)*Inputs!$F$5:$F$110*(((Inputs!$G$5:$G$110="moeda")+(Inputs!$G$5:$G$110="acoes"))*Inputs!$B$1+((Inputs!$G$5:$G$110&lt;&gt;"moeda")*(Inputs!$G$5:$G$110&lt;&gt;"acoes")))*INDEX(Inputs!$K$5:$AJ$110,0,MATCH(E$2,Inputs!$K$4:$AJ$4,0)))))</f>
        <v>3610</v>
      </c>
      <c r="F31" s="267">
        <f>IF(ISNA(MATCH(F$2,Inputs!$K$4:$AJ$4,0)),NA(),IF(SUMPRODUCT((Inputs!$A$5:$A$110=$B31)*ISNUMBER(INDEX(Inputs!$K$5:$AJ$110,0,MATCH(F$2,Inputs!$K$4:$AJ$4,0))))+SUMPRODUCT((Inputs!$C$5:$C$110=$B31)*ISNUMBER(INDEX(Inputs!$K$5:$AJ$110,0,MATCH(F$2,Inputs!$K$4:$AJ$4,0))))+SUMPRODUCT((Inputs!$E$5:$E$110=$B31)*ISNUMBER(INDEX(Inputs!$K$5:$AJ$110,0,MATCH(F$2,Inputs!$K$4:$AJ$4,0))))=0,NA(),SUMPRODUCT((Inputs!$A$5:$A$110=$B31)*Inputs!$B$5:$B$110*(((Inputs!$G$5:$G$110="moeda")+(Inputs!$G$5:$G$110="acoes"))*Inputs!$B$1+((Inputs!$G$5:$G$110&lt;&gt;"moeda")*(Inputs!$G$5:$G$110&lt;&gt;"acoes")))*INDEX(Inputs!$K$5:$AJ$110,0,MATCH(F$2,Inputs!$K$4:$AJ$4,0)))+SUMPRODUCT((Inputs!$C$5:$C$110=$B31)*Inputs!$D$5:$D$110*(((Inputs!$G$5:$G$110="moeda")+(Inputs!$G$5:$G$110="acoes"))*Inputs!$B$1+((Inputs!$G$5:$G$110&lt;&gt;"moeda")*(Inputs!$G$5:$G$110&lt;&gt;"acoes")))*INDEX(Inputs!$K$5:$AJ$110,0,MATCH(F$2,Inputs!$K$4:$AJ$4,0)))+SUMPRODUCT((Inputs!$E$5:$E$110=$B31)*Inputs!$F$5:$F$110*(((Inputs!$G$5:$G$110="moeda")+(Inputs!$G$5:$G$110="acoes"))*Inputs!$B$1+((Inputs!$G$5:$G$110&lt;&gt;"moeda")*(Inputs!$G$5:$G$110&lt;&gt;"acoes")))*INDEX(Inputs!$K$5:$AJ$110,0,MATCH(F$2,Inputs!$K$4:$AJ$4,0)))))</f>
        <v>2036</v>
      </c>
      <c r="G31" s="267">
        <f>IF(ISNA(MATCH(G$2,Inputs!$K$4:$AJ$4,0)),NA(),IF(SUMPRODUCT((Inputs!$A$5:$A$110=$B31)*ISNUMBER(INDEX(Inputs!$K$5:$AJ$110,0,MATCH(G$2,Inputs!$K$4:$AJ$4,0))))+SUMPRODUCT((Inputs!$C$5:$C$110=$B31)*ISNUMBER(INDEX(Inputs!$K$5:$AJ$110,0,MATCH(G$2,Inputs!$K$4:$AJ$4,0))))+SUMPRODUCT((Inputs!$E$5:$E$110=$B31)*ISNUMBER(INDEX(Inputs!$K$5:$AJ$110,0,MATCH(G$2,Inputs!$K$4:$AJ$4,0))))=0,NA(),SUMPRODUCT((Inputs!$A$5:$A$110=$B31)*Inputs!$B$5:$B$110*(((Inputs!$G$5:$G$110="moeda")+(Inputs!$G$5:$G$110="acoes"))*Inputs!$B$1+((Inputs!$G$5:$G$110&lt;&gt;"moeda")*(Inputs!$G$5:$G$110&lt;&gt;"acoes")))*INDEX(Inputs!$K$5:$AJ$110,0,MATCH(G$2,Inputs!$K$4:$AJ$4,0)))+SUMPRODUCT((Inputs!$C$5:$C$110=$B31)*Inputs!$D$5:$D$110*(((Inputs!$G$5:$G$110="moeda")+(Inputs!$G$5:$G$110="acoes"))*Inputs!$B$1+((Inputs!$G$5:$G$110&lt;&gt;"moeda")*(Inputs!$G$5:$G$110&lt;&gt;"acoes")))*INDEX(Inputs!$K$5:$AJ$110,0,MATCH(G$2,Inputs!$K$4:$AJ$4,0)))+SUMPRODUCT((Inputs!$E$5:$E$110=$B31)*Inputs!$F$5:$F$110*(((Inputs!$G$5:$G$110="moeda")+(Inputs!$G$5:$G$110="acoes"))*Inputs!$B$1+((Inputs!$G$5:$G$110&lt;&gt;"moeda")*(Inputs!$G$5:$G$110&lt;&gt;"acoes")))*INDEX(Inputs!$K$5:$AJ$110,0,MATCH(G$2,Inputs!$K$4:$AJ$4,0)))))</f>
        <v>511</v>
      </c>
      <c r="H31" s="268">
        <f>G31</f>
        <v>511</v>
      </c>
      <c r="I31" s="267">
        <f>IF(ISNA(MATCH(I$2,Inputs!$K$4:$AJ$4,0)),NA(),IF(SUMPRODUCT((Inputs!$A$5:$A$110=$B31)*ISNUMBER(INDEX(Inputs!$K$5:$AJ$110,0,MATCH(I$2,Inputs!$K$4:$AJ$4,0))))+SUMPRODUCT((Inputs!$C$5:$C$110=$B31)*ISNUMBER(INDEX(Inputs!$K$5:$AJ$110,0,MATCH(I$2,Inputs!$K$4:$AJ$4,0))))+SUMPRODUCT((Inputs!$E$5:$E$110=$B31)*ISNUMBER(INDEX(Inputs!$K$5:$AJ$110,0,MATCH(I$2,Inputs!$K$4:$AJ$4,0))))=0,NA(),SUMPRODUCT((Inputs!$A$5:$A$110=$B31)*Inputs!$B$5:$B$110*(((Inputs!$G$5:$G$110="moeda")+(Inputs!$G$5:$G$110="acoes"))*Inputs!$B$1+((Inputs!$G$5:$G$110&lt;&gt;"moeda")*(Inputs!$G$5:$G$110&lt;&gt;"acoes")))*INDEX(Inputs!$K$5:$AJ$110,0,MATCH(I$2,Inputs!$K$4:$AJ$4,0)))+SUMPRODUCT((Inputs!$C$5:$C$110=$B31)*Inputs!$D$5:$D$110*(((Inputs!$G$5:$G$110="moeda")+(Inputs!$G$5:$G$110="acoes"))*Inputs!$B$1+((Inputs!$G$5:$G$110&lt;&gt;"moeda")*(Inputs!$G$5:$G$110&lt;&gt;"acoes")))*INDEX(Inputs!$K$5:$AJ$110,0,MATCH(I$2,Inputs!$K$4:$AJ$4,0)))+SUMPRODUCT((Inputs!$E$5:$E$110=$B31)*Inputs!$F$5:$F$110*(((Inputs!$G$5:$G$110="moeda")+(Inputs!$G$5:$G$110="acoes"))*Inputs!$B$1+((Inputs!$G$5:$G$110&lt;&gt;"moeda")*(Inputs!$G$5:$G$110&lt;&gt;"acoes")))*INDEX(Inputs!$K$5:$AJ$110,0,MATCH(I$2,Inputs!$K$4:$AJ$4,0)))))</f>
        <v>5142</v>
      </c>
      <c r="J31" s="267">
        <f>IF(ISNA(MATCH(J$2,Inputs!$K$4:$AJ$4,0)),NA(),IF(SUMPRODUCT((Inputs!$A$5:$A$110=$B31)*ISNUMBER(INDEX(Inputs!$K$5:$AJ$110,0,MATCH(J$2,Inputs!$K$4:$AJ$4,0))))+SUMPRODUCT((Inputs!$C$5:$C$110=$B31)*ISNUMBER(INDEX(Inputs!$K$5:$AJ$110,0,MATCH(J$2,Inputs!$K$4:$AJ$4,0))))+SUMPRODUCT((Inputs!$E$5:$E$110=$B31)*ISNUMBER(INDEX(Inputs!$K$5:$AJ$110,0,MATCH(J$2,Inputs!$K$4:$AJ$4,0))))=0,NA(),SUMPRODUCT((Inputs!$A$5:$A$110=$B31)*Inputs!$B$5:$B$110*(((Inputs!$G$5:$G$110="moeda")+(Inputs!$G$5:$G$110="acoes"))*Inputs!$B$1+((Inputs!$G$5:$G$110&lt;&gt;"moeda")*(Inputs!$G$5:$G$110&lt;&gt;"acoes")))*INDEX(Inputs!$K$5:$AJ$110,0,MATCH(J$2,Inputs!$K$4:$AJ$4,0)))+SUMPRODUCT((Inputs!$C$5:$C$110=$B31)*Inputs!$D$5:$D$110*(((Inputs!$G$5:$G$110="moeda")+(Inputs!$G$5:$G$110="acoes"))*Inputs!$B$1+((Inputs!$G$5:$G$110&lt;&gt;"moeda")*(Inputs!$G$5:$G$110&lt;&gt;"acoes")))*INDEX(Inputs!$K$5:$AJ$110,0,MATCH(J$2,Inputs!$K$4:$AJ$4,0)))+SUMPRODUCT((Inputs!$E$5:$E$110=$B31)*Inputs!$F$5:$F$110*(((Inputs!$G$5:$G$110="moeda")+(Inputs!$G$5:$G$110="acoes"))*Inputs!$B$1+((Inputs!$G$5:$G$110&lt;&gt;"moeda")*(Inputs!$G$5:$G$110&lt;&gt;"acoes")))*INDEX(Inputs!$K$5:$AJ$110,0,MATCH(J$2,Inputs!$K$4:$AJ$4,0)))))</f>
        <v>3583</v>
      </c>
      <c r="K31" s="267">
        <f>IF(ISNA(MATCH(K$2,Inputs!$K$4:$AJ$4,0)),NA(),IF(SUMPRODUCT((Inputs!$A$5:$A$110=$B31)*ISNUMBER(INDEX(Inputs!$K$5:$AJ$110,0,MATCH(K$2,Inputs!$K$4:$AJ$4,0))))+SUMPRODUCT((Inputs!$C$5:$C$110=$B31)*ISNUMBER(INDEX(Inputs!$K$5:$AJ$110,0,MATCH(K$2,Inputs!$K$4:$AJ$4,0))))+SUMPRODUCT((Inputs!$E$5:$E$110=$B31)*ISNUMBER(INDEX(Inputs!$K$5:$AJ$110,0,MATCH(K$2,Inputs!$K$4:$AJ$4,0))))=0,NA(),SUMPRODUCT((Inputs!$A$5:$A$110=$B31)*Inputs!$B$5:$B$110*(((Inputs!$G$5:$G$110="moeda")+(Inputs!$G$5:$G$110="acoes"))*Inputs!$B$1+((Inputs!$G$5:$G$110&lt;&gt;"moeda")*(Inputs!$G$5:$G$110&lt;&gt;"acoes")))*INDEX(Inputs!$K$5:$AJ$110,0,MATCH(K$2,Inputs!$K$4:$AJ$4,0)))+SUMPRODUCT((Inputs!$C$5:$C$110=$B31)*Inputs!$D$5:$D$110*(((Inputs!$G$5:$G$110="moeda")+(Inputs!$G$5:$G$110="acoes"))*Inputs!$B$1+((Inputs!$G$5:$G$110&lt;&gt;"moeda")*(Inputs!$G$5:$G$110&lt;&gt;"acoes")))*INDEX(Inputs!$K$5:$AJ$110,0,MATCH(K$2,Inputs!$K$4:$AJ$4,0)))+SUMPRODUCT((Inputs!$E$5:$E$110=$B31)*Inputs!$F$5:$F$110*(((Inputs!$G$5:$G$110="moeda")+(Inputs!$G$5:$G$110="acoes"))*Inputs!$B$1+((Inputs!$G$5:$G$110&lt;&gt;"moeda")*(Inputs!$G$5:$G$110&lt;&gt;"acoes")))*INDEX(Inputs!$K$5:$AJ$110,0,MATCH(K$2,Inputs!$K$4:$AJ$4,0)))))</f>
        <v>2076</v>
      </c>
      <c r="L31" s="267">
        <f>IF(ISNA(MATCH(L$2,Inputs!$K$4:$AJ$4,0)),NA(),IF(SUMPRODUCT((Inputs!$A$5:$A$110=$B31)*ISNUMBER(INDEX(Inputs!$K$5:$AJ$110,0,MATCH(L$2,Inputs!$K$4:$AJ$4,0))))+SUMPRODUCT((Inputs!$C$5:$C$110=$B31)*ISNUMBER(INDEX(Inputs!$K$5:$AJ$110,0,MATCH(L$2,Inputs!$K$4:$AJ$4,0))))+SUMPRODUCT((Inputs!$E$5:$E$110=$B31)*ISNUMBER(INDEX(Inputs!$K$5:$AJ$110,0,MATCH(L$2,Inputs!$K$4:$AJ$4,0))))=0,NA(),SUMPRODUCT((Inputs!$A$5:$A$110=$B31)*Inputs!$B$5:$B$110*(((Inputs!$G$5:$G$110="moeda")+(Inputs!$G$5:$G$110="acoes"))*Inputs!$B$1+((Inputs!$G$5:$G$110&lt;&gt;"moeda")*(Inputs!$G$5:$G$110&lt;&gt;"acoes")))*INDEX(Inputs!$K$5:$AJ$110,0,MATCH(L$2,Inputs!$K$4:$AJ$4,0)))+SUMPRODUCT((Inputs!$C$5:$C$110=$B31)*Inputs!$D$5:$D$110*(((Inputs!$G$5:$G$110="moeda")+(Inputs!$G$5:$G$110="acoes"))*Inputs!$B$1+((Inputs!$G$5:$G$110&lt;&gt;"moeda")*(Inputs!$G$5:$G$110&lt;&gt;"acoes")))*INDEX(Inputs!$K$5:$AJ$110,0,MATCH(L$2,Inputs!$K$4:$AJ$4,0)))+SUMPRODUCT((Inputs!$E$5:$E$110=$B31)*Inputs!$F$5:$F$110*(((Inputs!$G$5:$G$110="moeda")+(Inputs!$G$5:$G$110="acoes"))*Inputs!$B$1+((Inputs!$G$5:$G$110&lt;&gt;"moeda")*(Inputs!$G$5:$G$110&lt;&gt;"acoes")))*INDEX(Inputs!$K$5:$AJ$110,0,MATCH(L$2,Inputs!$K$4:$AJ$4,0)))))</f>
        <v>567</v>
      </c>
      <c r="M31" s="268">
        <f>L31</f>
        <v>567</v>
      </c>
      <c r="N31" s="267">
        <f>IF(ISNA(MATCH(N$2,Inputs!$K$4:$AJ$4,0)),NA(),IF(SUMPRODUCT((Inputs!$A$5:$A$110=$B31)*ISNUMBER(INDEX(Inputs!$K$5:$AJ$110,0,MATCH(N$2,Inputs!$K$4:$AJ$4,0))))+SUMPRODUCT((Inputs!$C$5:$C$110=$B31)*ISNUMBER(INDEX(Inputs!$K$5:$AJ$110,0,MATCH(N$2,Inputs!$K$4:$AJ$4,0))))+SUMPRODUCT((Inputs!$E$5:$E$110=$B31)*ISNUMBER(INDEX(Inputs!$K$5:$AJ$110,0,MATCH(N$2,Inputs!$K$4:$AJ$4,0))))=0,NA(),SUMPRODUCT((Inputs!$A$5:$A$110=$B31)*Inputs!$B$5:$B$110*(((Inputs!$G$5:$G$110="moeda")+(Inputs!$G$5:$G$110="acoes"))*Inputs!$B$1+((Inputs!$G$5:$G$110&lt;&gt;"moeda")*(Inputs!$G$5:$G$110&lt;&gt;"acoes")))*INDEX(Inputs!$K$5:$AJ$110,0,MATCH(N$2,Inputs!$K$4:$AJ$4,0)))+SUMPRODUCT((Inputs!$C$5:$C$110=$B31)*Inputs!$D$5:$D$110*(((Inputs!$G$5:$G$110="moeda")+(Inputs!$G$5:$G$110="acoes"))*Inputs!$B$1+((Inputs!$G$5:$G$110&lt;&gt;"moeda")*(Inputs!$G$5:$G$110&lt;&gt;"acoes")))*INDEX(Inputs!$K$5:$AJ$110,0,MATCH(N$2,Inputs!$K$4:$AJ$4,0)))+SUMPRODUCT((Inputs!$E$5:$E$110=$B31)*Inputs!$F$5:$F$110*(((Inputs!$G$5:$G$110="moeda")+(Inputs!$G$5:$G$110="acoes"))*Inputs!$B$1+((Inputs!$G$5:$G$110&lt;&gt;"moeda")*(Inputs!$G$5:$G$110&lt;&gt;"acoes")))*INDEX(Inputs!$K$5:$AJ$110,0,MATCH(N$2,Inputs!$K$4:$AJ$4,0)))))</f>
        <v>5209</v>
      </c>
      <c r="O31" s="267">
        <f>IF(ISNA(MATCH(O$2,Inputs!$K$4:$AJ$4,0)),NA(),IF(SUMPRODUCT((Inputs!$A$5:$A$110=$B31)*ISNUMBER(INDEX(Inputs!$K$5:$AJ$110,0,MATCH(O$2,Inputs!$K$4:$AJ$4,0))))+SUMPRODUCT((Inputs!$C$5:$C$110=$B31)*ISNUMBER(INDEX(Inputs!$K$5:$AJ$110,0,MATCH(O$2,Inputs!$K$4:$AJ$4,0))))+SUMPRODUCT((Inputs!$E$5:$E$110=$B31)*ISNUMBER(INDEX(Inputs!$K$5:$AJ$110,0,MATCH(O$2,Inputs!$K$4:$AJ$4,0))))=0,NA(),SUMPRODUCT((Inputs!$A$5:$A$110=$B31)*Inputs!$B$5:$B$110*(((Inputs!$G$5:$G$110="moeda")+(Inputs!$G$5:$G$110="acoes"))*Inputs!$B$1+((Inputs!$G$5:$G$110&lt;&gt;"moeda")*(Inputs!$G$5:$G$110&lt;&gt;"acoes")))*INDEX(Inputs!$K$5:$AJ$110,0,MATCH(O$2,Inputs!$K$4:$AJ$4,0)))+SUMPRODUCT((Inputs!$C$5:$C$110=$B31)*Inputs!$D$5:$D$110*(((Inputs!$G$5:$G$110="moeda")+(Inputs!$G$5:$G$110="acoes"))*Inputs!$B$1+((Inputs!$G$5:$G$110&lt;&gt;"moeda")*(Inputs!$G$5:$G$110&lt;&gt;"acoes")))*INDEX(Inputs!$K$5:$AJ$110,0,MATCH(O$2,Inputs!$K$4:$AJ$4,0)))+SUMPRODUCT((Inputs!$E$5:$E$110=$B31)*Inputs!$F$5:$F$110*(((Inputs!$G$5:$G$110="moeda")+(Inputs!$G$5:$G$110="acoes"))*Inputs!$B$1+((Inputs!$G$5:$G$110&lt;&gt;"moeda")*(Inputs!$G$5:$G$110&lt;&gt;"acoes")))*INDEX(Inputs!$K$5:$AJ$110,0,MATCH(O$2,Inputs!$K$4:$AJ$4,0)))))</f>
        <v>3720</v>
      </c>
      <c r="P31" s="267">
        <f>IF(ISNA(MATCH(P$2,Inputs!$K$4:$AJ$4,0)),NA(),IF(SUMPRODUCT((Inputs!$A$5:$A$110=$B31)*ISNUMBER(INDEX(Inputs!$K$5:$AJ$110,0,MATCH(P$2,Inputs!$K$4:$AJ$4,0))))+SUMPRODUCT((Inputs!$C$5:$C$110=$B31)*ISNUMBER(INDEX(Inputs!$K$5:$AJ$110,0,MATCH(P$2,Inputs!$K$4:$AJ$4,0))))+SUMPRODUCT((Inputs!$E$5:$E$110=$B31)*ISNUMBER(INDEX(Inputs!$K$5:$AJ$110,0,MATCH(P$2,Inputs!$K$4:$AJ$4,0))))=0,NA(),SUMPRODUCT((Inputs!$A$5:$A$110=$B31)*Inputs!$B$5:$B$110*(((Inputs!$G$5:$G$110="moeda")+(Inputs!$G$5:$G$110="acoes"))*Inputs!$B$1+((Inputs!$G$5:$G$110&lt;&gt;"moeda")*(Inputs!$G$5:$G$110&lt;&gt;"acoes")))*INDEX(Inputs!$K$5:$AJ$110,0,MATCH(P$2,Inputs!$K$4:$AJ$4,0)))+SUMPRODUCT((Inputs!$C$5:$C$110=$B31)*Inputs!$D$5:$D$110*(((Inputs!$G$5:$G$110="moeda")+(Inputs!$G$5:$G$110="acoes"))*Inputs!$B$1+((Inputs!$G$5:$G$110&lt;&gt;"moeda")*(Inputs!$G$5:$G$110&lt;&gt;"acoes")))*INDEX(Inputs!$K$5:$AJ$110,0,MATCH(P$2,Inputs!$K$4:$AJ$4,0)))+SUMPRODUCT((Inputs!$E$5:$E$110=$B31)*Inputs!$F$5:$F$110*(((Inputs!$G$5:$G$110="moeda")+(Inputs!$G$5:$G$110="acoes"))*Inputs!$B$1+((Inputs!$G$5:$G$110&lt;&gt;"moeda")*(Inputs!$G$5:$G$110&lt;&gt;"acoes")))*INDEX(Inputs!$K$5:$AJ$110,0,MATCH(P$2,Inputs!$K$4:$AJ$4,0)))))</f>
        <v>2221</v>
      </c>
      <c r="Q31" s="267">
        <f>IF(ISNA(MATCH(Q$2,Inputs!$K$4:$AJ$4,0)),NA(),IF(SUMPRODUCT((Inputs!$A$5:$A$110=$B31)*ISNUMBER(INDEX(Inputs!$K$5:$AJ$110,0,MATCH(Q$2,Inputs!$K$4:$AJ$4,0))))+SUMPRODUCT((Inputs!$C$5:$C$110=$B31)*ISNUMBER(INDEX(Inputs!$K$5:$AJ$110,0,MATCH(Q$2,Inputs!$K$4:$AJ$4,0))))+SUMPRODUCT((Inputs!$E$5:$E$110=$B31)*ISNUMBER(INDEX(Inputs!$K$5:$AJ$110,0,MATCH(Q$2,Inputs!$K$4:$AJ$4,0))))=0,NA(),SUMPRODUCT((Inputs!$A$5:$A$110=$B31)*Inputs!$B$5:$B$110*(((Inputs!$G$5:$G$110="moeda")+(Inputs!$G$5:$G$110="acoes"))*Inputs!$B$1+((Inputs!$G$5:$G$110&lt;&gt;"moeda")*(Inputs!$G$5:$G$110&lt;&gt;"acoes")))*INDEX(Inputs!$K$5:$AJ$110,0,MATCH(Q$2,Inputs!$K$4:$AJ$4,0)))+SUMPRODUCT((Inputs!$C$5:$C$110=$B31)*Inputs!$D$5:$D$110*(((Inputs!$G$5:$G$110="moeda")+(Inputs!$G$5:$G$110="acoes"))*Inputs!$B$1+((Inputs!$G$5:$G$110&lt;&gt;"moeda")*(Inputs!$G$5:$G$110&lt;&gt;"acoes")))*INDEX(Inputs!$K$5:$AJ$110,0,MATCH(Q$2,Inputs!$K$4:$AJ$4,0)))+SUMPRODUCT((Inputs!$E$5:$E$110=$B31)*Inputs!$F$5:$F$110*(((Inputs!$G$5:$G$110="moeda")+(Inputs!$G$5:$G$110="acoes"))*Inputs!$B$1+((Inputs!$G$5:$G$110&lt;&gt;"moeda")*(Inputs!$G$5:$G$110&lt;&gt;"acoes")))*INDEX(Inputs!$K$5:$AJ$110,0,MATCH(Q$2,Inputs!$K$4:$AJ$4,0)))))</f>
        <v>725</v>
      </c>
      <c r="R31" s="268">
        <f>Q31</f>
        <v>725</v>
      </c>
      <c r="S31" s="267">
        <f>IF(ISNA(MATCH(S$2,Inputs!$K$4:$AJ$4,0)),NA(),IF(SUMPRODUCT((Inputs!$A$5:$A$110=$B31)*ISNUMBER(INDEX(Inputs!$K$5:$AJ$110,0,MATCH(S$2,Inputs!$K$4:$AJ$4,0))))+SUMPRODUCT((Inputs!$C$5:$C$110=$B31)*ISNUMBER(INDEX(Inputs!$K$5:$AJ$110,0,MATCH(S$2,Inputs!$K$4:$AJ$4,0))))+SUMPRODUCT((Inputs!$E$5:$E$110=$B31)*ISNUMBER(INDEX(Inputs!$K$5:$AJ$110,0,MATCH(S$2,Inputs!$K$4:$AJ$4,0))))=0,NA(),SUMPRODUCT((Inputs!$A$5:$A$110=$B31)*Inputs!$B$5:$B$110*(((Inputs!$G$5:$G$110="moeda")+(Inputs!$G$5:$G$110="acoes"))*Inputs!$B$1+((Inputs!$G$5:$G$110&lt;&gt;"moeda")*(Inputs!$G$5:$G$110&lt;&gt;"acoes")))*INDEX(Inputs!$K$5:$AJ$110,0,MATCH(S$2,Inputs!$K$4:$AJ$4,0)))+SUMPRODUCT((Inputs!$C$5:$C$110=$B31)*Inputs!$D$5:$D$110*(((Inputs!$G$5:$G$110="moeda")+(Inputs!$G$5:$G$110="acoes"))*Inputs!$B$1+((Inputs!$G$5:$G$110&lt;&gt;"moeda")*(Inputs!$G$5:$G$110&lt;&gt;"acoes")))*INDEX(Inputs!$K$5:$AJ$110,0,MATCH(S$2,Inputs!$K$4:$AJ$4,0)))+SUMPRODUCT((Inputs!$E$5:$E$110=$B31)*Inputs!$F$5:$F$110*(((Inputs!$G$5:$G$110="moeda")+(Inputs!$G$5:$G$110="acoes"))*Inputs!$B$1+((Inputs!$G$5:$G$110&lt;&gt;"moeda")*(Inputs!$G$5:$G$110&lt;&gt;"acoes")))*INDEX(Inputs!$K$5:$AJ$110,0,MATCH(S$2,Inputs!$K$4:$AJ$4,0)))))</f>
        <v>5857</v>
      </c>
      <c r="T31" s="267">
        <f>IF(ISNA(MATCH(T$2,Inputs!$K$4:$AJ$4,0)),NA(),IF(SUMPRODUCT((Inputs!$A$5:$A$110=$B31)*ISNUMBER(INDEX(Inputs!$K$5:$AJ$110,0,MATCH(T$2,Inputs!$K$4:$AJ$4,0))))+SUMPRODUCT((Inputs!$C$5:$C$110=$B31)*ISNUMBER(INDEX(Inputs!$K$5:$AJ$110,0,MATCH(T$2,Inputs!$K$4:$AJ$4,0))))+SUMPRODUCT((Inputs!$E$5:$E$110=$B31)*ISNUMBER(INDEX(Inputs!$K$5:$AJ$110,0,MATCH(T$2,Inputs!$K$4:$AJ$4,0))))=0,NA(),SUMPRODUCT((Inputs!$A$5:$A$110=$B31)*Inputs!$B$5:$B$110*(((Inputs!$G$5:$G$110="moeda")+(Inputs!$G$5:$G$110="acoes"))*Inputs!$B$1+((Inputs!$G$5:$G$110&lt;&gt;"moeda")*(Inputs!$G$5:$G$110&lt;&gt;"acoes")))*INDEX(Inputs!$K$5:$AJ$110,0,MATCH(T$2,Inputs!$K$4:$AJ$4,0)))+SUMPRODUCT((Inputs!$C$5:$C$110=$B31)*Inputs!$D$5:$D$110*(((Inputs!$G$5:$G$110="moeda")+(Inputs!$G$5:$G$110="acoes"))*Inputs!$B$1+((Inputs!$G$5:$G$110&lt;&gt;"moeda")*(Inputs!$G$5:$G$110&lt;&gt;"acoes")))*INDEX(Inputs!$K$5:$AJ$110,0,MATCH(T$2,Inputs!$K$4:$AJ$4,0)))+SUMPRODUCT((Inputs!$E$5:$E$110=$B31)*Inputs!$F$5:$F$110*(((Inputs!$G$5:$G$110="moeda")+(Inputs!$G$5:$G$110="acoes"))*Inputs!$B$1+((Inputs!$G$5:$G$110&lt;&gt;"moeda")*(Inputs!$G$5:$G$110&lt;&gt;"acoes")))*INDEX(Inputs!$K$5:$AJ$110,0,MATCH(T$2,Inputs!$K$4:$AJ$4,0)))))</f>
        <v>4129</v>
      </c>
      <c r="U31" s="267">
        <f>IF(ISNA(MATCH(U$2,Inputs!$K$4:$AJ$4,0)),NA(),IF(SUMPRODUCT((Inputs!$A$5:$A$110=$B31)*ISNUMBER(INDEX(Inputs!$K$5:$AJ$110,0,MATCH(U$2,Inputs!$K$4:$AJ$4,0))))+SUMPRODUCT((Inputs!$C$5:$C$110=$B31)*ISNUMBER(INDEX(Inputs!$K$5:$AJ$110,0,MATCH(U$2,Inputs!$K$4:$AJ$4,0))))+SUMPRODUCT((Inputs!$E$5:$E$110=$B31)*ISNUMBER(INDEX(Inputs!$K$5:$AJ$110,0,MATCH(U$2,Inputs!$K$4:$AJ$4,0))))=0,NA(),SUMPRODUCT((Inputs!$A$5:$A$110=$B31)*Inputs!$B$5:$B$110*(((Inputs!$G$5:$G$110="moeda")+(Inputs!$G$5:$G$110="acoes"))*Inputs!$B$1+((Inputs!$G$5:$G$110&lt;&gt;"moeda")*(Inputs!$G$5:$G$110&lt;&gt;"acoes")))*INDEX(Inputs!$K$5:$AJ$110,0,MATCH(U$2,Inputs!$K$4:$AJ$4,0)))+SUMPRODUCT((Inputs!$C$5:$C$110=$B31)*Inputs!$D$5:$D$110*(((Inputs!$G$5:$G$110="moeda")+(Inputs!$G$5:$G$110="acoes"))*Inputs!$B$1+((Inputs!$G$5:$G$110&lt;&gt;"moeda")*(Inputs!$G$5:$G$110&lt;&gt;"acoes")))*INDEX(Inputs!$K$5:$AJ$110,0,MATCH(U$2,Inputs!$K$4:$AJ$4,0)))+SUMPRODUCT((Inputs!$E$5:$E$110=$B31)*Inputs!$F$5:$F$110*(((Inputs!$G$5:$G$110="moeda")+(Inputs!$G$5:$G$110="acoes"))*Inputs!$B$1+((Inputs!$G$5:$G$110&lt;&gt;"moeda")*(Inputs!$G$5:$G$110&lt;&gt;"acoes")))*INDEX(Inputs!$K$5:$AJ$110,0,MATCH(U$2,Inputs!$K$4:$AJ$4,0)))))</f>
        <v>2463</v>
      </c>
      <c r="V31" s="267">
        <f>IF(ISNA(MATCH(V$2,Inputs!$K$4:$AJ$4,0)),NA(),IF(SUMPRODUCT((Inputs!$A$5:$A$110=$B31)*ISNUMBER(INDEX(Inputs!$K$5:$AJ$110,0,MATCH(V$2,Inputs!$K$4:$AJ$4,0))))+SUMPRODUCT((Inputs!$C$5:$C$110=$B31)*ISNUMBER(INDEX(Inputs!$K$5:$AJ$110,0,MATCH(V$2,Inputs!$K$4:$AJ$4,0))))+SUMPRODUCT((Inputs!$E$5:$E$110=$B31)*ISNUMBER(INDEX(Inputs!$K$5:$AJ$110,0,MATCH(V$2,Inputs!$K$4:$AJ$4,0))))=0,NA(),SUMPRODUCT((Inputs!$A$5:$A$110=$B31)*Inputs!$B$5:$B$110*(((Inputs!$G$5:$G$110="moeda")+(Inputs!$G$5:$G$110="acoes"))*Inputs!$B$1+((Inputs!$G$5:$G$110&lt;&gt;"moeda")*(Inputs!$G$5:$G$110&lt;&gt;"acoes")))*INDEX(Inputs!$K$5:$AJ$110,0,MATCH(V$2,Inputs!$K$4:$AJ$4,0)))+SUMPRODUCT((Inputs!$C$5:$C$110=$B31)*Inputs!$D$5:$D$110*(((Inputs!$G$5:$G$110="moeda")+(Inputs!$G$5:$G$110="acoes"))*Inputs!$B$1+((Inputs!$G$5:$G$110&lt;&gt;"moeda")*(Inputs!$G$5:$G$110&lt;&gt;"acoes")))*INDEX(Inputs!$K$5:$AJ$110,0,MATCH(V$2,Inputs!$K$4:$AJ$4,0)))+SUMPRODUCT((Inputs!$E$5:$E$110=$B31)*Inputs!$F$5:$F$110*(((Inputs!$G$5:$G$110="moeda")+(Inputs!$G$5:$G$110="acoes"))*Inputs!$B$1+((Inputs!$G$5:$G$110&lt;&gt;"moeda")*(Inputs!$G$5:$G$110&lt;&gt;"acoes")))*INDEX(Inputs!$K$5:$AJ$110,0,MATCH(V$2,Inputs!$K$4:$AJ$4,0)))))</f>
        <v>800</v>
      </c>
      <c r="W31" s="268">
        <f>V31</f>
        <v>800</v>
      </c>
      <c r="X31" s="267">
        <f>IF(ISNA(MATCH(X$2,Inputs!$K$4:$AJ$4,0)),NA(),IF(SUMPRODUCT((Inputs!$A$5:$A$110=$B31)*ISNUMBER(INDEX(Inputs!$K$5:$AJ$110,0,MATCH(X$2,Inputs!$K$4:$AJ$4,0))))+SUMPRODUCT((Inputs!$C$5:$C$110=$B31)*ISNUMBER(INDEX(Inputs!$K$5:$AJ$110,0,MATCH(X$2,Inputs!$K$4:$AJ$4,0))))+SUMPRODUCT((Inputs!$E$5:$E$110=$B31)*ISNUMBER(INDEX(Inputs!$K$5:$AJ$110,0,MATCH(X$2,Inputs!$K$4:$AJ$4,0))))=0,NA(),SUMPRODUCT((Inputs!$A$5:$A$110=$B31)*Inputs!$B$5:$B$110*(((Inputs!$G$5:$G$110="moeda")+(Inputs!$G$5:$G$110="acoes"))*Inputs!$B$1+((Inputs!$G$5:$G$110&lt;&gt;"moeda")*(Inputs!$G$5:$G$110&lt;&gt;"acoes")))*INDEX(Inputs!$K$5:$AJ$110,0,MATCH(X$2,Inputs!$K$4:$AJ$4,0)))+SUMPRODUCT((Inputs!$C$5:$C$110=$B31)*Inputs!$D$5:$D$110*(((Inputs!$G$5:$G$110="moeda")+(Inputs!$G$5:$G$110="acoes"))*Inputs!$B$1+((Inputs!$G$5:$G$110&lt;&gt;"moeda")*(Inputs!$G$5:$G$110&lt;&gt;"acoes")))*INDEX(Inputs!$K$5:$AJ$110,0,MATCH(X$2,Inputs!$K$4:$AJ$4,0)))+SUMPRODUCT((Inputs!$E$5:$E$110=$B31)*Inputs!$F$5:$F$110*(((Inputs!$G$5:$G$110="moeda")+(Inputs!$G$5:$G$110="acoes"))*Inputs!$B$1+((Inputs!$G$5:$G$110&lt;&gt;"moeda")*(Inputs!$G$5:$G$110&lt;&gt;"acoes")))*INDEX(Inputs!$K$5:$AJ$110,0,MATCH(X$2,Inputs!$K$4:$AJ$4,0)))))</f>
        <v>6451</v>
      </c>
      <c r="Y31" s="267">
        <f>IF(ISNA(MATCH(Y$2,Inputs!$K$4:$AJ$4,0)),NA(),IF(SUMPRODUCT((Inputs!$A$5:$A$110=$B31)*ISNUMBER(INDEX(Inputs!$K$5:$AJ$110,0,MATCH(Y$2,Inputs!$K$4:$AJ$4,0))))+SUMPRODUCT((Inputs!$C$5:$C$110=$B31)*ISNUMBER(INDEX(Inputs!$K$5:$AJ$110,0,MATCH(Y$2,Inputs!$K$4:$AJ$4,0))))+SUMPRODUCT((Inputs!$E$5:$E$110=$B31)*ISNUMBER(INDEX(Inputs!$K$5:$AJ$110,0,MATCH(Y$2,Inputs!$K$4:$AJ$4,0))))=0,NA(),SUMPRODUCT((Inputs!$A$5:$A$110=$B31)*Inputs!$B$5:$B$110*(((Inputs!$G$5:$G$110="moeda")+(Inputs!$G$5:$G$110="acoes"))*Inputs!$B$1+((Inputs!$G$5:$G$110&lt;&gt;"moeda")*(Inputs!$G$5:$G$110&lt;&gt;"acoes")))*INDEX(Inputs!$K$5:$AJ$110,0,MATCH(Y$2,Inputs!$K$4:$AJ$4,0)))+SUMPRODUCT((Inputs!$C$5:$C$110=$B31)*Inputs!$D$5:$D$110*(((Inputs!$G$5:$G$110="moeda")+(Inputs!$G$5:$G$110="acoes"))*Inputs!$B$1+((Inputs!$G$5:$G$110&lt;&gt;"moeda")*(Inputs!$G$5:$G$110&lt;&gt;"acoes")))*INDEX(Inputs!$K$5:$AJ$110,0,MATCH(Y$2,Inputs!$K$4:$AJ$4,0)))+SUMPRODUCT((Inputs!$E$5:$E$110=$B31)*Inputs!$F$5:$F$110*(((Inputs!$G$5:$G$110="moeda")+(Inputs!$G$5:$G$110="acoes"))*Inputs!$B$1+((Inputs!$G$5:$G$110&lt;&gt;"moeda")*(Inputs!$G$5:$G$110&lt;&gt;"acoes")))*INDEX(Inputs!$K$5:$AJ$110,0,MATCH(Y$2,Inputs!$K$4:$AJ$4,0)))))</f>
        <v>4611</v>
      </c>
      <c r="Z31" s="267">
        <f>IF(ISNA(MATCH(Z$2,Inputs!$K$4:$AJ$4,0)),NA(),IF(SUMPRODUCT((Inputs!$A$5:$A$110=$B31)*ISNUMBER(INDEX(Inputs!$K$5:$AJ$110,0,MATCH(Z$2,Inputs!$K$4:$AJ$4,0))))+SUMPRODUCT((Inputs!$C$5:$C$110=$B31)*ISNUMBER(INDEX(Inputs!$K$5:$AJ$110,0,MATCH(Z$2,Inputs!$K$4:$AJ$4,0))))+SUMPRODUCT((Inputs!$E$5:$E$110=$B31)*ISNUMBER(INDEX(Inputs!$K$5:$AJ$110,0,MATCH(Z$2,Inputs!$K$4:$AJ$4,0))))=0,NA(),SUMPRODUCT((Inputs!$A$5:$A$110=$B31)*Inputs!$B$5:$B$110*(((Inputs!$G$5:$G$110="moeda")+(Inputs!$G$5:$G$110="acoes"))*Inputs!$B$1+((Inputs!$G$5:$G$110&lt;&gt;"moeda")*(Inputs!$G$5:$G$110&lt;&gt;"acoes")))*INDEX(Inputs!$K$5:$AJ$110,0,MATCH(Z$2,Inputs!$K$4:$AJ$4,0)))+SUMPRODUCT((Inputs!$C$5:$C$110=$B31)*Inputs!$D$5:$D$110*(((Inputs!$G$5:$G$110="moeda")+(Inputs!$G$5:$G$110="acoes"))*Inputs!$B$1+((Inputs!$G$5:$G$110&lt;&gt;"moeda")*(Inputs!$G$5:$G$110&lt;&gt;"acoes")))*INDEX(Inputs!$K$5:$AJ$110,0,MATCH(Z$2,Inputs!$K$4:$AJ$4,0)))+SUMPRODUCT((Inputs!$E$5:$E$110=$B31)*Inputs!$F$5:$F$110*(((Inputs!$G$5:$G$110="moeda")+(Inputs!$G$5:$G$110="acoes"))*Inputs!$B$1+((Inputs!$G$5:$G$110&lt;&gt;"moeda")*(Inputs!$G$5:$G$110&lt;&gt;"acoes")))*INDEX(Inputs!$K$5:$AJ$110,0,MATCH(Z$2,Inputs!$K$4:$AJ$4,0)))))</f>
        <v>2750</v>
      </c>
      <c r="AA31" s="267">
        <f>IF(ISNA(MATCH(AA$2,Inputs!$K$4:$AJ$4,0)),NA(),IF(SUMPRODUCT((Inputs!$A$5:$A$110=$B31)*ISNUMBER(INDEX(Inputs!$K$5:$AJ$110,0,MATCH(AA$2,Inputs!$K$4:$AJ$4,0))))+SUMPRODUCT((Inputs!$C$5:$C$110=$B31)*ISNUMBER(INDEX(Inputs!$K$5:$AJ$110,0,MATCH(AA$2,Inputs!$K$4:$AJ$4,0))))+SUMPRODUCT((Inputs!$E$5:$E$110=$B31)*ISNUMBER(INDEX(Inputs!$K$5:$AJ$110,0,MATCH(AA$2,Inputs!$K$4:$AJ$4,0))))=0,NA(),SUMPRODUCT((Inputs!$A$5:$A$110=$B31)*Inputs!$B$5:$B$110*(((Inputs!$G$5:$G$110="moeda")+(Inputs!$G$5:$G$110="acoes"))*Inputs!$B$1+((Inputs!$G$5:$G$110&lt;&gt;"moeda")*(Inputs!$G$5:$G$110&lt;&gt;"acoes")))*INDEX(Inputs!$K$5:$AJ$110,0,MATCH(AA$2,Inputs!$K$4:$AJ$4,0)))+SUMPRODUCT((Inputs!$C$5:$C$110=$B31)*Inputs!$D$5:$D$110*(((Inputs!$G$5:$G$110="moeda")+(Inputs!$G$5:$G$110="acoes"))*Inputs!$B$1+((Inputs!$G$5:$G$110&lt;&gt;"moeda")*(Inputs!$G$5:$G$110&lt;&gt;"acoes")))*INDEX(Inputs!$K$5:$AJ$110,0,MATCH(AA$2,Inputs!$K$4:$AJ$4,0)))+SUMPRODUCT((Inputs!$E$5:$E$110=$B31)*Inputs!$F$5:$F$110*(((Inputs!$G$5:$G$110="moeda")+(Inputs!$G$5:$G$110="acoes"))*Inputs!$B$1+((Inputs!$G$5:$G$110&lt;&gt;"moeda")*(Inputs!$G$5:$G$110&lt;&gt;"acoes")))*INDEX(Inputs!$K$5:$AJ$110,0,MATCH(AA$2,Inputs!$K$4:$AJ$4,0)))))</f>
        <v>856</v>
      </c>
      <c r="AB31" s="268">
        <f>AA31</f>
        <v>856</v>
      </c>
      <c r="AC31" s="267">
        <f>IF(ISNA(MATCH(AC$2,Inputs!$K$4:$AJ$4,0)),NA(),IF(SUMPRODUCT((Inputs!$A$5:$A$110=$B31)*ISNUMBER(INDEX(Inputs!$K$5:$AJ$110,0,MATCH(AC$2,Inputs!$K$4:$AJ$4,0))))+SUMPRODUCT((Inputs!$C$5:$C$110=$B31)*ISNUMBER(INDEX(Inputs!$K$5:$AJ$110,0,MATCH(AC$2,Inputs!$K$4:$AJ$4,0))))+SUMPRODUCT((Inputs!$E$5:$E$110=$B31)*ISNUMBER(INDEX(Inputs!$K$5:$AJ$110,0,MATCH(AC$2,Inputs!$K$4:$AJ$4,0))))=0,NA(),SUMPRODUCT((Inputs!$A$5:$A$110=$B31)*Inputs!$B$5:$B$110*(((Inputs!$G$5:$G$110="moeda")+(Inputs!$G$5:$G$110="acoes"))*Inputs!$B$1+((Inputs!$G$5:$G$110&lt;&gt;"moeda")*(Inputs!$G$5:$G$110&lt;&gt;"acoes")))*INDEX(Inputs!$K$5:$AJ$110,0,MATCH(AC$2,Inputs!$K$4:$AJ$4,0)))+SUMPRODUCT((Inputs!$C$5:$C$110=$B31)*Inputs!$D$5:$D$110*(((Inputs!$G$5:$G$110="moeda")+(Inputs!$G$5:$G$110="acoes"))*Inputs!$B$1+((Inputs!$G$5:$G$110&lt;&gt;"moeda")*(Inputs!$G$5:$G$110&lt;&gt;"acoes")))*INDEX(Inputs!$K$5:$AJ$110,0,MATCH(AC$2,Inputs!$K$4:$AJ$4,0)))+SUMPRODUCT((Inputs!$E$5:$E$110=$B31)*Inputs!$F$5:$F$110*(((Inputs!$G$5:$G$110="moeda")+(Inputs!$G$5:$G$110="acoes"))*Inputs!$B$1+((Inputs!$G$5:$G$110&lt;&gt;"moeda")*(Inputs!$G$5:$G$110&lt;&gt;"acoes")))*INDEX(Inputs!$K$5:$AJ$110,0,MATCH(AC$2,Inputs!$K$4:$AJ$4,0)))))</f>
        <v>6772</v>
      </c>
      <c r="AD31" s="267">
        <f>IF(ISNA(MATCH(AD$2,Inputs!$K$4:$AJ$4,0)),NA(),IF(SUMPRODUCT((Inputs!$A$5:$A$110=$B31)*ISNUMBER(INDEX(Inputs!$K$5:$AJ$110,0,MATCH(AD$2,Inputs!$K$4:$AJ$4,0))))+SUMPRODUCT((Inputs!$C$5:$C$110=$B31)*ISNUMBER(INDEX(Inputs!$K$5:$AJ$110,0,MATCH(AD$2,Inputs!$K$4:$AJ$4,0))))+SUMPRODUCT((Inputs!$E$5:$E$110=$B31)*ISNUMBER(INDEX(Inputs!$K$5:$AJ$110,0,MATCH(AD$2,Inputs!$K$4:$AJ$4,0))))=0,NA(),SUMPRODUCT((Inputs!$A$5:$A$110=$B31)*Inputs!$B$5:$B$110*(((Inputs!$G$5:$G$110="moeda")+(Inputs!$G$5:$G$110="acoes"))*Inputs!$B$1+((Inputs!$G$5:$G$110&lt;&gt;"moeda")*(Inputs!$G$5:$G$110&lt;&gt;"acoes")))*INDEX(Inputs!$K$5:$AJ$110,0,MATCH(AD$2,Inputs!$K$4:$AJ$4,0)))+SUMPRODUCT((Inputs!$C$5:$C$110=$B31)*Inputs!$D$5:$D$110*(((Inputs!$G$5:$G$110="moeda")+(Inputs!$G$5:$G$110="acoes"))*Inputs!$B$1+((Inputs!$G$5:$G$110&lt;&gt;"moeda")*(Inputs!$G$5:$G$110&lt;&gt;"acoes")))*INDEX(Inputs!$K$5:$AJ$110,0,MATCH(AD$2,Inputs!$K$4:$AJ$4,0)))+SUMPRODUCT((Inputs!$E$5:$E$110=$B31)*Inputs!$F$5:$F$110*(((Inputs!$G$5:$G$110="moeda")+(Inputs!$G$5:$G$110="acoes"))*Inputs!$B$1+((Inputs!$G$5:$G$110&lt;&gt;"moeda")*(Inputs!$G$5:$G$110&lt;&gt;"acoes")))*INDEX(Inputs!$K$5:$AJ$110,0,MATCH(AD$2,Inputs!$K$4:$AJ$4,0)))))</f>
        <v>4829</v>
      </c>
      <c r="AE31" s="267" t="e">
        <f>IF(ISNA(MATCH(AE$2,Inputs!$K$4:$AJ$4,0)),NA(),IF(SUMPRODUCT((Inputs!$A$5:$A$110=$B31)*ISNUMBER(INDEX(Inputs!$K$5:$AJ$110,0,MATCH(AE$2,Inputs!$K$4:$AJ$4,0))))+SUMPRODUCT((Inputs!$C$5:$C$110=$B31)*ISNUMBER(INDEX(Inputs!$K$5:$AJ$110,0,MATCH(AE$2,Inputs!$K$4:$AJ$4,0))))+SUMPRODUCT((Inputs!$E$5:$E$110=$B31)*ISNUMBER(INDEX(Inputs!$K$5:$AJ$110,0,MATCH(AE$2,Inputs!$K$4:$AJ$4,0))))=0,NA(),SUMPRODUCT((Inputs!$A$5:$A$110=$B31)*Inputs!$B$5:$B$110*(((Inputs!$G$5:$G$110="moeda")+(Inputs!$G$5:$G$110="acoes"))*Inputs!$B$1+((Inputs!$G$5:$G$110&lt;&gt;"moeda")*(Inputs!$G$5:$G$110&lt;&gt;"acoes")))*INDEX(Inputs!$K$5:$AJ$110,0,MATCH(AE$2,Inputs!$K$4:$AJ$4,0)))+SUMPRODUCT((Inputs!$C$5:$C$110=$B31)*Inputs!$D$5:$D$110*(((Inputs!$G$5:$G$110="moeda")+(Inputs!$G$5:$G$110="acoes"))*Inputs!$B$1+((Inputs!$G$5:$G$110&lt;&gt;"moeda")*(Inputs!$G$5:$G$110&lt;&gt;"acoes")))*INDEX(Inputs!$K$5:$AJ$110,0,MATCH(AE$2,Inputs!$K$4:$AJ$4,0)))+SUMPRODUCT((Inputs!$E$5:$E$110=$B31)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1" s="267" t="e">
        <f>IF(ISNA(MATCH(AF$2,Inputs!$K$4:$AJ$4,0)),NA(),IF(SUMPRODUCT((Inputs!$A$5:$A$110=$B31)*ISNUMBER(INDEX(Inputs!$K$5:$AJ$110,0,MATCH(AF$2,Inputs!$K$4:$AJ$4,0))))+SUMPRODUCT((Inputs!$C$5:$C$110=$B31)*ISNUMBER(INDEX(Inputs!$K$5:$AJ$110,0,MATCH(AF$2,Inputs!$K$4:$AJ$4,0))))+SUMPRODUCT((Inputs!$E$5:$E$110=$B31)*ISNUMBER(INDEX(Inputs!$K$5:$AJ$110,0,MATCH(AF$2,Inputs!$K$4:$AJ$4,0))))=0,NA(),SUMPRODUCT((Inputs!$A$5:$A$110=$B31)*Inputs!$B$5:$B$110*(((Inputs!$G$5:$G$110="moeda")+(Inputs!$G$5:$G$110="acoes"))*Inputs!$B$1+((Inputs!$G$5:$G$110&lt;&gt;"moeda")*(Inputs!$G$5:$G$110&lt;&gt;"acoes")))*INDEX(Inputs!$K$5:$AJ$110,0,MATCH(AF$2,Inputs!$K$4:$AJ$4,0)))+SUMPRODUCT((Inputs!$C$5:$C$110=$B31)*Inputs!$D$5:$D$110*(((Inputs!$G$5:$G$110="moeda")+(Inputs!$G$5:$G$110="acoes"))*Inputs!$B$1+((Inputs!$G$5:$G$110&lt;&gt;"moeda")*(Inputs!$G$5:$G$110&lt;&gt;"acoes")))*INDEX(Inputs!$K$5:$AJ$110,0,MATCH(AF$2,Inputs!$K$4:$AJ$4,0)))+SUMPRODUCT((Inputs!$E$5:$E$110=$B31)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1" s="268" t="e">
        <f>AF31</f>
        <v>#N/A</v>
      </c>
      <c r="AH31" s="267">
        <f>IF(ISNA(MATCH(AH$2,Inputs!$K$4:$AJ$4,0)),NA(),IF(SUMPRODUCT((Inputs!$A$5:$A$110=$B31)*ISNUMBER(INDEX(Inputs!$K$5:$AJ$110,0,MATCH(AH$2,Inputs!$K$4:$AJ$4,0))))+SUMPRODUCT((Inputs!$C$5:$C$110=$B31)*ISNUMBER(INDEX(Inputs!$K$5:$AJ$110,0,MATCH(AH$2,Inputs!$K$4:$AJ$4,0))))+SUMPRODUCT((Inputs!$E$5:$E$110=$B31)*ISNUMBER(INDEX(Inputs!$K$5:$AJ$110,0,MATCH(AH$2,Inputs!$K$4:$AJ$4,0))))=0,NA(),SUMPRODUCT((Inputs!$A$5:$A$110=$B31)*Inputs!$B$5:$B$110*(((Inputs!$G$5:$G$110="moeda")+(Inputs!$G$5:$G$110="acoes"))*Inputs!$B$1+((Inputs!$G$5:$G$110&lt;&gt;"moeda")*(Inputs!$G$5:$G$110&lt;&gt;"acoes")))*INDEX(Inputs!$K$5:$AJ$110,0,MATCH(AH$2,Inputs!$K$4:$AJ$4,0)))+SUMPRODUCT((Inputs!$C$5:$C$110=$B31)*Inputs!$D$5:$D$110*(((Inputs!$G$5:$G$110="moeda")+(Inputs!$G$5:$G$110="acoes"))*Inputs!$B$1+((Inputs!$G$5:$G$110&lt;&gt;"moeda")*(Inputs!$G$5:$G$110&lt;&gt;"acoes")))*INDEX(Inputs!$K$5:$AJ$110,0,MATCH(AH$2,Inputs!$K$4:$AJ$4,0)))+SUMPRODUCT((Inputs!$E$5:$E$110=$B31)*Inputs!$F$5:$F$110*(((Inputs!$G$5:$G$110="moeda")+(Inputs!$G$5:$G$110="acoes"))*Inputs!$B$1+((Inputs!$G$5:$G$110&lt;&gt;"moeda")*(Inputs!$G$5:$G$110&lt;&gt;"acoes")))*INDEX(Inputs!$K$5:$AJ$110,0,MATCH(AH$2,Inputs!$K$4:$AJ$4,0)))))</f>
        <v>5111</v>
      </c>
      <c r="AI31" s="267">
        <f>IF(ISNA(MATCH(AI$2,Inputs!$K$4:$AJ$4,0)),NA(),IF(SUMPRODUCT((Inputs!$A$5:$A$110=$B31)*ISNUMBER(INDEX(Inputs!$K$5:$AJ$110,0,MATCH(AI$2,Inputs!$K$4:$AJ$4,0))))+SUMPRODUCT((Inputs!$C$5:$C$110=$B31)*ISNUMBER(INDEX(Inputs!$K$5:$AJ$110,0,MATCH(AI$2,Inputs!$K$4:$AJ$4,0))))+SUMPRODUCT((Inputs!$E$5:$E$110=$B31)*ISNUMBER(INDEX(Inputs!$K$5:$AJ$110,0,MATCH(AI$2,Inputs!$K$4:$AJ$4,0))))=0,NA(),SUMPRODUCT((Inputs!$A$5:$A$110=$B31)*Inputs!$B$5:$B$110*(((Inputs!$G$5:$G$110="moeda")+(Inputs!$G$5:$G$110="acoes"))*Inputs!$B$1+((Inputs!$G$5:$G$110&lt;&gt;"moeda")*(Inputs!$G$5:$G$110&lt;&gt;"acoes")))*INDEX(Inputs!$K$5:$AJ$110,0,MATCH(AI$2,Inputs!$K$4:$AJ$4,0)))+SUMPRODUCT((Inputs!$C$5:$C$110=$B31)*Inputs!$D$5:$D$110*(((Inputs!$G$5:$G$110="moeda")+(Inputs!$G$5:$G$110="acoes"))*Inputs!$B$1+((Inputs!$G$5:$G$110&lt;&gt;"moeda")*(Inputs!$G$5:$G$110&lt;&gt;"acoes")))*INDEX(Inputs!$K$5:$AJ$110,0,MATCH(AI$2,Inputs!$K$4:$AJ$4,0)))+SUMPRODUCT((Inputs!$E$5:$E$110=$B31)*Inputs!$F$5:$F$110*(((Inputs!$G$5:$G$110="moeda")+(Inputs!$G$5:$G$110="acoes"))*Inputs!$B$1+((Inputs!$G$5:$G$110&lt;&gt;"moeda")*(Inputs!$G$5:$G$110&lt;&gt;"acoes")))*INDEX(Inputs!$K$5:$AJ$110,0,MATCH(AI$2,Inputs!$K$4:$AJ$4,0)))))</f>
        <v>3609</v>
      </c>
      <c r="AJ31" s="267">
        <f>IF(ISNA(MATCH(AJ$2,Inputs!$K$4:$AJ$4,0)),NA(),IF(SUMPRODUCT((Inputs!$A$5:$A$110=$B31)*ISNUMBER(INDEX(Inputs!$K$5:$AJ$110,0,MATCH(AJ$2,Inputs!$K$4:$AJ$4,0))))+SUMPRODUCT((Inputs!$C$5:$C$110=$B31)*ISNUMBER(INDEX(Inputs!$K$5:$AJ$110,0,MATCH(AJ$2,Inputs!$K$4:$AJ$4,0))))+SUMPRODUCT((Inputs!$E$5:$E$110=$B31)*ISNUMBER(INDEX(Inputs!$K$5:$AJ$110,0,MATCH(AJ$2,Inputs!$K$4:$AJ$4,0))))=0,NA(),SUMPRODUCT((Inputs!$A$5:$A$110=$B31)*Inputs!$B$5:$B$110*(((Inputs!$G$5:$G$110="moeda")+(Inputs!$G$5:$G$110="acoes"))*Inputs!$B$1+((Inputs!$G$5:$G$110&lt;&gt;"moeda")*(Inputs!$G$5:$G$110&lt;&gt;"acoes")))*INDEX(Inputs!$K$5:$AJ$110,0,MATCH(AJ$2,Inputs!$K$4:$AJ$4,0)))+SUMPRODUCT((Inputs!$C$5:$C$110=$B31)*Inputs!$D$5:$D$110*(((Inputs!$G$5:$G$110="moeda")+(Inputs!$G$5:$G$110="acoes"))*Inputs!$B$1+((Inputs!$G$5:$G$110&lt;&gt;"moeda")*(Inputs!$G$5:$G$110&lt;&gt;"acoes")))*INDEX(Inputs!$K$5:$AJ$110,0,MATCH(AJ$2,Inputs!$K$4:$AJ$4,0)))+SUMPRODUCT((Inputs!$E$5:$E$110=$B31)*Inputs!$F$5:$F$110*(((Inputs!$G$5:$G$110="moeda")+(Inputs!$G$5:$G$110="acoes"))*Inputs!$B$1+((Inputs!$G$5:$G$110&lt;&gt;"moeda")*(Inputs!$G$5:$G$110&lt;&gt;"acoes")))*INDEX(Inputs!$K$5:$AJ$110,0,MATCH(AJ$2,Inputs!$K$4:$AJ$4,0)))))</f>
        <v>2103</v>
      </c>
      <c r="AK31" s="267">
        <f>IF(ISNA(MATCH(AK$2,Inputs!$K$4:$AJ$4,0)),NA(),IF(SUMPRODUCT((Inputs!$A$5:$A$110=$B31)*ISNUMBER(INDEX(Inputs!$K$5:$AJ$110,0,MATCH(AK$2,Inputs!$K$4:$AJ$4,0))))+SUMPRODUCT((Inputs!$C$5:$C$110=$B31)*ISNUMBER(INDEX(Inputs!$K$5:$AJ$110,0,MATCH(AK$2,Inputs!$K$4:$AJ$4,0))))+SUMPRODUCT((Inputs!$E$5:$E$110=$B31)*ISNUMBER(INDEX(Inputs!$K$5:$AJ$110,0,MATCH(AK$2,Inputs!$K$4:$AJ$4,0))))=0,NA(),SUMPRODUCT((Inputs!$A$5:$A$110=$B31)*Inputs!$B$5:$B$110*(((Inputs!$G$5:$G$110="moeda")+(Inputs!$G$5:$G$110="acoes"))*Inputs!$B$1+((Inputs!$G$5:$G$110&lt;&gt;"moeda")*(Inputs!$G$5:$G$110&lt;&gt;"acoes")))*INDEX(Inputs!$K$5:$AJ$110,0,MATCH(AK$2,Inputs!$K$4:$AJ$4,0)))+SUMPRODUCT((Inputs!$C$5:$C$110=$B31)*Inputs!$D$5:$D$110*(((Inputs!$G$5:$G$110="moeda")+(Inputs!$G$5:$G$110="acoes"))*Inputs!$B$1+((Inputs!$G$5:$G$110&lt;&gt;"moeda")*(Inputs!$G$5:$G$110&lt;&gt;"acoes")))*INDEX(Inputs!$K$5:$AJ$110,0,MATCH(AK$2,Inputs!$K$4:$AJ$4,0)))+SUMPRODUCT((Inputs!$E$5:$E$110=$B31)*Inputs!$F$5:$F$110*(((Inputs!$G$5:$G$110="moeda")+(Inputs!$G$5:$G$110="acoes"))*Inputs!$B$1+((Inputs!$G$5:$G$110&lt;&gt;"moeda")*(Inputs!$G$5:$G$110&lt;&gt;"acoes")))*INDEX(Inputs!$K$5:$AJ$110,0,MATCH(AK$2,Inputs!$K$4:$AJ$4,0)))))</f>
        <v>491</v>
      </c>
      <c r="AL31" s="268">
        <f>AK31</f>
        <v>491</v>
      </c>
    </row>
    <row r="32" ht="12.75" customHeight="1" s="255">
      <c r="B32" s="265" t="n">
        <v>27</v>
      </c>
      <c r="C32" s="270" t="inlineStr">
        <is>
          <t>Current portion of long-term debt</t>
        </is>
      </c>
      <c r="D32" s="267">
        <f>IF(ISNA(MATCH(D$2,Inputs!$K$4:$AJ$4,0)),NA(),IF(SUMPRODUCT((Inputs!$A$5:$A$110=$B32)*ISNUMBER(INDEX(Inputs!$K$5:$AJ$110,0,MATCH(D$2,Inputs!$K$4:$AJ$4,0))))+SUMPRODUCT((Inputs!$C$5:$C$110=$B32)*ISNUMBER(INDEX(Inputs!$K$5:$AJ$110,0,MATCH(D$2,Inputs!$K$4:$AJ$4,0))))+SUMPRODUCT((Inputs!$E$5:$E$110=$B32)*ISNUMBER(INDEX(Inputs!$K$5:$AJ$110,0,MATCH(D$2,Inputs!$K$4:$AJ$4,0))))=0,NA(),SUMPRODUCT((Inputs!$A$5:$A$110=$B32)*Inputs!$B$5:$B$110*(((Inputs!$G$5:$G$110="moeda")+(Inputs!$G$5:$G$110="acoes"))*Inputs!$B$1+((Inputs!$G$5:$G$110&lt;&gt;"moeda")*(Inputs!$G$5:$G$110&lt;&gt;"acoes")))*INDEX(Inputs!$K$5:$AJ$110,0,MATCH(D$2,Inputs!$K$4:$AJ$4,0)))+SUMPRODUCT((Inputs!$C$5:$C$110=$B32)*Inputs!$D$5:$D$110*(((Inputs!$G$5:$G$110="moeda")+(Inputs!$G$5:$G$110="acoes"))*Inputs!$B$1+((Inputs!$G$5:$G$110&lt;&gt;"moeda")*(Inputs!$G$5:$G$110&lt;&gt;"acoes")))*INDEX(Inputs!$K$5:$AJ$110,0,MATCH(D$2,Inputs!$K$4:$AJ$4,0)))+SUMPRODUCT((Inputs!$E$5:$E$110=$B32)*Inputs!$F$5:$F$110*(((Inputs!$G$5:$G$110="moeda")+(Inputs!$G$5:$G$110="acoes"))*Inputs!$B$1+((Inputs!$G$5:$G$110&lt;&gt;"moeda")*(Inputs!$G$5:$G$110&lt;&gt;"acoes")))*INDEX(Inputs!$K$5:$AJ$110,0,MATCH(D$2,Inputs!$K$4:$AJ$4,0)))))</f>
        <v>3862</v>
      </c>
      <c r="E32" s="267">
        <f>IF(ISNA(MATCH(E$2,Inputs!$K$4:$AJ$4,0)),NA(),IF(SUMPRODUCT((Inputs!$A$5:$A$110=$B32)*ISNUMBER(INDEX(Inputs!$K$5:$AJ$110,0,MATCH(E$2,Inputs!$K$4:$AJ$4,0))))+SUMPRODUCT((Inputs!$C$5:$C$110=$B32)*ISNUMBER(INDEX(Inputs!$K$5:$AJ$110,0,MATCH(E$2,Inputs!$K$4:$AJ$4,0))))+SUMPRODUCT((Inputs!$E$5:$E$110=$B32)*ISNUMBER(INDEX(Inputs!$K$5:$AJ$110,0,MATCH(E$2,Inputs!$K$4:$AJ$4,0))))=0,NA(),SUMPRODUCT((Inputs!$A$5:$A$110=$B32)*Inputs!$B$5:$B$110*(((Inputs!$G$5:$G$110="moeda")+(Inputs!$G$5:$G$110="acoes"))*Inputs!$B$1+((Inputs!$G$5:$G$110&lt;&gt;"moeda")*(Inputs!$G$5:$G$110&lt;&gt;"acoes")))*INDEX(Inputs!$K$5:$AJ$110,0,MATCH(E$2,Inputs!$K$4:$AJ$4,0)))+SUMPRODUCT((Inputs!$C$5:$C$110=$B32)*Inputs!$D$5:$D$110*(((Inputs!$G$5:$G$110="moeda")+(Inputs!$G$5:$G$110="acoes"))*Inputs!$B$1+((Inputs!$G$5:$G$110&lt;&gt;"moeda")*(Inputs!$G$5:$G$110&lt;&gt;"acoes")))*INDEX(Inputs!$K$5:$AJ$110,0,MATCH(E$2,Inputs!$K$4:$AJ$4,0)))+SUMPRODUCT((Inputs!$E$5:$E$110=$B32)*Inputs!$F$5:$F$110*(((Inputs!$G$5:$G$110="moeda")+(Inputs!$G$5:$G$110="acoes"))*Inputs!$B$1+((Inputs!$G$5:$G$110&lt;&gt;"moeda")*(Inputs!$G$5:$G$110&lt;&gt;"acoes")))*INDEX(Inputs!$K$5:$AJ$110,0,MATCH(E$2,Inputs!$K$4:$AJ$4,0)))))</f>
        <v>2288</v>
      </c>
      <c r="F32" s="267">
        <f>IF(ISNA(MATCH(F$2,Inputs!$K$4:$AJ$4,0)),NA(),IF(SUMPRODUCT((Inputs!$A$5:$A$110=$B32)*ISNUMBER(INDEX(Inputs!$K$5:$AJ$110,0,MATCH(F$2,Inputs!$K$4:$AJ$4,0))))+SUMPRODUCT((Inputs!$C$5:$C$110=$B32)*ISNUMBER(INDEX(Inputs!$K$5:$AJ$110,0,MATCH(F$2,Inputs!$K$4:$AJ$4,0))))+SUMPRODUCT((Inputs!$E$5:$E$110=$B32)*ISNUMBER(INDEX(Inputs!$K$5:$AJ$110,0,MATCH(F$2,Inputs!$K$4:$AJ$4,0))))=0,NA(),SUMPRODUCT((Inputs!$A$5:$A$110=$B32)*Inputs!$B$5:$B$110*(((Inputs!$G$5:$G$110="moeda")+(Inputs!$G$5:$G$110="acoes"))*Inputs!$B$1+((Inputs!$G$5:$G$110&lt;&gt;"moeda")*(Inputs!$G$5:$G$110&lt;&gt;"acoes")))*INDEX(Inputs!$K$5:$AJ$110,0,MATCH(F$2,Inputs!$K$4:$AJ$4,0)))+SUMPRODUCT((Inputs!$C$5:$C$110=$B32)*Inputs!$D$5:$D$110*(((Inputs!$G$5:$G$110="moeda")+(Inputs!$G$5:$G$110="acoes"))*Inputs!$B$1+((Inputs!$G$5:$G$110&lt;&gt;"moeda")*(Inputs!$G$5:$G$110&lt;&gt;"acoes")))*INDEX(Inputs!$K$5:$AJ$110,0,MATCH(F$2,Inputs!$K$4:$AJ$4,0)))+SUMPRODUCT((Inputs!$E$5:$E$110=$B32)*Inputs!$F$5:$F$110*(((Inputs!$G$5:$G$110="moeda")+(Inputs!$G$5:$G$110="acoes"))*Inputs!$B$1+((Inputs!$G$5:$G$110&lt;&gt;"moeda")*(Inputs!$G$5:$G$110&lt;&gt;"acoes")))*INDEX(Inputs!$K$5:$AJ$110,0,MATCH(F$2,Inputs!$K$4:$AJ$4,0)))))</f>
        <v>2022</v>
      </c>
      <c r="G32" s="267">
        <f>IF(ISNA(MATCH(G$2,Inputs!$K$4:$AJ$4,0)),NA(),IF(SUMPRODUCT((Inputs!$A$5:$A$110=$B32)*ISNUMBER(INDEX(Inputs!$K$5:$AJ$110,0,MATCH(G$2,Inputs!$K$4:$AJ$4,0))))+SUMPRODUCT((Inputs!$C$5:$C$110=$B32)*ISNUMBER(INDEX(Inputs!$K$5:$AJ$110,0,MATCH(G$2,Inputs!$K$4:$AJ$4,0))))+SUMPRODUCT((Inputs!$E$5:$E$110=$B32)*ISNUMBER(INDEX(Inputs!$K$5:$AJ$110,0,MATCH(G$2,Inputs!$K$4:$AJ$4,0))))=0,NA(),SUMPRODUCT((Inputs!$A$5:$A$110=$B32)*Inputs!$B$5:$B$110*(((Inputs!$G$5:$G$110="moeda")+(Inputs!$G$5:$G$110="acoes"))*Inputs!$B$1+((Inputs!$G$5:$G$110&lt;&gt;"moeda")*(Inputs!$G$5:$G$110&lt;&gt;"acoes")))*INDEX(Inputs!$K$5:$AJ$110,0,MATCH(G$2,Inputs!$K$4:$AJ$4,0)))+SUMPRODUCT((Inputs!$C$5:$C$110=$B32)*Inputs!$D$5:$D$110*(((Inputs!$G$5:$G$110="moeda")+(Inputs!$G$5:$G$110="acoes"))*Inputs!$B$1+((Inputs!$G$5:$G$110&lt;&gt;"moeda")*(Inputs!$G$5:$G$110&lt;&gt;"acoes")))*INDEX(Inputs!$K$5:$AJ$110,0,MATCH(G$2,Inputs!$K$4:$AJ$4,0)))+SUMPRODUCT((Inputs!$E$5:$E$110=$B32)*Inputs!$F$5:$F$110*(((Inputs!$G$5:$G$110="moeda")+(Inputs!$G$5:$G$110="acoes"))*Inputs!$B$1+((Inputs!$G$5:$G$110&lt;&gt;"moeda")*(Inputs!$G$5:$G$110&lt;&gt;"acoes")))*INDEX(Inputs!$K$5:$AJ$110,0,MATCH(G$2,Inputs!$K$4:$AJ$4,0)))))</f>
        <v>3213</v>
      </c>
      <c r="H32" s="268">
        <f>G32</f>
        <v>3213</v>
      </c>
      <c r="I32" s="267">
        <f>IF(ISNA(MATCH(I$2,Inputs!$K$4:$AJ$4,0)),NA(),IF(SUMPRODUCT((Inputs!$A$5:$A$110=$B32)*ISNUMBER(INDEX(Inputs!$K$5:$AJ$110,0,MATCH(I$2,Inputs!$K$4:$AJ$4,0))))+SUMPRODUCT((Inputs!$C$5:$C$110=$B32)*ISNUMBER(INDEX(Inputs!$K$5:$AJ$110,0,MATCH(I$2,Inputs!$K$4:$AJ$4,0))))+SUMPRODUCT((Inputs!$E$5:$E$110=$B32)*ISNUMBER(INDEX(Inputs!$K$5:$AJ$110,0,MATCH(I$2,Inputs!$K$4:$AJ$4,0))))=0,NA(),SUMPRODUCT((Inputs!$A$5:$A$110=$B32)*Inputs!$B$5:$B$110*(((Inputs!$G$5:$G$110="moeda")+(Inputs!$G$5:$G$110="acoes"))*Inputs!$B$1+((Inputs!$G$5:$G$110&lt;&gt;"moeda")*(Inputs!$G$5:$G$110&lt;&gt;"acoes")))*INDEX(Inputs!$K$5:$AJ$110,0,MATCH(I$2,Inputs!$K$4:$AJ$4,0)))+SUMPRODUCT((Inputs!$C$5:$C$110=$B32)*Inputs!$D$5:$D$110*(((Inputs!$G$5:$G$110="moeda")+(Inputs!$G$5:$G$110="acoes"))*Inputs!$B$1+((Inputs!$G$5:$G$110&lt;&gt;"moeda")*(Inputs!$G$5:$G$110&lt;&gt;"acoes")))*INDEX(Inputs!$K$5:$AJ$110,0,MATCH(I$2,Inputs!$K$4:$AJ$4,0)))+SUMPRODUCT((Inputs!$E$5:$E$110=$B32)*Inputs!$F$5:$F$110*(((Inputs!$G$5:$G$110="moeda")+(Inputs!$G$5:$G$110="acoes"))*Inputs!$B$1+((Inputs!$G$5:$G$110&lt;&gt;"moeda")*(Inputs!$G$5:$G$110&lt;&gt;"acoes")))*INDEX(Inputs!$K$5:$AJ$110,0,MATCH(I$2,Inputs!$K$4:$AJ$4,0)))))</f>
        <v>15012</v>
      </c>
      <c r="J32" s="267">
        <f>IF(ISNA(MATCH(J$2,Inputs!$K$4:$AJ$4,0)),NA(),IF(SUMPRODUCT((Inputs!$A$5:$A$110=$B32)*ISNUMBER(INDEX(Inputs!$K$5:$AJ$110,0,MATCH(J$2,Inputs!$K$4:$AJ$4,0))))+SUMPRODUCT((Inputs!$C$5:$C$110=$B32)*ISNUMBER(INDEX(Inputs!$K$5:$AJ$110,0,MATCH(J$2,Inputs!$K$4:$AJ$4,0))))+SUMPRODUCT((Inputs!$E$5:$E$110=$B32)*ISNUMBER(INDEX(Inputs!$K$5:$AJ$110,0,MATCH(J$2,Inputs!$K$4:$AJ$4,0))))=0,NA(),SUMPRODUCT((Inputs!$A$5:$A$110=$B32)*Inputs!$B$5:$B$110*(((Inputs!$G$5:$G$110="moeda")+(Inputs!$G$5:$G$110="acoes"))*Inputs!$B$1+((Inputs!$G$5:$G$110&lt;&gt;"moeda")*(Inputs!$G$5:$G$110&lt;&gt;"acoes")))*INDEX(Inputs!$K$5:$AJ$110,0,MATCH(J$2,Inputs!$K$4:$AJ$4,0)))+SUMPRODUCT((Inputs!$C$5:$C$110=$B32)*Inputs!$D$5:$D$110*(((Inputs!$G$5:$G$110="moeda")+(Inputs!$G$5:$G$110="acoes"))*Inputs!$B$1+((Inputs!$G$5:$G$110&lt;&gt;"moeda")*(Inputs!$G$5:$G$110&lt;&gt;"acoes")))*INDEX(Inputs!$K$5:$AJ$110,0,MATCH(J$2,Inputs!$K$4:$AJ$4,0)))+SUMPRODUCT((Inputs!$E$5:$E$110=$B32)*Inputs!$F$5:$F$110*(((Inputs!$G$5:$G$110="moeda")+(Inputs!$G$5:$G$110="acoes"))*Inputs!$B$1+((Inputs!$G$5:$G$110&lt;&gt;"moeda")*(Inputs!$G$5:$G$110&lt;&gt;"acoes")))*INDEX(Inputs!$K$5:$AJ$110,0,MATCH(J$2,Inputs!$K$4:$AJ$4,0)))))</f>
        <v>15950</v>
      </c>
      <c r="K32" s="267">
        <f>IF(ISNA(MATCH(K$2,Inputs!$K$4:$AJ$4,0)),NA(),IF(SUMPRODUCT((Inputs!$A$5:$A$110=$B32)*ISNUMBER(INDEX(Inputs!$K$5:$AJ$110,0,MATCH(K$2,Inputs!$K$4:$AJ$4,0))))+SUMPRODUCT((Inputs!$C$5:$C$110=$B32)*ISNUMBER(INDEX(Inputs!$K$5:$AJ$110,0,MATCH(K$2,Inputs!$K$4:$AJ$4,0))))+SUMPRODUCT((Inputs!$E$5:$E$110=$B32)*ISNUMBER(INDEX(Inputs!$K$5:$AJ$110,0,MATCH(K$2,Inputs!$K$4:$AJ$4,0))))=0,NA(),SUMPRODUCT((Inputs!$A$5:$A$110=$B32)*Inputs!$B$5:$B$110*(((Inputs!$G$5:$G$110="moeda")+(Inputs!$G$5:$G$110="acoes"))*Inputs!$B$1+((Inputs!$G$5:$G$110&lt;&gt;"moeda")*(Inputs!$G$5:$G$110&lt;&gt;"acoes")))*INDEX(Inputs!$K$5:$AJ$110,0,MATCH(K$2,Inputs!$K$4:$AJ$4,0)))+SUMPRODUCT((Inputs!$C$5:$C$110=$B32)*Inputs!$D$5:$D$110*(((Inputs!$G$5:$G$110="moeda")+(Inputs!$G$5:$G$110="acoes"))*Inputs!$B$1+((Inputs!$G$5:$G$110&lt;&gt;"moeda")*(Inputs!$G$5:$G$110&lt;&gt;"acoes")))*INDEX(Inputs!$K$5:$AJ$110,0,MATCH(K$2,Inputs!$K$4:$AJ$4,0)))+SUMPRODUCT((Inputs!$E$5:$E$110=$B32)*Inputs!$F$5:$F$110*(((Inputs!$G$5:$G$110="moeda")+(Inputs!$G$5:$G$110="acoes"))*Inputs!$B$1+((Inputs!$G$5:$G$110&lt;&gt;"moeda")*(Inputs!$G$5:$G$110&lt;&gt;"acoes")))*INDEX(Inputs!$K$5:$AJ$110,0,MATCH(K$2,Inputs!$K$4:$AJ$4,0)))))</f>
        <v>12269</v>
      </c>
      <c r="L32" s="267">
        <f>IF(ISNA(MATCH(L$2,Inputs!$K$4:$AJ$4,0)),NA(),IF(SUMPRODUCT((Inputs!$A$5:$A$110=$B32)*ISNUMBER(INDEX(Inputs!$K$5:$AJ$110,0,MATCH(L$2,Inputs!$K$4:$AJ$4,0))))+SUMPRODUCT((Inputs!$C$5:$C$110=$B32)*ISNUMBER(INDEX(Inputs!$K$5:$AJ$110,0,MATCH(L$2,Inputs!$K$4:$AJ$4,0))))+SUMPRODUCT((Inputs!$E$5:$E$110=$B32)*ISNUMBER(INDEX(Inputs!$K$5:$AJ$110,0,MATCH(L$2,Inputs!$K$4:$AJ$4,0))))=0,NA(),SUMPRODUCT((Inputs!$A$5:$A$110=$B32)*Inputs!$B$5:$B$110*(((Inputs!$G$5:$G$110="moeda")+(Inputs!$G$5:$G$110="acoes"))*Inputs!$B$1+((Inputs!$G$5:$G$110&lt;&gt;"moeda")*(Inputs!$G$5:$G$110&lt;&gt;"acoes")))*INDEX(Inputs!$K$5:$AJ$110,0,MATCH(L$2,Inputs!$K$4:$AJ$4,0)))+SUMPRODUCT((Inputs!$C$5:$C$110=$B32)*Inputs!$D$5:$D$110*(((Inputs!$G$5:$G$110="moeda")+(Inputs!$G$5:$G$110="acoes"))*Inputs!$B$1+((Inputs!$G$5:$G$110&lt;&gt;"moeda")*(Inputs!$G$5:$G$110&lt;&gt;"acoes")))*INDEX(Inputs!$K$5:$AJ$110,0,MATCH(L$2,Inputs!$K$4:$AJ$4,0)))+SUMPRODUCT((Inputs!$E$5:$E$110=$B32)*Inputs!$F$5:$F$110*(((Inputs!$G$5:$G$110="moeda")+(Inputs!$G$5:$G$110="acoes"))*Inputs!$B$1+((Inputs!$G$5:$G$110&lt;&gt;"moeda")*(Inputs!$G$5:$G$110&lt;&gt;"acoes")))*INDEX(Inputs!$K$5:$AJ$110,0,MATCH(L$2,Inputs!$K$4:$AJ$4,0)))))</f>
        <v>4563</v>
      </c>
      <c r="M32" s="268">
        <f>L32</f>
        <v>4563</v>
      </c>
      <c r="N32" s="267">
        <f>IF(ISNA(MATCH(N$2,Inputs!$K$4:$AJ$4,0)),NA(),IF(SUMPRODUCT((Inputs!$A$5:$A$110=$B32)*ISNUMBER(INDEX(Inputs!$K$5:$AJ$110,0,MATCH(N$2,Inputs!$K$4:$AJ$4,0))))+SUMPRODUCT((Inputs!$C$5:$C$110=$B32)*ISNUMBER(INDEX(Inputs!$K$5:$AJ$110,0,MATCH(N$2,Inputs!$K$4:$AJ$4,0))))+SUMPRODUCT((Inputs!$E$5:$E$110=$B32)*ISNUMBER(INDEX(Inputs!$K$5:$AJ$110,0,MATCH(N$2,Inputs!$K$4:$AJ$4,0))))=0,NA(),SUMPRODUCT((Inputs!$A$5:$A$110=$B32)*Inputs!$B$5:$B$110*(((Inputs!$G$5:$G$110="moeda")+(Inputs!$G$5:$G$110="acoes"))*Inputs!$B$1+((Inputs!$G$5:$G$110&lt;&gt;"moeda")*(Inputs!$G$5:$G$110&lt;&gt;"acoes")))*INDEX(Inputs!$K$5:$AJ$110,0,MATCH(N$2,Inputs!$K$4:$AJ$4,0)))+SUMPRODUCT((Inputs!$C$5:$C$110=$B32)*Inputs!$D$5:$D$110*(((Inputs!$G$5:$G$110="moeda")+(Inputs!$G$5:$G$110="acoes"))*Inputs!$B$1+((Inputs!$G$5:$G$110&lt;&gt;"moeda")*(Inputs!$G$5:$G$110&lt;&gt;"acoes")))*INDEX(Inputs!$K$5:$AJ$110,0,MATCH(N$2,Inputs!$K$4:$AJ$4,0)))+SUMPRODUCT((Inputs!$E$5:$E$110=$B32)*Inputs!$F$5:$F$110*(((Inputs!$G$5:$G$110="moeda")+(Inputs!$G$5:$G$110="acoes"))*Inputs!$B$1+((Inputs!$G$5:$G$110&lt;&gt;"moeda")*(Inputs!$G$5:$G$110&lt;&gt;"acoes")))*INDEX(Inputs!$K$5:$AJ$110,0,MATCH(N$2,Inputs!$K$4:$AJ$4,0)))))</f>
        <v>5686</v>
      </c>
      <c r="O32" s="267">
        <f>IF(ISNA(MATCH(O$2,Inputs!$K$4:$AJ$4,0)),NA(),IF(SUMPRODUCT((Inputs!$A$5:$A$110=$B32)*ISNUMBER(INDEX(Inputs!$K$5:$AJ$110,0,MATCH(O$2,Inputs!$K$4:$AJ$4,0))))+SUMPRODUCT((Inputs!$C$5:$C$110=$B32)*ISNUMBER(INDEX(Inputs!$K$5:$AJ$110,0,MATCH(O$2,Inputs!$K$4:$AJ$4,0))))+SUMPRODUCT((Inputs!$E$5:$E$110=$B32)*ISNUMBER(INDEX(Inputs!$K$5:$AJ$110,0,MATCH(O$2,Inputs!$K$4:$AJ$4,0))))=0,NA(),SUMPRODUCT((Inputs!$A$5:$A$110=$B32)*Inputs!$B$5:$B$110*(((Inputs!$G$5:$G$110="moeda")+(Inputs!$G$5:$G$110="acoes"))*Inputs!$B$1+((Inputs!$G$5:$G$110&lt;&gt;"moeda")*(Inputs!$G$5:$G$110&lt;&gt;"acoes")))*INDEX(Inputs!$K$5:$AJ$110,0,MATCH(O$2,Inputs!$K$4:$AJ$4,0)))+SUMPRODUCT((Inputs!$C$5:$C$110=$B32)*Inputs!$D$5:$D$110*(((Inputs!$G$5:$G$110="moeda")+(Inputs!$G$5:$G$110="acoes"))*Inputs!$B$1+((Inputs!$G$5:$G$110&lt;&gt;"moeda")*(Inputs!$G$5:$G$110&lt;&gt;"acoes")))*INDEX(Inputs!$K$5:$AJ$110,0,MATCH(O$2,Inputs!$K$4:$AJ$4,0)))+SUMPRODUCT((Inputs!$E$5:$E$110=$B32)*Inputs!$F$5:$F$110*(((Inputs!$G$5:$G$110="moeda")+(Inputs!$G$5:$G$110="acoes"))*Inputs!$B$1+((Inputs!$G$5:$G$110&lt;&gt;"moeda")*(Inputs!$G$5:$G$110&lt;&gt;"acoes")))*INDEX(Inputs!$K$5:$AJ$110,0,MATCH(O$2,Inputs!$K$4:$AJ$4,0)))))</f>
        <v>7443</v>
      </c>
      <c r="P32" s="267">
        <f>IF(ISNA(MATCH(P$2,Inputs!$K$4:$AJ$4,0)),NA(),IF(SUMPRODUCT((Inputs!$A$5:$A$110=$B32)*ISNUMBER(INDEX(Inputs!$K$5:$AJ$110,0,MATCH(P$2,Inputs!$K$4:$AJ$4,0))))+SUMPRODUCT((Inputs!$C$5:$C$110=$B32)*ISNUMBER(INDEX(Inputs!$K$5:$AJ$110,0,MATCH(P$2,Inputs!$K$4:$AJ$4,0))))+SUMPRODUCT((Inputs!$E$5:$E$110=$B32)*ISNUMBER(INDEX(Inputs!$K$5:$AJ$110,0,MATCH(P$2,Inputs!$K$4:$AJ$4,0))))=0,NA(),SUMPRODUCT((Inputs!$A$5:$A$110=$B32)*Inputs!$B$5:$B$110*(((Inputs!$G$5:$G$110="moeda")+(Inputs!$G$5:$G$110="acoes"))*Inputs!$B$1+((Inputs!$G$5:$G$110&lt;&gt;"moeda")*(Inputs!$G$5:$G$110&lt;&gt;"acoes")))*INDEX(Inputs!$K$5:$AJ$110,0,MATCH(P$2,Inputs!$K$4:$AJ$4,0)))+SUMPRODUCT((Inputs!$C$5:$C$110=$B32)*Inputs!$D$5:$D$110*(((Inputs!$G$5:$G$110="moeda")+(Inputs!$G$5:$G$110="acoes"))*Inputs!$B$1+((Inputs!$G$5:$G$110&lt;&gt;"moeda")*(Inputs!$G$5:$G$110&lt;&gt;"acoes")))*INDEX(Inputs!$K$5:$AJ$110,0,MATCH(P$2,Inputs!$K$4:$AJ$4,0)))+SUMPRODUCT((Inputs!$E$5:$E$110=$B32)*Inputs!$F$5:$F$110*(((Inputs!$G$5:$G$110="moeda")+(Inputs!$G$5:$G$110="acoes"))*Inputs!$B$1+((Inputs!$G$5:$G$110&lt;&gt;"moeda")*(Inputs!$G$5:$G$110&lt;&gt;"acoes")))*INDEX(Inputs!$K$5:$AJ$110,0,MATCH(P$2,Inputs!$K$4:$AJ$4,0)))))</f>
        <v>12748</v>
      </c>
      <c r="Q32" s="267">
        <f>IF(ISNA(MATCH(Q$2,Inputs!$K$4:$AJ$4,0)),NA(),IF(SUMPRODUCT((Inputs!$A$5:$A$110=$B32)*ISNUMBER(INDEX(Inputs!$K$5:$AJ$110,0,MATCH(Q$2,Inputs!$K$4:$AJ$4,0))))+SUMPRODUCT((Inputs!$C$5:$C$110=$B32)*ISNUMBER(INDEX(Inputs!$K$5:$AJ$110,0,MATCH(Q$2,Inputs!$K$4:$AJ$4,0))))+SUMPRODUCT((Inputs!$E$5:$E$110=$B32)*ISNUMBER(INDEX(Inputs!$K$5:$AJ$110,0,MATCH(Q$2,Inputs!$K$4:$AJ$4,0))))=0,NA(),SUMPRODUCT((Inputs!$A$5:$A$110=$B32)*Inputs!$B$5:$B$110*(((Inputs!$G$5:$G$110="moeda")+(Inputs!$G$5:$G$110="acoes"))*Inputs!$B$1+((Inputs!$G$5:$G$110&lt;&gt;"moeda")*(Inputs!$G$5:$G$110&lt;&gt;"acoes")))*INDEX(Inputs!$K$5:$AJ$110,0,MATCH(Q$2,Inputs!$K$4:$AJ$4,0)))+SUMPRODUCT((Inputs!$C$5:$C$110=$B32)*Inputs!$D$5:$D$110*(((Inputs!$G$5:$G$110="moeda")+(Inputs!$G$5:$G$110="acoes"))*Inputs!$B$1+((Inputs!$G$5:$G$110&lt;&gt;"moeda")*(Inputs!$G$5:$G$110&lt;&gt;"acoes")))*INDEX(Inputs!$K$5:$AJ$110,0,MATCH(Q$2,Inputs!$K$4:$AJ$4,0)))+SUMPRODUCT((Inputs!$E$5:$E$110=$B32)*Inputs!$F$5:$F$110*(((Inputs!$G$5:$G$110="moeda")+(Inputs!$G$5:$G$110="acoes"))*Inputs!$B$1+((Inputs!$G$5:$G$110&lt;&gt;"moeda")*(Inputs!$G$5:$G$110&lt;&gt;"acoes")))*INDEX(Inputs!$K$5:$AJ$110,0,MATCH(Q$2,Inputs!$K$4:$AJ$4,0)))))</f>
        <v>4325</v>
      </c>
      <c r="R32" s="268">
        <f>Q32</f>
        <v>4325</v>
      </c>
      <c r="S32" s="267">
        <f>IF(ISNA(MATCH(S$2,Inputs!$K$4:$AJ$4,0)),NA(),IF(SUMPRODUCT((Inputs!$A$5:$A$110=$B32)*ISNUMBER(INDEX(Inputs!$K$5:$AJ$110,0,MATCH(S$2,Inputs!$K$4:$AJ$4,0))))+SUMPRODUCT((Inputs!$C$5:$C$110=$B32)*ISNUMBER(INDEX(Inputs!$K$5:$AJ$110,0,MATCH(S$2,Inputs!$K$4:$AJ$4,0))))+SUMPRODUCT((Inputs!$E$5:$E$110=$B32)*ISNUMBER(INDEX(Inputs!$K$5:$AJ$110,0,MATCH(S$2,Inputs!$K$4:$AJ$4,0))))=0,NA(),SUMPRODUCT((Inputs!$A$5:$A$110=$B32)*Inputs!$B$5:$B$110*(((Inputs!$G$5:$G$110="moeda")+(Inputs!$G$5:$G$110="acoes"))*Inputs!$B$1+((Inputs!$G$5:$G$110&lt;&gt;"moeda")*(Inputs!$G$5:$G$110&lt;&gt;"acoes")))*INDEX(Inputs!$K$5:$AJ$110,0,MATCH(S$2,Inputs!$K$4:$AJ$4,0)))+SUMPRODUCT((Inputs!$C$5:$C$110=$B32)*Inputs!$D$5:$D$110*(((Inputs!$G$5:$G$110="moeda")+(Inputs!$G$5:$G$110="acoes"))*Inputs!$B$1+((Inputs!$G$5:$G$110&lt;&gt;"moeda")*(Inputs!$G$5:$G$110&lt;&gt;"acoes")))*INDEX(Inputs!$K$5:$AJ$110,0,MATCH(S$2,Inputs!$K$4:$AJ$4,0)))+SUMPRODUCT((Inputs!$E$5:$E$110=$B32)*Inputs!$F$5:$F$110*(((Inputs!$G$5:$G$110="moeda")+(Inputs!$G$5:$G$110="acoes"))*Inputs!$B$1+((Inputs!$G$5:$G$110&lt;&gt;"moeda")*(Inputs!$G$5:$G$110&lt;&gt;"acoes")))*INDEX(Inputs!$K$5:$AJ$110,0,MATCH(S$2,Inputs!$K$4:$AJ$4,0)))))</f>
        <v>7322</v>
      </c>
      <c r="T32" s="267">
        <f>IF(ISNA(MATCH(T$2,Inputs!$K$4:$AJ$4,0)),NA(),IF(SUMPRODUCT((Inputs!$A$5:$A$110=$B32)*ISNUMBER(INDEX(Inputs!$K$5:$AJ$110,0,MATCH(T$2,Inputs!$K$4:$AJ$4,0))))+SUMPRODUCT((Inputs!$C$5:$C$110=$B32)*ISNUMBER(INDEX(Inputs!$K$5:$AJ$110,0,MATCH(T$2,Inputs!$K$4:$AJ$4,0))))+SUMPRODUCT((Inputs!$E$5:$E$110=$B32)*ISNUMBER(INDEX(Inputs!$K$5:$AJ$110,0,MATCH(T$2,Inputs!$K$4:$AJ$4,0))))=0,NA(),SUMPRODUCT((Inputs!$A$5:$A$110=$B32)*Inputs!$B$5:$B$110*(((Inputs!$G$5:$G$110="moeda")+(Inputs!$G$5:$G$110="acoes"))*Inputs!$B$1+((Inputs!$G$5:$G$110&lt;&gt;"moeda")*(Inputs!$G$5:$G$110&lt;&gt;"acoes")))*INDEX(Inputs!$K$5:$AJ$110,0,MATCH(T$2,Inputs!$K$4:$AJ$4,0)))+SUMPRODUCT((Inputs!$C$5:$C$110=$B32)*Inputs!$D$5:$D$110*(((Inputs!$G$5:$G$110="moeda")+(Inputs!$G$5:$G$110="acoes"))*Inputs!$B$1+((Inputs!$G$5:$G$110&lt;&gt;"moeda")*(Inputs!$G$5:$G$110&lt;&gt;"acoes")))*INDEX(Inputs!$K$5:$AJ$110,0,MATCH(T$2,Inputs!$K$4:$AJ$4,0)))+SUMPRODUCT((Inputs!$E$5:$E$110=$B32)*Inputs!$F$5:$F$110*(((Inputs!$G$5:$G$110="moeda")+(Inputs!$G$5:$G$110="acoes"))*Inputs!$B$1+((Inputs!$G$5:$G$110&lt;&gt;"moeda")*(Inputs!$G$5:$G$110&lt;&gt;"acoes")))*INDEX(Inputs!$K$5:$AJ$110,0,MATCH(T$2,Inputs!$K$4:$AJ$4,0)))))</f>
        <v>4690</v>
      </c>
      <c r="U32" s="267">
        <f>IF(ISNA(MATCH(U$2,Inputs!$K$4:$AJ$4,0)),NA(),IF(SUMPRODUCT((Inputs!$A$5:$A$110=$B32)*ISNUMBER(INDEX(Inputs!$K$5:$AJ$110,0,MATCH(U$2,Inputs!$K$4:$AJ$4,0))))+SUMPRODUCT((Inputs!$C$5:$C$110=$B32)*ISNUMBER(INDEX(Inputs!$K$5:$AJ$110,0,MATCH(U$2,Inputs!$K$4:$AJ$4,0))))+SUMPRODUCT((Inputs!$E$5:$E$110=$B32)*ISNUMBER(INDEX(Inputs!$K$5:$AJ$110,0,MATCH(U$2,Inputs!$K$4:$AJ$4,0))))=0,NA(),SUMPRODUCT((Inputs!$A$5:$A$110=$B32)*Inputs!$B$5:$B$110*(((Inputs!$G$5:$G$110="moeda")+(Inputs!$G$5:$G$110="acoes"))*Inputs!$B$1+((Inputs!$G$5:$G$110&lt;&gt;"moeda")*(Inputs!$G$5:$G$110&lt;&gt;"acoes")))*INDEX(Inputs!$K$5:$AJ$110,0,MATCH(U$2,Inputs!$K$4:$AJ$4,0)))+SUMPRODUCT((Inputs!$C$5:$C$110=$B32)*Inputs!$D$5:$D$110*(((Inputs!$G$5:$G$110="moeda")+(Inputs!$G$5:$G$110="acoes"))*Inputs!$B$1+((Inputs!$G$5:$G$110&lt;&gt;"moeda")*(Inputs!$G$5:$G$110&lt;&gt;"acoes")))*INDEX(Inputs!$K$5:$AJ$110,0,MATCH(U$2,Inputs!$K$4:$AJ$4,0)))+SUMPRODUCT((Inputs!$E$5:$E$110=$B32)*Inputs!$F$5:$F$110*(((Inputs!$G$5:$G$110="moeda")+(Inputs!$G$5:$G$110="acoes"))*Inputs!$B$1+((Inputs!$G$5:$G$110&lt;&gt;"moeda")*(Inputs!$G$5:$G$110&lt;&gt;"acoes")))*INDEX(Inputs!$K$5:$AJ$110,0,MATCH(U$2,Inputs!$K$4:$AJ$4,0)))))</f>
        <v>6825</v>
      </c>
      <c r="V32" s="267">
        <f>IF(ISNA(MATCH(V$2,Inputs!$K$4:$AJ$4,0)),NA(),IF(SUMPRODUCT((Inputs!$A$5:$A$110=$B32)*ISNUMBER(INDEX(Inputs!$K$5:$AJ$110,0,MATCH(V$2,Inputs!$K$4:$AJ$4,0))))+SUMPRODUCT((Inputs!$C$5:$C$110=$B32)*ISNUMBER(INDEX(Inputs!$K$5:$AJ$110,0,MATCH(V$2,Inputs!$K$4:$AJ$4,0))))+SUMPRODUCT((Inputs!$E$5:$E$110=$B32)*ISNUMBER(INDEX(Inputs!$K$5:$AJ$110,0,MATCH(V$2,Inputs!$K$4:$AJ$4,0))))=0,NA(),SUMPRODUCT((Inputs!$A$5:$A$110=$B32)*Inputs!$B$5:$B$110*(((Inputs!$G$5:$G$110="moeda")+(Inputs!$G$5:$G$110="acoes"))*Inputs!$B$1+((Inputs!$G$5:$G$110&lt;&gt;"moeda")*(Inputs!$G$5:$G$110&lt;&gt;"acoes")))*INDEX(Inputs!$K$5:$AJ$110,0,MATCH(V$2,Inputs!$K$4:$AJ$4,0)))+SUMPRODUCT((Inputs!$C$5:$C$110=$B32)*Inputs!$D$5:$D$110*(((Inputs!$G$5:$G$110="moeda")+(Inputs!$G$5:$G$110="acoes"))*Inputs!$B$1+((Inputs!$G$5:$G$110&lt;&gt;"moeda")*(Inputs!$G$5:$G$110&lt;&gt;"acoes")))*INDEX(Inputs!$K$5:$AJ$110,0,MATCH(V$2,Inputs!$K$4:$AJ$4,0)))+SUMPRODUCT((Inputs!$E$5:$E$110=$B32)*Inputs!$F$5:$F$110*(((Inputs!$G$5:$G$110="moeda")+(Inputs!$G$5:$G$110="acoes"))*Inputs!$B$1+((Inputs!$G$5:$G$110&lt;&gt;"moeda")*(Inputs!$G$5:$G$110&lt;&gt;"acoes")))*INDEX(Inputs!$K$5:$AJ$110,0,MATCH(V$2,Inputs!$K$4:$AJ$4,0)))))</f>
        <v>5666</v>
      </c>
      <c r="W32" s="268">
        <f>V32</f>
        <v>5666</v>
      </c>
      <c r="X32" s="267">
        <f>IF(ISNA(MATCH(X$2,Inputs!$K$4:$AJ$4,0)),NA(),IF(SUMPRODUCT((Inputs!$A$5:$A$110=$B32)*ISNUMBER(INDEX(Inputs!$K$5:$AJ$110,0,MATCH(X$2,Inputs!$K$4:$AJ$4,0))))+SUMPRODUCT((Inputs!$C$5:$C$110=$B32)*ISNUMBER(INDEX(Inputs!$K$5:$AJ$110,0,MATCH(X$2,Inputs!$K$4:$AJ$4,0))))+SUMPRODUCT((Inputs!$E$5:$E$110=$B32)*ISNUMBER(INDEX(Inputs!$K$5:$AJ$110,0,MATCH(X$2,Inputs!$K$4:$AJ$4,0))))=0,NA(),SUMPRODUCT((Inputs!$A$5:$A$110=$B32)*Inputs!$B$5:$B$110*(((Inputs!$G$5:$G$110="moeda")+(Inputs!$G$5:$G$110="acoes"))*Inputs!$B$1+((Inputs!$G$5:$G$110&lt;&gt;"moeda")*(Inputs!$G$5:$G$110&lt;&gt;"acoes")))*INDEX(Inputs!$K$5:$AJ$110,0,MATCH(X$2,Inputs!$K$4:$AJ$4,0)))+SUMPRODUCT((Inputs!$C$5:$C$110=$B32)*Inputs!$D$5:$D$110*(((Inputs!$G$5:$G$110="moeda")+(Inputs!$G$5:$G$110="acoes"))*Inputs!$B$1+((Inputs!$G$5:$G$110&lt;&gt;"moeda")*(Inputs!$G$5:$G$110&lt;&gt;"acoes")))*INDEX(Inputs!$K$5:$AJ$110,0,MATCH(X$2,Inputs!$K$4:$AJ$4,0)))+SUMPRODUCT((Inputs!$E$5:$E$110=$B32)*Inputs!$F$5:$F$110*(((Inputs!$G$5:$G$110="moeda")+(Inputs!$G$5:$G$110="acoes"))*Inputs!$B$1+((Inputs!$G$5:$G$110&lt;&gt;"moeda")*(Inputs!$G$5:$G$110&lt;&gt;"acoes")))*INDEX(Inputs!$K$5:$AJ$110,0,MATCH(X$2,Inputs!$K$4:$AJ$4,0)))))</f>
        <v>9680</v>
      </c>
      <c r="Y32" s="267">
        <f>IF(ISNA(MATCH(Y$2,Inputs!$K$4:$AJ$4,0)),NA(),IF(SUMPRODUCT((Inputs!$A$5:$A$110=$B32)*ISNUMBER(INDEX(Inputs!$K$5:$AJ$110,0,MATCH(Y$2,Inputs!$K$4:$AJ$4,0))))+SUMPRODUCT((Inputs!$C$5:$C$110=$B32)*ISNUMBER(INDEX(Inputs!$K$5:$AJ$110,0,MATCH(Y$2,Inputs!$K$4:$AJ$4,0))))+SUMPRODUCT((Inputs!$E$5:$E$110=$B32)*ISNUMBER(INDEX(Inputs!$K$5:$AJ$110,0,MATCH(Y$2,Inputs!$K$4:$AJ$4,0))))=0,NA(),SUMPRODUCT((Inputs!$A$5:$A$110=$B32)*Inputs!$B$5:$B$110*(((Inputs!$G$5:$G$110="moeda")+(Inputs!$G$5:$G$110="acoes"))*Inputs!$B$1+((Inputs!$G$5:$G$110&lt;&gt;"moeda")*(Inputs!$G$5:$G$110&lt;&gt;"acoes")))*INDEX(Inputs!$K$5:$AJ$110,0,MATCH(Y$2,Inputs!$K$4:$AJ$4,0)))+SUMPRODUCT((Inputs!$C$5:$C$110=$B32)*Inputs!$D$5:$D$110*(((Inputs!$G$5:$G$110="moeda")+(Inputs!$G$5:$G$110="acoes"))*Inputs!$B$1+((Inputs!$G$5:$G$110&lt;&gt;"moeda")*(Inputs!$G$5:$G$110&lt;&gt;"acoes")))*INDEX(Inputs!$K$5:$AJ$110,0,MATCH(Y$2,Inputs!$K$4:$AJ$4,0)))+SUMPRODUCT((Inputs!$E$5:$E$110=$B32)*Inputs!$F$5:$F$110*(((Inputs!$G$5:$G$110="moeda")+(Inputs!$G$5:$G$110="acoes"))*Inputs!$B$1+((Inputs!$G$5:$G$110&lt;&gt;"moeda")*(Inputs!$G$5:$G$110&lt;&gt;"acoes")))*INDEX(Inputs!$K$5:$AJ$110,0,MATCH(Y$2,Inputs!$K$4:$AJ$4,0)))))</f>
        <v>7848</v>
      </c>
      <c r="Z32" s="267">
        <f>IF(ISNA(MATCH(Z$2,Inputs!$K$4:$AJ$4,0)),NA(),IF(SUMPRODUCT((Inputs!$A$5:$A$110=$B32)*ISNUMBER(INDEX(Inputs!$K$5:$AJ$110,0,MATCH(Z$2,Inputs!$K$4:$AJ$4,0))))+SUMPRODUCT((Inputs!$C$5:$C$110=$B32)*ISNUMBER(INDEX(Inputs!$K$5:$AJ$110,0,MATCH(Z$2,Inputs!$K$4:$AJ$4,0))))+SUMPRODUCT((Inputs!$E$5:$E$110=$B32)*ISNUMBER(INDEX(Inputs!$K$5:$AJ$110,0,MATCH(Z$2,Inputs!$K$4:$AJ$4,0))))=0,NA(),SUMPRODUCT((Inputs!$A$5:$A$110=$B32)*Inputs!$B$5:$B$110*(((Inputs!$G$5:$G$110="moeda")+(Inputs!$G$5:$G$110="acoes"))*Inputs!$B$1+((Inputs!$G$5:$G$110&lt;&gt;"moeda")*(Inputs!$G$5:$G$110&lt;&gt;"acoes")))*INDEX(Inputs!$K$5:$AJ$110,0,MATCH(Z$2,Inputs!$K$4:$AJ$4,0)))+SUMPRODUCT((Inputs!$C$5:$C$110=$B32)*Inputs!$D$5:$D$110*(((Inputs!$G$5:$G$110="moeda")+(Inputs!$G$5:$G$110="acoes"))*Inputs!$B$1+((Inputs!$G$5:$G$110&lt;&gt;"moeda")*(Inputs!$G$5:$G$110&lt;&gt;"acoes")))*INDEX(Inputs!$K$5:$AJ$110,0,MATCH(Z$2,Inputs!$K$4:$AJ$4,0)))+SUMPRODUCT((Inputs!$E$5:$E$110=$B32)*Inputs!$F$5:$F$110*(((Inputs!$G$5:$G$110="moeda")+(Inputs!$G$5:$G$110="acoes"))*Inputs!$B$1+((Inputs!$G$5:$G$110&lt;&gt;"moeda")*(Inputs!$G$5:$G$110&lt;&gt;"acoes")))*INDEX(Inputs!$K$5:$AJ$110,0,MATCH(Z$2,Inputs!$K$4:$AJ$4,0)))))</f>
        <v>11924</v>
      </c>
      <c r="AA32" s="267">
        <f>IF(ISNA(MATCH(AA$2,Inputs!$K$4:$AJ$4,0)),NA(),IF(SUMPRODUCT((Inputs!$A$5:$A$110=$B32)*ISNUMBER(INDEX(Inputs!$K$5:$AJ$110,0,MATCH(AA$2,Inputs!$K$4:$AJ$4,0))))+SUMPRODUCT((Inputs!$C$5:$C$110=$B32)*ISNUMBER(INDEX(Inputs!$K$5:$AJ$110,0,MATCH(AA$2,Inputs!$K$4:$AJ$4,0))))+SUMPRODUCT((Inputs!$E$5:$E$110=$B32)*ISNUMBER(INDEX(Inputs!$K$5:$AJ$110,0,MATCH(AA$2,Inputs!$K$4:$AJ$4,0))))=0,NA(),SUMPRODUCT((Inputs!$A$5:$A$110=$B32)*Inputs!$B$5:$B$110*(((Inputs!$G$5:$G$110="moeda")+(Inputs!$G$5:$G$110="acoes"))*Inputs!$B$1+((Inputs!$G$5:$G$110&lt;&gt;"moeda")*(Inputs!$G$5:$G$110&lt;&gt;"acoes")))*INDEX(Inputs!$K$5:$AJ$110,0,MATCH(AA$2,Inputs!$K$4:$AJ$4,0)))+SUMPRODUCT((Inputs!$C$5:$C$110=$B32)*Inputs!$D$5:$D$110*(((Inputs!$G$5:$G$110="moeda")+(Inputs!$G$5:$G$110="acoes"))*Inputs!$B$1+((Inputs!$G$5:$G$110&lt;&gt;"moeda")*(Inputs!$G$5:$G$110&lt;&gt;"acoes")))*INDEX(Inputs!$K$5:$AJ$110,0,MATCH(AA$2,Inputs!$K$4:$AJ$4,0)))+SUMPRODUCT((Inputs!$E$5:$E$110=$B32)*Inputs!$F$5:$F$110*(((Inputs!$G$5:$G$110="moeda")+(Inputs!$G$5:$G$110="acoes"))*Inputs!$B$1+((Inputs!$G$5:$G$110&lt;&gt;"moeda")*(Inputs!$G$5:$G$110&lt;&gt;"acoes")))*INDEX(Inputs!$K$5:$AJ$110,0,MATCH(AA$2,Inputs!$K$4:$AJ$4,0)))))</f>
        <v>10138</v>
      </c>
      <c r="AB32" s="268">
        <f>AA32</f>
        <v>10138</v>
      </c>
      <c r="AC32" s="267">
        <f>IF(ISNA(MATCH(AC$2,Inputs!$K$4:$AJ$4,0)),NA(),IF(SUMPRODUCT((Inputs!$A$5:$A$110=$B32)*ISNUMBER(INDEX(Inputs!$K$5:$AJ$110,0,MATCH(AC$2,Inputs!$K$4:$AJ$4,0))))+SUMPRODUCT((Inputs!$C$5:$C$110=$B32)*ISNUMBER(INDEX(Inputs!$K$5:$AJ$110,0,MATCH(AC$2,Inputs!$K$4:$AJ$4,0))))+SUMPRODUCT((Inputs!$E$5:$E$110=$B32)*ISNUMBER(INDEX(Inputs!$K$5:$AJ$110,0,MATCH(AC$2,Inputs!$K$4:$AJ$4,0))))=0,NA(),SUMPRODUCT((Inputs!$A$5:$A$110=$B32)*Inputs!$B$5:$B$110*(((Inputs!$G$5:$G$110="moeda")+(Inputs!$G$5:$G$110="acoes"))*Inputs!$B$1+((Inputs!$G$5:$G$110&lt;&gt;"moeda")*(Inputs!$G$5:$G$110&lt;&gt;"acoes")))*INDEX(Inputs!$K$5:$AJ$110,0,MATCH(AC$2,Inputs!$K$4:$AJ$4,0)))+SUMPRODUCT((Inputs!$C$5:$C$110=$B32)*Inputs!$D$5:$D$110*(((Inputs!$G$5:$G$110="moeda")+(Inputs!$G$5:$G$110="acoes"))*Inputs!$B$1+((Inputs!$G$5:$G$110&lt;&gt;"moeda")*(Inputs!$G$5:$G$110&lt;&gt;"acoes")))*INDEX(Inputs!$K$5:$AJ$110,0,MATCH(AC$2,Inputs!$K$4:$AJ$4,0)))+SUMPRODUCT((Inputs!$E$5:$E$110=$B32)*Inputs!$F$5:$F$110*(((Inputs!$G$5:$G$110="moeda")+(Inputs!$G$5:$G$110="acoes"))*Inputs!$B$1+((Inputs!$G$5:$G$110&lt;&gt;"moeda")*(Inputs!$G$5:$G$110&lt;&gt;"acoes")))*INDEX(Inputs!$K$5:$AJ$110,0,MATCH(AC$2,Inputs!$K$4:$AJ$4,0)))))</f>
        <v>14569</v>
      </c>
      <c r="AD32" s="267">
        <f>IF(ISNA(MATCH(AD$2,Inputs!$K$4:$AJ$4,0)),NA(),IF(SUMPRODUCT((Inputs!$A$5:$A$110=$B32)*ISNUMBER(INDEX(Inputs!$K$5:$AJ$110,0,MATCH(AD$2,Inputs!$K$4:$AJ$4,0))))+SUMPRODUCT((Inputs!$C$5:$C$110=$B32)*ISNUMBER(INDEX(Inputs!$K$5:$AJ$110,0,MATCH(AD$2,Inputs!$K$4:$AJ$4,0))))+SUMPRODUCT((Inputs!$E$5:$E$110=$B32)*ISNUMBER(INDEX(Inputs!$K$5:$AJ$110,0,MATCH(AD$2,Inputs!$K$4:$AJ$4,0))))=0,NA(),SUMPRODUCT((Inputs!$A$5:$A$110=$B32)*Inputs!$B$5:$B$110*(((Inputs!$G$5:$G$110="moeda")+(Inputs!$G$5:$G$110="acoes"))*Inputs!$B$1+((Inputs!$G$5:$G$110&lt;&gt;"moeda")*(Inputs!$G$5:$G$110&lt;&gt;"acoes")))*INDEX(Inputs!$K$5:$AJ$110,0,MATCH(AD$2,Inputs!$K$4:$AJ$4,0)))+SUMPRODUCT((Inputs!$C$5:$C$110=$B32)*Inputs!$D$5:$D$110*(((Inputs!$G$5:$G$110="moeda")+(Inputs!$G$5:$G$110="acoes"))*Inputs!$B$1+((Inputs!$G$5:$G$110&lt;&gt;"moeda")*(Inputs!$G$5:$G$110&lt;&gt;"acoes")))*INDEX(Inputs!$K$5:$AJ$110,0,MATCH(AD$2,Inputs!$K$4:$AJ$4,0)))+SUMPRODUCT((Inputs!$E$5:$E$110=$B32)*Inputs!$F$5:$F$110*(((Inputs!$G$5:$G$110="moeda")+(Inputs!$G$5:$G$110="acoes"))*Inputs!$B$1+((Inputs!$G$5:$G$110&lt;&gt;"moeda")*(Inputs!$G$5:$G$110&lt;&gt;"acoes")))*INDEX(Inputs!$K$5:$AJ$110,0,MATCH(AD$2,Inputs!$K$4:$AJ$4,0)))))</f>
        <v>13949</v>
      </c>
      <c r="AE32" s="267" t="e">
        <f>IF(ISNA(MATCH(AE$2,Inputs!$K$4:$AJ$4,0)),NA(),IF(SUMPRODUCT((Inputs!$A$5:$A$110=$B32)*ISNUMBER(INDEX(Inputs!$K$5:$AJ$110,0,MATCH(AE$2,Inputs!$K$4:$AJ$4,0))))+SUMPRODUCT((Inputs!$C$5:$C$110=$B32)*ISNUMBER(INDEX(Inputs!$K$5:$AJ$110,0,MATCH(AE$2,Inputs!$K$4:$AJ$4,0))))+SUMPRODUCT((Inputs!$E$5:$E$110=$B32)*ISNUMBER(INDEX(Inputs!$K$5:$AJ$110,0,MATCH(AE$2,Inputs!$K$4:$AJ$4,0))))=0,NA(),SUMPRODUCT((Inputs!$A$5:$A$110=$B32)*Inputs!$B$5:$B$110*(((Inputs!$G$5:$G$110="moeda")+(Inputs!$G$5:$G$110="acoes"))*Inputs!$B$1+((Inputs!$G$5:$G$110&lt;&gt;"moeda")*(Inputs!$G$5:$G$110&lt;&gt;"acoes")))*INDEX(Inputs!$K$5:$AJ$110,0,MATCH(AE$2,Inputs!$K$4:$AJ$4,0)))+SUMPRODUCT((Inputs!$C$5:$C$110=$B32)*Inputs!$D$5:$D$110*(((Inputs!$G$5:$G$110="moeda")+(Inputs!$G$5:$G$110="acoes"))*Inputs!$B$1+((Inputs!$G$5:$G$110&lt;&gt;"moeda")*(Inputs!$G$5:$G$110&lt;&gt;"acoes")))*INDEX(Inputs!$K$5:$AJ$110,0,MATCH(AE$2,Inputs!$K$4:$AJ$4,0)))+SUMPRODUCT((Inputs!$E$5:$E$110=$B32)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2" s="267" t="e">
        <f>IF(ISNA(MATCH(AF$2,Inputs!$K$4:$AJ$4,0)),NA(),IF(SUMPRODUCT((Inputs!$A$5:$A$110=$B32)*ISNUMBER(INDEX(Inputs!$K$5:$AJ$110,0,MATCH(AF$2,Inputs!$K$4:$AJ$4,0))))+SUMPRODUCT((Inputs!$C$5:$C$110=$B32)*ISNUMBER(INDEX(Inputs!$K$5:$AJ$110,0,MATCH(AF$2,Inputs!$K$4:$AJ$4,0))))+SUMPRODUCT((Inputs!$E$5:$E$110=$B32)*ISNUMBER(INDEX(Inputs!$K$5:$AJ$110,0,MATCH(AF$2,Inputs!$K$4:$AJ$4,0))))=0,NA(),SUMPRODUCT((Inputs!$A$5:$A$110=$B32)*Inputs!$B$5:$B$110*(((Inputs!$G$5:$G$110="moeda")+(Inputs!$G$5:$G$110="acoes"))*Inputs!$B$1+((Inputs!$G$5:$G$110&lt;&gt;"moeda")*(Inputs!$G$5:$G$110&lt;&gt;"acoes")))*INDEX(Inputs!$K$5:$AJ$110,0,MATCH(AF$2,Inputs!$K$4:$AJ$4,0)))+SUMPRODUCT((Inputs!$C$5:$C$110=$B32)*Inputs!$D$5:$D$110*(((Inputs!$G$5:$G$110="moeda")+(Inputs!$G$5:$G$110="acoes"))*Inputs!$B$1+((Inputs!$G$5:$G$110&lt;&gt;"moeda")*(Inputs!$G$5:$G$110&lt;&gt;"acoes")))*INDEX(Inputs!$K$5:$AJ$110,0,MATCH(AF$2,Inputs!$K$4:$AJ$4,0)))+SUMPRODUCT((Inputs!$E$5:$E$110=$B32)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2" s="268" t="e">
        <f>AF32</f>
        <v>#N/A</v>
      </c>
      <c r="AH32" s="267">
        <f>IF(ISNA(MATCH(AH$2,Inputs!$K$4:$AJ$4,0)),NA(),IF(SUMPRODUCT((Inputs!$A$5:$A$110=$B32)*ISNUMBER(INDEX(Inputs!$K$5:$AJ$110,0,MATCH(AH$2,Inputs!$K$4:$AJ$4,0))))+SUMPRODUCT((Inputs!$C$5:$C$110=$B32)*ISNUMBER(INDEX(Inputs!$K$5:$AJ$110,0,MATCH(AH$2,Inputs!$K$4:$AJ$4,0))))+SUMPRODUCT((Inputs!$E$5:$E$110=$B32)*ISNUMBER(INDEX(Inputs!$K$5:$AJ$110,0,MATCH(AH$2,Inputs!$K$4:$AJ$4,0))))=0,NA(),SUMPRODUCT((Inputs!$A$5:$A$110=$B32)*Inputs!$B$5:$B$110*(((Inputs!$G$5:$G$110="moeda")+(Inputs!$G$5:$G$110="acoes"))*Inputs!$B$1+((Inputs!$G$5:$G$110&lt;&gt;"moeda")*(Inputs!$G$5:$G$110&lt;&gt;"acoes")))*INDEX(Inputs!$K$5:$AJ$110,0,MATCH(AH$2,Inputs!$K$4:$AJ$4,0)))+SUMPRODUCT((Inputs!$C$5:$C$110=$B32)*Inputs!$D$5:$D$110*(((Inputs!$G$5:$G$110="moeda")+(Inputs!$G$5:$G$110="acoes"))*Inputs!$B$1+((Inputs!$G$5:$G$110&lt;&gt;"moeda")*(Inputs!$G$5:$G$110&lt;&gt;"acoes")))*INDEX(Inputs!$K$5:$AJ$110,0,MATCH(AH$2,Inputs!$K$4:$AJ$4,0)))+SUMPRODUCT((Inputs!$E$5:$E$110=$B32)*Inputs!$F$5:$F$110*(((Inputs!$G$5:$G$110="moeda")+(Inputs!$G$5:$G$110="acoes"))*Inputs!$B$1+((Inputs!$G$5:$G$110&lt;&gt;"moeda")*(Inputs!$G$5:$G$110&lt;&gt;"acoes")))*INDEX(Inputs!$K$5:$AJ$110,0,MATCH(AH$2,Inputs!$K$4:$AJ$4,0)))))</f>
        <v>10031</v>
      </c>
      <c r="AI32" s="267">
        <f>IF(ISNA(MATCH(AI$2,Inputs!$K$4:$AJ$4,0)),NA(),IF(SUMPRODUCT((Inputs!$A$5:$A$110=$B32)*ISNUMBER(INDEX(Inputs!$K$5:$AJ$110,0,MATCH(AI$2,Inputs!$K$4:$AJ$4,0))))+SUMPRODUCT((Inputs!$C$5:$C$110=$B32)*ISNUMBER(INDEX(Inputs!$K$5:$AJ$110,0,MATCH(AI$2,Inputs!$K$4:$AJ$4,0))))+SUMPRODUCT((Inputs!$E$5:$E$110=$B32)*ISNUMBER(INDEX(Inputs!$K$5:$AJ$110,0,MATCH(AI$2,Inputs!$K$4:$AJ$4,0))))=0,NA(),SUMPRODUCT((Inputs!$A$5:$A$110=$B32)*Inputs!$B$5:$B$110*(((Inputs!$G$5:$G$110="moeda")+(Inputs!$G$5:$G$110="acoes"))*Inputs!$B$1+((Inputs!$G$5:$G$110&lt;&gt;"moeda")*(Inputs!$G$5:$G$110&lt;&gt;"acoes")))*INDEX(Inputs!$K$5:$AJ$110,0,MATCH(AI$2,Inputs!$K$4:$AJ$4,0)))+SUMPRODUCT((Inputs!$C$5:$C$110=$B32)*Inputs!$D$5:$D$110*(((Inputs!$G$5:$G$110="moeda")+(Inputs!$G$5:$G$110="acoes"))*Inputs!$B$1+((Inputs!$G$5:$G$110&lt;&gt;"moeda")*(Inputs!$G$5:$G$110&lt;&gt;"acoes")))*INDEX(Inputs!$K$5:$AJ$110,0,MATCH(AI$2,Inputs!$K$4:$AJ$4,0)))+SUMPRODUCT((Inputs!$E$5:$E$110=$B32)*Inputs!$F$5:$F$110*(((Inputs!$G$5:$G$110="moeda")+(Inputs!$G$5:$G$110="acoes"))*Inputs!$B$1+((Inputs!$G$5:$G$110&lt;&gt;"moeda")*(Inputs!$G$5:$G$110&lt;&gt;"acoes")))*INDEX(Inputs!$K$5:$AJ$110,0,MATCH(AI$2,Inputs!$K$4:$AJ$4,0)))))</f>
        <v>5910</v>
      </c>
      <c r="AJ32" s="267">
        <f>IF(ISNA(MATCH(AJ$2,Inputs!$K$4:$AJ$4,0)),NA(),IF(SUMPRODUCT((Inputs!$A$5:$A$110=$B32)*ISNUMBER(INDEX(Inputs!$K$5:$AJ$110,0,MATCH(AJ$2,Inputs!$K$4:$AJ$4,0))))+SUMPRODUCT((Inputs!$C$5:$C$110=$B32)*ISNUMBER(INDEX(Inputs!$K$5:$AJ$110,0,MATCH(AJ$2,Inputs!$K$4:$AJ$4,0))))+SUMPRODUCT((Inputs!$E$5:$E$110=$B32)*ISNUMBER(INDEX(Inputs!$K$5:$AJ$110,0,MATCH(AJ$2,Inputs!$K$4:$AJ$4,0))))=0,NA(),SUMPRODUCT((Inputs!$A$5:$A$110=$B32)*Inputs!$B$5:$B$110*(((Inputs!$G$5:$G$110="moeda")+(Inputs!$G$5:$G$110="acoes"))*Inputs!$B$1+((Inputs!$G$5:$G$110&lt;&gt;"moeda")*(Inputs!$G$5:$G$110&lt;&gt;"acoes")))*INDEX(Inputs!$K$5:$AJ$110,0,MATCH(AJ$2,Inputs!$K$4:$AJ$4,0)))+SUMPRODUCT((Inputs!$C$5:$C$110=$B32)*Inputs!$D$5:$D$110*(((Inputs!$G$5:$G$110="moeda")+(Inputs!$G$5:$G$110="acoes"))*Inputs!$B$1+((Inputs!$G$5:$G$110&lt;&gt;"moeda")*(Inputs!$G$5:$G$110&lt;&gt;"acoes")))*INDEX(Inputs!$K$5:$AJ$110,0,MATCH(AJ$2,Inputs!$K$4:$AJ$4,0)))+SUMPRODUCT((Inputs!$E$5:$E$110=$B32)*Inputs!$F$5:$F$110*(((Inputs!$G$5:$G$110="moeda")+(Inputs!$G$5:$G$110="acoes"))*Inputs!$B$1+((Inputs!$G$5:$G$110&lt;&gt;"moeda")*(Inputs!$G$5:$G$110&lt;&gt;"acoes")))*INDEX(Inputs!$K$5:$AJ$110,0,MATCH(AJ$2,Inputs!$K$4:$AJ$4,0)))))</f>
        <v>4598</v>
      </c>
      <c r="AK32" s="267">
        <f>IF(ISNA(MATCH(AK$2,Inputs!$K$4:$AJ$4,0)),NA(),IF(SUMPRODUCT((Inputs!$A$5:$A$110=$B32)*ISNUMBER(INDEX(Inputs!$K$5:$AJ$110,0,MATCH(AK$2,Inputs!$K$4:$AJ$4,0))))+SUMPRODUCT((Inputs!$C$5:$C$110=$B32)*ISNUMBER(INDEX(Inputs!$K$5:$AJ$110,0,MATCH(AK$2,Inputs!$K$4:$AJ$4,0))))+SUMPRODUCT((Inputs!$E$5:$E$110=$B32)*ISNUMBER(INDEX(Inputs!$K$5:$AJ$110,0,MATCH(AK$2,Inputs!$K$4:$AJ$4,0))))=0,NA(),SUMPRODUCT((Inputs!$A$5:$A$110=$B32)*Inputs!$B$5:$B$110*(((Inputs!$G$5:$G$110="moeda")+(Inputs!$G$5:$G$110="acoes"))*Inputs!$B$1+((Inputs!$G$5:$G$110&lt;&gt;"moeda")*(Inputs!$G$5:$G$110&lt;&gt;"acoes")))*INDEX(Inputs!$K$5:$AJ$110,0,MATCH(AK$2,Inputs!$K$4:$AJ$4,0)))+SUMPRODUCT((Inputs!$C$5:$C$110=$B32)*Inputs!$D$5:$D$110*(((Inputs!$G$5:$G$110="moeda")+(Inputs!$G$5:$G$110="acoes"))*Inputs!$B$1+((Inputs!$G$5:$G$110&lt;&gt;"moeda")*(Inputs!$G$5:$G$110&lt;&gt;"acoes")))*INDEX(Inputs!$K$5:$AJ$110,0,MATCH(AK$2,Inputs!$K$4:$AJ$4,0)))+SUMPRODUCT((Inputs!$E$5:$E$110=$B32)*Inputs!$F$5:$F$110*(((Inputs!$G$5:$G$110="moeda")+(Inputs!$G$5:$G$110="acoes"))*Inputs!$B$1+((Inputs!$G$5:$G$110&lt;&gt;"moeda")*(Inputs!$G$5:$G$110&lt;&gt;"acoes")))*INDEX(Inputs!$K$5:$AJ$110,0,MATCH(AK$2,Inputs!$K$4:$AJ$4,0)))))</f>
        <v>3339</v>
      </c>
      <c r="AL32" s="268">
        <f>AK32</f>
        <v>3339</v>
      </c>
    </row>
    <row r="33" ht="12.75" customHeight="1" s="255">
      <c r="B33" s="265" t="n">
        <v>28</v>
      </c>
      <c r="C33" s="270" t="inlineStr">
        <is>
          <t>Short term debt (Revolving credit facility)</t>
        </is>
      </c>
      <c r="D33" s="267">
        <f>IF(ISNA(MATCH(D$2,Inputs!$K$4:$AJ$4,0)),NA(),IF(SUMPRODUCT((Inputs!$A$5:$A$110=$B33)*ISNUMBER(INDEX(Inputs!$K$5:$AJ$110,0,MATCH(D$2,Inputs!$K$4:$AJ$4,0))))+SUMPRODUCT((Inputs!$C$5:$C$110=$B33)*ISNUMBER(INDEX(Inputs!$K$5:$AJ$110,0,MATCH(D$2,Inputs!$K$4:$AJ$4,0))))+SUMPRODUCT((Inputs!$E$5:$E$110=$B33)*ISNUMBER(INDEX(Inputs!$K$5:$AJ$110,0,MATCH(D$2,Inputs!$K$4:$AJ$4,0))))=0,NA(),SUMPRODUCT((Inputs!$A$5:$A$110=$B33)*Inputs!$B$5:$B$110*(((Inputs!$G$5:$G$110="moeda")+(Inputs!$G$5:$G$110="acoes"))*Inputs!$B$1+((Inputs!$G$5:$G$110&lt;&gt;"moeda")*(Inputs!$G$5:$G$110&lt;&gt;"acoes")))*INDEX(Inputs!$K$5:$AJ$110,0,MATCH(D$2,Inputs!$K$4:$AJ$4,0)))+SUMPRODUCT((Inputs!$C$5:$C$110=$B33)*Inputs!$D$5:$D$110*(((Inputs!$G$5:$G$110="moeda")+(Inputs!$G$5:$G$110="acoes"))*Inputs!$B$1+((Inputs!$G$5:$G$110&lt;&gt;"moeda")*(Inputs!$G$5:$G$110&lt;&gt;"acoes")))*INDEX(Inputs!$K$5:$AJ$110,0,MATCH(D$2,Inputs!$K$4:$AJ$4,0)))+SUMPRODUCT((Inputs!$E$5:$E$110=$B33)*Inputs!$F$5:$F$110*(((Inputs!$G$5:$G$110="moeda")+(Inputs!$G$5:$G$110="acoes"))*Inputs!$B$1+((Inputs!$G$5:$G$110&lt;&gt;"moeda")*(Inputs!$G$5:$G$110&lt;&gt;"acoes")))*INDEX(Inputs!$K$5:$AJ$110,0,MATCH(D$2,Inputs!$K$4:$AJ$4,0)))))</f>
        <v>0</v>
      </c>
      <c r="E33" s="267">
        <f>IF(ISNA(MATCH(E$2,Inputs!$K$4:$AJ$4,0)),NA(),IF(SUMPRODUCT((Inputs!$A$5:$A$110=$B33)*ISNUMBER(INDEX(Inputs!$K$5:$AJ$110,0,MATCH(E$2,Inputs!$K$4:$AJ$4,0))))+SUMPRODUCT((Inputs!$C$5:$C$110=$B33)*ISNUMBER(INDEX(Inputs!$K$5:$AJ$110,0,MATCH(E$2,Inputs!$K$4:$AJ$4,0))))+SUMPRODUCT((Inputs!$E$5:$E$110=$B33)*ISNUMBER(INDEX(Inputs!$K$5:$AJ$110,0,MATCH(E$2,Inputs!$K$4:$AJ$4,0))))=0,NA(),SUMPRODUCT((Inputs!$A$5:$A$110=$B33)*Inputs!$B$5:$B$110*(((Inputs!$G$5:$G$110="moeda")+(Inputs!$G$5:$G$110="acoes"))*Inputs!$B$1+((Inputs!$G$5:$G$110&lt;&gt;"moeda")*(Inputs!$G$5:$G$110&lt;&gt;"acoes")))*INDEX(Inputs!$K$5:$AJ$110,0,MATCH(E$2,Inputs!$K$4:$AJ$4,0)))+SUMPRODUCT((Inputs!$C$5:$C$110=$B33)*Inputs!$D$5:$D$110*(((Inputs!$G$5:$G$110="moeda")+(Inputs!$G$5:$G$110="acoes"))*Inputs!$B$1+((Inputs!$G$5:$G$110&lt;&gt;"moeda")*(Inputs!$G$5:$G$110&lt;&gt;"acoes")))*INDEX(Inputs!$K$5:$AJ$110,0,MATCH(E$2,Inputs!$K$4:$AJ$4,0)))+SUMPRODUCT((Inputs!$E$5:$E$110=$B33)*Inputs!$F$5:$F$110*(((Inputs!$G$5:$G$110="moeda")+(Inputs!$G$5:$G$110="acoes"))*Inputs!$B$1+((Inputs!$G$5:$G$110&lt;&gt;"moeda")*(Inputs!$G$5:$G$110&lt;&gt;"acoes")))*INDEX(Inputs!$K$5:$AJ$110,0,MATCH(E$2,Inputs!$K$4:$AJ$4,0)))))</f>
        <v>0</v>
      </c>
      <c r="F33" s="267">
        <f>IF(ISNA(MATCH(F$2,Inputs!$K$4:$AJ$4,0)),NA(),IF(SUMPRODUCT((Inputs!$A$5:$A$110=$B33)*ISNUMBER(INDEX(Inputs!$K$5:$AJ$110,0,MATCH(F$2,Inputs!$K$4:$AJ$4,0))))+SUMPRODUCT((Inputs!$C$5:$C$110=$B33)*ISNUMBER(INDEX(Inputs!$K$5:$AJ$110,0,MATCH(F$2,Inputs!$K$4:$AJ$4,0))))+SUMPRODUCT((Inputs!$E$5:$E$110=$B33)*ISNUMBER(INDEX(Inputs!$K$5:$AJ$110,0,MATCH(F$2,Inputs!$K$4:$AJ$4,0))))=0,NA(),SUMPRODUCT((Inputs!$A$5:$A$110=$B33)*Inputs!$B$5:$B$110*(((Inputs!$G$5:$G$110="moeda")+(Inputs!$G$5:$G$110="acoes"))*Inputs!$B$1+((Inputs!$G$5:$G$110&lt;&gt;"moeda")*(Inputs!$G$5:$G$110&lt;&gt;"acoes")))*INDEX(Inputs!$K$5:$AJ$110,0,MATCH(F$2,Inputs!$K$4:$AJ$4,0)))+SUMPRODUCT((Inputs!$C$5:$C$110=$B33)*Inputs!$D$5:$D$110*(((Inputs!$G$5:$G$110="moeda")+(Inputs!$G$5:$G$110="acoes"))*Inputs!$B$1+((Inputs!$G$5:$G$110&lt;&gt;"moeda")*(Inputs!$G$5:$G$110&lt;&gt;"acoes")))*INDEX(Inputs!$K$5:$AJ$110,0,MATCH(F$2,Inputs!$K$4:$AJ$4,0)))+SUMPRODUCT((Inputs!$E$5:$E$110=$B33)*Inputs!$F$5:$F$110*(((Inputs!$G$5:$G$110="moeda")+(Inputs!$G$5:$G$110="acoes"))*Inputs!$B$1+((Inputs!$G$5:$G$110&lt;&gt;"moeda")*(Inputs!$G$5:$G$110&lt;&gt;"acoes")))*INDEX(Inputs!$K$5:$AJ$110,0,MATCH(F$2,Inputs!$K$4:$AJ$4,0)))))</f>
        <v>0</v>
      </c>
      <c r="G33" s="267">
        <f>IF(ISNA(MATCH(G$2,Inputs!$K$4:$AJ$4,0)),NA(),IF(SUMPRODUCT((Inputs!$A$5:$A$110=$B33)*ISNUMBER(INDEX(Inputs!$K$5:$AJ$110,0,MATCH(G$2,Inputs!$K$4:$AJ$4,0))))+SUMPRODUCT((Inputs!$C$5:$C$110=$B33)*ISNUMBER(INDEX(Inputs!$K$5:$AJ$110,0,MATCH(G$2,Inputs!$K$4:$AJ$4,0))))+SUMPRODUCT((Inputs!$E$5:$E$110=$B33)*ISNUMBER(INDEX(Inputs!$K$5:$AJ$110,0,MATCH(G$2,Inputs!$K$4:$AJ$4,0))))=0,NA(),SUMPRODUCT((Inputs!$A$5:$A$110=$B33)*Inputs!$B$5:$B$110*(((Inputs!$G$5:$G$110="moeda")+(Inputs!$G$5:$G$110="acoes"))*Inputs!$B$1+((Inputs!$G$5:$G$110&lt;&gt;"moeda")*(Inputs!$G$5:$G$110&lt;&gt;"acoes")))*INDEX(Inputs!$K$5:$AJ$110,0,MATCH(G$2,Inputs!$K$4:$AJ$4,0)))+SUMPRODUCT((Inputs!$C$5:$C$110=$B33)*Inputs!$D$5:$D$110*(((Inputs!$G$5:$G$110="moeda")+(Inputs!$G$5:$G$110="acoes"))*Inputs!$B$1+((Inputs!$G$5:$G$110&lt;&gt;"moeda")*(Inputs!$G$5:$G$110&lt;&gt;"acoes")))*INDEX(Inputs!$K$5:$AJ$110,0,MATCH(G$2,Inputs!$K$4:$AJ$4,0)))+SUMPRODUCT((Inputs!$E$5:$E$110=$B33)*Inputs!$F$5:$F$110*(((Inputs!$G$5:$G$110="moeda")+(Inputs!$G$5:$G$110="acoes"))*Inputs!$B$1+((Inputs!$G$5:$G$110&lt;&gt;"moeda")*(Inputs!$G$5:$G$110&lt;&gt;"acoes")))*INDEX(Inputs!$K$5:$AJ$110,0,MATCH(G$2,Inputs!$K$4:$AJ$4,0)))))</f>
        <v>0</v>
      </c>
      <c r="H33" s="268">
        <f>G33</f>
        <v>0</v>
      </c>
      <c r="I33" s="267">
        <f>IF(ISNA(MATCH(I$2,Inputs!$K$4:$AJ$4,0)),NA(),IF(SUMPRODUCT((Inputs!$A$5:$A$110=$B33)*ISNUMBER(INDEX(Inputs!$K$5:$AJ$110,0,MATCH(I$2,Inputs!$K$4:$AJ$4,0))))+SUMPRODUCT((Inputs!$C$5:$C$110=$B33)*ISNUMBER(INDEX(Inputs!$K$5:$AJ$110,0,MATCH(I$2,Inputs!$K$4:$AJ$4,0))))+SUMPRODUCT((Inputs!$E$5:$E$110=$B33)*ISNUMBER(INDEX(Inputs!$K$5:$AJ$110,0,MATCH(I$2,Inputs!$K$4:$AJ$4,0))))=0,NA(),SUMPRODUCT((Inputs!$A$5:$A$110=$B33)*Inputs!$B$5:$B$110*(((Inputs!$G$5:$G$110="moeda")+(Inputs!$G$5:$G$110="acoes"))*Inputs!$B$1+((Inputs!$G$5:$G$110&lt;&gt;"moeda")*(Inputs!$G$5:$G$110&lt;&gt;"acoes")))*INDEX(Inputs!$K$5:$AJ$110,0,MATCH(I$2,Inputs!$K$4:$AJ$4,0)))+SUMPRODUCT((Inputs!$C$5:$C$110=$B33)*Inputs!$D$5:$D$110*(((Inputs!$G$5:$G$110="moeda")+(Inputs!$G$5:$G$110="acoes"))*Inputs!$B$1+((Inputs!$G$5:$G$110&lt;&gt;"moeda")*(Inputs!$G$5:$G$110&lt;&gt;"acoes")))*INDEX(Inputs!$K$5:$AJ$110,0,MATCH(I$2,Inputs!$K$4:$AJ$4,0)))+SUMPRODUCT((Inputs!$E$5:$E$110=$B33)*Inputs!$F$5:$F$110*(((Inputs!$G$5:$G$110="moeda")+(Inputs!$G$5:$G$110="acoes"))*Inputs!$B$1+((Inputs!$G$5:$G$110&lt;&gt;"moeda")*(Inputs!$G$5:$G$110&lt;&gt;"acoes")))*INDEX(Inputs!$K$5:$AJ$110,0,MATCH(I$2,Inputs!$K$4:$AJ$4,0)))))</f>
        <v>0</v>
      </c>
      <c r="J33" s="267">
        <f>IF(ISNA(MATCH(J$2,Inputs!$K$4:$AJ$4,0)),NA(),IF(SUMPRODUCT((Inputs!$A$5:$A$110=$B33)*ISNUMBER(INDEX(Inputs!$K$5:$AJ$110,0,MATCH(J$2,Inputs!$K$4:$AJ$4,0))))+SUMPRODUCT((Inputs!$C$5:$C$110=$B33)*ISNUMBER(INDEX(Inputs!$K$5:$AJ$110,0,MATCH(J$2,Inputs!$K$4:$AJ$4,0))))+SUMPRODUCT((Inputs!$E$5:$E$110=$B33)*ISNUMBER(INDEX(Inputs!$K$5:$AJ$110,0,MATCH(J$2,Inputs!$K$4:$AJ$4,0))))=0,NA(),SUMPRODUCT((Inputs!$A$5:$A$110=$B33)*Inputs!$B$5:$B$110*(((Inputs!$G$5:$G$110="moeda")+(Inputs!$G$5:$G$110="acoes"))*Inputs!$B$1+((Inputs!$G$5:$G$110&lt;&gt;"moeda")*(Inputs!$G$5:$G$110&lt;&gt;"acoes")))*INDEX(Inputs!$K$5:$AJ$110,0,MATCH(J$2,Inputs!$K$4:$AJ$4,0)))+SUMPRODUCT((Inputs!$C$5:$C$110=$B33)*Inputs!$D$5:$D$110*(((Inputs!$G$5:$G$110="moeda")+(Inputs!$G$5:$G$110="acoes"))*Inputs!$B$1+((Inputs!$G$5:$G$110&lt;&gt;"moeda")*(Inputs!$G$5:$G$110&lt;&gt;"acoes")))*INDEX(Inputs!$K$5:$AJ$110,0,MATCH(J$2,Inputs!$K$4:$AJ$4,0)))+SUMPRODUCT((Inputs!$E$5:$E$110=$B33)*Inputs!$F$5:$F$110*(((Inputs!$G$5:$G$110="moeda")+(Inputs!$G$5:$G$110="acoes"))*Inputs!$B$1+((Inputs!$G$5:$G$110&lt;&gt;"moeda")*(Inputs!$G$5:$G$110&lt;&gt;"acoes")))*INDEX(Inputs!$K$5:$AJ$110,0,MATCH(J$2,Inputs!$K$4:$AJ$4,0)))))</f>
        <v>0</v>
      </c>
      <c r="K33" s="267">
        <f>IF(ISNA(MATCH(K$2,Inputs!$K$4:$AJ$4,0)),NA(),IF(SUMPRODUCT((Inputs!$A$5:$A$110=$B33)*ISNUMBER(INDEX(Inputs!$K$5:$AJ$110,0,MATCH(K$2,Inputs!$K$4:$AJ$4,0))))+SUMPRODUCT((Inputs!$C$5:$C$110=$B33)*ISNUMBER(INDEX(Inputs!$K$5:$AJ$110,0,MATCH(K$2,Inputs!$K$4:$AJ$4,0))))+SUMPRODUCT((Inputs!$E$5:$E$110=$B33)*ISNUMBER(INDEX(Inputs!$K$5:$AJ$110,0,MATCH(K$2,Inputs!$K$4:$AJ$4,0))))=0,NA(),SUMPRODUCT((Inputs!$A$5:$A$110=$B33)*Inputs!$B$5:$B$110*(((Inputs!$G$5:$G$110="moeda")+(Inputs!$G$5:$G$110="acoes"))*Inputs!$B$1+((Inputs!$G$5:$G$110&lt;&gt;"moeda")*(Inputs!$G$5:$G$110&lt;&gt;"acoes")))*INDEX(Inputs!$K$5:$AJ$110,0,MATCH(K$2,Inputs!$K$4:$AJ$4,0)))+SUMPRODUCT((Inputs!$C$5:$C$110=$B33)*Inputs!$D$5:$D$110*(((Inputs!$G$5:$G$110="moeda")+(Inputs!$G$5:$G$110="acoes"))*Inputs!$B$1+((Inputs!$G$5:$G$110&lt;&gt;"moeda")*(Inputs!$G$5:$G$110&lt;&gt;"acoes")))*INDEX(Inputs!$K$5:$AJ$110,0,MATCH(K$2,Inputs!$K$4:$AJ$4,0)))+SUMPRODUCT((Inputs!$E$5:$E$110=$B33)*Inputs!$F$5:$F$110*(((Inputs!$G$5:$G$110="moeda")+(Inputs!$G$5:$G$110="acoes"))*Inputs!$B$1+((Inputs!$G$5:$G$110&lt;&gt;"moeda")*(Inputs!$G$5:$G$110&lt;&gt;"acoes")))*INDEX(Inputs!$K$5:$AJ$110,0,MATCH(K$2,Inputs!$K$4:$AJ$4,0)))))</f>
        <v>0</v>
      </c>
      <c r="L33" s="267">
        <f>IF(ISNA(MATCH(L$2,Inputs!$K$4:$AJ$4,0)),NA(),IF(SUMPRODUCT((Inputs!$A$5:$A$110=$B33)*ISNUMBER(INDEX(Inputs!$K$5:$AJ$110,0,MATCH(L$2,Inputs!$K$4:$AJ$4,0))))+SUMPRODUCT((Inputs!$C$5:$C$110=$B33)*ISNUMBER(INDEX(Inputs!$K$5:$AJ$110,0,MATCH(L$2,Inputs!$K$4:$AJ$4,0))))+SUMPRODUCT((Inputs!$E$5:$E$110=$B33)*ISNUMBER(INDEX(Inputs!$K$5:$AJ$110,0,MATCH(L$2,Inputs!$K$4:$AJ$4,0))))=0,NA(),SUMPRODUCT((Inputs!$A$5:$A$110=$B33)*Inputs!$B$5:$B$110*(((Inputs!$G$5:$G$110="moeda")+(Inputs!$G$5:$G$110="acoes"))*Inputs!$B$1+((Inputs!$G$5:$G$110&lt;&gt;"moeda")*(Inputs!$G$5:$G$110&lt;&gt;"acoes")))*INDEX(Inputs!$K$5:$AJ$110,0,MATCH(L$2,Inputs!$K$4:$AJ$4,0)))+SUMPRODUCT((Inputs!$C$5:$C$110=$B33)*Inputs!$D$5:$D$110*(((Inputs!$G$5:$G$110="moeda")+(Inputs!$G$5:$G$110="acoes"))*Inputs!$B$1+((Inputs!$G$5:$G$110&lt;&gt;"moeda")*(Inputs!$G$5:$G$110&lt;&gt;"acoes")))*INDEX(Inputs!$K$5:$AJ$110,0,MATCH(L$2,Inputs!$K$4:$AJ$4,0)))+SUMPRODUCT((Inputs!$E$5:$E$110=$B33)*Inputs!$F$5:$F$110*(((Inputs!$G$5:$G$110="moeda")+(Inputs!$G$5:$G$110="acoes"))*Inputs!$B$1+((Inputs!$G$5:$G$110&lt;&gt;"moeda")*(Inputs!$G$5:$G$110&lt;&gt;"acoes")))*INDEX(Inputs!$K$5:$AJ$110,0,MATCH(L$2,Inputs!$K$4:$AJ$4,0)))))</f>
        <v>0</v>
      </c>
      <c r="M33" s="268">
        <f>L33</f>
        <v>0</v>
      </c>
      <c r="N33" s="267">
        <f>IF(ISNA(MATCH(N$2,Inputs!$K$4:$AJ$4,0)),NA(),IF(SUMPRODUCT((Inputs!$A$5:$A$110=$B33)*ISNUMBER(INDEX(Inputs!$K$5:$AJ$110,0,MATCH(N$2,Inputs!$K$4:$AJ$4,0))))+SUMPRODUCT((Inputs!$C$5:$C$110=$B33)*ISNUMBER(INDEX(Inputs!$K$5:$AJ$110,0,MATCH(N$2,Inputs!$K$4:$AJ$4,0))))+SUMPRODUCT((Inputs!$E$5:$E$110=$B33)*ISNUMBER(INDEX(Inputs!$K$5:$AJ$110,0,MATCH(N$2,Inputs!$K$4:$AJ$4,0))))=0,NA(),SUMPRODUCT((Inputs!$A$5:$A$110=$B33)*Inputs!$B$5:$B$110*(((Inputs!$G$5:$G$110="moeda")+(Inputs!$G$5:$G$110="acoes"))*Inputs!$B$1+((Inputs!$G$5:$G$110&lt;&gt;"moeda")*(Inputs!$G$5:$G$110&lt;&gt;"acoes")))*INDEX(Inputs!$K$5:$AJ$110,0,MATCH(N$2,Inputs!$K$4:$AJ$4,0)))+SUMPRODUCT((Inputs!$C$5:$C$110=$B33)*Inputs!$D$5:$D$110*(((Inputs!$G$5:$G$110="moeda")+(Inputs!$G$5:$G$110="acoes"))*Inputs!$B$1+((Inputs!$G$5:$G$110&lt;&gt;"moeda")*(Inputs!$G$5:$G$110&lt;&gt;"acoes")))*INDEX(Inputs!$K$5:$AJ$110,0,MATCH(N$2,Inputs!$K$4:$AJ$4,0)))+SUMPRODUCT((Inputs!$E$5:$E$110=$B33)*Inputs!$F$5:$F$110*(((Inputs!$G$5:$G$110="moeda")+(Inputs!$G$5:$G$110="acoes"))*Inputs!$B$1+((Inputs!$G$5:$G$110&lt;&gt;"moeda")*(Inputs!$G$5:$G$110&lt;&gt;"acoes")))*INDEX(Inputs!$K$5:$AJ$110,0,MATCH(N$2,Inputs!$K$4:$AJ$4,0)))))</f>
        <v>0</v>
      </c>
      <c r="O33" s="267">
        <f>IF(ISNA(MATCH(O$2,Inputs!$K$4:$AJ$4,0)),NA(),IF(SUMPRODUCT((Inputs!$A$5:$A$110=$B33)*ISNUMBER(INDEX(Inputs!$K$5:$AJ$110,0,MATCH(O$2,Inputs!$K$4:$AJ$4,0))))+SUMPRODUCT((Inputs!$C$5:$C$110=$B33)*ISNUMBER(INDEX(Inputs!$K$5:$AJ$110,0,MATCH(O$2,Inputs!$K$4:$AJ$4,0))))+SUMPRODUCT((Inputs!$E$5:$E$110=$B33)*ISNUMBER(INDEX(Inputs!$K$5:$AJ$110,0,MATCH(O$2,Inputs!$K$4:$AJ$4,0))))=0,NA(),SUMPRODUCT((Inputs!$A$5:$A$110=$B33)*Inputs!$B$5:$B$110*(((Inputs!$G$5:$G$110="moeda")+(Inputs!$G$5:$G$110="acoes"))*Inputs!$B$1+((Inputs!$G$5:$G$110&lt;&gt;"moeda")*(Inputs!$G$5:$G$110&lt;&gt;"acoes")))*INDEX(Inputs!$K$5:$AJ$110,0,MATCH(O$2,Inputs!$K$4:$AJ$4,0)))+SUMPRODUCT((Inputs!$C$5:$C$110=$B33)*Inputs!$D$5:$D$110*(((Inputs!$G$5:$G$110="moeda")+(Inputs!$G$5:$G$110="acoes"))*Inputs!$B$1+((Inputs!$G$5:$G$110&lt;&gt;"moeda")*(Inputs!$G$5:$G$110&lt;&gt;"acoes")))*INDEX(Inputs!$K$5:$AJ$110,0,MATCH(O$2,Inputs!$K$4:$AJ$4,0)))+SUMPRODUCT((Inputs!$E$5:$E$110=$B33)*Inputs!$F$5:$F$110*(((Inputs!$G$5:$G$110="moeda")+(Inputs!$G$5:$G$110="acoes"))*Inputs!$B$1+((Inputs!$G$5:$G$110&lt;&gt;"moeda")*(Inputs!$G$5:$G$110&lt;&gt;"acoes")))*INDEX(Inputs!$K$5:$AJ$110,0,MATCH(O$2,Inputs!$K$4:$AJ$4,0)))))</f>
        <v>0</v>
      </c>
      <c r="P33" s="267">
        <f>IF(ISNA(MATCH(P$2,Inputs!$K$4:$AJ$4,0)),NA(),IF(SUMPRODUCT((Inputs!$A$5:$A$110=$B33)*ISNUMBER(INDEX(Inputs!$K$5:$AJ$110,0,MATCH(P$2,Inputs!$K$4:$AJ$4,0))))+SUMPRODUCT((Inputs!$C$5:$C$110=$B33)*ISNUMBER(INDEX(Inputs!$K$5:$AJ$110,0,MATCH(P$2,Inputs!$K$4:$AJ$4,0))))+SUMPRODUCT((Inputs!$E$5:$E$110=$B33)*ISNUMBER(INDEX(Inputs!$K$5:$AJ$110,0,MATCH(P$2,Inputs!$K$4:$AJ$4,0))))=0,NA(),SUMPRODUCT((Inputs!$A$5:$A$110=$B33)*Inputs!$B$5:$B$110*(((Inputs!$G$5:$G$110="moeda")+(Inputs!$G$5:$G$110="acoes"))*Inputs!$B$1+((Inputs!$G$5:$G$110&lt;&gt;"moeda")*(Inputs!$G$5:$G$110&lt;&gt;"acoes")))*INDEX(Inputs!$K$5:$AJ$110,0,MATCH(P$2,Inputs!$K$4:$AJ$4,0)))+SUMPRODUCT((Inputs!$C$5:$C$110=$B33)*Inputs!$D$5:$D$110*(((Inputs!$G$5:$G$110="moeda")+(Inputs!$G$5:$G$110="acoes"))*Inputs!$B$1+((Inputs!$G$5:$G$110&lt;&gt;"moeda")*(Inputs!$G$5:$G$110&lt;&gt;"acoes")))*INDEX(Inputs!$K$5:$AJ$110,0,MATCH(P$2,Inputs!$K$4:$AJ$4,0)))+SUMPRODUCT((Inputs!$E$5:$E$110=$B33)*Inputs!$F$5:$F$110*(((Inputs!$G$5:$G$110="moeda")+(Inputs!$G$5:$G$110="acoes"))*Inputs!$B$1+((Inputs!$G$5:$G$110&lt;&gt;"moeda")*(Inputs!$G$5:$G$110&lt;&gt;"acoes")))*INDEX(Inputs!$K$5:$AJ$110,0,MATCH(P$2,Inputs!$K$4:$AJ$4,0)))))</f>
        <v>0</v>
      </c>
      <c r="Q33" s="267">
        <f>IF(ISNA(MATCH(Q$2,Inputs!$K$4:$AJ$4,0)),NA(),IF(SUMPRODUCT((Inputs!$A$5:$A$110=$B33)*ISNUMBER(INDEX(Inputs!$K$5:$AJ$110,0,MATCH(Q$2,Inputs!$K$4:$AJ$4,0))))+SUMPRODUCT((Inputs!$C$5:$C$110=$B33)*ISNUMBER(INDEX(Inputs!$K$5:$AJ$110,0,MATCH(Q$2,Inputs!$K$4:$AJ$4,0))))+SUMPRODUCT((Inputs!$E$5:$E$110=$B33)*ISNUMBER(INDEX(Inputs!$K$5:$AJ$110,0,MATCH(Q$2,Inputs!$K$4:$AJ$4,0))))=0,NA(),SUMPRODUCT((Inputs!$A$5:$A$110=$B33)*Inputs!$B$5:$B$110*(((Inputs!$G$5:$G$110="moeda")+(Inputs!$G$5:$G$110="acoes"))*Inputs!$B$1+((Inputs!$G$5:$G$110&lt;&gt;"moeda")*(Inputs!$G$5:$G$110&lt;&gt;"acoes")))*INDEX(Inputs!$K$5:$AJ$110,0,MATCH(Q$2,Inputs!$K$4:$AJ$4,0)))+SUMPRODUCT((Inputs!$C$5:$C$110=$B33)*Inputs!$D$5:$D$110*(((Inputs!$G$5:$G$110="moeda")+(Inputs!$G$5:$G$110="acoes"))*Inputs!$B$1+((Inputs!$G$5:$G$110&lt;&gt;"moeda")*(Inputs!$G$5:$G$110&lt;&gt;"acoes")))*INDEX(Inputs!$K$5:$AJ$110,0,MATCH(Q$2,Inputs!$K$4:$AJ$4,0)))+SUMPRODUCT((Inputs!$E$5:$E$110=$B33)*Inputs!$F$5:$F$110*(((Inputs!$G$5:$G$110="moeda")+(Inputs!$G$5:$G$110="acoes"))*Inputs!$B$1+((Inputs!$G$5:$G$110&lt;&gt;"moeda")*(Inputs!$G$5:$G$110&lt;&gt;"acoes")))*INDEX(Inputs!$K$5:$AJ$110,0,MATCH(Q$2,Inputs!$K$4:$AJ$4,0)))))</f>
        <v>0</v>
      </c>
      <c r="R33" s="268">
        <f>Q33</f>
        <v>0</v>
      </c>
      <c r="S33" s="267">
        <f>IF(ISNA(MATCH(S$2,Inputs!$K$4:$AJ$4,0)),NA(),IF(SUMPRODUCT((Inputs!$A$5:$A$110=$B33)*ISNUMBER(INDEX(Inputs!$K$5:$AJ$110,0,MATCH(S$2,Inputs!$K$4:$AJ$4,0))))+SUMPRODUCT((Inputs!$C$5:$C$110=$B33)*ISNUMBER(INDEX(Inputs!$K$5:$AJ$110,0,MATCH(S$2,Inputs!$K$4:$AJ$4,0))))+SUMPRODUCT((Inputs!$E$5:$E$110=$B33)*ISNUMBER(INDEX(Inputs!$K$5:$AJ$110,0,MATCH(S$2,Inputs!$K$4:$AJ$4,0))))=0,NA(),SUMPRODUCT((Inputs!$A$5:$A$110=$B33)*Inputs!$B$5:$B$110*(((Inputs!$G$5:$G$110="moeda")+(Inputs!$G$5:$G$110="acoes"))*Inputs!$B$1+((Inputs!$G$5:$G$110&lt;&gt;"moeda")*(Inputs!$G$5:$G$110&lt;&gt;"acoes")))*INDEX(Inputs!$K$5:$AJ$110,0,MATCH(S$2,Inputs!$K$4:$AJ$4,0)))+SUMPRODUCT((Inputs!$C$5:$C$110=$B33)*Inputs!$D$5:$D$110*(((Inputs!$G$5:$G$110="moeda")+(Inputs!$G$5:$G$110="acoes"))*Inputs!$B$1+((Inputs!$G$5:$G$110&lt;&gt;"moeda")*(Inputs!$G$5:$G$110&lt;&gt;"acoes")))*INDEX(Inputs!$K$5:$AJ$110,0,MATCH(S$2,Inputs!$K$4:$AJ$4,0)))+SUMPRODUCT((Inputs!$E$5:$E$110=$B33)*Inputs!$F$5:$F$110*(((Inputs!$G$5:$G$110="moeda")+(Inputs!$G$5:$G$110="acoes"))*Inputs!$B$1+((Inputs!$G$5:$G$110&lt;&gt;"moeda")*(Inputs!$G$5:$G$110&lt;&gt;"acoes")))*INDEX(Inputs!$K$5:$AJ$110,0,MATCH(S$2,Inputs!$K$4:$AJ$4,0)))))</f>
        <v>0</v>
      </c>
      <c r="T33" s="267">
        <f>IF(ISNA(MATCH(T$2,Inputs!$K$4:$AJ$4,0)),NA(),IF(SUMPRODUCT((Inputs!$A$5:$A$110=$B33)*ISNUMBER(INDEX(Inputs!$K$5:$AJ$110,0,MATCH(T$2,Inputs!$K$4:$AJ$4,0))))+SUMPRODUCT((Inputs!$C$5:$C$110=$B33)*ISNUMBER(INDEX(Inputs!$K$5:$AJ$110,0,MATCH(T$2,Inputs!$K$4:$AJ$4,0))))+SUMPRODUCT((Inputs!$E$5:$E$110=$B33)*ISNUMBER(INDEX(Inputs!$K$5:$AJ$110,0,MATCH(T$2,Inputs!$K$4:$AJ$4,0))))=0,NA(),SUMPRODUCT((Inputs!$A$5:$A$110=$B33)*Inputs!$B$5:$B$110*(((Inputs!$G$5:$G$110="moeda")+(Inputs!$G$5:$G$110="acoes"))*Inputs!$B$1+((Inputs!$G$5:$G$110&lt;&gt;"moeda")*(Inputs!$G$5:$G$110&lt;&gt;"acoes")))*INDEX(Inputs!$K$5:$AJ$110,0,MATCH(T$2,Inputs!$K$4:$AJ$4,0)))+SUMPRODUCT((Inputs!$C$5:$C$110=$B33)*Inputs!$D$5:$D$110*(((Inputs!$G$5:$G$110="moeda")+(Inputs!$G$5:$G$110="acoes"))*Inputs!$B$1+((Inputs!$G$5:$G$110&lt;&gt;"moeda")*(Inputs!$G$5:$G$110&lt;&gt;"acoes")))*INDEX(Inputs!$K$5:$AJ$110,0,MATCH(T$2,Inputs!$K$4:$AJ$4,0)))+SUMPRODUCT((Inputs!$E$5:$E$110=$B33)*Inputs!$F$5:$F$110*(((Inputs!$G$5:$G$110="moeda")+(Inputs!$G$5:$G$110="acoes"))*Inputs!$B$1+((Inputs!$G$5:$G$110&lt;&gt;"moeda")*(Inputs!$G$5:$G$110&lt;&gt;"acoes")))*INDEX(Inputs!$K$5:$AJ$110,0,MATCH(T$2,Inputs!$K$4:$AJ$4,0)))))</f>
        <v>0</v>
      </c>
      <c r="U33" s="267">
        <f>IF(ISNA(MATCH(U$2,Inputs!$K$4:$AJ$4,0)),NA(),IF(SUMPRODUCT((Inputs!$A$5:$A$110=$B33)*ISNUMBER(INDEX(Inputs!$K$5:$AJ$110,0,MATCH(U$2,Inputs!$K$4:$AJ$4,0))))+SUMPRODUCT((Inputs!$C$5:$C$110=$B33)*ISNUMBER(INDEX(Inputs!$K$5:$AJ$110,0,MATCH(U$2,Inputs!$K$4:$AJ$4,0))))+SUMPRODUCT((Inputs!$E$5:$E$110=$B33)*ISNUMBER(INDEX(Inputs!$K$5:$AJ$110,0,MATCH(U$2,Inputs!$K$4:$AJ$4,0))))=0,NA(),SUMPRODUCT((Inputs!$A$5:$A$110=$B33)*Inputs!$B$5:$B$110*(((Inputs!$G$5:$G$110="moeda")+(Inputs!$G$5:$G$110="acoes"))*Inputs!$B$1+((Inputs!$G$5:$G$110&lt;&gt;"moeda")*(Inputs!$G$5:$G$110&lt;&gt;"acoes")))*INDEX(Inputs!$K$5:$AJ$110,0,MATCH(U$2,Inputs!$K$4:$AJ$4,0)))+SUMPRODUCT((Inputs!$C$5:$C$110=$B33)*Inputs!$D$5:$D$110*(((Inputs!$G$5:$G$110="moeda")+(Inputs!$G$5:$G$110="acoes"))*Inputs!$B$1+((Inputs!$G$5:$G$110&lt;&gt;"moeda")*(Inputs!$G$5:$G$110&lt;&gt;"acoes")))*INDEX(Inputs!$K$5:$AJ$110,0,MATCH(U$2,Inputs!$K$4:$AJ$4,0)))+SUMPRODUCT((Inputs!$E$5:$E$110=$B33)*Inputs!$F$5:$F$110*(((Inputs!$G$5:$G$110="moeda")+(Inputs!$G$5:$G$110="acoes"))*Inputs!$B$1+((Inputs!$G$5:$G$110&lt;&gt;"moeda")*(Inputs!$G$5:$G$110&lt;&gt;"acoes")))*INDEX(Inputs!$K$5:$AJ$110,0,MATCH(U$2,Inputs!$K$4:$AJ$4,0)))))</f>
        <v>0</v>
      </c>
      <c r="V33" s="267">
        <f>IF(ISNA(MATCH(V$2,Inputs!$K$4:$AJ$4,0)),NA(),IF(SUMPRODUCT((Inputs!$A$5:$A$110=$B33)*ISNUMBER(INDEX(Inputs!$K$5:$AJ$110,0,MATCH(V$2,Inputs!$K$4:$AJ$4,0))))+SUMPRODUCT((Inputs!$C$5:$C$110=$B33)*ISNUMBER(INDEX(Inputs!$K$5:$AJ$110,0,MATCH(V$2,Inputs!$K$4:$AJ$4,0))))+SUMPRODUCT((Inputs!$E$5:$E$110=$B33)*ISNUMBER(INDEX(Inputs!$K$5:$AJ$110,0,MATCH(V$2,Inputs!$K$4:$AJ$4,0))))=0,NA(),SUMPRODUCT((Inputs!$A$5:$A$110=$B33)*Inputs!$B$5:$B$110*(((Inputs!$G$5:$G$110="moeda")+(Inputs!$G$5:$G$110="acoes"))*Inputs!$B$1+((Inputs!$G$5:$G$110&lt;&gt;"moeda")*(Inputs!$G$5:$G$110&lt;&gt;"acoes")))*INDEX(Inputs!$K$5:$AJ$110,0,MATCH(V$2,Inputs!$K$4:$AJ$4,0)))+SUMPRODUCT((Inputs!$C$5:$C$110=$B33)*Inputs!$D$5:$D$110*(((Inputs!$G$5:$G$110="moeda")+(Inputs!$G$5:$G$110="acoes"))*Inputs!$B$1+((Inputs!$G$5:$G$110&lt;&gt;"moeda")*(Inputs!$G$5:$G$110&lt;&gt;"acoes")))*INDEX(Inputs!$K$5:$AJ$110,0,MATCH(V$2,Inputs!$K$4:$AJ$4,0)))+SUMPRODUCT((Inputs!$E$5:$E$110=$B33)*Inputs!$F$5:$F$110*(((Inputs!$G$5:$G$110="moeda")+(Inputs!$G$5:$G$110="acoes"))*Inputs!$B$1+((Inputs!$G$5:$G$110&lt;&gt;"moeda")*(Inputs!$G$5:$G$110&lt;&gt;"acoes")))*INDEX(Inputs!$K$5:$AJ$110,0,MATCH(V$2,Inputs!$K$4:$AJ$4,0)))))</f>
        <v>0</v>
      </c>
      <c r="W33" s="268">
        <f>V33</f>
        <v>0</v>
      </c>
      <c r="X33" s="267">
        <f>IF(ISNA(MATCH(X$2,Inputs!$K$4:$AJ$4,0)),NA(),IF(SUMPRODUCT((Inputs!$A$5:$A$110=$B33)*ISNUMBER(INDEX(Inputs!$K$5:$AJ$110,0,MATCH(X$2,Inputs!$K$4:$AJ$4,0))))+SUMPRODUCT((Inputs!$C$5:$C$110=$B33)*ISNUMBER(INDEX(Inputs!$K$5:$AJ$110,0,MATCH(X$2,Inputs!$K$4:$AJ$4,0))))+SUMPRODUCT((Inputs!$E$5:$E$110=$B33)*ISNUMBER(INDEX(Inputs!$K$5:$AJ$110,0,MATCH(X$2,Inputs!$K$4:$AJ$4,0))))=0,NA(),SUMPRODUCT((Inputs!$A$5:$A$110=$B33)*Inputs!$B$5:$B$110*(((Inputs!$G$5:$G$110="moeda")+(Inputs!$G$5:$G$110="acoes"))*Inputs!$B$1+((Inputs!$G$5:$G$110&lt;&gt;"moeda")*(Inputs!$G$5:$G$110&lt;&gt;"acoes")))*INDEX(Inputs!$K$5:$AJ$110,0,MATCH(X$2,Inputs!$K$4:$AJ$4,0)))+SUMPRODUCT((Inputs!$C$5:$C$110=$B33)*Inputs!$D$5:$D$110*(((Inputs!$G$5:$G$110="moeda")+(Inputs!$G$5:$G$110="acoes"))*Inputs!$B$1+((Inputs!$G$5:$G$110&lt;&gt;"moeda")*(Inputs!$G$5:$G$110&lt;&gt;"acoes")))*INDEX(Inputs!$K$5:$AJ$110,0,MATCH(X$2,Inputs!$K$4:$AJ$4,0)))+SUMPRODUCT((Inputs!$E$5:$E$110=$B33)*Inputs!$F$5:$F$110*(((Inputs!$G$5:$G$110="moeda")+(Inputs!$G$5:$G$110="acoes"))*Inputs!$B$1+((Inputs!$G$5:$G$110&lt;&gt;"moeda")*(Inputs!$G$5:$G$110&lt;&gt;"acoes")))*INDEX(Inputs!$K$5:$AJ$110,0,MATCH(X$2,Inputs!$K$4:$AJ$4,0)))))</f>
        <v>0</v>
      </c>
      <c r="Y33" s="267">
        <f>IF(ISNA(MATCH(Y$2,Inputs!$K$4:$AJ$4,0)),NA(),IF(SUMPRODUCT((Inputs!$A$5:$A$110=$B33)*ISNUMBER(INDEX(Inputs!$K$5:$AJ$110,0,MATCH(Y$2,Inputs!$K$4:$AJ$4,0))))+SUMPRODUCT((Inputs!$C$5:$C$110=$B33)*ISNUMBER(INDEX(Inputs!$K$5:$AJ$110,0,MATCH(Y$2,Inputs!$K$4:$AJ$4,0))))+SUMPRODUCT((Inputs!$E$5:$E$110=$B33)*ISNUMBER(INDEX(Inputs!$K$5:$AJ$110,0,MATCH(Y$2,Inputs!$K$4:$AJ$4,0))))=0,NA(),SUMPRODUCT((Inputs!$A$5:$A$110=$B33)*Inputs!$B$5:$B$110*(((Inputs!$G$5:$G$110="moeda")+(Inputs!$G$5:$G$110="acoes"))*Inputs!$B$1+((Inputs!$G$5:$G$110&lt;&gt;"moeda")*(Inputs!$G$5:$G$110&lt;&gt;"acoes")))*INDEX(Inputs!$K$5:$AJ$110,0,MATCH(Y$2,Inputs!$K$4:$AJ$4,0)))+SUMPRODUCT((Inputs!$C$5:$C$110=$B33)*Inputs!$D$5:$D$110*(((Inputs!$G$5:$G$110="moeda")+(Inputs!$G$5:$G$110="acoes"))*Inputs!$B$1+((Inputs!$G$5:$G$110&lt;&gt;"moeda")*(Inputs!$G$5:$G$110&lt;&gt;"acoes")))*INDEX(Inputs!$K$5:$AJ$110,0,MATCH(Y$2,Inputs!$K$4:$AJ$4,0)))+SUMPRODUCT((Inputs!$E$5:$E$110=$B33)*Inputs!$F$5:$F$110*(((Inputs!$G$5:$G$110="moeda")+(Inputs!$G$5:$G$110="acoes"))*Inputs!$B$1+((Inputs!$G$5:$G$110&lt;&gt;"moeda")*(Inputs!$G$5:$G$110&lt;&gt;"acoes")))*INDEX(Inputs!$K$5:$AJ$110,0,MATCH(Y$2,Inputs!$K$4:$AJ$4,0)))))</f>
        <v>0</v>
      </c>
      <c r="Z33" s="267">
        <f>IF(ISNA(MATCH(Z$2,Inputs!$K$4:$AJ$4,0)),NA(),IF(SUMPRODUCT((Inputs!$A$5:$A$110=$B33)*ISNUMBER(INDEX(Inputs!$K$5:$AJ$110,0,MATCH(Z$2,Inputs!$K$4:$AJ$4,0))))+SUMPRODUCT((Inputs!$C$5:$C$110=$B33)*ISNUMBER(INDEX(Inputs!$K$5:$AJ$110,0,MATCH(Z$2,Inputs!$K$4:$AJ$4,0))))+SUMPRODUCT((Inputs!$E$5:$E$110=$B33)*ISNUMBER(INDEX(Inputs!$K$5:$AJ$110,0,MATCH(Z$2,Inputs!$K$4:$AJ$4,0))))=0,NA(),SUMPRODUCT((Inputs!$A$5:$A$110=$B33)*Inputs!$B$5:$B$110*(((Inputs!$G$5:$G$110="moeda")+(Inputs!$G$5:$G$110="acoes"))*Inputs!$B$1+((Inputs!$G$5:$G$110&lt;&gt;"moeda")*(Inputs!$G$5:$G$110&lt;&gt;"acoes")))*INDEX(Inputs!$K$5:$AJ$110,0,MATCH(Z$2,Inputs!$K$4:$AJ$4,0)))+SUMPRODUCT((Inputs!$C$5:$C$110=$B33)*Inputs!$D$5:$D$110*(((Inputs!$G$5:$G$110="moeda")+(Inputs!$G$5:$G$110="acoes"))*Inputs!$B$1+((Inputs!$G$5:$G$110&lt;&gt;"moeda")*(Inputs!$G$5:$G$110&lt;&gt;"acoes")))*INDEX(Inputs!$K$5:$AJ$110,0,MATCH(Z$2,Inputs!$K$4:$AJ$4,0)))+SUMPRODUCT((Inputs!$E$5:$E$110=$B33)*Inputs!$F$5:$F$110*(((Inputs!$G$5:$G$110="moeda")+(Inputs!$G$5:$G$110="acoes"))*Inputs!$B$1+((Inputs!$G$5:$G$110&lt;&gt;"moeda")*(Inputs!$G$5:$G$110&lt;&gt;"acoes")))*INDEX(Inputs!$K$5:$AJ$110,0,MATCH(Z$2,Inputs!$K$4:$AJ$4,0)))))</f>
        <v>0</v>
      </c>
      <c r="AA33" s="267">
        <f>IF(ISNA(MATCH(AA$2,Inputs!$K$4:$AJ$4,0)),NA(),IF(SUMPRODUCT((Inputs!$A$5:$A$110=$B33)*ISNUMBER(INDEX(Inputs!$K$5:$AJ$110,0,MATCH(AA$2,Inputs!$K$4:$AJ$4,0))))+SUMPRODUCT((Inputs!$C$5:$C$110=$B33)*ISNUMBER(INDEX(Inputs!$K$5:$AJ$110,0,MATCH(AA$2,Inputs!$K$4:$AJ$4,0))))+SUMPRODUCT((Inputs!$E$5:$E$110=$B33)*ISNUMBER(INDEX(Inputs!$K$5:$AJ$110,0,MATCH(AA$2,Inputs!$K$4:$AJ$4,0))))=0,NA(),SUMPRODUCT((Inputs!$A$5:$A$110=$B33)*Inputs!$B$5:$B$110*(((Inputs!$G$5:$G$110="moeda")+(Inputs!$G$5:$G$110="acoes"))*Inputs!$B$1+((Inputs!$G$5:$G$110&lt;&gt;"moeda")*(Inputs!$G$5:$G$110&lt;&gt;"acoes")))*INDEX(Inputs!$K$5:$AJ$110,0,MATCH(AA$2,Inputs!$K$4:$AJ$4,0)))+SUMPRODUCT((Inputs!$C$5:$C$110=$B33)*Inputs!$D$5:$D$110*(((Inputs!$G$5:$G$110="moeda")+(Inputs!$G$5:$G$110="acoes"))*Inputs!$B$1+((Inputs!$G$5:$G$110&lt;&gt;"moeda")*(Inputs!$G$5:$G$110&lt;&gt;"acoes")))*INDEX(Inputs!$K$5:$AJ$110,0,MATCH(AA$2,Inputs!$K$4:$AJ$4,0)))+SUMPRODUCT((Inputs!$E$5:$E$110=$B33)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3" s="268">
        <f>AA33</f>
        <v>0</v>
      </c>
      <c r="AC33" s="267">
        <f>IF(ISNA(MATCH(AC$2,Inputs!$K$4:$AJ$4,0)),NA(),IF(SUMPRODUCT((Inputs!$A$5:$A$110=$B33)*ISNUMBER(INDEX(Inputs!$K$5:$AJ$110,0,MATCH(AC$2,Inputs!$K$4:$AJ$4,0))))+SUMPRODUCT((Inputs!$C$5:$C$110=$B33)*ISNUMBER(INDEX(Inputs!$K$5:$AJ$110,0,MATCH(AC$2,Inputs!$K$4:$AJ$4,0))))+SUMPRODUCT((Inputs!$E$5:$E$110=$B33)*ISNUMBER(INDEX(Inputs!$K$5:$AJ$110,0,MATCH(AC$2,Inputs!$K$4:$AJ$4,0))))=0,NA(),SUMPRODUCT((Inputs!$A$5:$A$110=$B33)*Inputs!$B$5:$B$110*(((Inputs!$G$5:$G$110="moeda")+(Inputs!$G$5:$G$110="acoes"))*Inputs!$B$1+((Inputs!$G$5:$G$110&lt;&gt;"moeda")*(Inputs!$G$5:$G$110&lt;&gt;"acoes")))*INDEX(Inputs!$K$5:$AJ$110,0,MATCH(AC$2,Inputs!$K$4:$AJ$4,0)))+SUMPRODUCT((Inputs!$C$5:$C$110=$B33)*Inputs!$D$5:$D$110*(((Inputs!$G$5:$G$110="moeda")+(Inputs!$G$5:$G$110="acoes"))*Inputs!$B$1+((Inputs!$G$5:$G$110&lt;&gt;"moeda")*(Inputs!$G$5:$G$110&lt;&gt;"acoes")))*INDEX(Inputs!$K$5:$AJ$110,0,MATCH(AC$2,Inputs!$K$4:$AJ$4,0)))+SUMPRODUCT((Inputs!$E$5:$E$110=$B33)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3" s="267">
        <f>IF(ISNA(MATCH(AD$2,Inputs!$K$4:$AJ$4,0)),NA(),IF(SUMPRODUCT((Inputs!$A$5:$A$110=$B33)*ISNUMBER(INDEX(Inputs!$K$5:$AJ$110,0,MATCH(AD$2,Inputs!$K$4:$AJ$4,0))))+SUMPRODUCT((Inputs!$C$5:$C$110=$B33)*ISNUMBER(INDEX(Inputs!$K$5:$AJ$110,0,MATCH(AD$2,Inputs!$K$4:$AJ$4,0))))+SUMPRODUCT((Inputs!$E$5:$E$110=$B33)*ISNUMBER(INDEX(Inputs!$K$5:$AJ$110,0,MATCH(AD$2,Inputs!$K$4:$AJ$4,0))))=0,NA(),SUMPRODUCT((Inputs!$A$5:$A$110=$B33)*Inputs!$B$5:$B$110*(((Inputs!$G$5:$G$110="moeda")+(Inputs!$G$5:$G$110="acoes"))*Inputs!$B$1+((Inputs!$G$5:$G$110&lt;&gt;"moeda")*(Inputs!$G$5:$G$110&lt;&gt;"acoes")))*INDEX(Inputs!$K$5:$AJ$110,0,MATCH(AD$2,Inputs!$K$4:$AJ$4,0)))+SUMPRODUCT((Inputs!$C$5:$C$110=$B33)*Inputs!$D$5:$D$110*(((Inputs!$G$5:$G$110="moeda")+(Inputs!$G$5:$G$110="acoes"))*Inputs!$B$1+((Inputs!$G$5:$G$110&lt;&gt;"moeda")*(Inputs!$G$5:$G$110&lt;&gt;"acoes")))*INDEX(Inputs!$K$5:$AJ$110,0,MATCH(AD$2,Inputs!$K$4:$AJ$4,0)))+SUMPRODUCT((Inputs!$E$5:$E$110=$B33)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3" s="267" t="e">
        <f>IF(ISNA(MATCH(AE$2,Inputs!$K$4:$AJ$4,0)),NA(),IF(SUMPRODUCT((Inputs!$A$5:$A$110=$B33)*ISNUMBER(INDEX(Inputs!$K$5:$AJ$110,0,MATCH(AE$2,Inputs!$K$4:$AJ$4,0))))+SUMPRODUCT((Inputs!$C$5:$C$110=$B33)*ISNUMBER(INDEX(Inputs!$K$5:$AJ$110,0,MATCH(AE$2,Inputs!$K$4:$AJ$4,0))))+SUMPRODUCT((Inputs!$E$5:$E$110=$B33)*ISNUMBER(INDEX(Inputs!$K$5:$AJ$110,0,MATCH(AE$2,Inputs!$K$4:$AJ$4,0))))=0,NA(),SUMPRODUCT((Inputs!$A$5:$A$110=$B33)*Inputs!$B$5:$B$110*(((Inputs!$G$5:$G$110="moeda")+(Inputs!$G$5:$G$110="acoes"))*Inputs!$B$1+((Inputs!$G$5:$G$110&lt;&gt;"moeda")*(Inputs!$G$5:$G$110&lt;&gt;"acoes")))*INDEX(Inputs!$K$5:$AJ$110,0,MATCH(AE$2,Inputs!$K$4:$AJ$4,0)))+SUMPRODUCT((Inputs!$C$5:$C$110=$B33)*Inputs!$D$5:$D$110*(((Inputs!$G$5:$G$110="moeda")+(Inputs!$G$5:$G$110="acoes"))*Inputs!$B$1+((Inputs!$G$5:$G$110&lt;&gt;"moeda")*(Inputs!$G$5:$G$110&lt;&gt;"acoes")))*INDEX(Inputs!$K$5:$AJ$110,0,MATCH(AE$2,Inputs!$K$4:$AJ$4,0)))+SUMPRODUCT((Inputs!$E$5:$E$110=$B33)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3" s="267" t="e">
        <f>IF(ISNA(MATCH(AF$2,Inputs!$K$4:$AJ$4,0)),NA(),IF(SUMPRODUCT((Inputs!$A$5:$A$110=$B33)*ISNUMBER(INDEX(Inputs!$K$5:$AJ$110,0,MATCH(AF$2,Inputs!$K$4:$AJ$4,0))))+SUMPRODUCT((Inputs!$C$5:$C$110=$B33)*ISNUMBER(INDEX(Inputs!$K$5:$AJ$110,0,MATCH(AF$2,Inputs!$K$4:$AJ$4,0))))+SUMPRODUCT((Inputs!$E$5:$E$110=$B33)*ISNUMBER(INDEX(Inputs!$K$5:$AJ$110,0,MATCH(AF$2,Inputs!$K$4:$AJ$4,0))))=0,NA(),SUMPRODUCT((Inputs!$A$5:$A$110=$B33)*Inputs!$B$5:$B$110*(((Inputs!$G$5:$G$110="moeda")+(Inputs!$G$5:$G$110="acoes"))*Inputs!$B$1+((Inputs!$G$5:$G$110&lt;&gt;"moeda")*(Inputs!$G$5:$G$110&lt;&gt;"acoes")))*INDEX(Inputs!$K$5:$AJ$110,0,MATCH(AF$2,Inputs!$K$4:$AJ$4,0)))+SUMPRODUCT((Inputs!$C$5:$C$110=$B33)*Inputs!$D$5:$D$110*(((Inputs!$G$5:$G$110="moeda")+(Inputs!$G$5:$G$110="acoes"))*Inputs!$B$1+((Inputs!$G$5:$G$110&lt;&gt;"moeda")*(Inputs!$G$5:$G$110&lt;&gt;"acoes")))*INDEX(Inputs!$K$5:$AJ$110,0,MATCH(AF$2,Inputs!$K$4:$AJ$4,0)))+SUMPRODUCT((Inputs!$E$5:$E$110=$B33)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3" s="268" t="e">
        <f>AF33</f>
        <v>#N/A</v>
      </c>
      <c r="AH33" s="267">
        <f>IF(ISNA(MATCH(AH$2,Inputs!$K$4:$AJ$4,0)),NA(),IF(SUMPRODUCT((Inputs!$A$5:$A$110=$B33)*ISNUMBER(INDEX(Inputs!$K$5:$AJ$110,0,MATCH(AH$2,Inputs!$K$4:$AJ$4,0))))+SUMPRODUCT((Inputs!$C$5:$C$110=$B33)*ISNUMBER(INDEX(Inputs!$K$5:$AJ$110,0,MATCH(AH$2,Inputs!$K$4:$AJ$4,0))))+SUMPRODUCT((Inputs!$E$5:$E$110=$B33)*ISNUMBER(INDEX(Inputs!$K$5:$AJ$110,0,MATCH(AH$2,Inputs!$K$4:$AJ$4,0))))=0,NA(),SUMPRODUCT((Inputs!$A$5:$A$110=$B33)*Inputs!$B$5:$B$110*(((Inputs!$G$5:$G$110="moeda")+(Inputs!$G$5:$G$110="acoes"))*Inputs!$B$1+((Inputs!$G$5:$G$110&lt;&gt;"moeda")*(Inputs!$G$5:$G$110&lt;&gt;"acoes")))*INDEX(Inputs!$K$5:$AJ$110,0,MATCH(AH$2,Inputs!$K$4:$AJ$4,0)))+SUMPRODUCT((Inputs!$C$5:$C$110=$B33)*Inputs!$D$5:$D$110*(((Inputs!$G$5:$G$110="moeda")+(Inputs!$G$5:$G$110="acoes"))*Inputs!$B$1+((Inputs!$G$5:$G$110&lt;&gt;"moeda")*(Inputs!$G$5:$G$110&lt;&gt;"acoes")))*INDEX(Inputs!$K$5:$AJ$110,0,MATCH(AH$2,Inputs!$K$4:$AJ$4,0)))+SUMPRODUCT((Inputs!$E$5:$E$110=$B33)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3" s="267">
        <f>IF(ISNA(MATCH(AI$2,Inputs!$K$4:$AJ$4,0)),NA(),IF(SUMPRODUCT((Inputs!$A$5:$A$110=$B33)*ISNUMBER(INDEX(Inputs!$K$5:$AJ$110,0,MATCH(AI$2,Inputs!$K$4:$AJ$4,0))))+SUMPRODUCT((Inputs!$C$5:$C$110=$B33)*ISNUMBER(INDEX(Inputs!$K$5:$AJ$110,0,MATCH(AI$2,Inputs!$K$4:$AJ$4,0))))+SUMPRODUCT((Inputs!$E$5:$E$110=$B33)*ISNUMBER(INDEX(Inputs!$K$5:$AJ$110,0,MATCH(AI$2,Inputs!$K$4:$AJ$4,0))))=0,NA(),SUMPRODUCT((Inputs!$A$5:$A$110=$B33)*Inputs!$B$5:$B$110*(((Inputs!$G$5:$G$110="moeda")+(Inputs!$G$5:$G$110="acoes"))*Inputs!$B$1+((Inputs!$G$5:$G$110&lt;&gt;"moeda")*(Inputs!$G$5:$G$110&lt;&gt;"acoes")))*INDEX(Inputs!$K$5:$AJ$110,0,MATCH(AI$2,Inputs!$K$4:$AJ$4,0)))+SUMPRODUCT((Inputs!$C$5:$C$110=$B33)*Inputs!$D$5:$D$110*(((Inputs!$G$5:$G$110="moeda")+(Inputs!$G$5:$G$110="acoes"))*Inputs!$B$1+((Inputs!$G$5:$G$110&lt;&gt;"moeda")*(Inputs!$G$5:$G$110&lt;&gt;"acoes")))*INDEX(Inputs!$K$5:$AJ$110,0,MATCH(AI$2,Inputs!$K$4:$AJ$4,0)))+SUMPRODUCT((Inputs!$E$5:$E$110=$B33)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3" s="267">
        <f>IF(ISNA(MATCH(AJ$2,Inputs!$K$4:$AJ$4,0)),NA(),IF(SUMPRODUCT((Inputs!$A$5:$A$110=$B33)*ISNUMBER(INDEX(Inputs!$K$5:$AJ$110,0,MATCH(AJ$2,Inputs!$K$4:$AJ$4,0))))+SUMPRODUCT((Inputs!$C$5:$C$110=$B33)*ISNUMBER(INDEX(Inputs!$K$5:$AJ$110,0,MATCH(AJ$2,Inputs!$K$4:$AJ$4,0))))+SUMPRODUCT((Inputs!$E$5:$E$110=$B33)*ISNUMBER(INDEX(Inputs!$K$5:$AJ$110,0,MATCH(AJ$2,Inputs!$K$4:$AJ$4,0))))=0,NA(),SUMPRODUCT((Inputs!$A$5:$A$110=$B33)*Inputs!$B$5:$B$110*(((Inputs!$G$5:$G$110="moeda")+(Inputs!$G$5:$G$110="acoes"))*Inputs!$B$1+((Inputs!$G$5:$G$110&lt;&gt;"moeda")*(Inputs!$G$5:$G$110&lt;&gt;"acoes")))*INDEX(Inputs!$K$5:$AJ$110,0,MATCH(AJ$2,Inputs!$K$4:$AJ$4,0)))+SUMPRODUCT((Inputs!$C$5:$C$110=$B33)*Inputs!$D$5:$D$110*(((Inputs!$G$5:$G$110="moeda")+(Inputs!$G$5:$G$110="acoes"))*Inputs!$B$1+((Inputs!$G$5:$G$110&lt;&gt;"moeda")*(Inputs!$G$5:$G$110&lt;&gt;"acoes")))*INDEX(Inputs!$K$5:$AJ$110,0,MATCH(AJ$2,Inputs!$K$4:$AJ$4,0)))+SUMPRODUCT((Inputs!$E$5:$E$110=$B33)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3" s="267">
        <f>IF(ISNA(MATCH(AK$2,Inputs!$K$4:$AJ$4,0)),NA(),IF(SUMPRODUCT((Inputs!$A$5:$A$110=$B33)*ISNUMBER(INDEX(Inputs!$K$5:$AJ$110,0,MATCH(AK$2,Inputs!$K$4:$AJ$4,0))))+SUMPRODUCT((Inputs!$C$5:$C$110=$B33)*ISNUMBER(INDEX(Inputs!$K$5:$AJ$110,0,MATCH(AK$2,Inputs!$K$4:$AJ$4,0))))+SUMPRODUCT((Inputs!$E$5:$E$110=$B33)*ISNUMBER(INDEX(Inputs!$K$5:$AJ$110,0,MATCH(AK$2,Inputs!$K$4:$AJ$4,0))))=0,NA(),SUMPRODUCT((Inputs!$A$5:$A$110=$B33)*Inputs!$B$5:$B$110*(((Inputs!$G$5:$G$110="moeda")+(Inputs!$G$5:$G$110="acoes"))*Inputs!$B$1+((Inputs!$G$5:$G$110&lt;&gt;"moeda")*(Inputs!$G$5:$G$110&lt;&gt;"acoes")))*INDEX(Inputs!$K$5:$AJ$110,0,MATCH(AK$2,Inputs!$K$4:$AJ$4,0)))+SUMPRODUCT((Inputs!$C$5:$C$110=$B33)*Inputs!$D$5:$D$110*(((Inputs!$G$5:$G$110="moeda")+(Inputs!$G$5:$G$110="acoes"))*Inputs!$B$1+((Inputs!$G$5:$G$110&lt;&gt;"moeda")*(Inputs!$G$5:$G$110&lt;&gt;"acoes")))*INDEX(Inputs!$K$5:$AJ$110,0,MATCH(AK$2,Inputs!$K$4:$AJ$4,0)))+SUMPRODUCT((Inputs!$E$5:$E$110=$B33)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3" s="268">
        <f>AK33</f>
        <v>0</v>
      </c>
    </row>
    <row r="34" ht="12.75" customHeight="1" s="255">
      <c r="B34" s="265" t="n">
        <v>29</v>
      </c>
      <c r="C34" s="270" t="inlineStr">
        <is>
          <t>Short term operating leases</t>
        </is>
      </c>
      <c r="D34" s="267">
        <f>IF(ISNA(MATCH(D$2,Inputs!$K$4:$AJ$4,0)),NA(),IF(SUMPRODUCT((Inputs!$A$5:$A$110=$B34)*ISNUMBER(INDEX(Inputs!$K$5:$AJ$110,0,MATCH(D$2,Inputs!$K$4:$AJ$4,0))))+SUMPRODUCT((Inputs!$C$5:$C$110=$B34)*ISNUMBER(INDEX(Inputs!$K$5:$AJ$110,0,MATCH(D$2,Inputs!$K$4:$AJ$4,0))))+SUMPRODUCT((Inputs!$E$5:$E$110=$B34)*ISNUMBER(INDEX(Inputs!$K$5:$AJ$110,0,MATCH(D$2,Inputs!$K$4:$AJ$4,0))))=0,NA(),SUMPRODUCT((Inputs!$A$5:$A$110=$B34)*Inputs!$B$5:$B$110*(((Inputs!$G$5:$G$110="moeda")+(Inputs!$G$5:$G$110="acoes"))*Inputs!$B$1+((Inputs!$G$5:$G$110&lt;&gt;"moeda")*(Inputs!$G$5:$G$110&lt;&gt;"acoes")))*INDEX(Inputs!$K$5:$AJ$110,0,MATCH(D$2,Inputs!$K$4:$AJ$4,0)))+SUMPRODUCT((Inputs!$C$5:$C$110=$B34)*Inputs!$D$5:$D$110*(((Inputs!$G$5:$G$110="moeda")+(Inputs!$G$5:$G$110="acoes"))*Inputs!$B$1+((Inputs!$G$5:$G$110&lt;&gt;"moeda")*(Inputs!$G$5:$G$110&lt;&gt;"acoes")))*INDEX(Inputs!$K$5:$AJ$110,0,MATCH(D$2,Inputs!$K$4:$AJ$4,0)))+SUMPRODUCT((Inputs!$E$5:$E$110=$B34)*Inputs!$F$5:$F$110*(((Inputs!$G$5:$G$110="moeda")+(Inputs!$G$5:$G$110="acoes"))*Inputs!$B$1+((Inputs!$G$5:$G$110&lt;&gt;"moeda")*(Inputs!$G$5:$G$110&lt;&gt;"acoes")))*INDEX(Inputs!$K$5:$AJ$110,0,MATCH(D$2,Inputs!$K$4:$AJ$4,0)))))</f>
        <v>1448</v>
      </c>
      <c r="E34" s="267">
        <f>IF(ISNA(MATCH(E$2,Inputs!$K$4:$AJ$4,0)),NA(),IF(SUMPRODUCT((Inputs!$A$5:$A$110=$B34)*ISNUMBER(INDEX(Inputs!$K$5:$AJ$110,0,MATCH(E$2,Inputs!$K$4:$AJ$4,0))))+SUMPRODUCT((Inputs!$C$5:$C$110=$B34)*ISNUMBER(INDEX(Inputs!$K$5:$AJ$110,0,MATCH(E$2,Inputs!$K$4:$AJ$4,0))))+SUMPRODUCT((Inputs!$E$5:$E$110=$B34)*ISNUMBER(INDEX(Inputs!$K$5:$AJ$110,0,MATCH(E$2,Inputs!$K$4:$AJ$4,0))))=0,NA(),SUMPRODUCT((Inputs!$A$5:$A$110=$B34)*Inputs!$B$5:$B$110*(((Inputs!$G$5:$G$110="moeda")+(Inputs!$G$5:$G$110="acoes"))*Inputs!$B$1+((Inputs!$G$5:$G$110&lt;&gt;"moeda")*(Inputs!$G$5:$G$110&lt;&gt;"acoes")))*INDEX(Inputs!$K$5:$AJ$110,0,MATCH(E$2,Inputs!$K$4:$AJ$4,0)))+SUMPRODUCT((Inputs!$C$5:$C$110=$B34)*Inputs!$D$5:$D$110*(((Inputs!$G$5:$G$110="moeda")+(Inputs!$G$5:$G$110="acoes"))*Inputs!$B$1+((Inputs!$G$5:$G$110&lt;&gt;"moeda")*(Inputs!$G$5:$G$110&lt;&gt;"acoes")))*INDEX(Inputs!$K$5:$AJ$110,0,MATCH(E$2,Inputs!$K$4:$AJ$4,0)))+SUMPRODUCT((Inputs!$E$5:$E$110=$B34)*Inputs!$F$5:$F$110*(((Inputs!$G$5:$G$110="moeda")+(Inputs!$G$5:$G$110="acoes"))*Inputs!$B$1+((Inputs!$G$5:$G$110&lt;&gt;"moeda")*(Inputs!$G$5:$G$110&lt;&gt;"acoes")))*INDEX(Inputs!$K$5:$AJ$110,0,MATCH(E$2,Inputs!$K$4:$AJ$4,0)))))</f>
        <v>1441</v>
      </c>
      <c r="F34" s="267">
        <f>IF(ISNA(MATCH(F$2,Inputs!$K$4:$AJ$4,0)),NA(),IF(SUMPRODUCT((Inputs!$A$5:$A$110=$B34)*ISNUMBER(INDEX(Inputs!$K$5:$AJ$110,0,MATCH(F$2,Inputs!$K$4:$AJ$4,0))))+SUMPRODUCT((Inputs!$C$5:$C$110=$B34)*ISNUMBER(INDEX(Inputs!$K$5:$AJ$110,0,MATCH(F$2,Inputs!$K$4:$AJ$4,0))))+SUMPRODUCT((Inputs!$E$5:$E$110=$B34)*ISNUMBER(INDEX(Inputs!$K$5:$AJ$110,0,MATCH(F$2,Inputs!$K$4:$AJ$4,0))))=0,NA(),SUMPRODUCT((Inputs!$A$5:$A$110=$B34)*Inputs!$B$5:$B$110*(((Inputs!$G$5:$G$110="moeda")+(Inputs!$G$5:$G$110="acoes"))*Inputs!$B$1+((Inputs!$G$5:$G$110&lt;&gt;"moeda")*(Inputs!$G$5:$G$110&lt;&gt;"acoes")))*INDEX(Inputs!$K$5:$AJ$110,0,MATCH(F$2,Inputs!$K$4:$AJ$4,0)))+SUMPRODUCT((Inputs!$C$5:$C$110=$B34)*Inputs!$D$5:$D$110*(((Inputs!$G$5:$G$110="moeda")+(Inputs!$G$5:$G$110="acoes"))*Inputs!$B$1+((Inputs!$G$5:$G$110&lt;&gt;"moeda")*(Inputs!$G$5:$G$110&lt;&gt;"acoes")))*INDEX(Inputs!$K$5:$AJ$110,0,MATCH(F$2,Inputs!$K$4:$AJ$4,0)))+SUMPRODUCT((Inputs!$E$5:$E$110=$B34)*Inputs!$F$5:$F$110*(((Inputs!$G$5:$G$110="moeda")+(Inputs!$G$5:$G$110="acoes"))*Inputs!$B$1+((Inputs!$G$5:$G$110&lt;&gt;"moeda")*(Inputs!$G$5:$G$110&lt;&gt;"acoes")))*INDEX(Inputs!$K$5:$AJ$110,0,MATCH(F$2,Inputs!$K$4:$AJ$4,0)))))</f>
        <v>1486</v>
      </c>
      <c r="G34" s="267">
        <f>IF(ISNA(MATCH(G$2,Inputs!$K$4:$AJ$4,0)),NA(),IF(SUMPRODUCT((Inputs!$A$5:$A$110=$B34)*ISNUMBER(INDEX(Inputs!$K$5:$AJ$110,0,MATCH(G$2,Inputs!$K$4:$AJ$4,0))))+SUMPRODUCT((Inputs!$C$5:$C$110=$B34)*ISNUMBER(INDEX(Inputs!$K$5:$AJ$110,0,MATCH(G$2,Inputs!$K$4:$AJ$4,0))))+SUMPRODUCT((Inputs!$E$5:$E$110=$B34)*ISNUMBER(INDEX(Inputs!$K$5:$AJ$110,0,MATCH(G$2,Inputs!$K$4:$AJ$4,0))))=0,NA(),SUMPRODUCT((Inputs!$A$5:$A$110=$B34)*Inputs!$B$5:$B$110*(((Inputs!$G$5:$G$110="moeda")+(Inputs!$G$5:$G$110="acoes"))*Inputs!$B$1+((Inputs!$G$5:$G$110&lt;&gt;"moeda")*(Inputs!$G$5:$G$110&lt;&gt;"acoes")))*INDEX(Inputs!$K$5:$AJ$110,0,MATCH(G$2,Inputs!$K$4:$AJ$4,0)))+SUMPRODUCT((Inputs!$C$5:$C$110=$B34)*Inputs!$D$5:$D$110*(((Inputs!$G$5:$G$110="moeda")+(Inputs!$G$5:$G$110="acoes"))*Inputs!$B$1+((Inputs!$G$5:$G$110&lt;&gt;"moeda")*(Inputs!$G$5:$G$110&lt;&gt;"acoes")))*INDEX(Inputs!$K$5:$AJ$110,0,MATCH(G$2,Inputs!$K$4:$AJ$4,0)))+SUMPRODUCT((Inputs!$E$5:$E$110=$B34)*Inputs!$F$5:$F$110*(((Inputs!$G$5:$G$110="moeda")+(Inputs!$G$5:$G$110="acoes"))*Inputs!$B$1+((Inputs!$G$5:$G$110&lt;&gt;"moeda")*(Inputs!$G$5:$G$110&lt;&gt;"acoes")))*INDEX(Inputs!$K$5:$AJ$110,0,MATCH(G$2,Inputs!$K$4:$AJ$4,0)))))</f>
        <v>1483</v>
      </c>
      <c r="H34" s="268">
        <f>G34</f>
        <v>1483</v>
      </c>
      <c r="I34" s="267">
        <f>IF(ISNA(MATCH(I$2,Inputs!$K$4:$AJ$4,0)),NA(),IF(SUMPRODUCT((Inputs!$A$5:$A$110=$B34)*ISNUMBER(INDEX(Inputs!$K$5:$AJ$110,0,MATCH(I$2,Inputs!$K$4:$AJ$4,0))))+SUMPRODUCT((Inputs!$C$5:$C$110=$B34)*ISNUMBER(INDEX(Inputs!$K$5:$AJ$110,0,MATCH(I$2,Inputs!$K$4:$AJ$4,0))))+SUMPRODUCT((Inputs!$E$5:$E$110=$B34)*ISNUMBER(INDEX(Inputs!$K$5:$AJ$110,0,MATCH(I$2,Inputs!$K$4:$AJ$4,0))))=0,NA(),SUMPRODUCT((Inputs!$A$5:$A$110=$B34)*Inputs!$B$5:$B$110*(((Inputs!$G$5:$G$110="moeda")+(Inputs!$G$5:$G$110="acoes"))*Inputs!$B$1+((Inputs!$G$5:$G$110&lt;&gt;"moeda")*(Inputs!$G$5:$G$110&lt;&gt;"acoes")))*INDEX(Inputs!$K$5:$AJ$110,0,MATCH(I$2,Inputs!$K$4:$AJ$4,0)))+SUMPRODUCT((Inputs!$C$5:$C$110=$B34)*Inputs!$D$5:$D$110*(((Inputs!$G$5:$G$110="moeda")+(Inputs!$G$5:$G$110="acoes"))*Inputs!$B$1+((Inputs!$G$5:$G$110&lt;&gt;"moeda")*(Inputs!$G$5:$G$110&lt;&gt;"acoes")))*INDEX(Inputs!$K$5:$AJ$110,0,MATCH(I$2,Inputs!$K$4:$AJ$4,0)))+SUMPRODUCT((Inputs!$E$5:$E$110=$B34)*Inputs!$F$5:$F$110*(((Inputs!$G$5:$G$110="moeda")+(Inputs!$G$5:$G$110="acoes"))*Inputs!$B$1+((Inputs!$G$5:$G$110&lt;&gt;"moeda")*(Inputs!$G$5:$G$110&lt;&gt;"acoes")))*INDEX(Inputs!$K$5:$AJ$110,0,MATCH(I$2,Inputs!$K$4:$AJ$4,0)))))</f>
        <v>1485</v>
      </c>
      <c r="J34" s="267">
        <f>IF(ISNA(MATCH(J$2,Inputs!$K$4:$AJ$4,0)),NA(),IF(SUMPRODUCT((Inputs!$A$5:$A$110=$B34)*ISNUMBER(INDEX(Inputs!$K$5:$AJ$110,0,MATCH(J$2,Inputs!$K$4:$AJ$4,0))))+SUMPRODUCT((Inputs!$C$5:$C$110=$B34)*ISNUMBER(INDEX(Inputs!$K$5:$AJ$110,0,MATCH(J$2,Inputs!$K$4:$AJ$4,0))))+SUMPRODUCT((Inputs!$E$5:$E$110=$B34)*ISNUMBER(INDEX(Inputs!$K$5:$AJ$110,0,MATCH(J$2,Inputs!$K$4:$AJ$4,0))))=0,NA(),SUMPRODUCT((Inputs!$A$5:$A$110=$B34)*Inputs!$B$5:$B$110*(((Inputs!$G$5:$G$110="moeda")+(Inputs!$G$5:$G$110="acoes"))*Inputs!$B$1+((Inputs!$G$5:$G$110&lt;&gt;"moeda")*(Inputs!$G$5:$G$110&lt;&gt;"acoes")))*INDEX(Inputs!$K$5:$AJ$110,0,MATCH(J$2,Inputs!$K$4:$AJ$4,0)))+SUMPRODUCT((Inputs!$C$5:$C$110=$B34)*Inputs!$D$5:$D$110*(((Inputs!$G$5:$G$110="moeda")+(Inputs!$G$5:$G$110="acoes"))*Inputs!$B$1+((Inputs!$G$5:$G$110&lt;&gt;"moeda")*(Inputs!$G$5:$G$110&lt;&gt;"acoes")))*INDEX(Inputs!$K$5:$AJ$110,0,MATCH(J$2,Inputs!$K$4:$AJ$4,0)))+SUMPRODUCT((Inputs!$E$5:$E$110=$B34)*Inputs!$F$5:$F$110*(((Inputs!$G$5:$G$110="moeda")+(Inputs!$G$5:$G$110="acoes"))*Inputs!$B$1+((Inputs!$G$5:$G$110&lt;&gt;"moeda")*(Inputs!$G$5:$G$110&lt;&gt;"acoes")))*INDEX(Inputs!$K$5:$AJ$110,0,MATCH(J$2,Inputs!$K$4:$AJ$4,0)))))</f>
        <v>1464</v>
      </c>
      <c r="K34" s="267">
        <f>IF(ISNA(MATCH(K$2,Inputs!$K$4:$AJ$4,0)),NA(),IF(SUMPRODUCT((Inputs!$A$5:$A$110=$B34)*ISNUMBER(INDEX(Inputs!$K$5:$AJ$110,0,MATCH(K$2,Inputs!$K$4:$AJ$4,0))))+SUMPRODUCT((Inputs!$C$5:$C$110=$B34)*ISNUMBER(INDEX(Inputs!$K$5:$AJ$110,0,MATCH(K$2,Inputs!$K$4:$AJ$4,0))))+SUMPRODUCT((Inputs!$E$5:$E$110=$B34)*ISNUMBER(INDEX(Inputs!$K$5:$AJ$110,0,MATCH(K$2,Inputs!$K$4:$AJ$4,0))))=0,NA(),SUMPRODUCT((Inputs!$A$5:$A$110=$B34)*Inputs!$B$5:$B$110*(((Inputs!$G$5:$G$110="moeda")+(Inputs!$G$5:$G$110="acoes"))*Inputs!$B$1+((Inputs!$G$5:$G$110&lt;&gt;"moeda")*(Inputs!$G$5:$G$110&lt;&gt;"acoes")))*INDEX(Inputs!$K$5:$AJ$110,0,MATCH(K$2,Inputs!$K$4:$AJ$4,0)))+SUMPRODUCT((Inputs!$C$5:$C$110=$B34)*Inputs!$D$5:$D$110*(((Inputs!$G$5:$G$110="moeda")+(Inputs!$G$5:$G$110="acoes"))*Inputs!$B$1+((Inputs!$G$5:$G$110&lt;&gt;"moeda")*(Inputs!$G$5:$G$110&lt;&gt;"acoes")))*INDEX(Inputs!$K$5:$AJ$110,0,MATCH(K$2,Inputs!$K$4:$AJ$4,0)))+SUMPRODUCT((Inputs!$E$5:$E$110=$B34)*Inputs!$F$5:$F$110*(((Inputs!$G$5:$G$110="moeda")+(Inputs!$G$5:$G$110="acoes"))*Inputs!$B$1+((Inputs!$G$5:$G$110&lt;&gt;"moeda")*(Inputs!$G$5:$G$110&lt;&gt;"acoes")))*INDEX(Inputs!$K$5:$AJ$110,0,MATCH(K$2,Inputs!$K$4:$AJ$4,0)))))</f>
        <v>1457</v>
      </c>
      <c r="L34" s="267">
        <f>IF(ISNA(MATCH(L$2,Inputs!$K$4:$AJ$4,0)),NA(),IF(SUMPRODUCT((Inputs!$A$5:$A$110=$B34)*ISNUMBER(INDEX(Inputs!$K$5:$AJ$110,0,MATCH(L$2,Inputs!$K$4:$AJ$4,0))))+SUMPRODUCT((Inputs!$C$5:$C$110=$B34)*ISNUMBER(INDEX(Inputs!$K$5:$AJ$110,0,MATCH(L$2,Inputs!$K$4:$AJ$4,0))))+SUMPRODUCT((Inputs!$E$5:$E$110=$B34)*ISNUMBER(INDEX(Inputs!$K$5:$AJ$110,0,MATCH(L$2,Inputs!$K$4:$AJ$4,0))))=0,NA(),SUMPRODUCT((Inputs!$A$5:$A$110=$B34)*Inputs!$B$5:$B$110*(((Inputs!$G$5:$G$110="moeda")+(Inputs!$G$5:$G$110="acoes"))*Inputs!$B$1+((Inputs!$G$5:$G$110&lt;&gt;"moeda")*(Inputs!$G$5:$G$110&lt;&gt;"acoes")))*INDEX(Inputs!$K$5:$AJ$110,0,MATCH(L$2,Inputs!$K$4:$AJ$4,0)))+SUMPRODUCT((Inputs!$C$5:$C$110=$B34)*Inputs!$D$5:$D$110*(((Inputs!$G$5:$G$110="moeda")+(Inputs!$G$5:$G$110="acoes"))*Inputs!$B$1+((Inputs!$G$5:$G$110&lt;&gt;"moeda")*(Inputs!$G$5:$G$110&lt;&gt;"acoes")))*INDEX(Inputs!$K$5:$AJ$110,0,MATCH(L$2,Inputs!$K$4:$AJ$4,0)))+SUMPRODUCT((Inputs!$E$5:$E$110=$B34)*Inputs!$F$5:$F$110*(((Inputs!$G$5:$G$110="moeda")+(Inputs!$G$5:$G$110="acoes"))*Inputs!$B$1+((Inputs!$G$5:$G$110&lt;&gt;"moeda")*(Inputs!$G$5:$G$110&lt;&gt;"acoes")))*INDEX(Inputs!$K$5:$AJ$110,0,MATCH(L$2,Inputs!$K$4:$AJ$4,0)))))</f>
        <v>1473</v>
      </c>
      <c r="M34" s="268">
        <f>L34</f>
        <v>1473</v>
      </c>
      <c r="N34" s="267">
        <f>IF(ISNA(MATCH(N$2,Inputs!$K$4:$AJ$4,0)),NA(),IF(SUMPRODUCT((Inputs!$A$5:$A$110=$B34)*ISNUMBER(INDEX(Inputs!$K$5:$AJ$110,0,MATCH(N$2,Inputs!$K$4:$AJ$4,0))))+SUMPRODUCT((Inputs!$C$5:$C$110=$B34)*ISNUMBER(INDEX(Inputs!$K$5:$AJ$110,0,MATCH(N$2,Inputs!$K$4:$AJ$4,0))))+SUMPRODUCT((Inputs!$E$5:$E$110=$B34)*ISNUMBER(INDEX(Inputs!$K$5:$AJ$110,0,MATCH(N$2,Inputs!$K$4:$AJ$4,0))))=0,NA(),SUMPRODUCT((Inputs!$A$5:$A$110=$B34)*Inputs!$B$5:$B$110*(((Inputs!$G$5:$G$110="moeda")+(Inputs!$G$5:$G$110="acoes"))*Inputs!$B$1+((Inputs!$G$5:$G$110&lt;&gt;"moeda")*(Inputs!$G$5:$G$110&lt;&gt;"acoes")))*INDEX(Inputs!$K$5:$AJ$110,0,MATCH(N$2,Inputs!$K$4:$AJ$4,0)))+SUMPRODUCT((Inputs!$C$5:$C$110=$B34)*Inputs!$D$5:$D$110*(((Inputs!$G$5:$G$110="moeda")+(Inputs!$G$5:$G$110="acoes"))*Inputs!$B$1+((Inputs!$G$5:$G$110&lt;&gt;"moeda")*(Inputs!$G$5:$G$110&lt;&gt;"acoes")))*INDEX(Inputs!$K$5:$AJ$110,0,MATCH(N$2,Inputs!$K$4:$AJ$4,0)))+SUMPRODUCT((Inputs!$E$5:$E$110=$B34)*Inputs!$F$5:$F$110*(((Inputs!$G$5:$G$110="moeda")+(Inputs!$G$5:$G$110="acoes"))*Inputs!$B$1+((Inputs!$G$5:$G$110&lt;&gt;"moeda")*(Inputs!$G$5:$G$110&lt;&gt;"acoes")))*INDEX(Inputs!$K$5:$AJ$110,0,MATCH(N$2,Inputs!$K$4:$AJ$4,0)))))</f>
        <v>1490</v>
      </c>
      <c r="O34" s="267">
        <f>IF(ISNA(MATCH(O$2,Inputs!$K$4:$AJ$4,0)),NA(),IF(SUMPRODUCT((Inputs!$A$5:$A$110=$B34)*ISNUMBER(INDEX(Inputs!$K$5:$AJ$110,0,MATCH(O$2,Inputs!$K$4:$AJ$4,0))))+SUMPRODUCT((Inputs!$C$5:$C$110=$B34)*ISNUMBER(INDEX(Inputs!$K$5:$AJ$110,0,MATCH(O$2,Inputs!$K$4:$AJ$4,0))))+SUMPRODUCT((Inputs!$E$5:$E$110=$B34)*ISNUMBER(INDEX(Inputs!$K$5:$AJ$110,0,MATCH(O$2,Inputs!$K$4:$AJ$4,0))))=0,NA(),SUMPRODUCT((Inputs!$A$5:$A$110=$B34)*Inputs!$B$5:$B$110*(((Inputs!$G$5:$G$110="moeda")+(Inputs!$G$5:$G$110="acoes"))*Inputs!$B$1+((Inputs!$G$5:$G$110&lt;&gt;"moeda")*(Inputs!$G$5:$G$110&lt;&gt;"acoes")))*INDEX(Inputs!$K$5:$AJ$110,0,MATCH(O$2,Inputs!$K$4:$AJ$4,0)))+SUMPRODUCT((Inputs!$C$5:$C$110=$B34)*Inputs!$D$5:$D$110*(((Inputs!$G$5:$G$110="moeda")+(Inputs!$G$5:$G$110="acoes"))*Inputs!$B$1+((Inputs!$G$5:$G$110&lt;&gt;"moeda")*(Inputs!$G$5:$G$110&lt;&gt;"acoes")))*INDEX(Inputs!$K$5:$AJ$110,0,MATCH(O$2,Inputs!$K$4:$AJ$4,0)))+SUMPRODUCT((Inputs!$E$5:$E$110=$B34)*Inputs!$F$5:$F$110*(((Inputs!$G$5:$G$110="moeda")+(Inputs!$G$5:$G$110="acoes"))*Inputs!$B$1+((Inputs!$G$5:$G$110&lt;&gt;"moeda")*(Inputs!$G$5:$G$110&lt;&gt;"acoes")))*INDEX(Inputs!$K$5:$AJ$110,0,MATCH(O$2,Inputs!$K$4:$AJ$4,0)))))</f>
        <v>1472</v>
      </c>
      <c r="P34" s="267">
        <f>IF(ISNA(MATCH(P$2,Inputs!$K$4:$AJ$4,0)),NA(),IF(SUMPRODUCT((Inputs!$A$5:$A$110=$B34)*ISNUMBER(INDEX(Inputs!$K$5:$AJ$110,0,MATCH(P$2,Inputs!$K$4:$AJ$4,0))))+SUMPRODUCT((Inputs!$C$5:$C$110=$B34)*ISNUMBER(INDEX(Inputs!$K$5:$AJ$110,0,MATCH(P$2,Inputs!$K$4:$AJ$4,0))))+SUMPRODUCT((Inputs!$E$5:$E$110=$B34)*ISNUMBER(INDEX(Inputs!$K$5:$AJ$110,0,MATCH(P$2,Inputs!$K$4:$AJ$4,0))))=0,NA(),SUMPRODUCT((Inputs!$A$5:$A$110=$B34)*Inputs!$B$5:$B$110*(((Inputs!$G$5:$G$110="moeda")+(Inputs!$G$5:$G$110="acoes"))*Inputs!$B$1+((Inputs!$G$5:$G$110&lt;&gt;"moeda")*(Inputs!$G$5:$G$110&lt;&gt;"acoes")))*INDEX(Inputs!$K$5:$AJ$110,0,MATCH(P$2,Inputs!$K$4:$AJ$4,0)))+SUMPRODUCT((Inputs!$C$5:$C$110=$B34)*Inputs!$D$5:$D$110*(((Inputs!$G$5:$G$110="moeda")+(Inputs!$G$5:$G$110="acoes"))*Inputs!$B$1+((Inputs!$G$5:$G$110&lt;&gt;"moeda")*(Inputs!$G$5:$G$110&lt;&gt;"acoes")))*INDEX(Inputs!$K$5:$AJ$110,0,MATCH(P$2,Inputs!$K$4:$AJ$4,0)))+SUMPRODUCT((Inputs!$E$5:$E$110=$B34)*Inputs!$F$5:$F$110*(((Inputs!$G$5:$G$110="moeda")+(Inputs!$G$5:$G$110="acoes"))*Inputs!$B$1+((Inputs!$G$5:$G$110&lt;&gt;"moeda")*(Inputs!$G$5:$G$110&lt;&gt;"acoes")))*INDEX(Inputs!$K$5:$AJ$110,0,MATCH(P$2,Inputs!$K$4:$AJ$4,0)))))</f>
        <v>1474</v>
      </c>
      <c r="Q34" s="267">
        <f>IF(ISNA(MATCH(Q$2,Inputs!$K$4:$AJ$4,0)),NA(),IF(SUMPRODUCT((Inputs!$A$5:$A$110=$B34)*ISNUMBER(INDEX(Inputs!$K$5:$AJ$110,0,MATCH(Q$2,Inputs!$K$4:$AJ$4,0))))+SUMPRODUCT((Inputs!$C$5:$C$110=$B34)*ISNUMBER(INDEX(Inputs!$K$5:$AJ$110,0,MATCH(Q$2,Inputs!$K$4:$AJ$4,0))))+SUMPRODUCT((Inputs!$E$5:$E$110=$B34)*ISNUMBER(INDEX(Inputs!$K$5:$AJ$110,0,MATCH(Q$2,Inputs!$K$4:$AJ$4,0))))=0,NA(),SUMPRODUCT((Inputs!$A$5:$A$110=$B34)*Inputs!$B$5:$B$110*(((Inputs!$G$5:$G$110="moeda")+(Inputs!$G$5:$G$110="acoes"))*Inputs!$B$1+((Inputs!$G$5:$G$110&lt;&gt;"moeda")*(Inputs!$G$5:$G$110&lt;&gt;"acoes")))*INDEX(Inputs!$K$5:$AJ$110,0,MATCH(Q$2,Inputs!$K$4:$AJ$4,0)))+SUMPRODUCT((Inputs!$C$5:$C$110=$B34)*Inputs!$D$5:$D$110*(((Inputs!$G$5:$G$110="moeda")+(Inputs!$G$5:$G$110="acoes"))*Inputs!$B$1+((Inputs!$G$5:$G$110&lt;&gt;"moeda")*(Inputs!$G$5:$G$110&lt;&gt;"acoes")))*INDEX(Inputs!$K$5:$AJ$110,0,MATCH(Q$2,Inputs!$K$4:$AJ$4,0)))+SUMPRODUCT((Inputs!$E$5:$E$110=$B34)*Inputs!$F$5:$F$110*(((Inputs!$G$5:$G$110="moeda")+(Inputs!$G$5:$G$110="acoes"))*Inputs!$B$1+((Inputs!$G$5:$G$110&lt;&gt;"moeda")*(Inputs!$G$5:$G$110&lt;&gt;"acoes")))*INDEX(Inputs!$K$5:$AJ$110,0,MATCH(Q$2,Inputs!$K$4:$AJ$4,0)))))</f>
        <v>1487</v>
      </c>
      <c r="R34" s="268">
        <f>Q34</f>
        <v>1487</v>
      </c>
      <c r="S34" s="267">
        <f>IF(ISNA(MATCH(S$2,Inputs!$K$4:$AJ$4,0)),NA(),IF(SUMPRODUCT((Inputs!$A$5:$A$110=$B34)*ISNUMBER(INDEX(Inputs!$K$5:$AJ$110,0,MATCH(S$2,Inputs!$K$4:$AJ$4,0))))+SUMPRODUCT((Inputs!$C$5:$C$110=$B34)*ISNUMBER(INDEX(Inputs!$K$5:$AJ$110,0,MATCH(S$2,Inputs!$K$4:$AJ$4,0))))+SUMPRODUCT((Inputs!$E$5:$E$110=$B34)*ISNUMBER(INDEX(Inputs!$K$5:$AJ$110,0,MATCH(S$2,Inputs!$K$4:$AJ$4,0))))=0,NA(),SUMPRODUCT((Inputs!$A$5:$A$110=$B34)*Inputs!$B$5:$B$110*(((Inputs!$G$5:$G$110="moeda")+(Inputs!$G$5:$G$110="acoes"))*Inputs!$B$1+((Inputs!$G$5:$G$110&lt;&gt;"moeda")*(Inputs!$G$5:$G$110&lt;&gt;"acoes")))*INDEX(Inputs!$K$5:$AJ$110,0,MATCH(S$2,Inputs!$K$4:$AJ$4,0)))+SUMPRODUCT((Inputs!$C$5:$C$110=$B34)*Inputs!$D$5:$D$110*(((Inputs!$G$5:$G$110="moeda")+(Inputs!$G$5:$G$110="acoes"))*Inputs!$B$1+((Inputs!$G$5:$G$110&lt;&gt;"moeda")*(Inputs!$G$5:$G$110&lt;&gt;"acoes")))*INDEX(Inputs!$K$5:$AJ$110,0,MATCH(S$2,Inputs!$K$4:$AJ$4,0)))+SUMPRODUCT((Inputs!$E$5:$E$110=$B34)*Inputs!$F$5:$F$110*(((Inputs!$G$5:$G$110="moeda")+(Inputs!$G$5:$G$110="acoes"))*Inputs!$B$1+((Inputs!$G$5:$G$110&lt;&gt;"moeda")*(Inputs!$G$5:$G$110&lt;&gt;"acoes")))*INDEX(Inputs!$K$5:$AJ$110,0,MATCH(S$2,Inputs!$K$4:$AJ$4,0)))))</f>
        <v>1482</v>
      </c>
      <c r="T34" s="267">
        <f>IF(ISNA(MATCH(T$2,Inputs!$K$4:$AJ$4,0)),NA(),IF(SUMPRODUCT((Inputs!$A$5:$A$110=$B34)*ISNUMBER(INDEX(Inputs!$K$5:$AJ$110,0,MATCH(T$2,Inputs!$K$4:$AJ$4,0))))+SUMPRODUCT((Inputs!$C$5:$C$110=$B34)*ISNUMBER(INDEX(Inputs!$K$5:$AJ$110,0,MATCH(T$2,Inputs!$K$4:$AJ$4,0))))+SUMPRODUCT((Inputs!$E$5:$E$110=$B34)*ISNUMBER(INDEX(Inputs!$K$5:$AJ$110,0,MATCH(T$2,Inputs!$K$4:$AJ$4,0))))=0,NA(),SUMPRODUCT((Inputs!$A$5:$A$110=$B34)*Inputs!$B$5:$B$110*(((Inputs!$G$5:$G$110="moeda")+(Inputs!$G$5:$G$110="acoes"))*Inputs!$B$1+((Inputs!$G$5:$G$110&lt;&gt;"moeda")*(Inputs!$G$5:$G$110&lt;&gt;"acoes")))*INDEX(Inputs!$K$5:$AJ$110,0,MATCH(T$2,Inputs!$K$4:$AJ$4,0)))+SUMPRODUCT((Inputs!$C$5:$C$110=$B34)*Inputs!$D$5:$D$110*(((Inputs!$G$5:$G$110="moeda")+(Inputs!$G$5:$G$110="acoes"))*Inputs!$B$1+((Inputs!$G$5:$G$110&lt;&gt;"moeda")*(Inputs!$G$5:$G$110&lt;&gt;"acoes")))*INDEX(Inputs!$K$5:$AJ$110,0,MATCH(T$2,Inputs!$K$4:$AJ$4,0)))+SUMPRODUCT((Inputs!$E$5:$E$110=$B34)*Inputs!$F$5:$F$110*(((Inputs!$G$5:$G$110="moeda")+(Inputs!$G$5:$G$110="acoes"))*Inputs!$B$1+((Inputs!$G$5:$G$110&lt;&gt;"moeda")*(Inputs!$G$5:$G$110&lt;&gt;"acoes")))*INDEX(Inputs!$K$5:$AJ$110,0,MATCH(T$2,Inputs!$K$4:$AJ$4,0)))))</f>
        <v>1493</v>
      </c>
      <c r="U34" s="267">
        <f>IF(ISNA(MATCH(U$2,Inputs!$K$4:$AJ$4,0)),NA(),IF(SUMPRODUCT((Inputs!$A$5:$A$110=$B34)*ISNUMBER(INDEX(Inputs!$K$5:$AJ$110,0,MATCH(U$2,Inputs!$K$4:$AJ$4,0))))+SUMPRODUCT((Inputs!$C$5:$C$110=$B34)*ISNUMBER(INDEX(Inputs!$K$5:$AJ$110,0,MATCH(U$2,Inputs!$K$4:$AJ$4,0))))+SUMPRODUCT((Inputs!$E$5:$E$110=$B34)*ISNUMBER(INDEX(Inputs!$K$5:$AJ$110,0,MATCH(U$2,Inputs!$K$4:$AJ$4,0))))=0,NA(),SUMPRODUCT((Inputs!$A$5:$A$110=$B34)*Inputs!$B$5:$B$110*(((Inputs!$G$5:$G$110="moeda")+(Inputs!$G$5:$G$110="acoes"))*Inputs!$B$1+((Inputs!$G$5:$G$110&lt;&gt;"moeda")*(Inputs!$G$5:$G$110&lt;&gt;"acoes")))*INDEX(Inputs!$K$5:$AJ$110,0,MATCH(U$2,Inputs!$K$4:$AJ$4,0)))+SUMPRODUCT((Inputs!$C$5:$C$110=$B34)*Inputs!$D$5:$D$110*(((Inputs!$G$5:$G$110="moeda")+(Inputs!$G$5:$G$110="acoes"))*Inputs!$B$1+((Inputs!$G$5:$G$110&lt;&gt;"moeda")*(Inputs!$G$5:$G$110&lt;&gt;"acoes")))*INDEX(Inputs!$K$5:$AJ$110,0,MATCH(U$2,Inputs!$K$4:$AJ$4,0)))+SUMPRODUCT((Inputs!$E$5:$E$110=$B34)*Inputs!$F$5:$F$110*(((Inputs!$G$5:$G$110="moeda")+(Inputs!$G$5:$G$110="acoes"))*Inputs!$B$1+((Inputs!$G$5:$G$110&lt;&gt;"moeda")*(Inputs!$G$5:$G$110&lt;&gt;"acoes")))*INDEX(Inputs!$K$5:$AJ$110,0,MATCH(U$2,Inputs!$K$4:$AJ$4,0)))))</f>
        <v>1507</v>
      </c>
      <c r="V34" s="267">
        <f>IF(ISNA(MATCH(V$2,Inputs!$K$4:$AJ$4,0)),NA(),IF(SUMPRODUCT((Inputs!$A$5:$A$110=$B34)*ISNUMBER(INDEX(Inputs!$K$5:$AJ$110,0,MATCH(V$2,Inputs!$K$4:$AJ$4,0))))+SUMPRODUCT((Inputs!$C$5:$C$110=$B34)*ISNUMBER(INDEX(Inputs!$K$5:$AJ$110,0,MATCH(V$2,Inputs!$K$4:$AJ$4,0))))+SUMPRODUCT((Inputs!$E$5:$E$110=$B34)*ISNUMBER(INDEX(Inputs!$K$5:$AJ$110,0,MATCH(V$2,Inputs!$K$4:$AJ$4,0))))=0,NA(),SUMPRODUCT((Inputs!$A$5:$A$110=$B34)*Inputs!$B$5:$B$110*(((Inputs!$G$5:$G$110="moeda")+(Inputs!$G$5:$G$110="acoes"))*Inputs!$B$1+((Inputs!$G$5:$G$110&lt;&gt;"moeda")*(Inputs!$G$5:$G$110&lt;&gt;"acoes")))*INDEX(Inputs!$K$5:$AJ$110,0,MATCH(V$2,Inputs!$K$4:$AJ$4,0)))+SUMPRODUCT((Inputs!$C$5:$C$110=$B34)*Inputs!$D$5:$D$110*(((Inputs!$G$5:$G$110="moeda")+(Inputs!$G$5:$G$110="acoes"))*Inputs!$B$1+((Inputs!$G$5:$G$110&lt;&gt;"moeda")*(Inputs!$G$5:$G$110&lt;&gt;"acoes")))*INDEX(Inputs!$K$5:$AJ$110,0,MATCH(V$2,Inputs!$K$4:$AJ$4,0)))+SUMPRODUCT((Inputs!$E$5:$E$110=$B34)*Inputs!$F$5:$F$110*(((Inputs!$G$5:$G$110="moeda")+(Inputs!$G$5:$G$110="acoes"))*Inputs!$B$1+((Inputs!$G$5:$G$110&lt;&gt;"moeda")*(Inputs!$G$5:$G$110&lt;&gt;"acoes")))*INDEX(Inputs!$K$5:$AJ$110,0,MATCH(V$2,Inputs!$K$4:$AJ$4,0)))))</f>
        <v>1499</v>
      </c>
      <c r="W34" s="268">
        <f>V34</f>
        <v>1499</v>
      </c>
      <c r="X34" s="267">
        <f>IF(ISNA(MATCH(X$2,Inputs!$K$4:$AJ$4,0)),NA(),IF(SUMPRODUCT((Inputs!$A$5:$A$110=$B34)*ISNUMBER(INDEX(Inputs!$K$5:$AJ$110,0,MATCH(X$2,Inputs!$K$4:$AJ$4,0))))+SUMPRODUCT((Inputs!$C$5:$C$110=$B34)*ISNUMBER(INDEX(Inputs!$K$5:$AJ$110,0,MATCH(X$2,Inputs!$K$4:$AJ$4,0))))+SUMPRODUCT((Inputs!$E$5:$E$110=$B34)*ISNUMBER(INDEX(Inputs!$K$5:$AJ$110,0,MATCH(X$2,Inputs!$K$4:$AJ$4,0))))=0,NA(),SUMPRODUCT((Inputs!$A$5:$A$110=$B34)*Inputs!$B$5:$B$110*(((Inputs!$G$5:$G$110="moeda")+(Inputs!$G$5:$G$110="acoes"))*Inputs!$B$1+((Inputs!$G$5:$G$110&lt;&gt;"moeda")*(Inputs!$G$5:$G$110&lt;&gt;"acoes")))*INDEX(Inputs!$K$5:$AJ$110,0,MATCH(X$2,Inputs!$K$4:$AJ$4,0)))+SUMPRODUCT((Inputs!$C$5:$C$110=$B34)*Inputs!$D$5:$D$110*(((Inputs!$G$5:$G$110="moeda")+(Inputs!$G$5:$G$110="acoes"))*Inputs!$B$1+((Inputs!$G$5:$G$110&lt;&gt;"moeda")*(Inputs!$G$5:$G$110&lt;&gt;"acoes")))*INDEX(Inputs!$K$5:$AJ$110,0,MATCH(X$2,Inputs!$K$4:$AJ$4,0)))+SUMPRODUCT((Inputs!$E$5:$E$110=$B34)*Inputs!$F$5:$F$110*(((Inputs!$G$5:$G$110="moeda")+(Inputs!$G$5:$G$110="acoes"))*Inputs!$B$1+((Inputs!$G$5:$G$110&lt;&gt;"moeda")*(Inputs!$G$5:$G$110&lt;&gt;"acoes")))*INDEX(Inputs!$K$5:$AJ$110,0,MATCH(X$2,Inputs!$K$4:$AJ$4,0)))))</f>
        <v>1539</v>
      </c>
      <c r="Y34" s="267">
        <f>IF(ISNA(MATCH(Y$2,Inputs!$K$4:$AJ$4,0)),NA(),IF(SUMPRODUCT((Inputs!$A$5:$A$110=$B34)*ISNUMBER(INDEX(Inputs!$K$5:$AJ$110,0,MATCH(Y$2,Inputs!$K$4:$AJ$4,0))))+SUMPRODUCT((Inputs!$C$5:$C$110=$B34)*ISNUMBER(INDEX(Inputs!$K$5:$AJ$110,0,MATCH(Y$2,Inputs!$K$4:$AJ$4,0))))+SUMPRODUCT((Inputs!$E$5:$E$110=$B34)*ISNUMBER(INDEX(Inputs!$K$5:$AJ$110,0,MATCH(Y$2,Inputs!$K$4:$AJ$4,0))))=0,NA(),SUMPRODUCT((Inputs!$A$5:$A$110=$B34)*Inputs!$B$5:$B$110*(((Inputs!$G$5:$G$110="moeda")+(Inputs!$G$5:$G$110="acoes"))*Inputs!$B$1+((Inputs!$G$5:$G$110&lt;&gt;"moeda")*(Inputs!$G$5:$G$110&lt;&gt;"acoes")))*INDEX(Inputs!$K$5:$AJ$110,0,MATCH(Y$2,Inputs!$K$4:$AJ$4,0)))+SUMPRODUCT((Inputs!$C$5:$C$110=$B34)*Inputs!$D$5:$D$110*(((Inputs!$G$5:$G$110="moeda")+(Inputs!$G$5:$G$110="acoes"))*Inputs!$B$1+((Inputs!$G$5:$G$110&lt;&gt;"moeda")*(Inputs!$G$5:$G$110&lt;&gt;"acoes")))*INDEX(Inputs!$K$5:$AJ$110,0,MATCH(Y$2,Inputs!$K$4:$AJ$4,0)))+SUMPRODUCT((Inputs!$E$5:$E$110=$B34)*Inputs!$F$5:$F$110*(((Inputs!$G$5:$G$110="moeda")+(Inputs!$G$5:$G$110="acoes"))*Inputs!$B$1+((Inputs!$G$5:$G$110&lt;&gt;"moeda")*(Inputs!$G$5:$G$110&lt;&gt;"acoes")))*INDEX(Inputs!$K$5:$AJ$110,0,MATCH(Y$2,Inputs!$K$4:$AJ$4,0)))))</f>
        <v>1580</v>
      </c>
      <c r="Z34" s="267">
        <f>IF(ISNA(MATCH(Z$2,Inputs!$K$4:$AJ$4,0)),NA(),IF(SUMPRODUCT((Inputs!$A$5:$A$110=$B34)*ISNUMBER(INDEX(Inputs!$K$5:$AJ$110,0,MATCH(Z$2,Inputs!$K$4:$AJ$4,0))))+SUMPRODUCT((Inputs!$C$5:$C$110=$B34)*ISNUMBER(INDEX(Inputs!$K$5:$AJ$110,0,MATCH(Z$2,Inputs!$K$4:$AJ$4,0))))+SUMPRODUCT((Inputs!$E$5:$E$110=$B34)*ISNUMBER(INDEX(Inputs!$K$5:$AJ$110,0,MATCH(Z$2,Inputs!$K$4:$AJ$4,0))))=0,NA(),SUMPRODUCT((Inputs!$A$5:$A$110=$B34)*Inputs!$B$5:$B$110*(((Inputs!$G$5:$G$110="moeda")+(Inputs!$G$5:$G$110="acoes"))*Inputs!$B$1+((Inputs!$G$5:$G$110&lt;&gt;"moeda")*(Inputs!$G$5:$G$110&lt;&gt;"acoes")))*INDEX(Inputs!$K$5:$AJ$110,0,MATCH(Z$2,Inputs!$K$4:$AJ$4,0)))+SUMPRODUCT((Inputs!$C$5:$C$110=$B34)*Inputs!$D$5:$D$110*(((Inputs!$G$5:$G$110="moeda")+(Inputs!$G$5:$G$110="acoes"))*Inputs!$B$1+((Inputs!$G$5:$G$110&lt;&gt;"moeda")*(Inputs!$G$5:$G$110&lt;&gt;"acoes")))*INDEX(Inputs!$K$5:$AJ$110,0,MATCH(Z$2,Inputs!$K$4:$AJ$4,0)))+SUMPRODUCT((Inputs!$E$5:$E$110=$B34)*Inputs!$F$5:$F$110*(((Inputs!$G$5:$G$110="moeda")+(Inputs!$G$5:$G$110="acoes"))*Inputs!$B$1+((Inputs!$G$5:$G$110&lt;&gt;"moeda")*(Inputs!$G$5:$G$110&lt;&gt;"acoes")))*INDEX(Inputs!$K$5:$AJ$110,0,MATCH(Z$2,Inputs!$K$4:$AJ$4,0)))))</f>
        <v>1592</v>
      </c>
      <c r="AA34" s="267">
        <f>IF(ISNA(MATCH(AA$2,Inputs!$K$4:$AJ$4,0)),NA(),IF(SUMPRODUCT((Inputs!$A$5:$A$110=$B34)*ISNUMBER(INDEX(Inputs!$K$5:$AJ$110,0,MATCH(AA$2,Inputs!$K$4:$AJ$4,0))))+SUMPRODUCT((Inputs!$C$5:$C$110=$B34)*ISNUMBER(INDEX(Inputs!$K$5:$AJ$110,0,MATCH(AA$2,Inputs!$K$4:$AJ$4,0))))+SUMPRODUCT((Inputs!$E$5:$E$110=$B34)*ISNUMBER(INDEX(Inputs!$K$5:$AJ$110,0,MATCH(AA$2,Inputs!$K$4:$AJ$4,0))))=0,NA(),SUMPRODUCT((Inputs!$A$5:$A$110=$B34)*Inputs!$B$5:$B$110*(((Inputs!$G$5:$G$110="moeda")+(Inputs!$G$5:$G$110="acoes"))*Inputs!$B$1+((Inputs!$G$5:$G$110&lt;&gt;"moeda")*(Inputs!$G$5:$G$110&lt;&gt;"acoes")))*INDEX(Inputs!$K$5:$AJ$110,0,MATCH(AA$2,Inputs!$K$4:$AJ$4,0)))+SUMPRODUCT((Inputs!$C$5:$C$110=$B34)*Inputs!$D$5:$D$110*(((Inputs!$G$5:$G$110="moeda")+(Inputs!$G$5:$G$110="acoes"))*Inputs!$B$1+((Inputs!$G$5:$G$110&lt;&gt;"moeda")*(Inputs!$G$5:$G$110&lt;&gt;"acoes")))*INDEX(Inputs!$K$5:$AJ$110,0,MATCH(AA$2,Inputs!$K$4:$AJ$4,0)))+SUMPRODUCT((Inputs!$E$5:$E$110=$B34)*Inputs!$F$5:$F$110*(((Inputs!$G$5:$G$110="moeda")+(Inputs!$G$5:$G$110="acoes"))*Inputs!$B$1+((Inputs!$G$5:$G$110&lt;&gt;"moeda")*(Inputs!$G$5:$G$110&lt;&gt;"acoes")))*INDEX(Inputs!$K$5:$AJ$110,0,MATCH(AA$2,Inputs!$K$4:$AJ$4,0)))))</f>
        <v>1631</v>
      </c>
      <c r="AB34" s="268">
        <f>AA34</f>
        <v>1631</v>
      </c>
      <c r="AC34" s="267">
        <f>IF(ISNA(MATCH(AC$2,Inputs!$K$4:$AJ$4,0)),NA(),IF(SUMPRODUCT((Inputs!$A$5:$A$110=$B34)*ISNUMBER(INDEX(Inputs!$K$5:$AJ$110,0,MATCH(AC$2,Inputs!$K$4:$AJ$4,0))))+SUMPRODUCT((Inputs!$C$5:$C$110=$B34)*ISNUMBER(INDEX(Inputs!$K$5:$AJ$110,0,MATCH(AC$2,Inputs!$K$4:$AJ$4,0))))+SUMPRODUCT((Inputs!$E$5:$E$110=$B34)*ISNUMBER(INDEX(Inputs!$K$5:$AJ$110,0,MATCH(AC$2,Inputs!$K$4:$AJ$4,0))))=0,NA(),SUMPRODUCT((Inputs!$A$5:$A$110=$B34)*Inputs!$B$5:$B$110*(((Inputs!$G$5:$G$110="moeda")+(Inputs!$G$5:$G$110="acoes"))*Inputs!$B$1+((Inputs!$G$5:$G$110&lt;&gt;"moeda")*(Inputs!$G$5:$G$110&lt;&gt;"acoes")))*INDEX(Inputs!$K$5:$AJ$110,0,MATCH(AC$2,Inputs!$K$4:$AJ$4,0)))+SUMPRODUCT((Inputs!$C$5:$C$110=$B34)*Inputs!$D$5:$D$110*(((Inputs!$G$5:$G$110="moeda")+(Inputs!$G$5:$G$110="acoes"))*Inputs!$B$1+((Inputs!$G$5:$G$110&lt;&gt;"moeda")*(Inputs!$G$5:$G$110&lt;&gt;"acoes")))*INDEX(Inputs!$K$5:$AJ$110,0,MATCH(AC$2,Inputs!$K$4:$AJ$4,0)))+SUMPRODUCT((Inputs!$E$5:$E$110=$B34)*Inputs!$F$5:$F$110*(((Inputs!$G$5:$G$110="moeda")+(Inputs!$G$5:$G$110="acoes"))*Inputs!$B$1+((Inputs!$G$5:$G$110&lt;&gt;"moeda")*(Inputs!$G$5:$G$110&lt;&gt;"acoes")))*INDEX(Inputs!$K$5:$AJ$110,0,MATCH(AC$2,Inputs!$K$4:$AJ$4,0)))))</f>
        <v>1662</v>
      </c>
      <c r="AD34" s="267">
        <f>IF(ISNA(MATCH(AD$2,Inputs!$K$4:$AJ$4,0)),NA(),IF(SUMPRODUCT((Inputs!$A$5:$A$110=$B34)*ISNUMBER(INDEX(Inputs!$K$5:$AJ$110,0,MATCH(AD$2,Inputs!$K$4:$AJ$4,0))))+SUMPRODUCT((Inputs!$C$5:$C$110=$B34)*ISNUMBER(INDEX(Inputs!$K$5:$AJ$110,0,MATCH(AD$2,Inputs!$K$4:$AJ$4,0))))+SUMPRODUCT((Inputs!$E$5:$E$110=$B34)*ISNUMBER(INDEX(Inputs!$K$5:$AJ$110,0,MATCH(AD$2,Inputs!$K$4:$AJ$4,0))))=0,NA(),SUMPRODUCT((Inputs!$A$5:$A$110=$B34)*Inputs!$B$5:$B$110*(((Inputs!$G$5:$G$110="moeda")+(Inputs!$G$5:$G$110="acoes"))*Inputs!$B$1+((Inputs!$G$5:$G$110&lt;&gt;"moeda")*(Inputs!$G$5:$G$110&lt;&gt;"acoes")))*INDEX(Inputs!$K$5:$AJ$110,0,MATCH(AD$2,Inputs!$K$4:$AJ$4,0)))+SUMPRODUCT((Inputs!$C$5:$C$110=$B34)*Inputs!$D$5:$D$110*(((Inputs!$G$5:$G$110="moeda")+(Inputs!$G$5:$G$110="acoes"))*Inputs!$B$1+((Inputs!$G$5:$G$110&lt;&gt;"moeda")*(Inputs!$G$5:$G$110&lt;&gt;"acoes")))*INDEX(Inputs!$K$5:$AJ$110,0,MATCH(AD$2,Inputs!$K$4:$AJ$4,0)))+SUMPRODUCT((Inputs!$E$5:$E$110=$B34)*Inputs!$F$5:$F$110*(((Inputs!$G$5:$G$110="moeda")+(Inputs!$G$5:$G$110="acoes"))*Inputs!$B$1+((Inputs!$G$5:$G$110&lt;&gt;"moeda")*(Inputs!$G$5:$G$110&lt;&gt;"acoes")))*INDEX(Inputs!$K$5:$AJ$110,0,MATCH(AD$2,Inputs!$K$4:$AJ$4,0)))))</f>
        <v>1714</v>
      </c>
      <c r="AE34" s="267" t="e">
        <f>IF(ISNA(MATCH(AE$2,Inputs!$K$4:$AJ$4,0)),NA(),IF(SUMPRODUCT((Inputs!$A$5:$A$110=$B34)*ISNUMBER(INDEX(Inputs!$K$5:$AJ$110,0,MATCH(AE$2,Inputs!$K$4:$AJ$4,0))))+SUMPRODUCT((Inputs!$C$5:$C$110=$B34)*ISNUMBER(INDEX(Inputs!$K$5:$AJ$110,0,MATCH(AE$2,Inputs!$K$4:$AJ$4,0))))+SUMPRODUCT((Inputs!$E$5:$E$110=$B34)*ISNUMBER(INDEX(Inputs!$K$5:$AJ$110,0,MATCH(AE$2,Inputs!$K$4:$AJ$4,0))))=0,NA(),SUMPRODUCT((Inputs!$A$5:$A$110=$B34)*Inputs!$B$5:$B$110*(((Inputs!$G$5:$G$110="moeda")+(Inputs!$G$5:$G$110="acoes"))*Inputs!$B$1+((Inputs!$G$5:$G$110&lt;&gt;"moeda")*(Inputs!$G$5:$G$110&lt;&gt;"acoes")))*INDEX(Inputs!$K$5:$AJ$110,0,MATCH(AE$2,Inputs!$K$4:$AJ$4,0)))+SUMPRODUCT((Inputs!$C$5:$C$110=$B34)*Inputs!$D$5:$D$110*(((Inputs!$G$5:$G$110="moeda")+(Inputs!$G$5:$G$110="acoes"))*Inputs!$B$1+((Inputs!$G$5:$G$110&lt;&gt;"moeda")*(Inputs!$G$5:$G$110&lt;&gt;"acoes")))*INDEX(Inputs!$K$5:$AJ$110,0,MATCH(AE$2,Inputs!$K$4:$AJ$4,0)))+SUMPRODUCT((Inputs!$E$5:$E$110=$B34)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4" s="267" t="e">
        <f>IF(ISNA(MATCH(AF$2,Inputs!$K$4:$AJ$4,0)),NA(),IF(SUMPRODUCT((Inputs!$A$5:$A$110=$B34)*ISNUMBER(INDEX(Inputs!$K$5:$AJ$110,0,MATCH(AF$2,Inputs!$K$4:$AJ$4,0))))+SUMPRODUCT((Inputs!$C$5:$C$110=$B34)*ISNUMBER(INDEX(Inputs!$K$5:$AJ$110,0,MATCH(AF$2,Inputs!$K$4:$AJ$4,0))))+SUMPRODUCT((Inputs!$E$5:$E$110=$B34)*ISNUMBER(INDEX(Inputs!$K$5:$AJ$110,0,MATCH(AF$2,Inputs!$K$4:$AJ$4,0))))=0,NA(),SUMPRODUCT((Inputs!$A$5:$A$110=$B34)*Inputs!$B$5:$B$110*(((Inputs!$G$5:$G$110="moeda")+(Inputs!$G$5:$G$110="acoes"))*Inputs!$B$1+((Inputs!$G$5:$G$110&lt;&gt;"moeda")*(Inputs!$G$5:$G$110&lt;&gt;"acoes")))*INDEX(Inputs!$K$5:$AJ$110,0,MATCH(AF$2,Inputs!$K$4:$AJ$4,0)))+SUMPRODUCT((Inputs!$C$5:$C$110=$B34)*Inputs!$D$5:$D$110*(((Inputs!$G$5:$G$110="moeda")+(Inputs!$G$5:$G$110="acoes"))*Inputs!$B$1+((Inputs!$G$5:$G$110&lt;&gt;"moeda")*(Inputs!$G$5:$G$110&lt;&gt;"acoes")))*INDEX(Inputs!$K$5:$AJ$110,0,MATCH(AF$2,Inputs!$K$4:$AJ$4,0)))+SUMPRODUCT((Inputs!$E$5:$E$110=$B34)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4" s="268" t="e">
        <f>AF34</f>
        <v>#N/A</v>
      </c>
      <c r="AH34" s="267">
        <f>IF(ISNA(MATCH(AH$2,Inputs!$K$4:$AJ$4,0)),NA(),IF(SUMPRODUCT((Inputs!$A$5:$A$110=$B34)*ISNUMBER(INDEX(Inputs!$K$5:$AJ$110,0,MATCH(AH$2,Inputs!$K$4:$AJ$4,0))))+SUMPRODUCT((Inputs!$C$5:$C$110=$B34)*ISNUMBER(INDEX(Inputs!$K$5:$AJ$110,0,MATCH(AH$2,Inputs!$K$4:$AJ$4,0))))+SUMPRODUCT((Inputs!$E$5:$E$110=$B34)*ISNUMBER(INDEX(Inputs!$K$5:$AJ$110,0,MATCH(AH$2,Inputs!$K$4:$AJ$4,0))))=0,NA(),SUMPRODUCT((Inputs!$A$5:$A$110=$B34)*Inputs!$B$5:$B$110*(((Inputs!$G$5:$G$110="moeda")+(Inputs!$G$5:$G$110="acoes"))*Inputs!$B$1+((Inputs!$G$5:$G$110&lt;&gt;"moeda")*(Inputs!$G$5:$G$110&lt;&gt;"acoes")))*INDEX(Inputs!$K$5:$AJ$110,0,MATCH(AH$2,Inputs!$K$4:$AJ$4,0)))+SUMPRODUCT((Inputs!$C$5:$C$110=$B34)*Inputs!$D$5:$D$110*(((Inputs!$G$5:$G$110="moeda")+(Inputs!$G$5:$G$110="acoes"))*Inputs!$B$1+((Inputs!$G$5:$G$110&lt;&gt;"moeda")*(Inputs!$G$5:$G$110&lt;&gt;"acoes")))*INDEX(Inputs!$K$5:$AJ$110,0,MATCH(AH$2,Inputs!$K$4:$AJ$4,0)))+SUMPRODUCT((Inputs!$E$5:$E$110=$B34)*Inputs!$F$5:$F$110*(((Inputs!$G$5:$G$110="moeda")+(Inputs!$G$5:$G$110="acoes"))*Inputs!$B$1+((Inputs!$G$5:$G$110&lt;&gt;"moeda")*(Inputs!$G$5:$G$110&lt;&gt;"acoes")))*INDEX(Inputs!$K$5:$AJ$110,0,MATCH(AH$2,Inputs!$K$4:$AJ$4,0)))))</f>
        <v>1729</v>
      </c>
      <c r="AI34" s="267">
        <f>IF(ISNA(MATCH(AI$2,Inputs!$K$4:$AJ$4,0)),NA(),IF(SUMPRODUCT((Inputs!$A$5:$A$110=$B34)*ISNUMBER(INDEX(Inputs!$K$5:$AJ$110,0,MATCH(AI$2,Inputs!$K$4:$AJ$4,0))))+SUMPRODUCT((Inputs!$C$5:$C$110=$B34)*ISNUMBER(INDEX(Inputs!$K$5:$AJ$110,0,MATCH(AI$2,Inputs!$K$4:$AJ$4,0))))+SUMPRODUCT((Inputs!$E$5:$E$110=$B34)*ISNUMBER(INDEX(Inputs!$K$5:$AJ$110,0,MATCH(AI$2,Inputs!$K$4:$AJ$4,0))))=0,NA(),SUMPRODUCT((Inputs!$A$5:$A$110=$B34)*Inputs!$B$5:$B$110*(((Inputs!$G$5:$G$110="moeda")+(Inputs!$G$5:$G$110="acoes"))*Inputs!$B$1+((Inputs!$G$5:$G$110&lt;&gt;"moeda")*(Inputs!$G$5:$G$110&lt;&gt;"acoes")))*INDEX(Inputs!$K$5:$AJ$110,0,MATCH(AI$2,Inputs!$K$4:$AJ$4,0)))+SUMPRODUCT((Inputs!$C$5:$C$110=$B34)*Inputs!$D$5:$D$110*(((Inputs!$G$5:$G$110="moeda")+(Inputs!$G$5:$G$110="acoes"))*Inputs!$B$1+((Inputs!$G$5:$G$110&lt;&gt;"moeda")*(Inputs!$G$5:$G$110&lt;&gt;"acoes")))*INDEX(Inputs!$K$5:$AJ$110,0,MATCH(AI$2,Inputs!$K$4:$AJ$4,0)))+SUMPRODUCT((Inputs!$E$5:$E$110=$B34)*Inputs!$F$5:$F$110*(((Inputs!$G$5:$G$110="moeda")+(Inputs!$G$5:$G$110="acoes"))*Inputs!$B$1+((Inputs!$G$5:$G$110&lt;&gt;"moeda")*(Inputs!$G$5:$G$110&lt;&gt;"acoes")))*INDEX(Inputs!$K$5:$AJ$110,0,MATCH(AI$2,Inputs!$K$4:$AJ$4,0)))))</f>
        <v>1734</v>
      </c>
      <c r="AJ34" s="267">
        <f>IF(ISNA(MATCH(AJ$2,Inputs!$K$4:$AJ$4,0)),NA(),IF(SUMPRODUCT((Inputs!$A$5:$A$110=$B34)*ISNUMBER(INDEX(Inputs!$K$5:$AJ$110,0,MATCH(AJ$2,Inputs!$K$4:$AJ$4,0))))+SUMPRODUCT((Inputs!$C$5:$C$110=$B34)*ISNUMBER(INDEX(Inputs!$K$5:$AJ$110,0,MATCH(AJ$2,Inputs!$K$4:$AJ$4,0))))+SUMPRODUCT((Inputs!$E$5:$E$110=$B34)*ISNUMBER(INDEX(Inputs!$K$5:$AJ$110,0,MATCH(AJ$2,Inputs!$K$4:$AJ$4,0))))=0,NA(),SUMPRODUCT((Inputs!$A$5:$A$110=$B34)*Inputs!$B$5:$B$110*(((Inputs!$G$5:$G$110="moeda")+(Inputs!$G$5:$G$110="acoes"))*Inputs!$B$1+((Inputs!$G$5:$G$110&lt;&gt;"moeda")*(Inputs!$G$5:$G$110&lt;&gt;"acoes")))*INDEX(Inputs!$K$5:$AJ$110,0,MATCH(AJ$2,Inputs!$K$4:$AJ$4,0)))+SUMPRODUCT((Inputs!$C$5:$C$110=$B34)*Inputs!$D$5:$D$110*(((Inputs!$G$5:$G$110="moeda")+(Inputs!$G$5:$G$110="acoes"))*Inputs!$B$1+((Inputs!$G$5:$G$110&lt;&gt;"moeda")*(Inputs!$G$5:$G$110&lt;&gt;"acoes")))*INDEX(Inputs!$K$5:$AJ$110,0,MATCH(AJ$2,Inputs!$K$4:$AJ$4,0)))+SUMPRODUCT((Inputs!$E$5:$E$110=$B34)*Inputs!$F$5:$F$110*(((Inputs!$G$5:$G$110="moeda")+(Inputs!$G$5:$G$110="acoes"))*Inputs!$B$1+((Inputs!$G$5:$G$110&lt;&gt;"moeda")*(Inputs!$G$5:$G$110&lt;&gt;"acoes")))*INDEX(Inputs!$K$5:$AJ$110,0,MATCH(AJ$2,Inputs!$K$4:$AJ$4,0)))))</f>
        <v>1725</v>
      </c>
      <c r="AK34" s="267">
        <f>IF(ISNA(MATCH(AK$2,Inputs!$K$4:$AJ$4,0)),NA(),IF(SUMPRODUCT((Inputs!$A$5:$A$110=$B34)*ISNUMBER(INDEX(Inputs!$K$5:$AJ$110,0,MATCH(AK$2,Inputs!$K$4:$AJ$4,0))))+SUMPRODUCT((Inputs!$C$5:$C$110=$B34)*ISNUMBER(INDEX(Inputs!$K$5:$AJ$110,0,MATCH(AK$2,Inputs!$K$4:$AJ$4,0))))+SUMPRODUCT((Inputs!$E$5:$E$110=$B34)*ISNUMBER(INDEX(Inputs!$K$5:$AJ$110,0,MATCH(AK$2,Inputs!$K$4:$AJ$4,0))))=0,NA(),SUMPRODUCT((Inputs!$A$5:$A$110=$B34)*Inputs!$B$5:$B$110*(((Inputs!$G$5:$G$110="moeda")+(Inputs!$G$5:$G$110="acoes"))*Inputs!$B$1+((Inputs!$G$5:$G$110&lt;&gt;"moeda")*(Inputs!$G$5:$G$110&lt;&gt;"acoes")))*INDEX(Inputs!$K$5:$AJ$110,0,MATCH(AK$2,Inputs!$K$4:$AJ$4,0)))+SUMPRODUCT((Inputs!$C$5:$C$110=$B34)*Inputs!$D$5:$D$110*(((Inputs!$G$5:$G$110="moeda")+(Inputs!$G$5:$G$110="acoes"))*Inputs!$B$1+((Inputs!$G$5:$G$110&lt;&gt;"moeda")*(Inputs!$G$5:$G$110&lt;&gt;"acoes")))*INDEX(Inputs!$K$5:$AJ$110,0,MATCH(AK$2,Inputs!$K$4:$AJ$4,0)))+SUMPRODUCT((Inputs!$E$5:$E$110=$B34)*Inputs!$F$5:$F$110*(((Inputs!$G$5:$G$110="moeda")+(Inputs!$G$5:$G$110="acoes"))*Inputs!$B$1+((Inputs!$G$5:$G$110&lt;&gt;"moeda")*(Inputs!$G$5:$G$110&lt;&gt;"acoes")))*INDEX(Inputs!$K$5:$AJ$110,0,MATCH(AK$2,Inputs!$K$4:$AJ$4,0)))))</f>
        <v>1466</v>
      </c>
      <c r="AL34" s="268">
        <f>AK34</f>
        <v>1466</v>
      </c>
    </row>
    <row r="35" ht="12.75" customHeight="1" s="255">
      <c r="B35" s="265" t="n">
        <v>30</v>
      </c>
      <c r="C35" s="270" t="inlineStr">
        <is>
          <t>Long term debt</t>
        </is>
      </c>
      <c r="D35" s="267">
        <f>IF(ISNA(MATCH(D$2,Inputs!$K$4:$AJ$4,0)),NA(),IF(SUMPRODUCT((Inputs!$A$5:$A$110=$B35)*ISNUMBER(INDEX(Inputs!$K$5:$AJ$110,0,MATCH(D$2,Inputs!$K$4:$AJ$4,0))))+SUMPRODUCT((Inputs!$C$5:$C$110=$B35)*ISNUMBER(INDEX(Inputs!$K$5:$AJ$110,0,MATCH(D$2,Inputs!$K$4:$AJ$4,0))))+SUMPRODUCT((Inputs!$E$5:$E$110=$B35)*ISNUMBER(INDEX(Inputs!$K$5:$AJ$110,0,MATCH(D$2,Inputs!$K$4:$AJ$4,0))))=0,NA(),SUMPRODUCT((Inputs!$A$5:$A$110=$B35)*Inputs!$B$5:$B$110*(((Inputs!$G$5:$G$110="moeda")+(Inputs!$G$5:$G$110="acoes"))*Inputs!$B$1+((Inputs!$G$5:$G$110&lt;&gt;"moeda")*(Inputs!$G$5:$G$110&lt;&gt;"acoes")))*INDEX(Inputs!$K$5:$AJ$110,0,MATCH(D$2,Inputs!$K$4:$AJ$4,0)))+SUMPRODUCT((Inputs!$C$5:$C$110=$B35)*Inputs!$D$5:$D$110*(((Inputs!$G$5:$G$110="moeda")+(Inputs!$G$5:$G$110="acoes"))*Inputs!$B$1+((Inputs!$G$5:$G$110&lt;&gt;"moeda")*(Inputs!$G$5:$G$110&lt;&gt;"acoes")))*INDEX(Inputs!$K$5:$AJ$110,0,MATCH(D$2,Inputs!$K$4:$AJ$4,0)))+SUMPRODUCT((Inputs!$E$5:$E$110=$B35)*Inputs!$F$5:$F$110*(((Inputs!$G$5:$G$110="moeda")+(Inputs!$G$5:$G$110="acoes"))*Inputs!$B$1+((Inputs!$G$5:$G$110&lt;&gt;"moeda")*(Inputs!$G$5:$G$110&lt;&gt;"acoes")))*INDEX(Inputs!$K$5:$AJ$110,0,MATCH(D$2,Inputs!$K$4:$AJ$4,0)))))</f>
        <v>40273</v>
      </c>
      <c r="E35" s="267">
        <f>IF(ISNA(MATCH(E$2,Inputs!$K$4:$AJ$4,0)),NA(),IF(SUMPRODUCT((Inputs!$A$5:$A$110=$B35)*ISNUMBER(INDEX(Inputs!$K$5:$AJ$110,0,MATCH(E$2,Inputs!$K$4:$AJ$4,0))))+SUMPRODUCT((Inputs!$C$5:$C$110=$B35)*ISNUMBER(INDEX(Inputs!$K$5:$AJ$110,0,MATCH(E$2,Inputs!$K$4:$AJ$4,0))))+SUMPRODUCT((Inputs!$E$5:$E$110=$B35)*ISNUMBER(INDEX(Inputs!$K$5:$AJ$110,0,MATCH(E$2,Inputs!$K$4:$AJ$4,0))))=0,NA(),SUMPRODUCT((Inputs!$A$5:$A$110=$B35)*Inputs!$B$5:$B$110*(((Inputs!$G$5:$G$110="moeda")+(Inputs!$G$5:$G$110="acoes"))*Inputs!$B$1+((Inputs!$G$5:$G$110&lt;&gt;"moeda")*(Inputs!$G$5:$G$110&lt;&gt;"acoes")))*INDEX(Inputs!$K$5:$AJ$110,0,MATCH(E$2,Inputs!$K$4:$AJ$4,0)))+SUMPRODUCT((Inputs!$C$5:$C$110=$B35)*Inputs!$D$5:$D$110*(((Inputs!$G$5:$G$110="moeda")+(Inputs!$G$5:$G$110="acoes"))*Inputs!$B$1+((Inputs!$G$5:$G$110&lt;&gt;"moeda")*(Inputs!$G$5:$G$110&lt;&gt;"acoes")))*INDEX(Inputs!$K$5:$AJ$110,0,MATCH(E$2,Inputs!$K$4:$AJ$4,0)))+SUMPRODUCT((Inputs!$E$5:$E$110=$B35)*Inputs!$F$5:$F$110*(((Inputs!$G$5:$G$110="moeda")+(Inputs!$G$5:$G$110="acoes"))*Inputs!$B$1+((Inputs!$G$5:$G$110&lt;&gt;"moeda")*(Inputs!$G$5:$G$110&lt;&gt;"acoes")))*INDEX(Inputs!$K$5:$AJ$110,0,MATCH(E$2,Inputs!$K$4:$AJ$4,0)))))</f>
        <v>39581</v>
      </c>
      <c r="F35" s="267">
        <f>IF(ISNA(MATCH(F$2,Inputs!$K$4:$AJ$4,0)),NA(),IF(SUMPRODUCT((Inputs!$A$5:$A$110=$B35)*ISNUMBER(INDEX(Inputs!$K$5:$AJ$110,0,MATCH(F$2,Inputs!$K$4:$AJ$4,0))))+SUMPRODUCT((Inputs!$C$5:$C$110=$B35)*ISNUMBER(INDEX(Inputs!$K$5:$AJ$110,0,MATCH(F$2,Inputs!$K$4:$AJ$4,0))))+SUMPRODUCT((Inputs!$E$5:$E$110=$B35)*ISNUMBER(INDEX(Inputs!$K$5:$AJ$110,0,MATCH(F$2,Inputs!$K$4:$AJ$4,0))))=0,NA(),SUMPRODUCT((Inputs!$A$5:$A$110=$B35)*Inputs!$B$5:$B$110*(((Inputs!$G$5:$G$110="moeda")+(Inputs!$G$5:$G$110="acoes"))*Inputs!$B$1+((Inputs!$G$5:$G$110&lt;&gt;"moeda")*(Inputs!$G$5:$G$110&lt;&gt;"acoes")))*INDEX(Inputs!$K$5:$AJ$110,0,MATCH(F$2,Inputs!$K$4:$AJ$4,0)))+SUMPRODUCT((Inputs!$C$5:$C$110=$B35)*Inputs!$D$5:$D$110*(((Inputs!$G$5:$G$110="moeda")+(Inputs!$G$5:$G$110="acoes"))*Inputs!$B$1+((Inputs!$G$5:$G$110&lt;&gt;"moeda")*(Inputs!$G$5:$G$110&lt;&gt;"acoes")))*INDEX(Inputs!$K$5:$AJ$110,0,MATCH(F$2,Inputs!$K$4:$AJ$4,0)))+SUMPRODUCT((Inputs!$E$5:$E$110=$B35)*Inputs!$F$5:$F$110*(((Inputs!$G$5:$G$110="moeda")+(Inputs!$G$5:$G$110="acoes"))*Inputs!$B$1+((Inputs!$G$5:$G$110&lt;&gt;"moeda")*(Inputs!$G$5:$G$110&lt;&gt;"acoes")))*INDEX(Inputs!$K$5:$AJ$110,0,MATCH(F$2,Inputs!$K$4:$AJ$4,0)))))</f>
        <v>36425</v>
      </c>
      <c r="G35" s="267">
        <f>IF(ISNA(MATCH(G$2,Inputs!$K$4:$AJ$4,0)),NA(),IF(SUMPRODUCT((Inputs!$A$5:$A$110=$B35)*ISNUMBER(INDEX(Inputs!$K$5:$AJ$110,0,MATCH(G$2,Inputs!$K$4:$AJ$4,0))))+SUMPRODUCT((Inputs!$C$5:$C$110=$B35)*ISNUMBER(INDEX(Inputs!$K$5:$AJ$110,0,MATCH(G$2,Inputs!$K$4:$AJ$4,0))))+SUMPRODUCT((Inputs!$E$5:$E$110=$B35)*ISNUMBER(INDEX(Inputs!$K$5:$AJ$110,0,MATCH(G$2,Inputs!$K$4:$AJ$4,0))))=0,NA(),SUMPRODUCT((Inputs!$A$5:$A$110=$B35)*Inputs!$B$5:$B$110*(((Inputs!$G$5:$G$110="moeda")+(Inputs!$G$5:$G$110="acoes"))*Inputs!$B$1+((Inputs!$G$5:$G$110&lt;&gt;"moeda")*(Inputs!$G$5:$G$110&lt;&gt;"acoes")))*INDEX(Inputs!$K$5:$AJ$110,0,MATCH(G$2,Inputs!$K$4:$AJ$4,0)))+SUMPRODUCT((Inputs!$C$5:$C$110=$B35)*Inputs!$D$5:$D$110*(((Inputs!$G$5:$G$110="moeda")+(Inputs!$G$5:$G$110="acoes"))*Inputs!$B$1+((Inputs!$G$5:$G$110&lt;&gt;"moeda")*(Inputs!$G$5:$G$110&lt;&gt;"acoes")))*INDEX(Inputs!$K$5:$AJ$110,0,MATCH(G$2,Inputs!$K$4:$AJ$4,0)))+SUMPRODUCT((Inputs!$E$5:$E$110=$B35)*Inputs!$F$5:$F$110*(((Inputs!$G$5:$G$110="moeda")+(Inputs!$G$5:$G$110="acoes"))*Inputs!$B$1+((Inputs!$G$5:$G$110&lt;&gt;"moeda")*(Inputs!$G$5:$G$110&lt;&gt;"acoes")))*INDEX(Inputs!$K$5:$AJ$110,0,MATCH(G$2,Inputs!$K$4:$AJ$4,0)))))</f>
        <v>34864</v>
      </c>
      <c r="H35" s="268">
        <f>G35</f>
        <v>34864</v>
      </c>
      <c r="I35" s="267">
        <f>IF(ISNA(MATCH(I$2,Inputs!$K$4:$AJ$4,0)),NA(),IF(SUMPRODUCT((Inputs!$A$5:$A$110=$B35)*ISNUMBER(INDEX(Inputs!$K$5:$AJ$110,0,MATCH(I$2,Inputs!$K$4:$AJ$4,0))))+SUMPRODUCT((Inputs!$C$5:$C$110=$B35)*ISNUMBER(INDEX(Inputs!$K$5:$AJ$110,0,MATCH(I$2,Inputs!$K$4:$AJ$4,0))))+SUMPRODUCT((Inputs!$E$5:$E$110=$B35)*ISNUMBER(INDEX(Inputs!$K$5:$AJ$110,0,MATCH(I$2,Inputs!$K$4:$AJ$4,0))))=0,NA(),SUMPRODUCT((Inputs!$A$5:$A$110=$B35)*Inputs!$B$5:$B$110*(((Inputs!$G$5:$G$110="moeda")+(Inputs!$G$5:$G$110="acoes"))*Inputs!$B$1+((Inputs!$G$5:$G$110&lt;&gt;"moeda")*(Inputs!$G$5:$G$110&lt;&gt;"acoes")))*INDEX(Inputs!$K$5:$AJ$110,0,MATCH(I$2,Inputs!$K$4:$AJ$4,0)))+SUMPRODUCT((Inputs!$C$5:$C$110=$B35)*Inputs!$D$5:$D$110*(((Inputs!$G$5:$G$110="moeda")+(Inputs!$G$5:$G$110="acoes"))*Inputs!$B$1+((Inputs!$G$5:$G$110&lt;&gt;"moeda")*(Inputs!$G$5:$G$110&lt;&gt;"acoes")))*INDEX(Inputs!$K$5:$AJ$110,0,MATCH(I$2,Inputs!$K$4:$AJ$4,0)))+SUMPRODUCT((Inputs!$E$5:$E$110=$B35)*Inputs!$F$5:$F$110*(((Inputs!$G$5:$G$110="moeda")+(Inputs!$G$5:$G$110="acoes"))*Inputs!$B$1+((Inputs!$G$5:$G$110&lt;&gt;"moeda")*(Inputs!$G$5:$G$110&lt;&gt;"acoes")))*INDEX(Inputs!$K$5:$AJ$110,0,MATCH(I$2,Inputs!$K$4:$AJ$4,0)))))</f>
        <v>32174</v>
      </c>
      <c r="J35" s="267">
        <f>IF(ISNA(MATCH(J$2,Inputs!$K$4:$AJ$4,0)),NA(),IF(SUMPRODUCT((Inputs!$A$5:$A$110=$B35)*ISNUMBER(INDEX(Inputs!$K$5:$AJ$110,0,MATCH(J$2,Inputs!$K$4:$AJ$4,0))))+SUMPRODUCT((Inputs!$C$5:$C$110=$B35)*ISNUMBER(INDEX(Inputs!$K$5:$AJ$110,0,MATCH(J$2,Inputs!$K$4:$AJ$4,0))))+SUMPRODUCT((Inputs!$E$5:$E$110=$B35)*ISNUMBER(INDEX(Inputs!$K$5:$AJ$110,0,MATCH(J$2,Inputs!$K$4:$AJ$4,0))))=0,NA(),SUMPRODUCT((Inputs!$A$5:$A$110=$B35)*Inputs!$B$5:$B$110*(((Inputs!$G$5:$G$110="moeda")+(Inputs!$G$5:$G$110="acoes"))*Inputs!$B$1+((Inputs!$G$5:$G$110&lt;&gt;"moeda")*(Inputs!$G$5:$G$110&lt;&gt;"acoes")))*INDEX(Inputs!$K$5:$AJ$110,0,MATCH(J$2,Inputs!$K$4:$AJ$4,0)))+SUMPRODUCT((Inputs!$C$5:$C$110=$B35)*Inputs!$D$5:$D$110*(((Inputs!$G$5:$G$110="moeda")+(Inputs!$G$5:$G$110="acoes"))*Inputs!$B$1+((Inputs!$G$5:$G$110&lt;&gt;"moeda")*(Inputs!$G$5:$G$110&lt;&gt;"acoes")))*INDEX(Inputs!$K$5:$AJ$110,0,MATCH(J$2,Inputs!$K$4:$AJ$4,0)))+SUMPRODUCT((Inputs!$E$5:$E$110=$B35)*Inputs!$F$5:$F$110*(((Inputs!$G$5:$G$110="moeda")+(Inputs!$G$5:$G$110="acoes"))*Inputs!$B$1+((Inputs!$G$5:$G$110&lt;&gt;"moeda")*(Inputs!$G$5:$G$110&lt;&gt;"acoes")))*INDEX(Inputs!$K$5:$AJ$110,0,MATCH(J$2,Inputs!$K$4:$AJ$4,0)))))</f>
        <v>29801</v>
      </c>
      <c r="K35" s="267">
        <f>IF(ISNA(MATCH(K$2,Inputs!$K$4:$AJ$4,0)),NA(),IF(SUMPRODUCT((Inputs!$A$5:$A$110=$B35)*ISNUMBER(INDEX(Inputs!$K$5:$AJ$110,0,MATCH(K$2,Inputs!$K$4:$AJ$4,0))))+SUMPRODUCT((Inputs!$C$5:$C$110=$B35)*ISNUMBER(INDEX(Inputs!$K$5:$AJ$110,0,MATCH(K$2,Inputs!$K$4:$AJ$4,0))))+SUMPRODUCT((Inputs!$E$5:$E$110=$B35)*ISNUMBER(INDEX(Inputs!$K$5:$AJ$110,0,MATCH(K$2,Inputs!$K$4:$AJ$4,0))))=0,NA(),SUMPRODUCT((Inputs!$A$5:$A$110=$B35)*Inputs!$B$5:$B$110*(((Inputs!$G$5:$G$110="moeda")+(Inputs!$G$5:$G$110="acoes"))*Inputs!$B$1+((Inputs!$G$5:$G$110&lt;&gt;"moeda")*(Inputs!$G$5:$G$110&lt;&gt;"acoes")))*INDEX(Inputs!$K$5:$AJ$110,0,MATCH(K$2,Inputs!$K$4:$AJ$4,0)))+SUMPRODUCT((Inputs!$C$5:$C$110=$B35)*Inputs!$D$5:$D$110*(((Inputs!$G$5:$G$110="moeda")+(Inputs!$G$5:$G$110="acoes"))*Inputs!$B$1+((Inputs!$G$5:$G$110&lt;&gt;"moeda")*(Inputs!$G$5:$G$110&lt;&gt;"acoes")))*INDEX(Inputs!$K$5:$AJ$110,0,MATCH(K$2,Inputs!$K$4:$AJ$4,0)))+SUMPRODUCT((Inputs!$E$5:$E$110=$B35)*Inputs!$F$5:$F$110*(((Inputs!$G$5:$G$110="moeda")+(Inputs!$G$5:$G$110="acoes"))*Inputs!$B$1+((Inputs!$G$5:$G$110&lt;&gt;"moeda")*(Inputs!$G$5:$G$110&lt;&gt;"acoes")))*INDEX(Inputs!$K$5:$AJ$110,0,MATCH(K$2,Inputs!$K$4:$AJ$4,0)))))</f>
        <v>33935</v>
      </c>
      <c r="L35" s="267">
        <f>IF(ISNA(MATCH(L$2,Inputs!$K$4:$AJ$4,0)),NA(),IF(SUMPRODUCT((Inputs!$A$5:$A$110=$B35)*ISNUMBER(INDEX(Inputs!$K$5:$AJ$110,0,MATCH(L$2,Inputs!$K$4:$AJ$4,0))))+SUMPRODUCT((Inputs!$C$5:$C$110=$B35)*ISNUMBER(INDEX(Inputs!$K$5:$AJ$110,0,MATCH(L$2,Inputs!$K$4:$AJ$4,0))))+SUMPRODUCT((Inputs!$E$5:$E$110=$B35)*ISNUMBER(INDEX(Inputs!$K$5:$AJ$110,0,MATCH(L$2,Inputs!$K$4:$AJ$4,0))))=0,NA(),SUMPRODUCT((Inputs!$A$5:$A$110=$B35)*Inputs!$B$5:$B$110*(((Inputs!$G$5:$G$110="moeda")+(Inputs!$G$5:$G$110="acoes"))*Inputs!$B$1+((Inputs!$G$5:$G$110&lt;&gt;"moeda")*(Inputs!$G$5:$G$110&lt;&gt;"acoes")))*INDEX(Inputs!$K$5:$AJ$110,0,MATCH(L$2,Inputs!$K$4:$AJ$4,0)))+SUMPRODUCT((Inputs!$C$5:$C$110=$B35)*Inputs!$D$5:$D$110*(((Inputs!$G$5:$G$110="moeda")+(Inputs!$G$5:$G$110="acoes"))*Inputs!$B$1+((Inputs!$G$5:$G$110&lt;&gt;"moeda")*(Inputs!$G$5:$G$110&lt;&gt;"acoes")))*INDEX(Inputs!$K$5:$AJ$110,0,MATCH(L$2,Inputs!$K$4:$AJ$4,0)))+SUMPRODUCT((Inputs!$E$5:$E$110=$B35)*Inputs!$F$5:$F$110*(((Inputs!$G$5:$G$110="moeda")+(Inputs!$G$5:$G$110="acoes"))*Inputs!$B$1+((Inputs!$G$5:$G$110&lt;&gt;"moeda")*(Inputs!$G$5:$G$110&lt;&gt;"acoes")))*INDEX(Inputs!$K$5:$AJ$110,0,MATCH(L$2,Inputs!$K$4:$AJ$4,0)))))</f>
        <v>34649</v>
      </c>
      <c r="M35" s="268">
        <f>L35</f>
        <v>34649</v>
      </c>
      <c r="N35" s="267">
        <f>IF(ISNA(MATCH(N$2,Inputs!$K$4:$AJ$4,0)),NA(),IF(SUMPRODUCT((Inputs!$A$5:$A$110=$B35)*ISNUMBER(INDEX(Inputs!$K$5:$AJ$110,0,MATCH(N$2,Inputs!$K$4:$AJ$4,0))))+SUMPRODUCT((Inputs!$C$5:$C$110=$B35)*ISNUMBER(INDEX(Inputs!$K$5:$AJ$110,0,MATCH(N$2,Inputs!$K$4:$AJ$4,0))))+SUMPRODUCT((Inputs!$E$5:$E$110=$B35)*ISNUMBER(INDEX(Inputs!$K$5:$AJ$110,0,MATCH(N$2,Inputs!$K$4:$AJ$4,0))))=0,NA(),SUMPRODUCT((Inputs!$A$5:$A$110=$B35)*Inputs!$B$5:$B$110*(((Inputs!$G$5:$G$110="moeda")+(Inputs!$G$5:$G$110="acoes"))*Inputs!$B$1+((Inputs!$G$5:$G$110&lt;&gt;"moeda")*(Inputs!$G$5:$G$110&lt;&gt;"acoes")))*INDEX(Inputs!$K$5:$AJ$110,0,MATCH(N$2,Inputs!$K$4:$AJ$4,0)))+SUMPRODUCT((Inputs!$C$5:$C$110=$B35)*Inputs!$D$5:$D$110*(((Inputs!$G$5:$G$110="moeda")+(Inputs!$G$5:$G$110="acoes"))*Inputs!$B$1+((Inputs!$G$5:$G$110&lt;&gt;"moeda")*(Inputs!$G$5:$G$110&lt;&gt;"acoes")))*INDEX(Inputs!$K$5:$AJ$110,0,MATCH(N$2,Inputs!$K$4:$AJ$4,0)))+SUMPRODUCT((Inputs!$E$5:$E$110=$B35)*Inputs!$F$5:$F$110*(((Inputs!$G$5:$G$110="moeda")+(Inputs!$G$5:$G$110="acoes"))*Inputs!$B$1+((Inputs!$G$5:$G$110&lt;&gt;"moeda")*(Inputs!$G$5:$G$110&lt;&gt;"acoes")))*INDEX(Inputs!$K$5:$AJ$110,0,MATCH(N$2,Inputs!$K$4:$AJ$4,0)))))</f>
        <v>38120</v>
      </c>
      <c r="O35" s="267">
        <f>IF(ISNA(MATCH(O$2,Inputs!$K$4:$AJ$4,0)),NA(),IF(SUMPRODUCT((Inputs!$A$5:$A$110=$B35)*ISNUMBER(INDEX(Inputs!$K$5:$AJ$110,0,MATCH(O$2,Inputs!$K$4:$AJ$4,0))))+SUMPRODUCT((Inputs!$C$5:$C$110=$B35)*ISNUMBER(INDEX(Inputs!$K$5:$AJ$110,0,MATCH(O$2,Inputs!$K$4:$AJ$4,0))))+SUMPRODUCT((Inputs!$E$5:$E$110=$B35)*ISNUMBER(INDEX(Inputs!$K$5:$AJ$110,0,MATCH(O$2,Inputs!$K$4:$AJ$4,0))))=0,NA(),SUMPRODUCT((Inputs!$A$5:$A$110=$B35)*Inputs!$B$5:$B$110*(((Inputs!$G$5:$G$110="moeda")+(Inputs!$G$5:$G$110="acoes"))*Inputs!$B$1+((Inputs!$G$5:$G$110&lt;&gt;"moeda")*(Inputs!$G$5:$G$110&lt;&gt;"acoes")))*INDEX(Inputs!$K$5:$AJ$110,0,MATCH(O$2,Inputs!$K$4:$AJ$4,0)))+SUMPRODUCT((Inputs!$C$5:$C$110=$B35)*Inputs!$D$5:$D$110*(((Inputs!$G$5:$G$110="moeda")+(Inputs!$G$5:$G$110="acoes"))*Inputs!$B$1+((Inputs!$G$5:$G$110&lt;&gt;"moeda")*(Inputs!$G$5:$G$110&lt;&gt;"acoes")))*INDEX(Inputs!$K$5:$AJ$110,0,MATCH(O$2,Inputs!$K$4:$AJ$4,0)))+SUMPRODUCT((Inputs!$E$5:$E$110=$B35)*Inputs!$F$5:$F$110*(((Inputs!$G$5:$G$110="moeda")+(Inputs!$G$5:$G$110="acoes"))*Inputs!$B$1+((Inputs!$G$5:$G$110&lt;&gt;"moeda")*(Inputs!$G$5:$G$110&lt;&gt;"acoes")))*INDEX(Inputs!$K$5:$AJ$110,0,MATCH(O$2,Inputs!$K$4:$AJ$4,0)))))</f>
        <v>36806</v>
      </c>
      <c r="P35" s="267">
        <f>IF(ISNA(MATCH(P$2,Inputs!$K$4:$AJ$4,0)),NA(),IF(SUMPRODUCT((Inputs!$A$5:$A$110=$B35)*ISNUMBER(INDEX(Inputs!$K$5:$AJ$110,0,MATCH(P$2,Inputs!$K$4:$AJ$4,0))))+SUMPRODUCT((Inputs!$C$5:$C$110=$B35)*ISNUMBER(INDEX(Inputs!$K$5:$AJ$110,0,MATCH(P$2,Inputs!$K$4:$AJ$4,0))))+SUMPRODUCT((Inputs!$E$5:$E$110=$B35)*ISNUMBER(INDEX(Inputs!$K$5:$AJ$110,0,MATCH(P$2,Inputs!$K$4:$AJ$4,0))))=0,NA(),SUMPRODUCT((Inputs!$A$5:$A$110=$B35)*Inputs!$B$5:$B$110*(((Inputs!$G$5:$G$110="moeda")+(Inputs!$G$5:$G$110="acoes"))*Inputs!$B$1+((Inputs!$G$5:$G$110&lt;&gt;"moeda")*(Inputs!$G$5:$G$110&lt;&gt;"acoes")))*INDEX(Inputs!$K$5:$AJ$110,0,MATCH(P$2,Inputs!$K$4:$AJ$4,0)))+SUMPRODUCT((Inputs!$C$5:$C$110=$B35)*Inputs!$D$5:$D$110*(((Inputs!$G$5:$G$110="moeda")+(Inputs!$G$5:$G$110="acoes"))*Inputs!$B$1+((Inputs!$G$5:$G$110&lt;&gt;"moeda")*(Inputs!$G$5:$G$110&lt;&gt;"acoes")))*INDEX(Inputs!$K$5:$AJ$110,0,MATCH(P$2,Inputs!$K$4:$AJ$4,0)))+SUMPRODUCT((Inputs!$E$5:$E$110=$B35)*Inputs!$F$5:$F$110*(((Inputs!$G$5:$G$110="moeda")+(Inputs!$G$5:$G$110="acoes"))*Inputs!$B$1+((Inputs!$G$5:$G$110&lt;&gt;"moeda")*(Inputs!$G$5:$G$110&lt;&gt;"acoes")))*INDEX(Inputs!$K$5:$AJ$110,0,MATCH(P$2,Inputs!$K$4:$AJ$4,0)))))</f>
        <v>36342</v>
      </c>
      <c r="Q35" s="267">
        <f>IF(ISNA(MATCH(Q$2,Inputs!$K$4:$AJ$4,0)),NA(),IF(SUMPRODUCT((Inputs!$A$5:$A$110=$B35)*ISNUMBER(INDEX(Inputs!$K$5:$AJ$110,0,MATCH(Q$2,Inputs!$K$4:$AJ$4,0))))+SUMPRODUCT((Inputs!$C$5:$C$110=$B35)*ISNUMBER(INDEX(Inputs!$K$5:$AJ$110,0,MATCH(Q$2,Inputs!$K$4:$AJ$4,0))))+SUMPRODUCT((Inputs!$E$5:$E$110=$B35)*ISNUMBER(INDEX(Inputs!$K$5:$AJ$110,0,MATCH(Q$2,Inputs!$K$4:$AJ$4,0))))=0,NA(),SUMPRODUCT((Inputs!$A$5:$A$110=$B35)*Inputs!$B$5:$B$110*(((Inputs!$G$5:$G$110="moeda")+(Inputs!$G$5:$G$110="acoes"))*Inputs!$B$1+((Inputs!$G$5:$G$110&lt;&gt;"moeda")*(Inputs!$G$5:$G$110&lt;&gt;"acoes")))*INDEX(Inputs!$K$5:$AJ$110,0,MATCH(Q$2,Inputs!$K$4:$AJ$4,0)))+SUMPRODUCT((Inputs!$C$5:$C$110=$B35)*Inputs!$D$5:$D$110*(((Inputs!$G$5:$G$110="moeda")+(Inputs!$G$5:$G$110="acoes"))*Inputs!$B$1+((Inputs!$G$5:$G$110&lt;&gt;"moeda")*(Inputs!$G$5:$G$110&lt;&gt;"acoes")))*INDEX(Inputs!$K$5:$AJ$110,0,MATCH(Q$2,Inputs!$K$4:$AJ$4,0)))+SUMPRODUCT((Inputs!$E$5:$E$110=$B35)*Inputs!$F$5:$F$110*(((Inputs!$G$5:$G$110="moeda")+(Inputs!$G$5:$G$110="acoes"))*Inputs!$B$1+((Inputs!$G$5:$G$110&lt;&gt;"moeda")*(Inputs!$G$5:$G$110&lt;&gt;"acoes")))*INDEX(Inputs!$K$5:$AJ$110,0,MATCH(Q$2,Inputs!$K$4:$AJ$4,0)))))</f>
        <v>36132</v>
      </c>
      <c r="R35" s="268">
        <f>Q35</f>
        <v>36132</v>
      </c>
      <c r="S35" s="267">
        <f>IF(ISNA(MATCH(S$2,Inputs!$K$4:$AJ$4,0)),NA(),IF(SUMPRODUCT((Inputs!$A$5:$A$110=$B35)*ISNUMBER(INDEX(Inputs!$K$5:$AJ$110,0,MATCH(S$2,Inputs!$K$4:$AJ$4,0))))+SUMPRODUCT((Inputs!$C$5:$C$110=$B35)*ISNUMBER(INDEX(Inputs!$K$5:$AJ$110,0,MATCH(S$2,Inputs!$K$4:$AJ$4,0))))+SUMPRODUCT((Inputs!$E$5:$E$110=$B35)*ISNUMBER(INDEX(Inputs!$K$5:$AJ$110,0,MATCH(S$2,Inputs!$K$4:$AJ$4,0))))=0,NA(),SUMPRODUCT((Inputs!$A$5:$A$110=$B35)*Inputs!$B$5:$B$110*(((Inputs!$G$5:$G$110="moeda")+(Inputs!$G$5:$G$110="acoes"))*Inputs!$B$1+((Inputs!$G$5:$G$110&lt;&gt;"moeda")*(Inputs!$G$5:$G$110&lt;&gt;"acoes")))*INDEX(Inputs!$K$5:$AJ$110,0,MATCH(S$2,Inputs!$K$4:$AJ$4,0)))+SUMPRODUCT((Inputs!$C$5:$C$110=$B35)*Inputs!$D$5:$D$110*(((Inputs!$G$5:$G$110="moeda")+(Inputs!$G$5:$G$110="acoes"))*Inputs!$B$1+((Inputs!$G$5:$G$110&lt;&gt;"moeda")*(Inputs!$G$5:$G$110&lt;&gt;"acoes")))*INDEX(Inputs!$K$5:$AJ$110,0,MATCH(S$2,Inputs!$K$4:$AJ$4,0)))+SUMPRODUCT((Inputs!$E$5:$E$110=$B35)*Inputs!$F$5:$F$110*(((Inputs!$G$5:$G$110="moeda")+(Inputs!$G$5:$G$110="acoes"))*Inputs!$B$1+((Inputs!$G$5:$G$110&lt;&gt;"moeda")*(Inputs!$G$5:$G$110&lt;&gt;"acoes")))*INDEX(Inputs!$K$5:$AJ$110,0,MATCH(S$2,Inputs!$K$4:$AJ$4,0)))))</f>
        <v>35928</v>
      </c>
      <c r="T35" s="267">
        <f>IF(ISNA(MATCH(T$2,Inputs!$K$4:$AJ$4,0)),NA(),IF(SUMPRODUCT((Inputs!$A$5:$A$110=$B35)*ISNUMBER(INDEX(Inputs!$K$5:$AJ$110,0,MATCH(T$2,Inputs!$K$4:$AJ$4,0))))+SUMPRODUCT((Inputs!$C$5:$C$110=$B35)*ISNUMBER(INDEX(Inputs!$K$5:$AJ$110,0,MATCH(T$2,Inputs!$K$4:$AJ$4,0))))+SUMPRODUCT((Inputs!$E$5:$E$110=$B35)*ISNUMBER(INDEX(Inputs!$K$5:$AJ$110,0,MATCH(T$2,Inputs!$K$4:$AJ$4,0))))=0,NA(),SUMPRODUCT((Inputs!$A$5:$A$110=$B35)*Inputs!$B$5:$B$110*(((Inputs!$G$5:$G$110="moeda")+(Inputs!$G$5:$G$110="acoes"))*Inputs!$B$1+((Inputs!$G$5:$G$110&lt;&gt;"moeda")*(Inputs!$G$5:$G$110&lt;&gt;"acoes")))*INDEX(Inputs!$K$5:$AJ$110,0,MATCH(T$2,Inputs!$K$4:$AJ$4,0)))+SUMPRODUCT((Inputs!$C$5:$C$110=$B35)*Inputs!$D$5:$D$110*(((Inputs!$G$5:$G$110="moeda")+(Inputs!$G$5:$G$110="acoes"))*Inputs!$B$1+((Inputs!$G$5:$G$110&lt;&gt;"moeda")*(Inputs!$G$5:$G$110&lt;&gt;"acoes")))*INDEX(Inputs!$K$5:$AJ$110,0,MATCH(T$2,Inputs!$K$4:$AJ$4,0)))+SUMPRODUCT((Inputs!$E$5:$E$110=$B35)*Inputs!$F$5:$F$110*(((Inputs!$G$5:$G$110="moeda")+(Inputs!$G$5:$G$110="acoes"))*Inputs!$B$1+((Inputs!$G$5:$G$110&lt;&gt;"moeda")*(Inputs!$G$5:$G$110&lt;&gt;"acoes")))*INDEX(Inputs!$K$5:$AJ$110,0,MATCH(T$2,Inputs!$K$4:$AJ$4,0)))))</f>
        <v>35364</v>
      </c>
      <c r="U35" s="267">
        <f>IF(ISNA(MATCH(U$2,Inputs!$K$4:$AJ$4,0)),NA(),IF(SUMPRODUCT((Inputs!$A$5:$A$110=$B35)*ISNUMBER(INDEX(Inputs!$K$5:$AJ$110,0,MATCH(U$2,Inputs!$K$4:$AJ$4,0))))+SUMPRODUCT((Inputs!$C$5:$C$110=$B35)*ISNUMBER(INDEX(Inputs!$K$5:$AJ$110,0,MATCH(U$2,Inputs!$K$4:$AJ$4,0))))+SUMPRODUCT((Inputs!$E$5:$E$110=$B35)*ISNUMBER(INDEX(Inputs!$K$5:$AJ$110,0,MATCH(U$2,Inputs!$K$4:$AJ$4,0))))=0,NA(),SUMPRODUCT((Inputs!$A$5:$A$110=$B35)*Inputs!$B$5:$B$110*(((Inputs!$G$5:$G$110="moeda")+(Inputs!$G$5:$G$110="acoes"))*Inputs!$B$1+((Inputs!$G$5:$G$110&lt;&gt;"moeda")*(Inputs!$G$5:$G$110&lt;&gt;"acoes")))*INDEX(Inputs!$K$5:$AJ$110,0,MATCH(U$2,Inputs!$K$4:$AJ$4,0)))+SUMPRODUCT((Inputs!$C$5:$C$110=$B35)*Inputs!$D$5:$D$110*(((Inputs!$G$5:$G$110="moeda")+(Inputs!$G$5:$G$110="acoes"))*Inputs!$B$1+((Inputs!$G$5:$G$110&lt;&gt;"moeda")*(Inputs!$G$5:$G$110&lt;&gt;"acoes")))*INDEX(Inputs!$K$5:$AJ$110,0,MATCH(U$2,Inputs!$K$4:$AJ$4,0)))+SUMPRODUCT((Inputs!$E$5:$E$110=$B35)*Inputs!$F$5:$F$110*(((Inputs!$G$5:$G$110="moeda")+(Inputs!$G$5:$G$110="acoes"))*Inputs!$B$1+((Inputs!$G$5:$G$110&lt;&gt;"moeda")*(Inputs!$G$5:$G$110&lt;&gt;"acoes")))*INDEX(Inputs!$K$5:$AJ$110,0,MATCH(U$2,Inputs!$K$4:$AJ$4,0)))))</f>
        <v>33645</v>
      </c>
      <c r="V35" s="267">
        <f>IF(ISNA(MATCH(V$2,Inputs!$K$4:$AJ$4,0)),NA(),IF(SUMPRODUCT((Inputs!$A$5:$A$110=$B35)*ISNUMBER(INDEX(Inputs!$K$5:$AJ$110,0,MATCH(V$2,Inputs!$K$4:$AJ$4,0))))+SUMPRODUCT((Inputs!$C$5:$C$110=$B35)*ISNUMBER(INDEX(Inputs!$K$5:$AJ$110,0,MATCH(V$2,Inputs!$K$4:$AJ$4,0))))+SUMPRODUCT((Inputs!$E$5:$E$110=$B35)*ISNUMBER(INDEX(Inputs!$K$5:$AJ$110,0,MATCH(V$2,Inputs!$K$4:$AJ$4,0))))=0,NA(),SUMPRODUCT((Inputs!$A$5:$A$110=$B35)*Inputs!$B$5:$B$110*(((Inputs!$G$5:$G$110="moeda")+(Inputs!$G$5:$G$110="acoes"))*Inputs!$B$1+((Inputs!$G$5:$G$110&lt;&gt;"moeda")*(Inputs!$G$5:$G$110&lt;&gt;"acoes")))*INDEX(Inputs!$K$5:$AJ$110,0,MATCH(V$2,Inputs!$K$4:$AJ$4,0)))+SUMPRODUCT((Inputs!$C$5:$C$110=$B35)*Inputs!$D$5:$D$110*(((Inputs!$G$5:$G$110="moeda")+(Inputs!$G$5:$G$110="acoes"))*Inputs!$B$1+((Inputs!$G$5:$G$110&lt;&gt;"moeda")*(Inputs!$G$5:$G$110&lt;&gt;"acoes")))*INDEX(Inputs!$K$5:$AJ$110,0,MATCH(V$2,Inputs!$K$4:$AJ$4,0)))+SUMPRODUCT((Inputs!$E$5:$E$110=$B35)*Inputs!$F$5:$F$110*(((Inputs!$G$5:$G$110="moeda")+(Inputs!$G$5:$G$110="acoes"))*Inputs!$B$1+((Inputs!$G$5:$G$110&lt;&gt;"moeda")*(Inputs!$G$5:$G$110&lt;&gt;"acoes")))*INDEX(Inputs!$K$5:$AJ$110,0,MATCH(V$2,Inputs!$K$4:$AJ$4,0)))))</f>
        <v>33401</v>
      </c>
      <c r="W35" s="268">
        <f>V35</f>
        <v>33401</v>
      </c>
      <c r="X35" s="267">
        <f>IF(ISNA(MATCH(X$2,Inputs!$K$4:$AJ$4,0)),NA(),IF(SUMPRODUCT((Inputs!$A$5:$A$110=$B35)*ISNUMBER(INDEX(Inputs!$K$5:$AJ$110,0,MATCH(X$2,Inputs!$K$4:$AJ$4,0))))+SUMPRODUCT((Inputs!$C$5:$C$110=$B35)*ISNUMBER(INDEX(Inputs!$K$5:$AJ$110,0,MATCH(X$2,Inputs!$K$4:$AJ$4,0))))+SUMPRODUCT((Inputs!$E$5:$E$110=$B35)*ISNUMBER(INDEX(Inputs!$K$5:$AJ$110,0,MATCH(X$2,Inputs!$K$4:$AJ$4,0))))=0,NA(),SUMPRODUCT((Inputs!$A$5:$A$110=$B35)*Inputs!$B$5:$B$110*(((Inputs!$G$5:$G$110="moeda")+(Inputs!$G$5:$G$110="acoes"))*Inputs!$B$1+((Inputs!$G$5:$G$110&lt;&gt;"moeda")*(Inputs!$G$5:$G$110&lt;&gt;"acoes")))*INDEX(Inputs!$K$5:$AJ$110,0,MATCH(X$2,Inputs!$K$4:$AJ$4,0)))+SUMPRODUCT((Inputs!$C$5:$C$110=$B35)*Inputs!$D$5:$D$110*(((Inputs!$G$5:$G$110="moeda")+(Inputs!$G$5:$G$110="acoes"))*Inputs!$B$1+((Inputs!$G$5:$G$110&lt;&gt;"moeda")*(Inputs!$G$5:$G$110&lt;&gt;"acoes")))*INDEX(Inputs!$K$5:$AJ$110,0,MATCH(X$2,Inputs!$K$4:$AJ$4,0)))+SUMPRODUCT((Inputs!$E$5:$E$110=$B35)*Inputs!$F$5:$F$110*(((Inputs!$G$5:$G$110="moeda")+(Inputs!$G$5:$G$110="acoes"))*Inputs!$B$1+((Inputs!$G$5:$G$110&lt;&gt;"moeda")*(Inputs!$G$5:$G$110&lt;&gt;"acoes")))*INDEX(Inputs!$K$5:$AJ$110,0,MATCH(X$2,Inputs!$K$4:$AJ$4,0)))))</f>
        <v>36520</v>
      </c>
      <c r="Y35" s="267">
        <f>IF(ISNA(MATCH(Y$2,Inputs!$K$4:$AJ$4,0)),NA(),IF(SUMPRODUCT((Inputs!$A$5:$A$110=$B35)*ISNUMBER(INDEX(Inputs!$K$5:$AJ$110,0,MATCH(Y$2,Inputs!$K$4:$AJ$4,0))))+SUMPRODUCT((Inputs!$C$5:$C$110=$B35)*ISNUMBER(INDEX(Inputs!$K$5:$AJ$110,0,MATCH(Y$2,Inputs!$K$4:$AJ$4,0))))+SUMPRODUCT((Inputs!$E$5:$E$110=$B35)*ISNUMBER(INDEX(Inputs!$K$5:$AJ$110,0,MATCH(Y$2,Inputs!$K$4:$AJ$4,0))))=0,NA(),SUMPRODUCT((Inputs!$A$5:$A$110=$B35)*Inputs!$B$5:$B$110*(((Inputs!$G$5:$G$110="moeda")+(Inputs!$G$5:$G$110="acoes"))*Inputs!$B$1+((Inputs!$G$5:$G$110&lt;&gt;"moeda")*(Inputs!$G$5:$G$110&lt;&gt;"acoes")))*INDEX(Inputs!$K$5:$AJ$110,0,MATCH(Y$2,Inputs!$K$4:$AJ$4,0)))+SUMPRODUCT((Inputs!$C$5:$C$110=$B35)*Inputs!$D$5:$D$110*(((Inputs!$G$5:$G$110="moeda")+(Inputs!$G$5:$G$110="acoes"))*Inputs!$B$1+((Inputs!$G$5:$G$110&lt;&gt;"moeda")*(Inputs!$G$5:$G$110&lt;&gt;"acoes")))*INDEX(Inputs!$K$5:$AJ$110,0,MATCH(Y$2,Inputs!$K$4:$AJ$4,0)))+SUMPRODUCT((Inputs!$E$5:$E$110=$B35)*Inputs!$F$5:$F$110*(((Inputs!$G$5:$G$110="moeda")+(Inputs!$G$5:$G$110="acoes"))*Inputs!$B$1+((Inputs!$G$5:$G$110&lt;&gt;"moeda")*(Inputs!$G$5:$G$110&lt;&gt;"acoes")))*INDEX(Inputs!$K$5:$AJ$110,0,MATCH(Y$2,Inputs!$K$4:$AJ$4,0)))))</f>
        <v>35640</v>
      </c>
      <c r="Z35" s="267">
        <f>IF(ISNA(MATCH(Z$2,Inputs!$K$4:$AJ$4,0)),NA(),IF(SUMPRODUCT((Inputs!$A$5:$A$110=$B35)*ISNUMBER(INDEX(Inputs!$K$5:$AJ$110,0,MATCH(Z$2,Inputs!$K$4:$AJ$4,0))))+SUMPRODUCT((Inputs!$C$5:$C$110=$B35)*ISNUMBER(INDEX(Inputs!$K$5:$AJ$110,0,MATCH(Z$2,Inputs!$K$4:$AJ$4,0))))+SUMPRODUCT((Inputs!$E$5:$E$110=$B35)*ISNUMBER(INDEX(Inputs!$K$5:$AJ$110,0,MATCH(Z$2,Inputs!$K$4:$AJ$4,0))))=0,NA(),SUMPRODUCT((Inputs!$A$5:$A$110=$B35)*Inputs!$B$5:$B$110*(((Inputs!$G$5:$G$110="moeda")+(Inputs!$G$5:$G$110="acoes"))*Inputs!$B$1+((Inputs!$G$5:$G$110&lt;&gt;"moeda")*(Inputs!$G$5:$G$110&lt;&gt;"acoes")))*INDEX(Inputs!$K$5:$AJ$110,0,MATCH(Z$2,Inputs!$K$4:$AJ$4,0)))+SUMPRODUCT((Inputs!$C$5:$C$110=$B35)*Inputs!$D$5:$D$110*(((Inputs!$G$5:$G$110="moeda")+(Inputs!$G$5:$G$110="acoes"))*Inputs!$B$1+((Inputs!$G$5:$G$110&lt;&gt;"moeda")*(Inputs!$G$5:$G$110&lt;&gt;"acoes")))*INDEX(Inputs!$K$5:$AJ$110,0,MATCH(Z$2,Inputs!$K$4:$AJ$4,0)))+SUMPRODUCT((Inputs!$E$5:$E$110=$B35)*Inputs!$F$5:$F$110*(((Inputs!$G$5:$G$110="moeda")+(Inputs!$G$5:$G$110="acoes"))*Inputs!$B$1+((Inputs!$G$5:$G$110&lt;&gt;"moeda")*(Inputs!$G$5:$G$110&lt;&gt;"acoes")))*INDEX(Inputs!$K$5:$AJ$110,0,MATCH(Z$2,Inputs!$K$4:$AJ$4,0)))))</f>
        <v>34445</v>
      </c>
      <c r="AA35" s="267">
        <f>IF(ISNA(MATCH(AA$2,Inputs!$K$4:$AJ$4,0)),NA(),IF(SUMPRODUCT((Inputs!$A$5:$A$110=$B35)*ISNUMBER(INDEX(Inputs!$K$5:$AJ$110,0,MATCH(AA$2,Inputs!$K$4:$AJ$4,0))))+SUMPRODUCT((Inputs!$C$5:$C$110=$B35)*ISNUMBER(INDEX(Inputs!$K$5:$AJ$110,0,MATCH(AA$2,Inputs!$K$4:$AJ$4,0))))+SUMPRODUCT((Inputs!$E$5:$E$110=$B35)*ISNUMBER(INDEX(Inputs!$K$5:$AJ$110,0,MATCH(AA$2,Inputs!$K$4:$AJ$4,0))))=0,NA(),SUMPRODUCT((Inputs!$A$5:$A$110=$B35)*Inputs!$B$5:$B$110*(((Inputs!$G$5:$G$110="moeda")+(Inputs!$G$5:$G$110="acoes"))*Inputs!$B$1+((Inputs!$G$5:$G$110&lt;&gt;"moeda")*(Inputs!$G$5:$G$110&lt;&gt;"acoes")))*INDEX(Inputs!$K$5:$AJ$110,0,MATCH(AA$2,Inputs!$K$4:$AJ$4,0)))+SUMPRODUCT((Inputs!$C$5:$C$110=$B35)*Inputs!$D$5:$D$110*(((Inputs!$G$5:$G$110="moeda")+(Inputs!$G$5:$G$110="acoes"))*Inputs!$B$1+((Inputs!$G$5:$G$110&lt;&gt;"moeda")*(Inputs!$G$5:$G$110&lt;&gt;"acoes")))*INDEX(Inputs!$K$5:$AJ$110,0,MATCH(AA$2,Inputs!$K$4:$AJ$4,0)))+SUMPRODUCT((Inputs!$E$5:$E$110=$B35)*Inputs!$F$5:$F$110*(((Inputs!$G$5:$G$110="moeda")+(Inputs!$G$5:$G$110="acoes"))*Inputs!$B$1+((Inputs!$G$5:$G$110&lt;&gt;"moeda")*(Inputs!$G$5:$G$110&lt;&gt;"acoes")))*INDEX(Inputs!$K$5:$AJ$110,0,MATCH(AA$2,Inputs!$K$4:$AJ$4,0)))))</f>
        <v>34624</v>
      </c>
      <c r="AB35" s="268">
        <f>AA35</f>
        <v>34624</v>
      </c>
      <c r="AC35" s="267">
        <f>IF(ISNA(MATCH(AC$2,Inputs!$K$4:$AJ$4,0)),NA(),IF(SUMPRODUCT((Inputs!$A$5:$A$110=$B35)*ISNUMBER(INDEX(Inputs!$K$5:$AJ$110,0,MATCH(AC$2,Inputs!$K$4:$AJ$4,0))))+SUMPRODUCT((Inputs!$C$5:$C$110=$B35)*ISNUMBER(INDEX(Inputs!$K$5:$AJ$110,0,MATCH(AC$2,Inputs!$K$4:$AJ$4,0))))+SUMPRODUCT((Inputs!$E$5:$E$110=$B35)*ISNUMBER(INDEX(Inputs!$K$5:$AJ$110,0,MATCH(AC$2,Inputs!$K$4:$AJ$4,0))))=0,NA(),SUMPRODUCT((Inputs!$A$5:$A$110=$B35)*Inputs!$B$5:$B$110*(((Inputs!$G$5:$G$110="moeda")+(Inputs!$G$5:$G$110="acoes"))*Inputs!$B$1+((Inputs!$G$5:$G$110&lt;&gt;"moeda")*(Inputs!$G$5:$G$110&lt;&gt;"acoes")))*INDEX(Inputs!$K$5:$AJ$110,0,MATCH(AC$2,Inputs!$K$4:$AJ$4,0)))+SUMPRODUCT((Inputs!$C$5:$C$110=$B35)*Inputs!$D$5:$D$110*(((Inputs!$G$5:$G$110="moeda")+(Inputs!$G$5:$G$110="acoes"))*Inputs!$B$1+((Inputs!$G$5:$G$110&lt;&gt;"moeda")*(Inputs!$G$5:$G$110&lt;&gt;"acoes")))*INDEX(Inputs!$K$5:$AJ$110,0,MATCH(AC$2,Inputs!$K$4:$AJ$4,0)))+SUMPRODUCT((Inputs!$E$5:$E$110=$B35)*Inputs!$F$5:$F$110*(((Inputs!$G$5:$G$110="moeda")+(Inputs!$G$5:$G$110="acoes"))*Inputs!$B$1+((Inputs!$G$5:$G$110&lt;&gt;"moeda")*(Inputs!$G$5:$G$110&lt;&gt;"acoes")))*INDEX(Inputs!$K$5:$AJ$110,0,MATCH(AC$2,Inputs!$K$4:$AJ$4,0)))))</f>
        <v>36887</v>
      </c>
      <c r="AD35" s="267">
        <f>IF(ISNA(MATCH(AD$2,Inputs!$K$4:$AJ$4,0)),NA(),IF(SUMPRODUCT((Inputs!$A$5:$A$110=$B35)*ISNUMBER(INDEX(Inputs!$K$5:$AJ$110,0,MATCH(AD$2,Inputs!$K$4:$AJ$4,0))))+SUMPRODUCT((Inputs!$C$5:$C$110=$B35)*ISNUMBER(INDEX(Inputs!$K$5:$AJ$110,0,MATCH(AD$2,Inputs!$K$4:$AJ$4,0))))+SUMPRODUCT((Inputs!$E$5:$E$110=$B35)*ISNUMBER(INDEX(Inputs!$K$5:$AJ$110,0,MATCH(AD$2,Inputs!$K$4:$AJ$4,0))))=0,NA(),SUMPRODUCT((Inputs!$A$5:$A$110=$B35)*Inputs!$B$5:$B$110*(((Inputs!$G$5:$G$110="moeda")+(Inputs!$G$5:$G$110="acoes"))*Inputs!$B$1+((Inputs!$G$5:$G$110&lt;&gt;"moeda")*(Inputs!$G$5:$G$110&lt;&gt;"acoes")))*INDEX(Inputs!$K$5:$AJ$110,0,MATCH(AD$2,Inputs!$K$4:$AJ$4,0)))+SUMPRODUCT((Inputs!$C$5:$C$110=$B35)*Inputs!$D$5:$D$110*(((Inputs!$G$5:$G$110="moeda")+(Inputs!$G$5:$G$110="acoes"))*Inputs!$B$1+((Inputs!$G$5:$G$110&lt;&gt;"moeda")*(Inputs!$G$5:$G$110&lt;&gt;"acoes")))*INDEX(Inputs!$K$5:$AJ$110,0,MATCH(AD$2,Inputs!$K$4:$AJ$4,0)))+SUMPRODUCT((Inputs!$E$5:$E$110=$B35)*Inputs!$F$5:$F$110*(((Inputs!$G$5:$G$110="moeda")+(Inputs!$G$5:$G$110="acoes"))*Inputs!$B$1+((Inputs!$G$5:$G$110&lt;&gt;"moeda")*(Inputs!$G$5:$G$110&lt;&gt;"acoes")))*INDEX(Inputs!$K$5:$AJ$110,0,MATCH(AD$2,Inputs!$K$4:$AJ$4,0)))))</f>
        <v>36462</v>
      </c>
      <c r="AE35" s="267" t="e">
        <f>IF(ISNA(MATCH(AE$2,Inputs!$K$4:$AJ$4,0)),NA(),IF(SUMPRODUCT((Inputs!$A$5:$A$110=$B35)*ISNUMBER(INDEX(Inputs!$K$5:$AJ$110,0,MATCH(AE$2,Inputs!$K$4:$AJ$4,0))))+SUMPRODUCT((Inputs!$C$5:$C$110=$B35)*ISNUMBER(INDEX(Inputs!$K$5:$AJ$110,0,MATCH(AE$2,Inputs!$K$4:$AJ$4,0))))+SUMPRODUCT((Inputs!$E$5:$E$110=$B35)*ISNUMBER(INDEX(Inputs!$K$5:$AJ$110,0,MATCH(AE$2,Inputs!$K$4:$AJ$4,0))))=0,NA(),SUMPRODUCT((Inputs!$A$5:$A$110=$B35)*Inputs!$B$5:$B$110*(((Inputs!$G$5:$G$110="moeda")+(Inputs!$G$5:$G$110="acoes"))*Inputs!$B$1+((Inputs!$G$5:$G$110&lt;&gt;"moeda")*(Inputs!$G$5:$G$110&lt;&gt;"acoes")))*INDEX(Inputs!$K$5:$AJ$110,0,MATCH(AE$2,Inputs!$K$4:$AJ$4,0)))+SUMPRODUCT((Inputs!$C$5:$C$110=$B35)*Inputs!$D$5:$D$110*(((Inputs!$G$5:$G$110="moeda")+(Inputs!$G$5:$G$110="acoes"))*Inputs!$B$1+((Inputs!$G$5:$G$110&lt;&gt;"moeda")*(Inputs!$G$5:$G$110&lt;&gt;"acoes")))*INDEX(Inputs!$K$5:$AJ$110,0,MATCH(AE$2,Inputs!$K$4:$AJ$4,0)))+SUMPRODUCT((Inputs!$E$5:$E$110=$B35)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5" s="267" t="e">
        <f>IF(ISNA(MATCH(AF$2,Inputs!$K$4:$AJ$4,0)),NA(),IF(SUMPRODUCT((Inputs!$A$5:$A$110=$B35)*ISNUMBER(INDEX(Inputs!$K$5:$AJ$110,0,MATCH(AF$2,Inputs!$K$4:$AJ$4,0))))+SUMPRODUCT((Inputs!$C$5:$C$110=$B35)*ISNUMBER(INDEX(Inputs!$K$5:$AJ$110,0,MATCH(AF$2,Inputs!$K$4:$AJ$4,0))))+SUMPRODUCT((Inputs!$E$5:$E$110=$B35)*ISNUMBER(INDEX(Inputs!$K$5:$AJ$110,0,MATCH(AF$2,Inputs!$K$4:$AJ$4,0))))=0,NA(),SUMPRODUCT((Inputs!$A$5:$A$110=$B35)*Inputs!$B$5:$B$110*(((Inputs!$G$5:$G$110="moeda")+(Inputs!$G$5:$G$110="acoes"))*Inputs!$B$1+((Inputs!$G$5:$G$110&lt;&gt;"moeda")*(Inputs!$G$5:$G$110&lt;&gt;"acoes")))*INDEX(Inputs!$K$5:$AJ$110,0,MATCH(AF$2,Inputs!$K$4:$AJ$4,0)))+SUMPRODUCT((Inputs!$C$5:$C$110=$B35)*Inputs!$D$5:$D$110*(((Inputs!$G$5:$G$110="moeda")+(Inputs!$G$5:$G$110="acoes"))*Inputs!$B$1+((Inputs!$G$5:$G$110&lt;&gt;"moeda")*(Inputs!$G$5:$G$110&lt;&gt;"acoes")))*INDEX(Inputs!$K$5:$AJ$110,0,MATCH(AF$2,Inputs!$K$4:$AJ$4,0)))+SUMPRODUCT((Inputs!$E$5:$E$110=$B35)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5" s="268" t="e">
        <f>AF35</f>
        <v>#N/A</v>
      </c>
      <c r="AH35" s="267">
        <f>IF(ISNA(MATCH(AH$2,Inputs!$K$4:$AJ$4,0)),NA(),IF(SUMPRODUCT((Inputs!$A$5:$A$110=$B35)*ISNUMBER(INDEX(Inputs!$K$5:$AJ$110,0,MATCH(AH$2,Inputs!$K$4:$AJ$4,0))))+SUMPRODUCT((Inputs!$C$5:$C$110=$B35)*ISNUMBER(INDEX(Inputs!$K$5:$AJ$110,0,MATCH(AH$2,Inputs!$K$4:$AJ$4,0))))+SUMPRODUCT((Inputs!$E$5:$E$110=$B35)*ISNUMBER(INDEX(Inputs!$K$5:$AJ$110,0,MATCH(AH$2,Inputs!$K$4:$AJ$4,0))))=0,NA(),SUMPRODUCT((Inputs!$A$5:$A$110=$B35)*Inputs!$B$5:$B$110*(((Inputs!$G$5:$G$110="moeda")+(Inputs!$G$5:$G$110="acoes"))*Inputs!$B$1+((Inputs!$G$5:$G$110&lt;&gt;"moeda")*(Inputs!$G$5:$G$110&lt;&gt;"acoes")))*INDEX(Inputs!$K$5:$AJ$110,0,MATCH(AH$2,Inputs!$K$4:$AJ$4,0)))+SUMPRODUCT((Inputs!$C$5:$C$110=$B35)*Inputs!$D$5:$D$110*(((Inputs!$G$5:$G$110="moeda")+(Inputs!$G$5:$G$110="acoes"))*Inputs!$B$1+((Inputs!$G$5:$G$110&lt;&gt;"moeda")*(Inputs!$G$5:$G$110&lt;&gt;"acoes")))*INDEX(Inputs!$K$5:$AJ$110,0,MATCH(AH$2,Inputs!$K$4:$AJ$4,0)))+SUMPRODUCT((Inputs!$E$5:$E$110=$B35)*Inputs!$F$5:$F$110*(((Inputs!$G$5:$G$110="moeda")+(Inputs!$G$5:$G$110="acoes"))*Inputs!$B$1+((Inputs!$G$5:$G$110&lt;&gt;"moeda")*(Inputs!$G$5:$G$110&lt;&gt;"acoes")))*INDEX(Inputs!$K$5:$AJ$110,0,MATCH(AH$2,Inputs!$K$4:$AJ$4,0)))))</f>
        <v>43006</v>
      </c>
      <c r="AI35" s="267">
        <f>IF(ISNA(MATCH(AI$2,Inputs!$K$4:$AJ$4,0)),NA(),IF(SUMPRODUCT((Inputs!$A$5:$A$110=$B35)*ISNUMBER(INDEX(Inputs!$K$5:$AJ$110,0,MATCH(AI$2,Inputs!$K$4:$AJ$4,0))))+SUMPRODUCT((Inputs!$C$5:$C$110=$B35)*ISNUMBER(INDEX(Inputs!$K$5:$AJ$110,0,MATCH(AI$2,Inputs!$K$4:$AJ$4,0))))+SUMPRODUCT((Inputs!$E$5:$E$110=$B35)*ISNUMBER(INDEX(Inputs!$K$5:$AJ$110,0,MATCH(AI$2,Inputs!$K$4:$AJ$4,0))))=0,NA(),SUMPRODUCT((Inputs!$A$5:$A$110=$B35)*Inputs!$B$5:$B$110*(((Inputs!$G$5:$G$110="moeda")+(Inputs!$G$5:$G$110="acoes"))*Inputs!$B$1+((Inputs!$G$5:$G$110&lt;&gt;"moeda")*(Inputs!$G$5:$G$110&lt;&gt;"acoes")))*INDEX(Inputs!$K$5:$AJ$110,0,MATCH(AI$2,Inputs!$K$4:$AJ$4,0)))+SUMPRODUCT((Inputs!$C$5:$C$110=$B35)*Inputs!$D$5:$D$110*(((Inputs!$G$5:$G$110="moeda")+(Inputs!$G$5:$G$110="acoes"))*Inputs!$B$1+((Inputs!$G$5:$G$110&lt;&gt;"moeda")*(Inputs!$G$5:$G$110&lt;&gt;"acoes")))*INDEX(Inputs!$K$5:$AJ$110,0,MATCH(AI$2,Inputs!$K$4:$AJ$4,0)))+SUMPRODUCT((Inputs!$E$5:$E$110=$B35)*Inputs!$F$5:$F$110*(((Inputs!$G$5:$G$110="moeda")+(Inputs!$G$5:$G$110="acoes"))*Inputs!$B$1+((Inputs!$G$5:$G$110&lt;&gt;"moeda")*(Inputs!$G$5:$G$110&lt;&gt;"acoes")))*INDEX(Inputs!$K$5:$AJ$110,0,MATCH(AI$2,Inputs!$K$4:$AJ$4,0)))))</f>
        <v>40959</v>
      </c>
      <c r="AJ35" s="267">
        <f>IF(ISNA(MATCH(AJ$2,Inputs!$K$4:$AJ$4,0)),NA(),IF(SUMPRODUCT((Inputs!$A$5:$A$110=$B35)*ISNUMBER(INDEX(Inputs!$K$5:$AJ$110,0,MATCH(AJ$2,Inputs!$K$4:$AJ$4,0))))+SUMPRODUCT((Inputs!$C$5:$C$110=$B35)*ISNUMBER(INDEX(Inputs!$K$5:$AJ$110,0,MATCH(AJ$2,Inputs!$K$4:$AJ$4,0))))+SUMPRODUCT((Inputs!$E$5:$E$110=$B35)*ISNUMBER(INDEX(Inputs!$K$5:$AJ$110,0,MATCH(AJ$2,Inputs!$K$4:$AJ$4,0))))=0,NA(),SUMPRODUCT((Inputs!$A$5:$A$110=$B35)*Inputs!$B$5:$B$110*(((Inputs!$G$5:$G$110="moeda")+(Inputs!$G$5:$G$110="acoes"))*Inputs!$B$1+((Inputs!$G$5:$G$110&lt;&gt;"moeda")*(Inputs!$G$5:$G$110&lt;&gt;"acoes")))*INDEX(Inputs!$K$5:$AJ$110,0,MATCH(AJ$2,Inputs!$K$4:$AJ$4,0)))+SUMPRODUCT((Inputs!$C$5:$C$110=$B35)*Inputs!$D$5:$D$110*(((Inputs!$G$5:$G$110="moeda")+(Inputs!$G$5:$G$110="acoes"))*Inputs!$B$1+((Inputs!$G$5:$G$110&lt;&gt;"moeda")*(Inputs!$G$5:$G$110&lt;&gt;"acoes")))*INDEX(Inputs!$K$5:$AJ$110,0,MATCH(AJ$2,Inputs!$K$4:$AJ$4,0)))+SUMPRODUCT((Inputs!$E$5:$E$110=$B35)*Inputs!$F$5:$F$110*(((Inputs!$G$5:$G$110="moeda")+(Inputs!$G$5:$G$110="acoes"))*Inputs!$B$1+((Inputs!$G$5:$G$110&lt;&gt;"moeda")*(Inputs!$G$5:$G$110&lt;&gt;"acoes")))*INDEX(Inputs!$K$5:$AJ$110,0,MATCH(AJ$2,Inputs!$K$4:$AJ$4,0)))))</f>
        <v>40849</v>
      </c>
      <c r="AK35" s="267">
        <f>IF(ISNA(MATCH(AK$2,Inputs!$K$4:$AJ$4,0)),NA(),IF(SUMPRODUCT((Inputs!$A$5:$A$110=$B35)*ISNUMBER(INDEX(Inputs!$K$5:$AJ$110,0,MATCH(AK$2,Inputs!$K$4:$AJ$4,0))))+SUMPRODUCT((Inputs!$C$5:$C$110=$B35)*ISNUMBER(INDEX(Inputs!$K$5:$AJ$110,0,MATCH(AK$2,Inputs!$K$4:$AJ$4,0))))+SUMPRODUCT((Inputs!$E$5:$E$110=$B35)*ISNUMBER(INDEX(Inputs!$K$5:$AJ$110,0,MATCH(AK$2,Inputs!$K$4:$AJ$4,0))))=0,NA(),SUMPRODUCT((Inputs!$A$5:$A$110=$B35)*Inputs!$B$5:$B$110*(((Inputs!$G$5:$G$110="moeda")+(Inputs!$G$5:$G$110="acoes"))*Inputs!$B$1+((Inputs!$G$5:$G$110&lt;&gt;"moeda")*(Inputs!$G$5:$G$110&lt;&gt;"acoes")))*INDEX(Inputs!$K$5:$AJ$110,0,MATCH(AK$2,Inputs!$K$4:$AJ$4,0)))+SUMPRODUCT((Inputs!$C$5:$C$110=$B35)*Inputs!$D$5:$D$110*(((Inputs!$G$5:$G$110="moeda")+(Inputs!$G$5:$G$110="acoes"))*Inputs!$B$1+((Inputs!$G$5:$G$110&lt;&gt;"moeda")*(Inputs!$G$5:$G$110&lt;&gt;"acoes")))*INDEX(Inputs!$K$5:$AJ$110,0,MATCH(AK$2,Inputs!$K$4:$AJ$4,0)))+SUMPRODUCT((Inputs!$E$5:$E$110=$B35)*Inputs!$F$5:$F$110*(((Inputs!$G$5:$G$110="moeda")+(Inputs!$G$5:$G$110="acoes"))*Inputs!$B$1+((Inputs!$G$5:$G$110&lt;&gt;"moeda")*(Inputs!$G$5:$G$110&lt;&gt;"acoes")))*INDEX(Inputs!$K$5:$AJ$110,0,MATCH(AK$2,Inputs!$K$4:$AJ$4,0)))))</f>
        <v>41194</v>
      </c>
      <c r="AL35" s="268">
        <f>AK35</f>
        <v>41194</v>
      </c>
    </row>
    <row r="36" ht="12.75" customHeight="1" s="255">
      <c r="B36" s="265" t="n">
        <v>31</v>
      </c>
      <c r="C36" s="270" t="inlineStr">
        <is>
          <t>Long term operating leases</t>
        </is>
      </c>
      <c r="D36" s="267">
        <f>IF(ISNA(MATCH(D$2,Inputs!$K$4:$AJ$4,0)),NA(),IF(SUMPRODUCT((Inputs!$A$5:$A$110=$B36)*ISNUMBER(INDEX(Inputs!$K$5:$AJ$110,0,MATCH(D$2,Inputs!$K$4:$AJ$4,0))))+SUMPRODUCT((Inputs!$C$5:$C$110=$B36)*ISNUMBER(INDEX(Inputs!$K$5:$AJ$110,0,MATCH(D$2,Inputs!$K$4:$AJ$4,0))))+SUMPRODUCT((Inputs!$E$5:$E$110=$B36)*ISNUMBER(INDEX(Inputs!$K$5:$AJ$110,0,MATCH(D$2,Inputs!$K$4:$AJ$4,0))))=0,NA(),SUMPRODUCT((Inputs!$A$5:$A$110=$B36)*Inputs!$B$5:$B$110*(((Inputs!$G$5:$G$110="moeda")+(Inputs!$G$5:$G$110="acoes"))*Inputs!$B$1+((Inputs!$G$5:$G$110&lt;&gt;"moeda")*(Inputs!$G$5:$G$110&lt;&gt;"acoes")))*INDEX(Inputs!$K$5:$AJ$110,0,MATCH(D$2,Inputs!$K$4:$AJ$4,0)))+SUMPRODUCT((Inputs!$C$5:$C$110=$B36)*Inputs!$D$5:$D$110*(((Inputs!$G$5:$G$110="moeda")+(Inputs!$G$5:$G$110="acoes"))*Inputs!$B$1+((Inputs!$G$5:$G$110&lt;&gt;"moeda")*(Inputs!$G$5:$G$110&lt;&gt;"acoes")))*INDEX(Inputs!$K$5:$AJ$110,0,MATCH(D$2,Inputs!$K$4:$AJ$4,0)))+SUMPRODUCT((Inputs!$E$5:$E$110=$B36)*Inputs!$F$5:$F$110*(((Inputs!$G$5:$G$110="moeda")+(Inputs!$G$5:$G$110="acoes"))*Inputs!$B$1+((Inputs!$G$5:$G$110&lt;&gt;"moeda")*(Inputs!$G$5:$G$110&lt;&gt;"acoes")))*INDEX(Inputs!$K$5:$AJ$110,0,MATCH(D$2,Inputs!$K$4:$AJ$4,0)))))</f>
        <v>12930</v>
      </c>
      <c r="E36" s="267">
        <f>IF(ISNA(MATCH(E$2,Inputs!$K$4:$AJ$4,0)),NA(),IF(SUMPRODUCT((Inputs!$A$5:$A$110=$B36)*ISNUMBER(INDEX(Inputs!$K$5:$AJ$110,0,MATCH(E$2,Inputs!$K$4:$AJ$4,0))))+SUMPRODUCT((Inputs!$C$5:$C$110=$B36)*ISNUMBER(INDEX(Inputs!$K$5:$AJ$110,0,MATCH(E$2,Inputs!$K$4:$AJ$4,0))))+SUMPRODUCT((Inputs!$E$5:$E$110=$B36)*ISNUMBER(INDEX(Inputs!$K$5:$AJ$110,0,MATCH(E$2,Inputs!$K$4:$AJ$4,0))))=0,NA(),SUMPRODUCT((Inputs!$A$5:$A$110=$B36)*Inputs!$B$5:$B$110*(((Inputs!$G$5:$G$110="moeda")+(Inputs!$G$5:$G$110="acoes"))*Inputs!$B$1+((Inputs!$G$5:$G$110&lt;&gt;"moeda")*(Inputs!$G$5:$G$110&lt;&gt;"acoes")))*INDEX(Inputs!$K$5:$AJ$110,0,MATCH(E$2,Inputs!$K$4:$AJ$4,0)))+SUMPRODUCT((Inputs!$C$5:$C$110=$B36)*Inputs!$D$5:$D$110*(((Inputs!$G$5:$G$110="moeda")+(Inputs!$G$5:$G$110="acoes"))*Inputs!$B$1+((Inputs!$G$5:$G$110&lt;&gt;"moeda")*(Inputs!$G$5:$G$110&lt;&gt;"acoes")))*INDEX(Inputs!$K$5:$AJ$110,0,MATCH(E$2,Inputs!$K$4:$AJ$4,0)))+SUMPRODUCT((Inputs!$E$5:$E$110=$B36)*Inputs!$F$5:$F$110*(((Inputs!$G$5:$G$110="moeda")+(Inputs!$G$5:$G$110="acoes"))*Inputs!$B$1+((Inputs!$G$5:$G$110&lt;&gt;"moeda")*(Inputs!$G$5:$G$110&lt;&gt;"acoes")))*INDEX(Inputs!$K$5:$AJ$110,0,MATCH(E$2,Inputs!$K$4:$AJ$4,0)))))</f>
        <v>13116</v>
      </c>
      <c r="F36" s="267">
        <f>IF(ISNA(MATCH(F$2,Inputs!$K$4:$AJ$4,0)),NA(),IF(SUMPRODUCT((Inputs!$A$5:$A$110=$B36)*ISNUMBER(INDEX(Inputs!$K$5:$AJ$110,0,MATCH(F$2,Inputs!$K$4:$AJ$4,0))))+SUMPRODUCT((Inputs!$C$5:$C$110=$B36)*ISNUMBER(INDEX(Inputs!$K$5:$AJ$110,0,MATCH(F$2,Inputs!$K$4:$AJ$4,0))))+SUMPRODUCT((Inputs!$E$5:$E$110=$B36)*ISNUMBER(INDEX(Inputs!$K$5:$AJ$110,0,MATCH(F$2,Inputs!$K$4:$AJ$4,0))))=0,NA(),SUMPRODUCT((Inputs!$A$5:$A$110=$B36)*Inputs!$B$5:$B$110*(((Inputs!$G$5:$G$110="moeda")+(Inputs!$G$5:$G$110="acoes"))*Inputs!$B$1+((Inputs!$G$5:$G$110&lt;&gt;"moeda")*(Inputs!$G$5:$G$110&lt;&gt;"acoes")))*INDEX(Inputs!$K$5:$AJ$110,0,MATCH(F$2,Inputs!$K$4:$AJ$4,0)))+SUMPRODUCT((Inputs!$C$5:$C$110=$B36)*Inputs!$D$5:$D$110*(((Inputs!$G$5:$G$110="moeda")+(Inputs!$G$5:$G$110="acoes"))*Inputs!$B$1+((Inputs!$G$5:$G$110&lt;&gt;"moeda")*(Inputs!$G$5:$G$110&lt;&gt;"acoes")))*INDEX(Inputs!$K$5:$AJ$110,0,MATCH(F$2,Inputs!$K$4:$AJ$4,0)))+SUMPRODUCT((Inputs!$E$5:$E$110=$B36)*Inputs!$F$5:$F$110*(((Inputs!$G$5:$G$110="moeda")+(Inputs!$G$5:$G$110="acoes"))*Inputs!$B$1+((Inputs!$G$5:$G$110&lt;&gt;"moeda")*(Inputs!$G$5:$G$110&lt;&gt;"acoes")))*INDEX(Inputs!$K$5:$AJ$110,0,MATCH(F$2,Inputs!$K$4:$AJ$4,0)))))</f>
        <v>13095</v>
      </c>
      <c r="G36" s="267">
        <f>IF(ISNA(MATCH(G$2,Inputs!$K$4:$AJ$4,0)),NA(),IF(SUMPRODUCT((Inputs!$A$5:$A$110=$B36)*ISNUMBER(INDEX(Inputs!$K$5:$AJ$110,0,MATCH(G$2,Inputs!$K$4:$AJ$4,0))))+SUMPRODUCT((Inputs!$C$5:$C$110=$B36)*ISNUMBER(INDEX(Inputs!$K$5:$AJ$110,0,MATCH(G$2,Inputs!$K$4:$AJ$4,0))))+SUMPRODUCT((Inputs!$E$5:$E$110=$B36)*ISNUMBER(INDEX(Inputs!$K$5:$AJ$110,0,MATCH(G$2,Inputs!$K$4:$AJ$4,0))))=0,NA(),SUMPRODUCT((Inputs!$A$5:$A$110=$B36)*Inputs!$B$5:$B$110*(((Inputs!$G$5:$G$110="moeda")+(Inputs!$G$5:$G$110="acoes"))*Inputs!$B$1+((Inputs!$G$5:$G$110&lt;&gt;"moeda")*(Inputs!$G$5:$G$110&lt;&gt;"acoes")))*INDEX(Inputs!$K$5:$AJ$110,0,MATCH(G$2,Inputs!$K$4:$AJ$4,0)))+SUMPRODUCT((Inputs!$C$5:$C$110=$B36)*Inputs!$D$5:$D$110*(((Inputs!$G$5:$G$110="moeda")+(Inputs!$G$5:$G$110="acoes"))*Inputs!$B$1+((Inputs!$G$5:$G$110&lt;&gt;"moeda")*(Inputs!$G$5:$G$110&lt;&gt;"acoes")))*INDEX(Inputs!$K$5:$AJ$110,0,MATCH(G$2,Inputs!$K$4:$AJ$4,0)))+SUMPRODUCT((Inputs!$E$5:$E$110=$B36)*Inputs!$F$5:$F$110*(((Inputs!$G$5:$G$110="moeda")+(Inputs!$G$5:$G$110="acoes"))*Inputs!$B$1+((Inputs!$G$5:$G$110&lt;&gt;"moeda")*(Inputs!$G$5:$G$110&lt;&gt;"acoes")))*INDEX(Inputs!$K$5:$AJ$110,0,MATCH(G$2,Inputs!$K$4:$AJ$4,0)))))</f>
        <v>13009</v>
      </c>
      <c r="H36" s="268">
        <f>G36</f>
        <v>13009</v>
      </c>
      <c r="I36" s="267">
        <f>IF(ISNA(MATCH(I$2,Inputs!$K$4:$AJ$4,0)),NA(),IF(SUMPRODUCT((Inputs!$A$5:$A$110=$B36)*ISNUMBER(INDEX(Inputs!$K$5:$AJ$110,0,MATCH(I$2,Inputs!$K$4:$AJ$4,0))))+SUMPRODUCT((Inputs!$C$5:$C$110=$B36)*ISNUMBER(INDEX(Inputs!$K$5:$AJ$110,0,MATCH(I$2,Inputs!$K$4:$AJ$4,0))))+SUMPRODUCT((Inputs!$E$5:$E$110=$B36)*ISNUMBER(INDEX(Inputs!$K$5:$AJ$110,0,MATCH(I$2,Inputs!$K$4:$AJ$4,0))))=0,NA(),SUMPRODUCT((Inputs!$A$5:$A$110=$B36)*Inputs!$B$5:$B$110*(((Inputs!$G$5:$G$110="moeda")+(Inputs!$G$5:$G$110="acoes"))*Inputs!$B$1+((Inputs!$G$5:$G$110&lt;&gt;"moeda")*(Inputs!$G$5:$G$110&lt;&gt;"acoes")))*INDEX(Inputs!$K$5:$AJ$110,0,MATCH(I$2,Inputs!$K$4:$AJ$4,0)))+SUMPRODUCT((Inputs!$C$5:$C$110=$B36)*Inputs!$D$5:$D$110*(((Inputs!$G$5:$G$110="moeda")+(Inputs!$G$5:$G$110="acoes"))*Inputs!$B$1+((Inputs!$G$5:$G$110&lt;&gt;"moeda")*(Inputs!$G$5:$G$110&lt;&gt;"acoes")))*INDEX(Inputs!$K$5:$AJ$110,0,MATCH(I$2,Inputs!$K$4:$AJ$4,0)))+SUMPRODUCT((Inputs!$E$5:$E$110=$B36)*Inputs!$F$5:$F$110*(((Inputs!$G$5:$G$110="moeda")+(Inputs!$G$5:$G$110="acoes"))*Inputs!$B$1+((Inputs!$G$5:$G$110&lt;&gt;"moeda")*(Inputs!$G$5:$G$110&lt;&gt;"acoes")))*INDEX(Inputs!$K$5:$AJ$110,0,MATCH(I$2,Inputs!$K$4:$AJ$4,0)))))</f>
        <v>13226</v>
      </c>
      <c r="J36" s="267">
        <f>IF(ISNA(MATCH(J$2,Inputs!$K$4:$AJ$4,0)),NA(),IF(SUMPRODUCT((Inputs!$A$5:$A$110=$B36)*ISNUMBER(INDEX(Inputs!$K$5:$AJ$110,0,MATCH(J$2,Inputs!$K$4:$AJ$4,0))))+SUMPRODUCT((Inputs!$C$5:$C$110=$B36)*ISNUMBER(INDEX(Inputs!$K$5:$AJ$110,0,MATCH(J$2,Inputs!$K$4:$AJ$4,0))))+SUMPRODUCT((Inputs!$E$5:$E$110=$B36)*ISNUMBER(INDEX(Inputs!$K$5:$AJ$110,0,MATCH(J$2,Inputs!$K$4:$AJ$4,0))))=0,NA(),SUMPRODUCT((Inputs!$A$5:$A$110=$B36)*Inputs!$B$5:$B$110*(((Inputs!$G$5:$G$110="moeda")+(Inputs!$G$5:$G$110="acoes"))*Inputs!$B$1+((Inputs!$G$5:$G$110&lt;&gt;"moeda")*(Inputs!$G$5:$G$110&lt;&gt;"acoes")))*INDEX(Inputs!$K$5:$AJ$110,0,MATCH(J$2,Inputs!$K$4:$AJ$4,0)))+SUMPRODUCT((Inputs!$C$5:$C$110=$B36)*Inputs!$D$5:$D$110*(((Inputs!$G$5:$G$110="moeda")+(Inputs!$G$5:$G$110="acoes"))*Inputs!$B$1+((Inputs!$G$5:$G$110&lt;&gt;"moeda")*(Inputs!$G$5:$G$110&lt;&gt;"acoes")))*INDEX(Inputs!$K$5:$AJ$110,0,MATCH(J$2,Inputs!$K$4:$AJ$4,0)))+SUMPRODUCT((Inputs!$E$5:$E$110=$B36)*Inputs!$F$5:$F$110*(((Inputs!$G$5:$G$110="moeda")+(Inputs!$G$5:$G$110="acoes"))*Inputs!$B$1+((Inputs!$G$5:$G$110&lt;&gt;"moeda")*(Inputs!$G$5:$G$110&lt;&gt;"acoes")))*INDEX(Inputs!$K$5:$AJ$110,0,MATCH(J$2,Inputs!$K$4:$AJ$4,0)))))</f>
        <v>13140</v>
      </c>
      <c r="K36" s="267">
        <f>IF(ISNA(MATCH(K$2,Inputs!$K$4:$AJ$4,0)),NA(),IF(SUMPRODUCT((Inputs!$A$5:$A$110=$B36)*ISNUMBER(INDEX(Inputs!$K$5:$AJ$110,0,MATCH(K$2,Inputs!$K$4:$AJ$4,0))))+SUMPRODUCT((Inputs!$C$5:$C$110=$B36)*ISNUMBER(INDEX(Inputs!$K$5:$AJ$110,0,MATCH(K$2,Inputs!$K$4:$AJ$4,0))))+SUMPRODUCT((Inputs!$E$5:$E$110=$B36)*ISNUMBER(INDEX(Inputs!$K$5:$AJ$110,0,MATCH(K$2,Inputs!$K$4:$AJ$4,0))))=0,NA(),SUMPRODUCT((Inputs!$A$5:$A$110=$B36)*Inputs!$B$5:$B$110*(((Inputs!$G$5:$G$110="moeda")+(Inputs!$G$5:$G$110="acoes"))*Inputs!$B$1+((Inputs!$G$5:$G$110&lt;&gt;"moeda")*(Inputs!$G$5:$G$110&lt;&gt;"acoes")))*INDEX(Inputs!$K$5:$AJ$110,0,MATCH(K$2,Inputs!$K$4:$AJ$4,0)))+SUMPRODUCT((Inputs!$C$5:$C$110=$B36)*Inputs!$D$5:$D$110*(((Inputs!$G$5:$G$110="moeda")+(Inputs!$G$5:$G$110="acoes"))*Inputs!$B$1+((Inputs!$G$5:$G$110&lt;&gt;"moeda")*(Inputs!$G$5:$G$110&lt;&gt;"acoes")))*INDEX(Inputs!$K$5:$AJ$110,0,MATCH(K$2,Inputs!$K$4:$AJ$4,0)))+SUMPRODUCT((Inputs!$E$5:$E$110=$B36)*Inputs!$F$5:$F$110*(((Inputs!$G$5:$G$110="moeda")+(Inputs!$G$5:$G$110="acoes"))*Inputs!$B$1+((Inputs!$G$5:$G$110&lt;&gt;"moeda")*(Inputs!$G$5:$G$110&lt;&gt;"acoes")))*INDEX(Inputs!$K$5:$AJ$110,0,MATCH(K$2,Inputs!$K$4:$AJ$4,0)))))</f>
        <v>12658</v>
      </c>
      <c r="L36" s="267">
        <f>IF(ISNA(MATCH(L$2,Inputs!$K$4:$AJ$4,0)),NA(),IF(SUMPRODUCT((Inputs!$A$5:$A$110=$B36)*ISNUMBER(INDEX(Inputs!$K$5:$AJ$110,0,MATCH(L$2,Inputs!$K$4:$AJ$4,0))))+SUMPRODUCT((Inputs!$C$5:$C$110=$B36)*ISNUMBER(INDEX(Inputs!$K$5:$AJ$110,0,MATCH(L$2,Inputs!$K$4:$AJ$4,0))))+SUMPRODUCT((Inputs!$E$5:$E$110=$B36)*ISNUMBER(INDEX(Inputs!$K$5:$AJ$110,0,MATCH(L$2,Inputs!$K$4:$AJ$4,0))))=0,NA(),SUMPRODUCT((Inputs!$A$5:$A$110=$B36)*Inputs!$B$5:$B$110*(((Inputs!$G$5:$G$110="moeda")+(Inputs!$G$5:$G$110="acoes"))*Inputs!$B$1+((Inputs!$G$5:$G$110&lt;&gt;"moeda")*(Inputs!$G$5:$G$110&lt;&gt;"acoes")))*INDEX(Inputs!$K$5:$AJ$110,0,MATCH(L$2,Inputs!$K$4:$AJ$4,0)))+SUMPRODUCT((Inputs!$C$5:$C$110=$B36)*Inputs!$D$5:$D$110*(((Inputs!$G$5:$G$110="moeda")+(Inputs!$G$5:$G$110="acoes"))*Inputs!$B$1+((Inputs!$G$5:$G$110&lt;&gt;"moeda")*(Inputs!$G$5:$G$110&lt;&gt;"acoes")))*INDEX(Inputs!$K$5:$AJ$110,0,MATCH(L$2,Inputs!$K$4:$AJ$4,0)))+SUMPRODUCT((Inputs!$E$5:$E$110=$B36)*Inputs!$F$5:$F$110*(((Inputs!$G$5:$G$110="moeda")+(Inputs!$G$5:$G$110="acoes"))*Inputs!$B$1+((Inputs!$G$5:$G$110&lt;&gt;"moeda")*(Inputs!$G$5:$G$110&lt;&gt;"acoes")))*INDEX(Inputs!$K$5:$AJ$110,0,MATCH(L$2,Inputs!$K$4:$AJ$4,0)))))</f>
        <v>12828</v>
      </c>
      <c r="M36" s="268">
        <f>L36</f>
        <v>12828</v>
      </c>
      <c r="N36" s="267">
        <f>IF(ISNA(MATCH(N$2,Inputs!$K$4:$AJ$4,0)),NA(),IF(SUMPRODUCT((Inputs!$A$5:$A$110=$B36)*ISNUMBER(INDEX(Inputs!$K$5:$AJ$110,0,MATCH(N$2,Inputs!$K$4:$AJ$4,0))))+SUMPRODUCT((Inputs!$C$5:$C$110=$B36)*ISNUMBER(INDEX(Inputs!$K$5:$AJ$110,0,MATCH(N$2,Inputs!$K$4:$AJ$4,0))))+SUMPRODUCT((Inputs!$E$5:$E$110=$B36)*ISNUMBER(INDEX(Inputs!$K$5:$AJ$110,0,MATCH(N$2,Inputs!$K$4:$AJ$4,0))))=0,NA(),SUMPRODUCT((Inputs!$A$5:$A$110=$B36)*Inputs!$B$5:$B$110*(((Inputs!$G$5:$G$110="moeda")+(Inputs!$G$5:$G$110="acoes"))*Inputs!$B$1+((Inputs!$G$5:$G$110&lt;&gt;"moeda")*(Inputs!$G$5:$G$110&lt;&gt;"acoes")))*INDEX(Inputs!$K$5:$AJ$110,0,MATCH(N$2,Inputs!$K$4:$AJ$4,0)))+SUMPRODUCT((Inputs!$C$5:$C$110=$B36)*Inputs!$D$5:$D$110*(((Inputs!$G$5:$G$110="moeda")+(Inputs!$G$5:$G$110="acoes"))*Inputs!$B$1+((Inputs!$G$5:$G$110&lt;&gt;"moeda")*(Inputs!$G$5:$G$110&lt;&gt;"acoes")))*INDEX(Inputs!$K$5:$AJ$110,0,MATCH(N$2,Inputs!$K$4:$AJ$4,0)))+SUMPRODUCT((Inputs!$E$5:$E$110=$B36)*Inputs!$F$5:$F$110*(((Inputs!$G$5:$G$110="moeda")+(Inputs!$G$5:$G$110="acoes"))*Inputs!$B$1+((Inputs!$G$5:$G$110&lt;&gt;"moeda")*(Inputs!$G$5:$G$110&lt;&gt;"acoes")))*INDEX(Inputs!$K$5:$AJ$110,0,MATCH(N$2,Inputs!$K$4:$AJ$4,0)))))</f>
        <v>12925</v>
      </c>
      <c r="O36" s="267">
        <f>IF(ISNA(MATCH(O$2,Inputs!$K$4:$AJ$4,0)),NA(),IF(SUMPRODUCT((Inputs!$A$5:$A$110=$B36)*ISNUMBER(INDEX(Inputs!$K$5:$AJ$110,0,MATCH(O$2,Inputs!$K$4:$AJ$4,0))))+SUMPRODUCT((Inputs!$C$5:$C$110=$B36)*ISNUMBER(INDEX(Inputs!$K$5:$AJ$110,0,MATCH(O$2,Inputs!$K$4:$AJ$4,0))))+SUMPRODUCT((Inputs!$E$5:$E$110=$B36)*ISNUMBER(INDEX(Inputs!$K$5:$AJ$110,0,MATCH(O$2,Inputs!$K$4:$AJ$4,0))))=0,NA(),SUMPRODUCT((Inputs!$A$5:$A$110=$B36)*Inputs!$B$5:$B$110*(((Inputs!$G$5:$G$110="moeda")+(Inputs!$G$5:$G$110="acoes"))*Inputs!$B$1+((Inputs!$G$5:$G$110&lt;&gt;"moeda")*(Inputs!$G$5:$G$110&lt;&gt;"acoes")))*INDEX(Inputs!$K$5:$AJ$110,0,MATCH(O$2,Inputs!$K$4:$AJ$4,0)))+SUMPRODUCT((Inputs!$C$5:$C$110=$B36)*Inputs!$D$5:$D$110*(((Inputs!$G$5:$G$110="moeda")+(Inputs!$G$5:$G$110="acoes"))*Inputs!$B$1+((Inputs!$G$5:$G$110&lt;&gt;"moeda")*(Inputs!$G$5:$G$110&lt;&gt;"acoes")))*INDEX(Inputs!$K$5:$AJ$110,0,MATCH(O$2,Inputs!$K$4:$AJ$4,0)))+SUMPRODUCT((Inputs!$E$5:$E$110=$B36)*Inputs!$F$5:$F$110*(((Inputs!$G$5:$G$110="moeda")+(Inputs!$G$5:$G$110="acoes"))*Inputs!$B$1+((Inputs!$G$5:$G$110&lt;&gt;"moeda")*(Inputs!$G$5:$G$110&lt;&gt;"acoes")))*INDEX(Inputs!$K$5:$AJ$110,0,MATCH(O$2,Inputs!$K$4:$AJ$4,0)))))</f>
        <v>12978</v>
      </c>
      <c r="P36" s="267">
        <f>IF(ISNA(MATCH(P$2,Inputs!$K$4:$AJ$4,0)),NA(),IF(SUMPRODUCT((Inputs!$A$5:$A$110=$B36)*ISNUMBER(INDEX(Inputs!$K$5:$AJ$110,0,MATCH(P$2,Inputs!$K$4:$AJ$4,0))))+SUMPRODUCT((Inputs!$C$5:$C$110=$B36)*ISNUMBER(INDEX(Inputs!$K$5:$AJ$110,0,MATCH(P$2,Inputs!$K$4:$AJ$4,0))))+SUMPRODUCT((Inputs!$E$5:$E$110=$B36)*ISNUMBER(INDEX(Inputs!$K$5:$AJ$110,0,MATCH(P$2,Inputs!$K$4:$AJ$4,0))))=0,NA(),SUMPRODUCT((Inputs!$A$5:$A$110=$B36)*Inputs!$B$5:$B$110*(((Inputs!$G$5:$G$110="moeda")+(Inputs!$G$5:$G$110="acoes"))*Inputs!$B$1+((Inputs!$G$5:$G$110&lt;&gt;"moeda")*(Inputs!$G$5:$G$110&lt;&gt;"acoes")))*INDEX(Inputs!$K$5:$AJ$110,0,MATCH(P$2,Inputs!$K$4:$AJ$4,0)))+SUMPRODUCT((Inputs!$C$5:$C$110=$B36)*Inputs!$D$5:$D$110*(((Inputs!$G$5:$G$110="moeda")+(Inputs!$G$5:$G$110="acoes"))*Inputs!$B$1+((Inputs!$G$5:$G$110&lt;&gt;"moeda")*(Inputs!$G$5:$G$110&lt;&gt;"acoes")))*INDEX(Inputs!$K$5:$AJ$110,0,MATCH(P$2,Inputs!$K$4:$AJ$4,0)))+SUMPRODUCT((Inputs!$E$5:$E$110=$B36)*Inputs!$F$5:$F$110*(((Inputs!$G$5:$G$110="moeda")+(Inputs!$G$5:$G$110="acoes"))*Inputs!$B$1+((Inputs!$G$5:$G$110&lt;&gt;"moeda")*(Inputs!$G$5:$G$110&lt;&gt;"acoes")))*INDEX(Inputs!$K$5:$AJ$110,0,MATCH(P$2,Inputs!$K$4:$AJ$4,0)))))</f>
        <v>12817</v>
      </c>
      <c r="Q36" s="267">
        <f>IF(ISNA(MATCH(Q$2,Inputs!$K$4:$AJ$4,0)),NA(),IF(SUMPRODUCT((Inputs!$A$5:$A$110=$B36)*ISNUMBER(INDEX(Inputs!$K$5:$AJ$110,0,MATCH(Q$2,Inputs!$K$4:$AJ$4,0))))+SUMPRODUCT((Inputs!$C$5:$C$110=$B36)*ISNUMBER(INDEX(Inputs!$K$5:$AJ$110,0,MATCH(Q$2,Inputs!$K$4:$AJ$4,0))))+SUMPRODUCT((Inputs!$E$5:$E$110=$B36)*ISNUMBER(INDEX(Inputs!$K$5:$AJ$110,0,MATCH(Q$2,Inputs!$K$4:$AJ$4,0))))=0,NA(),SUMPRODUCT((Inputs!$A$5:$A$110=$B36)*Inputs!$B$5:$B$110*(((Inputs!$G$5:$G$110="moeda")+(Inputs!$G$5:$G$110="acoes"))*Inputs!$B$1+((Inputs!$G$5:$G$110&lt;&gt;"moeda")*(Inputs!$G$5:$G$110&lt;&gt;"acoes")))*INDEX(Inputs!$K$5:$AJ$110,0,MATCH(Q$2,Inputs!$K$4:$AJ$4,0)))+SUMPRODUCT((Inputs!$C$5:$C$110=$B36)*Inputs!$D$5:$D$110*(((Inputs!$G$5:$G$110="moeda")+(Inputs!$G$5:$G$110="acoes"))*Inputs!$B$1+((Inputs!$G$5:$G$110&lt;&gt;"moeda")*(Inputs!$G$5:$G$110&lt;&gt;"acoes")))*INDEX(Inputs!$K$5:$AJ$110,0,MATCH(Q$2,Inputs!$K$4:$AJ$4,0)))+SUMPRODUCT((Inputs!$E$5:$E$110=$B36)*Inputs!$F$5:$F$110*(((Inputs!$G$5:$G$110="moeda")+(Inputs!$G$5:$G$110="acoes"))*Inputs!$B$1+((Inputs!$G$5:$G$110&lt;&gt;"moeda")*(Inputs!$G$5:$G$110&lt;&gt;"acoes")))*INDEX(Inputs!$K$5:$AJ$110,0,MATCH(Q$2,Inputs!$K$4:$AJ$4,0)))))</f>
        <v>12943</v>
      </c>
      <c r="R36" s="268">
        <f>Q36</f>
        <v>12943</v>
      </c>
      <c r="S36" s="267">
        <f>IF(ISNA(MATCH(S$2,Inputs!$K$4:$AJ$4,0)),NA(),IF(SUMPRODUCT((Inputs!$A$5:$A$110=$B36)*ISNUMBER(INDEX(Inputs!$K$5:$AJ$110,0,MATCH(S$2,Inputs!$K$4:$AJ$4,0))))+SUMPRODUCT((Inputs!$C$5:$C$110=$B36)*ISNUMBER(INDEX(Inputs!$K$5:$AJ$110,0,MATCH(S$2,Inputs!$K$4:$AJ$4,0))))+SUMPRODUCT((Inputs!$E$5:$E$110=$B36)*ISNUMBER(INDEX(Inputs!$K$5:$AJ$110,0,MATCH(S$2,Inputs!$K$4:$AJ$4,0))))=0,NA(),SUMPRODUCT((Inputs!$A$5:$A$110=$B36)*Inputs!$B$5:$B$110*(((Inputs!$G$5:$G$110="moeda")+(Inputs!$G$5:$G$110="acoes"))*Inputs!$B$1+((Inputs!$G$5:$G$110&lt;&gt;"moeda")*(Inputs!$G$5:$G$110&lt;&gt;"acoes")))*INDEX(Inputs!$K$5:$AJ$110,0,MATCH(S$2,Inputs!$K$4:$AJ$4,0)))+SUMPRODUCT((Inputs!$C$5:$C$110=$B36)*Inputs!$D$5:$D$110*(((Inputs!$G$5:$G$110="moeda")+(Inputs!$G$5:$G$110="acoes"))*Inputs!$B$1+((Inputs!$G$5:$G$110&lt;&gt;"moeda")*(Inputs!$G$5:$G$110&lt;&gt;"acoes")))*INDEX(Inputs!$K$5:$AJ$110,0,MATCH(S$2,Inputs!$K$4:$AJ$4,0)))+SUMPRODUCT((Inputs!$E$5:$E$110=$B36)*Inputs!$F$5:$F$110*(((Inputs!$G$5:$G$110="moeda")+(Inputs!$G$5:$G$110="acoes"))*Inputs!$B$1+((Inputs!$G$5:$G$110&lt;&gt;"moeda")*(Inputs!$G$5:$G$110&lt;&gt;"acoes")))*INDEX(Inputs!$K$5:$AJ$110,0,MATCH(S$2,Inputs!$K$4:$AJ$4,0)))))</f>
        <v>12840</v>
      </c>
      <c r="T36" s="267">
        <f>IF(ISNA(MATCH(T$2,Inputs!$K$4:$AJ$4,0)),NA(),IF(SUMPRODUCT((Inputs!$A$5:$A$110=$B36)*ISNUMBER(INDEX(Inputs!$K$5:$AJ$110,0,MATCH(T$2,Inputs!$K$4:$AJ$4,0))))+SUMPRODUCT((Inputs!$C$5:$C$110=$B36)*ISNUMBER(INDEX(Inputs!$K$5:$AJ$110,0,MATCH(T$2,Inputs!$K$4:$AJ$4,0))))+SUMPRODUCT((Inputs!$E$5:$E$110=$B36)*ISNUMBER(INDEX(Inputs!$K$5:$AJ$110,0,MATCH(T$2,Inputs!$K$4:$AJ$4,0))))=0,NA(),SUMPRODUCT((Inputs!$A$5:$A$110=$B36)*Inputs!$B$5:$B$110*(((Inputs!$G$5:$G$110="moeda")+(Inputs!$G$5:$G$110="acoes"))*Inputs!$B$1+((Inputs!$G$5:$G$110&lt;&gt;"moeda")*(Inputs!$G$5:$G$110&lt;&gt;"acoes")))*INDEX(Inputs!$K$5:$AJ$110,0,MATCH(T$2,Inputs!$K$4:$AJ$4,0)))+SUMPRODUCT((Inputs!$C$5:$C$110=$B36)*Inputs!$D$5:$D$110*(((Inputs!$G$5:$G$110="moeda")+(Inputs!$G$5:$G$110="acoes"))*Inputs!$B$1+((Inputs!$G$5:$G$110&lt;&gt;"moeda")*(Inputs!$G$5:$G$110&lt;&gt;"acoes")))*INDEX(Inputs!$K$5:$AJ$110,0,MATCH(T$2,Inputs!$K$4:$AJ$4,0)))+SUMPRODUCT((Inputs!$E$5:$E$110=$B36)*Inputs!$F$5:$F$110*(((Inputs!$G$5:$G$110="moeda")+(Inputs!$G$5:$G$110="acoes"))*Inputs!$B$1+((Inputs!$G$5:$G$110&lt;&gt;"moeda")*(Inputs!$G$5:$G$110&lt;&gt;"acoes")))*INDEX(Inputs!$K$5:$AJ$110,0,MATCH(T$2,Inputs!$K$4:$AJ$4,0)))))</f>
        <v>12811</v>
      </c>
      <c r="U36" s="267">
        <f>IF(ISNA(MATCH(U$2,Inputs!$K$4:$AJ$4,0)),NA(),IF(SUMPRODUCT((Inputs!$A$5:$A$110=$B36)*ISNUMBER(INDEX(Inputs!$K$5:$AJ$110,0,MATCH(U$2,Inputs!$K$4:$AJ$4,0))))+SUMPRODUCT((Inputs!$C$5:$C$110=$B36)*ISNUMBER(INDEX(Inputs!$K$5:$AJ$110,0,MATCH(U$2,Inputs!$K$4:$AJ$4,0))))+SUMPRODUCT((Inputs!$E$5:$E$110=$B36)*ISNUMBER(INDEX(Inputs!$K$5:$AJ$110,0,MATCH(U$2,Inputs!$K$4:$AJ$4,0))))=0,NA(),SUMPRODUCT((Inputs!$A$5:$A$110=$B36)*Inputs!$B$5:$B$110*(((Inputs!$G$5:$G$110="moeda")+(Inputs!$G$5:$G$110="acoes"))*Inputs!$B$1+((Inputs!$G$5:$G$110&lt;&gt;"moeda")*(Inputs!$G$5:$G$110&lt;&gt;"acoes")))*INDEX(Inputs!$K$5:$AJ$110,0,MATCH(U$2,Inputs!$K$4:$AJ$4,0)))+SUMPRODUCT((Inputs!$C$5:$C$110=$B36)*Inputs!$D$5:$D$110*(((Inputs!$G$5:$G$110="moeda")+(Inputs!$G$5:$G$110="acoes"))*Inputs!$B$1+((Inputs!$G$5:$G$110&lt;&gt;"moeda")*(Inputs!$G$5:$G$110&lt;&gt;"acoes")))*INDEX(Inputs!$K$5:$AJ$110,0,MATCH(U$2,Inputs!$K$4:$AJ$4,0)))+SUMPRODUCT((Inputs!$E$5:$E$110=$B36)*Inputs!$F$5:$F$110*(((Inputs!$G$5:$G$110="moeda")+(Inputs!$G$5:$G$110="acoes"))*Inputs!$B$1+((Inputs!$G$5:$G$110&lt;&gt;"moeda")*(Inputs!$G$5:$G$110&lt;&gt;"acoes")))*INDEX(Inputs!$K$5:$AJ$110,0,MATCH(U$2,Inputs!$K$4:$AJ$4,0)))))</f>
        <v>12927</v>
      </c>
      <c r="V36" s="267">
        <f>IF(ISNA(MATCH(V$2,Inputs!$K$4:$AJ$4,0)),NA(),IF(SUMPRODUCT((Inputs!$A$5:$A$110=$B36)*ISNUMBER(INDEX(Inputs!$K$5:$AJ$110,0,MATCH(V$2,Inputs!$K$4:$AJ$4,0))))+SUMPRODUCT((Inputs!$C$5:$C$110=$B36)*ISNUMBER(INDEX(Inputs!$K$5:$AJ$110,0,MATCH(V$2,Inputs!$K$4:$AJ$4,0))))+SUMPRODUCT((Inputs!$E$5:$E$110=$B36)*ISNUMBER(INDEX(Inputs!$K$5:$AJ$110,0,MATCH(V$2,Inputs!$K$4:$AJ$4,0))))=0,NA(),SUMPRODUCT((Inputs!$A$5:$A$110=$B36)*Inputs!$B$5:$B$110*(((Inputs!$G$5:$G$110="moeda")+(Inputs!$G$5:$G$110="acoes"))*Inputs!$B$1+((Inputs!$G$5:$G$110&lt;&gt;"moeda")*(Inputs!$G$5:$G$110&lt;&gt;"acoes")))*INDEX(Inputs!$K$5:$AJ$110,0,MATCH(V$2,Inputs!$K$4:$AJ$4,0)))+SUMPRODUCT((Inputs!$C$5:$C$110=$B36)*Inputs!$D$5:$D$110*(((Inputs!$G$5:$G$110="moeda")+(Inputs!$G$5:$G$110="acoes"))*Inputs!$B$1+((Inputs!$G$5:$G$110&lt;&gt;"moeda")*(Inputs!$G$5:$G$110&lt;&gt;"acoes")))*INDEX(Inputs!$K$5:$AJ$110,0,MATCH(V$2,Inputs!$K$4:$AJ$4,0)))+SUMPRODUCT((Inputs!$E$5:$E$110=$B36)*Inputs!$F$5:$F$110*(((Inputs!$G$5:$G$110="moeda")+(Inputs!$G$5:$G$110="acoes"))*Inputs!$B$1+((Inputs!$G$5:$G$110&lt;&gt;"moeda")*(Inputs!$G$5:$G$110&lt;&gt;"acoes")))*INDEX(Inputs!$K$5:$AJ$110,0,MATCH(V$2,Inputs!$K$4:$AJ$4,0)))))</f>
        <v>12825</v>
      </c>
      <c r="W36" s="268">
        <f>V36</f>
        <v>12825</v>
      </c>
      <c r="X36" s="267">
        <f>IF(ISNA(MATCH(X$2,Inputs!$K$4:$AJ$4,0)),NA(),IF(SUMPRODUCT((Inputs!$A$5:$A$110=$B36)*ISNUMBER(INDEX(Inputs!$K$5:$AJ$110,0,MATCH(X$2,Inputs!$K$4:$AJ$4,0))))+SUMPRODUCT((Inputs!$C$5:$C$110=$B36)*ISNUMBER(INDEX(Inputs!$K$5:$AJ$110,0,MATCH(X$2,Inputs!$K$4:$AJ$4,0))))+SUMPRODUCT((Inputs!$E$5:$E$110=$B36)*ISNUMBER(INDEX(Inputs!$K$5:$AJ$110,0,MATCH(X$2,Inputs!$K$4:$AJ$4,0))))=0,NA(),SUMPRODUCT((Inputs!$A$5:$A$110=$B36)*Inputs!$B$5:$B$110*(((Inputs!$G$5:$G$110="moeda")+(Inputs!$G$5:$G$110="acoes"))*Inputs!$B$1+((Inputs!$G$5:$G$110&lt;&gt;"moeda")*(Inputs!$G$5:$G$110&lt;&gt;"acoes")))*INDEX(Inputs!$K$5:$AJ$110,0,MATCH(X$2,Inputs!$K$4:$AJ$4,0)))+SUMPRODUCT((Inputs!$C$5:$C$110=$B36)*Inputs!$D$5:$D$110*(((Inputs!$G$5:$G$110="moeda")+(Inputs!$G$5:$G$110="acoes"))*Inputs!$B$1+((Inputs!$G$5:$G$110&lt;&gt;"moeda")*(Inputs!$G$5:$G$110&lt;&gt;"acoes")))*INDEX(Inputs!$K$5:$AJ$110,0,MATCH(X$2,Inputs!$K$4:$AJ$4,0)))+SUMPRODUCT((Inputs!$E$5:$E$110=$B36)*Inputs!$F$5:$F$110*(((Inputs!$G$5:$G$110="moeda")+(Inputs!$G$5:$G$110="acoes"))*Inputs!$B$1+((Inputs!$G$5:$G$110&lt;&gt;"moeda")*(Inputs!$G$5:$G$110&lt;&gt;"acoes")))*INDEX(Inputs!$K$5:$AJ$110,0,MATCH(X$2,Inputs!$K$4:$AJ$4,0)))))</f>
        <v>12797</v>
      </c>
      <c r="Y36" s="267">
        <f>IF(ISNA(MATCH(Y$2,Inputs!$K$4:$AJ$4,0)),NA(),IF(SUMPRODUCT((Inputs!$A$5:$A$110=$B36)*ISNUMBER(INDEX(Inputs!$K$5:$AJ$110,0,MATCH(Y$2,Inputs!$K$4:$AJ$4,0))))+SUMPRODUCT((Inputs!$C$5:$C$110=$B36)*ISNUMBER(INDEX(Inputs!$K$5:$AJ$110,0,MATCH(Y$2,Inputs!$K$4:$AJ$4,0))))+SUMPRODUCT((Inputs!$E$5:$E$110=$B36)*ISNUMBER(INDEX(Inputs!$K$5:$AJ$110,0,MATCH(Y$2,Inputs!$K$4:$AJ$4,0))))=0,NA(),SUMPRODUCT((Inputs!$A$5:$A$110=$B36)*Inputs!$B$5:$B$110*(((Inputs!$G$5:$G$110="moeda")+(Inputs!$G$5:$G$110="acoes"))*Inputs!$B$1+((Inputs!$G$5:$G$110&lt;&gt;"moeda")*(Inputs!$G$5:$G$110&lt;&gt;"acoes")))*INDEX(Inputs!$K$5:$AJ$110,0,MATCH(Y$2,Inputs!$K$4:$AJ$4,0)))+SUMPRODUCT((Inputs!$C$5:$C$110=$B36)*Inputs!$D$5:$D$110*(((Inputs!$G$5:$G$110="moeda")+(Inputs!$G$5:$G$110="acoes"))*Inputs!$B$1+((Inputs!$G$5:$G$110&lt;&gt;"moeda")*(Inputs!$G$5:$G$110&lt;&gt;"acoes")))*INDEX(Inputs!$K$5:$AJ$110,0,MATCH(Y$2,Inputs!$K$4:$AJ$4,0)))+SUMPRODUCT((Inputs!$E$5:$E$110=$B36)*Inputs!$F$5:$F$110*(((Inputs!$G$5:$G$110="moeda")+(Inputs!$G$5:$G$110="acoes"))*Inputs!$B$1+((Inputs!$G$5:$G$110&lt;&gt;"moeda")*(Inputs!$G$5:$G$110&lt;&gt;"acoes")))*INDEX(Inputs!$K$5:$AJ$110,0,MATCH(Y$2,Inputs!$K$4:$AJ$4,0)))))</f>
        <v>13171</v>
      </c>
      <c r="Z36" s="267">
        <f>IF(ISNA(MATCH(Z$2,Inputs!$K$4:$AJ$4,0)),NA(),IF(SUMPRODUCT((Inputs!$A$5:$A$110=$B36)*ISNUMBER(INDEX(Inputs!$K$5:$AJ$110,0,MATCH(Z$2,Inputs!$K$4:$AJ$4,0))))+SUMPRODUCT((Inputs!$C$5:$C$110=$B36)*ISNUMBER(INDEX(Inputs!$K$5:$AJ$110,0,MATCH(Z$2,Inputs!$K$4:$AJ$4,0))))+SUMPRODUCT((Inputs!$E$5:$E$110=$B36)*ISNUMBER(INDEX(Inputs!$K$5:$AJ$110,0,MATCH(Z$2,Inputs!$K$4:$AJ$4,0))))=0,NA(),SUMPRODUCT((Inputs!$A$5:$A$110=$B36)*Inputs!$B$5:$B$110*(((Inputs!$G$5:$G$110="moeda")+(Inputs!$G$5:$G$110="acoes"))*Inputs!$B$1+((Inputs!$G$5:$G$110&lt;&gt;"moeda")*(Inputs!$G$5:$G$110&lt;&gt;"acoes")))*INDEX(Inputs!$K$5:$AJ$110,0,MATCH(Z$2,Inputs!$K$4:$AJ$4,0)))+SUMPRODUCT((Inputs!$C$5:$C$110=$B36)*Inputs!$D$5:$D$110*(((Inputs!$G$5:$G$110="moeda")+(Inputs!$G$5:$G$110="acoes"))*Inputs!$B$1+((Inputs!$G$5:$G$110&lt;&gt;"moeda")*(Inputs!$G$5:$G$110&lt;&gt;"acoes")))*INDEX(Inputs!$K$5:$AJ$110,0,MATCH(Z$2,Inputs!$K$4:$AJ$4,0)))+SUMPRODUCT((Inputs!$E$5:$E$110=$B36)*Inputs!$F$5:$F$110*(((Inputs!$G$5:$G$110="moeda")+(Inputs!$G$5:$G$110="acoes"))*Inputs!$B$1+((Inputs!$G$5:$G$110&lt;&gt;"moeda")*(Inputs!$G$5:$G$110&lt;&gt;"acoes")))*INDEX(Inputs!$K$5:$AJ$110,0,MATCH(Z$2,Inputs!$K$4:$AJ$4,0)))))</f>
        <v>13705</v>
      </c>
      <c r="AA36" s="267">
        <f>IF(ISNA(MATCH(AA$2,Inputs!$K$4:$AJ$4,0)),NA(),IF(SUMPRODUCT((Inputs!$A$5:$A$110=$B36)*ISNUMBER(INDEX(Inputs!$K$5:$AJ$110,0,MATCH(AA$2,Inputs!$K$4:$AJ$4,0))))+SUMPRODUCT((Inputs!$C$5:$C$110=$B36)*ISNUMBER(INDEX(Inputs!$K$5:$AJ$110,0,MATCH(AA$2,Inputs!$K$4:$AJ$4,0))))+SUMPRODUCT((Inputs!$E$5:$E$110=$B36)*ISNUMBER(INDEX(Inputs!$K$5:$AJ$110,0,MATCH(AA$2,Inputs!$K$4:$AJ$4,0))))=0,NA(),SUMPRODUCT((Inputs!$A$5:$A$110=$B36)*Inputs!$B$5:$B$110*(((Inputs!$G$5:$G$110="moeda")+(Inputs!$G$5:$G$110="acoes"))*Inputs!$B$1+((Inputs!$G$5:$G$110&lt;&gt;"moeda")*(Inputs!$G$5:$G$110&lt;&gt;"acoes")))*INDEX(Inputs!$K$5:$AJ$110,0,MATCH(AA$2,Inputs!$K$4:$AJ$4,0)))+SUMPRODUCT((Inputs!$C$5:$C$110=$B36)*Inputs!$D$5:$D$110*(((Inputs!$G$5:$G$110="moeda")+(Inputs!$G$5:$G$110="acoes"))*Inputs!$B$1+((Inputs!$G$5:$G$110&lt;&gt;"moeda")*(Inputs!$G$5:$G$110&lt;&gt;"acoes")))*INDEX(Inputs!$K$5:$AJ$110,0,MATCH(AA$2,Inputs!$K$4:$AJ$4,0)))+SUMPRODUCT((Inputs!$E$5:$E$110=$B36)*Inputs!$F$5:$F$110*(((Inputs!$G$5:$G$110="moeda")+(Inputs!$G$5:$G$110="acoes"))*Inputs!$B$1+((Inputs!$G$5:$G$110&lt;&gt;"moeda")*(Inputs!$G$5:$G$110&lt;&gt;"acoes")))*INDEX(Inputs!$K$5:$AJ$110,0,MATCH(AA$2,Inputs!$K$4:$AJ$4,0)))))</f>
        <v>13941</v>
      </c>
      <c r="AB36" s="268">
        <f>AA36</f>
        <v>13941</v>
      </c>
      <c r="AC36" s="267">
        <f>IF(ISNA(MATCH(AC$2,Inputs!$K$4:$AJ$4,0)),NA(),IF(SUMPRODUCT((Inputs!$A$5:$A$110=$B36)*ISNUMBER(INDEX(Inputs!$K$5:$AJ$110,0,MATCH(AC$2,Inputs!$K$4:$AJ$4,0))))+SUMPRODUCT((Inputs!$C$5:$C$110=$B36)*ISNUMBER(INDEX(Inputs!$K$5:$AJ$110,0,MATCH(AC$2,Inputs!$K$4:$AJ$4,0))))+SUMPRODUCT((Inputs!$E$5:$E$110=$B36)*ISNUMBER(INDEX(Inputs!$K$5:$AJ$110,0,MATCH(AC$2,Inputs!$K$4:$AJ$4,0))))=0,NA(),SUMPRODUCT((Inputs!$A$5:$A$110=$B36)*Inputs!$B$5:$B$110*(((Inputs!$G$5:$G$110="moeda")+(Inputs!$G$5:$G$110="acoes"))*Inputs!$B$1+((Inputs!$G$5:$G$110&lt;&gt;"moeda")*(Inputs!$G$5:$G$110&lt;&gt;"acoes")))*INDEX(Inputs!$K$5:$AJ$110,0,MATCH(AC$2,Inputs!$K$4:$AJ$4,0)))+SUMPRODUCT((Inputs!$C$5:$C$110=$B36)*Inputs!$D$5:$D$110*(((Inputs!$G$5:$G$110="moeda")+(Inputs!$G$5:$G$110="acoes"))*Inputs!$B$1+((Inputs!$G$5:$G$110&lt;&gt;"moeda")*(Inputs!$G$5:$G$110&lt;&gt;"acoes")))*INDEX(Inputs!$K$5:$AJ$110,0,MATCH(AC$2,Inputs!$K$4:$AJ$4,0)))+SUMPRODUCT((Inputs!$E$5:$E$110=$B36)*Inputs!$F$5:$F$110*(((Inputs!$G$5:$G$110="moeda")+(Inputs!$G$5:$G$110="acoes"))*Inputs!$B$1+((Inputs!$G$5:$G$110&lt;&gt;"moeda")*(Inputs!$G$5:$G$110&lt;&gt;"acoes")))*INDEX(Inputs!$K$5:$AJ$110,0,MATCH(AC$2,Inputs!$K$4:$AJ$4,0)))))</f>
        <v>14388</v>
      </c>
      <c r="AD36" s="267">
        <f>IF(ISNA(MATCH(AD$2,Inputs!$K$4:$AJ$4,0)),NA(),IF(SUMPRODUCT((Inputs!$A$5:$A$110=$B36)*ISNUMBER(INDEX(Inputs!$K$5:$AJ$110,0,MATCH(AD$2,Inputs!$K$4:$AJ$4,0))))+SUMPRODUCT((Inputs!$C$5:$C$110=$B36)*ISNUMBER(INDEX(Inputs!$K$5:$AJ$110,0,MATCH(AD$2,Inputs!$K$4:$AJ$4,0))))+SUMPRODUCT((Inputs!$E$5:$E$110=$B36)*ISNUMBER(INDEX(Inputs!$K$5:$AJ$110,0,MATCH(AD$2,Inputs!$K$4:$AJ$4,0))))=0,NA(),SUMPRODUCT((Inputs!$A$5:$A$110=$B36)*Inputs!$B$5:$B$110*(((Inputs!$G$5:$G$110="moeda")+(Inputs!$G$5:$G$110="acoes"))*Inputs!$B$1+((Inputs!$G$5:$G$110&lt;&gt;"moeda")*(Inputs!$G$5:$G$110&lt;&gt;"acoes")))*INDEX(Inputs!$K$5:$AJ$110,0,MATCH(AD$2,Inputs!$K$4:$AJ$4,0)))+SUMPRODUCT((Inputs!$C$5:$C$110=$B36)*Inputs!$D$5:$D$110*(((Inputs!$G$5:$G$110="moeda")+(Inputs!$G$5:$G$110="acoes"))*Inputs!$B$1+((Inputs!$G$5:$G$110&lt;&gt;"moeda")*(Inputs!$G$5:$G$110&lt;&gt;"acoes")))*INDEX(Inputs!$K$5:$AJ$110,0,MATCH(AD$2,Inputs!$K$4:$AJ$4,0)))+SUMPRODUCT((Inputs!$E$5:$E$110=$B36)*Inputs!$F$5:$F$110*(((Inputs!$G$5:$G$110="moeda")+(Inputs!$G$5:$G$110="acoes"))*Inputs!$B$1+((Inputs!$G$5:$G$110&lt;&gt;"moeda")*(Inputs!$G$5:$G$110&lt;&gt;"acoes")))*INDEX(Inputs!$K$5:$AJ$110,0,MATCH(AD$2,Inputs!$K$4:$AJ$4,0)))))</f>
        <v>14798</v>
      </c>
      <c r="AE36" s="267" t="e">
        <f>IF(ISNA(MATCH(AE$2,Inputs!$K$4:$AJ$4,0)),NA(),IF(SUMPRODUCT((Inputs!$A$5:$A$110=$B36)*ISNUMBER(INDEX(Inputs!$K$5:$AJ$110,0,MATCH(AE$2,Inputs!$K$4:$AJ$4,0))))+SUMPRODUCT((Inputs!$C$5:$C$110=$B36)*ISNUMBER(INDEX(Inputs!$K$5:$AJ$110,0,MATCH(AE$2,Inputs!$K$4:$AJ$4,0))))+SUMPRODUCT((Inputs!$E$5:$E$110=$B36)*ISNUMBER(INDEX(Inputs!$K$5:$AJ$110,0,MATCH(AE$2,Inputs!$K$4:$AJ$4,0))))=0,NA(),SUMPRODUCT((Inputs!$A$5:$A$110=$B36)*Inputs!$B$5:$B$110*(((Inputs!$G$5:$G$110="moeda")+(Inputs!$G$5:$G$110="acoes"))*Inputs!$B$1+((Inputs!$G$5:$G$110&lt;&gt;"moeda")*(Inputs!$G$5:$G$110&lt;&gt;"acoes")))*INDEX(Inputs!$K$5:$AJ$110,0,MATCH(AE$2,Inputs!$K$4:$AJ$4,0)))+SUMPRODUCT((Inputs!$C$5:$C$110=$B36)*Inputs!$D$5:$D$110*(((Inputs!$G$5:$G$110="moeda")+(Inputs!$G$5:$G$110="acoes"))*Inputs!$B$1+((Inputs!$G$5:$G$110&lt;&gt;"moeda")*(Inputs!$G$5:$G$110&lt;&gt;"acoes")))*INDEX(Inputs!$K$5:$AJ$110,0,MATCH(AE$2,Inputs!$K$4:$AJ$4,0)))+SUMPRODUCT((Inputs!$E$5:$E$110=$B36)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6" s="267" t="e">
        <f>IF(ISNA(MATCH(AF$2,Inputs!$K$4:$AJ$4,0)),NA(),IF(SUMPRODUCT((Inputs!$A$5:$A$110=$B36)*ISNUMBER(INDEX(Inputs!$K$5:$AJ$110,0,MATCH(AF$2,Inputs!$K$4:$AJ$4,0))))+SUMPRODUCT((Inputs!$C$5:$C$110=$B36)*ISNUMBER(INDEX(Inputs!$K$5:$AJ$110,0,MATCH(AF$2,Inputs!$K$4:$AJ$4,0))))+SUMPRODUCT((Inputs!$E$5:$E$110=$B36)*ISNUMBER(INDEX(Inputs!$K$5:$AJ$110,0,MATCH(AF$2,Inputs!$K$4:$AJ$4,0))))=0,NA(),SUMPRODUCT((Inputs!$A$5:$A$110=$B36)*Inputs!$B$5:$B$110*(((Inputs!$G$5:$G$110="moeda")+(Inputs!$G$5:$G$110="acoes"))*Inputs!$B$1+((Inputs!$G$5:$G$110&lt;&gt;"moeda")*(Inputs!$G$5:$G$110&lt;&gt;"acoes")))*INDEX(Inputs!$K$5:$AJ$110,0,MATCH(AF$2,Inputs!$K$4:$AJ$4,0)))+SUMPRODUCT((Inputs!$C$5:$C$110=$B36)*Inputs!$D$5:$D$110*(((Inputs!$G$5:$G$110="moeda")+(Inputs!$G$5:$G$110="acoes"))*Inputs!$B$1+((Inputs!$G$5:$G$110&lt;&gt;"moeda")*(Inputs!$G$5:$G$110&lt;&gt;"acoes")))*INDEX(Inputs!$K$5:$AJ$110,0,MATCH(AF$2,Inputs!$K$4:$AJ$4,0)))+SUMPRODUCT((Inputs!$E$5:$E$110=$B36)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6" s="268" t="e">
        <f>AF36</f>
        <v>#N/A</v>
      </c>
      <c r="AH36" s="267">
        <f>IF(ISNA(MATCH(AH$2,Inputs!$K$4:$AJ$4,0)),NA(),IF(SUMPRODUCT((Inputs!$A$5:$A$110=$B36)*ISNUMBER(INDEX(Inputs!$K$5:$AJ$110,0,MATCH(AH$2,Inputs!$K$4:$AJ$4,0))))+SUMPRODUCT((Inputs!$C$5:$C$110=$B36)*ISNUMBER(INDEX(Inputs!$K$5:$AJ$110,0,MATCH(AH$2,Inputs!$K$4:$AJ$4,0))))+SUMPRODUCT((Inputs!$E$5:$E$110=$B36)*ISNUMBER(INDEX(Inputs!$K$5:$AJ$110,0,MATCH(AH$2,Inputs!$K$4:$AJ$4,0))))=0,NA(),SUMPRODUCT((Inputs!$A$5:$A$110=$B36)*Inputs!$B$5:$B$110*(((Inputs!$G$5:$G$110="moeda")+(Inputs!$G$5:$G$110="acoes"))*Inputs!$B$1+((Inputs!$G$5:$G$110&lt;&gt;"moeda")*(Inputs!$G$5:$G$110&lt;&gt;"acoes")))*INDEX(Inputs!$K$5:$AJ$110,0,MATCH(AH$2,Inputs!$K$4:$AJ$4,0)))+SUMPRODUCT((Inputs!$C$5:$C$110=$B36)*Inputs!$D$5:$D$110*(((Inputs!$G$5:$G$110="moeda")+(Inputs!$G$5:$G$110="acoes"))*Inputs!$B$1+((Inputs!$G$5:$G$110&lt;&gt;"moeda")*(Inputs!$G$5:$G$110&lt;&gt;"acoes")))*INDEX(Inputs!$K$5:$AJ$110,0,MATCH(AH$2,Inputs!$K$4:$AJ$4,0)))+SUMPRODUCT((Inputs!$E$5:$E$110=$B36)*Inputs!$F$5:$F$110*(((Inputs!$G$5:$G$110="moeda")+(Inputs!$G$5:$G$110="acoes"))*Inputs!$B$1+((Inputs!$G$5:$G$110&lt;&gt;"moeda")*(Inputs!$G$5:$G$110&lt;&gt;"acoes")))*INDEX(Inputs!$K$5:$AJ$110,0,MATCH(AH$2,Inputs!$K$4:$AJ$4,0)))))</f>
        <v>15669</v>
      </c>
      <c r="AI36" s="267">
        <f>IF(ISNA(MATCH(AI$2,Inputs!$K$4:$AJ$4,0)),NA(),IF(SUMPRODUCT((Inputs!$A$5:$A$110=$B36)*ISNUMBER(INDEX(Inputs!$K$5:$AJ$110,0,MATCH(AI$2,Inputs!$K$4:$AJ$4,0))))+SUMPRODUCT((Inputs!$C$5:$C$110=$B36)*ISNUMBER(INDEX(Inputs!$K$5:$AJ$110,0,MATCH(AI$2,Inputs!$K$4:$AJ$4,0))))+SUMPRODUCT((Inputs!$E$5:$E$110=$B36)*ISNUMBER(INDEX(Inputs!$K$5:$AJ$110,0,MATCH(AI$2,Inputs!$K$4:$AJ$4,0))))=0,NA(),SUMPRODUCT((Inputs!$A$5:$A$110=$B36)*Inputs!$B$5:$B$110*(((Inputs!$G$5:$G$110="moeda")+(Inputs!$G$5:$G$110="acoes"))*Inputs!$B$1+((Inputs!$G$5:$G$110&lt;&gt;"moeda")*(Inputs!$G$5:$G$110&lt;&gt;"acoes")))*INDEX(Inputs!$K$5:$AJ$110,0,MATCH(AI$2,Inputs!$K$4:$AJ$4,0)))+SUMPRODUCT((Inputs!$C$5:$C$110=$B36)*Inputs!$D$5:$D$110*(((Inputs!$G$5:$G$110="moeda")+(Inputs!$G$5:$G$110="acoes"))*Inputs!$B$1+((Inputs!$G$5:$G$110&lt;&gt;"moeda")*(Inputs!$G$5:$G$110&lt;&gt;"acoes")))*INDEX(Inputs!$K$5:$AJ$110,0,MATCH(AI$2,Inputs!$K$4:$AJ$4,0)))+SUMPRODUCT((Inputs!$E$5:$E$110=$B36)*Inputs!$F$5:$F$110*(((Inputs!$G$5:$G$110="moeda")+(Inputs!$G$5:$G$110="acoes"))*Inputs!$B$1+((Inputs!$G$5:$G$110&lt;&gt;"moeda")*(Inputs!$G$5:$G$110&lt;&gt;"acoes")))*INDEX(Inputs!$K$5:$AJ$110,0,MATCH(AI$2,Inputs!$K$4:$AJ$4,0)))))</f>
        <v>15669</v>
      </c>
      <c r="AJ36" s="267">
        <f>IF(ISNA(MATCH(AJ$2,Inputs!$K$4:$AJ$4,0)),NA(),IF(SUMPRODUCT((Inputs!$A$5:$A$110=$B36)*ISNUMBER(INDEX(Inputs!$K$5:$AJ$110,0,MATCH(AJ$2,Inputs!$K$4:$AJ$4,0))))+SUMPRODUCT((Inputs!$C$5:$C$110=$B36)*ISNUMBER(INDEX(Inputs!$K$5:$AJ$110,0,MATCH(AJ$2,Inputs!$K$4:$AJ$4,0))))+SUMPRODUCT((Inputs!$E$5:$E$110=$B36)*ISNUMBER(INDEX(Inputs!$K$5:$AJ$110,0,MATCH(AJ$2,Inputs!$K$4:$AJ$4,0))))=0,NA(),SUMPRODUCT((Inputs!$A$5:$A$110=$B36)*Inputs!$B$5:$B$110*(((Inputs!$G$5:$G$110="moeda")+(Inputs!$G$5:$G$110="acoes"))*Inputs!$B$1+((Inputs!$G$5:$G$110&lt;&gt;"moeda")*(Inputs!$G$5:$G$110&lt;&gt;"acoes")))*INDEX(Inputs!$K$5:$AJ$110,0,MATCH(AJ$2,Inputs!$K$4:$AJ$4,0)))+SUMPRODUCT((Inputs!$C$5:$C$110=$B36)*Inputs!$D$5:$D$110*(((Inputs!$G$5:$G$110="moeda")+(Inputs!$G$5:$G$110="acoes"))*Inputs!$B$1+((Inputs!$G$5:$G$110&lt;&gt;"moeda")*(Inputs!$G$5:$G$110&lt;&gt;"acoes")))*INDEX(Inputs!$K$5:$AJ$110,0,MATCH(AJ$2,Inputs!$K$4:$AJ$4,0)))+SUMPRODUCT((Inputs!$E$5:$E$110=$B36)*Inputs!$F$5:$F$110*(((Inputs!$G$5:$G$110="moeda")+(Inputs!$G$5:$G$110="acoes"))*Inputs!$B$1+((Inputs!$G$5:$G$110&lt;&gt;"moeda")*(Inputs!$G$5:$G$110&lt;&gt;"acoes")))*INDEX(Inputs!$K$5:$AJ$110,0,MATCH(AJ$2,Inputs!$K$4:$AJ$4,0)))))</f>
        <v>15982</v>
      </c>
      <c r="AK36" s="267">
        <f>IF(ISNA(MATCH(AK$2,Inputs!$K$4:$AJ$4,0)),NA(),IF(SUMPRODUCT((Inputs!$A$5:$A$110=$B36)*ISNUMBER(INDEX(Inputs!$K$5:$AJ$110,0,MATCH(AK$2,Inputs!$K$4:$AJ$4,0))))+SUMPRODUCT((Inputs!$C$5:$C$110=$B36)*ISNUMBER(INDEX(Inputs!$K$5:$AJ$110,0,MATCH(AK$2,Inputs!$K$4:$AJ$4,0))))+SUMPRODUCT((Inputs!$E$5:$E$110=$B36)*ISNUMBER(INDEX(Inputs!$K$5:$AJ$110,0,MATCH(AK$2,Inputs!$K$4:$AJ$4,0))))=0,NA(),SUMPRODUCT((Inputs!$A$5:$A$110=$B36)*Inputs!$B$5:$B$110*(((Inputs!$G$5:$G$110="moeda")+(Inputs!$G$5:$G$110="acoes"))*Inputs!$B$1+((Inputs!$G$5:$G$110&lt;&gt;"moeda")*(Inputs!$G$5:$G$110&lt;&gt;"acoes")))*INDEX(Inputs!$K$5:$AJ$110,0,MATCH(AK$2,Inputs!$K$4:$AJ$4,0)))+SUMPRODUCT((Inputs!$C$5:$C$110=$B36)*Inputs!$D$5:$D$110*(((Inputs!$G$5:$G$110="moeda")+(Inputs!$G$5:$G$110="acoes"))*Inputs!$B$1+((Inputs!$G$5:$G$110&lt;&gt;"moeda")*(Inputs!$G$5:$G$110&lt;&gt;"acoes")))*INDEX(Inputs!$K$5:$AJ$110,0,MATCH(AK$2,Inputs!$K$4:$AJ$4,0)))+SUMPRODUCT((Inputs!$E$5:$E$110=$B36)*Inputs!$F$5:$F$110*(((Inputs!$G$5:$G$110="moeda")+(Inputs!$G$5:$G$110="acoes"))*Inputs!$B$1+((Inputs!$G$5:$G$110&lt;&gt;"moeda")*(Inputs!$G$5:$G$110&lt;&gt;"acoes")))*INDEX(Inputs!$K$5:$AJ$110,0,MATCH(AK$2,Inputs!$K$4:$AJ$4,0)))))</f>
        <v>12909</v>
      </c>
      <c r="AL36" s="268">
        <f>AK36</f>
        <v>12909</v>
      </c>
    </row>
    <row r="37" ht="12.75" customHeight="1" s="255">
      <c r="B37" s="265" t="n">
        <v>32</v>
      </c>
      <c r="C37" s="270" t="inlineStr">
        <is>
          <t>Convertible debt</t>
        </is>
      </c>
      <c r="D37" s="267">
        <f>IF(ISNA(MATCH(D$2,Inputs!$K$4:$AJ$4,0)),NA(),IF(SUMPRODUCT((Inputs!$A$5:$A$110=$B37)*ISNUMBER(INDEX(Inputs!$K$5:$AJ$110,0,MATCH(D$2,Inputs!$K$4:$AJ$4,0))))+SUMPRODUCT((Inputs!$C$5:$C$110=$B37)*ISNUMBER(INDEX(Inputs!$K$5:$AJ$110,0,MATCH(D$2,Inputs!$K$4:$AJ$4,0))))+SUMPRODUCT((Inputs!$E$5:$E$110=$B37)*ISNUMBER(INDEX(Inputs!$K$5:$AJ$110,0,MATCH(D$2,Inputs!$K$4:$AJ$4,0))))=0,NA(),SUMPRODUCT((Inputs!$A$5:$A$110=$B37)*Inputs!$B$5:$B$110*(((Inputs!$G$5:$G$110="moeda")+(Inputs!$G$5:$G$110="acoes"))*Inputs!$B$1+((Inputs!$G$5:$G$110&lt;&gt;"moeda")*(Inputs!$G$5:$G$110&lt;&gt;"acoes")))*INDEX(Inputs!$K$5:$AJ$110,0,MATCH(D$2,Inputs!$K$4:$AJ$4,0)))+SUMPRODUCT((Inputs!$C$5:$C$110=$B37)*Inputs!$D$5:$D$110*(((Inputs!$G$5:$G$110="moeda")+(Inputs!$G$5:$G$110="acoes"))*Inputs!$B$1+((Inputs!$G$5:$G$110&lt;&gt;"moeda")*(Inputs!$G$5:$G$110&lt;&gt;"acoes")))*INDEX(Inputs!$K$5:$AJ$110,0,MATCH(D$2,Inputs!$K$4:$AJ$4,0)))+SUMPRODUCT((Inputs!$E$5:$E$110=$B37)*Inputs!$F$5:$F$110*(((Inputs!$G$5:$G$110="moeda")+(Inputs!$G$5:$G$110="acoes"))*Inputs!$B$1+((Inputs!$G$5:$G$110&lt;&gt;"moeda")*(Inputs!$G$5:$G$110&lt;&gt;"acoes")))*INDEX(Inputs!$K$5:$AJ$110,0,MATCH(D$2,Inputs!$K$4:$AJ$4,0)))))</f>
        <v>0</v>
      </c>
      <c r="E37" s="267">
        <f>IF(ISNA(MATCH(E$2,Inputs!$K$4:$AJ$4,0)),NA(),IF(SUMPRODUCT((Inputs!$A$5:$A$110=$B37)*ISNUMBER(INDEX(Inputs!$K$5:$AJ$110,0,MATCH(E$2,Inputs!$K$4:$AJ$4,0))))+SUMPRODUCT((Inputs!$C$5:$C$110=$B37)*ISNUMBER(INDEX(Inputs!$K$5:$AJ$110,0,MATCH(E$2,Inputs!$K$4:$AJ$4,0))))+SUMPRODUCT((Inputs!$E$5:$E$110=$B37)*ISNUMBER(INDEX(Inputs!$K$5:$AJ$110,0,MATCH(E$2,Inputs!$K$4:$AJ$4,0))))=0,NA(),SUMPRODUCT((Inputs!$A$5:$A$110=$B37)*Inputs!$B$5:$B$110*(((Inputs!$G$5:$G$110="moeda")+(Inputs!$G$5:$G$110="acoes"))*Inputs!$B$1+((Inputs!$G$5:$G$110&lt;&gt;"moeda")*(Inputs!$G$5:$G$110&lt;&gt;"acoes")))*INDEX(Inputs!$K$5:$AJ$110,0,MATCH(E$2,Inputs!$K$4:$AJ$4,0)))+SUMPRODUCT((Inputs!$C$5:$C$110=$B37)*Inputs!$D$5:$D$110*(((Inputs!$G$5:$G$110="moeda")+(Inputs!$G$5:$G$110="acoes"))*Inputs!$B$1+((Inputs!$G$5:$G$110&lt;&gt;"moeda")*(Inputs!$G$5:$G$110&lt;&gt;"acoes")))*INDEX(Inputs!$K$5:$AJ$110,0,MATCH(E$2,Inputs!$K$4:$AJ$4,0)))+SUMPRODUCT((Inputs!$E$5:$E$110=$B37)*Inputs!$F$5:$F$110*(((Inputs!$G$5:$G$110="moeda")+(Inputs!$G$5:$G$110="acoes"))*Inputs!$B$1+((Inputs!$G$5:$G$110&lt;&gt;"moeda")*(Inputs!$G$5:$G$110&lt;&gt;"acoes")))*INDEX(Inputs!$K$5:$AJ$110,0,MATCH(E$2,Inputs!$K$4:$AJ$4,0)))))</f>
        <v>0</v>
      </c>
      <c r="F37" s="267">
        <f>IF(ISNA(MATCH(F$2,Inputs!$K$4:$AJ$4,0)),NA(),IF(SUMPRODUCT((Inputs!$A$5:$A$110=$B37)*ISNUMBER(INDEX(Inputs!$K$5:$AJ$110,0,MATCH(F$2,Inputs!$K$4:$AJ$4,0))))+SUMPRODUCT((Inputs!$C$5:$C$110=$B37)*ISNUMBER(INDEX(Inputs!$K$5:$AJ$110,0,MATCH(F$2,Inputs!$K$4:$AJ$4,0))))+SUMPRODUCT((Inputs!$E$5:$E$110=$B37)*ISNUMBER(INDEX(Inputs!$K$5:$AJ$110,0,MATCH(F$2,Inputs!$K$4:$AJ$4,0))))=0,NA(),SUMPRODUCT((Inputs!$A$5:$A$110=$B37)*Inputs!$B$5:$B$110*(((Inputs!$G$5:$G$110="moeda")+(Inputs!$G$5:$G$110="acoes"))*Inputs!$B$1+((Inputs!$G$5:$G$110&lt;&gt;"moeda")*(Inputs!$G$5:$G$110&lt;&gt;"acoes")))*INDEX(Inputs!$K$5:$AJ$110,0,MATCH(F$2,Inputs!$K$4:$AJ$4,0)))+SUMPRODUCT((Inputs!$C$5:$C$110=$B37)*Inputs!$D$5:$D$110*(((Inputs!$G$5:$G$110="moeda")+(Inputs!$G$5:$G$110="acoes"))*Inputs!$B$1+((Inputs!$G$5:$G$110&lt;&gt;"moeda")*(Inputs!$G$5:$G$110&lt;&gt;"acoes")))*INDEX(Inputs!$K$5:$AJ$110,0,MATCH(F$2,Inputs!$K$4:$AJ$4,0)))+SUMPRODUCT((Inputs!$E$5:$E$110=$B37)*Inputs!$F$5:$F$110*(((Inputs!$G$5:$G$110="moeda")+(Inputs!$G$5:$G$110="acoes"))*Inputs!$B$1+((Inputs!$G$5:$G$110&lt;&gt;"moeda")*(Inputs!$G$5:$G$110&lt;&gt;"acoes")))*INDEX(Inputs!$K$5:$AJ$110,0,MATCH(F$2,Inputs!$K$4:$AJ$4,0)))))</f>
        <v>0</v>
      </c>
      <c r="G37" s="267">
        <f>IF(ISNA(MATCH(G$2,Inputs!$K$4:$AJ$4,0)),NA(),IF(SUMPRODUCT((Inputs!$A$5:$A$110=$B37)*ISNUMBER(INDEX(Inputs!$K$5:$AJ$110,0,MATCH(G$2,Inputs!$K$4:$AJ$4,0))))+SUMPRODUCT((Inputs!$C$5:$C$110=$B37)*ISNUMBER(INDEX(Inputs!$K$5:$AJ$110,0,MATCH(G$2,Inputs!$K$4:$AJ$4,0))))+SUMPRODUCT((Inputs!$E$5:$E$110=$B37)*ISNUMBER(INDEX(Inputs!$K$5:$AJ$110,0,MATCH(G$2,Inputs!$K$4:$AJ$4,0))))=0,NA(),SUMPRODUCT((Inputs!$A$5:$A$110=$B37)*Inputs!$B$5:$B$110*(((Inputs!$G$5:$G$110="moeda")+(Inputs!$G$5:$G$110="acoes"))*Inputs!$B$1+((Inputs!$G$5:$G$110&lt;&gt;"moeda")*(Inputs!$G$5:$G$110&lt;&gt;"acoes")))*INDEX(Inputs!$K$5:$AJ$110,0,MATCH(G$2,Inputs!$K$4:$AJ$4,0)))+SUMPRODUCT((Inputs!$C$5:$C$110=$B37)*Inputs!$D$5:$D$110*(((Inputs!$G$5:$G$110="moeda")+(Inputs!$G$5:$G$110="acoes"))*Inputs!$B$1+((Inputs!$G$5:$G$110&lt;&gt;"moeda")*(Inputs!$G$5:$G$110&lt;&gt;"acoes")))*INDEX(Inputs!$K$5:$AJ$110,0,MATCH(G$2,Inputs!$K$4:$AJ$4,0)))+SUMPRODUCT((Inputs!$E$5:$E$110=$B37)*Inputs!$F$5:$F$110*(((Inputs!$G$5:$G$110="moeda")+(Inputs!$G$5:$G$110="acoes"))*Inputs!$B$1+((Inputs!$G$5:$G$110&lt;&gt;"moeda")*(Inputs!$G$5:$G$110&lt;&gt;"acoes")))*INDEX(Inputs!$K$5:$AJ$110,0,MATCH(G$2,Inputs!$K$4:$AJ$4,0)))))</f>
        <v>0</v>
      </c>
      <c r="H37" s="268">
        <f>G37</f>
        <v>0</v>
      </c>
      <c r="I37" s="267">
        <f>IF(ISNA(MATCH(I$2,Inputs!$K$4:$AJ$4,0)),NA(),IF(SUMPRODUCT((Inputs!$A$5:$A$110=$B37)*ISNUMBER(INDEX(Inputs!$K$5:$AJ$110,0,MATCH(I$2,Inputs!$K$4:$AJ$4,0))))+SUMPRODUCT((Inputs!$C$5:$C$110=$B37)*ISNUMBER(INDEX(Inputs!$K$5:$AJ$110,0,MATCH(I$2,Inputs!$K$4:$AJ$4,0))))+SUMPRODUCT((Inputs!$E$5:$E$110=$B37)*ISNUMBER(INDEX(Inputs!$K$5:$AJ$110,0,MATCH(I$2,Inputs!$K$4:$AJ$4,0))))=0,NA(),SUMPRODUCT((Inputs!$A$5:$A$110=$B37)*Inputs!$B$5:$B$110*(((Inputs!$G$5:$G$110="moeda")+(Inputs!$G$5:$G$110="acoes"))*Inputs!$B$1+((Inputs!$G$5:$G$110&lt;&gt;"moeda")*(Inputs!$G$5:$G$110&lt;&gt;"acoes")))*INDEX(Inputs!$K$5:$AJ$110,0,MATCH(I$2,Inputs!$K$4:$AJ$4,0)))+SUMPRODUCT((Inputs!$C$5:$C$110=$B37)*Inputs!$D$5:$D$110*(((Inputs!$G$5:$G$110="moeda")+(Inputs!$G$5:$G$110="acoes"))*Inputs!$B$1+((Inputs!$G$5:$G$110&lt;&gt;"moeda")*(Inputs!$G$5:$G$110&lt;&gt;"acoes")))*INDEX(Inputs!$K$5:$AJ$110,0,MATCH(I$2,Inputs!$K$4:$AJ$4,0)))+SUMPRODUCT((Inputs!$E$5:$E$110=$B37)*Inputs!$F$5:$F$110*(((Inputs!$G$5:$G$110="moeda")+(Inputs!$G$5:$G$110="acoes"))*Inputs!$B$1+((Inputs!$G$5:$G$110&lt;&gt;"moeda")*(Inputs!$G$5:$G$110&lt;&gt;"acoes")))*INDEX(Inputs!$K$5:$AJ$110,0,MATCH(I$2,Inputs!$K$4:$AJ$4,0)))))</f>
        <v>0</v>
      </c>
      <c r="J37" s="267">
        <f>IF(ISNA(MATCH(J$2,Inputs!$K$4:$AJ$4,0)),NA(),IF(SUMPRODUCT((Inputs!$A$5:$A$110=$B37)*ISNUMBER(INDEX(Inputs!$K$5:$AJ$110,0,MATCH(J$2,Inputs!$K$4:$AJ$4,0))))+SUMPRODUCT((Inputs!$C$5:$C$110=$B37)*ISNUMBER(INDEX(Inputs!$K$5:$AJ$110,0,MATCH(J$2,Inputs!$K$4:$AJ$4,0))))+SUMPRODUCT((Inputs!$E$5:$E$110=$B37)*ISNUMBER(INDEX(Inputs!$K$5:$AJ$110,0,MATCH(J$2,Inputs!$K$4:$AJ$4,0))))=0,NA(),SUMPRODUCT((Inputs!$A$5:$A$110=$B37)*Inputs!$B$5:$B$110*(((Inputs!$G$5:$G$110="moeda")+(Inputs!$G$5:$G$110="acoes"))*Inputs!$B$1+((Inputs!$G$5:$G$110&lt;&gt;"moeda")*(Inputs!$G$5:$G$110&lt;&gt;"acoes")))*INDEX(Inputs!$K$5:$AJ$110,0,MATCH(J$2,Inputs!$K$4:$AJ$4,0)))+SUMPRODUCT((Inputs!$C$5:$C$110=$B37)*Inputs!$D$5:$D$110*(((Inputs!$G$5:$G$110="moeda")+(Inputs!$G$5:$G$110="acoes"))*Inputs!$B$1+((Inputs!$G$5:$G$110&lt;&gt;"moeda")*(Inputs!$G$5:$G$110&lt;&gt;"acoes")))*INDEX(Inputs!$K$5:$AJ$110,0,MATCH(J$2,Inputs!$K$4:$AJ$4,0)))+SUMPRODUCT((Inputs!$E$5:$E$110=$B37)*Inputs!$F$5:$F$110*(((Inputs!$G$5:$G$110="moeda")+(Inputs!$G$5:$G$110="acoes"))*Inputs!$B$1+((Inputs!$G$5:$G$110&lt;&gt;"moeda")*(Inputs!$G$5:$G$110&lt;&gt;"acoes")))*INDEX(Inputs!$K$5:$AJ$110,0,MATCH(J$2,Inputs!$K$4:$AJ$4,0)))))</f>
        <v>0</v>
      </c>
      <c r="K37" s="267">
        <f>IF(ISNA(MATCH(K$2,Inputs!$K$4:$AJ$4,0)),NA(),IF(SUMPRODUCT((Inputs!$A$5:$A$110=$B37)*ISNUMBER(INDEX(Inputs!$K$5:$AJ$110,0,MATCH(K$2,Inputs!$K$4:$AJ$4,0))))+SUMPRODUCT((Inputs!$C$5:$C$110=$B37)*ISNUMBER(INDEX(Inputs!$K$5:$AJ$110,0,MATCH(K$2,Inputs!$K$4:$AJ$4,0))))+SUMPRODUCT((Inputs!$E$5:$E$110=$B37)*ISNUMBER(INDEX(Inputs!$K$5:$AJ$110,0,MATCH(K$2,Inputs!$K$4:$AJ$4,0))))=0,NA(),SUMPRODUCT((Inputs!$A$5:$A$110=$B37)*Inputs!$B$5:$B$110*(((Inputs!$G$5:$G$110="moeda")+(Inputs!$G$5:$G$110="acoes"))*Inputs!$B$1+((Inputs!$G$5:$G$110&lt;&gt;"moeda")*(Inputs!$G$5:$G$110&lt;&gt;"acoes")))*INDEX(Inputs!$K$5:$AJ$110,0,MATCH(K$2,Inputs!$K$4:$AJ$4,0)))+SUMPRODUCT((Inputs!$C$5:$C$110=$B37)*Inputs!$D$5:$D$110*(((Inputs!$G$5:$G$110="moeda")+(Inputs!$G$5:$G$110="acoes"))*Inputs!$B$1+((Inputs!$G$5:$G$110&lt;&gt;"moeda")*(Inputs!$G$5:$G$110&lt;&gt;"acoes")))*INDEX(Inputs!$K$5:$AJ$110,0,MATCH(K$2,Inputs!$K$4:$AJ$4,0)))+SUMPRODUCT((Inputs!$E$5:$E$110=$B37)*Inputs!$F$5:$F$110*(((Inputs!$G$5:$G$110="moeda")+(Inputs!$G$5:$G$110="acoes"))*Inputs!$B$1+((Inputs!$G$5:$G$110&lt;&gt;"moeda")*(Inputs!$G$5:$G$110&lt;&gt;"acoes")))*INDEX(Inputs!$K$5:$AJ$110,0,MATCH(K$2,Inputs!$K$4:$AJ$4,0)))))</f>
        <v>0</v>
      </c>
      <c r="L37" s="267">
        <f>IF(ISNA(MATCH(L$2,Inputs!$K$4:$AJ$4,0)),NA(),IF(SUMPRODUCT((Inputs!$A$5:$A$110=$B37)*ISNUMBER(INDEX(Inputs!$K$5:$AJ$110,0,MATCH(L$2,Inputs!$K$4:$AJ$4,0))))+SUMPRODUCT((Inputs!$C$5:$C$110=$B37)*ISNUMBER(INDEX(Inputs!$K$5:$AJ$110,0,MATCH(L$2,Inputs!$K$4:$AJ$4,0))))+SUMPRODUCT((Inputs!$E$5:$E$110=$B37)*ISNUMBER(INDEX(Inputs!$K$5:$AJ$110,0,MATCH(L$2,Inputs!$K$4:$AJ$4,0))))=0,NA(),SUMPRODUCT((Inputs!$A$5:$A$110=$B37)*Inputs!$B$5:$B$110*(((Inputs!$G$5:$G$110="moeda")+(Inputs!$G$5:$G$110="acoes"))*Inputs!$B$1+((Inputs!$G$5:$G$110&lt;&gt;"moeda")*(Inputs!$G$5:$G$110&lt;&gt;"acoes")))*INDEX(Inputs!$K$5:$AJ$110,0,MATCH(L$2,Inputs!$K$4:$AJ$4,0)))+SUMPRODUCT((Inputs!$C$5:$C$110=$B37)*Inputs!$D$5:$D$110*(((Inputs!$G$5:$G$110="moeda")+(Inputs!$G$5:$G$110="acoes"))*Inputs!$B$1+((Inputs!$G$5:$G$110&lt;&gt;"moeda")*(Inputs!$G$5:$G$110&lt;&gt;"acoes")))*INDEX(Inputs!$K$5:$AJ$110,0,MATCH(L$2,Inputs!$K$4:$AJ$4,0)))+SUMPRODUCT((Inputs!$E$5:$E$110=$B37)*Inputs!$F$5:$F$110*(((Inputs!$G$5:$G$110="moeda")+(Inputs!$G$5:$G$110="acoes"))*Inputs!$B$1+((Inputs!$G$5:$G$110&lt;&gt;"moeda")*(Inputs!$G$5:$G$110&lt;&gt;"acoes")))*INDEX(Inputs!$K$5:$AJ$110,0,MATCH(L$2,Inputs!$K$4:$AJ$4,0)))))</f>
        <v>0</v>
      </c>
      <c r="M37" s="268">
        <f>L37</f>
        <v>0</v>
      </c>
      <c r="N37" s="267">
        <f>IF(ISNA(MATCH(N$2,Inputs!$K$4:$AJ$4,0)),NA(),IF(SUMPRODUCT((Inputs!$A$5:$A$110=$B37)*ISNUMBER(INDEX(Inputs!$K$5:$AJ$110,0,MATCH(N$2,Inputs!$K$4:$AJ$4,0))))+SUMPRODUCT((Inputs!$C$5:$C$110=$B37)*ISNUMBER(INDEX(Inputs!$K$5:$AJ$110,0,MATCH(N$2,Inputs!$K$4:$AJ$4,0))))+SUMPRODUCT((Inputs!$E$5:$E$110=$B37)*ISNUMBER(INDEX(Inputs!$K$5:$AJ$110,0,MATCH(N$2,Inputs!$K$4:$AJ$4,0))))=0,NA(),SUMPRODUCT((Inputs!$A$5:$A$110=$B37)*Inputs!$B$5:$B$110*(((Inputs!$G$5:$G$110="moeda")+(Inputs!$G$5:$G$110="acoes"))*Inputs!$B$1+((Inputs!$G$5:$G$110&lt;&gt;"moeda")*(Inputs!$G$5:$G$110&lt;&gt;"acoes")))*INDEX(Inputs!$K$5:$AJ$110,0,MATCH(N$2,Inputs!$K$4:$AJ$4,0)))+SUMPRODUCT((Inputs!$C$5:$C$110=$B37)*Inputs!$D$5:$D$110*(((Inputs!$G$5:$G$110="moeda")+(Inputs!$G$5:$G$110="acoes"))*Inputs!$B$1+((Inputs!$G$5:$G$110&lt;&gt;"moeda")*(Inputs!$G$5:$G$110&lt;&gt;"acoes")))*INDEX(Inputs!$K$5:$AJ$110,0,MATCH(N$2,Inputs!$K$4:$AJ$4,0)))+SUMPRODUCT((Inputs!$E$5:$E$110=$B37)*Inputs!$F$5:$F$110*(((Inputs!$G$5:$G$110="moeda")+(Inputs!$G$5:$G$110="acoes"))*Inputs!$B$1+((Inputs!$G$5:$G$110&lt;&gt;"moeda")*(Inputs!$G$5:$G$110&lt;&gt;"acoes")))*INDEX(Inputs!$K$5:$AJ$110,0,MATCH(N$2,Inputs!$K$4:$AJ$4,0)))))</f>
        <v>0</v>
      </c>
      <c r="O37" s="267">
        <f>IF(ISNA(MATCH(O$2,Inputs!$K$4:$AJ$4,0)),NA(),IF(SUMPRODUCT((Inputs!$A$5:$A$110=$B37)*ISNUMBER(INDEX(Inputs!$K$5:$AJ$110,0,MATCH(O$2,Inputs!$K$4:$AJ$4,0))))+SUMPRODUCT((Inputs!$C$5:$C$110=$B37)*ISNUMBER(INDEX(Inputs!$K$5:$AJ$110,0,MATCH(O$2,Inputs!$K$4:$AJ$4,0))))+SUMPRODUCT((Inputs!$E$5:$E$110=$B37)*ISNUMBER(INDEX(Inputs!$K$5:$AJ$110,0,MATCH(O$2,Inputs!$K$4:$AJ$4,0))))=0,NA(),SUMPRODUCT((Inputs!$A$5:$A$110=$B37)*Inputs!$B$5:$B$110*(((Inputs!$G$5:$G$110="moeda")+(Inputs!$G$5:$G$110="acoes"))*Inputs!$B$1+((Inputs!$G$5:$G$110&lt;&gt;"moeda")*(Inputs!$G$5:$G$110&lt;&gt;"acoes")))*INDEX(Inputs!$K$5:$AJ$110,0,MATCH(O$2,Inputs!$K$4:$AJ$4,0)))+SUMPRODUCT((Inputs!$C$5:$C$110=$B37)*Inputs!$D$5:$D$110*(((Inputs!$G$5:$G$110="moeda")+(Inputs!$G$5:$G$110="acoes"))*Inputs!$B$1+((Inputs!$G$5:$G$110&lt;&gt;"moeda")*(Inputs!$G$5:$G$110&lt;&gt;"acoes")))*INDEX(Inputs!$K$5:$AJ$110,0,MATCH(O$2,Inputs!$K$4:$AJ$4,0)))+SUMPRODUCT((Inputs!$E$5:$E$110=$B37)*Inputs!$F$5:$F$110*(((Inputs!$G$5:$G$110="moeda")+(Inputs!$G$5:$G$110="acoes"))*Inputs!$B$1+((Inputs!$G$5:$G$110&lt;&gt;"moeda")*(Inputs!$G$5:$G$110&lt;&gt;"acoes")))*INDEX(Inputs!$K$5:$AJ$110,0,MATCH(O$2,Inputs!$K$4:$AJ$4,0)))))</f>
        <v>0</v>
      </c>
      <c r="P37" s="267">
        <f>IF(ISNA(MATCH(P$2,Inputs!$K$4:$AJ$4,0)),NA(),IF(SUMPRODUCT((Inputs!$A$5:$A$110=$B37)*ISNUMBER(INDEX(Inputs!$K$5:$AJ$110,0,MATCH(P$2,Inputs!$K$4:$AJ$4,0))))+SUMPRODUCT((Inputs!$C$5:$C$110=$B37)*ISNUMBER(INDEX(Inputs!$K$5:$AJ$110,0,MATCH(P$2,Inputs!$K$4:$AJ$4,0))))+SUMPRODUCT((Inputs!$E$5:$E$110=$B37)*ISNUMBER(INDEX(Inputs!$K$5:$AJ$110,0,MATCH(P$2,Inputs!$K$4:$AJ$4,0))))=0,NA(),SUMPRODUCT((Inputs!$A$5:$A$110=$B37)*Inputs!$B$5:$B$110*(((Inputs!$G$5:$G$110="moeda")+(Inputs!$G$5:$G$110="acoes"))*Inputs!$B$1+((Inputs!$G$5:$G$110&lt;&gt;"moeda")*(Inputs!$G$5:$G$110&lt;&gt;"acoes")))*INDEX(Inputs!$K$5:$AJ$110,0,MATCH(P$2,Inputs!$K$4:$AJ$4,0)))+SUMPRODUCT((Inputs!$C$5:$C$110=$B37)*Inputs!$D$5:$D$110*(((Inputs!$G$5:$G$110="moeda")+(Inputs!$G$5:$G$110="acoes"))*Inputs!$B$1+((Inputs!$G$5:$G$110&lt;&gt;"moeda")*(Inputs!$G$5:$G$110&lt;&gt;"acoes")))*INDEX(Inputs!$K$5:$AJ$110,0,MATCH(P$2,Inputs!$K$4:$AJ$4,0)))+SUMPRODUCT((Inputs!$E$5:$E$110=$B37)*Inputs!$F$5:$F$110*(((Inputs!$G$5:$G$110="moeda")+(Inputs!$G$5:$G$110="acoes"))*Inputs!$B$1+((Inputs!$G$5:$G$110&lt;&gt;"moeda")*(Inputs!$G$5:$G$110&lt;&gt;"acoes")))*INDEX(Inputs!$K$5:$AJ$110,0,MATCH(P$2,Inputs!$K$4:$AJ$4,0)))))</f>
        <v>0</v>
      </c>
      <c r="Q37" s="267">
        <f>IF(ISNA(MATCH(Q$2,Inputs!$K$4:$AJ$4,0)),NA(),IF(SUMPRODUCT((Inputs!$A$5:$A$110=$B37)*ISNUMBER(INDEX(Inputs!$K$5:$AJ$110,0,MATCH(Q$2,Inputs!$K$4:$AJ$4,0))))+SUMPRODUCT((Inputs!$C$5:$C$110=$B37)*ISNUMBER(INDEX(Inputs!$K$5:$AJ$110,0,MATCH(Q$2,Inputs!$K$4:$AJ$4,0))))+SUMPRODUCT((Inputs!$E$5:$E$110=$B37)*ISNUMBER(INDEX(Inputs!$K$5:$AJ$110,0,MATCH(Q$2,Inputs!$K$4:$AJ$4,0))))=0,NA(),SUMPRODUCT((Inputs!$A$5:$A$110=$B37)*Inputs!$B$5:$B$110*(((Inputs!$G$5:$G$110="moeda")+(Inputs!$G$5:$G$110="acoes"))*Inputs!$B$1+((Inputs!$G$5:$G$110&lt;&gt;"moeda")*(Inputs!$G$5:$G$110&lt;&gt;"acoes")))*INDEX(Inputs!$K$5:$AJ$110,0,MATCH(Q$2,Inputs!$K$4:$AJ$4,0)))+SUMPRODUCT((Inputs!$C$5:$C$110=$B37)*Inputs!$D$5:$D$110*(((Inputs!$G$5:$G$110="moeda")+(Inputs!$G$5:$G$110="acoes"))*Inputs!$B$1+((Inputs!$G$5:$G$110&lt;&gt;"moeda")*(Inputs!$G$5:$G$110&lt;&gt;"acoes")))*INDEX(Inputs!$K$5:$AJ$110,0,MATCH(Q$2,Inputs!$K$4:$AJ$4,0)))+SUMPRODUCT((Inputs!$E$5:$E$110=$B37)*Inputs!$F$5:$F$110*(((Inputs!$G$5:$G$110="moeda")+(Inputs!$G$5:$G$110="acoes"))*Inputs!$B$1+((Inputs!$G$5:$G$110&lt;&gt;"moeda")*(Inputs!$G$5:$G$110&lt;&gt;"acoes")))*INDEX(Inputs!$K$5:$AJ$110,0,MATCH(Q$2,Inputs!$K$4:$AJ$4,0)))))</f>
        <v>0</v>
      </c>
      <c r="R37" s="268">
        <f>Q37</f>
        <v>0</v>
      </c>
      <c r="S37" s="267">
        <f>IF(ISNA(MATCH(S$2,Inputs!$K$4:$AJ$4,0)),NA(),IF(SUMPRODUCT((Inputs!$A$5:$A$110=$B37)*ISNUMBER(INDEX(Inputs!$K$5:$AJ$110,0,MATCH(S$2,Inputs!$K$4:$AJ$4,0))))+SUMPRODUCT((Inputs!$C$5:$C$110=$B37)*ISNUMBER(INDEX(Inputs!$K$5:$AJ$110,0,MATCH(S$2,Inputs!$K$4:$AJ$4,0))))+SUMPRODUCT((Inputs!$E$5:$E$110=$B37)*ISNUMBER(INDEX(Inputs!$K$5:$AJ$110,0,MATCH(S$2,Inputs!$K$4:$AJ$4,0))))=0,NA(),SUMPRODUCT((Inputs!$A$5:$A$110=$B37)*Inputs!$B$5:$B$110*(((Inputs!$G$5:$G$110="moeda")+(Inputs!$G$5:$G$110="acoes"))*Inputs!$B$1+((Inputs!$G$5:$G$110&lt;&gt;"moeda")*(Inputs!$G$5:$G$110&lt;&gt;"acoes")))*INDEX(Inputs!$K$5:$AJ$110,0,MATCH(S$2,Inputs!$K$4:$AJ$4,0)))+SUMPRODUCT((Inputs!$C$5:$C$110=$B37)*Inputs!$D$5:$D$110*(((Inputs!$G$5:$G$110="moeda")+(Inputs!$G$5:$G$110="acoes"))*Inputs!$B$1+((Inputs!$G$5:$G$110&lt;&gt;"moeda")*(Inputs!$G$5:$G$110&lt;&gt;"acoes")))*INDEX(Inputs!$K$5:$AJ$110,0,MATCH(S$2,Inputs!$K$4:$AJ$4,0)))+SUMPRODUCT((Inputs!$E$5:$E$110=$B37)*Inputs!$F$5:$F$110*(((Inputs!$G$5:$G$110="moeda")+(Inputs!$G$5:$G$110="acoes"))*Inputs!$B$1+((Inputs!$G$5:$G$110&lt;&gt;"moeda")*(Inputs!$G$5:$G$110&lt;&gt;"acoes")))*INDEX(Inputs!$K$5:$AJ$110,0,MATCH(S$2,Inputs!$K$4:$AJ$4,0)))))</f>
        <v>0</v>
      </c>
      <c r="T37" s="267">
        <f>IF(ISNA(MATCH(T$2,Inputs!$K$4:$AJ$4,0)),NA(),IF(SUMPRODUCT((Inputs!$A$5:$A$110=$B37)*ISNUMBER(INDEX(Inputs!$K$5:$AJ$110,0,MATCH(T$2,Inputs!$K$4:$AJ$4,0))))+SUMPRODUCT((Inputs!$C$5:$C$110=$B37)*ISNUMBER(INDEX(Inputs!$K$5:$AJ$110,0,MATCH(T$2,Inputs!$K$4:$AJ$4,0))))+SUMPRODUCT((Inputs!$E$5:$E$110=$B37)*ISNUMBER(INDEX(Inputs!$K$5:$AJ$110,0,MATCH(T$2,Inputs!$K$4:$AJ$4,0))))=0,NA(),SUMPRODUCT((Inputs!$A$5:$A$110=$B37)*Inputs!$B$5:$B$110*(((Inputs!$G$5:$G$110="moeda")+(Inputs!$G$5:$G$110="acoes"))*Inputs!$B$1+((Inputs!$G$5:$G$110&lt;&gt;"moeda")*(Inputs!$G$5:$G$110&lt;&gt;"acoes")))*INDEX(Inputs!$K$5:$AJ$110,0,MATCH(T$2,Inputs!$K$4:$AJ$4,0)))+SUMPRODUCT((Inputs!$C$5:$C$110=$B37)*Inputs!$D$5:$D$110*(((Inputs!$G$5:$G$110="moeda")+(Inputs!$G$5:$G$110="acoes"))*Inputs!$B$1+((Inputs!$G$5:$G$110&lt;&gt;"moeda")*(Inputs!$G$5:$G$110&lt;&gt;"acoes")))*INDEX(Inputs!$K$5:$AJ$110,0,MATCH(T$2,Inputs!$K$4:$AJ$4,0)))+SUMPRODUCT((Inputs!$E$5:$E$110=$B37)*Inputs!$F$5:$F$110*(((Inputs!$G$5:$G$110="moeda")+(Inputs!$G$5:$G$110="acoes"))*Inputs!$B$1+((Inputs!$G$5:$G$110&lt;&gt;"moeda")*(Inputs!$G$5:$G$110&lt;&gt;"acoes")))*INDEX(Inputs!$K$5:$AJ$110,0,MATCH(T$2,Inputs!$K$4:$AJ$4,0)))))</f>
        <v>0</v>
      </c>
      <c r="U37" s="267">
        <f>IF(ISNA(MATCH(U$2,Inputs!$K$4:$AJ$4,0)),NA(),IF(SUMPRODUCT((Inputs!$A$5:$A$110=$B37)*ISNUMBER(INDEX(Inputs!$K$5:$AJ$110,0,MATCH(U$2,Inputs!$K$4:$AJ$4,0))))+SUMPRODUCT((Inputs!$C$5:$C$110=$B37)*ISNUMBER(INDEX(Inputs!$K$5:$AJ$110,0,MATCH(U$2,Inputs!$K$4:$AJ$4,0))))+SUMPRODUCT((Inputs!$E$5:$E$110=$B37)*ISNUMBER(INDEX(Inputs!$K$5:$AJ$110,0,MATCH(U$2,Inputs!$K$4:$AJ$4,0))))=0,NA(),SUMPRODUCT((Inputs!$A$5:$A$110=$B37)*Inputs!$B$5:$B$110*(((Inputs!$G$5:$G$110="moeda")+(Inputs!$G$5:$G$110="acoes"))*Inputs!$B$1+((Inputs!$G$5:$G$110&lt;&gt;"moeda")*(Inputs!$G$5:$G$110&lt;&gt;"acoes")))*INDEX(Inputs!$K$5:$AJ$110,0,MATCH(U$2,Inputs!$K$4:$AJ$4,0)))+SUMPRODUCT((Inputs!$C$5:$C$110=$B37)*Inputs!$D$5:$D$110*(((Inputs!$G$5:$G$110="moeda")+(Inputs!$G$5:$G$110="acoes"))*Inputs!$B$1+((Inputs!$G$5:$G$110&lt;&gt;"moeda")*(Inputs!$G$5:$G$110&lt;&gt;"acoes")))*INDEX(Inputs!$K$5:$AJ$110,0,MATCH(U$2,Inputs!$K$4:$AJ$4,0)))+SUMPRODUCT((Inputs!$E$5:$E$110=$B37)*Inputs!$F$5:$F$110*(((Inputs!$G$5:$G$110="moeda")+(Inputs!$G$5:$G$110="acoes"))*Inputs!$B$1+((Inputs!$G$5:$G$110&lt;&gt;"moeda")*(Inputs!$G$5:$G$110&lt;&gt;"acoes")))*INDEX(Inputs!$K$5:$AJ$110,0,MATCH(U$2,Inputs!$K$4:$AJ$4,0)))))</f>
        <v>0</v>
      </c>
      <c r="V37" s="267">
        <f>IF(ISNA(MATCH(V$2,Inputs!$K$4:$AJ$4,0)),NA(),IF(SUMPRODUCT((Inputs!$A$5:$A$110=$B37)*ISNUMBER(INDEX(Inputs!$K$5:$AJ$110,0,MATCH(V$2,Inputs!$K$4:$AJ$4,0))))+SUMPRODUCT((Inputs!$C$5:$C$110=$B37)*ISNUMBER(INDEX(Inputs!$K$5:$AJ$110,0,MATCH(V$2,Inputs!$K$4:$AJ$4,0))))+SUMPRODUCT((Inputs!$E$5:$E$110=$B37)*ISNUMBER(INDEX(Inputs!$K$5:$AJ$110,0,MATCH(V$2,Inputs!$K$4:$AJ$4,0))))=0,NA(),SUMPRODUCT((Inputs!$A$5:$A$110=$B37)*Inputs!$B$5:$B$110*(((Inputs!$G$5:$G$110="moeda")+(Inputs!$G$5:$G$110="acoes"))*Inputs!$B$1+((Inputs!$G$5:$G$110&lt;&gt;"moeda")*(Inputs!$G$5:$G$110&lt;&gt;"acoes")))*INDEX(Inputs!$K$5:$AJ$110,0,MATCH(V$2,Inputs!$K$4:$AJ$4,0)))+SUMPRODUCT((Inputs!$C$5:$C$110=$B37)*Inputs!$D$5:$D$110*(((Inputs!$G$5:$G$110="moeda")+(Inputs!$G$5:$G$110="acoes"))*Inputs!$B$1+((Inputs!$G$5:$G$110&lt;&gt;"moeda")*(Inputs!$G$5:$G$110&lt;&gt;"acoes")))*INDEX(Inputs!$K$5:$AJ$110,0,MATCH(V$2,Inputs!$K$4:$AJ$4,0)))+SUMPRODUCT((Inputs!$E$5:$E$110=$B37)*Inputs!$F$5:$F$110*(((Inputs!$G$5:$G$110="moeda")+(Inputs!$G$5:$G$110="acoes"))*Inputs!$B$1+((Inputs!$G$5:$G$110&lt;&gt;"moeda")*(Inputs!$G$5:$G$110&lt;&gt;"acoes")))*INDEX(Inputs!$K$5:$AJ$110,0,MATCH(V$2,Inputs!$K$4:$AJ$4,0)))))</f>
        <v>0</v>
      </c>
      <c r="W37" s="268">
        <f>V37</f>
        <v>0</v>
      </c>
      <c r="X37" s="267">
        <f>IF(ISNA(MATCH(X$2,Inputs!$K$4:$AJ$4,0)),NA(),IF(SUMPRODUCT((Inputs!$A$5:$A$110=$B37)*ISNUMBER(INDEX(Inputs!$K$5:$AJ$110,0,MATCH(X$2,Inputs!$K$4:$AJ$4,0))))+SUMPRODUCT((Inputs!$C$5:$C$110=$B37)*ISNUMBER(INDEX(Inputs!$K$5:$AJ$110,0,MATCH(X$2,Inputs!$K$4:$AJ$4,0))))+SUMPRODUCT((Inputs!$E$5:$E$110=$B37)*ISNUMBER(INDEX(Inputs!$K$5:$AJ$110,0,MATCH(X$2,Inputs!$K$4:$AJ$4,0))))=0,NA(),SUMPRODUCT((Inputs!$A$5:$A$110=$B37)*Inputs!$B$5:$B$110*(((Inputs!$G$5:$G$110="moeda")+(Inputs!$G$5:$G$110="acoes"))*Inputs!$B$1+((Inputs!$G$5:$G$110&lt;&gt;"moeda")*(Inputs!$G$5:$G$110&lt;&gt;"acoes")))*INDEX(Inputs!$K$5:$AJ$110,0,MATCH(X$2,Inputs!$K$4:$AJ$4,0)))+SUMPRODUCT((Inputs!$C$5:$C$110=$B37)*Inputs!$D$5:$D$110*(((Inputs!$G$5:$G$110="moeda")+(Inputs!$G$5:$G$110="acoes"))*Inputs!$B$1+((Inputs!$G$5:$G$110&lt;&gt;"moeda")*(Inputs!$G$5:$G$110&lt;&gt;"acoes")))*INDEX(Inputs!$K$5:$AJ$110,0,MATCH(X$2,Inputs!$K$4:$AJ$4,0)))+SUMPRODUCT((Inputs!$E$5:$E$110=$B37)*Inputs!$F$5:$F$110*(((Inputs!$G$5:$G$110="moeda")+(Inputs!$G$5:$G$110="acoes"))*Inputs!$B$1+((Inputs!$G$5:$G$110&lt;&gt;"moeda")*(Inputs!$G$5:$G$110&lt;&gt;"acoes")))*INDEX(Inputs!$K$5:$AJ$110,0,MATCH(X$2,Inputs!$K$4:$AJ$4,0)))))</f>
        <v>0</v>
      </c>
      <c r="Y37" s="267">
        <f>IF(ISNA(MATCH(Y$2,Inputs!$K$4:$AJ$4,0)),NA(),IF(SUMPRODUCT((Inputs!$A$5:$A$110=$B37)*ISNUMBER(INDEX(Inputs!$K$5:$AJ$110,0,MATCH(Y$2,Inputs!$K$4:$AJ$4,0))))+SUMPRODUCT((Inputs!$C$5:$C$110=$B37)*ISNUMBER(INDEX(Inputs!$K$5:$AJ$110,0,MATCH(Y$2,Inputs!$K$4:$AJ$4,0))))+SUMPRODUCT((Inputs!$E$5:$E$110=$B37)*ISNUMBER(INDEX(Inputs!$K$5:$AJ$110,0,MATCH(Y$2,Inputs!$K$4:$AJ$4,0))))=0,NA(),SUMPRODUCT((Inputs!$A$5:$A$110=$B37)*Inputs!$B$5:$B$110*(((Inputs!$G$5:$G$110="moeda")+(Inputs!$G$5:$G$110="acoes"))*Inputs!$B$1+((Inputs!$G$5:$G$110&lt;&gt;"moeda")*(Inputs!$G$5:$G$110&lt;&gt;"acoes")))*INDEX(Inputs!$K$5:$AJ$110,0,MATCH(Y$2,Inputs!$K$4:$AJ$4,0)))+SUMPRODUCT((Inputs!$C$5:$C$110=$B37)*Inputs!$D$5:$D$110*(((Inputs!$G$5:$G$110="moeda")+(Inputs!$G$5:$G$110="acoes"))*Inputs!$B$1+((Inputs!$G$5:$G$110&lt;&gt;"moeda")*(Inputs!$G$5:$G$110&lt;&gt;"acoes")))*INDEX(Inputs!$K$5:$AJ$110,0,MATCH(Y$2,Inputs!$K$4:$AJ$4,0)))+SUMPRODUCT((Inputs!$E$5:$E$110=$B37)*Inputs!$F$5:$F$110*(((Inputs!$G$5:$G$110="moeda")+(Inputs!$G$5:$G$110="acoes"))*Inputs!$B$1+((Inputs!$G$5:$G$110&lt;&gt;"moeda")*(Inputs!$G$5:$G$110&lt;&gt;"acoes")))*INDEX(Inputs!$K$5:$AJ$110,0,MATCH(Y$2,Inputs!$K$4:$AJ$4,0)))))</f>
        <v>0</v>
      </c>
      <c r="Z37" s="267">
        <f>IF(ISNA(MATCH(Z$2,Inputs!$K$4:$AJ$4,0)),NA(),IF(SUMPRODUCT((Inputs!$A$5:$A$110=$B37)*ISNUMBER(INDEX(Inputs!$K$5:$AJ$110,0,MATCH(Z$2,Inputs!$K$4:$AJ$4,0))))+SUMPRODUCT((Inputs!$C$5:$C$110=$B37)*ISNUMBER(INDEX(Inputs!$K$5:$AJ$110,0,MATCH(Z$2,Inputs!$K$4:$AJ$4,0))))+SUMPRODUCT((Inputs!$E$5:$E$110=$B37)*ISNUMBER(INDEX(Inputs!$K$5:$AJ$110,0,MATCH(Z$2,Inputs!$K$4:$AJ$4,0))))=0,NA(),SUMPRODUCT((Inputs!$A$5:$A$110=$B37)*Inputs!$B$5:$B$110*(((Inputs!$G$5:$G$110="moeda")+(Inputs!$G$5:$G$110="acoes"))*Inputs!$B$1+((Inputs!$G$5:$G$110&lt;&gt;"moeda")*(Inputs!$G$5:$G$110&lt;&gt;"acoes")))*INDEX(Inputs!$K$5:$AJ$110,0,MATCH(Z$2,Inputs!$K$4:$AJ$4,0)))+SUMPRODUCT((Inputs!$C$5:$C$110=$B37)*Inputs!$D$5:$D$110*(((Inputs!$G$5:$G$110="moeda")+(Inputs!$G$5:$G$110="acoes"))*Inputs!$B$1+((Inputs!$G$5:$G$110&lt;&gt;"moeda")*(Inputs!$G$5:$G$110&lt;&gt;"acoes")))*INDEX(Inputs!$K$5:$AJ$110,0,MATCH(Z$2,Inputs!$K$4:$AJ$4,0)))+SUMPRODUCT((Inputs!$E$5:$E$110=$B37)*Inputs!$F$5:$F$110*(((Inputs!$G$5:$G$110="moeda")+(Inputs!$G$5:$G$110="acoes"))*Inputs!$B$1+((Inputs!$G$5:$G$110&lt;&gt;"moeda")*(Inputs!$G$5:$G$110&lt;&gt;"acoes")))*INDEX(Inputs!$K$5:$AJ$110,0,MATCH(Z$2,Inputs!$K$4:$AJ$4,0)))))</f>
        <v>0</v>
      </c>
      <c r="AA37" s="267">
        <f>IF(ISNA(MATCH(AA$2,Inputs!$K$4:$AJ$4,0)),NA(),IF(SUMPRODUCT((Inputs!$A$5:$A$110=$B37)*ISNUMBER(INDEX(Inputs!$K$5:$AJ$110,0,MATCH(AA$2,Inputs!$K$4:$AJ$4,0))))+SUMPRODUCT((Inputs!$C$5:$C$110=$B37)*ISNUMBER(INDEX(Inputs!$K$5:$AJ$110,0,MATCH(AA$2,Inputs!$K$4:$AJ$4,0))))+SUMPRODUCT((Inputs!$E$5:$E$110=$B37)*ISNUMBER(INDEX(Inputs!$K$5:$AJ$110,0,MATCH(AA$2,Inputs!$K$4:$AJ$4,0))))=0,NA(),SUMPRODUCT((Inputs!$A$5:$A$110=$B37)*Inputs!$B$5:$B$110*(((Inputs!$G$5:$G$110="moeda")+(Inputs!$G$5:$G$110="acoes"))*Inputs!$B$1+((Inputs!$G$5:$G$110&lt;&gt;"moeda")*(Inputs!$G$5:$G$110&lt;&gt;"acoes")))*INDEX(Inputs!$K$5:$AJ$110,0,MATCH(AA$2,Inputs!$K$4:$AJ$4,0)))+SUMPRODUCT((Inputs!$C$5:$C$110=$B37)*Inputs!$D$5:$D$110*(((Inputs!$G$5:$G$110="moeda")+(Inputs!$G$5:$G$110="acoes"))*Inputs!$B$1+((Inputs!$G$5:$G$110&lt;&gt;"moeda")*(Inputs!$G$5:$G$110&lt;&gt;"acoes")))*INDEX(Inputs!$K$5:$AJ$110,0,MATCH(AA$2,Inputs!$K$4:$AJ$4,0)))+SUMPRODUCT((Inputs!$E$5:$E$110=$B37)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7" s="268">
        <f>AA37</f>
        <v>0</v>
      </c>
      <c r="AC37" s="267">
        <f>IF(ISNA(MATCH(AC$2,Inputs!$K$4:$AJ$4,0)),NA(),IF(SUMPRODUCT((Inputs!$A$5:$A$110=$B37)*ISNUMBER(INDEX(Inputs!$K$5:$AJ$110,0,MATCH(AC$2,Inputs!$K$4:$AJ$4,0))))+SUMPRODUCT((Inputs!$C$5:$C$110=$B37)*ISNUMBER(INDEX(Inputs!$K$5:$AJ$110,0,MATCH(AC$2,Inputs!$K$4:$AJ$4,0))))+SUMPRODUCT((Inputs!$E$5:$E$110=$B37)*ISNUMBER(INDEX(Inputs!$K$5:$AJ$110,0,MATCH(AC$2,Inputs!$K$4:$AJ$4,0))))=0,NA(),SUMPRODUCT((Inputs!$A$5:$A$110=$B37)*Inputs!$B$5:$B$110*(((Inputs!$G$5:$G$110="moeda")+(Inputs!$G$5:$G$110="acoes"))*Inputs!$B$1+((Inputs!$G$5:$G$110&lt;&gt;"moeda")*(Inputs!$G$5:$G$110&lt;&gt;"acoes")))*INDEX(Inputs!$K$5:$AJ$110,0,MATCH(AC$2,Inputs!$K$4:$AJ$4,0)))+SUMPRODUCT((Inputs!$C$5:$C$110=$B37)*Inputs!$D$5:$D$110*(((Inputs!$G$5:$G$110="moeda")+(Inputs!$G$5:$G$110="acoes"))*Inputs!$B$1+((Inputs!$G$5:$G$110&lt;&gt;"moeda")*(Inputs!$G$5:$G$110&lt;&gt;"acoes")))*INDEX(Inputs!$K$5:$AJ$110,0,MATCH(AC$2,Inputs!$K$4:$AJ$4,0)))+SUMPRODUCT((Inputs!$E$5:$E$110=$B37)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7" s="267">
        <f>IF(ISNA(MATCH(AD$2,Inputs!$K$4:$AJ$4,0)),NA(),IF(SUMPRODUCT((Inputs!$A$5:$A$110=$B37)*ISNUMBER(INDEX(Inputs!$K$5:$AJ$110,0,MATCH(AD$2,Inputs!$K$4:$AJ$4,0))))+SUMPRODUCT((Inputs!$C$5:$C$110=$B37)*ISNUMBER(INDEX(Inputs!$K$5:$AJ$110,0,MATCH(AD$2,Inputs!$K$4:$AJ$4,0))))+SUMPRODUCT((Inputs!$E$5:$E$110=$B37)*ISNUMBER(INDEX(Inputs!$K$5:$AJ$110,0,MATCH(AD$2,Inputs!$K$4:$AJ$4,0))))=0,NA(),SUMPRODUCT((Inputs!$A$5:$A$110=$B37)*Inputs!$B$5:$B$110*(((Inputs!$G$5:$G$110="moeda")+(Inputs!$G$5:$G$110="acoes"))*Inputs!$B$1+((Inputs!$G$5:$G$110&lt;&gt;"moeda")*(Inputs!$G$5:$G$110&lt;&gt;"acoes")))*INDEX(Inputs!$K$5:$AJ$110,0,MATCH(AD$2,Inputs!$K$4:$AJ$4,0)))+SUMPRODUCT((Inputs!$C$5:$C$110=$B37)*Inputs!$D$5:$D$110*(((Inputs!$G$5:$G$110="moeda")+(Inputs!$G$5:$G$110="acoes"))*Inputs!$B$1+((Inputs!$G$5:$G$110&lt;&gt;"moeda")*(Inputs!$G$5:$G$110&lt;&gt;"acoes")))*INDEX(Inputs!$K$5:$AJ$110,0,MATCH(AD$2,Inputs!$K$4:$AJ$4,0)))+SUMPRODUCT((Inputs!$E$5:$E$110=$B37)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7" s="267" t="e">
        <f>IF(ISNA(MATCH(AE$2,Inputs!$K$4:$AJ$4,0)),NA(),IF(SUMPRODUCT((Inputs!$A$5:$A$110=$B37)*ISNUMBER(INDEX(Inputs!$K$5:$AJ$110,0,MATCH(AE$2,Inputs!$K$4:$AJ$4,0))))+SUMPRODUCT((Inputs!$C$5:$C$110=$B37)*ISNUMBER(INDEX(Inputs!$K$5:$AJ$110,0,MATCH(AE$2,Inputs!$K$4:$AJ$4,0))))+SUMPRODUCT((Inputs!$E$5:$E$110=$B37)*ISNUMBER(INDEX(Inputs!$K$5:$AJ$110,0,MATCH(AE$2,Inputs!$K$4:$AJ$4,0))))=0,NA(),SUMPRODUCT((Inputs!$A$5:$A$110=$B37)*Inputs!$B$5:$B$110*(((Inputs!$G$5:$G$110="moeda")+(Inputs!$G$5:$G$110="acoes"))*Inputs!$B$1+((Inputs!$G$5:$G$110&lt;&gt;"moeda")*(Inputs!$G$5:$G$110&lt;&gt;"acoes")))*INDEX(Inputs!$K$5:$AJ$110,0,MATCH(AE$2,Inputs!$K$4:$AJ$4,0)))+SUMPRODUCT((Inputs!$C$5:$C$110=$B37)*Inputs!$D$5:$D$110*(((Inputs!$G$5:$G$110="moeda")+(Inputs!$G$5:$G$110="acoes"))*Inputs!$B$1+((Inputs!$G$5:$G$110&lt;&gt;"moeda")*(Inputs!$G$5:$G$110&lt;&gt;"acoes")))*INDEX(Inputs!$K$5:$AJ$110,0,MATCH(AE$2,Inputs!$K$4:$AJ$4,0)))+SUMPRODUCT((Inputs!$E$5:$E$110=$B37)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7" s="267" t="e">
        <f>IF(ISNA(MATCH(AF$2,Inputs!$K$4:$AJ$4,0)),NA(),IF(SUMPRODUCT((Inputs!$A$5:$A$110=$B37)*ISNUMBER(INDEX(Inputs!$K$5:$AJ$110,0,MATCH(AF$2,Inputs!$K$4:$AJ$4,0))))+SUMPRODUCT((Inputs!$C$5:$C$110=$B37)*ISNUMBER(INDEX(Inputs!$K$5:$AJ$110,0,MATCH(AF$2,Inputs!$K$4:$AJ$4,0))))+SUMPRODUCT((Inputs!$E$5:$E$110=$B37)*ISNUMBER(INDEX(Inputs!$K$5:$AJ$110,0,MATCH(AF$2,Inputs!$K$4:$AJ$4,0))))=0,NA(),SUMPRODUCT((Inputs!$A$5:$A$110=$B37)*Inputs!$B$5:$B$110*(((Inputs!$G$5:$G$110="moeda")+(Inputs!$G$5:$G$110="acoes"))*Inputs!$B$1+((Inputs!$G$5:$G$110&lt;&gt;"moeda")*(Inputs!$G$5:$G$110&lt;&gt;"acoes")))*INDEX(Inputs!$K$5:$AJ$110,0,MATCH(AF$2,Inputs!$K$4:$AJ$4,0)))+SUMPRODUCT((Inputs!$C$5:$C$110=$B37)*Inputs!$D$5:$D$110*(((Inputs!$G$5:$G$110="moeda")+(Inputs!$G$5:$G$110="acoes"))*Inputs!$B$1+((Inputs!$G$5:$G$110&lt;&gt;"moeda")*(Inputs!$G$5:$G$110&lt;&gt;"acoes")))*INDEX(Inputs!$K$5:$AJ$110,0,MATCH(AF$2,Inputs!$K$4:$AJ$4,0)))+SUMPRODUCT((Inputs!$E$5:$E$110=$B37)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7" s="268" t="e">
        <f>AF37</f>
        <v>#N/A</v>
      </c>
      <c r="AH37" s="267">
        <f>IF(ISNA(MATCH(AH$2,Inputs!$K$4:$AJ$4,0)),NA(),IF(SUMPRODUCT((Inputs!$A$5:$A$110=$B37)*ISNUMBER(INDEX(Inputs!$K$5:$AJ$110,0,MATCH(AH$2,Inputs!$K$4:$AJ$4,0))))+SUMPRODUCT((Inputs!$C$5:$C$110=$B37)*ISNUMBER(INDEX(Inputs!$K$5:$AJ$110,0,MATCH(AH$2,Inputs!$K$4:$AJ$4,0))))+SUMPRODUCT((Inputs!$E$5:$E$110=$B37)*ISNUMBER(INDEX(Inputs!$K$5:$AJ$110,0,MATCH(AH$2,Inputs!$K$4:$AJ$4,0))))=0,NA(),SUMPRODUCT((Inputs!$A$5:$A$110=$B37)*Inputs!$B$5:$B$110*(((Inputs!$G$5:$G$110="moeda")+(Inputs!$G$5:$G$110="acoes"))*Inputs!$B$1+((Inputs!$G$5:$G$110&lt;&gt;"moeda")*(Inputs!$G$5:$G$110&lt;&gt;"acoes")))*INDEX(Inputs!$K$5:$AJ$110,0,MATCH(AH$2,Inputs!$K$4:$AJ$4,0)))+SUMPRODUCT((Inputs!$C$5:$C$110=$B37)*Inputs!$D$5:$D$110*(((Inputs!$G$5:$G$110="moeda")+(Inputs!$G$5:$G$110="acoes"))*Inputs!$B$1+((Inputs!$G$5:$G$110&lt;&gt;"moeda")*(Inputs!$G$5:$G$110&lt;&gt;"acoes")))*INDEX(Inputs!$K$5:$AJ$110,0,MATCH(AH$2,Inputs!$K$4:$AJ$4,0)))+SUMPRODUCT((Inputs!$E$5:$E$110=$B37)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7" s="267">
        <f>IF(ISNA(MATCH(AI$2,Inputs!$K$4:$AJ$4,0)),NA(),IF(SUMPRODUCT((Inputs!$A$5:$A$110=$B37)*ISNUMBER(INDEX(Inputs!$K$5:$AJ$110,0,MATCH(AI$2,Inputs!$K$4:$AJ$4,0))))+SUMPRODUCT((Inputs!$C$5:$C$110=$B37)*ISNUMBER(INDEX(Inputs!$K$5:$AJ$110,0,MATCH(AI$2,Inputs!$K$4:$AJ$4,0))))+SUMPRODUCT((Inputs!$E$5:$E$110=$B37)*ISNUMBER(INDEX(Inputs!$K$5:$AJ$110,0,MATCH(AI$2,Inputs!$K$4:$AJ$4,0))))=0,NA(),SUMPRODUCT((Inputs!$A$5:$A$110=$B37)*Inputs!$B$5:$B$110*(((Inputs!$G$5:$G$110="moeda")+(Inputs!$G$5:$G$110="acoes"))*Inputs!$B$1+((Inputs!$G$5:$G$110&lt;&gt;"moeda")*(Inputs!$G$5:$G$110&lt;&gt;"acoes")))*INDEX(Inputs!$K$5:$AJ$110,0,MATCH(AI$2,Inputs!$K$4:$AJ$4,0)))+SUMPRODUCT((Inputs!$C$5:$C$110=$B37)*Inputs!$D$5:$D$110*(((Inputs!$G$5:$G$110="moeda")+(Inputs!$G$5:$G$110="acoes"))*Inputs!$B$1+((Inputs!$G$5:$G$110&lt;&gt;"moeda")*(Inputs!$G$5:$G$110&lt;&gt;"acoes")))*INDEX(Inputs!$K$5:$AJ$110,0,MATCH(AI$2,Inputs!$K$4:$AJ$4,0)))+SUMPRODUCT((Inputs!$E$5:$E$110=$B37)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7" s="267">
        <f>IF(ISNA(MATCH(AJ$2,Inputs!$K$4:$AJ$4,0)),NA(),IF(SUMPRODUCT((Inputs!$A$5:$A$110=$B37)*ISNUMBER(INDEX(Inputs!$K$5:$AJ$110,0,MATCH(AJ$2,Inputs!$K$4:$AJ$4,0))))+SUMPRODUCT((Inputs!$C$5:$C$110=$B37)*ISNUMBER(INDEX(Inputs!$K$5:$AJ$110,0,MATCH(AJ$2,Inputs!$K$4:$AJ$4,0))))+SUMPRODUCT((Inputs!$E$5:$E$110=$B37)*ISNUMBER(INDEX(Inputs!$K$5:$AJ$110,0,MATCH(AJ$2,Inputs!$K$4:$AJ$4,0))))=0,NA(),SUMPRODUCT((Inputs!$A$5:$A$110=$B37)*Inputs!$B$5:$B$110*(((Inputs!$G$5:$G$110="moeda")+(Inputs!$G$5:$G$110="acoes"))*Inputs!$B$1+((Inputs!$G$5:$G$110&lt;&gt;"moeda")*(Inputs!$G$5:$G$110&lt;&gt;"acoes")))*INDEX(Inputs!$K$5:$AJ$110,0,MATCH(AJ$2,Inputs!$K$4:$AJ$4,0)))+SUMPRODUCT((Inputs!$C$5:$C$110=$B37)*Inputs!$D$5:$D$110*(((Inputs!$G$5:$G$110="moeda")+(Inputs!$G$5:$G$110="acoes"))*Inputs!$B$1+((Inputs!$G$5:$G$110&lt;&gt;"moeda")*(Inputs!$G$5:$G$110&lt;&gt;"acoes")))*INDEX(Inputs!$K$5:$AJ$110,0,MATCH(AJ$2,Inputs!$K$4:$AJ$4,0)))+SUMPRODUCT((Inputs!$E$5:$E$110=$B37)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7" s="267">
        <f>IF(ISNA(MATCH(AK$2,Inputs!$K$4:$AJ$4,0)),NA(),IF(SUMPRODUCT((Inputs!$A$5:$A$110=$B37)*ISNUMBER(INDEX(Inputs!$K$5:$AJ$110,0,MATCH(AK$2,Inputs!$K$4:$AJ$4,0))))+SUMPRODUCT((Inputs!$C$5:$C$110=$B37)*ISNUMBER(INDEX(Inputs!$K$5:$AJ$110,0,MATCH(AK$2,Inputs!$K$4:$AJ$4,0))))+SUMPRODUCT((Inputs!$E$5:$E$110=$B37)*ISNUMBER(INDEX(Inputs!$K$5:$AJ$110,0,MATCH(AK$2,Inputs!$K$4:$AJ$4,0))))=0,NA(),SUMPRODUCT((Inputs!$A$5:$A$110=$B37)*Inputs!$B$5:$B$110*(((Inputs!$G$5:$G$110="moeda")+(Inputs!$G$5:$G$110="acoes"))*Inputs!$B$1+((Inputs!$G$5:$G$110&lt;&gt;"moeda")*(Inputs!$G$5:$G$110&lt;&gt;"acoes")))*INDEX(Inputs!$K$5:$AJ$110,0,MATCH(AK$2,Inputs!$K$4:$AJ$4,0)))+SUMPRODUCT((Inputs!$C$5:$C$110=$B37)*Inputs!$D$5:$D$110*(((Inputs!$G$5:$G$110="moeda")+(Inputs!$G$5:$G$110="acoes"))*Inputs!$B$1+((Inputs!$G$5:$G$110&lt;&gt;"moeda")*(Inputs!$G$5:$G$110&lt;&gt;"acoes")))*INDEX(Inputs!$K$5:$AJ$110,0,MATCH(AK$2,Inputs!$K$4:$AJ$4,0)))+SUMPRODUCT((Inputs!$E$5:$E$110=$B37)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7" s="268">
        <f>AK37</f>
        <v>0</v>
      </c>
    </row>
    <row r="38" ht="12.75" customHeight="1" s="255">
      <c r="B38" s="265" t="n">
        <v>33</v>
      </c>
      <c r="C38" s="270" t="inlineStr">
        <is>
          <t>Deferred income taxes</t>
        </is>
      </c>
      <c r="D38" s="267">
        <f>IF(ISNA(MATCH(D$2,Inputs!$K$4:$AJ$4,0)),NA(),IF(SUMPRODUCT((Inputs!$A$5:$A$110=$B38)*ISNUMBER(INDEX(Inputs!$K$5:$AJ$110,0,MATCH(D$2,Inputs!$K$4:$AJ$4,0))))+SUMPRODUCT((Inputs!$C$5:$C$110=$B38)*ISNUMBER(INDEX(Inputs!$K$5:$AJ$110,0,MATCH(D$2,Inputs!$K$4:$AJ$4,0))))+SUMPRODUCT((Inputs!$E$5:$E$110=$B38)*ISNUMBER(INDEX(Inputs!$K$5:$AJ$110,0,MATCH(D$2,Inputs!$K$4:$AJ$4,0))))=0,NA(),SUMPRODUCT((Inputs!$A$5:$A$110=$B38)*Inputs!$B$5:$B$110*(((Inputs!$G$5:$G$110="moeda")+(Inputs!$G$5:$G$110="acoes"))*Inputs!$B$1+((Inputs!$G$5:$G$110&lt;&gt;"moeda")*(Inputs!$G$5:$G$110&lt;&gt;"acoes")))*INDEX(Inputs!$K$5:$AJ$110,0,MATCH(D$2,Inputs!$K$4:$AJ$4,0)))+SUMPRODUCT((Inputs!$C$5:$C$110=$B38)*Inputs!$D$5:$D$110*(((Inputs!$G$5:$G$110="moeda")+(Inputs!$G$5:$G$110="acoes"))*Inputs!$B$1+((Inputs!$G$5:$G$110&lt;&gt;"moeda")*(Inputs!$G$5:$G$110&lt;&gt;"acoes")))*INDEX(Inputs!$K$5:$AJ$110,0,MATCH(D$2,Inputs!$K$4:$AJ$4,0)))+SUMPRODUCT((Inputs!$E$5:$E$110=$B38)*Inputs!$F$5:$F$110*(((Inputs!$G$5:$G$110="moeda")+(Inputs!$G$5:$G$110="acoes"))*Inputs!$B$1+((Inputs!$G$5:$G$110&lt;&gt;"moeda")*(Inputs!$G$5:$G$110&lt;&gt;"acoes")))*INDEX(Inputs!$K$5:$AJ$110,0,MATCH(D$2,Inputs!$K$4:$AJ$4,0)))))</f>
        <v>0</v>
      </c>
      <c r="E38" s="267">
        <f>IF(ISNA(MATCH(E$2,Inputs!$K$4:$AJ$4,0)),NA(),IF(SUMPRODUCT((Inputs!$A$5:$A$110=$B38)*ISNUMBER(INDEX(Inputs!$K$5:$AJ$110,0,MATCH(E$2,Inputs!$K$4:$AJ$4,0))))+SUMPRODUCT((Inputs!$C$5:$C$110=$B38)*ISNUMBER(INDEX(Inputs!$K$5:$AJ$110,0,MATCH(E$2,Inputs!$K$4:$AJ$4,0))))+SUMPRODUCT((Inputs!$E$5:$E$110=$B38)*ISNUMBER(INDEX(Inputs!$K$5:$AJ$110,0,MATCH(E$2,Inputs!$K$4:$AJ$4,0))))=0,NA(),SUMPRODUCT((Inputs!$A$5:$A$110=$B38)*Inputs!$B$5:$B$110*(((Inputs!$G$5:$G$110="moeda")+(Inputs!$G$5:$G$110="acoes"))*Inputs!$B$1+((Inputs!$G$5:$G$110&lt;&gt;"moeda")*(Inputs!$G$5:$G$110&lt;&gt;"acoes")))*INDEX(Inputs!$K$5:$AJ$110,0,MATCH(E$2,Inputs!$K$4:$AJ$4,0)))+SUMPRODUCT((Inputs!$C$5:$C$110=$B38)*Inputs!$D$5:$D$110*(((Inputs!$G$5:$G$110="moeda")+(Inputs!$G$5:$G$110="acoes"))*Inputs!$B$1+((Inputs!$G$5:$G$110&lt;&gt;"moeda")*(Inputs!$G$5:$G$110&lt;&gt;"acoes")))*INDEX(Inputs!$K$5:$AJ$110,0,MATCH(E$2,Inputs!$K$4:$AJ$4,0)))+SUMPRODUCT((Inputs!$E$5:$E$110=$B38)*Inputs!$F$5:$F$110*(((Inputs!$G$5:$G$110="moeda")+(Inputs!$G$5:$G$110="acoes"))*Inputs!$B$1+((Inputs!$G$5:$G$110&lt;&gt;"moeda")*(Inputs!$G$5:$G$110&lt;&gt;"acoes")))*INDEX(Inputs!$K$5:$AJ$110,0,MATCH(E$2,Inputs!$K$4:$AJ$4,0)))))</f>
        <v>0</v>
      </c>
      <c r="F38" s="267">
        <f>IF(ISNA(MATCH(F$2,Inputs!$K$4:$AJ$4,0)),NA(),IF(SUMPRODUCT((Inputs!$A$5:$A$110=$B38)*ISNUMBER(INDEX(Inputs!$K$5:$AJ$110,0,MATCH(F$2,Inputs!$K$4:$AJ$4,0))))+SUMPRODUCT((Inputs!$C$5:$C$110=$B38)*ISNUMBER(INDEX(Inputs!$K$5:$AJ$110,0,MATCH(F$2,Inputs!$K$4:$AJ$4,0))))+SUMPRODUCT((Inputs!$E$5:$E$110=$B38)*ISNUMBER(INDEX(Inputs!$K$5:$AJ$110,0,MATCH(F$2,Inputs!$K$4:$AJ$4,0))))=0,NA(),SUMPRODUCT((Inputs!$A$5:$A$110=$B38)*Inputs!$B$5:$B$110*(((Inputs!$G$5:$G$110="moeda")+(Inputs!$G$5:$G$110="acoes"))*Inputs!$B$1+((Inputs!$G$5:$G$110&lt;&gt;"moeda")*(Inputs!$G$5:$G$110&lt;&gt;"acoes")))*INDEX(Inputs!$K$5:$AJ$110,0,MATCH(F$2,Inputs!$K$4:$AJ$4,0)))+SUMPRODUCT((Inputs!$C$5:$C$110=$B38)*Inputs!$D$5:$D$110*(((Inputs!$G$5:$G$110="moeda")+(Inputs!$G$5:$G$110="acoes"))*Inputs!$B$1+((Inputs!$G$5:$G$110&lt;&gt;"moeda")*(Inputs!$G$5:$G$110&lt;&gt;"acoes")))*INDEX(Inputs!$K$5:$AJ$110,0,MATCH(F$2,Inputs!$K$4:$AJ$4,0)))+SUMPRODUCT((Inputs!$E$5:$E$110=$B38)*Inputs!$F$5:$F$110*(((Inputs!$G$5:$G$110="moeda")+(Inputs!$G$5:$G$110="acoes"))*Inputs!$B$1+((Inputs!$G$5:$G$110&lt;&gt;"moeda")*(Inputs!$G$5:$G$110&lt;&gt;"acoes")))*INDEX(Inputs!$K$5:$AJ$110,0,MATCH(F$2,Inputs!$K$4:$AJ$4,0)))))</f>
        <v>0</v>
      </c>
      <c r="G38" s="267">
        <f>IF(ISNA(MATCH(G$2,Inputs!$K$4:$AJ$4,0)),NA(),IF(SUMPRODUCT((Inputs!$A$5:$A$110=$B38)*ISNUMBER(INDEX(Inputs!$K$5:$AJ$110,0,MATCH(G$2,Inputs!$K$4:$AJ$4,0))))+SUMPRODUCT((Inputs!$C$5:$C$110=$B38)*ISNUMBER(INDEX(Inputs!$K$5:$AJ$110,0,MATCH(G$2,Inputs!$K$4:$AJ$4,0))))+SUMPRODUCT((Inputs!$E$5:$E$110=$B38)*ISNUMBER(INDEX(Inputs!$K$5:$AJ$110,0,MATCH(G$2,Inputs!$K$4:$AJ$4,0))))=0,NA(),SUMPRODUCT((Inputs!$A$5:$A$110=$B38)*Inputs!$B$5:$B$110*(((Inputs!$G$5:$G$110="moeda")+(Inputs!$G$5:$G$110="acoes"))*Inputs!$B$1+((Inputs!$G$5:$G$110&lt;&gt;"moeda")*(Inputs!$G$5:$G$110&lt;&gt;"acoes")))*INDEX(Inputs!$K$5:$AJ$110,0,MATCH(G$2,Inputs!$K$4:$AJ$4,0)))+SUMPRODUCT((Inputs!$C$5:$C$110=$B38)*Inputs!$D$5:$D$110*(((Inputs!$G$5:$G$110="moeda")+(Inputs!$G$5:$G$110="acoes"))*Inputs!$B$1+((Inputs!$G$5:$G$110&lt;&gt;"moeda")*(Inputs!$G$5:$G$110&lt;&gt;"acoes")))*INDEX(Inputs!$K$5:$AJ$110,0,MATCH(G$2,Inputs!$K$4:$AJ$4,0)))+SUMPRODUCT((Inputs!$E$5:$E$110=$B38)*Inputs!$F$5:$F$110*(((Inputs!$G$5:$G$110="moeda")+(Inputs!$G$5:$G$110="acoes"))*Inputs!$B$1+((Inputs!$G$5:$G$110&lt;&gt;"moeda")*(Inputs!$G$5:$G$110&lt;&gt;"acoes")))*INDEX(Inputs!$K$5:$AJ$110,0,MATCH(G$2,Inputs!$K$4:$AJ$4,0)))))</f>
        <v>0</v>
      </c>
      <c r="H38" s="268">
        <f>G38</f>
        <v>0</v>
      </c>
      <c r="I38" s="267">
        <f>IF(ISNA(MATCH(I$2,Inputs!$K$4:$AJ$4,0)),NA(),IF(SUMPRODUCT((Inputs!$A$5:$A$110=$B38)*ISNUMBER(INDEX(Inputs!$K$5:$AJ$110,0,MATCH(I$2,Inputs!$K$4:$AJ$4,0))))+SUMPRODUCT((Inputs!$C$5:$C$110=$B38)*ISNUMBER(INDEX(Inputs!$K$5:$AJ$110,0,MATCH(I$2,Inputs!$K$4:$AJ$4,0))))+SUMPRODUCT((Inputs!$E$5:$E$110=$B38)*ISNUMBER(INDEX(Inputs!$K$5:$AJ$110,0,MATCH(I$2,Inputs!$K$4:$AJ$4,0))))=0,NA(),SUMPRODUCT((Inputs!$A$5:$A$110=$B38)*Inputs!$B$5:$B$110*(((Inputs!$G$5:$G$110="moeda")+(Inputs!$G$5:$G$110="acoes"))*Inputs!$B$1+((Inputs!$G$5:$G$110&lt;&gt;"moeda")*(Inputs!$G$5:$G$110&lt;&gt;"acoes")))*INDEX(Inputs!$K$5:$AJ$110,0,MATCH(I$2,Inputs!$K$4:$AJ$4,0)))+SUMPRODUCT((Inputs!$C$5:$C$110=$B38)*Inputs!$D$5:$D$110*(((Inputs!$G$5:$G$110="moeda")+(Inputs!$G$5:$G$110="acoes"))*Inputs!$B$1+((Inputs!$G$5:$G$110&lt;&gt;"moeda")*(Inputs!$G$5:$G$110&lt;&gt;"acoes")))*INDEX(Inputs!$K$5:$AJ$110,0,MATCH(I$2,Inputs!$K$4:$AJ$4,0)))+SUMPRODUCT((Inputs!$E$5:$E$110=$B38)*Inputs!$F$5:$F$110*(((Inputs!$G$5:$G$110="moeda")+(Inputs!$G$5:$G$110="acoes"))*Inputs!$B$1+((Inputs!$G$5:$G$110&lt;&gt;"moeda")*(Inputs!$G$5:$G$110&lt;&gt;"acoes")))*INDEX(Inputs!$K$5:$AJ$110,0,MATCH(I$2,Inputs!$K$4:$AJ$4,0)))))</f>
        <v>0</v>
      </c>
      <c r="J38" s="267">
        <f>IF(ISNA(MATCH(J$2,Inputs!$K$4:$AJ$4,0)),NA(),IF(SUMPRODUCT((Inputs!$A$5:$A$110=$B38)*ISNUMBER(INDEX(Inputs!$K$5:$AJ$110,0,MATCH(J$2,Inputs!$K$4:$AJ$4,0))))+SUMPRODUCT((Inputs!$C$5:$C$110=$B38)*ISNUMBER(INDEX(Inputs!$K$5:$AJ$110,0,MATCH(J$2,Inputs!$K$4:$AJ$4,0))))+SUMPRODUCT((Inputs!$E$5:$E$110=$B38)*ISNUMBER(INDEX(Inputs!$K$5:$AJ$110,0,MATCH(J$2,Inputs!$K$4:$AJ$4,0))))=0,NA(),SUMPRODUCT((Inputs!$A$5:$A$110=$B38)*Inputs!$B$5:$B$110*(((Inputs!$G$5:$G$110="moeda")+(Inputs!$G$5:$G$110="acoes"))*Inputs!$B$1+((Inputs!$G$5:$G$110&lt;&gt;"moeda")*(Inputs!$G$5:$G$110&lt;&gt;"acoes")))*INDEX(Inputs!$K$5:$AJ$110,0,MATCH(J$2,Inputs!$K$4:$AJ$4,0)))+SUMPRODUCT((Inputs!$C$5:$C$110=$B38)*Inputs!$D$5:$D$110*(((Inputs!$G$5:$G$110="moeda")+(Inputs!$G$5:$G$110="acoes"))*Inputs!$B$1+((Inputs!$G$5:$G$110&lt;&gt;"moeda")*(Inputs!$G$5:$G$110&lt;&gt;"acoes")))*INDEX(Inputs!$K$5:$AJ$110,0,MATCH(J$2,Inputs!$K$4:$AJ$4,0)))+SUMPRODUCT((Inputs!$E$5:$E$110=$B38)*Inputs!$F$5:$F$110*(((Inputs!$G$5:$G$110="moeda")+(Inputs!$G$5:$G$110="acoes"))*Inputs!$B$1+((Inputs!$G$5:$G$110&lt;&gt;"moeda")*(Inputs!$G$5:$G$110&lt;&gt;"acoes")))*INDEX(Inputs!$K$5:$AJ$110,0,MATCH(J$2,Inputs!$K$4:$AJ$4,0)))))</f>
        <v>0</v>
      </c>
      <c r="K38" s="267">
        <f>IF(ISNA(MATCH(K$2,Inputs!$K$4:$AJ$4,0)),NA(),IF(SUMPRODUCT((Inputs!$A$5:$A$110=$B38)*ISNUMBER(INDEX(Inputs!$K$5:$AJ$110,0,MATCH(K$2,Inputs!$K$4:$AJ$4,0))))+SUMPRODUCT((Inputs!$C$5:$C$110=$B38)*ISNUMBER(INDEX(Inputs!$K$5:$AJ$110,0,MATCH(K$2,Inputs!$K$4:$AJ$4,0))))+SUMPRODUCT((Inputs!$E$5:$E$110=$B38)*ISNUMBER(INDEX(Inputs!$K$5:$AJ$110,0,MATCH(K$2,Inputs!$K$4:$AJ$4,0))))=0,NA(),SUMPRODUCT((Inputs!$A$5:$A$110=$B38)*Inputs!$B$5:$B$110*(((Inputs!$G$5:$G$110="moeda")+(Inputs!$G$5:$G$110="acoes"))*Inputs!$B$1+((Inputs!$G$5:$G$110&lt;&gt;"moeda")*(Inputs!$G$5:$G$110&lt;&gt;"acoes")))*INDEX(Inputs!$K$5:$AJ$110,0,MATCH(K$2,Inputs!$K$4:$AJ$4,0)))+SUMPRODUCT((Inputs!$C$5:$C$110=$B38)*Inputs!$D$5:$D$110*(((Inputs!$G$5:$G$110="moeda")+(Inputs!$G$5:$G$110="acoes"))*Inputs!$B$1+((Inputs!$G$5:$G$110&lt;&gt;"moeda")*(Inputs!$G$5:$G$110&lt;&gt;"acoes")))*INDEX(Inputs!$K$5:$AJ$110,0,MATCH(K$2,Inputs!$K$4:$AJ$4,0)))+SUMPRODUCT((Inputs!$E$5:$E$110=$B38)*Inputs!$F$5:$F$110*(((Inputs!$G$5:$G$110="moeda")+(Inputs!$G$5:$G$110="acoes"))*Inputs!$B$1+((Inputs!$G$5:$G$110&lt;&gt;"moeda")*(Inputs!$G$5:$G$110&lt;&gt;"acoes")))*INDEX(Inputs!$K$5:$AJ$110,0,MATCH(K$2,Inputs!$K$4:$AJ$4,0)))))</f>
        <v>0</v>
      </c>
      <c r="L38" s="267">
        <f>IF(ISNA(MATCH(L$2,Inputs!$K$4:$AJ$4,0)),NA(),IF(SUMPRODUCT((Inputs!$A$5:$A$110=$B38)*ISNUMBER(INDEX(Inputs!$K$5:$AJ$110,0,MATCH(L$2,Inputs!$K$4:$AJ$4,0))))+SUMPRODUCT((Inputs!$C$5:$C$110=$B38)*ISNUMBER(INDEX(Inputs!$K$5:$AJ$110,0,MATCH(L$2,Inputs!$K$4:$AJ$4,0))))+SUMPRODUCT((Inputs!$E$5:$E$110=$B38)*ISNUMBER(INDEX(Inputs!$K$5:$AJ$110,0,MATCH(L$2,Inputs!$K$4:$AJ$4,0))))=0,NA(),SUMPRODUCT((Inputs!$A$5:$A$110=$B38)*Inputs!$B$5:$B$110*(((Inputs!$G$5:$G$110="moeda")+(Inputs!$G$5:$G$110="acoes"))*Inputs!$B$1+((Inputs!$G$5:$G$110&lt;&gt;"moeda")*(Inputs!$G$5:$G$110&lt;&gt;"acoes")))*INDEX(Inputs!$K$5:$AJ$110,0,MATCH(L$2,Inputs!$K$4:$AJ$4,0)))+SUMPRODUCT((Inputs!$C$5:$C$110=$B38)*Inputs!$D$5:$D$110*(((Inputs!$G$5:$G$110="moeda")+(Inputs!$G$5:$G$110="acoes"))*Inputs!$B$1+((Inputs!$G$5:$G$110&lt;&gt;"moeda")*(Inputs!$G$5:$G$110&lt;&gt;"acoes")))*INDEX(Inputs!$K$5:$AJ$110,0,MATCH(L$2,Inputs!$K$4:$AJ$4,0)))+SUMPRODUCT((Inputs!$E$5:$E$110=$B38)*Inputs!$F$5:$F$110*(((Inputs!$G$5:$G$110="moeda")+(Inputs!$G$5:$G$110="acoes"))*Inputs!$B$1+((Inputs!$G$5:$G$110&lt;&gt;"moeda")*(Inputs!$G$5:$G$110&lt;&gt;"acoes")))*INDEX(Inputs!$K$5:$AJ$110,0,MATCH(L$2,Inputs!$K$4:$AJ$4,0)))))</f>
        <v>0</v>
      </c>
      <c r="M38" s="268">
        <f>L38</f>
        <v>0</v>
      </c>
      <c r="N38" s="267">
        <f>IF(ISNA(MATCH(N$2,Inputs!$K$4:$AJ$4,0)),NA(),IF(SUMPRODUCT((Inputs!$A$5:$A$110=$B38)*ISNUMBER(INDEX(Inputs!$K$5:$AJ$110,0,MATCH(N$2,Inputs!$K$4:$AJ$4,0))))+SUMPRODUCT((Inputs!$C$5:$C$110=$B38)*ISNUMBER(INDEX(Inputs!$K$5:$AJ$110,0,MATCH(N$2,Inputs!$K$4:$AJ$4,0))))+SUMPRODUCT((Inputs!$E$5:$E$110=$B38)*ISNUMBER(INDEX(Inputs!$K$5:$AJ$110,0,MATCH(N$2,Inputs!$K$4:$AJ$4,0))))=0,NA(),SUMPRODUCT((Inputs!$A$5:$A$110=$B38)*Inputs!$B$5:$B$110*(((Inputs!$G$5:$G$110="moeda")+(Inputs!$G$5:$G$110="acoes"))*Inputs!$B$1+((Inputs!$G$5:$G$110&lt;&gt;"moeda")*(Inputs!$G$5:$G$110&lt;&gt;"acoes")))*INDEX(Inputs!$K$5:$AJ$110,0,MATCH(N$2,Inputs!$K$4:$AJ$4,0)))+SUMPRODUCT((Inputs!$C$5:$C$110=$B38)*Inputs!$D$5:$D$110*(((Inputs!$G$5:$G$110="moeda")+(Inputs!$G$5:$G$110="acoes"))*Inputs!$B$1+((Inputs!$G$5:$G$110&lt;&gt;"moeda")*(Inputs!$G$5:$G$110&lt;&gt;"acoes")))*INDEX(Inputs!$K$5:$AJ$110,0,MATCH(N$2,Inputs!$K$4:$AJ$4,0)))+SUMPRODUCT((Inputs!$E$5:$E$110=$B38)*Inputs!$F$5:$F$110*(((Inputs!$G$5:$G$110="moeda")+(Inputs!$G$5:$G$110="acoes"))*Inputs!$B$1+((Inputs!$G$5:$G$110&lt;&gt;"moeda")*(Inputs!$G$5:$G$110&lt;&gt;"acoes")))*INDEX(Inputs!$K$5:$AJ$110,0,MATCH(N$2,Inputs!$K$4:$AJ$4,0)))))</f>
        <v>0</v>
      </c>
      <c r="O38" s="267">
        <f>IF(ISNA(MATCH(O$2,Inputs!$K$4:$AJ$4,0)),NA(),IF(SUMPRODUCT((Inputs!$A$5:$A$110=$B38)*ISNUMBER(INDEX(Inputs!$K$5:$AJ$110,0,MATCH(O$2,Inputs!$K$4:$AJ$4,0))))+SUMPRODUCT((Inputs!$C$5:$C$110=$B38)*ISNUMBER(INDEX(Inputs!$K$5:$AJ$110,0,MATCH(O$2,Inputs!$K$4:$AJ$4,0))))+SUMPRODUCT((Inputs!$E$5:$E$110=$B38)*ISNUMBER(INDEX(Inputs!$K$5:$AJ$110,0,MATCH(O$2,Inputs!$K$4:$AJ$4,0))))=0,NA(),SUMPRODUCT((Inputs!$A$5:$A$110=$B38)*Inputs!$B$5:$B$110*(((Inputs!$G$5:$G$110="moeda")+(Inputs!$G$5:$G$110="acoes"))*Inputs!$B$1+((Inputs!$G$5:$G$110&lt;&gt;"moeda")*(Inputs!$G$5:$G$110&lt;&gt;"acoes")))*INDEX(Inputs!$K$5:$AJ$110,0,MATCH(O$2,Inputs!$K$4:$AJ$4,0)))+SUMPRODUCT((Inputs!$C$5:$C$110=$B38)*Inputs!$D$5:$D$110*(((Inputs!$G$5:$G$110="moeda")+(Inputs!$G$5:$G$110="acoes"))*Inputs!$B$1+((Inputs!$G$5:$G$110&lt;&gt;"moeda")*(Inputs!$G$5:$G$110&lt;&gt;"acoes")))*INDEX(Inputs!$K$5:$AJ$110,0,MATCH(O$2,Inputs!$K$4:$AJ$4,0)))+SUMPRODUCT((Inputs!$E$5:$E$110=$B38)*Inputs!$F$5:$F$110*(((Inputs!$G$5:$G$110="moeda")+(Inputs!$G$5:$G$110="acoes"))*Inputs!$B$1+((Inputs!$G$5:$G$110&lt;&gt;"moeda")*(Inputs!$G$5:$G$110&lt;&gt;"acoes")))*INDEX(Inputs!$K$5:$AJ$110,0,MATCH(O$2,Inputs!$K$4:$AJ$4,0)))))</f>
        <v>0</v>
      </c>
      <c r="P38" s="267">
        <f>IF(ISNA(MATCH(P$2,Inputs!$K$4:$AJ$4,0)),NA(),IF(SUMPRODUCT((Inputs!$A$5:$A$110=$B38)*ISNUMBER(INDEX(Inputs!$K$5:$AJ$110,0,MATCH(P$2,Inputs!$K$4:$AJ$4,0))))+SUMPRODUCT((Inputs!$C$5:$C$110=$B38)*ISNUMBER(INDEX(Inputs!$K$5:$AJ$110,0,MATCH(P$2,Inputs!$K$4:$AJ$4,0))))+SUMPRODUCT((Inputs!$E$5:$E$110=$B38)*ISNUMBER(INDEX(Inputs!$K$5:$AJ$110,0,MATCH(P$2,Inputs!$K$4:$AJ$4,0))))=0,NA(),SUMPRODUCT((Inputs!$A$5:$A$110=$B38)*Inputs!$B$5:$B$110*(((Inputs!$G$5:$G$110="moeda")+(Inputs!$G$5:$G$110="acoes"))*Inputs!$B$1+((Inputs!$G$5:$G$110&lt;&gt;"moeda")*(Inputs!$G$5:$G$110&lt;&gt;"acoes")))*INDEX(Inputs!$K$5:$AJ$110,0,MATCH(P$2,Inputs!$K$4:$AJ$4,0)))+SUMPRODUCT((Inputs!$C$5:$C$110=$B38)*Inputs!$D$5:$D$110*(((Inputs!$G$5:$G$110="moeda")+(Inputs!$G$5:$G$110="acoes"))*Inputs!$B$1+((Inputs!$G$5:$G$110&lt;&gt;"moeda")*(Inputs!$G$5:$G$110&lt;&gt;"acoes")))*INDEX(Inputs!$K$5:$AJ$110,0,MATCH(P$2,Inputs!$K$4:$AJ$4,0)))+SUMPRODUCT((Inputs!$E$5:$E$110=$B38)*Inputs!$F$5:$F$110*(((Inputs!$G$5:$G$110="moeda")+(Inputs!$G$5:$G$110="acoes"))*Inputs!$B$1+((Inputs!$G$5:$G$110&lt;&gt;"moeda")*(Inputs!$G$5:$G$110&lt;&gt;"acoes")))*INDEX(Inputs!$K$5:$AJ$110,0,MATCH(P$2,Inputs!$K$4:$AJ$4,0)))))</f>
        <v>0</v>
      </c>
      <c r="Q38" s="267">
        <f>IF(ISNA(MATCH(Q$2,Inputs!$K$4:$AJ$4,0)),NA(),IF(SUMPRODUCT((Inputs!$A$5:$A$110=$B38)*ISNUMBER(INDEX(Inputs!$K$5:$AJ$110,0,MATCH(Q$2,Inputs!$K$4:$AJ$4,0))))+SUMPRODUCT((Inputs!$C$5:$C$110=$B38)*ISNUMBER(INDEX(Inputs!$K$5:$AJ$110,0,MATCH(Q$2,Inputs!$K$4:$AJ$4,0))))+SUMPRODUCT((Inputs!$E$5:$E$110=$B38)*ISNUMBER(INDEX(Inputs!$K$5:$AJ$110,0,MATCH(Q$2,Inputs!$K$4:$AJ$4,0))))=0,NA(),SUMPRODUCT((Inputs!$A$5:$A$110=$B38)*Inputs!$B$5:$B$110*(((Inputs!$G$5:$G$110="moeda")+(Inputs!$G$5:$G$110="acoes"))*Inputs!$B$1+((Inputs!$G$5:$G$110&lt;&gt;"moeda")*(Inputs!$G$5:$G$110&lt;&gt;"acoes")))*INDEX(Inputs!$K$5:$AJ$110,0,MATCH(Q$2,Inputs!$K$4:$AJ$4,0)))+SUMPRODUCT((Inputs!$C$5:$C$110=$B38)*Inputs!$D$5:$D$110*(((Inputs!$G$5:$G$110="moeda")+(Inputs!$G$5:$G$110="acoes"))*Inputs!$B$1+((Inputs!$G$5:$G$110&lt;&gt;"moeda")*(Inputs!$G$5:$G$110&lt;&gt;"acoes")))*INDEX(Inputs!$K$5:$AJ$110,0,MATCH(Q$2,Inputs!$K$4:$AJ$4,0)))+SUMPRODUCT((Inputs!$E$5:$E$110=$B38)*Inputs!$F$5:$F$110*(((Inputs!$G$5:$G$110="moeda")+(Inputs!$G$5:$G$110="acoes"))*Inputs!$B$1+((Inputs!$G$5:$G$110&lt;&gt;"moeda")*(Inputs!$G$5:$G$110&lt;&gt;"acoes")))*INDEX(Inputs!$K$5:$AJ$110,0,MATCH(Q$2,Inputs!$K$4:$AJ$4,0)))))</f>
        <v>0</v>
      </c>
      <c r="R38" s="268">
        <f>Q38</f>
        <v>0</v>
      </c>
      <c r="S38" s="267">
        <f>IF(ISNA(MATCH(S$2,Inputs!$K$4:$AJ$4,0)),NA(),IF(SUMPRODUCT((Inputs!$A$5:$A$110=$B38)*ISNUMBER(INDEX(Inputs!$K$5:$AJ$110,0,MATCH(S$2,Inputs!$K$4:$AJ$4,0))))+SUMPRODUCT((Inputs!$C$5:$C$110=$B38)*ISNUMBER(INDEX(Inputs!$K$5:$AJ$110,0,MATCH(S$2,Inputs!$K$4:$AJ$4,0))))+SUMPRODUCT((Inputs!$E$5:$E$110=$B38)*ISNUMBER(INDEX(Inputs!$K$5:$AJ$110,0,MATCH(S$2,Inputs!$K$4:$AJ$4,0))))=0,NA(),SUMPRODUCT((Inputs!$A$5:$A$110=$B38)*Inputs!$B$5:$B$110*(((Inputs!$G$5:$G$110="moeda")+(Inputs!$G$5:$G$110="acoes"))*Inputs!$B$1+((Inputs!$G$5:$G$110&lt;&gt;"moeda")*(Inputs!$G$5:$G$110&lt;&gt;"acoes")))*INDEX(Inputs!$K$5:$AJ$110,0,MATCH(S$2,Inputs!$K$4:$AJ$4,0)))+SUMPRODUCT((Inputs!$C$5:$C$110=$B38)*Inputs!$D$5:$D$110*(((Inputs!$G$5:$G$110="moeda")+(Inputs!$G$5:$G$110="acoes"))*Inputs!$B$1+((Inputs!$G$5:$G$110&lt;&gt;"moeda")*(Inputs!$G$5:$G$110&lt;&gt;"acoes")))*INDEX(Inputs!$K$5:$AJ$110,0,MATCH(S$2,Inputs!$K$4:$AJ$4,0)))+SUMPRODUCT((Inputs!$E$5:$E$110=$B38)*Inputs!$F$5:$F$110*(((Inputs!$G$5:$G$110="moeda")+(Inputs!$G$5:$G$110="acoes"))*Inputs!$B$1+((Inputs!$G$5:$G$110&lt;&gt;"moeda")*(Inputs!$G$5:$G$110&lt;&gt;"acoes")))*INDEX(Inputs!$K$5:$AJ$110,0,MATCH(S$2,Inputs!$K$4:$AJ$4,0)))))</f>
        <v>0</v>
      </c>
      <c r="T38" s="267">
        <f>IF(ISNA(MATCH(T$2,Inputs!$K$4:$AJ$4,0)),NA(),IF(SUMPRODUCT((Inputs!$A$5:$A$110=$B38)*ISNUMBER(INDEX(Inputs!$K$5:$AJ$110,0,MATCH(T$2,Inputs!$K$4:$AJ$4,0))))+SUMPRODUCT((Inputs!$C$5:$C$110=$B38)*ISNUMBER(INDEX(Inputs!$K$5:$AJ$110,0,MATCH(T$2,Inputs!$K$4:$AJ$4,0))))+SUMPRODUCT((Inputs!$E$5:$E$110=$B38)*ISNUMBER(INDEX(Inputs!$K$5:$AJ$110,0,MATCH(T$2,Inputs!$K$4:$AJ$4,0))))=0,NA(),SUMPRODUCT((Inputs!$A$5:$A$110=$B38)*Inputs!$B$5:$B$110*(((Inputs!$G$5:$G$110="moeda")+(Inputs!$G$5:$G$110="acoes"))*Inputs!$B$1+((Inputs!$G$5:$G$110&lt;&gt;"moeda")*(Inputs!$G$5:$G$110&lt;&gt;"acoes")))*INDEX(Inputs!$K$5:$AJ$110,0,MATCH(T$2,Inputs!$K$4:$AJ$4,0)))+SUMPRODUCT((Inputs!$C$5:$C$110=$B38)*Inputs!$D$5:$D$110*(((Inputs!$G$5:$G$110="moeda")+(Inputs!$G$5:$G$110="acoes"))*Inputs!$B$1+((Inputs!$G$5:$G$110&lt;&gt;"moeda")*(Inputs!$G$5:$G$110&lt;&gt;"acoes")))*INDEX(Inputs!$K$5:$AJ$110,0,MATCH(T$2,Inputs!$K$4:$AJ$4,0)))+SUMPRODUCT((Inputs!$E$5:$E$110=$B38)*Inputs!$F$5:$F$110*(((Inputs!$G$5:$G$110="moeda")+(Inputs!$G$5:$G$110="acoes"))*Inputs!$B$1+((Inputs!$G$5:$G$110&lt;&gt;"moeda")*(Inputs!$G$5:$G$110&lt;&gt;"acoes")))*INDEX(Inputs!$K$5:$AJ$110,0,MATCH(T$2,Inputs!$K$4:$AJ$4,0)))))</f>
        <v>0</v>
      </c>
      <c r="U38" s="267">
        <f>IF(ISNA(MATCH(U$2,Inputs!$K$4:$AJ$4,0)),NA(),IF(SUMPRODUCT((Inputs!$A$5:$A$110=$B38)*ISNUMBER(INDEX(Inputs!$K$5:$AJ$110,0,MATCH(U$2,Inputs!$K$4:$AJ$4,0))))+SUMPRODUCT((Inputs!$C$5:$C$110=$B38)*ISNUMBER(INDEX(Inputs!$K$5:$AJ$110,0,MATCH(U$2,Inputs!$K$4:$AJ$4,0))))+SUMPRODUCT((Inputs!$E$5:$E$110=$B38)*ISNUMBER(INDEX(Inputs!$K$5:$AJ$110,0,MATCH(U$2,Inputs!$K$4:$AJ$4,0))))=0,NA(),SUMPRODUCT((Inputs!$A$5:$A$110=$B38)*Inputs!$B$5:$B$110*(((Inputs!$G$5:$G$110="moeda")+(Inputs!$G$5:$G$110="acoes"))*Inputs!$B$1+((Inputs!$G$5:$G$110&lt;&gt;"moeda")*(Inputs!$G$5:$G$110&lt;&gt;"acoes")))*INDEX(Inputs!$K$5:$AJ$110,0,MATCH(U$2,Inputs!$K$4:$AJ$4,0)))+SUMPRODUCT((Inputs!$C$5:$C$110=$B38)*Inputs!$D$5:$D$110*(((Inputs!$G$5:$G$110="moeda")+(Inputs!$G$5:$G$110="acoes"))*Inputs!$B$1+((Inputs!$G$5:$G$110&lt;&gt;"moeda")*(Inputs!$G$5:$G$110&lt;&gt;"acoes")))*INDEX(Inputs!$K$5:$AJ$110,0,MATCH(U$2,Inputs!$K$4:$AJ$4,0)))+SUMPRODUCT((Inputs!$E$5:$E$110=$B38)*Inputs!$F$5:$F$110*(((Inputs!$G$5:$G$110="moeda")+(Inputs!$G$5:$G$110="acoes"))*Inputs!$B$1+((Inputs!$G$5:$G$110&lt;&gt;"moeda")*(Inputs!$G$5:$G$110&lt;&gt;"acoes")))*INDEX(Inputs!$K$5:$AJ$110,0,MATCH(U$2,Inputs!$K$4:$AJ$4,0)))))</f>
        <v>0</v>
      </c>
      <c r="V38" s="267">
        <f>IF(ISNA(MATCH(V$2,Inputs!$K$4:$AJ$4,0)),NA(),IF(SUMPRODUCT((Inputs!$A$5:$A$110=$B38)*ISNUMBER(INDEX(Inputs!$K$5:$AJ$110,0,MATCH(V$2,Inputs!$K$4:$AJ$4,0))))+SUMPRODUCT((Inputs!$C$5:$C$110=$B38)*ISNUMBER(INDEX(Inputs!$K$5:$AJ$110,0,MATCH(V$2,Inputs!$K$4:$AJ$4,0))))+SUMPRODUCT((Inputs!$E$5:$E$110=$B38)*ISNUMBER(INDEX(Inputs!$K$5:$AJ$110,0,MATCH(V$2,Inputs!$K$4:$AJ$4,0))))=0,NA(),SUMPRODUCT((Inputs!$A$5:$A$110=$B38)*Inputs!$B$5:$B$110*(((Inputs!$G$5:$G$110="moeda")+(Inputs!$G$5:$G$110="acoes"))*Inputs!$B$1+((Inputs!$G$5:$G$110&lt;&gt;"moeda")*(Inputs!$G$5:$G$110&lt;&gt;"acoes")))*INDEX(Inputs!$K$5:$AJ$110,0,MATCH(V$2,Inputs!$K$4:$AJ$4,0)))+SUMPRODUCT((Inputs!$C$5:$C$110=$B38)*Inputs!$D$5:$D$110*(((Inputs!$G$5:$G$110="moeda")+(Inputs!$G$5:$G$110="acoes"))*Inputs!$B$1+((Inputs!$G$5:$G$110&lt;&gt;"moeda")*(Inputs!$G$5:$G$110&lt;&gt;"acoes")))*INDEX(Inputs!$K$5:$AJ$110,0,MATCH(V$2,Inputs!$K$4:$AJ$4,0)))+SUMPRODUCT((Inputs!$E$5:$E$110=$B38)*Inputs!$F$5:$F$110*(((Inputs!$G$5:$G$110="moeda")+(Inputs!$G$5:$G$110="acoes"))*Inputs!$B$1+((Inputs!$G$5:$G$110&lt;&gt;"moeda")*(Inputs!$G$5:$G$110&lt;&gt;"acoes")))*INDEX(Inputs!$K$5:$AJ$110,0,MATCH(V$2,Inputs!$K$4:$AJ$4,0)))))</f>
        <v>0</v>
      </c>
      <c r="W38" s="268">
        <f>V38</f>
        <v>0</v>
      </c>
      <c r="X38" s="267">
        <f>IF(ISNA(MATCH(X$2,Inputs!$K$4:$AJ$4,0)),NA(),IF(SUMPRODUCT((Inputs!$A$5:$A$110=$B38)*ISNUMBER(INDEX(Inputs!$K$5:$AJ$110,0,MATCH(X$2,Inputs!$K$4:$AJ$4,0))))+SUMPRODUCT((Inputs!$C$5:$C$110=$B38)*ISNUMBER(INDEX(Inputs!$K$5:$AJ$110,0,MATCH(X$2,Inputs!$K$4:$AJ$4,0))))+SUMPRODUCT((Inputs!$E$5:$E$110=$B38)*ISNUMBER(INDEX(Inputs!$K$5:$AJ$110,0,MATCH(X$2,Inputs!$K$4:$AJ$4,0))))=0,NA(),SUMPRODUCT((Inputs!$A$5:$A$110=$B38)*Inputs!$B$5:$B$110*(((Inputs!$G$5:$G$110="moeda")+(Inputs!$G$5:$G$110="acoes"))*Inputs!$B$1+((Inputs!$G$5:$G$110&lt;&gt;"moeda")*(Inputs!$G$5:$G$110&lt;&gt;"acoes")))*INDEX(Inputs!$K$5:$AJ$110,0,MATCH(X$2,Inputs!$K$4:$AJ$4,0)))+SUMPRODUCT((Inputs!$C$5:$C$110=$B38)*Inputs!$D$5:$D$110*(((Inputs!$G$5:$G$110="moeda")+(Inputs!$G$5:$G$110="acoes"))*Inputs!$B$1+((Inputs!$G$5:$G$110&lt;&gt;"moeda")*(Inputs!$G$5:$G$110&lt;&gt;"acoes")))*INDEX(Inputs!$K$5:$AJ$110,0,MATCH(X$2,Inputs!$K$4:$AJ$4,0)))+SUMPRODUCT((Inputs!$E$5:$E$110=$B38)*Inputs!$F$5:$F$110*(((Inputs!$G$5:$G$110="moeda")+(Inputs!$G$5:$G$110="acoes"))*Inputs!$B$1+((Inputs!$G$5:$G$110&lt;&gt;"moeda")*(Inputs!$G$5:$G$110&lt;&gt;"acoes")))*INDEX(Inputs!$K$5:$AJ$110,0,MATCH(X$2,Inputs!$K$4:$AJ$4,0)))))</f>
        <v>0</v>
      </c>
      <c r="Y38" s="267">
        <f>IF(ISNA(MATCH(Y$2,Inputs!$K$4:$AJ$4,0)),NA(),IF(SUMPRODUCT((Inputs!$A$5:$A$110=$B38)*ISNUMBER(INDEX(Inputs!$K$5:$AJ$110,0,MATCH(Y$2,Inputs!$K$4:$AJ$4,0))))+SUMPRODUCT((Inputs!$C$5:$C$110=$B38)*ISNUMBER(INDEX(Inputs!$K$5:$AJ$110,0,MATCH(Y$2,Inputs!$K$4:$AJ$4,0))))+SUMPRODUCT((Inputs!$E$5:$E$110=$B38)*ISNUMBER(INDEX(Inputs!$K$5:$AJ$110,0,MATCH(Y$2,Inputs!$K$4:$AJ$4,0))))=0,NA(),SUMPRODUCT((Inputs!$A$5:$A$110=$B38)*Inputs!$B$5:$B$110*(((Inputs!$G$5:$G$110="moeda")+(Inputs!$G$5:$G$110="acoes"))*Inputs!$B$1+((Inputs!$G$5:$G$110&lt;&gt;"moeda")*(Inputs!$G$5:$G$110&lt;&gt;"acoes")))*INDEX(Inputs!$K$5:$AJ$110,0,MATCH(Y$2,Inputs!$K$4:$AJ$4,0)))+SUMPRODUCT((Inputs!$C$5:$C$110=$B38)*Inputs!$D$5:$D$110*(((Inputs!$G$5:$G$110="moeda")+(Inputs!$G$5:$G$110="acoes"))*Inputs!$B$1+((Inputs!$G$5:$G$110&lt;&gt;"moeda")*(Inputs!$G$5:$G$110&lt;&gt;"acoes")))*INDEX(Inputs!$K$5:$AJ$110,0,MATCH(Y$2,Inputs!$K$4:$AJ$4,0)))+SUMPRODUCT((Inputs!$E$5:$E$110=$B38)*Inputs!$F$5:$F$110*(((Inputs!$G$5:$G$110="moeda")+(Inputs!$G$5:$G$110="acoes"))*Inputs!$B$1+((Inputs!$G$5:$G$110&lt;&gt;"moeda")*(Inputs!$G$5:$G$110&lt;&gt;"acoes")))*INDEX(Inputs!$K$5:$AJ$110,0,MATCH(Y$2,Inputs!$K$4:$AJ$4,0)))))</f>
        <v>0</v>
      </c>
      <c r="Z38" s="267">
        <f>IF(ISNA(MATCH(Z$2,Inputs!$K$4:$AJ$4,0)),NA(),IF(SUMPRODUCT((Inputs!$A$5:$A$110=$B38)*ISNUMBER(INDEX(Inputs!$K$5:$AJ$110,0,MATCH(Z$2,Inputs!$K$4:$AJ$4,0))))+SUMPRODUCT((Inputs!$C$5:$C$110=$B38)*ISNUMBER(INDEX(Inputs!$K$5:$AJ$110,0,MATCH(Z$2,Inputs!$K$4:$AJ$4,0))))+SUMPRODUCT((Inputs!$E$5:$E$110=$B38)*ISNUMBER(INDEX(Inputs!$K$5:$AJ$110,0,MATCH(Z$2,Inputs!$K$4:$AJ$4,0))))=0,NA(),SUMPRODUCT((Inputs!$A$5:$A$110=$B38)*Inputs!$B$5:$B$110*(((Inputs!$G$5:$G$110="moeda")+(Inputs!$G$5:$G$110="acoes"))*Inputs!$B$1+((Inputs!$G$5:$G$110&lt;&gt;"moeda")*(Inputs!$G$5:$G$110&lt;&gt;"acoes")))*INDEX(Inputs!$K$5:$AJ$110,0,MATCH(Z$2,Inputs!$K$4:$AJ$4,0)))+SUMPRODUCT((Inputs!$C$5:$C$110=$B38)*Inputs!$D$5:$D$110*(((Inputs!$G$5:$G$110="moeda")+(Inputs!$G$5:$G$110="acoes"))*Inputs!$B$1+((Inputs!$G$5:$G$110&lt;&gt;"moeda")*(Inputs!$G$5:$G$110&lt;&gt;"acoes")))*INDEX(Inputs!$K$5:$AJ$110,0,MATCH(Z$2,Inputs!$K$4:$AJ$4,0)))+SUMPRODUCT((Inputs!$E$5:$E$110=$B38)*Inputs!$F$5:$F$110*(((Inputs!$G$5:$G$110="moeda")+(Inputs!$G$5:$G$110="acoes"))*Inputs!$B$1+((Inputs!$G$5:$G$110&lt;&gt;"moeda")*(Inputs!$G$5:$G$110&lt;&gt;"acoes")))*INDEX(Inputs!$K$5:$AJ$110,0,MATCH(Z$2,Inputs!$K$4:$AJ$4,0)))))</f>
        <v>0</v>
      </c>
      <c r="AA38" s="267">
        <f>IF(ISNA(MATCH(AA$2,Inputs!$K$4:$AJ$4,0)),NA(),IF(SUMPRODUCT((Inputs!$A$5:$A$110=$B38)*ISNUMBER(INDEX(Inputs!$K$5:$AJ$110,0,MATCH(AA$2,Inputs!$K$4:$AJ$4,0))))+SUMPRODUCT((Inputs!$C$5:$C$110=$B38)*ISNUMBER(INDEX(Inputs!$K$5:$AJ$110,0,MATCH(AA$2,Inputs!$K$4:$AJ$4,0))))+SUMPRODUCT((Inputs!$E$5:$E$110=$B38)*ISNUMBER(INDEX(Inputs!$K$5:$AJ$110,0,MATCH(AA$2,Inputs!$K$4:$AJ$4,0))))=0,NA(),SUMPRODUCT((Inputs!$A$5:$A$110=$B38)*Inputs!$B$5:$B$110*(((Inputs!$G$5:$G$110="moeda")+(Inputs!$G$5:$G$110="acoes"))*Inputs!$B$1+((Inputs!$G$5:$G$110&lt;&gt;"moeda")*(Inputs!$G$5:$G$110&lt;&gt;"acoes")))*INDEX(Inputs!$K$5:$AJ$110,0,MATCH(AA$2,Inputs!$K$4:$AJ$4,0)))+SUMPRODUCT((Inputs!$C$5:$C$110=$B38)*Inputs!$D$5:$D$110*(((Inputs!$G$5:$G$110="moeda")+(Inputs!$G$5:$G$110="acoes"))*Inputs!$B$1+((Inputs!$G$5:$G$110&lt;&gt;"moeda")*(Inputs!$G$5:$G$110&lt;&gt;"acoes")))*INDEX(Inputs!$K$5:$AJ$110,0,MATCH(AA$2,Inputs!$K$4:$AJ$4,0)))+SUMPRODUCT((Inputs!$E$5:$E$110=$B38)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8" s="268">
        <f>AA38</f>
        <v>0</v>
      </c>
      <c r="AC38" s="267">
        <f>IF(ISNA(MATCH(AC$2,Inputs!$K$4:$AJ$4,0)),NA(),IF(SUMPRODUCT((Inputs!$A$5:$A$110=$B38)*ISNUMBER(INDEX(Inputs!$K$5:$AJ$110,0,MATCH(AC$2,Inputs!$K$4:$AJ$4,0))))+SUMPRODUCT((Inputs!$C$5:$C$110=$B38)*ISNUMBER(INDEX(Inputs!$K$5:$AJ$110,0,MATCH(AC$2,Inputs!$K$4:$AJ$4,0))))+SUMPRODUCT((Inputs!$E$5:$E$110=$B38)*ISNUMBER(INDEX(Inputs!$K$5:$AJ$110,0,MATCH(AC$2,Inputs!$K$4:$AJ$4,0))))=0,NA(),SUMPRODUCT((Inputs!$A$5:$A$110=$B38)*Inputs!$B$5:$B$110*(((Inputs!$G$5:$G$110="moeda")+(Inputs!$G$5:$G$110="acoes"))*Inputs!$B$1+((Inputs!$G$5:$G$110&lt;&gt;"moeda")*(Inputs!$G$5:$G$110&lt;&gt;"acoes")))*INDEX(Inputs!$K$5:$AJ$110,0,MATCH(AC$2,Inputs!$K$4:$AJ$4,0)))+SUMPRODUCT((Inputs!$C$5:$C$110=$B38)*Inputs!$D$5:$D$110*(((Inputs!$G$5:$G$110="moeda")+(Inputs!$G$5:$G$110="acoes"))*Inputs!$B$1+((Inputs!$G$5:$G$110&lt;&gt;"moeda")*(Inputs!$G$5:$G$110&lt;&gt;"acoes")))*INDEX(Inputs!$K$5:$AJ$110,0,MATCH(AC$2,Inputs!$K$4:$AJ$4,0)))+SUMPRODUCT((Inputs!$E$5:$E$110=$B38)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8" s="267">
        <f>IF(ISNA(MATCH(AD$2,Inputs!$K$4:$AJ$4,0)),NA(),IF(SUMPRODUCT((Inputs!$A$5:$A$110=$B38)*ISNUMBER(INDEX(Inputs!$K$5:$AJ$110,0,MATCH(AD$2,Inputs!$K$4:$AJ$4,0))))+SUMPRODUCT((Inputs!$C$5:$C$110=$B38)*ISNUMBER(INDEX(Inputs!$K$5:$AJ$110,0,MATCH(AD$2,Inputs!$K$4:$AJ$4,0))))+SUMPRODUCT((Inputs!$E$5:$E$110=$B38)*ISNUMBER(INDEX(Inputs!$K$5:$AJ$110,0,MATCH(AD$2,Inputs!$K$4:$AJ$4,0))))=0,NA(),SUMPRODUCT((Inputs!$A$5:$A$110=$B38)*Inputs!$B$5:$B$110*(((Inputs!$G$5:$G$110="moeda")+(Inputs!$G$5:$G$110="acoes"))*Inputs!$B$1+((Inputs!$G$5:$G$110&lt;&gt;"moeda")*(Inputs!$G$5:$G$110&lt;&gt;"acoes")))*INDEX(Inputs!$K$5:$AJ$110,0,MATCH(AD$2,Inputs!$K$4:$AJ$4,0)))+SUMPRODUCT((Inputs!$C$5:$C$110=$B38)*Inputs!$D$5:$D$110*(((Inputs!$G$5:$G$110="moeda")+(Inputs!$G$5:$G$110="acoes"))*Inputs!$B$1+((Inputs!$G$5:$G$110&lt;&gt;"moeda")*(Inputs!$G$5:$G$110&lt;&gt;"acoes")))*INDEX(Inputs!$K$5:$AJ$110,0,MATCH(AD$2,Inputs!$K$4:$AJ$4,0)))+SUMPRODUCT((Inputs!$E$5:$E$110=$B38)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8" s="267" t="e">
        <f>IF(ISNA(MATCH(AE$2,Inputs!$K$4:$AJ$4,0)),NA(),IF(SUMPRODUCT((Inputs!$A$5:$A$110=$B38)*ISNUMBER(INDEX(Inputs!$K$5:$AJ$110,0,MATCH(AE$2,Inputs!$K$4:$AJ$4,0))))+SUMPRODUCT((Inputs!$C$5:$C$110=$B38)*ISNUMBER(INDEX(Inputs!$K$5:$AJ$110,0,MATCH(AE$2,Inputs!$K$4:$AJ$4,0))))+SUMPRODUCT((Inputs!$E$5:$E$110=$B38)*ISNUMBER(INDEX(Inputs!$K$5:$AJ$110,0,MATCH(AE$2,Inputs!$K$4:$AJ$4,0))))=0,NA(),SUMPRODUCT((Inputs!$A$5:$A$110=$B38)*Inputs!$B$5:$B$110*(((Inputs!$G$5:$G$110="moeda")+(Inputs!$G$5:$G$110="acoes"))*Inputs!$B$1+((Inputs!$G$5:$G$110&lt;&gt;"moeda")*(Inputs!$G$5:$G$110&lt;&gt;"acoes")))*INDEX(Inputs!$K$5:$AJ$110,0,MATCH(AE$2,Inputs!$K$4:$AJ$4,0)))+SUMPRODUCT((Inputs!$C$5:$C$110=$B38)*Inputs!$D$5:$D$110*(((Inputs!$G$5:$G$110="moeda")+(Inputs!$G$5:$G$110="acoes"))*Inputs!$B$1+((Inputs!$G$5:$G$110&lt;&gt;"moeda")*(Inputs!$G$5:$G$110&lt;&gt;"acoes")))*INDEX(Inputs!$K$5:$AJ$110,0,MATCH(AE$2,Inputs!$K$4:$AJ$4,0)))+SUMPRODUCT((Inputs!$E$5:$E$110=$B38)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8" s="267" t="e">
        <f>IF(ISNA(MATCH(AF$2,Inputs!$K$4:$AJ$4,0)),NA(),IF(SUMPRODUCT((Inputs!$A$5:$A$110=$B38)*ISNUMBER(INDEX(Inputs!$K$5:$AJ$110,0,MATCH(AF$2,Inputs!$K$4:$AJ$4,0))))+SUMPRODUCT((Inputs!$C$5:$C$110=$B38)*ISNUMBER(INDEX(Inputs!$K$5:$AJ$110,0,MATCH(AF$2,Inputs!$K$4:$AJ$4,0))))+SUMPRODUCT((Inputs!$E$5:$E$110=$B38)*ISNUMBER(INDEX(Inputs!$K$5:$AJ$110,0,MATCH(AF$2,Inputs!$K$4:$AJ$4,0))))=0,NA(),SUMPRODUCT((Inputs!$A$5:$A$110=$B38)*Inputs!$B$5:$B$110*(((Inputs!$G$5:$G$110="moeda")+(Inputs!$G$5:$G$110="acoes"))*Inputs!$B$1+((Inputs!$G$5:$G$110&lt;&gt;"moeda")*(Inputs!$G$5:$G$110&lt;&gt;"acoes")))*INDEX(Inputs!$K$5:$AJ$110,0,MATCH(AF$2,Inputs!$K$4:$AJ$4,0)))+SUMPRODUCT((Inputs!$C$5:$C$110=$B38)*Inputs!$D$5:$D$110*(((Inputs!$G$5:$G$110="moeda")+(Inputs!$G$5:$G$110="acoes"))*Inputs!$B$1+((Inputs!$G$5:$G$110&lt;&gt;"moeda")*(Inputs!$G$5:$G$110&lt;&gt;"acoes")))*INDEX(Inputs!$K$5:$AJ$110,0,MATCH(AF$2,Inputs!$K$4:$AJ$4,0)))+SUMPRODUCT((Inputs!$E$5:$E$110=$B38)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8" s="268" t="e">
        <f>AF38</f>
        <v>#N/A</v>
      </c>
      <c r="AH38" s="267">
        <f>IF(ISNA(MATCH(AH$2,Inputs!$K$4:$AJ$4,0)),NA(),IF(SUMPRODUCT((Inputs!$A$5:$A$110=$B38)*ISNUMBER(INDEX(Inputs!$K$5:$AJ$110,0,MATCH(AH$2,Inputs!$K$4:$AJ$4,0))))+SUMPRODUCT((Inputs!$C$5:$C$110=$B38)*ISNUMBER(INDEX(Inputs!$K$5:$AJ$110,0,MATCH(AH$2,Inputs!$K$4:$AJ$4,0))))+SUMPRODUCT((Inputs!$E$5:$E$110=$B38)*ISNUMBER(INDEX(Inputs!$K$5:$AJ$110,0,MATCH(AH$2,Inputs!$K$4:$AJ$4,0))))=0,NA(),SUMPRODUCT((Inputs!$A$5:$A$110=$B38)*Inputs!$B$5:$B$110*(((Inputs!$G$5:$G$110="moeda")+(Inputs!$G$5:$G$110="acoes"))*Inputs!$B$1+((Inputs!$G$5:$G$110&lt;&gt;"moeda")*(Inputs!$G$5:$G$110&lt;&gt;"acoes")))*INDEX(Inputs!$K$5:$AJ$110,0,MATCH(AH$2,Inputs!$K$4:$AJ$4,0)))+SUMPRODUCT((Inputs!$C$5:$C$110=$B38)*Inputs!$D$5:$D$110*(((Inputs!$G$5:$G$110="moeda")+(Inputs!$G$5:$G$110="acoes"))*Inputs!$B$1+((Inputs!$G$5:$G$110&lt;&gt;"moeda")*(Inputs!$G$5:$G$110&lt;&gt;"acoes")))*INDEX(Inputs!$K$5:$AJ$110,0,MATCH(AH$2,Inputs!$K$4:$AJ$4,0)))+SUMPRODUCT((Inputs!$E$5:$E$110=$B38)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8" s="267">
        <f>IF(ISNA(MATCH(AI$2,Inputs!$K$4:$AJ$4,0)),NA(),IF(SUMPRODUCT((Inputs!$A$5:$A$110=$B38)*ISNUMBER(INDEX(Inputs!$K$5:$AJ$110,0,MATCH(AI$2,Inputs!$K$4:$AJ$4,0))))+SUMPRODUCT((Inputs!$C$5:$C$110=$B38)*ISNUMBER(INDEX(Inputs!$K$5:$AJ$110,0,MATCH(AI$2,Inputs!$K$4:$AJ$4,0))))+SUMPRODUCT((Inputs!$E$5:$E$110=$B38)*ISNUMBER(INDEX(Inputs!$K$5:$AJ$110,0,MATCH(AI$2,Inputs!$K$4:$AJ$4,0))))=0,NA(),SUMPRODUCT((Inputs!$A$5:$A$110=$B38)*Inputs!$B$5:$B$110*(((Inputs!$G$5:$G$110="moeda")+(Inputs!$G$5:$G$110="acoes"))*Inputs!$B$1+((Inputs!$G$5:$G$110&lt;&gt;"moeda")*(Inputs!$G$5:$G$110&lt;&gt;"acoes")))*INDEX(Inputs!$K$5:$AJ$110,0,MATCH(AI$2,Inputs!$K$4:$AJ$4,0)))+SUMPRODUCT((Inputs!$C$5:$C$110=$B38)*Inputs!$D$5:$D$110*(((Inputs!$G$5:$G$110="moeda")+(Inputs!$G$5:$G$110="acoes"))*Inputs!$B$1+((Inputs!$G$5:$G$110&lt;&gt;"moeda")*(Inputs!$G$5:$G$110&lt;&gt;"acoes")))*INDEX(Inputs!$K$5:$AJ$110,0,MATCH(AI$2,Inputs!$K$4:$AJ$4,0)))+SUMPRODUCT((Inputs!$E$5:$E$110=$B38)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8" s="267">
        <f>IF(ISNA(MATCH(AJ$2,Inputs!$K$4:$AJ$4,0)),NA(),IF(SUMPRODUCT((Inputs!$A$5:$A$110=$B38)*ISNUMBER(INDEX(Inputs!$K$5:$AJ$110,0,MATCH(AJ$2,Inputs!$K$4:$AJ$4,0))))+SUMPRODUCT((Inputs!$C$5:$C$110=$B38)*ISNUMBER(INDEX(Inputs!$K$5:$AJ$110,0,MATCH(AJ$2,Inputs!$K$4:$AJ$4,0))))+SUMPRODUCT((Inputs!$E$5:$E$110=$B38)*ISNUMBER(INDEX(Inputs!$K$5:$AJ$110,0,MATCH(AJ$2,Inputs!$K$4:$AJ$4,0))))=0,NA(),SUMPRODUCT((Inputs!$A$5:$A$110=$B38)*Inputs!$B$5:$B$110*(((Inputs!$G$5:$G$110="moeda")+(Inputs!$G$5:$G$110="acoes"))*Inputs!$B$1+((Inputs!$G$5:$G$110&lt;&gt;"moeda")*(Inputs!$G$5:$G$110&lt;&gt;"acoes")))*INDEX(Inputs!$K$5:$AJ$110,0,MATCH(AJ$2,Inputs!$K$4:$AJ$4,0)))+SUMPRODUCT((Inputs!$C$5:$C$110=$B38)*Inputs!$D$5:$D$110*(((Inputs!$G$5:$G$110="moeda")+(Inputs!$G$5:$G$110="acoes"))*Inputs!$B$1+((Inputs!$G$5:$G$110&lt;&gt;"moeda")*(Inputs!$G$5:$G$110&lt;&gt;"acoes")))*INDEX(Inputs!$K$5:$AJ$110,0,MATCH(AJ$2,Inputs!$K$4:$AJ$4,0)))+SUMPRODUCT((Inputs!$E$5:$E$110=$B38)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8" s="267">
        <f>IF(ISNA(MATCH(AK$2,Inputs!$K$4:$AJ$4,0)),NA(),IF(SUMPRODUCT((Inputs!$A$5:$A$110=$B38)*ISNUMBER(INDEX(Inputs!$K$5:$AJ$110,0,MATCH(AK$2,Inputs!$K$4:$AJ$4,0))))+SUMPRODUCT((Inputs!$C$5:$C$110=$B38)*ISNUMBER(INDEX(Inputs!$K$5:$AJ$110,0,MATCH(AK$2,Inputs!$K$4:$AJ$4,0))))+SUMPRODUCT((Inputs!$E$5:$E$110=$B38)*ISNUMBER(INDEX(Inputs!$K$5:$AJ$110,0,MATCH(AK$2,Inputs!$K$4:$AJ$4,0))))=0,NA(),SUMPRODUCT((Inputs!$A$5:$A$110=$B38)*Inputs!$B$5:$B$110*(((Inputs!$G$5:$G$110="moeda")+(Inputs!$G$5:$G$110="acoes"))*Inputs!$B$1+((Inputs!$G$5:$G$110&lt;&gt;"moeda")*(Inputs!$G$5:$G$110&lt;&gt;"acoes")))*INDEX(Inputs!$K$5:$AJ$110,0,MATCH(AK$2,Inputs!$K$4:$AJ$4,0)))+SUMPRODUCT((Inputs!$C$5:$C$110=$B38)*Inputs!$D$5:$D$110*(((Inputs!$G$5:$G$110="moeda")+(Inputs!$G$5:$G$110="acoes"))*Inputs!$B$1+((Inputs!$G$5:$G$110&lt;&gt;"moeda")*(Inputs!$G$5:$G$110&lt;&gt;"acoes")))*INDEX(Inputs!$K$5:$AJ$110,0,MATCH(AK$2,Inputs!$K$4:$AJ$4,0)))+SUMPRODUCT((Inputs!$E$5:$E$110=$B38)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8" s="268">
        <f>AK38</f>
        <v>0</v>
      </c>
    </row>
    <row r="39" ht="12.75" customHeight="1" s="255">
      <c r="B39" s="265" t="n">
        <v>34</v>
      </c>
      <c r="C39" s="270" t="inlineStr">
        <is>
          <t>Other non-current liabilities</t>
        </is>
      </c>
      <c r="D39" s="267">
        <f>IF(ISNA(MATCH(D$2,Inputs!$K$4:$AJ$4,0)),NA(),IF(SUMPRODUCT((Inputs!$A$5:$A$110=$B39)*ISNUMBER(INDEX(Inputs!$K$5:$AJ$110,0,MATCH(D$2,Inputs!$K$4:$AJ$4,0))))+SUMPRODUCT((Inputs!$C$5:$C$110=$B39)*ISNUMBER(INDEX(Inputs!$K$5:$AJ$110,0,MATCH(D$2,Inputs!$K$4:$AJ$4,0))))+SUMPRODUCT((Inputs!$E$5:$E$110=$B39)*ISNUMBER(INDEX(Inputs!$K$5:$AJ$110,0,MATCH(D$2,Inputs!$K$4:$AJ$4,0))))=0,NA(),SUMPRODUCT((Inputs!$A$5:$A$110=$B39)*Inputs!$B$5:$B$110*(((Inputs!$G$5:$G$110="moeda")+(Inputs!$G$5:$G$110="acoes"))*Inputs!$B$1+((Inputs!$G$5:$G$110&lt;&gt;"moeda")*(Inputs!$G$5:$G$110&lt;&gt;"acoes")))*INDEX(Inputs!$K$5:$AJ$110,0,MATCH(D$2,Inputs!$K$4:$AJ$4,0)))+SUMPRODUCT((Inputs!$C$5:$C$110=$B39)*Inputs!$D$5:$D$110*(((Inputs!$G$5:$G$110="moeda")+(Inputs!$G$5:$G$110="acoes"))*Inputs!$B$1+((Inputs!$G$5:$G$110&lt;&gt;"moeda")*(Inputs!$G$5:$G$110&lt;&gt;"acoes")))*INDEX(Inputs!$K$5:$AJ$110,0,MATCH(D$2,Inputs!$K$4:$AJ$4,0)))+SUMPRODUCT((Inputs!$E$5:$E$110=$B39)*Inputs!$F$5:$F$110*(((Inputs!$G$5:$G$110="moeda")+(Inputs!$G$5:$G$110="acoes"))*Inputs!$B$1+((Inputs!$G$5:$G$110&lt;&gt;"moeda")*(Inputs!$G$5:$G$110&lt;&gt;"acoes")))*INDEX(Inputs!$K$5:$AJ$110,0,MATCH(D$2,Inputs!$K$4:$AJ$4,0)))))</f>
        <v>17945</v>
      </c>
      <c r="E39" s="267">
        <f>IF(ISNA(MATCH(E$2,Inputs!$K$4:$AJ$4,0)),NA(),IF(SUMPRODUCT((Inputs!$A$5:$A$110=$B39)*ISNUMBER(INDEX(Inputs!$K$5:$AJ$110,0,MATCH(E$2,Inputs!$K$4:$AJ$4,0))))+SUMPRODUCT((Inputs!$C$5:$C$110=$B39)*ISNUMBER(INDEX(Inputs!$K$5:$AJ$110,0,MATCH(E$2,Inputs!$K$4:$AJ$4,0))))+SUMPRODUCT((Inputs!$E$5:$E$110=$B39)*ISNUMBER(INDEX(Inputs!$K$5:$AJ$110,0,MATCH(E$2,Inputs!$K$4:$AJ$4,0))))=0,NA(),SUMPRODUCT((Inputs!$A$5:$A$110=$B39)*Inputs!$B$5:$B$110*(((Inputs!$G$5:$G$110="moeda")+(Inputs!$G$5:$G$110="acoes"))*Inputs!$B$1+((Inputs!$G$5:$G$110&lt;&gt;"moeda")*(Inputs!$G$5:$G$110&lt;&gt;"acoes")))*INDEX(Inputs!$K$5:$AJ$110,0,MATCH(E$2,Inputs!$K$4:$AJ$4,0)))+SUMPRODUCT((Inputs!$C$5:$C$110=$B39)*Inputs!$D$5:$D$110*(((Inputs!$G$5:$G$110="moeda")+(Inputs!$G$5:$G$110="acoes"))*Inputs!$B$1+((Inputs!$G$5:$G$110&lt;&gt;"moeda")*(Inputs!$G$5:$G$110&lt;&gt;"acoes")))*INDEX(Inputs!$K$5:$AJ$110,0,MATCH(E$2,Inputs!$K$4:$AJ$4,0)))+SUMPRODUCT((Inputs!$E$5:$E$110=$B39)*Inputs!$F$5:$F$110*(((Inputs!$G$5:$G$110="moeda")+(Inputs!$G$5:$G$110="acoes"))*Inputs!$B$1+((Inputs!$G$5:$G$110&lt;&gt;"moeda")*(Inputs!$G$5:$G$110&lt;&gt;"acoes")))*INDEX(Inputs!$K$5:$AJ$110,0,MATCH(E$2,Inputs!$K$4:$AJ$4,0)))))</f>
        <v>17606</v>
      </c>
      <c r="F39" s="267">
        <f>IF(ISNA(MATCH(F$2,Inputs!$K$4:$AJ$4,0)),NA(),IF(SUMPRODUCT((Inputs!$A$5:$A$110=$B39)*ISNUMBER(INDEX(Inputs!$K$5:$AJ$110,0,MATCH(F$2,Inputs!$K$4:$AJ$4,0))))+SUMPRODUCT((Inputs!$C$5:$C$110=$B39)*ISNUMBER(INDEX(Inputs!$K$5:$AJ$110,0,MATCH(F$2,Inputs!$K$4:$AJ$4,0))))+SUMPRODUCT((Inputs!$E$5:$E$110=$B39)*ISNUMBER(INDEX(Inputs!$K$5:$AJ$110,0,MATCH(F$2,Inputs!$K$4:$AJ$4,0))))=0,NA(),SUMPRODUCT((Inputs!$A$5:$A$110=$B39)*Inputs!$B$5:$B$110*(((Inputs!$G$5:$G$110="moeda")+(Inputs!$G$5:$G$110="acoes"))*Inputs!$B$1+((Inputs!$G$5:$G$110&lt;&gt;"moeda")*(Inputs!$G$5:$G$110&lt;&gt;"acoes")))*INDEX(Inputs!$K$5:$AJ$110,0,MATCH(F$2,Inputs!$K$4:$AJ$4,0)))+SUMPRODUCT((Inputs!$C$5:$C$110=$B39)*Inputs!$D$5:$D$110*(((Inputs!$G$5:$G$110="moeda")+(Inputs!$G$5:$G$110="acoes"))*Inputs!$B$1+((Inputs!$G$5:$G$110&lt;&gt;"moeda")*(Inputs!$G$5:$G$110&lt;&gt;"acoes")))*INDEX(Inputs!$K$5:$AJ$110,0,MATCH(F$2,Inputs!$K$4:$AJ$4,0)))+SUMPRODUCT((Inputs!$E$5:$E$110=$B39)*Inputs!$F$5:$F$110*(((Inputs!$G$5:$G$110="moeda")+(Inputs!$G$5:$G$110="acoes"))*Inputs!$B$1+((Inputs!$G$5:$G$110&lt;&gt;"moeda")*(Inputs!$G$5:$G$110&lt;&gt;"acoes")))*INDEX(Inputs!$K$5:$AJ$110,0,MATCH(F$2,Inputs!$K$4:$AJ$4,0)))))</f>
        <v>16954</v>
      </c>
      <c r="G39" s="267">
        <f>IF(ISNA(MATCH(G$2,Inputs!$K$4:$AJ$4,0)),NA(),IF(SUMPRODUCT((Inputs!$A$5:$A$110=$B39)*ISNUMBER(INDEX(Inputs!$K$5:$AJ$110,0,MATCH(G$2,Inputs!$K$4:$AJ$4,0))))+SUMPRODUCT((Inputs!$C$5:$C$110=$B39)*ISNUMBER(INDEX(Inputs!$K$5:$AJ$110,0,MATCH(G$2,Inputs!$K$4:$AJ$4,0))))+SUMPRODUCT((Inputs!$E$5:$E$110=$B39)*ISNUMBER(INDEX(Inputs!$K$5:$AJ$110,0,MATCH(G$2,Inputs!$K$4:$AJ$4,0))))=0,NA(),SUMPRODUCT((Inputs!$A$5:$A$110=$B39)*Inputs!$B$5:$B$110*(((Inputs!$G$5:$G$110="moeda")+(Inputs!$G$5:$G$110="acoes"))*Inputs!$B$1+((Inputs!$G$5:$G$110&lt;&gt;"moeda")*(Inputs!$G$5:$G$110&lt;&gt;"acoes")))*INDEX(Inputs!$K$5:$AJ$110,0,MATCH(G$2,Inputs!$K$4:$AJ$4,0)))+SUMPRODUCT((Inputs!$C$5:$C$110=$B39)*Inputs!$D$5:$D$110*(((Inputs!$G$5:$G$110="moeda")+(Inputs!$G$5:$G$110="acoes"))*Inputs!$B$1+((Inputs!$G$5:$G$110&lt;&gt;"moeda")*(Inputs!$G$5:$G$110&lt;&gt;"acoes")))*INDEX(Inputs!$K$5:$AJ$110,0,MATCH(G$2,Inputs!$K$4:$AJ$4,0)))+SUMPRODUCT((Inputs!$E$5:$E$110=$B39)*Inputs!$F$5:$F$110*(((Inputs!$G$5:$G$110="moeda")+(Inputs!$G$5:$G$110="acoes"))*Inputs!$B$1+((Inputs!$G$5:$G$110&lt;&gt;"moeda")*(Inputs!$G$5:$G$110&lt;&gt;"acoes")))*INDEX(Inputs!$K$5:$AJ$110,0,MATCH(G$2,Inputs!$K$4:$AJ$4,0)))))</f>
        <v>17717</v>
      </c>
      <c r="H39" s="268">
        <f>G39</f>
        <v>17717</v>
      </c>
      <c r="I39" s="267">
        <f>IF(ISNA(MATCH(I$2,Inputs!$K$4:$AJ$4,0)),NA(),IF(SUMPRODUCT((Inputs!$A$5:$A$110=$B39)*ISNUMBER(INDEX(Inputs!$K$5:$AJ$110,0,MATCH(I$2,Inputs!$K$4:$AJ$4,0))))+SUMPRODUCT((Inputs!$C$5:$C$110=$B39)*ISNUMBER(INDEX(Inputs!$K$5:$AJ$110,0,MATCH(I$2,Inputs!$K$4:$AJ$4,0))))+SUMPRODUCT((Inputs!$E$5:$E$110=$B39)*ISNUMBER(INDEX(Inputs!$K$5:$AJ$110,0,MATCH(I$2,Inputs!$K$4:$AJ$4,0))))=0,NA(),SUMPRODUCT((Inputs!$A$5:$A$110=$B39)*Inputs!$B$5:$B$110*(((Inputs!$G$5:$G$110="moeda")+(Inputs!$G$5:$G$110="acoes"))*Inputs!$B$1+((Inputs!$G$5:$G$110&lt;&gt;"moeda")*(Inputs!$G$5:$G$110&lt;&gt;"acoes")))*INDEX(Inputs!$K$5:$AJ$110,0,MATCH(I$2,Inputs!$K$4:$AJ$4,0)))+SUMPRODUCT((Inputs!$C$5:$C$110=$B39)*Inputs!$D$5:$D$110*(((Inputs!$G$5:$G$110="moeda")+(Inputs!$G$5:$G$110="acoes"))*Inputs!$B$1+((Inputs!$G$5:$G$110&lt;&gt;"moeda")*(Inputs!$G$5:$G$110&lt;&gt;"acoes")))*INDEX(Inputs!$K$5:$AJ$110,0,MATCH(I$2,Inputs!$K$4:$AJ$4,0)))+SUMPRODUCT((Inputs!$E$5:$E$110=$B39)*Inputs!$F$5:$F$110*(((Inputs!$G$5:$G$110="moeda")+(Inputs!$G$5:$G$110="acoes"))*Inputs!$B$1+((Inputs!$G$5:$G$110&lt;&gt;"moeda")*(Inputs!$G$5:$G$110&lt;&gt;"acoes")))*INDEX(Inputs!$K$5:$AJ$110,0,MATCH(I$2,Inputs!$K$4:$AJ$4,0)))))</f>
        <v>18352</v>
      </c>
      <c r="J39" s="267">
        <f>IF(ISNA(MATCH(J$2,Inputs!$K$4:$AJ$4,0)),NA(),IF(SUMPRODUCT((Inputs!$A$5:$A$110=$B39)*ISNUMBER(INDEX(Inputs!$K$5:$AJ$110,0,MATCH(J$2,Inputs!$K$4:$AJ$4,0))))+SUMPRODUCT((Inputs!$C$5:$C$110=$B39)*ISNUMBER(INDEX(Inputs!$K$5:$AJ$110,0,MATCH(J$2,Inputs!$K$4:$AJ$4,0))))+SUMPRODUCT((Inputs!$E$5:$E$110=$B39)*ISNUMBER(INDEX(Inputs!$K$5:$AJ$110,0,MATCH(J$2,Inputs!$K$4:$AJ$4,0))))=0,NA(),SUMPRODUCT((Inputs!$A$5:$A$110=$B39)*Inputs!$B$5:$B$110*(((Inputs!$G$5:$G$110="moeda")+(Inputs!$G$5:$G$110="acoes"))*Inputs!$B$1+((Inputs!$G$5:$G$110&lt;&gt;"moeda")*(Inputs!$G$5:$G$110&lt;&gt;"acoes")))*INDEX(Inputs!$K$5:$AJ$110,0,MATCH(J$2,Inputs!$K$4:$AJ$4,0)))+SUMPRODUCT((Inputs!$C$5:$C$110=$B39)*Inputs!$D$5:$D$110*(((Inputs!$G$5:$G$110="moeda")+(Inputs!$G$5:$G$110="acoes"))*Inputs!$B$1+((Inputs!$G$5:$G$110&lt;&gt;"moeda")*(Inputs!$G$5:$G$110&lt;&gt;"acoes")))*INDEX(Inputs!$K$5:$AJ$110,0,MATCH(J$2,Inputs!$K$4:$AJ$4,0)))+SUMPRODUCT((Inputs!$E$5:$E$110=$B39)*Inputs!$F$5:$F$110*(((Inputs!$G$5:$G$110="moeda")+(Inputs!$G$5:$G$110="acoes"))*Inputs!$B$1+((Inputs!$G$5:$G$110&lt;&gt;"moeda")*(Inputs!$G$5:$G$110&lt;&gt;"acoes")))*INDEX(Inputs!$K$5:$AJ$110,0,MATCH(J$2,Inputs!$K$4:$AJ$4,0)))))</f>
        <v>18512</v>
      </c>
      <c r="K39" s="267">
        <f>IF(ISNA(MATCH(K$2,Inputs!$K$4:$AJ$4,0)),NA(),IF(SUMPRODUCT((Inputs!$A$5:$A$110=$B39)*ISNUMBER(INDEX(Inputs!$K$5:$AJ$110,0,MATCH(K$2,Inputs!$K$4:$AJ$4,0))))+SUMPRODUCT((Inputs!$C$5:$C$110=$B39)*ISNUMBER(INDEX(Inputs!$K$5:$AJ$110,0,MATCH(K$2,Inputs!$K$4:$AJ$4,0))))+SUMPRODUCT((Inputs!$E$5:$E$110=$B39)*ISNUMBER(INDEX(Inputs!$K$5:$AJ$110,0,MATCH(K$2,Inputs!$K$4:$AJ$4,0))))=0,NA(),SUMPRODUCT((Inputs!$A$5:$A$110=$B39)*Inputs!$B$5:$B$110*(((Inputs!$G$5:$G$110="moeda")+(Inputs!$G$5:$G$110="acoes"))*Inputs!$B$1+((Inputs!$G$5:$G$110&lt;&gt;"moeda")*(Inputs!$G$5:$G$110&lt;&gt;"acoes")))*INDEX(Inputs!$K$5:$AJ$110,0,MATCH(K$2,Inputs!$K$4:$AJ$4,0)))+SUMPRODUCT((Inputs!$C$5:$C$110=$B39)*Inputs!$D$5:$D$110*(((Inputs!$G$5:$G$110="moeda")+(Inputs!$G$5:$G$110="acoes"))*Inputs!$B$1+((Inputs!$G$5:$G$110&lt;&gt;"moeda")*(Inputs!$G$5:$G$110&lt;&gt;"acoes")))*INDEX(Inputs!$K$5:$AJ$110,0,MATCH(K$2,Inputs!$K$4:$AJ$4,0)))+SUMPRODUCT((Inputs!$E$5:$E$110=$B39)*Inputs!$F$5:$F$110*(((Inputs!$G$5:$G$110="moeda")+(Inputs!$G$5:$G$110="acoes"))*Inputs!$B$1+((Inputs!$G$5:$G$110&lt;&gt;"moeda")*(Inputs!$G$5:$G$110&lt;&gt;"acoes")))*INDEX(Inputs!$K$5:$AJ$110,0,MATCH(K$2,Inputs!$K$4:$AJ$4,0)))))</f>
        <v>19272</v>
      </c>
      <c r="L39" s="267">
        <f>IF(ISNA(MATCH(L$2,Inputs!$K$4:$AJ$4,0)),NA(),IF(SUMPRODUCT((Inputs!$A$5:$A$110=$B39)*ISNUMBER(INDEX(Inputs!$K$5:$AJ$110,0,MATCH(L$2,Inputs!$K$4:$AJ$4,0))))+SUMPRODUCT((Inputs!$C$5:$C$110=$B39)*ISNUMBER(INDEX(Inputs!$K$5:$AJ$110,0,MATCH(L$2,Inputs!$K$4:$AJ$4,0))))+SUMPRODUCT((Inputs!$E$5:$E$110=$B39)*ISNUMBER(INDEX(Inputs!$K$5:$AJ$110,0,MATCH(L$2,Inputs!$K$4:$AJ$4,0))))=0,NA(),SUMPRODUCT((Inputs!$A$5:$A$110=$B39)*Inputs!$B$5:$B$110*(((Inputs!$G$5:$G$110="moeda")+(Inputs!$G$5:$G$110="acoes"))*Inputs!$B$1+((Inputs!$G$5:$G$110&lt;&gt;"moeda")*(Inputs!$G$5:$G$110&lt;&gt;"acoes")))*INDEX(Inputs!$K$5:$AJ$110,0,MATCH(L$2,Inputs!$K$4:$AJ$4,0)))+SUMPRODUCT((Inputs!$C$5:$C$110=$B39)*Inputs!$D$5:$D$110*(((Inputs!$G$5:$G$110="moeda")+(Inputs!$G$5:$G$110="acoes"))*Inputs!$B$1+((Inputs!$G$5:$G$110&lt;&gt;"moeda")*(Inputs!$G$5:$G$110&lt;&gt;"acoes")))*INDEX(Inputs!$K$5:$AJ$110,0,MATCH(L$2,Inputs!$K$4:$AJ$4,0)))+SUMPRODUCT((Inputs!$E$5:$E$110=$B39)*Inputs!$F$5:$F$110*(((Inputs!$G$5:$G$110="moeda")+(Inputs!$G$5:$G$110="acoes"))*Inputs!$B$1+((Inputs!$G$5:$G$110&lt;&gt;"moeda")*(Inputs!$G$5:$G$110&lt;&gt;"acoes")))*INDEX(Inputs!$K$5:$AJ$110,0,MATCH(L$2,Inputs!$K$4:$AJ$4,0)))))</f>
        <v>19531</v>
      </c>
      <c r="M39" s="268">
        <f>L39</f>
        <v>19531</v>
      </c>
      <c r="N39" s="267">
        <f>IF(ISNA(MATCH(N$2,Inputs!$K$4:$AJ$4,0)),NA(),IF(SUMPRODUCT((Inputs!$A$5:$A$110=$B39)*ISNUMBER(INDEX(Inputs!$K$5:$AJ$110,0,MATCH(N$2,Inputs!$K$4:$AJ$4,0))))+SUMPRODUCT((Inputs!$C$5:$C$110=$B39)*ISNUMBER(INDEX(Inputs!$K$5:$AJ$110,0,MATCH(N$2,Inputs!$K$4:$AJ$4,0))))+SUMPRODUCT((Inputs!$E$5:$E$110=$B39)*ISNUMBER(INDEX(Inputs!$K$5:$AJ$110,0,MATCH(N$2,Inputs!$K$4:$AJ$4,0))))=0,NA(),SUMPRODUCT((Inputs!$A$5:$A$110=$B39)*Inputs!$B$5:$B$110*(((Inputs!$G$5:$G$110="moeda")+(Inputs!$G$5:$G$110="acoes"))*Inputs!$B$1+((Inputs!$G$5:$G$110&lt;&gt;"moeda")*(Inputs!$G$5:$G$110&lt;&gt;"acoes")))*INDEX(Inputs!$K$5:$AJ$110,0,MATCH(N$2,Inputs!$K$4:$AJ$4,0)))+SUMPRODUCT((Inputs!$C$5:$C$110=$B39)*Inputs!$D$5:$D$110*(((Inputs!$G$5:$G$110="moeda")+(Inputs!$G$5:$G$110="acoes"))*Inputs!$B$1+((Inputs!$G$5:$G$110&lt;&gt;"moeda")*(Inputs!$G$5:$G$110&lt;&gt;"acoes")))*INDEX(Inputs!$K$5:$AJ$110,0,MATCH(N$2,Inputs!$K$4:$AJ$4,0)))+SUMPRODUCT((Inputs!$E$5:$E$110=$B39)*Inputs!$F$5:$F$110*(((Inputs!$G$5:$G$110="moeda")+(Inputs!$G$5:$G$110="acoes"))*Inputs!$B$1+((Inputs!$G$5:$G$110&lt;&gt;"moeda")*(Inputs!$G$5:$G$110&lt;&gt;"acoes")))*INDEX(Inputs!$K$5:$AJ$110,0,MATCH(N$2,Inputs!$K$4:$AJ$4,0)))))</f>
        <v>19038</v>
      </c>
      <c r="O39" s="267">
        <f>IF(ISNA(MATCH(O$2,Inputs!$K$4:$AJ$4,0)),NA(),IF(SUMPRODUCT((Inputs!$A$5:$A$110=$B39)*ISNUMBER(INDEX(Inputs!$K$5:$AJ$110,0,MATCH(O$2,Inputs!$K$4:$AJ$4,0))))+SUMPRODUCT((Inputs!$C$5:$C$110=$B39)*ISNUMBER(INDEX(Inputs!$K$5:$AJ$110,0,MATCH(O$2,Inputs!$K$4:$AJ$4,0))))+SUMPRODUCT((Inputs!$E$5:$E$110=$B39)*ISNUMBER(INDEX(Inputs!$K$5:$AJ$110,0,MATCH(O$2,Inputs!$K$4:$AJ$4,0))))=0,NA(),SUMPRODUCT((Inputs!$A$5:$A$110=$B39)*Inputs!$B$5:$B$110*(((Inputs!$G$5:$G$110="moeda")+(Inputs!$G$5:$G$110="acoes"))*Inputs!$B$1+((Inputs!$G$5:$G$110&lt;&gt;"moeda")*(Inputs!$G$5:$G$110&lt;&gt;"acoes")))*INDEX(Inputs!$K$5:$AJ$110,0,MATCH(O$2,Inputs!$K$4:$AJ$4,0)))+SUMPRODUCT((Inputs!$C$5:$C$110=$B39)*Inputs!$D$5:$D$110*(((Inputs!$G$5:$G$110="moeda")+(Inputs!$G$5:$G$110="acoes"))*Inputs!$B$1+((Inputs!$G$5:$G$110&lt;&gt;"moeda")*(Inputs!$G$5:$G$110&lt;&gt;"acoes")))*INDEX(Inputs!$K$5:$AJ$110,0,MATCH(O$2,Inputs!$K$4:$AJ$4,0)))+SUMPRODUCT((Inputs!$E$5:$E$110=$B39)*Inputs!$F$5:$F$110*(((Inputs!$G$5:$G$110="moeda")+(Inputs!$G$5:$G$110="acoes"))*Inputs!$B$1+((Inputs!$G$5:$G$110&lt;&gt;"moeda")*(Inputs!$G$5:$G$110&lt;&gt;"acoes")))*INDEX(Inputs!$K$5:$AJ$110,0,MATCH(O$2,Inputs!$K$4:$AJ$4,0)))))</f>
        <v>20558</v>
      </c>
      <c r="P39" s="267">
        <f>IF(ISNA(MATCH(P$2,Inputs!$K$4:$AJ$4,0)),NA(),IF(SUMPRODUCT((Inputs!$A$5:$A$110=$B39)*ISNUMBER(INDEX(Inputs!$K$5:$AJ$110,0,MATCH(P$2,Inputs!$K$4:$AJ$4,0))))+SUMPRODUCT((Inputs!$C$5:$C$110=$B39)*ISNUMBER(INDEX(Inputs!$K$5:$AJ$110,0,MATCH(P$2,Inputs!$K$4:$AJ$4,0))))+SUMPRODUCT((Inputs!$E$5:$E$110=$B39)*ISNUMBER(INDEX(Inputs!$K$5:$AJ$110,0,MATCH(P$2,Inputs!$K$4:$AJ$4,0))))=0,NA(),SUMPRODUCT((Inputs!$A$5:$A$110=$B39)*Inputs!$B$5:$B$110*(((Inputs!$G$5:$G$110="moeda")+(Inputs!$G$5:$G$110="acoes"))*Inputs!$B$1+((Inputs!$G$5:$G$110&lt;&gt;"moeda")*(Inputs!$G$5:$G$110&lt;&gt;"acoes")))*INDEX(Inputs!$K$5:$AJ$110,0,MATCH(P$2,Inputs!$K$4:$AJ$4,0)))+SUMPRODUCT((Inputs!$C$5:$C$110=$B39)*Inputs!$D$5:$D$110*(((Inputs!$G$5:$G$110="moeda")+(Inputs!$G$5:$G$110="acoes"))*Inputs!$B$1+((Inputs!$G$5:$G$110&lt;&gt;"moeda")*(Inputs!$G$5:$G$110&lt;&gt;"acoes")))*INDEX(Inputs!$K$5:$AJ$110,0,MATCH(P$2,Inputs!$K$4:$AJ$4,0)))+SUMPRODUCT((Inputs!$E$5:$E$110=$B39)*Inputs!$F$5:$F$110*(((Inputs!$G$5:$G$110="moeda")+(Inputs!$G$5:$G$110="acoes"))*Inputs!$B$1+((Inputs!$G$5:$G$110&lt;&gt;"moeda")*(Inputs!$G$5:$G$110&lt;&gt;"acoes")))*INDEX(Inputs!$K$5:$AJ$110,0,MATCH(P$2,Inputs!$K$4:$AJ$4,0)))))</f>
        <v>19974</v>
      </c>
      <c r="Q39" s="267">
        <f>IF(ISNA(MATCH(Q$2,Inputs!$K$4:$AJ$4,0)),NA(),IF(SUMPRODUCT((Inputs!$A$5:$A$110=$B39)*ISNUMBER(INDEX(Inputs!$K$5:$AJ$110,0,MATCH(Q$2,Inputs!$K$4:$AJ$4,0))))+SUMPRODUCT((Inputs!$C$5:$C$110=$B39)*ISNUMBER(INDEX(Inputs!$K$5:$AJ$110,0,MATCH(Q$2,Inputs!$K$4:$AJ$4,0))))+SUMPRODUCT((Inputs!$E$5:$E$110=$B39)*ISNUMBER(INDEX(Inputs!$K$5:$AJ$110,0,MATCH(Q$2,Inputs!$K$4:$AJ$4,0))))=0,NA(),SUMPRODUCT((Inputs!$A$5:$A$110=$B39)*Inputs!$B$5:$B$110*(((Inputs!$G$5:$G$110="moeda")+(Inputs!$G$5:$G$110="acoes"))*Inputs!$B$1+((Inputs!$G$5:$G$110&lt;&gt;"moeda")*(Inputs!$G$5:$G$110&lt;&gt;"acoes")))*INDEX(Inputs!$K$5:$AJ$110,0,MATCH(Q$2,Inputs!$K$4:$AJ$4,0)))+SUMPRODUCT((Inputs!$C$5:$C$110=$B39)*Inputs!$D$5:$D$110*(((Inputs!$G$5:$G$110="moeda")+(Inputs!$G$5:$G$110="acoes"))*Inputs!$B$1+((Inputs!$G$5:$G$110&lt;&gt;"moeda")*(Inputs!$G$5:$G$110&lt;&gt;"acoes")))*INDEX(Inputs!$K$5:$AJ$110,0,MATCH(Q$2,Inputs!$K$4:$AJ$4,0)))+SUMPRODUCT((Inputs!$E$5:$E$110=$B39)*Inputs!$F$5:$F$110*(((Inputs!$G$5:$G$110="moeda")+(Inputs!$G$5:$G$110="acoes"))*Inputs!$B$1+((Inputs!$G$5:$G$110&lt;&gt;"moeda")*(Inputs!$G$5:$G$110&lt;&gt;"acoes")))*INDEX(Inputs!$K$5:$AJ$110,0,MATCH(Q$2,Inputs!$K$4:$AJ$4,0)))))</f>
        <v>20338</v>
      </c>
      <c r="R39" s="268">
        <f>Q39</f>
        <v>20338</v>
      </c>
      <c r="S39" s="267">
        <f>IF(ISNA(MATCH(S$2,Inputs!$K$4:$AJ$4,0)),NA(),IF(SUMPRODUCT((Inputs!$A$5:$A$110=$B39)*ISNUMBER(INDEX(Inputs!$K$5:$AJ$110,0,MATCH(S$2,Inputs!$K$4:$AJ$4,0))))+SUMPRODUCT((Inputs!$C$5:$C$110=$B39)*ISNUMBER(INDEX(Inputs!$K$5:$AJ$110,0,MATCH(S$2,Inputs!$K$4:$AJ$4,0))))+SUMPRODUCT((Inputs!$E$5:$E$110=$B39)*ISNUMBER(INDEX(Inputs!$K$5:$AJ$110,0,MATCH(S$2,Inputs!$K$4:$AJ$4,0))))=0,NA(),SUMPRODUCT((Inputs!$A$5:$A$110=$B39)*Inputs!$B$5:$B$110*(((Inputs!$G$5:$G$110="moeda")+(Inputs!$G$5:$G$110="acoes"))*Inputs!$B$1+((Inputs!$G$5:$G$110&lt;&gt;"moeda")*(Inputs!$G$5:$G$110&lt;&gt;"acoes")))*INDEX(Inputs!$K$5:$AJ$110,0,MATCH(S$2,Inputs!$K$4:$AJ$4,0)))+SUMPRODUCT((Inputs!$C$5:$C$110=$B39)*Inputs!$D$5:$D$110*(((Inputs!$G$5:$G$110="moeda")+(Inputs!$G$5:$G$110="acoes"))*Inputs!$B$1+((Inputs!$G$5:$G$110&lt;&gt;"moeda")*(Inputs!$G$5:$G$110&lt;&gt;"acoes")))*INDEX(Inputs!$K$5:$AJ$110,0,MATCH(S$2,Inputs!$K$4:$AJ$4,0)))+SUMPRODUCT((Inputs!$E$5:$E$110=$B39)*Inputs!$F$5:$F$110*(((Inputs!$G$5:$G$110="moeda")+(Inputs!$G$5:$G$110="acoes"))*Inputs!$B$1+((Inputs!$G$5:$G$110&lt;&gt;"moeda")*(Inputs!$G$5:$G$110&lt;&gt;"acoes")))*INDEX(Inputs!$K$5:$AJ$110,0,MATCH(S$2,Inputs!$K$4:$AJ$4,0)))))</f>
        <v>20896</v>
      </c>
      <c r="T39" s="267">
        <f>IF(ISNA(MATCH(T$2,Inputs!$K$4:$AJ$4,0)),NA(),IF(SUMPRODUCT((Inputs!$A$5:$A$110=$B39)*ISNUMBER(INDEX(Inputs!$K$5:$AJ$110,0,MATCH(T$2,Inputs!$K$4:$AJ$4,0))))+SUMPRODUCT((Inputs!$C$5:$C$110=$B39)*ISNUMBER(INDEX(Inputs!$K$5:$AJ$110,0,MATCH(T$2,Inputs!$K$4:$AJ$4,0))))+SUMPRODUCT((Inputs!$E$5:$E$110=$B39)*ISNUMBER(INDEX(Inputs!$K$5:$AJ$110,0,MATCH(T$2,Inputs!$K$4:$AJ$4,0))))=0,NA(),SUMPRODUCT((Inputs!$A$5:$A$110=$B39)*Inputs!$B$5:$B$110*(((Inputs!$G$5:$G$110="moeda")+(Inputs!$G$5:$G$110="acoes"))*Inputs!$B$1+((Inputs!$G$5:$G$110&lt;&gt;"moeda")*(Inputs!$G$5:$G$110&lt;&gt;"acoes")))*INDEX(Inputs!$K$5:$AJ$110,0,MATCH(T$2,Inputs!$K$4:$AJ$4,0)))+SUMPRODUCT((Inputs!$C$5:$C$110=$B39)*Inputs!$D$5:$D$110*(((Inputs!$G$5:$G$110="moeda")+(Inputs!$G$5:$G$110="acoes"))*Inputs!$B$1+((Inputs!$G$5:$G$110&lt;&gt;"moeda")*(Inputs!$G$5:$G$110&lt;&gt;"acoes")))*INDEX(Inputs!$K$5:$AJ$110,0,MATCH(T$2,Inputs!$K$4:$AJ$4,0)))+SUMPRODUCT((Inputs!$E$5:$E$110=$B39)*Inputs!$F$5:$F$110*(((Inputs!$G$5:$G$110="moeda")+(Inputs!$G$5:$G$110="acoes"))*Inputs!$B$1+((Inputs!$G$5:$G$110&lt;&gt;"moeda")*(Inputs!$G$5:$G$110&lt;&gt;"acoes")))*INDEX(Inputs!$K$5:$AJ$110,0,MATCH(T$2,Inputs!$K$4:$AJ$4,0)))))</f>
        <v>20233</v>
      </c>
      <c r="U39" s="267">
        <f>IF(ISNA(MATCH(U$2,Inputs!$K$4:$AJ$4,0)),NA(),IF(SUMPRODUCT((Inputs!$A$5:$A$110=$B39)*ISNUMBER(INDEX(Inputs!$K$5:$AJ$110,0,MATCH(U$2,Inputs!$K$4:$AJ$4,0))))+SUMPRODUCT((Inputs!$C$5:$C$110=$B39)*ISNUMBER(INDEX(Inputs!$K$5:$AJ$110,0,MATCH(U$2,Inputs!$K$4:$AJ$4,0))))+SUMPRODUCT((Inputs!$E$5:$E$110=$B39)*ISNUMBER(INDEX(Inputs!$K$5:$AJ$110,0,MATCH(U$2,Inputs!$K$4:$AJ$4,0))))=0,NA(),SUMPRODUCT((Inputs!$A$5:$A$110=$B39)*Inputs!$B$5:$B$110*(((Inputs!$G$5:$G$110="moeda")+(Inputs!$G$5:$G$110="acoes"))*Inputs!$B$1+((Inputs!$G$5:$G$110&lt;&gt;"moeda")*(Inputs!$G$5:$G$110&lt;&gt;"acoes")))*INDEX(Inputs!$K$5:$AJ$110,0,MATCH(U$2,Inputs!$K$4:$AJ$4,0)))+SUMPRODUCT((Inputs!$C$5:$C$110=$B39)*Inputs!$D$5:$D$110*(((Inputs!$G$5:$G$110="moeda")+(Inputs!$G$5:$G$110="acoes"))*Inputs!$B$1+((Inputs!$G$5:$G$110&lt;&gt;"moeda")*(Inputs!$G$5:$G$110&lt;&gt;"acoes")))*INDEX(Inputs!$K$5:$AJ$110,0,MATCH(U$2,Inputs!$K$4:$AJ$4,0)))+SUMPRODUCT((Inputs!$E$5:$E$110=$B39)*Inputs!$F$5:$F$110*(((Inputs!$G$5:$G$110="moeda")+(Inputs!$G$5:$G$110="acoes"))*Inputs!$B$1+((Inputs!$G$5:$G$110&lt;&gt;"moeda")*(Inputs!$G$5:$G$110&lt;&gt;"acoes")))*INDEX(Inputs!$K$5:$AJ$110,0,MATCH(U$2,Inputs!$K$4:$AJ$4,0)))))</f>
        <v>19804</v>
      </c>
      <c r="V39" s="267">
        <f>IF(ISNA(MATCH(V$2,Inputs!$K$4:$AJ$4,0)),NA(),IF(SUMPRODUCT((Inputs!$A$5:$A$110=$B39)*ISNUMBER(INDEX(Inputs!$K$5:$AJ$110,0,MATCH(V$2,Inputs!$K$4:$AJ$4,0))))+SUMPRODUCT((Inputs!$C$5:$C$110=$B39)*ISNUMBER(INDEX(Inputs!$K$5:$AJ$110,0,MATCH(V$2,Inputs!$K$4:$AJ$4,0))))+SUMPRODUCT((Inputs!$E$5:$E$110=$B39)*ISNUMBER(INDEX(Inputs!$K$5:$AJ$110,0,MATCH(V$2,Inputs!$K$4:$AJ$4,0))))=0,NA(),SUMPRODUCT((Inputs!$A$5:$A$110=$B39)*Inputs!$B$5:$B$110*(((Inputs!$G$5:$G$110="moeda")+(Inputs!$G$5:$G$110="acoes"))*Inputs!$B$1+((Inputs!$G$5:$G$110&lt;&gt;"moeda")*(Inputs!$G$5:$G$110&lt;&gt;"acoes")))*INDEX(Inputs!$K$5:$AJ$110,0,MATCH(V$2,Inputs!$K$4:$AJ$4,0)))+SUMPRODUCT((Inputs!$C$5:$C$110=$B39)*Inputs!$D$5:$D$110*(((Inputs!$G$5:$G$110="moeda")+(Inputs!$G$5:$G$110="acoes"))*Inputs!$B$1+((Inputs!$G$5:$G$110&lt;&gt;"moeda")*(Inputs!$G$5:$G$110&lt;&gt;"acoes")))*INDEX(Inputs!$K$5:$AJ$110,0,MATCH(V$2,Inputs!$K$4:$AJ$4,0)))+SUMPRODUCT((Inputs!$E$5:$E$110=$B39)*Inputs!$F$5:$F$110*(((Inputs!$G$5:$G$110="moeda")+(Inputs!$G$5:$G$110="acoes"))*Inputs!$B$1+((Inputs!$G$5:$G$110&lt;&gt;"moeda")*(Inputs!$G$5:$G$110&lt;&gt;"acoes")))*INDEX(Inputs!$K$5:$AJ$110,0,MATCH(V$2,Inputs!$K$4:$AJ$4,0)))))</f>
        <v>20321</v>
      </c>
      <c r="W39" s="268">
        <f>V39</f>
        <v>20321</v>
      </c>
      <c r="X39" s="267">
        <f>IF(ISNA(MATCH(X$2,Inputs!$K$4:$AJ$4,0)),NA(),IF(SUMPRODUCT((Inputs!$A$5:$A$110=$B39)*ISNUMBER(INDEX(Inputs!$K$5:$AJ$110,0,MATCH(X$2,Inputs!$K$4:$AJ$4,0))))+SUMPRODUCT((Inputs!$C$5:$C$110=$B39)*ISNUMBER(INDEX(Inputs!$K$5:$AJ$110,0,MATCH(X$2,Inputs!$K$4:$AJ$4,0))))+SUMPRODUCT((Inputs!$E$5:$E$110=$B39)*ISNUMBER(INDEX(Inputs!$K$5:$AJ$110,0,MATCH(X$2,Inputs!$K$4:$AJ$4,0))))=0,NA(),SUMPRODUCT((Inputs!$A$5:$A$110=$B39)*Inputs!$B$5:$B$110*(((Inputs!$G$5:$G$110="moeda")+(Inputs!$G$5:$G$110="acoes"))*Inputs!$B$1+((Inputs!$G$5:$G$110&lt;&gt;"moeda")*(Inputs!$G$5:$G$110&lt;&gt;"acoes")))*INDEX(Inputs!$K$5:$AJ$110,0,MATCH(X$2,Inputs!$K$4:$AJ$4,0)))+SUMPRODUCT((Inputs!$C$5:$C$110=$B39)*Inputs!$D$5:$D$110*(((Inputs!$G$5:$G$110="moeda")+(Inputs!$G$5:$G$110="acoes"))*Inputs!$B$1+((Inputs!$G$5:$G$110&lt;&gt;"moeda")*(Inputs!$G$5:$G$110&lt;&gt;"acoes")))*INDEX(Inputs!$K$5:$AJ$110,0,MATCH(X$2,Inputs!$K$4:$AJ$4,0)))+SUMPRODUCT((Inputs!$E$5:$E$110=$B39)*Inputs!$F$5:$F$110*(((Inputs!$G$5:$G$110="moeda")+(Inputs!$G$5:$G$110="acoes"))*Inputs!$B$1+((Inputs!$G$5:$G$110&lt;&gt;"moeda")*(Inputs!$G$5:$G$110&lt;&gt;"acoes")))*INDEX(Inputs!$K$5:$AJ$110,0,MATCH(X$2,Inputs!$K$4:$AJ$4,0)))))</f>
        <v>19487</v>
      </c>
      <c r="Y39" s="267">
        <f>IF(ISNA(MATCH(Y$2,Inputs!$K$4:$AJ$4,0)),NA(),IF(SUMPRODUCT((Inputs!$A$5:$A$110=$B39)*ISNUMBER(INDEX(Inputs!$K$5:$AJ$110,0,MATCH(Y$2,Inputs!$K$4:$AJ$4,0))))+SUMPRODUCT((Inputs!$C$5:$C$110=$B39)*ISNUMBER(INDEX(Inputs!$K$5:$AJ$110,0,MATCH(Y$2,Inputs!$K$4:$AJ$4,0))))+SUMPRODUCT((Inputs!$E$5:$E$110=$B39)*ISNUMBER(INDEX(Inputs!$K$5:$AJ$110,0,MATCH(Y$2,Inputs!$K$4:$AJ$4,0))))=0,NA(),SUMPRODUCT((Inputs!$A$5:$A$110=$B39)*Inputs!$B$5:$B$110*(((Inputs!$G$5:$G$110="moeda")+(Inputs!$G$5:$G$110="acoes"))*Inputs!$B$1+((Inputs!$G$5:$G$110&lt;&gt;"moeda")*(Inputs!$G$5:$G$110&lt;&gt;"acoes")))*INDEX(Inputs!$K$5:$AJ$110,0,MATCH(Y$2,Inputs!$K$4:$AJ$4,0)))+SUMPRODUCT((Inputs!$C$5:$C$110=$B39)*Inputs!$D$5:$D$110*(((Inputs!$G$5:$G$110="moeda")+(Inputs!$G$5:$G$110="acoes"))*Inputs!$B$1+((Inputs!$G$5:$G$110&lt;&gt;"moeda")*(Inputs!$G$5:$G$110&lt;&gt;"acoes")))*INDEX(Inputs!$K$5:$AJ$110,0,MATCH(Y$2,Inputs!$K$4:$AJ$4,0)))+SUMPRODUCT((Inputs!$E$5:$E$110=$B39)*Inputs!$F$5:$F$110*(((Inputs!$G$5:$G$110="moeda")+(Inputs!$G$5:$G$110="acoes"))*Inputs!$B$1+((Inputs!$G$5:$G$110&lt;&gt;"moeda")*(Inputs!$G$5:$G$110&lt;&gt;"acoes")))*INDEX(Inputs!$K$5:$AJ$110,0,MATCH(Y$2,Inputs!$K$4:$AJ$4,0)))))</f>
        <v>21603</v>
      </c>
      <c r="Z39" s="267">
        <f>IF(ISNA(MATCH(Z$2,Inputs!$K$4:$AJ$4,0)),NA(),IF(SUMPRODUCT((Inputs!$A$5:$A$110=$B39)*ISNUMBER(INDEX(Inputs!$K$5:$AJ$110,0,MATCH(Z$2,Inputs!$K$4:$AJ$4,0))))+SUMPRODUCT((Inputs!$C$5:$C$110=$B39)*ISNUMBER(INDEX(Inputs!$K$5:$AJ$110,0,MATCH(Z$2,Inputs!$K$4:$AJ$4,0))))+SUMPRODUCT((Inputs!$E$5:$E$110=$B39)*ISNUMBER(INDEX(Inputs!$K$5:$AJ$110,0,MATCH(Z$2,Inputs!$K$4:$AJ$4,0))))=0,NA(),SUMPRODUCT((Inputs!$A$5:$A$110=$B39)*Inputs!$B$5:$B$110*(((Inputs!$G$5:$G$110="moeda")+(Inputs!$G$5:$G$110="acoes"))*Inputs!$B$1+((Inputs!$G$5:$G$110&lt;&gt;"moeda")*(Inputs!$G$5:$G$110&lt;&gt;"acoes")))*INDEX(Inputs!$K$5:$AJ$110,0,MATCH(Z$2,Inputs!$K$4:$AJ$4,0)))+SUMPRODUCT((Inputs!$C$5:$C$110=$B39)*Inputs!$D$5:$D$110*(((Inputs!$G$5:$G$110="moeda")+(Inputs!$G$5:$G$110="acoes"))*Inputs!$B$1+((Inputs!$G$5:$G$110&lt;&gt;"moeda")*(Inputs!$G$5:$G$110&lt;&gt;"acoes")))*INDEX(Inputs!$K$5:$AJ$110,0,MATCH(Z$2,Inputs!$K$4:$AJ$4,0)))+SUMPRODUCT((Inputs!$E$5:$E$110=$B39)*Inputs!$F$5:$F$110*(((Inputs!$G$5:$G$110="moeda")+(Inputs!$G$5:$G$110="acoes"))*Inputs!$B$1+((Inputs!$G$5:$G$110&lt;&gt;"moeda")*(Inputs!$G$5:$G$110&lt;&gt;"acoes")))*INDEX(Inputs!$K$5:$AJ$110,0,MATCH(Z$2,Inputs!$K$4:$AJ$4,0)))))</f>
        <v>22261</v>
      </c>
      <c r="AA39" s="267">
        <f>IF(ISNA(MATCH(AA$2,Inputs!$K$4:$AJ$4,0)),NA(),IF(SUMPRODUCT((Inputs!$A$5:$A$110=$B39)*ISNUMBER(INDEX(Inputs!$K$5:$AJ$110,0,MATCH(AA$2,Inputs!$K$4:$AJ$4,0))))+SUMPRODUCT((Inputs!$C$5:$C$110=$B39)*ISNUMBER(INDEX(Inputs!$K$5:$AJ$110,0,MATCH(AA$2,Inputs!$K$4:$AJ$4,0))))+SUMPRODUCT((Inputs!$E$5:$E$110=$B39)*ISNUMBER(INDEX(Inputs!$K$5:$AJ$110,0,MATCH(AA$2,Inputs!$K$4:$AJ$4,0))))=0,NA(),SUMPRODUCT((Inputs!$A$5:$A$110=$B39)*Inputs!$B$5:$B$110*(((Inputs!$G$5:$G$110="moeda")+(Inputs!$G$5:$G$110="acoes"))*Inputs!$B$1+((Inputs!$G$5:$G$110&lt;&gt;"moeda")*(Inputs!$G$5:$G$110&lt;&gt;"acoes")))*INDEX(Inputs!$K$5:$AJ$110,0,MATCH(AA$2,Inputs!$K$4:$AJ$4,0)))+SUMPRODUCT((Inputs!$C$5:$C$110=$B39)*Inputs!$D$5:$D$110*(((Inputs!$G$5:$G$110="moeda")+(Inputs!$G$5:$G$110="acoes"))*Inputs!$B$1+((Inputs!$G$5:$G$110&lt;&gt;"moeda")*(Inputs!$G$5:$G$110&lt;&gt;"acoes")))*INDEX(Inputs!$K$5:$AJ$110,0,MATCH(AA$2,Inputs!$K$4:$AJ$4,0)))+SUMPRODUCT((Inputs!$E$5:$E$110=$B39)*Inputs!$F$5:$F$110*(((Inputs!$G$5:$G$110="moeda")+(Inputs!$G$5:$G$110="acoes"))*Inputs!$B$1+((Inputs!$G$5:$G$110&lt;&gt;"moeda")*(Inputs!$G$5:$G$110&lt;&gt;"acoes")))*INDEX(Inputs!$K$5:$AJ$110,0,MATCH(AA$2,Inputs!$K$4:$AJ$4,0)))))</f>
        <v>22454</v>
      </c>
      <c r="AB39" s="268">
        <f>AA39</f>
        <v>22454</v>
      </c>
      <c r="AC39" s="267">
        <f>IF(ISNA(MATCH(AC$2,Inputs!$K$4:$AJ$4,0)),NA(),IF(SUMPRODUCT((Inputs!$A$5:$A$110=$B39)*ISNUMBER(INDEX(Inputs!$K$5:$AJ$110,0,MATCH(AC$2,Inputs!$K$4:$AJ$4,0))))+SUMPRODUCT((Inputs!$C$5:$C$110=$B39)*ISNUMBER(INDEX(Inputs!$K$5:$AJ$110,0,MATCH(AC$2,Inputs!$K$4:$AJ$4,0))))+SUMPRODUCT((Inputs!$E$5:$E$110=$B39)*ISNUMBER(INDEX(Inputs!$K$5:$AJ$110,0,MATCH(AC$2,Inputs!$K$4:$AJ$4,0))))=0,NA(),SUMPRODUCT((Inputs!$A$5:$A$110=$B39)*Inputs!$B$5:$B$110*(((Inputs!$G$5:$G$110="moeda")+(Inputs!$G$5:$G$110="acoes"))*Inputs!$B$1+((Inputs!$G$5:$G$110&lt;&gt;"moeda")*(Inputs!$G$5:$G$110&lt;&gt;"acoes")))*INDEX(Inputs!$K$5:$AJ$110,0,MATCH(AC$2,Inputs!$K$4:$AJ$4,0)))+SUMPRODUCT((Inputs!$C$5:$C$110=$B39)*Inputs!$D$5:$D$110*(((Inputs!$G$5:$G$110="moeda")+(Inputs!$G$5:$G$110="acoes"))*Inputs!$B$1+((Inputs!$G$5:$G$110&lt;&gt;"moeda")*(Inputs!$G$5:$G$110&lt;&gt;"acoes")))*INDEX(Inputs!$K$5:$AJ$110,0,MATCH(AC$2,Inputs!$K$4:$AJ$4,0)))+SUMPRODUCT((Inputs!$E$5:$E$110=$B39)*Inputs!$F$5:$F$110*(((Inputs!$G$5:$G$110="moeda")+(Inputs!$G$5:$G$110="acoes"))*Inputs!$B$1+((Inputs!$G$5:$G$110&lt;&gt;"moeda")*(Inputs!$G$5:$G$110&lt;&gt;"acoes")))*INDEX(Inputs!$K$5:$AJ$110,0,MATCH(AC$2,Inputs!$K$4:$AJ$4,0)))))</f>
        <v>22774</v>
      </c>
      <c r="AD39" s="267">
        <f>IF(ISNA(MATCH(AD$2,Inputs!$K$4:$AJ$4,0)),NA(),IF(SUMPRODUCT((Inputs!$A$5:$A$110=$B39)*ISNUMBER(INDEX(Inputs!$K$5:$AJ$110,0,MATCH(AD$2,Inputs!$K$4:$AJ$4,0))))+SUMPRODUCT((Inputs!$C$5:$C$110=$B39)*ISNUMBER(INDEX(Inputs!$K$5:$AJ$110,0,MATCH(AD$2,Inputs!$K$4:$AJ$4,0))))+SUMPRODUCT((Inputs!$E$5:$E$110=$B39)*ISNUMBER(INDEX(Inputs!$K$5:$AJ$110,0,MATCH(AD$2,Inputs!$K$4:$AJ$4,0))))=0,NA(),SUMPRODUCT((Inputs!$A$5:$A$110=$B39)*Inputs!$B$5:$B$110*(((Inputs!$G$5:$G$110="moeda")+(Inputs!$G$5:$G$110="acoes"))*Inputs!$B$1+((Inputs!$G$5:$G$110&lt;&gt;"moeda")*(Inputs!$G$5:$G$110&lt;&gt;"acoes")))*INDEX(Inputs!$K$5:$AJ$110,0,MATCH(AD$2,Inputs!$K$4:$AJ$4,0)))+SUMPRODUCT((Inputs!$C$5:$C$110=$B39)*Inputs!$D$5:$D$110*(((Inputs!$G$5:$G$110="moeda")+(Inputs!$G$5:$G$110="acoes"))*Inputs!$B$1+((Inputs!$G$5:$G$110&lt;&gt;"moeda")*(Inputs!$G$5:$G$110&lt;&gt;"acoes")))*INDEX(Inputs!$K$5:$AJ$110,0,MATCH(AD$2,Inputs!$K$4:$AJ$4,0)))+SUMPRODUCT((Inputs!$E$5:$E$110=$B39)*Inputs!$F$5:$F$110*(((Inputs!$G$5:$G$110="moeda")+(Inputs!$G$5:$G$110="acoes"))*Inputs!$B$1+((Inputs!$G$5:$G$110&lt;&gt;"moeda")*(Inputs!$G$5:$G$110&lt;&gt;"acoes")))*INDEX(Inputs!$K$5:$AJ$110,0,MATCH(AD$2,Inputs!$K$4:$AJ$4,0)))))</f>
        <v>22225</v>
      </c>
      <c r="AE39" s="267" t="e">
        <f>IF(ISNA(MATCH(AE$2,Inputs!$K$4:$AJ$4,0)),NA(),IF(SUMPRODUCT((Inputs!$A$5:$A$110=$B39)*ISNUMBER(INDEX(Inputs!$K$5:$AJ$110,0,MATCH(AE$2,Inputs!$K$4:$AJ$4,0))))+SUMPRODUCT((Inputs!$C$5:$C$110=$B39)*ISNUMBER(INDEX(Inputs!$K$5:$AJ$110,0,MATCH(AE$2,Inputs!$K$4:$AJ$4,0))))+SUMPRODUCT((Inputs!$E$5:$E$110=$B39)*ISNUMBER(INDEX(Inputs!$K$5:$AJ$110,0,MATCH(AE$2,Inputs!$K$4:$AJ$4,0))))=0,NA(),SUMPRODUCT((Inputs!$A$5:$A$110=$B39)*Inputs!$B$5:$B$110*(((Inputs!$G$5:$G$110="moeda")+(Inputs!$G$5:$G$110="acoes"))*Inputs!$B$1+((Inputs!$G$5:$G$110&lt;&gt;"moeda")*(Inputs!$G$5:$G$110&lt;&gt;"acoes")))*INDEX(Inputs!$K$5:$AJ$110,0,MATCH(AE$2,Inputs!$K$4:$AJ$4,0)))+SUMPRODUCT((Inputs!$C$5:$C$110=$B39)*Inputs!$D$5:$D$110*(((Inputs!$G$5:$G$110="moeda")+(Inputs!$G$5:$G$110="acoes"))*Inputs!$B$1+((Inputs!$G$5:$G$110&lt;&gt;"moeda")*(Inputs!$G$5:$G$110&lt;&gt;"acoes")))*INDEX(Inputs!$K$5:$AJ$110,0,MATCH(AE$2,Inputs!$K$4:$AJ$4,0)))+SUMPRODUCT((Inputs!$E$5:$E$110=$B39)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9" s="267" t="e">
        <f>IF(ISNA(MATCH(AF$2,Inputs!$K$4:$AJ$4,0)),NA(),IF(SUMPRODUCT((Inputs!$A$5:$A$110=$B39)*ISNUMBER(INDEX(Inputs!$K$5:$AJ$110,0,MATCH(AF$2,Inputs!$K$4:$AJ$4,0))))+SUMPRODUCT((Inputs!$C$5:$C$110=$B39)*ISNUMBER(INDEX(Inputs!$K$5:$AJ$110,0,MATCH(AF$2,Inputs!$K$4:$AJ$4,0))))+SUMPRODUCT((Inputs!$E$5:$E$110=$B39)*ISNUMBER(INDEX(Inputs!$K$5:$AJ$110,0,MATCH(AF$2,Inputs!$K$4:$AJ$4,0))))=0,NA(),SUMPRODUCT((Inputs!$A$5:$A$110=$B39)*Inputs!$B$5:$B$110*(((Inputs!$G$5:$G$110="moeda")+(Inputs!$G$5:$G$110="acoes"))*Inputs!$B$1+((Inputs!$G$5:$G$110&lt;&gt;"moeda")*(Inputs!$G$5:$G$110&lt;&gt;"acoes")))*INDEX(Inputs!$K$5:$AJ$110,0,MATCH(AF$2,Inputs!$K$4:$AJ$4,0)))+SUMPRODUCT((Inputs!$C$5:$C$110=$B39)*Inputs!$D$5:$D$110*(((Inputs!$G$5:$G$110="moeda")+(Inputs!$G$5:$G$110="acoes"))*Inputs!$B$1+((Inputs!$G$5:$G$110&lt;&gt;"moeda")*(Inputs!$G$5:$G$110&lt;&gt;"acoes")))*INDEX(Inputs!$K$5:$AJ$110,0,MATCH(AF$2,Inputs!$K$4:$AJ$4,0)))+SUMPRODUCT((Inputs!$E$5:$E$110=$B39)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9" s="268" t="e">
        <f>AF39</f>
        <v>#N/A</v>
      </c>
      <c r="AH39" s="267">
        <f>IF(ISNA(MATCH(AH$2,Inputs!$K$4:$AJ$4,0)),NA(),IF(SUMPRODUCT((Inputs!$A$5:$A$110=$B39)*ISNUMBER(INDEX(Inputs!$K$5:$AJ$110,0,MATCH(AH$2,Inputs!$K$4:$AJ$4,0))))+SUMPRODUCT((Inputs!$C$5:$C$110=$B39)*ISNUMBER(INDEX(Inputs!$K$5:$AJ$110,0,MATCH(AH$2,Inputs!$K$4:$AJ$4,0))))+SUMPRODUCT((Inputs!$E$5:$E$110=$B39)*ISNUMBER(INDEX(Inputs!$K$5:$AJ$110,0,MATCH(AH$2,Inputs!$K$4:$AJ$4,0))))=0,NA(),SUMPRODUCT((Inputs!$A$5:$A$110=$B39)*Inputs!$B$5:$B$110*(((Inputs!$G$5:$G$110="moeda")+(Inputs!$G$5:$G$110="acoes"))*Inputs!$B$1+((Inputs!$G$5:$G$110&lt;&gt;"moeda")*(Inputs!$G$5:$G$110&lt;&gt;"acoes")))*INDEX(Inputs!$K$5:$AJ$110,0,MATCH(AH$2,Inputs!$K$4:$AJ$4,0)))+SUMPRODUCT((Inputs!$C$5:$C$110=$B39)*Inputs!$D$5:$D$110*(((Inputs!$G$5:$G$110="moeda")+(Inputs!$G$5:$G$110="acoes"))*Inputs!$B$1+((Inputs!$G$5:$G$110&lt;&gt;"moeda")*(Inputs!$G$5:$G$110&lt;&gt;"acoes")))*INDEX(Inputs!$K$5:$AJ$110,0,MATCH(AH$2,Inputs!$K$4:$AJ$4,0)))+SUMPRODUCT((Inputs!$E$5:$E$110=$B39)*Inputs!$F$5:$F$110*(((Inputs!$G$5:$G$110="moeda")+(Inputs!$G$5:$G$110="acoes"))*Inputs!$B$1+((Inputs!$G$5:$G$110&lt;&gt;"moeda")*(Inputs!$G$5:$G$110&lt;&gt;"acoes")))*INDEX(Inputs!$K$5:$AJ$110,0,MATCH(AH$2,Inputs!$K$4:$AJ$4,0)))))</f>
        <v>17460</v>
      </c>
      <c r="AI39" s="267">
        <f>IF(ISNA(MATCH(AI$2,Inputs!$K$4:$AJ$4,0)),NA(),IF(SUMPRODUCT((Inputs!$A$5:$A$110=$B39)*ISNUMBER(INDEX(Inputs!$K$5:$AJ$110,0,MATCH(AI$2,Inputs!$K$4:$AJ$4,0))))+SUMPRODUCT((Inputs!$C$5:$C$110=$B39)*ISNUMBER(INDEX(Inputs!$K$5:$AJ$110,0,MATCH(AI$2,Inputs!$K$4:$AJ$4,0))))+SUMPRODUCT((Inputs!$E$5:$E$110=$B39)*ISNUMBER(INDEX(Inputs!$K$5:$AJ$110,0,MATCH(AI$2,Inputs!$K$4:$AJ$4,0))))=0,NA(),SUMPRODUCT((Inputs!$A$5:$A$110=$B39)*Inputs!$B$5:$B$110*(((Inputs!$G$5:$G$110="moeda")+(Inputs!$G$5:$G$110="acoes"))*Inputs!$B$1+((Inputs!$G$5:$G$110&lt;&gt;"moeda")*(Inputs!$G$5:$G$110&lt;&gt;"acoes")))*INDEX(Inputs!$K$5:$AJ$110,0,MATCH(AI$2,Inputs!$K$4:$AJ$4,0)))+SUMPRODUCT((Inputs!$C$5:$C$110=$B39)*Inputs!$D$5:$D$110*(((Inputs!$G$5:$G$110="moeda")+(Inputs!$G$5:$G$110="acoes"))*Inputs!$B$1+((Inputs!$G$5:$G$110&lt;&gt;"moeda")*(Inputs!$G$5:$G$110&lt;&gt;"acoes")))*INDEX(Inputs!$K$5:$AJ$110,0,MATCH(AI$2,Inputs!$K$4:$AJ$4,0)))+SUMPRODUCT((Inputs!$E$5:$E$110=$B39)*Inputs!$F$5:$F$110*(((Inputs!$G$5:$G$110="moeda")+(Inputs!$G$5:$G$110="acoes"))*Inputs!$B$1+((Inputs!$G$5:$G$110&lt;&gt;"moeda")*(Inputs!$G$5:$G$110&lt;&gt;"acoes")))*INDEX(Inputs!$K$5:$AJ$110,0,MATCH(AI$2,Inputs!$K$4:$AJ$4,0)))))</f>
        <v>17600</v>
      </c>
      <c r="AJ39" s="267">
        <f>IF(ISNA(MATCH(AJ$2,Inputs!$K$4:$AJ$4,0)),NA(),IF(SUMPRODUCT((Inputs!$A$5:$A$110=$B39)*ISNUMBER(INDEX(Inputs!$K$5:$AJ$110,0,MATCH(AJ$2,Inputs!$K$4:$AJ$4,0))))+SUMPRODUCT((Inputs!$C$5:$C$110=$B39)*ISNUMBER(INDEX(Inputs!$K$5:$AJ$110,0,MATCH(AJ$2,Inputs!$K$4:$AJ$4,0))))+SUMPRODUCT((Inputs!$E$5:$E$110=$B39)*ISNUMBER(INDEX(Inputs!$K$5:$AJ$110,0,MATCH(AJ$2,Inputs!$K$4:$AJ$4,0))))=0,NA(),SUMPRODUCT((Inputs!$A$5:$A$110=$B39)*Inputs!$B$5:$B$110*(((Inputs!$G$5:$G$110="moeda")+(Inputs!$G$5:$G$110="acoes"))*Inputs!$B$1+((Inputs!$G$5:$G$110&lt;&gt;"moeda")*(Inputs!$G$5:$G$110&lt;&gt;"acoes")))*INDEX(Inputs!$K$5:$AJ$110,0,MATCH(AJ$2,Inputs!$K$4:$AJ$4,0)))+SUMPRODUCT((Inputs!$C$5:$C$110=$B39)*Inputs!$D$5:$D$110*(((Inputs!$G$5:$G$110="moeda")+(Inputs!$G$5:$G$110="acoes"))*Inputs!$B$1+((Inputs!$G$5:$G$110&lt;&gt;"moeda")*(Inputs!$G$5:$G$110&lt;&gt;"acoes")))*INDEX(Inputs!$K$5:$AJ$110,0,MATCH(AJ$2,Inputs!$K$4:$AJ$4,0)))+SUMPRODUCT((Inputs!$E$5:$E$110=$B39)*Inputs!$F$5:$F$110*(((Inputs!$G$5:$G$110="moeda")+(Inputs!$G$5:$G$110="acoes"))*Inputs!$B$1+((Inputs!$G$5:$G$110&lt;&gt;"moeda")*(Inputs!$G$5:$G$110&lt;&gt;"acoes")))*INDEX(Inputs!$K$5:$AJ$110,0,MATCH(AJ$2,Inputs!$K$4:$AJ$4,0)))))</f>
        <v>18407</v>
      </c>
      <c r="AK39" s="267">
        <f>IF(ISNA(MATCH(AK$2,Inputs!$K$4:$AJ$4,0)),NA(),IF(SUMPRODUCT((Inputs!$A$5:$A$110=$B39)*ISNUMBER(INDEX(Inputs!$K$5:$AJ$110,0,MATCH(AK$2,Inputs!$K$4:$AJ$4,0))))+SUMPRODUCT((Inputs!$C$5:$C$110=$B39)*ISNUMBER(INDEX(Inputs!$K$5:$AJ$110,0,MATCH(AK$2,Inputs!$K$4:$AJ$4,0))))+SUMPRODUCT((Inputs!$E$5:$E$110=$B39)*ISNUMBER(INDEX(Inputs!$K$5:$AJ$110,0,MATCH(AK$2,Inputs!$K$4:$AJ$4,0))))=0,NA(),SUMPRODUCT((Inputs!$A$5:$A$110=$B39)*Inputs!$B$5:$B$110*(((Inputs!$G$5:$G$110="moeda")+(Inputs!$G$5:$G$110="acoes"))*Inputs!$B$1+((Inputs!$G$5:$G$110&lt;&gt;"moeda")*(Inputs!$G$5:$G$110&lt;&gt;"acoes")))*INDEX(Inputs!$K$5:$AJ$110,0,MATCH(AK$2,Inputs!$K$4:$AJ$4,0)))+SUMPRODUCT((Inputs!$C$5:$C$110=$B39)*Inputs!$D$5:$D$110*(((Inputs!$G$5:$G$110="moeda")+(Inputs!$G$5:$G$110="acoes"))*Inputs!$B$1+((Inputs!$G$5:$G$110&lt;&gt;"moeda")*(Inputs!$G$5:$G$110&lt;&gt;"acoes")))*INDEX(Inputs!$K$5:$AJ$110,0,MATCH(AK$2,Inputs!$K$4:$AJ$4,0)))+SUMPRODUCT((Inputs!$E$5:$E$110=$B39)*Inputs!$F$5:$F$110*(((Inputs!$G$5:$G$110="moeda")+(Inputs!$G$5:$G$110="acoes"))*Inputs!$B$1+((Inputs!$G$5:$G$110&lt;&gt;"moeda")*(Inputs!$G$5:$G$110&lt;&gt;"acoes")))*INDEX(Inputs!$K$5:$AJ$110,0,MATCH(AK$2,Inputs!$K$4:$AJ$4,0)))))</f>
        <v>18217</v>
      </c>
      <c r="AL39" s="268">
        <f>AK39</f>
        <v>18217</v>
      </c>
    </row>
    <row r="40" ht="12.75" customHeight="1" s="255">
      <c r="C40" s="259" t="n"/>
    </row>
    <row r="41" ht="12.75" customHeight="1" s="255">
      <c r="B41" s="265" t="n">
        <v>35</v>
      </c>
      <c r="C41" s="270" t="inlineStr">
        <is>
          <t>Minority interest</t>
        </is>
      </c>
      <c r="D41" s="267">
        <f>IF(ISNA(MATCH(D$2,Inputs!$K$4:$AJ$4,0)),NA(),IF(SUMPRODUCT((Inputs!$A$5:$A$110=$B41)*ISNUMBER(INDEX(Inputs!$K$5:$AJ$110,0,MATCH(D$2,Inputs!$K$4:$AJ$4,0))))+SUMPRODUCT((Inputs!$C$5:$C$110=$B41)*ISNUMBER(INDEX(Inputs!$K$5:$AJ$110,0,MATCH(D$2,Inputs!$K$4:$AJ$4,0))))+SUMPRODUCT((Inputs!$E$5:$E$110=$B41)*ISNUMBER(INDEX(Inputs!$K$5:$AJ$110,0,MATCH(D$2,Inputs!$K$4:$AJ$4,0))))=0,NA(),SUMPRODUCT((Inputs!$A$5:$A$110=$B41)*Inputs!$B$5:$B$110*(((Inputs!$G$5:$G$110="moeda")+(Inputs!$G$5:$G$110="acoes"))*Inputs!$B$1+((Inputs!$G$5:$G$110&lt;&gt;"moeda")*(Inputs!$G$5:$G$110&lt;&gt;"acoes")))*INDEX(Inputs!$K$5:$AJ$110,0,MATCH(D$2,Inputs!$K$4:$AJ$4,0)))+SUMPRODUCT((Inputs!$C$5:$C$110=$B41)*Inputs!$D$5:$D$110*(((Inputs!$G$5:$G$110="moeda")+(Inputs!$G$5:$G$110="acoes"))*Inputs!$B$1+((Inputs!$G$5:$G$110&lt;&gt;"moeda")*(Inputs!$G$5:$G$110&lt;&gt;"acoes")))*INDEX(Inputs!$K$5:$AJ$110,0,MATCH(D$2,Inputs!$K$4:$AJ$4,0)))+SUMPRODUCT((Inputs!$E$5:$E$110=$B41)*Inputs!$F$5:$F$110*(((Inputs!$G$5:$G$110="moeda")+(Inputs!$G$5:$G$110="acoes"))*Inputs!$B$1+((Inputs!$G$5:$G$110&lt;&gt;"moeda")*(Inputs!$G$5:$G$110&lt;&gt;"acoes")))*INDEX(Inputs!$K$5:$AJ$110,0,MATCH(D$2,Inputs!$K$4:$AJ$4,0)))))</f>
        <v>6257</v>
      </c>
      <c r="E41" s="267">
        <f>IF(ISNA(MATCH(E$2,Inputs!$K$4:$AJ$4,0)),NA(),IF(SUMPRODUCT((Inputs!$A$5:$A$110=$B41)*ISNUMBER(INDEX(Inputs!$K$5:$AJ$110,0,MATCH(E$2,Inputs!$K$4:$AJ$4,0))))+SUMPRODUCT((Inputs!$C$5:$C$110=$B41)*ISNUMBER(INDEX(Inputs!$K$5:$AJ$110,0,MATCH(E$2,Inputs!$K$4:$AJ$4,0))))+SUMPRODUCT((Inputs!$E$5:$E$110=$B41)*ISNUMBER(INDEX(Inputs!$K$5:$AJ$110,0,MATCH(E$2,Inputs!$K$4:$AJ$4,0))))=0,NA(),SUMPRODUCT((Inputs!$A$5:$A$110=$B41)*Inputs!$B$5:$B$110*(((Inputs!$G$5:$G$110="moeda")+(Inputs!$G$5:$G$110="acoes"))*Inputs!$B$1+((Inputs!$G$5:$G$110&lt;&gt;"moeda")*(Inputs!$G$5:$G$110&lt;&gt;"acoes")))*INDEX(Inputs!$K$5:$AJ$110,0,MATCH(E$2,Inputs!$K$4:$AJ$4,0)))+SUMPRODUCT((Inputs!$C$5:$C$110=$B41)*Inputs!$D$5:$D$110*(((Inputs!$G$5:$G$110="moeda")+(Inputs!$G$5:$G$110="acoes"))*Inputs!$B$1+((Inputs!$G$5:$G$110&lt;&gt;"moeda")*(Inputs!$G$5:$G$110&lt;&gt;"acoes")))*INDEX(Inputs!$K$5:$AJ$110,0,MATCH(E$2,Inputs!$K$4:$AJ$4,0)))+SUMPRODUCT((Inputs!$E$5:$E$110=$B41)*Inputs!$F$5:$F$110*(((Inputs!$G$5:$G$110="moeda")+(Inputs!$G$5:$G$110="acoes"))*Inputs!$B$1+((Inputs!$G$5:$G$110&lt;&gt;"moeda")*(Inputs!$G$5:$G$110&lt;&gt;"acoes")))*INDEX(Inputs!$K$5:$AJ$110,0,MATCH(E$2,Inputs!$K$4:$AJ$4,0)))))</f>
        <v>6598</v>
      </c>
      <c r="F41" s="267">
        <f>IF(ISNA(MATCH(F$2,Inputs!$K$4:$AJ$4,0)),NA(),IF(SUMPRODUCT((Inputs!$A$5:$A$110=$B41)*ISNUMBER(INDEX(Inputs!$K$5:$AJ$110,0,MATCH(F$2,Inputs!$K$4:$AJ$4,0))))+SUMPRODUCT((Inputs!$C$5:$C$110=$B41)*ISNUMBER(INDEX(Inputs!$K$5:$AJ$110,0,MATCH(F$2,Inputs!$K$4:$AJ$4,0))))+SUMPRODUCT((Inputs!$E$5:$E$110=$B41)*ISNUMBER(INDEX(Inputs!$K$5:$AJ$110,0,MATCH(F$2,Inputs!$K$4:$AJ$4,0))))=0,NA(),SUMPRODUCT((Inputs!$A$5:$A$110=$B41)*Inputs!$B$5:$B$110*(((Inputs!$G$5:$G$110="moeda")+(Inputs!$G$5:$G$110="acoes"))*Inputs!$B$1+((Inputs!$G$5:$G$110&lt;&gt;"moeda")*(Inputs!$G$5:$G$110&lt;&gt;"acoes")))*INDEX(Inputs!$K$5:$AJ$110,0,MATCH(F$2,Inputs!$K$4:$AJ$4,0)))+SUMPRODUCT((Inputs!$C$5:$C$110=$B41)*Inputs!$D$5:$D$110*(((Inputs!$G$5:$G$110="moeda")+(Inputs!$G$5:$G$110="acoes"))*Inputs!$B$1+((Inputs!$G$5:$G$110&lt;&gt;"moeda")*(Inputs!$G$5:$G$110&lt;&gt;"acoes")))*INDEX(Inputs!$K$5:$AJ$110,0,MATCH(F$2,Inputs!$K$4:$AJ$4,0)))+SUMPRODUCT((Inputs!$E$5:$E$110=$B41)*Inputs!$F$5:$F$110*(((Inputs!$G$5:$G$110="moeda")+(Inputs!$G$5:$G$110="acoes"))*Inputs!$B$1+((Inputs!$G$5:$G$110&lt;&gt;"moeda")*(Inputs!$G$5:$G$110&lt;&gt;"acoes")))*INDEX(Inputs!$K$5:$AJ$110,0,MATCH(F$2,Inputs!$K$4:$AJ$4,0)))))</f>
        <v>8483</v>
      </c>
      <c r="G41" s="267">
        <f>IF(ISNA(MATCH(G$2,Inputs!$K$4:$AJ$4,0)),NA(),IF(SUMPRODUCT((Inputs!$A$5:$A$110=$B41)*ISNUMBER(INDEX(Inputs!$K$5:$AJ$110,0,MATCH(G$2,Inputs!$K$4:$AJ$4,0))))+SUMPRODUCT((Inputs!$C$5:$C$110=$B41)*ISNUMBER(INDEX(Inputs!$K$5:$AJ$110,0,MATCH(G$2,Inputs!$K$4:$AJ$4,0))))+SUMPRODUCT((Inputs!$E$5:$E$110=$B41)*ISNUMBER(INDEX(Inputs!$K$5:$AJ$110,0,MATCH(G$2,Inputs!$K$4:$AJ$4,0))))=0,NA(),SUMPRODUCT((Inputs!$A$5:$A$110=$B41)*Inputs!$B$5:$B$110*(((Inputs!$G$5:$G$110="moeda")+(Inputs!$G$5:$G$110="acoes"))*Inputs!$B$1+((Inputs!$G$5:$G$110&lt;&gt;"moeda")*(Inputs!$G$5:$G$110&lt;&gt;"acoes")))*INDEX(Inputs!$K$5:$AJ$110,0,MATCH(G$2,Inputs!$K$4:$AJ$4,0)))+SUMPRODUCT((Inputs!$C$5:$C$110=$B41)*Inputs!$D$5:$D$110*(((Inputs!$G$5:$G$110="moeda")+(Inputs!$G$5:$G$110="acoes"))*Inputs!$B$1+((Inputs!$G$5:$G$110&lt;&gt;"moeda")*(Inputs!$G$5:$G$110&lt;&gt;"acoes")))*INDEX(Inputs!$K$5:$AJ$110,0,MATCH(G$2,Inputs!$K$4:$AJ$4,0)))+SUMPRODUCT((Inputs!$E$5:$E$110=$B41)*Inputs!$F$5:$F$110*(((Inputs!$G$5:$G$110="moeda")+(Inputs!$G$5:$G$110="acoes"))*Inputs!$B$1+((Inputs!$G$5:$G$110&lt;&gt;"moeda")*(Inputs!$G$5:$G$110&lt;&gt;"acoes")))*INDEX(Inputs!$K$5:$AJ$110,0,MATCH(G$2,Inputs!$K$4:$AJ$4,0)))))</f>
        <v>8638</v>
      </c>
      <c r="H41" s="268">
        <f>G41</f>
        <v>8638</v>
      </c>
      <c r="I41" s="267">
        <f>IF(ISNA(MATCH(I$2,Inputs!$K$4:$AJ$4,0)),NA(),IF(SUMPRODUCT((Inputs!$A$5:$A$110=$B41)*ISNUMBER(INDEX(Inputs!$K$5:$AJ$110,0,MATCH(I$2,Inputs!$K$4:$AJ$4,0))))+SUMPRODUCT((Inputs!$C$5:$C$110=$B41)*ISNUMBER(INDEX(Inputs!$K$5:$AJ$110,0,MATCH(I$2,Inputs!$K$4:$AJ$4,0))))+SUMPRODUCT((Inputs!$E$5:$E$110=$B41)*ISNUMBER(INDEX(Inputs!$K$5:$AJ$110,0,MATCH(I$2,Inputs!$K$4:$AJ$4,0))))=0,NA(),SUMPRODUCT((Inputs!$A$5:$A$110=$B41)*Inputs!$B$5:$B$110*(((Inputs!$G$5:$G$110="moeda")+(Inputs!$G$5:$G$110="acoes"))*Inputs!$B$1+((Inputs!$G$5:$G$110&lt;&gt;"moeda")*(Inputs!$G$5:$G$110&lt;&gt;"acoes")))*INDEX(Inputs!$K$5:$AJ$110,0,MATCH(I$2,Inputs!$K$4:$AJ$4,0)))+SUMPRODUCT((Inputs!$C$5:$C$110=$B41)*Inputs!$D$5:$D$110*(((Inputs!$G$5:$G$110="moeda")+(Inputs!$G$5:$G$110="acoes"))*Inputs!$B$1+((Inputs!$G$5:$G$110&lt;&gt;"moeda")*(Inputs!$G$5:$G$110&lt;&gt;"acoes")))*INDEX(Inputs!$K$5:$AJ$110,0,MATCH(I$2,Inputs!$K$4:$AJ$4,0)))+SUMPRODUCT((Inputs!$E$5:$E$110=$B41)*Inputs!$F$5:$F$110*(((Inputs!$G$5:$G$110="moeda")+(Inputs!$G$5:$G$110="acoes"))*Inputs!$B$1+((Inputs!$G$5:$G$110&lt;&gt;"moeda")*(Inputs!$G$5:$G$110&lt;&gt;"acoes")))*INDEX(Inputs!$K$5:$AJ$110,0,MATCH(I$2,Inputs!$K$4:$AJ$4,0)))))</f>
        <v>8964</v>
      </c>
      <c r="J41" s="267">
        <f>IF(ISNA(MATCH(J$2,Inputs!$K$4:$AJ$4,0)),NA(),IF(SUMPRODUCT((Inputs!$A$5:$A$110=$B41)*ISNUMBER(INDEX(Inputs!$K$5:$AJ$110,0,MATCH(J$2,Inputs!$K$4:$AJ$4,0))))+SUMPRODUCT((Inputs!$C$5:$C$110=$B41)*ISNUMBER(INDEX(Inputs!$K$5:$AJ$110,0,MATCH(J$2,Inputs!$K$4:$AJ$4,0))))+SUMPRODUCT((Inputs!$E$5:$E$110=$B41)*ISNUMBER(INDEX(Inputs!$K$5:$AJ$110,0,MATCH(J$2,Inputs!$K$4:$AJ$4,0))))=0,NA(),SUMPRODUCT((Inputs!$A$5:$A$110=$B41)*Inputs!$B$5:$B$110*(((Inputs!$G$5:$G$110="moeda")+(Inputs!$G$5:$G$110="acoes"))*Inputs!$B$1+((Inputs!$G$5:$G$110&lt;&gt;"moeda")*(Inputs!$G$5:$G$110&lt;&gt;"acoes")))*INDEX(Inputs!$K$5:$AJ$110,0,MATCH(J$2,Inputs!$K$4:$AJ$4,0)))+SUMPRODUCT((Inputs!$C$5:$C$110=$B41)*Inputs!$D$5:$D$110*(((Inputs!$G$5:$G$110="moeda")+(Inputs!$G$5:$G$110="acoes"))*Inputs!$B$1+((Inputs!$G$5:$G$110&lt;&gt;"moeda")*(Inputs!$G$5:$G$110&lt;&gt;"acoes")))*INDEX(Inputs!$K$5:$AJ$110,0,MATCH(J$2,Inputs!$K$4:$AJ$4,0)))+SUMPRODUCT((Inputs!$E$5:$E$110=$B41)*Inputs!$F$5:$F$110*(((Inputs!$G$5:$G$110="moeda")+(Inputs!$G$5:$G$110="acoes"))*Inputs!$B$1+((Inputs!$G$5:$G$110&lt;&gt;"moeda")*(Inputs!$G$5:$G$110&lt;&gt;"acoes")))*INDEX(Inputs!$K$5:$AJ$110,0,MATCH(J$2,Inputs!$K$4:$AJ$4,0)))))</f>
        <v>8278</v>
      </c>
      <c r="K41" s="267">
        <f>IF(ISNA(MATCH(K$2,Inputs!$K$4:$AJ$4,0)),NA(),IF(SUMPRODUCT((Inputs!$A$5:$A$110=$B41)*ISNUMBER(INDEX(Inputs!$K$5:$AJ$110,0,MATCH(K$2,Inputs!$K$4:$AJ$4,0))))+SUMPRODUCT((Inputs!$C$5:$C$110=$B41)*ISNUMBER(INDEX(Inputs!$K$5:$AJ$110,0,MATCH(K$2,Inputs!$K$4:$AJ$4,0))))+SUMPRODUCT((Inputs!$E$5:$E$110=$B41)*ISNUMBER(INDEX(Inputs!$K$5:$AJ$110,0,MATCH(K$2,Inputs!$K$4:$AJ$4,0))))=0,NA(),SUMPRODUCT((Inputs!$A$5:$A$110=$B41)*Inputs!$B$5:$B$110*(((Inputs!$G$5:$G$110="moeda")+(Inputs!$G$5:$G$110="acoes"))*Inputs!$B$1+((Inputs!$G$5:$G$110&lt;&gt;"moeda")*(Inputs!$G$5:$G$110&lt;&gt;"acoes")))*INDEX(Inputs!$K$5:$AJ$110,0,MATCH(K$2,Inputs!$K$4:$AJ$4,0)))+SUMPRODUCT((Inputs!$C$5:$C$110=$B41)*Inputs!$D$5:$D$110*(((Inputs!$G$5:$G$110="moeda")+(Inputs!$G$5:$G$110="acoes"))*Inputs!$B$1+((Inputs!$G$5:$G$110&lt;&gt;"moeda")*(Inputs!$G$5:$G$110&lt;&gt;"acoes")))*INDEX(Inputs!$K$5:$AJ$110,0,MATCH(K$2,Inputs!$K$4:$AJ$4,0)))+SUMPRODUCT((Inputs!$E$5:$E$110=$B41)*Inputs!$F$5:$F$110*(((Inputs!$G$5:$G$110="moeda")+(Inputs!$G$5:$G$110="acoes"))*Inputs!$B$1+((Inputs!$G$5:$G$110&lt;&gt;"moeda")*(Inputs!$G$5:$G$110&lt;&gt;"acoes")))*INDEX(Inputs!$K$5:$AJ$110,0,MATCH(K$2,Inputs!$K$4:$AJ$4,0)))))</f>
        <v>8130</v>
      </c>
      <c r="L41" s="267">
        <f>IF(ISNA(MATCH(L$2,Inputs!$K$4:$AJ$4,0)),NA(),IF(SUMPRODUCT((Inputs!$A$5:$A$110=$B41)*ISNUMBER(INDEX(Inputs!$K$5:$AJ$110,0,MATCH(L$2,Inputs!$K$4:$AJ$4,0))))+SUMPRODUCT((Inputs!$C$5:$C$110=$B41)*ISNUMBER(INDEX(Inputs!$K$5:$AJ$110,0,MATCH(L$2,Inputs!$K$4:$AJ$4,0))))+SUMPRODUCT((Inputs!$E$5:$E$110=$B41)*ISNUMBER(INDEX(Inputs!$K$5:$AJ$110,0,MATCH(L$2,Inputs!$K$4:$AJ$4,0))))=0,NA(),SUMPRODUCT((Inputs!$A$5:$A$110=$B41)*Inputs!$B$5:$B$110*(((Inputs!$G$5:$G$110="moeda")+(Inputs!$G$5:$G$110="acoes"))*Inputs!$B$1+((Inputs!$G$5:$G$110&lt;&gt;"moeda")*(Inputs!$G$5:$G$110&lt;&gt;"acoes")))*INDEX(Inputs!$K$5:$AJ$110,0,MATCH(L$2,Inputs!$K$4:$AJ$4,0)))+SUMPRODUCT((Inputs!$C$5:$C$110=$B41)*Inputs!$D$5:$D$110*(((Inputs!$G$5:$G$110="moeda")+(Inputs!$G$5:$G$110="acoes"))*Inputs!$B$1+((Inputs!$G$5:$G$110&lt;&gt;"moeda")*(Inputs!$G$5:$G$110&lt;&gt;"acoes")))*INDEX(Inputs!$K$5:$AJ$110,0,MATCH(L$2,Inputs!$K$4:$AJ$4,0)))+SUMPRODUCT((Inputs!$E$5:$E$110=$B41)*Inputs!$F$5:$F$110*(((Inputs!$G$5:$G$110="moeda")+(Inputs!$G$5:$G$110="acoes"))*Inputs!$B$1+((Inputs!$G$5:$G$110&lt;&gt;"moeda")*(Inputs!$G$5:$G$110&lt;&gt;"acoes")))*INDEX(Inputs!$K$5:$AJ$110,0,MATCH(L$2,Inputs!$K$4:$AJ$4,0)))))</f>
        <v>7298</v>
      </c>
      <c r="M41" s="268">
        <f>L41</f>
        <v>7298</v>
      </c>
      <c r="N41" s="267">
        <f>IF(ISNA(MATCH(N$2,Inputs!$K$4:$AJ$4,0)),NA(),IF(SUMPRODUCT((Inputs!$A$5:$A$110=$B41)*ISNUMBER(INDEX(Inputs!$K$5:$AJ$110,0,MATCH(N$2,Inputs!$K$4:$AJ$4,0))))+SUMPRODUCT((Inputs!$C$5:$C$110=$B41)*ISNUMBER(INDEX(Inputs!$K$5:$AJ$110,0,MATCH(N$2,Inputs!$K$4:$AJ$4,0))))+SUMPRODUCT((Inputs!$E$5:$E$110=$B41)*ISNUMBER(INDEX(Inputs!$K$5:$AJ$110,0,MATCH(N$2,Inputs!$K$4:$AJ$4,0))))=0,NA(),SUMPRODUCT((Inputs!$A$5:$A$110=$B41)*Inputs!$B$5:$B$110*(((Inputs!$G$5:$G$110="moeda")+(Inputs!$G$5:$G$110="acoes"))*Inputs!$B$1+((Inputs!$G$5:$G$110&lt;&gt;"moeda")*(Inputs!$G$5:$G$110&lt;&gt;"acoes")))*INDEX(Inputs!$K$5:$AJ$110,0,MATCH(N$2,Inputs!$K$4:$AJ$4,0)))+SUMPRODUCT((Inputs!$C$5:$C$110=$B41)*Inputs!$D$5:$D$110*(((Inputs!$G$5:$G$110="moeda")+(Inputs!$G$5:$G$110="acoes"))*Inputs!$B$1+((Inputs!$G$5:$G$110&lt;&gt;"moeda")*(Inputs!$G$5:$G$110&lt;&gt;"acoes")))*INDEX(Inputs!$K$5:$AJ$110,0,MATCH(N$2,Inputs!$K$4:$AJ$4,0)))+SUMPRODUCT((Inputs!$E$5:$E$110=$B41)*Inputs!$F$5:$F$110*(((Inputs!$G$5:$G$110="moeda")+(Inputs!$G$5:$G$110="acoes"))*Inputs!$B$1+((Inputs!$G$5:$G$110&lt;&gt;"moeda")*(Inputs!$G$5:$G$110&lt;&gt;"acoes")))*INDEX(Inputs!$K$5:$AJ$110,0,MATCH(N$2,Inputs!$K$4:$AJ$4,0)))))</f>
        <v>7060</v>
      </c>
      <c r="O41" s="267">
        <f>IF(ISNA(MATCH(O$2,Inputs!$K$4:$AJ$4,0)),NA(),IF(SUMPRODUCT((Inputs!$A$5:$A$110=$B41)*ISNUMBER(INDEX(Inputs!$K$5:$AJ$110,0,MATCH(O$2,Inputs!$K$4:$AJ$4,0))))+SUMPRODUCT((Inputs!$C$5:$C$110=$B41)*ISNUMBER(INDEX(Inputs!$K$5:$AJ$110,0,MATCH(O$2,Inputs!$K$4:$AJ$4,0))))+SUMPRODUCT((Inputs!$E$5:$E$110=$B41)*ISNUMBER(INDEX(Inputs!$K$5:$AJ$110,0,MATCH(O$2,Inputs!$K$4:$AJ$4,0))))=0,NA(),SUMPRODUCT((Inputs!$A$5:$A$110=$B41)*Inputs!$B$5:$B$110*(((Inputs!$G$5:$G$110="moeda")+(Inputs!$G$5:$G$110="acoes"))*Inputs!$B$1+((Inputs!$G$5:$G$110&lt;&gt;"moeda")*(Inputs!$G$5:$G$110&lt;&gt;"acoes")))*INDEX(Inputs!$K$5:$AJ$110,0,MATCH(O$2,Inputs!$K$4:$AJ$4,0)))+SUMPRODUCT((Inputs!$C$5:$C$110=$B41)*Inputs!$D$5:$D$110*(((Inputs!$G$5:$G$110="moeda")+(Inputs!$G$5:$G$110="acoes"))*Inputs!$B$1+((Inputs!$G$5:$G$110&lt;&gt;"moeda")*(Inputs!$G$5:$G$110&lt;&gt;"acoes")))*INDEX(Inputs!$K$5:$AJ$110,0,MATCH(O$2,Inputs!$K$4:$AJ$4,0)))+SUMPRODUCT((Inputs!$E$5:$E$110=$B41)*Inputs!$F$5:$F$110*(((Inputs!$G$5:$G$110="moeda")+(Inputs!$G$5:$G$110="acoes"))*Inputs!$B$1+((Inputs!$G$5:$G$110&lt;&gt;"moeda")*(Inputs!$G$5:$G$110&lt;&gt;"acoes")))*INDEX(Inputs!$K$5:$AJ$110,0,MATCH(O$2,Inputs!$K$4:$AJ$4,0)))))</f>
        <v>6003</v>
      </c>
      <c r="P41" s="267">
        <f>IF(ISNA(MATCH(P$2,Inputs!$K$4:$AJ$4,0)),NA(),IF(SUMPRODUCT((Inputs!$A$5:$A$110=$B41)*ISNUMBER(INDEX(Inputs!$K$5:$AJ$110,0,MATCH(P$2,Inputs!$K$4:$AJ$4,0))))+SUMPRODUCT((Inputs!$C$5:$C$110=$B41)*ISNUMBER(INDEX(Inputs!$K$5:$AJ$110,0,MATCH(P$2,Inputs!$K$4:$AJ$4,0))))+SUMPRODUCT((Inputs!$E$5:$E$110=$B41)*ISNUMBER(INDEX(Inputs!$K$5:$AJ$110,0,MATCH(P$2,Inputs!$K$4:$AJ$4,0))))=0,NA(),SUMPRODUCT((Inputs!$A$5:$A$110=$B41)*Inputs!$B$5:$B$110*(((Inputs!$G$5:$G$110="moeda")+(Inputs!$G$5:$G$110="acoes"))*Inputs!$B$1+((Inputs!$G$5:$G$110&lt;&gt;"moeda")*(Inputs!$G$5:$G$110&lt;&gt;"acoes")))*INDEX(Inputs!$K$5:$AJ$110,0,MATCH(P$2,Inputs!$K$4:$AJ$4,0)))+SUMPRODUCT((Inputs!$C$5:$C$110=$B41)*Inputs!$D$5:$D$110*(((Inputs!$G$5:$G$110="moeda")+(Inputs!$G$5:$G$110="acoes"))*Inputs!$B$1+((Inputs!$G$5:$G$110&lt;&gt;"moeda")*(Inputs!$G$5:$G$110&lt;&gt;"acoes")))*INDEX(Inputs!$K$5:$AJ$110,0,MATCH(P$2,Inputs!$K$4:$AJ$4,0)))+SUMPRODUCT((Inputs!$E$5:$E$110=$B41)*Inputs!$F$5:$F$110*(((Inputs!$G$5:$G$110="moeda")+(Inputs!$G$5:$G$110="acoes"))*Inputs!$B$1+((Inputs!$G$5:$G$110&lt;&gt;"moeda")*(Inputs!$G$5:$G$110&lt;&gt;"acoes")))*INDEX(Inputs!$K$5:$AJ$110,0,MATCH(P$2,Inputs!$K$4:$AJ$4,0)))))</f>
        <v>6355</v>
      </c>
      <c r="Q41" s="267">
        <f>IF(ISNA(MATCH(Q$2,Inputs!$K$4:$AJ$4,0)),NA(),IF(SUMPRODUCT((Inputs!$A$5:$A$110=$B41)*ISNUMBER(INDEX(Inputs!$K$5:$AJ$110,0,MATCH(Q$2,Inputs!$K$4:$AJ$4,0))))+SUMPRODUCT((Inputs!$C$5:$C$110=$B41)*ISNUMBER(INDEX(Inputs!$K$5:$AJ$110,0,MATCH(Q$2,Inputs!$K$4:$AJ$4,0))))+SUMPRODUCT((Inputs!$E$5:$E$110=$B41)*ISNUMBER(INDEX(Inputs!$K$5:$AJ$110,0,MATCH(Q$2,Inputs!$K$4:$AJ$4,0))))=0,NA(),SUMPRODUCT((Inputs!$A$5:$A$110=$B41)*Inputs!$B$5:$B$110*(((Inputs!$G$5:$G$110="moeda")+(Inputs!$G$5:$G$110="acoes"))*Inputs!$B$1+((Inputs!$G$5:$G$110&lt;&gt;"moeda")*(Inputs!$G$5:$G$110&lt;&gt;"acoes")))*INDEX(Inputs!$K$5:$AJ$110,0,MATCH(Q$2,Inputs!$K$4:$AJ$4,0)))+SUMPRODUCT((Inputs!$C$5:$C$110=$B41)*Inputs!$D$5:$D$110*(((Inputs!$G$5:$G$110="moeda")+(Inputs!$G$5:$G$110="acoes"))*Inputs!$B$1+((Inputs!$G$5:$G$110&lt;&gt;"moeda")*(Inputs!$G$5:$G$110&lt;&gt;"acoes")))*INDEX(Inputs!$K$5:$AJ$110,0,MATCH(Q$2,Inputs!$K$4:$AJ$4,0)))+SUMPRODUCT((Inputs!$E$5:$E$110=$B41)*Inputs!$F$5:$F$110*(((Inputs!$G$5:$G$110="moeda")+(Inputs!$G$5:$G$110="acoes"))*Inputs!$B$1+((Inputs!$G$5:$G$110&lt;&gt;"moeda")*(Inputs!$G$5:$G$110&lt;&gt;"acoes")))*INDEX(Inputs!$K$5:$AJ$110,0,MATCH(Q$2,Inputs!$K$4:$AJ$4,0)))))</f>
        <v>6710</v>
      </c>
      <c r="R41" s="268">
        <f>Q41</f>
        <v>6710</v>
      </c>
      <c r="S41" s="267">
        <f>IF(ISNA(MATCH(S$2,Inputs!$K$4:$AJ$4,0)),NA(),IF(SUMPRODUCT((Inputs!$A$5:$A$110=$B41)*ISNUMBER(INDEX(Inputs!$K$5:$AJ$110,0,MATCH(S$2,Inputs!$K$4:$AJ$4,0))))+SUMPRODUCT((Inputs!$C$5:$C$110=$B41)*ISNUMBER(INDEX(Inputs!$K$5:$AJ$110,0,MATCH(S$2,Inputs!$K$4:$AJ$4,0))))+SUMPRODUCT((Inputs!$E$5:$E$110=$B41)*ISNUMBER(INDEX(Inputs!$K$5:$AJ$110,0,MATCH(S$2,Inputs!$K$4:$AJ$4,0))))=0,NA(),SUMPRODUCT((Inputs!$A$5:$A$110=$B41)*Inputs!$B$5:$B$110*(((Inputs!$G$5:$G$110="moeda")+(Inputs!$G$5:$G$110="acoes"))*Inputs!$B$1+((Inputs!$G$5:$G$110&lt;&gt;"moeda")*(Inputs!$G$5:$G$110&lt;&gt;"acoes")))*INDEX(Inputs!$K$5:$AJ$110,0,MATCH(S$2,Inputs!$K$4:$AJ$4,0)))+SUMPRODUCT((Inputs!$C$5:$C$110=$B41)*Inputs!$D$5:$D$110*(((Inputs!$G$5:$G$110="moeda")+(Inputs!$G$5:$G$110="acoes"))*Inputs!$B$1+((Inputs!$G$5:$G$110&lt;&gt;"moeda")*(Inputs!$G$5:$G$110&lt;&gt;"acoes")))*INDEX(Inputs!$K$5:$AJ$110,0,MATCH(S$2,Inputs!$K$4:$AJ$4,0)))+SUMPRODUCT((Inputs!$E$5:$E$110=$B41)*Inputs!$F$5:$F$110*(((Inputs!$G$5:$G$110="moeda")+(Inputs!$G$5:$G$110="acoes"))*Inputs!$B$1+((Inputs!$G$5:$G$110&lt;&gt;"moeda")*(Inputs!$G$5:$G$110&lt;&gt;"acoes")))*INDEX(Inputs!$K$5:$AJ$110,0,MATCH(S$2,Inputs!$K$4:$AJ$4,0)))))</f>
        <v>6997</v>
      </c>
      <c r="T41" s="267">
        <f>IF(ISNA(MATCH(T$2,Inputs!$K$4:$AJ$4,0)),NA(),IF(SUMPRODUCT((Inputs!$A$5:$A$110=$B41)*ISNUMBER(INDEX(Inputs!$K$5:$AJ$110,0,MATCH(T$2,Inputs!$K$4:$AJ$4,0))))+SUMPRODUCT((Inputs!$C$5:$C$110=$B41)*ISNUMBER(INDEX(Inputs!$K$5:$AJ$110,0,MATCH(T$2,Inputs!$K$4:$AJ$4,0))))+SUMPRODUCT((Inputs!$E$5:$E$110=$B41)*ISNUMBER(INDEX(Inputs!$K$5:$AJ$110,0,MATCH(T$2,Inputs!$K$4:$AJ$4,0))))=0,NA(),SUMPRODUCT((Inputs!$A$5:$A$110=$B41)*Inputs!$B$5:$B$110*(((Inputs!$G$5:$G$110="moeda")+(Inputs!$G$5:$G$110="acoes"))*Inputs!$B$1+((Inputs!$G$5:$G$110&lt;&gt;"moeda")*(Inputs!$G$5:$G$110&lt;&gt;"acoes")))*INDEX(Inputs!$K$5:$AJ$110,0,MATCH(T$2,Inputs!$K$4:$AJ$4,0)))+SUMPRODUCT((Inputs!$C$5:$C$110=$B41)*Inputs!$D$5:$D$110*(((Inputs!$G$5:$G$110="moeda")+(Inputs!$G$5:$G$110="acoes"))*Inputs!$B$1+((Inputs!$G$5:$G$110&lt;&gt;"moeda")*(Inputs!$G$5:$G$110&lt;&gt;"acoes")))*INDEX(Inputs!$K$5:$AJ$110,0,MATCH(T$2,Inputs!$K$4:$AJ$4,0)))+SUMPRODUCT((Inputs!$E$5:$E$110=$B41)*Inputs!$F$5:$F$110*(((Inputs!$G$5:$G$110="moeda")+(Inputs!$G$5:$G$110="acoes"))*Inputs!$B$1+((Inputs!$G$5:$G$110&lt;&gt;"moeda")*(Inputs!$G$5:$G$110&lt;&gt;"acoes")))*INDEX(Inputs!$K$5:$AJ$110,0,MATCH(T$2,Inputs!$K$4:$AJ$4,0)))))</f>
        <v>6349</v>
      </c>
      <c r="U41" s="267">
        <f>IF(ISNA(MATCH(U$2,Inputs!$K$4:$AJ$4,0)),NA(),IF(SUMPRODUCT((Inputs!$A$5:$A$110=$B41)*ISNUMBER(INDEX(Inputs!$K$5:$AJ$110,0,MATCH(U$2,Inputs!$K$4:$AJ$4,0))))+SUMPRODUCT((Inputs!$C$5:$C$110=$B41)*ISNUMBER(INDEX(Inputs!$K$5:$AJ$110,0,MATCH(U$2,Inputs!$K$4:$AJ$4,0))))+SUMPRODUCT((Inputs!$E$5:$E$110=$B41)*ISNUMBER(INDEX(Inputs!$K$5:$AJ$110,0,MATCH(U$2,Inputs!$K$4:$AJ$4,0))))=0,NA(),SUMPRODUCT((Inputs!$A$5:$A$110=$B41)*Inputs!$B$5:$B$110*(((Inputs!$G$5:$G$110="moeda")+(Inputs!$G$5:$G$110="acoes"))*Inputs!$B$1+((Inputs!$G$5:$G$110&lt;&gt;"moeda")*(Inputs!$G$5:$G$110&lt;&gt;"acoes")))*INDEX(Inputs!$K$5:$AJ$110,0,MATCH(U$2,Inputs!$K$4:$AJ$4,0)))+SUMPRODUCT((Inputs!$C$5:$C$110=$B41)*Inputs!$D$5:$D$110*(((Inputs!$G$5:$G$110="moeda")+(Inputs!$G$5:$G$110="acoes"))*Inputs!$B$1+((Inputs!$G$5:$G$110&lt;&gt;"moeda")*(Inputs!$G$5:$G$110&lt;&gt;"acoes")))*INDEX(Inputs!$K$5:$AJ$110,0,MATCH(U$2,Inputs!$K$4:$AJ$4,0)))+SUMPRODUCT((Inputs!$E$5:$E$110=$B41)*Inputs!$F$5:$F$110*(((Inputs!$G$5:$G$110="moeda")+(Inputs!$G$5:$G$110="acoes"))*Inputs!$B$1+((Inputs!$G$5:$G$110&lt;&gt;"moeda")*(Inputs!$G$5:$G$110&lt;&gt;"acoes")))*INDEX(Inputs!$K$5:$AJ$110,0,MATCH(U$2,Inputs!$K$4:$AJ$4,0)))))</f>
        <v>6357</v>
      </c>
      <c r="V41" s="267">
        <f>IF(ISNA(MATCH(V$2,Inputs!$K$4:$AJ$4,0)),NA(),IF(SUMPRODUCT((Inputs!$A$5:$A$110=$B41)*ISNUMBER(INDEX(Inputs!$K$5:$AJ$110,0,MATCH(V$2,Inputs!$K$4:$AJ$4,0))))+SUMPRODUCT((Inputs!$C$5:$C$110=$B41)*ISNUMBER(INDEX(Inputs!$K$5:$AJ$110,0,MATCH(V$2,Inputs!$K$4:$AJ$4,0))))+SUMPRODUCT((Inputs!$E$5:$E$110=$B41)*ISNUMBER(INDEX(Inputs!$K$5:$AJ$110,0,MATCH(V$2,Inputs!$K$4:$AJ$4,0))))=0,NA(),SUMPRODUCT((Inputs!$A$5:$A$110=$B41)*Inputs!$B$5:$B$110*(((Inputs!$G$5:$G$110="moeda")+(Inputs!$G$5:$G$110="acoes"))*Inputs!$B$1+((Inputs!$G$5:$G$110&lt;&gt;"moeda")*(Inputs!$G$5:$G$110&lt;&gt;"acoes")))*INDEX(Inputs!$K$5:$AJ$110,0,MATCH(V$2,Inputs!$K$4:$AJ$4,0)))+SUMPRODUCT((Inputs!$C$5:$C$110=$B41)*Inputs!$D$5:$D$110*(((Inputs!$G$5:$G$110="moeda")+(Inputs!$G$5:$G$110="acoes"))*Inputs!$B$1+((Inputs!$G$5:$G$110&lt;&gt;"moeda")*(Inputs!$G$5:$G$110&lt;&gt;"acoes")))*INDEX(Inputs!$K$5:$AJ$110,0,MATCH(V$2,Inputs!$K$4:$AJ$4,0)))+SUMPRODUCT((Inputs!$E$5:$E$110=$B41)*Inputs!$F$5:$F$110*(((Inputs!$G$5:$G$110="moeda")+(Inputs!$G$5:$G$110="acoes"))*Inputs!$B$1+((Inputs!$G$5:$G$110&lt;&gt;"moeda")*(Inputs!$G$5:$G$110&lt;&gt;"acoes")))*INDEX(Inputs!$K$5:$AJ$110,0,MATCH(V$2,Inputs!$K$4:$AJ$4,0)))))</f>
        <v>6679</v>
      </c>
      <c r="W41" s="268">
        <f>V41</f>
        <v>6679</v>
      </c>
      <c r="X41" s="267">
        <f>IF(ISNA(MATCH(X$2,Inputs!$K$4:$AJ$4,0)),NA(),IF(SUMPRODUCT((Inputs!$A$5:$A$110=$B41)*ISNUMBER(INDEX(Inputs!$K$5:$AJ$110,0,MATCH(X$2,Inputs!$K$4:$AJ$4,0))))+SUMPRODUCT((Inputs!$C$5:$C$110=$B41)*ISNUMBER(INDEX(Inputs!$K$5:$AJ$110,0,MATCH(X$2,Inputs!$K$4:$AJ$4,0))))+SUMPRODUCT((Inputs!$E$5:$E$110=$B41)*ISNUMBER(INDEX(Inputs!$K$5:$AJ$110,0,MATCH(X$2,Inputs!$K$4:$AJ$4,0))))=0,NA(),SUMPRODUCT((Inputs!$A$5:$A$110=$B41)*Inputs!$B$5:$B$110*(((Inputs!$G$5:$G$110="moeda")+(Inputs!$G$5:$G$110="acoes"))*Inputs!$B$1+((Inputs!$G$5:$G$110&lt;&gt;"moeda")*(Inputs!$G$5:$G$110&lt;&gt;"acoes")))*INDEX(Inputs!$K$5:$AJ$110,0,MATCH(X$2,Inputs!$K$4:$AJ$4,0)))+SUMPRODUCT((Inputs!$C$5:$C$110=$B41)*Inputs!$D$5:$D$110*(((Inputs!$G$5:$G$110="moeda")+(Inputs!$G$5:$G$110="acoes"))*Inputs!$B$1+((Inputs!$G$5:$G$110&lt;&gt;"moeda")*(Inputs!$G$5:$G$110&lt;&gt;"acoes")))*INDEX(Inputs!$K$5:$AJ$110,0,MATCH(X$2,Inputs!$K$4:$AJ$4,0)))+SUMPRODUCT((Inputs!$E$5:$E$110=$B41)*Inputs!$F$5:$F$110*(((Inputs!$G$5:$G$110="moeda")+(Inputs!$G$5:$G$110="acoes"))*Inputs!$B$1+((Inputs!$G$5:$G$110&lt;&gt;"moeda")*(Inputs!$G$5:$G$110&lt;&gt;"acoes")))*INDEX(Inputs!$K$5:$AJ$110,0,MATCH(X$2,Inputs!$K$4:$AJ$4,0)))))</f>
        <v>6855</v>
      </c>
      <c r="Y41" s="267">
        <f>IF(ISNA(MATCH(Y$2,Inputs!$K$4:$AJ$4,0)),NA(),IF(SUMPRODUCT((Inputs!$A$5:$A$110=$B41)*ISNUMBER(INDEX(Inputs!$K$5:$AJ$110,0,MATCH(Y$2,Inputs!$K$4:$AJ$4,0))))+SUMPRODUCT((Inputs!$C$5:$C$110=$B41)*ISNUMBER(INDEX(Inputs!$K$5:$AJ$110,0,MATCH(Y$2,Inputs!$K$4:$AJ$4,0))))+SUMPRODUCT((Inputs!$E$5:$E$110=$B41)*ISNUMBER(INDEX(Inputs!$K$5:$AJ$110,0,MATCH(Y$2,Inputs!$K$4:$AJ$4,0))))=0,NA(),SUMPRODUCT((Inputs!$A$5:$A$110=$B41)*Inputs!$B$5:$B$110*(((Inputs!$G$5:$G$110="moeda")+(Inputs!$G$5:$G$110="acoes"))*Inputs!$B$1+((Inputs!$G$5:$G$110&lt;&gt;"moeda")*(Inputs!$G$5:$G$110&lt;&gt;"acoes")))*INDEX(Inputs!$K$5:$AJ$110,0,MATCH(Y$2,Inputs!$K$4:$AJ$4,0)))+SUMPRODUCT((Inputs!$C$5:$C$110=$B41)*Inputs!$D$5:$D$110*(((Inputs!$G$5:$G$110="moeda")+(Inputs!$G$5:$G$110="acoes"))*Inputs!$B$1+((Inputs!$G$5:$G$110&lt;&gt;"moeda")*(Inputs!$G$5:$G$110&lt;&gt;"acoes")))*INDEX(Inputs!$K$5:$AJ$110,0,MATCH(Y$2,Inputs!$K$4:$AJ$4,0)))+SUMPRODUCT((Inputs!$E$5:$E$110=$B41)*Inputs!$F$5:$F$110*(((Inputs!$G$5:$G$110="moeda")+(Inputs!$G$5:$G$110="acoes"))*Inputs!$B$1+((Inputs!$G$5:$G$110&lt;&gt;"moeda")*(Inputs!$G$5:$G$110&lt;&gt;"acoes")))*INDEX(Inputs!$K$5:$AJ$110,0,MATCH(Y$2,Inputs!$K$4:$AJ$4,0)))))</f>
        <v>6747</v>
      </c>
      <c r="Z41" s="267">
        <f>IF(ISNA(MATCH(Z$2,Inputs!$K$4:$AJ$4,0)),NA(),IF(SUMPRODUCT((Inputs!$A$5:$A$110=$B41)*ISNUMBER(INDEX(Inputs!$K$5:$AJ$110,0,MATCH(Z$2,Inputs!$K$4:$AJ$4,0))))+SUMPRODUCT((Inputs!$C$5:$C$110=$B41)*ISNUMBER(INDEX(Inputs!$K$5:$AJ$110,0,MATCH(Z$2,Inputs!$K$4:$AJ$4,0))))+SUMPRODUCT((Inputs!$E$5:$E$110=$B41)*ISNUMBER(INDEX(Inputs!$K$5:$AJ$110,0,MATCH(Z$2,Inputs!$K$4:$AJ$4,0))))=0,NA(),SUMPRODUCT((Inputs!$A$5:$A$110=$B41)*Inputs!$B$5:$B$110*(((Inputs!$G$5:$G$110="moeda")+(Inputs!$G$5:$G$110="acoes"))*Inputs!$B$1+((Inputs!$G$5:$G$110&lt;&gt;"moeda")*(Inputs!$G$5:$G$110&lt;&gt;"acoes")))*INDEX(Inputs!$K$5:$AJ$110,0,MATCH(Z$2,Inputs!$K$4:$AJ$4,0)))+SUMPRODUCT((Inputs!$C$5:$C$110=$B41)*Inputs!$D$5:$D$110*(((Inputs!$G$5:$G$110="moeda")+(Inputs!$G$5:$G$110="acoes"))*Inputs!$B$1+((Inputs!$G$5:$G$110&lt;&gt;"moeda")*(Inputs!$G$5:$G$110&lt;&gt;"acoes")))*INDEX(Inputs!$K$5:$AJ$110,0,MATCH(Z$2,Inputs!$K$4:$AJ$4,0)))+SUMPRODUCT((Inputs!$E$5:$E$110=$B41)*Inputs!$F$5:$F$110*(((Inputs!$G$5:$G$110="moeda")+(Inputs!$G$5:$G$110="acoes"))*Inputs!$B$1+((Inputs!$G$5:$G$110&lt;&gt;"moeda")*(Inputs!$G$5:$G$110&lt;&gt;"acoes")))*INDEX(Inputs!$K$5:$AJ$110,0,MATCH(Z$2,Inputs!$K$4:$AJ$4,0)))))</f>
        <v>6418</v>
      </c>
      <c r="AA41" s="267">
        <f>IF(ISNA(MATCH(AA$2,Inputs!$K$4:$AJ$4,0)),NA(),IF(SUMPRODUCT((Inputs!$A$5:$A$110=$B41)*ISNUMBER(INDEX(Inputs!$K$5:$AJ$110,0,MATCH(AA$2,Inputs!$K$4:$AJ$4,0))))+SUMPRODUCT((Inputs!$C$5:$C$110=$B41)*ISNUMBER(INDEX(Inputs!$K$5:$AJ$110,0,MATCH(AA$2,Inputs!$K$4:$AJ$4,0))))+SUMPRODUCT((Inputs!$E$5:$E$110=$B41)*ISNUMBER(INDEX(Inputs!$K$5:$AJ$110,0,MATCH(AA$2,Inputs!$K$4:$AJ$4,0))))=0,NA(),SUMPRODUCT((Inputs!$A$5:$A$110=$B41)*Inputs!$B$5:$B$110*(((Inputs!$G$5:$G$110="moeda")+(Inputs!$G$5:$G$110="acoes"))*Inputs!$B$1+((Inputs!$G$5:$G$110&lt;&gt;"moeda")*(Inputs!$G$5:$G$110&lt;&gt;"acoes")))*INDEX(Inputs!$K$5:$AJ$110,0,MATCH(AA$2,Inputs!$K$4:$AJ$4,0)))+SUMPRODUCT((Inputs!$C$5:$C$110=$B41)*Inputs!$D$5:$D$110*(((Inputs!$G$5:$G$110="moeda")+(Inputs!$G$5:$G$110="acoes"))*Inputs!$B$1+((Inputs!$G$5:$G$110&lt;&gt;"moeda")*(Inputs!$G$5:$G$110&lt;&gt;"acoes")))*INDEX(Inputs!$K$5:$AJ$110,0,MATCH(AA$2,Inputs!$K$4:$AJ$4,0)))+SUMPRODUCT((Inputs!$E$5:$E$110=$B41)*Inputs!$F$5:$F$110*(((Inputs!$G$5:$G$110="moeda")+(Inputs!$G$5:$G$110="acoes"))*Inputs!$B$1+((Inputs!$G$5:$G$110&lt;&gt;"moeda")*(Inputs!$G$5:$G$110&lt;&gt;"acoes")))*INDEX(Inputs!$K$5:$AJ$110,0,MATCH(AA$2,Inputs!$K$4:$AJ$4,0)))))</f>
        <v>6563</v>
      </c>
      <c r="AB41" s="268">
        <f>AA41</f>
        <v>6563</v>
      </c>
      <c r="AC41" s="267">
        <f>IF(ISNA(MATCH(AC$2,Inputs!$K$4:$AJ$4,0)),NA(),IF(SUMPRODUCT((Inputs!$A$5:$A$110=$B41)*ISNUMBER(INDEX(Inputs!$K$5:$AJ$110,0,MATCH(AC$2,Inputs!$K$4:$AJ$4,0))))+SUMPRODUCT((Inputs!$C$5:$C$110=$B41)*ISNUMBER(INDEX(Inputs!$K$5:$AJ$110,0,MATCH(AC$2,Inputs!$K$4:$AJ$4,0))))+SUMPRODUCT((Inputs!$E$5:$E$110=$B41)*ISNUMBER(INDEX(Inputs!$K$5:$AJ$110,0,MATCH(AC$2,Inputs!$K$4:$AJ$4,0))))=0,NA(),SUMPRODUCT((Inputs!$A$5:$A$110=$B41)*Inputs!$B$5:$B$110*(((Inputs!$G$5:$G$110="moeda")+(Inputs!$G$5:$G$110="acoes"))*Inputs!$B$1+((Inputs!$G$5:$G$110&lt;&gt;"moeda")*(Inputs!$G$5:$G$110&lt;&gt;"acoes")))*INDEX(Inputs!$K$5:$AJ$110,0,MATCH(AC$2,Inputs!$K$4:$AJ$4,0)))+SUMPRODUCT((Inputs!$C$5:$C$110=$B41)*Inputs!$D$5:$D$110*(((Inputs!$G$5:$G$110="moeda")+(Inputs!$G$5:$G$110="acoes"))*Inputs!$B$1+((Inputs!$G$5:$G$110&lt;&gt;"moeda")*(Inputs!$G$5:$G$110&lt;&gt;"acoes")))*INDEX(Inputs!$K$5:$AJ$110,0,MATCH(AC$2,Inputs!$K$4:$AJ$4,0)))+SUMPRODUCT((Inputs!$E$5:$E$110=$B41)*Inputs!$F$5:$F$110*(((Inputs!$G$5:$G$110="moeda")+(Inputs!$G$5:$G$110="acoes"))*Inputs!$B$1+((Inputs!$G$5:$G$110&lt;&gt;"moeda")*(Inputs!$G$5:$G$110&lt;&gt;"acoes")))*INDEX(Inputs!$K$5:$AJ$110,0,MATCH(AC$2,Inputs!$K$4:$AJ$4,0)))))</f>
        <v>6645</v>
      </c>
      <c r="AD41" s="267">
        <f>IF(ISNA(MATCH(AD$2,Inputs!$K$4:$AJ$4,0)),NA(),IF(SUMPRODUCT((Inputs!$A$5:$A$110=$B41)*ISNUMBER(INDEX(Inputs!$K$5:$AJ$110,0,MATCH(AD$2,Inputs!$K$4:$AJ$4,0))))+SUMPRODUCT((Inputs!$C$5:$C$110=$B41)*ISNUMBER(INDEX(Inputs!$K$5:$AJ$110,0,MATCH(AD$2,Inputs!$K$4:$AJ$4,0))))+SUMPRODUCT((Inputs!$E$5:$E$110=$B41)*ISNUMBER(INDEX(Inputs!$K$5:$AJ$110,0,MATCH(AD$2,Inputs!$K$4:$AJ$4,0))))=0,NA(),SUMPRODUCT((Inputs!$A$5:$A$110=$B41)*Inputs!$B$5:$B$110*(((Inputs!$G$5:$G$110="moeda")+(Inputs!$G$5:$G$110="acoes"))*Inputs!$B$1+((Inputs!$G$5:$G$110&lt;&gt;"moeda")*(Inputs!$G$5:$G$110&lt;&gt;"acoes")))*INDEX(Inputs!$K$5:$AJ$110,0,MATCH(AD$2,Inputs!$K$4:$AJ$4,0)))+SUMPRODUCT((Inputs!$C$5:$C$110=$B41)*Inputs!$D$5:$D$110*(((Inputs!$G$5:$G$110="moeda")+(Inputs!$G$5:$G$110="acoes"))*Inputs!$B$1+((Inputs!$G$5:$G$110&lt;&gt;"moeda")*(Inputs!$G$5:$G$110&lt;&gt;"acoes")))*INDEX(Inputs!$K$5:$AJ$110,0,MATCH(AD$2,Inputs!$K$4:$AJ$4,0)))+SUMPRODUCT((Inputs!$E$5:$E$110=$B41)*Inputs!$F$5:$F$110*(((Inputs!$G$5:$G$110="moeda")+(Inputs!$G$5:$G$110="acoes"))*Inputs!$B$1+((Inputs!$G$5:$G$110&lt;&gt;"moeda")*(Inputs!$G$5:$G$110&lt;&gt;"acoes")))*INDEX(Inputs!$K$5:$AJ$110,0,MATCH(AD$2,Inputs!$K$4:$AJ$4,0)))))</f>
        <v>6561</v>
      </c>
      <c r="AE41" s="267" t="e">
        <f>IF(ISNA(MATCH(AE$2,Inputs!$K$4:$AJ$4,0)),NA(),IF(SUMPRODUCT((Inputs!$A$5:$A$110=$B41)*ISNUMBER(INDEX(Inputs!$K$5:$AJ$110,0,MATCH(AE$2,Inputs!$K$4:$AJ$4,0))))+SUMPRODUCT((Inputs!$C$5:$C$110=$B41)*ISNUMBER(INDEX(Inputs!$K$5:$AJ$110,0,MATCH(AE$2,Inputs!$K$4:$AJ$4,0))))+SUMPRODUCT((Inputs!$E$5:$E$110=$B41)*ISNUMBER(INDEX(Inputs!$K$5:$AJ$110,0,MATCH(AE$2,Inputs!$K$4:$AJ$4,0))))=0,NA(),SUMPRODUCT((Inputs!$A$5:$A$110=$B41)*Inputs!$B$5:$B$110*(((Inputs!$G$5:$G$110="moeda")+(Inputs!$G$5:$G$110="acoes"))*Inputs!$B$1+((Inputs!$G$5:$G$110&lt;&gt;"moeda")*(Inputs!$G$5:$G$110&lt;&gt;"acoes")))*INDEX(Inputs!$K$5:$AJ$110,0,MATCH(AE$2,Inputs!$K$4:$AJ$4,0)))+SUMPRODUCT((Inputs!$C$5:$C$110=$B41)*Inputs!$D$5:$D$110*(((Inputs!$G$5:$G$110="moeda")+(Inputs!$G$5:$G$110="acoes"))*Inputs!$B$1+((Inputs!$G$5:$G$110&lt;&gt;"moeda")*(Inputs!$G$5:$G$110&lt;&gt;"acoes")))*INDEX(Inputs!$K$5:$AJ$110,0,MATCH(AE$2,Inputs!$K$4:$AJ$4,0)))+SUMPRODUCT((Inputs!$E$5:$E$110=$B41)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1" s="267" t="e">
        <f>IF(ISNA(MATCH(AF$2,Inputs!$K$4:$AJ$4,0)),NA(),IF(SUMPRODUCT((Inputs!$A$5:$A$110=$B41)*ISNUMBER(INDEX(Inputs!$K$5:$AJ$110,0,MATCH(AF$2,Inputs!$K$4:$AJ$4,0))))+SUMPRODUCT((Inputs!$C$5:$C$110=$B41)*ISNUMBER(INDEX(Inputs!$K$5:$AJ$110,0,MATCH(AF$2,Inputs!$K$4:$AJ$4,0))))+SUMPRODUCT((Inputs!$E$5:$E$110=$B41)*ISNUMBER(INDEX(Inputs!$K$5:$AJ$110,0,MATCH(AF$2,Inputs!$K$4:$AJ$4,0))))=0,NA(),SUMPRODUCT((Inputs!$A$5:$A$110=$B41)*Inputs!$B$5:$B$110*(((Inputs!$G$5:$G$110="moeda")+(Inputs!$G$5:$G$110="acoes"))*Inputs!$B$1+((Inputs!$G$5:$G$110&lt;&gt;"moeda")*(Inputs!$G$5:$G$110&lt;&gt;"acoes")))*INDEX(Inputs!$K$5:$AJ$110,0,MATCH(AF$2,Inputs!$K$4:$AJ$4,0)))+SUMPRODUCT((Inputs!$C$5:$C$110=$B41)*Inputs!$D$5:$D$110*(((Inputs!$G$5:$G$110="moeda")+(Inputs!$G$5:$G$110="acoes"))*Inputs!$B$1+((Inputs!$G$5:$G$110&lt;&gt;"moeda")*(Inputs!$G$5:$G$110&lt;&gt;"acoes")))*INDEX(Inputs!$K$5:$AJ$110,0,MATCH(AF$2,Inputs!$K$4:$AJ$4,0)))+SUMPRODUCT((Inputs!$E$5:$E$110=$B41)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1" s="268" t="e">
        <f>AF41</f>
        <v>#N/A</v>
      </c>
      <c r="AH41" s="267">
        <f>IF(ISNA(MATCH(AH$2,Inputs!$K$4:$AJ$4,0)),NA(),IF(SUMPRODUCT((Inputs!$A$5:$A$110=$B41)*ISNUMBER(INDEX(Inputs!$K$5:$AJ$110,0,MATCH(AH$2,Inputs!$K$4:$AJ$4,0))))+SUMPRODUCT((Inputs!$C$5:$C$110=$B41)*ISNUMBER(INDEX(Inputs!$K$5:$AJ$110,0,MATCH(AH$2,Inputs!$K$4:$AJ$4,0))))+SUMPRODUCT((Inputs!$E$5:$E$110=$B41)*ISNUMBER(INDEX(Inputs!$K$5:$AJ$110,0,MATCH(AH$2,Inputs!$K$4:$AJ$4,0))))=0,NA(),SUMPRODUCT((Inputs!$A$5:$A$110=$B41)*Inputs!$B$5:$B$110*(((Inputs!$G$5:$G$110="moeda")+(Inputs!$G$5:$G$110="acoes"))*Inputs!$B$1+((Inputs!$G$5:$G$110&lt;&gt;"moeda")*(Inputs!$G$5:$G$110&lt;&gt;"acoes")))*INDEX(Inputs!$K$5:$AJ$110,0,MATCH(AH$2,Inputs!$K$4:$AJ$4,0)))+SUMPRODUCT((Inputs!$C$5:$C$110=$B41)*Inputs!$D$5:$D$110*(((Inputs!$G$5:$G$110="moeda")+(Inputs!$G$5:$G$110="acoes"))*Inputs!$B$1+((Inputs!$G$5:$G$110&lt;&gt;"moeda")*(Inputs!$G$5:$G$110&lt;&gt;"acoes")))*INDEX(Inputs!$K$5:$AJ$110,0,MATCH(AH$2,Inputs!$K$4:$AJ$4,0)))+SUMPRODUCT((Inputs!$E$5:$E$110=$B41)*Inputs!$F$5:$F$110*(((Inputs!$G$5:$G$110="moeda")+(Inputs!$G$5:$G$110="acoes"))*Inputs!$B$1+((Inputs!$G$5:$G$110&lt;&gt;"moeda")*(Inputs!$G$5:$G$110&lt;&gt;"acoes")))*INDEX(Inputs!$K$5:$AJ$110,0,MATCH(AH$2,Inputs!$K$4:$AJ$4,0)))))</f>
        <v>5870</v>
      </c>
      <c r="AI41" s="267">
        <f>IF(ISNA(MATCH(AI$2,Inputs!$K$4:$AJ$4,0)),NA(),IF(SUMPRODUCT((Inputs!$A$5:$A$110=$B41)*ISNUMBER(INDEX(Inputs!$K$5:$AJ$110,0,MATCH(AI$2,Inputs!$K$4:$AJ$4,0))))+SUMPRODUCT((Inputs!$C$5:$C$110=$B41)*ISNUMBER(INDEX(Inputs!$K$5:$AJ$110,0,MATCH(AI$2,Inputs!$K$4:$AJ$4,0))))+SUMPRODUCT((Inputs!$E$5:$E$110=$B41)*ISNUMBER(INDEX(Inputs!$K$5:$AJ$110,0,MATCH(AI$2,Inputs!$K$4:$AJ$4,0))))=0,NA(),SUMPRODUCT((Inputs!$A$5:$A$110=$B41)*Inputs!$B$5:$B$110*(((Inputs!$G$5:$G$110="moeda")+(Inputs!$G$5:$G$110="acoes"))*Inputs!$B$1+((Inputs!$G$5:$G$110&lt;&gt;"moeda")*(Inputs!$G$5:$G$110&lt;&gt;"acoes")))*INDEX(Inputs!$K$5:$AJ$110,0,MATCH(AI$2,Inputs!$K$4:$AJ$4,0)))+SUMPRODUCT((Inputs!$C$5:$C$110=$B41)*Inputs!$D$5:$D$110*(((Inputs!$G$5:$G$110="moeda")+(Inputs!$G$5:$G$110="acoes"))*Inputs!$B$1+((Inputs!$G$5:$G$110&lt;&gt;"moeda")*(Inputs!$G$5:$G$110&lt;&gt;"acoes")))*INDEX(Inputs!$K$5:$AJ$110,0,MATCH(AI$2,Inputs!$K$4:$AJ$4,0)))+SUMPRODUCT((Inputs!$E$5:$E$110=$B41)*Inputs!$F$5:$F$110*(((Inputs!$G$5:$G$110="moeda")+(Inputs!$G$5:$G$110="acoes"))*Inputs!$B$1+((Inputs!$G$5:$G$110&lt;&gt;"moeda")*(Inputs!$G$5:$G$110&lt;&gt;"acoes")))*INDEX(Inputs!$K$5:$AJ$110,0,MATCH(AI$2,Inputs!$K$4:$AJ$4,0)))))</f>
        <v>5887</v>
      </c>
      <c r="AJ41" s="267">
        <f>IF(ISNA(MATCH(AJ$2,Inputs!$K$4:$AJ$4,0)),NA(),IF(SUMPRODUCT((Inputs!$A$5:$A$110=$B41)*ISNUMBER(INDEX(Inputs!$K$5:$AJ$110,0,MATCH(AJ$2,Inputs!$K$4:$AJ$4,0))))+SUMPRODUCT((Inputs!$C$5:$C$110=$B41)*ISNUMBER(INDEX(Inputs!$K$5:$AJ$110,0,MATCH(AJ$2,Inputs!$K$4:$AJ$4,0))))+SUMPRODUCT((Inputs!$E$5:$E$110=$B41)*ISNUMBER(INDEX(Inputs!$K$5:$AJ$110,0,MATCH(AJ$2,Inputs!$K$4:$AJ$4,0))))=0,NA(),SUMPRODUCT((Inputs!$A$5:$A$110=$B41)*Inputs!$B$5:$B$110*(((Inputs!$G$5:$G$110="moeda")+(Inputs!$G$5:$G$110="acoes"))*Inputs!$B$1+((Inputs!$G$5:$G$110&lt;&gt;"moeda")*(Inputs!$G$5:$G$110&lt;&gt;"acoes")))*INDEX(Inputs!$K$5:$AJ$110,0,MATCH(AJ$2,Inputs!$K$4:$AJ$4,0)))+SUMPRODUCT((Inputs!$C$5:$C$110=$B41)*Inputs!$D$5:$D$110*(((Inputs!$G$5:$G$110="moeda")+(Inputs!$G$5:$G$110="acoes"))*Inputs!$B$1+((Inputs!$G$5:$G$110&lt;&gt;"moeda")*(Inputs!$G$5:$G$110&lt;&gt;"acoes")))*INDEX(Inputs!$K$5:$AJ$110,0,MATCH(AJ$2,Inputs!$K$4:$AJ$4,0)))+SUMPRODUCT((Inputs!$E$5:$E$110=$B41)*Inputs!$F$5:$F$110*(((Inputs!$G$5:$G$110="moeda")+(Inputs!$G$5:$G$110="acoes"))*Inputs!$B$1+((Inputs!$G$5:$G$110&lt;&gt;"moeda")*(Inputs!$G$5:$G$110&lt;&gt;"acoes")))*INDEX(Inputs!$K$5:$AJ$110,0,MATCH(AJ$2,Inputs!$K$4:$AJ$4,0)))))</f>
        <v>6073</v>
      </c>
      <c r="AK41" s="267">
        <f>IF(ISNA(MATCH(AK$2,Inputs!$K$4:$AJ$4,0)),NA(),IF(SUMPRODUCT((Inputs!$A$5:$A$110=$B41)*ISNUMBER(INDEX(Inputs!$K$5:$AJ$110,0,MATCH(AK$2,Inputs!$K$4:$AJ$4,0))))+SUMPRODUCT((Inputs!$C$5:$C$110=$B41)*ISNUMBER(INDEX(Inputs!$K$5:$AJ$110,0,MATCH(AK$2,Inputs!$K$4:$AJ$4,0))))+SUMPRODUCT((Inputs!$E$5:$E$110=$B41)*ISNUMBER(INDEX(Inputs!$K$5:$AJ$110,0,MATCH(AK$2,Inputs!$K$4:$AJ$4,0))))=0,NA(),SUMPRODUCT((Inputs!$A$5:$A$110=$B41)*Inputs!$B$5:$B$110*(((Inputs!$G$5:$G$110="moeda")+(Inputs!$G$5:$G$110="acoes"))*Inputs!$B$1+((Inputs!$G$5:$G$110&lt;&gt;"moeda")*(Inputs!$G$5:$G$110&lt;&gt;"acoes")))*INDEX(Inputs!$K$5:$AJ$110,0,MATCH(AK$2,Inputs!$K$4:$AJ$4,0)))+SUMPRODUCT((Inputs!$C$5:$C$110=$B41)*Inputs!$D$5:$D$110*(((Inputs!$G$5:$G$110="moeda")+(Inputs!$G$5:$G$110="acoes"))*Inputs!$B$1+((Inputs!$G$5:$G$110&lt;&gt;"moeda")*(Inputs!$G$5:$G$110&lt;&gt;"acoes")))*INDEX(Inputs!$K$5:$AJ$110,0,MATCH(AK$2,Inputs!$K$4:$AJ$4,0)))+SUMPRODUCT((Inputs!$E$5:$E$110=$B41)*Inputs!$F$5:$F$110*(((Inputs!$G$5:$G$110="moeda")+(Inputs!$G$5:$G$110="acoes"))*Inputs!$B$1+((Inputs!$G$5:$G$110&lt;&gt;"moeda")*(Inputs!$G$5:$G$110&lt;&gt;"acoes")))*INDEX(Inputs!$K$5:$AJ$110,0,MATCH(AK$2,Inputs!$K$4:$AJ$4,0)))))</f>
        <v>6606</v>
      </c>
      <c r="AL41" s="268">
        <f>AK41</f>
        <v>6606</v>
      </c>
    </row>
    <row r="42" ht="12.75" customHeight="1" s="255">
      <c r="B42" s="265" t="n">
        <v>36</v>
      </c>
      <c r="C42" s="270" t="inlineStr">
        <is>
          <t>Convertible Preferred Stock</t>
        </is>
      </c>
      <c r="D42" s="267" t="e">
        <f>IF(ISNA(MATCH(D$2,Inputs!$K$4:$AJ$4,0)),NA(),IF(SUMPRODUCT((Inputs!$A$5:$A$110=$B42)*ISNUMBER(INDEX(Inputs!$K$5:$AJ$110,0,MATCH(D$2,Inputs!$K$4:$AJ$4,0))))+SUMPRODUCT((Inputs!$C$5:$C$110=$B42)*ISNUMBER(INDEX(Inputs!$K$5:$AJ$110,0,MATCH(D$2,Inputs!$K$4:$AJ$4,0))))+SUMPRODUCT((Inputs!$E$5:$E$110=$B42)*ISNUMBER(INDEX(Inputs!$K$5:$AJ$110,0,MATCH(D$2,Inputs!$K$4:$AJ$4,0))))=0,NA(),SUMPRODUCT((Inputs!$A$5:$A$110=$B42)*Inputs!$B$5:$B$110*(((Inputs!$G$5:$G$110="moeda")+(Inputs!$G$5:$G$110="acoes"))*Inputs!$B$1+((Inputs!$G$5:$G$110&lt;&gt;"moeda")*(Inputs!$G$5:$G$110&lt;&gt;"acoes")))*INDEX(Inputs!$K$5:$AJ$110,0,MATCH(D$2,Inputs!$K$4:$AJ$4,0)))+SUMPRODUCT((Inputs!$C$5:$C$110=$B42)*Inputs!$D$5:$D$110*(((Inputs!$G$5:$G$110="moeda")+(Inputs!$G$5:$G$110="acoes"))*Inputs!$B$1+((Inputs!$G$5:$G$110&lt;&gt;"moeda")*(Inputs!$G$5:$G$110&lt;&gt;"acoes")))*INDEX(Inputs!$K$5:$AJ$110,0,MATCH(D$2,Inputs!$K$4:$AJ$4,0)))+SUMPRODUCT((Inputs!$E$5:$E$110=$B42)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42" s="267" t="e">
        <f>IF(ISNA(MATCH(E$2,Inputs!$K$4:$AJ$4,0)),NA(),IF(SUMPRODUCT((Inputs!$A$5:$A$110=$B42)*ISNUMBER(INDEX(Inputs!$K$5:$AJ$110,0,MATCH(E$2,Inputs!$K$4:$AJ$4,0))))+SUMPRODUCT((Inputs!$C$5:$C$110=$B42)*ISNUMBER(INDEX(Inputs!$K$5:$AJ$110,0,MATCH(E$2,Inputs!$K$4:$AJ$4,0))))+SUMPRODUCT((Inputs!$E$5:$E$110=$B42)*ISNUMBER(INDEX(Inputs!$K$5:$AJ$110,0,MATCH(E$2,Inputs!$K$4:$AJ$4,0))))=0,NA(),SUMPRODUCT((Inputs!$A$5:$A$110=$B42)*Inputs!$B$5:$B$110*(((Inputs!$G$5:$G$110="moeda")+(Inputs!$G$5:$G$110="acoes"))*Inputs!$B$1+((Inputs!$G$5:$G$110&lt;&gt;"moeda")*(Inputs!$G$5:$G$110&lt;&gt;"acoes")))*INDEX(Inputs!$K$5:$AJ$110,0,MATCH(E$2,Inputs!$K$4:$AJ$4,0)))+SUMPRODUCT((Inputs!$C$5:$C$110=$B42)*Inputs!$D$5:$D$110*(((Inputs!$G$5:$G$110="moeda")+(Inputs!$G$5:$G$110="acoes"))*Inputs!$B$1+((Inputs!$G$5:$G$110&lt;&gt;"moeda")*(Inputs!$G$5:$G$110&lt;&gt;"acoes")))*INDEX(Inputs!$K$5:$AJ$110,0,MATCH(E$2,Inputs!$K$4:$AJ$4,0)))+SUMPRODUCT((Inputs!$E$5:$E$110=$B42)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42" s="267" t="e">
        <f>IF(ISNA(MATCH(F$2,Inputs!$K$4:$AJ$4,0)),NA(),IF(SUMPRODUCT((Inputs!$A$5:$A$110=$B42)*ISNUMBER(INDEX(Inputs!$K$5:$AJ$110,0,MATCH(F$2,Inputs!$K$4:$AJ$4,0))))+SUMPRODUCT((Inputs!$C$5:$C$110=$B42)*ISNUMBER(INDEX(Inputs!$K$5:$AJ$110,0,MATCH(F$2,Inputs!$K$4:$AJ$4,0))))+SUMPRODUCT((Inputs!$E$5:$E$110=$B42)*ISNUMBER(INDEX(Inputs!$K$5:$AJ$110,0,MATCH(F$2,Inputs!$K$4:$AJ$4,0))))=0,NA(),SUMPRODUCT((Inputs!$A$5:$A$110=$B42)*Inputs!$B$5:$B$110*(((Inputs!$G$5:$G$110="moeda")+(Inputs!$G$5:$G$110="acoes"))*Inputs!$B$1+((Inputs!$G$5:$G$110&lt;&gt;"moeda")*(Inputs!$G$5:$G$110&lt;&gt;"acoes")))*INDEX(Inputs!$K$5:$AJ$110,0,MATCH(F$2,Inputs!$K$4:$AJ$4,0)))+SUMPRODUCT((Inputs!$C$5:$C$110=$B42)*Inputs!$D$5:$D$110*(((Inputs!$G$5:$G$110="moeda")+(Inputs!$G$5:$G$110="acoes"))*Inputs!$B$1+((Inputs!$G$5:$G$110&lt;&gt;"moeda")*(Inputs!$G$5:$G$110&lt;&gt;"acoes")))*INDEX(Inputs!$K$5:$AJ$110,0,MATCH(F$2,Inputs!$K$4:$AJ$4,0)))+SUMPRODUCT((Inputs!$E$5:$E$110=$B42)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42" s="267" t="e">
        <f>IF(ISNA(MATCH(G$2,Inputs!$K$4:$AJ$4,0)),NA(),IF(SUMPRODUCT((Inputs!$A$5:$A$110=$B42)*ISNUMBER(INDEX(Inputs!$K$5:$AJ$110,0,MATCH(G$2,Inputs!$K$4:$AJ$4,0))))+SUMPRODUCT((Inputs!$C$5:$C$110=$B42)*ISNUMBER(INDEX(Inputs!$K$5:$AJ$110,0,MATCH(G$2,Inputs!$K$4:$AJ$4,0))))+SUMPRODUCT((Inputs!$E$5:$E$110=$B42)*ISNUMBER(INDEX(Inputs!$K$5:$AJ$110,0,MATCH(G$2,Inputs!$K$4:$AJ$4,0))))=0,NA(),SUMPRODUCT((Inputs!$A$5:$A$110=$B42)*Inputs!$B$5:$B$110*(((Inputs!$G$5:$G$110="moeda")+(Inputs!$G$5:$G$110="acoes"))*Inputs!$B$1+((Inputs!$G$5:$G$110&lt;&gt;"moeda")*(Inputs!$G$5:$G$110&lt;&gt;"acoes")))*INDEX(Inputs!$K$5:$AJ$110,0,MATCH(G$2,Inputs!$K$4:$AJ$4,0)))+SUMPRODUCT((Inputs!$C$5:$C$110=$B42)*Inputs!$D$5:$D$110*(((Inputs!$G$5:$G$110="moeda")+(Inputs!$G$5:$G$110="acoes"))*Inputs!$B$1+((Inputs!$G$5:$G$110&lt;&gt;"moeda")*(Inputs!$G$5:$G$110&lt;&gt;"acoes")))*INDEX(Inputs!$K$5:$AJ$110,0,MATCH(G$2,Inputs!$K$4:$AJ$4,0)))+SUMPRODUCT((Inputs!$E$5:$E$110=$B42)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42" s="268" t="e">
        <f>G42</f>
        <v>#N/A</v>
      </c>
      <c r="I42" s="267" t="e">
        <f>IF(ISNA(MATCH(I$2,Inputs!$K$4:$AJ$4,0)),NA(),IF(SUMPRODUCT((Inputs!$A$5:$A$110=$B42)*ISNUMBER(INDEX(Inputs!$K$5:$AJ$110,0,MATCH(I$2,Inputs!$K$4:$AJ$4,0))))+SUMPRODUCT((Inputs!$C$5:$C$110=$B42)*ISNUMBER(INDEX(Inputs!$K$5:$AJ$110,0,MATCH(I$2,Inputs!$K$4:$AJ$4,0))))+SUMPRODUCT((Inputs!$E$5:$E$110=$B42)*ISNUMBER(INDEX(Inputs!$K$5:$AJ$110,0,MATCH(I$2,Inputs!$K$4:$AJ$4,0))))=0,NA(),SUMPRODUCT((Inputs!$A$5:$A$110=$B42)*Inputs!$B$5:$B$110*(((Inputs!$G$5:$G$110="moeda")+(Inputs!$G$5:$G$110="acoes"))*Inputs!$B$1+((Inputs!$G$5:$G$110&lt;&gt;"moeda")*(Inputs!$G$5:$G$110&lt;&gt;"acoes")))*INDEX(Inputs!$K$5:$AJ$110,0,MATCH(I$2,Inputs!$K$4:$AJ$4,0)))+SUMPRODUCT((Inputs!$C$5:$C$110=$B42)*Inputs!$D$5:$D$110*(((Inputs!$G$5:$G$110="moeda")+(Inputs!$G$5:$G$110="acoes"))*Inputs!$B$1+((Inputs!$G$5:$G$110&lt;&gt;"moeda")*(Inputs!$G$5:$G$110&lt;&gt;"acoes")))*INDEX(Inputs!$K$5:$AJ$110,0,MATCH(I$2,Inputs!$K$4:$AJ$4,0)))+SUMPRODUCT((Inputs!$E$5:$E$110=$B42)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42" s="267" t="e">
        <f>IF(ISNA(MATCH(J$2,Inputs!$K$4:$AJ$4,0)),NA(),IF(SUMPRODUCT((Inputs!$A$5:$A$110=$B42)*ISNUMBER(INDEX(Inputs!$K$5:$AJ$110,0,MATCH(J$2,Inputs!$K$4:$AJ$4,0))))+SUMPRODUCT((Inputs!$C$5:$C$110=$B42)*ISNUMBER(INDEX(Inputs!$K$5:$AJ$110,0,MATCH(J$2,Inputs!$K$4:$AJ$4,0))))+SUMPRODUCT((Inputs!$E$5:$E$110=$B42)*ISNUMBER(INDEX(Inputs!$K$5:$AJ$110,0,MATCH(J$2,Inputs!$K$4:$AJ$4,0))))=0,NA(),SUMPRODUCT((Inputs!$A$5:$A$110=$B42)*Inputs!$B$5:$B$110*(((Inputs!$G$5:$G$110="moeda")+(Inputs!$G$5:$G$110="acoes"))*Inputs!$B$1+((Inputs!$G$5:$G$110&lt;&gt;"moeda")*(Inputs!$G$5:$G$110&lt;&gt;"acoes")))*INDEX(Inputs!$K$5:$AJ$110,0,MATCH(J$2,Inputs!$K$4:$AJ$4,0)))+SUMPRODUCT((Inputs!$C$5:$C$110=$B42)*Inputs!$D$5:$D$110*(((Inputs!$G$5:$G$110="moeda")+(Inputs!$G$5:$G$110="acoes"))*Inputs!$B$1+((Inputs!$G$5:$G$110&lt;&gt;"moeda")*(Inputs!$G$5:$G$110&lt;&gt;"acoes")))*INDEX(Inputs!$K$5:$AJ$110,0,MATCH(J$2,Inputs!$K$4:$AJ$4,0)))+SUMPRODUCT((Inputs!$E$5:$E$110=$B42)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42" s="267" t="e">
        <f>IF(ISNA(MATCH(K$2,Inputs!$K$4:$AJ$4,0)),NA(),IF(SUMPRODUCT((Inputs!$A$5:$A$110=$B42)*ISNUMBER(INDEX(Inputs!$K$5:$AJ$110,0,MATCH(K$2,Inputs!$K$4:$AJ$4,0))))+SUMPRODUCT((Inputs!$C$5:$C$110=$B42)*ISNUMBER(INDEX(Inputs!$K$5:$AJ$110,0,MATCH(K$2,Inputs!$K$4:$AJ$4,0))))+SUMPRODUCT((Inputs!$E$5:$E$110=$B42)*ISNUMBER(INDEX(Inputs!$K$5:$AJ$110,0,MATCH(K$2,Inputs!$K$4:$AJ$4,0))))=0,NA(),SUMPRODUCT((Inputs!$A$5:$A$110=$B42)*Inputs!$B$5:$B$110*(((Inputs!$G$5:$G$110="moeda")+(Inputs!$G$5:$G$110="acoes"))*Inputs!$B$1+((Inputs!$G$5:$G$110&lt;&gt;"moeda")*(Inputs!$G$5:$G$110&lt;&gt;"acoes")))*INDEX(Inputs!$K$5:$AJ$110,0,MATCH(K$2,Inputs!$K$4:$AJ$4,0)))+SUMPRODUCT((Inputs!$C$5:$C$110=$B42)*Inputs!$D$5:$D$110*(((Inputs!$G$5:$G$110="moeda")+(Inputs!$G$5:$G$110="acoes"))*Inputs!$B$1+((Inputs!$G$5:$G$110&lt;&gt;"moeda")*(Inputs!$G$5:$G$110&lt;&gt;"acoes")))*INDEX(Inputs!$K$5:$AJ$110,0,MATCH(K$2,Inputs!$K$4:$AJ$4,0)))+SUMPRODUCT((Inputs!$E$5:$E$110=$B42)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42" s="267" t="e">
        <f>IF(ISNA(MATCH(L$2,Inputs!$K$4:$AJ$4,0)),NA(),IF(SUMPRODUCT((Inputs!$A$5:$A$110=$B42)*ISNUMBER(INDEX(Inputs!$K$5:$AJ$110,0,MATCH(L$2,Inputs!$K$4:$AJ$4,0))))+SUMPRODUCT((Inputs!$C$5:$C$110=$B42)*ISNUMBER(INDEX(Inputs!$K$5:$AJ$110,0,MATCH(L$2,Inputs!$K$4:$AJ$4,0))))+SUMPRODUCT((Inputs!$E$5:$E$110=$B42)*ISNUMBER(INDEX(Inputs!$K$5:$AJ$110,0,MATCH(L$2,Inputs!$K$4:$AJ$4,0))))=0,NA(),SUMPRODUCT((Inputs!$A$5:$A$110=$B42)*Inputs!$B$5:$B$110*(((Inputs!$G$5:$G$110="moeda")+(Inputs!$G$5:$G$110="acoes"))*Inputs!$B$1+((Inputs!$G$5:$G$110&lt;&gt;"moeda")*(Inputs!$G$5:$G$110&lt;&gt;"acoes")))*INDEX(Inputs!$K$5:$AJ$110,0,MATCH(L$2,Inputs!$K$4:$AJ$4,0)))+SUMPRODUCT((Inputs!$C$5:$C$110=$B42)*Inputs!$D$5:$D$110*(((Inputs!$G$5:$G$110="moeda")+(Inputs!$G$5:$G$110="acoes"))*Inputs!$B$1+((Inputs!$G$5:$G$110&lt;&gt;"moeda")*(Inputs!$G$5:$G$110&lt;&gt;"acoes")))*INDEX(Inputs!$K$5:$AJ$110,0,MATCH(L$2,Inputs!$K$4:$AJ$4,0)))+SUMPRODUCT((Inputs!$E$5:$E$110=$B42)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42" s="268" t="e">
        <f>L42</f>
        <v>#N/A</v>
      </c>
      <c r="N42" s="267" t="e">
        <f>IF(ISNA(MATCH(N$2,Inputs!$K$4:$AJ$4,0)),NA(),IF(SUMPRODUCT((Inputs!$A$5:$A$110=$B42)*ISNUMBER(INDEX(Inputs!$K$5:$AJ$110,0,MATCH(N$2,Inputs!$K$4:$AJ$4,0))))+SUMPRODUCT((Inputs!$C$5:$C$110=$B42)*ISNUMBER(INDEX(Inputs!$K$5:$AJ$110,0,MATCH(N$2,Inputs!$K$4:$AJ$4,0))))+SUMPRODUCT((Inputs!$E$5:$E$110=$B42)*ISNUMBER(INDEX(Inputs!$K$5:$AJ$110,0,MATCH(N$2,Inputs!$K$4:$AJ$4,0))))=0,NA(),SUMPRODUCT((Inputs!$A$5:$A$110=$B42)*Inputs!$B$5:$B$110*(((Inputs!$G$5:$G$110="moeda")+(Inputs!$G$5:$G$110="acoes"))*Inputs!$B$1+((Inputs!$G$5:$G$110&lt;&gt;"moeda")*(Inputs!$G$5:$G$110&lt;&gt;"acoes")))*INDEX(Inputs!$K$5:$AJ$110,0,MATCH(N$2,Inputs!$K$4:$AJ$4,0)))+SUMPRODUCT((Inputs!$C$5:$C$110=$B42)*Inputs!$D$5:$D$110*(((Inputs!$G$5:$G$110="moeda")+(Inputs!$G$5:$G$110="acoes"))*Inputs!$B$1+((Inputs!$G$5:$G$110&lt;&gt;"moeda")*(Inputs!$G$5:$G$110&lt;&gt;"acoes")))*INDEX(Inputs!$K$5:$AJ$110,0,MATCH(N$2,Inputs!$K$4:$AJ$4,0)))+SUMPRODUCT((Inputs!$E$5:$E$110=$B42)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42" s="267" t="e">
        <f>IF(ISNA(MATCH(O$2,Inputs!$K$4:$AJ$4,0)),NA(),IF(SUMPRODUCT((Inputs!$A$5:$A$110=$B42)*ISNUMBER(INDEX(Inputs!$K$5:$AJ$110,0,MATCH(O$2,Inputs!$K$4:$AJ$4,0))))+SUMPRODUCT((Inputs!$C$5:$C$110=$B42)*ISNUMBER(INDEX(Inputs!$K$5:$AJ$110,0,MATCH(O$2,Inputs!$K$4:$AJ$4,0))))+SUMPRODUCT((Inputs!$E$5:$E$110=$B42)*ISNUMBER(INDEX(Inputs!$K$5:$AJ$110,0,MATCH(O$2,Inputs!$K$4:$AJ$4,0))))=0,NA(),SUMPRODUCT((Inputs!$A$5:$A$110=$B42)*Inputs!$B$5:$B$110*(((Inputs!$G$5:$G$110="moeda")+(Inputs!$G$5:$G$110="acoes"))*Inputs!$B$1+((Inputs!$G$5:$G$110&lt;&gt;"moeda")*(Inputs!$G$5:$G$110&lt;&gt;"acoes")))*INDEX(Inputs!$K$5:$AJ$110,0,MATCH(O$2,Inputs!$K$4:$AJ$4,0)))+SUMPRODUCT((Inputs!$C$5:$C$110=$B42)*Inputs!$D$5:$D$110*(((Inputs!$G$5:$G$110="moeda")+(Inputs!$G$5:$G$110="acoes"))*Inputs!$B$1+((Inputs!$G$5:$G$110&lt;&gt;"moeda")*(Inputs!$G$5:$G$110&lt;&gt;"acoes")))*INDEX(Inputs!$K$5:$AJ$110,0,MATCH(O$2,Inputs!$K$4:$AJ$4,0)))+SUMPRODUCT((Inputs!$E$5:$E$110=$B42)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42" s="267" t="e">
        <f>IF(ISNA(MATCH(P$2,Inputs!$K$4:$AJ$4,0)),NA(),IF(SUMPRODUCT((Inputs!$A$5:$A$110=$B42)*ISNUMBER(INDEX(Inputs!$K$5:$AJ$110,0,MATCH(P$2,Inputs!$K$4:$AJ$4,0))))+SUMPRODUCT((Inputs!$C$5:$C$110=$B42)*ISNUMBER(INDEX(Inputs!$K$5:$AJ$110,0,MATCH(P$2,Inputs!$K$4:$AJ$4,0))))+SUMPRODUCT((Inputs!$E$5:$E$110=$B42)*ISNUMBER(INDEX(Inputs!$K$5:$AJ$110,0,MATCH(P$2,Inputs!$K$4:$AJ$4,0))))=0,NA(),SUMPRODUCT((Inputs!$A$5:$A$110=$B42)*Inputs!$B$5:$B$110*(((Inputs!$G$5:$G$110="moeda")+(Inputs!$G$5:$G$110="acoes"))*Inputs!$B$1+((Inputs!$G$5:$G$110&lt;&gt;"moeda")*(Inputs!$G$5:$G$110&lt;&gt;"acoes")))*INDEX(Inputs!$K$5:$AJ$110,0,MATCH(P$2,Inputs!$K$4:$AJ$4,0)))+SUMPRODUCT((Inputs!$C$5:$C$110=$B42)*Inputs!$D$5:$D$110*(((Inputs!$G$5:$G$110="moeda")+(Inputs!$G$5:$G$110="acoes"))*Inputs!$B$1+((Inputs!$G$5:$G$110&lt;&gt;"moeda")*(Inputs!$G$5:$G$110&lt;&gt;"acoes")))*INDEX(Inputs!$K$5:$AJ$110,0,MATCH(P$2,Inputs!$K$4:$AJ$4,0)))+SUMPRODUCT((Inputs!$E$5:$E$110=$B42)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42" s="267" t="e">
        <f>IF(ISNA(MATCH(Q$2,Inputs!$K$4:$AJ$4,0)),NA(),IF(SUMPRODUCT((Inputs!$A$5:$A$110=$B42)*ISNUMBER(INDEX(Inputs!$K$5:$AJ$110,0,MATCH(Q$2,Inputs!$K$4:$AJ$4,0))))+SUMPRODUCT((Inputs!$C$5:$C$110=$B42)*ISNUMBER(INDEX(Inputs!$K$5:$AJ$110,0,MATCH(Q$2,Inputs!$K$4:$AJ$4,0))))+SUMPRODUCT((Inputs!$E$5:$E$110=$B42)*ISNUMBER(INDEX(Inputs!$K$5:$AJ$110,0,MATCH(Q$2,Inputs!$K$4:$AJ$4,0))))=0,NA(),SUMPRODUCT((Inputs!$A$5:$A$110=$B42)*Inputs!$B$5:$B$110*(((Inputs!$G$5:$G$110="moeda")+(Inputs!$G$5:$G$110="acoes"))*Inputs!$B$1+((Inputs!$G$5:$G$110&lt;&gt;"moeda")*(Inputs!$G$5:$G$110&lt;&gt;"acoes")))*INDEX(Inputs!$K$5:$AJ$110,0,MATCH(Q$2,Inputs!$K$4:$AJ$4,0)))+SUMPRODUCT((Inputs!$C$5:$C$110=$B42)*Inputs!$D$5:$D$110*(((Inputs!$G$5:$G$110="moeda")+(Inputs!$G$5:$G$110="acoes"))*Inputs!$B$1+((Inputs!$G$5:$G$110&lt;&gt;"moeda")*(Inputs!$G$5:$G$110&lt;&gt;"acoes")))*INDEX(Inputs!$K$5:$AJ$110,0,MATCH(Q$2,Inputs!$K$4:$AJ$4,0)))+SUMPRODUCT((Inputs!$E$5:$E$110=$B42)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42" s="268" t="e">
        <f>Q42</f>
        <v>#N/A</v>
      </c>
      <c r="S42" s="267" t="e">
        <f>IF(ISNA(MATCH(S$2,Inputs!$K$4:$AJ$4,0)),NA(),IF(SUMPRODUCT((Inputs!$A$5:$A$110=$B42)*ISNUMBER(INDEX(Inputs!$K$5:$AJ$110,0,MATCH(S$2,Inputs!$K$4:$AJ$4,0))))+SUMPRODUCT((Inputs!$C$5:$C$110=$B42)*ISNUMBER(INDEX(Inputs!$K$5:$AJ$110,0,MATCH(S$2,Inputs!$K$4:$AJ$4,0))))+SUMPRODUCT((Inputs!$E$5:$E$110=$B42)*ISNUMBER(INDEX(Inputs!$K$5:$AJ$110,0,MATCH(S$2,Inputs!$K$4:$AJ$4,0))))=0,NA(),SUMPRODUCT((Inputs!$A$5:$A$110=$B42)*Inputs!$B$5:$B$110*(((Inputs!$G$5:$G$110="moeda")+(Inputs!$G$5:$G$110="acoes"))*Inputs!$B$1+((Inputs!$G$5:$G$110&lt;&gt;"moeda")*(Inputs!$G$5:$G$110&lt;&gt;"acoes")))*INDEX(Inputs!$K$5:$AJ$110,0,MATCH(S$2,Inputs!$K$4:$AJ$4,0)))+SUMPRODUCT((Inputs!$C$5:$C$110=$B42)*Inputs!$D$5:$D$110*(((Inputs!$G$5:$G$110="moeda")+(Inputs!$G$5:$G$110="acoes"))*Inputs!$B$1+((Inputs!$G$5:$G$110&lt;&gt;"moeda")*(Inputs!$G$5:$G$110&lt;&gt;"acoes")))*INDEX(Inputs!$K$5:$AJ$110,0,MATCH(S$2,Inputs!$K$4:$AJ$4,0)))+SUMPRODUCT((Inputs!$E$5:$E$110=$B42)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42" s="267" t="e">
        <f>IF(ISNA(MATCH(T$2,Inputs!$K$4:$AJ$4,0)),NA(),IF(SUMPRODUCT((Inputs!$A$5:$A$110=$B42)*ISNUMBER(INDEX(Inputs!$K$5:$AJ$110,0,MATCH(T$2,Inputs!$K$4:$AJ$4,0))))+SUMPRODUCT((Inputs!$C$5:$C$110=$B42)*ISNUMBER(INDEX(Inputs!$K$5:$AJ$110,0,MATCH(T$2,Inputs!$K$4:$AJ$4,0))))+SUMPRODUCT((Inputs!$E$5:$E$110=$B42)*ISNUMBER(INDEX(Inputs!$K$5:$AJ$110,0,MATCH(T$2,Inputs!$K$4:$AJ$4,0))))=0,NA(),SUMPRODUCT((Inputs!$A$5:$A$110=$B42)*Inputs!$B$5:$B$110*(((Inputs!$G$5:$G$110="moeda")+(Inputs!$G$5:$G$110="acoes"))*Inputs!$B$1+((Inputs!$G$5:$G$110&lt;&gt;"moeda")*(Inputs!$G$5:$G$110&lt;&gt;"acoes")))*INDEX(Inputs!$K$5:$AJ$110,0,MATCH(T$2,Inputs!$K$4:$AJ$4,0)))+SUMPRODUCT((Inputs!$C$5:$C$110=$B42)*Inputs!$D$5:$D$110*(((Inputs!$G$5:$G$110="moeda")+(Inputs!$G$5:$G$110="acoes"))*Inputs!$B$1+((Inputs!$G$5:$G$110&lt;&gt;"moeda")*(Inputs!$G$5:$G$110&lt;&gt;"acoes")))*INDEX(Inputs!$K$5:$AJ$110,0,MATCH(T$2,Inputs!$K$4:$AJ$4,0)))+SUMPRODUCT((Inputs!$E$5:$E$110=$B42)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42" s="267" t="e">
        <f>IF(ISNA(MATCH(U$2,Inputs!$K$4:$AJ$4,0)),NA(),IF(SUMPRODUCT((Inputs!$A$5:$A$110=$B42)*ISNUMBER(INDEX(Inputs!$K$5:$AJ$110,0,MATCH(U$2,Inputs!$K$4:$AJ$4,0))))+SUMPRODUCT((Inputs!$C$5:$C$110=$B42)*ISNUMBER(INDEX(Inputs!$K$5:$AJ$110,0,MATCH(U$2,Inputs!$K$4:$AJ$4,0))))+SUMPRODUCT((Inputs!$E$5:$E$110=$B42)*ISNUMBER(INDEX(Inputs!$K$5:$AJ$110,0,MATCH(U$2,Inputs!$K$4:$AJ$4,0))))=0,NA(),SUMPRODUCT((Inputs!$A$5:$A$110=$B42)*Inputs!$B$5:$B$110*(((Inputs!$G$5:$G$110="moeda")+(Inputs!$G$5:$G$110="acoes"))*Inputs!$B$1+((Inputs!$G$5:$G$110&lt;&gt;"moeda")*(Inputs!$G$5:$G$110&lt;&gt;"acoes")))*INDEX(Inputs!$K$5:$AJ$110,0,MATCH(U$2,Inputs!$K$4:$AJ$4,0)))+SUMPRODUCT((Inputs!$C$5:$C$110=$B42)*Inputs!$D$5:$D$110*(((Inputs!$G$5:$G$110="moeda")+(Inputs!$G$5:$G$110="acoes"))*Inputs!$B$1+((Inputs!$G$5:$G$110&lt;&gt;"moeda")*(Inputs!$G$5:$G$110&lt;&gt;"acoes")))*INDEX(Inputs!$K$5:$AJ$110,0,MATCH(U$2,Inputs!$K$4:$AJ$4,0)))+SUMPRODUCT((Inputs!$E$5:$E$110=$B42)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42" s="267" t="e">
        <f>IF(ISNA(MATCH(V$2,Inputs!$K$4:$AJ$4,0)),NA(),IF(SUMPRODUCT((Inputs!$A$5:$A$110=$B42)*ISNUMBER(INDEX(Inputs!$K$5:$AJ$110,0,MATCH(V$2,Inputs!$K$4:$AJ$4,0))))+SUMPRODUCT((Inputs!$C$5:$C$110=$B42)*ISNUMBER(INDEX(Inputs!$K$5:$AJ$110,0,MATCH(V$2,Inputs!$K$4:$AJ$4,0))))+SUMPRODUCT((Inputs!$E$5:$E$110=$B42)*ISNUMBER(INDEX(Inputs!$K$5:$AJ$110,0,MATCH(V$2,Inputs!$K$4:$AJ$4,0))))=0,NA(),SUMPRODUCT((Inputs!$A$5:$A$110=$B42)*Inputs!$B$5:$B$110*(((Inputs!$G$5:$G$110="moeda")+(Inputs!$G$5:$G$110="acoes"))*Inputs!$B$1+((Inputs!$G$5:$G$110&lt;&gt;"moeda")*(Inputs!$G$5:$G$110&lt;&gt;"acoes")))*INDEX(Inputs!$K$5:$AJ$110,0,MATCH(V$2,Inputs!$K$4:$AJ$4,0)))+SUMPRODUCT((Inputs!$C$5:$C$110=$B42)*Inputs!$D$5:$D$110*(((Inputs!$G$5:$G$110="moeda")+(Inputs!$G$5:$G$110="acoes"))*Inputs!$B$1+((Inputs!$G$5:$G$110&lt;&gt;"moeda")*(Inputs!$G$5:$G$110&lt;&gt;"acoes")))*INDEX(Inputs!$K$5:$AJ$110,0,MATCH(V$2,Inputs!$K$4:$AJ$4,0)))+SUMPRODUCT((Inputs!$E$5:$E$110=$B42)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42" s="268" t="e">
        <f>V42</f>
        <v>#N/A</v>
      </c>
      <c r="X42" s="267" t="e">
        <f>IF(ISNA(MATCH(X$2,Inputs!$K$4:$AJ$4,0)),NA(),IF(SUMPRODUCT((Inputs!$A$5:$A$110=$B42)*ISNUMBER(INDEX(Inputs!$K$5:$AJ$110,0,MATCH(X$2,Inputs!$K$4:$AJ$4,0))))+SUMPRODUCT((Inputs!$C$5:$C$110=$B42)*ISNUMBER(INDEX(Inputs!$K$5:$AJ$110,0,MATCH(X$2,Inputs!$K$4:$AJ$4,0))))+SUMPRODUCT((Inputs!$E$5:$E$110=$B42)*ISNUMBER(INDEX(Inputs!$K$5:$AJ$110,0,MATCH(X$2,Inputs!$K$4:$AJ$4,0))))=0,NA(),SUMPRODUCT((Inputs!$A$5:$A$110=$B42)*Inputs!$B$5:$B$110*(((Inputs!$G$5:$G$110="moeda")+(Inputs!$G$5:$G$110="acoes"))*Inputs!$B$1+((Inputs!$G$5:$G$110&lt;&gt;"moeda")*(Inputs!$G$5:$G$110&lt;&gt;"acoes")))*INDEX(Inputs!$K$5:$AJ$110,0,MATCH(X$2,Inputs!$K$4:$AJ$4,0)))+SUMPRODUCT((Inputs!$C$5:$C$110=$B42)*Inputs!$D$5:$D$110*(((Inputs!$G$5:$G$110="moeda")+(Inputs!$G$5:$G$110="acoes"))*Inputs!$B$1+((Inputs!$G$5:$G$110&lt;&gt;"moeda")*(Inputs!$G$5:$G$110&lt;&gt;"acoes")))*INDEX(Inputs!$K$5:$AJ$110,0,MATCH(X$2,Inputs!$K$4:$AJ$4,0)))+SUMPRODUCT((Inputs!$E$5:$E$110=$B42)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42" s="267" t="e">
        <f>IF(ISNA(MATCH(Y$2,Inputs!$K$4:$AJ$4,0)),NA(),IF(SUMPRODUCT((Inputs!$A$5:$A$110=$B42)*ISNUMBER(INDEX(Inputs!$K$5:$AJ$110,0,MATCH(Y$2,Inputs!$K$4:$AJ$4,0))))+SUMPRODUCT((Inputs!$C$5:$C$110=$B42)*ISNUMBER(INDEX(Inputs!$K$5:$AJ$110,0,MATCH(Y$2,Inputs!$K$4:$AJ$4,0))))+SUMPRODUCT((Inputs!$E$5:$E$110=$B42)*ISNUMBER(INDEX(Inputs!$K$5:$AJ$110,0,MATCH(Y$2,Inputs!$K$4:$AJ$4,0))))=0,NA(),SUMPRODUCT((Inputs!$A$5:$A$110=$B42)*Inputs!$B$5:$B$110*(((Inputs!$G$5:$G$110="moeda")+(Inputs!$G$5:$G$110="acoes"))*Inputs!$B$1+((Inputs!$G$5:$G$110&lt;&gt;"moeda")*(Inputs!$G$5:$G$110&lt;&gt;"acoes")))*INDEX(Inputs!$K$5:$AJ$110,0,MATCH(Y$2,Inputs!$K$4:$AJ$4,0)))+SUMPRODUCT((Inputs!$C$5:$C$110=$B42)*Inputs!$D$5:$D$110*(((Inputs!$G$5:$G$110="moeda")+(Inputs!$G$5:$G$110="acoes"))*Inputs!$B$1+((Inputs!$G$5:$G$110&lt;&gt;"moeda")*(Inputs!$G$5:$G$110&lt;&gt;"acoes")))*INDEX(Inputs!$K$5:$AJ$110,0,MATCH(Y$2,Inputs!$K$4:$AJ$4,0)))+SUMPRODUCT((Inputs!$E$5:$E$110=$B42)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42" s="267" t="e">
        <f>IF(ISNA(MATCH(Z$2,Inputs!$K$4:$AJ$4,0)),NA(),IF(SUMPRODUCT((Inputs!$A$5:$A$110=$B42)*ISNUMBER(INDEX(Inputs!$K$5:$AJ$110,0,MATCH(Z$2,Inputs!$K$4:$AJ$4,0))))+SUMPRODUCT((Inputs!$C$5:$C$110=$B42)*ISNUMBER(INDEX(Inputs!$K$5:$AJ$110,0,MATCH(Z$2,Inputs!$K$4:$AJ$4,0))))+SUMPRODUCT((Inputs!$E$5:$E$110=$B42)*ISNUMBER(INDEX(Inputs!$K$5:$AJ$110,0,MATCH(Z$2,Inputs!$K$4:$AJ$4,0))))=0,NA(),SUMPRODUCT((Inputs!$A$5:$A$110=$B42)*Inputs!$B$5:$B$110*(((Inputs!$G$5:$G$110="moeda")+(Inputs!$G$5:$G$110="acoes"))*Inputs!$B$1+((Inputs!$G$5:$G$110&lt;&gt;"moeda")*(Inputs!$G$5:$G$110&lt;&gt;"acoes")))*INDEX(Inputs!$K$5:$AJ$110,0,MATCH(Z$2,Inputs!$K$4:$AJ$4,0)))+SUMPRODUCT((Inputs!$C$5:$C$110=$B42)*Inputs!$D$5:$D$110*(((Inputs!$G$5:$G$110="moeda")+(Inputs!$G$5:$G$110="acoes"))*Inputs!$B$1+((Inputs!$G$5:$G$110&lt;&gt;"moeda")*(Inputs!$G$5:$G$110&lt;&gt;"acoes")))*INDEX(Inputs!$K$5:$AJ$110,0,MATCH(Z$2,Inputs!$K$4:$AJ$4,0)))+SUMPRODUCT((Inputs!$E$5:$E$110=$B42)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42" s="267" t="e">
        <f>IF(ISNA(MATCH(AA$2,Inputs!$K$4:$AJ$4,0)),NA(),IF(SUMPRODUCT((Inputs!$A$5:$A$110=$B42)*ISNUMBER(INDEX(Inputs!$K$5:$AJ$110,0,MATCH(AA$2,Inputs!$K$4:$AJ$4,0))))+SUMPRODUCT((Inputs!$C$5:$C$110=$B42)*ISNUMBER(INDEX(Inputs!$K$5:$AJ$110,0,MATCH(AA$2,Inputs!$K$4:$AJ$4,0))))+SUMPRODUCT((Inputs!$E$5:$E$110=$B42)*ISNUMBER(INDEX(Inputs!$K$5:$AJ$110,0,MATCH(AA$2,Inputs!$K$4:$AJ$4,0))))=0,NA(),SUMPRODUCT((Inputs!$A$5:$A$110=$B42)*Inputs!$B$5:$B$110*(((Inputs!$G$5:$G$110="moeda")+(Inputs!$G$5:$G$110="acoes"))*Inputs!$B$1+((Inputs!$G$5:$G$110&lt;&gt;"moeda")*(Inputs!$G$5:$G$110&lt;&gt;"acoes")))*INDEX(Inputs!$K$5:$AJ$110,0,MATCH(AA$2,Inputs!$K$4:$AJ$4,0)))+SUMPRODUCT((Inputs!$C$5:$C$110=$B42)*Inputs!$D$5:$D$110*(((Inputs!$G$5:$G$110="moeda")+(Inputs!$G$5:$G$110="acoes"))*Inputs!$B$1+((Inputs!$G$5:$G$110&lt;&gt;"moeda")*(Inputs!$G$5:$G$110&lt;&gt;"acoes")))*INDEX(Inputs!$K$5:$AJ$110,0,MATCH(AA$2,Inputs!$K$4:$AJ$4,0)))+SUMPRODUCT((Inputs!$E$5:$E$110=$B42)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42" s="268" t="e">
        <f>AA42</f>
        <v>#N/A</v>
      </c>
      <c r="AC42" s="267" t="e">
        <f>IF(ISNA(MATCH(AC$2,Inputs!$K$4:$AJ$4,0)),NA(),IF(SUMPRODUCT((Inputs!$A$5:$A$110=$B42)*ISNUMBER(INDEX(Inputs!$K$5:$AJ$110,0,MATCH(AC$2,Inputs!$K$4:$AJ$4,0))))+SUMPRODUCT((Inputs!$C$5:$C$110=$B42)*ISNUMBER(INDEX(Inputs!$K$5:$AJ$110,0,MATCH(AC$2,Inputs!$K$4:$AJ$4,0))))+SUMPRODUCT((Inputs!$E$5:$E$110=$B42)*ISNUMBER(INDEX(Inputs!$K$5:$AJ$110,0,MATCH(AC$2,Inputs!$K$4:$AJ$4,0))))=0,NA(),SUMPRODUCT((Inputs!$A$5:$A$110=$B42)*Inputs!$B$5:$B$110*(((Inputs!$G$5:$G$110="moeda")+(Inputs!$G$5:$G$110="acoes"))*Inputs!$B$1+((Inputs!$G$5:$G$110&lt;&gt;"moeda")*(Inputs!$G$5:$G$110&lt;&gt;"acoes")))*INDEX(Inputs!$K$5:$AJ$110,0,MATCH(AC$2,Inputs!$K$4:$AJ$4,0)))+SUMPRODUCT((Inputs!$C$5:$C$110=$B42)*Inputs!$D$5:$D$110*(((Inputs!$G$5:$G$110="moeda")+(Inputs!$G$5:$G$110="acoes"))*Inputs!$B$1+((Inputs!$G$5:$G$110&lt;&gt;"moeda")*(Inputs!$G$5:$G$110&lt;&gt;"acoes")))*INDEX(Inputs!$K$5:$AJ$110,0,MATCH(AC$2,Inputs!$K$4:$AJ$4,0)))+SUMPRODUCT((Inputs!$E$5:$E$110=$B42)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42" s="267" t="e">
        <f>IF(ISNA(MATCH(AD$2,Inputs!$K$4:$AJ$4,0)),NA(),IF(SUMPRODUCT((Inputs!$A$5:$A$110=$B42)*ISNUMBER(INDEX(Inputs!$K$5:$AJ$110,0,MATCH(AD$2,Inputs!$K$4:$AJ$4,0))))+SUMPRODUCT((Inputs!$C$5:$C$110=$B42)*ISNUMBER(INDEX(Inputs!$K$5:$AJ$110,0,MATCH(AD$2,Inputs!$K$4:$AJ$4,0))))+SUMPRODUCT((Inputs!$E$5:$E$110=$B42)*ISNUMBER(INDEX(Inputs!$K$5:$AJ$110,0,MATCH(AD$2,Inputs!$K$4:$AJ$4,0))))=0,NA(),SUMPRODUCT((Inputs!$A$5:$A$110=$B42)*Inputs!$B$5:$B$110*(((Inputs!$G$5:$G$110="moeda")+(Inputs!$G$5:$G$110="acoes"))*Inputs!$B$1+((Inputs!$G$5:$G$110&lt;&gt;"moeda")*(Inputs!$G$5:$G$110&lt;&gt;"acoes")))*INDEX(Inputs!$K$5:$AJ$110,0,MATCH(AD$2,Inputs!$K$4:$AJ$4,0)))+SUMPRODUCT((Inputs!$C$5:$C$110=$B42)*Inputs!$D$5:$D$110*(((Inputs!$G$5:$G$110="moeda")+(Inputs!$G$5:$G$110="acoes"))*Inputs!$B$1+((Inputs!$G$5:$G$110&lt;&gt;"moeda")*(Inputs!$G$5:$G$110&lt;&gt;"acoes")))*INDEX(Inputs!$K$5:$AJ$110,0,MATCH(AD$2,Inputs!$K$4:$AJ$4,0)))+SUMPRODUCT((Inputs!$E$5:$E$110=$B42)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42" s="267" t="e">
        <f>IF(ISNA(MATCH(AE$2,Inputs!$K$4:$AJ$4,0)),NA(),IF(SUMPRODUCT((Inputs!$A$5:$A$110=$B42)*ISNUMBER(INDEX(Inputs!$K$5:$AJ$110,0,MATCH(AE$2,Inputs!$K$4:$AJ$4,0))))+SUMPRODUCT((Inputs!$C$5:$C$110=$B42)*ISNUMBER(INDEX(Inputs!$K$5:$AJ$110,0,MATCH(AE$2,Inputs!$K$4:$AJ$4,0))))+SUMPRODUCT((Inputs!$E$5:$E$110=$B42)*ISNUMBER(INDEX(Inputs!$K$5:$AJ$110,0,MATCH(AE$2,Inputs!$K$4:$AJ$4,0))))=0,NA(),SUMPRODUCT((Inputs!$A$5:$A$110=$B42)*Inputs!$B$5:$B$110*(((Inputs!$G$5:$G$110="moeda")+(Inputs!$G$5:$G$110="acoes"))*Inputs!$B$1+((Inputs!$G$5:$G$110&lt;&gt;"moeda")*(Inputs!$G$5:$G$110&lt;&gt;"acoes")))*INDEX(Inputs!$K$5:$AJ$110,0,MATCH(AE$2,Inputs!$K$4:$AJ$4,0)))+SUMPRODUCT((Inputs!$C$5:$C$110=$B42)*Inputs!$D$5:$D$110*(((Inputs!$G$5:$G$110="moeda")+(Inputs!$G$5:$G$110="acoes"))*Inputs!$B$1+((Inputs!$G$5:$G$110&lt;&gt;"moeda")*(Inputs!$G$5:$G$110&lt;&gt;"acoes")))*INDEX(Inputs!$K$5:$AJ$110,0,MATCH(AE$2,Inputs!$K$4:$AJ$4,0)))+SUMPRODUCT((Inputs!$E$5:$E$110=$B42)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2" s="267" t="e">
        <f>IF(ISNA(MATCH(AF$2,Inputs!$K$4:$AJ$4,0)),NA(),IF(SUMPRODUCT((Inputs!$A$5:$A$110=$B42)*ISNUMBER(INDEX(Inputs!$K$5:$AJ$110,0,MATCH(AF$2,Inputs!$K$4:$AJ$4,0))))+SUMPRODUCT((Inputs!$C$5:$C$110=$B42)*ISNUMBER(INDEX(Inputs!$K$5:$AJ$110,0,MATCH(AF$2,Inputs!$K$4:$AJ$4,0))))+SUMPRODUCT((Inputs!$E$5:$E$110=$B42)*ISNUMBER(INDEX(Inputs!$K$5:$AJ$110,0,MATCH(AF$2,Inputs!$K$4:$AJ$4,0))))=0,NA(),SUMPRODUCT((Inputs!$A$5:$A$110=$B42)*Inputs!$B$5:$B$110*(((Inputs!$G$5:$G$110="moeda")+(Inputs!$G$5:$G$110="acoes"))*Inputs!$B$1+((Inputs!$G$5:$G$110&lt;&gt;"moeda")*(Inputs!$G$5:$G$110&lt;&gt;"acoes")))*INDEX(Inputs!$K$5:$AJ$110,0,MATCH(AF$2,Inputs!$K$4:$AJ$4,0)))+SUMPRODUCT((Inputs!$C$5:$C$110=$B42)*Inputs!$D$5:$D$110*(((Inputs!$G$5:$G$110="moeda")+(Inputs!$G$5:$G$110="acoes"))*Inputs!$B$1+((Inputs!$G$5:$G$110&lt;&gt;"moeda")*(Inputs!$G$5:$G$110&lt;&gt;"acoes")))*INDEX(Inputs!$K$5:$AJ$110,0,MATCH(AF$2,Inputs!$K$4:$AJ$4,0)))+SUMPRODUCT((Inputs!$E$5:$E$110=$B42)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2" s="268" t="e">
        <f>AF42</f>
        <v>#N/A</v>
      </c>
      <c r="AH42" s="267" t="e">
        <f>IF(ISNA(MATCH(AH$2,Inputs!$K$4:$AJ$4,0)),NA(),IF(SUMPRODUCT((Inputs!$A$5:$A$110=$B42)*ISNUMBER(INDEX(Inputs!$K$5:$AJ$110,0,MATCH(AH$2,Inputs!$K$4:$AJ$4,0))))+SUMPRODUCT((Inputs!$C$5:$C$110=$B42)*ISNUMBER(INDEX(Inputs!$K$5:$AJ$110,0,MATCH(AH$2,Inputs!$K$4:$AJ$4,0))))+SUMPRODUCT((Inputs!$E$5:$E$110=$B42)*ISNUMBER(INDEX(Inputs!$K$5:$AJ$110,0,MATCH(AH$2,Inputs!$K$4:$AJ$4,0))))=0,NA(),SUMPRODUCT((Inputs!$A$5:$A$110=$B42)*Inputs!$B$5:$B$110*(((Inputs!$G$5:$G$110="moeda")+(Inputs!$G$5:$G$110="acoes"))*Inputs!$B$1+((Inputs!$G$5:$G$110&lt;&gt;"moeda")*(Inputs!$G$5:$G$110&lt;&gt;"acoes")))*INDEX(Inputs!$K$5:$AJ$110,0,MATCH(AH$2,Inputs!$K$4:$AJ$4,0)))+SUMPRODUCT((Inputs!$C$5:$C$110=$B42)*Inputs!$D$5:$D$110*(((Inputs!$G$5:$G$110="moeda")+(Inputs!$G$5:$G$110="acoes"))*Inputs!$B$1+((Inputs!$G$5:$G$110&lt;&gt;"moeda")*(Inputs!$G$5:$G$110&lt;&gt;"acoes")))*INDEX(Inputs!$K$5:$AJ$110,0,MATCH(AH$2,Inputs!$K$4:$AJ$4,0)))+SUMPRODUCT((Inputs!$E$5:$E$110=$B42)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42" s="267" t="e">
        <f>IF(ISNA(MATCH(AI$2,Inputs!$K$4:$AJ$4,0)),NA(),IF(SUMPRODUCT((Inputs!$A$5:$A$110=$B42)*ISNUMBER(INDEX(Inputs!$K$5:$AJ$110,0,MATCH(AI$2,Inputs!$K$4:$AJ$4,0))))+SUMPRODUCT((Inputs!$C$5:$C$110=$B42)*ISNUMBER(INDEX(Inputs!$K$5:$AJ$110,0,MATCH(AI$2,Inputs!$K$4:$AJ$4,0))))+SUMPRODUCT((Inputs!$E$5:$E$110=$B42)*ISNUMBER(INDEX(Inputs!$K$5:$AJ$110,0,MATCH(AI$2,Inputs!$K$4:$AJ$4,0))))=0,NA(),SUMPRODUCT((Inputs!$A$5:$A$110=$B42)*Inputs!$B$5:$B$110*(((Inputs!$G$5:$G$110="moeda")+(Inputs!$G$5:$G$110="acoes"))*Inputs!$B$1+((Inputs!$G$5:$G$110&lt;&gt;"moeda")*(Inputs!$G$5:$G$110&lt;&gt;"acoes")))*INDEX(Inputs!$K$5:$AJ$110,0,MATCH(AI$2,Inputs!$K$4:$AJ$4,0)))+SUMPRODUCT((Inputs!$C$5:$C$110=$B42)*Inputs!$D$5:$D$110*(((Inputs!$G$5:$G$110="moeda")+(Inputs!$G$5:$G$110="acoes"))*Inputs!$B$1+((Inputs!$G$5:$G$110&lt;&gt;"moeda")*(Inputs!$G$5:$G$110&lt;&gt;"acoes")))*INDEX(Inputs!$K$5:$AJ$110,0,MATCH(AI$2,Inputs!$K$4:$AJ$4,0)))+SUMPRODUCT((Inputs!$E$5:$E$110=$B42)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42" s="267" t="e">
        <f>IF(ISNA(MATCH(AJ$2,Inputs!$K$4:$AJ$4,0)),NA(),IF(SUMPRODUCT((Inputs!$A$5:$A$110=$B42)*ISNUMBER(INDEX(Inputs!$K$5:$AJ$110,0,MATCH(AJ$2,Inputs!$K$4:$AJ$4,0))))+SUMPRODUCT((Inputs!$C$5:$C$110=$B42)*ISNUMBER(INDEX(Inputs!$K$5:$AJ$110,0,MATCH(AJ$2,Inputs!$K$4:$AJ$4,0))))+SUMPRODUCT((Inputs!$E$5:$E$110=$B42)*ISNUMBER(INDEX(Inputs!$K$5:$AJ$110,0,MATCH(AJ$2,Inputs!$K$4:$AJ$4,0))))=0,NA(),SUMPRODUCT((Inputs!$A$5:$A$110=$B42)*Inputs!$B$5:$B$110*(((Inputs!$G$5:$G$110="moeda")+(Inputs!$G$5:$G$110="acoes"))*Inputs!$B$1+((Inputs!$G$5:$G$110&lt;&gt;"moeda")*(Inputs!$G$5:$G$110&lt;&gt;"acoes")))*INDEX(Inputs!$K$5:$AJ$110,0,MATCH(AJ$2,Inputs!$K$4:$AJ$4,0)))+SUMPRODUCT((Inputs!$C$5:$C$110=$B42)*Inputs!$D$5:$D$110*(((Inputs!$G$5:$G$110="moeda")+(Inputs!$G$5:$G$110="acoes"))*Inputs!$B$1+((Inputs!$G$5:$G$110&lt;&gt;"moeda")*(Inputs!$G$5:$G$110&lt;&gt;"acoes")))*INDEX(Inputs!$K$5:$AJ$110,0,MATCH(AJ$2,Inputs!$K$4:$AJ$4,0)))+SUMPRODUCT((Inputs!$E$5:$E$110=$B42)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42" s="267" t="e">
        <f>IF(ISNA(MATCH(AK$2,Inputs!$K$4:$AJ$4,0)),NA(),IF(SUMPRODUCT((Inputs!$A$5:$A$110=$B42)*ISNUMBER(INDEX(Inputs!$K$5:$AJ$110,0,MATCH(AK$2,Inputs!$K$4:$AJ$4,0))))+SUMPRODUCT((Inputs!$C$5:$C$110=$B42)*ISNUMBER(INDEX(Inputs!$K$5:$AJ$110,0,MATCH(AK$2,Inputs!$K$4:$AJ$4,0))))+SUMPRODUCT((Inputs!$E$5:$E$110=$B42)*ISNUMBER(INDEX(Inputs!$K$5:$AJ$110,0,MATCH(AK$2,Inputs!$K$4:$AJ$4,0))))=0,NA(),SUMPRODUCT((Inputs!$A$5:$A$110=$B42)*Inputs!$B$5:$B$110*(((Inputs!$G$5:$G$110="moeda")+(Inputs!$G$5:$G$110="acoes"))*Inputs!$B$1+((Inputs!$G$5:$G$110&lt;&gt;"moeda")*(Inputs!$G$5:$G$110&lt;&gt;"acoes")))*INDEX(Inputs!$K$5:$AJ$110,0,MATCH(AK$2,Inputs!$K$4:$AJ$4,0)))+SUMPRODUCT((Inputs!$C$5:$C$110=$B42)*Inputs!$D$5:$D$110*(((Inputs!$G$5:$G$110="moeda")+(Inputs!$G$5:$G$110="acoes"))*Inputs!$B$1+((Inputs!$G$5:$G$110&lt;&gt;"moeda")*(Inputs!$G$5:$G$110&lt;&gt;"acoes")))*INDEX(Inputs!$K$5:$AJ$110,0,MATCH(AK$2,Inputs!$K$4:$AJ$4,0)))+SUMPRODUCT((Inputs!$E$5:$E$110=$B42)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42" s="268" t="e">
        <f>AK42</f>
        <v>#N/A</v>
      </c>
    </row>
    <row r="43" ht="12.75" customHeight="1" s="255">
      <c r="B43" s="265" t="n">
        <v>37</v>
      </c>
      <c r="C43" s="269" t="inlineStr">
        <is>
          <t>Common Stock and APIC</t>
        </is>
      </c>
      <c r="D43" s="267">
        <f>IF(ISNA(MATCH(D$2,Inputs!$K$4:$AJ$4,0)),NA(),IF(SUMPRODUCT((Inputs!$A$5:$A$110=$B43)*ISNUMBER(INDEX(Inputs!$K$5:$AJ$110,0,MATCH(D$2,Inputs!$K$4:$AJ$4,0))))+SUMPRODUCT((Inputs!$C$5:$C$110=$B43)*ISNUMBER(INDEX(Inputs!$K$5:$AJ$110,0,MATCH(D$2,Inputs!$K$4:$AJ$4,0))))+SUMPRODUCT((Inputs!$E$5:$E$110=$B43)*ISNUMBER(INDEX(Inputs!$K$5:$AJ$110,0,MATCH(D$2,Inputs!$K$4:$AJ$4,0))))=0,NA(),SUMPRODUCT((Inputs!$A$5:$A$110=$B43)*Inputs!$B$5:$B$110*(((Inputs!$G$5:$G$110="moeda")+(Inputs!$G$5:$G$110="acoes"))*Inputs!$B$1+((Inputs!$G$5:$G$110&lt;&gt;"moeda")*(Inputs!$G$5:$G$110&lt;&gt;"acoes")))*INDEX(Inputs!$K$5:$AJ$110,0,MATCH(D$2,Inputs!$K$4:$AJ$4,0)))+SUMPRODUCT((Inputs!$C$5:$C$110=$B43)*Inputs!$D$5:$D$110*(((Inputs!$G$5:$G$110="moeda")+(Inputs!$G$5:$G$110="acoes"))*Inputs!$B$1+((Inputs!$G$5:$G$110&lt;&gt;"moeda")*(Inputs!$G$5:$G$110&lt;&gt;"acoes")))*INDEX(Inputs!$K$5:$AJ$110,0,MATCH(D$2,Inputs!$K$4:$AJ$4,0)))+SUMPRODUCT((Inputs!$E$5:$E$110=$B43)*Inputs!$F$5:$F$110*(((Inputs!$G$5:$G$110="moeda")+(Inputs!$G$5:$G$110="acoes"))*Inputs!$B$1+((Inputs!$G$5:$G$110&lt;&gt;"moeda")*(Inputs!$G$5:$G$110&lt;&gt;"acoes")))*INDEX(Inputs!$K$5:$AJ$110,0,MATCH(D$2,Inputs!$K$4:$AJ$4,0)))))</f>
        <v>3704</v>
      </c>
      <c r="E43" s="267">
        <f>IF(ISNA(MATCH(E$2,Inputs!$K$4:$AJ$4,0)),NA(),IF(SUMPRODUCT((Inputs!$A$5:$A$110=$B43)*ISNUMBER(INDEX(Inputs!$K$5:$AJ$110,0,MATCH(E$2,Inputs!$K$4:$AJ$4,0))))+SUMPRODUCT((Inputs!$C$5:$C$110=$B43)*ISNUMBER(INDEX(Inputs!$K$5:$AJ$110,0,MATCH(E$2,Inputs!$K$4:$AJ$4,0))))+SUMPRODUCT((Inputs!$E$5:$E$110=$B43)*ISNUMBER(INDEX(Inputs!$K$5:$AJ$110,0,MATCH(E$2,Inputs!$K$4:$AJ$4,0))))=0,NA(),SUMPRODUCT((Inputs!$A$5:$A$110=$B43)*Inputs!$B$5:$B$110*(((Inputs!$G$5:$G$110="moeda")+(Inputs!$G$5:$G$110="acoes"))*Inputs!$B$1+((Inputs!$G$5:$G$110&lt;&gt;"moeda")*(Inputs!$G$5:$G$110&lt;&gt;"acoes")))*INDEX(Inputs!$K$5:$AJ$110,0,MATCH(E$2,Inputs!$K$4:$AJ$4,0)))+SUMPRODUCT((Inputs!$C$5:$C$110=$B43)*Inputs!$D$5:$D$110*(((Inputs!$G$5:$G$110="moeda")+(Inputs!$G$5:$G$110="acoes"))*Inputs!$B$1+((Inputs!$G$5:$G$110&lt;&gt;"moeda")*(Inputs!$G$5:$G$110&lt;&gt;"acoes")))*INDEX(Inputs!$K$5:$AJ$110,0,MATCH(E$2,Inputs!$K$4:$AJ$4,0)))+SUMPRODUCT((Inputs!$E$5:$E$110=$B43)*Inputs!$F$5:$F$110*(((Inputs!$G$5:$G$110="moeda")+(Inputs!$G$5:$G$110="acoes"))*Inputs!$B$1+((Inputs!$G$5:$G$110&lt;&gt;"moeda")*(Inputs!$G$5:$G$110&lt;&gt;"acoes")))*INDEX(Inputs!$K$5:$AJ$110,0,MATCH(E$2,Inputs!$K$4:$AJ$4,0)))))</f>
        <v>3933</v>
      </c>
      <c r="F43" s="267">
        <f>IF(ISNA(MATCH(F$2,Inputs!$K$4:$AJ$4,0)),NA(),IF(SUMPRODUCT((Inputs!$A$5:$A$110=$B43)*ISNUMBER(INDEX(Inputs!$K$5:$AJ$110,0,MATCH(F$2,Inputs!$K$4:$AJ$4,0))))+SUMPRODUCT((Inputs!$C$5:$C$110=$B43)*ISNUMBER(INDEX(Inputs!$K$5:$AJ$110,0,MATCH(F$2,Inputs!$K$4:$AJ$4,0))))+SUMPRODUCT((Inputs!$E$5:$E$110=$B43)*ISNUMBER(INDEX(Inputs!$K$5:$AJ$110,0,MATCH(F$2,Inputs!$K$4:$AJ$4,0))))=0,NA(),SUMPRODUCT((Inputs!$A$5:$A$110=$B43)*Inputs!$B$5:$B$110*(((Inputs!$G$5:$G$110="moeda")+(Inputs!$G$5:$G$110="acoes"))*Inputs!$B$1+((Inputs!$G$5:$G$110&lt;&gt;"moeda")*(Inputs!$G$5:$G$110&lt;&gt;"acoes")))*INDEX(Inputs!$K$5:$AJ$110,0,MATCH(F$2,Inputs!$K$4:$AJ$4,0)))+SUMPRODUCT((Inputs!$C$5:$C$110=$B43)*Inputs!$D$5:$D$110*(((Inputs!$G$5:$G$110="moeda")+(Inputs!$G$5:$G$110="acoes"))*Inputs!$B$1+((Inputs!$G$5:$G$110&lt;&gt;"moeda")*(Inputs!$G$5:$G$110&lt;&gt;"acoes")))*INDEX(Inputs!$K$5:$AJ$110,0,MATCH(F$2,Inputs!$K$4:$AJ$4,0)))+SUMPRODUCT((Inputs!$E$5:$E$110=$B43)*Inputs!$F$5:$F$110*(((Inputs!$G$5:$G$110="moeda")+(Inputs!$G$5:$G$110="acoes"))*Inputs!$B$1+((Inputs!$G$5:$G$110&lt;&gt;"moeda")*(Inputs!$G$5:$G$110&lt;&gt;"acoes")))*INDEX(Inputs!$K$5:$AJ$110,0,MATCH(F$2,Inputs!$K$4:$AJ$4,0)))))</f>
        <v>5088</v>
      </c>
      <c r="G43" s="267">
        <f>IF(ISNA(MATCH(G$2,Inputs!$K$4:$AJ$4,0)),NA(),IF(SUMPRODUCT((Inputs!$A$5:$A$110=$B43)*ISNUMBER(INDEX(Inputs!$K$5:$AJ$110,0,MATCH(G$2,Inputs!$K$4:$AJ$4,0))))+SUMPRODUCT((Inputs!$C$5:$C$110=$B43)*ISNUMBER(INDEX(Inputs!$K$5:$AJ$110,0,MATCH(G$2,Inputs!$K$4:$AJ$4,0))))+SUMPRODUCT((Inputs!$E$5:$E$110=$B43)*ISNUMBER(INDEX(Inputs!$K$5:$AJ$110,0,MATCH(G$2,Inputs!$K$4:$AJ$4,0))))=0,NA(),SUMPRODUCT((Inputs!$A$5:$A$110=$B43)*Inputs!$B$5:$B$110*(((Inputs!$G$5:$G$110="moeda")+(Inputs!$G$5:$G$110="acoes"))*Inputs!$B$1+((Inputs!$G$5:$G$110&lt;&gt;"moeda")*(Inputs!$G$5:$G$110&lt;&gt;"acoes")))*INDEX(Inputs!$K$5:$AJ$110,0,MATCH(G$2,Inputs!$K$4:$AJ$4,0)))+SUMPRODUCT((Inputs!$C$5:$C$110=$B43)*Inputs!$D$5:$D$110*(((Inputs!$G$5:$G$110="moeda")+(Inputs!$G$5:$G$110="acoes"))*Inputs!$B$1+((Inputs!$G$5:$G$110&lt;&gt;"moeda")*(Inputs!$G$5:$G$110&lt;&gt;"acoes")))*INDEX(Inputs!$K$5:$AJ$110,0,MATCH(G$2,Inputs!$K$4:$AJ$4,0)))+SUMPRODUCT((Inputs!$E$5:$E$110=$B43)*Inputs!$F$5:$F$110*(((Inputs!$G$5:$G$110="moeda")+(Inputs!$G$5:$G$110="acoes"))*Inputs!$B$1+((Inputs!$G$5:$G$110&lt;&gt;"moeda")*(Inputs!$G$5:$G$110&lt;&gt;"acoes")))*INDEX(Inputs!$K$5:$AJ$110,0,MATCH(G$2,Inputs!$K$4:$AJ$4,0)))))</f>
        <v>5115</v>
      </c>
      <c r="H43" s="268">
        <f>G43</f>
        <v>5115</v>
      </c>
      <c r="I43" s="267">
        <f>IF(ISNA(MATCH(I$2,Inputs!$K$4:$AJ$4,0)),NA(),IF(SUMPRODUCT((Inputs!$A$5:$A$110=$B43)*ISNUMBER(INDEX(Inputs!$K$5:$AJ$110,0,MATCH(I$2,Inputs!$K$4:$AJ$4,0))))+SUMPRODUCT((Inputs!$C$5:$C$110=$B43)*ISNUMBER(INDEX(Inputs!$K$5:$AJ$110,0,MATCH(I$2,Inputs!$K$4:$AJ$4,0))))+SUMPRODUCT((Inputs!$E$5:$E$110=$B43)*ISNUMBER(INDEX(Inputs!$K$5:$AJ$110,0,MATCH(I$2,Inputs!$K$4:$AJ$4,0))))=0,NA(),SUMPRODUCT((Inputs!$A$5:$A$110=$B43)*Inputs!$B$5:$B$110*(((Inputs!$G$5:$G$110="moeda")+(Inputs!$G$5:$G$110="acoes"))*Inputs!$B$1+((Inputs!$G$5:$G$110&lt;&gt;"moeda")*(Inputs!$G$5:$G$110&lt;&gt;"acoes")))*INDEX(Inputs!$K$5:$AJ$110,0,MATCH(I$2,Inputs!$K$4:$AJ$4,0)))+SUMPRODUCT((Inputs!$C$5:$C$110=$B43)*Inputs!$D$5:$D$110*(((Inputs!$G$5:$G$110="moeda")+(Inputs!$G$5:$G$110="acoes"))*Inputs!$B$1+((Inputs!$G$5:$G$110&lt;&gt;"moeda")*(Inputs!$G$5:$G$110&lt;&gt;"acoes")))*INDEX(Inputs!$K$5:$AJ$110,0,MATCH(I$2,Inputs!$K$4:$AJ$4,0)))+SUMPRODUCT((Inputs!$E$5:$E$110=$B43)*Inputs!$F$5:$F$110*(((Inputs!$G$5:$G$110="moeda")+(Inputs!$G$5:$G$110="acoes"))*Inputs!$B$1+((Inputs!$G$5:$G$110&lt;&gt;"moeda")*(Inputs!$G$5:$G$110&lt;&gt;"acoes")))*INDEX(Inputs!$K$5:$AJ$110,0,MATCH(I$2,Inputs!$K$4:$AJ$4,0)))))</f>
        <v>4862</v>
      </c>
      <c r="J43" s="267">
        <f>IF(ISNA(MATCH(J$2,Inputs!$K$4:$AJ$4,0)),NA(),IF(SUMPRODUCT((Inputs!$A$5:$A$110=$B43)*ISNUMBER(INDEX(Inputs!$K$5:$AJ$110,0,MATCH(J$2,Inputs!$K$4:$AJ$4,0))))+SUMPRODUCT((Inputs!$C$5:$C$110=$B43)*ISNUMBER(INDEX(Inputs!$K$5:$AJ$110,0,MATCH(J$2,Inputs!$K$4:$AJ$4,0))))+SUMPRODUCT((Inputs!$E$5:$E$110=$B43)*ISNUMBER(INDEX(Inputs!$K$5:$AJ$110,0,MATCH(J$2,Inputs!$K$4:$AJ$4,0))))=0,NA(),SUMPRODUCT((Inputs!$A$5:$A$110=$B43)*Inputs!$B$5:$B$110*(((Inputs!$G$5:$G$110="moeda")+(Inputs!$G$5:$G$110="acoes"))*Inputs!$B$1+((Inputs!$G$5:$G$110&lt;&gt;"moeda")*(Inputs!$G$5:$G$110&lt;&gt;"acoes")))*INDEX(Inputs!$K$5:$AJ$110,0,MATCH(J$2,Inputs!$K$4:$AJ$4,0)))+SUMPRODUCT((Inputs!$C$5:$C$110=$B43)*Inputs!$D$5:$D$110*(((Inputs!$G$5:$G$110="moeda")+(Inputs!$G$5:$G$110="acoes"))*Inputs!$B$1+((Inputs!$G$5:$G$110&lt;&gt;"moeda")*(Inputs!$G$5:$G$110&lt;&gt;"acoes")))*INDEX(Inputs!$K$5:$AJ$110,0,MATCH(J$2,Inputs!$K$4:$AJ$4,0)))+SUMPRODUCT((Inputs!$E$5:$E$110=$B43)*Inputs!$F$5:$F$110*(((Inputs!$G$5:$G$110="moeda")+(Inputs!$G$5:$G$110="acoes"))*Inputs!$B$1+((Inputs!$G$5:$G$110&lt;&gt;"moeda")*(Inputs!$G$5:$G$110&lt;&gt;"acoes")))*INDEX(Inputs!$K$5:$AJ$110,0,MATCH(J$2,Inputs!$K$4:$AJ$4,0)))))</f>
        <v>4944</v>
      </c>
      <c r="K43" s="267">
        <f>IF(ISNA(MATCH(K$2,Inputs!$K$4:$AJ$4,0)),NA(),IF(SUMPRODUCT((Inputs!$A$5:$A$110=$B43)*ISNUMBER(INDEX(Inputs!$K$5:$AJ$110,0,MATCH(K$2,Inputs!$K$4:$AJ$4,0))))+SUMPRODUCT((Inputs!$C$5:$C$110=$B43)*ISNUMBER(INDEX(Inputs!$K$5:$AJ$110,0,MATCH(K$2,Inputs!$K$4:$AJ$4,0))))+SUMPRODUCT((Inputs!$E$5:$E$110=$B43)*ISNUMBER(INDEX(Inputs!$K$5:$AJ$110,0,MATCH(K$2,Inputs!$K$4:$AJ$4,0))))=0,NA(),SUMPRODUCT((Inputs!$A$5:$A$110=$B43)*Inputs!$B$5:$B$110*(((Inputs!$G$5:$G$110="moeda")+(Inputs!$G$5:$G$110="acoes"))*Inputs!$B$1+((Inputs!$G$5:$G$110&lt;&gt;"moeda")*(Inputs!$G$5:$G$110&lt;&gt;"acoes")))*INDEX(Inputs!$K$5:$AJ$110,0,MATCH(K$2,Inputs!$K$4:$AJ$4,0)))+SUMPRODUCT((Inputs!$C$5:$C$110=$B43)*Inputs!$D$5:$D$110*(((Inputs!$G$5:$G$110="moeda")+(Inputs!$G$5:$G$110="acoes"))*Inputs!$B$1+((Inputs!$G$5:$G$110&lt;&gt;"moeda")*(Inputs!$G$5:$G$110&lt;&gt;"acoes")))*INDEX(Inputs!$K$5:$AJ$110,0,MATCH(K$2,Inputs!$K$4:$AJ$4,0)))+SUMPRODUCT((Inputs!$E$5:$E$110=$B43)*Inputs!$F$5:$F$110*(((Inputs!$G$5:$G$110="moeda")+(Inputs!$G$5:$G$110="acoes"))*Inputs!$B$1+((Inputs!$G$5:$G$110&lt;&gt;"moeda")*(Inputs!$G$5:$G$110&lt;&gt;"acoes")))*INDEX(Inputs!$K$5:$AJ$110,0,MATCH(K$2,Inputs!$K$4:$AJ$4,0)))))</f>
        <v>5087</v>
      </c>
      <c r="L43" s="267">
        <f>IF(ISNA(MATCH(L$2,Inputs!$K$4:$AJ$4,0)),NA(),IF(SUMPRODUCT((Inputs!$A$5:$A$110=$B43)*ISNUMBER(INDEX(Inputs!$K$5:$AJ$110,0,MATCH(L$2,Inputs!$K$4:$AJ$4,0))))+SUMPRODUCT((Inputs!$C$5:$C$110=$B43)*ISNUMBER(INDEX(Inputs!$K$5:$AJ$110,0,MATCH(L$2,Inputs!$K$4:$AJ$4,0))))+SUMPRODUCT((Inputs!$E$5:$E$110=$B43)*ISNUMBER(INDEX(Inputs!$K$5:$AJ$110,0,MATCH(L$2,Inputs!$K$4:$AJ$4,0))))=0,NA(),SUMPRODUCT((Inputs!$A$5:$A$110=$B43)*Inputs!$B$5:$B$110*(((Inputs!$G$5:$G$110="moeda")+(Inputs!$G$5:$G$110="acoes"))*Inputs!$B$1+((Inputs!$G$5:$G$110&lt;&gt;"moeda")*(Inputs!$G$5:$G$110&lt;&gt;"acoes")))*INDEX(Inputs!$K$5:$AJ$110,0,MATCH(L$2,Inputs!$K$4:$AJ$4,0)))+SUMPRODUCT((Inputs!$C$5:$C$110=$B43)*Inputs!$D$5:$D$110*(((Inputs!$G$5:$G$110="moeda")+(Inputs!$G$5:$G$110="acoes"))*Inputs!$B$1+((Inputs!$G$5:$G$110&lt;&gt;"moeda")*(Inputs!$G$5:$G$110&lt;&gt;"acoes")))*INDEX(Inputs!$K$5:$AJ$110,0,MATCH(L$2,Inputs!$K$4:$AJ$4,0)))+SUMPRODUCT((Inputs!$E$5:$E$110=$B43)*Inputs!$F$5:$F$110*(((Inputs!$G$5:$G$110="moeda")+(Inputs!$G$5:$G$110="acoes"))*Inputs!$B$1+((Inputs!$G$5:$G$110&lt;&gt;"moeda")*(Inputs!$G$5:$G$110&lt;&gt;"acoes")))*INDEX(Inputs!$K$5:$AJ$110,0,MATCH(L$2,Inputs!$K$4:$AJ$4,0)))))</f>
        <v>5238</v>
      </c>
      <c r="M43" s="268">
        <f>L43</f>
        <v>5238</v>
      </c>
      <c r="N43" s="267">
        <f>IF(ISNA(MATCH(N$2,Inputs!$K$4:$AJ$4,0)),NA(),IF(SUMPRODUCT((Inputs!$A$5:$A$110=$B43)*ISNUMBER(INDEX(Inputs!$K$5:$AJ$110,0,MATCH(N$2,Inputs!$K$4:$AJ$4,0))))+SUMPRODUCT((Inputs!$C$5:$C$110=$B43)*ISNUMBER(INDEX(Inputs!$K$5:$AJ$110,0,MATCH(N$2,Inputs!$K$4:$AJ$4,0))))+SUMPRODUCT((Inputs!$E$5:$E$110=$B43)*ISNUMBER(INDEX(Inputs!$K$5:$AJ$110,0,MATCH(N$2,Inputs!$K$4:$AJ$4,0))))=0,NA(),SUMPRODUCT((Inputs!$A$5:$A$110=$B43)*Inputs!$B$5:$B$110*(((Inputs!$G$5:$G$110="moeda")+(Inputs!$G$5:$G$110="acoes"))*Inputs!$B$1+((Inputs!$G$5:$G$110&lt;&gt;"moeda")*(Inputs!$G$5:$G$110&lt;&gt;"acoes")))*INDEX(Inputs!$K$5:$AJ$110,0,MATCH(N$2,Inputs!$K$4:$AJ$4,0)))+SUMPRODUCT((Inputs!$C$5:$C$110=$B43)*Inputs!$D$5:$D$110*(((Inputs!$G$5:$G$110="moeda")+(Inputs!$G$5:$G$110="acoes"))*Inputs!$B$1+((Inputs!$G$5:$G$110&lt;&gt;"moeda")*(Inputs!$G$5:$G$110&lt;&gt;"acoes")))*INDEX(Inputs!$K$5:$AJ$110,0,MATCH(N$2,Inputs!$K$4:$AJ$4,0)))+SUMPRODUCT((Inputs!$E$5:$E$110=$B43)*Inputs!$F$5:$F$110*(((Inputs!$G$5:$G$110="moeda")+(Inputs!$G$5:$G$110="acoes"))*Inputs!$B$1+((Inputs!$G$5:$G$110&lt;&gt;"moeda")*(Inputs!$G$5:$G$110&lt;&gt;"acoes")))*INDEX(Inputs!$K$5:$AJ$110,0,MATCH(N$2,Inputs!$K$4:$AJ$4,0)))))</f>
        <v>5517</v>
      </c>
      <c r="O43" s="267">
        <f>IF(ISNA(MATCH(O$2,Inputs!$K$4:$AJ$4,0)),NA(),IF(SUMPRODUCT((Inputs!$A$5:$A$110=$B43)*ISNUMBER(INDEX(Inputs!$K$5:$AJ$110,0,MATCH(O$2,Inputs!$K$4:$AJ$4,0))))+SUMPRODUCT((Inputs!$C$5:$C$110=$B43)*ISNUMBER(INDEX(Inputs!$K$5:$AJ$110,0,MATCH(O$2,Inputs!$K$4:$AJ$4,0))))+SUMPRODUCT((Inputs!$E$5:$E$110=$B43)*ISNUMBER(INDEX(Inputs!$K$5:$AJ$110,0,MATCH(O$2,Inputs!$K$4:$AJ$4,0))))=0,NA(),SUMPRODUCT((Inputs!$A$5:$A$110=$B43)*Inputs!$B$5:$B$110*(((Inputs!$G$5:$G$110="moeda")+(Inputs!$G$5:$G$110="acoes"))*Inputs!$B$1+((Inputs!$G$5:$G$110&lt;&gt;"moeda")*(Inputs!$G$5:$G$110&lt;&gt;"acoes")))*INDEX(Inputs!$K$5:$AJ$110,0,MATCH(O$2,Inputs!$K$4:$AJ$4,0)))+SUMPRODUCT((Inputs!$C$5:$C$110=$B43)*Inputs!$D$5:$D$110*(((Inputs!$G$5:$G$110="moeda")+(Inputs!$G$5:$G$110="acoes"))*Inputs!$B$1+((Inputs!$G$5:$G$110&lt;&gt;"moeda")*(Inputs!$G$5:$G$110&lt;&gt;"acoes")))*INDEX(Inputs!$K$5:$AJ$110,0,MATCH(O$2,Inputs!$K$4:$AJ$4,0)))+SUMPRODUCT((Inputs!$E$5:$E$110=$B43)*Inputs!$F$5:$F$110*(((Inputs!$G$5:$G$110="moeda")+(Inputs!$G$5:$G$110="acoes"))*Inputs!$B$1+((Inputs!$G$5:$G$110&lt;&gt;"moeda")*(Inputs!$G$5:$G$110&lt;&gt;"acoes")))*INDEX(Inputs!$K$5:$AJ$110,0,MATCH(O$2,Inputs!$K$4:$AJ$4,0)))))</f>
        <v>4904</v>
      </c>
      <c r="P43" s="267">
        <f>IF(ISNA(MATCH(P$2,Inputs!$K$4:$AJ$4,0)),NA(),IF(SUMPRODUCT((Inputs!$A$5:$A$110=$B43)*ISNUMBER(INDEX(Inputs!$K$5:$AJ$110,0,MATCH(P$2,Inputs!$K$4:$AJ$4,0))))+SUMPRODUCT((Inputs!$C$5:$C$110=$B43)*ISNUMBER(INDEX(Inputs!$K$5:$AJ$110,0,MATCH(P$2,Inputs!$K$4:$AJ$4,0))))+SUMPRODUCT((Inputs!$E$5:$E$110=$B43)*ISNUMBER(INDEX(Inputs!$K$5:$AJ$110,0,MATCH(P$2,Inputs!$K$4:$AJ$4,0))))=0,NA(),SUMPRODUCT((Inputs!$A$5:$A$110=$B43)*Inputs!$B$5:$B$110*(((Inputs!$G$5:$G$110="moeda")+(Inputs!$G$5:$G$110="acoes"))*Inputs!$B$1+((Inputs!$G$5:$G$110&lt;&gt;"moeda")*(Inputs!$G$5:$G$110&lt;&gt;"acoes")))*INDEX(Inputs!$K$5:$AJ$110,0,MATCH(P$2,Inputs!$K$4:$AJ$4,0)))+SUMPRODUCT((Inputs!$C$5:$C$110=$B43)*Inputs!$D$5:$D$110*(((Inputs!$G$5:$G$110="moeda")+(Inputs!$G$5:$G$110="acoes"))*Inputs!$B$1+((Inputs!$G$5:$G$110&lt;&gt;"moeda")*(Inputs!$G$5:$G$110&lt;&gt;"acoes")))*INDEX(Inputs!$K$5:$AJ$110,0,MATCH(P$2,Inputs!$K$4:$AJ$4,0)))+SUMPRODUCT((Inputs!$E$5:$E$110=$B43)*Inputs!$F$5:$F$110*(((Inputs!$G$5:$G$110="moeda")+(Inputs!$G$5:$G$110="acoes"))*Inputs!$B$1+((Inputs!$G$5:$G$110&lt;&gt;"moeda")*(Inputs!$G$5:$G$110&lt;&gt;"acoes")))*INDEX(Inputs!$K$5:$AJ$110,0,MATCH(P$2,Inputs!$K$4:$AJ$4,0)))))</f>
        <v>5198</v>
      </c>
      <c r="Q43" s="267">
        <f>IF(ISNA(MATCH(Q$2,Inputs!$K$4:$AJ$4,0)),NA(),IF(SUMPRODUCT((Inputs!$A$5:$A$110=$B43)*ISNUMBER(INDEX(Inputs!$K$5:$AJ$110,0,MATCH(Q$2,Inputs!$K$4:$AJ$4,0))))+SUMPRODUCT((Inputs!$C$5:$C$110=$B43)*ISNUMBER(INDEX(Inputs!$K$5:$AJ$110,0,MATCH(Q$2,Inputs!$K$4:$AJ$4,0))))+SUMPRODUCT((Inputs!$E$5:$E$110=$B43)*ISNUMBER(INDEX(Inputs!$K$5:$AJ$110,0,MATCH(Q$2,Inputs!$K$4:$AJ$4,0))))=0,NA(),SUMPRODUCT((Inputs!$A$5:$A$110=$B43)*Inputs!$B$5:$B$110*(((Inputs!$G$5:$G$110="moeda")+(Inputs!$G$5:$G$110="acoes"))*Inputs!$B$1+((Inputs!$G$5:$G$110&lt;&gt;"moeda")*(Inputs!$G$5:$G$110&lt;&gt;"acoes")))*INDEX(Inputs!$K$5:$AJ$110,0,MATCH(Q$2,Inputs!$K$4:$AJ$4,0)))+SUMPRODUCT((Inputs!$C$5:$C$110=$B43)*Inputs!$D$5:$D$110*(((Inputs!$G$5:$G$110="moeda")+(Inputs!$G$5:$G$110="acoes"))*Inputs!$B$1+((Inputs!$G$5:$G$110&lt;&gt;"moeda")*(Inputs!$G$5:$G$110&lt;&gt;"acoes")))*INDEX(Inputs!$K$5:$AJ$110,0,MATCH(Q$2,Inputs!$K$4:$AJ$4,0)))+SUMPRODUCT((Inputs!$E$5:$E$110=$B43)*Inputs!$F$5:$F$110*(((Inputs!$G$5:$G$110="moeda")+(Inputs!$G$5:$G$110="acoes"))*Inputs!$B$1+((Inputs!$G$5:$G$110&lt;&gt;"moeda")*(Inputs!$G$5:$G$110&lt;&gt;"acoes")))*INDEX(Inputs!$K$5:$AJ$110,0,MATCH(Q$2,Inputs!$K$4:$AJ$4,0)))))</f>
        <v>5349</v>
      </c>
      <c r="R43" s="268">
        <f>Q43</f>
        <v>5349</v>
      </c>
      <c r="S43" s="267">
        <f>IF(ISNA(MATCH(S$2,Inputs!$K$4:$AJ$4,0)),NA(),IF(SUMPRODUCT((Inputs!$A$5:$A$110=$B43)*ISNUMBER(INDEX(Inputs!$K$5:$AJ$110,0,MATCH(S$2,Inputs!$K$4:$AJ$4,0))))+SUMPRODUCT((Inputs!$C$5:$C$110=$B43)*ISNUMBER(INDEX(Inputs!$K$5:$AJ$110,0,MATCH(S$2,Inputs!$K$4:$AJ$4,0))))+SUMPRODUCT((Inputs!$E$5:$E$110=$B43)*ISNUMBER(INDEX(Inputs!$K$5:$AJ$110,0,MATCH(S$2,Inputs!$K$4:$AJ$4,0))))=0,NA(),SUMPRODUCT((Inputs!$A$5:$A$110=$B43)*Inputs!$B$5:$B$110*(((Inputs!$G$5:$G$110="moeda")+(Inputs!$G$5:$G$110="acoes"))*Inputs!$B$1+((Inputs!$G$5:$G$110&lt;&gt;"moeda")*(Inputs!$G$5:$G$110&lt;&gt;"acoes")))*INDEX(Inputs!$K$5:$AJ$110,0,MATCH(S$2,Inputs!$K$4:$AJ$4,0)))+SUMPRODUCT((Inputs!$C$5:$C$110=$B43)*Inputs!$D$5:$D$110*(((Inputs!$G$5:$G$110="moeda")+(Inputs!$G$5:$G$110="acoes"))*Inputs!$B$1+((Inputs!$G$5:$G$110&lt;&gt;"moeda")*(Inputs!$G$5:$G$110&lt;&gt;"acoes")))*INDEX(Inputs!$K$5:$AJ$110,0,MATCH(S$2,Inputs!$K$4:$AJ$4,0)))+SUMPRODUCT((Inputs!$E$5:$E$110=$B43)*Inputs!$F$5:$F$110*(((Inputs!$G$5:$G$110="moeda")+(Inputs!$G$5:$G$110="acoes"))*Inputs!$B$1+((Inputs!$G$5:$G$110&lt;&gt;"moeda")*(Inputs!$G$5:$G$110&lt;&gt;"acoes")))*INDEX(Inputs!$K$5:$AJ$110,0,MATCH(S$2,Inputs!$K$4:$AJ$4,0)))))</f>
        <v>5430</v>
      </c>
      <c r="T43" s="267">
        <f>IF(ISNA(MATCH(T$2,Inputs!$K$4:$AJ$4,0)),NA(),IF(SUMPRODUCT((Inputs!$A$5:$A$110=$B43)*ISNUMBER(INDEX(Inputs!$K$5:$AJ$110,0,MATCH(T$2,Inputs!$K$4:$AJ$4,0))))+SUMPRODUCT((Inputs!$C$5:$C$110=$B43)*ISNUMBER(INDEX(Inputs!$K$5:$AJ$110,0,MATCH(T$2,Inputs!$K$4:$AJ$4,0))))+SUMPRODUCT((Inputs!$E$5:$E$110=$B43)*ISNUMBER(INDEX(Inputs!$K$5:$AJ$110,0,MATCH(T$2,Inputs!$K$4:$AJ$4,0))))=0,NA(),SUMPRODUCT((Inputs!$A$5:$A$110=$B43)*Inputs!$B$5:$B$110*(((Inputs!$G$5:$G$110="moeda")+(Inputs!$G$5:$G$110="acoes"))*Inputs!$B$1+((Inputs!$G$5:$G$110&lt;&gt;"moeda")*(Inputs!$G$5:$G$110&lt;&gt;"acoes")))*INDEX(Inputs!$K$5:$AJ$110,0,MATCH(T$2,Inputs!$K$4:$AJ$4,0)))+SUMPRODUCT((Inputs!$C$5:$C$110=$B43)*Inputs!$D$5:$D$110*(((Inputs!$G$5:$G$110="moeda")+(Inputs!$G$5:$G$110="acoes"))*Inputs!$B$1+((Inputs!$G$5:$G$110&lt;&gt;"moeda")*(Inputs!$G$5:$G$110&lt;&gt;"acoes")))*INDEX(Inputs!$K$5:$AJ$110,0,MATCH(T$2,Inputs!$K$4:$AJ$4,0)))+SUMPRODUCT((Inputs!$E$5:$E$110=$B43)*Inputs!$F$5:$F$110*(((Inputs!$G$5:$G$110="moeda")+(Inputs!$G$5:$G$110="acoes"))*Inputs!$B$1+((Inputs!$G$5:$G$110&lt;&gt;"moeda")*(Inputs!$G$5:$G$110&lt;&gt;"acoes")))*INDEX(Inputs!$K$5:$AJ$110,0,MATCH(T$2,Inputs!$K$4:$AJ$4,0)))))</f>
        <v>5813</v>
      </c>
      <c r="U43" s="267">
        <f>IF(ISNA(MATCH(U$2,Inputs!$K$4:$AJ$4,0)),NA(),IF(SUMPRODUCT((Inputs!$A$5:$A$110=$B43)*ISNUMBER(INDEX(Inputs!$K$5:$AJ$110,0,MATCH(U$2,Inputs!$K$4:$AJ$4,0))))+SUMPRODUCT((Inputs!$C$5:$C$110=$B43)*ISNUMBER(INDEX(Inputs!$K$5:$AJ$110,0,MATCH(U$2,Inputs!$K$4:$AJ$4,0))))+SUMPRODUCT((Inputs!$E$5:$E$110=$B43)*ISNUMBER(INDEX(Inputs!$K$5:$AJ$110,0,MATCH(U$2,Inputs!$K$4:$AJ$4,0))))=0,NA(),SUMPRODUCT((Inputs!$A$5:$A$110=$B43)*Inputs!$B$5:$B$110*(((Inputs!$G$5:$G$110="moeda")+(Inputs!$G$5:$G$110="acoes"))*Inputs!$B$1+((Inputs!$G$5:$G$110&lt;&gt;"moeda")*(Inputs!$G$5:$G$110&lt;&gt;"acoes")))*INDEX(Inputs!$K$5:$AJ$110,0,MATCH(U$2,Inputs!$K$4:$AJ$4,0)))+SUMPRODUCT((Inputs!$C$5:$C$110=$B43)*Inputs!$D$5:$D$110*(((Inputs!$G$5:$G$110="moeda")+(Inputs!$G$5:$G$110="acoes"))*Inputs!$B$1+((Inputs!$G$5:$G$110&lt;&gt;"moeda")*(Inputs!$G$5:$G$110&lt;&gt;"acoes")))*INDEX(Inputs!$K$5:$AJ$110,0,MATCH(U$2,Inputs!$K$4:$AJ$4,0)))+SUMPRODUCT((Inputs!$E$5:$E$110=$B43)*Inputs!$F$5:$F$110*(((Inputs!$G$5:$G$110="moeda")+(Inputs!$G$5:$G$110="acoes"))*Inputs!$B$1+((Inputs!$G$5:$G$110&lt;&gt;"moeda")*(Inputs!$G$5:$G$110&lt;&gt;"acoes")))*INDEX(Inputs!$K$5:$AJ$110,0,MATCH(U$2,Inputs!$K$4:$AJ$4,0)))))</f>
        <v>6198</v>
      </c>
      <c r="V43" s="267">
        <f>IF(ISNA(MATCH(V$2,Inputs!$K$4:$AJ$4,0)),NA(),IF(SUMPRODUCT((Inputs!$A$5:$A$110=$B43)*ISNUMBER(INDEX(Inputs!$K$5:$AJ$110,0,MATCH(V$2,Inputs!$K$4:$AJ$4,0))))+SUMPRODUCT((Inputs!$C$5:$C$110=$B43)*ISNUMBER(INDEX(Inputs!$K$5:$AJ$110,0,MATCH(V$2,Inputs!$K$4:$AJ$4,0))))+SUMPRODUCT((Inputs!$E$5:$E$110=$B43)*ISNUMBER(INDEX(Inputs!$K$5:$AJ$110,0,MATCH(V$2,Inputs!$K$4:$AJ$4,0))))=0,NA(),SUMPRODUCT((Inputs!$A$5:$A$110=$B43)*Inputs!$B$5:$B$110*(((Inputs!$G$5:$G$110="moeda")+(Inputs!$G$5:$G$110="acoes"))*Inputs!$B$1+((Inputs!$G$5:$G$110&lt;&gt;"moeda")*(Inputs!$G$5:$G$110&lt;&gt;"acoes")))*INDEX(Inputs!$K$5:$AJ$110,0,MATCH(V$2,Inputs!$K$4:$AJ$4,0)))+SUMPRODUCT((Inputs!$C$5:$C$110=$B43)*Inputs!$D$5:$D$110*(((Inputs!$G$5:$G$110="moeda")+(Inputs!$G$5:$G$110="acoes"))*Inputs!$B$1+((Inputs!$G$5:$G$110&lt;&gt;"moeda")*(Inputs!$G$5:$G$110&lt;&gt;"acoes")))*INDEX(Inputs!$K$5:$AJ$110,0,MATCH(V$2,Inputs!$K$4:$AJ$4,0)))+SUMPRODUCT((Inputs!$E$5:$E$110=$B43)*Inputs!$F$5:$F$110*(((Inputs!$G$5:$G$110="moeda")+(Inputs!$G$5:$G$110="acoes"))*Inputs!$B$1+((Inputs!$G$5:$G$110&lt;&gt;"moeda")*(Inputs!$G$5:$G$110&lt;&gt;"acoes")))*INDEX(Inputs!$K$5:$AJ$110,0,MATCH(V$2,Inputs!$K$4:$AJ$4,0)))))</f>
        <v>6305</v>
      </c>
      <c r="W43" s="268">
        <f>V43</f>
        <v>6305</v>
      </c>
      <c r="X43" s="267">
        <f>IF(ISNA(MATCH(X$2,Inputs!$K$4:$AJ$4,0)),NA(),IF(SUMPRODUCT((Inputs!$A$5:$A$110=$B43)*ISNUMBER(INDEX(Inputs!$K$5:$AJ$110,0,MATCH(X$2,Inputs!$K$4:$AJ$4,0))))+SUMPRODUCT((Inputs!$C$5:$C$110=$B43)*ISNUMBER(INDEX(Inputs!$K$5:$AJ$110,0,MATCH(X$2,Inputs!$K$4:$AJ$4,0))))+SUMPRODUCT((Inputs!$E$5:$E$110=$B43)*ISNUMBER(INDEX(Inputs!$K$5:$AJ$110,0,MATCH(X$2,Inputs!$K$4:$AJ$4,0))))=0,NA(),SUMPRODUCT((Inputs!$A$5:$A$110=$B43)*Inputs!$B$5:$B$110*(((Inputs!$G$5:$G$110="moeda")+(Inputs!$G$5:$G$110="acoes"))*Inputs!$B$1+((Inputs!$G$5:$G$110&lt;&gt;"moeda")*(Inputs!$G$5:$G$110&lt;&gt;"acoes")))*INDEX(Inputs!$K$5:$AJ$110,0,MATCH(X$2,Inputs!$K$4:$AJ$4,0)))+SUMPRODUCT((Inputs!$C$5:$C$110=$B43)*Inputs!$D$5:$D$110*(((Inputs!$G$5:$G$110="moeda")+(Inputs!$G$5:$G$110="acoes"))*Inputs!$B$1+((Inputs!$G$5:$G$110&lt;&gt;"moeda")*(Inputs!$G$5:$G$110&lt;&gt;"acoes")))*INDEX(Inputs!$K$5:$AJ$110,0,MATCH(X$2,Inputs!$K$4:$AJ$4,0)))+SUMPRODUCT((Inputs!$E$5:$E$110=$B43)*Inputs!$F$5:$F$110*(((Inputs!$G$5:$G$110="moeda")+(Inputs!$G$5:$G$110="acoes"))*Inputs!$B$1+((Inputs!$G$5:$G$110&lt;&gt;"moeda")*(Inputs!$G$5:$G$110&lt;&gt;"acoes")))*INDEX(Inputs!$K$5:$AJ$110,0,MATCH(X$2,Inputs!$K$4:$AJ$4,0)))))</f>
        <v>6240</v>
      </c>
      <c r="Y43" s="267">
        <f>IF(ISNA(MATCH(Y$2,Inputs!$K$4:$AJ$4,0)),NA(),IF(SUMPRODUCT((Inputs!$A$5:$A$110=$B43)*ISNUMBER(INDEX(Inputs!$K$5:$AJ$110,0,MATCH(Y$2,Inputs!$K$4:$AJ$4,0))))+SUMPRODUCT((Inputs!$C$5:$C$110=$B43)*ISNUMBER(INDEX(Inputs!$K$5:$AJ$110,0,MATCH(Y$2,Inputs!$K$4:$AJ$4,0))))+SUMPRODUCT((Inputs!$E$5:$E$110=$B43)*ISNUMBER(INDEX(Inputs!$K$5:$AJ$110,0,MATCH(Y$2,Inputs!$K$4:$AJ$4,0))))=0,NA(),SUMPRODUCT((Inputs!$A$5:$A$110=$B43)*Inputs!$B$5:$B$110*(((Inputs!$G$5:$G$110="moeda")+(Inputs!$G$5:$G$110="acoes"))*Inputs!$B$1+((Inputs!$G$5:$G$110&lt;&gt;"moeda")*(Inputs!$G$5:$G$110&lt;&gt;"acoes")))*INDEX(Inputs!$K$5:$AJ$110,0,MATCH(Y$2,Inputs!$K$4:$AJ$4,0)))+SUMPRODUCT((Inputs!$C$5:$C$110=$B43)*Inputs!$D$5:$D$110*(((Inputs!$G$5:$G$110="moeda")+(Inputs!$G$5:$G$110="acoes"))*Inputs!$B$1+((Inputs!$G$5:$G$110&lt;&gt;"moeda")*(Inputs!$G$5:$G$110&lt;&gt;"acoes")))*INDEX(Inputs!$K$5:$AJ$110,0,MATCH(Y$2,Inputs!$K$4:$AJ$4,0)))+SUMPRODUCT((Inputs!$E$5:$E$110=$B43)*Inputs!$F$5:$F$110*(((Inputs!$G$5:$G$110="moeda")+(Inputs!$G$5:$G$110="acoes"))*Inputs!$B$1+((Inputs!$G$5:$G$110&lt;&gt;"moeda")*(Inputs!$G$5:$G$110&lt;&gt;"acoes")))*INDEX(Inputs!$K$5:$AJ$110,0,MATCH(Y$2,Inputs!$K$4:$AJ$4,0)))))</f>
        <v>6515</v>
      </c>
      <c r="Z43" s="267">
        <f>IF(ISNA(MATCH(Z$2,Inputs!$K$4:$AJ$4,0)),NA(),IF(SUMPRODUCT((Inputs!$A$5:$A$110=$B43)*ISNUMBER(INDEX(Inputs!$K$5:$AJ$110,0,MATCH(Z$2,Inputs!$K$4:$AJ$4,0))))+SUMPRODUCT((Inputs!$C$5:$C$110=$B43)*ISNUMBER(INDEX(Inputs!$K$5:$AJ$110,0,MATCH(Z$2,Inputs!$K$4:$AJ$4,0))))+SUMPRODUCT((Inputs!$E$5:$E$110=$B43)*ISNUMBER(INDEX(Inputs!$K$5:$AJ$110,0,MATCH(Z$2,Inputs!$K$4:$AJ$4,0))))=0,NA(),SUMPRODUCT((Inputs!$A$5:$A$110=$B43)*Inputs!$B$5:$B$110*(((Inputs!$G$5:$G$110="moeda")+(Inputs!$G$5:$G$110="acoes"))*Inputs!$B$1+((Inputs!$G$5:$G$110&lt;&gt;"moeda")*(Inputs!$G$5:$G$110&lt;&gt;"acoes")))*INDEX(Inputs!$K$5:$AJ$110,0,MATCH(Z$2,Inputs!$K$4:$AJ$4,0)))+SUMPRODUCT((Inputs!$C$5:$C$110=$B43)*Inputs!$D$5:$D$110*(((Inputs!$G$5:$G$110="moeda")+(Inputs!$G$5:$G$110="acoes"))*Inputs!$B$1+((Inputs!$G$5:$G$110&lt;&gt;"moeda")*(Inputs!$G$5:$G$110&lt;&gt;"acoes")))*INDEX(Inputs!$K$5:$AJ$110,0,MATCH(Z$2,Inputs!$K$4:$AJ$4,0)))+SUMPRODUCT((Inputs!$E$5:$E$110=$B43)*Inputs!$F$5:$F$110*(((Inputs!$G$5:$G$110="moeda")+(Inputs!$G$5:$G$110="acoes"))*Inputs!$B$1+((Inputs!$G$5:$G$110&lt;&gt;"moeda")*(Inputs!$G$5:$G$110&lt;&gt;"acoes")))*INDEX(Inputs!$K$5:$AJ$110,0,MATCH(Z$2,Inputs!$K$4:$AJ$4,0)))))</f>
        <v>7660</v>
      </c>
      <c r="AA43" s="267">
        <f>IF(ISNA(MATCH(AA$2,Inputs!$K$4:$AJ$4,0)),NA(),IF(SUMPRODUCT((Inputs!$A$5:$A$110=$B43)*ISNUMBER(INDEX(Inputs!$K$5:$AJ$110,0,MATCH(AA$2,Inputs!$K$4:$AJ$4,0))))+SUMPRODUCT((Inputs!$C$5:$C$110=$B43)*ISNUMBER(INDEX(Inputs!$K$5:$AJ$110,0,MATCH(AA$2,Inputs!$K$4:$AJ$4,0))))+SUMPRODUCT((Inputs!$E$5:$E$110=$B43)*ISNUMBER(INDEX(Inputs!$K$5:$AJ$110,0,MATCH(AA$2,Inputs!$K$4:$AJ$4,0))))=0,NA(),SUMPRODUCT((Inputs!$A$5:$A$110=$B43)*Inputs!$B$5:$B$110*(((Inputs!$G$5:$G$110="moeda")+(Inputs!$G$5:$G$110="acoes"))*Inputs!$B$1+((Inputs!$G$5:$G$110&lt;&gt;"moeda")*(Inputs!$G$5:$G$110&lt;&gt;"acoes")))*INDEX(Inputs!$K$5:$AJ$110,0,MATCH(AA$2,Inputs!$K$4:$AJ$4,0)))+SUMPRODUCT((Inputs!$C$5:$C$110=$B43)*Inputs!$D$5:$D$110*(((Inputs!$G$5:$G$110="moeda")+(Inputs!$G$5:$G$110="acoes"))*Inputs!$B$1+((Inputs!$G$5:$G$110&lt;&gt;"moeda")*(Inputs!$G$5:$G$110&lt;&gt;"acoes")))*INDEX(Inputs!$K$5:$AJ$110,0,MATCH(AA$2,Inputs!$K$4:$AJ$4,0)))+SUMPRODUCT((Inputs!$E$5:$E$110=$B43)*Inputs!$F$5:$F$110*(((Inputs!$G$5:$G$110="moeda")+(Inputs!$G$5:$G$110="acoes"))*Inputs!$B$1+((Inputs!$G$5:$G$110&lt;&gt;"moeda")*(Inputs!$G$5:$G$110&lt;&gt;"acoes")))*INDEX(Inputs!$K$5:$AJ$110,0,MATCH(AA$2,Inputs!$K$4:$AJ$4,0)))))</f>
        <v>7613</v>
      </c>
      <c r="AB43" s="268">
        <f>AA43</f>
        <v>7613</v>
      </c>
      <c r="AC43" s="267">
        <f>IF(ISNA(MATCH(AC$2,Inputs!$K$4:$AJ$4,0)),NA(),IF(SUMPRODUCT((Inputs!$A$5:$A$110=$B43)*ISNUMBER(INDEX(Inputs!$K$5:$AJ$110,0,MATCH(AC$2,Inputs!$K$4:$AJ$4,0))))+SUMPRODUCT((Inputs!$C$5:$C$110=$B43)*ISNUMBER(INDEX(Inputs!$K$5:$AJ$110,0,MATCH(AC$2,Inputs!$K$4:$AJ$4,0))))+SUMPRODUCT((Inputs!$E$5:$E$110=$B43)*ISNUMBER(INDEX(Inputs!$K$5:$AJ$110,0,MATCH(AC$2,Inputs!$K$4:$AJ$4,0))))=0,NA(),SUMPRODUCT((Inputs!$A$5:$A$110=$B43)*Inputs!$B$5:$B$110*(((Inputs!$G$5:$G$110="moeda")+(Inputs!$G$5:$G$110="acoes"))*Inputs!$B$1+((Inputs!$G$5:$G$110&lt;&gt;"moeda")*(Inputs!$G$5:$G$110&lt;&gt;"acoes")))*INDEX(Inputs!$K$5:$AJ$110,0,MATCH(AC$2,Inputs!$K$4:$AJ$4,0)))+SUMPRODUCT((Inputs!$C$5:$C$110=$B43)*Inputs!$D$5:$D$110*(((Inputs!$G$5:$G$110="moeda")+(Inputs!$G$5:$G$110="acoes"))*Inputs!$B$1+((Inputs!$G$5:$G$110&lt;&gt;"moeda")*(Inputs!$G$5:$G$110&lt;&gt;"acoes")))*INDEX(Inputs!$K$5:$AJ$110,0,MATCH(AC$2,Inputs!$K$4:$AJ$4,0)))+SUMPRODUCT((Inputs!$E$5:$E$110=$B43)*Inputs!$F$5:$F$110*(((Inputs!$G$5:$G$110="moeda")+(Inputs!$G$5:$G$110="acoes"))*Inputs!$B$1+((Inputs!$G$5:$G$110&lt;&gt;"moeda")*(Inputs!$G$5:$G$110&lt;&gt;"acoes")))*INDEX(Inputs!$K$5:$AJ$110,0,MATCH(AC$2,Inputs!$K$4:$AJ$4,0)))))</f>
        <v>7694</v>
      </c>
      <c r="AD43" s="267">
        <f>IF(ISNA(MATCH(AD$2,Inputs!$K$4:$AJ$4,0)),NA(),IF(SUMPRODUCT((Inputs!$A$5:$A$110=$B43)*ISNUMBER(INDEX(Inputs!$K$5:$AJ$110,0,MATCH(AD$2,Inputs!$K$4:$AJ$4,0))))+SUMPRODUCT((Inputs!$C$5:$C$110=$B43)*ISNUMBER(INDEX(Inputs!$K$5:$AJ$110,0,MATCH(AD$2,Inputs!$K$4:$AJ$4,0))))+SUMPRODUCT((Inputs!$E$5:$E$110=$B43)*ISNUMBER(INDEX(Inputs!$K$5:$AJ$110,0,MATCH(AD$2,Inputs!$K$4:$AJ$4,0))))=0,NA(),SUMPRODUCT((Inputs!$A$5:$A$110=$B43)*Inputs!$B$5:$B$110*(((Inputs!$G$5:$G$110="moeda")+(Inputs!$G$5:$G$110="acoes"))*Inputs!$B$1+((Inputs!$G$5:$G$110&lt;&gt;"moeda")*(Inputs!$G$5:$G$110&lt;&gt;"acoes")))*INDEX(Inputs!$K$5:$AJ$110,0,MATCH(AD$2,Inputs!$K$4:$AJ$4,0)))+SUMPRODUCT((Inputs!$C$5:$C$110=$B43)*Inputs!$D$5:$D$110*(((Inputs!$G$5:$G$110="moeda")+(Inputs!$G$5:$G$110="acoes"))*Inputs!$B$1+((Inputs!$G$5:$G$110&lt;&gt;"moeda")*(Inputs!$G$5:$G$110&lt;&gt;"acoes")))*INDEX(Inputs!$K$5:$AJ$110,0,MATCH(AD$2,Inputs!$K$4:$AJ$4,0)))+SUMPRODUCT((Inputs!$E$5:$E$110=$B43)*Inputs!$F$5:$F$110*(((Inputs!$G$5:$G$110="moeda")+(Inputs!$G$5:$G$110="acoes"))*Inputs!$B$1+((Inputs!$G$5:$G$110&lt;&gt;"moeda")*(Inputs!$G$5:$G$110&lt;&gt;"acoes")))*INDEX(Inputs!$K$5:$AJ$110,0,MATCH(AD$2,Inputs!$K$4:$AJ$4,0)))))</f>
        <v>7840</v>
      </c>
      <c r="AE43" s="267" t="e">
        <f>IF(ISNA(MATCH(AE$2,Inputs!$K$4:$AJ$4,0)),NA(),IF(SUMPRODUCT((Inputs!$A$5:$A$110=$B43)*ISNUMBER(INDEX(Inputs!$K$5:$AJ$110,0,MATCH(AE$2,Inputs!$K$4:$AJ$4,0))))+SUMPRODUCT((Inputs!$C$5:$C$110=$B43)*ISNUMBER(INDEX(Inputs!$K$5:$AJ$110,0,MATCH(AE$2,Inputs!$K$4:$AJ$4,0))))+SUMPRODUCT((Inputs!$E$5:$E$110=$B43)*ISNUMBER(INDEX(Inputs!$K$5:$AJ$110,0,MATCH(AE$2,Inputs!$K$4:$AJ$4,0))))=0,NA(),SUMPRODUCT((Inputs!$A$5:$A$110=$B43)*Inputs!$B$5:$B$110*(((Inputs!$G$5:$G$110="moeda")+(Inputs!$G$5:$G$110="acoes"))*Inputs!$B$1+((Inputs!$G$5:$G$110&lt;&gt;"moeda")*(Inputs!$G$5:$G$110&lt;&gt;"acoes")))*INDEX(Inputs!$K$5:$AJ$110,0,MATCH(AE$2,Inputs!$K$4:$AJ$4,0)))+SUMPRODUCT((Inputs!$C$5:$C$110=$B43)*Inputs!$D$5:$D$110*(((Inputs!$G$5:$G$110="moeda")+(Inputs!$G$5:$G$110="acoes"))*Inputs!$B$1+((Inputs!$G$5:$G$110&lt;&gt;"moeda")*(Inputs!$G$5:$G$110&lt;&gt;"acoes")))*INDEX(Inputs!$K$5:$AJ$110,0,MATCH(AE$2,Inputs!$K$4:$AJ$4,0)))+SUMPRODUCT((Inputs!$E$5:$E$110=$B43)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3" s="267" t="e">
        <f>IF(ISNA(MATCH(AF$2,Inputs!$K$4:$AJ$4,0)),NA(),IF(SUMPRODUCT((Inputs!$A$5:$A$110=$B43)*ISNUMBER(INDEX(Inputs!$K$5:$AJ$110,0,MATCH(AF$2,Inputs!$K$4:$AJ$4,0))))+SUMPRODUCT((Inputs!$C$5:$C$110=$B43)*ISNUMBER(INDEX(Inputs!$K$5:$AJ$110,0,MATCH(AF$2,Inputs!$K$4:$AJ$4,0))))+SUMPRODUCT((Inputs!$E$5:$E$110=$B43)*ISNUMBER(INDEX(Inputs!$K$5:$AJ$110,0,MATCH(AF$2,Inputs!$K$4:$AJ$4,0))))=0,NA(),SUMPRODUCT((Inputs!$A$5:$A$110=$B43)*Inputs!$B$5:$B$110*(((Inputs!$G$5:$G$110="moeda")+(Inputs!$G$5:$G$110="acoes"))*Inputs!$B$1+((Inputs!$G$5:$G$110&lt;&gt;"moeda")*(Inputs!$G$5:$G$110&lt;&gt;"acoes")))*INDEX(Inputs!$K$5:$AJ$110,0,MATCH(AF$2,Inputs!$K$4:$AJ$4,0)))+SUMPRODUCT((Inputs!$C$5:$C$110=$B43)*Inputs!$D$5:$D$110*(((Inputs!$G$5:$G$110="moeda")+(Inputs!$G$5:$G$110="acoes"))*Inputs!$B$1+((Inputs!$G$5:$G$110&lt;&gt;"moeda")*(Inputs!$G$5:$G$110&lt;&gt;"acoes")))*INDEX(Inputs!$K$5:$AJ$110,0,MATCH(AF$2,Inputs!$K$4:$AJ$4,0)))+SUMPRODUCT((Inputs!$E$5:$E$110=$B43)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3" s="268" t="e">
        <f>AF43</f>
        <v>#N/A</v>
      </c>
      <c r="AH43" s="267">
        <f>IF(ISNA(MATCH(AH$2,Inputs!$K$4:$AJ$4,0)),NA(),IF(SUMPRODUCT((Inputs!$A$5:$A$110=$B43)*ISNUMBER(INDEX(Inputs!$K$5:$AJ$110,0,MATCH(AH$2,Inputs!$K$4:$AJ$4,0))))+SUMPRODUCT((Inputs!$C$5:$C$110=$B43)*ISNUMBER(INDEX(Inputs!$K$5:$AJ$110,0,MATCH(AH$2,Inputs!$K$4:$AJ$4,0))))+SUMPRODUCT((Inputs!$E$5:$E$110=$B43)*ISNUMBER(INDEX(Inputs!$K$5:$AJ$110,0,MATCH(AH$2,Inputs!$K$4:$AJ$4,0))))=0,NA(),SUMPRODUCT((Inputs!$A$5:$A$110=$B43)*Inputs!$B$5:$B$110*(((Inputs!$G$5:$G$110="moeda")+(Inputs!$G$5:$G$110="acoes"))*Inputs!$B$1+((Inputs!$G$5:$G$110&lt;&gt;"moeda")*(Inputs!$G$5:$G$110&lt;&gt;"acoes")))*INDEX(Inputs!$K$5:$AJ$110,0,MATCH(AH$2,Inputs!$K$4:$AJ$4,0)))+SUMPRODUCT((Inputs!$C$5:$C$110=$B43)*Inputs!$D$5:$D$110*(((Inputs!$G$5:$G$110="moeda")+(Inputs!$G$5:$G$110="acoes"))*Inputs!$B$1+((Inputs!$G$5:$G$110&lt;&gt;"moeda")*(Inputs!$G$5:$G$110&lt;&gt;"acoes")))*INDEX(Inputs!$K$5:$AJ$110,0,MATCH(AH$2,Inputs!$K$4:$AJ$4,0)))+SUMPRODUCT((Inputs!$E$5:$E$110=$B43)*Inputs!$F$5:$F$110*(((Inputs!$G$5:$G$110="moeda")+(Inputs!$G$5:$G$110="acoes"))*Inputs!$B$1+((Inputs!$G$5:$G$110&lt;&gt;"moeda")*(Inputs!$G$5:$G$110&lt;&gt;"acoes")))*INDEX(Inputs!$K$5:$AJ$110,0,MATCH(AH$2,Inputs!$K$4:$AJ$4,0)))))</f>
        <v>3267</v>
      </c>
      <c r="AI43" s="267">
        <f>IF(ISNA(MATCH(AI$2,Inputs!$K$4:$AJ$4,0)),NA(),IF(SUMPRODUCT((Inputs!$A$5:$A$110=$B43)*ISNUMBER(INDEX(Inputs!$K$5:$AJ$110,0,MATCH(AI$2,Inputs!$K$4:$AJ$4,0))))+SUMPRODUCT((Inputs!$C$5:$C$110=$B43)*ISNUMBER(INDEX(Inputs!$K$5:$AJ$110,0,MATCH(AI$2,Inputs!$K$4:$AJ$4,0))))+SUMPRODUCT((Inputs!$E$5:$E$110=$B43)*ISNUMBER(INDEX(Inputs!$K$5:$AJ$110,0,MATCH(AI$2,Inputs!$K$4:$AJ$4,0))))=0,NA(),SUMPRODUCT((Inputs!$A$5:$A$110=$B43)*Inputs!$B$5:$B$110*(((Inputs!$G$5:$G$110="moeda")+(Inputs!$G$5:$G$110="acoes"))*Inputs!$B$1+((Inputs!$G$5:$G$110&lt;&gt;"moeda")*(Inputs!$G$5:$G$110&lt;&gt;"acoes")))*INDEX(Inputs!$K$5:$AJ$110,0,MATCH(AI$2,Inputs!$K$4:$AJ$4,0)))+SUMPRODUCT((Inputs!$C$5:$C$110=$B43)*Inputs!$D$5:$D$110*(((Inputs!$G$5:$G$110="moeda")+(Inputs!$G$5:$G$110="acoes"))*Inputs!$B$1+((Inputs!$G$5:$G$110&lt;&gt;"moeda")*(Inputs!$G$5:$G$110&lt;&gt;"acoes")))*INDEX(Inputs!$K$5:$AJ$110,0,MATCH(AI$2,Inputs!$K$4:$AJ$4,0)))+SUMPRODUCT((Inputs!$E$5:$E$110=$B43)*Inputs!$F$5:$F$110*(((Inputs!$G$5:$G$110="moeda")+(Inputs!$G$5:$G$110="acoes"))*Inputs!$B$1+((Inputs!$G$5:$G$110&lt;&gt;"moeda")*(Inputs!$G$5:$G$110&lt;&gt;"acoes")))*INDEX(Inputs!$K$5:$AJ$110,0,MATCH(AI$2,Inputs!$K$4:$AJ$4,0)))))</f>
        <v>3480</v>
      </c>
      <c r="AJ43" s="267">
        <f>IF(ISNA(MATCH(AJ$2,Inputs!$K$4:$AJ$4,0)),NA(),IF(SUMPRODUCT((Inputs!$A$5:$A$110=$B43)*ISNUMBER(INDEX(Inputs!$K$5:$AJ$110,0,MATCH(AJ$2,Inputs!$K$4:$AJ$4,0))))+SUMPRODUCT((Inputs!$C$5:$C$110=$B43)*ISNUMBER(INDEX(Inputs!$K$5:$AJ$110,0,MATCH(AJ$2,Inputs!$K$4:$AJ$4,0))))+SUMPRODUCT((Inputs!$E$5:$E$110=$B43)*ISNUMBER(INDEX(Inputs!$K$5:$AJ$110,0,MATCH(AJ$2,Inputs!$K$4:$AJ$4,0))))=0,NA(),SUMPRODUCT((Inputs!$A$5:$A$110=$B43)*Inputs!$B$5:$B$110*(((Inputs!$G$5:$G$110="moeda")+(Inputs!$G$5:$G$110="acoes"))*Inputs!$B$1+((Inputs!$G$5:$G$110&lt;&gt;"moeda")*(Inputs!$G$5:$G$110&lt;&gt;"acoes")))*INDEX(Inputs!$K$5:$AJ$110,0,MATCH(AJ$2,Inputs!$K$4:$AJ$4,0)))+SUMPRODUCT((Inputs!$C$5:$C$110=$B43)*Inputs!$D$5:$D$110*(((Inputs!$G$5:$G$110="moeda")+(Inputs!$G$5:$G$110="acoes"))*Inputs!$B$1+((Inputs!$G$5:$G$110&lt;&gt;"moeda")*(Inputs!$G$5:$G$110&lt;&gt;"acoes")))*INDEX(Inputs!$K$5:$AJ$110,0,MATCH(AJ$2,Inputs!$K$4:$AJ$4,0)))+SUMPRODUCT((Inputs!$E$5:$E$110=$B43)*Inputs!$F$5:$F$110*(((Inputs!$G$5:$G$110="moeda")+(Inputs!$G$5:$G$110="acoes"))*Inputs!$B$1+((Inputs!$G$5:$G$110&lt;&gt;"moeda")*(Inputs!$G$5:$G$110&lt;&gt;"acoes")))*INDEX(Inputs!$K$5:$AJ$110,0,MATCH(AJ$2,Inputs!$K$4:$AJ$4,0)))))</f>
        <v>3768</v>
      </c>
      <c r="AK43" s="267">
        <f>IF(ISNA(MATCH(AK$2,Inputs!$K$4:$AJ$4,0)),NA(),IF(SUMPRODUCT((Inputs!$A$5:$A$110=$B43)*ISNUMBER(INDEX(Inputs!$K$5:$AJ$110,0,MATCH(AK$2,Inputs!$K$4:$AJ$4,0))))+SUMPRODUCT((Inputs!$C$5:$C$110=$B43)*ISNUMBER(INDEX(Inputs!$K$5:$AJ$110,0,MATCH(AK$2,Inputs!$K$4:$AJ$4,0))))+SUMPRODUCT((Inputs!$E$5:$E$110=$B43)*ISNUMBER(INDEX(Inputs!$K$5:$AJ$110,0,MATCH(AK$2,Inputs!$K$4:$AJ$4,0))))=0,NA(),SUMPRODUCT((Inputs!$A$5:$A$110=$B43)*Inputs!$B$5:$B$110*(((Inputs!$G$5:$G$110="moeda")+(Inputs!$G$5:$G$110="acoes"))*Inputs!$B$1+((Inputs!$G$5:$G$110&lt;&gt;"moeda")*(Inputs!$G$5:$G$110&lt;&gt;"acoes")))*INDEX(Inputs!$K$5:$AJ$110,0,MATCH(AK$2,Inputs!$K$4:$AJ$4,0)))+SUMPRODUCT((Inputs!$C$5:$C$110=$B43)*Inputs!$D$5:$D$110*(((Inputs!$G$5:$G$110="moeda")+(Inputs!$G$5:$G$110="acoes"))*Inputs!$B$1+((Inputs!$G$5:$G$110&lt;&gt;"moeda")*(Inputs!$G$5:$G$110&lt;&gt;"acoes")))*INDEX(Inputs!$K$5:$AJ$110,0,MATCH(AK$2,Inputs!$K$4:$AJ$4,0)))+SUMPRODUCT((Inputs!$E$5:$E$110=$B43)*Inputs!$F$5:$F$110*(((Inputs!$G$5:$G$110="moeda")+(Inputs!$G$5:$G$110="acoes"))*Inputs!$B$1+((Inputs!$G$5:$G$110&lt;&gt;"moeda")*(Inputs!$G$5:$G$110&lt;&gt;"acoes")))*INDEX(Inputs!$K$5:$AJ$110,0,MATCH(AK$2,Inputs!$K$4:$AJ$4,0)))))</f>
        <v>3928</v>
      </c>
      <c r="AL43" s="268">
        <f>AK43</f>
        <v>3928</v>
      </c>
    </row>
    <row r="44" ht="12.75" customHeight="1" s="255">
      <c r="B44" s="265" t="n">
        <v>38</v>
      </c>
      <c r="C44" s="270" t="inlineStr">
        <is>
          <t>Treasury stock (contra account)</t>
        </is>
      </c>
      <c r="D44" s="267">
        <f>IF(ISNA(MATCH(D$2,Inputs!$K$4:$AJ$4,0)),NA(),IF(SUMPRODUCT((Inputs!$A$5:$A$110=$B44)*ISNUMBER(INDEX(Inputs!$K$5:$AJ$110,0,MATCH(D$2,Inputs!$K$4:$AJ$4,0))))+SUMPRODUCT((Inputs!$C$5:$C$110=$B44)*ISNUMBER(INDEX(Inputs!$K$5:$AJ$110,0,MATCH(D$2,Inputs!$K$4:$AJ$4,0))))+SUMPRODUCT((Inputs!$E$5:$E$110=$B44)*ISNUMBER(INDEX(Inputs!$K$5:$AJ$110,0,MATCH(D$2,Inputs!$K$4:$AJ$4,0))))=0,NA(),SUMPRODUCT((Inputs!$A$5:$A$110=$B44)*Inputs!$B$5:$B$110*(((Inputs!$G$5:$G$110="moeda")+(Inputs!$G$5:$G$110="acoes"))*Inputs!$B$1+((Inputs!$G$5:$G$110&lt;&gt;"moeda")*(Inputs!$G$5:$G$110&lt;&gt;"acoes")))*INDEX(Inputs!$K$5:$AJ$110,0,MATCH(D$2,Inputs!$K$4:$AJ$4,0)))+SUMPRODUCT((Inputs!$C$5:$C$110=$B44)*Inputs!$D$5:$D$110*(((Inputs!$G$5:$G$110="moeda")+(Inputs!$G$5:$G$110="acoes"))*Inputs!$B$1+((Inputs!$G$5:$G$110&lt;&gt;"moeda")*(Inputs!$G$5:$G$110&lt;&gt;"acoes")))*INDEX(Inputs!$K$5:$AJ$110,0,MATCH(D$2,Inputs!$K$4:$AJ$4,0)))+SUMPRODUCT((Inputs!$E$5:$E$110=$B44)*Inputs!$F$5:$F$110*(((Inputs!$G$5:$G$110="moeda")+(Inputs!$G$5:$G$110="acoes"))*Inputs!$B$1+((Inputs!$G$5:$G$110&lt;&gt;"moeda")*(Inputs!$G$5:$G$110&lt;&gt;"acoes")))*INDEX(Inputs!$K$5:$AJ$110,0,MATCH(D$2,Inputs!$K$4:$AJ$4,0)))))</f>
        <v>0</v>
      </c>
      <c r="E44" s="267">
        <f>IF(ISNA(MATCH(E$2,Inputs!$K$4:$AJ$4,0)),NA(),IF(SUMPRODUCT((Inputs!$A$5:$A$110=$B44)*ISNUMBER(INDEX(Inputs!$K$5:$AJ$110,0,MATCH(E$2,Inputs!$K$4:$AJ$4,0))))+SUMPRODUCT((Inputs!$C$5:$C$110=$B44)*ISNUMBER(INDEX(Inputs!$K$5:$AJ$110,0,MATCH(E$2,Inputs!$K$4:$AJ$4,0))))+SUMPRODUCT((Inputs!$E$5:$E$110=$B44)*ISNUMBER(INDEX(Inputs!$K$5:$AJ$110,0,MATCH(E$2,Inputs!$K$4:$AJ$4,0))))=0,NA(),SUMPRODUCT((Inputs!$A$5:$A$110=$B44)*Inputs!$B$5:$B$110*(((Inputs!$G$5:$G$110="moeda")+(Inputs!$G$5:$G$110="acoes"))*Inputs!$B$1+((Inputs!$G$5:$G$110&lt;&gt;"moeda")*(Inputs!$G$5:$G$110&lt;&gt;"acoes")))*INDEX(Inputs!$K$5:$AJ$110,0,MATCH(E$2,Inputs!$K$4:$AJ$4,0)))+SUMPRODUCT((Inputs!$C$5:$C$110=$B44)*Inputs!$D$5:$D$110*(((Inputs!$G$5:$G$110="moeda")+(Inputs!$G$5:$G$110="acoes"))*Inputs!$B$1+((Inputs!$G$5:$G$110&lt;&gt;"moeda")*(Inputs!$G$5:$G$110&lt;&gt;"acoes")))*INDEX(Inputs!$K$5:$AJ$110,0,MATCH(E$2,Inputs!$K$4:$AJ$4,0)))+SUMPRODUCT((Inputs!$E$5:$E$110=$B44)*Inputs!$F$5:$F$110*(((Inputs!$G$5:$G$110="moeda")+(Inputs!$G$5:$G$110="acoes"))*Inputs!$B$1+((Inputs!$G$5:$G$110&lt;&gt;"moeda")*(Inputs!$G$5:$G$110&lt;&gt;"acoes")))*INDEX(Inputs!$K$5:$AJ$110,0,MATCH(E$2,Inputs!$K$4:$AJ$4,0)))))</f>
        <v>0</v>
      </c>
      <c r="F44" s="267">
        <f>IF(ISNA(MATCH(F$2,Inputs!$K$4:$AJ$4,0)),NA(),IF(SUMPRODUCT((Inputs!$A$5:$A$110=$B44)*ISNUMBER(INDEX(Inputs!$K$5:$AJ$110,0,MATCH(F$2,Inputs!$K$4:$AJ$4,0))))+SUMPRODUCT((Inputs!$C$5:$C$110=$B44)*ISNUMBER(INDEX(Inputs!$K$5:$AJ$110,0,MATCH(F$2,Inputs!$K$4:$AJ$4,0))))+SUMPRODUCT((Inputs!$E$5:$E$110=$B44)*ISNUMBER(INDEX(Inputs!$K$5:$AJ$110,0,MATCH(F$2,Inputs!$K$4:$AJ$4,0))))=0,NA(),SUMPRODUCT((Inputs!$A$5:$A$110=$B44)*Inputs!$B$5:$B$110*(((Inputs!$G$5:$G$110="moeda")+(Inputs!$G$5:$G$110="acoes"))*Inputs!$B$1+((Inputs!$G$5:$G$110&lt;&gt;"moeda")*(Inputs!$G$5:$G$110&lt;&gt;"acoes")))*INDEX(Inputs!$K$5:$AJ$110,0,MATCH(F$2,Inputs!$K$4:$AJ$4,0)))+SUMPRODUCT((Inputs!$C$5:$C$110=$B44)*Inputs!$D$5:$D$110*(((Inputs!$G$5:$G$110="moeda")+(Inputs!$G$5:$G$110="acoes"))*Inputs!$B$1+((Inputs!$G$5:$G$110&lt;&gt;"moeda")*(Inputs!$G$5:$G$110&lt;&gt;"acoes")))*INDEX(Inputs!$K$5:$AJ$110,0,MATCH(F$2,Inputs!$K$4:$AJ$4,0)))+SUMPRODUCT((Inputs!$E$5:$E$110=$B44)*Inputs!$F$5:$F$110*(((Inputs!$G$5:$G$110="moeda")+(Inputs!$G$5:$G$110="acoes"))*Inputs!$B$1+((Inputs!$G$5:$G$110&lt;&gt;"moeda")*(Inputs!$G$5:$G$110&lt;&gt;"acoes")))*INDEX(Inputs!$K$5:$AJ$110,0,MATCH(F$2,Inputs!$K$4:$AJ$4,0)))))</f>
        <v>0</v>
      </c>
      <c r="G44" s="267">
        <f>IF(ISNA(MATCH(G$2,Inputs!$K$4:$AJ$4,0)),NA(),IF(SUMPRODUCT((Inputs!$A$5:$A$110=$B44)*ISNUMBER(INDEX(Inputs!$K$5:$AJ$110,0,MATCH(G$2,Inputs!$K$4:$AJ$4,0))))+SUMPRODUCT((Inputs!$C$5:$C$110=$B44)*ISNUMBER(INDEX(Inputs!$K$5:$AJ$110,0,MATCH(G$2,Inputs!$K$4:$AJ$4,0))))+SUMPRODUCT((Inputs!$E$5:$E$110=$B44)*ISNUMBER(INDEX(Inputs!$K$5:$AJ$110,0,MATCH(G$2,Inputs!$K$4:$AJ$4,0))))=0,NA(),SUMPRODUCT((Inputs!$A$5:$A$110=$B44)*Inputs!$B$5:$B$110*(((Inputs!$G$5:$G$110="moeda")+(Inputs!$G$5:$G$110="acoes"))*Inputs!$B$1+((Inputs!$G$5:$G$110&lt;&gt;"moeda")*(Inputs!$G$5:$G$110&lt;&gt;"acoes")))*INDEX(Inputs!$K$5:$AJ$110,0,MATCH(G$2,Inputs!$K$4:$AJ$4,0)))+SUMPRODUCT((Inputs!$C$5:$C$110=$B44)*Inputs!$D$5:$D$110*(((Inputs!$G$5:$G$110="moeda")+(Inputs!$G$5:$G$110="acoes"))*Inputs!$B$1+((Inputs!$G$5:$G$110&lt;&gt;"moeda")*(Inputs!$G$5:$G$110&lt;&gt;"acoes")))*INDEX(Inputs!$K$5:$AJ$110,0,MATCH(G$2,Inputs!$K$4:$AJ$4,0)))+SUMPRODUCT((Inputs!$E$5:$E$110=$B44)*Inputs!$F$5:$F$110*(((Inputs!$G$5:$G$110="moeda")+(Inputs!$G$5:$G$110="acoes"))*Inputs!$B$1+((Inputs!$G$5:$G$110&lt;&gt;"moeda")*(Inputs!$G$5:$G$110&lt;&gt;"acoes")))*INDEX(Inputs!$K$5:$AJ$110,0,MATCH(G$2,Inputs!$K$4:$AJ$4,0)))))</f>
        <v>0</v>
      </c>
      <c r="H44" s="268">
        <f>G44</f>
        <v>0</v>
      </c>
      <c r="I44" s="267">
        <f>IF(ISNA(MATCH(I$2,Inputs!$K$4:$AJ$4,0)),NA(),IF(SUMPRODUCT((Inputs!$A$5:$A$110=$B44)*ISNUMBER(INDEX(Inputs!$K$5:$AJ$110,0,MATCH(I$2,Inputs!$K$4:$AJ$4,0))))+SUMPRODUCT((Inputs!$C$5:$C$110=$B44)*ISNUMBER(INDEX(Inputs!$K$5:$AJ$110,0,MATCH(I$2,Inputs!$K$4:$AJ$4,0))))+SUMPRODUCT((Inputs!$E$5:$E$110=$B44)*ISNUMBER(INDEX(Inputs!$K$5:$AJ$110,0,MATCH(I$2,Inputs!$K$4:$AJ$4,0))))=0,NA(),SUMPRODUCT((Inputs!$A$5:$A$110=$B44)*Inputs!$B$5:$B$110*(((Inputs!$G$5:$G$110="moeda")+(Inputs!$G$5:$G$110="acoes"))*Inputs!$B$1+((Inputs!$G$5:$G$110&lt;&gt;"moeda")*(Inputs!$G$5:$G$110&lt;&gt;"acoes")))*INDEX(Inputs!$K$5:$AJ$110,0,MATCH(I$2,Inputs!$K$4:$AJ$4,0)))+SUMPRODUCT((Inputs!$C$5:$C$110=$B44)*Inputs!$D$5:$D$110*(((Inputs!$G$5:$G$110="moeda")+(Inputs!$G$5:$G$110="acoes"))*Inputs!$B$1+((Inputs!$G$5:$G$110&lt;&gt;"moeda")*(Inputs!$G$5:$G$110&lt;&gt;"acoes")))*INDEX(Inputs!$K$5:$AJ$110,0,MATCH(I$2,Inputs!$K$4:$AJ$4,0)))+SUMPRODUCT((Inputs!$E$5:$E$110=$B44)*Inputs!$F$5:$F$110*(((Inputs!$G$5:$G$110="moeda")+(Inputs!$G$5:$G$110="acoes"))*Inputs!$B$1+((Inputs!$G$5:$G$110&lt;&gt;"moeda")*(Inputs!$G$5:$G$110&lt;&gt;"acoes")))*INDEX(Inputs!$K$5:$AJ$110,0,MATCH(I$2,Inputs!$K$4:$AJ$4,0)))))</f>
        <v>0</v>
      </c>
      <c r="J44" s="267">
        <f>IF(ISNA(MATCH(J$2,Inputs!$K$4:$AJ$4,0)),NA(),IF(SUMPRODUCT((Inputs!$A$5:$A$110=$B44)*ISNUMBER(INDEX(Inputs!$K$5:$AJ$110,0,MATCH(J$2,Inputs!$K$4:$AJ$4,0))))+SUMPRODUCT((Inputs!$C$5:$C$110=$B44)*ISNUMBER(INDEX(Inputs!$K$5:$AJ$110,0,MATCH(J$2,Inputs!$K$4:$AJ$4,0))))+SUMPRODUCT((Inputs!$E$5:$E$110=$B44)*ISNUMBER(INDEX(Inputs!$K$5:$AJ$110,0,MATCH(J$2,Inputs!$K$4:$AJ$4,0))))=0,NA(),SUMPRODUCT((Inputs!$A$5:$A$110=$B44)*Inputs!$B$5:$B$110*(((Inputs!$G$5:$G$110="moeda")+(Inputs!$G$5:$G$110="acoes"))*Inputs!$B$1+((Inputs!$G$5:$G$110&lt;&gt;"moeda")*(Inputs!$G$5:$G$110&lt;&gt;"acoes")))*INDEX(Inputs!$K$5:$AJ$110,0,MATCH(J$2,Inputs!$K$4:$AJ$4,0)))+SUMPRODUCT((Inputs!$C$5:$C$110=$B44)*Inputs!$D$5:$D$110*(((Inputs!$G$5:$G$110="moeda")+(Inputs!$G$5:$G$110="acoes"))*Inputs!$B$1+((Inputs!$G$5:$G$110&lt;&gt;"moeda")*(Inputs!$G$5:$G$110&lt;&gt;"acoes")))*INDEX(Inputs!$K$5:$AJ$110,0,MATCH(J$2,Inputs!$K$4:$AJ$4,0)))+SUMPRODUCT((Inputs!$E$5:$E$110=$B44)*Inputs!$F$5:$F$110*(((Inputs!$G$5:$G$110="moeda")+(Inputs!$G$5:$G$110="acoes"))*Inputs!$B$1+((Inputs!$G$5:$G$110&lt;&gt;"moeda")*(Inputs!$G$5:$G$110&lt;&gt;"acoes")))*INDEX(Inputs!$K$5:$AJ$110,0,MATCH(J$2,Inputs!$K$4:$AJ$4,0)))))</f>
        <v>0</v>
      </c>
      <c r="K44" s="267">
        <f>IF(ISNA(MATCH(K$2,Inputs!$K$4:$AJ$4,0)),NA(),IF(SUMPRODUCT((Inputs!$A$5:$A$110=$B44)*ISNUMBER(INDEX(Inputs!$K$5:$AJ$110,0,MATCH(K$2,Inputs!$K$4:$AJ$4,0))))+SUMPRODUCT((Inputs!$C$5:$C$110=$B44)*ISNUMBER(INDEX(Inputs!$K$5:$AJ$110,0,MATCH(K$2,Inputs!$K$4:$AJ$4,0))))+SUMPRODUCT((Inputs!$E$5:$E$110=$B44)*ISNUMBER(INDEX(Inputs!$K$5:$AJ$110,0,MATCH(K$2,Inputs!$K$4:$AJ$4,0))))=0,NA(),SUMPRODUCT((Inputs!$A$5:$A$110=$B44)*Inputs!$B$5:$B$110*(((Inputs!$G$5:$G$110="moeda")+(Inputs!$G$5:$G$110="acoes"))*Inputs!$B$1+((Inputs!$G$5:$G$110&lt;&gt;"moeda")*(Inputs!$G$5:$G$110&lt;&gt;"acoes")))*INDEX(Inputs!$K$5:$AJ$110,0,MATCH(K$2,Inputs!$K$4:$AJ$4,0)))+SUMPRODUCT((Inputs!$C$5:$C$110=$B44)*Inputs!$D$5:$D$110*(((Inputs!$G$5:$G$110="moeda")+(Inputs!$G$5:$G$110="acoes"))*Inputs!$B$1+((Inputs!$G$5:$G$110&lt;&gt;"moeda")*(Inputs!$G$5:$G$110&lt;&gt;"acoes")))*INDEX(Inputs!$K$5:$AJ$110,0,MATCH(K$2,Inputs!$K$4:$AJ$4,0)))+SUMPRODUCT((Inputs!$E$5:$E$110=$B44)*Inputs!$F$5:$F$110*(((Inputs!$G$5:$G$110="moeda")+(Inputs!$G$5:$G$110="acoes"))*Inputs!$B$1+((Inputs!$G$5:$G$110&lt;&gt;"moeda")*(Inputs!$G$5:$G$110&lt;&gt;"acoes")))*INDEX(Inputs!$K$5:$AJ$110,0,MATCH(K$2,Inputs!$K$4:$AJ$4,0)))))</f>
        <v>0</v>
      </c>
      <c r="L44" s="267">
        <f>IF(ISNA(MATCH(L$2,Inputs!$K$4:$AJ$4,0)),NA(),IF(SUMPRODUCT((Inputs!$A$5:$A$110=$B44)*ISNUMBER(INDEX(Inputs!$K$5:$AJ$110,0,MATCH(L$2,Inputs!$K$4:$AJ$4,0))))+SUMPRODUCT((Inputs!$C$5:$C$110=$B44)*ISNUMBER(INDEX(Inputs!$K$5:$AJ$110,0,MATCH(L$2,Inputs!$K$4:$AJ$4,0))))+SUMPRODUCT((Inputs!$E$5:$E$110=$B44)*ISNUMBER(INDEX(Inputs!$K$5:$AJ$110,0,MATCH(L$2,Inputs!$K$4:$AJ$4,0))))=0,NA(),SUMPRODUCT((Inputs!$A$5:$A$110=$B44)*Inputs!$B$5:$B$110*(((Inputs!$G$5:$G$110="moeda")+(Inputs!$G$5:$G$110="acoes"))*Inputs!$B$1+((Inputs!$G$5:$G$110&lt;&gt;"moeda")*(Inputs!$G$5:$G$110&lt;&gt;"acoes")))*INDEX(Inputs!$K$5:$AJ$110,0,MATCH(L$2,Inputs!$K$4:$AJ$4,0)))+SUMPRODUCT((Inputs!$C$5:$C$110=$B44)*Inputs!$D$5:$D$110*(((Inputs!$G$5:$G$110="moeda")+(Inputs!$G$5:$G$110="acoes"))*Inputs!$B$1+((Inputs!$G$5:$G$110&lt;&gt;"moeda")*(Inputs!$G$5:$G$110&lt;&gt;"acoes")))*INDEX(Inputs!$K$5:$AJ$110,0,MATCH(L$2,Inputs!$K$4:$AJ$4,0)))+SUMPRODUCT((Inputs!$E$5:$E$110=$B44)*Inputs!$F$5:$F$110*(((Inputs!$G$5:$G$110="moeda")+(Inputs!$G$5:$G$110="acoes"))*Inputs!$B$1+((Inputs!$G$5:$G$110&lt;&gt;"moeda")*(Inputs!$G$5:$G$110&lt;&gt;"acoes")))*INDEX(Inputs!$K$5:$AJ$110,0,MATCH(L$2,Inputs!$K$4:$AJ$4,0)))))</f>
        <v>0</v>
      </c>
      <c r="M44" s="268">
        <f>L44</f>
        <v>0</v>
      </c>
      <c r="N44" s="267">
        <f>IF(ISNA(MATCH(N$2,Inputs!$K$4:$AJ$4,0)),NA(),IF(SUMPRODUCT((Inputs!$A$5:$A$110=$B44)*ISNUMBER(INDEX(Inputs!$K$5:$AJ$110,0,MATCH(N$2,Inputs!$K$4:$AJ$4,0))))+SUMPRODUCT((Inputs!$C$5:$C$110=$B44)*ISNUMBER(INDEX(Inputs!$K$5:$AJ$110,0,MATCH(N$2,Inputs!$K$4:$AJ$4,0))))+SUMPRODUCT((Inputs!$E$5:$E$110=$B44)*ISNUMBER(INDEX(Inputs!$K$5:$AJ$110,0,MATCH(N$2,Inputs!$K$4:$AJ$4,0))))=0,NA(),SUMPRODUCT((Inputs!$A$5:$A$110=$B44)*Inputs!$B$5:$B$110*(((Inputs!$G$5:$G$110="moeda")+(Inputs!$G$5:$G$110="acoes"))*Inputs!$B$1+((Inputs!$G$5:$G$110&lt;&gt;"moeda")*(Inputs!$G$5:$G$110&lt;&gt;"acoes")))*INDEX(Inputs!$K$5:$AJ$110,0,MATCH(N$2,Inputs!$K$4:$AJ$4,0)))+SUMPRODUCT((Inputs!$C$5:$C$110=$B44)*Inputs!$D$5:$D$110*(((Inputs!$G$5:$G$110="moeda")+(Inputs!$G$5:$G$110="acoes"))*Inputs!$B$1+((Inputs!$G$5:$G$110&lt;&gt;"moeda")*(Inputs!$G$5:$G$110&lt;&gt;"acoes")))*INDEX(Inputs!$K$5:$AJ$110,0,MATCH(N$2,Inputs!$K$4:$AJ$4,0)))+SUMPRODUCT((Inputs!$E$5:$E$110=$B44)*Inputs!$F$5:$F$110*(((Inputs!$G$5:$G$110="moeda")+(Inputs!$G$5:$G$110="acoes"))*Inputs!$B$1+((Inputs!$G$5:$G$110&lt;&gt;"moeda")*(Inputs!$G$5:$G$110&lt;&gt;"acoes")))*INDEX(Inputs!$K$5:$AJ$110,0,MATCH(N$2,Inputs!$K$4:$AJ$4,0)))))</f>
        <v>0</v>
      </c>
      <c r="O44" s="267">
        <f>IF(ISNA(MATCH(O$2,Inputs!$K$4:$AJ$4,0)),NA(),IF(SUMPRODUCT((Inputs!$A$5:$A$110=$B44)*ISNUMBER(INDEX(Inputs!$K$5:$AJ$110,0,MATCH(O$2,Inputs!$K$4:$AJ$4,0))))+SUMPRODUCT((Inputs!$C$5:$C$110=$B44)*ISNUMBER(INDEX(Inputs!$K$5:$AJ$110,0,MATCH(O$2,Inputs!$K$4:$AJ$4,0))))+SUMPRODUCT((Inputs!$E$5:$E$110=$B44)*ISNUMBER(INDEX(Inputs!$K$5:$AJ$110,0,MATCH(O$2,Inputs!$K$4:$AJ$4,0))))=0,NA(),SUMPRODUCT((Inputs!$A$5:$A$110=$B44)*Inputs!$B$5:$B$110*(((Inputs!$G$5:$G$110="moeda")+(Inputs!$G$5:$G$110="acoes"))*Inputs!$B$1+((Inputs!$G$5:$G$110&lt;&gt;"moeda")*(Inputs!$G$5:$G$110&lt;&gt;"acoes")))*INDEX(Inputs!$K$5:$AJ$110,0,MATCH(O$2,Inputs!$K$4:$AJ$4,0)))+SUMPRODUCT((Inputs!$C$5:$C$110=$B44)*Inputs!$D$5:$D$110*(((Inputs!$G$5:$G$110="moeda")+(Inputs!$G$5:$G$110="acoes"))*Inputs!$B$1+((Inputs!$G$5:$G$110&lt;&gt;"moeda")*(Inputs!$G$5:$G$110&lt;&gt;"acoes")))*INDEX(Inputs!$K$5:$AJ$110,0,MATCH(O$2,Inputs!$K$4:$AJ$4,0)))+SUMPRODUCT((Inputs!$E$5:$E$110=$B44)*Inputs!$F$5:$F$110*(((Inputs!$G$5:$G$110="moeda")+(Inputs!$G$5:$G$110="acoes"))*Inputs!$B$1+((Inputs!$G$5:$G$110&lt;&gt;"moeda")*(Inputs!$G$5:$G$110&lt;&gt;"acoes")))*INDEX(Inputs!$K$5:$AJ$110,0,MATCH(O$2,Inputs!$K$4:$AJ$4,0)))))</f>
        <v>0</v>
      </c>
      <c r="P44" s="267">
        <f>IF(ISNA(MATCH(P$2,Inputs!$K$4:$AJ$4,0)),NA(),IF(SUMPRODUCT((Inputs!$A$5:$A$110=$B44)*ISNUMBER(INDEX(Inputs!$K$5:$AJ$110,0,MATCH(P$2,Inputs!$K$4:$AJ$4,0))))+SUMPRODUCT((Inputs!$C$5:$C$110=$B44)*ISNUMBER(INDEX(Inputs!$K$5:$AJ$110,0,MATCH(P$2,Inputs!$K$4:$AJ$4,0))))+SUMPRODUCT((Inputs!$E$5:$E$110=$B44)*ISNUMBER(INDEX(Inputs!$K$5:$AJ$110,0,MATCH(P$2,Inputs!$K$4:$AJ$4,0))))=0,NA(),SUMPRODUCT((Inputs!$A$5:$A$110=$B44)*Inputs!$B$5:$B$110*(((Inputs!$G$5:$G$110="moeda")+(Inputs!$G$5:$G$110="acoes"))*Inputs!$B$1+((Inputs!$G$5:$G$110&lt;&gt;"moeda")*(Inputs!$G$5:$G$110&lt;&gt;"acoes")))*INDEX(Inputs!$K$5:$AJ$110,0,MATCH(P$2,Inputs!$K$4:$AJ$4,0)))+SUMPRODUCT((Inputs!$C$5:$C$110=$B44)*Inputs!$D$5:$D$110*(((Inputs!$G$5:$G$110="moeda")+(Inputs!$G$5:$G$110="acoes"))*Inputs!$B$1+((Inputs!$G$5:$G$110&lt;&gt;"moeda")*(Inputs!$G$5:$G$110&lt;&gt;"acoes")))*INDEX(Inputs!$K$5:$AJ$110,0,MATCH(P$2,Inputs!$K$4:$AJ$4,0)))+SUMPRODUCT((Inputs!$E$5:$E$110=$B44)*Inputs!$F$5:$F$110*(((Inputs!$G$5:$G$110="moeda")+(Inputs!$G$5:$G$110="acoes"))*Inputs!$B$1+((Inputs!$G$5:$G$110&lt;&gt;"moeda")*(Inputs!$G$5:$G$110&lt;&gt;"acoes")))*INDEX(Inputs!$K$5:$AJ$110,0,MATCH(P$2,Inputs!$K$4:$AJ$4,0)))))</f>
        <v>0</v>
      </c>
      <c r="Q44" s="267">
        <f>IF(ISNA(MATCH(Q$2,Inputs!$K$4:$AJ$4,0)),NA(),IF(SUMPRODUCT((Inputs!$A$5:$A$110=$B44)*ISNUMBER(INDEX(Inputs!$K$5:$AJ$110,0,MATCH(Q$2,Inputs!$K$4:$AJ$4,0))))+SUMPRODUCT((Inputs!$C$5:$C$110=$B44)*ISNUMBER(INDEX(Inputs!$K$5:$AJ$110,0,MATCH(Q$2,Inputs!$K$4:$AJ$4,0))))+SUMPRODUCT((Inputs!$E$5:$E$110=$B44)*ISNUMBER(INDEX(Inputs!$K$5:$AJ$110,0,MATCH(Q$2,Inputs!$K$4:$AJ$4,0))))=0,NA(),SUMPRODUCT((Inputs!$A$5:$A$110=$B44)*Inputs!$B$5:$B$110*(((Inputs!$G$5:$G$110="moeda")+(Inputs!$G$5:$G$110="acoes"))*Inputs!$B$1+((Inputs!$G$5:$G$110&lt;&gt;"moeda")*(Inputs!$G$5:$G$110&lt;&gt;"acoes")))*INDEX(Inputs!$K$5:$AJ$110,0,MATCH(Q$2,Inputs!$K$4:$AJ$4,0)))+SUMPRODUCT((Inputs!$C$5:$C$110=$B44)*Inputs!$D$5:$D$110*(((Inputs!$G$5:$G$110="moeda")+(Inputs!$G$5:$G$110="acoes"))*Inputs!$B$1+((Inputs!$G$5:$G$110&lt;&gt;"moeda")*(Inputs!$G$5:$G$110&lt;&gt;"acoes")))*INDEX(Inputs!$K$5:$AJ$110,0,MATCH(Q$2,Inputs!$K$4:$AJ$4,0)))+SUMPRODUCT((Inputs!$E$5:$E$110=$B44)*Inputs!$F$5:$F$110*(((Inputs!$G$5:$G$110="moeda")+(Inputs!$G$5:$G$110="acoes"))*Inputs!$B$1+((Inputs!$G$5:$G$110&lt;&gt;"moeda")*(Inputs!$G$5:$G$110&lt;&gt;"acoes")))*INDEX(Inputs!$K$5:$AJ$110,0,MATCH(Q$2,Inputs!$K$4:$AJ$4,0)))))</f>
        <v>0</v>
      </c>
      <c r="R44" s="268">
        <f>Q44</f>
        <v>0</v>
      </c>
      <c r="S44" s="267">
        <f>IF(ISNA(MATCH(S$2,Inputs!$K$4:$AJ$4,0)),NA(),IF(SUMPRODUCT((Inputs!$A$5:$A$110=$B44)*ISNUMBER(INDEX(Inputs!$K$5:$AJ$110,0,MATCH(S$2,Inputs!$K$4:$AJ$4,0))))+SUMPRODUCT((Inputs!$C$5:$C$110=$B44)*ISNUMBER(INDEX(Inputs!$K$5:$AJ$110,0,MATCH(S$2,Inputs!$K$4:$AJ$4,0))))+SUMPRODUCT((Inputs!$E$5:$E$110=$B44)*ISNUMBER(INDEX(Inputs!$K$5:$AJ$110,0,MATCH(S$2,Inputs!$K$4:$AJ$4,0))))=0,NA(),SUMPRODUCT((Inputs!$A$5:$A$110=$B44)*Inputs!$B$5:$B$110*(((Inputs!$G$5:$G$110="moeda")+(Inputs!$G$5:$G$110="acoes"))*Inputs!$B$1+((Inputs!$G$5:$G$110&lt;&gt;"moeda")*(Inputs!$G$5:$G$110&lt;&gt;"acoes")))*INDEX(Inputs!$K$5:$AJ$110,0,MATCH(S$2,Inputs!$K$4:$AJ$4,0)))+SUMPRODUCT((Inputs!$C$5:$C$110=$B44)*Inputs!$D$5:$D$110*(((Inputs!$G$5:$G$110="moeda")+(Inputs!$G$5:$G$110="acoes"))*Inputs!$B$1+((Inputs!$G$5:$G$110&lt;&gt;"moeda")*(Inputs!$G$5:$G$110&lt;&gt;"acoes")))*INDEX(Inputs!$K$5:$AJ$110,0,MATCH(S$2,Inputs!$K$4:$AJ$4,0)))+SUMPRODUCT((Inputs!$E$5:$E$110=$B44)*Inputs!$F$5:$F$110*(((Inputs!$G$5:$G$110="moeda")+(Inputs!$G$5:$G$110="acoes"))*Inputs!$B$1+((Inputs!$G$5:$G$110&lt;&gt;"moeda")*(Inputs!$G$5:$G$110&lt;&gt;"acoes")))*INDEX(Inputs!$K$5:$AJ$110,0,MATCH(S$2,Inputs!$K$4:$AJ$4,0)))))</f>
        <v>0</v>
      </c>
      <c r="T44" s="267">
        <f>IF(ISNA(MATCH(T$2,Inputs!$K$4:$AJ$4,0)),NA(),IF(SUMPRODUCT((Inputs!$A$5:$A$110=$B44)*ISNUMBER(INDEX(Inputs!$K$5:$AJ$110,0,MATCH(T$2,Inputs!$K$4:$AJ$4,0))))+SUMPRODUCT((Inputs!$C$5:$C$110=$B44)*ISNUMBER(INDEX(Inputs!$K$5:$AJ$110,0,MATCH(T$2,Inputs!$K$4:$AJ$4,0))))+SUMPRODUCT((Inputs!$E$5:$E$110=$B44)*ISNUMBER(INDEX(Inputs!$K$5:$AJ$110,0,MATCH(T$2,Inputs!$K$4:$AJ$4,0))))=0,NA(),SUMPRODUCT((Inputs!$A$5:$A$110=$B44)*Inputs!$B$5:$B$110*(((Inputs!$G$5:$G$110="moeda")+(Inputs!$G$5:$G$110="acoes"))*Inputs!$B$1+((Inputs!$G$5:$G$110&lt;&gt;"moeda")*(Inputs!$G$5:$G$110&lt;&gt;"acoes")))*INDEX(Inputs!$K$5:$AJ$110,0,MATCH(T$2,Inputs!$K$4:$AJ$4,0)))+SUMPRODUCT((Inputs!$C$5:$C$110=$B44)*Inputs!$D$5:$D$110*(((Inputs!$G$5:$G$110="moeda")+(Inputs!$G$5:$G$110="acoes"))*Inputs!$B$1+((Inputs!$G$5:$G$110&lt;&gt;"moeda")*(Inputs!$G$5:$G$110&lt;&gt;"acoes")))*INDEX(Inputs!$K$5:$AJ$110,0,MATCH(T$2,Inputs!$K$4:$AJ$4,0)))+SUMPRODUCT((Inputs!$E$5:$E$110=$B44)*Inputs!$F$5:$F$110*(((Inputs!$G$5:$G$110="moeda")+(Inputs!$G$5:$G$110="acoes"))*Inputs!$B$1+((Inputs!$G$5:$G$110&lt;&gt;"moeda")*(Inputs!$G$5:$G$110&lt;&gt;"acoes")))*INDEX(Inputs!$K$5:$AJ$110,0,MATCH(T$2,Inputs!$K$4:$AJ$4,0)))))</f>
        <v>0</v>
      </c>
      <c r="U44" s="267">
        <f>IF(ISNA(MATCH(U$2,Inputs!$K$4:$AJ$4,0)),NA(),IF(SUMPRODUCT((Inputs!$A$5:$A$110=$B44)*ISNUMBER(INDEX(Inputs!$K$5:$AJ$110,0,MATCH(U$2,Inputs!$K$4:$AJ$4,0))))+SUMPRODUCT((Inputs!$C$5:$C$110=$B44)*ISNUMBER(INDEX(Inputs!$K$5:$AJ$110,0,MATCH(U$2,Inputs!$K$4:$AJ$4,0))))+SUMPRODUCT((Inputs!$E$5:$E$110=$B44)*ISNUMBER(INDEX(Inputs!$K$5:$AJ$110,0,MATCH(U$2,Inputs!$K$4:$AJ$4,0))))=0,NA(),SUMPRODUCT((Inputs!$A$5:$A$110=$B44)*Inputs!$B$5:$B$110*(((Inputs!$G$5:$G$110="moeda")+(Inputs!$G$5:$G$110="acoes"))*Inputs!$B$1+((Inputs!$G$5:$G$110&lt;&gt;"moeda")*(Inputs!$G$5:$G$110&lt;&gt;"acoes")))*INDEX(Inputs!$K$5:$AJ$110,0,MATCH(U$2,Inputs!$K$4:$AJ$4,0)))+SUMPRODUCT((Inputs!$C$5:$C$110=$B44)*Inputs!$D$5:$D$110*(((Inputs!$G$5:$G$110="moeda")+(Inputs!$G$5:$G$110="acoes"))*Inputs!$B$1+((Inputs!$G$5:$G$110&lt;&gt;"moeda")*(Inputs!$G$5:$G$110&lt;&gt;"acoes")))*INDEX(Inputs!$K$5:$AJ$110,0,MATCH(U$2,Inputs!$K$4:$AJ$4,0)))+SUMPRODUCT((Inputs!$E$5:$E$110=$B44)*Inputs!$F$5:$F$110*(((Inputs!$G$5:$G$110="moeda")+(Inputs!$G$5:$G$110="acoes"))*Inputs!$B$1+((Inputs!$G$5:$G$110&lt;&gt;"moeda")*(Inputs!$G$5:$G$110&lt;&gt;"acoes")))*INDEX(Inputs!$K$5:$AJ$110,0,MATCH(U$2,Inputs!$K$4:$AJ$4,0)))))</f>
        <v>0</v>
      </c>
      <c r="V44" s="267">
        <f>IF(ISNA(MATCH(V$2,Inputs!$K$4:$AJ$4,0)),NA(),IF(SUMPRODUCT((Inputs!$A$5:$A$110=$B44)*ISNUMBER(INDEX(Inputs!$K$5:$AJ$110,0,MATCH(V$2,Inputs!$K$4:$AJ$4,0))))+SUMPRODUCT((Inputs!$C$5:$C$110=$B44)*ISNUMBER(INDEX(Inputs!$K$5:$AJ$110,0,MATCH(V$2,Inputs!$K$4:$AJ$4,0))))+SUMPRODUCT((Inputs!$E$5:$E$110=$B44)*ISNUMBER(INDEX(Inputs!$K$5:$AJ$110,0,MATCH(V$2,Inputs!$K$4:$AJ$4,0))))=0,NA(),SUMPRODUCT((Inputs!$A$5:$A$110=$B44)*Inputs!$B$5:$B$110*(((Inputs!$G$5:$G$110="moeda")+(Inputs!$G$5:$G$110="acoes"))*Inputs!$B$1+((Inputs!$G$5:$G$110&lt;&gt;"moeda")*(Inputs!$G$5:$G$110&lt;&gt;"acoes")))*INDEX(Inputs!$K$5:$AJ$110,0,MATCH(V$2,Inputs!$K$4:$AJ$4,0)))+SUMPRODUCT((Inputs!$C$5:$C$110=$B44)*Inputs!$D$5:$D$110*(((Inputs!$G$5:$G$110="moeda")+(Inputs!$G$5:$G$110="acoes"))*Inputs!$B$1+((Inputs!$G$5:$G$110&lt;&gt;"moeda")*(Inputs!$G$5:$G$110&lt;&gt;"acoes")))*INDEX(Inputs!$K$5:$AJ$110,0,MATCH(V$2,Inputs!$K$4:$AJ$4,0)))+SUMPRODUCT((Inputs!$E$5:$E$110=$B44)*Inputs!$F$5:$F$110*(((Inputs!$G$5:$G$110="moeda")+(Inputs!$G$5:$G$110="acoes"))*Inputs!$B$1+((Inputs!$G$5:$G$110&lt;&gt;"moeda")*(Inputs!$G$5:$G$110&lt;&gt;"acoes")))*INDEX(Inputs!$K$5:$AJ$110,0,MATCH(V$2,Inputs!$K$4:$AJ$4,0)))))</f>
        <v>0</v>
      </c>
      <c r="W44" s="268">
        <f>V44</f>
        <v>0</v>
      </c>
      <c r="X44" s="267">
        <f>IF(ISNA(MATCH(X$2,Inputs!$K$4:$AJ$4,0)),NA(),IF(SUMPRODUCT((Inputs!$A$5:$A$110=$B44)*ISNUMBER(INDEX(Inputs!$K$5:$AJ$110,0,MATCH(X$2,Inputs!$K$4:$AJ$4,0))))+SUMPRODUCT((Inputs!$C$5:$C$110=$B44)*ISNUMBER(INDEX(Inputs!$K$5:$AJ$110,0,MATCH(X$2,Inputs!$K$4:$AJ$4,0))))+SUMPRODUCT((Inputs!$E$5:$E$110=$B44)*ISNUMBER(INDEX(Inputs!$K$5:$AJ$110,0,MATCH(X$2,Inputs!$K$4:$AJ$4,0))))=0,NA(),SUMPRODUCT((Inputs!$A$5:$A$110=$B44)*Inputs!$B$5:$B$110*(((Inputs!$G$5:$G$110="moeda")+(Inputs!$G$5:$G$110="acoes"))*Inputs!$B$1+((Inputs!$G$5:$G$110&lt;&gt;"moeda")*(Inputs!$G$5:$G$110&lt;&gt;"acoes")))*INDEX(Inputs!$K$5:$AJ$110,0,MATCH(X$2,Inputs!$K$4:$AJ$4,0)))+SUMPRODUCT((Inputs!$C$5:$C$110=$B44)*Inputs!$D$5:$D$110*(((Inputs!$G$5:$G$110="moeda")+(Inputs!$G$5:$G$110="acoes"))*Inputs!$B$1+((Inputs!$G$5:$G$110&lt;&gt;"moeda")*(Inputs!$G$5:$G$110&lt;&gt;"acoes")))*INDEX(Inputs!$K$5:$AJ$110,0,MATCH(X$2,Inputs!$K$4:$AJ$4,0)))+SUMPRODUCT((Inputs!$E$5:$E$110=$B44)*Inputs!$F$5:$F$110*(((Inputs!$G$5:$G$110="moeda")+(Inputs!$G$5:$G$110="acoes"))*Inputs!$B$1+((Inputs!$G$5:$G$110&lt;&gt;"moeda")*(Inputs!$G$5:$G$110&lt;&gt;"acoes")))*INDEX(Inputs!$K$5:$AJ$110,0,MATCH(X$2,Inputs!$K$4:$AJ$4,0)))))</f>
        <v>0</v>
      </c>
      <c r="Y44" s="267">
        <f>IF(ISNA(MATCH(Y$2,Inputs!$K$4:$AJ$4,0)),NA(),IF(SUMPRODUCT((Inputs!$A$5:$A$110=$B44)*ISNUMBER(INDEX(Inputs!$K$5:$AJ$110,0,MATCH(Y$2,Inputs!$K$4:$AJ$4,0))))+SUMPRODUCT((Inputs!$C$5:$C$110=$B44)*ISNUMBER(INDEX(Inputs!$K$5:$AJ$110,0,MATCH(Y$2,Inputs!$K$4:$AJ$4,0))))+SUMPRODUCT((Inputs!$E$5:$E$110=$B44)*ISNUMBER(INDEX(Inputs!$K$5:$AJ$110,0,MATCH(Y$2,Inputs!$K$4:$AJ$4,0))))=0,NA(),SUMPRODUCT((Inputs!$A$5:$A$110=$B44)*Inputs!$B$5:$B$110*(((Inputs!$G$5:$G$110="moeda")+(Inputs!$G$5:$G$110="acoes"))*Inputs!$B$1+((Inputs!$G$5:$G$110&lt;&gt;"moeda")*(Inputs!$G$5:$G$110&lt;&gt;"acoes")))*INDEX(Inputs!$K$5:$AJ$110,0,MATCH(Y$2,Inputs!$K$4:$AJ$4,0)))+SUMPRODUCT((Inputs!$C$5:$C$110=$B44)*Inputs!$D$5:$D$110*(((Inputs!$G$5:$G$110="moeda")+(Inputs!$G$5:$G$110="acoes"))*Inputs!$B$1+((Inputs!$G$5:$G$110&lt;&gt;"moeda")*(Inputs!$G$5:$G$110&lt;&gt;"acoes")))*INDEX(Inputs!$K$5:$AJ$110,0,MATCH(Y$2,Inputs!$K$4:$AJ$4,0)))+SUMPRODUCT((Inputs!$E$5:$E$110=$B44)*Inputs!$F$5:$F$110*(((Inputs!$G$5:$G$110="moeda")+(Inputs!$G$5:$G$110="acoes"))*Inputs!$B$1+((Inputs!$G$5:$G$110&lt;&gt;"moeda")*(Inputs!$G$5:$G$110&lt;&gt;"acoes")))*INDEX(Inputs!$K$5:$AJ$110,0,MATCH(Y$2,Inputs!$K$4:$AJ$4,0)))))</f>
        <v>0</v>
      </c>
      <c r="Z44" s="267">
        <f>IF(ISNA(MATCH(Z$2,Inputs!$K$4:$AJ$4,0)),NA(),IF(SUMPRODUCT((Inputs!$A$5:$A$110=$B44)*ISNUMBER(INDEX(Inputs!$K$5:$AJ$110,0,MATCH(Z$2,Inputs!$K$4:$AJ$4,0))))+SUMPRODUCT((Inputs!$C$5:$C$110=$B44)*ISNUMBER(INDEX(Inputs!$K$5:$AJ$110,0,MATCH(Z$2,Inputs!$K$4:$AJ$4,0))))+SUMPRODUCT((Inputs!$E$5:$E$110=$B44)*ISNUMBER(INDEX(Inputs!$K$5:$AJ$110,0,MATCH(Z$2,Inputs!$K$4:$AJ$4,0))))=0,NA(),SUMPRODUCT((Inputs!$A$5:$A$110=$B44)*Inputs!$B$5:$B$110*(((Inputs!$G$5:$G$110="moeda")+(Inputs!$G$5:$G$110="acoes"))*Inputs!$B$1+((Inputs!$G$5:$G$110&lt;&gt;"moeda")*(Inputs!$G$5:$G$110&lt;&gt;"acoes")))*INDEX(Inputs!$K$5:$AJ$110,0,MATCH(Z$2,Inputs!$K$4:$AJ$4,0)))+SUMPRODUCT((Inputs!$C$5:$C$110=$B44)*Inputs!$D$5:$D$110*(((Inputs!$G$5:$G$110="moeda")+(Inputs!$G$5:$G$110="acoes"))*Inputs!$B$1+((Inputs!$G$5:$G$110&lt;&gt;"moeda")*(Inputs!$G$5:$G$110&lt;&gt;"acoes")))*INDEX(Inputs!$K$5:$AJ$110,0,MATCH(Z$2,Inputs!$K$4:$AJ$4,0)))+SUMPRODUCT((Inputs!$E$5:$E$110=$B44)*Inputs!$F$5:$F$110*(((Inputs!$G$5:$G$110="moeda")+(Inputs!$G$5:$G$110="acoes"))*Inputs!$B$1+((Inputs!$G$5:$G$110&lt;&gt;"moeda")*(Inputs!$G$5:$G$110&lt;&gt;"acoes")))*INDEX(Inputs!$K$5:$AJ$110,0,MATCH(Z$2,Inputs!$K$4:$AJ$4,0)))))</f>
        <v>0</v>
      </c>
      <c r="AA44" s="267">
        <f>IF(ISNA(MATCH(AA$2,Inputs!$K$4:$AJ$4,0)),NA(),IF(SUMPRODUCT((Inputs!$A$5:$A$110=$B44)*ISNUMBER(INDEX(Inputs!$K$5:$AJ$110,0,MATCH(AA$2,Inputs!$K$4:$AJ$4,0))))+SUMPRODUCT((Inputs!$C$5:$C$110=$B44)*ISNUMBER(INDEX(Inputs!$K$5:$AJ$110,0,MATCH(AA$2,Inputs!$K$4:$AJ$4,0))))+SUMPRODUCT((Inputs!$E$5:$E$110=$B44)*ISNUMBER(INDEX(Inputs!$K$5:$AJ$110,0,MATCH(AA$2,Inputs!$K$4:$AJ$4,0))))=0,NA(),SUMPRODUCT((Inputs!$A$5:$A$110=$B44)*Inputs!$B$5:$B$110*(((Inputs!$G$5:$G$110="moeda")+(Inputs!$G$5:$G$110="acoes"))*Inputs!$B$1+((Inputs!$G$5:$G$110&lt;&gt;"moeda")*(Inputs!$G$5:$G$110&lt;&gt;"acoes")))*INDEX(Inputs!$K$5:$AJ$110,0,MATCH(AA$2,Inputs!$K$4:$AJ$4,0)))+SUMPRODUCT((Inputs!$C$5:$C$110=$B44)*Inputs!$D$5:$D$110*(((Inputs!$G$5:$G$110="moeda")+(Inputs!$G$5:$G$110="acoes"))*Inputs!$B$1+((Inputs!$G$5:$G$110&lt;&gt;"moeda")*(Inputs!$G$5:$G$110&lt;&gt;"acoes")))*INDEX(Inputs!$K$5:$AJ$110,0,MATCH(AA$2,Inputs!$K$4:$AJ$4,0)))+SUMPRODUCT((Inputs!$E$5:$E$110=$B44)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4" s="268">
        <f>AA44</f>
        <v>0</v>
      </c>
      <c r="AC44" s="267">
        <f>IF(ISNA(MATCH(AC$2,Inputs!$K$4:$AJ$4,0)),NA(),IF(SUMPRODUCT((Inputs!$A$5:$A$110=$B44)*ISNUMBER(INDEX(Inputs!$K$5:$AJ$110,0,MATCH(AC$2,Inputs!$K$4:$AJ$4,0))))+SUMPRODUCT((Inputs!$C$5:$C$110=$B44)*ISNUMBER(INDEX(Inputs!$K$5:$AJ$110,0,MATCH(AC$2,Inputs!$K$4:$AJ$4,0))))+SUMPRODUCT((Inputs!$E$5:$E$110=$B44)*ISNUMBER(INDEX(Inputs!$K$5:$AJ$110,0,MATCH(AC$2,Inputs!$K$4:$AJ$4,0))))=0,NA(),SUMPRODUCT((Inputs!$A$5:$A$110=$B44)*Inputs!$B$5:$B$110*(((Inputs!$G$5:$G$110="moeda")+(Inputs!$G$5:$G$110="acoes"))*Inputs!$B$1+((Inputs!$G$5:$G$110&lt;&gt;"moeda")*(Inputs!$G$5:$G$110&lt;&gt;"acoes")))*INDEX(Inputs!$K$5:$AJ$110,0,MATCH(AC$2,Inputs!$K$4:$AJ$4,0)))+SUMPRODUCT((Inputs!$C$5:$C$110=$B44)*Inputs!$D$5:$D$110*(((Inputs!$G$5:$G$110="moeda")+(Inputs!$G$5:$G$110="acoes"))*Inputs!$B$1+((Inputs!$G$5:$G$110&lt;&gt;"moeda")*(Inputs!$G$5:$G$110&lt;&gt;"acoes")))*INDEX(Inputs!$K$5:$AJ$110,0,MATCH(AC$2,Inputs!$K$4:$AJ$4,0)))+SUMPRODUCT((Inputs!$E$5:$E$110=$B44)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4" s="267">
        <f>IF(ISNA(MATCH(AD$2,Inputs!$K$4:$AJ$4,0)),NA(),IF(SUMPRODUCT((Inputs!$A$5:$A$110=$B44)*ISNUMBER(INDEX(Inputs!$K$5:$AJ$110,0,MATCH(AD$2,Inputs!$K$4:$AJ$4,0))))+SUMPRODUCT((Inputs!$C$5:$C$110=$B44)*ISNUMBER(INDEX(Inputs!$K$5:$AJ$110,0,MATCH(AD$2,Inputs!$K$4:$AJ$4,0))))+SUMPRODUCT((Inputs!$E$5:$E$110=$B44)*ISNUMBER(INDEX(Inputs!$K$5:$AJ$110,0,MATCH(AD$2,Inputs!$K$4:$AJ$4,0))))=0,NA(),SUMPRODUCT((Inputs!$A$5:$A$110=$B44)*Inputs!$B$5:$B$110*(((Inputs!$G$5:$G$110="moeda")+(Inputs!$G$5:$G$110="acoes"))*Inputs!$B$1+((Inputs!$G$5:$G$110&lt;&gt;"moeda")*(Inputs!$G$5:$G$110&lt;&gt;"acoes")))*INDEX(Inputs!$K$5:$AJ$110,0,MATCH(AD$2,Inputs!$K$4:$AJ$4,0)))+SUMPRODUCT((Inputs!$C$5:$C$110=$B44)*Inputs!$D$5:$D$110*(((Inputs!$G$5:$G$110="moeda")+(Inputs!$G$5:$G$110="acoes"))*Inputs!$B$1+((Inputs!$G$5:$G$110&lt;&gt;"moeda")*(Inputs!$G$5:$G$110&lt;&gt;"acoes")))*INDEX(Inputs!$K$5:$AJ$110,0,MATCH(AD$2,Inputs!$K$4:$AJ$4,0)))+SUMPRODUCT((Inputs!$E$5:$E$110=$B44)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4" s="267" t="e">
        <f>IF(ISNA(MATCH(AE$2,Inputs!$K$4:$AJ$4,0)),NA(),IF(SUMPRODUCT((Inputs!$A$5:$A$110=$B44)*ISNUMBER(INDEX(Inputs!$K$5:$AJ$110,0,MATCH(AE$2,Inputs!$K$4:$AJ$4,0))))+SUMPRODUCT((Inputs!$C$5:$C$110=$B44)*ISNUMBER(INDEX(Inputs!$K$5:$AJ$110,0,MATCH(AE$2,Inputs!$K$4:$AJ$4,0))))+SUMPRODUCT((Inputs!$E$5:$E$110=$B44)*ISNUMBER(INDEX(Inputs!$K$5:$AJ$110,0,MATCH(AE$2,Inputs!$K$4:$AJ$4,0))))=0,NA(),SUMPRODUCT((Inputs!$A$5:$A$110=$B44)*Inputs!$B$5:$B$110*(((Inputs!$G$5:$G$110="moeda")+(Inputs!$G$5:$G$110="acoes"))*Inputs!$B$1+((Inputs!$G$5:$G$110&lt;&gt;"moeda")*(Inputs!$G$5:$G$110&lt;&gt;"acoes")))*INDEX(Inputs!$K$5:$AJ$110,0,MATCH(AE$2,Inputs!$K$4:$AJ$4,0)))+SUMPRODUCT((Inputs!$C$5:$C$110=$B44)*Inputs!$D$5:$D$110*(((Inputs!$G$5:$G$110="moeda")+(Inputs!$G$5:$G$110="acoes"))*Inputs!$B$1+((Inputs!$G$5:$G$110&lt;&gt;"moeda")*(Inputs!$G$5:$G$110&lt;&gt;"acoes")))*INDEX(Inputs!$K$5:$AJ$110,0,MATCH(AE$2,Inputs!$K$4:$AJ$4,0)))+SUMPRODUCT((Inputs!$E$5:$E$110=$B44)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4" s="267" t="e">
        <f>IF(ISNA(MATCH(AF$2,Inputs!$K$4:$AJ$4,0)),NA(),IF(SUMPRODUCT((Inputs!$A$5:$A$110=$B44)*ISNUMBER(INDEX(Inputs!$K$5:$AJ$110,0,MATCH(AF$2,Inputs!$K$4:$AJ$4,0))))+SUMPRODUCT((Inputs!$C$5:$C$110=$B44)*ISNUMBER(INDEX(Inputs!$K$5:$AJ$110,0,MATCH(AF$2,Inputs!$K$4:$AJ$4,0))))+SUMPRODUCT((Inputs!$E$5:$E$110=$B44)*ISNUMBER(INDEX(Inputs!$K$5:$AJ$110,0,MATCH(AF$2,Inputs!$K$4:$AJ$4,0))))=0,NA(),SUMPRODUCT((Inputs!$A$5:$A$110=$B44)*Inputs!$B$5:$B$110*(((Inputs!$G$5:$G$110="moeda")+(Inputs!$G$5:$G$110="acoes"))*Inputs!$B$1+((Inputs!$G$5:$G$110&lt;&gt;"moeda")*(Inputs!$G$5:$G$110&lt;&gt;"acoes")))*INDEX(Inputs!$K$5:$AJ$110,0,MATCH(AF$2,Inputs!$K$4:$AJ$4,0)))+SUMPRODUCT((Inputs!$C$5:$C$110=$B44)*Inputs!$D$5:$D$110*(((Inputs!$G$5:$G$110="moeda")+(Inputs!$G$5:$G$110="acoes"))*Inputs!$B$1+((Inputs!$G$5:$G$110&lt;&gt;"moeda")*(Inputs!$G$5:$G$110&lt;&gt;"acoes")))*INDEX(Inputs!$K$5:$AJ$110,0,MATCH(AF$2,Inputs!$K$4:$AJ$4,0)))+SUMPRODUCT((Inputs!$E$5:$E$110=$B44)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4" s="268" t="e">
        <f>AF44</f>
        <v>#N/A</v>
      </c>
      <c r="AH44" s="267">
        <f>IF(ISNA(MATCH(AH$2,Inputs!$K$4:$AJ$4,0)),NA(),IF(SUMPRODUCT((Inputs!$A$5:$A$110=$B44)*ISNUMBER(INDEX(Inputs!$K$5:$AJ$110,0,MATCH(AH$2,Inputs!$K$4:$AJ$4,0))))+SUMPRODUCT((Inputs!$C$5:$C$110=$B44)*ISNUMBER(INDEX(Inputs!$K$5:$AJ$110,0,MATCH(AH$2,Inputs!$K$4:$AJ$4,0))))+SUMPRODUCT((Inputs!$E$5:$E$110=$B44)*ISNUMBER(INDEX(Inputs!$K$5:$AJ$110,0,MATCH(AH$2,Inputs!$K$4:$AJ$4,0))))=0,NA(),SUMPRODUCT((Inputs!$A$5:$A$110=$B44)*Inputs!$B$5:$B$110*(((Inputs!$G$5:$G$110="moeda")+(Inputs!$G$5:$G$110="acoes"))*Inputs!$B$1+((Inputs!$G$5:$G$110&lt;&gt;"moeda")*(Inputs!$G$5:$G$110&lt;&gt;"acoes")))*INDEX(Inputs!$K$5:$AJ$110,0,MATCH(AH$2,Inputs!$K$4:$AJ$4,0)))+SUMPRODUCT((Inputs!$C$5:$C$110=$B44)*Inputs!$D$5:$D$110*(((Inputs!$G$5:$G$110="moeda")+(Inputs!$G$5:$G$110="acoes"))*Inputs!$B$1+((Inputs!$G$5:$G$110&lt;&gt;"moeda")*(Inputs!$G$5:$G$110&lt;&gt;"acoes")))*INDEX(Inputs!$K$5:$AJ$110,0,MATCH(AH$2,Inputs!$K$4:$AJ$4,0)))+SUMPRODUCT((Inputs!$E$5:$E$110=$B44)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4" s="267">
        <f>IF(ISNA(MATCH(AI$2,Inputs!$K$4:$AJ$4,0)),NA(),IF(SUMPRODUCT((Inputs!$A$5:$A$110=$B44)*ISNUMBER(INDEX(Inputs!$K$5:$AJ$110,0,MATCH(AI$2,Inputs!$K$4:$AJ$4,0))))+SUMPRODUCT((Inputs!$C$5:$C$110=$B44)*ISNUMBER(INDEX(Inputs!$K$5:$AJ$110,0,MATCH(AI$2,Inputs!$K$4:$AJ$4,0))))+SUMPRODUCT((Inputs!$E$5:$E$110=$B44)*ISNUMBER(INDEX(Inputs!$K$5:$AJ$110,0,MATCH(AI$2,Inputs!$K$4:$AJ$4,0))))=0,NA(),SUMPRODUCT((Inputs!$A$5:$A$110=$B44)*Inputs!$B$5:$B$110*(((Inputs!$G$5:$G$110="moeda")+(Inputs!$G$5:$G$110="acoes"))*Inputs!$B$1+((Inputs!$G$5:$G$110&lt;&gt;"moeda")*(Inputs!$G$5:$G$110&lt;&gt;"acoes")))*INDEX(Inputs!$K$5:$AJ$110,0,MATCH(AI$2,Inputs!$K$4:$AJ$4,0)))+SUMPRODUCT((Inputs!$C$5:$C$110=$B44)*Inputs!$D$5:$D$110*(((Inputs!$G$5:$G$110="moeda")+(Inputs!$G$5:$G$110="acoes"))*Inputs!$B$1+((Inputs!$G$5:$G$110&lt;&gt;"moeda")*(Inputs!$G$5:$G$110&lt;&gt;"acoes")))*INDEX(Inputs!$K$5:$AJ$110,0,MATCH(AI$2,Inputs!$K$4:$AJ$4,0)))+SUMPRODUCT((Inputs!$E$5:$E$110=$B44)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4" s="267">
        <f>IF(ISNA(MATCH(AJ$2,Inputs!$K$4:$AJ$4,0)),NA(),IF(SUMPRODUCT((Inputs!$A$5:$A$110=$B44)*ISNUMBER(INDEX(Inputs!$K$5:$AJ$110,0,MATCH(AJ$2,Inputs!$K$4:$AJ$4,0))))+SUMPRODUCT((Inputs!$C$5:$C$110=$B44)*ISNUMBER(INDEX(Inputs!$K$5:$AJ$110,0,MATCH(AJ$2,Inputs!$K$4:$AJ$4,0))))+SUMPRODUCT((Inputs!$E$5:$E$110=$B44)*ISNUMBER(INDEX(Inputs!$K$5:$AJ$110,0,MATCH(AJ$2,Inputs!$K$4:$AJ$4,0))))=0,NA(),SUMPRODUCT((Inputs!$A$5:$A$110=$B44)*Inputs!$B$5:$B$110*(((Inputs!$G$5:$G$110="moeda")+(Inputs!$G$5:$G$110="acoes"))*Inputs!$B$1+((Inputs!$G$5:$G$110&lt;&gt;"moeda")*(Inputs!$G$5:$G$110&lt;&gt;"acoes")))*INDEX(Inputs!$K$5:$AJ$110,0,MATCH(AJ$2,Inputs!$K$4:$AJ$4,0)))+SUMPRODUCT((Inputs!$C$5:$C$110=$B44)*Inputs!$D$5:$D$110*(((Inputs!$G$5:$G$110="moeda")+(Inputs!$G$5:$G$110="acoes"))*Inputs!$B$1+((Inputs!$G$5:$G$110&lt;&gt;"moeda")*(Inputs!$G$5:$G$110&lt;&gt;"acoes")))*INDEX(Inputs!$K$5:$AJ$110,0,MATCH(AJ$2,Inputs!$K$4:$AJ$4,0)))+SUMPRODUCT((Inputs!$E$5:$E$110=$B44)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4" s="267">
        <f>IF(ISNA(MATCH(AK$2,Inputs!$K$4:$AJ$4,0)),NA(),IF(SUMPRODUCT((Inputs!$A$5:$A$110=$B44)*ISNUMBER(INDEX(Inputs!$K$5:$AJ$110,0,MATCH(AK$2,Inputs!$K$4:$AJ$4,0))))+SUMPRODUCT((Inputs!$C$5:$C$110=$B44)*ISNUMBER(INDEX(Inputs!$K$5:$AJ$110,0,MATCH(AK$2,Inputs!$K$4:$AJ$4,0))))+SUMPRODUCT((Inputs!$E$5:$E$110=$B44)*ISNUMBER(INDEX(Inputs!$K$5:$AJ$110,0,MATCH(AK$2,Inputs!$K$4:$AJ$4,0))))=0,NA(),SUMPRODUCT((Inputs!$A$5:$A$110=$B44)*Inputs!$B$5:$B$110*(((Inputs!$G$5:$G$110="moeda")+(Inputs!$G$5:$G$110="acoes"))*Inputs!$B$1+((Inputs!$G$5:$G$110&lt;&gt;"moeda")*(Inputs!$G$5:$G$110&lt;&gt;"acoes")))*INDEX(Inputs!$K$5:$AJ$110,0,MATCH(AK$2,Inputs!$K$4:$AJ$4,0)))+SUMPRODUCT((Inputs!$C$5:$C$110=$B44)*Inputs!$D$5:$D$110*(((Inputs!$G$5:$G$110="moeda")+(Inputs!$G$5:$G$110="acoes"))*Inputs!$B$1+((Inputs!$G$5:$G$110&lt;&gt;"moeda")*(Inputs!$G$5:$G$110&lt;&gt;"acoes")))*INDEX(Inputs!$K$5:$AJ$110,0,MATCH(AK$2,Inputs!$K$4:$AJ$4,0)))+SUMPRODUCT((Inputs!$E$5:$E$110=$B44)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4" s="268">
        <f>AK44</f>
        <v>0</v>
      </c>
    </row>
    <row r="45" ht="12.75" customHeight="1" s="255">
      <c r="B45" s="265" t="n">
        <v>39</v>
      </c>
      <c r="C45" s="270" t="inlineStr">
        <is>
          <t>Comprehensive (accumulated) loss</t>
        </is>
      </c>
      <c r="D45" s="267">
        <f>IF(ISNA(MATCH(D$2,Inputs!$K$4:$AJ$4,0)),NA(),IF(SUMPRODUCT((Inputs!$A$5:$A$110=$B45)*ISNUMBER(INDEX(Inputs!$K$5:$AJ$110,0,MATCH(D$2,Inputs!$K$4:$AJ$4,0))))+SUMPRODUCT((Inputs!$C$5:$C$110=$B45)*ISNUMBER(INDEX(Inputs!$K$5:$AJ$110,0,MATCH(D$2,Inputs!$K$4:$AJ$4,0))))+SUMPRODUCT((Inputs!$E$5:$E$110=$B45)*ISNUMBER(INDEX(Inputs!$K$5:$AJ$110,0,MATCH(D$2,Inputs!$K$4:$AJ$4,0))))=0,NA(),SUMPRODUCT((Inputs!$A$5:$A$110=$B45)*Inputs!$B$5:$B$110*(((Inputs!$G$5:$G$110="moeda")+(Inputs!$G$5:$G$110="acoes"))*Inputs!$B$1+((Inputs!$G$5:$G$110&lt;&gt;"moeda")*(Inputs!$G$5:$G$110&lt;&gt;"acoes")))*INDEX(Inputs!$K$5:$AJ$110,0,MATCH(D$2,Inputs!$K$4:$AJ$4,0)))+SUMPRODUCT((Inputs!$C$5:$C$110=$B45)*Inputs!$D$5:$D$110*(((Inputs!$G$5:$G$110="moeda")+(Inputs!$G$5:$G$110="acoes"))*Inputs!$B$1+((Inputs!$G$5:$G$110&lt;&gt;"moeda")*(Inputs!$G$5:$G$110&lt;&gt;"acoes")))*INDEX(Inputs!$K$5:$AJ$110,0,MATCH(D$2,Inputs!$K$4:$AJ$4,0)))+SUMPRODUCT((Inputs!$E$5:$E$110=$B45)*Inputs!$F$5:$F$110*(((Inputs!$G$5:$G$110="moeda")+(Inputs!$G$5:$G$110="acoes"))*Inputs!$B$1+((Inputs!$G$5:$G$110&lt;&gt;"moeda")*(Inputs!$G$5:$G$110&lt;&gt;"acoes")))*INDEX(Inputs!$K$5:$AJ$110,0,MATCH(D$2,Inputs!$K$4:$AJ$4,0)))))</f>
        <v>-7946</v>
      </c>
      <c r="E45" s="267">
        <f>IF(ISNA(MATCH(E$2,Inputs!$K$4:$AJ$4,0)),NA(),IF(SUMPRODUCT((Inputs!$A$5:$A$110=$B45)*ISNUMBER(INDEX(Inputs!$K$5:$AJ$110,0,MATCH(E$2,Inputs!$K$4:$AJ$4,0))))+SUMPRODUCT((Inputs!$C$5:$C$110=$B45)*ISNUMBER(INDEX(Inputs!$K$5:$AJ$110,0,MATCH(E$2,Inputs!$K$4:$AJ$4,0))))+SUMPRODUCT((Inputs!$E$5:$E$110=$B45)*ISNUMBER(INDEX(Inputs!$K$5:$AJ$110,0,MATCH(E$2,Inputs!$K$4:$AJ$4,0))))=0,NA(),SUMPRODUCT((Inputs!$A$5:$A$110=$B45)*Inputs!$B$5:$B$110*(((Inputs!$G$5:$G$110="moeda")+(Inputs!$G$5:$G$110="acoes"))*Inputs!$B$1+((Inputs!$G$5:$G$110&lt;&gt;"moeda")*(Inputs!$G$5:$G$110&lt;&gt;"acoes")))*INDEX(Inputs!$K$5:$AJ$110,0,MATCH(E$2,Inputs!$K$4:$AJ$4,0)))+SUMPRODUCT((Inputs!$C$5:$C$110=$B45)*Inputs!$D$5:$D$110*(((Inputs!$G$5:$G$110="moeda")+(Inputs!$G$5:$G$110="acoes"))*Inputs!$B$1+((Inputs!$G$5:$G$110&lt;&gt;"moeda")*(Inputs!$G$5:$G$110&lt;&gt;"acoes")))*INDEX(Inputs!$K$5:$AJ$110,0,MATCH(E$2,Inputs!$K$4:$AJ$4,0)))+SUMPRODUCT((Inputs!$E$5:$E$110=$B45)*Inputs!$F$5:$F$110*(((Inputs!$G$5:$G$110="moeda")+(Inputs!$G$5:$G$110="acoes"))*Inputs!$B$1+((Inputs!$G$5:$G$110&lt;&gt;"moeda")*(Inputs!$G$5:$G$110&lt;&gt;"acoes")))*INDEX(Inputs!$K$5:$AJ$110,0,MATCH(E$2,Inputs!$K$4:$AJ$4,0)))))</f>
        <v>-7976</v>
      </c>
      <c r="F45" s="267">
        <f>IF(ISNA(MATCH(F$2,Inputs!$K$4:$AJ$4,0)),NA(),IF(SUMPRODUCT((Inputs!$A$5:$A$110=$B45)*ISNUMBER(INDEX(Inputs!$K$5:$AJ$110,0,MATCH(F$2,Inputs!$K$4:$AJ$4,0))))+SUMPRODUCT((Inputs!$C$5:$C$110=$B45)*ISNUMBER(INDEX(Inputs!$K$5:$AJ$110,0,MATCH(F$2,Inputs!$K$4:$AJ$4,0))))+SUMPRODUCT((Inputs!$E$5:$E$110=$B45)*ISNUMBER(INDEX(Inputs!$K$5:$AJ$110,0,MATCH(F$2,Inputs!$K$4:$AJ$4,0))))=0,NA(),SUMPRODUCT((Inputs!$A$5:$A$110=$B45)*Inputs!$B$5:$B$110*(((Inputs!$G$5:$G$110="moeda")+(Inputs!$G$5:$G$110="acoes"))*Inputs!$B$1+((Inputs!$G$5:$G$110&lt;&gt;"moeda")*(Inputs!$G$5:$G$110&lt;&gt;"acoes")))*INDEX(Inputs!$K$5:$AJ$110,0,MATCH(F$2,Inputs!$K$4:$AJ$4,0)))+SUMPRODUCT((Inputs!$C$5:$C$110=$B45)*Inputs!$D$5:$D$110*(((Inputs!$G$5:$G$110="moeda")+(Inputs!$G$5:$G$110="acoes"))*Inputs!$B$1+((Inputs!$G$5:$G$110&lt;&gt;"moeda")*(Inputs!$G$5:$G$110&lt;&gt;"acoes")))*INDEX(Inputs!$K$5:$AJ$110,0,MATCH(F$2,Inputs!$K$4:$AJ$4,0)))+SUMPRODUCT((Inputs!$E$5:$E$110=$B45)*Inputs!$F$5:$F$110*(((Inputs!$G$5:$G$110="moeda")+(Inputs!$G$5:$G$110="acoes"))*Inputs!$B$1+((Inputs!$G$5:$G$110&lt;&gt;"moeda")*(Inputs!$G$5:$G$110&lt;&gt;"acoes")))*INDEX(Inputs!$K$5:$AJ$110,0,MATCH(F$2,Inputs!$K$4:$AJ$4,0)))))</f>
        <v>-8488</v>
      </c>
      <c r="G45" s="267">
        <f>IF(ISNA(MATCH(G$2,Inputs!$K$4:$AJ$4,0)),NA(),IF(SUMPRODUCT((Inputs!$A$5:$A$110=$B45)*ISNUMBER(INDEX(Inputs!$K$5:$AJ$110,0,MATCH(G$2,Inputs!$K$4:$AJ$4,0))))+SUMPRODUCT((Inputs!$C$5:$C$110=$B45)*ISNUMBER(INDEX(Inputs!$K$5:$AJ$110,0,MATCH(G$2,Inputs!$K$4:$AJ$4,0))))+SUMPRODUCT((Inputs!$E$5:$E$110=$B45)*ISNUMBER(INDEX(Inputs!$K$5:$AJ$110,0,MATCH(G$2,Inputs!$K$4:$AJ$4,0))))=0,NA(),SUMPRODUCT((Inputs!$A$5:$A$110=$B45)*Inputs!$B$5:$B$110*(((Inputs!$G$5:$G$110="moeda")+(Inputs!$G$5:$G$110="acoes"))*Inputs!$B$1+((Inputs!$G$5:$G$110&lt;&gt;"moeda")*(Inputs!$G$5:$G$110&lt;&gt;"acoes")))*INDEX(Inputs!$K$5:$AJ$110,0,MATCH(G$2,Inputs!$K$4:$AJ$4,0)))+SUMPRODUCT((Inputs!$C$5:$C$110=$B45)*Inputs!$D$5:$D$110*(((Inputs!$G$5:$G$110="moeda")+(Inputs!$G$5:$G$110="acoes"))*Inputs!$B$1+((Inputs!$G$5:$G$110&lt;&gt;"moeda")*(Inputs!$G$5:$G$110&lt;&gt;"acoes")))*INDEX(Inputs!$K$5:$AJ$110,0,MATCH(G$2,Inputs!$K$4:$AJ$4,0)))+SUMPRODUCT((Inputs!$E$5:$E$110=$B45)*Inputs!$F$5:$F$110*(((Inputs!$G$5:$G$110="moeda")+(Inputs!$G$5:$G$110="acoes"))*Inputs!$B$1+((Inputs!$G$5:$G$110&lt;&gt;"moeda")*(Inputs!$G$5:$G$110&lt;&gt;"acoes")))*INDEX(Inputs!$K$5:$AJ$110,0,MATCH(G$2,Inputs!$K$4:$AJ$4,0)))))</f>
        <v>-8766</v>
      </c>
      <c r="H45" s="268">
        <f>G45</f>
        <v>-8766</v>
      </c>
      <c r="I45" s="267">
        <f>IF(ISNA(MATCH(I$2,Inputs!$K$4:$AJ$4,0)),NA(),IF(SUMPRODUCT((Inputs!$A$5:$A$110=$B45)*ISNUMBER(INDEX(Inputs!$K$5:$AJ$110,0,MATCH(I$2,Inputs!$K$4:$AJ$4,0))))+SUMPRODUCT((Inputs!$C$5:$C$110=$B45)*ISNUMBER(INDEX(Inputs!$K$5:$AJ$110,0,MATCH(I$2,Inputs!$K$4:$AJ$4,0))))+SUMPRODUCT((Inputs!$E$5:$E$110=$B45)*ISNUMBER(INDEX(Inputs!$K$5:$AJ$110,0,MATCH(I$2,Inputs!$K$4:$AJ$4,0))))=0,NA(),SUMPRODUCT((Inputs!$A$5:$A$110=$B45)*Inputs!$B$5:$B$110*(((Inputs!$G$5:$G$110="moeda")+(Inputs!$G$5:$G$110="acoes"))*Inputs!$B$1+((Inputs!$G$5:$G$110&lt;&gt;"moeda")*(Inputs!$G$5:$G$110&lt;&gt;"acoes")))*INDEX(Inputs!$K$5:$AJ$110,0,MATCH(I$2,Inputs!$K$4:$AJ$4,0)))+SUMPRODUCT((Inputs!$C$5:$C$110=$B45)*Inputs!$D$5:$D$110*(((Inputs!$G$5:$G$110="moeda")+(Inputs!$G$5:$G$110="acoes"))*Inputs!$B$1+((Inputs!$G$5:$G$110&lt;&gt;"moeda")*(Inputs!$G$5:$G$110&lt;&gt;"acoes")))*INDEX(Inputs!$K$5:$AJ$110,0,MATCH(I$2,Inputs!$K$4:$AJ$4,0)))+SUMPRODUCT((Inputs!$E$5:$E$110=$B45)*Inputs!$F$5:$F$110*(((Inputs!$G$5:$G$110="moeda")+(Inputs!$G$5:$G$110="acoes"))*Inputs!$B$1+((Inputs!$G$5:$G$110&lt;&gt;"moeda")*(Inputs!$G$5:$G$110&lt;&gt;"acoes")))*INDEX(Inputs!$K$5:$AJ$110,0,MATCH(I$2,Inputs!$K$4:$AJ$4,0)))))</f>
        <v>-8498</v>
      </c>
      <c r="J45" s="267">
        <f>IF(ISNA(MATCH(J$2,Inputs!$K$4:$AJ$4,0)),NA(),IF(SUMPRODUCT((Inputs!$A$5:$A$110=$B45)*ISNUMBER(INDEX(Inputs!$K$5:$AJ$110,0,MATCH(J$2,Inputs!$K$4:$AJ$4,0))))+SUMPRODUCT((Inputs!$C$5:$C$110=$B45)*ISNUMBER(INDEX(Inputs!$K$5:$AJ$110,0,MATCH(J$2,Inputs!$K$4:$AJ$4,0))))+SUMPRODUCT((Inputs!$E$5:$E$110=$B45)*ISNUMBER(INDEX(Inputs!$K$5:$AJ$110,0,MATCH(J$2,Inputs!$K$4:$AJ$4,0))))=0,NA(),SUMPRODUCT((Inputs!$A$5:$A$110=$B45)*Inputs!$B$5:$B$110*(((Inputs!$G$5:$G$110="moeda")+(Inputs!$G$5:$G$110="acoes"))*Inputs!$B$1+((Inputs!$G$5:$G$110&lt;&gt;"moeda")*(Inputs!$G$5:$G$110&lt;&gt;"acoes")))*INDEX(Inputs!$K$5:$AJ$110,0,MATCH(J$2,Inputs!$K$4:$AJ$4,0)))+SUMPRODUCT((Inputs!$C$5:$C$110=$B45)*Inputs!$D$5:$D$110*(((Inputs!$G$5:$G$110="moeda")+(Inputs!$G$5:$G$110="acoes"))*Inputs!$B$1+((Inputs!$G$5:$G$110&lt;&gt;"moeda")*(Inputs!$G$5:$G$110&lt;&gt;"acoes")))*INDEX(Inputs!$K$5:$AJ$110,0,MATCH(J$2,Inputs!$K$4:$AJ$4,0)))+SUMPRODUCT((Inputs!$E$5:$E$110=$B45)*Inputs!$F$5:$F$110*(((Inputs!$G$5:$G$110="moeda")+(Inputs!$G$5:$G$110="acoes"))*Inputs!$B$1+((Inputs!$G$5:$G$110&lt;&gt;"moeda")*(Inputs!$G$5:$G$110&lt;&gt;"acoes")))*INDEX(Inputs!$K$5:$AJ$110,0,MATCH(J$2,Inputs!$K$4:$AJ$4,0)))))</f>
        <v>-9894</v>
      </c>
      <c r="K45" s="267">
        <f>IF(ISNA(MATCH(K$2,Inputs!$K$4:$AJ$4,0)),NA(),IF(SUMPRODUCT((Inputs!$A$5:$A$110=$B45)*ISNUMBER(INDEX(Inputs!$K$5:$AJ$110,0,MATCH(K$2,Inputs!$K$4:$AJ$4,0))))+SUMPRODUCT((Inputs!$C$5:$C$110=$B45)*ISNUMBER(INDEX(Inputs!$K$5:$AJ$110,0,MATCH(K$2,Inputs!$K$4:$AJ$4,0))))+SUMPRODUCT((Inputs!$E$5:$E$110=$B45)*ISNUMBER(INDEX(Inputs!$K$5:$AJ$110,0,MATCH(K$2,Inputs!$K$4:$AJ$4,0))))=0,NA(),SUMPRODUCT((Inputs!$A$5:$A$110=$B45)*Inputs!$B$5:$B$110*(((Inputs!$G$5:$G$110="moeda")+(Inputs!$G$5:$G$110="acoes"))*Inputs!$B$1+((Inputs!$G$5:$G$110&lt;&gt;"moeda")*(Inputs!$G$5:$G$110&lt;&gt;"acoes")))*INDEX(Inputs!$K$5:$AJ$110,0,MATCH(K$2,Inputs!$K$4:$AJ$4,0)))+SUMPRODUCT((Inputs!$C$5:$C$110=$B45)*Inputs!$D$5:$D$110*(((Inputs!$G$5:$G$110="moeda")+(Inputs!$G$5:$G$110="acoes"))*Inputs!$B$1+((Inputs!$G$5:$G$110&lt;&gt;"moeda")*(Inputs!$G$5:$G$110&lt;&gt;"acoes")))*INDEX(Inputs!$K$5:$AJ$110,0,MATCH(K$2,Inputs!$K$4:$AJ$4,0)))+SUMPRODUCT((Inputs!$E$5:$E$110=$B45)*Inputs!$F$5:$F$110*(((Inputs!$G$5:$G$110="moeda")+(Inputs!$G$5:$G$110="acoes"))*Inputs!$B$1+((Inputs!$G$5:$G$110&lt;&gt;"moeda")*(Inputs!$G$5:$G$110&lt;&gt;"acoes")))*INDEX(Inputs!$K$5:$AJ$110,0,MATCH(K$2,Inputs!$K$4:$AJ$4,0)))))</f>
        <v>-10780</v>
      </c>
      <c r="L45" s="267">
        <f>IF(ISNA(MATCH(L$2,Inputs!$K$4:$AJ$4,0)),NA(),IF(SUMPRODUCT((Inputs!$A$5:$A$110=$B45)*ISNUMBER(INDEX(Inputs!$K$5:$AJ$110,0,MATCH(L$2,Inputs!$K$4:$AJ$4,0))))+SUMPRODUCT((Inputs!$C$5:$C$110=$B45)*ISNUMBER(INDEX(Inputs!$K$5:$AJ$110,0,MATCH(L$2,Inputs!$K$4:$AJ$4,0))))+SUMPRODUCT((Inputs!$E$5:$E$110=$B45)*ISNUMBER(INDEX(Inputs!$K$5:$AJ$110,0,MATCH(L$2,Inputs!$K$4:$AJ$4,0))))=0,NA(),SUMPRODUCT((Inputs!$A$5:$A$110=$B45)*Inputs!$B$5:$B$110*(((Inputs!$G$5:$G$110="moeda")+(Inputs!$G$5:$G$110="acoes"))*Inputs!$B$1+((Inputs!$G$5:$G$110&lt;&gt;"moeda")*(Inputs!$G$5:$G$110&lt;&gt;"acoes")))*INDEX(Inputs!$K$5:$AJ$110,0,MATCH(L$2,Inputs!$K$4:$AJ$4,0)))+SUMPRODUCT((Inputs!$C$5:$C$110=$B45)*Inputs!$D$5:$D$110*(((Inputs!$G$5:$G$110="moeda")+(Inputs!$G$5:$G$110="acoes"))*Inputs!$B$1+((Inputs!$G$5:$G$110&lt;&gt;"moeda")*(Inputs!$G$5:$G$110&lt;&gt;"acoes")))*INDEX(Inputs!$K$5:$AJ$110,0,MATCH(L$2,Inputs!$K$4:$AJ$4,0)))+SUMPRODUCT((Inputs!$E$5:$E$110=$B45)*Inputs!$F$5:$F$110*(((Inputs!$G$5:$G$110="moeda")+(Inputs!$G$5:$G$110="acoes"))*Inputs!$B$1+((Inputs!$G$5:$G$110&lt;&gt;"moeda")*(Inputs!$G$5:$G$110&lt;&gt;"acoes")))*INDEX(Inputs!$K$5:$AJ$110,0,MATCH(L$2,Inputs!$K$4:$AJ$4,0)))))</f>
        <v>-11680</v>
      </c>
      <c r="M45" s="268">
        <f>L45</f>
        <v>-11680</v>
      </c>
      <c r="N45" s="267">
        <f>IF(ISNA(MATCH(N$2,Inputs!$K$4:$AJ$4,0)),NA(),IF(SUMPRODUCT((Inputs!$A$5:$A$110=$B45)*ISNUMBER(INDEX(Inputs!$K$5:$AJ$110,0,MATCH(N$2,Inputs!$K$4:$AJ$4,0))))+SUMPRODUCT((Inputs!$C$5:$C$110=$B45)*ISNUMBER(INDEX(Inputs!$K$5:$AJ$110,0,MATCH(N$2,Inputs!$K$4:$AJ$4,0))))+SUMPRODUCT((Inputs!$E$5:$E$110=$B45)*ISNUMBER(INDEX(Inputs!$K$5:$AJ$110,0,MATCH(N$2,Inputs!$K$4:$AJ$4,0))))=0,NA(),SUMPRODUCT((Inputs!$A$5:$A$110=$B45)*Inputs!$B$5:$B$110*(((Inputs!$G$5:$G$110="moeda")+(Inputs!$G$5:$G$110="acoes"))*Inputs!$B$1+((Inputs!$G$5:$G$110&lt;&gt;"moeda")*(Inputs!$G$5:$G$110&lt;&gt;"acoes")))*INDEX(Inputs!$K$5:$AJ$110,0,MATCH(N$2,Inputs!$K$4:$AJ$4,0)))+SUMPRODUCT((Inputs!$C$5:$C$110=$B45)*Inputs!$D$5:$D$110*(((Inputs!$G$5:$G$110="moeda")+(Inputs!$G$5:$G$110="acoes"))*Inputs!$B$1+((Inputs!$G$5:$G$110&lt;&gt;"moeda")*(Inputs!$G$5:$G$110&lt;&gt;"acoes")))*INDEX(Inputs!$K$5:$AJ$110,0,MATCH(N$2,Inputs!$K$4:$AJ$4,0)))+SUMPRODUCT((Inputs!$E$5:$E$110=$B45)*Inputs!$F$5:$F$110*(((Inputs!$G$5:$G$110="moeda")+(Inputs!$G$5:$G$110="acoes"))*Inputs!$B$1+((Inputs!$G$5:$G$110&lt;&gt;"moeda")*(Inputs!$G$5:$G$110&lt;&gt;"acoes")))*INDEX(Inputs!$K$5:$AJ$110,0,MATCH(N$2,Inputs!$K$4:$AJ$4,0)))))</f>
        <v>-11147</v>
      </c>
      <c r="O45" s="267">
        <f>IF(ISNA(MATCH(O$2,Inputs!$K$4:$AJ$4,0)),NA(),IF(SUMPRODUCT((Inputs!$A$5:$A$110=$B45)*ISNUMBER(INDEX(Inputs!$K$5:$AJ$110,0,MATCH(O$2,Inputs!$K$4:$AJ$4,0))))+SUMPRODUCT((Inputs!$C$5:$C$110=$B45)*ISNUMBER(INDEX(Inputs!$K$5:$AJ$110,0,MATCH(O$2,Inputs!$K$4:$AJ$4,0))))+SUMPRODUCT((Inputs!$E$5:$E$110=$B45)*ISNUMBER(INDEX(Inputs!$K$5:$AJ$110,0,MATCH(O$2,Inputs!$K$4:$AJ$4,0))))=0,NA(),SUMPRODUCT((Inputs!$A$5:$A$110=$B45)*Inputs!$B$5:$B$110*(((Inputs!$G$5:$G$110="moeda")+(Inputs!$G$5:$G$110="acoes"))*Inputs!$B$1+((Inputs!$G$5:$G$110&lt;&gt;"moeda")*(Inputs!$G$5:$G$110&lt;&gt;"acoes")))*INDEX(Inputs!$K$5:$AJ$110,0,MATCH(O$2,Inputs!$K$4:$AJ$4,0)))+SUMPRODUCT((Inputs!$C$5:$C$110=$B45)*Inputs!$D$5:$D$110*(((Inputs!$G$5:$G$110="moeda")+(Inputs!$G$5:$G$110="acoes"))*Inputs!$B$1+((Inputs!$G$5:$G$110&lt;&gt;"moeda")*(Inputs!$G$5:$G$110&lt;&gt;"acoes")))*INDEX(Inputs!$K$5:$AJ$110,0,MATCH(O$2,Inputs!$K$4:$AJ$4,0)))+SUMPRODUCT((Inputs!$E$5:$E$110=$B45)*Inputs!$F$5:$F$110*(((Inputs!$G$5:$G$110="moeda")+(Inputs!$G$5:$G$110="acoes"))*Inputs!$B$1+((Inputs!$G$5:$G$110&lt;&gt;"moeda")*(Inputs!$G$5:$G$110&lt;&gt;"acoes")))*INDEX(Inputs!$K$5:$AJ$110,0,MATCH(O$2,Inputs!$K$4:$AJ$4,0)))))</f>
        <v>-10818</v>
      </c>
      <c r="P45" s="267">
        <f>IF(ISNA(MATCH(P$2,Inputs!$K$4:$AJ$4,0)),NA(),IF(SUMPRODUCT((Inputs!$A$5:$A$110=$B45)*ISNUMBER(INDEX(Inputs!$K$5:$AJ$110,0,MATCH(P$2,Inputs!$K$4:$AJ$4,0))))+SUMPRODUCT((Inputs!$C$5:$C$110=$B45)*ISNUMBER(INDEX(Inputs!$K$5:$AJ$110,0,MATCH(P$2,Inputs!$K$4:$AJ$4,0))))+SUMPRODUCT((Inputs!$E$5:$E$110=$B45)*ISNUMBER(INDEX(Inputs!$K$5:$AJ$110,0,MATCH(P$2,Inputs!$K$4:$AJ$4,0))))=0,NA(),SUMPRODUCT((Inputs!$A$5:$A$110=$B45)*Inputs!$B$5:$B$110*(((Inputs!$G$5:$G$110="moeda")+(Inputs!$G$5:$G$110="acoes"))*Inputs!$B$1+((Inputs!$G$5:$G$110&lt;&gt;"moeda")*(Inputs!$G$5:$G$110&lt;&gt;"acoes")))*INDEX(Inputs!$K$5:$AJ$110,0,MATCH(P$2,Inputs!$K$4:$AJ$4,0)))+SUMPRODUCT((Inputs!$C$5:$C$110=$B45)*Inputs!$D$5:$D$110*(((Inputs!$G$5:$G$110="moeda")+(Inputs!$G$5:$G$110="acoes"))*Inputs!$B$1+((Inputs!$G$5:$G$110&lt;&gt;"moeda")*(Inputs!$G$5:$G$110&lt;&gt;"acoes")))*INDEX(Inputs!$K$5:$AJ$110,0,MATCH(P$2,Inputs!$K$4:$AJ$4,0)))+SUMPRODUCT((Inputs!$E$5:$E$110=$B45)*Inputs!$F$5:$F$110*(((Inputs!$G$5:$G$110="moeda")+(Inputs!$G$5:$G$110="acoes"))*Inputs!$B$1+((Inputs!$G$5:$G$110&lt;&gt;"moeda")*(Inputs!$G$5:$G$110&lt;&gt;"acoes")))*INDEX(Inputs!$K$5:$AJ$110,0,MATCH(P$2,Inputs!$K$4:$AJ$4,0)))))</f>
        <v>-11573</v>
      </c>
      <c r="Q45" s="267">
        <f>IF(ISNA(MATCH(Q$2,Inputs!$K$4:$AJ$4,0)),NA(),IF(SUMPRODUCT((Inputs!$A$5:$A$110=$B45)*ISNUMBER(INDEX(Inputs!$K$5:$AJ$110,0,MATCH(Q$2,Inputs!$K$4:$AJ$4,0))))+SUMPRODUCT((Inputs!$C$5:$C$110=$B45)*ISNUMBER(INDEX(Inputs!$K$5:$AJ$110,0,MATCH(Q$2,Inputs!$K$4:$AJ$4,0))))+SUMPRODUCT((Inputs!$E$5:$E$110=$B45)*ISNUMBER(INDEX(Inputs!$K$5:$AJ$110,0,MATCH(Q$2,Inputs!$K$4:$AJ$4,0))))=0,NA(),SUMPRODUCT((Inputs!$A$5:$A$110=$B45)*Inputs!$B$5:$B$110*(((Inputs!$G$5:$G$110="moeda")+(Inputs!$G$5:$G$110="acoes"))*Inputs!$B$1+((Inputs!$G$5:$G$110&lt;&gt;"moeda")*(Inputs!$G$5:$G$110&lt;&gt;"acoes")))*INDEX(Inputs!$K$5:$AJ$110,0,MATCH(Q$2,Inputs!$K$4:$AJ$4,0)))+SUMPRODUCT((Inputs!$C$5:$C$110=$B45)*Inputs!$D$5:$D$110*(((Inputs!$G$5:$G$110="moeda")+(Inputs!$G$5:$G$110="acoes"))*Inputs!$B$1+((Inputs!$G$5:$G$110&lt;&gt;"moeda")*(Inputs!$G$5:$G$110&lt;&gt;"acoes")))*INDEX(Inputs!$K$5:$AJ$110,0,MATCH(Q$2,Inputs!$K$4:$AJ$4,0)))+SUMPRODUCT((Inputs!$E$5:$E$110=$B45)*Inputs!$F$5:$F$110*(((Inputs!$G$5:$G$110="moeda")+(Inputs!$G$5:$G$110="acoes"))*Inputs!$B$1+((Inputs!$G$5:$G$110&lt;&gt;"moeda")*(Inputs!$G$5:$G$110&lt;&gt;"acoes")))*INDEX(Inputs!$K$5:$AJ$110,0,MATCH(Q$2,Inputs!$K$4:$AJ$4,0)))))</f>
        <v>-11302</v>
      </c>
      <c r="R45" s="268">
        <f>Q45</f>
        <v>-11302</v>
      </c>
      <c r="S45" s="267">
        <f>IF(ISNA(MATCH(S$2,Inputs!$K$4:$AJ$4,0)),NA(),IF(SUMPRODUCT((Inputs!$A$5:$A$110=$B45)*ISNUMBER(INDEX(Inputs!$K$5:$AJ$110,0,MATCH(S$2,Inputs!$K$4:$AJ$4,0))))+SUMPRODUCT((Inputs!$C$5:$C$110=$B45)*ISNUMBER(INDEX(Inputs!$K$5:$AJ$110,0,MATCH(S$2,Inputs!$K$4:$AJ$4,0))))+SUMPRODUCT((Inputs!$E$5:$E$110=$B45)*ISNUMBER(INDEX(Inputs!$K$5:$AJ$110,0,MATCH(S$2,Inputs!$K$4:$AJ$4,0))))=0,NA(),SUMPRODUCT((Inputs!$A$5:$A$110=$B45)*Inputs!$B$5:$B$110*(((Inputs!$G$5:$G$110="moeda")+(Inputs!$G$5:$G$110="acoes"))*Inputs!$B$1+((Inputs!$G$5:$G$110&lt;&gt;"moeda")*(Inputs!$G$5:$G$110&lt;&gt;"acoes")))*INDEX(Inputs!$K$5:$AJ$110,0,MATCH(S$2,Inputs!$K$4:$AJ$4,0)))+SUMPRODUCT((Inputs!$C$5:$C$110=$B45)*Inputs!$D$5:$D$110*(((Inputs!$G$5:$G$110="moeda")+(Inputs!$G$5:$G$110="acoes"))*Inputs!$B$1+((Inputs!$G$5:$G$110&lt;&gt;"moeda")*(Inputs!$G$5:$G$110&lt;&gt;"acoes")))*INDEX(Inputs!$K$5:$AJ$110,0,MATCH(S$2,Inputs!$K$4:$AJ$4,0)))+SUMPRODUCT((Inputs!$E$5:$E$110=$B45)*Inputs!$F$5:$F$110*(((Inputs!$G$5:$G$110="moeda")+(Inputs!$G$5:$G$110="acoes"))*Inputs!$B$1+((Inputs!$G$5:$G$110&lt;&gt;"moeda")*(Inputs!$G$5:$G$110&lt;&gt;"acoes")))*INDEX(Inputs!$K$5:$AJ$110,0,MATCH(S$2,Inputs!$K$4:$AJ$4,0)))))</f>
        <v>-11367</v>
      </c>
      <c r="T45" s="267">
        <f>IF(ISNA(MATCH(T$2,Inputs!$K$4:$AJ$4,0)),NA(),IF(SUMPRODUCT((Inputs!$A$5:$A$110=$B45)*ISNUMBER(INDEX(Inputs!$K$5:$AJ$110,0,MATCH(T$2,Inputs!$K$4:$AJ$4,0))))+SUMPRODUCT((Inputs!$C$5:$C$110=$B45)*ISNUMBER(INDEX(Inputs!$K$5:$AJ$110,0,MATCH(T$2,Inputs!$K$4:$AJ$4,0))))+SUMPRODUCT((Inputs!$E$5:$E$110=$B45)*ISNUMBER(INDEX(Inputs!$K$5:$AJ$110,0,MATCH(T$2,Inputs!$K$4:$AJ$4,0))))=0,NA(),SUMPRODUCT((Inputs!$A$5:$A$110=$B45)*Inputs!$B$5:$B$110*(((Inputs!$G$5:$G$110="moeda")+(Inputs!$G$5:$G$110="acoes"))*Inputs!$B$1+((Inputs!$G$5:$G$110&lt;&gt;"moeda")*(Inputs!$G$5:$G$110&lt;&gt;"acoes")))*INDEX(Inputs!$K$5:$AJ$110,0,MATCH(T$2,Inputs!$K$4:$AJ$4,0)))+SUMPRODUCT((Inputs!$C$5:$C$110=$B45)*Inputs!$D$5:$D$110*(((Inputs!$G$5:$G$110="moeda")+(Inputs!$G$5:$G$110="acoes"))*Inputs!$B$1+((Inputs!$G$5:$G$110&lt;&gt;"moeda")*(Inputs!$G$5:$G$110&lt;&gt;"acoes")))*INDEX(Inputs!$K$5:$AJ$110,0,MATCH(T$2,Inputs!$K$4:$AJ$4,0)))+SUMPRODUCT((Inputs!$E$5:$E$110=$B45)*Inputs!$F$5:$F$110*(((Inputs!$G$5:$G$110="moeda")+(Inputs!$G$5:$G$110="acoes"))*Inputs!$B$1+((Inputs!$G$5:$G$110&lt;&gt;"moeda")*(Inputs!$G$5:$G$110&lt;&gt;"acoes")))*INDEX(Inputs!$K$5:$AJ$110,0,MATCH(T$2,Inputs!$K$4:$AJ$4,0)))))</f>
        <v>-12178</v>
      </c>
      <c r="U45" s="267">
        <f>IF(ISNA(MATCH(U$2,Inputs!$K$4:$AJ$4,0)),NA(),IF(SUMPRODUCT((Inputs!$A$5:$A$110=$B45)*ISNUMBER(INDEX(Inputs!$K$5:$AJ$110,0,MATCH(U$2,Inputs!$K$4:$AJ$4,0))))+SUMPRODUCT((Inputs!$C$5:$C$110=$B45)*ISNUMBER(INDEX(Inputs!$K$5:$AJ$110,0,MATCH(U$2,Inputs!$K$4:$AJ$4,0))))+SUMPRODUCT((Inputs!$E$5:$E$110=$B45)*ISNUMBER(INDEX(Inputs!$K$5:$AJ$110,0,MATCH(U$2,Inputs!$K$4:$AJ$4,0))))=0,NA(),SUMPRODUCT((Inputs!$A$5:$A$110=$B45)*Inputs!$B$5:$B$110*(((Inputs!$G$5:$G$110="moeda")+(Inputs!$G$5:$G$110="acoes"))*Inputs!$B$1+((Inputs!$G$5:$G$110&lt;&gt;"moeda")*(Inputs!$G$5:$G$110&lt;&gt;"acoes")))*INDEX(Inputs!$K$5:$AJ$110,0,MATCH(U$2,Inputs!$K$4:$AJ$4,0)))+SUMPRODUCT((Inputs!$C$5:$C$110=$B45)*Inputs!$D$5:$D$110*(((Inputs!$G$5:$G$110="moeda")+(Inputs!$G$5:$G$110="acoes"))*Inputs!$B$1+((Inputs!$G$5:$G$110&lt;&gt;"moeda")*(Inputs!$G$5:$G$110&lt;&gt;"acoes")))*INDEX(Inputs!$K$5:$AJ$110,0,MATCH(U$2,Inputs!$K$4:$AJ$4,0)))+SUMPRODUCT((Inputs!$E$5:$E$110=$B45)*Inputs!$F$5:$F$110*(((Inputs!$G$5:$G$110="moeda")+(Inputs!$G$5:$G$110="acoes"))*Inputs!$B$1+((Inputs!$G$5:$G$110&lt;&gt;"moeda")*(Inputs!$G$5:$G$110&lt;&gt;"acoes")))*INDEX(Inputs!$K$5:$AJ$110,0,MATCH(U$2,Inputs!$K$4:$AJ$4,0)))))</f>
        <v>-12525</v>
      </c>
      <c r="V45" s="267">
        <f>IF(ISNA(MATCH(V$2,Inputs!$K$4:$AJ$4,0)),NA(),IF(SUMPRODUCT((Inputs!$A$5:$A$110=$B45)*ISNUMBER(INDEX(Inputs!$K$5:$AJ$110,0,MATCH(V$2,Inputs!$K$4:$AJ$4,0))))+SUMPRODUCT((Inputs!$C$5:$C$110=$B45)*ISNUMBER(INDEX(Inputs!$K$5:$AJ$110,0,MATCH(V$2,Inputs!$K$4:$AJ$4,0))))+SUMPRODUCT((Inputs!$E$5:$E$110=$B45)*ISNUMBER(INDEX(Inputs!$K$5:$AJ$110,0,MATCH(V$2,Inputs!$K$4:$AJ$4,0))))=0,NA(),SUMPRODUCT((Inputs!$A$5:$A$110=$B45)*Inputs!$B$5:$B$110*(((Inputs!$G$5:$G$110="moeda")+(Inputs!$G$5:$G$110="acoes"))*Inputs!$B$1+((Inputs!$G$5:$G$110&lt;&gt;"moeda")*(Inputs!$G$5:$G$110&lt;&gt;"acoes")))*INDEX(Inputs!$K$5:$AJ$110,0,MATCH(V$2,Inputs!$K$4:$AJ$4,0)))+SUMPRODUCT((Inputs!$C$5:$C$110=$B45)*Inputs!$D$5:$D$110*(((Inputs!$G$5:$G$110="moeda")+(Inputs!$G$5:$G$110="acoes"))*Inputs!$B$1+((Inputs!$G$5:$G$110&lt;&gt;"moeda")*(Inputs!$G$5:$G$110&lt;&gt;"acoes")))*INDEX(Inputs!$K$5:$AJ$110,0,MATCH(V$2,Inputs!$K$4:$AJ$4,0)))+SUMPRODUCT((Inputs!$E$5:$E$110=$B45)*Inputs!$F$5:$F$110*(((Inputs!$G$5:$G$110="moeda")+(Inputs!$G$5:$G$110="acoes"))*Inputs!$B$1+((Inputs!$G$5:$G$110&lt;&gt;"moeda")*(Inputs!$G$5:$G$110&lt;&gt;"acoes")))*INDEX(Inputs!$K$5:$AJ$110,0,MATCH(V$2,Inputs!$K$4:$AJ$4,0)))))</f>
        <v>-13605</v>
      </c>
      <c r="W45" s="268">
        <f>V45</f>
        <v>-13605</v>
      </c>
      <c r="X45" s="267">
        <f>IF(ISNA(MATCH(X$2,Inputs!$K$4:$AJ$4,0)),NA(),IF(SUMPRODUCT((Inputs!$A$5:$A$110=$B45)*ISNUMBER(INDEX(Inputs!$K$5:$AJ$110,0,MATCH(X$2,Inputs!$K$4:$AJ$4,0))))+SUMPRODUCT((Inputs!$C$5:$C$110=$B45)*ISNUMBER(INDEX(Inputs!$K$5:$AJ$110,0,MATCH(X$2,Inputs!$K$4:$AJ$4,0))))+SUMPRODUCT((Inputs!$E$5:$E$110=$B45)*ISNUMBER(INDEX(Inputs!$K$5:$AJ$110,0,MATCH(X$2,Inputs!$K$4:$AJ$4,0))))=0,NA(),SUMPRODUCT((Inputs!$A$5:$A$110=$B45)*Inputs!$B$5:$B$110*(((Inputs!$G$5:$G$110="moeda")+(Inputs!$G$5:$G$110="acoes"))*Inputs!$B$1+((Inputs!$G$5:$G$110&lt;&gt;"moeda")*(Inputs!$G$5:$G$110&lt;&gt;"acoes")))*INDEX(Inputs!$K$5:$AJ$110,0,MATCH(X$2,Inputs!$K$4:$AJ$4,0)))+SUMPRODUCT((Inputs!$C$5:$C$110=$B45)*Inputs!$D$5:$D$110*(((Inputs!$G$5:$G$110="moeda")+(Inputs!$G$5:$G$110="acoes"))*Inputs!$B$1+((Inputs!$G$5:$G$110&lt;&gt;"moeda")*(Inputs!$G$5:$G$110&lt;&gt;"acoes")))*INDEX(Inputs!$K$5:$AJ$110,0,MATCH(X$2,Inputs!$K$4:$AJ$4,0)))+SUMPRODUCT((Inputs!$E$5:$E$110=$B45)*Inputs!$F$5:$F$110*(((Inputs!$G$5:$G$110="moeda")+(Inputs!$G$5:$G$110="acoes"))*Inputs!$B$1+((Inputs!$G$5:$G$110&lt;&gt;"moeda")*(Inputs!$G$5:$G$110&lt;&gt;"acoes")))*INDEX(Inputs!$K$5:$AJ$110,0,MATCH(X$2,Inputs!$K$4:$AJ$4,0)))))</f>
        <v>-13296</v>
      </c>
      <c r="Y45" s="267">
        <f>IF(ISNA(MATCH(Y$2,Inputs!$K$4:$AJ$4,0)),NA(),IF(SUMPRODUCT((Inputs!$A$5:$A$110=$B45)*ISNUMBER(INDEX(Inputs!$K$5:$AJ$110,0,MATCH(Y$2,Inputs!$K$4:$AJ$4,0))))+SUMPRODUCT((Inputs!$C$5:$C$110=$B45)*ISNUMBER(INDEX(Inputs!$K$5:$AJ$110,0,MATCH(Y$2,Inputs!$K$4:$AJ$4,0))))+SUMPRODUCT((Inputs!$E$5:$E$110=$B45)*ISNUMBER(INDEX(Inputs!$K$5:$AJ$110,0,MATCH(Y$2,Inputs!$K$4:$AJ$4,0))))=0,NA(),SUMPRODUCT((Inputs!$A$5:$A$110=$B45)*Inputs!$B$5:$B$110*(((Inputs!$G$5:$G$110="moeda")+(Inputs!$G$5:$G$110="acoes"))*Inputs!$B$1+((Inputs!$G$5:$G$110&lt;&gt;"moeda")*(Inputs!$G$5:$G$110&lt;&gt;"acoes")))*INDEX(Inputs!$K$5:$AJ$110,0,MATCH(Y$2,Inputs!$K$4:$AJ$4,0)))+SUMPRODUCT((Inputs!$C$5:$C$110=$B45)*Inputs!$D$5:$D$110*(((Inputs!$G$5:$G$110="moeda")+(Inputs!$G$5:$G$110="acoes"))*Inputs!$B$1+((Inputs!$G$5:$G$110&lt;&gt;"moeda")*(Inputs!$G$5:$G$110&lt;&gt;"acoes")))*INDEX(Inputs!$K$5:$AJ$110,0,MATCH(Y$2,Inputs!$K$4:$AJ$4,0)))+SUMPRODUCT((Inputs!$E$5:$E$110=$B45)*Inputs!$F$5:$F$110*(((Inputs!$G$5:$G$110="moeda")+(Inputs!$G$5:$G$110="acoes"))*Inputs!$B$1+((Inputs!$G$5:$G$110&lt;&gt;"moeda")*(Inputs!$G$5:$G$110&lt;&gt;"acoes")))*INDEX(Inputs!$K$5:$AJ$110,0,MATCH(Y$2,Inputs!$K$4:$AJ$4,0)))))</f>
        <v>-12733</v>
      </c>
      <c r="Z45" s="267">
        <f>IF(ISNA(MATCH(Z$2,Inputs!$K$4:$AJ$4,0)),NA(),IF(SUMPRODUCT((Inputs!$A$5:$A$110=$B45)*ISNUMBER(INDEX(Inputs!$K$5:$AJ$110,0,MATCH(Z$2,Inputs!$K$4:$AJ$4,0))))+SUMPRODUCT((Inputs!$C$5:$C$110=$B45)*ISNUMBER(INDEX(Inputs!$K$5:$AJ$110,0,MATCH(Z$2,Inputs!$K$4:$AJ$4,0))))+SUMPRODUCT((Inputs!$E$5:$E$110=$B45)*ISNUMBER(INDEX(Inputs!$K$5:$AJ$110,0,MATCH(Z$2,Inputs!$K$4:$AJ$4,0))))=0,NA(),SUMPRODUCT((Inputs!$A$5:$A$110=$B45)*Inputs!$B$5:$B$110*(((Inputs!$G$5:$G$110="moeda")+(Inputs!$G$5:$G$110="acoes"))*Inputs!$B$1+((Inputs!$G$5:$G$110&lt;&gt;"moeda")*(Inputs!$G$5:$G$110&lt;&gt;"acoes")))*INDEX(Inputs!$K$5:$AJ$110,0,MATCH(Z$2,Inputs!$K$4:$AJ$4,0)))+SUMPRODUCT((Inputs!$C$5:$C$110=$B45)*Inputs!$D$5:$D$110*(((Inputs!$G$5:$G$110="moeda")+(Inputs!$G$5:$G$110="acoes"))*Inputs!$B$1+((Inputs!$G$5:$G$110&lt;&gt;"moeda")*(Inputs!$G$5:$G$110&lt;&gt;"acoes")))*INDEX(Inputs!$K$5:$AJ$110,0,MATCH(Z$2,Inputs!$K$4:$AJ$4,0)))+SUMPRODUCT((Inputs!$E$5:$E$110=$B45)*Inputs!$F$5:$F$110*(((Inputs!$G$5:$G$110="moeda")+(Inputs!$G$5:$G$110="acoes"))*Inputs!$B$1+((Inputs!$G$5:$G$110&lt;&gt;"moeda")*(Inputs!$G$5:$G$110&lt;&gt;"acoes")))*INDEX(Inputs!$K$5:$AJ$110,0,MATCH(Z$2,Inputs!$K$4:$AJ$4,0)))))</f>
        <v>-13124</v>
      </c>
      <c r="AA45" s="267">
        <f>IF(ISNA(MATCH(AA$2,Inputs!$K$4:$AJ$4,0)),NA(),IF(SUMPRODUCT((Inputs!$A$5:$A$110=$B45)*ISNUMBER(INDEX(Inputs!$K$5:$AJ$110,0,MATCH(AA$2,Inputs!$K$4:$AJ$4,0))))+SUMPRODUCT((Inputs!$C$5:$C$110=$B45)*ISNUMBER(INDEX(Inputs!$K$5:$AJ$110,0,MATCH(AA$2,Inputs!$K$4:$AJ$4,0))))+SUMPRODUCT((Inputs!$E$5:$E$110=$B45)*ISNUMBER(INDEX(Inputs!$K$5:$AJ$110,0,MATCH(AA$2,Inputs!$K$4:$AJ$4,0))))=0,NA(),SUMPRODUCT((Inputs!$A$5:$A$110=$B45)*Inputs!$B$5:$B$110*(((Inputs!$G$5:$G$110="moeda")+(Inputs!$G$5:$G$110="acoes"))*Inputs!$B$1+((Inputs!$G$5:$G$110&lt;&gt;"moeda")*(Inputs!$G$5:$G$110&lt;&gt;"acoes")))*INDEX(Inputs!$K$5:$AJ$110,0,MATCH(AA$2,Inputs!$K$4:$AJ$4,0)))+SUMPRODUCT((Inputs!$C$5:$C$110=$B45)*Inputs!$D$5:$D$110*(((Inputs!$G$5:$G$110="moeda")+(Inputs!$G$5:$G$110="acoes"))*Inputs!$B$1+((Inputs!$G$5:$G$110&lt;&gt;"moeda")*(Inputs!$G$5:$G$110&lt;&gt;"acoes")))*INDEX(Inputs!$K$5:$AJ$110,0,MATCH(AA$2,Inputs!$K$4:$AJ$4,0)))+SUMPRODUCT((Inputs!$E$5:$E$110=$B45)*Inputs!$F$5:$F$110*(((Inputs!$G$5:$G$110="moeda")+(Inputs!$G$5:$G$110="acoes"))*Inputs!$B$1+((Inputs!$G$5:$G$110&lt;&gt;"moeda")*(Inputs!$G$5:$G$110&lt;&gt;"acoes")))*INDEX(Inputs!$K$5:$AJ$110,0,MATCH(AA$2,Inputs!$K$4:$AJ$4,0)))))</f>
        <v>-12770</v>
      </c>
      <c r="AB45" s="268">
        <f>AA45</f>
        <v>-12770</v>
      </c>
      <c r="AC45" s="267">
        <f>IF(ISNA(MATCH(AC$2,Inputs!$K$4:$AJ$4,0)),NA(),IF(SUMPRODUCT((Inputs!$A$5:$A$110=$B45)*ISNUMBER(INDEX(Inputs!$K$5:$AJ$110,0,MATCH(AC$2,Inputs!$K$4:$AJ$4,0))))+SUMPRODUCT((Inputs!$C$5:$C$110=$B45)*ISNUMBER(INDEX(Inputs!$K$5:$AJ$110,0,MATCH(AC$2,Inputs!$K$4:$AJ$4,0))))+SUMPRODUCT((Inputs!$E$5:$E$110=$B45)*ISNUMBER(INDEX(Inputs!$K$5:$AJ$110,0,MATCH(AC$2,Inputs!$K$4:$AJ$4,0))))=0,NA(),SUMPRODUCT((Inputs!$A$5:$A$110=$B45)*Inputs!$B$5:$B$110*(((Inputs!$G$5:$G$110="moeda")+(Inputs!$G$5:$G$110="acoes"))*Inputs!$B$1+((Inputs!$G$5:$G$110&lt;&gt;"moeda")*(Inputs!$G$5:$G$110&lt;&gt;"acoes")))*INDEX(Inputs!$K$5:$AJ$110,0,MATCH(AC$2,Inputs!$K$4:$AJ$4,0)))+SUMPRODUCT((Inputs!$C$5:$C$110=$B45)*Inputs!$D$5:$D$110*(((Inputs!$G$5:$G$110="moeda")+(Inputs!$G$5:$G$110="acoes"))*Inputs!$B$1+((Inputs!$G$5:$G$110&lt;&gt;"moeda")*(Inputs!$G$5:$G$110&lt;&gt;"acoes")))*INDEX(Inputs!$K$5:$AJ$110,0,MATCH(AC$2,Inputs!$K$4:$AJ$4,0)))+SUMPRODUCT((Inputs!$E$5:$E$110=$B45)*Inputs!$F$5:$F$110*(((Inputs!$G$5:$G$110="moeda")+(Inputs!$G$5:$G$110="acoes"))*Inputs!$B$1+((Inputs!$G$5:$G$110&lt;&gt;"moeda")*(Inputs!$G$5:$G$110&lt;&gt;"acoes")))*INDEX(Inputs!$K$5:$AJ$110,0,MATCH(AC$2,Inputs!$K$4:$AJ$4,0)))))</f>
        <v>-13605</v>
      </c>
      <c r="AD45" s="267">
        <f>IF(ISNA(MATCH(AD$2,Inputs!$K$4:$AJ$4,0)),NA(),IF(SUMPRODUCT((Inputs!$A$5:$A$110=$B45)*ISNUMBER(INDEX(Inputs!$K$5:$AJ$110,0,MATCH(AD$2,Inputs!$K$4:$AJ$4,0))))+SUMPRODUCT((Inputs!$C$5:$C$110=$B45)*ISNUMBER(INDEX(Inputs!$K$5:$AJ$110,0,MATCH(AD$2,Inputs!$K$4:$AJ$4,0))))+SUMPRODUCT((Inputs!$E$5:$E$110=$B45)*ISNUMBER(INDEX(Inputs!$K$5:$AJ$110,0,MATCH(AD$2,Inputs!$K$4:$AJ$4,0))))=0,NA(),SUMPRODUCT((Inputs!$A$5:$A$110=$B45)*Inputs!$B$5:$B$110*(((Inputs!$G$5:$G$110="moeda")+(Inputs!$G$5:$G$110="acoes"))*Inputs!$B$1+((Inputs!$G$5:$G$110&lt;&gt;"moeda")*(Inputs!$G$5:$G$110&lt;&gt;"acoes")))*INDEX(Inputs!$K$5:$AJ$110,0,MATCH(AD$2,Inputs!$K$4:$AJ$4,0)))+SUMPRODUCT((Inputs!$C$5:$C$110=$B45)*Inputs!$D$5:$D$110*(((Inputs!$G$5:$G$110="moeda")+(Inputs!$G$5:$G$110="acoes"))*Inputs!$B$1+((Inputs!$G$5:$G$110&lt;&gt;"moeda")*(Inputs!$G$5:$G$110&lt;&gt;"acoes")))*INDEX(Inputs!$K$5:$AJ$110,0,MATCH(AD$2,Inputs!$K$4:$AJ$4,0)))+SUMPRODUCT((Inputs!$E$5:$E$110=$B45)*Inputs!$F$5:$F$110*(((Inputs!$G$5:$G$110="moeda")+(Inputs!$G$5:$G$110="acoes"))*Inputs!$B$1+((Inputs!$G$5:$G$110&lt;&gt;"moeda")*(Inputs!$G$5:$G$110&lt;&gt;"acoes")))*INDEX(Inputs!$K$5:$AJ$110,0,MATCH(AD$2,Inputs!$K$4:$AJ$4,0)))))</f>
        <v>-13203</v>
      </c>
      <c r="AE45" s="267" t="e">
        <f>IF(ISNA(MATCH(AE$2,Inputs!$K$4:$AJ$4,0)),NA(),IF(SUMPRODUCT((Inputs!$A$5:$A$110=$B45)*ISNUMBER(INDEX(Inputs!$K$5:$AJ$110,0,MATCH(AE$2,Inputs!$K$4:$AJ$4,0))))+SUMPRODUCT((Inputs!$C$5:$C$110=$B45)*ISNUMBER(INDEX(Inputs!$K$5:$AJ$110,0,MATCH(AE$2,Inputs!$K$4:$AJ$4,0))))+SUMPRODUCT((Inputs!$E$5:$E$110=$B45)*ISNUMBER(INDEX(Inputs!$K$5:$AJ$110,0,MATCH(AE$2,Inputs!$K$4:$AJ$4,0))))=0,NA(),SUMPRODUCT((Inputs!$A$5:$A$110=$B45)*Inputs!$B$5:$B$110*(((Inputs!$G$5:$G$110="moeda")+(Inputs!$G$5:$G$110="acoes"))*Inputs!$B$1+((Inputs!$G$5:$G$110&lt;&gt;"moeda")*(Inputs!$G$5:$G$110&lt;&gt;"acoes")))*INDEX(Inputs!$K$5:$AJ$110,0,MATCH(AE$2,Inputs!$K$4:$AJ$4,0)))+SUMPRODUCT((Inputs!$C$5:$C$110=$B45)*Inputs!$D$5:$D$110*(((Inputs!$G$5:$G$110="moeda")+(Inputs!$G$5:$G$110="acoes"))*Inputs!$B$1+((Inputs!$G$5:$G$110&lt;&gt;"moeda")*(Inputs!$G$5:$G$110&lt;&gt;"acoes")))*INDEX(Inputs!$K$5:$AJ$110,0,MATCH(AE$2,Inputs!$K$4:$AJ$4,0)))+SUMPRODUCT((Inputs!$E$5:$E$110=$B45)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5" s="267" t="e">
        <f>IF(ISNA(MATCH(AF$2,Inputs!$K$4:$AJ$4,0)),NA(),IF(SUMPRODUCT((Inputs!$A$5:$A$110=$B45)*ISNUMBER(INDEX(Inputs!$K$5:$AJ$110,0,MATCH(AF$2,Inputs!$K$4:$AJ$4,0))))+SUMPRODUCT((Inputs!$C$5:$C$110=$B45)*ISNUMBER(INDEX(Inputs!$K$5:$AJ$110,0,MATCH(AF$2,Inputs!$K$4:$AJ$4,0))))+SUMPRODUCT((Inputs!$E$5:$E$110=$B45)*ISNUMBER(INDEX(Inputs!$K$5:$AJ$110,0,MATCH(AF$2,Inputs!$K$4:$AJ$4,0))))=0,NA(),SUMPRODUCT((Inputs!$A$5:$A$110=$B45)*Inputs!$B$5:$B$110*(((Inputs!$G$5:$G$110="moeda")+(Inputs!$G$5:$G$110="acoes"))*Inputs!$B$1+((Inputs!$G$5:$G$110&lt;&gt;"moeda")*(Inputs!$G$5:$G$110&lt;&gt;"acoes")))*INDEX(Inputs!$K$5:$AJ$110,0,MATCH(AF$2,Inputs!$K$4:$AJ$4,0)))+SUMPRODUCT((Inputs!$C$5:$C$110=$B45)*Inputs!$D$5:$D$110*(((Inputs!$G$5:$G$110="moeda")+(Inputs!$G$5:$G$110="acoes"))*Inputs!$B$1+((Inputs!$G$5:$G$110&lt;&gt;"moeda")*(Inputs!$G$5:$G$110&lt;&gt;"acoes")))*INDEX(Inputs!$K$5:$AJ$110,0,MATCH(AF$2,Inputs!$K$4:$AJ$4,0)))+SUMPRODUCT((Inputs!$E$5:$E$110=$B45)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5" s="268" t="e">
        <f>AF45</f>
        <v>#N/A</v>
      </c>
      <c r="AH45" s="267">
        <f>IF(ISNA(MATCH(AH$2,Inputs!$K$4:$AJ$4,0)),NA(),IF(SUMPRODUCT((Inputs!$A$5:$A$110=$B45)*ISNUMBER(INDEX(Inputs!$K$5:$AJ$110,0,MATCH(AH$2,Inputs!$K$4:$AJ$4,0))))+SUMPRODUCT((Inputs!$C$5:$C$110=$B45)*ISNUMBER(INDEX(Inputs!$K$5:$AJ$110,0,MATCH(AH$2,Inputs!$K$4:$AJ$4,0))))+SUMPRODUCT((Inputs!$E$5:$E$110=$B45)*ISNUMBER(INDEX(Inputs!$K$5:$AJ$110,0,MATCH(AH$2,Inputs!$K$4:$AJ$4,0))))=0,NA(),SUMPRODUCT((Inputs!$A$5:$A$110=$B45)*Inputs!$B$5:$B$110*(((Inputs!$G$5:$G$110="moeda")+(Inputs!$G$5:$G$110="acoes"))*Inputs!$B$1+((Inputs!$G$5:$G$110&lt;&gt;"moeda")*(Inputs!$G$5:$G$110&lt;&gt;"acoes")))*INDEX(Inputs!$K$5:$AJ$110,0,MATCH(AH$2,Inputs!$K$4:$AJ$4,0)))+SUMPRODUCT((Inputs!$C$5:$C$110=$B45)*Inputs!$D$5:$D$110*(((Inputs!$G$5:$G$110="moeda")+(Inputs!$G$5:$G$110="acoes"))*Inputs!$B$1+((Inputs!$G$5:$G$110&lt;&gt;"moeda")*(Inputs!$G$5:$G$110&lt;&gt;"acoes")))*INDEX(Inputs!$K$5:$AJ$110,0,MATCH(AH$2,Inputs!$K$4:$AJ$4,0)))+SUMPRODUCT((Inputs!$E$5:$E$110=$B45)*Inputs!$F$5:$F$110*(((Inputs!$G$5:$G$110="moeda")+(Inputs!$G$5:$G$110="acoes"))*Inputs!$B$1+((Inputs!$G$5:$G$110&lt;&gt;"moeda")*(Inputs!$G$5:$G$110&lt;&gt;"acoes")))*INDEX(Inputs!$K$5:$AJ$110,0,MATCH(AH$2,Inputs!$K$4:$AJ$4,0)))))</f>
        <v>-16168</v>
      </c>
      <c r="AI45" s="267">
        <f>IF(ISNA(MATCH(AI$2,Inputs!$K$4:$AJ$4,0)),NA(),IF(SUMPRODUCT((Inputs!$A$5:$A$110=$B45)*ISNUMBER(INDEX(Inputs!$K$5:$AJ$110,0,MATCH(AI$2,Inputs!$K$4:$AJ$4,0))))+SUMPRODUCT((Inputs!$C$5:$C$110=$B45)*ISNUMBER(INDEX(Inputs!$K$5:$AJ$110,0,MATCH(AI$2,Inputs!$K$4:$AJ$4,0))))+SUMPRODUCT((Inputs!$E$5:$E$110=$B45)*ISNUMBER(INDEX(Inputs!$K$5:$AJ$110,0,MATCH(AI$2,Inputs!$K$4:$AJ$4,0))))=0,NA(),SUMPRODUCT((Inputs!$A$5:$A$110=$B45)*Inputs!$B$5:$B$110*(((Inputs!$G$5:$G$110="moeda")+(Inputs!$G$5:$G$110="acoes"))*Inputs!$B$1+((Inputs!$G$5:$G$110&lt;&gt;"moeda")*(Inputs!$G$5:$G$110&lt;&gt;"acoes")))*INDEX(Inputs!$K$5:$AJ$110,0,MATCH(AI$2,Inputs!$K$4:$AJ$4,0)))+SUMPRODUCT((Inputs!$C$5:$C$110=$B45)*Inputs!$D$5:$D$110*(((Inputs!$G$5:$G$110="moeda")+(Inputs!$G$5:$G$110="acoes"))*Inputs!$B$1+((Inputs!$G$5:$G$110&lt;&gt;"moeda")*(Inputs!$G$5:$G$110&lt;&gt;"acoes")))*INDEX(Inputs!$K$5:$AJ$110,0,MATCH(AI$2,Inputs!$K$4:$AJ$4,0)))+SUMPRODUCT((Inputs!$E$5:$E$110=$B45)*Inputs!$F$5:$F$110*(((Inputs!$G$5:$G$110="moeda")+(Inputs!$G$5:$G$110="acoes"))*Inputs!$B$1+((Inputs!$G$5:$G$110&lt;&gt;"moeda")*(Inputs!$G$5:$G$110&lt;&gt;"acoes")))*INDEX(Inputs!$K$5:$AJ$110,0,MATCH(AI$2,Inputs!$K$4:$AJ$4,0)))))</f>
        <v>-15784</v>
      </c>
      <c r="AJ45" s="267">
        <f>IF(ISNA(MATCH(AJ$2,Inputs!$K$4:$AJ$4,0)),NA(),IF(SUMPRODUCT((Inputs!$A$5:$A$110=$B45)*ISNUMBER(INDEX(Inputs!$K$5:$AJ$110,0,MATCH(AJ$2,Inputs!$K$4:$AJ$4,0))))+SUMPRODUCT((Inputs!$C$5:$C$110=$B45)*ISNUMBER(INDEX(Inputs!$K$5:$AJ$110,0,MATCH(AJ$2,Inputs!$K$4:$AJ$4,0))))+SUMPRODUCT((Inputs!$E$5:$E$110=$B45)*ISNUMBER(INDEX(Inputs!$K$5:$AJ$110,0,MATCH(AJ$2,Inputs!$K$4:$AJ$4,0))))=0,NA(),SUMPRODUCT((Inputs!$A$5:$A$110=$B45)*Inputs!$B$5:$B$110*(((Inputs!$G$5:$G$110="moeda")+(Inputs!$G$5:$G$110="acoes"))*Inputs!$B$1+((Inputs!$G$5:$G$110&lt;&gt;"moeda")*(Inputs!$G$5:$G$110&lt;&gt;"acoes")))*INDEX(Inputs!$K$5:$AJ$110,0,MATCH(AJ$2,Inputs!$K$4:$AJ$4,0)))+SUMPRODUCT((Inputs!$C$5:$C$110=$B45)*Inputs!$D$5:$D$110*(((Inputs!$G$5:$G$110="moeda")+(Inputs!$G$5:$G$110="acoes"))*Inputs!$B$1+((Inputs!$G$5:$G$110&lt;&gt;"moeda")*(Inputs!$G$5:$G$110&lt;&gt;"acoes")))*INDEX(Inputs!$K$5:$AJ$110,0,MATCH(AJ$2,Inputs!$K$4:$AJ$4,0)))+SUMPRODUCT((Inputs!$E$5:$E$110=$B45)*Inputs!$F$5:$F$110*(((Inputs!$G$5:$G$110="moeda")+(Inputs!$G$5:$G$110="acoes"))*Inputs!$B$1+((Inputs!$G$5:$G$110&lt;&gt;"moeda")*(Inputs!$G$5:$G$110&lt;&gt;"acoes")))*INDEX(Inputs!$K$5:$AJ$110,0,MATCH(AJ$2,Inputs!$K$4:$AJ$4,0)))))</f>
        <v>-14616</v>
      </c>
      <c r="AK45" s="267">
        <f>IF(ISNA(MATCH(AK$2,Inputs!$K$4:$AJ$4,0)),NA(),IF(SUMPRODUCT((Inputs!$A$5:$A$110=$B45)*ISNUMBER(INDEX(Inputs!$K$5:$AJ$110,0,MATCH(AK$2,Inputs!$K$4:$AJ$4,0))))+SUMPRODUCT((Inputs!$C$5:$C$110=$B45)*ISNUMBER(INDEX(Inputs!$K$5:$AJ$110,0,MATCH(AK$2,Inputs!$K$4:$AJ$4,0))))+SUMPRODUCT((Inputs!$E$5:$E$110=$B45)*ISNUMBER(INDEX(Inputs!$K$5:$AJ$110,0,MATCH(AK$2,Inputs!$K$4:$AJ$4,0))))=0,NA(),SUMPRODUCT((Inputs!$A$5:$A$110=$B45)*Inputs!$B$5:$B$110*(((Inputs!$G$5:$G$110="moeda")+(Inputs!$G$5:$G$110="acoes"))*Inputs!$B$1+((Inputs!$G$5:$G$110&lt;&gt;"moeda")*(Inputs!$G$5:$G$110&lt;&gt;"acoes")))*INDEX(Inputs!$K$5:$AJ$110,0,MATCH(AK$2,Inputs!$K$4:$AJ$4,0)))+SUMPRODUCT((Inputs!$C$5:$C$110=$B45)*Inputs!$D$5:$D$110*(((Inputs!$G$5:$G$110="moeda")+(Inputs!$G$5:$G$110="acoes"))*Inputs!$B$1+((Inputs!$G$5:$G$110&lt;&gt;"moeda")*(Inputs!$G$5:$G$110&lt;&gt;"acoes")))*INDEX(Inputs!$K$5:$AJ$110,0,MATCH(AK$2,Inputs!$K$4:$AJ$4,0)))+SUMPRODUCT((Inputs!$E$5:$E$110=$B45)*Inputs!$F$5:$F$110*(((Inputs!$G$5:$G$110="moeda")+(Inputs!$G$5:$G$110="acoes"))*Inputs!$B$1+((Inputs!$G$5:$G$110&lt;&gt;"moeda")*(Inputs!$G$5:$G$110&lt;&gt;"acoes")))*INDEX(Inputs!$K$5:$AJ$110,0,MATCH(AK$2,Inputs!$K$4:$AJ$4,0)))))</f>
        <v>-11766</v>
      </c>
      <c r="AL45" s="268">
        <f>AK45</f>
        <v>-11766</v>
      </c>
    </row>
    <row r="46" ht="12.75" customHeight="1" s="255">
      <c r="B46" s="265" t="n">
        <v>40</v>
      </c>
      <c r="C46" s="270" t="inlineStr">
        <is>
          <t>Other equity account</t>
        </is>
      </c>
      <c r="D46" s="267">
        <f>IF(ISNA(MATCH(D$2,Inputs!$K$4:$AJ$4,0)),NA(),IF(SUMPRODUCT((Inputs!$A$5:$A$110=$B46)*ISNUMBER(INDEX(Inputs!$K$5:$AJ$110,0,MATCH(D$2,Inputs!$K$4:$AJ$4,0))))+SUMPRODUCT((Inputs!$C$5:$C$110=$B46)*ISNUMBER(INDEX(Inputs!$K$5:$AJ$110,0,MATCH(D$2,Inputs!$K$4:$AJ$4,0))))+SUMPRODUCT((Inputs!$E$5:$E$110=$B46)*ISNUMBER(INDEX(Inputs!$K$5:$AJ$110,0,MATCH(D$2,Inputs!$K$4:$AJ$4,0))))=0,NA(),SUMPRODUCT((Inputs!$A$5:$A$110=$B46)*Inputs!$B$5:$B$110*(((Inputs!$G$5:$G$110="moeda")+(Inputs!$G$5:$G$110="acoes"))*Inputs!$B$1+((Inputs!$G$5:$G$110&lt;&gt;"moeda")*(Inputs!$G$5:$G$110&lt;&gt;"acoes")))*INDEX(Inputs!$K$5:$AJ$110,0,MATCH(D$2,Inputs!$K$4:$AJ$4,0)))+SUMPRODUCT((Inputs!$C$5:$C$110=$B46)*Inputs!$D$5:$D$110*(((Inputs!$G$5:$G$110="moeda")+(Inputs!$G$5:$G$110="acoes"))*Inputs!$B$1+((Inputs!$G$5:$G$110&lt;&gt;"moeda")*(Inputs!$G$5:$G$110&lt;&gt;"acoes")))*INDEX(Inputs!$K$5:$AJ$110,0,MATCH(D$2,Inputs!$K$4:$AJ$4,0)))+SUMPRODUCT((Inputs!$E$5:$E$110=$B46)*Inputs!$F$5:$F$110*(((Inputs!$G$5:$G$110="moeda")+(Inputs!$G$5:$G$110="acoes"))*Inputs!$B$1+((Inputs!$G$5:$G$110&lt;&gt;"moeda")*(Inputs!$G$5:$G$110&lt;&gt;"acoes")))*INDEX(Inputs!$K$5:$AJ$110,0,MATCH(D$2,Inputs!$K$4:$AJ$4,0)))))</f>
        <v>0</v>
      </c>
      <c r="E46" s="267">
        <f>IF(ISNA(MATCH(E$2,Inputs!$K$4:$AJ$4,0)),NA(),IF(SUMPRODUCT((Inputs!$A$5:$A$110=$B46)*ISNUMBER(INDEX(Inputs!$K$5:$AJ$110,0,MATCH(E$2,Inputs!$K$4:$AJ$4,0))))+SUMPRODUCT((Inputs!$C$5:$C$110=$B46)*ISNUMBER(INDEX(Inputs!$K$5:$AJ$110,0,MATCH(E$2,Inputs!$K$4:$AJ$4,0))))+SUMPRODUCT((Inputs!$E$5:$E$110=$B46)*ISNUMBER(INDEX(Inputs!$K$5:$AJ$110,0,MATCH(E$2,Inputs!$K$4:$AJ$4,0))))=0,NA(),SUMPRODUCT((Inputs!$A$5:$A$110=$B46)*Inputs!$B$5:$B$110*(((Inputs!$G$5:$G$110="moeda")+(Inputs!$G$5:$G$110="acoes"))*Inputs!$B$1+((Inputs!$G$5:$G$110&lt;&gt;"moeda")*(Inputs!$G$5:$G$110&lt;&gt;"acoes")))*INDEX(Inputs!$K$5:$AJ$110,0,MATCH(E$2,Inputs!$K$4:$AJ$4,0)))+SUMPRODUCT((Inputs!$C$5:$C$110=$B46)*Inputs!$D$5:$D$110*(((Inputs!$G$5:$G$110="moeda")+(Inputs!$G$5:$G$110="acoes"))*Inputs!$B$1+((Inputs!$G$5:$G$110&lt;&gt;"moeda")*(Inputs!$G$5:$G$110&lt;&gt;"acoes")))*INDEX(Inputs!$K$5:$AJ$110,0,MATCH(E$2,Inputs!$K$4:$AJ$4,0)))+SUMPRODUCT((Inputs!$E$5:$E$110=$B46)*Inputs!$F$5:$F$110*(((Inputs!$G$5:$G$110="moeda")+(Inputs!$G$5:$G$110="acoes"))*Inputs!$B$1+((Inputs!$G$5:$G$110&lt;&gt;"moeda")*(Inputs!$G$5:$G$110&lt;&gt;"acoes")))*INDEX(Inputs!$K$5:$AJ$110,0,MATCH(E$2,Inputs!$K$4:$AJ$4,0)))))</f>
        <v>0</v>
      </c>
      <c r="F46" s="267">
        <f>IF(ISNA(MATCH(F$2,Inputs!$K$4:$AJ$4,0)),NA(),IF(SUMPRODUCT((Inputs!$A$5:$A$110=$B46)*ISNUMBER(INDEX(Inputs!$K$5:$AJ$110,0,MATCH(F$2,Inputs!$K$4:$AJ$4,0))))+SUMPRODUCT((Inputs!$C$5:$C$110=$B46)*ISNUMBER(INDEX(Inputs!$K$5:$AJ$110,0,MATCH(F$2,Inputs!$K$4:$AJ$4,0))))+SUMPRODUCT((Inputs!$E$5:$E$110=$B46)*ISNUMBER(INDEX(Inputs!$K$5:$AJ$110,0,MATCH(F$2,Inputs!$K$4:$AJ$4,0))))=0,NA(),SUMPRODUCT((Inputs!$A$5:$A$110=$B46)*Inputs!$B$5:$B$110*(((Inputs!$G$5:$G$110="moeda")+(Inputs!$G$5:$G$110="acoes"))*Inputs!$B$1+((Inputs!$G$5:$G$110&lt;&gt;"moeda")*(Inputs!$G$5:$G$110&lt;&gt;"acoes")))*INDEX(Inputs!$K$5:$AJ$110,0,MATCH(F$2,Inputs!$K$4:$AJ$4,0)))+SUMPRODUCT((Inputs!$C$5:$C$110=$B46)*Inputs!$D$5:$D$110*(((Inputs!$G$5:$G$110="moeda")+(Inputs!$G$5:$G$110="acoes"))*Inputs!$B$1+((Inputs!$G$5:$G$110&lt;&gt;"moeda")*(Inputs!$G$5:$G$110&lt;&gt;"acoes")))*INDEX(Inputs!$K$5:$AJ$110,0,MATCH(F$2,Inputs!$K$4:$AJ$4,0)))+SUMPRODUCT((Inputs!$E$5:$E$110=$B46)*Inputs!$F$5:$F$110*(((Inputs!$G$5:$G$110="moeda")+(Inputs!$G$5:$G$110="acoes"))*Inputs!$B$1+((Inputs!$G$5:$G$110&lt;&gt;"moeda")*(Inputs!$G$5:$G$110&lt;&gt;"acoes")))*INDEX(Inputs!$K$5:$AJ$110,0,MATCH(F$2,Inputs!$K$4:$AJ$4,0)))))</f>
        <v>0</v>
      </c>
      <c r="G46" s="267">
        <f>IF(ISNA(MATCH(G$2,Inputs!$K$4:$AJ$4,0)),NA(),IF(SUMPRODUCT((Inputs!$A$5:$A$110=$B46)*ISNUMBER(INDEX(Inputs!$K$5:$AJ$110,0,MATCH(G$2,Inputs!$K$4:$AJ$4,0))))+SUMPRODUCT((Inputs!$C$5:$C$110=$B46)*ISNUMBER(INDEX(Inputs!$K$5:$AJ$110,0,MATCH(G$2,Inputs!$K$4:$AJ$4,0))))+SUMPRODUCT((Inputs!$E$5:$E$110=$B46)*ISNUMBER(INDEX(Inputs!$K$5:$AJ$110,0,MATCH(G$2,Inputs!$K$4:$AJ$4,0))))=0,NA(),SUMPRODUCT((Inputs!$A$5:$A$110=$B46)*Inputs!$B$5:$B$110*(((Inputs!$G$5:$G$110="moeda")+(Inputs!$G$5:$G$110="acoes"))*Inputs!$B$1+((Inputs!$G$5:$G$110&lt;&gt;"moeda")*(Inputs!$G$5:$G$110&lt;&gt;"acoes")))*INDEX(Inputs!$K$5:$AJ$110,0,MATCH(G$2,Inputs!$K$4:$AJ$4,0)))+SUMPRODUCT((Inputs!$C$5:$C$110=$B46)*Inputs!$D$5:$D$110*(((Inputs!$G$5:$G$110="moeda")+(Inputs!$G$5:$G$110="acoes"))*Inputs!$B$1+((Inputs!$G$5:$G$110&lt;&gt;"moeda")*(Inputs!$G$5:$G$110&lt;&gt;"acoes")))*INDEX(Inputs!$K$5:$AJ$110,0,MATCH(G$2,Inputs!$K$4:$AJ$4,0)))+SUMPRODUCT((Inputs!$E$5:$E$110=$B46)*Inputs!$F$5:$F$110*(((Inputs!$G$5:$G$110="moeda")+(Inputs!$G$5:$G$110="acoes"))*Inputs!$B$1+((Inputs!$G$5:$G$110&lt;&gt;"moeda")*(Inputs!$G$5:$G$110&lt;&gt;"acoes")))*INDEX(Inputs!$K$5:$AJ$110,0,MATCH(G$2,Inputs!$K$4:$AJ$4,0)))))</f>
        <v>0</v>
      </c>
      <c r="H46" s="268">
        <f>G46</f>
        <v>0</v>
      </c>
      <c r="I46" s="267">
        <f>IF(ISNA(MATCH(I$2,Inputs!$K$4:$AJ$4,0)),NA(),IF(SUMPRODUCT((Inputs!$A$5:$A$110=$B46)*ISNUMBER(INDEX(Inputs!$K$5:$AJ$110,0,MATCH(I$2,Inputs!$K$4:$AJ$4,0))))+SUMPRODUCT((Inputs!$C$5:$C$110=$B46)*ISNUMBER(INDEX(Inputs!$K$5:$AJ$110,0,MATCH(I$2,Inputs!$K$4:$AJ$4,0))))+SUMPRODUCT((Inputs!$E$5:$E$110=$B46)*ISNUMBER(INDEX(Inputs!$K$5:$AJ$110,0,MATCH(I$2,Inputs!$K$4:$AJ$4,0))))=0,NA(),SUMPRODUCT((Inputs!$A$5:$A$110=$B46)*Inputs!$B$5:$B$110*(((Inputs!$G$5:$G$110="moeda")+(Inputs!$G$5:$G$110="acoes"))*Inputs!$B$1+((Inputs!$G$5:$G$110&lt;&gt;"moeda")*(Inputs!$G$5:$G$110&lt;&gt;"acoes")))*INDEX(Inputs!$K$5:$AJ$110,0,MATCH(I$2,Inputs!$K$4:$AJ$4,0)))+SUMPRODUCT((Inputs!$C$5:$C$110=$B46)*Inputs!$D$5:$D$110*(((Inputs!$G$5:$G$110="moeda")+(Inputs!$G$5:$G$110="acoes"))*Inputs!$B$1+((Inputs!$G$5:$G$110&lt;&gt;"moeda")*(Inputs!$G$5:$G$110&lt;&gt;"acoes")))*INDEX(Inputs!$K$5:$AJ$110,0,MATCH(I$2,Inputs!$K$4:$AJ$4,0)))+SUMPRODUCT((Inputs!$E$5:$E$110=$B46)*Inputs!$F$5:$F$110*(((Inputs!$G$5:$G$110="moeda")+(Inputs!$G$5:$G$110="acoes"))*Inputs!$B$1+((Inputs!$G$5:$G$110&lt;&gt;"moeda")*(Inputs!$G$5:$G$110&lt;&gt;"acoes")))*INDEX(Inputs!$K$5:$AJ$110,0,MATCH(I$2,Inputs!$K$4:$AJ$4,0)))))</f>
        <v>0</v>
      </c>
      <c r="J46" s="267">
        <f>IF(ISNA(MATCH(J$2,Inputs!$K$4:$AJ$4,0)),NA(),IF(SUMPRODUCT((Inputs!$A$5:$A$110=$B46)*ISNUMBER(INDEX(Inputs!$K$5:$AJ$110,0,MATCH(J$2,Inputs!$K$4:$AJ$4,0))))+SUMPRODUCT((Inputs!$C$5:$C$110=$B46)*ISNUMBER(INDEX(Inputs!$K$5:$AJ$110,0,MATCH(J$2,Inputs!$K$4:$AJ$4,0))))+SUMPRODUCT((Inputs!$E$5:$E$110=$B46)*ISNUMBER(INDEX(Inputs!$K$5:$AJ$110,0,MATCH(J$2,Inputs!$K$4:$AJ$4,0))))=0,NA(),SUMPRODUCT((Inputs!$A$5:$A$110=$B46)*Inputs!$B$5:$B$110*(((Inputs!$G$5:$G$110="moeda")+(Inputs!$G$5:$G$110="acoes"))*Inputs!$B$1+((Inputs!$G$5:$G$110&lt;&gt;"moeda")*(Inputs!$G$5:$G$110&lt;&gt;"acoes")))*INDEX(Inputs!$K$5:$AJ$110,0,MATCH(J$2,Inputs!$K$4:$AJ$4,0)))+SUMPRODUCT((Inputs!$C$5:$C$110=$B46)*Inputs!$D$5:$D$110*(((Inputs!$G$5:$G$110="moeda")+(Inputs!$G$5:$G$110="acoes"))*Inputs!$B$1+((Inputs!$G$5:$G$110&lt;&gt;"moeda")*(Inputs!$G$5:$G$110&lt;&gt;"acoes")))*INDEX(Inputs!$K$5:$AJ$110,0,MATCH(J$2,Inputs!$K$4:$AJ$4,0)))+SUMPRODUCT((Inputs!$E$5:$E$110=$B46)*Inputs!$F$5:$F$110*(((Inputs!$G$5:$G$110="moeda")+(Inputs!$G$5:$G$110="acoes"))*Inputs!$B$1+((Inputs!$G$5:$G$110&lt;&gt;"moeda")*(Inputs!$G$5:$G$110&lt;&gt;"acoes")))*INDEX(Inputs!$K$5:$AJ$110,0,MATCH(J$2,Inputs!$K$4:$AJ$4,0)))))</f>
        <v>0</v>
      </c>
      <c r="K46" s="267">
        <f>IF(ISNA(MATCH(K$2,Inputs!$K$4:$AJ$4,0)),NA(),IF(SUMPRODUCT((Inputs!$A$5:$A$110=$B46)*ISNUMBER(INDEX(Inputs!$K$5:$AJ$110,0,MATCH(K$2,Inputs!$K$4:$AJ$4,0))))+SUMPRODUCT((Inputs!$C$5:$C$110=$B46)*ISNUMBER(INDEX(Inputs!$K$5:$AJ$110,0,MATCH(K$2,Inputs!$K$4:$AJ$4,0))))+SUMPRODUCT((Inputs!$E$5:$E$110=$B46)*ISNUMBER(INDEX(Inputs!$K$5:$AJ$110,0,MATCH(K$2,Inputs!$K$4:$AJ$4,0))))=0,NA(),SUMPRODUCT((Inputs!$A$5:$A$110=$B46)*Inputs!$B$5:$B$110*(((Inputs!$G$5:$G$110="moeda")+(Inputs!$G$5:$G$110="acoes"))*Inputs!$B$1+((Inputs!$G$5:$G$110&lt;&gt;"moeda")*(Inputs!$G$5:$G$110&lt;&gt;"acoes")))*INDEX(Inputs!$K$5:$AJ$110,0,MATCH(K$2,Inputs!$K$4:$AJ$4,0)))+SUMPRODUCT((Inputs!$C$5:$C$110=$B46)*Inputs!$D$5:$D$110*(((Inputs!$G$5:$G$110="moeda")+(Inputs!$G$5:$G$110="acoes"))*Inputs!$B$1+((Inputs!$G$5:$G$110&lt;&gt;"moeda")*(Inputs!$G$5:$G$110&lt;&gt;"acoes")))*INDEX(Inputs!$K$5:$AJ$110,0,MATCH(K$2,Inputs!$K$4:$AJ$4,0)))+SUMPRODUCT((Inputs!$E$5:$E$110=$B46)*Inputs!$F$5:$F$110*(((Inputs!$G$5:$G$110="moeda")+(Inputs!$G$5:$G$110="acoes"))*Inputs!$B$1+((Inputs!$G$5:$G$110&lt;&gt;"moeda")*(Inputs!$G$5:$G$110&lt;&gt;"acoes")))*INDEX(Inputs!$K$5:$AJ$110,0,MATCH(K$2,Inputs!$K$4:$AJ$4,0)))))</f>
        <v>0</v>
      </c>
      <c r="L46" s="267">
        <f>IF(ISNA(MATCH(L$2,Inputs!$K$4:$AJ$4,0)),NA(),IF(SUMPRODUCT((Inputs!$A$5:$A$110=$B46)*ISNUMBER(INDEX(Inputs!$K$5:$AJ$110,0,MATCH(L$2,Inputs!$K$4:$AJ$4,0))))+SUMPRODUCT((Inputs!$C$5:$C$110=$B46)*ISNUMBER(INDEX(Inputs!$K$5:$AJ$110,0,MATCH(L$2,Inputs!$K$4:$AJ$4,0))))+SUMPRODUCT((Inputs!$E$5:$E$110=$B46)*ISNUMBER(INDEX(Inputs!$K$5:$AJ$110,0,MATCH(L$2,Inputs!$K$4:$AJ$4,0))))=0,NA(),SUMPRODUCT((Inputs!$A$5:$A$110=$B46)*Inputs!$B$5:$B$110*(((Inputs!$G$5:$G$110="moeda")+(Inputs!$G$5:$G$110="acoes"))*Inputs!$B$1+((Inputs!$G$5:$G$110&lt;&gt;"moeda")*(Inputs!$G$5:$G$110&lt;&gt;"acoes")))*INDEX(Inputs!$K$5:$AJ$110,0,MATCH(L$2,Inputs!$K$4:$AJ$4,0)))+SUMPRODUCT((Inputs!$C$5:$C$110=$B46)*Inputs!$D$5:$D$110*(((Inputs!$G$5:$G$110="moeda")+(Inputs!$G$5:$G$110="acoes"))*Inputs!$B$1+((Inputs!$G$5:$G$110&lt;&gt;"moeda")*(Inputs!$G$5:$G$110&lt;&gt;"acoes")))*INDEX(Inputs!$K$5:$AJ$110,0,MATCH(L$2,Inputs!$K$4:$AJ$4,0)))+SUMPRODUCT((Inputs!$E$5:$E$110=$B46)*Inputs!$F$5:$F$110*(((Inputs!$G$5:$G$110="moeda")+(Inputs!$G$5:$G$110="acoes"))*Inputs!$B$1+((Inputs!$G$5:$G$110&lt;&gt;"moeda")*(Inputs!$G$5:$G$110&lt;&gt;"acoes")))*INDEX(Inputs!$K$5:$AJ$110,0,MATCH(L$2,Inputs!$K$4:$AJ$4,0)))))</f>
        <v>0</v>
      </c>
      <c r="M46" s="268">
        <f>L46</f>
        <v>0</v>
      </c>
      <c r="N46" s="267">
        <f>IF(ISNA(MATCH(N$2,Inputs!$K$4:$AJ$4,0)),NA(),IF(SUMPRODUCT((Inputs!$A$5:$A$110=$B46)*ISNUMBER(INDEX(Inputs!$K$5:$AJ$110,0,MATCH(N$2,Inputs!$K$4:$AJ$4,0))))+SUMPRODUCT((Inputs!$C$5:$C$110=$B46)*ISNUMBER(INDEX(Inputs!$K$5:$AJ$110,0,MATCH(N$2,Inputs!$K$4:$AJ$4,0))))+SUMPRODUCT((Inputs!$E$5:$E$110=$B46)*ISNUMBER(INDEX(Inputs!$K$5:$AJ$110,0,MATCH(N$2,Inputs!$K$4:$AJ$4,0))))=0,NA(),SUMPRODUCT((Inputs!$A$5:$A$110=$B46)*Inputs!$B$5:$B$110*(((Inputs!$G$5:$G$110="moeda")+(Inputs!$G$5:$G$110="acoes"))*Inputs!$B$1+((Inputs!$G$5:$G$110&lt;&gt;"moeda")*(Inputs!$G$5:$G$110&lt;&gt;"acoes")))*INDEX(Inputs!$K$5:$AJ$110,0,MATCH(N$2,Inputs!$K$4:$AJ$4,0)))+SUMPRODUCT((Inputs!$C$5:$C$110=$B46)*Inputs!$D$5:$D$110*(((Inputs!$G$5:$G$110="moeda")+(Inputs!$G$5:$G$110="acoes"))*Inputs!$B$1+((Inputs!$G$5:$G$110&lt;&gt;"moeda")*(Inputs!$G$5:$G$110&lt;&gt;"acoes")))*INDEX(Inputs!$K$5:$AJ$110,0,MATCH(N$2,Inputs!$K$4:$AJ$4,0)))+SUMPRODUCT((Inputs!$E$5:$E$110=$B46)*Inputs!$F$5:$F$110*(((Inputs!$G$5:$G$110="moeda")+(Inputs!$G$5:$G$110="acoes"))*Inputs!$B$1+((Inputs!$G$5:$G$110&lt;&gt;"moeda")*(Inputs!$G$5:$G$110&lt;&gt;"acoes")))*INDEX(Inputs!$K$5:$AJ$110,0,MATCH(N$2,Inputs!$K$4:$AJ$4,0)))))</f>
        <v>0</v>
      </c>
      <c r="O46" s="267">
        <f>IF(ISNA(MATCH(O$2,Inputs!$K$4:$AJ$4,0)),NA(),IF(SUMPRODUCT((Inputs!$A$5:$A$110=$B46)*ISNUMBER(INDEX(Inputs!$K$5:$AJ$110,0,MATCH(O$2,Inputs!$K$4:$AJ$4,0))))+SUMPRODUCT((Inputs!$C$5:$C$110=$B46)*ISNUMBER(INDEX(Inputs!$K$5:$AJ$110,0,MATCH(O$2,Inputs!$K$4:$AJ$4,0))))+SUMPRODUCT((Inputs!$E$5:$E$110=$B46)*ISNUMBER(INDEX(Inputs!$K$5:$AJ$110,0,MATCH(O$2,Inputs!$K$4:$AJ$4,0))))=0,NA(),SUMPRODUCT((Inputs!$A$5:$A$110=$B46)*Inputs!$B$5:$B$110*(((Inputs!$G$5:$G$110="moeda")+(Inputs!$G$5:$G$110="acoes"))*Inputs!$B$1+((Inputs!$G$5:$G$110&lt;&gt;"moeda")*(Inputs!$G$5:$G$110&lt;&gt;"acoes")))*INDEX(Inputs!$K$5:$AJ$110,0,MATCH(O$2,Inputs!$K$4:$AJ$4,0)))+SUMPRODUCT((Inputs!$C$5:$C$110=$B46)*Inputs!$D$5:$D$110*(((Inputs!$G$5:$G$110="moeda")+(Inputs!$G$5:$G$110="acoes"))*Inputs!$B$1+((Inputs!$G$5:$G$110&lt;&gt;"moeda")*(Inputs!$G$5:$G$110&lt;&gt;"acoes")))*INDEX(Inputs!$K$5:$AJ$110,0,MATCH(O$2,Inputs!$K$4:$AJ$4,0)))+SUMPRODUCT((Inputs!$E$5:$E$110=$B46)*Inputs!$F$5:$F$110*(((Inputs!$G$5:$G$110="moeda")+(Inputs!$G$5:$G$110="acoes"))*Inputs!$B$1+((Inputs!$G$5:$G$110&lt;&gt;"moeda")*(Inputs!$G$5:$G$110&lt;&gt;"acoes")))*INDEX(Inputs!$K$5:$AJ$110,0,MATCH(O$2,Inputs!$K$4:$AJ$4,0)))))</f>
        <v>0</v>
      </c>
      <c r="P46" s="267">
        <f>IF(ISNA(MATCH(P$2,Inputs!$K$4:$AJ$4,0)),NA(),IF(SUMPRODUCT((Inputs!$A$5:$A$110=$B46)*ISNUMBER(INDEX(Inputs!$K$5:$AJ$110,0,MATCH(P$2,Inputs!$K$4:$AJ$4,0))))+SUMPRODUCT((Inputs!$C$5:$C$110=$B46)*ISNUMBER(INDEX(Inputs!$K$5:$AJ$110,0,MATCH(P$2,Inputs!$K$4:$AJ$4,0))))+SUMPRODUCT((Inputs!$E$5:$E$110=$B46)*ISNUMBER(INDEX(Inputs!$K$5:$AJ$110,0,MATCH(P$2,Inputs!$K$4:$AJ$4,0))))=0,NA(),SUMPRODUCT((Inputs!$A$5:$A$110=$B46)*Inputs!$B$5:$B$110*(((Inputs!$G$5:$G$110="moeda")+(Inputs!$G$5:$G$110="acoes"))*Inputs!$B$1+((Inputs!$G$5:$G$110&lt;&gt;"moeda")*(Inputs!$G$5:$G$110&lt;&gt;"acoes")))*INDEX(Inputs!$K$5:$AJ$110,0,MATCH(P$2,Inputs!$K$4:$AJ$4,0)))+SUMPRODUCT((Inputs!$C$5:$C$110=$B46)*Inputs!$D$5:$D$110*(((Inputs!$G$5:$G$110="moeda")+(Inputs!$G$5:$G$110="acoes"))*Inputs!$B$1+((Inputs!$G$5:$G$110&lt;&gt;"moeda")*(Inputs!$G$5:$G$110&lt;&gt;"acoes")))*INDEX(Inputs!$K$5:$AJ$110,0,MATCH(P$2,Inputs!$K$4:$AJ$4,0)))+SUMPRODUCT((Inputs!$E$5:$E$110=$B46)*Inputs!$F$5:$F$110*(((Inputs!$G$5:$G$110="moeda")+(Inputs!$G$5:$G$110="acoes"))*Inputs!$B$1+((Inputs!$G$5:$G$110&lt;&gt;"moeda")*(Inputs!$G$5:$G$110&lt;&gt;"acoes")))*INDEX(Inputs!$K$5:$AJ$110,0,MATCH(P$2,Inputs!$K$4:$AJ$4,0)))))</f>
        <v>0</v>
      </c>
      <c r="Q46" s="267">
        <f>IF(ISNA(MATCH(Q$2,Inputs!$K$4:$AJ$4,0)),NA(),IF(SUMPRODUCT((Inputs!$A$5:$A$110=$B46)*ISNUMBER(INDEX(Inputs!$K$5:$AJ$110,0,MATCH(Q$2,Inputs!$K$4:$AJ$4,0))))+SUMPRODUCT((Inputs!$C$5:$C$110=$B46)*ISNUMBER(INDEX(Inputs!$K$5:$AJ$110,0,MATCH(Q$2,Inputs!$K$4:$AJ$4,0))))+SUMPRODUCT((Inputs!$E$5:$E$110=$B46)*ISNUMBER(INDEX(Inputs!$K$5:$AJ$110,0,MATCH(Q$2,Inputs!$K$4:$AJ$4,0))))=0,NA(),SUMPRODUCT((Inputs!$A$5:$A$110=$B46)*Inputs!$B$5:$B$110*(((Inputs!$G$5:$G$110="moeda")+(Inputs!$G$5:$G$110="acoes"))*Inputs!$B$1+((Inputs!$G$5:$G$110&lt;&gt;"moeda")*(Inputs!$G$5:$G$110&lt;&gt;"acoes")))*INDEX(Inputs!$K$5:$AJ$110,0,MATCH(Q$2,Inputs!$K$4:$AJ$4,0)))+SUMPRODUCT((Inputs!$C$5:$C$110=$B46)*Inputs!$D$5:$D$110*(((Inputs!$G$5:$G$110="moeda")+(Inputs!$G$5:$G$110="acoes"))*Inputs!$B$1+((Inputs!$G$5:$G$110&lt;&gt;"moeda")*(Inputs!$G$5:$G$110&lt;&gt;"acoes")))*INDEX(Inputs!$K$5:$AJ$110,0,MATCH(Q$2,Inputs!$K$4:$AJ$4,0)))+SUMPRODUCT((Inputs!$E$5:$E$110=$B46)*Inputs!$F$5:$F$110*(((Inputs!$G$5:$G$110="moeda")+(Inputs!$G$5:$G$110="acoes"))*Inputs!$B$1+((Inputs!$G$5:$G$110&lt;&gt;"moeda")*(Inputs!$G$5:$G$110&lt;&gt;"acoes")))*INDEX(Inputs!$K$5:$AJ$110,0,MATCH(Q$2,Inputs!$K$4:$AJ$4,0)))))</f>
        <v>0</v>
      </c>
      <c r="R46" s="268">
        <f>Q46</f>
        <v>0</v>
      </c>
      <c r="S46" s="267">
        <f>IF(ISNA(MATCH(S$2,Inputs!$K$4:$AJ$4,0)),NA(),IF(SUMPRODUCT((Inputs!$A$5:$A$110=$B46)*ISNUMBER(INDEX(Inputs!$K$5:$AJ$110,0,MATCH(S$2,Inputs!$K$4:$AJ$4,0))))+SUMPRODUCT((Inputs!$C$5:$C$110=$B46)*ISNUMBER(INDEX(Inputs!$K$5:$AJ$110,0,MATCH(S$2,Inputs!$K$4:$AJ$4,0))))+SUMPRODUCT((Inputs!$E$5:$E$110=$B46)*ISNUMBER(INDEX(Inputs!$K$5:$AJ$110,0,MATCH(S$2,Inputs!$K$4:$AJ$4,0))))=0,NA(),SUMPRODUCT((Inputs!$A$5:$A$110=$B46)*Inputs!$B$5:$B$110*(((Inputs!$G$5:$G$110="moeda")+(Inputs!$G$5:$G$110="acoes"))*Inputs!$B$1+((Inputs!$G$5:$G$110&lt;&gt;"moeda")*(Inputs!$G$5:$G$110&lt;&gt;"acoes")))*INDEX(Inputs!$K$5:$AJ$110,0,MATCH(S$2,Inputs!$K$4:$AJ$4,0)))+SUMPRODUCT((Inputs!$C$5:$C$110=$B46)*Inputs!$D$5:$D$110*(((Inputs!$G$5:$G$110="moeda")+(Inputs!$G$5:$G$110="acoes"))*Inputs!$B$1+((Inputs!$G$5:$G$110&lt;&gt;"moeda")*(Inputs!$G$5:$G$110&lt;&gt;"acoes")))*INDEX(Inputs!$K$5:$AJ$110,0,MATCH(S$2,Inputs!$K$4:$AJ$4,0)))+SUMPRODUCT((Inputs!$E$5:$E$110=$B46)*Inputs!$F$5:$F$110*(((Inputs!$G$5:$G$110="moeda")+(Inputs!$G$5:$G$110="acoes"))*Inputs!$B$1+((Inputs!$G$5:$G$110&lt;&gt;"moeda")*(Inputs!$G$5:$G$110&lt;&gt;"acoes")))*INDEX(Inputs!$K$5:$AJ$110,0,MATCH(S$2,Inputs!$K$4:$AJ$4,0)))))</f>
        <v>0</v>
      </c>
      <c r="T46" s="267">
        <f>IF(ISNA(MATCH(T$2,Inputs!$K$4:$AJ$4,0)),NA(),IF(SUMPRODUCT((Inputs!$A$5:$A$110=$B46)*ISNUMBER(INDEX(Inputs!$K$5:$AJ$110,0,MATCH(T$2,Inputs!$K$4:$AJ$4,0))))+SUMPRODUCT((Inputs!$C$5:$C$110=$B46)*ISNUMBER(INDEX(Inputs!$K$5:$AJ$110,0,MATCH(T$2,Inputs!$K$4:$AJ$4,0))))+SUMPRODUCT((Inputs!$E$5:$E$110=$B46)*ISNUMBER(INDEX(Inputs!$K$5:$AJ$110,0,MATCH(T$2,Inputs!$K$4:$AJ$4,0))))=0,NA(),SUMPRODUCT((Inputs!$A$5:$A$110=$B46)*Inputs!$B$5:$B$110*(((Inputs!$G$5:$G$110="moeda")+(Inputs!$G$5:$G$110="acoes"))*Inputs!$B$1+((Inputs!$G$5:$G$110&lt;&gt;"moeda")*(Inputs!$G$5:$G$110&lt;&gt;"acoes")))*INDEX(Inputs!$K$5:$AJ$110,0,MATCH(T$2,Inputs!$K$4:$AJ$4,0)))+SUMPRODUCT((Inputs!$C$5:$C$110=$B46)*Inputs!$D$5:$D$110*(((Inputs!$G$5:$G$110="moeda")+(Inputs!$G$5:$G$110="acoes"))*Inputs!$B$1+((Inputs!$G$5:$G$110&lt;&gt;"moeda")*(Inputs!$G$5:$G$110&lt;&gt;"acoes")))*INDEX(Inputs!$K$5:$AJ$110,0,MATCH(T$2,Inputs!$K$4:$AJ$4,0)))+SUMPRODUCT((Inputs!$E$5:$E$110=$B46)*Inputs!$F$5:$F$110*(((Inputs!$G$5:$G$110="moeda")+(Inputs!$G$5:$G$110="acoes"))*Inputs!$B$1+((Inputs!$G$5:$G$110&lt;&gt;"moeda")*(Inputs!$G$5:$G$110&lt;&gt;"acoes")))*INDEX(Inputs!$K$5:$AJ$110,0,MATCH(T$2,Inputs!$K$4:$AJ$4,0)))))</f>
        <v>0</v>
      </c>
      <c r="U46" s="267">
        <f>IF(ISNA(MATCH(U$2,Inputs!$K$4:$AJ$4,0)),NA(),IF(SUMPRODUCT((Inputs!$A$5:$A$110=$B46)*ISNUMBER(INDEX(Inputs!$K$5:$AJ$110,0,MATCH(U$2,Inputs!$K$4:$AJ$4,0))))+SUMPRODUCT((Inputs!$C$5:$C$110=$B46)*ISNUMBER(INDEX(Inputs!$K$5:$AJ$110,0,MATCH(U$2,Inputs!$K$4:$AJ$4,0))))+SUMPRODUCT((Inputs!$E$5:$E$110=$B46)*ISNUMBER(INDEX(Inputs!$K$5:$AJ$110,0,MATCH(U$2,Inputs!$K$4:$AJ$4,0))))=0,NA(),SUMPRODUCT((Inputs!$A$5:$A$110=$B46)*Inputs!$B$5:$B$110*(((Inputs!$G$5:$G$110="moeda")+(Inputs!$G$5:$G$110="acoes"))*Inputs!$B$1+((Inputs!$G$5:$G$110&lt;&gt;"moeda")*(Inputs!$G$5:$G$110&lt;&gt;"acoes")))*INDEX(Inputs!$K$5:$AJ$110,0,MATCH(U$2,Inputs!$K$4:$AJ$4,0)))+SUMPRODUCT((Inputs!$C$5:$C$110=$B46)*Inputs!$D$5:$D$110*(((Inputs!$G$5:$G$110="moeda")+(Inputs!$G$5:$G$110="acoes"))*Inputs!$B$1+((Inputs!$G$5:$G$110&lt;&gt;"moeda")*(Inputs!$G$5:$G$110&lt;&gt;"acoes")))*INDEX(Inputs!$K$5:$AJ$110,0,MATCH(U$2,Inputs!$K$4:$AJ$4,0)))+SUMPRODUCT((Inputs!$E$5:$E$110=$B46)*Inputs!$F$5:$F$110*(((Inputs!$G$5:$G$110="moeda")+(Inputs!$G$5:$G$110="acoes"))*Inputs!$B$1+((Inputs!$G$5:$G$110&lt;&gt;"moeda")*(Inputs!$G$5:$G$110&lt;&gt;"acoes")))*INDEX(Inputs!$K$5:$AJ$110,0,MATCH(U$2,Inputs!$K$4:$AJ$4,0)))))</f>
        <v>0</v>
      </c>
      <c r="V46" s="267">
        <f>IF(ISNA(MATCH(V$2,Inputs!$K$4:$AJ$4,0)),NA(),IF(SUMPRODUCT((Inputs!$A$5:$A$110=$B46)*ISNUMBER(INDEX(Inputs!$K$5:$AJ$110,0,MATCH(V$2,Inputs!$K$4:$AJ$4,0))))+SUMPRODUCT((Inputs!$C$5:$C$110=$B46)*ISNUMBER(INDEX(Inputs!$K$5:$AJ$110,0,MATCH(V$2,Inputs!$K$4:$AJ$4,0))))+SUMPRODUCT((Inputs!$E$5:$E$110=$B46)*ISNUMBER(INDEX(Inputs!$K$5:$AJ$110,0,MATCH(V$2,Inputs!$K$4:$AJ$4,0))))=0,NA(),SUMPRODUCT((Inputs!$A$5:$A$110=$B46)*Inputs!$B$5:$B$110*(((Inputs!$G$5:$G$110="moeda")+(Inputs!$G$5:$G$110="acoes"))*Inputs!$B$1+((Inputs!$G$5:$G$110&lt;&gt;"moeda")*(Inputs!$G$5:$G$110&lt;&gt;"acoes")))*INDEX(Inputs!$K$5:$AJ$110,0,MATCH(V$2,Inputs!$K$4:$AJ$4,0)))+SUMPRODUCT((Inputs!$C$5:$C$110=$B46)*Inputs!$D$5:$D$110*(((Inputs!$G$5:$G$110="moeda")+(Inputs!$G$5:$G$110="acoes"))*Inputs!$B$1+((Inputs!$G$5:$G$110&lt;&gt;"moeda")*(Inputs!$G$5:$G$110&lt;&gt;"acoes")))*INDEX(Inputs!$K$5:$AJ$110,0,MATCH(V$2,Inputs!$K$4:$AJ$4,0)))+SUMPRODUCT((Inputs!$E$5:$E$110=$B46)*Inputs!$F$5:$F$110*(((Inputs!$G$5:$G$110="moeda")+(Inputs!$G$5:$G$110="acoes"))*Inputs!$B$1+((Inputs!$G$5:$G$110&lt;&gt;"moeda")*(Inputs!$G$5:$G$110&lt;&gt;"acoes")))*INDEX(Inputs!$K$5:$AJ$110,0,MATCH(V$2,Inputs!$K$4:$AJ$4,0)))))</f>
        <v>0</v>
      </c>
      <c r="W46" s="268">
        <f>V46</f>
        <v>0</v>
      </c>
      <c r="X46" s="267">
        <f>IF(ISNA(MATCH(X$2,Inputs!$K$4:$AJ$4,0)),NA(),IF(SUMPRODUCT((Inputs!$A$5:$A$110=$B46)*ISNUMBER(INDEX(Inputs!$K$5:$AJ$110,0,MATCH(X$2,Inputs!$K$4:$AJ$4,0))))+SUMPRODUCT((Inputs!$C$5:$C$110=$B46)*ISNUMBER(INDEX(Inputs!$K$5:$AJ$110,0,MATCH(X$2,Inputs!$K$4:$AJ$4,0))))+SUMPRODUCT((Inputs!$E$5:$E$110=$B46)*ISNUMBER(INDEX(Inputs!$K$5:$AJ$110,0,MATCH(X$2,Inputs!$K$4:$AJ$4,0))))=0,NA(),SUMPRODUCT((Inputs!$A$5:$A$110=$B46)*Inputs!$B$5:$B$110*(((Inputs!$G$5:$G$110="moeda")+(Inputs!$G$5:$G$110="acoes"))*Inputs!$B$1+((Inputs!$G$5:$G$110&lt;&gt;"moeda")*(Inputs!$G$5:$G$110&lt;&gt;"acoes")))*INDEX(Inputs!$K$5:$AJ$110,0,MATCH(X$2,Inputs!$K$4:$AJ$4,0)))+SUMPRODUCT((Inputs!$C$5:$C$110=$B46)*Inputs!$D$5:$D$110*(((Inputs!$G$5:$G$110="moeda")+(Inputs!$G$5:$G$110="acoes"))*Inputs!$B$1+((Inputs!$G$5:$G$110&lt;&gt;"moeda")*(Inputs!$G$5:$G$110&lt;&gt;"acoes")))*INDEX(Inputs!$K$5:$AJ$110,0,MATCH(X$2,Inputs!$K$4:$AJ$4,0)))+SUMPRODUCT((Inputs!$E$5:$E$110=$B46)*Inputs!$F$5:$F$110*(((Inputs!$G$5:$G$110="moeda")+(Inputs!$G$5:$G$110="acoes"))*Inputs!$B$1+((Inputs!$G$5:$G$110&lt;&gt;"moeda")*(Inputs!$G$5:$G$110&lt;&gt;"acoes")))*INDEX(Inputs!$K$5:$AJ$110,0,MATCH(X$2,Inputs!$K$4:$AJ$4,0)))))</f>
        <v>0</v>
      </c>
      <c r="Y46" s="267">
        <f>IF(ISNA(MATCH(Y$2,Inputs!$K$4:$AJ$4,0)),NA(),IF(SUMPRODUCT((Inputs!$A$5:$A$110=$B46)*ISNUMBER(INDEX(Inputs!$K$5:$AJ$110,0,MATCH(Y$2,Inputs!$K$4:$AJ$4,0))))+SUMPRODUCT((Inputs!$C$5:$C$110=$B46)*ISNUMBER(INDEX(Inputs!$K$5:$AJ$110,0,MATCH(Y$2,Inputs!$K$4:$AJ$4,0))))+SUMPRODUCT((Inputs!$E$5:$E$110=$B46)*ISNUMBER(INDEX(Inputs!$K$5:$AJ$110,0,MATCH(Y$2,Inputs!$K$4:$AJ$4,0))))=0,NA(),SUMPRODUCT((Inputs!$A$5:$A$110=$B46)*Inputs!$B$5:$B$110*(((Inputs!$G$5:$G$110="moeda")+(Inputs!$G$5:$G$110="acoes"))*Inputs!$B$1+((Inputs!$G$5:$G$110&lt;&gt;"moeda")*(Inputs!$G$5:$G$110&lt;&gt;"acoes")))*INDEX(Inputs!$K$5:$AJ$110,0,MATCH(Y$2,Inputs!$K$4:$AJ$4,0)))+SUMPRODUCT((Inputs!$C$5:$C$110=$B46)*Inputs!$D$5:$D$110*(((Inputs!$G$5:$G$110="moeda")+(Inputs!$G$5:$G$110="acoes"))*Inputs!$B$1+((Inputs!$G$5:$G$110&lt;&gt;"moeda")*(Inputs!$G$5:$G$110&lt;&gt;"acoes")))*INDEX(Inputs!$K$5:$AJ$110,0,MATCH(Y$2,Inputs!$K$4:$AJ$4,0)))+SUMPRODUCT((Inputs!$E$5:$E$110=$B46)*Inputs!$F$5:$F$110*(((Inputs!$G$5:$G$110="moeda")+(Inputs!$G$5:$G$110="acoes"))*Inputs!$B$1+((Inputs!$G$5:$G$110&lt;&gt;"moeda")*(Inputs!$G$5:$G$110&lt;&gt;"acoes")))*INDEX(Inputs!$K$5:$AJ$110,0,MATCH(Y$2,Inputs!$K$4:$AJ$4,0)))))</f>
        <v>0</v>
      </c>
      <c r="Z46" s="267">
        <f>IF(ISNA(MATCH(Z$2,Inputs!$K$4:$AJ$4,0)),NA(),IF(SUMPRODUCT((Inputs!$A$5:$A$110=$B46)*ISNUMBER(INDEX(Inputs!$K$5:$AJ$110,0,MATCH(Z$2,Inputs!$K$4:$AJ$4,0))))+SUMPRODUCT((Inputs!$C$5:$C$110=$B46)*ISNUMBER(INDEX(Inputs!$K$5:$AJ$110,0,MATCH(Z$2,Inputs!$K$4:$AJ$4,0))))+SUMPRODUCT((Inputs!$E$5:$E$110=$B46)*ISNUMBER(INDEX(Inputs!$K$5:$AJ$110,0,MATCH(Z$2,Inputs!$K$4:$AJ$4,0))))=0,NA(),SUMPRODUCT((Inputs!$A$5:$A$110=$B46)*Inputs!$B$5:$B$110*(((Inputs!$G$5:$G$110="moeda")+(Inputs!$G$5:$G$110="acoes"))*Inputs!$B$1+((Inputs!$G$5:$G$110&lt;&gt;"moeda")*(Inputs!$G$5:$G$110&lt;&gt;"acoes")))*INDEX(Inputs!$K$5:$AJ$110,0,MATCH(Z$2,Inputs!$K$4:$AJ$4,0)))+SUMPRODUCT((Inputs!$C$5:$C$110=$B46)*Inputs!$D$5:$D$110*(((Inputs!$G$5:$G$110="moeda")+(Inputs!$G$5:$G$110="acoes"))*Inputs!$B$1+((Inputs!$G$5:$G$110&lt;&gt;"moeda")*(Inputs!$G$5:$G$110&lt;&gt;"acoes")))*INDEX(Inputs!$K$5:$AJ$110,0,MATCH(Z$2,Inputs!$K$4:$AJ$4,0)))+SUMPRODUCT((Inputs!$E$5:$E$110=$B46)*Inputs!$F$5:$F$110*(((Inputs!$G$5:$G$110="moeda")+(Inputs!$G$5:$G$110="acoes"))*Inputs!$B$1+((Inputs!$G$5:$G$110&lt;&gt;"moeda")*(Inputs!$G$5:$G$110&lt;&gt;"acoes")))*INDEX(Inputs!$K$5:$AJ$110,0,MATCH(Z$2,Inputs!$K$4:$AJ$4,0)))))</f>
        <v>0</v>
      </c>
      <c r="AA46" s="267">
        <f>IF(ISNA(MATCH(AA$2,Inputs!$K$4:$AJ$4,0)),NA(),IF(SUMPRODUCT((Inputs!$A$5:$A$110=$B46)*ISNUMBER(INDEX(Inputs!$K$5:$AJ$110,0,MATCH(AA$2,Inputs!$K$4:$AJ$4,0))))+SUMPRODUCT((Inputs!$C$5:$C$110=$B46)*ISNUMBER(INDEX(Inputs!$K$5:$AJ$110,0,MATCH(AA$2,Inputs!$K$4:$AJ$4,0))))+SUMPRODUCT((Inputs!$E$5:$E$110=$B46)*ISNUMBER(INDEX(Inputs!$K$5:$AJ$110,0,MATCH(AA$2,Inputs!$K$4:$AJ$4,0))))=0,NA(),SUMPRODUCT((Inputs!$A$5:$A$110=$B46)*Inputs!$B$5:$B$110*(((Inputs!$G$5:$G$110="moeda")+(Inputs!$G$5:$G$110="acoes"))*Inputs!$B$1+((Inputs!$G$5:$G$110&lt;&gt;"moeda")*(Inputs!$G$5:$G$110&lt;&gt;"acoes")))*INDEX(Inputs!$K$5:$AJ$110,0,MATCH(AA$2,Inputs!$K$4:$AJ$4,0)))+SUMPRODUCT((Inputs!$C$5:$C$110=$B46)*Inputs!$D$5:$D$110*(((Inputs!$G$5:$G$110="moeda")+(Inputs!$G$5:$G$110="acoes"))*Inputs!$B$1+((Inputs!$G$5:$G$110&lt;&gt;"moeda")*(Inputs!$G$5:$G$110&lt;&gt;"acoes")))*INDEX(Inputs!$K$5:$AJ$110,0,MATCH(AA$2,Inputs!$K$4:$AJ$4,0)))+SUMPRODUCT((Inputs!$E$5:$E$110=$B46)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6" s="268">
        <f>AA46</f>
        <v>0</v>
      </c>
      <c r="AC46" s="267">
        <f>IF(ISNA(MATCH(AC$2,Inputs!$K$4:$AJ$4,0)),NA(),IF(SUMPRODUCT((Inputs!$A$5:$A$110=$B46)*ISNUMBER(INDEX(Inputs!$K$5:$AJ$110,0,MATCH(AC$2,Inputs!$K$4:$AJ$4,0))))+SUMPRODUCT((Inputs!$C$5:$C$110=$B46)*ISNUMBER(INDEX(Inputs!$K$5:$AJ$110,0,MATCH(AC$2,Inputs!$K$4:$AJ$4,0))))+SUMPRODUCT((Inputs!$E$5:$E$110=$B46)*ISNUMBER(INDEX(Inputs!$K$5:$AJ$110,0,MATCH(AC$2,Inputs!$K$4:$AJ$4,0))))=0,NA(),SUMPRODUCT((Inputs!$A$5:$A$110=$B46)*Inputs!$B$5:$B$110*(((Inputs!$G$5:$G$110="moeda")+(Inputs!$G$5:$G$110="acoes"))*Inputs!$B$1+((Inputs!$G$5:$G$110&lt;&gt;"moeda")*(Inputs!$G$5:$G$110&lt;&gt;"acoes")))*INDEX(Inputs!$K$5:$AJ$110,0,MATCH(AC$2,Inputs!$K$4:$AJ$4,0)))+SUMPRODUCT((Inputs!$C$5:$C$110=$B46)*Inputs!$D$5:$D$110*(((Inputs!$G$5:$G$110="moeda")+(Inputs!$G$5:$G$110="acoes"))*Inputs!$B$1+((Inputs!$G$5:$G$110&lt;&gt;"moeda")*(Inputs!$G$5:$G$110&lt;&gt;"acoes")))*INDEX(Inputs!$K$5:$AJ$110,0,MATCH(AC$2,Inputs!$K$4:$AJ$4,0)))+SUMPRODUCT((Inputs!$E$5:$E$110=$B46)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6" s="267">
        <f>IF(ISNA(MATCH(AD$2,Inputs!$K$4:$AJ$4,0)),NA(),IF(SUMPRODUCT((Inputs!$A$5:$A$110=$B46)*ISNUMBER(INDEX(Inputs!$K$5:$AJ$110,0,MATCH(AD$2,Inputs!$K$4:$AJ$4,0))))+SUMPRODUCT((Inputs!$C$5:$C$110=$B46)*ISNUMBER(INDEX(Inputs!$K$5:$AJ$110,0,MATCH(AD$2,Inputs!$K$4:$AJ$4,0))))+SUMPRODUCT((Inputs!$E$5:$E$110=$B46)*ISNUMBER(INDEX(Inputs!$K$5:$AJ$110,0,MATCH(AD$2,Inputs!$K$4:$AJ$4,0))))=0,NA(),SUMPRODUCT((Inputs!$A$5:$A$110=$B46)*Inputs!$B$5:$B$110*(((Inputs!$G$5:$G$110="moeda")+(Inputs!$G$5:$G$110="acoes"))*Inputs!$B$1+((Inputs!$G$5:$G$110&lt;&gt;"moeda")*(Inputs!$G$5:$G$110&lt;&gt;"acoes")))*INDEX(Inputs!$K$5:$AJ$110,0,MATCH(AD$2,Inputs!$K$4:$AJ$4,0)))+SUMPRODUCT((Inputs!$C$5:$C$110=$B46)*Inputs!$D$5:$D$110*(((Inputs!$G$5:$G$110="moeda")+(Inputs!$G$5:$G$110="acoes"))*Inputs!$B$1+((Inputs!$G$5:$G$110&lt;&gt;"moeda")*(Inputs!$G$5:$G$110&lt;&gt;"acoes")))*INDEX(Inputs!$K$5:$AJ$110,0,MATCH(AD$2,Inputs!$K$4:$AJ$4,0)))+SUMPRODUCT((Inputs!$E$5:$E$110=$B46)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6" s="267" t="e">
        <f>IF(ISNA(MATCH(AE$2,Inputs!$K$4:$AJ$4,0)),NA(),IF(SUMPRODUCT((Inputs!$A$5:$A$110=$B46)*ISNUMBER(INDEX(Inputs!$K$5:$AJ$110,0,MATCH(AE$2,Inputs!$K$4:$AJ$4,0))))+SUMPRODUCT((Inputs!$C$5:$C$110=$B46)*ISNUMBER(INDEX(Inputs!$K$5:$AJ$110,0,MATCH(AE$2,Inputs!$K$4:$AJ$4,0))))+SUMPRODUCT((Inputs!$E$5:$E$110=$B46)*ISNUMBER(INDEX(Inputs!$K$5:$AJ$110,0,MATCH(AE$2,Inputs!$K$4:$AJ$4,0))))=0,NA(),SUMPRODUCT((Inputs!$A$5:$A$110=$B46)*Inputs!$B$5:$B$110*(((Inputs!$G$5:$G$110="moeda")+(Inputs!$G$5:$G$110="acoes"))*Inputs!$B$1+((Inputs!$G$5:$G$110&lt;&gt;"moeda")*(Inputs!$G$5:$G$110&lt;&gt;"acoes")))*INDEX(Inputs!$K$5:$AJ$110,0,MATCH(AE$2,Inputs!$K$4:$AJ$4,0)))+SUMPRODUCT((Inputs!$C$5:$C$110=$B46)*Inputs!$D$5:$D$110*(((Inputs!$G$5:$G$110="moeda")+(Inputs!$G$5:$G$110="acoes"))*Inputs!$B$1+((Inputs!$G$5:$G$110&lt;&gt;"moeda")*(Inputs!$G$5:$G$110&lt;&gt;"acoes")))*INDEX(Inputs!$K$5:$AJ$110,0,MATCH(AE$2,Inputs!$K$4:$AJ$4,0)))+SUMPRODUCT((Inputs!$E$5:$E$110=$B46)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6" s="267" t="e">
        <f>IF(ISNA(MATCH(AF$2,Inputs!$K$4:$AJ$4,0)),NA(),IF(SUMPRODUCT((Inputs!$A$5:$A$110=$B46)*ISNUMBER(INDEX(Inputs!$K$5:$AJ$110,0,MATCH(AF$2,Inputs!$K$4:$AJ$4,0))))+SUMPRODUCT((Inputs!$C$5:$C$110=$B46)*ISNUMBER(INDEX(Inputs!$K$5:$AJ$110,0,MATCH(AF$2,Inputs!$K$4:$AJ$4,0))))+SUMPRODUCT((Inputs!$E$5:$E$110=$B46)*ISNUMBER(INDEX(Inputs!$K$5:$AJ$110,0,MATCH(AF$2,Inputs!$K$4:$AJ$4,0))))=0,NA(),SUMPRODUCT((Inputs!$A$5:$A$110=$B46)*Inputs!$B$5:$B$110*(((Inputs!$G$5:$G$110="moeda")+(Inputs!$G$5:$G$110="acoes"))*Inputs!$B$1+((Inputs!$G$5:$G$110&lt;&gt;"moeda")*(Inputs!$G$5:$G$110&lt;&gt;"acoes")))*INDEX(Inputs!$K$5:$AJ$110,0,MATCH(AF$2,Inputs!$K$4:$AJ$4,0)))+SUMPRODUCT((Inputs!$C$5:$C$110=$B46)*Inputs!$D$5:$D$110*(((Inputs!$G$5:$G$110="moeda")+(Inputs!$G$5:$G$110="acoes"))*Inputs!$B$1+((Inputs!$G$5:$G$110&lt;&gt;"moeda")*(Inputs!$G$5:$G$110&lt;&gt;"acoes")))*INDEX(Inputs!$K$5:$AJ$110,0,MATCH(AF$2,Inputs!$K$4:$AJ$4,0)))+SUMPRODUCT((Inputs!$E$5:$E$110=$B46)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6" s="268" t="e">
        <f>AF46</f>
        <v>#N/A</v>
      </c>
      <c r="AH46" s="267">
        <f>IF(ISNA(MATCH(AH$2,Inputs!$K$4:$AJ$4,0)),NA(),IF(SUMPRODUCT((Inputs!$A$5:$A$110=$B46)*ISNUMBER(INDEX(Inputs!$K$5:$AJ$110,0,MATCH(AH$2,Inputs!$K$4:$AJ$4,0))))+SUMPRODUCT((Inputs!$C$5:$C$110=$B46)*ISNUMBER(INDEX(Inputs!$K$5:$AJ$110,0,MATCH(AH$2,Inputs!$K$4:$AJ$4,0))))+SUMPRODUCT((Inputs!$E$5:$E$110=$B46)*ISNUMBER(INDEX(Inputs!$K$5:$AJ$110,0,MATCH(AH$2,Inputs!$K$4:$AJ$4,0))))=0,NA(),SUMPRODUCT((Inputs!$A$5:$A$110=$B46)*Inputs!$B$5:$B$110*(((Inputs!$G$5:$G$110="moeda")+(Inputs!$G$5:$G$110="acoes"))*Inputs!$B$1+((Inputs!$G$5:$G$110&lt;&gt;"moeda")*(Inputs!$G$5:$G$110&lt;&gt;"acoes")))*INDEX(Inputs!$K$5:$AJ$110,0,MATCH(AH$2,Inputs!$K$4:$AJ$4,0)))+SUMPRODUCT((Inputs!$C$5:$C$110=$B46)*Inputs!$D$5:$D$110*(((Inputs!$G$5:$G$110="moeda")+(Inputs!$G$5:$G$110="acoes"))*Inputs!$B$1+((Inputs!$G$5:$G$110&lt;&gt;"moeda")*(Inputs!$G$5:$G$110&lt;&gt;"acoes")))*INDEX(Inputs!$K$5:$AJ$110,0,MATCH(AH$2,Inputs!$K$4:$AJ$4,0)))+SUMPRODUCT((Inputs!$E$5:$E$110=$B46)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6" s="267">
        <f>IF(ISNA(MATCH(AI$2,Inputs!$K$4:$AJ$4,0)),NA(),IF(SUMPRODUCT((Inputs!$A$5:$A$110=$B46)*ISNUMBER(INDEX(Inputs!$K$5:$AJ$110,0,MATCH(AI$2,Inputs!$K$4:$AJ$4,0))))+SUMPRODUCT((Inputs!$C$5:$C$110=$B46)*ISNUMBER(INDEX(Inputs!$K$5:$AJ$110,0,MATCH(AI$2,Inputs!$K$4:$AJ$4,0))))+SUMPRODUCT((Inputs!$E$5:$E$110=$B46)*ISNUMBER(INDEX(Inputs!$K$5:$AJ$110,0,MATCH(AI$2,Inputs!$K$4:$AJ$4,0))))=0,NA(),SUMPRODUCT((Inputs!$A$5:$A$110=$B46)*Inputs!$B$5:$B$110*(((Inputs!$G$5:$G$110="moeda")+(Inputs!$G$5:$G$110="acoes"))*Inputs!$B$1+((Inputs!$G$5:$G$110&lt;&gt;"moeda")*(Inputs!$G$5:$G$110&lt;&gt;"acoes")))*INDEX(Inputs!$K$5:$AJ$110,0,MATCH(AI$2,Inputs!$K$4:$AJ$4,0)))+SUMPRODUCT((Inputs!$C$5:$C$110=$B46)*Inputs!$D$5:$D$110*(((Inputs!$G$5:$G$110="moeda")+(Inputs!$G$5:$G$110="acoes"))*Inputs!$B$1+((Inputs!$G$5:$G$110&lt;&gt;"moeda")*(Inputs!$G$5:$G$110&lt;&gt;"acoes")))*INDEX(Inputs!$K$5:$AJ$110,0,MATCH(AI$2,Inputs!$K$4:$AJ$4,0)))+SUMPRODUCT((Inputs!$E$5:$E$110=$B46)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6" s="267">
        <f>IF(ISNA(MATCH(AJ$2,Inputs!$K$4:$AJ$4,0)),NA(),IF(SUMPRODUCT((Inputs!$A$5:$A$110=$B46)*ISNUMBER(INDEX(Inputs!$K$5:$AJ$110,0,MATCH(AJ$2,Inputs!$K$4:$AJ$4,0))))+SUMPRODUCT((Inputs!$C$5:$C$110=$B46)*ISNUMBER(INDEX(Inputs!$K$5:$AJ$110,0,MATCH(AJ$2,Inputs!$K$4:$AJ$4,0))))+SUMPRODUCT((Inputs!$E$5:$E$110=$B46)*ISNUMBER(INDEX(Inputs!$K$5:$AJ$110,0,MATCH(AJ$2,Inputs!$K$4:$AJ$4,0))))=0,NA(),SUMPRODUCT((Inputs!$A$5:$A$110=$B46)*Inputs!$B$5:$B$110*(((Inputs!$G$5:$G$110="moeda")+(Inputs!$G$5:$G$110="acoes"))*Inputs!$B$1+((Inputs!$G$5:$G$110&lt;&gt;"moeda")*(Inputs!$G$5:$G$110&lt;&gt;"acoes")))*INDEX(Inputs!$K$5:$AJ$110,0,MATCH(AJ$2,Inputs!$K$4:$AJ$4,0)))+SUMPRODUCT((Inputs!$C$5:$C$110=$B46)*Inputs!$D$5:$D$110*(((Inputs!$G$5:$G$110="moeda")+(Inputs!$G$5:$G$110="acoes"))*Inputs!$B$1+((Inputs!$G$5:$G$110&lt;&gt;"moeda")*(Inputs!$G$5:$G$110&lt;&gt;"acoes")))*INDEX(Inputs!$K$5:$AJ$110,0,MATCH(AJ$2,Inputs!$K$4:$AJ$4,0)))+SUMPRODUCT((Inputs!$E$5:$E$110=$B46)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6" s="267">
        <f>IF(ISNA(MATCH(AK$2,Inputs!$K$4:$AJ$4,0)),NA(),IF(SUMPRODUCT((Inputs!$A$5:$A$110=$B46)*ISNUMBER(INDEX(Inputs!$K$5:$AJ$110,0,MATCH(AK$2,Inputs!$K$4:$AJ$4,0))))+SUMPRODUCT((Inputs!$C$5:$C$110=$B46)*ISNUMBER(INDEX(Inputs!$K$5:$AJ$110,0,MATCH(AK$2,Inputs!$K$4:$AJ$4,0))))+SUMPRODUCT((Inputs!$E$5:$E$110=$B46)*ISNUMBER(INDEX(Inputs!$K$5:$AJ$110,0,MATCH(AK$2,Inputs!$K$4:$AJ$4,0))))=0,NA(),SUMPRODUCT((Inputs!$A$5:$A$110=$B46)*Inputs!$B$5:$B$110*(((Inputs!$G$5:$G$110="moeda")+(Inputs!$G$5:$G$110="acoes"))*Inputs!$B$1+((Inputs!$G$5:$G$110&lt;&gt;"moeda")*(Inputs!$G$5:$G$110&lt;&gt;"acoes")))*INDEX(Inputs!$K$5:$AJ$110,0,MATCH(AK$2,Inputs!$K$4:$AJ$4,0)))+SUMPRODUCT((Inputs!$C$5:$C$110=$B46)*Inputs!$D$5:$D$110*(((Inputs!$G$5:$G$110="moeda")+(Inputs!$G$5:$G$110="acoes"))*Inputs!$B$1+((Inputs!$G$5:$G$110&lt;&gt;"moeda")*(Inputs!$G$5:$G$110&lt;&gt;"acoes")))*INDEX(Inputs!$K$5:$AJ$110,0,MATCH(AK$2,Inputs!$K$4:$AJ$4,0)))+SUMPRODUCT((Inputs!$E$5:$E$110=$B46)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6" s="268">
        <f>AK46</f>
        <v>0</v>
      </c>
    </row>
    <row r="47" ht="12.75" customHeight="1" s="255">
      <c r="B47" s="265" t="n">
        <v>41</v>
      </c>
      <c r="C47" s="271" t="inlineStr">
        <is>
          <t>Retained earnings</t>
        </is>
      </c>
      <c r="D47" s="267">
        <f>IF(ISNA(MATCH(D$2,Inputs!$K$4:$AJ$4,0)),NA(),IF(SUMPRODUCT((Inputs!$A$5:$A$110=$B47)*ISNUMBER(INDEX(Inputs!$K$5:$AJ$110,0,MATCH(D$2,Inputs!$K$4:$AJ$4,0))))+SUMPRODUCT((Inputs!$C$5:$C$110=$B47)*ISNUMBER(INDEX(Inputs!$K$5:$AJ$110,0,MATCH(D$2,Inputs!$K$4:$AJ$4,0))))+SUMPRODUCT((Inputs!$E$5:$E$110=$B47)*ISNUMBER(INDEX(Inputs!$K$5:$AJ$110,0,MATCH(D$2,Inputs!$K$4:$AJ$4,0))))=0,NA(),SUMPRODUCT((Inputs!$A$5:$A$110=$B47)*Inputs!$B$5:$B$110*(((Inputs!$G$5:$G$110="moeda")+(Inputs!$G$5:$G$110="acoes"))*Inputs!$B$1+((Inputs!$G$5:$G$110&lt;&gt;"moeda")*(Inputs!$G$5:$G$110&lt;&gt;"acoes")))*INDEX(Inputs!$K$5:$AJ$110,0,MATCH(D$2,Inputs!$K$4:$AJ$4,0)))+SUMPRODUCT((Inputs!$C$5:$C$110=$B47)*Inputs!$D$5:$D$110*(((Inputs!$G$5:$G$110="moeda")+(Inputs!$G$5:$G$110="acoes"))*Inputs!$B$1+((Inputs!$G$5:$G$110&lt;&gt;"moeda")*(Inputs!$G$5:$G$110&lt;&gt;"acoes")))*INDEX(Inputs!$K$5:$AJ$110,0,MATCH(D$2,Inputs!$K$4:$AJ$4,0)))+SUMPRODUCT((Inputs!$E$5:$E$110=$B47)*Inputs!$F$5:$F$110*(((Inputs!$G$5:$G$110="moeda")+(Inputs!$G$5:$G$110="acoes"))*Inputs!$B$1+((Inputs!$G$5:$G$110&lt;&gt;"moeda")*(Inputs!$G$5:$G$110&lt;&gt;"acoes")))*INDEX(Inputs!$K$5:$AJ$110,0,MATCH(D$2,Inputs!$K$4:$AJ$4,0)))))</f>
        <v>82577</v>
      </c>
      <c r="E47" s="267">
        <f>IF(ISNA(MATCH(E$2,Inputs!$K$4:$AJ$4,0)),NA(),IF(SUMPRODUCT((Inputs!$A$5:$A$110=$B47)*ISNUMBER(INDEX(Inputs!$K$5:$AJ$110,0,MATCH(E$2,Inputs!$K$4:$AJ$4,0))))+SUMPRODUCT((Inputs!$C$5:$C$110=$B47)*ISNUMBER(INDEX(Inputs!$K$5:$AJ$110,0,MATCH(E$2,Inputs!$K$4:$AJ$4,0))))+SUMPRODUCT((Inputs!$E$5:$E$110=$B47)*ISNUMBER(INDEX(Inputs!$K$5:$AJ$110,0,MATCH(E$2,Inputs!$K$4:$AJ$4,0))))=0,NA(),SUMPRODUCT((Inputs!$A$5:$A$110=$B47)*Inputs!$B$5:$B$110*(((Inputs!$G$5:$G$110="moeda")+(Inputs!$G$5:$G$110="acoes"))*Inputs!$B$1+((Inputs!$G$5:$G$110&lt;&gt;"moeda")*(Inputs!$G$5:$G$110&lt;&gt;"acoes")))*INDEX(Inputs!$K$5:$AJ$110,0,MATCH(E$2,Inputs!$K$4:$AJ$4,0)))+SUMPRODUCT((Inputs!$C$5:$C$110=$B47)*Inputs!$D$5:$D$110*(((Inputs!$G$5:$G$110="moeda")+(Inputs!$G$5:$G$110="acoes"))*Inputs!$B$1+((Inputs!$G$5:$G$110&lt;&gt;"moeda")*(Inputs!$G$5:$G$110&lt;&gt;"acoes")))*INDEX(Inputs!$K$5:$AJ$110,0,MATCH(E$2,Inputs!$K$4:$AJ$4,0)))+SUMPRODUCT((Inputs!$E$5:$E$110=$B47)*Inputs!$F$5:$F$110*(((Inputs!$G$5:$G$110="moeda")+(Inputs!$G$5:$G$110="acoes"))*Inputs!$B$1+((Inputs!$G$5:$G$110&lt;&gt;"moeda")*(Inputs!$G$5:$G$110&lt;&gt;"acoes")))*INDEX(Inputs!$K$5:$AJ$110,0,MATCH(E$2,Inputs!$K$4:$AJ$4,0)))))</f>
        <v>84572</v>
      </c>
      <c r="F47" s="267">
        <f>IF(ISNA(MATCH(F$2,Inputs!$K$4:$AJ$4,0)),NA(),IF(SUMPRODUCT((Inputs!$A$5:$A$110=$B47)*ISNUMBER(INDEX(Inputs!$K$5:$AJ$110,0,MATCH(F$2,Inputs!$K$4:$AJ$4,0))))+SUMPRODUCT((Inputs!$C$5:$C$110=$B47)*ISNUMBER(INDEX(Inputs!$K$5:$AJ$110,0,MATCH(F$2,Inputs!$K$4:$AJ$4,0))))+SUMPRODUCT((Inputs!$E$5:$E$110=$B47)*ISNUMBER(INDEX(Inputs!$K$5:$AJ$110,0,MATCH(F$2,Inputs!$K$4:$AJ$4,0))))=0,NA(),SUMPRODUCT((Inputs!$A$5:$A$110=$B47)*Inputs!$B$5:$B$110*(((Inputs!$G$5:$G$110="moeda")+(Inputs!$G$5:$G$110="acoes"))*Inputs!$B$1+((Inputs!$G$5:$G$110&lt;&gt;"moeda")*(Inputs!$G$5:$G$110&lt;&gt;"acoes")))*INDEX(Inputs!$K$5:$AJ$110,0,MATCH(F$2,Inputs!$K$4:$AJ$4,0)))+SUMPRODUCT((Inputs!$C$5:$C$110=$B47)*Inputs!$D$5:$D$110*(((Inputs!$G$5:$G$110="moeda")+(Inputs!$G$5:$G$110="acoes"))*Inputs!$B$1+((Inputs!$G$5:$G$110&lt;&gt;"moeda")*(Inputs!$G$5:$G$110&lt;&gt;"acoes")))*INDEX(Inputs!$K$5:$AJ$110,0,MATCH(F$2,Inputs!$K$4:$AJ$4,0)))+SUMPRODUCT((Inputs!$E$5:$E$110=$B47)*Inputs!$F$5:$F$110*(((Inputs!$G$5:$G$110="moeda")+(Inputs!$G$5:$G$110="acoes"))*Inputs!$B$1+((Inputs!$G$5:$G$110&lt;&gt;"moeda")*(Inputs!$G$5:$G$110&lt;&gt;"acoes")))*INDEX(Inputs!$K$5:$AJ$110,0,MATCH(F$2,Inputs!$K$4:$AJ$4,0)))))</f>
        <v>85674</v>
      </c>
      <c r="G47" s="267">
        <f>IF(ISNA(MATCH(G$2,Inputs!$K$4:$AJ$4,0)),NA(),IF(SUMPRODUCT((Inputs!$A$5:$A$110=$B47)*ISNUMBER(INDEX(Inputs!$K$5:$AJ$110,0,MATCH(G$2,Inputs!$K$4:$AJ$4,0))))+SUMPRODUCT((Inputs!$C$5:$C$110=$B47)*ISNUMBER(INDEX(Inputs!$K$5:$AJ$110,0,MATCH(G$2,Inputs!$K$4:$AJ$4,0))))+SUMPRODUCT((Inputs!$E$5:$E$110=$B47)*ISNUMBER(INDEX(Inputs!$K$5:$AJ$110,0,MATCH(G$2,Inputs!$K$4:$AJ$4,0))))=0,NA(),SUMPRODUCT((Inputs!$A$5:$A$110=$B47)*Inputs!$B$5:$B$110*(((Inputs!$G$5:$G$110="moeda")+(Inputs!$G$5:$G$110="acoes"))*Inputs!$B$1+((Inputs!$G$5:$G$110&lt;&gt;"moeda")*(Inputs!$G$5:$G$110&lt;&gt;"acoes")))*INDEX(Inputs!$K$5:$AJ$110,0,MATCH(G$2,Inputs!$K$4:$AJ$4,0)))+SUMPRODUCT((Inputs!$C$5:$C$110=$B47)*Inputs!$D$5:$D$110*(((Inputs!$G$5:$G$110="moeda")+(Inputs!$G$5:$G$110="acoes"))*Inputs!$B$1+((Inputs!$G$5:$G$110&lt;&gt;"moeda")*(Inputs!$G$5:$G$110&lt;&gt;"acoes")))*INDEX(Inputs!$K$5:$AJ$110,0,MATCH(G$2,Inputs!$K$4:$AJ$4,0)))+SUMPRODUCT((Inputs!$E$5:$E$110=$B47)*Inputs!$F$5:$F$110*(((Inputs!$G$5:$G$110="moeda")+(Inputs!$G$5:$G$110="acoes"))*Inputs!$B$1+((Inputs!$G$5:$G$110&lt;&gt;"moeda")*(Inputs!$G$5:$G$110&lt;&gt;"acoes")))*INDEX(Inputs!$K$5:$AJ$110,0,MATCH(G$2,Inputs!$K$4:$AJ$4,0)))))</f>
        <v>86904</v>
      </c>
      <c r="H47" s="268">
        <f>G47</f>
        <v>86904</v>
      </c>
      <c r="I47" s="267">
        <f>IF(ISNA(MATCH(I$2,Inputs!$K$4:$AJ$4,0)),NA(),IF(SUMPRODUCT((Inputs!$A$5:$A$110=$B47)*ISNUMBER(INDEX(Inputs!$K$5:$AJ$110,0,MATCH(I$2,Inputs!$K$4:$AJ$4,0))))+SUMPRODUCT((Inputs!$C$5:$C$110=$B47)*ISNUMBER(INDEX(Inputs!$K$5:$AJ$110,0,MATCH(I$2,Inputs!$K$4:$AJ$4,0))))+SUMPRODUCT((Inputs!$E$5:$E$110=$B47)*ISNUMBER(INDEX(Inputs!$K$5:$AJ$110,0,MATCH(I$2,Inputs!$K$4:$AJ$4,0))))=0,NA(),SUMPRODUCT((Inputs!$A$5:$A$110=$B47)*Inputs!$B$5:$B$110*(((Inputs!$G$5:$G$110="moeda")+(Inputs!$G$5:$G$110="acoes"))*Inputs!$B$1+((Inputs!$G$5:$G$110&lt;&gt;"moeda")*(Inputs!$G$5:$G$110&lt;&gt;"acoes")))*INDEX(Inputs!$K$5:$AJ$110,0,MATCH(I$2,Inputs!$K$4:$AJ$4,0)))+SUMPRODUCT((Inputs!$C$5:$C$110=$B47)*Inputs!$D$5:$D$110*(((Inputs!$G$5:$G$110="moeda")+(Inputs!$G$5:$G$110="acoes"))*Inputs!$B$1+((Inputs!$G$5:$G$110&lt;&gt;"moeda")*(Inputs!$G$5:$G$110&lt;&gt;"acoes")))*INDEX(Inputs!$K$5:$AJ$110,0,MATCH(I$2,Inputs!$K$4:$AJ$4,0)))+SUMPRODUCT((Inputs!$E$5:$E$110=$B47)*Inputs!$F$5:$F$110*(((Inputs!$G$5:$G$110="moeda")+(Inputs!$G$5:$G$110="acoes"))*Inputs!$B$1+((Inputs!$G$5:$G$110&lt;&gt;"moeda")*(Inputs!$G$5:$G$110&lt;&gt;"acoes")))*INDEX(Inputs!$K$5:$AJ$110,0,MATCH(I$2,Inputs!$K$4:$AJ$4,0)))))</f>
        <v>80532</v>
      </c>
      <c r="J47" s="267">
        <f>IF(ISNA(MATCH(J$2,Inputs!$K$4:$AJ$4,0)),NA(),IF(SUMPRODUCT((Inputs!$A$5:$A$110=$B47)*ISNUMBER(INDEX(Inputs!$K$5:$AJ$110,0,MATCH(J$2,Inputs!$K$4:$AJ$4,0))))+SUMPRODUCT((Inputs!$C$5:$C$110=$B47)*ISNUMBER(INDEX(Inputs!$K$5:$AJ$110,0,MATCH(J$2,Inputs!$K$4:$AJ$4,0))))+SUMPRODUCT((Inputs!$E$5:$E$110=$B47)*ISNUMBER(INDEX(Inputs!$K$5:$AJ$110,0,MATCH(J$2,Inputs!$K$4:$AJ$4,0))))=0,NA(),SUMPRODUCT((Inputs!$A$5:$A$110=$B47)*Inputs!$B$5:$B$110*(((Inputs!$G$5:$G$110="moeda")+(Inputs!$G$5:$G$110="acoes"))*Inputs!$B$1+((Inputs!$G$5:$G$110&lt;&gt;"moeda")*(Inputs!$G$5:$G$110&lt;&gt;"acoes")))*INDEX(Inputs!$K$5:$AJ$110,0,MATCH(J$2,Inputs!$K$4:$AJ$4,0)))+SUMPRODUCT((Inputs!$C$5:$C$110=$B47)*Inputs!$D$5:$D$110*(((Inputs!$G$5:$G$110="moeda")+(Inputs!$G$5:$G$110="acoes"))*Inputs!$B$1+((Inputs!$G$5:$G$110&lt;&gt;"moeda")*(Inputs!$G$5:$G$110&lt;&gt;"acoes")))*INDEX(Inputs!$K$5:$AJ$110,0,MATCH(J$2,Inputs!$K$4:$AJ$4,0)))+SUMPRODUCT((Inputs!$E$5:$E$110=$B47)*Inputs!$F$5:$F$110*(((Inputs!$G$5:$G$110="moeda")+(Inputs!$G$5:$G$110="acoes"))*Inputs!$B$1+((Inputs!$G$5:$G$110&lt;&gt;"moeda")*(Inputs!$G$5:$G$110&lt;&gt;"acoes")))*INDEX(Inputs!$K$5:$AJ$110,0,MATCH(J$2,Inputs!$K$4:$AJ$4,0)))))</f>
        <v>82519</v>
      </c>
      <c r="K47" s="267">
        <f>IF(ISNA(MATCH(K$2,Inputs!$K$4:$AJ$4,0)),NA(),IF(SUMPRODUCT((Inputs!$A$5:$A$110=$B47)*ISNUMBER(INDEX(Inputs!$K$5:$AJ$110,0,MATCH(K$2,Inputs!$K$4:$AJ$4,0))))+SUMPRODUCT((Inputs!$C$5:$C$110=$B47)*ISNUMBER(INDEX(Inputs!$K$5:$AJ$110,0,MATCH(K$2,Inputs!$K$4:$AJ$4,0))))+SUMPRODUCT((Inputs!$E$5:$E$110=$B47)*ISNUMBER(INDEX(Inputs!$K$5:$AJ$110,0,MATCH(K$2,Inputs!$K$4:$AJ$4,0))))=0,NA(),SUMPRODUCT((Inputs!$A$5:$A$110=$B47)*Inputs!$B$5:$B$110*(((Inputs!$G$5:$G$110="moeda")+(Inputs!$G$5:$G$110="acoes"))*Inputs!$B$1+((Inputs!$G$5:$G$110&lt;&gt;"moeda")*(Inputs!$G$5:$G$110&lt;&gt;"acoes")))*INDEX(Inputs!$K$5:$AJ$110,0,MATCH(K$2,Inputs!$K$4:$AJ$4,0)))+SUMPRODUCT((Inputs!$C$5:$C$110=$B47)*Inputs!$D$5:$D$110*(((Inputs!$G$5:$G$110="moeda")+(Inputs!$G$5:$G$110="acoes"))*Inputs!$B$1+((Inputs!$G$5:$G$110&lt;&gt;"moeda")*(Inputs!$G$5:$G$110&lt;&gt;"acoes")))*INDEX(Inputs!$K$5:$AJ$110,0,MATCH(K$2,Inputs!$K$4:$AJ$4,0)))+SUMPRODUCT((Inputs!$E$5:$E$110=$B47)*Inputs!$F$5:$F$110*(((Inputs!$G$5:$G$110="moeda")+(Inputs!$G$5:$G$110="acoes"))*Inputs!$B$1+((Inputs!$G$5:$G$110&lt;&gt;"moeda")*(Inputs!$G$5:$G$110&lt;&gt;"acoes")))*INDEX(Inputs!$K$5:$AJ$110,0,MATCH(K$2,Inputs!$K$4:$AJ$4,0)))))</f>
        <v>77946</v>
      </c>
      <c r="L47" s="267">
        <f>IF(ISNA(MATCH(L$2,Inputs!$K$4:$AJ$4,0)),NA(),IF(SUMPRODUCT((Inputs!$A$5:$A$110=$B47)*ISNUMBER(INDEX(Inputs!$K$5:$AJ$110,0,MATCH(L$2,Inputs!$K$4:$AJ$4,0))))+SUMPRODUCT((Inputs!$C$5:$C$110=$B47)*ISNUMBER(INDEX(Inputs!$K$5:$AJ$110,0,MATCH(L$2,Inputs!$K$4:$AJ$4,0))))+SUMPRODUCT((Inputs!$E$5:$E$110=$B47)*ISNUMBER(INDEX(Inputs!$K$5:$AJ$110,0,MATCH(L$2,Inputs!$K$4:$AJ$4,0))))=0,NA(),SUMPRODUCT((Inputs!$A$5:$A$110=$B47)*Inputs!$B$5:$B$110*(((Inputs!$G$5:$G$110="moeda")+(Inputs!$G$5:$G$110="acoes"))*Inputs!$B$1+((Inputs!$G$5:$G$110&lt;&gt;"moeda")*(Inputs!$G$5:$G$110&lt;&gt;"acoes")))*INDEX(Inputs!$K$5:$AJ$110,0,MATCH(L$2,Inputs!$K$4:$AJ$4,0)))+SUMPRODUCT((Inputs!$C$5:$C$110=$B47)*Inputs!$D$5:$D$110*(((Inputs!$G$5:$G$110="moeda")+(Inputs!$G$5:$G$110="acoes"))*Inputs!$B$1+((Inputs!$G$5:$G$110&lt;&gt;"moeda")*(Inputs!$G$5:$G$110&lt;&gt;"acoes")))*INDEX(Inputs!$K$5:$AJ$110,0,MATCH(L$2,Inputs!$K$4:$AJ$4,0)))+SUMPRODUCT((Inputs!$E$5:$E$110=$B47)*Inputs!$F$5:$F$110*(((Inputs!$G$5:$G$110="moeda")+(Inputs!$G$5:$G$110="acoes"))*Inputs!$B$1+((Inputs!$G$5:$G$110&lt;&gt;"moeda")*(Inputs!$G$5:$G$110&lt;&gt;"acoes")))*INDEX(Inputs!$K$5:$AJ$110,0,MATCH(L$2,Inputs!$K$4:$AJ$4,0)))))</f>
        <v>83135</v>
      </c>
      <c r="M47" s="268">
        <f>L47</f>
        <v>83135</v>
      </c>
      <c r="N47" s="267">
        <f>IF(ISNA(MATCH(N$2,Inputs!$K$4:$AJ$4,0)),NA(),IF(SUMPRODUCT((Inputs!$A$5:$A$110=$B47)*ISNUMBER(INDEX(Inputs!$K$5:$AJ$110,0,MATCH(N$2,Inputs!$K$4:$AJ$4,0))))+SUMPRODUCT((Inputs!$C$5:$C$110=$B47)*ISNUMBER(INDEX(Inputs!$K$5:$AJ$110,0,MATCH(N$2,Inputs!$K$4:$AJ$4,0))))+SUMPRODUCT((Inputs!$E$5:$E$110=$B47)*ISNUMBER(INDEX(Inputs!$K$5:$AJ$110,0,MATCH(N$2,Inputs!$K$4:$AJ$4,0))))=0,NA(),SUMPRODUCT((Inputs!$A$5:$A$110=$B47)*Inputs!$B$5:$B$110*(((Inputs!$G$5:$G$110="moeda")+(Inputs!$G$5:$G$110="acoes"))*Inputs!$B$1+((Inputs!$G$5:$G$110&lt;&gt;"moeda")*(Inputs!$G$5:$G$110&lt;&gt;"acoes")))*INDEX(Inputs!$K$5:$AJ$110,0,MATCH(N$2,Inputs!$K$4:$AJ$4,0)))+SUMPRODUCT((Inputs!$C$5:$C$110=$B47)*Inputs!$D$5:$D$110*(((Inputs!$G$5:$G$110="moeda")+(Inputs!$G$5:$G$110="acoes"))*Inputs!$B$1+((Inputs!$G$5:$G$110&lt;&gt;"moeda")*(Inputs!$G$5:$G$110&lt;&gt;"acoes")))*INDEX(Inputs!$K$5:$AJ$110,0,MATCH(N$2,Inputs!$K$4:$AJ$4,0)))+SUMPRODUCT((Inputs!$E$5:$E$110=$B47)*Inputs!$F$5:$F$110*(((Inputs!$G$5:$G$110="moeda")+(Inputs!$G$5:$G$110="acoes"))*Inputs!$B$1+((Inputs!$G$5:$G$110&lt;&gt;"moeda")*(Inputs!$G$5:$G$110&lt;&gt;"acoes")))*INDEX(Inputs!$K$5:$AJ$110,0,MATCH(N$2,Inputs!$K$4:$AJ$4,0)))))</f>
        <v>78035</v>
      </c>
      <c r="O47" s="267">
        <f>IF(ISNA(MATCH(O$2,Inputs!$K$4:$AJ$4,0)),NA(),IF(SUMPRODUCT((Inputs!$A$5:$A$110=$B47)*ISNUMBER(INDEX(Inputs!$K$5:$AJ$110,0,MATCH(O$2,Inputs!$K$4:$AJ$4,0))))+SUMPRODUCT((Inputs!$C$5:$C$110=$B47)*ISNUMBER(INDEX(Inputs!$K$5:$AJ$110,0,MATCH(O$2,Inputs!$K$4:$AJ$4,0))))+SUMPRODUCT((Inputs!$E$5:$E$110=$B47)*ISNUMBER(INDEX(Inputs!$K$5:$AJ$110,0,MATCH(O$2,Inputs!$K$4:$AJ$4,0))))=0,NA(),SUMPRODUCT((Inputs!$A$5:$A$110=$B47)*Inputs!$B$5:$B$110*(((Inputs!$G$5:$G$110="moeda")+(Inputs!$G$5:$G$110="acoes"))*Inputs!$B$1+((Inputs!$G$5:$G$110&lt;&gt;"moeda")*(Inputs!$G$5:$G$110&lt;&gt;"acoes")))*INDEX(Inputs!$K$5:$AJ$110,0,MATCH(O$2,Inputs!$K$4:$AJ$4,0)))+SUMPRODUCT((Inputs!$C$5:$C$110=$B47)*Inputs!$D$5:$D$110*(((Inputs!$G$5:$G$110="moeda")+(Inputs!$G$5:$G$110="acoes"))*Inputs!$B$1+((Inputs!$G$5:$G$110&lt;&gt;"moeda")*(Inputs!$G$5:$G$110&lt;&gt;"acoes")))*INDEX(Inputs!$K$5:$AJ$110,0,MATCH(O$2,Inputs!$K$4:$AJ$4,0)))+SUMPRODUCT((Inputs!$E$5:$E$110=$B47)*Inputs!$F$5:$F$110*(((Inputs!$G$5:$G$110="moeda")+(Inputs!$G$5:$G$110="acoes"))*Inputs!$B$1+((Inputs!$G$5:$G$110&lt;&gt;"moeda")*(Inputs!$G$5:$G$110&lt;&gt;"acoes")))*INDEX(Inputs!$K$5:$AJ$110,0,MATCH(O$2,Inputs!$K$4:$AJ$4,0)))))</f>
        <v>85470</v>
      </c>
      <c r="P47" s="267">
        <f>IF(ISNA(MATCH(P$2,Inputs!$K$4:$AJ$4,0)),NA(),IF(SUMPRODUCT((Inputs!$A$5:$A$110=$B47)*ISNUMBER(INDEX(Inputs!$K$5:$AJ$110,0,MATCH(P$2,Inputs!$K$4:$AJ$4,0))))+SUMPRODUCT((Inputs!$C$5:$C$110=$B47)*ISNUMBER(INDEX(Inputs!$K$5:$AJ$110,0,MATCH(P$2,Inputs!$K$4:$AJ$4,0))))+SUMPRODUCT((Inputs!$E$5:$E$110=$B47)*ISNUMBER(INDEX(Inputs!$K$5:$AJ$110,0,MATCH(P$2,Inputs!$K$4:$AJ$4,0))))=0,NA(),SUMPRODUCT((Inputs!$A$5:$A$110=$B47)*Inputs!$B$5:$B$110*(((Inputs!$G$5:$G$110="moeda")+(Inputs!$G$5:$G$110="acoes"))*Inputs!$B$1+((Inputs!$G$5:$G$110&lt;&gt;"moeda")*(Inputs!$G$5:$G$110&lt;&gt;"acoes")))*INDEX(Inputs!$K$5:$AJ$110,0,MATCH(P$2,Inputs!$K$4:$AJ$4,0)))+SUMPRODUCT((Inputs!$C$5:$C$110=$B47)*Inputs!$D$5:$D$110*(((Inputs!$G$5:$G$110="moeda")+(Inputs!$G$5:$G$110="acoes"))*Inputs!$B$1+((Inputs!$G$5:$G$110&lt;&gt;"moeda")*(Inputs!$G$5:$G$110&lt;&gt;"acoes")))*INDEX(Inputs!$K$5:$AJ$110,0,MATCH(P$2,Inputs!$K$4:$AJ$4,0)))+SUMPRODUCT((Inputs!$E$5:$E$110=$B47)*Inputs!$F$5:$F$110*(((Inputs!$G$5:$G$110="moeda")+(Inputs!$G$5:$G$110="acoes"))*Inputs!$B$1+((Inputs!$G$5:$G$110&lt;&gt;"moeda")*(Inputs!$G$5:$G$110&lt;&gt;"acoes")))*INDEX(Inputs!$K$5:$AJ$110,0,MATCH(P$2,Inputs!$K$4:$AJ$4,0)))))</f>
        <v>85831</v>
      </c>
      <c r="Q47" s="267">
        <f>IF(ISNA(MATCH(Q$2,Inputs!$K$4:$AJ$4,0)),NA(),IF(SUMPRODUCT((Inputs!$A$5:$A$110=$B47)*ISNUMBER(INDEX(Inputs!$K$5:$AJ$110,0,MATCH(Q$2,Inputs!$K$4:$AJ$4,0))))+SUMPRODUCT((Inputs!$C$5:$C$110=$B47)*ISNUMBER(INDEX(Inputs!$K$5:$AJ$110,0,MATCH(Q$2,Inputs!$K$4:$AJ$4,0))))+SUMPRODUCT((Inputs!$E$5:$E$110=$B47)*ISNUMBER(INDEX(Inputs!$K$5:$AJ$110,0,MATCH(Q$2,Inputs!$K$4:$AJ$4,0))))=0,NA(),SUMPRODUCT((Inputs!$A$5:$A$110=$B47)*Inputs!$B$5:$B$110*(((Inputs!$G$5:$G$110="moeda")+(Inputs!$G$5:$G$110="acoes"))*Inputs!$B$1+((Inputs!$G$5:$G$110&lt;&gt;"moeda")*(Inputs!$G$5:$G$110&lt;&gt;"acoes")))*INDEX(Inputs!$K$5:$AJ$110,0,MATCH(Q$2,Inputs!$K$4:$AJ$4,0)))+SUMPRODUCT((Inputs!$C$5:$C$110=$B47)*Inputs!$D$5:$D$110*(((Inputs!$G$5:$G$110="moeda")+(Inputs!$G$5:$G$110="acoes"))*Inputs!$B$1+((Inputs!$G$5:$G$110&lt;&gt;"moeda")*(Inputs!$G$5:$G$110&lt;&gt;"acoes")))*INDEX(Inputs!$K$5:$AJ$110,0,MATCH(Q$2,Inputs!$K$4:$AJ$4,0)))+SUMPRODUCT((Inputs!$E$5:$E$110=$B47)*Inputs!$F$5:$F$110*(((Inputs!$G$5:$G$110="moeda")+(Inputs!$G$5:$G$110="acoes"))*Inputs!$B$1+((Inputs!$G$5:$G$110&lt;&gt;"moeda")*(Inputs!$G$5:$G$110&lt;&gt;"acoes")))*INDEX(Inputs!$K$5:$AJ$110,0,MATCH(Q$2,Inputs!$K$4:$AJ$4,0)))))</f>
        <v>89814</v>
      </c>
      <c r="R47" s="268">
        <f>Q47</f>
        <v>89814</v>
      </c>
      <c r="S47" s="267">
        <f>IF(ISNA(MATCH(S$2,Inputs!$K$4:$AJ$4,0)),NA(),IF(SUMPRODUCT((Inputs!$A$5:$A$110=$B47)*ISNUMBER(INDEX(Inputs!$K$5:$AJ$110,0,MATCH(S$2,Inputs!$K$4:$AJ$4,0))))+SUMPRODUCT((Inputs!$C$5:$C$110=$B47)*ISNUMBER(INDEX(Inputs!$K$5:$AJ$110,0,MATCH(S$2,Inputs!$K$4:$AJ$4,0))))+SUMPRODUCT((Inputs!$E$5:$E$110=$B47)*ISNUMBER(INDEX(Inputs!$K$5:$AJ$110,0,MATCH(S$2,Inputs!$K$4:$AJ$4,0))))=0,NA(),SUMPRODUCT((Inputs!$A$5:$A$110=$B47)*Inputs!$B$5:$B$110*(((Inputs!$G$5:$G$110="moeda")+(Inputs!$G$5:$G$110="acoes"))*Inputs!$B$1+((Inputs!$G$5:$G$110&lt;&gt;"moeda")*(Inputs!$G$5:$G$110&lt;&gt;"acoes")))*INDEX(Inputs!$K$5:$AJ$110,0,MATCH(S$2,Inputs!$K$4:$AJ$4,0)))+SUMPRODUCT((Inputs!$C$5:$C$110=$B47)*Inputs!$D$5:$D$110*(((Inputs!$G$5:$G$110="moeda")+(Inputs!$G$5:$G$110="acoes"))*Inputs!$B$1+((Inputs!$G$5:$G$110&lt;&gt;"moeda")*(Inputs!$G$5:$G$110&lt;&gt;"acoes")))*INDEX(Inputs!$K$5:$AJ$110,0,MATCH(S$2,Inputs!$K$4:$AJ$4,0)))+SUMPRODUCT((Inputs!$E$5:$E$110=$B47)*Inputs!$F$5:$F$110*(((Inputs!$G$5:$G$110="moeda")+(Inputs!$G$5:$G$110="acoes"))*Inputs!$B$1+((Inputs!$G$5:$G$110&lt;&gt;"moeda")*(Inputs!$G$5:$G$110&lt;&gt;"acoes")))*INDEX(Inputs!$K$5:$AJ$110,0,MATCH(S$2,Inputs!$K$4:$AJ$4,0)))))</f>
        <v>87230</v>
      </c>
      <c r="T47" s="267">
        <f>IF(ISNA(MATCH(T$2,Inputs!$K$4:$AJ$4,0)),NA(),IF(SUMPRODUCT((Inputs!$A$5:$A$110=$B47)*ISNUMBER(INDEX(Inputs!$K$5:$AJ$110,0,MATCH(T$2,Inputs!$K$4:$AJ$4,0))))+SUMPRODUCT((Inputs!$C$5:$C$110=$B47)*ISNUMBER(INDEX(Inputs!$K$5:$AJ$110,0,MATCH(T$2,Inputs!$K$4:$AJ$4,0))))+SUMPRODUCT((Inputs!$E$5:$E$110=$B47)*ISNUMBER(INDEX(Inputs!$K$5:$AJ$110,0,MATCH(T$2,Inputs!$K$4:$AJ$4,0))))=0,NA(),SUMPRODUCT((Inputs!$A$5:$A$110=$B47)*Inputs!$B$5:$B$110*(((Inputs!$G$5:$G$110="moeda")+(Inputs!$G$5:$G$110="acoes"))*Inputs!$B$1+((Inputs!$G$5:$G$110&lt;&gt;"moeda")*(Inputs!$G$5:$G$110&lt;&gt;"acoes")))*INDEX(Inputs!$K$5:$AJ$110,0,MATCH(T$2,Inputs!$K$4:$AJ$4,0)))+SUMPRODUCT((Inputs!$C$5:$C$110=$B47)*Inputs!$D$5:$D$110*(((Inputs!$G$5:$G$110="moeda")+(Inputs!$G$5:$G$110="acoes"))*Inputs!$B$1+((Inputs!$G$5:$G$110&lt;&gt;"moeda")*(Inputs!$G$5:$G$110&lt;&gt;"acoes")))*INDEX(Inputs!$K$5:$AJ$110,0,MATCH(T$2,Inputs!$K$4:$AJ$4,0)))+SUMPRODUCT((Inputs!$E$5:$E$110=$B47)*Inputs!$F$5:$F$110*(((Inputs!$G$5:$G$110="moeda")+(Inputs!$G$5:$G$110="acoes"))*Inputs!$B$1+((Inputs!$G$5:$G$110&lt;&gt;"moeda")*(Inputs!$G$5:$G$110&lt;&gt;"acoes")))*INDEX(Inputs!$K$5:$AJ$110,0,MATCH(T$2,Inputs!$K$4:$AJ$4,0)))))</f>
        <v>90788</v>
      </c>
      <c r="U47" s="267">
        <f>IF(ISNA(MATCH(U$2,Inputs!$K$4:$AJ$4,0)),NA(),IF(SUMPRODUCT((Inputs!$A$5:$A$110=$B47)*ISNUMBER(INDEX(Inputs!$K$5:$AJ$110,0,MATCH(U$2,Inputs!$K$4:$AJ$4,0))))+SUMPRODUCT((Inputs!$C$5:$C$110=$B47)*ISNUMBER(INDEX(Inputs!$K$5:$AJ$110,0,MATCH(U$2,Inputs!$K$4:$AJ$4,0))))+SUMPRODUCT((Inputs!$E$5:$E$110=$B47)*ISNUMBER(INDEX(Inputs!$K$5:$AJ$110,0,MATCH(U$2,Inputs!$K$4:$AJ$4,0))))=0,NA(),SUMPRODUCT((Inputs!$A$5:$A$110=$B47)*Inputs!$B$5:$B$110*(((Inputs!$G$5:$G$110="moeda")+(Inputs!$G$5:$G$110="acoes"))*Inputs!$B$1+((Inputs!$G$5:$G$110&lt;&gt;"moeda")*(Inputs!$G$5:$G$110&lt;&gt;"acoes")))*INDEX(Inputs!$K$5:$AJ$110,0,MATCH(U$2,Inputs!$K$4:$AJ$4,0)))+SUMPRODUCT((Inputs!$C$5:$C$110=$B47)*Inputs!$D$5:$D$110*(((Inputs!$G$5:$G$110="moeda")+(Inputs!$G$5:$G$110="acoes"))*Inputs!$B$1+((Inputs!$G$5:$G$110&lt;&gt;"moeda")*(Inputs!$G$5:$G$110&lt;&gt;"acoes")))*INDEX(Inputs!$K$5:$AJ$110,0,MATCH(U$2,Inputs!$K$4:$AJ$4,0)))+SUMPRODUCT((Inputs!$E$5:$E$110=$B47)*Inputs!$F$5:$F$110*(((Inputs!$G$5:$G$110="moeda")+(Inputs!$G$5:$G$110="acoes"))*Inputs!$B$1+((Inputs!$G$5:$G$110&lt;&gt;"moeda")*(Inputs!$G$5:$G$110&lt;&gt;"acoes")))*INDEX(Inputs!$K$5:$AJ$110,0,MATCH(U$2,Inputs!$K$4:$AJ$4,0)))))</f>
        <v>94435</v>
      </c>
      <c r="V47" s="267">
        <f>IF(ISNA(MATCH(V$2,Inputs!$K$4:$AJ$4,0)),NA(),IF(SUMPRODUCT((Inputs!$A$5:$A$110=$B47)*ISNUMBER(INDEX(Inputs!$K$5:$AJ$110,0,MATCH(V$2,Inputs!$K$4:$AJ$4,0))))+SUMPRODUCT((Inputs!$C$5:$C$110=$B47)*ISNUMBER(INDEX(Inputs!$K$5:$AJ$110,0,MATCH(V$2,Inputs!$K$4:$AJ$4,0))))+SUMPRODUCT((Inputs!$E$5:$E$110=$B47)*ISNUMBER(INDEX(Inputs!$K$5:$AJ$110,0,MATCH(V$2,Inputs!$K$4:$AJ$4,0))))=0,NA(),SUMPRODUCT((Inputs!$A$5:$A$110=$B47)*Inputs!$B$5:$B$110*(((Inputs!$G$5:$G$110="moeda")+(Inputs!$G$5:$G$110="acoes"))*Inputs!$B$1+((Inputs!$G$5:$G$110&lt;&gt;"moeda")*(Inputs!$G$5:$G$110&lt;&gt;"acoes")))*INDEX(Inputs!$K$5:$AJ$110,0,MATCH(V$2,Inputs!$K$4:$AJ$4,0)))+SUMPRODUCT((Inputs!$C$5:$C$110=$B47)*Inputs!$D$5:$D$110*(((Inputs!$G$5:$G$110="moeda")+(Inputs!$G$5:$G$110="acoes"))*Inputs!$B$1+((Inputs!$G$5:$G$110&lt;&gt;"moeda")*(Inputs!$G$5:$G$110&lt;&gt;"acoes")))*INDEX(Inputs!$K$5:$AJ$110,0,MATCH(V$2,Inputs!$K$4:$AJ$4,0)))+SUMPRODUCT((Inputs!$E$5:$E$110=$B47)*Inputs!$F$5:$F$110*(((Inputs!$G$5:$G$110="moeda")+(Inputs!$G$5:$G$110="acoes"))*Inputs!$B$1+((Inputs!$G$5:$G$110&lt;&gt;"moeda")*(Inputs!$G$5:$G$110&lt;&gt;"acoes")))*INDEX(Inputs!$K$5:$AJ$110,0,MATCH(V$2,Inputs!$K$4:$AJ$4,0)))))</f>
        <v>98313</v>
      </c>
      <c r="W47" s="268">
        <f>V47</f>
        <v>98313</v>
      </c>
      <c r="X47" s="267">
        <f>IF(ISNA(MATCH(X$2,Inputs!$K$4:$AJ$4,0)),NA(),IF(SUMPRODUCT((Inputs!$A$5:$A$110=$B47)*ISNUMBER(INDEX(Inputs!$K$5:$AJ$110,0,MATCH(X$2,Inputs!$K$4:$AJ$4,0))))+SUMPRODUCT((Inputs!$C$5:$C$110=$B47)*ISNUMBER(INDEX(Inputs!$K$5:$AJ$110,0,MATCH(X$2,Inputs!$K$4:$AJ$4,0))))+SUMPRODUCT((Inputs!$E$5:$E$110=$B47)*ISNUMBER(INDEX(Inputs!$K$5:$AJ$110,0,MATCH(X$2,Inputs!$K$4:$AJ$4,0))))=0,NA(),SUMPRODUCT((Inputs!$A$5:$A$110=$B47)*Inputs!$B$5:$B$110*(((Inputs!$G$5:$G$110="moeda")+(Inputs!$G$5:$G$110="acoes"))*Inputs!$B$1+((Inputs!$G$5:$G$110&lt;&gt;"moeda")*(Inputs!$G$5:$G$110&lt;&gt;"acoes")))*INDEX(Inputs!$K$5:$AJ$110,0,MATCH(X$2,Inputs!$K$4:$AJ$4,0)))+SUMPRODUCT((Inputs!$C$5:$C$110=$B47)*Inputs!$D$5:$D$110*(((Inputs!$G$5:$G$110="moeda")+(Inputs!$G$5:$G$110="acoes"))*Inputs!$B$1+((Inputs!$G$5:$G$110&lt;&gt;"moeda")*(Inputs!$G$5:$G$110&lt;&gt;"acoes")))*INDEX(Inputs!$K$5:$AJ$110,0,MATCH(X$2,Inputs!$K$4:$AJ$4,0)))+SUMPRODUCT((Inputs!$E$5:$E$110=$B47)*Inputs!$F$5:$F$110*(((Inputs!$G$5:$G$110="moeda")+(Inputs!$G$5:$G$110="acoes"))*Inputs!$B$1+((Inputs!$G$5:$G$110&lt;&gt;"moeda")*(Inputs!$G$5:$G$110&lt;&gt;"acoes")))*INDEX(Inputs!$K$5:$AJ$110,0,MATCH(X$2,Inputs!$K$4:$AJ$4,0)))))</f>
        <v>90849</v>
      </c>
      <c r="Y47" s="267">
        <f>IF(ISNA(MATCH(Y$2,Inputs!$K$4:$AJ$4,0)),NA(),IF(SUMPRODUCT((Inputs!$A$5:$A$110=$B47)*ISNUMBER(INDEX(Inputs!$K$5:$AJ$110,0,MATCH(Y$2,Inputs!$K$4:$AJ$4,0))))+SUMPRODUCT((Inputs!$C$5:$C$110=$B47)*ISNUMBER(INDEX(Inputs!$K$5:$AJ$110,0,MATCH(Y$2,Inputs!$K$4:$AJ$4,0))))+SUMPRODUCT((Inputs!$E$5:$E$110=$B47)*ISNUMBER(INDEX(Inputs!$K$5:$AJ$110,0,MATCH(Y$2,Inputs!$K$4:$AJ$4,0))))=0,NA(),SUMPRODUCT((Inputs!$A$5:$A$110=$B47)*Inputs!$B$5:$B$110*(((Inputs!$G$5:$G$110="moeda")+(Inputs!$G$5:$G$110="acoes"))*Inputs!$B$1+((Inputs!$G$5:$G$110&lt;&gt;"moeda")*(Inputs!$G$5:$G$110&lt;&gt;"acoes")))*INDEX(Inputs!$K$5:$AJ$110,0,MATCH(Y$2,Inputs!$K$4:$AJ$4,0)))+SUMPRODUCT((Inputs!$C$5:$C$110=$B47)*Inputs!$D$5:$D$110*(((Inputs!$G$5:$G$110="moeda")+(Inputs!$G$5:$G$110="acoes"))*Inputs!$B$1+((Inputs!$G$5:$G$110&lt;&gt;"moeda")*(Inputs!$G$5:$G$110&lt;&gt;"acoes")))*INDEX(Inputs!$K$5:$AJ$110,0,MATCH(Y$2,Inputs!$K$4:$AJ$4,0)))+SUMPRODUCT((Inputs!$E$5:$E$110=$B47)*Inputs!$F$5:$F$110*(((Inputs!$G$5:$G$110="moeda")+(Inputs!$G$5:$G$110="acoes"))*Inputs!$B$1+((Inputs!$G$5:$G$110&lt;&gt;"moeda")*(Inputs!$G$5:$G$110&lt;&gt;"acoes")))*INDEX(Inputs!$K$5:$AJ$110,0,MATCH(Y$2,Inputs!$K$4:$AJ$4,0)))))</f>
        <v>96328</v>
      </c>
      <c r="Z47" s="267">
        <f>IF(ISNA(MATCH(Z$2,Inputs!$K$4:$AJ$4,0)),NA(),IF(SUMPRODUCT((Inputs!$A$5:$A$110=$B47)*ISNUMBER(INDEX(Inputs!$K$5:$AJ$110,0,MATCH(Z$2,Inputs!$K$4:$AJ$4,0))))+SUMPRODUCT((Inputs!$C$5:$C$110=$B47)*ISNUMBER(INDEX(Inputs!$K$5:$AJ$110,0,MATCH(Z$2,Inputs!$K$4:$AJ$4,0))))+SUMPRODUCT((Inputs!$E$5:$E$110=$B47)*ISNUMBER(INDEX(Inputs!$K$5:$AJ$110,0,MATCH(Z$2,Inputs!$K$4:$AJ$4,0))))=0,NA(),SUMPRODUCT((Inputs!$A$5:$A$110=$B47)*Inputs!$B$5:$B$110*(((Inputs!$G$5:$G$110="moeda")+(Inputs!$G$5:$G$110="acoes"))*Inputs!$B$1+((Inputs!$G$5:$G$110&lt;&gt;"moeda")*(Inputs!$G$5:$G$110&lt;&gt;"acoes")))*INDEX(Inputs!$K$5:$AJ$110,0,MATCH(Z$2,Inputs!$K$4:$AJ$4,0)))+SUMPRODUCT((Inputs!$C$5:$C$110=$B47)*Inputs!$D$5:$D$110*(((Inputs!$G$5:$G$110="moeda")+(Inputs!$G$5:$G$110="acoes"))*Inputs!$B$1+((Inputs!$G$5:$G$110&lt;&gt;"moeda")*(Inputs!$G$5:$G$110&lt;&gt;"acoes")))*INDEX(Inputs!$K$5:$AJ$110,0,MATCH(Z$2,Inputs!$K$4:$AJ$4,0)))+SUMPRODUCT((Inputs!$E$5:$E$110=$B47)*Inputs!$F$5:$F$110*(((Inputs!$G$5:$G$110="moeda")+(Inputs!$G$5:$G$110="acoes"))*Inputs!$B$1+((Inputs!$G$5:$G$110&lt;&gt;"moeda")*(Inputs!$G$5:$G$110&lt;&gt;"acoes")))*INDEX(Inputs!$K$5:$AJ$110,0,MATCH(Z$2,Inputs!$K$4:$AJ$4,0)))))</f>
        <v>101558</v>
      </c>
      <c r="AA47" s="267">
        <f>IF(ISNA(MATCH(AA$2,Inputs!$K$4:$AJ$4,0)),NA(),IF(SUMPRODUCT((Inputs!$A$5:$A$110=$B47)*ISNUMBER(INDEX(Inputs!$K$5:$AJ$110,0,MATCH(AA$2,Inputs!$K$4:$AJ$4,0))))+SUMPRODUCT((Inputs!$C$5:$C$110=$B47)*ISNUMBER(INDEX(Inputs!$K$5:$AJ$110,0,MATCH(AA$2,Inputs!$K$4:$AJ$4,0))))+SUMPRODUCT((Inputs!$E$5:$E$110=$B47)*ISNUMBER(INDEX(Inputs!$K$5:$AJ$110,0,MATCH(AA$2,Inputs!$K$4:$AJ$4,0))))=0,NA(),SUMPRODUCT((Inputs!$A$5:$A$110=$B47)*Inputs!$B$5:$B$110*(((Inputs!$G$5:$G$110="moeda")+(Inputs!$G$5:$G$110="acoes"))*Inputs!$B$1+((Inputs!$G$5:$G$110&lt;&gt;"moeda")*(Inputs!$G$5:$G$110&lt;&gt;"acoes")))*INDEX(Inputs!$K$5:$AJ$110,0,MATCH(AA$2,Inputs!$K$4:$AJ$4,0)))+SUMPRODUCT((Inputs!$C$5:$C$110=$B47)*Inputs!$D$5:$D$110*(((Inputs!$G$5:$G$110="moeda")+(Inputs!$G$5:$G$110="acoes"))*Inputs!$B$1+((Inputs!$G$5:$G$110&lt;&gt;"moeda")*(Inputs!$G$5:$G$110&lt;&gt;"acoes")))*INDEX(Inputs!$K$5:$AJ$110,0,MATCH(AA$2,Inputs!$K$4:$AJ$4,0)))+SUMPRODUCT((Inputs!$E$5:$E$110=$B47)*Inputs!$F$5:$F$110*(((Inputs!$G$5:$G$110="moeda")+(Inputs!$G$5:$G$110="acoes"))*Inputs!$B$1+((Inputs!$G$5:$G$110&lt;&gt;"moeda")*(Inputs!$G$5:$G$110&lt;&gt;"acoes")))*INDEX(Inputs!$K$5:$AJ$110,0,MATCH(AA$2,Inputs!$K$4:$AJ$4,0)))))</f>
        <v>104774</v>
      </c>
      <c r="AB47" s="268">
        <f>AA47</f>
        <v>104774</v>
      </c>
      <c r="AC47" s="267">
        <f>IF(ISNA(MATCH(AC$2,Inputs!$K$4:$AJ$4,0)),NA(),IF(SUMPRODUCT((Inputs!$A$5:$A$110=$B47)*ISNUMBER(INDEX(Inputs!$K$5:$AJ$110,0,MATCH(AC$2,Inputs!$K$4:$AJ$4,0))))+SUMPRODUCT((Inputs!$C$5:$C$110=$B47)*ISNUMBER(INDEX(Inputs!$K$5:$AJ$110,0,MATCH(AC$2,Inputs!$K$4:$AJ$4,0))))+SUMPRODUCT((Inputs!$E$5:$E$110=$B47)*ISNUMBER(INDEX(Inputs!$K$5:$AJ$110,0,MATCH(AC$2,Inputs!$K$4:$AJ$4,0))))=0,NA(),SUMPRODUCT((Inputs!$A$5:$A$110=$B47)*Inputs!$B$5:$B$110*(((Inputs!$G$5:$G$110="moeda")+(Inputs!$G$5:$G$110="acoes"))*Inputs!$B$1+((Inputs!$G$5:$G$110&lt;&gt;"moeda")*(Inputs!$G$5:$G$110&lt;&gt;"acoes")))*INDEX(Inputs!$K$5:$AJ$110,0,MATCH(AC$2,Inputs!$K$4:$AJ$4,0)))+SUMPRODUCT((Inputs!$C$5:$C$110=$B47)*Inputs!$D$5:$D$110*(((Inputs!$G$5:$G$110="moeda")+(Inputs!$G$5:$G$110="acoes"))*Inputs!$B$1+((Inputs!$G$5:$G$110&lt;&gt;"moeda")*(Inputs!$G$5:$G$110&lt;&gt;"acoes")))*INDEX(Inputs!$K$5:$AJ$110,0,MATCH(AC$2,Inputs!$K$4:$AJ$4,0)))+SUMPRODUCT((Inputs!$E$5:$E$110=$B47)*Inputs!$F$5:$F$110*(((Inputs!$G$5:$G$110="moeda")+(Inputs!$G$5:$G$110="acoes"))*Inputs!$B$1+((Inputs!$G$5:$G$110&lt;&gt;"moeda")*(Inputs!$G$5:$G$110&lt;&gt;"acoes")))*INDEX(Inputs!$K$5:$AJ$110,0,MATCH(AC$2,Inputs!$K$4:$AJ$4,0)))))</f>
        <v>100241</v>
      </c>
      <c r="AD47" s="267">
        <f>IF(ISNA(MATCH(AD$2,Inputs!$K$4:$AJ$4,0)),NA(),IF(SUMPRODUCT((Inputs!$A$5:$A$110=$B47)*ISNUMBER(INDEX(Inputs!$K$5:$AJ$110,0,MATCH(AD$2,Inputs!$K$4:$AJ$4,0))))+SUMPRODUCT((Inputs!$C$5:$C$110=$B47)*ISNUMBER(INDEX(Inputs!$K$5:$AJ$110,0,MATCH(AD$2,Inputs!$K$4:$AJ$4,0))))+SUMPRODUCT((Inputs!$E$5:$E$110=$B47)*ISNUMBER(INDEX(Inputs!$K$5:$AJ$110,0,MATCH(AD$2,Inputs!$K$4:$AJ$4,0))))=0,NA(),SUMPRODUCT((Inputs!$A$5:$A$110=$B47)*Inputs!$B$5:$B$110*(((Inputs!$G$5:$G$110="moeda")+(Inputs!$G$5:$G$110="acoes"))*Inputs!$B$1+((Inputs!$G$5:$G$110&lt;&gt;"moeda")*(Inputs!$G$5:$G$110&lt;&gt;"acoes")))*INDEX(Inputs!$K$5:$AJ$110,0,MATCH(AD$2,Inputs!$K$4:$AJ$4,0)))+SUMPRODUCT((Inputs!$C$5:$C$110=$B47)*Inputs!$D$5:$D$110*(((Inputs!$G$5:$G$110="moeda")+(Inputs!$G$5:$G$110="acoes"))*Inputs!$B$1+((Inputs!$G$5:$G$110&lt;&gt;"moeda")*(Inputs!$G$5:$G$110&lt;&gt;"acoes")))*INDEX(Inputs!$K$5:$AJ$110,0,MATCH(AD$2,Inputs!$K$4:$AJ$4,0)))+SUMPRODUCT((Inputs!$E$5:$E$110=$B47)*Inputs!$F$5:$F$110*(((Inputs!$G$5:$G$110="moeda")+(Inputs!$G$5:$G$110="acoes"))*Inputs!$B$1+((Inputs!$G$5:$G$110&lt;&gt;"moeda")*(Inputs!$G$5:$G$110&lt;&gt;"acoes")))*INDEX(Inputs!$K$5:$AJ$110,0,MATCH(AD$2,Inputs!$K$4:$AJ$4,0)))))</f>
        <v>103601</v>
      </c>
      <c r="AE47" s="267" t="e">
        <f>IF(ISNA(MATCH(AE$2,Inputs!$K$4:$AJ$4,0)),NA(),IF(SUMPRODUCT((Inputs!$A$5:$A$110=$B47)*ISNUMBER(INDEX(Inputs!$K$5:$AJ$110,0,MATCH(AE$2,Inputs!$K$4:$AJ$4,0))))+SUMPRODUCT((Inputs!$C$5:$C$110=$B47)*ISNUMBER(INDEX(Inputs!$K$5:$AJ$110,0,MATCH(AE$2,Inputs!$K$4:$AJ$4,0))))+SUMPRODUCT((Inputs!$E$5:$E$110=$B47)*ISNUMBER(INDEX(Inputs!$K$5:$AJ$110,0,MATCH(AE$2,Inputs!$K$4:$AJ$4,0))))=0,NA(),SUMPRODUCT((Inputs!$A$5:$A$110=$B47)*Inputs!$B$5:$B$110*(((Inputs!$G$5:$G$110="moeda")+(Inputs!$G$5:$G$110="acoes"))*Inputs!$B$1+((Inputs!$G$5:$G$110&lt;&gt;"moeda")*(Inputs!$G$5:$G$110&lt;&gt;"acoes")))*INDEX(Inputs!$K$5:$AJ$110,0,MATCH(AE$2,Inputs!$K$4:$AJ$4,0)))+SUMPRODUCT((Inputs!$C$5:$C$110=$B47)*Inputs!$D$5:$D$110*(((Inputs!$G$5:$G$110="moeda")+(Inputs!$G$5:$G$110="acoes"))*Inputs!$B$1+((Inputs!$G$5:$G$110&lt;&gt;"moeda")*(Inputs!$G$5:$G$110&lt;&gt;"acoes")))*INDEX(Inputs!$K$5:$AJ$110,0,MATCH(AE$2,Inputs!$K$4:$AJ$4,0)))+SUMPRODUCT((Inputs!$E$5:$E$110=$B47)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7" s="267" t="e">
        <f>IF(ISNA(MATCH(AF$2,Inputs!$K$4:$AJ$4,0)),NA(),IF(SUMPRODUCT((Inputs!$A$5:$A$110=$B47)*ISNUMBER(INDEX(Inputs!$K$5:$AJ$110,0,MATCH(AF$2,Inputs!$K$4:$AJ$4,0))))+SUMPRODUCT((Inputs!$C$5:$C$110=$B47)*ISNUMBER(INDEX(Inputs!$K$5:$AJ$110,0,MATCH(AF$2,Inputs!$K$4:$AJ$4,0))))+SUMPRODUCT((Inputs!$E$5:$E$110=$B47)*ISNUMBER(INDEX(Inputs!$K$5:$AJ$110,0,MATCH(AF$2,Inputs!$K$4:$AJ$4,0))))=0,NA(),SUMPRODUCT((Inputs!$A$5:$A$110=$B47)*Inputs!$B$5:$B$110*(((Inputs!$G$5:$G$110="moeda")+(Inputs!$G$5:$G$110="acoes"))*Inputs!$B$1+((Inputs!$G$5:$G$110&lt;&gt;"moeda")*(Inputs!$G$5:$G$110&lt;&gt;"acoes")))*INDEX(Inputs!$K$5:$AJ$110,0,MATCH(AF$2,Inputs!$K$4:$AJ$4,0)))+SUMPRODUCT((Inputs!$C$5:$C$110=$B47)*Inputs!$D$5:$D$110*(((Inputs!$G$5:$G$110="moeda")+(Inputs!$G$5:$G$110="acoes"))*Inputs!$B$1+((Inputs!$G$5:$G$110&lt;&gt;"moeda")*(Inputs!$G$5:$G$110&lt;&gt;"acoes")))*INDEX(Inputs!$K$5:$AJ$110,0,MATCH(AF$2,Inputs!$K$4:$AJ$4,0)))+SUMPRODUCT((Inputs!$E$5:$E$110=$B47)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7" s="268" t="e">
        <f>AF47</f>
        <v>#N/A</v>
      </c>
      <c r="AH47" s="267">
        <f>IF(ISNA(MATCH(AH$2,Inputs!$K$4:$AJ$4,0)),NA(),IF(SUMPRODUCT((Inputs!$A$5:$A$110=$B47)*ISNUMBER(INDEX(Inputs!$K$5:$AJ$110,0,MATCH(AH$2,Inputs!$K$4:$AJ$4,0))))+SUMPRODUCT((Inputs!$C$5:$C$110=$B47)*ISNUMBER(INDEX(Inputs!$K$5:$AJ$110,0,MATCH(AH$2,Inputs!$K$4:$AJ$4,0))))+SUMPRODUCT((Inputs!$E$5:$E$110=$B47)*ISNUMBER(INDEX(Inputs!$K$5:$AJ$110,0,MATCH(AH$2,Inputs!$K$4:$AJ$4,0))))=0,NA(),SUMPRODUCT((Inputs!$A$5:$A$110=$B47)*Inputs!$B$5:$B$110*(((Inputs!$G$5:$G$110="moeda")+(Inputs!$G$5:$G$110="acoes"))*Inputs!$B$1+((Inputs!$G$5:$G$110&lt;&gt;"moeda")*(Inputs!$G$5:$G$110&lt;&gt;"acoes")))*INDEX(Inputs!$K$5:$AJ$110,0,MATCH(AH$2,Inputs!$K$4:$AJ$4,0)))+SUMPRODUCT((Inputs!$C$5:$C$110=$B47)*Inputs!$D$5:$D$110*(((Inputs!$G$5:$G$110="moeda")+(Inputs!$G$5:$G$110="acoes"))*Inputs!$B$1+((Inputs!$G$5:$G$110&lt;&gt;"moeda")*(Inputs!$G$5:$G$110&lt;&gt;"acoes")))*INDEX(Inputs!$K$5:$AJ$110,0,MATCH(AH$2,Inputs!$K$4:$AJ$4,0)))+SUMPRODUCT((Inputs!$E$5:$E$110=$B47)*Inputs!$F$5:$F$110*(((Inputs!$G$5:$G$110="moeda")+(Inputs!$G$5:$G$110="acoes"))*Inputs!$B$1+((Inputs!$G$5:$G$110&lt;&gt;"moeda")*(Inputs!$G$5:$G$110&lt;&gt;"acoes")))*INDEX(Inputs!$K$5:$AJ$110,0,MATCH(AH$2,Inputs!$K$4:$AJ$4,0)))))</f>
        <v>81141</v>
      </c>
      <c r="AI47" s="267">
        <f>IF(ISNA(MATCH(AI$2,Inputs!$K$4:$AJ$4,0)),NA(),IF(SUMPRODUCT((Inputs!$A$5:$A$110=$B47)*ISNUMBER(INDEX(Inputs!$K$5:$AJ$110,0,MATCH(AI$2,Inputs!$K$4:$AJ$4,0))))+SUMPRODUCT((Inputs!$C$5:$C$110=$B47)*ISNUMBER(INDEX(Inputs!$K$5:$AJ$110,0,MATCH(AI$2,Inputs!$K$4:$AJ$4,0))))+SUMPRODUCT((Inputs!$E$5:$E$110=$B47)*ISNUMBER(INDEX(Inputs!$K$5:$AJ$110,0,MATCH(AI$2,Inputs!$K$4:$AJ$4,0))))=0,NA(),SUMPRODUCT((Inputs!$A$5:$A$110=$B47)*Inputs!$B$5:$B$110*(((Inputs!$G$5:$G$110="moeda")+(Inputs!$G$5:$G$110="acoes"))*Inputs!$B$1+((Inputs!$G$5:$G$110&lt;&gt;"moeda")*(Inputs!$G$5:$G$110&lt;&gt;"acoes")))*INDEX(Inputs!$K$5:$AJ$110,0,MATCH(AI$2,Inputs!$K$4:$AJ$4,0)))+SUMPRODUCT((Inputs!$C$5:$C$110=$B47)*Inputs!$D$5:$D$110*(((Inputs!$G$5:$G$110="moeda")+(Inputs!$G$5:$G$110="acoes"))*Inputs!$B$1+((Inputs!$G$5:$G$110&lt;&gt;"moeda")*(Inputs!$G$5:$G$110&lt;&gt;"acoes")))*INDEX(Inputs!$K$5:$AJ$110,0,MATCH(AI$2,Inputs!$K$4:$AJ$4,0)))+SUMPRODUCT((Inputs!$E$5:$E$110=$B47)*Inputs!$F$5:$F$110*(((Inputs!$G$5:$G$110="moeda")+(Inputs!$G$5:$G$110="acoes"))*Inputs!$B$1+((Inputs!$G$5:$G$110&lt;&gt;"moeda")*(Inputs!$G$5:$G$110&lt;&gt;"acoes")))*INDEX(Inputs!$K$5:$AJ$110,0,MATCH(AI$2,Inputs!$K$4:$AJ$4,0)))))</f>
        <v>87614</v>
      </c>
      <c r="AJ47" s="267">
        <f>IF(ISNA(MATCH(AJ$2,Inputs!$K$4:$AJ$4,0)),NA(),IF(SUMPRODUCT((Inputs!$A$5:$A$110=$B47)*ISNUMBER(INDEX(Inputs!$K$5:$AJ$110,0,MATCH(AJ$2,Inputs!$K$4:$AJ$4,0))))+SUMPRODUCT((Inputs!$C$5:$C$110=$B47)*ISNUMBER(INDEX(Inputs!$K$5:$AJ$110,0,MATCH(AJ$2,Inputs!$K$4:$AJ$4,0))))+SUMPRODUCT((Inputs!$E$5:$E$110=$B47)*ISNUMBER(INDEX(Inputs!$K$5:$AJ$110,0,MATCH(AJ$2,Inputs!$K$4:$AJ$4,0))))=0,NA(),SUMPRODUCT((Inputs!$A$5:$A$110=$B47)*Inputs!$B$5:$B$110*(((Inputs!$G$5:$G$110="moeda")+(Inputs!$G$5:$G$110="acoes"))*Inputs!$B$1+((Inputs!$G$5:$G$110&lt;&gt;"moeda")*(Inputs!$G$5:$G$110&lt;&gt;"acoes")))*INDEX(Inputs!$K$5:$AJ$110,0,MATCH(AJ$2,Inputs!$K$4:$AJ$4,0)))+SUMPRODUCT((Inputs!$C$5:$C$110=$B47)*Inputs!$D$5:$D$110*(((Inputs!$G$5:$G$110="moeda")+(Inputs!$G$5:$G$110="acoes"))*Inputs!$B$1+((Inputs!$G$5:$G$110&lt;&gt;"moeda")*(Inputs!$G$5:$G$110&lt;&gt;"acoes")))*INDEX(Inputs!$K$5:$AJ$110,0,MATCH(AJ$2,Inputs!$K$4:$AJ$4,0)))+SUMPRODUCT((Inputs!$E$5:$E$110=$B47)*Inputs!$F$5:$F$110*(((Inputs!$G$5:$G$110="moeda")+(Inputs!$G$5:$G$110="acoes"))*Inputs!$B$1+((Inputs!$G$5:$G$110&lt;&gt;"moeda")*(Inputs!$G$5:$G$110&lt;&gt;"acoes")))*INDEX(Inputs!$K$5:$AJ$110,0,MATCH(AJ$2,Inputs!$K$4:$AJ$4,0)))))</f>
        <v>92279</v>
      </c>
      <c r="AK47" s="267">
        <f>IF(ISNA(MATCH(AK$2,Inputs!$K$4:$AJ$4,0)),NA(),IF(SUMPRODUCT((Inputs!$A$5:$A$110=$B47)*ISNUMBER(INDEX(Inputs!$K$5:$AJ$110,0,MATCH(AK$2,Inputs!$K$4:$AJ$4,0))))+SUMPRODUCT((Inputs!$C$5:$C$110=$B47)*ISNUMBER(INDEX(Inputs!$K$5:$AJ$110,0,MATCH(AK$2,Inputs!$K$4:$AJ$4,0))))+SUMPRODUCT((Inputs!$E$5:$E$110=$B47)*ISNUMBER(INDEX(Inputs!$K$5:$AJ$110,0,MATCH(AK$2,Inputs!$K$4:$AJ$4,0))))=0,NA(),SUMPRODUCT((Inputs!$A$5:$A$110=$B47)*Inputs!$B$5:$B$110*(((Inputs!$G$5:$G$110="moeda")+(Inputs!$G$5:$G$110="acoes"))*Inputs!$B$1+((Inputs!$G$5:$G$110&lt;&gt;"moeda")*(Inputs!$G$5:$G$110&lt;&gt;"acoes")))*INDEX(Inputs!$K$5:$AJ$110,0,MATCH(AK$2,Inputs!$K$4:$AJ$4,0)))+SUMPRODUCT((Inputs!$C$5:$C$110=$B47)*Inputs!$D$5:$D$110*(((Inputs!$G$5:$G$110="moeda")+(Inputs!$G$5:$G$110="acoes"))*Inputs!$B$1+((Inputs!$G$5:$G$110&lt;&gt;"moeda")*(Inputs!$G$5:$G$110&lt;&gt;"acoes")))*INDEX(Inputs!$K$5:$AJ$110,0,MATCH(AK$2,Inputs!$K$4:$AJ$4,0)))+SUMPRODUCT((Inputs!$E$5:$E$110=$B47)*Inputs!$F$5:$F$110*(((Inputs!$G$5:$G$110="moeda")+(Inputs!$G$5:$G$110="acoes"))*Inputs!$B$1+((Inputs!$G$5:$G$110&lt;&gt;"moeda")*(Inputs!$G$5:$G$110&lt;&gt;"acoes")))*INDEX(Inputs!$K$5:$AJ$110,0,MATCH(AK$2,Inputs!$K$4:$AJ$4,0)))))</f>
        <v>88763</v>
      </c>
      <c r="AL47" s="268">
        <f>AK47</f>
        <v>88763</v>
      </c>
    </row>
    <row r="48"/>
    <row r="49" ht="12.75" customFormat="1" customHeight="1" s="259">
      <c r="C49" s="260" t="n"/>
      <c r="D49" s="272" t="n"/>
      <c r="E49" s="272" t="n"/>
      <c r="F49" s="272" t="n"/>
      <c r="G49" s="272" t="n"/>
      <c r="H49" s="268" t="n"/>
      <c r="I49" s="272" t="n"/>
      <c r="J49" s="272" t="n"/>
      <c r="K49" s="272" t="n"/>
      <c r="L49" s="272" t="n"/>
      <c r="M49" s="268" t="n"/>
      <c r="N49" s="272" t="n"/>
      <c r="O49" s="272" t="n"/>
      <c r="P49" s="272" t="n"/>
      <c r="Q49" s="272" t="n"/>
      <c r="R49" s="268" t="n"/>
      <c r="S49" s="272" t="n"/>
      <c r="T49" s="272" t="n"/>
      <c r="U49" s="272" t="n"/>
      <c r="V49" s="272" t="n"/>
      <c r="W49" s="268" t="n"/>
      <c r="X49" s="272" t="n"/>
      <c r="Y49" s="272" t="n"/>
      <c r="Z49" s="272" t="n"/>
      <c r="AA49" s="272" t="n"/>
      <c r="AC49" s="272" t="n"/>
      <c r="AD49" s="272" t="n"/>
      <c r="AE49" s="272" t="n"/>
      <c r="AF49" s="272" t="n"/>
    </row>
    <row r="50" ht="12.75" customHeight="1" s="255">
      <c r="B50" s="265" t="n">
        <v>44</v>
      </c>
      <c r="C50" s="269" t="inlineStr">
        <is>
          <t>Net income reported (lucro liquido) - memo p/ check IS [Model linha 4]</t>
        </is>
      </c>
      <c r="D50" s="267">
        <f>IF(ISNA(MATCH(D$2,Inputs!$K$4:$AJ$4,0)),NA(),IF(SUMPRODUCT((Inputs!$A$5:$A$110=$B50)*ISNUMBER(INDEX(Inputs!$K$5:$AJ$110,0,MATCH(D$2,Inputs!$K$4:$AJ$4,0))))+SUMPRODUCT((Inputs!$C$5:$C$110=$B50)*ISNUMBER(INDEX(Inputs!$K$5:$AJ$110,0,MATCH(D$2,Inputs!$K$4:$AJ$4,0))))+SUMPRODUCT((Inputs!$E$5:$E$110=$B50)*ISNUMBER(INDEX(Inputs!$K$5:$AJ$110,0,MATCH(D$2,Inputs!$K$4:$AJ$4,0))))=0,NA(),SUMPRODUCT((Inputs!$A$5:$A$110=$B50)*Inputs!$B$5:$B$110*(((Inputs!$G$5:$G$110="moeda")+(Inputs!$G$5:$G$110="acoes"))*Inputs!$B$1+((Inputs!$G$5:$G$110&lt;&gt;"moeda")*(Inputs!$G$5:$G$110&lt;&gt;"acoes")))*INDEX(Inputs!$K$5:$AJ$110,0,MATCH(D$2,Inputs!$K$4:$AJ$4,0)))+SUMPRODUCT((Inputs!$C$5:$C$110=$B50)*Inputs!$D$5:$D$110*(((Inputs!$G$5:$G$110="moeda")+(Inputs!$G$5:$G$110="acoes"))*Inputs!$B$1+((Inputs!$G$5:$G$110&lt;&gt;"moeda")*(Inputs!$G$5:$G$110&lt;&gt;"acoes")))*INDEX(Inputs!$K$5:$AJ$110,0,MATCH(D$2,Inputs!$K$4:$AJ$4,0)))+SUMPRODUCT((Inputs!$E$5:$E$110=$B50)*Inputs!$F$5:$F$110*(((Inputs!$G$5:$G$110="moeda")+(Inputs!$G$5:$G$110="acoes"))*Inputs!$B$1+((Inputs!$G$5:$G$110&lt;&gt;"moeda")*(Inputs!$G$5:$G$110&lt;&gt;"acoes")))*INDEX(Inputs!$K$5:$AJ$110,0,MATCH(D$2,Inputs!$K$4:$AJ$4,0)))))</f>
        <v>2730</v>
      </c>
      <c r="E50" s="267">
        <f>IF(ISNA(MATCH(E$2,Inputs!$K$4:$AJ$4,0)),NA(),IF(SUMPRODUCT((Inputs!$A$5:$A$110=$B50)*ISNUMBER(INDEX(Inputs!$K$5:$AJ$110,0,MATCH(E$2,Inputs!$K$4:$AJ$4,0))))+SUMPRODUCT((Inputs!$C$5:$C$110=$B50)*ISNUMBER(INDEX(Inputs!$K$5:$AJ$110,0,MATCH(E$2,Inputs!$K$4:$AJ$4,0))))+SUMPRODUCT((Inputs!$E$5:$E$110=$B50)*ISNUMBER(INDEX(Inputs!$K$5:$AJ$110,0,MATCH(E$2,Inputs!$K$4:$AJ$4,0))))=0,NA(),SUMPRODUCT((Inputs!$A$5:$A$110=$B50)*Inputs!$B$5:$B$110*(((Inputs!$G$5:$G$110="moeda")+(Inputs!$G$5:$G$110="acoes"))*Inputs!$B$1+((Inputs!$G$5:$G$110&lt;&gt;"moeda")*(Inputs!$G$5:$G$110&lt;&gt;"acoes")))*INDEX(Inputs!$K$5:$AJ$110,0,MATCH(E$2,Inputs!$K$4:$AJ$4,0)))+SUMPRODUCT((Inputs!$C$5:$C$110=$B50)*Inputs!$D$5:$D$110*(((Inputs!$G$5:$G$110="moeda")+(Inputs!$G$5:$G$110="acoes"))*Inputs!$B$1+((Inputs!$G$5:$G$110&lt;&gt;"moeda")*(Inputs!$G$5:$G$110&lt;&gt;"acoes")))*INDEX(Inputs!$K$5:$AJ$110,0,MATCH(E$2,Inputs!$K$4:$AJ$4,0)))+SUMPRODUCT((Inputs!$E$5:$E$110=$B50)*Inputs!$F$5:$F$110*(((Inputs!$G$5:$G$110="moeda")+(Inputs!$G$5:$G$110="acoes"))*Inputs!$B$1+((Inputs!$G$5:$G$110&lt;&gt;"moeda")*(Inputs!$G$5:$G$110&lt;&gt;"acoes")))*INDEX(Inputs!$K$5:$AJ$110,0,MATCH(E$2,Inputs!$K$4:$AJ$4,0)))))</f>
        <v>4276</v>
      </c>
      <c r="F50" s="267">
        <f>IF(ISNA(MATCH(F$2,Inputs!$K$4:$AJ$4,0)),NA(),IF(SUMPRODUCT((Inputs!$A$5:$A$110=$B50)*ISNUMBER(INDEX(Inputs!$K$5:$AJ$110,0,MATCH(F$2,Inputs!$K$4:$AJ$4,0))))+SUMPRODUCT((Inputs!$C$5:$C$110=$B50)*ISNUMBER(INDEX(Inputs!$K$5:$AJ$110,0,MATCH(F$2,Inputs!$K$4:$AJ$4,0))))+SUMPRODUCT((Inputs!$E$5:$E$110=$B50)*ISNUMBER(INDEX(Inputs!$K$5:$AJ$110,0,MATCH(F$2,Inputs!$K$4:$AJ$4,0))))=0,NA(),SUMPRODUCT((Inputs!$A$5:$A$110=$B50)*Inputs!$B$5:$B$110*(((Inputs!$G$5:$G$110="moeda")+(Inputs!$G$5:$G$110="acoes"))*Inputs!$B$1+((Inputs!$G$5:$G$110&lt;&gt;"moeda")*(Inputs!$G$5:$G$110&lt;&gt;"acoes")))*INDEX(Inputs!$K$5:$AJ$110,0,MATCH(F$2,Inputs!$K$4:$AJ$4,0)))+SUMPRODUCT((Inputs!$C$5:$C$110=$B50)*Inputs!$D$5:$D$110*(((Inputs!$G$5:$G$110="moeda")+(Inputs!$G$5:$G$110="acoes"))*Inputs!$B$1+((Inputs!$G$5:$G$110&lt;&gt;"moeda")*(Inputs!$G$5:$G$110&lt;&gt;"acoes")))*INDEX(Inputs!$K$5:$AJ$110,0,MATCH(F$2,Inputs!$K$4:$AJ$4,0)))+SUMPRODUCT((Inputs!$E$5:$E$110=$B50)*Inputs!$F$5:$F$110*(((Inputs!$G$5:$G$110="moeda")+(Inputs!$G$5:$G$110="acoes"))*Inputs!$B$1+((Inputs!$G$5:$G$110&lt;&gt;"moeda")*(Inputs!$G$5:$G$110&lt;&gt;"acoes")))*INDEX(Inputs!$K$5:$AJ$110,0,MATCH(F$2,Inputs!$K$4:$AJ$4,0)))))</f>
        <v>3105</v>
      </c>
      <c r="G50" s="267">
        <f>IF(ISNA(MATCH(G$2,Inputs!$K$4:$AJ$4,0)),NA(),IF(SUMPRODUCT((Inputs!$A$5:$A$110=$B50)*ISNUMBER(INDEX(Inputs!$K$5:$AJ$110,0,MATCH(G$2,Inputs!$K$4:$AJ$4,0))))+SUMPRODUCT((Inputs!$C$5:$C$110=$B50)*ISNUMBER(INDEX(Inputs!$K$5:$AJ$110,0,MATCH(G$2,Inputs!$K$4:$AJ$4,0))))+SUMPRODUCT((Inputs!$E$5:$E$110=$B50)*ISNUMBER(INDEX(Inputs!$K$5:$AJ$110,0,MATCH(G$2,Inputs!$K$4:$AJ$4,0))))=0,NA(),SUMPRODUCT((Inputs!$A$5:$A$110=$B50)*Inputs!$B$5:$B$110*(((Inputs!$G$5:$G$110="moeda")+(Inputs!$G$5:$G$110="acoes"))*Inputs!$B$1+((Inputs!$G$5:$G$110&lt;&gt;"moeda")*(Inputs!$G$5:$G$110&lt;&gt;"acoes")))*INDEX(Inputs!$K$5:$AJ$110,0,MATCH(G$2,Inputs!$K$4:$AJ$4,0)))+SUMPRODUCT((Inputs!$C$5:$C$110=$B50)*Inputs!$D$5:$D$110*(((Inputs!$G$5:$G$110="moeda")+(Inputs!$G$5:$G$110="acoes"))*Inputs!$B$1+((Inputs!$G$5:$G$110&lt;&gt;"moeda")*(Inputs!$G$5:$G$110&lt;&gt;"acoes")))*INDEX(Inputs!$K$5:$AJ$110,0,MATCH(G$2,Inputs!$K$4:$AJ$4,0)))+SUMPRODUCT((Inputs!$E$5:$E$110=$B50)*Inputs!$F$5:$F$110*(((Inputs!$G$5:$G$110="moeda")+(Inputs!$G$5:$G$110="acoes"))*Inputs!$B$1+((Inputs!$G$5:$G$110&lt;&gt;"moeda")*(Inputs!$G$5:$G$110&lt;&gt;"acoes")))*INDEX(Inputs!$K$5:$AJ$110,0,MATCH(G$2,Inputs!$K$4:$AJ$4,0)))))</f>
        <v>3562</v>
      </c>
      <c r="H50" s="268">
        <f>SUM(D50:G50)</f>
        <v>13673</v>
      </c>
      <c r="I50" s="267">
        <f>IF(ISNA(MATCH(I$2,Inputs!$K$4:$AJ$4,0)),NA(),IF(SUMPRODUCT((Inputs!$A$5:$A$110=$B50)*ISNUMBER(INDEX(Inputs!$K$5:$AJ$110,0,MATCH(I$2,Inputs!$K$4:$AJ$4,0))))+SUMPRODUCT((Inputs!$C$5:$C$110=$B50)*ISNUMBER(INDEX(Inputs!$K$5:$AJ$110,0,MATCH(I$2,Inputs!$K$4:$AJ$4,0))))+SUMPRODUCT((Inputs!$E$5:$E$110=$B50)*ISNUMBER(INDEX(Inputs!$K$5:$AJ$110,0,MATCH(I$2,Inputs!$K$4:$AJ$4,0))))=0,NA(),SUMPRODUCT((Inputs!$A$5:$A$110=$B50)*Inputs!$B$5:$B$110*(((Inputs!$G$5:$G$110="moeda")+(Inputs!$G$5:$G$110="acoes"))*Inputs!$B$1+((Inputs!$G$5:$G$110&lt;&gt;"moeda")*(Inputs!$G$5:$G$110&lt;&gt;"acoes")))*INDEX(Inputs!$K$5:$AJ$110,0,MATCH(I$2,Inputs!$K$4:$AJ$4,0)))+SUMPRODUCT((Inputs!$C$5:$C$110=$B50)*Inputs!$D$5:$D$110*(((Inputs!$G$5:$G$110="moeda")+(Inputs!$G$5:$G$110="acoes"))*Inputs!$B$1+((Inputs!$G$5:$G$110&lt;&gt;"moeda")*(Inputs!$G$5:$G$110&lt;&gt;"acoes")))*INDEX(Inputs!$K$5:$AJ$110,0,MATCH(I$2,Inputs!$K$4:$AJ$4,0)))+SUMPRODUCT((Inputs!$E$5:$E$110=$B50)*Inputs!$F$5:$F$110*(((Inputs!$G$5:$G$110="moeda")+(Inputs!$G$5:$G$110="acoes"))*Inputs!$B$1+((Inputs!$G$5:$G$110&lt;&gt;"moeda")*(Inputs!$G$5:$G$110&lt;&gt;"acoes")))*INDEX(Inputs!$K$5:$AJ$110,0,MATCH(I$2,Inputs!$K$4:$AJ$4,0)))))</f>
        <v>2054</v>
      </c>
      <c r="J50" s="267">
        <f>IF(ISNA(MATCH(J$2,Inputs!$K$4:$AJ$4,0)),NA(),IF(SUMPRODUCT((Inputs!$A$5:$A$110=$B50)*ISNUMBER(INDEX(Inputs!$K$5:$AJ$110,0,MATCH(J$2,Inputs!$K$4:$AJ$4,0))))+SUMPRODUCT((Inputs!$C$5:$C$110=$B50)*ISNUMBER(INDEX(Inputs!$K$5:$AJ$110,0,MATCH(J$2,Inputs!$K$4:$AJ$4,0))))+SUMPRODUCT((Inputs!$E$5:$E$110=$B50)*ISNUMBER(INDEX(Inputs!$K$5:$AJ$110,0,MATCH(J$2,Inputs!$K$4:$AJ$4,0))))=0,NA(),SUMPRODUCT((Inputs!$A$5:$A$110=$B50)*Inputs!$B$5:$B$110*(((Inputs!$G$5:$G$110="moeda")+(Inputs!$G$5:$G$110="acoes"))*Inputs!$B$1+((Inputs!$G$5:$G$110&lt;&gt;"moeda")*(Inputs!$G$5:$G$110&lt;&gt;"acoes")))*INDEX(Inputs!$K$5:$AJ$110,0,MATCH(J$2,Inputs!$K$4:$AJ$4,0)))+SUMPRODUCT((Inputs!$C$5:$C$110=$B50)*Inputs!$D$5:$D$110*(((Inputs!$G$5:$G$110="moeda")+(Inputs!$G$5:$G$110="acoes"))*Inputs!$B$1+((Inputs!$G$5:$G$110&lt;&gt;"moeda")*(Inputs!$G$5:$G$110&lt;&gt;"acoes")))*INDEX(Inputs!$K$5:$AJ$110,0,MATCH(J$2,Inputs!$K$4:$AJ$4,0)))+SUMPRODUCT((Inputs!$E$5:$E$110=$B50)*Inputs!$F$5:$F$110*(((Inputs!$G$5:$G$110="moeda")+(Inputs!$G$5:$G$110="acoes"))*Inputs!$B$1+((Inputs!$G$5:$G$110&lt;&gt;"moeda")*(Inputs!$G$5:$G$110&lt;&gt;"acoes")))*INDEX(Inputs!$K$5:$AJ$110,0,MATCH(J$2,Inputs!$K$4:$AJ$4,0)))))</f>
        <v>5149</v>
      </c>
      <c r="K50" s="267">
        <f>IF(ISNA(MATCH(K$2,Inputs!$K$4:$AJ$4,0)),NA(),IF(SUMPRODUCT((Inputs!$A$5:$A$110=$B50)*ISNUMBER(INDEX(Inputs!$K$5:$AJ$110,0,MATCH(K$2,Inputs!$K$4:$AJ$4,0))))+SUMPRODUCT((Inputs!$C$5:$C$110=$B50)*ISNUMBER(INDEX(Inputs!$K$5:$AJ$110,0,MATCH(K$2,Inputs!$K$4:$AJ$4,0))))+SUMPRODUCT((Inputs!$E$5:$E$110=$B50)*ISNUMBER(INDEX(Inputs!$K$5:$AJ$110,0,MATCH(K$2,Inputs!$K$4:$AJ$4,0))))=0,NA(),SUMPRODUCT((Inputs!$A$5:$A$110=$B50)*Inputs!$B$5:$B$110*(((Inputs!$G$5:$G$110="moeda")+(Inputs!$G$5:$G$110="acoes"))*Inputs!$B$1+((Inputs!$G$5:$G$110&lt;&gt;"moeda")*(Inputs!$G$5:$G$110&lt;&gt;"acoes")))*INDEX(Inputs!$K$5:$AJ$110,0,MATCH(K$2,Inputs!$K$4:$AJ$4,0)))+SUMPRODUCT((Inputs!$C$5:$C$110=$B50)*Inputs!$D$5:$D$110*(((Inputs!$G$5:$G$110="moeda")+(Inputs!$G$5:$G$110="acoes"))*Inputs!$B$1+((Inputs!$G$5:$G$110&lt;&gt;"moeda")*(Inputs!$G$5:$G$110&lt;&gt;"acoes")))*INDEX(Inputs!$K$5:$AJ$110,0,MATCH(K$2,Inputs!$K$4:$AJ$4,0)))+SUMPRODUCT((Inputs!$E$5:$E$110=$B50)*Inputs!$F$5:$F$110*(((Inputs!$G$5:$G$110="moeda")+(Inputs!$G$5:$G$110="acoes"))*Inputs!$B$1+((Inputs!$G$5:$G$110&lt;&gt;"moeda")*(Inputs!$G$5:$G$110&lt;&gt;"acoes")))*INDEX(Inputs!$K$5:$AJ$110,0,MATCH(K$2,Inputs!$K$4:$AJ$4,0)))))</f>
        <v>-1798</v>
      </c>
      <c r="L50" s="267">
        <f>IF(ISNA(MATCH(L$2,Inputs!$K$4:$AJ$4,0)),NA(),IF(SUMPRODUCT((Inputs!$A$5:$A$110=$B50)*ISNUMBER(INDEX(Inputs!$K$5:$AJ$110,0,MATCH(L$2,Inputs!$K$4:$AJ$4,0))))+SUMPRODUCT((Inputs!$C$5:$C$110=$B50)*ISNUMBER(INDEX(Inputs!$K$5:$AJ$110,0,MATCH(L$2,Inputs!$K$4:$AJ$4,0))))+SUMPRODUCT((Inputs!$E$5:$E$110=$B50)*ISNUMBER(INDEX(Inputs!$K$5:$AJ$110,0,MATCH(L$2,Inputs!$K$4:$AJ$4,0))))=0,NA(),SUMPRODUCT((Inputs!$A$5:$A$110=$B50)*Inputs!$B$5:$B$110*(((Inputs!$G$5:$G$110="moeda")+(Inputs!$G$5:$G$110="acoes"))*Inputs!$B$1+((Inputs!$G$5:$G$110&lt;&gt;"moeda")*(Inputs!$G$5:$G$110&lt;&gt;"acoes")))*INDEX(Inputs!$K$5:$AJ$110,0,MATCH(L$2,Inputs!$K$4:$AJ$4,0)))+SUMPRODUCT((Inputs!$C$5:$C$110=$B50)*Inputs!$D$5:$D$110*(((Inputs!$G$5:$G$110="moeda")+(Inputs!$G$5:$G$110="acoes"))*Inputs!$B$1+((Inputs!$G$5:$G$110&lt;&gt;"moeda")*(Inputs!$G$5:$G$110&lt;&gt;"acoes")))*INDEX(Inputs!$K$5:$AJ$110,0,MATCH(L$2,Inputs!$K$4:$AJ$4,0)))+SUMPRODUCT((Inputs!$E$5:$E$110=$B50)*Inputs!$F$5:$F$110*(((Inputs!$G$5:$G$110="moeda")+(Inputs!$G$5:$G$110="acoes"))*Inputs!$B$1+((Inputs!$G$5:$G$110&lt;&gt;"moeda")*(Inputs!$G$5:$G$110&lt;&gt;"acoes")))*INDEX(Inputs!$K$5:$AJ$110,0,MATCH(L$2,Inputs!$K$4:$AJ$4,0)))))</f>
        <v>6275</v>
      </c>
      <c r="M50" s="268">
        <f>SUM(I50:L50)</f>
        <v>11680</v>
      </c>
      <c r="N50" s="267">
        <f>IF(ISNA(MATCH(N$2,Inputs!$K$4:$AJ$4,0)),NA(),IF(SUMPRODUCT((Inputs!$A$5:$A$110=$B50)*ISNUMBER(INDEX(Inputs!$K$5:$AJ$110,0,MATCH(N$2,Inputs!$K$4:$AJ$4,0))))+SUMPRODUCT((Inputs!$C$5:$C$110=$B50)*ISNUMBER(INDEX(Inputs!$K$5:$AJ$110,0,MATCH(N$2,Inputs!$K$4:$AJ$4,0))))+SUMPRODUCT((Inputs!$E$5:$E$110=$B50)*ISNUMBER(INDEX(Inputs!$K$5:$AJ$110,0,MATCH(N$2,Inputs!$K$4:$AJ$4,0))))=0,NA(),SUMPRODUCT((Inputs!$A$5:$A$110=$B50)*Inputs!$B$5:$B$110*(((Inputs!$G$5:$G$110="moeda")+(Inputs!$G$5:$G$110="acoes"))*Inputs!$B$1+((Inputs!$G$5:$G$110&lt;&gt;"moeda")*(Inputs!$G$5:$G$110&lt;&gt;"acoes")))*INDEX(Inputs!$K$5:$AJ$110,0,MATCH(N$2,Inputs!$K$4:$AJ$4,0)))+SUMPRODUCT((Inputs!$C$5:$C$110=$B50)*Inputs!$D$5:$D$110*(((Inputs!$G$5:$G$110="moeda")+(Inputs!$G$5:$G$110="acoes"))*Inputs!$B$1+((Inputs!$G$5:$G$110&lt;&gt;"moeda")*(Inputs!$G$5:$G$110&lt;&gt;"acoes")))*INDEX(Inputs!$K$5:$AJ$110,0,MATCH(N$2,Inputs!$K$4:$AJ$4,0)))+SUMPRODUCT((Inputs!$E$5:$E$110=$B50)*Inputs!$F$5:$F$110*(((Inputs!$G$5:$G$110="moeda")+(Inputs!$G$5:$G$110="acoes"))*Inputs!$B$1+((Inputs!$G$5:$G$110&lt;&gt;"moeda")*(Inputs!$G$5:$G$110&lt;&gt;"acoes")))*INDEX(Inputs!$K$5:$AJ$110,0,MATCH(N$2,Inputs!$K$4:$AJ$4,0)))))</f>
        <v>1673</v>
      </c>
      <c r="O50" s="267">
        <f>IF(ISNA(MATCH(O$2,Inputs!$K$4:$AJ$4,0)),NA(),IF(SUMPRODUCT((Inputs!$A$5:$A$110=$B50)*ISNUMBER(INDEX(Inputs!$K$5:$AJ$110,0,MATCH(O$2,Inputs!$K$4:$AJ$4,0))))+SUMPRODUCT((Inputs!$C$5:$C$110=$B50)*ISNUMBER(INDEX(Inputs!$K$5:$AJ$110,0,MATCH(O$2,Inputs!$K$4:$AJ$4,0))))+SUMPRODUCT((Inputs!$E$5:$E$110=$B50)*ISNUMBER(INDEX(Inputs!$K$5:$AJ$110,0,MATCH(O$2,Inputs!$K$4:$AJ$4,0))))=0,NA(),SUMPRODUCT((Inputs!$A$5:$A$110=$B50)*Inputs!$B$5:$B$110*(((Inputs!$G$5:$G$110="moeda")+(Inputs!$G$5:$G$110="acoes"))*Inputs!$B$1+((Inputs!$G$5:$G$110&lt;&gt;"moeda")*(Inputs!$G$5:$G$110&lt;&gt;"acoes")))*INDEX(Inputs!$K$5:$AJ$110,0,MATCH(O$2,Inputs!$K$4:$AJ$4,0)))+SUMPRODUCT((Inputs!$C$5:$C$110=$B50)*Inputs!$D$5:$D$110*(((Inputs!$G$5:$G$110="moeda")+(Inputs!$G$5:$G$110="acoes"))*Inputs!$B$1+((Inputs!$G$5:$G$110&lt;&gt;"moeda")*(Inputs!$G$5:$G$110&lt;&gt;"acoes")))*INDEX(Inputs!$K$5:$AJ$110,0,MATCH(O$2,Inputs!$K$4:$AJ$4,0)))+SUMPRODUCT((Inputs!$E$5:$E$110=$B50)*Inputs!$F$5:$F$110*(((Inputs!$G$5:$G$110="moeda")+(Inputs!$G$5:$G$110="acoes"))*Inputs!$B$1+((Inputs!$G$5:$G$110&lt;&gt;"moeda")*(Inputs!$G$5:$G$110&lt;&gt;"acoes")))*INDEX(Inputs!$K$5:$AJ$110,0,MATCH(O$2,Inputs!$K$4:$AJ$4,0)))))</f>
        <v>7891</v>
      </c>
      <c r="P50" s="267">
        <f>IF(ISNA(MATCH(P$2,Inputs!$K$4:$AJ$4,0)),NA(),IF(SUMPRODUCT((Inputs!$A$5:$A$110=$B50)*ISNUMBER(INDEX(Inputs!$K$5:$AJ$110,0,MATCH(P$2,Inputs!$K$4:$AJ$4,0))))+SUMPRODUCT((Inputs!$C$5:$C$110=$B50)*ISNUMBER(INDEX(Inputs!$K$5:$AJ$110,0,MATCH(P$2,Inputs!$K$4:$AJ$4,0))))+SUMPRODUCT((Inputs!$E$5:$E$110=$B50)*ISNUMBER(INDEX(Inputs!$K$5:$AJ$110,0,MATCH(P$2,Inputs!$K$4:$AJ$4,0))))=0,NA(),SUMPRODUCT((Inputs!$A$5:$A$110=$B50)*Inputs!$B$5:$B$110*(((Inputs!$G$5:$G$110="moeda")+(Inputs!$G$5:$G$110="acoes"))*Inputs!$B$1+((Inputs!$G$5:$G$110&lt;&gt;"moeda")*(Inputs!$G$5:$G$110&lt;&gt;"acoes")))*INDEX(Inputs!$K$5:$AJ$110,0,MATCH(P$2,Inputs!$K$4:$AJ$4,0)))+SUMPRODUCT((Inputs!$C$5:$C$110=$B50)*Inputs!$D$5:$D$110*(((Inputs!$G$5:$G$110="moeda")+(Inputs!$G$5:$G$110="acoes"))*Inputs!$B$1+((Inputs!$G$5:$G$110&lt;&gt;"moeda")*(Inputs!$G$5:$G$110&lt;&gt;"acoes")))*INDEX(Inputs!$K$5:$AJ$110,0,MATCH(P$2,Inputs!$K$4:$AJ$4,0)))+SUMPRODUCT((Inputs!$E$5:$E$110=$B50)*Inputs!$F$5:$F$110*(((Inputs!$G$5:$G$110="moeda")+(Inputs!$G$5:$G$110="acoes"))*Inputs!$B$1+((Inputs!$G$5:$G$110&lt;&gt;"moeda")*(Inputs!$G$5:$G$110&lt;&gt;"acoes")))*INDEX(Inputs!$K$5:$AJ$110,0,MATCH(P$2,Inputs!$K$4:$AJ$4,0)))))</f>
        <v>453</v>
      </c>
      <c r="Q50" s="267">
        <f>IF(ISNA(MATCH(Q$2,Inputs!$K$4:$AJ$4,0)),NA(),IF(SUMPRODUCT((Inputs!$A$5:$A$110=$B50)*ISNUMBER(INDEX(Inputs!$K$5:$AJ$110,0,MATCH(Q$2,Inputs!$K$4:$AJ$4,0))))+SUMPRODUCT((Inputs!$C$5:$C$110=$B50)*ISNUMBER(INDEX(Inputs!$K$5:$AJ$110,0,MATCH(Q$2,Inputs!$K$4:$AJ$4,0))))+SUMPRODUCT((Inputs!$E$5:$E$110=$B50)*ISNUMBER(INDEX(Inputs!$K$5:$AJ$110,0,MATCH(Q$2,Inputs!$K$4:$AJ$4,0))))=0,NA(),SUMPRODUCT((Inputs!$A$5:$A$110=$B50)*Inputs!$B$5:$B$110*(((Inputs!$G$5:$G$110="moeda")+(Inputs!$G$5:$G$110="acoes"))*Inputs!$B$1+((Inputs!$G$5:$G$110&lt;&gt;"moeda")*(Inputs!$G$5:$G$110&lt;&gt;"acoes")))*INDEX(Inputs!$K$5:$AJ$110,0,MATCH(Q$2,Inputs!$K$4:$AJ$4,0)))+SUMPRODUCT((Inputs!$C$5:$C$110=$B50)*Inputs!$D$5:$D$110*(((Inputs!$G$5:$G$110="moeda")+(Inputs!$G$5:$G$110="acoes"))*Inputs!$B$1+((Inputs!$G$5:$G$110&lt;&gt;"moeda")*(Inputs!$G$5:$G$110&lt;&gt;"acoes")))*INDEX(Inputs!$K$5:$AJ$110,0,MATCH(Q$2,Inputs!$K$4:$AJ$4,0)))+SUMPRODUCT((Inputs!$E$5:$E$110=$B50)*Inputs!$F$5:$F$110*(((Inputs!$G$5:$G$110="moeda")+(Inputs!$G$5:$G$110="acoes"))*Inputs!$B$1+((Inputs!$G$5:$G$110&lt;&gt;"moeda")*(Inputs!$G$5:$G$110&lt;&gt;"acoes")))*INDEX(Inputs!$K$5:$AJ$110,0,MATCH(Q$2,Inputs!$K$4:$AJ$4,0)))))</f>
        <v>5494</v>
      </c>
      <c r="R50" s="268">
        <f>SUM(N50:Q50)</f>
        <v>15511</v>
      </c>
      <c r="S50" s="267">
        <f>IF(ISNA(MATCH(S$2,Inputs!$K$4:$AJ$4,0)),NA(),IF(SUMPRODUCT((Inputs!$A$5:$A$110=$B50)*ISNUMBER(INDEX(Inputs!$K$5:$AJ$110,0,MATCH(S$2,Inputs!$K$4:$AJ$4,0))))+SUMPRODUCT((Inputs!$C$5:$C$110=$B50)*ISNUMBER(INDEX(Inputs!$K$5:$AJ$110,0,MATCH(S$2,Inputs!$K$4:$AJ$4,0))))+SUMPRODUCT((Inputs!$E$5:$E$110=$B50)*ISNUMBER(INDEX(Inputs!$K$5:$AJ$110,0,MATCH(S$2,Inputs!$K$4:$AJ$4,0))))=0,NA(),SUMPRODUCT((Inputs!$A$5:$A$110=$B50)*Inputs!$B$5:$B$110*(((Inputs!$G$5:$G$110="moeda")+(Inputs!$G$5:$G$110="acoes"))*Inputs!$B$1+((Inputs!$G$5:$G$110&lt;&gt;"moeda")*(Inputs!$G$5:$G$110&lt;&gt;"acoes")))*INDEX(Inputs!$K$5:$AJ$110,0,MATCH(S$2,Inputs!$K$4:$AJ$4,0)))+SUMPRODUCT((Inputs!$C$5:$C$110=$B50)*Inputs!$D$5:$D$110*(((Inputs!$G$5:$G$110="moeda")+(Inputs!$G$5:$G$110="acoes"))*Inputs!$B$1+((Inputs!$G$5:$G$110&lt;&gt;"moeda")*(Inputs!$G$5:$G$110&lt;&gt;"acoes")))*INDEX(Inputs!$K$5:$AJ$110,0,MATCH(S$2,Inputs!$K$4:$AJ$4,0)))+SUMPRODUCT((Inputs!$E$5:$E$110=$B50)*Inputs!$F$5:$F$110*(((Inputs!$G$5:$G$110="moeda")+(Inputs!$G$5:$G$110="acoes"))*Inputs!$B$1+((Inputs!$G$5:$G$110&lt;&gt;"moeda")*(Inputs!$G$5:$G$110&lt;&gt;"acoes")))*INDEX(Inputs!$K$5:$AJ$110,0,MATCH(S$2,Inputs!$K$4:$AJ$4,0)))))</f>
        <v>5104</v>
      </c>
      <c r="T50" s="267">
        <f>IF(ISNA(MATCH(T$2,Inputs!$K$4:$AJ$4,0)),NA(),IF(SUMPRODUCT((Inputs!$A$5:$A$110=$B50)*ISNUMBER(INDEX(Inputs!$K$5:$AJ$110,0,MATCH(T$2,Inputs!$K$4:$AJ$4,0))))+SUMPRODUCT((Inputs!$C$5:$C$110=$B50)*ISNUMBER(INDEX(Inputs!$K$5:$AJ$110,0,MATCH(T$2,Inputs!$K$4:$AJ$4,0))))+SUMPRODUCT((Inputs!$E$5:$E$110=$B50)*ISNUMBER(INDEX(Inputs!$K$5:$AJ$110,0,MATCH(T$2,Inputs!$K$4:$AJ$4,0))))=0,NA(),SUMPRODUCT((Inputs!$A$5:$A$110=$B50)*Inputs!$B$5:$B$110*(((Inputs!$G$5:$G$110="moeda")+(Inputs!$G$5:$G$110="acoes"))*Inputs!$B$1+((Inputs!$G$5:$G$110&lt;&gt;"moeda")*(Inputs!$G$5:$G$110&lt;&gt;"acoes")))*INDEX(Inputs!$K$5:$AJ$110,0,MATCH(T$2,Inputs!$K$4:$AJ$4,0)))+SUMPRODUCT((Inputs!$C$5:$C$110=$B50)*Inputs!$D$5:$D$110*(((Inputs!$G$5:$G$110="moeda")+(Inputs!$G$5:$G$110="acoes"))*Inputs!$B$1+((Inputs!$G$5:$G$110&lt;&gt;"moeda")*(Inputs!$G$5:$G$110&lt;&gt;"acoes")))*INDEX(Inputs!$K$5:$AJ$110,0,MATCH(T$2,Inputs!$K$4:$AJ$4,0)))+SUMPRODUCT((Inputs!$E$5:$E$110=$B50)*Inputs!$F$5:$F$110*(((Inputs!$G$5:$G$110="moeda")+(Inputs!$G$5:$G$110="acoes"))*Inputs!$B$1+((Inputs!$G$5:$G$110&lt;&gt;"moeda")*(Inputs!$G$5:$G$110&lt;&gt;"acoes")))*INDEX(Inputs!$K$5:$AJ$110,0,MATCH(T$2,Inputs!$K$4:$AJ$4,0)))))</f>
        <v>4501</v>
      </c>
      <c r="U50" s="267">
        <f>IF(ISNA(MATCH(U$2,Inputs!$K$4:$AJ$4,0)),NA(),IF(SUMPRODUCT((Inputs!$A$5:$A$110=$B50)*ISNUMBER(INDEX(Inputs!$K$5:$AJ$110,0,MATCH(U$2,Inputs!$K$4:$AJ$4,0))))+SUMPRODUCT((Inputs!$C$5:$C$110=$B50)*ISNUMBER(INDEX(Inputs!$K$5:$AJ$110,0,MATCH(U$2,Inputs!$K$4:$AJ$4,0))))+SUMPRODUCT((Inputs!$E$5:$E$110=$B50)*ISNUMBER(INDEX(Inputs!$K$5:$AJ$110,0,MATCH(U$2,Inputs!$K$4:$AJ$4,0))))=0,NA(),SUMPRODUCT((Inputs!$A$5:$A$110=$B50)*Inputs!$B$5:$B$110*(((Inputs!$G$5:$G$110="moeda")+(Inputs!$G$5:$G$110="acoes"))*Inputs!$B$1+((Inputs!$G$5:$G$110&lt;&gt;"moeda")*(Inputs!$G$5:$G$110&lt;&gt;"acoes")))*INDEX(Inputs!$K$5:$AJ$110,0,MATCH(U$2,Inputs!$K$4:$AJ$4,0)))+SUMPRODUCT((Inputs!$C$5:$C$110=$B50)*Inputs!$D$5:$D$110*(((Inputs!$G$5:$G$110="moeda")+(Inputs!$G$5:$G$110="acoes"))*Inputs!$B$1+((Inputs!$G$5:$G$110&lt;&gt;"moeda")*(Inputs!$G$5:$G$110&lt;&gt;"acoes")))*INDEX(Inputs!$K$5:$AJ$110,0,MATCH(U$2,Inputs!$K$4:$AJ$4,0)))+SUMPRODUCT((Inputs!$E$5:$E$110=$B50)*Inputs!$F$5:$F$110*(((Inputs!$G$5:$G$110="moeda")+(Inputs!$G$5:$G$110="acoes"))*Inputs!$B$1+((Inputs!$G$5:$G$110&lt;&gt;"moeda")*(Inputs!$G$5:$G$110&lt;&gt;"acoes")))*INDEX(Inputs!$K$5:$AJ$110,0,MATCH(U$2,Inputs!$K$4:$AJ$4,0)))))</f>
        <v>4577</v>
      </c>
      <c r="V50" s="267">
        <f>IF(ISNA(MATCH(V$2,Inputs!$K$4:$AJ$4,0)),NA(),IF(SUMPRODUCT((Inputs!$A$5:$A$110=$B50)*ISNUMBER(INDEX(Inputs!$K$5:$AJ$110,0,MATCH(V$2,Inputs!$K$4:$AJ$4,0))))+SUMPRODUCT((Inputs!$C$5:$C$110=$B50)*ISNUMBER(INDEX(Inputs!$K$5:$AJ$110,0,MATCH(V$2,Inputs!$K$4:$AJ$4,0))))+SUMPRODUCT((Inputs!$E$5:$E$110=$B50)*ISNUMBER(INDEX(Inputs!$K$5:$AJ$110,0,MATCH(V$2,Inputs!$K$4:$AJ$4,0))))=0,NA(),SUMPRODUCT((Inputs!$A$5:$A$110=$B50)*Inputs!$B$5:$B$110*(((Inputs!$G$5:$G$110="moeda")+(Inputs!$G$5:$G$110="acoes"))*Inputs!$B$1+((Inputs!$G$5:$G$110&lt;&gt;"moeda")*(Inputs!$G$5:$G$110&lt;&gt;"acoes")))*INDEX(Inputs!$K$5:$AJ$110,0,MATCH(V$2,Inputs!$K$4:$AJ$4,0)))+SUMPRODUCT((Inputs!$C$5:$C$110=$B50)*Inputs!$D$5:$D$110*(((Inputs!$G$5:$G$110="moeda")+(Inputs!$G$5:$G$110="acoes"))*Inputs!$B$1+((Inputs!$G$5:$G$110&lt;&gt;"moeda")*(Inputs!$G$5:$G$110&lt;&gt;"acoes")))*INDEX(Inputs!$K$5:$AJ$110,0,MATCH(V$2,Inputs!$K$4:$AJ$4,0)))+SUMPRODUCT((Inputs!$E$5:$E$110=$B50)*Inputs!$F$5:$F$110*(((Inputs!$G$5:$G$110="moeda")+(Inputs!$G$5:$G$110="acoes"))*Inputs!$B$1+((Inputs!$G$5:$G$110&lt;&gt;"moeda")*(Inputs!$G$5:$G$110&lt;&gt;"acoes")))*INDEX(Inputs!$K$5:$AJ$110,0,MATCH(V$2,Inputs!$K$4:$AJ$4,0)))))</f>
        <v>5254</v>
      </c>
      <c r="W50" s="268">
        <f>SUM(S50:V50)</f>
        <v>19436</v>
      </c>
      <c r="X50" s="267">
        <f>IF(ISNA(MATCH(X$2,Inputs!$K$4:$AJ$4,0)),NA(),IF(SUMPRODUCT((Inputs!$A$5:$A$110=$B50)*ISNUMBER(INDEX(Inputs!$K$5:$AJ$110,0,MATCH(X$2,Inputs!$K$4:$AJ$4,0))))+SUMPRODUCT((Inputs!$C$5:$C$110=$B50)*ISNUMBER(INDEX(Inputs!$K$5:$AJ$110,0,MATCH(X$2,Inputs!$K$4:$AJ$4,0))))+SUMPRODUCT((Inputs!$E$5:$E$110=$B50)*ISNUMBER(INDEX(Inputs!$K$5:$AJ$110,0,MATCH(X$2,Inputs!$K$4:$AJ$4,0))))=0,NA(),SUMPRODUCT((Inputs!$A$5:$A$110=$B50)*Inputs!$B$5:$B$110*(((Inputs!$G$5:$G$110="moeda")+(Inputs!$G$5:$G$110="acoes"))*Inputs!$B$1+((Inputs!$G$5:$G$110&lt;&gt;"moeda")*(Inputs!$G$5:$G$110&lt;&gt;"acoes")))*INDEX(Inputs!$K$5:$AJ$110,0,MATCH(X$2,Inputs!$K$4:$AJ$4,0)))+SUMPRODUCT((Inputs!$C$5:$C$110=$B50)*Inputs!$D$5:$D$110*(((Inputs!$G$5:$G$110="moeda")+(Inputs!$G$5:$G$110="acoes"))*Inputs!$B$1+((Inputs!$G$5:$G$110&lt;&gt;"moeda")*(Inputs!$G$5:$G$110&lt;&gt;"acoes")))*INDEX(Inputs!$K$5:$AJ$110,0,MATCH(X$2,Inputs!$K$4:$AJ$4,0)))+SUMPRODUCT((Inputs!$E$5:$E$110=$B50)*Inputs!$F$5:$F$110*(((Inputs!$G$5:$G$110="moeda")+(Inputs!$G$5:$G$110="acoes"))*Inputs!$B$1+((Inputs!$G$5:$G$110&lt;&gt;"moeda")*(Inputs!$G$5:$G$110&lt;&gt;"acoes")))*INDEX(Inputs!$K$5:$AJ$110,0,MATCH(X$2,Inputs!$K$4:$AJ$4,0)))))</f>
        <v>4487</v>
      </c>
      <c r="Y50" s="267">
        <f>IF(ISNA(MATCH(Y$2,Inputs!$K$4:$AJ$4,0)),NA(),IF(SUMPRODUCT((Inputs!$A$5:$A$110=$B50)*ISNUMBER(INDEX(Inputs!$K$5:$AJ$110,0,MATCH(Y$2,Inputs!$K$4:$AJ$4,0))))+SUMPRODUCT((Inputs!$C$5:$C$110=$B50)*ISNUMBER(INDEX(Inputs!$K$5:$AJ$110,0,MATCH(Y$2,Inputs!$K$4:$AJ$4,0))))+SUMPRODUCT((Inputs!$E$5:$E$110=$B50)*ISNUMBER(INDEX(Inputs!$K$5:$AJ$110,0,MATCH(Y$2,Inputs!$K$4:$AJ$4,0))))=0,NA(),SUMPRODUCT((Inputs!$A$5:$A$110=$B50)*Inputs!$B$5:$B$110*(((Inputs!$G$5:$G$110="moeda")+(Inputs!$G$5:$G$110="acoes"))*Inputs!$B$1+((Inputs!$G$5:$G$110&lt;&gt;"moeda")*(Inputs!$G$5:$G$110&lt;&gt;"acoes")))*INDEX(Inputs!$K$5:$AJ$110,0,MATCH(Y$2,Inputs!$K$4:$AJ$4,0)))+SUMPRODUCT((Inputs!$C$5:$C$110=$B50)*Inputs!$D$5:$D$110*(((Inputs!$G$5:$G$110="moeda")+(Inputs!$G$5:$G$110="acoes"))*Inputs!$B$1+((Inputs!$G$5:$G$110&lt;&gt;"moeda")*(Inputs!$G$5:$G$110&lt;&gt;"acoes")))*INDEX(Inputs!$K$5:$AJ$110,0,MATCH(Y$2,Inputs!$K$4:$AJ$4,0)))+SUMPRODUCT((Inputs!$E$5:$E$110=$B50)*Inputs!$F$5:$F$110*(((Inputs!$G$5:$G$110="moeda")+(Inputs!$G$5:$G$110="acoes"))*Inputs!$B$1+((Inputs!$G$5:$G$110&lt;&gt;"moeda")*(Inputs!$G$5:$G$110&lt;&gt;"acoes")))*INDEX(Inputs!$K$5:$AJ$110,0,MATCH(Y$2,Inputs!$K$4:$AJ$4,0)))))</f>
        <v>7026</v>
      </c>
      <c r="Z50" s="267">
        <f>IF(ISNA(MATCH(Z$2,Inputs!$K$4:$AJ$4,0)),NA(),IF(SUMPRODUCT((Inputs!$A$5:$A$110=$B50)*ISNUMBER(INDEX(Inputs!$K$5:$AJ$110,0,MATCH(Z$2,Inputs!$K$4:$AJ$4,0))))+SUMPRODUCT((Inputs!$C$5:$C$110=$B50)*ISNUMBER(INDEX(Inputs!$K$5:$AJ$110,0,MATCH(Z$2,Inputs!$K$4:$AJ$4,0))))+SUMPRODUCT((Inputs!$E$5:$E$110=$B50)*ISNUMBER(INDEX(Inputs!$K$5:$AJ$110,0,MATCH(Z$2,Inputs!$K$4:$AJ$4,0))))=0,NA(),SUMPRODUCT((Inputs!$A$5:$A$110=$B50)*Inputs!$B$5:$B$110*(((Inputs!$G$5:$G$110="moeda")+(Inputs!$G$5:$G$110="acoes"))*Inputs!$B$1+((Inputs!$G$5:$G$110&lt;&gt;"moeda")*(Inputs!$G$5:$G$110&lt;&gt;"acoes")))*INDEX(Inputs!$K$5:$AJ$110,0,MATCH(Z$2,Inputs!$K$4:$AJ$4,0)))+SUMPRODUCT((Inputs!$C$5:$C$110=$B50)*Inputs!$D$5:$D$110*(((Inputs!$G$5:$G$110="moeda")+(Inputs!$G$5:$G$110="acoes"))*Inputs!$B$1+((Inputs!$G$5:$G$110&lt;&gt;"moeda")*(Inputs!$G$5:$G$110&lt;&gt;"acoes")))*INDEX(Inputs!$K$5:$AJ$110,0,MATCH(Z$2,Inputs!$K$4:$AJ$4,0)))+SUMPRODUCT((Inputs!$E$5:$E$110=$B50)*Inputs!$F$5:$F$110*(((Inputs!$G$5:$G$110="moeda")+(Inputs!$G$5:$G$110="acoes"))*Inputs!$B$1+((Inputs!$G$5:$G$110&lt;&gt;"moeda")*(Inputs!$G$5:$G$110&lt;&gt;"acoes")))*INDEX(Inputs!$K$5:$AJ$110,0,MATCH(Z$2,Inputs!$K$4:$AJ$4,0)))))</f>
        <v>6143</v>
      </c>
      <c r="AA50" s="267">
        <f>IF(ISNA(MATCH(AA$2,Inputs!$K$4:$AJ$4,0)),NA(),IF(SUMPRODUCT((Inputs!$A$5:$A$110=$B50)*ISNUMBER(INDEX(Inputs!$K$5:$AJ$110,0,MATCH(AA$2,Inputs!$K$4:$AJ$4,0))))+SUMPRODUCT((Inputs!$C$5:$C$110=$B50)*ISNUMBER(INDEX(Inputs!$K$5:$AJ$110,0,MATCH(AA$2,Inputs!$K$4:$AJ$4,0))))+SUMPRODUCT((Inputs!$E$5:$E$110=$B50)*ISNUMBER(INDEX(Inputs!$K$5:$AJ$110,0,MATCH(AA$2,Inputs!$K$4:$AJ$4,0))))=0,NA(),SUMPRODUCT((Inputs!$A$5:$A$110=$B50)*Inputs!$B$5:$B$110*(((Inputs!$G$5:$G$110="moeda")+(Inputs!$G$5:$G$110="acoes"))*Inputs!$B$1+((Inputs!$G$5:$G$110&lt;&gt;"moeda")*(Inputs!$G$5:$G$110&lt;&gt;"acoes")))*INDEX(Inputs!$K$5:$AJ$110,0,MATCH(AA$2,Inputs!$K$4:$AJ$4,0)))+SUMPRODUCT((Inputs!$C$5:$C$110=$B50)*Inputs!$D$5:$D$110*(((Inputs!$G$5:$G$110="moeda")+(Inputs!$G$5:$G$110="acoes"))*Inputs!$B$1+((Inputs!$G$5:$G$110&lt;&gt;"moeda")*(Inputs!$G$5:$G$110&lt;&gt;"acoes")))*INDEX(Inputs!$K$5:$AJ$110,0,MATCH(AA$2,Inputs!$K$4:$AJ$4,0)))+SUMPRODUCT((Inputs!$E$5:$E$110=$B50)*Inputs!$F$5:$F$110*(((Inputs!$G$5:$G$110="moeda")+(Inputs!$G$5:$G$110="acoes"))*Inputs!$B$1+((Inputs!$G$5:$G$110&lt;&gt;"moeda")*(Inputs!$G$5:$G$110&lt;&gt;"acoes")))*INDEX(Inputs!$K$5:$AJ$110,0,MATCH(AA$2,Inputs!$K$4:$AJ$4,0)))))</f>
        <v>4237</v>
      </c>
      <c r="AB50" s="268">
        <f>SUM(X50:AA50)</f>
        <v>21893</v>
      </c>
      <c r="AC50" s="267">
        <f>IF(ISNA(MATCH(AC$2,Inputs!$K$4:$AJ$4,0)),NA(),IF(SUMPRODUCT((Inputs!$A$5:$A$110=$B50)*ISNUMBER(INDEX(Inputs!$K$5:$AJ$110,0,MATCH(AC$2,Inputs!$K$4:$AJ$4,0))))+SUMPRODUCT((Inputs!$C$5:$C$110=$B50)*ISNUMBER(INDEX(Inputs!$K$5:$AJ$110,0,MATCH(AC$2,Inputs!$K$4:$AJ$4,0))))+SUMPRODUCT((Inputs!$E$5:$E$110=$B50)*ISNUMBER(INDEX(Inputs!$K$5:$AJ$110,0,MATCH(AC$2,Inputs!$K$4:$AJ$4,0))))=0,NA(),SUMPRODUCT((Inputs!$A$5:$A$110=$B50)*Inputs!$B$5:$B$110*(((Inputs!$G$5:$G$110="moeda")+(Inputs!$G$5:$G$110="acoes"))*Inputs!$B$1+((Inputs!$G$5:$G$110&lt;&gt;"moeda")*(Inputs!$G$5:$G$110&lt;&gt;"acoes")))*INDEX(Inputs!$K$5:$AJ$110,0,MATCH(AC$2,Inputs!$K$4:$AJ$4,0)))+SUMPRODUCT((Inputs!$C$5:$C$110=$B50)*Inputs!$D$5:$D$110*(((Inputs!$G$5:$G$110="moeda")+(Inputs!$G$5:$G$110="acoes"))*Inputs!$B$1+((Inputs!$G$5:$G$110&lt;&gt;"moeda")*(Inputs!$G$5:$G$110&lt;&gt;"acoes")))*INDEX(Inputs!$K$5:$AJ$110,0,MATCH(AC$2,Inputs!$K$4:$AJ$4,0)))+SUMPRODUCT((Inputs!$E$5:$E$110=$B50)*Inputs!$F$5:$F$110*(((Inputs!$G$5:$G$110="moeda")+(Inputs!$G$5:$G$110="acoes"))*Inputs!$B$1+((Inputs!$G$5:$G$110&lt;&gt;"moeda")*(Inputs!$G$5:$G$110&lt;&gt;"acoes")))*INDEX(Inputs!$K$5:$AJ$110,0,MATCH(AC$2,Inputs!$K$4:$AJ$4,0)))))</f>
        <v>5330</v>
      </c>
      <c r="AD50" s="267">
        <f>IF(ISNA(MATCH(AD$2,Inputs!$K$4:$AJ$4,0)),NA(),IF(SUMPRODUCT((Inputs!$A$5:$A$110=$B50)*ISNUMBER(INDEX(Inputs!$K$5:$AJ$110,0,MATCH(AD$2,Inputs!$K$4:$AJ$4,0))))+SUMPRODUCT((Inputs!$C$5:$C$110=$B50)*ISNUMBER(INDEX(Inputs!$K$5:$AJ$110,0,MATCH(AD$2,Inputs!$K$4:$AJ$4,0))))+SUMPRODUCT((Inputs!$E$5:$E$110=$B50)*ISNUMBER(INDEX(Inputs!$K$5:$AJ$110,0,MATCH(AD$2,Inputs!$K$4:$AJ$4,0))))=0,NA(),SUMPRODUCT((Inputs!$A$5:$A$110=$B50)*Inputs!$B$5:$B$110*(((Inputs!$G$5:$G$110="moeda")+(Inputs!$G$5:$G$110="acoes"))*Inputs!$B$1+((Inputs!$G$5:$G$110&lt;&gt;"moeda")*(Inputs!$G$5:$G$110&lt;&gt;"acoes")))*INDEX(Inputs!$K$5:$AJ$110,0,MATCH(AD$2,Inputs!$K$4:$AJ$4,0)))+SUMPRODUCT((Inputs!$C$5:$C$110=$B50)*Inputs!$D$5:$D$110*(((Inputs!$G$5:$G$110="moeda")+(Inputs!$G$5:$G$110="acoes"))*Inputs!$B$1+((Inputs!$G$5:$G$110&lt;&gt;"moeda")*(Inputs!$G$5:$G$110&lt;&gt;"acoes")))*INDEX(Inputs!$K$5:$AJ$110,0,MATCH(AD$2,Inputs!$K$4:$AJ$4,0)))+SUMPRODUCT((Inputs!$E$5:$E$110=$B50)*Inputs!$F$5:$F$110*(((Inputs!$G$5:$G$110="moeda")+(Inputs!$G$5:$G$110="acoes"))*Inputs!$B$1+((Inputs!$G$5:$G$110&lt;&gt;"moeda")*(Inputs!$G$5:$G$110&lt;&gt;"acoes")))*INDEX(Inputs!$K$5:$AJ$110,0,MATCH(AD$2,Inputs!$K$4:$AJ$4,0)))))</f>
        <v>6366</v>
      </c>
      <c r="AE50" s="267" t="e">
        <f>IF(ISNA(MATCH(AE$2,Inputs!$K$4:$AJ$4,0)),NA(),IF(SUMPRODUCT((Inputs!$A$5:$A$110=$B50)*ISNUMBER(INDEX(Inputs!$K$5:$AJ$110,0,MATCH(AE$2,Inputs!$K$4:$AJ$4,0))))+SUMPRODUCT((Inputs!$C$5:$C$110=$B50)*ISNUMBER(INDEX(Inputs!$K$5:$AJ$110,0,MATCH(AE$2,Inputs!$K$4:$AJ$4,0))))+SUMPRODUCT((Inputs!$E$5:$E$110=$B50)*ISNUMBER(INDEX(Inputs!$K$5:$AJ$110,0,MATCH(AE$2,Inputs!$K$4:$AJ$4,0))))=0,NA(),SUMPRODUCT((Inputs!$A$5:$A$110=$B50)*Inputs!$B$5:$B$110*(((Inputs!$G$5:$G$110="moeda")+(Inputs!$G$5:$G$110="acoes"))*Inputs!$B$1+((Inputs!$G$5:$G$110&lt;&gt;"moeda")*(Inputs!$G$5:$G$110&lt;&gt;"acoes")))*INDEX(Inputs!$K$5:$AJ$110,0,MATCH(AE$2,Inputs!$K$4:$AJ$4,0)))+SUMPRODUCT((Inputs!$C$5:$C$110=$B50)*Inputs!$D$5:$D$110*(((Inputs!$G$5:$G$110="moeda")+(Inputs!$G$5:$G$110="acoes"))*Inputs!$B$1+((Inputs!$G$5:$G$110&lt;&gt;"moeda")*(Inputs!$G$5:$G$110&lt;&gt;"acoes")))*INDEX(Inputs!$K$5:$AJ$110,0,MATCH(AE$2,Inputs!$K$4:$AJ$4,0)))+SUMPRODUCT((Inputs!$E$5:$E$110=$B50)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0" s="267" t="e">
        <f>IF(ISNA(MATCH(AF$2,Inputs!$K$4:$AJ$4,0)),NA(),IF(SUMPRODUCT((Inputs!$A$5:$A$110=$B50)*ISNUMBER(INDEX(Inputs!$K$5:$AJ$110,0,MATCH(AF$2,Inputs!$K$4:$AJ$4,0))))+SUMPRODUCT((Inputs!$C$5:$C$110=$B50)*ISNUMBER(INDEX(Inputs!$K$5:$AJ$110,0,MATCH(AF$2,Inputs!$K$4:$AJ$4,0))))+SUMPRODUCT((Inputs!$E$5:$E$110=$B50)*ISNUMBER(INDEX(Inputs!$K$5:$AJ$110,0,MATCH(AF$2,Inputs!$K$4:$AJ$4,0))))=0,NA(),SUMPRODUCT((Inputs!$A$5:$A$110=$B50)*Inputs!$B$5:$B$110*(((Inputs!$G$5:$G$110="moeda")+(Inputs!$G$5:$G$110="acoes"))*Inputs!$B$1+((Inputs!$G$5:$G$110&lt;&gt;"moeda")*(Inputs!$G$5:$G$110&lt;&gt;"acoes")))*INDEX(Inputs!$K$5:$AJ$110,0,MATCH(AF$2,Inputs!$K$4:$AJ$4,0)))+SUMPRODUCT((Inputs!$C$5:$C$110=$B50)*Inputs!$D$5:$D$110*(((Inputs!$G$5:$G$110="moeda")+(Inputs!$G$5:$G$110="acoes"))*Inputs!$B$1+((Inputs!$G$5:$G$110&lt;&gt;"moeda")*(Inputs!$G$5:$G$110&lt;&gt;"acoes")))*INDEX(Inputs!$K$5:$AJ$110,0,MATCH(AF$2,Inputs!$K$4:$AJ$4,0)))+SUMPRODUCT((Inputs!$E$5:$E$110=$B50)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0" s="268" t="e">
        <f>SUM(AC50:AF50)</f>
        <v>#N/A</v>
      </c>
      <c r="AH50" s="260">
        <f>IF(ISNA(MATCH(AH$2,Inputs!$K$4:$AJ$4,0)),NA(),IF(SUMPRODUCT((Inputs!$A$5:$A$110=$B50)*ISNUMBER(INDEX(Inputs!$K$5:$AJ$110,0,MATCH(AH$2,Inputs!$K$4:$AJ$4,0))))+SUMPRODUCT((Inputs!$C$5:$C$110=$B50)*ISNUMBER(INDEX(Inputs!$K$5:$AJ$110,0,MATCH(AH$2,Inputs!$K$4:$AJ$4,0))))+SUMPRODUCT((Inputs!$E$5:$E$110=$B50)*ISNUMBER(INDEX(Inputs!$K$5:$AJ$110,0,MATCH(AH$2,Inputs!$K$4:$AJ$4,0))))=0,NA(),SUMPRODUCT((Inputs!$A$5:$A$110=$B50)*Inputs!$B$5:$B$110*(((Inputs!$G$5:$G$110="moeda")+(Inputs!$G$5:$G$110="acoes"))*Inputs!$B$1+((Inputs!$G$5:$G$110&lt;&gt;"moeda")*(Inputs!$G$5:$G$110&lt;&gt;"acoes")))*INDEX(Inputs!$K$5:$AJ$110,0,MATCH(AH$2,Inputs!$K$4:$AJ$4,0)))+SUMPRODUCT((Inputs!$C$5:$C$110=$B50)*Inputs!$D$5:$D$110*(((Inputs!$G$5:$G$110="moeda")+(Inputs!$G$5:$G$110="acoes"))*Inputs!$B$1+((Inputs!$G$5:$G$110&lt;&gt;"moeda")*(Inputs!$G$5:$G$110&lt;&gt;"acoes")))*INDEX(Inputs!$K$5:$AJ$110,0,MATCH(AH$2,Inputs!$K$4:$AJ$4,0)))+SUMPRODUCT((Inputs!$E$5:$E$110=$B50)*Inputs!$F$5:$F$110*(((Inputs!$G$5:$G$110="moeda")+(Inputs!$G$5:$G$110="acoes"))*Inputs!$B$1+((Inputs!$G$5:$G$110&lt;&gt;"moeda")*(Inputs!$G$5:$G$110&lt;&gt;"acoes")))*INDEX(Inputs!$K$5:$AJ$110,0,MATCH(AH$2,Inputs!$K$4:$AJ$4,0)))))</f>
        <v>3990</v>
      </c>
      <c r="AI50" s="260">
        <f>IF(ISNA(MATCH(AI$2,Inputs!$K$4:$AJ$4,0)),NA(),IF(SUMPRODUCT((Inputs!$A$5:$A$110=$B50)*ISNUMBER(INDEX(Inputs!$K$5:$AJ$110,0,MATCH(AI$2,Inputs!$K$4:$AJ$4,0))))+SUMPRODUCT((Inputs!$C$5:$C$110=$B50)*ISNUMBER(INDEX(Inputs!$K$5:$AJ$110,0,MATCH(AI$2,Inputs!$K$4:$AJ$4,0))))+SUMPRODUCT((Inputs!$E$5:$E$110=$B50)*ISNUMBER(INDEX(Inputs!$K$5:$AJ$110,0,MATCH(AI$2,Inputs!$K$4:$AJ$4,0))))=0,NA(),SUMPRODUCT((Inputs!$A$5:$A$110=$B50)*Inputs!$B$5:$B$110*(((Inputs!$G$5:$G$110="moeda")+(Inputs!$G$5:$G$110="acoes"))*Inputs!$B$1+((Inputs!$G$5:$G$110&lt;&gt;"moeda")*(Inputs!$G$5:$G$110&lt;&gt;"acoes")))*INDEX(Inputs!$K$5:$AJ$110,0,MATCH(AI$2,Inputs!$K$4:$AJ$4,0)))+SUMPRODUCT((Inputs!$C$5:$C$110=$B50)*Inputs!$D$5:$D$110*(((Inputs!$G$5:$G$110="moeda")+(Inputs!$G$5:$G$110="acoes"))*Inputs!$B$1+((Inputs!$G$5:$G$110&lt;&gt;"moeda")*(Inputs!$G$5:$G$110&lt;&gt;"acoes")))*INDEX(Inputs!$K$5:$AJ$110,0,MATCH(AI$2,Inputs!$K$4:$AJ$4,0)))+SUMPRODUCT((Inputs!$E$5:$E$110=$B50)*Inputs!$F$5:$F$110*(((Inputs!$G$5:$G$110="moeda")+(Inputs!$G$5:$G$110="acoes"))*Inputs!$B$1+((Inputs!$G$5:$G$110&lt;&gt;"moeda")*(Inputs!$G$5:$G$110&lt;&gt;"acoes")))*INDEX(Inputs!$K$5:$AJ$110,0,MATCH(AI$2,Inputs!$K$4:$AJ$4,0)))))</f>
        <v>6476</v>
      </c>
      <c r="AJ50" s="260">
        <f>IF(ISNA(MATCH(AJ$2,Inputs!$K$4:$AJ$4,0)),NA(),IF(SUMPRODUCT((Inputs!$A$5:$A$110=$B50)*ISNUMBER(INDEX(Inputs!$K$5:$AJ$110,0,MATCH(AJ$2,Inputs!$K$4:$AJ$4,0))))+SUMPRODUCT((Inputs!$C$5:$C$110=$B50)*ISNUMBER(INDEX(Inputs!$K$5:$AJ$110,0,MATCH(AJ$2,Inputs!$K$4:$AJ$4,0))))+SUMPRODUCT((Inputs!$E$5:$E$110=$B50)*ISNUMBER(INDEX(Inputs!$K$5:$AJ$110,0,MATCH(AJ$2,Inputs!$K$4:$AJ$4,0))))=0,NA(),SUMPRODUCT((Inputs!$A$5:$A$110=$B50)*Inputs!$B$5:$B$110*(((Inputs!$G$5:$G$110="moeda")+(Inputs!$G$5:$G$110="acoes"))*Inputs!$B$1+((Inputs!$G$5:$G$110&lt;&gt;"moeda")*(Inputs!$G$5:$G$110&lt;&gt;"acoes")))*INDEX(Inputs!$K$5:$AJ$110,0,MATCH(AJ$2,Inputs!$K$4:$AJ$4,0)))+SUMPRODUCT((Inputs!$C$5:$C$110=$B50)*Inputs!$D$5:$D$110*(((Inputs!$G$5:$G$110="moeda")+(Inputs!$G$5:$G$110="acoes"))*Inputs!$B$1+((Inputs!$G$5:$G$110&lt;&gt;"moeda")*(Inputs!$G$5:$G$110&lt;&gt;"acoes")))*INDEX(Inputs!$K$5:$AJ$110,0,MATCH(AJ$2,Inputs!$K$4:$AJ$4,0)))+SUMPRODUCT((Inputs!$E$5:$E$110=$B50)*Inputs!$F$5:$F$110*(((Inputs!$G$5:$G$110="moeda")+(Inputs!$G$5:$G$110="acoes"))*Inputs!$B$1+((Inputs!$G$5:$G$110&lt;&gt;"moeda")*(Inputs!$G$5:$G$110&lt;&gt;"acoes")))*INDEX(Inputs!$K$5:$AJ$110,0,MATCH(AJ$2,Inputs!$K$4:$AJ$4,0)))))</f>
        <v>5135</v>
      </c>
      <c r="AK50" s="260">
        <f>IF(ISNA(MATCH(AK$2,Inputs!$K$4:$AJ$4,0)),NA(),IF(SUMPRODUCT((Inputs!$A$5:$A$110=$B50)*ISNUMBER(INDEX(Inputs!$K$5:$AJ$110,0,MATCH(AK$2,Inputs!$K$4:$AJ$4,0))))+SUMPRODUCT((Inputs!$C$5:$C$110=$B50)*ISNUMBER(INDEX(Inputs!$K$5:$AJ$110,0,MATCH(AK$2,Inputs!$K$4:$AJ$4,0))))+SUMPRODUCT((Inputs!$E$5:$E$110=$B50)*ISNUMBER(INDEX(Inputs!$K$5:$AJ$110,0,MATCH(AK$2,Inputs!$K$4:$AJ$4,0))))=0,NA(),SUMPRODUCT((Inputs!$A$5:$A$110=$B50)*Inputs!$B$5:$B$110*(((Inputs!$G$5:$G$110="moeda")+(Inputs!$G$5:$G$110="acoes"))*Inputs!$B$1+((Inputs!$G$5:$G$110&lt;&gt;"moeda")*(Inputs!$G$5:$G$110&lt;&gt;"acoes")))*INDEX(Inputs!$K$5:$AJ$110,0,MATCH(AK$2,Inputs!$K$4:$AJ$4,0)))+SUMPRODUCT((Inputs!$C$5:$C$110=$B50)*Inputs!$D$5:$D$110*(((Inputs!$G$5:$G$110="moeda")+(Inputs!$G$5:$G$110="acoes"))*Inputs!$B$1+((Inputs!$G$5:$G$110&lt;&gt;"moeda")*(Inputs!$G$5:$G$110&lt;&gt;"acoes")))*INDEX(Inputs!$K$5:$AJ$110,0,MATCH(AK$2,Inputs!$K$4:$AJ$4,0)))+SUMPRODUCT((Inputs!$E$5:$E$110=$B50)*Inputs!$F$5:$F$110*(((Inputs!$G$5:$G$110="moeda")+(Inputs!$G$5:$G$110="acoes"))*Inputs!$B$1+((Inputs!$G$5:$G$110&lt;&gt;"moeda")*(Inputs!$G$5:$G$110&lt;&gt;"acoes")))*INDEX(Inputs!$K$5:$AJ$110,0,MATCH(AK$2,Inputs!$K$4:$AJ$4,0)))))</f>
        <v>-2091</v>
      </c>
      <c r="AL50" s="260">
        <f>SUM(AH50:AK50)</f>
        <v>13510</v>
      </c>
    </row>
    <row r="52">
      <c r="C52" s="511" t="inlineStr">
        <is>
          <t>Drivers de receita (memo) - codigos 45+ [Model, bloco abaixo da receita liquida]</t>
        </is>
      </c>
    </row>
    <row r="53">
      <c r="B53" s="265" t="n">
        <v>45</v>
      </c>
      <c r="C53" s="266" t="inlineStr">
        <is>
          <t>Walmart U.S. - receita (USD)</t>
        </is>
      </c>
      <c r="D53" s="513">
        <f>IF(ISNA(MATCH(D$2,Inputs!$K$4:$AJ$4,0)),NA(),IF(SUMPRODUCT((Inputs!$A$5:$A$110=$B53)*ISNUMBER(INDEX(Inputs!$K$5:$AJ$110,0,MATCH(D$2,Inputs!$K$4:$AJ$4,0))))+SUMPRODUCT((Inputs!$C$5:$C$110=$B53)*ISNUMBER(INDEX(Inputs!$K$5:$AJ$110,0,MATCH(D$2,Inputs!$K$4:$AJ$4,0))))+SUMPRODUCT((Inputs!$E$5:$E$110=$B53)*ISNUMBER(INDEX(Inputs!$K$5:$AJ$110,0,MATCH(D$2,Inputs!$K$4:$AJ$4,0))))=0,NA(),SUMPRODUCT((Inputs!$A$5:$A$110=$B53)*Inputs!$B$5:$B$110*(((Inputs!$G$5:$G$110="moeda")+(Inputs!$G$5:$G$110="acoes"))*Inputs!$B$1+((Inputs!$G$5:$G$110&lt;&gt;"moeda")*(Inputs!$G$5:$G$110&lt;&gt;"acoes")))*INDEX(Inputs!$K$5:$AJ$110,0,MATCH(D$2,Inputs!$K$4:$AJ$4,0)))+SUMPRODUCT((Inputs!$C$5:$C$110=$B53)*Inputs!$D$5:$D$110*(((Inputs!$G$5:$G$110="moeda")+(Inputs!$G$5:$G$110="acoes"))*Inputs!$B$1+((Inputs!$G$5:$G$110&lt;&gt;"moeda")*(Inputs!$G$5:$G$110&lt;&gt;"acoes")))*INDEX(Inputs!$K$5:$AJ$110,0,MATCH(D$2,Inputs!$K$4:$AJ$4,0)))+SUMPRODUCT((Inputs!$E$5:$E$110=$B53)*Inputs!$F$5:$F$110*(((Inputs!$G$5:$G$110="moeda")+(Inputs!$G$5:$G$110="acoes"))*Inputs!$B$1+((Inputs!$G$5:$G$110&lt;&gt;"moeda")*(Inputs!$G$5:$G$110&lt;&gt;"acoes")))*INDEX(Inputs!$K$5:$AJ$110,0,MATCH(D$2,Inputs!$K$4:$AJ$4,0)))))</f>
        <v>93167</v>
      </c>
      <c r="E53" s="513">
        <f>IF(ISNA(MATCH(E$2,Inputs!$K$4:$AJ$4,0)),NA(),IF(SUMPRODUCT((Inputs!$A$5:$A$110=$B53)*ISNUMBER(INDEX(Inputs!$K$5:$AJ$110,0,MATCH(E$2,Inputs!$K$4:$AJ$4,0))))+SUMPRODUCT((Inputs!$C$5:$C$110=$B53)*ISNUMBER(INDEX(Inputs!$K$5:$AJ$110,0,MATCH(E$2,Inputs!$K$4:$AJ$4,0))))+SUMPRODUCT((Inputs!$E$5:$E$110=$B53)*ISNUMBER(INDEX(Inputs!$K$5:$AJ$110,0,MATCH(E$2,Inputs!$K$4:$AJ$4,0))))=0,NA(),SUMPRODUCT((Inputs!$A$5:$A$110=$B53)*Inputs!$B$5:$B$110*(((Inputs!$G$5:$G$110="moeda")+(Inputs!$G$5:$G$110="acoes"))*Inputs!$B$1+((Inputs!$G$5:$G$110&lt;&gt;"moeda")*(Inputs!$G$5:$G$110&lt;&gt;"acoes")))*INDEX(Inputs!$K$5:$AJ$110,0,MATCH(E$2,Inputs!$K$4:$AJ$4,0)))+SUMPRODUCT((Inputs!$C$5:$C$110=$B53)*Inputs!$D$5:$D$110*(((Inputs!$G$5:$G$110="moeda")+(Inputs!$G$5:$G$110="acoes"))*Inputs!$B$1+((Inputs!$G$5:$G$110&lt;&gt;"moeda")*(Inputs!$G$5:$G$110&lt;&gt;"acoes")))*INDEX(Inputs!$K$5:$AJ$110,0,MATCH(E$2,Inputs!$K$4:$AJ$4,0)))+SUMPRODUCT((Inputs!$E$5:$E$110=$B53)*Inputs!$F$5:$F$110*(((Inputs!$G$5:$G$110="moeda")+(Inputs!$G$5:$G$110="acoes"))*Inputs!$B$1+((Inputs!$G$5:$G$110&lt;&gt;"moeda")*(Inputs!$G$5:$G$110&lt;&gt;"acoes")))*INDEX(Inputs!$K$5:$AJ$110,0,MATCH(E$2,Inputs!$K$4:$AJ$4,0)))))</f>
        <v>98192</v>
      </c>
      <c r="F53" s="513">
        <f>IF(ISNA(MATCH(F$2,Inputs!$K$4:$AJ$4,0)),NA(),IF(SUMPRODUCT((Inputs!$A$5:$A$110=$B53)*ISNUMBER(INDEX(Inputs!$K$5:$AJ$110,0,MATCH(F$2,Inputs!$K$4:$AJ$4,0))))+SUMPRODUCT((Inputs!$C$5:$C$110=$B53)*ISNUMBER(INDEX(Inputs!$K$5:$AJ$110,0,MATCH(F$2,Inputs!$K$4:$AJ$4,0))))+SUMPRODUCT((Inputs!$E$5:$E$110=$B53)*ISNUMBER(INDEX(Inputs!$K$5:$AJ$110,0,MATCH(F$2,Inputs!$K$4:$AJ$4,0))))=0,NA(),SUMPRODUCT((Inputs!$A$5:$A$110=$B53)*Inputs!$B$5:$B$110*(((Inputs!$G$5:$G$110="moeda")+(Inputs!$G$5:$G$110="acoes"))*Inputs!$B$1+((Inputs!$G$5:$G$110&lt;&gt;"moeda")*(Inputs!$G$5:$G$110&lt;&gt;"acoes")))*INDEX(Inputs!$K$5:$AJ$110,0,MATCH(F$2,Inputs!$K$4:$AJ$4,0)))+SUMPRODUCT((Inputs!$C$5:$C$110=$B53)*Inputs!$D$5:$D$110*(((Inputs!$G$5:$G$110="moeda")+(Inputs!$G$5:$G$110="acoes"))*Inputs!$B$1+((Inputs!$G$5:$G$110&lt;&gt;"moeda")*(Inputs!$G$5:$G$110&lt;&gt;"acoes")))*INDEX(Inputs!$K$5:$AJ$110,0,MATCH(F$2,Inputs!$K$4:$AJ$4,0)))+SUMPRODUCT((Inputs!$E$5:$E$110=$B53)*Inputs!$F$5:$F$110*(((Inputs!$G$5:$G$110="moeda")+(Inputs!$G$5:$G$110="acoes"))*Inputs!$B$1+((Inputs!$G$5:$G$110&lt;&gt;"moeda")*(Inputs!$G$5:$G$110&lt;&gt;"acoes")))*INDEX(Inputs!$K$5:$AJ$110,0,MATCH(F$2,Inputs!$K$4:$AJ$4,0)))))</f>
        <v>96609</v>
      </c>
      <c r="G53" s="513">
        <f>IF(ISNA(MATCH(G$2,Inputs!$K$4:$AJ$4,0)),NA(),IF(SUMPRODUCT((Inputs!$A$5:$A$110=$B53)*ISNUMBER(INDEX(Inputs!$K$5:$AJ$110,0,MATCH(G$2,Inputs!$K$4:$AJ$4,0))))+SUMPRODUCT((Inputs!$C$5:$C$110=$B53)*ISNUMBER(INDEX(Inputs!$K$5:$AJ$110,0,MATCH(G$2,Inputs!$K$4:$AJ$4,0))))+SUMPRODUCT((Inputs!$E$5:$E$110=$B53)*ISNUMBER(INDEX(Inputs!$K$5:$AJ$110,0,MATCH(G$2,Inputs!$K$4:$AJ$4,0))))=0,NA(),SUMPRODUCT((Inputs!$A$5:$A$110=$B53)*Inputs!$B$5:$B$110*(((Inputs!$G$5:$G$110="moeda")+(Inputs!$G$5:$G$110="acoes"))*Inputs!$B$1+((Inputs!$G$5:$G$110&lt;&gt;"moeda")*(Inputs!$G$5:$G$110&lt;&gt;"acoes")))*INDEX(Inputs!$K$5:$AJ$110,0,MATCH(G$2,Inputs!$K$4:$AJ$4,0)))+SUMPRODUCT((Inputs!$C$5:$C$110=$B53)*Inputs!$D$5:$D$110*(((Inputs!$G$5:$G$110="moeda")+(Inputs!$G$5:$G$110="acoes"))*Inputs!$B$1+((Inputs!$G$5:$G$110&lt;&gt;"moeda")*(Inputs!$G$5:$G$110&lt;&gt;"acoes")))*INDEX(Inputs!$K$5:$AJ$110,0,MATCH(G$2,Inputs!$K$4:$AJ$4,0)))+SUMPRODUCT((Inputs!$E$5:$E$110=$B53)*Inputs!$F$5:$F$110*(((Inputs!$G$5:$G$110="moeda")+(Inputs!$G$5:$G$110="acoes"))*Inputs!$B$1+((Inputs!$G$5:$G$110&lt;&gt;"moeda")*(Inputs!$G$5:$G$110&lt;&gt;"acoes")))*INDEX(Inputs!$K$5:$AJ$110,0,MATCH(G$2,Inputs!$K$4:$AJ$4,0)))))</f>
        <v>105279</v>
      </c>
      <c r="H53" s="514">
        <f>SUM(D53:G53)</f>
        <v>393247</v>
      </c>
      <c r="I53" s="513">
        <f>IF(ISNA(MATCH(I$2,Inputs!$K$4:$AJ$4,0)),NA(),IF(SUMPRODUCT((Inputs!$A$5:$A$110=$B53)*ISNUMBER(INDEX(Inputs!$K$5:$AJ$110,0,MATCH(I$2,Inputs!$K$4:$AJ$4,0))))+SUMPRODUCT((Inputs!$C$5:$C$110=$B53)*ISNUMBER(INDEX(Inputs!$K$5:$AJ$110,0,MATCH(I$2,Inputs!$K$4:$AJ$4,0))))+SUMPRODUCT((Inputs!$E$5:$E$110=$B53)*ISNUMBER(INDEX(Inputs!$K$5:$AJ$110,0,MATCH(I$2,Inputs!$K$4:$AJ$4,0))))=0,NA(),SUMPRODUCT((Inputs!$A$5:$A$110=$B53)*Inputs!$B$5:$B$110*(((Inputs!$G$5:$G$110="moeda")+(Inputs!$G$5:$G$110="acoes"))*Inputs!$B$1+((Inputs!$G$5:$G$110&lt;&gt;"moeda")*(Inputs!$G$5:$G$110&lt;&gt;"acoes")))*INDEX(Inputs!$K$5:$AJ$110,0,MATCH(I$2,Inputs!$K$4:$AJ$4,0)))+SUMPRODUCT((Inputs!$C$5:$C$110=$B53)*Inputs!$D$5:$D$110*(((Inputs!$G$5:$G$110="moeda")+(Inputs!$G$5:$G$110="acoes"))*Inputs!$B$1+((Inputs!$G$5:$G$110&lt;&gt;"moeda")*(Inputs!$G$5:$G$110&lt;&gt;"acoes")))*INDEX(Inputs!$K$5:$AJ$110,0,MATCH(I$2,Inputs!$K$4:$AJ$4,0)))+SUMPRODUCT((Inputs!$E$5:$E$110=$B53)*Inputs!$F$5:$F$110*(((Inputs!$G$5:$G$110="moeda")+(Inputs!$G$5:$G$110="acoes"))*Inputs!$B$1+((Inputs!$G$5:$G$110&lt;&gt;"moeda")*(Inputs!$G$5:$G$110&lt;&gt;"acoes")))*INDEX(Inputs!$K$5:$AJ$110,0,MATCH(I$2,Inputs!$K$4:$AJ$4,0)))))</f>
        <v>96904</v>
      </c>
      <c r="J53" s="513">
        <f>IF(ISNA(MATCH(J$2,Inputs!$K$4:$AJ$4,0)),NA(),IF(SUMPRODUCT((Inputs!$A$5:$A$110=$B53)*ISNUMBER(INDEX(Inputs!$K$5:$AJ$110,0,MATCH(J$2,Inputs!$K$4:$AJ$4,0))))+SUMPRODUCT((Inputs!$C$5:$C$110=$B53)*ISNUMBER(INDEX(Inputs!$K$5:$AJ$110,0,MATCH(J$2,Inputs!$K$4:$AJ$4,0))))+SUMPRODUCT((Inputs!$E$5:$E$110=$B53)*ISNUMBER(INDEX(Inputs!$K$5:$AJ$110,0,MATCH(J$2,Inputs!$K$4:$AJ$4,0))))=0,NA(),SUMPRODUCT((Inputs!$A$5:$A$110=$B53)*Inputs!$B$5:$B$110*(((Inputs!$G$5:$G$110="moeda")+(Inputs!$G$5:$G$110="acoes"))*Inputs!$B$1+((Inputs!$G$5:$G$110&lt;&gt;"moeda")*(Inputs!$G$5:$G$110&lt;&gt;"acoes")))*INDEX(Inputs!$K$5:$AJ$110,0,MATCH(J$2,Inputs!$K$4:$AJ$4,0)))+SUMPRODUCT((Inputs!$C$5:$C$110=$B53)*Inputs!$D$5:$D$110*(((Inputs!$G$5:$G$110="moeda")+(Inputs!$G$5:$G$110="acoes"))*Inputs!$B$1+((Inputs!$G$5:$G$110&lt;&gt;"moeda")*(Inputs!$G$5:$G$110&lt;&gt;"acoes")))*INDEX(Inputs!$K$5:$AJ$110,0,MATCH(J$2,Inputs!$K$4:$AJ$4,0)))+SUMPRODUCT((Inputs!$E$5:$E$110=$B53)*Inputs!$F$5:$F$110*(((Inputs!$G$5:$G$110="moeda")+(Inputs!$G$5:$G$110="acoes"))*Inputs!$B$1+((Inputs!$G$5:$G$110&lt;&gt;"moeda")*(Inputs!$G$5:$G$110&lt;&gt;"acoes")))*INDEX(Inputs!$K$5:$AJ$110,0,MATCH(J$2,Inputs!$K$4:$AJ$4,0)))))</f>
        <v>105130</v>
      </c>
      <c r="K53" s="513">
        <f>IF(ISNA(MATCH(K$2,Inputs!$K$4:$AJ$4,0)),NA(),IF(SUMPRODUCT((Inputs!$A$5:$A$110=$B53)*ISNUMBER(INDEX(Inputs!$K$5:$AJ$110,0,MATCH(K$2,Inputs!$K$4:$AJ$4,0))))+SUMPRODUCT((Inputs!$C$5:$C$110=$B53)*ISNUMBER(INDEX(Inputs!$K$5:$AJ$110,0,MATCH(K$2,Inputs!$K$4:$AJ$4,0))))+SUMPRODUCT((Inputs!$E$5:$E$110=$B53)*ISNUMBER(INDEX(Inputs!$K$5:$AJ$110,0,MATCH(K$2,Inputs!$K$4:$AJ$4,0))))=0,NA(),SUMPRODUCT((Inputs!$A$5:$A$110=$B53)*Inputs!$B$5:$B$110*(((Inputs!$G$5:$G$110="moeda")+(Inputs!$G$5:$G$110="acoes"))*Inputs!$B$1+((Inputs!$G$5:$G$110&lt;&gt;"moeda")*(Inputs!$G$5:$G$110&lt;&gt;"acoes")))*INDEX(Inputs!$K$5:$AJ$110,0,MATCH(K$2,Inputs!$K$4:$AJ$4,0)))+SUMPRODUCT((Inputs!$C$5:$C$110=$B53)*Inputs!$D$5:$D$110*(((Inputs!$G$5:$G$110="moeda")+(Inputs!$G$5:$G$110="acoes"))*Inputs!$B$1+((Inputs!$G$5:$G$110&lt;&gt;"moeda")*(Inputs!$G$5:$G$110&lt;&gt;"acoes")))*INDEX(Inputs!$K$5:$AJ$110,0,MATCH(K$2,Inputs!$K$4:$AJ$4,0)))+SUMPRODUCT((Inputs!$E$5:$E$110=$B53)*Inputs!$F$5:$F$110*(((Inputs!$G$5:$G$110="moeda")+(Inputs!$G$5:$G$110="acoes"))*Inputs!$B$1+((Inputs!$G$5:$G$110&lt;&gt;"moeda")*(Inputs!$G$5:$G$110&lt;&gt;"acoes")))*INDEX(Inputs!$K$5:$AJ$110,0,MATCH(K$2,Inputs!$K$4:$AJ$4,0)))))</f>
        <v>104775</v>
      </c>
      <c r="L53" s="513">
        <f>IF(ISNA(MATCH(L$2,Inputs!$K$4:$AJ$4,0)),NA(),IF(SUMPRODUCT((Inputs!$A$5:$A$110=$B53)*ISNUMBER(INDEX(Inputs!$K$5:$AJ$110,0,MATCH(L$2,Inputs!$K$4:$AJ$4,0))))+SUMPRODUCT((Inputs!$C$5:$C$110=$B53)*ISNUMBER(INDEX(Inputs!$K$5:$AJ$110,0,MATCH(L$2,Inputs!$K$4:$AJ$4,0))))+SUMPRODUCT((Inputs!$E$5:$E$110=$B53)*ISNUMBER(INDEX(Inputs!$K$5:$AJ$110,0,MATCH(L$2,Inputs!$K$4:$AJ$4,0))))=0,NA(),SUMPRODUCT((Inputs!$A$5:$A$110=$B53)*Inputs!$B$5:$B$110*(((Inputs!$G$5:$G$110="moeda")+(Inputs!$G$5:$G$110="acoes"))*Inputs!$B$1+((Inputs!$G$5:$G$110&lt;&gt;"moeda")*(Inputs!$G$5:$G$110&lt;&gt;"acoes")))*INDEX(Inputs!$K$5:$AJ$110,0,MATCH(L$2,Inputs!$K$4:$AJ$4,0)))+SUMPRODUCT((Inputs!$C$5:$C$110=$B53)*Inputs!$D$5:$D$110*(((Inputs!$G$5:$G$110="moeda")+(Inputs!$G$5:$G$110="acoes"))*Inputs!$B$1+((Inputs!$G$5:$G$110&lt;&gt;"moeda")*(Inputs!$G$5:$G$110&lt;&gt;"acoes")))*INDEX(Inputs!$K$5:$AJ$110,0,MATCH(L$2,Inputs!$K$4:$AJ$4,0)))+SUMPRODUCT((Inputs!$E$5:$E$110=$B53)*Inputs!$F$5:$F$110*(((Inputs!$G$5:$G$110="moeda")+(Inputs!$G$5:$G$110="acoes"))*Inputs!$B$1+((Inputs!$G$5:$G$110&lt;&gt;"moeda")*(Inputs!$G$5:$G$110&lt;&gt;"acoes")))*INDEX(Inputs!$K$5:$AJ$110,0,MATCH(L$2,Inputs!$K$4:$AJ$4,0)))))</f>
        <v>113744</v>
      </c>
      <c r="M53" s="514">
        <f>SUM(I53:L53)</f>
        <v>420553</v>
      </c>
      <c r="N53" s="513">
        <f>IF(ISNA(MATCH(N$2,Inputs!$K$4:$AJ$4,0)),NA(),IF(SUMPRODUCT((Inputs!$A$5:$A$110=$B53)*ISNUMBER(INDEX(Inputs!$K$5:$AJ$110,0,MATCH(N$2,Inputs!$K$4:$AJ$4,0))))+SUMPRODUCT((Inputs!$C$5:$C$110=$B53)*ISNUMBER(INDEX(Inputs!$K$5:$AJ$110,0,MATCH(N$2,Inputs!$K$4:$AJ$4,0))))+SUMPRODUCT((Inputs!$E$5:$E$110=$B53)*ISNUMBER(INDEX(Inputs!$K$5:$AJ$110,0,MATCH(N$2,Inputs!$K$4:$AJ$4,0))))=0,NA(),SUMPRODUCT((Inputs!$A$5:$A$110=$B53)*Inputs!$B$5:$B$110*(((Inputs!$G$5:$G$110="moeda")+(Inputs!$G$5:$G$110="acoes"))*Inputs!$B$1+((Inputs!$G$5:$G$110&lt;&gt;"moeda")*(Inputs!$G$5:$G$110&lt;&gt;"acoes")))*INDEX(Inputs!$K$5:$AJ$110,0,MATCH(N$2,Inputs!$K$4:$AJ$4,0)))+SUMPRODUCT((Inputs!$C$5:$C$110=$B53)*Inputs!$D$5:$D$110*(((Inputs!$G$5:$G$110="moeda")+(Inputs!$G$5:$G$110="acoes"))*Inputs!$B$1+((Inputs!$G$5:$G$110&lt;&gt;"moeda")*(Inputs!$G$5:$G$110&lt;&gt;"acoes")))*INDEX(Inputs!$K$5:$AJ$110,0,MATCH(N$2,Inputs!$K$4:$AJ$4,0)))+SUMPRODUCT((Inputs!$E$5:$E$110=$B53)*Inputs!$F$5:$F$110*(((Inputs!$G$5:$G$110="moeda")+(Inputs!$G$5:$G$110="acoes"))*Inputs!$B$1+((Inputs!$G$5:$G$110&lt;&gt;"moeda")*(Inputs!$G$5:$G$110&lt;&gt;"acoes")))*INDEX(Inputs!$K$5:$AJ$110,0,MATCH(N$2,Inputs!$K$4:$AJ$4,0)))))</f>
        <v>103901</v>
      </c>
      <c r="O53" s="513">
        <f>IF(ISNA(MATCH(O$2,Inputs!$K$4:$AJ$4,0)),NA(),IF(SUMPRODUCT((Inputs!$A$5:$A$110=$B53)*ISNUMBER(INDEX(Inputs!$K$5:$AJ$110,0,MATCH(O$2,Inputs!$K$4:$AJ$4,0))))+SUMPRODUCT((Inputs!$C$5:$C$110=$B53)*ISNUMBER(INDEX(Inputs!$K$5:$AJ$110,0,MATCH(O$2,Inputs!$K$4:$AJ$4,0))))+SUMPRODUCT((Inputs!$E$5:$E$110=$B53)*ISNUMBER(INDEX(Inputs!$K$5:$AJ$110,0,MATCH(O$2,Inputs!$K$4:$AJ$4,0))))=0,NA(),SUMPRODUCT((Inputs!$A$5:$A$110=$B53)*Inputs!$B$5:$B$110*(((Inputs!$G$5:$G$110="moeda")+(Inputs!$G$5:$G$110="acoes"))*Inputs!$B$1+((Inputs!$G$5:$G$110&lt;&gt;"moeda")*(Inputs!$G$5:$G$110&lt;&gt;"acoes")))*INDEX(Inputs!$K$5:$AJ$110,0,MATCH(O$2,Inputs!$K$4:$AJ$4,0)))+SUMPRODUCT((Inputs!$C$5:$C$110=$B53)*Inputs!$D$5:$D$110*(((Inputs!$G$5:$G$110="moeda")+(Inputs!$G$5:$G$110="acoes"))*Inputs!$B$1+((Inputs!$G$5:$G$110&lt;&gt;"moeda")*(Inputs!$G$5:$G$110&lt;&gt;"acoes")))*INDEX(Inputs!$K$5:$AJ$110,0,MATCH(O$2,Inputs!$K$4:$AJ$4,0)))+SUMPRODUCT((Inputs!$E$5:$E$110=$B53)*Inputs!$F$5:$F$110*(((Inputs!$G$5:$G$110="moeda")+(Inputs!$G$5:$G$110="acoes"))*Inputs!$B$1+((Inputs!$G$5:$G$110&lt;&gt;"moeda")*(Inputs!$G$5:$G$110&lt;&gt;"acoes")))*INDEX(Inputs!$K$5:$AJ$110,0,MATCH(O$2,Inputs!$K$4:$AJ$4,0)))))</f>
        <v>110854</v>
      </c>
      <c r="P53" s="513">
        <f>IF(ISNA(MATCH(P$2,Inputs!$K$4:$AJ$4,0)),NA(),IF(SUMPRODUCT((Inputs!$A$5:$A$110=$B53)*ISNUMBER(INDEX(Inputs!$K$5:$AJ$110,0,MATCH(P$2,Inputs!$K$4:$AJ$4,0))))+SUMPRODUCT((Inputs!$C$5:$C$110=$B53)*ISNUMBER(INDEX(Inputs!$K$5:$AJ$110,0,MATCH(P$2,Inputs!$K$4:$AJ$4,0))))+SUMPRODUCT((Inputs!$E$5:$E$110=$B53)*ISNUMBER(INDEX(Inputs!$K$5:$AJ$110,0,MATCH(P$2,Inputs!$K$4:$AJ$4,0))))=0,NA(),SUMPRODUCT((Inputs!$A$5:$A$110=$B53)*Inputs!$B$5:$B$110*(((Inputs!$G$5:$G$110="moeda")+(Inputs!$G$5:$G$110="acoes"))*Inputs!$B$1+((Inputs!$G$5:$G$110&lt;&gt;"moeda")*(Inputs!$G$5:$G$110&lt;&gt;"acoes")))*INDEX(Inputs!$K$5:$AJ$110,0,MATCH(P$2,Inputs!$K$4:$AJ$4,0)))+SUMPRODUCT((Inputs!$C$5:$C$110=$B53)*Inputs!$D$5:$D$110*(((Inputs!$G$5:$G$110="moeda")+(Inputs!$G$5:$G$110="acoes"))*Inputs!$B$1+((Inputs!$G$5:$G$110&lt;&gt;"moeda")*(Inputs!$G$5:$G$110&lt;&gt;"acoes")))*INDEX(Inputs!$K$5:$AJ$110,0,MATCH(P$2,Inputs!$K$4:$AJ$4,0)))+SUMPRODUCT((Inputs!$E$5:$E$110=$B53)*Inputs!$F$5:$F$110*(((Inputs!$G$5:$G$110="moeda")+(Inputs!$G$5:$G$110="acoes"))*Inputs!$B$1+((Inputs!$G$5:$G$110&lt;&gt;"moeda")*(Inputs!$G$5:$G$110&lt;&gt;"acoes")))*INDEX(Inputs!$K$5:$AJ$110,0,MATCH(P$2,Inputs!$K$4:$AJ$4,0)))))</f>
        <v>109419</v>
      </c>
      <c r="Q53" s="513">
        <f>IF(ISNA(MATCH(Q$2,Inputs!$K$4:$AJ$4,0)),NA(),IF(SUMPRODUCT((Inputs!$A$5:$A$110=$B53)*ISNUMBER(INDEX(Inputs!$K$5:$AJ$110,0,MATCH(Q$2,Inputs!$K$4:$AJ$4,0))))+SUMPRODUCT((Inputs!$C$5:$C$110=$B53)*ISNUMBER(INDEX(Inputs!$K$5:$AJ$110,0,MATCH(Q$2,Inputs!$K$4:$AJ$4,0))))+SUMPRODUCT((Inputs!$E$5:$E$110=$B53)*ISNUMBER(INDEX(Inputs!$K$5:$AJ$110,0,MATCH(Q$2,Inputs!$K$4:$AJ$4,0))))=0,NA(),SUMPRODUCT((Inputs!$A$5:$A$110=$B53)*Inputs!$B$5:$B$110*(((Inputs!$G$5:$G$110="moeda")+(Inputs!$G$5:$G$110="acoes"))*Inputs!$B$1+((Inputs!$G$5:$G$110&lt;&gt;"moeda")*(Inputs!$G$5:$G$110&lt;&gt;"acoes")))*INDEX(Inputs!$K$5:$AJ$110,0,MATCH(Q$2,Inputs!$K$4:$AJ$4,0)))+SUMPRODUCT((Inputs!$C$5:$C$110=$B53)*Inputs!$D$5:$D$110*(((Inputs!$G$5:$G$110="moeda")+(Inputs!$G$5:$G$110="acoes"))*Inputs!$B$1+((Inputs!$G$5:$G$110&lt;&gt;"moeda")*(Inputs!$G$5:$G$110&lt;&gt;"acoes")))*INDEX(Inputs!$K$5:$AJ$110,0,MATCH(Q$2,Inputs!$K$4:$AJ$4,0)))+SUMPRODUCT((Inputs!$E$5:$E$110=$B53)*Inputs!$F$5:$F$110*(((Inputs!$G$5:$G$110="moeda")+(Inputs!$G$5:$G$110="acoes"))*Inputs!$B$1+((Inputs!$G$5:$G$110&lt;&gt;"moeda")*(Inputs!$G$5:$G$110&lt;&gt;"acoes")))*INDEX(Inputs!$K$5:$AJ$110,0,MATCH(Q$2,Inputs!$K$4:$AJ$4,0)))))</f>
        <v>117643</v>
      </c>
      <c r="R53" s="514">
        <f>SUM(N53:Q53)</f>
        <v>441817</v>
      </c>
      <c r="S53" s="513">
        <f>IF(ISNA(MATCH(S$2,Inputs!$K$4:$AJ$4,0)),NA(),IF(SUMPRODUCT((Inputs!$A$5:$A$110=$B53)*ISNUMBER(INDEX(Inputs!$K$5:$AJ$110,0,MATCH(S$2,Inputs!$K$4:$AJ$4,0))))+SUMPRODUCT((Inputs!$C$5:$C$110=$B53)*ISNUMBER(INDEX(Inputs!$K$5:$AJ$110,0,MATCH(S$2,Inputs!$K$4:$AJ$4,0))))+SUMPRODUCT((Inputs!$E$5:$E$110=$B53)*ISNUMBER(INDEX(Inputs!$K$5:$AJ$110,0,MATCH(S$2,Inputs!$K$4:$AJ$4,0))))=0,NA(),SUMPRODUCT((Inputs!$A$5:$A$110=$B53)*Inputs!$B$5:$B$110*(((Inputs!$G$5:$G$110="moeda")+(Inputs!$G$5:$G$110="acoes"))*Inputs!$B$1+((Inputs!$G$5:$G$110&lt;&gt;"moeda")*(Inputs!$G$5:$G$110&lt;&gt;"acoes")))*INDEX(Inputs!$K$5:$AJ$110,0,MATCH(S$2,Inputs!$K$4:$AJ$4,0)))+SUMPRODUCT((Inputs!$C$5:$C$110=$B53)*Inputs!$D$5:$D$110*(((Inputs!$G$5:$G$110="moeda")+(Inputs!$G$5:$G$110="acoes"))*Inputs!$B$1+((Inputs!$G$5:$G$110&lt;&gt;"moeda")*(Inputs!$G$5:$G$110&lt;&gt;"acoes")))*INDEX(Inputs!$K$5:$AJ$110,0,MATCH(S$2,Inputs!$K$4:$AJ$4,0)))+SUMPRODUCT((Inputs!$E$5:$E$110=$B53)*Inputs!$F$5:$F$110*(((Inputs!$G$5:$G$110="moeda")+(Inputs!$G$5:$G$110="acoes"))*Inputs!$B$1+((Inputs!$G$5:$G$110&lt;&gt;"moeda")*(Inputs!$G$5:$G$110&lt;&gt;"acoes")))*INDEX(Inputs!$K$5:$AJ$110,0,MATCH(S$2,Inputs!$K$4:$AJ$4,0)))))</f>
        <v>108670</v>
      </c>
      <c r="T53" s="513">
        <f>IF(ISNA(MATCH(T$2,Inputs!$K$4:$AJ$4,0)),NA(),IF(SUMPRODUCT((Inputs!$A$5:$A$110=$B53)*ISNUMBER(INDEX(Inputs!$K$5:$AJ$110,0,MATCH(T$2,Inputs!$K$4:$AJ$4,0))))+SUMPRODUCT((Inputs!$C$5:$C$110=$B53)*ISNUMBER(INDEX(Inputs!$K$5:$AJ$110,0,MATCH(T$2,Inputs!$K$4:$AJ$4,0))))+SUMPRODUCT((Inputs!$E$5:$E$110=$B53)*ISNUMBER(INDEX(Inputs!$K$5:$AJ$110,0,MATCH(T$2,Inputs!$K$4:$AJ$4,0))))=0,NA(),SUMPRODUCT((Inputs!$A$5:$A$110=$B53)*Inputs!$B$5:$B$110*(((Inputs!$G$5:$G$110="moeda")+(Inputs!$G$5:$G$110="acoes"))*Inputs!$B$1+((Inputs!$G$5:$G$110&lt;&gt;"moeda")*(Inputs!$G$5:$G$110&lt;&gt;"acoes")))*INDEX(Inputs!$K$5:$AJ$110,0,MATCH(T$2,Inputs!$K$4:$AJ$4,0)))+SUMPRODUCT((Inputs!$C$5:$C$110=$B53)*Inputs!$D$5:$D$110*(((Inputs!$G$5:$G$110="moeda")+(Inputs!$G$5:$G$110="acoes"))*Inputs!$B$1+((Inputs!$G$5:$G$110&lt;&gt;"moeda")*(Inputs!$G$5:$G$110&lt;&gt;"acoes")))*INDEX(Inputs!$K$5:$AJ$110,0,MATCH(T$2,Inputs!$K$4:$AJ$4,0)))+SUMPRODUCT((Inputs!$E$5:$E$110=$B53)*Inputs!$F$5:$F$110*(((Inputs!$G$5:$G$110="moeda")+(Inputs!$G$5:$G$110="acoes"))*Inputs!$B$1+((Inputs!$G$5:$G$110&lt;&gt;"moeda")*(Inputs!$G$5:$G$110&lt;&gt;"acoes")))*INDEX(Inputs!$K$5:$AJ$110,0,MATCH(T$2,Inputs!$K$4:$AJ$4,0)))))</f>
        <v>115347</v>
      </c>
      <c r="U53" s="513">
        <f>IF(ISNA(MATCH(U$2,Inputs!$K$4:$AJ$4,0)),NA(),IF(SUMPRODUCT((Inputs!$A$5:$A$110=$B53)*ISNUMBER(INDEX(Inputs!$K$5:$AJ$110,0,MATCH(U$2,Inputs!$K$4:$AJ$4,0))))+SUMPRODUCT((Inputs!$C$5:$C$110=$B53)*ISNUMBER(INDEX(Inputs!$K$5:$AJ$110,0,MATCH(U$2,Inputs!$K$4:$AJ$4,0))))+SUMPRODUCT((Inputs!$E$5:$E$110=$B53)*ISNUMBER(INDEX(Inputs!$K$5:$AJ$110,0,MATCH(U$2,Inputs!$K$4:$AJ$4,0))))=0,NA(),SUMPRODUCT((Inputs!$A$5:$A$110=$B53)*Inputs!$B$5:$B$110*(((Inputs!$G$5:$G$110="moeda")+(Inputs!$G$5:$G$110="acoes"))*Inputs!$B$1+((Inputs!$G$5:$G$110&lt;&gt;"moeda")*(Inputs!$G$5:$G$110&lt;&gt;"acoes")))*INDEX(Inputs!$K$5:$AJ$110,0,MATCH(U$2,Inputs!$K$4:$AJ$4,0)))+SUMPRODUCT((Inputs!$C$5:$C$110=$B53)*Inputs!$D$5:$D$110*(((Inputs!$G$5:$G$110="moeda")+(Inputs!$G$5:$G$110="acoes"))*Inputs!$B$1+((Inputs!$G$5:$G$110&lt;&gt;"moeda")*(Inputs!$G$5:$G$110&lt;&gt;"acoes")))*INDEX(Inputs!$K$5:$AJ$110,0,MATCH(U$2,Inputs!$K$4:$AJ$4,0)))+SUMPRODUCT((Inputs!$E$5:$E$110=$B53)*Inputs!$F$5:$F$110*(((Inputs!$G$5:$G$110="moeda")+(Inputs!$G$5:$G$110="acoes"))*Inputs!$B$1+((Inputs!$G$5:$G$110&lt;&gt;"moeda")*(Inputs!$G$5:$G$110&lt;&gt;"acoes")))*INDEX(Inputs!$K$5:$AJ$110,0,MATCH(U$2,Inputs!$K$4:$AJ$4,0)))))</f>
        <v>114875</v>
      </c>
      <c r="V53" s="513">
        <f>IF(ISNA(MATCH(V$2,Inputs!$K$4:$AJ$4,0)),NA(),IF(SUMPRODUCT((Inputs!$A$5:$A$110=$B53)*ISNUMBER(INDEX(Inputs!$K$5:$AJ$110,0,MATCH(V$2,Inputs!$K$4:$AJ$4,0))))+SUMPRODUCT((Inputs!$C$5:$C$110=$B53)*ISNUMBER(INDEX(Inputs!$K$5:$AJ$110,0,MATCH(V$2,Inputs!$K$4:$AJ$4,0))))+SUMPRODUCT((Inputs!$E$5:$E$110=$B53)*ISNUMBER(INDEX(Inputs!$K$5:$AJ$110,0,MATCH(V$2,Inputs!$K$4:$AJ$4,0))))=0,NA(),SUMPRODUCT((Inputs!$A$5:$A$110=$B53)*Inputs!$B$5:$B$110*(((Inputs!$G$5:$G$110="moeda")+(Inputs!$G$5:$G$110="acoes"))*Inputs!$B$1+((Inputs!$G$5:$G$110&lt;&gt;"moeda")*(Inputs!$G$5:$G$110&lt;&gt;"acoes")))*INDEX(Inputs!$K$5:$AJ$110,0,MATCH(V$2,Inputs!$K$4:$AJ$4,0)))+SUMPRODUCT((Inputs!$C$5:$C$110=$B53)*Inputs!$D$5:$D$110*(((Inputs!$G$5:$G$110="moeda")+(Inputs!$G$5:$G$110="acoes"))*Inputs!$B$1+((Inputs!$G$5:$G$110&lt;&gt;"moeda")*(Inputs!$G$5:$G$110&lt;&gt;"acoes")))*INDEX(Inputs!$K$5:$AJ$110,0,MATCH(V$2,Inputs!$K$4:$AJ$4,0)))+SUMPRODUCT((Inputs!$E$5:$E$110=$B53)*Inputs!$F$5:$F$110*(((Inputs!$G$5:$G$110="moeda")+(Inputs!$G$5:$G$110="acoes"))*Inputs!$B$1+((Inputs!$G$5:$G$110&lt;&gt;"moeda")*(Inputs!$G$5:$G$110&lt;&gt;"acoes")))*INDEX(Inputs!$K$5:$AJ$110,0,MATCH(V$2,Inputs!$K$4:$AJ$4,0)))))</f>
        <v>123523</v>
      </c>
      <c r="W53" s="514">
        <f>SUM(S53:V53)</f>
        <v>462415</v>
      </c>
      <c r="X53" s="513">
        <f>IF(ISNA(MATCH(X$2,Inputs!$K$4:$AJ$4,0)),NA(),IF(SUMPRODUCT((Inputs!$A$5:$A$110=$B53)*ISNUMBER(INDEX(Inputs!$K$5:$AJ$110,0,MATCH(X$2,Inputs!$K$4:$AJ$4,0))))+SUMPRODUCT((Inputs!$C$5:$C$110=$B53)*ISNUMBER(INDEX(Inputs!$K$5:$AJ$110,0,MATCH(X$2,Inputs!$K$4:$AJ$4,0))))+SUMPRODUCT((Inputs!$E$5:$E$110=$B53)*ISNUMBER(INDEX(Inputs!$K$5:$AJ$110,0,MATCH(X$2,Inputs!$K$4:$AJ$4,0))))=0,NA(),SUMPRODUCT((Inputs!$A$5:$A$110=$B53)*Inputs!$B$5:$B$110*(((Inputs!$G$5:$G$110="moeda")+(Inputs!$G$5:$G$110="acoes"))*Inputs!$B$1+((Inputs!$G$5:$G$110&lt;&gt;"moeda")*(Inputs!$G$5:$G$110&lt;&gt;"acoes")))*INDEX(Inputs!$K$5:$AJ$110,0,MATCH(X$2,Inputs!$K$4:$AJ$4,0)))+SUMPRODUCT((Inputs!$C$5:$C$110=$B53)*Inputs!$D$5:$D$110*(((Inputs!$G$5:$G$110="moeda")+(Inputs!$G$5:$G$110="acoes"))*Inputs!$B$1+((Inputs!$G$5:$G$110&lt;&gt;"moeda")*(Inputs!$G$5:$G$110&lt;&gt;"acoes")))*INDEX(Inputs!$K$5:$AJ$110,0,MATCH(X$2,Inputs!$K$4:$AJ$4,0)))+SUMPRODUCT((Inputs!$E$5:$E$110=$B53)*Inputs!$F$5:$F$110*(((Inputs!$G$5:$G$110="moeda")+(Inputs!$G$5:$G$110="acoes"))*Inputs!$B$1+((Inputs!$G$5:$G$110&lt;&gt;"moeda")*(Inputs!$G$5:$G$110&lt;&gt;"acoes")))*INDEX(Inputs!$K$5:$AJ$110,0,MATCH(X$2,Inputs!$K$4:$AJ$4,0)))))</f>
        <v>112163</v>
      </c>
      <c r="Y53" s="513">
        <f>IF(ISNA(MATCH(Y$2,Inputs!$K$4:$AJ$4,0)),NA(),IF(SUMPRODUCT((Inputs!$A$5:$A$110=$B53)*ISNUMBER(INDEX(Inputs!$K$5:$AJ$110,0,MATCH(Y$2,Inputs!$K$4:$AJ$4,0))))+SUMPRODUCT((Inputs!$C$5:$C$110=$B53)*ISNUMBER(INDEX(Inputs!$K$5:$AJ$110,0,MATCH(Y$2,Inputs!$K$4:$AJ$4,0))))+SUMPRODUCT((Inputs!$E$5:$E$110=$B53)*ISNUMBER(INDEX(Inputs!$K$5:$AJ$110,0,MATCH(Y$2,Inputs!$K$4:$AJ$4,0))))=0,NA(),SUMPRODUCT((Inputs!$A$5:$A$110=$B53)*Inputs!$B$5:$B$110*(((Inputs!$G$5:$G$110="moeda")+(Inputs!$G$5:$G$110="acoes"))*Inputs!$B$1+((Inputs!$G$5:$G$110&lt;&gt;"moeda")*(Inputs!$G$5:$G$110&lt;&gt;"acoes")))*INDEX(Inputs!$K$5:$AJ$110,0,MATCH(Y$2,Inputs!$K$4:$AJ$4,0)))+SUMPRODUCT((Inputs!$C$5:$C$110=$B53)*Inputs!$D$5:$D$110*(((Inputs!$G$5:$G$110="moeda")+(Inputs!$G$5:$G$110="acoes"))*Inputs!$B$1+((Inputs!$G$5:$G$110&lt;&gt;"moeda")*(Inputs!$G$5:$G$110&lt;&gt;"acoes")))*INDEX(Inputs!$K$5:$AJ$110,0,MATCH(Y$2,Inputs!$K$4:$AJ$4,0)))+SUMPRODUCT((Inputs!$E$5:$E$110=$B53)*Inputs!$F$5:$F$110*(((Inputs!$G$5:$G$110="moeda")+(Inputs!$G$5:$G$110="acoes"))*Inputs!$B$1+((Inputs!$G$5:$G$110&lt;&gt;"moeda")*(Inputs!$G$5:$G$110&lt;&gt;"acoes")))*INDEX(Inputs!$K$5:$AJ$110,0,MATCH(Y$2,Inputs!$K$4:$AJ$4,0)))))</f>
        <v>120911</v>
      </c>
      <c r="Z53" s="513">
        <f>IF(ISNA(MATCH(Z$2,Inputs!$K$4:$AJ$4,0)),NA(),IF(SUMPRODUCT((Inputs!$A$5:$A$110=$B53)*ISNUMBER(INDEX(Inputs!$K$5:$AJ$110,0,MATCH(Z$2,Inputs!$K$4:$AJ$4,0))))+SUMPRODUCT((Inputs!$C$5:$C$110=$B53)*ISNUMBER(INDEX(Inputs!$K$5:$AJ$110,0,MATCH(Z$2,Inputs!$K$4:$AJ$4,0))))+SUMPRODUCT((Inputs!$E$5:$E$110=$B53)*ISNUMBER(INDEX(Inputs!$K$5:$AJ$110,0,MATCH(Z$2,Inputs!$K$4:$AJ$4,0))))=0,NA(),SUMPRODUCT((Inputs!$A$5:$A$110=$B53)*Inputs!$B$5:$B$110*(((Inputs!$G$5:$G$110="moeda")+(Inputs!$G$5:$G$110="acoes"))*Inputs!$B$1+((Inputs!$G$5:$G$110&lt;&gt;"moeda")*(Inputs!$G$5:$G$110&lt;&gt;"acoes")))*INDEX(Inputs!$K$5:$AJ$110,0,MATCH(Z$2,Inputs!$K$4:$AJ$4,0)))+SUMPRODUCT((Inputs!$C$5:$C$110=$B53)*Inputs!$D$5:$D$110*(((Inputs!$G$5:$G$110="moeda")+(Inputs!$G$5:$G$110="acoes"))*Inputs!$B$1+((Inputs!$G$5:$G$110&lt;&gt;"moeda")*(Inputs!$G$5:$G$110&lt;&gt;"acoes")))*INDEX(Inputs!$K$5:$AJ$110,0,MATCH(Z$2,Inputs!$K$4:$AJ$4,0)))+SUMPRODUCT((Inputs!$E$5:$E$110=$B53)*Inputs!$F$5:$F$110*(((Inputs!$G$5:$G$110="moeda")+(Inputs!$G$5:$G$110="acoes"))*Inputs!$B$1+((Inputs!$G$5:$G$110&lt;&gt;"moeda")*(Inputs!$G$5:$G$110&lt;&gt;"acoes")))*INDEX(Inputs!$K$5:$AJ$110,0,MATCH(Z$2,Inputs!$K$4:$AJ$4,0)))))</f>
        <v>120678</v>
      </c>
      <c r="AA53" s="513">
        <f>IF(ISNA(MATCH(AA$2,Inputs!$K$4:$AJ$4,0)),NA(),IF(SUMPRODUCT((Inputs!$A$5:$A$110=$B53)*ISNUMBER(INDEX(Inputs!$K$5:$AJ$110,0,MATCH(AA$2,Inputs!$K$4:$AJ$4,0))))+SUMPRODUCT((Inputs!$C$5:$C$110=$B53)*ISNUMBER(INDEX(Inputs!$K$5:$AJ$110,0,MATCH(AA$2,Inputs!$K$4:$AJ$4,0))))+SUMPRODUCT((Inputs!$E$5:$E$110=$B53)*ISNUMBER(INDEX(Inputs!$K$5:$AJ$110,0,MATCH(AA$2,Inputs!$K$4:$AJ$4,0))))=0,NA(),SUMPRODUCT((Inputs!$A$5:$A$110=$B53)*Inputs!$B$5:$B$110*(((Inputs!$G$5:$G$110="moeda")+(Inputs!$G$5:$G$110="acoes"))*Inputs!$B$1+((Inputs!$G$5:$G$110&lt;&gt;"moeda")*(Inputs!$G$5:$G$110&lt;&gt;"acoes")))*INDEX(Inputs!$K$5:$AJ$110,0,MATCH(AA$2,Inputs!$K$4:$AJ$4,0)))+SUMPRODUCT((Inputs!$C$5:$C$110=$B53)*Inputs!$D$5:$D$110*(((Inputs!$G$5:$G$110="moeda")+(Inputs!$G$5:$G$110="acoes"))*Inputs!$B$1+((Inputs!$G$5:$G$110&lt;&gt;"moeda")*(Inputs!$G$5:$G$110&lt;&gt;"acoes")))*INDEX(Inputs!$K$5:$AJ$110,0,MATCH(AA$2,Inputs!$K$4:$AJ$4,0)))+SUMPRODUCT((Inputs!$E$5:$E$110=$B53)*Inputs!$F$5:$F$110*(((Inputs!$G$5:$G$110="moeda")+(Inputs!$G$5:$G$110="acoes"))*Inputs!$B$1+((Inputs!$G$5:$G$110&lt;&gt;"moeda")*(Inputs!$G$5:$G$110&lt;&gt;"acoes")))*INDEX(Inputs!$K$5:$AJ$110,0,MATCH(AA$2,Inputs!$K$4:$AJ$4,0)))))</f>
        <v>129223</v>
      </c>
      <c r="AB53" s="514">
        <f>SUM(X53:AA53)</f>
        <v>482975</v>
      </c>
      <c r="AC53" s="513">
        <f>IF(ISNA(MATCH(AC$2,Inputs!$K$4:$AJ$4,0)),NA(),IF(SUMPRODUCT((Inputs!$A$5:$A$110=$B53)*ISNUMBER(INDEX(Inputs!$K$5:$AJ$110,0,MATCH(AC$2,Inputs!$K$4:$AJ$4,0))))+SUMPRODUCT((Inputs!$C$5:$C$110=$B53)*ISNUMBER(INDEX(Inputs!$K$5:$AJ$110,0,MATCH(AC$2,Inputs!$K$4:$AJ$4,0))))+SUMPRODUCT((Inputs!$E$5:$E$110=$B53)*ISNUMBER(INDEX(Inputs!$K$5:$AJ$110,0,MATCH(AC$2,Inputs!$K$4:$AJ$4,0))))=0,NA(),SUMPRODUCT((Inputs!$A$5:$A$110=$B53)*Inputs!$B$5:$B$110*(((Inputs!$G$5:$G$110="moeda")+(Inputs!$G$5:$G$110="acoes"))*Inputs!$B$1+((Inputs!$G$5:$G$110&lt;&gt;"moeda")*(Inputs!$G$5:$G$110&lt;&gt;"acoes")))*INDEX(Inputs!$K$5:$AJ$110,0,MATCH(AC$2,Inputs!$K$4:$AJ$4,0)))+SUMPRODUCT((Inputs!$C$5:$C$110=$B53)*Inputs!$D$5:$D$110*(((Inputs!$G$5:$G$110="moeda")+(Inputs!$G$5:$G$110="acoes"))*Inputs!$B$1+((Inputs!$G$5:$G$110&lt;&gt;"moeda")*(Inputs!$G$5:$G$110&lt;&gt;"acoes")))*INDEX(Inputs!$K$5:$AJ$110,0,MATCH(AC$2,Inputs!$K$4:$AJ$4,0)))+SUMPRODUCT((Inputs!$E$5:$E$110=$B53)*Inputs!$F$5:$F$110*(((Inputs!$G$5:$G$110="moeda")+(Inputs!$G$5:$G$110="acoes"))*Inputs!$B$1+((Inputs!$G$5:$G$110&lt;&gt;"moeda")*(Inputs!$G$5:$G$110&lt;&gt;"acoes")))*INDEX(Inputs!$K$5:$AJ$110,0,MATCH(AC$2,Inputs!$K$4:$AJ$4,0)))))</f>
        <v>117169</v>
      </c>
      <c r="AD53" s="513">
        <f>IF(ISNA(MATCH(AD$2,Inputs!$K$4:$AJ$4,0)),NA(),IF(SUMPRODUCT((Inputs!$A$5:$A$110=$B53)*ISNUMBER(INDEX(Inputs!$K$5:$AJ$110,0,MATCH(AD$2,Inputs!$K$4:$AJ$4,0))))+SUMPRODUCT((Inputs!$C$5:$C$110=$B53)*ISNUMBER(INDEX(Inputs!$K$5:$AJ$110,0,MATCH(AD$2,Inputs!$K$4:$AJ$4,0))))+SUMPRODUCT((Inputs!$E$5:$E$110=$B53)*ISNUMBER(INDEX(Inputs!$K$5:$AJ$110,0,MATCH(AD$2,Inputs!$K$4:$AJ$4,0))))=0,NA(),SUMPRODUCT((Inputs!$A$5:$A$110=$B53)*Inputs!$B$5:$B$110*(((Inputs!$G$5:$G$110="moeda")+(Inputs!$G$5:$G$110="acoes"))*Inputs!$B$1+((Inputs!$G$5:$G$110&lt;&gt;"moeda")*(Inputs!$G$5:$G$110&lt;&gt;"acoes")))*INDEX(Inputs!$K$5:$AJ$110,0,MATCH(AD$2,Inputs!$K$4:$AJ$4,0)))+SUMPRODUCT((Inputs!$C$5:$C$110=$B53)*Inputs!$D$5:$D$110*(((Inputs!$G$5:$G$110="moeda")+(Inputs!$G$5:$G$110="acoes"))*Inputs!$B$1+((Inputs!$G$5:$G$110&lt;&gt;"moeda")*(Inputs!$G$5:$G$110&lt;&gt;"acoes")))*INDEX(Inputs!$K$5:$AJ$110,0,MATCH(AD$2,Inputs!$K$4:$AJ$4,0)))+SUMPRODUCT((Inputs!$E$5:$E$110=$B53)*Inputs!$F$5:$F$110*(((Inputs!$G$5:$G$110="moeda")+(Inputs!$G$5:$G$110="acoes"))*Inputs!$B$1+((Inputs!$G$5:$G$110&lt;&gt;"moeda")*(Inputs!$G$5:$G$110&lt;&gt;"acoes")))*INDEX(Inputs!$K$5:$AJ$110,0,MATCH(AD$2,Inputs!$K$4:$AJ$4,0)))))</f>
        <v>125189</v>
      </c>
      <c r="AE53" s="513" t="e">
        <f>IF(ISNA(MATCH(AE$2,Inputs!$K$4:$AJ$4,0)),NA(),IF(SUMPRODUCT((Inputs!$A$5:$A$110=$B53)*ISNUMBER(INDEX(Inputs!$K$5:$AJ$110,0,MATCH(AE$2,Inputs!$K$4:$AJ$4,0))))+SUMPRODUCT((Inputs!$C$5:$C$110=$B53)*ISNUMBER(INDEX(Inputs!$K$5:$AJ$110,0,MATCH(AE$2,Inputs!$K$4:$AJ$4,0))))+SUMPRODUCT((Inputs!$E$5:$E$110=$B53)*ISNUMBER(INDEX(Inputs!$K$5:$AJ$110,0,MATCH(AE$2,Inputs!$K$4:$AJ$4,0))))=0,NA(),SUMPRODUCT((Inputs!$A$5:$A$110=$B53)*Inputs!$B$5:$B$110*(((Inputs!$G$5:$G$110="moeda")+(Inputs!$G$5:$G$110="acoes"))*Inputs!$B$1+((Inputs!$G$5:$G$110&lt;&gt;"moeda")*(Inputs!$G$5:$G$110&lt;&gt;"acoes")))*INDEX(Inputs!$K$5:$AJ$110,0,MATCH(AE$2,Inputs!$K$4:$AJ$4,0)))+SUMPRODUCT((Inputs!$C$5:$C$110=$B53)*Inputs!$D$5:$D$110*(((Inputs!$G$5:$G$110="moeda")+(Inputs!$G$5:$G$110="acoes"))*Inputs!$B$1+((Inputs!$G$5:$G$110&lt;&gt;"moeda")*(Inputs!$G$5:$G$110&lt;&gt;"acoes")))*INDEX(Inputs!$K$5:$AJ$110,0,MATCH(AE$2,Inputs!$K$4:$AJ$4,0)))+SUMPRODUCT((Inputs!$E$5:$E$110=$B53)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3" s="513" t="e">
        <f>IF(ISNA(MATCH(AF$2,Inputs!$K$4:$AJ$4,0)),NA(),IF(SUMPRODUCT((Inputs!$A$5:$A$110=$B53)*ISNUMBER(INDEX(Inputs!$K$5:$AJ$110,0,MATCH(AF$2,Inputs!$K$4:$AJ$4,0))))+SUMPRODUCT((Inputs!$C$5:$C$110=$B53)*ISNUMBER(INDEX(Inputs!$K$5:$AJ$110,0,MATCH(AF$2,Inputs!$K$4:$AJ$4,0))))+SUMPRODUCT((Inputs!$E$5:$E$110=$B53)*ISNUMBER(INDEX(Inputs!$K$5:$AJ$110,0,MATCH(AF$2,Inputs!$K$4:$AJ$4,0))))=0,NA(),SUMPRODUCT((Inputs!$A$5:$A$110=$B53)*Inputs!$B$5:$B$110*(((Inputs!$G$5:$G$110="moeda")+(Inputs!$G$5:$G$110="acoes"))*Inputs!$B$1+((Inputs!$G$5:$G$110&lt;&gt;"moeda")*(Inputs!$G$5:$G$110&lt;&gt;"acoes")))*INDEX(Inputs!$K$5:$AJ$110,0,MATCH(AF$2,Inputs!$K$4:$AJ$4,0)))+SUMPRODUCT((Inputs!$C$5:$C$110=$B53)*Inputs!$D$5:$D$110*(((Inputs!$G$5:$G$110="moeda")+(Inputs!$G$5:$G$110="acoes"))*Inputs!$B$1+((Inputs!$G$5:$G$110&lt;&gt;"moeda")*(Inputs!$G$5:$G$110&lt;&gt;"acoes")))*INDEX(Inputs!$K$5:$AJ$110,0,MATCH(AF$2,Inputs!$K$4:$AJ$4,0)))+SUMPRODUCT((Inputs!$E$5:$E$110=$B53)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3" s="514" t="e">
        <f>SUM(AC53:AF53)</f>
        <v>#N/A</v>
      </c>
      <c r="AH53" s="513">
        <f>IF(ISNA(MATCH(AH$2,Inputs!$K$4:$AJ$4,0)),NA(),IF(SUMPRODUCT((Inputs!$A$5:$A$110=$B53)*ISNUMBER(INDEX(Inputs!$K$5:$AJ$110,0,MATCH(AH$2,Inputs!$K$4:$AJ$4,0))))+SUMPRODUCT((Inputs!$C$5:$C$110=$B53)*ISNUMBER(INDEX(Inputs!$K$5:$AJ$110,0,MATCH(AH$2,Inputs!$K$4:$AJ$4,0))))+SUMPRODUCT((Inputs!$E$5:$E$110=$B53)*ISNUMBER(INDEX(Inputs!$K$5:$AJ$110,0,MATCH(AH$2,Inputs!$K$4:$AJ$4,0))))=0,NA(),SUMPRODUCT((Inputs!$A$5:$A$110=$B53)*Inputs!$B$5:$B$110*(((Inputs!$G$5:$G$110="moeda")+(Inputs!$G$5:$G$110="acoes"))*Inputs!$B$1+((Inputs!$G$5:$G$110&lt;&gt;"moeda")*(Inputs!$G$5:$G$110&lt;&gt;"acoes")))*INDEX(Inputs!$K$5:$AJ$110,0,MATCH(AH$2,Inputs!$K$4:$AJ$4,0)))+SUMPRODUCT((Inputs!$C$5:$C$110=$B53)*Inputs!$D$5:$D$110*(((Inputs!$G$5:$G$110="moeda")+(Inputs!$G$5:$G$110="acoes"))*Inputs!$B$1+((Inputs!$G$5:$G$110&lt;&gt;"moeda")*(Inputs!$G$5:$G$110&lt;&gt;"acoes")))*INDEX(Inputs!$K$5:$AJ$110,0,MATCH(AH$2,Inputs!$K$4:$AJ$4,0)))+SUMPRODUCT((Inputs!$E$5:$E$110=$B53)*Inputs!$F$5:$F$110*(((Inputs!$G$5:$G$110="moeda")+(Inputs!$G$5:$G$110="acoes"))*Inputs!$B$1+((Inputs!$G$5:$G$110&lt;&gt;"moeda")*(Inputs!$G$5:$G$110&lt;&gt;"acoes")))*INDEX(Inputs!$K$5:$AJ$110,0,MATCH(AH$2,Inputs!$K$4:$AJ$4,0)))))</f>
        <v>88743</v>
      </c>
      <c r="AI53" s="513">
        <f>IF(ISNA(MATCH(AI$2,Inputs!$K$4:$AJ$4,0)),NA(),IF(SUMPRODUCT((Inputs!$A$5:$A$110=$B53)*ISNUMBER(INDEX(Inputs!$K$5:$AJ$110,0,MATCH(AI$2,Inputs!$K$4:$AJ$4,0))))+SUMPRODUCT((Inputs!$C$5:$C$110=$B53)*ISNUMBER(INDEX(Inputs!$K$5:$AJ$110,0,MATCH(AI$2,Inputs!$K$4:$AJ$4,0))))+SUMPRODUCT((Inputs!$E$5:$E$110=$B53)*ISNUMBER(INDEX(Inputs!$K$5:$AJ$110,0,MATCH(AI$2,Inputs!$K$4:$AJ$4,0))))=0,NA(),SUMPRODUCT((Inputs!$A$5:$A$110=$B53)*Inputs!$B$5:$B$110*(((Inputs!$G$5:$G$110="moeda")+(Inputs!$G$5:$G$110="acoes"))*Inputs!$B$1+((Inputs!$G$5:$G$110&lt;&gt;"moeda")*(Inputs!$G$5:$G$110&lt;&gt;"acoes")))*INDEX(Inputs!$K$5:$AJ$110,0,MATCH(AI$2,Inputs!$K$4:$AJ$4,0)))+SUMPRODUCT((Inputs!$C$5:$C$110=$B53)*Inputs!$D$5:$D$110*(((Inputs!$G$5:$G$110="moeda")+(Inputs!$G$5:$G$110="acoes"))*Inputs!$B$1+((Inputs!$G$5:$G$110&lt;&gt;"moeda")*(Inputs!$G$5:$G$110&lt;&gt;"acoes")))*INDEX(Inputs!$K$5:$AJ$110,0,MATCH(AI$2,Inputs!$K$4:$AJ$4,0)))+SUMPRODUCT((Inputs!$E$5:$E$110=$B53)*Inputs!$F$5:$F$110*(((Inputs!$G$5:$G$110="moeda")+(Inputs!$G$5:$G$110="acoes"))*Inputs!$B$1+((Inputs!$G$5:$G$110&lt;&gt;"moeda")*(Inputs!$G$5:$G$110&lt;&gt;"acoes")))*INDEX(Inputs!$K$5:$AJ$110,0,MATCH(AI$2,Inputs!$K$4:$AJ$4,0)))))</f>
        <v>93282</v>
      </c>
      <c r="AJ53" s="513">
        <f>IF(ISNA(MATCH(AJ$2,Inputs!$K$4:$AJ$4,0)),NA(),IF(SUMPRODUCT((Inputs!$A$5:$A$110=$B53)*ISNUMBER(INDEX(Inputs!$K$5:$AJ$110,0,MATCH(AJ$2,Inputs!$K$4:$AJ$4,0))))+SUMPRODUCT((Inputs!$C$5:$C$110=$B53)*ISNUMBER(INDEX(Inputs!$K$5:$AJ$110,0,MATCH(AJ$2,Inputs!$K$4:$AJ$4,0))))+SUMPRODUCT((Inputs!$E$5:$E$110=$B53)*ISNUMBER(INDEX(Inputs!$K$5:$AJ$110,0,MATCH(AJ$2,Inputs!$K$4:$AJ$4,0))))=0,NA(),SUMPRODUCT((Inputs!$A$5:$A$110=$B53)*Inputs!$B$5:$B$110*(((Inputs!$G$5:$G$110="moeda")+(Inputs!$G$5:$G$110="acoes"))*Inputs!$B$1+((Inputs!$G$5:$G$110&lt;&gt;"moeda")*(Inputs!$G$5:$G$110&lt;&gt;"acoes")))*INDEX(Inputs!$K$5:$AJ$110,0,MATCH(AJ$2,Inputs!$K$4:$AJ$4,0)))+SUMPRODUCT((Inputs!$C$5:$C$110=$B53)*Inputs!$D$5:$D$110*(((Inputs!$G$5:$G$110="moeda")+(Inputs!$G$5:$G$110="acoes"))*Inputs!$B$1+((Inputs!$G$5:$G$110&lt;&gt;"moeda")*(Inputs!$G$5:$G$110&lt;&gt;"acoes")))*INDEX(Inputs!$K$5:$AJ$110,0,MATCH(AJ$2,Inputs!$K$4:$AJ$4,0)))+SUMPRODUCT((Inputs!$E$5:$E$110=$B53)*Inputs!$F$5:$F$110*(((Inputs!$G$5:$G$110="moeda")+(Inputs!$G$5:$G$110="acoes"))*Inputs!$B$1+((Inputs!$G$5:$G$110&lt;&gt;"moeda")*(Inputs!$G$5:$G$110&lt;&gt;"acoes")))*INDEX(Inputs!$K$5:$AJ$110,0,MATCH(AJ$2,Inputs!$K$4:$AJ$4,0)))))</f>
        <v>88353</v>
      </c>
      <c r="AK53" s="513">
        <f>IF(ISNA(MATCH(AK$2,Inputs!$K$4:$AJ$4,0)),NA(),IF(SUMPRODUCT((Inputs!$A$5:$A$110=$B53)*ISNUMBER(INDEX(Inputs!$K$5:$AJ$110,0,MATCH(AK$2,Inputs!$K$4:$AJ$4,0))))+SUMPRODUCT((Inputs!$C$5:$C$110=$B53)*ISNUMBER(INDEX(Inputs!$K$5:$AJ$110,0,MATCH(AK$2,Inputs!$K$4:$AJ$4,0))))+SUMPRODUCT((Inputs!$E$5:$E$110=$B53)*ISNUMBER(INDEX(Inputs!$K$5:$AJ$110,0,MATCH(AK$2,Inputs!$K$4:$AJ$4,0))))=0,NA(),SUMPRODUCT((Inputs!$A$5:$A$110=$B53)*Inputs!$B$5:$B$110*(((Inputs!$G$5:$G$110="moeda")+(Inputs!$G$5:$G$110="acoes"))*Inputs!$B$1+((Inputs!$G$5:$G$110&lt;&gt;"moeda")*(Inputs!$G$5:$G$110&lt;&gt;"acoes")))*INDEX(Inputs!$K$5:$AJ$110,0,MATCH(AK$2,Inputs!$K$4:$AJ$4,0)))+SUMPRODUCT((Inputs!$C$5:$C$110=$B53)*Inputs!$D$5:$D$110*(((Inputs!$G$5:$G$110="moeda")+(Inputs!$G$5:$G$110="acoes"))*Inputs!$B$1+((Inputs!$G$5:$G$110&lt;&gt;"moeda")*(Inputs!$G$5:$G$110&lt;&gt;"acoes")))*INDEX(Inputs!$K$5:$AJ$110,0,MATCH(AK$2,Inputs!$K$4:$AJ$4,0)))+SUMPRODUCT((Inputs!$E$5:$E$110=$B53)*Inputs!$F$5:$F$110*(((Inputs!$G$5:$G$110="moeda")+(Inputs!$G$5:$G$110="acoes"))*Inputs!$B$1+((Inputs!$G$5:$G$110&lt;&gt;"moeda")*(Inputs!$G$5:$G$110&lt;&gt;"acoes")))*INDEX(Inputs!$K$5:$AJ$110,0,MATCH(AK$2,Inputs!$K$4:$AJ$4,0)))))</f>
        <v>99585</v>
      </c>
      <c r="AL53" s="514">
        <f>SUM(AH53:AK53)</f>
        <v>369963</v>
      </c>
    </row>
    <row r="54">
      <c r="B54" s="265" t="n">
        <v>46</v>
      </c>
      <c r="C54" s="266" t="inlineStr">
        <is>
          <t>Walmart U.S. - lucro do segmento (USD)</t>
        </is>
      </c>
      <c r="D54" s="513">
        <f>IF(ISNA(MATCH(D$2,Inputs!$K$4:$AJ$4,0)),NA(),IF(SUMPRODUCT((Inputs!$A$5:$A$110=$B54)*ISNUMBER(INDEX(Inputs!$K$5:$AJ$110,0,MATCH(D$2,Inputs!$K$4:$AJ$4,0))))+SUMPRODUCT((Inputs!$C$5:$C$110=$B54)*ISNUMBER(INDEX(Inputs!$K$5:$AJ$110,0,MATCH(D$2,Inputs!$K$4:$AJ$4,0))))+SUMPRODUCT((Inputs!$E$5:$E$110=$B54)*ISNUMBER(INDEX(Inputs!$K$5:$AJ$110,0,MATCH(D$2,Inputs!$K$4:$AJ$4,0))))=0,NA(),SUMPRODUCT((Inputs!$A$5:$A$110=$B54)*Inputs!$B$5:$B$110*(((Inputs!$G$5:$G$110="moeda")+(Inputs!$G$5:$G$110="acoes"))*Inputs!$B$1+((Inputs!$G$5:$G$110&lt;&gt;"moeda")*(Inputs!$G$5:$G$110&lt;&gt;"acoes")))*INDEX(Inputs!$K$5:$AJ$110,0,MATCH(D$2,Inputs!$K$4:$AJ$4,0)))+SUMPRODUCT((Inputs!$C$5:$C$110=$B54)*Inputs!$D$5:$D$110*(((Inputs!$G$5:$G$110="moeda")+(Inputs!$G$5:$G$110="acoes"))*Inputs!$B$1+((Inputs!$G$5:$G$110&lt;&gt;"moeda")*(Inputs!$G$5:$G$110&lt;&gt;"acoes")))*INDEX(Inputs!$K$5:$AJ$110,0,MATCH(D$2,Inputs!$K$4:$AJ$4,0)))+SUMPRODUCT((Inputs!$E$5:$E$110=$B54)*Inputs!$F$5:$F$110*(((Inputs!$G$5:$G$110="moeda")+(Inputs!$G$5:$G$110="acoes"))*Inputs!$B$1+((Inputs!$G$5:$G$110&lt;&gt;"moeda")*(Inputs!$G$5:$G$110&lt;&gt;"acoes")))*INDEX(Inputs!$K$5:$AJ$110,0,MATCH(D$2,Inputs!$K$4:$AJ$4,0)))))</f>
        <v>5455</v>
      </c>
      <c r="E54" s="513">
        <f>IF(ISNA(MATCH(E$2,Inputs!$K$4:$AJ$4,0)),NA(),IF(SUMPRODUCT((Inputs!$A$5:$A$110=$B54)*ISNUMBER(INDEX(Inputs!$K$5:$AJ$110,0,MATCH(E$2,Inputs!$K$4:$AJ$4,0))))+SUMPRODUCT((Inputs!$C$5:$C$110=$B54)*ISNUMBER(INDEX(Inputs!$K$5:$AJ$110,0,MATCH(E$2,Inputs!$K$4:$AJ$4,0))))+SUMPRODUCT((Inputs!$E$5:$E$110=$B54)*ISNUMBER(INDEX(Inputs!$K$5:$AJ$110,0,MATCH(E$2,Inputs!$K$4:$AJ$4,0))))=0,NA(),SUMPRODUCT((Inputs!$A$5:$A$110=$B54)*Inputs!$B$5:$B$110*(((Inputs!$G$5:$G$110="moeda")+(Inputs!$G$5:$G$110="acoes"))*Inputs!$B$1+((Inputs!$G$5:$G$110&lt;&gt;"moeda")*(Inputs!$G$5:$G$110&lt;&gt;"acoes")))*INDEX(Inputs!$K$5:$AJ$110,0,MATCH(E$2,Inputs!$K$4:$AJ$4,0)))+SUMPRODUCT((Inputs!$C$5:$C$110=$B54)*Inputs!$D$5:$D$110*(((Inputs!$G$5:$G$110="moeda")+(Inputs!$G$5:$G$110="acoes"))*Inputs!$B$1+((Inputs!$G$5:$G$110&lt;&gt;"moeda")*(Inputs!$G$5:$G$110&lt;&gt;"acoes")))*INDEX(Inputs!$K$5:$AJ$110,0,MATCH(E$2,Inputs!$K$4:$AJ$4,0)))+SUMPRODUCT((Inputs!$E$5:$E$110=$B54)*Inputs!$F$5:$F$110*(((Inputs!$G$5:$G$110="moeda")+(Inputs!$G$5:$G$110="acoes"))*Inputs!$B$1+((Inputs!$G$5:$G$110&lt;&gt;"moeda")*(Inputs!$G$5:$G$110&lt;&gt;"acoes")))*INDEX(Inputs!$K$5:$AJ$110,0,MATCH(E$2,Inputs!$K$4:$AJ$4,0)))))</f>
        <v>6089</v>
      </c>
      <c r="F54" s="513">
        <f>IF(ISNA(MATCH(F$2,Inputs!$K$4:$AJ$4,0)),NA(),IF(SUMPRODUCT((Inputs!$A$5:$A$110=$B54)*ISNUMBER(INDEX(Inputs!$K$5:$AJ$110,0,MATCH(F$2,Inputs!$K$4:$AJ$4,0))))+SUMPRODUCT((Inputs!$C$5:$C$110=$B54)*ISNUMBER(INDEX(Inputs!$K$5:$AJ$110,0,MATCH(F$2,Inputs!$K$4:$AJ$4,0))))+SUMPRODUCT((Inputs!$E$5:$E$110=$B54)*ISNUMBER(INDEX(Inputs!$K$5:$AJ$110,0,MATCH(F$2,Inputs!$K$4:$AJ$4,0))))=0,NA(),SUMPRODUCT((Inputs!$A$5:$A$110=$B54)*Inputs!$B$5:$B$110*(((Inputs!$G$5:$G$110="moeda")+(Inputs!$G$5:$G$110="acoes"))*Inputs!$B$1+((Inputs!$G$5:$G$110&lt;&gt;"moeda")*(Inputs!$G$5:$G$110&lt;&gt;"acoes")))*INDEX(Inputs!$K$5:$AJ$110,0,MATCH(F$2,Inputs!$K$4:$AJ$4,0)))+SUMPRODUCT((Inputs!$C$5:$C$110=$B54)*Inputs!$D$5:$D$110*(((Inputs!$G$5:$G$110="moeda")+(Inputs!$G$5:$G$110="acoes"))*Inputs!$B$1+((Inputs!$G$5:$G$110&lt;&gt;"moeda")*(Inputs!$G$5:$G$110&lt;&gt;"acoes")))*INDEX(Inputs!$K$5:$AJ$110,0,MATCH(F$2,Inputs!$K$4:$AJ$4,0)))+SUMPRODUCT((Inputs!$E$5:$E$110=$B54)*Inputs!$F$5:$F$110*(((Inputs!$G$5:$G$110="moeda")+(Inputs!$G$5:$G$110="acoes"))*Inputs!$B$1+((Inputs!$G$5:$G$110&lt;&gt;"moeda")*(Inputs!$G$5:$G$110&lt;&gt;"acoes")))*INDEX(Inputs!$K$5:$AJ$110,0,MATCH(F$2,Inputs!$K$4:$AJ$4,0)))))</f>
        <v>4860</v>
      </c>
      <c r="G54" s="513">
        <f>IF(ISNA(MATCH(G$2,Inputs!$K$4:$AJ$4,0)),NA(),IF(SUMPRODUCT((Inputs!$A$5:$A$110=$B54)*ISNUMBER(INDEX(Inputs!$K$5:$AJ$110,0,MATCH(G$2,Inputs!$K$4:$AJ$4,0))))+SUMPRODUCT((Inputs!$C$5:$C$110=$B54)*ISNUMBER(INDEX(Inputs!$K$5:$AJ$110,0,MATCH(G$2,Inputs!$K$4:$AJ$4,0))))+SUMPRODUCT((Inputs!$E$5:$E$110=$B54)*ISNUMBER(INDEX(Inputs!$K$5:$AJ$110,0,MATCH(G$2,Inputs!$K$4:$AJ$4,0))))=0,NA(),SUMPRODUCT((Inputs!$A$5:$A$110=$B54)*Inputs!$B$5:$B$110*(((Inputs!$G$5:$G$110="moeda")+(Inputs!$G$5:$G$110="acoes"))*Inputs!$B$1+((Inputs!$G$5:$G$110&lt;&gt;"moeda")*(Inputs!$G$5:$G$110&lt;&gt;"acoes")))*INDEX(Inputs!$K$5:$AJ$110,0,MATCH(G$2,Inputs!$K$4:$AJ$4,0)))+SUMPRODUCT((Inputs!$C$5:$C$110=$B54)*Inputs!$D$5:$D$110*(((Inputs!$G$5:$G$110="moeda")+(Inputs!$G$5:$G$110="acoes"))*Inputs!$B$1+((Inputs!$G$5:$G$110&lt;&gt;"moeda")*(Inputs!$G$5:$G$110&lt;&gt;"acoes")))*INDEX(Inputs!$K$5:$AJ$110,0,MATCH(G$2,Inputs!$K$4:$AJ$4,0)))+SUMPRODUCT((Inputs!$E$5:$E$110=$B54)*Inputs!$F$5:$F$110*(((Inputs!$G$5:$G$110="moeda")+(Inputs!$G$5:$G$110="acoes"))*Inputs!$B$1+((Inputs!$G$5:$G$110&lt;&gt;"moeda")*(Inputs!$G$5:$G$110&lt;&gt;"acoes")))*INDEX(Inputs!$K$5:$AJ$110,0,MATCH(G$2,Inputs!$K$4:$AJ$4,0)))))</f>
        <v>5183</v>
      </c>
      <c r="H54" s="514">
        <f>SUM(D54:G54)</f>
        <v>21587</v>
      </c>
      <c r="I54" s="513">
        <f>IF(ISNA(MATCH(I$2,Inputs!$K$4:$AJ$4,0)),NA(),IF(SUMPRODUCT((Inputs!$A$5:$A$110=$B54)*ISNUMBER(INDEX(Inputs!$K$5:$AJ$110,0,MATCH(I$2,Inputs!$K$4:$AJ$4,0))))+SUMPRODUCT((Inputs!$C$5:$C$110=$B54)*ISNUMBER(INDEX(Inputs!$K$5:$AJ$110,0,MATCH(I$2,Inputs!$K$4:$AJ$4,0))))+SUMPRODUCT((Inputs!$E$5:$E$110=$B54)*ISNUMBER(INDEX(Inputs!$K$5:$AJ$110,0,MATCH(I$2,Inputs!$K$4:$AJ$4,0))))=0,NA(),SUMPRODUCT((Inputs!$A$5:$A$110=$B54)*Inputs!$B$5:$B$110*(((Inputs!$G$5:$G$110="moeda")+(Inputs!$G$5:$G$110="acoes"))*Inputs!$B$1+((Inputs!$G$5:$G$110&lt;&gt;"moeda")*(Inputs!$G$5:$G$110&lt;&gt;"acoes")))*INDEX(Inputs!$K$5:$AJ$110,0,MATCH(I$2,Inputs!$K$4:$AJ$4,0)))+SUMPRODUCT((Inputs!$C$5:$C$110=$B54)*Inputs!$D$5:$D$110*(((Inputs!$G$5:$G$110="moeda")+(Inputs!$G$5:$G$110="acoes"))*Inputs!$B$1+((Inputs!$G$5:$G$110&lt;&gt;"moeda")*(Inputs!$G$5:$G$110&lt;&gt;"acoes")))*INDEX(Inputs!$K$5:$AJ$110,0,MATCH(I$2,Inputs!$K$4:$AJ$4,0)))+SUMPRODUCT((Inputs!$E$5:$E$110=$B54)*Inputs!$F$5:$F$110*(((Inputs!$G$5:$G$110="moeda")+(Inputs!$G$5:$G$110="acoes"))*Inputs!$B$1+((Inputs!$G$5:$G$110&lt;&gt;"moeda")*(Inputs!$G$5:$G$110&lt;&gt;"acoes")))*INDEX(Inputs!$K$5:$AJ$110,0,MATCH(I$2,Inputs!$K$4:$AJ$4,0)))))</f>
        <v>4462</v>
      </c>
      <c r="J54" s="513">
        <f>IF(ISNA(MATCH(J$2,Inputs!$K$4:$AJ$4,0)),NA(),IF(SUMPRODUCT((Inputs!$A$5:$A$110=$B54)*ISNUMBER(INDEX(Inputs!$K$5:$AJ$110,0,MATCH(J$2,Inputs!$K$4:$AJ$4,0))))+SUMPRODUCT((Inputs!$C$5:$C$110=$B54)*ISNUMBER(INDEX(Inputs!$K$5:$AJ$110,0,MATCH(J$2,Inputs!$K$4:$AJ$4,0))))+SUMPRODUCT((Inputs!$E$5:$E$110=$B54)*ISNUMBER(INDEX(Inputs!$K$5:$AJ$110,0,MATCH(J$2,Inputs!$K$4:$AJ$4,0))))=0,NA(),SUMPRODUCT((Inputs!$A$5:$A$110=$B54)*Inputs!$B$5:$B$110*(((Inputs!$G$5:$G$110="moeda")+(Inputs!$G$5:$G$110="acoes"))*Inputs!$B$1+((Inputs!$G$5:$G$110&lt;&gt;"moeda")*(Inputs!$G$5:$G$110&lt;&gt;"acoes")))*INDEX(Inputs!$K$5:$AJ$110,0,MATCH(J$2,Inputs!$K$4:$AJ$4,0)))+SUMPRODUCT((Inputs!$C$5:$C$110=$B54)*Inputs!$D$5:$D$110*(((Inputs!$G$5:$G$110="moeda")+(Inputs!$G$5:$G$110="acoes"))*Inputs!$B$1+((Inputs!$G$5:$G$110&lt;&gt;"moeda")*(Inputs!$G$5:$G$110&lt;&gt;"acoes")))*INDEX(Inputs!$K$5:$AJ$110,0,MATCH(J$2,Inputs!$K$4:$AJ$4,0)))+SUMPRODUCT((Inputs!$E$5:$E$110=$B54)*Inputs!$F$5:$F$110*(((Inputs!$G$5:$G$110="moeda")+(Inputs!$G$5:$G$110="acoes"))*Inputs!$B$1+((Inputs!$G$5:$G$110&lt;&gt;"moeda")*(Inputs!$G$5:$G$110&lt;&gt;"acoes")))*INDEX(Inputs!$K$5:$AJ$110,0,MATCH(J$2,Inputs!$K$4:$AJ$4,0)))))</f>
        <v>5683</v>
      </c>
      <c r="K54" s="513">
        <f>IF(ISNA(MATCH(K$2,Inputs!$K$4:$AJ$4,0)),NA(),IF(SUMPRODUCT((Inputs!$A$5:$A$110=$B54)*ISNUMBER(INDEX(Inputs!$K$5:$AJ$110,0,MATCH(K$2,Inputs!$K$4:$AJ$4,0))))+SUMPRODUCT((Inputs!$C$5:$C$110=$B54)*ISNUMBER(INDEX(Inputs!$K$5:$AJ$110,0,MATCH(K$2,Inputs!$K$4:$AJ$4,0))))+SUMPRODUCT((Inputs!$E$5:$E$110=$B54)*ISNUMBER(INDEX(Inputs!$K$5:$AJ$110,0,MATCH(K$2,Inputs!$K$4:$AJ$4,0))))=0,NA(),SUMPRODUCT((Inputs!$A$5:$A$110=$B54)*Inputs!$B$5:$B$110*(((Inputs!$G$5:$G$110="moeda")+(Inputs!$G$5:$G$110="acoes"))*Inputs!$B$1+((Inputs!$G$5:$G$110&lt;&gt;"moeda")*(Inputs!$G$5:$G$110&lt;&gt;"acoes")))*INDEX(Inputs!$K$5:$AJ$110,0,MATCH(K$2,Inputs!$K$4:$AJ$4,0)))+SUMPRODUCT((Inputs!$C$5:$C$110=$B54)*Inputs!$D$5:$D$110*(((Inputs!$G$5:$G$110="moeda")+(Inputs!$G$5:$G$110="acoes"))*Inputs!$B$1+((Inputs!$G$5:$G$110&lt;&gt;"moeda")*(Inputs!$G$5:$G$110&lt;&gt;"acoes")))*INDEX(Inputs!$K$5:$AJ$110,0,MATCH(K$2,Inputs!$K$4:$AJ$4,0)))+SUMPRODUCT((Inputs!$E$5:$E$110=$B54)*Inputs!$F$5:$F$110*(((Inputs!$G$5:$G$110="moeda")+(Inputs!$G$5:$G$110="acoes"))*Inputs!$B$1+((Inputs!$G$5:$G$110&lt;&gt;"moeda")*(Inputs!$G$5:$G$110&lt;&gt;"acoes")))*INDEX(Inputs!$K$5:$AJ$110,0,MATCH(K$2,Inputs!$K$4:$AJ$4,0)))))</f>
        <v>5093</v>
      </c>
      <c r="L54" s="513">
        <f>IF(ISNA(MATCH(L$2,Inputs!$K$4:$AJ$4,0)),NA(),IF(SUMPRODUCT((Inputs!$A$5:$A$110=$B54)*ISNUMBER(INDEX(Inputs!$K$5:$AJ$110,0,MATCH(L$2,Inputs!$K$4:$AJ$4,0))))+SUMPRODUCT((Inputs!$C$5:$C$110=$B54)*ISNUMBER(INDEX(Inputs!$K$5:$AJ$110,0,MATCH(L$2,Inputs!$K$4:$AJ$4,0))))+SUMPRODUCT((Inputs!$E$5:$E$110=$B54)*ISNUMBER(INDEX(Inputs!$K$5:$AJ$110,0,MATCH(L$2,Inputs!$K$4:$AJ$4,0))))=0,NA(),SUMPRODUCT((Inputs!$A$5:$A$110=$B54)*Inputs!$B$5:$B$110*(((Inputs!$G$5:$G$110="moeda")+(Inputs!$G$5:$G$110="acoes"))*Inputs!$B$1+((Inputs!$G$5:$G$110&lt;&gt;"moeda")*(Inputs!$G$5:$G$110&lt;&gt;"acoes")))*INDEX(Inputs!$K$5:$AJ$110,0,MATCH(L$2,Inputs!$K$4:$AJ$4,0)))+SUMPRODUCT((Inputs!$C$5:$C$110=$B54)*Inputs!$D$5:$D$110*(((Inputs!$G$5:$G$110="moeda")+(Inputs!$G$5:$G$110="acoes"))*Inputs!$B$1+((Inputs!$G$5:$G$110&lt;&gt;"moeda")*(Inputs!$G$5:$G$110&lt;&gt;"acoes")))*INDEX(Inputs!$K$5:$AJ$110,0,MATCH(L$2,Inputs!$K$4:$AJ$4,0)))+SUMPRODUCT((Inputs!$E$5:$E$110=$B54)*Inputs!$F$5:$F$110*(((Inputs!$G$5:$G$110="moeda")+(Inputs!$G$5:$G$110="acoes"))*Inputs!$B$1+((Inputs!$G$5:$G$110&lt;&gt;"moeda")*(Inputs!$G$5:$G$110&lt;&gt;"acoes")))*INDEX(Inputs!$K$5:$AJ$110,0,MATCH(L$2,Inputs!$K$4:$AJ$4,0)))))</f>
        <v>5382</v>
      </c>
      <c r="M54" s="514">
        <f>SUM(I54:L54)</f>
        <v>20620</v>
      </c>
      <c r="N54" s="513">
        <f>IF(ISNA(MATCH(N$2,Inputs!$K$4:$AJ$4,0)),NA(),IF(SUMPRODUCT((Inputs!$A$5:$A$110=$B54)*ISNUMBER(INDEX(Inputs!$K$5:$AJ$110,0,MATCH(N$2,Inputs!$K$4:$AJ$4,0))))+SUMPRODUCT((Inputs!$C$5:$C$110=$B54)*ISNUMBER(INDEX(Inputs!$K$5:$AJ$110,0,MATCH(N$2,Inputs!$K$4:$AJ$4,0))))+SUMPRODUCT((Inputs!$E$5:$E$110=$B54)*ISNUMBER(INDEX(Inputs!$K$5:$AJ$110,0,MATCH(N$2,Inputs!$K$4:$AJ$4,0))))=0,NA(),SUMPRODUCT((Inputs!$A$5:$A$110=$B54)*Inputs!$B$5:$B$110*(((Inputs!$G$5:$G$110="moeda")+(Inputs!$G$5:$G$110="acoes"))*Inputs!$B$1+((Inputs!$G$5:$G$110&lt;&gt;"moeda")*(Inputs!$G$5:$G$110&lt;&gt;"acoes")))*INDEX(Inputs!$K$5:$AJ$110,0,MATCH(N$2,Inputs!$K$4:$AJ$4,0)))+SUMPRODUCT((Inputs!$C$5:$C$110=$B54)*Inputs!$D$5:$D$110*(((Inputs!$G$5:$G$110="moeda")+(Inputs!$G$5:$G$110="acoes"))*Inputs!$B$1+((Inputs!$G$5:$G$110&lt;&gt;"moeda")*(Inputs!$G$5:$G$110&lt;&gt;"acoes")))*INDEX(Inputs!$K$5:$AJ$110,0,MATCH(N$2,Inputs!$K$4:$AJ$4,0)))+SUMPRODUCT((Inputs!$E$5:$E$110=$B54)*Inputs!$F$5:$F$110*(((Inputs!$G$5:$G$110="moeda")+(Inputs!$G$5:$G$110="acoes"))*Inputs!$B$1+((Inputs!$G$5:$G$110&lt;&gt;"moeda")*(Inputs!$G$5:$G$110&lt;&gt;"acoes")))*INDEX(Inputs!$K$5:$AJ$110,0,MATCH(N$2,Inputs!$K$4:$AJ$4,0)))))</f>
        <v>4984</v>
      </c>
      <c r="O54" s="513">
        <f>IF(ISNA(MATCH(O$2,Inputs!$K$4:$AJ$4,0)),NA(),IF(SUMPRODUCT((Inputs!$A$5:$A$110=$B54)*ISNUMBER(INDEX(Inputs!$K$5:$AJ$110,0,MATCH(O$2,Inputs!$K$4:$AJ$4,0))))+SUMPRODUCT((Inputs!$C$5:$C$110=$B54)*ISNUMBER(INDEX(Inputs!$K$5:$AJ$110,0,MATCH(O$2,Inputs!$K$4:$AJ$4,0))))+SUMPRODUCT((Inputs!$E$5:$E$110=$B54)*ISNUMBER(INDEX(Inputs!$K$5:$AJ$110,0,MATCH(O$2,Inputs!$K$4:$AJ$4,0))))=0,NA(),SUMPRODUCT((Inputs!$A$5:$A$110=$B54)*Inputs!$B$5:$B$110*(((Inputs!$G$5:$G$110="moeda")+(Inputs!$G$5:$G$110="acoes"))*Inputs!$B$1+((Inputs!$G$5:$G$110&lt;&gt;"moeda")*(Inputs!$G$5:$G$110&lt;&gt;"acoes")))*INDEX(Inputs!$K$5:$AJ$110,0,MATCH(O$2,Inputs!$K$4:$AJ$4,0)))+SUMPRODUCT((Inputs!$C$5:$C$110=$B54)*Inputs!$D$5:$D$110*(((Inputs!$G$5:$G$110="moeda")+(Inputs!$G$5:$G$110="acoes"))*Inputs!$B$1+((Inputs!$G$5:$G$110&lt;&gt;"moeda")*(Inputs!$G$5:$G$110&lt;&gt;"acoes")))*INDEX(Inputs!$K$5:$AJ$110,0,MATCH(O$2,Inputs!$K$4:$AJ$4,0)))+SUMPRODUCT((Inputs!$E$5:$E$110=$B54)*Inputs!$F$5:$F$110*(((Inputs!$G$5:$G$110="moeda")+(Inputs!$G$5:$G$110="acoes"))*Inputs!$B$1+((Inputs!$G$5:$G$110&lt;&gt;"moeda")*(Inputs!$G$5:$G$110&lt;&gt;"acoes")))*INDEX(Inputs!$K$5:$AJ$110,0,MATCH(O$2,Inputs!$K$4:$AJ$4,0)))))</f>
        <v>6114</v>
      </c>
      <c r="P54" s="513">
        <f>IF(ISNA(MATCH(P$2,Inputs!$K$4:$AJ$4,0)),NA(),IF(SUMPRODUCT((Inputs!$A$5:$A$110=$B54)*ISNUMBER(INDEX(Inputs!$K$5:$AJ$110,0,MATCH(P$2,Inputs!$K$4:$AJ$4,0))))+SUMPRODUCT((Inputs!$C$5:$C$110=$B54)*ISNUMBER(INDEX(Inputs!$K$5:$AJ$110,0,MATCH(P$2,Inputs!$K$4:$AJ$4,0))))+SUMPRODUCT((Inputs!$E$5:$E$110=$B54)*ISNUMBER(INDEX(Inputs!$K$5:$AJ$110,0,MATCH(P$2,Inputs!$K$4:$AJ$4,0))))=0,NA(),SUMPRODUCT((Inputs!$A$5:$A$110=$B54)*Inputs!$B$5:$B$110*(((Inputs!$G$5:$G$110="moeda")+(Inputs!$G$5:$G$110="acoes"))*Inputs!$B$1+((Inputs!$G$5:$G$110&lt;&gt;"moeda")*(Inputs!$G$5:$G$110&lt;&gt;"acoes")))*INDEX(Inputs!$K$5:$AJ$110,0,MATCH(P$2,Inputs!$K$4:$AJ$4,0)))+SUMPRODUCT((Inputs!$C$5:$C$110=$B54)*Inputs!$D$5:$D$110*(((Inputs!$G$5:$G$110="moeda")+(Inputs!$G$5:$G$110="acoes"))*Inputs!$B$1+((Inputs!$G$5:$G$110&lt;&gt;"moeda")*(Inputs!$G$5:$G$110&lt;&gt;"acoes")))*INDEX(Inputs!$K$5:$AJ$110,0,MATCH(P$2,Inputs!$K$4:$AJ$4,0)))+SUMPRODUCT((Inputs!$E$5:$E$110=$B54)*Inputs!$F$5:$F$110*(((Inputs!$G$5:$G$110="moeda")+(Inputs!$G$5:$G$110="acoes"))*Inputs!$B$1+((Inputs!$G$5:$G$110&lt;&gt;"moeda")*(Inputs!$G$5:$G$110&lt;&gt;"acoes")))*INDEX(Inputs!$K$5:$AJ$110,0,MATCH(P$2,Inputs!$K$4:$AJ$4,0)))))</f>
        <v>4981</v>
      </c>
      <c r="Q54" s="513">
        <f>IF(ISNA(MATCH(Q$2,Inputs!$K$4:$AJ$4,0)),NA(),IF(SUMPRODUCT((Inputs!$A$5:$A$110=$B54)*ISNUMBER(INDEX(Inputs!$K$5:$AJ$110,0,MATCH(Q$2,Inputs!$K$4:$AJ$4,0))))+SUMPRODUCT((Inputs!$C$5:$C$110=$B54)*ISNUMBER(INDEX(Inputs!$K$5:$AJ$110,0,MATCH(Q$2,Inputs!$K$4:$AJ$4,0))))+SUMPRODUCT((Inputs!$E$5:$E$110=$B54)*ISNUMBER(INDEX(Inputs!$K$5:$AJ$110,0,MATCH(Q$2,Inputs!$K$4:$AJ$4,0))))=0,NA(),SUMPRODUCT((Inputs!$A$5:$A$110=$B54)*Inputs!$B$5:$B$110*(((Inputs!$G$5:$G$110="moeda")+(Inputs!$G$5:$G$110="acoes"))*Inputs!$B$1+((Inputs!$G$5:$G$110&lt;&gt;"moeda")*(Inputs!$G$5:$G$110&lt;&gt;"acoes")))*INDEX(Inputs!$K$5:$AJ$110,0,MATCH(Q$2,Inputs!$K$4:$AJ$4,0)))+SUMPRODUCT((Inputs!$C$5:$C$110=$B54)*Inputs!$D$5:$D$110*(((Inputs!$G$5:$G$110="moeda")+(Inputs!$G$5:$G$110="acoes"))*Inputs!$B$1+((Inputs!$G$5:$G$110&lt;&gt;"moeda")*(Inputs!$G$5:$G$110&lt;&gt;"acoes")))*INDEX(Inputs!$K$5:$AJ$110,0,MATCH(Q$2,Inputs!$K$4:$AJ$4,0)))+SUMPRODUCT((Inputs!$E$5:$E$110=$B54)*Inputs!$F$5:$F$110*(((Inputs!$G$5:$G$110="moeda")+(Inputs!$G$5:$G$110="acoes"))*Inputs!$B$1+((Inputs!$G$5:$G$110&lt;&gt;"moeda")*(Inputs!$G$5:$G$110&lt;&gt;"acoes")))*INDEX(Inputs!$K$5:$AJ$110,0,MATCH(Q$2,Inputs!$K$4:$AJ$4,0)))))</f>
        <v>6075</v>
      </c>
      <c r="R54" s="514">
        <f>SUM(N54:Q54)</f>
        <v>22154</v>
      </c>
      <c r="S54" s="513">
        <f>IF(ISNA(MATCH(S$2,Inputs!$K$4:$AJ$4,0)),NA(),IF(SUMPRODUCT((Inputs!$A$5:$A$110=$B54)*ISNUMBER(INDEX(Inputs!$K$5:$AJ$110,0,MATCH(S$2,Inputs!$K$4:$AJ$4,0))))+SUMPRODUCT((Inputs!$C$5:$C$110=$B54)*ISNUMBER(INDEX(Inputs!$K$5:$AJ$110,0,MATCH(S$2,Inputs!$K$4:$AJ$4,0))))+SUMPRODUCT((Inputs!$E$5:$E$110=$B54)*ISNUMBER(INDEX(Inputs!$K$5:$AJ$110,0,MATCH(S$2,Inputs!$K$4:$AJ$4,0))))=0,NA(),SUMPRODUCT((Inputs!$A$5:$A$110=$B54)*Inputs!$B$5:$B$110*(((Inputs!$G$5:$G$110="moeda")+(Inputs!$G$5:$G$110="acoes"))*Inputs!$B$1+((Inputs!$G$5:$G$110&lt;&gt;"moeda")*(Inputs!$G$5:$G$110&lt;&gt;"acoes")))*INDEX(Inputs!$K$5:$AJ$110,0,MATCH(S$2,Inputs!$K$4:$AJ$4,0)))+SUMPRODUCT((Inputs!$C$5:$C$110=$B54)*Inputs!$D$5:$D$110*(((Inputs!$G$5:$G$110="moeda")+(Inputs!$G$5:$G$110="acoes"))*Inputs!$B$1+((Inputs!$G$5:$G$110&lt;&gt;"moeda")*(Inputs!$G$5:$G$110&lt;&gt;"acoes")))*INDEX(Inputs!$K$5:$AJ$110,0,MATCH(S$2,Inputs!$K$4:$AJ$4,0)))+SUMPRODUCT((Inputs!$E$5:$E$110=$B54)*Inputs!$F$5:$F$110*(((Inputs!$G$5:$G$110="moeda")+(Inputs!$G$5:$G$110="acoes"))*Inputs!$B$1+((Inputs!$G$5:$G$110&lt;&gt;"moeda")*(Inputs!$G$5:$G$110&lt;&gt;"acoes")))*INDEX(Inputs!$K$5:$AJ$110,0,MATCH(S$2,Inputs!$K$4:$AJ$4,0)))))</f>
        <v>5332</v>
      </c>
      <c r="T54" s="513">
        <f>IF(ISNA(MATCH(T$2,Inputs!$K$4:$AJ$4,0)),NA(),IF(SUMPRODUCT((Inputs!$A$5:$A$110=$B54)*ISNUMBER(INDEX(Inputs!$K$5:$AJ$110,0,MATCH(T$2,Inputs!$K$4:$AJ$4,0))))+SUMPRODUCT((Inputs!$C$5:$C$110=$B54)*ISNUMBER(INDEX(Inputs!$K$5:$AJ$110,0,MATCH(T$2,Inputs!$K$4:$AJ$4,0))))+SUMPRODUCT((Inputs!$E$5:$E$110=$B54)*ISNUMBER(INDEX(Inputs!$K$5:$AJ$110,0,MATCH(T$2,Inputs!$K$4:$AJ$4,0))))=0,NA(),SUMPRODUCT((Inputs!$A$5:$A$110=$B54)*Inputs!$B$5:$B$110*(((Inputs!$G$5:$G$110="moeda")+(Inputs!$G$5:$G$110="acoes"))*Inputs!$B$1+((Inputs!$G$5:$G$110&lt;&gt;"moeda")*(Inputs!$G$5:$G$110&lt;&gt;"acoes")))*INDEX(Inputs!$K$5:$AJ$110,0,MATCH(T$2,Inputs!$K$4:$AJ$4,0)))+SUMPRODUCT((Inputs!$C$5:$C$110=$B54)*Inputs!$D$5:$D$110*(((Inputs!$G$5:$G$110="moeda")+(Inputs!$G$5:$G$110="acoes"))*Inputs!$B$1+((Inputs!$G$5:$G$110&lt;&gt;"moeda")*(Inputs!$G$5:$G$110&lt;&gt;"acoes")))*INDEX(Inputs!$K$5:$AJ$110,0,MATCH(T$2,Inputs!$K$4:$AJ$4,0)))+SUMPRODUCT((Inputs!$E$5:$E$110=$B54)*Inputs!$F$5:$F$110*(((Inputs!$G$5:$G$110="moeda")+(Inputs!$G$5:$G$110="acoes"))*Inputs!$B$1+((Inputs!$G$5:$G$110&lt;&gt;"moeda")*(Inputs!$G$5:$G$110&lt;&gt;"acoes")))*INDEX(Inputs!$K$5:$AJ$110,0,MATCH(T$2,Inputs!$K$4:$AJ$4,0)))))</f>
        <v>6591</v>
      </c>
      <c r="U54" s="513">
        <f>IF(ISNA(MATCH(U$2,Inputs!$K$4:$AJ$4,0)),NA(),IF(SUMPRODUCT((Inputs!$A$5:$A$110=$B54)*ISNUMBER(INDEX(Inputs!$K$5:$AJ$110,0,MATCH(U$2,Inputs!$K$4:$AJ$4,0))))+SUMPRODUCT((Inputs!$C$5:$C$110=$B54)*ISNUMBER(INDEX(Inputs!$K$5:$AJ$110,0,MATCH(U$2,Inputs!$K$4:$AJ$4,0))))+SUMPRODUCT((Inputs!$E$5:$E$110=$B54)*ISNUMBER(INDEX(Inputs!$K$5:$AJ$110,0,MATCH(U$2,Inputs!$K$4:$AJ$4,0))))=0,NA(),SUMPRODUCT((Inputs!$A$5:$A$110=$B54)*Inputs!$B$5:$B$110*(((Inputs!$G$5:$G$110="moeda")+(Inputs!$G$5:$G$110="acoes"))*Inputs!$B$1+((Inputs!$G$5:$G$110&lt;&gt;"moeda")*(Inputs!$G$5:$G$110&lt;&gt;"acoes")))*INDEX(Inputs!$K$5:$AJ$110,0,MATCH(U$2,Inputs!$K$4:$AJ$4,0)))+SUMPRODUCT((Inputs!$C$5:$C$110=$B54)*Inputs!$D$5:$D$110*(((Inputs!$G$5:$G$110="moeda")+(Inputs!$G$5:$G$110="acoes"))*Inputs!$B$1+((Inputs!$G$5:$G$110&lt;&gt;"moeda")*(Inputs!$G$5:$G$110&lt;&gt;"acoes")))*INDEX(Inputs!$K$5:$AJ$110,0,MATCH(U$2,Inputs!$K$4:$AJ$4,0)))+SUMPRODUCT((Inputs!$E$5:$E$110=$B54)*Inputs!$F$5:$F$110*(((Inputs!$G$5:$G$110="moeda")+(Inputs!$G$5:$G$110="acoes"))*Inputs!$B$1+((Inputs!$G$5:$G$110&lt;&gt;"moeda")*(Inputs!$G$5:$G$110&lt;&gt;"acoes")))*INDEX(Inputs!$K$5:$AJ$110,0,MATCH(U$2,Inputs!$K$4:$AJ$4,0)))))</f>
        <v>5435</v>
      </c>
      <c r="V54" s="513">
        <f>IF(ISNA(MATCH(V$2,Inputs!$K$4:$AJ$4,0)),NA(),IF(SUMPRODUCT((Inputs!$A$5:$A$110=$B54)*ISNUMBER(INDEX(Inputs!$K$5:$AJ$110,0,MATCH(V$2,Inputs!$K$4:$AJ$4,0))))+SUMPRODUCT((Inputs!$C$5:$C$110=$B54)*ISNUMBER(INDEX(Inputs!$K$5:$AJ$110,0,MATCH(V$2,Inputs!$K$4:$AJ$4,0))))+SUMPRODUCT((Inputs!$E$5:$E$110=$B54)*ISNUMBER(INDEX(Inputs!$K$5:$AJ$110,0,MATCH(V$2,Inputs!$K$4:$AJ$4,0))))=0,NA(),SUMPRODUCT((Inputs!$A$5:$A$110=$B54)*Inputs!$B$5:$B$110*(((Inputs!$G$5:$G$110="moeda")+(Inputs!$G$5:$G$110="acoes"))*Inputs!$B$1+((Inputs!$G$5:$G$110&lt;&gt;"moeda")*(Inputs!$G$5:$G$110&lt;&gt;"acoes")))*INDEX(Inputs!$K$5:$AJ$110,0,MATCH(V$2,Inputs!$K$4:$AJ$4,0)))+SUMPRODUCT((Inputs!$C$5:$C$110=$B54)*Inputs!$D$5:$D$110*(((Inputs!$G$5:$G$110="moeda")+(Inputs!$G$5:$G$110="acoes"))*Inputs!$B$1+((Inputs!$G$5:$G$110&lt;&gt;"moeda")*(Inputs!$G$5:$G$110&lt;&gt;"acoes")))*INDEX(Inputs!$K$5:$AJ$110,0,MATCH(V$2,Inputs!$K$4:$AJ$4,0)))+SUMPRODUCT((Inputs!$E$5:$E$110=$B54)*Inputs!$F$5:$F$110*(((Inputs!$G$5:$G$110="moeda")+(Inputs!$G$5:$G$110="acoes"))*Inputs!$B$1+((Inputs!$G$5:$G$110&lt;&gt;"moeda")*(Inputs!$G$5:$G$110&lt;&gt;"acoes")))*INDEX(Inputs!$K$5:$AJ$110,0,MATCH(V$2,Inputs!$K$4:$AJ$4,0)))))</f>
        <v>6524</v>
      </c>
      <c r="W54" s="514">
        <f>SUM(S54:V54)</f>
        <v>23882</v>
      </c>
      <c r="X54" s="513">
        <f>IF(ISNA(MATCH(X$2,Inputs!$K$4:$AJ$4,0)),NA(),IF(SUMPRODUCT((Inputs!$A$5:$A$110=$B54)*ISNUMBER(INDEX(Inputs!$K$5:$AJ$110,0,MATCH(X$2,Inputs!$K$4:$AJ$4,0))))+SUMPRODUCT((Inputs!$C$5:$C$110=$B54)*ISNUMBER(INDEX(Inputs!$K$5:$AJ$110,0,MATCH(X$2,Inputs!$K$4:$AJ$4,0))))+SUMPRODUCT((Inputs!$E$5:$E$110=$B54)*ISNUMBER(INDEX(Inputs!$K$5:$AJ$110,0,MATCH(X$2,Inputs!$K$4:$AJ$4,0))))=0,NA(),SUMPRODUCT((Inputs!$A$5:$A$110=$B54)*Inputs!$B$5:$B$110*(((Inputs!$G$5:$G$110="moeda")+(Inputs!$G$5:$G$110="acoes"))*Inputs!$B$1+((Inputs!$G$5:$G$110&lt;&gt;"moeda")*(Inputs!$G$5:$G$110&lt;&gt;"acoes")))*INDEX(Inputs!$K$5:$AJ$110,0,MATCH(X$2,Inputs!$K$4:$AJ$4,0)))+SUMPRODUCT((Inputs!$C$5:$C$110=$B54)*Inputs!$D$5:$D$110*(((Inputs!$G$5:$G$110="moeda")+(Inputs!$G$5:$G$110="acoes"))*Inputs!$B$1+((Inputs!$G$5:$G$110&lt;&gt;"moeda")*(Inputs!$G$5:$G$110&lt;&gt;"acoes")))*INDEX(Inputs!$K$5:$AJ$110,0,MATCH(X$2,Inputs!$K$4:$AJ$4,0)))+SUMPRODUCT((Inputs!$E$5:$E$110=$B54)*Inputs!$F$5:$F$110*(((Inputs!$G$5:$G$110="moeda")+(Inputs!$G$5:$G$110="acoes"))*Inputs!$B$1+((Inputs!$G$5:$G$110&lt;&gt;"moeda")*(Inputs!$G$5:$G$110&lt;&gt;"acoes")))*INDEX(Inputs!$K$5:$AJ$110,0,MATCH(X$2,Inputs!$K$4:$AJ$4,0)))))</f>
        <v>5696</v>
      </c>
      <c r="Y54" s="513">
        <f>IF(ISNA(MATCH(Y$2,Inputs!$K$4:$AJ$4,0)),NA(),IF(SUMPRODUCT((Inputs!$A$5:$A$110=$B54)*ISNUMBER(INDEX(Inputs!$K$5:$AJ$110,0,MATCH(Y$2,Inputs!$K$4:$AJ$4,0))))+SUMPRODUCT((Inputs!$C$5:$C$110=$B54)*ISNUMBER(INDEX(Inputs!$K$5:$AJ$110,0,MATCH(Y$2,Inputs!$K$4:$AJ$4,0))))+SUMPRODUCT((Inputs!$E$5:$E$110=$B54)*ISNUMBER(INDEX(Inputs!$K$5:$AJ$110,0,MATCH(Y$2,Inputs!$K$4:$AJ$4,0))))=0,NA(),SUMPRODUCT((Inputs!$A$5:$A$110=$B54)*Inputs!$B$5:$B$110*(((Inputs!$G$5:$G$110="moeda")+(Inputs!$G$5:$G$110="acoes"))*Inputs!$B$1+((Inputs!$G$5:$G$110&lt;&gt;"moeda")*(Inputs!$G$5:$G$110&lt;&gt;"acoes")))*INDEX(Inputs!$K$5:$AJ$110,0,MATCH(Y$2,Inputs!$K$4:$AJ$4,0)))+SUMPRODUCT((Inputs!$C$5:$C$110=$B54)*Inputs!$D$5:$D$110*(((Inputs!$G$5:$G$110="moeda")+(Inputs!$G$5:$G$110="acoes"))*Inputs!$B$1+((Inputs!$G$5:$G$110&lt;&gt;"moeda")*(Inputs!$G$5:$G$110&lt;&gt;"acoes")))*INDEX(Inputs!$K$5:$AJ$110,0,MATCH(Y$2,Inputs!$K$4:$AJ$4,0)))+SUMPRODUCT((Inputs!$E$5:$E$110=$B54)*Inputs!$F$5:$F$110*(((Inputs!$G$5:$G$110="moeda")+(Inputs!$G$5:$G$110="acoes"))*Inputs!$B$1+((Inputs!$G$5:$G$110&lt;&gt;"moeda")*(Inputs!$G$5:$G$110&lt;&gt;"acoes")))*INDEX(Inputs!$K$5:$AJ$110,0,MATCH(Y$2,Inputs!$K$4:$AJ$4,0)))))</f>
        <v>6732</v>
      </c>
      <c r="Z54" s="513">
        <f>IF(ISNA(MATCH(Z$2,Inputs!$K$4:$AJ$4,0)),NA(),IF(SUMPRODUCT((Inputs!$A$5:$A$110=$B54)*ISNUMBER(INDEX(Inputs!$K$5:$AJ$110,0,MATCH(Z$2,Inputs!$K$4:$AJ$4,0))))+SUMPRODUCT((Inputs!$C$5:$C$110=$B54)*ISNUMBER(INDEX(Inputs!$K$5:$AJ$110,0,MATCH(Z$2,Inputs!$K$4:$AJ$4,0))))+SUMPRODUCT((Inputs!$E$5:$E$110=$B54)*ISNUMBER(INDEX(Inputs!$K$5:$AJ$110,0,MATCH(Z$2,Inputs!$K$4:$AJ$4,0))))=0,NA(),SUMPRODUCT((Inputs!$A$5:$A$110=$B54)*Inputs!$B$5:$B$110*(((Inputs!$G$5:$G$110="moeda")+(Inputs!$G$5:$G$110="acoes"))*Inputs!$B$1+((Inputs!$G$5:$G$110&lt;&gt;"moeda")*(Inputs!$G$5:$G$110&lt;&gt;"acoes")))*INDEX(Inputs!$K$5:$AJ$110,0,MATCH(Z$2,Inputs!$K$4:$AJ$4,0)))+SUMPRODUCT((Inputs!$C$5:$C$110=$B54)*Inputs!$D$5:$D$110*(((Inputs!$G$5:$G$110="moeda")+(Inputs!$G$5:$G$110="acoes"))*Inputs!$B$1+((Inputs!$G$5:$G$110&lt;&gt;"moeda")*(Inputs!$G$5:$G$110&lt;&gt;"acoes")))*INDEX(Inputs!$K$5:$AJ$110,0,MATCH(Z$2,Inputs!$K$4:$AJ$4,0)))+SUMPRODUCT((Inputs!$E$5:$E$110=$B54)*Inputs!$F$5:$F$110*(((Inputs!$G$5:$G$110="moeda")+(Inputs!$G$5:$G$110="acoes"))*Inputs!$B$1+((Inputs!$G$5:$G$110&lt;&gt;"moeda")*(Inputs!$G$5:$G$110&lt;&gt;"acoes")))*INDEX(Inputs!$K$5:$AJ$110,0,MATCH(Z$2,Inputs!$K$4:$AJ$4,0)))))</f>
        <v>5780</v>
      </c>
      <c r="AA54" s="513">
        <f>IF(ISNA(MATCH(AA$2,Inputs!$K$4:$AJ$4,0)),NA(),IF(SUMPRODUCT((Inputs!$A$5:$A$110=$B54)*ISNUMBER(INDEX(Inputs!$K$5:$AJ$110,0,MATCH(AA$2,Inputs!$K$4:$AJ$4,0))))+SUMPRODUCT((Inputs!$C$5:$C$110=$B54)*ISNUMBER(INDEX(Inputs!$K$5:$AJ$110,0,MATCH(AA$2,Inputs!$K$4:$AJ$4,0))))+SUMPRODUCT((Inputs!$E$5:$E$110=$B54)*ISNUMBER(INDEX(Inputs!$K$5:$AJ$110,0,MATCH(AA$2,Inputs!$K$4:$AJ$4,0))))=0,NA(),SUMPRODUCT((Inputs!$A$5:$A$110=$B54)*Inputs!$B$5:$B$110*(((Inputs!$G$5:$G$110="moeda")+(Inputs!$G$5:$G$110="acoes"))*Inputs!$B$1+((Inputs!$G$5:$G$110&lt;&gt;"moeda")*(Inputs!$G$5:$G$110&lt;&gt;"acoes")))*INDEX(Inputs!$K$5:$AJ$110,0,MATCH(AA$2,Inputs!$K$4:$AJ$4,0)))+SUMPRODUCT((Inputs!$C$5:$C$110=$B54)*Inputs!$D$5:$D$110*(((Inputs!$G$5:$G$110="moeda")+(Inputs!$G$5:$G$110="acoes"))*Inputs!$B$1+((Inputs!$G$5:$G$110&lt;&gt;"moeda")*(Inputs!$G$5:$G$110&lt;&gt;"acoes")))*INDEX(Inputs!$K$5:$AJ$110,0,MATCH(AA$2,Inputs!$K$4:$AJ$4,0)))+SUMPRODUCT((Inputs!$E$5:$E$110=$B54)*Inputs!$F$5:$F$110*(((Inputs!$G$5:$G$110="moeda")+(Inputs!$G$5:$G$110="acoes"))*Inputs!$B$1+((Inputs!$G$5:$G$110&lt;&gt;"moeda")*(Inputs!$G$5:$G$110&lt;&gt;"acoes")))*INDEX(Inputs!$K$5:$AJ$110,0,MATCH(AA$2,Inputs!$K$4:$AJ$4,0)))))</f>
        <v>6953</v>
      </c>
      <c r="AB54" s="514">
        <f>SUM(X54:AA54)</f>
        <v>25161</v>
      </c>
      <c r="AC54" s="513">
        <f>IF(ISNA(MATCH(AC$2,Inputs!$K$4:$AJ$4,0)),NA(),IF(SUMPRODUCT((Inputs!$A$5:$A$110=$B54)*ISNUMBER(INDEX(Inputs!$K$5:$AJ$110,0,MATCH(AC$2,Inputs!$K$4:$AJ$4,0))))+SUMPRODUCT((Inputs!$C$5:$C$110=$B54)*ISNUMBER(INDEX(Inputs!$K$5:$AJ$110,0,MATCH(AC$2,Inputs!$K$4:$AJ$4,0))))+SUMPRODUCT((Inputs!$E$5:$E$110=$B54)*ISNUMBER(INDEX(Inputs!$K$5:$AJ$110,0,MATCH(AC$2,Inputs!$K$4:$AJ$4,0))))=0,NA(),SUMPRODUCT((Inputs!$A$5:$A$110=$B54)*Inputs!$B$5:$B$110*(((Inputs!$G$5:$G$110="moeda")+(Inputs!$G$5:$G$110="acoes"))*Inputs!$B$1+((Inputs!$G$5:$G$110&lt;&gt;"moeda")*(Inputs!$G$5:$G$110&lt;&gt;"acoes")))*INDEX(Inputs!$K$5:$AJ$110,0,MATCH(AC$2,Inputs!$K$4:$AJ$4,0)))+SUMPRODUCT((Inputs!$C$5:$C$110=$B54)*Inputs!$D$5:$D$110*(((Inputs!$G$5:$G$110="moeda")+(Inputs!$G$5:$G$110="acoes"))*Inputs!$B$1+((Inputs!$G$5:$G$110&lt;&gt;"moeda")*(Inputs!$G$5:$G$110&lt;&gt;"acoes")))*INDEX(Inputs!$K$5:$AJ$110,0,MATCH(AC$2,Inputs!$K$4:$AJ$4,0)))+SUMPRODUCT((Inputs!$E$5:$E$110=$B54)*Inputs!$F$5:$F$110*(((Inputs!$G$5:$G$110="moeda")+(Inputs!$G$5:$G$110="acoes"))*Inputs!$B$1+((Inputs!$G$5:$G$110&lt;&gt;"moeda")*(Inputs!$G$5:$G$110&lt;&gt;"acoes")))*INDEX(Inputs!$K$5:$AJ$110,0,MATCH(AC$2,Inputs!$K$4:$AJ$4,0)))))</f>
        <v>5897</v>
      </c>
      <c r="AD54" s="513">
        <f>IF(ISNA(MATCH(AD$2,Inputs!$K$4:$AJ$4,0)),NA(),IF(SUMPRODUCT((Inputs!$A$5:$A$110=$B54)*ISNUMBER(INDEX(Inputs!$K$5:$AJ$110,0,MATCH(AD$2,Inputs!$K$4:$AJ$4,0))))+SUMPRODUCT((Inputs!$C$5:$C$110=$B54)*ISNUMBER(INDEX(Inputs!$K$5:$AJ$110,0,MATCH(AD$2,Inputs!$K$4:$AJ$4,0))))+SUMPRODUCT((Inputs!$E$5:$E$110=$B54)*ISNUMBER(INDEX(Inputs!$K$5:$AJ$110,0,MATCH(AD$2,Inputs!$K$4:$AJ$4,0))))=0,NA(),SUMPRODUCT((Inputs!$A$5:$A$110=$B54)*Inputs!$B$5:$B$110*(((Inputs!$G$5:$G$110="moeda")+(Inputs!$G$5:$G$110="acoes"))*Inputs!$B$1+((Inputs!$G$5:$G$110&lt;&gt;"moeda")*(Inputs!$G$5:$G$110&lt;&gt;"acoes")))*INDEX(Inputs!$K$5:$AJ$110,0,MATCH(AD$2,Inputs!$K$4:$AJ$4,0)))+SUMPRODUCT((Inputs!$C$5:$C$110=$B54)*Inputs!$D$5:$D$110*(((Inputs!$G$5:$G$110="moeda")+(Inputs!$G$5:$G$110="acoes"))*Inputs!$B$1+((Inputs!$G$5:$G$110&lt;&gt;"moeda")*(Inputs!$G$5:$G$110&lt;&gt;"acoes")))*INDEX(Inputs!$K$5:$AJ$110,0,MATCH(AD$2,Inputs!$K$4:$AJ$4,0)))+SUMPRODUCT((Inputs!$E$5:$E$110=$B54)*Inputs!$F$5:$F$110*(((Inputs!$G$5:$G$110="moeda")+(Inputs!$G$5:$G$110="acoes"))*Inputs!$B$1+((Inputs!$G$5:$G$110&lt;&gt;"moeda")*(Inputs!$G$5:$G$110&lt;&gt;"acoes")))*INDEX(Inputs!$K$5:$AJ$110,0,MATCH(AD$2,Inputs!$K$4:$AJ$4,0)))))</f>
        <v>8120</v>
      </c>
      <c r="AE54" s="513" t="e">
        <f>IF(ISNA(MATCH(AE$2,Inputs!$K$4:$AJ$4,0)),NA(),IF(SUMPRODUCT((Inputs!$A$5:$A$110=$B54)*ISNUMBER(INDEX(Inputs!$K$5:$AJ$110,0,MATCH(AE$2,Inputs!$K$4:$AJ$4,0))))+SUMPRODUCT((Inputs!$C$5:$C$110=$B54)*ISNUMBER(INDEX(Inputs!$K$5:$AJ$110,0,MATCH(AE$2,Inputs!$K$4:$AJ$4,0))))+SUMPRODUCT((Inputs!$E$5:$E$110=$B54)*ISNUMBER(INDEX(Inputs!$K$5:$AJ$110,0,MATCH(AE$2,Inputs!$K$4:$AJ$4,0))))=0,NA(),SUMPRODUCT((Inputs!$A$5:$A$110=$B54)*Inputs!$B$5:$B$110*(((Inputs!$G$5:$G$110="moeda")+(Inputs!$G$5:$G$110="acoes"))*Inputs!$B$1+((Inputs!$G$5:$G$110&lt;&gt;"moeda")*(Inputs!$G$5:$G$110&lt;&gt;"acoes")))*INDEX(Inputs!$K$5:$AJ$110,0,MATCH(AE$2,Inputs!$K$4:$AJ$4,0)))+SUMPRODUCT((Inputs!$C$5:$C$110=$B54)*Inputs!$D$5:$D$110*(((Inputs!$G$5:$G$110="moeda")+(Inputs!$G$5:$G$110="acoes"))*Inputs!$B$1+((Inputs!$G$5:$G$110&lt;&gt;"moeda")*(Inputs!$G$5:$G$110&lt;&gt;"acoes")))*INDEX(Inputs!$K$5:$AJ$110,0,MATCH(AE$2,Inputs!$K$4:$AJ$4,0)))+SUMPRODUCT((Inputs!$E$5:$E$110=$B54)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4" s="513" t="e">
        <f>IF(ISNA(MATCH(AF$2,Inputs!$K$4:$AJ$4,0)),NA(),IF(SUMPRODUCT((Inputs!$A$5:$A$110=$B54)*ISNUMBER(INDEX(Inputs!$K$5:$AJ$110,0,MATCH(AF$2,Inputs!$K$4:$AJ$4,0))))+SUMPRODUCT((Inputs!$C$5:$C$110=$B54)*ISNUMBER(INDEX(Inputs!$K$5:$AJ$110,0,MATCH(AF$2,Inputs!$K$4:$AJ$4,0))))+SUMPRODUCT((Inputs!$E$5:$E$110=$B54)*ISNUMBER(INDEX(Inputs!$K$5:$AJ$110,0,MATCH(AF$2,Inputs!$K$4:$AJ$4,0))))=0,NA(),SUMPRODUCT((Inputs!$A$5:$A$110=$B54)*Inputs!$B$5:$B$110*(((Inputs!$G$5:$G$110="moeda")+(Inputs!$G$5:$G$110="acoes"))*Inputs!$B$1+((Inputs!$G$5:$G$110&lt;&gt;"moeda")*(Inputs!$G$5:$G$110&lt;&gt;"acoes")))*INDEX(Inputs!$K$5:$AJ$110,0,MATCH(AF$2,Inputs!$K$4:$AJ$4,0)))+SUMPRODUCT((Inputs!$C$5:$C$110=$B54)*Inputs!$D$5:$D$110*(((Inputs!$G$5:$G$110="moeda")+(Inputs!$G$5:$G$110="acoes"))*Inputs!$B$1+((Inputs!$G$5:$G$110&lt;&gt;"moeda")*(Inputs!$G$5:$G$110&lt;&gt;"acoes")))*INDEX(Inputs!$K$5:$AJ$110,0,MATCH(AF$2,Inputs!$K$4:$AJ$4,0)))+SUMPRODUCT((Inputs!$E$5:$E$110=$B54)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4" s="514" t="e">
        <f>SUM(AC54:AF54)</f>
        <v>#N/A</v>
      </c>
      <c r="AH54" s="513">
        <f>IF(ISNA(MATCH(AH$2,Inputs!$K$4:$AJ$4,0)),NA(),IF(SUMPRODUCT((Inputs!$A$5:$A$110=$B54)*ISNUMBER(INDEX(Inputs!$K$5:$AJ$110,0,MATCH(AH$2,Inputs!$K$4:$AJ$4,0))))+SUMPRODUCT((Inputs!$C$5:$C$110=$B54)*ISNUMBER(INDEX(Inputs!$K$5:$AJ$110,0,MATCH(AH$2,Inputs!$K$4:$AJ$4,0))))+SUMPRODUCT((Inputs!$E$5:$E$110=$B54)*ISNUMBER(INDEX(Inputs!$K$5:$AJ$110,0,MATCH(AH$2,Inputs!$K$4:$AJ$4,0))))=0,NA(),SUMPRODUCT((Inputs!$A$5:$A$110=$B54)*Inputs!$B$5:$B$110*(((Inputs!$G$5:$G$110="moeda")+(Inputs!$G$5:$G$110="acoes"))*Inputs!$B$1+((Inputs!$G$5:$G$110&lt;&gt;"moeda")*(Inputs!$G$5:$G$110&lt;&gt;"acoes")))*INDEX(Inputs!$K$5:$AJ$110,0,MATCH(AH$2,Inputs!$K$4:$AJ$4,0)))+SUMPRODUCT((Inputs!$C$5:$C$110=$B54)*Inputs!$D$5:$D$110*(((Inputs!$G$5:$G$110="moeda")+(Inputs!$G$5:$G$110="acoes"))*Inputs!$B$1+((Inputs!$G$5:$G$110&lt;&gt;"moeda")*(Inputs!$G$5:$G$110&lt;&gt;"acoes")))*INDEX(Inputs!$K$5:$AJ$110,0,MATCH(AH$2,Inputs!$K$4:$AJ$4,0)))+SUMPRODUCT((Inputs!$E$5:$E$110=$B54)*Inputs!$F$5:$F$110*(((Inputs!$G$5:$G$110="moeda")+(Inputs!$G$5:$G$110="acoes"))*Inputs!$B$1+((Inputs!$G$5:$G$110&lt;&gt;"moeda")*(Inputs!$G$5:$G$110&lt;&gt;"acoes")))*INDEX(Inputs!$K$5:$AJ$110,0,MATCH(AH$2,Inputs!$K$4:$AJ$4,0)))))</f>
        <v>4302</v>
      </c>
      <c r="AI54" s="513">
        <f>IF(ISNA(MATCH(AI$2,Inputs!$K$4:$AJ$4,0)),NA(),IF(SUMPRODUCT((Inputs!$A$5:$A$110=$B54)*ISNUMBER(INDEX(Inputs!$K$5:$AJ$110,0,MATCH(AI$2,Inputs!$K$4:$AJ$4,0))))+SUMPRODUCT((Inputs!$C$5:$C$110=$B54)*ISNUMBER(INDEX(Inputs!$K$5:$AJ$110,0,MATCH(AI$2,Inputs!$K$4:$AJ$4,0))))+SUMPRODUCT((Inputs!$E$5:$E$110=$B54)*ISNUMBER(INDEX(Inputs!$K$5:$AJ$110,0,MATCH(AI$2,Inputs!$K$4:$AJ$4,0))))=0,NA(),SUMPRODUCT((Inputs!$A$5:$A$110=$B54)*Inputs!$B$5:$B$110*(((Inputs!$G$5:$G$110="moeda")+(Inputs!$G$5:$G$110="acoes"))*Inputs!$B$1+((Inputs!$G$5:$G$110&lt;&gt;"moeda")*(Inputs!$G$5:$G$110&lt;&gt;"acoes")))*INDEX(Inputs!$K$5:$AJ$110,0,MATCH(AI$2,Inputs!$K$4:$AJ$4,0)))+SUMPRODUCT((Inputs!$C$5:$C$110=$B54)*Inputs!$D$5:$D$110*(((Inputs!$G$5:$G$110="moeda")+(Inputs!$G$5:$G$110="acoes"))*Inputs!$B$1+((Inputs!$G$5:$G$110&lt;&gt;"moeda")*(Inputs!$G$5:$G$110&lt;&gt;"acoes")))*INDEX(Inputs!$K$5:$AJ$110,0,MATCH(AI$2,Inputs!$K$4:$AJ$4,0)))+SUMPRODUCT((Inputs!$E$5:$E$110=$B54)*Inputs!$F$5:$F$110*(((Inputs!$G$5:$G$110="moeda")+(Inputs!$G$5:$G$110="acoes"))*Inputs!$B$1+((Inputs!$G$5:$G$110&lt;&gt;"moeda")*(Inputs!$G$5:$G$110&lt;&gt;"acoes")))*INDEX(Inputs!$K$5:$AJ$110,0,MATCH(AI$2,Inputs!$K$4:$AJ$4,0)))))</f>
        <v>5057</v>
      </c>
      <c r="AJ54" s="513">
        <f>IF(ISNA(MATCH(AJ$2,Inputs!$K$4:$AJ$4,0)),NA(),IF(SUMPRODUCT((Inputs!$A$5:$A$110=$B54)*ISNUMBER(INDEX(Inputs!$K$5:$AJ$110,0,MATCH(AJ$2,Inputs!$K$4:$AJ$4,0))))+SUMPRODUCT((Inputs!$C$5:$C$110=$B54)*ISNUMBER(INDEX(Inputs!$K$5:$AJ$110,0,MATCH(AJ$2,Inputs!$K$4:$AJ$4,0))))+SUMPRODUCT((Inputs!$E$5:$E$110=$B54)*ISNUMBER(INDEX(Inputs!$K$5:$AJ$110,0,MATCH(AJ$2,Inputs!$K$4:$AJ$4,0))))=0,NA(),SUMPRODUCT((Inputs!$A$5:$A$110=$B54)*Inputs!$B$5:$B$110*(((Inputs!$G$5:$G$110="moeda")+(Inputs!$G$5:$G$110="acoes"))*Inputs!$B$1+((Inputs!$G$5:$G$110&lt;&gt;"moeda")*(Inputs!$G$5:$G$110&lt;&gt;"acoes")))*INDEX(Inputs!$K$5:$AJ$110,0,MATCH(AJ$2,Inputs!$K$4:$AJ$4,0)))+SUMPRODUCT((Inputs!$C$5:$C$110=$B54)*Inputs!$D$5:$D$110*(((Inputs!$G$5:$G$110="moeda")+(Inputs!$G$5:$G$110="acoes"))*Inputs!$B$1+((Inputs!$G$5:$G$110&lt;&gt;"moeda")*(Inputs!$G$5:$G$110&lt;&gt;"acoes")))*INDEX(Inputs!$K$5:$AJ$110,0,MATCH(AJ$2,Inputs!$K$4:$AJ$4,0)))+SUMPRODUCT((Inputs!$E$5:$E$110=$B54)*Inputs!$F$5:$F$110*(((Inputs!$G$5:$G$110="moeda")+(Inputs!$G$5:$G$110="acoes"))*Inputs!$B$1+((Inputs!$G$5:$G$110&lt;&gt;"moeda")*(Inputs!$G$5:$G$110&lt;&gt;"acoes")))*INDEX(Inputs!$K$5:$AJ$110,0,MATCH(AJ$2,Inputs!$K$4:$AJ$4,0)))))</f>
        <v>4589</v>
      </c>
      <c r="AK54" s="513">
        <f>IF(ISNA(MATCH(AK$2,Inputs!$K$4:$AJ$4,0)),NA(),IF(SUMPRODUCT((Inputs!$A$5:$A$110=$B54)*ISNUMBER(INDEX(Inputs!$K$5:$AJ$110,0,MATCH(AK$2,Inputs!$K$4:$AJ$4,0))))+SUMPRODUCT((Inputs!$C$5:$C$110=$B54)*ISNUMBER(INDEX(Inputs!$K$5:$AJ$110,0,MATCH(AK$2,Inputs!$K$4:$AJ$4,0))))+SUMPRODUCT((Inputs!$E$5:$E$110=$B54)*ISNUMBER(INDEX(Inputs!$K$5:$AJ$110,0,MATCH(AK$2,Inputs!$K$4:$AJ$4,0))))=0,NA(),SUMPRODUCT((Inputs!$A$5:$A$110=$B54)*Inputs!$B$5:$B$110*(((Inputs!$G$5:$G$110="moeda")+(Inputs!$G$5:$G$110="acoes"))*Inputs!$B$1+((Inputs!$G$5:$G$110&lt;&gt;"moeda")*(Inputs!$G$5:$G$110&lt;&gt;"acoes")))*INDEX(Inputs!$K$5:$AJ$110,0,MATCH(AK$2,Inputs!$K$4:$AJ$4,0)))+SUMPRODUCT((Inputs!$C$5:$C$110=$B54)*Inputs!$D$5:$D$110*(((Inputs!$G$5:$G$110="moeda")+(Inputs!$G$5:$G$110="acoes"))*Inputs!$B$1+((Inputs!$G$5:$G$110&lt;&gt;"moeda")*(Inputs!$G$5:$G$110&lt;&gt;"acoes")))*INDEX(Inputs!$K$5:$AJ$110,0,MATCH(AK$2,Inputs!$K$4:$AJ$4,0)))+SUMPRODUCT((Inputs!$E$5:$E$110=$B54)*Inputs!$F$5:$F$110*(((Inputs!$G$5:$G$110="moeda")+(Inputs!$G$5:$G$110="acoes"))*Inputs!$B$1+((Inputs!$G$5:$G$110&lt;&gt;"moeda")*(Inputs!$G$5:$G$110&lt;&gt;"acoes")))*INDEX(Inputs!$K$5:$AJ$110,0,MATCH(AK$2,Inputs!$K$4:$AJ$4,0)))))</f>
        <v>5168</v>
      </c>
      <c r="AL54" s="514">
        <f>SUM(AH54:AK54)</f>
        <v>19116</v>
      </c>
    </row>
    <row r="55">
      <c r="B55" s="265" t="n">
        <v>47</v>
      </c>
      <c r="C55" s="266" t="inlineStr">
        <is>
          <t>Walmart International - receita (USD)</t>
        </is>
      </c>
      <c r="D55" s="513">
        <f>IF(ISNA(MATCH(D$2,Inputs!$K$4:$AJ$4,0)),NA(),IF(SUMPRODUCT((Inputs!$A$5:$A$110=$B55)*ISNUMBER(INDEX(Inputs!$K$5:$AJ$110,0,MATCH(D$2,Inputs!$K$4:$AJ$4,0))))+SUMPRODUCT((Inputs!$C$5:$C$110=$B55)*ISNUMBER(INDEX(Inputs!$K$5:$AJ$110,0,MATCH(D$2,Inputs!$K$4:$AJ$4,0))))+SUMPRODUCT((Inputs!$E$5:$E$110=$B55)*ISNUMBER(INDEX(Inputs!$K$5:$AJ$110,0,MATCH(D$2,Inputs!$K$4:$AJ$4,0))))=0,NA(),SUMPRODUCT((Inputs!$A$5:$A$110=$B55)*Inputs!$B$5:$B$110*(((Inputs!$G$5:$G$110="moeda")+(Inputs!$G$5:$G$110="acoes"))*Inputs!$B$1+((Inputs!$G$5:$G$110&lt;&gt;"moeda")*(Inputs!$G$5:$G$110&lt;&gt;"acoes")))*INDEX(Inputs!$K$5:$AJ$110,0,MATCH(D$2,Inputs!$K$4:$AJ$4,0)))+SUMPRODUCT((Inputs!$C$5:$C$110=$B55)*Inputs!$D$5:$D$110*(((Inputs!$G$5:$G$110="moeda")+(Inputs!$G$5:$G$110="acoes"))*Inputs!$B$1+((Inputs!$G$5:$G$110&lt;&gt;"moeda")*(Inputs!$G$5:$G$110&lt;&gt;"acoes")))*INDEX(Inputs!$K$5:$AJ$110,0,MATCH(D$2,Inputs!$K$4:$AJ$4,0)))+SUMPRODUCT((Inputs!$E$5:$E$110=$B55)*Inputs!$F$5:$F$110*(((Inputs!$G$5:$G$110="moeda")+(Inputs!$G$5:$G$110="acoes"))*Inputs!$B$1+((Inputs!$G$5:$G$110&lt;&gt;"moeda")*(Inputs!$G$5:$G$110&lt;&gt;"acoes")))*INDEX(Inputs!$K$5:$AJ$110,0,MATCH(D$2,Inputs!$K$4:$AJ$4,0)))))</f>
        <v>27300</v>
      </c>
      <c r="E55" s="513">
        <f>IF(ISNA(MATCH(E$2,Inputs!$K$4:$AJ$4,0)),NA(),IF(SUMPRODUCT((Inputs!$A$5:$A$110=$B55)*ISNUMBER(INDEX(Inputs!$K$5:$AJ$110,0,MATCH(E$2,Inputs!$K$4:$AJ$4,0))))+SUMPRODUCT((Inputs!$C$5:$C$110=$B55)*ISNUMBER(INDEX(Inputs!$K$5:$AJ$110,0,MATCH(E$2,Inputs!$K$4:$AJ$4,0))))+SUMPRODUCT((Inputs!$E$5:$E$110=$B55)*ISNUMBER(INDEX(Inputs!$K$5:$AJ$110,0,MATCH(E$2,Inputs!$K$4:$AJ$4,0))))=0,NA(),SUMPRODUCT((Inputs!$A$5:$A$110=$B55)*Inputs!$B$5:$B$110*(((Inputs!$G$5:$G$110="moeda")+(Inputs!$G$5:$G$110="acoes"))*Inputs!$B$1+((Inputs!$G$5:$G$110&lt;&gt;"moeda")*(Inputs!$G$5:$G$110&lt;&gt;"acoes")))*INDEX(Inputs!$K$5:$AJ$110,0,MATCH(E$2,Inputs!$K$4:$AJ$4,0)))+SUMPRODUCT((Inputs!$C$5:$C$110=$B55)*Inputs!$D$5:$D$110*(((Inputs!$G$5:$G$110="moeda")+(Inputs!$G$5:$G$110="acoes"))*Inputs!$B$1+((Inputs!$G$5:$G$110&lt;&gt;"moeda")*(Inputs!$G$5:$G$110&lt;&gt;"acoes")))*INDEX(Inputs!$K$5:$AJ$110,0,MATCH(E$2,Inputs!$K$4:$AJ$4,0)))+SUMPRODUCT((Inputs!$E$5:$E$110=$B55)*Inputs!$F$5:$F$110*(((Inputs!$G$5:$G$110="moeda")+(Inputs!$G$5:$G$110="acoes"))*Inputs!$B$1+((Inputs!$G$5:$G$110&lt;&gt;"moeda")*(Inputs!$G$5:$G$110&lt;&gt;"acoes")))*INDEX(Inputs!$K$5:$AJ$110,0,MATCH(E$2,Inputs!$K$4:$AJ$4,0)))))</f>
        <v>23035</v>
      </c>
      <c r="F55" s="513">
        <f>IF(ISNA(MATCH(F$2,Inputs!$K$4:$AJ$4,0)),NA(),IF(SUMPRODUCT((Inputs!$A$5:$A$110=$B55)*ISNUMBER(INDEX(Inputs!$K$5:$AJ$110,0,MATCH(F$2,Inputs!$K$4:$AJ$4,0))))+SUMPRODUCT((Inputs!$C$5:$C$110=$B55)*ISNUMBER(INDEX(Inputs!$K$5:$AJ$110,0,MATCH(F$2,Inputs!$K$4:$AJ$4,0))))+SUMPRODUCT((Inputs!$E$5:$E$110=$B55)*ISNUMBER(INDEX(Inputs!$K$5:$AJ$110,0,MATCH(F$2,Inputs!$K$4:$AJ$4,0))))=0,NA(),SUMPRODUCT((Inputs!$A$5:$A$110=$B55)*Inputs!$B$5:$B$110*(((Inputs!$G$5:$G$110="moeda")+(Inputs!$G$5:$G$110="acoes"))*Inputs!$B$1+((Inputs!$G$5:$G$110&lt;&gt;"moeda")*(Inputs!$G$5:$G$110&lt;&gt;"acoes")))*INDEX(Inputs!$K$5:$AJ$110,0,MATCH(F$2,Inputs!$K$4:$AJ$4,0)))+SUMPRODUCT((Inputs!$C$5:$C$110=$B55)*Inputs!$D$5:$D$110*(((Inputs!$G$5:$G$110="moeda")+(Inputs!$G$5:$G$110="acoes"))*Inputs!$B$1+((Inputs!$G$5:$G$110&lt;&gt;"moeda")*(Inputs!$G$5:$G$110&lt;&gt;"acoes")))*INDEX(Inputs!$K$5:$AJ$110,0,MATCH(F$2,Inputs!$K$4:$AJ$4,0)))+SUMPRODUCT((Inputs!$E$5:$E$110=$B55)*Inputs!$F$5:$F$110*(((Inputs!$G$5:$G$110="moeda")+(Inputs!$G$5:$G$110="acoes"))*Inputs!$B$1+((Inputs!$G$5:$G$110&lt;&gt;"moeda")*(Inputs!$G$5:$G$110&lt;&gt;"acoes")))*INDEX(Inputs!$K$5:$AJ$110,0,MATCH(F$2,Inputs!$K$4:$AJ$4,0)))))</f>
        <v>23627</v>
      </c>
      <c r="G55" s="513">
        <f>IF(ISNA(MATCH(G$2,Inputs!$K$4:$AJ$4,0)),NA(),IF(SUMPRODUCT((Inputs!$A$5:$A$110=$B55)*ISNUMBER(INDEX(Inputs!$K$5:$AJ$110,0,MATCH(G$2,Inputs!$K$4:$AJ$4,0))))+SUMPRODUCT((Inputs!$C$5:$C$110=$B55)*ISNUMBER(INDEX(Inputs!$K$5:$AJ$110,0,MATCH(G$2,Inputs!$K$4:$AJ$4,0))))+SUMPRODUCT((Inputs!$E$5:$E$110=$B55)*ISNUMBER(INDEX(Inputs!$K$5:$AJ$110,0,MATCH(G$2,Inputs!$K$4:$AJ$4,0))))=0,NA(),SUMPRODUCT((Inputs!$A$5:$A$110=$B55)*Inputs!$B$5:$B$110*(((Inputs!$G$5:$G$110="moeda")+(Inputs!$G$5:$G$110="acoes"))*Inputs!$B$1+((Inputs!$G$5:$G$110&lt;&gt;"moeda")*(Inputs!$G$5:$G$110&lt;&gt;"acoes")))*INDEX(Inputs!$K$5:$AJ$110,0,MATCH(G$2,Inputs!$K$4:$AJ$4,0)))+SUMPRODUCT((Inputs!$C$5:$C$110=$B55)*Inputs!$D$5:$D$110*(((Inputs!$G$5:$G$110="moeda")+(Inputs!$G$5:$G$110="acoes"))*Inputs!$B$1+((Inputs!$G$5:$G$110&lt;&gt;"moeda")*(Inputs!$G$5:$G$110&lt;&gt;"acoes")))*INDEX(Inputs!$K$5:$AJ$110,0,MATCH(G$2,Inputs!$K$4:$AJ$4,0)))+SUMPRODUCT((Inputs!$E$5:$E$110=$B55)*Inputs!$F$5:$F$110*(((Inputs!$G$5:$G$110="moeda")+(Inputs!$G$5:$G$110="acoes"))*Inputs!$B$1+((Inputs!$G$5:$G$110&lt;&gt;"moeda")*(Inputs!$G$5:$G$110&lt;&gt;"acoes")))*INDEX(Inputs!$K$5:$AJ$110,0,MATCH(G$2,Inputs!$K$4:$AJ$4,0)))))</f>
        <v>26997</v>
      </c>
      <c r="H55" s="514">
        <f>SUM(D55:G55)</f>
        <v>100959</v>
      </c>
      <c r="I55" s="513">
        <f>IF(ISNA(MATCH(I$2,Inputs!$K$4:$AJ$4,0)),NA(),IF(SUMPRODUCT((Inputs!$A$5:$A$110=$B55)*ISNUMBER(INDEX(Inputs!$K$5:$AJ$110,0,MATCH(I$2,Inputs!$K$4:$AJ$4,0))))+SUMPRODUCT((Inputs!$C$5:$C$110=$B55)*ISNUMBER(INDEX(Inputs!$K$5:$AJ$110,0,MATCH(I$2,Inputs!$K$4:$AJ$4,0))))+SUMPRODUCT((Inputs!$E$5:$E$110=$B55)*ISNUMBER(INDEX(Inputs!$K$5:$AJ$110,0,MATCH(I$2,Inputs!$K$4:$AJ$4,0))))=0,NA(),SUMPRODUCT((Inputs!$A$5:$A$110=$B55)*Inputs!$B$5:$B$110*(((Inputs!$G$5:$G$110="moeda")+(Inputs!$G$5:$G$110="acoes"))*Inputs!$B$1+((Inputs!$G$5:$G$110&lt;&gt;"moeda")*(Inputs!$G$5:$G$110&lt;&gt;"acoes")))*INDEX(Inputs!$K$5:$AJ$110,0,MATCH(I$2,Inputs!$K$4:$AJ$4,0)))+SUMPRODUCT((Inputs!$C$5:$C$110=$B55)*Inputs!$D$5:$D$110*(((Inputs!$G$5:$G$110="moeda")+(Inputs!$G$5:$G$110="acoes"))*Inputs!$B$1+((Inputs!$G$5:$G$110&lt;&gt;"moeda")*(Inputs!$G$5:$G$110&lt;&gt;"acoes")))*INDEX(Inputs!$K$5:$AJ$110,0,MATCH(I$2,Inputs!$K$4:$AJ$4,0)))+SUMPRODUCT((Inputs!$E$5:$E$110=$B55)*Inputs!$F$5:$F$110*(((Inputs!$G$5:$G$110="moeda")+(Inputs!$G$5:$G$110="acoes"))*Inputs!$B$1+((Inputs!$G$5:$G$110&lt;&gt;"moeda")*(Inputs!$G$5:$G$110&lt;&gt;"acoes")))*INDEX(Inputs!$K$5:$AJ$110,0,MATCH(I$2,Inputs!$K$4:$AJ$4,0)))))</f>
        <v>23763</v>
      </c>
      <c r="J55" s="513">
        <f>IF(ISNA(MATCH(J$2,Inputs!$K$4:$AJ$4,0)),NA(),IF(SUMPRODUCT((Inputs!$A$5:$A$110=$B55)*ISNUMBER(INDEX(Inputs!$K$5:$AJ$110,0,MATCH(J$2,Inputs!$K$4:$AJ$4,0))))+SUMPRODUCT((Inputs!$C$5:$C$110=$B55)*ISNUMBER(INDEX(Inputs!$K$5:$AJ$110,0,MATCH(J$2,Inputs!$K$4:$AJ$4,0))))+SUMPRODUCT((Inputs!$E$5:$E$110=$B55)*ISNUMBER(INDEX(Inputs!$K$5:$AJ$110,0,MATCH(J$2,Inputs!$K$4:$AJ$4,0))))=0,NA(),SUMPRODUCT((Inputs!$A$5:$A$110=$B55)*Inputs!$B$5:$B$110*(((Inputs!$G$5:$G$110="moeda")+(Inputs!$G$5:$G$110="acoes"))*Inputs!$B$1+((Inputs!$G$5:$G$110&lt;&gt;"moeda")*(Inputs!$G$5:$G$110&lt;&gt;"acoes")))*INDEX(Inputs!$K$5:$AJ$110,0,MATCH(J$2,Inputs!$K$4:$AJ$4,0)))+SUMPRODUCT((Inputs!$C$5:$C$110=$B55)*Inputs!$D$5:$D$110*(((Inputs!$G$5:$G$110="moeda")+(Inputs!$G$5:$G$110="acoes"))*Inputs!$B$1+((Inputs!$G$5:$G$110&lt;&gt;"moeda")*(Inputs!$G$5:$G$110&lt;&gt;"acoes")))*INDEX(Inputs!$K$5:$AJ$110,0,MATCH(J$2,Inputs!$K$4:$AJ$4,0)))+SUMPRODUCT((Inputs!$E$5:$E$110=$B55)*Inputs!$F$5:$F$110*(((Inputs!$G$5:$G$110="moeda")+(Inputs!$G$5:$G$110="acoes"))*Inputs!$B$1+((Inputs!$G$5:$G$110&lt;&gt;"moeda")*(Inputs!$G$5:$G$110&lt;&gt;"acoes")))*INDEX(Inputs!$K$5:$AJ$110,0,MATCH(J$2,Inputs!$K$4:$AJ$4,0)))))</f>
        <v>24350</v>
      </c>
      <c r="K55" s="513">
        <f>IF(ISNA(MATCH(K$2,Inputs!$K$4:$AJ$4,0)),NA(),IF(SUMPRODUCT((Inputs!$A$5:$A$110=$B55)*ISNUMBER(INDEX(Inputs!$K$5:$AJ$110,0,MATCH(K$2,Inputs!$K$4:$AJ$4,0))))+SUMPRODUCT((Inputs!$C$5:$C$110=$B55)*ISNUMBER(INDEX(Inputs!$K$5:$AJ$110,0,MATCH(K$2,Inputs!$K$4:$AJ$4,0))))+SUMPRODUCT((Inputs!$E$5:$E$110=$B55)*ISNUMBER(INDEX(Inputs!$K$5:$AJ$110,0,MATCH(K$2,Inputs!$K$4:$AJ$4,0))))=0,NA(),SUMPRODUCT((Inputs!$A$5:$A$110=$B55)*Inputs!$B$5:$B$110*(((Inputs!$G$5:$G$110="moeda")+(Inputs!$G$5:$G$110="acoes"))*Inputs!$B$1+((Inputs!$G$5:$G$110&lt;&gt;"moeda")*(Inputs!$G$5:$G$110&lt;&gt;"acoes")))*INDEX(Inputs!$K$5:$AJ$110,0,MATCH(K$2,Inputs!$K$4:$AJ$4,0)))+SUMPRODUCT((Inputs!$C$5:$C$110=$B55)*Inputs!$D$5:$D$110*(((Inputs!$G$5:$G$110="moeda")+(Inputs!$G$5:$G$110="acoes"))*Inputs!$B$1+((Inputs!$G$5:$G$110&lt;&gt;"moeda")*(Inputs!$G$5:$G$110&lt;&gt;"acoes")))*INDEX(Inputs!$K$5:$AJ$110,0,MATCH(K$2,Inputs!$K$4:$AJ$4,0)))+SUMPRODUCT((Inputs!$E$5:$E$110=$B55)*Inputs!$F$5:$F$110*(((Inputs!$G$5:$G$110="moeda")+(Inputs!$G$5:$G$110="acoes"))*Inputs!$B$1+((Inputs!$G$5:$G$110&lt;&gt;"moeda")*(Inputs!$G$5:$G$110&lt;&gt;"acoes")))*INDEX(Inputs!$K$5:$AJ$110,0,MATCH(K$2,Inputs!$K$4:$AJ$4,0)))))</f>
        <v>25295</v>
      </c>
      <c r="L55" s="513">
        <f>IF(ISNA(MATCH(L$2,Inputs!$K$4:$AJ$4,0)),NA(),IF(SUMPRODUCT((Inputs!$A$5:$A$110=$B55)*ISNUMBER(INDEX(Inputs!$K$5:$AJ$110,0,MATCH(L$2,Inputs!$K$4:$AJ$4,0))))+SUMPRODUCT((Inputs!$C$5:$C$110=$B55)*ISNUMBER(INDEX(Inputs!$K$5:$AJ$110,0,MATCH(L$2,Inputs!$K$4:$AJ$4,0))))+SUMPRODUCT((Inputs!$E$5:$E$110=$B55)*ISNUMBER(INDEX(Inputs!$K$5:$AJ$110,0,MATCH(L$2,Inputs!$K$4:$AJ$4,0))))=0,NA(),SUMPRODUCT((Inputs!$A$5:$A$110=$B55)*Inputs!$B$5:$B$110*(((Inputs!$G$5:$G$110="moeda")+(Inputs!$G$5:$G$110="acoes"))*Inputs!$B$1+((Inputs!$G$5:$G$110&lt;&gt;"moeda")*(Inputs!$G$5:$G$110&lt;&gt;"acoes")))*INDEX(Inputs!$K$5:$AJ$110,0,MATCH(L$2,Inputs!$K$4:$AJ$4,0)))+SUMPRODUCT((Inputs!$C$5:$C$110=$B55)*Inputs!$D$5:$D$110*(((Inputs!$G$5:$G$110="moeda")+(Inputs!$G$5:$G$110="acoes"))*Inputs!$B$1+((Inputs!$G$5:$G$110&lt;&gt;"moeda")*(Inputs!$G$5:$G$110&lt;&gt;"acoes")))*INDEX(Inputs!$K$5:$AJ$110,0,MATCH(L$2,Inputs!$K$4:$AJ$4,0)))+SUMPRODUCT((Inputs!$E$5:$E$110=$B55)*Inputs!$F$5:$F$110*(((Inputs!$G$5:$G$110="moeda")+(Inputs!$G$5:$G$110="acoes"))*Inputs!$B$1+((Inputs!$G$5:$G$110&lt;&gt;"moeda")*(Inputs!$G$5:$G$110&lt;&gt;"acoes")))*INDEX(Inputs!$K$5:$AJ$110,0,MATCH(L$2,Inputs!$K$4:$AJ$4,0)))))</f>
        <v>27575</v>
      </c>
      <c r="M55" s="514">
        <f>SUM(I55:L55)</f>
        <v>100983</v>
      </c>
      <c r="N55" s="513">
        <f>IF(ISNA(MATCH(N$2,Inputs!$K$4:$AJ$4,0)),NA(),IF(SUMPRODUCT((Inputs!$A$5:$A$110=$B55)*ISNUMBER(INDEX(Inputs!$K$5:$AJ$110,0,MATCH(N$2,Inputs!$K$4:$AJ$4,0))))+SUMPRODUCT((Inputs!$C$5:$C$110=$B55)*ISNUMBER(INDEX(Inputs!$K$5:$AJ$110,0,MATCH(N$2,Inputs!$K$4:$AJ$4,0))))+SUMPRODUCT((Inputs!$E$5:$E$110=$B55)*ISNUMBER(INDEX(Inputs!$K$5:$AJ$110,0,MATCH(N$2,Inputs!$K$4:$AJ$4,0))))=0,NA(),SUMPRODUCT((Inputs!$A$5:$A$110=$B55)*Inputs!$B$5:$B$110*(((Inputs!$G$5:$G$110="moeda")+(Inputs!$G$5:$G$110="acoes"))*Inputs!$B$1+((Inputs!$G$5:$G$110&lt;&gt;"moeda")*(Inputs!$G$5:$G$110&lt;&gt;"acoes")))*INDEX(Inputs!$K$5:$AJ$110,0,MATCH(N$2,Inputs!$K$4:$AJ$4,0)))+SUMPRODUCT((Inputs!$C$5:$C$110=$B55)*Inputs!$D$5:$D$110*(((Inputs!$G$5:$G$110="moeda")+(Inputs!$G$5:$G$110="acoes"))*Inputs!$B$1+((Inputs!$G$5:$G$110&lt;&gt;"moeda")*(Inputs!$G$5:$G$110&lt;&gt;"acoes")))*INDEX(Inputs!$K$5:$AJ$110,0,MATCH(N$2,Inputs!$K$4:$AJ$4,0)))+SUMPRODUCT((Inputs!$E$5:$E$110=$B55)*Inputs!$F$5:$F$110*(((Inputs!$G$5:$G$110="moeda")+(Inputs!$G$5:$G$110="acoes"))*Inputs!$B$1+((Inputs!$G$5:$G$110&lt;&gt;"moeda")*(Inputs!$G$5:$G$110&lt;&gt;"acoes")))*INDEX(Inputs!$K$5:$AJ$110,0,MATCH(N$2,Inputs!$K$4:$AJ$4,0)))))</f>
        <v>26604</v>
      </c>
      <c r="O55" s="513">
        <f>IF(ISNA(MATCH(O$2,Inputs!$K$4:$AJ$4,0)),NA(),IF(SUMPRODUCT((Inputs!$A$5:$A$110=$B55)*ISNUMBER(INDEX(Inputs!$K$5:$AJ$110,0,MATCH(O$2,Inputs!$K$4:$AJ$4,0))))+SUMPRODUCT((Inputs!$C$5:$C$110=$B55)*ISNUMBER(INDEX(Inputs!$K$5:$AJ$110,0,MATCH(O$2,Inputs!$K$4:$AJ$4,0))))+SUMPRODUCT((Inputs!$E$5:$E$110=$B55)*ISNUMBER(INDEX(Inputs!$K$5:$AJ$110,0,MATCH(O$2,Inputs!$K$4:$AJ$4,0))))=0,NA(),SUMPRODUCT((Inputs!$A$5:$A$110=$B55)*Inputs!$B$5:$B$110*(((Inputs!$G$5:$G$110="moeda")+(Inputs!$G$5:$G$110="acoes"))*Inputs!$B$1+((Inputs!$G$5:$G$110&lt;&gt;"moeda")*(Inputs!$G$5:$G$110&lt;&gt;"acoes")))*INDEX(Inputs!$K$5:$AJ$110,0,MATCH(O$2,Inputs!$K$4:$AJ$4,0)))+SUMPRODUCT((Inputs!$C$5:$C$110=$B55)*Inputs!$D$5:$D$110*(((Inputs!$G$5:$G$110="moeda")+(Inputs!$G$5:$G$110="acoes"))*Inputs!$B$1+((Inputs!$G$5:$G$110&lt;&gt;"moeda")*(Inputs!$G$5:$G$110&lt;&gt;"acoes")))*INDEX(Inputs!$K$5:$AJ$110,0,MATCH(O$2,Inputs!$K$4:$AJ$4,0)))+SUMPRODUCT((Inputs!$E$5:$E$110=$B55)*Inputs!$F$5:$F$110*(((Inputs!$G$5:$G$110="moeda")+(Inputs!$G$5:$G$110="acoes"))*Inputs!$B$1+((Inputs!$G$5:$G$110&lt;&gt;"moeda")*(Inputs!$G$5:$G$110&lt;&gt;"acoes")))*INDEX(Inputs!$K$5:$AJ$110,0,MATCH(O$2,Inputs!$K$4:$AJ$4,0)))))</f>
        <v>27596</v>
      </c>
      <c r="P55" s="513">
        <f>IF(ISNA(MATCH(P$2,Inputs!$K$4:$AJ$4,0)),NA(),IF(SUMPRODUCT((Inputs!$A$5:$A$110=$B55)*ISNUMBER(INDEX(Inputs!$K$5:$AJ$110,0,MATCH(P$2,Inputs!$K$4:$AJ$4,0))))+SUMPRODUCT((Inputs!$C$5:$C$110=$B55)*ISNUMBER(INDEX(Inputs!$K$5:$AJ$110,0,MATCH(P$2,Inputs!$K$4:$AJ$4,0))))+SUMPRODUCT((Inputs!$E$5:$E$110=$B55)*ISNUMBER(INDEX(Inputs!$K$5:$AJ$110,0,MATCH(P$2,Inputs!$K$4:$AJ$4,0))))=0,NA(),SUMPRODUCT((Inputs!$A$5:$A$110=$B55)*Inputs!$B$5:$B$110*(((Inputs!$G$5:$G$110="moeda")+(Inputs!$G$5:$G$110="acoes"))*Inputs!$B$1+((Inputs!$G$5:$G$110&lt;&gt;"moeda")*(Inputs!$G$5:$G$110&lt;&gt;"acoes")))*INDEX(Inputs!$K$5:$AJ$110,0,MATCH(P$2,Inputs!$K$4:$AJ$4,0)))+SUMPRODUCT((Inputs!$C$5:$C$110=$B55)*Inputs!$D$5:$D$110*(((Inputs!$G$5:$G$110="moeda")+(Inputs!$G$5:$G$110="acoes"))*Inputs!$B$1+((Inputs!$G$5:$G$110&lt;&gt;"moeda")*(Inputs!$G$5:$G$110&lt;&gt;"acoes")))*INDEX(Inputs!$K$5:$AJ$110,0,MATCH(P$2,Inputs!$K$4:$AJ$4,0)))+SUMPRODUCT((Inputs!$E$5:$E$110=$B55)*Inputs!$F$5:$F$110*(((Inputs!$G$5:$G$110="moeda")+(Inputs!$G$5:$G$110="acoes"))*Inputs!$B$1+((Inputs!$G$5:$G$110&lt;&gt;"moeda")*(Inputs!$G$5:$G$110&lt;&gt;"acoes")))*INDEX(Inputs!$K$5:$AJ$110,0,MATCH(P$2,Inputs!$K$4:$AJ$4,0)))))</f>
        <v>28022</v>
      </c>
      <c r="Q55" s="513">
        <f>IF(ISNA(MATCH(Q$2,Inputs!$K$4:$AJ$4,0)),NA(),IF(SUMPRODUCT((Inputs!$A$5:$A$110=$B55)*ISNUMBER(INDEX(Inputs!$K$5:$AJ$110,0,MATCH(Q$2,Inputs!$K$4:$AJ$4,0))))+SUMPRODUCT((Inputs!$C$5:$C$110=$B55)*ISNUMBER(INDEX(Inputs!$K$5:$AJ$110,0,MATCH(Q$2,Inputs!$K$4:$AJ$4,0))))+SUMPRODUCT((Inputs!$E$5:$E$110=$B55)*ISNUMBER(INDEX(Inputs!$K$5:$AJ$110,0,MATCH(Q$2,Inputs!$K$4:$AJ$4,0))))=0,NA(),SUMPRODUCT((Inputs!$A$5:$A$110=$B55)*Inputs!$B$5:$B$110*(((Inputs!$G$5:$G$110="moeda")+(Inputs!$G$5:$G$110="acoes"))*Inputs!$B$1+((Inputs!$G$5:$G$110&lt;&gt;"moeda")*(Inputs!$G$5:$G$110&lt;&gt;"acoes")))*INDEX(Inputs!$K$5:$AJ$110,0,MATCH(Q$2,Inputs!$K$4:$AJ$4,0)))+SUMPRODUCT((Inputs!$C$5:$C$110=$B55)*Inputs!$D$5:$D$110*(((Inputs!$G$5:$G$110="moeda")+(Inputs!$G$5:$G$110="acoes"))*Inputs!$B$1+((Inputs!$G$5:$G$110&lt;&gt;"moeda")*(Inputs!$G$5:$G$110&lt;&gt;"acoes")))*INDEX(Inputs!$K$5:$AJ$110,0,MATCH(Q$2,Inputs!$K$4:$AJ$4,0)))+SUMPRODUCT((Inputs!$E$5:$E$110=$B55)*Inputs!$F$5:$F$110*(((Inputs!$G$5:$G$110="moeda")+(Inputs!$G$5:$G$110="acoes"))*Inputs!$B$1+((Inputs!$G$5:$G$110&lt;&gt;"moeda")*(Inputs!$G$5:$G$110&lt;&gt;"acoes")))*INDEX(Inputs!$K$5:$AJ$110,0,MATCH(Q$2,Inputs!$K$4:$AJ$4,0)))))</f>
        <v>32419</v>
      </c>
      <c r="R55" s="514">
        <f>SUM(N55:Q55)</f>
        <v>114641</v>
      </c>
      <c r="S55" s="513">
        <f>IF(ISNA(MATCH(S$2,Inputs!$K$4:$AJ$4,0)),NA(),IF(SUMPRODUCT((Inputs!$A$5:$A$110=$B55)*ISNUMBER(INDEX(Inputs!$K$5:$AJ$110,0,MATCH(S$2,Inputs!$K$4:$AJ$4,0))))+SUMPRODUCT((Inputs!$C$5:$C$110=$B55)*ISNUMBER(INDEX(Inputs!$K$5:$AJ$110,0,MATCH(S$2,Inputs!$K$4:$AJ$4,0))))+SUMPRODUCT((Inputs!$E$5:$E$110=$B55)*ISNUMBER(INDEX(Inputs!$K$5:$AJ$110,0,MATCH(S$2,Inputs!$K$4:$AJ$4,0))))=0,NA(),SUMPRODUCT((Inputs!$A$5:$A$110=$B55)*Inputs!$B$5:$B$110*(((Inputs!$G$5:$G$110="moeda")+(Inputs!$G$5:$G$110="acoes"))*Inputs!$B$1+((Inputs!$G$5:$G$110&lt;&gt;"moeda")*(Inputs!$G$5:$G$110&lt;&gt;"acoes")))*INDEX(Inputs!$K$5:$AJ$110,0,MATCH(S$2,Inputs!$K$4:$AJ$4,0)))+SUMPRODUCT((Inputs!$C$5:$C$110=$B55)*Inputs!$D$5:$D$110*(((Inputs!$G$5:$G$110="moeda")+(Inputs!$G$5:$G$110="acoes"))*Inputs!$B$1+((Inputs!$G$5:$G$110&lt;&gt;"moeda")*(Inputs!$G$5:$G$110&lt;&gt;"acoes")))*INDEX(Inputs!$K$5:$AJ$110,0,MATCH(S$2,Inputs!$K$4:$AJ$4,0)))+SUMPRODUCT((Inputs!$E$5:$E$110=$B55)*Inputs!$F$5:$F$110*(((Inputs!$G$5:$G$110="moeda")+(Inputs!$G$5:$G$110="acoes"))*Inputs!$B$1+((Inputs!$G$5:$G$110&lt;&gt;"moeda")*(Inputs!$G$5:$G$110&lt;&gt;"acoes")))*INDEX(Inputs!$K$5:$AJ$110,0,MATCH(S$2,Inputs!$K$4:$AJ$4,0)))))</f>
        <v>29833</v>
      </c>
      <c r="T55" s="513">
        <f>IF(ISNA(MATCH(T$2,Inputs!$K$4:$AJ$4,0)),NA(),IF(SUMPRODUCT((Inputs!$A$5:$A$110=$B55)*ISNUMBER(INDEX(Inputs!$K$5:$AJ$110,0,MATCH(T$2,Inputs!$K$4:$AJ$4,0))))+SUMPRODUCT((Inputs!$C$5:$C$110=$B55)*ISNUMBER(INDEX(Inputs!$K$5:$AJ$110,0,MATCH(T$2,Inputs!$K$4:$AJ$4,0))))+SUMPRODUCT((Inputs!$E$5:$E$110=$B55)*ISNUMBER(INDEX(Inputs!$K$5:$AJ$110,0,MATCH(T$2,Inputs!$K$4:$AJ$4,0))))=0,NA(),SUMPRODUCT((Inputs!$A$5:$A$110=$B55)*Inputs!$B$5:$B$110*(((Inputs!$G$5:$G$110="moeda")+(Inputs!$G$5:$G$110="acoes"))*Inputs!$B$1+((Inputs!$G$5:$G$110&lt;&gt;"moeda")*(Inputs!$G$5:$G$110&lt;&gt;"acoes")))*INDEX(Inputs!$K$5:$AJ$110,0,MATCH(T$2,Inputs!$K$4:$AJ$4,0)))+SUMPRODUCT((Inputs!$C$5:$C$110=$B55)*Inputs!$D$5:$D$110*(((Inputs!$G$5:$G$110="moeda")+(Inputs!$G$5:$G$110="acoes"))*Inputs!$B$1+((Inputs!$G$5:$G$110&lt;&gt;"moeda")*(Inputs!$G$5:$G$110&lt;&gt;"acoes")))*INDEX(Inputs!$K$5:$AJ$110,0,MATCH(T$2,Inputs!$K$4:$AJ$4,0)))+SUMPRODUCT((Inputs!$E$5:$E$110=$B55)*Inputs!$F$5:$F$110*(((Inputs!$G$5:$G$110="moeda")+(Inputs!$G$5:$G$110="acoes"))*Inputs!$B$1+((Inputs!$G$5:$G$110&lt;&gt;"moeda")*(Inputs!$G$5:$G$110&lt;&gt;"acoes")))*INDEX(Inputs!$K$5:$AJ$110,0,MATCH(T$2,Inputs!$K$4:$AJ$4,0)))))</f>
        <v>29567</v>
      </c>
      <c r="U55" s="513">
        <f>IF(ISNA(MATCH(U$2,Inputs!$K$4:$AJ$4,0)),NA(),IF(SUMPRODUCT((Inputs!$A$5:$A$110=$B55)*ISNUMBER(INDEX(Inputs!$K$5:$AJ$110,0,MATCH(U$2,Inputs!$K$4:$AJ$4,0))))+SUMPRODUCT((Inputs!$C$5:$C$110=$B55)*ISNUMBER(INDEX(Inputs!$K$5:$AJ$110,0,MATCH(U$2,Inputs!$K$4:$AJ$4,0))))+SUMPRODUCT((Inputs!$E$5:$E$110=$B55)*ISNUMBER(INDEX(Inputs!$K$5:$AJ$110,0,MATCH(U$2,Inputs!$K$4:$AJ$4,0))))=0,NA(),SUMPRODUCT((Inputs!$A$5:$A$110=$B55)*Inputs!$B$5:$B$110*(((Inputs!$G$5:$G$110="moeda")+(Inputs!$G$5:$G$110="acoes"))*Inputs!$B$1+((Inputs!$G$5:$G$110&lt;&gt;"moeda")*(Inputs!$G$5:$G$110&lt;&gt;"acoes")))*INDEX(Inputs!$K$5:$AJ$110,0,MATCH(U$2,Inputs!$K$4:$AJ$4,0)))+SUMPRODUCT((Inputs!$C$5:$C$110=$B55)*Inputs!$D$5:$D$110*(((Inputs!$G$5:$G$110="moeda")+(Inputs!$G$5:$G$110="acoes"))*Inputs!$B$1+((Inputs!$G$5:$G$110&lt;&gt;"moeda")*(Inputs!$G$5:$G$110&lt;&gt;"acoes")))*INDEX(Inputs!$K$5:$AJ$110,0,MATCH(U$2,Inputs!$K$4:$AJ$4,0)))+SUMPRODUCT((Inputs!$E$5:$E$110=$B55)*Inputs!$F$5:$F$110*(((Inputs!$G$5:$G$110="moeda")+(Inputs!$G$5:$G$110="acoes"))*Inputs!$B$1+((Inputs!$G$5:$G$110&lt;&gt;"moeda")*(Inputs!$G$5:$G$110&lt;&gt;"acoes")))*INDEX(Inputs!$K$5:$AJ$110,0,MATCH(U$2,Inputs!$K$4:$AJ$4,0)))))</f>
        <v>30277</v>
      </c>
      <c r="V55" s="513">
        <f>IF(ISNA(MATCH(V$2,Inputs!$K$4:$AJ$4,0)),NA(),IF(SUMPRODUCT((Inputs!$A$5:$A$110=$B55)*ISNUMBER(INDEX(Inputs!$K$5:$AJ$110,0,MATCH(V$2,Inputs!$K$4:$AJ$4,0))))+SUMPRODUCT((Inputs!$C$5:$C$110=$B55)*ISNUMBER(INDEX(Inputs!$K$5:$AJ$110,0,MATCH(V$2,Inputs!$K$4:$AJ$4,0))))+SUMPRODUCT((Inputs!$E$5:$E$110=$B55)*ISNUMBER(INDEX(Inputs!$K$5:$AJ$110,0,MATCH(V$2,Inputs!$K$4:$AJ$4,0))))=0,NA(),SUMPRODUCT((Inputs!$A$5:$A$110=$B55)*Inputs!$B$5:$B$110*(((Inputs!$G$5:$G$110="moeda")+(Inputs!$G$5:$G$110="acoes"))*Inputs!$B$1+((Inputs!$G$5:$G$110&lt;&gt;"moeda")*(Inputs!$G$5:$G$110&lt;&gt;"acoes")))*INDEX(Inputs!$K$5:$AJ$110,0,MATCH(V$2,Inputs!$K$4:$AJ$4,0)))+SUMPRODUCT((Inputs!$C$5:$C$110=$B55)*Inputs!$D$5:$D$110*(((Inputs!$G$5:$G$110="moeda")+(Inputs!$G$5:$G$110="acoes"))*Inputs!$B$1+((Inputs!$G$5:$G$110&lt;&gt;"moeda")*(Inputs!$G$5:$G$110&lt;&gt;"acoes")))*INDEX(Inputs!$K$5:$AJ$110,0,MATCH(V$2,Inputs!$K$4:$AJ$4,0)))+SUMPRODUCT((Inputs!$E$5:$E$110=$B55)*Inputs!$F$5:$F$110*(((Inputs!$G$5:$G$110="moeda")+(Inputs!$G$5:$G$110="acoes"))*Inputs!$B$1+((Inputs!$G$5:$G$110&lt;&gt;"moeda")*(Inputs!$G$5:$G$110&lt;&gt;"acoes")))*INDEX(Inputs!$K$5:$AJ$110,0,MATCH(V$2,Inputs!$K$4:$AJ$4,0)))))</f>
        <v>32208</v>
      </c>
      <c r="W55" s="514">
        <f>SUM(S55:V55)</f>
        <v>121885</v>
      </c>
      <c r="X55" s="513">
        <f>IF(ISNA(MATCH(X$2,Inputs!$K$4:$AJ$4,0)),NA(),IF(SUMPRODUCT((Inputs!$A$5:$A$110=$B55)*ISNUMBER(INDEX(Inputs!$K$5:$AJ$110,0,MATCH(X$2,Inputs!$K$4:$AJ$4,0))))+SUMPRODUCT((Inputs!$C$5:$C$110=$B55)*ISNUMBER(INDEX(Inputs!$K$5:$AJ$110,0,MATCH(X$2,Inputs!$K$4:$AJ$4,0))))+SUMPRODUCT((Inputs!$E$5:$E$110=$B55)*ISNUMBER(INDEX(Inputs!$K$5:$AJ$110,0,MATCH(X$2,Inputs!$K$4:$AJ$4,0))))=0,NA(),SUMPRODUCT((Inputs!$A$5:$A$110=$B55)*Inputs!$B$5:$B$110*(((Inputs!$G$5:$G$110="moeda")+(Inputs!$G$5:$G$110="acoes"))*Inputs!$B$1+((Inputs!$G$5:$G$110&lt;&gt;"moeda")*(Inputs!$G$5:$G$110&lt;&gt;"acoes")))*INDEX(Inputs!$K$5:$AJ$110,0,MATCH(X$2,Inputs!$K$4:$AJ$4,0)))+SUMPRODUCT((Inputs!$C$5:$C$110=$B55)*Inputs!$D$5:$D$110*(((Inputs!$G$5:$G$110="moeda")+(Inputs!$G$5:$G$110="acoes"))*Inputs!$B$1+((Inputs!$G$5:$G$110&lt;&gt;"moeda")*(Inputs!$G$5:$G$110&lt;&gt;"acoes")))*INDEX(Inputs!$K$5:$AJ$110,0,MATCH(X$2,Inputs!$K$4:$AJ$4,0)))+SUMPRODUCT((Inputs!$E$5:$E$110=$B55)*Inputs!$F$5:$F$110*(((Inputs!$G$5:$G$110="moeda")+(Inputs!$G$5:$G$110="acoes"))*Inputs!$B$1+((Inputs!$G$5:$G$110&lt;&gt;"moeda")*(Inputs!$G$5:$G$110&lt;&gt;"acoes")))*INDEX(Inputs!$K$5:$AJ$110,0,MATCH(X$2,Inputs!$K$4:$AJ$4,0)))))</f>
        <v>29754</v>
      </c>
      <c r="Y55" s="513">
        <f>IF(ISNA(MATCH(Y$2,Inputs!$K$4:$AJ$4,0)),NA(),IF(SUMPRODUCT((Inputs!$A$5:$A$110=$B55)*ISNUMBER(INDEX(Inputs!$K$5:$AJ$110,0,MATCH(Y$2,Inputs!$K$4:$AJ$4,0))))+SUMPRODUCT((Inputs!$C$5:$C$110=$B55)*ISNUMBER(INDEX(Inputs!$K$5:$AJ$110,0,MATCH(Y$2,Inputs!$K$4:$AJ$4,0))))+SUMPRODUCT((Inputs!$E$5:$E$110=$B55)*ISNUMBER(INDEX(Inputs!$K$5:$AJ$110,0,MATCH(Y$2,Inputs!$K$4:$AJ$4,0))))=0,NA(),SUMPRODUCT((Inputs!$A$5:$A$110=$B55)*Inputs!$B$5:$B$110*(((Inputs!$G$5:$G$110="moeda")+(Inputs!$G$5:$G$110="acoes"))*Inputs!$B$1+((Inputs!$G$5:$G$110&lt;&gt;"moeda")*(Inputs!$G$5:$G$110&lt;&gt;"acoes")))*INDEX(Inputs!$K$5:$AJ$110,0,MATCH(Y$2,Inputs!$K$4:$AJ$4,0)))+SUMPRODUCT((Inputs!$C$5:$C$110=$B55)*Inputs!$D$5:$D$110*(((Inputs!$G$5:$G$110="moeda")+(Inputs!$G$5:$G$110="acoes"))*Inputs!$B$1+((Inputs!$G$5:$G$110&lt;&gt;"moeda")*(Inputs!$G$5:$G$110&lt;&gt;"acoes")))*INDEX(Inputs!$K$5:$AJ$110,0,MATCH(Y$2,Inputs!$K$4:$AJ$4,0)))+SUMPRODUCT((Inputs!$E$5:$E$110=$B55)*Inputs!$F$5:$F$110*(((Inputs!$G$5:$G$110="moeda")+(Inputs!$G$5:$G$110="acoes"))*Inputs!$B$1+((Inputs!$G$5:$G$110&lt;&gt;"moeda")*(Inputs!$G$5:$G$110&lt;&gt;"acoes")))*INDEX(Inputs!$K$5:$AJ$110,0,MATCH(Y$2,Inputs!$K$4:$AJ$4,0)))))</f>
        <v>31201</v>
      </c>
      <c r="Z55" s="513">
        <f>IF(ISNA(MATCH(Z$2,Inputs!$K$4:$AJ$4,0)),NA(),IF(SUMPRODUCT((Inputs!$A$5:$A$110=$B55)*ISNUMBER(INDEX(Inputs!$K$5:$AJ$110,0,MATCH(Z$2,Inputs!$K$4:$AJ$4,0))))+SUMPRODUCT((Inputs!$C$5:$C$110=$B55)*ISNUMBER(INDEX(Inputs!$K$5:$AJ$110,0,MATCH(Z$2,Inputs!$K$4:$AJ$4,0))))+SUMPRODUCT((Inputs!$E$5:$E$110=$B55)*ISNUMBER(INDEX(Inputs!$K$5:$AJ$110,0,MATCH(Z$2,Inputs!$K$4:$AJ$4,0))))=0,NA(),SUMPRODUCT((Inputs!$A$5:$A$110=$B55)*Inputs!$B$5:$B$110*(((Inputs!$G$5:$G$110="moeda")+(Inputs!$G$5:$G$110="acoes"))*Inputs!$B$1+((Inputs!$G$5:$G$110&lt;&gt;"moeda")*(Inputs!$G$5:$G$110&lt;&gt;"acoes")))*INDEX(Inputs!$K$5:$AJ$110,0,MATCH(Z$2,Inputs!$K$4:$AJ$4,0)))+SUMPRODUCT((Inputs!$C$5:$C$110=$B55)*Inputs!$D$5:$D$110*(((Inputs!$G$5:$G$110="moeda")+(Inputs!$G$5:$G$110="acoes"))*Inputs!$B$1+((Inputs!$G$5:$G$110&lt;&gt;"moeda")*(Inputs!$G$5:$G$110&lt;&gt;"acoes")))*INDEX(Inputs!$K$5:$AJ$110,0,MATCH(Z$2,Inputs!$K$4:$AJ$4,0)))+SUMPRODUCT((Inputs!$E$5:$E$110=$B55)*Inputs!$F$5:$F$110*(((Inputs!$G$5:$G$110="moeda")+(Inputs!$G$5:$G$110="acoes"))*Inputs!$B$1+((Inputs!$G$5:$G$110&lt;&gt;"moeda")*(Inputs!$G$5:$G$110&lt;&gt;"acoes")))*INDEX(Inputs!$K$5:$AJ$110,0,MATCH(Z$2,Inputs!$K$4:$AJ$4,0)))))</f>
        <v>33541</v>
      </c>
      <c r="AA55" s="513">
        <f>IF(ISNA(MATCH(AA$2,Inputs!$K$4:$AJ$4,0)),NA(),IF(SUMPRODUCT((Inputs!$A$5:$A$110=$B55)*ISNUMBER(INDEX(Inputs!$K$5:$AJ$110,0,MATCH(AA$2,Inputs!$K$4:$AJ$4,0))))+SUMPRODUCT((Inputs!$C$5:$C$110=$B55)*ISNUMBER(INDEX(Inputs!$K$5:$AJ$110,0,MATCH(AA$2,Inputs!$K$4:$AJ$4,0))))+SUMPRODUCT((Inputs!$E$5:$E$110=$B55)*ISNUMBER(INDEX(Inputs!$K$5:$AJ$110,0,MATCH(AA$2,Inputs!$K$4:$AJ$4,0))))=0,NA(),SUMPRODUCT((Inputs!$A$5:$A$110=$B55)*Inputs!$B$5:$B$110*(((Inputs!$G$5:$G$110="moeda")+(Inputs!$G$5:$G$110="acoes"))*Inputs!$B$1+((Inputs!$G$5:$G$110&lt;&gt;"moeda")*(Inputs!$G$5:$G$110&lt;&gt;"acoes")))*INDEX(Inputs!$K$5:$AJ$110,0,MATCH(AA$2,Inputs!$K$4:$AJ$4,0)))+SUMPRODUCT((Inputs!$C$5:$C$110=$B55)*Inputs!$D$5:$D$110*(((Inputs!$G$5:$G$110="moeda")+(Inputs!$G$5:$G$110="acoes"))*Inputs!$B$1+((Inputs!$G$5:$G$110&lt;&gt;"moeda")*(Inputs!$G$5:$G$110&lt;&gt;"acoes")))*INDEX(Inputs!$K$5:$AJ$110,0,MATCH(AA$2,Inputs!$K$4:$AJ$4,0)))+SUMPRODUCT((Inputs!$E$5:$E$110=$B55)*Inputs!$F$5:$F$110*(((Inputs!$G$5:$G$110="moeda")+(Inputs!$G$5:$G$110="acoes"))*Inputs!$B$1+((Inputs!$G$5:$G$110&lt;&gt;"moeda")*(Inputs!$G$5:$G$110&lt;&gt;"acoes")))*INDEX(Inputs!$K$5:$AJ$110,0,MATCH(AA$2,Inputs!$K$4:$AJ$4,0)))))</f>
        <v>35927</v>
      </c>
      <c r="AB55" s="514">
        <f>SUM(X55:AA55)</f>
        <v>130423</v>
      </c>
      <c r="AC55" s="513">
        <f>IF(ISNA(MATCH(AC$2,Inputs!$K$4:$AJ$4,0)),NA(),IF(SUMPRODUCT((Inputs!$A$5:$A$110=$B55)*ISNUMBER(INDEX(Inputs!$K$5:$AJ$110,0,MATCH(AC$2,Inputs!$K$4:$AJ$4,0))))+SUMPRODUCT((Inputs!$C$5:$C$110=$B55)*ISNUMBER(INDEX(Inputs!$K$5:$AJ$110,0,MATCH(AC$2,Inputs!$K$4:$AJ$4,0))))+SUMPRODUCT((Inputs!$E$5:$E$110=$B55)*ISNUMBER(INDEX(Inputs!$K$5:$AJ$110,0,MATCH(AC$2,Inputs!$K$4:$AJ$4,0))))=0,NA(),SUMPRODUCT((Inputs!$A$5:$A$110=$B55)*Inputs!$B$5:$B$110*(((Inputs!$G$5:$G$110="moeda")+(Inputs!$G$5:$G$110="acoes"))*Inputs!$B$1+((Inputs!$G$5:$G$110&lt;&gt;"moeda")*(Inputs!$G$5:$G$110&lt;&gt;"acoes")))*INDEX(Inputs!$K$5:$AJ$110,0,MATCH(AC$2,Inputs!$K$4:$AJ$4,0)))+SUMPRODUCT((Inputs!$C$5:$C$110=$B55)*Inputs!$D$5:$D$110*(((Inputs!$G$5:$G$110="moeda")+(Inputs!$G$5:$G$110="acoes"))*Inputs!$B$1+((Inputs!$G$5:$G$110&lt;&gt;"moeda")*(Inputs!$G$5:$G$110&lt;&gt;"acoes")))*INDEX(Inputs!$K$5:$AJ$110,0,MATCH(AC$2,Inputs!$K$4:$AJ$4,0)))+SUMPRODUCT((Inputs!$E$5:$E$110=$B55)*Inputs!$F$5:$F$110*(((Inputs!$G$5:$G$110="moeda")+(Inputs!$G$5:$G$110="acoes"))*Inputs!$B$1+((Inputs!$G$5:$G$110&lt;&gt;"moeda")*(Inputs!$G$5:$G$110&lt;&gt;"acoes")))*INDEX(Inputs!$K$5:$AJ$110,0,MATCH(AC$2,Inputs!$K$4:$AJ$4,0)))))</f>
        <v>35110</v>
      </c>
      <c r="AD55" s="513">
        <f>IF(ISNA(MATCH(AD$2,Inputs!$K$4:$AJ$4,0)),NA(),IF(SUMPRODUCT((Inputs!$A$5:$A$110=$B55)*ISNUMBER(INDEX(Inputs!$K$5:$AJ$110,0,MATCH(AD$2,Inputs!$K$4:$AJ$4,0))))+SUMPRODUCT((Inputs!$C$5:$C$110=$B55)*ISNUMBER(INDEX(Inputs!$K$5:$AJ$110,0,MATCH(AD$2,Inputs!$K$4:$AJ$4,0))))+SUMPRODUCT((Inputs!$E$5:$E$110=$B55)*ISNUMBER(INDEX(Inputs!$K$5:$AJ$110,0,MATCH(AD$2,Inputs!$K$4:$AJ$4,0))))=0,NA(),SUMPRODUCT((Inputs!$A$5:$A$110=$B55)*Inputs!$B$5:$B$110*(((Inputs!$G$5:$G$110="moeda")+(Inputs!$G$5:$G$110="acoes"))*Inputs!$B$1+((Inputs!$G$5:$G$110&lt;&gt;"moeda")*(Inputs!$G$5:$G$110&lt;&gt;"acoes")))*INDEX(Inputs!$K$5:$AJ$110,0,MATCH(AD$2,Inputs!$K$4:$AJ$4,0)))+SUMPRODUCT((Inputs!$C$5:$C$110=$B55)*Inputs!$D$5:$D$110*(((Inputs!$G$5:$G$110="moeda")+(Inputs!$G$5:$G$110="acoes"))*Inputs!$B$1+((Inputs!$G$5:$G$110&lt;&gt;"moeda")*(Inputs!$G$5:$G$110&lt;&gt;"acoes")))*INDEX(Inputs!$K$5:$AJ$110,0,MATCH(AD$2,Inputs!$K$4:$AJ$4,0)))+SUMPRODUCT((Inputs!$E$5:$E$110=$B55)*Inputs!$F$5:$F$110*(((Inputs!$G$5:$G$110="moeda")+(Inputs!$G$5:$G$110="acoes"))*Inputs!$B$1+((Inputs!$G$5:$G$110&lt;&gt;"moeda")*(Inputs!$G$5:$G$110&lt;&gt;"acoes")))*INDEX(Inputs!$K$5:$AJ$110,0,MATCH(AD$2,Inputs!$K$4:$AJ$4,0)))))</f>
        <v>35198</v>
      </c>
      <c r="AE55" s="513" t="e">
        <f>IF(ISNA(MATCH(AE$2,Inputs!$K$4:$AJ$4,0)),NA(),IF(SUMPRODUCT((Inputs!$A$5:$A$110=$B55)*ISNUMBER(INDEX(Inputs!$K$5:$AJ$110,0,MATCH(AE$2,Inputs!$K$4:$AJ$4,0))))+SUMPRODUCT((Inputs!$C$5:$C$110=$B55)*ISNUMBER(INDEX(Inputs!$K$5:$AJ$110,0,MATCH(AE$2,Inputs!$K$4:$AJ$4,0))))+SUMPRODUCT((Inputs!$E$5:$E$110=$B55)*ISNUMBER(INDEX(Inputs!$K$5:$AJ$110,0,MATCH(AE$2,Inputs!$K$4:$AJ$4,0))))=0,NA(),SUMPRODUCT((Inputs!$A$5:$A$110=$B55)*Inputs!$B$5:$B$110*(((Inputs!$G$5:$G$110="moeda")+(Inputs!$G$5:$G$110="acoes"))*Inputs!$B$1+((Inputs!$G$5:$G$110&lt;&gt;"moeda")*(Inputs!$G$5:$G$110&lt;&gt;"acoes")))*INDEX(Inputs!$K$5:$AJ$110,0,MATCH(AE$2,Inputs!$K$4:$AJ$4,0)))+SUMPRODUCT((Inputs!$C$5:$C$110=$B55)*Inputs!$D$5:$D$110*(((Inputs!$G$5:$G$110="moeda")+(Inputs!$G$5:$G$110="acoes"))*Inputs!$B$1+((Inputs!$G$5:$G$110&lt;&gt;"moeda")*(Inputs!$G$5:$G$110&lt;&gt;"acoes")))*INDEX(Inputs!$K$5:$AJ$110,0,MATCH(AE$2,Inputs!$K$4:$AJ$4,0)))+SUMPRODUCT((Inputs!$E$5:$E$110=$B55)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5" s="513" t="e">
        <f>IF(ISNA(MATCH(AF$2,Inputs!$K$4:$AJ$4,0)),NA(),IF(SUMPRODUCT((Inputs!$A$5:$A$110=$B55)*ISNUMBER(INDEX(Inputs!$K$5:$AJ$110,0,MATCH(AF$2,Inputs!$K$4:$AJ$4,0))))+SUMPRODUCT((Inputs!$C$5:$C$110=$B55)*ISNUMBER(INDEX(Inputs!$K$5:$AJ$110,0,MATCH(AF$2,Inputs!$K$4:$AJ$4,0))))+SUMPRODUCT((Inputs!$E$5:$E$110=$B55)*ISNUMBER(INDEX(Inputs!$K$5:$AJ$110,0,MATCH(AF$2,Inputs!$K$4:$AJ$4,0))))=0,NA(),SUMPRODUCT((Inputs!$A$5:$A$110=$B55)*Inputs!$B$5:$B$110*(((Inputs!$G$5:$G$110="moeda")+(Inputs!$G$5:$G$110="acoes"))*Inputs!$B$1+((Inputs!$G$5:$G$110&lt;&gt;"moeda")*(Inputs!$G$5:$G$110&lt;&gt;"acoes")))*INDEX(Inputs!$K$5:$AJ$110,0,MATCH(AF$2,Inputs!$K$4:$AJ$4,0)))+SUMPRODUCT((Inputs!$C$5:$C$110=$B55)*Inputs!$D$5:$D$110*(((Inputs!$G$5:$G$110="moeda")+(Inputs!$G$5:$G$110="acoes"))*Inputs!$B$1+((Inputs!$G$5:$G$110&lt;&gt;"moeda")*(Inputs!$G$5:$G$110&lt;&gt;"acoes")))*INDEX(Inputs!$K$5:$AJ$110,0,MATCH(AF$2,Inputs!$K$4:$AJ$4,0)))+SUMPRODUCT((Inputs!$E$5:$E$110=$B55)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5" s="514" t="e">
        <f>SUM(AC55:AF55)</f>
        <v>#N/A</v>
      </c>
      <c r="AH55" s="513">
        <f>IF(ISNA(MATCH(AH$2,Inputs!$K$4:$AJ$4,0)),NA(),IF(SUMPRODUCT((Inputs!$A$5:$A$110=$B55)*ISNUMBER(INDEX(Inputs!$K$5:$AJ$110,0,MATCH(AH$2,Inputs!$K$4:$AJ$4,0))))+SUMPRODUCT((Inputs!$C$5:$C$110=$B55)*ISNUMBER(INDEX(Inputs!$K$5:$AJ$110,0,MATCH(AH$2,Inputs!$K$4:$AJ$4,0))))+SUMPRODUCT((Inputs!$E$5:$E$110=$B55)*ISNUMBER(INDEX(Inputs!$K$5:$AJ$110,0,MATCH(AH$2,Inputs!$K$4:$AJ$4,0))))=0,NA(),SUMPRODUCT((Inputs!$A$5:$A$110=$B55)*Inputs!$B$5:$B$110*(((Inputs!$G$5:$G$110="moeda")+(Inputs!$G$5:$G$110="acoes"))*Inputs!$B$1+((Inputs!$G$5:$G$110&lt;&gt;"moeda")*(Inputs!$G$5:$G$110&lt;&gt;"acoes")))*INDEX(Inputs!$K$5:$AJ$110,0,MATCH(AH$2,Inputs!$K$4:$AJ$4,0)))+SUMPRODUCT((Inputs!$C$5:$C$110=$B55)*Inputs!$D$5:$D$110*(((Inputs!$G$5:$G$110="moeda")+(Inputs!$G$5:$G$110="acoes"))*Inputs!$B$1+((Inputs!$G$5:$G$110&lt;&gt;"moeda")*(Inputs!$G$5:$G$110&lt;&gt;"acoes")))*INDEX(Inputs!$K$5:$AJ$110,0,MATCH(AH$2,Inputs!$K$4:$AJ$4,0)))+SUMPRODUCT((Inputs!$E$5:$E$110=$B55)*Inputs!$F$5:$F$110*(((Inputs!$G$5:$G$110="moeda")+(Inputs!$G$5:$G$110="acoes"))*Inputs!$B$1+((Inputs!$G$5:$G$110&lt;&gt;"moeda")*(Inputs!$G$5:$G$110&lt;&gt;"acoes")))*INDEX(Inputs!$K$5:$AJ$110,0,MATCH(AH$2,Inputs!$K$4:$AJ$4,0)))))</f>
        <v>29766</v>
      </c>
      <c r="AI55" s="513">
        <f>IF(ISNA(MATCH(AI$2,Inputs!$K$4:$AJ$4,0)),NA(),IF(SUMPRODUCT((Inputs!$A$5:$A$110=$B55)*ISNUMBER(INDEX(Inputs!$K$5:$AJ$110,0,MATCH(AI$2,Inputs!$K$4:$AJ$4,0))))+SUMPRODUCT((Inputs!$C$5:$C$110=$B55)*ISNUMBER(INDEX(Inputs!$K$5:$AJ$110,0,MATCH(AI$2,Inputs!$K$4:$AJ$4,0))))+SUMPRODUCT((Inputs!$E$5:$E$110=$B55)*ISNUMBER(INDEX(Inputs!$K$5:$AJ$110,0,MATCH(AI$2,Inputs!$K$4:$AJ$4,0))))=0,NA(),SUMPRODUCT((Inputs!$A$5:$A$110=$B55)*Inputs!$B$5:$B$110*(((Inputs!$G$5:$G$110="moeda")+(Inputs!$G$5:$G$110="acoes"))*Inputs!$B$1+((Inputs!$G$5:$G$110&lt;&gt;"moeda")*(Inputs!$G$5:$G$110&lt;&gt;"acoes")))*INDEX(Inputs!$K$5:$AJ$110,0,MATCH(AI$2,Inputs!$K$4:$AJ$4,0)))+SUMPRODUCT((Inputs!$C$5:$C$110=$B55)*Inputs!$D$5:$D$110*(((Inputs!$G$5:$G$110="moeda")+(Inputs!$G$5:$G$110="acoes"))*Inputs!$B$1+((Inputs!$G$5:$G$110&lt;&gt;"moeda")*(Inputs!$G$5:$G$110&lt;&gt;"acoes")))*INDEX(Inputs!$K$5:$AJ$110,0,MATCH(AI$2,Inputs!$K$4:$AJ$4,0)))+SUMPRODUCT((Inputs!$E$5:$E$110=$B55)*Inputs!$F$5:$F$110*(((Inputs!$G$5:$G$110="moeda")+(Inputs!$G$5:$G$110="acoes"))*Inputs!$B$1+((Inputs!$G$5:$G$110&lt;&gt;"moeda")*(Inputs!$G$5:$G$110&lt;&gt;"acoes")))*INDEX(Inputs!$K$5:$AJ$110,0,MATCH(AI$2,Inputs!$K$4:$AJ$4,0)))))</f>
        <v>27167</v>
      </c>
      <c r="AJ55" s="513">
        <f>IF(ISNA(MATCH(AJ$2,Inputs!$K$4:$AJ$4,0)),NA(),IF(SUMPRODUCT((Inputs!$A$5:$A$110=$B55)*ISNUMBER(INDEX(Inputs!$K$5:$AJ$110,0,MATCH(AJ$2,Inputs!$K$4:$AJ$4,0))))+SUMPRODUCT((Inputs!$C$5:$C$110=$B55)*ISNUMBER(INDEX(Inputs!$K$5:$AJ$110,0,MATCH(AJ$2,Inputs!$K$4:$AJ$4,0))))+SUMPRODUCT((Inputs!$E$5:$E$110=$B55)*ISNUMBER(INDEX(Inputs!$K$5:$AJ$110,0,MATCH(AJ$2,Inputs!$K$4:$AJ$4,0))))=0,NA(),SUMPRODUCT((Inputs!$A$5:$A$110=$B55)*Inputs!$B$5:$B$110*(((Inputs!$G$5:$G$110="moeda")+(Inputs!$G$5:$G$110="acoes"))*Inputs!$B$1+((Inputs!$G$5:$G$110&lt;&gt;"moeda")*(Inputs!$G$5:$G$110&lt;&gt;"acoes")))*INDEX(Inputs!$K$5:$AJ$110,0,MATCH(AJ$2,Inputs!$K$4:$AJ$4,0)))+SUMPRODUCT((Inputs!$C$5:$C$110=$B55)*Inputs!$D$5:$D$110*(((Inputs!$G$5:$G$110="moeda")+(Inputs!$G$5:$G$110="acoes"))*Inputs!$B$1+((Inputs!$G$5:$G$110&lt;&gt;"moeda")*(Inputs!$G$5:$G$110&lt;&gt;"acoes")))*INDEX(Inputs!$K$5:$AJ$110,0,MATCH(AJ$2,Inputs!$K$4:$AJ$4,0)))+SUMPRODUCT((Inputs!$E$5:$E$110=$B55)*Inputs!$F$5:$F$110*(((Inputs!$G$5:$G$110="moeda")+(Inputs!$G$5:$G$110="acoes"))*Inputs!$B$1+((Inputs!$G$5:$G$110&lt;&gt;"moeda")*(Inputs!$G$5:$G$110&lt;&gt;"acoes")))*INDEX(Inputs!$K$5:$AJ$110,0,MATCH(AJ$2,Inputs!$K$4:$AJ$4,0)))))</f>
        <v>29554</v>
      </c>
      <c r="AK55" s="513">
        <f>IF(ISNA(MATCH(AK$2,Inputs!$K$4:$AJ$4,0)),NA(),IF(SUMPRODUCT((Inputs!$A$5:$A$110=$B55)*ISNUMBER(INDEX(Inputs!$K$5:$AJ$110,0,MATCH(AK$2,Inputs!$K$4:$AJ$4,0))))+SUMPRODUCT((Inputs!$C$5:$C$110=$B55)*ISNUMBER(INDEX(Inputs!$K$5:$AJ$110,0,MATCH(AK$2,Inputs!$K$4:$AJ$4,0))))+SUMPRODUCT((Inputs!$E$5:$E$110=$B55)*ISNUMBER(INDEX(Inputs!$K$5:$AJ$110,0,MATCH(AK$2,Inputs!$K$4:$AJ$4,0))))=0,NA(),SUMPRODUCT((Inputs!$A$5:$A$110=$B55)*Inputs!$B$5:$B$110*(((Inputs!$G$5:$G$110="moeda")+(Inputs!$G$5:$G$110="acoes"))*Inputs!$B$1+((Inputs!$G$5:$G$110&lt;&gt;"moeda")*(Inputs!$G$5:$G$110&lt;&gt;"acoes")))*INDEX(Inputs!$K$5:$AJ$110,0,MATCH(AK$2,Inputs!$K$4:$AJ$4,0)))+SUMPRODUCT((Inputs!$C$5:$C$110=$B55)*Inputs!$D$5:$D$110*(((Inputs!$G$5:$G$110="moeda")+(Inputs!$G$5:$G$110="acoes"))*Inputs!$B$1+((Inputs!$G$5:$G$110&lt;&gt;"moeda")*(Inputs!$G$5:$G$110&lt;&gt;"acoes")))*INDEX(Inputs!$K$5:$AJ$110,0,MATCH(AK$2,Inputs!$K$4:$AJ$4,0)))+SUMPRODUCT((Inputs!$E$5:$E$110=$B55)*Inputs!$F$5:$F$110*(((Inputs!$G$5:$G$110="moeda")+(Inputs!$G$5:$G$110="acoes"))*Inputs!$B$1+((Inputs!$G$5:$G$110&lt;&gt;"moeda")*(Inputs!$G$5:$G$110&lt;&gt;"acoes")))*INDEX(Inputs!$K$5:$AJ$110,0,MATCH(AK$2,Inputs!$K$4:$AJ$4,0)))))</f>
        <v>34873</v>
      </c>
      <c r="AL55" s="514">
        <f>SUM(AH55:AK55)</f>
        <v>121360</v>
      </c>
    </row>
    <row r="56">
      <c r="B56" s="265" t="n">
        <v>48</v>
      </c>
      <c r="C56" s="266" t="inlineStr">
        <is>
          <t>Walmart International - lucro do segmento (USD)</t>
        </is>
      </c>
      <c r="D56" s="513">
        <f>IF(ISNA(MATCH(D$2,Inputs!$K$4:$AJ$4,0)),NA(),IF(SUMPRODUCT((Inputs!$A$5:$A$110=$B56)*ISNUMBER(INDEX(Inputs!$K$5:$AJ$110,0,MATCH(D$2,Inputs!$K$4:$AJ$4,0))))+SUMPRODUCT((Inputs!$C$5:$C$110=$B56)*ISNUMBER(INDEX(Inputs!$K$5:$AJ$110,0,MATCH(D$2,Inputs!$K$4:$AJ$4,0))))+SUMPRODUCT((Inputs!$E$5:$E$110=$B56)*ISNUMBER(INDEX(Inputs!$K$5:$AJ$110,0,MATCH(D$2,Inputs!$K$4:$AJ$4,0))))=0,NA(),SUMPRODUCT((Inputs!$A$5:$A$110=$B56)*Inputs!$B$5:$B$110*(((Inputs!$G$5:$G$110="moeda")+(Inputs!$G$5:$G$110="acoes"))*Inputs!$B$1+((Inputs!$G$5:$G$110&lt;&gt;"moeda")*(Inputs!$G$5:$G$110&lt;&gt;"acoes")))*INDEX(Inputs!$K$5:$AJ$110,0,MATCH(D$2,Inputs!$K$4:$AJ$4,0)))+SUMPRODUCT((Inputs!$C$5:$C$110=$B56)*Inputs!$D$5:$D$110*(((Inputs!$G$5:$G$110="moeda")+(Inputs!$G$5:$G$110="acoes"))*Inputs!$B$1+((Inputs!$G$5:$G$110&lt;&gt;"moeda")*(Inputs!$G$5:$G$110&lt;&gt;"acoes")))*INDEX(Inputs!$K$5:$AJ$110,0,MATCH(D$2,Inputs!$K$4:$AJ$4,0)))+SUMPRODUCT((Inputs!$E$5:$E$110=$B56)*Inputs!$F$5:$F$110*(((Inputs!$G$5:$G$110="moeda")+(Inputs!$G$5:$G$110="acoes"))*Inputs!$B$1+((Inputs!$G$5:$G$110&lt;&gt;"moeda")*(Inputs!$G$5:$G$110&lt;&gt;"acoes")))*INDEX(Inputs!$K$5:$AJ$110,0,MATCH(D$2,Inputs!$K$4:$AJ$4,0)))))</f>
        <v>1194</v>
      </c>
      <c r="E56" s="513">
        <f>IF(ISNA(MATCH(E$2,Inputs!$K$4:$AJ$4,0)),NA(),IF(SUMPRODUCT((Inputs!$A$5:$A$110=$B56)*ISNUMBER(INDEX(Inputs!$K$5:$AJ$110,0,MATCH(E$2,Inputs!$K$4:$AJ$4,0))))+SUMPRODUCT((Inputs!$C$5:$C$110=$B56)*ISNUMBER(INDEX(Inputs!$K$5:$AJ$110,0,MATCH(E$2,Inputs!$K$4:$AJ$4,0))))+SUMPRODUCT((Inputs!$E$5:$E$110=$B56)*ISNUMBER(INDEX(Inputs!$K$5:$AJ$110,0,MATCH(E$2,Inputs!$K$4:$AJ$4,0))))=0,NA(),SUMPRODUCT((Inputs!$A$5:$A$110=$B56)*Inputs!$B$5:$B$110*(((Inputs!$G$5:$G$110="moeda")+(Inputs!$G$5:$G$110="acoes"))*Inputs!$B$1+((Inputs!$G$5:$G$110&lt;&gt;"moeda")*(Inputs!$G$5:$G$110&lt;&gt;"acoes")))*INDEX(Inputs!$K$5:$AJ$110,0,MATCH(E$2,Inputs!$K$4:$AJ$4,0)))+SUMPRODUCT((Inputs!$C$5:$C$110=$B56)*Inputs!$D$5:$D$110*(((Inputs!$G$5:$G$110="moeda")+(Inputs!$G$5:$G$110="acoes"))*Inputs!$B$1+((Inputs!$G$5:$G$110&lt;&gt;"moeda")*(Inputs!$G$5:$G$110&lt;&gt;"acoes")))*INDEX(Inputs!$K$5:$AJ$110,0,MATCH(E$2,Inputs!$K$4:$AJ$4,0)))+SUMPRODUCT((Inputs!$E$5:$E$110=$B56)*Inputs!$F$5:$F$110*(((Inputs!$G$5:$G$110="moeda")+(Inputs!$G$5:$G$110="acoes"))*Inputs!$B$1+((Inputs!$G$5:$G$110&lt;&gt;"moeda")*(Inputs!$G$5:$G$110&lt;&gt;"acoes")))*INDEX(Inputs!$K$5:$AJ$110,0,MATCH(E$2,Inputs!$K$4:$AJ$4,0)))))</f>
        <v>861</v>
      </c>
      <c r="F56" s="513">
        <f>IF(ISNA(MATCH(F$2,Inputs!$K$4:$AJ$4,0)),NA(),IF(SUMPRODUCT((Inputs!$A$5:$A$110=$B56)*ISNUMBER(INDEX(Inputs!$K$5:$AJ$110,0,MATCH(F$2,Inputs!$K$4:$AJ$4,0))))+SUMPRODUCT((Inputs!$C$5:$C$110=$B56)*ISNUMBER(INDEX(Inputs!$K$5:$AJ$110,0,MATCH(F$2,Inputs!$K$4:$AJ$4,0))))+SUMPRODUCT((Inputs!$E$5:$E$110=$B56)*ISNUMBER(INDEX(Inputs!$K$5:$AJ$110,0,MATCH(F$2,Inputs!$K$4:$AJ$4,0))))=0,NA(),SUMPRODUCT((Inputs!$A$5:$A$110=$B56)*Inputs!$B$5:$B$110*(((Inputs!$G$5:$G$110="moeda")+(Inputs!$G$5:$G$110="acoes"))*Inputs!$B$1+((Inputs!$G$5:$G$110&lt;&gt;"moeda")*(Inputs!$G$5:$G$110&lt;&gt;"acoes")))*INDEX(Inputs!$K$5:$AJ$110,0,MATCH(F$2,Inputs!$K$4:$AJ$4,0)))+SUMPRODUCT((Inputs!$C$5:$C$110=$B56)*Inputs!$D$5:$D$110*(((Inputs!$G$5:$G$110="moeda")+(Inputs!$G$5:$G$110="acoes"))*Inputs!$B$1+((Inputs!$G$5:$G$110&lt;&gt;"moeda")*(Inputs!$G$5:$G$110&lt;&gt;"acoes")))*INDEX(Inputs!$K$5:$AJ$110,0,MATCH(F$2,Inputs!$K$4:$AJ$4,0)))+SUMPRODUCT((Inputs!$E$5:$E$110=$B56)*Inputs!$F$5:$F$110*(((Inputs!$G$5:$G$110="moeda")+(Inputs!$G$5:$G$110="acoes"))*Inputs!$B$1+((Inputs!$G$5:$G$110&lt;&gt;"moeda")*(Inputs!$G$5:$G$110&lt;&gt;"acoes")))*INDEX(Inputs!$K$5:$AJ$110,0,MATCH(F$2,Inputs!$K$4:$AJ$4,0)))))</f>
        <v>871</v>
      </c>
      <c r="G56" s="513">
        <f>IF(ISNA(MATCH(G$2,Inputs!$K$4:$AJ$4,0)),NA(),IF(SUMPRODUCT((Inputs!$A$5:$A$110=$B56)*ISNUMBER(INDEX(Inputs!$K$5:$AJ$110,0,MATCH(G$2,Inputs!$K$4:$AJ$4,0))))+SUMPRODUCT((Inputs!$C$5:$C$110=$B56)*ISNUMBER(INDEX(Inputs!$K$5:$AJ$110,0,MATCH(G$2,Inputs!$K$4:$AJ$4,0))))+SUMPRODUCT((Inputs!$E$5:$E$110=$B56)*ISNUMBER(INDEX(Inputs!$K$5:$AJ$110,0,MATCH(G$2,Inputs!$K$4:$AJ$4,0))))=0,NA(),SUMPRODUCT((Inputs!$A$5:$A$110=$B56)*Inputs!$B$5:$B$110*(((Inputs!$G$5:$G$110="moeda")+(Inputs!$G$5:$G$110="acoes"))*Inputs!$B$1+((Inputs!$G$5:$G$110&lt;&gt;"moeda")*(Inputs!$G$5:$G$110&lt;&gt;"acoes")))*INDEX(Inputs!$K$5:$AJ$110,0,MATCH(G$2,Inputs!$K$4:$AJ$4,0)))+SUMPRODUCT((Inputs!$C$5:$C$110=$B56)*Inputs!$D$5:$D$110*(((Inputs!$G$5:$G$110="moeda")+(Inputs!$G$5:$G$110="acoes"))*Inputs!$B$1+((Inputs!$G$5:$G$110&lt;&gt;"moeda")*(Inputs!$G$5:$G$110&lt;&gt;"acoes")))*INDEX(Inputs!$K$5:$AJ$110,0,MATCH(G$2,Inputs!$K$4:$AJ$4,0)))+SUMPRODUCT((Inputs!$E$5:$E$110=$B56)*Inputs!$F$5:$F$110*(((Inputs!$G$5:$G$110="moeda")+(Inputs!$G$5:$G$110="acoes"))*Inputs!$B$1+((Inputs!$G$5:$G$110&lt;&gt;"moeda")*(Inputs!$G$5:$G$110&lt;&gt;"acoes")))*INDEX(Inputs!$K$5:$AJ$110,0,MATCH(G$2,Inputs!$K$4:$AJ$4,0)))))</f>
        <v>832</v>
      </c>
      <c r="H56" s="514">
        <f>SUM(D56:G56)</f>
        <v>3758</v>
      </c>
      <c r="I56" s="513">
        <f>IF(ISNA(MATCH(I$2,Inputs!$K$4:$AJ$4,0)),NA(),IF(SUMPRODUCT((Inputs!$A$5:$A$110=$B56)*ISNUMBER(INDEX(Inputs!$K$5:$AJ$110,0,MATCH(I$2,Inputs!$K$4:$AJ$4,0))))+SUMPRODUCT((Inputs!$C$5:$C$110=$B56)*ISNUMBER(INDEX(Inputs!$K$5:$AJ$110,0,MATCH(I$2,Inputs!$K$4:$AJ$4,0))))+SUMPRODUCT((Inputs!$E$5:$E$110=$B56)*ISNUMBER(INDEX(Inputs!$K$5:$AJ$110,0,MATCH(I$2,Inputs!$K$4:$AJ$4,0))))=0,NA(),SUMPRODUCT((Inputs!$A$5:$A$110=$B56)*Inputs!$B$5:$B$110*(((Inputs!$G$5:$G$110="moeda")+(Inputs!$G$5:$G$110="acoes"))*Inputs!$B$1+((Inputs!$G$5:$G$110&lt;&gt;"moeda")*(Inputs!$G$5:$G$110&lt;&gt;"acoes")))*INDEX(Inputs!$K$5:$AJ$110,0,MATCH(I$2,Inputs!$K$4:$AJ$4,0)))+SUMPRODUCT((Inputs!$C$5:$C$110=$B56)*Inputs!$D$5:$D$110*(((Inputs!$G$5:$G$110="moeda")+(Inputs!$G$5:$G$110="acoes"))*Inputs!$B$1+((Inputs!$G$5:$G$110&lt;&gt;"moeda")*(Inputs!$G$5:$G$110&lt;&gt;"acoes")))*INDEX(Inputs!$K$5:$AJ$110,0,MATCH(I$2,Inputs!$K$4:$AJ$4,0)))+SUMPRODUCT((Inputs!$E$5:$E$110=$B56)*Inputs!$F$5:$F$110*(((Inputs!$G$5:$G$110="moeda")+(Inputs!$G$5:$G$110="acoes"))*Inputs!$B$1+((Inputs!$G$5:$G$110&lt;&gt;"moeda")*(Inputs!$G$5:$G$110&lt;&gt;"acoes")))*INDEX(Inputs!$K$5:$AJ$110,0,MATCH(I$2,Inputs!$K$4:$AJ$4,0)))))</f>
        <v>772</v>
      </c>
      <c r="J56" s="513">
        <f>IF(ISNA(MATCH(J$2,Inputs!$K$4:$AJ$4,0)),NA(),IF(SUMPRODUCT((Inputs!$A$5:$A$110=$B56)*ISNUMBER(INDEX(Inputs!$K$5:$AJ$110,0,MATCH(J$2,Inputs!$K$4:$AJ$4,0))))+SUMPRODUCT((Inputs!$C$5:$C$110=$B56)*ISNUMBER(INDEX(Inputs!$K$5:$AJ$110,0,MATCH(J$2,Inputs!$K$4:$AJ$4,0))))+SUMPRODUCT((Inputs!$E$5:$E$110=$B56)*ISNUMBER(INDEX(Inputs!$K$5:$AJ$110,0,MATCH(J$2,Inputs!$K$4:$AJ$4,0))))=0,NA(),SUMPRODUCT((Inputs!$A$5:$A$110=$B56)*Inputs!$B$5:$B$110*(((Inputs!$G$5:$G$110="moeda")+(Inputs!$G$5:$G$110="acoes"))*Inputs!$B$1+((Inputs!$G$5:$G$110&lt;&gt;"moeda")*(Inputs!$G$5:$G$110&lt;&gt;"acoes")))*INDEX(Inputs!$K$5:$AJ$110,0,MATCH(J$2,Inputs!$K$4:$AJ$4,0)))+SUMPRODUCT((Inputs!$C$5:$C$110=$B56)*Inputs!$D$5:$D$110*(((Inputs!$G$5:$G$110="moeda")+(Inputs!$G$5:$G$110="acoes"))*Inputs!$B$1+((Inputs!$G$5:$G$110&lt;&gt;"moeda")*(Inputs!$G$5:$G$110&lt;&gt;"acoes")))*INDEX(Inputs!$K$5:$AJ$110,0,MATCH(J$2,Inputs!$K$4:$AJ$4,0)))+SUMPRODUCT((Inputs!$E$5:$E$110=$B56)*Inputs!$F$5:$F$110*(((Inputs!$G$5:$G$110="moeda")+(Inputs!$G$5:$G$110="acoes"))*Inputs!$B$1+((Inputs!$G$5:$G$110&lt;&gt;"moeda")*(Inputs!$G$5:$G$110&lt;&gt;"acoes")))*INDEX(Inputs!$K$5:$AJ$110,0,MATCH(J$2,Inputs!$K$4:$AJ$4,0)))))</f>
        <v>1043</v>
      </c>
      <c r="K56" s="513">
        <f>IF(ISNA(MATCH(K$2,Inputs!$K$4:$AJ$4,0)),NA(),IF(SUMPRODUCT((Inputs!$A$5:$A$110=$B56)*ISNUMBER(INDEX(Inputs!$K$5:$AJ$110,0,MATCH(K$2,Inputs!$K$4:$AJ$4,0))))+SUMPRODUCT((Inputs!$C$5:$C$110=$B56)*ISNUMBER(INDEX(Inputs!$K$5:$AJ$110,0,MATCH(K$2,Inputs!$K$4:$AJ$4,0))))+SUMPRODUCT((Inputs!$E$5:$E$110=$B56)*ISNUMBER(INDEX(Inputs!$K$5:$AJ$110,0,MATCH(K$2,Inputs!$K$4:$AJ$4,0))))=0,NA(),SUMPRODUCT((Inputs!$A$5:$A$110=$B56)*Inputs!$B$5:$B$110*(((Inputs!$G$5:$G$110="moeda")+(Inputs!$G$5:$G$110="acoes"))*Inputs!$B$1+((Inputs!$G$5:$G$110&lt;&gt;"moeda")*(Inputs!$G$5:$G$110&lt;&gt;"acoes")))*INDEX(Inputs!$K$5:$AJ$110,0,MATCH(K$2,Inputs!$K$4:$AJ$4,0)))+SUMPRODUCT((Inputs!$C$5:$C$110=$B56)*Inputs!$D$5:$D$110*(((Inputs!$G$5:$G$110="moeda")+(Inputs!$G$5:$G$110="acoes"))*Inputs!$B$1+((Inputs!$G$5:$G$110&lt;&gt;"moeda")*(Inputs!$G$5:$G$110&lt;&gt;"acoes")))*INDEX(Inputs!$K$5:$AJ$110,0,MATCH(K$2,Inputs!$K$4:$AJ$4,0)))+SUMPRODUCT((Inputs!$E$5:$E$110=$B56)*Inputs!$F$5:$F$110*(((Inputs!$G$5:$G$110="moeda")+(Inputs!$G$5:$G$110="acoes"))*Inputs!$B$1+((Inputs!$G$5:$G$110&lt;&gt;"moeda")*(Inputs!$G$5:$G$110&lt;&gt;"acoes")))*INDEX(Inputs!$K$5:$AJ$110,0,MATCH(K$2,Inputs!$K$4:$AJ$4,0)))))</f>
        <v>861</v>
      </c>
      <c r="L56" s="513">
        <f>IF(ISNA(MATCH(L$2,Inputs!$K$4:$AJ$4,0)),NA(),IF(SUMPRODUCT((Inputs!$A$5:$A$110=$B56)*ISNUMBER(INDEX(Inputs!$K$5:$AJ$110,0,MATCH(L$2,Inputs!$K$4:$AJ$4,0))))+SUMPRODUCT((Inputs!$C$5:$C$110=$B56)*ISNUMBER(INDEX(Inputs!$K$5:$AJ$110,0,MATCH(L$2,Inputs!$K$4:$AJ$4,0))))+SUMPRODUCT((Inputs!$E$5:$E$110=$B56)*ISNUMBER(INDEX(Inputs!$K$5:$AJ$110,0,MATCH(L$2,Inputs!$K$4:$AJ$4,0))))=0,NA(),SUMPRODUCT((Inputs!$A$5:$A$110=$B56)*Inputs!$B$5:$B$110*(((Inputs!$G$5:$G$110="moeda")+(Inputs!$G$5:$G$110="acoes"))*Inputs!$B$1+((Inputs!$G$5:$G$110&lt;&gt;"moeda")*(Inputs!$G$5:$G$110&lt;&gt;"acoes")))*INDEX(Inputs!$K$5:$AJ$110,0,MATCH(L$2,Inputs!$K$4:$AJ$4,0)))+SUMPRODUCT((Inputs!$C$5:$C$110=$B56)*Inputs!$D$5:$D$110*(((Inputs!$G$5:$G$110="moeda")+(Inputs!$G$5:$G$110="acoes"))*Inputs!$B$1+((Inputs!$G$5:$G$110&lt;&gt;"moeda")*(Inputs!$G$5:$G$110&lt;&gt;"acoes")))*INDEX(Inputs!$K$5:$AJ$110,0,MATCH(L$2,Inputs!$K$4:$AJ$4,0)))+SUMPRODUCT((Inputs!$E$5:$E$110=$B56)*Inputs!$F$5:$F$110*(((Inputs!$G$5:$G$110="moeda")+(Inputs!$G$5:$G$110="acoes"))*Inputs!$B$1+((Inputs!$G$5:$G$110&lt;&gt;"moeda")*(Inputs!$G$5:$G$110&lt;&gt;"acoes")))*INDEX(Inputs!$K$5:$AJ$110,0,MATCH(L$2,Inputs!$K$4:$AJ$4,0)))))</f>
        <v>289</v>
      </c>
      <c r="M56" s="514">
        <f>SUM(I56:L56)</f>
        <v>2965</v>
      </c>
      <c r="N56" s="513">
        <f>IF(ISNA(MATCH(N$2,Inputs!$K$4:$AJ$4,0)),NA(),IF(SUMPRODUCT((Inputs!$A$5:$A$110=$B56)*ISNUMBER(INDEX(Inputs!$K$5:$AJ$110,0,MATCH(N$2,Inputs!$K$4:$AJ$4,0))))+SUMPRODUCT((Inputs!$C$5:$C$110=$B56)*ISNUMBER(INDEX(Inputs!$K$5:$AJ$110,0,MATCH(N$2,Inputs!$K$4:$AJ$4,0))))+SUMPRODUCT((Inputs!$E$5:$E$110=$B56)*ISNUMBER(INDEX(Inputs!$K$5:$AJ$110,0,MATCH(N$2,Inputs!$K$4:$AJ$4,0))))=0,NA(),SUMPRODUCT((Inputs!$A$5:$A$110=$B56)*Inputs!$B$5:$B$110*(((Inputs!$G$5:$G$110="moeda")+(Inputs!$G$5:$G$110="acoes"))*Inputs!$B$1+((Inputs!$G$5:$G$110&lt;&gt;"moeda")*(Inputs!$G$5:$G$110&lt;&gt;"acoes")))*INDEX(Inputs!$K$5:$AJ$110,0,MATCH(N$2,Inputs!$K$4:$AJ$4,0)))+SUMPRODUCT((Inputs!$C$5:$C$110=$B56)*Inputs!$D$5:$D$110*(((Inputs!$G$5:$G$110="moeda")+(Inputs!$G$5:$G$110="acoes"))*Inputs!$B$1+((Inputs!$G$5:$G$110&lt;&gt;"moeda")*(Inputs!$G$5:$G$110&lt;&gt;"acoes")))*INDEX(Inputs!$K$5:$AJ$110,0,MATCH(N$2,Inputs!$K$4:$AJ$4,0)))+SUMPRODUCT((Inputs!$E$5:$E$110=$B56)*Inputs!$F$5:$F$110*(((Inputs!$G$5:$G$110="moeda")+(Inputs!$G$5:$G$110="acoes"))*Inputs!$B$1+((Inputs!$G$5:$G$110&lt;&gt;"moeda")*(Inputs!$G$5:$G$110&lt;&gt;"acoes")))*INDEX(Inputs!$K$5:$AJ$110,0,MATCH(N$2,Inputs!$K$4:$AJ$4,0)))))</f>
        <v>1164</v>
      </c>
      <c r="O56" s="513">
        <f>IF(ISNA(MATCH(O$2,Inputs!$K$4:$AJ$4,0)),NA(),IF(SUMPRODUCT((Inputs!$A$5:$A$110=$B56)*ISNUMBER(INDEX(Inputs!$K$5:$AJ$110,0,MATCH(O$2,Inputs!$K$4:$AJ$4,0))))+SUMPRODUCT((Inputs!$C$5:$C$110=$B56)*ISNUMBER(INDEX(Inputs!$K$5:$AJ$110,0,MATCH(O$2,Inputs!$K$4:$AJ$4,0))))+SUMPRODUCT((Inputs!$E$5:$E$110=$B56)*ISNUMBER(INDEX(Inputs!$K$5:$AJ$110,0,MATCH(O$2,Inputs!$K$4:$AJ$4,0))))=0,NA(),SUMPRODUCT((Inputs!$A$5:$A$110=$B56)*Inputs!$B$5:$B$110*(((Inputs!$G$5:$G$110="moeda")+(Inputs!$G$5:$G$110="acoes"))*Inputs!$B$1+((Inputs!$G$5:$G$110&lt;&gt;"moeda")*(Inputs!$G$5:$G$110&lt;&gt;"acoes")))*INDEX(Inputs!$K$5:$AJ$110,0,MATCH(O$2,Inputs!$K$4:$AJ$4,0)))+SUMPRODUCT((Inputs!$C$5:$C$110=$B56)*Inputs!$D$5:$D$110*(((Inputs!$G$5:$G$110="moeda")+(Inputs!$G$5:$G$110="acoes"))*Inputs!$B$1+((Inputs!$G$5:$G$110&lt;&gt;"moeda")*(Inputs!$G$5:$G$110&lt;&gt;"acoes")))*INDEX(Inputs!$K$5:$AJ$110,0,MATCH(O$2,Inputs!$K$4:$AJ$4,0)))+SUMPRODUCT((Inputs!$E$5:$E$110=$B56)*Inputs!$F$5:$F$110*(((Inputs!$G$5:$G$110="moeda")+(Inputs!$G$5:$G$110="acoes"))*Inputs!$B$1+((Inputs!$G$5:$G$110&lt;&gt;"moeda")*(Inputs!$G$5:$G$110&lt;&gt;"acoes")))*INDEX(Inputs!$K$5:$AJ$110,0,MATCH(O$2,Inputs!$K$4:$AJ$4,0)))))</f>
        <v>1190</v>
      </c>
      <c r="P56" s="513">
        <f>IF(ISNA(MATCH(P$2,Inputs!$K$4:$AJ$4,0)),NA(),IF(SUMPRODUCT((Inputs!$A$5:$A$110=$B56)*ISNUMBER(INDEX(Inputs!$K$5:$AJ$110,0,MATCH(P$2,Inputs!$K$4:$AJ$4,0))))+SUMPRODUCT((Inputs!$C$5:$C$110=$B56)*ISNUMBER(INDEX(Inputs!$K$5:$AJ$110,0,MATCH(P$2,Inputs!$K$4:$AJ$4,0))))+SUMPRODUCT((Inputs!$E$5:$E$110=$B56)*ISNUMBER(INDEX(Inputs!$K$5:$AJ$110,0,MATCH(P$2,Inputs!$K$4:$AJ$4,0))))=0,NA(),SUMPRODUCT((Inputs!$A$5:$A$110=$B56)*Inputs!$B$5:$B$110*(((Inputs!$G$5:$G$110="moeda")+(Inputs!$G$5:$G$110="acoes"))*Inputs!$B$1+((Inputs!$G$5:$G$110&lt;&gt;"moeda")*(Inputs!$G$5:$G$110&lt;&gt;"acoes")))*INDEX(Inputs!$K$5:$AJ$110,0,MATCH(P$2,Inputs!$K$4:$AJ$4,0)))+SUMPRODUCT((Inputs!$C$5:$C$110=$B56)*Inputs!$D$5:$D$110*(((Inputs!$G$5:$G$110="moeda")+(Inputs!$G$5:$G$110="acoes"))*Inputs!$B$1+((Inputs!$G$5:$G$110&lt;&gt;"moeda")*(Inputs!$G$5:$G$110&lt;&gt;"acoes")))*INDEX(Inputs!$K$5:$AJ$110,0,MATCH(P$2,Inputs!$K$4:$AJ$4,0)))+SUMPRODUCT((Inputs!$E$5:$E$110=$B56)*Inputs!$F$5:$F$110*(((Inputs!$G$5:$G$110="moeda")+(Inputs!$G$5:$G$110="acoes"))*Inputs!$B$1+((Inputs!$G$5:$G$110&lt;&gt;"moeda")*(Inputs!$G$5:$G$110&lt;&gt;"acoes")))*INDEX(Inputs!$K$5:$AJ$110,0,MATCH(P$2,Inputs!$K$4:$AJ$4,0)))))</f>
        <v>1117</v>
      </c>
      <c r="Q56" s="513">
        <f>IF(ISNA(MATCH(Q$2,Inputs!$K$4:$AJ$4,0)),NA(),IF(SUMPRODUCT((Inputs!$A$5:$A$110=$B56)*ISNUMBER(INDEX(Inputs!$K$5:$AJ$110,0,MATCH(Q$2,Inputs!$K$4:$AJ$4,0))))+SUMPRODUCT((Inputs!$C$5:$C$110=$B56)*ISNUMBER(INDEX(Inputs!$K$5:$AJ$110,0,MATCH(Q$2,Inputs!$K$4:$AJ$4,0))))+SUMPRODUCT((Inputs!$E$5:$E$110=$B56)*ISNUMBER(INDEX(Inputs!$K$5:$AJ$110,0,MATCH(Q$2,Inputs!$K$4:$AJ$4,0))))=0,NA(),SUMPRODUCT((Inputs!$A$5:$A$110=$B56)*Inputs!$B$5:$B$110*(((Inputs!$G$5:$G$110="moeda")+(Inputs!$G$5:$G$110="acoes"))*Inputs!$B$1+((Inputs!$G$5:$G$110&lt;&gt;"moeda")*(Inputs!$G$5:$G$110&lt;&gt;"acoes")))*INDEX(Inputs!$K$5:$AJ$110,0,MATCH(Q$2,Inputs!$K$4:$AJ$4,0)))+SUMPRODUCT((Inputs!$C$5:$C$110=$B56)*Inputs!$D$5:$D$110*(((Inputs!$G$5:$G$110="moeda")+(Inputs!$G$5:$G$110="acoes"))*Inputs!$B$1+((Inputs!$G$5:$G$110&lt;&gt;"moeda")*(Inputs!$G$5:$G$110&lt;&gt;"acoes")))*INDEX(Inputs!$K$5:$AJ$110,0,MATCH(Q$2,Inputs!$K$4:$AJ$4,0)))+SUMPRODUCT((Inputs!$E$5:$E$110=$B56)*Inputs!$F$5:$F$110*(((Inputs!$G$5:$G$110="moeda")+(Inputs!$G$5:$G$110="acoes"))*Inputs!$B$1+((Inputs!$G$5:$G$110&lt;&gt;"moeda")*(Inputs!$G$5:$G$110&lt;&gt;"acoes")))*INDEX(Inputs!$K$5:$AJ$110,0,MATCH(Q$2,Inputs!$K$4:$AJ$4,0)))))</f>
        <v>1438</v>
      </c>
      <c r="R56" s="514">
        <f>SUM(N56:Q56)</f>
        <v>4909</v>
      </c>
      <c r="S56" s="513">
        <f>IF(ISNA(MATCH(S$2,Inputs!$K$4:$AJ$4,0)),NA(),IF(SUMPRODUCT((Inputs!$A$5:$A$110=$B56)*ISNUMBER(INDEX(Inputs!$K$5:$AJ$110,0,MATCH(S$2,Inputs!$K$4:$AJ$4,0))))+SUMPRODUCT((Inputs!$C$5:$C$110=$B56)*ISNUMBER(INDEX(Inputs!$K$5:$AJ$110,0,MATCH(S$2,Inputs!$K$4:$AJ$4,0))))+SUMPRODUCT((Inputs!$E$5:$E$110=$B56)*ISNUMBER(INDEX(Inputs!$K$5:$AJ$110,0,MATCH(S$2,Inputs!$K$4:$AJ$4,0))))=0,NA(),SUMPRODUCT((Inputs!$A$5:$A$110=$B56)*Inputs!$B$5:$B$110*(((Inputs!$G$5:$G$110="moeda")+(Inputs!$G$5:$G$110="acoes"))*Inputs!$B$1+((Inputs!$G$5:$G$110&lt;&gt;"moeda")*(Inputs!$G$5:$G$110&lt;&gt;"acoes")))*INDEX(Inputs!$K$5:$AJ$110,0,MATCH(S$2,Inputs!$K$4:$AJ$4,0)))+SUMPRODUCT((Inputs!$C$5:$C$110=$B56)*Inputs!$D$5:$D$110*(((Inputs!$G$5:$G$110="moeda")+(Inputs!$G$5:$G$110="acoes"))*Inputs!$B$1+((Inputs!$G$5:$G$110&lt;&gt;"moeda")*(Inputs!$G$5:$G$110&lt;&gt;"acoes")))*INDEX(Inputs!$K$5:$AJ$110,0,MATCH(S$2,Inputs!$K$4:$AJ$4,0)))+SUMPRODUCT((Inputs!$E$5:$E$110=$B56)*Inputs!$F$5:$F$110*(((Inputs!$G$5:$G$110="moeda")+(Inputs!$G$5:$G$110="acoes"))*Inputs!$B$1+((Inputs!$G$5:$G$110&lt;&gt;"moeda")*(Inputs!$G$5:$G$110&lt;&gt;"acoes")))*INDEX(Inputs!$K$5:$AJ$110,0,MATCH(S$2,Inputs!$K$4:$AJ$4,0)))))</f>
        <v>1533</v>
      </c>
      <c r="T56" s="513">
        <f>IF(ISNA(MATCH(T$2,Inputs!$K$4:$AJ$4,0)),NA(),IF(SUMPRODUCT((Inputs!$A$5:$A$110=$B56)*ISNUMBER(INDEX(Inputs!$K$5:$AJ$110,0,MATCH(T$2,Inputs!$K$4:$AJ$4,0))))+SUMPRODUCT((Inputs!$C$5:$C$110=$B56)*ISNUMBER(INDEX(Inputs!$K$5:$AJ$110,0,MATCH(T$2,Inputs!$K$4:$AJ$4,0))))+SUMPRODUCT((Inputs!$E$5:$E$110=$B56)*ISNUMBER(INDEX(Inputs!$K$5:$AJ$110,0,MATCH(T$2,Inputs!$K$4:$AJ$4,0))))=0,NA(),SUMPRODUCT((Inputs!$A$5:$A$110=$B56)*Inputs!$B$5:$B$110*(((Inputs!$G$5:$G$110="moeda")+(Inputs!$G$5:$G$110="acoes"))*Inputs!$B$1+((Inputs!$G$5:$G$110&lt;&gt;"moeda")*(Inputs!$G$5:$G$110&lt;&gt;"acoes")))*INDEX(Inputs!$K$5:$AJ$110,0,MATCH(T$2,Inputs!$K$4:$AJ$4,0)))+SUMPRODUCT((Inputs!$C$5:$C$110=$B56)*Inputs!$D$5:$D$110*(((Inputs!$G$5:$G$110="moeda")+(Inputs!$G$5:$G$110="acoes"))*Inputs!$B$1+((Inputs!$G$5:$G$110&lt;&gt;"moeda")*(Inputs!$G$5:$G$110&lt;&gt;"acoes")))*INDEX(Inputs!$K$5:$AJ$110,0,MATCH(T$2,Inputs!$K$4:$AJ$4,0)))+SUMPRODUCT((Inputs!$E$5:$E$110=$B56)*Inputs!$F$5:$F$110*(((Inputs!$G$5:$G$110="moeda")+(Inputs!$G$5:$G$110="acoes"))*Inputs!$B$1+((Inputs!$G$5:$G$110&lt;&gt;"moeda")*(Inputs!$G$5:$G$110&lt;&gt;"acoes")))*INDEX(Inputs!$K$5:$AJ$110,0,MATCH(T$2,Inputs!$K$4:$AJ$4,0)))))</f>
        <v>1360</v>
      </c>
      <c r="U56" s="513">
        <f>IF(ISNA(MATCH(U$2,Inputs!$K$4:$AJ$4,0)),NA(),IF(SUMPRODUCT((Inputs!$A$5:$A$110=$B56)*ISNUMBER(INDEX(Inputs!$K$5:$AJ$110,0,MATCH(U$2,Inputs!$K$4:$AJ$4,0))))+SUMPRODUCT((Inputs!$C$5:$C$110=$B56)*ISNUMBER(INDEX(Inputs!$K$5:$AJ$110,0,MATCH(U$2,Inputs!$K$4:$AJ$4,0))))+SUMPRODUCT((Inputs!$E$5:$E$110=$B56)*ISNUMBER(INDEX(Inputs!$K$5:$AJ$110,0,MATCH(U$2,Inputs!$K$4:$AJ$4,0))))=0,NA(),SUMPRODUCT((Inputs!$A$5:$A$110=$B56)*Inputs!$B$5:$B$110*(((Inputs!$G$5:$G$110="moeda")+(Inputs!$G$5:$G$110="acoes"))*Inputs!$B$1+((Inputs!$G$5:$G$110&lt;&gt;"moeda")*(Inputs!$G$5:$G$110&lt;&gt;"acoes")))*INDEX(Inputs!$K$5:$AJ$110,0,MATCH(U$2,Inputs!$K$4:$AJ$4,0)))+SUMPRODUCT((Inputs!$C$5:$C$110=$B56)*Inputs!$D$5:$D$110*(((Inputs!$G$5:$G$110="moeda")+(Inputs!$G$5:$G$110="acoes"))*Inputs!$B$1+((Inputs!$G$5:$G$110&lt;&gt;"moeda")*(Inputs!$G$5:$G$110&lt;&gt;"acoes")))*INDEX(Inputs!$K$5:$AJ$110,0,MATCH(U$2,Inputs!$K$4:$AJ$4,0)))+SUMPRODUCT((Inputs!$E$5:$E$110=$B56)*Inputs!$F$5:$F$110*(((Inputs!$G$5:$G$110="moeda")+(Inputs!$G$5:$G$110="acoes"))*Inputs!$B$1+((Inputs!$G$5:$G$110&lt;&gt;"moeda")*(Inputs!$G$5:$G$110&lt;&gt;"acoes")))*INDEX(Inputs!$K$5:$AJ$110,0,MATCH(U$2,Inputs!$K$4:$AJ$4,0)))))</f>
        <v>1204</v>
      </c>
      <c r="V56" s="513">
        <f>IF(ISNA(MATCH(V$2,Inputs!$K$4:$AJ$4,0)),NA(),IF(SUMPRODUCT((Inputs!$A$5:$A$110=$B56)*ISNUMBER(INDEX(Inputs!$K$5:$AJ$110,0,MATCH(V$2,Inputs!$K$4:$AJ$4,0))))+SUMPRODUCT((Inputs!$C$5:$C$110=$B56)*ISNUMBER(INDEX(Inputs!$K$5:$AJ$110,0,MATCH(V$2,Inputs!$K$4:$AJ$4,0))))+SUMPRODUCT((Inputs!$E$5:$E$110=$B56)*ISNUMBER(INDEX(Inputs!$K$5:$AJ$110,0,MATCH(V$2,Inputs!$K$4:$AJ$4,0))))=0,NA(),SUMPRODUCT((Inputs!$A$5:$A$110=$B56)*Inputs!$B$5:$B$110*(((Inputs!$G$5:$G$110="moeda")+(Inputs!$G$5:$G$110="acoes"))*Inputs!$B$1+((Inputs!$G$5:$G$110&lt;&gt;"moeda")*(Inputs!$G$5:$G$110&lt;&gt;"acoes")))*INDEX(Inputs!$K$5:$AJ$110,0,MATCH(V$2,Inputs!$K$4:$AJ$4,0)))+SUMPRODUCT((Inputs!$C$5:$C$110=$B56)*Inputs!$D$5:$D$110*(((Inputs!$G$5:$G$110="moeda")+(Inputs!$G$5:$G$110="acoes"))*Inputs!$B$1+((Inputs!$G$5:$G$110&lt;&gt;"moeda")*(Inputs!$G$5:$G$110&lt;&gt;"acoes")))*INDEX(Inputs!$K$5:$AJ$110,0,MATCH(V$2,Inputs!$K$4:$AJ$4,0)))+SUMPRODUCT((Inputs!$E$5:$E$110=$B56)*Inputs!$F$5:$F$110*(((Inputs!$G$5:$G$110="moeda")+(Inputs!$G$5:$G$110="acoes"))*Inputs!$B$1+((Inputs!$G$5:$G$110&lt;&gt;"moeda")*(Inputs!$G$5:$G$110&lt;&gt;"acoes")))*INDEX(Inputs!$K$5:$AJ$110,0,MATCH(V$2,Inputs!$K$4:$AJ$4,0)))))</f>
        <v>1404</v>
      </c>
      <c r="W56" s="514">
        <f>SUM(S56:V56)</f>
        <v>5501</v>
      </c>
      <c r="X56" s="513">
        <f>IF(ISNA(MATCH(X$2,Inputs!$K$4:$AJ$4,0)),NA(),IF(SUMPRODUCT((Inputs!$A$5:$A$110=$B56)*ISNUMBER(INDEX(Inputs!$K$5:$AJ$110,0,MATCH(X$2,Inputs!$K$4:$AJ$4,0))))+SUMPRODUCT((Inputs!$C$5:$C$110=$B56)*ISNUMBER(INDEX(Inputs!$K$5:$AJ$110,0,MATCH(X$2,Inputs!$K$4:$AJ$4,0))))+SUMPRODUCT((Inputs!$E$5:$E$110=$B56)*ISNUMBER(INDEX(Inputs!$K$5:$AJ$110,0,MATCH(X$2,Inputs!$K$4:$AJ$4,0))))=0,NA(),SUMPRODUCT((Inputs!$A$5:$A$110=$B56)*Inputs!$B$5:$B$110*(((Inputs!$G$5:$G$110="moeda")+(Inputs!$G$5:$G$110="acoes"))*Inputs!$B$1+((Inputs!$G$5:$G$110&lt;&gt;"moeda")*(Inputs!$G$5:$G$110&lt;&gt;"acoes")))*INDEX(Inputs!$K$5:$AJ$110,0,MATCH(X$2,Inputs!$K$4:$AJ$4,0)))+SUMPRODUCT((Inputs!$C$5:$C$110=$B56)*Inputs!$D$5:$D$110*(((Inputs!$G$5:$G$110="moeda")+(Inputs!$G$5:$G$110="acoes"))*Inputs!$B$1+((Inputs!$G$5:$G$110&lt;&gt;"moeda")*(Inputs!$G$5:$G$110&lt;&gt;"acoes")))*INDEX(Inputs!$K$5:$AJ$110,0,MATCH(X$2,Inputs!$K$4:$AJ$4,0)))+SUMPRODUCT((Inputs!$E$5:$E$110=$B56)*Inputs!$F$5:$F$110*(((Inputs!$G$5:$G$110="moeda")+(Inputs!$G$5:$G$110="acoes"))*Inputs!$B$1+((Inputs!$G$5:$G$110&lt;&gt;"moeda")*(Inputs!$G$5:$G$110&lt;&gt;"acoes")))*INDEX(Inputs!$K$5:$AJ$110,0,MATCH(X$2,Inputs!$K$4:$AJ$4,0)))))</f>
        <v>1293</v>
      </c>
      <c r="Y56" s="513">
        <f>IF(ISNA(MATCH(Y$2,Inputs!$K$4:$AJ$4,0)),NA(),IF(SUMPRODUCT((Inputs!$A$5:$A$110=$B56)*ISNUMBER(INDEX(Inputs!$K$5:$AJ$110,0,MATCH(Y$2,Inputs!$K$4:$AJ$4,0))))+SUMPRODUCT((Inputs!$C$5:$C$110=$B56)*ISNUMBER(INDEX(Inputs!$K$5:$AJ$110,0,MATCH(Y$2,Inputs!$K$4:$AJ$4,0))))+SUMPRODUCT((Inputs!$E$5:$E$110=$B56)*ISNUMBER(INDEX(Inputs!$K$5:$AJ$110,0,MATCH(Y$2,Inputs!$K$4:$AJ$4,0))))=0,NA(),SUMPRODUCT((Inputs!$A$5:$A$110=$B56)*Inputs!$B$5:$B$110*(((Inputs!$G$5:$G$110="moeda")+(Inputs!$G$5:$G$110="acoes"))*Inputs!$B$1+((Inputs!$G$5:$G$110&lt;&gt;"moeda")*(Inputs!$G$5:$G$110&lt;&gt;"acoes")))*INDEX(Inputs!$K$5:$AJ$110,0,MATCH(Y$2,Inputs!$K$4:$AJ$4,0)))+SUMPRODUCT((Inputs!$C$5:$C$110=$B56)*Inputs!$D$5:$D$110*(((Inputs!$G$5:$G$110="moeda")+(Inputs!$G$5:$G$110="acoes"))*Inputs!$B$1+((Inputs!$G$5:$G$110&lt;&gt;"moeda")*(Inputs!$G$5:$G$110&lt;&gt;"acoes")))*INDEX(Inputs!$K$5:$AJ$110,0,MATCH(Y$2,Inputs!$K$4:$AJ$4,0)))+SUMPRODUCT((Inputs!$E$5:$E$110=$B56)*Inputs!$F$5:$F$110*(((Inputs!$G$5:$G$110="moeda")+(Inputs!$G$5:$G$110="acoes"))*Inputs!$B$1+((Inputs!$G$5:$G$110&lt;&gt;"moeda")*(Inputs!$G$5:$G$110&lt;&gt;"acoes")))*INDEX(Inputs!$K$5:$AJ$110,0,MATCH(Y$2,Inputs!$K$4:$AJ$4,0)))))</f>
        <v>1234</v>
      </c>
      <c r="Z56" s="513">
        <f>IF(ISNA(MATCH(Z$2,Inputs!$K$4:$AJ$4,0)),NA(),IF(SUMPRODUCT((Inputs!$A$5:$A$110=$B56)*ISNUMBER(INDEX(Inputs!$K$5:$AJ$110,0,MATCH(Z$2,Inputs!$K$4:$AJ$4,0))))+SUMPRODUCT((Inputs!$C$5:$C$110=$B56)*ISNUMBER(INDEX(Inputs!$K$5:$AJ$110,0,MATCH(Z$2,Inputs!$K$4:$AJ$4,0))))+SUMPRODUCT((Inputs!$E$5:$E$110=$B56)*ISNUMBER(INDEX(Inputs!$K$5:$AJ$110,0,MATCH(Z$2,Inputs!$K$4:$AJ$4,0))))=0,NA(),SUMPRODUCT((Inputs!$A$5:$A$110=$B56)*Inputs!$B$5:$B$110*(((Inputs!$G$5:$G$110="moeda")+(Inputs!$G$5:$G$110="acoes"))*Inputs!$B$1+((Inputs!$G$5:$G$110&lt;&gt;"moeda")*(Inputs!$G$5:$G$110&lt;&gt;"acoes")))*INDEX(Inputs!$K$5:$AJ$110,0,MATCH(Z$2,Inputs!$K$4:$AJ$4,0)))+SUMPRODUCT((Inputs!$C$5:$C$110=$B56)*Inputs!$D$5:$D$110*(((Inputs!$G$5:$G$110="moeda")+(Inputs!$G$5:$G$110="acoes"))*Inputs!$B$1+((Inputs!$G$5:$G$110&lt;&gt;"moeda")*(Inputs!$G$5:$G$110&lt;&gt;"acoes")))*INDEX(Inputs!$K$5:$AJ$110,0,MATCH(Z$2,Inputs!$K$4:$AJ$4,0)))+SUMPRODUCT((Inputs!$E$5:$E$110=$B56)*Inputs!$F$5:$F$110*(((Inputs!$G$5:$G$110="moeda")+(Inputs!$G$5:$G$110="acoes"))*Inputs!$B$1+((Inputs!$G$5:$G$110&lt;&gt;"moeda")*(Inputs!$G$5:$G$110&lt;&gt;"acoes")))*INDEX(Inputs!$K$5:$AJ$110,0,MATCH(Z$2,Inputs!$K$4:$AJ$4,0)))))</f>
        <v>702</v>
      </c>
      <c r="AA56" s="513">
        <f>IF(ISNA(MATCH(AA$2,Inputs!$K$4:$AJ$4,0)),NA(),IF(SUMPRODUCT((Inputs!$A$5:$A$110=$B56)*ISNUMBER(INDEX(Inputs!$K$5:$AJ$110,0,MATCH(AA$2,Inputs!$K$4:$AJ$4,0))))+SUMPRODUCT((Inputs!$C$5:$C$110=$B56)*ISNUMBER(INDEX(Inputs!$K$5:$AJ$110,0,MATCH(AA$2,Inputs!$K$4:$AJ$4,0))))+SUMPRODUCT((Inputs!$E$5:$E$110=$B56)*ISNUMBER(INDEX(Inputs!$K$5:$AJ$110,0,MATCH(AA$2,Inputs!$K$4:$AJ$4,0))))=0,NA(),SUMPRODUCT((Inputs!$A$5:$A$110=$B56)*Inputs!$B$5:$B$110*(((Inputs!$G$5:$G$110="moeda")+(Inputs!$G$5:$G$110="acoes"))*Inputs!$B$1+((Inputs!$G$5:$G$110&lt;&gt;"moeda")*(Inputs!$G$5:$G$110&lt;&gt;"acoes")))*INDEX(Inputs!$K$5:$AJ$110,0,MATCH(AA$2,Inputs!$K$4:$AJ$4,0)))+SUMPRODUCT((Inputs!$C$5:$C$110=$B56)*Inputs!$D$5:$D$110*(((Inputs!$G$5:$G$110="moeda")+(Inputs!$G$5:$G$110="acoes"))*Inputs!$B$1+((Inputs!$G$5:$G$110&lt;&gt;"moeda")*(Inputs!$G$5:$G$110&lt;&gt;"acoes")))*INDEX(Inputs!$K$5:$AJ$110,0,MATCH(AA$2,Inputs!$K$4:$AJ$4,0)))+SUMPRODUCT((Inputs!$E$5:$E$110=$B56)*Inputs!$F$5:$F$110*(((Inputs!$G$5:$G$110="moeda")+(Inputs!$G$5:$G$110="acoes"))*Inputs!$B$1+((Inputs!$G$5:$G$110&lt;&gt;"moeda")*(Inputs!$G$5:$G$110&lt;&gt;"acoes")))*INDEX(Inputs!$K$5:$AJ$110,0,MATCH(AA$2,Inputs!$K$4:$AJ$4,0)))))</f>
        <v>1910</v>
      </c>
      <c r="AB56" s="514">
        <f>SUM(X56:AA56)</f>
        <v>5139</v>
      </c>
      <c r="AC56" s="513">
        <f>IF(ISNA(MATCH(AC$2,Inputs!$K$4:$AJ$4,0)),NA(),IF(SUMPRODUCT((Inputs!$A$5:$A$110=$B56)*ISNUMBER(INDEX(Inputs!$K$5:$AJ$110,0,MATCH(AC$2,Inputs!$K$4:$AJ$4,0))))+SUMPRODUCT((Inputs!$C$5:$C$110=$B56)*ISNUMBER(INDEX(Inputs!$K$5:$AJ$110,0,MATCH(AC$2,Inputs!$K$4:$AJ$4,0))))+SUMPRODUCT((Inputs!$E$5:$E$110=$B56)*ISNUMBER(INDEX(Inputs!$K$5:$AJ$110,0,MATCH(AC$2,Inputs!$K$4:$AJ$4,0))))=0,NA(),SUMPRODUCT((Inputs!$A$5:$A$110=$B56)*Inputs!$B$5:$B$110*(((Inputs!$G$5:$G$110="moeda")+(Inputs!$G$5:$G$110="acoes"))*Inputs!$B$1+((Inputs!$G$5:$G$110&lt;&gt;"moeda")*(Inputs!$G$5:$G$110&lt;&gt;"acoes")))*INDEX(Inputs!$K$5:$AJ$110,0,MATCH(AC$2,Inputs!$K$4:$AJ$4,0)))+SUMPRODUCT((Inputs!$C$5:$C$110=$B56)*Inputs!$D$5:$D$110*(((Inputs!$G$5:$G$110="moeda")+(Inputs!$G$5:$G$110="acoes"))*Inputs!$B$1+((Inputs!$G$5:$G$110&lt;&gt;"moeda")*(Inputs!$G$5:$G$110&lt;&gt;"acoes")))*INDEX(Inputs!$K$5:$AJ$110,0,MATCH(AC$2,Inputs!$K$4:$AJ$4,0)))+SUMPRODUCT((Inputs!$E$5:$E$110=$B56)*Inputs!$F$5:$F$110*(((Inputs!$G$5:$G$110="moeda")+(Inputs!$G$5:$G$110="acoes"))*Inputs!$B$1+((Inputs!$G$5:$G$110&lt;&gt;"moeda")*(Inputs!$G$5:$G$110&lt;&gt;"acoes")))*INDEX(Inputs!$K$5:$AJ$110,0,MATCH(AC$2,Inputs!$K$4:$AJ$4,0)))))</f>
        <v>1602</v>
      </c>
      <c r="AD56" s="513">
        <f>IF(ISNA(MATCH(AD$2,Inputs!$K$4:$AJ$4,0)),NA(),IF(SUMPRODUCT((Inputs!$A$5:$A$110=$B56)*ISNUMBER(INDEX(Inputs!$K$5:$AJ$110,0,MATCH(AD$2,Inputs!$K$4:$AJ$4,0))))+SUMPRODUCT((Inputs!$C$5:$C$110=$B56)*ISNUMBER(INDEX(Inputs!$K$5:$AJ$110,0,MATCH(AD$2,Inputs!$K$4:$AJ$4,0))))+SUMPRODUCT((Inputs!$E$5:$E$110=$B56)*ISNUMBER(INDEX(Inputs!$K$5:$AJ$110,0,MATCH(AD$2,Inputs!$K$4:$AJ$4,0))))=0,NA(),SUMPRODUCT((Inputs!$A$5:$A$110=$B56)*Inputs!$B$5:$B$110*(((Inputs!$G$5:$G$110="moeda")+(Inputs!$G$5:$G$110="acoes"))*Inputs!$B$1+((Inputs!$G$5:$G$110&lt;&gt;"moeda")*(Inputs!$G$5:$G$110&lt;&gt;"acoes")))*INDEX(Inputs!$K$5:$AJ$110,0,MATCH(AD$2,Inputs!$K$4:$AJ$4,0)))+SUMPRODUCT((Inputs!$C$5:$C$110=$B56)*Inputs!$D$5:$D$110*(((Inputs!$G$5:$G$110="moeda")+(Inputs!$G$5:$G$110="acoes"))*Inputs!$B$1+((Inputs!$G$5:$G$110&lt;&gt;"moeda")*(Inputs!$G$5:$G$110&lt;&gt;"acoes")))*INDEX(Inputs!$K$5:$AJ$110,0,MATCH(AD$2,Inputs!$K$4:$AJ$4,0)))+SUMPRODUCT((Inputs!$E$5:$E$110=$B56)*Inputs!$F$5:$F$110*(((Inputs!$G$5:$G$110="moeda")+(Inputs!$G$5:$G$110="acoes"))*Inputs!$B$1+((Inputs!$G$5:$G$110&lt;&gt;"moeda")*(Inputs!$G$5:$G$110&lt;&gt;"acoes")))*INDEX(Inputs!$K$5:$AJ$110,0,MATCH(AD$2,Inputs!$K$4:$AJ$4,0)))))</f>
        <v>1439</v>
      </c>
      <c r="AE56" s="513" t="e">
        <f>IF(ISNA(MATCH(AE$2,Inputs!$K$4:$AJ$4,0)),NA(),IF(SUMPRODUCT((Inputs!$A$5:$A$110=$B56)*ISNUMBER(INDEX(Inputs!$K$5:$AJ$110,0,MATCH(AE$2,Inputs!$K$4:$AJ$4,0))))+SUMPRODUCT((Inputs!$C$5:$C$110=$B56)*ISNUMBER(INDEX(Inputs!$K$5:$AJ$110,0,MATCH(AE$2,Inputs!$K$4:$AJ$4,0))))+SUMPRODUCT((Inputs!$E$5:$E$110=$B56)*ISNUMBER(INDEX(Inputs!$K$5:$AJ$110,0,MATCH(AE$2,Inputs!$K$4:$AJ$4,0))))=0,NA(),SUMPRODUCT((Inputs!$A$5:$A$110=$B56)*Inputs!$B$5:$B$110*(((Inputs!$G$5:$G$110="moeda")+(Inputs!$G$5:$G$110="acoes"))*Inputs!$B$1+((Inputs!$G$5:$G$110&lt;&gt;"moeda")*(Inputs!$G$5:$G$110&lt;&gt;"acoes")))*INDEX(Inputs!$K$5:$AJ$110,0,MATCH(AE$2,Inputs!$K$4:$AJ$4,0)))+SUMPRODUCT((Inputs!$C$5:$C$110=$B56)*Inputs!$D$5:$D$110*(((Inputs!$G$5:$G$110="moeda")+(Inputs!$G$5:$G$110="acoes"))*Inputs!$B$1+((Inputs!$G$5:$G$110&lt;&gt;"moeda")*(Inputs!$G$5:$G$110&lt;&gt;"acoes")))*INDEX(Inputs!$K$5:$AJ$110,0,MATCH(AE$2,Inputs!$K$4:$AJ$4,0)))+SUMPRODUCT((Inputs!$E$5:$E$110=$B56)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6" s="513" t="e">
        <f>IF(ISNA(MATCH(AF$2,Inputs!$K$4:$AJ$4,0)),NA(),IF(SUMPRODUCT((Inputs!$A$5:$A$110=$B56)*ISNUMBER(INDEX(Inputs!$K$5:$AJ$110,0,MATCH(AF$2,Inputs!$K$4:$AJ$4,0))))+SUMPRODUCT((Inputs!$C$5:$C$110=$B56)*ISNUMBER(INDEX(Inputs!$K$5:$AJ$110,0,MATCH(AF$2,Inputs!$K$4:$AJ$4,0))))+SUMPRODUCT((Inputs!$E$5:$E$110=$B56)*ISNUMBER(INDEX(Inputs!$K$5:$AJ$110,0,MATCH(AF$2,Inputs!$K$4:$AJ$4,0))))=0,NA(),SUMPRODUCT((Inputs!$A$5:$A$110=$B56)*Inputs!$B$5:$B$110*(((Inputs!$G$5:$G$110="moeda")+(Inputs!$G$5:$G$110="acoes"))*Inputs!$B$1+((Inputs!$G$5:$G$110&lt;&gt;"moeda")*(Inputs!$G$5:$G$110&lt;&gt;"acoes")))*INDEX(Inputs!$K$5:$AJ$110,0,MATCH(AF$2,Inputs!$K$4:$AJ$4,0)))+SUMPRODUCT((Inputs!$C$5:$C$110=$B56)*Inputs!$D$5:$D$110*(((Inputs!$G$5:$G$110="moeda")+(Inputs!$G$5:$G$110="acoes"))*Inputs!$B$1+((Inputs!$G$5:$G$110&lt;&gt;"moeda")*(Inputs!$G$5:$G$110&lt;&gt;"acoes")))*INDEX(Inputs!$K$5:$AJ$110,0,MATCH(AF$2,Inputs!$K$4:$AJ$4,0)))+SUMPRODUCT((Inputs!$E$5:$E$110=$B56)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6" s="514" t="e">
        <f>SUM(AC56:AF56)</f>
        <v>#N/A</v>
      </c>
      <c r="AH56" s="513">
        <f>IF(ISNA(MATCH(AH$2,Inputs!$K$4:$AJ$4,0)),NA(),IF(SUMPRODUCT((Inputs!$A$5:$A$110=$B56)*ISNUMBER(INDEX(Inputs!$K$5:$AJ$110,0,MATCH(AH$2,Inputs!$K$4:$AJ$4,0))))+SUMPRODUCT((Inputs!$C$5:$C$110=$B56)*ISNUMBER(INDEX(Inputs!$K$5:$AJ$110,0,MATCH(AH$2,Inputs!$K$4:$AJ$4,0))))+SUMPRODUCT((Inputs!$E$5:$E$110=$B56)*ISNUMBER(INDEX(Inputs!$K$5:$AJ$110,0,MATCH(AH$2,Inputs!$K$4:$AJ$4,0))))=0,NA(),SUMPRODUCT((Inputs!$A$5:$A$110=$B56)*Inputs!$B$5:$B$110*(((Inputs!$G$5:$G$110="moeda")+(Inputs!$G$5:$G$110="acoes"))*Inputs!$B$1+((Inputs!$G$5:$G$110&lt;&gt;"moeda")*(Inputs!$G$5:$G$110&lt;&gt;"acoes")))*INDEX(Inputs!$K$5:$AJ$110,0,MATCH(AH$2,Inputs!$K$4:$AJ$4,0)))+SUMPRODUCT((Inputs!$C$5:$C$110=$B56)*Inputs!$D$5:$D$110*(((Inputs!$G$5:$G$110="moeda")+(Inputs!$G$5:$G$110="acoes"))*Inputs!$B$1+((Inputs!$G$5:$G$110&lt;&gt;"moeda")*(Inputs!$G$5:$G$110&lt;&gt;"acoes")))*INDEX(Inputs!$K$5:$AJ$110,0,MATCH(AH$2,Inputs!$K$4:$AJ$4,0)))+SUMPRODUCT((Inputs!$E$5:$E$110=$B56)*Inputs!$F$5:$F$110*(((Inputs!$G$5:$G$110="moeda")+(Inputs!$G$5:$G$110="acoes"))*Inputs!$B$1+((Inputs!$G$5:$G$110&lt;&gt;"moeda")*(Inputs!$G$5:$G$110&lt;&gt;"acoes")))*INDEX(Inputs!$K$5:$AJ$110,0,MATCH(AH$2,Inputs!$K$4:$AJ$4,0)))))</f>
        <v>806</v>
      </c>
      <c r="AI56" s="513">
        <f>IF(ISNA(MATCH(AI$2,Inputs!$K$4:$AJ$4,0)),NA(),IF(SUMPRODUCT((Inputs!$A$5:$A$110=$B56)*ISNUMBER(INDEX(Inputs!$K$5:$AJ$110,0,MATCH(AI$2,Inputs!$K$4:$AJ$4,0))))+SUMPRODUCT((Inputs!$C$5:$C$110=$B56)*ISNUMBER(INDEX(Inputs!$K$5:$AJ$110,0,MATCH(AI$2,Inputs!$K$4:$AJ$4,0))))+SUMPRODUCT((Inputs!$E$5:$E$110=$B56)*ISNUMBER(INDEX(Inputs!$K$5:$AJ$110,0,MATCH(AI$2,Inputs!$K$4:$AJ$4,0))))=0,NA(),SUMPRODUCT((Inputs!$A$5:$A$110=$B56)*Inputs!$B$5:$B$110*(((Inputs!$G$5:$G$110="moeda")+(Inputs!$G$5:$G$110="acoes"))*Inputs!$B$1+((Inputs!$G$5:$G$110&lt;&gt;"moeda")*(Inputs!$G$5:$G$110&lt;&gt;"acoes")))*INDEX(Inputs!$K$5:$AJ$110,0,MATCH(AI$2,Inputs!$K$4:$AJ$4,0)))+SUMPRODUCT((Inputs!$C$5:$C$110=$B56)*Inputs!$D$5:$D$110*(((Inputs!$G$5:$G$110="moeda")+(Inputs!$G$5:$G$110="acoes"))*Inputs!$B$1+((Inputs!$G$5:$G$110&lt;&gt;"moeda")*(Inputs!$G$5:$G$110&lt;&gt;"acoes")))*INDEX(Inputs!$K$5:$AJ$110,0,MATCH(AI$2,Inputs!$K$4:$AJ$4,0)))+SUMPRODUCT((Inputs!$E$5:$E$110=$B56)*Inputs!$F$5:$F$110*(((Inputs!$G$5:$G$110="moeda")+(Inputs!$G$5:$G$110="acoes"))*Inputs!$B$1+((Inputs!$G$5:$G$110&lt;&gt;"moeda")*(Inputs!$G$5:$G$110&lt;&gt;"acoes")))*INDEX(Inputs!$K$5:$AJ$110,0,MATCH(AI$2,Inputs!$K$4:$AJ$4,0)))))</f>
        <v>812</v>
      </c>
      <c r="AJ56" s="513">
        <f>IF(ISNA(MATCH(AJ$2,Inputs!$K$4:$AJ$4,0)),NA(),IF(SUMPRODUCT((Inputs!$A$5:$A$110=$B56)*ISNUMBER(INDEX(Inputs!$K$5:$AJ$110,0,MATCH(AJ$2,Inputs!$K$4:$AJ$4,0))))+SUMPRODUCT((Inputs!$C$5:$C$110=$B56)*ISNUMBER(INDEX(Inputs!$K$5:$AJ$110,0,MATCH(AJ$2,Inputs!$K$4:$AJ$4,0))))+SUMPRODUCT((Inputs!$E$5:$E$110=$B56)*ISNUMBER(INDEX(Inputs!$K$5:$AJ$110,0,MATCH(AJ$2,Inputs!$K$4:$AJ$4,0))))=0,NA(),SUMPRODUCT((Inputs!$A$5:$A$110=$B56)*Inputs!$B$5:$B$110*(((Inputs!$G$5:$G$110="moeda")+(Inputs!$G$5:$G$110="acoes"))*Inputs!$B$1+((Inputs!$G$5:$G$110&lt;&gt;"moeda")*(Inputs!$G$5:$G$110&lt;&gt;"acoes")))*INDEX(Inputs!$K$5:$AJ$110,0,MATCH(AJ$2,Inputs!$K$4:$AJ$4,0)))+SUMPRODUCT((Inputs!$C$5:$C$110=$B56)*Inputs!$D$5:$D$110*(((Inputs!$G$5:$G$110="moeda")+(Inputs!$G$5:$G$110="acoes"))*Inputs!$B$1+((Inputs!$G$5:$G$110&lt;&gt;"moeda")*(Inputs!$G$5:$G$110&lt;&gt;"acoes")))*INDEX(Inputs!$K$5:$AJ$110,0,MATCH(AJ$2,Inputs!$K$4:$AJ$4,0)))+SUMPRODUCT((Inputs!$E$5:$E$110=$B56)*Inputs!$F$5:$F$110*(((Inputs!$G$5:$G$110="moeda")+(Inputs!$G$5:$G$110="acoes"))*Inputs!$B$1+((Inputs!$G$5:$G$110&lt;&gt;"moeda")*(Inputs!$G$5:$G$110&lt;&gt;"acoes")))*INDEX(Inputs!$K$5:$AJ$110,0,MATCH(AJ$2,Inputs!$K$4:$AJ$4,0)))))</f>
        <v>1078</v>
      </c>
      <c r="AK56" s="513">
        <f>IF(ISNA(MATCH(AK$2,Inputs!$K$4:$AJ$4,0)),NA(),IF(SUMPRODUCT((Inputs!$A$5:$A$110=$B56)*ISNUMBER(INDEX(Inputs!$K$5:$AJ$110,0,MATCH(AK$2,Inputs!$K$4:$AJ$4,0))))+SUMPRODUCT((Inputs!$C$5:$C$110=$B56)*ISNUMBER(INDEX(Inputs!$K$5:$AJ$110,0,MATCH(AK$2,Inputs!$K$4:$AJ$4,0))))+SUMPRODUCT((Inputs!$E$5:$E$110=$B56)*ISNUMBER(INDEX(Inputs!$K$5:$AJ$110,0,MATCH(AK$2,Inputs!$K$4:$AJ$4,0))))=0,NA(),SUMPRODUCT((Inputs!$A$5:$A$110=$B56)*Inputs!$B$5:$B$110*(((Inputs!$G$5:$G$110="moeda")+(Inputs!$G$5:$G$110="acoes"))*Inputs!$B$1+((Inputs!$G$5:$G$110&lt;&gt;"moeda")*(Inputs!$G$5:$G$110&lt;&gt;"acoes")))*INDEX(Inputs!$K$5:$AJ$110,0,MATCH(AK$2,Inputs!$K$4:$AJ$4,0)))+SUMPRODUCT((Inputs!$C$5:$C$110=$B56)*Inputs!$D$5:$D$110*(((Inputs!$G$5:$G$110="moeda")+(Inputs!$G$5:$G$110="acoes"))*Inputs!$B$1+((Inputs!$G$5:$G$110&lt;&gt;"moeda")*(Inputs!$G$5:$G$110&lt;&gt;"acoes")))*INDEX(Inputs!$K$5:$AJ$110,0,MATCH(AK$2,Inputs!$K$4:$AJ$4,0)))+SUMPRODUCT((Inputs!$E$5:$E$110=$B56)*Inputs!$F$5:$F$110*(((Inputs!$G$5:$G$110="moeda")+(Inputs!$G$5:$G$110="acoes"))*Inputs!$B$1+((Inputs!$G$5:$G$110&lt;&gt;"moeda")*(Inputs!$G$5:$G$110&lt;&gt;"acoes")))*INDEX(Inputs!$K$5:$AJ$110,0,MATCH(AK$2,Inputs!$K$4:$AJ$4,0)))))</f>
        <v>964</v>
      </c>
      <c r="AL56" s="514">
        <f>SUM(AH56:AK56)</f>
        <v>3660</v>
      </c>
    </row>
    <row r="57">
      <c r="B57" s="265" t="n">
        <v>49</v>
      </c>
      <c r="C57" s="266" t="inlineStr">
        <is>
          <t>Sam's Club U.S. - receita (USD)</t>
        </is>
      </c>
      <c r="D57" s="513">
        <f>IF(ISNA(MATCH(D$2,Inputs!$K$4:$AJ$4,0)),NA(),IF(SUMPRODUCT((Inputs!$A$5:$A$110=$B57)*ISNUMBER(INDEX(Inputs!$K$5:$AJ$110,0,MATCH(D$2,Inputs!$K$4:$AJ$4,0))))+SUMPRODUCT((Inputs!$C$5:$C$110=$B57)*ISNUMBER(INDEX(Inputs!$K$5:$AJ$110,0,MATCH(D$2,Inputs!$K$4:$AJ$4,0))))+SUMPRODUCT((Inputs!$E$5:$E$110=$B57)*ISNUMBER(INDEX(Inputs!$K$5:$AJ$110,0,MATCH(D$2,Inputs!$K$4:$AJ$4,0))))=0,NA(),SUMPRODUCT((Inputs!$A$5:$A$110=$B57)*Inputs!$B$5:$B$110*(((Inputs!$G$5:$G$110="moeda")+(Inputs!$G$5:$G$110="acoes"))*Inputs!$B$1+((Inputs!$G$5:$G$110&lt;&gt;"moeda")*(Inputs!$G$5:$G$110&lt;&gt;"acoes")))*INDEX(Inputs!$K$5:$AJ$110,0,MATCH(D$2,Inputs!$K$4:$AJ$4,0)))+SUMPRODUCT((Inputs!$C$5:$C$110=$B57)*Inputs!$D$5:$D$110*(((Inputs!$G$5:$G$110="moeda")+(Inputs!$G$5:$G$110="acoes"))*Inputs!$B$1+((Inputs!$G$5:$G$110&lt;&gt;"moeda")*(Inputs!$G$5:$G$110&lt;&gt;"acoes")))*INDEX(Inputs!$K$5:$AJ$110,0,MATCH(D$2,Inputs!$K$4:$AJ$4,0)))+SUMPRODUCT((Inputs!$E$5:$E$110=$B57)*Inputs!$F$5:$F$110*(((Inputs!$G$5:$G$110="moeda")+(Inputs!$G$5:$G$110="acoes"))*Inputs!$B$1+((Inputs!$G$5:$G$110&lt;&gt;"moeda")*(Inputs!$G$5:$G$110&lt;&gt;"acoes")))*INDEX(Inputs!$K$5:$AJ$110,0,MATCH(D$2,Inputs!$K$4:$AJ$4,0)))))</f>
        <v>16692</v>
      </c>
      <c r="E57" s="513">
        <f>IF(ISNA(MATCH(E$2,Inputs!$K$4:$AJ$4,0)),NA(),IF(SUMPRODUCT((Inputs!$A$5:$A$110=$B57)*ISNUMBER(INDEX(Inputs!$K$5:$AJ$110,0,MATCH(E$2,Inputs!$K$4:$AJ$4,0))))+SUMPRODUCT((Inputs!$C$5:$C$110=$B57)*ISNUMBER(INDEX(Inputs!$K$5:$AJ$110,0,MATCH(E$2,Inputs!$K$4:$AJ$4,0))))+SUMPRODUCT((Inputs!$E$5:$E$110=$B57)*ISNUMBER(INDEX(Inputs!$K$5:$AJ$110,0,MATCH(E$2,Inputs!$K$4:$AJ$4,0))))=0,NA(),SUMPRODUCT((Inputs!$A$5:$A$110=$B57)*Inputs!$B$5:$B$110*(((Inputs!$G$5:$G$110="moeda")+(Inputs!$G$5:$G$110="acoes"))*Inputs!$B$1+((Inputs!$G$5:$G$110&lt;&gt;"moeda")*(Inputs!$G$5:$G$110&lt;&gt;"acoes")))*INDEX(Inputs!$K$5:$AJ$110,0,MATCH(E$2,Inputs!$K$4:$AJ$4,0)))+SUMPRODUCT((Inputs!$C$5:$C$110=$B57)*Inputs!$D$5:$D$110*(((Inputs!$G$5:$G$110="moeda")+(Inputs!$G$5:$G$110="acoes"))*Inputs!$B$1+((Inputs!$G$5:$G$110&lt;&gt;"moeda")*(Inputs!$G$5:$G$110&lt;&gt;"acoes")))*INDEX(Inputs!$K$5:$AJ$110,0,MATCH(E$2,Inputs!$K$4:$AJ$4,0)))+SUMPRODUCT((Inputs!$E$5:$E$110=$B57)*Inputs!$F$5:$F$110*(((Inputs!$G$5:$G$110="moeda")+(Inputs!$G$5:$G$110="acoes"))*Inputs!$B$1+((Inputs!$G$5:$G$110&lt;&gt;"moeda")*(Inputs!$G$5:$G$110&lt;&gt;"acoes")))*INDEX(Inputs!$K$5:$AJ$110,0,MATCH(E$2,Inputs!$K$4:$AJ$4,0)))))</f>
        <v>18644</v>
      </c>
      <c r="F57" s="513">
        <f>IF(ISNA(MATCH(F$2,Inputs!$K$4:$AJ$4,0)),NA(),IF(SUMPRODUCT((Inputs!$A$5:$A$110=$B57)*ISNUMBER(INDEX(Inputs!$K$5:$AJ$110,0,MATCH(F$2,Inputs!$K$4:$AJ$4,0))))+SUMPRODUCT((Inputs!$C$5:$C$110=$B57)*ISNUMBER(INDEX(Inputs!$K$5:$AJ$110,0,MATCH(F$2,Inputs!$K$4:$AJ$4,0))))+SUMPRODUCT((Inputs!$E$5:$E$110=$B57)*ISNUMBER(INDEX(Inputs!$K$5:$AJ$110,0,MATCH(F$2,Inputs!$K$4:$AJ$4,0))))=0,NA(),SUMPRODUCT((Inputs!$A$5:$A$110=$B57)*Inputs!$B$5:$B$110*(((Inputs!$G$5:$G$110="moeda")+(Inputs!$G$5:$G$110="acoes"))*Inputs!$B$1+((Inputs!$G$5:$G$110&lt;&gt;"moeda")*(Inputs!$G$5:$G$110&lt;&gt;"acoes")))*INDEX(Inputs!$K$5:$AJ$110,0,MATCH(F$2,Inputs!$K$4:$AJ$4,0)))+SUMPRODUCT((Inputs!$C$5:$C$110=$B57)*Inputs!$D$5:$D$110*(((Inputs!$G$5:$G$110="moeda")+(Inputs!$G$5:$G$110="acoes"))*Inputs!$B$1+((Inputs!$G$5:$G$110&lt;&gt;"moeda")*(Inputs!$G$5:$G$110&lt;&gt;"acoes")))*INDEX(Inputs!$K$5:$AJ$110,0,MATCH(F$2,Inputs!$K$4:$AJ$4,0)))+SUMPRODUCT((Inputs!$E$5:$E$110=$B57)*Inputs!$F$5:$F$110*(((Inputs!$G$5:$G$110="moeda")+(Inputs!$G$5:$G$110="acoes"))*Inputs!$B$1+((Inputs!$G$5:$G$110&lt;&gt;"moeda")*(Inputs!$G$5:$G$110&lt;&gt;"acoes")))*INDEX(Inputs!$K$5:$AJ$110,0,MATCH(F$2,Inputs!$K$4:$AJ$4,0)))))</f>
        <v>18971</v>
      </c>
      <c r="G57" s="513">
        <f>IF(ISNA(MATCH(G$2,Inputs!$K$4:$AJ$4,0)),NA(),IF(SUMPRODUCT((Inputs!$A$5:$A$110=$B57)*ISNUMBER(INDEX(Inputs!$K$5:$AJ$110,0,MATCH(G$2,Inputs!$K$4:$AJ$4,0))))+SUMPRODUCT((Inputs!$C$5:$C$110=$B57)*ISNUMBER(INDEX(Inputs!$K$5:$AJ$110,0,MATCH(G$2,Inputs!$K$4:$AJ$4,0))))+SUMPRODUCT((Inputs!$E$5:$E$110=$B57)*ISNUMBER(INDEX(Inputs!$K$5:$AJ$110,0,MATCH(G$2,Inputs!$K$4:$AJ$4,0))))=0,NA(),SUMPRODUCT((Inputs!$A$5:$A$110=$B57)*Inputs!$B$5:$B$110*(((Inputs!$G$5:$G$110="moeda")+(Inputs!$G$5:$G$110="acoes"))*Inputs!$B$1+((Inputs!$G$5:$G$110&lt;&gt;"moeda")*(Inputs!$G$5:$G$110&lt;&gt;"acoes")))*INDEX(Inputs!$K$5:$AJ$110,0,MATCH(G$2,Inputs!$K$4:$AJ$4,0)))+SUMPRODUCT((Inputs!$C$5:$C$110=$B57)*Inputs!$D$5:$D$110*(((Inputs!$G$5:$G$110="moeda")+(Inputs!$G$5:$G$110="acoes"))*Inputs!$B$1+((Inputs!$G$5:$G$110&lt;&gt;"moeda")*(Inputs!$G$5:$G$110&lt;&gt;"acoes")))*INDEX(Inputs!$K$5:$AJ$110,0,MATCH(G$2,Inputs!$K$4:$AJ$4,0)))+SUMPRODUCT((Inputs!$E$5:$E$110=$B57)*Inputs!$F$5:$F$110*(((Inputs!$G$5:$G$110="moeda")+(Inputs!$G$5:$G$110="acoes"))*Inputs!$B$1+((Inputs!$G$5:$G$110&lt;&gt;"moeda")*(Inputs!$G$5:$G$110&lt;&gt;"acoes")))*INDEX(Inputs!$K$5:$AJ$110,0,MATCH(G$2,Inputs!$K$4:$AJ$4,0)))))</f>
        <v>19249</v>
      </c>
      <c r="H57" s="514">
        <f>SUM(D57:G57)</f>
        <v>73556</v>
      </c>
      <c r="I57" s="513">
        <f>IF(ISNA(MATCH(I$2,Inputs!$K$4:$AJ$4,0)),NA(),IF(SUMPRODUCT((Inputs!$A$5:$A$110=$B57)*ISNUMBER(INDEX(Inputs!$K$5:$AJ$110,0,MATCH(I$2,Inputs!$K$4:$AJ$4,0))))+SUMPRODUCT((Inputs!$C$5:$C$110=$B57)*ISNUMBER(INDEX(Inputs!$K$5:$AJ$110,0,MATCH(I$2,Inputs!$K$4:$AJ$4,0))))+SUMPRODUCT((Inputs!$E$5:$E$110=$B57)*ISNUMBER(INDEX(Inputs!$K$5:$AJ$110,0,MATCH(I$2,Inputs!$K$4:$AJ$4,0))))=0,NA(),SUMPRODUCT((Inputs!$A$5:$A$110=$B57)*Inputs!$B$5:$B$110*(((Inputs!$G$5:$G$110="moeda")+(Inputs!$G$5:$G$110="acoes"))*Inputs!$B$1+((Inputs!$G$5:$G$110&lt;&gt;"moeda")*(Inputs!$G$5:$G$110&lt;&gt;"acoes")))*INDEX(Inputs!$K$5:$AJ$110,0,MATCH(I$2,Inputs!$K$4:$AJ$4,0)))+SUMPRODUCT((Inputs!$C$5:$C$110=$B57)*Inputs!$D$5:$D$110*(((Inputs!$G$5:$G$110="moeda")+(Inputs!$G$5:$G$110="acoes"))*Inputs!$B$1+((Inputs!$G$5:$G$110&lt;&gt;"moeda")*(Inputs!$G$5:$G$110&lt;&gt;"acoes")))*INDEX(Inputs!$K$5:$AJ$110,0,MATCH(I$2,Inputs!$K$4:$AJ$4,0)))+SUMPRODUCT((Inputs!$E$5:$E$110=$B57)*Inputs!$F$5:$F$110*(((Inputs!$G$5:$G$110="moeda")+(Inputs!$G$5:$G$110="acoes"))*Inputs!$B$1+((Inputs!$G$5:$G$110&lt;&gt;"moeda")*(Inputs!$G$5:$G$110&lt;&gt;"acoes")))*INDEX(Inputs!$K$5:$AJ$110,0,MATCH(I$2,Inputs!$K$4:$AJ$4,0)))))</f>
        <v>19621</v>
      </c>
      <c r="J57" s="513">
        <f>IF(ISNA(MATCH(J$2,Inputs!$K$4:$AJ$4,0)),NA(),IF(SUMPRODUCT((Inputs!$A$5:$A$110=$B57)*ISNUMBER(INDEX(Inputs!$K$5:$AJ$110,0,MATCH(J$2,Inputs!$K$4:$AJ$4,0))))+SUMPRODUCT((Inputs!$C$5:$C$110=$B57)*ISNUMBER(INDEX(Inputs!$K$5:$AJ$110,0,MATCH(J$2,Inputs!$K$4:$AJ$4,0))))+SUMPRODUCT((Inputs!$E$5:$E$110=$B57)*ISNUMBER(INDEX(Inputs!$K$5:$AJ$110,0,MATCH(J$2,Inputs!$K$4:$AJ$4,0))))=0,NA(),SUMPRODUCT((Inputs!$A$5:$A$110=$B57)*Inputs!$B$5:$B$110*(((Inputs!$G$5:$G$110="moeda")+(Inputs!$G$5:$G$110="acoes"))*Inputs!$B$1+((Inputs!$G$5:$G$110&lt;&gt;"moeda")*(Inputs!$G$5:$G$110&lt;&gt;"acoes")))*INDEX(Inputs!$K$5:$AJ$110,0,MATCH(J$2,Inputs!$K$4:$AJ$4,0)))+SUMPRODUCT((Inputs!$C$5:$C$110=$B57)*Inputs!$D$5:$D$110*(((Inputs!$G$5:$G$110="moeda")+(Inputs!$G$5:$G$110="acoes"))*Inputs!$B$1+((Inputs!$G$5:$G$110&lt;&gt;"moeda")*(Inputs!$G$5:$G$110&lt;&gt;"acoes")))*INDEX(Inputs!$K$5:$AJ$110,0,MATCH(J$2,Inputs!$K$4:$AJ$4,0)))+SUMPRODUCT((Inputs!$E$5:$E$110=$B57)*Inputs!$F$5:$F$110*(((Inputs!$G$5:$G$110="moeda")+(Inputs!$G$5:$G$110="acoes"))*Inputs!$B$1+((Inputs!$G$5:$G$110&lt;&gt;"moeda")*(Inputs!$G$5:$G$110&lt;&gt;"acoes")))*INDEX(Inputs!$K$5:$AJ$110,0,MATCH(J$2,Inputs!$K$4:$AJ$4,0)))))</f>
        <v>21901</v>
      </c>
      <c r="K57" s="513">
        <f>IF(ISNA(MATCH(K$2,Inputs!$K$4:$AJ$4,0)),NA(),IF(SUMPRODUCT((Inputs!$A$5:$A$110=$B57)*ISNUMBER(INDEX(Inputs!$K$5:$AJ$110,0,MATCH(K$2,Inputs!$K$4:$AJ$4,0))))+SUMPRODUCT((Inputs!$C$5:$C$110=$B57)*ISNUMBER(INDEX(Inputs!$K$5:$AJ$110,0,MATCH(K$2,Inputs!$K$4:$AJ$4,0))))+SUMPRODUCT((Inputs!$E$5:$E$110=$B57)*ISNUMBER(INDEX(Inputs!$K$5:$AJ$110,0,MATCH(K$2,Inputs!$K$4:$AJ$4,0))))=0,NA(),SUMPRODUCT((Inputs!$A$5:$A$110=$B57)*Inputs!$B$5:$B$110*(((Inputs!$G$5:$G$110="moeda")+(Inputs!$G$5:$G$110="acoes"))*Inputs!$B$1+((Inputs!$G$5:$G$110&lt;&gt;"moeda")*(Inputs!$G$5:$G$110&lt;&gt;"acoes")))*INDEX(Inputs!$K$5:$AJ$110,0,MATCH(K$2,Inputs!$K$4:$AJ$4,0)))+SUMPRODUCT((Inputs!$C$5:$C$110=$B57)*Inputs!$D$5:$D$110*(((Inputs!$G$5:$G$110="moeda")+(Inputs!$G$5:$G$110="acoes"))*Inputs!$B$1+((Inputs!$G$5:$G$110&lt;&gt;"moeda")*(Inputs!$G$5:$G$110&lt;&gt;"acoes")))*INDEX(Inputs!$K$5:$AJ$110,0,MATCH(K$2,Inputs!$K$4:$AJ$4,0)))+SUMPRODUCT((Inputs!$E$5:$E$110=$B57)*Inputs!$F$5:$F$110*(((Inputs!$G$5:$G$110="moeda")+(Inputs!$G$5:$G$110="acoes"))*Inputs!$B$1+((Inputs!$G$5:$G$110&lt;&gt;"moeda")*(Inputs!$G$5:$G$110&lt;&gt;"acoes")))*INDEX(Inputs!$K$5:$AJ$110,0,MATCH(K$2,Inputs!$K$4:$AJ$4,0)))))</f>
        <v>21399</v>
      </c>
      <c r="L57" s="513">
        <f>IF(ISNA(MATCH(L$2,Inputs!$K$4:$AJ$4,0)),NA(),IF(SUMPRODUCT((Inputs!$A$5:$A$110=$B57)*ISNUMBER(INDEX(Inputs!$K$5:$AJ$110,0,MATCH(L$2,Inputs!$K$4:$AJ$4,0))))+SUMPRODUCT((Inputs!$C$5:$C$110=$B57)*ISNUMBER(INDEX(Inputs!$K$5:$AJ$110,0,MATCH(L$2,Inputs!$K$4:$AJ$4,0))))+SUMPRODUCT((Inputs!$E$5:$E$110=$B57)*ISNUMBER(INDEX(Inputs!$K$5:$AJ$110,0,MATCH(L$2,Inputs!$K$4:$AJ$4,0))))=0,NA(),SUMPRODUCT((Inputs!$A$5:$A$110=$B57)*Inputs!$B$5:$B$110*(((Inputs!$G$5:$G$110="moeda")+(Inputs!$G$5:$G$110="acoes"))*Inputs!$B$1+((Inputs!$G$5:$G$110&lt;&gt;"moeda")*(Inputs!$G$5:$G$110&lt;&gt;"acoes")))*INDEX(Inputs!$K$5:$AJ$110,0,MATCH(L$2,Inputs!$K$4:$AJ$4,0)))+SUMPRODUCT((Inputs!$C$5:$C$110=$B57)*Inputs!$D$5:$D$110*(((Inputs!$G$5:$G$110="moeda")+(Inputs!$G$5:$G$110="acoes"))*Inputs!$B$1+((Inputs!$G$5:$G$110&lt;&gt;"moeda")*(Inputs!$G$5:$G$110&lt;&gt;"acoes")))*INDEX(Inputs!$K$5:$AJ$110,0,MATCH(L$2,Inputs!$K$4:$AJ$4,0)))+SUMPRODUCT((Inputs!$E$5:$E$110=$B57)*Inputs!$F$5:$F$110*(((Inputs!$G$5:$G$110="moeda")+(Inputs!$G$5:$G$110="acoes"))*Inputs!$B$1+((Inputs!$G$5:$G$110&lt;&gt;"moeda")*(Inputs!$G$5:$G$110&lt;&gt;"acoes")))*INDEX(Inputs!$K$5:$AJ$110,0,MATCH(L$2,Inputs!$K$4:$AJ$4,0)))))</f>
        <v>21424</v>
      </c>
      <c r="M57" s="514">
        <f>SUM(I57:L57)</f>
        <v>84345</v>
      </c>
      <c r="N57" s="513">
        <f>IF(ISNA(MATCH(N$2,Inputs!$K$4:$AJ$4,0)),NA(),IF(SUMPRODUCT((Inputs!$A$5:$A$110=$B57)*ISNUMBER(INDEX(Inputs!$K$5:$AJ$110,0,MATCH(N$2,Inputs!$K$4:$AJ$4,0))))+SUMPRODUCT((Inputs!$C$5:$C$110=$B57)*ISNUMBER(INDEX(Inputs!$K$5:$AJ$110,0,MATCH(N$2,Inputs!$K$4:$AJ$4,0))))+SUMPRODUCT((Inputs!$E$5:$E$110=$B57)*ISNUMBER(INDEX(Inputs!$K$5:$AJ$110,0,MATCH(N$2,Inputs!$K$4:$AJ$4,0))))=0,NA(),SUMPRODUCT((Inputs!$A$5:$A$110=$B57)*Inputs!$B$5:$B$110*(((Inputs!$G$5:$G$110="moeda")+(Inputs!$G$5:$G$110="acoes"))*Inputs!$B$1+((Inputs!$G$5:$G$110&lt;&gt;"moeda")*(Inputs!$G$5:$G$110&lt;&gt;"acoes")))*INDEX(Inputs!$K$5:$AJ$110,0,MATCH(N$2,Inputs!$K$4:$AJ$4,0)))+SUMPRODUCT((Inputs!$C$5:$C$110=$B57)*Inputs!$D$5:$D$110*(((Inputs!$G$5:$G$110="moeda")+(Inputs!$G$5:$G$110="acoes"))*Inputs!$B$1+((Inputs!$G$5:$G$110&lt;&gt;"moeda")*(Inputs!$G$5:$G$110&lt;&gt;"acoes")))*INDEX(Inputs!$K$5:$AJ$110,0,MATCH(N$2,Inputs!$K$4:$AJ$4,0)))+SUMPRODUCT((Inputs!$E$5:$E$110=$B57)*Inputs!$F$5:$F$110*(((Inputs!$G$5:$G$110="moeda")+(Inputs!$G$5:$G$110="acoes"))*Inputs!$B$1+((Inputs!$G$5:$G$110&lt;&gt;"moeda")*(Inputs!$G$5:$G$110&lt;&gt;"acoes")))*INDEX(Inputs!$K$5:$AJ$110,0,MATCH(N$2,Inputs!$K$4:$AJ$4,0)))))</f>
        <v>20499</v>
      </c>
      <c r="O57" s="513">
        <f>IF(ISNA(MATCH(O$2,Inputs!$K$4:$AJ$4,0)),NA(),IF(SUMPRODUCT((Inputs!$A$5:$A$110=$B57)*ISNUMBER(INDEX(Inputs!$K$5:$AJ$110,0,MATCH(O$2,Inputs!$K$4:$AJ$4,0))))+SUMPRODUCT((Inputs!$C$5:$C$110=$B57)*ISNUMBER(INDEX(Inputs!$K$5:$AJ$110,0,MATCH(O$2,Inputs!$K$4:$AJ$4,0))))+SUMPRODUCT((Inputs!$E$5:$E$110=$B57)*ISNUMBER(INDEX(Inputs!$K$5:$AJ$110,0,MATCH(O$2,Inputs!$K$4:$AJ$4,0))))=0,NA(),SUMPRODUCT((Inputs!$A$5:$A$110=$B57)*Inputs!$B$5:$B$110*(((Inputs!$G$5:$G$110="moeda")+(Inputs!$G$5:$G$110="acoes"))*Inputs!$B$1+((Inputs!$G$5:$G$110&lt;&gt;"moeda")*(Inputs!$G$5:$G$110&lt;&gt;"acoes")))*INDEX(Inputs!$K$5:$AJ$110,0,MATCH(O$2,Inputs!$K$4:$AJ$4,0)))+SUMPRODUCT((Inputs!$C$5:$C$110=$B57)*Inputs!$D$5:$D$110*(((Inputs!$G$5:$G$110="moeda")+(Inputs!$G$5:$G$110="acoes"))*Inputs!$B$1+((Inputs!$G$5:$G$110&lt;&gt;"moeda")*(Inputs!$G$5:$G$110&lt;&gt;"acoes")))*INDEX(Inputs!$K$5:$AJ$110,0,MATCH(O$2,Inputs!$K$4:$AJ$4,0)))+SUMPRODUCT((Inputs!$E$5:$E$110=$B57)*Inputs!$F$5:$F$110*(((Inputs!$G$5:$G$110="moeda")+(Inputs!$G$5:$G$110="acoes"))*Inputs!$B$1+((Inputs!$G$5:$G$110&lt;&gt;"moeda")*(Inputs!$G$5:$G$110&lt;&gt;"acoes")))*INDEX(Inputs!$K$5:$AJ$110,0,MATCH(O$2,Inputs!$K$4:$AJ$4,0)))))</f>
        <v>21830</v>
      </c>
      <c r="P57" s="513">
        <f>IF(ISNA(MATCH(P$2,Inputs!$K$4:$AJ$4,0)),NA(),IF(SUMPRODUCT((Inputs!$A$5:$A$110=$B57)*ISNUMBER(INDEX(Inputs!$K$5:$AJ$110,0,MATCH(P$2,Inputs!$K$4:$AJ$4,0))))+SUMPRODUCT((Inputs!$C$5:$C$110=$B57)*ISNUMBER(INDEX(Inputs!$K$5:$AJ$110,0,MATCH(P$2,Inputs!$K$4:$AJ$4,0))))+SUMPRODUCT((Inputs!$E$5:$E$110=$B57)*ISNUMBER(INDEX(Inputs!$K$5:$AJ$110,0,MATCH(P$2,Inputs!$K$4:$AJ$4,0))))=0,NA(),SUMPRODUCT((Inputs!$A$5:$A$110=$B57)*Inputs!$B$5:$B$110*(((Inputs!$G$5:$G$110="moeda")+(Inputs!$G$5:$G$110="acoes"))*Inputs!$B$1+((Inputs!$G$5:$G$110&lt;&gt;"moeda")*(Inputs!$G$5:$G$110&lt;&gt;"acoes")))*INDEX(Inputs!$K$5:$AJ$110,0,MATCH(P$2,Inputs!$K$4:$AJ$4,0)))+SUMPRODUCT((Inputs!$C$5:$C$110=$B57)*Inputs!$D$5:$D$110*(((Inputs!$G$5:$G$110="moeda")+(Inputs!$G$5:$G$110="acoes"))*Inputs!$B$1+((Inputs!$G$5:$G$110&lt;&gt;"moeda")*(Inputs!$G$5:$G$110&lt;&gt;"acoes")))*INDEX(Inputs!$K$5:$AJ$110,0,MATCH(P$2,Inputs!$K$4:$AJ$4,0)))+SUMPRODUCT((Inputs!$E$5:$E$110=$B57)*Inputs!$F$5:$F$110*(((Inputs!$G$5:$G$110="moeda")+(Inputs!$G$5:$G$110="acoes"))*Inputs!$B$1+((Inputs!$G$5:$G$110&lt;&gt;"moeda")*(Inputs!$G$5:$G$110&lt;&gt;"acoes")))*INDEX(Inputs!$K$5:$AJ$110,0,MATCH(P$2,Inputs!$K$4:$AJ$4,0)))))</f>
        <v>21998</v>
      </c>
      <c r="Q57" s="513">
        <f>IF(ISNA(MATCH(Q$2,Inputs!$K$4:$AJ$4,0)),NA(),IF(SUMPRODUCT((Inputs!$A$5:$A$110=$B57)*ISNUMBER(INDEX(Inputs!$K$5:$AJ$110,0,MATCH(Q$2,Inputs!$K$4:$AJ$4,0))))+SUMPRODUCT((Inputs!$C$5:$C$110=$B57)*ISNUMBER(INDEX(Inputs!$K$5:$AJ$110,0,MATCH(Q$2,Inputs!$K$4:$AJ$4,0))))+SUMPRODUCT((Inputs!$E$5:$E$110=$B57)*ISNUMBER(INDEX(Inputs!$K$5:$AJ$110,0,MATCH(Q$2,Inputs!$K$4:$AJ$4,0))))=0,NA(),SUMPRODUCT((Inputs!$A$5:$A$110=$B57)*Inputs!$B$5:$B$110*(((Inputs!$G$5:$G$110="moeda")+(Inputs!$G$5:$G$110="acoes"))*Inputs!$B$1+((Inputs!$G$5:$G$110&lt;&gt;"moeda")*(Inputs!$G$5:$G$110&lt;&gt;"acoes")))*INDEX(Inputs!$K$5:$AJ$110,0,MATCH(Q$2,Inputs!$K$4:$AJ$4,0)))+SUMPRODUCT((Inputs!$C$5:$C$110=$B57)*Inputs!$D$5:$D$110*(((Inputs!$G$5:$G$110="moeda")+(Inputs!$G$5:$G$110="acoes"))*Inputs!$B$1+((Inputs!$G$5:$G$110&lt;&gt;"moeda")*(Inputs!$G$5:$G$110&lt;&gt;"acoes")))*INDEX(Inputs!$K$5:$AJ$110,0,MATCH(Q$2,Inputs!$K$4:$AJ$4,0)))+SUMPRODUCT((Inputs!$E$5:$E$110=$B57)*Inputs!$F$5:$F$110*(((Inputs!$G$5:$G$110="moeda")+(Inputs!$G$5:$G$110="acoes"))*Inputs!$B$1+((Inputs!$G$5:$G$110&lt;&gt;"moeda")*(Inputs!$G$5:$G$110&lt;&gt;"acoes")))*INDEX(Inputs!$K$5:$AJ$110,0,MATCH(Q$2,Inputs!$K$4:$AJ$4,0)))))</f>
        <v>21852</v>
      </c>
      <c r="R57" s="514">
        <f>SUM(N57:Q57)</f>
        <v>86179</v>
      </c>
      <c r="S57" s="513">
        <f>IF(ISNA(MATCH(S$2,Inputs!$K$4:$AJ$4,0)),NA(),IF(SUMPRODUCT((Inputs!$A$5:$A$110=$B57)*ISNUMBER(INDEX(Inputs!$K$5:$AJ$110,0,MATCH(S$2,Inputs!$K$4:$AJ$4,0))))+SUMPRODUCT((Inputs!$C$5:$C$110=$B57)*ISNUMBER(INDEX(Inputs!$K$5:$AJ$110,0,MATCH(S$2,Inputs!$K$4:$AJ$4,0))))+SUMPRODUCT((Inputs!$E$5:$E$110=$B57)*ISNUMBER(INDEX(Inputs!$K$5:$AJ$110,0,MATCH(S$2,Inputs!$K$4:$AJ$4,0))))=0,NA(),SUMPRODUCT((Inputs!$A$5:$A$110=$B57)*Inputs!$B$5:$B$110*(((Inputs!$G$5:$G$110="moeda")+(Inputs!$G$5:$G$110="acoes"))*Inputs!$B$1+((Inputs!$G$5:$G$110&lt;&gt;"moeda")*(Inputs!$G$5:$G$110&lt;&gt;"acoes")))*INDEX(Inputs!$K$5:$AJ$110,0,MATCH(S$2,Inputs!$K$4:$AJ$4,0)))+SUMPRODUCT((Inputs!$C$5:$C$110=$B57)*Inputs!$D$5:$D$110*(((Inputs!$G$5:$G$110="moeda")+(Inputs!$G$5:$G$110="acoes"))*Inputs!$B$1+((Inputs!$G$5:$G$110&lt;&gt;"moeda")*(Inputs!$G$5:$G$110&lt;&gt;"acoes")))*INDEX(Inputs!$K$5:$AJ$110,0,MATCH(S$2,Inputs!$K$4:$AJ$4,0)))+SUMPRODUCT((Inputs!$E$5:$E$110=$B57)*Inputs!$F$5:$F$110*(((Inputs!$G$5:$G$110="moeda")+(Inputs!$G$5:$G$110="acoes"))*Inputs!$B$1+((Inputs!$G$5:$G$110&lt;&gt;"moeda")*(Inputs!$G$5:$G$110&lt;&gt;"acoes")))*INDEX(Inputs!$K$5:$AJ$110,0,MATCH(S$2,Inputs!$K$4:$AJ$4,0)))))</f>
        <v>21435</v>
      </c>
      <c r="T57" s="513">
        <f>IF(ISNA(MATCH(T$2,Inputs!$K$4:$AJ$4,0)),NA(),IF(SUMPRODUCT((Inputs!$A$5:$A$110=$B57)*ISNUMBER(INDEX(Inputs!$K$5:$AJ$110,0,MATCH(T$2,Inputs!$K$4:$AJ$4,0))))+SUMPRODUCT((Inputs!$C$5:$C$110=$B57)*ISNUMBER(INDEX(Inputs!$K$5:$AJ$110,0,MATCH(T$2,Inputs!$K$4:$AJ$4,0))))+SUMPRODUCT((Inputs!$E$5:$E$110=$B57)*ISNUMBER(INDEX(Inputs!$K$5:$AJ$110,0,MATCH(T$2,Inputs!$K$4:$AJ$4,0))))=0,NA(),SUMPRODUCT((Inputs!$A$5:$A$110=$B57)*Inputs!$B$5:$B$110*(((Inputs!$G$5:$G$110="moeda")+(Inputs!$G$5:$G$110="acoes"))*Inputs!$B$1+((Inputs!$G$5:$G$110&lt;&gt;"moeda")*(Inputs!$G$5:$G$110&lt;&gt;"acoes")))*INDEX(Inputs!$K$5:$AJ$110,0,MATCH(T$2,Inputs!$K$4:$AJ$4,0)))+SUMPRODUCT((Inputs!$C$5:$C$110=$B57)*Inputs!$D$5:$D$110*(((Inputs!$G$5:$G$110="moeda")+(Inputs!$G$5:$G$110="acoes"))*Inputs!$B$1+((Inputs!$G$5:$G$110&lt;&gt;"moeda")*(Inputs!$G$5:$G$110&lt;&gt;"acoes")))*INDEX(Inputs!$K$5:$AJ$110,0,MATCH(T$2,Inputs!$K$4:$AJ$4,0)))+SUMPRODUCT((Inputs!$E$5:$E$110=$B57)*Inputs!$F$5:$F$110*(((Inputs!$G$5:$G$110="moeda")+(Inputs!$G$5:$G$110="acoes"))*Inputs!$B$1+((Inputs!$G$5:$G$110&lt;&gt;"moeda")*(Inputs!$G$5:$G$110&lt;&gt;"acoes")))*INDEX(Inputs!$K$5:$AJ$110,0,MATCH(T$2,Inputs!$K$4:$AJ$4,0)))))</f>
        <v>22853</v>
      </c>
      <c r="U57" s="513">
        <f>IF(ISNA(MATCH(U$2,Inputs!$K$4:$AJ$4,0)),NA(),IF(SUMPRODUCT((Inputs!$A$5:$A$110=$B57)*ISNUMBER(INDEX(Inputs!$K$5:$AJ$110,0,MATCH(U$2,Inputs!$K$4:$AJ$4,0))))+SUMPRODUCT((Inputs!$C$5:$C$110=$B57)*ISNUMBER(INDEX(Inputs!$K$5:$AJ$110,0,MATCH(U$2,Inputs!$K$4:$AJ$4,0))))+SUMPRODUCT((Inputs!$E$5:$E$110=$B57)*ISNUMBER(INDEX(Inputs!$K$5:$AJ$110,0,MATCH(U$2,Inputs!$K$4:$AJ$4,0))))=0,NA(),SUMPRODUCT((Inputs!$A$5:$A$110=$B57)*Inputs!$B$5:$B$110*(((Inputs!$G$5:$G$110="moeda")+(Inputs!$G$5:$G$110="acoes"))*Inputs!$B$1+((Inputs!$G$5:$G$110&lt;&gt;"moeda")*(Inputs!$G$5:$G$110&lt;&gt;"acoes")))*INDEX(Inputs!$K$5:$AJ$110,0,MATCH(U$2,Inputs!$K$4:$AJ$4,0)))+SUMPRODUCT((Inputs!$C$5:$C$110=$B57)*Inputs!$D$5:$D$110*(((Inputs!$G$5:$G$110="moeda")+(Inputs!$G$5:$G$110="acoes"))*Inputs!$B$1+((Inputs!$G$5:$G$110&lt;&gt;"moeda")*(Inputs!$G$5:$G$110&lt;&gt;"acoes")))*INDEX(Inputs!$K$5:$AJ$110,0,MATCH(U$2,Inputs!$K$4:$AJ$4,0)))+SUMPRODUCT((Inputs!$E$5:$E$110=$B57)*Inputs!$F$5:$F$110*(((Inputs!$G$5:$G$110="moeda")+(Inputs!$G$5:$G$110="acoes"))*Inputs!$B$1+((Inputs!$G$5:$G$110&lt;&gt;"moeda")*(Inputs!$G$5:$G$110&lt;&gt;"acoes")))*INDEX(Inputs!$K$5:$AJ$110,0,MATCH(U$2,Inputs!$K$4:$AJ$4,0)))))</f>
        <v>22851</v>
      </c>
      <c r="V57" s="513">
        <f>IF(ISNA(MATCH(V$2,Inputs!$K$4:$AJ$4,0)),NA(),IF(SUMPRODUCT((Inputs!$A$5:$A$110=$B57)*ISNUMBER(INDEX(Inputs!$K$5:$AJ$110,0,MATCH(V$2,Inputs!$K$4:$AJ$4,0))))+SUMPRODUCT((Inputs!$C$5:$C$110=$B57)*ISNUMBER(INDEX(Inputs!$K$5:$AJ$110,0,MATCH(V$2,Inputs!$K$4:$AJ$4,0))))+SUMPRODUCT((Inputs!$E$5:$E$110=$B57)*ISNUMBER(INDEX(Inputs!$K$5:$AJ$110,0,MATCH(V$2,Inputs!$K$4:$AJ$4,0))))=0,NA(),SUMPRODUCT((Inputs!$A$5:$A$110=$B57)*Inputs!$B$5:$B$110*(((Inputs!$G$5:$G$110="moeda")+(Inputs!$G$5:$G$110="acoes"))*Inputs!$B$1+((Inputs!$G$5:$G$110&lt;&gt;"moeda")*(Inputs!$G$5:$G$110&lt;&gt;"acoes")))*INDEX(Inputs!$K$5:$AJ$110,0,MATCH(V$2,Inputs!$K$4:$AJ$4,0)))+SUMPRODUCT((Inputs!$C$5:$C$110=$B57)*Inputs!$D$5:$D$110*(((Inputs!$G$5:$G$110="moeda")+(Inputs!$G$5:$G$110="acoes"))*Inputs!$B$1+((Inputs!$G$5:$G$110&lt;&gt;"moeda")*(Inputs!$G$5:$G$110&lt;&gt;"acoes")))*INDEX(Inputs!$K$5:$AJ$110,0,MATCH(V$2,Inputs!$K$4:$AJ$4,0)))+SUMPRODUCT((Inputs!$E$5:$E$110=$B57)*Inputs!$F$5:$F$110*(((Inputs!$G$5:$G$110="moeda")+(Inputs!$G$5:$G$110="acoes"))*Inputs!$B$1+((Inputs!$G$5:$G$110&lt;&gt;"moeda")*(Inputs!$G$5:$G$110&lt;&gt;"acoes")))*INDEX(Inputs!$K$5:$AJ$110,0,MATCH(V$2,Inputs!$K$4:$AJ$4,0)))))</f>
        <v>23099</v>
      </c>
      <c r="W57" s="514">
        <f>SUM(S57:V57)</f>
        <v>90238</v>
      </c>
      <c r="X57" s="513">
        <f>IF(ISNA(MATCH(X$2,Inputs!$K$4:$AJ$4,0)),NA(),IF(SUMPRODUCT((Inputs!$A$5:$A$110=$B57)*ISNUMBER(INDEX(Inputs!$K$5:$AJ$110,0,MATCH(X$2,Inputs!$K$4:$AJ$4,0))))+SUMPRODUCT((Inputs!$C$5:$C$110=$B57)*ISNUMBER(INDEX(Inputs!$K$5:$AJ$110,0,MATCH(X$2,Inputs!$K$4:$AJ$4,0))))+SUMPRODUCT((Inputs!$E$5:$E$110=$B57)*ISNUMBER(INDEX(Inputs!$K$5:$AJ$110,0,MATCH(X$2,Inputs!$K$4:$AJ$4,0))))=0,NA(),SUMPRODUCT((Inputs!$A$5:$A$110=$B57)*Inputs!$B$5:$B$110*(((Inputs!$G$5:$G$110="moeda")+(Inputs!$G$5:$G$110="acoes"))*Inputs!$B$1+((Inputs!$G$5:$G$110&lt;&gt;"moeda")*(Inputs!$G$5:$G$110&lt;&gt;"acoes")))*INDEX(Inputs!$K$5:$AJ$110,0,MATCH(X$2,Inputs!$K$4:$AJ$4,0)))+SUMPRODUCT((Inputs!$C$5:$C$110=$B57)*Inputs!$D$5:$D$110*(((Inputs!$G$5:$G$110="moeda")+(Inputs!$G$5:$G$110="acoes"))*Inputs!$B$1+((Inputs!$G$5:$G$110&lt;&gt;"moeda")*(Inputs!$G$5:$G$110&lt;&gt;"acoes")))*INDEX(Inputs!$K$5:$AJ$110,0,MATCH(X$2,Inputs!$K$4:$AJ$4,0)))+SUMPRODUCT((Inputs!$E$5:$E$110=$B57)*Inputs!$F$5:$F$110*(((Inputs!$G$5:$G$110="moeda")+(Inputs!$G$5:$G$110="acoes"))*Inputs!$B$1+((Inputs!$G$5:$G$110&lt;&gt;"moeda")*(Inputs!$G$5:$G$110&lt;&gt;"acoes")))*INDEX(Inputs!$K$5:$AJ$110,0,MATCH(X$2,Inputs!$K$4:$AJ$4,0)))))</f>
        <v>22064</v>
      </c>
      <c r="Y57" s="513">
        <f>IF(ISNA(MATCH(Y$2,Inputs!$K$4:$AJ$4,0)),NA(),IF(SUMPRODUCT((Inputs!$A$5:$A$110=$B57)*ISNUMBER(INDEX(Inputs!$K$5:$AJ$110,0,MATCH(Y$2,Inputs!$K$4:$AJ$4,0))))+SUMPRODUCT((Inputs!$C$5:$C$110=$B57)*ISNUMBER(INDEX(Inputs!$K$5:$AJ$110,0,MATCH(Y$2,Inputs!$K$4:$AJ$4,0))))+SUMPRODUCT((Inputs!$E$5:$E$110=$B57)*ISNUMBER(INDEX(Inputs!$K$5:$AJ$110,0,MATCH(Y$2,Inputs!$K$4:$AJ$4,0))))=0,NA(),SUMPRODUCT((Inputs!$A$5:$A$110=$B57)*Inputs!$B$5:$B$110*(((Inputs!$G$5:$G$110="moeda")+(Inputs!$G$5:$G$110="acoes"))*Inputs!$B$1+((Inputs!$G$5:$G$110&lt;&gt;"moeda")*(Inputs!$G$5:$G$110&lt;&gt;"acoes")))*INDEX(Inputs!$K$5:$AJ$110,0,MATCH(Y$2,Inputs!$K$4:$AJ$4,0)))+SUMPRODUCT((Inputs!$C$5:$C$110=$B57)*Inputs!$D$5:$D$110*(((Inputs!$G$5:$G$110="moeda")+(Inputs!$G$5:$G$110="acoes"))*Inputs!$B$1+((Inputs!$G$5:$G$110&lt;&gt;"moeda")*(Inputs!$G$5:$G$110&lt;&gt;"acoes")))*INDEX(Inputs!$K$5:$AJ$110,0,MATCH(Y$2,Inputs!$K$4:$AJ$4,0)))+SUMPRODUCT((Inputs!$E$5:$E$110=$B57)*Inputs!$F$5:$F$110*(((Inputs!$G$5:$G$110="moeda")+(Inputs!$G$5:$G$110="acoes"))*Inputs!$B$1+((Inputs!$G$5:$G$110&lt;&gt;"moeda")*(Inputs!$G$5:$G$110&lt;&gt;"acoes")))*INDEX(Inputs!$K$5:$AJ$110,0,MATCH(Y$2,Inputs!$K$4:$AJ$4,0)))))</f>
        <v>23638</v>
      </c>
      <c r="Z57" s="513">
        <f>IF(ISNA(MATCH(Z$2,Inputs!$K$4:$AJ$4,0)),NA(),IF(SUMPRODUCT((Inputs!$A$5:$A$110=$B57)*ISNUMBER(INDEX(Inputs!$K$5:$AJ$110,0,MATCH(Z$2,Inputs!$K$4:$AJ$4,0))))+SUMPRODUCT((Inputs!$C$5:$C$110=$B57)*ISNUMBER(INDEX(Inputs!$K$5:$AJ$110,0,MATCH(Z$2,Inputs!$K$4:$AJ$4,0))))+SUMPRODUCT((Inputs!$E$5:$E$110=$B57)*ISNUMBER(INDEX(Inputs!$K$5:$AJ$110,0,MATCH(Z$2,Inputs!$K$4:$AJ$4,0))))=0,NA(),SUMPRODUCT((Inputs!$A$5:$A$110=$B57)*Inputs!$B$5:$B$110*(((Inputs!$G$5:$G$110="moeda")+(Inputs!$G$5:$G$110="acoes"))*Inputs!$B$1+((Inputs!$G$5:$G$110&lt;&gt;"moeda")*(Inputs!$G$5:$G$110&lt;&gt;"acoes")))*INDEX(Inputs!$K$5:$AJ$110,0,MATCH(Z$2,Inputs!$K$4:$AJ$4,0)))+SUMPRODUCT((Inputs!$C$5:$C$110=$B57)*Inputs!$D$5:$D$110*(((Inputs!$G$5:$G$110="moeda")+(Inputs!$G$5:$G$110="acoes"))*Inputs!$B$1+((Inputs!$G$5:$G$110&lt;&gt;"moeda")*(Inputs!$G$5:$G$110&lt;&gt;"acoes")))*INDEX(Inputs!$K$5:$AJ$110,0,MATCH(Z$2,Inputs!$K$4:$AJ$4,0)))+SUMPRODUCT((Inputs!$E$5:$E$110=$B57)*Inputs!$F$5:$F$110*(((Inputs!$G$5:$G$110="moeda")+(Inputs!$G$5:$G$110="acoes"))*Inputs!$B$1+((Inputs!$G$5:$G$110&lt;&gt;"moeda")*(Inputs!$G$5:$G$110&lt;&gt;"acoes")))*INDEX(Inputs!$K$5:$AJ$110,0,MATCH(Z$2,Inputs!$K$4:$AJ$4,0)))))</f>
        <v>23550</v>
      </c>
      <c r="AA57" s="513">
        <f>IF(ISNA(MATCH(AA$2,Inputs!$K$4:$AJ$4,0)),NA(),IF(SUMPRODUCT((Inputs!$A$5:$A$110=$B57)*ISNUMBER(INDEX(Inputs!$K$5:$AJ$110,0,MATCH(AA$2,Inputs!$K$4:$AJ$4,0))))+SUMPRODUCT((Inputs!$C$5:$C$110=$B57)*ISNUMBER(INDEX(Inputs!$K$5:$AJ$110,0,MATCH(AA$2,Inputs!$K$4:$AJ$4,0))))+SUMPRODUCT((Inputs!$E$5:$E$110=$B57)*ISNUMBER(INDEX(Inputs!$K$5:$AJ$110,0,MATCH(AA$2,Inputs!$K$4:$AJ$4,0))))=0,NA(),SUMPRODUCT((Inputs!$A$5:$A$110=$B57)*Inputs!$B$5:$B$110*(((Inputs!$G$5:$G$110="moeda")+(Inputs!$G$5:$G$110="acoes"))*Inputs!$B$1+((Inputs!$G$5:$G$110&lt;&gt;"moeda")*(Inputs!$G$5:$G$110&lt;&gt;"acoes")))*INDEX(Inputs!$K$5:$AJ$110,0,MATCH(AA$2,Inputs!$K$4:$AJ$4,0)))+SUMPRODUCT((Inputs!$C$5:$C$110=$B57)*Inputs!$D$5:$D$110*(((Inputs!$G$5:$G$110="moeda")+(Inputs!$G$5:$G$110="acoes"))*Inputs!$B$1+((Inputs!$G$5:$G$110&lt;&gt;"moeda")*(Inputs!$G$5:$G$110&lt;&gt;"acoes")))*INDEX(Inputs!$K$5:$AJ$110,0,MATCH(AA$2,Inputs!$K$4:$AJ$4,0)))+SUMPRODUCT((Inputs!$E$5:$E$110=$B57)*Inputs!$F$5:$F$110*(((Inputs!$G$5:$G$110="moeda")+(Inputs!$G$5:$G$110="acoes"))*Inputs!$B$1+((Inputs!$G$5:$G$110&lt;&gt;"moeda")*(Inputs!$G$5:$G$110&lt;&gt;"acoes")))*INDEX(Inputs!$K$5:$AJ$110,0,MATCH(AA$2,Inputs!$K$4:$AJ$4,0)))))</f>
        <v>23763</v>
      </c>
      <c r="AB57" s="514">
        <f>SUM(X57:AA57)</f>
        <v>93015</v>
      </c>
      <c r="AC57" s="513">
        <f>IF(ISNA(MATCH(AC$2,Inputs!$K$4:$AJ$4,0)),NA(),IF(SUMPRODUCT((Inputs!$A$5:$A$110=$B57)*ISNUMBER(INDEX(Inputs!$K$5:$AJ$110,0,MATCH(AC$2,Inputs!$K$4:$AJ$4,0))))+SUMPRODUCT((Inputs!$C$5:$C$110=$B57)*ISNUMBER(INDEX(Inputs!$K$5:$AJ$110,0,MATCH(AC$2,Inputs!$K$4:$AJ$4,0))))+SUMPRODUCT((Inputs!$E$5:$E$110=$B57)*ISNUMBER(INDEX(Inputs!$K$5:$AJ$110,0,MATCH(AC$2,Inputs!$K$4:$AJ$4,0))))=0,NA(),SUMPRODUCT((Inputs!$A$5:$A$110=$B57)*Inputs!$B$5:$B$110*(((Inputs!$G$5:$G$110="moeda")+(Inputs!$G$5:$G$110="acoes"))*Inputs!$B$1+((Inputs!$G$5:$G$110&lt;&gt;"moeda")*(Inputs!$G$5:$G$110&lt;&gt;"acoes")))*INDEX(Inputs!$K$5:$AJ$110,0,MATCH(AC$2,Inputs!$K$4:$AJ$4,0)))+SUMPRODUCT((Inputs!$C$5:$C$110=$B57)*Inputs!$D$5:$D$110*(((Inputs!$G$5:$G$110="moeda")+(Inputs!$G$5:$G$110="acoes"))*Inputs!$B$1+((Inputs!$G$5:$G$110&lt;&gt;"moeda")*(Inputs!$G$5:$G$110&lt;&gt;"acoes")))*INDEX(Inputs!$K$5:$AJ$110,0,MATCH(AC$2,Inputs!$K$4:$AJ$4,0)))+SUMPRODUCT((Inputs!$E$5:$E$110=$B57)*Inputs!$F$5:$F$110*(((Inputs!$G$5:$G$110="moeda")+(Inputs!$G$5:$G$110="acoes"))*Inputs!$B$1+((Inputs!$G$5:$G$110&lt;&gt;"moeda")*(Inputs!$G$5:$G$110&lt;&gt;"acoes")))*INDEX(Inputs!$K$5:$AJ$110,0,MATCH(AC$2,Inputs!$K$4:$AJ$4,0)))))</f>
        <v>23405</v>
      </c>
      <c r="AD57" s="513">
        <f>IF(ISNA(MATCH(AD$2,Inputs!$K$4:$AJ$4,0)),NA(),IF(SUMPRODUCT((Inputs!$A$5:$A$110=$B57)*ISNUMBER(INDEX(Inputs!$K$5:$AJ$110,0,MATCH(AD$2,Inputs!$K$4:$AJ$4,0))))+SUMPRODUCT((Inputs!$C$5:$C$110=$B57)*ISNUMBER(INDEX(Inputs!$K$5:$AJ$110,0,MATCH(AD$2,Inputs!$K$4:$AJ$4,0))))+SUMPRODUCT((Inputs!$E$5:$E$110=$B57)*ISNUMBER(INDEX(Inputs!$K$5:$AJ$110,0,MATCH(AD$2,Inputs!$K$4:$AJ$4,0))))=0,NA(),SUMPRODUCT((Inputs!$A$5:$A$110=$B57)*Inputs!$B$5:$B$110*(((Inputs!$G$5:$G$110="moeda")+(Inputs!$G$5:$G$110="acoes"))*Inputs!$B$1+((Inputs!$G$5:$G$110&lt;&gt;"moeda")*(Inputs!$G$5:$G$110&lt;&gt;"acoes")))*INDEX(Inputs!$K$5:$AJ$110,0,MATCH(AD$2,Inputs!$K$4:$AJ$4,0)))+SUMPRODUCT((Inputs!$C$5:$C$110=$B57)*Inputs!$D$5:$D$110*(((Inputs!$G$5:$G$110="moeda")+(Inputs!$G$5:$G$110="acoes"))*Inputs!$B$1+((Inputs!$G$5:$G$110&lt;&gt;"moeda")*(Inputs!$G$5:$G$110&lt;&gt;"acoes")))*INDEX(Inputs!$K$5:$AJ$110,0,MATCH(AD$2,Inputs!$K$4:$AJ$4,0)))+SUMPRODUCT((Inputs!$E$5:$E$110=$B57)*Inputs!$F$5:$F$110*(((Inputs!$G$5:$G$110="moeda")+(Inputs!$G$5:$G$110="acoes"))*Inputs!$B$1+((Inputs!$G$5:$G$110&lt;&gt;"moeda")*(Inputs!$G$5:$G$110&lt;&gt;"acoes")))*INDEX(Inputs!$K$5:$AJ$110,0,MATCH(AD$2,Inputs!$K$4:$AJ$4,0)))))</f>
        <v>25713</v>
      </c>
      <c r="AE57" s="513" t="e">
        <f>IF(ISNA(MATCH(AE$2,Inputs!$K$4:$AJ$4,0)),NA(),IF(SUMPRODUCT((Inputs!$A$5:$A$110=$B57)*ISNUMBER(INDEX(Inputs!$K$5:$AJ$110,0,MATCH(AE$2,Inputs!$K$4:$AJ$4,0))))+SUMPRODUCT((Inputs!$C$5:$C$110=$B57)*ISNUMBER(INDEX(Inputs!$K$5:$AJ$110,0,MATCH(AE$2,Inputs!$K$4:$AJ$4,0))))+SUMPRODUCT((Inputs!$E$5:$E$110=$B57)*ISNUMBER(INDEX(Inputs!$K$5:$AJ$110,0,MATCH(AE$2,Inputs!$K$4:$AJ$4,0))))=0,NA(),SUMPRODUCT((Inputs!$A$5:$A$110=$B57)*Inputs!$B$5:$B$110*(((Inputs!$G$5:$G$110="moeda")+(Inputs!$G$5:$G$110="acoes"))*Inputs!$B$1+((Inputs!$G$5:$G$110&lt;&gt;"moeda")*(Inputs!$G$5:$G$110&lt;&gt;"acoes")))*INDEX(Inputs!$K$5:$AJ$110,0,MATCH(AE$2,Inputs!$K$4:$AJ$4,0)))+SUMPRODUCT((Inputs!$C$5:$C$110=$B57)*Inputs!$D$5:$D$110*(((Inputs!$G$5:$G$110="moeda")+(Inputs!$G$5:$G$110="acoes"))*Inputs!$B$1+((Inputs!$G$5:$G$110&lt;&gt;"moeda")*(Inputs!$G$5:$G$110&lt;&gt;"acoes")))*INDEX(Inputs!$K$5:$AJ$110,0,MATCH(AE$2,Inputs!$K$4:$AJ$4,0)))+SUMPRODUCT((Inputs!$E$5:$E$110=$B57)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7" s="513" t="e">
        <f>IF(ISNA(MATCH(AF$2,Inputs!$K$4:$AJ$4,0)),NA(),IF(SUMPRODUCT((Inputs!$A$5:$A$110=$B57)*ISNUMBER(INDEX(Inputs!$K$5:$AJ$110,0,MATCH(AF$2,Inputs!$K$4:$AJ$4,0))))+SUMPRODUCT((Inputs!$C$5:$C$110=$B57)*ISNUMBER(INDEX(Inputs!$K$5:$AJ$110,0,MATCH(AF$2,Inputs!$K$4:$AJ$4,0))))+SUMPRODUCT((Inputs!$E$5:$E$110=$B57)*ISNUMBER(INDEX(Inputs!$K$5:$AJ$110,0,MATCH(AF$2,Inputs!$K$4:$AJ$4,0))))=0,NA(),SUMPRODUCT((Inputs!$A$5:$A$110=$B57)*Inputs!$B$5:$B$110*(((Inputs!$G$5:$G$110="moeda")+(Inputs!$G$5:$G$110="acoes"))*Inputs!$B$1+((Inputs!$G$5:$G$110&lt;&gt;"moeda")*(Inputs!$G$5:$G$110&lt;&gt;"acoes")))*INDEX(Inputs!$K$5:$AJ$110,0,MATCH(AF$2,Inputs!$K$4:$AJ$4,0)))+SUMPRODUCT((Inputs!$C$5:$C$110=$B57)*Inputs!$D$5:$D$110*(((Inputs!$G$5:$G$110="moeda")+(Inputs!$G$5:$G$110="acoes"))*Inputs!$B$1+((Inputs!$G$5:$G$110&lt;&gt;"moeda")*(Inputs!$G$5:$G$110&lt;&gt;"acoes")))*INDEX(Inputs!$K$5:$AJ$110,0,MATCH(AF$2,Inputs!$K$4:$AJ$4,0)))+SUMPRODUCT((Inputs!$E$5:$E$110=$B57)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7" s="514" t="e">
        <f>SUM(AC57:AF57)</f>
        <v>#N/A</v>
      </c>
      <c r="AH57" s="513">
        <f>IF(ISNA(MATCH(AH$2,Inputs!$K$4:$AJ$4,0)),NA(),IF(SUMPRODUCT((Inputs!$A$5:$A$110=$B57)*ISNUMBER(INDEX(Inputs!$K$5:$AJ$110,0,MATCH(AH$2,Inputs!$K$4:$AJ$4,0))))+SUMPRODUCT((Inputs!$C$5:$C$110=$B57)*ISNUMBER(INDEX(Inputs!$K$5:$AJ$110,0,MATCH(AH$2,Inputs!$K$4:$AJ$4,0))))+SUMPRODUCT((Inputs!$E$5:$E$110=$B57)*ISNUMBER(INDEX(Inputs!$K$5:$AJ$110,0,MATCH(AH$2,Inputs!$K$4:$AJ$4,0))))=0,NA(),SUMPRODUCT((Inputs!$A$5:$A$110=$B57)*Inputs!$B$5:$B$110*(((Inputs!$G$5:$G$110="moeda")+(Inputs!$G$5:$G$110="acoes"))*Inputs!$B$1+((Inputs!$G$5:$G$110&lt;&gt;"moeda")*(Inputs!$G$5:$G$110&lt;&gt;"acoes")))*INDEX(Inputs!$K$5:$AJ$110,0,MATCH(AH$2,Inputs!$K$4:$AJ$4,0)))+SUMPRODUCT((Inputs!$C$5:$C$110=$B57)*Inputs!$D$5:$D$110*(((Inputs!$G$5:$G$110="moeda")+(Inputs!$G$5:$G$110="acoes"))*Inputs!$B$1+((Inputs!$G$5:$G$110&lt;&gt;"moeda")*(Inputs!$G$5:$G$110&lt;&gt;"acoes")))*INDEX(Inputs!$K$5:$AJ$110,0,MATCH(AH$2,Inputs!$K$4:$AJ$4,0)))+SUMPRODUCT((Inputs!$E$5:$E$110=$B57)*Inputs!$F$5:$F$110*(((Inputs!$G$5:$G$110="moeda")+(Inputs!$G$5:$G$110="acoes"))*Inputs!$B$1+((Inputs!$G$5:$G$110&lt;&gt;"moeda")*(Inputs!$G$5:$G$110&lt;&gt;"acoes")))*INDEX(Inputs!$K$5:$AJ$110,0,MATCH(AH$2,Inputs!$K$4:$AJ$4,0)))))</f>
        <v>15163</v>
      </c>
      <c r="AI57" s="513">
        <f>IF(ISNA(MATCH(AI$2,Inputs!$K$4:$AJ$4,0)),NA(),IF(SUMPRODUCT((Inputs!$A$5:$A$110=$B57)*ISNUMBER(INDEX(Inputs!$K$5:$AJ$110,0,MATCH(AI$2,Inputs!$K$4:$AJ$4,0))))+SUMPRODUCT((Inputs!$C$5:$C$110=$B57)*ISNUMBER(INDEX(Inputs!$K$5:$AJ$110,0,MATCH(AI$2,Inputs!$K$4:$AJ$4,0))))+SUMPRODUCT((Inputs!$E$5:$E$110=$B57)*ISNUMBER(INDEX(Inputs!$K$5:$AJ$110,0,MATCH(AI$2,Inputs!$K$4:$AJ$4,0))))=0,NA(),SUMPRODUCT((Inputs!$A$5:$A$110=$B57)*Inputs!$B$5:$B$110*(((Inputs!$G$5:$G$110="moeda")+(Inputs!$G$5:$G$110="acoes"))*Inputs!$B$1+((Inputs!$G$5:$G$110&lt;&gt;"moeda")*(Inputs!$G$5:$G$110&lt;&gt;"acoes")))*INDEX(Inputs!$K$5:$AJ$110,0,MATCH(AI$2,Inputs!$K$4:$AJ$4,0)))+SUMPRODUCT((Inputs!$C$5:$C$110=$B57)*Inputs!$D$5:$D$110*(((Inputs!$G$5:$G$110="moeda")+(Inputs!$G$5:$G$110="acoes"))*Inputs!$B$1+((Inputs!$G$5:$G$110&lt;&gt;"moeda")*(Inputs!$G$5:$G$110&lt;&gt;"acoes")))*INDEX(Inputs!$K$5:$AJ$110,0,MATCH(AI$2,Inputs!$K$4:$AJ$4,0)))+SUMPRODUCT((Inputs!$E$5:$E$110=$B57)*Inputs!$F$5:$F$110*(((Inputs!$G$5:$G$110="moeda")+(Inputs!$G$5:$G$110="acoes"))*Inputs!$B$1+((Inputs!$G$5:$G$110&lt;&gt;"moeda")*(Inputs!$G$5:$G$110&lt;&gt;"acoes")))*INDEX(Inputs!$K$5:$AJ$110,0,MATCH(AI$2,Inputs!$K$4:$AJ$4,0)))))</f>
        <v>16375</v>
      </c>
      <c r="AJ57" s="513">
        <f>IF(ISNA(MATCH(AJ$2,Inputs!$K$4:$AJ$4,0)),NA(),IF(SUMPRODUCT((Inputs!$A$5:$A$110=$B57)*ISNUMBER(INDEX(Inputs!$K$5:$AJ$110,0,MATCH(AJ$2,Inputs!$K$4:$AJ$4,0))))+SUMPRODUCT((Inputs!$C$5:$C$110=$B57)*ISNUMBER(INDEX(Inputs!$K$5:$AJ$110,0,MATCH(AJ$2,Inputs!$K$4:$AJ$4,0))))+SUMPRODUCT((Inputs!$E$5:$E$110=$B57)*ISNUMBER(INDEX(Inputs!$K$5:$AJ$110,0,MATCH(AJ$2,Inputs!$K$4:$AJ$4,0))))=0,NA(),SUMPRODUCT((Inputs!$A$5:$A$110=$B57)*Inputs!$B$5:$B$110*(((Inputs!$G$5:$G$110="moeda")+(Inputs!$G$5:$G$110="acoes"))*Inputs!$B$1+((Inputs!$G$5:$G$110&lt;&gt;"moeda")*(Inputs!$G$5:$G$110&lt;&gt;"acoes")))*INDEX(Inputs!$K$5:$AJ$110,0,MATCH(AJ$2,Inputs!$K$4:$AJ$4,0)))+SUMPRODUCT((Inputs!$C$5:$C$110=$B57)*Inputs!$D$5:$D$110*(((Inputs!$G$5:$G$110="moeda")+(Inputs!$G$5:$G$110="acoes"))*Inputs!$B$1+((Inputs!$G$5:$G$110&lt;&gt;"moeda")*(Inputs!$G$5:$G$110&lt;&gt;"acoes")))*INDEX(Inputs!$K$5:$AJ$110,0,MATCH(AJ$2,Inputs!$K$4:$AJ$4,0)))+SUMPRODUCT((Inputs!$E$5:$E$110=$B57)*Inputs!$F$5:$F$110*(((Inputs!$G$5:$G$110="moeda")+(Inputs!$G$5:$G$110="acoes"))*Inputs!$B$1+((Inputs!$G$5:$G$110&lt;&gt;"moeda")*(Inputs!$G$5:$G$110&lt;&gt;"acoes")))*INDEX(Inputs!$K$5:$AJ$110,0,MATCH(AJ$2,Inputs!$K$4:$AJ$4,0)))))</f>
        <v>15845</v>
      </c>
      <c r="AK57" s="513">
        <f>IF(ISNA(MATCH(AK$2,Inputs!$K$4:$AJ$4,0)),NA(),IF(SUMPRODUCT((Inputs!$A$5:$A$110=$B57)*ISNUMBER(INDEX(Inputs!$K$5:$AJ$110,0,MATCH(AK$2,Inputs!$K$4:$AJ$4,0))))+SUMPRODUCT((Inputs!$C$5:$C$110=$B57)*ISNUMBER(INDEX(Inputs!$K$5:$AJ$110,0,MATCH(AK$2,Inputs!$K$4:$AJ$4,0))))+SUMPRODUCT((Inputs!$E$5:$E$110=$B57)*ISNUMBER(INDEX(Inputs!$K$5:$AJ$110,0,MATCH(AK$2,Inputs!$K$4:$AJ$4,0))))=0,NA(),SUMPRODUCT((Inputs!$A$5:$A$110=$B57)*Inputs!$B$5:$B$110*(((Inputs!$G$5:$G$110="moeda")+(Inputs!$G$5:$G$110="acoes"))*Inputs!$B$1+((Inputs!$G$5:$G$110&lt;&gt;"moeda")*(Inputs!$G$5:$G$110&lt;&gt;"acoes")))*INDEX(Inputs!$K$5:$AJ$110,0,MATCH(AK$2,Inputs!$K$4:$AJ$4,0)))+SUMPRODUCT((Inputs!$C$5:$C$110=$B57)*Inputs!$D$5:$D$110*(((Inputs!$G$5:$G$110="moeda")+(Inputs!$G$5:$G$110="acoes"))*Inputs!$B$1+((Inputs!$G$5:$G$110&lt;&gt;"moeda")*(Inputs!$G$5:$G$110&lt;&gt;"acoes")))*INDEX(Inputs!$K$5:$AJ$110,0,MATCH(AK$2,Inputs!$K$4:$AJ$4,0)))+SUMPRODUCT((Inputs!$E$5:$E$110=$B57)*Inputs!$F$5:$F$110*(((Inputs!$G$5:$G$110="moeda")+(Inputs!$G$5:$G$110="acoes"))*Inputs!$B$1+((Inputs!$G$5:$G$110&lt;&gt;"moeda")*(Inputs!$G$5:$G$110&lt;&gt;"acoes")))*INDEX(Inputs!$K$5:$AJ$110,0,MATCH(AK$2,Inputs!$K$4:$AJ$4,0)))))</f>
        <v>16527</v>
      </c>
      <c r="AL57" s="514">
        <f>SUM(AH57:AK57)</f>
        <v>63910</v>
      </c>
    </row>
    <row r="58">
      <c r="B58" s="265" t="n">
        <v>50</v>
      </c>
      <c r="C58" s="266" t="inlineStr">
        <is>
          <t>Sam's Club U.S. - lucro do segmento (USD)</t>
        </is>
      </c>
      <c r="D58" s="513">
        <f>IF(ISNA(MATCH(D$2,Inputs!$K$4:$AJ$4,0)),NA(),IF(SUMPRODUCT((Inputs!$A$5:$A$110=$B58)*ISNUMBER(INDEX(Inputs!$K$5:$AJ$110,0,MATCH(D$2,Inputs!$K$4:$AJ$4,0))))+SUMPRODUCT((Inputs!$C$5:$C$110=$B58)*ISNUMBER(INDEX(Inputs!$K$5:$AJ$110,0,MATCH(D$2,Inputs!$K$4:$AJ$4,0))))+SUMPRODUCT((Inputs!$E$5:$E$110=$B58)*ISNUMBER(INDEX(Inputs!$K$5:$AJ$110,0,MATCH(D$2,Inputs!$K$4:$AJ$4,0))))=0,NA(),SUMPRODUCT((Inputs!$A$5:$A$110=$B58)*Inputs!$B$5:$B$110*(((Inputs!$G$5:$G$110="moeda")+(Inputs!$G$5:$G$110="acoes"))*Inputs!$B$1+((Inputs!$G$5:$G$110&lt;&gt;"moeda")*(Inputs!$G$5:$G$110&lt;&gt;"acoes")))*INDEX(Inputs!$K$5:$AJ$110,0,MATCH(D$2,Inputs!$K$4:$AJ$4,0)))+SUMPRODUCT((Inputs!$C$5:$C$110=$B58)*Inputs!$D$5:$D$110*(((Inputs!$G$5:$G$110="moeda")+(Inputs!$G$5:$G$110="acoes"))*Inputs!$B$1+((Inputs!$G$5:$G$110&lt;&gt;"moeda")*(Inputs!$G$5:$G$110&lt;&gt;"acoes")))*INDEX(Inputs!$K$5:$AJ$110,0,MATCH(D$2,Inputs!$K$4:$AJ$4,0)))+SUMPRODUCT((Inputs!$E$5:$E$110=$B58)*Inputs!$F$5:$F$110*(((Inputs!$G$5:$G$110="moeda")+(Inputs!$G$5:$G$110="acoes"))*Inputs!$B$1+((Inputs!$G$5:$G$110&lt;&gt;"moeda")*(Inputs!$G$5:$G$110&lt;&gt;"acoes")))*INDEX(Inputs!$K$5:$AJ$110,0,MATCH(D$2,Inputs!$K$4:$AJ$4,0)))))</f>
        <v>575</v>
      </c>
      <c r="E58" s="513">
        <f>IF(ISNA(MATCH(E$2,Inputs!$K$4:$AJ$4,0)),NA(),IF(SUMPRODUCT((Inputs!$A$5:$A$110=$B58)*ISNUMBER(INDEX(Inputs!$K$5:$AJ$110,0,MATCH(E$2,Inputs!$K$4:$AJ$4,0))))+SUMPRODUCT((Inputs!$C$5:$C$110=$B58)*ISNUMBER(INDEX(Inputs!$K$5:$AJ$110,0,MATCH(E$2,Inputs!$K$4:$AJ$4,0))))+SUMPRODUCT((Inputs!$E$5:$E$110=$B58)*ISNUMBER(INDEX(Inputs!$K$5:$AJ$110,0,MATCH(E$2,Inputs!$K$4:$AJ$4,0))))=0,NA(),SUMPRODUCT((Inputs!$A$5:$A$110=$B58)*Inputs!$B$5:$B$110*(((Inputs!$G$5:$G$110="moeda")+(Inputs!$G$5:$G$110="acoes"))*Inputs!$B$1+((Inputs!$G$5:$G$110&lt;&gt;"moeda")*(Inputs!$G$5:$G$110&lt;&gt;"acoes")))*INDEX(Inputs!$K$5:$AJ$110,0,MATCH(E$2,Inputs!$K$4:$AJ$4,0)))+SUMPRODUCT((Inputs!$C$5:$C$110=$B58)*Inputs!$D$5:$D$110*(((Inputs!$G$5:$G$110="moeda")+(Inputs!$G$5:$G$110="acoes"))*Inputs!$B$1+((Inputs!$G$5:$G$110&lt;&gt;"moeda")*(Inputs!$G$5:$G$110&lt;&gt;"acoes")))*INDEX(Inputs!$K$5:$AJ$110,0,MATCH(E$2,Inputs!$K$4:$AJ$4,0)))+SUMPRODUCT((Inputs!$E$5:$E$110=$B58)*Inputs!$F$5:$F$110*(((Inputs!$G$5:$G$110="moeda")+(Inputs!$G$5:$G$110="acoes"))*Inputs!$B$1+((Inputs!$G$5:$G$110&lt;&gt;"moeda")*(Inputs!$G$5:$G$110&lt;&gt;"acoes")))*INDEX(Inputs!$K$5:$AJ$110,0,MATCH(E$2,Inputs!$K$4:$AJ$4,0)))))</f>
        <v>660</v>
      </c>
      <c r="F58" s="513">
        <f>IF(ISNA(MATCH(F$2,Inputs!$K$4:$AJ$4,0)),NA(),IF(SUMPRODUCT((Inputs!$A$5:$A$110=$B58)*ISNUMBER(INDEX(Inputs!$K$5:$AJ$110,0,MATCH(F$2,Inputs!$K$4:$AJ$4,0))))+SUMPRODUCT((Inputs!$C$5:$C$110=$B58)*ISNUMBER(INDEX(Inputs!$K$5:$AJ$110,0,MATCH(F$2,Inputs!$K$4:$AJ$4,0))))+SUMPRODUCT((Inputs!$E$5:$E$110=$B58)*ISNUMBER(INDEX(Inputs!$K$5:$AJ$110,0,MATCH(F$2,Inputs!$K$4:$AJ$4,0))))=0,NA(),SUMPRODUCT((Inputs!$A$5:$A$110=$B58)*Inputs!$B$5:$B$110*(((Inputs!$G$5:$G$110="moeda")+(Inputs!$G$5:$G$110="acoes"))*Inputs!$B$1+((Inputs!$G$5:$G$110&lt;&gt;"moeda")*(Inputs!$G$5:$G$110&lt;&gt;"acoes")))*INDEX(Inputs!$K$5:$AJ$110,0,MATCH(F$2,Inputs!$K$4:$AJ$4,0)))+SUMPRODUCT((Inputs!$C$5:$C$110=$B58)*Inputs!$D$5:$D$110*(((Inputs!$G$5:$G$110="moeda")+(Inputs!$G$5:$G$110="acoes"))*Inputs!$B$1+((Inputs!$G$5:$G$110&lt;&gt;"moeda")*(Inputs!$G$5:$G$110&lt;&gt;"acoes")))*INDEX(Inputs!$K$5:$AJ$110,0,MATCH(F$2,Inputs!$K$4:$AJ$4,0)))+SUMPRODUCT((Inputs!$E$5:$E$110=$B58)*Inputs!$F$5:$F$110*(((Inputs!$G$5:$G$110="moeda")+(Inputs!$G$5:$G$110="acoes"))*Inputs!$B$1+((Inputs!$G$5:$G$110&lt;&gt;"moeda")*(Inputs!$G$5:$G$110&lt;&gt;"acoes")))*INDEX(Inputs!$K$5:$AJ$110,0,MATCH(F$2,Inputs!$K$4:$AJ$4,0)))))</f>
        <v>475</v>
      </c>
      <c r="G58" s="513">
        <f>IF(ISNA(MATCH(G$2,Inputs!$K$4:$AJ$4,0)),NA(),IF(SUMPRODUCT((Inputs!$A$5:$A$110=$B58)*ISNUMBER(INDEX(Inputs!$K$5:$AJ$110,0,MATCH(G$2,Inputs!$K$4:$AJ$4,0))))+SUMPRODUCT((Inputs!$C$5:$C$110=$B58)*ISNUMBER(INDEX(Inputs!$K$5:$AJ$110,0,MATCH(G$2,Inputs!$K$4:$AJ$4,0))))+SUMPRODUCT((Inputs!$E$5:$E$110=$B58)*ISNUMBER(INDEX(Inputs!$K$5:$AJ$110,0,MATCH(G$2,Inputs!$K$4:$AJ$4,0))))=0,NA(),SUMPRODUCT((Inputs!$A$5:$A$110=$B58)*Inputs!$B$5:$B$110*(((Inputs!$G$5:$G$110="moeda")+(Inputs!$G$5:$G$110="acoes"))*Inputs!$B$1+((Inputs!$G$5:$G$110&lt;&gt;"moeda")*(Inputs!$G$5:$G$110&lt;&gt;"acoes")))*INDEX(Inputs!$K$5:$AJ$110,0,MATCH(G$2,Inputs!$K$4:$AJ$4,0)))+SUMPRODUCT((Inputs!$C$5:$C$110=$B58)*Inputs!$D$5:$D$110*(((Inputs!$G$5:$G$110="moeda")+(Inputs!$G$5:$G$110="acoes"))*Inputs!$B$1+((Inputs!$G$5:$G$110&lt;&gt;"moeda")*(Inputs!$G$5:$G$110&lt;&gt;"acoes")))*INDEX(Inputs!$K$5:$AJ$110,0,MATCH(G$2,Inputs!$K$4:$AJ$4,0)))+SUMPRODUCT((Inputs!$E$5:$E$110=$B58)*Inputs!$F$5:$F$110*(((Inputs!$G$5:$G$110="moeda")+(Inputs!$G$5:$G$110="acoes"))*Inputs!$B$1+((Inputs!$G$5:$G$110&lt;&gt;"moeda")*(Inputs!$G$5:$G$110&lt;&gt;"acoes")))*INDEX(Inputs!$K$5:$AJ$110,0,MATCH(G$2,Inputs!$K$4:$AJ$4,0)))))</f>
        <v>549</v>
      </c>
      <c r="H58" s="514">
        <f>SUM(D58:G58)</f>
        <v>2259</v>
      </c>
      <c r="I58" s="513">
        <f>IF(ISNA(MATCH(I$2,Inputs!$K$4:$AJ$4,0)),NA(),IF(SUMPRODUCT((Inputs!$A$5:$A$110=$B58)*ISNUMBER(INDEX(Inputs!$K$5:$AJ$110,0,MATCH(I$2,Inputs!$K$4:$AJ$4,0))))+SUMPRODUCT((Inputs!$C$5:$C$110=$B58)*ISNUMBER(INDEX(Inputs!$K$5:$AJ$110,0,MATCH(I$2,Inputs!$K$4:$AJ$4,0))))+SUMPRODUCT((Inputs!$E$5:$E$110=$B58)*ISNUMBER(INDEX(Inputs!$K$5:$AJ$110,0,MATCH(I$2,Inputs!$K$4:$AJ$4,0))))=0,NA(),SUMPRODUCT((Inputs!$A$5:$A$110=$B58)*Inputs!$B$5:$B$110*(((Inputs!$G$5:$G$110="moeda")+(Inputs!$G$5:$G$110="acoes"))*Inputs!$B$1+((Inputs!$G$5:$G$110&lt;&gt;"moeda")*(Inputs!$G$5:$G$110&lt;&gt;"acoes")))*INDEX(Inputs!$K$5:$AJ$110,0,MATCH(I$2,Inputs!$K$4:$AJ$4,0)))+SUMPRODUCT((Inputs!$C$5:$C$110=$B58)*Inputs!$D$5:$D$110*(((Inputs!$G$5:$G$110="moeda")+(Inputs!$G$5:$G$110="acoes"))*Inputs!$B$1+((Inputs!$G$5:$G$110&lt;&gt;"moeda")*(Inputs!$G$5:$G$110&lt;&gt;"acoes")))*INDEX(Inputs!$K$5:$AJ$110,0,MATCH(I$2,Inputs!$K$4:$AJ$4,0)))+SUMPRODUCT((Inputs!$E$5:$E$110=$B58)*Inputs!$F$5:$F$110*(((Inputs!$G$5:$G$110="moeda")+(Inputs!$G$5:$G$110="acoes"))*Inputs!$B$1+((Inputs!$G$5:$G$110&lt;&gt;"moeda")*(Inputs!$G$5:$G$110&lt;&gt;"acoes")))*INDEX(Inputs!$K$5:$AJ$110,0,MATCH(I$2,Inputs!$K$4:$AJ$4,0)))))</f>
        <v>460</v>
      </c>
      <c r="J58" s="513">
        <f>IF(ISNA(MATCH(J$2,Inputs!$K$4:$AJ$4,0)),NA(),IF(SUMPRODUCT((Inputs!$A$5:$A$110=$B58)*ISNUMBER(INDEX(Inputs!$K$5:$AJ$110,0,MATCH(J$2,Inputs!$K$4:$AJ$4,0))))+SUMPRODUCT((Inputs!$C$5:$C$110=$B58)*ISNUMBER(INDEX(Inputs!$K$5:$AJ$110,0,MATCH(J$2,Inputs!$K$4:$AJ$4,0))))+SUMPRODUCT((Inputs!$E$5:$E$110=$B58)*ISNUMBER(INDEX(Inputs!$K$5:$AJ$110,0,MATCH(J$2,Inputs!$K$4:$AJ$4,0))))=0,NA(),SUMPRODUCT((Inputs!$A$5:$A$110=$B58)*Inputs!$B$5:$B$110*(((Inputs!$G$5:$G$110="moeda")+(Inputs!$G$5:$G$110="acoes"))*Inputs!$B$1+((Inputs!$G$5:$G$110&lt;&gt;"moeda")*(Inputs!$G$5:$G$110&lt;&gt;"acoes")))*INDEX(Inputs!$K$5:$AJ$110,0,MATCH(J$2,Inputs!$K$4:$AJ$4,0)))+SUMPRODUCT((Inputs!$C$5:$C$110=$B58)*Inputs!$D$5:$D$110*(((Inputs!$G$5:$G$110="moeda")+(Inputs!$G$5:$G$110="acoes"))*Inputs!$B$1+((Inputs!$G$5:$G$110&lt;&gt;"moeda")*(Inputs!$G$5:$G$110&lt;&gt;"acoes")))*INDEX(Inputs!$K$5:$AJ$110,0,MATCH(J$2,Inputs!$K$4:$AJ$4,0)))+SUMPRODUCT((Inputs!$E$5:$E$110=$B58)*Inputs!$F$5:$F$110*(((Inputs!$G$5:$G$110="moeda")+(Inputs!$G$5:$G$110="acoes"))*Inputs!$B$1+((Inputs!$G$5:$G$110&lt;&gt;"moeda")*(Inputs!$G$5:$G$110&lt;&gt;"acoes")))*INDEX(Inputs!$K$5:$AJ$110,0,MATCH(J$2,Inputs!$K$4:$AJ$4,0)))))</f>
        <v>427</v>
      </c>
      <c r="K58" s="513">
        <f>IF(ISNA(MATCH(K$2,Inputs!$K$4:$AJ$4,0)),NA(),IF(SUMPRODUCT((Inputs!$A$5:$A$110=$B58)*ISNUMBER(INDEX(Inputs!$K$5:$AJ$110,0,MATCH(K$2,Inputs!$K$4:$AJ$4,0))))+SUMPRODUCT((Inputs!$C$5:$C$110=$B58)*ISNUMBER(INDEX(Inputs!$K$5:$AJ$110,0,MATCH(K$2,Inputs!$K$4:$AJ$4,0))))+SUMPRODUCT((Inputs!$E$5:$E$110=$B58)*ISNUMBER(INDEX(Inputs!$K$5:$AJ$110,0,MATCH(K$2,Inputs!$K$4:$AJ$4,0))))=0,NA(),SUMPRODUCT((Inputs!$A$5:$A$110=$B58)*Inputs!$B$5:$B$110*(((Inputs!$G$5:$G$110="moeda")+(Inputs!$G$5:$G$110="acoes"))*Inputs!$B$1+((Inputs!$G$5:$G$110&lt;&gt;"moeda")*(Inputs!$G$5:$G$110&lt;&gt;"acoes")))*INDEX(Inputs!$K$5:$AJ$110,0,MATCH(K$2,Inputs!$K$4:$AJ$4,0)))+SUMPRODUCT((Inputs!$C$5:$C$110=$B58)*Inputs!$D$5:$D$110*(((Inputs!$G$5:$G$110="moeda")+(Inputs!$G$5:$G$110="acoes"))*Inputs!$B$1+((Inputs!$G$5:$G$110&lt;&gt;"moeda")*(Inputs!$G$5:$G$110&lt;&gt;"acoes")))*INDEX(Inputs!$K$5:$AJ$110,0,MATCH(K$2,Inputs!$K$4:$AJ$4,0)))+SUMPRODUCT((Inputs!$E$5:$E$110=$B58)*Inputs!$F$5:$F$110*(((Inputs!$G$5:$G$110="moeda")+(Inputs!$G$5:$G$110="acoes"))*Inputs!$B$1+((Inputs!$G$5:$G$110&lt;&gt;"moeda")*(Inputs!$G$5:$G$110&lt;&gt;"acoes")))*INDEX(Inputs!$K$5:$AJ$110,0,MATCH(K$2,Inputs!$K$4:$AJ$4,0)))))</f>
        <v>562</v>
      </c>
      <c r="L58" s="513">
        <f>IF(ISNA(MATCH(L$2,Inputs!$K$4:$AJ$4,0)),NA(),IF(SUMPRODUCT((Inputs!$A$5:$A$110=$B58)*ISNUMBER(INDEX(Inputs!$K$5:$AJ$110,0,MATCH(L$2,Inputs!$K$4:$AJ$4,0))))+SUMPRODUCT((Inputs!$C$5:$C$110=$B58)*ISNUMBER(INDEX(Inputs!$K$5:$AJ$110,0,MATCH(L$2,Inputs!$K$4:$AJ$4,0))))+SUMPRODUCT((Inputs!$E$5:$E$110=$B58)*ISNUMBER(INDEX(Inputs!$K$5:$AJ$110,0,MATCH(L$2,Inputs!$K$4:$AJ$4,0))))=0,NA(),SUMPRODUCT((Inputs!$A$5:$A$110=$B58)*Inputs!$B$5:$B$110*(((Inputs!$G$5:$G$110="moeda")+(Inputs!$G$5:$G$110="acoes"))*Inputs!$B$1+((Inputs!$G$5:$G$110&lt;&gt;"moeda")*(Inputs!$G$5:$G$110&lt;&gt;"acoes")))*INDEX(Inputs!$K$5:$AJ$110,0,MATCH(L$2,Inputs!$K$4:$AJ$4,0)))+SUMPRODUCT((Inputs!$C$5:$C$110=$B58)*Inputs!$D$5:$D$110*(((Inputs!$G$5:$G$110="moeda")+(Inputs!$G$5:$G$110="acoes"))*Inputs!$B$1+((Inputs!$G$5:$G$110&lt;&gt;"moeda")*(Inputs!$G$5:$G$110&lt;&gt;"acoes")))*INDEX(Inputs!$K$5:$AJ$110,0,MATCH(L$2,Inputs!$K$4:$AJ$4,0)))+SUMPRODUCT((Inputs!$E$5:$E$110=$B58)*Inputs!$F$5:$F$110*(((Inputs!$G$5:$G$110="moeda")+(Inputs!$G$5:$G$110="acoes"))*Inputs!$B$1+((Inputs!$G$5:$G$110&lt;&gt;"moeda")*(Inputs!$G$5:$G$110&lt;&gt;"acoes")))*INDEX(Inputs!$K$5:$AJ$110,0,MATCH(L$2,Inputs!$K$4:$AJ$4,0)))))</f>
        <v>515</v>
      </c>
      <c r="M58" s="514">
        <f>SUM(I58:L58)</f>
        <v>1964</v>
      </c>
      <c r="N58" s="513">
        <f>IF(ISNA(MATCH(N$2,Inputs!$K$4:$AJ$4,0)),NA(),IF(SUMPRODUCT((Inputs!$A$5:$A$110=$B58)*ISNUMBER(INDEX(Inputs!$K$5:$AJ$110,0,MATCH(N$2,Inputs!$K$4:$AJ$4,0))))+SUMPRODUCT((Inputs!$C$5:$C$110=$B58)*ISNUMBER(INDEX(Inputs!$K$5:$AJ$110,0,MATCH(N$2,Inputs!$K$4:$AJ$4,0))))+SUMPRODUCT((Inputs!$E$5:$E$110=$B58)*ISNUMBER(INDEX(Inputs!$K$5:$AJ$110,0,MATCH(N$2,Inputs!$K$4:$AJ$4,0))))=0,NA(),SUMPRODUCT((Inputs!$A$5:$A$110=$B58)*Inputs!$B$5:$B$110*(((Inputs!$G$5:$G$110="moeda")+(Inputs!$G$5:$G$110="acoes"))*Inputs!$B$1+((Inputs!$G$5:$G$110&lt;&gt;"moeda")*(Inputs!$G$5:$G$110&lt;&gt;"acoes")))*INDEX(Inputs!$K$5:$AJ$110,0,MATCH(N$2,Inputs!$K$4:$AJ$4,0)))+SUMPRODUCT((Inputs!$C$5:$C$110=$B58)*Inputs!$D$5:$D$110*(((Inputs!$G$5:$G$110="moeda")+(Inputs!$G$5:$G$110="acoes"))*Inputs!$B$1+((Inputs!$G$5:$G$110&lt;&gt;"moeda")*(Inputs!$G$5:$G$110&lt;&gt;"acoes")))*INDEX(Inputs!$K$5:$AJ$110,0,MATCH(N$2,Inputs!$K$4:$AJ$4,0)))+SUMPRODUCT((Inputs!$E$5:$E$110=$B58)*Inputs!$F$5:$F$110*(((Inputs!$G$5:$G$110="moeda")+(Inputs!$G$5:$G$110="acoes"))*Inputs!$B$1+((Inputs!$G$5:$G$110&lt;&gt;"moeda")*(Inputs!$G$5:$G$110&lt;&gt;"acoes")))*INDEX(Inputs!$K$5:$AJ$110,0,MATCH(N$2,Inputs!$K$4:$AJ$4,0)))))</f>
        <v>458</v>
      </c>
      <c r="O58" s="513">
        <f>IF(ISNA(MATCH(O$2,Inputs!$K$4:$AJ$4,0)),NA(),IF(SUMPRODUCT((Inputs!$A$5:$A$110=$B58)*ISNUMBER(INDEX(Inputs!$K$5:$AJ$110,0,MATCH(O$2,Inputs!$K$4:$AJ$4,0))))+SUMPRODUCT((Inputs!$C$5:$C$110=$B58)*ISNUMBER(INDEX(Inputs!$K$5:$AJ$110,0,MATCH(O$2,Inputs!$K$4:$AJ$4,0))))+SUMPRODUCT((Inputs!$E$5:$E$110=$B58)*ISNUMBER(INDEX(Inputs!$K$5:$AJ$110,0,MATCH(O$2,Inputs!$K$4:$AJ$4,0))))=0,NA(),SUMPRODUCT((Inputs!$A$5:$A$110=$B58)*Inputs!$B$5:$B$110*(((Inputs!$G$5:$G$110="moeda")+(Inputs!$G$5:$G$110="acoes"))*Inputs!$B$1+((Inputs!$G$5:$G$110&lt;&gt;"moeda")*(Inputs!$G$5:$G$110&lt;&gt;"acoes")))*INDEX(Inputs!$K$5:$AJ$110,0,MATCH(O$2,Inputs!$K$4:$AJ$4,0)))+SUMPRODUCT((Inputs!$C$5:$C$110=$B58)*Inputs!$D$5:$D$110*(((Inputs!$G$5:$G$110="moeda")+(Inputs!$G$5:$G$110="acoes"))*Inputs!$B$1+((Inputs!$G$5:$G$110&lt;&gt;"moeda")*(Inputs!$G$5:$G$110&lt;&gt;"acoes")))*INDEX(Inputs!$K$5:$AJ$110,0,MATCH(O$2,Inputs!$K$4:$AJ$4,0)))+SUMPRODUCT((Inputs!$E$5:$E$110=$B58)*Inputs!$F$5:$F$110*(((Inputs!$G$5:$G$110="moeda")+(Inputs!$G$5:$G$110="acoes"))*Inputs!$B$1+((Inputs!$G$5:$G$110&lt;&gt;"moeda")*(Inputs!$G$5:$G$110&lt;&gt;"acoes")))*INDEX(Inputs!$K$5:$AJ$110,0,MATCH(O$2,Inputs!$K$4:$AJ$4,0)))))</f>
        <v>521</v>
      </c>
      <c r="P58" s="513">
        <f>IF(ISNA(MATCH(P$2,Inputs!$K$4:$AJ$4,0)),NA(),IF(SUMPRODUCT((Inputs!$A$5:$A$110=$B58)*ISNUMBER(INDEX(Inputs!$K$5:$AJ$110,0,MATCH(P$2,Inputs!$K$4:$AJ$4,0))))+SUMPRODUCT((Inputs!$C$5:$C$110=$B58)*ISNUMBER(INDEX(Inputs!$K$5:$AJ$110,0,MATCH(P$2,Inputs!$K$4:$AJ$4,0))))+SUMPRODUCT((Inputs!$E$5:$E$110=$B58)*ISNUMBER(INDEX(Inputs!$K$5:$AJ$110,0,MATCH(P$2,Inputs!$K$4:$AJ$4,0))))=0,NA(),SUMPRODUCT((Inputs!$A$5:$A$110=$B58)*Inputs!$B$5:$B$110*(((Inputs!$G$5:$G$110="moeda")+(Inputs!$G$5:$G$110="acoes"))*Inputs!$B$1+((Inputs!$G$5:$G$110&lt;&gt;"moeda")*(Inputs!$G$5:$G$110&lt;&gt;"acoes")))*INDEX(Inputs!$K$5:$AJ$110,0,MATCH(P$2,Inputs!$K$4:$AJ$4,0)))+SUMPRODUCT((Inputs!$C$5:$C$110=$B58)*Inputs!$D$5:$D$110*(((Inputs!$G$5:$G$110="moeda")+(Inputs!$G$5:$G$110="acoes"))*Inputs!$B$1+((Inputs!$G$5:$G$110&lt;&gt;"moeda")*(Inputs!$G$5:$G$110&lt;&gt;"acoes")))*INDEX(Inputs!$K$5:$AJ$110,0,MATCH(P$2,Inputs!$K$4:$AJ$4,0)))+SUMPRODUCT((Inputs!$E$5:$E$110=$B58)*Inputs!$F$5:$F$110*(((Inputs!$G$5:$G$110="moeda")+(Inputs!$G$5:$G$110="acoes"))*Inputs!$B$1+((Inputs!$G$5:$G$110&lt;&gt;"moeda")*(Inputs!$G$5:$G$110&lt;&gt;"acoes")))*INDEX(Inputs!$K$5:$AJ$110,0,MATCH(P$2,Inputs!$K$4:$AJ$4,0)))))</f>
        <v>593</v>
      </c>
      <c r="Q58" s="513">
        <f>IF(ISNA(MATCH(Q$2,Inputs!$K$4:$AJ$4,0)),NA(),IF(SUMPRODUCT((Inputs!$A$5:$A$110=$B58)*ISNUMBER(INDEX(Inputs!$K$5:$AJ$110,0,MATCH(Q$2,Inputs!$K$4:$AJ$4,0))))+SUMPRODUCT((Inputs!$C$5:$C$110=$B58)*ISNUMBER(INDEX(Inputs!$K$5:$AJ$110,0,MATCH(Q$2,Inputs!$K$4:$AJ$4,0))))+SUMPRODUCT((Inputs!$E$5:$E$110=$B58)*ISNUMBER(INDEX(Inputs!$K$5:$AJ$110,0,MATCH(Q$2,Inputs!$K$4:$AJ$4,0))))=0,NA(),SUMPRODUCT((Inputs!$A$5:$A$110=$B58)*Inputs!$B$5:$B$110*(((Inputs!$G$5:$G$110="moeda")+(Inputs!$G$5:$G$110="acoes"))*Inputs!$B$1+((Inputs!$G$5:$G$110&lt;&gt;"moeda")*(Inputs!$G$5:$G$110&lt;&gt;"acoes")))*INDEX(Inputs!$K$5:$AJ$110,0,MATCH(Q$2,Inputs!$K$4:$AJ$4,0)))+SUMPRODUCT((Inputs!$C$5:$C$110=$B58)*Inputs!$D$5:$D$110*(((Inputs!$G$5:$G$110="moeda")+(Inputs!$G$5:$G$110="acoes"))*Inputs!$B$1+((Inputs!$G$5:$G$110&lt;&gt;"moeda")*(Inputs!$G$5:$G$110&lt;&gt;"acoes")))*INDEX(Inputs!$K$5:$AJ$110,0,MATCH(Q$2,Inputs!$K$4:$AJ$4,0)))+SUMPRODUCT((Inputs!$E$5:$E$110=$B58)*Inputs!$F$5:$F$110*(((Inputs!$G$5:$G$110="moeda")+(Inputs!$G$5:$G$110="acoes"))*Inputs!$B$1+((Inputs!$G$5:$G$110&lt;&gt;"moeda")*(Inputs!$G$5:$G$110&lt;&gt;"acoes")))*INDEX(Inputs!$K$5:$AJ$110,0,MATCH(Q$2,Inputs!$K$4:$AJ$4,0)))))</f>
        <v>620</v>
      </c>
      <c r="R58" s="514">
        <f>SUM(N58:Q58)</f>
        <v>2192</v>
      </c>
      <c r="S58" s="513">
        <f>IF(ISNA(MATCH(S$2,Inputs!$K$4:$AJ$4,0)),NA(),IF(SUMPRODUCT((Inputs!$A$5:$A$110=$B58)*ISNUMBER(INDEX(Inputs!$K$5:$AJ$110,0,MATCH(S$2,Inputs!$K$4:$AJ$4,0))))+SUMPRODUCT((Inputs!$C$5:$C$110=$B58)*ISNUMBER(INDEX(Inputs!$K$5:$AJ$110,0,MATCH(S$2,Inputs!$K$4:$AJ$4,0))))+SUMPRODUCT((Inputs!$E$5:$E$110=$B58)*ISNUMBER(INDEX(Inputs!$K$5:$AJ$110,0,MATCH(S$2,Inputs!$K$4:$AJ$4,0))))=0,NA(),SUMPRODUCT((Inputs!$A$5:$A$110=$B58)*Inputs!$B$5:$B$110*(((Inputs!$G$5:$G$110="moeda")+(Inputs!$G$5:$G$110="acoes"))*Inputs!$B$1+((Inputs!$G$5:$G$110&lt;&gt;"moeda")*(Inputs!$G$5:$G$110&lt;&gt;"acoes")))*INDEX(Inputs!$K$5:$AJ$110,0,MATCH(S$2,Inputs!$K$4:$AJ$4,0)))+SUMPRODUCT((Inputs!$C$5:$C$110=$B58)*Inputs!$D$5:$D$110*(((Inputs!$G$5:$G$110="moeda")+(Inputs!$G$5:$G$110="acoes"))*Inputs!$B$1+((Inputs!$G$5:$G$110&lt;&gt;"moeda")*(Inputs!$G$5:$G$110&lt;&gt;"acoes")))*INDEX(Inputs!$K$5:$AJ$110,0,MATCH(S$2,Inputs!$K$4:$AJ$4,0)))+SUMPRODUCT((Inputs!$E$5:$E$110=$B58)*Inputs!$F$5:$F$110*(((Inputs!$G$5:$G$110="moeda")+(Inputs!$G$5:$G$110="acoes"))*Inputs!$B$1+((Inputs!$G$5:$G$110&lt;&gt;"moeda")*(Inputs!$G$5:$G$110&lt;&gt;"acoes")))*INDEX(Inputs!$K$5:$AJ$110,0,MATCH(S$2,Inputs!$K$4:$AJ$4,0)))))</f>
        <v>615</v>
      </c>
      <c r="T58" s="513">
        <f>IF(ISNA(MATCH(T$2,Inputs!$K$4:$AJ$4,0)),NA(),IF(SUMPRODUCT((Inputs!$A$5:$A$110=$B58)*ISNUMBER(INDEX(Inputs!$K$5:$AJ$110,0,MATCH(T$2,Inputs!$K$4:$AJ$4,0))))+SUMPRODUCT((Inputs!$C$5:$C$110=$B58)*ISNUMBER(INDEX(Inputs!$K$5:$AJ$110,0,MATCH(T$2,Inputs!$K$4:$AJ$4,0))))+SUMPRODUCT((Inputs!$E$5:$E$110=$B58)*ISNUMBER(INDEX(Inputs!$K$5:$AJ$110,0,MATCH(T$2,Inputs!$K$4:$AJ$4,0))))=0,NA(),SUMPRODUCT((Inputs!$A$5:$A$110=$B58)*Inputs!$B$5:$B$110*(((Inputs!$G$5:$G$110="moeda")+(Inputs!$G$5:$G$110="acoes"))*Inputs!$B$1+((Inputs!$G$5:$G$110&lt;&gt;"moeda")*(Inputs!$G$5:$G$110&lt;&gt;"acoes")))*INDEX(Inputs!$K$5:$AJ$110,0,MATCH(T$2,Inputs!$K$4:$AJ$4,0)))+SUMPRODUCT((Inputs!$C$5:$C$110=$B58)*Inputs!$D$5:$D$110*(((Inputs!$G$5:$G$110="moeda")+(Inputs!$G$5:$G$110="acoes"))*Inputs!$B$1+((Inputs!$G$5:$G$110&lt;&gt;"moeda")*(Inputs!$G$5:$G$110&lt;&gt;"acoes")))*INDEX(Inputs!$K$5:$AJ$110,0,MATCH(T$2,Inputs!$K$4:$AJ$4,0)))+SUMPRODUCT((Inputs!$E$5:$E$110=$B58)*Inputs!$F$5:$F$110*(((Inputs!$G$5:$G$110="moeda")+(Inputs!$G$5:$G$110="acoes"))*Inputs!$B$1+((Inputs!$G$5:$G$110&lt;&gt;"moeda")*(Inputs!$G$5:$G$110&lt;&gt;"acoes")))*INDEX(Inputs!$K$5:$AJ$110,0,MATCH(T$2,Inputs!$K$4:$AJ$4,0)))))</f>
        <v>581</v>
      </c>
      <c r="U58" s="513">
        <f>IF(ISNA(MATCH(U$2,Inputs!$K$4:$AJ$4,0)),NA(),IF(SUMPRODUCT((Inputs!$A$5:$A$110=$B58)*ISNUMBER(INDEX(Inputs!$K$5:$AJ$110,0,MATCH(U$2,Inputs!$K$4:$AJ$4,0))))+SUMPRODUCT((Inputs!$C$5:$C$110=$B58)*ISNUMBER(INDEX(Inputs!$K$5:$AJ$110,0,MATCH(U$2,Inputs!$K$4:$AJ$4,0))))+SUMPRODUCT((Inputs!$E$5:$E$110=$B58)*ISNUMBER(INDEX(Inputs!$K$5:$AJ$110,0,MATCH(U$2,Inputs!$K$4:$AJ$4,0))))=0,NA(),SUMPRODUCT((Inputs!$A$5:$A$110=$B58)*Inputs!$B$5:$B$110*(((Inputs!$G$5:$G$110="moeda")+(Inputs!$G$5:$G$110="acoes"))*Inputs!$B$1+((Inputs!$G$5:$G$110&lt;&gt;"moeda")*(Inputs!$G$5:$G$110&lt;&gt;"acoes")))*INDEX(Inputs!$K$5:$AJ$110,0,MATCH(U$2,Inputs!$K$4:$AJ$4,0)))+SUMPRODUCT((Inputs!$C$5:$C$110=$B58)*Inputs!$D$5:$D$110*(((Inputs!$G$5:$G$110="moeda")+(Inputs!$G$5:$G$110="acoes"))*Inputs!$B$1+((Inputs!$G$5:$G$110&lt;&gt;"moeda")*(Inputs!$G$5:$G$110&lt;&gt;"acoes")))*INDEX(Inputs!$K$5:$AJ$110,0,MATCH(U$2,Inputs!$K$4:$AJ$4,0)))+SUMPRODUCT((Inputs!$E$5:$E$110=$B58)*Inputs!$F$5:$F$110*(((Inputs!$G$5:$G$110="moeda")+(Inputs!$G$5:$G$110="acoes"))*Inputs!$B$1+((Inputs!$G$5:$G$110&lt;&gt;"moeda")*(Inputs!$G$5:$G$110&lt;&gt;"acoes")))*INDEX(Inputs!$K$5:$AJ$110,0,MATCH(U$2,Inputs!$K$4:$AJ$4,0)))))</f>
        <v>634</v>
      </c>
      <c r="V58" s="513">
        <f>IF(ISNA(MATCH(V$2,Inputs!$K$4:$AJ$4,0)),NA(),IF(SUMPRODUCT((Inputs!$A$5:$A$110=$B58)*ISNUMBER(INDEX(Inputs!$K$5:$AJ$110,0,MATCH(V$2,Inputs!$K$4:$AJ$4,0))))+SUMPRODUCT((Inputs!$C$5:$C$110=$B58)*ISNUMBER(INDEX(Inputs!$K$5:$AJ$110,0,MATCH(V$2,Inputs!$K$4:$AJ$4,0))))+SUMPRODUCT((Inputs!$E$5:$E$110=$B58)*ISNUMBER(INDEX(Inputs!$K$5:$AJ$110,0,MATCH(V$2,Inputs!$K$4:$AJ$4,0))))=0,NA(),SUMPRODUCT((Inputs!$A$5:$A$110=$B58)*Inputs!$B$5:$B$110*(((Inputs!$G$5:$G$110="moeda")+(Inputs!$G$5:$G$110="acoes"))*Inputs!$B$1+((Inputs!$G$5:$G$110&lt;&gt;"moeda")*(Inputs!$G$5:$G$110&lt;&gt;"acoes")))*INDEX(Inputs!$K$5:$AJ$110,0,MATCH(V$2,Inputs!$K$4:$AJ$4,0)))+SUMPRODUCT((Inputs!$C$5:$C$110=$B58)*Inputs!$D$5:$D$110*(((Inputs!$G$5:$G$110="moeda")+(Inputs!$G$5:$G$110="acoes"))*Inputs!$B$1+((Inputs!$G$5:$G$110&lt;&gt;"moeda")*(Inputs!$G$5:$G$110&lt;&gt;"acoes")))*INDEX(Inputs!$K$5:$AJ$110,0,MATCH(V$2,Inputs!$K$4:$AJ$4,0)))+SUMPRODUCT((Inputs!$E$5:$E$110=$B58)*Inputs!$F$5:$F$110*(((Inputs!$G$5:$G$110="moeda")+(Inputs!$G$5:$G$110="acoes"))*Inputs!$B$1+((Inputs!$G$5:$G$110&lt;&gt;"moeda")*(Inputs!$G$5:$G$110&lt;&gt;"acoes")))*INDEX(Inputs!$K$5:$AJ$110,0,MATCH(V$2,Inputs!$K$4:$AJ$4,0)))))</f>
        <v>574</v>
      </c>
      <c r="W58" s="514">
        <f>SUM(S58:V58)</f>
        <v>2404</v>
      </c>
      <c r="X58" s="513">
        <f>IF(ISNA(MATCH(X$2,Inputs!$K$4:$AJ$4,0)),NA(),IF(SUMPRODUCT((Inputs!$A$5:$A$110=$B58)*ISNUMBER(INDEX(Inputs!$K$5:$AJ$110,0,MATCH(X$2,Inputs!$K$4:$AJ$4,0))))+SUMPRODUCT((Inputs!$C$5:$C$110=$B58)*ISNUMBER(INDEX(Inputs!$K$5:$AJ$110,0,MATCH(X$2,Inputs!$K$4:$AJ$4,0))))+SUMPRODUCT((Inputs!$E$5:$E$110=$B58)*ISNUMBER(INDEX(Inputs!$K$5:$AJ$110,0,MATCH(X$2,Inputs!$K$4:$AJ$4,0))))=0,NA(),SUMPRODUCT((Inputs!$A$5:$A$110=$B58)*Inputs!$B$5:$B$110*(((Inputs!$G$5:$G$110="moeda")+(Inputs!$G$5:$G$110="acoes"))*Inputs!$B$1+((Inputs!$G$5:$G$110&lt;&gt;"moeda")*(Inputs!$G$5:$G$110&lt;&gt;"acoes")))*INDEX(Inputs!$K$5:$AJ$110,0,MATCH(X$2,Inputs!$K$4:$AJ$4,0)))+SUMPRODUCT((Inputs!$C$5:$C$110=$B58)*Inputs!$D$5:$D$110*(((Inputs!$G$5:$G$110="moeda")+(Inputs!$G$5:$G$110="acoes"))*Inputs!$B$1+((Inputs!$G$5:$G$110&lt;&gt;"moeda")*(Inputs!$G$5:$G$110&lt;&gt;"acoes")))*INDEX(Inputs!$K$5:$AJ$110,0,MATCH(X$2,Inputs!$K$4:$AJ$4,0)))+SUMPRODUCT((Inputs!$E$5:$E$110=$B58)*Inputs!$F$5:$F$110*(((Inputs!$G$5:$G$110="moeda")+(Inputs!$G$5:$G$110="acoes"))*Inputs!$B$1+((Inputs!$G$5:$G$110&lt;&gt;"moeda")*(Inputs!$G$5:$G$110&lt;&gt;"acoes")))*INDEX(Inputs!$K$5:$AJ$110,0,MATCH(X$2,Inputs!$K$4:$AJ$4,0)))))</f>
        <v>666</v>
      </c>
      <c r="Y58" s="513">
        <f>IF(ISNA(MATCH(Y$2,Inputs!$K$4:$AJ$4,0)),NA(),IF(SUMPRODUCT((Inputs!$A$5:$A$110=$B58)*ISNUMBER(INDEX(Inputs!$K$5:$AJ$110,0,MATCH(Y$2,Inputs!$K$4:$AJ$4,0))))+SUMPRODUCT((Inputs!$C$5:$C$110=$B58)*ISNUMBER(INDEX(Inputs!$K$5:$AJ$110,0,MATCH(Y$2,Inputs!$K$4:$AJ$4,0))))+SUMPRODUCT((Inputs!$E$5:$E$110=$B58)*ISNUMBER(INDEX(Inputs!$K$5:$AJ$110,0,MATCH(Y$2,Inputs!$K$4:$AJ$4,0))))=0,NA(),SUMPRODUCT((Inputs!$A$5:$A$110=$B58)*Inputs!$B$5:$B$110*(((Inputs!$G$5:$G$110="moeda")+(Inputs!$G$5:$G$110="acoes"))*Inputs!$B$1+((Inputs!$G$5:$G$110&lt;&gt;"moeda")*(Inputs!$G$5:$G$110&lt;&gt;"acoes")))*INDEX(Inputs!$K$5:$AJ$110,0,MATCH(Y$2,Inputs!$K$4:$AJ$4,0)))+SUMPRODUCT((Inputs!$C$5:$C$110=$B58)*Inputs!$D$5:$D$110*(((Inputs!$G$5:$G$110="moeda")+(Inputs!$G$5:$G$110="acoes"))*Inputs!$B$1+((Inputs!$G$5:$G$110&lt;&gt;"moeda")*(Inputs!$G$5:$G$110&lt;&gt;"acoes")))*INDEX(Inputs!$K$5:$AJ$110,0,MATCH(Y$2,Inputs!$K$4:$AJ$4,0)))+SUMPRODUCT((Inputs!$E$5:$E$110=$B58)*Inputs!$F$5:$F$110*(((Inputs!$G$5:$G$110="moeda")+(Inputs!$G$5:$G$110="acoes"))*Inputs!$B$1+((Inputs!$G$5:$G$110&lt;&gt;"moeda")*(Inputs!$G$5:$G$110&lt;&gt;"acoes")))*INDEX(Inputs!$K$5:$AJ$110,0,MATCH(Y$2,Inputs!$K$4:$AJ$4,0)))))</f>
        <v>470</v>
      </c>
      <c r="Z58" s="513">
        <f>IF(ISNA(MATCH(Z$2,Inputs!$K$4:$AJ$4,0)),NA(),IF(SUMPRODUCT((Inputs!$A$5:$A$110=$B58)*ISNUMBER(INDEX(Inputs!$K$5:$AJ$110,0,MATCH(Z$2,Inputs!$K$4:$AJ$4,0))))+SUMPRODUCT((Inputs!$C$5:$C$110=$B58)*ISNUMBER(INDEX(Inputs!$K$5:$AJ$110,0,MATCH(Z$2,Inputs!$K$4:$AJ$4,0))))+SUMPRODUCT((Inputs!$E$5:$E$110=$B58)*ISNUMBER(INDEX(Inputs!$K$5:$AJ$110,0,MATCH(Z$2,Inputs!$K$4:$AJ$4,0))))=0,NA(),SUMPRODUCT((Inputs!$A$5:$A$110=$B58)*Inputs!$B$5:$B$110*(((Inputs!$G$5:$G$110="moeda")+(Inputs!$G$5:$G$110="acoes"))*Inputs!$B$1+((Inputs!$G$5:$G$110&lt;&gt;"moeda")*(Inputs!$G$5:$G$110&lt;&gt;"acoes")))*INDEX(Inputs!$K$5:$AJ$110,0,MATCH(Z$2,Inputs!$K$4:$AJ$4,0)))+SUMPRODUCT((Inputs!$C$5:$C$110=$B58)*Inputs!$D$5:$D$110*(((Inputs!$G$5:$G$110="moeda")+(Inputs!$G$5:$G$110="acoes"))*Inputs!$B$1+((Inputs!$G$5:$G$110&lt;&gt;"moeda")*(Inputs!$G$5:$G$110&lt;&gt;"acoes")))*INDEX(Inputs!$K$5:$AJ$110,0,MATCH(Z$2,Inputs!$K$4:$AJ$4,0)))+SUMPRODUCT((Inputs!$E$5:$E$110=$B58)*Inputs!$F$5:$F$110*(((Inputs!$G$5:$G$110="moeda")+(Inputs!$G$5:$G$110="acoes"))*Inputs!$B$1+((Inputs!$G$5:$G$110&lt;&gt;"moeda")*(Inputs!$G$5:$G$110&lt;&gt;"acoes")))*INDEX(Inputs!$K$5:$AJ$110,0,MATCH(Z$2,Inputs!$K$4:$AJ$4,0)))))</f>
        <v>671</v>
      </c>
      <c r="AA58" s="513">
        <f>IF(ISNA(MATCH(AA$2,Inputs!$K$4:$AJ$4,0)),NA(),IF(SUMPRODUCT((Inputs!$A$5:$A$110=$B58)*ISNUMBER(INDEX(Inputs!$K$5:$AJ$110,0,MATCH(AA$2,Inputs!$K$4:$AJ$4,0))))+SUMPRODUCT((Inputs!$C$5:$C$110=$B58)*ISNUMBER(INDEX(Inputs!$K$5:$AJ$110,0,MATCH(AA$2,Inputs!$K$4:$AJ$4,0))))+SUMPRODUCT((Inputs!$E$5:$E$110=$B58)*ISNUMBER(INDEX(Inputs!$K$5:$AJ$110,0,MATCH(AA$2,Inputs!$K$4:$AJ$4,0))))=0,NA(),SUMPRODUCT((Inputs!$A$5:$A$110=$B58)*Inputs!$B$5:$B$110*(((Inputs!$G$5:$G$110="moeda")+(Inputs!$G$5:$G$110="acoes"))*Inputs!$B$1+((Inputs!$G$5:$G$110&lt;&gt;"moeda")*(Inputs!$G$5:$G$110&lt;&gt;"acoes")))*INDEX(Inputs!$K$5:$AJ$110,0,MATCH(AA$2,Inputs!$K$4:$AJ$4,0)))+SUMPRODUCT((Inputs!$C$5:$C$110=$B58)*Inputs!$D$5:$D$110*(((Inputs!$G$5:$G$110="moeda")+(Inputs!$G$5:$G$110="acoes"))*Inputs!$B$1+((Inputs!$G$5:$G$110&lt;&gt;"moeda")*(Inputs!$G$5:$G$110&lt;&gt;"acoes")))*INDEX(Inputs!$K$5:$AJ$110,0,MATCH(AA$2,Inputs!$K$4:$AJ$4,0)))+SUMPRODUCT((Inputs!$E$5:$E$110=$B58)*Inputs!$F$5:$F$110*(((Inputs!$G$5:$G$110="moeda")+(Inputs!$G$5:$G$110="acoes"))*Inputs!$B$1+((Inputs!$G$5:$G$110&lt;&gt;"moeda")*(Inputs!$G$5:$G$110&lt;&gt;"acoes")))*INDEX(Inputs!$K$5:$AJ$110,0,MATCH(AA$2,Inputs!$K$4:$AJ$4,0)))))</f>
        <v>596</v>
      </c>
      <c r="AB58" s="514">
        <f>SUM(X58:AA58)</f>
        <v>2403</v>
      </c>
      <c r="AC58" s="513">
        <f>IF(ISNA(MATCH(AC$2,Inputs!$K$4:$AJ$4,0)),NA(),IF(SUMPRODUCT((Inputs!$A$5:$A$110=$B58)*ISNUMBER(INDEX(Inputs!$K$5:$AJ$110,0,MATCH(AC$2,Inputs!$K$4:$AJ$4,0))))+SUMPRODUCT((Inputs!$C$5:$C$110=$B58)*ISNUMBER(INDEX(Inputs!$K$5:$AJ$110,0,MATCH(AC$2,Inputs!$K$4:$AJ$4,0))))+SUMPRODUCT((Inputs!$E$5:$E$110=$B58)*ISNUMBER(INDEX(Inputs!$K$5:$AJ$110,0,MATCH(AC$2,Inputs!$K$4:$AJ$4,0))))=0,NA(),SUMPRODUCT((Inputs!$A$5:$A$110=$B58)*Inputs!$B$5:$B$110*(((Inputs!$G$5:$G$110="moeda")+(Inputs!$G$5:$G$110="acoes"))*Inputs!$B$1+((Inputs!$G$5:$G$110&lt;&gt;"moeda")*(Inputs!$G$5:$G$110&lt;&gt;"acoes")))*INDEX(Inputs!$K$5:$AJ$110,0,MATCH(AC$2,Inputs!$K$4:$AJ$4,0)))+SUMPRODUCT((Inputs!$C$5:$C$110=$B58)*Inputs!$D$5:$D$110*(((Inputs!$G$5:$G$110="moeda")+(Inputs!$G$5:$G$110="acoes"))*Inputs!$B$1+((Inputs!$G$5:$G$110&lt;&gt;"moeda")*(Inputs!$G$5:$G$110&lt;&gt;"acoes")))*INDEX(Inputs!$K$5:$AJ$110,0,MATCH(AC$2,Inputs!$K$4:$AJ$4,0)))+SUMPRODUCT((Inputs!$E$5:$E$110=$B58)*Inputs!$F$5:$F$110*(((Inputs!$G$5:$G$110="moeda")+(Inputs!$G$5:$G$110="acoes"))*Inputs!$B$1+((Inputs!$G$5:$G$110&lt;&gt;"moeda")*(Inputs!$G$5:$G$110&lt;&gt;"acoes")))*INDEX(Inputs!$K$5:$AJ$110,0,MATCH(AC$2,Inputs!$K$4:$AJ$4,0)))))</f>
        <v>674</v>
      </c>
      <c r="AD58" s="513">
        <f>IF(ISNA(MATCH(AD$2,Inputs!$K$4:$AJ$4,0)),NA(),IF(SUMPRODUCT((Inputs!$A$5:$A$110=$B58)*ISNUMBER(INDEX(Inputs!$K$5:$AJ$110,0,MATCH(AD$2,Inputs!$K$4:$AJ$4,0))))+SUMPRODUCT((Inputs!$C$5:$C$110=$B58)*ISNUMBER(INDEX(Inputs!$K$5:$AJ$110,0,MATCH(AD$2,Inputs!$K$4:$AJ$4,0))))+SUMPRODUCT((Inputs!$E$5:$E$110=$B58)*ISNUMBER(INDEX(Inputs!$K$5:$AJ$110,0,MATCH(AD$2,Inputs!$K$4:$AJ$4,0))))=0,NA(),SUMPRODUCT((Inputs!$A$5:$A$110=$B58)*Inputs!$B$5:$B$110*(((Inputs!$G$5:$G$110="moeda")+(Inputs!$G$5:$G$110="acoes"))*Inputs!$B$1+((Inputs!$G$5:$G$110&lt;&gt;"moeda")*(Inputs!$G$5:$G$110&lt;&gt;"acoes")))*INDEX(Inputs!$K$5:$AJ$110,0,MATCH(AD$2,Inputs!$K$4:$AJ$4,0)))+SUMPRODUCT((Inputs!$C$5:$C$110=$B58)*Inputs!$D$5:$D$110*(((Inputs!$G$5:$G$110="moeda")+(Inputs!$G$5:$G$110="acoes"))*Inputs!$B$1+((Inputs!$G$5:$G$110&lt;&gt;"moeda")*(Inputs!$G$5:$G$110&lt;&gt;"acoes")))*INDEX(Inputs!$K$5:$AJ$110,0,MATCH(AD$2,Inputs!$K$4:$AJ$4,0)))+SUMPRODUCT((Inputs!$E$5:$E$110=$B58)*Inputs!$F$5:$F$110*(((Inputs!$G$5:$G$110="moeda")+(Inputs!$G$5:$G$110="acoes"))*Inputs!$B$1+((Inputs!$G$5:$G$110&lt;&gt;"moeda")*(Inputs!$G$5:$G$110&lt;&gt;"acoes")))*INDEX(Inputs!$K$5:$AJ$110,0,MATCH(AD$2,Inputs!$K$4:$AJ$4,0)))))</f>
        <v>678</v>
      </c>
      <c r="AE58" s="513" t="e">
        <f>IF(ISNA(MATCH(AE$2,Inputs!$K$4:$AJ$4,0)),NA(),IF(SUMPRODUCT((Inputs!$A$5:$A$110=$B58)*ISNUMBER(INDEX(Inputs!$K$5:$AJ$110,0,MATCH(AE$2,Inputs!$K$4:$AJ$4,0))))+SUMPRODUCT((Inputs!$C$5:$C$110=$B58)*ISNUMBER(INDEX(Inputs!$K$5:$AJ$110,0,MATCH(AE$2,Inputs!$K$4:$AJ$4,0))))+SUMPRODUCT((Inputs!$E$5:$E$110=$B58)*ISNUMBER(INDEX(Inputs!$K$5:$AJ$110,0,MATCH(AE$2,Inputs!$K$4:$AJ$4,0))))=0,NA(),SUMPRODUCT((Inputs!$A$5:$A$110=$B58)*Inputs!$B$5:$B$110*(((Inputs!$G$5:$G$110="moeda")+(Inputs!$G$5:$G$110="acoes"))*Inputs!$B$1+((Inputs!$G$5:$G$110&lt;&gt;"moeda")*(Inputs!$G$5:$G$110&lt;&gt;"acoes")))*INDEX(Inputs!$K$5:$AJ$110,0,MATCH(AE$2,Inputs!$K$4:$AJ$4,0)))+SUMPRODUCT((Inputs!$C$5:$C$110=$B58)*Inputs!$D$5:$D$110*(((Inputs!$G$5:$G$110="moeda")+(Inputs!$G$5:$G$110="acoes"))*Inputs!$B$1+((Inputs!$G$5:$G$110&lt;&gt;"moeda")*(Inputs!$G$5:$G$110&lt;&gt;"acoes")))*INDEX(Inputs!$K$5:$AJ$110,0,MATCH(AE$2,Inputs!$K$4:$AJ$4,0)))+SUMPRODUCT((Inputs!$E$5:$E$110=$B58)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8" s="513" t="e">
        <f>IF(ISNA(MATCH(AF$2,Inputs!$K$4:$AJ$4,0)),NA(),IF(SUMPRODUCT((Inputs!$A$5:$A$110=$B58)*ISNUMBER(INDEX(Inputs!$K$5:$AJ$110,0,MATCH(AF$2,Inputs!$K$4:$AJ$4,0))))+SUMPRODUCT((Inputs!$C$5:$C$110=$B58)*ISNUMBER(INDEX(Inputs!$K$5:$AJ$110,0,MATCH(AF$2,Inputs!$K$4:$AJ$4,0))))+SUMPRODUCT((Inputs!$E$5:$E$110=$B58)*ISNUMBER(INDEX(Inputs!$K$5:$AJ$110,0,MATCH(AF$2,Inputs!$K$4:$AJ$4,0))))=0,NA(),SUMPRODUCT((Inputs!$A$5:$A$110=$B58)*Inputs!$B$5:$B$110*(((Inputs!$G$5:$G$110="moeda")+(Inputs!$G$5:$G$110="acoes"))*Inputs!$B$1+((Inputs!$G$5:$G$110&lt;&gt;"moeda")*(Inputs!$G$5:$G$110&lt;&gt;"acoes")))*INDEX(Inputs!$K$5:$AJ$110,0,MATCH(AF$2,Inputs!$K$4:$AJ$4,0)))+SUMPRODUCT((Inputs!$C$5:$C$110=$B58)*Inputs!$D$5:$D$110*(((Inputs!$G$5:$G$110="moeda")+(Inputs!$G$5:$G$110="acoes"))*Inputs!$B$1+((Inputs!$G$5:$G$110&lt;&gt;"moeda")*(Inputs!$G$5:$G$110&lt;&gt;"acoes")))*INDEX(Inputs!$K$5:$AJ$110,0,MATCH(AF$2,Inputs!$K$4:$AJ$4,0)))+SUMPRODUCT((Inputs!$E$5:$E$110=$B58)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8" s="514" t="e">
        <f>SUM(AC58:AF58)</f>
        <v>#N/A</v>
      </c>
      <c r="AH58" s="513">
        <f>IF(ISNA(MATCH(AH$2,Inputs!$K$4:$AJ$4,0)),NA(),IF(SUMPRODUCT((Inputs!$A$5:$A$110=$B58)*ISNUMBER(INDEX(Inputs!$K$5:$AJ$110,0,MATCH(AH$2,Inputs!$K$4:$AJ$4,0))))+SUMPRODUCT((Inputs!$C$5:$C$110=$B58)*ISNUMBER(INDEX(Inputs!$K$5:$AJ$110,0,MATCH(AH$2,Inputs!$K$4:$AJ$4,0))))+SUMPRODUCT((Inputs!$E$5:$E$110=$B58)*ISNUMBER(INDEX(Inputs!$K$5:$AJ$110,0,MATCH(AH$2,Inputs!$K$4:$AJ$4,0))))=0,NA(),SUMPRODUCT((Inputs!$A$5:$A$110=$B58)*Inputs!$B$5:$B$110*(((Inputs!$G$5:$G$110="moeda")+(Inputs!$G$5:$G$110="acoes"))*Inputs!$B$1+((Inputs!$G$5:$G$110&lt;&gt;"moeda")*(Inputs!$G$5:$G$110&lt;&gt;"acoes")))*INDEX(Inputs!$K$5:$AJ$110,0,MATCH(AH$2,Inputs!$K$4:$AJ$4,0)))+SUMPRODUCT((Inputs!$C$5:$C$110=$B58)*Inputs!$D$5:$D$110*(((Inputs!$G$5:$G$110="moeda")+(Inputs!$G$5:$G$110="acoes"))*Inputs!$B$1+((Inputs!$G$5:$G$110&lt;&gt;"moeda")*(Inputs!$G$5:$G$110&lt;&gt;"acoes")))*INDEX(Inputs!$K$5:$AJ$110,0,MATCH(AH$2,Inputs!$K$4:$AJ$4,0)))+SUMPRODUCT((Inputs!$E$5:$E$110=$B58)*Inputs!$F$5:$F$110*(((Inputs!$G$5:$G$110="moeda")+(Inputs!$G$5:$G$110="acoes"))*Inputs!$B$1+((Inputs!$G$5:$G$110&lt;&gt;"moeda")*(Inputs!$G$5:$G$110&lt;&gt;"acoes")))*INDEX(Inputs!$K$5:$AJ$110,0,MATCH(AH$2,Inputs!$K$4:$AJ$4,0)))))</f>
        <v>494</v>
      </c>
      <c r="AI58" s="513">
        <f>IF(ISNA(MATCH(AI$2,Inputs!$K$4:$AJ$4,0)),NA(),IF(SUMPRODUCT((Inputs!$A$5:$A$110=$B58)*ISNUMBER(INDEX(Inputs!$K$5:$AJ$110,0,MATCH(AI$2,Inputs!$K$4:$AJ$4,0))))+SUMPRODUCT((Inputs!$C$5:$C$110=$B58)*ISNUMBER(INDEX(Inputs!$K$5:$AJ$110,0,MATCH(AI$2,Inputs!$K$4:$AJ$4,0))))+SUMPRODUCT((Inputs!$E$5:$E$110=$B58)*ISNUMBER(INDEX(Inputs!$K$5:$AJ$110,0,MATCH(AI$2,Inputs!$K$4:$AJ$4,0))))=0,NA(),SUMPRODUCT((Inputs!$A$5:$A$110=$B58)*Inputs!$B$5:$B$110*(((Inputs!$G$5:$G$110="moeda")+(Inputs!$G$5:$G$110="acoes"))*Inputs!$B$1+((Inputs!$G$5:$G$110&lt;&gt;"moeda")*(Inputs!$G$5:$G$110&lt;&gt;"acoes")))*INDEX(Inputs!$K$5:$AJ$110,0,MATCH(AI$2,Inputs!$K$4:$AJ$4,0)))+SUMPRODUCT((Inputs!$C$5:$C$110=$B58)*Inputs!$D$5:$D$110*(((Inputs!$G$5:$G$110="moeda")+(Inputs!$G$5:$G$110="acoes"))*Inputs!$B$1+((Inputs!$G$5:$G$110&lt;&gt;"moeda")*(Inputs!$G$5:$G$110&lt;&gt;"acoes")))*INDEX(Inputs!$K$5:$AJ$110,0,MATCH(AI$2,Inputs!$K$4:$AJ$4,0)))+SUMPRODUCT((Inputs!$E$5:$E$110=$B58)*Inputs!$F$5:$F$110*(((Inputs!$G$5:$G$110="moeda")+(Inputs!$G$5:$G$110="acoes"))*Inputs!$B$1+((Inputs!$G$5:$G$110&lt;&gt;"moeda")*(Inputs!$G$5:$G$110&lt;&gt;"acoes")))*INDEX(Inputs!$K$5:$AJ$110,0,MATCH(AI$2,Inputs!$K$4:$AJ$4,0)))))</f>
        <v>592</v>
      </c>
      <c r="AJ58" s="513">
        <f>IF(ISNA(MATCH(AJ$2,Inputs!$K$4:$AJ$4,0)),NA(),IF(SUMPRODUCT((Inputs!$A$5:$A$110=$B58)*ISNUMBER(INDEX(Inputs!$K$5:$AJ$110,0,MATCH(AJ$2,Inputs!$K$4:$AJ$4,0))))+SUMPRODUCT((Inputs!$C$5:$C$110=$B58)*ISNUMBER(INDEX(Inputs!$K$5:$AJ$110,0,MATCH(AJ$2,Inputs!$K$4:$AJ$4,0))))+SUMPRODUCT((Inputs!$E$5:$E$110=$B58)*ISNUMBER(INDEX(Inputs!$K$5:$AJ$110,0,MATCH(AJ$2,Inputs!$K$4:$AJ$4,0))))=0,NA(),SUMPRODUCT((Inputs!$A$5:$A$110=$B58)*Inputs!$B$5:$B$110*(((Inputs!$G$5:$G$110="moeda")+(Inputs!$G$5:$G$110="acoes"))*Inputs!$B$1+((Inputs!$G$5:$G$110&lt;&gt;"moeda")*(Inputs!$G$5:$G$110&lt;&gt;"acoes")))*INDEX(Inputs!$K$5:$AJ$110,0,MATCH(AJ$2,Inputs!$K$4:$AJ$4,0)))+SUMPRODUCT((Inputs!$C$5:$C$110=$B58)*Inputs!$D$5:$D$110*(((Inputs!$G$5:$G$110="moeda")+(Inputs!$G$5:$G$110="acoes"))*Inputs!$B$1+((Inputs!$G$5:$G$110&lt;&gt;"moeda")*(Inputs!$G$5:$G$110&lt;&gt;"acoes")))*INDEX(Inputs!$K$5:$AJ$110,0,MATCH(AJ$2,Inputs!$K$4:$AJ$4,0)))+SUMPRODUCT((Inputs!$E$5:$E$110=$B58)*Inputs!$F$5:$F$110*(((Inputs!$G$5:$G$110="moeda")+(Inputs!$G$5:$G$110="acoes"))*Inputs!$B$1+((Inputs!$G$5:$G$110&lt;&gt;"moeda")*(Inputs!$G$5:$G$110&lt;&gt;"acoes")))*INDEX(Inputs!$K$5:$AJ$110,0,MATCH(AJ$2,Inputs!$K$4:$AJ$4,0)))))</f>
        <v>431</v>
      </c>
      <c r="AK58" s="513">
        <f>IF(ISNA(MATCH(AK$2,Inputs!$K$4:$AJ$4,0)),NA(),IF(SUMPRODUCT((Inputs!$A$5:$A$110=$B58)*ISNUMBER(INDEX(Inputs!$K$5:$AJ$110,0,MATCH(AK$2,Inputs!$K$4:$AJ$4,0))))+SUMPRODUCT((Inputs!$C$5:$C$110=$B58)*ISNUMBER(INDEX(Inputs!$K$5:$AJ$110,0,MATCH(AK$2,Inputs!$K$4:$AJ$4,0))))+SUMPRODUCT((Inputs!$E$5:$E$110=$B58)*ISNUMBER(INDEX(Inputs!$K$5:$AJ$110,0,MATCH(AK$2,Inputs!$K$4:$AJ$4,0))))=0,NA(),SUMPRODUCT((Inputs!$A$5:$A$110=$B58)*Inputs!$B$5:$B$110*(((Inputs!$G$5:$G$110="moeda")+(Inputs!$G$5:$G$110="acoes"))*Inputs!$B$1+((Inputs!$G$5:$G$110&lt;&gt;"moeda")*(Inputs!$G$5:$G$110&lt;&gt;"acoes")))*INDEX(Inputs!$K$5:$AJ$110,0,MATCH(AK$2,Inputs!$K$4:$AJ$4,0)))+SUMPRODUCT((Inputs!$C$5:$C$110=$B58)*Inputs!$D$5:$D$110*(((Inputs!$G$5:$G$110="moeda")+(Inputs!$G$5:$G$110="acoes"))*Inputs!$B$1+((Inputs!$G$5:$G$110&lt;&gt;"moeda")*(Inputs!$G$5:$G$110&lt;&gt;"acoes")))*INDEX(Inputs!$K$5:$AJ$110,0,MATCH(AK$2,Inputs!$K$4:$AJ$4,0)))+SUMPRODUCT((Inputs!$E$5:$E$110=$B58)*Inputs!$F$5:$F$110*(((Inputs!$G$5:$G$110="moeda")+(Inputs!$G$5:$G$110="acoes"))*Inputs!$B$1+((Inputs!$G$5:$G$110&lt;&gt;"moeda")*(Inputs!$G$5:$G$110&lt;&gt;"acoes")))*INDEX(Inputs!$K$5:$AJ$110,0,MATCH(AK$2,Inputs!$K$4:$AJ$4,0)))))</f>
        <v>389</v>
      </c>
      <c r="AL58" s="514">
        <f>SUM(AH58:AK58)</f>
        <v>1906</v>
      </c>
    </row>
    <row r="59">
      <c r="B59" s="265" t="n">
        <v>51</v>
      </c>
      <c r="C59" s="266" t="inlineStr">
        <is>
          <t>Walmart U.S. - Grocery (USD)</t>
        </is>
      </c>
      <c r="D59" s="513">
        <f>IF(ISNA(MATCH(D$2,Inputs!$K$4:$AJ$4,0)),NA(),IF(SUMPRODUCT((Inputs!$A$5:$A$110=$B59)*ISNUMBER(INDEX(Inputs!$K$5:$AJ$110,0,MATCH(D$2,Inputs!$K$4:$AJ$4,0))))+SUMPRODUCT((Inputs!$C$5:$C$110=$B59)*ISNUMBER(INDEX(Inputs!$K$5:$AJ$110,0,MATCH(D$2,Inputs!$K$4:$AJ$4,0))))+SUMPRODUCT((Inputs!$E$5:$E$110=$B59)*ISNUMBER(INDEX(Inputs!$K$5:$AJ$110,0,MATCH(D$2,Inputs!$K$4:$AJ$4,0))))=0,NA(),SUMPRODUCT((Inputs!$A$5:$A$110=$B59)*Inputs!$B$5:$B$110*(((Inputs!$G$5:$G$110="moeda")+(Inputs!$G$5:$G$110="acoes"))*Inputs!$B$1+((Inputs!$G$5:$G$110&lt;&gt;"moeda")*(Inputs!$G$5:$G$110&lt;&gt;"acoes")))*INDEX(Inputs!$K$5:$AJ$110,0,MATCH(D$2,Inputs!$K$4:$AJ$4,0)))+SUMPRODUCT((Inputs!$C$5:$C$110=$B59)*Inputs!$D$5:$D$110*(((Inputs!$G$5:$G$110="moeda")+(Inputs!$G$5:$G$110="acoes"))*Inputs!$B$1+((Inputs!$G$5:$G$110&lt;&gt;"moeda")*(Inputs!$G$5:$G$110&lt;&gt;"acoes")))*INDEX(Inputs!$K$5:$AJ$110,0,MATCH(D$2,Inputs!$K$4:$AJ$4,0)))+SUMPRODUCT((Inputs!$E$5:$E$110=$B59)*Inputs!$F$5:$F$110*(((Inputs!$G$5:$G$110="moeda")+(Inputs!$G$5:$G$110="acoes"))*Inputs!$B$1+((Inputs!$G$5:$G$110&lt;&gt;"moeda")*(Inputs!$G$5:$G$110&lt;&gt;"acoes")))*INDEX(Inputs!$K$5:$AJ$110,0,MATCH(D$2,Inputs!$K$4:$AJ$4,0)))))</f>
        <v>51391</v>
      </c>
      <c r="E59" s="513">
        <f>IF(ISNA(MATCH(E$2,Inputs!$K$4:$AJ$4,0)),NA(),IF(SUMPRODUCT((Inputs!$A$5:$A$110=$B59)*ISNUMBER(INDEX(Inputs!$K$5:$AJ$110,0,MATCH(E$2,Inputs!$K$4:$AJ$4,0))))+SUMPRODUCT((Inputs!$C$5:$C$110=$B59)*ISNUMBER(INDEX(Inputs!$K$5:$AJ$110,0,MATCH(E$2,Inputs!$K$4:$AJ$4,0))))+SUMPRODUCT((Inputs!$E$5:$E$110=$B59)*ISNUMBER(INDEX(Inputs!$K$5:$AJ$110,0,MATCH(E$2,Inputs!$K$4:$AJ$4,0))))=0,NA(),SUMPRODUCT((Inputs!$A$5:$A$110=$B59)*Inputs!$B$5:$B$110*(((Inputs!$G$5:$G$110="moeda")+(Inputs!$G$5:$G$110="acoes"))*Inputs!$B$1+((Inputs!$G$5:$G$110&lt;&gt;"moeda")*(Inputs!$G$5:$G$110&lt;&gt;"acoes")))*INDEX(Inputs!$K$5:$AJ$110,0,MATCH(E$2,Inputs!$K$4:$AJ$4,0)))+SUMPRODUCT((Inputs!$C$5:$C$110=$B59)*Inputs!$D$5:$D$110*(((Inputs!$G$5:$G$110="moeda")+(Inputs!$G$5:$G$110="acoes"))*Inputs!$B$1+((Inputs!$G$5:$G$110&lt;&gt;"moeda")*(Inputs!$G$5:$G$110&lt;&gt;"acoes")))*INDEX(Inputs!$K$5:$AJ$110,0,MATCH(E$2,Inputs!$K$4:$AJ$4,0)))+SUMPRODUCT((Inputs!$E$5:$E$110=$B59)*Inputs!$F$5:$F$110*(((Inputs!$G$5:$G$110="moeda")+(Inputs!$G$5:$G$110="acoes"))*Inputs!$B$1+((Inputs!$G$5:$G$110&lt;&gt;"moeda")*(Inputs!$G$5:$G$110&lt;&gt;"acoes")))*INDEX(Inputs!$K$5:$AJ$110,0,MATCH(E$2,Inputs!$K$4:$AJ$4,0)))))</f>
        <v>54649</v>
      </c>
      <c r="F59" s="513">
        <f>IF(ISNA(MATCH(F$2,Inputs!$K$4:$AJ$4,0)),NA(),IF(SUMPRODUCT((Inputs!$A$5:$A$110=$B59)*ISNUMBER(INDEX(Inputs!$K$5:$AJ$110,0,MATCH(F$2,Inputs!$K$4:$AJ$4,0))))+SUMPRODUCT((Inputs!$C$5:$C$110=$B59)*ISNUMBER(INDEX(Inputs!$K$5:$AJ$110,0,MATCH(F$2,Inputs!$K$4:$AJ$4,0))))+SUMPRODUCT((Inputs!$E$5:$E$110=$B59)*ISNUMBER(INDEX(Inputs!$K$5:$AJ$110,0,MATCH(F$2,Inputs!$K$4:$AJ$4,0))))=0,NA(),SUMPRODUCT((Inputs!$A$5:$A$110=$B59)*Inputs!$B$5:$B$110*(((Inputs!$G$5:$G$110="moeda")+(Inputs!$G$5:$G$110="acoes"))*Inputs!$B$1+((Inputs!$G$5:$G$110&lt;&gt;"moeda")*(Inputs!$G$5:$G$110&lt;&gt;"acoes")))*INDEX(Inputs!$K$5:$AJ$110,0,MATCH(F$2,Inputs!$K$4:$AJ$4,0)))+SUMPRODUCT((Inputs!$C$5:$C$110=$B59)*Inputs!$D$5:$D$110*(((Inputs!$G$5:$G$110="moeda")+(Inputs!$G$5:$G$110="acoes"))*Inputs!$B$1+((Inputs!$G$5:$G$110&lt;&gt;"moeda")*(Inputs!$G$5:$G$110&lt;&gt;"acoes")))*INDEX(Inputs!$K$5:$AJ$110,0,MATCH(F$2,Inputs!$K$4:$AJ$4,0)))+SUMPRODUCT((Inputs!$E$5:$E$110=$B59)*Inputs!$F$5:$F$110*(((Inputs!$G$5:$G$110="moeda")+(Inputs!$G$5:$G$110="acoes"))*Inputs!$B$1+((Inputs!$G$5:$G$110&lt;&gt;"moeda")*(Inputs!$G$5:$G$110&lt;&gt;"acoes")))*INDEX(Inputs!$K$5:$AJ$110,0,MATCH(F$2,Inputs!$K$4:$AJ$4,0)))))</f>
        <v>55560</v>
      </c>
      <c r="G59" s="513">
        <f>IF(ISNA(MATCH(G$2,Inputs!$K$4:$AJ$4,0)),NA(),IF(SUMPRODUCT((Inputs!$A$5:$A$110=$B59)*ISNUMBER(INDEX(Inputs!$K$5:$AJ$110,0,MATCH(G$2,Inputs!$K$4:$AJ$4,0))))+SUMPRODUCT((Inputs!$C$5:$C$110=$B59)*ISNUMBER(INDEX(Inputs!$K$5:$AJ$110,0,MATCH(G$2,Inputs!$K$4:$AJ$4,0))))+SUMPRODUCT((Inputs!$E$5:$E$110=$B59)*ISNUMBER(INDEX(Inputs!$K$5:$AJ$110,0,MATCH(G$2,Inputs!$K$4:$AJ$4,0))))=0,NA(),SUMPRODUCT((Inputs!$A$5:$A$110=$B59)*Inputs!$B$5:$B$110*(((Inputs!$G$5:$G$110="moeda")+(Inputs!$G$5:$G$110="acoes"))*Inputs!$B$1+((Inputs!$G$5:$G$110&lt;&gt;"moeda")*(Inputs!$G$5:$G$110&lt;&gt;"acoes")))*INDEX(Inputs!$K$5:$AJ$110,0,MATCH(G$2,Inputs!$K$4:$AJ$4,0)))+SUMPRODUCT((Inputs!$C$5:$C$110=$B59)*Inputs!$D$5:$D$110*(((Inputs!$G$5:$G$110="moeda")+(Inputs!$G$5:$G$110="acoes"))*Inputs!$B$1+((Inputs!$G$5:$G$110&lt;&gt;"moeda")*(Inputs!$G$5:$G$110&lt;&gt;"acoes")))*INDEX(Inputs!$K$5:$AJ$110,0,MATCH(G$2,Inputs!$K$4:$AJ$4,0)))+SUMPRODUCT((Inputs!$E$5:$E$110=$B59)*Inputs!$F$5:$F$110*(((Inputs!$G$5:$G$110="moeda")+(Inputs!$G$5:$G$110="acoes"))*Inputs!$B$1+((Inputs!$G$5:$G$110&lt;&gt;"moeda")*(Inputs!$G$5:$G$110&lt;&gt;"acoes")))*INDEX(Inputs!$K$5:$AJ$110,0,MATCH(G$2,Inputs!$K$4:$AJ$4,0)))))</f>
        <v>57344</v>
      </c>
      <c r="H59" s="514">
        <f>SUM(D59:G59)</f>
        <v>218944</v>
      </c>
      <c r="I59" s="513">
        <f>IF(ISNA(MATCH(I$2,Inputs!$K$4:$AJ$4,0)),NA(),IF(SUMPRODUCT((Inputs!$A$5:$A$110=$B59)*ISNUMBER(INDEX(Inputs!$K$5:$AJ$110,0,MATCH(I$2,Inputs!$K$4:$AJ$4,0))))+SUMPRODUCT((Inputs!$C$5:$C$110=$B59)*ISNUMBER(INDEX(Inputs!$K$5:$AJ$110,0,MATCH(I$2,Inputs!$K$4:$AJ$4,0))))+SUMPRODUCT((Inputs!$E$5:$E$110=$B59)*ISNUMBER(INDEX(Inputs!$K$5:$AJ$110,0,MATCH(I$2,Inputs!$K$4:$AJ$4,0))))=0,NA(),SUMPRODUCT((Inputs!$A$5:$A$110=$B59)*Inputs!$B$5:$B$110*(((Inputs!$G$5:$G$110="moeda")+(Inputs!$G$5:$G$110="acoes"))*Inputs!$B$1+((Inputs!$G$5:$G$110&lt;&gt;"moeda")*(Inputs!$G$5:$G$110&lt;&gt;"acoes")))*INDEX(Inputs!$K$5:$AJ$110,0,MATCH(I$2,Inputs!$K$4:$AJ$4,0)))+SUMPRODUCT((Inputs!$C$5:$C$110=$B59)*Inputs!$D$5:$D$110*(((Inputs!$G$5:$G$110="moeda")+(Inputs!$G$5:$G$110="acoes"))*Inputs!$B$1+((Inputs!$G$5:$G$110&lt;&gt;"moeda")*(Inputs!$G$5:$G$110&lt;&gt;"acoes")))*INDEX(Inputs!$K$5:$AJ$110,0,MATCH(I$2,Inputs!$K$4:$AJ$4,0)))+SUMPRODUCT((Inputs!$E$5:$E$110=$B59)*Inputs!$F$5:$F$110*(((Inputs!$G$5:$G$110="moeda")+(Inputs!$G$5:$G$110="acoes"))*Inputs!$B$1+((Inputs!$G$5:$G$110&lt;&gt;"moeda")*(Inputs!$G$5:$G$110&lt;&gt;"acoes")))*INDEX(Inputs!$K$5:$AJ$110,0,MATCH(I$2,Inputs!$K$4:$AJ$4,0)))))</f>
        <v>56764</v>
      </c>
      <c r="J59" s="513">
        <f>IF(ISNA(MATCH(J$2,Inputs!$K$4:$AJ$4,0)),NA(),IF(SUMPRODUCT((Inputs!$A$5:$A$110=$B59)*ISNUMBER(INDEX(Inputs!$K$5:$AJ$110,0,MATCH(J$2,Inputs!$K$4:$AJ$4,0))))+SUMPRODUCT((Inputs!$C$5:$C$110=$B59)*ISNUMBER(INDEX(Inputs!$K$5:$AJ$110,0,MATCH(J$2,Inputs!$K$4:$AJ$4,0))))+SUMPRODUCT((Inputs!$E$5:$E$110=$B59)*ISNUMBER(INDEX(Inputs!$K$5:$AJ$110,0,MATCH(J$2,Inputs!$K$4:$AJ$4,0))))=0,NA(),SUMPRODUCT((Inputs!$A$5:$A$110=$B59)*Inputs!$B$5:$B$110*(((Inputs!$G$5:$G$110="moeda")+(Inputs!$G$5:$G$110="acoes"))*Inputs!$B$1+((Inputs!$G$5:$G$110&lt;&gt;"moeda")*(Inputs!$G$5:$G$110&lt;&gt;"acoes")))*INDEX(Inputs!$K$5:$AJ$110,0,MATCH(J$2,Inputs!$K$4:$AJ$4,0)))+SUMPRODUCT((Inputs!$C$5:$C$110=$B59)*Inputs!$D$5:$D$110*(((Inputs!$G$5:$G$110="moeda")+(Inputs!$G$5:$G$110="acoes"))*Inputs!$B$1+((Inputs!$G$5:$G$110&lt;&gt;"moeda")*(Inputs!$G$5:$G$110&lt;&gt;"acoes")))*INDEX(Inputs!$K$5:$AJ$110,0,MATCH(J$2,Inputs!$K$4:$AJ$4,0)))+SUMPRODUCT((Inputs!$E$5:$E$110=$B59)*Inputs!$F$5:$F$110*(((Inputs!$G$5:$G$110="moeda")+(Inputs!$G$5:$G$110="acoes"))*Inputs!$B$1+((Inputs!$G$5:$G$110&lt;&gt;"moeda")*(Inputs!$G$5:$G$110&lt;&gt;"acoes")))*INDEX(Inputs!$K$5:$AJ$110,0,MATCH(J$2,Inputs!$K$4:$AJ$4,0)))))</f>
        <v>61469</v>
      </c>
      <c r="K59" s="513">
        <f>IF(ISNA(MATCH(K$2,Inputs!$K$4:$AJ$4,0)),NA(),IF(SUMPRODUCT((Inputs!$A$5:$A$110=$B59)*ISNUMBER(INDEX(Inputs!$K$5:$AJ$110,0,MATCH(K$2,Inputs!$K$4:$AJ$4,0))))+SUMPRODUCT((Inputs!$C$5:$C$110=$B59)*ISNUMBER(INDEX(Inputs!$K$5:$AJ$110,0,MATCH(K$2,Inputs!$K$4:$AJ$4,0))))+SUMPRODUCT((Inputs!$E$5:$E$110=$B59)*ISNUMBER(INDEX(Inputs!$K$5:$AJ$110,0,MATCH(K$2,Inputs!$K$4:$AJ$4,0))))=0,NA(),SUMPRODUCT((Inputs!$A$5:$A$110=$B59)*Inputs!$B$5:$B$110*(((Inputs!$G$5:$G$110="moeda")+(Inputs!$G$5:$G$110="acoes"))*Inputs!$B$1+((Inputs!$G$5:$G$110&lt;&gt;"moeda")*(Inputs!$G$5:$G$110&lt;&gt;"acoes")))*INDEX(Inputs!$K$5:$AJ$110,0,MATCH(K$2,Inputs!$K$4:$AJ$4,0)))+SUMPRODUCT((Inputs!$C$5:$C$110=$B59)*Inputs!$D$5:$D$110*(((Inputs!$G$5:$G$110="moeda")+(Inputs!$G$5:$G$110="acoes"))*Inputs!$B$1+((Inputs!$G$5:$G$110&lt;&gt;"moeda")*(Inputs!$G$5:$G$110&lt;&gt;"acoes")))*INDEX(Inputs!$K$5:$AJ$110,0,MATCH(K$2,Inputs!$K$4:$AJ$4,0)))+SUMPRODUCT((Inputs!$E$5:$E$110=$B59)*Inputs!$F$5:$F$110*(((Inputs!$G$5:$G$110="moeda")+(Inputs!$G$5:$G$110="acoes"))*Inputs!$B$1+((Inputs!$G$5:$G$110&lt;&gt;"moeda")*(Inputs!$G$5:$G$110&lt;&gt;"acoes")))*INDEX(Inputs!$K$5:$AJ$110,0,MATCH(K$2,Inputs!$K$4:$AJ$4,0)))))</f>
        <v>63231</v>
      </c>
      <c r="L59" s="513">
        <f>IF(ISNA(MATCH(L$2,Inputs!$K$4:$AJ$4,0)),NA(),IF(SUMPRODUCT((Inputs!$A$5:$A$110=$B59)*ISNUMBER(INDEX(Inputs!$K$5:$AJ$110,0,MATCH(L$2,Inputs!$K$4:$AJ$4,0))))+SUMPRODUCT((Inputs!$C$5:$C$110=$B59)*ISNUMBER(INDEX(Inputs!$K$5:$AJ$110,0,MATCH(L$2,Inputs!$K$4:$AJ$4,0))))+SUMPRODUCT((Inputs!$E$5:$E$110=$B59)*ISNUMBER(INDEX(Inputs!$K$5:$AJ$110,0,MATCH(L$2,Inputs!$K$4:$AJ$4,0))))=0,NA(),SUMPRODUCT((Inputs!$A$5:$A$110=$B59)*Inputs!$B$5:$B$110*(((Inputs!$G$5:$G$110="moeda")+(Inputs!$G$5:$G$110="acoes"))*Inputs!$B$1+((Inputs!$G$5:$G$110&lt;&gt;"moeda")*(Inputs!$G$5:$G$110&lt;&gt;"acoes")))*INDEX(Inputs!$K$5:$AJ$110,0,MATCH(L$2,Inputs!$K$4:$AJ$4,0)))+SUMPRODUCT((Inputs!$C$5:$C$110=$B59)*Inputs!$D$5:$D$110*(((Inputs!$G$5:$G$110="moeda")+(Inputs!$G$5:$G$110="acoes"))*Inputs!$B$1+((Inputs!$G$5:$G$110&lt;&gt;"moeda")*(Inputs!$G$5:$G$110&lt;&gt;"acoes")))*INDEX(Inputs!$K$5:$AJ$110,0,MATCH(L$2,Inputs!$K$4:$AJ$4,0)))+SUMPRODUCT((Inputs!$E$5:$E$110=$B59)*Inputs!$F$5:$F$110*(((Inputs!$G$5:$G$110="moeda")+(Inputs!$G$5:$G$110="acoes"))*Inputs!$B$1+((Inputs!$G$5:$G$110&lt;&gt;"moeda")*(Inputs!$G$5:$G$110&lt;&gt;"acoes")))*INDEX(Inputs!$K$5:$AJ$110,0,MATCH(L$2,Inputs!$K$4:$AJ$4,0)))))</f>
        <v>65835</v>
      </c>
      <c r="M59" s="514">
        <f>SUM(I59:L59)</f>
        <v>247299</v>
      </c>
      <c r="N59" s="513">
        <f>IF(ISNA(MATCH(N$2,Inputs!$K$4:$AJ$4,0)),NA(),IF(SUMPRODUCT((Inputs!$A$5:$A$110=$B59)*ISNUMBER(INDEX(Inputs!$K$5:$AJ$110,0,MATCH(N$2,Inputs!$K$4:$AJ$4,0))))+SUMPRODUCT((Inputs!$C$5:$C$110=$B59)*ISNUMBER(INDEX(Inputs!$K$5:$AJ$110,0,MATCH(N$2,Inputs!$K$4:$AJ$4,0))))+SUMPRODUCT((Inputs!$E$5:$E$110=$B59)*ISNUMBER(INDEX(Inputs!$K$5:$AJ$110,0,MATCH(N$2,Inputs!$K$4:$AJ$4,0))))=0,NA(),SUMPRODUCT((Inputs!$A$5:$A$110=$B59)*Inputs!$B$5:$B$110*(((Inputs!$G$5:$G$110="moeda")+(Inputs!$G$5:$G$110="acoes"))*Inputs!$B$1+((Inputs!$G$5:$G$110&lt;&gt;"moeda")*(Inputs!$G$5:$G$110&lt;&gt;"acoes")))*INDEX(Inputs!$K$5:$AJ$110,0,MATCH(N$2,Inputs!$K$4:$AJ$4,0)))+SUMPRODUCT((Inputs!$C$5:$C$110=$B59)*Inputs!$D$5:$D$110*(((Inputs!$G$5:$G$110="moeda")+(Inputs!$G$5:$G$110="acoes"))*Inputs!$B$1+((Inputs!$G$5:$G$110&lt;&gt;"moeda")*(Inputs!$G$5:$G$110&lt;&gt;"acoes")))*INDEX(Inputs!$K$5:$AJ$110,0,MATCH(N$2,Inputs!$K$4:$AJ$4,0)))+SUMPRODUCT((Inputs!$E$5:$E$110=$B59)*Inputs!$F$5:$F$110*(((Inputs!$G$5:$G$110="moeda")+(Inputs!$G$5:$G$110="acoes"))*Inputs!$B$1+((Inputs!$G$5:$G$110&lt;&gt;"moeda")*(Inputs!$G$5:$G$110&lt;&gt;"acoes")))*INDEX(Inputs!$K$5:$AJ$110,0,MATCH(N$2,Inputs!$K$4:$AJ$4,0)))))</f>
        <v>63407</v>
      </c>
      <c r="O59" s="513">
        <f>IF(ISNA(MATCH(O$2,Inputs!$K$4:$AJ$4,0)),NA(),IF(SUMPRODUCT((Inputs!$A$5:$A$110=$B59)*ISNUMBER(INDEX(Inputs!$K$5:$AJ$110,0,MATCH(O$2,Inputs!$K$4:$AJ$4,0))))+SUMPRODUCT((Inputs!$C$5:$C$110=$B59)*ISNUMBER(INDEX(Inputs!$K$5:$AJ$110,0,MATCH(O$2,Inputs!$K$4:$AJ$4,0))))+SUMPRODUCT((Inputs!$E$5:$E$110=$B59)*ISNUMBER(INDEX(Inputs!$K$5:$AJ$110,0,MATCH(O$2,Inputs!$K$4:$AJ$4,0))))=0,NA(),SUMPRODUCT((Inputs!$A$5:$A$110=$B59)*Inputs!$B$5:$B$110*(((Inputs!$G$5:$G$110="moeda")+(Inputs!$G$5:$G$110="acoes"))*Inputs!$B$1+((Inputs!$G$5:$G$110&lt;&gt;"moeda")*(Inputs!$G$5:$G$110&lt;&gt;"acoes")))*INDEX(Inputs!$K$5:$AJ$110,0,MATCH(O$2,Inputs!$K$4:$AJ$4,0)))+SUMPRODUCT((Inputs!$C$5:$C$110=$B59)*Inputs!$D$5:$D$110*(((Inputs!$G$5:$G$110="moeda")+(Inputs!$G$5:$G$110="acoes"))*Inputs!$B$1+((Inputs!$G$5:$G$110&lt;&gt;"moeda")*(Inputs!$G$5:$G$110&lt;&gt;"acoes")))*INDEX(Inputs!$K$5:$AJ$110,0,MATCH(O$2,Inputs!$K$4:$AJ$4,0)))+SUMPRODUCT((Inputs!$E$5:$E$110=$B59)*Inputs!$F$5:$F$110*(((Inputs!$G$5:$G$110="moeda")+(Inputs!$G$5:$G$110="acoes"))*Inputs!$B$1+((Inputs!$G$5:$G$110&lt;&gt;"moeda")*(Inputs!$G$5:$G$110&lt;&gt;"acoes")))*INDEX(Inputs!$K$5:$AJ$110,0,MATCH(O$2,Inputs!$K$4:$AJ$4,0)))))</f>
        <v>66240</v>
      </c>
      <c r="P59" s="513">
        <f>IF(ISNA(MATCH(P$2,Inputs!$K$4:$AJ$4,0)),NA(),IF(SUMPRODUCT((Inputs!$A$5:$A$110=$B59)*ISNUMBER(INDEX(Inputs!$K$5:$AJ$110,0,MATCH(P$2,Inputs!$K$4:$AJ$4,0))))+SUMPRODUCT((Inputs!$C$5:$C$110=$B59)*ISNUMBER(INDEX(Inputs!$K$5:$AJ$110,0,MATCH(P$2,Inputs!$K$4:$AJ$4,0))))+SUMPRODUCT((Inputs!$E$5:$E$110=$B59)*ISNUMBER(INDEX(Inputs!$K$5:$AJ$110,0,MATCH(P$2,Inputs!$K$4:$AJ$4,0))))=0,NA(),SUMPRODUCT((Inputs!$A$5:$A$110=$B59)*Inputs!$B$5:$B$110*(((Inputs!$G$5:$G$110="moeda")+(Inputs!$G$5:$G$110="acoes"))*Inputs!$B$1+((Inputs!$G$5:$G$110&lt;&gt;"moeda")*(Inputs!$G$5:$G$110&lt;&gt;"acoes")))*INDEX(Inputs!$K$5:$AJ$110,0,MATCH(P$2,Inputs!$K$4:$AJ$4,0)))+SUMPRODUCT((Inputs!$C$5:$C$110=$B59)*Inputs!$D$5:$D$110*(((Inputs!$G$5:$G$110="moeda")+(Inputs!$G$5:$G$110="acoes"))*Inputs!$B$1+((Inputs!$G$5:$G$110&lt;&gt;"moeda")*(Inputs!$G$5:$G$110&lt;&gt;"acoes")))*INDEX(Inputs!$K$5:$AJ$110,0,MATCH(P$2,Inputs!$K$4:$AJ$4,0)))+SUMPRODUCT((Inputs!$E$5:$E$110=$B59)*Inputs!$F$5:$F$110*(((Inputs!$G$5:$G$110="moeda")+(Inputs!$G$5:$G$110="acoes"))*Inputs!$B$1+((Inputs!$G$5:$G$110&lt;&gt;"moeda")*(Inputs!$G$5:$G$110&lt;&gt;"acoes")))*INDEX(Inputs!$K$5:$AJ$110,0,MATCH(P$2,Inputs!$K$4:$AJ$4,0)))))</f>
        <v>66289</v>
      </c>
      <c r="Q59" s="513">
        <f>IF(ISNA(MATCH(Q$2,Inputs!$K$4:$AJ$4,0)),NA(),IF(SUMPRODUCT((Inputs!$A$5:$A$110=$B59)*ISNUMBER(INDEX(Inputs!$K$5:$AJ$110,0,MATCH(Q$2,Inputs!$K$4:$AJ$4,0))))+SUMPRODUCT((Inputs!$C$5:$C$110=$B59)*ISNUMBER(INDEX(Inputs!$K$5:$AJ$110,0,MATCH(Q$2,Inputs!$K$4:$AJ$4,0))))+SUMPRODUCT((Inputs!$E$5:$E$110=$B59)*ISNUMBER(INDEX(Inputs!$K$5:$AJ$110,0,MATCH(Q$2,Inputs!$K$4:$AJ$4,0))))=0,NA(),SUMPRODUCT((Inputs!$A$5:$A$110=$B59)*Inputs!$B$5:$B$110*(((Inputs!$G$5:$G$110="moeda")+(Inputs!$G$5:$G$110="acoes"))*Inputs!$B$1+((Inputs!$G$5:$G$110&lt;&gt;"moeda")*(Inputs!$G$5:$G$110&lt;&gt;"acoes")))*INDEX(Inputs!$K$5:$AJ$110,0,MATCH(Q$2,Inputs!$K$4:$AJ$4,0)))+SUMPRODUCT((Inputs!$C$5:$C$110=$B59)*Inputs!$D$5:$D$110*(((Inputs!$G$5:$G$110="moeda")+(Inputs!$G$5:$G$110="acoes"))*Inputs!$B$1+((Inputs!$G$5:$G$110&lt;&gt;"moeda")*(Inputs!$G$5:$G$110&lt;&gt;"acoes")))*INDEX(Inputs!$K$5:$AJ$110,0,MATCH(Q$2,Inputs!$K$4:$AJ$4,0)))+SUMPRODUCT((Inputs!$E$5:$E$110=$B59)*Inputs!$F$5:$F$110*(((Inputs!$G$5:$G$110="moeda")+(Inputs!$G$5:$G$110="acoes"))*Inputs!$B$1+((Inputs!$G$5:$G$110&lt;&gt;"moeda")*(Inputs!$G$5:$G$110&lt;&gt;"acoes")))*INDEX(Inputs!$K$5:$AJ$110,0,MATCH(Q$2,Inputs!$K$4:$AJ$4,0)))))</f>
        <v>68274</v>
      </c>
      <c r="R59" s="514">
        <f>SUM(N59:Q59)</f>
        <v>264210</v>
      </c>
      <c r="S59" s="513">
        <f>IF(ISNA(MATCH(S$2,Inputs!$K$4:$AJ$4,0)),NA(),IF(SUMPRODUCT((Inputs!$A$5:$A$110=$B59)*ISNUMBER(INDEX(Inputs!$K$5:$AJ$110,0,MATCH(S$2,Inputs!$K$4:$AJ$4,0))))+SUMPRODUCT((Inputs!$C$5:$C$110=$B59)*ISNUMBER(INDEX(Inputs!$K$5:$AJ$110,0,MATCH(S$2,Inputs!$K$4:$AJ$4,0))))+SUMPRODUCT((Inputs!$E$5:$E$110=$B59)*ISNUMBER(INDEX(Inputs!$K$5:$AJ$110,0,MATCH(S$2,Inputs!$K$4:$AJ$4,0))))=0,NA(),SUMPRODUCT((Inputs!$A$5:$A$110=$B59)*Inputs!$B$5:$B$110*(((Inputs!$G$5:$G$110="moeda")+(Inputs!$G$5:$G$110="acoes"))*Inputs!$B$1+((Inputs!$G$5:$G$110&lt;&gt;"moeda")*(Inputs!$G$5:$G$110&lt;&gt;"acoes")))*INDEX(Inputs!$K$5:$AJ$110,0,MATCH(S$2,Inputs!$K$4:$AJ$4,0)))+SUMPRODUCT((Inputs!$C$5:$C$110=$B59)*Inputs!$D$5:$D$110*(((Inputs!$G$5:$G$110="moeda")+(Inputs!$G$5:$G$110="acoes"))*Inputs!$B$1+((Inputs!$G$5:$G$110&lt;&gt;"moeda")*(Inputs!$G$5:$G$110&lt;&gt;"acoes")))*INDEX(Inputs!$K$5:$AJ$110,0,MATCH(S$2,Inputs!$K$4:$AJ$4,0)))+SUMPRODUCT((Inputs!$E$5:$E$110=$B59)*Inputs!$F$5:$F$110*(((Inputs!$G$5:$G$110="moeda")+(Inputs!$G$5:$G$110="acoes"))*Inputs!$B$1+((Inputs!$G$5:$G$110&lt;&gt;"moeda")*(Inputs!$G$5:$G$110&lt;&gt;"acoes")))*INDEX(Inputs!$K$5:$AJ$110,0,MATCH(S$2,Inputs!$K$4:$AJ$4,0)))))</f>
        <v>66431</v>
      </c>
      <c r="T59" s="513">
        <f>IF(ISNA(MATCH(T$2,Inputs!$K$4:$AJ$4,0)),NA(),IF(SUMPRODUCT((Inputs!$A$5:$A$110=$B59)*ISNUMBER(INDEX(Inputs!$K$5:$AJ$110,0,MATCH(T$2,Inputs!$K$4:$AJ$4,0))))+SUMPRODUCT((Inputs!$C$5:$C$110=$B59)*ISNUMBER(INDEX(Inputs!$K$5:$AJ$110,0,MATCH(T$2,Inputs!$K$4:$AJ$4,0))))+SUMPRODUCT((Inputs!$E$5:$E$110=$B59)*ISNUMBER(INDEX(Inputs!$K$5:$AJ$110,0,MATCH(T$2,Inputs!$K$4:$AJ$4,0))))=0,NA(),SUMPRODUCT((Inputs!$A$5:$A$110=$B59)*Inputs!$B$5:$B$110*(((Inputs!$G$5:$G$110="moeda")+(Inputs!$G$5:$G$110="acoes"))*Inputs!$B$1+((Inputs!$G$5:$G$110&lt;&gt;"moeda")*(Inputs!$G$5:$G$110&lt;&gt;"acoes")))*INDEX(Inputs!$K$5:$AJ$110,0,MATCH(T$2,Inputs!$K$4:$AJ$4,0)))+SUMPRODUCT((Inputs!$C$5:$C$110=$B59)*Inputs!$D$5:$D$110*(((Inputs!$G$5:$G$110="moeda")+(Inputs!$G$5:$G$110="acoes"))*Inputs!$B$1+((Inputs!$G$5:$G$110&lt;&gt;"moeda")*(Inputs!$G$5:$G$110&lt;&gt;"acoes")))*INDEX(Inputs!$K$5:$AJ$110,0,MATCH(T$2,Inputs!$K$4:$AJ$4,0)))+SUMPRODUCT((Inputs!$E$5:$E$110=$B59)*Inputs!$F$5:$F$110*(((Inputs!$G$5:$G$110="moeda")+(Inputs!$G$5:$G$110="acoes"))*Inputs!$B$1+((Inputs!$G$5:$G$110&lt;&gt;"moeda")*(Inputs!$G$5:$G$110&lt;&gt;"acoes")))*INDEX(Inputs!$K$5:$AJ$110,0,MATCH(T$2,Inputs!$K$4:$AJ$4,0)))))</f>
        <v>68680</v>
      </c>
      <c r="U59" s="513">
        <f>IF(ISNA(MATCH(U$2,Inputs!$K$4:$AJ$4,0)),NA(),IF(SUMPRODUCT((Inputs!$A$5:$A$110=$B59)*ISNUMBER(INDEX(Inputs!$K$5:$AJ$110,0,MATCH(U$2,Inputs!$K$4:$AJ$4,0))))+SUMPRODUCT((Inputs!$C$5:$C$110=$B59)*ISNUMBER(INDEX(Inputs!$K$5:$AJ$110,0,MATCH(U$2,Inputs!$K$4:$AJ$4,0))))+SUMPRODUCT((Inputs!$E$5:$E$110=$B59)*ISNUMBER(INDEX(Inputs!$K$5:$AJ$110,0,MATCH(U$2,Inputs!$K$4:$AJ$4,0))))=0,NA(),SUMPRODUCT((Inputs!$A$5:$A$110=$B59)*Inputs!$B$5:$B$110*(((Inputs!$G$5:$G$110="moeda")+(Inputs!$G$5:$G$110="acoes"))*Inputs!$B$1+((Inputs!$G$5:$G$110&lt;&gt;"moeda")*(Inputs!$G$5:$G$110&lt;&gt;"acoes")))*INDEX(Inputs!$K$5:$AJ$110,0,MATCH(U$2,Inputs!$K$4:$AJ$4,0)))+SUMPRODUCT((Inputs!$C$5:$C$110=$B59)*Inputs!$D$5:$D$110*(((Inputs!$G$5:$G$110="moeda")+(Inputs!$G$5:$G$110="acoes"))*Inputs!$B$1+((Inputs!$G$5:$G$110&lt;&gt;"moeda")*(Inputs!$G$5:$G$110&lt;&gt;"acoes")))*INDEX(Inputs!$K$5:$AJ$110,0,MATCH(U$2,Inputs!$K$4:$AJ$4,0)))+SUMPRODUCT((Inputs!$E$5:$E$110=$B59)*Inputs!$F$5:$F$110*(((Inputs!$G$5:$G$110="moeda")+(Inputs!$G$5:$G$110="acoes"))*Inputs!$B$1+((Inputs!$G$5:$G$110&lt;&gt;"moeda")*(Inputs!$G$5:$G$110&lt;&gt;"acoes")))*INDEX(Inputs!$K$5:$AJ$110,0,MATCH(U$2,Inputs!$K$4:$AJ$4,0)))))</f>
        <v>69344</v>
      </c>
      <c r="V59" s="513">
        <f>IF(ISNA(MATCH(V$2,Inputs!$K$4:$AJ$4,0)),NA(),IF(SUMPRODUCT((Inputs!$A$5:$A$110=$B59)*ISNUMBER(INDEX(Inputs!$K$5:$AJ$110,0,MATCH(V$2,Inputs!$K$4:$AJ$4,0))))+SUMPRODUCT((Inputs!$C$5:$C$110=$B59)*ISNUMBER(INDEX(Inputs!$K$5:$AJ$110,0,MATCH(V$2,Inputs!$K$4:$AJ$4,0))))+SUMPRODUCT((Inputs!$E$5:$E$110=$B59)*ISNUMBER(INDEX(Inputs!$K$5:$AJ$110,0,MATCH(V$2,Inputs!$K$4:$AJ$4,0))))=0,NA(),SUMPRODUCT((Inputs!$A$5:$A$110=$B59)*Inputs!$B$5:$B$110*(((Inputs!$G$5:$G$110="moeda")+(Inputs!$G$5:$G$110="acoes"))*Inputs!$B$1+((Inputs!$G$5:$G$110&lt;&gt;"moeda")*(Inputs!$G$5:$G$110&lt;&gt;"acoes")))*INDEX(Inputs!$K$5:$AJ$110,0,MATCH(V$2,Inputs!$K$4:$AJ$4,0)))+SUMPRODUCT((Inputs!$C$5:$C$110=$B59)*Inputs!$D$5:$D$110*(((Inputs!$G$5:$G$110="moeda")+(Inputs!$G$5:$G$110="acoes"))*Inputs!$B$1+((Inputs!$G$5:$G$110&lt;&gt;"moeda")*(Inputs!$G$5:$G$110&lt;&gt;"acoes")))*INDEX(Inputs!$K$5:$AJ$110,0,MATCH(V$2,Inputs!$K$4:$AJ$4,0)))+SUMPRODUCT((Inputs!$E$5:$E$110=$B59)*Inputs!$F$5:$F$110*(((Inputs!$G$5:$G$110="moeda")+(Inputs!$G$5:$G$110="acoes"))*Inputs!$B$1+((Inputs!$G$5:$G$110&lt;&gt;"moeda")*(Inputs!$G$5:$G$110&lt;&gt;"acoes")))*INDEX(Inputs!$K$5:$AJ$110,0,MATCH(V$2,Inputs!$K$4:$AJ$4,0)))))</f>
        <v>71548</v>
      </c>
      <c r="W59" s="514">
        <f>SUM(S59:V59)</f>
        <v>276003</v>
      </c>
      <c r="X59" s="513">
        <f>IF(ISNA(MATCH(X$2,Inputs!$K$4:$AJ$4,0)),NA(),IF(SUMPRODUCT((Inputs!$A$5:$A$110=$B59)*ISNUMBER(INDEX(Inputs!$K$5:$AJ$110,0,MATCH(X$2,Inputs!$K$4:$AJ$4,0))))+SUMPRODUCT((Inputs!$C$5:$C$110=$B59)*ISNUMBER(INDEX(Inputs!$K$5:$AJ$110,0,MATCH(X$2,Inputs!$K$4:$AJ$4,0))))+SUMPRODUCT((Inputs!$E$5:$E$110=$B59)*ISNUMBER(INDEX(Inputs!$K$5:$AJ$110,0,MATCH(X$2,Inputs!$K$4:$AJ$4,0))))=0,NA(),SUMPRODUCT((Inputs!$A$5:$A$110=$B59)*Inputs!$B$5:$B$110*(((Inputs!$G$5:$G$110="moeda")+(Inputs!$G$5:$G$110="acoes"))*Inputs!$B$1+((Inputs!$G$5:$G$110&lt;&gt;"moeda")*(Inputs!$G$5:$G$110&lt;&gt;"acoes")))*INDEX(Inputs!$K$5:$AJ$110,0,MATCH(X$2,Inputs!$K$4:$AJ$4,0)))+SUMPRODUCT((Inputs!$C$5:$C$110=$B59)*Inputs!$D$5:$D$110*(((Inputs!$G$5:$G$110="moeda")+(Inputs!$G$5:$G$110="acoes"))*Inputs!$B$1+((Inputs!$G$5:$G$110&lt;&gt;"moeda")*(Inputs!$G$5:$G$110&lt;&gt;"acoes")))*INDEX(Inputs!$K$5:$AJ$110,0,MATCH(X$2,Inputs!$K$4:$AJ$4,0)))+SUMPRODUCT((Inputs!$E$5:$E$110=$B59)*Inputs!$F$5:$F$110*(((Inputs!$G$5:$G$110="moeda")+(Inputs!$G$5:$G$110="acoes"))*Inputs!$B$1+((Inputs!$G$5:$G$110&lt;&gt;"moeda")*(Inputs!$G$5:$G$110&lt;&gt;"acoes")))*INDEX(Inputs!$K$5:$AJ$110,0,MATCH(X$2,Inputs!$K$4:$AJ$4,0)))))</f>
        <v>67831</v>
      </c>
      <c r="Y59" s="513">
        <f>IF(ISNA(MATCH(Y$2,Inputs!$K$4:$AJ$4,0)),NA(),IF(SUMPRODUCT((Inputs!$A$5:$A$110=$B59)*ISNUMBER(INDEX(Inputs!$K$5:$AJ$110,0,MATCH(Y$2,Inputs!$K$4:$AJ$4,0))))+SUMPRODUCT((Inputs!$C$5:$C$110=$B59)*ISNUMBER(INDEX(Inputs!$K$5:$AJ$110,0,MATCH(Y$2,Inputs!$K$4:$AJ$4,0))))+SUMPRODUCT((Inputs!$E$5:$E$110=$B59)*ISNUMBER(INDEX(Inputs!$K$5:$AJ$110,0,MATCH(Y$2,Inputs!$K$4:$AJ$4,0))))=0,NA(),SUMPRODUCT((Inputs!$A$5:$A$110=$B59)*Inputs!$B$5:$B$110*(((Inputs!$G$5:$G$110="moeda")+(Inputs!$G$5:$G$110="acoes"))*Inputs!$B$1+((Inputs!$G$5:$G$110&lt;&gt;"moeda")*(Inputs!$G$5:$G$110&lt;&gt;"acoes")))*INDEX(Inputs!$K$5:$AJ$110,0,MATCH(Y$2,Inputs!$K$4:$AJ$4,0)))+SUMPRODUCT((Inputs!$C$5:$C$110=$B59)*Inputs!$D$5:$D$110*(((Inputs!$G$5:$G$110="moeda")+(Inputs!$G$5:$G$110="acoes"))*Inputs!$B$1+((Inputs!$G$5:$G$110&lt;&gt;"moeda")*(Inputs!$G$5:$G$110&lt;&gt;"acoes")))*INDEX(Inputs!$K$5:$AJ$110,0,MATCH(Y$2,Inputs!$K$4:$AJ$4,0)))+SUMPRODUCT((Inputs!$E$5:$E$110=$B59)*Inputs!$F$5:$F$110*(((Inputs!$G$5:$G$110="moeda")+(Inputs!$G$5:$G$110="acoes"))*Inputs!$B$1+((Inputs!$G$5:$G$110&lt;&gt;"moeda")*(Inputs!$G$5:$G$110&lt;&gt;"acoes")))*INDEX(Inputs!$K$5:$AJ$110,0,MATCH(Y$2,Inputs!$K$4:$AJ$4,0)))))</f>
        <v>71092</v>
      </c>
      <c r="Z59" s="513">
        <f>IF(ISNA(MATCH(Z$2,Inputs!$K$4:$AJ$4,0)),NA(),IF(SUMPRODUCT((Inputs!$A$5:$A$110=$B59)*ISNUMBER(INDEX(Inputs!$K$5:$AJ$110,0,MATCH(Z$2,Inputs!$K$4:$AJ$4,0))))+SUMPRODUCT((Inputs!$C$5:$C$110=$B59)*ISNUMBER(INDEX(Inputs!$K$5:$AJ$110,0,MATCH(Z$2,Inputs!$K$4:$AJ$4,0))))+SUMPRODUCT((Inputs!$E$5:$E$110=$B59)*ISNUMBER(INDEX(Inputs!$K$5:$AJ$110,0,MATCH(Z$2,Inputs!$K$4:$AJ$4,0))))=0,NA(),SUMPRODUCT((Inputs!$A$5:$A$110=$B59)*Inputs!$B$5:$B$110*(((Inputs!$G$5:$G$110="moeda")+(Inputs!$G$5:$G$110="acoes"))*Inputs!$B$1+((Inputs!$G$5:$G$110&lt;&gt;"moeda")*(Inputs!$G$5:$G$110&lt;&gt;"acoes")))*INDEX(Inputs!$K$5:$AJ$110,0,MATCH(Z$2,Inputs!$K$4:$AJ$4,0)))+SUMPRODUCT((Inputs!$C$5:$C$110=$B59)*Inputs!$D$5:$D$110*(((Inputs!$G$5:$G$110="moeda")+(Inputs!$G$5:$G$110="acoes"))*Inputs!$B$1+((Inputs!$G$5:$G$110&lt;&gt;"moeda")*(Inputs!$G$5:$G$110&lt;&gt;"acoes")))*INDEX(Inputs!$K$5:$AJ$110,0,MATCH(Z$2,Inputs!$K$4:$AJ$4,0)))+SUMPRODUCT((Inputs!$E$5:$E$110=$B59)*Inputs!$F$5:$F$110*(((Inputs!$G$5:$G$110="moeda")+(Inputs!$G$5:$G$110="acoes"))*Inputs!$B$1+((Inputs!$G$5:$G$110&lt;&gt;"moeda")*(Inputs!$G$5:$G$110&lt;&gt;"acoes")))*INDEX(Inputs!$K$5:$AJ$110,0,MATCH(Z$2,Inputs!$K$4:$AJ$4,0)))))</f>
        <v>71713</v>
      </c>
      <c r="AA59" s="513">
        <f>IF(ISNA(MATCH(AA$2,Inputs!$K$4:$AJ$4,0)),NA(),IF(SUMPRODUCT((Inputs!$A$5:$A$110=$B59)*ISNUMBER(INDEX(Inputs!$K$5:$AJ$110,0,MATCH(AA$2,Inputs!$K$4:$AJ$4,0))))+SUMPRODUCT((Inputs!$C$5:$C$110=$B59)*ISNUMBER(INDEX(Inputs!$K$5:$AJ$110,0,MATCH(AA$2,Inputs!$K$4:$AJ$4,0))))+SUMPRODUCT((Inputs!$E$5:$E$110=$B59)*ISNUMBER(INDEX(Inputs!$K$5:$AJ$110,0,MATCH(AA$2,Inputs!$K$4:$AJ$4,0))))=0,NA(),SUMPRODUCT((Inputs!$A$5:$A$110=$B59)*Inputs!$B$5:$B$110*(((Inputs!$G$5:$G$110="moeda")+(Inputs!$G$5:$G$110="acoes"))*Inputs!$B$1+((Inputs!$G$5:$G$110&lt;&gt;"moeda")*(Inputs!$G$5:$G$110&lt;&gt;"acoes")))*INDEX(Inputs!$K$5:$AJ$110,0,MATCH(AA$2,Inputs!$K$4:$AJ$4,0)))+SUMPRODUCT((Inputs!$C$5:$C$110=$B59)*Inputs!$D$5:$D$110*(((Inputs!$G$5:$G$110="moeda")+(Inputs!$G$5:$G$110="acoes"))*Inputs!$B$1+((Inputs!$G$5:$G$110&lt;&gt;"moeda")*(Inputs!$G$5:$G$110&lt;&gt;"acoes")))*INDEX(Inputs!$K$5:$AJ$110,0,MATCH(AA$2,Inputs!$K$4:$AJ$4,0)))+SUMPRODUCT((Inputs!$E$5:$E$110=$B59)*Inputs!$F$5:$F$110*(((Inputs!$G$5:$G$110="moeda")+(Inputs!$G$5:$G$110="acoes"))*Inputs!$B$1+((Inputs!$G$5:$G$110&lt;&gt;"moeda")*(Inputs!$G$5:$G$110&lt;&gt;"acoes")))*INDEX(Inputs!$K$5:$AJ$110,0,MATCH(AA$2,Inputs!$K$4:$AJ$4,0)))))</f>
        <v>74846</v>
      </c>
      <c r="AB59" s="514">
        <f>SUM(X59:AA59)</f>
        <v>285482</v>
      </c>
      <c r="AC59" s="513">
        <f>IF(ISNA(MATCH(AC$2,Inputs!$K$4:$AJ$4,0)),NA(),IF(SUMPRODUCT((Inputs!$A$5:$A$110=$B59)*ISNUMBER(INDEX(Inputs!$K$5:$AJ$110,0,MATCH(AC$2,Inputs!$K$4:$AJ$4,0))))+SUMPRODUCT((Inputs!$C$5:$C$110=$B59)*ISNUMBER(INDEX(Inputs!$K$5:$AJ$110,0,MATCH(AC$2,Inputs!$K$4:$AJ$4,0))))+SUMPRODUCT((Inputs!$E$5:$E$110=$B59)*ISNUMBER(INDEX(Inputs!$K$5:$AJ$110,0,MATCH(AC$2,Inputs!$K$4:$AJ$4,0))))=0,NA(),SUMPRODUCT((Inputs!$A$5:$A$110=$B59)*Inputs!$B$5:$B$110*(((Inputs!$G$5:$G$110="moeda")+(Inputs!$G$5:$G$110="acoes"))*Inputs!$B$1+((Inputs!$G$5:$G$110&lt;&gt;"moeda")*(Inputs!$G$5:$G$110&lt;&gt;"acoes")))*INDEX(Inputs!$K$5:$AJ$110,0,MATCH(AC$2,Inputs!$K$4:$AJ$4,0)))+SUMPRODUCT((Inputs!$C$5:$C$110=$B59)*Inputs!$D$5:$D$110*(((Inputs!$G$5:$G$110="moeda")+(Inputs!$G$5:$G$110="acoes"))*Inputs!$B$1+((Inputs!$G$5:$G$110&lt;&gt;"moeda")*(Inputs!$G$5:$G$110&lt;&gt;"acoes")))*INDEX(Inputs!$K$5:$AJ$110,0,MATCH(AC$2,Inputs!$K$4:$AJ$4,0)))+SUMPRODUCT((Inputs!$E$5:$E$110=$B59)*Inputs!$F$5:$F$110*(((Inputs!$G$5:$G$110="moeda")+(Inputs!$G$5:$G$110="acoes"))*Inputs!$B$1+((Inputs!$G$5:$G$110&lt;&gt;"moeda")*(Inputs!$G$5:$G$110&lt;&gt;"acoes")))*INDEX(Inputs!$K$5:$AJ$110,0,MATCH(AC$2,Inputs!$K$4:$AJ$4,0)))))</f>
        <v>70696</v>
      </c>
      <c r="AD59" s="513">
        <f>IF(ISNA(MATCH(AD$2,Inputs!$K$4:$AJ$4,0)),NA(),IF(SUMPRODUCT((Inputs!$A$5:$A$110=$B59)*ISNUMBER(INDEX(Inputs!$K$5:$AJ$110,0,MATCH(AD$2,Inputs!$K$4:$AJ$4,0))))+SUMPRODUCT((Inputs!$C$5:$C$110=$B59)*ISNUMBER(INDEX(Inputs!$K$5:$AJ$110,0,MATCH(AD$2,Inputs!$K$4:$AJ$4,0))))+SUMPRODUCT((Inputs!$E$5:$E$110=$B59)*ISNUMBER(INDEX(Inputs!$K$5:$AJ$110,0,MATCH(AD$2,Inputs!$K$4:$AJ$4,0))))=0,NA(),SUMPRODUCT((Inputs!$A$5:$A$110=$B59)*Inputs!$B$5:$B$110*(((Inputs!$G$5:$G$110="moeda")+(Inputs!$G$5:$G$110="acoes"))*Inputs!$B$1+((Inputs!$G$5:$G$110&lt;&gt;"moeda")*(Inputs!$G$5:$G$110&lt;&gt;"acoes")))*INDEX(Inputs!$K$5:$AJ$110,0,MATCH(AD$2,Inputs!$K$4:$AJ$4,0)))+SUMPRODUCT((Inputs!$C$5:$C$110=$B59)*Inputs!$D$5:$D$110*(((Inputs!$G$5:$G$110="moeda")+(Inputs!$G$5:$G$110="acoes"))*Inputs!$B$1+((Inputs!$G$5:$G$110&lt;&gt;"moeda")*(Inputs!$G$5:$G$110&lt;&gt;"acoes")))*INDEX(Inputs!$K$5:$AJ$110,0,MATCH(AD$2,Inputs!$K$4:$AJ$4,0)))+SUMPRODUCT((Inputs!$E$5:$E$110=$B59)*Inputs!$F$5:$F$110*(((Inputs!$G$5:$G$110="moeda")+(Inputs!$G$5:$G$110="acoes"))*Inputs!$B$1+((Inputs!$G$5:$G$110&lt;&gt;"moeda")*(Inputs!$G$5:$G$110&lt;&gt;"acoes")))*INDEX(Inputs!$K$5:$AJ$110,0,MATCH(AD$2,Inputs!$K$4:$AJ$4,0)))))</f>
        <v>74130</v>
      </c>
      <c r="AE59" s="513" t="e">
        <f>IF(ISNA(MATCH(AE$2,Inputs!$K$4:$AJ$4,0)),NA(),IF(SUMPRODUCT((Inputs!$A$5:$A$110=$B59)*ISNUMBER(INDEX(Inputs!$K$5:$AJ$110,0,MATCH(AE$2,Inputs!$K$4:$AJ$4,0))))+SUMPRODUCT((Inputs!$C$5:$C$110=$B59)*ISNUMBER(INDEX(Inputs!$K$5:$AJ$110,0,MATCH(AE$2,Inputs!$K$4:$AJ$4,0))))+SUMPRODUCT((Inputs!$E$5:$E$110=$B59)*ISNUMBER(INDEX(Inputs!$K$5:$AJ$110,0,MATCH(AE$2,Inputs!$K$4:$AJ$4,0))))=0,NA(),SUMPRODUCT((Inputs!$A$5:$A$110=$B59)*Inputs!$B$5:$B$110*(((Inputs!$G$5:$G$110="moeda")+(Inputs!$G$5:$G$110="acoes"))*Inputs!$B$1+((Inputs!$G$5:$G$110&lt;&gt;"moeda")*(Inputs!$G$5:$G$110&lt;&gt;"acoes")))*INDEX(Inputs!$K$5:$AJ$110,0,MATCH(AE$2,Inputs!$K$4:$AJ$4,0)))+SUMPRODUCT((Inputs!$C$5:$C$110=$B59)*Inputs!$D$5:$D$110*(((Inputs!$G$5:$G$110="moeda")+(Inputs!$G$5:$G$110="acoes"))*Inputs!$B$1+((Inputs!$G$5:$G$110&lt;&gt;"moeda")*(Inputs!$G$5:$G$110&lt;&gt;"acoes")))*INDEX(Inputs!$K$5:$AJ$110,0,MATCH(AE$2,Inputs!$K$4:$AJ$4,0)))+SUMPRODUCT((Inputs!$E$5:$E$110=$B59)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9" s="513" t="e">
        <f>IF(ISNA(MATCH(AF$2,Inputs!$K$4:$AJ$4,0)),NA(),IF(SUMPRODUCT((Inputs!$A$5:$A$110=$B59)*ISNUMBER(INDEX(Inputs!$K$5:$AJ$110,0,MATCH(AF$2,Inputs!$K$4:$AJ$4,0))))+SUMPRODUCT((Inputs!$C$5:$C$110=$B59)*ISNUMBER(INDEX(Inputs!$K$5:$AJ$110,0,MATCH(AF$2,Inputs!$K$4:$AJ$4,0))))+SUMPRODUCT((Inputs!$E$5:$E$110=$B59)*ISNUMBER(INDEX(Inputs!$K$5:$AJ$110,0,MATCH(AF$2,Inputs!$K$4:$AJ$4,0))))=0,NA(),SUMPRODUCT((Inputs!$A$5:$A$110=$B59)*Inputs!$B$5:$B$110*(((Inputs!$G$5:$G$110="moeda")+(Inputs!$G$5:$G$110="acoes"))*Inputs!$B$1+((Inputs!$G$5:$G$110&lt;&gt;"moeda")*(Inputs!$G$5:$G$110&lt;&gt;"acoes")))*INDEX(Inputs!$K$5:$AJ$110,0,MATCH(AF$2,Inputs!$K$4:$AJ$4,0)))+SUMPRODUCT((Inputs!$C$5:$C$110=$B59)*Inputs!$D$5:$D$110*(((Inputs!$G$5:$G$110="moeda")+(Inputs!$G$5:$G$110="acoes"))*Inputs!$B$1+((Inputs!$G$5:$G$110&lt;&gt;"moeda")*(Inputs!$G$5:$G$110&lt;&gt;"acoes")))*INDEX(Inputs!$K$5:$AJ$110,0,MATCH(AF$2,Inputs!$K$4:$AJ$4,0)))+SUMPRODUCT((Inputs!$E$5:$E$110=$B59)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9" s="514" t="e">
        <f>SUM(AC59:AF59)</f>
        <v>#N/A</v>
      </c>
      <c r="AH59" s="513">
        <f>IF(ISNA(MATCH(AH$2,Inputs!$K$4:$AJ$4,0)),NA(),IF(SUMPRODUCT((Inputs!$A$5:$A$110=$B59)*ISNUMBER(INDEX(Inputs!$K$5:$AJ$110,0,MATCH(AH$2,Inputs!$K$4:$AJ$4,0))))+SUMPRODUCT((Inputs!$C$5:$C$110=$B59)*ISNUMBER(INDEX(Inputs!$K$5:$AJ$110,0,MATCH(AH$2,Inputs!$K$4:$AJ$4,0))))+SUMPRODUCT((Inputs!$E$5:$E$110=$B59)*ISNUMBER(INDEX(Inputs!$K$5:$AJ$110,0,MATCH(AH$2,Inputs!$K$4:$AJ$4,0))))=0,NA(),SUMPRODUCT((Inputs!$A$5:$A$110=$B59)*Inputs!$B$5:$B$110*(((Inputs!$G$5:$G$110="moeda")+(Inputs!$G$5:$G$110="acoes"))*Inputs!$B$1+((Inputs!$G$5:$G$110&lt;&gt;"moeda")*(Inputs!$G$5:$G$110&lt;&gt;"acoes")))*INDEX(Inputs!$K$5:$AJ$110,0,MATCH(AH$2,Inputs!$K$4:$AJ$4,0)))+SUMPRODUCT((Inputs!$C$5:$C$110=$B59)*Inputs!$D$5:$D$110*(((Inputs!$G$5:$G$110="moeda")+(Inputs!$G$5:$G$110="acoes"))*Inputs!$B$1+((Inputs!$G$5:$G$110&lt;&gt;"moeda")*(Inputs!$G$5:$G$110&lt;&gt;"acoes")))*INDEX(Inputs!$K$5:$AJ$110,0,MATCH(AH$2,Inputs!$K$4:$AJ$4,0)))+SUMPRODUCT((Inputs!$E$5:$E$110=$B59)*Inputs!$F$5:$F$110*(((Inputs!$G$5:$G$110="moeda")+(Inputs!$G$5:$G$110="acoes"))*Inputs!$B$1+((Inputs!$G$5:$G$110&lt;&gt;"moeda")*(Inputs!$G$5:$G$110&lt;&gt;"acoes")))*INDEX(Inputs!$K$5:$AJ$110,0,MATCH(AH$2,Inputs!$K$4:$AJ$4,0)))))</f>
        <v>52921</v>
      </c>
      <c r="AI59" s="513">
        <f>IF(ISNA(MATCH(AI$2,Inputs!$K$4:$AJ$4,0)),NA(),IF(SUMPRODUCT((Inputs!$A$5:$A$110=$B59)*ISNUMBER(INDEX(Inputs!$K$5:$AJ$110,0,MATCH(AI$2,Inputs!$K$4:$AJ$4,0))))+SUMPRODUCT((Inputs!$C$5:$C$110=$B59)*ISNUMBER(INDEX(Inputs!$K$5:$AJ$110,0,MATCH(AI$2,Inputs!$K$4:$AJ$4,0))))+SUMPRODUCT((Inputs!$E$5:$E$110=$B59)*ISNUMBER(INDEX(Inputs!$K$5:$AJ$110,0,MATCH(AI$2,Inputs!$K$4:$AJ$4,0))))=0,NA(),SUMPRODUCT((Inputs!$A$5:$A$110=$B59)*Inputs!$B$5:$B$110*(((Inputs!$G$5:$G$110="moeda")+(Inputs!$G$5:$G$110="acoes"))*Inputs!$B$1+((Inputs!$G$5:$G$110&lt;&gt;"moeda")*(Inputs!$G$5:$G$110&lt;&gt;"acoes")))*INDEX(Inputs!$K$5:$AJ$110,0,MATCH(AI$2,Inputs!$K$4:$AJ$4,0)))+SUMPRODUCT((Inputs!$C$5:$C$110=$B59)*Inputs!$D$5:$D$110*(((Inputs!$G$5:$G$110="moeda")+(Inputs!$G$5:$G$110="acoes"))*Inputs!$B$1+((Inputs!$G$5:$G$110&lt;&gt;"moeda")*(Inputs!$G$5:$G$110&lt;&gt;"acoes")))*INDEX(Inputs!$K$5:$AJ$110,0,MATCH(AI$2,Inputs!$K$4:$AJ$4,0)))+SUMPRODUCT((Inputs!$E$5:$E$110=$B59)*Inputs!$F$5:$F$110*(((Inputs!$G$5:$G$110="moeda")+(Inputs!$G$5:$G$110="acoes"))*Inputs!$B$1+((Inputs!$G$5:$G$110&lt;&gt;"moeda")*(Inputs!$G$5:$G$110&lt;&gt;"acoes")))*INDEX(Inputs!$K$5:$AJ$110,0,MATCH(AI$2,Inputs!$K$4:$AJ$4,0)))))</f>
        <v>51545</v>
      </c>
      <c r="AJ59" s="513">
        <f>IF(ISNA(MATCH(AJ$2,Inputs!$K$4:$AJ$4,0)),NA(),IF(SUMPRODUCT((Inputs!$A$5:$A$110=$B59)*ISNUMBER(INDEX(Inputs!$K$5:$AJ$110,0,MATCH(AJ$2,Inputs!$K$4:$AJ$4,0))))+SUMPRODUCT((Inputs!$C$5:$C$110=$B59)*ISNUMBER(INDEX(Inputs!$K$5:$AJ$110,0,MATCH(AJ$2,Inputs!$K$4:$AJ$4,0))))+SUMPRODUCT((Inputs!$E$5:$E$110=$B59)*ISNUMBER(INDEX(Inputs!$K$5:$AJ$110,0,MATCH(AJ$2,Inputs!$K$4:$AJ$4,0))))=0,NA(),SUMPRODUCT((Inputs!$A$5:$A$110=$B59)*Inputs!$B$5:$B$110*(((Inputs!$G$5:$G$110="moeda")+(Inputs!$G$5:$G$110="acoes"))*Inputs!$B$1+((Inputs!$G$5:$G$110&lt;&gt;"moeda")*(Inputs!$G$5:$G$110&lt;&gt;"acoes")))*INDEX(Inputs!$K$5:$AJ$110,0,MATCH(AJ$2,Inputs!$K$4:$AJ$4,0)))+SUMPRODUCT((Inputs!$C$5:$C$110=$B59)*Inputs!$D$5:$D$110*(((Inputs!$G$5:$G$110="moeda")+(Inputs!$G$5:$G$110="acoes"))*Inputs!$B$1+((Inputs!$G$5:$G$110&lt;&gt;"moeda")*(Inputs!$G$5:$G$110&lt;&gt;"acoes")))*INDEX(Inputs!$K$5:$AJ$110,0,MATCH(AJ$2,Inputs!$K$4:$AJ$4,0)))+SUMPRODUCT((Inputs!$E$5:$E$110=$B59)*Inputs!$F$5:$F$110*(((Inputs!$G$5:$G$110="moeda")+(Inputs!$G$5:$G$110="acoes"))*Inputs!$B$1+((Inputs!$G$5:$G$110&lt;&gt;"moeda")*(Inputs!$G$5:$G$110&lt;&gt;"acoes")))*INDEX(Inputs!$K$5:$AJ$110,0,MATCH(AJ$2,Inputs!$K$4:$AJ$4,0)))))</f>
        <v>50683</v>
      </c>
      <c r="AK59" s="513">
        <f>IF(ISNA(MATCH(AK$2,Inputs!$K$4:$AJ$4,0)),NA(),IF(SUMPRODUCT((Inputs!$A$5:$A$110=$B59)*ISNUMBER(INDEX(Inputs!$K$5:$AJ$110,0,MATCH(AK$2,Inputs!$K$4:$AJ$4,0))))+SUMPRODUCT((Inputs!$C$5:$C$110=$B59)*ISNUMBER(INDEX(Inputs!$K$5:$AJ$110,0,MATCH(AK$2,Inputs!$K$4:$AJ$4,0))))+SUMPRODUCT((Inputs!$E$5:$E$110=$B59)*ISNUMBER(INDEX(Inputs!$K$5:$AJ$110,0,MATCH(AK$2,Inputs!$K$4:$AJ$4,0))))=0,NA(),SUMPRODUCT((Inputs!$A$5:$A$110=$B59)*Inputs!$B$5:$B$110*(((Inputs!$G$5:$G$110="moeda")+(Inputs!$G$5:$G$110="acoes"))*Inputs!$B$1+((Inputs!$G$5:$G$110&lt;&gt;"moeda")*(Inputs!$G$5:$G$110&lt;&gt;"acoes")))*INDEX(Inputs!$K$5:$AJ$110,0,MATCH(AK$2,Inputs!$K$4:$AJ$4,0)))+SUMPRODUCT((Inputs!$C$5:$C$110=$B59)*Inputs!$D$5:$D$110*(((Inputs!$G$5:$G$110="moeda")+(Inputs!$G$5:$G$110="acoes"))*Inputs!$B$1+((Inputs!$G$5:$G$110&lt;&gt;"moeda")*(Inputs!$G$5:$G$110&lt;&gt;"acoes")))*INDEX(Inputs!$K$5:$AJ$110,0,MATCH(AK$2,Inputs!$K$4:$AJ$4,0)))+SUMPRODUCT((Inputs!$E$5:$E$110=$B59)*Inputs!$F$5:$F$110*(((Inputs!$G$5:$G$110="moeda")+(Inputs!$G$5:$G$110="acoes"))*Inputs!$B$1+((Inputs!$G$5:$G$110&lt;&gt;"moeda")*(Inputs!$G$5:$G$110&lt;&gt;"acoes")))*INDEX(Inputs!$K$5:$AJ$110,0,MATCH(AK$2,Inputs!$K$4:$AJ$4,0)))))</f>
        <v>53264</v>
      </c>
      <c r="AL59" s="514">
        <f>SUM(AH59:AK59)</f>
        <v>208413</v>
      </c>
    </row>
    <row r="60">
      <c r="B60" s="265" t="n">
        <v>52</v>
      </c>
      <c r="C60" s="266" t="inlineStr">
        <is>
          <t>Walmart U.S. - General merchandise (USD)</t>
        </is>
      </c>
      <c r="D60" s="513">
        <f>IF(ISNA(MATCH(D$2,Inputs!$K$4:$AJ$4,0)),NA(),IF(SUMPRODUCT((Inputs!$A$5:$A$110=$B60)*ISNUMBER(INDEX(Inputs!$K$5:$AJ$110,0,MATCH(D$2,Inputs!$K$4:$AJ$4,0))))+SUMPRODUCT((Inputs!$C$5:$C$110=$B60)*ISNUMBER(INDEX(Inputs!$K$5:$AJ$110,0,MATCH(D$2,Inputs!$K$4:$AJ$4,0))))+SUMPRODUCT((Inputs!$E$5:$E$110=$B60)*ISNUMBER(INDEX(Inputs!$K$5:$AJ$110,0,MATCH(D$2,Inputs!$K$4:$AJ$4,0))))=0,NA(),SUMPRODUCT((Inputs!$A$5:$A$110=$B60)*Inputs!$B$5:$B$110*(((Inputs!$G$5:$G$110="moeda")+(Inputs!$G$5:$G$110="acoes"))*Inputs!$B$1+((Inputs!$G$5:$G$110&lt;&gt;"moeda")*(Inputs!$G$5:$G$110&lt;&gt;"acoes")))*INDEX(Inputs!$K$5:$AJ$110,0,MATCH(D$2,Inputs!$K$4:$AJ$4,0)))+SUMPRODUCT((Inputs!$C$5:$C$110=$B60)*Inputs!$D$5:$D$110*(((Inputs!$G$5:$G$110="moeda")+(Inputs!$G$5:$G$110="acoes"))*Inputs!$B$1+((Inputs!$G$5:$G$110&lt;&gt;"moeda")*(Inputs!$G$5:$G$110&lt;&gt;"acoes")))*INDEX(Inputs!$K$5:$AJ$110,0,MATCH(D$2,Inputs!$K$4:$AJ$4,0)))+SUMPRODUCT((Inputs!$E$5:$E$110=$B60)*Inputs!$F$5:$F$110*(((Inputs!$G$5:$G$110="moeda")+(Inputs!$G$5:$G$110="acoes"))*Inputs!$B$1+((Inputs!$G$5:$G$110&lt;&gt;"moeda")*(Inputs!$G$5:$G$110&lt;&gt;"acoes")))*INDEX(Inputs!$K$5:$AJ$110,0,MATCH(D$2,Inputs!$K$4:$AJ$4,0)))))</f>
        <v>30607</v>
      </c>
      <c r="E60" s="513">
        <f>IF(ISNA(MATCH(E$2,Inputs!$K$4:$AJ$4,0)),NA(),IF(SUMPRODUCT((Inputs!$A$5:$A$110=$B60)*ISNUMBER(INDEX(Inputs!$K$5:$AJ$110,0,MATCH(E$2,Inputs!$K$4:$AJ$4,0))))+SUMPRODUCT((Inputs!$C$5:$C$110=$B60)*ISNUMBER(INDEX(Inputs!$K$5:$AJ$110,0,MATCH(E$2,Inputs!$K$4:$AJ$4,0))))+SUMPRODUCT((Inputs!$E$5:$E$110=$B60)*ISNUMBER(INDEX(Inputs!$K$5:$AJ$110,0,MATCH(E$2,Inputs!$K$4:$AJ$4,0))))=0,NA(),SUMPRODUCT((Inputs!$A$5:$A$110=$B60)*Inputs!$B$5:$B$110*(((Inputs!$G$5:$G$110="moeda")+(Inputs!$G$5:$G$110="acoes"))*Inputs!$B$1+((Inputs!$G$5:$G$110&lt;&gt;"moeda")*(Inputs!$G$5:$G$110&lt;&gt;"acoes")))*INDEX(Inputs!$K$5:$AJ$110,0,MATCH(E$2,Inputs!$K$4:$AJ$4,0)))+SUMPRODUCT((Inputs!$C$5:$C$110=$B60)*Inputs!$D$5:$D$110*(((Inputs!$G$5:$G$110="moeda")+(Inputs!$G$5:$G$110="acoes"))*Inputs!$B$1+((Inputs!$G$5:$G$110&lt;&gt;"moeda")*(Inputs!$G$5:$G$110&lt;&gt;"acoes")))*INDEX(Inputs!$K$5:$AJ$110,0,MATCH(E$2,Inputs!$K$4:$AJ$4,0)))+SUMPRODUCT((Inputs!$E$5:$E$110=$B60)*Inputs!$F$5:$F$110*(((Inputs!$G$5:$G$110="moeda")+(Inputs!$G$5:$G$110="acoes"))*Inputs!$B$1+((Inputs!$G$5:$G$110&lt;&gt;"moeda")*(Inputs!$G$5:$G$110&lt;&gt;"acoes")))*INDEX(Inputs!$K$5:$AJ$110,0,MATCH(E$2,Inputs!$K$4:$AJ$4,0)))))</f>
        <v>31707</v>
      </c>
      <c r="F60" s="513">
        <f>IF(ISNA(MATCH(F$2,Inputs!$K$4:$AJ$4,0)),NA(),IF(SUMPRODUCT((Inputs!$A$5:$A$110=$B60)*ISNUMBER(INDEX(Inputs!$K$5:$AJ$110,0,MATCH(F$2,Inputs!$K$4:$AJ$4,0))))+SUMPRODUCT((Inputs!$C$5:$C$110=$B60)*ISNUMBER(INDEX(Inputs!$K$5:$AJ$110,0,MATCH(F$2,Inputs!$K$4:$AJ$4,0))))+SUMPRODUCT((Inputs!$E$5:$E$110=$B60)*ISNUMBER(INDEX(Inputs!$K$5:$AJ$110,0,MATCH(F$2,Inputs!$K$4:$AJ$4,0))))=0,NA(),SUMPRODUCT((Inputs!$A$5:$A$110=$B60)*Inputs!$B$5:$B$110*(((Inputs!$G$5:$G$110="moeda")+(Inputs!$G$5:$G$110="acoes"))*Inputs!$B$1+((Inputs!$G$5:$G$110&lt;&gt;"moeda")*(Inputs!$G$5:$G$110&lt;&gt;"acoes")))*INDEX(Inputs!$K$5:$AJ$110,0,MATCH(F$2,Inputs!$K$4:$AJ$4,0)))+SUMPRODUCT((Inputs!$C$5:$C$110=$B60)*Inputs!$D$5:$D$110*(((Inputs!$G$5:$G$110="moeda")+(Inputs!$G$5:$G$110="acoes"))*Inputs!$B$1+((Inputs!$G$5:$G$110&lt;&gt;"moeda")*(Inputs!$G$5:$G$110&lt;&gt;"acoes")))*INDEX(Inputs!$K$5:$AJ$110,0,MATCH(F$2,Inputs!$K$4:$AJ$4,0)))+SUMPRODUCT((Inputs!$E$5:$E$110=$B60)*Inputs!$F$5:$F$110*(((Inputs!$G$5:$G$110="moeda")+(Inputs!$G$5:$G$110="acoes"))*Inputs!$B$1+((Inputs!$G$5:$G$110&lt;&gt;"moeda")*(Inputs!$G$5:$G$110&lt;&gt;"acoes")))*INDEX(Inputs!$K$5:$AJ$110,0,MATCH(F$2,Inputs!$K$4:$AJ$4,0)))))</f>
        <v>28544</v>
      </c>
      <c r="G60" s="513">
        <f>IF(ISNA(MATCH(G$2,Inputs!$K$4:$AJ$4,0)),NA(),IF(SUMPRODUCT((Inputs!$A$5:$A$110=$B60)*ISNUMBER(INDEX(Inputs!$K$5:$AJ$110,0,MATCH(G$2,Inputs!$K$4:$AJ$4,0))))+SUMPRODUCT((Inputs!$C$5:$C$110=$B60)*ISNUMBER(INDEX(Inputs!$K$5:$AJ$110,0,MATCH(G$2,Inputs!$K$4:$AJ$4,0))))+SUMPRODUCT((Inputs!$E$5:$E$110=$B60)*ISNUMBER(INDEX(Inputs!$K$5:$AJ$110,0,MATCH(G$2,Inputs!$K$4:$AJ$4,0))))=0,NA(),SUMPRODUCT((Inputs!$A$5:$A$110=$B60)*Inputs!$B$5:$B$110*(((Inputs!$G$5:$G$110="moeda")+(Inputs!$G$5:$G$110="acoes"))*Inputs!$B$1+((Inputs!$G$5:$G$110&lt;&gt;"moeda")*(Inputs!$G$5:$G$110&lt;&gt;"acoes")))*INDEX(Inputs!$K$5:$AJ$110,0,MATCH(G$2,Inputs!$K$4:$AJ$4,0)))+SUMPRODUCT((Inputs!$C$5:$C$110=$B60)*Inputs!$D$5:$D$110*(((Inputs!$G$5:$G$110="moeda")+(Inputs!$G$5:$G$110="acoes"))*Inputs!$B$1+((Inputs!$G$5:$G$110&lt;&gt;"moeda")*(Inputs!$G$5:$G$110&lt;&gt;"acoes")))*INDEX(Inputs!$K$5:$AJ$110,0,MATCH(G$2,Inputs!$K$4:$AJ$4,0)))+SUMPRODUCT((Inputs!$E$5:$E$110=$B60)*Inputs!$F$5:$F$110*(((Inputs!$G$5:$G$110="moeda")+(Inputs!$G$5:$G$110="acoes"))*Inputs!$B$1+((Inputs!$G$5:$G$110&lt;&gt;"moeda")*(Inputs!$G$5:$G$110&lt;&gt;"acoes")))*INDEX(Inputs!$K$5:$AJ$110,0,MATCH(G$2,Inputs!$K$4:$AJ$4,0)))))</f>
        <v>35018</v>
      </c>
      <c r="H60" s="514">
        <f>SUM(D60:G60)</f>
        <v>125876</v>
      </c>
      <c r="I60" s="513">
        <f>IF(ISNA(MATCH(I$2,Inputs!$K$4:$AJ$4,0)),NA(),IF(SUMPRODUCT((Inputs!$A$5:$A$110=$B60)*ISNUMBER(INDEX(Inputs!$K$5:$AJ$110,0,MATCH(I$2,Inputs!$K$4:$AJ$4,0))))+SUMPRODUCT((Inputs!$C$5:$C$110=$B60)*ISNUMBER(INDEX(Inputs!$K$5:$AJ$110,0,MATCH(I$2,Inputs!$K$4:$AJ$4,0))))+SUMPRODUCT((Inputs!$E$5:$E$110=$B60)*ISNUMBER(INDEX(Inputs!$K$5:$AJ$110,0,MATCH(I$2,Inputs!$K$4:$AJ$4,0))))=0,NA(),SUMPRODUCT((Inputs!$A$5:$A$110=$B60)*Inputs!$B$5:$B$110*(((Inputs!$G$5:$G$110="moeda")+(Inputs!$G$5:$G$110="acoes"))*Inputs!$B$1+((Inputs!$G$5:$G$110&lt;&gt;"moeda")*(Inputs!$G$5:$G$110&lt;&gt;"acoes")))*INDEX(Inputs!$K$5:$AJ$110,0,MATCH(I$2,Inputs!$K$4:$AJ$4,0)))+SUMPRODUCT((Inputs!$C$5:$C$110=$B60)*Inputs!$D$5:$D$110*(((Inputs!$G$5:$G$110="moeda")+(Inputs!$G$5:$G$110="acoes"))*Inputs!$B$1+((Inputs!$G$5:$G$110&lt;&gt;"moeda")*(Inputs!$G$5:$G$110&lt;&gt;"acoes")))*INDEX(Inputs!$K$5:$AJ$110,0,MATCH(I$2,Inputs!$K$4:$AJ$4,0)))+SUMPRODUCT((Inputs!$E$5:$E$110=$B60)*Inputs!$F$5:$F$110*(((Inputs!$G$5:$G$110="moeda")+(Inputs!$G$5:$G$110="acoes"))*Inputs!$B$1+((Inputs!$G$5:$G$110&lt;&gt;"moeda")*(Inputs!$G$5:$G$110&lt;&gt;"acoes")))*INDEX(Inputs!$K$5:$AJ$110,0,MATCH(I$2,Inputs!$K$4:$AJ$4,0)))))</f>
        <v>27379</v>
      </c>
      <c r="J60" s="513">
        <f>IF(ISNA(MATCH(J$2,Inputs!$K$4:$AJ$4,0)),NA(),IF(SUMPRODUCT((Inputs!$A$5:$A$110=$B60)*ISNUMBER(INDEX(Inputs!$K$5:$AJ$110,0,MATCH(J$2,Inputs!$K$4:$AJ$4,0))))+SUMPRODUCT((Inputs!$C$5:$C$110=$B60)*ISNUMBER(INDEX(Inputs!$K$5:$AJ$110,0,MATCH(J$2,Inputs!$K$4:$AJ$4,0))))+SUMPRODUCT((Inputs!$E$5:$E$110=$B60)*ISNUMBER(INDEX(Inputs!$K$5:$AJ$110,0,MATCH(J$2,Inputs!$K$4:$AJ$4,0))))=0,NA(),SUMPRODUCT((Inputs!$A$5:$A$110=$B60)*Inputs!$B$5:$B$110*(((Inputs!$G$5:$G$110="moeda")+(Inputs!$G$5:$G$110="acoes"))*Inputs!$B$1+((Inputs!$G$5:$G$110&lt;&gt;"moeda")*(Inputs!$G$5:$G$110&lt;&gt;"acoes")))*INDEX(Inputs!$K$5:$AJ$110,0,MATCH(J$2,Inputs!$K$4:$AJ$4,0)))+SUMPRODUCT((Inputs!$C$5:$C$110=$B60)*Inputs!$D$5:$D$110*(((Inputs!$G$5:$G$110="moeda")+(Inputs!$G$5:$G$110="acoes"))*Inputs!$B$1+((Inputs!$G$5:$G$110&lt;&gt;"moeda")*(Inputs!$G$5:$G$110&lt;&gt;"acoes")))*INDEX(Inputs!$K$5:$AJ$110,0,MATCH(J$2,Inputs!$K$4:$AJ$4,0)))+SUMPRODUCT((Inputs!$E$5:$E$110=$B60)*Inputs!$F$5:$F$110*(((Inputs!$G$5:$G$110="moeda")+(Inputs!$G$5:$G$110="acoes"))*Inputs!$B$1+((Inputs!$G$5:$G$110&lt;&gt;"moeda")*(Inputs!$G$5:$G$110&lt;&gt;"acoes")))*INDEX(Inputs!$K$5:$AJ$110,0,MATCH(J$2,Inputs!$K$4:$AJ$4,0)))))</f>
        <v>30073</v>
      </c>
      <c r="K60" s="513">
        <f>IF(ISNA(MATCH(K$2,Inputs!$K$4:$AJ$4,0)),NA(),IF(SUMPRODUCT((Inputs!$A$5:$A$110=$B60)*ISNUMBER(INDEX(Inputs!$K$5:$AJ$110,0,MATCH(K$2,Inputs!$K$4:$AJ$4,0))))+SUMPRODUCT((Inputs!$C$5:$C$110=$B60)*ISNUMBER(INDEX(Inputs!$K$5:$AJ$110,0,MATCH(K$2,Inputs!$K$4:$AJ$4,0))))+SUMPRODUCT((Inputs!$E$5:$E$110=$B60)*ISNUMBER(INDEX(Inputs!$K$5:$AJ$110,0,MATCH(K$2,Inputs!$K$4:$AJ$4,0))))=0,NA(),SUMPRODUCT((Inputs!$A$5:$A$110=$B60)*Inputs!$B$5:$B$110*(((Inputs!$G$5:$G$110="moeda")+(Inputs!$G$5:$G$110="acoes"))*Inputs!$B$1+((Inputs!$G$5:$G$110&lt;&gt;"moeda")*(Inputs!$G$5:$G$110&lt;&gt;"acoes")))*INDEX(Inputs!$K$5:$AJ$110,0,MATCH(K$2,Inputs!$K$4:$AJ$4,0)))+SUMPRODUCT((Inputs!$C$5:$C$110=$B60)*Inputs!$D$5:$D$110*(((Inputs!$G$5:$G$110="moeda")+(Inputs!$G$5:$G$110="acoes"))*Inputs!$B$1+((Inputs!$G$5:$G$110&lt;&gt;"moeda")*(Inputs!$G$5:$G$110&lt;&gt;"acoes")))*INDEX(Inputs!$K$5:$AJ$110,0,MATCH(K$2,Inputs!$K$4:$AJ$4,0)))+SUMPRODUCT((Inputs!$E$5:$E$110=$B60)*Inputs!$F$5:$F$110*(((Inputs!$G$5:$G$110="moeda")+(Inputs!$G$5:$G$110="acoes"))*Inputs!$B$1+((Inputs!$G$5:$G$110&lt;&gt;"moeda")*(Inputs!$G$5:$G$110&lt;&gt;"acoes")))*INDEX(Inputs!$K$5:$AJ$110,0,MATCH(K$2,Inputs!$K$4:$AJ$4,0)))))</f>
        <v>27605</v>
      </c>
      <c r="L60" s="513">
        <f>IF(ISNA(MATCH(L$2,Inputs!$K$4:$AJ$4,0)),NA(),IF(SUMPRODUCT((Inputs!$A$5:$A$110=$B60)*ISNUMBER(INDEX(Inputs!$K$5:$AJ$110,0,MATCH(L$2,Inputs!$K$4:$AJ$4,0))))+SUMPRODUCT((Inputs!$C$5:$C$110=$B60)*ISNUMBER(INDEX(Inputs!$K$5:$AJ$110,0,MATCH(L$2,Inputs!$K$4:$AJ$4,0))))+SUMPRODUCT((Inputs!$E$5:$E$110=$B60)*ISNUMBER(INDEX(Inputs!$K$5:$AJ$110,0,MATCH(L$2,Inputs!$K$4:$AJ$4,0))))=0,NA(),SUMPRODUCT((Inputs!$A$5:$A$110=$B60)*Inputs!$B$5:$B$110*(((Inputs!$G$5:$G$110="moeda")+(Inputs!$G$5:$G$110="acoes"))*Inputs!$B$1+((Inputs!$G$5:$G$110&lt;&gt;"moeda")*(Inputs!$G$5:$G$110&lt;&gt;"acoes")))*INDEX(Inputs!$K$5:$AJ$110,0,MATCH(L$2,Inputs!$K$4:$AJ$4,0)))+SUMPRODUCT((Inputs!$C$5:$C$110=$B60)*Inputs!$D$5:$D$110*(((Inputs!$G$5:$G$110="moeda")+(Inputs!$G$5:$G$110="acoes"))*Inputs!$B$1+((Inputs!$G$5:$G$110&lt;&gt;"moeda")*(Inputs!$G$5:$G$110&lt;&gt;"acoes")))*INDEX(Inputs!$K$5:$AJ$110,0,MATCH(L$2,Inputs!$K$4:$AJ$4,0)))+SUMPRODUCT((Inputs!$E$5:$E$110=$B60)*Inputs!$F$5:$F$110*(((Inputs!$G$5:$G$110="moeda")+(Inputs!$G$5:$G$110="acoes"))*Inputs!$B$1+((Inputs!$G$5:$G$110&lt;&gt;"moeda")*(Inputs!$G$5:$G$110&lt;&gt;"acoes")))*INDEX(Inputs!$K$5:$AJ$110,0,MATCH(L$2,Inputs!$K$4:$AJ$4,0)))))</f>
        <v>33540</v>
      </c>
      <c r="M60" s="514">
        <f>SUM(I60:L60)</f>
        <v>118597</v>
      </c>
      <c r="N60" s="513">
        <f>IF(ISNA(MATCH(N$2,Inputs!$K$4:$AJ$4,0)),NA(),IF(SUMPRODUCT((Inputs!$A$5:$A$110=$B60)*ISNUMBER(INDEX(Inputs!$K$5:$AJ$110,0,MATCH(N$2,Inputs!$K$4:$AJ$4,0))))+SUMPRODUCT((Inputs!$C$5:$C$110=$B60)*ISNUMBER(INDEX(Inputs!$K$5:$AJ$110,0,MATCH(N$2,Inputs!$K$4:$AJ$4,0))))+SUMPRODUCT((Inputs!$E$5:$E$110=$B60)*ISNUMBER(INDEX(Inputs!$K$5:$AJ$110,0,MATCH(N$2,Inputs!$K$4:$AJ$4,0))))=0,NA(),SUMPRODUCT((Inputs!$A$5:$A$110=$B60)*Inputs!$B$5:$B$110*(((Inputs!$G$5:$G$110="moeda")+(Inputs!$G$5:$G$110="acoes"))*Inputs!$B$1+((Inputs!$G$5:$G$110&lt;&gt;"moeda")*(Inputs!$G$5:$G$110&lt;&gt;"acoes")))*INDEX(Inputs!$K$5:$AJ$110,0,MATCH(N$2,Inputs!$K$4:$AJ$4,0)))+SUMPRODUCT((Inputs!$C$5:$C$110=$B60)*Inputs!$D$5:$D$110*(((Inputs!$G$5:$G$110="moeda")+(Inputs!$G$5:$G$110="acoes"))*Inputs!$B$1+((Inputs!$G$5:$G$110&lt;&gt;"moeda")*(Inputs!$G$5:$G$110&lt;&gt;"acoes")))*INDEX(Inputs!$K$5:$AJ$110,0,MATCH(N$2,Inputs!$K$4:$AJ$4,0)))+SUMPRODUCT((Inputs!$E$5:$E$110=$B60)*Inputs!$F$5:$F$110*(((Inputs!$G$5:$G$110="moeda")+(Inputs!$G$5:$G$110="acoes"))*Inputs!$B$1+((Inputs!$G$5:$G$110&lt;&gt;"moeda")*(Inputs!$G$5:$G$110&lt;&gt;"acoes")))*INDEX(Inputs!$K$5:$AJ$110,0,MATCH(N$2,Inputs!$K$4:$AJ$4,0)))))</f>
        <v>25765</v>
      </c>
      <c r="O60" s="513">
        <f>IF(ISNA(MATCH(O$2,Inputs!$K$4:$AJ$4,0)),NA(),IF(SUMPRODUCT((Inputs!$A$5:$A$110=$B60)*ISNUMBER(INDEX(Inputs!$K$5:$AJ$110,0,MATCH(O$2,Inputs!$K$4:$AJ$4,0))))+SUMPRODUCT((Inputs!$C$5:$C$110=$B60)*ISNUMBER(INDEX(Inputs!$K$5:$AJ$110,0,MATCH(O$2,Inputs!$K$4:$AJ$4,0))))+SUMPRODUCT((Inputs!$E$5:$E$110=$B60)*ISNUMBER(INDEX(Inputs!$K$5:$AJ$110,0,MATCH(O$2,Inputs!$K$4:$AJ$4,0))))=0,NA(),SUMPRODUCT((Inputs!$A$5:$A$110=$B60)*Inputs!$B$5:$B$110*(((Inputs!$G$5:$G$110="moeda")+(Inputs!$G$5:$G$110="acoes"))*Inputs!$B$1+((Inputs!$G$5:$G$110&lt;&gt;"moeda")*(Inputs!$G$5:$G$110&lt;&gt;"acoes")))*INDEX(Inputs!$K$5:$AJ$110,0,MATCH(O$2,Inputs!$K$4:$AJ$4,0)))+SUMPRODUCT((Inputs!$C$5:$C$110=$B60)*Inputs!$D$5:$D$110*(((Inputs!$G$5:$G$110="moeda")+(Inputs!$G$5:$G$110="acoes"))*Inputs!$B$1+((Inputs!$G$5:$G$110&lt;&gt;"moeda")*(Inputs!$G$5:$G$110&lt;&gt;"acoes")))*INDEX(Inputs!$K$5:$AJ$110,0,MATCH(O$2,Inputs!$K$4:$AJ$4,0)))+SUMPRODUCT((Inputs!$E$5:$E$110=$B60)*Inputs!$F$5:$F$110*(((Inputs!$G$5:$G$110="moeda")+(Inputs!$G$5:$G$110="acoes"))*Inputs!$B$1+((Inputs!$G$5:$G$110&lt;&gt;"moeda")*(Inputs!$G$5:$G$110&lt;&gt;"acoes")))*INDEX(Inputs!$K$5:$AJ$110,0,MATCH(O$2,Inputs!$K$4:$AJ$4,0)))))</f>
        <v>29076</v>
      </c>
      <c r="P60" s="513">
        <f>IF(ISNA(MATCH(P$2,Inputs!$K$4:$AJ$4,0)),NA(),IF(SUMPRODUCT((Inputs!$A$5:$A$110=$B60)*ISNUMBER(INDEX(Inputs!$K$5:$AJ$110,0,MATCH(P$2,Inputs!$K$4:$AJ$4,0))))+SUMPRODUCT((Inputs!$C$5:$C$110=$B60)*ISNUMBER(INDEX(Inputs!$K$5:$AJ$110,0,MATCH(P$2,Inputs!$K$4:$AJ$4,0))))+SUMPRODUCT((Inputs!$E$5:$E$110=$B60)*ISNUMBER(INDEX(Inputs!$K$5:$AJ$110,0,MATCH(P$2,Inputs!$K$4:$AJ$4,0))))=0,NA(),SUMPRODUCT((Inputs!$A$5:$A$110=$B60)*Inputs!$B$5:$B$110*(((Inputs!$G$5:$G$110="moeda")+(Inputs!$G$5:$G$110="acoes"))*Inputs!$B$1+((Inputs!$G$5:$G$110&lt;&gt;"moeda")*(Inputs!$G$5:$G$110&lt;&gt;"acoes")))*INDEX(Inputs!$K$5:$AJ$110,0,MATCH(P$2,Inputs!$K$4:$AJ$4,0)))+SUMPRODUCT((Inputs!$C$5:$C$110=$B60)*Inputs!$D$5:$D$110*(((Inputs!$G$5:$G$110="moeda")+(Inputs!$G$5:$G$110="acoes"))*Inputs!$B$1+((Inputs!$G$5:$G$110&lt;&gt;"moeda")*(Inputs!$G$5:$G$110&lt;&gt;"acoes")))*INDEX(Inputs!$K$5:$AJ$110,0,MATCH(P$2,Inputs!$K$4:$AJ$4,0)))+SUMPRODUCT((Inputs!$E$5:$E$110=$B60)*Inputs!$F$5:$F$110*(((Inputs!$G$5:$G$110="moeda")+(Inputs!$G$5:$G$110="acoes"))*Inputs!$B$1+((Inputs!$G$5:$G$110&lt;&gt;"moeda")*(Inputs!$G$5:$G$110&lt;&gt;"acoes")))*INDEX(Inputs!$K$5:$AJ$110,0,MATCH(P$2,Inputs!$K$4:$AJ$4,0)))))</f>
        <v>26579</v>
      </c>
      <c r="Q60" s="513">
        <f>IF(ISNA(MATCH(Q$2,Inputs!$K$4:$AJ$4,0)),NA(),IF(SUMPRODUCT((Inputs!$A$5:$A$110=$B60)*ISNUMBER(INDEX(Inputs!$K$5:$AJ$110,0,MATCH(Q$2,Inputs!$K$4:$AJ$4,0))))+SUMPRODUCT((Inputs!$C$5:$C$110=$B60)*ISNUMBER(INDEX(Inputs!$K$5:$AJ$110,0,MATCH(Q$2,Inputs!$K$4:$AJ$4,0))))+SUMPRODUCT((Inputs!$E$5:$E$110=$B60)*ISNUMBER(INDEX(Inputs!$K$5:$AJ$110,0,MATCH(Q$2,Inputs!$K$4:$AJ$4,0))))=0,NA(),SUMPRODUCT((Inputs!$A$5:$A$110=$B60)*Inputs!$B$5:$B$110*(((Inputs!$G$5:$G$110="moeda")+(Inputs!$G$5:$G$110="acoes"))*Inputs!$B$1+((Inputs!$G$5:$G$110&lt;&gt;"moeda")*(Inputs!$G$5:$G$110&lt;&gt;"acoes")))*INDEX(Inputs!$K$5:$AJ$110,0,MATCH(Q$2,Inputs!$K$4:$AJ$4,0)))+SUMPRODUCT((Inputs!$C$5:$C$110=$B60)*Inputs!$D$5:$D$110*(((Inputs!$G$5:$G$110="moeda")+(Inputs!$G$5:$G$110="acoes"))*Inputs!$B$1+((Inputs!$G$5:$G$110&lt;&gt;"moeda")*(Inputs!$G$5:$G$110&lt;&gt;"acoes")))*INDEX(Inputs!$K$5:$AJ$110,0,MATCH(Q$2,Inputs!$K$4:$AJ$4,0)))+SUMPRODUCT((Inputs!$E$5:$E$110=$B60)*Inputs!$F$5:$F$110*(((Inputs!$G$5:$G$110="moeda")+(Inputs!$G$5:$G$110="acoes"))*Inputs!$B$1+((Inputs!$G$5:$G$110&lt;&gt;"moeda")*(Inputs!$G$5:$G$110&lt;&gt;"acoes")))*INDEX(Inputs!$K$5:$AJ$110,0,MATCH(Q$2,Inputs!$K$4:$AJ$4,0)))))</f>
        <v>32565</v>
      </c>
      <c r="R60" s="514">
        <f>SUM(N60:Q60)</f>
        <v>113985</v>
      </c>
      <c r="S60" s="513">
        <f>IF(ISNA(MATCH(S$2,Inputs!$K$4:$AJ$4,0)),NA(),IF(SUMPRODUCT((Inputs!$A$5:$A$110=$B60)*ISNUMBER(INDEX(Inputs!$K$5:$AJ$110,0,MATCH(S$2,Inputs!$K$4:$AJ$4,0))))+SUMPRODUCT((Inputs!$C$5:$C$110=$B60)*ISNUMBER(INDEX(Inputs!$K$5:$AJ$110,0,MATCH(S$2,Inputs!$K$4:$AJ$4,0))))+SUMPRODUCT((Inputs!$E$5:$E$110=$B60)*ISNUMBER(INDEX(Inputs!$K$5:$AJ$110,0,MATCH(S$2,Inputs!$K$4:$AJ$4,0))))=0,NA(),SUMPRODUCT((Inputs!$A$5:$A$110=$B60)*Inputs!$B$5:$B$110*(((Inputs!$G$5:$G$110="moeda")+(Inputs!$G$5:$G$110="acoes"))*Inputs!$B$1+((Inputs!$G$5:$G$110&lt;&gt;"moeda")*(Inputs!$G$5:$G$110&lt;&gt;"acoes")))*INDEX(Inputs!$K$5:$AJ$110,0,MATCH(S$2,Inputs!$K$4:$AJ$4,0)))+SUMPRODUCT((Inputs!$C$5:$C$110=$B60)*Inputs!$D$5:$D$110*(((Inputs!$G$5:$G$110="moeda")+(Inputs!$G$5:$G$110="acoes"))*Inputs!$B$1+((Inputs!$G$5:$G$110&lt;&gt;"moeda")*(Inputs!$G$5:$G$110&lt;&gt;"acoes")))*INDEX(Inputs!$K$5:$AJ$110,0,MATCH(S$2,Inputs!$K$4:$AJ$4,0)))+SUMPRODUCT((Inputs!$E$5:$E$110=$B60)*Inputs!$F$5:$F$110*(((Inputs!$G$5:$G$110="moeda")+(Inputs!$G$5:$G$110="acoes"))*Inputs!$B$1+((Inputs!$G$5:$G$110&lt;&gt;"moeda")*(Inputs!$G$5:$G$110&lt;&gt;"acoes")))*INDEX(Inputs!$K$5:$AJ$110,0,MATCH(S$2,Inputs!$K$4:$AJ$4,0)))))</f>
        <v>25711</v>
      </c>
      <c r="T60" s="513">
        <f>IF(ISNA(MATCH(T$2,Inputs!$K$4:$AJ$4,0)),NA(),IF(SUMPRODUCT((Inputs!$A$5:$A$110=$B60)*ISNUMBER(INDEX(Inputs!$K$5:$AJ$110,0,MATCH(T$2,Inputs!$K$4:$AJ$4,0))))+SUMPRODUCT((Inputs!$C$5:$C$110=$B60)*ISNUMBER(INDEX(Inputs!$K$5:$AJ$110,0,MATCH(T$2,Inputs!$K$4:$AJ$4,0))))+SUMPRODUCT((Inputs!$E$5:$E$110=$B60)*ISNUMBER(INDEX(Inputs!$K$5:$AJ$110,0,MATCH(T$2,Inputs!$K$4:$AJ$4,0))))=0,NA(),SUMPRODUCT((Inputs!$A$5:$A$110=$B60)*Inputs!$B$5:$B$110*(((Inputs!$G$5:$G$110="moeda")+(Inputs!$G$5:$G$110="acoes"))*Inputs!$B$1+((Inputs!$G$5:$G$110&lt;&gt;"moeda")*(Inputs!$G$5:$G$110&lt;&gt;"acoes")))*INDEX(Inputs!$K$5:$AJ$110,0,MATCH(T$2,Inputs!$K$4:$AJ$4,0)))+SUMPRODUCT((Inputs!$C$5:$C$110=$B60)*Inputs!$D$5:$D$110*(((Inputs!$G$5:$G$110="moeda")+(Inputs!$G$5:$G$110="acoes"))*Inputs!$B$1+((Inputs!$G$5:$G$110&lt;&gt;"moeda")*(Inputs!$G$5:$G$110&lt;&gt;"acoes")))*INDEX(Inputs!$K$5:$AJ$110,0,MATCH(T$2,Inputs!$K$4:$AJ$4,0)))+SUMPRODUCT((Inputs!$E$5:$E$110=$B60)*Inputs!$F$5:$F$110*(((Inputs!$G$5:$G$110="moeda")+(Inputs!$G$5:$G$110="acoes"))*Inputs!$B$1+((Inputs!$G$5:$G$110&lt;&gt;"moeda")*(Inputs!$G$5:$G$110&lt;&gt;"acoes")))*INDEX(Inputs!$K$5:$AJ$110,0,MATCH(T$2,Inputs!$K$4:$AJ$4,0)))))</f>
        <v>28980</v>
      </c>
      <c r="U60" s="513">
        <f>IF(ISNA(MATCH(U$2,Inputs!$K$4:$AJ$4,0)),NA(),IF(SUMPRODUCT((Inputs!$A$5:$A$110=$B60)*ISNUMBER(INDEX(Inputs!$K$5:$AJ$110,0,MATCH(U$2,Inputs!$K$4:$AJ$4,0))))+SUMPRODUCT((Inputs!$C$5:$C$110=$B60)*ISNUMBER(INDEX(Inputs!$K$5:$AJ$110,0,MATCH(U$2,Inputs!$K$4:$AJ$4,0))))+SUMPRODUCT((Inputs!$E$5:$E$110=$B60)*ISNUMBER(INDEX(Inputs!$K$5:$AJ$110,0,MATCH(U$2,Inputs!$K$4:$AJ$4,0))))=0,NA(),SUMPRODUCT((Inputs!$A$5:$A$110=$B60)*Inputs!$B$5:$B$110*(((Inputs!$G$5:$G$110="moeda")+(Inputs!$G$5:$G$110="acoes"))*Inputs!$B$1+((Inputs!$G$5:$G$110&lt;&gt;"moeda")*(Inputs!$G$5:$G$110&lt;&gt;"acoes")))*INDEX(Inputs!$K$5:$AJ$110,0,MATCH(U$2,Inputs!$K$4:$AJ$4,0)))+SUMPRODUCT((Inputs!$C$5:$C$110=$B60)*Inputs!$D$5:$D$110*(((Inputs!$G$5:$G$110="moeda")+(Inputs!$G$5:$G$110="acoes"))*Inputs!$B$1+((Inputs!$G$5:$G$110&lt;&gt;"moeda")*(Inputs!$G$5:$G$110&lt;&gt;"acoes")))*INDEX(Inputs!$K$5:$AJ$110,0,MATCH(U$2,Inputs!$K$4:$AJ$4,0)))+SUMPRODUCT((Inputs!$E$5:$E$110=$B60)*Inputs!$F$5:$F$110*(((Inputs!$G$5:$G$110="moeda")+(Inputs!$G$5:$G$110="acoes"))*Inputs!$B$1+((Inputs!$G$5:$G$110&lt;&gt;"moeda")*(Inputs!$G$5:$G$110&lt;&gt;"acoes")))*INDEX(Inputs!$K$5:$AJ$110,0,MATCH(U$2,Inputs!$K$4:$AJ$4,0)))))</f>
        <v>26621</v>
      </c>
      <c r="V60" s="513">
        <f>IF(ISNA(MATCH(V$2,Inputs!$K$4:$AJ$4,0)),NA(),IF(SUMPRODUCT((Inputs!$A$5:$A$110=$B60)*ISNUMBER(INDEX(Inputs!$K$5:$AJ$110,0,MATCH(V$2,Inputs!$K$4:$AJ$4,0))))+SUMPRODUCT((Inputs!$C$5:$C$110=$B60)*ISNUMBER(INDEX(Inputs!$K$5:$AJ$110,0,MATCH(V$2,Inputs!$K$4:$AJ$4,0))))+SUMPRODUCT((Inputs!$E$5:$E$110=$B60)*ISNUMBER(INDEX(Inputs!$K$5:$AJ$110,0,MATCH(V$2,Inputs!$K$4:$AJ$4,0))))=0,NA(),SUMPRODUCT((Inputs!$A$5:$A$110=$B60)*Inputs!$B$5:$B$110*(((Inputs!$G$5:$G$110="moeda")+(Inputs!$G$5:$G$110="acoes"))*Inputs!$B$1+((Inputs!$G$5:$G$110&lt;&gt;"moeda")*(Inputs!$G$5:$G$110&lt;&gt;"acoes")))*INDEX(Inputs!$K$5:$AJ$110,0,MATCH(V$2,Inputs!$K$4:$AJ$4,0)))+SUMPRODUCT((Inputs!$C$5:$C$110=$B60)*Inputs!$D$5:$D$110*(((Inputs!$G$5:$G$110="moeda")+(Inputs!$G$5:$G$110="acoes"))*Inputs!$B$1+((Inputs!$G$5:$G$110&lt;&gt;"moeda")*(Inputs!$G$5:$G$110&lt;&gt;"acoes")))*INDEX(Inputs!$K$5:$AJ$110,0,MATCH(V$2,Inputs!$K$4:$AJ$4,0)))+SUMPRODUCT((Inputs!$E$5:$E$110=$B60)*Inputs!$F$5:$F$110*(((Inputs!$G$5:$G$110="moeda")+(Inputs!$G$5:$G$110="acoes"))*Inputs!$B$1+((Inputs!$G$5:$G$110&lt;&gt;"moeda")*(Inputs!$G$5:$G$110&lt;&gt;"acoes")))*INDEX(Inputs!$K$5:$AJ$110,0,MATCH(V$2,Inputs!$K$4:$AJ$4,0)))))</f>
        <v>32609</v>
      </c>
      <c r="W60" s="514">
        <f>SUM(S60:V60)</f>
        <v>113921</v>
      </c>
      <c r="X60" s="513">
        <f>IF(ISNA(MATCH(X$2,Inputs!$K$4:$AJ$4,0)),NA(),IF(SUMPRODUCT((Inputs!$A$5:$A$110=$B60)*ISNUMBER(INDEX(Inputs!$K$5:$AJ$110,0,MATCH(X$2,Inputs!$K$4:$AJ$4,0))))+SUMPRODUCT((Inputs!$C$5:$C$110=$B60)*ISNUMBER(INDEX(Inputs!$K$5:$AJ$110,0,MATCH(X$2,Inputs!$K$4:$AJ$4,0))))+SUMPRODUCT((Inputs!$E$5:$E$110=$B60)*ISNUMBER(INDEX(Inputs!$K$5:$AJ$110,0,MATCH(X$2,Inputs!$K$4:$AJ$4,0))))=0,NA(),SUMPRODUCT((Inputs!$A$5:$A$110=$B60)*Inputs!$B$5:$B$110*(((Inputs!$G$5:$G$110="moeda")+(Inputs!$G$5:$G$110="acoes"))*Inputs!$B$1+((Inputs!$G$5:$G$110&lt;&gt;"moeda")*(Inputs!$G$5:$G$110&lt;&gt;"acoes")))*INDEX(Inputs!$K$5:$AJ$110,0,MATCH(X$2,Inputs!$K$4:$AJ$4,0)))+SUMPRODUCT((Inputs!$C$5:$C$110=$B60)*Inputs!$D$5:$D$110*(((Inputs!$G$5:$G$110="moeda")+(Inputs!$G$5:$G$110="acoes"))*Inputs!$B$1+((Inputs!$G$5:$G$110&lt;&gt;"moeda")*(Inputs!$G$5:$G$110&lt;&gt;"acoes")))*INDEX(Inputs!$K$5:$AJ$110,0,MATCH(X$2,Inputs!$K$4:$AJ$4,0)))+SUMPRODUCT((Inputs!$E$5:$E$110=$B60)*Inputs!$F$5:$F$110*(((Inputs!$G$5:$G$110="moeda")+(Inputs!$G$5:$G$110="acoes"))*Inputs!$B$1+((Inputs!$G$5:$G$110&lt;&gt;"moeda")*(Inputs!$G$5:$G$110&lt;&gt;"acoes")))*INDEX(Inputs!$K$5:$AJ$110,0,MATCH(X$2,Inputs!$K$4:$AJ$4,0)))))</f>
        <v>25276</v>
      </c>
      <c r="Y60" s="513">
        <f>IF(ISNA(MATCH(Y$2,Inputs!$K$4:$AJ$4,0)),NA(),IF(SUMPRODUCT((Inputs!$A$5:$A$110=$B60)*ISNUMBER(INDEX(Inputs!$K$5:$AJ$110,0,MATCH(Y$2,Inputs!$K$4:$AJ$4,0))))+SUMPRODUCT((Inputs!$C$5:$C$110=$B60)*ISNUMBER(INDEX(Inputs!$K$5:$AJ$110,0,MATCH(Y$2,Inputs!$K$4:$AJ$4,0))))+SUMPRODUCT((Inputs!$E$5:$E$110=$B60)*ISNUMBER(INDEX(Inputs!$K$5:$AJ$110,0,MATCH(Y$2,Inputs!$K$4:$AJ$4,0))))=0,NA(),SUMPRODUCT((Inputs!$A$5:$A$110=$B60)*Inputs!$B$5:$B$110*(((Inputs!$G$5:$G$110="moeda")+(Inputs!$G$5:$G$110="acoes"))*Inputs!$B$1+((Inputs!$G$5:$G$110&lt;&gt;"moeda")*(Inputs!$G$5:$G$110&lt;&gt;"acoes")))*INDEX(Inputs!$K$5:$AJ$110,0,MATCH(Y$2,Inputs!$K$4:$AJ$4,0)))+SUMPRODUCT((Inputs!$C$5:$C$110=$B60)*Inputs!$D$5:$D$110*(((Inputs!$G$5:$G$110="moeda")+(Inputs!$G$5:$G$110="acoes"))*Inputs!$B$1+((Inputs!$G$5:$G$110&lt;&gt;"moeda")*(Inputs!$G$5:$G$110&lt;&gt;"acoes")))*INDEX(Inputs!$K$5:$AJ$110,0,MATCH(Y$2,Inputs!$K$4:$AJ$4,0)))+SUMPRODUCT((Inputs!$E$5:$E$110=$B60)*Inputs!$F$5:$F$110*(((Inputs!$G$5:$G$110="moeda")+(Inputs!$G$5:$G$110="acoes"))*Inputs!$B$1+((Inputs!$G$5:$G$110&lt;&gt;"moeda")*(Inputs!$G$5:$G$110&lt;&gt;"acoes")))*INDEX(Inputs!$K$5:$AJ$110,0,MATCH(Y$2,Inputs!$K$4:$AJ$4,0)))))</f>
        <v>29458</v>
      </c>
      <c r="Z60" s="513">
        <f>IF(ISNA(MATCH(Z$2,Inputs!$K$4:$AJ$4,0)),NA(),IF(SUMPRODUCT((Inputs!$A$5:$A$110=$B60)*ISNUMBER(INDEX(Inputs!$K$5:$AJ$110,0,MATCH(Z$2,Inputs!$K$4:$AJ$4,0))))+SUMPRODUCT((Inputs!$C$5:$C$110=$B60)*ISNUMBER(INDEX(Inputs!$K$5:$AJ$110,0,MATCH(Z$2,Inputs!$K$4:$AJ$4,0))))+SUMPRODUCT((Inputs!$E$5:$E$110=$B60)*ISNUMBER(INDEX(Inputs!$K$5:$AJ$110,0,MATCH(Z$2,Inputs!$K$4:$AJ$4,0))))=0,NA(),SUMPRODUCT((Inputs!$A$5:$A$110=$B60)*Inputs!$B$5:$B$110*(((Inputs!$G$5:$G$110="moeda")+(Inputs!$G$5:$G$110="acoes"))*Inputs!$B$1+((Inputs!$G$5:$G$110&lt;&gt;"moeda")*(Inputs!$G$5:$G$110&lt;&gt;"acoes")))*INDEX(Inputs!$K$5:$AJ$110,0,MATCH(Z$2,Inputs!$K$4:$AJ$4,0)))+SUMPRODUCT((Inputs!$C$5:$C$110=$B60)*Inputs!$D$5:$D$110*(((Inputs!$G$5:$G$110="moeda")+(Inputs!$G$5:$G$110="acoes"))*Inputs!$B$1+((Inputs!$G$5:$G$110&lt;&gt;"moeda")*(Inputs!$G$5:$G$110&lt;&gt;"acoes")))*INDEX(Inputs!$K$5:$AJ$110,0,MATCH(Z$2,Inputs!$K$4:$AJ$4,0)))+SUMPRODUCT((Inputs!$E$5:$E$110=$B60)*Inputs!$F$5:$F$110*(((Inputs!$G$5:$G$110="moeda")+(Inputs!$G$5:$G$110="acoes"))*Inputs!$B$1+((Inputs!$G$5:$G$110&lt;&gt;"moeda")*(Inputs!$G$5:$G$110&lt;&gt;"acoes")))*INDEX(Inputs!$K$5:$AJ$110,0,MATCH(Z$2,Inputs!$K$4:$AJ$4,0)))))</f>
        <v>27366</v>
      </c>
      <c r="AA60" s="513">
        <f>IF(ISNA(MATCH(AA$2,Inputs!$K$4:$AJ$4,0)),NA(),IF(SUMPRODUCT((Inputs!$A$5:$A$110=$B60)*ISNUMBER(INDEX(Inputs!$K$5:$AJ$110,0,MATCH(AA$2,Inputs!$K$4:$AJ$4,0))))+SUMPRODUCT((Inputs!$C$5:$C$110=$B60)*ISNUMBER(INDEX(Inputs!$K$5:$AJ$110,0,MATCH(AA$2,Inputs!$K$4:$AJ$4,0))))+SUMPRODUCT((Inputs!$E$5:$E$110=$B60)*ISNUMBER(INDEX(Inputs!$K$5:$AJ$110,0,MATCH(AA$2,Inputs!$K$4:$AJ$4,0))))=0,NA(),SUMPRODUCT((Inputs!$A$5:$A$110=$B60)*Inputs!$B$5:$B$110*(((Inputs!$G$5:$G$110="moeda")+(Inputs!$G$5:$G$110="acoes"))*Inputs!$B$1+((Inputs!$G$5:$G$110&lt;&gt;"moeda")*(Inputs!$G$5:$G$110&lt;&gt;"acoes")))*INDEX(Inputs!$K$5:$AJ$110,0,MATCH(AA$2,Inputs!$K$4:$AJ$4,0)))+SUMPRODUCT((Inputs!$C$5:$C$110=$B60)*Inputs!$D$5:$D$110*(((Inputs!$G$5:$G$110="moeda")+(Inputs!$G$5:$G$110="acoes"))*Inputs!$B$1+((Inputs!$G$5:$G$110&lt;&gt;"moeda")*(Inputs!$G$5:$G$110&lt;&gt;"acoes")))*INDEX(Inputs!$K$5:$AJ$110,0,MATCH(AA$2,Inputs!$K$4:$AJ$4,0)))+SUMPRODUCT((Inputs!$E$5:$E$110=$B60)*Inputs!$F$5:$F$110*(((Inputs!$G$5:$G$110="moeda")+(Inputs!$G$5:$G$110="acoes"))*Inputs!$B$1+((Inputs!$G$5:$G$110&lt;&gt;"moeda")*(Inputs!$G$5:$G$110&lt;&gt;"acoes")))*INDEX(Inputs!$K$5:$AJ$110,0,MATCH(AA$2,Inputs!$K$4:$AJ$4,0)))))</f>
        <v>32960</v>
      </c>
      <c r="AB60" s="514">
        <f>SUM(X60:AA60)</f>
        <v>115060</v>
      </c>
      <c r="AC60" s="513">
        <f>IF(ISNA(MATCH(AC$2,Inputs!$K$4:$AJ$4,0)),NA(),IF(SUMPRODUCT((Inputs!$A$5:$A$110=$B60)*ISNUMBER(INDEX(Inputs!$K$5:$AJ$110,0,MATCH(AC$2,Inputs!$K$4:$AJ$4,0))))+SUMPRODUCT((Inputs!$C$5:$C$110=$B60)*ISNUMBER(INDEX(Inputs!$K$5:$AJ$110,0,MATCH(AC$2,Inputs!$K$4:$AJ$4,0))))+SUMPRODUCT((Inputs!$E$5:$E$110=$B60)*ISNUMBER(INDEX(Inputs!$K$5:$AJ$110,0,MATCH(AC$2,Inputs!$K$4:$AJ$4,0))))=0,NA(),SUMPRODUCT((Inputs!$A$5:$A$110=$B60)*Inputs!$B$5:$B$110*(((Inputs!$G$5:$G$110="moeda")+(Inputs!$G$5:$G$110="acoes"))*Inputs!$B$1+((Inputs!$G$5:$G$110&lt;&gt;"moeda")*(Inputs!$G$5:$G$110&lt;&gt;"acoes")))*INDEX(Inputs!$K$5:$AJ$110,0,MATCH(AC$2,Inputs!$K$4:$AJ$4,0)))+SUMPRODUCT((Inputs!$C$5:$C$110=$B60)*Inputs!$D$5:$D$110*(((Inputs!$G$5:$G$110="moeda")+(Inputs!$G$5:$G$110="acoes"))*Inputs!$B$1+((Inputs!$G$5:$G$110&lt;&gt;"moeda")*(Inputs!$G$5:$G$110&lt;&gt;"acoes")))*INDEX(Inputs!$K$5:$AJ$110,0,MATCH(AC$2,Inputs!$K$4:$AJ$4,0)))+SUMPRODUCT((Inputs!$E$5:$E$110=$B60)*Inputs!$F$5:$F$110*(((Inputs!$G$5:$G$110="moeda")+(Inputs!$G$5:$G$110="acoes"))*Inputs!$B$1+((Inputs!$G$5:$G$110&lt;&gt;"moeda")*(Inputs!$G$5:$G$110&lt;&gt;"acoes")))*INDEX(Inputs!$K$5:$AJ$110,0,MATCH(AC$2,Inputs!$K$4:$AJ$4,0)))))</f>
        <v>26420</v>
      </c>
      <c r="AD60" s="513">
        <f>IF(ISNA(MATCH(AD$2,Inputs!$K$4:$AJ$4,0)),NA(),IF(SUMPRODUCT((Inputs!$A$5:$A$110=$B60)*ISNUMBER(INDEX(Inputs!$K$5:$AJ$110,0,MATCH(AD$2,Inputs!$K$4:$AJ$4,0))))+SUMPRODUCT((Inputs!$C$5:$C$110=$B60)*ISNUMBER(INDEX(Inputs!$K$5:$AJ$110,0,MATCH(AD$2,Inputs!$K$4:$AJ$4,0))))+SUMPRODUCT((Inputs!$E$5:$E$110=$B60)*ISNUMBER(INDEX(Inputs!$K$5:$AJ$110,0,MATCH(AD$2,Inputs!$K$4:$AJ$4,0))))=0,NA(),SUMPRODUCT((Inputs!$A$5:$A$110=$B60)*Inputs!$B$5:$B$110*(((Inputs!$G$5:$G$110="moeda")+(Inputs!$G$5:$G$110="acoes"))*Inputs!$B$1+((Inputs!$G$5:$G$110&lt;&gt;"moeda")*(Inputs!$G$5:$G$110&lt;&gt;"acoes")))*INDEX(Inputs!$K$5:$AJ$110,0,MATCH(AD$2,Inputs!$K$4:$AJ$4,0)))+SUMPRODUCT((Inputs!$C$5:$C$110=$B60)*Inputs!$D$5:$D$110*(((Inputs!$G$5:$G$110="moeda")+(Inputs!$G$5:$G$110="acoes"))*Inputs!$B$1+((Inputs!$G$5:$G$110&lt;&gt;"moeda")*(Inputs!$G$5:$G$110&lt;&gt;"acoes")))*INDEX(Inputs!$K$5:$AJ$110,0,MATCH(AD$2,Inputs!$K$4:$AJ$4,0)))+SUMPRODUCT((Inputs!$E$5:$E$110=$B60)*Inputs!$F$5:$F$110*(((Inputs!$G$5:$G$110="moeda")+(Inputs!$G$5:$G$110="acoes"))*Inputs!$B$1+((Inputs!$G$5:$G$110&lt;&gt;"moeda")*(Inputs!$G$5:$G$110&lt;&gt;"acoes")))*INDEX(Inputs!$K$5:$AJ$110,0,MATCH(AD$2,Inputs!$K$4:$AJ$4,0)))))</f>
        <v>29728</v>
      </c>
      <c r="AE60" s="513" t="e">
        <f>IF(ISNA(MATCH(AE$2,Inputs!$K$4:$AJ$4,0)),NA(),IF(SUMPRODUCT((Inputs!$A$5:$A$110=$B60)*ISNUMBER(INDEX(Inputs!$K$5:$AJ$110,0,MATCH(AE$2,Inputs!$K$4:$AJ$4,0))))+SUMPRODUCT((Inputs!$C$5:$C$110=$B60)*ISNUMBER(INDEX(Inputs!$K$5:$AJ$110,0,MATCH(AE$2,Inputs!$K$4:$AJ$4,0))))+SUMPRODUCT((Inputs!$E$5:$E$110=$B60)*ISNUMBER(INDEX(Inputs!$K$5:$AJ$110,0,MATCH(AE$2,Inputs!$K$4:$AJ$4,0))))=0,NA(),SUMPRODUCT((Inputs!$A$5:$A$110=$B60)*Inputs!$B$5:$B$110*(((Inputs!$G$5:$G$110="moeda")+(Inputs!$G$5:$G$110="acoes"))*Inputs!$B$1+((Inputs!$G$5:$G$110&lt;&gt;"moeda")*(Inputs!$G$5:$G$110&lt;&gt;"acoes")))*INDEX(Inputs!$K$5:$AJ$110,0,MATCH(AE$2,Inputs!$K$4:$AJ$4,0)))+SUMPRODUCT((Inputs!$C$5:$C$110=$B60)*Inputs!$D$5:$D$110*(((Inputs!$G$5:$G$110="moeda")+(Inputs!$G$5:$G$110="acoes"))*Inputs!$B$1+((Inputs!$G$5:$G$110&lt;&gt;"moeda")*(Inputs!$G$5:$G$110&lt;&gt;"acoes")))*INDEX(Inputs!$K$5:$AJ$110,0,MATCH(AE$2,Inputs!$K$4:$AJ$4,0)))+SUMPRODUCT((Inputs!$E$5:$E$110=$B60)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0" s="513" t="e">
        <f>IF(ISNA(MATCH(AF$2,Inputs!$K$4:$AJ$4,0)),NA(),IF(SUMPRODUCT((Inputs!$A$5:$A$110=$B60)*ISNUMBER(INDEX(Inputs!$K$5:$AJ$110,0,MATCH(AF$2,Inputs!$K$4:$AJ$4,0))))+SUMPRODUCT((Inputs!$C$5:$C$110=$B60)*ISNUMBER(INDEX(Inputs!$K$5:$AJ$110,0,MATCH(AF$2,Inputs!$K$4:$AJ$4,0))))+SUMPRODUCT((Inputs!$E$5:$E$110=$B60)*ISNUMBER(INDEX(Inputs!$K$5:$AJ$110,0,MATCH(AF$2,Inputs!$K$4:$AJ$4,0))))=0,NA(),SUMPRODUCT((Inputs!$A$5:$A$110=$B60)*Inputs!$B$5:$B$110*(((Inputs!$G$5:$G$110="moeda")+(Inputs!$G$5:$G$110="acoes"))*Inputs!$B$1+((Inputs!$G$5:$G$110&lt;&gt;"moeda")*(Inputs!$G$5:$G$110&lt;&gt;"acoes")))*INDEX(Inputs!$K$5:$AJ$110,0,MATCH(AF$2,Inputs!$K$4:$AJ$4,0)))+SUMPRODUCT((Inputs!$C$5:$C$110=$B60)*Inputs!$D$5:$D$110*(((Inputs!$G$5:$G$110="moeda")+(Inputs!$G$5:$G$110="acoes"))*Inputs!$B$1+((Inputs!$G$5:$G$110&lt;&gt;"moeda")*(Inputs!$G$5:$G$110&lt;&gt;"acoes")))*INDEX(Inputs!$K$5:$AJ$110,0,MATCH(AF$2,Inputs!$K$4:$AJ$4,0)))+SUMPRODUCT((Inputs!$E$5:$E$110=$B60)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0" s="514" t="e">
        <f>SUM(AC60:AF60)</f>
        <v>#N/A</v>
      </c>
      <c r="AH60" s="513">
        <f>IF(ISNA(MATCH(AH$2,Inputs!$K$4:$AJ$4,0)),NA(),IF(SUMPRODUCT((Inputs!$A$5:$A$110=$B60)*ISNUMBER(INDEX(Inputs!$K$5:$AJ$110,0,MATCH(AH$2,Inputs!$K$4:$AJ$4,0))))+SUMPRODUCT((Inputs!$C$5:$C$110=$B60)*ISNUMBER(INDEX(Inputs!$K$5:$AJ$110,0,MATCH(AH$2,Inputs!$K$4:$AJ$4,0))))+SUMPRODUCT((Inputs!$E$5:$E$110=$B60)*ISNUMBER(INDEX(Inputs!$K$5:$AJ$110,0,MATCH(AH$2,Inputs!$K$4:$AJ$4,0))))=0,NA(),SUMPRODUCT((Inputs!$A$5:$A$110=$B60)*Inputs!$B$5:$B$110*(((Inputs!$G$5:$G$110="moeda")+(Inputs!$G$5:$G$110="acoes"))*Inputs!$B$1+((Inputs!$G$5:$G$110&lt;&gt;"moeda")*(Inputs!$G$5:$G$110&lt;&gt;"acoes")))*INDEX(Inputs!$K$5:$AJ$110,0,MATCH(AH$2,Inputs!$K$4:$AJ$4,0)))+SUMPRODUCT((Inputs!$C$5:$C$110=$B60)*Inputs!$D$5:$D$110*(((Inputs!$G$5:$G$110="moeda")+(Inputs!$G$5:$G$110="acoes"))*Inputs!$B$1+((Inputs!$G$5:$G$110&lt;&gt;"moeda")*(Inputs!$G$5:$G$110&lt;&gt;"acoes")))*INDEX(Inputs!$K$5:$AJ$110,0,MATCH(AH$2,Inputs!$K$4:$AJ$4,0)))+SUMPRODUCT((Inputs!$E$5:$E$110=$B60)*Inputs!$F$5:$F$110*(((Inputs!$G$5:$G$110="moeda")+(Inputs!$G$5:$G$110="acoes"))*Inputs!$B$1+((Inputs!$G$5:$G$110&lt;&gt;"moeda")*(Inputs!$G$5:$G$110&lt;&gt;"acoes")))*INDEX(Inputs!$K$5:$AJ$110,0,MATCH(AH$2,Inputs!$K$4:$AJ$4,0)))))</f>
        <v>25466</v>
      </c>
      <c r="AI60" s="513">
        <f>IF(ISNA(MATCH(AI$2,Inputs!$K$4:$AJ$4,0)),NA(),IF(SUMPRODUCT((Inputs!$A$5:$A$110=$B60)*ISNUMBER(INDEX(Inputs!$K$5:$AJ$110,0,MATCH(AI$2,Inputs!$K$4:$AJ$4,0))))+SUMPRODUCT((Inputs!$C$5:$C$110=$B60)*ISNUMBER(INDEX(Inputs!$K$5:$AJ$110,0,MATCH(AI$2,Inputs!$K$4:$AJ$4,0))))+SUMPRODUCT((Inputs!$E$5:$E$110=$B60)*ISNUMBER(INDEX(Inputs!$K$5:$AJ$110,0,MATCH(AI$2,Inputs!$K$4:$AJ$4,0))))=0,NA(),SUMPRODUCT((Inputs!$A$5:$A$110=$B60)*Inputs!$B$5:$B$110*(((Inputs!$G$5:$G$110="moeda")+(Inputs!$G$5:$G$110="acoes"))*Inputs!$B$1+((Inputs!$G$5:$G$110&lt;&gt;"moeda")*(Inputs!$G$5:$G$110&lt;&gt;"acoes")))*INDEX(Inputs!$K$5:$AJ$110,0,MATCH(AI$2,Inputs!$K$4:$AJ$4,0)))+SUMPRODUCT((Inputs!$C$5:$C$110=$B60)*Inputs!$D$5:$D$110*(((Inputs!$G$5:$G$110="moeda")+(Inputs!$G$5:$G$110="acoes"))*Inputs!$B$1+((Inputs!$G$5:$G$110&lt;&gt;"moeda")*(Inputs!$G$5:$G$110&lt;&gt;"acoes")))*INDEX(Inputs!$K$5:$AJ$110,0,MATCH(AI$2,Inputs!$K$4:$AJ$4,0)))+SUMPRODUCT((Inputs!$E$5:$E$110=$B60)*Inputs!$F$5:$F$110*(((Inputs!$G$5:$G$110="moeda")+(Inputs!$G$5:$G$110="acoes"))*Inputs!$B$1+((Inputs!$G$5:$G$110&lt;&gt;"moeda")*(Inputs!$G$5:$G$110&lt;&gt;"acoes")))*INDEX(Inputs!$K$5:$AJ$110,0,MATCH(AI$2,Inputs!$K$4:$AJ$4,0)))))</f>
        <v>31682</v>
      </c>
      <c r="AJ60" s="513">
        <f>IF(ISNA(MATCH(AJ$2,Inputs!$K$4:$AJ$4,0)),NA(),IF(SUMPRODUCT((Inputs!$A$5:$A$110=$B60)*ISNUMBER(INDEX(Inputs!$K$5:$AJ$110,0,MATCH(AJ$2,Inputs!$K$4:$AJ$4,0))))+SUMPRODUCT((Inputs!$C$5:$C$110=$B60)*ISNUMBER(INDEX(Inputs!$K$5:$AJ$110,0,MATCH(AJ$2,Inputs!$K$4:$AJ$4,0))))+SUMPRODUCT((Inputs!$E$5:$E$110=$B60)*ISNUMBER(INDEX(Inputs!$K$5:$AJ$110,0,MATCH(AJ$2,Inputs!$K$4:$AJ$4,0))))=0,NA(),SUMPRODUCT((Inputs!$A$5:$A$110=$B60)*Inputs!$B$5:$B$110*(((Inputs!$G$5:$G$110="moeda")+(Inputs!$G$5:$G$110="acoes"))*Inputs!$B$1+((Inputs!$G$5:$G$110&lt;&gt;"moeda")*(Inputs!$G$5:$G$110&lt;&gt;"acoes")))*INDEX(Inputs!$K$5:$AJ$110,0,MATCH(AJ$2,Inputs!$K$4:$AJ$4,0)))+SUMPRODUCT((Inputs!$C$5:$C$110=$B60)*Inputs!$D$5:$D$110*(((Inputs!$G$5:$G$110="moeda")+(Inputs!$G$5:$G$110="acoes"))*Inputs!$B$1+((Inputs!$G$5:$G$110&lt;&gt;"moeda")*(Inputs!$G$5:$G$110&lt;&gt;"acoes")))*INDEX(Inputs!$K$5:$AJ$110,0,MATCH(AJ$2,Inputs!$K$4:$AJ$4,0)))+SUMPRODUCT((Inputs!$E$5:$E$110=$B60)*Inputs!$F$5:$F$110*(((Inputs!$G$5:$G$110="moeda")+(Inputs!$G$5:$G$110="acoes"))*Inputs!$B$1+((Inputs!$G$5:$G$110&lt;&gt;"moeda")*(Inputs!$G$5:$G$110&lt;&gt;"acoes")))*INDEX(Inputs!$K$5:$AJ$110,0,MATCH(AJ$2,Inputs!$K$4:$AJ$4,0)))))</f>
        <v>26927</v>
      </c>
      <c r="AK60" s="513">
        <f>IF(ISNA(MATCH(AK$2,Inputs!$K$4:$AJ$4,0)),NA(),IF(SUMPRODUCT((Inputs!$A$5:$A$110=$B60)*ISNUMBER(INDEX(Inputs!$K$5:$AJ$110,0,MATCH(AK$2,Inputs!$K$4:$AJ$4,0))))+SUMPRODUCT((Inputs!$C$5:$C$110=$B60)*ISNUMBER(INDEX(Inputs!$K$5:$AJ$110,0,MATCH(AK$2,Inputs!$K$4:$AJ$4,0))))+SUMPRODUCT((Inputs!$E$5:$E$110=$B60)*ISNUMBER(INDEX(Inputs!$K$5:$AJ$110,0,MATCH(AK$2,Inputs!$K$4:$AJ$4,0))))=0,NA(),SUMPRODUCT((Inputs!$A$5:$A$110=$B60)*Inputs!$B$5:$B$110*(((Inputs!$G$5:$G$110="moeda")+(Inputs!$G$5:$G$110="acoes"))*Inputs!$B$1+((Inputs!$G$5:$G$110&lt;&gt;"moeda")*(Inputs!$G$5:$G$110&lt;&gt;"acoes")))*INDEX(Inputs!$K$5:$AJ$110,0,MATCH(AK$2,Inputs!$K$4:$AJ$4,0)))+SUMPRODUCT((Inputs!$C$5:$C$110=$B60)*Inputs!$D$5:$D$110*(((Inputs!$G$5:$G$110="moeda")+(Inputs!$G$5:$G$110="acoes"))*Inputs!$B$1+((Inputs!$G$5:$G$110&lt;&gt;"moeda")*(Inputs!$G$5:$G$110&lt;&gt;"acoes")))*INDEX(Inputs!$K$5:$AJ$110,0,MATCH(AK$2,Inputs!$K$4:$AJ$4,0)))+SUMPRODUCT((Inputs!$E$5:$E$110=$B60)*Inputs!$F$5:$F$110*(((Inputs!$G$5:$G$110="moeda")+(Inputs!$G$5:$G$110="acoes"))*Inputs!$B$1+((Inputs!$G$5:$G$110&lt;&gt;"moeda")*(Inputs!$G$5:$G$110&lt;&gt;"acoes")))*INDEX(Inputs!$K$5:$AJ$110,0,MATCH(AK$2,Inputs!$K$4:$AJ$4,0)))))</f>
        <v>35331</v>
      </c>
      <c r="AL60" s="514">
        <f>SUM(AH60:AK60)</f>
        <v>119406</v>
      </c>
    </row>
    <row r="61">
      <c r="B61" s="265" t="n">
        <v>53</v>
      </c>
      <c r="C61" s="266" t="inlineStr">
        <is>
          <t>Walmart U.S. - Health and wellness (USD)</t>
        </is>
      </c>
      <c r="D61" s="513">
        <f>IF(ISNA(MATCH(D$2,Inputs!$K$4:$AJ$4,0)),NA(),IF(SUMPRODUCT((Inputs!$A$5:$A$110=$B61)*ISNUMBER(INDEX(Inputs!$K$5:$AJ$110,0,MATCH(D$2,Inputs!$K$4:$AJ$4,0))))+SUMPRODUCT((Inputs!$C$5:$C$110=$B61)*ISNUMBER(INDEX(Inputs!$K$5:$AJ$110,0,MATCH(D$2,Inputs!$K$4:$AJ$4,0))))+SUMPRODUCT((Inputs!$E$5:$E$110=$B61)*ISNUMBER(INDEX(Inputs!$K$5:$AJ$110,0,MATCH(D$2,Inputs!$K$4:$AJ$4,0))))=0,NA(),SUMPRODUCT((Inputs!$A$5:$A$110=$B61)*Inputs!$B$5:$B$110*(((Inputs!$G$5:$G$110="moeda")+(Inputs!$G$5:$G$110="acoes"))*Inputs!$B$1+((Inputs!$G$5:$G$110&lt;&gt;"moeda")*(Inputs!$G$5:$G$110&lt;&gt;"acoes")))*INDEX(Inputs!$K$5:$AJ$110,0,MATCH(D$2,Inputs!$K$4:$AJ$4,0)))+SUMPRODUCT((Inputs!$C$5:$C$110=$B61)*Inputs!$D$5:$D$110*(((Inputs!$G$5:$G$110="moeda")+(Inputs!$G$5:$G$110="acoes"))*Inputs!$B$1+((Inputs!$G$5:$G$110&lt;&gt;"moeda")*(Inputs!$G$5:$G$110&lt;&gt;"acoes")))*INDEX(Inputs!$K$5:$AJ$110,0,MATCH(D$2,Inputs!$K$4:$AJ$4,0)))+SUMPRODUCT((Inputs!$E$5:$E$110=$B61)*Inputs!$F$5:$F$110*(((Inputs!$G$5:$G$110="moeda")+(Inputs!$G$5:$G$110="acoes"))*Inputs!$B$1+((Inputs!$G$5:$G$110&lt;&gt;"moeda")*(Inputs!$G$5:$G$110&lt;&gt;"acoes")))*INDEX(Inputs!$K$5:$AJ$110,0,MATCH(D$2,Inputs!$K$4:$AJ$4,0)))))</f>
        <v>9970</v>
      </c>
      <c r="E61" s="513">
        <f>IF(ISNA(MATCH(E$2,Inputs!$K$4:$AJ$4,0)),NA(),IF(SUMPRODUCT((Inputs!$A$5:$A$110=$B61)*ISNUMBER(INDEX(Inputs!$K$5:$AJ$110,0,MATCH(E$2,Inputs!$K$4:$AJ$4,0))))+SUMPRODUCT((Inputs!$C$5:$C$110=$B61)*ISNUMBER(INDEX(Inputs!$K$5:$AJ$110,0,MATCH(E$2,Inputs!$K$4:$AJ$4,0))))+SUMPRODUCT((Inputs!$E$5:$E$110=$B61)*ISNUMBER(INDEX(Inputs!$K$5:$AJ$110,0,MATCH(E$2,Inputs!$K$4:$AJ$4,0))))=0,NA(),SUMPRODUCT((Inputs!$A$5:$A$110=$B61)*Inputs!$B$5:$B$110*(((Inputs!$G$5:$G$110="moeda")+(Inputs!$G$5:$G$110="acoes"))*Inputs!$B$1+((Inputs!$G$5:$G$110&lt;&gt;"moeda")*(Inputs!$G$5:$G$110&lt;&gt;"acoes")))*INDEX(Inputs!$K$5:$AJ$110,0,MATCH(E$2,Inputs!$K$4:$AJ$4,0)))+SUMPRODUCT((Inputs!$C$5:$C$110=$B61)*Inputs!$D$5:$D$110*(((Inputs!$G$5:$G$110="moeda")+(Inputs!$G$5:$G$110="acoes"))*Inputs!$B$1+((Inputs!$G$5:$G$110&lt;&gt;"moeda")*(Inputs!$G$5:$G$110&lt;&gt;"acoes")))*INDEX(Inputs!$K$5:$AJ$110,0,MATCH(E$2,Inputs!$K$4:$AJ$4,0)))+SUMPRODUCT((Inputs!$E$5:$E$110=$B61)*Inputs!$F$5:$F$110*(((Inputs!$G$5:$G$110="moeda")+(Inputs!$G$5:$G$110="acoes"))*Inputs!$B$1+((Inputs!$G$5:$G$110&lt;&gt;"moeda")*(Inputs!$G$5:$G$110&lt;&gt;"acoes")))*INDEX(Inputs!$K$5:$AJ$110,0,MATCH(E$2,Inputs!$K$4:$AJ$4,0)))))</f>
        <v>10480</v>
      </c>
      <c r="F61" s="513">
        <f>IF(ISNA(MATCH(F$2,Inputs!$K$4:$AJ$4,0)),NA(),IF(SUMPRODUCT((Inputs!$A$5:$A$110=$B61)*ISNUMBER(INDEX(Inputs!$K$5:$AJ$110,0,MATCH(F$2,Inputs!$K$4:$AJ$4,0))))+SUMPRODUCT((Inputs!$C$5:$C$110=$B61)*ISNUMBER(INDEX(Inputs!$K$5:$AJ$110,0,MATCH(F$2,Inputs!$K$4:$AJ$4,0))))+SUMPRODUCT((Inputs!$E$5:$E$110=$B61)*ISNUMBER(INDEX(Inputs!$K$5:$AJ$110,0,MATCH(F$2,Inputs!$K$4:$AJ$4,0))))=0,NA(),SUMPRODUCT((Inputs!$A$5:$A$110=$B61)*Inputs!$B$5:$B$110*(((Inputs!$G$5:$G$110="moeda")+(Inputs!$G$5:$G$110="acoes"))*Inputs!$B$1+((Inputs!$G$5:$G$110&lt;&gt;"moeda")*(Inputs!$G$5:$G$110&lt;&gt;"acoes")))*INDEX(Inputs!$K$5:$AJ$110,0,MATCH(F$2,Inputs!$K$4:$AJ$4,0)))+SUMPRODUCT((Inputs!$C$5:$C$110=$B61)*Inputs!$D$5:$D$110*(((Inputs!$G$5:$G$110="moeda")+(Inputs!$G$5:$G$110="acoes"))*Inputs!$B$1+((Inputs!$G$5:$G$110&lt;&gt;"moeda")*(Inputs!$G$5:$G$110&lt;&gt;"acoes")))*INDEX(Inputs!$K$5:$AJ$110,0,MATCH(F$2,Inputs!$K$4:$AJ$4,0)))+SUMPRODUCT((Inputs!$E$5:$E$110=$B61)*Inputs!$F$5:$F$110*(((Inputs!$G$5:$G$110="moeda")+(Inputs!$G$5:$G$110="acoes"))*Inputs!$B$1+((Inputs!$G$5:$G$110&lt;&gt;"moeda")*(Inputs!$G$5:$G$110&lt;&gt;"acoes")))*INDEX(Inputs!$K$5:$AJ$110,0,MATCH(F$2,Inputs!$K$4:$AJ$4,0)))))</f>
        <v>11030</v>
      </c>
      <c r="G61" s="513">
        <f>IF(ISNA(MATCH(G$2,Inputs!$K$4:$AJ$4,0)),NA(),IF(SUMPRODUCT((Inputs!$A$5:$A$110=$B61)*ISNUMBER(INDEX(Inputs!$K$5:$AJ$110,0,MATCH(G$2,Inputs!$K$4:$AJ$4,0))))+SUMPRODUCT((Inputs!$C$5:$C$110=$B61)*ISNUMBER(INDEX(Inputs!$K$5:$AJ$110,0,MATCH(G$2,Inputs!$K$4:$AJ$4,0))))+SUMPRODUCT((Inputs!$E$5:$E$110=$B61)*ISNUMBER(INDEX(Inputs!$K$5:$AJ$110,0,MATCH(G$2,Inputs!$K$4:$AJ$4,0))))=0,NA(),SUMPRODUCT((Inputs!$A$5:$A$110=$B61)*Inputs!$B$5:$B$110*(((Inputs!$G$5:$G$110="moeda")+(Inputs!$G$5:$G$110="acoes"))*Inputs!$B$1+((Inputs!$G$5:$G$110&lt;&gt;"moeda")*(Inputs!$G$5:$G$110&lt;&gt;"acoes")))*INDEX(Inputs!$K$5:$AJ$110,0,MATCH(G$2,Inputs!$K$4:$AJ$4,0)))+SUMPRODUCT((Inputs!$C$5:$C$110=$B61)*Inputs!$D$5:$D$110*(((Inputs!$G$5:$G$110="moeda")+(Inputs!$G$5:$G$110="acoes"))*Inputs!$B$1+((Inputs!$G$5:$G$110&lt;&gt;"moeda")*(Inputs!$G$5:$G$110&lt;&gt;"acoes")))*INDEX(Inputs!$K$5:$AJ$110,0,MATCH(G$2,Inputs!$K$4:$AJ$4,0)))+SUMPRODUCT((Inputs!$E$5:$E$110=$B61)*Inputs!$F$5:$F$110*(((Inputs!$G$5:$G$110="moeda")+(Inputs!$G$5:$G$110="acoes"))*Inputs!$B$1+((Inputs!$G$5:$G$110&lt;&gt;"moeda")*(Inputs!$G$5:$G$110&lt;&gt;"acoes")))*INDEX(Inputs!$K$5:$AJ$110,0,MATCH(G$2,Inputs!$K$4:$AJ$4,0)))))</f>
        <v>11359</v>
      </c>
      <c r="H61" s="514">
        <f>SUM(D61:G61)</f>
        <v>42839</v>
      </c>
      <c r="I61" s="513">
        <f>IF(ISNA(MATCH(I$2,Inputs!$K$4:$AJ$4,0)),NA(),IF(SUMPRODUCT((Inputs!$A$5:$A$110=$B61)*ISNUMBER(INDEX(Inputs!$K$5:$AJ$110,0,MATCH(I$2,Inputs!$K$4:$AJ$4,0))))+SUMPRODUCT((Inputs!$C$5:$C$110=$B61)*ISNUMBER(INDEX(Inputs!$K$5:$AJ$110,0,MATCH(I$2,Inputs!$K$4:$AJ$4,0))))+SUMPRODUCT((Inputs!$E$5:$E$110=$B61)*ISNUMBER(INDEX(Inputs!$K$5:$AJ$110,0,MATCH(I$2,Inputs!$K$4:$AJ$4,0))))=0,NA(),SUMPRODUCT((Inputs!$A$5:$A$110=$B61)*Inputs!$B$5:$B$110*(((Inputs!$G$5:$G$110="moeda")+(Inputs!$G$5:$G$110="acoes"))*Inputs!$B$1+((Inputs!$G$5:$G$110&lt;&gt;"moeda")*(Inputs!$G$5:$G$110&lt;&gt;"acoes")))*INDEX(Inputs!$K$5:$AJ$110,0,MATCH(I$2,Inputs!$K$4:$AJ$4,0)))+SUMPRODUCT((Inputs!$C$5:$C$110=$B61)*Inputs!$D$5:$D$110*(((Inputs!$G$5:$G$110="moeda")+(Inputs!$G$5:$G$110="acoes"))*Inputs!$B$1+((Inputs!$G$5:$G$110&lt;&gt;"moeda")*(Inputs!$G$5:$G$110&lt;&gt;"acoes")))*INDEX(Inputs!$K$5:$AJ$110,0,MATCH(I$2,Inputs!$K$4:$AJ$4,0)))+SUMPRODUCT((Inputs!$E$5:$E$110=$B61)*Inputs!$F$5:$F$110*(((Inputs!$G$5:$G$110="moeda")+(Inputs!$G$5:$G$110="acoes"))*Inputs!$B$1+((Inputs!$G$5:$G$110&lt;&gt;"moeda")*(Inputs!$G$5:$G$110&lt;&gt;"acoes")))*INDEX(Inputs!$K$5:$AJ$110,0,MATCH(I$2,Inputs!$K$4:$AJ$4,0)))))</f>
        <v>10894</v>
      </c>
      <c r="J61" s="513">
        <f>IF(ISNA(MATCH(J$2,Inputs!$K$4:$AJ$4,0)),NA(),IF(SUMPRODUCT((Inputs!$A$5:$A$110=$B61)*ISNUMBER(INDEX(Inputs!$K$5:$AJ$110,0,MATCH(J$2,Inputs!$K$4:$AJ$4,0))))+SUMPRODUCT((Inputs!$C$5:$C$110=$B61)*ISNUMBER(INDEX(Inputs!$K$5:$AJ$110,0,MATCH(J$2,Inputs!$K$4:$AJ$4,0))))+SUMPRODUCT((Inputs!$E$5:$E$110=$B61)*ISNUMBER(INDEX(Inputs!$K$5:$AJ$110,0,MATCH(J$2,Inputs!$K$4:$AJ$4,0))))=0,NA(),SUMPRODUCT((Inputs!$A$5:$A$110=$B61)*Inputs!$B$5:$B$110*(((Inputs!$G$5:$G$110="moeda")+(Inputs!$G$5:$G$110="acoes"))*Inputs!$B$1+((Inputs!$G$5:$G$110&lt;&gt;"moeda")*(Inputs!$G$5:$G$110&lt;&gt;"acoes")))*INDEX(Inputs!$K$5:$AJ$110,0,MATCH(J$2,Inputs!$K$4:$AJ$4,0)))+SUMPRODUCT((Inputs!$C$5:$C$110=$B61)*Inputs!$D$5:$D$110*(((Inputs!$G$5:$G$110="moeda")+(Inputs!$G$5:$G$110="acoes"))*Inputs!$B$1+((Inputs!$G$5:$G$110&lt;&gt;"moeda")*(Inputs!$G$5:$G$110&lt;&gt;"acoes")))*INDEX(Inputs!$K$5:$AJ$110,0,MATCH(J$2,Inputs!$K$4:$AJ$4,0)))+SUMPRODUCT((Inputs!$E$5:$E$110=$B61)*Inputs!$F$5:$F$110*(((Inputs!$G$5:$G$110="moeda")+(Inputs!$G$5:$G$110="acoes"))*Inputs!$B$1+((Inputs!$G$5:$G$110&lt;&gt;"moeda")*(Inputs!$G$5:$G$110&lt;&gt;"acoes")))*INDEX(Inputs!$K$5:$AJ$110,0,MATCH(J$2,Inputs!$K$4:$AJ$4,0)))))</f>
        <v>11331</v>
      </c>
      <c r="K61" s="513">
        <f>IF(ISNA(MATCH(K$2,Inputs!$K$4:$AJ$4,0)),NA(),IF(SUMPRODUCT((Inputs!$A$5:$A$110=$B61)*ISNUMBER(INDEX(Inputs!$K$5:$AJ$110,0,MATCH(K$2,Inputs!$K$4:$AJ$4,0))))+SUMPRODUCT((Inputs!$C$5:$C$110=$B61)*ISNUMBER(INDEX(Inputs!$K$5:$AJ$110,0,MATCH(K$2,Inputs!$K$4:$AJ$4,0))))+SUMPRODUCT((Inputs!$E$5:$E$110=$B61)*ISNUMBER(INDEX(Inputs!$K$5:$AJ$110,0,MATCH(K$2,Inputs!$K$4:$AJ$4,0))))=0,NA(),SUMPRODUCT((Inputs!$A$5:$A$110=$B61)*Inputs!$B$5:$B$110*(((Inputs!$G$5:$G$110="moeda")+(Inputs!$G$5:$G$110="acoes"))*Inputs!$B$1+((Inputs!$G$5:$G$110&lt;&gt;"moeda")*(Inputs!$G$5:$G$110&lt;&gt;"acoes")))*INDEX(Inputs!$K$5:$AJ$110,0,MATCH(K$2,Inputs!$K$4:$AJ$4,0)))+SUMPRODUCT((Inputs!$C$5:$C$110=$B61)*Inputs!$D$5:$D$110*(((Inputs!$G$5:$G$110="moeda")+(Inputs!$G$5:$G$110="acoes"))*Inputs!$B$1+((Inputs!$G$5:$G$110&lt;&gt;"moeda")*(Inputs!$G$5:$G$110&lt;&gt;"acoes")))*INDEX(Inputs!$K$5:$AJ$110,0,MATCH(K$2,Inputs!$K$4:$AJ$4,0)))+SUMPRODUCT((Inputs!$E$5:$E$110=$B61)*Inputs!$F$5:$F$110*(((Inputs!$G$5:$G$110="moeda")+(Inputs!$G$5:$G$110="acoes"))*Inputs!$B$1+((Inputs!$G$5:$G$110&lt;&gt;"moeda")*(Inputs!$G$5:$G$110&lt;&gt;"acoes")))*INDEX(Inputs!$K$5:$AJ$110,0,MATCH(K$2,Inputs!$K$4:$AJ$4,0)))))</f>
        <v>11947</v>
      </c>
      <c r="L61" s="513">
        <f>IF(ISNA(MATCH(L$2,Inputs!$K$4:$AJ$4,0)),NA(),IF(SUMPRODUCT((Inputs!$A$5:$A$110=$B61)*ISNUMBER(INDEX(Inputs!$K$5:$AJ$110,0,MATCH(L$2,Inputs!$K$4:$AJ$4,0))))+SUMPRODUCT((Inputs!$C$5:$C$110=$B61)*ISNUMBER(INDEX(Inputs!$K$5:$AJ$110,0,MATCH(L$2,Inputs!$K$4:$AJ$4,0))))+SUMPRODUCT((Inputs!$E$5:$E$110=$B61)*ISNUMBER(INDEX(Inputs!$K$5:$AJ$110,0,MATCH(L$2,Inputs!$K$4:$AJ$4,0))))=0,NA(),SUMPRODUCT((Inputs!$A$5:$A$110=$B61)*Inputs!$B$5:$B$110*(((Inputs!$G$5:$G$110="moeda")+(Inputs!$G$5:$G$110="acoes"))*Inputs!$B$1+((Inputs!$G$5:$G$110&lt;&gt;"moeda")*(Inputs!$G$5:$G$110&lt;&gt;"acoes")))*INDEX(Inputs!$K$5:$AJ$110,0,MATCH(L$2,Inputs!$K$4:$AJ$4,0)))+SUMPRODUCT((Inputs!$C$5:$C$110=$B61)*Inputs!$D$5:$D$110*(((Inputs!$G$5:$G$110="moeda")+(Inputs!$G$5:$G$110="acoes"))*Inputs!$B$1+((Inputs!$G$5:$G$110&lt;&gt;"moeda")*(Inputs!$G$5:$G$110&lt;&gt;"acoes")))*INDEX(Inputs!$K$5:$AJ$110,0,MATCH(L$2,Inputs!$K$4:$AJ$4,0)))+SUMPRODUCT((Inputs!$E$5:$E$110=$B61)*Inputs!$F$5:$F$110*(((Inputs!$G$5:$G$110="moeda")+(Inputs!$G$5:$G$110="acoes"))*Inputs!$B$1+((Inputs!$G$5:$G$110&lt;&gt;"moeda")*(Inputs!$G$5:$G$110&lt;&gt;"acoes")))*INDEX(Inputs!$K$5:$AJ$110,0,MATCH(L$2,Inputs!$K$4:$AJ$4,0)))))</f>
        <v>12419</v>
      </c>
      <c r="M61" s="514">
        <f>SUM(I61:L61)</f>
        <v>46591</v>
      </c>
      <c r="N61" s="513">
        <f>IF(ISNA(MATCH(N$2,Inputs!$K$4:$AJ$4,0)),NA(),IF(SUMPRODUCT((Inputs!$A$5:$A$110=$B61)*ISNUMBER(INDEX(Inputs!$K$5:$AJ$110,0,MATCH(N$2,Inputs!$K$4:$AJ$4,0))))+SUMPRODUCT((Inputs!$C$5:$C$110=$B61)*ISNUMBER(INDEX(Inputs!$K$5:$AJ$110,0,MATCH(N$2,Inputs!$K$4:$AJ$4,0))))+SUMPRODUCT((Inputs!$E$5:$E$110=$B61)*ISNUMBER(INDEX(Inputs!$K$5:$AJ$110,0,MATCH(N$2,Inputs!$K$4:$AJ$4,0))))=0,NA(),SUMPRODUCT((Inputs!$A$5:$A$110=$B61)*Inputs!$B$5:$B$110*(((Inputs!$G$5:$G$110="moeda")+(Inputs!$G$5:$G$110="acoes"))*Inputs!$B$1+((Inputs!$G$5:$G$110&lt;&gt;"moeda")*(Inputs!$G$5:$G$110&lt;&gt;"acoes")))*INDEX(Inputs!$K$5:$AJ$110,0,MATCH(N$2,Inputs!$K$4:$AJ$4,0)))+SUMPRODUCT((Inputs!$C$5:$C$110=$B61)*Inputs!$D$5:$D$110*(((Inputs!$G$5:$G$110="moeda")+(Inputs!$G$5:$G$110="acoes"))*Inputs!$B$1+((Inputs!$G$5:$G$110&lt;&gt;"moeda")*(Inputs!$G$5:$G$110&lt;&gt;"acoes")))*INDEX(Inputs!$K$5:$AJ$110,0,MATCH(N$2,Inputs!$K$4:$AJ$4,0)))+SUMPRODUCT((Inputs!$E$5:$E$110=$B61)*Inputs!$F$5:$F$110*(((Inputs!$G$5:$G$110="moeda")+(Inputs!$G$5:$G$110="acoes"))*Inputs!$B$1+((Inputs!$G$5:$G$110&lt;&gt;"moeda")*(Inputs!$G$5:$G$110&lt;&gt;"acoes")))*INDEX(Inputs!$K$5:$AJ$110,0,MATCH(N$2,Inputs!$K$4:$AJ$4,0)))))</f>
        <v>12848</v>
      </c>
      <c r="O61" s="513">
        <f>IF(ISNA(MATCH(O$2,Inputs!$K$4:$AJ$4,0)),NA(),IF(SUMPRODUCT((Inputs!$A$5:$A$110=$B61)*ISNUMBER(INDEX(Inputs!$K$5:$AJ$110,0,MATCH(O$2,Inputs!$K$4:$AJ$4,0))))+SUMPRODUCT((Inputs!$C$5:$C$110=$B61)*ISNUMBER(INDEX(Inputs!$K$5:$AJ$110,0,MATCH(O$2,Inputs!$K$4:$AJ$4,0))))+SUMPRODUCT((Inputs!$E$5:$E$110=$B61)*ISNUMBER(INDEX(Inputs!$K$5:$AJ$110,0,MATCH(O$2,Inputs!$K$4:$AJ$4,0))))=0,NA(),SUMPRODUCT((Inputs!$A$5:$A$110=$B61)*Inputs!$B$5:$B$110*(((Inputs!$G$5:$G$110="moeda")+(Inputs!$G$5:$G$110="acoes"))*Inputs!$B$1+((Inputs!$G$5:$G$110&lt;&gt;"moeda")*(Inputs!$G$5:$G$110&lt;&gt;"acoes")))*INDEX(Inputs!$K$5:$AJ$110,0,MATCH(O$2,Inputs!$K$4:$AJ$4,0)))+SUMPRODUCT((Inputs!$C$5:$C$110=$B61)*Inputs!$D$5:$D$110*(((Inputs!$G$5:$G$110="moeda")+(Inputs!$G$5:$G$110="acoes"))*Inputs!$B$1+((Inputs!$G$5:$G$110&lt;&gt;"moeda")*(Inputs!$G$5:$G$110&lt;&gt;"acoes")))*INDEX(Inputs!$K$5:$AJ$110,0,MATCH(O$2,Inputs!$K$4:$AJ$4,0)))+SUMPRODUCT((Inputs!$E$5:$E$110=$B61)*Inputs!$F$5:$F$110*(((Inputs!$G$5:$G$110="moeda")+(Inputs!$G$5:$G$110="acoes"))*Inputs!$B$1+((Inputs!$G$5:$G$110&lt;&gt;"moeda")*(Inputs!$G$5:$G$110&lt;&gt;"acoes")))*INDEX(Inputs!$K$5:$AJ$110,0,MATCH(O$2,Inputs!$K$4:$AJ$4,0)))))</f>
        <v>13374</v>
      </c>
      <c r="P61" s="513">
        <f>IF(ISNA(MATCH(P$2,Inputs!$K$4:$AJ$4,0)),NA(),IF(SUMPRODUCT((Inputs!$A$5:$A$110=$B61)*ISNUMBER(INDEX(Inputs!$K$5:$AJ$110,0,MATCH(P$2,Inputs!$K$4:$AJ$4,0))))+SUMPRODUCT((Inputs!$C$5:$C$110=$B61)*ISNUMBER(INDEX(Inputs!$K$5:$AJ$110,0,MATCH(P$2,Inputs!$K$4:$AJ$4,0))))+SUMPRODUCT((Inputs!$E$5:$E$110=$B61)*ISNUMBER(INDEX(Inputs!$K$5:$AJ$110,0,MATCH(P$2,Inputs!$K$4:$AJ$4,0))))=0,NA(),SUMPRODUCT((Inputs!$A$5:$A$110=$B61)*Inputs!$B$5:$B$110*(((Inputs!$G$5:$G$110="moeda")+(Inputs!$G$5:$G$110="acoes"))*Inputs!$B$1+((Inputs!$G$5:$G$110&lt;&gt;"moeda")*(Inputs!$G$5:$G$110&lt;&gt;"acoes")))*INDEX(Inputs!$K$5:$AJ$110,0,MATCH(P$2,Inputs!$K$4:$AJ$4,0)))+SUMPRODUCT((Inputs!$C$5:$C$110=$B61)*Inputs!$D$5:$D$110*(((Inputs!$G$5:$G$110="moeda")+(Inputs!$G$5:$G$110="acoes"))*Inputs!$B$1+((Inputs!$G$5:$G$110&lt;&gt;"moeda")*(Inputs!$G$5:$G$110&lt;&gt;"acoes")))*INDEX(Inputs!$K$5:$AJ$110,0,MATCH(P$2,Inputs!$K$4:$AJ$4,0)))+SUMPRODUCT((Inputs!$E$5:$E$110=$B61)*Inputs!$F$5:$F$110*(((Inputs!$G$5:$G$110="moeda")+(Inputs!$G$5:$G$110="acoes"))*Inputs!$B$1+((Inputs!$G$5:$G$110&lt;&gt;"moeda")*(Inputs!$G$5:$G$110&lt;&gt;"acoes")))*INDEX(Inputs!$K$5:$AJ$110,0,MATCH(P$2,Inputs!$K$4:$AJ$4,0)))))</f>
        <v>14173</v>
      </c>
      <c r="Q61" s="513">
        <f>IF(ISNA(MATCH(Q$2,Inputs!$K$4:$AJ$4,0)),NA(),IF(SUMPRODUCT((Inputs!$A$5:$A$110=$B61)*ISNUMBER(INDEX(Inputs!$K$5:$AJ$110,0,MATCH(Q$2,Inputs!$K$4:$AJ$4,0))))+SUMPRODUCT((Inputs!$C$5:$C$110=$B61)*ISNUMBER(INDEX(Inputs!$K$5:$AJ$110,0,MATCH(Q$2,Inputs!$K$4:$AJ$4,0))))+SUMPRODUCT((Inputs!$E$5:$E$110=$B61)*ISNUMBER(INDEX(Inputs!$K$5:$AJ$110,0,MATCH(Q$2,Inputs!$K$4:$AJ$4,0))))=0,NA(),SUMPRODUCT((Inputs!$A$5:$A$110=$B61)*Inputs!$B$5:$B$110*(((Inputs!$G$5:$G$110="moeda")+(Inputs!$G$5:$G$110="acoes"))*Inputs!$B$1+((Inputs!$G$5:$G$110&lt;&gt;"moeda")*(Inputs!$G$5:$G$110&lt;&gt;"acoes")))*INDEX(Inputs!$K$5:$AJ$110,0,MATCH(Q$2,Inputs!$K$4:$AJ$4,0)))+SUMPRODUCT((Inputs!$C$5:$C$110=$B61)*Inputs!$D$5:$D$110*(((Inputs!$G$5:$G$110="moeda")+(Inputs!$G$5:$G$110="acoes"))*Inputs!$B$1+((Inputs!$G$5:$G$110&lt;&gt;"moeda")*(Inputs!$G$5:$G$110&lt;&gt;"acoes")))*INDEX(Inputs!$K$5:$AJ$110,0,MATCH(Q$2,Inputs!$K$4:$AJ$4,0)))+SUMPRODUCT((Inputs!$E$5:$E$110=$B61)*Inputs!$F$5:$F$110*(((Inputs!$G$5:$G$110="moeda")+(Inputs!$G$5:$G$110="acoes"))*Inputs!$B$1+((Inputs!$G$5:$G$110&lt;&gt;"moeda")*(Inputs!$G$5:$G$110&lt;&gt;"acoes")))*INDEX(Inputs!$K$5:$AJ$110,0,MATCH(Q$2,Inputs!$K$4:$AJ$4,0)))))</f>
        <v>14503</v>
      </c>
      <c r="R61" s="514">
        <f>SUM(N61:Q61)</f>
        <v>54898</v>
      </c>
      <c r="S61" s="513">
        <f>IF(ISNA(MATCH(S$2,Inputs!$K$4:$AJ$4,0)),NA(),IF(SUMPRODUCT((Inputs!$A$5:$A$110=$B61)*ISNUMBER(INDEX(Inputs!$K$5:$AJ$110,0,MATCH(S$2,Inputs!$K$4:$AJ$4,0))))+SUMPRODUCT((Inputs!$C$5:$C$110=$B61)*ISNUMBER(INDEX(Inputs!$K$5:$AJ$110,0,MATCH(S$2,Inputs!$K$4:$AJ$4,0))))+SUMPRODUCT((Inputs!$E$5:$E$110=$B61)*ISNUMBER(INDEX(Inputs!$K$5:$AJ$110,0,MATCH(S$2,Inputs!$K$4:$AJ$4,0))))=0,NA(),SUMPRODUCT((Inputs!$A$5:$A$110=$B61)*Inputs!$B$5:$B$110*(((Inputs!$G$5:$G$110="moeda")+(Inputs!$G$5:$G$110="acoes"))*Inputs!$B$1+((Inputs!$G$5:$G$110&lt;&gt;"moeda")*(Inputs!$G$5:$G$110&lt;&gt;"acoes")))*INDEX(Inputs!$K$5:$AJ$110,0,MATCH(S$2,Inputs!$K$4:$AJ$4,0)))+SUMPRODUCT((Inputs!$C$5:$C$110=$B61)*Inputs!$D$5:$D$110*(((Inputs!$G$5:$G$110="moeda")+(Inputs!$G$5:$G$110="acoes"))*Inputs!$B$1+((Inputs!$G$5:$G$110&lt;&gt;"moeda")*(Inputs!$G$5:$G$110&lt;&gt;"acoes")))*INDEX(Inputs!$K$5:$AJ$110,0,MATCH(S$2,Inputs!$K$4:$AJ$4,0)))+SUMPRODUCT((Inputs!$E$5:$E$110=$B61)*Inputs!$F$5:$F$110*(((Inputs!$G$5:$G$110="moeda")+(Inputs!$G$5:$G$110="acoes"))*Inputs!$B$1+((Inputs!$G$5:$G$110&lt;&gt;"moeda")*(Inputs!$G$5:$G$110&lt;&gt;"acoes")))*INDEX(Inputs!$K$5:$AJ$110,0,MATCH(S$2,Inputs!$K$4:$AJ$4,0)))))</f>
        <v>14249</v>
      </c>
      <c r="T61" s="513">
        <f>IF(ISNA(MATCH(T$2,Inputs!$K$4:$AJ$4,0)),NA(),IF(SUMPRODUCT((Inputs!$A$5:$A$110=$B61)*ISNUMBER(INDEX(Inputs!$K$5:$AJ$110,0,MATCH(T$2,Inputs!$K$4:$AJ$4,0))))+SUMPRODUCT((Inputs!$C$5:$C$110=$B61)*ISNUMBER(INDEX(Inputs!$K$5:$AJ$110,0,MATCH(T$2,Inputs!$K$4:$AJ$4,0))))+SUMPRODUCT((Inputs!$E$5:$E$110=$B61)*ISNUMBER(INDEX(Inputs!$K$5:$AJ$110,0,MATCH(T$2,Inputs!$K$4:$AJ$4,0))))=0,NA(),SUMPRODUCT((Inputs!$A$5:$A$110=$B61)*Inputs!$B$5:$B$110*(((Inputs!$G$5:$G$110="moeda")+(Inputs!$G$5:$G$110="acoes"))*Inputs!$B$1+((Inputs!$G$5:$G$110&lt;&gt;"moeda")*(Inputs!$G$5:$G$110&lt;&gt;"acoes")))*INDEX(Inputs!$K$5:$AJ$110,0,MATCH(T$2,Inputs!$K$4:$AJ$4,0)))+SUMPRODUCT((Inputs!$C$5:$C$110=$B61)*Inputs!$D$5:$D$110*(((Inputs!$G$5:$G$110="moeda")+(Inputs!$G$5:$G$110="acoes"))*Inputs!$B$1+((Inputs!$G$5:$G$110&lt;&gt;"moeda")*(Inputs!$G$5:$G$110&lt;&gt;"acoes")))*INDEX(Inputs!$K$5:$AJ$110,0,MATCH(T$2,Inputs!$K$4:$AJ$4,0)))+SUMPRODUCT((Inputs!$E$5:$E$110=$B61)*Inputs!$F$5:$F$110*(((Inputs!$G$5:$G$110="moeda")+(Inputs!$G$5:$G$110="acoes"))*Inputs!$B$1+((Inputs!$G$5:$G$110&lt;&gt;"moeda")*(Inputs!$G$5:$G$110&lt;&gt;"acoes")))*INDEX(Inputs!$K$5:$AJ$110,0,MATCH(T$2,Inputs!$K$4:$AJ$4,0)))))</f>
        <v>15030</v>
      </c>
      <c r="U61" s="513">
        <f>IF(ISNA(MATCH(U$2,Inputs!$K$4:$AJ$4,0)),NA(),IF(SUMPRODUCT((Inputs!$A$5:$A$110=$B61)*ISNUMBER(INDEX(Inputs!$K$5:$AJ$110,0,MATCH(U$2,Inputs!$K$4:$AJ$4,0))))+SUMPRODUCT((Inputs!$C$5:$C$110=$B61)*ISNUMBER(INDEX(Inputs!$K$5:$AJ$110,0,MATCH(U$2,Inputs!$K$4:$AJ$4,0))))+SUMPRODUCT((Inputs!$E$5:$E$110=$B61)*ISNUMBER(INDEX(Inputs!$K$5:$AJ$110,0,MATCH(U$2,Inputs!$K$4:$AJ$4,0))))=0,NA(),SUMPRODUCT((Inputs!$A$5:$A$110=$B61)*Inputs!$B$5:$B$110*(((Inputs!$G$5:$G$110="moeda")+(Inputs!$G$5:$G$110="acoes"))*Inputs!$B$1+((Inputs!$G$5:$G$110&lt;&gt;"moeda")*(Inputs!$G$5:$G$110&lt;&gt;"acoes")))*INDEX(Inputs!$K$5:$AJ$110,0,MATCH(U$2,Inputs!$K$4:$AJ$4,0)))+SUMPRODUCT((Inputs!$C$5:$C$110=$B61)*Inputs!$D$5:$D$110*(((Inputs!$G$5:$G$110="moeda")+(Inputs!$G$5:$G$110="acoes"))*Inputs!$B$1+((Inputs!$G$5:$G$110&lt;&gt;"moeda")*(Inputs!$G$5:$G$110&lt;&gt;"acoes")))*INDEX(Inputs!$K$5:$AJ$110,0,MATCH(U$2,Inputs!$K$4:$AJ$4,0)))+SUMPRODUCT((Inputs!$E$5:$E$110=$B61)*Inputs!$F$5:$F$110*(((Inputs!$G$5:$G$110="moeda")+(Inputs!$G$5:$G$110="acoes"))*Inputs!$B$1+((Inputs!$G$5:$G$110&lt;&gt;"moeda")*(Inputs!$G$5:$G$110&lt;&gt;"acoes")))*INDEX(Inputs!$K$5:$AJ$110,0,MATCH(U$2,Inputs!$K$4:$AJ$4,0)))))</f>
        <v>16360</v>
      </c>
      <c r="V61" s="513">
        <f>IF(ISNA(MATCH(V$2,Inputs!$K$4:$AJ$4,0)),NA(),IF(SUMPRODUCT((Inputs!$A$5:$A$110=$B61)*ISNUMBER(INDEX(Inputs!$K$5:$AJ$110,0,MATCH(V$2,Inputs!$K$4:$AJ$4,0))))+SUMPRODUCT((Inputs!$C$5:$C$110=$B61)*ISNUMBER(INDEX(Inputs!$K$5:$AJ$110,0,MATCH(V$2,Inputs!$K$4:$AJ$4,0))))+SUMPRODUCT((Inputs!$E$5:$E$110=$B61)*ISNUMBER(INDEX(Inputs!$K$5:$AJ$110,0,MATCH(V$2,Inputs!$K$4:$AJ$4,0))))=0,NA(),SUMPRODUCT((Inputs!$A$5:$A$110=$B61)*Inputs!$B$5:$B$110*(((Inputs!$G$5:$G$110="moeda")+(Inputs!$G$5:$G$110="acoes"))*Inputs!$B$1+((Inputs!$G$5:$G$110&lt;&gt;"moeda")*(Inputs!$G$5:$G$110&lt;&gt;"acoes")))*INDEX(Inputs!$K$5:$AJ$110,0,MATCH(V$2,Inputs!$K$4:$AJ$4,0)))+SUMPRODUCT((Inputs!$C$5:$C$110=$B61)*Inputs!$D$5:$D$110*(((Inputs!$G$5:$G$110="moeda")+(Inputs!$G$5:$G$110="acoes"))*Inputs!$B$1+((Inputs!$G$5:$G$110&lt;&gt;"moeda")*(Inputs!$G$5:$G$110&lt;&gt;"acoes")))*INDEX(Inputs!$K$5:$AJ$110,0,MATCH(V$2,Inputs!$K$4:$AJ$4,0)))+SUMPRODUCT((Inputs!$E$5:$E$110=$B61)*Inputs!$F$5:$F$110*(((Inputs!$G$5:$G$110="moeda")+(Inputs!$G$5:$G$110="acoes"))*Inputs!$B$1+((Inputs!$G$5:$G$110&lt;&gt;"moeda")*(Inputs!$G$5:$G$110&lt;&gt;"acoes")))*INDEX(Inputs!$K$5:$AJ$110,0,MATCH(V$2,Inputs!$K$4:$AJ$4,0)))))</f>
        <v>16453</v>
      </c>
      <c r="W61" s="514">
        <f>SUM(S61:V61)</f>
        <v>62092</v>
      </c>
      <c r="X61" s="513">
        <f>IF(ISNA(MATCH(X$2,Inputs!$K$4:$AJ$4,0)),NA(),IF(SUMPRODUCT((Inputs!$A$5:$A$110=$B61)*ISNUMBER(INDEX(Inputs!$K$5:$AJ$110,0,MATCH(X$2,Inputs!$K$4:$AJ$4,0))))+SUMPRODUCT((Inputs!$C$5:$C$110=$B61)*ISNUMBER(INDEX(Inputs!$K$5:$AJ$110,0,MATCH(X$2,Inputs!$K$4:$AJ$4,0))))+SUMPRODUCT((Inputs!$E$5:$E$110=$B61)*ISNUMBER(INDEX(Inputs!$K$5:$AJ$110,0,MATCH(X$2,Inputs!$K$4:$AJ$4,0))))=0,NA(),SUMPRODUCT((Inputs!$A$5:$A$110=$B61)*Inputs!$B$5:$B$110*(((Inputs!$G$5:$G$110="moeda")+(Inputs!$G$5:$G$110="acoes"))*Inputs!$B$1+((Inputs!$G$5:$G$110&lt;&gt;"moeda")*(Inputs!$G$5:$G$110&lt;&gt;"acoes")))*INDEX(Inputs!$K$5:$AJ$110,0,MATCH(X$2,Inputs!$K$4:$AJ$4,0)))+SUMPRODUCT((Inputs!$C$5:$C$110=$B61)*Inputs!$D$5:$D$110*(((Inputs!$G$5:$G$110="moeda")+(Inputs!$G$5:$G$110="acoes"))*Inputs!$B$1+((Inputs!$G$5:$G$110&lt;&gt;"moeda")*(Inputs!$G$5:$G$110&lt;&gt;"acoes")))*INDEX(Inputs!$K$5:$AJ$110,0,MATCH(X$2,Inputs!$K$4:$AJ$4,0)))+SUMPRODUCT((Inputs!$E$5:$E$110=$B61)*Inputs!$F$5:$F$110*(((Inputs!$G$5:$G$110="moeda")+(Inputs!$G$5:$G$110="acoes"))*Inputs!$B$1+((Inputs!$G$5:$G$110&lt;&gt;"moeda")*(Inputs!$G$5:$G$110&lt;&gt;"acoes")))*INDEX(Inputs!$K$5:$AJ$110,0,MATCH(X$2,Inputs!$K$4:$AJ$4,0)))))</f>
        <v>16244</v>
      </c>
      <c r="Y61" s="513">
        <f>IF(ISNA(MATCH(Y$2,Inputs!$K$4:$AJ$4,0)),NA(),IF(SUMPRODUCT((Inputs!$A$5:$A$110=$B61)*ISNUMBER(INDEX(Inputs!$K$5:$AJ$110,0,MATCH(Y$2,Inputs!$K$4:$AJ$4,0))))+SUMPRODUCT((Inputs!$C$5:$C$110=$B61)*ISNUMBER(INDEX(Inputs!$K$5:$AJ$110,0,MATCH(Y$2,Inputs!$K$4:$AJ$4,0))))+SUMPRODUCT((Inputs!$E$5:$E$110=$B61)*ISNUMBER(INDEX(Inputs!$K$5:$AJ$110,0,MATCH(Y$2,Inputs!$K$4:$AJ$4,0))))=0,NA(),SUMPRODUCT((Inputs!$A$5:$A$110=$B61)*Inputs!$B$5:$B$110*(((Inputs!$G$5:$G$110="moeda")+(Inputs!$G$5:$G$110="acoes"))*Inputs!$B$1+((Inputs!$G$5:$G$110&lt;&gt;"moeda")*(Inputs!$G$5:$G$110&lt;&gt;"acoes")))*INDEX(Inputs!$K$5:$AJ$110,0,MATCH(Y$2,Inputs!$K$4:$AJ$4,0)))+SUMPRODUCT((Inputs!$C$5:$C$110=$B61)*Inputs!$D$5:$D$110*(((Inputs!$G$5:$G$110="moeda")+(Inputs!$G$5:$G$110="acoes"))*Inputs!$B$1+((Inputs!$G$5:$G$110&lt;&gt;"moeda")*(Inputs!$G$5:$G$110&lt;&gt;"acoes")))*INDEX(Inputs!$K$5:$AJ$110,0,MATCH(Y$2,Inputs!$K$4:$AJ$4,0)))+SUMPRODUCT((Inputs!$E$5:$E$110=$B61)*Inputs!$F$5:$F$110*(((Inputs!$G$5:$G$110="moeda")+(Inputs!$G$5:$G$110="acoes"))*Inputs!$B$1+((Inputs!$G$5:$G$110&lt;&gt;"moeda")*(Inputs!$G$5:$G$110&lt;&gt;"acoes")))*INDEX(Inputs!$K$5:$AJ$110,0,MATCH(Y$2,Inputs!$K$4:$AJ$4,0)))))</f>
        <v>17248</v>
      </c>
      <c r="Z61" s="513">
        <f>IF(ISNA(MATCH(Z$2,Inputs!$K$4:$AJ$4,0)),NA(),IF(SUMPRODUCT((Inputs!$A$5:$A$110=$B61)*ISNUMBER(INDEX(Inputs!$K$5:$AJ$110,0,MATCH(Z$2,Inputs!$K$4:$AJ$4,0))))+SUMPRODUCT((Inputs!$C$5:$C$110=$B61)*ISNUMBER(INDEX(Inputs!$K$5:$AJ$110,0,MATCH(Z$2,Inputs!$K$4:$AJ$4,0))))+SUMPRODUCT((Inputs!$E$5:$E$110=$B61)*ISNUMBER(INDEX(Inputs!$K$5:$AJ$110,0,MATCH(Z$2,Inputs!$K$4:$AJ$4,0))))=0,NA(),SUMPRODUCT((Inputs!$A$5:$A$110=$B61)*Inputs!$B$5:$B$110*(((Inputs!$G$5:$G$110="moeda")+(Inputs!$G$5:$G$110="acoes"))*Inputs!$B$1+((Inputs!$G$5:$G$110&lt;&gt;"moeda")*(Inputs!$G$5:$G$110&lt;&gt;"acoes")))*INDEX(Inputs!$K$5:$AJ$110,0,MATCH(Z$2,Inputs!$K$4:$AJ$4,0)))+SUMPRODUCT((Inputs!$C$5:$C$110=$B61)*Inputs!$D$5:$D$110*(((Inputs!$G$5:$G$110="moeda")+(Inputs!$G$5:$G$110="acoes"))*Inputs!$B$1+((Inputs!$G$5:$G$110&lt;&gt;"moeda")*(Inputs!$G$5:$G$110&lt;&gt;"acoes")))*INDEX(Inputs!$K$5:$AJ$110,0,MATCH(Z$2,Inputs!$K$4:$AJ$4,0)))+SUMPRODUCT((Inputs!$E$5:$E$110=$B61)*Inputs!$F$5:$F$110*(((Inputs!$G$5:$G$110="moeda")+(Inputs!$G$5:$G$110="acoes"))*Inputs!$B$1+((Inputs!$G$5:$G$110&lt;&gt;"moeda")*(Inputs!$G$5:$G$110&lt;&gt;"acoes")))*INDEX(Inputs!$K$5:$AJ$110,0,MATCH(Z$2,Inputs!$K$4:$AJ$4,0)))))</f>
        <v>18379</v>
      </c>
      <c r="AA61" s="513">
        <f>IF(ISNA(MATCH(AA$2,Inputs!$K$4:$AJ$4,0)),NA(),IF(SUMPRODUCT((Inputs!$A$5:$A$110=$B61)*ISNUMBER(INDEX(Inputs!$K$5:$AJ$110,0,MATCH(AA$2,Inputs!$K$4:$AJ$4,0))))+SUMPRODUCT((Inputs!$C$5:$C$110=$B61)*ISNUMBER(INDEX(Inputs!$K$5:$AJ$110,0,MATCH(AA$2,Inputs!$K$4:$AJ$4,0))))+SUMPRODUCT((Inputs!$E$5:$E$110=$B61)*ISNUMBER(INDEX(Inputs!$K$5:$AJ$110,0,MATCH(AA$2,Inputs!$K$4:$AJ$4,0))))=0,NA(),SUMPRODUCT((Inputs!$A$5:$A$110=$B61)*Inputs!$B$5:$B$110*(((Inputs!$G$5:$G$110="moeda")+(Inputs!$G$5:$G$110="acoes"))*Inputs!$B$1+((Inputs!$G$5:$G$110&lt;&gt;"moeda")*(Inputs!$G$5:$G$110&lt;&gt;"acoes")))*INDEX(Inputs!$K$5:$AJ$110,0,MATCH(AA$2,Inputs!$K$4:$AJ$4,0)))+SUMPRODUCT((Inputs!$C$5:$C$110=$B61)*Inputs!$D$5:$D$110*(((Inputs!$G$5:$G$110="moeda")+(Inputs!$G$5:$G$110="acoes"))*Inputs!$B$1+((Inputs!$G$5:$G$110&lt;&gt;"moeda")*(Inputs!$G$5:$G$110&lt;&gt;"acoes")))*INDEX(Inputs!$K$5:$AJ$110,0,MATCH(AA$2,Inputs!$K$4:$AJ$4,0)))+SUMPRODUCT((Inputs!$E$5:$E$110=$B61)*Inputs!$F$5:$F$110*(((Inputs!$G$5:$G$110="moeda")+(Inputs!$G$5:$G$110="acoes"))*Inputs!$B$1+((Inputs!$G$5:$G$110&lt;&gt;"moeda")*(Inputs!$G$5:$G$110&lt;&gt;"acoes")))*INDEX(Inputs!$K$5:$AJ$110,0,MATCH(AA$2,Inputs!$K$4:$AJ$4,0)))))</f>
        <v>17676</v>
      </c>
      <c r="AB61" s="514">
        <f>SUM(X61:AA61)</f>
        <v>69547</v>
      </c>
      <c r="AC61" s="513">
        <f>IF(ISNA(MATCH(AC$2,Inputs!$K$4:$AJ$4,0)),NA(),IF(SUMPRODUCT((Inputs!$A$5:$A$110=$B61)*ISNUMBER(INDEX(Inputs!$K$5:$AJ$110,0,MATCH(AC$2,Inputs!$K$4:$AJ$4,0))))+SUMPRODUCT((Inputs!$C$5:$C$110=$B61)*ISNUMBER(INDEX(Inputs!$K$5:$AJ$110,0,MATCH(AC$2,Inputs!$K$4:$AJ$4,0))))+SUMPRODUCT((Inputs!$E$5:$E$110=$B61)*ISNUMBER(INDEX(Inputs!$K$5:$AJ$110,0,MATCH(AC$2,Inputs!$K$4:$AJ$4,0))))=0,NA(),SUMPRODUCT((Inputs!$A$5:$A$110=$B61)*Inputs!$B$5:$B$110*(((Inputs!$G$5:$G$110="moeda")+(Inputs!$G$5:$G$110="acoes"))*Inputs!$B$1+((Inputs!$G$5:$G$110&lt;&gt;"moeda")*(Inputs!$G$5:$G$110&lt;&gt;"acoes")))*INDEX(Inputs!$K$5:$AJ$110,0,MATCH(AC$2,Inputs!$K$4:$AJ$4,0)))+SUMPRODUCT((Inputs!$C$5:$C$110=$B61)*Inputs!$D$5:$D$110*(((Inputs!$G$5:$G$110="moeda")+(Inputs!$G$5:$G$110="acoes"))*Inputs!$B$1+((Inputs!$G$5:$G$110&lt;&gt;"moeda")*(Inputs!$G$5:$G$110&lt;&gt;"acoes")))*INDEX(Inputs!$K$5:$AJ$110,0,MATCH(AC$2,Inputs!$K$4:$AJ$4,0)))+SUMPRODUCT((Inputs!$E$5:$E$110=$B61)*Inputs!$F$5:$F$110*(((Inputs!$G$5:$G$110="moeda")+(Inputs!$G$5:$G$110="acoes"))*Inputs!$B$1+((Inputs!$G$5:$G$110&lt;&gt;"moeda")*(Inputs!$G$5:$G$110&lt;&gt;"acoes")))*INDEX(Inputs!$K$5:$AJ$110,0,MATCH(AC$2,Inputs!$K$4:$AJ$4,0)))))</f>
        <v>16355</v>
      </c>
      <c r="AD61" s="513">
        <f>IF(ISNA(MATCH(AD$2,Inputs!$K$4:$AJ$4,0)),NA(),IF(SUMPRODUCT((Inputs!$A$5:$A$110=$B61)*ISNUMBER(INDEX(Inputs!$K$5:$AJ$110,0,MATCH(AD$2,Inputs!$K$4:$AJ$4,0))))+SUMPRODUCT((Inputs!$C$5:$C$110=$B61)*ISNUMBER(INDEX(Inputs!$K$5:$AJ$110,0,MATCH(AD$2,Inputs!$K$4:$AJ$4,0))))+SUMPRODUCT((Inputs!$E$5:$E$110=$B61)*ISNUMBER(INDEX(Inputs!$K$5:$AJ$110,0,MATCH(AD$2,Inputs!$K$4:$AJ$4,0))))=0,NA(),SUMPRODUCT((Inputs!$A$5:$A$110=$B61)*Inputs!$B$5:$B$110*(((Inputs!$G$5:$G$110="moeda")+(Inputs!$G$5:$G$110="acoes"))*Inputs!$B$1+((Inputs!$G$5:$G$110&lt;&gt;"moeda")*(Inputs!$G$5:$G$110&lt;&gt;"acoes")))*INDEX(Inputs!$K$5:$AJ$110,0,MATCH(AD$2,Inputs!$K$4:$AJ$4,0)))+SUMPRODUCT((Inputs!$C$5:$C$110=$B61)*Inputs!$D$5:$D$110*(((Inputs!$G$5:$G$110="moeda")+(Inputs!$G$5:$G$110="acoes"))*Inputs!$B$1+((Inputs!$G$5:$G$110&lt;&gt;"moeda")*(Inputs!$G$5:$G$110&lt;&gt;"acoes")))*INDEX(Inputs!$K$5:$AJ$110,0,MATCH(AD$2,Inputs!$K$4:$AJ$4,0)))+SUMPRODUCT((Inputs!$E$5:$E$110=$B61)*Inputs!$F$5:$F$110*(((Inputs!$G$5:$G$110="moeda")+(Inputs!$G$5:$G$110="acoes"))*Inputs!$B$1+((Inputs!$G$5:$G$110&lt;&gt;"moeda")*(Inputs!$G$5:$G$110&lt;&gt;"acoes")))*INDEX(Inputs!$K$5:$AJ$110,0,MATCH(AD$2,Inputs!$K$4:$AJ$4,0)))))</f>
        <v>16942</v>
      </c>
      <c r="AE61" s="513" t="e">
        <f>IF(ISNA(MATCH(AE$2,Inputs!$K$4:$AJ$4,0)),NA(),IF(SUMPRODUCT((Inputs!$A$5:$A$110=$B61)*ISNUMBER(INDEX(Inputs!$K$5:$AJ$110,0,MATCH(AE$2,Inputs!$K$4:$AJ$4,0))))+SUMPRODUCT((Inputs!$C$5:$C$110=$B61)*ISNUMBER(INDEX(Inputs!$K$5:$AJ$110,0,MATCH(AE$2,Inputs!$K$4:$AJ$4,0))))+SUMPRODUCT((Inputs!$E$5:$E$110=$B61)*ISNUMBER(INDEX(Inputs!$K$5:$AJ$110,0,MATCH(AE$2,Inputs!$K$4:$AJ$4,0))))=0,NA(),SUMPRODUCT((Inputs!$A$5:$A$110=$B61)*Inputs!$B$5:$B$110*(((Inputs!$G$5:$G$110="moeda")+(Inputs!$G$5:$G$110="acoes"))*Inputs!$B$1+((Inputs!$G$5:$G$110&lt;&gt;"moeda")*(Inputs!$G$5:$G$110&lt;&gt;"acoes")))*INDEX(Inputs!$K$5:$AJ$110,0,MATCH(AE$2,Inputs!$K$4:$AJ$4,0)))+SUMPRODUCT((Inputs!$C$5:$C$110=$B61)*Inputs!$D$5:$D$110*(((Inputs!$G$5:$G$110="moeda")+(Inputs!$G$5:$G$110="acoes"))*Inputs!$B$1+((Inputs!$G$5:$G$110&lt;&gt;"moeda")*(Inputs!$G$5:$G$110&lt;&gt;"acoes")))*INDEX(Inputs!$K$5:$AJ$110,0,MATCH(AE$2,Inputs!$K$4:$AJ$4,0)))+SUMPRODUCT((Inputs!$E$5:$E$110=$B61)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1" s="513" t="e">
        <f>IF(ISNA(MATCH(AF$2,Inputs!$K$4:$AJ$4,0)),NA(),IF(SUMPRODUCT((Inputs!$A$5:$A$110=$B61)*ISNUMBER(INDEX(Inputs!$K$5:$AJ$110,0,MATCH(AF$2,Inputs!$K$4:$AJ$4,0))))+SUMPRODUCT((Inputs!$C$5:$C$110=$B61)*ISNUMBER(INDEX(Inputs!$K$5:$AJ$110,0,MATCH(AF$2,Inputs!$K$4:$AJ$4,0))))+SUMPRODUCT((Inputs!$E$5:$E$110=$B61)*ISNUMBER(INDEX(Inputs!$K$5:$AJ$110,0,MATCH(AF$2,Inputs!$K$4:$AJ$4,0))))=0,NA(),SUMPRODUCT((Inputs!$A$5:$A$110=$B61)*Inputs!$B$5:$B$110*(((Inputs!$G$5:$G$110="moeda")+(Inputs!$G$5:$G$110="acoes"))*Inputs!$B$1+((Inputs!$G$5:$G$110&lt;&gt;"moeda")*(Inputs!$G$5:$G$110&lt;&gt;"acoes")))*INDEX(Inputs!$K$5:$AJ$110,0,MATCH(AF$2,Inputs!$K$4:$AJ$4,0)))+SUMPRODUCT((Inputs!$C$5:$C$110=$B61)*Inputs!$D$5:$D$110*(((Inputs!$G$5:$G$110="moeda")+(Inputs!$G$5:$G$110="acoes"))*Inputs!$B$1+((Inputs!$G$5:$G$110&lt;&gt;"moeda")*(Inputs!$G$5:$G$110&lt;&gt;"acoes")))*INDEX(Inputs!$K$5:$AJ$110,0,MATCH(AF$2,Inputs!$K$4:$AJ$4,0)))+SUMPRODUCT((Inputs!$E$5:$E$110=$B61)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1" s="514" t="e">
        <f>SUM(AC61:AF61)</f>
        <v>#N/A</v>
      </c>
      <c r="AH61" s="513">
        <f>IF(ISNA(MATCH(AH$2,Inputs!$K$4:$AJ$4,0)),NA(),IF(SUMPRODUCT((Inputs!$A$5:$A$110=$B61)*ISNUMBER(INDEX(Inputs!$K$5:$AJ$110,0,MATCH(AH$2,Inputs!$K$4:$AJ$4,0))))+SUMPRODUCT((Inputs!$C$5:$C$110=$B61)*ISNUMBER(INDEX(Inputs!$K$5:$AJ$110,0,MATCH(AH$2,Inputs!$K$4:$AJ$4,0))))+SUMPRODUCT((Inputs!$E$5:$E$110=$B61)*ISNUMBER(INDEX(Inputs!$K$5:$AJ$110,0,MATCH(AH$2,Inputs!$K$4:$AJ$4,0))))=0,NA(),SUMPRODUCT((Inputs!$A$5:$A$110=$B61)*Inputs!$B$5:$B$110*(((Inputs!$G$5:$G$110="moeda")+(Inputs!$G$5:$G$110="acoes"))*Inputs!$B$1+((Inputs!$G$5:$G$110&lt;&gt;"moeda")*(Inputs!$G$5:$G$110&lt;&gt;"acoes")))*INDEX(Inputs!$K$5:$AJ$110,0,MATCH(AH$2,Inputs!$K$4:$AJ$4,0)))+SUMPRODUCT((Inputs!$C$5:$C$110=$B61)*Inputs!$D$5:$D$110*(((Inputs!$G$5:$G$110="moeda")+(Inputs!$G$5:$G$110="acoes"))*Inputs!$B$1+((Inputs!$G$5:$G$110&lt;&gt;"moeda")*(Inputs!$G$5:$G$110&lt;&gt;"acoes")))*INDEX(Inputs!$K$5:$AJ$110,0,MATCH(AH$2,Inputs!$K$4:$AJ$4,0)))+SUMPRODUCT((Inputs!$E$5:$E$110=$B61)*Inputs!$F$5:$F$110*(((Inputs!$G$5:$G$110="moeda")+(Inputs!$G$5:$G$110="acoes"))*Inputs!$B$1+((Inputs!$G$5:$G$110&lt;&gt;"moeda")*(Inputs!$G$5:$G$110&lt;&gt;"acoes")))*INDEX(Inputs!$K$5:$AJ$110,0,MATCH(AH$2,Inputs!$K$4:$AJ$4,0)))))</f>
        <v>9600</v>
      </c>
      <c r="AI61" s="513">
        <f>IF(ISNA(MATCH(AI$2,Inputs!$K$4:$AJ$4,0)),NA(),IF(SUMPRODUCT((Inputs!$A$5:$A$110=$B61)*ISNUMBER(INDEX(Inputs!$K$5:$AJ$110,0,MATCH(AI$2,Inputs!$K$4:$AJ$4,0))))+SUMPRODUCT((Inputs!$C$5:$C$110=$B61)*ISNUMBER(INDEX(Inputs!$K$5:$AJ$110,0,MATCH(AI$2,Inputs!$K$4:$AJ$4,0))))+SUMPRODUCT((Inputs!$E$5:$E$110=$B61)*ISNUMBER(INDEX(Inputs!$K$5:$AJ$110,0,MATCH(AI$2,Inputs!$K$4:$AJ$4,0))))=0,NA(),SUMPRODUCT((Inputs!$A$5:$A$110=$B61)*Inputs!$B$5:$B$110*(((Inputs!$G$5:$G$110="moeda")+(Inputs!$G$5:$G$110="acoes"))*Inputs!$B$1+((Inputs!$G$5:$G$110&lt;&gt;"moeda")*(Inputs!$G$5:$G$110&lt;&gt;"acoes")))*INDEX(Inputs!$K$5:$AJ$110,0,MATCH(AI$2,Inputs!$K$4:$AJ$4,0)))+SUMPRODUCT((Inputs!$C$5:$C$110=$B61)*Inputs!$D$5:$D$110*(((Inputs!$G$5:$G$110="moeda")+(Inputs!$G$5:$G$110="acoes"))*Inputs!$B$1+((Inputs!$G$5:$G$110&lt;&gt;"moeda")*(Inputs!$G$5:$G$110&lt;&gt;"acoes")))*INDEX(Inputs!$K$5:$AJ$110,0,MATCH(AI$2,Inputs!$K$4:$AJ$4,0)))+SUMPRODUCT((Inputs!$E$5:$E$110=$B61)*Inputs!$F$5:$F$110*(((Inputs!$G$5:$G$110="moeda")+(Inputs!$G$5:$G$110="acoes"))*Inputs!$B$1+((Inputs!$G$5:$G$110&lt;&gt;"moeda")*(Inputs!$G$5:$G$110&lt;&gt;"acoes")))*INDEX(Inputs!$K$5:$AJ$110,0,MATCH(AI$2,Inputs!$K$4:$AJ$4,0)))))</f>
        <v>9154</v>
      </c>
      <c r="AJ61" s="513">
        <f>IF(ISNA(MATCH(AJ$2,Inputs!$K$4:$AJ$4,0)),NA(),IF(SUMPRODUCT((Inputs!$A$5:$A$110=$B61)*ISNUMBER(INDEX(Inputs!$K$5:$AJ$110,0,MATCH(AJ$2,Inputs!$K$4:$AJ$4,0))))+SUMPRODUCT((Inputs!$C$5:$C$110=$B61)*ISNUMBER(INDEX(Inputs!$K$5:$AJ$110,0,MATCH(AJ$2,Inputs!$K$4:$AJ$4,0))))+SUMPRODUCT((Inputs!$E$5:$E$110=$B61)*ISNUMBER(INDEX(Inputs!$K$5:$AJ$110,0,MATCH(AJ$2,Inputs!$K$4:$AJ$4,0))))=0,NA(),SUMPRODUCT((Inputs!$A$5:$A$110=$B61)*Inputs!$B$5:$B$110*(((Inputs!$G$5:$G$110="moeda")+(Inputs!$G$5:$G$110="acoes"))*Inputs!$B$1+((Inputs!$G$5:$G$110&lt;&gt;"moeda")*(Inputs!$G$5:$G$110&lt;&gt;"acoes")))*INDEX(Inputs!$K$5:$AJ$110,0,MATCH(AJ$2,Inputs!$K$4:$AJ$4,0)))+SUMPRODUCT((Inputs!$C$5:$C$110=$B61)*Inputs!$D$5:$D$110*(((Inputs!$G$5:$G$110="moeda")+(Inputs!$G$5:$G$110="acoes"))*Inputs!$B$1+((Inputs!$G$5:$G$110&lt;&gt;"moeda")*(Inputs!$G$5:$G$110&lt;&gt;"acoes")))*INDEX(Inputs!$K$5:$AJ$110,0,MATCH(AJ$2,Inputs!$K$4:$AJ$4,0)))+SUMPRODUCT((Inputs!$E$5:$E$110=$B61)*Inputs!$F$5:$F$110*(((Inputs!$G$5:$G$110="moeda")+(Inputs!$G$5:$G$110="acoes"))*Inputs!$B$1+((Inputs!$G$5:$G$110&lt;&gt;"moeda")*(Inputs!$G$5:$G$110&lt;&gt;"acoes")))*INDEX(Inputs!$K$5:$AJ$110,0,MATCH(AJ$2,Inputs!$K$4:$AJ$4,0)))))</f>
        <v>9806</v>
      </c>
      <c r="AK61" s="513">
        <f>IF(ISNA(MATCH(AK$2,Inputs!$K$4:$AJ$4,0)),NA(),IF(SUMPRODUCT((Inputs!$A$5:$A$110=$B61)*ISNUMBER(INDEX(Inputs!$K$5:$AJ$110,0,MATCH(AK$2,Inputs!$K$4:$AJ$4,0))))+SUMPRODUCT((Inputs!$C$5:$C$110=$B61)*ISNUMBER(INDEX(Inputs!$K$5:$AJ$110,0,MATCH(AK$2,Inputs!$K$4:$AJ$4,0))))+SUMPRODUCT((Inputs!$E$5:$E$110=$B61)*ISNUMBER(INDEX(Inputs!$K$5:$AJ$110,0,MATCH(AK$2,Inputs!$K$4:$AJ$4,0))))=0,NA(),SUMPRODUCT((Inputs!$A$5:$A$110=$B61)*Inputs!$B$5:$B$110*(((Inputs!$G$5:$G$110="moeda")+(Inputs!$G$5:$G$110="acoes"))*Inputs!$B$1+((Inputs!$G$5:$G$110&lt;&gt;"moeda")*(Inputs!$G$5:$G$110&lt;&gt;"acoes")))*INDEX(Inputs!$K$5:$AJ$110,0,MATCH(AK$2,Inputs!$K$4:$AJ$4,0)))+SUMPRODUCT((Inputs!$C$5:$C$110=$B61)*Inputs!$D$5:$D$110*(((Inputs!$G$5:$G$110="moeda")+(Inputs!$G$5:$G$110="acoes"))*Inputs!$B$1+((Inputs!$G$5:$G$110&lt;&gt;"moeda")*(Inputs!$G$5:$G$110&lt;&gt;"acoes")))*INDEX(Inputs!$K$5:$AJ$110,0,MATCH(AK$2,Inputs!$K$4:$AJ$4,0)))+SUMPRODUCT((Inputs!$E$5:$E$110=$B61)*Inputs!$F$5:$F$110*(((Inputs!$G$5:$G$110="moeda")+(Inputs!$G$5:$G$110="acoes"))*Inputs!$B$1+((Inputs!$G$5:$G$110&lt;&gt;"moeda")*(Inputs!$G$5:$G$110&lt;&gt;"acoes")))*INDEX(Inputs!$K$5:$AJ$110,0,MATCH(AK$2,Inputs!$K$4:$AJ$4,0)))))</f>
        <v>9962</v>
      </c>
      <c r="AL61" s="514">
        <f>SUM(AH61:AK61)</f>
        <v>38522</v>
      </c>
    </row>
    <row r="62">
      <c r="B62" s="265" t="n">
        <v>54</v>
      </c>
      <c r="C62" s="266" t="inlineStr">
        <is>
          <t>Walmart U.S. - eCommerce (USD)</t>
        </is>
      </c>
      <c r="D62" s="513">
        <f>IF(ISNA(MATCH(D$2,Inputs!$K$4:$AJ$4,0)),NA(),IF(SUMPRODUCT((Inputs!$A$5:$A$110=$B62)*ISNUMBER(INDEX(Inputs!$K$5:$AJ$110,0,MATCH(D$2,Inputs!$K$4:$AJ$4,0))))+SUMPRODUCT((Inputs!$C$5:$C$110=$B62)*ISNUMBER(INDEX(Inputs!$K$5:$AJ$110,0,MATCH(D$2,Inputs!$K$4:$AJ$4,0))))+SUMPRODUCT((Inputs!$E$5:$E$110=$B62)*ISNUMBER(INDEX(Inputs!$K$5:$AJ$110,0,MATCH(D$2,Inputs!$K$4:$AJ$4,0))))=0,NA(),SUMPRODUCT((Inputs!$A$5:$A$110=$B62)*Inputs!$B$5:$B$110*(((Inputs!$G$5:$G$110="moeda")+(Inputs!$G$5:$G$110="acoes"))*Inputs!$B$1+((Inputs!$G$5:$G$110&lt;&gt;"moeda")*(Inputs!$G$5:$G$110&lt;&gt;"acoes")))*INDEX(Inputs!$K$5:$AJ$110,0,MATCH(D$2,Inputs!$K$4:$AJ$4,0)))+SUMPRODUCT((Inputs!$C$5:$C$110=$B62)*Inputs!$D$5:$D$110*(((Inputs!$G$5:$G$110="moeda")+(Inputs!$G$5:$G$110="acoes"))*Inputs!$B$1+((Inputs!$G$5:$G$110&lt;&gt;"moeda")*(Inputs!$G$5:$G$110&lt;&gt;"acoes")))*INDEX(Inputs!$K$5:$AJ$110,0,MATCH(D$2,Inputs!$K$4:$AJ$4,0)))+SUMPRODUCT((Inputs!$E$5:$E$110=$B62)*Inputs!$F$5:$F$110*(((Inputs!$G$5:$G$110="moeda")+(Inputs!$G$5:$G$110="acoes"))*Inputs!$B$1+((Inputs!$G$5:$G$110&lt;&gt;"moeda")*(Inputs!$G$5:$G$110&lt;&gt;"acoes")))*INDEX(Inputs!$K$5:$AJ$110,0,MATCH(D$2,Inputs!$K$4:$AJ$4,0)))))</f>
        <v>11300</v>
      </c>
      <c r="E62" s="513">
        <f>IF(ISNA(MATCH(E$2,Inputs!$K$4:$AJ$4,0)),NA(),IF(SUMPRODUCT((Inputs!$A$5:$A$110=$B62)*ISNUMBER(INDEX(Inputs!$K$5:$AJ$110,0,MATCH(E$2,Inputs!$K$4:$AJ$4,0))))+SUMPRODUCT((Inputs!$C$5:$C$110=$B62)*ISNUMBER(INDEX(Inputs!$K$5:$AJ$110,0,MATCH(E$2,Inputs!$K$4:$AJ$4,0))))+SUMPRODUCT((Inputs!$E$5:$E$110=$B62)*ISNUMBER(INDEX(Inputs!$K$5:$AJ$110,0,MATCH(E$2,Inputs!$K$4:$AJ$4,0))))=0,NA(),SUMPRODUCT((Inputs!$A$5:$A$110=$B62)*Inputs!$B$5:$B$110*(((Inputs!$G$5:$G$110="moeda")+(Inputs!$G$5:$G$110="acoes"))*Inputs!$B$1+((Inputs!$G$5:$G$110&lt;&gt;"moeda")*(Inputs!$G$5:$G$110&lt;&gt;"acoes")))*INDEX(Inputs!$K$5:$AJ$110,0,MATCH(E$2,Inputs!$K$4:$AJ$4,0)))+SUMPRODUCT((Inputs!$C$5:$C$110=$B62)*Inputs!$D$5:$D$110*(((Inputs!$G$5:$G$110="moeda")+(Inputs!$G$5:$G$110="acoes"))*Inputs!$B$1+((Inputs!$G$5:$G$110&lt;&gt;"moeda")*(Inputs!$G$5:$G$110&lt;&gt;"acoes")))*INDEX(Inputs!$K$5:$AJ$110,0,MATCH(E$2,Inputs!$K$4:$AJ$4,0)))+SUMPRODUCT((Inputs!$E$5:$E$110=$B62)*Inputs!$F$5:$F$110*(((Inputs!$G$5:$G$110="moeda")+(Inputs!$G$5:$G$110="acoes"))*Inputs!$B$1+((Inputs!$G$5:$G$110&lt;&gt;"moeda")*(Inputs!$G$5:$G$110&lt;&gt;"acoes")))*INDEX(Inputs!$K$5:$AJ$110,0,MATCH(E$2,Inputs!$K$4:$AJ$4,0)))))</f>
        <v>11200</v>
      </c>
      <c r="F62" s="513">
        <f>IF(ISNA(MATCH(F$2,Inputs!$K$4:$AJ$4,0)),NA(),IF(SUMPRODUCT((Inputs!$A$5:$A$110=$B62)*ISNUMBER(INDEX(Inputs!$K$5:$AJ$110,0,MATCH(F$2,Inputs!$K$4:$AJ$4,0))))+SUMPRODUCT((Inputs!$C$5:$C$110=$B62)*ISNUMBER(INDEX(Inputs!$K$5:$AJ$110,0,MATCH(F$2,Inputs!$K$4:$AJ$4,0))))+SUMPRODUCT((Inputs!$E$5:$E$110=$B62)*ISNUMBER(INDEX(Inputs!$K$5:$AJ$110,0,MATCH(F$2,Inputs!$K$4:$AJ$4,0))))=0,NA(),SUMPRODUCT((Inputs!$A$5:$A$110=$B62)*Inputs!$B$5:$B$110*(((Inputs!$G$5:$G$110="moeda")+(Inputs!$G$5:$G$110="acoes"))*Inputs!$B$1+((Inputs!$G$5:$G$110&lt;&gt;"moeda")*(Inputs!$G$5:$G$110&lt;&gt;"acoes")))*INDEX(Inputs!$K$5:$AJ$110,0,MATCH(F$2,Inputs!$K$4:$AJ$4,0)))+SUMPRODUCT((Inputs!$C$5:$C$110=$B62)*Inputs!$D$5:$D$110*(((Inputs!$G$5:$G$110="moeda")+(Inputs!$G$5:$G$110="acoes"))*Inputs!$B$1+((Inputs!$G$5:$G$110&lt;&gt;"moeda")*(Inputs!$G$5:$G$110&lt;&gt;"acoes")))*INDEX(Inputs!$K$5:$AJ$110,0,MATCH(F$2,Inputs!$K$4:$AJ$4,0)))+SUMPRODUCT((Inputs!$E$5:$E$110=$B62)*Inputs!$F$5:$F$110*(((Inputs!$G$5:$G$110="moeda")+(Inputs!$G$5:$G$110="acoes"))*Inputs!$B$1+((Inputs!$G$5:$G$110&lt;&gt;"moeda")*(Inputs!$G$5:$G$110&lt;&gt;"acoes")))*INDEX(Inputs!$K$5:$AJ$110,0,MATCH(F$2,Inputs!$K$4:$AJ$4,0)))))</f>
        <v>11100</v>
      </c>
      <c r="G62" s="513">
        <f>IF(ISNA(MATCH(G$2,Inputs!$K$4:$AJ$4,0)),NA(),IF(SUMPRODUCT((Inputs!$A$5:$A$110=$B62)*ISNUMBER(INDEX(Inputs!$K$5:$AJ$110,0,MATCH(G$2,Inputs!$K$4:$AJ$4,0))))+SUMPRODUCT((Inputs!$C$5:$C$110=$B62)*ISNUMBER(INDEX(Inputs!$K$5:$AJ$110,0,MATCH(G$2,Inputs!$K$4:$AJ$4,0))))+SUMPRODUCT((Inputs!$E$5:$E$110=$B62)*ISNUMBER(INDEX(Inputs!$K$5:$AJ$110,0,MATCH(G$2,Inputs!$K$4:$AJ$4,0))))=0,NA(),SUMPRODUCT((Inputs!$A$5:$A$110=$B62)*Inputs!$B$5:$B$110*(((Inputs!$G$5:$G$110="moeda")+(Inputs!$G$5:$G$110="acoes"))*Inputs!$B$1+((Inputs!$G$5:$G$110&lt;&gt;"moeda")*(Inputs!$G$5:$G$110&lt;&gt;"acoes")))*INDEX(Inputs!$K$5:$AJ$110,0,MATCH(G$2,Inputs!$K$4:$AJ$4,0)))+SUMPRODUCT((Inputs!$C$5:$C$110=$B62)*Inputs!$D$5:$D$110*(((Inputs!$G$5:$G$110="moeda")+(Inputs!$G$5:$G$110="acoes"))*Inputs!$B$1+((Inputs!$G$5:$G$110&lt;&gt;"moeda")*(Inputs!$G$5:$G$110&lt;&gt;"acoes")))*INDEX(Inputs!$K$5:$AJ$110,0,MATCH(G$2,Inputs!$K$4:$AJ$4,0)))+SUMPRODUCT((Inputs!$E$5:$E$110=$B62)*Inputs!$F$5:$F$110*(((Inputs!$G$5:$G$110="moeda")+(Inputs!$G$5:$G$110="acoes"))*Inputs!$B$1+((Inputs!$G$5:$G$110&lt;&gt;"moeda")*(Inputs!$G$5:$G$110&lt;&gt;"acoes")))*INDEX(Inputs!$K$5:$AJ$110,0,MATCH(G$2,Inputs!$K$4:$AJ$4,0)))))</f>
        <v>14200</v>
      </c>
      <c r="H62" s="514">
        <f>SUM(D62:G62)</f>
        <v>47800</v>
      </c>
      <c r="I62" s="513">
        <f>IF(ISNA(MATCH(I$2,Inputs!$K$4:$AJ$4,0)),NA(),IF(SUMPRODUCT((Inputs!$A$5:$A$110=$B62)*ISNUMBER(INDEX(Inputs!$K$5:$AJ$110,0,MATCH(I$2,Inputs!$K$4:$AJ$4,0))))+SUMPRODUCT((Inputs!$C$5:$C$110=$B62)*ISNUMBER(INDEX(Inputs!$K$5:$AJ$110,0,MATCH(I$2,Inputs!$K$4:$AJ$4,0))))+SUMPRODUCT((Inputs!$E$5:$E$110=$B62)*ISNUMBER(INDEX(Inputs!$K$5:$AJ$110,0,MATCH(I$2,Inputs!$K$4:$AJ$4,0))))=0,NA(),SUMPRODUCT((Inputs!$A$5:$A$110=$B62)*Inputs!$B$5:$B$110*(((Inputs!$G$5:$G$110="moeda")+(Inputs!$G$5:$G$110="acoes"))*Inputs!$B$1+((Inputs!$G$5:$G$110&lt;&gt;"moeda")*(Inputs!$G$5:$G$110&lt;&gt;"acoes")))*INDEX(Inputs!$K$5:$AJ$110,0,MATCH(I$2,Inputs!$K$4:$AJ$4,0)))+SUMPRODUCT((Inputs!$C$5:$C$110=$B62)*Inputs!$D$5:$D$110*(((Inputs!$G$5:$G$110="moeda")+(Inputs!$G$5:$G$110="acoes"))*Inputs!$B$1+((Inputs!$G$5:$G$110&lt;&gt;"moeda")*(Inputs!$G$5:$G$110&lt;&gt;"acoes")))*INDEX(Inputs!$K$5:$AJ$110,0,MATCH(I$2,Inputs!$K$4:$AJ$4,0)))+SUMPRODUCT((Inputs!$E$5:$E$110=$B62)*Inputs!$F$5:$F$110*(((Inputs!$G$5:$G$110="moeda")+(Inputs!$G$5:$G$110="acoes"))*Inputs!$B$1+((Inputs!$G$5:$G$110&lt;&gt;"moeda")*(Inputs!$G$5:$G$110&lt;&gt;"acoes")))*INDEX(Inputs!$K$5:$AJ$110,0,MATCH(I$2,Inputs!$K$4:$AJ$4,0)))))</f>
        <v>11400</v>
      </c>
      <c r="J62" s="513">
        <f>IF(ISNA(MATCH(J$2,Inputs!$K$4:$AJ$4,0)),NA(),IF(SUMPRODUCT((Inputs!$A$5:$A$110=$B62)*ISNUMBER(INDEX(Inputs!$K$5:$AJ$110,0,MATCH(J$2,Inputs!$K$4:$AJ$4,0))))+SUMPRODUCT((Inputs!$C$5:$C$110=$B62)*ISNUMBER(INDEX(Inputs!$K$5:$AJ$110,0,MATCH(J$2,Inputs!$K$4:$AJ$4,0))))+SUMPRODUCT((Inputs!$E$5:$E$110=$B62)*ISNUMBER(INDEX(Inputs!$K$5:$AJ$110,0,MATCH(J$2,Inputs!$K$4:$AJ$4,0))))=0,NA(),SUMPRODUCT((Inputs!$A$5:$A$110=$B62)*Inputs!$B$5:$B$110*(((Inputs!$G$5:$G$110="moeda")+(Inputs!$G$5:$G$110="acoes"))*Inputs!$B$1+((Inputs!$G$5:$G$110&lt;&gt;"moeda")*(Inputs!$G$5:$G$110&lt;&gt;"acoes")))*INDEX(Inputs!$K$5:$AJ$110,0,MATCH(J$2,Inputs!$K$4:$AJ$4,0)))+SUMPRODUCT((Inputs!$C$5:$C$110=$B62)*Inputs!$D$5:$D$110*(((Inputs!$G$5:$G$110="moeda")+(Inputs!$G$5:$G$110="acoes"))*Inputs!$B$1+((Inputs!$G$5:$G$110&lt;&gt;"moeda")*(Inputs!$G$5:$G$110&lt;&gt;"acoes")))*INDEX(Inputs!$K$5:$AJ$110,0,MATCH(J$2,Inputs!$K$4:$AJ$4,0)))+SUMPRODUCT((Inputs!$E$5:$E$110=$B62)*Inputs!$F$5:$F$110*(((Inputs!$G$5:$G$110="moeda")+(Inputs!$G$5:$G$110="acoes"))*Inputs!$B$1+((Inputs!$G$5:$G$110&lt;&gt;"moeda")*(Inputs!$G$5:$G$110&lt;&gt;"acoes")))*INDEX(Inputs!$K$5:$AJ$110,0,MATCH(J$2,Inputs!$K$4:$AJ$4,0)))))</f>
        <v>12500</v>
      </c>
      <c r="K62" s="513">
        <f>IF(ISNA(MATCH(K$2,Inputs!$K$4:$AJ$4,0)),NA(),IF(SUMPRODUCT((Inputs!$A$5:$A$110=$B62)*ISNUMBER(INDEX(Inputs!$K$5:$AJ$110,0,MATCH(K$2,Inputs!$K$4:$AJ$4,0))))+SUMPRODUCT((Inputs!$C$5:$C$110=$B62)*ISNUMBER(INDEX(Inputs!$K$5:$AJ$110,0,MATCH(K$2,Inputs!$K$4:$AJ$4,0))))+SUMPRODUCT((Inputs!$E$5:$E$110=$B62)*ISNUMBER(INDEX(Inputs!$K$5:$AJ$110,0,MATCH(K$2,Inputs!$K$4:$AJ$4,0))))=0,NA(),SUMPRODUCT((Inputs!$A$5:$A$110=$B62)*Inputs!$B$5:$B$110*(((Inputs!$G$5:$G$110="moeda")+(Inputs!$G$5:$G$110="acoes"))*Inputs!$B$1+((Inputs!$G$5:$G$110&lt;&gt;"moeda")*(Inputs!$G$5:$G$110&lt;&gt;"acoes")))*INDEX(Inputs!$K$5:$AJ$110,0,MATCH(K$2,Inputs!$K$4:$AJ$4,0)))+SUMPRODUCT((Inputs!$C$5:$C$110=$B62)*Inputs!$D$5:$D$110*(((Inputs!$G$5:$G$110="moeda")+(Inputs!$G$5:$G$110="acoes"))*Inputs!$B$1+((Inputs!$G$5:$G$110&lt;&gt;"moeda")*(Inputs!$G$5:$G$110&lt;&gt;"acoes")))*INDEX(Inputs!$K$5:$AJ$110,0,MATCH(K$2,Inputs!$K$4:$AJ$4,0)))+SUMPRODUCT((Inputs!$E$5:$E$110=$B62)*Inputs!$F$5:$F$110*(((Inputs!$G$5:$G$110="moeda")+(Inputs!$G$5:$G$110="acoes"))*Inputs!$B$1+((Inputs!$G$5:$G$110&lt;&gt;"moeda")*(Inputs!$G$5:$G$110&lt;&gt;"acoes")))*INDEX(Inputs!$K$5:$AJ$110,0,MATCH(K$2,Inputs!$K$4:$AJ$4,0)))))</f>
        <v>12900</v>
      </c>
      <c r="L62" s="513">
        <f>IF(ISNA(MATCH(L$2,Inputs!$K$4:$AJ$4,0)),NA(),IF(SUMPRODUCT((Inputs!$A$5:$A$110=$B62)*ISNUMBER(INDEX(Inputs!$K$5:$AJ$110,0,MATCH(L$2,Inputs!$K$4:$AJ$4,0))))+SUMPRODUCT((Inputs!$C$5:$C$110=$B62)*ISNUMBER(INDEX(Inputs!$K$5:$AJ$110,0,MATCH(L$2,Inputs!$K$4:$AJ$4,0))))+SUMPRODUCT((Inputs!$E$5:$E$110=$B62)*ISNUMBER(INDEX(Inputs!$K$5:$AJ$110,0,MATCH(L$2,Inputs!$K$4:$AJ$4,0))))=0,NA(),SUMPRODUCT((Inputs!$A$5:$A$110=$B62)*Inputs!$B$5:$B$110*(((Inputs!$G$5:$G$110="moeda")+(Inputs!$G$5:$G$110="acoes"))*Inputs!$B$1+((Inputs!$G$5:$G$110&lt;&gt;"moeda")*(Inputs!$G$5:$G$110&lt;&gt;"acoes")))*INDEX(Inputs!$K$5:$AJ$110,0,MATCH(L$2,Inputs!$K$4:$AJ$4,0)))+SUMPRODUCT((Inputs!$C$5:$C$110=$B62)*Inputs!$D$5:$D$110*(((Inputs!$G$5:$G$110="moeda")+(Inputs!$G$5:$G$110="acoes"))*Inputs!$B$1+((Inputs!$G$5:$G$110&lt;&gt;"moeda")*(Inputs!$G$5:$G$110&lt;&gt;"acoes")))*INDEX(Inputs!$K$5:$AJ$110,0,MATCH(L$2,Inputs!$K$4:$AJ$4,0)))+SUMPRODUCT((Inputs!$E$5:$E$110=$B62)*Inputs!$F$5:$F$110*(((Inputs!$G$5:$G$110="moeda")+(Inputs!$G$5:$G$110="acoes"))*Inputs!$B$1+((Inputs!$G$5:$G$110&lt;&gt;"moeda")*(Inputs!$G$5:$G$110&lt;&gt;"acoes")))*INDEX(Inputs!$K$5:$AJ$110,0,MATCH(L$2,Inputs!$K$4:$AJ$4,0)))))</f>
        <v>16500</v>
      </c>
      <c r="M62" s="514">
        <f>SUM(I62:L62)</f>
        <v>53300</v>
      </c>
      <c r="N62" s="513">
        <f>IF(ISNA(MATCH(N$2,Inputs!$K$4:$AJ$4,0)),NA(),IF(SUMPRODUCT((Inputs!$A$5:$A$110=$B62)*ISNUMBER(INDEX(Inputs!$K$5:$AJ$110,0,MATCH(N$2,Inputs!$K$4:$AJ$4,0))))+SUMPRODUCT((Inputs!$C$5:$C$110=$B62)*ISNUMBER(INDEX(Inputs!$K$5:$AJ$110,0,MATCH(N$2,Inputs!$K$4:$AJ$4,0))))+SUMPRODUCT((Inputs!$E$5:$E$110=$B62)*ISNUMBER(INDEX(Inputs!$K$5:$AJ$110,0,MATCH(N$2,Inputs!$K$4:$AJ$4,0))))=0,NA(),SUMPRODUCT((Inputs!$A$5:$A$110=$B62)*Inputs!$B$5:$B$110*(((Inputs!$G$5:$G$110="moeda")+(Inputs!$G$5:$G$110="acoes"))*Inputs!$B$1+((Inputs!$G$5:$G$110&lt;&gt;"moeda")*(Inputs!$G$5:$G$110&lt;&gt;"acoes")))*INDEX(Inputs!$K$5:$AJ$110,0,MATCH(N$2,Inputs!$K$4:$AJ$4,0)))+SUMPRODUCT((Inputs!$C$5:$C$110=$B62)*Inputs!$D$5:$D$110*(((Inputs!$G$5:$G$110="moeda")+(Inputs!$G$5:$G$110="acoes"))*Inputs!$B$1+((Inputs!$G$5:$G$110&lt;&gt;"moeda")*(Inputs!$G$5:$G$110&lt;&gt;"acoes")))*INDEX(Inputs!$K$5:$AJ$110,0,MATCH(N$2,Inputs!$K$4:$AJ$4,0)))+SUMPRODUCT((Inputs!$E$5:$E$110=$B62)*Inputs!$F$5:$F$110*(((Inputs!$G$5:$G$110="moeda")+(Inputs!$G$5:$G$110="acoes"))*Inputs!$B$1+((Inputs!$G$5:$G$110&lt;&gt;"moeda")*(Inputs!$G$5:$G$110&lt;&gt;"acoes")))*INDEX(Inputs!$K$5:$AJ$110,0,MATCH(N$2,Inputs!$K$4:$AJ$4,0)))))</f>
        <v>14500</v>
      </c>
      <c r="O62" s="513">
        <f>IF(ISNA(MATCH(O$2,Inputs!$K$4:$AJ$4,0)),NA(),IF(SUMPRODUCT((Inputs!$A$5:$A$110=$B62)*ISNUMBER(INDEX(Inputs!$K$5:$AJ$110,0,MATCH(O$2,Inputs!$K$4:$AJ$4,0))))+SUMPRODUCT((Inputs!$C$5:$C$110=$B62)*ISNUMBER(INDEX(Inputs!$K$5:$AJ$110,0,MATCH(O$2,Inputs!$K$4:$AJ$4,0))))+SUMPRODUCT((Inputs!$E$5:$E$110=$B62)*ISNUMBER(INDEX(Inputs!$K$5:$AJ$110,0,MATCH(O$2,Inputs!$K$4:$AJ$4,0))))=0,NA(),SUMPRODUCT((Inputs!$A$5:$A$110=$B62)*Inputs!$B$5:$B$110*(((Inputs!$G$5:$G$110="moeda")+(Inputs!$G$5:$G$110="acoes"))*Inputs!$B$1+((Inputs!$G$5:$G$110&lt;&gt;"moeda")*(Inputs!$G$5:$G$110&lt;&gt;"acoes")))*INDEX(Inputs!$K$5:$AJ$110,0,MATCH(O$2,Inputs!$K$4:$AJ$4,0)))+SUMPRODUCT((Inputs!$C$5:$C$110=$B62)*Inputs!$D$5:$D$110*(((Inputs!$G$5:$G$110="moeda")+(Inputs!$G$5:$G$110="acoes"))*Inputs!$B$1+((Inputs!$G$5:$G$110&lt;&gt;"moeda")*(Inputs!$G$5:$G$110&lt;&gt;"acoes")))*INDEX(Inputs!$K$5:$AJ$110,0,MATCH(O$2,Inputs!$K$4:$AJ$4,0)))+SUMPRODUCT((Inputs!$E$5:$E$110=$B62)*Inputs!$F$5:$F$110*(((Inputs!$G$5:$G$110="moeda")+(Inputs!$G$5:$G$110="acoes"))*Inputs!$B$1+((Inputs!$G$5:$G$110&lt;&gt;"moeda")*(Inputs!$G$5:$G$110&lt;&gt;"acoes")))*INDEX(Inputs!$K$5:$AJ$110,0,MATCH(O$2,Inputs!$K$4:$AJ$4,0)))))</f>
        <v>15500</v>
      </c>
      <c r="P62" s="513">
        <f>IF(ISNA(MATCH(P$2,Inputs!$K$4:$AJ$4,0)),NA(),IF(SUMPRODUCT((Inputs!$A$5:$A$110=$B62)*ISNUMBER(INDEX(Inputs!$K$5:$AJ$110,0,MATCH(P$2,Inputs!$K$4:$AJ$4,0))))+SUMPRODUCT((Inputs!$C$5:$C$110=$B62)*ISNUMBER(INDEX(Inputs!$K$5:$AJ$110,0,MATCH(P$2,Inputs!$K$4:$AJ$4,0))))+SUMPRODUCT((Inputs!$E$5:$E$110=$B62)*ISNUMBER(INDEX(Inputs!$K$5:$AJ$110,0,MATCH(P$2,Inputs!$K$4:$AJ$4,0))))=0,NA(),SUMPRODUCT((Inputs!$A$5:$A$110=$B62)*Inputs!$B$5:$B$110*(((Inputs!$G$5:$G$110="moeda")+(Inputs!$G$5:$G$110="acoes"))*Inputs!$B$1+((Inputs!$G$5:$G$110&lt;&gt;"moeda")*(Inputs!$G$5:$G$110&lt;&gt;"acoes")))*INDEX(Inputs!$K$5:$AJ$110,0,MATCH(P$2,Inputs!$K$4:$AJ$4,0)))+SUMPRODUCT((Inputs!$C$5:$C$110=$B62)*Inputs!$D$5:$D$110*(((Inputs!$G$5:$G$110="moeda")+(Inputs!$G$5:$G$110="acoes"))*Inputs!$B$1+((Inputs!$G$5:$G$110&lt;&gt;"moeda")*(Inputs!$G$5:$G$110&lt;&gt;"acoes")))*INDEX(Inputs!$K$5:$AJ$110,0,MATCH(P$2,Inputs!$K$4:$AJ$4,0)))+SUMPRODUCT((Inputs!$E$5:$E$110=$B62)*Inputs!$F$5:$F$110*(((Inputs!$G$5:$G$110="moeda")+(Inputs!$G$5:$G$110="acoes"))*Inputs!$B$1+((Inputs!$G$5:$G$110&lt;&gt;"moeda")*(Inputs!$G$5:$G$110&lt;&gt;"acoes")))*INDEX(Inputs!$K$5:$AJ$110,0,MATCH(P$2,Inputs!$K$4:$AJ$4,0)))))</f>
        <v>16000</v>
      </c>
      <c r="Q62" s="513">
        <f>IF(ISNA(MATCH(Q$2,Inputs!$K$4:$AJ$4,0)),NA(),IF(SUMPRODUCT((Inputs!$A$5:$A$110=$B62)*ISNUMBER(INDEX(Inputs!$K$5:$AJ$110,0,MATCH(Q$2,Inputs!$K$4:$AJ$4,0))))+SUMPRODUCT((Inputs!$C$5:$C$110=$B62)*ISNUMBER(INDEX(Inputs!$K$5:$AJ$110,0,MATCH(Q$2,Inputs!$K$4:$AJ$4,0))))+SUMPRODUCT((Inputs!$E$5:$E$110=$B62)*ISNUMBER(INDEX(Inputs!$K$5:$AJ$110,0,MATCH(Q$2,Inputs!$K$4:$AJ$4,0))))=0,NA(),SUMPRODUCT((Inputs!$A$5:$A$110=$B62)*Inputs!$B$5:$B$110*(((Inputs!$G$5:$G$110="moeda")+(Inputs!$G$5:$G$110="acoes"))*Inputs!$B$1+((Inputs!$G$5:$G$110&lt;&gt;"moeda")*(Inputs!$G$5:$G$110&lt;&gt;"acoes")))*INDEX(Inputs!$K$5:$AJ$110,0,MATCH(Q$2,Inputs!$K$4:$AJ$4,0)))+SUMPRODUCT((Inputs!$C$5:$C$110=$B62)*Inputs!$D$5:$D$110*(((Inputs!$G$5:$G$110="moeda")+(Inputs!$G$5:$G$110="acoes"))*Inputs!$B$1+((Inputs!$G$5:$G$110&lt;&gt;"moeda")*(Inputs!$G$5:$G$110&lt;&gt;"acoes")))*INDEX(Inputs!$K$5:$AJ$110,0,MATCH(Q$2,Inputs!$K$4:$AJ$4,0)))+SUMPRODUCT((Inputs!$E$5:$E$110=$B62)*Inputs!$F$5:$F$110*(((Inputs!$G$5:$G$110="moeda")+(Inputs!$G$5:$G$110="acoes"))*Inputs!$B$1+((Inputs!$G$5:$G$110&lt;&gt;"moeda")*(Inputs!$G$5:$G$110&lt;&gt;"acoes")))*INDEX(Inputs!$K$5:$AJ$110,0,MATCH(Q$2,Inputs!$K$4:$AJ$4,0)))))</f>
        <v>19400</v>
      </c>
      <c r="R62" s="514">
        <f>SUM(N62:Q62)</f>
        <v>65400</v>
      </c>
      <c r="S62" s="513">
        <f>IF(ISNA(MATCH(S$2,Inputs!$K$4:$AJ$4,0)),NA(),IF(SUMPRODUCT((Inputs!$A$5:$A$110=$B62)*ISNUMBER(INDEX(Inputs!$K$5:$AJ$110,0,MATCH(S$2,Inputs!$K$4:$AJ$4,0))))+SUMPRODUCT((Inputs!$C$5:$C$110=$B62)*ISNUMBER(INDEX(Inputs!$K$5:$AJ$110,0,MATCH(S$2,Inputs!$K$4:$AJ$4,0))))+SUMPRODUCT((Inputs!$E$5:$E$110=$B62)*ISNUMBER(INDEX(Inputs!$K$5:$AJ$110,0,MATCH(S$2,Inputs!$K$4:$AJ$4,0))))=0,NA(),SUMPRODUCT((Inputs!$A$5:$A$110=$B62)*Inputs!$B$5:$B$110*(((Inputs!$G$5:$G$110="moeda")+(Inputs!$G$5:$G$110="acoes"))*Inputs!$B$1+((Inputs!$G$5:$G$110&lt;&gt;"moeda")*(Inputs!$G$5:$G$110&lt;&gt;"acoes")))*INDEX(Inputs!$K$5:$AJ$110,0,MATCH(S$2,Inputs!$K$4:$AJ$4,0)))+SUMPRODUCT((Inputs!$C$5:$C$110=$B62)*Inputs!$D$5:$D$110*(((Inputs!$G$5:$G$110="moeda")+(Inputs!$G$5:$G$110="acoes"))*Inputs!$B$1+((Inputs!$G$5:$G$110&lt;&gt;"moeda")*(Inputs!$G$5:$G$110&lt;&gt;"acoes")))*INDEX(Inputs!$K$5:$AJ$110,0,MATCH(S$2,Inputs!$K$4:$AJ$4,0)))+SUMPRODUCT((Inputs!$E$5:$E$110=$B62)*Inputs!$F$5:$F$110*(((Inputs!$G$5:$G$110="moeda")+(Inputs!$G$5:$G$110="acoes"))*Inputs!$B$1+((Inputs!$G$5:$G$110&lt;&gt;"moeda")*(Inputs!$G$5:$G$110&lt;&gt;"acoes")))*INDEX(Inputs!$K$5:$AJ$110,0,MATCH(S$2,Inputs!$K$4:$AJ$4,0)))))</f>
        <v>17600</v>
      </c>
      <c r="T62" s="513">
        <f>IF(ISNA(MATCH(T$2,Inputs!$K$4:$AJ$4,0)),NA(),IF(SUMPRODUCT((Inputs!$A$5:$A$110=$B62)*ISNUMBER(INDEX(Inputs!$K$5:$AJ$110,0,MATCH(T$2,Inputs!$K$4:$AJ$4,0))))+SUMPRODUCT((Inputs!$C$5:$C$110=$B62)*ISNUMBER(INDEX(Inputs!$K$5:$AJ$110,0,MATCH(T$2,Inputs!$K$4:$AJ$4,0))))+SUMPRODUCT((Inputs!$E$5:$E$110=$B62)*ISNUMBER(INDEX(Inputs!$K$5:$AJ$110,0,MATCH(T$2,Inputs!$K$4:$AJ$4,0))))=0,NA(),SUMPRODUCT((Inputs!$A$5:$A$110=$B62)*Inputs!$B$5:$B$110*(((Inputs!$G$5:$G$110="moeda")+(Inputs!$G$5:$G$110="acoes"))*Inputs!$B$1+((Inputs!$G$5:$G$110&lt;&gt;"moeda")*(Inputs!$G$5:$G$110&lt;&gt;"acoes")))*INDEX(Inputs!$K$5:$AJ$110,0,MATCH(T$2,Inputs!$K$4:$AJ$4,0)))+SUMPRODUCT((Inputs!$C$5:$C$110=$B62)*Inputs!$D$5:$D$110*(((Inputs!$G$5:$G$110="moeda")+(Inputs!$G$5:$G$110="acoes"))*Inputs!$B$1+((Inputs!$G$5:$G$110&lt;&gt;"moeda")*(Inputs!$G$5:$G$110&lt;&gt;"acoes")))*INDEX(Inputs!$K$5:$AJ$110,0,MATCH(T$2,Inputs!$K$4:$AJ$4,0)))+SUMPRODUCT((Inputs!$E$5:$E$110=$B62)*Inputs!$F$5:$F$110*(((Inputs!$G$5:$G$110="moeda")+(Inputs!$G$5:$G$110="acoes"))*Inputs!$B$1+((Inputs!$G$5:$G$110&lt;&gt;"moeda")*(Inputs!$G$5:$G$110&lt;&gt;"acoes")))*INDEX(Inputs!$K$5:$AJ$110,0,MATCH(T$2,Inputs!$K$4:$AJ$4,0)))))</f>
        <v>18900</v>
      </c>
      <c r="U62" s="513">
        <f>IF(ISNA(MATCH(U$2,Inputs!$K$4:$AJ$4,0)),NA(),IF(SUMPRODUCT((Inputs!$A$5:$A$110=$B62)*ISNUMBER(INDEX(Inputs!$K$5:$AJ$110,0,MATCH(U$2,Inputs!$K$4:$AJ$4,0))))+SUMPRODUCT((Inputs!$C$5:$C$110=$B62)*ISNUMBER(INDEX(Inputs!$K$5:$AJ$110,0,MATCH(U$2,Inputs!$K$4:$AJ$4,0))))+SUMPRODUCT((Inputs!$E$5:$E$110=$B62)*ISNUMBER(INDEX(Inputs!$K$5:$AJ$110,0,MATCH(U$2,Inputs!$K$4:$AJ$4,0))))=0,NA(),SUMPRODUCT((Inputs!$A$5:$A$110=$B62)*Inputs!$B$5:$B$110*(((Inputs!$G$5:$G$110="moeda")+(Inputs!$G$5:$G$110="acoes"))*Inputs!$B$1+((Inputs!$G$5:$G$110&lt;&gt;"moeda")*(Inputs!$G$5:$G$110&lt;&gt;"acoes")))*INDEX(Inputs!$K$5:$AJ$110,0,MATCH(U$2,Inputs!$K$4:$AJ$4,0)))+SUMPRODUCT((Inputs!$C$5:$C$110=$B62)*Inputs!$D$5:$D$110*(((Inputs!$G$5:$G$110="moeda")+(Inputs!$G$5:$G$110="acoes"))*Inputs!$B$1+((Inputs!$G$5:$G$110&lt;&gt;"moeda")*(Inputs!$G$5:$G$110&lt;&gt;"acoes")))*INDEX(Inputs!$K$5:$AJ$110,0,MATCH(U$2,Inputs!$K$4:$AJ$4,0)))+SUMPRODUCT((Inputs!$E$5:$E$110=$B62)*Inputs!$F$5:$F$110*(((Inputs!$G$5:$G$110="moeda")+(Inputs!$G$5:$G$110="acoes"))*Inputs!$B$1+((Inputs!$G$5:$G$110&lt;&gt;"moeda")*(Inputs!$G$5:$G$110&lt;&gt;"acoes")))*INDEX(Inputs!$K$5:$AJ$110,0,MATCH(U$2,Inputs!$K$4:$AJ$4,0)))))</f>
        <v>19500</v>
      </c>
      <c r="V62" s="513">
        <f>IF(ISNA(MATCH(V$2,Inputs!$K$4:$AJ$4,0)),NA(),IF(SUMPRODUCT((Inputs!$A$5:$A$110=$B62)*ISNUMBER(INDEX(Inputs!$K$5:$AJ$110,0,MATCH(V$2,Inputs!$K$4:$AJ$4,0))))+SUMPRODUCT((Inputs!$C$5:$C$110=$B62)*ISNUMBER(INDEX(Inputs!$K$5:$AJ$110,0,MATCH(V$2,Inputs!$K$4:$AJ$4,0))))+SUMPRODUCT((Inputs!$E$5:$E$110=$B62)*ISNUMBER(INDEX(Inputs!$K$5:$AJ$110,0,MATCH(V$2,Inputs!$K$4:$AJ$4,0))))=0,NA(),SUMPRODUCT((Inputs!$A$5:$A$110=$B62)*Inputs!$B$5:$B$110*(((Inputs!$G$5:$G$110="moeda")+(Inputs!$G$5:$G$110="acoes"))*Inputs!$B$1+((Inputs!$G$5:$G$110&lt;&gt;"moeda")*(Inputs!$G$5:$G$110&lt;&gt;"acoes")))*INDEX(Inputs!$K$5:$AJ$110,0,MATCH(V$2,Inputs!$K$4:$AJ$4,0)))+SUMPRODUCT((Inputs!$C$5:$C$110=$B62)*Inputs!$D$5:$D$110*(((Inputs!$G$5:$G$110="moeda")+(Inputs!$G$5:$G$110="acoes"))*Inputs!$B$1+((Inputs!$G$5:$G$110&lt;&gt;"moeda")*(Inputs!$G$5:$G$110&lt;&gt;"acoes")))*INDEX(Inputs!$K$5:$AJ$110,0,MATCH(V$2,Inputs!$K$4:$AJ$4,0)))+SUMPRODUCT((Inputs!$E$5:$E$110=$B62)*Inputs!$F$5:$F$110*(((Inputs!$G$5:$G$110="moeda")+(Inputs!$G$5:$G$110="acoes"))*Inputs!$B$1+((Inputs!$G$5:$G$110&lt;&gt;"moeda")*(Inputs!$G$5:$G$110&lt;&gt;"acoes")))*INDEX(Inputs!$K$5:$AJ$110,0,MATCH(V$2,Inputs!$K$4:$AJ$4,0)))))</f>
        <v>23300</v>
      </c>
      <c r="W62" s="514">
        <f>SUM(S62:V62)</f>
        <v>79300</v>
      </c>
      <c r="X62" s="513">
        <f>IF(ISNA(MATCH(X$2,Inputs!$K$4:$AJ$4,0)),NA(),IF(SUMPRODUCT((Inputs!$A$5:$A$110=$B62)*ISNUMBER(INDEX(Inputs!$K$5:$AJ$110,0,MATCH(X$2,Inputs!$K$4:$AJ$4,0))))+SUMPRODUCT((Inputs!$C$5:$C$110=$B62)*ISNUMBER(INDEX(Inputs!$K$5:$AJ$110,0,MATCH(X$2,Inputs!$K$4:$AJ$4,0))))+SUMPRODUCT((Inputs!$E$5:$E$110=$B62)*ISNUMBER(INDEX(Inputs!$K$5:$AJ$110,0,MATCH(X$2,Inputs!$K$4:$AJ$4,0))))=0,NA(),SUMPRODUCT((Inputs!$A$5:$A$110=$B62)*Inputs!$B$5:$B$110*(((Inputs!$G$5:$G$110="moeda")+(Inputs!$G$5:$G$110="acoes"))*Inputs!$B$1+((Inputs!$G$5:$G$110&lt;&gt;"moeda")*(Inputs!$G$5:$G$110&lt;&gt;"acoes")))*INDEX(Inputs!$K$5:$AJ$110,0,MATCH(X$2,Inputs!$K$4:$AJ$4,0)))+SUMPRODUCT((Inputs!$C$5:$C$110=$B62)*Inputs!$D$5:$D$110*(((Inputs!$G$5:$G$110="moeda")+(Inputs!$G$5:$G$110="acoes"))*Inputs!$B$1+((Inputs!$G$5:$G$110&lt;&gt;"moeda")*(Inputs!$G$5:$G$110&lt;&gt;"acoes")))*INDEX(Inputs!$K$5:$AJ$110,0,MATCH(X$2,Inputs!$K$4:$AJ$4,0)))+SUMPRODUCT((Inputs!$E$5:$E$110=$B62)*Inputs!$F$5:$F$110*(((Inputs!$G$5:$G$110="moeda")+(Inputs!$G$5:$G$110="acoes"))*Inputs!$B$1+((Inputs!$G$5:$G$110&lt;&gt;"moeda")*(Inputs!$G$5:$G$110&lt;&gt;"acoes")))*INDEX(Inputs!$K$5:$AJ$110,0,MATCH(X$2,Inputs!$K$4:$AJ$4,0)))))</f>
        <v>21400</v>
      </c>
      <c r="Y62" s="513">
        <f>IF(ISNA(MATCH(Y$2,Inputs!$K$4:$AJ$4,0)),NA(),IF(SUMPRODUCT((Inputs!$A$5:$A$110=$B62)*ISNUMBER(INDEX(Inputs!$K$5:$AJ$110,0,MATCH(Y$2,Inputs!$K$4:$AJ$4,0))))+SUMPRODUCT((Inputs!$C$5:$C$110=$B62)*ISNUMBER(INDEX(Inputs!$K$5:$AJ$110,0,MATCH(Y$2,Inputs!$K$4:$AJ$4,0))))+SUMPRODUCT((Inputs!$E$5:$E$110=$B62)*ISNUMBER(INDEX(Inputs!$K$5:$AJ$110,0,MATCH(Y$2,Inputs!$K$4:$AJ$4,0))))=0,NA(),SUMPRODUCT((Inputs!$A$5:$A$110=$B62)*Inputs!$B$5:$B$110*(((Inputs!$G$5:$G$110="moeda")+(Inputs!$G$5:$G$110="acoes"))*Inputs!$B$1+((Inputs!$G$5:$G$110&lt;&gt;"moeda")*(Inputs!$G$5:$G$110&lt;&gt;"acoes")))*INDEX(Inputs!$K$5:$AJ$110,0,MATCH(Y$2,Inputs!$K$4:$AJ$4,0)))+SUMPRODUCT((Inputs!$C$5:$C$110=$B62)*Inputs!$D$5:$D$110*(((Inputs!$G$5:$G$110="moeda")+(Inputs!$G$5:$G$110="acoes"))*Inputs!$B$1+((Inputs!$G$5:$G$110&lt;&gt;"moeda")*(Inputs!$G$5:$G$110&lt;&gt;"acoes")))*INDEX(Inputs!$K$5:$AJ$110,0,MATCH(Y$2,Inputs!$K$4:$AJ$4,0)))+SUMPRODUCT((Inputs!$E$5:$E$110=$B62)*Inputs!$F$5:$F$110*(((Inputs!$G$5:$G$110="moeda")+(Inputs!$G$5:$G$110="acoes"))*Inputs!$B$1+((Inputs!$G$5:$G$110&lt;&gt;"moeda")*(Inputs!$G$5:$G$110&lt;&gt;"acoes")))*INDEX(Inputs!$K$5:$AJ$110,0,MATCH(Y$2,Inputs!$K$4:$AJ$4,0)))))</f>
        <v>23700</v>
      </c>
      <c r="Z62" s="513">
        <f>IF(ISNA(MATCH(Z$2,Inputs!$K$4:$AJ$4,0)),NA(),IF(SUMPRODUCT((Inputs!$A$5:$A$110=$B62)*ISNUMBER(INDEX(Inputs!$K$5:$AJ$110,0,MATCH(Z$2,Inputs!$K$4:$AJ$4,0))))+SUMPRODUCT((Inputs!$C$5:$C$110=$B62)*ISNUMBER(INDEX(Inputs!$K$5:$AJ$110,0,MATCH(Z$2,Inputs!$K$4:$AJ$4,0))))+SUMPRODUCT((Inputs!$E$5:$E$110=$B62)*ISNUMBER(INDEX(Inputs!$K$5:$AJ$110,0,MATCH(Z$2,Inputs!$K$4:$AJ$4,0))))=0,NA(),SUMPRODUCT((Inputs!$A$5:$A$110=$B62)*Inputs!$B$5:$B$110*(((Inputs!$G$5:$G$110="moeda")+(Inputs!$G$5:$G$110="acoes"))*Inputs!$B$1+((Inputs!$G$5:$G$110&lt;&gt;"moeda")*(Inputs!$G$5:$G$110&lt;&gt;"acoes")))*INDEX(Inputs!$K$5:$AJ$110,0,MATCH(Z$2,Inputs!$K$4:$AJ$4,0)))+SUMPRODUCT((Inputs!$C$5:$C$110=$B62)*Inputs!$D$5:$D$110*(((Inputs!$G$5:$G$110="moeda")+(Inputs!$G$5:$G$110="acoes"))*Inputs!$B$1+((Inputs!$G$5:$G$110&lt;&gt;"moeda")*(Inputs!$G$5:$G$110&lt;&gt;"acoes")))*INDEX(Inputs!$K$5:$AJ$110,0,MATCH(Z$2,Inputs!$K$4:$AJ$4,0)))+SUMPRODUCT((Inputs!$E$5:$E$110=$B62)*Inputs!$F$5:$F$110*(((Inputs!$G$5:$G$110="moeda")+(Inputs!$G$5:$G$110="acoes"))*Inputs!$B$1+((Inputs!$G$5:$G$110&lt;&gt;"moeda")*(Inputs!$G$5:$G$110&lt;&gt;"acoes")))*INDEX(Inputs!$K$5:$AJ$110,0,MATCH(Z$2,Inputs!$K$4:$AJ$4,0)))))</f>
        <v>24800</v>
      </c>
      <c r="AA62" s="513">
        <f>IF(ISNA(MATCH(AA$2,Inputs!$K$4:$AJ$4,0)),NA(),IF(SUMPRODUCT((Inputs!$A$5:$A$110=$B62)*ISNUMBER(INDEX(Inputs!$K$5:$AJ$110,0,MATCH(AA$2,Inputs!$K$4:$AJ$4,0))))+SUMPRODUCT((Inputs!$C$5:$C$110=$B62)*ISNUMBER(INDEX(Inputs!$K$5:$AJ$110,0,MATCH(AA$2,Inputs!$K$4:$AJ$4,0))))+SUMPRODUCT((Inputs!$E$5:$E$110=$B62)*ISNUMBER(INDEX(Inputs!$K$5:$AJ$110,0,MATCH(AA$2,Inputs!$K$4:$AJ$4,0))))=0,NA(),SUMPRODUCT((Inputs!$A$5:$A$110=$B62)*Inputs!$B$5:$B$110*(((Inputs!$G$5:$G$110="moeda")+(Inputs!$G$5:$G$110="acoes"))*Inputs!$B$1+((Inputs!$G$5:$G$110&lt;&gt;"moeda")*(Inputs!$G$5:$G$110&lt;&gt;"acoes")))*INDEX(Inputs!$K$5:$AJ$110,0,MATCH(AA$2,Inputs!$K$4:$AJ$4,0)))+SUMPRODUCT((Inputs!$C$5:$C$110=$B62)*Inputs!$D$5:$D$110*(((Inputs!$G$5:$G$110="moeda")+(Inputs!$G$5:$G$110="acoes"))*Inputs!$B$1+((Inputs!$G$5:$G$110&lt;&gt;"moeda")*(Inputs!$G$5:$G$110&lt;&gt;"acoes")))*INDEX(Inputs!$K$5:$AJ$110,0,MATCH(AA$2,Inputs!$K$4:$AJ$4,0)))+SUMPRODUCT((Inputs!$E$5:$E$110=$B62)*Inputs!$F$5:$F$110*(((Inputs!$G$5:$G$110="moeda")+(Inputs!$G$5:$G$110="acoes"))*Inputs!$B$1+((Inputs!$G$5:$G$110&lt;&gt;"moeda")*(Inputs!$G$5:$G$110&lt;&gt;"acoes")))*INDEX(Inputs!$K$5:$AJ$110,0,MATCH(AA$2,Inputs!$K$4:$AJ$4,0)))))</f>
        <v>29600</v>
      </c>
      <c r="AB62" s="514">
        <f>SUM(X62:AA62)</f>
        <v>99500</v>
      </c>
      <c r="AC62" s="513">
        <f>IF(ISNA(MATCH(AC$2,Inputs!$K$4:$AJ$4,0)),NA(),IF(SUMPRODUCT((Inputs!$A$5:$A$110=$B62)*ISNUMBER(INDEX(Inputs!$K$5:$AJ$110,0,MATCH(AC$2,Inputs!$K$4:$AJ$4,0))))+SUMPRODUCT((Inputs!$C$5:$C$110=$B62)*ISNUMBER(INDEX(Inputs!$K$5:$AJ$110,0,MATCH(AC$2,Inputs!$K$4:$AJ$4,0))))+SUMPRODUCT((Inputs!$E$5:$E$110=$B62)*ISNUMBER(INDEX(Inputs!$K$5:$AJ$110,0,MATCH(AC$2,Inputs!$K$4:$AJ$4,0))))=0,NA(),SUMPRODUCT((Inputs!$A$5:$A$110=$B62)*Inputs!$B$5:$B$110*(((Inputs!$G$5:$G$110="moeda")+(Inputs!$G$5:$G$110="acoes"))*Inputs!$B$1+((Inputs!$G$5:$G$110&lt;&gt;"moeda")*(Inputs!$G$5:$G$110&lt;&gt;"acoes")))*INDEX(Inputs!$K$5:$AJ$110,0,MATCH(AC$2,Inputs!$K$4:$AJ$4,0)))+SUMPRODUCT((Inputs!$C$5:$C$110=$B62)*Inputs!$D$5:$D$110*(((Inputs!$G$5:$G$110="moeda")+(Inputs!$G$5:$G$110="acoes"))*Inputs!$B$1+((Inputs!$G$5:$G$110&lt;&gt;"moeda")*(Inputs!$G$5:$G$110&lt;&gt;"acoes")))*INDEX(Inputs!$K$5:$AJ$110,0,MATCH(AC$2,Inputs!$K$4:$AJ$4,0)))+SUMPRODUCT((Inputs!$E$5:$E$110=$B62)*Inputs!$F$5:$F$110*(((Inputs!$G$5:$G$110="moeda")+(Inputs!$G$5:$G$110="acoes"))*Inputs!$B$1+((Inputs!$G$5:$G$110&lt;&gt;"moeda")*(Inputs!$G$5:$G$110&lt;&gt;"acoes")))*INDEX(Inputs!$K$5:$AJ$110,0,MATCH(AC$2,Inputs!$K$4:$AJ$4,0)))))</f>
        <v>27100</v>
      </c>
      <c r="AD62" s="513">
        <f>IF(ISNA(MATCH(AD$2,Inputs!$K$4:$AJ$4,0)),NA(),IF(SUMPRODUCT((Inputs!$A$5:$A$110=$B62)*ISNUMBER(INDEX(Inputs!$K$5:$AJ$110,0,MATCH(AD$2,Inputs!$K$4:$AJ$4,0))))+SUMPRODUCT((Inputs!$C$5:$C$110=$B62)*ISNUMBER(INDEX(Inputs!$K$5:$AJ$110,0,MATCH(AD$2,Inputs!$K$4:$AJ$4,0))))+SUMPRODUCT((Inputs!$E$5:$E$110=$B62)*ISNUMBER(INDEX(Inputs!$K$5:$AJ$110,0,MATCH(AD$2,Inputs!$K$4:$AJ$4,0))))=0,NA(),SUMPRODUCT((Inputs!$A$5:$A$110=$B62)*Inputs!$B$5:$B$110*(((Inputs!$G$5:$G$110="moeda")+(Inputs!$G$5:$G$110="acoes"))*Inputs!$B$1+((Inputs!$G$5:$G$110&lt;&gt;"moeda")*(Inputs!$G$5:$G$110&lt;&gt;"acoes")))*INDEX(Inputs!$K$5:$AJ$110,0,MATCH(AD$2,Inputs!$K$4:$AJ$4,0)))+SUMPRODUCT((Inputs!$C$5:$C$110=$B62)*Inputs!$D$5:$D$110*(((Inputs!$G$5:$G$110="moeda")+(Inputs!$G$5:$G$110="acoes"))*Inputs!$B$1+((Inputs!$G$5:$G$110&lt;&gt;"moeda")*(Inputs!$G$5:$G$110&lt;&gt;"acoes")))*INDEX(Inputs!$K$5:$AJ$110,0,MATCH(AD$2,Inputs!$K$4:$AJ$4,0)))+SUMPRODUCT((Inputs!$E$5:$E$110=$B62)*Inputs!$F$5:$F$110*(((Inputs!$G$5:$G$110="moeda")+(Inputs!$G$5:$G$110="acoes"))*Inputs!$B$1+((Inputs!$G$5:$G$110&lt;&gt;"moeda")*(Inputs!$G$5:$G$110&lt;&gt;"acoes")))*INDEX(Inputs!$K$5:$AJ$110,0,MATCH(AD$2,Inputs!$K$4:$AJ$4,0)))))</f>
        <v>29400</v>
      </c>
      <c r="AE62" s="513" t="e">
        <f>IF(ISNA(MATCH(AE$2,Inputs!$K$4:$AJ$4,0)),NA(),IF(SUMPRODUCT((Inputs!$A$5:$A$110=$B62)*ISNUMBER(INDEX(Inputs!$K$5:$AJ$110,0,MATCH(AE$2,Inputs!$K$4:$AJ$4,0))))+SUMPRODUCT((Inputs!$C$5:$C$110=$B62)*ISNUMBER(INDEX(Inputs!$K$5:$AJ$110,0,MATCH(AE$2,Inputs!$K$4:$AJ$4,0))))+SUMPRODUCT((Inputs!$E$5:$E$110=$B62)*ISNUMBER(INDEX(Inputs!$K$5:$AJ$110,0,MATCH(AE$2,Inputs!$K$4:$AJ$4,0))))=0,NA(),SUMPRODUCT((Inputs!$A$5:$A$110=$B62)*Inputs!$B$5:$B$110*(((Inputs!$G$5:$G$110="moeda")+(Inputs!$G$5:$G$110="acoes"))*Inputs!$B$1+((Inputs!$G$5:$G$110&lt;&gt;"moeda")*(Inputs!$G$5:$G$110&lt;&gt;"acoes")))*INDEX(Inputs!$K$5:$AJ$110,0,MATCH(AE$2,Inputs!$K$4:$AJ$4,0)))+SUMPRODUCT((Inputs!$C$5:$C$110=$B62)*Inputs!$D$5:$D$110*(((Inputs!$G$5:$G$110="moeda")+(Inputs!$G$5:$G$110="acoes"))*Inputs!$B$1+((Inputs!$G$5:$G$110&lt;&gt;"moeda")*(Inputs!$G$5:$G$110&lt;&gt;"acoes")))*INDEX(Inputs!$K$5:$AJ$110,0,MATCH(AE$2,Inputs!$K$4:$AJ$4,0)))+SUMPRODUCT((Inputs!$E$5:$E$110=$B62)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2" s="513" t="e">
        <f>IF(ISNA(MATCH(AF$2,Inputs!$K$4:$AJ$4,0)),NA(),IF(SUMPRODUCT((Inputs!$A$5:$A$110=$B62)*ISNUMBER(INDEX(Inputs!$K$5:$AJ$110,0,MATCH(AF$2,Inputs!$K$4:$AJ$4,0))))+SUMPRODUCT((Inputs!$C$5:$C$110=$B62)*ISNUMBER(INDEX(Inputs!$K$5:$AJ$110,0,MATCH(AF$2,Inputs!$K$4:$AJ$4,0))))+SUMPRODUCT((Inputs!$E$5:$E$110=$B62)*ISNUMBER(INDEX(Inputs!$K$5:$AJ$110,0,MATCH(AF$2,Inputs!$K$4:$AJ$4,0))))=0,NA(),SUMPRODUCT((Inputs!$A$5:$A$110=$B62)*Inputs!$B$5:$B$110*(((Inputs!$G$5:$G$110="moeda")+(Inputs!$G$5:$G$110="acoes"))*Inputs!$B$1+((Inputs!$G$5:$G$110&lt;&gt;"moeda")*(Inputs!$G$5:$G$110&lt;&gt;"acoes")))*INDEX(Inputs!$K$5:$AJ$110,0,MATCH(AF$2,Inputs!$K$4:$AJ$4,0)))+SUMPRODUCT((Inputs!$C$5:$C$110=$B62)*Inputs!$D$5:$D$110*(((Inputs!$G$5:$G$110="moeda")+(Inputs!$G$5:$G$110="acoes"))*Inputs!$B$1+((Inputs!$G$5:$G$110&lt;&gt;"moeda")*(Inputs!$G$5:$G$110&lt;&gt;"acoes")))*INDEX(Inputs!$K$5:$AJ$110,0,MATCH(AF$2,Inputs!$K$4:$AJ$4,0)))+SUMPRODUCT((Inputs!$E$5:$E$110=$B62)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2" s="514" t="e">
        <f>SUM(AC62:AF62)</f>
        <v>#N/A</v>
      </c>
      <c r="AH62" s="513">
        <f>IF(ISNA(MATCH(AH$2,Inputs!$K$4:$AJ$4,0)),NA(),IF(SUMPRODUCT((Inputs!$A$5:$A$110=$B62)*ISNUMBER(INDEX(Inputs!$K$5:$AJ$110,0,MATCH(AH$2,Inputs!$K$4:$AJ$4,0))))+SUMPRODUCT((Inputs!$C$5:$C$110=$B62)*ISNUMBER(INDEX(Inputs!$K$5:$AJ$110,0,MATCH(AH$2,Inputs!$K$4:$AJ$4,0))))+SUMPRODUCT((Inputs!$E$5:$E$110=$B62)*ISNUMBER(INDEX(Inputs!$K$5:$AJ$110,0,MATCH(AH$2,Inputs!$K$4:$AJ$4,0))))=0,NA(),SUMPRODUCT((Inputs!$A$5:$A$110=$B62)*Inputs!$B$5:$B$110*(((Inputs!$G$5:$G$110="moeda")+(Inputs!$G$5:$G$110="acoes"))*Inputs!$B$1+((Inputs!$G$5:$G$110&lt;&gt;"moeda")*(Inputs!$G$5:$G$110&lt;&gt;"acoes")))*INDEX(Inputs!$K$5:$AJ$110,0,MATCH(AH$2,Inputs!$K$4:$AJ$4,0)))+SUMPRODUCT((Inputs!$C$5:$C$110=$B62)*Inputs!$D$5:$D$110*(((Inputs!$G$5:$G$110="moeda")+(Inputs!$G$5:$G$110="acoes"))*Inputs!$B$1+((Inputs!$G$5:$G$110&lt;&gt;"moeda")*(Inputs!$G$5:$G$110&lt;&gt;"acoes")))*INDEX(Inputs!$K$5:$AJ$110,0,MATCH(AH$2,Inputs!$K$4:$AJ$4,0)))+SUMPRODUCT((Inputs!$E$5:$E$110=$B62)*Inputs!$F$5:$F$110*(((Inputs!$G$5:$G$110="moeda")+(Inputs!$G$5:$G$110="acoes"))*Inputs!$B$1+((Inputs!$G$5:$G$110&lt;&gt;"moeda")*(Inputs!$G$5:$G$110&lt;&gt;"acoes")))*INDEX(Inputs!$K$5:$AJ$110,0,MATCH(AH$2,Inputs!$K$4:$AJ$4,0)))))</f>
        <v>8300</v>
      </c>
      <c r="AI62" s="513">
        <f>IF(ISNA(MATCH(AI$2,Inputs!$K$4:$AJ$4,0)),NA(),IF(SUMPRODUCT((Inputs!$A$5:$A$110=$B62)*ISNUMBER(INDEX(Inputs!$K$5:$AJ$110,0,MATCH(AI$2,Inputs!$K$4:$AJ$4,0))))+SUMPRODUCT((Inputs!$C$5:$C$110=$B62)*ISNUMBER(INDEX(Inputs!$K$5:$AJ$110,0,MATCH(AI$2,Inputs!$K$4:$AJ$4,0))))+SUMPRODUCT((Inputs!$E$5:$E$110=$B62)*ISNUMBER(INDEX(Inputs!$K$5:$AJ$110,0,MATCH(AI$2,Inputs!$K$4:$AJ$4,0))))=0,NA(),SUMPRODUCT((Inputs!$A$5:$A$110=$B62)*Inputs!$B$5:$B$110*(((Inputs!$G$5:$G$110="moeda")+(Inputs!$G$5:$G$110="acoes"))*Inputs!$B$1+((Inputs!$G$5:$G$110&lt;&gt;"moeda")*(Inputs!$G$5:$G$110&lt;&gt;"acoes")))*INDEX(Inputs!$K$5:$AJ$110,0,MATCH(AI$2,Inputs!$K$4:$AJ$4,0)))+SUMPRODUCT((Inputs!$C$5:$C$110=$B62)*Inputs!$D$5:$D$110*(((Inputs!$G$5:$G$110="moeda")+(Inputs!$G$5:$G$110="acoes"))*Inputs!$B$1+((Inputs!$G$5:$G$110&lt;&gt;"moeda")*(Inputs!$G$5:$G$110&lt;&gt;"acoes")))*INDEX(Inputs!$K$5:$AJ$110,0,MATCH(AI$2,Inputs!$K$4:$AJ$4,0)))+SUMPRODUCT((Inputs!$E$5:$E$110=$B62)*Inputs!$F$5:$F$110*(((Inputs!$G$5:$G$110="moeda")+(Inputs!$G$5:$G$110="acoes"))*Inputs!$B$1+((Inputs!$G$5:$G$110&lt;&gt;"moeda")*(Inputs!$G$5:$G$110&lt;&gt;"acoes")))*INDEX(Inputs!$K$5:$AJ$110,0,MATCH(AI$2,Inputs!$K$4:$AJ$4,0)))))</f>
        <v>10500</v>
      </c>
      <c r="AJ62" s="513">
        <f>IF(ISNA(MATCH(AJ$2,Inputs!$K$4:$AJ$4,0)),NA(),IF(SUMPRODUCT((Inputs!$A$5:$A$110=$B62)*ISNUMBER(INDEX(Inputs!$K$5:$AJ$110,0,MATCH(AJ$2,Inputs!$K$4:$AJ$4,0))))+SUMPRODUCT((Inputs!$C$5:$C$110=$B62)*ISNUMBER(INDEX(Inputs!$K$5:$AJ$110,0,MATCH(AJ$2,Inputs!$K$4:$AJ$4,0))))+SUMPRODUCT((Inputs!$E$5:$E$110=$B62)*ISNUMBER(INDEX(Inputs!$K$5:$AJ$110,0,MATCH(AJ$2,Inputs!$K$4:$AJ$4,0))))=0,NA(),SUMPRODUCT((Inputs!$A$5:$A$110=$B62)*Inputs!$B$5:$B$110*(((Inputs!$G$5:$G$110="moeda")+(Inputs!$G$5:$G$110="acoes"))*Inputs!$B$1+((Inputs!$G$5:$G$110&lt;&gt;"moeda")*(Inputs!$G$5:$G$110&lt;&gt;"acoes")))*INDEX(Inputs!$K$5:$AJ$110,0,MATCH(AJ$2,Inputs!$K$4:$AJ$4,0)))+SUMPRODUCT((Inputs!$C$5:$C$110=$B62)*Inputs!$D$5:$D$110*(((Inputs!$G$5:$G$110="moeda")+(Inputs!$G$5:$G$110="acoes"))*Inputs!$B$1+((Inputs!$G$5:$G$110&lt;&gt;"moeda")*(Inputs!$G$5:$G$110&lt;&gt;"acoes")))*INDEX(Inputs!$K$5:$AJ$110,0,MATCH(AJ$2,Inputs!$K$4:$AJ$4,0)))+SUMPRODUCT((Inputs!$E$5:$E$110=$B62)*Inputs!$F$5:$F$110*(((Inputs!$G$5:$G$110="moeda")+(Inputs!$G$5:$G$110="acoes"))*Inputs!$B$1+((Inputs!$G$5:$G$110&lt;&gt;"moeda")*(Inputs!$G$5:$G$110&lt;&gt;"acoes")))*INDEX(Inputs!$K$5:$AJ$110,0,MATCH(AJ$2,Inputs!$K$4:$AJ$4,0)))))</f>
        <v>10300</v>
      </c>
      <c r="AK62" s="513">
        <f>IF(ISNA(MATCH(AK$2,Inputs!$K$4:$AJ$4,0)),NA(),IF(SUMPRODUCT((Inputs!$A$5:$A$110=$B62)*ISNUMBER(INDEX(Inputs!$K$5:$AJ$110,0,MATCH(AK$2,Inputs!$K$4:$AJ$4,0))))+SUMPRODUCT((Inputs!$C$5:$C$110=$B62)*ISNUMBER(INDEX(Inputs!$K$5:$AJ$110,0,MATCH(AK$2,Inputs!$K$4:$AJ$4,0))))+SUMPRODUCT((Inputs!$E$5:$E$110=$B62)*ISNUMBER(INDEX(Inputs!$K$5:$AJ$110,0,MATCH(AK$2,Inputs!$K$4:$AJ$4,0))))=0,NA(),SUMPRODUCT((Inputs!$A$5:$A$110=$B62)*Inputs!$B$5:$B$110*(((Inputs!$G$5:$G$110="moeda")+(Inputs!$G$5:$G$110="acoes"))*Inputs!$B$1+((Inputs!$G$5:$G$110&lt;&gt;"moeda")*(Inputs!$G$5:$G$110&lt;&gt;"acoes")))*INDEX(Inputs!$K$5:$AJ$110,0,MATCH(AK$2,Inputs!$K$4:$AJ$4,0)))+SUMPRODUCT((Inputs!$C$5:$C$110=$B62)*Inputs!$D$5:$D$110*(((Inputs!$G$5:$G$110="moeda")+(Inputs!$G$5:$G$110="acoes"))*Inputs!$B$1+((Inputs!$G$5:$G$110&lt;&gt;"moeda")*(Inputs!$G$5:$G$110&lt;&gt;"acoes")))*INDEX(Inputs!$K$5:$AJ$110,0,MATCH(AK$2,Inputs!$K$4:$AJ$4,0)))+SUMPRODUCT((Inputs!$E$5:$E$110=$B62)*Inputs!$F$5:$F$110*(((Inputs!$G$5:$G$110="moeda")+(Inputs!$G$5:$G$110="acoes"))*Inputs!$B$1+((Inputs!$G$5:$G$110&lt;&gt;"moeda")*(Inputs!$G$5:$G$110&lt;&gt;"acoes")))*INDEX(Inputs!$K$5:$AJ$110,0,MATCH(AK$2,Inputs!$K$4:$AJ$4,0)))))</f>
        <v>13900</v>
      </c>
      <c r="AL62" s="514">
        <f>SUM(AH62:AK62)</f>
        <v>43000</v>
      </c>
    </row>
    <row r="63">
      <c r="B63" s="265" t="n">
        <v>55</v>
      </c>
      <c r="C63" s="266" t="inlineStr">
        <is>
          <t>Walmart International - eCommerce (USD)</t>
        </is>
      </c>
      <c r="D63" s="513">
        <f>IF(ISNA(MATCH(D$2,Inputs!$K$4:$AJ$4,0)),NA(),IF(SUMPRODUCT((Inputs!$A$5:$A$110=$B63)*ISNUMBER(INDEX(Inputs!$K$5:$AJ$110,0,MATCH(D$2,Inputs!$K$4:$AJ$4,0))))+SUMPRODUCT((Inputs!$C$5:$C$110=$B63)*ISNUMBER(INDEX(Inputs!$K$5:$AJ$110,0,MATCH(D$2,Inputs!$K$4:$AJ$4,0))))+SUMPRODUCT((Inputs!$E$5:$E$110=$B63)*ISNUMBER(INDEX(Inputs!$K$5:$AJ$110,0,MATCH(D$2,Inputs!$K$4:$AJ$4,0))))=0,NA(),SUMPRODUCT((Inputs!$A$5:$A$110=$B63)*Inputs!$B$5:$B$110*(((Inputs!$G$5:$G$110="moeda")+(Inputs!$G$5:$G$110="acoes"))*Inputs!$B$1+((Inputs!$G$5:$G$110&lt;&gt;"moeda")*(Inputs!$G$5:$G$110&lt;&gt;"acoes")))*INDEX(Inputs!$K$5:$AJ$110,0,MATCH(D$2,Inputs!$K$4:$AJ$4,0)))+SUMPRODUCT((Inputs!$C$5:$C$110=$B63)*Inputs!$D$5:$D$110*(((Inputs!$G$5:$G$110="moeda")+(Inputs!$G$5:$G$110="acoes"))*Inputs!$B$1+((Inputs!$G$5:$G$110&lt;&gt;"moeda")*(Inputs!$G$5:$G$110&lt;&gt;"acoes")))*INDEX(Inputs!$K$5:$AJ$110,0,MATCH(D$2,Inputs!$K$4:$AJ$4,0)))+SUMPRODUCT((Inputs!$E$5:$E$110=$B63)*Inputs!$F$5:$F$110*(((Inputs!$G$5:$G$110="moeda")+(Inputs!$G$5:$G$110="acoes"))*Inputs!$B$1+((Inputs!$G$5:$G$110&lt;&gt;"moeda")*(Inputs!$G$5:$G$110&lt;&gt;"acoes")))*INDEX(Inputs!$K$5:$AJ$110,0,MATCH(D$2,Inputs!$K$4:$AJ$4,0)))))</f>
        <v>4300</v>
      </c>
      <c r="E63" s="513">
        <f>IF(ISNA(MATCH(E$2,Inputs!$K$4:$AJ$4,0)),NA(),IF(SUMPRODUCT((Inputs!$A$5:$A$110=$B63)*ISNUMBER(INDEX(Inputs!$K$5:$AJ$110,0,MATCH(E$2,Inputs!$K$4:$AJ$4,0))))+SUMPRODUCT((Inputs!$C$5:$C$110=$B63)*ISNUMBER(INDEX(Inputs!$K$5:$AJ$110,0,MATCH(E$2,Inputs!$K$4:$AJ$4,0))))+SUMPRODUCT((Inputs!$E$5:$E$110=$B63)*ISNUMBER(INDEX(Inputs!$K$5:$AJ$110,0,MATCH(E$2,Inputs!$K$4:$AJ$4,0))))=0,NA(),SUMPRODUCT((Inputs!$A$5:$A$110=$B63)*Inputs!$B$5:$B$110*(((Inputs!$G$5:$G$110="moeda")+(Inputs!$G$5:$G$110="acoes"))*Inputs!$B$1+((Inputs!$G$5:$G$110&lt;&gt;"moeda")*(Inputs!$G$5:$G$110&lt;&gt;"acoes")))*INDEX(Inputs!$K$5:$AJ$110,0,MATCH(E$2,Inputs!$K$4:$AJ$4,0)))+SUMPRODUCT((Inputs!$C$5:$C$110=$B63)*Inputs!$D$5:$D$110*(((Inputs!$G$5:$G$110="moeda")+(Inputs!$G$5:$G$110="acoes"))*Inputs!$B$1+((Inputs!$G$5:$G$110&lt;&gt;"moeda")*(Inputs!$G$5:$G$110&lt;&gt;"acoes")))*INDEX(Inputs!$K$5:$AJ$110,0,MATCH(E$2,Inputs!$K$4:$AJ$4,0)))+SUMPRODUCT((Inputs!$E$5:$E$110=$B63)*Inputs!$F$5:$F$110*(((Inputs!$G$5:$G$110="moeda")+(Inputs!$G$5:$G$110="acoes"))*Inputs!$B$1+((Inputs!$G$5:$G$110&lt;&gt;"moeda")*(Inputs!$G$5:$G$110&lt;&gt;"acoes")))*INDEX(Inputs!$K$5:$AJ$110,0,MATCH(E$2,Inputs!$K$4:$AJ$4,0)))))</f>
        <v>4100</v>
      </c>
      <c r="F63" s="513">
        <f>IF(ISNA(MATCH(F$2,Inputs!$K$4:$AJ$4,0)),NA(),IF(SUMPRODUCT((Inputs!$A$5:$A$110=$B63)*ISNUMBER(INDEX(Inputs!$K$5:$AJ$110,0,MATCH(F$2,Inputs!$K$4:$AJ$4,0))))+SUMPRODUCT((Inputs!$C$5:$C$110=$B63)*ISNUMBER(INDEX(Inputs!$K$5:$AJ$110,0,MATCH(F$2,Inputs!$K$4:$AJ$4,0))))+SUMPRODUCT((Inputs!$E$5:$E$110=$B63)*ISNUMBER(INDEX(Inputs!$K$5:$AJ$110,0,MATCH(F$2,Inputs!$K$4:$AJ$4,0))))=0,NA(),SUMPRODUCT((Inputs!$A$5:$A$110=$B63)*Inputs!$B$5:$B$110*(((Inputs!$G$5:$G$110="moeda")+(Inputs!$G$5:$G$110="acoes"))*Inputs!$B$1+((Inputs!$G$5:$G$110&lt;&gt;"moeda")*(Inputs!$G$5:$G$110&lt;&gt;"acoes")))*INDEX(Inputs!$K$5:$AJ$110,0,MATCH(F$2,Inputs!$K$4:$AJ$4,0)))+SUMPRODUCT((Inputs!$C$5:$C$110=$B63)*Inputs!$D$5:$D$110*(((Inputs!$G$5:$G$110="moeda")+(Inputs!$G$5:$G$110="acoes"))*Inputs!$B$1+((Inputs!$G$5:$G$110&lt;&gt;"moeda")*(Inputs!$G$5:$G$110&lt;&gt;"acoes")))*INDEX(Inputs!$K$5:$AJ$110,0,MATCH(F$2,Inputs!$K$4:$AJ$4,0)))+SUMPRODUCT((Inputs!$E$5:$E$110=$B63)*Inputs!$F$5:$F$110*(((Inputs!$G$5:$G$110="moeda")+(Inputs!$G$5:$G$110="acoes"))*Inputs!$B$1+((Inputs!$G$5:$G$110&lt;&gt;"moeda")*(Inputs!$G$5:$G$110&lt;&gt;"acoes")))*INDEX(Inputs!$K$5:$AJ$110,0,MATCH(F$2,Inputs!$K$4:$AJ$4,0)))))</f>
        <v>4300</v>
      </c>
      <c r="G63" s="513">
        <f>IF(ISNA(MATCH(G$2,Inputs!$K$4:$AJ$4,0)),NA(),IF(SUMPRODUCT((Inputs!$A$5:$A$110=$B63)*ISNUMBER(INDEX(Inputs!$K$5:$AJ$110,0,MATCH(G$2,Inputs!$K$4:$AJ$4,0))))+SUMPRODUCT((Inputs!$C$5:$C$110=$B63)*ISNUMBER(INDEX(Inputs!$K$5:$AJ$110,0,MATCH(G$2,Inputs!$K$4:$AJ$4,0))))+SUMPRODUCT((Inputs!$E$5:$E$110=$B63)*ISNUMBER(INDEX(Inputs!$K$5:$AJ$110,0,MATCH(G$2,Inputs!$K$4:$AJ$4,0))))=0,NA(),SUMPRODUCT((Inputs!$A$5:$A$110=$B63)*Inputs!$B$5:$B$110*(((Inputs!$G$5:$G$110="moeda")+(Inputs!$G$5:$G$110="acoes"))*Inputs!$B$1+((Inputs!$G$5:$G$110&lt;&gt;"moeda")*(Inputs!$G$5:$G$110&lt;&gt;"acoes")))*INDEX(Inputs!$K$5:$AJ$110,0,MATCH(G$2,Inputs!$K$4:$AJ$4,0)))+SUMPRODUCT((Inputs!$C$5:$C$110=$B63)*Inputs!$D$5:$D$110*(((Inputs!$G$5:$G$110="moeda")+(Inputs!$G$5:$G$110="acoes"))*Inputs!$B$1+((Inputs!$G$5:$G$110&lt;&gt;"moeda")*(Inputs!$G$5:$G$110&lt;&gt;"acoes")))*INDEX(Inputs!$K$5:$AJ$110,0,MATCH(G$2,Inputs!$K$4:$AJ$4,0)))+SUMPRODUCT((Inputs!$E$5:$E$110=$B63)*Inputs!$F$5:$F$110*(((Inputs!$G$5:$G$110="moeda")+(Inputs!$G$5:$G$110="acoes"))*Inputs!$B$1+((Inputs!$G$5:$G$110&lt;&gt;"moeda")*(Inputs!$G$5:$G$110&lt;&gt;"acoes")))*INDEX(Inputs!$K$5:$AJ$110,0,MATCH(G$2,Inputs!$K$4:$AJ$4,0)))))</f>
        <v>5800</v>
      </c>
      <c r="H63" s="514">
        <f>SUM(D63:G63)</f>
        <v>18500</v>
      </c>
      <c r="I63" s="513">
        <f>IF(ISNA(MATCH(I$2,Inputs!$K$4:$AJ$4,0)),NA(),IF(SUMPRODUCT((Inputs!$A$5:$A$110=$B63)*ISNUMBER(INDEX(Inputs!$K$5:$AJ$110,0,MATCH(I$2,Inputs!$K$4:$AJ$4,0))))+SUMPRODUCT((Inputs!$C$5:$C$110=$B63)*ISNUMBER(INDEX(Inputs!$K$5:$AJ$110,0,MATCH(I$2,Inputs!$K$4:$AJ$4,0))))+SUMPRODUCT((Inputs!$E$5:$E$110=$B63)*ISNUMBER(INDEX(Inputs!$K$5:$AJ$110,0,MATCH(I$2,Inputs!$K$4:$AJ$4,0))))=0,NA(),SUMPRODUCT((Inputs!$A$5:$A$110=$B63)*Inputs!$B$5:$B$110*(((Inputs!$G$5:$G$110="moeda")+(Inputs!$G$5:$G$110="acoes"))*Inputs!$B$1+((Inputs!$G$5:$G$110&lt;&gt;"moeda")*(Inputs!$G$5:$G$110&lt;&gt;"acoes")))*INDEX(Inputs!$K$5:$AJ$110,0,MATCH(I$2,Inputs!$K$4:$AJ$4,0)))+SUMPRODUCT((Inputs!$C$5:$C$110=$B63)*Inputs!$D$5:$D$110*(((Inputs!$G$5:$G$110="moeda")+(Inputs!$G$5:$G$110="acoes"))*Inputs!$B$1+((Inputs!$G$5:$G$110&lt;&gt;"moeda")*(Inputs!$G$5:$G$110&lt;&gt;"acoes")))*INDEX(Inputs!$K$5:$AJ$110,0,MATCH(I$2,Inputs!$K$4:$AJ$4,0)))+SUMPRODUCT((Inputs!$E$5:$E$110=$B63)*Inputs!$F$5:$F$110*(((Inputs!$G$5:$G$110="moeda")+(Inputs!$G$5:$G$110="acoes"))*Inputs!$B$1+((Inputs!$G$5:$G$110&lt;&gt;"moeda")*(Inputs!$G$5:$G$110&lt;&gt;"acoes")))*INDEX(Inputs!$K$5:$AJ$110,0,MATCH(I$2,Inputs!$K$4:$AJ$4,0)))))</f>
        <v>4300</v>
      </c>
      <c r="J63" s="513">
        <f>IF(ISNA(MATCH(J$2,Inputs!$K$4:$AJ$4,0)),NA(),IF(SUMPRODUCT((Inputs!$A$5:$A$110=$B63)*ISNUMBER(INDEX(Inputs!$K$5:$AJ$110,0,MATCH(J$2,Inputs!$K$4:$AJ$4,0))))+SUMPRODUCT((Inputs!$C$5:$C$110=$B63)*ISNUMBER(INDEX(Inputs!$K$5:$AJ$110,0,MATCH(J$2,Inputs!$K$4:$AJ$4,0))))+SUMPRODUCT((Inputs!$E$5:$E$110=$B63)*ISNUMBER(INDEX(Inputs!$K$5:$AJ$110,0,MATCH(J$2,Inputs!$K$4:$AJ$4,0))))=0,NA(),SUMPRODUCT((Inputs!$A$5:$A$110=$B63)*Inputs!$B$5:$B$110*(((Inputs!$G$5:$G$110="moeda")+(Inputs!$G$5:$G$110="acoes"))*Inputs!$B$1+((Inputs!$G$5:$G$110&lt;&gt;"moeda")*(Inputs!$G$5:$G$110&lt;&gt;"acoes")))*INDEX(Inputs!$K$5:$AJ$110,0,MATCH(J$2,Inputs!$K$4:$AJ$4,0)))+SUMPRODUCT((Inputs!$C$5:$C$110=$B63)*Inputs!$D$5:$D$110*(((Inputs!$G$5:$G$110="moeda")+(Inputs!$G$5:$G$110="acoes"))*Inputs!$B$1+((Inputs!$G$5:$G$110&lt;&gt;"moeda")*(Inputs!$G$5:$G$110&lt;&gt;"acoes")))*INDEX(Inputs!$K$5:$AJ$110,0,MATCH(J$2,Inputs!$K$4:$AJ$4,0)))+SUMPRODUCT((Inputs!$E$5:$E$110=$B63)*Inputs!$F$5:$F$110*(((Inputs!$G$5:$G$110="moeda")+(Inputs!$G$5:$G$110="acoes"))*Inputs!$B$1+((Inputs!$G$5:$G$110&lt;&gt;"moeda")*(Inputs!$G$5:$G$110&lt;&gt;"acoes")))*INDEX(Inputs!$K$5:$AJ$110,0,MATCH(J$2,Inputs!$K$4:$AJ$4,0)))))</f>
        <v>4600</v>
      </c>
      <c r="K63" s="513">
        <f>IF(ISNA(MATCH(K$2,Inputs!$K$4:$AJ$4,0)),NA(),IF(SUMPRODUCT((Inputs!$A$5:$A$110=$B63)*ISNUMBER(INDEX(Inputs!$K$5:$AJ$110,0,MATCH(K$2,Inputs!$K$4:$AJ$4,0))))+SUMPRODUCT((Inputs!$C$5:$C$110=$B63)*ISNUMBER(INDEX(Inputs!$K$5:$AJ$110,0,MATCH(K$2,Inputs!$K$4:$AJ$4,0))))+SUMPRODUCT((Inputs!$E$5:$E$110=$B63)*ISNUMBER(INDEX(Inputs!$K$5:$AJ$110,0,MATCH(K$2,Inputs!$K$4:$AJ$4,0))))=0,NA(),SUMPRODUCT((Inputs!$A$5:$A$110=$B63)*Inputs!$B$5:$B$110*(((Inputs!$G$5:$G$110="moeda")+(Inputs!$G$5:$G$110="acoes"))*Inputs!$B$1+((Inputs!$G$5:$G$110&lt;&gt;"moeda")*(Inputs!$G$5:$G$110&lt;&gt;"acoes")))*INDEX(Inputs!$K$5:$AJ$110,0,MATCH(K$2,Inputs!$K$4:$AJ$4,0)))+SUMPRODUCT((Inputs!$C$5:$C$110=$B63)*Inputs!$D$5:$D$110*(((Inputs!$G$5:$G$110="moeda")+(Inputs!$G$5:$G$110="acoes"))*Inputs!$B$1+((Inputs!$G$5:$G$110&lt;&gt;"moeda")*(Inputs!$G$5:$G$110&lt;&gt;"acoes")))*INDEX(Inputs!$K$5:$AJ$110,0,MATCH(K$2,Inputs!$K$4:$AJ$4,0)))+SUMPRODUCT((Inputs!$E$5:$E$110=$B63)*Inputs!$F$5:$F$110*(((Inputs!$G$5:$G$110="moeda")+(Inputs!$G$5:$G$110="acoes"))*Inputs!$B$1+((Inputs!$G$5:$G$110&lt;&gt;"moeda")*(Inputs!$G$5:$G$110&lt;&gt;"acoes")))*INDEX(Inputs!$K$5:$AJ$110,0,MATCH(K$2,Inputs!$K$4:$AJ$4,0)))))</f>
        <v>5900</v>
      </c>
      <c r="L63" s="513">
        <f>IF(ISNA(MATCH(L$2,Inputs!$K$4:$AJ$4,0)),NA(),IF(SUMPRODUCT((Inputs!$A$5:$A$110=$B63)*ISNUMBER(INDEX(Inputs!$K$5:$AJ$110,0,MATCH(L$2,Inputs!$K$4:$AJ$4,0))))+SUMPRODUCT((Inputs!$C$5:$C$110=$B63)*ISNUMBER(INDEX(Inputs!$K$5:$AJ$110,0,MATCH(L$2,Inputs!$K$4:$AJ$4,0))))+SUMPRODUCT((Inputs!$E$5:$E$110=$B63)*ISNUMBER(INDEX(Inputs!$K$5:$AJ$110,0,MATCH(L$2,Inputs!$K$4:$AJ$4,0))))=0,NA(),SUMPRODUCT((Inputs!$A$5:$A$110=$B63)*Inputs!$B$5:$B$110*(((Inputs!$G$5:$G$110="moeda")+(Inputs!$G$5:$G$110="acoes"))*Inputs!$B$1+((Inputs!$G$5:$G$110&lt;&gt;"moeda")*(Inputs!$G$5:$G$110&lt;&gt;"acoes")))*INDEX(Inputs!$K$5:$AJ$110,0,MATCH(L$2,Inputs!$K$4:$AJ$4,0)))+SUMPRODUCT((Inputs!$C$5:$C$110=$B63)*Inputs!$D$5:$D$110*(((Inputs!$G$5:$G$110="moeda")+(Inputs!$G$5:$G$110="acoes"))*Inputs!$B$1+((Inputs!$G$5:$G$110&lt;&gt;"moeda")*(Inputs!$G$5:$G$110&lt;&gt;"acoes")))*INDEX(Inputs!$K$5:$AJ$110,0,MATCH(L$2,Inputs!$K$4:$AJ$4,0)))+SUMPRODUCT((Inputs!$E$5:$E$110=$B63)*Inputs!$F$5:$F$110*(((Inputs!$G$5:$G$110="moeda")+(Inputs!$G$5:$G$110="acoes"))*Inputs!$B$1+((Inputs!$G$5:$G$110&lt;&gt;"moeda")*(Inputs!$G$5:$G$110&lt;&gt;"acoes")))*INDEX(Inputs!$K$5:$AJ$110,0,MATCH(L$2,Inputs!$K$4:$AJ$4,0)))))</f>
        <v>5500</v>
      </c>
      <c r="M63" s="514">
        <f>SUM(I63:L63)</f>
        <v>20300</v>
      </c>
      <c r="N63" s="513">
        <f>IF(ISNA(MATCH(N$2,Inputs!$K$4:$AJ$4,0)),NA(),IF(SUMPRODUCT((Inputs!$A$5:$A$110=$B63)*ISNUMBER(INDEX(Inputs!$K$5:$AJ$110,0,MATCH(N$2,Inputs!$K$4:$AJ$4,0))))+SUMPRODUCT((Inputs!$C$5:$C$110=$B63)*ISNUMBER(INDEX(Inputs!$K$5:$AJ$110,0,MATCH(N$2,Inputs!$K$4:$AJ$4,0))))+SUMPRODUCT((Inputs!$E$5:$E$110=$B63)*ISNUMBER(INDEX(Inputs!$K$5:$AJ$110,0,MATCH(N$2,Inputs!$K$4:$AJ$4,0))))=0,NA(),SUMPRODUCT((Inputs!$A$5:$A$110=$B63)*Inputs!$B$5:$B$110*(((Inputs!$G$5:$G$110="moeda")+(Inputs!$G$5:$G$110="acoes"))*Inputs!$B$1+((Inputs!$G$5:$G$110&lt;&gt;"moeda")*(Inputs!$G$5:$G$110&lt;&gt;"acoes")))*INDEX(Inputs!$K$5:$AJ$110,0,MATCH(N$2,Inputs!$K$4:$AJ$4,0)))+SUMPRODUCT((Inputs!$C$5:$C$110=$B63)*Inputs!$D$5:$D$110*(((Inputs!$G$5:$G$110="moeda")+(Inputs!$G$5:$G$110="acoes"))*Inputs!$B$1+((Inputs!$G$5:$G$110&lt;&gt;"moeda")*(Inputs!$G$5:$G$110&lt;&gt;"acoes")))*INDEX(Inputs!$K$5:$AJ$110,0,MATCH(N$2,Inputs!$K$4:$AJ$4,0)))+SUMPRODUCT((Inputs!$E$5:$E$110=$B63)*Inputs!$F$5:$F$110*(((Inputs!$G$5:$G$110="moeda")+(Inputs!$G$5:$G$110="acoes"))*Inputs!$B$1+((Inputs!$G$5:$G$110&lt;&gt;"moeda")*(Inputs!$G$5:$G$110&lt;&gt;"acoes")))*INDEX(Inputs!$K$5:$AJ$110,0,MATCH(N$2,Inputs!$K$4:$AJ$4,0)))))</f>
        <v>5400</v>
      </c>
      <c r="O63" s="513">
        <f>IF(ISNA(MATCH(O$2,Inputs!$K$4:$AJ$4,0)),NA(),IF(SUMPRODUCT((Inputs!$A$5:$A$110=$B63)*ISNUMBER(INDEX(Inputs!$K$5:$AJ$110,0,MATCH(O$2,Inputs!$K$4:$AJ$4,0))))+SUMPRODUCT((Inputs!$C$5:$C$110=$B63)*ISNUMBER(INDEX(Inputs!$K$5:$AJ$110,0,MATCH(O$2,Inputs!$K$4:$AJ$4,0))))+SUMPRODUCT((Inputs!$E$5:$E$110=$B63)*ISNUMBER(INDEX(Inputs!$K$5:$AJ$110,0,MATCH(O$2,Inputs!$K$4:$AJ$4,0))))=0,NA(),SUMPRODUCT((Inputs!$A$5:$A$110=$B63)*Inputs!$B$5:$B$110*(((Inputs!$G$5:$G$110="moeda")+(Inputs!$G$5:$G$110="acoes"))*Inputs!$B$1+((Inputs!$G$5:$G$110&lt;&gt;"moeda")*(Inputs!$G$5:$G$110&lt;&gt;"acoes")))*INDEX(Inputs!$K$5:$AJ$110,0,MATCH(O$2,Inputs!$K$4:$AJ$4,0)))+SUMPRODUCT((Inputs!$C$5:$C$110=$B63)*Inputs!$D$5:$D$110*(((Inputs!$G$5:$G$110="moeda")+(Inputs!$G$5:$G$110="acoes"))*Inputs!$B$1+((Inputs!$G$5:$G$110&lt;&gt;"moeda")*(Inputs!$G$5:$G$110&lt;&gt;"acoes")))*INDEX(Inputs!$K$5:$AJ$110,0,MATCH(O$2,Inputs!$K$4:$AJ$4,0)))+SUMPRODUCT((Inputs!$E$5:$E$110=$B63)*Inputs!$F$5:$F$110*(((Inputs!$G$5:$G$110="moeda")+(Inputs!$G$5:$G$110="acoes"))*Inputs!$B$1+((Inputs!$G$5:$G$110&lt;&gt;"moeda")*(Inputs!$G$5:$G$110&lt;&gt;"acoes")))*INDEX(Inputs!$K$5:$AJ$110,0,MATCH(O$2,Inputs!$K$4:$AJ$4,0)))))</f>
        <v>5800</v>
      </c>
      <c r="P63" s="513">
        <f>IF(ISNA(MATCH(P$2,Inputs!$K$4:$AJ$4,0)),NA(),IF(SUMPRODUCT((Inputs!$A$5:$A$110=$B63)*ISNUMBER(INDEX(Inputs!$K$5:$AJ$110,0,MATCH(P$2,Inputs!$K$4:$AJ$4,0))))+SUMPRODUCT((Inputs!$C$5:$C$110=$B63)*ISNUMBER(INDEX(Inputs!$K$5:$AJ$110,0,MATCH(P$2,Inputs!$K$4:$AJ$4,0))))+SUMPRODUCT((Inputs!$E$5:$E$110=$B63)*ISNUMBER(INDEX(Inputs!$K$5:$AJ$110,0,MATCH(P$2,Inputs!$K$4:$AJ$4,0))))=0,NA(),SUMPRODUCT((Inputs!$A$5:$A$110=$B63)*Inputs!$B$5:$B$110*(((Inputs!$G$5:$G$110="moeda")+(Inputs!$G$5:$G$110="acoes"))*Inputs!$B$1+((Inputs!$G$5:$G$110&lt;&gt;"moeda")*(Inputs!$G$5:$G$110&lt;&gt;"acoes")))*INDEX(Inputs!$K$5:$AJ$110,0,MATCH(P$2,Inputs!$K$4:$AJ$4,0)))+SUMPRODUCT((Inputs!$C$5:$C$110=$B63)*Inputs!$D$5:$D$110*(((Inputs!$G$5:$G$110="moeda")+(Inputs!$G$5:$G$110="acoes"))*Inputs!$B$1+((Inputs!$G$5:$G$110&lt;&gt;"moeda")*(Inputs!$G$5:$G$110&lt;&gt;"acoes")))*INDEX(Inputs!$K$5:$AJ$110,0,MATCH(P$2,Inputs!$K$4:$AJ$4,0)))+SUMPRODUCT((Inputs!$E$5:$E$110=$B63)*Inputs!$F$5:$F$110*(((Inputs!$G$5:$G$110="moeda")+(Inputs!$G$5:$G$110="acoes"))*Inputs!$B$1+((Inputs!$G$5:$G$110&lt;&gt;"moeda")*(Inputs!$G$5:$G$110&lt;&gt;"acoes")))*INDEX(Inputs!$K$5:$AJ$110,0,MATCH(P$2,Inputs!$K$4:$AJ$4,0)))))</f>
        <v>5700</v>
      </c>
      <c r="Q63" s="513">
        <f>IF(ISNA(MATCH(Q$2,Inputs!$K$4:$AJ$4,0)),NA(),IF(SUMPRODUCT((Inputs!$A$5:$A$110=$B63)*ISNUMBER(INDEX(Inputs!$K$5:$AJ$110,0,MATCH(Q$2,Inputs!$K$4:$AJ$4,0))))+SUMPRODUCT((Inputs!$C$5:$C$110=$B63)*ISNUMBER(INDEX(Inputs!$K$5:$AJ$110,0,MATCH(Q$2,Inputs!$K$4:$AJ$4,0))))+SUMPRODUCT((Inputs!$E$5:$E$110=$B63)*ISNUMBER(INDEX(Inputs!$K$5:$AJ$110,0,MATCH(Q$2,Inputs!$K$4:$AJ$4,0))))=0,NA(),SUMPRODUCT((Inputs!$A$5:$A$110=$B63)*Inputs!$B$5:$B$110*(((Inputs!$G$5:$G$110="moeda")+(Inputs!$G$5:$G$110="acoes"))*Inputs!$B$1+((Inputs!$G$5:$G$110&lt;&gt;"moeda")*(Inputs!$G$5:$G$110&lt;&gt;"acoes")))*INDEX(Inputs!$K$5:$AJ$110,0,MATCH(Q$2,Inputs!$K$4:$AJ$4,0)))+SUMPRODUCT((Inputs!$C$5:$C$110=$B63)*Inputs!$D$5:$D$110*(((Inputs!$G$5:$G$110="moeda")+(Inputs!$G$5:$G$110="acoes"))*Inputs!$B$1+((Inputs!$G$5:$G$110&lt;&gt;"moeda")*(Inputs!$G$5:$G$110&lt;&gt;"acoes")))*INDEX(Inputs!$K$5:$AJ$110,0,MATCH(Q$2,Inputs!$K$4:$AJ$4,0)))+SUMPRODUCT((Inputs!$E$5:$E$110=$B63)*Inputs!$F$5:$F$110*(((Inputs!$G$5:$G$110="moeda")+(Inputs!$G$5:$G$110="acoes"))*Inputs!$B$1+((Inputs!$G$5:$G$110&lt;&gt;"moeda")*(Inputs!$G$5:$G$110&lt;&gt;"acoes")))*INDEX(Inputs!$K$5:$AJ$110,0,MATCH(Q$2,Inputs!$K$4:$AJ$4,0)))))</f>
        <v>8000</v>
      </c>
      <c r="R63" s="514">
        <f>SUM(N63:Q63)</f>
        <v>24900</v>
      </c>
      <c r="S63" s="513">
        <f>IF(ISNA(MATCH(S$2,Inputs!$K$4:$AJ$4,0)),NA(),IF(SUMPRODUCT((Inputs!$A$5:$A$110=$B63)*ISNUMBER(INDEX(Inputs!$K$5:$AJ$110,0,MATCH(S$2,Inputs!$K$4:$AJ$4,0))))+SUMPRODUCT((Inputs!$C$5:$C$110=$B63)*ISNUMBER(INDEX(Inputs!$K$5:$AJ$110,0,MATCH(S$2,Inputs!$K$4:$AJ$4,0))))+SUMPRODUCT((Inputs!$E$5:$E$110=$B63)*ISNUMBER(INDEX(Inputs!$K$5:$AJ$110,0,MATCH(S$2,Inputs!$K$4:$AJ$4,0))))=0,NA(),SUMPRODUCT((Inputs!$A$5:$A$110=$B63)*Inputs!$B$5:$B$110*(((Inputs!$G$5:$G$110="moeda")+(Inputs!$G$5:$G$110="acoes"))*Inputs!$B$1+((Inputs!$G$5:$G$110&lt;&gt;"moeda")*(Inputs!$G$5:$G$110&lt;&gt;"acoes")))*INDEX(Inputs!$K$5:$AJ$110,0,MATCH(S$2,Inputs!$K$4:$AJ$4,0)))+SUMPRODUCT((Inputs!$C$5:$C$110=$B63)*Inputs!$D$5:$D$110*(((Inputs!$G$5:$G$110="moeda")+(Inputs!$G$5:$G$110="acoes"))*Inputs!$B$1+((Inputs!$G$5:$G$110&lt;&gt;"moeda")*(Inputs!$G$5:$G$110&lt;&gt;"acoes")))*INDEX(Inputs!$K$5:$AJ$110,0,MATCH(S$2,Inputs!$K$4:$AJ$4,0)))+SUMPRODUCT((Inputs!$E$5:$E$110=$B63)*Inputs!$F$5:$F$110*(((Inputs!$G$5:$G$110="moeda")+(Inputs!$G$5:$G$110="acoes"))*Inputs!$B$1+((Inputs!$G$5:$G$110&lt;&gt;"moeda")*(Inputs!$G$5:$G$110&lt;&gt;"acoes")))*INDEX(Inputs!$K$5:$AJ$110,0,MATCH(S$2,Inputs!$K$4:$AJ$4,0)))))</f>
        <v>6400</v>
      </c>
      <c r="T63" s="513">
        <f>IF(ISNA(MATCH(T$2,Inputs!$K$4:$AJ$4,0)),NA(),IF(SUMPRODUCT((Inputs!$A$5:$A$110=$B63)*ISNUMBER(INDEX(Inputs!$K$5:$AJ$110,0,MATCH(T$2,Inputs!$K$4:$AJ$4,0))))+SUMPRODUCT((Inputs!$C$5:$C$110=$B63)*ISNUMBER(INDEX(Inputs!$K$5:$AJ$110,0,MATCH(T$2,Inputs!$K$4:$AJ$4,0))))+SUMPRODUCT((Inputs!$E$5:$E$110=$B63)*ISNUMBER(INDEX(Inputs!$K$5:$AJ$110,0,MATCH(T$2,Inputs!$K$4:$AJ$4,0))))=0,NA(),SUMPRODUCT((Inputs!$A$5:$A$110=$B63)*Inputs!$B$5:$B$110*(((Inputs!$G$5:$G$110="moeda")+(Inputs!$G$5:$G$110="acoes"))*Inputs!$B$1+((Inputs!$G$5:$G$110&lt;&gt;"moeda")*(Inputs!$G$5:$G$110&lt;&gt;"acoes")))*INDEX(Inputs!$K$5:$AJ$110,0,MATCH(T$2,Inputs!$K$4:$AJ$4,0)))+SUMPRODUCT((Inputs!$C$5:$C$110=$B63)*Inputs!$D$5:$D$110*(((Inputs!$G$5:$G$110="moeda")+(Inputs!$G$5:$G$110="acoes"))*Inputs!$B$1+((Inputs!$G$5:$G$110&lt;&gt;"moeda")*(Inputs!$G$5:$G$110&lt;&gt;"acoes")))*INDEX(Inputs!$K$5:$AJ$110,0,MATCH(T$2,Inputs!$K$4:$AJ$4,0)))+SUMPRODUCT((Inputs!$E$5:$E$110=$B63)*Inputs!$F$5:$F$110*(((Inputs!$G$5:$G$110="moeda")+(Inputs!$G$5:$G$110="acoes"))*Inputs!$B$1+((Inputs!$G$5:$G$110&lt;&gt;"moeda")*(Inputs!$G$5:$G$110&lt;&gt;"acoes")))*INDEX(Inputs!$K$5:$AJ$110,0,MATCH(T$2,Inputs!$K$4:$AJ$4,0)))))</f>
        <v>6800</v>
      </c>
      <c r="U63" s="513">
        <f>IF(ISNA(MATCH(U$2,Inputs!$K$4:$AJ$4,0)),NA(),IF(SUMPRODUCT((Inputs!$A$5:$A$110=$B63)*ISNUMBER(INDEX(Inputs!$K$5:$AJ$110,0,MATCH(U$2,Inputs!$K$4:$AJ$4,0))))+SUMPRODUCT((Inputs!$C$5:$C$110=$B63)*ISNUMBER(INDEX(Inputs!$K$5:$AJ$110,0,MATCH(U$2,Inputs!$K$4:$AJ$4,0))))+SUMPRODUCT((Inputs!$E$5:$E$110=$B63)*ISNUMBER(INDEX(Inputs!$K$5:$AJ$110,0,MATCH(U$2,Inputs!$K$4:$AJ$4,0))))=0,NA(),SUMPRODUCT((Inputs!$A$5:$A$110=$B63)*Inputs!$B$5:$B$110*(((Inputs!$G$5:$G$110="moeda")+(Inputs!$G$5:$G$110="acoes"))*Inputs!$B$1+((Inputs!$G$5:$G$110&lt;&gt;"moeda")*(Inputs!$G$5:$G$110&lt;&gt;"acoes")))*INDEX(Inputs!$K$5:$AJ$110,0,MATCH(U$2,Inputs!$K$4:$AJ$4,0)))+SUMPRODUCT((Inputs!$C$5:$C$110=$B63)*Inputs!$D$5:$D$110*(((Inputs!$G$5:$G$110="moeda")+(Inputs!$G$5:$G$110="acoes"))*Inputs!$B$1+((Inputs!$G$5:$G$110&lt;&gt;"moeda")*(Inputs!$G$5:$G$110&lt;&gt;"acoes")))*INDEX(Inputs!$K$5:$AJ$110,0,MATCH(U$2,Inputs!$K$4:$AJ$4,0)))+SUMPRODUCT((Inputs!$E$5:$E$110=$B63)*Inputs!$F$5:$F$110*(((Inputs!$G$5:$G$110="moeda")+(Inputs!$G$5:$G$110="acoes"))*Inputs!$B$1+((Inputs!$G$5:$G$110&lt;&gt;"moeda")*(Inputs!$G$5:$G$110&lt;&gt;"acoes")))*INDEX(Inputs!$K$5:$AJ$110,0,MATCH(U$2,Inputs!$K$4:$AJ$4,0)))))</f>
        <v>8100</v>
      </c>
      <c r="V63" s="513">
        <f>IF(ISNA(MATCH(V$2,Inputs!$K$4:$AJ$4,0)),NA(),IF(SUMPRODUCT((Inputs!$A$5:$A$110=$B63)*ISNUMBER(INDEX(Inputs!$K$5:$AJ$110,0,MATCH(V$2,Inputs!$K$4:$AJ$4,0))))+SUMPRODUCT((Inputs!$C$5:$C$110=$B63)*ISNUMBER(INDEX(Inputs!$K$5:$AJ$110,0,MATCH(V$2,Inputs!$K$4:$AJ$4,0))))+SUMPRODUCT((Inputs!$E$5:$E$110=$B63)*ISNUMBER(INDEX(Inputs!$K$5:$AJ$110,0,MATCH(V$2,Inputs!$K$4:$AJ$4,0))))=0,NA(),SUMPRODUCT((Inputs!$A$5:$A$110=$B63)*Inputs!$B$5:$B$110*(((Inputs!$G$5:$G$110="moeda")+(Inputs!$G$5:$G$110="acoes"))*Inputs!$B$1+((Inputs!$G$5:$G$110&lt;&gt;"moeda")*(Inputs!$G$5:$G$110&lt;&gt;"acoes")))*INDEX(Inputs!$K$5:$AJ$110,0,MATCH(V$2,Inputs!$K$4:$AJ$4,0)))+SUMPRODUCT((Inputs!$C$5:$C$110=$B63)*Inputs!$D$5:$D$110*(((Inputs!$G$5:$G$110="moeda")+(Inputs!$G$5:$G$110="acoes"))*Inputs!$B$1+((Inputs!$G$5:$G$110&lt;&gt;"moeda")*(Inputs!$G$5:$G$110&lt;&gt;"acoes")))*INDEX(Inputs!$K$5:$AJ$110,0,MATCH(V$2,Inputs!$K$4:$AJ$4,0)))+SUMPRODUCT((Inputs!$E$5:$E$110=$B63)*Inputs!$F$5:$F$110*(((Inputs!$G$5:$G$110="moeda")+(Inputs!$G$5:$G$110="acoes"))*Inputs!$B$1+((Inputs!$G$5:$G$110&lt;&gt;"moeda")*(Inputs!$G$5:$G$110&lt;&gt;"acoes")))*INDEX(Inputs!$K$5:$AJ$110,0,MATCH(V$2,Inputs!$K$4:$AJ$4,0)))))</f>
        <v>8200</v>
      </c>
      <c r="W63" s="514">
        <f>SUM(S63:V63)</f>
        <v>29500</v>
      </c>
      <c r="X63" s="513">
        <f>IF(ISNA(MATCH(X$2,Inputs!$K$4:$AJ$4,0)),NA(),IF(SUMPRODUCT((Inputs!$A$5:$A$110=$B63)*ISNUMBER(INDEX(Inputs!$K$5:$AJ$110,0,MATCH(X$2,Inputs!$K$4:$AJ$4,0))))+SUMPRODUCT((Inputs!$C$5:$C$110=$B63)*ISNUMBER(INDEX(Inputs!$K$5:$AJ$110,0,MATCH(X$2,Inputs!$K$4:$AJ$4,0))))+SUMPRODUCT((Inputs!$E$5:$E$110=$B63)*ISNUMBER(INDEX(Inputs!$K$5:$AJ$110,0,MATCH(X$2,Inputs!$K$4:$AJ$4,0))))=0,NA(),SUMPRODUCT((Inputs!$A$5:$A$110=$B63)*Inputs!$B$5:$B$110*(((Inputs!$G$5:$G$110="moeda")+(Inputs!$G$5:$G$110="acoes"))*Inputs!$B$1+((Inputs!$G$5:$G$110&lt;&gt;"moeda")*(Inputs!$G$5:$G$110&lt;&gt;"acoes")))*INDEX(Inputs!$K$5:$AJ$110,0,MATCH(X$2,Inputs!$K$4:$AJ$4,0)))+SUMPRODUCT((Inputs!$C$5:$C$110=$B63)*Inputs!$D$5:$D$110*(((Inputs!$G$5:$G$110="moeda")+(Inputs!$G$5:$G$110="acoes"))*Inputs!$B$1+((Inputs!$G$5:$G$110&lt;&gt;"moeda")*(Inputs!$G$5:$G$110&lt;&gt;"acoes")))*INDEX(Inputs!$K$5:$AJ$110,0,MATCH(X$2,Inputs!$K$4:$AJ$4,0)))+SUMPRODUCT((Inputs!$E$5:$E$110=$B63)*Inputs!$F$5:$F$110*(((Inputs!$G$5:$G$110="moeda")+(Inputs!$G$5:$G$110="acoes"))*Inputs!$B$1+((Inputs!$G$5:$G$110&lt;&gt;"moeda")*(Inputs!$G$5:$G$110&lt;&gt;"acoes")))*INDEX(Inputs!$K$5:$AJ$110,0,MATCH(X$2,Inputs!$K$4:$AJ$4,0)))))</f>
        <v>7700</v>
      </c>
      <c r="Y63" s="513">
        <f>IF(ISNA(MATCH(Y$2,Inputs!$K$4:$AJ$4,0)),NA(),IF(SUMPRODUCT((Inputs!$A$5:$A$110=$B63)*ISNUMBER(INDEX(Inputs!$K$5:$AJ$110,0,MATCH(Y$2,Inputs!$K$4:$AJ$4,0))))+SUMPRODUCT((Inputs!$C$5:$C$110=$B63)*ISNUMBER(INDEX(Inputs!$K$5:$AJ$110,0,MATCH(Y$2,Inputs!$K$4:$AJ$4,0))))+SUMPRODUCT((Inputs!$E$5:$E$110=$B63)*ISNUMBER(INDEX(Inputs!$K$5:$AJ$110,0,MATCH(Y$2,Inputs!$K$4:$AJ$4,0))))=0,NA(),SUMPRODUCT((Inputs!$A$5:$A$110=$B63)*Inputs!$B$5:$B$110*(((Inputs!$G$5:$G$110="moeda")+(Inputs!$G$5:$G$110="acoes"))*Inputs!$B$1+((Inputs!$G$5:$G$110&lt;&gt;"moeda")*(Inputs!$G$5:$G$110&lt;&gt;"acoes")))*INDEX(Inputs!$K$5:$AJ$110,0,MATCH(Y$2,Inputs!$K$4:$AJ$4,0)))+SUMPRODUCT((Inputs!$C$5:$C$110=$B63)*Inputs!$D$5:$D$110*(((Inputs!$G$5:$G$110="moeda")+(Inputs!$G$5:$G$110="acoes"))*Inputs!$B$1+((Inputs!$G$5:$G$110&lt;&gt;"moeda")*(Inputs!$G$5:$G$110&lt;&gt;"acoes")))*INDEX(Inputs!$K$5:$AJ$110,0,MATCH(Y$2,Inputs!$K$4:$AJ$4,0)))+SUMPRODUCT((Inputs!$E$5:$E$110=$B63)*Inputs!$F$5:$F$110*(((Inputs!$G$5:$G$110="moeda")+(Inputs!$G$5:$G$110="acoes"))*Inputs!$B$1+((Inputs!$G$5:$G$110&lt;&gt;"moeda")*(Inputs!$G$5:$G$110&lt;&gt;"acoes")))*INDEX(Inputs!$K$5:$AJ$110,0,MATCH(Y$2,Inputs!$K$4:$AJ$4,0)))))</f>
        <v>8300</v>
      </c>
      <c r="Z63" s="513">
        <f>IF(ISNA(MATCH(Z$2,Inputs!$K$4:$AJ$4,0)),NA(),IF(SUMPRODUCT((Inputs!$A$5:$A$110=$B63)*ISNUMBER(INDEX(Inputs!$K$5:$AJ$110,0,MATCH(Z$2,Inputs!$K$4:$AJ$4,0))))+SUMPRODUCT((Inputs!$C$5:$C$110=$B63)*ISNUMBER(INDEX(Inputs!$K$5:$AJ$110,0,MATCH(Z$2,Inputs!$K$4:$AJ$4,0))))+SUMPRODUCT((Inputs!$E$5:$E$110=$B63)*ISNUMBER(INDEX(Inputs!$K$5:$AJ$110,0,MATCH(Z$2,Inputs!$K$4:$AJ$4,0))))=0,NA(),SUMPRODUCT((Inputs!$A$5:$A$110=$B63)*Inputs!$B$5:$B$110*(((Inputs!$G$5:$G$110="moeda")+(Inputs!$G$5:$G$110="acoes"))*Inputs!$B$1+((Inputs!$G$5:$G$110&lt;&gt;"moeda")*(Inputs!$G$5:$G$110&lt;&gt;"acoes")))*INDEX(Inputs!$K$5:$AJ$110,0,MATCH(Z$2,Inputs!$K$4:$AJ$4,0)))+SUMPRODUCT((Inputs!$C$5:$C$110=$B63)*Inputs!$D$5:$D$110*(((Inputs!$G$5:$G$110="moeda")+(Inputs!$G$5:$G$110="acoes"))*Inputs!$B$1+((Inputs!$G$5:$G$110&lt;&gt;"moeda")*(Inputs!$G$5:$G$110&lt;&gt;"acoes")))*INDEX(Inputs!$K$5:$AJ$110,0,MATCH(Z$2,Inputs!$K$4:$AJ$4,0)))+SUMPRODUCT((Inputs!$E$5:$E$110=$B63)*Inputs!$F$5:$F$110*(((Inputs!$G$5:$G$110="moeda")+(Inputs!$G$5:$G$110="acoes"))*Inputs!$B$1+((Inputs!$G$5:$G$110&lt;&gt;"moeda")*(Inputs!$G$5:$G$110&lt;&gt;"acoes")))*INDEX(Inputs!$K$5:$AJ$110,0,MATCH(Z$2,Inputs!$K$4:$AJ$4,0)))))</f>
        <v>10200</v>
      </c>
      <c r="AA63" s="513">
        <f>IF(ISNA(MATCH(AA$2,Inputs!$K$4:$AJ$4,0)),NA(),IF(SUMPRODUCT((Inputs!$A$5:$A$110=$B63)*ISNUMBER(INDEX(Inputs!$K$5:$AJ$110,0,MATCH(AA$2,Inputs!$K$4:$AJ$4,0))))+SUMPRODUCT((Inputs!$C$5:$C$110=$B63)*ISNUMBER(INDEX(Inputs!$K$5:$AJ$110,0,MATCH(AA$2,Inputs!$K$4:$AJ$4,0))))+SUMPRODUCT((Inputs!$E$5:$E$110=$B63)*ISNUMBER(INDEX(Inputs!$K$5:$AJ$110,0,MATCH(AA$2,Inputs!$K$4:$AJ$4,0))))=0,NA(),SUMPRODUCT((Inputs!$A$5:$A$110=$B63)*Inputs!$B$5:$B$110*(((Inputs!$G$5:$G$110="moeda")+(Inputs!$G$5:$G$110="acoes"))*Inputs!$B$1+((Inputs!$G$5:$G$110&lt;&gt;"moeda")*(Inputs!$G$5:$G$110&lt;&gt;"acoes")))*INDEX(Inputs!$K$5:$AJ$110,0,MATCH(AA$2,Inputs!$K$4:$AJ$4,0)))+SUMPRODUCT((Inputs!$C$5:$C$110=$B63)*Inputs!$D$5:$D$110*(((Inputs!$G$5:$G$110="moeda")+(Inputs!$G$5:$G$110="acoes"))*Inputs!$B$1+((Inputs!$G$5:$G$110&lt;&gt;"moeda")*(Inputs!$G$5:$G$110&lt;&gt;"acoes")))*INDEX(Inputs!$K$5:$AJ$110,0,MATCH(AA$2,Inputs!$K$4:$AJ$4,0)))+SUMPRODUCT((Inputs!$E$5:$E$110=$B63)*Inputs!$F$5:$F$110*(((Inputs!$G$5:$G$110="moeda")+(Inputs!$G$5:$G$110="acoes"))*Inputs!$B$1+((Inputs!$G$5:$G$110&lt;&gt;"moeda")*(Inputs!$G$5:$G$110&lt;&gt;"acoes")))*INDEX(Inputs!$K$5:$AJ$110,0,MATCH(AA$2,Inputs!$K$4:$AJ$4,0)))))</f>
        <v>9700</v>
      </c>
      <c r="AB63" s="514">
        <f>SUM(X63:AA63)</f>
        <v>35900</v>
      </c>
      <c r="AC63" s="513">
        <f>IF(ISNA(MATCH(AC$2,Inputs!$K$4:$AJ$4,0)),NA(),IF(SUMPRODUCT((Inputs!$A$5:$A$110=$B63)*ISNUMBER(INDEX(Inputs!$K$5:$AJ$110,0,MATCH(AC$2,Inputs!$K$4:$AJ$4,0))))+SUMPRODUCT((Inputs!$C$5:$C$110=$B63)*ISNUMBER(INDEX(Inputs!$K$5:$AJ$110,0,MATCH(AC$2,Inputs!$K$4:$AJ$4,0))))+SUMPRODUCT((Inputs!$E$5:$E$110=$B63)*ISNUMBER(INDEX(Inputs!$K$5:$AJ$110,0,MATCH(AC$2,Inputs!$K$4:$AJ$4,0))))=0,NA(),SUMPRODUCT((Inputs!$A$5:$A$110=$B63)*Inputs!$B$5:$B$110*(((Inputs!$G$5:$G$110="moeda")+(Inputs!$G$5:$G$110="acoes"))*Inputs!$B$1+((Inputs!$G$5:$G$110&lt;&gt;"moeda")*(Inputs!$G$5:$G$110&lt;&gt;"acoes")))*INDEX(Inputs!$K$5:$AJ$110,0,MATCH(AC$2,Inputs!$K$4:$AJ$4,0)))+SUMPRODUCT((Inputs!$C$5:$C$110=$B63)*Inputs!$D$5:$D$110*(((Inputs!$G$5:$G$110="moeda")+(Inputs!$G$5:$G$110="acoes"))*Inputs!$B$1+((Inputs!$G$5:$G$110&lt;&gt;"moeda")*(Inputs!$G$5:$G$110&lt;&gt;"acoes")))*INDEX(Inputs!$K$5:$AJ$110,0,MATCH(AC$2,Inputs!$K$4:$AJ$4,0)))+SUMPRODUCT((Inputs!$E$5:$E$110=$B63)*Inputs!$F$5:$F$110*(((Inputs!$G$5:$G$110="moeda")+(Inputs!$G$5:$G$110="acoes"))*Inputs!$B$1+((Inputs!$G$5:$G$110&lt;&gt;"moeda")*(Inputs!$G$5:$G$110&lt;&gt;"acoes")))*INDEX(Inputs!$K$5:$AJ$110,0,MATCH(AC$2,Inputs!$K$4:$AJ$4,0)))))</f>
        <v>9700</v>
      </c>
      <c r="AD63" s="513">
        <f>IF(ISNA(MATCH(AD$2,Inputs!$K$4:$AJ$4,0)),NA(),IF(SUMPRODUCT((Inputs!$A$5:$A$110=$B63)*ISNUMBER(INDEX(Inputs!$K$5:$AJ$110,0,MATCH(AD$2,Inputs!$K$4:$AJ$4,0))))+SUMPRODUCT((Inputs!$C$5:$C$110=$B63)*ISNUMBER(INDEX(Inputs!$K$5:$AJ$110,0,MATCH(AD$2,Inputs!$K$4:$AJ$4,0))))+SUMPRODUCT((Inputs!$E$5:$E$110=$B63)*ISNUMBER(INDEX(Inputs!$K$5:$AJ$110,0,MATCH(AD$2,Inputs!$K$4:$AJ$4,0))))=0,NA(),SUMPRODUCT((Inputs!$A$5:$A$110=$B63)*Inputs!$B$5:$B$110*(((Inputs!$G$5:$G$110="moeda")+(Inputs!$G$5:$G$110="acoes"))*Inputs!$B$1+((Inputs!$G$5:$G$110&lt;&gt;"moeda")*(Inputs!$G$5:$G$110&lt;&gt;"acoes")))*INDEX(Inputs!$K$5:$AJ$110,0,MATCH(AD$2,Inputs!$K$4:$AJ$4,0)))+SUMPRODUCT((Inputs!$C$5:$C$110=$B63)*Inputs!$D$5:$D$110*(((Inputs!$G$5:$G$110="moeda")+(Inputs!$G$5:$G$110="acoes"))*Inputs!$B$1+((Inputs!$G$5:$G$110&lt;&gt;"moeda")*(Inputs!$G$5:$G$110&lt;&gt;"acoes")))*INDEX(Inputs!$K$5:$AJ$110,0,MATCH(AD$2,Inputs!$K$4:$AJ$4,0)))+SUMPRODUCT((Inputs!$E$5:$E$110=$B63)*Inputs!$F$5:$F$110*(((Inputs!$G$5:$G$110="moeda")+(Inputs!$G$5:$G$110="acoes"))*Inputs!$B$1+((Inputs!$G$5:$G$110&lt;&gt;"moeda")*(Inputs!$G$5:$G$110&lt;&gt;"acoes")))*INDEX(Inputs!$K$5:$AJ$110,0,MATCH(AD$2,Inputs!$K$4:$AJ$4,0)))))</f>
        <v>9900</v>
      </c>
      <c r="AE63" s="513" t="e">
        <f>IF(ISNA(MATCH(AE$2,Inputs!$K$4:$AJ$4,0)),NA(),IF(SUMPRODUCT((Inputs!$A$5:$A$110=$B63)*ISNUMBER(INDEX(Inputs!$K$5:$AJ$110,0,MATCH(AE$2,Inputs!$K$4:$AJ$4,0))))+SUMPRODUCT((Inputs!$C$5:$C$110=$B63)*ISNUMBER(INDEX(Inputs!$K$5:$AJ$110,0,MATCH(AE$2,Inputs!$K$4:$AJ$4,0))))+SUMPRODUCT((Inputs!$E$5:$E$110=$B63)*ISNUMBER(INDEX(Inputs!$K$5:$AJ$110,0,MATCH(AE$2,Inputs!$K$4:$AJ$4,0))))=0,NA(),SUMPRODUCT((Inputs!$A$5:$A$110=$B63)*Inputs!$B$5:$B$110*(((Inputs!$G$5:$G$110="moeda")+(Inputs!$G$5:$G$110="acoes"))*Inputs!$B$1+((Inputs!$G$5:$G$110&lt;&gt;"moeda")*(Inputs!$G$5:$G$110&lt;&gt;"acoes")))*INDEX(Inputs!$K$5:$AJ$110,0,MATCH(AE$2,Inputs!$K$4:$AJ$4,0)))+SUMPRODUCT((Inputs!$C$5:$C$110=$B63)*Inputs!$D$5:$D$110*(((Inputs!$G$5:$G$110="moeda")+(Inputs!$G$5:$G$110="acoes"))*Inputs!$B$1+((Inputs!$G$5:$G$110&lt;&gt;"moeda")*(Inputs!$G$5:$G$110&lt;&gt;"acoes")))*INDEX(Inputs!$K$5:$AJ$110,0,MATCH(AE$2,Inputs!$K$4:$AJ$4,0)))+SUMPRODUCT((Inputs!$E$5:$E$110=$B63)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3" s="513" t="e">
        <f>IF(ISNA(MATCH(AF$2,Inputs!$K$4:$AJ$4,0)),NA(),IF(SUMPRODUCT((Inputs!$A$5:$A$110=$B63)*ISNUMBER(INDEX(Inputs!$K$5:$AJ$110,0,MATCH(AF$2,Inputs!$K$4:$AJ$4,0))))+SUMPRODUCT((Inputs!$C$5:$C$110=$B63)*ISNUMBER(INDEX(Inputs!$K$5:$AJ$110,0,MATCH(AF$2,Inputs!$K$4:$AJ$4,0))))+SUMPRODUCT((Inputs!$E$5:$E$110=$B63)*ISNUMBER(INDEX(Inputs!$K$5:$AJ$110,0,MATCH(AF$2,Inputs!$K$4:$AJ$4,0))))=0,NA(),SUMPRODUCT((Inputs!$A$5:$A$110=$B63)*Inputs!$B$5:$B$110*(((Inputs!$G$5:$G$110="moeda")+(Inputs!$G$5:$G$110="acoes"))*Inputs!$B$1+((Inputs!$G$5:$G$110&lt;&gt;"moeda")*(Inputs!$G$5:$G$110&lt;&gt;"acoes")))*INDEX(Inputs!$K$5:$AJ$110,0,MATCH(AF$2,Inputs!$K$4:$AJ$4,0)))+SUMPRODUCT((Inputs!$C$5:$C$110=$B63)*Inputs!$D$5:$D$110*(((Inputs!$G$5:$G$110="moeda")+(Inputs!$G$5:$G$110="acoes"))*Inputs!$B$1+((Inputs!$G$5:$G$110&lt;&gt;"moeda")*(Inputs!$G$5:$G$110&lt;&gt;"acoes")))*INDEX(Inputs!$K$5:$AJ$110,0,MATCH(AF$2,Inputs!$K$4:$AJ$4,0)))+SUMPRODUCT((Inputs!$E$5:$E$110=$B63)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3" s="514" t="e">
        <f>SUM(AC63:AF63)</f>
        <v>#N/A</v>
      </c>
      <c r="AH63" s="513">
        <f>IF(ISNA(MATCH(AH$2,Inputs!$K$4:$AJ$4,0)),NA(),IF(SUMPRODUCT((Inputs!$A$5:$A$110=$B63)*ISNUMBER(INDEX(Inputs!$K$5:$AJ$110,0,MATCH(AH$2,Inputs!$K$4:$AJ$4,0))))+SUMPRODUCT((Inputs!$C$5:$C$110=$B63)*ISNUMBER(INDEX(Inputs!$K$5:$AJ$110,0,MATCH(AH$2,Inputs!$K$4:$AJ$4,0))))+SUMPRODUCT((Inputs!$E$5:$E$110=$B63)*ISNUMBER(INDEX(Inputs!$K$5:$AJ$110,0,MATCH(AH$2,Inputs!$K$4:$AJ$4,0))))=0,NA(),SUMPRODUCT((Inputs!$A$5:$A$110=$B63)*Inputs!$B$5:$B$110*(((Inputs!$G$5:$G$110="moeda")+(Inputs!$G$5:$G$110="acoes"))*Inputs!$B$1+((Inputs!$G$5:$G$110&lt;&gt;"moeda")*(Inputs!$G$5:$G$110&lt;&gt;"acoes")))*INDEX(Inputs!$K$5:$AJ$110,0,MATCH(AH$2,Inputs!$K$4:$AJ$4,0)))+SUMPRODUCT((Inputs!$C$5:$C$110=$B63)*Inputs!$D$5:$D$110*(((Inputs!$G$5:$G$110="moeda")+(Inputs!$G$5:$G$110="acoes"))*Inputs!$B$1+((Inputs!$G$5:$G$110&lt;&gt;"moeda")*(Inputs!$G$5:$G$110&lt;&gt;"acoes")))*INDEX(Inputs!$K$5:$AJ$110,0,MATCH(AH$2,Inputs!$K$4:$AJ$4,0)))+SUMPRODUCT((Inputs!$E$5:$E$110=$B63)*Inputs!$F$5:$F$110*(((Inputs!$G$5:$G$110="moeda")+(Inputs!$G$5:$G$110="acoes"))*Inputs!$B$1+((Inputs!$G$5:$G$110&lt;&gt;"moeda")*(Inputs!$G$5:$G$110&lt;&gt;"acoes")))*INDEX(Inputs!$K$5:$AJ$110,0,MATCH(AH$2,Inputs!$K$4:$AJ$4,0)))))</f>
        <v>2900</v>
      </c>
      <c r="AI63" s="513">
        <f>IF(ISNA(MATCH(AI$2,Inputs!$K$4:$AJ$4,0)),NA(),IF(SUMPRODUCT((Inputs!$A$5:$A$110=$B63)*ISNUMBER(INDEX(Inputs!$K$5:$AJ$110,0,MATCH(AI$2,Inputs!$K$4:$AJ$4,0))))+SUMPRODUCT((Inputs!$C$5:$C$110=$B63)*ISNUMBER(INDEX(Inputs!$K$5:$AJ$110,0,MATCH(AI$2,Inputs!$K$4:$AJ$4,0))))+SUMPRODUCT((Inputs!$E$5:$E$110=$B63)*ISNUMBER(INDEX(Inputs!$K$5:$AJ$110,0,MATCH(AI$2,Inputs!$K$4:$AJ$4,0))))=0,NA(),SUMPRODUCT((Inputs!$A$5:$A$110=$B63)*Inputs!$B$5:$B$110*(((Inputs!$G$5:$G$110="moeda")+(Inputs!$G$5:$G$110="acoes"))*Inputs!$B$1+((Inputs!$G$5:$G$110&lt;&gt;"moeda")*(Inputs!$G$5:$G$110&lt;&gt;"acoes")))*INDEX(Inputs!$K$5:$AJ$110,0,MATCH(AI$2,Inputs!$K$4:$AJ$4,0)))+SUMPRODUCT((Inputs!$C$5:$C$110=$B63)*Inputs!$D$5:$D$110*(((Inputs!$G$5:$G$110="moeda")+(Inputs!$G$5:$G$110="acoes"))*Inputs!$B$1+((Inputs!$G$5:$G$110&lt;&gt;"moeda")*(Inputs!$G$5:$G$110&lt;&gt;"acoes")))*INDEX(Inputs!$K$5:$AJ$110,0,MATCH(AI$2,Inputs!$K$4:$AJ$4,0)))+SUMPRODUCT((Inputs!$E$5:$E$110=$B63)*Inputs!$F$5:$F$110*(((Inputs!$G$5:$G$110="moeda")+(Inputs!$G$5:$G$110="acoes"))*Inputs!$B$1+((Inputs!$G$5:$G$110&lt;&gt;"moeda")*(Inputs!$G$5:$G$110&lt;&gt;"acoes")))*INDEX(Inputs!$K$5:$AJ$110,0,MATCH(AI$2,Inputs!$K$4:$AJ$4,0)))))</f>
        <v>3300</v>
      </c>
      <c r="AJ63" s="513">
        <f>IF(ISNA(MATCH(AJ$2,Inputs!$K$4:$AJ$4,0)),NA(),IF(SUMPRODUCT((Inputs!$A$5:$A$110=$B63)*ISNUMBER(INDEX(Inputs!$K$5:$AJ$110,0,MATCH(AJ$2,Inputs!$K$4:$AJ$4,0))))+SUMPRODUCT((Inputs!$C$5:$C$110=$B63)*ISNUMBER(INDEX(Inputs!$K$5:$AJ$110,0,MATCH(AJ$2,Inputs!$K$4:$AJ$4,0))))+SUMPRODUCT((Inputs!$E$5:$E$110=$B63)*ISNUMBER(INDEX(Inputs!$K$5:$AJ$110,0,MATCH(AJ$2,Inputs!$K$4:$AJ$4,0))))=0,NA(),SUMPRODUCT((Inputs!$A$5:$A$110=$B63)*Inputs!$B$5:$B$110*(((Inputs!$G$5:$G$110="moeda")+(Inputs!$G$5:$G$110="acoes"))*Inputs!$B$1+((Inputs!$G$5:$G$110&lt;&gt;"moeda")*(Inputs!$G$5:$G$110&lt;&gt;"acoes")))*INDEX(Inputs!$K$5:$AJ$110,0,MATCH(AJ$2,Inputs!$K$4:$AJ$4,0)))+SUMPRODUCT((Inputs!$C$5:$C$110=$B63)*Inputs!$D$5:$D$110*(((Inputs!$G$5:$G$110="moeda")+(Inputs!$G$5:$G$110="acoes"))*Inputs!$B$1+((Inputs!$G$5:$G$110&lt;&gt;"moeda")*(Inputs!$G$5:$G$110&lt;&gt;"acoes")))*INDEX(Inputs!$K$5:$AJ$110,0,MATCH(AJ$2,Inputs!$K$4:$AJ$4,0)))+SUMPRODUCT((Inputs!$E$5:$E$110=$B63)*Inputs!$F$5:$F$110*(((Inputs!$G$5:$G$110="moeda")+(Inputs!$G$5:$G$110="acoes"))*Inputs!$B$1+((Inputs!$G$5:$G$110&lt;&gt;"moeda")*(Inputs!$G$5:$G$110&lt;&gt;"acoes")))*INDEX(Inputs!$K$5:$AJ$110,0,MATCH(AJ$2,Inputs!$K$4:$AJ$4,0)))))</f>
        <v>4300</v>
      </c>
      <c r="AK63" s="513">
        <f>IF(ISNA(MATCH(AK$2,Inputs!$K$4:$AJ$4,0)),NA(),IF(SUMPRODUCT((Inputs!$A$5:$A$110=$B63)*ISNUMBER(INDEX(Inputs!$K$5:$AJ$110,0,MATCH(AK$2,Inputs!$K$4:$AJ$4,0))))+SUMPRODUCT((Inputs!$C$5:$C$110=$B63)*ISNUMBER(INDEX(Inputs!$K$5:$AJ$110,0,MATCH(AK$2,Inputs!$K$4:$AJ$4,0))))+SUMPRODUCT((Inputs!$E$5:$E$110=$B63)*ISNUMBER(INDEX(Inputs!$K$5:$AJ$110,0,MATCH(AK$2,Inputs!$K$4:$AJ$4,0))))=0,NA(),SUMPRODUCT((Inputs!$A$5:$A$110=$B63)*Inputs!$B$5:$B$110*(((Inputs!$G$5:$G$110="moeda")+(Inputs!$G$5:$G$110="acoes"))*Inputs!$B$1+((Inputs!$G$5:$G$110&lt;&gt;"moeda")*(Inputs!$G$5:$G$110&lt;&gt;"acoes")))*INDEX(Inputs!$K$5:$AJ$110,0,MATCH(AK$2,Inputs!$K$4:$AJ$4,0)))+SUMPRODUCT((Inputs!$C$5:$C$110=$B63)*Inputs!$D$5:$D$110*(((Inputs!$G$5:$G$110="moeda")+(Inputs!$G$5:$G$110="acoes"))*Inputs!$B$1+((Inputs!$G$5:$G$110&lt;&gt;"moeda")*(Inputs!$G$5:$G$110&lt;&gt;"acoes")))*INDEX(Inputs!$K$5:$AJ$110,0,MATCH(AK$2,Inputs!$K$4:$AJ$4,0)))+SUMPRODUCT((Inputs!$E$5:$E$110=$B63)*Inputs!$F$5:$F$110*(((Inputs!$G$5:$G$110="moeda")+(Inputs!$G$5:$G$110="acoes"))*Inputs!$B$1+((Inputs!$G$5:$G$110&lt;&gt;"moeda")*(Inputs!$G$5:$G$110&lt;&gt;"acoes")))*INDEX(Inputs!$K$5:$AJ$110,0,MATCH(AK$2,Inputs!$K$4:$AJ$4,0)))))</f>
        <v>6100</v>
      </c>
      <c r="AL63" s="514">
        <f>SUM(AH63:AK63)</f>
        <v>16600</v>
      </c>
    </row>
    <row r="64">
      <c r="B64" s="265" t="n">
        <v>56</v>
      </c>
      <c r="C64" s="266" t="inlineStr">
        <is>
          <t>Walmart International - México e América Central (USD)</t>
        </is>
      </c>
      <c r="D64" s="513">
        <f>IF(ISNA(MATCH(D$2,Inputs!$K$4:$AJ$4,0)),NA(),IF(SUMPRODUCT((Inputs!$A$5:$A$110=$B64)*ISNUMBER(INDEX(Inputs!$K$5:$AJ$110,0,MATCH(D$2,Inputs!$K$4:$AJ$4,0))))+SUMPRODUCT((Inputs!$C$5:$C$110=$B64)*ISNUMBER(INDEX(Inputs!$K$5:$AJ$110,0,MATCH(D$2,Inputs!$K$4:$AJ$4,0))))+SUMPRODUCT((Inputs!$E$5:$E$110=$B64)*ISNUMBER(INDEX(Inputs!$K$5:$AJ$110,0,MATCH(D$2,Inputs!$K$4:$AJ$4,0))))=0,NA(),SUMPRODUCT((Inputs!$A$5:$A$110=$B64)*Inputs!$B$5:$B$110*(((Inputs!$G$5:$G$110="moeda")+(Inputs!$G$5:$G$110="acoes"))*Inputs!$B$1+((Inputs!$G$5:$G$110&lt;&gt;"moeda")*(Inputs!$G$5:$G$110&lt;&gt;"acoes")))*INDEX(Inputs!$K$5:$AJ$110,0,MATCH(D$2,Inputs!$K$4:$AJ$4,0)))+SUMPRODUCT((Inputs!$C$5:$C$110=$B64)*Inputs!$D$5:$D$110*(((Inputs!$G$5:$G$110="moeda")+(Inputs!$G$5:$G$110="acoes"))*Inputs!$B$1+((Inputs!$G$5:$G$110&lt;&gt;"moeda")*(Inputs!$G$5:$G$110&lt;&gt;"acoes")))*INDEX(Inputs!$K$5:$AJ$110,0,MATCH(D$2,Inputs!$K$4:$AJ$4,0)))+SUMPRODUCT((Inputs!$E$5:$E$110=$B64)*Inputs!$F$5:$F$110*(((Inputs!$G$5:$G$110="moeda")+(Inputs!$G$5:$G$110="acoes"))*Inputs!$B$1+((Inputs!$G$5:$G$110&lt;&gt;"moeda")*(Inputs!$G$5:$G$110&lt;&gt;"acoes")))*INDEX(Inputs!$K$5:$AJ$110,0,MATCH(D$2,Inputs!$K$4:$AJ$4,0)))))</f>
        <v>8330</v>
      </c>
      <c r="E64" s="513">
        <f>IF(ISNA(MATCH(E$2,Inputs!$K$4:$AJ$4,0)),NA(),IF(SUMPRODUCT((Inputs!$A$5:$A$110=$B64)*ISNUMBER(INDEX(Inputs!$K$5:$AJ$110,0,MATCH(E$2,Inputs!$K$4:$AJ$4,0))))+SUMPRODUCT((Inputs!$C$5:$C$110=$B64)*ISNUMBER(INDEX(Inputs!$K$5:$AJ$110,0,MATCH(E$2,Inputs!$K$4:$AJ$4,0))))+SUMPRODUCT((Inputs!$E$5:$E$110=$B64)*ISNUMBER(INDEX(Inputs!$K$5:$AJ$110,0,MATCH(E$2,Inputs!$K$4:$AJ$4,0))))=0,NA(),SUMPRODUCT((Inputs!$A$5:$A$110=$B64)*Inputs!$B$5:$B$110*(((Inputs!$G$5:$G$110="moeda")+(Inputs!$G$5:$G$110="acoes"))*Inputs!$B$1+((Inputs!$G$5:$G$110&lt;&gt;"moeda")*(Inputs!$G$5:$G$110&lt;&gt;"acoes")))*INDEX(Inputs!$K$5:$AJ$110,0,MATCH(E$2,Inputs!$K$4:$AJ$4,0)))+SUMPRODUCT((Inputs!$C$5:$C$110=$B64)*Inputs!$D$5:$D$110*(((Inputs!$G$5:$G$110="moeda")+(Inputs!$G$5:$G$110="acoes"))*Inputs!$B$1+((Inputs!$G$5:$G$110&lt;&gt;"moeda")*(Inputs!$G$5:$G$110&lt;&gt;"acoes")))*INDEX(Inputs!$K$5:$AJ$110,0,MATCH(E$2,Inputs!$K$4:$AJ$4,0)))+SUMPRODUCT((Inputs!$E$5:$E$110=$B64)*Inputs!$F$5:$F$110*(((Inputs!$G$5:$G$110="moeda")+(Inputs!$G$5:$G$110="acoes"))*Inputs!$B$1+((Inputs!$G$5:$G$110&lt;&gt;"moeda")*(Inputs!$G$5:$G$110&lt;&gt;"acoes")))*INDEX(Inputs!$K$5:$AJ$110,0,MATCH(E$2,Inputs!$K$4:$AJ$4,0)))))</f>
        <v>8658</v>
      </c>
      <c r="F64" s="513">
        <f>IF(ISNA(MATCH(F$2,Inputs!$K$4:$AJ$4,0)),NA(),IF(SUMPRODUCT((Inputs!$A$5:$A$110=$B64)*ISNUMBER(INDEX(Inputs!$K$5:$AJ$110,0,MATCH(F$2,Inputs!$K$4:$AJ$4,0))))+SUMPRODUCT((Inputs!$C$5:$C$110=$B64)*ISNUMBER(INDEX(Inputs!$K$5:$AJ$110,0,MATCH(F$2,Inputs!$K$4:$AJ$4,0))))+SUMPRODUCT((Inputs!$E$5:$E$110=$B64)*ISNUMBER(INDEX(Inputs!$K$5:$AJ$110,0,MATCH(F$2,Inputs!$K$4:$AJ$4,0))))=0,NA(),SUMPRODUCT((Inputs!$A$5:$A$110=$B64)*Inputs!$B$5:$B$110*(((Inputs!$G$5:$G$110="moeda")+(Inputs!$G$5:$G$110="acoes"))*Inputs!$B$1+((Inputs!$G$5:$G$110&lt;&gt;"moeda")*(Inputs!$G$5:$G$110&lt;&gt;"acoes")))*INDEX(Inputs!$K$5:$AJ$110,0,MATCH(F$2,Inputs!$K$4:$AJ$4,0)))+SUMPRODUCT((Inputs!$C$5:$C$110=$B64)*Inputs!$D$5:$D$110*(((Inputs!$G$5:$G$110="moeda")+(Inputs!$G$5:$G$110="acoes"))*Inputs!$B$1+((Inputs!$G$5:$G$110&lt;&gt;"moeda")*(Inputs!$G$5:$G$110&lt;&gt;"acoes")))*INDEX(Inputs!$K$5:$AJ$110,0,MATCH(F$2,Inputs!$K$4:$AJ$4,0)))+SUMPRODUCT((Inputs!$E$5:$E$110=$B64)*Inputs!$F$5:$F$110*(((Inputs!$G$5:$G$110="moeda")+(Inputs!$G$5:$G$110="acoes"))*Inputs!$B$1+((Inputs!$G$5:$G$110&lt;&gt;"moeda")*(Inputs!$G$5:$G$110&lt;&gt;"acoes")))*INDEX(Inputs!$K$5:$AJ$110,0,MATCH(F$2,Inputs!$K$4:$AJ$4,0)))))</f>
        <v>8718</v>
      </c>
      <c r="G64" s="513">
        <f>IF(ISNA(MATCH(G$2,Inputs!$K$4:$AJ$4,0)),NA(),IF(SUMPRODUCT((Inputs!$A$5:$A$110=$B64)*ISNUMBER(INDEX(Inputs!$K$5:$AJ$110,0,MATCH(G$2,Inputs!$K$4:$AJ$4,0))))+SUMPRODUCT((Inputs!$C$5:$C$110=$B64)*ISNUMBER(INDEX(Inputs!$K$5:$AJ$110,0,MATCH(G$2,Inputs!$K$4:$AJ$4,0))))+SUMPRODUCT((Inputs!$E$5:$E$110=$B64)*ISNUMBER(INDEX(Inputs!$K$5:$AJ$110,0,MATCH(G$2,Inputs!$K$4:$AJ$4,0))))=0,NA(),SUMPRODUCT((Inputs!$A$5:$A$110=$B64)*Inputs!$B$5:$B$110*(((Inputs!$G$5:$G$110="moeda")+(Inputs!$G$5:$G$110="acoes"))*Inputs!$B$1+((Inputs!$G$5:$G$110&lt;&gt;"moeda")*(Inputs!$G$5:$G$110&lt;&gt;"acoes")))*INDEX(Inputs!$K$5:$AJ$110,0,MATCH(G$2,Inputs!$K$4:$AJ$4,0)))+SUMPRODUCT((Inputs!$C$5:$C$110=$B64)*Inputs!$D$5:$D$110*(((Inputs!$G$5:$G$110="moeda")+(Inputs!$G$5:$G$110="acoes"))*Inputs!$B$1+((Inputs!$G$5:$G$110&lt;&gt;"moeda")*(Inputs!$G$5:$G$110&lt;&gt;"acoes")))*INDEX(Inputs!$K$5:$AJ$110,0,MATCH(G$2,Inputs!$K$4:$AJ$4,0)))+SUMPRODUCT((Inputs!$E$5:$E$110=$B64)*Inputs!$F$5:$F$110*(((Inputs!$G$5:$G$110="moeda")+(Inputs!$G$5:$G$110="acoes"))*Inputs!$B$1+((Inputs!$G$5:$G$110&lt;&gt;"moeda")*(Inputs!$G$5:$G$110&lt;&gt;"acoes")))*INDEX(Inputs!$K$5:$AJ$110,0,MATCH(G$2,Inputs!$K$4:$AJ$4,0)))))</f>
        <v>10258</v>
      </c>
      <c r="H64" s="514">
        <f>SUM(D64:G64)</f>
        <v>35964</v>
      </c>
      <c r="I64" s="513">
        <f>IF(ISNA(MATCH(I$2,Inputs!$K$4:$AJ$4,0)),NA(),IF(SUMPRODUCT((Inputs!$A$5:$A$110=$B64)*ISNUMBER(INDEX(Inputs!$K$5:$AJ$110,0,MATCH(I$2,Inputs!$K$4:$AJ$4,0))))+SUMPRODUCT((Inputs!$C$5:$C$110=$B64)*ISNUMBER(INDEX(Inputs!$K$5:$AJ$110,0,MATCH(I$2,Inputs!$K$4:$AJ$4,0))))+SUMPRODUCT((Inputs!$E$5:$E$110=$B64)*ISNUMBER(INDEX(Inputs!$K$5:$AJ$110,0,MATCH(I$2,Inputs!$K$4:$AJ$4,0))))=0,NA(),SUMPRODUCT((Inputs!$A$5:$A$110=$B64)*Inputs!$B$5:$B$110*(((Inputs!$G$5:$G$110="moeda")+(Inputs!$G$5:$G$110="acoes"))*Inputs!$B$1+((Inputs!$G$5:$G$110&lt;&gt;"moeda")*(Inputs!$G$5:$G$110&lt;&gt;"acoes")))*INDEX(Inputs!$K$5:$AJ$110,0,MATCH(I$2,Inputs!$K$4:$AJ$4,0)))+SUMPRODUCT((Inputs!$C$5:$C$110=$B64)*Inputs!$D$5:$D$110*(((Inputs!$G$5:$G$110="moeda")+(Inputs!$G$5:$G$110="acoes"))*Inputs!$B$1+((Inputs!$G$5:$G$110&lt;&gt;"moeda")*(Inputs!$G$5:$G$110&lt;&gt;"acoes")))*INDEX(Inputs!$K$5:$AJ$110,0,MATCH(I$2,Inputs!$K$4:$AJ$4,0)))+SUMPRODUCT((Inputs!$E$5:$E$110=$B64)*Inputs!$F$5:$F$110*(((Inputs!$G$5:$G$110="moeda")+(Inputs!$G$5:$G$110="acoes"))*Inputs!$B$1+((Inputs!$G$5:$G$110&lt;&gt;"moeda")*(Inputs!$G$5:$G$110&lt;&gt;"acoes")))*INDEX(Inputs!$K$5:$AJ$110,0,MATCH(I$2,Inputs!$K$4:$AJ$4,0)))))</f>
        <v>9088</v>
      </c>
      <c r="J64" s="513">
        <f>IF(ISNA(MATCH(J$2,Inputs!$K$4:$AJ$4,0)),NA(),IF(SUMPRODUCT((Inputs!$A$5:$A$110=$B64)*ISNUMBER(INDEX(Inputs!$K$5:$AJ$110,0,MATCH(J$2,Inputs!$K$4:$AJ$4,0))))+SUMPRODUCT((Inputs!$C$5:$C$110=$B64)*ISNUMBER(INDEX(Inputs!$K$5:$AJ$110,0,MATCH(J$2,Inputs!$K$4:$AJ$4,0))))+SUMPRODUCT((Inputs!$E$5:$E$110=$B64)*ISNUMBER(INDEX(Inputs!$K$5:$AJ$110,0,MATCH(J$2,Inputs!$K$4:$AJ$4,0))))=0,NA(),SUMPRODUCT((Inputs!$A$5:$A$110=$B64)*Inputs!$B$5:$B$110*(((Inputs!$G$5:$G$110="moeda")+(Inputs!$G$5:$G$110="acoes"))*Inputs!$B$1+((Inputs!$G$5:$G$110&lt;&gt;"moeda")*(Inputs!$G$5:$G$110&lt;&gt;"acoes")))*INDEX(Inputs!$K$5:$AJ$110,0,MATCH(J$2,Inputs!$K$4:$AJ$4,0)))+SUMPRODUCT((Inputs!$C$5:$C$110=$B64)*Inputs!$D$5:$D$110*(((Inputs!$G$5:$G$110="moeda")+(Inputs!$G$5:$G$110="acoes"))*Inputs!$B$1+((Inputs!$G$5:$G$110&lt;&gt;"moeda")*(Inputs!$G$5:$G$110&lt;&gt;"acoes")))*INDEX(Inputs!$K$5:$AJ$110,0,MATCH(J$2,Inputs!$K$4:$AJ$4,0)))+SUMPRODUCT((Inputs!$E$5:$E$110=$B64)*Inputs!$F$5:$F$110*(((Inputs!$G$5:$G$110="moeda")+(Inputs!$G$5:$G$110="acoes"))*Inputs!$B$1+((Inputs!$G$5:$G$110&lt;&gt;"moeda")*(Inputs!$G$5:$G$110&lt;&gt;"acoes")))*INDEX(Inputs!$K$5:$AJ$110,0,MATCH(J$2,Inputs!$K$4:$AJ$4,0)))))</f>
        <v>9690</v>
      </c>
      <c r="K64" s="513">
        <f>IF(ISNA(MATCH(K$2,Inputs!$K$4:$AJ$4,0)),NA(),IF(SUMPRODUCT((Inputs!$A$5:$A$110=$B64)*ISNUMBER(INDEX(Inputs!$K$5:$AJ$110,0,MATCH(K$2,Inputs!$K$4:$AJ$4,0))))+SUMPRODUCT((Inputs!$C$5:$C$110=$B64)*ISNUMBER(INDEX(Inputs!$K$5:$AJ$110,0,MATCH(K$2,Inputs!$K$4:$AJ$4,0))))+SUMPRODUCT((Inputs!$E$5:$E$110=$B64)*ISNUMBER(INDEX(Inputs!$K$5:$AJ$110,0,MATCH(K$2,Inputs!$K$4:$AJ$4,0))))=0,NA(),SUMPRODUCT((Inputs!$A$5:$A$110=$B64)*Inputs!$B$5:$B$110*(((Inputs!$G$5:$G$110="moeda")+(Inputs!$G$5:$G$110="acoes"))*Inputs!$B$1+((Inputs!$G$5:$G$110&lt;&gt;"moeda")*(Inputs!$G$5:$G$110&lt;&gt;"acoes")))*INDEX(Inputs!$K$5:$AJ$110,0,MATCH(K$2,Inputs!$K$4:$AJ$4,0)))+SUMPRODUCT((Inputs!$C$5:$C$110=$B64)*Inputs!$D$5:$D$110*(((Inputs!$G$5:$G$110="moeda")+(Inputs!$G$5:$G$110="acoes"))*Inputs!$B$1+((Inputs!$G$5:$G$110&lt;&gt;"moeda")*(Inputs!$G$5:$G$110&lt;&gt;"acoes")))*INDEX(Inputs!$K$5:$AJ$110,0,MATCH(K$2,Inputs!$K$4:$AJ$4,0)))+SUMPRODUCT((Inputs!$E$5:$E$110=$B64)*Inputs!$F$5:$F$110*(((Inputs!$G$5:$G$110="moeda")+(Inputs!$G$5:$G$110="acoes"))*Inputs!$B$1+((Inputs!$G$5:$G$110&lt;&gt;"moeda")*(Inputs!$G$5:$G$110&lt;&gt;"acoes")))*INDEX(Inputs!$K$5:$AJ$110,0,MATCH(K$2,Inputs!$K$4:$AJ$4,0)))))</f>
        <v>9702</v>
      </c>
      <c r="L64" s="513">
        <f>IF(ISNA(MATCH(L$2,Inputs!$K$4:$AJ$4,0)),NA(),IF(SUMPRODUCT((Inputs!$A$5:$A$110=$B64)*ISNUMBER(INDEX(Inputs!$K$5:$AJ$110,0,MATCH(L$2,Inputs!$K$4:$AJ$4,0))))+SUMPRODUCT((Inputs!$C$5:$C$110=$B64)*ISNUMBER(INDEX(Inputs!$K$5:$AJ$110,0,MATCH(L$2,Inputs!$K$4:$AJ$4,0))))+SUMPRODUCT((Inputs!$E$5:$E$110=$B64)*ISNUMBER(INDEX(Inputs!$K$5:$AJ$110,0,MATCH(L$2,Inputs!$K$4:$AJ$4,0))))=0,NA(),SUMPRODUCT((Inputs!$A$5:$A$110=$B64)*Inputs!$B$5:$B$110*(((Inputs!$G$5:$G$110="moeda")+(Inputs!$G$5:$G$110="acoes"))*Inputs!$B$1+((Inputs!$G$5:$G$110&lt;&gt;"moeda")*(Inputs!$G$5:$G$110&lt;&gt;"acoes")))*INDEX(Inputs!$K$5:$AJ$110,0,MATCH(L$2,Inputs!$K$4:$AJ$4,0)))+SUMPRODUCT((Inputs!$C$5:$C$110=$B64)*Inputs!$D$5:$D$110*(((Inputs!$G$5:$G$110="moeda")+(Inputs!$G$5:$G$110="acoes"))*Inputs!$B$1+((Inputs!$G$5:$G$110&lt;&gt;"moeda")*(Inputs!$G$5:$G$110&lt;&gt;"acoes")))*INDEX(Inputs!$K$5:$AJ$110,0,MATCH(L$2,Inputs!$K$4:$AJ$4,0)))+SUMPRODUCT((Inputs!$E$5:$E$110=$B64)*Inputs!$F$5:$F$110*(((Inputs!$G$5:$G$110="moeda")+(Inputs!$G$5:$G$110="acoes"))*Inputs!$B$1+((Inputs!$G$5:$G$110&lt;&gt;"moeda")*(Inputs!$G$5:$G$110&lt;&gt;"acoes")))*INDEX(Inputs!$K$5:$AJ$110,0,MATCH(L$2,Inputs!$K$4:$AJ$4,0)))))</f>
        <v>12016</v>
      </c>
      <c r="M64" s="514">
        <f>SUM(I64:L64)</f>
        <v>40496</v>
      </c>
      <c r="N64" s="513">
        <f>IF(ISNA(MATCH(N$2,Inputs!$K$4:$AJ$4,0)),NA(),IF(SUMPRODUCT((Inputs!$A$5:$A$110=$B64)*ISNUMBER(INDEX(Inputs!$K$5:$AJ$110,0,MATCH(N$2,Inputs!$K$4:$AJ$4,0))))+SUMPRODUCT((Inputs!$C$5:$C$110=$B64)*ISNUMBER(INDEX(Inputs!$K$5:$AJ$110,0,MATCH(N$2,Inputs!$K$4:$AJ$4,0))))+SUMPRODUCT((Inputs!$E$5:$E$110=$B64)*ISNUMBER(INDEX(Inputs!$K$5:$AJ$110,0,MATCH(N$2,Inputs!$K$4:$AJ$4,0))))=0,NA(),SUMPRODUCT((Inputs!$A$5:$A$110=$B64)*Inputs!$B$5:$B$110*(((Inputs!$G$5:$G$110="moeda")+(Inputs!$G$5:$G$110="acoes"))*Inputs!$B$1+((Inputs!$G$5:$G$110&lt;&gt;"moeda")*(Inputs!$G$5:$G$110&lt;&gt;"acoes")))*INDEX(Inputs!$K$5:$AJ$110,0,MATCH(N$2,Inputs!$K$4:$AJ$4,0)))+SUMPRODUCT((Inputs!$C$5:$C$110=$B64)*Inputs!$D$5:$D$110*(((Inputs!$G$5:$G$110="moeda")+(Inputs!$G$5:$G$110="acoes"))*Inputs!$B$1+((Inputs!$G$5:$G$110&lt;&gt;"moeda")*(Inputs!$G$5:$G$110&lt;&gt;"acoes")))*INDEX(Inputs!$K$5:$AJ$110,0,MATCH(N$2,Inputs!$K$4:$AJ$4,0)))+SUMPRODUCT((Inputs!$E$5:$E$110=$B64)*Inputs!$F$5:$F$110*(((Inputs!$G$5:$G$110="moeda")+(Inputs!$G$5:$G$110="acoes"))*Inputs!$B$1+((Inputs!$G$5:$G$110&lt;&gt;"moeda")*(Inputs!$G$5:$G$110&lt;&gt;"acoes")))*INDEX(Inputs!$K$5:$AJ$110,0,MATCH(N$2,Inputs!$K$4:$AJ$4,0)))))</f>
        <v>10958</v>
      </c>
      <c r="O64" s="513">
        <f>IF(ISNA(MATCH(O$2,Inputs!$K$4:$AJ$4,0)),NA(),IF(SUMPRODUCT((Inputs!$A$5:$A$110=$B64)*ISNUMBER(INDEX(Inputs!$K$5:$AJ$110,0,MATCH(O$2,Inputs!$K$4:$AJ$4,0))))+SUMPRODUCT((Inputs!$C$5:$C$110=$B64)*ISNUMBER(INDEX(Inputs!$K$5:$AJ$110,0,MATCH(O$2,Inputs!$K$4:$AJ$4,0))))+SUMPRODUCT((Inputs!$E$5:$E$110=$B64)*ISNUMBER(INDEX(Inputs!$K$5:$AJ$110,0,MATCH(O$2,Inputs!$K$4:$AJ$4,0))))=0,NA(),SUMPRODUCT((Inputs!$A$5:$A$110=$B64)*Inputs!$B$5:$B$110*(((Inputs!$G$5:$G$110="moeda")+(Inputs!$G$5:$G$110="acoes"))*Inputs!$B$1+((Inputs!$G$5:$G$110&lt;&gt;"moeda")*(Inputs!$G$5:$G$110&lt;&gt;"acoes")))*INDEX(Inputs!$K$5:$AJ$110,0,MATCH(O$2,Inputs!$K$4:$AJ$4,0)))+SUMPRODUCT((Inputs!$C$5:$C$110=$B64)*Inputs!$D$5:$D$110*(((Inputs!$G$5:$G$110="moeda")+(Inputs!$G$5:$G$110="acoes"))*Inputs!$B$1+((Inputs!$G$5:$G$110&lt;&gt;"moeda")*(Inputs!$G$5:$G$110&lt;&gt;"acoes")))*INDEX(Inputs!$K$5:$AJ$110,0,MATCH(O$2,Inputs!$K$4:$AJ$4,0)))+SUMPRODUCT((Inputs!$E$5:$E$110=$B64)*Inputs!$F$5:$F$110*(((Inputs!$G$5:$G$110="moeda")+(Inputs!$G$5:$G$110="acoes"))*Inputs!$B$1+((Inputs!$G$5:$G$110&lt;&gt;"moeda")*(Inputs!$G$5:$G$110&lt;&gt;"acoes")))*INDEX(Inputs!$K$5:$AJ$110,0,MATCH(O$2,Inputs!$K$4:$AJ$4,0)))))</f>
        <v>11994</v>
      </c>
      <c r="P64" s="513">
        <f>IF(ISNA(MATCH(P$2,Inputs!$K$4:$AJ$4,0)),NA(),IF(SUMPRODUCT((Inputs!$A$5:$A$110=$B64)*ISNUMBER(INDEX(Inputs!$K$5:$AJ$110,0,MATCH(P$2,Inputs!$K$4:$AJ$4,0))))+SUMPRODUCT((Inputs!$C$5:$C$110=$B64)*ISNUMBER(INDEX(Inputs!$K$5:$AJ$110,0,MATCH(P$2,Inputs!$K$4:$AJ$4,0))))+SUMPRODUCT((Inputs!$E$5:$E$110=$B64)*ISNUMBER(INDEX(Inputs!$K$5:$AJ$110,0,MATCH(P$2,Inputs!$K$4:$AJ$4,0))))=0,NA(),SUMPRODUCT((Inputs!$A$5:$A$110=$B64)*Inputs!$B$5:$B$110*(((Inputs!$G$5:$G$110="moeda")+(Inputs!$G$5:$G$110="acoes"))*Inputs!$B$1+((Inputs!$G$5:$G$110&lt;&gt;"moeda")*(Inputs!$G$5:$G$110&lt;&gt;"acoes")))*INDEX(Inputs!$K$5:$AJ$110,0,MATCH(P$2,Inputs!$K$4:$AJ$4,0)))+SUMPRODUCT((Inputs!$C$5:$C$110=$B64)*Inputs!$D$5:$D$110*(((Inputs!$G$5:$G$110="moeda")+(Inputs!$G$5:$G$110="acoes"))*Inputs!$B$1+((Inputs!$G$5:$G$110&lt;&gt;"moeda")*(Inputs!$G$5:$G$110&lt;&gt;"acoes")))*INDEX(Inputs!$K$5:$AJ$110,0,MATCH(P$2,Inputs!$K$4:$AJ$4,0)))+SUMPRODUCT((Inputs!$E$5:$E$110=$B64)*Inputs!$F$5:$F$110*(((Inputs!$G$5:$G$110="moeda")+(Inputs!$G$5:$G$110="acoes"))*Inputs!$B$1+((Inputs!$G$5:$G$110&lt;&gt;"moeda")*(Inputs!$G$5:$G$110&lt;&gt;"acoes")))*INDEX(Inputs!$K$5:$AJ$110,0,MATCH(P$2,Inputs!$K$4:$AJ$4,0)))))</f>
        <v>12389</v>
      </c>
      <c r="Q64" s="513">
        <f>IF(ISNA(MATCH(Q$2,Inputs!$K$4:$AJ$4,0)),NA(),IF(SUMPRODUCT((Inputs!$A$5:$A$110=$B64)*ISNUMBER(INDEX(Inputs!$K$5:$AJ$110,0,MATCH(Q$2,Inputs!$K$4:$AJ$4,0))))+SUMPRODUCT((Inputs!$C$5:$C$110=$B64)*ISNUMBER(INDEX(Inputs!$K$5:$AJ$110,0,MATCH(Q$2,Inputs!$K$4:$AJ$4,0))))+SUMPRODUCT((Inputs!$E$5:$E$110=$B64)*ISNUMBER(INDEX(Inputs!$K$5:$AJ$110,0,MATCH(Q$2,Inputs!$K$4:$AJ$4,0))))=0,NA(),SUMPRODUCT((Inputs!$A$5:$A$110=$B64)*Inputs!$B$5:$B$110*(((Inputs!$G$5:$G$110="moeda")+(Inputs!$G$5:$G$110="acoes"))*Inputs!$B$1+((Inputs!$G$5:$G$110&lt;&gt;"moeda")*(Inputs!$G$5:$G$110&lt;&gt;"acoes")))*INDEX(Inputs!$K$5:$AJ$110,0,MATCH(Q$2,Inputs!$K$4:$AJ$4,0)))+SUMPRODUCT((Inputs!$C$5:$C$110=$B64)*Inputs!$D$5:$D$110*(((Inputs!$G$5:$G$110="moeda")+(Inputs!$G$5:$G$110="acoes"))*Inputs!$B$1+((Inputs!$G$5:$G$110&lt;&gt;"moeda")*(Inputs!$G$5:$G$110&lt;&gt;"acoes")))*INDEX(Inputs!$K$5:$AJ$110,0,MATCH(Q$2,Inputs!$K$4:$AJ$4,0)))+SUMPRODUCT((Inputs!$E$5:$E$110=$B64)*Inputs!$F$5:$F$110*(((Inputs!$G$5:$G$110="moeda")+(Inputs!$G$5:$G$110="acoes"))*Inputs!$B$1+((Inputs!$G$5:$G$110&lt;&gt;"moeda")*(Inputs!$G$5:$G$110&lt;&gt;"acoes")))*INDEX(Inputs!$K$5:$AJ$110,0,MATCH(Q$2,Inputs!$K$4:$AJ$4,0)))))</f>
        <v>14385</v>
      </c>
      <c r="R64" s="514">
        <f>SUM(N64:Q64)</f>
        <v>49726</v>
      </c>
      <c r="S64" s="513">
        <f>IF(ISNA(MATCH(S$2,Inputs!$K$4:$AJ$4,0)),NA(),IF(SUMPRODUCT((Inputs!$A$5:$A$110=$B64)*ISNUMBER(INDEX(Inputs!$K$5:$AJ$110,0,MATCH(S$2,Inputs!$K$4:$AJ$4,0))))+SUMPRODUCT((Inputs!$C$5:$C$110=$B64)*ISNUMBER(INDEX(Inputs!$K$5:$AJ$110,0,MATCH(S$2,Inputs!$K$4:$AJ$4,0))))+SUMPRODUCT((Inputs!$E$5:$E$110=$B64)*ISNUMBER(INDEX(Inputs!$K$5:$AJ$110,0,MATCH(S$2,Inputs!$K$4:$AJ$4,0))))=0,NA(),SUMPRODUCT((Inputs!$A$5:$A$110=$B64)*Inputs!$B$5:$B$110*(((Inputs!$G$5:$G$110="moeda")+(Inputs!$G$5:$G$110="acoes"))*Inputs!$B$1+((Inputs!$G$5:$G$110&lt;&gt;"moeda")*(Inputs!$G$5:$G$110&lt;&gt;"acoes")))*INDEX(Inputs!$K$5:$AJ$110,0,MATCH(S$2,Inputs!$K$4:$AJ$4,0)))+SUMPRODUCT((Inputs!$C$5:$C$110=$B64)*Inputs!$D$5:$D$110*(((Inputs!$G$5:$G$110="moeda")+(Inputs!$G$5:$G$110="acoes"))*Inputs!$B$1+((Inputs!$G$5:$G$110&lt;&gt;"moeda")*(Inputs!$G$5:$G$110&lt;&gt;"acoes")))*INDEX(Inputs!$K$5:$AJ$110,0,MATCH(S$2,Inputs!$K$4:$AJ$4,0)))+SUMPRODUCT((Inputs!$E$5:$E$110=$B64)*Inputs!$F$5:$F$110*(((Inputs!$G$5:$G$110="moeda")+(Inputs!$G$5:$G$110="acoes"))*Inputs!$B$1+((Inputs!$G$5:$G$110&lt;&gt;"moeda")*(Inputs!$G$5:$G$110&lt;&gt;"acoes")))*INDEX(Inputs!$K$5:$AJ$110,0,MATCH(S$2,Inputs!$K$4:$AJ$4,0)))))</f>
        <v>13232</v>
      </c>
      <c r="T64" s="513">
        <f>IF(ISNA(MATCH(T$2,Inputs!$K$4:$AJ$4,0)),NA(),IF(SUMPRODUCT((Inputs!$A$5:$A$110=$B64)*ISNUMBER(INDEX(Inputs!$K$5:$AJ$110,0,MATCH(T$2,Inputs!$K$4:$AJ$4,0))))+SUMPRODUCT((Inputs!$C$5:$C$110=$B64)*ISNUMBER(INDEX(Inputs!$K$5:$AJ$110,0,MATCH(T$2,Inputs!$K$4:$AJ$4,0))))+SUMPRODUCT((Inputs!$E$5:$E$110=$B64)*ISNUMBER(INDEX(Inputs!$K$5:$AJ$110,0,MATCH(T$2,Inputs!$K$4:$AJ$4,0))))=0,NA(),SUMPRODUCT((Inputs!$A$5:$A$110=$B64)*Inputs!$B$5:$B$110*(((Inputs!$G$5:$G$110="moeda")+(Inputs!$G$5:$G$110="acoes"))*Inputs!$B$1+((Inputs!$G$5:$G$110&lt;&gt;"moeda")*(Inputs!$G$5:$G$110&lt;&gt;"acoes")))*INDEX(Inputs!$K$5:$AJ$110,0,MATCH(T$2,Inputs!$K$4:$AJ$4,0)))+SUMPRODUCT((Inputs!$C$5:$C$110=$B64)*Inputs!$D$5:$D$110*(((Inputs!$G$5:$G$110="moeda")+(Inputs!$G$5:$G$110="acoes"))*Inputs!$B$1+((Inputs!$G$5:$G$110&lt;&gt;"moeda")*(Inputs!$G$5:$G$110&lt;&gt;"acoes")))*INDEX(Inputs!$K$5:$AJ$110,0,MATCH(T$2,Inputs!$K$4:$AJ$4,0)))+SUMPRODUCT((Inputs!$E$5:$E$110=$B64)*Inputs!$F$5:$F$110*(((Inputs!$G$5:$G$110="moeda")+(Inputs!$G$5:$G$110="acoes"))*Inputs!$B$1+((Inputs!$G$5:$G$110&lt;&gt;"moeda")*(Inputs!$G$5:$G$110&lt;&gt;"acoes")))*INDEX(Inputs!$K$5:$AJ$110,0,MATCH(T$2,Inputs!$K$4:$AJ$4,0)))))</f>
        <v>13099</v>
      </c>
      <c r="U64" s="513">
        <f>IF(ISNA(MATCH(U$2,Inputs!$K$4:$AJ$4,0)),NA(),IF(SUMPRODUCT((Inputs!$A$5:$A$110=$B64)*ISNUMBER(INDEX(Inputs!$K$5:$AJ$110,0,MATCH(U$2,Inputs!$K$4:$AJ$4,0))))+SUMPRODUCT((Inputs!$C$5:$C$110=$B64)*ISNUMBER(INDEX(Inputs!$K$5:$AJ$110,0,MATCH(U$2,Inputs!$K$4:$AJ$4,0))))+SUMPRODUCT((Inputs!$E$5:$E$110=$B64)*ISNUMBER(INDEX(Inputs!$K$5:$AJ$110,0,MATCH(U$2,Inputs!$K$4:$AJ$4,0))))=0,NA(),SUMPRODUCT((Inputs!$A$5:$A$110=$B64)*Inputs!$B$5:$B$110*(((Inputs!$G$5:$G$110="moeda")+(Inputs!$G$5:$G$110="acoes"))*Inputs!$B$1+((Inputs!$G$5:$G$110&lt;&gt;"moeda")*(Inputs!$G$5:$G$110&lt;&gt;"acoes")))*INDEX(Inputs!$K$5:$AJ$110,0,MATCH(U$2,Inputs!$K$4:$AJ$4,0)))+SUMPRODUCT((Inputs!$C$5:$C$110=$B64)*Inputs!$D$5:$D$110*(((Inputs!$G$5:$G$110="moeda")+(Inputs!$G$5:$G$110="acoes"))*Inputs!$B$1+((Inputs!$G$5:$G$110&lt;&gt;"moeda")*(Inputs!$G$5:$G$110&lt;&gt;"acoes")))*INDEX(Inputs!$K$5:$AJ$110,0,MATCH(U$2,Inputs!$K$4:$AJ$4,0)))+SUMPRODUCT((Inputs!$E$5:$E$110=$B64)*Inputs!$F$5:$F$110*(((Inputs!$G$5:$G$110="moeda")+(Inputs!$G$5:$G$110="acoes"))*Inputs!$B$1+((Inputs!$G$5:$G$110&lt;&gt;"moeda")*(Inputs!$G$5:$G$110&lt;&gt;"acoes")))*INDEX(Inputs!$K$5:$AJ$110,0,MATCH(U$2,Inputs!$K$4:$AJ$4,0)))))</f>
        <v>12064</v>
      </c>
      <c r="V64" s="513">
        <f>IF(ISNA(MATCH(V$2,Inputs!$K$4:$AJ$4,0)),NA(),IF(SUMPRODUCT((Inputs!$A$5:$A$110=$B64)*ISNUMBER(INDEX(Inputs!$K$5:$AJ$110,0,MATCH(V$2,Inputs!$K$4:$AJ$4,0))))+SUMPRODUCT((Inputs!$C$5:$C$110=$B64)*ISNUMBER(INDEX(Inputs!$K$5:$AJ$110,0,MATCH(V$2,Inputs!$K$4:$AJ$4,0))))+SUMPRODUCT((Inputs!$E$5:$E$110=$B64)*ISNUMBER(INDEX(Inputs!$K$5:$AJ$110,0,MATCH(V$2,Inputs!$K$4:$AJ$4,0))))=0,NA(),SUMPRODUCT((Inputs!$A$5:$A$110=$B64)*Inputs!$B$5:$B$110*(((Inputs!$G$5:$G$110="moeda")+(Inputs!$G$5:$G$110="acoes"))*Inputs!$B$1+((Inputs!$G$5:$G$110&lt;&gt;"moeda")*(Inputs!$G$5:$G$110&lt;&gt;"acoes")))*INDEX(Inputs!$K$5:$AJ$110,0,MATCH(V$2,Inputs!$K$4:$AJ$4,0)))+SUMPRODUCT((Inputs!$C$5:$C$110=$B64)*Inputs!$D$5:$D$110*(((Inputs!$G$5:$G$110="moeda")+(Inputs!$G$5:$G$110="acoes"))*Inputs!$B$1+((Inputs!$G$5:$G$110&lt;&gt;"moeda")*(Inputs!$G$5:$G$110&lt;&gt;"acoes")))*INDEX(Inputs!$K$5:$AJ$110,0,MATCH(V$2,Inputs!$K$4:$AJ$4,0)))+SUMPRODUCT((Inputs!$E$5:$E$110=$B64)*Inputs!$F$5:$F$110*(((Inputs!$G$5:$G$110="moeda")+(Inputs!$G$5:$G$110="acoes"))*Inputs!$B$1+((Inputs!$G$5:$G$110&lt;&gt;"moeda")*(Inputs!$G$5:$G$110&lt;&gt;"acoes")))*INDEX(Inputs!$K$5:$AJ$110,0,MATCH(V$2,Inputs!$K$4:$AJ$4,0)))))</f>
        <v>13575</v>
      </c>
      <c r="W64" s="514">
        <f>SUM(S64:V64)</f>
        <v>51970</v>
      </c>
      <c r="X64" s="513">
        <f>IF(ISNA(MATCH(X$2,Inputs!$K$4:$AJ$4,0)),NA(),IF(SUMPRODUCT((Inputs!$A$5:$A$110=$B64)*ISNUMBER(INDEX(Inputs!$K$5:$AJ$110,0,MATCH(X$2,Inputs!$K$4:$AJ$4,0))))+SUMPRODUCT((Inputs!$C$5:$C$110=$B64)*ISNUMBER(INDEX(Inputs!$K$5:$AJ$110,0,MATCH(X$2,Inputs!$K$4:$AJ$4,0))))+SUMPRODUCT((Inputs!$E$5:$E$110=$B64)*ISNUMBER(INDEX(Inputs!$K$5:$AJ$110,0,MATCH(X$2,Inputs!$K$4:$AJ$4,0))))=0,NA(),SUMPRODUCT((Inputs!$A$5:$A$110=$B64)*Inputs!$B$5:$B$110*(((Inputs!$G$5:$G$110="moeda")+(Inputs!$G$5:$G$110="acoes"))*Inputs!$B$1+((Inputs!$G$5:$G$110&lt;&gt;"moeda")*(Inputs!$G$5:$G$110&lt;&gt;"acoes")))*INDEX(Inputs!$K$5:$AJ$110,0,MATCH(X$2,Inputs!$K$4:$AJ$4,0)))+SUMPRODUCT((Inputs!$C$5:$C$110=$B64)*Inputs!$D$5:$D$110*(((Inputs!$G$5:$G$110="moeda")+(Inputs!$G$5:$G$110="acoes"))*Inputs!$B$1+((Inputs!$G$5:$G$110&lt;&gt;"moeda")*(Inputs!$G$5:$G$110&lt;&gt;"acoes")))*INDEX(Inputs!$K$5:$AJ$110,0,MATCH(X$2,Inputs!$K$4:$AJ$4,0)))+SUMPRODUCT((Inputs!$E$5:$E$110=$B64)*Inputs!$F$5:$F$110*(((Inputs!$G$5:$G$110="moeda")+(Inputs!$G$5:$G$110="acoes"))*Inputs!$B$1+((Inputs!$G$5:$G$110&lt;&gt;"moeda")*(Inputs!$G$5:$G$110&lt;&gt;"acoes")))*INDEX(Inputs!$K$5:$AJ$110,0,MATCH(X$2,Inputs!$K$4:$AJ$4,0)))))</f>
        <v>11714</v>
      </c>
      <c r="Y64" s="513">
        <f>IF(ISNA(MATCH(Y$2,Inputs!$K$4:$AJ$4,0)),NA(),IF(SUMPRODUCT((Inputs!$A$5:$A$110=$B64)*ISNUMBER(INDEX(Inputs!$K$5:$AJ$110,0,MATCH(Y$2,Inputs!$K$4:$AJ$4,0))))+SUMPRODUCT((Inputs!$C$5:$C$110=$B64)*ISNUMBER(INDEX(Inputs!$K$5:$AJ$110,0,MATCH(Y$2,Inputs!$K$4:$AJ$4,0))))+SUMPRODUCT((Inputs!$E$5:$E$110=$B64)*ISNUMBER(INDEX(Inputs!$K$5:$AJ$110,0,MATCH(Y$2,Inputs!$K$4:$AJ$4,0))))=0,NA(),SUMPRODUCT((Inputs!$A$5:$A$110=$B64)*Inputs!$B$5:$B$110*(((Inputs!$G$5:$G$110="moeda")+(Inputs!$G$5:$G$110="acoes"))*Inputs!$B$1+((Inputs!$G$5:$G$110&lt;&gt;"moeda")*(Inputs!$G$5:$G$110&lt;&gt;"acoes")))*INDEX(Inputs!$K$5:$AJ$110,0,MATCH(Y$2,Inputs!$K$4:$AJ$4,0)))+SUMPRODUCT((Inputs!$C$5:$C$110=$B64)*Inputs!$D$5:$D$110*(((Inputs!$G$5:$G$110="moeda")+(Inputs!$G$5:$G$110="acoes"))*Inputs!$B$1+((Inputs!$G$5:$G$110&lt;&gt;"moeda")*(Inputs!$G$5:$G$110&lt;&gt;"acoes")))*INDEX(Inputs!$K$5:$AJ$110,0,MATCH(Y$2,Inputs!$K$4:$AJ$4,0)))+SUMPRODUCT((Inputs!$E$5:$E$110=$B64)*Inputs!$F$5:$F$110*(((Inputs!$G$5:$G$110="moeda")+(Inputs!$G$5:$G$110="acoes"))*Inputs!$B$1+((Inputs!$G$5:$G$110&lt;&gt;"moeda")*(Inputs!$G$5:$G$110&lt;&gt;"acoes")))*INDEX(Inputs!$K$5:$AJ$110,0,MATCH(Y$2,Inputs!$K$4:$AJ$4,0)))))</f>
        <v>12546</v>
      </c>
      <c r="Z64" s="513">
        <f>IF(ISNA(MATCH(Z$2,Inputs!$K$4:$AJ$4,0)),NA(),IF(SUMPRODUCT((Inputs!$A$5:$A$110=$B64)*ISNUMBER(INDEX(Inputs!$K$5:$AJ$110,0,MATCH(Z$2,Inputs!$K$4:$AJ$4,0))))+SUMPRODUCT((Inputs!$C$5:$C$110=$B64)*ISNUMBER(INDEX(Inputs!$K$5:$AJ$110,0,MATCH(Z$2,Inputs!$K$4:$AJ$4,0))))+SUMPRODUCT((Inputs!$E$5:$E$110=$B64)*ISNUMBER(INDEX(Inputs!$K$5:$AJ$110,0,MATCH(Z$2,Inputs!$K$4:$AJ$4,0))))=0,NA(),SUMPRODUCT((Inputs!$A$5:$A$110=$B64)*Inputs!$B$5:$B$110*(((Inputs!$G$5:$G$110="moeda")+(Inputs!$G$5:$G$110="acoes"))*Inputs!$B$1+((Inputs!$G$5:$G$110&lt;&gt;"moeda")*(Inputs!$G$5:$G$110&lt;&gt;"acoes")))*INDEX(Inputs!$K$5:$AJ$110,0,MATCH(Z$2,Inputs!$K$4:$AJ$4,0)))+SUMPRODUCT((Inputs!$C$5:$C$110=$B64)*Inputs!$D$5:$D$110*(((Inputs!$G$5:$G$110="moeda")+(Inputs!$G$5:$G$110="acoes"))*Inputs!$B$1+((Inputs!$G$5:$G$110&lt;&gt;"moeda")*(Inputs!$G$5:$G$110&lt;&gt;"acoes")))*INDEX(Inputs!$K$5:$AJ$110,0,MATCH(Z$2,Inputs!$K$4:$AJ$4,0)))+SUMPRODUCT((Inputs!$E$5:$E$110=$B64)*Inputs!$F$5:$F$110*(((Inputs!$G$5:$G$110="moeda")+(Inputs!$G$5:$G$110="acoes"))*Inputs!$B$1+((Inputs!$G$5:$G$110&lt;&gt;"moeda")*(Inputs!$G$5:$G$110&lt;&gt;"acoes")))*INDEX(Inputs!$K$5:$AJ$110,0,MATCH(Z$2,Inputs!$K$4:$AJ$4,0)))))</f>
        <v>12869</v>
      </c>
      <c r="AA64" s="513">
        <f>IF(ISNA(MATCH(AA$2,Inputs!$K$4:$AJ$4,0)),NA(),IF(SUMPRODUCT((Inputs!$A$5:$A$110=$B64)*ISNUMBER(INDEX(Inputs!$K$5:$AJ$110,0,MATCH(AA$2,Inputs!$K$4:$AJ$4,0))))+SUMPRODUCT((Inputs!$C$5:$C$110=$B64)*ISNUMBER(INDEX(Inputs!$K$5:$AJ$110,0,MATCH(AA$2,Inputs!$K$4:$AJ$4,0))))+SUMPRODUCT((Inputs!$E$5:$E$110=$B64)*ISNUMBER(INDEX(Inputs!$K$5:$AJ$110,0,MATCH(AA$2,Inputs!$K$4:$AJ$4,0))))=0,NA(),SUMPRODUCT((Inputs!$A$5:$A$110=$B64)*Inputs!$B$5:$B$110*(((Inputs!$G$5:$G$110="moeda")+(Inputs!$G$5:$G$110="acoes"))*Inputs!$B$1+((Inputs!$G$5:$G$110&lt;&gt;"moeda")*(Inputs!$G$5:$G$110&lt;&gt;"acoes")))*INDEX(Inputs!$K$5:$AJ$110,0,MATCH(AA$2,Inputs!$K$4:$AJ$4,0)))+SUMPRODUCT((Inputs!$C$5:$C$110=$B64)*Inputs!$D$5:$D$110*(((Inputs!$G$5:$G$110="moeda")+(Inputs!$G$5:$G$110="acoes"))*Inputs!$B$1+((Inputs!$G$5:$G$110&lt;&gt;"moeda")*(Inputs!$G$5:$G$110&lt;&gt;"acoes")))*INDEX(Inputs!$K$5:$AJ$110,0,MATCH(AA$2,Inputs!$K$4:$AJ$4,0)))+SUMPRODUCT((Inputs!$E$5:$E$110=$B64)*Inputs!$F$5:$F$110*(((Inputs!$G$5:$G$110="moeda")+(Inputs!$G$5:$G$110="acoes"))*Inputs!$B$1+((Inputs!$G$5:$G$110&lt;&gt;"moeda")*(Inputs!$G$5:$G$110&lt;&gt;"acoes")))*INDEX(Inputs!$K$5:$AJ$110,0,MATCH(AA$2,Inputs!$K$4:$AJ$4,0)))))</f>
        <v>15363</v>
      </c>
      <c r="AB64" s="514">
        <f>SUM(X64:AA64)</f>
        <v>52492</v>
      </c>
      <c r="AC64" s="513">
        <f>IF(ISNA(MATCH(AC$2,Inputs!$K$4:$AJ$4,0)),NA(),IF(SUMPRODUCT((Inputs!$A$5:$A$110=$B64)*ISNUMBER(INDEX(Inputs!$K$5:$AJ$110,0,MATCH(AC$2,Inputs!$K$4:$AJ$4,0))))+SUMPRODUCT((Inputs!$C$5:$C$110=$B64)*ISNUMBER(INDEX(Inputs!$K$5:$AJ$110,0,MATCH(AC$2,Inputs!$K$4:$AJ$4,0))))+SUMPRODUCT((Inputs!$E$5:$E$110=$B64)*ISNUMBER(INDEX(Inputs!$K$5:$AJ$110,0,MATCH(AC$2,Inputs!$K$4:$AJ$4,0))))=0,NA(),SUMPRODUCT((Inputs!$A$5:$A$110=$B64)*Inputs!$B$5:$B$110*(((Inputs!$G$5:$G$110="moeda")+(Inputs!$G$5:$G$110="acoes"))*Inputs!$B$1+((Inputs!$G$5:$G$110&lt;&gt;"moeda")*(Inputs!$G$5:$G$110&lt;&gt;"acoes")))*INDEX(Inputs!$K$5:$AJ$110,0,MATCH(AC$2,Inputs!$K$4:$AJ$4,0)))+SUMPRODUCT((Inputs!$C$5:$C$110=$B64)*Inputs!$D$5:$D$110*(((Inputs!$G$5:$G$110="moeda")+(Inputs!$G$5:$G$110="acoes"))*Inputs!$B$1+((Inputs!$G$5:$G$110&lt;&gt;"moeda")*(Inputs!$G$5:$G$110&lt;&gt;"acoes")))*INDEX(Inputs!$K$5:$AJ$110,0,MATCH(AC$2,Inputs!$K$4:$AJ$4,0)))+SUMPRODUCT((Inputs!$E$5:$E$110=$B64)*Inputs!$F$5:$F$110*(((Inputs!$G$5:$G$110="moeda")+(Inputs!$G$5:$G$110="acoes"))*Inputs!$B$1+((Inputs!$G$5:$G$110&lt;&gt;"moeda")*(Inputs!$G$5:$G$110&lt;&gt;"acoes")))*INDEX(Inputs!$K$5:$AJ$110,0,MATCH(AC$2,Inputs!$K$4:$AJ$4,0)))))</f>
        <v>13847</v>
      </c>
      <c r="AD64" s="513">
        <f>IF(ISNA(MATCH(AD$2,Inputs!$K$4:$AJ$4,0)),NA(),IF(SUMPRODUCT((Inputs!$A$5:$A$110=$B64)*ISNUMBER(INDEX(Inputs!$K$5:$AJ$110,0,MATCH(AD$2,Inputs!$K$4:$AJ$4,0))))+SUMPRODUCT((Inputs!$C$5:$C$110=$B64)*ISNUMBER(INDEX(Inputs!$K$5:$AJ$110,0,MATCH(AD$2,Inputs!$K$4:$AJ$4,0))))+SUMPRODUCT((Inputs!$E$5:$E$110=$B64)*ISNUMBER(INDEX(Inputs!$K$5:$AJ$110,0,MATCH(AD$2,Inputs!$K$4:$AJ$4,0))))=0,NA(),SUMPRODUCT((Inputs!$A$5:$A$110=$B64)*Inputs!$B$5:$B$110*(((Inputs!$G$5:$G$110="moeda")+(Inputs!$G$5:$G$110="acoes"))*Inputs!$B$1+((Inputs!$G$5:$G$110&lt;&gt;"moeda")*(Inputs!$G$5:$G$110&lt;&gt;"acoes")))*INDEX(Inputs!$K$5:$AJ$110,0,MATCH(AD$2,Inputs!$K$4:$AJ$4,0)))+SUMPRODUCT((Inputs!$C$5:$C$110=$B64)*Inputs!$D$5:$D$110*(((Inputs!$G$5:$G$110="moeda")+(Inputs!$G$5:$G$110="acoes"))*Inputs!$B$1+((Inputs!$G$5:$G$110&lt;&gt;"moeda")*(Inputs!$G$5:$G$110&lt;&gt;"acoes")))*INDEX(Inputs!$K$5:$AJ$110,0,MATCH(AD$2,Inputs!$K$4:$AJ$4,0)))+SUMPRODUCT((Inputs!$E$5:$E$110=$B64)*Inputs!$F$5:$F$110*(((Inputs!$G$5:$G$110="moeda")+(Inputs!$G$5:$G$110="acoes"))*Inputs!$B$1+((Inputs!$G$5:$G$110&lt;&gt;"moeda")*(Inputs!$G$5:$G$110&lt;&gt;"acoes")))*INDEX(Inputs!$K$5:$AJ$110,0,MATCH(AD$2,Inputs!$K$4:$AJ$4,0)))))</f>
        <v>14331</v>
      </c>
      <c r="AE64" s="513" t="e">
        <f>IF(ISNA(MATCH(AE$2,Inputs!$K$4:$AJ$4,0)),NA(),IF(SUMPRODUCT((Inputs!$A$5:$A$110=$B64)*ISNUMBER(INDEX(Inputs!$K$5:$AJ$110,0,MATCH(AE$2,Inputs!$K$4:$AJ$4,0))))+SUMPRODUCT((Inputs!$C$5:$C$110=$B64)*ISNUMBER(INDEX(Inputs!$K$5:$AJ$110,0,MATCH(AE$2,Inputs!$K$4:$AJ$4,0))))+SUMPRODUCT((Inputs!$E$5:$E$110=$B64)*ISNUMBER(INDEX(Inputs!$K$5:$AJ$110,0,MATCH(AE$2,Inputs!$K$4:$AJ$4,0))))=0,NA(),SUMPRODUCT((Inputs!$A$5:$A$110=$B64)*Inputs!$B$5:$B$110*(((Inputs!$G$5:$G$110="moeda")+(Inputs!$G$5:$G$110="acoes"))*Inputs!$B$1+((Inputs!$G$5:$G$110&lt;&gt;"moeda")*(Inputs!$G$5:$G$110&lt;&gt;"acoes")))*INDEX(Inputs!$K$5:$AJ$110,0,MATCH(AE$2,Inputs!$K$4:$AJ$4,0)))+SUMPRODUCT((Inputs!$C$5:$C$110=$B64)*Inputs!$D$5:$D$110*(((Inputs!$G$5:$G$110="moeda")+(Inputs!$G$5:$G$110="acoes"))*Inputs!$B$1+((Inputs!$G$5:$G$110&lt;&gt;"moeda")*(Inputs!$G$5:$G$110&lt;&gt;"acoes")))*INDEX(Inputs!$K$5:$AJ$110,0,MATCH(AE$2,Inputs!$K$4:$AJ$4,0)))+SUMPRODUCT((Inputs!$E$5:$E$110=$B64)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4" s="513" t="e">
        <f>IF(ISNA(MATCH(AF$2,Inputs!$K$4:$AJ$4,0)),NA(),IF(SUMPRODUCT((Inputs!$A$5:$A$110=$B64)*ISNUMBER(INDEX(Inputs!$K$5:$AJ$110,0,MATCH(AF$2,Inputs!$K$4:$AJ$4,0))))+SUMPRODUCT((Inputs!$C$5:$C$110=$B64)*ISNUMBER(INDEX(Inputs!$K$5:$AJ$110,0,MATCH(AF$2,Inputs!$K$4:$AJ$4,0))))+SUMPRODUCT((Inputs!$E$5:$E$110=$B64)*ISNUMBER(INDEX(Inputs!$K$5:$AJ$110,0,MATCH(AF$2,Inputs!$K$4:$AJ$4,0))))=0,NA(),SUMPRODUCT((Inputs!$A$5:$A$110=$B64)*Inputs!$B$5:$B$110*(((Inputs!$G$5:$G$110="moeda")+(Inputs!$G$5:$G$110="acoes"))*Inputs!$B$1+((Inputs!$G$5:$G$110&lt;&gt;"moeda")*(Inputs!$G$5:$G$110&lt;&gt;"acoes")))*INDEX(Inputs!$K$5:$AJ$110,0,MATCH(AF$2,Inputs!$K$4:$AJ$4,0)))+SUMPRODUCT((Inputs!$C$5:$C$110=$B64)*Inputs!$D$5:$D$110*(((Inputs!$G$5:$G$110="moeda")+(Inputs!$G$5:$G$110="acoes"))*Inputs!$B$1+((Inputs!$G$5:$G$110&lt;&gt;"moeda")*(Inputs!$G$5:$G$110&lt;&gt;"acoes")))*INDEX(Inputs!$K$5:$AJ$110,0,MATCH(AF$2,Inputs!$K$4:$AJ$4,0)))+SUMPRODUCT((Inputs!$E$5:$E$110=$B64)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4" s="514" t="e">
        <f>SUM(AC64:AF64)</f>
        <v>#N/A</v>
      </c>
      <c r="AH64" s="513">
        <f>IF(ISNA(MATCH(AH$2,Inputs!$K$4:$AJ$4,0)),NA(),IF(SUMPRODUCT((Inputs!$A$5:$A$110=$B64)*ISNUMBER(INDEX(Inputs!$K$5:$AJ$110,0,MATCH(AH$2,Inputs!$K$4:$AJ$4,0))))+SUMPRODUCT((Inputs!$C$5:$C$110=$B64)*ISNUMBER(INDEX(Inputs!$K$5:$AJ$110,0,MATCH(AH$2,Inputs!$K$4:$AJ$4,0))))+SUMPRODUCT((Inputs!$E$5:$E$110=$B64)*ISNUMBER(INDEX(Inputs!$K$5:$AJ$110,0,MATCH(AH$2,Inputs!$K$4:$AJ$4,0))))=0,NA(),SUMPRODUCT((Inputs!$A$5:$A$110=$B64)*Inputs!$B$5:$B$110*(((Inputs!$G$5:$G$110="moeda")+(Inputs!$G$5:$G$110="acoes"))*Inputs!$B$1+((Inputs!$G$5:$G$110&lt;&gt;"moeda")*(Inputs!$G$5:$G$110&lt;&gt;"acoes")))*INDEX(Inputs!$K$5:$AJ$110,0,MATCH(AH$2,Inputs!$K$4:$AJ$4,0)))+SUMPRODUCT((Inputs!$C$5:$C$110=$B64)*Inputs!$D$5:$D$110*(((Inputs!$G$5:$G$110="moeda")+(Inputs!$G$5:$G$110="acoes"))*Inputs!$B$1+((Inputs!$G$5:$G$110&lt;&gt;"moeda")*(Inputs!$G$5:$G$110&lt;&gt;"acoes")))*INDEX(Inputs!$K$5:$AJ$110,0,MATCH(AH$2,Inputs!$K$4:$AJ$4,0)))+SUMPRODUCT((Inputs!$E$5:$E$110=$B64)*Inputs!$F$5:$F$110*(((Inputs!$G$5:$G$110="moeda")+(Inputs!$G$5:$G$110="acoes"))*Inputs!$B$1+((Inputs!$G$5:$G$110&lt;&gt;"moeda")*(Inputs!$G$5:$G$110&lt;&gt;"acoes")))*INDEX(Inputs!$K$5:$AJ$110,0,MATCH(AH$2,Inputs!$K$4:$AJ$4,0)))))</f>
        <v>8496</v>
      </c>
      <c r="AI64" s="513">
        <f>IF(ISNA(MATCH(AI$2,Inputs!$K$4:$AJ$4,0)),NA(),IF(SUMPRODUCT((Inputs!$A$5:$A$110=$B64)*ISNUMBER(INDEX(Inputs!$K$5:$AJ$110,0,MATCH(AI$2,Inputs!$K$4:$AJ$4,0))))+SUMPRODUCT((Inputs!$C$5:$C$110=$B64)*ISNUMBER(INDEX(Inputs!$K$5:$AJ$110,0,MATCH(AI$2,Inputs!$K$4:$AJ$4,0))))+SUMPRODUCT((Inputs!$E$5:$E$110=$B64)*ISNUMBER(INDEX(Inputs!$K$5:$AJ$110,0,MATCH(AI$2,Inputs!$K$4:$AJ$4,0))))=0,NA(),SUMPRODUCT((Inputs!$A$5:$A$110=$B64)*Inputs!$B$5:$B$110*(((Inputs!$G$5:$G$110="moeda")+(Inputs!$G$5:$G$110="acoes"))*Inputs!$B$1+((Inputs!$G$5:$G$110&lt;&gt;"moeda")*(Inputs!$G$5:$G$110&lt;&gt;"acoes")))*INDEX(Inputs!$K$5:$AJ$110,0,MATCH(AI$2,Inputs!$K$4:$AJ$4,0)))+SUMPRODUCT((Inputs!$C$5:$C$110=$B64)*Inputs!$D$5:$D$110*(((Inputs!$G$5:$G$110="moeda")+(Inputs!$G$5:$G$110="acoes"))*Inputs!$B$1+((Inputs!$G$5:$G$110&lt;&gt;"moeda")*(Inputs!$G$5:$G$110&lt;&gt;"acoes")))*INDEX(Inputs!$K$5:$AJ$110,0,MATCH(AI$2,Inputs!$K$4:$AJ$4,0)))+SUMPRODUCT((Inputs!$E$5:$E$110=$B64)*Inputs!$F$5:$F$110*(((Inputs!$G$5:$G$110="moeda")+(Inputs!$G$5:$G$110="acoes"))*Inputs!$B$1+((Inputs!$G$5:$G$110&lt;&gt;"moeda")*(Inputs!$G$5:$G$110&lt;&gt;"acoes")))*INDEX(Inputs!$K$5:$AJ$110,0,MATCH(AI$2,Inputs!$K$4:$AJ$4,0)))))</f>
        <v>7208</v>
      </c>
      <c r="AJ64" s="513">
        <f>IF(ISNA(MATCH(AJ$2,Inputs!$K$4:$AJ$4,0)),NA(),IF(SUMPRODUCT((Inputs!$A$5:$A$110=$B64)*ISNUMBER(INDEX(Inputs!$K$5:$AJ$110,0,MATCH(AJ$2,Inputs!$K$4:$AJ$4,0))))+SUMPRODUCT((Inputs!$C$5:$C$110=$B64)*ISNUMBER(INDEX(Inputs!$K$5:$AJ$110,0,MATCH(AJ$2,Inputs!$K$4:$AJ$4,0))))+SUMPRODUCT((Inputs!$E$5:$E$110=$B64)*ISNUMBER(INDEX(Inputs!$K$5:$AJ$110,0,MATCH(AJ$2,Inputs!$K$4:$AJ$4,0))))=0,NA(),SUMPRODUCT((Inputs!$A$5:$A$110=$B64)*Inputs!$B$5:$B$110*(((Inputs!$G$5:$G$110="moeda")+(Inputs!$G$5:$G$110="acoes"))*Inputs!$B$1+((Inputs!$G$5:$G$110&lt;&gt;"moeda")*(Inputs!$G$5:$G$110&lt;&gt;"acoes")))*INDEX(Inputs!$K$5:$AJ$110,0,MATCH(AJ$2,Inputs!$K$4:$AJ$4,0)))+SUMPRODUCT((Inputs!$C$5:$C$110=$B64)*Inputs!$D$5:$D$110*(((Inputs!$G$5:$G$110="moeda")+(Inputs!$G$5:$G$110="acoes"))*Inputs!$B$1+((Inputs!$G$5:$G$110&lt;&gt;"moeda")*(Inputs!$G$5:$G$110&lt;&gt;"acoes")))*INDEX(Inputs!$K$5:$AJ$110,0,MATCH(AJ$2,Inputs!$K$4:$AJ$4,0)))+SUMPRODUCT((Inputs!$E$5:$E$110=$B64)*Inputs!$F$5:$F$110*(((Inputs!$G$5:$G$110="moeda")+(Inputs!$G$5:$G$110="acoes"))*Inputs!$B$1+((Inputs!$G$5:$G$110&lt;&gt;"moeda")*(Inputs!$G$5:$G$110&lt;&gt;"acoes")))*INDEX(Inputs!$K$5:$AJ$110,0,MATCH(AJ$2,Inputs!$K$4:$AJ$4,0)))))</f>
        <v>7429</v>
      </c>
      <c r="AK64" s="513">
        <f>IF(ISNA(MATCH(AK$2,Inputs!$K$4:$AJ$4,0)),NA(),IF(SUMPRODUCT((Inputs!$A$5:$A$110=$B64)*ISNUMBER(INDEX(Inputs!$K$5:$AJ$110,0,MATCH(AK$2,Inputs!$K$4:$AJ$4,0))))+SUMPRODUCT((Inputs!$C$5:$C$110=$B64)*ISNUMBER(INDEX(Inputs!$K$5:$AJ$110,0,MATCH(AK$2,Inputs!$K$4:$AJ$4,0))))+SUMPRODUCT((Inputs!$E$5:$E$110=$B64)*ISNUMBER(INDEX(Inputs!$K$5:$AJ$110,0,MATCH(AK$2,Inputs!$K$4:$AJ$4,0))))=0,NA(),SUMPRODUCT((Inputs!$A$5:$A$110=$B64)*Inputs!$B$5:$B$110*(((Inputs!$G$5:$G$110="moeda")+(Inputs!$G$5:$G$110="acoes"))*Inputs!$B$1+((Inputs!$G$5:$G$110&lt;&gt;"moeda")*(Inputs!$G$5:$G$110&lt;&gt;"acoes")))*INDEX(Inputs!$K$5:$AJ$110,0,MATCH(AK$2,Inputs!$K$4:$AJ$4,0)))+SUMPRODUCT((Inputs!$C$5:$C$110=$B64)*Inputs!$D$5:$D$110*(((Inputs!$G$5:$G$110="moeda")+(Inputs!$G$5:$G$110="acoes"))*Inputs!$B$1+((Inputs!$G$5:$G$110&lt;&gt;"moeda")*(Inputs!$G$5:$G$110&lt;&gt;"acoes")))*INDEX(Inputs!$K$5:$AJ$110,0,MATCH(AK$2,Inputs!$K$4:$AJ$4,0)))+SUMPRODUCT((Inputs!$E$5:$E$110=$B64)*Inputs!$F$5:$F$110*(((Inputs!$G$5:$G$110="moeda")+(Inputs!$G$5:$G$110="acoes"))*Inputs!$B$1+((Inputs!$G$5:$G$110&lt;&gt;"moeda")*(Inputs!$G$5:$G$110&lt;&gt;"acoes")))*INDEX(Inputs!$K$5:$AJ$110,0,MATCH(AK$2,Inputs!$K$4:$AJ$4,0)))))</f>
        <v>9509</v>
      </c>
      <c r="AL64" s="514">
        <f>SUM(AH64:AK64)</f>
        <v>32642</v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C394"/>
  <sheetViews>
    <sheetView showFormulas="0" showGridLines="0" showRowColHeaders="1" showZeros="1" rightToLeft="0" tabSelected="1" showOutlineSymbols="1" defaultGridColor="1" view="normal" topLeftCell="A1" colorId="64" zoomScale="85" zoomScaleNormal="85" zoomScalePageLayoutView="100" workbookViewId="0">
      <pane xSplit="3" ySplit="371" topLeftCell="D372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D1" activeCellId="0" sqref="D1"/>
      <selection pane="bottomLeft" activeCell="A336" activeCellId="0" sqref="A336"/>
      <selection pane="bottomRight" activeCell="D298" activeCellId="0" sqref="D298"/>
    </sheetView>
  </sheetViews>
  <sheetFormatPr baseColWidth="8" defaultColWidth="9.140625" defaultRowHeight="12.75" zeroHeight="0" outlineLevelRow="1"/>
  <cols>
    <col width="1.71" customWidth="1" style="259" min="1" max="1"/>
    <col outlineLevel="1" width="7.85" customWidth="1" style="259" min="2" max="2"/>
    <col width="84.70999999999999" customWidth="1" style="260" min="3" max="3"/>
    <col outlineLevel="1" width="11.42" customWidth="1" style="260" min="4" max="7"/>
    <col width="11.42" customWidth="1" style="260" min="8" max="8"/>
    <col outlineLevel="1" width="11.42" customWidth="1" style="260" min="9" max="12"/>
    <col width="11.42" customWidth="1" style="260" min="13" max="13"/>
    <col outlineLevel="1" width="11.42" customWidth="1" style="260" min="14" max="17"/>
    <col width="11.42" customWidth="1" style="260" min="18" max="18"/>
    <col outlineLevel="1" width="11.42" customWidth="1" style="260" min="19" max="22"/>
    <col width="11.42" customWidth="1" style="260" min="23" max="23"/>
    <col outlineLevel="1" width="11.42" customWidth="1" style="260" min="24" max="24"/>
    <col outlineLevel="1" width="11.14" customWidth="1" style="260" min="25" max="25"/>
    <col outlineLevel="1" width="11.42" customWidth="1" style="260" min="26" max="27"/>
    <col width="11.14" customWidth="1" style="260" min="28" max="28"/>
    <col outlineLevel="1" width="12.28" customWidth="1" style="260" min="29" max="29"/>
    <col outlineLevel="1" width="13.28" customWidth="1" style="260" min="30" max="30"/>
    <col outlineLevel="1" width="11" customWidth="1" style="260" min="31" max="31"/>
    <col outlineLevel="1" width="10.14" customWidth="1" style="260" min="32" max="32"/>
    <col width="11" customWidth="1" style="260" min="33" max="33"/>
    <col outlineLevel="1" width="10.14" customWidth="1" style="260" min="34" max="34"/>
    <col outlineLevel="1" width="11.14" customWidth="1" style="260" min="35" max="35"/>
    <col outlineLevel="1" width="10.14" customWidth="1" style="260" min="36" max="37"/>
    <col width="10" customWidth="1" style="260" min="38" max="38"/>
    <col outlineLevel="1" width="10.14" customWidth="1" style="260" min="39" max="39"/>
    <col outlineLevel="1" width="11.14" customWidth="1" style="260" min="40" max="40"/>
    <col outlineLevel="1" width="10.14" customWidth="1" style="260" min="41" max="42"/>
    <col width="10" customWidth="1" style="260" min="43" max="43"/>
    <col outlineLevel="1" width="10.14" customWidth="1" style="260" min="44" max="44"/>
    <col outlineLevel="1" width="11.14" customWidth="1" style="260" min="45" max="45"/>
    <col outlineLevel="1" width="10.14" customWidth="1" style="260" min="46" max="47"/>
    <col width="10" customWidth="1" style="260" min="48" max="48"/>
    <col outlineLevel="1" width="10.14" customWidth="1" style="260" min="49" max="49"/>
    <col outlineLevel="1" width="11.14" customWidth="1" style="260" min="50" max="50"/>
    <col outlineLevel="1" width="10.14" customWidth="1" style="260" min="51" max="52"/>
    <col width="10" customWidth="1" style="260" min="53" max="53"/>
    <col outlineLevel="1" width="10.14" customWidth="1" style="260" min="54" max="54"/>
    <col outlineLevel="1" width="11.14" customWidth="1" style="260" min="55" max="55"/>
    <col outlineLevel="1" width="10.14" customWidth="1" style="260" min="56" max="57"/>
    <col width="10" customWidth="1" style="260" min="58" max="58"/>
    <col outlineLevel="1" width="10.14" customWidth="1" style="260" min="59" max="59"/>
    <col outlineLevel="1" width="11.14" customWidth="1" style="260" min="60" max="60"/>
    <col outlineLevel="1" width="10.14" customWidth="1" style="260" min="61" max="62"/>
    <col width="10" customWidth="1" style="260" min="63" max="63"/>
    <col outlineLevel="1" width="10.14" customWidth="1" style="260" min="64" max="64"/>
    <col outlineLevel="1" width="11.14" customWidth="1" style="260" min="65" max="65"/>
    <col outlineLevel="1" width="10.14" customWidth="1" style="260" min="66" max="67"/>
    <col width="10" customWidth="1" style="260" min="68" max="68"/>
    <col outlineLevel="1" width="10.14" customWidth="1" style="260" min="69" max="69"/>
    <col outlineLevel="1" width="11.14" customWidth="1" style="260" min="70" max="70"/>
    <col outlineLevel="1" width="10.14" customWidth="1" style="260" min="71" max="72"/>
    <col width="10" customWidth="1" style="260" min="73" max="73"/>
    <col outlineLevel="1" width="10.14" customWidth="1" style="260" min="74" max="74"/>
    <col outlineLevel="1" width="11.14" customWidth="1" style="260" min="75" max="75"/>
    <col outlineLevel="1" width="10.14" customWidth="1" style="260" min="76" max="77"/>
    <col width="10" customWidth="1" style="260" min="78" max="78"/>
    <col outlineLevel="1" width="10.14" customWidth="1" style="260" min="79" max="79"/>
    <col outlineLevel="1" width="11.14" customWidth="1" style="260" min="80" max="80"/>
    <col outlineLevel="1" width="10.14" customWidth="1" style="260" min="81" max="82"/>
    <col width="10" customWidth="1" style="260" min="83" max="83"/>
    <col outlineLevel="1" width="10.14" customWidth="1" style="260" min="84" max="84"/>
    <col outlineLevel="1" width="11.14" customWidth="1" style="260" min="85" max="85"/>
    <col outlineLevel="1" width="10.14" customWidth="1" style="260" min="86" max="87"/>
    <col width="10" customWidth="1" style="260" min="88" max="88"/>
    <col outlineLevel="1" width="10.14" customWidth="1" style="260" min="89" max="89"/>
    <col outlineLevel="1" width="11.14" customWidth="1" style="260" min="90" max="90"/>
    <col outlineLevel="1" width="10.14" customWidth="1" style="260" min="91" max="92"/>
    <col width="10" customWidth="1" style="260" min="93" max="93"/>
    <col outlineLevel="1" width="10.14" customWidth="1" style="260" min="94" max="94"/>
    <col outlineLevel="1" width="11.14" customWidth="1" style="260" min="95" max="95"/>
    <col outlineLevel="1" width="10.14" customWidth="1" style="260" min="96" max="97"/>
    <col width="10" customWidth="1" style="260" min="98" max="98"/>
    <col outlineLevel="1" width="10.14" customWidth="1" style="260" min="99" max="99"/>
    <col outlineLevel="1" width="11.14" customWidth="1" style="260" min="100" max="100"/>
    <col outlineLevel="1" width="10.14" customWidth="1" style="260" min="101" max="102"/>
    <col width="10" customWidth="1" style="260" min="103" max="103"/>
    <col width="9.140000000000001" customWidth="1" style="260" min="104" max="16384"/>
  </cols>
  <sheetData>
    <row r="1" ht="12.75" customHeight="1" s="255">
      <c r="C1" s="273" t="inlineStr">
        <is>
          <t>CHECKS</t>
        </is>
      </c>
      <c r="D1" s="268">
        <f>SUM(D2,D3)</f>
        <v>0</v>
      </c>
      <c r="E1" s="268">
        <f>SUM(E2,E3)</f>
        <v>0</v>
      </c>
      <c r="F1" s="268">
        <f>SUM(F2,F3)</f>
        <v>0</v>
      </c>
      <c r="G1" s="268">
        <f>SUM(G2,G3)</f>
        <v>0</v>
      </c>
      <c r="H1" s="268">
        <f>SUM(H2,H3)</f>
        <v>0</v>
      </c>
      <c r="I1" s="268">
        <f>SUM(I2,I3)</f>
        <v>0</v>
      </c>
      <c r="J1" s="268">
        <f>SUM(J2,J3)</f>
        <v>0</v>
      </c>
      <c r="K1" s="268">
        <f>SUM(K2,K3)</f>
        <v>0</v>
      </c>
      <c r="L1" s="268">
        <f>SUM(L2,L3)</f>
        <v>0</v>
      </c>
      <c r="M1" s="268">
        <f>SUM(M2,M3)</f>
        <v>0</v>
      </c>
      <c r="N1" s="268">
        <f>SUM(N2,N3)</f>
        <v>0</v>
      </c>
      <c r="O1" s="268">
        <f>SUM(O2,O3)</f>
        <v>0</v>
      </c>
      <c r="P1" s="268">
        <f>SUM(P2,P3)</f>
        <v>0</v>
      </c>
      <c r="Q1" s="268">
        <f>SUM(Q2,Q3)</f>
        <v>0</v>
      </c>
      <c r="R1" s="268">
        <f>SUM(R2,R3)</f>
        <v>0</v>
      </c>
      <c r="S1" s="268">
        <f>SUM(S2,S3)</f>
        <v>0</v>
      </c>
      <c r="T1" s="268">
        <f>SUM(T2,T3)</f>
        <v>0</v>
      </c>
      <c r="U1" s="268">
        <f>SUM(U2,U3)</f>
        <v>0</v>
      </c>
      <c r="V1" s="268">
        <f>SUM(V2,V3)</f>
        <v>0</v>
      </c>
      <c r="W1" s="268">
        <f>SUM(W2,W3)</f>
        <v>0</v>
      </c>
      <c r="X1" s="268">
        <f>SUM(X2,X3)</f>
        <v>0</v>
      </c>
      <c r="Y1" s="268">
        <f>SUM(Y2,Y3)</f>
        <v>0</v>
      </c>
      <c r="Z1" s="268">
        <f>SUM(Z2,Z3)</f>
        <v>0</v>
      </c>
      <c r="AA1" s="268">
        <f>SUM(AA2,AA3)</f>
        <v>0</v>
      </c>
      <c r="AB1" s="268">
        <f>SUM(AB2,AB3)</f>
        <v>0</v>
      </c>
      <c r="AC1" s="268">
        <f>SUM(AC2,AC3)</f>
        <v>0</v>
      </c>
      <c r="AD1" s="268">
        <f>SUM(AD2,AD3)</f>
        <v>0</v>
      </c>
      <c r="AE1" s="268">
        <f>SUM(AE2,AE3)</f>
        <v>0</v>
      </c>
      <c r="AF1" s="268">
        <f>SUM(AF2,AF3)</f>
        <v>0</v>
      </c>
      <c r="AG1" s="268">
        <f>SUM(AG2,AG3)</f>
        <v>0</v>
      </c>
      <c r="AH1" s="268">
        <f>SUM(AH2,AH3)</f>
        <v>0</v>
      </c>
      <c r="AI1" s="268">
        <f>SUM(AI2,AI3)</f>
        <v>0</v>
      </c>
      <c r="AJ1" s="268">
        <f>SUM(AJ2,AJ3)</f>
        <v>0</v>
      </c>
      <c r="AK1" s="268">
        <f>SUM(AK2,AK3)</f>
        <v>0</v>
      </c>
      <c r="AL1" s="268">
        <f>SUM(AL2,AL3)</f>
        <v>0</v>
      </c>
      <c r="AM1" s="268" t="e">
        <f>SUM(AM2,AM3)</f>
        <v>#DIV/0!</v>
      </c>
      <c r="AN1" s="268" t="e">
        <f>SUM(AN2,AN3)</f>
        <v>#DIV/0!</v>
      </c>
      <c r="AO1" s="268" t="e">
        <f>SUM(AO2,AO3)</f>
        <v>#DIV/0!</v>
      </c>
      <c r="AP1" s="268" t="e">
        <f>SUM(AP2,AP3)</f>
        <v>#DIV/0!</v>
      </c>
      <c r="AQ1" s="268" t="e">
        <f>SUM(AQ2,AQ3)</f>
        <v>#DIV/0!</v>
      </c>
      <c r="AR1" s="268" t="e">
        <f>SUM(AR2,AR3)</f>
        <v>#DIV/0!</v>
      </c>
      <c r="AS1" s="268" t="e">
        <f>SUM(AS2,AS3)</f>
        <v>#DIV/0!</v>
      </c>
      <c r="AT1" s="268" t="e">
        <f>SUM(AT2,AT3)</f>
        <v>#DIV/0!</v>
      </c>
      <c r="AU1" s="268" t="e">
        <f>SUM(AU2,AU3)</f>
        <v>#DIV/0!</v>
      </c>
      <c r="AV1" s="268" t="e">
        <f>SUM(AV2,AV3)</f>
        <v>#DIV/0!</v>
      </c>
      <c r="AW1" s="268" t="e">
        <f>SUM(AW2,AW3)</f>
        <v>#DIV/0!</v>
      </c>
      <c r="AX1" s="268" t="e">
        <f>SUM(AX2,AX3)</f>
        <v>#DIV/0!</v>
      </c>
      <c r="AY1" s="268" t="e">
        <f>SUM(AY2,AY3)</f>
        <v>#DIV/0!</v>
      </c>
      <c r="AZ1" s="268" t="e">
        <f>SUM(AZ2,AZ3)</f>
        <v>#DIV/0!</v>
      </c>
      <c r="BA1" s="268" t="e">
        <f>SUM(BA2,BA3)</f>
        <v>#DIV/0!</v>
      </c>
      <c r="BB1" s="268" t="e">
        <f>SUM(BB2,BB3)</f>
        <v>#DIV/0!</v>
      </c>
      <c r="BC1" s="268" t="e">
        <f>SUM(BC2,BC3)</f>
        <v>#DIV/0!</v>
      </c>
      <c r="BD1" s="268" t="e">
        <f>SUM(BD2,BD3)</f>
        <v>#DIV/0!</v>
      </c>
      <c r="BE1" s="268" t="e">
        <f>SUM(BE2,BE3)</f>
        <v>#DIV/0!</v>
      </c>
      <c r="BF1" s="268" t="e">
        <f>SUM(BF2,BF3)</f>
        <v>#DIV/0!</v>
      </c>
      <c r="BG1" s="268" t="e">
        <f>SUM(BG2,BG3)</f>
        <v>#DIV/0!</v>
      </c>
      <c r="BH1" s="268" t="e">
        <f>SUM(BH2,BH3)</f>
        <v>#DIV/0!</v>
      </c>
      <c r="BI1" s="268" t="e">
        <f>SUM(BI2,BI3)</f>
        <v>#DIV/0!</v>
      </c>
      <c r="BJ1" s="268" t="e">
        <f>SUM(BJ2,BJ3)</f>
        <v>#DIV/0!</v>
      </c>
      <c r="BK1" s="268" t="e">
        <f>SUM(BK2,BK3)</f>
        <v>#DIV/0!</v>
      </c>
      <c r="BL1" s="268" t="e">
        <f>SUM(BL2,BL3)</f>
        <v>#DIV/0!</v>
      </c>
      <c r="BM1" s="268" t="e">
        <f>SUM(BM2,BM3)</f>
        <v>#DIV/0!</v>
      </c>
      <c r="BN1" s="268" t="e">
        <f>SUM(BN2,BN3)</f>
        <v>#DIV/0!</v>
      </c>
      <c r="BO1" s="268" t="e">
        <f>SUM(BO2,BO3)</f>
        <v>#DIV/0!</v>
      </c>
      <c r="BP1" s="268" t="e">
        <f>SUM(BP2,BP3)</f>
        <v>#DIV/0!</v>
      </c>
      <c r="BQ1" s="268" t="e">
        <f>SUM(BQ2,BQ3)</f>
        <v>#DIV/0!</v>
      </c>
      <c r="BR1" s="268" t="e">
        <f>SUM(BR2,BR3)</f>
        <v>#DIV/0!</v>
      </c>
      <c r="BS1" s="268" t="e">
        <f>SUM(BS2,BS3)</f>
        <v>#DIV/0!</v>
      </c>
      <c r="BT1" s="268" t="e">
        <f>SUM(BT2,BT3)</f>
        <v>#DIV/0!</v>
      </c>
      <c r="BU1" s="268" t="e">
        <f>SUM(BU2,BU3)</f>
        <v>#DIV/0!</v>
      </c>
      <c r="BV1" s="268" t="e">
        <f>SUM(BV2,BV3)</f>
        <v>#DIV/0!</v>
      </c>
      <c r="BW1" s="268" t="e">
        <f>SUM(BW2,BW3)</f>
        <v>#DIV/0!</v>
      </c>
      <c r="BX1" s="268" t="e">
        <f>SUM(BX2,BX3)</f>
        <v>#DIV/0!</v>
      </c>
      <c r="BY1" s="268" t="e">
        <f>SUM(BY2,BY3)</f>
        <v>#DIV/0!</v>
      </c>
      <c r="BZ1" s="268" t="e">
        <f>SUM(BZ2,BZ3)</f>
        <v>#DIV/0!</v>
      </c>
      <c r="CA1" s="268" t="e">
        <f>SUM(CA2,CA3)</f>
        <v>#DIV/0!</v>
      </c>
      <c r="CB1" s="268" t="e">
        <f>SUM(CB2,CB3)</f>
        <v>#DIV/0!</v>
      </c>
      <c r="CC1" s="268" t="e">
        <f>SUM(CC2,CC3)</f>
        <v>#DIV/0!</v>
      </c>
      <c r="CD1" s="268" t="e">
        <f>SUM(CD2,CD3)</f>
        <v>#DIV/0!</v>
      </c>
      <c r="CE1" s="268" t="e">
        <f>SUM(CE2,CE3)</f>
        <v>#DIV/0!</v>
      </c>
      <c r="CF1" s="268" t="e">
        <f>SUM(CF2,CF3)</f>
        <v>#DIV/0!</v>
      </c>
      <c r="CG1" s="268" t="e">
        <f>SUM(CG2,CG3)</f>
        <v>#DIV/0!</v>
      </c>
      <c r="CH1" s="268" t="e">
        <f>SUM(CH2,CH3)</f>
        <v>#DIV/0!</v>
      </c>
      <c r="CI1" s="268" t="e">
        <f>SUM(CI2,CI3)</f>
        <v>#DIV/0!</v>
      </c>
      <c r="CJ1" s="268" t="e">
        <f>SUM(CJ2,CJ3)</f>
        <v>#DIV/0!</v>
      </c>
      <c r="CK1" s="268" t="e">
        <f>SUM(CK2,CK3)</f>
        <v>#DIV/0!</v>
      </c>
      <c r="CL1" s="268" t="e">
        <f>SUM(CL2,CL3)</f>
        <v>#DIV/0!</v>
      </c>
      <c r="CM1" s="268" t="e">
        <f>SUM(CM2,CM3)</f>
        <v>#DIV/0!</v>
      </c>
      <c r="CN1" s="268" t="e">
        <f>SUM(CN2,CN3)</f>
        <v>#DIV/0!</v>
      </c>
      <c r="CO1" s="268" t="e">
        <f>SUM(CO2,CO3)</f>
        <v>#DIV/0!</v>
      </c>
      <c r="CP1" s="268" t="e">
        <f>SUM(CP2,CP3)</f>
        <v>#DIV/0!</v>
      </c>
      <c r="CQ1" s="268" t="e">
        <f>SUM(CQ2,CQ3)</f>
        <v>#DIV/0!</v>
      </c>
      <c r="CR1" s="268" t="e">
        <f>SUM(CR2,CR3)</f>
        <v>#DIV/0!</v>
      </c>
      <c r="CS1" s="268" t="e">
        <f>SUM(CS2,CS3)</f>
        <v>#DIV/0!</v>
      </c>
      <c r="CT1" s="268" t="e">
        <f>SUM(CT2,CT3)</f>
        <v>#DIV/0!</v>
      </c>
      <c r="CU1" s="268" t="e">
        <f>SUM(CU2,CU3)</f>
        <v>#DIV/0!</v>
      </c>
      <c r="CV1" s="268" t="e">
        <f>SUM(CV2,CV3)</f>
        <v>#DIV/0!</v>
      </c>
      <c r="CW1" s="268" t="e">
        <f>SUM(CW2,CW3)</f>
        <v>#DIV/0!</v>
      </c>
      <c r="CX1" s="268" t="e">
        <f>SUM(CX2,CX3)</f>
        <v>#DIV/0!</v>
      </c>
      <c r="CY1" s="268" t="e">
        <f>SUM(CY2,CY3)</f>
        <v>#DIV/0!</v>
      </c>
    </row>
    <row r="2" outlineLevel="1" ht="12.75" customHeight="1" s="255">
      <c r="C2" s="274" t="inlineStr">
        <is>
          <t>BS</t>
        </is>
      </c>
      <c r="D2" s="268">
        <f>ABS(D199-D275)</f>
        <v>0</v>
      </c>
      <c r="E2" s="268">
        <f>ABS(E199-E275)</f>
        <v>0</v>
      </c>
      <c r="F2" s="268">
        <f>ABS(F199-F275)</f>
        <v>0</v>
      </c>
      <c r="G2" s="268">
        <f>ABS(G199-G275)</f>
        <v>0</v>
      </c>
      <c r="H2" s="268">
        <f>ABS(H199-H275)</f>
        <v>0</v>
      </c>
      <c r="I2" s="268">
        <f>ABS(I199-I275)</f>
        <v>0</v>
      </c>
      <c r="J2" s="268">
        <f>ABS(J199-J275)</f>
        <v>0</v>
      </c>
      <c r="K2" s="268">
        <f>ABS(K199-K275)</f>
        <v>0</v>
      </c>
      <c r="L2" s="268">
        <f>ABS(L199-L275)</f>
        <v>0</v>
      </c>
      <c r="M2" s="268">
        <f>ABS(M199-M275)</f>
        <v>0</v>
      </c>
      <c r="N2" s="268">
        <f>ABS(N199-N275)</f>
        <v>0</v>
      </c>
      <c r="O2" s="268">
        <f>ABS(O199-O275)</f>
        <v>0</v>
      </c>
      <c r="P2" s="268">
        <f>ABS(P199-P275)</f>
        <v>0</v>
      </c>
      <c r="Q2" s="268">
        <f>ABS(Q199-Q275)</f>
        <v>0</v>
      </c>
      <c r="R2" s="268">
        <f>ABS(R199-R275)</f>
        <v>0</v>
      </c>
      <c r="S2" s="268">
        <f>ABS(S199-S275)</f>
        <v>0</v>
      </c>
      <c r="T2" s="268">
        <f>ABS(T199-T275)</f>
        <v>0</v>
      </c>
      <c r="U2" s="268">
        <f>ABS(U199-U275)</f>
        <v>0</v>
      </c>
      <c r="V2" s="268">
        <f>ABS(V199-V275)</f>
        <v>0</v>
      </c>
      <c r="W2" s="268">
        <f>ABS(W199-W275)</f>
        <v>0</v>
      </c>
      <c r="X2" s="268">
        <f>ABS(X199-X275)</f>
        <v>0</v>
      </c>
      <c r="Y2" s="268">
        <f>ABS(Y199-Y275)</f>
        <v>0</v>
      </c>
      <c r="Z2" s="268">
        <f>ABS(Z199-Z275)</f>
        <v>0</v>
      </c>
      <c r="AA2" s="268">
        <f>ABS(AA199-AA275)</f>
        <v>0</v>
      </c>
      <c r="AB2" s="268">
        <f>ABS(AB199-AB275)</f>
        <v>0</v>
      </c>
      <c r="AC2" s="268">
        <f>ABS(AC199-AC275)</f>
        <v>0</v>
      </c>
      <c r="AD2" s="268">
        <f>ABS(AD199-AD275)</f>
        <v>0</v>
      </c>
      <c r="AE2" s="268">
        <f>ABS(AE199-AE275)</f>
        <v>0</v>
      </c>
      <c r="AF2" s="268">
        <f>ABS(AF199-AF275)</f>
        <v>0</v>
      </c>
      <c r="AG2" s="268">
        <f>ABS(AG199-AG275)</f>
        <v>0</v>
      </c>
      <c r="AH2" s="268">
        <f>ABS(AH199-AH275)</f>
        <v>0</v>
      </c>
      <c r="AI2" s="268">
        <f>ABS(AI199-AI275)</f>
        <v>0</v>
      </c>
      <c r="AJ2" s="268">
        <f>ABS(AJ199-AJ275)</f>
        <v>0</v>
      </c>
      <c r="AK2" s="268">
        <f>ABS(AK199-AK275)</f>
        <v>0</v>
      </c>
      <c r="AL2" s="268">
        <f>ABS(AL199-AL275)</f>
        <v>0</v>
      </c>
      <c r="AM2" s="268" t="e">
        <f>ABS(AM199-AM275)</f>
        <v>#DIV/0!</v>
      </c>
      <c r="AN2" s="268" t="e">
        <f>ABS(AN199-AN275)</f>
        <v>#DIV/0!</v>
      </c>
      <c r="AO2" s="268" t="e">
        <f>ABS(AO199-AO275)</f>
        <v>#DIV/0!</v>
      </c>
      <c r="AP2" s="268" t="e">
        <f>ABS(AP199-AP275)</f>
        <v>#DIV/0!</v>
      </c>
      <c r="AQ2" s="268" t="e">
        <f>ABS(AQ199-AQ275)</f>
        <v>#DIV/0!</v>
      </c>
      <c r="AR2" s="268" t="e">
        <f>ABS(AR199-AR275)</f>
        <v>#DIV/0!</v>
      </c>
      <c r="AS2" s="268" t="e">
        <f>ABS(AS199-AS275)</f>
        <v>#DIV/0!</v>
      </c>
      <c r="AT2" s="268" t="e">
        <f>ABS(AT199-AT275)</f>
        <v>#DIV/0!</v>
      </c>
      <c r="AU2" s="268" t="e">
        <f>ABS(AU199-AU275)</f>
        <v>#DIV/0!</v>
      </c>
      <c r="AV2" s="268" t="e">
        <f>ABS(AV199-AV275)</f>
        <v>#DIV/0!</v>
      </c>
      <c r="AW2" s="268" t="e">
        <f>ABS(AW199-AW275)</f>
        <v>#DIV/0!</v>
      </c>
      <c r="AX2" s="268" t="e">
        <f>ABS(AX199-AX275)</f>
        <v>#DIV/0!</v>
      </c>
      <c r="AY2" s="268" t="e">
        <f>ABS(AY199-AY275)</f>
        <v>#DIV/0!</v>
      </c>
      <c r="AZ2" s="268" t="e">
        <f>ABS(AZ199-AZ275)</f>
        <v>#DIV/0!</v>
      </c>
      <c r="BA2" s="268" t="e">
        <f>ABS(BA199-BA275)</f>
        <v>#DIV/0!</v>
      </c>
      <c r="BB2" s="268" t="e">
        <f>ABS(BB199-BB275)</f>
        <v>#DIV/0!</v>
      </c>
      <c r="BC2" s="268" t="e">
        <f>ABS(BC199-BC275)</f>
        <v>#DIV/0!</v>
      </c>
      <c r="BD2" s="268" t="e">
        <f>ABS(BD199-BD275)</f>
        <v>#DIV/0!</v>
      </c>
      <c r="BE2" s="268" t="e">
        <f>ABS(BE199-BE275)</f>
        <v>#DIV/0!</v>
      </c>
      <c r="BF2" s="268" t="e">
        <f>ABS(BF199-BF275)</f>
        <v>#DIV/0!</v>
      </c>
      <c r="BG2" s="268" t="e">
        <f>ABS(BG199-BG275)</f>
        <v>#DIV/0!</v>
      </c>
      <c r="BH2" s="268" t="e">
        <f>ABS(BH199-BH275)</f>
        <v>#DIV/0!</v>
      </c>
      <c r="BI2" s="268" t="e">
        <f>ABS(BI199-BI275)</f>
        <v>#DIV/0!</v>
      </c>
      <c r="BJ2" s="268" t="e">
        <f>ABS(BJ199-BJ275)</f>
        <v>#DIV/0!</v>
      </c>
      <c r="BK2" s="268" t="e">
        <f>ABS(BK199-BK275)</f>
        <v>#DIV/0!</v>
      </c>
      <c r="BL2" s="268" t="e">
        <f>ABS(BL199-BL275)</f>
        <v>#DIV/0!</v>
      </c>
      <c r="BM2" s="268" t="e">
        <f>ABS(BM199-BM275)</f>
        <v>#DIV/0!</v>
      </c>
      <c r="BN2" s="268" t="e">
        <f>ABS(BN199-BN275)</f>
        <v>#DIV/0!</v>
      </c>
      <c r="BO2" s="268" t="e">
        <f>ABS(BO199-BO275)</f>
        <v>#DIV/0!</v>
      </c>
      <c r="BP2" s="268" t="e">
        <f>ABS(BP199-BP275)</f>
        <v>#DIV/0!</v>
      </c>
      <c r="BQ2" s="268" t="e">
        <f>ABS(BQ199-BQ275)</f>
        <v>#DIV/0!</v>
      </c>
      <c r="BR2" s="268" t="e">
        <f>ABS(BR199-BR275)</f>
        <v>#DIV/0!</v>
      </c>
      <c r="BS2" s="268" t="e">
        <f>ABS(BS199-BS275)</f>
        <v>#DIV/0!</v>
      </c>
      <c r="BT2" s="268" t="e">
        <f>ABS(BT199-BT275)</f>
        <v>#DIV/0!</v>
      </c>
      <c r="BU2" s="268" t="e">
        <f>ABS(BU199-BU275)</f>
        <v>#DIV/0!</v>
      </c>
      <c r="BV2" s="268" t="e">
        <f>ABS(BV199-BV275)</f>
        <v>#DIV/0!</v>
      </c>
      <c r="BW2" s="268" t="e">
        <f>ABS(BW199-BW275)</f>
        <v>#DIV/0!</v>
      </c>
      <c r="BX2" s="268" t="e">
        <f>ABS(BX199-BX275)</f>
        <v>#DIV/0!</v>
      </c>
      <c r="BY2" s="268" t="e">
        <f>ABS(BY199-BY275)</f>
        <v>#DIV/0!</v>
      </c>
      <c r="BZ2" s="268" t="e">
        <f>ABS(BZ199-BZ275)</f>
        <v>#DIV/0!</v>
      </c>
      <c r="CA2" s="268" t="e">
        <f>ABS(CA199-CA275)</f>
        <v>#DIV/0!</v>
      </c>
      <c r="CB2" s="268" t="e">
        <f>ABS(CB199-CB275)</f>
        <v>#DIV/0!</v>
      </c>
      <c r="CC2" s="268" t="e">
        <f>ABS(CC199-CC275)</f>
        <v>#DIV/0!</v>
      </c>
      <c r="CD2" s="268" t="e">
        <f>ABS(CD199-CD275)</f>
        <v>#DIV/0!</v>
      </c>
      <c r="CE2" s="268" t="e">
        <f>ABS(CE199-CE275)</f>
        <v>#DIV/0!</v>
      </c>
      <c r="CF2" s="268" t="e">
        <f>ABS(CF199-CF275)</f>
        <v>#DIV/0!</v>
      </c>
      <c r="CG2" s="268" t="e">
        <f>ABS(CG199-CG275)</f>
        <v>#DIV/0!</v>
      </c>
      <c r="CH2" s="268" t="e">
        <f>ABS(CH199-CH275)</f>
        <v>#DIV/0!</v>
      </c>
      <c r="CI2" s="268" t="e">
        <f>ABS(CI199-CI275)</f>
        <v>#DIV/0!</v>
      </c>
      <c r="CJ2" s="268" t="e">
        <f>ABS(CJ199-CJ275)</f>
        <v>#DIV/0!</v>
      </c>
      <c r="CK2" s="268" t="e">
        <f>ABS(CK199-CK275)</f>
        <v>#DIV/0!</v>
      </c>
      <c r="CL2" s="268" t="e">
        <f>ABS(CL199-CL275)</f>
        <v>#DIV/0!</v>
      </c>
      <c r="CM2" s="268" t="e">
        <f>ABS(CM199-CM275)</f>
        <v>#DIV/0!</v>
      </c>
      <c r="CN2" s="268" t="e">
        <f>ABS(CN199-CN275)</f>
        <v>#DIV/0!</v>
      </c>
      <c r="CO2" s="268" t="e">
        <f>ABS(CO199-CO275)</f>
        <v>#DIV/0!</v>
      </c>
      <c r="CP2" s="268" t="e">
        <f>ABS(CP199-CP275)</f>
        <v>#DIV/0!</v>
      </c>
      <c r="CQ2" s="268" t="e">
        <f>ABS(CQ199-CQ275)</f>
        <v>#DIV/0!</v>
      </c>
      <c r="CR2" s="268" t="e">
        <f>ABS(CR199-CR275)</f>
        <v>#DIV/0!</v>
      </c>
      <c r="CS2" s="268" t="e">
        <f>ABS(CS199-CS275)</f>
        <v>#DIV/0!</v>
      </c>
      <c r="CT2" s="268" t="e">
        <f>ABS(CT199-CT275)</f>
        <v>#DIV/0!</v>
      </c>
      <c r="CU2" s="268" t="e">
        <f>ABS(CU199-CU275)</f>
        <v>#DIV/0!</v>
      </c>
      <c r="CV2" s="268" t="e">
        <f>ABS(CV199-CV275)</f>
        <v>#DIV/0!</v>
      </c>
      <c r="CW2" s="268" t="e">
        <f>ABS(CW199-CW275)</f>
        <v>#DIV/0!</v>
      </c>
      <c r="CX2" s="268" t="e">
        <f>ABS(CX199-CX275)</f>
        <v>#DIV/0!</v>
      </c>
      <c r="CY2" s="268" t="e">
        <f>ABS(CY199-CY275)</f>
        <v>#DIV/0!</v>
      </c>
    </row>
    <row r="3" outlineLevel="1" ht="12.75" customHeight="1" s="255">
      <c r="C3" s="274" t="inlineStr">
        <is>
          <t>IS</t>
        </is>
      </c>
      <c r="D3" s="268">
        <f>IF(COUNT(D4)=0,"",ABS(D139-D4))</f>
        <v>0</v>
      </c>
      <c r="E3" s="268">
        <f>IF(COUNT(E4)=0,"",ABS(E139-E4))</f>
        <v>0</v>
      </c>
      <c r="F3" s="268">
        <f>IF(COUNT(F4)=0,"",ABS(F139-F4))</f>
        <v>0</v>
      </c>
      <c r="G3" s="268">
        <f>IF(COUNT(G4)=0,"",ABS(G139-G4))</f>
        <v>0</v>
      </c>
      <c r="H3" s="268">
        <f>IF(COUNT(H4)=0,"",ABS(H139-H4))</f>
        <v>0</v>
      </c>
      <c r="I3" s="268">
        <f>IF(COUNT(I4)=0,"",ABS(I139-I4))</f>
        <v>0</v>
      </c>
      <c r="J3" s="268">
        <f>IF(COUNT(J4)=0,"",ABS(J139-J4))</f>
        <v>0</v>
      </c>
      <c r="K3" s="268">
        <f>IF(COUNT(K4)=0,"",ABS(K139-K4))</f>
        <v>0</v>
      </c>
      <c r="L3" s="268">
        <f>IF(COUNT(L4)=0,"",ABS(L139-L4))</f>
        <v>0</v>
      </c>
      <c r="M3" s="268">
        <f>IF(COUNT(M4)=0,"",ABS(M139-M4))</f>
        <v>0</v>
      </c>
      <c r="N3" s="268">
        <f>IF(COUNT(N4)=0,"",ABS(N139-N4))</f>
        <v>0</v>
      </c>
      <c r="O3" s="268">
        <f>IF(COUNT(O4)=0,"",ABS(O139-O4))</f>
        <v>0</v>
      </c>
      <c r="P3" s="268">
        <f>IF(COUNT(P4)=0,"",ABS(P139-P4))</f>
        <v>0</v>
      </c>
      <c r="Q3" s="268">
        <f>IF(COUNT(Q4)=0,"",ABS(Q139-Q4))</f>
        <v>0</v>
      </c>
      <c r="R3" s="268">
        <f>IF(COUNT(R4)=0,"",ABS(R139-R4))</f>
        <v>0</v>
      </c>
      <c r="S3" s="268">
        <f>IF(COUNT(S4)=0,"",ABS(S139-S4))</f>
        <v>0</v>
      </c>
      <c r="T3" s="268">
        <f>IF(COUNT(T4)=0,"",ABS(T139-T4))</f>
        <v>0</v>
      </c>
      <c r="U3" s="268">
        <f>IF(COUNT(U4)=0,"",ABS(U139-U4))</f>
        <v>0</v>
      </c>
      <c r="V3" s="268">
        <f>IF(COUNT(V4)=0,"",ABS(V139-V4))</f>
        <v>0</v>
      </c>
      <c r="W3" s="268">
        <f>IF(COUNT(W4)=0,"",ABS(W139-W4))</f>
        <v>0</v>
      </c>
      <c r="X3" s="268">
        <f>IF(COUNT(X4)=0,"",ABS(X139-X4))</f>
        <v>0</v>
      </c>
      <c r="Y3" s="268">
        <f>IF(COUNT(Y4)=0,"",ABS(Y139-Y4))</f>
        <v>0</v>
      </c>
      <c r="Z3" s="268">
        <f>IF(COUNT(Z4)=0,"",ABS(Z139-Z4))</f>
        <v>0</v>
      </c>
      <c r="AA3" s="268">
        <f>IF(COUNT(AA4)=0,"",ABS(AA139-AA4))</f>
        <v>0</v>
      </c>
      <c r="AB3" s="268">
        <f>IF(COUNT(AB4)=0,"",ABS(AB139-AB4))</f>
        <v>0</v>
      </c>
      <c r="AC3" s="268">
        <f>IF(COUNT(AC4)=0,"",ABS(AC139-AC4))</f>
        <v>0</v>
      </c>
      <c r="AD3" s="268">
        <f>IF(COUNT(AD4)=0,"",ABS(AD139-AD4))</f>
        <v>0</v>
      </c>
      <c r="AE3" s="268">
        <f>IF(COUNT(AE4)=0,"",ABS(AE139-AE4))</f>
        <v>0</v>
      </c>
      <c r="AF3" s="268">
        <f>IF(COUNT(AF4)=0,"",ABS(AF139-AF4))</f>
        <v>0</v>
      </c>
      <c r="AG3" s="268">
        <f>IF(COUNT(AG4)=0,"",ABS(AG139-AG4))</f>
        <v>0</v>
      </c>
      <c r="AH3" s="268">
        <f>IF(COUNT(AH4)=0,"",ABS(AH139-AH4))</f>
        <v>0</v>
      </c>
      <c r="AI3" s="268">
        <f>IF(COUNT(AI4)=0,"",ABS(AI139-AI4))</f>
        <v>0</v>
      </c>
      <c r="AJ3" s="268" t="str">
        <f>IF(COUNT(AJ4)=0,"",ABS(AJ139-AJ4))</f>
        <v/>
      </c>
      <c r="AK3" s="268" t="str">
        <f>IF(COUNT(AK4)=0,"",ABS(AK139-AK4))</f>
        <v/>
      </c>
      <c r="AL3" s="268" t="str">
        <f>IF(COUNT(AL4)=0,"",ABS(AL139-AL4))</f>
        <v/>
      </c>
      <c r="AM3" s="268" t="str">
        <f>IF(COUNT(AM4)=0,"",ABS(AM139-AM4))</f>
        <v/>
      </c>
      <c r="AN3" s="268" t="str">
        <f>IF(COUNT(AN4)=0,"",ABS(AN139-AN4))</f>
        <v/>
      </c>
      <c r="AO3" s="268" t="str">
        <f>IF(COUNT(AO4)=0,"",ABS(AO139-AO4))</f>
        <v/>
      </c>
      <c r="AP3" s="268" t="str">
        <f>IF(COUNT(AP4)=0,"",ABS(AP139-AP4))</f>
        <v/>
      </c>
      <c r="AQ3" s="268" t="str">
        <f>IF(COUNT(AQ4)=0,"",ABS(AQ139-AQ4))</f>
        <v/>
      </c>
      <c r="AR3" s="268" t="str">
        <f>IF(COUNT(AR4)=0,"",ABS(AR139-AR4))</f>
        <v/>
      </c>
      <c r="AS3" s="268" t="str">
        <f>IF(COUNT(AS4)=0,"",ABS(AS139-AS4))</f>
        <v/>
      </c>
      <c r="AT3" s="268" t="str">
        <f>IF(COUNT(AT4)=0,"",ABS(AT139-AT4))</f>
        <v/>
      </c>
      <c r="AU3" s="268" t="str">
        <f>IF(COUNT(AU4)=0,"",ABS(AU139-AU4))</f>
        <v/>
      </c>
      <c r="AV3" s="268" t="str">
        <f>IF(COUNT(AV4)=0,"",ABS(AV139-AV4))</f>
        <v/>
      </c>
      <c r="AW3" s="268" t="str">
        <f>IF(COUNT(AW4)=0,"",ABS(AW139-AW4))</f>
        <v/>
      </c>
      <c r="AX3" s="268" t="str">
        <f>IF(COUNT(AX4)=0,"",ABS(AX139-AX4))</f>
        <v/>
      </c>
      <c r="AY3" s="268" t="str">
        <f>IF(COUNT(AY4)=0,"",ABS(AY139-AY4))</f>
        <v/>
      </c>
      <c r="AZ3" s="268" t="str">
        <f>IF(COUNT(AZ4)=0,"",ABS(AZ139-AZ4))</f>
        <v/>
      </c>
      <c r="BA3" s="268" t="str">
        <f>IF(COUNT(BA4)=0,"",ABS(BA139-BA4))</f>
        <v/>
      </c>
      <c r="BB3" s="268" t="str">
        <f>IF(COUNT(BB4)=0,"",ABS(BB139-BB4))</f>
        <v/>
      </c>
      <c r="BC3" s="268" t="str">
        <f>IF(COUNT(BC4)=0,"",ABS(BC139-BC4))</f>
        <v/>
      </c>
      <c r="BD3" s="268" t="str">
        <f>IF(COUNT(BD4)=0,"",ABS(BD139-BD4))</f>
        <v/>
      </c>
      <c r="BE3" s="268" t="str">
        <f>IF(COUNT(BE4)=0,"",ABS(BE139-BE4))</f>
        <v/>
      </c>
      <c r="BF3" s="268" t="str">
        <f>IF(COUNT(BF4)=0,"",ABS(BF139-BF4))</f>
        <v/>
      </c>
      <c r="BG3" s="268" t="str">
        <f>IF(COUNT(BG4)=0,"",ABS(BG139-BG4))</f>
        <v/>
      </c>
      <c r="BH3" s="268" t="str">
        <f>IF(COUNT(BH4)=0,"",ABS(BH139-BH4))</f>
        <v/>
      </c>
      <c r="BI3" s="268" t="str">
        <f>IF(COUNT(BI4)=0,"",ABS(BI139-BI4))</f>
        <v/>
      </c>
      <c r="BJ3" s="268" t="str">
        <f>IF(COUNT(BJ4)=0,"",ABS(BJ139-BJ4))</f>
        <v/>
      </c>
      <c r="BK3" s="268" t="str">
        <f>IF(COUNT(BK4)=0,"",ABS(BK139-BK4))</f>
        <v/>
      </c>
      <c r="BL3" s="268" t="str">
        <f>IF(COUNT(BL4)=0,"",ABS(BL139-BL4))</f>
        <v/>
      </c>
      <c r="BM3" s="268" t="str">
        <f>IF(COUNT(BM4)=0,"",ABS(BM139-BM4))</f>
        <v/>
      </c>
      <c r="BN3" s="268" t="str">
        <f>IF(COUNT(BN4)=0,"",ABS(BN139-BN4))</f>
        <v/>
      </c>
      <c r="BO3" s="268" t="str">
        <f>IF(COUNT(BO4)=0,"",ABS(BO139-BO4))</f>
        <v/>
      </c>
      <c r="BP3" s="268" t="str">
        <f>IF(COUNT(BP4)=0,"",ABS(BP139-BP4))</f>
        <v/>
      </c>
      <c r="BQ3" s="268" t="str">
        <f>IF(COUNT(BQ4)=0,"",ABS(BQ139-BQ4))</f>
        <v/>
      </c>
      <c r="BR3" s="268" t="str">
        <f>IF(COUNT(BR4)=0,"",ABS(BR139-BR4))</f>
        <v/>
      </c>
      <c r="BS3" s="268" t="str">
        <f>IF(COUNT(BS4)=0,"",ABS(BS139-BS4))</f>
        <v/>
      </c>
      <c r="BT3" s="268" t="str">
        <f>IF(COUNT(BT4)=0,"",ABS(BT139-BT4))</f>
        <v/>
      </c>
      <c r="BU3" s="268" t="str">
        <f>IF(COUNT(BU4)=0,"",ABS(BU139-BU4))</f>
        <v/>
      </c>
      <c r="BV3" s="268" t="str">
        <f>IF(COUNT(BV4)=0,"",ABS(BV139-BV4))</f>
        <v/>
      </c>
      <c r="BW3" s="268" t="str">
        <f>IF(COUNT(BW4)=0,"",ABS(BW139-BW4))</f>
        <v/>
      </c>
      <c r="BX3" s="268" t="str">
        <f>IF(COUNT(BX4)=0,"",ABS(BX139-BX4))</f>
        <v/>
      </c>
      <c r="BY3" s="268" t="str">
        <f>IF(COUNT(BY4)=0,"",ABS(BY139-BY4))</f>
        <v/>
      </c>
      <c r="BZ3" s="268" t="str">
        <f>IF(COUNT(BZ4)=0,"",ABS(BZ139-BZ4))</f>
        <v/>
      </c>
      <c r="CA3" s="268" t="str">
        <f>IF(COUNT(CA4)=0,"",ABS(CA139-CA4))</f>
        <v/>
      </c>
      <c r="CB3" s="268" t="str">
        <f>IF(COUNT(CB4)=0,"",ABS(CB139-CB4))</f>
        <v/>
      </c>
      <c r="CC3" s="268" t="str">
        <f>IF(COUNT(CC4)=0,"",ABS(CC139-CC4))</f>
        <v/>
      </c>
      <c r="CD3" s="268" t="str">
        <f>IF(COUNT(CD4)=0,"",ABS(CD139-CD4))</f>
        <v/>
      </c>
      <c r="CE3" s="268" t="str">
        <f>IF(COUNT(CE4)=0,"",ABS(CE139-CE4))</f>
        <v/>
      </c>
      <c r="CF3" s="268" t="str">
        <f>IF(COUNT(CF4)=0,"",ABS(CF139-CF4))</f>
        <v/>
      </c>
      <c r="CG3" s="268" t="str">
        <f>IF(COUNT(CG4)=0,"",ABS(CG139-CG4))</f>
        <v/>
      </c>
      <c r="CH3" s="268" t="str">
        <f>IF(COUNT(CH4)=0,"",ABS(CH139-CH4))</f>
        <v/>
      </c>
      <c r="CI3" s="268" t="str">
        <f>IF(COUNT(CI4)=0,"",ABS(CI139-CI4))</f>
        <v/>
      </c>
      <c r="CJ3" s="268" t="str">
        <f>IF(COUNT(CJ4)=0,"",ABS(CJ139-CJ4))</f>
        <v/>
      </c>
      <c r="CK3" s="268" t="str">
        <f>IF(COUNT(CK4)=0,"",ABS(CK139-CK4))</f>
        <v/>
      </c>
      <c r="CL3" s="268" t="str">
        <f>IF(COUNT(CL4)=0,"",ABS(CL139-CL4))</f>
        <v/>
      </c>
      <c r="CM3" s="268" t="str">
        <f>IF(COUNT(CM4)=0,"",ABS(CM139-CM4))</f>
        <v/>
      </c>
      <c r="CN3" s="268" t="str">
        <f>IF(COUNT(CN4)=0,"",ABS(CN139-CN4))</f>
        <v/>
      </c>
      <c r="CO3" s="268" t="str">
        <f>IF(COUNT(CO4)=0,"",ABS(CO139-CO4))</f>
        <v/>
      </c>
      <c r="CP3" s="268" t="str">
        <f>IF(COUNT(CP4)=0,"",ABS(CP139-CP4))</f>
        <v/>
      </c>
      <c r="CQ3" s="268" t="str">
        <f>IF(COUNT(CQ4)=0,"",ABS(CQ139-CQ4))</f>
        <v/>
      </c>
      <c r="CR3" s="268" t="str">
        <f>IF(COUNT(CR4)=0,"",ABS(CR139-CR4))</f>
        <v/>
      </c>
      <c r="CS3" s="268" t="str">
        <f>IF(COUNT(CS4)=0,"",ABS(CS139-CS4))</f>
        <v/>
      </c>
      <c r="CT3" s="268" t="str">
        <f>IF(COUNT(CT4)=0,"",ABS(CT139-CT4))</f>
        <v/>
      </c>
      <c r="CU3" s="268" t="str">
        <f>IF(COUNT(CU4)=0,"",ABS(CU139-CU4))</f>
        <v/>
      </c>
      <c r="CV3" s="268" t="str">
        <f>IF(COUNT(CV4)=0,"",ABS(CV139-CV4))</f>
        <v/>
      </c>
      <c r="CW3" s="268" t="str">
        <f>IF(COUNT(CW4)=0,"",ABS(CW139-CW4))</f>
        <v/>
      </c>
      <c r="CX3" s="268" t="str">
        <f>IF(COUNT(CX4)=0,"",ABS(CX139-CX4))</f>
        <v/>
      </c>
      <c r="CY3" s="268" t="str">
        <f>IF(COUNT(CY4)=0,"",ABS(CY139-CY4))</f>
        <v/>
      </c>
    </row>
    <row r="4" outlineLevel="1" ht="12.75" customHeight="1" s="255">
      <c r="C4" s="275" t="inlineStr">
        <is>
          <t>Net Income reportado (lucro liquido) - base do check IS</t>
        </is>
      </c>
      <c r="D4" s="276">
        <f>INDEX('Inputs (2)'!$D$50:$AL$50,MATCH(D$7,'Inputs (2)'!$D$2:$AL$2,0))</f>
        <v>3990</v>
      </c>
      <c r="E4" s="276">
        <f>INDEX('Inputs (2)'!$D$50:$AL$50,MATCH(E$7,'Inputs (2)'!$D$2:$AL$2,0))</f>
        <v>6476</v>
      </c>
      <c r="F4" s="276">
        <f>INDEX('Inputs (2)'!$D$50:$AL$50,MATCH(F$7,'Inputs (2)'!$D$2:$AL$2,0))</f>
        <v>5135</v>
      </c>
      <c r="G4" s="276">
        <f>INDEX('Inputs (2)'!$D$50:$AL$50,MATCH(G$7,'Inputs (2)'!$D$2:$AL$2,0))</f>
        <v>-2091</v>
      </c>
      <c r="H4" s="276">
        <f>IF(COUNT(D4:G4)=4,SUM(D4:G4),"")</f>
        <v>13510</v>
      </c>
      <c r="I4" s="276">
        <f>INDEX('Inputs (2)'!$D$50:$AL$50,MATCH(I$7,'Inputs (2)'!$D$2:$AL$2,0))</f>
        <v>2730</v>
      </c>
      <c r="J4" s="276">
        <f>INDEX('Inputs (2)'!$D$50:$AL$50,MATCH(J$7,'Inputs (2)'!$D$2:$AL$2,0))</f>
        <v>4276</v>
      </c>
      <c r="K4" s="276">
        <f>INDEX('Inputs (2)'!$D$50:$AL$50,MATCH(K$7,'Inputs (2)'!$D$2:$AL$2,0))</f>
        <v>3105</v>
      </c>
      <c r="L4" s="276">
        <f>INDEX('Inputs (2)'!$D$50:$AL$50,MATCH(L$7,'Inputs (2)'!$D$2:$AL$2,0))</f>
        <v>3562</v>
      </c>
      <c r="M4" s="276">
        <f>IF(COUNT(I4:L4)=4,SUM(I4:L4),"")</f>
        <v>13673</v>
      </c>
      <c r="N4" s="276">
        <f>INDEX('Inputs (2)'!$D$50:$AL$50,MATCH(N$7,'Inputs (2)'!$D$2:$AL$2,0))</f>
        <v>2054</v>
      </c>
      <c r="O4" s="276">
        <f>INDEX('Inputs (2)'!$D$50:$AL$50,MATCH(O$7,'Inputs (2)'!$D$2:$AL$2,0))</f>
        <v>5149</v>
      </c>
      <c r="P4" s="276">
        <f>INDEX('Inputs (2)'!$D$50:$AL$50,MATCH(P$7,'Inputs (2)'!$D$2:$AL$2,0))</f>
        <v>-1798</v>
      </c>
      <c r="Q4" s="276">
        <f>INDEX('Inputs (2)'!$D$50:$AL$50,MATCH(Q$7,'Inputs (2)'!$D$2:$AL$2,0))</f>
        <v>6275</v>
      </c>
      <c r="R4" s="276">
        <f>IF(COUNT(N4:Q4)=4,SUM(N4:Q4),"")</f>
        <v>11680</v>
      </c>
      <c r="S4" s="276">
        <f>INDEX('Inputs (2)'!$D$50:$AL$50,MATCH(S$7,'Inputs (2)'!$D$2:$AL$2,0))</f>
        <v>1673</v>
      </c>
      <c r="T4" s="276">
        <f>INDEX('Inputs (2)'!$D$50:$AL$50,MATCH(T$7,'Inputs (2)'!$D$2:$AL$2,0))</f>
        <v>7891</v>
      </c>
      <c r="U4" s="276">
        <f>INDEX('Inputs (2)'!$D$50:$AL$50,MATCH(U$7,'Inputs (2)'!$D$2:$AL$2,0))</f>
        <v>453</v>
      </c>
      <c r="V4" s="276">
        <f>INDEX('Inputs (2)'!$D$50:$AL$50,MATCH(V$7,'Inputs (2)'!$D$2:$AL$2,0))</f>
        <v>5494</v>
      </c>
      <c r="W4" s="276">
        <f>IF(COUNT(S4:V4)=4,SUM(S4:V4),"")</f>
        <v>15511</v>
      </c>
      <c r="X4" s="276">
        <f>INDEX('Inputs (2)'!$D$50:$AL$50,MATCH(X$7,'Inputs (2)'!$D$2:$AL$2,0))</f>
        <v>5104</v>
      </c>
      <c r="Y4" s="276">
        <f>INDEX('Inputs (2)'!$D$50:$AL$50,MATCH(Y$7,'Inputs (2)'!$D$2:$AL$2,0))</f>
        <v>4501</v>
      </c>
      <c r="Z4" s="276">
        <f>INDEX('Inputs (2)'!$D$50:$AL$50,MATCH(Z$7,'Inputs (2)'!$D$2:$AL$2,0))</f>
        <v>4577</v>
      </c>
      <c r="AA4" s="276">
        <f>INDEX('Inputs (2)'!$D$50:$AL$50,MATCH(AA$7,'Inputs (2)'!$D$2:$AL$2,0))</f>
        <v>5254</v>
      </c>
      <c r="AB4" s="276">
        <f>IF(COUNT(X4:AA4)=4,SUM(X4:AA4),"")</f>
        <v>19436</v>
      </c>
      <c r="AC4" s="276">
        <f>INDEX('Inputs (2)'!$D$50:$AL$50,MATCH(AC$7,'Inputs (2)'!$D$2:$AL$2,0))</f>
        <v>4487</v>
      </c>
      <c r="AD4" s="276">
        <f>INDEX('Inputs (2)'!$D$50:$AL$50,MATCH(AD$7,'Inputs (2)'!$D$2:$AL$2,0))</f>
        <v>7026</v>
      </c>
      <c r="AE4" s="276">
        <f>INDEX('Inputs (2)'!$D$50:$AL$50,MATCH(AE$7,'Inputs (2)'!$D$2:$AL$2,0))</f>
        <v>6143</v>
      </c>
      <c r="AF4" s="276">
        <f>INDEX('Inputs (2)'!$D$50:$AL$50,MATCH(AF$7,'Inputs (2)'!$D$2:$AL$2,0))</f>
        <v>4237</v>
      </c>
      <c r="AG4" s="276">
        <f>IF(COUNT(AC4:AF4)=4,SUM(AC4:AF4),"")</f>
        <v>21893</v>
      </c>
      <c r="AH4" s="267">
        <f>INDEX('Inputs (2)'!$D$50:$AL$50,MATCH(AH$7,'Inputs (2)'!$D$2:$AL$2,0))</f>
        <v>5330</v>
      </c>
      <c r="AI4" s="267">
        <f>INDEX('Inputs (2)'!$D$50:$AL$50,MATCH(AI$7,'Inputs (2)'!$D$2:$AL$2,0))</f>
        <v>6366</v>
      </c>
      <c r="AJ4" s="267" t="n"/>
      <c r="AK4" s="267" t="n"/>
      <c r="AL4" s="267" t="n"/>
      <c r="AM4" s="267" t="n"/>
      <c r="AN4" s="267" t="n"/>
      <c r="AO4" s="267" t="n"/>
      <c r="AP4" s="267" t="n"/>
      <c r="AQ4" s="267" t="n"/>
      <c r="AR4" s="267" t="n"/>
      <c r="AS4" s="267" t="n"/>
      <c r="AT4" s="267" t="n"/>
      <c r="AU4" s="267" t="n"/>
      <c r="AV4" s="267" t="n"/>
      <c r="AW4" s="267" t="n"/>
      <c r="AX4" s="267" t="n"/>
      <c r="AY4" s="267" t="n"/>
      <c r="AZ4" s="267" t="n"/>
      <c r="BA4" s="267" t="n"/>
      <c r="BB4" s="267" t="n"/>
      <c r="BC4" s="267" t="n"/>
      <c r="BD4" s="267" t="n"/>
      <c r="BE4" s="267" t="n"/>
      <c r="BF4" s="267" t="n"/>
      <c r="BG4" s="267" t="n"/>
      <c r="BH4" s="267" t="n"/>
      <c r="BI4" s="267" t="n"/>
      <c r="BJ4" s="267" t="n"/>
      <c r="BK4" s="267" t="n"/>
      <c r="BL4" s="267" t="n"/>
      <c r="BM4" s="267" t="n"/>
      <c r="BN4" s="267" t="n"/>
      <c r="BO4" s="267" t="n"/>
      <c r="BP4" s="267" t="n"/>
      <c r="BQ4" s="267" t="n"/>
      <c r="BR4" s="267" t="n"/>
      <c r="BS4" s="267" t="n"/>
      <c r="BT4" s="267" t="n"/>
      <c r="BU4" s="267" t="n"/>
      <c r="BV4" s="267" t="n"/>
      <c r="BW4" s="267" t="n"/>
      <c r="BX4" s="267" t="n"/>
      <c r="BY4" s="267" t="n"/>
      <c r="BZ4" s="267" t="n"/>
      <c r="CA4" s="267" t="n"/>
      <c r="CB4" s="267" t="n"/>
      <c r="CC4" s="267" t="n"/>
      <c r="CD4" s="267" t="n"/>
      <c r="CE4" s="267" t="n"/>
      <c r="CF4" s="267" t="n"/>
      <c r="CG4" s="267" t="n"/>
      <c r="CH4" s="267" t="n"/>
      <c r="CI4" s="267" t="n"/>
      <c r="CJ4" s="267" t="n"/>
      <c r="CK4" s="267" t="n"/>
      <c r="CL4" s="267" t="n"/>
      <c r="CM4" s="267" t="n"/>
      <c r="CN4" s="267" t="n"/>
      <c r="CO4" s="267" t="n"/>
      <c r="CP4" s="267" t="n"/>
      <c r="CQ4" s="267" t="n"/>
      <c r="CR4" s="267" t="n"/>
      <c r="CS4" s="267" t="n"/>
      <c r="CT4" s="267" t="n"/>
      <c r="CU4" s="267" t="n"/>
      <c r="CV4" s="267" t="n"/>
      <c r="CW4" s="267" t="n"/>
      <c r="CX4" s="267" t="n"/>
      <c r="CY4" s="267" t="n"/>
    </row>
    <row r="5" ht="12.75" customHeight="1" s="255">
      <c r="B5" s="277" t="n">
        <v>45930</v>
      </c>
      <c r="D5" s="278" t="n">
        <v>43921</v>
      </c>
      <c r="E5" s="279">
        <f>DATE(YEAR(D5),MONTH(D5)+3,DAY(D5)-1)</f>
        <v>44012.0</v>
      </c>
      <c r="F5" s="279">
        <f>DATE(YEAR(E5),MONTH(E5)+3,DAY(E5))</f>
        <v>44104.0</v>
      </c>
      <c r="G5" s="279">
        <f>DATE(YEAR(F5),MONTH(F5)+3,DAY(F5)+1)</f>
        <v>44196.0</v>
      </c>
      <c r="H5" s="280">
        <f>G5</f>
        <v>44196.0</v>
      </c>
      <c r="I5" s="278" t="n">
        <v>44286</v>
      </c>
      <c r="J5" s="279">
        <f>DATE(YEAR(I5),MONTH(I5)+3,DAY(I5)-1)</f>
        <v>44377.0</v>
      </c>
      <c r="K5" s="279">
        <f>DATE(YEAR(J5),MONTH(J5)+3,DAY(J5))</f>
        <v>44469.0</v>
      </c>
      <c r="L5" s="279">
        <f>DATE(YEAR(K5),MONTH(K5)+3,DAY(K5)+1)</f>
        <v>44561.0</v>
      </c>
      <c r="M5" s="280">
        <f>L5</f>
        <v>44561.0</v>
      </c>
      <c r="N5" s="279">
        <f>DATE(YEAR(M5),MONTH(M5)+3,DAY(M5))</f>
        <v>44651.0</v>
      </c>
      <c r="O5" s="279">
        <f>DATE(YEAR(N5),MONTH(N5)+3,DAY(N5)-1)</f>
        <v>44742.0</v>
      </c>
      <c r="P5" s="279">
        <f>DATE(YEAR(O5),MONTH(O5)+3,DAY(O5))</f>
        <v>44834.0</v>
      </c>
      <c r="Q5" s="279">
        <f>DATE(YEAR(P5),MONTH(P5)+3,DAY(P5)+1)</f>
        <v>44926.0</v>
      </c>
      <c r="R5" s="280">
        <f>Q5</f>
        <v>44926.0</v>
      </c>
      <c r="S5" s="279">
        <f>DATE(YEAR(R5),MONTH(R5)+3,DAY(R5))</f>
        <v>45016.0</v>
      </c>
      <c r="T5" s="279">
        <f>DATE(YEAR(S5),MONTH(S5)+3,DAY(S5))-1</f>
        <v>45107.0</v>
      </c>
      <c r="U5" s="279">
        <f>DATE(YEAR(T5),MONTH(T5)+3,DAY(T5))</f>
        <v>45199.0</v>
      </c>
      <c r="V5" s="279">
        <f>DATE(YEAR(U5),MONTH(U5)+3,DAY(U5))+1</f>
        <v>45291.0</v>
      </c>
      <c r="W5" s="280">
        <f>V5</f>
        <v>45291.0</v>
      </c>
      <c r="X5" s="279">
        <f>DATE(YEAR(W5),MONTH(W5)+3,DAY(W5))</f>
        <v>45382.0</v>
      </c>
      <c r="Y5" s="279">
        <f>DATE(YEAR(X5),MONTH(X5)+3,DAY(X5))-1</f>
        <v>45473.0</v>
      </c>
      <c r="Z5" s="279">
        <f>DATE(YEAR(Y5),MONTH(Y5)+3,DAY(Y5))</f>
        <v>45565.0</v>
      </c>
      <c r="AA5" s="279">
        <f>DATE(YEAR(Z5),MONTH(Z5)+3,DAY(Z5))+1</f>
        <v>45657.0</v>
      </c>
      <c r="AB5" s="280">
        <f>AA5</f>
        <v>45657.0</v>
      </c>
      <c r="AC5" s="279">
        <f>DATE(YEAR(AB5),MONTH(AB5)+3,DAY(AB5))</f>
        <v>45747.0</v>
      </c>
      <c r="AD5" s="279">
        <f>DATE(YEAR(AC5),MONTH(AC5)+3,DAY(AC5))-1</f>
        <v>45838.0</v>
      </c>
      <c r="AE5" s="279">
        <f>DATE(YEAR(AD5),MONTH(AD5)+3,DAY(AD5))</f>
        <v>45930.0</v>
      </c>
      <c r="AF5" s="279">
        <f>DATE(YEAR(AE5),MONTH(AE5)+3,DAY(AE5))+1</f>
        <v>46022.0</v>
      </c>
      <c r="AG5" s="280">
        <f>AF5</f>
        <v>46022.0</v>
      </c>
      <c r="AH5" s="279">
        <f>DATE(YEAR(AG5),MONTH(AG5)+3,DAY(AG5))</f>
        <v>46112.0</v>
      </c>
      <c r="AI5" s="279">
        <f>DATE(YEAR(AH5),MONTH(AH5)+3,DAY(AH5))-1</f>
        <v>46203.0</v>
      </c>
      <c r="AJ5" s="279">
        <f>DATE(YEAR(AI5),MONTH(AI5)+3,DAY(AI5))</f>
        <v>46295.0</v>
      </c>
      <c r="AK5" s="279">
        <f>DATE(YEAR(AJ5),MONTH(AJ5)+3,DAY(AJ5))+1</f>
        <v>46387.0</v>
      </c>
      <c r="AL5" s="280">
        <f>AK5</f>
        <v>46387.0</v>
      </c>
      <c r="AM5" s="279">
        <f>DATE(YEAR(AL5),MONTH(AL5)+3,DAY(AL5))</f>
        <v>46477.0</v>
      </c>
      <c r="AN5" s="279">
        <f>DATE(YEAR(AM5),MONTH(AM5)+3,DAY(AM5))-1</f>
        <v>46568.0</v>
      </c>
      <c r="AO5" s="279">
        <f>DATE(YEAR(AN5),MONTH(AN5)+3,DAY(AN5))</f>
        <v>46660.0</v>
      </c>
      <c r="AP5" s="279">
        <f>DATE(YEAR(AO5),MONTH(AO5)+3,DAY(AO5))+1</f>
        <v>46752.0</v>
      </c>
      <c r="AQ5" s="280">
        <f>AP5</f>
        <v>46752.0</v>
      </c>
      <c r="AR5" s="279">
        <f>DATE(YEAR(AQ5),MONTH(AQ5)+3,DAY(AQ5))</f>
        <v>46843.0</v>
      </c>
      <c r="AS5" s="279">
        <f>DATE(YEAR(AR5),MONTH(AR5)+3,DAY(AR5))-1</f>
        <v>46934.0</v>
      </c>
      <c r="AT5" s="279">
        <f>DATE(YEAR(AS5),MONTH(AS5)+3,DAY(AS5))</f>
        <v>47026.0</v>
      </c>
      <c r="AU5" s="279">
        <f>DATE(YEAR(AT5),MONTH(AT5)+3,DAY(AT5))+1</f>
        <v>47118.0</v>
      </c>
      <c r="AV5" s="280">
        <f>AU5</f>
        <v>47118.0</v>
      </c>
      <c r="AW5" s="279">
        <f>DATE(YEAR(AV5),MONTH(AV5)+3,DAY(AV5))</f>
        <v>47208.0</v>
      </c>
      <c r="AX5" s="279">
        <f>DATE(YEAR(AW5),MONTH(AW5)+3,DAY(AW5))-1</f>
        <v>47299.0</v>
      </c>
      <c r="AY5" s="279">
        <f>DATE(YEAR(AX5),MONTH(AX5)+3,DAY(AX5))</f>
        <v>47391.0</v>
      </c>
      <c r="AZ5" s="279">
        <f>DATE(YEAR(AY5),MONTH(AY5)+3,DAY(AY5))+1</f>
        <v>47483.0</v>
      </c>
      <c r="BA5" s="280">
        <f>AZ5</f>
        <v>47483.0</v>
      </c>
      <c r="BB5" s="279">
        <f>DATE(YEAR(BA5),MONTH(BA5)+3,DAY(BA5))</f>
        <v>47573.0</v>
      </c>
      <c r="BC5" s="279">
        <f>DATE(YEAR(BB5),MONTH(BB5)+3,DAY(BB5))-1</f>
        <v>47664.0</v>
      </c>
      <c r="BD5" s="279">
        <f>DATE(YEAR(BC5),MONTH(BC5)+3,DAY(BC5))</f>
        <v>47756.0</v>
      </c>
      <c r="BE5" s="279">
        <f>DATE(YEAR(BD5),MONTH(BD5)+3,DAY(BD5))+1</f>
        <v>47848.0</v>
      </c>
      <c r="BF5" s="280">
        <f>BE5</f>
        <v>47848.0</v>
      </c>
      <c r="BG5" s="279">
        <f>DATE(YEAR(BF5),MONTH(BF5)+3,DAY(BF5))</f>
        <v>47938.0</v>
      </c>
      <c r="BH5" s="279">
        <f>DATE(YEAR(BG5),MONTH(BG5)+3,DAY(BG5))-1</f>
        <v>48029.0</v>
      </c>
      <c r="BI5" s="279">
        <f>DATE(YEAR(BH5),MONTH(BH5)+3,DAY(BH5))</f>
        <v>48121.0</v>
      </c>
      <c r="BJ5" s="279">
        <f>DATE(YEAR(BI5),MONTH(BI5)+3,DAY(BI5))+1</f>
        <v>48213.0</v>
      </c>
      <c r="BK5" s="280">
        <f>BJ5</f>
        <v>48213.0</v>
      </c>
      <c r="BL5" s="279">
        <f>DATE(YEAR(BK5),MONTH(BK5)+3,DAY(BK5))</f>
        <v>48304.0</v>
      </c>
      <c r="BM5" s="279">
        <f>DATE(YEAR(BL5),MONTH(BL5)+3,DAY(BL5))-1</f>
        <v>48395.0</v>
      </c>
      <c r="BN5" s="279">
        <f>DATE(YEAR(BM5),MONTH(BM5)+3,DAY(BM5))</f>
        <v>48487.0</v>
      </c>
      <c r="BO5" s="279">
        <f>DATE(YEAR(BN5),MONTH(BN5)+3,DAY(BN5))+1</f>
        <v>48579.0</v>
      </c>
      <c r="BP5" s="280">
        <f>BO5</f>
        <v>48579.0</v>
      </c>
      <c r="BQ5" s="279">
        <f>DATE(YEAR(BP5),MONTH(BP5)+3,DAY(BP5))</f>
        <v>48669.0</v>
      </c>
      <c r="BR5" s="279">
        <f>DATE(YEAR(BQ5),MONTH(BQ5)+3,DAY(BQ5))-1</f>
        <v>48760.0</v>
      </c>
      <c r="BS5" s="279">
        <f>DATE(YEAR(BR5),MONTH(BR5)+3,DAY(BR5))</f>
        <v>48852.0</v>
      </c>
      <c r="BT5" s="279">
        <f>DATE(YEAR(BS5),MONTH(BS5)+3,DAY(BS5))+1</f>
        <v>48944.0</v>
      </c>
      <c r="BU5" s="280">
        <f>BT5</f>
        <v>48944.0</v>
      </c>
      <c r="BV5" s="279">
        <f>DATE(YEAR(BU5),MONTH(BU5)+3,DAY(BU5))</f>
        <v>49034.0</v>
      </c>
      <c r="BW5" s="279">
        <f>DATE(YEAR(BV5),MONTH(BV5)+3,DAY(BV5))-1</f>
        <v>49125.0</v>
      </c>
      <c r="BX5" s="279">
        <f>DATE(YEAR(BW5),MONTH(BW5)+3,DAY(BW5))</f>
        <v>49217.0</v>
      </c>
      <c r="BY5" s="279">
        <f>DATE(YEAR(BX5),MONTH(BX5)+3,DAY(BX5))+1</f>
        <v>49309.0</v>
      </c>
      <c r="BZ5" s="280">
        <f>BY5</f>
        <v>49309.0</v>
      </c>
      <c r="CA5" s="279">
        <f>DATE(YEAR(BZ5),MONTH(BZ5)+3,DAY(BZ5))</f>
        <v>49399.0</v>
      </c>
      <c r="CB5" s="279">
        <f>DATE(YEAR(CA5),MONTH(CA5)+3,DAY(CA5))-1</f>
        <v>49490.0</v>
      </c>
      <c r="CC5" s="279">
        <f>DATE(YEAR(CB5),MONTH(CB5)+3,DAY(CB5))</f>
        <v>49582.0</v>
      </c>
      <c r="CD5" s="279">
        <f>DATE(YEAR(CC5),MONTH(CC5)+3,DAY(CC5))+1</f>
        <v>49674.0</v>
      </c>
      <c r="CE5" s="280">
        <f>CD5</f>
        <v>49674.0</v>
      </c>
      <c r="CF5" s="279">
        <f>DATE(YEAR(CE5),MONTH(CE5)+3,DAY(CE5))</f>
        <v>49765.0</v>
      </c>
      <c r="CG5" s="279">
        <f>DATE(YEAR(CF5),MONTH(CF5)+3,DAY(CF5))-1</f>
        <v>49856.0</v>
      </c>
      <c r="CH5" s="279">
        <f>DATE(YEAR(CG5),MONTH(CG5)+3,DAY(CG5))</f>
        <v>49948.0</v>
      </c>
      <c r="CI5" s="279">
        <f>DATE(YEAR(CH5),MONTH(CH5)+3,DAY(CH5))+1</f>
        <v>50040.0</v>
      </c>
      <c r="CJ5" s="280">
        <f>CI5</f>
        <v>50040.0</v>
      </c>
      <c r="CK5" s="279">
        <f>DATE(YEAR(CJ5),MONTH(CJ5)+3,DAY(CJ5))</f>
        <v>50130.0</v>
      </c>
      <c r="CL5" s="279">
        <f>DATE(YEAR(CK5),MONTH(CK5)+3,DAY(CK5))-1</f>
        <v>50221.0</v>
      </c>
      <c r="CM5" s="279">
        <f>DATE(YEAR(CL5),MONTH(CL5)+3,DAY(CL5))</f>
        <v>50313.0</v>
      </c>
      <c r="CN5" s="279">
        <f>DATE(YEAR(CM5),MONTH(CM5)+3,DAY(CM5))+1</f>
        <v>50405.0</v>
      </c>
      <c r="CO5" s="280">
        <f>CN5</f>
        <v>50405.0</v>
      </c>
      <c r="CP5" s="279">
        <f>DATE(YEAR(CO5),MONTH(CO5)+3,DAY(CO5))</f>
        <v>50495.0</v>
      </c>
      <c r="CQ5" s="279">
        <f>DATE(YEAR(CP5),MONTH(CP5)+3,DAY(CP5))-1</f>
        <v>50586.0</v>
      </c>
      <c r="CR5" s="279">
        <f>DATE(YEAR(CQ5),MONTH(CQ5)+3,DAY(CQ5))</f>
        <v>50678.0</v>
      </c>
      <c r="CS5" s="279">
        <f>DATE(YEAR(CR5),MONTH(CR5)+3,DAY(CR5))+1</f>
        <v>50770.0</v>
      </c>
      <c r="CT5" s="280">
        <f>CS5</f>
        <v>50770.0</v>
      </c>
      <c r="CU5" s="279">
        <f>DATE(YEAR(CT5),MONTH(CT5)+3,DAY(CT5))</f>
        <v>50860.0</v>
      </c>
      <c r="CV5" s="279">
        <f>DATE(YEAR(CU5),MONTH(CU5)+3,DAY(CU5))-1</f>
        <v>50951.0</v>
      </c>
      <c r="CW5" s="279">
        <f>DATE(YEAR(CV5),MONTH(CV5)+3,DAY(CV5))</f>
        <v>51043.0</v>
      </c>
      <c r="CX5" s="279">
        <f>DATE(YEAR(CW5),MONTH(CW5)+3,DAY(CW5))+1</f>
        <v>51135.0</v>
      </c>
      <c r="CY5" s="280">
        <f>CX5</f>
        <v>51135.0</v>
      </c>
    </row>
    <row r="6" ht="12.75" customHeight="1" s="255">
      <c r="B6" s="281" t="n"/>
      <c r="D6" s="282">
        <f>YEAR(D5)</f>
        <v>2020</v>
      </c>
      <c r="E6" s="282">
        <f>YEAR(E5)</f>
        <v>2020</v>
      </c>
      <c r="F6" s="282">
        <f>YEAR(F5)</f>
        <v>2020</v>
      </c>
      <c r="G6" s="282">
        <f>YEAR(G5)</f>
        <v>2020</v>
      </c>
      <c r="H6" s="282">
        <f>YEAR(H5)</f>
        <v>2020</v>
      </c>
      <c r="I6" s="282">
        <f>YEAR(I5)</f>
        <v>2021</v>
      </c>
      <c r="J6" s="282">
        <f>YEAR(J5)</f>
        <v>2021</v>
      </c>
      <c r="K6" s="282">
        <f>YEAR(K5)</f>
        <v>2021</v>
      </c>
      <c r="L6" s="282">
        <f>YEAR(L5)</f>
        <v>2021</v>
      </c>
      <c r="M6" s="282">
        <f>YEAR(M5)</f>
        <v>2021</v>
      </c>
      <c r="N6" s="282">
        <f>YEAR(N5)</f>
        <v>2022</v>
      </c>
      <c r="O6" s="282">
        <f>YEAR(O5)</f>
        <v>2022</v>
      </c>
      <c r="P6" s="282">
        <f>YEAR(P5)</f>
        <v>2022</v>
      </c>
      <c r="Q6" s="282">
        <f>YEAR(Q5)</f>
        <v>2022</v>
      </c>
      <c r="R6" s="282">
        <f>YEAR(R5)</f>
        <v>2022</v>
      </c>
      <c r="S6" s="282">
        <f>YEAR(S5)</f>
        <v>2023</v>
      </c>
      <c r="T6" s="282">
        <f>YEAR(T5)</f>
        <v>2023</v>
      </c>
      <c r="U6" s="282">
        <f>YEAR(U5)</f>
        <v>2023</v>
      </c>
      <c r="V6" s="282">
        <f>YEAR(V5)</f>
        <v>2023</v>
      </c>
      <c r="W6" s="282">
        <f>YEAR(W5)</f>
        <v>2023</v>
      </c>
      <c r="X6" s="282">
        <f>YEAR(X5)</f>
        <v>2024</v>
      </c>
      <c r="Y6" s="282">
        <f>YEAR(Y5)</f>
        <v>2024</v>
      </c>
      <c r="Z6" s="282">
        <f>YEAR(Z5)</f>
        <v>2024</v>
      </c>
      <c r="AA6" s="282">
        <f>YEAR(AA5)</f>
        <v>2024</v>
      </c>
      <c r="AB6" s="282">
        <f>YEAR(AB5)</f>
        <v>2024</v>
      </c>
      <c r="AC6" s="282">
        <f>YEAR(AC5)</f>
        <v>2025</v>
      </c>
      <c r="AD6" s="282">
        <f>YEAR(AD5)</f>
        <v>2025</v>
      </c>
      <c r="AE6" s="282">
        <f>YEAR(AE5)</f>
        <v>2025</v>
      </c>
      <c r="AF6" s="282">
        <f>YEAR(AF5)</f>
        <v>2025</v>
      </c>
      <c r="AG6" s="282">
        <f>YEAR(AG5)</f>
        <v>2025</v>
      </c>
      <c r="AH6" s="282">
        <f>YEAR(AH5)</f>
        <v>2026</v>
      </c>
      <c r="AI6" s="282">
        <f>YEAR(AI5)</f>
        <v>2026</v>
      </c>
      <c r="AJ6" s="282">
        <f>YEAR(AJ5)</f>
        <v>2026</v>
      </c>
      <c r="AK6" s="282">
        <f>YEAR(AK5)</f>
        <v>2026</v>
      </c>
      <c r="AL6" s="282">
        <f>YEAR(AL5)</f>
        <v>2026</v>
      </c>
      <c r="AM6" s="282">
        <f>YEAR(AM5)</f>
        <v>2027</v>
      </c>
      <c r="AN6" s="282">
        <f>YEAR(AN5)</f>
        <v>2027</v>
      </c>
      <c r="AO6" s="282">
        <f>YEAR(AO5)</f>
        <v>2027</v>
      </c>
      <c r="AP6" s="282">
        <f>YEAR(AP5)</f>
        <v>2027</v>
      </c>
      <c r="AQ6" s="282">
        <f>YEAR(AQ5)</f>
        <v>2027</v>
      </c>
      <c r="AR6" s="282">
        <f>YEAR(AR5)</f>
        <v>2028</v>
      </c>
      <c r="AS6" s="282">
        <f>YEAR(AS5)</f>
        <v>2028</v>
      </c>
      <c r="AT6" s="282">
        <f>YEAR(AT5)</f>
        <v>2028</v>
      </c>
      <c r="AU6" s="282">
        <f>YEAR(AU5)</f>
        <v>2028</v>
      </c>
      <c r="AV6" s="282">
        <f>YEAR(AV5)</f>
        <v>2028</v>
      </c>
      <c r="AW6" s="282">
        <f>YEAR(AW5)</f>
        <v>2029</v>
      </c>
      <c r="AX6" s="282">
        <f>YEAR(AX5)</f>
        <v>2029</v>
      </c>
      <c r="AY6" s="282">
        <f>YEAR(AY5)</f>
        <v>2029</v>
      </c>
      <c r="AZ6" s="282">
        <f>YEAR(AZ5)</f>
        <v>2029</v>
      </c>
      <c r="BA6" s="282">
        <f>YEAR(BA5)</f>
        <v>2029</v>
      </c>
      <c r="BB6" s="282">
        <f>YEAR(BB5)</f>
        <v>2030</v>
      </c>
      <c r="BC6" s="282">
        <f>YEAR(BC5)</f>
        <v>2030</v>
      </c>
      <c r="BD6" s="282">
        <f>YEAR(BD5)</f>
        <v>2030</v>
      </c>
      <c r="BE6" s="282">
        <f>YEAR(BE5)</f>
        <v>2030</v>
      </c>
      <c r="BF6" s="282">
        <f>YEAR(BF5)</f>
        <v>2030</v>
      </c>
      <c r="BG6" s="282">
        <f>YEAR(BG5)</f>
        <v>2031</v>
      </c>
      <c r="BH6" s="282">
        <f>YEAR(BH5)</f>
        <v>2031</v>
      </c>
      <c r="BI6" s="282">
        <f>YEAR(BI5)</f>
        <v>2031</v>
      </c>
      <c r="BJ6" s="282">
        <f>YEAR(BJ5)</f>
        <v>2031</v>
      </c>
      <c r="BK6" s="282">
        <f>YEAR(BK5)</f>
        <v>2031</v>
      </c>
      <c r="BL6" s="282">
        <f>YEAR(BL5)</f>
        <v>2032</v>
      </c>
      <c r="BM6" s="282">
        <f>YEAR(BM5)</f>
        <v>2032</v>
      </c>
      <c r="BN6" s="282">
        <f>YEAR(BN5)</f>
        <v>2032</v>
      </c>
      <c r="BO6" s="282">
        <f>YEAR(BO5)</f>
        <v>2032</v>
      </c>
      <c r="BP6" s="282">
        <f>YEAR(BP5)</f>
        <v>2032</v>
      </c>
      <c r="BQ6" s="282">
        <f>YEAR(BQ5)</f>
        <v>2033</v>
      </c>
      <c r="BR6" s="282">
        <f>YEAR(BR5)</f>
        <v>2033</v>
      </c>
      <c r="BS6" s="282">
        <f>YEAR(BS5)</f>
        <v>2033</v>
      </c>
      <c r="BT6" s="282">
        <f>YEAR(BT5)</f>
        <v>2033</v>
      </c>
      <c r="BU6" s="282">
        <f>YEAR(BU5)</f>
        <v>2033</v>
      </c>
      <c r="BV6" s="282">
        <f>YEAR(BV5)</f>
        <v>2034</v>
      </c>
      <c r="BW6" s="282">
        <f>YEAR(BW5)</f>
        <v>2034</v>
      </c>
      <c r="BX6" s="282">
        <f>YEAR(BX5)</f>
        <v>2034</v>
      </c>
      <c r="BY6" s="282">
        <f>YEAR(BY5)</f>
        <v>2034</v>
      </c>
      <c r="BZ6" s="282">
        <f>YEAR(BZ5)</f>
        <v>2034</v>
      </c>
      <c r="CA6" s="282">
        <f>YEAR(CA5)</f>
        <v>2035</v>
      </c>
      <c r="CB6" s="282">
        <f>YEAR(CB5)</f>
        <v>2035</v>
      </c>
      <c r="CC6" s="282">
        <f>YEAR(CC5)</f>
        <v>2035</v>
      </c>
      <c r="CD6" s="282">
        <f>YEAR(CD5)</f>
        <v>2035</v>
      </c>
      <c r="CE6" s="282">
        <f>YEAR(CE5)</f>
        <v>2035</v>
      </c>
      <c r="CF6" s="282">
        <f>YEAR(CF5)</f>
        <v>2036</v>
      </c>
      <c r="CG6" s="282">
        <f>YEAR(CG5)</f>
        <v>2036</v>
      </c>
      <c r="CH6" s="282">
        <f>YEAR(CH5)</f>
        <v>2036</v>
      </c>
      <c r="CI6" s="282">
        <f>YEAR(CI5)</f>
        <v>2036</v>
      </c>
      <c r="CJ6" s="282">
        <f>YEAR(CJ5)</f>
        <v>2036</v>
      </c>
      <c r="CK6" s="282">
        <f>YEAR(CK5)</f>
        <v>2037</v>
      </c>
      <c r="CL6" s="282">
        <f>YEAR(CL5)</f>
        <v>2037</v>
      </c>
      <c r="CM6" s="282">
        <f>YEAR(CM5)</f>
        <v>2037</v>
      </c>
      <c r="CN6" s="282">
        <f>YEAR(CN5)</f>
        <v>2037</v>
      </c>
      <c r="CO6" s="282">
        <f>YEAR(CO5)</f>
        <v>2037</v>
      </c>
      <c r="CP6" s="282">
        <f>YEAR(CP5)</f>
        <v>2038</v>
      </c>
      <c r="CQ6" s="282">
        <f>YEAR(CQ5)</f>
        <v>2038</v>
      </c>
      <c r="CR6" s="282">
        <f>YEAR(CR5)</f>
        <v>2038</v>
      </c>
      <c r="CS6" s="282">
        <f>YEAR(CS5)</f>
        <v>2038</v>
      </c>
      <c r="CT6" s="282">
        <f>YEAR(CT5)</f>
        <v>2038</v>
      </c>
      <c r="CU6" s="282">
        <f>YEAR(CU5)</f>
        <v>2039</v>
      </c>
      <c r="CV6" s="282">
        <f>YEAR(CV5)</f>
        <v>2039</v>
      </c>
      <c r="CW6" s="282">
        <f>YEAR(CW5)</f>
        <v>2039</v>
      </c>
      <c r="CX6" s="282">
        <f>YEAR(CX5)</f>
        <v>2039</v>
      </c>
      <c r="CY6" s="282">
        <f>YEAR(CY5)</f>
        <v>2039</v>
      </c>
    </row>
    <row r="7" ht="12.75" customHeight="1" s="255">
      <c r="B7" s="260" t="n"/>
      <c r="D7" s="261" t="str">
        <f>"1Q"&amp;RIGHT(D6,2)</f>
        <v>1Q20</v>
      </c>
      <c r="E7" s="261" t="str">
        <f>"2Q"&amp;RIGHT(E6,2)</f>
        <v>2Q20</v>
      </c>
      <c r="F7" s="261" t="str">
        <f>"3Q"&amp;RIGHT(F6,2)</f>
        <v>3Q20</v>
      </c>
      <c r="G7" s="261" t="str">
        <f>"4Q"&amp;RIGHT(G6,2)</f>
        <v>4Q20</v>
      </c>
      <c r="H7" s="283" t="n">
        <v>2020</v>
      </c>
      <c r="I7" s="261" t="str">
        <f>"1Q"&amp;RIGHT(I6,2)</f>
        <v>1Q21</v>
      </c>
      <c r="J7" s="261" t="str">
        <f>"2Q"&amp;RIGHT(J6,2)</f>
        <v>2Q21</v>
      </c>
      <c r="K7" s="261" t="str">
        <f>"3Q"&amp;RIGHT(K6,2)</f>
        <v>3Q21</v>
      </c>
      <c r="L7" s="261" t="str">
        <f>"4Q"&amp;RIGHT(L6,2)</f>
        <v>4Q21</v>
      </c>
      <c r="M7" s="283">
        <f>H7+1</f>
        <v>2021</v>
      </c>
      <c r="N7" s="261" t="str">
        <f>"1Q"&amp;RIGHT(N6,2)</f>
        <v>1Q22</v>
      </c>
      <c r="O7" s="261" t="str">
        <f>"2Q"&amp;RIGHT(O6,2)</f>
        <v>2Q22</v>
      </c>
      <c r="P7" s="261" t="str">
        <f>"3Q"&amp;RIGHT(P6,2)</f>
        <v>3Q22</v>
      </c>
      <c r="Q7" s="261" t="str">
        <f>"4Q"&amp;RIGHT(Q6,2)</f>
        <v>4Q22</v>
      </c>
      <c r="R7" s="283">
        <f>M7+1</f>
        <v>2022</v>
      </c>
      <c r="S7" s="261" t="str">
        <f>"1Q"&amp;RIGHT(S6,2)</f>
        <v>1Q23</v>
      </c>
      <c r="T7" s="261" t="str">
        <f>"2Q"&amp;RIGHT(T6,2)</f>
        <v>2Q23</v>
      </c>
      <c r="U7" s="261" t="str">
        <f>"3Q"&amp;RIGHT(U6,2)</f>
        <v>3Q23</v>
      </c>
      <c r="V7" s="261" t="str">
        <f>"4Q"&amp;RIGHT(V6,2)</f>
        <v>4Q23</v>
      </c>
      <c r="W7" s="283">
        <f>R7+1</f>
        <v>2023</v>
      </c>
      <c r="X7" s="261" t="str">
        <f>"1Q"&amp;RIGHT(X6,2)</f>
        <v>1Q24</v>
      </c>
      <c r="Y7" s="261" t="str">
        <f>"2Q"&amp;RIGHT(Y6,2)</f>
        <v>2Q24</v>
      </c>
      <c r="Z7" s="261" t="str">
        <f>"3Q"&amp;RIGHT(Z6,2)</f>
        <v>3Q24</v>
      </c>
      <c r="AA7" s="261" t="str">
        <f>"4Q"&amp;RIGHT(AA6,2)</f>
        <v>4Q24</v>
      </c>
      <c r="AB7" s="283">
        <f>W7+1</f>
        <v>2024</v>
      </c>
      <c r="AC7" s="261" t="str">
        <f>"1Q"&amp;RIGHT(AC6,2)</f>
        <v>1Q25</v>
      </c>
      <c r="AD7" s="261" t="str">
        <f>"2Q"&amp;RIGHT(AD6,2)</f>
        <v>2Q25</v>
      </c>
      <c r="AE7" s="261" t="str">
        <f>"3Q"&amp;RIGHT(AE6,2)</f>
        <v>3Q25</v>
      </c>
      <c r="AF7" s="261" t="str">
        <f>"4Q"&amp;RIGHT(AF6,2)</f>
        <v>4Q25</v>
      </c>
      <c r="AG7" s="283">
        <f>AB7+1</f>
        <v>2025</v>
      </c>
      <c r="AH7" s="261" t="str">
        <f>"1Q"&amp;RIGHT(AH6,2)</f>
        <v>1Q26</v>
      </c>
      <c r="AI7" s="261" t="str">
        <f>"2Q"&amp;RIGHT(AI6,2)</f>
        <v>2Q26</v>
      </c>
      <c r="AJ7" s="261" t="str">
        <f>"3Q"&amp;RIGHT(AJ6,2)</f>
        <v>3Q26</v>
      </c>
      <c r="AK7" s="261" t="str">
        <f>"4Q"&amp;RIGHT(AK6,2)</f>
        <v>4Q26</v>
      </c>
      <c r="AL7" s="283">
        <f>AG7+1</f>
        <v>2026</v>
      </c>
      <c r="AM7" s="261" t="str">
        <f>"1Q"&amp;RIGHT(AM6,2)</f>
        <v>1Q27</v>
      </c>
      <c r="AN7" s="261" t="str">
        <f>"2Q"&amp;RIGHT(AN6,2)</f>
        <v>2Q27</v>
      </c>
      <c r="AO7" s="261" t="str">
        <f>"3Q"&amp;RIGHT(AO6,2)</f>
        <v>3Q27</v>
      </c>
      <c r="AP7" s="261" t="str">
        <f>"4Q"&amp;RIGHT(AP6,2)</f>
        <v>4Q27</v>
      </c>
      <c r="AQ7" s="283">
        <f>AL7+1</f>
        <v>2027</v>
      </c>
      <c r="AR7" s="261" t="str">
        <f>"1Q"&amp;RIGHT(AR6,2)</f>
        <v>1Q28</v>
      </c>
      <c r="AS7" s="261" t="str">
        <f>"2Q"&amp;RIGHT(AS6,2)</f>
        <v>2Q28</v>
      </c>
      <c r="AT7" s="261" t="str">
        <f>"3Q"&amp;RIGHT(AT6,2)</f>
        <v>3Q28</v>
      </c>
      <c r="AU7" s="261" t="str">
        <f>"4Q"&amp;RIGHT(AU6,2)</f>
        <v>4Q28</v>
      </c>
      <c r="AV7" s="283">
        <f>AQ7+1</f>
        <v>2028</v>
      </c>
      <c r="AW7" s="261" t="str">
        <f>"1Q"&amp;RIGHT(AW6,2)</f>
        <v>1Q29</v>
      </c>
      <c r="AX7" s="261" t="str">
        <f>"2Q"&amp;RIGHT(AX6,2)</f>
        <v>2Q29</v>
      </c>
      <c r="AY7" s="261" t="str">
        <f>"3Q"&amp;RIGHT(AY6,2)</f>
        <v>3Q29</v>
      </c>
      <c r="AZ7" s="261" t="str">
        <f>"4Q"&amp;RIGHT(AZ6,2)</f>
        <v>4Q29</v>
      </c>
      <c r="BA7" s="283">
        <f>AV7+1</f>
        <v>2029</v>
      </c>
      <c r="BB7" s="261" t="str">
        <f>"1Q"&amp;RIGHT(BB6,2)</f>
        <v>1Q30</v>
      </c>
      <c r="BC7" s="261" t="str">
        <f>"2Q"&amp;RIGHT(BC6,2)</f>
        <v>2Q30</v>
      </c>
      <c r="BD7" s="261" t="str">
        <f>"3Q"&amp;RIGHT(BD6,2)</f>
        <v>3Q30</v>
      </c>
      <c r="BE7" s="261" t="str">
        <f>"4Q"&amp;RIGHT(BE6,2)</f>
        <v>4Q30</v>
      </c>
      <c r="BF7" s="283">
        <f>BA7+1</f>
        <v>2030</v>
      </c>
      <c r="BG7" s="261" t="str">
        <f>"1Q"&amp;RIGHT(BG6,2)</f>
        <v>1Q31</v>
      </c>
      <c r="BH7" s="261" t="str">
        <f>"2Q"&amp;RIGHT(BH6,2)</f>
        <v>2Q31</v>
      </c>
      <c r="BI7" s="261" t="str">
        <f>"3Q"&amp;RIGHT(BI6,2)</f>
        <v>3Q31</v>
      </c>
      <c r="BJ7" s="261" t="str">
        <f>"4Q"&amp;RIGHT(BJ6,2)</f>
        <v>4Q31</v>
      </c>
      <c r="BK7" s="283">
        <f>BF7+1</f>
        <v>2031</v>
      </c>
      <c r="BL7" s="261" t="str">
        <f>"1Q"&amp;RIGHT(BL6,2)</f>
        <v>1Q32</v>
      </c>
      <c r="BM7" s="261" t="str">
        <f>"2Q"&amp;RIGHT(BM6,2)</f>
        <v>2Q32</v>
      </c>
      <c r="BN7" s="261" t="str">
        <f>"3Q"&amp;RIGHT(BN6,2)</f>
        <v>3Q32</v>
      </c>
      <c r="BO7" s="261" t="str">
        <f>"4Q"&amp;RIGHT(BO6,2)</f>
        <v>4Q32</v>
      </c>
      <c r="BP7" s="283">
        <f>BK7+1</f>
        <v>2032</v>
      </c>
      <c r="BQ7" s="261" t="str">
        <f>"1Q"&amp;RIGHT(BQ6,2)</f>
        <v>1Q33</v>
      </c>
      <c r="BR7" s="261" t="str">
        <f>"2Q"&amp;RIGHT(BR6,2)</f>
        <v>2Q33</v>
      </c>
      <c r="BS7" s="261" t="str">
        <f>"3Q"&amp;RIGHT(BS6,2)</f>
        <v>3Q33</v>
      </c>
      <c r="BT7" s="261" t="str">
        <f>"4Q"&amp;RIGHT(BT6,2)</f>
        <v>4Q33</v>
      </c>
      <c r="BU7" s="283">
        <f>BP7+1</f>
        <v>2033</v>
      </c>
      <c r="BV7" s="261" t="str">
        <f>"1Q"&amp;RIGHT(BV6,2)</f>
        <v>1Q34</v>
      </c>
      <c r="BW7" s="261" t="str">
        <f>"2Q"&amp;RIGHT(BW6,2)</f>
        <v>2Q34</v>
      </c>
      <c r="BX7" s="261" t="str">
        <f>"3Q"&amp;RIGHT(BX6,2)</f>
        <v>3Q34</v>
      </c>
      <c r="BY7" s="261" t="str">
        <f>"4Q"&amp;RIGHT(BY6,2)</f>
        <v>4Q34</v>
      </c>
      <c r="BZ7" s="283">
        <f>BU7+1</f>
        <v>2034</v>
      </c>
      <c r="CA7" s="261" t="str">
        <f>"1Q"&amp;RIGHT(CA6,2)</f>
        <v>1Q35</v>
      </c>
      <c r="CB7" s="261" t="str">
        <f>"2Q"&amp;RIGHT(CB6,2)</f>
        <v>2Q35</v>
      </c>
      <c r="CC7" s="261" t="str">
        <f>"3Q"&amp;RIGHT(CC6,2)</f>
        <v>3Q35</v>
      </c>
      <c r="CD7" s="261" t="str">
        <f>"4Q"&amp;RIGHT(CD6,2)</f>
        <v>4Q35</v>
      </c>
      <c r="CE7" s="283">
        <f>BZ7+1</f>
        <v>2035</v>
      </c>
      <c r="CF7" s="261" t="str">
        <f>"1Q"&amp;RIGHT(CF6,2)</f>
        <v>1Q36</v>
      </c>
      <c r="CG7" s="261" t="str">
        <f>"2Q"&amp;RIGHT(CG6,2)</f>
        <v>2Q36</v>
      </c>
      <c r="CH7" s="261" t="str">
        <f>"3Q"&amp;RIGHT(CH6,2)</f>
        <v>3Q36</v>
      </c>
      <c r="CI7" s="261" t="str">
        <f>"4Q"&amp;RIGHT(CI6,2)</f>
        <v>4Q36</v>
      </c>
      <c r="CJ7" s="283">
        <f>CE7+1</f>
        <v>2036</v>
      </c>
      <c r="CK7" s="261" t="str">
        <f>"1Q"&amp;RIGHT(CK6,2)</f>
        <v>1Q37</v>
      </c>
      <c r="CL7" s="261" t="str">
        <f>"2Q"&amp;RIGHT(CL6,2)</f>
        <v>2Q37</v>
      </c>
      <c r="CM7" s="261" t="str">
        <f>"3Q"&amp;RIGHT(CM6,2)</f>
        <v>3Q37</v>
      </c>
      <c r="CN7" s="261" t="str">
        <f>"4Q"&amp;RIGHT(CN6,2)</f>
        <v>4Q37</v>
      </c>
      <c r="CO7" s="283">
        <f>CJ7+1</f>
        <v>2037</v>
      </c>
      <c r="CP7" s="261" t="str">
        <f>"1Q"&amp;RIGHT(CP6,2)</f>
        <v>1Q38</v>
      </c>
      <c r="CQ7" s="261" t="str">
        <f>"2Q"&amp;RIGHT(CQ6,2)</f>
        <v>2Q38</v>
      </c>
      <c r="CR7" s="261" t="str">
        <f>"3Q"&amp;RIGHT(CR6,2)</f>
        <v>3Q38</v>
      </c>
      <c r="CS7" s="261" t="str">
        <f>"4Q"&amp;RIGHT(CS6,2)</f>
        <v>4Q38</v>
      </c>
      <c r="CT7" s="283">
        <f>CO7+1</f>
        <v>2038</v>
      </c>
      <c r="CU7" s="261" t="str">
        <f>"1Q"&amp;RIGHT(CU6,2)</f>
        <v>1Q39</v>
      </c>
      <c r="CV7" s="261" t="str">
        <f>"2Q"&amp;RIGHT(CV6,2)</f>
        <v>2Q39</v>
      </c>
      <c r="CW7" s="261" t="str">
        <f>"3Q"&amp;RIGHT(CW6,2)</f>
        <v>3Q39</v>
      </c>
      <c r="CX7" s="261" t="str">
        <f>"4Q"&amp;RIGHT(CX6,2)</f>
        <v>4Q39</v>
      </c>
      <c r="CY7" s="283">
        <f>CT7+1</f>
        <v>2039</v>
      </c>
    </row>
    <row r="8" ht="12.75" customHeight="1" s="255">
      <c r="B8" s="260" t="n"/>
      <c r="C8" s="260" t="inlineStr">
        <is>
          <t>IPCA</t>
        </is>
      </c>
      <c r="D8" s="261" t="n"/>
      <c r="E8" s="261" t="n"/>
      <c r="F8" s="261" t="n"/>
      <c r="G8" s="261" t="n"/>
      <c r="H8" s="284" t="n">
        <v>0.0485</v>
      </c>
      <c r="I8" s="261" t="n"/>
      <c r="J8" s="261" t="n"/>
      <c r="K8" s="261" t="n"/>
      <c r="L8" s="261" t="n"/>
      <c r="M8" s="284" t="n">
        <v>0.1006</v>
      </c>
      <c r="N8" s="261" t="n"/>
      <c r="O8" s="261" t="n"/>
      <c r="P8" s="261" t="n"/>
      <c r="Q8" s="261" t="n"/>
      <c r="R8" s="284" t="n">
        <v>0.0579</v>
      </c>
      <c r="S8" s="261" t="n"/>
      <c r="T8" s="261" t="n"/>
      <c r="U8" s="261" t="n"/>
      <c r="V8" s="261" t="n"/>
      <c r="W8" s="284" t="n">
        <v>0.0468</v>
      </c>
      <c r="X8" s="261" t="n"/>
      <c r="Y8" s="261" t="n"/>
      <c r="Z8" s="261" t="n"/>
      <c r="AA8" s="261" t="n"/>
      <c r="AB8" s="284" t="n">
        <v>0.0483</v>
      </c>
      <c r="AC8" s="261" t="n"/>
      <c r="AD8" s="261" t="n"/>
      <c r="AE8" s="261" t="n"/>
      <c r="AF8" s="261" t="n"/>
      <c r="AG8" s="284" t="n">
        <v>0.0468</v>
      </c>
      <c r="AH8" s="261" t="n"/>
      <c r="AI8" s="261" t="n"/>
      <c r="AJ8" s="261" t="n"/>
      <c r="AK8" s="261" t="n"/>
      <c r="AL8" s="285" t="n"/>
      <c r="AM8" s="261" t="n"/>
      <c r="AN8" s="261" t="n"/>
      <c r="AO8" s="261" t="n"/>
      <c r="AP8" s="261" t="n"/>
      <c r="AQ8" s="285" t="n"/>
      <c r="AR8" s="261" t="n"/>
      <c r="AS8" s="261" t="n"/>
      <c r="AT8" s="261" t="n"/>
      <c r="AU8" s="261" t="n"/>
      <c r="AV8" s="285" t="n"/>
      <c r="AW8" s="261" t="n"/>
      <c r="AX8" s="261" t="n"/>
      <c r="AY8" s="261" t="n"/>
      <c r="AZ8" s="261" t="n"/>
      <c r="BA8" s="285" t="n"/>
      <c r="BB8" s="261" t="n"/>
      <c r="BC8" s="261" t="n"/>
      <c r="BD8" s="261" t="n"/>
      <c r="BE8" s="261" t="n"/>
      <c r="BF8" s="285" t="n"/>
      <c r="BG8" s="261" t="n"/>
      <c r="BH8" s="261" t="n"/>
      <c r="BI8" s="261" t="n"/>
      <c r="BJ8" s="261" t="n"/>
      <c r="BK8" s="285" t="n"/>
      <c r="BL8" s="261" t="n"/>
      <c r="BM8" s="261" t="n"/>
      <c r="BN8" s="261" t="n"/>
      <c r="BO8" s="261" t="n"/>
      <c r="BP8" s="285" t="n"/>
      <c r="BQ8" s="261" t="n"/>
      <c r="BR8" s="261" t="n"/>
      <c r="BS8" s="261" t="n"/>
      <c r="BT8" s="261" t="n"/>
      <c r="BU8" s="285" t="n"/>
      <c r="BV8" s="261" t="n"/>
      <c r="BW8" s="261" t="n"/>
      <c r="BX8" s="261" t="n"/>
      <c r="BY8" s="261" t="n"/>
      <c r="BZ8" s="285" t="n"/>
      <c r="CA8" s="261" t="n"/>
      <c r="CB8" s="261" t="n"/>
      <c r="CC8" s="261" t="n"/>
      <c r="CD8" s="261" t="n"/>
      <c r="CE8" s="285" t="n"/>
      <c r="CF8" s="261" t="n"/>
      <c r="CG8" s="261" t="n"/>
      <c r="CH8" s="261" t="n"/>
      <c r="CI8" s="261" t="n"/>
      <c r="CJ8" s="285" t="n"/>
      <c r="CK8" s="261" t="n"/>
      <c r="CL8" s="261" t="n"/>
      <c r="CM8" s="261" t="n"/>
      <c r="CN8" s="261" t="n"/>
      <c r="CO8" s="285" t="n"/>
      <c r="CP8" s="261" t="n"/>
      <c r="CQ8" s="261" t="n"/>
      <c r="CR8" s="261" t="n"/>
      <c r="CS8" s="261" t="n"/>
      <c r="CT8" s="285" t="n"/>
      <c r="CU8" s="261" t="n"/>
      <c r="CV8" s="261" t="n"/>
      <c r="CW8" s="261" t="n"/>
      <c r="CX8" s="261" t="n"/>
      <c r="CY8" s="285" t="n"/>
    </row>
    <row r="9" ht="12.75" customHeight="1" s="255">
      <c r="B9" s="260" t="n"/>
      <c r="C9" s="260" t="inlineStr">
        <is>
          <t>GDP BRAZIL</t>
        </is>
      </c>
      <c r="D9" s="261" t="n"/>
      <c r="E9" s="261" t="n"/>
      <c r="F9" s="261" t="n"/>
      <c r="G9" s="261" t="n"/>
      <c r="H9" s="286" t="n">
        <v>-0.046</v>
      </c>
      <c r="I9" s="261" t="n"/>
      <c r="J9" s="261" t="n"/>
      <c r="K9" s="261" t="n"/>
      <c r="L9" s="261" t="n"/>
      <c r="M9" s="286" t="n">
        <v>0.046</v>
      </c>
      <c r="N9" s="261" t="n"/>
      <c r="O9" s="261" t="n"/>
      <c r="P9" s="261" t="n"/>
      <c r="Q9" s="261" t="n"/>
      <c r="R9" s="286" t="n"/>
      <c r="S9" s="261" t="n"/>
      <c r="T9" s="261" t="n"/>
      <c r="U9" s="261" t="n"/>
      <c r="V9" s="261" t="n"/>
      <c r="W9" s="286" t="n"/>
      <c r="X9" s="261" t="n"/>
      <c r="Y9" s="261" t="n"/>
      <c r="Z9" s="261" t="n"/>
      <c r="AA9" s="261" t="n"/>
      <c r="AB9" s="286" t="n"/>
      <c r="AC9" s="261" t="n"/>
      <c r="AD9" s="261" t="n"/>
      <c r="AE9" s="261" t="n"/>
      <c r="AF9" s="261" t="n"/>
      <c r="AG9" s="286" t="n"/>
      <c r="AH9" s="261" t="n"/>
      <c r="AI9" s="261" t="n"/>
      <c r="AJ9" s="261" t="n"/>
      <c r="AK9" s="261" t="n"/>
      <c r="AL9" s="285" t="n"/>
      <c r="AM9" s="261" t="n"/>
      <c r="AN9" s="261" t="n"/>
      <c r="AO9" s="261" t="n"/>
      <c r="AP9" s="261" t="n"/>
      <c r="AQ9" s="285" t="n"/>
      <c r="AR9" s="261" t="n"/>
      <c r="AS9" s="261" t="n"/>
      <c r="AT9" s="261" t="n"/>
      <c r="AU9" s="261" t="n"/>
      <c r="AV9" s="285" t="n"/>
      <c r="AW9" s="261" t="n"/>
      <c r="AX9" s="261" t="n"/>
      <c r="AY9" s="261" t="n"/>
      <c r="AZ9" s="261" t="n"/>
      <c r="BA9" s="285" t="n"/>
      <c r="BB9" s="261" t="n"/>
      <c r="BC9" s="261" t="n"/>
      <c r="BD9" s="261" t="n"/>
      <c r="BE9" s="261" t="n"/>
      <c r="BF9" s="285" t="n"/>
      <c r="BG9" s="261" t="n"/>
      <c r="BH9" s="261" t="n"/>
      <c r="BI9" s="261" t="n"/>
      <c r="BJ9" s="261" t="n"/>
      <c r="BK9" s="285" t="n"/>
      <c r="BL9" s="261" t="n"/>
      <c r="BM9" s="261" t="n"/>
      <c r="BN9" s="261" t="n"/>
      <c r="BO9" s="261" t="n"/>
      <c r="BP9" s="285" t="n"/>
      <c r="BQ9" s="261" t="n"/>
      <c r="BR9" s="261" t="n"/>
      <c r="BS9" s="261" t="n"/>
      <c r="BT9" s="261" t="n"/>
      <c r="BU9" s="285" t="n"/>
      <c r="BV9" s="261" t="n"/>
      <c r="BW9" s="261" t="n"/>
      <c r="BX9" s="261" t="n"/>
      <c r="BY9" s="261" t="n"/>
      <c r="BZ9" s="285" t="n"/>
      <c r="CA9" s="261" t="n"/>
      <c r="CB9" s="261" t="n"/>
      <c r="CC9" s="261" t="n"/>
      <c r="CD9" s="261" t="n"/>
      <c r="CE9" s="285" t="n"/>
      <c r="CF9" s="261" t="n"/>
      <c r="CG9" s="261" t="n"/>
      <c r="CH9" s="261" t="n"/>
      <c r="CI9" s="261" t="n"/>
      <c r="CJ9" s="285" t="n"/>
      <c r="CK9" s="261" t="n"/>
      <c r="CL9" s="261" t="n"/>
      <c r="CM9" s="261" t="n"/>
      <c r="CN9" s="261" t="n"/>
      <c r="CO9" s="285" t="n"/>
      <c r="CP9" s="261" t="n"/>
      <c r="CQ9" s="261" t="n"/>
      <c r="CR9" s="261" t="n"/>
      <c r="CS9" s="261" t="n"/>
      <c r="CT9" s="285" t="n"/>
      <c r="CU9" s="261" t="n"/>
      <c r="CV9" s="261" t="n"/>
      <c r="CW9" s="261" t="n"/>
      <c r="CX9" s="261" t="n"/>
      <c r="CY9" s="285" t="n"/>
    </row>
    <row r="10" ht="12.75" customHeight="1" s="255">
      <c r="C10" s="260" t="inlineStr">
        <is>
          <t>CDI</t>
        </is>
      </c>
      <c r="H10" s="286" t="n">
        <v>0.0275</v>
      </c>
      <c r="M10" s="286" t="n">
        <v>0.0442</v>
      </c>
      <c r="R10" s="286" t="n">
        <v>0.1239</v>
      </c>
      <c r="W10" s="286" t="n">
        <v>0.1304</v>
      </c>
      <c r="AB10" s="286" t="n">
        <v>0.1064</v>
      </c>
      <c r="AG10" s="286" t="n">
        <v>0.1464</v>
      </c>
    </row>
    <row r="13" ht="12.75" customFormat="1" customHeight="1" s="287">
      <c r="A13" s="288" t="n"/>
      <c r="B13" s="288" t="n"/>
      <c r="C13" s="289" t="inlineStr">
        <is>
          <t>Income Statement</t>
        </is>
      </c>
      <c r="D13" s="289" t="str">
        <f>D7</f>
        <v>1Q20</v>
      </c>
      <c r="E13" s="289" t="str">
        <f>E7</f>
        <v>2Q20</v>
      </c>
      <c r="F13" s="289" t="str">
        <f>F7</f>
        <v>3Q20</v>
      </c>
      <c r="G13" s="289" t="str">
        <f>G7</f>
        <v>4Q20</v>
      </c>
      <c r="H13" s="289">
        <f>H7</f>
        <v>2020</v>
      </c>
      <c r="I13" s="289" t="str">
        <f>I7</f>
        <v>1Q21</v>
      </c>
      <c r="J13" s="289" t="str">
        <f>J7</f>
        <v>2Q21</v>
      </c>
      <c r="K13" s="289" t="str">
        <f>K7</f>
        <v>3Q21</v>
      </c>
      <c r="L13" s="289" t="str">
        <f>L7</f>
        <v>4Q21</v>
      </c>
      <c r="M13" s="289">
        <f>M7</f>
        <v>2021</v>
      </c>
      <c r="N13" s="289" t="str">
        <f>N7</f>
        <v>1Q22</v>
      </c>
      <c r="O13" s="289" t="str">
        <f>O7</f>
        <v>2Q22</v>
      </c>
      <c r="P13" s="289" t="str">
        <f>P7</f>
        <v>3Q22</v>
      </c>
      <c r="Q13" s="289" t="str">
        <f>Q7</f>
        <v>4Q22</v>
      </c>
      <c r="R13" s="289">
        <f>R7</f>
        <v>2022</v>
      </c>
      <c r="S13" s="289" t="str">
        <f>S7</f>
        <v>1Q23</v>
      </c>
      <c r="T13" s="289" t="str">
        <f>T7</f>
        <v>2Q23</v>
      </c>
      <c r="U13" s="289" t="str">
        <f>U7</f>
        <v>3Q23</v>
      </c>
      <c r="V13" s="289" t="str">
        <f>V7</f>
        <v>4Q23</v>
      </c>
      <c r="W13" s="289">
        <f>W7</f>
        <v>2023</v>
      </c>
      <c r="X13" s="289" t="str">
        <f>X7</f>
        <v>1Q24</v>
      </c>
      <c r="Y13" s="289" t="str">
        <f>Y7</f>
        <v>2Q24</v>
      </c>
      <c r="Z13" s="289" t="str">
        <f>Z7</f>
        <v>3Q24</v>
      </c>
      <c r="AA13" s="289" t="str">
        <f>AA7</f>
        <v>4Q24</v>
      </c>
      <c r="AB13" s="289">
        <f>AB7</f>
        <v>2024</v>
      </c>
      <c r="AC13" s="289" t="str">
        <f>AC7</f>
        <v>1Q25</v>
      </c>
      <c r="AD13" s="289" t="str">
        <f>AD7</f>
        <v>2Q25</v>
      </c>
      <c r="AE13" s="289" t="str">
        <f>AE7</f>
        <v>3Q25</v>
      </c>
      <c r="AF13" s="289" t="str">
        <f>AF7</f>
        <v>4Q25</v>
      </c>
      <c r="AG13" s="289">
        <f>AG7</f>
        <v>2025</v>
      </c>
      <c r="AH13" s="289" t="str">
        <f>AH7</f>
        <v>1Q26</v>
      </c>
      <c r="AI13" s="289" t="str">
        <f>AI7</f>
        <v>2Q26</v>
      </c>
      <c r="AJ13" s="289" t="str">
        <f>AJ7</f>
        <v>3Q26</v>
      </c>
      <c r="AK13" s="289" t="str">
        <f>AK7</f>
        <v>4Q26</v>
      </c>
      <c r="AL13" s="289">
        <f>AL7</f>
        <v>2026</v>
      </c>
      <c r="AM13" s="289" t="str">
        <f>AM7</f>
        <v>1Q27</v>
      </c>
      <c r="AN13" s="289" t="str">
        <f>AN7</f>
        <v>2Q27</v>
      </c>
      <c r="AO13" s="289" t="str">
        <f>AO7</f>
        <v>3Q27</v>
      </c>
      <c r="AP13" s="289" t="str">
        <f>AP7</f>
        <v>4Q27</v>
      </c>
      <c r="AQ13" s="289">
        <f>AQ7</f>
        <v>2027</v>
      </c>
      <c r="AR13" s="289" t="str">
        <f>AR7</f>
        <v>1Q28</v>
      </c>
      <c r="AS13" s="289" t="str">
        <f>AS7</f>
        <v>2Q28</v>
      </c>
      <c r="AT13" s="289" t="str">
        <f>AT7</f>
        <v>3Q28</v>
      </c>
      <c r="AU13" s="289" t="str">
        <f>AU7</f>
        <v>4Q28</v>
      </c>
      <c r="AV13" s="289">
        <f>AV7</f>
        <v>2028</v>
      </c>
      <c r="AW13" s="289" t="str">
        <f>AW7</f>
        <v>1Q29</v>
      </c>
      <c r="AX13" s="289" t="str">
        <f>AX7</f>
        <v>2Q29</v>
      </c>
      <c r="AY13" s="289" t="str">
        <f>AY7</f>
        <v>3Q29</v>
      </c>
      <c r="AZ13" s="289" t="str">
        <f>AZ7</f>
        <v>4Q29</v>
      </c>
      <c r="BA13" s="289">
        <f>BA7</f>
        <v>2029</v>
      </c>
      <c r="BB13" s="289" t="str">
        <f>BB7</f>
        <v>1Q30</v>
      </c>
      <c r="BC13" s="289" t="str">
        <f>BC7</f>
        <v>2Q30</v>
      </c>
      <c r="BD13" s="289" t="str">
        <f>BD7</f>
        <v>3Q30</v>
      </c>
      <c r="BE13" s="289" t="str">
        <f>BE7</f>
        <v>4Q30</v>
      </c>
      <c r="BF13" s="289">
        <f>BF7</f>
        <v>2030</v>
      </c>
      <c r="BG13" s="289" t="str">
        <f>BG7</f>
        <v>1Q31</v>
      </c>
      <c r="BH13" s="289" t="str">
        <f>BH7</f>
        <v>2Q31</v>
      </c>
      <c r="BI13" s="289" t="str">
        <f>BI7</f>
        <v>3Q31</v>
      </c>
      <c r="BJ13" s="289" t="str">
        <f>BJ7</f>
        <v>4Q31</v>
      </c>
      <c r="BK13" s="289">
        <f>BK7</f>
        <v>2031</v>
      </c>
      <c r="BL13" s="289" t="str">
        <f>BL7</f>
        <v>1Q32</v>
      </c>
      <c r="BM13" s="289" t="str">
        <f>BM7</f>
        <v>2Q32</v>
      </c>
      <c r="BN13" s="289" t="str">
        <f>BN7</f>
        <v>3Q32</v>
      </c>
      <c r="BO13" s="289" t="str">
        <f>BO7</f>
        <v>4Q32</v>
      </c>
      <c r="BP13" s="289">
        <f>BP7</f>
        <v>2032</v>
      </c>
      <c r="BQ13" s="289" t="str">
        <f>BQ7</f>
        <v>1Q33</v>
      </c>
      <c r="BR13" s="289" t="str">
        <f>BR7</f>
        <v>2Q33</v>
      </c>
      <c r="BS13" s="289" t="str">
        <f>BS7</f>
        <v>3Q33</v>
      </c>
      <c r="BT13" s="289" t="str">
        <f>BT7</f>
        <v>4Q33</v>
      </c>
      <c r="BU13" s="289">
        <f>BU7</f>
        <v>2033</v>
      </c>
      <c r="BV13" s="289" t="str">
        <f>BV7</f>
        <v>1Q34</v>
      </c>
      <c r="BW13" s="289" t="str">
        <f>BW7</f>
        <v>2Q34</v>
      </c>
      <c r="BX13" s="289" t="str">
        <f>BX7</f>
        <v>3Q34</v>
      </c>
      <c r="BY13" s="289" t="str">
        <f>BY7</f>
        <v>4Q34</v>
      </c>
      <c r="BZ13" s="289">
        <f>BZ7</f>
        <v>2034</v>
      </c>
      <c r="CA13" s="289" t="str">
        <f>CA7</f>
        <v>1Q35</v>
      </c>
      <c r="CB13" s="289" t="str">
        <f>CB7</f>
        <v>2Q35</v>
      </c>
      <c r="CC13" s="289" t="str">
        <f>CC7</f>
        <v>3Q35</v>
      </c>
      <c r="CD13" s="289" t="str">
        <f>CD7</f>
        <v>4Q35</v>
      </c>
      <c r="CE13" s="289">
        <f>CE7</f>
        <v>2035</v>
      </c>
      <c r="CF13" s="289" t="str">
        <f>CF7</f>
        <v>1Q36</v>
      </c>
      <c r="CG13" s="289" t="str">
        <f>CG7</f>
        <v>2Q36</v>
      </c>
      <c r="CH13" s="289" t="str">
        <f>CH7</f>
        <v>3Q36</v>
      </c>
      <c r="CI13" s="289" t="str">
        <f>CI7</f>
        <v>4Q36</v>
      </c>
      <c r="CJ13" s="289">
        <f>CJ7</f>
        <v>2036</v>
      </c>
      <c r="CK13" s="289" t="str">
        <f>CK7</f>
        <v>1Q37</v>
      </c>
      <c r="CL13" s="289" t="str">
        <f>CL7</f>
        <v>2Q37</v>
      </c>
      <c r="CM13" s="289" t="str">
        <f>CM7</f>
        <v>3Q37</v>
      </c>
      <c r="CN13" s="289" t="str">
        <f>CN7</f>
        <v>4Q37</v>
      </c>
      <c r="CO13" s="289">
        <f>CO7</f>
        <v>2037</v>
      </c>
      <c r="CP13" s="289" t="str">
        <f>CP7</f>
        <v>1Q38</v>
      </c>
      <c r="CQ13" s="289" t="str">
        <f>CQ7</f>
        <v>2Q38</v>
      </c>
      <c r="CR13" s="289" t="str">
        <f>CR7</f>
        <v>3Q38</v>
      </c>
      <c r="CS13" s="289" t="str">
        <f>CS7</f>
        <v>4Q38</v>
      </c>
      <c r="CT13" s="289">
        <f>CT7</f>
        <v>2038</v>
      </c>
      <c r="CU13" s="289" t="str">
        <f>CU7</f>
        <v>1Q39</v>
      </c>
      <c r="CV13" s="289" t="str">
        <f>CV7</f>
        <v>2Q39</v>
      </c>
      <c r="CW13" s="289" t="str">
        <f>CW7</f>
        <v>3Q39</v>
      </c>
      <c r="CX13" s="289" t="str">
        <f>CX7</f>
        <v>4Q39</v>
      </c>
      <c r="CY13" s="289">
        <f>CY7</f>
        <v>2039</v>
      </c>
    </row>
    <row r="14" ht="12.75" customHeight="1" s="255">
      <c r="C14" s="273" t="n"/>
    </row>
    <row r="15" ht="12.75" customFormat="1" customHeight="1" s="287">
      <c r="A15" s="288" t="n"/>
      <c r="B15" s="259" t="n"/>
      <c r="C15" s="275" t="inlineStr">
        <is>
          <t>Net Revenues</t>
        </is>
      </c>
      <c r="D15" s="290">
        <f>INDEX('Inputs (2)'!$D$4:$AL$4,MATCH(D$7,'Inputs (2)'!$D$2:$AL$2,0))</f>
        <v>134622</v>
      </c>
      <c r="E15" s="290">
        <f>INDEX('Inputs (2)'!$D$4:$AL$4,MATCH(E$7,'Inputs (2)'!$D$2:$AL$2,0))</f>
        <v>137742</v>
      </c>
      <c r="F15" s="290">
        <f>INDEX('Inputs (2)'!$D$4:$AL$4,MATCH(F$7,'Inputs (2)'!$D$2:$AL$2,0))</f>
        <v>134708</v>
      </c>
      <c r="G15" s="290">
        <f>INDEX('Inputs (2)'!$D$4:$AL$4,MATCH(G$7,'Inputs (2)'!$D$2:$AL$2,0))</f>
        <v>152079</v>
      </c>
      <c r="H15" s="276">
        <f>SUM(D15:G15)</f>
        <v>559151</v>
      </c>
      <c r="I15" s="290">
        <f>INDEX('Inputs (2)'!$D$4:$AL$4,MATCH(I$7,'Inputs (2)'!$D$2:$AL$2,0))</f>
        <v>138310</v>
      </c>
      <c r="J15" s="290">
        <f>INDEX('Inputs (2)'!$D$4:$AL$4,MATCH(J$7,'Inputs (2)'!$D$2:$AL$2,0))</f>
        <v>141048</v>
      </c>
      <c r="K15" s="290">
        <f>INDEX('Inputs (2)'!$D$4:$AL$4,MATCH(K$7,'Inputs (2)'!$D$2:$AL$2,0))</f>
        <v>140525</v>
      </c>
      <c r="L15" s="290">
        <f>INDEX('Inputs (2)'!$D$4:$AL$4,MATCH(L$7,'Inputs (2)'!$D$2:$AL$2,0))</f>
        <v>152871</v>
      </c>
      <c r="M15" s="276">
        <f>SUM(I15:L15)</f>
        <v>572754</v>
      </c>
      <c r="N15" s="290">
        <f>INDEX('Inputs (2)'!$D$4:$AL$4,MATCH(N$7,'Inputs (2)'!$D$2:$AL$2,0))</f>
        <v>141569</v>
      </c>
      <c r="O15" s="290">
        <f>INDEX('Inputs (2)'!$D$4:$AL$4,MATCH(O$7,'Inputs (2)'!$D$2:$AL$2,0))</f>
        <v>152859</v>
      </c>
      <c r="P15" s="290">
        <f>INDEX('Inputs (2)'!$D$4:$AL$4,MATCH(P$7,'Inputs (2)'!$D$2:$AL$2,0))</f>
        <v>152813</v>
      </c>
      <c r="Q15" s="290">
        <f>INDEX('Inputs (2)'!$D$4:$AL$4,MATCH(Q$7,'Inputs (2)'!$D$2:$AL$2,0))</f>
        <v>164048</v>
      </c>
      <c r="R15" s="276">
        <f>SUM(N15:Q15)</f>
        <v>611289</v>
      </c>
      <c r="S15" s="290">
        <f>INDEX('Inputs (2)'!$D$4:$AL$4,MATCH(S$7,'Inputs (2)'!$D$2:$AL$2,0))</f>
        <v>152301</v>
      </c>
      <c r="T15" s="290">
        <f>INDEX('Inputs (2)'!$D$4:$AL$4,MATCH(T$7,'Inputs (2)'!$D$2:$AL$2,0))</f>
        <v>161632</v>
      </c>
      <c r="U15" s="290">
        <f>INDEX('Inputs (2)'!$D$4:$AL$4,MATCH(U$7,'Inputs (2)'!$D$2:$AL$2,0))</f>
        <v>160804</v>
      </c>
      <c r="V15" s="290">
        <f>INDEX('Inputs (2)'!$D$4:$AL$4,MATCH(V$7,'Inputs (2)'!$D$2:$AL$2,0))</f>
        <v>173388</v>
      </c>
      <c r="W15" s="276">
        <f>SUM(S15:V15)</f>
        <v>648125</v>
      </c>
      <c r="X15" s="290">
        <f>INDEX('Inputs (2)'!$D$4:$AL$4,MATCH(X$7,'Inputs (2)'!$D$2:$AL$2,0))</f>
        <v>161508</v>
      </c>
      <c r="Y15" s="290">
        <f>INDEX('Inputs (2)'!$D$4:$AL$4,MATCH(Y$7,'Inputs (2)'!$D$2:$AL$2,0))</f>
        <v>169335</v>
      </c>
      <c r="Z15" s="290">
        <f>INDEX('Inputs (2)'!$D$4:$AL$4,MATCH(Z$7,'Inputs (2)'!$D$2:$AL$2,0))</f>
        <v>169588</v>
      </c>
      <c r="AA15" s="290">
        <f>INDEX('Inputs (2)'!$D$4:$AL$4,MATCH(AA$7,'Inputs (2)'!$D$2:$AL$2,0))</f>
        <v>180554</v>
      </c>
      <c r="AB15" s="276">
        <f>SUM(X15:AA15)</f>
        <v>680985</v>
      </c>
      <c r="AC15" s="290">
        <f>INDEX('Inputs (2)'!$D$4:$AL$4,MATCH(AC$7,'Inputs (2)'!$D$2:$AL$2,0))</f>
        <v>165609</v>
      </c>
      <c r="AD15" s="290">
        <f>INDEX('Inputs (2)'!$D$4:$AL$4,MATCH(AD$7,'Inputs (2)'!$D$2:$AL$2,0))</f>
        <v>177402</v>
      </c>
      <c r="AE15" s="290">
        <f>INDEX('Inputs (2)'!$D$4:$AL$4,MATCH(AE$7,'Inputs (2)'!$D$2:$AL$2,0))</f>
        <v>179496</v>
      </c>
      <c r="AF15" s="290">
        <f>INDEX('Inputs (2)'!$D$4:$AL$4,MATCH(AF$7,'Inputs (2)'!$D$2:$AL$2,0))</f>
        <v>190656</v>
      </c>
      <c r="AG15" s="276">
        <f>SUM(AC15:AF15)</f>
        <v>713163</v>
      </c>
      <c r="AH15" s="276">
        <f>INDEX('Inputs (2)'!$D$4:$AL$4,MATCH(AH$7,'Inputs (2)'!$D$2:$AL$2,0))</f>
        <v>177751</v>
      </c>
      <c r="AI15" s="276">
        <f>INDEX('Inputs (2)'!$D$4:$AL$4,MATCH(AI$7,'Inputs (2)'!$D$2:$AL$2,0))</f>
        <v>187937</v>
      </c>
      <c r="AJ15" s="276">
        <f>AE15*(1+AJ16)</f>
        <v>179496</v>
      </c>
      <c r="AK15" s="276">
        <f>AF15*(1+AK16)</f>
        <v>190656</v>
      </c>
      <c r="AL15" s="276">
        <f>SUM(AH15:AK15)</f>
        <v>735840</v>
      </c>
      <c r="AM15" s="276">
        <f>AH15*(1+AM16)</f>
        <v>177751</v>
      </c>
      <c r="AN15" s="276">
        <f>AI15*(1+AN16)</f>
        <v>187937</v>
      </c>
      <c r="AO15" s="276">
        <f>AJ15*(1+AO16)</f>
        <v>179496</v>
      </c>
      <c r="AP15" s="276">
        <f>AK15*(1+AP16)</f>
        <v>190656</v>
      </c>
      <c r="AQ15" s="276">
        <f>SUM(AM15:AP15)</f>
        <v>735840</v>
      </c>
      <c r="AR15" s="276">
        <f>AM15*(1+AR16)</f>
        <v>177751</v>
      </c>
      <c r="AS15" s="276">
        <f>AN15*(1+AS16)</f>
        <v>187937</v>
      </c>
      <c r="AT15" s="276">
        <f>AO15*(1+AT16)</f>
        <v>179496</v>
      </c>
      <c r="AU15" s="276">
        <f>AP15*(1+AU16)</f>
        <v>190656</v>
      </c>
      <c r="AV15" s="276">
        <f>SUM(AR15:AU15)</f>
        <v>735840</v>
      </c>
      <c r="AW15" s="276">
        <f>AR15*(1+AW16)</f>
        <v>177751</v>
      </c>
      <c r="AX15" s="276">
        <f>AS15*(1+AX16)</f>
        <v>187937</v>
      </c>
      <c r="AY15" s="276">
        <f>AT15*(1+AY16)</f>
        <v>179496</v>
      </c>
      <c r="AZ15" s="276">
        <f>AU15*(1+AZ16)</f>
        <v>190656</v>
      </c>
      <c r="BA15" s="276">
        <f>SUM(AW15:AZ15)</f>
        <v>735840</v>
      </c>
      <c r="BB15" s="276">
        <f>AW15*(1+BB16)</f>
        <v>177751</v>
      </c>
      <c r="BC15" s="276">
        <f>AX15*(1+BC16)</f>
        <v>187937</v>
      </c>
      <c r="BD15" s="276">
        <f>AY15*(1+BD16)</f>
        <v>179496</v>
      </c>
      <c r="BE15" s="276">
        <f>AZ15*(1+BE16)</f>
        <v>190656</v>
      </c>
      <c r="BF15" s="276">
        <f>SUM(BB15:BE15)</f>
        <v>735840</v>
      </c>
      <c r="BG15" s="276">
        <f>BB15*(1+BG16)</f>
        <v>177751</v>
      </c>
      <c r="BH15" s="276">
        <f>BC15*(1+BH16)</f>
        <v>187937</v>
      </c>
      <c r="BI15" s="276">
        <f>BD15*(1+BI16)</f>
        <v>179496</v>
      </c>
      <c r="BJ15" s="276">
        <f>BE15*(1+BJ16)</f>
        <v>190656</v>
      </c>
      <c r="BK15" s="276">
        <f>SUM(BG15:BJ15)</f>
        <v>735840</v>
      </c>
      <c r="BL15" s="276">
        <f>BG15*(1+BL16)</f>
        <v>177751</v>
      </c>
      <c r="BM15" s="276">
        <f>BH15*(1+BM16)</f>
        <v>187937</v>
      </c>
      <c r="BN15" s="276">
        <f>BI15*(1+BN16)</f>
        <v>179496</v>
      </c>
      <c r="BO15" s="276">
        <f>BJ15*(1+BO16)</f>
        <v>190656</v>
      </c>
      <c r="BP15" s="276">
        <f>SUM(BL15:BO15)</f>
        <v>735840</v>
      </c>
      <c r="BQ15" s="276">
        <f>BL15*(1+BQ16)</f>
        <v>177751</v>
      </c>
      <c r="BR15" s="276">
        <f>BM15*(1+BR16)</f>
        <v>187937</v>
      </c>
      <c r="BS15" s="276">
        <f>BN15*(1+BS16)</f>
        <v>179496</v>
      </c>
      <c r="BT15" s="276">
        <f>BO15*(1+BT16)</f>
        <v>190656</v>
      </c>
      <c r="BU15" s="276">
        <f>SUM(BQ15:BT15)</f>
        <v>735840</v>
      </c>
      <c r="BV15" s="276">
        <f>BQ15*(1+BV16)</f>
        <v>177751</v>
      </c>
      <c r="BW15" s="276">
        <f>BR15*(1+BW16)</f>
        <v>187937</v>
      </c>
      <c r="BX15" s="276">
        <f>BS15*(1+BX16)</f>
        <v>179496</v>
      </c>
      <c r="BY15" s="276">
        <f>BT15*(1+BY16)</f>
        <v>190656</v>
      </c>
      <c r="BZ15" s="276">
        <f>SUM(BV15:BY15)</f>
        <v>735840</v>
      </c>
      <c r="CA15" s="276">
        <f>BV15*(1+CA16)</f>
        <v>177751</v>
      </c>
      <c r="CB15" s="276">
        <f>BW15*(1+CB16)</f>
        <v>187937</v>
      </c>
      <c r="CC15" s="276">
        <f>BX15*(1+CC16)</f>
        <v>179496</v>
      </c>
      <c r="CD15" s="276">
        <f>BY15*(1+CD16)</f>
        <v>190656</v>
      </c>
      <c r="CE15" s="276">
        <f>SUM(CA15:CD15)</f>
        <v>735840</v>
      </c>
      <c r="CF15" s="276">
        <f>CA15*(1+CF16)</f>
        <v>177751</v>
      </c>
      <c r="CG15" s="276">
        <f>CB15*(1+CG16)</f>
        <v>187937</v>
      </c>
      <c r="CH15" s="276">
        <f>CC15*(1+CH16)</f>
        <v>179496</v>
      </c>
      <c r="CI15" s="276">
        <f>CD15*(1+CI16)</f>
        <v>190656</v>
      </c>
      <c r="CJ15" s="276">
        <f>SUM(CF15:CI15)</f>
        <v>735840</v>
      </c>
      <c r="CK15" s="276">
        <f>CF15*(1+CK16)</f>
        <v>177751</v>
      </c>
      <c r="CL15" s="276">
        <f>CG15*(1+CL16)</f>
        <v>187937</v>
      </c>
      <c r="CM15" s="276">
        <f>CH15*(1+CM16)</f>
        <v>179496</v>
      </c>
      <c r="CN15" s="276">
        <f>CI15*(1+CN16)</f>
        <v>190656</v>
      </c>
      <c r="CO15" s="276">
        <f>SUM(CK15:CN15)</f>
        <v>735840</v>
      </c>
      <c r="CP15" s="276">
        <f>CK15*(1+CP16)</f>
        <v>177751</v>
      </c>
      <c r="CQ15" s="276">
        <f>CL15*(1+CQ16)</f>
        <v>187937</v>
      </c>
      <c r="CR15" s="276">
        <f>CM15*(1+CR16)</f>
        <v>179496</v>
      </c>
      <c r="CS15" s="276">
        <f>CN15*(1+CS16)</f>
        <v>190656</v>
      </c>
      <c r="CT15" s="276">
        <f>SUM(CP15:CS15)</f>
        <v>735840</v>
      </c>
      <c r="CU15" s="276">
        <f>CP15*(1+CU16)</f>
        <v>177751</v>
      </c>
      <c r="CV15" s="276">
        <f>CQ15*(1+CV16)</f>
        <v>187937</v>
      </c>
      <c r="CW15" s="276">
        <f>CR15*(1+CW16)</f>
        <v>179496</v>
      </c>
      <c r="CX15" s="276">
        <f>CS15*(1+CX16)</f>
        <v>190656</v>
      </c>
      <c r="CY15" s="276">
        <f>SUM(CU15:CX15)</f>
        <v>735840</v>
      </c>
    </row>
    <row r="16" hidden="1" outlineLevel="1" ht="12.75" customFormat="1" customHeight="1" s="291">
      <c r="A16" s="292" t="n"/>
      <c r="B16" s="293" t="n"/>
      <c r="C16" s="294" t="inlineStr">
        <is>
          <t>% YoY</t>
        </is>
      </c>
      <c r="D16" s="295" t="n"/>
      <c r="E16" s="296" t="n"/>
      <c r="F16" s="296" t="n"/>
      <c r="G16" s="296" t="n"/>
      <c r="H16" s="295" t="n"/>
      <c r="I16" s="295" t="n"/>
      <c r="J16" s="296" t="n"/>
      <c r="K16" s="296" t="n"/>
      <c r="L16" s="296" t="n"/>
      <c r="M16" s="295" t="n"/>
      <c r="N16" s="296">
        <f>N15/I15-1</f>
        <v>0.0235630106282987</v>
      </c>
      <c r="O16" s="296">
        <f>O15/J15-1</f>
        <v>0.0837374510804831</v>
      </c>
      <c r="P16" s="296">
        <f>P15/K15-1</f>
        <v>0.087443515388721</v>
      </c>
      <c r="Q16" s="296">
        <f>Q15/L15-1</f>
        <v>0.0731139326621793</v>
      </c>
      <c r="R16" s="296">
        <f>R15/M15-1</f>
        <v>0.0672801935909657</v>
      </c>
      <c r="S16" s="296">
        <f>S15/N15-1</f>
        <v>0.0758075567391165</v>
      </c>
      <c r="T16" s="296">
        <f>T15/O15-1</f>
        <v>0.0573927606487024</v>
      </c>
      <c r="U16" s="296">
        <f>U15/P15-1</f>
        <v>0.0522926714350218</v>
      </c>
      <c r="V16" s="296">
        <f>V15/Q15-1</f>
        <v>0.0569345557397836</v>
      </c>
      <c r="W16" s="296">
        <f>W15/R15-1</f>
        <v>0.0602595499019285</v>
      </c>
      <c r="X16" s="296">
        <f>X15/S15-1</f>
        <v>0.0604526562530778</v>
      </c>
      <c r="Y16" s="296">
        <f>Y15/T15-1</f>
        <v>0.047657642051079</v>
      </c>
      <c r="Z16" s="296">
        <f>Z15/U15-1</f>
        <v>0.0546255068281885</v>
      </c>
      <c r="AA16" s="296">
        <f>AA15/V15-1</f>
        <v>0.0413292730754147</v>
      </c>
      <c r="AB16" s="296">
        <f>AB15/W15-1</f>
        <v>0.0507000964320155</v>
      </c>
      <c r="AC16" s="296">
        <f>AC15/X15-1</f>
        <v>0.0253919310498552</v>
      </c>
      <c r="AD16" s="296">
        <f>AD15/Y15-1</f>
        <v>0.0476392948888298</v>
      </c>
      <c r="AE16" s="296">
        <f>AE15/Z15-1</f>
        <v>0.0584239450904545</v>
      </c>
      <c r="AF16" s="297">
        <f>AF15/AA15-1</f>
        <v>0.0559500204924843</v>
      </c>
      <c r="AG16" s="296">
        <f>AG15/AB15-1</f>
        <v>0.0472521421176677</v>
      </c>
      <c r="AH16" s="297">
        <f>AH15/AC15-1</f>
        <v>0.073317271404332</v>
      </c>
      <c r="AI16" s="297">
        <f>AI15/AD15-1</f>
        <v>0.0593848998320199</v>
      </c>
      <c r="AJ16" s="297" t="n"/>
      <c r="AK16" s="297" t="n"/>
      <c r="AL16" s="298">
        <f>AL15/AG15-1</f>
        <v>0.0317977797502114</v>
      </c>
      <c r="AM16" s="297" t="n"/>
      <c r="AN16" s="297" t="n"/>
      <c r="AO16" s="297" t="n"/>
      <c r="AP16" s="297" t="n"/>
      <c r="AQ16" s="298">
        <f>AQ15/AL15-1</f>
        <v>0</v>
      </c>
      <c r="AR16" s="297" t="n"/>
      <c r="AS16" s="297" t="n"/>
      <c r="AT16" s="297" t="n"/>
      <c r="AU16" s="297" t="n"/>
      <c r="AV16" s="298">
        <f>AV15/AQ15-1</f>
        <v>0</v>
      </c>
      <c r="AW16" s="297" t="n"/>
      <c r="AX16" s="297" t="n"/>
      <c r="AY16" s="297" t="n"/>
      <c r="AZ16" s="297" t="n"/>
      <c r="BA16" s="298">
        <f>BA15/AV15-1</f>
        <v>0</v>
      </c>
      <c r="BB16" s="297" t="n"/>
      <c r="BC16" s="297" t="n"/>
      <c r="BD16" s="297" t="n"/>
      <c r="BE16" s="297" t="n"/>
      <c r="BF16" s="298">
        <f>BF15/BA15-1</f>
        <v>0</v>
      </c>
      <c r="BG16" s="297" t="n"/>
      <c r="BH16" s="297" t="n"/>
      <c r="BI16" s="297" t="n"/>
      <c r="BJ16" s="297" t="n"/>
      <c r="BK16" s="298">
        <f>BK15/BF15-1</f>
        <v>0</v>
      </c>
      <c r="BL16" s="297" t="n"/>
      <c r="BM16" s="297" t="n"/>
      <c r="BN16" s="297" t="n"/>
      <c r="BO16" s="297" t="n"/>
      <c r="BP16" s="298">
        <f>BP15/BK15-1</f>
        <v>0</v>
      </c>
      <c r="BQ16" s="297" t="n"/>
      <c r="BR16" s="297" t="n"/>
      <c r="BS16" s="297" t="n"/>
      <c r="BT16" s="297" t="n"/>
      <c r="BU16" s="298">
        <f>BU15/BP15-1</f>
        <v>0</v>
      </c>
      <c r="BV16" s="297" t="n"/>
      <c r="BW16" s="297" t="n"/>
      <c r="BX16" s="297" t="n"/>
      <c r="BY16" s="297" t="n"/>
      <c r="BZ16" s="298">
        <f>BZ15/BU15-1</f>
        <v>0</v>
      </c>
      <c r="CA16" s="297" t="n"/>
      <c r="CB16" s="297" t="n"/>
      <c r="CC16" s="297" t="n"/>
      <c r="CD16" s="297" t="n"/>
      <c r="CE16" s="298">
        <f>CE15/BZ15-1</f>
        <v>0</v>
      </c>
      <c r="CF16" s="297" t="n"/>
      <c r="CG16" s="297" t="n"/>
      <c r="CH16" s="297" t="n"/>
      <c r="CI16" s="297" t="n"/>
      <c r="CJ16" s="298">
        <f>CJ15/CE15-1</f>
        <v>0</v>
      </c>
      <c r="CK16" s="297" t="n"/>
      <c r="CL16" s="297" t="n"/>
      <c r="CM16" s="297" t="n"/>
      <c r="CN16" s="297" t="n"/>
      <c r="CO16" s="298">
        <f>CO15/CJ15-1</f>
        <v>0</v>
      </c>
      <c r="CP16" s="297" t="n"/>
      <c r="CQ16" s="297" t="n"/>
      <c r="CR16" s="297" t="n"/>
      <c r="CS16" s="297" t="n"/>
      <c r="CT16" s="298">
        <f>CT15/CO15-1</f>
        <v>0</v>
      </c>
      <c r="CU16" s="297" t="n"/>
      <c r="CV16" s="297" t="n"/>
      <c r="CW16" s="297" t="n"/>
      <c r="CX16" s="297" t="n"/>
      <c r="CY16" s="298">
        <f>CY15/CT15-1</f>
        <v>0</v>
      </c>
    </row>
    <row r="17" hidden="1" outlineLevel="1" ht="12.75" customFormat="1" customHeight="1" s="291">
      <c r="A17" s="292" t="n"/>
      <c r="B17" s="293" t="n"/>
      <c r="C17" s="299" t="inlineStr">
        <is>
          <t>Receita não alocada aos segmentos (linha 15 - soma)</t>
        </is>
      </c>
      <c r="D17" s="290">
        <f>IF(COUNT(D23)=0,"",D23)</f>
        <v>950</v>
      </c>
      <c r="E17" s="290">
        <f>IF(COUNT(E23)=0,"",E23)</f>
        <v>918</v>
      </c>
      <c r="F17" s="290">
        <f>IF(COUNT(F23)=0,"",F23)</f>
        <v>956</v>
      </c>
      <c r="G17" s="290">
        <f>IF(COUNT(G23)=0,"",G23)</f>
        <v>1094</v>
      </c>
      <c r="H17" s="276">
        <f>IF(COUNT(H23)=0,"",H23)</f>
        <v>3918</v>
      </c>
      <c r="I17" s="290">
        <f>IF(COUNT(I23)=0,"",I23)</f>
        <v>1151</v>
      </c>
      <c r="J17" s="290">
        <f>IF(COUNT(J23)=0,"",J23)</f>
        <v>1177</v>
      </c>
      <c r="K17" s="290">
        <f>IF(COUNT(K23)=0,"",K23)</f>
        <v>1318</v>
      </c>
      <c r="L17" s="290">
        <f>IF(COUNT(L23)=0,"",L23)</f>
        <v>1346</v>
      </c>
      <c r="M17" s="276">
        <f>IF(COUNT(M23)=0,"",M23)</f>
        <v>4992</v>
      </c>
      <c r="N17" s="290">
        <f>IF(COUNT(N23)=0,"",N23)</f>
        <v>1281</v>
      </c>
      <c r="O17" s="290">
        <f>IF(COUNT(O23)=0,"",O23)</f>
        <v>1478</v>
      </c>
      <c r="P17" s="290">
        <f>IF(COUNT(P23)=0,"",P23)</f>
        <v>1344</v>
      </c>
      <c r="Q17" s="290">
        <f>IF(COUNT(Q23)=0,"",Q23)</f>
        <v>1305</v>
      </c>
      <c r="R17" s="276">
        <f>IF(COUNT(R23)=0,"",R23)</f>
        <v>5408</v>
      </c>
      <c r="S17" s="290">
        <f>IF(COUNT(S23)=0,"",S23)</f>
        <v>1297</v>
      </c>
      <c r="T17" s="290">
        <f>IF(COUNT(T23)=0,"",T23)</f>
        <v>1352</v>
      </c>
      <c r="U17" s="290">
        <f>IF(COUNT(U23)=0,"",U23)</f>
        <v>1365</v>
      </c>
      <c r="V17" s="290">
        <f>IF(COUNT(V23)=0,"",V23)</f>
        <v>1474</v>
      </c>
      <c r="W17" s="276">
        <f>IF(COUNT(W23)=0,"",W23)</f>
        <v>5488</v>
      </c>
      <c r="X17" s="290">
        <f>IF(COUNT(X23)=0,"",X23)</f>
        <v>1570</v>
      </c>
      <c r="Y17" s="290">
        <f>IF(COUNT(Y23)=0,"",Y23)</f>
        <v>1568</v>
      </c>
      <c r="Z17" s="290">
        <f>IF(COUNT(Z23)=0,"",Z23)</f>
        <v>1585</v>
      </c>
      <c r="AA17" s="290">
        <f>IF(COUNT(AA23)=0,"",AA23)</f>
        <v>1724</v>
      </c>
      <c r="AB17" s="276">
        <f>IF(COUNT(AB23)=0,"",AB23)</f>
        <v>6447</v>
      </c>
      <c r="AC17" s="290">
        <f>IF(COUNT(AC23)=0,"",AC23)</f>
        <v>1628</v>
      </c>
      <c r="AD17" s="290">
        <f>IF(COUNT(AD23)=0,"",AD23)</f>
        <v>1652</v>
      </c>
      <c r="AE17" s="290">
        <f>IF(COUNT(AE23)=0,"",AE23)</f>
        <v>1727</v>
      </c>
      <c r="AF17" s="290">
        <f>IF(COUNT(AF23)=0,"",AF23)</f>
        <v>1743</v>
      </c>
      <c r="AG17" s="276">
        <f>IF(COUNT(AG23)=0,"",AG23)</f>
        <v>6750</v>
      </c>
      <c r="AH17" s="276">
        <f>IF(COUNT(AH23)=0,"",AH23)</f>
        <v>2067</v>
      </c>
      <c r="AI17" s="276">
        <f>IF(COUNT(AI23)=0,"",AI23)</f>
        <v>1837</v>
      </c>
      <c r="AJ17" s="297" t="n"/>
      <c r="AK17" s="297" t="n"/>
      <c r="AL17" s="298" t="n"/>
      <c r="AM17" s="297" t="n"/>
      <c r="AN17" s="297" t="n"/>
      <c r="AO17" s="297" t="n"/>
      <c r="AP17" s="297" t="n"/>
      <c r="AQ17" s="298" t="n"/>
      <c r="AR17" s="297" t="n"/>
      <c r="AS17" s="297" t="n"/>
      <c r="AT17" s="297" t="n"/>
      <c r="AU17" s="297" t="n"/>
      <c r="AV17" s="298" t="n"/>
      <c r="AW17" s="297" t="n"/>
      <c r="AX17" s="297" t="n"/>
      <c r="AY17" s="297" t="n"/>
      <c r="AZ17" s="297" t="n"/>
      <c r="BA17" s="298" t="n"/>
      <c r="BB17" s="297" t="n"/>
      <c r="BC17" s="297" t="n"/>
      <c r="BD17" s="297" t="n"/>
      <c r="BE17" s="297" t="n"/>
      <c r="BF17" s="298" t="n"/>
      <c r="BG17" s="297" t="n"/>
      <c r="BH17" s="297" t="n"/>
      <c r="BI17" s="297" t="n"/>
      <c r="BJ17" s="297" t="n"/>
      <c r="BK17" s="298" t="n"/>
      <c r="BL17" s="297" t="n"/>
      <c r="BM17" s="297" t="n"/>
      <c r="BN17" s="297" t="n"/>
      <c r="BO17" s="297" t="n"/>
      <c r="BP17" s="298" t="n"/>
      <c r="BQ17" s="297" t="n"/>
      <c r="BR17" s="297" t="n"/>
      <c r="BS17" s="297" t="n"/>
      <c r="BT17" s="297" t="n"/>
      <c r="BU17" s="298" t="n"/>
      <c r="BV17" s="297" t="n"/>
      <c r="BW17" s="297" t="n"/>
      <c r="BX17" s="297" t="n"/>
      <c r="BY17" s="297" t="n"/>
      <c r="BZ17" s="298" t="n"/>
      <c r="CA17" s="297" t="n"/>
      <c r="CB17" s="297" t="n"/>
      <c r="CC17" s="297" t="n"/>
      <c r="CD17" s="297" t="n"/>
      <c r="CE17" s="298" t="n"/>
      <c r="CF17" s="297" t="n"/>
      <c r="CG17" s="297" t="n"/>
      <c r="CH17" s="297" t="n"/>
      <c r="CI17" s="297" t="n"/>
      <c r="CJ17" s="298" t="n"/>
      <c r="CK17" s="297" t="n"/>
      <c r="CL17" s="297" t="n"/>
      <c r="CM17" s="297" t="n"/>
      <c r="CN17" s="297" t="n"/>
      <c r="CO17" s="298" t="n"/>
      <c r="CP17" s="297" t="n"/>
      <c r="CQ17" s="297" t="n"/>
      <c r="CR17" s="297" t="n"/>
      <c r="CS17" s="297" t="n"/>
      <c r="CT17" s="298" t="n"/>
      <c r="CU17" s="297" t="n"/>
      <c r="CV17" s="297" t="n"/>
      <c r="CW17" s="297" t="n"/>
      <c r="CX17" s="297" t="n"/>
      <c r="CY17" s="298" t="n"/>
    </row>
    <row r="18" s="255">
      <c r="C18" s="289" t="inlineStr">
        <is>
          <t>Segmentos - receita (USD milhões)</t>
        </is>
      </c>
      <c r="D18" s="289" t="str">
        <f>D7</f>
        <v>1Q20</v>
      </c>
      <c r="E18" s="289" t="str">
        <f>E7</f>
        <v>2Q20</v>
      </c>
      <c r="F18" s="289" t="str">
        <f>F7</f>
        <v>3Q20</v>
      </c>
      <c r="G18" s="289" t="str">
        <f>G7</f>
        <v>4Q20</v>
      </c>
      <c r="H18" s="289">
        <f>H7</f>
        <v>2020</v>
      </c>
      <c r="I18" s="289" t="str">
        <f>I7</f>
        <v>1Q21</v>
      </c>
      <c r="J18" s="289" t="str">
        <f>J7</f>
        <v>2Q21</v>
      </c>
      <c r="K18" s="289" t="str">
        <f>K7</f>
        <v>3Q21</v>
      </c>
      <c r="L18" s="289" t="str">
        <f>L7</f>
        <v>4Q21</v>
      </c>
      <c r="M18" s="289">
        <f>M7</f>
        <v>2021</v>
      </c>
      <c r="N18" s="289" t="str">
        <f>N7</f>
        <v>1Q22</v>
      </c>
      <c r="O18" s="289" t="str">
        <f>O7</f>
        <v>2Q22</v>
      </c>
      <c r="P18" s="289" t="str">
        <f>P7</f>
        <v>3Q22</v>
      </c>
      <c r="Q18" s="289" t="str">
        <f>Q7</f>
        <v>4Q22</v>
      </c>
      <c r="R18" s="289">
        <f>R7</f>
        <v>2022</v>
      </c>
      <c r="S18" s="289" t="str">
        <f>S7</f>
        <v>1Q23</v>
      </c>
      <c r="T18" s="289" t="str">
        <f>T7</f>
        <v>2Q23</v>
      </c>
      <c r="U18" s="289" t="str">
        <f>U7</f>
        <v>3Q23</v>
      </c>
      <c r="V18" s="289" t="str">
        <f>V7</f>
        <v>4Q23</v>
      </c>
      <c r="W18" s="289">
        <f>W7</f>
        <v>2023</v>
      </c>
      <c r="X18" s="289" t="str">
        <f>X7</f>
        <v>1Q24</v>
      </c>
      <c r="Y18" s="289" t="str">
        <f>Y7</f>
        <v>2Q24</v>
      </c>
      <c r="Z18" s="289" t="str">
        <f>Z7</f>
        <v>3Q24</v>
      </c>
      <c r="AA18" s="289" t="str">
        <f>AA7</f>
        <v>4Q24</v>
      </c>
      <c r="AB18" s="289">
        <f>AB7</f>
        <v>2024</v>
      </c>
      <c r="AC18" s="289" t="str">
        <f>AC7</f>
        <v>1Q25</v>
      </c>
      <c r="AD18" s="289" t="str">
        <f>AD7</f>
        <v>2Q25</v>
      </c>
      <c r="AE18" s="289" t="str">
        <f>AE7</f>
        <v>3Q25</v>
      </c>
      <c r="AF18" s="289" t="str">
        <f>AF7</f>
        <v>4Q25</v>
      </c>
      <c r="AG18" s="289">
        <f>AG7</f>
        <v>2025</v>
      </c>
      <c r="AH18" s="289" t="str">
        <f>AH7</f>
        <v>1Q26</v>
      </c>
      <c r="AI18" s="289" t="str">
        <f>AI7</f>
        <v>2Q26</v>
      </c>
    </row>
    <row r="19" s="255">
      <c r="C19" s="275" t="inlineStr">
        <is>
          <t xml:space="preserve">   Walmart U.S.</t>
        </is>
      </c>
      <c r="D19" s="515">
        <f>IFERROR(INDEX('Inputs (2)'!$D$53:$AL$53,MATCH(D$7,'Inputs (2)'!$D$2:$AL$2,0)),"")</f>
        <v>88743</v>
      </c>
      <c r="E19" s="515">
        <f>IFERROR(INDEX('Inputs (2)'!$D$53:$AL$53,MATCH(E$7,'Inputs (2)'!$D$2:$AL$2,0)),"")</f>
        <v>93282</v>
      </c>
      <c r="F19" s="515">
        <f>IFERROR(INDEX('Inputs (2)'!$D$53:$AL$53,MATCH(F$7,'Inputs (2)'!$D$2:$AL$2,0)),"")</f>
        <v>88353</v>
      </c>
      <c r="G19" s="515">
        <f>IFERROR(INDEX('Inputs (2)'!$D$53:$AL$53,MATCH(G$7,'Inputs (2)'!$D$2:$AL$2,0)),"")</f>
        <v>99585</v>
      </c>
      <c r="H19" s="516">
        <f>IF(COUNT(D19:G19)=4,SUM(D19:G19),"")</f>
        <v>369963</v>
      </c>
      <c r="I19" s="515">
        <f>IFERROR(INDEX('Inputs (2)'!$D$53:$AL$53,MATCH(I$7,'Inputs (2)'!$D$2:$AL$2,0)),"")</f>
        <v>93167</v>
      </c>
      <c r="J19" s="515">
        <f>IFERROR(INDEX('Inputs (2)'!$D$53:$AL$53,MATCH(J$7,'Inputs (2)'!$D$2:$AL$2,0)),"")</f>
        <v>98192</v>
      </c>
      <c r="K19" s="515">
        <f>IFERROR(INDEX('Inputs (2)'!$D$53:$AL$53,MATCH(K$7,'Inputs (2)'!$D$2:$AL$2,0)),"")</f>
        <v>96609</v>
      </c>
      <c r="L19" s="515">
        <f>IFERROR(INDEX('Inputs (2)'!$D$53:$AL$53,MATCH(L$7,'Inputs (2)'!$D$2:$AL$2,0)),"")</f>
        <v>105279</v>
      </c>
      <c r="M19" s="516">
        <f>IF(COUNT(I19:L19)=4,SUM(I19:L19),"")</f>
        <v>393247</v>
      </c>
      <c r="N19" s="515">
        <f>IFERROR(INDEX('Inputs (2)'!$D$53:$AL$53,MATCH(N$7,'Inputs (2)'!$D$2:$AL$2,0)),"")</f>
        <v>96904</v>
      </c>
      <c r="O19" s="515">
        <f>IFERROR(INDEX('Inputs (2)'!$D$53:$AL$53,MATCH(O$7,'Inputs (2)'!$D$2:$AL$2,0)),"")</f>
        <v>105130</v>
      </c>
      <c r="P19" s="515">
        <f>IFERROR(INDEX('Inputs (2)'!$D$53:$AL$53,MATCH(P$7,'Inputs (2)'!$D$2:$AL$2,0)),"")</f>
        <v>104775</v>
      </c>
      <c r="Q19" s="515">
        <f>IFERROR(INDEX('Inputs (2)'!$D$53:$AL$53,MATCH(Q$7,'Inputs (2)'!$D$2:$AL$2,0)),"")</f>
        <v>113744</v>
      </c>
      <c r="R19" s="516">
        <f>IF(COUNT(N19:Q19)=4,SUM(N19:Q19),"")</f>
        <v>420553</v>
      </c>
      <c r="S19" s="515">
        <f>IFERROR(INDEX('Inputs (2)'!$D$53:$AL$53,MATCH(S$7,'Inputs (2)'!$D$2:$AL$2,0)),"")</f>
        <v>103901</v>
      </c>
      <c r="T19" s="515">
        <f>IFERROR(INDEX('Inputs (2)'!$D$53:$AL$53,MATCH(T$7,'Inputs (2)'!$D$2:$AL$2,0)),"")</f>
        <v>110854</v>
      </c>
      <c r="U19" s="515">
        <f>IFERROR(INDEX('Inputs (2)'!$D$53:$AL$53,MATCH(U$7,'Inputs (2)'!$D$2:$AL$2,0)),"")</f>
        <v>109419</v>
      </c>
      <c r="V19" s="515">
        <f>IFERROR(INDEX('Inputs (2)'!$D$53:$AL$53,MATCH(V$7,'Inputs (2)'!$D$2:$AL$2,0)),"")</f>
        <v>117643</v>
      </c>
      <c r="W19" s="516">
        <f>IF(COUNT(S19:V19)=4,SUM(S19:V19),"")</f>
        <v>441817</v>
      </c>
      <c r="X19" s="515">
        <f>IFERROR(INDEX('Inputs (2)'!$D$53:$AL$53,MATCH(X$7,'Inputs (2)'!$D$2:$AL$2,0)),"")</f>
        <v>108670</v>
      </c>
      <c r="Y19" s="515">
        <f>IFERROR(INDEX('Inputs (2)'!$D$53:$AL$53,MATCH(Y$7,'Inputs (2)'!$D$2:$AL$2,0)),"")</f>
        <v>115347</v>
      </c>
      <c r="Z19" s="515">
        <f>IFERROR(INDEX('Inputs (2)'!$D$53:$AL$53,MATCH(Z$7,'Inputs (2)'!$D$2:$AL$2,0)),"")</f>
        <v>114875</v>
      </c>
      <c r="AA19" s="515">
        <f>IFERROR(INDEX('Inputs (2)'!$D$53:$AL$53,MATCH(AA$7,'Inputs (2)'!$D$2:$AL$2,0)),"")</f>
        <v>123523</v>
      </c>
      <c r="AB19" s="516">
        <f>IF(COUNT(X19:AA19)=4,SUM(X19:AA19),"")</f>
        <v>462415</v>
      </c>
      <c r="AC19" s="515">
        <f>IFERROR(INDEX('Inputs (2)'!$D$53:$AL$53,MATCH(AC$7,'Inputs (2)'!$D$2:$AL$2,0)),"")</f>
        <v>112163</v>
      </c>
      <c r="AD19" s="515">
        <f>IFERROR(INDEX('Inputs (2)'!$D$53:$AL$53,MATCH(AD$7,'Inputs (2)'!$D$2:$AL$2,0)),"")</f>
        <v>120911</v>
      </c>
      <c r="AE19" s="515">
        <f>IFERROR(INDEX('Inputs (2)'!$D$53:$AL$53,MATCH(AE$7,'Inputs (2)'!$D$2:$AL$2,0)),"")</f>
        <v>120678</v>
      </c>
      <c r="AF19" s="515">
        <f>IFERROR(INDEX('Inputs (2)'!$D$53:$AL$53,MATCH(AF$7,'Inputs (2)'!$D$2:$AL$2,0)),"")</f>
        <v>129223</v>
      </c>
      <c r="AG19" s="516">
        <f>IF(COUNT(AC19:AF19)=4,SUM(AC19:AF19),"")</f>
        <v>482975</v>
      </c>
      <c r="AH19" s="516">
        <f>IFERROR(INDEX('Inputs (2)'!$D$53:$AL$53,MATCH(AH$7,'Inputs (2)'!$D$2:$AL$2,0)),"")</f>
        <v>117169</v>
      </c>
      <c r="AI19" s="516">
        <f>IFERROR(INDEX('Inputs (2)'!$D$53:$AL$53,MATCH(AI$7,'Inputs (2)'!$D$2:$AL$2,0)),"")</f>
        <v>125189</v>
      </c>
    </row>
    <row r="20" s="255">
      <c r="C20" s="275" t="inlineStr">
        <is>
          <t xml:space="preserve">   Walmart International</t>
        </is>
      </c>
      <c r="D20" s="515">
        <f>IFERROR(INDEX('Inputs (2)'!$D$55:$AL$55,MATCH(D$7,'Inputs (2)'!$D$2:$AL$2,0)),"")</f>
        <v>29766</v>
      </c>
      <c r="E20" s="515">
        <f>IFERROR(INDEX('Inputs (2)'!$D$55:$AL$55,MATCH(E$7,'Inputs (2)'!$D$2:$AL$2,0)),"")</f>
        <v>27167</v>
      </c>
      <c r="F20" s="515">
        <f>IFERROR(INDEX('Inputs (2)'!$D$55:$AL$55,MATCH(F$7,'Inputs (2)'!$D$2:$AL$2,0)),"")</f>
        <v>29554</v>
      </c>
      <c r="G20" s="515">
        <f>IFERROR(INDEX('Inputs (2)'!$D$55:$AL$55,MATCH(G$7,'Inputs (2)'!$D$2:$AL$2,0)),"")</f>
        <v>34873</v>
      </c>
      <c r="H20" s="516">
        <f>IF(COUNT(D20:G20)=4,SUM(D20:G20),"")</f>
        <v>121360</v>
      </c>
      <c r="I20" s="515">
        <f>IFERROR(INDEX('Inputs (2)'!$D$55:$AL$55,MATCH(I$7,'Inputs (2)'!$D$2:$AL$2,0)),"")</f>
        <v>27300</v>
      </c>
      <c r="J20" s="515">
        <f>IFERROR(INDEX('Inputs (2)'!$D$55:$AL$55,MATCH(J$7,'Inputs (2)'!$D$2:$AL$2,0)),"")</f>
        <v>23035</v>
      </c>
      <c r="K20" s="515">
        <f>IFERROR(INDEX('Inputs (2)'!$D$55:$AL$55,MATCH(K$7,'Inputs (2)'!$D$2:$AL$2,0)),"")</f>
        <v>23627</v>
      </c>
      <c r="L20" s="515">
        <f>IFERROR(INDEX('Inputs (2)'!$D$55:$AL$55,MATCH(L$7,'Inputs (2)'!$D$2:$AL$2,0)),"")</f>
        <v>26997</v>
      </c>
      <c r="M20" s="516">
        <f>IF(COUNT(I20:L20)=4,SUM(I20:L20),"")</f>
        <v>100959</v>
      </c>
      <c r="N20" s="515">
        <f>IFERROR(INDEX('Inputs (2)'!$D$55:$AL$55,MATCH(N$7,'Inputs (2)'!$D$2:$AL$2,0)),"")</f>
        <v>23763</v>
      </c>
      <c r="O20" s="515">
        <f>IFERROR(INDEX('Inputs (2)'!$D$55:$AL$55,MATCH(O$7,'Inputs (2)'!$D$2:$AL$2,0)),"")</f>
        <v>24350</v>
      </c>
      <c r="P20" s="515">
        <f>IFERROR(INDEX('Inputs (2)'!$D$55:$AL$55,MATCH(P$7,'Inputs (2)'!$D$2:$AL$2,0)),"")</f>
        <v>25295</v>
      </c>
      <c r="Q20" s="515">
        <f>IFERROR(INDEX('Inputs (2)'!$D$55:$AL$55,MATCH(Q$7,'Inputs (2)'!$D$2:$AL$2,0)),"")</f>
        <v>27575</v>
      </c>
      <c r="R20" s="516">
        <f>IF(COUNT(N20:Q20)=4,SUM(N20:Q20),"")</f>
        <v>100983</v>
      </c>
      <c r="S20" s="515">
        <f>IFERROR(INDEX('Inputs (2)'!$D$55:$AL$55,MATCH(S$7,'Inputs (2)'!$D$2:$AL$2,0)),"")</f>
        <v>26604</v>
      </c>
      <c r="T20" s="515">
        <f>IFERROR(INDEX('Inputs (2)'!$D$55:$AL$55,MATCH(T$7,'Inputs (2)'!$D$2:$AL$2,0)),"")</f>
        <v>27596</v>
      </c>
      <c r="U20" s="515">
        <f>IFERROR(INDEX('Inputs (2)'!$D$55:$AL$55,MATCH(U$7,'Inputs (2)'!$D$2:$AL$2,0)),"")</f>
        <v>28022</v>
      </c>
      <c r="V20" s="515">
        <f>IFERROR(INDEX('Inputs (2)'!$D$55:$AL$55,MATCH(V$7,'Inputs (2)'!$D$2:$AL$2,0)),"")</f>
        <v>32419</v>
      </c>
      <c r="W20" s="516">
        <f>IF(COUNT(S20:V20)=4,SUM(S20:V20),"")</f>
        <v>114641</v>
      </c>
      <c r="X20" s="515">
        <f>IFERROR(INDEX('Inputs (2)'!$D$55:$AL$55,MATCH(X$7,'Inputs (2)'!$D$2:$AL$2,0)),"")</f>
        <v>29833</v>
      </c>
      <c r="Y20" s="515">
        <f>IFERROR(INDEX('Inputs (2)'!$D$55:$AL$55,MATCH(Y$7,'Inputs (2)'!$D$2:$AL$2,0)),"")</f>
        <v>29567</v>
      </c>
      <c r="Z20" s="515">
        <f>IFERROR(INDEX('Inputs (2)'!$D$55:$AL$55,MATCH(Z$7,'Inputs (2)'!$D$2:$AL$2,0)),"")</f>
        <v>30277</v>
      </c>
      <c r="AA20" s="515">
        <f>IFERROR(INDEX('Inputs (2)'!$D$55:$AL$55,MATCH(AA$7,'Inputs (2)'!$D$2:$AL$2,0)),"")</f>
        <v>32208</v>
      </c>
      <c r="AB20" s="516">
        <f>IF(COUNT(X20:AA20)=4,SUM(X20:AA20),"")</f>
        <v>121885</v>
      </c>
      <c r="AC20" s="515">
        <f>IFERROR(INDEX('Inputs (2)'!$D$55:$AL$55,MATCH(AC$7,'Inputs (2)'!$D$2:$AL$2,0)),"")</f>
        <v>29754</v>
      </c>
      <c r="AD20" s="515">
        <f>IFERROR(INDEX('Inputs (2)'!$D$55:$AL$55,MATCH(AD$7,'Inputs (2)'!$D$2:$AL$2,0)),"")</f>
        <v>31201</v>
      </c>
      <c r="AE20" s="515">
        <f>IFERROR(INDEX('Inputs (2)'!$D$55:$AL$55,MATCH(AE$7,'Inputs (2)'!$D$2:$AL$2,0)),"")</f>
        <v>33541</v>
      </c>
      <c r="AF20" s="515">
        <f>IFERROR(INDEX('Inputs (2)'!$D$55:$AL$55,MATCH(AF$7,'Inputs (2)'!$D$2:$AL$2,0)),"")</f>
        <v>35927</v>
      </c>
      <c r="AG20" s="516">
        <f>IF(COUNT(AC20:AF20)=4,SUM(AC20:AF20),"")</f>
        <v>130423</v>
      </c>
      <c r="AH20" s="516">
        <f>IFERROR(INDEX('Inputs (2)'!$D$55:$AL$55,MATCH(AH$7,'Inputs (2)'!$D$2:$AL$2,0)),"")</f>
        <v>35110</v>
      </c>
      <c r="AI20" s="516">
        <f>IFERROR(INDEX('Inputs (2)'!$D$55:$AL$55,MATCH(AI$7,'Inputs (2)'!$D$2:$AL$2,0)),"")</f>
        <v>35198</v>
      </c>
    </row>
    <row r="21" s="255">
      <c r="C21" s="275" t="inlineStr">
        <is>
          <t xml:space="preserve">   Sam's Club U.S.</t>
        </is>
      </c>
      <c r="D21" s="515">
        <f>IFERROR(INDEX('Inputs (2)'!$D$57:$AL$57,MATCH(D$7,'Inputs (2)'!$D$2:$AL$2,0)),"")</f>
        <v>15163</v>
      </c>
      <c r="E21" s="515">
        <f>IFERROR(INDEX('Inputs (2)'!$D$57:$AL$57,MATCH(E$7,'Inputs (2)'!$D$2:$AL$2,0)),"")</f>
        <v>16375</v>
      </c>
      <c r="F21" s="515">
        <f>IFERROR(INDEX('Inputs (2)'!$D$57:$AL$57,MATCH(F$7,'Inputs (2)'!$D$2:$AL$2,0)),"")</f>
        <v>15845</v>
      </c>
      <c r="G21" s="515">
        <f>IFERROR(INDEX('Inputs (2)'!$D$57:$AL$57,MATCH(G$7,'Inputs (2)'!$D$2:$AL$2,0)),"")</f>
        <v>16527</v>
      </c>
      <c r="H21" s="516">
        <f>IF(COUNT(D21:G21)=4,SUM(D21:G21),"")</f>
        <v>63910</v>
      </c>
      <c r="I21" s="515">
        <f>IFERROR(INDEX('Inputs (2)'!$D$57:$AL$57,MATCH(I$7,'Inputs (2)'!$D$2:$AL$2,0)),"")</f>
        <v>16692</v>
      </c>
      <c r="J21" s="515">
        <f>IFERROR(INDEX('Inputs (2)'!$D$57:$AL$57,MATCH(J$7,'Inputs (2)'!$D$2:$AL$2,0)),"")</f>
        <v>18644</v>
      </c>
      <c r="K21" s="515">
        <f>IFERROR(INDEX('Inputs (2)'!$D$57:$AL$57,MATCH(K$7,'Inputs (2)'!$D$2:$AL$2,0)),"")</f>
        <v>18971</v>
      </c>
      <c r="L21" s="515">
        <f>IFERROR(INDEX('Inputs (2)'!$D$57:$AL$57,MATCH(L$7,'Inputs (2)'!$D$2:$AL$2,0)),"")</f>
        <v>19249</v>
      </c>
      <c r="M21" s="516">
        <f>IF(COUNT(I21:L21)=4,SUM(I21:L21),"")</f>
        <v>73556</v>
      </c>
      <c r="N21" s="515">
        <f>IFERROR(INDEX('Inputs (2)'!$D$57:$AL$57,MATCH(N$7,'Inputs (2)'!$D$2:$AL$2,0)),"")</f>
        <v>19621</v>
      </c>
      <c r="O21" s="515">
        <f>IFERROR(INDEX('Inputs (2)'!$D$57:$AL$57,MATCH(O$7,'Inputs (2)'!$D$2:$AL$2,0)),"")</f>
        <v>21901</v>
      </c>
      <c r="P21" s="515">
        <f>IFERROR(INDEX('Inputs (2)'!$D$57:$AL$57,MATCH(P$7,'Inputs (2)'!$D$2:$AL$2,0)),"")</f>
        <v>21399</v>
      </c>
      <c r="Q21" s="515">
        <f>IFERROR(INDEX('Inputs (2)'!$D$57:$AL$57,MATCH(Q$7,'Inputs (2)'!$D$2:$AL$2,0)),"")</f>
        <v>21424</v>
      </c>
      <c r="R21" s="516">
        <f>IF(COUNT(N21:Q21)=4,SUM(N21:Q21),"")</f>
        <v>84345</v>
      </c>
      <c r="S21" s="515">
        <f>IFERROR(INDEX('Inputs (2)'!$D$57:$AL$57,MATCH(S$7,'Inputs (2)'!$D$2:$AL$2,0)),"")</f>
        <v>20499</v>
      </c>
      <c r="T21" s="515">
        <f>IFERROR(INDEX('Inputs (2)'!$D$57:$AL$57,MATCH(T$7,'Inputs (2)'!$D$2:$AL$2,0)),"")</f>
        <v>21830</v>
      </c>
      <c r="U21" s="515">
        <f>IFERROR(INDEX('Inputs (2)'!$D$57:$AL$57,MATCH(U$7,'Inputs (2)'!$D$2:$AL$2,0)),"")</f>
        <v>21998</v>
      </c>
      <c r="V21" s="515">
        <f>IFERROR(INDEX('Inputs (2)'!$D$57:$AL$57,MATCH(V$7,'Inputs (2)'!$D$2:$AL$2,0)),"")</f>
        <v>21852</v>
      </c>
      <c r="W21" s="516">
        <f>IF(COUNT(S21:V21)=4,SUM(S21:V21),"")</f>
        <v>86179</v>
      </c>
      <c r="X21" s="515">
        <f>IFERROR(INDEX('Inputs (2)'!$D$57:$AL$57,MATCH(X$7,'Inputs (2)'!$D$2:$AL$2,0)),"")</f>
        <v>21435</v>
      </c>
      <c r="Y21" s="515">
        <f>IFERROR(INDEX('Inputs (2)'!$D$57:$AL$57,MATCH(Y$7,'Inputs (2)'!$D$2:$AL$2,0)),"")</f>
        <v>22853</v>
      </c>
      <c r="Z21" s="515">
        <f>IFERROR(INDEX('Inputs (2)'!$D$57:$AL$57,MATCH(Z$7,'Inputs (2)'!$D$2:$AL$2,0)),"")</f>
        <v>22851</v>
      </c>
      <c r="AA21" s="515">
        <f>IFERROR(INDEX('Inputs (2)'!$D$57:$AL$57,MATCH(AA$7,'Inputs (2)'!$D$2:$AL$2,0)),"")</f>
        <v>23099</v>
      </c>
      <c r="AB21" s="516">
        <f>IF(COUNT(X21:AA21)=4,SUM(X21:AA21),"")</f>
        <v>90238</v>
      </c>
      <c r="AC21" s="515">
        <f>IFERROR(INDEX('Inputs (2)'!$D$57:$AL$57,MATCH(AC$7,'Inputs (2)'!$D$2:$AL$2,0)),"")</f>
        <v>22064</v>
      </c>
      <c r="AD21" s="515">
        <f>IFERROR(INDEX('Inputs (2)'!$D$57:$AL$57,MATCH(AD$7,'Inputs (2)'!$D$2:$AL$2,0)),"")</f>
        <v>23638</v>
      </c>
      <c r="AE21" s="515">
        <f>IFERROR(INDEX('Inputs (2)'!$D$57:$AL$57,MATCH(AE$7,'Inputs (2)'!$D$2:$AL$2,0)),"")</f>
        <v>23550</v>
      </c>
      <c r="AF21" s="515">
        <f>IFERROR(INDEX('Inputs (2)'!$D$57:$AL$57,MATCH(AF$7,'Inputs (2)'!$D$2:$AL$2,0)),"")</f>
        <v>23763</v>
      </c>
      <c r="AG21" s="516">
        <f>IF(COUNT(AC21:AF21)=4,SUM(AC21:AF21),"")</f>
        <v>93015</v>
      </c>
      <c r="AH21" s="516">
        <f>IFERROR(INDEX('Inputs (2)'!$D$57:$AL$57,MATCH(AH$7,'Inputs (2)'!$D$2:$AL$2,0)),"")</f>
        <v>23405</v>
      </c>
      <c r="AI21" s="516">
        <f>IFERROR(INDEX('Inputs (2)'!$D$57:$AL$57,MATCH(AI$7,'Inputs (2)'!$D$2:$AL$2,0)),"")</f>
        <v>25713</v>
      </c>
    </row>
    <row r="22" s="255">
      <c r="C22" s="517" t="inlineStr">
        <is>
          <t>Receita (soma dos segmentos)</t>
        </is>
      </c>
      <c r="D22" s="515">
        <f>IF(COUNT(D19,D20,D21)=0,"",N(D19)+N(D20)+N(D21))</f>
        <v>133672</v>
      </c>
      <c r="E22" s="515">
        <f>IF(COUNT(E19,E20,E21)=0,"",N(E19)+N(E20)+N(E21))</f>
        <v>136824</v>
      </c>
      <c r="F22" s="515">
        <f>IF(COUNT(F19,F20,F21)=0,"",N(F19)+N(F20)+N(F21))</f>
        <v>133752</v>
      </c>
      <c r="G22" s="515">
        <f>IF(COUNT(G19,G20,G21)=0,"",N(G19)+N(G20)+N(G21))</f>
        <v>150985</v>
      </c>
      <c r="H22" s="516">
        <f>IF(COUNT(H19,H20,H21)=0,"",N(H19)+N(H20)+N(H21))</f>
        <v>555233</v>
      </c>
      <c r="I22" s="515">
        <f>IF(COUNT(I19,I20,I21)=0,"",N(I19)+N(I20)+N(I21))</f>
        <v>137159</v>
      </c>
      <c r="J22" s="515">
        <f>IF(COUNT(J19,J20,J21)=0,"",N(J19)+N(J20)+N(J21))</f>
        <v>139871</v>
      </c>
      <c r="K22" s="515">
        <f>IF(COUNT(K19,K20,K21)=0,"",N(K19)+N(K20)+N(K21))</f>
        <v>139207</v>
      </c>
      <c r="L22" s="515">
        <f>IF(COUNT(L19,L20,L21)=0,"",N(L19)+N(L20)+N(L21))</f>
        <v>151525</v>
      </c>
      <c r="M22" s="516">
        <f>IF(COUNT(M19,M20,M21)=0,"",N(M19)+N(M20)+N(M21))</f>
        <v>567762</v>
      </c>
      <c r="N22" s="515">
        <f>IF(COUNT(N19,N20,N21)=0,"",N(N19)+N(N20)+N(N21))</f>
        <v>140288</v>
      </c>
      <c r="O22" s="515">
        <f>IF(COUNT(O19,O20,O21)=0,"",N(O19)+N(O20)+N(O21))</f>
        <v>151381</v>
      </c>
      <c r="P22" s="515">
        <f>IF(COUNT(P19,P20,P21)=0,"",N(P19)+N(P20)+N(P21))</f>
        <v>151469</v>
      </c>
      <c r="Q22" s="515">
        <f>IF(COUNT(Q19,Q20,Q21)=0,"",N(Q19)+N(Q20)+N(Q21))</f>
        <v>162743</v>
      </c>
      <c r="R22" s="516">
        <f>IF(COUNT(R19,R20,R21)=0,"",N(R19)+N(R20)+N(R21))</f>
        <v>605881</v>
      </c>
      <c r="S22" s="515">
        <f>IF(COUNT(S19,S20,S21)=0,"",N(S19)+N(S20)+N(S21))</f>
        <v>151004</v>
      </c>
      <c r="T22" s="515">
        <f>IF(COUNT(T19,T20,T21)=0,"",N(T19)+N(T20)+N(T21))</f>
        <v>160280</v>
      </c>
      <c r="U22" s="515">
        <f>IF(COUNT(U19,U20,U21)=0,"",N(U19)+N(U20)+N(U21))</f>
        <v>159439</v>
      </c>
      <c r="V22" s="515">
        <f>IF(COUNT(V19,V20,V21)=0,"",N(V19)+N(V20)+N(V21))</f>
        <v>171914</v>
      </c>
      <c r="W22" s="516">
        <f>IF(COUNT(W19,W20,W21)=0,"",N(W19)+N(W20)+N(W21))</f>
        <v>642637</v>
      </c>
      <c r="X22" s="515">
        <f>IF(COUNT(X19,X20,X21)=0,"",N(X19)+N(X20)+N(X21))</f>
        <v>159938</v>
      </c>
      <c r="Y22" s="515">
        <f>IF(COUNT(Y19,Y20,Y21)=0,"",N(Y19)+N(Y20)+N(Y21))</f>
        <v>167767</v>
      </c>
      <c r="Z22" s="515">
        <f>IF(COUNT(Z19,Z20,Z21)=0,"",N(Z19)+N(Z20)+N(Z21))</f>
        <v>168003</v>
      </c>
      <c r="AA22" s="515">
        <f>IF(COUNT(AA19,AA20,AA21)=0,"",N(AA19)+N(AA20)+N(AA21))</f>
        <v>178830</v>
      </c>
      <c r="AB22" s="516">
        <f>IF(COUNT(AB19,AB20,AB21)=0,"",N(AB19)+N(AB20)+N(AB21))</f>
        <v>674538</v>
      </c>
      <c r="AC22" s="515">
        <f>IF(COUNT(AC19,AC20,AC21)=0,"",N(AC19)+N(AC20)+N(AC21))</f>
        <v>163981</v>
      </c>
      <c r="AD22" s="515">
        <f>IF(COUNT(AD19,AD20,AD21)=0,"",N(AD19)+N(AD20)+N(AD21))</f>
        <v>175750</v>
      </c>
      <c r="AE22" s="515">
        <f>IF(COUNT(AE19,AE20,AE21)=0,"",N(AE19)+N(AE20)+N(AE21))</f>
        <v>177769</v>
      </c>
      <c r="AF22" s="515">
        <f>IF(COUNT(AF19,AF20,AF21)=0,"",N(AF19)+N(AF20)+N(AF21))</f>
        <v>188913</v>
      </c>
      <c r="AG22" s="516">
        <f>IF(COUNT(AG19,AG20,AG21)=0,"",N(AG19)+N(AG20)+N(AG21))</f>
        <v>706413</v>
      </c>
      <c r="AH22" s="516">
        <f>IF(COUNT(AH19,AH20,AH21)=0,"",N(AH19)+N(AH20)+N(AH21))</f>
        <v>175684</v>
      </c>
      <c r="AI22" s="516">
        <f>IF(COUNT(AI19,AI20,AI21)=0,"",N(AI19)+N(AI20)+N(AI21))</f>
        <v>186100</v>
      </c>
    </row>
    <row r="23" s="255">
      <c r="C23" s="275" t="inlineStr">
        <is>
          <t>Receita não alocada aos segmentos (linha 15 - soma)</t>
        </is>
      </c>
      <c r="D23" s="515">
        <f>IF(COUNT(D22)=0,"",ROUND(D15-D22,1))</f>
        <v>950</v>
      </c>
      <c r="E23" s="515">
        <f>IF(COUNT(E22)=0,"",ROUND(E15-E22,1))</f>
        <v>918</v>
      </c>
      <c r="F23" s="515">
        <f>IF(COUNT(F22)=0,"",ROUND(F15-F22,1))</f>
        <v>956</v>
      </c>
      <c r="G23" s="515">
        <f>IF(COUNT(G22)=0,"",ROUND(G15-G22,1))</f>
        <v>1094</v>
      </c>
      <c r="H23" s="516">
        <f>IF(COUNT(H22)=0,"",ROUND(H15-H22,1))</f>
        <v>3918</v>
      </c>
      <c r="I23" s="515">
        <f>IF(COUNT(I22)=0,"",ROUND(I15-I22,1))</f>
        <v>1151</v>
      </c>
      <c r="J23" s="515">
        <f>IF(COUNT(J22)=0,"",ROUND(J15-J22,1))</f>
        <v>1177</v>
      </c>
      <c r="K23" s="515">
        <f>IF(COUNT(K22)=0,"",ROUND(K15-K22,1))</f>
        <v>1318</v>
      </c>
      <c r="L23" s="515">
        <f>IF(COUNT(L22)=0,"",ROUND(L15-L22,1))</f>
        <v>1346</v>
      </c>
      <c r="M23" s="516">
        <f>IF(COUNT(M22)=0,"",ROUND(M15-M22,1))</f>
        <v>4992</v>
      </c>
      <c r="N23" s="515">
        <f>IF(COUNT(N22)=0,"",ROUND(N15-N22,1))</f>
        <v>1281</v>
      </c>
      <c r="O23" s="515">
        <f>IF(COUNT(O22)=0,"",ROUND(O15-O22,1))</f>
        <v>1478</v>
      </c>
      <c r="P23" s="515">
        <f>IF(COUNT(P22)=0,"",ROUND(P15-P22,1))</f>
        <v>1344</v>
      </c>
      <c r="Q23" s="515">
        <f>IF(COUNT(Q22)=0,"",ROUND(Q15-Q22,1))</f>
        <v>1305</v>
      </c>
      <c r="R23" s="516">
        <f>IF(COUNT(R22)=0,"",ROUND(R15-R22,1))</f>
        <v>5408</v>
      </c>
      <c r="S23" s="515">
        <f>IF(COUNT(S22)=0,"",ROUND(S15-S22,1))</f>
        <v>1297</v>
      </c>
      <c r="T23" s="515">
        <f>IF(COUNT(T22)=0,"",ROUND(T15-T22,1))</f>
        <v>1352</v>
      </c>
      <c r="U23" s="515">
        <f>IF(COUNT(U22)=0,"",ROUND(U15-U22,1))</f>
        <v>1365</v>
      </c>
      <c r="V23" s="515">
        <f>IF(COUNT(V22)=0,"",ROUND(V15-V22,1))</f>
        <v>1474</v>
      </c>
      <c r="W23" s="516">
        <f>IF(COUNT(W22)=0,"",ROUND(W15-W22,1))</f>
        <v>5488</v>
      </c>
      <c r="X23" s="515">
        <f>IF(COUNT(X22)=0,"",ROUND(X15-X22,1))</f>
        <v>1570</v>
      </c>
      <c r="Y23" s="515">
        <f>IF(COUNT(Y22)=0,"",ROUND(Y15-Y22,1))</f>
        <v>1568</v>
      </c>
      <c r="Z23" s="515">
        <f>IF(COUNT(Z22)=0,"",ROUND(Z15-Z22,1))</f>
        <v>1585</v>
      </c>
      <c r="AA23" s="515">
        <f>IF(COUNT(AA22)=0,"",ROUND(AA15-AA22,1))</f>
        <v>1724</v>
      </c>
      <c r="AB23" s="516">
        <f>IF(COUNT(AB22)=0,"",ROUND(AB15-AB22,1))</f>
        <v>6447</v>
      </c>
      <c r="AC23" s="515">
        <f>IF(COUNT(AC22)=0,"",ROUND(AC15-AC22,1))</f>
        <v>1628</v>
      </c>
      <c r="AD23" s="515">
        <f>IF(COUNT(AD22)=0,"",ROUND(AD15-AD22,1))</f>
        <v>1652</v>
      </c>
      <c r="AE23" s="515">
        <f>IF(COUNT(AE22)=0,"",ROUND(AE15-AE22,1))</f>
        <v>1727</v>
      </c>
      <c r="AF23" s="515">
        <f>IF(COUNT(AF22)=0,"",ROUND(AF15-AF22,1))</f>
        <v>1743</v>
      </c>
      <c r="AG23" s="516">
        <f>IF(COUNT(AG22)=0,"",ROUND(AG15-AG22,1))</f>
        <v>6750</v>
      </c>
      <c r="AH23" s="516">
        <f>IF(COUNT(AH22)=0,"",ROUND(AH15-AH22,1))</f>
        <v>2067</v>
      </c>
      <c r="AI23" s="516">
        <f>IF(COUNT(AI22)=0,"",ROUND(AI15-AI22,1))</f>
        <v>1837</v>
      </c>
    </row>
    <row r="24" s="255">
      <c r="C24" s="275" t="inlineStr">
        <is>
          <t xml:space="preserve">   % YoY Walmart U.S.</t>
        </is>
      </c>
      <c r="D24" s="518" t="str">
        <f>""</f>
        <v/>
      </c>
      <c r="E24" s="518" t="str">
        <f>""</f>
        <v/>
      </c>
      <c r="F24" s="518" t="str">
        <f>""</f>
        <v/>
      </c>
      <c r="G24" s="518" t="str">
        <f>""</f>
        <v/>
      </c>
      <c r="H24" s="519" t="str">
        <f>""</f>
        <v/>
      </c>
      <c r="I24" s="518">
        <f>IFERROR(I19/D19-1,"")</f>
        <v>0.0498518192984236</v>
      </c>
      <c r="J24" s="518">
        <f>IFERROR(J19/E19-1,"")</f>
        <v>0.0526360927081324</v>
      </c>
      <c r="K24" s="518">
        <f>IFERROR(K19/F19-1,"")</f>
        <v>0.0934433465756681</v>
      </c>
      <c r="L24" s="518">
        <f>IFERROR(L19/G19-1,"")</f>
        <v>0.0571772857358035</v>
      </c>
      <c r="M24" s="519">
        <f>IFERROR(M19/H19-1,"")</f>
        <v>0.0629360233320628</v>
      </c>
      <c r="N24" s="518">
        <f>IFERROR(N19/I19-1,"")</f>
        <v>0.0401107688344586</v>
      </c>
      <c r="O24" s="518">
        <f>IFERROR(O19/J19-1,"")</f>
        <v>0.0706574873716799</v>
      </c>
      <c r="P24" s="518">
        <f>IFERROR(P19/K19-1,"")</f>
        <v>0.0845262863708349</v>
      </c>
      <c r="Q24" s="518">
        <f>IFERROR(Q19/L19-1,"")</f>
        <v>0.0804053989874525</v>
      </c>
      <c r="R24" s="519">
        <f>IFERROR(R19/M19-1,"")</f>
        <v>0.0694372747916703</v>
      </c>
      <c r="S24" s="518">
        <f>IFERROR(S19/N19-1,"")</f>
        <v>0.0722054817138611</v>
      </c>
      <c r="T24" s="518">
        <f>IFERROR(T19/O19-1,"")</f>
        <v>0.0544468752972511</v>
      </c>
      <c r="U24" s="518">
        <f>IFERROR(U19/P19-1,"")</f>
        <v>0.0443235504652828</v>
      </c>
      <c r="V24" s="518">
        <f>IFERROR(V19/Q19-1,"")</f>
        <v>0.0342787311858208</v>
      </c>
      <c r="W24" s="519">
        <f>IFERROR(W19/R19-1,"")</f>
        <v>0.0505619981310321</v>
      </c>
      <c r="X24" s="518">
        <f>IFERROR(X19/S19-1,"")</f>
        <v>0.0458994619878539</v>
      </c>
      <c r="Y24" s="518">
        <f>IFERROR(Y19/T19-1,"")</f>
        <v>0.0405307882439967</v>
      </c>
      <c r="Z24" s="518">
        <f>IFERROR(Z19/U19-1,"")</f>
        <v>0.049863369250313</v>
      </c>
      <c r="AA24" s="518">
        <f>IFERROR(AA19/V19-1,"")</f>
        <v>0.0499817243694907</v>
      </c>
      <c r="AB24" s="519">
        <f>IFERROR(AB19/W19-1,"")</f>
        <v>0.0466211123610001</v>
      </c>
      <c r="AC24" s="518">
        <f>IFERROR(AC19/X19-1,"")</f>
        <v>0.0321431857918468</v>
      </c>
      <c r="AD24" s="518">
        <f>IFERROR(AD19/Y19-1,"")</f>
        <v>0.0482370586144416</v>
      </c>
      <c r="AE24" s="518">
        <f>IFERROR(AE19/Z19-1,"")</f>
        <v>0.0505157780195864</v>
      </c>
      <c r="AF24" s="518">
        <f>IFERROR(AF19/AA19-1,"")</f>
        <v>0.0461452523011909</v>
      </c>
      <c r="AG24" s="519">
        <f>IFERROR(AG19/AB19-1,"")</f>
        <v>0.0444622254900902</v>
      </c>
      <c r="AH24" s="519">
        <f>IFERROR(AH19/AC19-1,"")</f>
        <v>0.0446314738371834</v>
      </c>
      <c r="AI24" s="519">
        <f>IFERROR(AI19/AD19-1,"")</f>
        <v>0.0353813962335934</v>
      </c>
    </row>
    <row r="25" s="255">
      <c r="C25" s="275" t="inlineStr">
        <is>
          <t xml:space="preserve">   % YoY Walmart International</t>
        </is>
      </c>
      <c r="D25" s="518" t="str">
        <f>""</f>
        <v/>
      </c>
      <c r="E25" s="518" t="str">
        <f>""</f>
        <v/>
      </c>
      <c r="F25" s="518" t="str">
        <f>""</f>
        <v/>
      </c>
      <c r="G25" s="518" t="str">
        <f>""</f>
        <v/>
      </c>
      <c r="H25" s="519" t="str">
        <f>""</f>
        <v/>
      </c>
      <c r="I25" s="518">
        <f>IFERROR(I20/D20-1,"")</f>
        <v>-0.0828462003628301</v>
      </c>
      <c r="J25" s="518">
        <f>IFERROR(J20/E20-1,"")</f>
        <v>-0.152096293297015</v>
      </c>
      <c r="K25" s="518">
        <f>IFERROR(K20/F20-1,"")</f>
        <v>-0.200548149150707</v>
      </c>
      <c r="L25" s="518">
        <f>IFERROR(L20/G20-1,"")</f>
        <v>-0.225848077309093</v>
      </c>
      <c r="M25" s="519">
        <f>IFERROR(M20/H20-1,"")</f>
        <v>-0.168103164139749</v>
      </c>
      <c r="N25" s="518">
        <f>IFERROR(N20/I20-1,"")</f>
        <v>-0.12956043956044</v>
      </c>
      <c r="O25" s="518">
        <f>IFERROR(O20/J20-1,"")</f>
        <v>0.05708704145865</v>
      </c>
      <c r="P25" s="518">
        <f>IFERROR(P20/K20-1,"")</f>
        <v>0.070597198120794</v>
      </c>
      <c r="Q25" s="518">
        <f>IFERROR(Q20/L20-1,"")</f>
        <v>0.0214097862725489</v>
      </c>
      <c r="R25" s="519">
        <f>IFERROR(R20/M20-1,"")</f>
        <v>0.000237720262680874</v>
      </c>
      <c r="S25" s="518">
        <f>IFERROR(S20/N20-1,"")</f>
        <v>0.119555611665194</v>
      </c>
      <c r="T25" s="518">
        <f>IFERROR(T20/O20-1,"")</f>
        <v>0.133305954825462</v>
      </c>
      <c r="U25" s="518">
        <f>IFERROR(U20/P20-1,"")</f>
        <v>0.107807867167424</v>
      </c>
      <c r="V25" s="518">
        <f>IFERROR(V20/Q20-1,"")</f>
        <v>0.175666364460562</v>
      </c>
      <c r="W25" s="519">
        <f>IFERROR(W20/R20-1,"")</f>
        <v>0.135250487705852</v>
      </c>
      <c r="X25" s="518">
        <f>IFERROR(X20/S20-1,"")</f>
        <v>0.121372725905879</v>
      </c>
      <c r="Y25" s="518">
        <f>IFERROR(Y20/T20-1,"")</f>
        <v>0.0714233946948832</v>
      </c>
      <c r="Z25" s="518">
        <f>IFERROR(Z20/U20-1,"")</f>
        <v>0.0804724859039325</v>
      </c>
      <c r="AA25" s="518">
        <f>IFERROR(AA20/V20-1,"")</f>
        <v>-0.00650852894907306</v>
      </c>
      <c r="AB25" s="519">
        <f>IFERROR(AB20/W20-1,"")</f>
        <v>0.0631885625561535</v>
      </c>
      <c r="AC25" s="518">
        <f>IFERROR(AC20/X20-1,"")</f>
        <v>-0.00264807428015956</v>
      </c>
      <c r="AD25" s="518">
        <f>IFERROR(AD20/Y20-1,"")</f>
        <v>0.0552643149457166</v>
      </c>
      <c r="AE25" s="518">
        <f>IFERROR(AE20/Z20-1,"")</f>
        <v>0.107804604154969</v>
      </c>
      <c r="AF25" s="518">
        <f>IFERROR(AF20/AA20-1,"")</f>
        <v>0.115468206656731</v>
      </c>
      <c r="AG25" s="519">
        <f>IFERROR(AG20/AB20-1,"")</f>
        <v>0.0700496369528654</v>
      </c>
      <c r="AH25" s="519">
        <f>IFERROR(AH20/AC20-1,"")</f>
        <v>0.180009410499429</v>
      </c>
      <c r="AI25" s="519">
        <f>IFERROR(AI20/AD20-1,"")</f>
        <v>0.128104868433704</v>
      </c>
    </row>
    <row r="26" s="255">
      <c r="C26" s="275" t="inlineStr">
        <is>
          <t xml:space="preserve">   % YoY Sam's Club U.S.</t>
        </is>
      </c>
      <c r="D26" s="518" t="str">
        <f>""</f>
        <v/>
      </c>
      <c r="E26" s="518" t="str">
        <f>""</f>
        <v/>
      </c>
      <c r="F26" s="518" t="str">
        <f>""</f>
        <v/>
      </c>
      <c r="G26" s="518" t="str">
        <f>""</f>
        <v/>
      </c>
      <c r="H26" s="519" t="str">
        <f>""</f>
        <v/>
      </c>
      <c r="I26" s="518">
        <f>IFERROR(I21/D21-1,"")</f>
        <v>0.100837565125635</v>
      </c>
      <c r="J26" s="518">
        <f>IFERROR(J21/E21-1,"")</f>
        <v>0.138564885496183</v>
      </c>
      <c r="K26" s="518">
        <f>IFERROR(K21/F21-1,"")</f>
        <v>0.197286210160934</v>
      </c>
      <c r="L26" s="518">
        <f>IFERROR(L21/G21-1,"")</f>
        <v>0.164700187571852</v>
      </c>
      <c r="M26" s="519">
        <f>IFERROR(M21/H21-1,"")</f>
        <v>0.150930996714129</v>
      </c>
      <c r="N26" s="518">
        <f>IFERROR(N21/I21-1,"")</f>
        <v>0.175473280613468</v>
      </c>
      <c r="O26" s="518">
        <f>IFERROR(O21/J21-1,"")</f>
        <v>0.174694271615533</v>
      </c>
      <c r="P26" s="518">
        <f>IFERROR(P21/K21-1,"")</f>
        <v>0.127984818934163</v>
      </c>
      <c r="Q26" s="518">
        <f>IFERROR(Q21/L21-1,"")</f>
        <v>0.112992882747156</v>
      </c>
      <c r="R26" s="519">
        <f>IFERROR(R21/M21-1,"")</f>
        <v>0.146677361466094</v>
      </c>
      <c r="S26" s="518">
        <f>IFERROR(S21/N21-1,"")</f>
        <v>0.0447479741093726</v>
      </c>
      <c r="T26" s="518">
        <f>IFERROR(T21/O21-1,"")</f>
        <v>-0.00324186110223279</v>
      </c>
      <c r="U26" s="518">
        <f>IFERROR(U21/P21-1,"")</f>
        <v>0.0279919622412261</v>
      </c>
      <c r="V26" s="518">
        <f>IFERROR(V21/Q21-1,"")</f>
        <v>0.0199775952203136</v>
      </c>
      <c r="W26" s="519">
        <f>IFERROR(W21/R21-1,"")</f>
        <v>0.0217440275060763</v>
      </c>
      <c r="X26" s="518">
        <f>IFERROR(X21/S21-1,"")</f>
        <v>0.0456607639397044</v>
      </c>
      <c r="Y26" s="518">
        <f>IFERROR(Y21/T21-1,"")</f>
        <v>0.0468621163536418</v>
      </c>
      <c r="Z26" s="518">
        <f>IFERROR(Z21/U21-1,"")</f>
        <v>0.0387762523865807</v>
      </c>
      <c r="AA26" s="518">
        <f>IFERROR(AA21/V21-1,"")</f>
        <v>0.0570657148087133</v>
      </c>
      <c r="AB26" s="519">
        <f>IFERROR(AB21/W21-1,"")</f>
        <v>0.0470996414439713</v>
      </c>
      <c r="AC26" s="518">
        <f>IFERROR(AC21/X21-1,"")</f>
        <v>0.0293445299743411</v>
      </c>
      <c r="AD26" s="518">
        <f>IFERROR(AD21/Y21-1,"")</f>
        <v>0.0343499759331378</v>
      </c>
      <c r="AE26" s="518">
        <f>IFERROR(AE21/Z21-1,"")</f>
        <v>0.0305894709203098</v>
      </c>
      <c r="AF26" s="518">
        <f>IFERROR(AF21/AA21-1,"")</f>
        <v>0.0287458331529504</v>
      </c>
      <c r="AG26" s="519">
        <f>IFERROR(AG21/AB21-1,"")</f>
        <v>0.0307741749595514</v>
      </c>
      <c r="AH26" s="519">
        <f>IFERROR(AH21/AC21-1,"")</f>
        <v>0.0607777374909355</v>
      </c>
      <c r="AI26" s="519">
        <f>IFERROR(AI21/AD21-1,"")</f>
        <v>0.0877823842964718</v>
      </c>
    </row>
    <row r="27" s="255"/>
    <row r="28" s="255">
      <c r="C28" s="289" t="inlineStr">
        <is>
          <t>Segmentos - lucro e margem (USD milhões)</t>
        </is>
      </c>
      <c r="D28" s="289" t="str">
        <f>D7</f>
        <v>1Q20</v>
      </c>
      <c r="E28" s="289" t="str">
        <f>E7</f>
        <v>2Q20</v>
      </c>
      <c r="F28" s="289" t="str">
        <f>F7</f>
        <v>3Q20</v>
      </c>
      <c r="G28" s="289" t="str">
        <f>G7</f>
        <v>4Q20</v>
      </c>
      <c r="H28" s="289">
        <f>H7</f>
        <v>2020</v>
      </c>
      <c r="I28" s="289" t="str">
        <f>I7</f>
        <v>1Q21</v>
      </c>
      <c r="J28" s="289" t="str">
        <f>J7</f>
        <v>2Q21</v>
      </c>
      <c r="K28" s="289" t="str">
        <f>K7</f>
        <v>3Q21</v>
      </c>
      <c r="L28" s="289" t="str">
        <f>L7</f>
        <v>4Q21</v>
      </c>
      <c r="M28" s="289">
        <f>M7</f>
        <v>2021</v>
      </c>
      <c r="N28" s="289" t="str">
        <f>N7</f>
        <v>1Q22</v>
      </c>
      <c r="O28" s="289" t="str">
        <f>O7</f>
        <v>2Q22</v>
      </c>
      <c r="P28" s="289" t="str">
        <f>P7</f>
        <v>3Q22</v>
      </c>
      <c r="Q28" s="289" t="str">
        <f>Q7</f>
        <v>4Q22</v>
      </c>
      <c r="R28" s="289">
        <f>R7</f>
        <v>2022</v>
      </c>
      <c r="S28" s="289" t="str">
        <f>S7</f>
        <v>1Q23</v>
      </c>
      <c r="T28" s="289" t="str">
        <f>T7</f>
        <v>2Q23</v>
      </c>
      <c r="U28" s="289" t="str">
        <f>U7</f>
        <v>3Q23</v>
      </c>
      <c r="V28" s="289" t="str">
        <f>V7</f>
        <v>4Q23</v>
      </c>
      <c r="W28" s="289">
        <f>W7</f>
        <v>2023</v>
      </c>
      <c r="X28" s="289" t="str">
        <f>X7</f>
        <v>1Q24</v>
      </c>
      <c r="Y28" s="289" t="str">
        <f>Y7</f>
        <v>2Q24</v>
      </c>
      <c r="Z28" s="289" t="str">
        <f>Z7</f>
        <v>3Q24</v>
      </c>
      <c r="AA28" s="289" t="str">
        <f>AA7</f>
        <v>4Q24</v>
      </c>
      <c r="AB28" s="289">
        <f>AB7</f>
        <v>2024</v>
      </c>
      <c r="AC28" s="289" t="str">
        <f>AC7</f>
        <v>1Q25</v>
      </c>
      <c r="AD28" s="289" t="str">
        <f>AD7</f>
        <v>2Q25</v>
      </c>
      <c r="AE28" s="289" t="str">
        <f>AE7</f>
        <v>3Q25</v>
      </c>
      <c r="AF28" s="289" t="str">
        <f>AF7</f>
        <v>4Q25</v>
      </c>
      <c r="AG28" s="289">
        <f>AG7</f>
        <v>2025</v>
      </c>
      <c r="AH28" s="289" t="str">
        <f>AH7</f>
        <v>1Q26</v>
      </c>
      <c r="AI28" s="289" t="str">
        <f>AI7</f>
        <v>2Q26</v>
      </c>
    </row>
    <row r="29" s="255">
      <c r="C29" s="275" t="inlineStr">
        <is>
          <t xml:space="preserve">   Walmart U.S.</t>
        </is>
      </c>
      <c r="D29" s="515">
        <f>IFERROR(INDEX('Inputs (2)'!$D$54:$AL$54,MATCH(D$7,'Inputs (2)'!$D$2:$AL$2,0)),"")</f>
        <v>4302</v>
      </c>
      <c r="E29" s="515">
        <f>IFERROR(INDEX('Inputs (2)'!$D$54:$AL$54,MATCH(E$7,'Inputs (2)'!$D$2:$AL$2,0)),"")</f>
        <v>5057</v>
      </c>
      <c r="F29" s="515">
        <f>IFERROR(INDEX('Inputs (2)'!$D$54:$AL$54,MATCH(F$7,'Inputs (2)'!$D$2:$AL$2,0)),"")</f>
        <v>4589</v>
      </c>
      <c r="G29" s="515">
        <f>IFERROR(INDEX('Inputs (2)'!$D$54:$AL$54,MATCH(G$7,'Inputs (2)'!$D$2:$AL$2,0)),"")</f>
        <v>5168</v>
      </c>
      <c r="H29" s="516">
        <f>IF(COUNT(D29:G29)=4,SUM(D29:G29),"")</f>
        <v>19116</v>
      </c>
      <c r="I29" s="515">
        <f>IFERROR(INDEX('Inputs (2)'!$D$54:$AL$54,MATCH(I$7,'Inputs (2)'!$D$2:$AL$2,0)),"")</f>
        <v>5455</v>
      </c>
      <c r="J29" s="515">
        <f>IFERROR(INDEX('Inputs (2)'!$D$54:$AL$54,MATCH(J$7,'Inputs (2)'!$D$2:$AL$2,0)),"")</f>
        <v>6089</v>
      </c>
      <c r="K29" s="515">
        <f>IFERROR(INDEX('Inputs (2)'!$D$54:$AL$54,MATCH(K$7,'Inputs (2)'!$D$2:$AL$2,0)),"")</f>
        <v>4860</v>
      </c>
      <c r="L29" s="515">
        <f>IFERROR(INDEX('Inputs (2)'!$D$54:$AL$54,MATCH(L$7,'Inputs (2)'!$D$2:$AL$2,0)),"")</f>
        <v>5183</v>
      </c>
      <c r="M29" s="516">
        <f>IF(COUNT(I29:L29)=4,SUM(I29:L29),"")</f>
        <v>21587</v>
      </c>
      <c r="N29" s="515">
        <f>IFERROR(INDEX('Inputs (2)'!$D$54:$AL$54,MATCH(N$7,'Inputs (2)'!$D$2:$AL$2,0)),"")</f>
        <v>4462</v>
      </c>
      <c r="O29" s="515">
        <f>IFERROR(INDEX('Inputs (2)'!$D$54:$AL$54,MATCH(O$7,'Inputs (2)'!$D$2:$AL$2,0)),"")</f>
        <v>5683</v>
      </c>
      <c r="P29" s="515">
        <f>IFERROR(INDEX('Inputs (2)'!$D$54:$AL$54,MATCH(P$7,'Inputs (2)'!$D$2:$AL$2,0)),"")</f>
        <v>5093</v>
      </c>
      <c r="Q29" s="515">
        <f>IFERROR(INDEX('Inputs (2)'!$D$54:$AL$54,MATCH(Q$7,'Inputs (2)'!$D$2:$AL$2,0)),"")</f>
        <v>5382</v>
      </c>
      <c r="R29" s="516">
        <f>IF(COUNT(N29:Q29)=4,SUM(N29:Q29),"")</f>
        <v>20620</v>
      </c>
      <c r="S29" s="515">
        <f>IFERROR(INDEX('Inputs (2)'!$D$54:$AL$54,MATCH(S$7,'Inputs (2)'!$D$2:$AL$2,0)),"")</f>
        <v>4984</v>
      </c>
      <c r="T29" s="515">
        <f>IFERROR(INDEX('Inputs (2)'!$D$54:$AL$54,MATCH(T$7,'Inputs (2)'!$D$2:$AL$2,0)),"")</f>
        <v>6114</v>
      </c>
      <c r="U29" s="515">
        <f>IFERROR(INDEX('Inputs (2)'!$D$54:$AL$54,MATCH(U$7,'Inputs (2)'!$D$2:$AL$2,0)),"")</f>
        <v>4981</v>
      </c>
      <c r="V29" s="515">
        <f>IFERROR(INDEX('Inputs (2)'!$D$54:$AL$54,MATCH(V$7,'Inputs (2)'!$D$2:$AL$2,0)),"")</f>
        <v>6075</v>
      </c>
      <c r="W29" s="516">
        <f>IF(COUNT(S29:V29)=4,SUM(S29:V29),"")</f>
        <v>22154</v>
      </c>
      <c r="X29" s="515">
        <f>IFERROR(INDEX('Inputs (2)'!$D$54:$AL$54,MATCH(X$7,'Inputs (2)'!$D$2:$AL$2,0)),"")</f>
        <v>5332</v>
      </c>
      <c r="Y29" s="515">
        <f>IFERROR(INDEX('Inputs (2)'!$D$54:$AL$54,MATCH(Y$7,'Inputs (2)'!$D$2:$AL$2,0)),"")</f>
        <v>6591</v>
      </c>
      <c r="Z29" s="515">
        <f>IFERROR(INDEX('Inputs (2)'!$D$54:$AL$54,MATCH(Z$7,'Inputs (2)'!$D$2:$AL$2,0)),"")</f>
        <v>5435</v>
      </c>
      <c r="AA29" s="515">
        <f>IFERROR(INDEX('Inputs (2)'!$D$54:$AL$54,MATCH(AA$7,'Inputs (2)'!$D$2:$AL$2,0)),"")</f>
        <v>6524</v>
      </c>
      <c r="AB29" s="516">
        <f>IF(COUNT(X29:AA29)=4,SUM(X29:AA29),"")</f>
        <v>23882</v>
      </c>
      <c r="AC29" s="515">
        <f>IFERROR(INDEX('Inputs (2)'!$D$54:$AL$54,MATCH(AC$7,'Inputs (2)'!$D$2:$AL$2,0)),"")</f>
        <v>5696</v>
      </c>
      <c r="AD29" s="515">
        <f>IFERROR(INDEX('Inputs (2)'!$D$54:$AL$54,MATCH(AD$7,'Inputs (2)'!$D$2:$AL$2,0)),"")</f>
        <v>6732</v>
      </c>
      <c r="AE29" s="515">
        <f>IFERROR(INDEX('Inputs (2)'!$D$54:$AL$54,MATCH(AE$7,'Inputs (2)'!$D$2:$AL$2,0)),"")</f>
        <v>5780</v>
      </c>
      <c r="AF29" s="515">
        <f>IFERROR(INDEX('Inputs (2)'!$D$54:$AL$54,MATCH(AF$7,'Inputs (2)'!$D$2:$AL$2,0)),"")</f>
        <v>6953</v>
      </c>
      <c r="AG29" s="516">
        <f>IF(COUNT(AC29:AF29)=4,SUM(AC29:AF29),"")</f>
        <v>25161</v>
      </c>
      <c r="AH29" s="516">
        <f>IFERROR(INDEX('Inputs (2)'!$D$54:$AL$54,MATCH(AH$7,'Inputs (2)'!$D$2:$AL$2,0)),"")</f>
        <v>5897</v>
      </c>
      <c r="AI29" s="516">
        <f>IFERROR(INDEX('Inputs (2)'!$D$54:$AL$54,MATCH(AI$7,'Inputs (2)'!$D$2:$AL$2,0)),"")</f>
        <v>8120</v>
      </c>
    </row>
    <row r="30" s="255">
      <c r="C30" s="275" t="inlineStr">
        <is>
          <t xml:space="preserve">   Walmart International</t>
        </is>
      </c>
      <c r="D30" s="515">
        <f>IFERROR(INDEX('Inputs (2)'!$D$56:$AL$56,MATCH(D$7,'Inputs (2)'!$D$2:$AL$2,0)),"")</f>
        <v>806</v>
      </c>
      <c r="E30" s="515">
        <f>IFERROR(INDEX('Inputs (2)'!$D$56:$AL$56,MATCH(E$7,'Inputs (2)'!$D$2:$AL$2,0)),"")</f>
        <v>812</v>
      </c>
      <c r="F30" s="515">
        <f>IFERROR(INDEX('Inputs (2)'!$D$56:$AL$56,MATCH(F$7,'Inputs (2)'!$D$2:$AL$2,0)),"")</f>
        <v>1078</v>
      </c>
      <c r="G30" s="515">
        <f>IFERROR(INDEX('Inputs (2)'!$D$56:$AL$56,MATCH(G$7,'Inputs (2)'!$D$2:$AL$2,0)),"")</f>
        <v>964</v>
      </c>
      <c r="H30" s="516">
        <f>IF(COUNT(D30:G30)=4,SUM(D30:G30),"")</f>
        <v>3660</v>
      </c>
      <c r="I30" s="515">
        <f>IFERROR(INDEX('Inputs (2)'!$D$56:$AL$56,MATCH(I$7,'Inputs (2)'!$D$2:$AL$2,0)),"")</f>
        <v>1194</v>
      </c>
      <c r="J30" s="515">
        <f>IFERROR(INDEX('Inputs (2)'!$D$56:$AL$56,MATCH(J$7,'Inputs (2)'!$D$2:$AL$2,0)),"")</f>
        <v>861</v>
      </c>
      <c r="K30" s="515">
        <f>IFERROR(INDEX('Inputs (2)'!$D$56:$AL$56,MATCH(K$7,'Inputs (2)'!$D$2:$AL$2,0)),"")</f>
        <v>871</v>
      </c>
      <c r="L30" s="515">
        <f>IFERROR(INDEX('Inputs (2)'!$D$56:$AL$56,MATCH(L$7,'Inputs (2)'!$D$2:$AL$2,0)),"")</f>
        <v>832</v>
      </c>
      <c r="M30" s="516">
        <f>IF(COUNT(I30:L30)=4,SUM(I30:L30),"")</f>
        <v>3758</v>
      </c>
      <c r="N30" s="515">
        <f>IFERROR(INDEX('Inputs (2)'!$D$56:$AL$56,MATCH(N$7,'Inputs (2)'!$D$2:$AL$2,0)),"")</f>
        <v>772</v>
      </c>
      <c r="O30" s="515">
        <f>IFERROR(INDEX('Inputs (2)'!$D$56:$AL$56,MATCH(O$7,'Inputs (2)'!$D$2:$AL$2,0)),"")</f>
        <v>1043</v>
      </c>
      <c r="P30" s="515">
        <f>IFERROR(INDEX('Inputs (2)'!$D$56:$AL$56,MATCH(P$7,'Inputs (2)'!$D$2:$AL$2,0)),"")</f>
        <v>861</v>
      </c>
      <c r="Q30" s="515">
        <f>IFERROR(INDEX('Inputs (2)'!$D$56:$AL$56,MATCH(Q$7,'Inputs (2)'!$D$2:$AL$2,0)),"")</f>
        <v>289</v>
      </c>
      <c r="R30" s="516">
        <f>IF(COUNT(N30:Q30)=4,SUM(N30:Q30),"")</f>
        <v>2965</v>
      </c>
      <c r="S30" s="515">
        <f>IFERROR(INDEX('Inputs (2)'!$D$56:$AL$56,MATCH(S$7,'Inputs (2)'!$D$2:$AL$2,0)),"")</f>
        <v>1164</v>
      </c>
      <c r="T30" s="515">
        <f>IFERROR(INDEX('Inputs (2)'!$D$56:$AL$56,MATCH(T$7,'Inputs (2)'!$D$2:$AL$2,0)),"")</f>
        <v>1190</v>
      </c>
      <c r="U30" s="515">
        <f>IFERROR(INDEX('Inputs (2)'!$D$56:$AL$56,MATCH(U$7,'Inputs (2)'!$D$2:$AL$2,0)),"")</f>
        <v>1117</v>
      </c>
      <c r="V30" s="515">
        <f>IFERROR(INDEX('Inputs (2)'!$D$56:$AL$56,MATCH(V$7,'Inputs (2)'!$D$2:$AL$2,0)),"")</f>
        <v>1438</v>
      </c>
      <c r="W30" s="516">
        <f>IF(COUNT(S30:V30)=4,SUM(S30:V30),"")</f>
        <v>4909</v>
      </c>
      <c r="X30" s="515">
        <f>IFERROR(INDEX('Inputs (2)'!$D$56:$AL$56,MATCH(X$7,'Inputs (2)'!$D$2:$AL$2,0)),"")</f>
        <v>1533</v>
      </c>
      <c r="Y30" s="515">
        <f>IFERROR(INDEX('Inputs (2)'!$D$56:$AL$56,MATCH(Y$7,'Inputs (2)'!$D$2:$AL$2,0)),"")</f>
        <v>1360</v>
      </c>
      <c r="Z30" s="515">
        <f>IFERROR(INDEX('Inputs (2)'!$D$56:$AL$56,MATCH(Z$7,'Inputs (2)'!$D$2:$AL$2,0)),"")</f>
        <v>1204</v>
      </c>
      <c r="AA30" s="515">
        <f>IFERROR(INDEX('Inputs (2)'!$D$56:$AL$56,MATCH(AA$7,'Inputs (2)'!$D$2:$AL$2,0)),"")</f>
        <v>1404</v>
      </c>
      <c r="AB30" s="516">
        <f>IF(COUNT(X30:AA30)=4,SUM(X30:AA30),"")</f>
        <v>5501</v>
      </c>
      <c r="AC30" s="515">
        <f>IFERROR(INDEX('Inputs (2)'!$D$56:$AL$56,MATCH(AC$7,'Inputs (2)'!$D$2:$AL$2,0)),"")</f>
        <v>1293</v>
      </c>
      <c r="AD30" s="515">
        <f>IFERROR(INDEX('Inputs (2)'!$D$56:$AL$56,MATCH(AD$7,'Inputs (2)'!$D$2:$AL$2,0)),"")</f>
        <v>1234</v>
      </c>
      <c r="AE30" s="515">
        <f>IFERROR(INDEX('Inputs (2)'!$D$56:$AL$56,MATCH(AE$7,'Inputs (2)'!$D$2:$AL$2,0)),"")</f>
        <v>702</v>
      </c>
      <c r="AF30" s="515">
        <f>IFERROR(INDEX('Inputs (2)'!$D$56:$AL$56,MATCH(AF$7,'Inputs (2)'!$D$2:$AL$2,0)),"")</f>
        <v>1910</v>
      </c>
      <c r="AG30" s="516">
        <f>IF(COUNT(AC30:AF30)=4,SUM(AC30:AF30),"")</f>
        <v>5139</v>
      </c>
      <c r="AH30" s="516">
        <f>IFERROR(INDEX('Inputs (2)'!$D$56:$AL$56,MATCH(AH$7,'Inputs (2)'!$D$2:$AL$2,0)),"")</f>
        <v>1602</v>
      </c>
      <c r="AI30" s="516">
        <f>IFERROR(INDEX('Inputs (2)'!$D$56:$AL$56,MATCH(AI$7,'Inputs (2)'!$D$2:$AL$2,0)),"")</f>
        <v>1439</v>
      </c>
    </row>
    <row r="31" s="255">
      <c r="C31" s="275" t="inlineStr">
        <is>
          <t xml:space="preserve">   Sam's Club U.S.</t>
        </is>
      </c>
      <c r="D31" s="515">
        <f>IFERROR(INDEX('Inputs (2)'!$D$58:$AL$58,MATCH(D$7,'Inputs (2)'!$D$2:$AL$2,0)),"")</f>
        <v>494</v>
      </c>
      <c r="E31" s="515">
        <f>IFERROR(INDEX('Inputs (2)'!$D$58:$AL$58,MATCH(E$7,'Inputs (2)'!$D$2:$AL$2,0)),"")</f>
        <v>592</v>
      </c>
      <c r="F31" s="515">
        <f>IFERROR(INDEX('Inputs (2)'!$D$58:$AL$58,MATCH(F$7,'Inputs (2)'!$D$2:$AL$2,0)),"")</f>
        <v>431</v>
      </c>
      <c r="G31" s="515">
        <f>IFERROR(INDEX('Inputs (2)'!$D$58:$AL$58,MATCH(G$7,'Inputs (2)'!$D$2:$AL$2,0)),"")</f>
        <v>389</v>
      </c>
      <c r="H31" s="516">
        <f>IF(COUNT(D31:G31)=4,SUM(D31:G31),"")</f>
        <v>1906</v>
      </c>
      <c r="I31" s="515">
        <f>IFERROR(INDEX('Inputs (2)'!$D$58:$AL$58,MATCH(I$7,'Inputs (2)'!$D$2:$AL$2,0)),"")</f>
        <v>575</v>
      </c>
      <c r="J31" s="515">
        <f>IFERROR(INDEX('Inputs (2)'!$D$58:$AL$58,MATCH(J$7,'Inputs (2)'!$D$2:$AL$2,0)),"")</f>
        <v>660</v>
      </c>
      <c r="K31" s="515">
        <f>IFERROR(INDEX('Inputs (2)'!$D$58:$AL$58,MATCH(K$7,'Inputs (2)'!$D$2:$AL$2,0)),"")</f>
        <v>475</v>
      </c>
      <c r="L31" s="515">
        <f>IFERROR(INDEX('Inputs (2)'!$D$58:$AL$58,MATCH(L$7,'Inputs (2)'!$D$2:$AL$2,0)),"")</f>
        <v>549</v>
      </c>
      <c r="M31" s="516">
        <f>IF(COUNT(I31:L31)=4,SUM(I31:L31),"")</f>
        <v>2259</v>
      </c>
      <c r="N31" s="515">
        <f>IFERROR(INDEX('Inputs (2)'!$D$58:$AL$58,MATCH(N$7,'Inputs (2)'!$D$2:$AL$2,0)),"")</f>
        <v>460</v>
      </c>
      <c r="O31" s="515">
        <f>IFERROR(INDEX('Inputs (2)'!$D$58:$AL$58,MATCH(O$7,'Inputs (2)'!$D$2:$AL$2,0)),"")</f>
        <v>427</v>
      </c>
      <c r="P31" s="515">
        <f>IFERROR(INDEX('Inputs (2)'!$D$58:$AL$58,MATCH(P$7,'Inputs (2)'!$D$2:$AL$2,0)),"")</f>
        <v>562</v>
      </c>
      <c r="Q31" s="515">
        <f>IFERROR(INDEX('Inputs (2)'!$D$58:$AL$58,MATCH(Q$7,'Inputs (2)'!$D$2:$AL$2,0)),"")</f>
        <v>515</v>
      </c>
      <c r="R31" s="516">
        <f>IF(COUNT(N31:Q31)=4,SUM(N31:Q31),"")</f>
        <v>1964</v>
      </c>
      <c r="S31" s="515">
        <f>IFERROR(INDEX('Inputs (2)'!$D$58:$AL$58,MATCH(S$7,'Inputs (2)'!$D$2:$AL$2,0)),"")</f>
        <v>458</v>
      </c>
      <c r="T31" s="515">
        <f>IFERROR(INDEX('Inputs (2)'!$D$58:$AL$58,MATCH(T$7,'Inputs (2)'!$D$2:$AL$2,0)),"")</f>
        <v>521</v>
      </c>
      <c r="U31" s="515">
        <f>IFERROR(INDEX('Inputs (2)'!$D$58:$AL$58,MATCH(U$7,'Inputs (2)'!$D$2:$AL$2,0)),"")</f>
        <v>593</v>
      </c>
      <c r="V31" s="515">
        <f>IFERROR(INDEX('Inputs (2)'!$D$58:$AL$58,MATCH(V$7,'Inputs (2)'!$D$2:$AL$2,0)),"")</f>
        <v>620</v>
      </c>
      <c r="W31" s="516">
        <f>IF(COUNT(S31:V31)=4,SUM(S31:V31),"")</f>
        <v>2192</v>
      </c>
      <c r="X31" s="515">
        <f>IFERROR(INDEX('Inputs (2)'!$D$58:$AL$58,MATCH(X$7,'Inputs (2)'!$D$2:$AL$2,0)),"")</f>
        <v>615</v>
      </c>
      <c r="Y31" s="515">
        <f>IFERROR(INDEX('Inputs (2)'!$D$58:$AL$58,MATCH(Y$7,'Inputs (2)'!$D$2:$AL$2,0)),"")</f>
        <v>581</v>
      </c>
      <c r="Z31" s="515">
        <f>IFERROR(INDEX('Inputs (2)'!$D$58:$AL$58,MATCH(Z$7,'Inputs (2)'!$D$2:$AL$2,0)),"")</f>
        <v>634</v>
      </c>
      <c r="AA31" s="515">
        <f>IFERROR(INDEX('Inputs (2)'!$D$58:$AL$58,MATCH(AA$7,'Inputs (2)'!$D$2:$AL$2,0)),"")</f>
        <v>574</v>
      </c>
      <c r="AB31" s="516">
        <f>IF(COUNT(X31:AA31)=4,SUM(X31:AA31),"")</f>
        <v>2404</v>
      </c>
      <c r="AC31" s="515">
        <f>IFERROR(INDEX('Inputs (2)'!$D$58:$AL$58,MATCH(AC$7,'Inputs (2)'!$D$2:$AL$2,0)),"")</f>
        <v>666</v>
      </c>
      <c r="AD31" s="515">
        <f>IFERROR(INDEX('Inputs (2)'!$D$58:$AL$58,MATCH(AD$7,'Inputs (2)'!$D$2:$AL$2,0)),"")</f>
        <v>470</v>
      </c>
      <c r="AE31" s="515">
        <f>IFERROR(INDEX('Inputs (2)'!$D$58:$AL$58,MATCH(AE$7,'Inputs (2)'!$D$2:$AL$2,0)),"")</f>
        <v>671</v>
      </c>
      <c r="AF31" s="515">
        <f>IFERROR(INDEX('Inputs (2)'!$D$58:$AL$58,MATCH(AF$7,'Inputs (2)'!$D$2:$AL$2,0)),"")</f>
        <v>596</v>
      </c>
      <c r="AG31" s="516">
        <f>IF(COUNT(AC31:AF31)=4,SUM(AC31:AF31),"")</f>
        <v>2403</v>
      </c>
      <c r="AH31" s="516">
        <f>IFERROR(INDEX('Inputs (2)'!$D$58:$AL$58,MATCH(AH$7,'Inputs (2)'!$D$2:$AL$2,0)),"")</f>
        <v>674</v>
      </c>
      <c r="AI31" s="516">
        <f>IFERROR(INDEX('Inputs (2)'!$D$58:$AL$58,MATCH(AI$7,'Inputs (2)'!$D$2:$AL$2,0)),"")</f>
        <v>678</v>
      </c>
    </row>
    <row r="32" s="255">
      <c r="C32" s="275" t="inlineStr">
        <is>
          <t xml:space="preserve">   Margem Walmart U.S.</t>
        </is>
      </c>
      <c r="D32" s="518">
        <f>IFERROR(D29/D19,"")</f>
        <v>0.0484770629796153</v>
      </c>
      <c r="E32" s="518">
        <f>IFERROR(E29/E19,"")</f>
        <v>0.054211959434832</v>
      </c>
      <c r="F32" s="518">
        <f>IFERROR(F29/F19,"")</f>
        <v>0.0519393795343678</v>
      </c>
      <c r="G32" s="518">
        <f>IFERROR(G29/G19,"")</f>
        <v>0.0518953657679369</v>
      </c>
      <c r="H32" s="519">
        <f>IFERROR(H29/H19,"")</f>
        <v>0.0516700318680517</v>
      </c>
      <c r="I32" s="518">
        <f>IFERROR(I29/I19,"")</f>
        <v>0.0585507744158339</v>
      </c>
      <c r="J32" s="518">
        <f>IFERROR(J29/J19,"")</f>
        <v>0.0620111618054424</v>
      </c>
      <c r="K32" s="518">
        <f>IFERROR(K29/K19,"")</f>
        <v>0.0503058721237152</v>
      </c>
      <c r="L32" s="518">
        <f>IFERROR(L29/L19,"")</f>
        <v>0.0492310907208465</v>
      </c>
      <c r="M32" s="519">
        <f>IFERROR(M29/M19,"")</f>
        <v>0.0548942522129857</v>
      </c>
      <c r="N32" s="518">
        <f>IFERROR(N29/N19,"")</f>
        <v>0.0460455708742673</v>
      </c>
      <c r="O32" s="518">
        <f>IFERROR(O29/O19,"")</f>
        <v>0.0540568819556739</v>
      </c>
      <c r="P32" s="518">
        <f>IFERROR(P29/P19,"")</f>
        <v>0.0486089238845144</v>
      </c>
      <c r="Q32" s="518">
        <f>IFERROR(Q29/Q19,"")</f>
        <v>0.047316781544521</v>
      </c>
      <c r="R32" s="519">
        <f>IFERROR(R29/R19,"")</f>
        <v>0.0490306810318795</v>
      </c>
      <c r="S32" s="518">
        <f>IFERROR(S29/S19,"")</f>
        <v>0.0479687394731523</v>
      </c>
      <c r="T32" s="518">
        <f>IFERROR(T29/T19,"")</f>
        <v>0.0551536254893824</v>
      </c>
      <c r="U32" s="518">
        <f>IFERROR(U29/U19,"")</f>
        <v>0.0455222584743052</v>
      </c>
      <c r="V32" s="518">
        <f>IFERROR(V29/V19,"")</f>
        <v>0.0516392815552137</v>
      </c>
      <c r="W32" s="519">
        <f>IFERROR(W29/W19,"")</f>
        <v>0.0501429324810951</v>
      </c>
      <c r="X32" s="518">
        <f>IFERROR(X29/X19,"")</f>
        <v>0.0490659795711788</v>
      </c>
      <c r="Y32" s="518">
        <f>IFERROR(Y29/Y19,"")</f>
        <v>0.0571406278446774</v>
      </c>
      <c r="Z32" s="518">
        <f>IFERROR(Z29/Z19,"")</f>
        <v>0.0473122959738847</v>
      </c>
      <c r="AA32" s="518">
        <f>IFERROR(AA29/AA19,"")</f>
        <v>0.0528160747391174</v>
      </c>
      <c r="AB32" s="519">
        <f>IFERROR(AB29/AB19,"")</f>
        <v>0.0516462484997243</v>
      </c>
      <c r="AC32" s="518">
        <f>IFERROR(AC29/AC19,"")</f>
        <v>0.0507832351131835</v>
      </c>
      <c r="AD32" s="518">
        <f>IFERROR(AD29/AD19,"")</f>
        <v>0.0556773163732001</v>
      </c>
      <c r="AE32" s="518">
        <f>IFERROR(AE29/AE19,"")</f>
        <v>0.0478960539617826</v>
      </c>
      <c r="AF32" s="518">
        <f>IFERROR(AF29/AF19,"")</f>
        <v>0.0538062109686356</v>
      </c>
      <c r="AG32" s="519">
        <f>IFERROR(AG29/AG19,"")</f>
        <v>0.0520958641751644</v>
      </c>
      <c r="AH32" s="519">
        <f>IFERROR(AH29/AH19,"")</f>
        <v>0.0503290119400183</v>
      </c>
      <c r="AI32" s="519">
        <f>IFERROR(AI29/AI19,"")</f>
        <v>0.0648619287637093</v>
      </c>
    </row>
    <row r="33" s="255">
      <c r="C33" s="275" t="inlineStr">
        <is>
          <t xml:space="preserve">   Margem Walmart International</t>
        </is>
      </c>
      <c r="D33" s="518">
        <f>IFERROR(D30/D20,"")</f>
        <v>0.027077874084526</v>
      </c>
      <c r="E33" s="518">
        <f>IFERROR(E30/E20,"")</f>
        <v>0.0298892038134501</v>
      </c>
      <c r="F33" s="518">
        <f>IFERROR(F30/F20,"")</f>
        <v>0.0364756039791568</v>
      </c>
      <c r="G33" s="518">
        <f>IFERROR(G30/G20,"")</f>
        <v>0.02764316233189</v>
      </c>
      <c r="H33" s="519">
        <f>IFERROR(H30/H20,"")</f>
        <v>0.0301582069874753</v>
      </c>
      <c r="I33" s="518">
        <f>IFERROR(I30/I20,"")</f>
        <v>0.0437362637362637</v>
      </c>
      <c r="J33" s="518">
        <f>IFERROR(J30/J20,"")</f>
        <v>0.0373779031907966</v>
      </c>
      <c r="K33" s="518">
        <f>IFERROR(K30/K20,"")</f>
        <v>0.0368646040546832</v>
      </c>
      <c r="L33" s="518">
        <f>IFERROR(L30/L20,"")</f>
        <v>0.0308182390635997</v>
      </c>
      <c r="M33" s="519">
        <f>IFERROR(M30/M20,"")</f>
        <v>0.0372230311314494</v>
      </c>
      <c r="N33" s="518">
        <f>IFERROR(N30/N20,"")</f>
        <v>0.0324874805369692</v>
      </c>
      <c r="O33" s="518">
        <f>IFERROR(O30/O20,"")</f>
        <v>0.0428336755646817</v>
      </c>
      <c r="P33" s="518">
        <f>IFERROR(P30/P20,"")</f>
        <v>0.0340383474995058</v>
      </c>
      <c r="Q33" s="518">
        <f>IFERROR(Q30/Q20,"")</f>
        <v>0.0104805077062557</v>
      </c>
      <c r="R33" s="519">
        <f>IFERROR(R30/R20,"")</f>
        <v>0.0293613776576255</v>
      </c>
      <c r="S33" s="518">
        <f>IFERROR(S30/S20,"")</f>
        <v>0.0437528191249436</v>
      </c>
      <c r="T33" s="518">
        <f>IFERROR(T30/T20,"")</f>
        <v>0.0431221916219742</v>
      </c>
      <c r="U33" s="518">
        <f>IFERROR(U30/U20,"")</f>
        <v>0.0398615373635001</v>
      </c>
      <c r="V33" s="518">
        <f>IFERROR(V30/V20,"")</f>
        <v>0.0443567044017397</v>
      </c>
      <c r="W33" s="519">
        <f>IFERROR(W30/W20,"")</f>
        <v>0.0428206313622526</v>
      </c>
      <c r="X33" s="518">
        <f>IFERROR(X30/X20,"")</f>
        <v>0.0513860490061341</v>
      </c>
      <c r="Y33" s="518">
        <f>IFERROR(Y30/Y20,"")</f>
        <v>0.0459972266378057</v>
      </c>
      <c r="Z33" s="518">
        <f>IFERROR(Z30/Z20,"")</f>
        <v>0.0397661591306933</v>
      </c>
      <c r="AA33" s="518">
        <f>IFERROR(AA30/AA20,"")</f>
        <v>0.043591654247392</v>
      </c>
      <c r="AB33" s="519">
        <f>IFERROR(AB30/AB20,"")</f>
        <v>0.0451327070599335</v>
      </c>
      <c r="AC33" s="518">
        <f>IFERROR(AC30/AC20,"")</f>
        <v>0.0434563420044364</v>
      </c>
      <c r="AD33" s="518">
        <f>IFERROR(AD30/AD20,"")</f>
        <v>0.0395500144226147</v>
      </c>
      <c r="AE33" s="518">
        <f>IFERROR(AE30/AE20,"")</f>
        <v>0.0209296085388033</v>
      </c>
      <c r="AF33" s="518">
        <f>IFERROR(AF30/AF20,"")</f>
        <v>0.0531633590335959</v>
      </c>
      <c r="AG33" s="519">
        <f>IFERROR(AG30/AG20,"")</f>
        <v>0.0394025593645293</v>
      </c>
      <c r="AH33" s="519">
        <f>IFERROR(AH30/AH20,"")</f>
        <v>0.0456280262033609</v>
      </c>
      <c r="AI33" s="519">
        <f>IFERROR(AI30/AI20,"")</f>
        <v>0.0408830047161771</v>
      </c>
    </row>
    <row r="34" s="255">
      <c r="C34" s="275" t="inlineStr">
        <is>
          <t xml:space="preserve">   Margem Sam's Club U.S.</t>
        </is>
      </c>
      <c r="D34" s="518">
        <f>IFERROR(D31/D21,"")</f>
        <v>0.0325793048868957</v>
      </c>
      <c r="E34" s="518">
        <f>IFERROR(E31/E21,"")</f>
        <v>0.0361526717557252</v>
      </c>
      <c r="F34" s="518">
        <f>IFERROR(F31/F21,"")</f>
        <v>0.0272010097822657</v>
      </c>
      <c r="G34" s="518">
        <f>IFERROR(G31/G21,"")</f>
        <v>0.0235372420887033</v>
      </c>
      <c r="H34" s="519">
        <f>IFERROR(H31/H21,"")</f>
        <v>0.0298231888593334</v>
      </c>
      <c r="I34" s="518">
        <f>IFERROR(I31/I21,"")</f>
        <v>0.0344476395878265</v>
      </c>
      <c r="J34" s="518">
        <f>IFERROR(J31/J21,"")</f>
        <v>0.0354001287277408</v>
      </c>
      <c r="K34" s="518">
        <f>IFERROR(K31/K21,"")</f>
        <v>0.0250382162247641</v>
      </c>
      <c r="L34" s="518">
        <f>IFERROR(L31/L21,"")</f>
        <v>0.0285209621279027</v>
      </c>
      <c r="M34" s="519">
        <f>IFERROR(M31/M21,"")</f>
        <v>0.0307112947958018</v>
      </c>
      <c r="N34" s="518">
        <f>IFERROR(N31/N21,"")</f>
        <v>0.0234442688955711</v>
      </c>
      <c r="O34" s="518">
        <f>IFERROR(O31/O21,"")</f>
        <v>0.0194968266289211</v>
      </c>
      <c r="P34" s="518">
        <f>IFERROR(P31/P21,"")</f>
        <v>0.0262629094817515</v>
      </c>
      <c r="Q34" s="518">
        <f>IFERROR(Q31/Q21,"")</f>
        <v>0.0240384615384615</v>
      </c>
      <c r="R34" s="519">
        <f>IFERROR(R31/R21,"")</f>
        <v>0.0232853162605964</v>
      </c>
      <c r="S34" s="518">
        <f>IFERROR(S31/S21,"")</f>
        <v>0.0223425532952827</v>
      </c>
      <c r="T34" s="518">
        <f>IFERROR(T31/T21,"")</f>
        <v>0.0238662391204764</v>
      </c>
      <c r="U34" s="518">
        <f>IFERROR(U31/U21,"")</f>
        <v>0.0269569960905537</v>
      </c>
      <c r="V34" s="518">
        <f>IFERROR(V31/V21,"")</f>
        <v>0.0283726889987187</v>
      </c>
      <c r="W34" s="519">
        <f>IFERROR(W31/W21,"")</f>
        <v>0.025435430905441</v>
      </c>
      <c r="X34" s="518">
        <f>IFERROR(X31/X21,"")</f>
        <v>0.0286913925822253</v>
      </c>
      <c r="Y34" s="518">
        <f>IFERROR(Y31/Y21,"")</f>
        <v>0.0254233579836345</v>
      </c>
      <c r="Z34" s="518">
        <f>IFERROR(Z31/Z21,"")</f>
        <v>0.0277449564570478</v>
      </c>
      <c r="AA34" s="518">
        <f>IFERROR(AA31/AA21,"")</f>
        <v>0.0248495605870384</v>
      </c>
      <c r="AB34" s="519">
        <f>IFERROR(AB31/AB21,"")</f>
        <v>0.0266406613621756</v>
      </c>
      <c r="AC34" s="518">
        <f>IFERROR(AC31/AC21,"")</f>
        <v>0.0301849166062364</v>
      </c>
      <c r="AD34" s="518">
        <f>IFERROR(AD31/AD21,"")</f>
        <v>0.0198832388526948</v>
      </c>
      <c r="AE34" s="518">
        <f>IFERROR(AE31/AE21,"")</f>
        <v>0.0284925690021231</v>
      </c>
      <c r="AF34" s="518">
        <f>IFERROR(AF31/AF21,"")</f>
        <v>0.0250810082901991</v>
      </c>
      <c r="AG34" s="519">
        <f>IFERROR(AG31/AG21,"")</f>
        <v>0.0258345428156749</v>
      </c>
      <c r="AH34" s="519">
        <f>IFERROR(AH31/AH21,"")</f>
        <v>0.028797265541551</v>
      </c>
      <c r="AI34" s="519">
        <f>IFERROR(AI31/AI21,"")</f>
        <v>0.02636798506592</v>
      </c>
    </row>
    <row r="35" s="255"/>
    <row r="36" s="255">
      <c r="C36" s="289" t="inlineStr">
        <is>
          <t>Outras aberturas (USD milhões)</t>
        </is>
      </c>
      <c r="D36" s="289" t="str">
        <f>D7</f>
        <v>1Q20</v>
      </c>
      <c r="E36" s="289" t="str">
        <f>E7</f>
        <v>2Q20</v>
      </c>
      <c r="F36" s="289" t="str">
        <f>F7</f>
        <v>3Q20</v>
      </c>
      <c r="G36" s="289" t="str">
        <f>G7</f>
        <v>4Q20</v>
      </c>
      <c r="H36" s="289">
        <f>H7</f>
        <v>2020</v>
      </c>
      <c r="I36" s="289" t="str">
        <f>I7</f>
        <v>1Q21</v>
      </c>
      <c r="J36" s="289" t="str">
        <f>J7</f>
        <v>2Q21</v>
      </c>
      <c r="K36" s="289" t="str">
        <f>K7</f>
        <v>3Q21</v>
      </c>
      <c r="L36" s="289" t="str">
        <f>L7</f>
        <v>4Q21</v>
      </c>
      <c r="M36" s="289">
        <f>M7</f>
        <v>2021</v>
      </c>
      <c r="N36" s="289" t="str">
        <f>N7</f>
        <v>1Q22</v>
      </c>
      <c r="O36" s="289" t="str">
        <f>O7</f>
        <v>2Q22</v>
      </c>
      <c r="P36" s="289" t="str">
        <f>P7</f>
        <v>3Q22</v>
      </c>
      <c r="Q36" s="289" t="str">
        <f>Q7</f>
        <v>4Q22</v>
      </c>
      <c r="R36" s="289">
        <f>R7</f>
        <v>2022</v>
      </c>
      <c r="S36" s="289" t="str">
        <f>S7</f>
        <v>1Q23</v>
      </c>
      <c r="T36" s="289" t="str">
        <f>T7</f>
        <v>2Q23</v>
      </c>
      <c r="U36" s="289" t="str">
        <f>U7</f>
        <v>3Q23</v>
      </c>
      <c r="V36" s="289" t="str">
        <f>V7</f>
        <v>4Q23</v>
      </c>
      <c r="W36" s="289">
        <f>W7</f>
        <v>2023</v>
      </c>
      <c r="X36" s="289" t="str">
        <f>X7</f>
        <v>1Q24</v>
      </c>
      <c r="Y36" s="289" t="str">
        <f>Y7</f>
        <v>2Q24</v>
      </c>
      <c r="Z36" s="289" t="str">
        <f>Z7</f>
        <v>3Q24</v>
      </c>
      <c r="AA36" s="289" t="str">
        <f>AA7</f>
        <v>4Q24</v>
      </c>
      <c r="AB36" s="289">
        <f>AB7</f>
        <v>2024</v>
      </c>
      <c r="AC36" s="289" t="str">
        <f>AC7</f>
        <v>1Q25</v>
      </c>
      <c r="AD36" s="289" t="str">
        <f>AD7</f>
        <v>2Q25</v>
      </c>
      <c r="AE36" s="289" t="str">
        <f>AE7</f>
        <v>3Q25</v>
      </c>
      <c r="AF36" s="289" t="str">
        <f>AF7</f>
        <v>4Q25</v>
      </c>
      <c r="AG36" s="289">
        <f>AG7</f>
        <v>2025</v>
      </c>
      <c r="AH36" s="289" t="str">
        <f>AH7</f>
        <v>1Q26</v>
      </c>
      <c r="AI36" s="289" t="str">
        <f>AI7</f>
        <v>2Q26</v>
      </c>
    </row>
    <row r="37" s="255">
      <c r="C37" s="275" t="inlineStr">
        <is>
          <t xml:space="preserve">   Walmart U.S. - Grocery</t>
        </is>
      </c>
      <c r="D37" s="515">
        <f>IFERROR(INDEX('Inputs (2)'!$D$59:$AL$59,MATCH(D$7,'Inputs (2)'!$D$2:$AL$2,0)),"")</f>
        <v>52921</v>
      </c>
      <c r="E37" s="515">
        <f>IFERROR(INDEX('Inputs (2)'!$D$59:$AL$59,MATCH(E$7,'Inputs (2)'!$D$2:$AL$2,0)),"")</f>
        <v>51545</v>
      </c>
      <c r="F37" s="515">
        <f>IFERROR(INDEX('Inputs (2)'!$D$59:$AL$59,MATCH(F$7,'Inputs (2)'!$D$2:$AL$2,0)),"")</f>
        <v>50683</v>
      </c>
      <c r="G37" s="515">
        <f>IFERROR(INDEX('Inputs (2)'!$D$59:$AL$59,MATCH(G$7,'Inputs (2)'!$D$2:$AL$2,0)),"")</f>
        <v>53264</v>
      </c>
      <c r="H37" s="516">
        <f>IF(COUNT(D37:G37)=4,SUM(D37:G37),"")</f>
        <v>208413</v>
      </c>
      <c r="I37" s="515">
        <f>IFERROR(INDEX('Inputs (2)'!$D$59:$AL$59,MATCH(I$7,'Inputs (2)'!$D$2:$AL$2,0)),"")</f>
        <v>51391</v>
      </c>
      <c r="J37" s="515">
        <f>IFERROR(INDEX('Inputs (2)'!$D$59:$AL$59,MATCH(J$7,'Inputs (2)'!$D$2:$AL$2,0)),"")</f>
        <v>54649</v>
      </c>
      <c r="K37" s="515">
        <f>IFERROR(INDEX('Inputs (2)'!$D$59:$AL$59,MATCH(K$7,'Inputs (2)'!$D$2:$AL$2,0)),"")</f>
        <v>55560</v>
      </c>
      <c r="L37" s="515">
        <f>IFERROR(INDEX('Inputs (2)'!$D$59:$AL$59,MATCH(L$7,'Inputs (2)'!$D$2:$AL$2,0)),"")</f>
        <v>57344</v>
      </c>
      <c r="M37" s="516">
        <f>IF(COUNT(I37:L37)=4,SUM(I37:L37),"")</f>
        <v>218944</v>
      </c>
      <c r="N37" s="515">
        <f>IFERROR(INDEX('Inputs (2)'!$D$59:$AL$59,MATCH(N$7,'Inputs (2)'!$D$2:$AL$2,0)),"")</f>
        <v>56764</v>
      </c>
      <c r="O37" s="515">
        <f>IFERROR(INDEX('Inputs (2)'!$D$59:$AL$59,MATCH(O$7,'Inputs (2)'!$D$2:$AL$2,0)),"")</f>
        <v>61469</v>
      </c>
      <c r="P37" s="515">
        <f>IFERROR(INDEX('Inputs (2)'!$D$59:$AL$59,MATCH(P$7,'Inputs (2)'!$D$2:$AL$2,0)),"")</f>
        <v>63231</v>
      </c>
      <c r="Q37" s="515">
        <f>IFERROR(INDEX('Inputs (2)'!$D$59:$AL$59,MATCH(Q$7,'Inputs (2)'!$D$2:$AL$2,0)),"")</f>
        <v>65835</v>
      </c>
      <c r="R37" s="516">
        <f>IF(COUNT(N37:Q37)=4,SUM(N37:Q37),"")</f>
        <v>247299</v>
      </c>
      <c r="S37" s="515">
        <f>IFERROR(INDEX('Inputs (2)'!$D$59:$AL$59,MATCH(S$7,'Inputs (2)'!$D$2:$AL$2,0)),"")</f>
        <v>63407</v>
      </c>
      <c r="T37" s="515">
        <f>IFERROR(INDEX('Inputs (2)'!$D$59:$AL$59,MATCH(T$7,'Inputs (2)'!$D$2:$AL$2,0)),"")</f>
        <v>66240</v>
      </c>
      <c r="U37" s="515">
        <f>IFERROR(INDEX('Inputs (2)'!$D$59:$AL$59,MATCH(U$7,'Inputs (2)'!$D$2:$AL$2,0)),"")</f>
        <v>66289</v>
      </c>
      <c r="V37" s="515">
        <f>IFERROR(INDEX('Inputs (2)'!$D$59:$AL$59,MATCH(V$7,'Inputs (2)'!$D$2:$AL$2,0)),"")</f>
        <v>68274</v>
      </c>
      <c r="W37" s="516">
        <f>IF(COUNT(S37:V37)=4,SUM(S37:V37),"")</f>
        <v>264210</v>
      </c>
      <c r="X37" s="515">
        <f>IFERROR(INDEX('Inputs (2)'!$D$59:$AL$59,MATCH(X$7,'Inputs (2)'!$D$2:$AL$2,0)),"")</f>
        <v>66431</v>
      </c>
      <c r="Y37" s="515">
        <f>IFERROR(INDEX('Inputs (2)'!$D$59:$AL$59,MATCH(Y$7,'Inputs (2)'!$D$2:$AL$2,0)),"")</f>
        <v>68680</v>
      </c>
      <c r="Z37" s="515">
        <f>IFERROR(INDEX('Inputs (2)'!$D$59:$AL$59,MATCH(Z$7,'Inputs (2)'!$D$2:$AL$2,0)),"")</f>
        <v>69344</v>
      </c>
      <c r="AA37" s="515">
        <f>IFERROR(INDEX('Inputs (2)'!$D$59:$AL$59,MATCH(AA$7,'Inputs (2)'!$D$2:$AL$2,0)),"")</f>
        <v>71548</v>
      </c>
      <c r="AB37" s="516">
        <f>IF(COUNT(X37:AA37)=4,SUM(X37:AA37),"")</f>
        <v>276003</v>
      </c>
      <c r="AC37" s="515">
        <f>IFERROR(INDEX('Inputs (2)'!$D$59:$AL$59,MATCH(AC$7,'Inputs (2)'!$D$2:$AL$2,0)),"")</f>
        <v>67831</v>
      </c>
      <c r="AD37" s="515">
        <f>IFERROR(INDEX('Inputs (2)'!$D$59:$AL$59,MATCH(AD$7,'Inputs (2)'!$D$2:$AL$2,0)),"")</f>
        <v>71092</v>
      </c>
      <c r="AE37" s="515">
        <f>IFERROR(INDEX('Inputs (2)'!$D$59:$AL$59,MATCH(AE$7,'Inputs (2)'!$D$2:$AL$2,0)),"")</f>
        <v>71713</v>
      </c>
      <c r="AF37" s="515">
        <f>IFERROR(INDEX('Inputs (2)'!$D$59:$AL$59,MATCH(AF$7,'Inputs (2)'!$D$2:$AL$2,0)),"")</f>
        <v>74846</v>
      </c>
      <c r="AG37" s="516">
        <f>IF(COUNT(AC37:AF37)=4,SUM(AC37:AF37),"")</f>
        <v>285482</v>
      </c>
      <c r="AH37" s="516">
        <f>IFERROR(INDEX('Inputs (2)'!$D$59:$AL$59,MATCH(AH$7,'Inputs (2)'!$D$2:$AL$2,0)),"")</f>
        <v>70696</v>
      </c>
      <c r="AI37" s="516">
        <f>IFERROR(INDEX('Inputs (2)'!$D$59:$AL$59,MATCH(AI$7,'Inputs (2)'!$D$2:$AL$2,0)),"")</f>
        <v>74130</v>
      </c>
    </row>
    <row r="38" s="255">
      <c r="C38" s="275" t="inlineStr">
        <is>
          <t xml:space="preserve">   Walmart U.S. - General merchandise</t>
        </is>
      </c>
      <c r="D38" s="515">
        <f>IFERROR(INDEX('Inputs (2)'!$D$60:$AL$60,MATCH(D$7,'Inputs (2)'!$D$2:$AL$2,0)),"")</f>
        <v>25466</v>
      </c>
      <c r="E38" s="515">
        <f>IFERROR(INDEX('Inputs (2)'!$D$60:$AL$60,MATCH(E$7,'Inputs (2)'!$D$2:$AL$2,0)),"")</f>
        <v>31682</v>
      </c>
      <c r="F38" s="515">
        <f>IFERROR(INDEX('Inputs (2)'!$D$60:$AL$60,MATCH(F$7,'Inputs (2)'!$D$2:$AL$2,0)),"")</f>
        <v>26927</v>
      </c>
      <c r="G38" s="515">
        <f>IFERROR(INDEX('Inputs (2)'!$D$60:$AL$60,MATCH(G$7,'Inputs (2)'!$D$2:$AL$2,0)),"")</f>
        <v>35331</v>
      </c>
      <c r="H38" s="516">
        <f>IF(COUNT(D38:G38)=4,SUM(D38:G38),"")</f>
        <v>119406</v>
      </c>
      <c r="I38" s="515">
        <f>IFERROR(INDEX('Inputs (2)'!$D$60:$AL$60,MATCH(I$7,'Inputs (2)'!$D$2:$AL$2,0)),"")</f>
        <v>30607</v>
      </c>
      <c r="J38" s="515">
        <f>IFERROR(INDEX('Inputs (2)'!$D$60:$AL$60,MATCH(J$7,'Inputs (2)'!$D$2:$AL$2,0)),"")</f>
        <v>31707</v>
      </c>
      <c r="K38" s="515">
        <f>IFERROR(INDEX('Inputs (2)'!$D$60:$AL$60,MATCH(K$7,'Inputs (2)'!$D$2:$AL$2,0)),"")</f>
        <v>28544</v>
      </c>
      <c r="L38" s="515">
        <f>IFERROR(INDEX('Inputs (2)'!$D$60:$AL$60,MATCH(L$7,'Inputs (2)'!$D$2:$AL$2,0)),"")</f>
        <v>35018</v>
      </c>
      <c r="M38" s="516">
        <f>IF(COUNT(I38:L38)=4,SUM(I38:L38),"")</f>
        <v>125876</v>
      </c>
      <c r="N38" s="515">
        <f>IFERROR(INDEX('Inputs (2)'!$D$60:$AL$60,MATCH(N$7,'Inputs (2)'!$D$2:$AL$2,0)),"")</f>
        <v>27379</v>
      </c>
      <c r="O38" s="515">
        <f>IFERROR(INDEX('Inputs (2)'!$D$60:$AL$60,MATCH(O$7,'Inputs (2)'!$D$2:$AL$2,0)),"")</f>
        <v>30073</v>
      </c>
      <c r="P38" s="515">
        <f>IFERROR(INDEX('Inputs (2)'!$D$60:$AL$60,MATCH(P$7,'Inputs (2)'!$D$2:$AL$2,0)),"")</f>
        <v>27605</v>
      </c>
      <c r="Q38" s="515">
        <f>IFERROR(INDEX('Inputs (2)'!$D$60:$AL$60,MATCH(Q$7,'Inputs (2)'!$D$2:$AL$2,0)),"")</f>
        <v>33540</v>
      </c>
      <c r="R38" s="516">
        <f>IF(COUNT(N38:Q38)=4,SUM(N38:Q38),"")</f>
        <v>118597</v>
      </c>
      <c r="S38" s="515">
        <f>IFERROR(INDEX('Inputs (2)'!$D$60:$AL$60,MATCH(S$7,'Inputs (2)'!$D$2:$AL$2,0)),"")</f>
        <v>25765</v>
      </c>
      <c r="T38" s="515">
        <f>IFERROR(INDEX('Inputs (2)'!$D$60:$AL$60,MATCH(T$7,'Inputs (2)'!$D$2:$AL$2,0)),"")</f>
        <v>29076</v>
      </c>
      <c r="U38" s="515">
        <f>IFERROR(INDEX('Inputs (2)'!$D$60:$AL$60,MATCH(U$7,'Inputs (2)'!$D$2:$AL$2,0)),"")</f>
        <v>26579</v>
      </c>
      <c r="V38" s="515">
        <f>IFERROR(INDEX('Inputs (2)'!$D$60:$AL$60,MATCH(V$7,'Inputs (2)'!$D$2:$AL$2,0)),"")</f>
        <v>32565</v>
      </c>
      <c r="W38" s="516">
        <f>IF(COUNT(S38:V38)=4,SUM(S38:V38),"")</f>
        <v>113985</v>
      </c>
      <c r="X38" s="515">
        <f>IFERROR(INDEX('Inputs (2)'!$D$60:$AL$60,MATCH(X$7,'Inputs (2)'!$D$2:$AL$2,0)),"")</f>
        <v>25711</v>
      </c>
      <c r="Y38" s="515">
        <f>IFERROR(INDEX('Inputs (2)'!$D$60:$AL$60,MATCH(Y$7,'Inputs (2)'!$D$2:$AL$2,0)),"")</f>
        <v>28980</v>
      </c>
      <c r="Z38" s="515">
        <f>IFERROR(INDEX('Inputs (2)'!$D$60:$AL$60,MATCH(Z$7,'Inputs (2)'!$D$2:$AL$2,0)),"")</f>
        <v>26621</v>
      </c>
      <c r="AA38" s="515">
        <f>IFERROR(INDEX('Inputs (2)'!$D$60:$AL$60,MATCH(AA$7,'Inputs (2)'!$D$2:$AL$2,0)),"")</f>
        <v>32609</v>
      </c>
      <c r="AB38" s="516">
        <f>IF(COUNT(X38:AA38)=4,SUM(X38:AA38),"")</f>
        <v>113921</v>
      </c>
      <c r="AC38" s="515">
        <f>IFERROR(INDEX('Inputs (2)'!$D$60:$AL$60,MATCH(AC$7,'Inputs (2)'!$D$2:$AL$2,0)),"")</f>
        <v>25276</v>
      </c>
      <c r="AD38" s="515">
        <f>IFERROR(INDEX('Inputs (2)'!$D$60:$AL$60,MATCH(AD$7,'Inputs (2)'!$D$2:$AL$2,0)),"")</f>
        <v>29458</v>
      </c>
      <c r="AE38" s="515">
        <f>IFERROR(INDEX('Inputs (2)'!$D$60:$AL$60,MATCH(AE$7,'Inputs (2)'!$D$2:$AL$2,0)),"")</f>
        <v>27366</v>
      </c>
      <c r="AF38" s="515">
        <f>IFERROR(INDEX('Inputs (2)'!$D$60:$AL$60,MATCH(AF$7,'Inputs (2)'!$D$2:$AL$2,0)),"")</f>
        <v>32960</v>
      </c>
      <c r="AG38" s="516">
        <f>IF(COUNT(AC38:AF38)=4,SUM(AC38:AF38),"")</f>
        <v>115060</v>
      </c>
      <c r="AH38" s="516">
        <f>IFERROR(INDEX('Inputs (2)'!$D$60:$AL$60,MATCH(AH$7,'Inputs (2)'!$D$2:$AL$2,0)),"")</f>
        <v>26420</v>
      </c>
      <c r="AI38" s="516">
        <f>IFERROR(INDEX('Inputs (2)'!$D$60:$AL$60,MATCH(AI$7,'Inputs (2)'!$D$2:$AL$2,0)),"")</f>
        <v>29728</v>
      </c>
    </row>
    <row r="39" s="255">
      <c r="C39" s="275" t="inlineStr">
        <is>
          <t xml:space="preserve">   Walmart U.S. - Health and wellness</t>
        </is>
      </c>
      <c r="D39" s="515">
        <f>IFERROR(INDEX('Inputs (2)'!$D$61:$AL$61,MATCH(D$7,'Inputs (2)'!$D$2:$AL$2,0)),"")</f>
        <v>9600</v>
      </c>
      <c r="E39" s="515">
        <f>IFERROR(INDEX('Inputs (2)'!$D$61:$AL$61,MATCH(E$7,'Inputs (2)'!$D$2:$AL$2,0)),"")</f>
        <v>9154</v>
      </c>
      <c r="F39" s="515">
        <f>IFERROR(INDEX('Inputs (2)'!$D$61:$AL$61,MATCH(F$7,'Inputs (2)'!$D$2:$AL$2,0)),"")</f>
        <v>9806</v>
      </c>
      <c r="G39" s="515">
        <f>IFERROR(INDEX('Inputs (2)'!$D$61:$AL$61,MATCH(G$7,'Inputs (2)'!$D$2:$AL$2,0)),"")</f>
        <v>9962</v>
      </c>
      <c r="H39" s="516">
        <f>IF(COUNT(D39:G39)=4,SUM(D39:G39),"")</f>
        <v>38522</v>
      </c>
      <c r="I39" s="515">
        <f>IFERROR(INDEX('Inputs (2)'!$D$61:$AL$61,MATCH(I$7,'Inputs (2)'!$D$2:$AL$2,0)),"")</f>
        <v>9970</v>
      </c>
      <c r="J39" s="515">
        <f>IFERROR(INDEX('Inputs (2)'!$D$61:$AL$61,MATCH(J$7,'Inputs (2)'!$D$2:$AL$2,0)),"")</f>
        <v>10480</v>
      </c>
      <c r="K39" s="515">
        <f>IFERROR(INDEX('Inputs (2)'!$D$61:$AL$61,MATCH(K$7,'Inputs (2)'!$D$2:$AL$2,0)),"")</f>
        <v>11030</v>
      </c>
      <c r="L39" s="515">
        <f>IFERROR(INDEX('Inputs (2)'!$D$61:$AL$61,MATCH(L$7,'Inputs (2)'!$D$2:$AL$2,0)),"")</f>
        <v>11359</v>
      </c>
      <c r="M39" s="516">
        <f>IF(COUNT(I39:L39)=4,SUM(I39:L39),"")</f>
        <v>42839</v>
      </c>
      <c r="N39" s="515">
        <f>IFERROR(INDEX('Inputs (2)'!$D$61:$AL$61,MATCH(N$7,'Inputs (2)'!$D$2:$AL$2,0)),"")</f>
        <v>10894</v>
      </c>
      <c r="O39" s="515">
        <f>IFERROR(INDEX('Inputs (2)'!$D$61:$AL$61,MATCH(O$7,'Inputs (2)'!$D$2:$AL$2,0)),"")</f>
        <v>11331</v>
      </c>
      <c r="P39" s="515">
        <f>IFERROR(INDEX('Inputs (2)'!$D$61:$AL$61,MATCH(P$7,'Inputs (2)'!$D$2:$AL$2,0)),"")</f>
        <v>11947</v>
      </c>
      <c r="Q39" s="515">
        <f>IFERROR(INDEX('Inputs (2)'!$D$61:$AL$61,MATCH(Q$7,'Inputs (2)'!$D$2:$AL$2,0)),"")</f>
        <v>12419</v>
      </c>
      <c r="R39" s="516">
        <f>IF(COUNT(N39:Q39)=4,SUM(N39:Q39),"")</f>
        <v>46591</v>
      </c>
      <c r="S39" s="515">
        <f>IFERROR(INDEX('Inputs (2)'!$D$61:$AL$61,MATCH(S$7,'Inputs (2)'!$D$2:$AL$2,0)),"")</f>
        <v>12848</v>
      </c>
      <c r="T39" s="515">
        <f>IFERROR(INDEX('Inputs (2)'!$D$61:$AL$61,MATCH(T$7,'Inputs (2)'!$D$2:$AL$2,0)),"")</f>
        <v>13374</v>
      </c>
      <c r="U39" s="515">
        <f>IFERROR(INDEX('Inputs (2)'!$D$61:$AL$61,MATCH(U$7,'Inputs (2)'!$D$2:$AL$2,0)),"")</f>
        <v>14173</v>
      </c>
      <c r="V39" s="515">
        <f>IFERROR(INDEX('Inputs (2)'!$D$61:$AL$61,MATCH(V$7,'Inputs (2)'!$D$2:$AL$2,0)),"")</f>
        <v>14503</v>
      </c>
      <c r="W39" s="516">
        <f>IF(COUNT(S39:V39)=4,SUM(S39:V39),"")</f>
        <v>54898</v>
      </c>
      <c r="X39" s="515">
        <f>IFERROR(INDEX('Inputs (2)'!$D$61:$AL$61,MATCH(X$7,'Inputs (2)'!$D$2:$AL$2,0)),"")</f>
        <v>14249</v>
      </c>
      <c r="Y39" s="515">
        <f>IFERROR(INDEX('Inputs (2)'!$D$61:$AL$61,MATCH(Y$7,'Inputs (2)'!$D$2:$AL$2,0)),"")</f>
        <v>15030</v>
      </c>
      <c r="Z39" s="515">
        <f>IFERROR(INDEX('Inputs (2)'!$D$61:$AL$61,MATCH(Z$7,'Inputs (2)'!$D$2:$AL$2,0)),"")</f>
        <v>16360</v>
      </c>
      <c r="AA39" s="515">
        <f>IFERROR(INDEX('Inputs (2)'!$D$61:$AL$61,MATCH(AA$7,'Inputs (2)'!$D$2:$AL$2,0)),"")</f>
        <v>16453</v>
      </c>
      <c r="AB39" s="516">
        <f>IF(COUNT(X39:AA39)=4,SUM(X39:AA39),"")</f>
        <v>62092</v>
      </c>
      <c r="AC39" s="515">
        <f>IFERROR(INDEX('Inputs (2)'!$D$61:$AL$61,MATCH(AC$7,'Inputs (2)'!$D$2:$AL$2,0)),"")</f>
        <v>16244</v>
      </c>
      <c r="AD39" s="515">
        <f>IFERROR(INDEX('Inputs (2)'!$D$61:$AL$61,MATCH(AD$7,'Inputs (2)'!$D$2:$AL$2,0)),"")</f>
        <v>17248</v>
      </c>
      <c r="AE39" s="515">
        <f>IFERROR(INDEX('Inputs (2)'!$D$61:$AL$61,MATCH(AE$7,'Inputs (2)'!$D$2:$AL$2,0)),"")</f>
        <v>18379</v>
      </c>
      <c r="AF39" s="515">
        <f>IFERROR(INDEX('Inputs (2)'!$D$61:$AL$61,MATCH(AF$7,'Inputs (2)'!$D$2:$AL$2,0)),"")</f>
        <v>17676</v>
      </c>
      <c r="AG39" s="516">
        <f>IF(COUNT(AC39:AF39)=4,SUM(AC39:AF39),"")</f>
        <v>69547</v>
      </c>
      <c r="AH39" s="516">
        <f>IFERROR(INDEX('Inputs (2)'!$D$61:$AL$61,MATCH(AH$7,'Inputs (2)'!$D$2:$AL$2,0)),"")</f>
        <v>16355</v>
      </c>
      <c r="AI39" s="516">
        <f>IFERROR(INDEX('Inputs (2)'!$D$61:$AL$61,MATCH(AI$7,'Inputs (2)'!$D$2:$AL$2,0)),"")</f>
        <v>16942</v>
      </c>
    </row>
    <row r="40" s="255">
      <c r="C40" s="275" t="inlineStr">
        <is>
          <t xml:space="preserve">   Walmart U.S. - eCommerce</t>
        </is>
      </c>
      <c r="D40" s="515">
        <f>IFERROR(INDEX('Inputs (2)'!$D$62:$AL$62,MATCH(D$7,'Inputs (2)'!$D$2:$AL$2,0)),"")</f>
        <v>8300</v>
      </c>
      <c r="E40" s="515">
        <f>IFERROR(INDEX('Inputs (2)'!$D$62:$AL$62,MATCH(E$7,'Inputs (2)'!$D$2:$AL$2,0)),"")</f>
        <v>10500</v>
      </c>
      <c r="F40" s="515">
        <f>IFERROR(INDEX('Inputs (2)'!$D$62:$AL$62,MATCH(F$7,'Inputs (2)'!$D$2:$AL$2,0)),"")</f>
        <v>10300</v>
      </c>
      <c r="G40" s="515">
        <f>IFERROR(INDEX('Inputs (2)'!$D$62:$AL$62,MATCH(G$7,'Inputs (2)'!$D$2:$AL$2,0)),"")</f>
        <v>13900</v>
      </c>
      <c r="H40" s="516">
        <f>IF(COUNT(D40:G40)=4,SUM(D40:G40),"")</f>
        <v>43000</v>
      </c>
      <c r="I40" s="515">
        <f>IFERROR(INDEX('Inputs (2)'!$D$62:$AL$62,MATCH(I$7,'Inputs (2)'!$D$2:$AL$2,0)),"")</f>
        <v>11300</v>
      </c>
      <c r="J40" s="515">
        <f>IFERROR(INDEX('Inputs (2)'!$D$62:$AL$62,MATCH(J$7,'Inputs (2)'!$D$2:$AL$2,0)),"")</f>
        <v>11200</v>
      </c>
      <c r="K40" s="515">
        <f>IFERROR(INDEX('Inputs (2)'!$D$62:$AL$62,MATCH(K$7,'Inputs (2)'!$D$2:$AL$2,0)),"")</f>
        <v>11100</v>
      </c>
      <c r="L40" s="515">
        <f>IFERROR(INDEX('Inputs (2)'!$D$62:$AL$62,MATCH(L$7,'Inputs (2)'!$D$2:$AL$2,0)),"")</f>
        <v>14200</v>
      </c>
      <c r="M40" s="516">
        <f>IF(COUNT(I40:L40)=4,SUM(I40:L40),"")</f>
        <v>47800</v>
      </c>
      <c r="N40" s="515">
        <f>IFERROR(INDEX('Inputs (2)'!$D$62:$AL$62,MATCH(N$7,'Inputs (2)'!$D$2:$AL$2,0)),"")</f>
        <v>11400</v>
      </c>
      <c r="O40" s="515">
        <f>IFERROR(INDEX('Inputs (2)'!$D$62:$AL$62,MATCH(O$7,'Inputs (2)'!$D$2:$AL$2,0)),"")</f>
        <v>12500</v>
      </c>
      <c r="P40" s="515">
        <f>IFERROR(INDEX('Inputs (2)'!$D$62:$AL$62,MATCH(P$7,'Inputs (2)'!$D$2:$AL$2,0)),"")</f>
        <v>12900</v>
      </c>
      <c r="Q40" s="515">
        <f>IFERROR(INDEX('Inputs (2)'!$D$62:$AL$62,MATCH(Q$7,'Inputs (2)'!$D$2:$AL$2,0)),"")</f>
        <v>16500</v>
      </c>
      <c r="R40" s="516">
        <f>IF(COUNT(N40:Q40)=4,SUM(N40:Q40),"")</f>
        <v>53300</v>
      </c>
      <c r="S40" s="515">
        <f>IFERROR(INDEX('Inputs (2)'!$D$62:$AL$62,MATCH(S$7,'Inputs (2)'!$D$2:$AL$2,0)),"")</f>
        <v>14500</v>
      </c>
      <c r="T40" s="515">
        <f>IFERROR(INDEX('Inputs (2)'!$D$62:$AL$62,MATCH(T$7,'Inputs (2)'!$D$2:$AL$2,0)),"")</f>
        <v>15500</v>
      </c>
      <c r="U40" s="515">
        <f>IFERROR(INDEX('Inputs (2)'!$D$62:$AL$62,MATCH(U$7,'Inputs (2)'!$D$2:$AL$2,0)),"")</f>
        <v>16000</v>
      </c>
      <c r="V40" s="515">
        <f>IFERROR(INDEX('Inputs (2)'!$D$62:$AL$62,MATCH(V$7,'Inputs (2)'!$D$2:$AL$2,0)),"")</f>
        <v>19400</v>
      </c>
      <c r="W40" s="516">
        <f>IF(COUNT(S40:V40)=4,SUM(S40:V40),"")</f>
        <v>65400</v>
      </c>
      <c r="X40" s="515">
        <f>IFERROR(INDEX('Inputs (2)'!$D$62:$AL$62,MATCH(X$7,'Inputs (2)'!$D$2:$AL$2,0)),"")</f>
        <v>17600</v>
      </c>
      <c r="Y40" s="515">
        <f>IFERROR(INDEX('Inputs (2)'!$D$62:$AL$62,MATCH(Y$7,'Inputs (2)'!$D$2:$AL$2,0)),"")</f>
        <v>18900</v>
      </c>
      <c r="Z40" s="515">
        <f>IFERROR(INDEX('Inputs (2)'!$D$62:$AL$62,MATCH(Z$7,'Inputs (2)'!$D$2:$AL$2,0)),"")</f>
        <v>19500</v>
      </c>
      <c r="AA40" s="515">
        <f>IFERROR(INDEX('Inputs (2)'!$D$62:$AL$62,MATCH(AA$7,'Inputs (2)'!$D$2:$AL$2,0)),"")</f>
        <v>23300</v>
      </c>
      <c r="AB40" s="516">
        <f>IF(COUNT(X40:AA40)=4,SUM(X40:AA40),"")</f>
        <v>79300</v>
      </c>
      <c r="AC40" s="515">
        <f>IFERROR(INDEX('Inputs (2)'!$D$62:$AL$62,MATCH(AC$7,'Inputs (2)'!$D$2:$AL$2,0)),"")</f>
        <v>21400</v>
      </c>
      <c r="AD40" s="515">
        <f>IFERROR(INDEX('Inputs (2)'!$D$62:$AL$62,MATCH(AD$7,'Inputs (2)'!$D$2:$AL$2,0)),"")</f>
        <v>23700</v>
      </c>
      <c r="AE40" s="515">
        <f>IFERROR(INDEX('Inputs (2)'!$D$62:$AL$62,MATCH(AE$7,'Inputs (2)'!$D$2:$AL$2,0)),"")</f>
        <v>24800</v>
      </c>
      <c r="AF40" s="515">
        <f>IFERROR(INDEX('Inputs (2)'!$D$62:$AL$62,MATCH(AF$7,'Inputs (2)'!$D$2:$AL$2,0)),"")</f>
        <v>29600</v>
      </c>
      <c r="AG40" s="516">
        <f>IF(COUNT(AC40:AF40)=4,SUM(AC40:AF40),"")</f>
        <v>99500</v>
      </c>
      <c r="AH40" s="516">
        <f>IFERROR(INDEX('Inputs (2)'!$D$62:$AL$62,MATCH(AH$7,'Inputs (2)'!$D$2:$AL$2,0)),"")</f>
        <v>27100</v>
      </c>
      <c r="AI40" s="516">
        <f>IFERROR(INDEX('Inputs (2)'!$D$62:$AL$62,MATCH(AI$7,'Inputs (2)'!$D$2:$AL$2,0)),"")</f>
        <v>29400</v>
      </c>
    </row>
    <row r="41" s="255">
      <c r="C41" s="275" t="inlineStr">
        <is>
          <t xml:space="preserve">   Walmart International - eCommerce</t>
        </is>
      </c>
      <c r="D41" s="515">
        <f>IFERROR(INDEX('Inputs (2)'!$D$63:$AL$63,MATCH(D$7,'Inputs (2)'!$D$2:$AL$2,0)),"")</f>
        <v>2900</v>
      </c>
      <c r="E41" s="515">
        <f>IFERROR(INDEX('Inputs (2)'!$D$63:$AL$63,MATCH(E$7,'Inputs (2)'!$D$2:$AL$2,0)),"")</f>
        <v>3300</v>
      </c>
      <c r="F41" s="515">
        <f>IFERROR(INDEX('Inputs (2)'!$D$63:$AL$63,MATCH(F$7,'Inputs (2)'!$D$2:$AL$2,0)),"")</f>
        <v>4300</v>
      </c>
      <c r="G41" s="515">
        <f>IFERROR(INDEX('Inputs (2)'!$D$63:$AL$63,MATCH(G$7,'Inputs (2)'!$D$2:$AL$2,0)),"")</f>
        <v>6100</v>
      </c>
      <c r="H41" s="516">
        <f>IF(COUNT(D41:G41)=4,SUM(D41:G41),"")</f>
        <v>16600</v>
      </c>
      <c r="I41" s="515">
        <f>IFERROR(INDEX('Inputs (2)'!$D$63:$AL$63,MATCH(I$7,'Inputs (2)'!$D$2:$AL$2,0)),"")</f>
        <v>4300</v>
      </c>
      <c r="J41" s="515">
        <f>IFERROR(INDEX('Inputs (2)'!$D$63:$AL$63,MATCH(J$7,'Inputs (2)'!$D$2:$AL$2,0)),"")</f>
        <v>4100</v>
      </c>
      <c r="K41" s="515">
        <f>IFERROR(INDEX('Inputs (2)'!$D$63:$AL$63,MATCH(K$7,'Inputs (2)'!$D$2:$AL$2,0)),"")</f>
        <v>4300</v>
      </c>
      <c r="L41" s="515">
        <f>IFERROR(INDEX('Inputs (2)'!$D$63:$AL$63,MATCH(L$7,'Inputs (2)'!$D$2:$AL$2,0)),"")</f>
        <v>5800</v>
      </c>
      <c r="M41" s="516">
        <f>IF(COUNT(I41:L41)=4,SUM(I41:L41),"")</f>
        <v>18500</v>
      </c>
      <c r="N41" s="515">
        <f>IFERROR(INDEX('Inputs (2)'!$D$63:$AL$63,MATCH(N$7,'Inputs (2)'!$D$2:$AL$2,0)),"")</f>
        <v>4300</v>
      </c>
      <c r="O41" s="515">
        <f>IFERROR(INDEX('Inputs (2)'!$D$63:$AL$63,MATCH(O$7,'Inputs (2)'!$D$2:$AL$2,0)),"")</f>
        <v>4600</v>
      </c>
      <c r="P41" s="515">
        <f>IFERROR(INDEX('Inputs (2)'!$D$63:$AL$63,MATCH(P$7,'Inputs (2)'!$D$2:$AL$2,0)),"")</f>
        <v>5900</v>
      </c>
      <c r="Q41" s="515">
        <f>IFERROR(INDEX('Inputs (2)'!$D$63:$AL$63,MATCH(Q$7,'Inputs (2)'!$D$2:$AL$2,0)),"")</f>
        <v>5500</v>
      </c>
      <c r="R41" s="516">
        <f>IF(COUNT(N41:Q41)=4,SUM(N41:Q41),"")</f>
        <v>20300</v>
      </c>
      <c r="S41" s="515">
        <f>IFERROR(INDEX('Inputs (2)'!$D$63:$AL$63,MATCH(S$7,'Inputs (2)'!$D$2:$AL$2,0)),"")</f>
        <v>5400</v>
      </c>
      <c r="T41" s="515">
        <f>IFERROR(INDEX('Inputs (2)'!$D$63:$AL$63,MATCH(T$7,'Inputs (2)'!$D$2:$AL$2,0)),"")</f>
        <v>5800</v>
      </c>
      <c r="U41" s="515">
        <f>IFERROR(INDEX('Inputs (2)'!$D$63:$AL$63,MATCH(U$7,'Inputs (2)'!$D$2:$AL$2,0)),"")</f>
        <v>5700</v>
      </c>
      <c r="V41" s="515">
        <f>IFERROR(INDEX('Inputs (2)'!$D$63:$AL$63,MATCH(V$7,'Inputs (2)'!$D$2:$AL$2,0)),"")</f>
        <v>8000</v>
      </c>
      <c r="W41" s="516">
        <f>IF(COUNT(S41:V41)=4,SUM(S41:V41),"")</f>
        <v>24900</v>
      </c>
      <c r="X41" s="515">
        <f>IFERROR(INDEX('Inputs (2)'!$D$63:$AL$63,MATCH(X$7,'Inputs (2)'!$D$2:$AL$2,0)),"")</f>
        <v>6400</v>
      </c>
      <c r="Y41" s="515">
        <f>IFERROR(INDEX('Inputs (2)'!$D$63:$AL$63,MATCH(Y$7,'Inputs (2)'!$D$2:$AL$2,0)),"")</f>
        <v>6800</v>
      </c>
      <c r="Z41" s="515">
        <f>IFERROR(INDEX('Inputs (2)'!$D$63:$AL$63,MATCH(Z$7,'Inputs (2)'!$D$2:$AL$2,0)),"")</f>
        <v>8100</v>
      </c>
      <c r="AA41" s="515">
        <f>IFERROR(INDEX('Inputs (2)'!$D$63:$AL$63,MATCH(AA$7,'Inputs (2)'!$D$2:$AL$2,0)),"")</f>
        <v>8200</v>
      </c>
      <c r="AB41" s="516">
        <f>IF(COUNT(X41:AA41)=4,SUM(X41:AA41),"")</f>
        <v>29500</v>
      </c>
      <c r="AC41" s="515">
        <f>IFERROR(INDEX('Inputs (2)'!$D$63:$AL$63,MATCH(AC$7,'Inputs (2)'!$D$2:$AL$2,0)),"")</f>
        <v>7700</v>
      </c>
      <c r="AD41" s="515">
        <f>IFERROR(INDEX('Inputs (2)'!$D$63:$AL$63,MATCH(AD$7,'Inputs (2)'!$D$2:$AL$2,0)),"")</f>
        <v>8300</v>
      </c>
      <c r="AE41" s="515">
        <f>IFERROR(INDEX('Inputs (2)'!$D$63:$AL$63,MATCH(AE$7,'Inputs (2)'!$D$2:$AL$2,0)),"")</f>
        <v>10200</v>
      </c>
      <c r="AF41" s="515">
        <f>IFERROR(INDEX('Inputs (2)'!$D$63:$AL$63,MATCH(AF$7,'Inputs (2)'!$D$2:$AL$2,0)),"")</f>
        <v>9700</v>
      </c>
      <c r="AG41" s="516">
        <f>IF(COUNT(AC41:AF41)=4,SUM(AC41:AF41),"")</f>
        <v>35900</v>
      </c>
      <c r="AH41" s="516">
        <f>IFERROR(INDEX('Inputs (2)'!$D$63:$AL$63,MATCH(AH$7,'Inputs (2)'!$D$2:$AL$2,0)),"")</f>
        <v>9700</v>
      </c>
      <c r="AI41" s="516">
        <f>IFERROR(INDEX('Inputs (2)'!$D$63:$AL$63,MATCH(AI$7,'Inputs (2)'!$D$2:$AL$2,0)),"")</f>
        <v>9900</v>
      </c>
    </row>
    <row r="42" s="255">
      <c r="C42" s="275" t="inlineStr">
        <is>
          <t xml:space="preserve">   Walmart International - México e América Central</t>
        </is>
      </c>
      <c r="D42" s="515">
        <f>IFERROR(INDEX('Inputs (2)'!$D$64:$AL$64,MATCH(D$7,'Inputs (2)'!$D$2:$AL$2,0)),"")</f>
        <v>8496</v>
      </c>
      <c r="E42" s="515">
        <f>IFERROR(INDEX('Inputs (2)'!$D$64:$AL$64,MATCH(E$7,'Inputs (2)'!$D$2:$AL$2,0)),"")</f>
        <v>7208</v>
      </c>
      <c r="F42" s="515">
        <f>IFERROR(INDEX('Inputs (2)'!$D$64:$AL$64,MATCH(F$7,'Inputs (2)'!$D$2:$AL$2,0)),"")</f>
        <v>7429</v>
      </c>
      <c r="G42" s="515">
        <f>IFERROR(INDEX('Inputs (2)'!$D$64:$AL$64,MATCH(G$7,'Inputs (2)'!$D$2:$AL$2,0)),"")</f>
        <v>9509</v>
      </c>
      <c r="H42" s="516">
        <f>IF(COUNT(D42:G42)=4,SUM(D42:G42),"")</f>
        <v>32642</v>
      </c>
      <c r="I42" s="515">
        <f>IFERROR(INDEX('Inputs (2)'!$D$64:$AL$64,MATCH(I$7,'Inputs (2)'!$D$2:$AL$2,0)),"")</f>
        <v>8330</v>
      </c>
      <c r="J42" s="515">
        <f>IFERROR(INDEX('Inputs (2)'!$D$64:$AL$64,MATCH(J$7,'Inputs (2)'!$D$2:$AL$2,0)),"")</f>
        <v>8658</v>
      </c>
      <c r="K42" s="515">
        <f>IFERROR(INDEX('Inputs (2)'!$D$64:$AL$64,MATCH(K$7,'Inputs (2)'!$D$2:$AL$2,0)),"")</f>
        <v>8718</v>
      </c>
      <c r="L42" s="515">
        <f>IFERROR(INDEX('Inputs (2)'!$D$64:$AL$64,MATCH(L$7,'Inputs (2)'!$D$2:$AL$2,0)),"")</f>
        <v>10258</v>
      </c>
      <c r="M42" s="516">
        <f>IF(COUNT(I42:L42)=4,SUM(I42:L42),"")</f>
        <v>35964</v>
      </c>
      <c r="N42" s="515">
        <f>IFERROR(INDEX('Inputs (2)'!$D$64:$AL$64,MATCH(N$7,'Inputs (2)'!$D$2:$AL$2,0)),"")</f>
        <v>9088</v>
      </c>
      <c r="O42" s="515">
        <f>IFERROR(INDEX('Inputs (2)'!$D$64:$AL$64,MATCH(O$7,'Inputs (2)'!$D$2:$AL$2,0)),"")</f>
        <v>9690</v>
      </c>
      <c r="P42" s="515">
        <f>IFERROR(INDEX('Inputs (2)'!$D$64:$AL$64,MATCH(P$7,'Inputs (2)'!$D$2:$AL$2,0)),"")</f>
        <v>9702</v>
      </c>
      <c r="Q42" s="515">
        <f>IFERROR(INDEX('Inputs (2)'!$D$64:$AL$64,MATCH(Q$7,'Inputs (2)'!$D$2:$AL$2,0)),"")</f>
        <v>12016</v>
      </c>
      <c r="R42" s="516">
        <f>IF(COUNT(N42:Q42)=4,SUM(N42:Q42),"")</f>
        <v>40496</v>
      </c>
      <c r="S42" s="515">
        <f>IFERROR(INDEX('Inputs (2)'!$D$64:$AL$64,MATCH(S$7,'Inputs (2)'!$D$2:$AL$2,0)),"")</f>
        <v>10958</v>
      </c>
      <c r="T42" s="515">
        <f>IFERROR(INDEX('Inputs (2)'!$D$64:$AL$64,MATCH(T$7,'Inputs (2)'!$D$2:$AL$2,0)),"")</f>
        <v>11994</v>
      </c>
      <c r="U42" s="515">
        <f>IFERROR(INDEX('Inputs (2)'!$D$64:$AL$64,MATCH(U$7,'Inputs (2)'!$D$2:$AL$2,0)),"")</f>
        <v>12389</v>
      </c>
      <c r="V42" s="515">
        <f>IFERROR(INDEX('Inputs (2)'!$D$64:$AL$64,MATCH(V$7,'Inputs (2)'!$D$2:$AL$2,0)),"")</f>
        <v>14385</v>
      </c>
      <c r="W42" s="516">
        <f>IF(COUNT(S42:V42)=4,SUM(S42:V42),"")</f>
        <v>49726</v>
      </c>
      <c r="X42" s="515">
        <f>IFERROR(INDEX('Inputs (2)'!$D$64:$AL$64,MATCH(X$7,'Inputs (2)'!$D$2:$AL$2,0)),"")</f>
        <v>13232</v>
      </c>
      <c r="Y42" s="515">
        <f>IFERROR(INDEX('Inputs (2)'!$D$64:$AL$64,MATCH(Y$7,'Inputs (2)'!$D$2:$AL$2,0)),"")</f>
        <v>13099</v>
      </c>
      <c r="Z42" s="515">
        <f>IFERROR(INDEX('Inputs (2)'!$D$64:$AL$64,MATCH(Z$7,'Inputs (2)'!$D$2:$AL$2,0)),"")</f>
        <v>12064</v>
      </c>
      <c r="AA42" s="515">
        <f>IFERROR(INDEX('Inputs (2)'!$D$64:$AL$64,MATCH(AA$7,'Inputs (2)'!$D$2:$AL$2,0)),"")</f>
        <v>13575</v>
      </c>
      <c r="AB42" s="516">
        <f>IF(COUNT(X42:AA42)=4,SUM(X42:AA42),"")</f>
        <v>51970</v>
      </c>
      <c r="AC42" s="515">
        <f>IFERROR(INDEX('Inputs (2)'!$D$64:$AL$64,MATCH(AC$7,'Inputs (2)'!$D$2:$AL$2,0)),"")</f>
        <v>11714</v>
      </c>
      <c r="AD42" s="515">
        <f>IFERROR(INDEX('Inputs (2)'!$D$64:$AL$64,MATCH(AD$7,'Inputs (2)'!$D$2:$AL$2,0)),"")</f>
        <v>12546</v>
      </c>
      <c r="AE42" s="515">
        <f>IFERROR(INDEX('Inputs (2)'!$D$64:$AL$64,MATCH(AE$7,'Inputs (2)'!$D$2:$AL$2,0)),"")</f>
        <v>12869</v>
      </c>
      <c r="AF42" s="515">
        <f>IFERROR(INDEX('Inputs (2)'!$D$64:$AL$64,MATCH(AF$7,'Inputs (2)'!$D$2:$AL$2,0)),"")</f>
        <v>15363</v>
      </c>
      <c r="AG42" s="516">
        <f>IF(COUNT(AC42:AF42)=4,SUM(AC42:AF42),"")</f>
        <v>52492</v>
      </c>
      <c r="AH42" s="516">
        <f>IFERROR(INDEX('Inputs (2)'!$D$64:$AL$64,MATCH(AH$7,'Inputs (2)'!$D$2:$AL$2,0)),"")</f>
        <v>13847</v>
      </c>
      <c r="AI42" s="516">
        <f>IFERROR(INDEX('Inputs (2)'!$D$64:$AL$64,MATCH(AI$7,'Inputs (2)'!$D$2:$AL$2,0)),"")</f>
        <v>14331</v>
      </c>
    </row>
    <row r="43" s="255"/>
    <row r="44" s="255"/>
    <row r="45" s="255"/>
    <row r="46" s="255"/>
    <row r="47" s="255"/>
    <row r="48" s="255"/>
    <row r="49" s="255"/>
    <row r="50" s="255"/>
    <row r="51" s="255"/>
    <row r="52" s="255"/>
    <row r="53" s="255"/>
    <row r="54" hidden="1" outlineLevel="1" ht="12.75" customFormat="1" customHeight="1" s="291">
      <c r="A54" s="292" t="n"/>
      <c r="B54" s="293" t="n"/>
      <c r="C54" s="300" t="n"/>
      <c r="D54" s="295" t="n"/>
      <c r="E54" s="295" t="n"/>
      <c r="F54" s="295" t="n"/>
      <c r="G54" s="295" t="n"/>
      <c r="H54" s="295" t="n"/>
      <c r="I54" s="295" t="n"/>
      <c r="J54" s="295" t="n"/>
      <c r="K54" s="295" t="n"/>
      <c r="L54" s="295" t="n"/>
      <c r="M54" s="295" t="n"/>
      <c r="N54" s="295" t="n"/>
      <c r="O54" s="295" t="n"/>
      <c r="P54" s="295" t="n"/>
      <c r="Q54" s="295" t="n"/>
      <c r="R54" s="295" t="n"/>
      <c r="S54" s="295" t="n"/>
      <c r="T54" s="295" t="n"/>
      <c r="U54" s="295" t="n"/>
      <c r="V54" s="295" t="n"/>
      <c r="W54" s="295" t="n"/>
      <c r="X54" s="295" t="n"/>
      <c r="Y54" s="295" t="n"/>
      <c r="Z54" s="295" t="n"/>
      <c r="AA54" s="295" t="n"/>
      <c r="AB54" s="295" t="n"/>
      <c r="AC54" s="295" t="n"/>
      <c r="AD54" s="295" t="n"/>
      <c r="AE54" s="295" t="n"/>
      <c r="AF54" s="295" t="n"/>
      <c r="AG54" s="295" t="n"/>
      <c r="AH54" s="295" t="n"/>
      <c r="AI54" s="295" t="n"/>
      <c r="AJ54" s="295" t="n"/>
      <c r="AK54" s="295" t="n"/>
      <c r="AL54" s="295" t="n"/>
      <c r="AM54" s="295" t="n"/>
      <c r="AN54" s="295" t="n"/>
      <c r="AO54" s="295" t="n"/>
      <c r="AP54" s="295" t="n"/>
      <c r="AQ54" s="295" t="n"/>
      <c r="AR54" s="295" t="n"/>
      <c r="AS54" s="295" t="n"/>
      <c r="AT54" s="295" t="n"/>
      <c r="AU54" s="295" t="n"/>
      <c r="AV54" s="295" t="n"/>
      <c r="AW54" s="295" t="n"/>
      <c r="AX54" s="295" t="n"/>
      <c r="AY54" s="295" t="n"/>
      <c r="AZ54" s="295" t="n"/>
      <c r="BA54" s="295" t="n"/>
      <c r="BB54" s="295" t="n"/>
      <c r="BC54" s="295" t="n"/>
      <c r="BD54" s="295" t="n"/>
      <c r="BE54" s="295" t="n"/>
      <c r="BF54" s="295" t="n"/>
      <c r="BG54" s="295" t="n"/>
      <c r="BH54" s="295" t="n"/>
      <c r="BI54" s="295" t="n"/>
      <c r="BJ54" s="295" t="n"/>
      <c r="BK54" s="295" t="n"/>
      <c r="BL54" s="295" t="n"/>
      <c r="BM54" s="295" t="n"/>
      <c r="BN54" s="295" t="n"/>
      <c r="BO54" s="295" t="n"/>
      <c r="BP54" s="295" t="n"/>
      <c r="BQ54" s="295" t="n"/>
      <c r="BR54" s="295" t="n"/>
      <c r="BS54" s="295" t="n"/>
      <c r="BT54" s="295" t="n"/>
      <c r="BU54" s="295" t="n"/>
      <c r="BV54" s="295" t="n"/>
      <c r="BW54" s="295" t="n"/>
      <c r="BX54" s="295" t="n"/>
      <c r="BY54" s="295" t="n"/>
      <c r="BZ54" s="295" t="n"/>
      <c r="CA54" s="295" t="n"/>
      <c r="CB54" s="295" t="n"/>
      <c r="CC54" s="295" t="n"/>
      <c r="CD54" s="295" t="n"/>
      <c r="CE54" s="295" t="n"/>
      <c r="CF54" s="295" t="n"/>
      <c r="CG54" s="295" t="n"/>
      <c r="CH54" s="295" t="n"/>
      <c r="CI54" s="295" t="n"/>
      <c r="CJ54" s="295" t="n"/>
      <c r="CK54" s="295" t="n"/>
      <c r="CL54" s="295" t="n"/>
      <c r="CM54" s="295" t="n"/>
      <c r="CN54" s="295" t="n"/>
      <c r="CO54" s="295" t="n"/>
      <c r="CP54" s="295" t="n"/>
      <c r="CQ54" s="295" t="n"/>
      <c r="CR54" s="295" t="n"/>
      <c r="CS54" s="295" t="n"/>
      <c r="CT54" s="295" t="n"/>
      <c r="CU54" s="295" t="n"/>
      <c r="CV54" s="295" t="n"/>
      <c r="CW54" s="295" t="n"/>
      <c r="CX54" s="295" t="n"/>
      <c r="CY54" s="295" t="n"/>
    </row>
    <row r="55" hidden="1" outlineLevel="1" ht="12.75" customFormat="1" customHeight="1" s="291">
      <c r="A55" s="292" t="n"/>
      <c r="B55" s="293" t="n"/>
      <c r="C55" s="300" t="n"/>
      <c r="D55" s="295" t="n"/>
      <c r="E55" s="295" t="n"/>
      <c r="F55" s="295" t="n"/>
      <c r="G55" s="295" t="n"/>
      <c r="H55" s="295" t="n"/>
      <c r="I55" s="295" t="n"/>
      <c r="J55" s="295" t="n"/>
      <c r="K55" s="295" t="n"/>
      <c r="L55" s="295" t="n"/>
      <c r="M55" s="295" t="n"/>
      <c r="N55" s="295" t="n"/>
      <c r="O55" s="295" t="n"/>
      <c r="P55" s="295" t="n"/>
      <c r="Q55" s="295" t="n"/>
      <c r="R55" s="295" t="n"/>
      <c r="S55" s="295" t="n"/>
      <c r="T55" s="295" t="n"/>
      <c r="U55" s="295" t="n"/>
      <c r="V55" s="295" t="n"/>
      <c r="W55" s="295" t="n"/>
      <c r="X55" s="295" t="n"/>
      <c r="Y55" s="295" t="n"/>
      <c r="Z55" s="295" t="n"/>
      <c r="AA55" s="295" t="n"/>
      <c r="AB55" s="295" t="n"/>
      <c r="AC55" s="295" t="n"/>
      <c r="AD55" s="295" t="n"/>
      <c r="AE55" s="295" t="n"/>
      <c r="AF55" s="295" t="n"/>
      <c r="AG55" s="295" t="n"/>
      <c r="AH55" s="295" t="n"/>
      <c r="AI55" s="295" t="n"/>
      <c r="AJ55" s="295" t="n"/>
      <c r="AK55" s="295" t="n"/>
      <c r="AL55" s="295" t="n"/>
      <c r="AM55" s="295" t="n"/>
      <c r="AN55" s="295" t="n"/>
      <c r="AO55" s="295" t="n"/>
      <c r="AP55" s="295" t="n"/>
      <c r="AQ55" s="295" t="n"/>
      <c r="AR55" s="295" t="n"/>
      <c r="AS55" s="295" t="n"/>
      <c r="AT55" s="295" t="n"/>
      <c r="AU55" s="295" t="n"/>
      <c r="AV55" s="295" t="n"/>
      <c r="AW55" s="295" t="n"/>
      <c r="AX55" s="295" t="n"/>
      <c r="AY55" s="295" t="n"/>
      <c r="AZ55" s="295" t="n"/>
      <c r="BA55" s="295" t="n"/>
      <c r="BB55" s="295" t="n"/>
      <c r="BC55" s="295" t="n"/>
      <c r="BD55" s="295" t="n"/>
      <c r="BE55" s="295" t="n"/>
      <c r="BF55" s="295" t="n"/>
      <c r="BG55" s="295" t="n"/>
      <c r="BH55" s="295" t="n"/>
      <c r="BI55" s="295" t="n"/>
      <c r="BJ55" s="295" t="n"/>
      <c r="BK55" s="295" t="n"/>
      <c r="BL55" s="295" t="n"/>
      <c r="BM55" s="295" t="n"/>
      <c r="BN55" s="295" t="n"/>
      <c r="BO55" s="295" t="n"/>
      <c r="BP55" s="295" t="n"/>
      <c r="BQ55" s="295" t="n"/>
      <c r="BR55" s="295" t="n"/>
      <c r="BS55" s="295" t="n"/>
      <c r="BT55" s="295" t="n"/>
      <c r="BU55" s="295" t="n"/>
      <c r="BV55" s="295" t="n"/>
      <c r="BW55" s="295" t="n"/>
      <c r="BX55" s="295" t="n"/>
      <c r="BY55" s="295" t="n"/>
      <c r="BZ55" s="295" t="n"/>
      <c r="CA55" s="295" t="n"/>
      <c r="CB55" s="295" t="n"/>
      <c r="CC55" s="295" t="n"/>
      <c r="CD55" s="295" t="n"/>
      <c r="CE55" s="295" t="n"/>
      <c r="CF55" s="295" t="n"/>
      <c r="CG55" s="295" t="n"/>
      <c r="CH55" s="295" t="n"/>
      <c r="CI55" s="295" t="n"/>
      <c r="CJ55" s="295" t="n"/>
      <c r="CK55" s="295" t="n"/>
      <c r="CL55" s="295" t="n"/>
      <c r="CM55" s="295" t="n"/>
      <c r="CN55" s="295" t="n"/>
      <c r="CO55" s="295" t="n"/>
      <c r="CP55" s="295" t="n"/>
      <c r="CQ55" s="295" t="n"/>
      <c r="CR55" s="295" t="n"/>
      <c r="CS55" s="295" t="n"/>
      <c r="CT55" s="295" t="n"/>
      <c r="CU55" s="295" t="n"/>
      <c r="CV55" s="295" t="n"/>
      <c r="CW55" s="295" t="n"/>
      <c r="CX55" s="295" t="n"/>
      <c r="CY55" s="295" t="n"/>
    </row>
    <row r="56" ht="12.75" customHeight="1" s="255">
      <c r="C56" s="269" t="inlineStr">
        <is>
          <t>COGS (cash)</t>
        </is>
      </c>
      <c r="D56" s="301">
        <f>INDEX('Inputs (2)'!$D$5:$AL$5,MATCH(D$7,'Inputs (2)'!$D$2:$AL$2,0))</f>
        <v>-102026</v>
      </c>
      <c r="E56" s="301">
        <f>INDEX('Inputs (2)'!$D$5:$AL$5,MATCH(E$7,'Inputs (2)'!$D$2:$AL$2,0))</f>
        <v>-102689</v>
      </c>
      <c r="F56" s="301">
        <f>INDEX('Inputs (2)'!$D$5:$AL$5,MATCH(F$7,'Inputs (2)'!$D$2:$AL$2,0))</f>
        <v>-100339</v>
      </c>
      <c r="G56" s="301">
        <f>INDEX('Inputs (2)'!$D$5:$AL$5,MATCH(G$7,'Inputs (2)'!$D$2:$AL$2,0))</f>
        <v>-115261</v>
      </c>
      <c r="H56" s="268">
        <f>SUM(D56:G56)</f>
        <v>-420315</v>
      </c>
      <c r="I56" s="301">
        <f>INDEX('Inputs (2)'!$D$5:$AL$5,MATCH(I$7,'Inputs (2)'!$D$2:$AL$2,0))</f>
        <v>-103272</v>
      </c>
      <c r="J56" s="301">
        <f>INDEX('Inputs (2)'!$D$5:$AL$5,MATCH(J$7,'Inputs (2)'!$D$2:$AL$2,0))</f>
        <v>-105183</v>
      </c>
      <c r="K56" s="301">
        <f>INDEX('Inputs (2)'!$D$5:$AL$5,MATCH(K$7,'Inputs (2)'!$D$2:$AL$2,0))</f>
        <v>-105023</v>
      </c>
      <c r="L56" s="301">
        <f>INDEX('Inputs (2)'!$D$5:$AL$5,MATCH(L$7,'Inputs (2)'!$D$2:$AL$2,0))</f>
        <v>-115522</v>
      </c>
      <c r="M56" s="268">
        <f>SUM(I56:L56)</f>
        <v>-429000</v>
      </c>
      <c r="N56" s="301">
        <f>INDEX('Inputs (2)'!$D$5:$AL$5,MATCH(N$7,'Inputs (2)'!$D$2:$AL$2,0))</f>
        <v>-106847</v>
      </c>
      <c r="O56" s="301">
        <f>INDEX('Inputs (2)'!$D$5:$AL$5,MATCH(O$7,'Inputs (2)'!$D$2:$AL$2,0))</f>
        <v>-115838</v>
      </c>
      <c r="P56" s="301">
        <f>INDEX('Inputs (2)'!$D$5:$AL$5,MATCH(P$7,'Inputs (2)'!$D$2:$AL$2,0))</f>
        <v>-115613</v>
      </c>
      <c r="Q56" s="301">
        <f>INDEX('Inputs (2)'!$D$5:$AL$5,MATCH(Q$7,'Inputs (2)'!$D$2:$AL$2,0))</f>
        <v>-125423</v>
      </c>
      <c r="R56" s="268">
        <f>SUM(N56:Q56)</f>
        <v>-463721</v>
      </c>
      <c r="S56" s="301">
        <f>INDEX('Inputs (2)'!$D$5:$AL$5,MATCH(S$7,'Inputs (2)'!$D$2:$AL$2,0))</f>
        <v>-115284</v>
      </c>
      <c r="T56" s="301">
        <f>INDEX('Inputs (2)'!$D$5:$AL$5,MATCH(T$7,'Inputs (2)'!$D$2:$AL$2,0))</f>
        <v>-121850</v>
      </c>
      <c r="U56" s="301">
        <f>INDEX('Inputs (2)'!$D$5:$AL$5,MATCH(U$7,'Inputs (2)'!$D$2:$AL$2,0))</f>
        <v>-121183</v>
      </c>
      <c r="V56" s="301">
        <f>INDEX('Inputs (2)'!$D$5:$AL$5,MATCH(V$7,'Inputs (2)'!$D$2:$AL$2,0))</f>
        <v>-131825</v>
      </c>
      <c r="W56" s="268">
        <f>SUM(S56:V56)</f>
        <v>-490142</v>
      </c>
      <c r="X56" s="301">
        <f>INDEX('Inputs (2)'!$D$5:$AL$5,MATCH(X$7,'Inputs (2)'!$D$2:$AL$2,0))</f>
        <v>-121431</v>
      </c>
      <c r="Y56" s="301">
        <f>INDEX('Inputs (2)'!$D$5:$AL$5,MATCH(Y$7,'Inputs (2)'!$D$2:$AL$2,0))</f>
        <v>-126810</v>
      </c>
      <c r="Z56" s="301">
        <f>INDEX('Inputs (2)'!$D$5:$AL$5,MATCH(Z$7,'Inputs (2)'!$D$2:$AL$2,0))</f>
        <v>-127340</v>
      </c>
      <c r="AA56" s="301">
        <f>INDEX('Inputs (2)'!$D$5:$AL$5,MATCH(AA$7,'Inputs (2)'!$D$2:$AL$2,0))</f>
        <v>-136172</v>
      </c>
      <c r="AB56" s="268">
        <f>SUM(X56:AA56)</f>
        <v>-511753</v>
      </c>
      <c r="AC56" s="301">
        <f>INDEX('Inputs (2)'!$D$5:$AL$5,MATCH(AC$7,'Inputs (2)'!$D$2:$AL$2,0))</f>
        <v>-124303</v>
      </c>
      <c r="AD56" s="301">
        <f>INDEX('Inputs (2)'!$D$5:$AL$5,MATCH(AD$7,'Inputs (2)'!$D$2:$AL$2,0))</f>
        <v>-132771</v>
      </c>
      <c r="AE56" s="301">
        <f>INDEX('Inputs (2)'!$D$5:$AL$5,MATCH(AE$7,'Inputs (2)'!$D$2:$AL$2,0))</f>
        <v>-134706</v>
      </c>
      <c r="AF56" s="301">
        <f>INDEX('Inputs (2)'!$D$5:$AL$5,MATCH(AF$7,'Inputs (2)'!$D$2:$AL$2,0))</f>
        <v>-143615</v>
      </c>
      <c r="AG56" s="268">
        <f>SUM(AC56:AF56)</f>
        <v>-535395</v>
      </c>
      <c r="AH56" s="268">
        <f>INDEX('Inputs (2)'!$D$5:$AL$5,MATCH(AH$7,'Inputs (2)'!$D$2:$AL$2,0))</f>
        <v>-133058</v>
      </c>
      <c r="AI56" s="268">
        <f>INDEX('Inputs (2)'!$D$5:$AL$5,MATCH(AI$7,'Inputs (2)'!$D$2:$AL$2,0))</f>
        <v>-138804</v>
      </c>
      <c r="AJ56" s="268">
        <f>(100%-AJ57)*-AJ15</f>
        <v>-179496</v>
      </c>
      <c r="AK56" s="268">
        <f>(100%-AK57)*-AK15</f>
        <v>-190656</v>
      </c>
      <c r="AL56" s="268">
        <f>SUM(AH56:AK56)</f>
        <v>-642014</v>
      </c>
      <c r="AM56" s="268">
        <f>(100%-AM57)*-AM15</f>
        <v>-177751</v>
      </c>
      <c r="AN56" s="268">
        <f>(100%-AN57)*-AN15</f>
        <v>-187937</v>
      </c>
      <c r="AO56" s="268">
        <f>(100%-AO57)*-AO15</f>
        <v>-179496</v>
      </c>
      <c r="AP56" s="268">
        <f>(100%-AP57)*-AP15</f>
        <v>-190656</v>
      </c>
      <c r="AQ56" s="268">
        <f>SUM(AM56:AP56)</f>
        <v>-735840</v>
      </c>
      <c r="AR56" s="268">
        <f>(100%-AR57)*-AR15</f>
        <v>-177751</v>
      </c>
      <c r="AS56" s="268">
        <f>(100%-AS57)*-AS15</f>
        <v>-187937</v>
      </c>
      <c r="AT56" s="268">
        <f>(100%-AT57)*-AT15</f>
        <v>-179496</v>
      </c>
      <c r="AU56" s="268">
        <f>(100%-AU57)*-AU15</f>
        <v>-190656</v>
      </c>
      <c r="AV56" s="268">
        <f>SUM(AR56:AU56)</f>
        <v>-735840</v>
      </c>
      <c r="AW56" s="268">
        <f>(100%-AW57)*-AW15</f>
        <v>-177751</v>
      </c>
      <c r="AX56" s="268">
        <f>(100%-AX57)*-AX15</f>
        <v>-187937</v>
      </c>
      <c r="AY56" s="268">
        <f>(100%-AY57)*-AY15</f>
        <v>-179496</v>
      </c>
      <c r="AZ56" s="268">
        <f>(100%-AZ57)*-AZ15</f>
        <v>-190656</v>
      </c>
      <c r="BA56" s="268">
        <f>SUM(AW56:AZ56)</f>
        <v>-735840</v>
      </c>
      <c r="BB56" s="268">
        <f>(100%-BB57)*-BB15</f>
        <v>-177751</v>
      </c>
      <c r="BC56" s="268">
        <f>(100%-BC57)*-BC15</f>
        <v>-187937</v>
      </c>
      <c r="BD56" s="268">
        <f>(100%-BD57)*-BD15</f>
        <v>-179496</v>
      </c>
      <c r="BE56" s="268">
        <f>(100%-BE57)*-BE15</f>
        <v>-190656</v>
      </c>
      <c r="BF56" s="268">
        <f>SUM(BB56:BE56)</f>
        <v>-735840</v>
      </c>
      <c r="BG56" s="268">
        <f>(100%-BG57)*-BG15</f>
        <v>-177751</v>
      </c>
      <c r="BH56" s="268">
        <f>(100%-BH57)*-BH15</f>
        <v>-187937</v>
      </c>
      <c r="BI56" s="268">
        <f>(100%-BI57)*-BI15</f>
        <v>-179496</v>
      </c>
      <c r="BJ56" s="268">
        <f>(100%-BJ57)*-BJ15</f>
        <v>-190656</v>
      </c>
      <c r="BK56" s="268">
        <f>SUM(BG56:BJ56)</f>
        <v>-735840</v>
      </c>
      <c r="BL56" s="268">
        <f>(100%-BL57)*-BL15</f>
        <v>-177751</v>
      </c>
      <c r="BM56" s="268">
        <f>(100%-BM57)*-BM15</f>
        <v>-187937</v>
      </c>
      <c r="BN56" s="268">
        <f>(100%-BN57)*-BN15</f>
        <v>-179496</v>
      </c>
      <c r="BO56" s="268">
        <f>(100%-BO57)*-BO15</f>
        <v>-190656</v>
      </c>
      <c r="BP56" s="268">
        <f>SUM(BL56:BO56)</f>
        <v>-735840</v>
      </c>
      <c r="BQ56" s="268">
        <f>(100%-BQ57)*-BQ15</f>
        <v>-177751</v>
      </c>
      <c r="BR56" s="268">
        <f>(100%-BR57)*-BR15</f>
        <v>-187937</v>
      </c>
      <c r="BS56" s="268">
        <f>(100%-BS57)*-BS15</f>
        <v>-179496</v>
      </c>
      <c r="BT56" s="268">
        <f>(100%-BT57)*-BT15</f>
        <v>-190656</v>
      </c>
      <c r="BU56" s="268">
        <f>SUM(BQ56:BT56)</f>
        <v>-735840</v>
      </c>
      <c r="BV56" s="268">
        <f>(100%-BV57)*-BV15</f>
        <v>-177751</v>
      </c>
      <c r="BW56" s="268">
        <f>(100%-BW57)*-BW15</f>
        <v>-187937</v>
      </c>
      <c r="BX56" s="268">
        <f>(100%-BX57)*-BX15</f>
        <v>-179496</v>
      </c>
      <c r="BY56" s="268">
        <f>(100%-BY57)*-BY15</f>
        <v>-190656</v>
      </c>
      <c r="BZ56" s="268">
        <f>SUM(BV56:BY56)</f>
        <v>-735840</v>
      </c>
      <c r="CA56" s="268">
        <f>(100%-CA57)*-CA15</f>
        <v>-177751</v>
      </c>
      <c r="CB56" s="268">
        <f>(100%-CB57)*-CB15</f>
        <v>-187937</v>
      </c>
      <c r="CC56" s="268">
        <f>(100%-CC57)*-CC15</f>
        <v>-179496</v>
      </c>
      <c r="CD56" s="268">
        <f>(100%-CD57)*-CD15</f>
        <v>-190656</v>
      </c>
      <c r="CE56" s="268">
        <f>SUM(CA56:CD56)</f>
        <v>-735840</v>
      </c>
      <c r="CF56" s="268">
        <f>(100%-CF57)*-CF15</f>
        <v>-177751</v>
      </c>
      <c r="CG56" s="268">
        <f>(100%-CG57)*-CG15</f>
        <v>-187937</v>
      </c>
      <c r="CH56" s="268">
        <f>(100%-CH57)*-CH15</f>
        <v>-179496</v>
      </c>
      <c r="CI56" s="268">
        <f>(100%-CI57)*-CI15</f>
        <v>-190656</v>
      </c>
      <c r="CJ56" s="268">
        <f>SUM(CF56:CI56)</f>
        <v>-735840</v>
      </c>
      <c r="CK56" s="268">
        <f>(100%-CK57)*-CK15</f>
        <v>-177751</v>
      </c>
      <c r="CL56" s="268">
        <f>(100%-CL57)*-CL15</f>
        <v>-187937</v>
      </c>
      <c r="CM56" s="268">
        <f>(100%-CM57)*-CM15</f>
        <v>-179496</v>
      </c>
      <c r="CN56" s="268">
        <f>(100%-CN57)*-CN15</f>
        <v>-190656</v>
      </c>
      <c r="CO56" s="268">
        <f>SUM(CK56:CN56)</f>
        <v>-735840</v>
      </c>
      <c r="CP56" s="268">
        <f>(100%-CP57)*-CP15</f>
        <v>-177751</v>
      </c>
      <c r="CQ56" s="268">
        <f>(100%-CQ57)*-CQ15</f>
        <v>-187937</v>
      </c>
      <c r="CR56" s="268">
        <f>(100%-CR57)*-CR15</f>
        <v>-179496</v>
      </c>
      <c r="CS56" s="268">
        <f>(100%-CS57)*-CS15</f>
        <v>-190656</v>
      </c>
      <c r="CT56" s="268">
        <f>SUM(CP56:CS56)</f>
        <v>-735840</v>
      </c>
      <c r="CU56" s="268">
        <f>(100%-CU57)*-CU15</f>
        <v>-177751</v>
      </c>
      <c r="CV56" s="268">
        <f>(100%-CV57)*-CV15</f>
        <v>-187937</v>
      </c>
      <c r="CW56" s="268">
        <f>(100%-CW57)*-CW15</f>
        <v>-179496</v>
      </c>
      <c r="CX56" s="268">
        <f>(100%-CX57)*-CX15</f>
        <v>-190656</v>
      </c>
      <c r="CY56" s="268">
        <f>SUM(CU56:CX56)</f>
        <v>-735840</v>
      </c>
    </row>
    <row r="57" hidden="1" outlineLevel="1" ht="12.75" customFormat="1" customHeight="1" s="259">
      <c r="C57" s="302" t="inlineStr">
        <is>
          <t>% Gross Margin</t>
        </is>
      </c>
      <c r="D57" s="303">
        <f>(D15+D56)/D$15</f>
        <v>0.242129815334789</v>
      </c>
      <c r="E57" s="303">
        <f>(E15+E56)/E$15</f>
        <v>0.254483018977509</v>
      </c>
      <c r="F57" s="303">
        <f>(F15+F56)/F$15</f>
        <v>0.255137037147014</v>
      </c>
      <c r="G57" s="303">
        <f>(G15+G56)/G$15</f>
        <v>0.242097857034831</v>
      </c>
      <c r="H57" s="303">
        <f>(H15+H56)/H$15</f>
        <v>0.248297865871652</v>
      </c>
      <c r="I57" s="303">
        <f>(I15+I56)/I$15</f>
        <v>0.253329477261225</v>
      </c>
      <c r="J57" s="303">
        <f>(J15+J56)/J$15</f>
        <v>0.254275140377744</v>
      </c>
      <c r="K57" s="303">
        <f>(K15+K56)/K$15</f>
        <v>0.252638320583526</v>
      </c>
      <c r="L57" s="303">
        <f>(L15+L56)/L$15</f>
        <v>0.244317103963472</v>
      </c>
      <c r="M57" s="303">
        <f>(M15+M56)/M$15</f>
        <v>0.250987334876753</v>
      </c>
      <c r="N57" s="303">
        <f>(N15+N56)/N$15</f>
        <v>0.245265559550467</v>
      </c>
      <c r="O57" s="303">
        <f>(O15+O56)/O$15</f>
        <v>0.242190515442336</v>
      </c>
      <c r="P57" s="303">
        <f>(P15+P56)/P$15</f>
        <v>0.243434786307448</v>
      </c>
      <c r="Q57" s="303">
        <f>(Q15+Q56)/Q$15</f>
        <v>0.235449380669072</v>
      </c>
      <c r="R57" s="303">
        <f>(R15+R56)/R$15</f>
        <v>0.24140463839526</v>
      </c>
      <c r="S57" s="303">
        <f>(S15+S56)/S$15</f>
        <v>0.24305158863041</v>
      </c>
      <c r="T57" s="303">
        <f>(T15+T56)/T$15</f>
        <v>0.246127004553554</v>
      </c>
      <c r="U57" s="303">
        <f>(U15+U56)/U$15</f>
        <v>0.246393124549141</v>
      </c>
      <c r="V57" s="303">
        <f>(V15+V56)/V$15</f>
        <v>0.239710937319768</v>
      </c>
      <c r="W57" s="303">
        <f>(W15+W56)/W$15</f>
        <v>0.243753905496625</v>
      </c>
      <c r="X57" s="303">
        <f>(X15+X56)/X$15</f>
        <v>0.248142506872725</v>
      </c>
      <c r="Y57" s="303">
        <f>(Y15+Y56)/Y$15</f>
        <v>0.251129418017539</v>
      </c>
      <c r="Z57" s="303">
        <f>(Z15+Z56)/Z$15</f>
        <v>0.249121400099064</v>
      </c>
      <c r="AA57" s="303">
        <f>(AA15+AA56)/AA$15</f>
        <v>0.245810117748707</v>
      </c>
      <c r="AB57" s="303">
        <f>(AB15+AB56)/AB$15</f>
        <v>0.248510613302789</v>
      </c>
      <c r="AC57" s="303">
        <f>(AC15+AC56)/AC$15</f>
        <v>0.249418811779553</v>
      </c>
      <c r="AD57" s="303">
        <f>(AD15+AD56)/AD$15</f>
        <v>0.251581154665675</v>
      </c>
      <c r="AE57" s="303">
        <f>(AE15+AE56)/AE$15</f>
        <v>0.249532022997727</v>
      </c>
      <c r="AF57" s="297">
        <f>(AF15+AF56)/AF$15</f>
        <v>0.246732334676066</v>
      </c>
      <c r="AG57" s="303">
        <f>(AG15+AG56)/AG$15</f>
        <v>0.249266997867248</v>
      </c>
      <c r="AH57" s="304">
        <f>(AH15+AH56)/AH$15</f>
        <v>0.251435997547131</v>
      </c>
      <c r="AI57" s="304">
        <f>(AI15+AI56)/AI$15</f>
        <v>0.261433352666053</v>
      </c>
      <c r="AJ57" s="304" t="n"/>
      <c r="AK57" s="304" t="n"/>
      <c r="AL57" s="303">
        <f>(AL15+AL56)/AL$15</f>
        <v>0.127508697542944</v>
      </c>
      <c r="AM57" s="304" t="n"/>
      <c r="AN57" s="304" t="n"/>
      <c r="AO57" s="304" t="n"/>
      <c r="AP57" s="304" t="n"/>
      <c r="AQ57" s="303">
        <f>(AQ15+AQ56)/AQ$15</f>
        <v>0</v>
      </c>
      <c r="AR57" s="304" t="n"/>
      <c r="AS57" s="304" t="n"/>
      <c r="AT57" s="304" t="n"/>
      <c r="AU57" s="304" t="n"/>
      <c r="AV57" s="303">
        <f>(AV15+AV56)/AV$15</f>
        <v>0</v>
      </c>
      <c r="AW57" s="304" t="n"/>
      <c r="AX57" s="304" t="n"/>
      <c r="AY57" s="304" t="n"/>
      <c r="AZ57" s="304" t="n"/>
      <c r="BA57" s="303">
        <f>(BA15+BA56)/BA$15</f>
        <v>0</v>
      </c>
      <c r="BB57" s="304" t="n"/>
      <c r="BC57" s="304" t="n"/>
      <c r="BD57" s="304" t="n"/>
      <c r="BE57" s="304" t="n"/>
      <c r="BF57" s="303">
        <f>(BF15+BF56)/BF$15</f>
        <v>0</v>
      </c>
      <c r="BG57" s="304" t="n"/>
      <c r="BH57" s="304" t="n"/>
      <c r="BI57" s="304" t="n"/>
      <c r="BJ57" s="304" t="n"/>
      <c r="BK57" s="303">
        <f>(BK15+BK56)/BK$15</f>
        <v>0</v>
      </c>
      <c r="BL57" s="304" t="n"/>
      <c r="BM57" s="304" t="n"/>
      <c r="BN57" s="304" t="n"/>
      <c r="BO57" s="304" t="n"/>
      <c r="BP57" s="303">
        <f>(BP15+BP56)/BP$15</f>
        <v>0</v>
      </c>
      <c r="BQ57" s="304" t="n"/>
      <c r="BR57" s="304" t="n"/>
      <c r="BS57" s="304" t="n"/>
      <c r="BT57" s="304" t="n"/>
      <c r="BU57" s="303">
        <f>(BU15+BU56)/BU$15</f>
        <v>0</v>
      </c>
      <c r="BV57" s="304" t="n"/>
      <c r="BW57" s="304" t="n"/>
      <c r="BX57" s="304" t="n"/>
      <c r="BY57" s="304" t="n"/>
      <c r="BZ57" s="303">
        <f>(BZ15+BZ56)/BZ$15</f>
        <v>0</v>
      </c>
      <c r="CA57" s="304" t="n"/>
      <c r="CB57" s="304" t="n"/>
      <c r="CC57" s="304" t="n"/>
      <c r="CD57" s="304" t="n"/>
      <c r="CE57" s="303">
        <f>(CE15+CE56)/CE$15</f>
        <v>0</v>
      </c>
      <c r="CF57" s="304" t="n"/>
      <c r="CG57" s="304" t="n"/>
      <c r="CH57" s="304" t="n"/>
      <c r="CI57" s="304" t="n"/>
      <c r="CJ57" s="303">
        <f>(CJ15+CJ56)/CJ$15</f>
        <v>0</v>
      </c>
      <c r="CK57" s="304" t="n"/>
      <c r="CL57" s="304" t="n"/>
      <c r="CM57" s="304" t="n"/>
      <c r="CN57" s="304" t="n"/>
      <c r="CO57" s="303">
        <f>(CO15+CO56)/CO$15</f>
        <v>0</v>
      </c>
      <c r="CP57" s="304" t="n"/>
      <c r="CQ57" s="304" t="n"/>
      <c r="CR57" s="304" t="n"/>
      <c r="CS57" s="304" t="n"/>
      <c r="CT57" s="303">
        <f>(CT15+CT56)/CT$15</f>
        <v>0</v>
      </c>
      <c r="CU57" s="304" t="n"/>
      <c r="CV57" s="304" t="n"/>
      <c r="CW57" s="304" t="n"/>
      <c r="CX57" s="304" t="n"/>
      <c r="CY57" s="303">
        <f>(CY15+CY56)/CY$15</f>
        <v>0</v>
      </c>
    </row>
    <row r="58" hidden="1" outlineLevel="1" ht="12.75" customHeight="1" s="255">
      <c r="C58" s="305" t="n"/>
      <c r="D58" s="305" t="n"/>
      <c r="E58" s="305" t="n"/>
      <c r="F58" s="305" t="n"/>
      <c r="G58" s="305" t="n"/>
      <c r="H58" s="305" t="n"/>
      <c r="I58" s="305" t="n"/>
      <c r="J58" s="305" t="n"/>
      <c r="K58" s="305" t="n"/>
      <c r="L58" s="305" t="n"/>
      <c r="M58" s="305" t="n"/>
      <c r="N58" s="305" t="n"/>
      <c r="O58" s="305" t="n"/>
      <c r="P58" s="305" t="n"/>
      <c r="Q58" s="305" t="n"/>
      <c r="R58" s="305" t="n"/>
      <c r="S58" s="305" t="n"/>
      <c r="T58" s="305" t="n"/>
      <c r="U58" s="305" t="n"/>
      <c r="V58" s="305" t="n"/>
      <c r="W58" s="305" t="n"/>
      <c r="X58" s="305" t="n"/>
      <c r="Y58" s="305" t="n"/>
      <c r="Z58" s="305" t="n"/>
      <c r="AA58" s="305" t="n"/>
      <c r="AB58" s="305" t="n"/>
      <c r="AC58" s="305" t="n"/>
      <c r="AD58" s="305" t="n"/>
      <c r="AE58" s="305" t="n"/>
      <c r="AF58" s="305" t="n"/>
      <c r="AG58" s="305" t="n"/>
      <c r="AH58" s="305" t="n"/>
      <c r="AI58" s="305" t="n"/>
      <c r="AJ58" s="305" t="n"/>
      <c r="AK58" s="305" t="n"/>
      <c r="AL58" s="305" t="n"/>
      <c r="AM58" s="305" t="n"/>
      <c r="AN58" s="305" t="n"/>
      <c r="AO58" s="305" t="n"/>
      <c r="AP58" s="305" t="n"/>
      <c r="AQ58" s="305" t="n"/>
      <c r="AR58" s="305" t="n"/>
      <c r="AS58" s="305" t="n"/>
      <c r="AT58" s="305" t="n"/>
      <c r="AU58" s="305" t="n"/>
      <c r="AV58" s="305" t="n"/>
      <c r="AW58" s="305" t="n"/>
      <c r="AX58" s="305" t="n"/>
      <c r="AY58" s="305" t="n"/>
      <c r="AZ58" s="305" t="n"/>
      <c r="BA58" s="305" t="n"/>
      <c r="BB58" s="305" t="n"/>
      <c r="BC58" s="305" t="n"/>
      <c r="BD58" s="305" t="n"/>
      <c r="BE58" s="305" t="n"/>
      <c r="BF58" s="305" t="n"/>
      <c r="BG58" s="305" t="n"/>
      <c r="BH58" s="305" t="n"/>
      <c r="BI58" s="305" t="n"/>
      <c r="BJ58" s="305" t="n"/>
      <c r="BK58" s="305" t="n"/>
      <c r="BL58" s="305" t="n"/>
      <c r="BM58" s="305" t="n"/>
      <c r="BN58" s="305" t="n"/>
      <c r="BO58" s="305" t="n"/>
      <c r="BP58" s="305" t="n"/>
      <c r="BQ58" s="305" t="n"/>
      <c r="BR58" s="305" t="n"/>
      <c r="BS58" s="305" t="n"/>
      <c r="BT58" s="305" t="n"/>
      <c r="BU58" s="305" t="n"/>
      <c r="BV58" s="305" t="n"/>
      <c r="BW58" s="305" t="n"/>
      <c r="BX58" s="305" t="n"/>
      <c r="BY58" s="305" t="n"/>
      <c r="BZ58" s="305" t="n"/>
      <c r="CA58" s="305" t="n"/>
      <c r="CB58" s="305" t="n"/>
      <c r="CC58" s="305" t="n"/>
      <c r="CD58" s="305" t="n"/>
      <c r="CE58" s="305" t="n"/>
      <c r="CF58" s="305" t="n"/>
      <c r="CG58" s="305" t="n"/>
      <c r="CH58" s="305" t="n"/>
      <c r="CI58" s="305" t="n"/>
      <c r="CJ58" s="305" t="n"/>
      <c r="CK58" s="305" t="n"/>
      <c r="CL58" s="305" t="n"/>
      <c r="CM58" s="305" t="n"/>
      <c r="CN58" s="305" t="n"/>
      <c r="CO58" s="305" t="n"/>
      <c r="CP58" s="305" t="n"/>
      <c r="CQ58" s="305" t="n"/>
      <c r="CR58" s="305" t="n"/>
      <c r="CS58" s="305" t="n"/>
      <c r="CT58" s="305" t="n"/>
      <c r="CU58" s="305" t="n"/>
      <c r="CV58" s="305" t="n"/>
      <c r="CW58" s="305" t="n"/>
      <c r="CX58" s="305" t="n"/>
      <c r="CY58" s="305" t="n"/>
    </row>
    <row r="59" hidden="1" outlineLevel="1" ht="12.75" customHeight="1" s="255">
      <c r="C59" s="305" t="n"/>
      <c r="D59" s="305" t="n"/>
      <c r="E59" s="305" t="n"/>
      <c r="F59" s="305" t="n"/>
      <c r="G59" s="305" t="n"/>
      <c r="H59" s="305" t="n"/>
      <c r="I59" s="305" t="n"/>
      <c r="J59" s="305" t="n"/>
      <c r="K59" s="305" t="n"/>
      <c r="L59" s="305" t="n"/>
      <c r="M59" s="305" t="n"/>
      <c r="N59" s="305" t="n"/>
      <c r="O59" s="305" t="n"/>
      <c r="P59" s="305" t="n"/>
      <c r="Q59" s="305" t="n"/>
      <c r="R59" s="305" t="n"/>
      <c r="S59" s="305" t="n"/>
      <c r="T59" s="305" t="n"/>
      <c r="U59" s="305" t="n"/>
      <c r="V59" s="305" t="n"/>
      <c r="W59" s="305" t="n"/>
      <c r="X59" s="305" t="n"/>
      <c r="Y59" s="305" t="n"/>
      <c r="Z59" s="305" t="n"/>
      <c r="AA59" s="305" t="n"/>
      <c r="AB59" s="305" t="n"/>
      <c r="AC59" s="305" t="n"/>
      <c r="AD59" s="305" t="n"/>
      <c r="AE59" s="305" t="n"/>
      <c r="AF59" s="305" t="n"/>
      <c r="AG59" s="305" t="n"/>
      <c r="AH59" s="305" t="n"/>
      <c r="AI59" s="305" t="n"/>
      <c r="AJ59" s="305" t="n"/>
      <c r="AK59" s="305" t="n"/>
      <c r="AL59" s="305" t="n"/>
      <c r="AM59" s="305" t="n"/>
      <c r="AN59" s="305" t="n"/>
      <c r="AO59" s="305" t="n"/>
      <c r="AP59" s="305" t="n"/>
      <c r="AQ59" s="305" t="n"/>
      <c r="AR59" s="305" t="n"/>
      <c r="AS59" s="305" t="n"/>
      <c r="AT59" s="305" t="n"/>
      <c r="AU59" s="305" t="n"/>
      <c r="AV59" s="305" t="n"/>
      <c r="AW59" s="305" t="n"/>
      <c r="AX59" s="305" t="n"/>
      <c r="AY59" s="305" t="n"/>
      <c r="AZ59" s="305" t="n"/>
      <c r="BA59" s="305" t="n"/>
      <c r="BB59" s="305" t="n"/>
      <c r="BC59" s="305" t="n"/>
      <c r="BD59" s="305" t="n"/>
      <c r="BE59" s="305" t="n"/>
      <c r="BF59" s="305" t="n"/>
      <c r="BG59" s="305" t="n"/>
      <c r="BH59" s="305" t="n"/>
      <c r="BI59" s="305" t="n"/>
      <c r="BJ59" s="305" t="n"/>
      <c r="BK59" s="305" t="n"/>
      <c r="BL59" s="305" t="n"/>
      <c r="BM59" s="305" t="n"/>
      <c r="BN59" s="305" t="n"/>
      <c r="BO59" s="305" t="n"/>
      <c r="BP59" s="305" t="n"/>
      <c r="BQ59" s="305" t="n"/>
      <c r="BR59" s="305" t="n"/>
      <c r="BS59" s="305" t="n"/>
      <c r="BT59" s="305" t="n"/>
      <c r="BU59" s="305" t="n"/>
      <c r="BV59" s="305" t="n"/>
      <c r="BW59" s="305" t="n"/>
      <c r="BX59" s="305" t="n"/>
      <c r="BY59" s="305" t="n"/>
      <c r="BZ59" s="305" t="n"/>
      <c r="CA59" s="305" t="n"/>
      <c r="CB59" s="305" t="n"/>
      <c r="CC59" s="305" t="n"/>
      <c r="CD59" s="305" t="n"/>
      <c r="CE59" s="305" t="n"/>
      <c r="CF59" s="305" t="n"/>
      <c r="CG59" s="305" t="n"/>
      <c r="CH59" s="305" t="n"/>
      <c r="CI59" s="305" t="n"/>
      <c r="CJ59" s="305" t="n"/>
      <c r="CK59" s="305" t="n"/>
      <c r="CL59" s="305" t="n"/>
      <c r="CM59" s="305" t="n"/>
      <c r="CN59" s="305" t="n"/>
      <c r="CO59" s="305" t="n"/>
      <c r="CP59" s="305" t="n"/>
      <c r="CQ59" s="305" t="n"/>
      <c r="CR59" s="305" t="n"/>
      <c r="CS59" s="305" t="n"/>
      <c r="CT59" s="305" t="n"/>
      <c r="CU59" s="305" t="n"/>
      <c r="CV59" s="305" t="n"/>
      <c r="CW59" s="305" t="n"/>
      <c r="CX59" s="305" t="n"/>
      <c r="CY59" s="305" t="n"/>
    </row>
    <row r="60" ht="12.75" customHeight="1" s="255">
      <c r="C60" s="269" t="inlineStr">
        <is>
          <t>SG&amp;A and Other (cash)</t>
        </is>
      </c>
      <c r="D60" s="301">
        <f>INDEX('Inputs (2)'!$D$6:$AL$6,MATCH(D$7,'Inputs (2)'!$D$2:$AL$2,0))</f>
        <v>-24581</v>
      </c>
      <c r="E60" s="301">
        <f>INDEX('Inputs (2)'!$D$6:$AL$6,MATCH(E$7,'Inputs (2)'!$D$2:$AL$2,0))</f>
        <v>-26223</v>
      </c>
      <c r="F60" s="301">
        <f>INDEX('Inputs (2)'!$D$6:$AL$6,MATCH(F$7,'Inputs (2)'!$D$2:$AL$2,0))</f>
        <v>-25820</v>
      </c>
      <c r="G60" s="301">
        <f>INDEX('Inputs (2)'!$D$6:$AL$6,MATCH(G$7,'Inputs (2)'!$D$2:$AL$2,0))</f>
        <v>-28512</v>
      </c>
      <c r="H60" s="268">
        <f>SUM(D60:G60)</f>
        <v>-105136</v>
      </c>
      <c r="I60" s="301">
        <f>INDEX('Inputs (2)'!$D$6:$AL$6,MATCH(I$7,'Inputs (2)'!$D$2:$AL$2,0))</f>
        <v>-25468</v>
      </c>
      <c r="J60" s="301">
        <f>INDEX('Inputs (2)'!$D$6:$AL$6,MATCH(J$7,'Inputs (2)'!$D$2:$AL$2,0))</f>
        <v>-25870</v>
      </c>
      <c r="K60" s="301">
        <f>INDEX('Inputs (2)'!$D$6:$AL$6,MATCH(K$7,'Inputs (2)'!$D$2:$AL$2,0))</f>
        <v>-27060</v>
      </c>
      <c r="L60" s="301">
        <f>INDEX('Inputs (2)'!$D$6:$AL$6,MATCH(L$7,'Inputs (2)'!$D$2:$AL$2,0))</f>
        <v>-28756</v>
      </c>
      <c r="M60" s="268">
        <f>SUM(I60:L60)</f>
        <v>-107154</v>
      </c>
      <c r="N60" s="301">
        <f>INDEX('Inputs (2)'!$D$6:$AL$6,MATCH(N$7,'Inputs (2)'!$D$2:$AL$2,0))</f>
        <v>-26724</v>
      </c>
      <c r="O60" s="301">
        <f>INDEX('Inputs (2)'!$D$6:$AL$6,MATCH(O$7,'Inputs (2)'!$D$2:$AL$2,0))</f>
        <v>-27468</v>
      </c>
      <c r="P60" s="301">
        <f>INDEX('Inputs (2)'!$D$6:$AL$6,MATCH(P$7,'Inputs (2)'!$D$2:$AL$2,0))</f>
        <v>-31750</v>
      </c>
      <c r="Q60" s="301">
        <f>INDEX('Inputs (2)'!$D$6:$AL$6,MATCH(Q$7,'Inputs (2)'!$D$2:$AL$2,0))</f>
        <v>-30253</v>
      </c>
      <c r="R60" s="268">
        <f>SUM(N60:Q60)</f>
        <v>-116195</v>
      </c>
      <c r="S60" s="301">
        <f>INDEX('Inputs (2)'!$D$6:$AL$6,MATCH(S$7,'Inputs (2)'!$D$2:$AL$2,0))</f>
        <v>-27932</v>
      </c>
      <c r="T60" s="301">
        <f>INDEX('Inputs (2)'!$D$6:$AL$6,MATCH(T$7,'Inputs (2)'!$D$2:$AL$2,0))</f>
        <v>-29561</v>
      </c>
      <c r="U60" s="301">
        <f>INDEX('Inputs (2)'!$D$6:$AL$6,MATCH(U$7,'Inputs (2)'!$D$2:$AL$2,0))</f>
        <v>-30433</v>
      </c>
      <c r="V60" s="301">
        <f>INDEX('Inputs (2)'!$D$6:$AL$6,MATCH(V$7,'Inputs (2)'!$D$2:$AL$2,0))</f>
        <v>-31192</v>
      </c>
      <c r="W60" s="268">
        <f>SUM(S60:V60)</f>
        <v>-119118</v>
      </c>
      <c r="X60" s="301">
        <f>INDEX('Inputs (2)'!$D$6:$AL$6,MATCH(X$7,'Inputs (2)'!$D$2:$AL$2,0))</f>
        <v>-30108</v>
      </c>
      <c r="Y60" s="301">
        <f>INDEX('Inputs (2)'!$D$6:$AL$6,MATCH(Y$7,'Inputs (2)'!$D$2:$AL$2,0))</f>
        <v>-31374</v>
      </c>
      <c r="Z60" s="301">
        <f>INDEX('Inputs (2)'!$D$6:$AL$6,MATCH(Z$7,'Inputs (2)'!$D$2:$AL$2,0))</f>
        <v>-32280</v>
      </c>
      <c r="AA60" s="301">
        <f>INDEX('Inputs (2)'!$D$6:$AL$6,MATCH(AA$7,'Inputs (2)'!$D$2:$AL$2,0))</f>
        <v>-33149</v>
      </c>
      <c r="AB60" s="268">
        <f>SUM(X60:AA60)</f>
        <v>-126911</v>
      </c>
      <c r="AC60" s="301">
        <f>INDEX('Inputs (2)'!$D$6:$AL$6,MATCH(AC$7,'Inputs (2)'!$D$2:$AL$2,0))</f>
        <v>-30802</v>
      </c>
      <c r="AD60" s="301">
        <f>INDEX('Inputs (2)'!$D$6:$AL$6,MATCH(AD$7,'Inputs (2)'!$D$2:$AL$2,0))</f>
        <v>-33858</v>
      </c>
      <c r="AE60" s="301">
        <f>INDEX('Inputs (2)'!$D$6:$AL$6,MATCH(AE$7,'Inputs (2)'!$D$2:$AL$2,0))</f>
        <v>-34488</v>
      </c>
      <c r="AF60" s="301">
        <f>INDEX('Inputs (2)'!$D$6:$AL$6,MATCH(AF$7,'Inputs (2)'!$D$2:$AL$2,0))</f>
        <v>-34592</v>
      </c>
      <c r="AG60" s="268">
        <f>SUM(AC60:AF60)</f>
        <v>-133740</v>
      </c>
      <c r="AH60" s="268">
        <f>INDEX('Inputs (2)'!$D$6:$AL$6,MATCH(AH$7,'Inputs (2)'!$D$2:$AL$2,0))</f>
        <v>-33379</v>
      </c>
      <c r="AI60" s="268">
        <f>INDEX('Inputs (2)'!$D$6:$AL$6,MATCH(AI$7,'Inputs (2)'!$D$2:$AL$2,0))</f>
        <v>-35825</v>
      </c>
      <c r="AJ60" s="268">
        <f>-AJ15*AJ61</f>
        <v>0</v>
      </c>
      <c r="AK60" s="268">
        <f>-AK15*AK61</f>
        <v>0</v>
      </c>
      <c r="AL60" s="268">
        <f>SUM(AH60:AK60)</f>
        <v>-69204</v>
      </c>
      <c r="AM60" s="268">
        <f>-AM15*AM61</f>
        <v>0</v>
      </c>
      <c r="AN60" s="268">
        <f>-AN15*AN61</f>
        <v>0</v>
      </c>
      <c r="AO60" s="268">
        <f>-AO15*AO61</f>
        <v>0</v>
      </c>
      <c r="AP60" s="268">
        <f>-AP15*AP61</f>
        <v>0</v>
      </c>
      <c r="AQ60" s="268">
        <f>SUM(AM60:AP60)</f>
        <v>0</v>
      </c>
      <c r="AR60" s="268">
        <f>-AR15*AR61</f>
        <v>0</v>
      </c>
      <c r="AS60" s="268">
        <f>-AS15*AS61</f>
        <v>0</v>
      </c>
      <c r="AT60" s="268">
        <f>-AT15*AT61</f>
        <v>0</v>
      </c>
      <c r="AU60" s="268">
        <f>-AU15*AU61</f>
        <v>0</v>
      </c>
      <c r="AV60" s="268">
        <f>SUM(AR60:AU60)</f>
        <v>0</v>
      </c>
      <c r="AW60" s="268">
        <f>-AW15*AW61</f>
        <v>0</v>
      </c>
      <c r="AX60" s="268">
        <f>-AX15*AX61</f>
        <v>0</v>
      </c>
      <c r="AY60" s="268">
        <f>-AY15*AY61</f>
        <v>0</v>
      </c>
      <c r="AZ60" s="268">
        <f>-AZ15*AZ61</f>
        <v>0</v>
      </c>
      <c r="BA60" s="268">
        <f>SUM(AW60:AZ60)</f>
        <v>0</v>
      </c>
      <c r="BB60" s="268">
        <f>-BB15*BB61</f>
        <v>0</v>
      </c>
      <c r="BC60" s="268">
        <f>-BC15*BC61</f>
        <v>0</v>
      </c>
      <c r="BD60" s="268">
        <f>-BD15*BD61</f>
        <v>0</v>
      </c>
      <c r="BE60" s="268">
        <f>-BE15*BE61</f>
        <v>0</v>
      </c>
      <c r="BF60" s="268">
        <f>SUM(BB60:BE60)</f>
        <v>0</v>
      </c>
      <c r="BG60" s="268">
        <f>-BG15*BG61</f>
        <v>0</v>
      </c>
      <c r="BH60" s="268">
        <f>-BH15*BH61</f>
        <v>0</v>
      </c>
      <c r="BI60" s="268">
        <f>-BI15*BI61</f>
        <v>0</v>
      </c>
      <c r="BJ60" s="268">
        <f>-BJ15*BJ61</f>
        <v>0</v>
      </c>
      <c r="BK60" s="268">
        <f>SUM(BG60:BJ60)</f>
        <v>0</v>
      </c>
      <c r="BL60" s="268">
        <f>-BL15*BL61</f>
        <v>0</v>
      </c>
      <c r="BM60" s="268">
        <f>-BM15*BM61</f>
        <v>0</v>
      </c>
      <c r="BN60" s="268">
        <f>-BN15*BN61</f>
        <v>0</v>
      </c>
      <c r="BO60" s="268">
        <f>-BO15*BO61</f>
        <v>0</v>
      </c>
      <c r="BP60" s="268">
        <f>SUM(BL60:BO60)</f>
        <v>0</v>
      </c>
      <c r="BQ60" s="268">
        <f>-BQ15*BQ61</f>
        <v>0</v>
      </c>
      <c r="BR60" s="268">
        <f>-BR15*BR61</f>
        <v>0</v>
      </c>
      <c r="BS60" s="268">
        <f>-BS15*BS61</f>
        <v>0</v>
      </c>
      <c r="BT60" s="268">
        <f>-BT15*BT61</f>
        <v>0</v>
      </c>
      <c r="BU60" s="268">
        <f>SUM(BQ60:BT60)</f>
        <v>0</v>
      </c>
      <c r="BV60" s="268">
        <f>-BV15*BV61</f>
        <v>0</v>
      </c>
      <c r="BW60" s="268">
        <f>-BW15*BW61</f>
        <v>0</v>
      </c>
      <c r="BX60" s="268">
        <f>-BX15*BX61</f>
        <v>0</v>
      </c>
      <c r="BY60" s="268">
        <f>-BY15*BY61</f>
        <v>0</v>
      </c>
      <c r="BZ60" s="268">
        <f>SUM(BV60:BY60)</f>
        <v>0</v>
      </c>
      <c r="CA60" s="268">
        <f>-CA15*CA61</f>
        <v>0</v>
      </c>
      <c r="CB60" s="268">
        <f>-CB15*CB61</f>
        <v>0</v>
      </c>
      <c r="CC60" s="268">
        <f>-CC15*CC61</f>
        <v>0</v>
      </c>
      <c r="CD60" s="268">
        <f>-CD15*CD61</f>
        <v>0</v>
      </c>
      <c r="CE60" s="268">
        <f>SUM(CA60:CD60)</f>
        <v>0</v>
      </c>
      <c r="CF60" s="268">
        <f>-CF15*CF61</f>
        <v>0</v>
      </c>
      <c r="CG60" s="268">
        <f>-CG15*CG61</f>
        <v>0</v>
      </c>
      <c r="CH60" s="268">
        <f>-CH15*CH61</f>
        <v>0</v>
      </c>
      <c r="CI60" s="268">
        <f>-CI15*CI61</f>
        <v>0</v>
      </c>
      <c r="CJ60" s="268">
        <f>SUM(CF60:CI60)</f>
        <v>0</v>
      </c>
      <c r="CK60" s="268">
        <f>-CK15*CK61</f>
        <v>0</v>
      </c>
      <c r="CL60" s="268">
        <f>-CL15*CL61</f>
        <v>0</v>
      </c>
      <c r="CM60" s="268">
        <f>-CM15*CM61</f>
        <v>0</v>
      </c>
      <c r="CN60" s="268">
        <f>-CN15*CN61</f>
        <v>0</v>
      </c>
      <c r="CO60" s="268">
        <f>SUM(CK60:CN60)</f>
        <v>0</v>
      </c>
      <c r="CP60" s="268">
        <f>-CP15*CP61</f>
        <v>0</v>
      </c>
      <c r="CQ60" s="268">
        <f>-CQ15*CQ61</f>
        <v>0</v>
      </c>
      <c r="CR60" s="268">
        <f>-CR15*CR61</f>
        <v>0</v>
      </c>
      <c r="CS60" s="268">
        <f>-CS15*CS61</f>
        <v>0</v>
      </c>
      <c r="CT60" s="268">
        <f>SUM(CP60:CS60)</f>
        <v>0</v>
      </c>
      <c r="CU60" s="268">
        <f>-CU15*CU61</f>
        <v>0</v>
      </c>
      <c r="CV60" s="268">
        <f>-CV15*CV61</f>
        <v>0</v>
      </c>
      <c r="CW60" s="268">
        <f>-CW15*CW61</f>
        <v>0</v>
      </c>
      <c r="CX60" s="268">
        <f>-CX15*CX61</f>
        <v>0</v>
      </c>
      <c r="CY60" s="268">
        <f>SUM(CU60:CX60)</f>
        <v>0</v>
      </c>
    </row>
    <row r="61" hidden="1" outlineLevel="1" ht="12.75" customHeight="1" s="255">
      <c r="C61" s="294" t="inlineStr">
        <is>
          <t>% SG&amp;A and Other Margin</t>
        </is>
      </c>
      <c r="D61" s="306">
        <f>-(D60/D$15)</f>
        <v>0.18259274115672</v>
      </c>
      <c r="E61" s="306">
        <f>-(E60/E$15)</f>
        <v>0.190377662586575</v>
      </c>
      <c r="F61" s="306">
        <f>-(F60/F$15)</f>
        <v>0.191673842681949</v>
      </c>
      <c r="G61" s="306">
        <f>-(G60/G$15)</f>
        <v>0.187481506322372</v>
      </c>
      <c r="H61" s="306">
        <f>-(H60/H$15)</f>
        <v>0.18802792090151</v>
      </c>
      <c r="I61" s="306">
        <f>-(I60/I$15)</f>
        <v>0.184137083363459</v>
      </c>
      <c r="J61" s="306">
        <f>-(J60/J$15)</f>
        <v>0.183412738925756</v>
      </c>
      <c r="K61" s="306">
        <f>-(K60/K$15)</f>
        <v>0.192563600782779</v>
      </c>
      <c r="L61" s="306">
        <f>-(L60/L$15)</f>
        <v>0.18810631185771</v>
      </c>
      <c r="M61" s="306">
        <f>-(M60/M$15)</f>
        <v>0.18708555505505</v>
      </c>
      <c r="N61" s="306">
        <f>-(N60/N$15)</f>
        <v>0.188770140355586</v>
      </c>
      <c r="O61" s="306">
        <f>-(O60/O$15)</f>
        <v>0.179695013051243</v>
      </c>
      <c r="P61" s="306">
        <f>-(P60/P$15)</f>
        <v>0.207770281324233</v>
      </c>
      <c r="Q61" s="306">
        <f>-(Q60/Q$15)</f>
        <v>0.184415536916025</v>
      </c>
      <c r="R61" s="306">
        <f>-(R60/R$15)</f>
        <v>0.19008194160209</v>
      </c>
      <c r="S61" s="306">
        <f>-(S60/S$15)</f>
        <v>0.183399977675787</v>
      </c>
      <c r="T61" s="306">
        <f>-(T60/T$15)</f>
        <v>0.182890764205108</v>
      </c>
      <c r="U61" s="306">
        <f>-(U60/U$15)</f>
        <v>0.189255242406905</v>
      </c>
      <c r="V61" s="306">
        <f>-(V60/V$15)</f>
        <v>0.179897109373198</v>
      </c>
      <c r="W61" s="306">
        <f>-(W60/W$15)</f>
        <v>0.183788621022179</v>
      </c>
      <c r="X61" s="306">
        <f>-(X60/X$15)</f>
        <v>0.186418010253362</v>
      </c>
      <c r="Y61" s="306">
        <f>-(Y60/Y$15)</f>
        <v>0.185277703959607</v>
      </c>
      <c r="Z61" s="306">
        <f>-(Z60/Z$15)</f>
        <v>0.190343656390782</v>
      </c>
      <c r="AA61" s="306">
        <f>-(AA60/AA$15)</f>
        <v>0.183596043288988</v>
      </c>
      <c r="AB61" s="306">
        <f>-(AB60/AB$15)</f>
        <v>0.186363869982452</v>
      </c>
      <c r="AC61" s="306">
        <f>-(AC60/AC$15)</f>
        <v>0.185992307181373</v>
      </c>
      <c r="AD61" s="306">
        <f>-(AD60/AD$15)</f>
        <v>0.190854669056719</v>
      </c>
      <c r="AE61" s="306">
        <f>-(AE60/AE$15)</f>
        <v>0.192137986361813</v>
      </c>
      <c r="AF61" s="297">
        <f>-(AF60/AF$15)</f>
        <v>0.181436723732796</v>
      </c>
      <c r="AG61" s="306">
        <f>-(AG60/AG$15)</f>
        <v>0.187530760849904</v>
      </c>
      <c r="AH61" s="307">
        <f>-(AH60/AH$15)</f>
        <v>0.187785160139746</v>
      </c>
      <c r="AI61" s="307">
        <f>-(AI60/AI$15)</f>
        <v>0.19062238941773</v>
      </c>
      <c r="AJ61" s="307" t="n"/>
      <c r="AK61" s="307" t="n"/>
      <c r="AL61" s="306">
        <f>-(AL60/AL$15)</f>
        <v>0.0940476190476191</v>
      </c>
      <c r="AM61" s="307" t="n"/>
      <c r="AN61" s="307" t="n"/>
      <c r="AO61" s="307" t="n"/>
      <c r="AP61" s="307" t="n"/>
      <c r="AQ61" s="306">
        <f>-(AQ60/AQ$15)</f>
        <v>0</v>
      </c>
      <c r="AR61" s="307" t="n"/>
      <c r="AS61" s="307" t="n"/>
      <c r="AT61" s="307" t="n"/>
      <c r="AU61" s="307" t="n"/>
      <c r="AV61" s="306">
        <f>-(AV60/AV$15)</f>
        <v>0</v>
      </c>
      <c r="AW61" s="307" t="n"/>
      <c r="AX61" s="307" t="n"/>
      <c r="AY61" s="307" t="n"/>
      <c r="AZ61" s="307" t="n"/>
      <c r="BA61" s="306">
        <f>-(BA60/BA$15)</f>
        <v>0</v>
      </c>
      <c r="BB61" s="307" t="n"/>
      <c r="BC61" s="307" t="n"/>
      <c r="BD61" s="307" t="n"/>
      <c r="BE61" s="307" t="n"/>
      <c r="BF61" s="306">
        <f>-(BF60/BF$15)</f>
        <v>0</v>
      </c>
      <c r="BG61" s="307" t="n"/>
      <c r="BH61" s="307" t="n"/>
      <c r="BI61" s="307" t="n"/>
      <c r="BJ61" s="307" t="n"/>
      <c r="BK61" s="306">
        <f>-(BK60/BK$15)</f>
        <v>0</v>
      </c>
      <c r="BL61" s="307" t="n"/>
      <c r="BM61" s="307" t="n"/>
      <c r="BN61" s="307" t="n"/>
      <c r="BO61" s="307" t="n"/>
      <c r="BP61" s="306">
        <f>-(BP60/BP$15)</f>
        <v>0</v>
      </c>
      <c r="BQ61" s="307" t="n"/>
      <c r="BR61" s="307" t="n"/>
      <c r="BS61" s="307" t="n"/>
      <c r="BT61" s="307" t="n"/>
      <c r="BU61" s="306">
        <f>-(BU60/BU$15)</f>
        <v>0</v>
      </c>
      <c r="BV61" s="307" t="n"/>
      <c r="BW61" s="307" t="n"/>
      <c r="BX61" s="307" t="n"/>
      <c r="BY61" s="307" t="n"/>
      <c r="BZ61" s="306">
        <f>-(BZ60/BZ$15)</f>
        <v>0</v>
      </c>
      <c r="CA61" s="307" t="n"/>
      <c r="CB61" s="307" t="n"/>
      <c r="CC61" s="307" t="n"/>
      <c r="CD61" s="307" t="n"/>
      <c r="CE61" s="306">
        <f>-(CE60/CE$15)</f>
        <v>0</v>
      </c>
      <c r="CF61" s="307" t="n"/>
      <c r="CG61" s="307" t="n"/>
      <c r="CH61" s="307" t="n"/>
      <c r="CI61" s="307" t="n"/>
      <c r="CJ61" s="306">
        <f>-(CJ60/CJ$15)</f>
        <v>0</v>
      </c>
      <c r="CK61" s="307" t="n"/>
      <c r="CL61" s="307" t="n"/>
      <c r="CM61" s="307" t="n"/>
      <c r="CN61" s="307" t="n"/>
      <c r="CO61" s="306">
        <f>-(CO60/CO$15)</f>
        <v>0</v>
      </c>
      <c r="CP61" s="307" t="n"/>
      <c r="CQ61" s="307" t="n"/>
      <c r="CR61" s="307" t="n"/>
      <c r="CS61" s="307" t="n"/>
      <c r="CT61" s="306">
        <f>-(CT60/CT$15)</f>
        <v>0</v>
      </c>
      <c r="CU61" s="307" t="n"/>
      <c r="CV61" s="307" t="n"/>
      <c r="CW61" s="307" t="n"/>
      <c r="CX61" s="307" t="n"/>
      <c r="CY61" s="306">
        <f>-(CY60/CY$15)</f>
        <v>0</v>
      </c>
    </row>
    <row r="62" hidden="1" outlineLevel="1" ht="12.75" customHeight="1" s="255">
      <c r="C62" s="305" t="n"/>
      <c r="D62" s="305" t="n"/>
      <c r="E62" s="305" t="n"/>
      <c r="F62" s="305" t="n"/>
      <c r="G62" s="305" t="n"/>
      <c r="H62" s="305" t="n"/>
      <c r="I62" s="305" t="n"/>
      <c r="J62" s="305" t="n"/>
      <c r="K62" s="305" t="n"/>
      <c r="L62" s="305" t="n"/>
      <c r="M62" s="305" t="n"/>
      <c r="N62" s="305" t="n"/>
      <c r="O62" s="305" t="n"/>
      <c r="P62" s="305" t="n"/>
      <c r="Q62" s="305" t="n"/>
      <c r="R62" s="305" t="n"/>
      <c r="S62" s="305" t="n"/>
      <c r="T62" s="305" t="n"/>
      <c r="U62" s="305" t="n"/>
      <c r="V62" s="305" t="n"/>
      <c r="W62" s="305" t="n"/>
      <c r="X62" s="305" t="n"/>
      <c r="Y62" s="305" t="n"/>
      <c r="Z62" s="305" t="n"/>
      <c r="AA62" s="305" t="n"/>
      <c r="AB62" s="305" t="n"/>
      <c r="AC62" s="305" t="n"/>
      <c r="AD62" s="305" t="n"/>
      <c r="AE62" s="305" t="n"/>
      <c r="AF62" s="305" t="n"/>
      <c r="AG62" s="305" t="n"/>
      <c r="AH62" s="305" t="n"/>
      <c r="AI62" s="305" t="n"/>
      <c r="AJ62" s="305" t="n"/>
      <c r="AK62" s="305" t="n"/>
      <c r="AL62" s="305" t="n"/>
      <c r="AM62" s="305" t="n"/>
      <c r="AN62" s="305" t="n"/>
      <c r="AO62" s="305" t="n"/>
      <c r="AP62" s="305" t="n"/>
      <c r="AQ62" s="305" t="n"/>
      <c r="AR62" s="305" t="n"/>
      <c r="AS62" s="305" t="n"/>
      <c r="AT62" s="305" t="n"/>
      <c r="AU62" s="305" t="n"/>
      <c r="AV62" s="305" t="n"/>
      <c r="AW62" s="305" t="n"/>
      <c r="AX62" s="305" t="n"/>
      <c r="AY62" s="305" t="n"/>
      <c r="AZ62" s="305" t="n"/>
      <c r="BA62" s="305" t="n"/>
      <c r="BB62" s="305" t="n"/>
      <c r="BC62" s="305" t="n"/>
      <c r="BD62" s="305" t="n"/>
      <c r="BE62" s="305" t="n"/>
      <c r="BF62" s="305" t="n"/>
      <c r="BG62" s="305" t="n"/>
      <c r="BH62" s="305" t="n"/>
      <c r="BI62" s="305" t="n"/>
      <c r="BJ62" s="305" t="n"/>
      <c r="BK62" s="305" t="n"/>
      <c r="BL62" s="305" t="n"/>
      <c r="BM62" s="305" t="n"/>
      <c r="BN62" s="305" t="n"/>
      <c r="BO62" s="305" t="n"/>
      <c r="BP62" s="305" t="n"/>
      <c r="BQ62" s="305" t="n"/>
      <c r="BR62" s="305" t="n"/>
      <c r="BS62" s="305" t="n"/>
      <c r="BT62" s="305" t="n"/>
      <c r="BU62" s="305" t="n"/>
      <c r="BV62" s="305" t="n"/>
      <c r="BW62" s="305" t="n"/>
      <c r="BX62" s="305" t="n"/>
      <c r="BY62" s="305" t="n"/>
      <c r="BZ62" s="305" t="n"/>
      <c r="CA62" s="305" t="n"/>
      <c r="CB62" s="305" t="n"/>
      <c r="CC62" s="305" t="n"/>
      <c r="CD62" s="305" t="n"/>
      <c r="CE62" s="305" t="n"/>
      <c r="CF62" s="305" t="n"/>
      <c r="CG62" s="305" t="n"/>
      <c r="CH62" s="305" t="n"/>
      <c r="CI62" s="305" t="n"/>
      <c r="CJ62" s="305" t="n"/>
      <c r="CK62" s="305" t="n"/>
      <c r="CL62" s="305" t="n"/>
      <c r="CM62" s="305" t="n"/>
      <c r="CN62" s="305" t="n"/>
      <c r="CO62" s="305" t="n"/>
      <c r="CP62" s="305" t="n"/>
      <c r="CQ62" s="305" t="n"/>
      <c r="CR62" s="305" t="n"/>
      <c r="CS62" s="305" t="n"/>
      <c r="CT62" s="305" t="n"/>
      <c r="CU62" s="305" t="n"/>
      <c r="CV62" s="305" t="n"/>
      <c r="CW62" s="305" t="n"/>
      <c r="CX62" s="305" t="n"/>
      <c r="CY62" s="305" t="n"/>
    </row>
    <row r="63" hidden="1" outlineLevel="1" ht="12.75" customHeight="1" s="255">
      <c r="C63" s="305" t="inlineStr">
        <is>
          <t>Com Vendas</t>
        </is>
      </c>
      <c r="D63" s="267" t="n"/>
      <c r="E63" s="267" t="n"/>
      <c r="F63" s="267" t="n"/>
      <c r="G63" s="267" t="n"/>
      <c r="H63" s="305" t="n"/>
      <c r="I63" s="267" t="n"/>
      <c r="J63" s="267" t="n"/>
      <c r="K63" s="267" t="n"/>
      <c r="L63" s="267" t="n"/>
      <c r="M63" s="305" t="n"/>
      <c r="N63" s="267" t="n"/>
      <c r="O63" s="267" t="n"/>
      <c r="P63" s="267" t="n"/>
      <c r="Q63" s="267" t="n"/>
      <c r="R63" s="305" t="n"/>
      <c r="S63" s="267" t="n"/>
      <c r="T63" s="267" t="n"/>
      <c r="U63" s="267" t="n"/>
      <c r="V63" s="267" t="n"/>
      <c r="W63" s="305" t="n"/>
      <c r="X63" s="267" t="n"/>
      <c r="Y63" s="267" t="n"/>
      <c r="Z63" s="267" t="n"/>
      <c r="AA63" s="267" t="n"/>
      <c r="AB63" s="305" t="n"/>
      <c r="AC63" s="267" t="n"/>
      <c r="AD63" s="267" t="n"/>
      <c r="AE63" s="267" t="n"/>
      <c r="AF63" s="267" t="n"/>
      <c r="AG63" s="305" t="n"/>
      <c r="AH63" s="305" t="n"/>
      <c r="AI63" s="305" t="n"/>
      <c r="AJ63" s="305" t="n"/>
      <c r="AK63" s="305" t="n"/>
      <c r="AL63" s="305" t="n"/>
      <c r="AM63" s="305" t="n"/>
      <c r="AN63" s="305" t="n"/>
      <c r="AO63" s="305" t="n"/>
      <c r="AP63" s="305" t="n"/>
      <c r="AQ63" s="305" t="n"/>
      <c r="AR63" s="305" t="n"/>
      <c r="AS63" s="305" t="n"/>
      <c r="AT63" s="305" t="n"/>
      <c r="AU63" s="305" t="n"/>
      <c r="AV63" s="305" t="n"/>
      <c r="AW63" s="305" t="n"/>
      <c r="AX63" s="305" t="n"/>
      <c r="AY63" s="305" t="n"/>
      <c r="AZ63" s="305" t="n"/>
      <c r="BA63" s="305" t="n"/>
      <c r="BB63" s="305" t="n"/>
      <c r="BC63" s="305" t="n"/>
      <c r="BD63" s="305" t="n"/>
      <c r="BE63" s="305" t="n"/>
      <c r="BF63" s="305" t="n"/>
      <c r="BG63" s="305" t="n"/>
      <c r="BH63" s="305" t="n"/>
      <c r="BI63" s="305" t="n"/>
      <c r="BJ63" s="305" t="n"/>
      <c r="BK63" s="305" t="n"/>
      <c r="BL63" s="305" t="n"/>
      <c r="BM63" s="305" t="n"/>
      <c r="BN63" s="305" t="n"/>
      <c r="BO63" s="305" t="n"/>
      <c r="BP63" s="305" t="n"/>
      <c r="BQ63" s="305" t="n"/>
      <c r="BR63" s="305" t="n"/>
      <c r="BS63" s="305" t="n"/>
      <c r="BT63" s="305" t="n"/>
      <c r="BU63" s="305" t="n"/>
      <c r="BV63" s="305" t="n"/>
      <c r="BW63" s="305" t="n"/>
      <c r="BX63" s="305" t="n"/>
      <c r="BY63" s="305" t="n"/>
      <c r="BZ63" s="305" t="n"/>
      <c r="CA63" s="305" t="n"/>
      <c r="CB63" s="305" t="n"/>
      <c r="CC63" s="305" t="n"/>
      <c r="CD63" s="305" t="n"/>
      <c r="CE63" s="305" t="n"/>
      <c r="CF63" s="305" t="n"/>
      <c r="CG63" s="305" t="n"/>
      <c r="CH63" s="305" t="n"/>
      <c r="CI63" s="305" t="n"/>
      <c r="CJ63" s="305" t="n"/>
      <c r="CK63" s="305" t="n"/>
      <c r="CL63" s="305" t="n"/>
      <c r="CM63" s="305" t="n"/>
      <c r="CN63" s="305" t="n"/>
      <c r="CO63" s="305" t="n"/>
      <c r="CP63" s="305" t="n"/>
      <c r="CQ63" s="305" t="n"/>
      <c r="CR63" s="305" t="n"/>
      <c r="CS63" s="305" t="n"/>
      <c r="CT63" s="305" t="n"/>
      <c r="CU63" s="305" t="n"/>
      <c r="CV63" s="305" t="n"/>
      <c r="CW63" s="305" t="n"/>
      <c r="CX63" s="305" t="n"/>
      <c r="CY63" s="305" t="n"/>
    </row>
    <row r="64" hidden="1" outlineLevel="1" ht="12.75" customHeight="1" s="255">
      <c r="C64" s="305" t="inlineStr">
        <is>
          <t>Gerais &amp; Administrativas</t>
        </is>
      </c>
      <c r="D64" s="267" t="n"/>
      <c r="E64" s="267" t="n"/>
      <c r="F64" s="267" t="n"/>
      <c r="G64" s="267" t="n"/>
      <c r="H64" s="305" t="n"/>
      <c r="I64" s="267" t="n"/>
      <c r="J64" s="267" t="n"/>
      <c r="K64" s="267" t="n"/>
      <c r="L64" s="267" t="n"/>
      <c r="M64" s="305" t="n"/>
      <c r="N64" s="267" t="n"/>
      <c r="O64" s="267" t="n"/>
      <c r="P64" s="267" t="n"/>
      <c r="Q64" s="267" t="n"/>
      <c r="R64" s="305" t="n"/>
      <c r="S64" s="267" t="n"/>
      <c r="T64" s="267" t="n"/>
      <c r="U64" s="267" t="n"/>
      <c r="V64" s="267" t="n"/>
      <c r="W64" s="305" t="n"/>
      <c r="X64" s="267" t="n"/>
      <c r="Y64" s="267" t="n"/>
      <c r="Z64" s="267" t="n"/>
      <c r="AA64" s="267" t="n"/>
      <c r="AB64" s="305" t="n"/>
      <c r="AC64" s="267" t="n"/>
      <c r="AD64" s="267" t="n"/>
      <c r="AE64" s="267" t="n"/>
      <c r="AF64" s="267" t="n"/>
      <c r="AG64" s="305" t="n"/>
      <c r="AH64" s="305" t="n"/>
      <c r="AI64" s="305" t="n"/>
      <c r="AJ64" s="305" t="n"/>
      <c r="AK64" s="305" t="n"/>
      <c r="AL64" s="305" t="n"/>
      <c r="AM64" s="305" t="n"/>
      <c r="AN64" s="305" t="n"/>
      <c r="AO64" s="305" t="n"/>
      <c r="AP64" s="305" t="n"/>
      <c r="AQ64" s="305" t="n"/>
      <c r="AR64" s="305" t="n"/>
      <c r="AS64" s="305" t="n"/>
      <c r="AT64" s="305" t="n"/>
      <c r="AU64" s="305" t="n"/>
      <c r="AV64" s="305" t="n"/>
      <c r="AW64" s="305" t="n"/>
      <c r="AX64" s="305" t="n"/>
      <c r="AY64" s="305" t="n"/>
      <c r="AZ64" s="305" t="n"/>
      <c r="BA64" s="305" t="n"/>
      <c r="BB64" s="305" t="n"/>
      <c r="BC64" s="305" t="n"/>
      <c r="BD64" s="305" t="n"/>
      <c r="BE64" s="305" t="n"/>
      <c r="BF64" s="305" t="n"/>
      <c r="BG64" s="305" t="n"/>
      <c r="BH64" s="305" t="n"/>
      <c r="BI64" s="305" t="n"/>
      <c r="BJ64" s="305" t="n"/>
      <c r="BK64" s="305" t="n"/>
      <c r="BL64" s="305" t="n"/>
      <c r="BM64" s="305" t="n"/>
      <c r="BN64" s="305" t="n"/>
      <c r="BO64" s="305" t="n"/>
      <c r="BP64" s="305" t="n"/>
      <c r="BQ64" s="305" t="n"/>
      <c r="BR64" s="305" t="n"/>
      <c r="BS64" s="305" t="n"/>
      <c r="BT64" s="305" t="n"/>
      <c r="BU64" s="305" t="n"/>
      <c r="BV64" s="305" t="n"/>
      <c r="BW64" s="305" t="n"/>
      <c r="BX64" s="305" t="n"/>
      <c r="BY64" s="305" t="n"/>
      <c r="BZ64" s="305" t="n"/>
      <c r="CA64" s="305" t="n"/>
      <c r="CB64" s="305" t="n"/>
      <c r="CC64" s="305" t="n"/>
      <c r="CD64" s="305" t="n"/>
      <c r="CE64" s="305" t="n"/>
      <c r="CF64" s="305" t="n"/>
      <c r="CG64" s="305" t="n"/>
      <c r="CH64" s="305" t="n"/>
      <c r="CI64" s="305" t="n"/>
      <c r="CJ64" s="305" t="n"/>
      <c r="CK64" s="305" t="n"/>
      <c r="CL64" s="305" t="n"/>
      <c r="CM64" s="305" t="n"/>
      <c r="CN64" s="305" t="n"/>
      <c r="CO64" s="305" t="n"/>
      <c r="CP64" s="305" t="n"/>
      <c r="CQ64" s="305" t="n"/>
      <c r="CR64" s="305" t="n"/>
      <c r="CS64" s="305" t="n"/>
      <c r="CT64" s="305" t="n"/>
      <c r="CU64" s="305" t="n"/>
      <c r="CV64" s="305" t="n"/>
      <c r="CW64" s="305" t="n"/>
      <c r="CX64" s="305" t="n"/>
      <c r="CY64" s="305" t="n"/>
    </row>
    <row r="65" hidden="1" outlineLevel="1" ht="12.75" customHeight="1" s="255">
      <c r="C65" s="305" t="inlineStr">
        <is>
          <t>Outras Receitas (Despesas) Operacionais, Líquidas</t>
        </is>
      </c>
      <c r="D65" s="267" t="n"/>
      <c r="E65" s="267" t="n"/>
      <c r="F65" s="267" t="n"/>
      <c r="G65" s="267" t="n"/>
      <c r="H65" s="305" t="n"/>
      <c r="I65" s="267" t="n"/>
      <c r="J65" s="267" t="n"/>
      <c r="K65" s="267" t="n"/>
      <c r="L65" s="267" t="n"/>
      <c r="M65" s="305" t="n"/>
      <c r="N65" s="267" t="n"/>
      <c r="O65" s="267" t="n"/>
      <c r="P65" s="267" t="n"/>
      <c r="Q65" s="267" t="n"/>
      <c r="R65" s="305" t="n"/>
      <c r="S65" s="267" t="n"/>
      <c r="T65" s="267" t="n"/>
      <c r="U65" s="267" t="n"/>
      <c r="V65" s="267" t="n"/>
      <c r="W65" s="305" t="n"/>
      <c r="X65" s="267" t="n"/>
      <c r="Y65" s="267" t="n"/>
      <c r="Z65" s="267" t="n"/>
      <c r="AA65" s="267" t="n"/>
      <c r="AB65" s="305" t="n"/>
      <c r="AC65" s="267" t="n"/>
      <c r="AD65" s="267" t="n"/>
      <c r="AE65" s="267" t="n"/>
      <c r="AF65" s="267" t="n"/>
      <c r="AG65" s="305" t="n"/>
      <c r="AH65" s="305" t="n"/>
      <c r="AI65" s="305" t="n"/>
      <c r="AJ65" s="305" t="n"/>
      <c r="AK65" s="305" t="n"/>
      <c r="AL65" s="305" t="n"/>
      <c r="AM65" s="305" t="n"/>
      <c r="AN65" s="305" t="n"/>
      <c r="AO65" s="305" t="n"/>
      <c r="AP65" s="305" t="n"/>
      <c r="AQ65" s="305" t="n"/>
      <c r="AR65" s="305" t="n"/>
      <c r="AS65" s="305" t="n"/>
      <c r="AT65" s="305" t="n"/>
      <c r="AU65" s="305" t="n"/>
      <c r="AV65" s="305" t="n"/>
      <c r="AW65" s="305" t="n"/>
      <c r="AX65" s="305" t="n"/>
      <c r="AY65" s="305" t="n"/>
      <c r="AZ65" s="305" t="n"/>
      <c r="BA65" s="305" t="n"/>
      <c r="BB65" s="305" t="n"/>
      <c r="BC65" s="305" t="n"/>
      <c r="BD65" s="305" t="n"/>
      <c r="BE65" s="305" t="n"/>
      <c r="BF65" s="305" t="n"/>
      <c r="BG65" s="305" t="n"/>
      <c r="BH65" s="305" t="n"/>
      <c r="BI65" s="305" t="n"/>
      <c r="BJ65" s="305" t="n"/>
      <c r="BK65" s="305" t="n"/>
      <c r="BL65" s="305" t="n"/>
      <c r="BM65" s="305" t="n"/>
      <c r="BN65" s="305" t="n"/>
      <c r="BO65" s="305" t="n"/>
      <c r="BP65" s="305" t="n"/>
      <c r="BQ65" s="305" t="n"/>
      <c r="BR65" s="305" t="n"/>
      <c r="BS65" s="305" t="n"/>
      <c r="BT65" s="305" t="n"/>
      <c r="BU65" s="305" t="n"/>
      <c r="BV65" s="305" t="n"/>
      <c r="BW65" s="305" t="n"/>
      <c r="BX65" s="305" t="n"/>
      <c r="BY65" s="305" t="n"/>
      <c r="BZ65" s="305" t="n"/>
      <c r="CA65" s="305" t="n"/>
      <c r="CB65" s="305" t="n"/>
      <c r="CC65" s="305" t="n"/>
      <c r="CD65" s="305" t="n"/>
      <c r="CE65" s="305" t="n"/>
      <c r="CF65" s="305" t="n"/>
      <c r="CG65" s="305" t="n"/>
      <c r="CH65" s="305" t="n"/>
      <c r="CI65" s="305" t="n"/>
      <c r="CJ65" s="305" t="n"/>
      <c r="CK65" s="305" t="n"/>
      <c r="CL65" s="305" t="n"/>
      <c r="CM65" s="305" t="n"/>
      <c r="CN65" s="305" t="n"/>
      <c r="CO65" s="305" t="n"/>
      <c r="CP65" s="305" t="n"/>
      <c r="CQ65" s="305" t="n"/>
      <c r="CR65" s="305" t="n"/>
      <c r="CS65" s="305" t="n"/>
      <c r="CT65" s="305" t="n"/>
      <c r="CU65" s="305" t="n"/>
      <c r="CV65" s="305" t="n"/>
      <c r="CW65" s="305" t="n"/>
      <c r="CX65" s="305" t="n"/>
      <c r="CY65" s="305" t="n"/>
    </row>
    <row r="66" hidden="1" outlineLevel="1" ht="12.75" customHeight="1" s="255">
      <c r="C66" s="305" t="n"/>
      <c r="D66" s="305" t="n"/>
      <c r="E66" s="305" t="n"/>
      <c r="F66" s="305" t="n"/>
      <c r="G66" s="305" t="n"/>
      <c r="H66" s="305" t="n"/>
      <c r="I66" s="305" t="n"/>
      <c r="J66" s="305" t="n"/>
      <c r="K66" s="305" t="n"/>
      <c r="L66" s="305" t="n"/>
      <c r="M66" s="305" t="n"/>
      <c r="N66" s="305" t="n"/>
      <c r="O66" s="305" t="n"/>
      <c r="P66" s="305" t="n"/>
      <c r="Q66" s="305" t="n"/>
      <c r="R66" s="305" t="n"/>
      <c r="S66" s="305" t="n"/>
      <c r="T66" s="305" t="n"/>
      <c r="U66" s="305" t="n"/>
      <c r="V66" s="305" t="n"/>
      <c r="W66" s="305" t="n"/>
      <c r="X66" s="305" t="n"/>
      <c r="Y66" s="305" t="n"/>
      <c r="Z66" s="305" t="n"/>
      <c r="AA66" s="305" t="n"/>
      <c r="AB66" s="305" t="n"/>
      <c r="AC66" s="305" t="n"/>
      <c r="AD66" s="305" t="n"/>
      <c r="AE66" s="305" t="n"/>
      <c r="AF66" s="305" t="n"/>
      <c r="AG66" s="305" t="n"/>
      <c r="AH66" s="305" t="n"/>
      <c r="AI66" s="305" t="n"/>
      <c r="AJ66" s="305" t="n"/>
      <c r="AK66" s="305" t="n"/>
      <c r="AL66" s="305" t="n"/>
      <c r="AM66" s="305" t="n"/>
      <c r="AN66" s="305" t="n"/>
      <c r="AO66" s="305" t="n"/>
      <c r="AP66" s="305" t="n"/>
      <c r="AQ66" s="305" t="n"/>
      <c r="AR66" s="305" t="n"/>
      <c r="AS66" s="305" t="n"/>
      <c r="AT66" s="305" t="n"/>
      <c r="AU66" s="305" t="n"/>
      <c r="AV66" s="305" t="n"/>
      <c r="AW66" s="305" t="n"/>
      <c r="AX66" s="305" t="n"/>
      <c r="AY66" s="305" t="n"/>
      <c r="AZ66" s="305" t="n"/>
      <c r="BA66" s="305" t="n"/>
      <c r="BB66" s="305" t="n"/>
      <c r="BC66" s="305" t="n"/>
      <c r="BD66" s="305" t="n"/>
      <c r="BE66" s="305" t="n"/>
      <c r="BF66" s="305" t="n"/>
      <c r="BG66" s="305" t="n"/>
      <c r="BH66" s="305" t="n"/>
      <c r="BI66" s="305" t="n"/>
      <c r="BJ66" s="305" t="n"/>
      <c r="BK66" s="305" t="n"/>
      <c r="BL66" s="305" t="n"/>
      <c r="BM66" s="305" t="n"/>
      <c r="BN66" s="305" t="n"/>
      <c r="BO66" s="305" t="n"/>
      <c r="BP66" s="305" t="n"/>
      <c r="BQ66" s="305" t="n"/>
      <c r="BR66" s="305" t="n"/>
      <c r="BS66" s="305" t="n"/>
      <c r="BT66" s="305" t="n"/>
      <c r="BU66" s="305" t="n"/>
      <c r="BV66" s="305" t="n"/>
      <c r="BW66" s="305" t="n"/>
      <c r="BX66" s="305" t="n"/>
      <c r="BY66" s="305" t="n"/>
      <c r="BZ66" s="305" t="n"/>
      <c r="CA66" s="305" t="n"/>
      <c r="CB66" s="305" t="n"/>
      <c r="CC66" s="305" t="n"/>
      <c r="CD66" s="305" t="n"/>
      <c r="CE66" s="305" t="n"/>
      <c r="CF66" s="305" t="n"/>
      <c r="CG66" s="305" t="n"/>
      <c r="CH66" s="305" t="n"/>
      <c r="CI66" s="305" t="n"/>
      <c r="CJ66" s="305" t="n"/>
      <c r="CK66" s="305" t="n"/>
      <c r="CL66" s="305" t="n"/>
      <c r="CM66" s="305" t="n"/>
      <c r="CN66" s="305" t="n"/>
      <c r="CO66" s="305" t="n"/>
      <c r="CP66" s="305" t="n"/>
      <c r="CQ66" s="305" t="n"/>
      <c r="CR66" s="305" t="n"/>
      <c r="CS66" s="305" t="n"/>
      <c r="CT66" s="305" t="n"/>
      <c r="CU66" s="305" t="n"/>
      <c r="CV66" s="305" t="n"/>
      <c r="CW66" s="305" t="n"/>
      <c r="CX66" s="305" t="n"/>
      <c r="CY66" s="305" t="n"/>
    </row>
    <row r="67" hidden="1" outlineLevel="1" ht="12.75" customHeight="1" s="255">
      <c r="C67" s="305" t="inlineStr">
        <is>
          <t>Com Vendas (%)</t>
        </is>
      </c>
      <c r="D67" s="305" t="n"/>
      <c r="E67" s="305" t="n"/>
      <c r="F67" s="305" t="n"/>
      <c r="G67" s="305" t="n"/>
      <c r="H67" s="305" t="n"/>
      <c r="I67" s="305" t="n"/>
      <c r="J67" s="305" t="n"/>
      <c r="K67" s="305" t="n"/>
      <c r="L67" s="305" t="n"/>
      <c r="M67" s="305" t="n"/>
      <c r="N67" s="305" t="n"/>
      <c r="O67" s="305" t="n"/>
      <c r="P67" s="305" t="n"/>
      <c r="Q67" s="305" t="n"/>
      <c r="R67" s="305" t="n"/>
      <c r="S67" s="305" t="n"/>
      <c r="T67" s="305" t="n"/>
      <c r="U67" s="305" t="n"/>
      <c r="V67" s="305" t="n"/>
      <c r="W67" s="305" t="n"/>
      <c r="X67" s="305" t="n"/>
      <c r="Y67" s="305" t="n"/>
      <c r="Z67" s="305" t="n"/>
      <c r="AA67" s="305" t="n"/>
      <c r="AB67" s="305" t="n"/>
      <c r="AC67" s="305" t="n"/>
      <c r="AD67" s="305" t="n"/>
      <c r="AE67" s="305" t="n"/>
      <c r="AF67" s="305" t="n"/>
      <c r="AG67" s="305" t="n"/>
      <c r="AH67" s="305" t="n"/>
      <c r="AI67" s="305" t="n"/>
      <c r="AJ67" s="305" t="n"/>
      <c r="AK67" s="305" t="n"/>
      <c r="AL67" s="305" t="n"/>
      <c r="AM67" s="305" t="n"/>
      <c r="AN67" s="305" t="n"/>
      <c r="AO67" s="305" t="n"/>
      <c r="AP67" s="305" t="n"/>
      <c r="AQ67" s="305" t="n"/>
      <c r="AR67" s="305" t="n"/>
      <c r="AS67" s="305" t="n"/>
      <c r="AT67" s="305" t="n"/>
      <c r="AU67" s="305" t="n"/>
      <c r="AV67" s="305" t="n"/>
      <c r="AW67" s="305" t="n"/>
      <c r="AX67" s="305" t="n"/>
      <c r="AY67" s="305" t="n"/>
      <c r="AZ67" s="305" t="n"/>
      <c r="BA67" s="305" t="n"/>
      <c r="BB67" s="305" t="n"/>
      <c r="BC67" s="305" t="n"/>
      <c r="BD67" s="305" t="n"/>
      <c r="BE67" s="305" t="n"/>
      <c r="BF67" s="305" t="n"/>
      <c r="BG67" s="305" t="n"/>
      <c r="BH67" s="305" t="n"/>
      <c r="BI67" s="305" t="n"/>
      <c r="BJ67" s="305" t="n"/>
      <c r="BK67" s="305" t="n"/>
      <c r="BL67" s="305" t="n"/>
      <c r="BM67" s="305" t="n"/>
      <c r="BN67" s="305" t="n"/>
      <c r="BO67" s="305" t="n"/>
      <c r="BP67" s="305" t="n"/>
      <c r="BQ67" s="305" t="n"/>
      <c r="BR67" s="305" t="n"/>
      <c r="BS67" s="305" t="n"/>
      <c r="BT67" s="305" t="n"/>
      <c r="BU67" s="305" t="n"/>
      <c r="BV67" s="305" t="n"/>
      <c r="BW67" s="305" t="n"/>
      <c r="BX67" s="305" t="n"/>
      <c r="BY67" s="305" t="n"/>
      <c r="BZ67" s="305" t="n"/>
      <c r="CA67" s="305" t="n"/>
      <c r="CB67" s="305" t="n"/>
      <c r="CC67" s="305" t="n"/>
      <c r="CD67" s="305" t="n"/>
      <c r="CE67" s="305" t="n"/>
      <c r="CF67" s="305" t="n"/>
      <c r="CG67" s="305" t="n"/>
      <c r="CH67" s="305" t="n"/>
      <c r="CI67" s="305" t="n"/>
      <c r="CJ67" s="305" t="n"/>
      <c r="CK67" s="305" t="n"/>
      <c r="CL67" s="305" t="n"/>
      <c r="CM67" s="305" t="n"/>
      <c r="CN67" s="305" t="n"/>
      <c r="CO67" s="305" t="n"/>
      <c r="CP67" s="305" t="n"/>
      <c r="CQ67" s="305" t="n"/>
      <c r="CR67" s="305" t="n"/>
      <c r="CS67" s="305" t="n"/>
      <c r="CT67" s="305" t="n"/>
      <c r="CU67" s="305" t="n"/>
      <c r="CV67" s="305" t="n"/>
      <c r="CW67" s="305" t="n"/>
      <c r="CX67" s="305" t="n"/>
      <c r="CY67" s="305" t="n"/>
    </row>
    <row r="68" hidden="1" outlineLevel="1" ht="12.75" customHeight="1" s="255">
      <c r="C68" s="305" t="inlineStr">
        <is>
          <t>Gerais &amp; Administrativas (%)</t>
        </is>
      </c>
      <c r="D68" s="305" t="n"/>
      <c r="E68" s="305" t="n"/>
      <c r="F68" s="305" t="n"/>
      <c r="G68" s="305" t="n"/>
      <c r="H68" s="305" t="n"/>
      <c r="I68" s="305" t="n"/>
      <c r="J68" s="305" t="n"/>
      <c r="K68" s="305" t="n"/>
      <c r="L68" s="305" t="n"/>
      <c r="M68" s="305" t="n"/>
      <c r="N68" s="305" t="n"/>
      <c r="O68" s="305" t="n"/>
      <c r="P68" s="305" t="n"/>
      <c r="Q68" s="305" t="n"/>
      <c r="R68" s="305" t="n"/>
      <c r="S68" s="305" t="n"/>
      <c r="T68" s="305" t="n"/>
      <c r="U68" s="305" t="n"/>
      <c r="V68" s="305" t="n"/>
      <c r="W68" s="305" t="n"/>
      <c r="X68" s="305" t="n"/>
      <c r="Y68" s="305" t="n"/>
      <c r="Z68" s="305" t="n"/>
      <c r="AA68" s="305" t="n"/>
      <c r="AB68" s="305" t="n"/>
      <c r="AC68" s="305" t="n"/>
      <c r="AD68" s="305" t="n"/>
      <c r="AE68" s="305" t="n"/>
      <c r="AF68" s="305" t="n"/>
      <c r="AG68" s="305" t="n"/>
      <c r="AH68" s="305" t="n"/>
      <c r="AI68" s="305" t="n"/>
      <c r="AJ68" s="305" t="n"/>
      <c r="AK68" s="305" t="n"/>
      <c r="AL68" s="305" t="n"/>
      <c r="AM68" s="305" t="n"/>
      <c r="AN68" s="305" t="n"/>
      <c r="AO68" s="305" t="n"/>
      <c r="AP68" s="305" t="n"/>
      <c r="AQ68" s="305" t="n"/>
      <c r="AR68" s="305" t="n"/>
      <c r="AS68" s="305" t="n"/>
      <c r="AT68" s="305" t="n"/>
      <c r="AU68" s="305" t="n"/>
      <c r="AV68" s="305" t="n"/>
      <c r="AW68" s="305" t="n"/>
      <c r="AX68" s="305" t="n"/>
      <c r="AY68" s="305" t="n"/>
      <c r="AZ68" s="305" t="n"/>
      <c r="BA68" s="305" t="n"/>
      <c r="BB68" s="305" t="n"/>
      <c r="BC68" s="305" t="n"/>
      <c r="BD68" s="305" t="n"/>
      <c r="BE68" s="305" t="n"/>
      <c r="BF68" s="305" t="n"/>
      <c r="BG68" s="305" t="n"/>
      <c r="BH68" s="305" t="n"/>
      <c r="BI68" s="305" t="n"/>
      <c r="BJ68" s="305" t="n"/>
      <c r="BK68" s="305" t="n"/>
      <c r="BL68" s="305" t="n"/>
      <c r="BM68" s="305" t="n"/>
      <c r="BN68" s="305" t="n"/>
      <c r="BO68" s="305" t="n"/>
      <c r="BP68" s="305" t="n"/>
      <c r="BQ68" s="305" t="n"/>
      <c r="BR68" s="305" t="n"/>
      <c r="BS68" s="305" t="n"/>
      <c r="BT68" s="305" t="n"/>
      <c r="BU68" s="305" t="n"/>
      <c r="BV68" s="305" t="n"/>
      <c r="BW68" s="305" t="n"/>
      <c r="BX68" s="305" t="n"/>
      <c r="BY68" s="305" t="n"/>
      <c r="BZ68" s="305" t="n"/>
      <c r="CA68" s="305" t="n"/>
      <c r="CB68" s="305" t="n"/>
      <c r="CC68" s="305" t="n"/>
      <c r="CD68" s="305" t="n"/>
      <c r="CE68" s="305" t="n"/>
      <c r="CF68" s="305" t="n"/>
      <c r="CG68" s="305" t="n"/>
      <c r="CH68" s="305" t="n"/>
      <c r="CI68" s="305" t="n"/>
      <c r="CJ68" s="305" t="n"/>
      <c r="CK68" s="305" t="n"/>
      <c r="CL68" s="305" t="n"/>
      <c r="CM68" s="305" t="n"/>
      <c r="CN68" s="305" t="n"/>
      <c r="CO68" s="305" t="n"/>
      <c r="CP68" s="305" t="n"/>
      <c r="CQ68" s="305" t="n"/>
      <c r="CR68" s="305" t="n"/>
      <c r="CS68" s="305" t="n"/>
      <c r="CT68" s="305" t="n"/>
      <c r="CU68" s="305" t="n"/>
      <c r="CV68" s="305" t="n"/>
      <c r="CW68" s="305" t="n"/>
      <c r="CX68" s="305" t="n"/>
      <c r="CY68" s="305" t="n"/>
    </row>
    <row r="69" hidden="1" outlineLevel="1" ht="12.75" customHeight="1" s="255">
      <c r="C69" s="305" t="inlineStr">
        <is>
          <t>Outras Receitas (Despesas) Operacionais, Líquidas (%)</t>
        </is>
      </c>
      <c r="D69" s="305" t="n"/>
      <c r="E69" s="305" t="n"/>
      <c r="F69" s="305" t="n"/>
      <c r="G69" s="305" t="n"/>
      <c r="H69" s="305" t="n"/>
      <c r="I69" s="305" t="n"/>
      <c r="J69" s="305" t="n"/>
      <c r="K69" s="305" t="n"/>
      <c r="L69" s="305" t="n"/>
      <c r="M69" s="305" t="n"/>
      <c r="N69" s="305" t="n"/>
      <c r="O69" s="305" t="n"/>
      <c r="P69" s="305" t="n"/>
      <c r="Q69" s="305" t="n"/>
      <c r="R69" s="305" t="n"/>
      <c r="S69" s="305" t="n"/>
      <c r="T69" s="305" t="n"/>
      <c r="U69" s="305" t="n"/>
      <c r="V69" s="305" t="n"/>
      <c r="W69" s="305" t="n"/>
      <c r="X69" s="305" t="n"/>
      <c r="Y69" s="305" t="n"/>
      <c r="Z69" s="305" t="n"/>
      <c r="AA69" s="305" t="n"/>
      <c r="AB69" s="305" t="n"/>
      <c r="AC69" s="305" t="n"/>
      <c r="AD69" s="305" t="n"/>
      <c r="AE69" s="305" t="n"/>
      <c r="AF69" s="305" t="n"/>
      <c r="AG69" s="305" t="n"/>
      <c r="AH69" s="305" t="n"/>
      <c r="AI69" s="305" t="n"/>
      <c r="AJ69" s="305" t="n"/>
      <c r="AK69" s="305" t="n"/>
      <c r="AL69" s="305" t="n"/>
      <c r="AM69" s="305" t="n"/>
      <c r="AN69" s="305" t="n"/>
      <c r="AO69" s="305" t="n"/>
      <c r="AP69" s="305" t="n"/>
      <c r="AQ69" s="305" t="n"/>
      <c r="AR69" s="305" t="n"/>
      <c r="AS69" s="305" t="n"/>
      <c r="AT69" s="305" t="n"/>
      <c r="AU69" s="305" t="n"/>
      <c r="AV69" s="305" t="n"/>
      <c r="AW69" s="305" t="n"/>
      <c r="AX69" s="305" t="n"/>
      <c r="AY69" s="305" t="n"/>
      <c r="AZ69" s="305" t="n"/>
      <c r="BA69" s="305" t="n"/>
      <c r="BB69" s="305" t="n"/>
      <c r="BC69" s="305" t="n"/>
      <c r="BD69" s="305" t="n"/>
      <c r="BE69" s="305" t="n"/>
      <c r="BF69" s="305" t="n"/>
      <c r="BG69" s="305" t="n"/>
      <c r="BH69" s="305" t="n"/>
      <c r="BI69" s="305" t="n"/>
      <c r="BJ69" s="305" t="n"/>
      <c r="BK69" s="305" t="n"/>
      <c r="BL69" s="305" t="n"/>
      <c r="BM69" s="305" t="n"/>
      <c r="BN69" s="305" t="n"/>
      <c r="BO69" s="305" t="n"/>
      <c r="BP69" s="305" t="n"/>
      <c r="BQ69" s="305" t="n"/>
      <c r="BR69" s="305" t="n"/>
      <c r="BS69" s="305" t="n"/>
      <c r="BT69" s="305" t="n"/>
      <c r="BU69" s="305" t="n"/>
      <c r="BV69" s="305" t="n"/>
      <c r="BW69" s="305" t="n"/>
      <c r="BX69" s="305" t="n"/>
      <c r="BY69" s="305" t="n"/>
      <c r="BZ69" s="305" t="n"/>
      <c r="CA69" s="305" t="n"/>
      <c r="CB69" s="305" t="n"/>
      <c r="CC69" s="305" t="n"/>
      <c r="CD69" s="305" t="n"/>
      <c r="CE69" s="305" t="n"/>
      <c r="CF69" s="305" t="n"/>
      <c r="CG69" s="305" t="n"/>
      <c r="CH69" s="305" t="n"/>
      <c r="CI69" s="305" t="n"/>
      <c r="CJ69" s="305" t="n"/>
      <c r="CK69" s="305" t="n"/>
      <c r="CL69" s="305" t="n"/>
      <c r="CM69" s="305" t="n"/>
      <c r="CN69" s="305" t="n"/>
      <c r="CO69" s="305" t="n"/>
      <c r="CP69" s="305" t="n"/>
      <c r="CQ69" s="305" t="n"/>
      <c r="CR69" s="305" t="n"/>
      <c r="CS69" s="305" t="n"/>
      <c r="CT69" s="305" t="n"/>
      <c r="CU69" s="305" t="n"/>
      <c r="CV69" s="305" t="n"/>
      <c r="CW69" s="305" t="n"/>
      <c r="CX69" s="305" t="n"/>
      <c r="CY69" s="305" t="n"/>
    </row>
    <row r="70" hidden="1" outlineLevel="1" ht="12.75" customHeight="1" s="255">
      <c r="C70" s="305" t="n"/>
      <c r="D70" s="305" t="n"/>
      <c r="E70" s="305" t="n"/>
      <c r="F70" s="305" t="n"/>
      <c r="G70" s="305" t="n"/>
      <c r="H70" s="305" t="n"/>
      <c r="I70" s="305" t="n"/>
      <c r="J70" s="305" t="n"/>
      <c r="K70" s="305" t="n"/>
      <c r="L70" s="305" t="n"/>
      <c r="M70" s="305" t="n"/>
      <c r="N70" s="305" t="n"/>
      <c r="O70" s="305" t="n"/>
      <c r="P70" s="305" t="n"/>
      <c r="Q70" s="305" t="n"/>
      <c r="R70" s="305" t="n"/>
      <c r="S70" s="305" t="n"/>
      <c r="T70" s="305" t="n"/>
      <c r="U70" s="305" t="n"/>
      <c r="V70" s="305" t="n"/>
      <c r="W70" s="305" t="n"/>
      <c r="X70" s="305" t="n"/>
      <c r="Y70" s="305" t="n"/>
      <c r="Z70" s="305" t="n"/>
      <c r="AA70" s="305" t="n"/>
      <c r="AB70" s="305" t="n"/>
      <c r="AC70" s="305" t="n"/>
      <c r="AD70" s="305" t="n"/>
      <c r="AE70" s="305" t="n"/>
      <c r="AF70" s="305" t="n"/>
      <c r="AG70" s="305" t="n"/>
      <c r="AH70" s="305" t="n"/>
      <c r="AI70" s="305" t="n"/>
      <c r="AJ70" s="305" t="n"/>
      <c r="AK70" s="305" t="n"/>
      <c r="AL70" s="305" t="n"/>
      <c r="AM70" s="305" t="n"/>
      <c r="AN70" s="305" t="n"/>
      <c r="AO70" s="305" t="n"/>
      <c r="AP70" s="305" t="n"/>
      <c r="AQ70" s="305" t="n"/>
      <c r="AR70" s="305" t="n"/>
      <c r="AS70" s="305" t="n"/>
      <c r="AT70" s="305" t="n"/>
      <c r="AU70" s="305" t="n"/>
      <c r="AV70" s="305" t="n"/>
      <c r="AW70" s="305" t="n"/>
      <c r="AX70" s="305" t="n"/>
      <c r="AY70" s="305" t="n"/>
      <c r="AZ70" s="305" t="n"/>
      <c r="BA70" s="305" t="n"/>
      <c r="BB70" s="305" t="n"/>
      <c r="BC70" s="305" t="n"/>
      <c r="BD70" s="305" t="n"/>
      <c r="BE70" s="305" t="n"/>
      <c r="BF70" s="305" t="n"/>
      <c r="BG70" s="305" t="n"/>
      <c r="BH70" s="305" t="n"/>
      <c r="BI70" s="305" t="n"/>
      <c r="BJ70" s="305" t="n"/>
      <c r="BK70" s="305" t="n"/>
      <c r="BL70" s="305" t="n"/>
      <c r="BM70" s="305" t="n"/>
      <c r="BN70" s="305" t="n"/>
      <c r="BO70" s="305" t="n"/>
      <c r="BP70" s="305" t="n"/>
      <c r="BQ70" s="305" t="n"/>
      <c r="BR70" s="305" t="n"/>
      <c r="BS70" s="305" t="n"/>
      <c r="BT70" s="305" t="n"/>
      <c r="BU70" s="305" t="n"/>
      <c r="BV70" s="305" t="n"/>
      <c r="BW70" s="305" t="n"/>
      <c r="BX70" s="305" t="n"/>
      <c r="BY70" s="305" t="n"/>
      <c r="BZ70" s="305" t="n"/>
      <c r="CA70" s="305" t="n"/>
      <c r="CB70" s="305" t="n"/>
      <c r="CC70" s="305" t="n"/>
      <c r="CD70" s="305" t="n"/>
      <c r="CE70" s="305" t="n"/>
      <c r="CF70" s="305" t="n"/>
      <c r="CG70" s="305" t="n"/>
      <c r="CH70" s="305" t="n"/>
      <c r="CI70" s="305" t="n"/>
      <c r="CJ70" s="305" t="n"/>
      <c r="CK70" s="305" t="n"/>
      <c r="CL70" s="305" t="n"/>
      <c r="CM70" s="305" t="n"/>
      <c r="CN70" s="305" t="n"/>
      <c r="CO70" s="305" t="n"/>
      <c r="CP70" s="305" t="n"/>
      <c r="CQ70" s="305" t="n"/>
      <c r="CR70" s="305" t="n"/>
      <c r="CS70" s="305" t="n"/>
      <c r="CT70" s="305" t="n"/>
      <c r="CU70" s="305" t="n"/>
      <c r="CV70" s="305" t="n"/>
      <c r="CW70" s="305" t="n"/>
      <c r="CX70" s="305" t="n"/>
      <c r="CY70" s="305" t="n"/>
    </row>
    <row r="71" ht="12.75" customFormat="1" customHeight="1" s="287">
      <c r="A71" s="288" t="n"/>
      <c r="B71" s="259" t="n"/>
      <c r="C71" s="275" t="inlineStr">
        <is>
          <t>EBITDA</t>
        </is>
      </c>
      <c r="D71" s="276">
        <f>SUM(D15,D56,D60)</f>
        <v>8015</v>
      </c>
      <c r="E71" s="276">
        <f>SUM(E15,E56,E60)</f>
        <v>8830</v>
      </c>
      <c r="F71" s="276">
        <f>SUM(F15,F56,F60)</f>
        <v>8549</v>
      </c>
      <c r="G71" s="276">
        <f>SUM(G15,G56,G60)</f>
        <v>8306</v>
      </c>
      <c r="H71" s="276">
        <f>SUM(D71:G71)</f>
        <v>33700</v>
      </c>
      <c r="I71" s="276">
        <f>SUM(I15,I56,I60)</f>
        <v>9570</v>
      </c>
      <c r="J71" s="276">
        <f>SUM(J15,J56,J60)</f>
        <v>9995</v>
      </c>
      <c r="K71" s="276">
        <f>SUM(K15,K56,K60)</f>
        <v>8442</v>
      </c>
      <c r="L71" s="276">
        <f>SUM(L15,L56,L60)</f>
        <v>8593</v>
      </c>
      <c r="M71" s="276">
        <f>SUM(I71:L71)</f>
        <v>36600</v>
      </c>
      <c r="N71" s="276">
        <f>SUM(N15,N56,N60)</f>
        <v>7998</v>
      </c>
      <c r="O71" s="276">
        <f>SUM(O15,O56,O60)</f>
        <v>9553</v>
      </c>
      <c r="P71" s="276">
        <f>SUM(P15,P56,P60)</f>
        <v>5450</v>
      </c>
      <c r="Q71" s="276">
        <f>SUM(Q15,Q56,Q60)</f>
        <v>8372</v>
      </c>
      <c r="R71" s="276">
        <f>SUM(N71:Q71)</f>
        <v>31373</v>
      </c>
      <c r="S71" s="276">
        <f>SUM(S15,S56,S60)</f>
        <v>9085</v>
      </c>
      <c r="T71" s="276">
        <f>SUM(T15,T56,T60)</f>
        <v>10221</v>
      </c>
      <c r="U71" s="276">
        <f>SUM(U15,U56,U60)</f>
        <v>9188</v>
      </c>
      <c r="V71" s="276">
        <f>SUM(V15,V56,V60)</f>
        <v>10371</v>
      </c>
      <c r="W71" s="276">
        <f>SUM(S71:V71)</f>
        <v>38865</v>
      </c>
      <c r="X71" s="276">
        <f>SUM(X15,X56,X60)</f>
        <v>9969</v>
      </c>
      <c r="Y71" s="276">
        <f>SUM(Y15,Y56,Y60)</f>
        <v>11151</v>
      </c>
      <c r="Z71" s="276">
        <f>SUM(Z15,Z56,Z60)</f>
        <v>9968</v>
      </c>
      <c r="AA71" s="276">
        <f>SUM(AA15,AA56,AA60)</f>
        <v>11233</v>
      </c>
      <c r="AB71" s="276">
        <f>SUM(X71:AA71)</f>
        <v>42321</v>
      </c>
      <c r="AC71" s="276">
        <f>SUM(AC15,AC56,AC60)</f>
        <v>10504</v>
      </c>
      <c r="AD71" s="276">
        <f>SUM(AD15,AD56,AD60)</f>
        <v>10773</v>
      </c>
      <c r="AE71" s="276">
        <f>SUM(AE15,AE56,AE60)</f>
        <v>10302</v>
      </c>
      <c r="AF71" s="276">
        <f>SUM(AF15,AF56,AF60)</f>
        <v>12449</v>
      </c>
      <c r="AG71" s="276">
        <f>SUM(AC71:AF71)</f>
        <v>44028</v>
      </c>
      <c r="AH71" s="276">
        <f>SUM(AH15,AH56,AH60)</f>
        <v>11314</v>
      </c>
      <c r="AI71" s="276">
        <f>SUM(AI15,AI56,AI60)</f>
        <v>13308</v>
      </c>
      <c r="AJ71" s="276">
        <f>SUM(AJ15,AJ56,AJ60)</f>
        <v>0</v>
      </c>
      <c r="AK71" s="276">
        <f>SUM(AK15,AK56,AK60)</f>
        <v>0</v>
      </c>
      <c r="AL71" s="276">
        <f>SUM(AH71:AK71)</f>
        <v>24622</v>
      </c>
      <c r="AM71" s="276">
        <f>SUM(AM15,AM56,AM60)</f>
        <v>0</v>
      </c>
      <c r="AN71" s="276">
        <f>SUM(AN15,AN56,AN60)</f>
        <v>0</v>
      </c>
      <c r="AO71" s="276">
        <f>SUM(AO15,AO56,AO60)</f>
        <v>0</v>
      </c>
      <c r="AP71" s="276">
        <f>SUM(AP15,AP56,AP60)</f>
        <v>0</v>
      </c>
      <c r="AQ71" s="276">
        <f>SUM(AM71:AP71)</f>
        <v>0</v>
      </c>
      <c r="AR71" s="276">
        <f>SUM(AR15,AR56,AR60)</f>
        <v>0</v>
      </c>
      <c r="AS71" s="276">
        <f>SUM(AS15,AS56,AS60)</f>
        <v>0</v>
      </c>
      <c r="AT71" s="276">
        <f>SUM(AT15,AT56,AT60)</f>
        <v>0</v>
      </c>
      <c r="AU71" s="276">
        <f>SUM(AU15,AU56,AU60)</f>
        <v>0</v>
      </c>
      <c r="AV71" s="276">
        <f>SUM(AR71:AU71)</f>
        <v>0</v>
      </c>
      <c r="AW71" s="276">
        <f>SUM(AW15,AW56,AW60)</f>
        <v>0</v>
      </c>
      <c r="AX71" s="276">
        <f>SUM(AX15,AX56,AX60)</f>
        <v>0</v>
      </c>
      <c r="AY71" s="276">
        <f>SUM(AY15,AY56,AY60)</f>
        <v>0</v>
      </c>
      <c r="AZ71" s="276">
        <f>SUM(AZ15,AZ56,AZ60)</f>
        <v>0</v>
      </c>
      <c r="BA71" s="276">
        <f>SUM(AW71:AZ71)</f>
        <v>0</v>
      </c>
      <c r="BB71" s="276">
        <f>SUM(BB15,BB56,BB60)</f>
        <v>0</v>
      </c>
      <c r="BC71" s="276">
        <f>SUM(BC15,BC56,BC60)</f>
        <v>0</v>
      </c>
      <c r="BD71" s="276">
        <f>SUM(BD15,BD56,BD60)</f>
        <v>0</v>
      </c>
      <c r="BE71" s="276">
        <f>SUM(BE15,BE56,BE60)</f>
        <v>0</v>
      </c>
      <c r="BF71" s="276">
        <f>SUM(BB71:BE71)</f>
        <v>0</v>
      </c>
      <c r="BG71" s="276">
        <f>SUM(BG15,BG56,BG60)</f>
        <v>0</v>
      </c>
      <c r="BH71" s="276">
        <f>SUM(BH15,BH56,BH60)</f>
        <v>0</v>
      </c>
      <c r="BI71" s="276">
        <f>SUM(BI15,BI56,BI60)</f>
        <v>0</v>
      </c>
      <c r="BJ71" s="276">
        <f>SUM(BJ15,BJ56,BJ60)</f>
        <v>0</v>
      </c>
      <c r="BK71" s="276">
        <f>SUM(BG71:BJ71)</f>
        <v>0</v>
      </c>
      <c r="BL71" s="276">
        <f>SUM(BL15,BL56,BL60)</f>
        <v>0</v>
      </c>
      <c r="BM71" s="276">
        <f>SUM(BM15,BM56,BM60)</f>
        <v>0</v>
      </c>
      <c r="BN71" s="276">
        <f>SUM(BN15,BN56,BN60)</f>
        <v>0</v>
      </c>
      <c r="BO71" s="276">
        <f>SUM(BO15,BO56,BO60)</f>
        <v>0</v>
      </c>
      <c r="BP71" s="276">
        <f>SUM(BL71:BO71)</f>
        <v>0</v>
      </c>
      <c r="BQ71" s="276">
        <f>SUM(BQ15,BQ56,BQ60)</f>
        <v>0</v>
      </c>
      <c r="BR71" s="276">
        <f>SUM(BR15,BR56,BR60)</f>
        <v>0</v>
      </c>
      <c r="BS71" s="276">
        <f>SUM(BS15,BS56,BS60)</f>
        <v>0</v>
      </c>
      <c r="BT71" s="276">
        <f>SUM(BT15,BT56,BT60)</f>
        <v>0</v>
      </c>
      <c r="BU71" s="276">
        <f>SUM(BQ71:BT71)</f>
        <v>0</v>
      </c>
      <c r="BV71" s="276">
        <f>SUM(BV15,BV56,BV60)</f>
        <v>0</v>
      </c>
      <c r="BW71" s="276">
        <f>SUM(BW15,BW56,BW60)</f>
        <v>0</v>
      </c>
      <c r="BX71" s="276">
        <f>SUM(BX15,BX56,BX60)</f>
        <v>0</v>
      </c>
      <c r="BY71" s="276">
        <f>SUM(BY15,BY56,BY60)</f>
        <v>0</v>
      </c>
      <c r="BZ71" s="276">
        <f>SUM(BV71:BY71)</f>
        <v>0</v>
      </c>
      <c r="CA71" s="276">
        <f>SUM(CA15,CA56,CA60)</f>
        <v>0</v>
      </c>
      <c r="CB71" s="276">
        <f>SUM(CB15,CB56,CB60)</f>
        <v>0</v>
      </c>
      <c r="CC71" s="276">
        <f>SUM(CC15,CC56,CC60)</f>
        <v>0</v>
      </c>
      <c r="CD71" s="276">
        <f>SUM(CD15,CD56,CD60)</f>
        <v>0</v>
      </c>
      <c r="CE71" s="276">
        <f>SUM(CA71:CD71)</f>
        <v>0</v>
      </c>
      <c r="CF71" s="276">
        <f>SUM(CF15,CF56,CF60)</f>
        <v>0</v>
      </c>
      <c r="CG71" s="276">
        <f>SUM(CG15,CG56,CG60)</f>
        <v>0</v>
      </c>
      <c r="CH71" s="276">
        <f>SUM(CH15,CH56,CH60)</f>
        <v>0</v>
      </c>
      <c r="CI71" s="276">
        <f>SUM(CI15,CI56,CI60)</f>
        <v>0</v>
      </c>
      <c r="CJ71" s="276">
        <f>SUM(CF71:CI71)</f>
        <v>0</v>
      </c>
      <c r="CK71" s="276">
        <f>SUM(CK15,CK56,CK60)</f>
        <v>0</v>
      </c>
      <c r="CL71" s="276">
        <f>SUM(CL15,CL56,CL60)</f>
        <v>0</v>
      </c>
      <c r="CM71" s="276">
        <f>SUM(CM15,CM56,CM60)</f>
        <v>0</v>
      </c>
      <c r="CN71" s="276">
        <f>SUM(CN15,CN56,CN60)</f>
        <v>0</v>
      </c>
      <c r="CO71" s="276">
        <f>SUM(CK71:CN71)</f>
        <v>0</v>
      </c>
      <c r="CP71" s="276">
        <f>SUM(CP15,CP56,CP60)</f>
        <v>0</v>
      </c>
      <c r="CQ71" s="276">
        <f>SUM(CQ15,CQ56,CQ60)</f>
        <v>0</v>
      </c>
      <c r="CR71" s="276">
        <f>SUM(CR15,CR56,CR60)</f>
        <v>0</v>
      </c>
      <c r="CS71" s="276">
        <f>SUM(CS15,CS56,CS60)</f>
        <v>0</v>
      </c>
      <c r="CT71" s="276">
        <f>SUM(CP71:CS71)</f>
        <v>0</v>
      </c>
      <c r="CU71" s="276">
        <f>SUM(CU15,CU56,CU60)</f>
        <v>0</v>
      </c>
      <c r="CV71" s="276">
        <f>SUM(CV15,CV56,CV60)</f>
        <v>0</v>
      </c>
      <c r="CW71" s="276">
        <f>SUM(CW15,CW56,CW60)</f>
        <v>0</v>
      </c>
      <c r="CX71" s="276">
        <f>SUM(CX15,CX56,CX60)</f>
        <v>0</v>
      </c>
      <c r="CY71" s="276">
        <f>SUM(CU71:CX71)</f>
        <v>0</v>
      </c>
    </row>
    <row r="72" ht="13.5" customHeight="1" s="255">
      <c r="C72" s="269" t="inlineStr">
        <is>
          <t>D&amp;A</t>
        </is>
      </c>
      <c r="D72" s="301">
        <f>INDEX('Inputs (2)'!$D$7:$AL$7,MATCH(D$7,'Inputs (2)'!$D$2:$AL$2,0))</f>
        <v>-2791</v>
      </c>
      <c r="E72" s="301">
        <f>INDEX('Inputs (2)'!$D$7:$AL$7,MATCH(E$7,'Inputs (2)'!$D$2:$AL$2,0))</f>
        <v>-2771</v>
      </c>
      <c r="F72" s="301">
        <f>INDEX('Inputs (2)'!$D$7:$AL$7,MATCH(F$7,'Inputs (2)'!$D$2:$AL$2,0))</f>
        <v>-2771</v>
      </c>
      <c r="G72" s="301">
        <f>INDEX('Inputs (2)'!$D$7:$AL$7,MATCH(G$7,'Inputs (2)'!$D$2:$AL$2,0))</f>
        <v>-2819</v>
      </c>
      <c r="H72" s="268">
        <f>SUM(D72:G72)</f>
        <v>-11152</v>
      </c>
      <c r="I72" s="301">
        <f>INDEX('Inputs (2)'!$D$7:$AL$7,MATCH(I$7,'Inputs (2)'!$D$2:$AL$2,0))</f>
        <v>-2661</v>
      </c>
      <c r="J72" s="301">
        <f>INDEX('Inputs (2)'!$D$7:$AL$7,MATCH(J$7,'Inputs (2)'!$D$2:$AL$2,0))</f>
        <v>-2641</v>
      </c>
      <c r="K72" s="301">
        <f>INDEX('Inputs (2)'!$D$7:$AL$7,MATCH(K$7,'Inputs (2)'!$D$2:$AL$2,0))</f>
        <v>-2650</v>
      </c>
      <c r="L72" s="301">
        <f>INDEX('Inputs (2)'!$D$7:$AL$7,MATCH(L$7,'Inputs (2)'!$D$2:$AL$2,0))</f>
        <v>-2706</v>
      </c>
      <c r="M72" s="268">
        <f>SUM(I72:L72)</f>
        <v>-10658</v>
      </c>
      <c r="N72" s="301">
        <f>INDEX('Inputs (2)'!$D$7:$AL$7,MATCH(N$7,'Inputs (2)'!$D$2:$AL$2,0))</f>
        <v>-2680</v>
      </c>
      <c r="O72" s="301">
        <f>INDEX('Inputs (2)'!$D$7:$AL$7,MATCH(O$7,'Inputs (2)'!$D$2:$AL$2,0))</f>
        <v>-2699</v>
      </c>
      <c r="P72" s="301">
        <f>INDEX('Inputs (2)'!$D$7:$AL$7,MATCH(P$7,'Inputs (2)'!$D$2:$AL$2,0))</f>
        <v>-2755</v>
      </c>
      <c r="Q72" s="301">
        <f>INDEX('Inputs (2)'!$D$7:$AL$7,MATCH(Q$7,'Inputs (2)'!$D$2:$AL$2,0))</f>
        <v>-2811</v>
      </c>
      <c r="R72" s="268">
        <f>SUM(N72:Q72)</f>
        <v>-10945</v>
      </c>
      <c r="S72" s="301">
        <f>INDEX('Inputs (2)'!$D$7:$AL$7,MATCH(S$7,'Inputs (2)'!$D$2:$AL$2,0))</f>
        <v>-2845</v>
      </c>
      <c r="T72" s="301">
        <f>INDEX('Inputs (2)'!$D$7:$AL$7,MATCH(T$7,'Inputs (2)'!$D$2:$AL$2,0))</f>
        <v>-2905</v>
      </c>
      <c r="U72" s="301">
        <f>INDEX('Inputs (2)'!$D$7:$AL$7,MATCH(U$7,'Inputs (2)'!$D$2:$AL$2,0))</f>
        <v>-2986</v>
      </c>
      <c r="V72" s="301">
        <f>INDEX('Inputs (2)'!$D$7:$AL$7,MATCH(V$7,'Inputs (2)'!$D$2:$AL$2,0))</f>
        <v>-3117</v>
      </c>
      <c r="W72" s="268">
        <f>SUM(S72:V72)</f>
        <v>-11853</v>
      </c>
      <c r="X72" s="301">
        <f>INDEX('Inputs (2)'!$D$7:$AL$7,MATCH(X$7,'Inputs (2)'!$D$2:$AL$2,0))</f>
        <v>-3128</v>
      </c>
      <c r="Y72" s="301">
        <f>INDEX('Inputs (2)'!$D$7:$AL$7,MATCH(Y$7,'Inputs (2)'!$D$2:$AL$2,0))</f>
        <v>-3211</v>
      </c>
      <c r="Z72" s="301">
        <f>INDEX('Inputs (2)'!$D$7:$AL$7,MATCH(Z$7,'Inputs (2)'!$D$2:$AL$2,0))</f>
        <v>-3260</v>
      </c>
      <c r="AA72" s="301">
        <f>INDEX('Inputs (2)'!$D$7:$AL$7,MATCH(AA$7,'Inputs (2)'!$D$2:$AL$2,0))</f>
        <v>-3374</v>
      </c>
      <c r="AB72" s="268">
        <f>SUM(X72:AA72)</f>
        <v>-12973</v>
      </c>
      <c r="AC72" s="301">
        <f>INDEX('Inputs (2)'!$D$7:$AL$7,MATCH(AC$7,'Inputs (2)'!$D$2:$AL$2,0))</f>
        <v>-3369</v>
      </c>
      <c r="AD72" s="301">
        <f>INDEX('Inputs (2)'!$D$7:$AL$7,MATCH(AD$7,'Inputs (2)'!$D$2:$AL$2,0))</f>
        <v>-3487</v>
      </c>
      <c r="AE72" s="301">
        <f>INDEX('Inputs (2)'!$D$7:$AL$7,MATCH(AE$7,'Inputs (2)'!$D$2:$AL$2,0))</f>
        <v>-3606</v>
      </c>
      <c r="AF72" s="301">
        <f>INDEX('Inputs (2)'!$D$7:$AL$7,MATCH(AF$7,'Inputs (2)'!$D$2:$AL$2,0))</f>
        <v>-3741</v>
      </c>
      <c r="AG72" s="268">
        <f>SUM(AC72:AF72)</f>
        <v>-14203</v>
      </c>
      <c r="AH72" s="268">
        <f>INDEX('Inputs (2)'!$D$7:$AL$7,MATCH(AH$7,'Inputs (2)'!$D$2:$AL$2,0))</f>
        <v>-3821</v>
      </c>
      <c r="AI72" s="268">
        <f>INDEX('Inputs (2)'!$D$7:$AL$7,MATCH(AI$7,'Inputs (2)'!$D$2:$AL$2,0))</f>
        <v>-3925</v>
      </c>
      <c r="AJ72" s="268">
        <f>-AJ73*AJ15</f>
        <v>0</v>
      </c>
      <c r="AK72" s="268">
        <f>-AK73*AK15</f>
        <v>0</v>
      </c>
      <c r="AL72" s="268">
        <f>SUM(AH72:AK72)</f>
        <v>-7746</v>
      </c>
      <c r="AM72" s="268">
        <f>-AM73*AM15</f>
        <v>0</v>
      </c>
      <c r="AN72" s="268">
        <f>-AN73*AN15</f>
        <v>0</v>
      </c>
      <c r="AO72" s="268">
        <f>-AO73*AO15</f>
        <v>0</v>
      </c>
      <c r="AP72" s="268">
        <f>-AP73*AP15</f>
        <v>0</v>
      </c>
      <c r="AQ72" s="268">
        <f>SUM(AM72:AP72)</f>
        <v>0</v>
      </c>
      <c r="AR72" s="268">
        <f>-AR73*AR15</f>
        <v>0</v>
      </c>
      <c r="AS72" s="268">
        <f>-AS73*AS15</f>
        <v>0</v>
      </c>
      <c r="AT72" s="268">
        <f>-AT73*AT15</f>
        <v>0</v>
      </c>
      <c r="AU72" s="268">
        <f>-AU73*AU15</f>
        <v>0</v>
      </c>
      <c r="AV72" s="268">
        <f>SUM(AR72:AU72)</f>
        <v>0</v>
      </c>
      <c r="AW72" s="268">
        <f>-AW73*AW15</f>
        <v>0</v>
      </c>
      <c r="AX72" s="268">
        <f>-AX73*AX15</f>
        <v>0</v>
      </c>
      <c r="AY72" s="268">
        <f>-AY73*AY15</f>
        <v>0</v>
      </c>
      <c r="AZ72" s="268">
        <f>-AZ73*AZ15</f>
        <v>0</v>
      </c>
      <c r="BA72" s="268">
        <f>SUM(AW72:AZ72)</f>
        <v>0</v>
      </c>
      <c r="BB72" s="268">
        <f>-BB73*BB15</f>
        <v>0</v>
      </c>
      <c r="BC72" s="268">
        <f>-BC73*BC15</f>
        <v>0</v>
      </c>
      <c r="BD72" s="268">
        <f>-BD73*BD15</f>
        <v>0</v>
      </c>
      <c r="BE72" s="268">
        <f>-BE73*BE15</f>
        <v>0</v>
      </c>
      <c r="BF72" s="268">
        <f>SUM(BB72:BE72)</f>
        <v>0</v>
      </c>
      <c r="BG72" s="268">
        <f>-BG73*BG15</f>
        <v>0</v>
      </c>
      <c r="BH72" s="268">
        <f>-BH73*BH15</f>
        <v>0</v>
      </c>
      <c r="BI72" s="268">
        <f>-BI73*BI15</f>
        <v>0</v>
      </c>
      <c r="BJ72" s="268">
        <f>-BJ73*BJ15</f>
        <v>0</v>
      </c>
      <c r="BK72" s="268">
        <f>SUM(BG72:BJ72)</f>
        <v>0</v>
      </c>
      <c r="BL72" s="268">
        <f>-BL73*BL15</f>
        <v>0</v>
      </c>
      <c r="BM72" s="268">
        <f>-BM73*BM15</f>
        <v>0</v>
      </c>
      <c r="BN72" s="268">
        <f>-BN73*BN15</f>
        <v>0</v>
      </c>
      <c r="BO72" s="268">
        <f>-BO73*BO15</f>
        <v>0</v>
      </c>
      <c r="BP72" s="268">
        <f>SUM(BL72:BO72)</f>
        <v>0</v>
      </c>
      <c r="BQ72" s="268">
        <f>-BQ73*BQ15</f>
        <v>0</v>
      </c>
      <c r="BR72" s="268">
        <f>-BR73*BR15</f>
        <v>0</v>
      </c>
      <c r="BS72" s="268">
        <f>-BS73*BS15</f>
        <v>0</v>
      </c>
      <c r="BT72" s="268">
        <f>-BT73*BT15</f>
        <v>0</v>
      </c>
      <c r="BU72" s="268">
        <f>SUM(BQ72:BT72)</f>
        <v>0</v>
      </c>
      <c r="BV72" s="268">
        <f>-BV73*BV15</f>
        <v>0</v>
      </c>
      <c r="BW72" s="268">
        <f>-BW73*BW15</f>
        <v>0</v>
      </c>
      <c r="BX72" s="268">
        <f>-BX73*BX15</f>
        <v>0</v>
      </c>
      <c r="BY72" s="268">
        <f>-BY73*BY15</f>
        <v>0</v>
      </c>
      <c r="BZ72" s="268">
        <f>SUM(BV72:BY72)</f>
        <v>0</v>
      </c>
      <c r="CA72" s="268">
        <f>-CA73*CA15</f>
        <v>0</v>
      </c>
      <c r="CB72" s="268">
        <f>-CB73*CB15</f>
        <v>0</v>
      </c>
      <c r="CC72" s="268">
        <f>-CC73*CC15</f>
        <v>0</v>
      </c>
      <c r="CD72" s="268">
        <f>-CD73*CD15</f>
        <v>0</v>
      </c>
      <c r="CE72" s="268">
        <f>SUM(CA72:CD72)</f>
        <v>0</v>
      </c>
      <c r="CF72" s="268">
        <f>-CF73*CF15</f>
        <v>0</v>
      </c>
      <c r="CG72" s="268">
        <f>-CG73*CG15</f>
        <v>0</v>
      </c>
      <c r="CH72" s="268">
        <f>-CH73*CH15</f>
        <v>0</v>
      </c>
      <c r="CI72" s="268">
        <f>-CI73*CI15</f>
        <v>0</v>
      </c>
      <c r="CJ72" s="268">
        <f>SUM(CF72:CI72)</f>
        <v>0</v>
      </c>
      <c r="CK72" s="268">
        <f>-CK73*CK15</f>
        <v>0</v>
      </c>
      <c r="CL72" s="268">
        <f>-CL73*CL15</f>
        <v>0</v>
      </c>
      <c r="CM72" s="268">
        <f>-CM73*CM15</f>
        <v>0</v>
      </c>
      <c r="CN72" s="268">
        <f>-CN73*CN15</f>
        <v>0</v>
      </c>
      <c r="CO72" s="268">
        <f>SUM(CK72:CN72)</f>
        <v>0</v>
      </c>
      <c r="CP72" s="268">
        <f>-CP73*CP15</f>
        <v>0</v>
      </c>
      <c r="CQ72" s="268">
        <f>-CQ73*CQ15</f>
        <v>0</v>
      </c>
      <c r="CR72" s="268">
        <f>-CR73*CR15</f>
        <v>0</v>
      </c>
      <c r="CS72" s="268">
        <f>-CS73*CS15</f>
        <v>0</v>
      </c>
      <c r="CT72" s="268">
        <f>SUM(CP72:CS72)</f>
        <v>0</v>
      </c>
      <c r="CU72" s="268">
        <f>-CU73*CU15</f>
        <v>0</v>
      </c>
      <c r="CV72" s="268">
        <f>-CV73*CV15</f>
        <v>0</v>
      </c>
      <c r="CW72" s="268">
        <f>-CW73*CW15</f>
        <v>0</v>
      </c>
      <c r="CX72" s="268">
        <f>-CX73*CX15</f>
        <v>0</v>
      </c>
      <c r="CY72" s="268">
        <f>SUM(CU72:CX72)</f>
        <v>0</v>
      </c>
    </row>
    <row r="73" hidden="1" outlineLevel="1" ht="12.75" customFormat="1" customHeight="1" s="308">
      <c r="A73" s="309" t="n"/>
      <c r="B73" s="309" t="n"/>
      <c r="C73" s="310" t="inlineStr">
        <is>
          <t>% of Revenue</t>
        </is>
      </c>
      <c r="D73" s="309">
        <f>-D72/D15</f>
        <v>0.0207321240213338</v>
      </c>
      <c r="E73" s="309">
        <f>-E72/E15</f>
        <v>0.0201173207881401</v>
      </c>
      <c r="F73" s="309">
        <f>-F72/F15</f>
        <v>0.020570418980313</v>
      </c>
      <c r="G73" s="309">
        <f>-G72/G15</f>
        <v>0.0185364185719264</v>
      </c>
      <c r="H73" s="309" t="n"/>
      <c r="I73" s="309">
        <f>-I72/I15</f>
        <v>0.0192393897765888</v>
      </c>
      <c r="J73" s="309">
        <f>-J72/J15</f>
        <v>0.0187241222846123</v>
      </c>
      <c r="K73" s="309">
        <f>-K72/K15</f>
        <v>0.0188578544742928</v>
      </c>
      <c r="L73" s="309">
        <f>-L72/L15</f>
        <v>0.0177011990501796</v>
      </c>
      <c r="M73" s="309" t="n"/>
      <c r="N73" s="309">
        <f>-N72/N15</f>
        <v>0.0189306981048111</v>
      </c>
      <c r="O73" s="309">
        <f>-O72/O15</f>
        <v>0.0176567948239881</v>
      </c>
      <c r="P73" s="309">
        <f>-P72/P15</f>
        <v>0.0180285708676618</v>
      </c>
      <c r="Q73" s="309">
        <f>-Q72/Q15</f>
        <v>0.0171352287135473</v>
      </c>
      <c r="R73" s="309" t="n"/>
      <c r="S73" s="309">
        <f>-S72/S15</f>
        <v>0.0186801137221686</v>
      </c>
      <c r="T73" s="309">
        <f>-T72/T15</f>
        <v>0.017972926153237</v>
      </c>
      <c r="U73" s="309">
        <f>-U72/U15</f>
        <v>0.0185691898211487</v>
      </c>
      <c r="V73" s="309">
        <f>-V72/V15</f>
        <v>0.017977022631324</v>
      </c>
      <c r="W73" s="309" t="n"/>
      <c r="X73" s="309">
        <f>-X72/X15</f>
        <v>0.0193674616737251</v>
      </c>
      <c r="Y73" s="309">
        <f>-Y72/Y15</f>
        <v>0.0189624117872856</v>
      </c>
      <c r="Z73" s="309">
        <f>-Z72/Z15</f>
        <v>0.0192230582352525</v>
      </c>
      <c r="AA73" s="309">
        <f>-AA72/AA15</f>
        <v>0.0186869302258604</v>
      </c>
      <c r="AB73" s="309" t="n"/>
      <c r="AC73" s="309">
        <f>-AC72/AC15</f>
        <v>0.0203430972954368</v>
      </c>
      <c r="AD73" s="309">
        <f>-AD72/AD15</f>
        <v>0.0196559227066211</v>
      </c>
      <c r="AE73" s="309">
        <f>-AE72/AE15</f>
        <v>0.0200895841690066</v>
      </c>
      <c r="AF73" s="311">
        <f>-AF72/AF15</f>
        <v>0.0196217270896274</v>
      </c>
      <c r="AG73" s="309" t="n"/>
      <c r="AH73" s="311">
        <f>-AH72/AH15</f>
        <v>0.0214963628896603</v>
      </c>
      <c r="AI73" s="311">
        <f>-AI72/AI15</f>
        <v>0.0208846581567227</v>
      </c>
      <c r="AJ73" s="311" t="n"/>
      <c r="AK73" s="311" t="n"/>
      <c r="AL73" s="309" t="n"/>
      <c r="AM73" s="311" t="n"/>
      <c r="AN73" s="311" t="n"/>
      <c r="AO73" s="311" t="n"/>
      <c r="AP73" s="311" t="n"/>
      <c r="AQ73" s="309" t="n"/>
      <c r="AR73" s="311" t="n"/>
      <c r="AS73" s="311" t="n"/>
      <c r="AT73" s="311" t="n"/>
      <c r="AU73" s="311" t="n"/>
      <c r="AV73" s="309" t="n"/>
      <c r="AW73" s="311" t="n"/>
      <c r="AX73" s="311" t="n"/>
      <c r="AY73" s="311" t="n"/>
      <c r="AZ73" s="311" t="n"/>
      <c r="BA73" s="309" t="n"/>
      <c r="BB73" s="311" t="n"/>
      <c r="BC73" s="311" t="n"/>
      <c r="BD73" s="311" t="n"/>
      <c r="BE73" s="311" t="n"/>
      <c r="BF73" s="309" t="n"/>
      <c r="BG73" s="311" t="n"/>
      <c r="BH73" s="311" t="n"/>
      <c r="BI73" s="311" t="n"/>
      <c r="BJ73" s="311" t="n"/>
      <c r="BK73" s="309" t="n"/>
      <c r="BL73" s="311" t="n"/>
      <c r="BM73" s="311" t="n"/>
      <c r="BN73" s="311" t="n"/>
      <c r="BO73" s="311" t="n"/>
      <c r="BP73" s="309" t="n"/>
      <c r="BQ73" s="311" t="n"/>
      <c r="BR73" s="311" t="n"/>
      <c r="BS73" s="311" t="n"/>
      <c r="BT73" s="311" t="n"/>
      <c r="BU73" s="309" t="n"/>
      <c r="BV73" s="311" t="n"/>
      <c r="BW73" s="311" t="n"/>
      <c r="BX73" s="311" t="n"/>
      <c r="BY73" s="311" t="n"/>
      <c r="BZ73" s="309" t="n"/>
      <c r="CA73" s="311" t="n"/>
      <c r="CB73" s="311" t="n"/>
      <c r="CC73" s="311" t="n"/>
      <c r="CD73" s="311" t="n"/>
      <c r="CE73" s="309" t="n"/>
      <c r="CF73" s="311" t="n"/>
      <c r="CG73" s="311" t="n"/>
      <c r="CH73" s="311" t="n"/>
      <c r="CI73" s="311" t="n"/>
      <c r="CJ73" s="309" t="n"/>
      <c r="CK73" s="311" t="n"/>
      <c r="CL73" s="311" t="n"/>
      <c r="CM73" s="311" t="n"/>
      <c r="CN73" s="311" t="n"/>
      <c r="CO73" s="309" t="n"/>
      <c r="CP73" s="311" t="n"/>
      <c r="CQ73" s="311" t="n"/>
      <c r="CR73" s="311" t="n"/>
      <c r="CS73" s="311" t="n"/>
      <c r="CT73" s="309" t="n"/>
      <c r="CU73" s="311" t="n"/>
      <c r="CV73" s="311" t="n"/>
      <c r="CW73" s="311" t="n"/>
      <c r="CX73" s="311" t="n"/>
      <c r="CY73" s="309" t="n"/>
    </row>
    <row r="74" hidden="1" outlineLevel="1" ht="12.75" customHeight="1" s="255">
      <c r="C74" s="305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  <c r="Y74" s="268" t="n"/>
      <c r="Z74" s="268" t="n"/>
      <c r="AA74" s="268" t="n"/>
      <c r="AB74" s="268" t="n"/>
      <c r="AC74" s="268" t="n"/>
      <c r="AD74" s="268" t="n"/>
      <c r="AE74" s="268" t="n"/>
      <c r="AF74" s="268" t="n"/>
      <c r="AG74" s="268" t="n"/>
      <c r="AH74" s="268" t="n"/>
      <c r="AI74" s="268" t="n"/>
      <c r="AJ74" s="268" t="n"/>
      <c r="AK74" s="268" t="n"/>
      <c r="AL74" s="268" t="n"/>
      <c r="AM74" s="268" t="n"/>
      <c r="AN74" s="268" t="n"/>
      <c r="AO74" s="268" t="n"/>
      <c r="AP74" s="268" t="n"/>
      <c r="AQ74" s="268" t="n"/>
      <c r="AR74" s="268" t="n"/>
      <c r="AS74" s="268" t="n"/>
      <c r="AT74" s="268" t="n"/>
      <c r="AU74" s="268" t="n"/>
      <c r="AV74" s="268" t="n"/>
      <c r="AW74" s="268" t="n"/>
      <c r="AX74" s="268" t="n"/>
      <c r="AY74" s="268" t="n"/>
      <c r="AZ74" s="268" t="n"/>
      <c r="BA74" s="268" t="n"/>
      <c r="BB74" s="268" t="n"/>
      <c r="BC74" s="268" t="n"/>
      <c r="BD74" s="268" t="n"/>
      <c r="BE74" s="268" t="n"/>
      <c r="BF74" s="268" t="n"/>
      <c r="BG74" s="268" t="n"/>
      <c r="BH74" s="268" t="n"/>
      <c r="BI74" s="268" t="n"/>
      <c r="BJ74" s="268" t="n"/>
      <c r="BK74" s="268" t="n"/>
      <c r="BL74" s="268" t="n"/>
      <c r="BM74" s="268" t="n"/>
      <c r="BN74" s="268" t="n"/>
      <c r="BO74" s="268" t="n"/>
      <c r="BP74" s="268" t="n"/>
      <c r="BQ74" s="268" t="n"/>
      <c r="BR74" s="268" t="n"/>
      <c r="BS74" s="268" t="n"/>
      <c r="BT74" s="268" t="n"/>
      <c r="BU74" s="268" t="n"/>
      <c r="BV74" s="268" t="n"/>
      <c r="BW74" s="268" t="n"/>
      <c r="BX74" s="268" t="n"/>
      <c r="BY74" s="268" t="n"/>
      <c r="BZ74" s="268" t="n"/>
      <c r="CA74" s="268" t="n"/>
      <c r="CB74" s="268" t="n"/>
      <c r="CC74" s="268" t="n"/>
      <c r="CD74" s="268" t="n"/>
      <c r="CE74" s="268" t="n"/>
      <c r="CF74" s="268" t="n"/>
      <c r="CG74" s="268" t="n"/>
      <c r="CH74" s="268" t="n"/>
      <c r="CI74" s="268" t="n"/>
      <c r="CJ74" s="268" t="n"/>
      <c r="CK74" s="268" t="n"/>
      <c r="CL74" s="268" t="n"/>
      <c r="CM74" s="268" t="n"/>
      <c r="CN74" s="268" t="n"/>
      <c r="CO74" s="268" t="n"/>
      <c r="CP74" s="268" t="n"/>
      <c r="CQ74" s="268" t="n"/>
      <c r="CR74" s="268" t="n"/>
      <c r="CS74" s="268" t="n"/>
      <c r="CT74" s="268" t="n"/>
      <c r="CU74" s="268" t="n"/>
      <c r="CV74" s="268" t="n"/>
      <c r="CW74" s="268" t="n"/>
      <c r="CX74" s="268" t="n"/>
      <c r="CY74" s="268" t="n"/>
    </row>
    <row r="75" ht="12.75" customFormat="1" customHeight="1" s="287">
      <c r="A75" s="288" t="n"/>
      <c r="B75" s="259" t="n"/>
      <c r="C75" s="275" t="inlineStr">
        <is>
          <t>Operating Profit - EBIT</t>
        </is>
      </c>
      <c r="D75" s="276">
        <f>SUM(D71,D72)</f>
        <v>5224</v>
      </c>
      <c r="E75" s="276">
        <f>SUM(E71,E72)</f>
        <v>6059</v>
      </c>
      <c r="F75" s="276">
        <f>SUM(F71,F72)</f>
        <v>5778</v>
      </c>
      <c r="G75" s="276">
        <f>SUM(G71,G72)</f>
        <v>5487</v>
      </c>
      <c r="H75" s="276">
        <f>SUM(D75:G75)</f>
        <v>22548</v>
      </c>
      <c r="I75" s="276">
        <f>SUM(I71,I72)</f>
        <v>6909</v>
      </c>
      <c r="J75" s="276">
        <f>SUM(J71,J72)</f>
        <v>7354</v>
      </c>
      <c r="K75" s="276">
        <f>SUM(K71,K72)</f>
        <v>5792</v>
      </c>
      <c r="L75" s="276">
        <f>SUM(L71,L72)</f>
        <v>5887</v>
      </c>
      <c r="M75" s="276">
        <f>SUM(I75:L75)</f>
        <v>25942</v>
      </c>
      <c r="N75" s="276">
        <f>SUM(N71,N72)</f>
        <v>5318</v>
      </c>
      <c r="O75" s="276">
        <f>SUM(O71,O72)</f>
        <v>6854</v>
      </c>
      <c r="P75" s="276">
        <f>SUM(P71,P72)</f>
        <v>2695</v>
      </c>
      <c r="Q75" s="276">
        <f>SUM(Q71,Q72)</f>
        <v>5561</v>
      </c>
      <c r="R75" s="276">
        <f>SUM(N75:Q75)</f>
        <v>20428</v>
      </c>
      <c r="S75" s="276">
        <f>SUM(S71,S72)</f>
        <v>6240</v>
      </c>
      <c r="T75" s="276">
        <f>SUM(T71,T72)</f>
        <v>7316</v>
      </c>
      <c r="U75" s="276">
        <f>SUM(U71,U72)</f>
        <v>6202</v>
      </c>
      <c r="V75" s="276">
        <f>SUM(V71,V72)</f>
        <v>7254</v>
      </c>
      <c r="W75" s="276">
        <f>SUM(S75:V75)</f>
        <v>27012</v>
      </c>
      <c r="X75" s="276">
        <f>SUM(X71,X72)</f>
        <v>6841</v>
      </c>
      <c r="Y75" s="276">
        <f>SUM(Y71,Y72)</f>
        <v>7940</v>
      </c>
      <c r="Z75" s="276">
        <f>SUM(Z71,Z72)</f>
        <v>6708</v>
      </c>
      <c r="AA75" s="276">
        <f>SUM(AA71,AA72)</f>
        <v>7859</v>
      </c>
      <c r="AB75" s="276">
        <f>SUM(X75:AA75)</f>
        <v>29348</v>
      </c>
      <c r="AC75" s="276">
        <f>SUM(AC71,AC72)</f>
        <v>7135</v>
      </c>
      <c r="AD75" s="276">
        <f>SUM(AD71,AD72)</f>
        <v>7286</v>
      </c>
      <c r="AE75" s="276">
        <f>SUM(AE71,AE72)</f>
        <v>6696</v>
      </c>
      <c r="AF75" s="276">
        <f>SUM(AF71,AF72)</f>
        <v>8708</v>
      </c>
      <c r="AG75" s="276">
        <f>SUM(AC75:AF75)</f>
        <v>29825</v>
      </c>
      <c r="AH75" s="276">
        <f>SUM(AH71,AH72)</f>
        <v>7493</v>
      </c>
      <c r="AI75" s="276">
        <f>SUM(AI71,AI72)</f>
        <v>9383</v>
      </c>
      <c r="AJ75" s="276">
        <f>SUM(AJ71,AJ72)</f>
        <v>0</v>
      </c>
      <c r="AK75" s="276">
        <f>SUM(AK71,AK72)</f>
        <v>0</v>
      </c>
      <c r="AL75" s="276">
        <f>SUM(AL71,AL72)</f>
        <v>16876</v>
      </c>
      <c r="AM75" s="276">
        <f>SUM(AM71,AM72)</f>
        <v>0</v>
      </c>
      <c r="AN75" s="276">
        <f>SUM(AN71,AN72)</f>
        <v>0</v>
      </c>
      <c r="AO75" s="276">
        <f>SUM(AO71,AO72)</f>
        <v>0</v>
      </c>
      <c r="AP75" s="276">
        <f>SUM(AP71,AP72)</f>
        <v>0</v>
      </c>
      <c r="AQ75" s="276">
        <f>SUM(AQ71,AQ72)</f>
        <v>0</v>
      </c>
      <c r="AR75" s="276">
        <f>SUM(AR71,AR72)</f>
        <v>0</v>
      </c>
      <c r="AS75" s="276">
        <f>SUM(AS71,AS72)</f>
        <v>0</v>
      </c>
      <c r="AT75" s="276">
        <f>SUM(AT71,AT72)</f>
        <v>0</v>
      </c>
      <c r="AU75" s="276">
        <f>SUM(AU71,AU72)</f>
        <v>0</v>
      </c>
      <c r="AV75" s="276">
        <f>SUM(AV71,AV72)</f>
        <v>0</v>
      </c>
      <c r="AW75" s="276">
        <f>SUM(AW71,AW72)</f>
        <v>0</v>
      </c>
      <c r="AX75" s="276">
        <f>SUM(AX71,AX72)</f>
        <v>0</v>
      </c>
      <c r="AY75" s="276">
        <f>SUM(AY71,AY72)</f>
        <v>0</v>
      </c>
      <c r="AZ75" s="276">
        <f>SUM(AZ71,AZ72)</f>
        <v>0</v>
      </c>
      <c r="BA75" s="276">
        <f>SUM(BA71,BA72)</f>
        <v>0</v>
      </c>
      <c r="BB75" s="276">
        <f>SUM(BB71,BB72)</f>
        <v>0</v>
      </c>
      <c r="BC75" s="276">
        <f>SUM(BC71,BC72)</f>
        <v>0</v>
      </c>
      <c r="BD75" s="276">
        <f>SUM(BD71,BD72)</f>
        <v>0</v>
      </c>
      <c r="BE75" s="276">
        <f>SUM(BE71,BE72)</f>
        <v>0</v>
      </c>
      <c r="BF75" s="276">
        <f>SUM(BF71,BF72)</f>
        <v>0</v>
      </c>
      <c r="BG75" s="276">
        <f>SUM(BG71,BG72)</f>
        <v>0</v>
      </c>
      <c r="BH75" s="276">
        <f>SUM(BH71,BH72)</f>
        <v>0</v>
      </c>
      <c r="BI75" s="276">
        <f>SUM(BI71,BI72)</f>
        <v>0</v>
      </c>
      <c r="BJ75" s="276">
        <f>SUM(BJ71,BJ72)</f>
        <v>0</v>
      </c>
      <c r="BK75" s="276">
        <f>SUM(BK71,BK72)</f>
        <v>0</v>
      </c>
      <c r="BL75" s="276">
        <f>SUM(BL71,BL72)</f>
        <v>0</v>
      </c>
      <c r="BM75" s="276">
        <f>SUM(BM71,BM72)</f>
        <v>0</v>
      </c>
      <c r="BN75" s="276">
        <f>SUM(BN71,BN72)</f>
        <v>0</v>
      </c>
      <c r="BO75" s="276">
        <f>SUM(BO71,BO72)</f>
        <v>0</v>
      </c>
      <c r="BP75" s="276">
        <f>SUM(BP71,BP72)</f>
        <v>0</v>
      </c>
      <c r="BQ75" s="276">
        <f>SUM(BQ71,BQ72)</f>
        <v>0</v>
      </c>
      <c r="BR75" s="276">
        <f>SUM(BR71,BR72)</f>
        <v>0</v>
      </c>
      <c r="BS75" s="276">
        <f>SUM(BS71,BS72)</f>
        <v>0</v>
      </c>
      <c r="BT75" s="276">
        <f>SUM(BT71,BT72)</f>
        <v>0</v>
      </c>
      <c r="BU75" s="276">
        <f>SUM(BU71,BU72)</f>
        <v>0</v>
      </c>
      <c r="BV75" s="276">
        <f>SUM(BV71,BV72)</f>
        <v>0</v>
      </c>
      <c r="BW75" s="276">
        <f>SUM(BW71,BW72)</f>
        <v>0</v>
      </c>
      <c r="BX75" s="276">
        <f>SUM(BX71,BX72)</f>
        <v>0</v>
      </c>
      <c r="BY75" s="276">
        <f>SUM(BY71,BY72)</f>
        <v>0</v>
      </c>
      <c r="BZ75" s="276">
        <f>SUM(BZ71,BZ72)</f>
        <v>0</v>
      </c>
      <c r="CA75" s="276">
        <f>SUM(CA71,CA72)</f>
        <v>0</v>
      </c>
      <c r="CB75" s="276">
        <f>SUM(CB71,CB72)</f>
        <v>0</v>
      </c>
      <c r="CC75" s="276">
        <f>SUM(CC71,CC72)</f>
        <v>0</v>
      </c>
      <c r="CD75" s="276">
        <f>SUM(CD71,CD72)</f>
        <v>0</v>
      </c>
      <c r="CE75" s="276">
        <f>SUM(CE71,CE72)</f>
        <v>0</v>
      </c>
      <c r="CF75" s="276">
        <f>SUM(CF71,CF72)</f>
        <v>0</v>
      </c>
      <c r="CG75" s="276">
        <f>SUM(CG71,CG72)</f>
        <v>0</v>
      </c>
      <c r="CH75" s="276">
        <f>SUM(CH71,CH72)</f>
        <v>0</v>
      </c>
      <c r="CI75" s="276">
        <f>SUM(CI71,CI72)</f>
        <v>0</v>
      </c>
      <c r="CJ75" s="276">
        <f>SUM(CJ71,CJ72)</f>
        <v>0</v>
      </c>
      <c r="CK75" s="276">
        <f>SUM(CK71,CK72)</f>
        <v>0</v>
      </c>
      <c r="CL75" s="276">
        <f>SUM(CL71,CL72)</f>
        <v>0</v>
      </c>
      <c r="CM75" s="276">
        <f>SUM(CM71,CM72)</f>
        <v>0</v>
      </c>
      <c r="CN75" s="276">
        <f>SUM(CN71,CN72)</f>
        <v>0</v>
      </c>
      <c r="CO75" s="276">
        <f>SUM(CO71,CO72)</f>
        <v>0</v>
      </c>
      <c r="CP75" s="276">
        <f>SUM(CP71,CP72)</f>
        <v>0</v>
      </c>
      <c r="CQ75" s="276">
        <f>SUM(CQ71,CQ72)</f>
        <v>0</v>
      </c>
      <c r="CR75" s="276">
        <f>SUM(CR71,CR72)</f>
        <v>0</v>
      </c>
      <c r="CS75" s="276">
        <f>SUM(CS71,CS72)</f>
        <v>0</v>
      </c>
      <c r="CT75" s="276">
        <f>SUM(CT71,CT72)</f>
        <v>0</v>
      </c>
      <c r="CU75" s="276">
        <f>SUM(CU71,CU72)</f>
        <v>0</v>
      </c>
      <c r="CV75" s="276">
        <f>SUM(CV71,CV72)</f>
        <v>0</v>
      </c>
      <c r="CW75" s="276">
        <f>SUM(CW71,CW72)</f>
        <v>0</v>
      </c>
      <c r="CX75" s="276">
        <f>SUM(CX71,CX72)</f>
        <v>0</v>
      </c>
      <c r="CY75" s="276">
        <f>SUM(CY71,CY72)</f>
        <v>0</v>
      </c>
    </row>
    <row r="76" ht="12.75" customHeight="1" s="255">
      <c r="C76" s="270" t="inlineStr">
        <is>
          <t>Interest Expense</t>
        </is>
      </c>
      <c r="D76" s="301">
        <f>INDEX('Inputs (2)'!$D$8:$AL$8,MATCH(D$7,'Inputs (2)'!$D$2:$AL$2,0))</f>
        <v>-510</v>
      </c>
      <c r="E76" s="301">
        <f>INDEX('Inputs (2)'!$D$8:$AL$8,MATCH(E$7,'Inputs (2)'!$D$2:$AL$2,0))</f>
        <v>-577</v>
      </c>
      <c r="F76" s="301">
        <f>INDEX('Inputs (2)'!$D$8:$AL$8,MATCH(F$7,'Inputs (2)'!$D$2:$AL$2,0))</f>
        <v>-455</v>
      </c>
      <c r="G76" s="301">
        <f>INDEX('Inputs (2)'!$D$8:$AL$8,MATCH(G$7,'Inputs (2)'!$D$2:$AL$2,0))</f>
        <v>-434</v>
      </c>
      <c r="H76" s="268">
        <f>SUM(D76:G76)</f>
        <v>-1976</v>
      </c>
      <c r="I76" s="301">
        <f>INDEX('Inputs (2)'!$D$8:$AL$8,MATCH(I$7,'Inputs (2)'!$D$2:$AL$2,0))</f>
        <v>-481</v>
      </c>
      <c r="J76" s="301">
        <f>INDEX('Inputs (2)'!$D$8:$AL$8,MATCH(J$7,'Inputs (2)'!$D$2:$AL$2,0))</f>
        <v>-437</v>
      </c>
      <c r="K76" s="301">
        <f>INDEX('Inputs (2)'!$D$8:$AL$8,MATCH(K$7,'Inputs (2)'!$D$2:$AL$2,0))</f>
        <v>-408</v>
      </c>
      <c r="L76" s="301">
        <f>INDEX('Inputs (2)'!$D$8:$AL$8,MATCH(L$7,'Inputs (2)'!$D$2:$AL$2,0))</f>
        <v>-348</v>
      </c>
      <c r="M76" s="268">
        <f>SUM(I76:L76)</f>
        <v>-1674</v>
      </c>
      <c r="N76" s="301">
        <f>INDEX('Inputs (2)'!$D$8:$AL$8,MATCH(N$7,'Inputs (2)'!$D$2:$AL$2,0))</f>
        <v>-372</v>
      </c>
      <c r="O76" s="301">
        <f>INDEX('Inputs (2)'!$D$8:$AL$8,MATCH(O$7,'Inputs (2)'!$D$2:$AL$2,0))</f>
        <v>-395</v>
      </c>
      <c r="P76" s="301">
        <f>INDEX('Inputs (2)'!$D$8:$AL$8,MATCH(P$7,'Inputs (2)'!$D$2:$AL$2,0))</f>
        <v>-499</v>
      </c>
      <c r="Q76" s="301">
        <f>INDEX('Inputs (2)'!$D$8:$AL$8,MATCH(Q$7,'Inputs (2)'!$D$2:$AL$2,0))</f>
        <v>-521</v>
      </c>
      <c r="R76" s="268">
        <f>SUM(N76:Q76)</f>
        <v>-1787</v>
      </c>
      <c r="S76" s="301">
        <f>INDEX('Inputs (2)'!$D$8:$AL$8,MATCH(S$7,'Inputs (2)'!$D$2:$AL$2,0))</f>
        <v>-568</v>
      </c>
      <c r="T76" s="301">
        <f>INDEX('Inputs (2)'!$D$8:$AL$8,MATCH(T$7,'Inputs (2)'!$D$2:$AL$2,0))</f>
        <v>-543</v>
      </c>
      <c r="U76" s="301">
        <f>INDEX('Inputs (2)'!$D$8:$AL$8,MATCH(U$7,'Inputs (2)'!$D$2:$AL$2,0))</f>
        <v>-572</v>
      </c>
      <c r="V76" s="301">
        <f>INDEX('Inputs (2)'!$D$8:$AL$8,MATCH(V$7,'Inputs (2)'!$D$2:$AL$2,0))</f>
        <v>-576</v>
      </c>
      <c r="W76" s="268">
        <f>SUM(S76:V76)</f>
        <v>-2259</v>
      </c>
      <c r="X76" s="301">
        <f>INDEX('Inputs (2)'!$D$8:$AL$8,MATCH(X$7,'Inputs (2)'!$D$2:$AL$2,0))</f>
        <v>-597</v>
      </c>
      <c r="Y76" s="301">
        <f>INDEX('Inputs (2)'!$D$8:$AL$8,MATCH(Y$7,'Inputs (2)'!$D$2:$AL$2,0))</f>
        <v>-557</v>
      </c>
      <c r="Z76" s="301">
        <f>INDEX('Inputs (2)'!$D$8:$AL$8,MATCH(Z$7,'Inputs (2)'!$D$2:$AL$2,0))</f>
        <v>-496</v>
      </c>
      <c r="AA76" s="301">
        <f>INDEX('Inputs (2)'!$D$8:$AL$8,MATCH(AA$7,'Inputs (2)'!$D$2:$AL$2,0))</f>
        <v>-599</v>
      </c>
      <c r="AB76" s="268">
        <f>SUM(X76:AA76)</f>
        <v>-2249</v>
      </c>
      <c r="AC76" s="301">
        <f>INDEX('Inputs (2)'!$D$8:$AL$8,MATCH(AC$7,'Inputs (2)'!$D$2:$AL$2,0))</f>
        <v>-519</v>
      </c>
      <c r="AD76" s="301">
        <f>INDEX('Inputs (2)'!$D$8:$AL$8,MATCH(AD$7,'Inputs (2)'!$D$2:$AL$2,0))</f>
        <v>-651</v>
      </c>
      <c r="AE76" s="301">
        <f>INDEX('Inputs (2)'!$D$8:$AL$8,MATCH(AE$7,'Inputs (2)'!$D$2:$AL$2,0))</f>
        <v>-563</v>
      </c>
      <c r="AF76" s="301">
        <f>INDEX('Inputs (2)'!$D$8:$AL$8,MATCH(AF$7,'Inputs (2)'!$D$2:$AL$2,0))</f>
        <v>-585</v>
      </c>
      <c r="AG76" s="268">
        <f>SUM(AC76:AF76)</f>
        <v>-2318</v>
      </c>
      <c r="AH76" s="268">
        <f>INDEX('Inputs (2)'!$D$8:$AL$8,MATCH(AH$7,'Inputs (2)'!$D$2:$AL$2,0))</f>
        <v>-574</v>
      </c>
      <c r="AI76" s="268">
        <f>INDEX('Inputs (2)'!$D$8:$AL$8,MATCH(AI$7,'Inputs (2)'!$D$2:$AL$2,0))</f>
        <v>-137</v>
      </c>
      <c r="AJ76" s="268" t="n"/>
      <c r="AK76" s="268" t="n"/>
      <c r="AL76" s="268">
        <f>SUM(AH76:AK76)</f>
        <v>-711</v>
      </c>
      <c r="AM76" s="268" t="n"/>
      <c r="AN76" s="268" t="n"/>
      <c r="AO76" s="268" t="n"/>
      <c r="AP76" s="268" t="n"/>
      <c r="AQ76" s="268">
        <f>SUM(AM76:AP76)</f>
        <v>0</v>
      </c>
      <c r="AR76" s="268" t="n"/>
      <c r="AS76" s="268" t="n"/>
      <c r="AT76" s="268" t="n"/>
      <c r="AU76" s="268" t="n"/>
      <c r="AV76" s="268">
        <f>SUM(AR76:AU76)</f>
        <v>0</v>
      </c>
      <c r="AW76" s="268" t="n"/>
      <c r="AX76" s="268" t="n"/>
      <c r="AY76" s="268" t="n"/>
      <c r="AZ76" s="268" t="n"/>
      <c r="BA76" s="268">
        <f>SUM(AW76:AZ76)</f>
        <v>0</v>
      </c>
      <c r="BB76" s="268" t="n"/>
      <c r="BC76" s="268" t="n"/>
      <c r="BD76" s="268" t="n"/>
      <c r="BE76" s="268" t="n"/>
      <c r="BF76" s="268">
        <f>SUM(BB76:BE76)</f>
        <v>0</v>
      </c>
      <c r="BG76" s="268" t="n"/>
      <c r="BH76" s="268" t="n"/>
      <c r="BI76" s="268" t="n"/>
      <c r="BJ76" s="268" t="n"/>
      <c r="BK76" s="268">
        <f>SUM(BG76:BJ76)</f>
        <v>0</v>
      </c>
      <c r="BL76" s="268" t="n"/>
      <c r="BM76" s="268" t="n"/>
      <c r="BN76" s="268" t="n"/>
      <c r="BO76" s="268" t="n"/>
      <c r="BP76" s="268">
        <f>SUM(BL76:BO76)</f>
        <v>0</v>
      </c>
      <c r="BQ76" s="268" t="n"/>
      <c r="BR76" s="268" t="n"/>
      <c r="BS76" s="268" t="n"/>
      <c r="BT76" s="268" t="n"/>
      <c r="BU76" s="268">
        <f>SUM(BQ76:BT76)</f>
        <v>0</v>
      </c>
      <c r="BV76" s="268" t="n"/>
      <c r="BW76" s="268" t="n"/>
      <c r="BX76" s="268" t="n"/>
      <c r="BY76" s="268" t="n"/>
      <c r="BZ76" s="268">
        <f>SUM(BV76:BY76)</f>
        <v>0</v>
      </c>
      <c r="CA76" s="268" t="n"/>
      <c r="CB76" s="268" t="n"/>
      <c r="CC76" s="268" t="n"/>
      <c r="CD76" s="268" t="n"/>
      <c r="CE76" s="268">
        <f>SUM(CA76:CD76)</f>
        <v>0</v>
      </c>
      <c r="CF76" s="268" t="n"/>
      <c r="CG76" s="268" t="n"/>
      <c r="CH76" s="268" t="n"/>
      <c r="CI76" s="268" t="n"/>
      <c r="CJ76" s="268">
        <f>SUM(CF76:CI76)</f>
        <v>0</v>
      </c>
      <c r="CK76" s="268" t="n"/>
      <c r="CL76" s="268" t="n"/>
      <c r="CM76" s="268" t="n"/>
      <c r="CN76" s="268" t="n"/>
      <c r="CO76" s="268">
        <f>SUM(CK76:CN76)</f>
        <v>0</v>
      </c>
      <c r="CP76" s="268" t="n"/>
      <c r="CQ76" s="268" t="n"/>
      <c r="CR76" s="268" t="n"/>
      <c r="CS76" s="268" t="n"/>
      <c r="CT76" s="268">
        <f>SUM(CP76:CS76)</f>
        <v>0</v>
      </c>
      <c r="CU76" s="268" t="n"/>
      <c r="CV76" s="268" t="n"/>
      <c r="CW76" s="268" t="n"/>
      <c r="CX76" s="268" t="n"/>
      <c r="CY76" s="268">
        <f>SUM(CU76:CX76)</f>
        <v>0</v>
      </c>
    </row>
    <row r="77" hidden="1" outlineLevel="1" ht="12.75" customHeight="1" s="255">
      <c r="C77" s="305" t="inlineStr">
        <is>
          <t>% of Debt</t>
        </is>
      </c>
      <c r="D77" s="309">
        <f>IFERROR(-D76/SUM(D214+D219),0)</f>
        <v>0.00961592850274337</v>
      </c>
      <c r="E77" s="309">
        <f>IFERROR(-E76/SUM(E214+E219),0)</f>
        <v>0.0123109091297019</v>
      </c>
      <c r="F77" s="309">
        <f>IFERROR(-F76/SUM(F214+F219),0)</f>
        <v>0.0100116619358814</v>
      </c>
      <c r="G77" s="309">
        <f>IFERROR(-G76/SUM(G214+G219),0)</f>
        <v>0.00974558192800844</v>
      </c>
      <c r="H77" s="268" t="n"/>
      <c r="I77" s="309">
        <f>IFERROR(-I76/SUM(I214+I219),0)</f>
        <v>0.0108983799705449</v>
      </c>
      <c r="J77" s="309">
        <f>IFERROR(-J76/SUM(J214+J219),0)</f>
        <v>0.0104373163916024</v>
      </c>
      <c r="K77" s="309">
        <f>IFERROR(-K76/SUM(K214+K219),0)</f>
        <v>0.0106120113402866</v>
      </c>
      <c r="L77" s="309">
        <f>IFERROR(-L76/SUM(L214+L219),0)</f>
        <v>0.00913937547600914</v>
      </c>
      <c r="M77" s="268" t="n"/>
      <c r="N77" s="309">
        <f>IFERROR(-N76/SUM(N214+N219),0)</f>
        <v>0.00788369431611071</v>
      </c>
      <c r="O77" s="309">
        <f>IFERROR(-O76/SUM(O214+O219),0)</f>
        <v>0.00863369106686193</v>
      </c>
      <c r="P77" s="309">
        <f>IFERROR(-P76/SUM(P214+P219),0)</f>
        <v>0.0107999307419271</v>
      </c>
      <c r="Q77" s="309">
        <f>IFERROR(-Q76/SUM(Q214+Q219),0)</f>
        <v>0.0132867489544017</v>
      </c>
      <c r="R77" s="268" t="n"/>
      <c r="S77" s="309">
        <f>IFERROR(-S76/SUM(S214+S219),0)</f>
        <v>0.0129662603296352</v>
      </c>
      <c r="T77" s="309">
        <f>IFERROR(-T76/SUM(T214+T219),0)</f>
        <v>0.0122714637618929</v>
      </c>
      <c r="U77" s="309">
        <f>IFERROR(-U76/SUM(U214+U219),0)</f>
        <v>0.0116520676308821</v>
      </c>
      <c r="V77" s="309">
        <f>IFERROR(-V76/SUM(V214+V219),0)</f>
        <v>0.0142373384086808</v>
      </c>
      <c r="W77" s="268" t="n"/>
      <c r="X77" s="309">
        <f>IFERROR(-X76/SUM(X214+X219),0)</f>
        <v>0.0138034682080925</v>
      </c>
      <c r="Y77" s="309">
        <f>IFERROR(-Y76/SUM(Y214+Y219),0)</f>
        <v>0.013906226594098</v>
      </c>
      <c r="Z77" s="309">
        <f>IFERROR(-Z76/SUM(Z214+Z219),0)</f>
        <v>0.0122559920929083</v>
      </c>
      <c r="AA77" s="309">
        <f>IFERROR(-AA76/SUM(AA214+AA219),0)</f>
        <v>0.0153326336806</v>
      </c>
      <c r="AB77" s="268" t="n"/>
      <c r="AC77" s="309">
        <f>IFERROR(-AC76/SUM(AC214+AC219),0)</f>
        <v>0.0112337662337662</v>
      </c>
      <c r="AD77" s="309">
        <f>IFERROR(-AD76/SUM(AD214+AD219),0)</f>
        <v>0.014969646799117</v>
      </c>
      <c r="AE77" s="309">
        <f>IFERROR(-AE76/SUM(AE214+AE219),0)</f>
        <v>0.0121417326230887</v>
      </c>
      <c r="AF77" s="311">
        <f>IFERROR(-AF76/SUM(AF214+AF219),0)</f>
        <v>0.0130691211295295</v>
      </c>
      <c r="AG77" s="268" t="n"/>
      <c r="AH77" s="267">
        <f>IFERROR(-AH76/SUM(AH214+AH219),0)</f>
        <v>0.0111551616915423</v>
      </c>
      <c r="AI77" s="267">
        <f>IFERROR(-AI76/SUM(AI214+AI219),0)</f>
        <v>0.00271766082799389</v>
      </c>
      <c r="AJ77" s="267" t="n"/>
      <c r="AK77" s="267" t="n"/>
      <c r="AL77" s="268" t="n"/>
      <c r="AM77" s="267" t="n"/>
      <c r="AN77" s="267" t="n"/>
      <c r="AO77" s="267" t="n"/>
      <c r="AP77" s="267" t="n"/>
      <c r="AQ77" s="268" t="n"/>
      <c r="AR77" s="267" t="n"/>
      <c r="AS77" s="267" t="n"/>
      <c r="AT77" s="267" t="n"/>
      <c r="AU77" s="267" t="n"/>
      <c r="AV77" s="268" t="n"/>
      <c r="AW77" s="267" t="n"/>
      <c r="AX77" s="267" t="n"/>
      <c r="AY77" s="267" t="n"/>
      <c r="AZ77" s="267" t="n"/>
      <c r="BA77" s="268" t="n"/>
      <c r="BB77" s="267" t="n"/>
      <c r="BC77" s="267" t="n"/>
      <c r="BD77" s="267" t="n"/>
      <c r="BE77" s="267" t="n"/>
      <c r="BF77" s="268" t="n"/>
      <c r="BG77" s="267" t="n"/>
      <c r="BH77" s="267" t="n"/>
      <c r="BI77" s="267" t="n"/>
      <c r="BJ77" s="267" t="n"/>
      <c r="BK77" s="268" t="n"/>
      <c r="BL77" s="267" t="n"/>
      <c r="BM77" s="267" t="n"/>
      <c r="BN77" s="267" t="n"/>
      <c r="BO77" s="267" t="n"/>
      <c r="BP77" s="268" t="n"/>
      <c r="BQ77" s="267" t="n"/>
      <c r="BR77" s="267" t="n"/>
      <c r="BS77" s="267" t="n"/>
      <c r="BT77" s="267" t="n"/>
      <c r="BU77" s="268" t="n"/>
      <c r="BV77" s="267" t="n"/>
      <c r="BW77" s="267" t="n"/>
      <c r="BX77" s="267" t="n"/>
      <c r="BY77" s="267" t="n"/>
      <c r="BZ77" s="268" t="n"/>
      <c r="CA77" s="267" t="n"/>
      <c r="CB77" s="267" t="n"/>
      <c r="CC77" s="267" t="n"/>
      <c r="CD77" s="267" t="n"/>
      <c r="CE77" s="268" t="n"/>
      <c r="CF77" s="267" t="n"/>
      <c r="CG77" s="267" t="n"/>
      <c r="CH77" s="267" t="n"/>
      <c r="CI77" s="267" t="n"/>
      <c r="CJ77" s="268" t="n"/>
      <c r="CK77" s="267" t="n"/>
      <c r="CL77" s="267" t="n"/>
      <c r="CM77" s="267" t="n"/>
      <c r="CN77" s="267" t="n"/>
      <c r="CO77" s="268" t="n"/>
      <c r="CP77" s="267" t="n"/>
      <c r="CQ77" s="267" t="n"/>
      <c r="CR77" s="267" t="n"/>
      <c r="CS77" s="267" t="n"/>
      <c r="CT77" s="268" t="n"/>
      <c r="CU77" s="267" t="n"/>
      <c r="CV77" s="267" t="n"/>
      <c r="CW77" s="267" t="n"/>
      <c r="CX77" s="267" t="n"/>
      <c r="CY77" s="268" t="n"/>
    </row>
    <row r="78" hidden="1" outlineLevel="1" ht="12.75" customHeight="1" s="255">
      <c r="C78" s="305" t="inlineStr">
        <is>
          <t>%CDI</t>
        </is>
      </c>
      <c r="D78" s="267" t="n"/>
      <c r="E78" s="267" t="n"/>
      <c r="F78" s="267" t="n"/>
      <c r="G78" s="267" t="n"/>
      <c r="H78" s="268" t="n"/>
      <c r="I78" s="267" t="n"/>
      <c r="J78" s="267" t="n"/>
      <c r="K78" s="267" t="n"/>
      <c r="L78" s="267" t="n"/>
      <c r="M78" s="268" t="n"/>
      <c r="N78" s="267" t="n"/>
      <c r="O78" s="267" t="n"/>
      <c r="P78" s="267" t="n"/>
      <c r="Q78" s="267" t="n"/>
      <c r="R78" s="268" t="n"/>
      <c r="S78" s="267" t="n"/>
      <c r="T78" s="267" t="n"/>
      <c r="U78" s="267" t="n"/>
      <c r="V78" s="267" t="n"/>
      <c r="W78" s="268" t="n"/>
      <c r="X78" s="267" t="n"/>
      <c r="Y78" s="267" t="n"/>
      <c r="Z78" s="267" t="n"/>
      <c r="AA78" s="267" t="n"/>
      <c r="AB78" s="268" t="n"/>
      <c r="AC78" s="267" t="n"/>
      <c r="AD78" s="267" t="n"/>
      <c r="AE78" s="267" t="n"/>
      <c r="AF78" s="267" t="n"/>
      <c r="AG78" s="268" t="n"/>
      <c r="AH78" s="267" t="n"/>
      <c r="AI78" s="267" t="n"/>
      <c r="AJ78" s="267" t="n"/>
      <c r="AK78" s="267" t="n"/>
      <c r="AL78" s="268" t="n"/>
      <c r="AM78" s="267" t="n"/>
      <c r="AN78" s="267" t="n"/>
      <c r="AO78" s="267" t="n"/>
      <c r="AP78" s="267" t="n"/>
      <c r="AQ78" s="268" t="n"/>
      <c r="AR78" s="267" t="n"/>
      <c r="AS78" s="267" t="n"/>
      <c r="AT78" s="267" t="n"/>
      <c r="AU78" s="267" t="n"/>
      <c r="AV78" s="268" t="n"/>
      <c r="AW78" s="267" t="n"/>
      <c r="AX78" s="267" t="n"/>
      <c r="AY78" s="267" t="n"/>
      <c r="AZ78" s="267" t="n"/>
      <c r="BA78" s="268" t="n"/>
      <c r="BB78" s="267" t="n"/>
      <c r="BC78" s="267" t="n"/>
      <c r="BD78" s="267" t="n"/>
      <c r="BE78" s="267" t="n"/>
      <c r="BF78" s="268" t="n"/>
      <c r="BG78" s="267" t="n"/>
      <c r="BH78" s="267" t="n"/>
      <c r="BI78" s="267" t="n"/>
      <c r="BJ78" s="267" t="n"/>
      <c r="BK78" s="268" t="n"/>
      <c r="BL78" s="267" t="n"/>
      <c r="BM78" s="267" t="n"/>
      <c r="BN78" s="267" t="n"/>
      <c r="BO78" s="267" t="n"/>
      <c r="BP78" s="268" t="n"/>
      <c r="BQ78" s="267" t="n"/>
      <c r="BR78" s="267" t="n"/>
      <c r="BS78" s="267" t="n"/>
      <c r="BT78" s="267" t="n"/>
      <c r="BU78" s="268" t="n"/>
      <c r="BV78" s="267" t="n"/>
      <c r="BW78" s="267" t="n"/>
      <c r="BX78" s="267" t="n"/>
      <c r="BY78" s="267" t="n"/>
      <c r="BZ78" s="268" t="n"/>
      <c r="CA78" s="267" t="n"/>
      <c r="CB78" s="267" t="n"/>
      <c r="CC78" s="267" t="n"/>
      <c r="CD78" s="267" t="n"/>
      <c r="CE78" s="268" t="n"/>
      <c r="CF78" s="267" t="n"/>
      <c r="CG78" s="267" t="n"/>
      <c r="CH78" s="267" t="n"/>
      <c r="CI78" s="267" t="n"/>
      <c r="CJ78" s="268" t="n"/>
      <c r="CK78" s="267" t="n"/>
      <c r="CL78" s="267" t="n"/>
      <c r="CM78" s="267" t="n"/>
      <c r="CN78" s="267" t="n"/>
      <c r="CO78" s="268" t="n"/>
      <c r="CP78" s="267" t="n"/>
      <c r="CQ78" s="267" t="n"/>
      <c r="CR78" s="267" t="n"/>
      <c r="CS78" s="267" t="n"/>
      <c r="CT78" s="268" t="n"/>
      <c r="CU78" s="267" t="n"/>
      <c r="CV78" s="267" t="n"/>
      <c r="CW78" s="267" t="n"/>
      <c r="CX78" s="267" t="n"/>
      <c r="CY78" s="268" t="n"/>
    </row>
    <row r="79" hidden="1" outlineLevel="1" ht="12.75" customHeight="1" s="255">
      <c r="C79" s="312" t="n"/>
      <c r="D79" s="268" t="n"/>
      <c r="E79" s="268" t="n"/>
      <c r="F79" s="268" t="n"/>
      <c r="G79" s="268" t="n"/>
      <c r="H79" s="268" t="n"/>
      <c r="I79" s="268" t="n"/>
      <c r="J79" s="268" t="n"/>
      <c r="K79" s="268" t="n"/>
      <c r="L79" s="268" t="n"/>
      <c r="M79" s="268" t="n"/>
      <c r="N79" s="268" t="n"/>
      <c r="O79" s="268" t="n"/>
      <c r="P79" s="268" t="n"/>
      <c r="Q79" s="268" t="n"/>
      <c r="R79" s="268" t="n"/>
      <c r="S79" s="268" t="n"/>
      <c r="T79" s="268" t="n"/>
      <c r="U79" s="268" t="n"/>
      <c r="V79" s="268" t="n"/>
      <c r="W79" s="268" t="n"/>
      <c r="X79" s="268" t="n"/>
      <c r="Y79" s="268" t="n"/>
      <c r="Z79" s="268" t="n"/>
      <c r="AA79" s="268" t="n"/>
      <c r="AB79" s="268" t="n"/>
      <c r="AC79" s="268" t="n"/>
      <c r="AD79" s="268" t="n"/>
      <c r="AE79" s="268" t="n"/>
      <c r="AF79" s="268" t="n"/>
      <c r="AG79" s="268" t="n"/>
      <c r="AH79" s="268" t="n"/>
      <c r="AI79" s="268" t="n"/>
      <c r="AJ79" s="268" t="n"/>
      <c r="AK79" s="268" t="n"/>
      <c r="AL79" s="268" t="n"/>
      <c r="AM79" s="268" t="n"/>
      <c r="AN79" s="268" t="n"/>
      <c r="AO79" s="268" t="n"/>
      <c r="AP79" s="268" t="n"/>
      <c r="AQ79" s="268" t="n"/>
      <c r="AR79" s="268" t="n"/>
      <c r="AS79" s="268" t="n"/>
      <c r="AT79" s="268" t="n"/>
      <c r="AU79" s="268" t="n"/>
      <c r="AV79" s="268" t="n"/>
      <c r="AW79" s="268" t="n"/>
      <c r="AX79" s="268" t="n"/>
      <c r="AY79" s="268" t="n"/>
      <c r="AZ79" s="268" t="n"/>
      <c r="BA79" s="268" t="n"/>
      <c r="BB79" s="268" t="n"/>
      <c r="BC79" s="268" t="n"/>
      <c r="BD79" s="268" t="n"/>
      <c r="BE79" s="268" t="n"/>
      <c r="BF79" s="268" t="n"/>
      <c r="BG79" s="268" t="n"/>
      <c r="BH79" s="268" t="n"/>
      <c r="BI79" s="268" t="n"/>
      <c r="BJ79" s="268" t="n"/>
      <c r="BK79" s="268" t="n"/>
      <c r="BL79" s="268" t="n"/>
      <c r="BM79" s="268" t="n"/>
      <c r="BN79" s="268" t="n"/>
      <c r="BO79" s="268" t="n"/>
      <c r="BP79" s="268" t="n"/>
      <c r="BQ79" s="268" t="n"/>
      <c r="BR79" s="268" t="n"/>
      <c r="BS79" s="268" t="n"/>
      <c r="BT79" s="268" t="n"/>
      <c r="BU79" s="268" t="n"/>
      <c r="BV79" s="268" t="n"/>
      <c r="BW79" s="268" t="n"/>
      <c r="BX79" s="268" t="n"/>
      <c r="BY79" s="268" t="n"/>
      <c r="BZ79" s="268" t="n"/>
      <c r="CA79" s="268" t="n"/>
      <c r="CB79" s="268" t="n"/>
      <c r="CC79" s="268" t="n"/>
      <c r="CD79" s="268" t="n"/>
      <c r="CE79" s="268" t="n"/>
      <c r="CF79" s="268" t="n"/>
      <c r="CG79" s="268" t="n"/>
      <c r="CH79" s="268" t="n"/>
      <c r="CI79" s="268" t="n"/>
      <c r="CJ79" s="268" t="n"/>
      <c r="CK79" s="268" t="n"/>
      <c r="CL79" s="268" t="n"/>
      <c r="CM79" s="268" t="n"/>
      <c r="CN79" s="268" t="n"/>
      <c r="CO79" s="268" t="n"/>
      <c r="CP79" s="268" t="n"/>
      <c r="CQ79" s="268" t="n"/>
      <c r="CR79" s="268" t="n"/>
      <c r="CS79" s="268" t="n"/>
      <c r="CT79" s="268" t="n"/>
      <c r="CU79" s="268" t="n"/>
      <c r="CV79" s="268" t="n"/>
      <c r="CW79" s="268" t="n"/>
      <c r="CX79" s="268" t="n"/>
      <c r="CY79" s="268" t="n"/>
    </row>
    <row r="80" hidden="1" outlineLevel="1" ht="12.75" customHeight="1" s="255">
      <c r="C80" s="312" t="n"/>
      <c r="D80" s="268" t="n"/>
      <c r="E80" s="268" t="n"/>
      <c r="F80" s="268" t="n"/>
      <c r="G80" s="268" t="n"/>
      <c r="H80" s="268" t="n"/>
      <c r="I80" s="268" t="n"/>
      <c r="J80" s="268" t="n"/>
      <c r="K80" s="268" t="n"/>
      <c r="L80" s="268" t="n"/>
      <c r="M80" s="268" t="n"/>
      <c r="N80" s="268" t="n"/>
      <c r="O80" s="268" t="n"/>
      <c r="P80" s="268" t="n"/>
      <c r="Q80" s="268" t="n"/>
      <c r="R80" s="268" t="n"/>
      <c r="S80" s="268" t="n"/>
      <c r="T80" s="268" t="n"/>
      <c r="U80" s="268" t="n"/>
      <c r="V80" s="268" t="n"/>
      <c r="W80" s="268" t="n"/>
      <c r="X80" s="268" t="n"/>
      <c r="Y80" s="268" t="n"/>
      <c r="Z80" s="268" t="n"/>
      <c r="AA80" s="268" t="n"/>
      <c r="AB80" s="268" t="n"/>
      <c r="AC80" s="268" t="n"/>
      <c r="AD80" s="268" t="n"/>
      <c r="AE80" s="268" t="n"/>
      <c r="AF80" s="268" t="n"/>
      <c r="AG80" s="268" t="n"/>
      <c r="AH80" s="268" t="n"/>
      <c r="AI80" s="268" t="n"/>
      <c r="AJ80" s="268" t="n"/>
      <c r="AK80" s="268" t="n"/>
      <c r="AL80" s="268" t="n"/>
      <c r="AM80" s="268" t="n"/>
      <c r="AN80" s="268" t="n"/>
      <c r="AO80" s="268" t="n"/>
      <c r="AP80" s="268" t="n"/>
      <c r="AQ80" s="268" t="n"/>
      <c r="AR80" s="268" t="n"/>
      <c r="AS80" s="268" t="n"/>
      <c r="AT80" s="268" t="n"/>
      <c r="AU80" s="268" t="n"/>
      <c r="AV80" s="268" t="n"/>
      <c r="AW80" s="268" t="n"/>
      <c r="AX80" s="268" t="n"/>
      <c r="AY80" s="268" t="n"/>
      <c r="AZ80" s="268" t="n"/>
      <c r="BA80" s="268" t="n"/>
      <c r="BB80" s="268" t="n"/>
      <c r="BC80" s="268" t="n"/>
      <c r="BD80" s="268" t="n"/>
      <c r="BE80" s="268" t="n"/>
      <c r="BF80" s="268" t="n"/>
      <c r="BG80" s="268" t="n"/>
      <c r="BH80" s="268" t="n"/>
      <c r="BI80" s="268" t="n"/>
      <c r="BJ80" s="268" t="n"/>
      <c r="BK80" s="268" t="n"/>
      <c r="BL80" s="268" t="n"/>
      <c r="BM80" s="268" t="n"/>
      <c r="BN80" s="268" t="n"/>
      <c r="BO80" s="268" t="n"/>
      <c r="BP80" s="268" t="n"/>
      <c r="BQ80" s="268" t="n"/>
      <c r="BR80" s="268" t="n"/>
      <c r="BS80" s="268" t="n"/>
      <c r="BT80" s="268" t="n"/>
      <c r="BU80" s="268" t="n"/>
      <c r="BV80" s="268" t="n"/>
      <c r="BW80" s="268" t="n"/>
      <c r="BX80" s="268" t="n"/>
      <c r="BY80" s="268" t="n"/>
      <c r="BZ80" s="268" t="n"/>
      <c r="CA80" s="268" t="n"/>
      <c r="CB80" s="268" t="n"/>
      <c r="CC80" s="268" t="n"/>
      <c r="CD80" s="268" t="n"/>
      <c r="CE80" s="268" t="n"/>
      <c r="CF80" s="268" t="n"/>
      <c r="CG80" s="268" t="n"/>
      <c r="CH80" s="268" t="n"/>
      <c r="CI80" s="268" t="n"/>
      <c r="CJ80" s="268" t="n"/>
      <c r="CK80" s="268" t="n"/>
      <c r="CL80" s="268" t="n"/>
      <c r="CM80" s="268" t="n"/>
      <c r="CN80" s="268" t="n"/>
      <c r="CO80" s="268" t="n"/>
      <c r="CP80" s="268" t="n"/>
      <c r="CQ80" s="268" t="n"/>
      <c r="CR80" s="268" t="n"/>
      <c r="CS80" s="268" t="n"/>
      <c r="CT80" s="268" t="n"/>
      <c r="CU80" s="268" t="n"/>
      <c r="CV80" s="268" t="n"/>
      <c r="CW80" s="268" t="n"/>
      <c r="CX80" s="268" t="n"/>
      <c r="CY80" s="268" t="n"/>
    </row>
    <row r="81" hidden="1" outlineLevel="1" ht="12.75" customHeight="1" s="255">
      <c r="C81" s="312" t="inlineStr">
        <is>
          <t>RECEITA FINANCEIRA</t>
        </is>
      </c>
      <c r="D81" s="268" t="n"/>
      <c r="E81" s="268" t="n"/>
      <c r="F81" s="268" t="n"/>
      <c r="G81" s="268" t="n"/>
      <c r="H81" s="268" t="n"/>
      <c r="I81" s="268" t="n"/>
      <c r="J81" s="268" t="n"/>
      <c r="K81" s="268" t="n"/>
      <c r="L81" s="268" t="n"/>
      <c r="M81" s="268" t="n"/>
      <c r="N81" s="268" t="n"/>
      <c r="O81" s="268" t="n"/>
      <c r="P81" s="268" t="n"/>
      <c r="Q81" s="268" t="n"/>
      <c r="R81" s="268" t="n"/>
      <c r="S81" s="268" t="n"/>
      <c r="T81" s="268" t="n"/>
      <c r="U81" s="268" t="n"/>
      <c r="V81" s="268" t="n"/>
      <c r="W81" s="268" t="n"/>
      <c r="X81" s="268" t="n"/>
      <c r="Y81" s="268" t="n"/>
      <c r="Z81" s="268" t="n"/>
      <c r="AA81" s="268" t="n"/>
      <c r="AB81" s="268" t="n"/>
      <c r="AC81" s="268" t="n"/>
      <c r="AD81" s="268" t="n"/>
      <c r="AE81" s="268" t="n"/>
      <c r="AF81" s="268" t="n"/>
      <c r="AG81" s="268" t="n"/>
      <c r="AH81" s="268" t="n"/>
      <c r="AI81" s="268" t="n"/>
      <c r="AJ81" s="268" t="n"/>
      <c r="AK81" s="268" t="n"/>
      <c r="AL81" s="268" t="n"/>
      <c r="AM81" s="268" t="n"/>
      <c r="AN81" s="268" t="n"/>
      <c r="AO81" s="268" t="n"/>
      <c r="AP81" s="268" t="n"/>
      <c r="AQ81" s="268" t="n"/>
      <c r="AR81" s="268" t="n"/>
      <c r="AS81" s="268" t="n"/>
      <c r="AT81" s="268" t="n"/>
      <c r="AU81" s="268" t="n"/>
      <c r="AV81" s="268" t="n"/>
      <c r="AW81" s="268" t="n"/>
      <c r="AX81" s="268" t="n"/>
      <c r="AY81" s="268" t="n"/>
      <c r="AZ81" s="268" t="n"/>
      <c r="BA81" s="268" t="n"/>
      <c r="BB81" s="268" t="n"/>
      <c r="BC81" s="268" t="n"/>
      <c r="BD81" s="268" t="n"/>
      <c r="BE81" s="268" t="n"/>
      <c r="BF81" s="268" t="n"/>
      <c r="BG81" s="268" t="n"/>
      <c r="BH81" s="268" t="n"/>
      <c r="BI81" s="268" t="n"/>
      <c r="BJ81" s="268" t="n"/>
      <c r="BK81" s="268" t="n"/>
      <c r="BL81" s="268" t="n"/>
      <c r="BM81" s="268" t="n"/>
      <c r="BN81" s="268" t="n"/>
      <c r="BO81" s="268" t="n"/>
      <c r="BP81" s="268" t="n"/>
      <c r="BQ81" s="268" t="n"/>
      <c r="BR81" s="268" t="n"/>
      <c r="BS81" s="268" t="n"/>
      <c r="BT81" s="268" t="n"/>
      <c r="BU81" s="268" t="n"/>
      <c r="BV81" s="268" t="n"/>
      <c r="BW81" s="268" t="n"/>
      <c r="BX81" s="268" t="n"/>
      <c r="BY81" s="268" t="n"/>
      <c r="BZ81" s="268" t="n"/>
      <c r="CA81" s="268" t="n"/>
      <c r="CB81" s="268" t="n"/>
      <c r="CC81" s="268" t="n"/>
      <c r="CD81" s="268" t="n"/>
      <c r="CE81" s="268" t="n"/>
      <c r="CF81" s="268" t="n"/>
      <c r="CG81" s="268" t="n"/>
      <c r="CH81" s="268" t="n"/>
      <c r="CI81" s="268" t="n"/>
      <c r="CJ81" s="268" t="n"/>
      <c r="CK81" s="268" t="n"/>
      <c r="CL81" s="268" t="n"/>
      <c r="CM81" s="268" t="n"/>
      <c r="CN81" s="268" t="n"/>
      <c r="CO81" s="268" t="n"/>
      <c r="CP81" s="268" t="n"/>
      <c r="CQ81" s="268" t="n"/>
      <c r="CR81" s="268" t="n"/>
      <c r="CS81" s="268" t="n"/>
      <c r="CT81" s="268" t="n"/>
      <c r="CU81" s="268" t="n"/>
      <c r="CV81" s="268" t="n"/>
      <c r="CW81" s="268" t="n"/>
      <c r="CX81" s="268" t="n"/>
      <c r="CY81" s="268" t="n"/>
    </row>
    <row r="82" hidden="1" outlineLevel="1" ht="12.75" customHeight="1" s="255">
      <c r="C82" s="312" t="inlineStr">
        <is>
          <t>DESPESA FINANCEIRA</t>
        </is>
      </c>
      <c r="D82" s="268" t="n"/>
      <c r="E82" s="268" t="n"/>
      <c r="F82" s="268" t="n"/>
      <c r="G82" s="268" t="n"/>
      <c r="H82" s="268" t="n"/>
      <c r="I82" s="268" t="n"/>
      <c r="J82" s="268" t="n"/>
      <c r="K82" s="268" t="n"/>
      <c r="L82" s="268" t="n"/>
      <c r="M82" s="268" t="n"/>
      <c r="N82" s="268" t="n"/>
      <c r="O82" s="268" t="n"/>
      <c r="P82" s="268" t="n"/>
      <c r="Q82" s="268" t="n"/>
      <c r="R82" s="268" t="n"/>
      <c r="S82" s="268" t="n"/>
      <c r="T82" s="268" t="n"/>
      <c r="U82" s="268" t="n"/>
      <c r="V82" s="268" t="n"/>
      <c r="W82" s="268" t="n"/>
      <c r="X82" s="268" t="n"/>
      <c r="Y82" s="268" t="n"/>
      <c r="Z82" s="268" t="n"/>
      <c r="AA82" s="268" t="n"/>
      <c r="AB82" s="268" t="n"/>
      <c r="AC82" s="268" t="n"/>
      <c r="AD82" s="268" t="n"/>
      <c r="AE82" s="268" t="n"/>
      <c r="AF82" s="268" t="n"/>
      <c r="AG82" s="268" t="n"/>
      <c r="AH82" s="268" t="n"/>
      <c r="AI82" s="268" t="n"/>
      <c r="AJ82" s="268" t="n"/>
      <c r="AK82" s="268" t="n"/>
      <c r="AL82" s="268" t="n"/>
      <c r="AM82" s="268" t="n"/>
      <c r="AN82" s="268" t="n"/>
      <c r="AO82" s="268" t="n"/>
      <c r="AP82" s="268" t="n"/>
      <c r="AQ82" s="268" t="n"/>
      <c r="AR82" s="268" t="n"/>
      <c r="AS82" s="268" t="n"/>
      <c r="AT82" s="268" t="n"/>
      <c r="AU82" s="268" t="n"/>
      <c r="AV82" s="268" t="n"/>
      <c r="AW82" s="268" t="n"/>
      <c r="AX82" s="268" t="n"/>
      <c r="AY82" s="268" t="n"/>
      <c r="AZ82" s="268" t="n"/>
      <c r="BA82" s="268" t="n"/>
      <c r="BB82" s="268" t="n"/>
      <c r="BC82" s="268" t="n"/>
      <c r="BD82" s="268" t="n"/>
      <c r="BE82" s="268" t="n"/>
      <c r="BF82" s="268" t="n"/>
      <c r="BG82" s="268" t="n"/>
      <c r="BH82" s="268" t="n"/>
      <c r="BI82" s="268" t="n"/>
      <c r="BJ82" s="268" t="n"/>
      <c r="BK82" s="268" t="n"/>
      <c r="BL82" s="268" t="n"/>
      <c r="BM82" s="268" t="n"/>
      <c r="BN82" s="268" t="n"/>
      <c r="BO82" s="268" t="n"/>
      <c r="BP82" s="268" t="n"/>
      <c r="BQ82" s="268" t="n"/>
      <c r="BR82" s="268" t="n"/>
      <c r="BS82" s="268" t="n"/>
      <c r="BT82" s="268" t="n"/>
      <c r="BU82" s="268" t="n"/>
      <c r="BV82" s="268" t="n"/>
      <c r="BW82" s="268" t="n"/>
      <c r="BX82" s="268" t="n"/>
      <c r="BY82" s="268" t="n"/>
      <c r="BZ82" s="268" t="n"/>
      <c r="CA82" s="268" t="n"/>
      <c r="CB82" s="268" t="n"/>
      <c r="CC82" s="268" t="n"/>
      <c r="CD82" s="268" t="n"/>
      <c r="CE82" s="268" t="n"/>
      <c r="CF82" s="268" t="n"/>
      <c r="CG82" s="268" t="n"/>
      <c r="CH82" s="268" t="n"/>
      <c r="CI82" s="268" t="n"/>
      <c r="CJ82" s="268" t="n"/>
      <c r="CK82" s="268" t="n"/>
      <c r="CL82" s="268" t="n"/>
      <c r="CM82" s="268" t="n"/>
      <c r="CN82" s="268" t="n"/>
      <c r="CO82" s="268" t="n"/>
      <c r="CP82" s="268" t="n"/>
      <c r="CQ82" s="268" t="n"/>
      <c r="CR82" s="268" t="n"/>
      <c r="CS82" s="268" t="n"/>
      <c r="CT82" s="268" t="n"/>
      <c r="CU82" s="268" t="n"/>
      <c r="CV82" s="268" t="n"/>
      <c r="CW82" s="268" t="n"/>
      <c r="CX82" s="268" t="n"/>
      <c r="CY82" s="268" t="n"/>
    </row>
    <row r="83" hidden="1" outlineLevel="1" ht="12.75" customHeight="1" s="255">
      <c r="C83" s="312" t="inlineStr">
        <is>
          <t>OUTROS</t>
        </is>
      </c>
      <c r="D83" s="268" t="n"/>
      <c r="E83" s="268" t="n"/>
      <c r="F83" s="268" t="n"/>
      <c r="G83" s="268" t="n"/>
      <c r="H83" s="268" t="n"/>
      <c r="I83" s="268" t="n"/>
      <c r="J83" s="268" t="n"/>
      <c r="K83" s="268" t="n"/>
      <c r="L83" s="268" t="n"/>
      <c r="M83" s="268" t="n"/>
      <c r="N83" s="268" t="n"/>
      <c r="O83" s="268" t="n"/>
      <c r="P83" s="268" t="n"/>
      <c r="Q83" s="268" t="n"/>
      <c r="R83" s="268" t="n"/>
      <c r="S83" s="268" t="n"/>
      <c r="T83" s="268" t="n"/>
      <c r="U83" s="268" t="n"/>
      <c r="V83" s="268" t="n"/>
      <c r="W83" s="268" t="n"/>
      <c r="X83" s="268" t="n"/>
      <c r="Y83" s="268" t="n"/>
      <c r="Z83" s="268" t="n"/>
      <c r="AA83" s="268" t="n"/>
      <c r="AB83" s="268" t="n"/>
      <c r="AC83" s="268" t="n"/>
      <c r="AD83" s="268" t="n"/>
      <c r="AE83" s="268" t="n"/>
      <c r="AF83" s="268" t="n"/>
      <c r="AG83" s="268" t="n"/>
      <c r="AH83" s="268" t="n"/>
      <c r="AI83" s="268" t="n"/>
      <c r="AJ83" s="268" t="n"/>
      <c r="AK83" s="268" t="n"/>
      <c r="AL83" s="268" t="n"/>
      <c r="AM83" s="268" t="n"/>
      <c r="AN83" s="268" t="n"/>
      <c r="AO83" s="268" t="n"/>
      <c r="AP83" s="268" t="n"/>
      <c r="AQ83" s="268" t="n"/>
      <c r="AR83" s="268" t="n"/>
      <c r="AS83" s="268" t="n"/>
      <c r="AT83" s="268" t="n"/>
      <c r="AU83" s="268" t="n"/>
      <c r="AV83" s="268" t="n"/>
      <c r="AW83" s="268" t="n"/>
      <c r="AX83" s="268" t="n"/>
      <c r="AY83" s="268" t="n"/>
      <c r="AZ83" s="268" t="n"/>
      <c r="BA83" s="268" t="n"/>
      <c r="BB83" s="268" t="n"/>
      <c r="BC83" s="268" t="n"/>
      <c r="BD83" s="268" t="n"/>
      <c r="BE83" s="268" t="n"/>
      <c r="BF83" s="268" t="n"/>
      <c r="BG83" s="268" t="n"/>
      <c r="BH83" s="268" t="n"/>
      <c r="BI83" s="268" t="n"/>
      <c r="BJ83" s="268" t="n"/>
      <c r="BK83" s="268" t="n"/>
      <c r="BL83" s="268" t="n"/>
      <c r="BM83" s="268" t="n"/>
      <c r="BN83" s="268" t="n"/>
      <c r="BO83" s="268" t="n"/>
      <c r="BP83" s="268" t="n"/>
      <c r="BQ83" s="268" t="n"/>
      <c r="BR83" s="268" t="n"/>
      <c r="BS83" s="268" t="n"/>
      <c r="BT83" s="268" t="n"/>
      <c r="BU83" s="268" t="n"/>
      <c r="BV83" s="268" t="n"/>
      <c r="BW83" s="268" t="n"/>
      <c r="BX83" s="268" t="n"/>
      <c r="BY83" s="268" t="n"/>
      <c r="BZ83" s="268" t="n"/>
      <c r="CA83" s="268" t="n"/>
      <c r="CB83" s="268" t="n"/>
      <c r="CC83" s="268" t="n"/>
      <c r="CD83" s="268" t="n"/>
      <c r="CE83" s="268" t="n"/>
      <c r="CF83" s="268" t="n"/>
      <c r="CG83" s="268" t="n"/>
      <c r="CH83" s="268" t="n"/>
      <c r="CI83" s="268" t="n"/>
      <c r="CJ83" s="268" t="n"/>
      <c r="CK83" s="268" t="n"/>
      <c r="CL83" s="268" t="n"/>
      <c r="CM83" s="268" t="n"/>
      <c r="CN83" s="268" t="n"/>
      <c r="CO83" s="268" t="n"/>
      <c r="CP83" s="268" t="n"/>
      <c r="CQ83" s="268" t="n"/>
      <c r="CR83" s="268" t="n"/>
      <c r="CS83" s="268" t="n"/>
      <c r="CT83" s="268" t="n"/>
      <c r="CU83" s="268" t="n"/>
      <c r="CV83" s="268" t="n"/>
      <c r="CW83" s="268" t="n"/>
      <c r="CX83" s="268" t="n"/>
      <c r="CY83" s="268" t="n"/>
    </row>
    <row r="84" hidden="1" outlineLevel="1" ht="12.75" customHeight="1" s="255">
      <c r="C84" s="312" t="n"/>
      <c r="D84" s="268" t="n"/>
      <c r="E84" s="268" t="n"/>
      <c r="F84" s="268" t="n"/>
      <c r="G84" s="268" t="n"/>
      <c r="H84" s="268" t="n"/>
      <c r="I84" s="268" t="n"/>
      <c r="J84" s="268" t="n"/>
      <c r="K84" s="268" t="n"/>
      <c r="L84" s="268" t="n"/>
      <c r="M84" s="268" t="n"/>
      <c r="N84" s="268" t="n"/>
      <c r="O84" s="268" t="n"/>
      <c r="P84" s="268" t="n"/>
      <c r="Q84" s="268" t="n"/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8" t="n"/>
      <c r="AF84" s="268" t="n"/>
      <c r="AG84" s="268" t="n"/>
      <c r="AH84" s="268" t="n"/>
      <c r="AI84" s="268" t="n"/>
      <c r="AJ84" s="268" t="n"/>
      <c r="AK84" s="268" t="n"/>
      <c r="AL84" s="268" t="n"/>
      <c r="AM84" s="268" t="n"/>
      <c r="AN84" s="268" t="n"/>
      <c r="AO84" s="268" t="n"/>
      <c r="AP84" s="268" t="n"/>
      <c r="AQ84" s="268" t="n"/>
      <c r="AR84" s="268" t="n"/>
      <c r="AS84" s="268" t="n"/>
      <c r="AT84" s="268" t="n"/>
      <c r="AU84" s="268" t="n"/>
      <c r="AV84" s="268" t="n"/>
      <c r="AW84" s="268" t="n"/>
      <c r="AX84" s="268" t="n"/>
      <c r="AY84" s="268" t="n"/>
      <c r="AZ84" s="268" t="n"/>
      <c r="BA84" s="268" t="n"/>
      <c r="BB84" s="268" t="n"/>
      <c r="BC84" s="268" t="n"/>
      <c r="BD84" s="268" t="n"/>
      <c r="BE84" s="268" t="n"/>
      <c r="BF84" s="268" t="n"/>
      <c r="BG84" s="268" t="n"/>
      <c r="BH84" s="268" t="n"/>
      <c r="BI84" s="268" t="n"/>
      <c r="BJ84" s="268" t="n"/>
      <c r="BK84" s="268" t="n"/>
      <c r="BL84" s="268" t="n"/>
      <c r="BM84" s="268" t="n"/>
      <c r="BN84" s="268" t="n"/>
      <c r="BO84" s="268" t="n"/>
      <c r="BP84" s="268" t="n"/>
      <c r="BQ84" s="268" t="n"/>
      <c r="BR84" s="268" t="n"/>
      <c r="BS84" s="268" t="n"/>
      <c r="BT84" s="268" t="n"/>
      <c r="BU84" s="268" t="n"/>
      <c r="BV84" s="268" t="n"/>
      <c r="BW84" s="268" t="n"/>
      <c r="BX84" s="268" t="n"/>
      <c r="BY84" s="268" t="n"/>
      <c r="BZ84" s="268" t="n"/>
      <c r="CA84" s="268" t="n"/>
      <c r="CB84" s="268" t="n"/>
      <c r="CC84" s="268" t="n"/>
      <c r="CD84" s="268" t="n"/>
      <c r="CE84" s="268" t="n"/>
      <c r="CF84" s="268" t="n"/>
      <c r="CG84" s="268" t="n"/>
      <c r="CH84" s="268" t="n"/>
      <c r="CI84" s="268" t="n"/>
      <c r="CJ84" s="268" t="n"/>
      <c r="CK84" s="268" t="n"/>
      <c r="CL84" s="268" t="n"/>
      <c r="CM84" s="268" t="n"/>
      <c r="CN84" s="268" t="n"/>
      <c r="CO84" s="268" t="n"/>
      <c r="CP84" s="268" t="n"/>
      <c r="CQ84" s="268" t="n"/>
      <c r="CR84" s="268" t="n"/>
      <c r="CS84" s="268" t="n"/>
      <c r="CT84" s="268" t="n"/>
      <c r="CU84" s="268" t="n"/>
      <c r="CV84" s="268" t="n"/>
      <c r="CW84" s="268" t="n"/>
      <c r="CX84" s="268" t="n"/>
      <c r="CY84" s="268" t="n"/>
    </row>
    <row r="85" hidden="1" outlineLevel="1" ht="12.75" customHeight="1" s="255">
      <c r="C85" s="312" t="inlineStr">
        <is>
          <t>Cash and equivalents (inc. investment securities)</t>
        </is>
      </c>
      <c r="D85" s="268" t="n"/>
      <c r="E85" s="268" t="n"/>
      <c r="F85" s="268" t="n"/>
      <c r="G85" s="268" t="n"/>
      <c r="H85" s="268" t="n"/>
      <c r="I85" s="268" t="n"/>
      <c r="J85" s="268" t="n"/>
      <c r="K85" s="268" t="n"/>
      <c r="L85" s="268" t="n"/>
      <c r="M85" s="268" t="n"/>
      <c r="N85" s="268" t="n"/>
      <c r="O85" s="268" t="n"/>
      <c r="P85" s="268" t="n"/>
      <c r="Q85" s="268" t="n"/>
      <c r="R85" s="268" t="n"/>
      <c r="S85" s="268" t="n"/>
      <c r="T85" s="268" t="n"/>
      <c r="U85" s="268" t="n"/>
      <c r="V85" s="268" t="n"/>
      <c r="W85" s="268" t="n"/>
      <c r="X85" s="268" t="n"/>
      <c r="Y85" s="268" t="n"/>
      <c r="Z85" s="268" t="n"/>
      <c r="AA85" s="268" t="n"/>
      <c r="AB85" s="268" t="n"/>
      <c r="AC85" s="268" t="n"/>
      <c r="AD85" s="268" t="n"/>
      <c r="AE85" s="268" t="n"/>
      <c r="AF85" s="268" t="n"/>
      <c r="AG85" s="268" t="n"/>
      <c r="AH85" s="268" t="n"/>
      <c r="AI85" s="268" t="n"/>
      <c r="AJ85" s="268" t="n"/>
      <c r="AK85" s="268" t="n"/>
      <c r="AL85" s="268" t="n"/>
      <c r="AM85" s="268" t="n"/>
      <c r="AN85" s="268" t="n"/>
      <c r="AO85" s="268" t="n"/>
      <c r="AP85" s="268" t="n"/>
      <c r="AQ85" s="268" t="n"/>
      <c r="AR85" s="268" t="n"/>
      <c r="AS85" s="268" t="n"/>
      <c r="AT85" s="268" t="n"/>
      <c r="AU85" s="268" t="n"/>
      <c r="AV85" s="268" t="n"/>
      <c r="AW85" s="268" t="n"/>
      <c r="AX85" s="268" t="n"/>
      <c r="AY85" s="268" t="n"/>
      <c r="AZ85" s="268" t="n"/>
      <c r="BA85" s="268" t="n"/>
      <c r="BB85" s="268" t="n"/>
      <c r="BC85" s="268" t="n"/>
      <c r="BD85" s="268" t="n"/>
      <c r="BE85" s="268" t="n"/>
      <c r="BF85" s="268" t="n"/>
      <c r="BG85" s="268" t="n"/>
      <c r="BH85" s="268" t="n"/>
      <c r="BI85" s="268" t="n"/>
      <c r="BJ85" s="268" t="n"/>
      <c r="BK85" s="268" t="n"/>
      <c r="BL85" s="268" t="n"/>
      <c r="BM85" s="268" t="n"/>
      <c r="BN85" s="268" t="n"/>
      <c r="BO85" s="268" t="n"/>
      <c r="BP85" s="268" t="n"/>
      <c r="BQ85" s="268" t="n"/>
      <c r="BR85" s="268" t="n"/>
      <c r="BS85" s="268" t="n"/>
      <c r="BT85" s="268" t="n"/>
      <c r="BU85" s="268" t="n"/>
      <c r="BV85" s="268" t="n"/>
      <c r="BW85" s="268" t="n"/>
      <c r="BX85" s="268" t="n"/>
      <c r="BY85" s="268" t="n"/>
      <c r="BZ85" s="268" t="n"/>
      <c r="CA85" s="268" t="n"/>
      <c r="CB85" s="268" t="n"/>
      <c r="CC85" s="268" t="n"/>
      <c r="CD85" s="268" t="n"/>
      <c r="CE85" s="268" t="n"/>
      <c r="CF85" s="268" t="n"/>
      <c r="CG85" s="268" t="n"/>
      <c r="CH85" s="268" t="n"/>
      <c r="CI85" s="268" t="n"/>
      <c r="CJ85" s="268" t="n"/>
      <c r="CK85" s="268" t="n"/>
      <c r="CL85" s="268" t="n"/>
      <c r="CM85" s="268" t="n"/>
      <c r="CN85" s="268" t="n"/>
      <c r="CO85" s="268" t="n"/>
      <c r="CP85" s="268" t="n"/>
      <c r="CQ85" s="268" t="n"/>
      <c r="CR85" s="268" t="n"/>
      <c r="CS85" s="268" t="n"/>
      <c r="CT85" s="268" t="n"/>
      <c r="CU85" s="268" t="n"/>
      <c r="CV85" s="268" t="n"/>
      <c r="CW85" s="268" t="n"/>
      <c r="CX85" s="268" t="n"/>
      <c r="CY85" s="268" t="n"/>
    </row>
    <row r="86" hidden="1" outlineLevel="1" ht="12.75" customHeight="1" s="255">
      <c r="C86" s="312" t="inlineStr">
        <is>
          <t>Interest on cash</t>
        </is>
      </c>
      <c r="D86" s="268" t="n"/>
      <c r="E86" s="268" t="n"/>
      <c r="F86" s="268" t="n"/>
      <c r="G86" s="268" t="n"/>
      <c r="H86" s="268" t="n"/>
      <c r="I86" s="268" t="n"/>
      <c r="J86" s="268" t="n"/>
      <c r="K86" s="268" t="n"/>
      <c r="L86" s="268" t="n"/>
      <c r="M86" s="268" t="n"/>
      <c r="N86" s="268" t="n"/>
      <c r="O86" s="268" t="n"/>
      <c r="P86" s="268" t="n"/>
      <c r="Q86" s="268" t="n"/>
      <c r="R86" s="268" t="n"/>
      <c r="S86" s="268" t="n"/>
      <c r="T86" s="268" t="n"/>
      <c r="U86" s="268" t="n"/>
      <c r="V86" s="268" t="n"/>
      <c r="W86" s="268" t="n"/>
      <c r="X86" s="268" t="n"/>
      <c r="Y86" s="268" t="n"/>
      <c r="Z86" s="268" t="n"/>
      <c r="AA86" s="268" t="n"/>
      <c r="AB86" s="268" t="n"/>
      <c r="AC86" s="268" t="n"/>
      <c r="AD86" s="268" t="n"/>
      <c r="AE86" s="268" t="n"/>
      <c r="AF86" s="268" t="n"/>
      <c r="AG86" s="268" t="n"/>
      <c r="AH86" s="268" t="n"/>
      <c r="AI86" s="268" t="n"/>
      <c r="AJ86" s="268" t="n"/>
      <c r="AK86" s="268" t="n"/>
      <c r="AL86" s="268" t="n"/>
      <c r="AM86" s="268" t="n"/>
      <c r="AN86" s="268" t="n"/>
      <c r="AO86" s="268" t="n"/>
      <c r="AP86" s="268" t="n"/>
      <c r="AQ86" s="268" t="n"/>
      <c r="AR86" s="268" t="n"/>
      <c r="AS86" s="268" t="n"/>
      <c r="AT86" s="268" t="n"/>
      <c r="AU86" s="268" t="n"/>
      <c r="AV86" s="268" t="n"/>
      <c r="AW86" s="268" t="n"/>
      <c r="AX86" s="268" t="n"/>
      <c r="AY86" s="268" t="n"/>
      <c r="AZ86" s="268" t="n"/>
      <c r="BA86" s="268" t="n"/>
      <c r="BB86" s="268" t="n"/>
      <c r="BC86" s="268" t="n"/>
      <c r="BD86" s="268" t="n"/>
      <c r="BE86" s="268" t="n"/>
      <c r="BF86" s="268" t="n"/>
      <c r="BG86" s="268" t="n"/>
      <c r="BH86" s="268" t="n"/>
      <c r="BI86" s="268" t="n"/>
      <c r="BJ86" s="268" t="n"/>
      <c r="BK86" s="268" t="n"/>
      <c r="BL86" s="268" t="n"/>
      <c r="BM86" s="268" t="n"/>
      <c r="BN86" s="268" t="n"/>
      <c r="BO86" s="268" t="n"/>
      <c r="BP86" s="268" t="n"/>
      <c r="BQ86" s="268" t="n"/>
      <c r="BR86" s="268" t="n"/>
      <c r="BS86" s="268" t="n"/>
      <c r="BT86" s="268" t="n"/>
      <c r="BU86" s="268" t="n"/>
      <c r="BV86" s="268" t="n"/>
      <c r="BW86" s="268" t="n"/>
      <c r="BX86" s="268" t="n"/>
      <c r="BY86" s="268" t="n"/>
      <c r="BZ86" s="268" t="n"/>
      <c r="CA86" s="268" t="n"/>
      <c r="CB86" s="268" t="n"/>
      <c r="CC86" s="268" t="n"/>
      <c r="CD86" s="268" t="n"/>
      <c r="CE86" s="268" t="n"/>
      <c r="CF86" s="268" t="n"/>
      <c r="CG86" s="268" t="n"/>
      <c r="CH86" s="268" t="n"/>
      <c r="CI86" s="268" t="n"/>
      <c r="CJ86" s="268" t="n"/>
      <c r="CK86" s="268" t="n"/>
      <c r="CL86" s="268" t="n"/>
      <c r="CM86" s="268" t="n"/>
      <c r="CN86" s="268" t="n"/>
      <c r="CO86" s="268" t="n"/>
      <c r="CP86" s="268" t="n"/>
      <c r="CQ86" s="268" t="n"/>
      <c r="CR86" s="268" t="n"/>
      <c r="CS86" s="268" t="n"/>
      <c r="CT86" s="268" t="n"/>
      <c r="CU86" s="268" t="n"/>
      <c r="CV86" s="268" t="n"/>
      <c r="CW86" s="268" t="n"/>
      <c r="CX86" s="268" t="n"/>
      <c r="CY86" s="268" t="n"/>
    </row>
    <row r="87" hidden="1" outlineLevel="1" ht="12.75" customHeight="1" s="255">
      <c r="C87" s="312" t="inlineStr">
        <is>
          <t>Average interest rate</t>
        </is>
      </c>
      <c r="D87" s="268" t="n"/>
      <c r="E87" s="268" t="n"/>
      <c r="F87" s="268" t="n"/>
      <c r="G87" s="268" t="n"/>
      <c r="H87" s="268" t="n"/>
      <c r="I87" s="268" t="n"/>
      <c r="J87" s="268" t="n"/>
      <c r="K87" s="268" t="n"/>
      <c r="L87" s="268" t="n"/>
      <c r="M87" s="268" t="n"/>
      <c r="N87" s="268" t="n"/>
      <c r="O87" s="268" t="n"/>
      <c r="P87" s="268" t="n"/>
      <c r="Q87" s="268" t="n"/>
      <c r="R87" s="268" t="n"/>
      <c r="S87" s="268" t="n"/>
      <c r="T87" s="268" t="n"/>
      <c r="U87" s="268" t="n"/>
      <c r="V87" s="268" t="n"/>
      <c r="W87" s="268" t="n"/>
      <c r="X87" s="268" t="n"/>
      <c r="Y87" s="268" t="n"/>
      <c r="Z87" s="268" t="n"/>
      <c r="AA87" s="268" t="n"/>
      <c r="AB87" s="268" t="n"/>
      <c r="AC87" s="268" t="n"/>
      <c r="AD87" s="268" t="n"/>
      <c r="AE87" s="268" t="n"/>
      <c r="AF87" s="268" t="n"/>
      <c r="AG87" s="268" t="n"/>
      <c r="AH87" s="268" t="n"/>
      <c r="AI87" s="268" t="n"/>
      <c r="AJ87" s="268" t="n"/>
      <c r="AK87" s="268" t="n"/>
      <c r="AL87" s="268" t="n"/>
      <c r="AM87" s="268" t="n"/>
      <c r="AN87" s="268" t="n"/>
      <c r="AO87" s="268" t="n"/>
      <c r="AP87" s="268" t="n"/>
      <c r="AQ87" s="268" t="n"/>
      <c r="AR87" s="268" t="n"/>
      <c r="AS87" s="268" t="n"/>
      <c r="AT87" s="268" t="n"/>
      <c r="AU87" s="268" t="n"/>
      <c r="AV87" s="268" t="n"/>
      <c r="AW87" s="268" t="n"/>
      <c r="AX87" s="268" t="n"/>
      <c r="AY87" s="268" t="n"/>
      <c r="AZ87" s="268" t="n"/>
      <c r="BA87" s="268" t="n"/>
      <c r="BB87" s="268" t="n"/>
      <c r="BC87" s="268" t="n"/>
      <c r="BD87" s="268" t="n"/>
      <c r="BE87" s="268" t="n"/>
      <c r="BF87" s="268" t="n"/>
      <c r="BG87" s="268" t="n"/>
      <c r="BH87" s="268" t="n"/>
      <c r="BI87" s="268" t="n"/>
      <c r="BJ87" s="268" t="n"/>
      <c r="BK87" s="268" t="n"/>
      <c r="BL87" s="268" t="n"/>
      <c r="BM87" s="268" t="n"/>
      <c r="BN87" s="268" t="n"/>
      <c r="BO87" s="268" t="n"/>
      <c r="BP87" s="268" t="n"/>
      <c r="BQ87" s="268" t="n"/>
      <c r="BR87" s="268" t="n"/>
      <c r="BS87" s="268" t="n"/>
      <c r="BT87" s="268" t="n"/>
      <c r="BU87" s="268" t="n"/>
      <c r="BV87" s="268" t="n"/>
      <c r="BW87" s="268" t="n"/>
      <c r="BX87" s="268" t="n"/>
      <c r="BY87" s="268" t="n"/>
      <c r="BZ87" s="268" t="n"/>
      <c r="CA87" s="268" t="n"/>
      <c r="CB87" s="268" t="n"/>
      <c r="CC87" s="268" t="n"/>
      <c r="CD87" s="268" t="n"/>
      <c r="CE87" s="268" t="n"/>
      <c r="CF87" s="268" t="n"/>
      <c r="CG87" s="268" t="n"/>
      <c r="CH87" s="268" t="n"/>
      <c r="CI87" s="268" t="n"/>
      <c r="CJ87" s="268" t="n"/>
      <c r="CK87" s="268" t="n"/>
      <c r="CL87" s="268" t="n"/>
      <c r="CM87" s="268" t="n"/>
      <c r="CN87" s="268" t="n"/>
      <c r="CO87" s="268" t="n"/>
      <c r="CP87" s="268" t="n"/>
      <c r="CQ87" s="268" t="n"/>
      <c r="CR87" s="268" t="n"/>
      <c r="CS87" s="268" t="n"/>
      <c r="CT87" s="268" t="n"/>
      <c r="CU87" s="268" t="n"/>
      <c r="CV87" s="268" t="n"/>
      <c r="CW87" s="268" t="n"/>
      <c r="CX87" s="268" t="n"/>
      <c r="CY87" s="268" t="n"/>
    </row>
    <row r="88" hidden="1" outlineLevel="1" ht="12.75" customHeight="1" s="255">
      <c r="C88" s="312" t="inlineStr">
        <is>
          <t>% CDI</t>
        </is>
      </c>
      <c r="D88" s="268" t="n"/>
      <c r="E88" s="268" t="n"/>
      <c r="F88" s="268" t="n"/>
      <c r="G88" s="268" t="n"/>
      <c r="H88" s="268" t="n"/>
      <c r="I88" s="268" t="n"/>
      <c r="J88" s="268" t="n"/>
      <c r="K88" s="268" t="n"/>
      <c r="L88" s="268" t="n"/>
      <c r="M88" s="268" t="n"/>
      <c r="N88" s="268" t="n"/>
      <c r="O88" s="268" t="n"/>
      <c r="P88" s="268" t="n"/>
      <c r="Q88" s="268" t="n"/>
      <c r="R88" s="268" t="n"/>
      <c r="S88" s="268" t="n"/>
      <c r="T88" s="268" t="n"/>
      <c r="U88" s="268" t="n"/>
      <c r="V88" s="268" t="n"/>
      <c r="W88" s="268" t="n"/>
      <c r="X88" s="268" t="n"/>
      <c r="Y88" s="268" t="n"/>
      <c r="Z88" s="268" t="n"/>
      <c r="AA88" s="268" t="n"/>
      <c r="AB88" s="268" t="n"/>
      <c r="AC88" s="268" t="n"/>
      <c r="AD88" s="268" t="n"/>
      <c r="AE88" s="268" t="n"/>
      <c r="AF88" s="268" t="n"/>
      <c r="AG88" s="268" t="n"/>
      <c r="AH88" s="268" t="n"/>
      <c r="AI88" s="268" t="n"/>
      <c r="AJ88" s="268" t="n"/>
      <c r="AK88" s="268" t="n"/>
      <c r="AL88" s="268" t="n"/>
      <c r="AM88" s="268" t="n"/>
      <c r="AN88" s="268" t="n"/>
      <c r="AO88" s="268" t="n"/>
      <c r="AP88" s="268" t="n"/>
      <c r="AQ88" s="268" t="n"/>
      <c r="AR88" s="268" t="n"/>
      <c r="AS88" s="268" t="n"/>
      <c r="AT88" s="268" t="n"/>
      <c r="AU88" s="268" t="n"/>
      <c r="AV88" s="268" t="n"/>
      <c r="AW88" s="268" t="n"/>
      <c r="AX88" s="268" t="n"/>
      <c r="AY88" s="268" t="n"/>
      <c r="AZ88" s="268" t="n"/>
      <c r="BA88" s="268" t="n"/>
      <c r="BB88" s="268" t="n"/>
      <c r="BC88" s="268" t="n"/>
      <c r="BD88" s="268" t="n"/>
      <c r="BE88" s="268" t="n"/>
      <c r="BF88" s="268" t="n"/>
      <c r="BG88" s="268" t="n"/>
      <c r="BH88" s="268" t="n"/>
      <c r="BI88" s="268" t="n"/>
      <c r="BJ88" s="268" t="n"/>
      <c r="BK88" s="268" t="n"/>
      <c r="BL88" s="268" t="n"/>
      <c r="BM88" s="268" t="n"/>
      <c r="BN88" s="268" t="n"/>
      <c r="BO88" s="268" t="n"/>
      <c r="BP88" s="268" t="n"/>
      <c r="BQ88" s="268" t="n"/>
      <c r="BR88" s="268" t="n"/>
      <c r="BS88" s="268" t="n"/>
      <c r="BT88" s="268" t="n"/>
      <c r="BU88" s="268" t="n"/>
      <c r="BV88" s="268" t="n"/>
      <c r="BW88" s="268" t="n"/>
      <c r="BX88" s="268" t="n"/>
      <c r="BY88" s="268" t="n"/>
      <c r="BZ88" s="268" t="n"/>
      <c r="CA88" s="268" t="n"/>
      <c r="CB88" s="268" t="n"/>
      <c r="CC88" s="268" t="n"/>
      <c r="CD88" s="268" t="n"/>
      <c r="CE88" s="268" t="n"/>
      <c r="CF88" s="268" t="n"/>
      <c r="CG88" s="268" t="n"/>
      <c r="CH88" s="268" t="n"/>
      <c r="CI88" s="268" t="n"/>
      <c r="CJ88" s="268" t="n"/>
      <c r="CK88" s="268" t="n"/>
      <c r="CL88" s="268" t="n"/>
      <c r="CM88" s="268" t="n"/>
      <c r="CN88" s="268" t="n"/>
      <c r="CO88" s="268" t="n"/>
      <c r="CP88" s="268" t="n"/>
      <c r="CQ88" s="268" t="n"/>
      <c r="CR88" s="268" t="n"/>
      <c r="CS88" s="268" t="n"/>
      <c r="CT88" s="268" t="n"/>
      <c r="CU88" s="268" t="n"/>
      <c r="CV88" s="268" t="n"/>
      <c r="CW88" s="268" t="n"/>
      <c r="CX88" s="268" t="n"/>
      <c r="CY88" s="268" t="n"/>
    </row>
    <row r="89" hidden="1" outlineLevel="1" ht="12.75" customHeight="1" s="255">
      <c r="C89" s="312" t="n"/>
      <c r="D89" s="268" t="n"/>
      <c r="E89" s="268" t="n"/>
      <c r="F89" s="268" t="n"/>
      <c r="G89" s="268" t="n"/>
      <c r="H89" s="268" t="n"/>
      <c r="I89" s="268" t="n"/>
      <c r="J89" s="268" t="n"/>
      <c r="K89" s="268" t="n"/>
      <c r="L89" s="268" t="n"/>
      <c r="M89" s="268" t="n"/>
      <c r="N89" s="268" t="n"/>
      <c r="O89" s="268" t="n"/>
      <c r="P89" s="268" t="n"/>
      <c r="Q89" s="268" t="n"/>
      <c r="R89" s="268" t="n"/>
      <c r="S89" s="268" t="n"/>
      <c r="T89" s="268" t="n"/>
      <c r="U89" s="268" t="n"/>
      <c r="V89" s="268" t="n"/>
      <c r="W89" s="268" t="n"/>
      <c r="X89" s="268" t="n"/>
      <c r="Y89" s="268" t="n"/>
      <c r="Z89" s="268" t="n"/>
      <c r="AA89" s="268" t="n"/>
      <c r="AB89" s="268" t="n"/>
      <c r="AC89" s="268" t="n"/>
      <c r="AD89" s="268" t="n"/>
      <c r="AE89" s="268" t="n"/>
      <c r="AF89" s="268" t="n"/>
      <c r="AG89" s="268" t="n"/>
      <c r="AH89" s="268" t="n"/>
      <c r="AI89" s="268" t="n"/>
      <c r="AJ89" s="268" t="n"/>
      <c r="AK89" s="268" t="n"/>
      <c r="AL89" s="268" t="n"/>
      <c r="AM89" s="268" t="n"/>
      <c r="AN89" s="268" t="n"/>
      <c r="AO89" s="268" t="n"/>
      <c r="AP89" s="268" t="n"/>
      <c r="AQ89" s="268" t="n"/>
      <c r="AR89" s="268" t="n"/>
      <c r="AS89" s="268" t="n"/>
      <c r="AT89" s="268" t="n"/>
      <c r="AU89" s="268" t="n"/>
      <c r="AV89" s="268" t="n"/>
      <c r="AW89" s="268" t="n"/>
      <c r="AX89" s="268" t="n"/>
      <c r="AY89" s="268" t="n"/>
      <c r="AZ89" s="268" t="n"/>
      <c r="BA89" s="268" t="n"/>
      <c r="BB89" s="268" t="n"/>
      <c r="BC89" s="268" t="n"/>
      <c r="BD89" s="268" t="n"/>
      <c r="BE89" s="268" t="n"/>
      <c r="BF89" s="268" t="n"/>
      <c r="BG89" s="268" t="n"/>
      <c r="BH89" s="268" t="n"/>
      <c r="BI89" s="268" t="n"/>
      <c r="BJ89" s="268" t="n"/>
      <c r="BK89" s="268" t="n"/>
      <c r="BL89" s="268" t="n"/>
      <c r="BM89" s="268" t="n"/>
      <c r="BN89" s="268" t="n"/>
      <c r="BO89" s="268" t="n"/>
      <c r="BP89" s="268" t="n"/>
      <c r="BQ89" s="268" t="n"/>
      <c r="BR89" s="268" t="n"/>
      <c r="BS89" s="268" t="n"/>
      <c r="BT89" s="268" t="n"/>
      <c r="BU89" s="268" t="n"/>
      <c r="BV89" s="268" t="n"/>
      <c r="BW89" s="268" t="n"/>
      <c r="BX89" s="268" t="n"/>
      <c r="BY89" s="268" t="n"/>
      <c r="BZ89" s="268" t="n"/>
      <c r="CA89" s="268" t="n"/>
      <c r="CB89" s="268" t="n"/>
      <c r="CC89" s="268" t="n"/>
      <c r="CD89" s="268" t="n"/>
      <c r="CE89" s="268" t="n"/>
      <c r="CF89" s="268" t="n"/>
      <c r="CG89" s="268" t="n"/>
      <c r="CH89" s="268" t="n"/>
      <c r="CI89" s="268" t="n"/>
      <c r="CJ89" s="268" t="n"/>
      <c r="CK89" s="268" t="n"/>
      <c r="CL89" s="268" t="n"/>
      <c r="CM89" s="268" t="n"/>
      <c r="CN89" s="268" t="n"/>
      <c r="CO89" s="268" t="n"/>
      <c r="CP89" s="268" t="n"/>
      <c r="CQ89" s="268" t="n"/>
      <c r="CR89" s="268" t="n"/>
      <c r="CS89" s="268" t="n"/>
      <c r="CT89" s="268" t="n"/>
      <c r="CU89" s="268" t="n"/>
      <c r="CV89" s="268" t="n"/>
      <c r="CW89" s="268" t="n"/>
      <c r="CX89" s="268" t="n"/>
      <c r="CY89" s="268" t="n"/>
    </row>
    <row r="90" hidden="1" outlineLevel="1" ht="12.75" customHeight="1" s="255">
      <c r="C90" s="312" t="inlineStr">
        <is>
          <t>Current portion of long-term debt</t>
        </is>
      </c>
      <c r="D90" s="268" t="n"/>
      <c r="E90" s="268" t="n"/>
      <c r="F90" s="268" t="n"/>
      <c r="G90" s="268" t="n"/>
      <c r="H90" s="268" t="n"/>
      <c r="I90" s="268" t="n"/>
      <c r="J90" s="268" t="n"/>
      <c r="K90" s="268" t="n"/>
      <c r="L90" s="268" t="n"/>
      <c r="M90" s="268" t="n"/>
      <c r="N90" s="268" t="n"/>
      <c r="O90" s="268" t="n"/>
      <c r="P90" s="268" t="n"/>
      <c r="Q90" s="268" t="n"/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8" t="n"/>
      <c r="AF90" s="268" t="n"/>
      <c r="AG90" s="268" t="n"/>
      <c r="AH90" s="268" t="n"/>
      <c r="AI90" s="268" t="n"/>
      <c r="AJ90" s="268" t="n"/>
      <c r="AK90" s="268" t="n"/>
      <c r="AL90" s="268" t="n"/>
      <c r="AM90" s="268" t="n"/>
      <c r="AN90" s="268" t="n"/>
      <c r="AO90" s="268" t="n"/>
      <c r="AP90" s="268" t="n"/>
      <c r="AQ90" s="268" t="n"/>
      <c r="AR90" s="268" t="n"/>
      <c r="AS90" s="268" t="n"/>
      <c r="AT90" s="268" t="n"/>
      <c r="AU90" s="268" t="n"/>
      <c r="AV90" s="268" t="n"/>
      <c r="AW90" s="268" t="n"/>
      <c r="AX90" s="268" t="n"/>
      <c r="AY90" s="268" t="n"/>
      <c r="AZ90" s="268" t="n"/>
      <c r="BA90" s="268" t="n"/>
      <c r="BB90" s="268" t="n"/>
      <c r="BC90" s="268" t="n"/>
      <c r="BD90" s="268" t="n"/>
      <c r="BE90" s="268" t="n"/>
      <c r="BF90" s="268" t="n"/>
      <c r="BG90" s="268" t="n"/>
      <c r="BH90" s="268" t="n"/>
      <c r="BI90" s="268" t="n"/>
      <c r="BJ90" s="268" t="n"/>
      <c r="BK90" s="268" t="n"/>
      <c r="BL90" s="268" t="n"/>
      <c r="BM90" s="268" t="n"/>
      <c r="BN90" s="268" t="n"/>
      <c r="BO90" s="268" t="n"/>
      <c r="BP90" s="268" t="n"/>
      <c r="BQ90" s="268" t="n"/>
      <c r="BR90" s="268" t="n"/>
      <c r="BS90" s="268" t="n"/>
      <c r="BT90" s="268" t="n"/>
      <c r="BU90" s="268" t="n"/>
      <c r="BV90" s="268" t="n"/>
      <c r="BW90" s="268" t="n"/>
      <c r="BX90" s="268" t="n"/>
      <c r="BY90" s="268" t="n"/>
      <c r="BZ90" s="268" t="n"/>
      <c r="CA90" s="268" t="n"/>
      <c r="CB90" s="268" t="n"/>
      <c r="CC90" s="268" t="n"/>
      <c r="CD90" s="268" t="n"/>
      <c r="CE90" s="268" t="n"/>
      <c r="CF90" s="268" t="n"/>
      <c r="CG90" s="268" t="n"/>
      <c r="CH90" s="268" t="n"/>
      <c r="CI90" s="268" t="n"/>
      <c r="CJ90" s="268" t="n"/>
      <c r="CK90" s="268" t="n"/>
      <c r="CL90" s="268" t="n"/>
      <c r="CM90" s="268" t="n"/>
      <c r="CN90" s="268" t="n"/>
      <c r="CO90" s="268" t="n"/>
      <c r="CP90" s="268" t="n"/>
      <c r="CQ90" s="268" t="n"/>
      <c r="CR90" s="268" t="n"/>
      <c r="CS90" s="268" t="n"/>
      <c r="CT90" s="268" t="n"/>
      <c r="CU90" s="268" t="n"/>
      <c r="CV90" s="268" t="n"/>
      <c r="CW90" s="268" t="n"/>
      <c r="CX90" s="268" t="n"/>
      <c r="CY90" s="268" t="n"/>
    </row>
    <row r="91" hidden="1" outlineLevel="1" ht="12.75" customHeight="1" s="255">
      <c r="C91" s="312" t="inlineStr">
        <is>
          <t>Short term debt (Revolving credit facility)</t>
        </is>
      </c>
      <c r="D91" s="268" t="n"/>
      <c r="E91" s="268" t="n"/>
      <c r="F91" s="268" t="n"/>
      <c r="G91" s="268" t="n"/>
      <c r="H91" s="268" t="n"/>
      <c r="I91" s="268" t="n"/>
      <c r="J91" s="268" t="n"/>
      <c r="K91" s="268" t="n"/>
      <c r="L91" s="268" t="n"/>
      <c r="M91" s="268" t="n"/>
      <c r="N91" s="268" t="n"/>
      <c r="O91" s="268" t="n"/>
      <c r="P91" s="268" t="n"/>
      <c r="Q91" s="268" t="n"/>
      <c r="R91" s="268" t="n"/>
      <c r="S91" s="268" t="n"/>
      <c r="T91" s="268" t="n"/>
      <c r="U91" s="268" t="n"/>
      <c r="V91" s="268" t="n"/>
      <c r="W91" s="268" t="n"/>
      <c r="X91" s="268" t="n"/>
      <c r="Y91" s="268" t="n"/>
      <c r="Z91" s="268" t="n"/>
      <c r="AA91" s="268" t="n"/>
      <c r="AB91" s="268" t="n"/>
      <c r="AC91" s="268" t="n"/>
      <c r="AD91" s="268" t="n"/>
      <c r="AE91" s="268" t="n"/>
      <c r="AF91" s="268" t="n"/>
      <c r="AG91" s="268" t="n"/>
      <c r="AH91" s="268" t="n"/>
      <c r="AI91" s="268" t="n"/>
      <c r="AJ91" s="268" t="n"/>
      <c r="AK91" s="268" t="n"/>
      <c r="AL91" s="268" t="n"/>
      <c r="AM91" s="268" t="n"/>
      <c r="AN91" s="268" t="n"/>
      <c r="AO91" s="268" t="n"/>
      <c r="AP91" s="268" t="n"/>
      <c r="AQ91" s="268" t="n"/>
      <c r="AR91" s="268" t="n"/>
      <c r="AS91" s="268" t="n"/>
      <c r="AT91" s="268" t="n"/>
      <c r="AU91" s="268" t="n"/>
      <c r="AV91" s="268" t="n"/>
      <c r="AW91" s="268" t="n"/>
      <c r="AX91" s="268" t="n"/>
      <c r="AY91" s="268" t="n"/>
      <c r="AZ91" s="268" t="n"/>
      <c r="BA91" s="268" t="n"/>
      <c r="BB91" s="268" t="n"/>
      <c r="BC91" s="268" t="n"/>
      <c r="BD91" s="268" t="n"/>
      <c r="BE91" s="268" t="n"/>
      <c r="BF91" s="268" t="n"/>
      <c r="BG91" s="268" t="n"/>
      <c r="BH91" s="268" t="n"/>
      <c r="BI91" s="268" t="n"/>
      <c r="BJ91" s="268" t="n"/>
      <c r="BK91" s="268" t="n"/>
      <c r="BL91" s="268" t="n"/>
      <c r="BM91" s="268" t="n"/>
      <c r="BN91" s="268" t="n"/>
      <c r="BO91" s="268" t="n"/>
      <c r="BP91" s="268" t="n"/>
      <c r="BQ91" s="268" t="n"/>
      <c r="BR91" s="268" t="n"/>
      <c r="BS91" s="268" t="n"/>
      <c r="BT91" s="268" t="n"/>
      <c r="BU91" s="268" t="n"/>
      <c r="BV91" s="268" t="n"/>
      <c r="BW91" s="268" t="n"/>
      <c r="BX91" s="268" t="n"/>
      <c r="BY91" s="268" t="n"/>
      <c r="BZ91" s="268" t="n"/>
      <c r="CA91" s="268" t="n"/>
      <c r="CB91" s="268" t="n"/>
      <c r="CC91" s="268" t="n"/>
      <c r="CD91" s="268" t="n"/>
      <c r="CE91" s="268" t="n"/>
      <c r="CF91" s="268" t="n"/>
      <c r="CG91" s="268" t="n"/>
      <c r="CH91" s="268" t="n"/>
      <c r="CI91" s="268" t="n"/>
      <c r="CJ91" s="268" t="n"/>
      <c r="CK91" s="268" t="n"/>
      <c r="CL91" s="268" t="n"/>
      <c r="CM91" s="268" t="n"/>
      <c r="CN91" s="268" t="n"/>
      <c r="CO91" s="268" t="n"/>
      <c r="CP91" s="268" t="n"/>
      <c r="CQ91" s="268" t="n"/>
      <c r="CR91" s="268" t="n"/>
      <c r="CS91" s="268" t="n"/>
      <c r="CT91" s="268" t="n"/>
      <c r="CU91" s="268" t="n"/>
      <c r="CV91" s="268" t="n"/>
      <c r="CW91" s="268" t="n"/>
      <c r="CX91" s="268" t="n"/>
      <c r="CY91" s="268" t="n"/>
    </row>
    <row r="92" hidden="1" outlineLevel="1" ht="12.75" customHeight="1" s="255">
      <c r="C92" s="312" t="inlineStr">
        <is>
          <t>Long term debt</t>
        </is>
      </c>
      <c r="D92" s="268" t="n"/>
      <c r="E92" s="268" t="n"/>
      <c r="F92" s="268" t="n"/>
      <c r="G92" s="268" t="n"/>
      <c r="H92" s="268" t="n"/>
      <c r="I92" s="268" t="n"/>
      <c r="J92" s="268" t="n"/>
      <c r="K92" s="268" t="n"/>
      <c r="L92" s="268" t="n"/>
      <c r="M92" s="268" t="n"/>
      <c r="N92" s="268" t="n"/>
      <c r="O92" s="268" t="n"/>
      <c r="P92" s="268" t="n"/>
      <c r="Q92" s="268" t="n"/>
      <c r="R92" s="268" t="n"/>
      <c r="S92" s="268" t="n"/>
      <c r="T92" s="268" t="n"/>
      <c r="U92" s="268" t="n"/>
      <c r="V92" s="268" t="n"/>
      <c r="W92" s="268" t="n"/>
      <c r="X92" s="268" t="n"/>
      <c r="Y92" s="268" t="n"/>
      <c r="Z92" s="268" t="n"/>
      <c r="AA92" s="268" t="n"/>
      <c r="AB92" s="268" t="n"/>
      <c r="AC92" s="268" t="n"/>
      <c r="AD92" s="268" t="n"/>
      <c r="AE92" s="268" t="n"/>
      <c r="AF92" s="268" t="n"/>
      <c r="AG92" s="268" t="n"/>
      <c r="AH92" s="268" t="n"/>
      <c r="AI92" s="268" t="n"/>
      <c r="AJ92" s="268" t="n"/>
      <c r="AK92" s="268" t="n"/>
      <c r="AL92" s="268" t="n"/>
      <c r="AM92" s="268" t="n"/>
      <c r="AN92" s="268" t="n"/>
      <c r="AO92" s="268" t="n"/>
      <c r="AP92" s="268" t="n"/>
      <c r="AQ92" s="268" t="n"/>
      <c r="AR92" s="268" t="n"/>
      <c r="AS92" s="268" t="n"/>
      <c r="AT92" s="268" t="n"/>
      <c r="AU92" s="268" t="n"/>
      <c r="AV92" s="268" t="n"/>
      <c r="AW92" s="268" t="n"/>
      <c r="AX92" s="268" t="n"/>
      <c r="AY92" s="268" t="n"/>
      <c r="AZ92" s="268" t="n"/>
      <c r="BA92" s="268" t="n"/>
      <c r="BB92" s="268" t="n"/>
      <c r="BC92" s="268" t="n"/>
      <c r="BD92" s="268" t="n"/>
      <c r="BE92" s="268" t="n"/>
      <c r="BF92" s="268" t="n"/>
      <c r="BG92" s="268" t="n"/>
      <c r="BH92" s="268" t="n"/>
      <c r="BI92" s="268" t="n"/>
      <c r="BJ92" s="268" t="n"/>
      <c r="BK92" s="268" t="n"/>
      <c r="BL92" s="268" t="n"/>
      <c r="BM92" s="268" t="n"/>
      <c r="BN92" s="268" t="n"/>
      <c r="BO92" s="268" t="n"/>
      <c r="BP92" s="268" t="n"/>
      <c r="BQ92" s="268" t="n"/>
      <c r="BR92" s="268" t="n"/>
      <c r="BS92" s="268" t="n"/>
      <c r="BT92" s="268" t="n"/>
      <c r="BU92" s="268" t="n"/>
      <c r="BV92" s="268" t="n"/>
      <c r="BW92" s="268" t="n"/>
      <c r="BX92" s="268" t="n"/>
      <c r="BY92" s="268" t="n"/>
      <c r="BZ92" s="268" t="n"/>
      <c r="CA92" s="268" t="n"/>
      <c r="CB92" s="268" t="n"/>
      <c r="CC92" s="268" t="n"/>
      <c r="CD92" s="268" t="n"/>
      <c r="CE92" s="268" t="n"/>
      <c r="CF92" s="268" t="n"/>
      <c r="CG92" s="268" t="n"/>
      <c r="CH92" s="268" t="n"/>
      <c r="CI92" s="268" t="n"/>
      <c r="CJ92" s="268" t="n"/>
      <c r="CK92" s="268" t="n"/>
      <c r="CL92" s="268" t="n"/>
      <c r="CM92" s="268" t="n"/>
      <c r="CN92" s="268" t="n"/>
      <c r="CO92" s="268" t="n"/>
      <c r="CP92" s="268" t="n"/>
      <c r="CQ92" s="268" t="n"/>
      <c r="CR92" s="268" t="n"/>
      <c r="CS92" s="268" t="n"/>
      <c r="CT92" s="268" t="n"/>
      <c r="CU92" s="268" t="n"/>
      <c r="CV92" s="268" t="n"/>
      <c r="CW92" s="268" t="n"/>
      <c r="CX92" s="268" t="n"/>
      <c r="CY92" s="268" t="n"/>
    </row>
    <row r="93" hidden="1" outlineLevel="1" ht="12.75" customHeight="1" s="255">
      <c r="C93" s="312" t="inlineStr">
        <is>
          <t>Convertible debt</t>
        </is>
      </c>
      <c r="D93" s="268" t="n"/>
      <c r="E93" s="268" t="n"/>
      <c r="F93" s="268" t="n"/>
      <c r="G93" s="268" t="n"/>
      <c r="H93" s="268" t="n"/>
      <c r="I93" s="268" t="n"/>
      <c r="J93" s="268" t="n"/>
      <c r="K93" s="268" t="n"/>
      <c r="L93" s="268" t="n"/>
      <c r="M93" s="268" t="n"/>
      <c r="N93" s="268" t="n"/>
      <c r="O93" s="268" t="n"/>
      <c r="P93" s="268" t="n"/>
      <c r="Q93" s="268" t="n"/>
      <c r="R93" s="268" t="n"/>
      <c r="S93" s="268" t="n"/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268" t="n"/>
      <c r="AC93" s="268" t="n"/>
      <c r="AD93" s="268" t="n"/>
      <c r="AE93" s="268" t="n"/>
      <c r="AF93" s="268" t="n"/>
      <c r="AG93" s="268" t="n"/>
      <c r="AH93" s="268" t="n"/>
      <c r="AI93" s="268" t="n"/>
      <c r="AJ93" s="268" t="n"/>
      <c r="AK93" s="268" t="n"/>
      <c r="AL93" s="268" t="n"/>
      <c r="AM93" s="268" t="n"/>
      <c r="AN93" s="268" t="n"/>
      <c r="AO93" s="268" t="n"/>
      <c r="AP93" s="268" t="n"/>
      <c r="AQ93" s="268" t="n"/>
      <c r="AR93" s="268" t="n"/>
      <c r="AS93" s="268" t="n"/>
      <c r="AT93" s="268" t="n"/>
      <c r="AU93" s="268" t="n"/>
      <c r="AV93" s="268" t="n"/>
      <c r="AW93" s="268" t="n"/>
      <c r="AX93" s="268" t="n"/>
      <c r="AY93" s="268" t="n"/>
      <c r="AZ93" s="268" t="n"/>
      <c r="BA93" s="268" t="n"/>
      <c r="BB93" s="268" t="n"/>
      <c r="BC93" s="268" t="n"/>
      <c r="BD93" s="268" t="n"/>
      <c r="BE93" s="268" t="n"/>
      <c r="BF93" s="268" t="n"/>
      <c r="BG93" s="268" t="n"/>
      <c r="BH93" s="268" t="n"/>
      <c r="BI93" s="268" t="n"/>
      <c r="BJ93" s="268" t="n"/>
      <c r="BK93" s="268" t="n"/>
      <c r="BL93" s="268" t="n"/>
      <c r="BM93" s="268" t="n"/>
      <c r="BN93" s="268" t="n"/>
      <c r="BO93" s="268" t="n"/>
      <c r="BP93" s="268" t="n"/>
      <c r="BQ93" s="268" t="n"/>
      <c r="BR93" s="268" t="n"/>
      <c r="BS93" s="268" t="n"/>
      <c r="BT93" s="268" t="n"/>
      <c r="BU93" s="268" t="n"/>
      <c r="BV93" s="268" t="n"/>
      <c r="BW93" s="268" t="n"/>
      <c r="BX93" s="268" t="n"/>
      <c r="BY93" s="268" t="n"/>
      <c r="BZ93" s="268" t="n"/>
      <c r="CA93" s="268" t="n"/>
      <c r="CB93" s="268" t="n"/>
      <c r="CC93" s="268" t="n"/>
      <c r="CD93" s="268" t="n"/>
      <c r="CE93" s="268" t="n"/>
      <c r="CF93" s="268" t="n"/>
      <c r="CG93" s="268" t="n"/>
      <c r="CH93" s="268" t="n"/>
      <c r="CI93" s="268" t="n"/>
      <c r="CJ93" s="268" t="n"/>
      <c r="CK93" s="268" t="n"/>
      <c r="CL93" s="268" t="n"/>
      <c r="CM93" s="268" t="n"/>
      <c r="CN93" s="268" t="n"/>
      <c r="CO93" s="268" t="n"/>
      <c r="CP93" s="268" t="n"/>
      <c r="CQ93" s="268" t="n"/>
      <c r="CR93" s="268" t="n"/>
      <c r="CS93" s="268" t="n"/>
      <c r="CT93" s="268" t="n"/>
      <c r="CU93" s="268" t="n"/>
      <c r="CV93" s="268" t="n"/>
      <c r="CW93" s="268" t="n"/>
      <c r="CX93" s="268" t="n"/>
      <c r="CY93" s="268" t="n"/>
    </row>
    <row r="94" hidden="1" outlineLevel="1" ht="12.75" customHeight="1" s="255">
      <c r="C94" s="312" t="inlineStr">
        <is>
          <t>Total debt</t>
        </is>
      </c>
      <c r="D94" s="268" t="n"/>
      <c r="E94" s="268" t="n"/>
      <c r="F94" s="268" t="n"/>
      <c r="G94" s="268" t="n"/>
      <c r="H94" s="268" t="n"/>
      <c r="I94" s="268" t="n"/>
      <c r="J94" s="268" t="n"/>
      <c r="K94" s="268" t="n"/>
      <c r="L94" s="268" t="n"/>
      <c r="M94" s="268" t="n"/>
      <c r="N94" s="268" t="n"/>
      <c r="O94" s="268" t="n"/>
      <c r="P94" s="268" t="n"/>
      <c r="Q94" s="268" t="n"/>
      <c r="R94" s="268" t="n"/>
      <c r="S94" s="268" t="n"/>
      <c r="T94" s="268" t="n"/>
      <c r="U94" s="268" t="n"/>
      <c r="V94" s="268" t="n"/>
      <c r="W94" s="268" t="n"/>
      <c r="X94" s="268" t="n"/>
      <c r="Y94" s="268" t="n"/>
      <c r="Z94" s="268" t="n"/>
      <c r="AA94" s="268" t="n"/>
      <c r="AB94" s="268" t="n"/>
      <c r="AC94" s="268" t="n"/>
      <c r="AD94" s="268" t="n"/>
      <c r="AE94" s="268" t="n"/>
      <c r="AF94" s="268" t="n"/>
      <c r="AG94" s="268" t="n"/>
      <c r="AH94" s="268" t="n"/>
      <c r="AI94" s="268" t="n"/>
      <c r="AJ94" s="268" t="n"/>
      <c r="AK94" s="268" t="n"/>
      <c r="AL94" s="268" t="n"/>
      <c r="AM94" s="268" t="n"/>
      <c r="AN94" s="268" t="n"/>
      <c r="AO94" s="268" t="n"/>
      <c r="AP94" s="268" t="n"/>
      <c r="AQ94" s="268" t="n"/>
      <c r="AR94" s="268" t="n"/>
      <c r="AS94" s="268" t="n"/>
      <c r="AT94" s="268" t="n"/>
      <c r="AU94" s="268" t="n"/>
      <c r="AV94" s="268" t="n"/>
      <c r="AW94" s="268" t="n"/>
      <c r="AX94" s="268" t="n"/>
      <c r="AY94" s="268" t="n"/>
      <c r="AZ94" s="268" t="n"/>
      <c r="BA94" s="268" t="n"/>
      <c r="BB94" s="268" t="n"/>
      <c r="BC94" s="268" t="n"/>
      <c r="BD94" s="268" t="n"/>
      <c r="BE94" s="268" t="n"/>
      <c r="BF94" s="268" t="n"/>
      <c r="BG94" s="268" t="n"/>
      <c r="BH94" s="268" t="n"/>
      <c r="BI94" s="268" t="n"/>
      <c r="BJ94" s="268" t="n"/>
      <c r="BK94" s="268" t="n"/>
      <c r="BL94" s="268" t="n"/>
      <c r="BM94" s="268" t="n"/>
      <c r="BN94" s="268" t="n"/>
      <c r="BO94" s="268" t="n"/>
      <c r="BP94" s="268" t="n"/>
      <c r="BQ94" s="268" t="n"/>
      <c r="BR94" s="268" t="n"/>
      <c r="BS94" s="268" t="n"/>
      <c r="BT94" s="268" t="n"/>
      <c r="BU94" s="268" t="n"/>
      <c r="BV94" s="268" t="n"/>
      <c r="BW94" s="268" t="n"/>
      <c r="BX94" s="268" t="n"/>
      <c r="BY94" s="268" t="n"/>
      <c r="BZ94" s="268" t="n"/>
      <c r="CA94" s="268" t="n"/>
      <c r="CB94" s="268" t="n"/>
      <c r="CC94" s="268" t="n"/>
      <c r="CD94" s="268" t="n"/>
      <c r="CE94" s="268" t="n"/>
      <c r="CF94" s="268" t="n"/>
      <c r="CG94" s="268" t="n"/>
      <c r="CH94" s="268" t="n"/>
      <c r="CI94" s="268" t="n"/>
      <c r="CJ94" s="268" t="n"/>
      <c r="CK94" s="268" t="n"/>
      <c r="CL94" s="268" t="n"/>
      <c r="CM94" s="268" t="n"/>
      <c r="CN94" s="268" t="n"/>
      <c r="CO94" s="268" t="n"/>
      <c r="CP94" s="268" t="n"/>
      <c r="CQ94" s="268" t="n"/>
      <c r="CR94" s="268" t="n"/>
      <c r="CS94" s="268" t="n"/>
      <c r="CT94" s="268" t="n"/>
      <c r="CU94" s="268" t="n"/>
      <c r="CV94" s="268" t="n"/>
      <c r="CW94" s="268" t="n"/>
      <c r="CX94" s="268" t="n"/>
      <c r="CY94" s="268" t="n"/>
    </row>
    <row r="95" hidden="1" outlineLevel="1" ht="12.75" customHeight="1" s="255">
      <c r="C95" s="312" t="inlineStr">
        <is>
          <t>Interest expense</t>
        </is>
      </c>
      <c r="D95" s="268" t="n"/>
      <c r="E95" s="268" t="n"/>
      <c r="F95" s="268" t="n"/>
      <c r="G95" s="268" t="n"/>
      <c r="H95" s="268" t="n"/>
      <c r="I95" s="268" t="n"/>
      <c r="J95" s="268" t="n"/>
      <c r="K95" s="268" t="n"/>
      <c r="L95" s="268" t="n"/>
      <c r="M95" s="268" t="n"/>
      <c r="N95" s="268" t="n"/>
      <c r="O95" s="268" t="n"/>
      <c r="P95" s="268" t="n"/>
      <c r="Q95" s="268" t="n"/>
      <c r="R95" s="268" t="n"/>
      <c r="S95" s="268" t="n"/>
      <c r="T95" s="268" t="n"/>
      <c r="U95" s="268" t="n"/>
      <c r="V95" s="268" t="n"/>
      <c r="W95" s="268" t="n"/>
      <c r="X95" s="268" t="n"/>
      <c r="Y95" s="268" t="n"/>
      <c r="Z95" s="268" t="n"/>
      <c r="AA95" s="268" t="n"/>
      <c r="AB95" s="268" t="n"/>
      <c r="AC95" s="268" t="n"/>
      <c r="AD95" s="268" t="n"/>
      <c r="AE95" s="268" t="n"/>
      <c r="AF95" s="268" t="n"/>
      <c r="AG95" s="268" t="n"/>
      <c r="AH95" s="268" t="n"/>
      <c r="AI95" s="268" t="n"/>
      <c r="AJ95" s="268" t="n"/>
      <c r="AK95" s="268" t="n"/>
      <c r="AL95" s="268" t="n"/>
      <c r="AM95" s="268" t="n"/>
      <c r="AN95" s="268" t="n"/>
      <c r="AO95" s="268" t="n"/>
      <c r="AP95" s="268" t="n"/>
      <c r="AQ95" s="268" t="n"/>
      <c r="AR95" s="268" t="n"/>
      <c r="AS95" s="268" t="n"/>
      <c r="AT95" s="268" t="n"/>
      <c r="AU95" s="268" t="n"/>
      <c r="AV95" s="268" t="n"/>
      <c r="AW95" s="268" t="n"/>
      <c r="AX95" s="268" t="n"/>
      <c r="AY95" s="268" t="n"/>
      <c r="AZ95" s="268" t="n"/>
      <c r="BA95" s="268" t="n"/>
      <c r="BB95" s="268" t="n"/>
      <c r="BC95" s="268" t="n"/>
      <c r="BD95" s="268" t="n"/>
      <c r="BE95" s="268" t="n"/>
      <c r="BF95" s="268" t="n"/>
      <c r="BG95" s="268" t="n"/>
      <c r="BH95" s="268" t="n"/>
      <c r="BI95" s="268" t="n"/>
      <c r="BJ95" s="268" t="n"/>
      <c r="BK95" s="268" t="n"/>
      <c r="BL95" s="268" t="n"/>
      <c r="BM95" s="268" t="n"/>
      <c r="BN95" s="268" t="n"/>
      <c r="BO95" s="268" t="n"/>
      <c r="BP95" s="268" t="n"/>
      <c r="BQ95" s="268" t="n"/>
      <c r="BR95" s="268" t="n"/>
      <c r="BS95" s="268" t="n"/>
      <c r="BT95" s="268" t="n"/>
      <c r="BU95" s="268" t="n"/>
      <c r="BV95" s="268" t="n"/>
      <c r="BW95" s="268" t="n"/>
      <c r="BX95" s="268" t="n"/>
      <c r="BY95" s="268" t="n"/>
      <c r="BZ95" s="268" t="n"/>
      <c r="CA95" s="268" t="n"/>
      <c r="CB95" s="268" t="n"/>
      <c r="CC95" s="268" t="n"/>
      <c r="CD95" s="268" t="n"/>
      <c r="CE95" s="268" t="n"/>
      <c r="CF95" s="268" t="n"/>
      <c r="CG95" s="268" t="n"/>
      <c r="CH95" s="268" t="n"/>
      <c r="CI95" s="268" t="n"/>
      <c r="CJ95" s="268" t="n"/>
      <c r="CK95" s="268" t="n"/>
      <c r="CL95" s="268" t="n"/>
      <c r="CM95" s="268" t="n"/>
      <c r="CN95" s="268" t="n"/>
      <c r="CO95" s="268" t="n"/>
      <c r="CP95" s="268" t="n"/>
      <c r="CQ95" s="268" t="n"/>
      <c r="CR95" s="268" t="n"/>
      <c r="CS95" s="268" t="n"/>
      <c r="CT95" s="268" t="n"/>
      <c r="CU95" s="268" t="n"/>
      <c r="CV95" s="268" t="n"/>
      <c r="CW95" s="268" t="n"/>
      <c r="CX95" s="268" t="n"/>
      <c r="CY95" s="268" t="n"/>
    </row>
    <row r="96" hidden="1" outlineLevel="1" ht="12.75" customHeight="1" s="255">
      <c r="C96" s="312" t="inlineStr">
        <is>
          <t>Average interest rate</t>
        </is>
      </c>
      <c r="D96" s="268" t="n"/>
      <c r="E96" s="268" t="n"/>
      <c r="F96" s="268" t="n"/>
      <c r="G96" s="268" t="n"/>
      <c r="H96" s="268" t="n"/>
      <c r="I96" s="268" t="n"/>
      <c r="J96" s="268" t="n"/>
      <c r="K96" s="268" t="n"/>
      <c r="L96" s="268" t="n"/>
      <c r="M96" s="268" t="n"/>
      <c r="N96" s="268" t="n"/>
      <c r="O96" s="268" t="n"/>
      <c r="P96" s="268" t="n"/>
      <c r="Q96" s="268" t="n"/>
      <c r="R96" s="268" t="n"/>
      <c r="S96" s="268" t="n"/>
      <c r="T96" s="268" t="n"/>
      <c r="U96" s="268" t="n"/>
      <c r="V96" s="268" t="n"/>
      <c r="W96" s="268" t="n"/>
      <c r="X96" s="268" t="n"/>
      <c r="Y96" s="268" t="n"/>
      <c r="Z96" s="268" t="n"/>
      <c r="AA96" s="268" t="n"/>
      <c r="AB96" s="268" t="n"/>
      <c r="AC96" s="268" t="n"/>
      <c r="AD96" s="268" t="n"/>
      <c r="AE96" s="268" t="n"/>
      <c r="AF96" s="268" t="n"/>
      <c r="AG96" s="268" t="n"/>
      <c r="AH96" s="268" t="n"/>
      <c r="AI96" s="268" t="n"/>
      <c r="AJ96" s="268" t="n"/>
      <c r="AK96" s="268" t="n"/>
      <c r="AL96" s="268" t="n"/>
      <c r="AM96" s="268" t="n"/>
      <c r="AN96" s="268" t="n"/>
      <c r="AO96" s="268" t="n"/>
      <c r="AP96" s="268" t="n"/>
      <c r="AQ96" s="268" t="n"/>
      <c r="AR96" s="268" t="n"/>
      <c r="AS96" s="268" t="n"/>
      <c r="AT96" s="268" t="n"/>
      <c r="AU96" s="268" t="n"/>
      <c r="AV96" s="268" t="n"/>
      <c r="AW96" s="268" t="n"/>
      <c r="AX96" s="268" t="n"/>
      <c r="AY96" s="268" t="n"/>
      <c r="AZ96" s="268" t="n"/>
      <c r="BA96" s="268" t="n"/>
      <c r="BB96" s="268" t="n"/>
      <c r="BC96" s="268" t="n"/>
      <c r="BD96" s="268" t="n"/>
      <c r="BE96" s="268" t="n"/>
      <c r="BF96" s="268" t="n"/>
      <c r="BG96" s="268" t="n"/>
      <c r="BH96" s="268" t="n"/>
      <c r="BI96" s="268" t="n"/>
      <c r="BJ96" s="268" t="n"/>
      <c r="BK96" s="268" t="n"/>
      <c r="BL96" s="268" t="n"/>
      <c r="BM96" s="268" t="n"/>
      <c r="BN96" s="268" t="n"/>
      <c r="BO96" s="268" t="n"/>
      <c r="BP96" s="268" t="n"/>
      <c r="BQ96" s="268" t="n"/>
      <c r="BR96" s="268" t="n"/>
      <c r="BS96" s="268" t="n"/>
      <c r="BT96" s="268" t="n"/>
      <c r="BU96" s="268" t="n"/>
      <c r="BV96" s="268" t="n"/>
      <c r="BW96" s="268" t="n"/>
      <c r="BX96" s="268" t="n"/>
      <c r="BY96" s="268" t="n"/>
      <c r="BZ96" s="268" t="n"/>
      <c r="CA96" s="268" t="n"/>
      <c r="CB96" s="268" t="n"/>
      <c r="CC96" s="268" t="n"/>
      <c r="CD96" s="268" t="n"/>
      <c r="CE96" s="268" t="n"/>
      <c r="CF96" s="268" t="n"/>
      <c r="CG96" s="268" t="n"/>
      <c r="CH96" s="268" t="n"/>
      <c r="CI96" s="268" t="n"/>
      <c r="CJ96" s="268" t="n"/>
      <c r="CK96" s="268" t="n"/>
      <c r="CL96" s="268" t="n"/>
      <c r="CM96" s="268" t="n"/>
      <c r="CN96" s="268" t="n"/>
      <c r="CO96" s="268" t="n"/>
      <c r="CP96" s="268" t="n"/>
      <c r="CQ96" s="268" t="n"/>
      <c r="CR96" s="268" t="n"/>
      <c r="CS96" s="268" t="n"/>
      <c r="CT96" s="268" t="n"/>
      <c r="CU96" s="268" t="n"/>
      <c r="CV96" s="268" t="n"/>
      <c r="CW96" s="268" t="n"/>
      <c r="CX96" s="268" t="n"/>
      <c r="CY96" s="268" t="n"/>
    </row>
    <row r="97" hidden="1" outlineLevel="1" ht="12.75" customHeight="1" s="255">
      <c r="C97" s="312" t="n"/>
      <c r="D97" s="268" t="n"/>
      <c r="E97" s="268" t="n"/>
      <c r="F97" s="268" t="n"/>
      <c r="G97" s="268" t="n"/>
      <c r="H97" s="268" t="n"/>
      <c r="I97" s="268" t="n"/>
      <c r="J97" s="268" t="n"/>
      <c r="K97" s="268" t="n"/>
      <c r="L97" s="268" t="n"/>
      <c r="M97" s="268" t="n"/>
      <c r="N97" s="268" t="n"/>
      <c r="O97" s="268" t="n"/>
      <c r="P97" s="268" t="n"/>
      <c r="Q97" s="268" t="n"/>
      <c r="R97" s="268" t="n"/>
      <c r="S97" s="268" t="n"/>
      <c r="T97" s="268" t="n"/>
      <c r="U97" s="268" t="n"/>
      <c r="V97" s="268" t="n"/>
      <c r="W97" s="268" t="n"/>
      <c r="X97" s="268" t="n"/>
      <c r="Y97" s="268" t="n"/>
      <c r="Z97" s="268" t="n"/>
      <c r="AA97" s="268" t="n"/>
      <c r="AB97" s="268" t="n"/>
      <c r="AC97" s="268" t="n"/>
      <c r="AD97" s="268" t="n"/>
      <c r="AE97" s="268" t="n"/>
      <c r="AF97" s="268" t="n"/>
      <c r="AG97" s="268" t="n"/>
      <c r="AH97" s="268" t="n"/>
      <c r="AI97" s="268" t="n"/>
      <c r="AJ97" s="268" t="n"/>
      <c r="AK97" s="268" t="n"/>
      <c r="AL97" s="268" t="n"/>
      <c r="AM97" s="268" t="n"/>
      <c r="AN97" s="268" t="n"/>
      <c r="AO97" s="268" t="n"/>
      <c r="AP97" s="268" t="n"/>
      <c r="AQ97" s="268" t="n"/>
      <c r="AR97" s="268" t="n"/>
      <c r="AS97" s="268" t="n"/>
      <c r="AT97" s="268" t="n"/>
      <c r="AU97" s="268" t="n"/>
      <c r="AV97" s="268" t="n"/>
      <c r="AW97" s="268" t="n"/>
      <c r="AX97" s="268" t="n"/>
      <c r="AY97" s="268" t="n"/>
      <c r="AZ97" s="268" t="n"/>
      <c r="BA97" s="268" t="n"/>
      <c r="BB97" s="268" t="n"/>
      <c r="BC97" s="268" t="n"/>
      <c r="BD97" s="268" t="n"/>
      <c r="BE97" s="268" t="n"/>
      <c r="BF97" s="268" t="n"/>
      <c r="BG97" s="268" t="n"/>
      <c r="BH97" s="268" t="n"/>
      <c r="BI97" s="268" t="n"/>
      <c r="BJ97" s="268" t="n"/>
      <c r="BK97" s="268" t="n"/>
      <c r="BL97" s="268" t="n"/>
      <c r="BM97" s="268" t="n"/>
      <c r="BN97" s="268" t="n"/>
      <c r="BO97" s="268" t="n"/>
      <c r="BP97" s="268" t="n"/>
      <c r="BQ97" s="268" t="n"/>
      <c r="BR97" s="268" t="n"/>
      <c r="BS97" s="268" t="n"/>
      <c r="BT97" s="268" t="n"/>
      <c r="BU97" s="268" t="n"/>
      <c r="BV97" s="268" t="n"/>
      <c r="BW97" s="268" t="n"/>
      <c r="BX97" s="268" t="n"/>
      <c r="BY97" s="268" t="n"/>
      <c r="BZ97" s="268" t="n"/>
      <c r="CA97" s="268" t="n"/>
      <c r="CB97" s="268" t="n"/>
      <c r="CC97" s="268" t="n"/>
      <c r="CD97" s="268" t="n"/>
      <c r="CE97" s="268" t="n"/>
      <c r="CF97" s="268" t="n"/>
      <c r="CG97" s="268" t="n"/>
      <c r="CH97" s="268" t="n"/>
      <c r="CI97" s="268" t="n"/>
      <c r="CJ97" s="268" t="n"/>
      <c r="CK97" s="268" t="n"/>
      <c r="CL97" s="268" t="n"/>
      <c r="CM97" s="268" t="n"/>
      <c r="CN97" s="268" t="n"/>
      <c r="CO97" s="268" t="n"/>
      <c r="CP97" s="268" t="n"/>
      <c r="CQ97" s="268" t="n"/>
      <c r="CR97" s="268" t="n"/>
      <c r="CS97" s="268" t="n"/>
      <c r="CT97" s="268" t="n"/>
      <c r="CU97" s="268" t="n"/>
      <c r="CV97" s="268" t="n"/>
      <c r="CW97" s="268" t="n"/>
      <c r="CX97" s="268" t="n"/>
      <c r="CY97" s="268" t="n"/>
    </row>
    <row r="98" hidden="1" outlineLevel="1" ht="12.75" customHeight="1" s="255">
      <c r="C98" s="312" t="inlineStr">
        <is>
          <t>Stake</t>
        </is>
      </c>
      <c r="D98" s="268" t="n"/>
      <c r="E98" s="268" t="n"/>
      <c r="F98" s="268" t="n"/>
      <c r="G98" s="268" t="n"/>
      <c r="H98" s="268" t="n"/>
      <c r="I98" s="268" t="n"/>
      <c r="J98" s="268" t="n"/>
      <c r="K98" s="268" t="n"/>
      <c r="L98" s="268" t="n"/>
      <c r="M98" s="268" t="n"/>
      <c r="N98" s="268" t="n"/>
      <c r="O98" s="268" t="n"/>
      <c r="P98" s="268" t="n"/>
      <c r="Q98" s="268" t="n"/>
      <c r="R98" s="268" t="n"/>
      <c r="S98" s="268" t="n"/>
      <c r="T98" s="268" t="n"/>
      <c r="U98" s="268" t="n"/>
      <c r="V98" s="268" t="n"/>
      <c r="W98" s="268" t="n"/>
      <c r="X98" s="268" t="n"/>
      <c r="Y98" s="268" t="n"/>
      <c r="Z98" s="268" t="n"/>
      <c r="AA98" s="268" t="n"/>
      <c r="AB98" s="268" t="n"/>
      <c r="AC98" s="268" t="n"/>
      <c r="AD98" s="268" t="n"/>
      <c r="AE98" s="268" t="n"/>
      <c r="AF98" s="268" t="n"/>
      <c r="AG98" s="268" t="n"/>
      <c r="AH98" s="268" t="n"/>
      <c r="AI98" s="268" t="n"/>
      <c r="AJ98" s="268" t="n"/>
      <c r="AK98" s="268" t="n"/>
      <c r="AL98" s="268" t="n"/>
      <c r="AM98" s="268" t="n"/>
      <c r="AN98" s="268" t="n"/>
      <c r="AO98" s="268" t="n"/>
      <c r="AP98" s="268" t="n"/>
      <c r="AQ98" s="268" t="n"/>
      <c r="AR98" s="268" t="n"/>
      <c r="AS98" s="268" t="n"/>
      <c r="AT98" s="268" t="n"/>
      <c r="AU98" s="268" t="n"/>
      <c r="AV98" s="268" t="n"/>
      <c r="AW98" s="268" t="n"/>
      <c r="AX98" s="268" t="n"/>
      <c r="AY98" s="268" t="n"/>
      <c r="AZ98" s="268" t="n"/>
      <c r="BA98" s="268" t="n"/>
      <c r="BB98" s="268" t="n"/>
      <c r="BC98" s="268" t="n"/>
      <c r="BD98" s="268" t="n"/>
      <c r="BE98" s="268" t="n"/>
      <c r="BF98" s="268" t="n"/>
      <c r="BG98" s="268" t="n"/>
      <c r="BH98" s="268" t="n"/>
      <c r="BI98" s="268" t="n"/>
      <c r="BJ98" s="268" t="n"/>
      <c r="BK98" s="268" t="n"/>
      <c r="BL98" s="268" t="n"/>
      <c r="BM98" s="268" t="n"/>
      <c r="BN98" s="268" t="n"/>
      <c r="BO98" s="268" t="n"/>
      <c r="BP98" s="268" t="n"/>
      <c r="BQ98" s="268" t="n"/>
      <c r="BR98" s="268" t="n"/>
      <c r="BS98" s="268" t="n"/>
      <c r="BT98" s="268" t="n"/>
      <c r="BU98" s="268" t="n"/>
      <c r="BV98" s="268" t="n"/>
      <c r="BW98" s="268" t="n"/>
      <c r="BX98" s="268" t="n"/>
      <c r="BY98" s="268" t="n"/>
      <c r="BZ98" s="268" t="n"/>
      <c r="CA98" s="268" t="n"/>
      <c r="CB98" s="268" t="n"/>
      <c r="CC98" s="268" t="n"/>
      <c r="CD98" s="268" t="n"/>
      <c r="CE98" s="268" t="n"/>
      <c r="CF98" s="268" t="n"/>
      <c r="CG98" s="268" t="n"/>
      <c r="CH98" s="268" t="n"/>
      <c r="CI98" s="268" t="n"/>
      <c r="CJ98" s="268" t="n"/>
      <c r="CK98" s="268" t="n"/>
      <c r="CL98" s="268" t="n"/>
      <c r="CM98" s="268" t="n"/>
      <c r="CN98" s="268" t="n"/>
      <c r="CO98" s="268" t="n"/>
      <c r="CP98" s="268" t="n"/>
      <c r="CQ98" s="268" t="n"/>
      <c r="CR98" s="268" t="n"/>
      <c r="CS98" s="268" t="n"/>
      <c r="CT98" s="268" t="n"/>
      <c r="CU98" s="268" t="n"/>
      <c r="CV98" s="268" t="n"/>
      <c r="CW98" s="268" t="n"/>
      <c r="CX98" s="268" t="n"/>
      <c r="CY98" s="268" t="n"/>
    </row>
    <row r="99" hidden="1" outlineLevel="1" ht="12.75" customHeight="1" s="255">
      <c r="C99" s="312" t="inlineStr">
        <is>
          <t>PRE</t>
        </is>
      </c>
      <c r="D99" s="268" t="n"/>
      <c r="E99" s="268" t="n"/>
      <c r="F99" s="268" t="n"/>
      <c r="G99" s="268" t="n"/>
      <c r="H99" s="268" t="n"/>
      <c r="I99" s="268" t="n"/>
      <c r="J99" s="268" t="n"/>
      <c r="K99" s="268" t="n"/>
      <c r="L99" s="268" t="n"/>
      <c r="M99" s="268" t="n"/>
      <c r="N99" s="268" t="n"/>
      <c r="O99" s="268" t="n"/>
      <c r="P99" s="268" t="n"/>
      <c r="Q99" s="268" t="n"/>
      <c r="R99" s="268" t="n"/>
      <c r="S99" s="268" t="n"/>
      <c r="T99" s="268" t="n"/>
      <c r="U99" s="268" t="n"/>
      <c r="V99" s="268" t="n"/>
      <c r="W99" s="268" t="n"/>
      <c r="X99" s="268" t="n"/>
      <c r="Y99" s="268" t="n"/>
      <c r="Z99" s="268" t="n"/>
      <c r="AA99" s="268" t="n"/>
      <c r="AB99" s="268" t="n"/>
      <c r="AC99" s="268" t="n"/>
      <c r="AD99" s="268" t="n"/>
      <c r="AE99" s="268" t="n"/>
      <c r="AF99" s="268" t="n"/>
      <c r="AG99" s="268" t="n"/>
      <c r="AH99" s="268" t="n"/>
      <c r="AI99" s="268" t="n"/>
      <c r="AJ99" s="268" t="n"/>
      <c r="AK99" s="268" t="n"/>
      <c r="AL99" s="268" t="n"/>
      <c r="AM99" s="268" t="n"/>
      <c r="AN99" s="268" t="n"/>
      <c r="AO99" s="268" t="n"/>
      <c r="AP99" s="268" t="n"/>
      <c r="AQ99" s="268" t="n"/>
      <c r="AR99" s="268" t="n"/>
      <c r="AS99" s="268" t="n"/>
      <c r="AT99" s="268" t="n"/>
      <c r="AU99" s="268" t="n"/>
      <c r="AV99" s="268" t="n"/>
      <c r="AW99" s="268" t="n"/>
      <c r="AX99" s="268" t="n"/>
      <c r="AY99" s="268" t="n"/>
      <c r="AZ99" s="268" t="n"/>
      <c r="BA99" s="268" t="n"/>
      <c r="BB99" s="268" t="n"/>
      <c r="BC99" s="268" t="n"/>
      <c r="BD99" s="268" t="n"/>
      <c r="BE99" s="268" t="n"/>
      <c r="BF99" s="268" t="n"/>
      <c r="BG99" s="268" t="n"/>
      <c r="BH99" s="268" t="n"/>
      <c r="BI99" s="268" t="n"/>
      <c r="BJ99" s="268" t="n"/>
      <c r="BK99" s="268" t="n"/>
      <c r="BL99" s="268" t="n"/>
      <c r="BM99" s="268" t="n"/>
      <c r="BN99" s="268" t="n"/>
      <c r="BO99" s="268" t="n"/>
      <c r="BP99" s="268" t="n"/>
      <c r="BQ99" s="268" t="n"/>
      <c r="BR99" s="268" t="n"/>
      <c r="BS99" s="268" t="n"/>
      <c r="BT99" s="268" t="n"/>
      <c r="BU99" s="268" t="n"/>
      <c r="BV99" s="268" t="n"/>
      <c r="BW99" s="268" t="n"/>
      <c r="BX99" s="268" t="n"/>
      <c r="BY99" s="268" t="n"/>
      <c r="BZ99" s="268" t="n"/>
      <c r="CA99" s="268" t="n"/>
      <c r="CB99" s="268" t="n"/>
      <c r="CC99" s="268" t="n"/>
      <c r="CD99" s="268" t="n"/>
      <c r="CE99" s="268" t="n"/>
      <c r="CF99" s="268" t="n"/>
      <c r="CG99" s="268" t="n"/>
      <c r="CH99" s="268" t="n"/>
      <c r="CI99" s="268" t="n"/>
      <c r="CJ99" s="268" t="n"/>
      <c r="CK99" s="268" t="n"/>
      <c r="CL99" s="268" t="n"/>
      <c r="CM99" s="268" t="n"/>
      <c r="CN99" s="268" t="n"/>
      <c r="CO99" s="268" t="n"/>
      <c r="CP99" s="268" t="n"/>
      <c r="CQ99" s="268" t="n"/>
      <c r="CR99" s="268" t="n"/>
      <c r="CS99" s="268" t="n"/>
      <c r="CT99" s="268" t="n"/>
      <c r="CU99" s="268" t="n"/>
      <c r="CV99" s="268" t="n"/>
      <c r="CW99" s="268" t="n"/>
      <c r="CX99" s="268" t="n"/>
      <c r="CY99" s="268" t="n"/>
    </row>
    <row r="100" hidden="1" outlineLevel="1" ht="12.75" customHeight="1" s="255">
      <c r="C100" s="312" t="inlineStr">
        <is>
          <t>CDI+</t>
        </is>
      </c>
      <c r="D100" s="268" t="n"/>
      <c r="E100" s="268" t="n"/>
      <c r="F100" s="268" t="n"/>
      <c r="G100" s="268" t="n"/>
      <c r="H100" s="268" t="n"/>
      <c r="I100" s="268" t="n"/>
      <c r="J100" s="268" t="n"/>
      <c r="K100" s="268" t="n"/>
      <c r="L100" s="268" t="n"/>
      <c r="M100" s="268" t="n"/>
      <c r="N100" s="268" t="n"/>
      <c r="O100" s="268" t="n"/>
      <c r="P100" s="268" t="n"/>
      <c r="Q100" s="268" t="n"/>
      <c r="R100" s="268" t="n"/>
      <c r="S100" s="268" t="n"/>
      <c r="T100" s="268" t="n"/>
      <c r="U100" s="268" t="n"/>
      <c r="V100" s="268" t="n"/>
      <c r="W100" s="268" t="n"/>
      <c r="X100" s="268" t="n"/>
      <c r="Y100" s="268" t="n"/>
      <c r="Z100" s="268" t="n"/>
      <c r="AA100" s="268" t="n"/>
      <c r="AB100" s="268" t="n"/>
      <c r="AC100" s="268" t="n"/>
      <c r="AD100" s="268" t="n"/>
      <c r="AE100" s="268" t="n"/>
      <c r="AF100" s="268" t="n"/>
      <c r="AG100" s="268" t="n"/>
      <c r="AH100" s="268" t="n"/>
      <c r="AI100" s="268" t="n"/>
      <c r="AJ100" s="268" t="n"/>
      <c r="AK100" s="268" t="n"/>
      <c r="AL100" s="268" t="n"/>
      <c r="AM100" s="268" t="n"/>
      <c r="AN100" s="268" t="n"/>
      <c r="AO100" s="268" t="n"/>
      <c r="AP100" s="268" t="n"/>
      <c r="AQ100" s="268" t="n"/>
      <c r="AR100" s="268" t="n"/>
      <c r="AS100" s="268" t="n"/>
      <c r="AT100" s="268" t="n"/>
      <c r="AU100" s="268" t="n"/>
      <c r="AV100" s="268" t="n"/>
      <c r="AW100" s="268" t="n"/>
      <c r="AX100" s="268" t="n"/>
      <c r="AY100" s="268" t="n"/>
      <c r="AZ100" s="268" t="n"/>
      <c r="BA100" s="268" t="n"/>
      <c r="BB100" s="268" t="n"/>
      <c r="BC100" s="268" t="n"/>
      <c r="BD100" s="268" t="n"/>
      <c r="BE100" s="268" t="n"/>
      <c r="BF100" s="268" t="n"/>
      <c r="BG100" s="268" t="n"/>
      <c r="BH100" s="268" t="n"/>
      <c r="BI100" s="268" t="n"/>
      <c r="BJ100" s="268" t="n"/>
      <c r="BK100" s="268" t="n"/>
      <c r="BL100" s="268" t="n"/>
      <c r="BM100" s="268" t="n"/>
      <c r="BN100" s="268" t="n"/>
      <c r="BO100" s="268" t="n"/>
      <c r="BP100" s="268" t="n"/>
      <c r="BQ100" s="268" t="n"/>
      <c r="BR100" s="268" t="n"/>
      <c r="BS100" s="268" t="n"/>
      <c r="BT100" s="268" t="n"/>
      <c r="BU100" s="268" t="n"/>
      <c r="BV100" s="268" t="n"/>
      <c r="BW100" s="268" t="n"/>
      <c r="BX100" s="268" t="n"/>
      <c r="BY100" s="268" t="n"/>
      <c r="BZ100" s="268" t="n"/>
      <c r="CA100" s="268" t="n"/>
      <c r="CB100" s="268" t="n"/>
      <c r="CC100" s="268" t="n"/>
      <c r="CD100" s="268" t="n"/>
      <c r="CE100" s="268" t="n"/>
      <c r="CF100" s="268" t="n"/>
      <c r="CG100" s="268" t="n"/>
      <c r="CH100" s="268" t="n"/>
      <c r="CI100" s="268" t="n"/>
      <c r="CJ100" s="268" t="n"/>
      <c r="CK100" s="268" t="n"/>
      <c r="CL100" s="268" t="n"/>
      <c r="CM100" s="268" t="n"/>
      <c r="CN100" s="268" t="n"/>
      <c r="CO100" s="268" t="n"/>
      <c r="CP100" s="268" t="n"/>
      <c r="CQ100" s="268" t="n"/>
      <c r="CR100" s="268" t="n"/>
      <c r="CS100" s="268" t="n"/>
      <c r="CT100" s="268" t="n"/>
      <c r="CU100" s="268" t="n"/>
      <c r="CV100" s="268" t="n"/>
      <c r="CW100" s="268" t="n"/>
      <c r="CX100" s="268" t="n"/>
      <c r="CY100" s="268" t="n"/>
    </row>
    <row r="101" hidden="1" outlineLevel="1" ht="12.75" customHeight="1" s="255">
      <c r="C101" s="312" t="n"/>
      <c r="D101" s="268" t="n"/>
      <c r="E101" s="268" t="n"/>
      <c r="F101" s="268" t="n"/>
      <c r="G101" s="268" t="n"/>
      <c r="H101" s="268" t="n"/>
      <c r="I101" s="268" t="n"/>
      <c r="J101" s="268" t="n"/>
      <c r="K101" s="268" t="n"/>
      <c r="L101" s="268" t="n"/>
      <c r="M101" s="268" t="n"/>
      <c r="N101" s="268" t="n"/>
      <c r="O101" s="268" t="n"/>
      <c r="P101" s="268" t="n"/>
      <c r="Q101" s="268" t="n"/>
      <c r="R101" s="268" t="n"/>
      <c r="S101" s="268" t="n"/>
      <c r="T101" s="268" t="n"/>
      <c r="U101" s="268" t="n"/>
      <c r="V101" s="268" t="n"/>
      <c r="W101" s="268" t="n"/>
      <c r="X101" s="268" t="n"/>
      <c r="Y101" s="268" t="n"/>
      <c r="Z101" s="268" t="n"/>
      <c r="AA101" s="268" t="n"/>
      <c r="AB101" s="268" t="n"/>
      <c r="AC101" s="268" t="n"/>
      <c r="AD101" s="268" t="n"/>
      <c r="AE101" s="268" t="n"/>
      <c r="AF101" s="268" t="n"/>
      <c r="AG101" s="268" t="n"/>
      <c r="AH101" s="268" t="n"/>
      <c r="AI101" s="268" t="n"/>
      <c r="AJ101" s="268" t="n"/>
      <c r="AK101" s="268" t="n"/>
      <c r="AL101" s="268" t="n"/>
      <c r="AM101" s="268" t="n"/>
      <c r="AN101" s="268" t="n"/>
      <c r="AO101" s="268" t="n"/>
      <c r="AP101" s="268" t="n"/>
      <c r="AQ101" s="268" t="n"/>
      <c r="AR101" s="268" t="n"/>
      <c r="AS101" s="268" t="n"/>
      <c r="AT101" s="268" t="n"/>
      <c r="AU101" s="268" t="n"/>
      <c r="AV101" s="268" t="n"/>
      <c r="AW101" s="268" t="n"/>
      <c r="AX101" s="268" t="n"/>
      <c r="AY101" s="268" t="n"/>
      <c r="AZ101" s="268" t="n"/>
      <c r="BA101" s="268" t="n"/>
      <c r="BB101" s="268" t="n"/>
      <c r="BC101" s="268" t="n"/>
      <c r="BD101" s="268" t="n"/>
      <c r="BE101" s="268" t="n"/>
      <c r="BF101" s="268" t="n"/>
      <c r="BG101" s="268" t="n"/>
      <c r="BH101" s="268" t="n"/>
      <c r="BI101" s="268" t="n"/>
      <c r="BJ101" s="268" t="n"/>
      <c r="BK101" s="268" t="n"/>
      <c r="BL101" s="268" t="n"/>
      <c r="BM101" s="268" t="n"/>
      <c r="BN101" s="268" t="n"/>
      <c r="BO101" s="268" t="n"/>
      <c r="BP101" s="268" t="n"/>
      <c r="BQ101" s="268" t="n"/>
      <c r="BR101" s="268" t="n"/>
      <c r="BS101" s="268" t="n"/>
      <c r="BT101" s="268" t="n"/>
      <c r="BU101" s="268" t="n"/>
      <c r="BV101" s="268" t="n"/>
      <c r="BW101" s="268" t="n"/>
      <c r="BX101" s="268" t="n"/>
      <c r="BY101" s="268" t="n"/>
      <c r="BZ101" s="268" t="n"/>
      <c r="CA101" s="268" t="n"/>
      <c r="CB101" s="268" t="n"/>
      <c r="CC101" s="268" t="n"/>
      <c r="CD101" s="268" t="n"/>
      <c r="CE101" s="268" t="n"/>
      <c r="CF101" s="268" t="n"/>
      <c r="CG101" s="268" t="n"/>
      <c r="CH101" s="268" t="n"/>
      <c r="CI101" s="268" t="n"/>
      <c r="CJ101" s="268" t="n"/>
      <c r="CK101" s="268" t="n"/>
      <c r="CL101" s="268" t="n"/>
      <c r="CM101" s="268" t="n"/>
      <c r="CN101" s="268" t="n"/>
      <c r="CO101" s="268" t="n"/>
      <c r="CP101" s="268" t="n"/>
      <c r="CQ101" s="268" t="n"/>
      <c r="CR101" s="268" t="n"/>
      <c r="CS101" s="268" t="n"/>
      <c r="CT101" s="268" t="n"/>
      <c r="CU101" s="268" t="n"/>
      <c r="CV101" s="268" t="n"/>
      <c r="CW101" s="268" t="n"/>
      <c r="CX101" s="268" t="n"/>
      <c r="CY101" s="268" t="n"/>
    </row>
    <row r="102" hidden="1" outlineLevel="1" ht="12.75" customHeight="1" s="255">
      <c r="C102" s="312" t="inlineStr">
        <is>
          <t>Spread</t>
        </is>
      </c>
      <c r="D102" s="268" t="n"/>
      <c r="E102" s="268" t="n"/>
      <c r="F102" s="268" t="n"/>
      <c r="G102" s="268" t="n"/>
      <c r="H102" s="268" t="n"/>
      <c r="I102" s="268" t="n"/>
      <c r="J102" s="268" t="n"/>
      <c r="K102" s="268" t="n"/>
      <c r="L102" s="268" t="n"/>
      <c r="M102" s="268" t="n"/>
      <c r="N102" s="268" t="n"/>
      <c r="O102" s="268" t="n"/>
      <c r="P102" s="268" t="n"/>
      <c r="Q102" s="268" t="n"/>
      <c r="R102" s="268" t="n"/>
      <c r="S102" s="268" t="n"/>
      <c r="T102" s="268" t="n"/>
      <c r="U102" s="268" t="n"/>
      <c r="V102" s="268" t="n"/>
      <c r="W102" s="268" t="n"/>
      <c r="X102" s="268" t="n"/>
      <c r="Y102" s="268" t="n"/>
      <c r="Z102" s="268" t="n"/>
      <c r="AA102" s="268" t="n"/>
      <c r="AB102" s="268" t="n"/>
      <c r="AC102" s="268" t="n"/>
      <c r="AD102" s="268" t="n"/>
      <c r="AE102" s="268" t="n"/>
      <c r="AF102" s="268" t="n"/>
      <c r="AG102" s="268" t="n"/>
      <c r="AH102" s="268" t="n"/>
      <c r="AI102" s="268" t="n"/>
      <c r="AJ102" s="268" t="n"/>
      <c r="AK102" s="268" t="n"/>
      <c r="AL102" s="268" t="n"/>
      <c r="AM102" s="268" t="n"/>
      <c r="AN102" s="268" t="n"/>
      <c r="AO102" s="268" t="n"/>
      <c r="AP102" s="268" t="n"/>
      <c r="AQ102" s="268" t="n"/>
      <c r="AR102" s="268" t="n"/>
      <c r="AS102" s="268" t="n"/>
      <c r="AT102" s="268" t="n"/>
      <c r="AU102" s="268" t="n"/>
      <c r="AV102" s="268" t="n"/>
      <c r="AW102" s="268" t="n"/>
      <c r="AX102" s="268" t="n"/>
      <c r="AY102" s="268" t="n"/>
      <c r="AZ102" s="268" t="n"/>
      <c r="BA102" s="268" t="n"/>
      <c r="BB102" s="268" t="n"/>
      <c r="BC102" s="268" t="n"/>
      <c r="BD102" s="268" t="n"/>
      <c r="BE102" s="268" t="n"/>
      <c r="BF102" s="268" t="n"/>
      <c r="BG102" s="268" t="n"/>
      <c r="BH102" s="268" t="n"/>
      <c r="BI102" s="268" t="n"/>
      <c r="BJ102" s="268" t="n"/>
      <c r="BK102" s="268" t="n"/>
      <c r="BL102" s="268" t="n"/>
      <c r="BM102" s="268" t="n"/>
      <c r="BN102" s="268" t="n"/>
      <c r="BO102" s="268" t="n"/>
      <c r="BP102" s="268" t="n"/>
      <c r="BQ102" s="268" t="n"/>
      <c r="BR102" s="268" t="n"/>
      <c r="BS102" s="268" t="n"/>
      <c r="BT102" s="268" t="n"/>
      <c r="BU102" s="268" t="n"/>
      <c r="BV102" s="268" t="n"/>
      <c r="BW102" s="268" t="n"/>
      <c r="BX102" s="268" t="n"/>
      <c r="BY102" s="268" t="n"/>
      <c r="BZ102" s="268" t="n"/>
      <c r="CA102" s="268" t="n"/>
      <c r="CB102" s="268" t="n"/>
      <c r="CC102" s="268" t="n"/>
      <c r="CD102" s="268" t="n"/>
      <c r="CE102" s="268" t="n"/>
      <c r="CF102" s="268" t="n"/>
      <c r="CG102" s="268" t="n"/>
      <c r="CH102" s="268" t="n"/>
      <c r="CI102" s="268" t="n"/>
      <c r="CJ102" s="268" t="n"/>
      <c r="CK102" s="268" t="n"/>
      <c r="CL102" s="268" t="n"/>
      <c r="CM102" s="268" t="n"/>
      <c r="CN102" s="268" t="n"/>
      <c r="CO102" s="268" t="n"/>
      <c r="CP102" s="268" t="n"/>
      <c r="CQ102" s="268" t="n"/>
      <c r="CR102" s="268" t="n"/>
      <c r="CS102" s="268" t="n"/>
      <c r="CT102" s="268" t="n"/>
      <c r="CU102" s="268" t="n"/>
      <c r="CV102" s="268" t="n"/>
      <c r="CW102" s="268" t="n"/>
      <c r="CX102" s="268" t="n"/>
      <c r="CY102" s="268" t="n"/>
    </row>
    <row r="103" hidden="1" outlineLevel="1" ht="12.75" customHeight="1" s="255">
      <c r="C103" s="312" t="inlineStr">
        <is>
          <t>PRE</t>
        </is>
      </c>
      <c r="D103" s="268" t="n"/>
      <c r="E103" s="268" t="n"/>
      <c r="F103" s="268" t="n"/>
      <c r="G103" s="268" t="n"/>
      <c r="H103" s="268" t="n"/>
      <c r="I103" s="268" t="n"/>
      <c r="J103" s="268" t="n"/>
      <c r="K103" s="268" t="n"/>
      <c r="L103" s="268" t="n"/>
      <c r="M103" s="268" t="n"/>
      <c r="N103" s="268" t="n"/>
      <c r="O103" s="268" t="n"/>
      <c r="P103" s="268" t="n"/>
      <c r="Q103" s="268" t="n"/>
      <c r="R103" s="268" t="n"/>
      <c r="S103" s="268" t="n"/>
      <c r="T103" s="268" t="n"/>
      <c r="U103" s="268" t="n"/>
      <c r="V103" s="268" t="n"/>
      <c r="W103" s="268" t="n"/>
      <c r="X103" s="268" t="n"/>
      <c r="Y103" s="268" t="n"/>
      <c r="Z103" s="268" t="n"/>
      <c r="AA103" s="268" t="n"/>
      <c r="AB103" s="268" t="n"/>
      <c r="AC103" s="268" t="n"/>
      <c r="AD103" s="268" t="n"/>
      <c r="AE103" s="268" t="n"/>
      <c r="AF103" s="268" t="n"/>
      <c r="AG103" s="268" t="n"/>
      <c r="AH103" s="268" t="n"/>
      <c r="AI103" s="268" t="n"/>
      <c r="AJ103" s="268" t="n"/>
      <c r="AK103" s="268" t="n"/>
      <c r="AL103" s="268" t="n"/>
      <c r="AM103" s="268" t="n"/>
      <c r="AN103" s="268" t="n"/>
      <c r="AO103" s="268" t="n"/>
      <c r="AP103" s="268" t="n"/>
      <c r="AQ103" s="268" t="n"/>
      <c r="AR103" s="268" t="n"/>
      <c r="AS103" s="268" t="n"/>
      <c r="AT103" s="268" t="n"/>
      <c r="AU103" s="268" t="n"/>
      <c r="AV103" s="268" t="n"/>
      <c r="AW103" s="268" t="n"/>
      <c r="AX103" s="268" t="n"/>
      <c r="AY103" s="268" t="n"/>
      <c r="AZ103" s="268" t="n"/>
      <c r="BA103" s="268" t="n"/>
      <c r="BB103" s="268" t="n"/>
      <c r="BC103" s="268" t="n"/>
      <c r="BD103" s="268" t="n"/>
      <c r="BE103" s="268" t="n"/>
      <c r="BF103" s="268" t="n"/>
      <c r="BG103" s="268" t="n"/>
      <c r="BH103" s="268" t="n"/>
      <c r="BI103" s="268" t="n"/>
      <c r="BJ103" s="268" t="n"/>
      <c r="BK103" s="268" t="n"/>
      <c r="BL103" s="268" t="n"/>
      <c r="BM103" s="268" t="n"/>
      <c r="BN103" s="268" t="n"/>
      <c r="BO103" s="268" t="n"/>
      <c r="BP103" s="268" t="n"/>
      <c r="BQ103" s="268" t="n"/>
      <c r="BR103" s="268" t="n"/>
      <c r="BS103" s="268" t="n"/>
      <c r="BT103" s="268" t="n"/>
      <c r="BU103" s="268" t="n"/>
      <c r="BV103" s="268" t="n"/>
      <c r="BW103" s="268" t="n"/>
      <c r="BX103" s="268" t="n"/>
      <c r="BY103" s="268" t="n"/>
      <c r="BZ103" s="268" t="n"/>
      <c r="CA103" s="268" t="n"/>
      <c r="CB103" s="268" t="n"/>
      <c r="CC103" s="268" t="n"/>
      <c r="CD103" s="268" t="n"/>
      <c r="CE103" s="268" t="n"/>
      <c r="CF103" s="268" t="n"/>
      <c r="CG103" s="268" t="n"/>
      <c r="CH103" s="268" t="n"/>
      <c r="CI103" s="268" t="n"/>
      <c r="CJ103" s="268" t="n"/>
      <c r="CK103" s="268" t="n"/>
      <c r="CL103" s="268" t="n"/>
      <c r="CM103" s="268" t="n"/>
      <c r="CN103" s="268" t="n"/>
      <c r="CO103" s="268" t="n"/>
      <c r="CP103" s="268" t="n"/>
      <c r="CQ103" s="268" t="n"/>
      <c r="CR103" s="268" t="n"/>
      <c r="CS103" s="268" t="n"/>
      <c r="CT103" s="268" t="n"/>
      <c r="CU103" s="268" t="n"/>
      <c r="CV103" s="268" t="n"/>
      <c r="CW103" s="268" t="n"/>
      <c r="CX103" s="268" t="n"/>
      <c r="CY103" s="268" t="n"/>
    </row>
    <row r="104" hidden="1" outlineLevel="1" ht="12.75" customHeight="1" s="255">
      <c r="C104" s="312" t="inlineStr">
        <is>
          <t>CDI+</t>
        </is>
      </c>
      <c r="D104" s="268" t="n"/>
      <c r="E104" s="268" t="n"/>
      <c r="F104" s="268" t="n"/>
      <c r="G104" s="268" t="n"/>
      <c r="H104" s="268" t="n"/>
      <c r="I104" s="268" t="n"/>
      <c r="J104" s="268" t="n"/>
      <c r="K104" s="268" t="n"/>
      <c r="L104" s="268" t="n"/>
      <c r="M104" s="268" t="n"/>
      <c r="N104" s="268" t="n"/>
      <c r="O104" s="268" t="n"/>
      <c r="P104" s="268" t="n"/>
      <c r="Q104" s="268" t="n"/>
      <c r="R104" s="268" t="n"/>
      <c r="S104" s="268" t="n"/>
      <c r="T104" s="268" t="n"/>
      <c r="U104" s="268" t="n"/>
      <c r="V104" s="268" t="n"/>
      <c r="W104" s="268" t="n"/>
      <c r="X104" s="268" t="n"/>
      <c r="Y104" s="268" t="n"/>
      <c r="Z104" s="268" t="n"/>
      <c r="AA104" s="268" t="n"/>
      <c r="AB104" s="268" t="n"/>
      <c r="AC104" s="268" t="n"/>
      <c r="AD104" s="268" t="n"/>
      <c r="AE104" s="268" t="n"/>
      <c r="AF104" s="268" t="n"/>
      <c r="AG104" s="268" t="n"/>
      <c r="AH104" s="268" t="n"/>
      <c r="AI104" s="268" t="n"/>
      <c r="AJ104" s="268" t="n"/>
      <c r="AK104" s="268" t="n"/>
      <c r="AL104" s="268" t="n"/>
      <c r="AM104" s="268" t="n"/>
      <c r="AN104" s="268" t="n"/>
      <c r="AO104" s="268" t="n"/>
      <c r="AP104" s="268" t="n"/>
      <c r="AQ104" s="268" t="n"/>
      <c r="AR104" s="268" t="n"/>
      <c r="AS104" s="268" t="n"/>
      <c r="AT104" s="268" t="n"/>
      <c r="AU104" s="268" t="n"/>
      <c r="AV104" s="268" t="n"/>
      <c r="AW104" s="268" t="n"/>
      <c r="AX104" s="268" t="n"/>
      <c r="AY104" s="268" t="n"/>
      <c r="AZ104" s="268" t="n"/>
      <c r="BA104" s="268" t="n"/>
      <c r="BB104" s="268" t="n"/>
      <c r="BC104" s="268" t="n"/>
      <c r="BD104" s="268" t="n"/>
      <c r="BE104" s="268" t="n"/>
      <c r="BF104" s="268" t="n"/>
      <c r="BG104" s="268" t="n"/>
      <c r="BH104" s="268" t="n"/>
      <c r="BI104" s="268" t="n"/>
      <c r="BJ104" s="268" t="n"/>
      <c r="BK104" s="268" t="n"/>
      <c r="BL104" s="268" t="n"/>
      <c r="BM104" s="268" t="n"/>
      <c r="BN104" s="268" t="n"/>
      <c r="BO104" s="268" t="n"/>
      <c r="BP104" s="268" t="n"/>
      <c r="BQ104" s="268" t="n"/>
      <c r="BR104" s="268" t="n"/>
      <c r="BS104" s="268" t="n"/>
      <c r="BT104" s="268" t="n"/>
      <c r="BU104" s="268" t="n"/>
      <c r="BV104" s="268" t="n"/>
      <c r="BW104" s="268" t="n"/>
      <c r="BX104" s="268" t="n"/>
      <c r="BY104" s="268" t="n"/>
      <c r="BZ104" s="268" t="n"/>
      <c r="CA104" s="268" t="n"/>
      <c r="CB104" s="268" t="n"/>
      <c r="CC104" s="268" t="n"/>
      <c r="CD104" s="268" t="n"/>
      <c r="CE104" s="268" t="n"/>
      <c r="CF104" s="268" t="n"/>
      <c r="CG104" s="268" t="n"/>
      <c r="CH104" s="268" t="n"/>
      <c r="CI104" s="268" t="n"/>
      <c r="CJ104" s="268" t="n"/>
      <c r="CK104" s="268" t="n"/>
      <c r="CL104" s="268" t="n"/>
      <c r="CM104" s="268" t="n"/>
      <c r="CN104" s="268" t="n"/>
      <c r="CO104" s="268" t="n"/>
      <c r="CP104" s="268" t="n"/>
      <c r="CQ104" s="268" t="n"/>
      <c r="CR104" s="268" t="n"/>
      <c r="CS104" s="268" t="n"/>
      <c r="CT104" s="268" t="n"/>
      <c r="CU104" s="268" t="n"/>
      <c r="CV104" s="268" t="n"/>
      <c r="CW104" s="268" t="n"/>
      <c r="CX104" s="268" t="n"/>
      <c r="CY104" s="268" t="n"/>
    </row>
    <row r="105" hidden="1" outlineLevel="1" ht="12.75" customHeight="1" s="255">
      <c r="C105" s="312" t="n"/>
      <c r="D105" s="268" t="n"/>
      <c r="E105" s="268" t="n"/>
      <c r="F105" s="268" t="n"/>
      <c r="G105" s="268" t="n"/>
      <c r="H105" s="268" t="n"/>
      <c r="I105" s="268" t="n"/>
      <c r="J105" s="268" t="n"/>
      <c r="K105" s="268" t="n"/>
      <c r="L105" s="268" t="n"/>
      <c r="M105" s="268" t="n"/>
      <c r="N105" s="268" t="n"/>
      <c r="O105" s="268" t="n"/>
      <c r="P105" s="268" t="n"/>
      <c r="Q105" s="268" t="n"/>
      <c r="R105" s="268" t="n"/>
      <c r="S105" s="268" t="n"/>
      <c r="T105" s="268" t="n"/>
      <c r="U105" s="268" t="n"/>
      <c r="V105" s="268" t="n"/>
      <c r="W105" s="268" t="n"/>
      <c r="X105" s="268" t="n"/>
      <c r="Y105" s="268" t="n"/>
      <c r="Z105" s="268" t="n"/>
      <c r="AA105" s="268" t="n"/>
      <c r="AB105" s="268" t="n"/>
      <c r="AC105" s="268" t="n"/>
      <c r="AD105" s="268" t="n"/>
      <c r="AE105" s="268" t="n"/>
      <c r="AF105" s="268" t="n"/>
      <c r="AG105" s="268" t="n"/>
      <c r="AH105" s="268" t="n"/>
      <c r="AI105" s="268" t="n"/>
      <c r="AJ105" s="268" t="n"/>
      <c r="AK105" s="268" t="n"/>
      <c r="AL105" s="268" t="n"/>
      <c r="AM105" s="268" t="n"/>
      <c r="AN105" s="268" t="n"/>
      <c r="AO105" s="268" t="n"/>
      <c r="AP105" s="268" t="n"/>
      <c r="AQ105" s="268" t="n"/>
      <c r="AR105" s="268" t="n"/>
      <c r="AS105" s="268" t="n"/>
      <c r="AT105" s="268" t="n"/>
      <c r="AU105" s="268" t="n"/>
      <c r="AV105" s="268" t="n"/>
      <c r="AW105" s="268" t="n"/>
      <c r="AX105" s="268" t="n"/>
      <c r="AY105" s="268" t="n"/>
      <c r="AZ105" s="268" t="n"/>
      <c r="BA105" s="268" t="n"/>
      <c r="BB105" s="268" t="n"/>
      <c r="BC105" s="268" t="n"/>
      <c r="BD105" s="268" t="n"/>
      <c r="BE105" s="268" t="n"/>
      <c r="BF105" s="268" t="n"/>
      <c r="BG105" s="268" t="n"/>
      <c r="BH105" s="268" t="n"/>
      <c r="BI105" s="268" t="n"/>
      <c r="BJ105" s="268" t="n"/>
      <c r="BK105" s="268" t="n"/>
      <c r="BL105" s="268" t="n"/>
      <c r="BM105" s="268" t="n"/>
      <c r="BN105" s="268" t="n"/>
      <c r="BO105" s="268" t="n"/>
      <c r="BP105" s="268" t="n"/>
      <c r="BQ105" s="268" t="n"/>
      <c r="BR105" s="268" t="n"/>
      <c r="BS105" s="268" t="n"/>
      <c r="BT105" s="268" t="n"/>
      <c r="BU105" s="268" t="n"/>
      <c r="BV105" s="268" t="n"/>
      <c r="BW105" s="268" t="n"/>
      <c r="BX105" s="268" t="n"/>
      <c r="BY105" s="268" t="n"/>
      <c r="BZ105" s="268" t="n"/>
      <c r="CA105" s="268" t="n"/>
      <c r="CB105" s="268" t="n"/>
      <c r="CC105" s="268" t="n"/>
      <c r="CD105" s="268" t="n"/>
      <c r="CE105" s="268" t="n"/>
      <c r="CF105" s="268" t="n"/>
      <c r="CG105" s="268" t="n"/>
      <c r="CH105" s="268" t="n"/>
      <c r="CI105" s="268" t="n"/>
      <c r="CJ105" s="268" t="n"/>
      <c r="CK105" s="268" t="n"/>
      <c r="CL105" s="268" t="n"/>
      <c r="CM105" s="268" t="n"/>
      <c r="CN105" s="268" t="n"/>
      <c r="CO105" s="268" t="n"/>
      <c r="CP105" s="268" t="n"/>
      <c r="CQ105" s="268" t="n"/>
      <c r="CR105" s="268" t="n"/>
      <c r="CS105" s="268" t="n"/>
      <c r="CT105" s="268" t="n"/>
      <c r="CU105" s="268" t="n"/>
      <c r="CV105" s="268" t="n"/>
      <c r="CW105" s="268" t="n"/>
      <c r="CX105" s="268" t="n"/>
      <c r="CY105" s="268" t="n"/>
    </row>
    <row r="106" hidden="1" outlineLevel="1" ht="12.75" customHeight="1" s="255">
      <c r="C106" s="312" t="inlineStr">
        <is>
          <t>RECEITAS FINANCEIRAS - Rendimentos de aplicações financeiras</t>
        </is>
      </c>
      <c r="D106" s="268" t="n"/>
      <c r="E106" s="268" t="n"/>
      <c r="F106" s="268" t="n"/>
      <c r="G106" s="268" t="n"/>
      <c r="H106" s="268" t="n"/>
      <c r="I106" s="268" t="n"/>
      <c r="J106" s="268" t="n"/>
      <c r="K106" s="268" t="n"/>
      <c r="L106" s="268" t="n"/>
      <c r="M106" s="268" t="n"/>
      <c r="N106" s="268" t="n"/>
      <c r="O106" s="268" t="n"/>
      <c r="P106" s="268" t="n"/>
      <c r="Q106" s="268" t="n"/>
      <c r="R106" s="268" t="n"/>
      <c r="S106" s="268" t="n"/>
      <c r="T106" s="268" t="n"/>
      <c r="U106" s="268" t="n"/>
      <c r="V106" s="268" t="n"/>
      <c r="W106" s="268" t="n"/>
      <c r="X106" s="268" t="n"/>
      <c r="Y106" s="268" t="n"/>
      <c r="Z106" s="268" t="n"/>
      <c r="AA106" s="268" t="n"/>
      <c r="AB106" s="268" t="n"/>
      <c r="AC106" s="268" t="n"/>
      <c r="AD106" s="268" t="n"/>
      <c r="AE106" s="268" t="n"/>
      <c r="AF106" s="268" t="n"/>
      <c r="AG106" s="268" t="n"/>
      <c r="AH106" s="268" t="n"/>
      <c r="AI106" s="268" t="n"/>
      <c r="AJ106" s="268" t="n"/>
      <c r="AK106" s="268" t="n"/>
      <c r="AL106" s="268" t="n"/>
      <c r="AM106" s="268" t="n"/>
      <c r="AN106" s="268" t="n"/>
      <c r="AO106" s="268" t="n"/>
      <c r="AP106" s="268" t="n"/>
      <c r="AQ106" s="268" t="n"/>
      <c r="AR106" s="268" t="n"/>
      <c r="AS106" s="268" t="n"/>
      <c r="AT106" s="268" t="n"/>
      <c r="AU106" s="268" t="n"/>
      <c r="AV106" s="268" t="n"/>
      <c r="AW106" s="268" t="n"/>
      <c r="AX106" s="268" t="n"/>
      <c r="AY106" s="268" t="n"/>
      <c r="AZ106" s="268" t="n"/>
      <c r="BA106" s="268" t="n"/>
      <c r="BB106" s="268" t="n"/>
      <c r="BC106" s="268" t="n"/>
      <c r="BD106" s="268" t="n"/>
      <c r="BE106" s="268" t="n"/>
      <c r="BF106" s="268" t="n"/>
      <c r="BG106" s="268" t="n"/>
      <c r="BH106" s="268" t="n"/>
      <c r="BI106" s="268" t="n"/>
      <c r="BJ106" s="268" t="n"/>
      <c r="BK106" s="268" t="n"/>
      <c r="BL106" s="268" t="n"/>
      <c r="BM106" s="268" t="n"/>
      <c r="BN106" s="268" t="n"/>
      <c r="BO106" s="268" t="n"/>
      <c r="BP106" s="268" t="n"/>
      <c r="BQ106" s="268" t="n"/>
      <c r="BR106" s="268" t="n"/>
      <c r="BS106" s="268" t="n"/>
      <c r="BT106" s="268" t="n"/>
      <c r="BU106" s="268" t="n"/>
      <c r="BV106" s="268" t="n"/>
      <c r="BW106" s="268" t="n"/>
      <c r="BX106" s="268" t="n"/>
      <c r="BY106" s="268" t="n"/>
      <c r="BZ106" s="268" t="n"/>
      <c r="CA106" s="268" t="n"/>
      <c r="CB106" s="268" t="n"/>
      <c r="CC106" s="268" t="n"/>
      <c r="CD106" s="268" t="n"/>
      <c r="CE106" s="268" t="n"/>
      <c r="CF106" s="268" t="n"/>
      <c r="CG106" s="268" t="n"/>
      <c r="CH106" s="268" t="n"/>
      <c r="CI106" s="268" t="n"/>
      <c r="CJ106" s="268" t="n"/>
      <c r="CK106" s="268" t="n"/>
      <c r="CL106" s="268" t="n"/>
      <c r="CM106" s="268" t="n"/>
      <c r="CN106" s="268" t="n"/>
      <c r="CO106" s="268" t="n"/>
      <c r="CP106" s="268" t="n"/>
      <c r="CQ106" s="268" t="n"/>
      <c r="CR106" s="268" t="n"/>
      <c r="CS106" s="268" t="n"/>
      <c r="CT106" s="268" t="n"/>
      <c r="CU106" s="268" t="n"/>
      <c r="CV106" s="268" t="n"/>
      <c r="CW106" s="268" t="n"/>
      <c r="CX106" s="268" t="n"/>
      <c r="CY106" s="268" t="n"/>
    </row>
    <row r="107" hidden="1" outlineLevel="1" ht="12.75" customHeight="1" s="255">
      <c r="C107" s="312" t="inlineStr">
        <is>
          <t>RECEITAS FINANCEIRAS - Variação cambial ativa</t>
        </is>
      </c>
      <c r="D107" s="268" t="n"/>
      <c r="E107" s="268" t="n"/>
      <c r="F107" s="268" t="n"/>
      <c r="G107" s="268" t="n"/>
      <c r="H107" s="268" t="n"/>
      <c r="I107" s="268" t="n"/>
      <c r="J107" s="268" t="n"/>
      <c r="K107" s="268" t="n"/>
      <c r="L107" s="268" t="n"/>
      <c r="M107" s="268" t="n"/>
      <c r="N107" s="268" t="n"/>
      <c r="O107" s="268" t="n"/>
      <c r="P107" s="268" t="n"/>
      <c r="Q107" s="268" t="n"/>
      <c r="R107" s="268" t="n"/>
      <c r="S107" s="268" t="n"/>
      <c r="T107" s="268" t="n"/>
      <c r="U107" s="268" t="n"/>
      <c r="V107" s="268" t="n"/>
      <c r="W107" s="268" t="n"/>
      <c r="X107" s="268" t="n"/>
      <c r="Y107" s="268" t="n"/>
      <c r="Z107" s="268" t="n"/>
      <c r="AA107" s="268" t="n"/>
      <c r="AB107" s="268" t="n"/>
      <c r="AC107" s="268" t="n"/>
      <c r="AD107" s="268" t="n"/>
      <c r="AE107" s="268" t="n"/>
      <c r="AF107" s="268" t="n"/>
      <c r="AG107" s="268" t="n"/>
      <c r="AH107" s="268" t="n"/>
      <c r="AI107" s="268" t="n"/>
      <c r="AJ107" s="268" t="n"/>
      <c r="AK107" s="268" t="n"/>
      <c r="AL107" s="268" t="n"/>
      <c r="AM107" s="268" t="n"/>
      <c r="AN107" s="268" t="n"/>
      <c r="AO107" s="268" t="n"/>
      <c r="AP107" s="268" t="n"/>
      <c r="AQ107" s="268" t="n"/>
      <c r="AR107" s="268" t="n"/>
      <c r="AS107" s="268" t="n"/>
      <c r="AT107" s="268" t="n"/>
      <c r="AU107" s="268" t="n"/>
      <c r="AV107" s="268" t="n"/>
      <c r="AW107" s="268" t="n"/>
      <c r="AX107" s="268" t="n"/>
      <c r="AY107" s="268" t="n"/>
      <c r="AZ107" s="268" t="n"/>
      <c r="BA107" s="268" t="n"/>
      <c r="BB107" s="268" t="n"/>
      <c r="BC107" s="268" t="n"/>
      <c r="BD107" s="268" t="n"/>
      <c r="BE107" s="268" t="n"/>
      <c r="BF107" s="268" t="n"/>
      <c r="BG107" s="268" t="n"/>
      <c r="BH107" s="268" t="n"/>
      <c r="BI107" s="268" t="n"/>
      <c r="BJ107" s="268" t="n"/>
      <c r="BK107" s="268" t="n"/>
      <c r="BL107" s="268" t="n"/>
      <c r="BM107" s="268" t="n"/>
      <c r="BN107" s="268" t="n"/>
      <c r="BO107" s="268" t="n"/>
      <c r="BP107" s="268" t="n"/>
      <c r="BQ107" s="268" t="n"/>
      <c r="BR107" s="268" t="n"/>
      <c r="BS107" s="268" t="n"/>
      <c r="BT107" s="268" t="n"/>
      <c r="BU107" s="268" t="n"/>
      <c r="BV107" s="268" t="n"/>
      <c r="BW107" s="268" t="n"/>
      <c r="BX107" s="268" t="n"/>
      <c r="BY107" s="268" t="n"/>
      <c r="BZ107" s="268" t="n"/>
      <c r="CA107" s="268" t="n"/>
      <c r="CB107" s="268" t="n"/>
      <c r="CC107" s="268" t="n"/>
      <c r="CD107" s="268" t="n"/>
      <c r="CE107" s="268" t="n"/>
      <c r="CF107" s="268" t="n"/>
      <c r="CG107" s="268" t="n"/>
      <c r="CH107" s="268" t="n"/>
      <c r="CI107" s="268" t="n"/>
      <c r="CJ107" s="268" t="n"/>
      <c r="CK107" s="268" t="n"/>
      <c r="CL107" s="268" t="n"/>
      <c r="CM107" s="268" t="n"/>
      <c r="CN107" s="268" t="n"/>
      <c r="CO107" s="268" t="n"/>
      <c r="CP107" s="268" t="n"/>
      <c r="CQ107" s="268" t="n"/>
      <c r="CR107" s="268" t="n"/>
      <c r="CS107" s="268" t="n"/>
      <c r="CT107" s="268" t="n"/>
      <c r="CU107" s="268" t="n"/>
      <c r="CV107" s="268" t="n"/>
      <c r="CW107" s="268" t="n"/>
      <c r="CX107" s="268" t="n"/>
      <c r="CY107" s="268" t="n"/>
    </row>
    <row r="108" hidden="1" outlineLevel="1" ht="12.75" customHeight="1" s="255">
      <c r="C108" s="312" t="inlineStr">
        <is>
          <t>RECEITAS FINANCEIRAS - Atualização de contas a pagar por aquisição de empresas</t>
        </is>
      </c>
      <c r="D108" s="268" t="n"/>
      <c r="E108" s="268" t="n"/>
      <c r="F108" s="268" t="n"/>
      <c r="G108" s="268" t="n"/>
      <c r="H108" s="268" t="n"/>
      <c r="I108" s="268" t="n"/>
      <c r="J108" s="268" t="n"/>
      <c r="K108" s="268" t="n"/>
      <c r="L108" s="268" t="n"/>
      <c r="M108" s="268" t="n"/>
      <c r="N108" s="268" t="n"/>
      <c r="O108" s="268" t="n"/>
      <c r="P108" s="268" t="n"/>
      <c r="Q108" s="268" t="n"/>
      <c r="R108" s="268" t="n"/>
      <c r="S108" s="268" t="n"/>
      <c r="T108" s="268" t="n"/>
      <c r="U108" s="268" t="n"/>
      <c r="V108" s="268" t="n"/>
      <c r="W108" s="268" t="n"/>
      <c r="X108" s="268" t="n"/>
      <c r="Y108" s="268" t="n"/>
      <c r="Z108" s="268" t="n"/>
      <c r="AA108" s="268" t="n"/>
      <c r="AB108" s="268" t="n"/>
      <c r="AC108" s="268" t="n"/>
      <c r="AD108" s="268" t="n"/>
      <c r="AE108" s="268" t="n"/>
      <c r="AF108" s="268" t="n"/>
      <c r="AG108" s="268" t="n"/>
      <c r="AH108" s="268" t="n"/>
      <c r="AI108" s="268" t="n"/>
      <c r="AJ108" s="268" t="n"/>
      <c r="AK108" s="268" t="n"/>
      <c r="AL108" s="268" t="n"/>
      <c r="AM108" s="268" t="n"/>
      <c r="AN108" s="268" t="n"/>
      <c r="AO108" s="268" t="n"/>
      <c r="AP108" s="268" t="n"/>
      <c r="AQ108" s="268" t="n"/>
      <c r="AR108" s="268" t="n"/>
      <c r="AS108" s="268" t="n"/>
      <c r="AT108" s="268" t="n"/>
      <c r="AU108" s="268" t="n"/>
      <c r="AV108" s="268" t="n"/>
      <c r="AW108" s="268" t="n"/>
      <c r="AX108" s="268" t="n"/>
      <c r="AY108" s="268" t="n"/>
      <c r="AZ108" s="268" t="n"/>
      <c r="BA108" s="268" t="n"/>
      <c r="BB108" s="268" t="n"/>
      <c r="BC108" s="268" t="n"/>
      <c r="BD108" s="268" t="n"/>
      <c r="BE108" s="268" t="n"/>
      <c r="BF108" s="268" t="n"/>
      <c r="BG108" s="268" t="n"/>
      <c r="BH108" s="268" t="n"/>
      <c r="BI108" s="268" t="n"/>
      <c r="BJ108" s="268" t="n"/>
      <c r="BK108" s="268" t="n"/>
      <c r="BL108" s="268" t="n"/>
      <c r="BM108" s="268" t="n"/>
      <c r="BN108" s="268" t="n"/>
      <c r="BO108" s="268" t="n"/>
      <c r="BP108" s="268" t="n"/>
      <c r="BQ108" s="268" t="n"/>
      <c r="BR108" s="268" t="n"/>
      <c r="BS108" s="268" t="n"/>
      <c r="BT108" s="268" t="n"/>
      <c r="BU108" s="268" t="n"/>
      <c r="BV108" s="268" t="n"/>
      <c r="BW108" s="268" t="n"/>
      <c r="BX108" s="268" t="n"/>
      <c r="BY108" s="268" t="n"/>
      <c r="BZ108" s="268" t="n"/>
      <c r="CA108" s="268" t="n"/>
      <c r="CB108" s="268" t="n"/>
      <c r="CC108" s="268" t="n"/>
      <c r="CD108" s="268" t="n"/>
      <c r="CE108" s="268" t="n"/>
      <c r="CF108" s="268" t="n"/>
      <c r="CG108" s="268" t="n"/>
      <c r="CH108" s="268" t="n"/>
      <c r="CI108" s="268" t="n"/>
      <c r="CJ108" s="268" t="n"/>
      <c r="CK108" s="268" t="n"/>
      <c r="CL108" s="268" t="n"/>
      <c r="CM108" s="268" t="n"/>
      <c r="CN108" s="268" t="n"/>
      <c r="CO108" s="268" t="n"/>
      <c r="CP108" s="268" t="n"/>
      <c r="CQ108" s="268" t="n"/>
      <c r="CR108" s="268" t="n"/>
      <c r="CS108" s="268" t="n"/>
      <c r="CT108" s="268" t="n"/>
      <c r="CU108" s="268" t="n"/>
      <c r="CV108" s="268" t="n"/>
      <c r="CW108" s="268" t="n"/>
      <c r="CX108" s="268" t="n"/>
      <c r="CY108" s="268" t="n"/>
    </row>
    <row r="109" hidden="1" outlineLevel="1" ht="12.75" customHeight="1" s="255">
      <c r="C109" s="312" t="inlineStr">
        <is>
          <t>RECEITAS FINANCEIRAS - Resultado positivo com instrumentos derivativos</t>
        </is>
      </c>
      <c r="D109" s="268" t="n"/>
      <c r="E109" s="268" t="n"/>
      <c r="F109" s="268" t="n"/>
      <c r="G109" s="268" t="n"/>
      <c r="H109" s="268" t="n"/>
      <c r="I109" s="268" t="n"/>
      <c r="J109" s="268" t="n"/>
      <c r="K109" s="268" t="n"/>
      <c r="L109" s="268" t="n"/>
      <c r="M109" s="268" t="n"/>
      <c r="N109" s="268" t="n"/>
      <c r="O109" s="268" t="n"/>
      <c r="P109" s="268" t="n"/>
      <c r="Q109" s="268" t="n"/>
      <c r="R109" s="268" t="n"/>
      <c r="S109" s="268" t="n"/>
      <c r="T109" s="268" t="n"/>
      <c r="U109" s="268" t="n"/>
      <c r="V109" s="268" t="n"/>
      <c r="W109" s="268" t="n"/>
      <c r="X109" s="268" t="n"/>
      <c r="Y109" s="268" t="n"/>
      <c r="Z109" s="268" t="n"/>
      <c r="AA109" s="268" t="n"/>
      <c r="AB109" s="268" t="n"/>
      <c r="AC109" s="268" t="n"/>
      <c r="AD109" s="268" t="n"/>
      <c r="AE109" s="268" t="n"/>
      <c r="AF109" s="268" t="n"/>
      <c r="AG109" s="268" t="n"/>
      <c r="AH109" s="268" t="n"/>
      <c r="AI109" s="268" t="n"/>
      <c r="AJ109" s="268" t="n"/>
      <c r="AK109" s="268" t="n"/>
      <c r="AL109" s="268" t="n"/>
      <c r="AM109" s="268" t="n"/>
      <c r="AN109" s="268" t="n"/>
      <c r="AO109" s="268" t="n"/>
      <c r="AP109" s="268" t="n"/>
      <c r="AQ109" s="268" t="n"/>
      <c r="AR109" s="268" t="n"/>
      <c r="AS109" s="268" t="n"/>
      <c r="AT109" s="268" t="n"/>
      <c r="AU109" s="268" t="n"/>
      <c r="AV109" s="268" t="n"/>
      <c r="AW109" s="268" t="n"/>
      <c r="AX109" s="268" t="n"/>
      <c r="AY109" s="268" t="n"/>
      <c r="AZ109" s="268" t="n"/>
      <c r="BA109" s="268" t="n"/>
      <c r="BB109" s="268" t="n"/>
      <c r="BC109" s="268" t="n"/>
      <c r="BD109" s="268" t="n"/>
      <c r="BE109" s="268" t="n"/>
      <c r="BF109" s="268" t="n"/>
      <c r="BG109" s="268" t="n"/>
      <c r="BH109" s="268" t="n"/>
      <c r="BI109" s="268" t="n"/>
      <c r="BJ109" s="268" t="n"/>
      <c r="BK109" s="268" t="n"/>
      <c r="BL109" s="268" t="n"/>
      <c r="BM109" s="268" t="n"/>
      <c r="BN109" s="268" t="n"/>
      <c r="BO109" s="268" t="n"/>
      <c r="BP109" s="268" t="n"/>
      <c r="BQ109" s="268" t="n"/>
      <c r="BR109" s="268" t="n"/>
      <c r="BS109" s="268" t="n"/>
      <c r="BT109" s="268" t="n"/>
      <c r="BU109" s="268" t="n"/>
      <c r="BV109" s="268" t="n"/>
      <c r="BW109" s="268" t="n"/>
      <c r="BX109" s="268" t="n"/>
      <c r="BY109" s="268" t="n"/>
      <c r="BZ109" s="268" t="n"/>
      <c r="CA109" s="268" t="n"/>
      <c r="CB109" s="268" t="n"/>
      <c r="CC109" s="268" t="n"/>
      <c r="CD109" s="268" t="n"/>
      <c r="CE109" s="268" t="n"/>
      <c r="CF109" s="268" t="n"/>
      <c r="CG109" s="268" t="n"/>
      <c r="CH109" s="268" t="n"/>
      <c r="CI109" s="268" t="n"/>
      <c r="CJ109" s="268" t="n"/>
      <c r="CK109" s="268" t="n"/>
      <c r="CL109" s="268" t="n"/>
      <c r="CM109" s="268" t="n"/>
      <c r="CN109" s="268" t="n"/>
      <c r="CO109" s="268" t="n"/>
      <c r="CP109" s="268" t="n"/>
      <c r="CQ109" s="268" t="n"/>
      <c r="CR109" s="268" t="n"/>
      <c r="CS109" s="268" t="n"/>
      <c r="CT109" s="268" t="n"/>
      <c r="CU109" s="268" t="n"/>
      <c r="CV109" s="268" t="n"/>
      <c r="CW109" s="268" t="n"/>
      <c r="CX109" s="268" t="n"/>
      <c r="CY109" s="268" t="n"/>
    </row>
    <row r="110" hidden="1" outlineLevel="1" ht="12.75" customHeight="1" s="255">
      <c r="C110" s="312" t="inlineStr">
        <is>
          <t>RECEITAS FINANCEIRAS - Descontos obtidos de fornecedores por antecipação</t>
        </is>
      </c>
      <c r="D110" s="268" t="n"/>
      <c r="E110" s="268" t="n"/>
      <c r="F110" s="268" t="n"/>
      <c r="G110" s="268" t="n"/>
      <c r="H110" s="268" t="n"/>
      <c r="I110" s="268" t="n"/>
      <c r="J110" s="268" t="n"/>
      <c r="K110" s="268" t="n"/>
      <c r="L110" s="268" t="n"/>
      <c r="M110" s="268" t="n"/>
      <c r="N110" s="268" t="n"/>
      <c r="O110" s="268" t="n"/>
      <c r="P110" s="268" t="n"/>
      <c r="Q110" s="268" t="n"/>
      <c r="R110" s="268" t="n"/>
      <c r="S110" s="268" t="n"/>
      <c r="T110" s="268" t="n"/>
      <c r="U110" s="268" t="n"/>
      <c r="V110" s="268" t="n"/>
      <c r="W110" s="268" t="n"/>
      <c r="X110" s="268" t="n"/>
      <c r="Y110" s="268" t="n"/>
      <c r="Z110" s="268" t="n"/>
      <c r="AA110" s="268" t="n"/>
      <c r="AB110" s="268" t="n"/>
      <c r="AC110" s="268" t="n"/>
      <c r="AD110" s="268" t="n"/>
      <c r="AE110" s="268" t="n"/>
      <c r="AF110" s="268" t="n"/>
      <c r="AG110" s="268" t="n"/>
      <c r="AH110" s="268" t="n"/>
      <c r="AI110" s="268" t="n"/>
      <c r="AJ110" s="268" t="n"/>
      <c r="AK110" s="268" t="n"/>
      <c r="AL110" s="268" t="n"/>
      <c r="AM110" s="268" t="n"/>
      <c r="AN110" s="268" t="n"/>
      <c r="AO110" s="268" t="n"/>
      <c r="AP110" s="268" t="n"/>
      <c r="AQ110" s="268" t="n"/>
      <c r="AR110" s="268" t="n"/>
      <c r="AS110" s="268" t="n"/>
      <c r="AT110" s="268" t="n"/>
      <c r="AU110" s="268" t="n"/>
      <c r="AV110" s="268" t="n"/>
      <c r="AW110" s="268" t="n"/>
      <c r="AX110" s="268" t="n"/>
      <c r="AY110" s="268" t="n"/>
      <c r="AZ110" s="268" t="n"/>
      <c r="BA110" s="268" t="n"/>
      <c r="BB110" s="268" t="n"/>
      <c r="BC110" s="268" t="n"/>
      <c r="BD110" s="268" t="n"/>
      <c r="BE110" s="268" t="n"/>
      <c r="BF110" s="268" t="n"/>
      <c r="BG110" s="268" t="n"/>
      <c r="BH110" s="268" t="n"/>
      <c r="BI110" s="268" t="n"/>
      <c r="BJ110" s="268" t="n"/>
      <c r="BK110" s="268" t="n"/>
      <c r="BL110" s="268" t="n"/>
      <c r="BM110" s="268" t="n"/>
      <c r="BN110" s="268" t="n"/>
      <c r="BO110" s="268" t="n"/>
      <c r="BP110" s="268" t="n"/>
      <c r="BQ110" s="268" t="n"/>
      <c r="BR110" s="268" t="n"/>
      <c r="BS110" s="268" t="n"/>
      <c r="BT110" s="268" t="n"/>
      <c r="BU110" s="268" t="n"/>
      <c r="BV110" s="268" t="n"/>
      <c r="BW110" s="268" t="n"/>
      <c r="BX110" s="268" t="n"/>
      <c r="BY110" s="268" t="n"/>
      <c r="BZ110" s="268" t="n"/>
      <c r="CA110" s="268" t="n"/>
      <c r="CB110" s="268" t="n"/>
      <c r="CC110" s="268" t="n"/>
      <c r="CD110" s="268" t="n"/>
      <c r="CE110" s="268" t="n"/>
      <c r="CF110" s="268" t="n"/>
      <c r="CG110" s="268" t="n"/>
      <c r="CH110" s="268" t="n"/>
      <c r="CI110" s="268" t="n"/>
      <c r="CJ110" s="268" t="n"/>
      <c r="CK110" s="268" t="n"/>
      <c r="CL110" s="268" t="n"/>
      <c r="CM110" s="268" t="n"/>
      <c r="CN110" s="268" t="n"/>
      <c r="CO110" s="268" t="n"/>
      <c r="CP110" s="268" t="n"/>
      <c r="CQ110" s="268" t="n"/>
      <c r="CR110" s="268" t="n"/>
      <c r="CS110" s="268" t="n"/>
      <c r="CT110" s="268" t="n"/>
      <c r="CU110" s="268" t="n"/>
      <c r="CV110" s="268" t="n"/>
      <c r="CW110" s="268" t="n"/>
      <c r="CX110" s="268" t="n"/>
      <c r="CY110" s="268" t="n"/>
    </row>
    <row r="111" hidden="1" outlineLevel="1" ht="12.75" customHeight="1" s="255">
      <c r="C111" s="312" t="inlineStr">
        <is>
          <t>RECEITAS FINANCEIRAS - Atualização monetária sobre Exclusão ICMS da base de PIS/COFINS (nota explicativa nº 7)</t>
        </is>
      </c>
      <c r="D111" s="268" t="n"/>
      <c r="E111" s="268" t="n"/>
      <c r="F111" s="268" t="n"/>
      <c r="G111" s="268" t="n"/>
      <c r="H111" s="268" t="n"/>
      <c r="I111" s="268" t="n"/>
      <c r="J111" s="268" t="n"/>
      <c r="K111" s="268" t="n"/>
      <c r="L111" s="268" t="n"/>
      <c r="M111" s="268" t="n"/>
      <c r="N111" s="268" t="n"/>
      <c r="O111" s="268" t="n"/>
      <c r="P111" s="268" t="n"/>
      <c r="Q111" s="268" t="n"/>
      <c r="R111" s="268" t="n"/>
      <c r="S111" s="268" t="n"/>
      <c r="T111" s="268" t="n"/>
      <c r="U111" s="268" t="n"/>
      <c r="V111" s="268" t="n"/>
      <c r="W111" s="268" t="n"/>
      <c r="X111" s="268" t="n"/>
      <c r="Y111" s="268" t="n"/>
      <c r="Z111" s="268" t="n"/>
      <c r="AA111" s="268" t="n"/>
      <c r="AB111" s="268" t="n"/>
      <c r="AC111" s="268" t="n"/>
      <c r="AD111" s="268" t="n"/>
      <c r="AE111" s="268" t="n"/>
      <c r="AF111" s="268" t="n"/>
      <c r="AG111" s="268" t="n"/>
      <c r="AH111" s="268" t="n"/>
      <c r="AI111" s="268" t="n"/>
      <c r="AJ111" s="268" t="n"/>
      <c r="AK111" s="268" t="n"/>
      <c r="AL111" s="268" t="n"/>
      <c r="AM111" s="268" t="n"/>
      <c r="AN111" s="268" t="n"/>
      <c r="AO111" s="268" t="n"/>
      <c r="AP111" s="268" t="n"/>
      <c r="AQ111" s="268" t="n"/>
      <c r="AR111" s="268" t="n"/>
      <c r="AS111" s="268" t="n"/>
      <c r="AT111" s="268" t="n"/>
      <c r="AU111" s="268" t="n"/>
      <c r="AV111" s="268" t="n"/>
      <c r="AW111" s="268" t="n"/>
      <c r="AX111" s="268" t="n"/>
      <c r="AY111" s="268" t="n"/>
      <c r="AZ111" s="268" t="n"/>
      <c r="BA111" s="268" t="n"/>
      <c r="BB111" s="268" t="n"/>
      <c r="BC111" s="268" t="n"/>
      <c r="BD111" s="268" t="n"/>
      <c r="BE111" s="268" t="n"/>
      <c r="BF111" s="268" t="n"/>
      <c r="BG111" s="268" t="n"/>
      <c r="BH111" s="268" t="n"/>
      <c r="BI111" s="268" t="n"/>
      <c r="BJ111" s="268" t="n"/>
      <c r="BK111" s="268" t="n"/>
      <c r="BL111" s="268" t="n"/>
      <c r="BM111" s="268" t="n"/>
      <c r="BN111" s="268" t="n"/>
      <c r="BO111" s="268" t="n"/>
      <c r="BP111" s="268" t="n"/>
      <c r="BQ111" s="268" t="n"/>
      <c r="BR111" s="268" t="n"/>
      <c r="BS111" s="268" t="n"/>
      <c r="BT111" s="268" t="n"/>
      <c r="BU111" s="268" t="n"/>
      <c r="BV111" s="268" t="n"/>
      <c r="BW111" s="268" t="n"/>
      <c r="BX111" s="268" t="n"/>
      <c r="BY111" s="268" t="n"/>
      <c r="BZ111" s="268" t="n"/>
      <c r="CA111" s="268" t="n"/>
      <c r="CB111" s="268" t="n"/>
      <c r="CC111" s="268" t="n"/>
      <c r="CD111" s="268" t="n"/>
      <c r="CE111" s="268" t="n"/>
      <c r="CF111" s="268" t="n"/>
      <c r="CG111" s="268" t="n"/>
      <c r="CH111" s="268" t="n"/>
      <c r="CI111" s="268" t="n"/>
      <c r="CJ111" s="268" t="n"/>
      <c r="CK111" s="268" t="n"/>
      <c r="CL111" s="268" t="n"/>
      <c r="CM111" s="268" t="n"/>
      <c r="CN111" s="268" t="n"/>
      <c r="CO111" s="268" t="n"/>
      <c r="CP111" s="268" t="n"/>
      <c r="CQ111" s="268" t="n"/>
      <c r="CR111" s="268" t="n"/>
      <c r="CS111" s="268" t="n"/>
      <c r="CT111" s="268" t="n"/>
      <c r="CU111" s="268" t="n"/>
      <c r="CV111" s="268" t="n"/>
      <c r="CW111" s="268" t="n"/>
      <c r="CX111" s="268" t="n"/>
      <c r="CY111" s="268" t="n"/>
    </row>
    <row r="112" hidden="1" outlineLevel="1" ht="12.75" customHeight="1" s="255">
      <c r="C112" s="312" t="inlineStr">
        <is>
          <t>RECEITAS FINANCEIRAS - Outras</t>
        </is>
      </c>
      <c r="D112" s="268" t="n"/>
      <c r="E112" s="268" t="n"/>
      <c r="F112" s="268" t="n"/>
      <c r="G112" s="268" t="n"/>
      <c r="H112" s="268" t="n"/>
      <c r="I112" s="268" t="n"/>
      <c r="J112" s="268" t="n"/>
      <c r="K112" s="268" t="n"/>
      <c r="L112" s="268" t="n"/>
      <c r="M112" s="268" t="n"/>
      <c r="N112" s="268" t="n"/>
      <c r="O112" s="268" t="n"/>
      <c r="P112" s="268" t="n"/>
      <c r="Q112" s="268" t="n"/>
      <c r="R112" s="268" t="n"/>
      <c r="S112" s="268" t="n"/>
      <c r="T112" s="268" t="n"/>
      <c r="U112" s="268" t="n"/>
      <c r="V112" s="268" t="n"/>
      <c r="W112" s="268" t="n"/>
      <c r="X112" s="268" t="n"/>
      <c r="Y112" s="268" t="n"/>
      <c r="Z112" s="268" t="n"/>
      <c r="AA112" s="268" t="n"/>
      <c r="AB112" s="268" t="n"/>
      <c r="AC112" s="268" t="n"/>
      <c r="AD112" s="268" t="n"/>
      <c r="AE112" s="268" t="n"/>
      <c r="AF112" s="268" t="n"/>
      <c r="AG112" s="268" t="n"/>
      <c r="AH112" s="268" t="n"/>
      <c r="AI112" s="268" t="n"/>
      <c r="AJ112" s="268" t="n"/>
      <c r="AK112" s="268" t="n"/>
      <c r="AL112" s="268" t="n"/>
      <c r="AM112" s="268" t="n"/>
      <c r="AN112" s="268" t="n"/>
      <c r="AO112" s="268" t="n"/>
      <c r="AP112" s="268" t="n"/>
      <c r="AQ112" s="268" t="n"/>
      <c r="AR112" s="268" t="n"/>
      <c r="AS112" s="268" t="n"/>
      <c r="AT112" s="268" t="n"/>
      <c r="AU112" s="268" t="n"/>
      <c r="AV112" s="268" t="n"/>
      <c r="AW112" s="268" t="n"/>
      <c r="AX112" s="268" t="n"/>
      <c r="AY112" s="268" t="n"/>
      <c r="AZ112" s="268" t="n"/>
      <c r="BA112" s="268" t="n"/>
      <c r="BB112" s="268" t="n"/>
      <c r="BC112" s="268" t="n"/>
      <c r="BD112" s="268" t="n"/>
      <c r="BE112" s="268" t="n"/>
      <c r="BF112" s="268" t="n"/>
      <c r="BG112" s="268" t="n"/>
      <c r="BH112" s="268" t="n"/>
      <c r="BI112" s="268" t="n"/>
      <c r="BJ112" s="268" t="n"/>
      <c r="BK112" s="268" t="n"/>
      <c r="BL112" s="268" t="n"/>
      <c r="BM112" s="268" t="n"/>
      <c r="BN112" s="268" t="n"/>
      <c r="BO112" s="268" t="n"/>
      <c r="BP112" s="268" t="n"/>
      <c r="BQ112" s="268" t="n"/>
      <c r="BR112" s="268" t="n"/>
      <c r="BS112" s="268" t="n"/>
      <c r="BT112" s="268" t="n"/>
      <c r="BU112" s="268" t="n"/>
      <c r="BV112" s="268" t="n"/>
      <c r="BW112" s="268" t="n"/>
      <c r="BX112" s="268" t="n"/>
      <c r="BY112" s="268" t="n"/>
      <c r="BZ112" s="268" t="n"/>
      <c r="CA112" s="268" t="n"/>
      <c r="CB112" s="268" t="n"/>
      <c r="CC112" s="268" t="n"/>
      <c r="CD112" s="268" t="n"/>
      <c r="CE112" s="268" t="n"/>
      <c r="CF112" s="268" t="n"/>
      <c r="CG112" s="268" t="n"/>
      <c r="CH112" s="268" t="n"/>
      <c r="CI112" s="268" t="n"/>
      <c r="CJ112" s="268" t="n"/>
      <c r="CK112" s="268" t="n"/>
      <c r="CL112" s="268" t="n"/>
      <c r="CM112" s="268" t="n"/>
      <c r="CN112" s="268" t="n"/>
      <c r="CO112" s="268" t="n"/>
      <c r="CP112" s="268" t="n"/>
      <c r="CQ112" s="268" t="n"/>
      <c r="CR112" s="268" t="n"/>
      <c r="CS112" s="268" t="n"/>
      <c r="CT112" s="268" t="n"/>
      <c r="CU112" s="268" t="n"/>
      <c r="CV112" s="268" t="n"/>
      <c r="CW112" s="268" t="n"/>
      <c r="CX112" s="268" t="n"/>
      <c r="CY112" s="268" t="n"/>
    </row>
    <row r="113" hidden="1" outlineLevel="1" ht="12.75" customHeight="1" s="255">
      <c r="C113" s="312" t="n"/>
      <c r="D113" s="268" t="n"/>
      <c r="E113" s="268" t="n"/>
      <c r="F113" s="268" t="n"/>
      <c r="G113" s="268" t="n"/>
      <c r="H113" s="268" t="n"/>
      <c r="I113" s="268" t="n"/>
      <c r="J113" s="268" t="n"/>
      <c r="K113" s="268" t="n"/>
      <c r="L113" s="268" t="n"/>
      <c r="M113" s="268" t="n"/>
      <c r="N113" s="268" t="n"/>
      <c r="O113" s="268" t="n"/>
      <c r="P113" s="268" t="n"/>
      <c r="Q113" s="268" t="n"/>
      <c r="R113" s="268" t="n"/>
      <c r="S113" s="268" t="n"/>
      <c r="T113" s="268" t="n"/>
      <c r="U113" s="268" t="n"/>
      <c r="V113" s="268" t="n"/>
      <c r="W113" s="268" t="n"/>
      <c r="X113" s="268" t="n"/>
      <c r="Y113" s="268" t="n"/>
      <c r="Z113" s="268" t="n"/>
      <c r="AA113" s="268" t="n"/>
      <c r="AB113" s="268" t="n"/>
      <c r="AC113" s="268" t="n"/>
      <c r="AD113" s="268" t="n"/>
      <c r="AE113" s="268" t="n"/>
      <c r="AF113" s="268" t="n"/>
      <c r="AG113" s="268" t="n"/>
      <c r="AH113" s="268" t="n"/>
      <c r="AI113" s="268" t="n"/>
      <c r="AJ113" s="268" t="n"/>
      <c r="AK113" s="268" t="n"/>
      <c r="AL113" s="268" t="n"/>
      <c r="AM113" s="268" t="n"/>
      <c r="AN113" s="268" t="n"/>
      <c r="AO113" s="268" t="n"/>
      <c r="AP113" s="268" t="n"/>
      <c r="AQ113" s="268" t="n"/>
      <c r="AR113" s="268" t="n"/>
      <c r="AS113" s="268" t="n"/>
      <c r="AT113" s="268" t="n"/>
      <c r="AU113" s="268" t="n"/>
      <c r="AV113" s="268" t="n"/>
      <c r="AW113" s="268" t="n"/>
      <c r="AX113" s="268" t="n"/>
      <c r="AY113" s="268" t="n"/>
      <c r="AZ113" s="268" t="n"/>
      <c r="BA113" s="268" t="n"/>
      <c r="BB113" s="268" t="n"/>
      <c r="BC113" s="268" t="n"/>
      <c r="BD113" s="268" t="n"/>
      <c r="BE113" s="268" t="n"/>
      <c r="BF113" s="268" t="n"/>
      <c r="BG113" s="268" t="n"/>
      <c r="BH113" s="268" t="n"/>
      <c r="BI113" s="268" t="n"/>
      <c r="BJ113" s="268" t="n"/>
      <c r="BK113" s="268" t="n"/>
      <c r="BL113" s="268" t="n"/>
      <c r="BM113" s="268" t="n"/>
      <c r="BN113" s="268" t="n"/>
      <c r="BO113" s="268" t="n"/>
      <c r="BP113" s="268" t="n"/>
      <c r="BQ113" s="268" t="n"/>
      <c r="BR113" s="268" t="n"/>
      <c r="BS113" s="268" t="n"/>
      <c r="BT113" s="268" t="n"/>
      <c r="BU113" s="268" t="n"/>
      <c r="BV113" s="268" t="n"/>
      <c r="BW113" s="268" t="n"/>
      <c r="BX113" s="268" t="n"/>
      <c r="BY113" s="268" t="n"/>
      <c r="BZ113" s="268" t="n"/>
      <c r="CA113" s="268" t="n"/>
      <c r="CB113" s="268" t="n"/>
      <c r="CC113" s="268" t="n"/>
      <c r="CD113" s="268" t="n"/>
      <c r="CE113" s="268" t="n"/>
      <c r="CF113" s="268" t="n"/>
      <c r="CG113" s="268" t="n"/>
      <c r="CH113" s="268" t="n"/>
      <c r="CI113" s="268" t="n"/>
      <c r="CJ113" s="268" t="n"/>
      <c r="CK113" s="268" t="n"/>
      <c r="CL113" s="268" t="n"/>
      <c r="CM113" s="268" t="n"/>
      <c r="CN113" s="268" t="n"/>
      <c r="CO113" s="268" t="n"/>
      <c r="CP113" s="268" t="n"/>
      <c r="CQ113" s="268" t="n"/>
      <c r="CR113" s="268" t="n"/>
      <c r="CS113" s="268" t="n"/>
      <c r="CT113" s="268" t="n"/>
      <c r="CU113" s="268" t="n"/>
      <c r="CV113" s="268" t="n"/>
      <c r="CW113" s="268" t="n"/>
      <c r="CX113" s="268" t="n"/>
      <c r="CY113" s="268" t="n"/>
    </row>
    <row r="114" hidden="1" outlineLevel="1" ht="12.75" customHeight="1" s="255">
      <c r="C114" s="312" t="inlineStr">
        <is>
          <t>DESPESAS FINANCEIRAS - Encargos sobre empréstimos, financiamentos e debêntures</t>
        </is>
      </c>
      <c r="D114" s="268" t="n"/>
      <c r="E114" s="268" t="n"/>
      <c r="F114" s="268" t="n"/>
      <c r="G114" s="268" t="n"/>
      <c r="H114" s="268" t="n"/>
      <c r="I114" s="268" t="n"/>
      <c r="J114" s="268" t="n"/>
      <c r="K114" s="268" t="n"/>
      <c r="L114" s="268" t="n"/>
      <c r="M114" s="268" t="n"/>
      <c r="N114" s="268" t="n"/>
      <c r="O114" s="268" t="n"/>
      <c r="P114" s="268" t="n"/>
      <c r="Q114" s="268" t="n"/>
      <c r="R114" s="268" t="n"/>
      <c r="S114" s="268" t="n"/>
      <c r="T114" s="268" t="n"/>
      <c r="U114" s="268" t="n"/>
      <c r="V114" s="268" t="n"/>
      <c r="W114" s="268" t="n"/>
      <c r="X114" s="268" t="n"/>
      <c r="Y114" s="268" t="n"/>
      <c r="Z114" s="268" t="n"/>
      <c r="AA114" s="268" t="n"/>
      <c r="AB114" s="268" t="n"/>
      <c r="AC114" s="268" t="n"/>
      <c r="AD114" s="268" t="n"/>
      <c r="AE114" s="268" t="n"/>
      <c r="AF114" s="268" t="n"/>
      <c r="AG114" s="268" t="n"/>
      <c r="AH114" s="268" t="n"/>
      <c r="AI114" s="268" t="n"/>
      <c r="AJ114" s="268" t="n"/>
      <c r="AK114" s="268" t="n"/>
      <c r="AL114" s="268" t="n"/>
      <c r="AM114" s="268" t="n"/>
      <c r="AN114" s="268" t="n"/>
      <c r="AO114" s="268" t="n"/>
      <c r="AP114" s="268" t="n"/>
      <c r="AQ114" s="268" t="n"/>
      <c r="AR114" s="268" t="n"/>
      <c r="AS114" s="268" t="n"/>
      <c r="AT114" s="268" t="n"/>
      <c r="AU114" s="268" t="n"/>
      <c r="AV114" s="268" t="n"/>
      <c r="AW114" s="268" t="n"/>
      <c r="AX114" s="268" t="n"/>
      <c r="AY114" s="268" t="n"/>
      <c r="AZ114" s="268" t="n"/>
      <c r="BA114" s="268" t="n"/>
      <c r="BB114" s="268" t="n"/>
      <c r="BC114" s="268" t="n"/>
      <c r="BD114" s="268" t="n"/>
      <c r="BE114" s="268" t="n"/>
      <c r="BF114" s="268" t="n"/>
      <c r="BG114" s="268" t="n"/>
      <c r="BH114" s="268" t="n"/>
      <c r="BI114" s="268" t="n"/>
      <c r="BJ114" s="268" t="n"/>
      <c r="BK114" s="268" t="n"/>
      <c r="BL114" s="268" t="n"/>
      <c r="BM114" s="268" t="n"/>
      <c r="BN114" s="268" t="n"/>
      <c r="BO114" s="268" t="n"/>
      <c r="BP114" s="268" t="n"/>
      <c r="BQ114" s="268" t="n"/>
      <c r="BR114" s="268" t="n"/>
      <c r="BS114" s="268" t="n"/>
      <c r="BT114" s="268" t="n"/>
      <c r="BU114" s="268" t="n"/>
      <c r="BV114" s="268" t="n"/>
      <c r="BW114" s="268" t="n"/>
      <c r="BX114" s="268" t="n"/>
      <c r="BY114" s="268" t="n"/>
      <c r="BZ114" s="268" t="n"/>
      <c r="CA114" s="268" t="n"/>
      <c r="CB114" s="268" t="n"/>
      <c r="CC114" s="268" t="n"/>
      <c r="CD114" s="268" t="n"/>
      <c r="CE114" s="268" t="n"/>
      <c r="CF114" s="268" t="n"/>
      <c r="CG114" s="268" t="n"/>
      <c r="CH114" s="268" t="n"/>
      <c r="CI114" s="268" t="n"/>
      <c r="CJ114" s="268" t="n"/>
      <c r="CK114" s="268" t="n"/>
      <c r="CL114" s="268" t="n"/>
      <c r="CM114" s="268" t="n"/>
      <c r="CN114" s="268" t="n"/>
      <c r="CO114" s="268" t="n"/>
      <c r="CP114" s="268" t="n"/>
      <c r="CQ114" s="268" t="n"/>
      <c r="CR114" s="268" t="n"/>
      <c r="CS114" s="268" t="n"/>
      <c r="CT114" s="268" t="n"/>
      <c r="CU114" s="268" t="n"/>
      <c r="CV114" s="268" t="n"/>
      <c r="CW114" s="268" t="n"/>
      <c r="CX114" s="268" t="n"/>
      <c r="CY114" s="268" t="n"/>
    </row>
    <row r="115" hidden="1" outlineLevel="1" ht="12.75" customHeight="1" s="255">
      <c r="C115" s="312" t="inlineStr">
        <is>
          <t>DESPESAS FINANCEIRAS - Variação cambial passiva</t>
        </is>
      </c>
      <c r="D115" s="268" t="n"/>
      <c r="E115" s="268" t="n"/>
      <c r="F115" s="268" t="n"/>
      <c r="G115" s="268" t="n"/>
      <c r="H115" s="268" t="n"/>
      <c r="I115" s="268" t="n"/>
      <c r="J115" s="268" t="n"/>
      <c r="K115" s="268" t="n"/>
      <c r="L115" s="268" t="n"/>
      <c r="M115" s="268" t="n"/>
      <c r="N115" s="268" t="n"/>
      <c r="O115" s="268" t="n"/>
      <c r="P115" s="268" t="n"/>
      <c r="Q115" s="268" t="n"/>
      <c r="R115" s="268" t="n"/>
      <c r="S115" s="268" t="n"/>
      <c r="T115" s="268" t="n"/>
      <c r="U115" s="268" t="n"/>
      <c r="V115" s="268" t="n"/>
      <c r="W115" s="268" t="n"/>
      <c r="X115" s="268" t="n"/>
      <c r="Y115" s="268" t="n"/>
      <c r="Z115" s="268" t="n"/>
      <c r="AA115" s="268" t="n"/>
      <c r="AB115" s="268" t="n"/>
      <c r="AC115" s="268" t="n"/>
      <c r="AD115" s="268" t="n"/>
      <c r="AE115" s="268" t="n"/>
      <c r="AF115" s="268" t="n"/>
      <c r="AG115" s="268" t="n"/>
      <c r="AH115" s="268" t="n"/>
      <c r="AI115" s="268" t="n"/>
      <c r="AJ115" s="268" t="n"/>
      <c r="AK115" s="268" t="n"/>
      <c r="AL115" s="268" t="n"/>
      <c r="AM115" s="268" t="n"/>
      <c r="AN115" s="268" t="n"/>
      <c r="AO115" s="268" t="n"/>
      <c r="AP115" s="268" t="n"/>
      <c r="AQ115" s="268" t="n"/>
      <c r="AR115" s="268" t="n"/>
      <c r="AS115" s="268" t="n"/>
      <c r="AT115" s="268" t="n"/>
      <c r="AU115" s="268" t="n"/>
      <c r="AV115" s="268" t="n"/>
      <c r="AW115" s="268" t="n"/>
      <c r="AX115" s="268" t="n"/>
      <c r="AY115" s="268" t="n"/>
      <c r="AZ115" s="268" t="n"/>
      <c r="BA115" s="268" t="n"/>
      <c r="BB115" s="268" t="n"/>
      <c r="BC115" s="268" t="n"/>
      <c r="BD115" s="268" t="n"/>
      <c r="BE115" s="268" t="n"/>
      <c r="BF115" s="268" t="n"/>
      <c r="BG115" s="268" t="n"/>
      <c r="BH115" s="268" t="n"/>
      <c r="BI115" s="268" t="n"/>
      <c r="BJ115" s="268" t="n"/>
      <c r="BK115" s="268" t="n"/>
      <c r="BL115" s="268" t="n"/>
      <c r="BM115" s="268" t="n"/>
      <c r="BN115" s="268" t="n"/>
      <c r="BO115" s="268" t="n"/>
      <c r="BP115" s="268" t="n"/>
      <c r="BQ115" s="268" t="n"/>
      <c r="BR115" s="268" t="n"/>
      <c r="BS115" s="268" t="n"/>
      <c r="BT115" s="268" t="n"/>
      <c r="BU115" s="268" t="n"/>
      <c r="BV115" s="268" t="n"/>
      <c r="BW115" s="268" t="n"/>
      <c r="BX115" s="268" t="n"/>
      <c r="BY115" s="268" t="n"/>
      <c r="BZ115" s="268" t="n"/>
      <c r="CA115" s="268" t="n"/>
      <c r="CB115" s="268" t="n"/>
      <c r="CC115" s="268" t="n"/>
      <c r="CD115" s="268" t="n"/>
      <c r="CE115" s="268" t="n"/>
      <c r="CF115" s="268" t="n"/>
      <c r="CG115" s="268" t="n"/>
      <c r="CH115" s="268" t="n"/>
      <c r="CI115" s="268" t="n"/>
      <c r="CJ115" s="268" t="n"/>
      <c r="CK115" s="268" t="n"/>
      <c r="CL115" s="268" t="n"/>
      <c r="CM115" s="268" t="n"/>
      <c r="CN115" s="268" t="n"/>
      <c r="CO115" s="268" t="n"/>
      <c r="CP115" s="268" t="n"/>
      <c r="CQ115" s="268" t="n"/>
      <c r="CR115" s="268" t="n"/>
      <c r="CS115" s="268" t="n"/>
      <c r="CT115" s="268" t="n"/>
      <c r="CU115" s="268" t="n"/>
      <c r="CV115" s="268" t="n"/>
      <c r="CW115" s="268" t="n"/>
      <c r="CX115" s="268" t="n"/>
      <c r="CY115" s="268" t="n"/>
    </row>
    <row r="116" hidden="1" outlineLevel="1" ht="12.75" customHeight="1" s="255">
      <c r="C116" s="312" t="inlineStr">
        <is>
          <t>DESPESAS FINANCEIRAS - Resultado negativo com instrumentos derivativos</t>
        </is>
      </c>
      <c r="D116" s="268" t="n"/>
      <c r="E116" s="268" t="n"/>
      <c r="F116" s="268" t="n"/>
      <c r="G116" s="268" t="n"/>
      <c r="H116" s="268" t="n"/>
      <c r="I116" s="268" t="n"/>
      <c r="J116" s="268" t="n"/>
      <c r="K116" s="268" t="n"/>
      <c r="L116" s="268" t="n"/>
      <c r="M116" s="268" t="n"/>
      <c r="N116" s="268" t="n"/>
      <c r="O116" s="268" t="n"/>
      <c r="P116" s="268" t="n"/>
      <c r="Q116" s="268" t="n"/>
      <c r="R116" s="268" t="n"/>
      <c r="S116" s="268" t="n"/>
      <c r="T116" s="268" t="n"/>
      <c r="U116" s="268" t="n"/>
      <c r="V116" s="268" t="n"/>
      <c r="W116" s="268" t="n"/>
      <c r="X116" s="268" t="n"/>
      <c r="Y116" s="268" t="n"/>
      <c r="Z116" s="268" t="n"/>
      <c r="AA116" s="268" t="n"/>
      <c r="AB116" s="268" t="n"/>
      <c r="AC116" s="268" t="n"/>
      <c r="AD116" s="268" t="n"/>
      <c r="AE116" s="268" t="n"/>
      <c r="AF116" s="268" t="n"/>
      <c r="AG116" s="268" t="n"/>
      <c r="AH116" s="268" t="n"/>
      <c r="AI116" s="268" t="n"/>
      <c r="AJ116" s="268" t="n"/>
      <c r="AK116" s="268" t="n"/>
      <c r="AL116" s="268" t="n"/>
      <c r="AM116" s="268" t="n"/>
      <c r="AN116" s="268" t="n"/>
      <c r="AO116" s="268" t="n"/>
      <c r="AP116" s="268" t="n"/>
      <c r="AQ116" s="268" t="n"/>
      <c r="AR116" s="268" t="n"/>
      <c r="AS116" s="268" t="n"/>
      <c r="AT116" s="268" t="n"/>
      <c r="AU116" s="268" t="n"/>
      <c r="AV116" s="268" t="n"/>
      <c r="AW116" s="268" t="n"/>
      <c r="AX116" s="268" t="n"/>
      <c r="AY116" s="268" t="n"/>
      <c r="AZ116" s="268" t="n"/>
      <c r="BA116" s="268" t="n"/>
      <c r="BB116" s="268" t="n"/>
      <c r="BC116" s="268" t="n"/>
      <c r="BD116" s="268" t="n"/>
      <c r="BE116" s="268" t="n"/>
      <c r="BF116" s="268" t="n"/>
      <c r="BG116" s="268" t="n"/>
      <c r="BH116" s="268" t="n"/>
      <c r="BI116" s="268" t="n"/>
      <c r="BJ116" s="268" t="n"/>
      <c r="BK116" s="268" t="n"/>
      <c r="BL116" s="268" t="n"/>
      <c r="BM116" s="268" t="n"/>
      <c r="BN116" s="268" t="n"/>
      <c r="BO116" s="268" t="n"/>
      <c r="BP116" s="268" t="n"/>
      <c r="BQ116" s="268" t="n"/>
      <c r="BR116" s="268" t="n"/>
      <c r="BS116" s="268" t="n"/>
      <c r="BT116" s="268" t="n"/>
      <c r="BU116" s="268" t="n"/>
      <c r="BV116" s="268" t="n"/>
      <c r="BW116" s="268" t="n"/>
      <c r="BX116" s="268" t="n"/>
      <c r="BY116" s="268" t="n"/>
      <c r="BZ116" s="268" t="n"/>
      <c r="CA116" s="268" t="n"/>
      <c r="CB116" s="268" t="n"/>
      <c r="CC116" s="268" t="n"/>
      <c r="CD116" s="268" t="n"/>
      <c r="CE116" s="268" t="n"/>
      <c r="CF116" s="268" t="n"/>
      <c r="CG116" s="268" t="n"/>
      <c r="CH116" s="268" t="n"/>
      <c r="CI116" s="268" t="n"/>
      <c r="CJ116" s="268" t="n"/>
      <c r="CK116" s="268" t="n"/>
      <c r="CL116" s="268" t="n"/>
      <c r="CM116" s="268" t="n"/>
      <c r="CN116" s="268" t="n"/>
      <c r="CO116" s="268" t="n"/>
      <c r="CP116" s="268" t="n"/>
      <c r="CQ116" s="268" t="n"/>
      <c r="CR116" s="268" t="n"/>
      <c r="CS116" s="268" t="n"/>
      <c r="CT116" s="268" t="n"/>
      <c r="CU116" s="268" t="n"/>
      <c r="CV116" s="268" t="n"/>
      <c r="CW116" s="268" t="n"/>
      <c r="CX116" s="268" t="n"/>
      <c r="CY116" s="268" t="n"/>
    </row>
    <row r="117" hidden="1" outlineLevel="1" ht="12.75" customHeight="1" s="255">
      <c r="C117" s="312" t="inlineStr">
        <is>
          <t>DESPESAS FINANCEIRAS - Juros sobre arrendamento - IFRS16</t>
        </is>
      </c>
      <c r="D117" s="268" t="n"/>
      <c r="E117" s="268" t="n"/>
      <c r="F117" s="268" t="n"/>
      <c r="G117" s="268" t="n"/>
      <c r="H117" s="268" t="n"/>
      <c r="I117" s="268" t="n"/>
      <c r="J117" s="268" t="n"/>
      <c r="K117" s="268" t="n"/>
      <c r="L117" s="268" t="n"/>
      <c r="M117" s="268" t="n"/>
      <c r="N117" s="268" t="n"/>
      <c r="O117" s="268" t="n"/>
      <c r="P117" s="268" t="n"/>
      <c r="Q117" s="268" t="n"/>
      <c r="R117" s="268" t="n"/>
      <c r="S117" s="268" t="n"/>
      <c r="T117" s="268" t="n"/>
      <c r="U117" s="268" t="n"/>
      <c r="V117" s="268" t="n"/>
      <c r="W117" s="268" t="n"/>
      <c r="X117" s="268" t="n"/>
      <c r="Y117" s="268" t="n"/>
      <c r="Z117" s="268" t="n"/>
      <c r="AA117" s="268" t="n"/>
      <c r="AB117" s="268" t="n"/>
      <c r="AC117" s="268" t="n"/>
      <c r="AD117" s="268" t="n"/>
      <c r="AE117" s="268" t="n"/>
      <c r="AF117" s="268" t="n"/>
      <c r="AG117" s="268" t="n"/>
      <c r="AH117" s="268" t="n"/>
      <c r="AI117" s="268" t="n"/>
      <c r="AJ117" s="268" t="n"/>
      <c r="AK117" s="268" t="n"/>
      <c r="AL117" s="268" t="n"/>
      <c r="AM117" s="268" t="n"/>
      <c r="AN117" s="268" t="n"/>
      <c r="AO117" s="268" t="n"/>
      <c r="AP117" s="268" t="n"/>
      <c r="AQ117" s="268" t="n"/>
      <c r="AR117" s="268" t="n"/>
      <c r="AS117" s="268" t="n"/>
      <c r="AT117" s="268" t="n"/>
      <c r="AU117" s="268" t="n"/>
      <c r="AV117" s="268" t="n"/>
      <c r="AW117" s="268" t="n"/>
      <c r="AX117" s="268" t="n"/>
      <c r="AY117" s="268" t="n"/>
      <c r="AZ117" s="268" t="n"/>
      <c r="BA117" s="268" t="n"/>
      <c r="BB117" s="268" t="n"/>
      <c r="BC117" s="268" t="n"/>
      <c r="BD117" s="268" t="n"/>
      <c r="BE117" s="268" t="n"/>
      <c r="BF117" s="268" t="n"/>
      <c r="BG117" s="268" t="n"/>
      <c r="BH117" s="268" t="n"/>
      <c r="BI117" s="268" t="n"/>
      <c r="BJ117" s="268" t="n"/>
      <c r="BK117" s="268" t="n"/>
      <c r="BL117" s="268" t="n"/>
      <c r="BM117" s="268" t="n"/>
      <c r="BN117" s="268" t="n"/>
      <c r="BO117" s="268" t="n"/>
      <c r="BP117" s="268" t="n"/>
      <c r="BQ117" s="268" t="n"/>
      <c r="BR117" s="268" t="n"/>
      <c r="BS117" s="268" t="n"/>
      <c r="BT117" s="268" t="n"/>
      <c r="BU117" s="268" t="n"/>
      <c r="BV117" s="268" t="n"/>
      <c r="BW117" s="268" t="n"/>
      <c r="BX117" s="268" t="n"/>
      <c r="BY117" s="268" t="n"/>
      <c r="BZ117" s="268" t="n"/>
      <c r="CA117" s="268" t="n"/>
      <c r="CB117" s="268" t="n"/>
      <c r="CC117" s="268" t="n"/>
      <c r="CD117" s="268" t="n"/>
      <c r="CE117" s="268" t="n"/>
      <c r="CF117" s="268" t="n"/>
      <c r="CG117" s="268" t="n"/>
      <c r="CH117" s="268" t="n"/>
      <c r="CI117" s="268" t="n"/>
      <c r="CJ117" s="268" t="n"/>
      <c r="CK117" s="268" t="n"/>
      <c r="CL117" s="268" t="n"/>
      <c r="CM117" s="268" t="n"/>
      <c r="CN117" s="268" t="n"/>
      <c r="CO117" s="268" t="n"/>
      <c r="CP117" s="268" t="n"/>
      <c r="CQ117" s="268" t="n"/>
      <c r="CR117" s="268" t="n"/>
      <c r="CS117" s="268" t="n"/>
      <c r="CT117" s="268" t="n"/>
      <c r="CU117" s="268" t="n"/>
      <c r="CV117" s="268" t="n"/>
      <c r="CW117" s="268" t="n"/>
      <c r="CX117" s="268" t="n"/>
      <c r="CY117" s="268" t="n"/>
    </row>
    <row r="118" hidden="1" outlineLevel="1" ht="12.75" customHeight="1" s="255">
      <c r="C118" s="312" t="inlineStr">
        <is>
          <t>DESPESAS FINANCEIRAS - Despesas bancárias</t>
        </is>
      </c>
      <c r="D118" s="268" t="n"/>
      <c r="E118" s="268" t="n"/>
      <c r="F118" s="268" t="n"/>
      <c r="G118" s="268" t="n"/>
      <c r="H118" s="268" t="n"/>
      <c r="I118" s="268" t="n"/>
      <c r="J118" s="268" t="n"/>
      <c r="K118" s="268" t="n"/>
      <c r="L118" s="268" t="n"/>
      <c r="M118" s="268" t="n"/>
      <c r="N118" s="268" t="n"/>
      <c r="O118" s="268" t="n"/>
      <c r="P118" s="268" t="n"/>
      <c r="Q118" s="268" t="n"/>
      <c r="R118" s="268" t="n"/>
      <c r="S118" s="268" t="n"/>
      <c r="T118" s="268" t="n"/>
      <c r="U118" s="268" t="n"/>
      <c r="V118" s="268" t="n"/>
      <c r="W118" s="268" t="n"/>
      <c r="X118" s="268" t="n"/>
      <c r="Y118" s="268" t="n"/>
      <c r="Z118" s="268" t="n"/>
      <c r="AA118" s="268" t="n"/>
      <c r="AB118" s="268" t="n"/>
      <c r="AC118" s="268" t="n"/>
      <c r="AD118" s="268" t="n"/>
      <c r="AE118" s="268" t="n"/>
      <c r="AF118" s="268" t="n"/>
      <c r="AG118" s="268" t="n"/>
      <c r="AH118" s="268" t="n"/>
      <c r="AI118" s="268" t="n"/>
      <c r="AJ118" s="268" t="n"/>
      <c r="AK118" s="268" t="n"/>
      <c r="AL118" s="268" t="n"/>
      <c r="AM118" s="268" t="n"/>
      <c r="AN118" s="268" t="n"/>
      <c r="AO118" s="268" t="n"/>
      <c r="AP118" s="268" t="n"/>
      <c r="AQ118" s="268" t="n"/>
      <c r="AR118" s="268" t="n"/>
      <c r="AS118" s="268" t="n"/>
      <c r="AT118" s="268" t="n"/>
      <c r="AU118" s="268" t="n"/>
      <c r="AV118" s="268" t="n"/>
      <c r="AW118" s="268" t="n"/>
      <c r="AX118" s="268" t="n"/>
      <c r="AY118" s="268" t="n"/>
      <c r="AZ118" s="268" t="n"/>
      <c r="BA118" s="268" t="n"/>
      <c r="BB118" s="268" t="n"/>
      <c r="BC118" s="268" t="n"/>
      <c r="BD118" s="268" t="n"/>
      <c r="BE118" s="268" t="n"/>
      <c r="BF118" s="268" t="n"/>
      <c r="BG118" s="268" t="n"/>
      <c r="BH118" s="268" t="n"/>
      <c r="BI118" s="268" t="n"/>
      <c r="BJ118" s="268" t="n"/>
      <c r="BK118" s="268" t="n"/>
      <c r="BL118" s="268" t="n"/>
      <c r="BM118" s="268" t="n"/>
      <c r="BN118" s="268" t="n"/>
      <c r="BO118" s="268" t="n"/>
      <c r="BP118" s="268" t="n"/>
      <c r="BQ118" s="268" t="n"/>
      <c r="BR118" s="268" t="n"/>
      <c r="BS118" s="268" t="n"/>
      <c r="BT118" s="268" t="n"/>
      <c r="BU118" s="268" t="n"/>
      <c r="BV118" s="268" t="n"/>
      <c r="BW118" s="268" t="n"/>
      <c r="BX118" s="268" t="n"/>
      <c r="BY118" s="268" t="n"/>
      <c r="BZ118" s="268" t="n"/>
      <c r="CA118" s="268" t="n"/>
      <c r="CB118" s="268" t="n"/>
      <c r="CC118" s="268" t="n"/>
      <c r="CD118" s="268" t="n"/>
      <c r="CE118" s="268" t="n"/>
      <c r="CF118" s="268" t="n"/>
      <c r="CG118" s="268" t="n"/>
      <c r="CH118" s="268" t="n"/>
      <c r="CI118" s="268" t="n"/>
      <c r="CJ118" s="268" t="n"/>
      <c r="CK118" s="268" t="n"/>
      <c r="CL118" s="268" t="n"/>
      <c r="CM118" s="268" t="n"/>
      <c r="CN118" s="268" t="n"/>
      <c r="CO118" s="268" t="n"/>
      <c r="CP118" s="268" t="n"/>
      <c r="CQ118" s="268" t="n"/>
      <c r="CR118" s="268" t="n"/>
      <c r="CS118" s="268" t="n"/>
      <c r="CT118" s="268" t="n"/>
      <c r="CU118" s="268" t="n"/>
      <c r="CV118" s="268" t="n"/>
      <c r="CW118" s="268" t="n"/>
      <c r="CX118" s="268" t="n"/>
      <c r="CY118" s="268" t="n"/>
    </row>
    <row r="119" hidden="1" outlineLevel="1" ht="12.75" customHeight="1" s="255">
      <c r="C119" s="312" t="inlineStr">
        <is>
          <t>DESPESAS FINANCEIRAS - Despesas com obtenção de empréstimos e financiamentos</t>
        </is>
      </c>
      <c r="D119" s="268" t="n"/>
      <c r="E119" s="268" t="n"/>
      <c r="F119" s="268" t="n"/>
      <c r="G119" s="268" t="n"/>
      <c r="H119" s="268" t="n"/>
      <c r="I119" s="268" t="n"/>
      <c r="J119" s="268" t="n"/>
      <c r="K119" s="268" t="n"/>
      <c r="L119" s="268" t="n"/>
      <c r="M119" s="268" t="n"/>
      <c r="N119" s="268" t="n"/>
      <c r="O119" s="268" t="n"/>
      <c r="P119" s="268" t="n"/>
      <c r="Q119" s="268" t="n"/>
      <c r="R119" s="268" t="n"/>
      <c r="S119" s="268" t="n"/>
      <c r="T119" s="268" t="n"/>
      <c r="U119" s="268" t="n"/>
      <c r="V119" s="268" t="n"/>
      <c r="W119" s="268" t="n"/>
      <c r="X119" s="268" t="n"/>
      <c r="Y119" s="268" t="n"/>
      <c r="Z119" s="268" t="n"/>
      <c r="AA119" s="268" t="n"/>
      <c r="AB119" s="268" t="n"/>
      <c r="AC119" s="268" t="n"/>
      <c r="AD119" s="268" t="n"/>
      <c r="AE119" s="268" t="n"/>
      <c r="AF119" s="268" t="n"/>
      <c r="AG119" s="268" t="n"/>
      <c r="AH119" s="268" t="n"/>
      <c r="AI119" s="268" t="n"/>
      <c r="AJ119" s="268" t="n"/>
      <c r="AK119" s="268" t="n"/>
      <c r="AL119" s="268" t="n"/>
      <c r="AM119" s="268" t="n"/>
      <c r="AN119" s="268" t="n"/>
      <c r="AO119" s="268" t="n"/>
      <c r="AP119" s="268" t="n"/>
      <c r="AQ119" s="268" t="n"/>
      <c r="AR119" s="268" t="n"/>
      <c r="AS119" s="268" t="n"/>
      <c r="AT119" s="268" t="n"/>
      <c r="AU119" s="268" t="n"/>
      <c r="AV119" s="268" t="n"/>
      <c r="AW119" s="268" t="n"/>
      <c r="AX119" s="268" t="n"/>
      <c r="AY119" s="268" t="n"/>
      <c r="AZ119" s="268" t="n"/>
      <c r="BA119" s="268" t="n"/>
      <c r="BB119" s="268" t="n"/>
      <c r="BC119" s="268" t="n"/>
      <c r="BD119" s="268" t="n"/>
      <c r="BE119" s="268" t="n"/>
      <c r="BF119" s="268" t="n"/>
      <c r="BG119" s="268" t="n"/>
      <c r="BH119" s="268" t="n"/>
      <c r="BI119" s="268" t="n"/>
      <c r="BJ119" s="268" t="n"/>
      <c r="BK119" s="268" t="n"/>
      <c r="BL119" s="268" t="n"/>
      <c r="BM119" s="268" t="n"/>
      <c r="BN119" s="268" t="n"/>
      <c r="BO119" s="268" t="n"/>
      <c r="BP119" s="268" t="n"/>
      <c r="BQ119" s="268" t="n"/>
      <c r="BR119" s="268" t="n"/>
      <c r="BS119" s="268" t="n"/>
      <c r="BT119" s="268" t="n"/>
      <c r="BU119" s="268" t="n"/>
      <c r="BV119" s="268" t="n"/>
      <c r="BW119" s="268" t="n"/>
      <c r="BX119" s="268" t="n"/>
      <c r="BY119" s="268" t="n"/>
      <c r="BZ119" s="268" t="n"/>
      <c r="CA119" s="268" t="n"/>
      <c r="CB119" s="268" t="n"/>
      <c r="CC119" s="268" t="n"/>
      <c r="CD119" s="268" t="n"/>
      <c r="CE119" s="268" t="n"/>
      <c r="CF119" s="268" t="n"/>
      <c r="CG119" s="268" t="n"/>
      <c r="CH119" s="268" t="n"/>
      <c r="CI119" s="268" t="n"/>
      <c r="CJ119" s="268" t="n"/>
      <c r="CK119" s="268" t="n"/>
      <c r="CL119" s="268" t="n"/>
      <c r="CM119" s="268" t="n"/>
      <c r="CN119" s="268" t="n"/>
      <c r="CO119" s="268" t="n"/>
      <c r="CP119" s="268" t="n"/>
      <c r="CQ119" s="268" t="n"/>
      <c r="CR119" s="268" t="n"/>
      <c r="CS119" s="268" t="n"/>
      <c r="CT119" s="268" t="n"/>
      <c r="CU119" s="268" t="n"/>
      <c r="CV119" s="268" t="n"/>
      <c r="CW119" s="268" t="n"/>
      <c r="CX119" s="268" t="n"/>
      <c r="CY119" s="268" t="n"/>
    </row>
    <row r="120" hidden="1" outlineLevel="1" ht="12.75" customHeight="1" s="255">
      <c r="C120" s="312" t="inlineStr">
        <is>
          <t>DESPESAS FINANCEIRAS - Atualização de contas a pagar por aquisição de empresas</t>
        </is>
      </c>
      <c r="D120" s="268" t="n"/>
      <c r="E120" s="268" t="n"/>
      <c r="F120" s="268" t="n"/>
      <c r="G120" s="268" t="n"/>
      <c r="H120" s="268" t="n"/>
      <c r="I120" s="268" t="n"/>
      <c r="J120" s="268" t="n"/>
      <c r="K120" s="268" t="n"/>
      <c r="L120" s="268" t="n"/>
      <c r="M120" s="268" t="n"/>
      <c r="N120" s="268" t="n"/>
      <c r="O120" s="268" t="n"/>
      <c r="P120" s="268" t="n"/>
      <c r="Q120" s="268" t="n"/>
      <c r="R120" s="268" t="n"/>
      <c r="S120" s="268" t="n"/>
      <c r="T120" s="268" t="n"/>
      <c r="U120" s="268" t="n"/>
      <c r="V120" s="268" t="n"/>
      <c r="W120" s="268" t="n"/>
      <c r="X120" s="268" t="n"/>
      <c r="Y120" s="268" t="n"/>
      <c r="Z120" s="268" t="n"/>
      <c r="AA120" s="268" t="n"/>
      <c r="AB120" s="268" t="n"/>
      <c r="AC120" s="268" t="n"/>
      <c r="AD120" s="268" t="n"/>
      <c r="AE120" s="268" t="n"/>
      <c r="AF120" s="268" t="n"/>
      <c r="AG120" s="268" t="n"/>
      <c r="AH120" s="268" t="n"/>
      <c r="AI120" s="268" t="n"/>
      <c r="AJ120" s="268" t="n"/>
      <c r="AK120" s="268" t="n"/>
      <c r="AL120" s="268" t="n"/>
      <c r="AM120" s="268" t="n"/>
      <c r="AN120" s="268" t="n"/>
      <c r="AO120" s="268" t="n"/>
      <c r="AP120" s="268" t="n"/>
      <c r="AQ120" s="268" t="n"/>
      <c r="AR120" s="268" t="n"/>
      <c r="AS120" s="268" t="n"/>
      <c r="AT120" s="268" t="n"/>
      <c r="AU120" s="268" t="n"/>
      <c r="AV120" s="268" t="n"/>
      <c r="AW120" s="268" t="n"/>
      <c r="AX120" s="268" t="n"/>
      <c r="AY120" s="268" t="n"/>
      <c r="AZ120" s="268" t="n"/>
      <c r="BA120" s="268" t="n"/>
      <c r="BB120" s="268" t="n"/>
      <c r="BC120" s="268" t="n"/>
      <c r="BD120" s="268" t="n"/>
      <c r="BE120" s="268" t="n"/>
      <c r="BF120" s="268" t="n"/>
      <c r="BG120" s="268" t="n"/>
      <c r="BH120" s="268" t="n"/>
      <c r="BI120" s="268" t="n"/>
      <c r="BJ120" s="268" t="n"/>
      <c r="BK120" s="268" t="n"/>
      <c r="BL120" s="268" t="n"/>
      <c r="BM120" s="268" t="n"/>
      <c r="BN120" s="268" t="n"/>
      <c r="BO120" s="268" t="n"/>
      <c r="BP120" s="268" t="n"/>
      <c r="BQ120" s="268" t="n"/>
      <c r="BR120" s="268" t="n"/>
      <c r="BS120" s="268" t="n"/>
      <c r="BT120" s="268" t="n"/>
      <c r="BU120" s="268" t="n"/>
      <c r="BV120" s="268" t="n"/>
      <c r="BW120" s="268" t="n"/>
      <c r="BX120" s="268" t="n"/>
      <c r="BY120" s="268" t="n"/>
      <c r="BZ120" s="268" t="n"/>
      <c r="CA120" s="268" t="n"/>
      <c r="CB120" s="268" t="n"/>
      <c r="CC120" s="268" t="n"/>
      <c r="CD120" s="268" t="n"/>
      <c r="CE120" s="268" t="n"/>
      <c r="CF120" s="268" t="n"/>
      <c r="CG120" s="268" t="n"/>
      <c r="CH120" s="268" t="n"/>
      <c r="CI120" s="268" t="n"/>
      <c r="CJ120" s="268" t="n"/>
      <c r="CK120" s="268" t="n"/>
      <c r="CL120" s="268" t="n"/>
      <c r="CM120" s="268" t="n"/>
      <c r="CN120" s="268" t="n"/>
      <c r="CO120" s="268" t="n"/>
      <c r="CP120" s="268" t="n"/>
      <c r="CQ120" s="268" t="n"/>
      <c r="CR120" s="268" t="n"/>
      <c r="CS120" s="268" t="n"/>
      <c r="CT120" s="268" t="n"/>
      <c r="CU120" s="268" t="n"/>
      <c r="CV120" s="268" t="n"/>
      <c r="CW120" s="268" t="n"/>
      <c r="CX120" s="268" t="n"/>
      <c r="CY120" s="268" t="n"/>
    </row>
    <row r="121" hidden="1" outlineLevel="1" ht="12.75" customHeight="1" s="255">
      <c r="C121" s="312" t="inlineStr">
        <is>
          <t>DESPESAS FINANCEIRAS - Outras</t>
        </is>
      </c>
      <c r="D121" s="268" t="n"/>
      <c r="E121" s="268" t="n"/>
      <c r="F121" s="268" t="n"/>
      <c r="G121" s="268" t="n"/>
      <c r="H121" s="268" t="n"/>
      <c r="I121" s="268" t="n"/>
      <c r="J121" s="268" t="n"/>
      <c r="K121" s="268" t="n"/>
      <c r="L121" s="268" t="n"/>
      <c r="M121" s="268" t="n"/>
      <c r="N121" s="268" t="n"/>
      <c r="O121" s="268" t="n"/>
      <c r="P121" s="268" t="n"/>
      <c r="Q121" s="268" t="n"/>
      <c r="R121" s="268" t="n"/>
      <c r="S121" s="268" t="n"/>
      <c r="T121" s="268" t="n"/>
      <c r="U121" s="268" t="n"/>
      <c r="V121" s="268" t="n"/>
      <c r="W121" s="268" t="n"/>
      <c r="X121" s="268" t="n"/>
      <c r="Y121" s="268" t="n"/>
      <c r="Z121" s="268" t="n"/>
      <c r="AA121" s="268" t="n"/>
      <c r="AB121" s="268" t="n"/>
      <c r="AC121" s="268" t="n"/>
      <c r="AD121" s="268" t="n"/>
      <c r="AE121" s="268" t="n"/>
      <c r="AF121" s="268" t="n"/>
      <c r="AG121" s="268" t="n"/>
      <c r="AH121" s="268" t="n"/>
      <c r="AI121" s="268" t="n"/>
      <c r="AJ121" s="268" t="n"/>
      <c r="AK121" s="268" t="n"/>
      <c r="AL121" s="268" t="n"/>
      <c r="AM121" s="268" t="n"/>
      <c r="AN121" s="268" t="n"/>
      <c r="AO121" s="268" t="n"/>
      <c r="AP121" s="268" t="n"/>
      <c r="AQ121" s="268" t="n"/>
      <c r="AR121" s="268" t="n"/>
      <c r="AS121" s="268" t="n"/>
      <c r="AT121" s="268" t="n"/>
      <c r="AU121" s="268" t="n"/>
      <c r="AV121" s="268" t="n"/>
      <c r="AW121" s="268" t="n"/>
      <c r="AX121" s="268" t="n"/>
      <c r="AY121" s="268" t="n"/>
      <c r="AZ121" s="268" t="n"/>
      <c r="BA121" s="268" t="n"/>
      <c r="BB121" s="268" t="n"/>
      <c r="BC121" s="268" t="n"/>
      <c r="BD121" s="268" t="n"/>
      <c r="BE121" s="268" t="n"/>
      <c r="BF121" s="268" t="n"/>
      <c r="BG121" s="268" t="n"/>
      <c r="BH121" s="268" t="n"/>
      <c r="BI121" s="268" t="n"/>
      <c r="BJ121" s="268" t="n"/>
      <c r="BK121" s="268" t="n"/>
      <c r="BL121" s="268" t="n"/>
      <c r="BM121" s="268" t="n"/>
      <c r="BN121" s="268" t="n"/>
      <c r="BO121" s="268" t="n"/>
      <c r="BP121" s="268" t="n"/>
      <c r="BQ121" s="268" t="n"/>
      <c r="BR121" s="268" t="n"/>
      <c r="BS121" s="268" t="n"/>
      <c r="BT121" s="268" t="n"/>
      <c r="BU121" s="268" t="n"/>
      <c r="BV121" s="268" t="n"/>
      <c r="BW121" s="268" t="n"/>
      <c r="BX121" s="268" t="n"/>
      <c r="BY121" s="268" t="n"/>
      <c r="BZ121" s="268" t="n"/>
      <c r="CA121" s="268" t="n"/>
      <c r="CB121" s="268" t="n"/>
      <c r="CC121" s="268" t="n"/>
      <c r="CD121" s="268" t="n"/>
      <c r="CE121" s="268" t="n"/>
      <c r="CF121" s="268" t="n"/>
      <c r="CG121" s="268" t="n"/>
      <c r="CH121" s="268" t="n"/>
      <c r="CI121" s="268" t="n"/>
      <c r="CJ121" s="268" t="n"/>
      <c r="CK121" s="268" t="n"/>
      <c r="CL121" s="268" t="n"/>
      <c r="CM121" s="268" t="n"/>
      <c r="CN121" s="268" t="n"/>
      <c r="CO121" s="268" t="n"/>
      <c r="CP121" s="268" t="n"/>
      <c r="CQ121" s="268" t="n"/>
      <c r="CR121" s="268" t="n"/>
      <c r="CS121" s="268" t="n"/>
      <c r="CT121" s="268" t="n"/>
      <c r="CU121" s="268" t="n"/>
      <c r="CV121" s="268" t="n"/>
      <c r="CW121" s="268" t="n"/>
      <c r="CX121" s="268" t="n"/>
      <c r="CY121" s="268" t="n"/>
    </row>
    <row r="122" hidden="1" outlineLevel="1" ht="12.75" customHeight="1" s="255">
      <c r="C122" s="312" t="n"/>
      <c r="D122" s="268" t="n"/>
      <c r="E122" s="268" t="n"/>
      <c r="F122" s="268" t="n"/>
      <c r="G122" s="268" t="n"/>
      <c r="H122" s="268" t="n"/>
      <c r="I122" s="268" t="n"/>
      <c r="J122" s="268" t="n"/>
      <c r="K122" s="268" t="n"/>
      <c r="L122" s="268" t="n"/>
      <c r="M122" s="268" t="n"/>
      <c r="N122" s="268" t="n"/>
      <c r="O122" s="268" t="n"/>
      <c r="P122" s="268" t="n"/>
      <c r="Q122" s="268" t="n"/>
      <c r="R122" s="268" t="n"/>
      <c r="S122" s="268" t="n"/>
      <c r="T122" s="268" t="n"/>
      <c r="U122" s="268" t="n"/>
      <c r="V122" s="268" t="n"/>
      <c r="W122" s="268" t="n"/>
      <c r="X122" s="268" t="n"/>
      <c r="Y122" s="268" t="n"/>
      <c r="Z122" s="268" t="n"/>
      <c r="AA122" s="268" t="n"/>
      <c r="AB122" s="268" t="n"/>
      <c r="AC122" s="268" t="n"/>
      <c r="AD122" s="268" t="n"/>
      <c r="AE122" s="268" t="n"/>
      <c r="AF122" s="268" t="n"/>
      <c r="AG122" s="268" t="n"/>
      <c r="AH122" s="268" t="n"/>
      <c r="AI122" s="268" t="n"/>
      <c r="AJ122" s="268" t="n"/>
      <c r="AK122" s="268" t="n"/>
      <c r="AL122" s="268" t="n"/>
      <c r="AM122" s="268" t="n"/>
      <c r="AN122" s="268" t="n"/>
      <c r="AO122" s="268" t="n"/>
      <c r="AP122" s="268" t="n"/>
      <c r="AQ122" s="268" t="n"/>
      <c r="AR122" s="268" t="n"/>
      <c r="AS122" s="268" t="n"/>
      <c r="AT122" s="268" t="n"/>
      <c r="AU122" s="268" t="n"/>
      <c r="AV122" s="268" t="n"/>
      <c r="AW122" s="268" t="n"/>
      <c r="AX122" s="268" t="n"/>
      <c r="AY122" s="268" t="n"/>
      <c r="AZ122" s="268" t="n"/>
      <c r="BA122" s="268" t="n"/>
      <c r="BB122" s="268" t="n"/>
      <c r="BC122" s="268" t="n"/>
      <c r="BD122" s="268" t="n"/>
      <c r="BE122" s="268" t="n"/>
      <c r="BF122" s="268" t="n"/>
      <c r="BG122" s="268" t="n"/>
      <c r="BH122" s="268" t="n"/>
      <c r="BI122" s="268" t="n"/>
      <c r="BJ122" s="268" t="n"/>
      <c r="BK122" s="268" t="n"/>
      <c r="BL122" s="268" t="n"/>
      <c r="BM122" s="268" t="n"/>
      <c r="BN122" s="268" t="n"/>
      <c r="BO122" s="268" t="n"/>
      <c r="BP122" s="268" t="n"/>
      <c r="BQ122" s="268" t="n"/>
      <c r="BR122" s="268" t="n"/>
      <c r="BS122" s="268" t="n"/>
      <c r="BT122" s="268" t="n"/>
      <c r="BU122" s="268" t="n"/>
      <c r="BV122" s="268" t="n"/>
      <c r="BW122" s="268" t="n"/>
      <c r="BX122" s="268" t="n"/>
      <c r="BY122" s="268" t="n"/>
      <c r="BZ122" s="268" t="n"/>
      <c r="CA122" s="268" t="n"/>
      <c r="CB122" s="268" t="n"/>
      <c r="CC122" s="268" t="n"/>
      <c r="CD122" s="268" t="n"/>
      <c r="CE122" s="268" t="n"/>
      <c r="CF122" s="268" t="n"/>
      <c r="CG122" s="268" t="n"/>
      <c r="CH122" s="268" t="n"/>
      <c r="CI122" s="268" t="n"/>
      <c r="CJ122" s="268" t="n"/>
      <c r="CK122" s="268" t="n"/>
      <c r="CL122" s="268" t="n"/>
      <c r="CM122" s="268" t="n"/>
      <c r="CN122" s="268" t="n"/>
      <c r="CO122" s="268" t="n"/>
      <c r="CP122" s="268" t="n"/>
      <c r="CQ122" s="268" t="n"/>
      <c r="CR122" s="268" t="n"/>
      <c r="CS122" s="268" t="n"/>
      <c r="CT122" s="268" t="n"/>
      <c r="CU122" s="268" t="n"/>
      <c r="CV122" s="268" t="n"/>
      <c r="CW122" s="268" t="n"/>
      <c r="CX122" s="268" t="n"/>
      <c r="CY122" s="268" t="n"/>
    </row>
    <row r="123" hidden="1" outlineLevel="1" ht="12.75" customHeight="1" s="255">
      <c r="C123" s="312" t="inlineStr">
        <is>
          <t>CHECK [EX IFRS-16]</t>
        </is>
      </c>
      <c r="D123" s="268" t="n"/>
      <c r="E123" s="268" t="n"/>
      <c r="F123" s="268" t="n"/>
      <c r="G123" s="268" t="n"/>
      <c r="H123" s="268" t="n"/>
      <c r="I123" s="268" t="n"/>
      <c r="J123" s="268" t="n"/>
      <c r="K123" s="268" t="n"/>
      <c r="L123" s="268" t="n"/>
      <c r="M123" s="268" t="n"/>
      <c r="N123" s="268" t="n"/>
      <c r="O123" s="268" t="n"/>
      <c r="P123" s="268" t="n"/>
      <c r="Q123" s="268" t="n"/>
      <c r="R123" s="268" t="n"/>
      <c r="S123" s="268" t="n"/>
      <c r="T123" s="268" t="n"/>
      <c r="U123" s="268" t="n"/>
      <c r="V123" s="268" t="n"/>
      <c r="W123" s="268" t="n"/>
      <c r="X123" s="268" t="n"/>
      <c r="Y123" s="268" t="n"/>
      <c r="Z123" s="268" t="n"/>
      <c r="AA123" s="268" t="n"/>
      <c r="AB123" s="268" t="n"/>
      <c r="AC123" s="268" t="n"/>
      <c r="AD123" s="268" t="n"/>
      <c r="AE123" s="268" t="n"/>
      <c r="AF123" s="268" t="n"/>
      <c r="AG123" s="268" t="n"/>
      <c r="AH123" s="268" t="n"/>
      <c r="AI123" s="268" t="n"/>
      <c r="AJ123" s="268" t="n"/>
      <c r="AK123" s="268" t="n"/>
      <c r="AL123" s="268" t="n"/>
      <c r="AM123" s="268" t="n"/>
      <c r="AN123" s="268" t="n"/>
      <c r="AO123" s="268" t="n"/>
      <c r="AP123" s="268" t="n"/>
      <c r="AQ123" s="268" t="n"/>
      <c r="AR123" s="268" t="n"/>
      <c r="AS123" s="268" t="n"/>
      <c r="AT123" s="268" t="n"/>
      <c r="AU123" s="268" t="n"/>
      <c r="AV123" s="268" t="n"/>
      <c r="AW123" s="268" t="n"/>
      <c r="AX123" s="268" t="n"/>
      <c r="AY123" s="268" t="n"/>
      <c r="AZ123" s="268" t="n"/>
      <c r="BA123" s="268" t="n"/>
      <c r="BB123" s="268" t="n"/>
      <c r="BC123" s="268" t="n"/>
      <c r="BD123" s="268" t="n"/>
      <c r="BE123" s="268" t="n"/>
      <c r="BF123" s="268" t="n"/>
      <c r="BG123" s="268" t="n"/>
      <c r="BH123" s="268" t="n"/>
      <c r="BI123" s="268" t="n"/>
      <c r="BJ123" s="268" t="n"/>
      <c r="BK123" s="268" t="n"/>
      <c r="BL123" s="268" t="n"/>
      <c r="BM123" s="268" t="n"/>
      <c r="BN123" s="268" t="n"/>
      <c r="BO123" s="268" t="n"/>
      <c r="BP123" s="268" t="n"/>
      <c r="BQ123" s="268" t="n"/>
      <c r="BR123" s="268" t="n"/>
      <c r="BS123" s="268" t="n"/>
      <c r="BT123" s="268" t="n"/>
      <c r="BU123" s="268" t="n"/>
      <c r="BV123" s="268" t="n"/>
      <c r="BW123" s="268" t="n"/>
      <c r="BX123" s="268" t="n"/>
      <c r="BY123" s="268" t="n"/>
      <c r="BZ123" s="268" t="n"/>
      <c r="CA123" s="268" t="n"/>
      <c r="CB123" s="268" t="n"/>
      <c r="CC123" s="268" t="n"/>
      <c r="CD123" s="268" t="n"/>
      <c r="CE123" s="268" t="n"/>
      <c r="CF123" s="268" t="n"/>
      <c r="CG123" s="268" t="n"/>
      <c r="CH123" s="268" t="n"/>
      <c r="CI123" s="268" t="n"/>
      <c r="CJ123" s="268" t="n"/>
      <c r="CK123" s="268" t="n"/>
      <c r="CL123" s="268" t="n"/>
      <c r="CM123" s="268" t="n"/>
      <c r="CN123" s="268" t="n"/>
      <c r="CO123" s="268" t="n"/>
      <c r="CP123" s="268" t="n"/>
      <c r="CQ123" s="268" t="n"/>
      <c r="CR123" s="268" t="n"/>
      <c r="CS123" s="268" t="n"/>
      <c r="CT123" s="268" t="n"/>
      <c r="CU123" s="268" t="n"/>
      <c r="CV123" s="268" t="n"/>
      <c r="CW123" s="268" t="n"/>
      <c r="CX123" s="268" t="n"/>
      <c r="CY123" s="268" t="n"/>
    </row>
    <row r="124" hidden="1" outlineLevel="1" ht="12.75" customHeight="1" s="255">
      <c r="C124" s="312" t="n"/>
      <c r="D124" s="268" t="n"/>
      <c r="E124" s="268" t="n"/>
      <c r="F124" s="268" t="n"/>
      <c r="G124" s="268" t="n"/>
      <c r="H124" s="268" t="n"/>
      <c r="I124" s="268" t="n"/>
      <c r="J124" s="268" t="n"/>
      <c r="K124" s="268" t="n"/>
      <c r="L124" s="268" t="n"/>
      <c r="M124" s="268" t="n"/>
      <c r="N124" s="268" t="n"/>
      <c r="O124" s="268" t="n"/>
      <c r="P124" s="268" t="n"/>
      <c r="Q124" s="268" t="n"/>
      <c r="R124" s="268" t="n"/>
      <c r="S124" s="268" t="n"/>
      <c r="T124" s="268" t="n"/>
      <c r="U124" s="268" t="n"/>
      <c r="V124" s="268" t="n"/>
      <c r="W124" s="268" t="n"/>
      <c r="X124" s="268" t="n"/>
      <c r="Y124" s="268" t="n"/>
      <c r="Z124" s="268" t="n"/>
      <c r="AA124" s="268" t="n"/>
      <c r="AB124" s="268" t="n"/>
      <c r="AC124" s="268" t="n"/>
      <c r="AD124" s="268" t="n"/>
      <c r="AE124" s="268" t="n"/>
      <c r="AF124" s="268" t="n"/>
      <c r="AG124" s="268" t="n"/>
      <c r="AH124" s="268" t="n"/>
      <c r="AI124" s="268" t="n"/>
      <c r="AJ124" s="268" t="n"/>
      <c r="AK124" s="268" t="n"/>
      <c r="AL124" s="268" t="n"/>
      <c r="AM124" s="268" t="n"/>
      <c r="AN124" s="268" t="n"/>
      <c r="AO124" s="268" t="n"/>
      <c r="AP124" s="268" t="n"/>
      <c r="AQ124" s="268" t="n"/>
      <c r="AR124" s="268" t="n"/>
      <c r="AS124" s="268" t="n"/>
      <c r="AT124" s="268" t="n"/>
      <c r="AU124" s="268" t="n"/>
      <c r="AV124" s="268" t="n"/>
      <c r="AW124" s="268" t="n"/>
      <c r="AX124" s="268" t="n"/>
      <c r="AY124" s="268" t="n"/>
      <c r="AZ124" s="268" t="n"/>
      <c r="BA124" s="268" t="n"/>
      <c r="BB124" s="268" t="n"/>
      <c r="BC124" s="268" t="n"/>
      <c r="BD124" s="268" t="n"/>
      <c r="BE124" s="268" t="n"/>
      <c r="BF124" s="268" t="n"/>
      <c r="BG124" s="268" t="n"/>
      <c r="BH124" s="268" t="n"/>
      <c r="BI124" s="268" t="n"/>
      <c r="BJ124" s="268" t="n"/>
      <c r="BK124" s="268" t="n"/>
      <c r="BL124" s="268" t="n"/>
      <c r="BM124" s="268" t="n"/>
      <c r="BN124" s="268" t="n"/>
      <c r="BO124" s="268" t="n"/>
      <c r="BP124" s="268" t="n"/>
      <c r="BQ124" s="268" t="n"/>
      <c r="BR124" s="268" t="n"/>
      <c r="BS124" s="268" t="n"/>
      <c r="BT124" s="268" t="n"/>
      <c r="BU124" s="268" t="n"/>
      <c r="BV124" s="268" t="n"/>
      <c r="BW124" s="268" t="n"/>
      <c r="BX124" s="268" t="n"/>
      <c r="BY124" s="268" t="n"/>
      <c r="BZ124" s="268" t="n"/>
      <c r="CA124" s="268" t="n"/>
      <c r="CB124" s="268" t="n"/>
      <c r="CC124" s="268" t="n"/>
      <c r="CD124" s="268" t="n"/>
      <c r="CE124" s="268" t="n"/>
      <c r="CF124" s="268" t="n"/>
      <c r="CG124" s="268" t="n"/>
      <c r="CH124" s="268" t="n"/>
      <c r="CI124" s="268" t="n"/>
      <c r="CJ124" s="268" t="n"/>
      <c r="CK124" s="268" t="n"/>
      <c r="CL124" s="268" t="n"/>
      <c r="CM124" s="268" t="n"/>
      <c r="CN124" s="268" t="n"/>
      <c r="CO124" s="268" t="n"/>
      <c r="CP124" s="268" t="n"/>
      <c r="CQ124" s="268" t="n"/>
      <c r="CR124" s="268" t="n"/>
      <c r="CS124" s="268" t="n"/>
      <c r="CT124" s="268" t="n"/>
      <c r="CU124" s="268" t="n"/>
      <c r="CV124" s="268" t="n"/>
      <c r="CW124" s="268" t="n"/>
      <c r="CX124" s="268" t="n"/>
      <c r="CY124" s="268" t="n"/>
    </row>
    <row r="125" ht="12.75" customHeight="1" s="255">
      <c r="C125" s="270" t="inlineStr">
        <is>
          <t>Nonoperating Income / (Loss)</t>
        </is>
      </c>
      <c r="D125" s="301">
        <f>INDEX('Inputs (2)'!$D$9:$AL$9,MATCH(D$7,'Inputs (2)'!$D$2:$AL$2,0))</f>
        <v>682</v>
      </c>
      <c r="E125" s="301">
        <f>INDEX('Inputs (2)'!$D$9:$AL$9,MATCH(E$7,'Inputs (2)'!$D$2:$AL$2,0))</f>
        <v>3164</v>
      </c>
      <c r="F125" s="301">
        <f>INDEX('Inputs (2)'!$D$9:$AL$9,MATCH(F$7,'Inputs (2)'!$D$2:$AL$2,0))</f>
        <v>1792</v>
      </c>
      <c r="G125" s="301">
        <f>INDEX('Inputs (2)'!$D$9:$AL$9,MATCH(G$7,'Inputs (2)'!$D$2:$AL$2,0))</f>
        <v>-5646</v>
      </c>
      <c r="H125" s="268">
        <f>SUM(D125:G125)</f>
        <v>-8</v>
      </c>
      <c r="I125" s="301">
        <f>INDEX('Inputs (2)'!$D$9:$AL$9,MATCH(I$7,'Inputs (2)'!$D$2:$AL$2,0))</f>
        <v>-2584</v>
      </c>
      <c r="J125" s="301">
        <f>INDEX('Inputs (2)'!$D$9:$AL$9,MATCH(J$7,'Inputs (2)'!$D$2:$AL$2,0))</f>
        <v>-994</v>
      </c>
      <c r="K125" s="301">
        <f>INDEX('Inputs (2)'!$D$9:$AL$9,MATCH(K$7,'Inputs (2)'!$D$2:$AL$2,0))</f>
        <v>-1237</v>
      </c>
      <c r="L125" s="301">
        <f>INDEX('Inputs (2)'!$D$9:$AL$9,MATCH(L$7,'Inputs (2)'!$D$2:$AL$2,0))</f>
        <v>-757</v>
      </c>
      <c r="M125" s="268">
        <f>SUM(I125:L125)</f>
        <v>-5572</v>
      </c>
      <c r="N125" s="301">
        <f>INDEX('Inputs (2)'!$D$9:$AL$9,MATCH(N$7,'Inputs (2)'!$D$2:$AL$2,0))</f>
        <v>-2045</v>
      </c>
      <c r="O125" s="301">
        <f>INDEX('Inputs (2)'!$D$9:$AL$9,MATCH(O$7,'Inputs (2)'!$D$2:$AL$2,0))</f>
        <v>185</v>
      </c>
      <c r="P125" s="301">
        <f>INDEX('Inputs (2)'!$D$9:$AL$9,MATCH(P$7,'Inputs (2)'!$D$2:$AL$2,0))</f>
        <v>-3627</v>
      </c>
      <c r="Q125" s="301">
        <f>INDEX('Inputs (2)'!$D$9:$AL$9,MATCH(Q$7,'Inputs (2)'!$D$2:$AL$2,0))</f>
        <v>3862</v>
      </c>
      <c r="R125" s="268">
        <f>SUM(N125:Q125)</f>
        <v>-1625</v>
      </c>
      <c r="S125" s="301">
        <f>INDEX('Inputs (2)'!$D$9:$AL$9,MATCH(S$7,'Inputs (2)'!$D$2:$AL$2,0))</f>
        <v>-2984</v>
      </c>
      <c r="T125" s="301">
        <f>INDEX('Inputs (2)'!$D$9:$AL$9,MATCH(T$7,'Inputs (2)'!$D$2:$AL$2,0))</f>
        <v>3954</v>
      </c>
      <c r="U125" s="301">
        <f>INDEX('Inputs (2)'!$D$9:$AL$9,MATCH(U$7,'Inputs (2)'!$D$2:$AL$2,0))</f>
        <v>-4715</v>
      </c>
      <c r="V125" s="301">
        <f>INDEX('Inputs (2)'!$D$9:$AL$9,MATCH(V$7,'Inputs (2)'!$D$2:$AL$2,0))</f>
        <v>840</v>
      </c>
      <c r="W125" s="268">
        <f>SUM(S125:V125)</f>
        <v>-2905</v>
      </c>
      <c r="X125" s="301">
        <f>INDEX('Inputs (2)'!$D$9:$AL$9,MATCH(X$7,'Inputs (2)'!$D$2:$AL$2,0))</f>
        <v>791</v>
      </c>
      <c r="Y125" s="301">
        <f>INDEX('Inputs (2)'!$D$9:$AL$9,MATCH(Y$7,'Inputs (2)'!$D$2:$AL$2,0))</f>
        <v>-1170</v>
      </c>
      <c r="Z125" s="301">
        <f>INDEX('Inputs (2)'!$D$9:$AL$9,MATCH(Z$7,'Inputs (2)'!$D$2:$AL$2,0))</f>
        <v>-114</v>
      </c>
      <c r="AA125" s="301">
        <f>INDEX('Inputs (2)'!$D$9:$AL$9,MATCH(AA$7,'Inputs (2)'!$D$2:$AL$2,0))</f>
        <v>-297</v>
      </c>
      <c r="AB125" s="268">
        <f>SUM(X125:AA125)</f>
        <v>-790</v>
      </c>
      <c r="AC125" s="301">
        <f>INDEX('Inputs (2)'!$D$9:$AL$9,MATCH(AC$7,'Inputs (2)'!$D$2:$AL$2,0))</f>
        <v>-622</v>
      </c>
      <c r="AD125" s="301">
        <f>INDEX('Inputs (2)'!$D$9:$AL$9,MATCH(AD$7,'Inputs (2)'!$D$2:$AL$2,0))</f>
        <v>2684</v>
      </c>
      <c r="AE125" s="301">
        <f>INDEX('Inputs (2)'!$D$9:$AL$9,MATCH(AE$7,'Inputs (2)'!$D$2:$AL$2,0))</f>
        <v>2053</v>
      </c>
      <c r="AF125" s="301">
        <f>INDEX('Inputs (2)'!$D$9:$AL$9,MATCH(AF$7,'Inputs (2)'!$D$2:$AL$2,0))</f>
        <v>-2153</v>
      </c>
      <c r="AG125" s="268">
        <f>SUM(AC125:AF125)</f>
        <v>1962</v>
      </c>
      <c r="AH125" s="268">
        <f>INDEX('Inputs (2)'!$D$9:$AL$9,MATCH(AH$7,'Inputs (2)'!$D$2:$AL$2,0))</f>
        <v>229</v>
      </c>
      <c r="AI125" s="268">
        <f>INDEX('Inputs (2)'!$D$9:$AL$9,MATCH(AI$7,'Inputs (2)'!$D$2:$AL$2,0))</f>
        <v>-1234</v>
      </c>
      <c r="AJ125" s="268">
        <f>AH125</f>
        <v>229</v>
      </c>
      <c r="AK125" s="268">
        <f>AI125</f>
        <v>-1234</v>
      </c>
      <c r="AL125" s="268">
        <f>SUM(AH125:AK125)</f>
        <v>-2010</v>
      </c>
      <c r="AM125" s="268">
        <f>AK125</f>
        <v>-1234</v>
      </c>
      <c r="AN125" s="268">
        <f>AL125</f>
        <v>-2010</v>
      </c>
      <c r="AO125" s="268">
        <f>AM125</f>
        <v>-1234</v>
      </c>
      <c r="AP125" s="268">
        <f>AN125</f>
        <v>-2010</v>
      </c>
      <c r="AQ125" s="268">
        <f>SUM(AM125:AP125)</f>
        <v>-6488</v>
      </c>
      <c r="AR125" s="268">
        <f>AP125</f>
        <v>-2010</v>
      </c>
      <c r="AS125" s="268">
        <f>AQ125</f>
        <v>-6488</v>
      </c>
      <c r="AT125" s="268">
        <f>AR125</f>
        <v>-2010</v>
      </c>
      <c r="AU125" s="268">
        <f>AS125</f>
        <v>-6488</v>
      </c>
      <c r="AV125" s="268">
        <f>SUM(AR125:AU125)</f>
        <v>-16996</v>
      </c>
      <c r="AW125" s="268">
        <f>AU125</f>
        <v>-6488</v>
      </c>
      <c r="AX125" s="268">
        <f>AV125</f>
        <v>-16996</v>
      </c>
      <c r="AY125" s="268">
        <f>AW125</f>
        <v>-6488</v>
      </c>
      <c r="AZ125" s="268">
        <f>AX125</f>
        <v>-16996</v>
      </c>
      <c r="BA125" s="268">
        <f>SUM(AW125:AZ125)</f>
        <v>-46968</v>
      </c>
      <c r="BB125" s="268">
        <f>AZ125</f>
        <v>-16996</v>
      </c>
      <c r="BC125" s="268">
        <f>BA125</f>
        <v>-46968</v>
      </c>
      <c r="BD125" s="268">
        <f>BB125</f>
        <v>-16996</v>
      </c>
      <c r="BE125" s="268">
        <f>BC125</f>
        <v>-46968</v>
      </c>
      <c r="BF125" s="268">
        <f>SUM(BB125:BE125)</f>
        <v>-127928</v>
      </c>
      <c r="BG125" s="268">
        <f>BE125</f>
        <v>-46968</v>
      </c>
      <c r="BH125" s="268">
        <f>BF125</f>
        <v>-127928</v>
      </c>
      <c r="BI125" s="268">
        <f>BG125</f>
        <v>-46968</v>
      </c>
      <c r="BJ125" s="268">
        <f>BH125</f>
        <v>-127928</v>
      </c>
      <c r="BK125" s="268">
        <f>SUM(BG125:BJ125)</f>
        <v>-349792</v>
      </c>
      <c r="BL125" s="268">
        <f>BJ125</f>
        <v>-127928</v>
      </c>
      <c r="BM125" s="268">
        <f>BK125</f>
        <v>-349792</v>
      </c>
      <c r="BN125" s="268">
        <f>BL125</f>
        <v>-127928</v>
      </c>
      <c r="BO125" s="268">
        <f>BM125</f>
        <v>-349792</v>
      </c>
      <c r="BP125" s="268">
        <f>SUM(BL125:BO125)</f>
        <v>-955440</v>
      </c>
      <c r="BQ125" s="268">
        <f>BO125</f>
        <v>-349792</v>
      </c>
      <c r="BR125" s="268">
        <f>BP125</f>
        <v>-955440</v>
      </c>
      <c r="BS125" s="268">
        <f>BQ125</f>
        <v>-349792</v>
      </c>
      <c r="BT125" s="268">
        <f>BR125</f>
        <v>-955440</v>
      </c>
      <c r="BU125" s="268">
        <f>SUM(BQ125:BT125)</f>
        <v>-2610464</v>
      </c>
      <c r="BV125" s="268">
        <f>BT125</f>
        <v>-955440</v>
      </c>
      <c r="BW125" s="268">
        <f>BU125</f>
        <v>-2610464</v>
      </c>
      <c r="BX125" s="268">
        <f>BV125</f>
        <v>-955440</v>
      </c>
      <c r="BY125" s="268">
        <f>BW125</f>
        <v>-2610464</v>
      </c>
      <c r="BZ125" s="268">
        <f>SUM(BV125:BY125)</f>
        <v>-7131808</v>
      </c>
      <c r="CA125" s="268">
        <f>BY125</f>
        <v>-2610464</v>
      </c>
      <c r="CB125" s="268">
        <f>BZ125</f>
        <v>-7131808</v>
      </c>
      <c r="CC125" s="268">
        <f>CA125</f>
        <v>-2610464</v>
      </c>
      <c r="CD125" s="268">
        <f>CB125</f>
        <v>-7131808</v>
      </c>
      <c r="CE125" s="268">
        <f>SUM(CA125:CD125)</f>
        <v>-19484544</v>
      </c>
      <c r="CF125" s="268">
        <f>CD125</f>
        <v>-7131808</v>
      </c>
      <c r="CG125" s="268">
        <f>CE125</f>
        <v>-19484544</v>
      </c>
      <c r="CH125" s="268">
        <f>CF125</f>
        <v>-7131808</v>
      </c>
      <c r="CI125" s="268">
        <f>CG125</f>
        <v>-19484544</v>
      </c>
      <c r="CJ125" s="268">
        <f>SUM(CF125:CI125)</f>
        <v>-53232704</v>
      </c>
      <c r="CK125" s="268">
        <f>CI125</f>
        <v>-19484544</v>
      </c>
      <c r="CL125" s="268">
        <f>CJ125</f>
        <v>-53232704</v>
      </c>
      <c r="CM125" s="268">
        <f>CK125</f>
        <v>-19484544</v>
      </c>
      <c r="CN125" s="268">
        <f>CL125</f>
        <v>-53232704</v>
      </c>
      <c r="CO125" s="268">
        <f>SUM(CK125:CN125)</f>
        <v>-145434496</v>
      </c>
      <c r="CP125" s="268">
        <f>CN125</f>
        <v>-53232704</v>
      </c>
      <c r="CQ125" s="268">
        <f>CO125</f>
        <v>-145434496</v>
      </c>
      <c r="CR125" s="268">
        <f>CP125</f>
        <v>-53232704</v>
      </c>
      <c r="CS125" s="268">
        <f>CQ125</f>
        <v>-145434496</v>
      </c>
      <c r="CT125" s="268">
        <f>SUM(CP125:CS125)</f>
        <v>-397334400</v>
      </c>
      <c r="CU125" s="268">
        <f>CS125</f>
        <v>-145434496</v>
      </c>
      <c r="CV125" s="268">
        <f>CT125</f>
        <v>-397334400</v>
      </c>
      <c r="CW125" s="268">
        <f>CU125</f>
        <v>-145434496</v>
      </c>
      <c r="CX125" s="268">
        <f>CV125</f>
        <v>-397334400</v>
      </c>
      <c r="CY125" s="268">
        <f>SUM(CU125:CX125)</f>
        <v>-1085537792</v>
      </c>
    </row>
    <row r="126" hidden="1" outlineLevel="1" ht="12.75" customHeight="1" s="255">
      <c r="C126" s="312" t="n"/>
      <c r="D126" s="268" t="n"/>
      <c r="E126" s="268" t="n"/>
      <c r="F126" s="268" t="n"/>
      <c r="G126" s="268" t="n"/>
      <c r="H126" s="268" t="n"/>
      <c r="I126" s="268" t="n"/>
      <c r="J126" s="268" t="n"/>
      <c r="K126" s="268" t="n"/>
      <c r="L126" s="268" t="n"/>
      <c r="M126" s="268" t="n"/>
      <c r="N126" s="268" t="n"/>
      <c r="O126" s="268" t="n"/>
      <c r="P126" s="268" t="n"/>
      <c r="Q126" s="268" t="n"/>
      <c r="R126" s="268" t="n"/>
      <c r="S126" s="268" t="n"/>
      <c r="T126" s="268" t="n"/>
      <c r="U126" s="268" t="n"/>
      <c r="V126" s="268" t="n"/>
      <c r="W126" s="268" t="n"/>
      <c r="X126" s="268" t="n"/>
      <c r="Y126" s="268" t="n"/>
      <c r="Z126" s="268" t="n"/>
      <c r="AA126" s="268" t="n"/>
      <c r="AB126" s="268" t="n"/>
      <c r="AC126" s="268" t="n"/>
      <c r="AD126" s="268" t="n"/>
      <c r="AE126" s="268" t="n"/>
      <c r="AF126" s="268" t="n"/>
      <c r="AG126" s="268" t="n"/>
      <c r="AH126" s="268" t="n"/>
      <c r="AI126" s="268" t="n"/>
      <c r="AJ126" s="268" t="n"/>
      <c r="AK126" s="268" t="n"/>
      <c r="AL126" s="268" t="n"/>
      <c r="AM126" s="268" t="n"/>
      <c r="AN126" s="268" t="n"/>
      <c r="AO126" s="268" t="n"/>
      <c r="AP126" s="268" t="n"/>
      <c r="AQ126" s="268" t="n"/>
      <c r="AR126" s="268" t="n"/>
      <c r="AS126" s="268" t="n"/>
      <c r="AT126" s="268" t="n"/>
      <c r="AU126" s="268" t="n"/>
      <c r="AV126" s="268" t="n"/>
      <c r="AW126" s="268" t="n"/>
      <c r="AX126" s="268" t="n"/>
      <c r="AY126" s="268" t="n"/>
      <c r="AZ126" s="268" t="n"/>
      <c r="BA126" s="268" t="n"/>
      <c r="BB126" s="268" t="n"/>
      <c r="BC126" s="268" t="n"/>
      <c r="BD126" s="268" t="n"/>
      <c r="BE126" s="268" t="n"/>
      <c r="BF126" s="268" t="n"/>
      <c r="BG126" s="268" t="n"/>
      <c r="BH126" s="268" t="n"/>
      <c r="BI126" s="268" t="n"/>
      <c r="BJ126" s="268" t="n"/>
      <c r="BK126" s="268" t="n"/>
      <c r="BL126" s="268" t="n"/>
      <c r="BM126" s="268" t="n"/>
      <c r="BN126" s="268" t="n"/>
      <c r="BO126" s="268" t="n"/>
      <c r="BP126" s="268" t="n"/>
      <c r="BQ126" s="268" t="n"/>
      <c r="BR126" s="268" t="n"/>
      <c r="BS126" s="268" t="n"/>
      <c r="BT126" s="268" t="n"/>
      <c r="BU126" s="268" t="n"/>
      <c r="BV126" s="268" t="n"/>
      <c r="BW126" s="268" t="n"/>
      <c r="BX126" s="268" t="n"/>
      <c r="BY126" s="268" t="n"/>
      <c r="BZ126" s="268" t="n"/>
      <c r="CA126" s="268" t="n"/>
      <c r="CB126" s="268" t="n"/>
      <c r="CC126" s="268" t="n"/>
      <c r="CD126" s="268" t="n"/>
      <c r="CE126" s="268" t="n"/>
      <c r="CF126" s="268" t="n"/>
      <c r="CG126" s="268" t="n"/>
      <c r="CH126" s="268" t="n"/>
      <c r="CI126" s="268" t="n"/>
      <c r="CJ126" s="268" t="n"/>
      <c r="CK126" s="268" t="n"/>
      <c r="CL126" s="268" t="n"/>
      <c r="CM126" s="268" t="n"/>
      <c r="CN126" s="268" t="n"/>
      <c r="CO126" s="268" t="n"/>
      <c r="CP126" s="268" t="n"/>
      <c r="CQ126" s="268" t="n"/>
      <c r="CR126" s="268" t="n"/>
      <c r="CS126" s="268" t="n"/>
      <c r="CT126" s="268" t="n"/>
      <c r="CU126" s="268" t="n"/>
      <c r="CV126" s="268" t="n"/>
      <c r="CW126" s="268" t="n"/>
      <c r="CX126" s="268" t="n"/>
      <c r="CY126" s="268" t="n"/>
    </row>
    <row r="127" hidden="1" outlineLevel="1" ht="12.75" customHeight="1" s="255">
      <c r="C127" s="305" t="inlineStr">
        <is>
          <t>Resultado Não Recorrente</t>
        </is>
      </c>
      <c r="D127" s="267" t="n"/>
      <c r="E127" s="267" t="n"/>
      <c r="F127" s="267" t="n"/>
      <c r="G127" s="267" t="n"/>
      <c r="H127" s="268" t="n"/>
      <c r="I127" s="267" t="n"/>
      <c r="J127" s="267" t="n"/>
      <c r="K127" s="267" t="n"/>
      <c r="L127" s="267" t="n"/>
      <c r="M127" s="268" t="n"/>
      <c r="N127" s="267" t="n"/>
      <c r="O127" s="267" t="n"/>
      <c r="P127" s="267" t="n"/>
      <c r="Q127" s="267" t="n"/>
      <c r="R127" s="268" t="n"/>
      <c r="S127" s="267" t="n"/>
      <c r="T127" s="267" t="n"/>
      <c r="U127" s="267" t="n"/>
      <c r="V127" s="267" t="n"/>
      <c r="W127" s="268" t="n"/>
      <c r="X127" s="267" t="n"/>
      <c r="Y127" s="267" t="n"/>
      <c r="Z127" s="267" t="n"/>
      <c r="AA127" s="267" t="n"/>
      <c r="AB127" s="268" t="n"/>
      <c r="AC127" s="267" t="n"/>
      <c r="AD127" s="267" t="n"/>
      <c r="AE127" s="267" t="n"/>
      <c r="AF127" s="267" t="n"/>
      <c r="AG127" s="268" t="n"/>
      <c r="AH127" s="268" t="n"/>
      <c r="AI127" s="268" t="n"/>
      <c r="AJ127" s="268" t="n"/>
      <c r="AK127" s="268" t="n"/>
      <c r="AL127" s="268" t="n"/>
      <c r="AM127" s="268" t="n"/>
      <c r="AN127" s="268" t="n"/>
      <c r="AO127" s="268" t="n"/>
      <c r="AP127" s="268" t="n"/>
      <c r="AQ127" s="268" t="n"/>
      <c r="AR127" s="268" t="n"/>
      <c r="AS127" s="268" t="n"/>
      <c r="AT127" s="268" t="n"/>
      <c r="AU127" s="268" t="n"/>
      <c r="AV127" s="268" t="n"/>
      <c r="AW127" s="268" t="n"/>
      <c r="AX127" s="268" t="n"/>
      <c r="AY127" s="268" t="n"/>
      <c r="AZ127" s="268" t="n"/>
      <c r="BA127" s="268" t="n"/>
      <c r="BB127" s="268" t="n"/>
      <c r="BC127" s="268" t="n"/>
      <c r="BD127" s="268" t="n"/>
      <c r="BE127" s="268" t="n"/>
      <c r="BF127" s="268" t="n"/>
      <c r="BG127" s="268" t="n"/>
      <c r="BH127" s="268" t="n"/>
      <c r="BI127" s="268" t="n"/>
      <c r="BJ127" s="268" t="n"/>
      <c r="BK127" s="268" t="n"/>
      <c r="BL127" s="268" t="n"/>
      <c r="BM127" s="268" t="n"/>
      <c r="BN127" s="268" t="n"/>
      <c r="BO127" s="268" t="n"/>
      <c r="BP127" s="268" t="n"/>
      <c r="BQ127" s="268" t="n"/>
      <c r="BR127" s="268" t="n"/>
      <c r="BS127" s="268" t="n"/>
      <c r="BT127" s="268" t="n"/>
      <c r="BU127" s="268" t="n"/>
      <c r="BV127" s="268" t="n"/>
      <c r="BW127" s="268" t="n"/>
      <c r="BX127" s="268" t="n"/>
      <c r="BY127" s="268" t="n"/>
      <c r="BZ127" s="268" t="n"/>
      <c r="CA127" s="268" t="n"/>
      <c r="CB127" s="268" t="n"/>
      <c r="CC127" s="268" t="n"/>
      <c r="CD127" s="268" t="n"/>
      <c r="CE127" s="268" t="n"/>
      <c r="CF127" s="268" t="n"/>
      <c r="CG127" s="268" t="n"/>
      <c r="CH127" s="268" t="n"/>
      <c r="CI127" s="268" t="n"/>
      <c r="CJ127" s="268" t="n"/>
      <c r="CK127" s="268" t="n"/>
      <c r="CL127" s="268" t="n"/>
      <c r="CM127" s="268" t="n"/>
      <c r="CN127" s="268" t="n"/>
      <c r="CO127" s="268" t="n"/>
      <c r="CP127" s="268" t="n"/>
      <c r="CQ127" s="268" t="n"/>
      <c r="CR127" s="268" t="n"/>
      <c r="CS127" s="268" t="n"/>
      <c r="CT127" s="268" t="n"/>
      <c r="CU127" s="268" t="n"/>
      <c r="CV127" s="268" t="n"/>
      <c r="CW127" s="268" t="n"/>
      <c r="CX127" s="268" t="n"/>
      <c r="CY127" s="268" t="n"/>
    </row>
    <row r="128" hidden="1" outlineLevel="1" ht="12.75" customHeight="1" s="255">
      <c r="C128" s="305" t="inlineStr">
        <is>
          <t>Plano de Opção de Compra de Ações</t>
        </is>
      </c>
      <c r="D128" s="267" t="n"/>
      <c r="E128" s="267" t="n"/>
      <c r="F128" s="267" t="n"/>
      <c r="G128" s="267" t="n"/>
      <c r="H128" s="268" t="n"/>
      <c r="I128" s="267" t="n"/>
      <c r="J128" s="267" t="n"/>
      <c r="K128" s="267" t="n"/>
      <c r="L128" s="267" t="n"/>
      <c r="M128" s="268" t="n"/>
      <c r="N128" s="267" t="n"/>
      <c r="O128" s="267" t="n"/>
      <c r="P128" s="267" t="n"/>
      <c r="Q128" s="267" t="n"/>
      <c r="R128" s="268" t="n"/>
      <c r="S128" s="267" t="n"/>
      <c r="T128" s="267" t="n"/>
      <c r="U128" s="267" t="n"/>
      <c r="V128" s="267" t="n"/>
      <c r="W128" s="268" t="n"/>
      <c r="X128" s="267" t="n"/>
      <c r="Y128" s="267" t="n"/>
      <c r="Z128" s="267" t="n"/>
      <c r="AA128" s="267" t="n"/>
      <c r="AB128" s="268" t="n"/>
      <c r="AC128" s="267" t="n"/>
      <c r="AD128" s="267" t="n"/>
      <c r="AE128" s="267" t="n"/>
      <c r="AF128" s="267" t="n"/>
      <c r="AG128" s="268" t="n"/>
      <c r="AH128" s="268" t="n"/>
      <c r="AI128" s="268" t="n"/>
      <c r="AJ128" s="268" t="n"/>
      <c r="AK128" s="268" t="n"/>
      <c r="AL128" s="268" t="n"/>
      <c r="AM128" s="268" t="n"/>
      <c r="AN128" s="268" t="n"/>
      <c r="AO128" s="268" t="n"/>
      <c r="AP128" s="268" t="n"/>
      <c r="AQ128" s="268" t="n"/>
      <c r="AR128" s="268" t="n"/>
      <c r="AS128" s="268" t="n"/>
      <c r="AT128" s="268" t="n"/>
      <c r="AU128" s="268" t="n"/>
      <c r="AV128" s="268" t="n"/>
      <c r="AW128" s="268" t="n"/>
      <c r="AX128" s="268" t="n"/>
      <c r="AY128" s="268" t="n"/>
      <c r="AZ128" s="268" t="n"/>
      <c r="BA128" s="268" t="n"/>
      <c r="BB128" s="268" t="n"/>
      <c r="BC128" s="268" t="n"/>
      <c r="BD128" s="268" t="n"/>
      <c r="BE128" s="268" t="n"/>
      <c r="BF128" s="268" t="n"/>
      <c r="BG128" s="268" t="n"/>
      <c r="BH128" s="268" t="n"/>
      <c r="BI128" s="268" t="n"/>
      <c r="BJ128" s="268" t="n"/>
      <c r="BK128" s="268" t="n"/>
      <c r="BL128" s="268" t="n"/>
      <c r="BM128" s="268" t="n"/>
      <c r="BN128" s="268" t="n"/>
      <c r="BO128" s="268" t="n"/>
      <c r="BP128" s="268" t="n"/>
      <c r="BQ128" s="268" t="n"/>
      <c r="BR128" s="268" t="n"/>
      <c r="BS128" s="268" t="n"/>
      <c r="BT128" s="268" t="n"/>
      <c r="BU128" s="268" t="n"/>
      <c r="BV128" s="268" t="n"/>
      <c r="BW128" s="268" t="n"/>
      <c r="BX128" s="268" t="n"/>
      <c r="BY128" s="268" t="n"/>
      <c r="BZ128" s="268" t="n"/>
      <c r="CA128" s="268" t="n"/>
      <c r="CB128" s="268" t="n"/>
      <c r="CC128" s="268" t="n"/>
      <c r="CD128" s="268" t="n"/>
      <c r="CE128" s="268" t="n"/>
      <c r="CF128" s="268" t="n"/>
      <c r="CG128" s="268" t="n"/>
      <c r="CH128" s="268" t="n"/>
      <c r="CI128" s="268" t="n"/>
      <c r="CJ128" s="268" t="n"/>
      <c r="CK128" s="268" t="n"/>
      <c r="CL128" s="268" t="n"/>
      <c r="CM128" s="268" t="n"/>
      <c r="CN128" s="268" t="n"/>
      <c r="CO128" s="268" t="n"/>
      <c r="CP128" s="268" t="n"/>
      <c r="CQ128" s="268" t="n"/>
      <c r="CR128" s="268" t="n"/>
      <c r="CS128" s="268" t="n"/>
      <c r="CT128" s="268" t="n"/>
      <c r="CU128" s="268" t="n"/>
      <c r="CV128" s="268" t="n"/>
      <c r="CW128" s="268" t="n"/>
      <c r="CX128" s="268" t="n"/>
      <c r="CY128" s="268" t="n"/>
    </row>
    <row r="129" hidden="1" outlineLevel="1" ht="12.75" customHeight="1" s="255">
      <c r="C129" s="305" t="inlineStr">
        <is>
          <t>Baixa Imobilizado</t>
        </is>
      </c>
      <c r="D129" s="267" t="n"/>
      <c r="E129" s="267" t="n"/>
      <c r="F129" s="267" t="n"/>
      <c r="G129" s="267" t="n"/>
      <c r="H129" s="268" t="n"/>
      <c r="I129" s="267" t="n"/>
      <c r="J129" s="267" t="n"/>
      <c r="K129" s="267" t="n"/>
      <c r="L129" s="267" t="n"/>
      <c r="M129" s="268" t="n"/>
      <c r="N129" s="267" t="n"/>
      <c r="O129" s="267" t="n"/>
      <c r="P129" s="267" t="n"/>
      <c r="Q129" s="267" t="n"/>
      <c r="R129" s="268" t="n"/>
      <c r="S129" s="267" t="n"/>
      <c r="T129" s="267" t="n"/>
      <c r="U129" s="267" t="n"/>
      <c r="V129" s="267" t="n"/>
      <c r="W129" s="268" t="n"/>
      <c r="X129" s="267" t="n"/>
      <c r="Y129" s="267" t="n"/>
      <c r="Z129" s="267" t="n"/>
      <c r="AA129" s="267" t="n"/>
      <c r="AB129" s="268" t="n"/>
      <c r="AC129" s="267" t="n"/>
      <c r="AD129" s="267" t="n"/>
      <c r="AE129" s="267" t="n"/>
      <c r="AF129" s="267" t="n"/>
      <c r="AG129" s="268" t="n"/>
      <c r="AH129" s="268" t="n"/>
      <c r="AI129" s="268" t="n"/>
      <c r="AJ129" s="268" t="n"/>
      <c r="AK129" s="268" t="n"/>
      <c r="AL129" s="268" t="n"/>
      <c r="AM129" s="268" t="n"/>
      <c r="AN129" s="268" t="n"/>
      <c r="AO129" s="268" t="n"/>
      <c r="AP129" s="268" t="n"/>
      <c r="AQ129" s="268" t="n"/>
      <c r="AR129" s="268" t="n"/>
      <c r="AS129" s="268" t="n"/>
      <c r="AT129" s="268" t="n"/>
      <c r="AU129" s="268" t="n"/>
      <c r="AV129" s="268" t="n"/>
      <c r="AW129" s="268" t="n"/>
      <c r="AX129" s="268" t="n"/>
      <c r="AY129" s="268" t="n"/>
      <c r="AZ129" s="268" t="n"/>
      <c r="BA129" s="268" t="n"/>
      <c r="BB129" s="268" t="n"/>
      <c r="BC129" s="268" t="n"/>
      <c r="BD129" s="268" t="n"/>
      <c r="BE129" s="268" t="n"/>
      <c r="BF129" s="268" t="n"/>
      <c r="BG129" s="268" t="n"/>
      <c r="BH129" s="268" t="n"/>
      <c r="BI129" s="268" t="n"/>
      <c r="BJ129" s="268" t="n"/>
      <c r="BK129" s="268" t="n"/>
      <c r="BL129" s="268" t="n"/>
      <c r="BM129" s="268" t="n"/>
      <c r="BN129" s="268" t="n"/>
      <c r="BO129" s="268" t="n"/>
      <c r="BP129" s="268" t="n"/>
      <c r="BQ129" s="268" t="n"/>
      <c r="BR129" s="268" t="n"/>
      <c r="BS129" s="268" t="n"/>
      <c r="BT129" s="268" t="n"/>
      <c r="BU129" s="268" t="n"/>
      <c r="BV129" s="268" t="n"/>
      <c r="BW129" s="268" t="n"/>
      <c r="BX129" s="268" t="n"/>
      <c r="BY129" s="268" t="n"/>
      <c r="BZ129" s="268" t="n"/>
      <c r="CA129" s="268" t="n"/>
      <c r="CB129" s="268" t="n"/>
      <c r="CC129" s="268" t="n"/>
      <c r="CD129" s="268" t="n"/>
      <c r="CE129" s="268" t="n"/>
      <c r="CF129" s="268" t="n"/>
      <c r="CG129" s="268" t="n"/>
      <c r="CH129" s="268" t="n"/>
      <c r="CI129" s="268" t="n"/>
      <c r="CJ129" s="268" t="n"/>
      <c r="CK129" s="268" t="n"/>
      <c r="CL129" s="268" t="n"/>
      <c r="CM129" s="268" t="n"/>
      <c r="CN129" s="268" t="n"/>
      <c r="CO129" s="268" t="n"/>
      <c r="CP129" s="268" t="n"/>
      <c r="CQ129" s="268" t="n"/>
      <c r="CR129" s="268" t="n"/>
      <c r="CS129" s="268" t="n"/>
      <c r="CT129" s="268" t="n"/>
      <c r="CU129" s="268" t="n"/>
      <c r="CV129" s="268" t="n"/>
      <c r="CW129" s="268" t="n"/>
      <c r="CX129" s="268" t="n"/>
      <c r="CY129" s="268" t="n"/>
    </row>
    <row r="130" hidden="1" outlineLevel="1" ht="12.75" customHeight="1" s="255">
      <c r="C130" s="312" t="n"/>
      <c r="D130" s="268" t="n"/>
      <c r="E130" s="268" t="n"/>
      <c r="F130" s="268" t="n"/>
      <c r="G130" s="268" t="n"/>
      <c r="H130" s="268" t="n"/>
      <c r="I130" s="268" t="n"/>
      <c r="J130" s="268" t="n"/>
      <c r="K130" s="268" t="n"/>
      <c r="L130" s="268" t="n"/>
      <c r="M130" s="268" t="n"/>
      <c r="N130" s="268" t="n"/>
      <c r="O130" s="268" t="n"/>
      <c r="P130" s="268" t="n"/>
      <c r="Q130" s="268" t="n"/>
      <c r="R130" s="268" t="n"/>
      <c r="S130" s="268" t="n"/>
      <c r="T130" s="268" t="n"/>
      <c r="U130" s="268" t="n"/>
      <c r="V130" s="268" t="n"/>
      <c r="W130" s="268" t="n"/>
      <c r="X130" s="268" t="n"/>
      <c r="Y130" s="268" t="n"/>
      <c r="Z130" s="268" t="n"/>
      <c r="AA130" s="268" t="n"/>
      <c r="AB130" s="268" t="n"/>
      <c r="AC130" s="268" t="n"/>
      <c r="AD130" s="268" t="n"/>
      <c r="AE130" s="268" t="n"/>
      <c r="AF130" s="268" t="n"/>
      <c r="AG130" s="268" t="n"/>
      <c r="AH130" s="268" t="n"/>
      <c r="AI130" s="268" t="n"/>
      <c r="AJ130" s="268" t="n"/>
      <c r="AK130" s="268" t="n"/>
      <c r="AL130" s="268" t="n"/>
      <c r="AM130" s="268" t="n"/>
      <c r="AN130" s="268" t="n"/>
      <c r="AO130" s="268" t="n"/>
      <c r="AP130" s="268" t="n"/>
      <c r="AQ130" s="268" t="n"/>
      <c r="AR130" s="268" t="n"/>
      <c r="AS130" s="268" t="n"/>
      <c r="AT130" s="268" t="n"/>
      <c r="AU130" s="268" t="n"/>
      <c r="AV130" s="268" t="n"/>
      <c r="AW130" s="268" t="n"/>
      <c r="AX130" s="268" t="n"/>
      <c r="AY130" s="268" t="n"/>
      <c r="AZ130" s="268" t="n"/>
      <c r="BA130" s="268" t="n"/>
      <c r="BB130" s="268" t="n"/>
      <c r="BC130" s="268" t="n"/>
      <c r="BD130" s="268" t="n"/>
      <c r="BE130" s="268" t="n"/>
      <c r="BF130" s="268" t="n"/>
      <c r="BG130" s="268" t="n"/>
      <c r="BH130" s="268" t="n"/>
      <c r="BI130" s="268" t="n"/>
      <c r="BJ130" s="268" t="n"/>
      <c r="BK130" s="268" t="n"/>
      <c r="BL130" s="268" t="n"/>
      <c r="BM130" s="268" t="n"/>
      <c r="BN130" s="268" t="n"/>
      <c r="BO130" s="268" t="n"/>
      <c r="BP130" s="268" t="n"/>
      <c r="BQ130" s="268" t="n"/>
      <c r="BR130" s="268" t="n"/>
      <c r="BS130" s="268" t="n"/>
      <c r="BT130" s="268" t="n"/>
      <c r="BU130" s="268" t="n"/>
      <c r="BV130" s="268" t="n"/>
      <c r="BW130" s="268" t="n"/>
      <c r="BX130" s="268" t="n"/>
      <c r="BY130" s="268" t="n"/>
      <c r="BZ130" s="268" t="n"/>
      <c r="CA130" s="268" t="n"/>
      <c r="CB130" s="268" t="n"/>
      <c r="CC130" s="268" t="n"/>
      <c r="CD130" s="268" t="n"/>
      <c r="CE130" s="268" t="n"/>
      <c r="CF130" s="268" t="n"/>
      <c r="CG130" s="268" t="n"/>
      <c r="CH130" s="268" t="n"/>
      <c r="CI130" s="268" t="n"/>
      <c r="CJ130" s="268" t="n"/>
      <c r="CK130" s="268" t="n"/>
      <c r="CL130" s="268" t="n"/>
      <c r="CM130" s="268" t="n"/>
      <c r="CN130" s="268" t="n"/>
      <c r="CO130" s="268" t="n"/>
      <c r="CP130" s="268" t="n"/>
      <c r="CQ130" s="268" t="n"/>
      <c r="CR130" s="268" t="n"/>
      <c r="CS130" s="268" t="n"/>
      <c r="CT130" s="268" t="n"/>
      <c r="CU130" s="268" t="n"/>
      <c r="CV130" s="268" t="n"/>
      <c r="CW130" s="268" t="n"/>
      <c r="CX130" s="268" t="n"/>
      <c r="CY130" s="268" t="n"/>
    </row>
    <row r="131" hidden="1" outlineLevel="1" ht="12.75" customHeight="1" s="255">
      <c r="C131" s="312" t="n"/>
      <c r="D131" s="268" t="n"/>
      <c r="E131" s="268" t="n"/>
      <c r="F131" s="268" t="n"/>
      <c r="G131" s="268" t="n"/>
      <c r="H131" s="268" t="n"/>
      <c r="I131" s="268" t="n"/>
      <c r="J131" s="268" t="n"/>
      <c r="K131" s="268" t="n"/>
      <c r="L131" s="268" t="n"/>
      <c r="M131" s="268" t="n"/>
      <c r="N131" s="268" t="n"/>
      <c r="O131" s="268" t="n"/>
      <c r="P131" s="268" t="n"/>
      <c r="Q131" s="268" t="n"/>
      <c r="R131" s="268" t="n"/>
      <c r="S131" s="268" t="n"/>
      <c r="T131" s="268" t="n"/>
      <c r="U131" s="268" t="n"/>
      <c r="V131" s="268" t="n"/>
      <c r="W131" s="268" t="n"/>
      <c r="X131" s="268" t="n"/>
      <c r="Y131" s="268" t="n"/>
      <c r="Z131" s="268" t="n"/>
      <c r="AA131" s="268" t="n"/>
      <c r="AB131" s="268" t="n"/>
      <c r="AC131" s="268" t="n"/>
      <c r="AD131" s="268" t="n"/>
      <c r="AE131" s="268" t="n"/>
      <c r="AF131" s="268" t="n"/>
      <c r="AG131" s="268" t="n"/>
      <c r="AH131" s="268" t="n"/>
      <c r="AI131" s="268" t="n"/>
      <c r="AJ131" s="268" t="n"/>
      <c r="AK131" s="268" t="n"/>
      <c r="AL131" s="268" t="n"/>
      <c r="AM131" s="268" t="n"/>
      <c r="AN131" s="268" t="n"/>
      <c r="AO131" s="268" t="n"/>
      <c r="AP131" s="268" t="n"/>
      <c r="AQ131" s="268" t="n"/>
      <c r="AR131" s="268" t="n"/>
      <c r="AS131" s="268" t="n"/>
      <c r="AT131" s="268" t="n"/>
      <c r="AU131" s="268" t="n"/>
      <c r="AV131" s="268" t="n"/>
      <c r="AW131" s="268" t="n"/>
      <c r="AX131" s="268" t="n"/>
      <c r="AY131" s="268" t="n"/>
      <c r="AZ131" s="268" t="n"/>
      <c r="BA131" s="268" t="n"/>
      <c r="BB131" s="268" t="n"/>
      <c r="BC131" s="268" t="n"/>
      <c r="BD131" s="268" t="n"/>
      <c r="BE131" s="268" t="n"/>
      <c r="BF131" s="268" t="n"/>
      <c r="BG131" s="268" t="n"/>
      <c r="BH131" s="268" t="n"/>
      <c r="BI131" s="268" t="n"/>
      <c r="BJ131" s="268" t="n"/>
      <c r="BK131" s="268" t="n"/>
      <c r="BL131" s="268" t="n"/>
      <c r="BM131" s="268" t="n"/>
      <c r="BN131" s="268" t="n"/>
      <c r="BO131" s="268" t="n"/>
      <c r="BP131" s="268" t="n"/>
      <c r="BQ131" s="268" t="n"/>
      <c r="BR131" s="268" t="n"/>
      <c r="BS131" s="268" t="n"/>
      <c r="BT131" s="268" t="n"/>
      <c r="BU131" s="268" t="n"/>
      <c r="BV131" s="268" t="n"/>
      <c r="BW131" s="268" t="n"/>
      <c r="BX131" s="268" t="n"/>
      <c r="BY131" s="268" t="n"/>
      <c r="BZ131" s="268" t="n"/>
      <c r="CA131" s="268" t="n"/>
      <c r="CB131" s="268" t="n"/>
      <c r="CC131" s="268" t="n"/>
      <c r="CD131" s="268" t="n"/>
      <c r="CE131" s="268" t="n"/>
      <c r="CF131" s="268" t="n"/>
      <c r="CG131" s="268" t="n"/>
      <c r="CH131" s="268" t="n"/>
      <c r="CI131" s="268" t="n"/>
      <c r="CJ131" s="268" t="n"/>
      <c r="CK131" s="268" t="n"/>
      <c r="CL131" s="268" t="n"/>
      <c r="CM131" s="268" t="n"/>
      <c r="CN131" s="268" t="n"/>
      <c r="CO131" s="268" t="n"/>
      <c r="CP131" s="268" t="n"/>
      <c r="CQ131" s="268" t="n"/>
      <c r="CR131" s="268" t="n"/>
      <c r="CS131" s="268" t="n"/>
      <c r="CT131" s="268" t="n"/>
      <c r="CU131" s="268" t="n"/>
      <c r="CV131" s="268" t="n"/>
      <c r="CW131" s="268" t="n"/>
      <c r="CX131" s="268" t="n"/>
      <c r="CY131" s="268" t="n"/>
    </row>
    <row r="132" ht="12.75" customFormat="1" customHeight="1" s="287">
      <c r="A132" s="288" t="n"/>
      <c r="B132" s="259" t="n"/>
      <c r="C132" s="275" t="inlineStr">
        <is>
          <t>Pretax Income - EBT</t>
        </is>
      </c>
      <c r="D132" s="276">
        <f>SUM(D75,D76,D125)</f>
        <v>5396</v>
      </c>
      <c r="E132" s="276">
        <f>SUM(E75,E76,E125)</f>
        <v>8646</v>
      </c>
      <c r="F132" s="276">
        <f>SUM(F75,F76,F125)</f>
        <v>7115</v>
      </c>
      <c r="G132" s="276">
        <f>SUM(G75,G76,G125)</f>
        <v>-593</v>
      </c>
      <c r="H132" s="276">
        <f>SUM(D132:G132)</f>
        <v>20564</v>
      </c>
      <c r="I132" s="276">
        <f>SUM(I75,I76,I125)</f>
        <v>3844</v>
      </c>
      <c r="J132" s="276">
        <f>SUM(J75,J76,J125)</f>
        <v>5923</v>
      </c>
      <c r="K132" s="276">
        <f>SUM(K75,K76,K125)</f>
        <v>4147</v>
      </c>
      <c r="L132" s="276">
        <f>SUM(L75,L76,L125)</f>
        <v>4782</v>
      </c>
      <c r="M132" s="276">
        <f>SUM(I132:L132)</f>
        <v>18696</v>
      </c>
      <c r="N132" s="276">
        <f>SUM(N75,N76,N125)</f>
        <v>2901</v>
      </c>
      <c r="O132" s="276">
        <f>SUM(O75,O76,O125)</f>
        <v>6644</v>
      </c>
      <c r="P132" s="276">
        <f>SUM(P75,P76,P125)</f>
        <v>-1431</v>
      </c>
      <c r="Q132" s="276">
        <f>SUM(Q75,Q76,Q125)</f>
        <v>8902</v>
      </c>
      <c r="R132" s="276">
        <f>SUM(N132:Q132)</f>
        <v>17016</v>
      </c>
      <c r="S132" s="276">
        <f>SUM(S75,S76,S125)</f>
        <v>2688</v>
      </c>
      <c r="T132" s="276">
        <f>SUM(T75,T76,T125)</f>
        <v>10727</v>
      </c>
      <c r="U132" s="276">
        <f>SUM(U75,U76,U125)</f>
        <v>915</v>
      </c>
      <c r="V132" s="276">
        <f>SUM(V75,V76,V125)</f>
        <v>7518</v>
      </c>
      <c r="W132" s="276">
        <f>SUM(S132:V132)</f>
        <v>21848</v>
      </c>
      <c r="X132" s="276">
        <f>SUM(X75,X76,X125)</f>
        <v>7035</v>
      </c>
      <c r="Y132" s="276">
        <f>SUM(Y75,Y76,Y125)</f>
        <v>6213</v>
      </c>
      <c r="Z132" s="276">
        <f>SUM(Z75,Z76,Z125)</f>
        <v>6098</v>
      </c>
      <c r="AA132" s="276">
        <f>SUM(AA75,AA76,AA125)</f>
        <v>6963</v>
      </c>
      <c r="AB132" s="276">
        <f>SUM(X132:AA132)</f>
        <v>26309</v>
      </c>
      <c r="AC132" s="276">
        <f>SUM(AC75,AC76,AC125)</f>
        <v>5994</v>
      </c>
      <c r="AD132" s="276">
        <f>SUM(AD75,AD76,AD125)</f>
        <v>9319</v>
      </c>
      <c r="AE132" s="276">
        <f>SUM(AE75,AE76,AE125)</f>
        <v>8186</v>
      </c>
      <c r="AF132" s="276">
        <f>SUM(AF75,AF76,AF125)</f>
        <v>5970</v>
      </c>
      <c r="AG132" s="276">
        <f>SUM(AC132:AF132)</f>
        <v>29469</v>
      </c>
      <c r="AH132" s="276">
        <f>SUM(AH75,AH76,AH125)</f>
        <v>7148</v>
      </c>
      <c r="AI132" s="276">
        <f>SUM(AI75,AI76,AI125)</f>
        <v>8012</v>
      </c>
      <c r="AJ132" s="276">
        <f>SUM(AJ75,AJ76,AJ125)</f>
        <v>229</v>
      </c>
      <c r="AK132" s="276">
        <f>SUM(AK75,AK76,AK125)</f>
        <v>-1234</v>
      </c>
      <c r="AL132" s="276">
        <f>SUM(AH132:AK132)</f>
        <v>14155</v>
      </c>
      <c r="AM132" s="276">
        <f>SUM(AM75,AM76,AM125)</f>
        <v>-1234</v>
      </c>
      <c r="AN132" s="276">
        <f>SUM(AN75,AN76,AN125)</f>
        <v>-2010</v>
      </c>
      <c r="AO132" s="276">
        <f>SUM(AO75,AO76,AO125)</f>
        <v>-1234</v>
      </c>
      <c r="AP132" s="276">
        <f>SUM(AP75,AP76,AP125)</f>
        <v>-2010</v>
      </c>
      <c r="AQ132" s="276">
        <f>SUM(AM132:AP132)</f>
        <v>-6488</v>
      </c>
      <c r="AR132" s="276">
        <f>SUM(AR75,AR76,AR125)</f>
        <v>-2010</v>
      </c>
      <c r="AS132" s="276">
        <f>SUM(AS75,AS76,AS125)</f>
        <v>-6488</v>
      </c>
      <c r="AT132" s="276">
        <f>SUM(AT75,AT76,AT125)</f>
        <v>-2010</v>
      </c>
      <c r="AU132" s="276">
        <f>SUM(AU75,AU76,AU125)</f>
        <v>-6488</v>
      </c>
      <c r="AV132" s="276">
        <f>SUM(AR132:AU132)</f>
        <v>-16996</v>
      </c>
      <c r="AW132" s="276">
        <f>SUM(AW75,AW76,AW125)</f>
        <v>-6488</v>
      </c>
      <c r="AX132" s="276">
        <f>SUM(AX75,AX76,AX125)</f>
        <v>-16996</v>
      </c>
      <c r="AY132" s="276">
        <f>SUM(AY75,AY76,AY125)</f>
        <v>-6488</v>
      </c>
      <c r="AZ132" s="276">
        <f>SUM(AZ75,AZ76,AZ125)</f>
        <v>-16996</v>
      </c>
      <c r="BA132" s="276">
        <f>SUM(AW132:AZ132)</f>
        <v>-46968</v>
      </c>
      <c r="BB132" s="276">
        <f>SUM(BB75,BB76,BB125)</f>
        <v>-16996</v>
      </c>
      <c r="BC132" s="276">
        <f>SUM(BC75,BC76,BC125)</f>
        <v>-46968</v>
      </c>
      <c r="BD132" s="276">
        <f>SUM(BD75,BD76,BD125)</f>
        <v>-16996</v>
      </c>
      <c r="BE132" s="276">
        <f>SUM(BE75,BE76,BE125)</f>
        <v>-46968</v>
      </c>
      <c r="BF132" s="276">
        <f>SUM(BB132:BE132)</f>
        <v>-127928</v>
      </c>
      <c r="BG132" s="276">
        <f>SUM(BG75,BG76,BG125)</f>
        <v>-46968</v>
      </c>
      <c r="BH132" s="276">
        <f>SUM(BH75,BH76,BH125)</f>
        <v>-127928</v>
      </c>
      <c r="BI132" s="276">
        <f>SUM(BI75,BI76,BI125)</f>
        <v>-46968</v>
      </c>
      <c r="BJ132" s="276">
        <f>SUM(BJ75,BJ76,BJ125)</f>
        <v>-127928</v>
      </c>
      <c r="BK132" s="276">
        <f>SUM(BG132:BJ132)</f>
        <v>-349792</v>
      </c>
      <c r="BL132" s="276">
        <f>SUM(BL75,BL76,BL125)</f>
        <v>-127928</v>
      </c>
      <c r="BM132" s="276">
        <f>SUM(BM75,BM76,BM125)</f>
        <v>-349792</v>
      </c>
      <c r="BN132" s="276">
        <f>SUM(BN75,BN76,BN125)</f>
        <v>-127928</v>
      </c>
      <c r="BO132" s="276">
        <f>SUM(BO75,BO76,BO125)</f>
        <v>-349792</v>
      </c>
      <c r="BP132" s="276">
        <f>SUM(BL132:BO132)</f>
        <v>-955440</v>
      </c>
      <c r="BQ132" s="276">
        <f>SUM(BQ75,BQ76,BQ125)</f>
        <v>-349792</v>
      </c>
      <c r="BR132" s="276">
        <f>SUM(BR75,BR76,BR125)</f>
        <v>-955440</v>
      </c>
      <c r="BS132" s="276">
        <f>SUM(BS75,BS76,BS125)</f>
        <v>-349792</v>
      </c>
      <c r="BT132" s="276">
        <f>SUM(BT75,BT76,BT125)</f>
        <v>-955440</v>
      </c>
      <c r="BU132" s="276">
        <f>SUM(BQ132:BT132)</f>
        <v>-2610464</v>
      </c>
      <c r="BV132" s="276">
        <f>SUM(BV75,BV76,BV125)</f>
        <v>-955440</v>
      </c>
      <c r="BW132" s="276">
        <f>SUM(BW75,BW76,BW125)</f>
        <v>-2610464</v>
      </c>
      <c r="BX132" s="276">
        <f>SUM(BX75,BX76,BX125)</f>
        <v>-955440</v>
      </c>
      <c r="BY132" s="276">
        <f>SUM(BY75,BY76,BY125)</f>
        <v>-2610464</v>
      </c>
      <c r="BZ132" s="276">
        <f>SUM(BV132:BY132)</f>
        <v>-7131808</v>
      </c>
      <c r="CA132" s="276">
        <f>SUM(CA75,CA76,CA125)</f>
        <v>-2610464</v>
      </c>
      <c r="CB132" s="276">
        <f>SUM(CB75,CB76,CB125)</f>
        <v>-7131808</v>
      </c>
      <c r="CC132" s="276">
        <f>SUM(CC75,CC76,CC125)</f>
        <v>-2610464</v>
      </c>
      <c r="CD132" s="276">
        <f>SUM(CD75,CD76,CD125)</f>
        <v>-7131808</v>
      </c>
      <c r="CE132" s="276">
        <f>SUM(CA132:CD132)</f>
        <v>-19484544</v>
      </c>
      <c r="CF132" s="276">
        <f>SUM(CF75,CF76,CF125)</f>
        <v>-7131808</v>
      </c>
      <c r="CG132" s="276">
        <f>SUM(CG75,CG76,CG125)</f>
        <v>-19484544</v>
      </c>
      <c r="CH132" s="276">
        <f>SUM(CH75,CH76,CH125)</f>
        <v>-7131808</v>
      </c>
      <c r="CI132" s="276">
        <f>SUM(CI75,CI76,CI125)</f>
        <v>-19484544</v>
      </c>
      <c r="CJ132" s="276">
        <f>SUM(CF132:CI132)</f>
        <v>-53232704</v>
      </c>
      <c r="CK132" s="276">
        <f>SUM(CK75,CK76,CK125)</f>
        <v>-19484544</v>
      </c>
      <c r="CL132" s="276">
        <f>SUM(CL75,CL76,CL125)</f>
        <v>-53232704</v>
      </c>
      <c r="CM132" s="276">
        <f>SUM(CM75,CM76,CM125)</f>
        <v>-19484544</v>
      </c>
      <c r="CN132" s="276">
        <f>SUM(CN75,CN76,CN125)</f>
        <v>-53232704</v>
      </c>
      <c r="CO132" s="276">
        <f>SUM(CK132:CN132)</f>
        <v>-145434496</v>
      </c>
      <c r="CP132" s="276">
        <f>SUM(CP75,CP76,CP125)</f>
        <v>-53232704</v>
      </c>
      <c r="CQ132" s="276">
        <f>SUM(CQ75,CQ76,CQ125)</f>
        <v>-145434496</v>
      </c>
      <c r="CR132" s="276">
        <f>SUM(CR75,CR76,CR125)</f>
        <v>-53232704</v>
      </c>
      <c r="CS132" s="276">
        <f>SUM(CS75,CS76,CS125)</f>
        <v>-145434496</v>
      </c>
      <c r="CT132" s="276">
        <f>SUM(CP132:CS132)</f>
        <v>-397334400</v>
      </c>
      <c r="CU132" s="276">
        <f>SUM(CU75,CU76,CU125)</f>
        <v>-145434496</v>
      </c>
      <c r="CV132" s="276">
        <f>SUM(CV75,CV76,CV125)</f>
        <v>-397334400</v>
      </c>
      <c r="CW132" s="276">
        <f>SUM(CW75,CW76,CW125)</f>
        <v>-145434496</v>
      </c>
      <c r="CX132" s="276">
        <f>SUM(CX75,CX76,CX125)</f>
        <v>-397334400</v>
      </c>
      <c r="CY132" s="276">
        <f>SUM(CU132:CX132)</f>
        <v>-1085537792</v>
      </c>
    </row>
    <row r="133" ht="12.75" customHeight="1" s="255">
      <c r="C133" s="270" t="inlineStr">
        <is>
          <t>Taxes</t>
        </is>
      </c>
      <c r="D133" s="301">
        <f>INDEX('Inputs (2)'!$D$10:$AL$10,MATCH(D$7,'Inputs (2)'!$D$2:$AL$2,0))</f>
        <v>-1322</v>
      </c>
      <c r="E133" s="301">
        <f>INDEX('Inputs (2)'!$D$10:$AL$10,MATCH(E$7,'Inputs (2)'!$D$2:$AL$2,0))</f>
        <v>-2207</v>
      </c>
      <c r="F133" s="301">
        <f>INDEX('Inputs (2)'!$D$10:$AL$10,MATCH(F$7,'Inputs (2)'!$D$2:$AL$2,0))</f>
        <v>-1914</v>
      </c>
      <c r="G133" s="301">
        <f>INDEX('Inputs (2)'!$D$10:$AL$10,MATCH(G$7,'Inputs (2)'!$D$2:$AL$2,0))</f>
        <v>-1415</v>
      </c>
      <c r="H133" s="268">
        <f>SUM(D133:G133)</f>
        <v>-6858</v>
      </c>
      <c r="I133" s="301">
        <f>INDEX('Inputs (2)'!$D$10:$AL$10,MATCH(I$7,'Inputs (2)'!$D$2:$AL$2,0))</f>
        <v>-1033</v>
      </c>
      <c r="J133" s="301">
        <f>INDEX('Inputs (2)'!$D$10:$AL$10,MATCH(J$7,'Inputs (2)'!$D$2:$AL$2,0))</f>
        <v>-1559</v>
      </c>
      <c r="K133" s="301">
        <f>INDEX('Inputs (2)'!$D$10:$AL$10,MATCH(K$7,'Inputs (2)'!$D$2:$AL$2,0))</f>
        <v>-1015</v>
      </c>
      <c r="L133" s="301">
        <f>INDEX('Inputs (2)'!$D$10:$AL$10,MATCH(L$7,'Inputs (2)'!$D$2:$AL$2,0))</f>
        <v>-1149</v>
      </c>
      <c r="M133" s="268">
        <f>SUM(I133:L133)</f>
        <v>-4756</v>
      </c>
      <c r="N133" s="301">
        <f>INDEX('Inputs (2)'!$D$10:$AL$10,MATCH(N$7,'Inputs (2)'!$D$2:$AL$2,0))</f>
        <v>-798</v>
      </c>
      <c r="O133" s="301">
        <f>INDEX('Inputs (2)'!$D$10:$AL$10,MATCH(O$7,'Inputs (2)'!$D$2:$AL$2,0))</f>
        <v>-1497</v>
      </c>
      <c r="P133" s="301">
        <f>INDEX('Inputs (2)'!$D$10:$AL$10,MATCH(P$7,'Inputs (2)'!$D$2:$AL$2,0))</f>
        <v>-336</v>
      </c>
      <c r="Q133" s="301">
        <f>INDEX('Inputs (2)'!$D$10:$AL$10,MATCH(Q$7,'Inputs (2)'!$D$2:$AL$2,0))</f>
        <v>-3093</v>
      </c>
      <c r="R133" s="268">
        <f>SUM(N133:Q133)</f>
        <v>-5724</v>
      </c>
      <c r="S133" s="301">
        <f>INDEX('Inputs (2)'!$D$10:$AL$10,MATCH(S$7,'Inputs (2)'!$D$2:$AL$2,0))</f>
        <v>-792</v>
      </c>
      <c r="T133" s="301">
        <f>INDEX('Inputs (2)'!$D$10:$AL$10,MATCH(T$7,'Inputs (2)'!$D$2:$AL$2,0))</f>
        <v>-2674</v>
      </c>
      <c r="U133" s="301">
        <f>INDEX('Inputs (2)'!$D$10:$AL$10,MATCH(U$7,'Inputs (2)'!$D$2:$AL$2,0))</f>
        <v>-272</v>
      </c>
      <c r="V133" s="301">
        <f>INDEX('Inputs (2)'!$D$10:$AL$10,MATCH(V$7,'Inputs (2)'!$D$2:$AL$2,0))</f>
        <v>-1840</v>
      </c>
      <c r="W133" s="268">
        <f>SUM(S133:V133)</f>
        <v>-5578</v>
      </c>
      <c r="X133" s="301">
        <f>INDEX('Inputs (2)'!$D$10:$AL$10,MATCH(X$7,'Inputs (2)'!$D$2:$AL$2,0))</f>
        <v>-1728</v>
      </c>
      <c r="Y133" s="301">
        <f>INDEX('Inputs (2)'!$D$10:$AL$10,MATCH(Y$7,'Inputs (2)'!$D$2:$AL$2,0))</f>
        <v>-1502</v>
      </c>
      <c r="Z133" s="301">
        <f>INDEX('Inputs (2)'!$D$10:$AL$10,MATCH(Z$7,'Inputs (2)'!$D$2:$AL$2,0))</f>
        <v>-1384</v>
      </c>
      <c r="AA133" s="301">
        <f>INDEX('Inputs (2)'!$D$10:$AL$10,MATCH(AA$7,'Inputs (2)'!$D$2:$AL$2,0))</f>
        <v>-1538</v>
      </c>
      <c r="AB133" s="268">
        <f>SUM(X133:AA133)</f>
        <v>-6152</v>
      </c>
      <c r="AC133" s="301">
        <f>INDEX('Inputs (2)'!$D$10:$AL$10,MATCH(AC$7,'Inputs (2)'!$D$2:$AL$2,0))</f>
        <v>-1355</v>
      </c>
      <c r="AD133" s="301">
        <f>INDEX('Inputs (2)'!$D$10:$AL$10,MATCH(AD$7,'Inputs (2)'!$D$2:$AL$2,0))</f>
        <v>-2168</v>
      </c>
      <c r="AE133" s="301">
        <f>INDEX('Inputs (2)'!$D$10:$AL$10,MATCH(AE$7,'Inputs (2)'!$D$2:$AL$2,0))</f>
        <v>-2098</v>
      </c>
      <c r="AF133" s="301">
        <f>INDEX('Inputs (2)'!$D$10:$AL$10,MATCH(AF$7,'Inputs (2)'!$D$2:$AL$2,0))</f>
        <v>-1578</v>
      </c>
      <c r="AG133" s="268">
        <f>SUM(AC133:AF133)</f>
        <v>-7199</v>
      </c>
      <c r="AH133" s="268">
        <f>INDEX('Inputs (2)'!$D$10:$AL$10,MATCH(AH$7,'Inputs (2)'!$D$2:$AL$2,0))</f>
        <v>-1658</v>
      </c>
      <c r="AI133" s="268">
        <f>INDEX('Inputs (2)'!$D$10:$AL$10,MATCH(AI$7,'Inputs (2)'!$D$2:$AL$2,0))</f>
        <v>-1483</v>
      </c>
      <c r="AJ133" s="268">
        <f>AJ134*-AJ132</f>
        <v>0</v>
      </c>
      <c r="AK133" s="268">
        <f>AK134*-AK132</f>
        <v>0</v>
      </c>
      <c r="AL133" s="268">
        <f>SUM(AH133:AK133)</f>
        <v>-3141</v>
      </c>
      <c r="AM133" s="268">
        <f>AM134*-AM132</f>
        <v>0</v>
      </c>
      <c r="AN133" s="268">
        <f>AN134*-AN132</f>
        <v>0</v>
      </c>
      <c r="AO133" s="268">
        <f>AO134*-AO132</f>
        <v>0</v>
      </c>
      <c r="AP133" s="268">
        <f>AP134*-AP132</f>
        <v>0</v>
      </c>
      <c r="AQ133" s="268">
        <f>SUM(AM133:AP133)</f>
        <v>0</v>
      </c>
      <c r="AR133" s="268">
        <f>AR134*-AR132</f>
        <v>0</v>
      </c>
      <c r="AS133" s="268">
        <f>AS134*-AS132</f>
        <v>0</v>
      </c>
      <c r="AT133" s="268">
        <f>AT134*-AT132</f>
        <v>0</v>
      </c>
      <c r="AU133" s="268">
        <f>AU134*-AU132</f>
        <v>0</v>
      </c>
      <c r="AV133" s="268">
        <f>SUM(AR133:AU133)</f>
        <v>0</v>
      </c>
      <c r="AW133" s="268">
        <f>AW134*-AW132</f>
        <v>0</v>
      </c>
      <c r="AX133" s="268">
        <f>AX134*-AX132</f>
        <v>0</v>
      </c>
      <c r="AY133" s="268">
        <f>AY134*-AY132</f>
        <v>0</v>
      </c>
      <c r="AZ133" s="268">
        <f>AZ134*-AZ132</f>
        <v>0</v>
      </c>
      <c r="BA133" s="268">
        <f>SUM(AW133:AZ133)</f>
        <v>0</v>
      </c>
      <c r="BB133" s="268">
        <f>BB134*-BB132</f>
        <v>0</v>
      </c>
      <c r="BC133" s="268">
        <f>BC134*-BC132</f>
        <v>0</v>
      </c>
      <c r="BD133" s="268">
        <f>BD134*-BD132</f>
        <v>0</v>
      </c>
      <c r="BE133" s="268">
        <f>BE134*-BE132</f>
        <v>0</v>
      </c>
      <c r="BF133" s="268">
        <f>SUM(BB133:BE133)</f>
        <v>0</v>
      </c>
      <c r="BG133" s="268">
        <f>BG134*-BG132</f>
        <v>0</v>
      </c>
      <c r="BH133" s="268">
        <f>BH134*-BH132</f>
        <v>0</v>
      </c>
      <c r="BI133" s="268">
        <f>BI134*-BI132</f>
        <v>0</v>
      </c>
      <c r="BJ133" s="268">
        <f>BJ134*-BJ132</f>
        <v>0</v>
      </c>
      <c r="BK133" s="268">
        <f>SUM(BG133:BJ133)</f>
        <v>0</v>
      </c>
      <c r="BL133" s="268">
        <f>BL134*-BL132</f>
        <v>0</v>
      </c>
      <c r="BM133" s="268">
        <f>BM134*-BM132</f>
        <v>0</v>
      </c>
      <c r="BN133" s="268">
        <f>BN134*-BN132</f>
        <v>0</v>
      </c>
      <c r="BO133" s="268">
        <f>BO134*-BO132</f>
        <v>0</v>
      </c>
      <c r="BP133" s="268">
        <f>SUM(BL133:BO133)</f>
        <v>0</v>
      </c>
      <c r="BQ133" s="268">
        <f>BQ134*-BQ132</f>
        <v>0</v>
      </c>
      <c r="BR133" s="268">
        <f>BR134*-BR132</f>
        <v>0</v>
      </c>
      <c r="BS133" s="268">
        <f>BS134*-BS132</f>
        <v>0</v>
      </c>
      <c r="BT133" s="268">
        <f>BT134*-BT132</f>
        <v>0</v>
      </c>
      <c r="BU133" s="268">
        <f>SUM(BQ133:BT133)</f>
        <v>0</v>
      </c>
      <c r="BV133" s="268">
        <f>BV134*-BV132</f>
        <v>0</v>
      </c>
      <c r="BW133" s="268">
        <f>BW134*-BW132</f>
        <v>0</v>
      </c>
      <c r="BX133" s="268">
        <f>BX134*-BX132</f>
        <v>0</v>
      </c>
      <c r="BY133" s="268">
        <f>BY134*-BY132</f>
        <v>0</v>
      </c>
      <c r="BZ133" s="268">
        <f>SUM(BV133:BY133)</f>
        <v>0</v>
      </c>
      <c r="CA133" s="268">
        <f>CA134*-CA132</f>
        <v>0</v>
      </c>
      <c r="CB133" s="268">
        <f>CB134*-CB132</f>
        <v>0</v>
      </c>
      <c r="CC133" s="268">
        <f>CC134*-CC132</f>
        <v>0</v>
      </c>
      <c r="CD133" s="268">
        <f>CD134*-CD132</f>
        <v>0</v>
      </c>
      <c r="CE133" s="268">
        <f>SUM(CA133:CD133)</f>
        <v>0</v>
      </c>
      <c r="CF133" s="268">
        <f>CF134*-CF132</f>
        <v>0</v>
      </c>
      <c r="CG133" s="268">
        <f>CG134*-CG132</f>
        <v>0</v>
      </c>
      <c r="CH133" s="268">
        <f>CH134*-CH132</f>
        <v>0</v>
      </c>
      <c r="CI133" s="268">
        <f>CI134*-CI132</f>
        <v>0</v>
      </c>
      <c r="CJ133" s="268">
        <f>SUM(CF133:CI133)</f>
        <v>0</v>
      </c>
      <c r="CK133" s="268">
        <f>CK134*-CK132</f>
        <v>0</v>
      </c>
      <c r="CL133" s="268">
        <f>CL134*-CL132</f>
        <v>0</v>
      </c>
      <c r="CM133" s="268">
        <f>CM134*-CM132</f>
        <v>0</v>
      </c>
      <c r="CN133" s="268">
        <f>CN134*-CN132</f>
        <v>0</v>
      </c>
      <c r="CO133" s="268">
        <f>SUM(CK133:CN133)</f>
        <v>0</v>
      </c>
      <c r="CP133" s="268">
        <f>CP134*-CP132</f>
        <v>0</v>
      </c>
      <c r="CQ133" s="268">
        <f>CQ134*-CQ132</f>
        <v>0</v>
      </c>
      <c r="CR133" s="268">
        <f>CR134*-CR132</f>
        <v>0</v>
      </c>
      <c r="CS133" s="268">
        <f>CS134*-CS132</f>
        <v>0</v>
      </c>
      <c r="CT133" s="268">
        <f>SUM(CP133:CS133)</f>
        <v>0</v>
      </c>
      <c r="CU133" s="268">
        <f>CU134*-CU132</f>
        <v>0</v>
      </c>
      <c r="CV133" s="268">
        <f>CV134*-CV132</f>
        <v>0</v>
      </c>
      <c r="CW133" s="268">
        <f>CW134*-CW132</f>
        <v>0</v>
      </c>
      <c r="CX133" s="268">
        <f>CX134*-CX132</f>
        <v>0</v>
      </c>
      <c r="CY133" s="268">
        <f>SUM(CU133:CX133)</f>
        <v>0</v>
      </c>
    </row>
    <row r="134" hidden="1" outlineLevel="1" ht="12.75" customHeight="1" s="255">
      <c r="C134" s="312" t="inlineStr">
        <is>
          <t>% ETR</t>
        </is>
      </c>
      <c r="D134" s="309">
        <f>-D133/D132</f>
        <v>0.244996293550778</v>
      </c>
      <c r="E134" s="309">
        <f>-E133/E132</f>
        <v>0.255262549155679</v>
      </c>
      <c r="F134" s="309">
        <f>-F133/F132</f>
        <v>0.269009135628953</v>
      </c>
      <c r="G134" s="309">
        <f>-G133/G132</f>
        <v>-2.38617200674536</v>
      </c>
      <c r="H134" s="309">
        <f>-H133/H132</f>
        <v>0.333495428904882</v>
      </c>
      <c r="I134" s="309">
        <f>-I133/I132</f>
        <v>0.268730489073881</v>
      </c>
      <c r="J134" s="309">
        <f>-J133/J132</f>
        <v>0.263211210535202</v>
      </c>
      <c r="K134" s="309">
        <f>-K133/K132</f>
        <v>0.244755244755245</v>
      </c>
      <c r="L134" s="309">
        <f>-L133/L132</f>
        <v>0.240276035131744</v>
      </c>
      <c r="M134" s="309">
        <f>-M133/M132</f>
        <v>0.254385964912281</v>
      </c>
      <c r="N134" s="309">
        <f>-N133/N132</f>
        <v>0.275077559462254</v>
      </c>
      <c r="O134" s="309">
        <f>-O133/O132</f>
        <v>0.225316074653823</v>
      </c>
      <c r="P134" s="309">
        <f>-P133/P132</f>
        <v>-0.234800838574424</v>
      </c>
      <c r="Q134" s="309">
        <f>-Q133/Q132</f>
        <v>0.347450011233431</v>
      </c>
      <c r="R134" s="309">
        <f>-R133/R132</f>
        <v>0.33638928067701</v>
      </c>
      <c r="S134" s="309">
        <f>-S133/S132</f>
        <v>0.294642857142857</v>
      </c>
      <c r="T134" s="309">
        <f>-T133/T132</f>
        <v>0.249277524004848</v>
      </c>
      <c r="U134" s="309">
        <f>-U133/U132</f>
        <v>0.297267759562842</v>
      </c>
      <c r="V134" s="309">
        <f>-V133/V132</f>
        <v>0.244745943069965</v>
      </c>
      <c r="W134" s="309">
        <f>-W133/W132</f>
        <v>0.255309410472354</v>
      </c>
      <c r="X134" s="309">
        <f>-X133/X132</f>
        <v>0.245628997867804</v>
      </c>
      <c r="Y134" s="309">
        <f>-Y133/Y132</f>
        <v>0.241751166908096</v>
      </c>
      <c r="Z134" s="309">
        <f>-Z133/Z132</f>
        <v>0.226959658904559</v>
      </c>
      <c r="AA134" s="309">
        <f>-AA133/AA132</f>
        <v>0.220881803820192</v>
      </c>
      <c r="AB134" s="309">
        <f>-AB133/AB132</f>
        <v>0.233836329773081</v>
      </c>
      <c r="AC134" s="309">
        <f>-AC133/AC132</f>
        <v>0.226059392726059</v>
      </c>
      <c r="AD134" s="309">
        <f>-AD133/AD132</f>
        <v>0.232642987445005</v>
      </c>
      <c r="AE134" s="309">
        <f>-AE133/AE132</f>
        <v>0.256291228927437</v>
      </c>
      <c r="AF134" s="297">
        <f>-AF133/AF132</f>
        <v>0.264321608040201</v>
      </c>
      <c r="AG134" s="309">
        <f>-AG133/AG132</f>
        <v>0.244290610472021</v>
      </c>
      <c r="AH134" s="297">
        <f>-AH133/AH132</f>
        <v>0.231952993844432</v>
      </c>
      <c r="AI134" s="297">
        <f>-AI133/AI132</f>
        <v>0.185097353969046</v>
      </c>
      <c r="AJ134" s="297" t="n"/>
      <c r="AK134" s="297" t="n"/>
      <c r="AL134" s="309">
        <f>-AL133/AL132</f>
        <v>0.221900388555281</v>
      </c>
      <c r="AM134" s="297" t="n"/>
      <c r="AN134" s="297" t="n"/>
      <c r="AO134" s="297" t="n"/>
      <c r="AP134" s="297" t="n"/>
      <c r="AQ134" s="309">
        <f>-AQ133/AQ132</f>
        <v>0</v>
      </c>
      <c r="AR134" s="297" t="n"/>
      <c r="AS134" s="297" t="n"/>
      <c r="AT134" s="297" t="n"/>
      <c r="AU134" s="297" t="n"/>
      <c r="AV134" s="309">
        <f>-AV133/AV132</f>
        <v>0</v>
      </c>
      <c r="AW134" s="297" t="n"/>
      <c r="AX134" s="297" t="n"/>
      <c r="AY134" s="297" t="n"/>
      <c r="AZ134" s="297" t="n"/>
      <c r="BA134" s="309">
        <f>-BA133/BA132</f>
        <v>0</v>
      </c>
      <c r="BB134" s="297" t="n"/>
      <c r="BC134" s="297" t="n"/>
      <c r="BD134" s="297" t="n"/>
      <c r="BE134" s="297" t="n"/>
      <c r="BF134" s="309">
        <f>-BF133/BF132</f>
        <v>0</v>
      </c>
      <c r="BG134" s="297" t="n"/>
      <c r="BH134" s="297" t="n"/>
      <c r="BI134" s="297" t="n"/>
      <c r="BJ134" s="297" t="n"/>
      <c r="BK134" s="309">
        <f>-BK133/BK132</f>
        <v>0</v>
      </c>
      <c r="BL134" s="297" t="n"/>
      <c r="BM134" s="297" t="n"/>
      <c r="BN134" s="297" t="n"/>
      <c r="BO134" s="297" t="n"/>
      <c r="BP134" s="309">
        <f>-BP133/BP132</f>
        <v>0</v>
      </c>
      <c r="BQ134" s="297" t="n"/>
      <c r="BR134" s="297" t="n"/>
      <c r="BS134" s="297" t="n"/>
      <c r="BT134" s="297" t="n"/>
      <c r="BU134" s="309">
        <f>-BU133/BU132</f>
        <v>0</v>
      </c>
      <c r="BV134" s="297" t="n"/>
      <c r="BW134" s="297" t="n"/>
      <c r="BX134" s="297" t="n"/>
      <c r="BY134" s="297" t="n"/>
      <c r="BZ134" s="309">
        <f>-BZ133/BZ132</f>
        <v>0</v>
      </c>
      <c r="CA134" s="297" t="n"/>
      <c r="CB134" s="297" t="n"/>
      <c r="CC134" s="297" t="n"/>
      <c r="CD134" s="297" t="n"/>
      <c r="CE134" s="309">
        <f>-CE133/CE132</f>
        <v>0</v>
      </c>
      <c r="CF134" s="297" t="n"/>
      <c r="CG134" s="297" t="n"/>
      <c r="CH134" s="297" t="n"/>
      <c r="CI134" s="297" t="n"/>
      <c r="CJ134" s="309">
        <f>-CJ133/CJ132</f>
        <v>0</v>
      </c>
      <c r="CK134" s="297" t="n"/>
      <c r="CL134" s="297" t="n"/>
      <c r="CM134" s="297" t="n"/>
      <c r="CN134" s="297" t="n"/>
      <c r="CO134" s="309">
        <f>-CO133/CO132</f>
        <v>0</v>
      </c>
      <c r="CP134" s="297" t="n"/>
      <c r="CQ134" s="297" t="n"/>
      <c r="CR134" s="297" t="n"/>
      <c r="CS134" s="297" t="n"/>
      <c r="CT134" s="309">
        <f>-CT133/CT132</f>
        <v>0</v>
      </c>
      <c r="CU134" s="297" t="n"/>
      <c r="CV134" s="297" t="n"/>
      <c r="CW134" s="297" t="n"/>
      <c r="CX134" s="297" t="n"/>
      <c r="CY134" s="309">
        <f>-CY133/CY132</f>
        <v>0</v>
      </c>
    </row>
    <row r="135" hidden="1" outlineLevel="1" ht="12.75" customHeight="1" s="255">
      <c r="C135" s="312" t="n"/>
      <c r="D135" s="268" t="n"/>
      <c r="E135" s="268" t="n"/>
      <c r="F135" s="268" t="n"/>
      <c r="G135" s="268" t="n"/>
      <c r="H135" s="268" t="n"/>
      <c r="I135" s="268" t="n"/>
      <c r="J135" s="268" t="n"/>
      <c r="K135" s="268" t="n"/>
      <c r="L135" s="268" t="n"/>
      <c r="M135" s="268" t="n"/>
      <c r="N135" s="268" t="n"/>
      <c r="O135" s="268" t="n"/>
      <c r="P135" s="268" t="n"/>
      <c r="Q135" s="268" t="n"/>
      <c r="R135" s="268" t="n"/>
      <c r="S135" s="268" t="n"/>
      <c r="T135" s="268" t="n"/>
      <c r="U135" s="268" t="n"/>
      <c r="V135" s="268" t="n"/>
      <c r="W135" s="268" t="n"/>
      <c r="X135" s="268" t="n"/>
      <c r="Y135" s="268" t="n"/>
      <c r="Z135" s="268" t="n"/>
      <c r="AA135" s="268" t="n"/>
      <c r="AB135" s="268" t="n"/>
      <c r="AC135" s="268" t="n"/>
      <c r="AD135" s="268" t="n"/>
      <c r="AE135" s="268" t="n"/>
      <c r="AF135" s="268" t="n"/>
      <c r="AG135" s="268" t="n"/>
      <c r="AH135" s="268" t="n"/>
      <c r="AI135" s="268" t="n"/>
      <c r="AJ135" s="268" t="n"/>
      <c r="AK135" s="268" t="n"/>
      <c r="AL135" s="268" t="n"/>
      <c r="AM135" s="268" t="n"/>
      <c r="AN135" s="268" t="n"/>
      <c r="AO135" s="268" t="n"/>
      <c r="AP135" s="268" t="n"/>
      <c r="AQ135" s="268" t="n"/>
      <c r="AR135" s="268" t="n"/>
      <c r="AS135" s="268" t="n"/>
      <c r="AT135" s="268" t="n"/>
      <c r="AU135" s="268" t="n"/>
      <c r="AV135" s="268" t="n"/>
      <c r="AW135" s="268" t="n"/>
      <c r="AX135" s="268" t="n"/>
      <c r="AY135" s="268" t="n"/>
      <c r="AZ135" s="268" t="n"/>
      <c r="BA135" s="268" t="n"/>
      <c r="BB135" s="268" t="n"/>
      <c r="BC135" s="268" t="n"/>
      <c r="BD135" s="268" t="n"/>
      <c r="BE135" s="268" t="n"/>
      <c r="BF135" s="268" t="n"/>
      <c r="BG135" s="268" t="n"/>
      <c r="BH135" s="268" t="n"/>
      <c r="BI135" s="268" t="n"/>
      <c r="BJ135" s="268" t="n"/>
      <c r="BK135" s="268" t="n"/>
      <c r="BL135" s="268" t="n"/>
      <c r="BM135" s="268" t="n"/>
      <c r="BN135" s="268" t="n"/>
      <c r="BO135" s="268" t="n"/>
      <c r="BP135" s="268" t="n"/>
      <c r="BQ135" s="268" t="n"/>
      <c r="BR135" s="268" t="n"/>
      <c r="BS135" s="268" t="n"/>
      <c r="BT135" s="268" t="n"/>
      <c r="BU135" s="268" t="n"/>
      <c r="BV135" s="268" t="n"/>
      <c r="BW135" s="268" t="n"/>
      <c r="BX135" s="268" t="n"/>
      <c r="BY135" s="268" t="n"/>
      <c r="BZ135" s="268" t="n"/>
      <c r="CA135" s="268" t="n"/>
      <c r="CB135" s="268" t="n"/>
      <c r="CC135" s="268" t="n"/>
      <c r="CD135" s="268" t="n"/>
      <c r="CE135" s="268" t="n"/>
      <c r="CF135" s="268" t="n"/>
      <c r="CG135" s="268" t="n"/>
      <c r="CH135" s="268" t="n"/>
      <c r="CI135" s="268" t="n"/>
      <c r="CJ135" s="268" t="n"/>
      <c r="CK135" s="268" t="n"/>
      <c r="CL135" s="268" t="n"/>
      <c r="CM135" s="268" t="n"/>
      <c r="CN135" s="268" t="n"/>
      <c r="CO135" s="268" t="n"/>
      <c r="CP135" s="268" t="n"/>
      <c r="CQ135" s="268" t="n"/>
      <c r="CR135" s="268" t="n"/>
      <c r="CS135" s="268" t="n"/>
      <c r="CT135" s="268" t="n"/>
      <c r="CU135" s="268" t="n"/>
      <c r="CV135" s="268" t="n"/>
      <c r="CW135" s="268" t="n"/>
      <c r="CX135" s="268" t="n"/>
      <c r="CY135" s="268" t="n"/>
    </row>
    <row r="136" hidden="1" outlineLevel="1" ht="12.75" customHeight="1" s="255">
      <c r="C136" s="312" t="n"/>
      <c r="D136" s="268" t="n"/>
      <c r="E136" s="268" t="n"/>
      <c r="F136" s="268" t="n"/>
      <c r="G136" s="268" t="n"/>
      <c r="H136" s="268" t="n"/>
      <c r="I136" s="268" t="n"/>
      <c r="J136" s="268" t="n"/>
      <c r="K136" s="268" t="n"/>
      <c r="L136" s="268" t="n"/>
      <c r="M136" s="268" t="n"/>
      <c r="N136" s="268" t="n"/>
      <c r="O136" s="268" t="n"/>
      <c r="P136" s="268" t="n"/>
      <c r="Q136" s="268" t="n"/>
      <c r="R136" s="268" t="n"/>
      <c r="S136" s="268" t="n"/>
      <c r="T136" s="268" t="n"/>
      <c r="U136" s="268" t="n"/>
      <c r="V136" s="268" t="n"/>
      <c r="W136" s="268" t="n"/>
      <c r="X136" s="268" t="n"/>
      <c r="Y136" s="268" t="n"/>
      <c r="Z136" s="268" t="n"/>
      <c r="AA136" s="268" t="n"/>
      <c r="AB136" s="268" t="n"/>
      <c r="AC136" s="268" t="n"/>
      <c r="AD136" s="268" t="n"/>
      <c r="AE136" s="268" t="n"/>
      <c r="AF136" s="268" t="n"/>
      <c r="AG136" s="268" t="n"/>
      <c r="AH136" s="268" t="n"/>
      <c r="AI136" s="268" t="n"/>
      <c r="AJ136" s="268" t="n"/>
      <c r="AK136" s="268" t="n"/>
      <c r="AL136" s="268" t="n"/>
      <c r="AM136" s="268" t="n"/>
      <c r="AN136" s="268" t="n"/>
      <c r="AO136" s="268" t="n"/>
      <c r="AP136" s="268" t="n"/>
      <c r="AQ136" s="268" t="n"/>
      <c r="AR136" s="268" t="n"/>
      <c r="AS136" s="268" t="n"/>
      <c r="AT136" s="268" t="n"/>
      <c r="AU136" s="268" t="n"/>
      <c r="AV136" s="268" t="n"/>
      <c r="AW136" s="268" t="n"/>
      <c r="AX136" s="268" t="n"/>
      <c r="AY136" s="268" t="n"/>
      <c r="AZ136" s="268" t="n"/>
      <c r="BA136" s="268" t="n"/>
      <c r="BB136" s="268" t="n"/>
      <c r="BC136" s="268" t="n"/>
      <c r="BD136" s="268" t="n"/>
      <c r="BE136" s="268" t="n"/>
      <c r="BF136" s="268" t="n"/>
      <c r="BG136" s="268" t="n"/>
      <c r="BH136" s="268" t="n"/>
      <c r="BI136" s="268" t="n"/>
      <c r="BJ136" s="268" t="n"/>
      <c r="BK136" s="268" t="n"/>
      <c r="BL136" s="268" t="n"/>
      <c r="BM136" s="268" t="n"/>
      <c r="BN136" s="268" t="n"/>
      <c r="BO136" s="268" t="n"/>
      <c r="BP136" s="268" t="n"/>
      <c r="BQ136" s="268" t="n"/>
      <c r="BR136" s="268" t="n"/>
      <c r="BS136" s="268" t="n"/>
      <c r="BT136" s="268" t="n"/>
      <c r="BU136" s="268" t="n"/>
      <c r="BV136" s="268" t="n"/>
      <c r="BW136" s="268" t="n"/>
      <c r="BX136" s="268" t="n"/>
      <c r="BY136" s="268" t="n"/>
      <c r="BZ136" s="268" t="n"/>
      <c r="CA136" s="268" t="n"/>
      <c r="CB136" s="268" t="n"/>
      <c r="CC136" s="268" t="n"/>
      <c r="CD136" s="268" t="n"/>
      <c r="CE136" s="268" t="n"/>
      <c r="CF136" s="268" t="n"/>
      <c r="CG136" s="268" t="n"/>
      <c r="CH136" s="268" t="n"/>
      <c r="CI136" s="268" t="n"/>
      <c r="CJ136" s="268" t="n"/>
      <c r="CK136" s="268" t="n"/>
      <c r="CL136" s="268" t="n"/>
      <c r="CM136" s="268" t="n"/>
      <c r="CN136" s="268" t="n"/>
      <c r="CO136" s="268" t="n"/>
      <c r="CP136" s="268" t="n"/>
      <c r="CQ136" s="268" t="n"/>
      <c r="CR136" s="268" t="n"/>
      <c r="CS136" s="268" t="n"/>
      <c r="CT136" s="268" t="n"/>
      <c r="CU136" s="268" t="n"/>
      <c r="CV136" s="268" t="n"/>
      <c r="CW136" s="268" t="n"/>
      <c r="CX136" s="268" t="n"/>
      <c r="CY136" s="268" t="n"/>
    </row>
    <row r="137" ht="12.75" customHeight="1" s="255">
      <c r="C137" s="270" t="inlineStr">
        <is>
          <t>Equity in Income of Affiliates, after tax (enter as +)</t>
        </is>
      </c>
      <c r="D137" s="301">
        <f>INDEX('Inputs (2)'!$D$11:$AL$11,MATCH(D$7,'Inputs (2)'!$D$2:$AL$2,0))</f>
        <v>0</v>
      </c>
      <c r="E137" s="301">
        <f>INDEX('Inputs (2)'!$D$11:$AL$11,MATCH(E$7,'Inputs (2)'!$D$2:$AL$2,0))</f>
        <v>0</v>
      </c>
      <c r="F137" s="301">
        <f>INDEX('Inputs (2)'!$D$11:$AL$11,MATCH(F$7,'Inputs (2)'!$D$2:$AL$2,0))</f>
        <v>0</v>
      </c>
      <c r="G137" s="301">
        <f>INDEX('Inputs (2)'!$D$11:$AL$11,MATCH(G$7,'Inputs (2)'!$D$2:$AL$2,0))</f>
        <v>0</v>
      </c>
      <c r="H137" s="268">
        <f>SUM(D137:G137)</f>
        <v>0</v>
      </c>
      <c r="I137" s="301">
        <f>INDEX('Inputs (2)'!$D$11:$AL$11,MATCH(I$7,'Inputs (2)'!$D$2:$AL$2,0))</f>
        <v>0</v>
      </c>
      <c r="J137" s="301">
        <f>INDEX('Inputs (2)'!$D$11:$AL$11,MATCH(J$7,'Inputs (2)'!$D$2:$AL$2,0))</f>
        <v>0</v>
      </c>
      <c r="K137" s="301">
        <f>INDEX('Inputs (2)'!$D$11:$AL$11,MATCH(K$7,'Inputs (2)'!$D$2:$AL$2,0))</f>
        <v>0</v>
      </c>
      <c r="L137" s="301">
        <f>INDEX('Inputs (2)'!$D$11:$AL$11,MATCH(L$7,'Inputs (2)'!$D$2:$AL$2,0))</f>
        <v>0</v>
      </c>
      <c r="M137" s="268">
        <f>SUM(I137:L137)</f>
        <v>0</v>
      </c>
      <c r="N137" s="301">
        <f>INDEX('Inputs (2)'!$D$11:$AL$11,MATCH(N$7,'Inputs (2)'!$D$2:$AL$2,0))</f>
        <v>0</v>
      </c>
      <c r="O137" s="301">
        <f>INDEX('Inputs (2)'!$D$11:$AL$11,MATCH(O$7,'Inputs (2)'!$D$2:$AL$2,0))</f>
        <v>0</v>
      </c>
      <c r="P137" s="301">
        <f>INDEX('Inputs (2)'!$D$11:$AL$11,MATCH(P$7,'Inputs (2)'!$D$2:$AL$2,0))</f>
        <v>0</v>
      </c>
      <c r="Q137" s="301">
        <f>INDEX('Inputs (2)'!$D$11:$AL$11,MATCH(Q$7,'Inputs (2)'!$D$2:$AL$2,0))</f>
        <v>0</v>
      </c>
      <c r="R137" s="268">
        <f>SUM(N137:Q137)</f>
        <v>0</v>
      </c>
      <c r="S137" s="301">
        <f>INDEX('Inputs (2)'!$D$11:$AL$11,MATCH(S$7,'Inputs (2)'!$D$2:$AL$2,0))</f>
        <v>0</v>
      </c>
      <c r="T137" s="301">
        <f>INDEX('Inputs (2)'!$D$11:$AL$11,MATCH(T$7,'Inputs (2)'!$D$2:$AL$2,0))</f>
        <v>0</v>
      </c>
      <c r="U137" s="301">
        <f>INDEX('Inputs (2)'!$D$11:$AL$11,MATCH(U$7,'Inputs (2)'!$D$2:$AL$2,0))</f>
        <v>0</v>
      </c>
      <c r="V137" s="301">
        <f>INDEX('Inputs (2)'!$D$11:$AL$11,MATCH(V$7,'Inputs (2)'!$D$2:$AL$2,0))</f>
        <v>0</v>
      </c>
      <c r="W137" s="268">
        <f>SUM(S137:V137)</f>
        <v>0</v>
      </c>
      <c r="X137" s="301">
        <f>INDEX('Inputs (2)'!$D$11:$AL$11,MATCH(X$7,'Inputs (2)'!$D$2:$AL$2,0))</f>
        <v>0</v>
      </c>
      <c r="Y137" s="301">
        <f>INDEX('Inputs (2)'!$D$11:$AL$11,MATCH(Y$7,'Inputs (2)'!$D$2:$AL$2,0))</f>
        <v>0</v>
      </c>
      <c r="Z137" s="301">
        <f>INDEX('Inputs (2)'!$D$11:$AL$11,MATCH(Z$7,'Inputs (2)'!$D$2:$AL$2,0))</f>
        <v>0</v>
      </c>
      <c r="AA137" s="301">
        <f>INDEX('Inputs (2)'!$D$11:$AL$11,MATCH(AA$7,'Inputs (2)'!$D$2:$AL$2,0))</f>
        <v>0</v>
      </c>
      <c r="AB137" s="268">
        <f>SUM(X137:AA137)</f>
        <v>0</v>
      </c>
      <c r="AC137" s="301">
        <f>INDEX('Inputs (2)'!$D$11:$AL$11,MATCH(AC$7,'Inputs (2)'!$D$2:$AL$2,0))</f>
        <v>0</v>
      </c>
      <c r="AD137" s="301">
        <f>INDEX('Inputs (2)'!$D$11:$AL$11,MATCH(AD$7,'Inputs (2)'!$D$2:$AL$2,0))</f>
        <v>0</v>
      </c>
      <c r="AE137" s="301">
        <f>INDEX('Inputs (2)'!$D$11:$AL$11,MATCH(AE$7,'Inputs (2)'!$D$2:$AL$2,0))</f>
        <v>0</v>
      </c>
      <c r="AF137" s="301">
        <f>INDEX('Inputs (2)'!$D$11:$AL$11,MATCH(AF$7,'Inputs (2)'!$D$2:$AL$2,0))</f>
        <v>0</v>
      </c>
      <c r="AG137" s="268">
        <f>SUM(AC137:AF137)</f>
        <v>0</v>
      </c>
      <c r="AH137" s="268">
        <f>INDEX('Inputs (2)'!$D$11:$AL$11,MATCH(AH$7,'Inputs (2)'!$D$2:$AL$2,0))</f>
        <v>0</v>
      </c>
      <c r="AI137" s="268">
        <f>INDEX('Inputs (2)'!$D$11:$AL$11,MATCH(AI$7,'Inputs (2)'!$D$2:$AL$2,0))</f>
        <v>0</v>
      </c>
      <c r="AJ137" s="268">
        <f>AE137*(1+AJ165)</f>
        <v>0</v>
      </c>
      <c r="AK137" s="268">
        <f>AF137*(1+AK165)</f>
        <v>0</v>
      </c>
      <c r="AL137" s="268">
        <f>SUM(AH137:AK137)</f>
        <v>0</v>
      </c>
      <c r="AM137" s="268">
        <f>AH137*(1+AM165)</f>
        <v>0</v>
      </c>
      <c r="AN137" s="268">
        <f>AI137*(1+AN165)</f>
        <v>0</v>
      </c>
      <c r="AO137" s="268">
        <f>AJ137*(1+AO165)</f>
        <v>0</v>
      </c>
      <c r="AP137" s="268">
        <f>AK137*(1+AP165)</f>
        <v>0</v>
      </c>
      <c r="AQ137" s="268">
        <f>SUM(AM137:AP137)</f>
        <v>0</v>
      </c>
      <c r="AR137" s="268">
        <f>AM137*(1+AR165)</f>
        <v>0</v>
      </c>
      <c r="AS137" s="268">
        <f>AN137*(1+AS165)</f>
        <v>0</v>
      </c>
      <c r="AT137" s="268">
        <f>AO137*(1+AT165)</f>
        <v>0</v>
      </c>
      <c r="AU137" s="268">
        <f>AP137*(1+AU165)</f>
        <v>0</v>
      </c>
      <c r="AV137" s="268">
        <f>SUM(AR137:AU137)</f>
        <v>0</v>
      </c>
      <c r="AW137" s="268">
        <f>AR137*(1+AW165)</f>
        <v>0</v>
      </c>
      <c r="AX137" s="268">
        <f>AS137*(1+AX165)</f>
        <v>0</v>
      </c>
      <c r="AY137" s="268">
        <f>AT137*(1+AY165)</f>
        <v>0</v>
      </c>
      <c r="AZ137" s="268">
        <f>AU137*(1+AZ165)</f>
        <v>0</v>
      </c>
      <c r="BA137" s="268">
        <f>SUM(AW137:AZ137)</f>
        <v>0</v>
      </c>
      <c r="BB137" s="268">
        <f>AW137*(1+BB165)</f>
        <v>0</v>
      </c>
      <c r="BC137" s="268">
        <f>AX137*(1+BC165)</f>
        <v>0</v>
      </c>
      <c r="BD137" s="268">
        <f>AY137*(1+BD165)</f>
        <v>0</v>
      </c>
      <c r="BE137" s="268">
        <f>AZ137*(1+BE165)</f>
        <v>0</v>
      </c>
      <c r="BF137" s="268">
        <f>SUM(BB137:BE137)</f>
        <v>0</v>
      </c>
      <c r="BG137" s="268">
        <f>BB137*(1+BG165)</f>
        <v>0</v>
      </c>
      <c r="BH137" s="268">
        <f>BC137*(1+BH165)</f>
        <v>0</v>
      </c>
      <c r="BI137" s="268">
        <f>BD137*(1+BI165)</f>
        <v>0</v>
      </c>
      <c r="BJ137" s="268">
        <f>BE137*(1+BJ165)</f>
        <v>0</v>
      </c>
      <c r="BK137" s="268">
        <f>SUM(BG137:BJ137)</f>
        <v>0</v>
      </c>
      <c r="BL137" s="268">
        <f>BG137*(1+BL165)</f>
        <v>0</v>
      </c>
      <c r="BM137" s="268">
        <f>BH137*(1+BM165)</f>
        <v>0</v>
      </c>
      <c r="BN137" s="268">
        <f>BI137*(1+BN165)</f>
        <v>0</v>
      </c>
      <c r="BO137" s="268">
        <f>BJ137*(1+BO165)</f>
        <v>0</v>
      </c>
      <c r="BP137" s="268">
        <f>SUM(BL137:BO137)</f>
        <v>0</v>
      </c>
      <c r="BQ137" s="268">
        <f>BL137*(1+BQ165)</f>
        <v>0</v>
      </c>
      <c r="BR137" s="268">
        <f>BM137*(1+BR165)</f>
        <v>0</v>
      </c>
      <c r="BS137" s="268">
        <f>BN137*(1+BS165)</f>
        <v>0</v>
      </c>
      <c r="BT137" s="268">
        <f>BO137*(1+BT165)</f>
        <v>0</v>
      </c>
      <c r="BU137" s="268">
        <f>SUM(BQ137:BT137)</f>
        <v>0</v>
      </c>
      <c r="BV137" s="268">
        <f>BQ137*(1+BV165)</f>
        <v>0</v>
      </c>
      <c r="BW137" s="268">
        <f>BR137*(1+BW165)</f>
        <v>0</v>
      </c>
      <c r="BX137" s="268">
        <f>BS137*(1+BX165)</f>
        <v>0</v>
      </c>
      <c r="BY137" s="268">
        <f>BT137*(1+BY165)</f>
        <v>0</v>
      </c>
      <c r="BZ137" s="268">
        <f>SUM(BV137:BY137)</f>
        <v>0</v>
      </c>
      <c r="CA137" s="268">
        <f>BV137*(1+CA165)</f>
        <v>0</v>
      </c>
      <c r="CB137" s="268">
        <f>BW137*(1+CB165)</f>
        <v>0</v>
      </c>
      <c r="CC137" s="268">
        <f>BX137*(1+CC165)</f>
        <v>0</v>
      </c>
      <c r="CD137" s="268">
        <f>BY137*(1+CD165)</f>
        <v>0</v>
      </c>
      <c r="CE137" s="268">
        <f>SUM(CA137:CD137)</f>
        <v>0</v>
      </c>
      <c r="CF137" s="268">
        <f>CA137*(1+CF165)</f>
        <v>0</v>
      </c>
      <c r="CG137" s="268">
        <f>CB137*(1+CG165)</f>
        <v>0</v>
      </c>
      <c r="CH137" s="268">
        <f>CC137*(1+CH165)</f>
        <v>0</v>
      </c>
      <c r="CI137" s="268">
        <f>CD137*(1+CI165)</f>
        <v>0</v>
      </c>
      <c r="CJ137" s="268">
        <f>SUM(CF137:CI137)</f>
        <v>0</v>
      </c>
      <c r="CK137" s="268">
        <f>CF137*(1+CK165)</f>
        <v>0</v>
      </c>
      <c r="CL137" s="268">
        <f>CG137*(1+CL165)</f>
        <v>0</v>
      </c>
      <c r="CM137" s="268">
        <f>CH137*(1+CM165)</f>
        <v>0</v>
      </c>
      <c r="CN137" s="268">
        <f>CI137*(1+CN165)</f>
        <v>0</v>
      </c>
      <c r="CO137" s="268">
        <f>SUM(CK137:CN137)</f>
        <v>0</v>
      </c>
      <c r="CP137" s="268">
        <f>CK137*(1+CP165)</f>
        <v>0</v>
      </c>
      <c r="CQ137" s="268">
        <f>CL137*(1+CQ165)</f>
        <v>0</v>
      </c>
      <c r="CR137" s="268">
        <f>CM137*(1+CR165)</f>
        <v>0</v>
      </c>
      <c r="CS137" s="268">
        <f>CN137*(1+CS165)</f>
        <v>0</v>
      </c>
      <c r="CT137" s="268">
        <f>SUM(CP137:CS137)</f>
        <v>0</v>
      </c>
      <c r="CU137" s="268">
        <f>CP137*(1+CU165)</f>
        <v>0</v>
      </c>
      <c r="CV137" s="268">
        <f>CQ137*(1+CV165)</f>
        <v>0</v>
      </c>
      <c r="CW137" s="268">
        <f>CR137*(1+CW165)</f>
        <v>0</v>
      </c>
      <c r="CX137" s="268">
        <f>CS137*(1+CX165)</f>
        <v>0</v>
      </c>
      <c r="CY137" s="268">
        <f>SUM(CU137:CX137)</f>
        <v>0</v>
      </c>
    </row>
    <row r="138" ht="12.75" customHeight="1" s="255">
      <c r="C138" s="270" t="inlineStr">
        <is>
          <t>Minority Interest Expense, after tax (enter as - )</t>
        </is>
      </c>
      <c r="D138" s="301">
        <f>INDEX('Inputs (2)'!$D$12:$AL$12,MATCH(D$7,'Inputs (2)'!$D$2:$AL$2,0))</f>
        <v>-84</v>
      </c>
      <c r="E138" s="301">
        <f>INDEX('Inputs (2)'!$D$12:$AL$12,MATCH(E$7,'Inputs (2)'!$D$2:$AL$2,0))</f>
        <v>37</v>
      </c>
      <c r="F138" s="301">
        <f>INDEX('Inputs (2)'!$D$12:$AL$12,MATCH(F$7,'Inputs (2)'!$D$2:$AL$2,0))</f>
        <v>-66</v>
      </c>
      <c r="G138" s="301">
        <f>INDEX('Inputs (2)'!$D$12:$AL$12,MATCH(G$7,'Inputs (2)'!$D$2:$AL$2,0))</f>
        <v>-83</v>
      </c>
      <c r="H138" s="268">
        <f>SUM(D138:G138)</f>
        <v>-196</v>
      </c>
      <c r="I138" s="301">
        <f>INDEX('Inputs (2)'!$D$12:$AL$12,MATCH(I$7,'Inputs (2)'!$D$2:$AL$2,0))</f>
        <v>-81</v>
      </c>
      <c r="J138" s="301">
        <f>INDEX('Inputs (2)'!$D$12:$AL$12,MATCH(J$7,'Inputs (2)'!$D$2:$AL$2,0))</f>
        <v>-88</v>
      </c>
      <c r="K138" s="301">
        <f>INDEX('Inputs (2)'!$D$12:$AL$12,MATCH(K$7,'Inputs (2)'!$D$2:$AL$2,0))</f>
        <v>-27</v>
      </c>
      <c r="L138" s="301">
        <f>INDEX('Inputs (2)'!$D$12:$AL$12,MATCH(L$7,'Inputs (2)'!$D$2:$AL$2,0))</f>
        <v>-71</v>
      </c>
      <c r="M138" s="268">
        <f>SUM(I138:L138)</f>
        <v>-267</v>
      </c>
      <c r="N138" s="301">
        <f>INDEX('Inputs (2)'!$D$12:$AL$12,MATCH(N$7,'Inputs (2)'!$D$2:$AL$2,0))</f>
        <v>-49</v>
      </c>
      <c r="O138" s="301">
        <f>INDEX('Inputs (2)'!$D$12:$AL$12,MATCH(O$7,'Inputs (2)'!$D$2:$AL$2,0))</f>
        <v>2</v>
      </c>
      <c r="P138" s="301">
        <f>INDEX('Inputs (2)'!$D$12:$AL$12,MATCH(P$7,'Inputs (2)'!$D$2:$AL$2,0))</f>
        <v>-31</v>
      </c>
      <c r="Q138" s="301">
        <f>INDEX('Inputs (2)'!$D$12:$AL$12,MATCH(Q$7,'Inputs (2)'!$D$2:$AL$2,0))</f>
        <v>466</v>
      </c>
      <c r="R138" s="268">
        <f>SUM(N138:Q138)</f>
        <v>388</v>
      </c>
      <c r="S138" s="301">
        <f>INDEX('Inputs (2)'!$D$12:$AL$12,MATCH(S$7,'Inputs (2)'!$D$2:$AL$2,0))</f>
        <v>-223</v>
      </c>
      <c r="T138" s="301">
        <f>INDEX('Inputs (2)'!$D$12:$AL$12,MATCH(T$7,'Inputs (2)'!$D$2:$AL$2,0))</f>
        <v>-162</v>
      </c>
      <c r="U138" s="301">
        <f>INDEX('Inputs (2)'!$D$12:$AL$12,MATCH(U$7,'Inputs (2)'!$D$2:$AL$2,0))</f>
        <v>-190</v>
      </c>
      <c r="V138" s="301">
        <f>INDEX('Inputs (2)'!$D$12:$AL$12,MATCH(V$7,'Inputs (2)'!$D$2:$AL$2,0))</f>
        <v>-184</v>
      </c>
      <c r="W138" s="268">
        <f>SUM(S138:V138)</f>
        <v>-759</v>
      </c>
      <c r="X138" s="301">
        <f>INDEX('Inputs (2)'!$D$12:$AL$12,MATCH(X$7,'Inputs (2)'!$D$2:$AL$2,0))</f>
        <v>-203</v>
      </c>
      <c r="Y138" s="301">
        <f>INDEX('Inputs (2)'!$D$12:$AL$12,MATCH(Y$7,'Inputs (2)'!$D$2:$AL$2,0))</f>
        <v>-210</v>
      </c>
      <c r="Z138" s="301">
        <f>INDEX('Inputs (2)'!$D$12:$AL$12,MATCH(Z$7,'Inputs (2)'!$D$2:$AL$2,0))</f>
        <v>-137</v>
      </c>
      <c r="AA138" s="301">
        <f>INDEX('Inputs (2)'!$D$12:$AL$12,MATCH(AA$7,'Inputs (2)'!$D$2:$AL$2,0))</f>
        <v>-171</v>
      </c>
      <c r="AB138" s="268">
        <f>SUM(X138:AA138)</f>
        <v>-721</v>
      </c>
      <c r="AC138" s="301">
        <f>INDEX('Inputs (2)'!$D$12:$AL$12,MATCH(AC$7,'Inputs (2)'!$D$2:$AL$2,0))</f>
        <v>-152</v>
      </c>
      <c r="AD138" s="301">
        <f>INDEX('Inputs (2)'!$D$12:$AL$12,MATCH(AD$7,'Inputs (2)'!$D$2:$AL$2,0))</f>
        <v>-125</v>
      </c>
      <c r="AE138" s="301">
        <f>INDEX('Inputs (2)'!$D$12:$AL$12,MATCH(AE$7,'Inputs (2)'!$D$2:$AL$2,0))</f>
        <v>55</v>
      </c>
      <c r="AF138" s="301">
        <f>INDEX('Inputs (2)'!$D$12:$AL$12,MATCH(AF$7,'Inputs (2)'!$D$2:$AL$2,0))</f>
        <v>-155</v>
      </c>
      <c r="AG138" s="268">
        <f>SUM(AC138:AF138)</f>
        <v>-377</v>
      </c>
      <c r="AH138" s="268">
        <f>INDEX('Inputs (2)'!$D$12:$AL$12,MATCH(AH$7,'Inputs (2)'!$D$2:$AL$2,0))</f>
        <v>-160</v>
      </c>
      <c r="AI138" s="268">
        <f>INDEX('Inputs (2)'!$D$12:$AL$12,MATCH(AI$7,'Inputs (2)'!$D$2:$AL$2,0))</f>
        <v>-163</v>
      </c>
      <c r="AJ138" s="268">
        <f>AE138*(1+AJ252)</f>
        <v>55</v>
      </c>
      <c r="AK138" s="268">
        <f>AF138*(1+AK252)</f>
        <v>-155</v>
      </c>
      <c r="AL138" s="268">
        <f>SUM(AH138:AK138)</f>
        <v>-423</v>
      </c>
      <c r="AM138" s="268">
        <f>AH138*(1+AM252)</f>
        <v>-160</v>
      </c>
      <c r="AN138" s="268">
        <f>AI138*(1+AN252)</f>
        <v>-163</v>
      </c>
      <c r="AO138" s="268">
        <f>AJ138*(1+AO252)</f>
        <v>55</v>
      </c>
      <c r="AP138" s="268">
        <f>AK138*(1+AP252)</f>
        <v>-155</v>
      </c>
      <c r="AQ138" s="268">
        <f>SUM(AM138:AP138)</f>
        <v>-423</v>
      </c>
      <c r="AR138" s="268">
        <f>AM138*(1+AR252)</f>
        <v>-160</v>
      </c>
      <c r="AS138" s="268">
        <f>AN138*(1+AS252)</f>
        <v>-163</v>
      </c>
      <c r="AT138" s="268">
        <f>AO138*(1+AT252)</f>
        <v>55</v>
      </c>
      <c r="AU138" s="268">
        <f>AP138*(1+AU252)</f>
        <v>-155</v>
      </c>
      <c r="AV138" s="268">
        <f>SUM(AR138:AU138)</f>
        <v>-423</v>
      </c>
      <c r="AW138" s="268">
        <f>AR138*(1+AW252)</f>
        <v>-160</v>
      </c>
      <c r="AX138" s="268">
        <f>AS138*(1+AX252)</f>
        <v>-163</v>
      </c>
      <c r="AY138" s="268">
        <f>AT138*(1+AY252)</f>
        <v>55</v>
      </c>
      <c r="AZ138" s="268">
        <f>AU138*(1+AZ252)</f>
        <v>-155</v>
      </c>
      <c r="BA138" s="268">
        <f>SUM(AW138:AZ138)</f>
        <v>-423</v>
      </c>
      <c r="BB138" s="268">
        <f>AW138*(1+BB252)</f>
        <v>-160</v>
      </c>
      <c r="BC138" s="268">
        <f>AX138*(1+BC252)</f>
        <v>-163</v>
      </c>
      <c r="BD138" s="268">
        <f>AY138*(1+BD252)</f>
        <v>55</v>
      </c>
      <c r="BE138" s="268">
        <f>AZ138*(1+BE252)</f>
        <v>-155</v>
      </c>
      <c r="BF138" s="268">
        <f>SUM(BB138:BE138)</f>
        <v>-423</v>
      </c>
      <c r="BG138" s="268">
        <f>BB138*(1+BG252)</f>
        <v>-160</v>
      </c>
      <c r="BH138" s="268">
        <f>BC138*(1+BH252)</f>
        <v>-163</v>
      </c>
      <c r="BI138" s="268">
        <f>BD138*(1+BI252)</f>
        <v>55</v>
      </c>
      <c r="BJ138" s="268">
        <f>BE138*(1+BJ252)</f>
        <v>-155</v>
      </c>
      <c r="BK138" s="268">
        <f>SUM(BG138:BJ138)</f>
        <v>-423</v>
      </c>
      <c r="BL138" s="268">
        <f>BG138*(1+BL252)</f>
        <v>-160</v>
      </c>
      <c r="BM138" s="268">
        <f>BH138*(1+BM252)</f>
        <v>-163</v>
      </c>
      <c r="BN138" s="268">
        <f>BI138*(1+BN252)</f>
        <v>55</v>
      </c>
      <c r="BO138" s="268">
        <f>BJ138*(1+BO252)</f>
        <v>-155</v>
      </c>
      <c r="BP138" s="268">
        <f>SUM(BL138:BO138)</f>
        <v>-423</v>
      </c>
      <c r="BQ138" s="268">
        <f>BL138*(1+BQ252)</f>
        <v>-160</v>
      </c>
      <c r="BR138" s="268">
        <f>BM138*(1+BR252)</f>
        <v>-163</v>
      </c>
      <c r="BS138" s="268">
        <f>BN138*(1+BS252)</f>
        <v>55</v>
      </c>
      <c r="BT138" s="268">
        <f>BO138*(1+BT252)</f>
        <v>-155</v>
      </c>
      <c r="BU138" s="268">
        <f>SUM(BQ138:BT138)</f>
        <v>-423</v>
      </c>
      <c r="BV138" s="268">
        <f>BQ138*(1+BV252)</f>
        <v>-160</v>
      </c>
      <c r="BW138" s="268">
        <f>BR138*(1+BW252)</f>
        <v>-163</v>
      </c>
      <c r="BX138" s="268">
        <f>BS138*(1+BX252)</f>
        <v>55</v>
      </c>
      <c r="BY138" s="268">
        <f>BT138*(1+BY252)</f>
        <v>-155</v>
      </c>
      <c r="BZ138" s="268">
        <f>SUM(BV138:BY138)</f>
        <v>-423</v>
      </c>
      <c r="CA138" s="268">
        <f>BV138*(1+CA252)</f>
        <v>-160</v>
      </c>
      <c r="CB138" s="268">
        <f>BW138*(1+CB252)</f>
        <v>-163</v>
      </c>
      <c r="CC138" s="268">
        <f>BX138*(1+CC252)</f>
        <v>55</v>
      </c>
      <c r="CD138" s="268">
        <f>BY138*(1+CD252)</f>
        <v>-155</v>
      </c>
      <c r="CE138" s="268">
        <f>SUM(CA138:CD138)</f>
        <v>-423</v>
      </c>
      <c r="CF138" s="268">
        <f>CA138*(1+CF252)</f>
        <v>-160</v>
      </c>
      <c r="CG138" s="268">
        <f>CB138*(1+CG252)</f>
        <v>-163</v>
      </c>
      <c r="CH138" s="268">
        <f>CC138*(1+CH252)</f>
        <v>55</v>
      </c>
      <c r="CI138" s="268">
        <f>CD138*(1+CI252)</f>
        <v>-155</v>
      </c>
      <c r="CJ138" s="268">
        <f>SUM(CF138:CI138)</f>
        <v>-423</v>
      </c>
      <c r="CK138" s="268">
        <f>CF138*(1+CK252)</f>
        <v>-160</v>
      </c>
      <c r="CL138" s="268">
        <f>CG138*(1+CL252)</f>
        <v>-163</v>
      </c>
      <c r="CM138" s="268">
        <f>CH138*(1+CM252)</f>
        <v>55</v>
      </c>
      <c r="CN138" s="268">
        <f>CI138*(1+CN252)</f>
        <v>-155</v>
      </c>
      <c r="CO138" s="268">
        <f>SUM(CK138:CN138)</f>
        <v>-423</v>
      </c>
      <c r="CP138" s="268">
        <f>CK138*(1+CP252)</f>
        <v>-160</v>
      </c>
      <c r="CQ138" s="268">
        <f>CL138*(1+CQ252)</f>
        <v>-163</v>
      </c>
      <c r="CR138" s="268">
        <f>CM138*(1+CR252)</f>
        <v>55</v>
      </c>
      <c r="CS138" s="268">
        <f>CN138*(1+CS252)</f>
        <v>-155</v>
      </c>
      <c r="CT138" s="268">
        <f>SUM(CP138:CS138)</f>
        <v>-423</v>
      </c>
      <c r="CU138" s="268">
        <f>CP138*(1+CU252)</f>
        <v>-160</v>
      </c>
      <c r="CV138" s="268">
        <f>CQ138*(1+CV252)</f>
        <v>-163</v>
      </c>
      <c r="CW138" s="268">
        <f>CR138*(1+CW252)</f>
        <v>55</v>
      </c>
      <c r="CX138" s="268">
        <f>CS138*(1+CX252)</f>
        <v>-155</v>
      </c>
      <c r="CY138" s="268">
        <f>SUM(CU138:CX138)</f>
        <v>-423</v>
      </c>
    </row>
    <row r="139" ht="12.75" customFormat="1" customHeight="1" s="287">
      <c r="A139" s="288" t="n"/>
      <c r="B139" s="259" t="n"/>
      <c r="C139" s="275" t="inlineStr">
        <is>
          <t>Net Income</t>
        </is>
      </c>
      <c r="D139" s="276">
        <f>SUM(D132,D133,D137,D138)</f>
        <v>3990</v>
      </c>
      <c r="E139" s="276">
        <f>SUM(E132,E133,E137,E138)</f>
        <v>6476</v>
      </c>
      <c r="F139" s="276">
        <f>SUM(F132,F133,F137,F138)</f>
        <v>5135</v>
      </c>
      <c r="G139" s="276">
        <f>SUM(G132,G133,G137,G138)</f>
        <v>-2091</v>
      </c>
      <c r="H139" s="276">
        <f>SUM(D139:G139)</f>
        <v>13510</v>
      </c>
      <c r="I139" s="276">
        <f>SUM(I132,I133,I137,I138)</f>
        <v>2730</v>
      </c>
      <c r="J139" s="276">
        <f>SUM(J132,J133,J137,J138)</f>
        <v>4276</v>
      </c>
      <c r="K139" s="276">
        <f>SUM(K132,K133,K137,K138)</f>
        <v>3105</v>
      </c>
      <c r="L139" s="276">
        <f>SUM(L132,L133,L137,L138)</f>
        <v>3562</v>
      </c>
      <c r="M139" s="276">
        <f>SUM(I139:L139)</f>
        <v>13673</v>
      </c>
      <c r="N139" s="276">
        <f>SUM(N132,N133,N137,N138)</f>
        <v>2054</v>
      </c>
      <c r="O139" s="276">
        <f>SUM(O132,O133,O137,O138)</f>
        <v>5149</v>
      </c>
      <c r="P139" s="276">
        <f>SUM(P132,P133,P137,P138)</f>
        <v>-1798</v>
      </c>
      <c r="Q139" s="276">
        <f>SUM(Q132,Q133,Q137,Q138)</f>
        <v>6275</v>
      </c>
      <c r="R139" s="276">
        <f>SUM(N139:Q139)</f>
        <v>11680</v>
      </c>
      <c r="S139" s="276">
        <f>SUM(S132,S133,S137,S138)</f>
        <v>1673</v>
      </c>
      <c r="T139" s="276">
        <f>SUM(T132,T133,T137,T138)</f>
        <v>7891</v>
      </c>
      <c r="U139" s="276">
        <f>SUM(U132,U133,U137,U138)</f>
        <v>453</v>
      </c>
      <c r="V139" s="276">
        <f>SUM(V132,V133,V137,V138)</f>
        <v>5494</v>
      </c>
      <c r="W139" s="276">
        <f>SUM(S139:V139)</f>
        <v>15511</v>
      </c>
      <c r="X139" s="276">
        <f>SUM(X132,X133,X137,X138)</f>
        <v>5104</v>
      </c>
      <c r="Y139" s="276">
        <f>SUM(Y132,Y133,Y137,Y138)</f>
        <v>4501</v>
      </c>
      <c r="Z139" s="276">
        <f>SUM(Z132,Z133,Z137,Z138)</f>
        <v>4577</v>
      </c>
      <c r="AA139" s="276">
        <f>SUM(AA132,AA133,AA137,AA138)</f>
        <v>5254</v>
      </c>
      <c r="AB139" s="276">
        <f>SUM(X139:AA139)</f>
        <v>19436</v>
      </c>
      <c r="AC139" s="276">
        <f>SUM(AC132,AC133,AC137,AC138)</f>
        <v>4487</v>
      </c>
      <c r="AD139" s="276">
        <f>SUM(AD132,AD133,AD137,AD138)</f>
        <v>7026</v>
      </c>
      <c r="AE139" s="276">
        <f>SUM(AE132,AE133,AE137,AE138)</f>
        <v>6143</v>
      </c>
      <c r="AF139" s="276">
        <f>SUM(AF132,AF133,AF137,AF138)</f>
        <v>4237</v>
      </c>
      <c r="AG139" s="276">
        <f>SUM(AC139:AF139)</f>
        <v>21893</v>
      </c>
      <c r="AH139" s="276">
        <f>SUM(AH132,AH133,AH137,AH138)</f>
        <v>5330</v>
      </c>
      <c r="AI139" s="276">
        <f>SUM(AI132,AI133,AI137,AI138)</f>
        <v>6366</v>
      </c>
      <c r="AJ139" s="276">
        <f>SUM(AJ132,AJ133,AJ137,AJ138)</f>
        <v>284</v>
      </c>
      <c r="AK139" s="276">
        <f>SUM(AK132,AK133,AK137,AK138)</f>
        <v>-1389</v>
      </c>
      <c r="AL139" s="276">
        <f>SUM(AH139:AK139)</f>
        <v>10591</v>
      </c>
      <c r="AM139" s="276">
        <f>SUM(AM132,AM133,AM137,AM138)</f>
        <v>-1394</v>
      </c>
      <c r="AN139" s="276">
        <f>SUM(AN132,AN133,AN137,AN138)</f>
        <v>-2173</v>
      </c>
      <c r="AO139" s="276">
        <f>SUM(AO132,AO133,AO137,AO138)</f>
        <v>-1179</v>
      </c>
      <c r="AP139" s="276">
        <f>SUM(AP132,AP133,AP137,AP138)</f>
        <v>-2165</v>
      </c>
      <c r="AQ139" s="276">
        <f>SUM(AM139:AP139)</f>
        <v>-6911</v>
      </c>
      <c r="AR139" s="276">
        <f>SUM(AR132,AR133,AR137,AR138)</f>
        <v>-2170</v>
      </c>
      <c r="AS139" s="276">
        <f>SUM(AS132,AS133,AS137,AS138)</f>
        <v>-6651</v>
      </c>
      <c r="AT139" s="276">
        <f>SUM(AT132,AT133,AT137,AT138)</f>
        <v>-1955</v>
      </c>
      <c r="AU139" s="276">
        <f>SUM(AU132,AU133,AU137,AU138)</f>
        <v>-6643</v>
      </c>
      <c r="AV139" s="276">
        <f>SUM(AR139:AU139)</f>
        <v>-17419</v>
      </c>
      <c r="AW139" s="276">
        <f>SUM(AW132,AW133,AW137,AW138)</f>
        <v>-6648</v>
      </c>
      <c r="AX139" s="276">
        <f>SUM(AX132,AX133,AX137,AX138)</f>
        <v>-17159</v>
      </c>
      <c r="AY139" s="276">
        <f>SUM(AY132,AY133,AY137,AY138)</f>
        <v>-6433</v>
      </c>
      <c r="AZ139" s="276">
        <f>SUM(AZ132,AZ133,AZ137,AZ138)</f>
        <v>-17151</v>
      </c>
      <c r="BA139" s="276">
        <f>SUM(AW139:AZ139)</f>
        <v>-47391</v>
      </c>
      <c r="BB139" s="276">
        <f>SUM(BB132,BB133,BB137,BB138)</f>
        <v>-17156</v>
      </c>
      <c r="BC139" s="276">
        <f>SUM(BC132,BC133,BC137,BC138)</f>
        <v>-47131</v>
      </c>
      <c r="BD139" s="276">
        <f>SUM(BD132,BD133,BD137,BD138)</f>
        <v>-16941</v>
      </c>
      <c r="BE139" s="276">
        <f>SUM(BE132,BE133,BE137,BE138)</f>
        <v>-47123</v>
      </c>
      <c r="BF139" s="276">
        <f>SUM(BB139:BE139)</f>
        <v>-128351</v>
      </c>
      <c r="BG139" s="276">
        <f>SUM(BG132,BG133,BG137,BG138)</f>
        <v>-47128</v>
      </c>
      <c r="BH139" s="276">
        <f>SUM(BH132,BH133,BH137,BH138)</f>
        <v>-128091</v>
      </c>
      <c r="BI139" s="276">
        <f>SUM(BI132,BI133,BI137,BI138)</f>
        <v>-46913</v>
      </c>
      <c r="BJ139" s="276">
        <f>SUM(BJ132,BJ133,BJ137,BJ138)</f>
        <v>-128083</v>
      </c>
      <c r="BK139" s="276">
        <f>SUM(BG139:BJ139)</f>
        <v>-350215</v>
      </c>
      <c r="BL139" s="276">
        <f>SUM(BL132,BL133,BL137,BL138)</f>
        <v>-128088</v>
      </c>
      <c r="BM139" s="276">
        <f>SUM(BM132,BM133,BM137,BM138)</f>
        <v>-349955</v>
      </c>
      <c r="BN139" s="276">
        <f>SUM(BN132,BN133,BN137,BN138)</f>
        <v>-127873</v>
      </c>
      <c r="BO139" s="276">
        <f>SUM(BO132,BO133,BO137,BO138)</f>
        <v>-349947</v>
      </c>
      <c r="BP139" s="276">
        <f>SUM(BL139:BO139)</f>
        <v>-955863</v>
      </c>
      <c r="BQ139" s="276">
        <f>SUM(BQ132,BQ133,BQ137,BQ138)</f>
        <v>-349952</v>
      </c>
      <c r="BR139" s="276">
        <f>SUM(BR132,BR133,BR137,BR138)</f>
        <v>-955603</v>
      </c>
      <c r="BS139" s="276">
        <f>SUM(BS132,BS133,BS137,BS138)</f>
        <v>-349737</v>
      </c>
      <c r="BT139" s="276">
        <f>SUM(BT132,BT133,BT137,BT138)</f>
        <v>-955595</v>
      </c>
      <c r="BU139" s="276">
        <f>SUM(BQ139:BT139)</f>
        <v>-2610887</v>
      </c>
      <c r="BV139" s="276">
        <f>SUM(BV132,BV133,BV137,BV138)</f>
        <v>-955600</v>
      </c>
      <c r="BW139" s="276">
        <f>SUM(BW132,BW133,BW137,BW138)</f>
        <v>-2610627</v>
      </c>
      <c r="BX139" s="276">
        <f>SUM(BX132,BX133,BX137,BX138)</f>
        <v>-955385</v>
      </c>
      <c r="BY139" s="276">
        <f>SUM(BY132,BY133,BY137,BY138)</f>
        <v>-2610619</v>
      </c>
      <c r="BZ139" s="276">
        <f>SUM(BV139:BY139)</f>
        <v>-7132231</v>
      </c>
      <c r="CA139" s="276">
        <f>SUM(CA132,CA133,CA137,CA138)</f>
        <v>-2610624</v>
      </c>
      <c r="CB139" s="276">
        <f>SUM(CB132,CB133,CB137,CB138)</f>
        <v>-7131971</v>
      </c>
      <c r="CC139" s="276">
        <f>SUM(CC132,CC133,CC137,CC138)</f>
        <v>-2610409</v>
      </c>
      <c r="CD139" s="276">
        <f>SUM(CD132,CD133,CD137,CD138)</f>
        <v>-7131963</v>
      </c>
      <c r="CE139" s="276">
        <f>SUM(CA139:CD139)</f>
        <v>-19484967</v>
      </c>
      <c r="CF139" s="276">
        <f>SUM(CF132,CF133,CF137,CF138)</f>
        <v>-7131968</v>
      </c>
      <c r="CG139" s="276">
        <f>SUM(CG132,CG133,CG137,CG138)</f>
        <v>-19484707</v>
      </c>
      <c r="CH139" s="276">
        <f>SUM(CH132,CH133,CH137,CH138)</f>
        <v>-7131753</v>
      </c>
      <c r="CI139" s="276">
        <f>SUM(CI132,CI133,CI137,CI138)</f>
        <v>-19484699</v>
      </c>
      <c r="CJ139" s="276">
        <f>SUM(CF139:CI139)</f>
        <v>-53233127</v>
      </c>
      <c r="CK139" s="276">
        <f>SUM(CK132,CK133,CK137,CK138)</f>
        <v>-19484704</v>
      </c>
      <c r="CL139" s="276">
        <f>SUM(CL132,CL133,CL137,CL138)</f>
        <v>-53232867</v>
      </c>
      <c r="CM139" s="276">
        <f>SUM(CM132,CM133,CM137,CM138)</f>
        <v>-19484489</v>
      </c>
      <c r="CN139" s="276">
        <f>SUM(CN132,CN133,CN137,CN138)</f>
        <v>-53232859</v>
      </c>
      <c r="CO139" s="276">
        <f>SUM(CK139:CN139)</f>
        <v>-145434919</v>
      </c>
      <c r="CP139" s="276">
        <f>SUM(CP132,CP133,CP137,CP138)</f>
        <v>-53232864</v>
      </c>
      <c r="CQ139" s="276">
        <f>SUM(CQ132,CQ133,CQ137,CQ138)</f>
        <v>-145434659</v>
      </c>
      <c r="CR139" s="276">
        <f>SUM(CR132,CR133,CR137,CR138)</f>
        <v>-53232649</v>
      </c>
      <c r="CS139" s="276">
        <f>SUM(CS132,CS133,CS137,CS138)</f>
        <v>-145434651</v>
      </c>
      <c r="CT139" s="276">
        <f>SUM(CP139:CS139)</f>
        <v>-397334823</v>
      </c>
      <c r="CU139" s="276">
        <f>SUM(CU132,CU133,CU137,CU138)</f>
        <v>-145434656</v>
      </c>
      <c r="CV139" s="276">
        <f>SUM(CV132,CV133,CV137,CV138)</f>
        <v>-397334563</v>
      </c>
      <c r="CW139" s="276">
        <f>SUM(CW132,CW133,CW137,CW138)</f>
        <v>-145434441</v>
      </c>
      <c r="CX139" s="276">
        <f>SUM(CX132,CX133,CX137,CX138)</f>
        <v>-397334555</v>
      </c>
      <c r="CY139" s="276">
        <f>SUM(CU139:CX139)</f>
        <v>-1085538215</v>
      </c>
    </row>
    <row r="140" ht="12.75" customHeight="1" s="255">
      <c r="C140" s="269" t="inlineStr">
        <is>
          <t>Common Dividends</t>
        </is>
      </c>
      <c r="D140" s="301">
        <f>INDEX('Inputs (2)'!$D$13:$AL$13,MATCH(D$7,'Inputs (2)'!$D$2:$AL$2,0))</f>
        <v>-1529</v>
      </c>
      <c r="E140" s="301">
        <f>INDEX('Inputs (2)'!$D$13:$AL$13,MATCH(E$7,'Inputs (2)'!$D$2:$AL$2,0))</f>
        <v>-1529</v>
      </c>
      <c r="F140" s="301">
        <f>INDEX('Inputs (2)'!$D$13:$AL$13,MATCH(F$7,'Inputs (2)'!$D$2:$AL$2,0))</f>
        <v>-1524</v>
      </c>
      <c r="G140" s="301">
        <f>INDEX('Inputs (2)'!$D$13:$AL$13,MATCH(G$7,'Inputs (2)'!$D$2:$AL$2,0))</f>
        <v>-1534</v>
      </c>
      <c r="H140" s="268">
        <f>SUM(D140:G140)</f>
        <v>-6116</v>
      </c>
      <c r="I140" s="301">
        <f>INDEX('Inputs (2)'!$D$13:$AL$13,MATCH(I$7,'Inputs (2)'!$D$2:$AL$2,0))</f>
        <v>-1549</v>
      </c>
      <c r="J140" s="301">
        <f>INDEX('Inputs (2)'!$D$13:$AL$13,MATCH(J$7,'Inputs (2)'!$D$2:$AL$2,0))</f>
        <v>-1542</v>
      </c>
      <c r="K140" s="301">
        <f>INDEX('Inputs (2)'!$D$13:$AL$13,MATCH(K$7,'Inputs (2)'!$D$2:$AL$2,0))</f>
        <v>-1536</v>
      </c>
      <c r="L140" s="301">
        <f>INDEX('Inputs (2)'!$D$13:$AL$13,MATCH(L$7,'Inputs (2)'!$D$2:$AL$2,0))</f>
        <v>-1525</v>
      </c>
      <c r="M140" s="268">
        <f>SUM(I140:L140)</f>
        <v>-6152</v>
      </c>
      <c r="N140" s="301">
        <f>INDEX('Inputs (2)'!$D$13:$AL$13,MATCH(N$7,'Inputs (2)'!$D$2:$AL$2,0))</f>
        <v>-1543</v>
      </c>
      <c r="O140" s="301">
        <f>INDEX('Inputs (2)'!$D$13:$AL$13,MATCH(O$7,'Inputs (2)'!$D$2:$AL$2,0))</f>
        <v>-1538</v>
      </c>
      <c r="P140" s="301">
        <f>INDEX('Inputs (2)'!$D$13:$AL$13,MATCH(P$7,'Inputs (2)'!$D$2:$AL$2,0))</f>
        <v>-1519</v>
      </c>
      <c r="Q140" s="301">
        <f>INDEX('Inputs (2)'!$D$13:$AL$13,MATCH(Q$7,'Inputs (2)'!$D$2:$AL$2,0))</f>
        <v>-1514</v>
      </c>
      <c r="R140" s="268">
        <f>SUM(N140:Q140)</f>
        <v>-6114</v>
      </c>
      <c r="S140" s="301">
        <f>INDEX('Inputs (2)'!$D$13:$AL$13,MATCH(S$7,'Inputs (2)'!$D$2:$AL$2,0))</f>
        <v>-1538</v>
      </c>
      <c r="T140" s="301">
        <f>INDEX('Inputs (2)'!$D$13:$AL$13,MATCH(T$7,'Inputs (2)'!$D$2:$AL$2,0))</f>
        <v>-1534</v>
      </c>
      <c r="U140" s="301">
        <f>INDEX('Inputs (2)'!$D$13:$AL$13,MATCH(U$7,'Inputs (2)'!$D$2:$AL$2,0))</f>
        <v>-1534</v>
      </c>
      <c r="V140" s="301">
        <f>INDEX('Inputs (2)'!$D$13:$AL$13,MATCH(V$7,'Inputs (2)'!$D$2:$AL$2,0))</f>
        <v>-1534</v>
      </c>
      <c r="W140" s="268">
        <f>SUM(S140:V140)</f>
        <v>-6140</v>
      </c>
      <c r="X140" s="301">
        <f>INDEX('Inputs (2)'!$D$13:$AL$13,MATCH(X$7,'Inputs (2)'!$D$2:$AL$2,0))</f>
        <v>-1671</v>
      </c>
      <c r="Y140" s="301">
        <f>INDEX('Inputs (2)'!$D$13:$AL$13,MATCH(Y$7,'Inputs (2)'!$D$2:$AL$2,0))</f>
        <v>-1665</v>
      </c>
      <c r="Z140" s="301">
        <f>INDEX('Inputs (2)'!$D$13:$AL$13,MATCH(Z$7,'Inputs (2)'!$D$2:$AL$2,0))</f>
        <v>-1668</v>
      </c>
      <c r="AA140" s="301">
        <f>INDEX('Inputs (2)'!$D$13:$AL$13,MATCH(AA$7,'Inputs (2)'!$D$2:$AL$2,0))</f>
        <v>-1684</v>
      </c>
      <c r="AB140" s="268">
        <f>SUM(X140:AA140)</f>
        <v>-6688</v>
      </c>
      <c r="AC140" s="301">
        <f>INDEX('Inputs (2)'!$D$13:$AL$13,MATCH(AC$7,'Inputs (2)'!$D$2:$AL$2,0))</f>
        <v>-1880</v>
      </c>
      <c r="AD140" s="301">
        <f>INDEX('Inputs (2)'!$D$13:$AL$13,MATCH(AD$7,'Inputs (2)'!$D$2:$AL$2,0))</f>
        <v>-1875</v>
      </c>
      <c r="AE140" s="301">
        <f>INDEX('Inputs (2)'!$D$13:$AL$13,MATCH(AE$7,'Inputs (2)'!$D$2:$AL$2,0))</f>
        <v>-1875</v>
      </c>
      <c r="AF140" s="301">
        <f>INDEX('Inputs (2)'!$D$13:$AL$13,MATCH(AF$7,'Inputs (2)'!$D$2:$AL$2,0))</f>
        <v>-1877</v>
      </c>
      <c r="AG140" s="268">
        <f>SUM(AC140:AF140)</f>
        <v>-7507</v>
      </c>
      <c r="AH140" s="268">
        <f>INDEX('Inputs (2)'!$D$13:$AL$13,MATCH(AH$7,'Inputs (2)'!$D$2:$AL$2,0))</f>
        <v>-1972</v>
      </c>
      <c r="AI140" s="268">
        <f>INDEX('Inputs (2)'!$D$13:$AL$13,MATCH(AI$7,'Inputs (2)'!$D$2:$AL$2,0))</f>
        <v>-1973</v>
      </c>
      <c r="AJ140" s="268" t="n"/>
      <c r="AK140" s="268" t="n"/>
      <c r="AL140" s="268">
        <f>SUM(AH140:AK140)</f>
        <v>-3945</v>
      </c>
      <c r="AM140" s="268" t="n"/>
      <c r="AN140" s="268" t="n"/>
      <c r="AO140" s="268" t="n"/>
      <c r="AP140" s="268" t="n"/>
      <c r="AQ140" s="268">
        <f>SUM(AM140:AP140)</f>
        <v>0</v>
      </c>
      <c r="AR140" s="268" t="n"/>
      <c r="AS140" s="268" t="n"/>
      <c r="AT140" s="268" t="n"/>
      <c r="AU140" s="268" t="n"/>
      <c r="AV140" s="268">
        <f>SUM(AR140:AU140)</f>
        <v>0</v>
      </c>
      <c r="AW140" s="268" t="n"/>
      <c r="AX140" s="268" t="n"/>
      <c r="AY140" s="268" t="n"/>
      <c r="AZ140" s="268" t="n"/>
      <c r="BA140" s="268">
        <f>SUM(AW140:AZ140)</f>
        <v>0</v>
      </c>
      <c r="BB140" s="268" t="n"/>
      <c r="BC140" s="268" t="n"/>
      <c r="BD140" s="268" t="n"/>
      <c r="BE140" s="268" t="n"/>
      <c r="BF140" s="268">
        <f>SUM(BB140:BE140)</f>
        <v>0</v>
      </c>
      <c r="BG140" s="268" t="n"/>
      <c r="BH140" s="268" t="n"/>
      <c r="BI140" s="268" t="n"/>
      <c r="BJ140" s="268" t="n"/>
      <c r="BK140" s="268">
        <f>SUM(BG140:BJ140)</f>
        <v>0</v>
      </c>
      <c r="BL140" s="268" t="n"/>
      <c r="BM140" s="268" t="n"/>
      <c r="BN140" s="268" t="n"/>
      <c r="BO140" s="268" t="n"/>
      <c r="BP140" s="268">
        <f>SUM(BL140:BO140)</f>
        <v>0</v>
      </c>
      <c r="BQ140" s="268" t="n"/>
      <c r="BR140" s="268" t="n"/>
      <c r="BS140" s="268" t="n"/>
      <c r="BT140" s="268" t="n"/>
      <c r="BU140" s="268">
        <f>SUM(BQ140:BT140)</f>
        <v>0</v>
      </c>
      <c r="BV140" s="268" t="n"/>
      <c r="BW140" s="268" t="n"/>
      <c r="BX140" s="268" t="n"/>
      <c r="BY140" s="268" t="n"/>
      <c r="BZ140" s="268">
        <f>SUM(BV140:BY140)</f>
        <v>0</v>
      </c>
      <c r="CA140" s="268" t="n"/>
      <c r="CB140" s="268" t="n"/>
      <c r="CC140" s="268" t="n"/>
      <c r="CD140" s="268" t="n"/>
      <c r="CE140" s="268">
        <f>SUM(CA140:CD140)</f>
        <v>0</v>
      </c>
      <c r="CF140" s="268" t="n"/>
      <c r="CG140" s="268" t="n"/>
      <c r="CH140" s="268" t="n"/>
      <c r="CI140" s="268" t="n"/>
      <c r="CJ140" s="268">
        <f>SUM(CF140:CI140)</f>
        <v>0</v>
      </c>
      <c r="CK140" s="268" t="n"/>
      <c r="CL140" s="268" t="n"/>
      <c r="CM140" s="268" t="n"/>
      <c r="CN140" s="268" t="n"/>
      <c r="CO140" s="268">
        <f>SUM(CK140:CN140)</f>
        <v>0</v>
      </c>
      <c r="CP140" s="268" t="n"/>
      <c r="CQ140" s="268" t="n"/>
      <c r="CR140" s="268" t="n"/>
      <c r="CS140" s="268" t="n"/>
      <c r="CT140" s="268">
        <f>SUM(CP140:CS140)</f>
        <v>0</v>
      </c>
      <c r="CU140" s="268" t="n"/>
      <c r="CV140" s="268" t="n"/>
      <c r="CW140" s="268" t="n"/>
      <c r="CX140" s="268" t="n"/>
      <c r="CY140" s="268">
        <f>SUM(CU140:CX140)</f>
        <v>0</v>
      </c>
    </row>
    <row r="141" hidden="1" outlineLevel="1" ht="12.75" customHeight="1" s="255">
      <c r="C141" s="305" t="inlineStr">
        <is>
          <t>% DVD Payout</t>
        </is>
      </c>
      <c r="D141" s="313">
        <f>-D140/D139</f>
        <v>0.383208020050125</v>
      </c>
      <c r="E141" s="313">
        <f>-E140/E139</f>
        <v>0.236102532427424</v>
      </c>
      <c r="F141" s="313">
        <f>-F140/F139</f>
        <v>0.296786757546251</v>
      </c>
      <c r="G141" s="313">
        <f>-G140/G139</f>
        <v>-0.733620277379244</v>
      </c>
      <c r="H141" s="313">
        <f>-H140/H139</f>
        <v>0.452701702442635</v>
      </c>
      <c r="I141" s="313">
        <f>-I140/I139</f>
        <v>0.567399267399267</v>
      </c>
      <c r="J141" s="313">
        <f>-J140/J139</f>
        <v>0.360617399438728</v>
      </c>
      <c r="K141" s="313">
        <f>-K140/K139</f>
        <v>0.494685990338164</v>
      </c>
      <c r="L141" s="313">
        <f>-L140/L139</f>
        <v>0.428130263896687</v>
      </c>
      <c r="M141" s="313">
        <f>-M140/M139</f>
        <v>0.449937833686828</v>
      </c>
      <c r="N141" s="313">
        <f>-N140/N139</f>
        <v>0.751217137293087</v>
      </c>
      <c r="O141" s="313">
        <f>-O140/O139</f>
        <v>0.298698776461449</v>
      </c>
      <c r="P141" s="313">
        <f>-P140/P139</f>
        <v>-0.844827586206897</v>
      </c>
      <c r="Q141" s="313">
        <f>-Q140/Q139</f>
        <v>0.241274900398406</v>
      </c>
      <c r="R141" s="313">
        <f>-R140/R139</f>
        <v>0.523458904109589</v>
      </c>
      <c r="S141" s="313">
        <f>-S140/S139</f>
        <v>0.919306634787806</v>
      </c>
      <c r="T141" s="313">
        <f>-T140/T139</f>
        <v>0.194398682042834</v>
      </c>
      <c r="U141" s="313">
        <f>-U140/U139</f>
        <v>3.38631346578366</v>
      </c>
      <c r="V141" s="313">
        <f>-V140/V139</f>
        <v>0.279213687659265</v>
      </c>
      <c r="W141" s="313">
        <f>-W140/W139</f>
        <v>0.395848107794468</v>
      </c>
      <c r="X141" s="313">
        <f>-X140/X139</f>
        <v>0.327390282131661</v>
      </c>
      <c r="Y141" s="313">
        <f>-Y140/Y139</f>
        <v>0.369917796045323</v>
      </c>
      <c r="Z141" s="313">
        <f>-Z140/Z139</f>
        <v>0.364430849901682</v>
      </c>
      <c r="AA141" s="313">
        <f>-AA140/AA139</f>
        <v>0.320517700799391</v>
      </c>
      <c r="AB141" s="313">
        <f>-AB140/AB139</f>
        <v>0.344103725046306</v>
      </c>
      <c r="AC141" s="313">
        <f>-AC140/AC139</f>
        <v>0.418988188098953</v>
      </c>
      <c r="AD141" s="313">
        <f>-AD140/AD139</f>
        <v>0.266865926558497</v>
      </c>
      <c r="AE141" s="313">
        <f>-AE140/AE139</f>
        <v>0.305225459873026</v>
      </c>
      <c r="AF141" s="297">
        <f>-AF140/AF139</f>
        <v>0.443002124144442</v>
      </c>
      <c r="AG141" s="268" t="n"/>
      <c r="AH141" s="297">
        <f>-AH140/AH139</f>
        <v>0.369981238273921</v>
      </c>
      <c r="AI141" s="297">
        <f>-AI140/AI139</f>
        <v>0.309927741124725</v>
      </c>
      <c r="AJ141" s="297" t="n"/>
      <c r="AK141" s="297" t="n"/>
      <c r="AL141" s="268">
        <f>-AL140/AL139</f>
        <v>0.372486073080918</v>
      </c>
      <c r="AM141" s="297" t="n"/>
      <c r="AN141" s="297" t="n"/>
      <c r="AO141" s="297" t="n"/>
      <c r="AP141" s="297" t="n"/>
      <c r="AQ141" s="268">
        <f>-AQ140/AQ139</f>
        <v>0</v>
      </c>
      <c r="AR141" s="297" t="n"/>
      <c r="AS141" s="297" t="n"/>
      <c r="AT141" s="297" t="n"/>
      <c r="AU141" s="297" t="n"/>
      <c r="AV141" s="268">
        <f>-AV140/AV139</f>
        <v>0</v>
      </c>
      <c r="AW141" s="297" t="n"/>
      <c r="AX141" s="297" t="n"/>
      <c r="AY141" s="297" t="n"/>
      <c r="AZ141" s="297" t="n"/>
      <c r="BA141" s="268">
        <f>-BA140/BA139</f>
        <v>0</v>
      </c>
      <c r="BB141" s="297" t="n"/>
      <c r="BC141" s="297" t="n"/>
      <c r="BD141" s="297" t="n"/>
      <c r="BE141" s="297" t="n"/>
      <c r="BF141" s="268">
        <f>-BF140/BF139</f>
        <v>0</v>
      </c>
      <c r="BG141" s="297" t="n"/>
      <c r="BH141" s="297" t="n"/>
      <c r="BI141" s="297" t="n"/>
      <c r="BJ141" s="297" t="n"/>
      <c r="BK141" s="268">
        <f>-BK140/BK139</f>
        <v>0</v>
      </c>
      <c r="BL141" s="297" t="n"/>
      <c r="BM141" s="297" t="n"/>
      <c r="BN141" s="297" t="n"/>
      <c r="BO141" s="297" t="n"/>
      <c r="BP141" s="268">
        <f>-BP140/BP139</f>
        <v>0</v>
      </c>
      <c r="BQ141" s="297" t="n"/>
      <c r="BR141" s="297" t="n"/>
      <c r="BS141" s="297" t="n"/>
      <c r="BT141" s="297" t="n"/>
      <c r="BU141" s="268">
        <f>-BU140/BU139</f>
        <v>0</v>
      </c>
      <c r="BV141" s="297" t="n"/>
      <c r="BW141" s="297" t="n"/>
      <c r="BX141" s="297" t="n"/>
      <c r="BY141" s="297" t="n"/>
      <c r="BZ141" s="268">
        <f>-BZ140/BZ139</f>
        <v>0</v>
      </c>
      <c r="CA141" s="297" t="n"/>
      <c r="CB141" s="297" t="n"/>
      <c r="CC141" s="297" t="n"/>
      <c r="CD141" s="297" t="n"/>
      <c r="CE141" s="268">
        <f>-CE140/CE139</f>
        <v>0</v>
      </c>
      <c r="CF141" s="297" t="n"/>
      <c r="CG141" s="297" t="n"/>
      <c r="CH141" s="297" t="n"/>
      <c r="CI141" s="297" t="n"/>
      <c r="CJ141" s="268">
        <f>-CJ140/CJ139</f>
        <v>0</v>
      </c>
      <c r="CK141" s="297" t="n"/>
      <c r="CL141" s="297" t="n"/>
      <c r="CM141" s="297" t="n"/>
      <c r="CN141" s="297" t="n"/>
      <c r="CO141" s="268">
        <f>-CO140/CO139</f>
        <v>0</v>
      </c>
      <c r="CP141" s="297" t="n"/>
      <c r="CQ141" s="297" t="n"/>
      <c r="CR141" s="297" t="n"/>
      <c r="CS141" s="297" t="n"/>
      <c r="CT141" s="268">
        <f>-CT140/CT139</f>
        <v>0</v>
      </c>
      <c r="CU141" s="297" t="n"/>
      <c r="CV141" s="297" t="n"/>
      <c r="CW141" s="297" t="n"/>
      <c r="CX141" s="297" t="n"/>
      <c r="CY141" s="268">
        <f>-CY140/CY139</f>
        <v>0</v>
      </c>
    </row>
    <row r="142" hidden="1" outlineLevel="1" ht="12.75" customHeight="1" s="255">
      <c r="C142" s="274" t="n"/>
      <c r="D142" s="259" t="n"/>
      <c r="E142" s="259" t="n"/>
      <c r="F142" s="259" t="n"/>
      <c r="G142" s="259" t="n"/>
      <c r="H142" s="259" t="n"/>
      <c r="I142" s="259" t="n"/>
      <c r="J142" s="259" t="n"/>
      <c r="K142" s="259" t="n"/>
      <c r="L142" s="259" t="n"/>
      <c r="M142" s="259" t="n"/>
      <c r="N142" s="259" t="n"/>
      <c r="O142" s="259" t="n"/>
      <c r="P142" s="259" t="n"/>
      <c r="Q142" s="259" t="n"/>
      <c r="R142" s="259" t="n"/>
      <c r="S142" s="259" t="n"/>
      <c r="T142" s="259" t="n"/>
      <c r="U142" s="259" t="n"/>
      <c r="V142" s="259" t="n"/>
      <c r="W142" s="259" t="n"/>
      <c r="X142" s="259" t="n"/>
      <c r="Y142" s="259" t="n"/>
      <c r="Z142" s="259" t="n"/>
      <c r="AA142" s="259" t="n"/>
      <c r="AB142" s="259" t="n"/>
      <c r="AC142" s="259" t="n"/>
      <c r="AD142" s="259" t="n"/>
      <c r="AE142" s="259" t="n"/>
      <c r="AF142" s="259" t="n"/>
      <c r="AG142" s="259" t="n"/>
      <c r="AH142" s="259" t="n"/>
      <c r="AI142" s="259" t="n"/>
      <c r="AJ142" s="259" t="n"/>
      <c r="AK142" s="259" t="n"/>
      <c r="AL142" s="259" t="n"/>
      <c r="AM142" s="259" t="n"/>
      <c r="AN142" s="259" t="n"/>
      <c r="AO142" s="259" t="n"/>
      <c r="AP142" s="259" t="n"/>
      <c r="AQ142" s="259" t="n"/>
      <c r="AR142" s="259" t="n"/>
      <c r="AS142" s="259" t="n"/>
      <c r="AT142" s="259" t="n"/>
      <c r="AU142" s="259" t="n"/>
      <c r="AV142" s="259" t="n"/>
      <c r="AW142" s="259" t="n"/>
      <c r="AX142" s="259" t="n"/>
      <c r="AY142" s="259" t="n"/>
      <c r="AZ142" s="259" t="n"/>
      <c r="BA142" s="259" t="n"/>
      <c r="BB142" s="259" t="n"/>
      <c r="BC142" s="259" t="n"/>
      <c r="BD142" s="259" t="n"/>
      <c r="BE142" s="259" t="n"/>
      <c r="BF142" s="259" t="n"/>
      <c r="BG142" s="259" t="n"/>
      <c r="BH142" s="259" t="n"/>
      <c r="BI142" s="259" t="n"/>
      <c r="BJ142" s="259" t="n"/>
      <c r="BK142" s="259" t="n"/>
      <c r="BL142" s="259" t="n"/>
      <c r="BM142" s="259" t="n"/>
      <c r="BN142" s="259" t="n"/>
      <c r="BO142" s="259" t="n"/>
      <c r="BP142" s="259" t="n"/>
      <c r="BQ142" s="259" t="n"/>
      <c r="BR142" s="259" t="n"/>
      <c r="BS142" s="259" t="n"/>
      <c r="BT142" s="259" t="n"/>
      <c r="BU142" s="259" t="n"/>
      <c r="BV142" s="259" t="n"/>
      <c r="BW142" s="259" t="n"/>
      <c r="BX142" s="259" t="n"/>
      <c r="BY142" s="259" t="n"/>
      <c r="BZ142" s="259" t="n"/>
      <c r="CA142" s="259" t="n"/>
      <c r="CB142" s="259" t="n"/>
      <c r="CC142" s="259" t="n"/>
      <c r="CD142" s="259" t="n"/>
      <c r="CE142" s="259" t="n"/>
      <c r="CF142" s="259" t="n"/>
      <c r="CG142" s="259" t="n"/>
      <c r="CH142" s="259" t="n"/>
      <c r="CI142" s="259" t="n"/>
      <c r="CJ142" s="259" t="n"/>
      <c r="CK142" s="259" t="n"/>
      <c r="CL142" s="259" t="n"/>
      <c r="CM142" s="259" t="n"/>
      <c r="CN142" s="259" t="n"/>
      <c r="CO142" s="259" t="n"/>
      <c r="CP142" s="259" t="n"/>
      <c r="CQ142" s="259" t="n"/>
      <c r="CR142" s="259" t="n"/>
      <c r="CS142" s="259" t="n"/>
      <c r="CT142" s="259" t="n"/>
      <c r="CU142" s="259" t="n"/>
      <c r="CV142" s="259" t="n"/>
      <c r="CW142" s="259" t="n"/>
      <c r="CX142" s="259" t="n"/>
      <c r="CY142" s="259" t="n"/>
    </row>
    <row r="143" hidden="1" outlineLevel="1" ht="12.75" customHeight="1" s="255">
      <c r="C143" s="274" t="n"/>
      <c r="D143" s="259" t="n"/>
      <c r="E143" s="259" t="n"/>
      <c r="F143" s="259" t="n"/>
      <c r="G143" s="259" t="n"/>
      <c r="H143" s="259" t="n"/>
      <c r="I143" s="259" t="n"/>
      <c r="J143" s="259" t="n"/>
      <c r="K143" s="259" t="n"/>
      <c r="L143" s="259" t="n"/>
      <c r="M143" s="259" t="n"/>
      <c r="N143" s="259" t="n"/>
      <c r="O143" s="259" t="n"/>
      <c r="P143" s="259" t="n"/>
      <c r="Q143" s="259" t="n"/>
      <c r="R143" s="259" t="n"/>
      <c r="S143" s="259" t="n"/>
      <c r="T143" s="259" t="n"/>
      <c r="U143" s="259" t="n"/>
      <c r="V143" s="259" t="n"/>
      <c r="W143" s="259" t="n"/>
      <c r="X143" s="259" t="n"/>
      <c r="Y143" s="259" t="n"/>
      <c r="Z143" s="259" t="n"/>
      <c r="AA143" s="259" t="n"/>
      <c r="AB143" s="259" t="n"/>
      <c r="AC143" s="259" t="n"/>
      <c r="AD143" s="259" t="n"/>
      <c r="AE143" s="259" t="n"/>
      <c r="AF143" s="259" t="n"/>
      <c r="AG143" s="259" t="n"/>
      <c r="AH143" s="259" t="n"/>
      <c r="AI143" s="259" t="n"/>
      <c r="AJ143" s="259" t="n"/>
      <c r="AK143" s="259" t="n"/>
      <c r="AL143" s="259" t="n"/>
      <c r="AM143" s="259" t="n"/>
      <c r="AN143" s="259" t="n"/>
      <c r="AO143" s="259" t="n"/>
      <c r="AP143" s="259" t="n"/>
      <c r="AQ143" s="259" t="n"/>
      <c r="AR143" s="259" t="n"/>
      <c r="AS143" s="259" t="n"/>
      <c r="AT143" s="259" t="n"/>
      <c r="AU143" s="259" t="n"/>
      <c r="AV143" s="259" t="n"/>
      <c r="AW143" s="259" t="n"/>
      <c r="AX143" s="259" t="n"/>
      <c r="AY143" s="259" t="n"/>
      <c r="AZ143" s="259" t="n"/>
      <c r="BA143" s="259" t="n"/>
      <c r="BB143" s="259" t="n"/>
      <c r="BC143" s="259" t="n"/>
      <c r="BD143" s="259" t="n"/>
      <c r="BE143" s="259" t="n"/>
      <c r="BF143" s="259" t="n"/>
      <c r="BG143" s="259" t="n"/>
      <c r="BH143" s="259" t="n"/>
      <c r="BI143" s="259" t="n"/>
      <c r="BJ143" s="259" t="n"/>
      <c r="BK143" s="259" t="n"/>
      <c r="BL143" s="259" t="n"/>
      <c r="BM143" s="259" t="n"/>
      <c r="BN143" s="259" t="n"/>
      <c r="BO143" s="259" t="n"/>
      <c r="BP143" s="259" t="n"/>
      <c r="BQ143" s="259" t="n"/>
      <c r="BR143" s="259" t="n"/>
      <c r="BS143" s="259" t="n"/>
      <c r="BT143" s="259" t="n"/>
      <c r="BU143" s="259" t="n"/>
      <c r="BV143" s="259" t="n"/>
      <c r="BW143" s="259" t="n"/>
      <c r="BX143" s="259" t="n"/>
      <c r="BY143" s="259" t="n"/>
      <c r="BZ143" s="259" t="n"/>
      <c r="CA143" s="259" t="n"/>
      <c r="CB143" s="259" t="n"/>
      <c r="CC143" s="259" t="n"/>
      <c r="CD143" s="259" t="n"/>
      <c r="CE143" s="259" t="n"/>
      <c r="CF143" s="259" t="n"/>
      <c r="CG143" s="259" t="n"/>
      <c r="CH143" s="259" t="n"/>
      <c r="CI143" s="259" t="n"/>
      <c r="CJ143" s="259" t="n"/>
      <c r="CK143" s="259" t="n"/>
      <c r="CL143" s="259" t="n"/>
      <c r="CM143" s="259" t="n"/>
      <c r="CN143" s="259" t="n"/>
      <c r="CO143" s="259" t="n"/>
      <c r="CP143" s="259" t="n"/>
      <c r="CQ143" s="259" t="n"/>
      <c r="CR143" s="259" t="n"/>
      <c r="CS143" s="259" t="n"/>
      <c r="CT143" s="259" t="n"/>
      <c r="CU143" s="259" t="n"/>
      <c r="CV143" s="259" t="n"/>
      <c r="CW143" s="259" t="n"/>
      <c r="CX143" s="259" t="n"/>
      <c r="CY143" s="259" t="n"/>
    </row>
    <row r="144" ht="11.25" customHeight="1" s="255">
      <c r="C144" s="289" t="inlineStr">
        <is>
          <t>Balance Sheet</t>
        </is>
      </c>
      <c r="D144" s="289" t="str">
        <f>D13</f>
        <v>1Q20</v>
      </c>
      <c r="E144" s="289" t="str">
        <f>E13</f>
        <v>2Q20</v>
      </c>
      <c r="F144" s="289" t="str">
        <f>F13</f>
        <v>3Q20</v>
      </c>
      <c r="G144" s="289" t="str">
        <f>G13</f>
        <v>4Q20</v>
      </c>
      <c r="H144" s="289">
        <f>H13</f>
        <v>2020</v>
      </c>
      <c r="I144" s="289" t="str">
        <f>I13</f>
        <v>1Q21</v>
      </c>
      <c r="J144" s="289" t="str">
        <f>J13</f>
        <v>2Q21</v>
      </c>
      <c r="K144" s="289" t="str">
        <f>K13</f>
        <v>3Q21</v>
      </c>
      <c r="L144" s="289" t="str">
        <f>L13</f>
        <v>4Q21</v>
      </c>
      <c r="M144" s="289">
        <f>M13</f>
        <v>2021</v>
      </c>
      <c r="N144" s="289" t="str">
        <f>N13</f>
        <v>1Q22</v>
      </c>
      <c r="O144" s="289" t="str">
        <f>O13</f>
        <v>2Q22</v>
      </c>
      <c r="P144" s="289" t="str">
        <f>P13</f>
        <v>3Q22</v>
      </c>
      <c r="Q144" s="289" t="str">
        <f>Q13</f>
        <v>4Q22</v>
      </c>
      <c r="R144" s="289">
        <f>R13</f>
        <v>2022</v>
      </c>
      <c r="S144" s="289" t="str">
        <f>S13</f>
        <v>1Q23</v>
      </c>
      <c r="T144" s="289" t="str">
        <f>T13</f>
        <v>2Q23</v>
      </c>
      <c r="U144" s="289" t="str">
        <f>U13</f>
        <v>3Q23</v>
      </c>
      <c r="V144" s="289" t="str">
        <f>V13</f>
        <v>4Q23</v>
      </c>
      <c r="W144" s="289">
        <f>W13</f>
        <v>2023</v>
      </c>
      <c r="X144" s="289" t="str">
        <f>X13</f>
        <v>1Q24</v>
      </c>
      <c r="Y144" s="289" t="str">
        <f>Y13</f>
        <v>2Q24</v>
      </c>
      <c r="Z144" s="289" t="str">
        <f>Z13</f>
        <v>3Q24</v>
      </c>
      <c r="AA144" s="289" t="str">
        <f>AA13</f>
        <v>4Q24</v>
      </c>
      <c r="AB144" s="289">
        <f>AB13</f>
        <v>2024</v>
      </c>
      <c r="AC144" s="289" t="str">
        <f>AC13</f>
        <v>1Q25</v>
      </c>
      <c r="AD144" s="289" t="str">
        <f>AD13</f>
        <v>2Q25</v>
      </c>
      <c r="AE144" s="289" t="str">
        <f>AE13</f>
        <v>3Q25</v>
      </c>
      <c r="AF144" s="289" t="str">
        <f>AF13</f>
        <v>4Q25</v>
      </c>
      <c r="AG144" s="289">
        <f>AG13</f>
        <v>2025</v>
      </c>
      <c r="AH144" s="289" t="str">
        <f>AH13</f>
        <v>1Q26</v>
      </c>
      <c r="AI144" s="289" t="str">
        <f>AI13</f>
        <v>2Q26</v>
      </c>
      <c r="AJ144" s="289" t="str">
        <f>AJ13</f>
        <v>3Q26</v>
      </c>
      <c r="AK144" s="289" t="str">
        <f>AK13</f>
        <v>4Q26</v>
      </c>
      <c r="AL144" s="289">
        <f>AL13</f>
        <v>2026</v>
      </c>
      <c r="AM144" s="289" t="str">
        <f>AM13</f>
        <v>1Q27</v>
      </c>
      <c r="AN144" s="289" t="str">
        <f>AN13</f>
        <v>2Q27</v>
      </c>
      <c r="AO144" s="289" t="str">
        <f>AO13</f>
        <v>3Q27</v>
      </c>
      <c r="AP144" s="289" t="str">
        <f>AP13</f>
        <v>4Q27</v>
      </c>
      <c r="AQ144" s="289">
        <f>AQ13</f>
        <v>2027</v>
      </c>
      <c r="AR144" s="289" t="str">
        <f>AR13</f>
        <v>1Q28</v>
      </c>
      <c r="AS144" s="289" t="str">
        <f>AS13</f>
        <v>2Q28</v>
      </c>
      <c r="AT144" s="289" t="str">
        <f>AT13</f>
        <v>3Q28</v>
      </c>
      <c r="AU144" s="289" t="str">
        <f>AU13</f>
        <v>4Q28</v>
      </c>
      <c r="AV144" s="289">
        <f>AV13</f>
        <v>2028</v>
      </c>
      <c r="AW144" s="289" t="str">
        <f>AW13</f>
        <v>1Q29</v>
      </c>
      <c r="AX144" s="289" t="str">
        <f>AX13</f>
        <v>2Q29</v>
      </c>
      <c r="AY144" s="289" t="str">
        <f>AY13</f>
        <v>3Q29</v>
      </c>
      <c r="AZ144" s="289" t="str">
        <f>AZ13</f>
        <v>4Q29</v>
      </c>
      <c r="BA144" s="289">
        <f>BA13</f>
        <v>2029</v>
      </c>
      <c r="BB144" s="289" t="str">
        <f>BB13</f>
        <v>1Q30</v>
      </c>
      <c r="BC144" s="289" t="str">
        <f>BC13</f>
        <v>2Q30</v>
      </c>
      <c r="BD144" s="289" t="str">
        <f>BD13</f>
        <v>3Q30</v>
      </c>
      <c r="BE144" s="289" t="str">
        <f>BE13</f>
        <v>4Q30</v>
      </c>
      <c r="BF144" s="289">
        <f>BF13</f>
        <v>2030</v>
      </c>
      <c r="BG144" s="289" t="str">
        <f>BG13</f>
        <v>1Q31</v>
      </c>
      <c r="BH144" s="289" t="str">
        <f>BH13</f>
        <v>2Q31</v>
      </c>
      <c r="BI144" s="289" t="str">
        <f>BI13</f>
        <v>3Q31</v>
      </c>
      <c r="BJ144" s="289" t="str">
        <f>BJ13</f>
        <v>4Q31</v>
      </c>
      <c r="BK144" s="289">
        <f>BK13</f>
        <v>2031</v>
      </c>
      <c r="BL144" s="289" t="str">
        <f>BL13</f>
        <v>1Q32</v>
      </c>
      <c r="BM144" s="289" t="str">
        <f>BM13</f>
        <v>2Q32</v>
      </c>
      <c r="BN144" s="289" t="str">
        <f>BN13</f>
        <v>3Q32</v>
      </c>
      <c r="BO144" s="289" t="str">
        <f>BO13</f>
        <v>4Q32</v>
      </c>
      <c r="BP144" s="289">
        <f>BP13</f>
        <v>2032</v>
      </c>
      <c r="BQ144" s="289" t="str">
        <f>BQ13</f>
        <v>1Q33</v>
      </c>
      <c r="BR144" s="289" t="str">
        <f>BR13</f>
        <v>2Q33</v>
      </c>
      <c r="BS144" s="289" t="str">
        <f>BS13</f>
        <v>3Q33</v>
      </c>
      <c r="BT144" s="289" t="str">
        <f>BT13</f>
        <v>4Q33</v>
      </c>
      <c r="BU144" s="289">
        <f>BU13</f>
        <v>2033</v>
      </c>
      <c r="BV144" s="289" t="str">
        <f>BV13</f>
        <v>1Q34</v>
      </c>
      <c r="BW144" s="289" t="str">
        <f>BW13</f>
        <v>2Q34</v>
      </c>
      <c r="BX144" s="289" t="str">
        <f>BX13</f>
        <v>3Q34</v>
      </c>
      <c r="BY144" s="289" t="str">
        <f>BY13</f>
        <v>4Q34</v>
      </c>
      <c r="BZ144" s="289">
        <f>BZ13</f>
        <v>2034</v>
      </c>
      <c r="CA144" s="289" t="str">
        <f>CA13</f>
        <v>1Q35</v>
      </c>
      <c r="CB144" s="289" t="str">
        <f>CB13</f>
        <v>2Q35</v>
      </c>
      <c r="CC144" s="289" t="str">
        <f>CC13</f>
        <v>3Q35</v>
      </c>
      <c r="CD144" s="289" t="str">
        <f>CD13</f>
        <v>4Q35</v>
      </c>
      <c r="CE144" s="289">
        <f>CE13</f>
        <v>2035</v>
      </c>
      <c r="CF144" s="289" t="str">
        <f>CF13</f>
        <v>1Q36</v>
      </c>
      <c r="CG144" s="289" t="str">
        <f>CG13</f>
        <v>2Q36</v>
      </c>
      <c r="CH144" s="289" t="str">
        <f>CH13</f>
        <v>3Q36</v>
      </c>
      <c r="CI144" s="289" t="str">
        <f>CI13</f>
        <v>4Q36</v>
      </c>
      <c r="CJ144" s="289">
        <f>CJ13</f>
        <v>2036</v>
      </c>
      <c r="CK144" s="289" t="str">
        <f>CK13</f>
        <v>1Q37</v>
      </c>
      <c r="CL144" s="289" t="str">
        <f>CL13</f>
        <v>2Q37</v>
      </c>
      <c r="CM144" s="289" t="str">
        <f>CM13</f>
        <v>3Q37</v>
      </c>
      <c r="CN144" s="289" t="str">
        <f>CN13</f>
        <v>4Q37</v>
      </c>
      <c r="CO144" s="289">
        <f>CO13</f>
        <v>2037</v>
      </c>
      <c r="CP144" s="289" t="str">
        <f>CP13</f>
        <v>1Q38</v>
      </c>
      <c r="CQ144" s="289" t="str">
        <f>CQ13</f>
        <v>2Q38</v>
      </c>
      <c r="CR144" s="289" t="str">
        <f>CR13</f>
        <v>3Q38</v>
      </c>
      <c r="CS144" s="289" t="str">
        <f>CS13</f>
        <v>4Q38</v>
      </c>
      <c r="CT144" s="289">
        <f>CT13</f>
        <v>2038</v>
      </c>
      <c r="CU144" s="289" t="str">
        <f>CU13</f>
        <v>1Q39</v>
      </c>
      <c r="CV144" s="289" t="str">
        <f>CV13</f>
        <v>2Q39</v>
      </c>
      <c r="CW144" s="289" t="str">
        <f>CW13</f>
        <v>3Q39</v>
      </c>
      <c r="CX144" s="289" t="str">
        <f>CX13</f>
        <v>4Q39</v>
      </c>
      <c r="CY144" s="289">
        <f>CY13</f>
        <v>2039</v>
      </c>
    </row>
    <row r="145" ht="12.75" customHeight="1" s="255">
      <c r="C145" s="274" t="n"/>
      <c r="D145" s="259" t="n"/>
      <c r="E145" s="259" t="n"/>
      <c r="F145" s="259" t="n"/>
      <c r="G145" s="259" t="n"/>
      <c r="H145" s="259" t="n"/>
      <c r="I145" s="259" t="n"/>
      <c r="J145" s="259" t="n"/>
      <c r="K145" s="259" t="n"/>
      <c r="L145" s="259" t="n"/>
      <c r="M145" s="259" t="n"/>
      <c r="N145" s="259" t="n"/>
      <c r="O145" s="259" t="n"/>
      <c r="P145" s="259" t="n"/>
      <c r="Q145" s="259" t="n"/>
      <c r="R145" s="259" t="n"/>
      <c r="S145" s="259" t="n"/>
      <c r="T145" s="259" t="n"/>
      <c r="U145" s="259" t="n"/>
      <c r="V145" s="259" t="n"/>
      <c r="W145" s="259" t="n"/>
      <c r="X145" s="259" t="n"/>
      <c r="Y145" s="259" t="n"/>
      <c r="Z145" s="259" t="n"/>
      <c r="AA145" s="259" t="n"/>
      <c r="AB145" s="259" t="n"/>
      <c r="AC145" s="259" t="n"/>
      <c r="AD145" s="259" t="n"/>
      <c r="AE145" s="259" t="n"/>
      <c r="AF145" s="259" t="n"/>
      <c r="AG145" s="259" t="n"/>
      <c r="AH145" s="259" t="n"/>
      <c r="AI145" s="259" t="n"/>
      <c r="AJ145" s="259" t="n"/>
      <c r="AK145" s="259" t="n"/>
      <c r="AL145" s="259" t="n"/>
      <c r="AM145" s="259" t="n"/>
      <c r="AN145" s="259" t="n"/>
      <c r="AO145" s="259" t="n"/>
      <c r="AP145" s="259" t="n"/>
      <c r="AQ145" s="259" t="n"/>
      <c r="AR145" s="259" t="n"/>
      <c r="AS145" s="259" t="n"/>
      <c r="AT145" s="259" t="n"/>
      <c r="AU145" s="259" t="n"/>
      <c r="AV145" s="259" t="n"/>
      <c r="AW145" s="259" t="n"/>
      <c r="AX145" s="259" t="n"/>
      <c r="AY145" s="259" t="n"/>
      <c r="AZ145" s="259" t="n"/>
      <c r="BA145" s="259" t="n"/>
      <c r="BB145" s="259" t="n"/>
      <c r="BC145" s="259" t="n"/>
      <c r="BD145" s="259" t="n"/>
      <c r="BE145" s="259" t="n"/>
      <c r="BF145" s="259" t="n"/>
      <c r="BG145" s="259" t="n"/>
      <c r="BH145" s="259" t="n"/>
      <c r="BI145" s="259" t="n"/>
      <c r="BJ145" s="259" t="n"/>
      <c r="BK145" s="259" t="n"/>
      <c r="BL145" s="259" t="n"/>
      <c r="BM145" s="259" t="n"/>
      <c r="BN145" s="259" t="n"/>
      <c r="BO145" s="259" t="n"/>
      <c r="BP145" s="259" t="n"/>
      <c r="BQ145" s="259" t="n"/>
      <c r="BR145" s="259" t="n"/>
      <c r="BS145" s="259" t="n"/>
      <c r="BT145" s="259" t="n"/>
      <c r="BU145" s="259" t="n"/>
      <c r="BV145" s="259" t="n"/>
      <c r="BW145" s="259" t="n"/>
      <c r="BX145" s="259" t="n"/>
      <c r="BY145" s="259" t="n"/>
      <c r="BZ145" s="259" t="n"/>
      <c r="CA145" s="259" t="n"/>
      <c r="CB145" s="259" t="n"/>
      <c r="CC145" s="259" t="n"/>
      <c r="CD145" s="259" t="n"/>
      <c r="CE145" s="259" t="n"/>
      <c r="CF145" s="259" t="n"/>
      <c r="CG145" s="259" t="n"/>
      <c r="CH145" s="259" t="n"/>
      <c r="CI145" s="259" t="n"/>
      <c r="CJ145" s="259" t="n"/>
      <c r="CK145" s="259" t="n"/>
      <c r="CL145" s="259" t="n"/>
      <c r="CM145" s="259" t="n"/>
      <c r="CN145" s="259" t="n"/>
      <c r="CO145" s="259" t="n"/>
      <c r="CP145" s="259" t="n"/>
      <c r="CQ145" s="259" t="n"/>
      <c r="CR145" s="259" t="n"/>
      <c r="CS145" s="259" t="n"/>
      <c r="CT145" s="259" t="n"/>
      <c r="CU145" s="259" t="n"/>
      <c r="CV145" s="259" t="n"/>
      <c r="CW145" s="259" t="n"/>
      <c r="CX145" s="259" t="n"/>
      <c r="CY145" s="259" t="n"/>
    </row>
    <row r="146" ht="12.75" customHeight="1" s="255">
      <c r="C146" s="269" t="inlineStr">
        <is>
          <t>Cash and equivalents (inc. investment securities)</t>
        </is>
      </c>
      <c r="D146" s="301">
        <f>INDEX('Inputs (2)'!$D$15:$AL$15,MATCH(D$7,'Inputs (2)'!$D$2:$AL$2,0))</f>
        <v>14930</v>
      </c>
      <c r="E146" s="301">
        <f>INDEX('Inputs (2)'!$D$15:$AL$15,MATCH(E$7,'Inputs (2)'!$D$2:$AL$2,0))</f>
        <v>16906</v>
      </c>
      <c r="F146" s="301">
        <f>INDEX('Inputs (2)'!$D$15:$AL$15,MATCH(F$7,'Inputs (2)'!$D$2:$AL$2,0))</f>
        <v>14325</v>
      </c>
      <c r="G146" s="301">
        <f>INDEX('Inputs (2)'!$D$15:$AL$15,MATCH(G$7,'Inputs (2)'!$D$2:$AL$2,0))</f>
        <v>17741</v>
      </c>
      <c r="H146" s="268">
        <f>G146</f>
        <v>17741</v>
      </c>
      <c r="I146" s="301">
        <f>INDEX('Inputs (2)'!$D$15:$AL$15,MATCH(I$7,'Inputs (2)'!$D$2:$AL$2,0))</f>
        <v>22846</v>
      </c>
      <c r="J146" s="301">
        <f>INDEX('Inputs (2)'!$D$15:$AL$15,MATCH(J$7,'Inputs (2)'!$D$2:$AL$2,0))</f>
        <v>22831</v>
      </c>
      <c r="K146" s="301">
        <f>INDEX('Inputs (2)'!$D$15:$AL$15,MATCH(K$7,'Inputs (2)'!$D$2:$AL$2,0))</f>
        <v>16111</v>
      </c>
      <c r="L146" s="301">
        <f>INDEX('Inputs (2)'!$D$15:$AL$15,MATCH(L$7,'Inputs (2)'!$D$2:$AL$2,0))</f>
        <v>14760</v>
      </c>
      <c r="M146" s="268">
        <f>L146</f>
        <v>14760</v>
      </c>
      <c r="N146" s="301">
        <f>INDEX('Inputs (2)'!$D$15:$AL$15,MATCH(N$7,'Inputs (2)'!$D$2:$AL$2,0))</f>
        <v>11817</v>
      </c>
      <c r="O146" s="301">
        <f>INDEX('Inputs (2)'!$D$15:$AL$15,MATCH(O$7,'Inputs (2)'!$D$2:$AL$2,0))</f>
        <v>13923</v>
      </c>
      <c r="P146" s="301">
        <f>INDEX('Inputs (2)'!$D$15:$AL$15,MATCH(P$7,'Inputs (2)'!$D$2:$AL$2,0))</f>
        <v>11587</v>
      </c>
      <c r="Q146" s="301">
        <f>INDEX('Inputs (2)'!$D$15:$AL$15,MATCH(Q$7,'Inputs (2)'!$D$2:$AL$2,0))</f>
        <v>8625</v>
      </c>
      <c r="R146" s="268">
        <f>Q146</f>
        <v>8625</v>
      </c>
      <c r="S146" s="301">
        <f>INDEX('Inputs (2)'!$D$15:$AL$15,MATCH(S$7,'Inputs (2)'!$D$2:$AL$2,0))</f>
        <v>10575</v>
      </c>
      <c r="T146" s="301">
        <f>INDEX('Inputs (2)'!$D$15:$AL$15,MATCH(T$7,'Inputs (2)'!$D$2:$AL$2,0))</f>
        <v>13888</v>
      </c>
      <c r="U146" s="301">
        <f>INDEX('Inputs (2)'!$D$15:$AL$15,MATCH(U$7,'Inputs (2)'!$D$2:$AL$2,0))</f>
        <v>12154</v>
      </c>
      <c r="V146" s="301">
        <f>INDEX('Inputs (2)'!$D$15:$AL$15,MATCH(V$7,'Inputs (2)'!$D$2:$AL$2,0))</f>
        <v>9867</v>
      </c>
      <c r="W146" s="268">
        <f>V146</f>
        <v>9867</v>
      </c>
      <c r="X146" s="301">
        <f>INDEX('Inputs (2)'!$D$15:$AL$15,MATCH(X$7,'Inputs (2)'!$D$2:$AL$2,0))</f>
        <v>9405</v>
      </c>
      <c r="Y146" s="301">
        <f>INDEX('Inputs (2)'!$D$15:$AL$15,MATCH(Y$7,'Inputs (2)'!$D$2:$AL$2,0))</f>
        <v>8811</v>
      </c>
      <c r="Z146" s="301">
        <f>INDEX('Inputs (2)'!$D$15:$AL$15,MATCH(Z$7,'Inputs (2)'!$D$2:$AL$2,0))</f>
        <v>10049</v>
      </c>
      <c r="AA146" s="301">
        <f>INDEX('Inputs (2)'!$D$15:$AL$15,MATCH(AA$7,'Inputs (2)'!$D$2:$AL$2,0))</f>
        <v>9037</v>
      </c>
      <c r="AB146" s="268">
        <f>AA146</f>
        <v>9037</v>
      </c>
      <c r="AC146" s="301">
        <f>INDEX('Inputs (2)'!$D$15:$AL$15,MATCH(AC$7,'Inputs (2)'!$D$2:$AL$2,0))</f>
        <v>9311</v>
      </c>
      <c r="AD146" s="301">
        <f>INDEX('Inputs (2)'!$D$15:$AL$15,MATCH(AD$7,'Inputs (2)'!$D$2:$AL$2,0))</f>
        <v>9431</v>
      </c>
      <c r="AE146" s="301">
        <f>INDEX('Inputs (2)'!$D$15:$AL$15,MATCH(AE$7,'Inputs (2)'!$D$2:$AL$2,0))</f>
        <v>10582</v>
      </c>
      <c r="AF146" s="301">
        <f>INDEX('Inputs (2)'!$D$15:$AL$15,MATCH(AF$7,'Inputs (2)'!$D$2:$AL$2,0))</f>
        <v>10727</v>
      </c>
      <c r="AG146" s="268">
        <f>AF146</f>
        <v>10727</v>
      </c>
      <c r="AH146" s="268">
        <f>INDEX('Inputs (2)'!$D$15:$AL$15,MATCH(AH$7,'Inputs (2)'!$D$2:$AL$2,0))</f>
        <v>10729</v>
      </c>
      <c r="AI146" s="268">
        <f>INDEX('Inputs (2)'!$D$15:$AL$15,MATCH(AI$7,'Inputs (2)'!$D$2:$AL$2,0))</f>
        <v>11529</v>
      </c>
      <c r="AJ146" s="268">
        <f>AI146+AJ316</f>
        <v>-10705</v>
      </c>
      <c r="AK146" s="268">
        <f>AJ146+AK316</f>
        <v>-11939</v>
      </c>
      <c r="AL146" s="268">
        <f>AK146</f>
        <v>-11939</v>
      </c>
      <c r="AM146" s="268" t="e">
        <f>AL146+AM316</f>
        <v>#DIV/0!</v>
      </c>
      <c r="AN146" s="268" t="e">
        <f>AM146+AN316</f>
        <v>#DIV/0!</v>
      </c>
      <c r="AO146" s="268" t="e">
        <f>AN146+AO316</f>
        <v>#DIV/0!</v>
      </c>
      <c r="AP146" s="268" t="e">
        <f>AO146+AP316</f>
        <v>#DIV/0!</v>
      </c>
      <c r="AQ146" s="268" t="e">
        <f>AP146</f>
        <v>#DIV/0!</v>
      </c>
      <c r="AR146" s="268" t="e">
        <f>AQ146+AR316</f>
        <v>#DIV/0!</v>
      </c>
      <c r="AS146" s="268" t="e">
        <f>AR146+AS316</f>
        <v>#DIV/0!</v>
      </c>
      <c r="AT146" s="268" t="e">
        <f>AS146+AT316</f>
        <v>#DIV/0!</v>
      </c>
      <c r="AU146" s="268" t="e">
        <f>AT146+AU316</f>
        <v>#DIV/0!</v>
      </c>
      <c r="AV146" s="268" t="e">
        <f>AU146</f>
        <v>#DIV/0!</v>
      </c>
      <c r="AW146" s="268" t="e">
        <f>AV146+AW316</f>
        <v>#DIV/0!</v>
      </c>
      <c r="AX146" s="268" t="e">
        <f>AW146+AX316</f>
        <v>#DIV/0!</v>
      </c>
      <c r="AY146" s="268" t="e">
        <f>AX146+AY316</f>
        <v>#DIV/0!</v>
      </c>
      <c r="AZ146" s="268" t="e">
        <f>AY146+AZ316</f>
        <v>#DIV/0!</v>
      </c>
      <c r="BA146" s="268" t="e">
        <f>AZ146</f>
        <v>#DIV/0!</v>
      </c>
      <c r="BB146" s="268" t="e">
        <f>BA146+BB316</f>
        <v>#DIV/0!</v>
      </c>
      <c r="BC146" s="268" t="e">
        <f>BB146+BC316</f>
        <v>#DIV/0!</v>
      </c>
      <c r="BD146" s="268" t="e">
        <f>BC146+BD316</f>
        <v>#DIV/0!</v>
      </c>
      <c r="BE146" s="268" t="e">
        <f>BD146+BE316</f>
        <v>#DIV/0!</v>
      </c>
      <c r="BF146" s="268" t="e">
        <f>BE146</f>
        <v>#DIV/0!</v>
      </c>
      <c r="BG146" s="268" t="e">
        <f>BF146+BG316</f>
        <v>#DIV/0!</v>
      </c>
      <c r="BH146" s="268" t="e">
        <f>BG146+BH316</f>
        <v>#DIV/0!</v>
      </c>
      <c r="BI146" s="268" t="e">
        <f>BH146+BI316</f>
        <v>#DIV/0!</v>
      </c>
      <c r="BJ146" s="268" t="e">
        <f>BI146+BJ316</f>
        <v>#DIV/0!</v>
      </c>
      <c r="BK146" s="268" t="e">
        <f>BJ146</f>
        <v>#DIV/0!</v>
      </c>
      <c r="BL146" s="268" t="e">
        <f>BK146+BL316</f>
        <v>#DIV/0!</v>
      </c>
      <c r="BM146" s="268" t="e">
        <f>BL146+BM316</f>
        <v>#DIV/0!</v>
      </c>
      <c r="BN146" s="268" t="e">
        <f>BM146+BN316</f>
        <v>#DIV/0!</v>
      </c>
      <c r="BO146" s="268" t="e">
        <f>BN146+BO316</f>
        <v>#DIV/0!</v>
      </c>
      <c r="BP146" s="268" t="e">
        <f>BO146</f>
        <v>#DIV/0!</v>
      </c>
      <c r="BQ146" s="268" t="e">
        <f>BP146+BQ316</f>
        <v>#DIV/0!</v>
      </c>
      <c r="BR146" s="268" t="e">
        <f>BQ146+BR316</f>
        <v>#DIV/0!</v>
      </c>
      <c r="BS146" s="268" t="e">
        <f>BR146+BS316</f>
        <v>#DIV/0!</v>
      </c>
      <c r="BT146" s="268" t="e">
        <f>BS146+BT316</f>
        <v>#DIV/0!</v>
      </c>
      <c r="BU146" s="268" t="e">
        <f>BT146</f>
        <v>#DIV/0!</v>
      </c>
      <c r="BV146" s="268" t="e">
        <f>BU146+BV316</f>
        <v>#DIV/0!</v>
      </c>
      <c r="BW146" s="268" t="e">
        <f>BV146+BW316</f>
        <v>#DIV/0!</v>
      </c>
      <c r="BX146" s="268" t="e">
        <f>BW146+BX316</f>
        <v>#DIV/0!</v>
      </c>
      <c r="BY146" s="268" t="e">
        <f>BX146+BY316</f>
        <v>#DIV/0!</v>
      </c>
      <c r="BZ146" s="268" t="e">
        <f>BY146</f>
        <v>#DIV/0!</v>
      </c>
      <c r="CA146" s="268" t="e">
        <f>BZ146+CA316</f>
        <v>#DIV/0!</v>
      </c>
      <c r="CB146" s="268" t="e">
        <f>CA146+CB316</f>
        <v>#DIV/0!</v>
      </c>
      <c r="CC146" s="268" t="e">
        <f>CB146+CC316</f>
        <v>#DIV/0!</v>
      </c>
      <c r="CD146" s="268" t="e">
        <f>CC146+CD316</f>
        <v>#DIV/0!</v>
      </c>
      <c r="CE146" s="268" t="e">
        <f>CD146</f>
        <v>#DIV/0!</v>
      </c>
      <c r="CF146" s="268" t="e">
        <f>CE146+CF316</f>
        <v>#DIV/0!</v>
      </c>
      <c r="CG146" s="268" t="e">
        <f>CF146+CG316</f>
        <v>#DIV/0!</v>
      </c>
      <c r="CH146" s="268" t="e">
        <f>CG146+CH316</f>
        <v>#DIV/0!</v>
      </c>
      <c r="CI146" s="268" t="e">
        <f>CH146+CI316</f>
        <v>#DIV/0!</v>
      </c>
      <c r="CJ146" s="268" t="e">
        <f>CI146</f>
        <v>#DIV/0!</v>
      </c>
      <c r="CK146" s="268" t="e">
        <f>CJ146+CK316</f>
        <v>#DIV/0!</v>
      </c>
      <c r="CL146" s="268" t="e">
        <f>CK146+CL316</f>
        <v>#DIV/0!</v>
      </c>
      <c r="CM146" s="268" t="e">
        <f>CL146+CM316</f>
        <v>#DIV/0!</v>
      </c>
      <c r="CN146" s="268" t="e">
        <f>CM146+CN316</f>
        <v>#DIV/0!</v>
      </c>
      <c r="CO146" s="268" t="e">
        <f>CN146</f>
        <v>#DIV/0!</v>
      </c>
      <c r="CP146" s="268" t="e">
        <f>CO146+CP316</f>
        <v>#DIV/0!</v>
      </c>
      <c r="CQ146" s="268" t="e">
        <f>CP146+CQ316</f>
        <v>#DIV/0!</v>
      </c>
      <c r="CR146" s="268" t="e">
        <f>CQ146+CR316</f>
        <v>#DIV/0!</v>
      </c>
      <c r="CS146" s="268" t="e">
        <f>CR146+CS316</f>
        <v>#DIV/0!</v>
      </c>
      <c r="CT146" s="268" t="e">
        <f>CS146</f>
        <v>#DIV/0!</v>
      </c>
      <c r="CU146" s="268" t="e">
        <f>CT146+CU316</f>
        <v>#DIV/0!</v>
      </c>
      <c r="CV146" s="268" t="e">
        <f>CU146+CV316</f>
        <v>#DIV/0!</v>
      </c>
      <c r="CW146" s="268" t="e">
        <f>CV146+CW316</f>
        <v>#DIV/0!</v>
      </c>
      <c r="CX146" s="268" t="e">
        <f>CW146+CX316</f>
        <v>#DIV/0!</v>
      </c>
      <c r="CY146" s="268" t="e">
        <f>CX146</f>
        <v>#DIV/0!</v>
      </c>
    </row>
    <row r="147" ht="12.75" customHeight="1" s="255">
      <c r="C147" s="270" t="inlineStr">
        <is>
          <t>Accounts receivable</t>
        </is>
      </c>
      <c r="D147" s="301">
        <f>INDEX('Inputs (2)'!$D$16:$AL$16,MATCH(D$7,'Inputs (2)'!$D$2:$AL$2,0))</f>
        <v>5029</v>
      </c>
      <c r="E147" s="301">
        <f>INDEX('Inputs (2)'!$D$16:$AL$16,MATCH(E$7,'Inputs (2)'!$D$2:$AL$2,0))</f>
        <v>5111</v>
      </c>
      <c r="F147" s="301">
        <f>INDEX('Inputs (2)'!$D$16:$AL$16,MATCH(F$7,'Inputs (2)'!$D$2:$AL$2,0))</f>
        <v>5770</v>
      </c>
      <c r="G147" s="301">
        <f>INDEX('Inputs (2)'!$D$16:$AL$16,MATCH(G$7,'Inputs (2)'!$D$2:$AL$2,0))</f>
        <v>6516</v>
      </c>
      <c r="H147" s="268">
        <f>G147</f>
        <v>6516</v>
      </c>
      <c r="I147" s="301">
        <f>INDEX('Inputs (2)'!$D$16:$AL$16,MATCH(I$7,'Inputs (2)'!$D$2:$AL$2,0))</f>
        <v>5797</v>
      </c>
      <c r="J147" s="301">
        <f>INDEX('Inputs (2)'!$D$16:$AL$16,MATCH(J$7,'Inputs (2)'!$D$2:$AL$2,0))</f>
        <v>6103</v>
      </c>
      <c r="K147" s="301">
        <f>INDEX('Inputs (2)'!$D$16:$AL$16,MATCH(K$7,'Inputs (2)'!$D$2:$AL$2,0))</f>
        <v>7349</v>
      </c>
      <c r="L147" s="301">
        <f>INDEX('Inputs (2)'!$D$16:$AL$16,MATCH(L$7,'Inputs (2)'!$D$2:$AL$2,0))</f>
        <v>8280</v>
      </c>
      <c r="M147" s="268">
        <f>L147</f>
        <v>8280</v>
      </c>
      <c r="N147" s="301">
        <f>INDEX('Inputs (2)'!$D$16:$AL$16,MATCH(N$7,'Inputs (2)'!$D$2:$AL$2,0))</f>
        <v>7674</v>
      </c>
      <c r="O147" s="301">
        <f>INDEX('Inputs (2)'!$D$16:$AL$16,MATCH(O$7,'Inputs (2)'!$D$2:$AL$2,0))</f>
        <v>7522</v>
      </c>
      <c r="P147" s="301">
        <f>INDEX('Inputs (2)'!$D$16:$AL$16,MATCH(P$7,'Inputs (2)'!$D$2:$AL$2,0))</f>
        <v>8218</v>
      </c>
      <c r="Q147" s="301">
        <f>INDEX('Inputs (2)'!$D$16:$AL$16,MATCH(Q$7,'Inputs (2)'!$D$2:$AL$2,0))</f>
        <v>7933</v>
      </c>
      <c r="R147" s="268">
        <f>Q147</f>
        <v>7933</v>
      </c>
      <c r="S147" s="301">
        <f>INDEX('Inputs (2)'!$D$16:$AL$16,MATCH(S$7,'Inputs (2)'!$D$2:$AL$2,0))</f>
        <v>7647</v>
      </c>
      <c r="T147" s="301">
        <f>INDEX('Inputs (2)'!$D$16:$AL$16,MATCH(T$7,'Inputs (2)'!$D$2:$AL$2,0))</f>
        <v>7891</v>
      </c>
      <c r="U147" s="301">
        <f>INDEX('Inputs (2)'!$D$16:$AL$16,MATCH(U$7,'Inputs (2)'!$D$2:$AL$2,0))</f>
        <v>8625</v>
      </c>
      <c r="V147" s="301">
        <f>INDEX('Inputs (2)'!$D$16:$AL$16,MATCH(V$7,'Inputs (2)'!$D$2:$AL$2,0))</f>
        <v>8796</v>
      </c>
      <c r="W147" s="268">
        <f>V147</f>
        <v>8796</v>
      </c>
      <c r="X147" s="301">
        <f>INDEX('Inputs (2)'!$D$16:$AL$16,MATCH(X$7,'Inputs (2)'!$D$2:$AL$2,0))</f>
        <v>9075</v>
      </c>
      <c r="Y147" s="301">
        <f>INDEX('Inputs (2)'!$D$16:$AL$16,MATCH(Y$7,'Inputs (2)'!$D$2:$AL$2,0))</f>
        <v>8650</v>
      </c>
      <c r="Z147" s="301">
        <f>INDEX('Inputs (2)'!$D$16:$AL$16,MATCH(Z$7,'Inputs (2)'!$D$2:$AL$2,0))</f>
        <v>10039</v>
      </c>
      <c r="AA147" s="301">
        <f>INDEX('Inputs (2)'!$D$16:$AL$16,MATCH(AA$7,'Inputs (2)'!$D$2:$AL$2,0))</f>
        <v>9975</v>
      </c>
      <c r="AB147" s="268">
        <f>AA147</f>
        <v>9975</v>
      </c>
      <c r="AC147" s="301">
        <f>INDEX('Inputs (2)'!$D$16:$AL$16,MATCH(AC$7,'Inputs (2)'!$D$2:$AL$2,0))</f>
        <v>9686</v>
      </c>
      <c r="AD147" s="301">
        <f>INDEX('Inputs (2)'!$D$16:$AL$16,MATCH(AD$7,'Inputs (2)'!$D$2:$AL$2,0))</f>
        <v>10518</v>
      </c>
      <c r="AE147" s="301">
        <f>INDEX('Inputs (2)'!$D$16:$AL$16,MATCH(AE$7,'Inputs (2)'!$D$2:$AL$2,0))</f>
        <v>12115</v>
      </c>
      <c r="AF147" s="301">
        <f>INDEX('Inputs (2)'!$D$16:$AL$16,MATCH(AF$7,'Inputs (2)'!$D$2:$AL$2,0))</f>
        <v>11172</v>
      </c>
      <c r="AG147" s="268">
        <f>AF147</f>
        <v>11172</v>
      </c>
      <c r="AH147" s="268">
        <f>INDEX('Inputs (2)'!$D$16:$AL$16,MATCH(AH$7,'Inputs (2)'!$D$2:$AL$2,0))</f>
        <v>10662</v>
      </c>
      <c r="AI147" s="268">
        <f>INDEX('Inputs (2)'!$D$16:$AL$16,MATCH(AI$7,'Inputs (2)'!$D$2:$AL$2,0))</f>
        <v>11075</v>
      </c>
      <c r="AJ147" s="268">
        <f>(AJ148/(AJ$5-AI$5))*AJ$15</f>
        <v>0</v>
      </c>
      <c r="AK147" s="268">
        <f>(AK148/(AK$5-AJ$5))*AK$15</f>
        <v>0</v>
      </c>
      <c r="AL147" s="268">
        <f>AK147</f>
        <v>0</v>
      </c>
      <c r="AM147" s="268">
        <f>(AM148/(AM$5-AL$5))*AM$15</f>
        <v>0</v>
      </c>
      <c r="AN147" s="268">
        <f>(AN148/(AN$5-AM$5))*AN$15</f>
        <v>0</v>
      </c>
      <c r="AO147" s="268">
        <f>(AO148/(AO$5-AN$5))*AO$15</f>
        <v>0</v>
      </c>
      <c r="AP147" s="268">
        <f>(AP148/(AP$5-AO$5))*AP$15</f>
        <v>0</v>
      </c>
      <c r="AQ147" s="268">
        <f>AP147</f>
        <v>0</v>
      </c>
      <c r="AR147" s="268">
        <f>(AR148/(AR$5-AQ$5))*AR$15</f>
        <v>0</v>
      </c>
      <c r="AS147" s="268">
        <f>(AS148/(AS$5-AR$5))*AS$15</f>
        <v>0</v>
      </c>
      <c r="AT147" s="268">
        <f>(AT148/(AT$5-AS$5))*AT$15</f>
        <v>0</v>
      </c>
      <c r="AU147" s="268">
        <f>(AU148/(AU$5-AT$5))*AU$15</f>
        <v>0</v>
      </c>
      <c r="AV147" s="268">
        <f>AU147</f>
        <v>0</v>
      </c>
      <c r="AW147" s="268">
        <f>(AW148/(AW$5-AV$5))*AW$15</f>
        <v>0</v>
      </c>
      <c r="AX147" s="268">
        <f>(AX148/(AX$5-AW$5))*AX$15</f>
        <v>0</v>
      </c>
      <c r="AY147" s="268">
        <f>(AY148/(AY$5-AX$5))*AY$15</f>
        <v>0</v>
      </c>
      <c r="AZ147" s="268">
        <f>(AZ148/(AZ$5-AY$5))*AZ$15</f>
        <v>0</v>
      </c>
      <c r="BA147" s="268">
        <f>AZ147</f>
        <v>0</v>
      </c>
      <c r="BB147" s="268">
        <f>(BB148/(BB$5-BA$5))*BB$15</f>
        <v>0</v>
      </c>
      <c r="BC147" s="268">
        <f>(BC148/(BC$5-BB$5))*BC$15</f>
        <v>0</v>
      </c>
      <c r="BD147" s="268">
        <f>(BD148/(BD$5-BC$5))*BD$15</f>
        <v>0</v>
      </c>
      <c r="BE147" s="268">
        <f>(BE148/(BE$5-BD$5))*BE$15</f>
        <v>0</v>
      </c>
      <c r="BF147" s="268">
        <f>BE147</f>
        <v>0</v>
      </c>
      <c r="BG147" s="268">
        <f>(BG148/(BG$5-BF$5))*BG$15</f>
        <v>0</v>
      </c>
      <c r="BH147" s="268">
        <f>(BH148/(BH$5-BG$5))*BH$15</f>
        <v>0</v>
      </c>
      <c r="BI147" s="268">
        <f>(BI148/(BI$5-BH$5))*BI$15</f>
        <v>0</v>
      </c>
      <c r="BJ147" s="268">
        <f>(BJ148/(BJ$5-BI$5))*BJ$15</f>
        <v>0</v>
      </c>
      <c r="BK147" s="268">
        <f>BJ147</f>
        <v>0</v>
      </c>
      <c r="BL147" s="268">
        <f>(BL148/(BL$5-BK$5))*BL$15</f>
        <v>0</v>
      </c>
      <c r="BM147" s="268">
        <f>(BM148/(BM$5-BL$5))*BM$15</f>
        <v>0</v>
      </c>
      <c r="BN147" s="268">
        <f>(BN148/(BN$5-BM$5))*BN$15</f>
        <v>0</v>
      </c>
      <c r="BO147" s="268">
        <f>(BO148/(BO$5-BN$5))*BO$15</f>
        <v>0</v>
      </c>
      <c r="BP147" s="268">
        <f>BO147</f>
        <v>0</v>
      </c>
      <c r="BQ147" s="268">
        <f>(BQ148/(BQ$5-BP$5))*BQ$15</f>
        <v>0</v>
      </c>
      <c r="BR147" s="268">
        <f>(BR148/(BR$5-BQ$5))*BR$15</f>
        <v>0</v>
      </c>
      <c r="BS147" s="268">
        <f>(BS148/(BS$5-BR$5))*BS$15</f>
        <v>0</v>
      </c>
      <c r="BT147" s="268">
        <f>(BT148/(BT$5-BS$5))*BT$15</f>
        <v>0</v>
      </c>
      <c r="BU147" s="268">
        <f>BT147</f>
        <v>0</v>
      </c>
      <c r="BV147" s="268">
        <f>(BV148/(BV$5-BU$5))*BV$15</f>
        <v>0</v>
      </c>
      <c r="BW147" s="268">
        <f>(BW148/(BW$5-BV$5))*BW$15</f>
        <v>0</v>
      </c>
      <c r="BX147" s="268">
        <f>(BX148/(BX$5-BW$5))*BX$15</f>
        <v>0</v>
      </c>
      <c r="BY147" s="268">
        <f>(BY148/(BY$5-BX$5))*BY$15</f>
        <v>0</v>
      </c>
      <c r="BZ147" s="268">
        <f>BY147</f>
        <v>0</v>
      </c>
      <c r="CA147" s="268">
        <f>(CA148/(CA$5-BZ$5))*CA$15</f>
        <v>0</v>
      </c>
      <c r="CB147" s="268">
        <f>(CB148/(CB$5-CA$5))*CB$15</f>
        <v>0</v>
      </c>
      <c r="CC147" s="268">
        <f>(CC148/(CC$5-CB$5))*CC$15</f>
        <v>0</v>
      </c>
      <c r="CD147" s="268">
        <f>(CD148/(CD$5-CC$5))*CD$15</f>
        <v>0</v>
      </c>
      <c r="CE147" s="268">
        <f>CD147</f>
        <v>0</v>
      </c>
      <c r="CF147" s="268">
        <f>(CF148/(CF$5-CE$5))*CF$15</f>
        <v>0</v>
      </c>
      <c r="CG147" s="268">
        <f>(CG148/(CG$5-CF$5))*CG$15</f>
        <v>0</v>
      </c>
      <c r="CH147" s="268">
        <f>(CH148/(CH$5-CG$5))*CH$15</f>
        <v>0</v>
      </c>
      <c r="CI147" s="268">
        <f>(CI148/(CI$5-CH$5))*CI$15</f>
        <v>0</v>
      </c>
      <c r="CJ147" s="268">
        <f>CI147</f>
        <v>0</v>
      </c>
      <c r="CK147" s="268">
        <f>(CK148/(CK$5-CJ$5))*CK$15</f>
        <v>0</v>
      </c>
      <c r="CL147" s="268">
        <f>(CL148/(CL$5-CK$5))*CL$15</f>
        <v>0</v>
      </c>
      <c r="CM147" s="268">
        <f>(CM148/(CM$5-CL$5))*CM$15</f>
        <v>0</v>
      </c>
      <c r="CN147" s="268">
        <f>(CN148/(CN$5-CM$5))*CN$15</f>
        <v>0</v>
      </c>
      <c r="CO147" s="268">
        <f>CN147</f>
        <v>0</v>
      </c>
      <c r="CP147" s="268">
        <f>(CP148/(CP$5-CO$5))*CP$15</f>
        <v>0</v>
      </c>
      <c r="CQ147" s="268">
        <f>(CQ148/(CQ$5-CP$5))*CQ$15</f>
        <v>0</v>
      </c>
      <c r="CR147" s="268">
        <f>(CR148/(CR$5-CQ$5))*CR$15</f>
        <v>0</v>
      </c>
      <c r="CS147" s="268">
        <f>(CS148/(CS$5-CR$5))*CS$15</f>
        <v>0</v>
      </c>
      <c r="CT147" s="268">
        <f>CS147</f>
        <v>0</v>
      </c>
      <c r="CU147" s="268">
        <f>(CU148/(CU$5-CT$5))*CU$15</f>
        <v>0</v>
      </c>
      <c r="CV147" s="268">
        <f>(CV148/(CV$5-CU$5))*CV$15</f>
        <v>0</v>
      </c>
      <c r="CW147" s="268">
        <f>(CW148/(CW$5-CV$5))*CW$15</f>
        <v>0</v>
      </c>
      <c r="CX147" s="268">
        <f>(CX148/(CX$5-CW$5))*CX$15</f>
        <v>0</v>
      </c>
      <c r="CY147" s="268">
        <f>CX147</f>
        <v>0</v>
      </c>
    </row>
    <row r="148" hidden="1" outlineLevel="1" ht="12.75" customHeight="1" s="255">
      <c r="C148" s="312" t="inlineStr">
        <is>
          <t>DSO</t>
        </is>
      </c>
      <c r="D148" s="268" t="n"/>
      <c r="E148" s="268">
        <f>(E147/E$15)*(E$5-D$5)</f>
        <v>3.37660989385953</v>
      </c>
      <c r="F148" s="268">
        <f>(F147/F$15)*(F$5-E$5)</f>
        <v>3.94067167503044</v>
      </c>
      <c r="G148" s="268">
        <f>(G147/G$15)*(G$5-F$5)</f>
        <v>3.9418460142426</v>
      </c>
      <c r="H148" s="268" t="n"/>
      <c r="I148" s="268">
        <f>(I147/I$15)*(I$5-H$5)</f>
        <v>3.77217843973682</v>
      </c>
      <c r="J148" s="268">
        <f>(J147/J$15)*(J$5-I$5)</f>
        <v>3.93747518575237</v>
      </c>
      <c r="K148" s="268">
        <f>(K147/K$15)*(K$5-J$5)</f>
        <v>4.81130048034158</v>
      </c>
      <c r="L148" s="268">
        <f>(L147/L$15)*(L$5-K$5)</f>
        <v>4.98302490334988</v>
      </c>
      <c r="M148" s="268" t="n"/>
      <c r="N148" s="268">
        <f>(N147/N$15)*(N$5-M$5)</f>
        <v>4.87861043024956</v>
      </c>
      <c r="O148" s="268">
        <f>(O147/O$15)*(O$5-N$5)</f>
        <v>4.47799606173009</v>
      </c>
      <c r="P148" s="268">
        <f>(P147/P$15)*(P$5-O$5)</f>
        <v>4.94758953753935</v>
      </c>
      <c r="Q148" s="268">
        <f>(Q147/Q$15)*(Q$5-P$5)</f>
        <v>4.44891739003219</v>
      </c>
      <c r="R148" s="268" t="n"/>
      <c r="S148" s="268">
        <f>(S147/S$15)*(S$5-R$5)</f>
        <v>4.51888037504678</v>
      </c>
      <c r="T148" s="268">
        <f>(T147/T$15)*(T$5-S$5)</f>
        <v>4.44269080380123</v>
      </c>
      <c r="U148" s="268">
        <f>(U147/U$15)*(U$5-T$5)</f>
        <v>4.93457874182234</v>
      </c>
      <c r="V148" s="268">
        <f>(V147/V$15)*(V$5-U$5)</f>
        <v>4.6671741989065</v>
      </c>
      <c r="W148" s="268" t="n"/>
      <c r="X148" s="268">
        <f>(X147/X$15)*(X$5-W$5)</f>
        <v>5.11321420610744</v>
      </c>
      <c r="Y148" s="268">
        <f>(Y147/Y$15)*(Y$5-X$5)</f>
        <v>4.64847786931231</v>
      </c>
      <c r="Z148" s="268">
        <f>(Z147/Z$15)*(Z$5-Y$5)</f>
        <v>5.44606929735595</v>
      </c>
      <c r="AA148" s="268">
        <f>(AA147/AA$15)*(AA$5-Z$5)</f>
        <v>5.0826899431749</v>
      </c>
      <c r="AB148" s="268" t="n"/>
      <c r="AC148" s="268">
        <f>(AC147/AC$15)*(AC$5-AB$5)</f>
        <v>5.26384435628498</v>
      </c>
      <c r="AD148" s="268">
        <f>(AD147/AD$15)*(AD$5-AC$5)</f>
        <v>5.39530557716373</v>
      </c>
      <c r="AE148" s="268">
        <f>(AE147/AE$15)*(AE$5-AD$5)</f>
        <v>6.20949770468423</v>
      </c>
      <c r="AF148" s="267">
        <f>(AF147/AF$15)*(AF$5-AE$5)</f>
        <v>5.39098690835851</v>
      </c>
      <c r="AG148" s="268" t="n"/>
      <c r="AH148" s="267">
        <f>(AH147/AH$15)*(AH$5-AG$5)</f>
        <v>5.3984506416279</v>
      </c>
      <c r="AI148" s="267">
        <f>(AI147/AI$15)*(AI$5-AH$5)</f>
        <v>5.36256830746474</v>
      </c>
      <c r="AJ148" s="267" t="n"/>
      <c r="AK148" s="267" t="n"/>
      <c r="AL148" s="268" t="n"/>
      <c r="AM148" s="267" t="n"/>
      <c r="AN148" s="267" t="n"/>
      <c r="AO148" s="267" t="n"/>
      <c r="AP148" s="267" t="n"/>
      <c r="AQ148" s="268" t="n"/>
      <c r="AR148" s="267" t="n"/>
      <c r="AS148" s="267" t="n"/>
      <c r="AT148" s="267" t="n"/>
      <c r="AU148" s="267" t="n"/>
      <c r="AV148" s="268" t="n"/>
      <c r="AW148" s="267" t="n"/>
      <c r="AX148" s="267" t="n"/>
      <c r="AY148" s="267" t="n"/>
      <c r="AZ148" s="267" t="n"/>
      <c r="BA148" s="268" t="n"/>
      <c r="BB148" s="267" t="n"/>
      <c r="BC148" s="267" t="n"/>
      <c r="BD148" s="267" t="n"/>
      <c r="BE148" s="267" t="n"/>
      <c r="BF148" s="268" t="n"/>
      <c r="BG148" s="267" t="n"/>
      <c r="BH148" s="267" t="n"/>
      <c r="BI148" s="267" t="n"/>
      <c r="BJ148" s="267" t="n"/>
      <c r="BK148" s="268" t="n"/>
      <c r="BL148" s="267" t="n"/>
      <c r="BM148" s="267" t="n"/>
      <c r="BN148" s="267" t="n"/>
      <c r="BO148" s="267" t="n"/>
      <c r="BP148" s="268" t="n"/>
      <c r="BQ148" s="267" t="n"/>
      <c r="BR148" s="267" t="n"/>
      <c r="BS148" s="267" t="n"/>
      <c r="BT148" s="267" t="n"/>
      <c r="BU148" s="268" t="n"/>
      <c r="BV148" s="267" t="n"/>
      <c r="BW148" s="267" t="n"/>
      <c r="BX148" s="267" t="n"/>
      <c r="BY148" s="267" t="n"/>
      <c r="BZ148" s="268" t="n"/>
      <c r="CA148" s="267" t="n"/>
      <c r="CB148" s="267" t="n"/>
      <c r="CC148" s="267" t="n"/>
      <c r="CD148" s="267" t="n"/>
      <c r="CE148" s="268" t="n"/>
      <c r="CF148" s="267" t="n"/>
      <c r="CG148" s="267" t="n"/>
      <c r="CH148" s="267" t="n"/>
      <c r="CI148" s="267" t="n"/>
      <c r="CJ148" s="268" t="n"/>
      <c r="CK148" s="267" t="n"/>
      <c r="CL148" s="267" t="n"/>
      <c r="CM148" s="267" t="n"/>
      <c r="CN148" s="267" t="n"/>
      <c r="CO148" s="268" t="n"/>
      <c r="CP148" s="267" t="n"/>
      <c r="CQ148" s="267" t="n"/>
      <c r="CR148" s="267" t="n"/>
      <c r="CS148" s="267" t="n"/>
      <c r="CT148" s="268" t="n"/>
      <c r="CU148" s="267" t="n"/>
      <c r="CV148" s="267" t="n"/>
      <c r="CW148" s="267" t="n"/>
      <c r="CX148" s="267" t="n"/>
      <c r="CY148" s="268" t="n"/>
    </row>
    <row r="149" hidden="1" outlineLevel="1" ht="12.75" customHeight="1" s="255">
      <c r="C149" s="312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  <c r="Y149" s="268" t="n"/>
      <c r="Z149" s="268" t="n"/>
      <c r="AA149" s="268" t="n"/>
      <c r="AB149" s="268" t="n"/>
      <c r="AC149" s="268" t="n"/>
      <c r="AD149" s="268" t="n"/>
      <c r="AE149" s="268" t="n"/>
      <c r="AF149" s="268" t="n"/>
      <c r="AG149" s="268" t="n"/>
      <c r="AH149" s="268" t="n"/>
      <c r="AI149" s="268" t="n"/>
      <c r="AJ149" s="268" t="n"/>
      <c r="AK149" s="268" t="n"/>
      <c r="AL149" s="268" t="n"/>
      <c r="AM149" s="268" t="n"/>
      <c r="AN149" s="268" t="n"/>
      <c r="AO149" s="268" t="n"/>
      <c r="AP149" s="268" t="n"/>
      <c r="AQ149" s="268" t="n"/>
      <c r="AR149" s="268" t="n"/>
      <c r="AS149" s="268" t="n"/>
      <c r="AT149" s="268" t="n"/>
      <c r="AU149" s="268" t="n"/>
      <c r="AV149" s="268" t="n"/>
      <c r="AW149" s="268" t="n"/>
      <c r="AX149" s="268" t="n"/>
      <c r="AY149" s="268" t="n"/>
      <c r="AZ149" s="268" t="n"/>
      <c r="BA149" s="268" t="n"/>
      <c r="BB149" s="268" t="n"/>
      <c r="BC149" s="268" t="n"/>
      <c r="BD149" s="268" t="n"/>
      <c r="BE149" s="268" t="n"/>
      <c r="BF149" s="268" t="n"/>
      <c r="BG149" s="268" t="n"/>
      <c r="BH149" s="268" t="n"/>
      <c r="BI149" s="268" t="n"/>
      <c r="BJ149" s="268" t="n"/>
      <c r="BK149" s="268" t="n"/>
      <c r="BL149" s="268" t="n"/>
      <c r="BM149" s="268" t="n"/>
      <c r="BN149" s="268" t="n"/>
      <c r="BO149" s="268" t="n"/>
      <c r="BP149" s="268" t="n"/>
      <c r="BQ149" s="268" t="n"/>
      <c r="BR149" s="268" t="n"/>
      <c r="BS149" s="268" t="n"/>
      <c r="BT149" s="268" t="n"/>
      <c r="BU149" s="268" t="n"/>
      <c r="BV149" s="268" t="n"/>
      <c r="BW149" s="268" t="n"/>
      <c r="BX149" s="268" t="n"/>
      <c r="BY149" s="268" t="n"/>
      <c r="BZ149" s="268" t="n"/>
      <c r="CA149" s="268" t="n"/>
      <c r="CB149" s="268" t="n"/>
      <c r="CC149" s="268" t="n"/>
      <c r="CD149" s="268" t="n"/>
      <c r="CE149" s="268" t="n"/>
      <c r="CF149" s="268" t="n"/>
      <c r="CG149" s="268" t="n"/>
      <c r="CH149" s="268" t="n"/>
      <c r="CI149" s="268" t="n"/>
      <c r="CJ149" s="268" t="n"/>
      <c r="CK149" s="268" t="n"/>
      <c r="CL149" s="268" t="n"/>
      <c r="CM149" s="268" t="n"/>
      <c r="CN149" s="268" t="n"/>
      <c r="CO149" s="268" t="n"/>
      <c r="CP149" s="268" t="n"/>
      <c r="CQ149" s="268" t="n"/>
      <c r="CR149" s="268" t="n"/>
      <c r="CS149" s="268" t="n"/>
      <c r="CT149" s="268" t="n"/>
      <c r="CU149" s="268" t="n"/>
      <c r="CV149" s="268" t="n"/>
      <c r="CW149" s="268" t="n"/>
      <c r="CX149" s="268" t="n"/>
      <c r="CY149" s="268" t="n"/>
    </row>
    <row r="150" hidden="1" outlineLevel="1" ht="12.75" customHeight="1" s="255">
      <c r="C150" s="312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  <c r="Y150" s="268" t="n"/>
      <c r="Z150" s="268" t="n"/>
      <c r="AA150" s="268" t="n"/>
      <c r="AB150" s="268" t="n"/>
      <c r="AC150" s="268" t="n"/>
      <c r="AD150" s="268" t="n"/>
      <c r="AE150" s="268" t="n"/>
      <c r="AF150" s="268" t="n"/>
      <c r="AG150" s="268" t="n"/>
      <c r="AH150" s="268" t="n"/>
      <c r="AI150" s="268" t="n"/>
      <c r="AJ150" s="268" t="n"/>
      <c r="AK150" s="268" t="n"/>
      <c r="AL150" s="268" t="n"/>
      <c r="AM150" s="268" t="n"/>
      <c r="AN150" s="268" t="n"/>
      <c r="AO150" s="268" t="n"/>
      <c r="AP150" s="268" t="n"/>
      <c r="AQ150" s="268" t="n"/>
      <c r="AR150" s="268" t="n"/>
      <c r="AS150" s="268" t="n"/>
      <c r="AT150" s="268" t="n"/>
      <c r="AU150" s="268" t="n"/>
      <c r="AV150" s="268" t="n"/>
      <c r="AW150" s="268" t="n"/>
      <c r="AX150" s="268" t="n"/>
      <c r="AY150" s="268" t="n"/>
      <c r="AZ150" s="268" t="n"/>
      <c r="BA150" s="268" t="n"/>
      <c r="BB150" s="268" t="n"/>
      <c r="BC150" s="268" t="n"/>
      <c r="BD150" s="268" t="n"/>
      <c r="BE150" s="268" t="n"/>
      <c r="BF150" s="268" t="n"/>
      <c r="BG150" s="268" t="n"/>
      <c r="BH150" s="268" t="n"/>
      <c r="BI150" s="268" t="n"/>
      <c r="BJ150" s="268" t="n"/>
      <c r="BK150" s="268" t="n"/>
      <c r="BL150" s="268" t="n"/>
      <c r="BM150" s="268" t="n"/>
      <c r="BN150" s="268" t="n"/>
      <c r="BO150" s="268" t="n"/>
      <c r="BP150" s="268" t="n"/>
      <c r="BQ150" s="268" t="n"/>
      <c r="BR150" s="268" t="n"/>
      <c r="BS150" s="268" t="n"/>
      <c r="BT150" s="268" t="n"/>
      <c r="BU150" s="268" t="n"/>
      <c r="BV150" s="268" t="n"/>
      <c r="BW150" s="268" t="n"/>
      <c r="BX150" s="268" t="n"/>
      <c r="BY150" s="268" t="n"/>
      <c r="BZ150" s="268" t="n"/>
      <c r="CA150" s="268" t="n"/>
      <c r="CB150" s="268" t="n"/>
      <c r="CC150" s="268" t="n"/>
      <c r="CD150" s="268" t="n"/>
      <c r="CE150" s="268" t="n"/>
      <c r="CF150" s="268" t="n"/>
      <c r="CG150" s="268" t="n"/>
      <c r="CH150" s="268" t="n"/>
      <c r="CI150" s="268" t="n"/>
      <c r="CJ150" s="268" t="n"/>
      <c r="CK150" s="268" t="n"/>
      <c r="CL150" s="268" t="n"/>
      <c r="CM150" s="268" t="n"/>
      <c r="CN150" s="268" t="n"/>
      <c r="CO150" s="268" t="n"/>
      <c r="CP150" s="268" t="n"/>
      <c r="CQ150" s="268" t="n"/>
      <c r="CR150" s="268" t="n"/>
      <c r="CS150" s="268" t="n"/>
      <c r="CT150" s="268" t="n"/>
      <c r="CU150" s="268" t="n"/>
      <c r="CV150" s="268" t="n"/>
      <c r="CW150" s="268" t="n"/>
      <c r="CX150" s="268" t="n"/>
      <c r="CY150" s="268" t="n"/>
    </row>
    <row r="151" ht="12.75" customHeight="1" s="255">
      <c r="C151" s="270" t="inlineStr">
        <is>
          <t>Inventories</t>
        </is>
      </c>
      <c r="D151" s="301">
        <f>INDEX('Inputs (2)'!$D$17:$AL$17,MATCH(D$7,'Inputs (2)'!$D$2:$AL$2,0))</f>
        <v>41217</v>
      </c>
      <c r="E151" s="301">
        <f>INDEX('Inputs (2)'!$D$17:$AL$17,MATCH(E$7,'Inputs (2)'!$D$2:$AL$2,0))</f>
        <v>41084</v>
      </c>
      <c r="F151" s="301">
        <f>INDEX('Inputs (2)'!$D$17:$AL$17,MATCH(F$7,'Inputs (2)'!$D$2:$AL$2,0))</f>
        <v>51842</v>
      </c>
      <c r="G151" s="301">
        <f>INDEX('Inputs (2)'!$D$17:$AL$17,MATCH(G$7,'Inputs (2)'!$D$2:$AL$2,0))</f>
        <v>44949</v>
      </c>
      <c r="H151" s="268">
        <f>G151</f>
        <v>44949</v>
      </c>
      <c r="I151" s="301">
        <f>INDEX('Inputs (2)'!$D$17:$AL$17,MATCH(I$7,'Inputs (2)'!$D$2:$AL$2,0))</f>
        <v>46383</v>
      </c>
      <c r="J151" s="301">
        <f>INDEX('Inputs (2)'!$D$17:$AL$17,MATCH(J$7,'Inputs (2)'!$D$2:$AL$2,0))</f>
        <v>47754</v>
      </c>
      <c r="K151" s="301">
        <f>INDEX('Inputs (2)'!$D$17:$AL$17,MATCH(K$7,'Inputs (2)'!$D$2:$AL$2,0))</f>
        <v>57484</v>
      </c>
      <c r="L151" s="301">
        <f>INDEX('Inputs (2)'!$D$17:$AL$17,MATCH(L$7,'Inputs (2)'!$D$2:$AL$2,0))</f>
        <v>56511</v>
      </c>
      <c r="M151" s="268">
        <f>L151</f>
        <v>56511</v>
      </c>
      <c r="N151" s="301">
        <f>INDEX('Inputs (2)'!$D$17:$AL$17,MATCH(N$7,'Inputs (2)'!$D$2:$AL$2,0))</f>
        <v>61229</v>
      </c>
      <c r="O151" s="301">
        <f>INDEX('Inputs (2)'!$D$17:$AL$17,MATCH(O$7,'Inputs (2)'!$D$2:$AL$2,0))</f>
        <v>59921</v>
      </c>
      <c r="P151" s="301">
        <f>INDEX('Inputs (2)'!$D$17:$AL$17,MATCH(P$7,'Inputs (2)'!$D$2:$AL$2,0))</f>
        <v>64706</v>
      </c>
      <c r="Q151" s="301">
        <f>INDEX('Inputs (2)'!$D$17:$AL$17,MATCH(Q$7,'Inputs (2)'!$D$2:$AL$2,0))</f>
        <v>56576</v>
      </c>
      <c r="R151" s="268">
        <f>Q151</f>
        <v>56576</v>
      </c>
      <c r="S151" s="301">
        <f>INDEX('Inputs (2)'!$D$17:$AL$17,MATCH(S$7,'Inputs (2)'!$D$2:$AL$2,0))</f>
        <v>56932</v>
      </c>
      <c r="T151" s="301">
        <f>INDEX('Inputs (2)'!$D$17:$AL$17,MATCH(T$7,'Inputs (2)'!$D$2:$AL$2,0))</f>
        <v>56722</v>
      </c>
      <c r="U151" s="301">
        <f>INDEX('Inputs (2)'!$D$17:$AL$17,MATCH(U$7,'Inputs (2)'!$D$2:$AL$2,0))</f>
        <v>63951</v>
      </c>
      <c r="V151" s="301">
        <f>INDEX('Inputs (2)'!$D$17:$AL$17,MATCH(V$7,'Inputs (2)'!$D$2:$AL$2,0))</f>
        <v>54892</v>
      </c>
      <c r="W151" s="268">
        <f>V151</f>
        <v>54892</v>
      </c>
      <c r="X151" s="301">
        <f>INDEX('Inputs (2)'!$D$17:$AL$17,MATCH(X$7,'Inputs (2)'!$D$2:$AL$2,0))</f>
        <v>55382</v>
      </c>
      <c r="Y151" s="301">
        <f>INDEX('Inputs (2)'!$D$17:$AL$17,MATCH(Y$7,'Inputs (2)'!$D$2:$AL$2,0))</f>
        <v>55611</v>
      </c>
      <c r="Z151" s="301">
        <f>INDEX('Inputs (2)'!$D$17:$AL$17,MATCH(Z$7,'Inputs (2)'!$D$2:$AL$2,0))</f>
        <v>63302</v>
      </c>
      <c r="AA151" s="301">
        <f>INDEX('Inputs (2)'!$D$17:$AL$17,MATCH(AA$7,'Inputs (2)'!$D$2:$AL$2,0))</f>
        <v>56435</v>
      </c>
      <c r="AB151" s="268">
        <f>AA151</f>
        <v>56435</v>
      </c>
      <c r="AC151" s="301">
        <f>INDEX('Inputs (2)'!$D$17:$AL$17,MATCH(AC$7,'Inputs (2)'!$D$2:$AL$2,0))</f>
        <v>57467</v>
      </c>
      <c r="AD151" s="301">
        <f>INDEX('Inputs (2)'!$D$17:$AL$17,MATCH(AD$7,'Inputs (2)'!$D$2:$AL$2,0))</f>
        <v>57729</v>
      </c>
      <c r="AE151" s="301">
        <f>INDEX('Inputs (2)'!$D$17:$AL$17,MATCH(AE$7,'Inputs (2)'!$D$2:$AL$2,0))</f>
        <v>65354</v>
      </c>
      <c r="AF151" s="301">
        <f>INDEX('Inputs (2)'!$D$17:$AL$17,MATCH(AF$7,'Inputs (2)'!$D$2:$AL$2,0))</f>
        <v>58851</v>
      </c>
      <c r="AG151" s="268">
        <f>AF151</f>
        <v>58851</v>
      </c>
      <c r="AH151" s="268">
        <f>INDEX('Inputs (2)'!$D$17:$AL$17,MATCH(AH$7,'Inputs (2)'!$D$2:$AL$2,0))</f>
        <v>62570</v>
      </c>
      <c r="AI151" s="268">
        <f>INDEX('Inputs (2)'!$D$17:$AL$17,MATCH(AI$7,'Inputs (2)'!$D$2:$AL$2,0))</f>
        <v>61600</v>
      </c>
      <c r="AJ151" s="268">
        <f>(AJ152/(AJ$5-AI$5))*-AJ$56</f>
        <v>0</v>
      </c>
      <c r="AK151" s="268">
        <f>(AK152/(AK$5-AJ$5))*-AK$56</f>
        <v>0</v>
      </c>
      <c r="AL151" s="268">
        <f>AK151</f>
        <v>0</v>
      </c>
      <c r="AM151" s="268">
        <f>(AM152/(AM$5-AL$5))*-AM$56</f>
        <v>0</v>
      </c>
      <c r="AN151" s="268">
        <f>(AN152/(AN$5-AM$5))*-AN$56</f>
        <v>0</v>
      </c>
      <c r="AO151" s="268">
        <f>(AO152/(AO$5-AN$5))*-AO$56</f>
        <v>0</v>
      </c>
      <c r="AP151" s="268">
        <f>(AP152/(AP$5-AO$5))*-AP$56</f>
        <v>0</v>
      </c>
      <c r="AQ151" s="268">
        <f>AP151</f>
        <v>0</v>
      </c>
      <c r="AR151" s="268">
        <f>(AR152/(AR$5-AQ$5))*-AR$56</f>
        <v>0</v>
      </c>
      <c r="AS151" s="268">
        <f>(AS152/(AS$5-AR$5))*-AS$56</f>
        <v>0</v>
      </c>
      <c r="AT151" s="268">
        <f>(AT152/(AT$5-AS$5))*-AT$56</f>
        <v>0</v>
      </c>
      <c r="AU151" s="268">
        <f>(AU152/(AU$5-AT$5))*-AU$56</f>
        <v>0</v>
      </c>
      <c r="AV151" s="268">
        <f>AU151</f>
        <v>0</v>
      </c>
      <c r="AW151" s="268">
        <f>(AW152/(AW$5-AV$5))*-AW$56</f>
        <v>0</v>
      </c>
      <c r="AX151" s="268">
        <f>(AX152/(AX$5-AW$5))*-AX$56</f>
        <v>0</v>
      </c>
      <c r="AY151" s="268">
        <f>(AY152/(AY$5-AX$5))*-AY$56</f>
        <v>0</v>
      </c>
      <c r="AZ151" s="268">
        <f>(AZ152/(AZ$5-AY$5))*-AZ$56</f>
        <v>0</v>
      </c>
      <c r="BA151" s="268">
        <f>AZ151</f>
        <v>0</v>
      </c>
      <c r="BB151" s="268">
        <f>(BB152/(BB$5-BA$5))*-BB$56</f>
        <v>0</v>
      </c>
      <c r="BC151" s="268">
        <f>(BC152/(BC$5-BB$5))*-BC$56</f>
        <v>0</v>
      </c>
      <c r="BD151" s="268">
        <f>(BD152/(BD$5-BC$5))*-BD$56</f>
        <v>0</v>
      </c>
      <c r="BE151" s="268">
        <f>(BE152/(BE$5-BD$5))*-BE$56</f>
        <v>0</v>
      </c>
      <c r="BF151" s="268">
        <f>BE151</f>
        <v>0</v>
      </c>
      <c r="BG151" s="268">
        <f>(BG152/(BG$5-BF$5))*-BG$56</f>
        <v>0</v>
      </c>
      <c r="BH151" s="268">
        <f>(BH152/(BH$5-BG$5))*-BH$56</f>
        <v>0</v>
      </c>
      <c r="BI151" s="268">
        <f>(BI152/(BI$5-BH$5))*-BI$56</f>
        <v>0</v>
      </c>
      <c r="BJ151" s="268">
        <f>(BJ152/(BJ$5-BI$5))*-BJ$56</f>
        <v>0</v>
      </c>
      <c r="BK151" s="268">
        <f>BJ151</f>
        <v>0</v>
      </c>
      <c r="BL151" s="268">
        <f>(BL152/(BL$5-BK$5))*-BL$56</f>
        <v>0</v>
      </c>
      <c r="BM151" s="268">
        <f>(BM152/(BM$5-BL$5))*-BM$56</f>
        <v>0</v>
      </c>
      <c r="BN151" s="268">
        <f>(BN152/(BN$5-BM$5))*-BN$56</f>
        <v>0</v>
      </c>
      <c r="BO151" s="268">
        <f>(BO152/(BO$5-BN$5))*-BO$56</f>
        <v>0</v>
      </c>
      <c r="BP151" s="268">
        <f>BO151</f>
        <v>0</v>
      </c>
      <c r="BQ151" s="268">
        <f>(BQ152/(BQ$5-BP$5))*-BQ$56</f>
        <v>0</v>
      </c>
      <c r="BR151" s="268">
        <f>(BR152/(BR$5-BQ$5))*-BR$56</f>
        <v>0</v>
      </c>
      <c r="BS151" s="268">
        <f>(BS152/(BS$5-BR$5))*-BS$56</f>
        <v>0</v>
      </c>
      <c r="BT151" s="268">
        <f>(BT152/(BT$5-BS$5))*-BT$56</f>
        <v>0</v>
      </c>
      <c r="BU151" s="268">
        <f>BT151</f>
        <v>0</v>
      </c>
      <c r="BV151" s="268">
        <f>(BV152/(BV$5-BU$5))*-BV$56</f>
        <v>0</v>
      </c>
      <c r="BW151" s="268">
        <f>(BW152/(BW$5-BV$5))*-BW$56</f>
        <v>0</v>
      </c>
      <c r="BX151" s="268">
        <f>(BX152/(BX$5-BW$5))*-BX$56</f>
        <v>0</v>
      </c>
      <c r="BY151" s="268">
        <f>(BY152/(BY$5-BX$5))*-BY$56</f>
        <v>0</v>
      </c>
      <c r="BZ151" s="268">
        <f>BY151</f>
        <v>0</v>
      </c>
      <c r="CA151" s="268">
        <f>(CA152/(CA$5-BZ$5))*-CA$56</f>
        <v>0</v>
      </c>
      <c r="CB151" s="268">
        <f>(CB152/(CB$5-CA$5))*-CB$56</f>
        <v>0</v>
      </c>
      <c r="CC151" s="268">
        <f>(CC152/(CC$5-CB$5))*-CC$56</f>
        <v>0</v>
      </c>
      <c r="CD151" s="268">
        <f>(CD152/(CD$5-CC$5))*-CD$56</f>
        <v>0</v>
      </c>
      <c r="CE151" s="268">
        <f>CD151</f>
        <v>0</v>
      </c>
      <c r="CF151" s="268">
        <f>(CF152/(CF$5-CE$5))*-CF$56</f>
        <v>0</v>
      </c>
      <c r="CG151" s="268">
        <f>(CG152/(CG$5-CF$5))*-CG$56</f>
        <v>0</v>
      </c>
      <c r="CH151" s="268">
        <f>(CH152/(CH$5-CG$5))*-CH$56</f>
        <v>0</v>
      </c>
      <c r="CI151" s="268">
        <f>(CI152/(CI$5-CH$5))*-CI$56</f>
        <v>0</v>
      </c>
      <c r="CJ151" s="268">
        <f>CI151</f>
        <v>0</v>
      </c>
      <c r="CK151" s="268">
        <f>(CK152/(CK$5-CJ$5))*-CK$56</f>
        <v>0</v>
      </c>
      <c r="CL151" s="268">
        <f>(CL152/(CL$5-CK$5))*-CL$56</f>
        <v>0</v>
      </c>
      <c r="CM151" s="268">
        <f>(CM152/(CM$5-CL$5))*-CM$56</f>
        <v>0</v>
      </c>
      <c r="CN151" s="268">
        <f>(CN152/(CN$5-CM$5))*-CN$56</f>
        <v>0</v>
      </c>
      <c r="CO151" s="268">
        <f>CN151</f>
        <v>0</v>
      </c>
      <c r="CP151" s="268">
        <f>(CP152/(CP$5-CO$5))*-CP$56</f>
        <v>0</v>
      </c>
      <c r="CQ151" s="268">
        <f>(CQ152/(CQ$5-CP$5))*-CQ$56</f>
        <v>0</v>
      </c>
      <c r="CR151" s="268">
        <f>(CR152/(CR$5-CQ$5))*-CR$56</f>
        <v>0</v>
      </c>
      <c r="CS151" s="268">
        <f>(CS152/(CS$5-CR$5))*-CS$56</f>
        <v>0</v>
      </c>
      <c r="CT151" s="268">
        <f>CS151</f>
        <v>0</v>
      </c>
      <c r="CU151" s="268">
        <f>(CU152/(CU$5-CT$5))*-CU$56</f>
        <v>0</v>
      </c>
      <c r="CV151" s="268">
        <f>(CV152/(CV$5-CU$5))*-CV$56</f>
        <v>0</v>
      </c>
      <c r="CW151" s="268">
        <f>(CW152/(CW$5-CV$5))*-CW$56</f>
        <v>0</v>
      </c>
      <c r="CX151" s="268">
        <f>(CX152/(CX$5-CW$5))*-CX$56</f>
        <v>0</v>
      </c>
      <c r="CY151" s="268">
        <f>CX151</f>
        <v>0</v>
      </c>
    </row>
    <row r="152" hidden="1" outlineLevel="1" ht="12.75" customHeight="1" s="255">
      <c r="C152" s="312" t="inlineStr">
        <is>
          <t>DIO</t>
        </is>
      </c>
      <c r="D152" s="268" t="n"/>
      <c r="E152" s="268">
        <f>((E151/E$56)*(E$5-D$5))*-1</f>
        <v>36.4074438352696</v>
      </c>
      <c r="F152" s="268">
        <f>((F151/F$56)*(F$5-E$5))*-1</f>
        <v>47.5335014301518</v>
      </c>
      <c r="G152" s="268">
        <f>((G151/G$56)*(G$5-F$5))*-1</f>
        <v>35.8777730541987</v>
      </c>
      <c r="H152" s="268" t="n"/>
      <c r="I152" s="268">
        <f>((I151/I$56)*(I$5-H$5))*-1</f>
        <v>40.4220892400651</v>
      </c>
      <c r="J152" s="268">
        <f>((J151/J$56)*(J$5-I$5))*-1</f>
        <v>41.3147942157953</v>
      </c>
      <c r="K152" s="268">
        <f>((K151/K$56)*(K$5-J$5))*-1</f>
        <v>50.3559029926778</v>
      </c>
      <c r="L152" s="268">
        <f>((L151/L$56)*(L$5-K$5))*-1</f>
        <v>45.00451861983</v>
      </c>
      <c r="M152" s="268" t="n"/>
      <c r="N152" s="268">
        <f>((N151/N$56)*(N$5-M$5))*-1</f>
        <v>51.5747751457692</v>
      </c>
      <c r="O152" s="268">
        <f>((O151/O$56)*(O$5-N$5))*-1</f>
        <v>47.0727308827846</v>
      </c>
      <c r="P152" s="268">
        <f>((P151/P$56)*(P$5-O$5))*-1</f>
        <v>51.4903341319748</v>
      </c>
      <c r="Q152" s="268">
        <f>((Q151/Q$56)*(Q$5-P$5))*-1</f>
        <v>41.4995016862936</v>
      </c>
      <c r="R152" s="268" t="n"/>
      <c r="S152" s="268">
        <f>((S151/S$56)*(S$5-R$5))*-1</f>
        <v>44.4457166649318</v>
      </c>
      <c r="T152" s="268">
        <f>((T151/T$56)*(T$5-S$5))*-1</f>
        <v>42.3611161263849</v>
      </c>
      <c r="U152" s="268">
        <f>((U151/U$56)*(U$5-T$5))*-1</f>
        <v>48.5504732511986</v>
      </c>
      <c r="V152" s="268">
        <f>((V151/V$56)*(V$5-U$5))*-1</f>
        <v>38.3088488526456</v>
      </c>
      <c r="W152" s="268" t="n"/>
      <c r="X152" s="268">
        <f>((X151/X$56)*(X$5-W$5))*-1</f>
        <v>41.5030922910954</v>
      </c>
      <c r="Y152" s="268">
        <f>((Y151/Y$56)*(Y$5-X$5))*-1</f>
        <v>39.9069552874379</v>
      </c>
      <c r="Z152" s="268">
        <f>((Z151/Z$56)*(Z$5-Y$5))*-1</f>
        <v>45.7341291031883</v>
      </c>
      <c r="AA152" s="268">
        <f>((AA151/AA$56)*(AA$5-Z$5))*-1</f>
        <v>38.1283964397967</v>
      </c>
      <c r="AB152" s="268" t="n"/>
      <c r="AC152" s="268">
        <f>((AC151/AC$56)*(AC$5-AB$5))*-1</f>
        <v>41.6082475885538</v>
      </c>
      <c r="AD152" s="268">
        <f>((AD151/AD$56)*(AD$5-AC$5))*-1</f>
        <v>39.5669159680954</v>
      </c>
      <c r="AE152" s="268">
        <f>((AE151/AE$56)*(AE$5-AD$5))*-1</f>
        <v>44.6347452971657</v>
      </c>
      <c r="AF152" s="267">
        <f>((AF151/AF$56)*(AF$5-AE$5))*-1</f>
        <v>37.7000452598963</v>
      </c>
      <c r="AG152" s="268" t="n"/>
      <c r="AH152" s="267">
        <f>((AH151/AH$56)*(AH$5-AG$5))*-1</f>
        <v>42.3221452298997</v>
      </c>
      <c r="AI152" s="267">
        <f>((AI151/AI$56)*(AI$5-AH$5))*-1</f>
        <v>40.3850033140255</v>
      </c>
      <c r="AJ152" s="267" t="n"/>
      <c r="AK152" s="267" t="n"/>
      <c r="AL152" s="268" t="n"/>
      <c r="AM152" s="267" t="n"/>
      <c r="AN152" s="267" t="n"/>
      <c r="AO152" s="267" t="n"/>
      <c r="AP152" s="267" t="n"/>
      <c r="AQ152" s="268" t="n"/>
      <c r="AR152" s="267" t="n"/>
      <c r="AS152" s="267" t="n"/>
      <c r="AT152" s="267" t="n"/>
      <c r="AU152" s="267" t="n"/>
      <c r="AV152" s="268" t="n"/>
      <c r="AW152" s="267" t="n"/>
      <c r="AX152" s="267" t="n"/>
      <c r="AY152" s="267" t="n"/>
      <c r="AZ152" s="267" t="n"/>
      <c r="BA152" s="268" t="n"/>
      <c r="BB152" s="267" t="n"/>
      <c r="BC152" s="267" t="n"/>
      <c r="BD152" s="267" t="n"/>
      <c r="BE152" s="267" t="n"/>
      <c r="BF152" s="268" t="n"/>
      <c r="BG152" s="267" t="n"/>
      <c r="BH152" s="267" t="n"/>
      <c r="BI152" s="267" t="n"/>
      <c r="BJ152" s="267" t="n"/>
      <c r="BK152" s="268" t="n"/>
      <c r="BL152" s="267" t="n"/>
      <c r="BM152" s="267" t="n"/>
      <c r="BN152" s="267" t="n"/>
      <c r="BO152" s="267" t="n"/>
      <c r="BP152" s="268" t="n"/>
      <c r="BQ152" s="267" t="n"/>
      <c r="BR152" s="267" t="n"/>
      <c r="BS152" s="267" t="n"/>
      <c r="BT152" s="267" t="n"/>
      <c r="BU152" s="268" t="n"/>
      <c r="BV152" s="267" t="n"/>
      <c r="BW152" s="267" t="n"/>
      <c r="BX152" s="267" t="n"/>
      <c r="BY152" s="267" t="n"/>
      <c r="BZ152" s="268" t="n"/>
      <c r="CA152" s="267" t="n"/>
      <c r="CB152" s="267" t="n"/>
      <c r="CC152" s="267" t="n"/>
      <c r="CD152" s="267" t="n"/>
      <c r="CE152" s="268" t="n"/>
      <c r="CF152" s="267" t="n"/>
      <c r="CG152" s="267" t="n"/>
      <c r="CH152" s="267" t="n"/>
      <c r="CI152" s="267" t="n"/>
      <c r="CJ152" s="268" t="n"/>
      <c r="CK152" s="267" t="n"/>
      <c r="CL152" s="267" t="n"/>
      <c r="CM152" s="267" t="n"/>
      <c r="CN152" s="267" t="n"/>
      <c r="CO152" s="268" t="n"/>
      <c r="CP152" s="267" t="n"/>
      <c r="CQ152" s="267" t="n"/>
      <c r="CR152" s="267" t="n"/>
      <c r="CS152" s="267" t="n"/>
      <c r="CT152" s="268" t="n"/>
      <c r="CU152" s="267" t="n"/>
      <c r="CV152" s="267" t="n"/>
      <c r="CW152" s="267" t="n"/>
      <c r="CX152" s="267" t="n"/>
      <c r="CY152" s="268" t="n"/>
    </row>
    <row r="153" hidden="1" outlineLevel="1" ht="12.75" customHeight="1" s="255">
      <c r="C153" s="312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  <c r="Y153" s="268" t="n"/>
      <c r="Z153" s="268" t="n"/>
      <c r="AA153" s="268" t="n"/>
      <c r="AB153" s="268" t="n"/>
      <c r="AC153" s="268" t="n"/>
      <c r="AD153" s="268" t="n"/>
      <c r="AE153" s="268" t="n"/>
      <c r="AF153" s="268" t="n"/>
      <c r="AG153" s="268" t="n"/>
      <c r="AH153" s="268" t="n"/>
      <c r="AI153" s="268" t="n"/>
      <c r="AJ153" s="268" t="n"/>
      <c r="AK153" s="268" t="n"/>
      <c r="AL153" s="268" t="n"/>
      <c r="AM153" s="268" t="n"/>
      <c r="AN153" s="268" t="n"/>
      <c r="AO153" s="268" t="n"/>
      <c r="AP153" s="268" t="n"/>
      <c r="AQ153" s="268" t="n"/>
      <c r="AR153" s="268" t="n"/>
      <c r="AS153" s="268" t="n"/>
      <c r="AT153" s="268" t="n"/>
      <c r="AU153" s="268" t="n"/>
      <c r="AV153" s="268" t="n"/>
      <c r="AW153" s="268" t="n"/>
      <c r="AX153" s="268" t="n"/>
      <c r="AY153" s="268" t="n"/>
      <c r="AZ153" s="268" t="n"/>
      <c r="BA153" s="268" t="n"/>
      <c r="BB153" s="268" t="n"/>
      <c r="BC153" s="268" t="n"/>
      <c r="BD153" s="268" t="n"/>
      <c r="BE153" s="268" t="n"/>
      <c r="BF153" s="268" t="n"/>
      <c r="BG153" s="268" t="n"/>
      <c r="BH153" s="268" t="n"/>
      <c r="BI153" s="268" t="n"/>
      <c r="BJ153" s="268" t="n"/>
      <c r="BK153" s="268" t="n"/>
      <c r="BL153" s="268" t="n"/>
      <c r="BM153" s="268" t="n"/>
      <c r="BN153" s="268" t="n"/>
      <c r="BO153" s="268" t="n"/>
      <c r="BP153" s="268" t="n"/>
      <c r="BQ153" s="268" t="n"/>
      <c r="BR153" s="268" t="n"/>
      <c r="BS153" s="268" t="n"/>
      <c r="BT153" s="268" t="n"/>
      <c r="BU153" s="268" t="n"/>
      <c r="BV153" s="268" t="n"/>
      <c r="BW153" s="268" t="n"/>
      <c r="BX153" s="268" t="n"/>
      <c r="BY153" s="268" t="n"/>
      <c r="BZ153" s="268" t="n"/>
      <c r="CA153" s="268" t="n"/>
      <c r="CB153" s="268" t="n"/>
      <c r="CC153" s="268" t="n"/>
      <c r="CD153" s="268" t="n"/>
      <c r="CE153" s="268" t="n"/>
      <c r="CF153" s="268" t="n"/>
      <c r="CG153" s="268" t="n"/>
      <c r="CH153" s="268" t="n"/>
      <c r="CI153" s="268" t="n"/>
      <c r="CJ153" s="268" t="n"/>
      <c r="CK153" s="268" t="n"/>
      <c r="CL153" s="268" t="n"/>
      <c r="CM153" s="268" t="n"/>
      <c r="CN153" s="268" t="n"/>
      <c r="CO153" s="268" t="n"/>
      <c r="CP153" s="268" t="n"/>
      <c r="CQ153" s="268" t="n"/>
      <c r="CR153" s="268" t="n"/>
      <c r="CS153" s="268" t="n"/>
      <c r="CT153" s="268" t="n"/>
      <c r="CU153" s="268" t="n"/>
      <c r="CV153" s="268" t="n"/>
      <c r="CW153" s="268" t="n"/>
      <c r="CX153" s="268" t="n"/>
      <c r="CY153" s="268" t="n"/>
    </row>
    <row r="154" hidden="1" outlineLevel="1" ht="12.75" customHeight="1" s="255">
      <c r="C154" s="312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  <c r="Y154" s="268" t="n"/>
      <c r="Z154" s="268" t="n"/>
      <c r="AA154" s="268" t="n"/>
      <c r="AB154" s="268" t="n"/>
      <c r="AC154" s="268" t="n"/>
      <c r="AD154" s="268" t="n"/>
      <c r="AE154" s="268" t="n"/>
      <c r="AF154" s="268" t="n"/>
      <c r="AG154" s="268" t="n"/>
      <c r="AH154" s="268" t="n"/>
      <c r="AI154" s="268" t="n"/>
      <c r="AJ154" s="268" t="n"/>
      <c r="AK154" s="268" t="n"/>
      <c r="AL154" s="268" t="n"/>
      <c r="AM154" s="268" t="n"/>
      <c r="AN154" s="268" t="n"/>
      <c r="AO154" s="268" t="n"/>
      <c r="AP154" s="268" t="n"/>
      <c r="AQ154" s="268" t="n"/>
      <c r="AR154" s="268" t="n"/>
      <c r="AS154" s="268" t="n"/>
      <c r="AT154" s="268" t="n"/>
      <c r="AU154" s="268" t="n"/>
      <c r="AV154" s="268" t="n"/>
      <c r="AW154" s="268" t="n"/>
      <c r="AX154" s="268" t="n"/>
      <c r="AY154" s="268" t="n"/>
      <c r="AZ154" s="268" t="n"/>
      <c r="BA154" s="268" t="n"/>
      <c r="BB154" s="268" t="n"/>
      <c r="BC154" s="268" t="n"/>
      <c r="BD154" s="268" t="n"/>
      <c r="BE154" s="268" t="n"/>
      <c r="BF154" s="268" t="n"/>
      <c r="BG154" s="268" t="n"/>
      <c r="BH154" s="268" t="n"/>
      <c r="BI154" s="268" t="n"/>
      <c r="BJ154" s="268" t="n"/>
      <c r="BK154" s="268" t="n"/>
      <c r="BL154" s="268" t="n"/>
      <c r="BM154" s="268" t="n"/>
      <c r="BN154" s="268" t="n"/>
      <c r="BO154" s="268" t="n"/>
      <c r="BP154" s="268" t="n"/>
      <c r="BQ154" s="268" t="n"/>
      <c r="BR154" s="268" t="n"/>
      <c r="BS154" s="268" t="n"/>
      <c r="BT154" s="268" t="n"/>
      <c r="BU154" s="268" t="n"/>
      <c r="BV154" s="268" t="n"/>
      <c r="BW154" s="268" t="n"/>
      <c r="BX154" s="268" t="n"/>
      <c r="BY154" s="268" t="n"/>
      <c r="BZ154" s="268" t="n"/>
      <c r="CA154" s="268" t="n"/>
      <c r="CB154" s="268" t="n"/>
      <c r="CC154" s="268" t="n"/>
      <c r="CD154" s="268" t="n"/>
      <c r="CE154" s="268" t="n"/>
      <c r="CF154" s="268" t="n"/>
      <c r="CG154" s="268" t="n"/>
      <c r="CH154" s="268" t="n"/>
      <c r="CI154" s="268" t="n"/>
      <c r="CJ154" s="268" t="n"/>
      <c r="CK154" s="268" t="n"/>
      <c r="CL154" s="268" t="n"/>
      <c r="CM154" s="268" t="n"/>
      <c r="CN154" s="268" t="n"/>
      <c r="CO154" s="268" t="n"/>
      <c r="CP154" s="268" t="n"/>
      <c r="CQ154" s="268" t="n"/>
      <c r="CR154" s="268" t="n"/>
      <c r="CS154" s="268" t="n"/>
      <c r="CT154" s="268" t="n"/>
      <c r="CU154" s="268" t="n"/>
      <c r="CV154" s="268" t="n"/>
      <c r="CW154" s="268" t="n"/>
      <c r="CX154" s="268" t="n"/>
      <c r="CY154" s="268" t="n"/>
    </row>
    <row r="155" ht="12.75" customHeight="1" s="255">
      <c r="C155" s="270" t="inlineStr">
        <is>
          <t>Deferred income taxes</t>
        </is>
      </c>
      <c r="D155" s="301">
        <f>INDEX('Inputs (2)'!$D$18:$AL$18,MATCH(D$7,'Inputs (2)'!$D$2:$AL$2,0))</f>
        <v>0</v>
      </c>
      <c r="E155" s="301">
        <f>INDEX('Inputs (2)'!$D$18:$AL$18,MATCH(E$7,'Inputs (2)'!$D$2:$AL$2,0))</f>
        <v>0</v>
      </c>
      <c r="F155" s="301">
        <f>INDEX('Inputs (2)'!$D$18:$AL$18,MATCH(F$7,'Inputs (2)'!$D$2:$AL$2,0))</f>
        <v>0</v>
      </c>
      <c r="G155" s="301">
        <f>INDEX('Inputs (2)'!$D$18:$AL$18,MATCH(G$7,'Inputs (2)'!$D$2:$AL$2,0))</f>
        <v>0</v>
      </c>
      <c r="H155" s="268">
        <f>G155</f>
        <v>0</v>
      </c>
      <c r="I155" s="301">
        <f>INDEX('Inputs (2)'!$D$18:$AL$18,MATCH(I$7,'Inputs (2)'!$D$2:$AL$2,0))</f>
        <v>0</v>
      </c>
      <c r="J155" s="301">
        <f>INDEX('Inputs (2)'!$D$18:$AL$18,MATCH(J$7,'Inputs (2)'!$D$2:$AL$2,0))</f>
        <v>0</v>
      </c>
      <c r="K155" s="301">
        <f>INDEX('Inputs (2)'!$D$18:$AL$18,MATCH(K$7,'Inputs (2)'!$D$2:$AL$2,0))</f>
        <v>0</v>
      </c>
      <c r="L155" s="301">
        <f>INDEX('Inputs (2)'!$D$18:$AL$18,MATCH(L$7,'Inputs (2)'!$D$2:$AL$2,0))</f>
        <v>0</v>
      </c>
      <c r="M155" s="268">
        <f>L155</f>
        <v>0</v>
      </c>
      <c r="N155" s="301">
        <f>INDEX('Inputs (2)'!$D$18:$AL$18,MATCH(N$7,'Inputs (2)'!$D$2:$AL$2,0))</f>
        <v>0</v>
      </c>
      <c r="O155" s="301">
        <f>INDEX('Inputs (2)'!$D$18:$AL$18,MATCH(O$7,'Inputs (2)'!$D$2:$AL$2,0))</f>
        <v>0</v>
      </c>
      <c r="P155" s="301">
        <f>INDEX('Inputs (2)'!$D$18:$AL$18,MATCH(P$7,'Inputs (2)'!$D$2:$AL$2,0))</f>
        <v>0</v>
      </c>
      <c r="Q155" s="301">
        <f>INDEX('Inputs (2)'!$D$18:$AL$18,MATCH(Q$7,'Inputs (2)'!$D$2:$AL$2,0))</f>
        <v>0</v>
      </c>
      <c r="R155" s="268">
        <f>Q155</f>
        <v>0</v>
      </c>
      <c r="S155" s="301">
        <f>INDEX('Inputs (2)'!$D$18:$AL$18,MATCH(S$7,'Inputs (2)'!$D$2:$AL$2,0))</f>
        <v>0</v>
      </c>
      <c r="T155" s="301">
        <f>INDEX('Inputs (2)'!$D$18:$AL$18,MATCH(T$7,'Inputs (2)'!$D$2:$AL$2,0))</f>
        <v>0</v>
      </c>
      <c r="U155" s="301">
        <f>INDEX('Inputs (2)'!$D$18:$AL$18,MATCH(U$7,'Inputs (2)'!$D$2:$AL$2,0))</f>
        <v>0</v>
      </c>
      <c r="V155" s="301">
        <f>INDEX('Inputs (2)'!$D$18:$AL$18,MATCH(V$7,'Inputs (2)'!$D$2:$AL$2,0))</f>
        <v>0</v>
      </c>
      <c r="W155" s="268">
        <f>V155</f>
        <v>0</v>
      </c>
      <c r="X155" s="301">
        <f>INDEX('Inputs (2)'!$D$18:$AL$18,MATCH(X$7,'Inputs (2)'!$D$2:$AL$2,0))</f>
        <v>0</v>
      </c>
      <c r="Y155" s="301">
        <f>INDEX('Inputs (2)'!$D$18:$AL$18,MATCH(Y$7,'Inputs (2)'!$D$2:$AL$2,0))</f>
        <v>0</v>
      </c>
      <c r="Z155" s="301">
        <f>INDEX('Inputs (2)'!$D$18:$AL$18,MATCH(Z$7,'Inputs (2)'!$D$2:$AL$2,0))</f>
        <v>0</v>
      </c>
      <c r="AA155" s="301">
        <f>INDEX('Inputs (2)'!$D$18:$AL$18,MATCH(AA$7,'Inputs (2)'!$D$2:$AL$2,0))</f>
        <v>0</v>
      </c>
      <c r="AB155" s="268">
        <f>AA155</f>
        <v>0</v>
      </c>
      <c r="AC155" s="301">
        <f>INDEX('Inputs (2)'!$D$18:$AL$18,MATCH(AC$7,'Inputs (2)'!$D$2:$AL$2,0))</f>
        <v>0</v>
      </c>
      <c r="AD155" s="301">
        <f>INDEX('Inputs (2)'!$D$18:$AL$18,MATCH(AD$7,'Inputs (2)'!$D$2:$AL$2,0))</f>
        <v>0</v>
      </c>
      <c r="AE155" s="301">
        <f>INDEX('Inputs (2)'!$D$18:$AL$18,MATCH(AE$7,'Inputs (2)'!$D$2:$AL$2,0))</f>
        <v>0</v>
      </c>
      <c r="AF155" s="301">
        <f>INDEX('Inputs (2)'!$D$18:$AL$18,MATCH(AF$7,'Inputs (2)'!$D$2:$AL$2,0))</f>
        <v>0</v>
      </c>
      <c r="AG155" s="268">
        <f>AF155</f>
        <v>0</v>
      </c>
      <c r="AH155" s="268">
        <f>INDEX('Inputs (2)'!$D$18:$AL$18,MATCH(AH$7,'Inputs (2)'!$D$2:$AL$2,0))</f>
        <v>0</v>
      </c>
      <c r="AI155" s="268">
        <f>INDEX('Inputs (2)'!$D$18:$AL$18,MATCH(AI$7,'Inputs (2)'!$D$2:$AL$2,0))</f>
        <v>0</v>
      </c>
      <c r="AJ155" s="268">
        <f>AI155</f>
        <v>0</v>
      </c>
      <c r="AK155" s="268">
        <f>AJ155</f>
        <v>0</v>
      </c>
      <c r="AL155" s="268">
        <f>AK155</f>
        <v>0</v>
      </c>
      <c r="AM155" s="268">
        <f>AL155</f>
        <v>0</v>
      </c>
      <c r="AN155" s="268">
        <f>AM155</f>
        <v>0</v>
      </c>
      <c r="AO155" s="268">
        <f>AN155</f>
        <v>0</v>
      </c>
      <c r="AP155" s="268">
        <f>AO155</f>
        <v>0</v>
      </c>
      <c r="AQ155" s="268">
        <f>AP155</f>
        <v>0</v>
      </c>
      <c r="AR155" s="268">
        <f>AQ155</f>
        <v>0</v>
      </c>
      <c r="AS155" s="268">
        <f>AR155</f>
        <v>0</v>
      </c>
      <c r="AT155" s="268">
        <f>AS155</f>
        <v>0</v>
      </c>
      <c r="AU155" s="268">
        <f>AT155</f>
        <v>0</v>
      </c>
      <c r="AV155" s="268">
        <f>AU155</f>
        <v>0</v>
      </c>
      <c r="AW155" s="268">
        <f>AV155</f>
        <v>0</v>
      </c>
      <c r="AX155" s="268">
        <f>AW155</f>
        <v>0</v>
      </c>
      <c r="AY155" s="268">
        <f>AX155</f>
        <v>0</v>
      </c>
      <c r="AZ155" s="268">
        <f>AY155</f>
        <v>0</v>
      </c>
      <c r="BA155" s="268">
        <f>AZ155</f>
        <v>0</v>
      </c>
      <c r="BB155" s="268">
        <f>BA155</f>
        <v>0</v>
      </c>
      <c r="BC155" s="268">
        <f>BB155</f>
        <v>0</v>
      </c>
      <c r="BD155" s="268">
        <f>BC155</f>
        <v>0</v>
      </c>
      <c r="BE155" s="268">
        <f>BD155</f>
        <v>0</v>
      </c>
      <c r="BF155" s="268">
        <f>BE155</f>
        <v>0</v>
      </c>
      <c r="BG155" s="268">
        <f>BF155</f>
        <v>0</v>
      </c>
      <c r="BH155" s="268">
        <f>BG155</f>
        <v>0</v>
      </c>
      <c r="BI155" s="268">
        <f>BH155</f>
        <v>0</v>
      </c>
      <c r="BJ155" s="268">
        <f>BI155</f>
        <v>0</v>
      </c>
      <c r="BK155" s="268">
        <f>BJ155</f>
        <v>0</v>
      </c>
      <c r="BL155" s="268">
        <f>BK155</f>
        <v>0</v>
      </c>
      <c r="BM155" s="268">
        <f>BL155</f>
        <v>0</v>
      </c>
      <c r="BN155" s="268">
        <f>BM155</f>
        <v>0</v>
      </c>
      <c r="BO155" s="268">
        <f>BN155</f>
        <v>0</v>
      </c>
      <c r="BP155" s="268">
        <f>BO155</f>
        <v>0</v>
      </c>
      <c r="BQ155" s="268">
        <f>BP155</f>
        <v>0</v>
      </c>
      <c r="BR155" s="268">
        <f>BQ155</f>
        <v>0</v>
      </c>
      <c r="BS155" s="268">
        <f>BR155</f>
        <v>0</v>
      </c>
      <c r="BT155" s="268">
        <f>BS155</f>
        <v>0</v>
      </c>
      <c r="BU155" s="268">
        <f>BT155</f>
        <v>0</v>
      </c>
      <c r="BV155" s="268">
        <f>BU155</f>
        <v>0</v>
      </c>
      <c r="BW155" s="268">
        <f>BV155</f>
        <v>0</v>
      </c>
      <c r="BX155" s="268">
        <f>BW155</f>
        <v>0</v>
      </c>
      <c r="BY155" s="268">
        <f>BX155</f>
        <v>0</v>
      </c>
      <c r="BZ155" s="268">
        <f>BY155</f>
        <v>0</v>
      </c>
      <c r="CA155" s="268">
        <f>BZ155</f>
        <v>0</v>
      </c>
      <c r="CB155" s="268">
        <f>CA155</f>
        <v>0</v>
      </c>
      <c r="CC155" s="268">
        <f>CB155</f>
        <v>0</v>
      </c>
      <c r="CD155" s="268">
        <f>CC155</f>
        <v>0</v>
      </c>
      <c r="CE155" s="268">
        <f>CD155</f>
        <v>0</v>
      </c>
      <c r="CF155" s="268">
        <f>CE155</f>
        <v>0</v>
      </c>
      <c r="CG155" s="268">
        <f>CF155</f>
        <v>0</v>
      </c>
      <c r="CH155" s="268">
        <f>CG155</f>
        <v>0</v>
      </c>
      <c r="CI155" s="268">
        <f>CH155</f>
        <v>0</v>
      </c>
      <c r="CJ155" s="268">
        <f>CI155</f>
        <v>0</v>
      </c>
      <c r="CK155" s="268">
        <f>CJ155</f>
        <v>0</v>
      </c>
      <c r="CL155" s="268">
        <f>CK155</f>
        <v>0</v>
      </c>
      <c r="CM155" s="268">
        <f>CL155</f>
        <v>0</v>
      </c>
      <c r="CN155" s="268">
        <f>CM155</f>
        <v>0</v>
      </c>
      <c r="CO155" s="268">
        <f>CN155</f>
        <v>0</v>
      </c>
      <c r="CP155" s="268">
        <f>CO155</f>
        <v>0</v>
      </c>
      <c r="CQ155" s="268">
        <f>CP155</f>
        <v>0</v>
      </c>
      <c r="CR155" s="268">
        <f>CQ155</f>
        <v>0</v>
      </c>
      <c r="CS155" s="268">
        <f>CR155</f>
        <v>0</v>
      </c>
      <c r="CT155" s="268">
        <f>CS155</f>
        <v>0</v>
      </c>
      <c r="CU155" s="268">
        <f>CT155</f>
        <v>0</v>
      </c>
      <c r="CV155" s="268">
        <f>CU155</f>
        <v>0</v>
      </c>
      <c r="CW155" s="268">
        <f>CV155</f>
        <v>0</v>
      </c>
      <c r="CX155" s="268">
        <f>CW155</f>
        <v>0</v>
      </c>
      <c r="CY155" s="268">
        <f>CX155</f>
        <v>0</v>
      </c>
    </row>
    <row r="156" ht="12.75" customHeight="1" s="255">
      <c r="C156" s="270" t="inlineStr">
        <is>
          <t>Prepaid expenses</t>
        </is>
      </c>
      <c r="D156" s="301">
        <f>INDEX('Inputs (2)'!$D$19:$AL$19,MATCH(D$7,'Inputs (2)'!$D$2:$AL$2,0))</f>
        <v>0</v>
      </c>
      <c r="E156" s="301">
        <f>INDEX('Inputs (2)'!$D$19:$AL$19,MATCH(E$7,'Inputs (2)'!$D$2:$AL$2,0))</f>
        <v>0</v>
      </c>
      <c r="F156" s="301">
        <f>INDEX('Inputs (2)'!$D$19:$AL$19,MATCH(F$7,'Inputs (2)'!$D$2:$AL$2,0))</f>
        <v>0</v>
      </c>
      <c r="G156" s="301">
        <f>INDEX('Inputs (2)'!$D$19:$AL$19,MATCH(G$7,'Inputs (2)'!$D$2:$AL$2,0))</f>
        <v>0</v>
      </c>
      <c r="H156" s="268">
        <f>G156</f>
        <v>0</v>
      </c>
      <c r="I156" s="301">
        <f>INDEX('Inputs (2)'!$D$19:$AL$19,MATCH(I$7,'Inputs (2)'!$D$2:$AL$2,0))</f>
        <v>0</v>
      </c>
      <c r="J156" s="301">
        <f>INDEX('Inputs (2)'!$D$19:$AL$19,MATCH(J$7,'Inputs (2)'!$D$2:$AL$2,0))</f>
        <v>0</v>
      </c>
      <c r="K156" s="301">
        <f>INDEX('Inputs (2)'!$D$19:$AL$19,MATCH(K$7,'Inputs (2)'!$D$2:$AL$2,0))</f>
        <v>0</v>
      </c>
      <c r="L156" s="301">
        <f>INDEX('Inputs (2)'!$D$19:$AL$19,MATCH(L$7,'Inputs (2)'!$D$2:$AL$2,0))</f>
        <v>0</v>
      </c>
      <c r="M156" s="268">
        <f>L156</f>
        <v>0</v>
      </c>
      <c r="N156" s="301">
        <f>INDEX('Inputs (2)'!$D$19:$AL$19,MATCH(N$7,'Inputs (2)'!$D$2:$AL$2,0))</f>
        <v>0</v>
      </c>
      <c r="O156" s="301">
        <f>INDEX('Inputs (2)'!$D$19:$AL$19,MATCH(O$7,'Inputs (2)'!$D$2:$AL$2,0))</f>
        <v>0</v>
      </c>
      <c r="P156" s="301">
        <f>INDEX('Inputs (2)'!$D$19:$AL$19,MATCH(P$7,'Inputs (2)'!$D$2:$AL$2,0))</f>
        <v>0</v>
      </c>
      <c r="Q156" s="301">
        <f>INDEX('Inputs (2)'!$D$19:$AL$19,MATCH(Q$7,'Inputs (2)'!$D$2:$AL$2,0))</f>
        <v>0</v>
      </c>
      <c r="R156" s="268">
        <f>Q156</f>
        <v>0</v>
      </c>
      <c r="S156" s="301">
        <f>INDEX('Inputs (2)'!$D$19:$AL$19,MATCH(S$7,'Inputs (2)'!$D$2:$AL$2,0))</f>
        <v>0</v>
      </c>
      <c r="T156" s="301">
        <f>INDEX('Inputs (2)'!$D$19:$AL$19,MATCH(T$7,'Inputs (2)'!$D$2:$AL$2,0))</f>
        <v>0</v>
      </c>
      <c r="U156" s="301">
        <f>INDEX('Inputs (2)'!$D$19:$AL$19,MATCH(U$7,'Inputs (2)'!$D$2:$AL$2,0))</f>
        <v>0</v>
      </c>
      <c r="V156" s="301">
        <f>INDEX('Inputs (2)'!$D$19:$AL$19,MATCH(V$7,'Inputs (2)'!$D$2:$AL$2,0))</f>
        <v>0</v>
      </c>
      <c r="W156" s="268">
        <f>V156</f>
        <v>0</v>
      </c>
      <c r="X156" s="301">
        <f>INDEX('Inputs (2)'!$D$19:$AL$19,MATCH(X$7,'Inputs (2)'!$D$2:$AL$2,0))</f>
        <v>0</v>
      </c>
      <c r="Y156" s="301">
        <f>INDEX('Inputs (2)'!$D$19:$AL$19,MATCH(Y$7,'Inputs (2)'!$D$2:$AL$2,0))</f>
        <v>0</v>
      </c>
      <c r="Z156" s="301">
        <f>INDEX('Inputs (2)'!$D$19:$AL$19,MATCH(Z$7,'Inputs (2)'!$D$2:$AL$2,0))</f>
        <v>0</v>
      </c>
      <c r="AA156" s="301">
        <f>INDEX('Inputs (2)'!$D$19:$AL$19,MATCH(AA$7,'Inputs (2)'!$D$2:$AL$2,0))</f>
        <v>0</v>
      </c>
      <c r="AB156" s="268">
        <f>AA156</f>
        <v>0</v>
      </c>
      <c r="AC156" s="301">
        <f>INDEX('Inputs (2)'!$D$19:$AL$19,MATCH(AC$7,'Inputs (2)'!$D$2:$AL$2,0))</f>
        <v>0</v>
      </c>
      <c r="AD156" s="301">
        <f>INDEX('Inputs (2)'!$D$19:$AL$19,MATCH(AD$7,'Inputs (2)'!$D$2:$AL$2,0))</f>
        <v>0</v>
      </c>
      <c r="AE156" s="301">
        <f>INDEX('Inputs (2)'!$D$19:$AL$19,MATCH(AE$7,'Inputs (2)'!$D$2:$AL$2,0))</f>
        <v>0</v>
      </c>
      <c r="AF156" s="301">
        <f>INDEX('Inputs (2)'!$D$19:$AL$19,MATCH(AF$7,'Inputs (2)'!$D$2:$AL$2,0))</f>
        <v>0</v>
      </c>
      <c r="AG156" s="268">
        <f>AF156</f>
        <v>0</v>
      </c>
      <c r="AH156" s="268">
        <f>INDEX('Inputs (2)'!$D$19:$AL$19,MATCH(AH$7,'Inputs (2)'!$D$2:$AL$2,0))</f>
        <v>0</v>
      </c>
      <c r="AI156" s="268">
        <f>INDEX('Inputs (2)'!$D$19:$AL$19,MATCH(AI$7,'Inputs (2)'!$D$2:$AL$2,0))</f>
        <v>0</v>
      </c>
      <c r="AJ156" s="268">
        <f>AI156</f>
        <v>0</v>
      </c>
      <c r="AK156" s="268">
        <f>AJ156</f>
        <v>0</v>
      </c>
      <c r="AL156" s="268">
        <f>AK156</f>
        <v>0</v>
      </c>
      <c r="AM156" s="268">
        <f>AL156</f>
        <v>0</v>
      </c>
      <c r="AN156" s="268">
        <f>AM156</f>
        <v>0</v>
      </c>
      <c r="AO156" s="268">
        <f>AN156</f>
        <v>0</v>
      </c>
      <c r="AP156" s="268">
        <f>AO156</f>
        <v>0</v>
      </c>
      <c r="AQ156" s="268">
        <f>AP156</f>
        <v>0</v>
      </c>
      <c r="AR156" s="268">
        <f>AQ156</f>
        <v>0</v>
      </c>
      <c r="AS156" s="268">
        <f>AR156</f>
        <v>0</v>
      </c>
      <c r="AT156" s="268">
        <f>AS156</f>
        <v>0</v>
      </c>
      <c r="AU156" s="268">
        <f>AT156</f>
        <v>0</v>
      </c>
      <c r="AV156" s="268">
        <f>AU156</f>
        <v>0</v>
      </c>
      <c r="AW156" s="268">
        <f>AV156</f>
        <v>0</v>
      </c>
      <c r="AX156" s="268">
        <f>AW156</f>
        <v>0</v>
      </c>
      <c r="AY156" s="268">
        <f>AX156</f>
        <v>0</v>
      </c>
      <c r="AZ156" s="268">
        <f>AY156</f>
        <v>0</v>
      </c>
      <c r="BA156" s="268">
        <f>AZ156</f>
        <v>0</v>
      </c>
      <c r="BB156" s="268">
        <f>BA156</f>
        <v>0</v>
      </c>
      <c r="BC156" s="268">
        <f>BB156</f>
        <v>0</v>
      </c>
      <c r="BD156" s="268">
        <f>BC156</f>
        <v>0</v>
      </c>
      <c r="BE156" s="268">
        <f>BD156</f>
        <v>0</v>
      </c>
      <c r="BF156" s="268">
        <f>BE156</f>
        <v>0</v>
      </c>
      <c r="BG156" s="268">
        <f>BF156</f>
        <v>0</v>
      </c>
      <c r="BH156" s="268">
        <f>BG156</f>
        <v>0</v>
      </c>
      <c r="BI156" s="268">
        <f>BH156</f>
        <v>0</v>
      </c>
      <c r="BJ156" s="268">
        <f>BI156</f>
        <v>0</v>
      </c>
      <c r="BK156" s="268">
        <f>BJ156</f>
        <v>0</v>
      </c>
      <c r="BL156" s="268">
        <f>BK156</f>
        <v>0</v>
      </c>
      <c r="BM156" s="268">
        <f>BL156</f>
        <v>0</v>
      </c>
      <c r="BN156" s="268">
        <f>BM156</f>
        <v>0</v>
      </c>
      <c r="BO156" s="268">
        <f>BN156</f>
        <v>0</v>
      </c>
      <c r="BP156" s="268">
        <f>BO156</f>
        <v>0</v>
      </c>
      <c r="BQ156" s="268">
        <f>BP156</f>
        <v>0</v>
      </c>
      <c r="BR156" s="268">
        <f>BQ156</f>
        <v>0</v>
      </c>
      <c r="BS156" s="268">
        <f>BR156</f>
        <v>0</v>
      </c>
      <c r="BT156" s="268">
        <f>BS156</f>
        <v>0</v>
      </c>
      <c r="BU156" s="268">
        <f>BT156</f>
        <v>0</v>
      </c>
      <c r="BV156" s="268">
        <f>BU156</f>
        <v>0</v>
      </c>
      <c r="BW156" s="268">
        <f>BV156</f>
        <v>0</v>
      </c>
      <c r="BX156" s="268">
        <f>BW156</f>
        <v>0</v>
      </c>
      <c r="BY156" s="268">
        <f>BX156</f>
        <v>0</v>
      </c>
      <c r="BZ156" s="268">
        <f>BY156</f>
        <v>0</v>
      </c>
      <c r="CA156" s="268">
        <f>BZ156</f>
        <v>0</v>
      </c>
      <c r="CB156" s="268">
        <f>CA156</f>
        <v>0</v>
      </c>
      <c r="CC156" s="268">
        <f>CB156</f>
        <v>0</v>
      </c>
      <c r="CD156" s="268">
        <f>CC156</f>
        <v>0</v>
      </c>
      <c r="CE156" s="268">
        <f>CD156</f>
        <v>0</v>
      </c>
      <c r="CF156" s="268">
        <f>CE156</f>
        <v>0</v>
      </c>
      <c r="CG156" s="268">
        <f>CF156</f>
        <v>0</v>
      </c>
      <c r="CH156" s="268">
        <f>CG156</f>
        <v>0</v>
      </c>
      <c r="CI156" s="268">
        <f>CH156</f>
        <v>0</v>
      </c>
      <c r="CJ156" s="268">
        <f>CI156</f>
        <v>0</v>
      </c>
      <c r="CK156" s="268">
        <f>CJ156</f>
        <v>0</v>
      </c>
      <c r="CL156" s="268">
        <f>CK156</f>
        <v>0</v>
      </c>
      <c r="CM156" s="268">
        <f>CL156</f>
        <v>0</v>
      </c>
      <c r="CN156" s="268">
        <f>CM156</f>
        <v>0</v>
      </c>
      <c r="CO156" s="268">
        <f>CN156</f>
        <v>0</v>
      </c>
      <c r="CP156" s="268">
        <f>CO156</f>
        <v>0</v>
      </c>
      <c r="CQ156" s="268">
        <f>CP156</f>
        <v>0</v>
      </c>
      <c r="CR156" s="268">
        <f>CQ156</f>
        <v>0</v>
      </c>
      <c r="CS156" s="268">
        <f>CR156</f>
        <v>0</v>
      </c>
      <c r="CT156" s="268">
        <f>CS156</f>
        <v>0</v>
      </c>
      <c r="CU156" s="268">
        <f>CT156</f>
        <v>0</v>
      </c>
      <c r="CV156" s="268">
        <f>CU156</f>
        <v>0</v>
      </c>
      <c r="CW156" s="268">
        <f>CV156</f>
        <v>0</v>
      </c>
      <c r="CX156" s="268">
        <f>CW156</f>
        <v>0</v>
      </c>
      <c r="CY156" s="268">
        <f>CX156</f>
        <v>0</v>
      </c>
    </row>
    <row r="157" ht="12.75" customHeight="1" s="255">
      <c r="C157" s="270" t="inlineStr">
        <is>
          <t>Other current assets</t>
        </is>
      </c>
      <c r="D157" s="301">
        <f>INDEX('Inputs (2)'!$D$20:$AL$20,MATCH(D$7,'Inputs (2)'!$D$2:$AL$2,0))</f>
        <v>2152</v>
      </c>
      <c r="E157" s="301">
        <f>INDEX('Inputs (2)'!$D$20:$AL$20,MATCH(E$7,'Inputs (2)'!$D$2:$AL$2,0))</f>
        <v>1895</v>
      </c>
      <c r="F157" s="301">
        <f>INDEX('Inputs (2)'!$D$20:$AL$20,MATCH(F$7,'Inputs (2)'!$D$2:$AL$2,0))</f>
        <v>1665</v>
      </c>
      <c r="G157" s="301">
        <f>INDEX('Inputs (2)'!$D$20:$AL$20,MATCH(G$7,'Inputs (2)'!$D$2:$AL$2,0))</f>
        <v>20861</v>
      </c>
      <c r="H157" s="268">
        <f>G157</f>
        <v>20861</v>
      </c>
      <c r="I157" s="301">
        <f>INDEX('Inputs (2)'!$D$20:$AL$20,MATCH(I$7,'Inputs (2)'!$D$2:$AL$2,0))</f>
        <v>1565</v>
      </c>
      <c r="J157" s="301">
        <f>INDEX('Inputs (2)'!$D$20:$AL$20,MATCH(J$7,'Inputs (2)'!$D$2:$AL$2,0))</f>
        <v>1555</v>
      </c>
      <c r="K157" s="301">
        <f>INDEX('Inputs (2)'!$D$20:$AL$20,MATCH(K$7,'Inputs (2)'!$D$2:$AL$2,0))</f>
        <v>2020</v>
      </c>
      <c r="L157" s="301">
        <f>INDEX('Inputs (2)'!$D$20:$AL$20,MATCH(L$7,'Inputs (2)'!$D$2:$AL$2,0))</f>
        <v>1519</v>
      </c>
      <c r="M157" s="268">
        <f>L157</f>
        <v>1519</v>
      </c>
      <c r="N157" s="301">
        <f>INDEX('Inputs (2)'!$D$20:$AL$20,MATCH(N$7,'Inputs (2)'!$D$2:$AL$2,0))</f>
        <v>2500</v>
      </c>
      <c r="O157" s="301">
        <f>INDEX('Inputs (2)'!$D$20:$AL$20,MATCH(O$7,'Inputs (2)'!$D$2:$AL$2,0))</f>
        <v>2798</v>
      </c>
      <c r="P157" s="301">
        <f>INDEX('Inputs (2)'!$D$20:$AL$20,MATCH(P$7,'Inputs (2)'!$D$2:$AL$2,0))</f>
        <v>3169</v>
      </c>
      <c r="Q157" s="301">
        <f>INDEX('Inputs (2)'!$D$20:$AL$20,MATCH(Q$7,'Inputs (2)'!$D$2:$AL$2,0))</f>
        <v>2521</v>
      </c>
      <c r="R157" s="268">
        <f>Q157</f>
        <v>2521</v>
      </c>
      <c r="S157" s="301">
        <f>INDEX('Inputs (2)'!$D$20:$AL$20,MATCH(S$7,'Inputs (2)'!$D$2:$AL$2,0))</f>
        <v>3357</v>
      </c>
      <c r="T157" s="301">
        <f>INDEX('Inputs (2)'!$D$20:$AL$20,MATCH(T$7,'Inputs (2)'!$D$2:$AL$2,0))</f>
        <v>3531</v>
      </c>
      <c r="U157" s="301">
        <f>INDEX('Inputs (2)'!$D$20:$AL$20,MATCH(U$7,'Inputs (2)'!$D$2:$AL$2,0))</f>
        <v>3661</v>
      </c>
      <c r="V157" s="301">
        <f>INDEX('Inputs (2)'!$D$20:$AL$20,MATCH(V$7,'Inputs (2)'!$D$2:$AL$2,0))</f>
        <v>3322</v>
      </c>
      <c r="W157" s="268">
        <f>V157</f>
        <v>3322</v>
      </c>
      <c r="X157" s="301">
        <f>INDEX('Inputs (2)'!$D$20:$AL$20,MATCH(X$7,'Inputs (2)'!$D$2:$AL$2,0))</f>
        <v>3290</v>
      </c>
      <c r="Y157" s="301">
        <f>INDEX('Inputs (2)'!$D$20:$AL$20,MATCH(Y$7,'Inputs (2)'!$D$2:$AL$2,0))</f>
        <v>3438</v>
      </c>
      <c r="Z157" s="301">
        <f>INDEX('Inputs (2)'!$D$20:$AL$20,MATCH(Z$7,'Inputs (2)'!$D$2:$AL$2,0))</f>
        <v>3548</v>
      </c>
      <c r="AA157" s="301">
        <f>INDEX('Inputs (2)'!$D$20:$AL$20,MATCH(AA$7,'Inputs (2)'!$D$2:$AL$2,0))</f>
        <v>4011</v>
      </c>
      <c r="AB157" s="268">
        <f>AA157</f>
        <v>4011</v>
      </c>
      <c r="AC157" s="301">
        <f>INDEX('Inputs (2)'!$D$20:$AL$20,MATCH(AC$7,'Inputs (2)'!$D$2:$AL$2,0))</f>
        <v>3789</v>
      </c>
      <c r="AD157" s="301">
        <f>INDEX('Inputs (2)'!$D$20:$AL$20,MATCH(AD$7,'Inputs (2)'!$D$2:$AL$2,0))</f>
        <v>4355</v>
      </c>
      <c r="AE157" s="301">
        <f>INDEX('Inputs (2)'!$D$20:$AL$20,MATCH(AE$7,'Inputs (2)'!$D$2:$AL$2,0))</f>
        <v>4869</v>
      </c>
      <c r="AF157" s="301">
        <f>INDEX('Inputs (2)'!$D$20:$AL$20,MATCH(AF$7,'Inputs (2)'!$D$2:$AL$2,0))</f>
        <v>4124</v>
      </c>
      <c r="AG157" s="268">
        <f>AF157</f>
        <v>4124</v>
      </c>
      <c r="AH157" s="268">
        <f>INDEX('Inputs (2)'!$D$20:$AL$20,MATCH(AH$7,'Inputs (2)'!$D$2:$AL$2,0))</f>
        <v>4433</v>
      </c>
      <c r="AI157" s="268">
        <f>INDEX('Inputs (2)'!$D$20:$AL$20,MATCH(AI$7,'Inputs (2)'!$D$2:$AL$2,0))</f>
        <v>4499</v>
      </c>
      <c r="AJ157" s="268">
        <f>AI157</f>
        <v>4499</v>
      </c>
      <c r="AK157" s="268">
        <f>AJ157</f>
        <v>4499</v>
      </c>
      <c r="AL157" s="268">
        <f>AK157</f>
        <v>4499</v>
      </c>
      <c r="AM157" s="268">
        <f>AL157</f>
        <v>4499</v>
      </c>
      <c r="AN157" s="268">
        <f>AM157</f>
        <v>4499</v>
      </c>
      <c r="AO157" s="268">
        <f>AN157</f>
        <v>4499</v>
      </c>
      <c r="AP157" s="268">
        <f>AO157</f>
        <v>4499</v>
      </c>
      <c r="AQ157" s="268">
        <f>AP157</f>
        <v>4499</v>
      </c>
      <c r="AR157" s="268">
        <f>AQ157</f>
        <v>4499</v>
      </c>
      <c r="AS157" s="268">
        <f>AR157</f>
        <v>4499</v>
      </c>
      <c r="AT157" s="268">
        <f>AS157</f>
        <v>4499</v>
      </c>
      <c r="AU157" s="268">
        <f>AT157</f>
        <v>4499</v>
      </c>
      <c r="AV157" s="268">
        <f>AU157</f>
        <v>4499</v>
      </c>
      <c r="AW157" s="268">
        <f>AV157</f>
        <v>4499</v>
      </c>
      <c r="AX157" s="268">
        <f>AW157</f>
        <v>4499</v>
      </c>
      <c r="AY157" s="268">
        <f>AX157</f>
        <v>4499</v>
      </c>
      <c r="AZ157" s="268">
        <f>AY157</f>
        <v>4499</v>
      </c>
      <c r="BA157" s="268">
        <f>AZ157</f>
        <v>4499</v>
      </c>
      <c r="BB157" s="268">
        <f>BA157</f>
        <v>4499</v>
      </c>
      <c r="BC157" s="268">
        <f>BB157</f>
        <v>4499</v>
      </c>
      <c r="BD157" s="268">
        <f>BC157</f>
        <v>4499</v>
      </c>
      <c r="BE157" s="268">
        <f>BD157</f>
        <v>4499</v>
      </c>
      <c r="BF157" s="268">
        <f>BE157</f>
        <v>4499</v>
      </c>
      <c r="BG157" s="268">
        <f>BF157</f>
        <v>4499</v>
      </c>
      <c r="BH157" s="268">
        <f>BG157</f>
        <v>4499</v>
      </c>
      <c r="BI157" s="268">
        <f>BH157</f>
        <v>4499</v>
      </c>
      <c r="BJ157" s="268">
        <f>BI157</f>
        <v>4499</v>
      </c>
      <c r="BK157" s="268">
        <f>BJ157</f>
        <v>4499</v>
      </c>
      <c r="BL157" s="268">
        <f>BK157</f>
        <v>4499</v>
      </c>
      <c r="BM157" s="268">
        <f>BL157</f>
        <v>4499</v>
      </c>
      <c r="BN157" s="268">
        <f>BM157</f>
        <v>4499</v>
      </c>
      <c r="BO157" s="268">
        <f>BN157</f>
        <v>4499</v>
      </c>
      <c r="BP157" s="268">
        <f>BO157</f>
        <v>4499</v>
      </c>
      <c r="BQ157" s="268">
        <f>BP157</f>
        <v>4499</v>
      </c>
      <c r="BR157" s="268">
        <f>BQ157</f>
        <v>4499</v>
      </c>
      <c r="BS157" s="268">
        <f>BR157</f>
        <v>4499</v>
      </c>
      <c r="BT157" s="268">
        <f>BS157</f>
        <v>4499</v>
      </c>
      <c r="BU157" s="268">
        <f>BT157</f>
        <v>4499</v>
      </c>
      <c r="BV157" s="268">
        <f>BU157</f>
        <v>4499</v>
      </c>
      <c r="BW157" s="268">
        <f>BV157</f>
        <v>4499</v>
      </c>
      <c r="BX157" s="268">
        <f>BW157</f>
        <v>4499</v>
      </c>
      <c r="BY157" s="268">
        <f>BX157</f>
        <v>4499</v>
      </c>
      <c r="BZ157" s="268">
        <f>BY157</f>
        <v>4499</v>
      </c>
      <c r="CA157" s="268">
        <f>BZ157</f>
        <v>4499</v>
      </c>
      <c r="CB157" s="268">
        <f>CA157</f>
        <v>4499</v>
      </c>
      <c r="CC157" s="268">
        <f>CB157</f>
        <v>4499</v>
      </c>
      <c r="CD157" s="268">
        <f>CC157</f>
        <v>4499</v>
      </c>
      <c r="CE157" s="268">
        <f>CD157</f>
        <v>4499</v>
      </c>
      <c r="CF157" s="268">
        <f>CE157</f>
        <v>4499</v>
      </c>
      <c r="CG157" s="268">
        <f>CF157</f>
        <v>4499</v>
      </c>
      <c r="CH157" s="268">
        <f>CG157</f>
        <v>4499</v>
      </c>
      <c r="CI157" s="268">
        <f>CH157</f>
        <v>4499</v>
      </c>
      <c r="CJ157" s="268">
        <f>CI157</f>
        <v>4499</v>
      </c>
      <c r="CK157" s="268">
        <f>CJ157</f>
        <v>4499</v>
      </c>
      <c r="CL157" s="268">
        <f>CK157</f>
        <v>4499</v>
      </c>
      <c r="CM157" s="268">
        <f>CL157</f>
        <v>4499</v>
      </c>
      <c r="CN157" s="268">
        <f>CM157</f>
        <v>4499</v>
      </c>
      <c r="CO157" s="268">
        <f>CN157</f>
        <v>4499</v>
      </c>
      <c r="CP157" s="268">
        <f>CO157</f>
        <v>4499</v>
      </c>
      <c r="CQ157" s="268">
        <f>CP157</f>
        <v>4499</v>
      </c>
      <c r="CR157" s="268">
        <f>CQ157</f>
        <v>4499</v>
      </c>
      <c r="CS157" s="268">
        <f>CR157</f>
        <v>4499</v>
      </c>
      <c r="CT157" s="268">
        <f>CS157</f>
        <v>4499</v>
      </c>
      <c r="CU157" s="268">
        <f>CT157</f>
        <v>4499</v>
      </c>
      <c r="CV157" s="268">
        <f>CU157</f>
        <v>4499</v>
      </c>
      <c r="CW157" s="268">
        <f>CV157</f>
        <v>4499</v>
      </c>
      <c r="CX157" s="268">
        <f>CW157</f>
        <v>4499</v>
      </c>
      <c r="CY157" s="268">
        <f>CX157</f>
        <v>4499</v>
      </c>
    </row>
    <row r="158" hidden="1" outlineLevel="1" ht="12.75" customHeight="1" s="255">
      <c r="C158" s="314" t="inlineStr">
        <is>
          <t>%(Var.)</t>
        </is>
      </c>
      <c r="D158" s="268" t="n"/>
      <c r="E158" s="296">
        <f>(E157-D157)/D157</f>
        <v>-0.119423791821561</v>
      </c>
      <c r="F158" s="296">
        <f>(F157-E157)/E157</f>
        <v>-0.121372031662269</v>
      </c>
      <c r="G158" s="296">
        <f>(G157-F157)/F157</f>
        <v>11.5291291291291</v>
      </c>
      <c r="H158" s="268" t="n"/>
      <c r="I158" s="296">
        <f>(I157-H157)/H157</f>
        <v>-0.924979627055271</v>
      </c>
      <c r="J158" s="296">
        <f>(J157-I157)/I157</f>
        <v>-0.00638977635782748</v>
      </c>
      <c r="K158" s="296">
        <f>(K157-J157)/J157</f>
        <v>0.29903536977492</v>
      </c>
      <c r="L158" s="296">
        <f>(L157-K157)/K157</f>
        <v>-0.248019801980198</v>
      </c>
      <c r="M158" s="268" t="n"/>
      <c r="N158" s="296">
        <f>(N157-M157)/M157</f>
        <v>0.645819618169849</v>
      </c>
      <c r="O158" s="296">
        <f>(O157-N157)/N157</f>
        <v>0.1192</v>
      </c>
      <c r="P158" s="296">
        <f>(P157-O157)/O157</f>
        <v>0.132594710507505</v>
      </c>
      <c r="Q158" s="296">
        <f>(Q157-P157)/P157</f>
        <v>-0.204480908804039</v>
      </c>
      <c r="R158" s="268" t="n"/>
      <c r="S158" s="296">
        <f>(S157-R157)/R157</f>
        <v>0.331614438714796</v>
      </c>
      <c r="T158" s="296">
        <f>(T157-S157)/S157</f>
        <v>0.0518319928507596</v>
      </c>
      <c r="U158" s="296">
        <f>(U157-T157)/T157</f>
        <v>0.0368167657887284</v>
      </c>
      <c r="V158" s="296">
        <f>(V157-U157)/U157</f>
        <v>-0.0925976509150505</v>
      </c>
      <c r="W158" s="268" t="n"/>
      <c r="X158" s="296">
        <f>(X157-W157)/W157</f>
        <v>-0.00963275135460566</v>
      </c>
      <c r="Y158" s="296">
        <f>(Y157-X157)/X157</f>
        <v>0.0449848024316109</v>
      </c>
      <c r="Z158" s="296">
        <f>(Z157-Y157)/Y157</f>
        <v>0.0319953461314718</v>
      </c>
      <c r="AA158" s="296">
        <f>(AA157-Z157)/Z157</f>
        <v>0.130496054114994</v>
      </c>
      <c r="AB158" s="268" t="n"/>
      <c r="AC158" s="296">
        <f>(AC157-AB157)/AB157</f>
        <v>-0.0553477935676889</v>
      </c>
      <c r="AD158" s="296">
        <f>(AD157-AC157)/AC157</f>
        <v>0.149379783584059</v>
      </c>
      <c r="AE158" s="296">
        <f>(AE157-AD157)/AD157</f>
        <v>0.118025258323766</v>
      </c>
      <c r="AF158" s="311">
        <f>(AF157-AE157)/AE157</f>
        <v>-0.153008831382214</v>
      </c>
      <c r="AG158" s="268" t="n"/>
      <c r="AH158" s="268">
        <f>(AH157-AG157)/AG157</f>
        <v>0.0749272550921436</v>
      </c>
      <c r="AI158" s="268">
        <f>(AI157-AH157)/AH157</f>
        <v>0.0148883374689826</v>
      </c>
      <c r="AJ158" s="268" t="n"/>
      <c r="AK158" s="268" t="n"/>
      <c r="AL158" s="268" t="n"/>
      <c r="AM158" s="268" t="n"/>
      <c r="AN158" s="268" t="n"/>
      <c r="AO158" s="268" t="n"/>
      <c r="AP158" s="268" t="n"/>
      <c r="AQ158" s="268" t="n"/>
      <c r="AR158" s="268" t="n"/>
      <c r="AS158" s="268" t="n"/>
      <c r="AT158" s="268" t="n"/>
      <c r="AU158" s="268" t="n"/>
      <c r="AV158" s="268" t="n"/>
      <c r="AW158" s="268" t="n"/>
      <c r="AX158" s="268" t="n"/>
      <c r="AY158" s="268" t="n"/>
      <c r="AZ158" s="268" t="n"/>
      <c r="BA158" s="268" t="n"/>
      <c r="BB158" s="268" t="n"/>
      <c r="BC158" s="268" t="n"/>
      <c r="BD158" s="268" t="n"/>
      <c r="BE158" s="268" t="n"/>
      <c r="BF158" s="268" t="n"/>
      <c r="BG158" s="268" t="n"/>
      <c r="BH158" s="268" t="n"/>
      <c r="BI158" s="268" t="n"/>
      <c r="BJ158" s="268" t="n"/>
      <c r="BK158" s="268" t="n"/>
      <c r="BL158" s="268" t="n"/>
      <c r="BM158" s="268" t="n"/>
      <c r="BN158" s="268" t="n"/>
      <c r="BO158" s="268" t="n"/>
      <c r="BP158" s="268" t="n"/>
      <c r="BQ158" s="268" t="n"/>
      <c r="BR158" s="268" t="n"/>
      <c r="BS158" s="268" t="n"/>
      <c r="BT158" s="268" t="n"/>
      <c r="BU158" s="268" t="n"/>
      <c r="BV158" s="268" t="n"/>
      <c r="BW158" s="268" t="n"/>
      <c r="BX158" s="268" t="n"/>
      <c r="BY158" s="268" t="n"/>
      <c r="BZ158" s="268" t="n"/>
      <c r="CA158" s="268" t="n"/>
      <c r="CB158" s="268" t="n"/>
      <c r="CC158" s="268" t="n"/>
      <c r="CD158" s="268" t="n"/>
      <c r="CE158" s="268" t="n"/>
      <c r="CF158" s="268" t="n"/>
      <c r="CG158" s="268" t="n"/>
      <c r="CH158" s="268" t="n"/>
      <c r="CI158" s="268" t="n"/>
      <c r="CJ158" s="268" t="n"/>
      <c r="CK158" s="268" t="n"/>
      <c r="CL158" s="268" t="n"/>
      <c r="CM158" s="268" t="n"/>
      <c r="CN158" s="268" t="n"/>
      <c r="CO158" s="268" t="n"/>
      <c r="CP158" s="268" t="n"/>
      <c r="CQ158" s="268" t="n"/>
      <c r="CR158" s="268" t="n"/>
      <c r="CS158" s="268" t="n"/>
      <c r="CT158" s="268" t="n"/>
      <c r="CU158" s="268" t="n"/>
      <c r="CV158" s="268" t="n"/>
      <c r="CW158" s="268" t="n"/>
      <c r="CX158" s="268" t="n"/>
      <c r="CY158" s="268" t="n"/>
    </row>
    <row r="159" hidden="1" outlineLevel="1" ht="12.75" customHeight="1" s="255">
      <c r="C159" s="312" t="n"/>
      <c r="D159" s="268" t="n"/>
      <c r="E159" s="296" t="n"/>
      <c r="F159" s="268" t="n"/>
      <c r="G159" s="268" t="n"/>
      <c r="H159" s="268" t="n"/>
      <c r="I159" s="268" t="n"/>
      <c r="J159" s="268" t="n"/>
      <c r="K159" s="268" t="n"/>
      <c r="L159" s="268" t="n"/>
      <c r="M159" s="268" t="n"/>
      <c r="N159" s="268" t="n"/>
      <c r="O159" s="268" t="n"/>
      <c r="P159" s="268" t="n"/>
      <c r="Q159" s="268" t="n"/>
      <c r="R159" s="268" t="n"/>
      <c r="S159" s="268" t="n"/>
      <c r="T159" s="268" t="n"/>
      <c r="U159" s="268" t="n"/>
      <c r="V159" s="268" t="n"/>
      <c r="W159" s="268" t="n"/>
      <c r="X159" s="268" t="n"/>
      <c r="Y159" s="268" t="n"/>
      <c r="Z159" s="268" t="n"/>
      <c r="AA159" s="268" t="n"/>
      <c r="AB159" s="268" t="n"/>
      <c r="AC159" s="268" t="n"/>
      <c r="AD159" s="268" t="n"/>
      <c r="AE159" s="268" t="n"/>
      <c r="AF159" s="268" t="n"/>
      <c r="AG159" s="268" t="n"/>
      <c r="AH159" s="268" t="n"/>
      <c r="AI159" s="268" t="n"/>
      <c r="AJ159" s="268" t="n"/>
      <c r="AK159" s="268" t="n"/>
      <c r="AL159" s="268" t="n"/>
      <c r="AM159" s="268" t="n"/>
      <c r="AN159" s="268" t="n"/>
      <c r="AO159" s="268" t="n"/>
      <c r="AP159" s="268" t="n"/>
      <c r="AQ159" s="268" t="n"/>
      <c r="AR159" s="268" t="n"/>
      <c r="AS159" s="268" t="n"/>
      <c r="AT159" s="268" t="n"/>
      <c r="AU159" s="268" t="n"/>
      <c r="AV159" s="268" t="n"/>
      <c r="AW159" s="268" t="n"/>
      <c r="AX159" s="268" t="n"/>
      <c r="AY159" s="268" t="n"/>
      <c r="AZ159" s="268" t="n"/>
      <c r="BA159" s="268" t="n"/>
      <c r="BB159" s="268" t="n"/>
      <c r="BC159" s="268" t="n"/>
      <c r="BD159" s="268" t="n"/>
      <c r="BE159" s="268" t="n"/>
      <c r="BF159" s="268" t="n"/>
      <c r="BG159" s="268" t="n"/>
      <c r="BH159" s="268" t="n"/>
      <c r="BI159" s="268" t="n"/>
      <c r="BJ159" s="268" t="n"/>
      <c r="BK159" s="268" t="n"/>
      <c r="BL159" s="268" t="n"/>
      <c r="BM159" s="268" t="n"/>
      <c r="BN159" s="268" t="n"/>
      <c r="BO159" s="268" t="n"/>
      <c r="BP159" s="268" t="n"/>
      <c r="BQ159" s="268" t="n"/>
      <c r="BR159" s="268" t="n"/>
      <c r="BS159" s="268" t="n"/>
      <c r="BT159" s="268" t="n"/>
      <c r="BU159" s="268" t="n"/>
      <c r="BV159" s="268" t="n"/>
      <c r="BW159" s="268" t="n"/>
      <c r="BX159" s="268" t="n"/>
      <c r="BY159" s="268" t="n"/>
      <c r="BZ159" s="268" t="n"/>
      <c r="CA159" s="268" t="n"/>
      <c r="CB159" s="268" t="n"/>
      <c r="CC159" s="268" t="n"/>
      <c r="CD159" s="268" t="n"/>
      <c r="CE159" s="268" t="n"/>
      <c r="CF159" s="268" t="n"/>
      <c r="CG159" s="268" t="n"/>
      <c r="CH159" s="268" t="n"/>
      <c r="CI159" s="268" t="n"/>
      <c r="CJ159" s="268" t="n"/>
      <c r="CK159" s="268" t="n"/>
      <c r="CL159" s="268" t="n"/>
      <c r="CM159" s="268" t="n"/>
      <c r="CN159" s="268" t="n"/>
      <c r="CO159" s="268" t="n"/>
      <c r="CP159" s="268" t="n"/>
      <c r="CQ159" s="268" t="n"/>
      <c r="CR159" s="268" t="n"/>
      <c r="CS159" s="268" t="n"/>
      <c r="CT159" s="268" t="n"/>
      <c r="CU159" s="268" t="n"/>
      <c r="CV159" s="268" t="n"/>
      <c r="CW159" s="268" t="n"/>
      <c r="CX159" s="268" t="n"/>
      <c r="CY159" s="268" t="n"/>
    </row>
    <row r="160" hidden="1" outlineLevel="1" ht="12.75" customHeight="1" s="255">
      <c r="C160" s="315" t="inlineStr">
        <is>
          <t xml:space="preserve">Impostos e Contribuições a Recuperar </t>
        </is>
      </c>
      <c r="D160" s="267" t="n"/>
      <c r="E160" s="267" t="n"/>
      <c r="F160" s="267" t="n"/>
      <c r="G160" s="267" t="n"/>
      <c r="H160" s="268" t="n"/>
      <c r="I160" s="267" t="n"/>
      <c r="J160" s="267" t="n"/>
      <c r="K160" s="267" t="n"/>
      <c r="L160" s="267" t="n"/>
      <c r="M160" s="268" t="n"/>
      <c r="N160" s="267" t="n"/>
      <c r="O160" s="267" t="n"/>
      <c r="P160" s="267" t="n"/>
      <c r="Q160" s="267" t="n"/>
      <c r="R160" s="268" t="n"/>
      <c r="S160" s="267" t="n"/>
      <c r="T160" s="267" t="n"/>
      <c r="U160" s="267" t="n"/>
      <c r="V160" s="267" t="n"/>
      <c r="W160" s="268" t="n"/>
      <c r="X160" s="267" t="n"/>
      <c r="Y160" s="267" t="n"/>
      <c r="Z160" s="267" t="n"/>
      <c r="AA160" s="267" t="n"/>
      <c r="AB160" s="268" t="n"/>
      <c r="AC160" s="267" t="n"/>
      <c r="AD160" s="267" t="n"/>
      <c r="AE160" s="267" t="n"/>
      <c r="AF160" s="267" t="n"/>
      <c r="AG160" s="268">
        <f>AF160</f>
        <v>0</v>
      </c>
      <c r="AH160" s="316">
        <f>AG160*AH15/AG15</f>
        <v>0</v>
      </c>
      <c r="AI160" s="316">
        <f>AH160*AI15/AH15</f>
        <v>0</v>
      </c>
      <c r="AJ160" s="316">
        <f>AI160*AJ15/AI15</f>
        <v>0</v>
      </c>
      <c r="AK160" s="316">
        <f>AJ160*AK15/AJ15</f>
        <v>0</v>
      </c>
      <c r="AL160" s="268">
        <f>AK160</f>
        <v>0</v>
      </c>
      <c r="AM160" s="268" t="n"/>
      <c r="AN160" s="268" t="n"/>
      <c r="AO160" s="268" t="n"/>
      <c r="AP160" s="268" t="n"/>
      <c r="AQ160" s="268" t="n"/>
      <c r="AR160" s="268" t="n"/>
      <c r="AS160" s="268" t="n"/>
      <c r="AT160" s="268" t="n"/>
      <c r="AU160" s="268" t="n"/>
      <c r="AV160" s="268" t="n"/>
      <c r="AW160" s="268" t="n"/>
      <c r="AX160" s="268" t="n"/>
      <c r="AY160" s="268" t="n"/>
      <c r="AZ160" s="268" t="n"/>
      <c r="BA160" s="268" t="n"/>
      <c r="BB160" s="268" t="n"/>
      <c r="BC160" s="268" t="n"/>
      <c r="BD160" s="268" t="n"/>
      <c r="BE160" s="268" t="n"/>
      <c r="BF160" s="268" t="n"/>
      <c r="BG160" s="268" t="n"/>
      <c r="BH160" s="268" t="n"/>
      <c r="BI160" s="268" t="n"/>
      <c r="BJ160" s="268" t="n"/>
      <c r="BK160" s="268" t="n"/>
      <c r="BL160" s="268" t="n"/>
      <c r="BM160" s="268" t="n"/>
      <c r="BN160" s="268" t="n"/>
      <c r="BO160" s="268" t="n"/>
      <c r="BP160" s="268" t="n"/>
      <c r="BQ160" s="268" t="n"/>
      <c r="BR160" s="268" t="n"/>
      <c r="BS160" s="268" t="n"/>
      <c r="BT160" s="268" t="n"/>
      <c r="BU160" s="268" t="n"/>
      <c r="BV160" s="268" t="n"/>
      <c r="BW160" s="268" t="n"/>
      <c r="BX160" s="268" t="n"/>
      <c r="BY160" s="268" t="n"/>
      <c r="BZ160" s="268" t="n"/>
      <c r="CA160" s="268" t="n"/>
      <c r="CB160" s="268" t="n"/>
      <c r="CC160" s="268" t="n"/>
      <c r="CD160" s="268" t="n"/>
      <c r="CE160" s="268" t="n"/>
      <c r="CF160" s="268" t="n"/>
      <c r="CG160" s="268" t="n"/>
      <c r="CH160" s="268" t="n"/>
      <c r="CI160" s="268" t="n"/>
      <c r="CJ160" s="268" t="n"/>
      <c r="CK160" s="268" t="n"/>
      <c r="CL160" s="268" t="n"/>
      <c r="CM160" s="268" t="n"/>
      <c r="CN160" s="268" t="n"/>
      <c r="CO160" s="268" t="n"/>
      <c r="CP160" s="268" t="n"/>
      <c r="CQ160" s="268" t="n"/>
      <c r="CR160" s="268" t="n"/>
      <c r="CS160" s="268" t="n"/>
      <c r="CT160" s="268" t="n"/>
      <c r="CU160" s="268" t="n"/>
      <c r="CV160" s="268" t="n"/>
      <c r="CW160" s="268" t="n"/>
      <c r="CX160" s="268" t="n"/>
      <c r="CY160" s="268" t="n"/>
    </row>
    <row r="161" hidden="1" outlineLevel="1" ht="12.75" customHeight="1" s="255">
      <c r="C161" s="315" t="inlineStr">
        <is>
          <t>Outros Créditos</t>
        </is>
      </c>
      <c r="D161" s="267" t="n"/>
      <c r="E161" s="267" t="n"/>
      <c r="F161" s="267" t="n"/>
      <c r="G161" s="267" t="n"/>
      <c r="H161" s="268" t="n"/>
      <c r="I161" s="267" t="n"/>
      <c r="J161" s="267" t="n"/>
      <c r="K161" s="267" t="n"/>
      <c r="L161" s="267" t="n"/>
      <c r="M161" s="268" t="n"/>
      <c r="N161" s="267" t="n"/>
      <c r="O161" s="267" t="n"/>
      <c r="P161" s="267" t="n"/>
      <c r="Q161" s="267" t="n"/>
      <c r="R161" s="268" t="n"/>
      <c r="S161" s="267" t="n"/>
      <c r="T161" s="267" t="n"/>
      <c r="U161" s="267" t="n"/>
      <c r="V161" s="267" t="n"/>
      <c r="W161" s="268" t="n"/>
      <c r="X161" s="267" t="n"/>
      <c r="Y161" s="267" t="n"/>
      <c r="Z161" s="267" t="n"/>
      <c r="AA161" s="267" t="n"/>
      <c r="AB161" s="268" t="n"/>
      <c r="AC161" s="267" t="n"/>
      <c r="AD161" s="267" t="n"/>
      <c r="AE161" s="267" t="n"/>
      <c r="AF161" s="267" t="n"/>
      <c r="AG161" s="268">
        <f>AF161</f>
        <v>0</v>
      </c>
      <c r="AH161" s="268">
        <f>AG161</f>
        <v>0</v>
      </c>
      <c r="AI161" s="268">
        <f>AH161</f>
        <v>0</v>
      </c>
      <c r="AJ161" s="268">
        <f>AI161</f>
        <v>0</v>
      </c>
      <c r="AK161" s="268">
        <f>AJ161</f>
        <v>0</v>
      </c>
      <c r="AL161" s="268">
        <f>AK161</f>
        <v>0</v>
      </c>
      <c r="AM161" s="268" t="n"/>
      <c r="AN161" s="268" t="n"/>
      <c r="AO161" s="268" t="n"/>
      <c r="AP161" s="268" t="n"/>
      <c r="AQ161" s="268" t="n"/>
      <c r="AR161" s="268" t="n"/>
      <c r="AS161" s="268" t="n"/>
      <c r="AT161" s="268" t="n"/>
      <c r="AU161" s="268" t="n"/>
      <c r="AV161" s="268" t="n"/>
      <c r="AW161" s="268" t="n"/>
      <c r="AX161" s="268" t="n"/>
      <c r="AY161" s="268" t="n"/>
      <c r="AZ161" s="268" t="n"/>
      <c r="BA161" s="268" t="n"/>
      <c r="BB161" s="268" t="n"/>
      <c r="BC161" s="268" t="n"/>
      <c r="BD161" s="268" t="n"/>
      <c r="BE161" s="268" t="n"/>
      <c r="BF161" s="268" t="n"/>
      <c r="BG161" s="268" t="n"/>
      <c r="BH161" s="268" t="n"/>
      <c r="BI161" s="268" t="n"/>
      <c r="BJ161" s="268" t="n"/>
      <c r="BK161" s="268" t="n"/>
      <c r="BL161" s="268" t="n"/>
      <c r="BM161" s="268" t="n"/>
      <c r="BN161" s="268" t="n"/>
      <c r="BO161" s="268" t="n"/>
      <c r="BP161" s="268" t="n"/>
      <c r="BQ161" s="268" t="n"/>
      <c r="BR161" s="268" t="n"/>
      <c r="BS161" s="268" t="n"/>
      <c r="BT161" s="268" t="n"/>
      <c r="BU161" s="268" t="n"/>
      <c r="BV161" s="268" t="n"/>
      <c r="BW161" s="268" t="n"/>
      <c r="BX161" s="268" t="n"/>
      <c r="BY161" s="268" t="n"/>
      <c r="BZ161" s="268" t="n"/>
      <c r="CA161" s="268" t="n"/>
      <c r="CB161" s="268" t="n"/>
      <c r="CC161" s="268" t="n"/>
      <c r="CD161" s="268" t="n"/>
      <c r="CE161" s="268" t="n"/>
      <c r="CF161" s="268" t="n"/>
      <c r="CG161" s="268" t="n"/>
      <c r="CH161" s="268" t="n"/>
      <c r="CI161" s="268" t="n"/>
      <c r="CJ161" s="268" t="n"/>
      <c r="CK161" s="268" t="n"/>
      <c r="CL161" s="268" t="n"/>
      <c r="CM161" s="268" t="n"/>
      <c r="CN161" s="268" t="n"/>
      <c r="CO161" s="268" t="n"/>
      <c r="CP161" s="268" t="n"/>
      <c r="CQ161" s="268" t="n"/>
      <c r="CR161" s="268" t="n"/>
      <c r="CS161" s="268" t="n"/>
      <c r="CT161" s="268" t="n"/>
      <c r="CU161" s="268" t="n"/>
      <c r="CV161" s="268" t="n"/>
      <c r="CW161" s="268" t="n"/>
      <c r="CX161" s="268" t="n"/>
      <c r="CY161" s="268" t="n"/>
    </row>
    <row r="162" hidden="1" outlineLevel="1" ht="12.75" customHeight="1" s="255">
      <c r="C162" s="312" t="n"/>
      <c r="D162" s="268" t="n"/>
      <c r="E162" s="268" t="n"/>
      <c r="F162" s="268" t="n"/>
      <c r="G162" s="268" t="n"/>
      <c r="H162" s="268" t="n"/>
      <c r="I162" s="268" t="n"/>
      <c r="J162" s="268" t="n"/>
      <c r="K162" s="268" t="n"/>
      <c r="L162" s="268" t="n"/>
      <c r="M162" s="268" t="n"/>
      <c r="N162" s="268" t="n"/>
      <c r="O162" s="268" t="n"/>
      <c r="P162" s="268" t="n"/>
      <c r="Q162" s="268" t="n"/>
      <c r="R162" s="268" t="n"/>
      <c r="S162" s="268" t="n"/>
      <c r="T162" s="268" t="n"/>
      <c r="U162" s="268" t="n"/>
      <c r="V162" s="268" t="n"/>
      <c r="W162" s="268" t="n"/>
      <c r="X162" s="268" t="n"/>
      <c r="Y162" s="268" t="n"/>
      <c r="Z162" s="268" t="n"/>
      <c r="AA162" s="268" t="n"/>
      <c r="AB162" s="268" t="n"/>
      <c r="AC162" s="268" t="n"/>
      <c r="AD162" s="268" t="n"/>
      <c r="AE162" s="268" t="n"/>
      <c r="AF162" s="268" t="n"/>
      <c r="AG162" s="268" t="n"/>
      <c r="AH162" s="268" t="n"/>
      <c r="AI162" s="268" t="n"/>
      <c r="AJ162" s="268" t="n"/>
      <c r="AK162" s="268" t="n"/>
      <c r="AL162" s="268" t="n"/>
      <c r="AM162" s="268" t="n"/>
      <c r="AN162" s="268" t="n"/>
      <c r="AO162" s="268" t="n"/>
      <c r="AP162" s="268" t="n"/>
      <c r="AQ162" s="268" t="n"/>
      <c r="AR162" s="268" t="n"/>
      <c r="AS162" s="268" t="n"/>
      <c r="AT162" s="268" t="n"/>
      <c r="AU162" s="268" t="n"/>
      <c r="AV162" s="268" t="n"/>
      <c r="AW162" s="268" t="n"/>
      <c r="AX162" s="268" t="n"/>
      <c r="AY162" s="268" t="n"/>
      <c r="AZ162" s="268" t="n"/>
      <c r="BA162" s="268" t="n"/>
      <c r="BB162" s="268" t="n"/>
      <c r="BC162" s="268" t="n"/>
      <c r="BD162" s="268" t="n"/>
      <c r="BE162" s="268" t="n"/>
      <c r="BF162" s="268" t="n"/>
      <c r="BG162" s="268" t="n"/>
      <c r="BH162" s="268" t="n"/>
      <c r="BI162" s="268" t="n"/>
      <c r="BJ162" s="268" t="n"/>
      <c r="BK162" s="268" t="n"/>
      <c r="BL162" s="268" t="n"/>
      <c r="BM162" s="268" t="n"/>
      <c r="BN162" s="268" t="n"/>
      <c r="BO162" s="268" t="n"/>
      <c r="BP162" s="268" t="n"/>
      <c r="BQ162" s="268" t="n"/>
      <c r="BR162" s="268" t="n"/>
      <c r="BS162" s="268" t="n"/>
      <c r="BT162" s="268" t="n"/>
      <c r="BU162" s="268" t="n"/>
      <c r="BV162" s="268" t="n"/>
      <c r="BW162" s="268" t="n"/>
      <c r="BX162" s="268" t="n"/>
      <c r="BY162" s="268" t="n"/>
      <c r="BZ162" s="268" t="n"/>
      <c r="CA162" s="268" t="n"/>
      <c r="CB162" s="268" t="n"/>
      <c r="CC162" s="268" t="n"/>
      <c r="CD162" s="268" t="n"/>
      <c r="CE162" s="268" t="n"/>
      <c r="CF162" s="268" t="n"/>
      <c r="CG162" s="268" t="n"/>
      <c r="CH162" s="268" t="n"/>
      <c r="CI162" s="268" t="n"/>
      <c r="CJ162" s="268" t="n"/>
      <c r="CK162" s="268" t="n"/>
      <c r="CL162" s="268" t="n"/>
      <c r="CM162" s="268" t="n"/>
      <c r="CN162" s="268" t="n"/>
      <c r="CO162" s="268" t="n"/>
      <c r="CP162" s="268" t="n"/>
      <c r="CQ162" s="268" t="n"/>
      <c r="CR162" s="268" t="n"/>
      <c r="CS162" s="268" t="n"/>
      <c r="CT162" s="268" t="n"/>
      <c r="CU162" s="268" t="n"/>
      <c r="CV162" s="268" t="n"/>
      <c r="CW162" s="268" t="n"/>
      <c r="CX162" s="268" t="n"/>
      <c r="CY162" s="268" t="n"/>
    </row>
    <row r="163" ht="12.75" customHeight="1" s="255">
      <c r="C163" s="270" t="inlineStr">
        <is>
          <t>Equity in affiliates</t>
        </is>
      </c>
      <c r="D163" s="301">
        <f>INDEX('Inputs (2)'!$D$21:$AL$21,MATCH(D$7,'Inputs (2)'!$D$2:$AL$2,0))</f>
        <v>0</v>
      </c>
      <c r="E163" s="301">
        <f>INDEX('Inputs (2)'!$D$21:$AL$21,MATCH(E$7,'Inputs (2)'!$D$2:$AL$2,0))</f>
        <v>0</v>
      </c>
      <c r="F163" s="301">
        <f>INDEX('Inputs (2)'!$D$21:$AL$21,MATCH(F$7,'Inputs (2)'!$D$2:$AL$2,0))</f>
        <v>0</v>
      </c>
      <c r="G163" s="301">
        <f>INDEX('Inputs (2)'!$D$21:$AL$21,MATCH(G$7,'Inputs (2)'!$D$2:$AL$2,0))</f>
        <v>0</v>
      </c>
      <c r="H163" s="268">
        <f>G163</f>
        <v>0</v>
      </c>
      <c r="I163" s="301">
        <f>INDEX('Inputs (2)'!$D$21:$AL$21,MATCH(I$7,'Inputs (2)'!$D$2:$AL$2,0))</f>
        <v>0</v>
      </c>
      <c r="J163" s="301">
        <f>INDEX('Inputs (2)'!$D$21:$AL$21,MATCH(J$7,'Inputs (2)'!$D$2:$AL$2,0))</f>
        <v>0</v>
      </c>
      <c r="K163" s="301">
        <f>INDEX('Inputs (2)'!$D$21:$AL$21,MATCH(K$7,'Inputs (2)'!$D$2:$AL$2,0))</f>
        <v>0</v>
      </c>
      <c r="L163" s="301">
        <f>INDEX('Inputs (2)'!$D$21:$AL$21,MATCH(L$7,'Inputs (2)'!$D$2:$AL$2,0))</f>
        <v>0</v>
      </c>
      <c r="M163" s="268">
        <f>L163</f>
        <v>0</v>
      </c>
      <c r="N163" s="301">
        <f>INDEX('Inputs (2)'!$D$21:$AL$21,MATCH(N$7,'Inputs (2)'!$D$2:$AL$2,0))</f>
        <v>0</v>
      </c>
      <c r="O163" s="301">
        <f>INDEX('Inputs (2)'!$D$21:$AL$21,MATCH(O$7,'Inputs (2)'!$D$2:$AL$2,0))</f>
        <v>0</v>
      </c>
      <c r="P163" s="301">
        <f>INDEX('Inputs (2)'!$D$21:$AL$21,MATCH(P$7,'Inputs (2)'!$D$2:$AL$2,0))</f>
        <v>0</v>
      </c>
      <c r="Q163" s="301">
        <f>INDEX('Inputs (2)'!$D$21:$AL$21,MATCH(Q$7,'Inputs (2)'!$D$2:$AL$2,0))</f>
        <v>0</v>
      </c>
      <c r="R163" s="268">
        <f>Q163</f>
        <v>0</v>
      </c>
      <c r="S163" s="301">
        <f>INDEX('Inputs (2)'!$D$21:$AL$21,MATCH(S$7,'Inputs (2)'!$D$2:$AL$2,0))</f>
        <v>0</v>
      </c>
      <c r="T163" s="301">
        <f>INDEX('Inputs (2)'!$D$21:$AL$21,MATCH(T$7,'Inputs (2)'!$D$2:$AL$2,0))</f>
        <v>0</v>
      </c>
      <c r="U163" s="301">
        <f>INDEX('Inputs (2)'!$D$21:$AL$21,MATCH(U$7,'Inputs (2)'!$D$2:$AL$2,0))</f>
        <v>0</v>
      </c>
      <c r="V163" s="301">
        <f>INDEX('Inputs (2)'!$D$21:$AL$21,MATCH(V$7,'Inputs (2)'!$D$2:$AL$2,0))</f>
        <v>0</v>
      </c>
      <c r="W163" s="268">
        <f>V163</f>
        <v>0</v>
      </c>
      <c r="X163" s="301">
        <f>INDEX('Inputs (2)'!$D$21:$AL$21,MATCH(X$7,'Inputs (2)'!$D$2:$AL$2,0))</f>
        <v>0</v>
      </c>
      <c r="Y163" s="301">
        <f>INDEX('Inputs (2)'!$D$21:$AL$21,MATCH(Y$7,'Inputs (2)'!$D$2:$AL$2,0))</f>
        <v>0</v>
      </c>
      <c r="Z163" s="301">
        <f>INDEX('Inputs (2)'!$D$21:$AL$21,MATCH(Z$7,'Inputs (2)'!$D$2:$AL$2,0))</f>
        <v>0</v>
      </c>
      <c r="AA163" s="301">
        <f>INDEX('Inputs (2)'!$D$21:$AL$21,MATCH(AA$7,'Inputs (2)'!$D$2:$AL$2,0))</f>
        <v>0</v>
      </c>
      <c r="AB163" s="268">
        <f>AA163</f>
        <v>0</v>
      </c>
      <c r="AC163" s="301">
        <f>INDEX('Inputs (2)'!$D$21:$AL$21,MATCH(AC$7,'Inputs (2)'!$D$2:$AL$2,0))</f>
        <v>0</v>
      </c>
      <c r="AD163" s="301">
        <f>INDEX('Inputs (2)'!$D$21:$AL$21,MATCH(AD$7,'Inputs (2)'!$D$2:$AL$2,0))</f>
        <v>0</v>
      </c>
      <c r="AE163" s="301">
        <f>INDEX('Inputs (2)'!$D$21:$AL$21,MATCH(AE$7,'Inputs (2)'!$D$2:$AL$2,0))</f>
        <v>0</v>
      </c>
      <c r="AF163" s="301">
        <f>INDEX('Inputs (2)'!$D$21:$AL$21,MATCH(AF$7,'Inputs (2)'!$D$2:$AL$2,0))</f>
        <v>0</v>
      </c>
      <c r="AG163" s="268">
        <f>AF163</f>
        <v>0</v>
      </c>
      <c r="AH163" s="268">
        <f>INDEX('Inputs (2)'!$D$21:$AL$21,MATCH(AH$7,'Inputs (2)'!$D$2:$AL$2,0))</f>
        <v>0</v>
      </c>
      <c r="AI163" s="268">
        <f>INDEX('Inputs (2)'!$D$21:$AL$21,MATCH(AI$7,'Inputs (2)'!$D$2:$AL$2,0))</f>
        <v>0</v>
      </c>
      <c r="AJ163" s="268">
        <f>AI163+AJ137+AJ166</f>
        <v>0</v>
      </c>
      <c r="AK163" s="268">
        <f>AJ163+AK137+AK166</f>
        <v>0</v>
      </c>
      <c r="AL163" s="268">
        <f>AK163</f>
        <v>0</v>
      </c>
      <c r="AM163" s="268">
        <f>AL163+AM137+AM166</f>
        <v>0</v>
      </c>
      <c r="AN163" s="268">
        <f>AM163+AN137+AN166</f>
        <v>0</v>
      </c>
      <c r="AO163" s="268">
        <f>AN163+AO137+AO166</f>
        <v>0</v>
      </c>
      <c r="AP163" s="268">
        <f>AO163+AP137+AP166</f>
        <v>0</v>
      </c>
      <c r="AQ163" s="268">
        <f>AP163</f>
        <v>0</v>
      </c>
      <c r="AR163" s="268">
        <f>AQ163+AR137+AR166</f>
        <v>0</v>
      </c>
      <c r="AS163" s="268">
        <f>AR163+AS137+AS166</f>
        <v>0</v>
      </c>
      <c r="AT163" s="268">
        <f>AS163+AT137+AT166</f>
        <v>0</v>
      </c>
      <c r="AU163" s="268">
        <f>AT163+AU137+AU166</f>
        <v>0</v>
      </c>
      <c r="AV163" s="268">
        <f>AU163</f>
        <v>0</v>
      </c>
      <c r="AW163" s="268">
        <f>AV163+AW137+AW166</f>
        <v>0</v>
      </c>
      <c r="AX163" s="268">
        <f>AW163+AX137+AX166</f>
        <v>0</v>
      </c>
      <c r="AY163" s="268">
        <f>AX163+AY137+AY166</f>
        <v>0</v>
      </c>
      <c r="AZ163" s="268">
        <f>AY163+AZ137+AZ166</f>
        <v>0</v>
      </c>
      <c r="BA163" s="268">
        <f>AZ163</f>
        <v>0</v>
      </c>
      <c r="BB163" s="268">
        <f>BA163+BB137+BB166</f>
        <v>0</v>
      </c>
      <c r="BC163" s="268">
        <f>BB163+BC137+BC166</f>
        <v>0</v>
      </c>
      <c r="BD163" s="268">
        <f>BC163+BD137+BD166</f>
        <v>0</v>
      </c>
      <c r="BE163" s="268">
        <f>BD163+BE137+BE166</f>
        <v>0</v>
      </c>
      <c r="BF163" s="268">
        <f>BE163</f>
        <v>0</v>
      </c>
      <c r="BG163" s="268">
        <f>BF163+BG137+BG166</f>
        <v>0</v>
      </c>
      <c r="BH163" s="268">
        <f>BG163+BH137+BH166</f>
        <v>0</v>
      </c>
      <c r="BI163" s="268">
        <f>BH163+BI137+BI166</f>
        <v>0</v>
      </c>
      <c r="BJ163" s="268">
        <f>BI163+BJ137+BJ166</f>
        <v>0</v>
      </c>
      <c r="BK163" s="268">
        <f>BJ163</f>
        <v>0</v>
      </c>
      <c r="BL163" s="268">
        <f>BK163+BL137+BL166</f>
        <v>0</v>
      </c>
      <c r="BM163" s="268">
        <f>BL163+BM137+BM166</f>
        <v>0</v>
      </c>
      <c r="BN163" s="268">
        <f>BM163+BN137+BN166</f>
        <v>0</v>
      </c>
      <c r="BO163" s="268">
        <f>BN163+BO137+BO166</f>
        <v>0</v>
      </c>
      <c r="BP163" s="268">
        <f>BO163</f>
        <v>0</v>
      </c>
      <c r="BQ163" s="268">
        <f>BP163+BQ137+BQ166</f>
        <v>0</v>
      </c>
      <c r="BR163" s="268">
        <f>BQ163+BR137+BR166</f>
        <v>0</v>
      </c>
      <c r="BS163" s="268">
        <f>BR163+BS137+BS166</f>
        <v>0</v>
      </c>
      <c r="BT163" s="268">
        <f>BS163+BT137+BT166</f>
        <v>0</v>
      </c>
      <c r="BU163" s="268">
        <f>BT163</f>
        <v>0</v>
      </c>
      <c r="BV163" s="268">
        <f>BU163+BV137+BV166</f>
        <v>0</v>
      </c>
      <c r="BW163" s="268">
        <f>BV163+BW137+BW166</f>
        <v>0</v>
      </c>
      <c r="BX163" s="268">
        <f>BW163+BX137+BX166</f>
        <v>0</v>
      </c>
      <c r="BY163" s="268">
        <f>BX163+BY137+BY166</f>
        <v>0</v>
      </c>
      <c r="BZ163" s="268">
        <f>BY163</f>
        <v>0</v>
      </c>
      <c r="CA163" s="268">
        <f>BZ163+CA137+CA166</f>
        <v>0</v>
      </c>
      <c r="CB163" s="268">
        <f>CA163+CB137+CB166</f>
        <v>0</v>
      </c>
      <c r="CC163" s="268">
        <f>CB163+CC137+CC166</f>
        <v>0</v>
      </c>
      <c r="CD163" s="268">
        <f>CC163+CD137+CD166</f>
        <v>0</v>
      </c>
      <c r="CE163" s="268">
        <f>CD163</f>
        <v>0</v>
      </c>
      <c r="CF163" s="268">
        <f>CE163+CF137+CF166</f>
        <v>0</v>
      </c>
      <c r="CG163" s="268">
        <f>CF163+CG137+CG166</f>
        <v>0</v>
      </c>
      <c r="CH163" s="268">
        <f>CG163+CH137+CH166</f>
        <v>0</v>
      </c>
      <c r="CI163" s="268">
        <f>CH163+CI137+CI166</f>
        <v>0</v>
      </c>
      <c r="CJ163" s="268">
        <f>CI163</f>
        <v>0</v>
      </c>
      <c r="CK163" s="268">
        <f>CJ163+CK137+CK166</f>
        <v>0</v>
      </c>
      <c r="CL163" s="268">
        <f>CK163+CL137+CL166</f>
        <v>0</v>
      </c>
      <c r="CM163" s="268">
        <f>CL163+CM137+CM166</f>
        <v>0</v>
      </c>
      <c r="CN163" s="268">
        <f>CM163+CN137+CN166</f>
        <v>0</v>
      </c>
      <c r="CO163" s="268">
        <f>CN163</f>
        <v>0</v>
      </c>
      <c r="CP163" s="268">
        <f>CO163+CP137+CP166</f>
        <v>0</v>
      </c>
      <c r="CQ163" s="268">
        <f>CP163+CQ137+CQ166</f>
        <v>0</v>
      </c>
      <c r="CR163" s="268">
        <f>CQ163+CR137+CR166</f>
        <v>0</v>
      </c>
      <c r="CS163" s="268">
        <f>CR163+CS137+CS166</f>
        <v>0</v>
      </c>
      <c r="CT163" s="268">
        <f>CS163</f>
        <v>0</v>
      </c>
      <c r="CU163" s="268">
        <f>CT163+CU137+CU166</f>
        <v>0</v>
      </c>
      <c r="CV163" s="268">
        <f>CU163+CV137+CV166</f>
        <v>0</v>
      </c>
      <c r="CW163" s="268">
        <f>CV163+CW137+CW166</f>
        <v>0</v>
      </c>
      <c r="CX163" s="268">
        <f>CW163+CX137+CX166</f>
        <v>0</v>
      </c>
      <c r="CY163" s="268">
        <f>CX163</f>
        <v>0</v>
      </c>
    </row>
    <row r="164" hidden="1" outlineLevel="1" ht="12.75" customHeight="1" s="255">
      <c r="C164" s="312" t="n"/>
      <c r="D164" s="268" t="n"/>
      <c r="E164" s="268" t="n"/>
      <c r="F164" s="268" t="n"/>
      <c r="G164" s="268" t="n"/>
      <c r="H164" s="268" t="n"/>
      <c r="I164" s="268" t="n"/>
      <c r="J164" s="268" t="n"/>
      <c r="K164" s="268" t="n"/>
      <c r="L164" s="268" t="n"/>
      <c r="M164" s="268" t="n"/>
      <c r="N164" s="268" t="n"/>
      <c r="O164" s="268" t="n"/>
      <c r="P164" s="268" t="n"/>
      <c r="Q164" s="268" t="n"/>
      <c r="R164" s="268" t="n"/>
      <c r="S164" s="268" t="n"/>
      <c r="T164" s="268" t="n"/>
      <c r="U164" s="268" t="n"/>
      <c r="V164" s="268" t="n"/>
      <c r="W164" s="268" t="n"/>
      <c r="X164" s="268" t="n"/>
      <c r="Y164" s="268" t="n"/>
      <c r="Z164" s="268" t="n"/>
      <c r="AA164" s="268" t="n"/>
      <c r="AB164" s="268" t="n"/>
      <c r="AC164" s="268" t="n"/>
      <c r="AD164" s="268" t="n"/>
      <c r="AE164" s="268" t="n"/>
      <c r="AF164" s="268" t="n"/>
      <c r="AG164" s="268" t="n"/>
      <c r="AH164" s="268" t="n"/>
      <c r="AI164" s="268" t="n"/>
      <c r="AJ164" s="268" t="n"/>
      <c r="AK164" s="268" t="n"/>
      <c r="AL164" s="268" t="n"/>
      <c r="AM164" s="268" t="n"/>
      <c r="AN164" s="268" t="n"/>
      <c r="AO164" s="268" t="n"/>
      <c r="AP164" s="268" t="n"/>
      <c r="AQ164" s="268" t="n"/>
      <c r="AR164" s="268" t="n"/>
      <c r="AS164" s="268" t="n"/>
      <c r="AT164" s="268" t="n"/>
      <c r="AU164" s="268" t="n"/>
      <c r="AV164" s="268" t="n"/>
      <c r="AW164" s="268" t="n"/>
      <c r="AX164" s="268" t="n"/>
      <c r="AY164" s="268" t="n"/>
      <c r="AZ164" s="268" t="n"/>
      <c r="BA164" s="268" t="n"/>
      <c r="BB164" s="268" t="n"/>
      <c r="BC164" s="268" t="n"/>
      <c r="BD164" s="268" t="n"/>
      <c r="BE164" s="268" t="n"/>
      <c r="BF164" s="268" t="n"/>
      <c r="BG164" s="268" t="n"/>
      <c r="BH164" s="268" t="n"/>
      <c r="BI164" s="268" t="n"/>
      <c r="BJ164" s="268" t="n"/>
      <c r="BK164" s="268" t="n"/>
      <c r="BL164" s="268" t="n"/>
      <c r="BM164" s="268" t="n"/>
      <c r="BN164" s="268" t="n"/>
      <c r="BO164" s="268" t="n"/>
      <c r="BP164" s="268" t="n"/>
      <c r="BQ164" s="268" t="n"/>
      <c r="BR164" s="268" t="n"/>
      <c r="BS164" s="268" t="n"/>
      <c r="BT164" s="268" t="n"/>
      <c r="BU164" s="268" t="n"/>
      <c r="BV164" s="268" t="n"/>
      <c r="BW164" s="268" t="n"/>
      <c r="BX164" s="268" t="n"/>
      <c r="BY164" s="268" t="n"/>
      <c r="BZ164" s="268" t="n"/>
      <c r="CA164" s="268" t="n"/>
      <c r="CB164" s="268" t="n"/>
      <c r="CC164" s="268" t="n"/>
      <c r="CD164" s="268" t="n"/>
      <c r="CE164" s="268" t="n"/>
      <c r="CF164" s="268" t="n"/>
      <c r="CG164" s="268" t="n"/>
      <c r="CH164" s="268" t="n"/>
      <c r="CI164" s="268" t="n"/>
      <c r="CJ164" s="268" t="n"/>
      <c r="CK164" s="268" t="n"/>
      <c r="CL164" s="268" t="n"/>
      <c r="CM164" s="268" t="n"/>
      <c r="CN164" s="268" t="n"/>
      <c r="CO164" s="268" t="n"/>
      <c r="CP164" s="268" t="n"/>
      <c r="CQ164" s="268" t="n"/>
      <c r="CR164" s="268" t="n"/>
      <c r="CS164" s="268" t="n"/>
      <c r="CT164" s="268" t="n"/>
      <c r="CU164" s="268" t="n"/>
      <c r="CV164" s="268" t="n"/>
      <c r="CW164" s="268" t="n"/>
      <c r="CX164" s="268" t="n"/>
      <c r="CY164" s="268" t="n"/>
    </row>
    <row r="165" hidden="1" outlineLevel="1" ht="12.75" customHeight="1" s="255">
      <c r="C165" s="312" t="inlineStr">
        <is>
          <t>Equity in Income - % YoY</t>
        </is>
      </c>
      <c r="D165" s="268" t="n"/>
      <c r="E165" s="268" t="n"/>
      <c r="F165" s="268" t="n"/>
      <c r="G165" s="268" t="n"/>
      <c r="H165" s="268" t="n"/>
      <c r="I165" s="268" t="n"/>
      <c r="J165" s="268" t="n"/>
      <c r="K165" s="268" t="n"/>
      <c r="L165" s="268" t="n"/>
      <c r="M165" s="268" t="n"/>
      <c r="N165" s="268">
        <f>IF(I137=0,0,N137/I137-1)</f>
        <v>0</v>
      </c>
      <c r="O165" s="268">
        <f>IF(J137=0,0,O137/J137-1)</f>
        <v>0</v>
      </c>
      <c r="P165" s="268">
        <f>IF(K137=0,0,P137/K137-1)</f>
        <v>0</v>
      </c>
      <c r="Q165" s="268">
        <f>IF(L137=0,0,Q137/L137-1)</f>
        <v>0</v>
      </c>
      <c r="R165" s="268" t="n"/>
      <c r="S165" s="268">
        <f>IF(N137=0,0,S137/N137-1)</f>
        <v>0</v>
      </c>
      <c r="T165" s="268">
        <f>IF(O137=0,0,T137/O137-1)</f>
        <v>0</v>
      </c>
      <c r="U165" s="268">
        <f>IF(P137=0,0,U137/P137-1)</f>
        <v>0</v>
      </c>
      <c r="V165" s="268">
        <f>IF(Q137=0,0,V137/Q137-1)</f>
        <v>0</v>
      </c>
      <c r="W165" s="268" t="n"/>
      <c r="X165" s="268">
        <f>IF(S137=0,0,X137/S137-1)</f>
        <v>0</v>
      </c>
      <c r="Y165" s="268">
        <f>IF(T137=0,0,Y137/T137-1)</f>
        <v>0</v>
      </c>
      <c r="Z165" s="268">
        <f>IF(U137=0,0,Z137/U137-1)</f>
        <v>0</v>
      </c>
      <c r="AA165" s="268">
        <f>IF(V137=0,0,AA137/V137-1)</f>
        <v>0</v>
      </c>
      <c r="AB165" s="268" t="n"/>
      <c r="AC165" s="268">
        <f>IF(X137=0,0,AC137/X137-1)</f>
        <v>0</v>
      </c>
      <c r="AD165" s="268">
        <f>IF(Y137=0,0,AD137/Y137-1)</f>
        <v>0</v>
      </c>
      <c r="AE165" s="268">
        <f>IF(Z137=0,0,AE137/Z137-1)</f>
        <v>0</v>
      </c>
      <c r="AF165" s="268">
        <f>IF(AA137=0,0,AF137/AA137-1)</f>
        <v>0</v>
      </c>
      <c r="AG165" s="268" t="n"/>
      <c r="AH165" s="267">
        <f>IF(AC137=0,0,AH137/AC137-1)</f>
        <v>0</v>
      </c>
      <c r="AI165" s="267">
        <f>IF(AD137=0,0,AI137/AD137-1)</f>
        <v>0</v>
      </c>
      <c r="AJ165" s="267" t="n"/>
      <c r="AK165" s="267" t="n"/>
      <c r="AL165" s="268" t="n"/>
      <c r="AM165" s="267" t="n"/>
      <c r="AN165" s="267" t="n"/>
      <c r="AO165" s="267" t="n"/>
      <c r="AP165" s="267" t="n"/>
      <c r="AQ165" s="268" t="n"/>
      <c r="AR165" s="267" t="n"/>
      <c r="AS165" s="267" t="n"/>
      <c r="AT165" s="267" t="n"/>
      <c r="AU165" s="267" t="n"/>
      <c r="AV165" s="268" t="n"/>
      <c r="AW165" s="267" t="n"/>
      <c r="AX165" s="267" t="n"/>
      <c r="AY165" s="267" t="n"/>
      <c r="AZ165" s="267" t="n"/>
      <c r="BA165" s="268" t="n"/>
      <c r="BB165" s="267" t="n"/>
      <c r="BC165" s="267" t="n"/>
      <c r="BD165" s="267" t="n"/>
      <c r="BE165" s="267" t="n"/>
      <c r="BF165" s="268" t="n"/>
      <c r="BG165" s="267" t="n"/>
      <c r="BH165" s="267" t="n"/>
      <c r="BI165" s="267" t="n"/>
      <c r="BJ165" s="267" t="n"/>
      <c r="BK165" s="268" t="n"/>
      <c r="BL165" s="267" t="n"/>
      <c r="BM165" s="267" t="n"/>
      <c r="BN165" s="267" t="n"/>
      <c r="BO165" s="267" t="n"/>
      <c r="BP165" s="268" t="n"/>
      <c r="BQ165" s="267" t="n"/>
      <c r="BR165" s="267" t="n"/>
      <c r="BS165" s="267" t="n"/>
      <c r="BT165" s="267" t="n"/>
      <c r="BU165" s="268" t="n"/>
      <c r="BV165" s="267" t="n"/>
      <c r="BW165" s="267" t="n"/>
      <c r="BX165" s="267" t="n"/>
      <c r="BY165" s="267" t="n"/>
      <c r="BZ165" s="268" t="n"/>
      <c r="CA165" s="267" t="n"/>
      <c r="CB165" s="267" t="n"/>
      <c r="CC165" s="267" t="n"/>
      <c r="CD165" s="267" t="n"/>
      <c r="CE165" s="268" t="n"/>
      <c r="CF165" s="267" t="n"/>
      <c r="CG165" s="267" t="n"/>
      <c r="CH165" s="267" t="n"/>
      <c r="CI165" s="267" t="n"/>
      <c r="CJ165" s="268" t="n"/>
      <c r="CK165" s="267" t="n"/>
      <c r="CL165" s="267" t="n"/>
      <c r="CM165" s="267" t="n"/>
      <c r="CN165" s="267" t="n"/>
      <c r="CO165" s="268" t="n"/>
      <c r="CP165" s="267" t="n"/>
      <c r="CQ165" s="267" t="n"/>
      <c r="CR165" s="267" t="n"/>
      <c r="CS165" s="267" t="n"/>
      <c r="CT165" s="268" t="n"/>
      <c r="CU165" s="267" t="n"/>
      <c r="CV165" s="267" t="n"/>
      <c r="CW165" s="267" t="n"/>
      <c r="CX165" s="267" t="n"/>
      <c r="CY165" s="268" t="n"/>
    </row>
    <row r="166" hidden="1" outlineLevel="1" ht="12.75" customHeight="1" s="255">
      <c r="C166" s="312" t="inlineStr">
        <is>
          <t>Dividends (enter as -)</t>
        </is>
      </c>
      <c r="D166" s="268" t="n"/>
      <c r="E166" s="268" t="n"/>
      <c r="F166" s="268" t="n"/>
      <c r="G166" s="268" t="n"/>
      <c r="H166" s="268" t="n"/>
      <c r="I166" s="268" t="n"/>
      <c r="J166" s="268" t="n"/>
      <c r="K166" s="268" t="n"/>
      <c r="L166" s="268" t="n"/>
      <c r="M166" s="268" t="n"/>
      <c r="N166" s="268" t="n"/>
      <c r="O166" s="268" t="n"/>
      <c r="P166" s="268" t="n"/>
      <c r="Q166" s="268" t="n"/>
      <c r="R166" s="268" t="n"/>
      <c r="S166" s="268" t="n"/>
      <c r="T166" s="268" t="n"/>
      <c r="U166" s="268" t="n"/>
      <c r="V166" s="268" t="n"/>
      <c r="W166" s="268" t="n"/>
      <c r="X166" s="268" t="n"/>
      <c r="Y166" s="268" t="n"/>
      <c r="Z166" s="268" t="n"/>
      <c r="AA166" s="268" t="n"/>
      <c r="AB166" s="268" t="n"/>
      <c r="AC166" s="268" t="n"/>
      <c r="AD166" s="268" t="n"/>
      <c r="AE166" s="268" t="n"/>
      <c r="AF166" s="268" t="n"/>
      <c r="AG166" s="268" t="n"/>
      <c r="AH166" s="267" t="n"/>
      <c r="AI166" s="267" t="n"/>
      <c r="AJ166" s="267" t="n"/>
      <c r="AK166" s="267" t="n"/>
      <c r="AL166" s="268" t="n"/>
      <c r="AM166" s="267" t="n"/>
      <c r="AN166" s="267" t="n"/>
      <c r="AO166" s="267" t="n"/>
      <c r="AP166" s="267" t="n"/>
      <c r="AQ166" s="268" t="n"/>
      <c r="AR166" s="267" t="n"/>
      <c r="AS166" s="267" t="n"/>
      <c r="AT166" s="267" t="n"/>
      <c r="AU166" s="267" t="n"/>
      <c r="AV166" s="268" t="n"/>
      <c r="AW166" s="267" t="n"/>
      <c r="AX166" s="267" t="n"/>
      <c r="AY166" s="267" t="n"/>
      <c r="AZ166" s="267" t="n"/>
      <c r="BA166" s="268" t="n"/>
      <c r="BB166" s="267" t="n"/>
      <c r="BC166" s="267" t="n"/>
      <c r="BD166" s="267" t="n"/>
      <c r="BE166" s="267" t="n"/>
      <c r="BF166" s="268" t="n"/>
      <c r="BG166" s="267" t="n"/>
      <c r="BH166" s="267" t="n"/>
      <c r="BI166" s="267" t="n"/>
      <c r="BJ166" s="267" t="n"/>
      <c r="BK166" s="268" t="n"/>
      <c r="BL166" s="267" t="n"/>
      <c r="BM166" s="267" t="n"/>
      <c r="BN166" s="267" t="n"/>
      <c r="BO166" s="267" t="n"/>
      <c r="BP166" s="268" t="n"/>
      <c r="BQ166" s="267" t="n"/>
      <c r="BR166" s="267" t="n"/>
      <c r="BS166" s="267" t="n"/>
      <c r="BT166" s="267" t="n"/>
      <c r="BU166" s="268" t="n"/>
      <c r="BV166" s="267" t="n"/>
      <c r="BW166" s="267" t="n"/>
      <c r="BX166" s="267" t="n"/>
      <c r="BY166" s="267" t="n"/>
      <c r="BZ166" s="268" t="n"/>
      <c r="CA166" s="267" t="n"/>
      <c r="CB166" s="267" t="n"/>
      <c r="CC166" s="267" t="n"/>
      <c r="CD166" s="267" t="n"/>
      <c r="CE166" s="268" t="n"/>
      <c r="CF166" s="267" t="n"/>
      <c r="CG166" s="267" t="n"/>
      <c r="CH166" s="267" t="n"/>
      <c r="CI166" s="267" t="n"/>
      <c r="CJ166" s="268" t="n"/>
      <c r="CK166" s="267" t="n"/>
      <c r="CL166" s="267" t="n"/>
      <c r="CM166" s="267" t="n"/>
      <c r="CN166" s="267" t="n"/>
      <c r="CO166" s="268" t="n"/>
      <c r="CP166" s="267" t="n"/>
      <c r="CQ166" s="267" t="n"/>
      <c r="CR166" s="267" t="n"/>
      <c r="CS166" s="267" t="n"/>
      <c r="CT166" s="268" t="n"/>
      <c r="CU166" s="267" t="n"/>
      <c r="CV166" s="267" t="n"/>
      <c r="CW166" s="267" t="n"/>
      <c r="CX166" s="267" t="n"/>
      <c r="CY166" s="268" t="n"/>
    </row>
    <row r="167" hidden="1" outlineLevel="1" ht="12.75" customHeight="1" s="255">
      <c r="C167" s="312" t="n"/>
      <c r="D167" s="268" t="n"/>
      <c r="E167" s="268" t="n"/>
      <c r="F167" s="268" t="n"/>
      <c r="G167" s="268" t="n"/>
      <c r="H167" s="268" t="n"/>
      <c r="I167" s="268" t="n"/>
      <c r="J167" s="268" t="n"/>
      <c r="K167" s="268" t="n"/>
      <c r="L167" s="268" t="n"/>
      <c r="M167" s="268" t="n"/>
      <c r="N167" s="268" t="n"/>
      <c r="O167" s="268" t="n"/>
      <c r="P167" s="268" t="n"/>
      <c r="Q167" s="268" t="n"/>
      <c r="R167" s="268" t="n"/>
      <c r="S167" s="268" t="n"/>
      <c r="T167" s="268" t="n"/>
      <c r="U167" s="268" t="n"/>
      <c r="V167" s="268" t="n"/>
      <c r="W167" s="268" t="n"/>
      <c r="X167" s="268" t="n"/>
      <c r="Y167" s="268" t="n"/>
      <c r="Z167" s="268" t="n"/>
      <c r="AA167" s="268" t="n"/>
      <c r="AB167" s="268" t="n"/>
      <c r="AC167" s="268" t="n"/>
      <c r="AD167" s="268" t="n"/>
      <c r="AE167" s="268" t="n"/>
      <c r="AF167" s="268" t="n"/>
      <c r="AG167" s="268" t="n"/>
      <c r="AH167" s="268" t="n"/>
      <c r="AI167" s="268" t="n"/>
      <c r="AJ167" s="268" t="n"/>
      <c r="AK167" s="268" t="n"/>
      <c r="AL167" s="268" t="n"/>
      <c r="AM167" s="268" t="n"/>
      <c r="AN167" s="268" t="n"/>
      <c r="AO167" s="268" t="n"/>
      <c r="AP167" s="268" t="n"/>
      <c r="AQ167" s="268" t="n"/>
      <c r="AR167" s="268" t="n"/>
      <c r="AS167" s="268" t="n"/>
      <c r="AT167" s="268" t="n"/>
      <c r="AU167" s="268" t="n"/>
      <c r="AV167" s="268" t="n"/>
      <c r="AW167" s="268" t="n"/>
      <c r="AX167" s="268" t="n"/>
      <c r="AY167" s="268" t="n"/>
      <c r="AZ167" s="268" t="n"/>
      <c r="BA167" s="268" t="n"/>
      <c r="BB167" s="268" t="n"/>
      <c r="BC167" s="268" t="n"/>
      <c r="BD167" s="268" t="n"/>
      <c r="BE167" s="268" t="n"/>
      <c r="BF167" s="268" t="n"/>
      <c r="BG167" s="268" t="n"/>
      <c r="BH167" s="268" t="n"/>
      <c r="BI167" s="268" t="n"/>
      <c r="BJ167" s="268" t="n"/>
      <c r="BK167" s="268" t="n"/>
      <c r="BL167" s="268" t="n"/>
      <c r="BM167" s="268" t="n"/>
      <c r="BN167" s="268" t="n"/>
      <c r="BO167" s="268" t="n"/>
      <c r="BP167" s="268" t="n"/>
      <c r="BQ167" s="268" t="n"/>
      <c r="BR167" s="268" t="n"/>
      <c r="BS167" s="268" t="n"/>
      <c r="BT167" s="268" t="n"/>
      <c r="BU167" s="268" t="n"/>
      <c r="BV167" s="268" t="n"/>
      <c r="BW167" s="268" t="n"/>
      <c r="BX167" s="268" t="n"/>
      <c r="BY167" s="268" t="n"/>
      <c r="BZ167" s="268" t="n"/>
      <c r="CA167" s="268" t="n"/>
      <c r="CB167" s="268" t="n"/>
      <c r="CC167" s="268" t="n"/>
      <c r="CD167" s="268" t="n"/>
      <c r="CE167" s="268" t="n"/>
      <c r="CF167" s="268" t="n"/>
      <c r="CG167" s="268" t="n"/>
      <c r="CH167" s="268" t="n"/>
      <c r="CI167" s="268" t="n"/>
      <c r="CJ167" s="268" t="n"/>
      <c r="CK167" s="268" t="n"/>
      <c r="CL167" s="268" t="n"/>
      <c r="CM167" s="268" t="n"/>
      <c r="CN167" s="268" t="n"/>
      <c r="CO167" s="268" t="n"/>
      <c r="CP167" s="268" t="n"/>
      <c r="CQ167" s="268" t="n"/>
      <c r="CR167" s="268" t="n"/>
      <c r="CS167" s="268" t="n"/>
      <c r="CT167" s="268" t="n"/>
      <c r="CU167" s="268" t="n"/>
      <c r="CV167" s="268" t="n"/>
      <c r="CW167" s="268" t="n"/>
      <c r="CX167" s="268" t="n"/>
      <c r="CY167" s="268" t="n"/>
    </row>
    <row r="168" ht="12.75" customHeight="1" s="255">
      <c r="C168" s="270" t="inlineStr">
        <is>
          <t>PP&amp;E</t>
        </is>
      </c>
      <c r="D168" s="301">
        <f>INDEX('Inputs (2)'!$D$22:$AL$22,MATCH(D$7,'Inputs (2)'!$D$2:$AL$2,0))</f>
        <v>101872</v>
      </c>
      <c r="E168" s="301">
        <f>INDEX('Inputs (2)'!$D$22:$AL$22,MATCH(E$7,'Inputs (2)'!$D$2:$AL$2,0))</f>
        <v>101182</v>
      </c>
      <c r="F168" s="301">
        <f>INDEX('Inputs (2)'!$D$22:$AL$22,MATCH(F$7,'Inputs (2)'!$D$2:$AL$2,0))</f>
        <v>102232</v>
      </c>
      <c r="G168" s="301">
        <f>INDEX('Inputs (2)'!$D$22:$AL$22,MATCH(G$7,'Inputs (2)'!$D$2:$AL$2,0))</f>
        <v>92201</v>
      </c>
      <c r="H168" s="268">
        <f>G168</f>
        <v>92201</v>
      </c>
      <c r="I168" s="301">
        <f>INDEX('Inputs (2)'!$D$22:$AL$22,MATCH(I$7,'Inputs (2)'!$D$2:$AL$2,0))</f>
        <v>90996</v>
      </c>
      <c r="J168" s="301">
        <f>INDEX('Inputs (2)'!$D$22:$AL$22,MATCH(J$7,'Inputs (2)'!$D$2:$AL$2,0))</f>
        <v>91621</v>
      </c>
      <c r="K168" s="301">
        <f>INDEX('Inputs (2)'!$D$22:$AL$22,MATCH(K$7,'Inputs (2)'!$D$2:$AL$2,0))</f>
        <v>92242</v>
      </c>
      <c r="L168" s="301">
        <f>INDEX('Inputs (2)'!$D$22:$AL$22,MATCH(L$7,'Inputs (2)'!$D$2:$AL$2,0))</f>
        <v>94515</v>
      </c>
      <c r="M168" s="268">
        <f>L168</f>
        <v>94515</v>
      </c>
      <c r="N168" s="301">
        <f>INDEX('Inputs (2)'!$D$22:$AL$22,MATCH(N$7,'Inputs (2)'!$D$2:$AL$2,0))</f>
        <v>94741</v>
      </c>
      <c r="O168" s="301">
        <f>INDEX('Inputs (2)'!$D$22:$AL$22,MATCH(O$7,'Inputs (2)'!$D$2:$AL$2,0))</f>
        <v>96006</v>
      </c>
      <c r="P168" s="301">
        <f>INDEX('Inputs (2)'!$D$22:$AL$22,MATCH(P$7,'Inputs (2)'!$D$2:$AL$2,0))</f>
        <v>97553</v>
      </c>
      <c r="Q168" s="301">
        <f>INDEX('Inputs (2)'!$D$22:$AL$22,MATCH(Q$7,'Inputs (2)'!$D$2:$AL$2,0))</f>
        <v>100760</v>
      </c>
      <c r="R168" s="268">
        <f>Q168</f>
        <v>100760</v>
      </c>
      <c r="S168" s="301">
        <f>INDEX('Inputs (2)'!$D$22:$AL$22,MATCH(S$7,'Inputs (2)'!$D$2:$AL$2,0))</f>
        <v>102335</v>
      </c>
      <c r="T168" s="301">
        <f>INDEX('Inputs (2)'!$D$22:$AL$22,MATCH(T$7,'Inputs (2)'!$D$2:$AL$2,0))</f>
        <v>104733</v>
      </c>
      <c r="U168" s="301">
        <f>INDEX('Inputs (2)'!$D$22:$AL$22,MATCH(U$7,'Inputs (2)'!$D$2:$AL$2,0))</f>
        <v>107471</v>
      </c>
      <c r="V168" s="301">
        <f>INDEX('Inputs (2)'!$D$22:$AL$22,MATCH(V$7,'Inputs (2)'!$D$2:$AL$2,0))</f>
        <v>110810</v>
      </c>
      <c r="W168" s="268">
        <f>V168</f>
        <v>110810</v>
      </c>
      <c r="X168" s="301">
        <f>INDEX('Inputs (2)'!$D$22:$AL$22,MATCH(X$7,'Inputs (2)'!$D$2:$AL$2,0))</f>
        <v>111498</v>
      </c>
      <c r="Y168" s="301">
        <f>INDEX('Inputs (2)'!$D$22:$AL$22,MATCH(Y$7,'Inputs (2)'!$D$2:$AL$2,0))</f>
        <v>113818</v>
      </c>
      <c r="Z168" s="301">
        <f>INDEX('Inputs (2)'!$D$22:$AL$22,MATCH(Z$7,'Inputs (2)'!$D$2:$AL$2,0))</f>
        <v>116598</v>
      </c>
      <c r="AA168" s="301">
        <f>INDEX('Inputs (2)'!$D$22:$AL$22,MATCH(AA$7,'Inputs (2)'!$D$2:$AL$2,0))</f>
        <v>119993</v>
      </c>
      <c r="AB168" s="268">
        <f>AA168</f>
        <v>119993</v>
      </c>
      <c r="AC168" s="301">
        <f>INDEX('Inputs (2)'!$D$22:$AL$22,MATCH(AC$7,'Inputs (2)'!$D$2:$AL$2,0))</f>
        <v>121261</v>
      </c>
      <c r="AD168" s="301">
        <f>INDEX('Inputs (2)'!$D$22:$AL$22,MATCH(AD$7,'Inputs (2)'!$D$2:$AL$2,0))</f>
        <v>125476</v>
      </c>
      <c r="AE168" s="301">
        <f>INDEX('Inputs (2)'!$D$22:$AL$22,MATCH(AE$7,'Inputs (2)'!$D$2:$AL$2,0))</f>
        <v>130201</v>
      </c>
      <c r="AF168" s="301">
        <f>INDEX('Inputs (2)'!$D$22:$AL$22,MATCH(AF$7,'Inputs (2)'!$D$2:$AL$2,0))</f>
        <v>136083</v>
      </c>
      <c r="AG168" s="268">
        <f>AF168</f>
        <v>136083</v>
      </c>
      <c r="AH168" s="268">
        <f>INDEX('Inputs (2)'!$D$22:$AL$22,MATCH(AH$7,'Inputs (2)'!$D$2:$AL$2,0))</f>
        <v>137789</v>
      </c>
      <c r="AI168" s="268">
        <f>INDEX('Inputs (2)'!$D$22:$AL$22,MATCH(AI$7,'Inputs (2)'!$D$2:$AL$2,0))</f>
        <v>142482</v>
      </c>
      <c r="AJ168" s="268">
        <f>AJ173</f>
        <v>142482</v>
      </c>
      <c r="AK168" s="268">
        <f>AK173</f>
        <v>142482</v>
      </c>
      <c r="AL168" s="268">
        <f>AK168</f>
        <v>142482</v>
      </c>
      <c r="AM168" s="268">
        <f>AM173</f>
        <v>142482</v>
      </c>
      <c r="AN168" s="268">
        <f>AN173</f>
        <v>142482</v>
      </c>
      <c r="AO168" s="268">
        <f>AO173</f>
        <v>142482</v>
      </c>
      <c r="AP168" s="268">
        <f>AP173</f>
        <v>142482</v>
      </c>
      <c r="AQ168" s="268">
        <f>AP168</f>
        <v>142482</v>
      </c>
      <c r="AR168" s="268">
        <f>AR173</f>
        <v>142482</v>
      </c>
      <c r="AS168" s="268">
        <f>AS173</f>
        <v>142482</v>
      </c>
      <c r="AT168" s="268">
        <f>AT173</f>
        <v>142482</v>
      </c>
      <c r="AU168" s="268">
        <f>AU173</f>
        <v>142482</v>
      </c>
      <c r="AV168" s="268">
        <f>AU168</f>
        <v>142482</v>
      </c>
      <c r="AW168" s="268">
        <f>AW173</f>
        <v>142482</v>
      </c>
      <c r="AX168" s="268">
        <f>AX173</f>
        <v>142482</v>
      </c>
      <c r="AY168" s="268">
        <f>AY173</f>
        <v>142482</v>
      </c>
      <c r="AZ168" s="268">
        <f>AZ173</f>
        <v>142482</v>
      </c>
      <c r="BA168" s="268">
        <f>AZ168</f>
        <v>142482</v>
      </c>
      <c r="BB168" s="268">
        <f>BB173</f>
        <v>142482</v>
      </c>
      <c r="BC168" s="268">
        <f>BC173</f>
        <v>142482</v>
      </c>
      <c r="BD168" s="268">
        <f>BD173</f>
        <v>142482</v>
      </c>
      <c r="BE168" s="268">
        <f>BE173</f>
        <v>142482</v>
      </c>
      <c r="BF168" s="268">
        <f>BE168</f>
        <v>142482</v>
      </c>
      <c r="BG168" s="268">
        <f>BG173</f>
        <v>142482</v>
      </c>
      <c r="BH168" s="268">
        <f>BH173</f>
        <v>142482</v>
      </c>
      <c r="BI168" s="268">
        <f>BI173</f>
        <v>142482</v>
      </c>
      <c r="BJ168" s="268">
        <f>BJ173</f>
        <v>142482</v>
      </c>
      <c r="BK168" s="268">
        <f>BJ168</f>
        <v>142482</v>
      </c>
      <c r="BL168" s="268">
        <f>BL173</f>
        <v>142482</v>
      </c>
      <c r="BM168" s="268">
        <f>BM173</f>
        <v>142482</v>
      </c>
      <c r="BN168" s="268">
        <f>BN173</f>
        <v>142482</v>
      </c>
      <c r="BO168" s="268">
        <f>BO173</f>
        <v>142482</v>
      </c>
      <c r="BP168" s="268">
        <f>BO168</f>
        <v>142482</v>
      </c>
      <c r="BQ168" s="268">
        <f>BQ173</f>
        <v>142482</v>
      </c>
      <c r="BR168" s="268">
        <f>BR173</f>
        <v>142482</v>
      </c>
      <c r="BS168" s="268">
        <f>BS173</f>
        <v>142482</v>
      </c>
      <c r="BT168" s="268">
        <f>BT173</f>
        <v>142482</v>
      </c>
      <c r="BU168" s="268">
        <f>BT168</f>
        <v>142482</v>
      </c>
      <c r="BV168" s="268">
        <f>BV173</f>
        <v>142482</v>
      </c>
      <c r="BW168" s="268">
        <f>BW173</f>
        <v>142482</v>
      </c>
      <c r="BX168" s="268">
        <f>BX173</f>
        <v>142482</v>
      </c>
      <c r="BY168" s="268">
        <f>BY173</f>
        <v>142482</v>
      </c>
      <c r="BZ168" s="268">
        <f>BY168</f>
        <v>142482</v>
      </c>
      <c r="CA168" s="268">
        <f>CA173</f>
        <v>142482</v>
      </c>
      <c r="CB168" s="268">
        <f>CB173</f>
        <v>142482</v>
      </c>
      <c r="CC168" s="268">
        <f>CC173</f>
        <v>142482</v>
      </c>
      <c r="CD168" s="268">
        <f>CD173</f>
        <v>142482</v>
      </c>
      <c r="CE168" s="268">
        <f>CD168</f>
        <v>142482</v>
      </c>
      <c r="CF168" s="268">
        <f>CF173</f>
        <v>142482</v>
      </c>
      <c r="CG168" s="268">
        <f>CG173</f>
        <v>142482</v>
      </c>
      <c r="CH168" s="268">
        <f>CH173</f>
        <v>142482</v>
      </c>
      <c r="CI168" s="268">
        <f>CI173</f>
        <v>142482</v>
      </c>
      <c r="CJ168" s="268">
        <f>CI168</f>
        <v>142482</v>
      </c>
      <c r="CK168" s="268">
        <f>CK173</f>
        <v>142482</v>
      </c>
      <c r="CL168" s="268">
        <f>CL173</f>
        <v>142482</v>
      </c>
      <c r="CM168" s="268">
        <f>CM173</f>
        <v>142482</v>
      </c>
      <c r="CN168" s="268">
        <f>CN173</f>
        <v>142482</v>
      </c>
      <c r="CO168" s="268">
        <f>CN168</f>
        <v>142482</v>
      </c>
      <c r="CP168" s="268">
        <f>CP173</f>
        <v>142482</v>
      </c>
      <c r="CQ168" s="268">
        <f>CQ173</f>
        <v>142482</v>
      </c>
      <c r="CR168" s="268">
        <f>CR173</f>
        <v>142482</v>
      </c>
      <c r="CS168" s="268">
        <f>CS173</f>
        <v>142482</v>
      </c>
      <c r="CT168" s="268">
        <f>CS168</f>
        <v>142482</v>
      </c>
      <c r="CU168" s="268">
        <f>CU173</f>
        <v>142482</v>
      </c>
      <c r="CV168" s="268">
        <f>CV173</f>
        <v>142482</v>
      </c>
      <c r="CW168" s="268">
        <f>CW173</f>
        <v>142482</v>
      </c>
      <c r="CX168" s="268">
        <f>CX173</f>
        <v>142482</v>
      </c>
      <c r="CY168" s="268">
        <f>CX168</f>
        <v>142482</v>
      </c>
    </row>
    <row r="169" hidden="1" outlineLevel="1" ht="12.75" customHeight="1" s="255">
      <c r="C169" s="312" t="n"/>
      <c r="D169" s="268" t="n"/>
      <c r="E169" s="268" t="n"/>
      <c r="F169" s="268" t="n"/>
      <c r="G169" s="268" t="n"/>
      <c r="H169" s="268" t="n"/>
      <c r="I169" s="268" t="n"/>
      <c r="J169" s="268" t="n"/>
      <c r="K169" s="268" t="n"/>
      <c r="L169" s="268" t="n"/>
      <c r="M169" s="268" t="n"/>
      <c r="N169" s="268" t="n"/>
      <c r="O169" s="268" t="n"/>
      <c r="P169" s="268" t="n"/>
      <c r="Q169" s="268" t="n"/>
      <c r="R169" s="268" t="n"/>
      <c r="S169" s="268" t="n"/>
      <c r="T169" s="268" t="n"/>
      <c r="U169" s="268" t="n"/>
      <c r="V169" s="268" t="n"/>
      <c r="W169" s="268" t="n"/>
      <c r="X169" s="268" t="n"/>
      <c r="Y169" s="268" t="n"/>
      <c r="Z169" s="268" t="n"/>
      <c r="AA169" s="268" t="n"/>
      <c r="AB169" s="268" t="n"/>
      <c r="AC169" s="268" t="n"/>
      <c r="AD169" s="268" t="n"/>
      <c r="AE169" s="268" t="n"/>
      <c r="AF169" s="268" t="n"/>
      <c r="AG169" s="268" t="n"/>
      <c r="AH169" s="268" t="n"/>
      <c r="AI169" s="268" t="n"/>
      <c r="AJ169" s="268" t="n"/>
      <c r="AK169" s="268" t="n"/>
      <c r="AL169" s="268" t="n"/>
      <c r="AM169" s="268" t="n"/>
      <c r="AN169" s="268" t="n"/>
      <c r="AO169" s="268" t="n"/>
      <c r="AP169" s="268" t="n"/>
      <c r="AQ169" s="268" t="n"/>
      <c r="AR169" s="268" t="n"/>
      <c r="AS169" s="268" t="n"/>
      <c r="AT169" s="268" t="n"/>
      <c r="AU169" s="268" t="n"/>
      <c r="AV169" s="268" t="n"/>
      <c r="AW169" s="268" t="n"/>
      <c r="AX169" s="268" t="n"/>
      <c r="AY169" s="268" t="n"/>
      <c r="AZ169" s="268" t="n"/>
      <c r="BA169" s="268" t="n"/>
      <c r="BB169" s="268" t="n"/>
      <c r="BC169" s="268" t="n"/>
      <c r="BD169" s="268" t="n"/>
      <c r="BE169" s="268" t="n"/>
      <c r="BF169" s="268" t="n"/>
      <c r="BG169" s="268" t="n"/>
      <c r="BH169" s="268" t="n"/>
      <c r="BI169" s="268" t="n"/>
      <c r="BJ169" s="268" t="n"/>
      <c r="BK169" s="268" t="n"/>
      <c r="BL169" s="268" t="n"/>
      <c r="BM169" s="268" t="n"/>
      <c r="BN169" s="268" t="n"/>
      <c r="BO169" s="268" t="n"/>
      <c r="BP169" s="268" t="n"/>
      <c r="BQ169" s="268" t="n"/>
      <c r="BR169" s="268" t="n"/>
      <c r="BS169" s="268" t="n"/>
      <c r="BT169" s="268" t="n"/>
      <c r="BU169" s="268" t="n"/>
      <c r="BV169" s="268" t="n"/>
      <c r="BW169" s="268" t="n"/>
      <c r="BX169" s="268" t="n"/>
      <c r="BY169" s="268" t="n"/>
      <c r="BZ169" s="268" t="n"/>
      <c r="CA169" s="268" t="n"/>
      <c r="CB169" s="268" t="n"/>
      <c r="CC169" s="268" t="n"/>
      <c r="CD169" s="268" t="n"/>
      <c r="CE169" s="268" t="n"/>
      <c r="CF169" s="268" t="n"/>
      <c r="CG169" s="268" t="n"/>
      <c r="CH169" s="268" t="n"/>
      <c r="CI169" s="268" t="n"/>
      <c r="CJ169" s="268" t="n"/>
      <c r="CK169" s="268" t="n"/>
      <c r="CL169" s="268" t="n"/>
      <c r="CM169" s="268" t="n"/>
      <c r="CN169" s="268" t="n"/>
      <c r="CO169" s="268" t="n"/>
      <c r="CP169" s="268" t="n"/>
      <c r="CQ169" s="268" t="n"/>
      <c r="CR169" s="268" t="n"/>
      <c r="CS169" s="268" t="n"/>
      <c r="CT169" s="268" t="n"/>
      <c r="CU169" s="268" t="n"/>
      <c r="CV169" s="268" t="n"/>
      <c r="CW169" s="268" t="n"/>
      <c r="CX169" s="268" t="n"/>
      <c r="CY169" s="268" t="n"/>
    </row>
    <row r="170" hidden="1" outlineLevel="1" ht="12.75" customHeight="1" s="255">
      <c r="C170" s="312" t="inlineStr">
        <is>
          <t>Capital expenditures</t>
        </is>
      </c>
      <c r="D170" s="268" t="n"/>
      <c r="E170" s="268">
        <f>E168-D168-E72</f>
        <v>2081</v>
      </c>
      <c r="F170" s="268">
        <f>F168-E168-F72</f>
        <v>3821</v>
      </c>
      <c r="G170" s="268">
        <f>G168-F168-G72</f>
        <v>-7212</v>
      </c>
      <c r="H170" s="268" t="n"/>
      <c r="I170" s="268">
        <f>I168-H168-I72</f>
        <v>1456</v>
      </c>
      <c r="J170" s="268">
        <f>J168-I168-J72</f>
        <v>3266</v>
      </c>
      <c r="K170" s="268">
        <f>K168-J168-K72</f>
        <v>3271</v>
      </c>
      <c r="L170" s="268">
        <f>L168-K168-L72</f>
        <v>4979</v>
      </c>
      <c r="M170" s="268" t="n"/>
      <c r="N170" s="268">
        <f>N168-M168-N72</f>
        <v>2906</v>
      </c>
      <c r="O170" s="268">
        <f>O168-N168-O72</f>
        <v>3964</v>
      </c>
      <c r="P170" s="268">
        <f>P168-O168-P72</f>
        <v>4302</v>
      </c>
      <c r="Q170" s="268">
        <f>Q168-P168-Q72</f>
        <v>6018</v>
      </c>
      <c r="R170" s="268" t="n"/>
      <c r="S170" s="268">
        <f>S168-R168-S72</f>
        <v>4420</v>
      </c>
      <c r="T170" s="268">
        <f>T168-S168-T72</f>
        <v>5303</v>
      </c>
      <c r="U170" s="268">
        <f>U168-T168-U72</f>
        <v>5724</v>
      </c>
      <c r="V170" s="268">
        <f>V168-U168-V72</f>
        <v>6456</v>
      </c>
      <c r="W170" s="268" t="n"/>
      <c r="X170" s="268">
        <f>X168-W168-X72</f>
        <v>3816</v>
      </c>
      <c r="Y170" s="268">
        <f>Y168-X168-Y72</f>
        <v>5531</v>
      </c>
      <c r="Z170" s="268">
        <f>Z168-Y168-Z72</f>
        <v>6040</v>
      </c>
      <c r="AA170" s="268">
        <f>AA168-Z168-AA72</f>
        <v>6769</v>
      </c>
      <c r="AB170" s="268" t="n"/>
      <c r="AC170" s="268">
        <f>AC168-AB168-AC72</f>
        <v>4637</v>
      </c>
      <c r="AD170" s="268">
        <f>AD168-AC168-AD72</f>
        <v>7702</v>
      </c>
      <c r="AE170" s="268">
        <f>AE168-AD168-AE72</f>
        <v>8331</v>
      </c>
      <c r="AF170" s="267">
        <f>AF168-AE168-AF72</f>
        <v>9623</v>
      </c>
      <c r="AG170" s="268">
        <f>SUM(AC170:AF170)</f>
        <v>30293</v>
      </c>
      <c r="AH170" s="267">
        <f>AH168-AG168-AH72</f>
        <v>5527</v>
      </c>
      <c r="AI170" s="267">
        <f>AI168-AH168-AI72</f>
        <v>8618</v>
      </c>
      <c r="AJ170" s="267" t="n"/>
      <c r="AK170" s="267" t="n"/>
      <c r="AL170" s="268" t="n"/>
      <c r="AM170" s="267" t="n"/>
      <c r="AN170" s="267" t="n"/>
      <c r="AO170" s="267" t="n"/>
      <c r="AP170" s="267" t="n"/>
      <c r="AQ170" s="268" t="n"/>
      <c r="AR170" s="267" t="n"/>
      <c r="AS170" s="267" t="n"/>
      <c r="AT170" s="267" t="n"/>
      <c r="AU170" s="267" t="n"/>
      <c r="AV170" s="268" t="n"/>
      <c r="AW170" s="267" t="n"/>
      <c r="AX170" s="267" t="n"/>
      <c r="AY170" s="267" t="n"/>
      <c r="AZ170" s="267" t="n"/>
      <c r="BA170" s="268" t="n"/>
      <c r="BB170" s="267" t="n"/>
      <c r="BC170" s="267" t="n"/>
      <c r="BD170" s="267" t="n"/>
      <c r="BE170" s="267" t="n"/>
      <c r="BF170" s="268" t="n"/>
      <c r="BG170" s="267" t="n"/>
      <c r="BH170" s="267" t="n"/>
      <c r="BI170" s="267" t="n"/>
      <c r="BJ170" s="267" t="n"/>
      <c r="BK170" s="268" t="n"/>
      <c r="BL170" s="267" t="n"/>
      <c r="BM170" s="267" t="n"/>
      <c r="BN170" s="267" t="n"/>
      <c r="BO170" s="267" t="n"/>
      <c r="BP170" s="268" t="n"/>
      <c r="BQ170" s="267" t="n"/>
      <c r="BR170" s="267" t="n"/>
      <c r="BS170" s="267" t="n"/>
      <c r="BT170" s="267" t="n"/>
      <c r="BU170" s="268" t="n"/>
      <c r="BV170" s="267" t="n"/>
      <c r="BW170" s="267" t="n"/>
      <c r="BX170" s="267" t="n"/>
      <c r="BY170" s="267" t="n"/>
      <c r="BZ170" s="268" t="n"/>
      <c r="CA170" s="267" t="n"/>
      <c r="CB170" s="267" t="n"/>
      <c r="CC170" s="267" t="n"/>
      <c r="CD170" s="267" t="n"/>
      <c r="CE170" s="268" t="n"/>
      <c r="CF170" s="267" t="n"/>
      <c r="CG170" s="267" t="n"/>
      <c r="CH170" s="267" t="n"/>
      <c r="CI170" s="267" t="n"/>
      <c r="CJ170" s="268" t="n"/>
      <c r="CK170" s="267" t="n"/>
      <c r="CL170" s="267" t="n"/>
      <c r="CM170" s="267" t="n"/>
      <c r="CN170" s="267" t="n"/>
      <c r="CO170" s="268" t="n"/>
      <c r="CP170" s="267" t="n"/>
      <c r="CQ170" s="267" t="n"/>
      <c r="CR170" s="267" t="n"/>
      <c r="CS170" s="267" t="n"/>
      <c r="CT170" s="268" t="n"/>
      <c r="CU170" s="267" t="n"/>
      <c r="CV170" s="267" t="n"/>
      <c r="CW170" s="267" t="n"/>
      <c r="CX170" s="267" t="n"/>
      <c r="CY170" s="268" t="n"/>
    </row>
    <row r="171" hidden="1" outlineLevel="1" ht="12.75" customHeight="1" s="255">
      <c r="C171" s="312" t="inlineStr">
        <is>
          <t>Recurring asset sales (enter as -)</t>
        </is>
      </c>
      <c r="D171" s="268" t="n"/>
      <c r="E171" s="268" t="n"/>
      <c r="F171" s="268" t="n"/>
      <c r="G171" s="268" t="n"/>
      <c r="H171" s="268">
        <f>SUM(D171:G171)</f>
        <v>0</v>
      </c>
      <c r="I171" s="268" t="n"/>
      <c r="J171" s="268" t="n"/>
      <c r="K171" s="268" t="n"/>
      <c r="L171" s="268" t="n"/>
      <c r="M171" s="268">
        <f>SUM(I171:L171)</f>
        <v>0</v>
      </c>
      <c r="N171" s="268" t="n"/>
      <c r="O171" s="268" t="n"/>
      <c r="P171" s="268" t="n"/>
      <c r="Q171" s="268" t="n"/>
      <c r="R171" s="268">
        <f>SUM(N171:Q171)</f>
        <v>0</v>
      </c>
      <c r="S171" s="268" t="n"/>
      <c r="T171" s="268" t="n"/>
      <c r="U171" s="268" t="n"/>
      <c r="V171" s="268" t="n"/>
      <c r="W171" s="268">
        <f>SUM(S171:V171)</f>
        <v>0</v>
      </c>
      <c r="X171" s="268" t="n"/>
      <c r="Y171" s="268" t="n"/>
      <c r="Z171" s="268" t="n"/>
      <c r="AA171" s="268" t="n"/>
      <c r="AB171" s="268">
        <f>SUM(X171:AA171)</f>
        <v>0</v>
      </c>
      <c r="AC171" s="268" t="n"/>
      <c r="AD171" s="268" t="n"/>
      <c r="AE171" s="268" t="n"/>
      <c r="AF171" s="267" t="n"/>
      <c r="AG171" s="268" t="n"/>
      <c r="AH171" s="267" t="n"/>
      <c r="AI171" s="267" t="n"/>
      <c r="AJ171" s="267" t="n"/>
      <c r="AK171" s="267" t="n"/>
      <c r="AL171" s="268" t="n"/>
      <c r="AM171" s="267" t="n"/>
      <c r="AN171" s="267" t="n"/>
      <c r="AO171" s="267" t="n"/>
      <c r="AP171" s="267" t="n"/>
      <c r="AQ171" s="268" t="n"/>
      <c r="AR171" s="267" t="n"/>
      <c r="AS171" s="267" t="n"/>
      <c r="AT171" s="267" t="n"/>
      <c r="AU171" s="267" t="n"/>
      <c r="AV171" s="268" t="n"/>
      <c r="AW171" s="267" t="n"/>
      <c r="AX171" s="267" t="n"/>
      <c r="AY171" s="267" t="n"/>
      <c r="AZ171" s="267" t="n"/>
      <c r="BA171" s="268" t="n"/>
      <c r="BB171" s="267" t="n"/>
      <c r="BC171" s="267" t="n"/>
      <c r="BD171" s="267" t="n"/>
      <c r="BE171" s="267" t="n"/>
      <c r="BF171" s="268" t="n"/>
      <c r="BG171" s="267" t="n"/>
      <c r="BH171" s="267" t="n"/>
      <c r="BI171" s="267" t="n"/>
      <c r="BJ171" s="267" t="n"/>
      <c r="BK171" s="268" t="n"/>
      <c r="BL171" s="267" t="n"/>
      <c r="BM171" s="267" t="n"/>
      <c r="BN171" s="267" t="n"/>
      <c r="BO171" s="267" t="n"/>
      <c r="BP171" s="268" t="n"/>
      <c r="BQ171" s="267" t="n"/>
      <c r="BR171" s="267" t="n"/>
      <c r="BS171" s="267" t="n"/>
      <c r="BT171" s="267" t="n"/>
      <c r="BU171" s="268" t="n"/>
      <c r="BV171" s="267" t="n"/>
      <c r="BW171" s="267" t="n"/>
      <c r="BX171" s="267" t="n"/>
      <c r="BY171" s="267" t="n"/>
      <c r="BZ171" s="268" t="n"/>
      <c r="CA171" s="267" t="n"/>
      <c r="CB171" s="267" t="n"/>
      <c r="CC171" s="267" t="n"/>
      <c r="CD171" s="267" t="n"/>
      <c r="CE171" s="268" t="n"/>
      <c r="CF171" s="267" t="n"/>
      <c r="CG171" s="267" t="n"/>
      <c r="CH171" s="267" t="n"/>
      <c r="CI171" s="267" t="n"/>
      <c r="CJ171" s="268" t="n"/>
      <c r="CK171" s="267" t="n"/>
      <c r="CL171" s="267" t="n"/>
      <c r="CM171" s="267" t="n"/>
      <c r="CN171" s="267" t="n"/>
      <c r="CO171" s="268" t="n"/>
      <c r="CP171" s="267" t="n"/>
      <c r="CQ171" s="267" t="n"/>
      <c r="CR171" s="267" t="n"/>
      <c r="CS171" s="267" t="n"/>
      <c r="CT171" s="268" t="n"/>
      <c r="CU171" s="267" t="n"/>
      <c r="CV171" s="267" t="n"/>
      <c r="CW171" s="267" t="n"/>
      <c r="CX171" s="267" t="n"/>
      <c r="CY171" s="268" t="n"/>
    </row>
    <row r="172" hidden="1" outlineLevel="1" ht="12.75" customHeight="1" s="255">
      <c r="C172" s="312" t="inlineStr">
        <is>
          <t>Depreciation</t>
        </is>
      </c>
      <c r="D172" s="268">
        <f>D72</f>
        <v>-2791</v>
      </c>
      <c r="E172" s="268">
        <f>E72</f>
        <v>-2771</v>
      </c>
      <c r="F172" s="268">
        <f>F72</f>
        <v>-2771</v>
      </c>
      <c r="G172" s="268">
        <f>G72</f>
        <v>-2819</v>
      </c>
      <c r="H172" s="268" t="n"/>
      <c r="I172" s="268">
        <f>I72</f>
        <v>-2661</v>
      </c>
      <c r="J172" s="268">
        <f>J72</f>
        <v>-2641</v>
      </c>
      <c r="K172" s="268">
        <f>K72</f>
        <v>-2650</v>
      </c>
      <c r="L172" s="268">
        <f>L72</f>
        <v>-2706</v>
      </c>
      <c r="M172" s="268" t="n"/>
      <c r="N172" s="268">
        <f>N72</f>
        <v>-2680</v>
      </c>
      <c r="O172" s="268">
        <f>O72</f>
        <v>-2699</v>
      </c>
      <c r="P172" s="268">
        <f>P72</f>
        <v>-2755</v>
      </c>
      <c r="Q172" s="268">
        <f>Q72</f>
        <v>-2811</v>
      </c>
      <c r="R172" s="268" t="n"/>
      <c r="S172" s="268">
        <f>S72</f>
        <v>-2845</v>
      </c>
      <c r="T172" s="268">
        <f>T72</f>
        <v>-2905</v>
      </c>
      <c r="U172" s="268">
        <f>U72</f>
        <v>-2986</v>
      </c>
      <c r="V172" s="268">
        <f>V72</f>
        <v>-3117</v>
      </c>
      <c r="W172" s="268" t="n"/>
      <c r="X172" s="268">
        <f>X72</f>
        <v>-3128</v>
      </c>
      <c r="Y172" s="268">
        <f>Y72</f>
        <v>-3211</v>
      </c>
      <c r="Z172" s="268">
        <f>Z72</f>
        <v>-3260</v>
      </c>
      <c r="AA172" s="268">
        <f>AA72</f>
        <v>-3374</v>
      </c>
      <c r="AB172" s="268" t="n"/>
      <c r="AC172" s="268">
        <f>AC72</f>
        <v>-3369</v>
      </c>
      <c r="AD172" s="268">
        <f>AD72</f>
        <v>-3487</v>
      </c>
      <c r="AE172" s="268">
        <f>AE72</f>
        <v>-3606</v>
      </c>
      <c r="AF172" s="268">
        <f>AF72</f>
        <v>-3741</v>
      </c>
      <c r="AG172" s="268" t="n"/>
      <c r="AH172" s="268">
        <f>AH72</f>
        <v>-3821</v>
      </c>
      <c r="AI172" s="268">
        <f>AI72</f>
        <v>-3925</v>
      </c>
      <c r="AJ172" s="268">
        <f>AJ72</f>
        <v>0</v>
      </c>
      <c r="AK172" s="268">
        <f>AK72</f>
        <v>0</v>
      </c>
      <c r="AL172" s="268" t="n"/>
      <c r="AM172" s="268">
        <f>AM72</f>
        <v>0</v>
      </c>
      <c r="AN172" s="268">
        <f>AN72</f>
        <v>0</v>
      </c>
      <c r="AO172" s="268">
        <f>AO72</f>
        <v>0</v>
      </c>
      <c r="AP172" s="268">
        <f>AP72</f>
        <v>0</v>
      </c>
      <c r="AQ172" s="268" t="n"/>
      <c r="AR172" s="268">
        <f>AR72</f>
        <v>0</v>
      </c>
      <c r="AS172" s="268">
        <f>AS72</f>
        <v>0</v>
      </c>
      <c r="AT172" s="268">
        <f>AT72</f>
        <v>0</v>
      </c>
      <c r="AU172" s="268">
        <f>AU72</f>
        <v>0</v>
      </c>
      <c r="AV172" s="268" t="n"/>
      <c r="AW172" s="268">
        <f>AW72</f>
        <v>0</v>
      </c>
      <c r="AX172" s="268">
        <f>AX72</f>
        <v>0</v>
      </c>
      <c r="AY172" s="268">
        <f>AY72</f>
        <v>0</v>
      </c>
      <c r="AZ172" s="268">
        <f>AZ72</f>
        <v>0</v>
      </c>
      <c r="BA172" s="268" t="n"/>
      <c r="BB172" s="268">
        <f>BB72</f>
        <v>0</v>
      </c>
      <c r="BC172" s="268">
        <f>BC72</f>
        <v>0</v>
      </c>
      <c r="BD172" s="268">
        <f>BD72</f>
        <v>0</v>
      </c>
      <c r="BE172" s="268">
        <f>BE72</f>
        <v>0</v>
      </c>
      <c r="BF172" s="268" t="n"/>
      <c r="BG172" s="268">
        <f>BG72</f>
        <v>0</v>
      </c>
      <c r="BH172" s="268">
        <f>BH72</f>
        <v>0</v>
      </c>
      <c r="BI172" s="268">
        <f>BI72</f>
        <v>0</v>
      </c>
      <c r="BJ172" s="268">
        <f>BJ72</f>
        <v>0</v>
      </c>
      <c r="BK172" s="268" t="n"/>
      <c r="BL172" s="268">
        <f>BL72</f>
        <v>0</v>
      </c>
      <c r="BM172" s="268">
        <f>BM72</f>
        <v>0</v>
      </c>
      <c r="BN172" s="268">
        <f>BN72</f>
        <v>0</v>
      </c>
      <c r="BO172" s="268">
        <f>BO72</f>
        <v>0</v>
      </c>
      <c r="BP172" s="268" t="n"/>
      <c r="BQ172" s="268">
        <f>BQ72</f>
        <v>0</v>
      </c>
      <c r="BR172" s="268">
        <f>BR72</f>
        <v>0</v>
      </c>
      <c r="BS172" s="268">
        <f>BS72</f>
        <v>0</v>
      </c>
      <c r="BT172" s="268">
        <f>BT72</f>
        <v>0</v>
      </c>
      <c r="BU172" s="268" t="n"/>
      <c r="BV172" s="268">
        <f>BV72</f>
        <v>0</v>
      </c>
      <c r="BW172" s="268">
        <f>BW72</f>
        <v>0</v>
      </c>
      <c r="BX172" s="268">
        <f>BX72</f>
        <v>0</v>
      </c>
      <c r="BY172" s="268">
        <f>BY72</f>
        <v>0</v>
      </c>
      <c r="BZ172" s="268" t="n"/>
      <c r="CA172" s="268">
        <f>CA72</f>
        <v>0</v>
      </c>
      <c r="CB172" s="268">
        <f>CB72</f>
        <v>0</v>
      </c>
      <c r="CC172" s="268">
        <f>CC72</f>
        <v>0</v>
      </c>
      <c r="CD172" s="268">
        <f>CD72</f>
        <v>0</v>
      </c>
      <c r="CE172" s="268" t="n"/>
      <c r="CF172" s="268">
        <f>CF72</f>
        <v>0</v>
      </c>
      <c r="CG172" s="268">
        <f>CG72</f>
        <v>0</v>
      </c>
      <c r="CH172" s="268">
        <f>CH72</f>
        <v>0</v>
      </c>
      <c r="CI172" s="268">
        <f>CI72</f>
        <v>0</v>
      </c>
      <c r="CJ172" s="268" t="n"/>
      <c r="CK172" s="268">
        <f>CK72</f>
        <v>0</v>
      </c>
      <c r="CL172" s="268">
        <f>CL72</f>
        <v>0</v>
      </c>
      <c r="CM172" s="268">
        <f>CM72</f>
        <v>0</v>
      </c>
      <c r="CN172" s="268">
        <f>CN72</f>
        <v>0</v>
      </c>
      <c r="CO172" s="268" t="n"/>
      <c r="CP172" s="268">
        <f>CP72</f>
        <v>0</v>
      </c>
      <c r="CQ172" s="268">
        <f>CQ72</f>
        <v>0</v>
      </c>
      <c r="CR172" s="268">
        <f>CR72</f>
        <v>0</v>
      </c>
      <c r="CS172" s="268">
        <f>CS72</f>
        <v>0</v>
      </c>
      <c r="CT172" s="268" t="n"/>
      <c r="CU172" s="268">
        <f>CU72</f>
        <v>0</v>
      </c>
      <c r="CV172" s="268">
        <f>CV72</f>
        <v>0</v>
      </c>
      <c r="CW172" s="268">
        <f>CW72</f>
        <v>0</v>
      </c>
      <c r="CX172" s="268">
        <f>CX72</f>
        <v>0</v>
      </c>
      <c r="CY172" s="268" t="n"/>
    </row>
    <row r="173" hidden="1" outlineLevel="1" ht="12.75" customHeight="1" s="255">
      <c r="C173" s="312" t="inlineStr">
        <is>
          <t>PP&amp;E</t>
        </is>
      </c>
      <c r="D173" s="268">
        <f>D168</f>
        <v>101872</v>
      </c>
      <c r="E173" s="268">
        <f>E168</f>
        <v>101182</v>
      </c>
      <c r="F173" s="268">
        <f>F168</f>
        <v>102232</v>
      </c>
      <c r="G173" s="268">
        <f>G168</f>
        <v>92201</v>
      </c>
      <c r="H173" s="268" t="n"/>
      <c r="I173" s="268">
        <f>I168</f>
        <v>90996</v>
      </c>
      <c r="J173" s="268">
        <f>J168</f>
        <v>91621</v>
      </c>
      <c r="K173" s="268">
        <f>K168</f>
        <v>92242</v>
      </c>
      <c r="L173" s="268">
        <f>L168</f>
        <v>94515</v>
      </c>
      <c r="M173" s="268" t="n"/>
      <c r="N173" s="268">
        <f>N168</f>
        <v>94741</v>
      </c>
      <c r="O173" s="268">
        <f>O168</f>
        <v>96006</v>
      </c>
      <c r="P173" s="268">
        <f>P168</f>
        <v>97553</v>
      </c>
      <c r="Q173" s="268">
        <f>Q168</f>
        <v>100760</v>
      </c>
      <c r="R173" s="268" t="n"/>
      <c r="S173" s="268">
        <f>S168</f>
        <v>102335</v>
      </c>
      <c r="T173" s="268">
        <f>T168</f>
        <v>104733</v>
      </c>
      <c r="U173" s="268">
        <f>U168</f>
        <v>107471</v>
      </c>
      <c r="V173" s="268">
        <f>V168</f>
        <v>110810</v>
      </c>
      <c r="W173" s="268" t="n"/>
      <c r="X173" s="268">
        <f>X168</f>
        <v>111498</v>
      </c>
      <c r="Y173" s="268">
        <f>Y168</f>
        <v>113818</v>
      </c>
      <c r="Z173" s="268">
        <f>Z168</f>
        <v>116598</v>
      </c>
      <c r="AA173" s="268">
        <f>Y173+SUM(AA170:AA172)</f>
        <v>117213</v>
      </c>
      <c r="AB173" s="268" t="n"/>
      <c r="AC173" s="268">
        <f>AC168</f>
        <v>121261</v>
      </c>
      <c r="AD173" s="268">
        <f>AD168</f>
        <v>125476</v>
      </c>
      <c r="AE173" s="268">
        <f>AE168</f>
        <v>130201</v>
      </c>
      <c r="AF173" s="268">
        <f>AE173+SUM(AF170:AF172)</f>
        <v>136083</v>
      </c>
      <c r="AG173" s="268" t="n"/>
      <c r="AH173" s="268">
        <f>AH168</f>
        <v>137789</v>
      </c>
      <c r="AI173" s="268">
        <f>AI168</f>
        <v>142482</v>
      </c>
      <c r="AJ173" s="268">
        <f>AI173+SUM(AJ170:AJ172)</f>
        <v>142482</v>
      </c>
      <c r="AK173" s="268">
        <f>AJ173+SUM(AK170:AK172)</f>
        <v>142482</v>
      </c>
      <c r="AL173" s="268" t="n"/>
      <c r="AM173" s="268">
        <f>AK173+SUM(AM170:AM172)</f>
        <v>142482</v>
      </c>
      <c r="AN173" s="268">
        <f>AM173+SUM(AN170:AN172)</f>
        <v>142482</v>
      </c>
      <c r="AO173" s="268">
        <f>AN173+SUM(AO170:AO172)</f>
        <v>142482</v>
      </c>
      <c r="AP173" s="268">
        <f>AO173+SUM(AP170:AP172)</f>
        <v>142482</v>
      </c>
      <c r="AQ173" s="268" t="n"/>
      <c r="AR173" s="268">
        <f>AP173+SUM(AR170:AR172)</f>
        <v>142482</v>
      </c>
      <c r="AS173" s="268">
        <f>AR173+SUM(AS170:AS172)</f>
        <v>142482</v>
      </c>
      <c r="AT173" s="268">
        <f>AS173+SUM(AT170:AT172)</f>
        <v>142482</v>
      </c>
      <c r="AU173" s="268">
        <f>AT173+SUM(AU170:AU172)</f>
        <v>142482</v>
      </c>
      <c r="AV173" s="268" t="n"/>
      <c r="AW173" s="268">
        <f>AU173+SUM(AW170:AW172)</f>
        <v>142482</v>
      </c>
      <c r="AX173" s="268">
        <f>AW173+SUM(AX170:AX172)</f>
        <v>142482</v>
      </c>
      <c r="AY173" s="268">
        <f>AX173+SUM(AY170:AY172)</f>
        <v>142482</v>
      </c>
      <c r="AZ173" s="268">
        <f>AY173+SUM(AZ170:AZ172)</f>
        <v>142482</v>
      </c>
      <c r="BA173" s="268" t="n"/>
      <c r="BB173" s="268">
        <f>AZ173+SUM(BB170:BB172)</f>
        <v>142482</v>
      </c>
      <c r="BC173" s="268">
        <f>BB173+SUM(BC170:BC172)</f>
        <v>142482</v>
      </c>
      <c r="BD173" s="268">
        <f>BC173+SUM(BD170:BD172)</f>
        <v>142482</v>
      </c>
      <c r="BE173" s="268">
        <f>BD173+SUM(BE170:BE172)</f>
        <v>142482</v>
      </c>
      <c r="BF173" s="268" t="n"/>
      <c r="BG173" s="268">
        <f>BE173+SUM(BG170:BG172)</f>
        <v>142482</v>
      </c>
      <c r="BH173" s="268">
        <f>BG173+SUM(BH170:BH172)</f>
        <v>142482</v>
      </c>
      <c r="BI173" s="268">
        <f>BH173+SUM(BI170:BI172)</f>
        <v>142482</v>
      </c>
      <c r="BJ173" s="268">
        <f>BI173+SUM(BJ170:BJ172)</f>
        <v>142482</v>
      </c>
      <c r="BK173" s="268" t="n"/>
      <c r="BL173" s="268">
        <f>BJ173+SUM(BL170:BL172)</f>
        <v>142482</v>
      </c>
      <c r="BM173" s="268">
        <f>BL173+SUM(BM170:BM172)</f>
        <v>142482</v>
      </c>
      <c r="BN173" s="268">
        <f>BM173+SUM(BN170:BN172)</f>
        <v>142482</v>
      </c>
      <c r="BO173" s="268">
        <f>BN173+SUM(BO170:BO172)</f>
        <v>142482</v>
      </c>
      <c r="BP173" s="268" t="n"/>
      <c r="BQ173" s="268">
        <f>BO173+SUM(BQ170:BQ172)</f>
        <v>142482</v>
      </c>
      <c r="BR173" s="268">
        <f>BQ173+SUM(BR170:BR172)</f>
        <v>142482</v>
      </c>
      <c r="BS173" s="268">
        <f>BR173+SUM(BS170:BS172)</f>
        <v>142482</v>
      </c>
      <c r="BT173" s="268">
        <f>BS173+SUM(BT170:BT172)</f>
        <v>142482</v>
      </c>
      <c r="BU173" s="268" t="n"/>
      <c r="BV173" s="268">
        <f>BT173+SUM(BV170:BV172)</f>
        <v>142482</v>
      </c>
      <c r="BW173" s="268">
        <f>BV173+SUM(BW170:BW172)</f>
        <v>142482</v>
      </c>
      <c r="BX173" s="268">
        <f>BW173+SUM(BX170:BX172)</f>
        <v>142482</v>
      </c>
      <c r="BY173" s="268">
        <f>BX173+SUM(BY170:BY172)</f>
        <v>142482</v>
      </c>
      <c r="BZ173" s="268" t="n"/>
      <c r="CA173" s="268">
        <f>BY173+SUM(CA170:CA172)</f>
        <v>142482</v>
      </c>
      <c r="CB173" s="268">
        <f>CA173+SUM(CB170:CB172)</f>
        <v>142482</v>
      </c>
      <c r="CC173" s="268">
        <f>CB173+SUM(CC170:CC172)</f>
        <v>142482</v>
      </c>
      <c r="CD173" s="268">
        <f>CC173+SUM(CD170:CD172)</f>
        <v>142482</v>
      </c>
      <c r="CE173" s="268" t="n"/>
      <c r="CF173" s="268">
        <f>CD173+SUM(CF170:CF172)</f>
        <v>142482</v>
      </c>
      <c r="CG173" s="268">
        <f>CF173+SUM(CG170:CG172)</f>
        <v>142482</v>
      </c>
      <c r="CH173" s="268">
        <f>CG173+SUM(CH170:CH172)</f>
        <v>142482</v>
      </c>
      <c r="CI173" s="268">
        <f>CH173+SUM(CI170:CI172)</f>
        <v>142482</v>
      </c>
      <c r="CJ173" s="268" t="n"/>
      <c r="CK173" s="268">
        <f>CI173+SUM(CK170:CK172)</f>
        <v>142482</v>
      </c>
      <c r="CL173" s="268">
        <f>CK173+SUM(CL170:CL172)</f>
        <v>142482</v>
      </c>
      <c r="CM173" s="268">
        <f>CL173+SUM(CM170:CM172)</f>
        <v>142482</v>
      </c>
      <c r="CN173" s="268">
        <f>CM173+SUM(CN170:CN172)</f>
        <v>142482</v>
      </c>
      <c r="CO173" s="268" t="n"/>
      <c r="CP173" s="268">
        <f>CN173+SUM(CP170:CP172)</f>
        <v>142482</v>
      </c>
      <c r="CQ173" s="268">
        <f>CP173+SUM(CQ170:CQ172)</f>
        <v>142482</v>
      </c>
      <c r="CR173" s="268">
        <f>CQ173+SUM(CR170:CR172)</f>
        <v>142482</v>
      </c>
      <c r="CS173" s="268">
        <f>CR173+SUM(CS170:CS172)</f>
        <v>142482</v>
      </c>
      <c r="CT173" s="268" t="n"/>
      <c r="CU173" s="268">
        <f>CS173+SUM(CU170:CU172)</f>
        <v>142482</v>
      </c>
      <c r="CV173" s="268">
        <f>CU173+SUM(CV170:CV172)</f>
        <v>142482</v>
      </c>
      <c r="CW173" s="268">
        <f>CV173+SUM(CW170:CW172)</f>
        <v>142482</v>
      </c>
      <c r="CX173" s="268">
        <f>CW173+SUM(CX170:CX172)</f>
        <v>142482</v>
      </c>
      <c r="CY173" s="268" t="n"/>
      <c r="CZ173" s="260">
        <f>CX173+SUM(CZ170:CZ172)</f>
        <v>142482</v>
      </c>
      <c r="DA173" s="260">
        <f>CZ173+SUM(DA170:DA172)</f>
        <v>142482</v>
      </c>
      <c r="DB173" s="260">
        <f>DA173+SUM(DB170:DB172)</f>
        <v>142482</v>
      </c>
      <c r="DC173" s="260">
        <f>DB173+SUM(DC170:DC172)</f>
        <v>142482</v>
      </c>
    </row>
    <row r="174" hidden="1" outlineLevel="1" ht="12.75" customHeight="1" s="255">
      <c r="C174" s="312" t="n"/>
      <c r="D174" s="268" t="n"/>
      <c r="E174" s="268" t="n"/>
      <c r="F174" s="268" t="n"/>
      <c r="G174" s="268" t="n"/>
      <c r="H174" s="268" t="n"/>
      <c r="I174" s="268" t="n"/>
      <c r="J174" s="268" t="n"/>
      <c r="K174" s="268" t="n"/>
      <c r="L174" s="268" t="n"/>
      <c r="M174" s="268" t="n"/>
      <c r="N174" s="268" t="n"/>
      <c r="O174" s="268" t="n"/>
      <c r="P174" s="268" t="n"/>
      <c r="Q174" s="268" t="n"/>
      <c r="R174" s="268" t="n"/>
      <c r="S174" s="268" t="n"/>
      <c r="T174" s="268" t="n"/>
      <c r="U174" s="268" t="n"/>
      <c r="V174" s="268" t="n"/>
      <c r="W174" s="268" t="n"/>
      <c r="X174" s="268" t="n"/>
      <c r="Y174" s="268" t="n"/>
      <c r="Z174" s="268" t="n"/>
      <c r="AA174" s="268" t="n"/>
      <c r="AB174" s="268" t="n"/>
      <c r="AC174" s="268" t="n"/>
      <c r="AD174" s="268" t="n"/>
      <c r="AE174" s="268" t="n"/>
      <c r="AF174" s="268" t="n"/>
      <c r="AG174" s="268" t="n"/>
      <c r="AH174" s="268" t="n"/>
      <c r="AI174" s="268" t="n"/>
      <c r="AJ174" s="268" t="n"/>
      <c r="AK174" s="268" t="n"/>
      <c r="AL174" s="268" t="n"/>
      <c r="AM174" s="268" t="n"/>
      <c r="AN174" s="268" t="n"/>
      <c r="AO174" s="268" t="n"/>
      <c r="AP174" s="268" t="n"/>
      <c r="AQ174" s="268" t="n"/>
      <c r="AR174" s="268" t="n"/>
      <c r="AS174" s="268" t="n"/>
      <c r="AT174" s="268" t="n"/>
      <c r="AU174" s="268" t="n"/>
      <c r="AV174" s="268" t="n"/>
      <c r="AW174" s="268" t="n"/>
      <c r="AX174" s="268" t="n"/>
      <c r="AY174" s="268" t="n"/>
      <c r="AZ174" s="268" t="n"/>
      <c r="BA174" s="268" t="n"/>
      <c r="BB174" s="268" t="n"/>
      <c r="BC174" s="268" t="n"/>
      <c r="BD174" s="268" t="n"/>
      <c r="BE174" s="268" t="n"/>
      <c r="BF174" s="268" t="n"/>
      <c r="BG174" s="268" t="n"/>
      <c r="BH174" s="268" t="n"/>
      <c r="BI174" s="268" t="n"/>
      <c r="BJ174" s="268" t="n"/>
      <c r="BK174" s="268" t="n"/>
      <c r="BL174" s="268" t="n"/>
      <c r="BM174" s="268" t="n"/>
      <c r="BN174" s="268" t="n"/>
      <c r="BO174" s="268" t="n"/>
      <c r="BP174" s="268" t="n"/>
      <c r="BQ174" s="268" t="n"/>
      <c r="BR174" s="268" t="n"/>
      <c r="BS174" s="268" t="n"/>
      <c r="BT174" s="268" t="n"/>
      <c r="BU174" s="268" t="n"/>
      <c r="BV174" s="268" t="n"/>
      <c r="BW174" s="268" t="n"/>
      <c r="BX174" s="268" t="n"/>
      <c r="BY174" s="268" t="n"/>
      <c r="BZ174" s="268" t="n"/>
      <c r="CA174" s="268" t="n"/>
      <c r="CB174" s="268" t="n"/>
      <c r="CC174" s="268" t="n"/>
      <c r="CD174" s="268" t="n"/>
      <c r="CE174" s="268" t="n"/>
      <c r="CF174" s="268" t="n"/>
      <c r="CG174" s="268" t="n"/>
      <c r="CH174" s="268" t="n"/>
      <c r="CI174" s="268" t="n"/>
      <c r="CJ174" s="268" t="n"/>
      <c r="CK174" s="268" t="n"/>
      <c r="CL174" s="268" t="n"/>
      <c r="CM174" s="268" t="n"/>
      <c r="CN174" s="268" t="n"/>
      <c r="CO174" s="268" t="n"/>
      <c r="CP174" s="268" t="n"/>
      <c r="CQ174" s="268" t="n"/>
      <c r="CR174" s="268" t="n"/>
      <c r="CS174" s="268" t="n"/>
      <c r="CT174" s="268" t="n"/>
      <c r="CU174" s="268" t="n"/>
      <c r="CV174" s="268" t="n"/>
      <c r="CW174" s="268" t="n"/>
      <c r="CX174" s="268" t="n"/>
      <c r="CY174" s="268" t="n"/>
    </row>
    <row r="175" hidden="1" outlineLevel="1" ht="12.75" customHeight="1" s="255">
      <c r="C175" s="312" t="inlineStr">
        <is>
          <t>Capital expenditures (% Net Revenues)</t>
        </is>
      </c>
      <c r="D175" s="268" t="n"/>
      <c r="E175" s="268" t="n"/>
      <c r="F175" s="268" t="n"/>
      <c r="G175" s="268" t="n"/>
      <c r="H175" s="268" t="n"/>
      <c r="I175" s="268" t="n"/>
      <c r="J175" s="268" t="n"/>
      <c r="K175" s="268" t="n"/>
      <c r="L175" s="268" t="n"/>
      <c r="M175" s="268" t="n"/>
      <c r="N175" s="268" t="n"/>
      <c r="O175" s="268" t="n"/>
      <c r="P175" s="268" t="n"/>
      <c r="Q175" s="268" t="n"/>
      <c r="R175" s="268" t="n"/>
      <c r="S175" s="268" t="n"/>
      <c r="T175" s="268" t="n"/>
      <c r="U175" s="268" t="n"/>
      <c r="V175" s="268" t="n"/>
      <c r="W175" s="268" t="n"/>
      <c r="X175" s="268" t="n"/>
      <c r="Y175" s="268" t="n"/>
      <c r="Z175" s="268" t="n"/>
      <c r="AA175" s="268" t="n"/>
      <c r="AB175" s="268" t="n"/>
      <c r="AC175" s="268" t="n"/>
      <c r="AD175" s="268" t="n"/>
      <c r="AE175" s="268" t="n"/>
      <c r="AF175" s="313">
        <f>AF170/AF15</f>
        <v>0.0504731033903995</v>
      </c>
      <c r="AG175" s="313">
        <f>AG170/AG15</f>
        <v>0.0424769652940492</v>
      </c>
      <c r="AH175" s="313">
        <f>AH170/AH15</f>
        <v>0.031094058542568</v>
      </c>
      <c r="AI175" s="313">
        <f>AI170/AI15</f>
        <v>0.0458557921005443</v>
      </c>
      <c r="AJ175" s="313">
        <f>AJ170/AJ15</f>
        <v>0</v>
      </c>
      <c r="AK175" s="313">
        <f>AK170/AK15</f>
        <v>0</v>
      </c>
      <c r="AL175" s="313">
        <f>AL170/AL15</f>
        <v>0</v>
      </c>
      <c r="AM175" s="313">
        <f>AM170/AM15</f>
        <v>0</v>
      </c>
      <c r="AN175" s="313">
        <f>AN170/AN15</f>
        <v>0</v>
      </c>
      <c r="AO175" s="313">
        <f>AO170/AO15</f>
        <v>0</v>
      </c>
      <c r="AP175" s="313">
        <f>AP170/AP15</f>
        <v>0</v>
      </c>
      <c r="AQ175" s="313">
        <f>AQ170/AQ15</f>
        <v>0</v>
      </c>
      <c r="AR175" s="313">
        <f>AR170/AR15</f>
        <v>0</v>
      </c>
      <c r="AS175" s="313">
        <f>AS170/AS15</f>
        <v>0</v>
      </c>
      <c r="AT175" s="313">
        <f>AT170/AT15</f>
        <v>0</v>
      </c>
      <c r="AU175" s="313">
        <f>AU170/AU15</f>
        <v>0</v>
      </c>
      <c r="AV175" s="313">
        <f>AV170/AV15</f>
        <v>0</v>
      </c>
      <c r="AW175" s="313">
        <f>AW170/AW15</f>
        <v>0</v>
      </c>
      <c r="AX175" s="313">
        <f>AX170/AX15</f>
        <v>0</v>
      </c>
      <c r="AY175" s="313">
        <f>AY170/AY15</f>
        <v>0</v>
      </c>
      <c r="AZ175" s="313">
        <f>AZ170/AZ15</f>
        <v>0</v>
      </c>
      <c r="BA175" s="313">
        <f>BA170/BA15</f>
        <v>0</v>
      </c>
      <c r="BB175" s="313">
        <f>BB170/BB15</f>
        <v>0</v>
      </c>
      <c r="BC175" s="313">
        <f>BC170/BC15</f>
        <v>0</v>
      </c>
      <c r="BD175" s="313">
        <f>BD170/BD15</f>
        <v>0</v>
      </c>
      <c r="BE175" s="313">
        <f>BE170/BE15</f>
        <v>0</v>
      </c>
      <c r="BF175" s="313">
        <f>BF170/BF15</f>
        <v>0</v>
      </c>
      <c r="BG175" s="313">
        <f>BG170/BG15</f>
        <v>0</v>
      </c>
      <c r="BH175" s="313">
        <f>BH170/BH15</f>
        <v>0</v>
      </c>
      <c r="BI175" s="313">
        <f>BI170/BI15</f>
        <v>0</v>
      </c>
      <c r="BJ175" s="313">
        <f>BJ170/BJ15</f>
        <v>0</v>
      </c>
      <c r="BK175" s="313">
        <f>BK170/BK15</f>
        <v>0</v>
      </c>
      <c r="BL175" s="313">
        <f>BL170/BL15</f>
        <v>0</v>
      </c>
      <c r="BM175" s="313">
        <f>BM170/BM15</f>
        <v>0</v>
      </c>
      <c r="BN175" s="313">
        <f>BN170/BN15</f>
        <v>0</v>
      </c>
      <c r="BO175" s="313">
        <f>BO170/BO15</f>
        <v>0</v>
      </c>
      <c r="BP175" s="313">
        <f>BP170/BP15</f>
        <v>0</v>
      </c>
      <c r="BQ175" s="313">
        <f>BQ170/BQ15</f>
        <v>0</v>
      </c>
      <c r="BR175" s="313">
        <f>BR170/BR15</f>
        <v>0</v>
      </c>
      <c r="BS175" s="313">
        <f>BS170/BS15</f>
        <v>0</v>
      </c>
      <c r="BT175" s="313">
        <f>BT170/BT15</f>
        <v>0</v>
      </c>
      <c r="BU175" s="313">
        <f>BU170/BU15</f>
        <v>0</v>
      </c>
      <c r="BV175" s="313">
        <f>BV170/BV15</f>
        <v>0</v>
      </c>
      <c r="BW175" s="313">
        <f>BW170/BW15</f>
        <v>0</v>
      </c>
      <c r="BX175" s="313">
        <f>BX170/BX15</f>
        <v>0</v>
      </c>
      <c r="BY175" s="313">
        <f>BY170/BY15</f>
        <v>0</v>
      </c>
      <c r="BZ175" s="313">
        <f>BZ170/BZ15</f>
        <v>0</v>
      </c>
      <c r="CA175" s="313">
        <f>CA170/CA15</f>
        <v>0</v>
      </c>
      <c r="CB175" s="313">
        <f>CB170/CB15</f>
        <v>0</v>
      </c>
      <c r="CC175" s="313">
        <f>CC170/CC15</f>
        <v>0</v>
      </c>
      <c r="CD175" s="313">
        <f>CD170/CD15</f>
        <v>0</v>
      </c>
      <c r="CE175" s="313">
        <f>CE170/CE15</f>
        <v>0</v>
      </c>
      <c r="CF175" s="313">
        <f>CF170/CF15</f>
        <v>0</v>
      </c>
      <c r="CG175" s="313">
        <f>CG170/CG15</f>
        <v>0</v>
      </c>
      <c r="CH175" s="313">
        <f>CH170/CH15</f>
        <v>0</v>
      </c>
      <c r="CI175" s="313">
        <f>CI170/CI15</f>
        <v>0</v>
      </c>
      <c r="CJ175" s="313">
        <f>CJ170/CJ15</f>
        <v>0</v>
      </c>
      <c r="CK175" s="313">
        <f>CK170/CK15</f>
        <v>0</v>
      </c>
      <c r="CL175" s="313">
        <f>CL170/CL15</f>
        <v>0</v>
      </c>
      <c r="CM175" s="313">
        <f>CM170/CM15</f>
        <v>0</v>
      </c>
      <c r="CN175" s="313">
        <f>CN170/CN15</f>
        <v>0</v>
      </c>
      <c r="CO175" s="313">
        <f>CO170/CO15</f>
        <v>0</v>
      </c>
      <c r="CP175" s="313">
        <f>CP170/CP15</f>
        <v>0</v>
      </c>
      <c r="CQ175" s="313">
        <f>CQ170/CQ15</f>
        <v>0</v>
      </c>
      <c r="CR175" s="313">
        <f>CR170/CR15</f>
        <v>0</v>
      </c>
      <c r="CS175" s="313">
        <f>CS170/CS15</f>
        <v>0</v>
      </c>
      <c r="CT175" s="313">
        <f>CT170/CT15</f>
        <v>0</v>
      </c>
      <c r="CU175" s="313">
        <f>CU170/CU15</f>
        <v>0</v>
      </c>
      <c r="CV175" s="313">
        <f>CV170/CV15</f>
        <v>0</v>
      </c>
      <c r="CW175" s="313">
        <f>CW170/CW15</f>
        <v>0</v>
      </c>
      <c r="CX175" s="313">
        <f>CX170/CX15</f>
        <v>0</v>
      </c>
      <c r="CY175" s="313">
        <f>CY170/CY15</f>
        <v>0</v>
      </c>
    </row>
    <row r="176" hidden="1" outlineLevel="1" ht="12.75" customHeight="1" s="255">
      <c r="C176" s="312" t="n"/>
      <c r="D176" s="268" t="n"/>
      <c r="E176" s="268" t="n"/>
      <c r="F176" s="268" t="n"/>
      <c r="G176" s="268" t="n"/>
      <c r="H176" s="268" t="n"/>
      <c r="I176" s="268" t="n"/>
      <c r="J176" s="268" t="n"/>
      <c r="K176" s="268" t="n"/>
      <c r="L176" s="268" t="n"/>
      <c r="M176" s="268" t="n"/>
      <c r="N176" s="268" t="n"/>
      <c r="O176" s="268" t="n"/>
      <c r="P176" s="268" t="n"/>
      <c r="Q176" s="268" t="n"/>
      <c r="R176" s="268" t="n"/>
      <c r="S176" s="268" t="n"/>
      <c r="T176" s="268" t="n"/>
      <c r="U176" s="268" t="n"/>
      <c r="V176" s="268" t="n"/>
      <c r="W176" s="268" t="n"/>
      <c r="X176" s="268" t="n"/>
      <c r="Y176" s="268" t="n"/>
      <c r="Z176" s="268" t="n"/>
      <c r="AA176" s="268" t="n"/>
      <c r="AB176" s="268" t="n"/>
      <c r="AC176" s="268" t="n"/>
      <c r="AD176" s="268" t="n"/>
      <c r="AE176" s="268" t="n"/>
      <c r="AF176" s="268" t="n"/>
      <c r="AG176" s="268" t="n"/>
      <c r="AH176" s="268" t="n"/>
      <c r="AI176" s="268" t="n"/>
      <c r="AJ176" s="268" t="n"/>
      <c r="AK176" s="268" t="n"/>
      <c r="AL176" s="268" t="n"/>
      <c r="AM176" s="268" t="n"/>
      <c r="AN176" s="268" t="n"/>
      <c r="AO176" s="268" t="n"/>
      <c r="AP176" s="268" t="n"/>
      <c r="AQ176" s="268" t="n"/>
      <c r="AR176" s="268" t="n"/>
      <c r="AS176" s="268" t="n"/>
      <c r="AT176" s="268" t="n"/>
      <c r="AU176" s="268" t="n"/>
      <c r="AV176" s="268" t="n"/>
      <c r="AW176" s="268" t="n"/>
      <c r="AX176" s="268" t="n"/>
      <c r="AY176" s="268" t="n"/>
      <c r="AZ176" s="268" t="n"/>
      <c r="BA176" s="268" t="n"/>
      <c r="BB176" s="268" t="n"/>
      <c r="BC176" s="268" t="n"/>
      <c r="BD176" s="268" t="n"/>
      <c r="BE176" s="268" t="n"/>
      <c r="BF176" s="268" t="n"/>
      <c r="BG176" s="268" t="n"/>
      <c r="BH176" s="268" t="n"/>
      <c r="BI176" s="268" t="n"/>
      <c r="BJ176" s="268" t="n"/>
      <c r="BK176" s="268" t="n"/>
      <c r="BL176" s="268" t="n"/>
      <c r="BM176" s="268" t="n"/>
      <c r="BN176" s="268" t="n"/>
      <c r="BO176" s="268" t="n"/>
      <c r="BP176" s="268" t="n"/>
      <c r="BQ176" s="268" t="n"/>
      <c r="BR176" s="268" t="n"/>
      <c r="BS176" s="268" t="n"/>
      <c r="BT176" s="268" t="n"/>
      <c r="BU176" s="268" t="n"/>
      <c r="BV176" s="268" t="n"/>
      <c r="BW176" s="268" t="n"/>
      <c r="BX176" s="268" t="n"/>
      <c r="BY176" s="268" t="n"/>
      <c r="BZ176" s="268" t="n"/>
      <c r="CA176" s="268" t="n"/>
      <c r="CB176" s="268" t="n"/>
      <c r="CC176" s="268" t="n"/>
      <c r="CD176" s="268" t="n"/>
      <c r="CE176" s="268" t="n"/>
      <c r="CF176" s="268" t="n"/>
      <c r="CG176" s="268" t="n"/>
      <c r="CH176" s="268" t="n"/>
      <c r="CI176" s="268" t="n"/>
      <c r="CJ176" s="268" t="n"/>
      <c r="CK176" s="268" t="n"/>
      <c r="CL176" s="268" t="n"/>
      <c r="CM176" s="268" t="n"/>
      <c r="CN176" s="268" t="n"/>
      <c r="CO176" s="268" t="n"/>
      <c r="CP176" s="268" t="n"/>
      <c r="CQ176" s="268" t="n"/>
      <c r="CR176" s="268" t="n"/>
      <c r="CS176" s="268" t="n"/>
      <c r="CT176" s="268" t="n"/>
      <c r="CU176" s="268" t="n"/>
      <c r="CV176" s="268" t="n"/>
      <c r="CW176" s="268" t="n"/>
      <c r="CX176" s="268" t="n"/>
      <c r="CY176" s="268" t="n"/>
    </row>
    <row r="177" hidden="1" outlineLevel="1" ht="12.75" customHeight="1" s="255">
      <c r="C177" s="312" t="n"/>
      <c r="D177" s="268" t="n"/>
      <c r="E177" s="268" t="n"/>
      <c r="F177" s="268" t="n"/>
      <c r="G177" s="268" t="n"/>
      <c r="H177" s="268" t="n"/>
      <c r="I177" s="268" t="n"/>
      <c r="J177" s="268" t="n"/>
      <c r="K177" s="268" t="n"/>
      <c r="L177" s="268" t="n"/>
      <c r="M177" s="268" t="n"/>
      <c r="N177" s="268" t="n"/>
      <c r="O177" s="268" t="n"/>
      <c r="P177" s="268" t="n"/>
      <c r="Q177" s="268" t="n"/>
      <c r="R177" s="268" t="n"/>
      <c r="S177" s="268" t="n"/>
      <c r="T177" s="268" t="n"/>
      <c r="U177" s="268" t="n"/>
      <c r="V177" s="268" t="n"/>
      <c r="W177" s="268" t="n"/>
      <c r="X177" s="268" t="n"/>
      <c r="Y177" s="268" t="n"/>
      <c r="Z177" s="268" t="n"/>
      <c r="AA177" s="268" t="n"/>
      <c r="AB177" s="268" t="n"/>
      <c r="AC177" s="268" t="n"/>
      <c r="AD177" s="268" t="n"/>
      <c r="AE177" s="268" t="n"/>
      <c r="AF177" s="268" t="n"/>
      <c r="AG177" s="268" t="n"/>
      <c r="AH177" s="268" t="n"/>
      <c r="AI177" s="268" t="n"/>
      <c r="AJ177" s="268" t="n"/>
      <c r="AK177" s="268" t="n"/>
      <c r="AL177" s="268" t="n"/>
      <c r="AM177" s="268" t="n"/>
      <c r="AN177" s="268" t="n"/>
      <c r="AO177" s="268" t="n"/>
      <c r="AP177" s="268" t="n"/>
      <c r="AQ177" s="268" t="n"/>
      <c r="AR177" s="268" t="n"/>
      <c r="AS177" s="268" t="n"/>
      <c r="AT177" s="268" t="n"/>
      <c r="AU177" s="268" t="n"/>
      <c r="AV177" s="268" t="n"/>
      <c r="AW177" s="268" t="n"/>
      <c r="AX177" s="268" t="n"/>
      <c r="AY177" s="268" t="n"/>
      <c r="AZ177" s="268" t="n"/>
      <c r="BA177" s="268" t="n"/>
      <c r="BB177" s="268" t="n"/>
      <c r="BC177" s="268" t="n"/>
      <c r="BD177" s="268" t="n"/>
      <c r="BE177" s="268" t="n"/>
      <c r="BF177" s="268" t="n"/>
      <c r="BG177" s="268" t="n"/>
      <c r="BH177" s="268" t="n"/>
      <c r="BI177" s="268" t="n"/>
      <c r="BJ177" s="268" t="n"/>
      <c r="BK177" s="268" t="n"/>
      <c r="BL177" s="268" t="n"/>
      <c r="BM177" s="268" t="n"/>
      <c r="BN177" s="268" t="n"/>
      <c r="BO177" s="268" t="n"/>
      <c r="BP177" s="268" t="n"/>
      <c r="BQ177" s="268" t="n"/>
      <c r="BR177" s="268" t="n"/>
      <c r="BS177" s="268" t="n"/>
      <c r="BT177" s="268" t="n"/>
      <c r="BU177" s="268" t="n"/>
      <c r="BV177" s="268" t="n"/>
      <c r="BW177" s="268" t="n"/>
      <c r="BX177" s="268" t="n"/>
      <c r="BY177" s="268" t="n"/>
      <c r="BZ177" s="268" t="n"/>
      <c r="CA177" s="268" t="n"/>
      <c r="CB177" s="268" t="n"/>
      <c r="CC177" s="268" t="n"/>
      <c r="CD177" s="268" t="n"/>
      <c r="CE177" s="268" t="n"/>
      <c r="CF177" s="268" t="n"/>
      <c r="CG177" s="268" t="n"/>
      <c r="CH177" s="268" t="n"/>
      <c r="CI177" s="268" t="n"/>
      <c r="CJ177" s="268" t="n"/>
      <c r="CK177" s="268" t="n"/>
      <c r="CL177" s="268" t="n"/>
      <c r="CM177" s="268" t="n"/>
      <c r="CN177" s="268" t="n"/>
      <c r="CO177" s="268" t="n"/>
      <c r="CP177" s="268" t="n"/>
      <c r="CQ177" s="268" t="n"/>
      <c r="CR177" s="268" t="n"/>
      <c r="CS177" s="268" t="n"/>
      <c r="CT177" s="268" t="n"/>
      <c r="CU177" s="268" t="n"/>
      <c r="CV177" s="268" t="n"/>
      <c r="CW177" s="268" t="n"/>
      <c r="CX177" s="268" t="n"/>
      <c r="CY177" s="268" t="n"/>
    </row>
    <row r="178" ht="12.75" customHeight="1" s="255">
      <c r="C178" s="270" t="inlineStr">
        <is>
          <t>Right-of-use-assets</t>
        </is>
      </c>
      <c r="D178" s="301">
        <f>INDEX('Inputs (2)'!$D$23:$AL$23,MATCH(D$7,'Inputs (2)'!$D$2:$AL$2,0))</f>
        <v>16895</v>
      </c>
      <c r="E178" s="301">
        <f>INDEX('Inputs (2)'!$D$23:$AL$23,MATCH(E$7,'Inputs (2)'!$D$2:$AL$2,0))</f>
        <v>16869</v>
      </c>
      <c r="F178" s="301">
        <f>INDEX('Inputs (2)'!$D$23:$AL$23,MATCH(F$7,'Inputs (2)'!$D$2:$AL$2,0))</f>
        <v>17128</v>
      </c>
      <c r="G178" s="301">
        <f>INDEX('Inputs (2)'!$D$23:$AL$23,MATCH(G$7,'Inputs (2)'!$D$2:$AL$2,0))</f>
        <v>13642</v>
      </c>
      <c r="H178" s="268">
        <f>G178</f>
        <v>13642</v>
      </c>
      <c r="I178" s="301">
        <f>INDEX('Inputs (2)'!$D$23:$AL$23,MATCH(I$7,'Inputs (2)'!$D$2:$AL$2,0))</f>
        <v>13650</v>
      </c>
      <c r="J178" s="301">
        <f>INDEX('Inputs (2)'!$D$23:$AL$23,MATCH(J$7,'Inputs (2)'!$D$2:$AL$2,0))</f>
        <v>13868</v>
      </c>
      <c r="K178" s="301">
        <f>INDEX('Inputs (2)'!$D$23:$AL$23,MATCH(K$7,'Inputs (2)'!$D$2:$AL$2,0))</f>
        <v>13863</v>
      </c>
      <c r="L178" s="301">
        <f>INDEX('Inputs (2)'!$D$23:$AL$23,MATCH(L$7,'Inputs (2)'!$D$2:$AL$2,0))</f>
        <v>13758</v>
      </c>
      <c r="M178" s="268">
        <f>L178</f>
        <v>13758</v>
      </c>
      <c r="N178" s="301">
        <f>INDEX('Inputs (2)'!$D$23:$AL$23,MATCH(N$7,'Inputs (2)'!$D$2:$AL$2,0))</f>
        <v>13971</v>
      </c>
      <c r="O178" s="301">
        <f>INDEX('Inputs (2)'!$D$23:$AL$23,MATCH(O$7,'Inputs (2)'!$D$2:$AL$2,0))</f>
        <v>13872</v>
      </c>
      <c r="P178" s="301">
        <f>INDEX('Inputs (2)'!$D$23:$AL$23,MATCH(P$7,'Inputs (2)'!$D$2:$AL$2,0))</f>
        <v>13394</v>
      </c>
      <c r="Q178" s="301">
        <f>INDEX('Inputs (2)'!$D$23:$AL$23,MATCH(Q$7,'Inputs (2)'!$D$2:$AL$2,0))</f>
        <v>13555</v>
      </c>
      <c r="R178" s="268">
        <f>Q178</f>
        <v>13555</v>
      </c>
      <c r="S178" s="301">
        <f>INDEX('Inputs (2)'!$D$23:$AL$23,MATCH(S$7,'Inputs (2)'!$D$2:$AL$2,0))</f>
        <v>13679</v>
      </c>
      <c r="T178" s="301">
        <f>INDEX('Inputs (2)'!$D$23:$AL$23,MATCH(T$7,'Inputs (2)'!$D$2:$AL$2,0))</f>
        <v>13710</v>
      </c>
      <c r="U178" s="301">
        <f>INDEX('Inputs (2)'!$D$23:$AL$23,MATCH(U$7,'Inputs (2)'!$D$2:$AL$2,0))</f>
        <v>13547</v>
      </c>
      <c r="V178" s="301">
        <f>INDEX('Inputs (2)'!$D$23:$AL$23,MATCH(V$7,'Inputs (2)'!$D$2:$AL$2,0))</f>
        <v>13673</v>
      </c>
      <c r="W178" s="268">
        <f>V178</f>
        <v>13673</v>
      </c>
      <c r="X178" s="301">
        <f>INDEX('Inputs (2)'!$D$23:$AL$23,MATCH(X$7,'Inputs (2)'!$D$2:$AL$2,0))</f>
        <v>13562</v>
      </c>
      <c r="Y178" s="301">
        <f>INDEX('Inputs (2)'!$D$23:$AL$23,MATCH(Y$7,'Inputs (2)'!$D$2:$AL$2,0))</f>
        <v>13579</v>
      </c>
      <c r="Z178" s="301">
        <f>INDEX('Inputs (2)'!$D$23:$AL$23,MATCH(Z$7,'Inputs (2)'!$D$2:$AL$2,0))</f>
        <v>13701</v>
      </c>
      <c r="AA178" s="301">
        <f>INDEX('Inputs (2)'!$D$23:$AL$23,MATCH(AA$7,'Inputs (2)'!$D$2:$AL$2,0))</f>
        <v>13599</v>
      </c>
      <c r="AB178" s="268">
        <f>AA178</f>
        <v>13599</v>
      </c>
      <c r="AC178" s="301">
        <f>INDEX('Inputs (2)'!$D$23:$AL$23,MATCH(AC$7,'Inputs (2)'!$D$2:$AL$2,0))</f>
        <v>13567</v>
      </c>
      <c r="AD178" s="301">
        <f>INDEX('Inputs (2)'!$D$23:$AL$23,MATCH(AD$7,'Inputs (2)'!$D$2:$AL$2,0))</f>
        <v>13953</v>
      </c>
      <c r="AE178" s="301">
        <f>INDEX('Inputs (2)'!$D$23:$AL$23,MATCH(AE$7,'Inputs (2)'!$D$2:$AL$2,0))</f>
        <v>14501</v>
      </c>
      <c r="AF178" s="301">
        <f>INDEX('Inputs (2)'!$D$23:$AL$23,MATCH(AF$7,'Inputs (2)'!$D$2:$AL$2,0))</f>
        <v>14750</v>
      </c>
      <c r="AG178" s="268">
        <f>AF178</f>
        <v>14750</v>
      </c>
      <c r="AH178" s="268">
        <f>INDEX('Inputs (2)'!$D$23:$AL$23,MATCH(AH$7,'Inputs (2)'!$D$2:$AL$2,0))</f>
        <v>15220</v>
      </c>
      <c r="AI178" s="268">
        <f>INDEX('Inputs (2)'!$D$23:$AL$23,MATCH(AI$7,'Inputs (2)'!$D$2:$AL$2,0))</f>
        <v>15650</v>
      </c>
      <c r="AJ178" s="268">
        <f>AI178</f>
        <v>15650</v>
      </c>
      <c r="AK178" s="268">
        <f>AJ178</f>
        <v>15650</v>
      </c>
      <c r="AL178" s="268">
        <f>AK178</f>
        <v>15650</v>
      </c>
      <c r="AM178" s="268">
        <f>AL178</f>
        <v>15650</v>
      </c>
      <c r="AN178" s="268">
        <f>AM178</f>
        <v>15650</v>
      </c>
      <c r="AO178" s="268">
        <f>AN178</f>
        <v>15650</v>
      </c>
      <c r="AP178" s="268">
        <f>AO178</f>
        <v>15650</v>
      </c>
      <c r="AQ178" s="268">
        <f>AP178</f>
        <v>15650</v>
      </c>
      <c r="AR178" s="268">
        <f>AQ178</f>
        <v>15650</v>
      </c>
      <c r="AS178" s="268">
        <f>AR178</f>
        <v>15650</v>
      </c>
      <c r="AT178" s="268">
        <f>AS178</f>
        <v>15650</v>
      </c>
      <c r="AU178" s="268">
        <f>AT178</f>
        <v>15650</v>
      </c>
      <c r="AV178" s="268">
        <f>AU178</f>
        <v>15650</v>
      </c>
      <c r="AW178" s="268">
        <f>AV178</f>
        <v>15650</v>
      </c>
      <c r="AX178" s="268">
        <f>AW178</f>
        <v>15650</v>
      </c>
      <c r="AY178" s="268">
        <f>AX178</f>
        <v>15650</v>
      </c>
      <c r="AZ178" s="268">
        <f>AY178</f>
        <v>15650</v>
      </c>
      <c r="BA178" s="268">
        <f>AZ178</f>
        <v>15650</v>
      </c>
      <c r="BB178" s="268">
        <f>BA178</f>
        <v>15650</v>
      </c>
      <c r="BC178" s="268">
        <f>BB178</f>
        <v>15650</v>
      </c>
      <c r="BD178" s="268">
        <f>BC178</f>
        <v>15650</v>
      </c>
      <c r="BE178" s="268">
        <f>BD178</f>
        <v>15650</v>
      </c>
      <c r="BF178" s="268">
        <f>BE178</f>
        <v>15650</v>
      </c>
      <c r="BG178" s="268">
        <f>BF178</f>
        <v>15650</v>
      </c>
      <c r="BH178" s="268">
        <f>BG178</f>
        <v>15650</v>
      </c>
      <c r="BI178" s="268">
        <f>BH178</f>
        <v>15650</v>
      </c>
      <c r="BJ178" s="268">
        <f>BI178</f>
        <v>15650</v>
      </c>
      <c r="BK178" s="268">
        <f>BJ178</f>
        <v>15650</v>
      </c>
      <c r="BL178" s="268">
        <f>BK178</f>
        <v>15650</v>
      </c>
      <c r="BM178" s="268">
        <f>BL178</f>
        <v>15650</v>
      </c>
      <c r="BN178" s="268">
        <f>BM178</f>
        <v>15650</v>
      </c>
      <c r="BO178" s="268">
        <f>BN178</f>
        <v>15650</v>
      </c>
      <c r="BP178" s="268">
        <f>BO178</f>
        <v>15650</v>
      </c>
      <c r="BQ178" s="268">
        <f>BP178</f>
        <v>15650</v>
      </c>
      <c r="BR178" s="268">
        <f>BQ178</f>
        <v>15650</v>
      </c>
      <c r="BS178" s="268">
        <f>BR178</f>
        <v>15650</v>
      </c>
      <c r="BT178" s="268">
        <f>BS178</f>
        <v>15650</v>
      </c>
      <c r="BU178" s="268">
        <f>BT178</f>
        <v>15650</v>
      </c>
      <c r="BV178" s="268">
        <f>BU178</f>
        <v>15650</v>
      </c>
      <c r="BW178" s="268">
        <f>BV178</f>
        <v>15650</v>
      </c>
      <c r="BX178" s="268">
        <f>BW178</f>
        <v>15650</v>
      </c>
      <c r="BY178" s="268">
        <f>BX178</f>
        <v>15650</v>
      </c>
      <c r="BZ178" s="268">
        <f>BY178</f>
        <v>15650</v>
      </c>
      <c r="CA178" s="268">
        <f>BZ178</f>
        <v>15650</v>
      </c>
      <c r="CB178" s="268">
        <f>CA178</f>
        <v>15650</v>
      </c>
      <c r="CC178" s="268">
        <f>CB178</f>
        <v>15650</v>
      </c>
      <c r="CD178" s="268">
        <f>CC178</f>
        <v>15650</v>
      </c>
      <c r="CE178" s="268">
        <f>CD178</f>
        <v>15650</v>
      </c>
      <c r="CF178" s="268">
        <f>CE178</f>
        <v>15650</v>
      </c>
      <c r="CG178" s="268">
        <f>CF178</f>
        <v>15650</v>
      </c>
      <c r="CH178" s="268">
        <f>CG178</f>
        <v>15650</v>
      </c>
      <c r="CI178" s="268">
        <f>CH178</f>
        <v>15650</v>
      </c>
      <c r="CJ178" s="268">
        <f>CI178</f>
        <v>15650</v>
      </c>
      <c r="CK178" s="268">
        <f>CJ178</f>
        <v>15650</v>
      </c>
      <c r="CL178" s="268">
        <f>CK178</f>
        <v>15650</v>
      </c>
      <c r="CM178" s="268">
        <f>CL178</f>
        <v>15650</v>
      </c>
      <c r="CN178" s="268">
        <f>CM178</f>
        <v>15650</v>
      </c>
      <c r="CO178" s="268">
        <f>CN178</f>
        <v>15650</v>
      </c>
      <c r="CP178" s="268">
        <f>CO178</f>
        <v>15650</v>
      </c>
      <c r="CQ178" s="268">
        <f>CP178</f>
        <v>15650</v>
      </c>
      <c r="CR178" s="268">
        <f>CQ178</f>
        <v>15650</v>
      </c>
      <c r="CS178" s="268">
        <f>CR178</f>
        <v>15650</v>
      </c>
      <c r="CT178" s="268">
        <f>CS178</f>
        <v>15650</v>
      </c>
      <c r="CU178" s="268">
        <f>CT178</f>
        <v>15650</v>
      </c>
      <c r="CV178" s="268">
        <f>CU178</f>
        <v>15650</v>
      </c>
      <c r="CW178" s="268">
        <f>CV178</f>
        <v>15650</v>
      </c>
      <c r="CX178" s="268">
        <f>CW178</f>
        <v>15650</v>
      </c>
      <c r="CY178" s="268">
        <f>CX178</f>
        <v>15650</v>
      </c>
    </row>
    <row r="179" hidden="1" outlineLevel="1" ht="12.75" customHeight="1" s="255">
      <c r="C179" s="314" t="inlineStr">
        <is>
          <t>%(Var.)</t>
        </is>
      </c>
      <c r="D179" s="268" t="n"/>
      <c r="E179" s="296">
        <f>IFERROR((E178-D178)/D178,0)</f>
        <v>-0.00153891683930157</v>
      </c>
      <c r="F179" s="296">
        <f>IFERROR((F178-E178)/E178,0)</f>
        <v>0.0153536072084889</v>
      </c>
      <c r="G179" s="296">
        <f>IFERROR((G178-F178)/F178,0)</f>
        <v>-0.203526389537599</v>
      </c>
      <c r="H179" s="268" t="n"/>
      <c r="I179" s="296">
        <f>IFERROR((I178-H178)/H178,0)</f>
        <v>0.000586424277965108</v>
      </c>
      <c r="J179" s="296">
        <f>IFERROR((J178-I178)/I178,0)</f>
        <v>0.015970695970696</v>
      </c>
      <c r="K179" s="296">
        <f>IFERROR((K178-J178)/J178,0)</f>
        <v>-0.000360542255552351</v>
      </c>
      <c r="L179" s="296">
        <f>IFERROR((L178-K178)/K178,0)</f>
        <v>-0.00757411815624324</v>
      </c>
      <c r="M179" s="268" t="n"/>
      <c r="N179" s="296">
        <f>IFERROR((N178-M178)/M178,0)</f>
        <v>0.0154819014391627</v>
      </c>
      <c r="O179" s="296">
        <f>IFERROR((O178-N178)/N178,0)</f>
        <v>-0.00708610693579558</v>
      </c>
      <c r="P179" s="296">
        <f>IFERROR((P178-O178)/O178,0)</f>
        <v>-0.0344579008073818</v>
      </c>
      <c r="Q179" s="296">
        <f>IFERROR((Q178-P178)/P178,0)</f>
        <v>0.0120203076004181</v>
      </c>
      <c r="R179" s="268" t="n"/>
      <c r="S179" s="296">
        <f>IFERROR((S178-R178)/R178,0)</f>
        <v>0.00914791589819255</v>
      </c>
      <c r="T179" s="296">
        <f>IFERROR((T178-S178)/S178,0)</f>
        <v>0.00226624753271438</v>
      </c>
      <c r="U179" s="296">
        <f>IFERROR((U178-T178)/T178,0)</f>
        <v>-0.011889132020423</v>
      </c>
      <c r="V179" s="296">
        <f>IFERROR((V178-U178)/U178,0)</f>
        <v>0.00930095224034842</v>
      </c>
      <c r="W179" s="268" t="n"/>
      <c r="X179" s="296">
        <f>IFERROR((X178-W178)/W178,0)</f>
        <v>-0.00811818913186572</v>
      </c>
      <c r="Y179" s="296">
        <f>IFERROR((Y178-X178)/X178,0)</f>
        <v>0.00125350243326943</v>
      </c>
      <c r="Z179" s="296">
        <f>IFERROR((Z178-Y178)/Y178,0)</f>
        <v>0.00898446130053759</v>
      </c>
      <c r="AA179" s="296">
        <f>IFERROR((AA178-Z178)/Z178,0)</f>
        <v>-0.00744471206481279</v>
      </c>
      <c r="AB179" s="268" t="n"/>
      <c r="AC179" s="296">
        <f>IFERROR((AC178-AB178)/AB178,0)</f>
        <v>-0.0023531141995735</v>
      </c>
      <c r="AD179" s="296">
        <f>IFERROR((AD178-AC178)/AC178,0)</f>
        <v>0.0284513894007518</v>
      </c>
      <c r="AE179" s="296">
        <f>IFERROR((AE178-AD178)/AD178,0)</f>
        <v>0.0392747079481115</v>
      </c>
      <c r="AF179" s="311">
        <f>IFERROR((AF178-AE178)/AE178,0)</f>
        <v>0.0171712295703745</v>
      </c>
      <c r="AG179" s="268" t="n"/>
      <c r="AH179" s="311">
        <f>IFERROR((AH178-AG178)/AG178,0)</f>
        <v>0.031864406779661</v>
      </c>
      <c r="AI179" s="311">
        <f>IFERROR((AI178-AH178)/AH178,0)</f>
        <v>0.0282522996057819</v>
      </c>
      <c r="AJ179" s="311" t="n"/>
      <c r="AK179" s="311" t="n"/>
      <c r="AL179" s="268" t="n"/>
      <c r="AM179" s="311" t="n"/>
      <c r="AN179" s="311" t="n"/>
      <c r="AO179" s="311" t="n"/>
      <c r="AP179" s="311" t="n"/>
      <c r="AQ179" s="268" t="n"/>
      <c r="AR179" s="311" t="n"/>
      <c r="AS179" s="311" t="n"/>
      <c r="AT179" s="311" t="n"/>
      <c r="AU179" s="311" t="n"/>
      <c r="AV179" s="268" t="n"/>
      <c r="AW179" s="311" t="n"/>
      <c r="AX179" s="311" t="n"/>
      <c r="AY179" s="311" t="n"/>
      <c r="AZ179" s="311" t="n"/>
      <c r="BA179" s="268" t="n"/>
      <c r="BB179" s="311" t="n"/>
      <c r="BC179" s="311" t="n"/>
      <c r="BD179" s="311" t="n"/>
      <c r="BE179" s="311" t="n"/>
      <c r="BF179" s="268" t="n"/>
      <c r="BG179" s="311" t="n"/>
      <c r="BH179" s="311" t="n"/>
      <c r="BI179" s="311" t="n"/>
      <c r="BJ179" s="311" t="n"/>
      <c r="BK179" s="268" t="n"/>
      <c r="BL179" s="311" t="n"/>
      <c r="BM179" s="311" t="n"/>
      <c r="BN179" s="311" t="n"/>
      <c r="BO179" s="311" t="n"/>
      <c r="BP179" s="268" t="n"/>
      <c r="BQ179" s="311" t="n"/>
      <c r="BR179" s="311" t="n"/>
      <c r="BS179" s="311" t="n"/>
      <c r="BT179" s="311" t="n"/>
      <c r="BU179" s="268" t="n"/>
      <c r="BV179" s="311" t="n"/>
      <c r="BW179" s="311" t="n"/>
      <c r="BX179" s="311" t="n"/>
      <c r="BY179" s="311" t="n"/>
      <c r="BZ179" s="268" t="n"/>
      <c r="CA179" s="311" t="n"/>
      <c r="CB179" s="311" t="n"/>
      <c r="CC179" s="311" t="n"/>
      <c r="CD179" s="311" t="n"/>
      <c r="CE179" s="268" t="n"/>
      <c r="CF179" s="311" t="n"/>
      <c r="CG179" s="311" t="n"/>
      <c r="CH179" s="311" t="n"/>
      <c r="CI179" s="311" t="n"/>
      <c r="CJ179" s="268" t="n"/>
      <c r="CK179" s="311" t="n"/>
      <c r="CL179" s="311" t="n"/>
      <c r="CM179" s="311" t="n"/>
      <c r="CN179" s="311" t="n"/>
      <c r="CO179" s="268" t="n"/>
      <c r="CP179" s="311" t="n"/>
      <c r="CQ179" s="311" t="n"/>
      <c r="CR179" s="311" t="n"/>
      <c r="CS179" s="311" t="n"/>
      <c r="CT179" s="268" t="n"/>
      <c r="CU179" s="311" t="n"/>
      <c r="CV179" s="311" t="n"/>
      <c r="CW179" s="311" t="n"/>
      <c r="CX179" s="311" t="n"/>
      <c r="CY179" s="268" t="n"/>
    </row>
    <row r="180" hidden="1" outlineLevel="1" ht="12.75" customHeight="1" s="255">
      <c r="C180" s="312" t="n"/>
      <c r="D180" s="268" t="n"/>
      <c r="E180" s="268" t="n"/>
      <c r="F180" s="268" t="n"/>
      <c r="G180" s="268" t="n"/>
      <c r="H180" s="268" t="n"/>
      <c r="I180" s="268" t="n"/>
      <c r="J180" s="268" t="n"/>
      <c r="K180" s="268" t="n"/>
      <c r="L180" s="268" t="n"/>
      <c r="M180" s="268" t="n"/>
      <c r="N180" s="268" t="n"/>
      <c r="O180" s="268" t="n"/>
      <c r="P180" s="268" t="n"/>
      <c r="Q180" s="268" t="n"/>
      <c r="R180" s="268" t="n"/>
      <c r="S180" s="268" t="n"/>
      <c r="T180" s="268" t="n"/>
      <c r="U180" s="268" t="n"/>
      <c r="V180" s="268" t="n"/>
      <c r="W180" s="268" t="n"/>
      <c r="X180" s="268" t="n"/>
      <c r="Y180" s="268" t="n"/>
      <c r="Z180" s="268" t="n"/>
      <c r="AA180" s="268" t="n"/>
      <c r="AB180" s="268" t="n"/>
      <c r="AC180" s="268" t="n"/>
      <c r="AD180" s="268" t="n"/>
      <c r="AE180" s="268" t="n"/>
      <c r="AF180" s="268" t="n"/>
      <c r="AG180" s="268" t="n"/>
      <c r="AH180" s="268" t="n"/>
      <c r="AI180" s="268" t="n"/>
      <c r="AJ180" s="268" t="n"/>
      <c r="AK180" s="268" t="n"/>
      <c r="AL180" s="268" t="n"/>
      <c r="AM180" s="268" t="n"/>
      <c r="AN180" s="268" t="n"/>
      <c r="AO180" s="268" t="n"/>
      <c r="AP180" s="268" t="n"/>
      <c r="AQ180" s="268" t="n"/>
      <c r="AR180" s="268" t="n"/>
      <c r="AS180" s="268" t="n"/>
      <c r="AT180" s="268" t="n"/>
      <c r="AU180" s="268" t="n"/>
      <c r="AV180" s="268" t="n"/>
      <c r="AW180" s="268" t="n"/>
      <c r="AX180" s="268" t="n"/>
      <c r="AY180" s="268" t="n"/>
      <c r="AZ180" s="268" t="n"/>
      <c r="BA180" s="268" t="n"/>
      <c r="BB180" s="268" t="n"/>
      <c r="BC180" s="268" t="n"/>
      <c r="BD180" s="268" t="n"/>
      <c r="BE180" s="268" t="n"/>
      <c r="BF180" s="268" t="n"/>
      <c r="BG180" s="268" t="n"/>
      <c r="BH180" s="268" t="n"/>
      <c r="BI180" s="268" t="n"/>
      <c r="BJ180" s="268" t="n"/>
      <c r="BK180" s="268" t="n"/>
      <c r="BL180" s="268" t="n"/>
      <c r="BM180" s="268" t="n"/>
      <c r="BN180" s="268" t="n"/>
      <c r="BO180" s="268" t="n"/>
      <c r="BP180" s="268" t="n"/>
      <c r="BQ180" s="268" t="n"/>
      <c r="BR180" s="268" t="n"/>
      <c r="BS180" s="268" t="n"/>
      <c r="BT180" s="268" t="n"/>
      <c r="BU180" s="268" t="n"/>
      <c r="BV180" s="268" t="n"/>
      <c r="BW180" s="268" t="n"/>
      <c r="BX180" s="268" t="n"/>
      <c r="BY180" s="268" t="n"/>
      <c r="BZ180" s="268" t="n"/>
      <c r="CA180" s="268" t="n"/>
      <c r="CB180" s="268" t="n"/>
      <c r="CC180" s="268" t="n"/>
      <c r="CD180" s="268" t="n"/>
      <c r="CE180" s="268" t="n"/>
      <c r="CF180" s="268" t="n"/>
      <c r="CG180" s="268" t="n"/>
      <c r="CH180" s="268" t="n"/>
      <c r="CI180" s="268" t="n"/>
      <c r="CJ180" s="268" t="n"/>
      <c r="CK180" s="268" t="n"/>
      <c r="CL180" s="268" t="n"/>
      <c r="CM180" s="268" t="n"/>
      <c r="CN180" s="268" t="n"/>
      <c r="CO180" s="268" t="n"/>
      <c r="CP180" s="268" t="n"/>
      <c r="CQ180" s="268" t="n"/>
      <c r="CR180" s="268" t="n"/>
      <c r="CS180" s="268" t="n"/>
      <c r="CT180" s="268" t="n"/>
      <c r="CU180" s="268" t="n"/>
      <c r="CV180" s="268" t="n"/>
      <c r="CW180" s="268" t="n"/>
      <c r="CX180" s="268" t="n"/>
      <c r="CY180" s="268" t="n"/>
    </row>
    <row r="181" ht="12.75" customHeight="1" s="255">
      <c r="C181" s="270" t="inlineStr">
        <is>
          <t>Goodwill</t>
        </is>
      </c>
      <c r="D181" s="301">
        <f>INDEX('Inputs (2)'!$D$24:$AL$24,MATCH(D$7,'Inputs (2)'!$D$2:$AL$2,0))</f>
        <v>29416</v>
      </c>
      <c r="E181" s="301">
        <f>INDEX('Inputs (2)'!$D$24:$AL$24,MATCH(E$7,'Inputs (2)'!$D$2:$AL$2,0))</f>
        <v>29542</v>
      </c>
      <c r="F181" s="301">
        <f>INDEX('Inputs (2)'!$D$24:$AL$24,MATCH(F$7,'Inputs (2)'!$D$2:$AL$2,0))</f>
        <v>30236</v>
      </c>
      <c r="G181" s="301">
        <f>INDEX('Inputs (2)'!$D$24:$AL$24,MATCH(G$7,'Inputs (2)'!$D$2:$AL$2,0))</f>
        <v>28983</v>
      </c>
      <c r="H181" s="268">
        <f>G181</f>
        <v>28983</v>
      </c>
      <c r="I181" s="301">
        <f>INDEX('Inputs (2)'!$D$24:$AL$24,MATCH(I$7,'Inputs (2)'!$D$2:$AL$2,0))</f>
        <v>28872</v>
      </c>
      <c r="J181" s="301">
        <f>INDEX('Inputs (2)'!$D$24:$AL$24,MATCH(J$7,'Inputs (2)'!$D$2:$AL$2,0))</f>
        <v>29159</v>
      </c>
      <c r="K181" s="301">
        <f>INDEX('Inputs (2)'!$D$24:$AL$24,MATCH(K$7,'Inputs (2)'!$D$2:$AL$2,0))</f>
        <v>28923</v>
      </c>
      <c r="L181" s="301">
        <f>INDEX('Inputs (2)'!$D$24:$AL$24,MATCH(L$7,'Inputs (2)'!$D$2:$AL$2,0))</f>
        <v>29014</v>
      </c>
      <c r="M181" s="268">
        <f>L181</f>
        <v>29014</v>
      </c>
      <c r="N181" s="301">
        <f>INDEX('Inputs (2)'!$D$24:$AL$24,MATCH(N$7,'Inputs (2)'!$D$2:$AL$2,0))</f>
        <v>29438</v>
      </c>
      <c r="O181" s="301">
        <f>INDEX('Inputs (2)'!$D$24:$AL$24,MATCH(O$7,'Inputs (2)'!$D$2:$AL$2,0))</f>
        <v>28664</v>
      </c>
      <c r="P181" s="301">
        <f>INDEX('Inputs (2)'!$D$24:$AL$24,MATCH(P$7,'Inputs (2)'!$D$2:$AL$2,0))</f>
        <v>28137</v>
      </c>
      <c r="Q181" s="301">
        <f>INDEX('Inputs (2)'!$D$24:$AL$24,MATCH(Q$7,'Inputs (2)'!$D$2:$AL$2,0))</f>
        <v>28174</v>
      </c>
      <c r="R181" s="268">
        <f>Q181</f>
        <v>28174</v>
      </c>
      <c r="S181" s="301">
        <f>INDEX('Inputs (2)'!$D$24:$AL$24,MATCH(S$7,'Inputs (2)'!$D$2:$AL$2,0))</f>
        <v>28306</v>
      </c>
      <c r="T181" s="301">
        <f>INDEX('Inputs (2)'!$D$24:$AL$24,MATCH(T$7,'Inputs (2)'!$D$2:$AL$2,0))</f>
        <v>28268</v>
      </c>
      <c r="U181" s="301">
        <f>INDEX('Inputs (2)'!$D$24:$AL$24,MATCH(U$7,'Inputs (2)'!$D$2:$AL$2,0))</f>
        <v>28015</v>
      </c>
      <c r="V181" s="301">
        <f>INDEX('Inputs (2)'!$D$24:$AL$24,MATCH(V$7,'Inputs (2)'!$D$2:$AL$2,0))</f>
        <v>28113</v>
      </c>
      <c r="W181" s="268">
        <f>V181</f>
        <v>28113</v>
      </c>
      <c r="X181" s="301">
        <f>INDEX('Inputs (2)'!$D$24:$AL$24,MATCH(X$7,'Inputs (2)'!$D$2:$AL$2,0))</f>
        <v>27999</v>
      </c>
      <c r="Y181" s="301">
        <f>INDEX('Inputs (2)'!$D$24:$AL$24,MATCH(Y$7,'Inputs (2)'!$D$2:$AL$2,0))</f>
        <v>27930</v>
      </c>
      <c r="Z181" s="301">
        <f>INDEX('Inputs (2)'!$D$24:$AL$24,MATCH(Z$7,'Inputs (2)'!$D$2:$AL$2,0))</f>
        <v>27942</v>
      </c>
      <c r="AA181" s="301">
        <f>INDEX('Inputs (2)'!$D$24:$AL$24,MATCH(AA$7,'Inputs (2)'!$D$2:$AL$2,0))</f>
        <v>28792</v>
      </c>
      <c r="AB181" s="268">
        <f>AA181</f>
        <v>28792</v>
      </c>
      <c r="AC181" s="301">
        <f>INDEX('Inputs (2)'!$D$24:$AL$24,MATCH(AC$7,'Inputs (2)'!$D$2:$AL$2,0))</f>
        <v>28866</v>
      </c>
      <c r="AD181" s="301">
        <f>INDEX('Inputs (2)'!$D$24:$AL$24,MATCH(AD$7,'Inputs (2)'!$D$2:$AL$2,0))</f>
        <v>29060</v>
      </c>
      <c r="AE181" s="301">
        <f>INDEX('Inputs (2)'!$D$24:$AL$24,MATCH(AE$7,'Inputs (2)'!$D$2:$AL$2,0))</f>
        <v>28722</v>
      </c>
      <c r="AF181" s="301">
        <f>INDEX('Inputs (2)'!$D$24:$AL$24,MATCH(AF$7,'Inputs (2)'!$D$2:$AL$2,0))</f>
        <v>28735</v>
      </c>
      <c r="AG181" s="268">
        <f>AF181</f>
        <v>28735</v>
      </c>
      <c r="AH181" s="268">
        <f>INDEX('Inputs (2)'!$D$24:$AL$24,MATCH(AH$7,'Inputs (2)'!$D$2:$AL$2,0))</f>
        <v>28152</v>
      </c>
      <c r="AI181" s="268">
        <f>INDEX('Inputs (2)'!$D$24:$AL$24,MATCH(AI$7,'Inputs (2)'!$D$2:$AL$2,0))</f>
        <v>28260</v>
      </c>
      <c r="AJ181" s="268">
        <f>AI181</f>
        <v>28260</v>
      </c>
      <c r="AK181" s="268">
        <f>AJ181</f>
        <v>28260</v>
      </c>
      <c r="AL181" s="268">
        <f>AK181</f>
        <v>28260</v>
      </c>
      <c r="AM181" s="268">
        <f>AL181</f>
        <v>28260</v>
      </c>
      <c r="AN181" s="268">
        <f>AM181</f>
        <v>28260</v>
      </c>
      <c r="AO181" s="268">
        <f>AN181</f>
        <v>28260</v>
      </c>
      <c r="AP181" s="268">
        <f>AO181</f>
        <v>28260</v>
      </c>
      <c r="AQ181" s="268">
        <f>AP181</f>
        <v>28260</v>
      </c>
      <c r="AR181" s="268">
        <f>AQ181</f>
        <v>28260</v>
      </c>
      <c r="AS181" s="268">
        <f>AR181</f>
        <v>28260</v>
      </c>
      <c r="AT181" s="268">
        <f>AS181</f>
        <v>28260</v>
      </c>
      <c r="AU181" s="268">
        <f>AT181</f>
        <v>28260</v>
      </c>
      <c r="AV181" s="268">
        <f>AU181</f>
        <v>28260</v>
      </c>
      <c r="AW181" s="268">
        <f>AV181</f>
        <v>28260</v>
      </c>
      <c r="AX181" s="268">
        <f>AW181</f>
        <v>28260</v>
      </c>
      <c r="AY181" s="268">
        <f>AX181</f>
        <v>28260</v>
      </c>
      <c r="AZ181" s="268">
        <f>AY181</f>
        <v>28260</v>
      </c>
      <c r="BA181" s="268">
        <f>AZ181</f>
        <v>28260</v>
      </c>
      <c r="BB181" s="268">
        <f>BA181</f>
        <v>28260</v>
      </c>
      <c r="BC181" s="268">
        <f>BB181</f>
        <v>28260</v>
      </c>
      <c r="BD181" s="268">
        <f>BC181</f>
        <v>28260</v>
      </c>
      <c r="BE181" s="268">
        <f>BD181</f>
        <v>28260</v>
      </c>
      <c r="BF181" s="268">
        <f>BE181</f>
        <v>28260</v>
      </c>
      <c r="BG181" s="268">
        <f>BF181</f>
        <v>28260</v>
      </c>
      <c r="BH181" s="268">
        <f>BG181</f>
        <v>28260</v>
      </c>
      <c r="BI181" s="268">
        <f>BH181</f>
        <v>28260</v>
      </c>
      <c r="BJ181" s="268">
        <f>BI181</f>
        <v>28260</v>
      </c>
      <c r="BK181" s="268">
        <f>BJ181</f>
        <v>28260</v>
      </c>
      <c r="BL181" s="268">
        <f>BK181</f>
        <v>28260</v>
      </c>
      <c r="BM181" s="268">
        <f>BL181</f>
        <v>28260</v>
      </c>
      <c r="BN181" s="268">
        <f>BM181</f>
        <v>28260</v>
      </c>
      <c r="BO181" s="268">
        <f>BN181</f>
        <v>28260</v>
      </c>
      <c r="BP181" s="268">
        <f>BO181</f>
        <v>28260</v>
      </c>
      <c r="BQ181" s="268">
        <f>BP181</f>
        <v>28260</v>
      </c>
      <c r="BR181" s="268">
        <f>BQ181</f>
        <v>28260</v>
      </c>
      <c r="BS181" s="268">
        <f>BR181</f>
        <v>28260</v>
      </c>
      <c r="BT181" s="268">
        <f>BS181</f>
        <v>28260</v>
      </c>
      <c r="BU181" s="268">
        <f>BT181</f>
        <v>28260</v>
      </c>
      <c r="BV181" s="268">
        <f>BU181</f>
        <v>28260</v>
      </c>
      <c r="BW181" s="268">
        <f>BV181</f>
        <v>28260</v>
      </c>
      <c r="BX181" s="268">
        <f>BW181</f>
        <v>28260</v>
      </c>
      <c r="BY181" s="268">
        <f>BX181</f>
        <v>28260</v>
      </c>
      <c r="BZ181" s="268">
        <f>BY181</f>
        <v>28260</v>
      </c>
      <c r="CA181" s="268">
        <f>BZ181</f>
        <v>28260</v>
      </c>
      <c r="CB181" s="268">
        <f>CA181</f>
        <v>28260</v>
      </c>
      <c r="CC181" s="268">
        <f>CB181</f>
        <v>28260</v>
      </c>
      <c r="CD181" s="268">
        <f>CC181</f>
        <v>28260</v>
      </c>
      <c r="CE181" s="268">
        <f>CD181</f>
        <v>28260</v>
      </c>
      <c r="CF181" s="268">
        <f>CE181</f>
        <v>28260</v>
      </c>
      <c r="CG181" s="268">
        <f>CF181</f>
        <v>28260</v>
      </c>
      <c r="CH181" s="268">
        <f>CG181</f>
        <v>28260</v>
      </c>
      <c r="CI181" s="268">
        <f>CH181</f>
        <v>28260</v>
      </c>
      <c r="CJ181" s="268">
        <f>CI181</f>
        <v>28260</v>
      </c>
      <c r="CK181" s="268">
        <f>CJ181</f>
        <v>28260</v>
      </c>
      <c r="CL181" s="268">
        <f>CK181</f>
        <v>28260</v>
      </c>
      <c r="CM181" s="268">
        <f>CL181</f>
        <v>28260</v>
      </c>
      <c r="CN181" s="268">
        <f>CM181</f>
        <v>28260</v>
      </c>
      <c r="CO181" s="268">
        <f>CN181</f>
        <v>28260</v>
      </c>
      <c r="CP181" s="268">
        <f>CO181</f>
        <v>28260</v>
      </c>
      <c r="CQ181" s="268">
        <f>CP181</f>
        <v>28260</v>
      </c>
      <c r="CR181" s="268">
        <f>CQ181</f>
        <v>28260</v>
      </c>
      <c r="CS181" s="268">
        <f>CR181</f>
        <v>28260</v>
      </c>
      <c r="CT181" s="268">
        <f>CS181</f>
        <v>28260</v>
      </c>
      <c r="CU181" s="268">
        <f>CT181</f>
        <v>28260</v>
      </c>
      <c r="CV181" s="268">
        <f>CU181</f>
        <v>28260</v>
      </c>
      <c r="CW181" s="268">
        <f>CV181</f>
        <v>28260</v>
      </c>
      <c r="CX181" s="268">
        <f>CW181</f>
        <v>28260</v>
      </c>
      <c r="CY181" s="268">
        <f>CX181</f>
        <v>28260</v>
      </c>
    </row>
    <row r="182" ht="12.75" customHeight="1" s="255">
      <c r="C182" s="270" t="inlineStr">
        <is>
          <t>Intangibles</t>
        </is>
      </c>
      <c r="D182" s="301">
        <f>INDEX('Inputs (2)'!$D$25:$AL$25,MATCH(D$7,'Inputs (2)'!$D$2:$AL$2,0))</f>
        <v>0</v>
      </c>
      <c r="E182" s="301">
        <f>INDEX('Inputs (2)'!$D$25:$AL$25,MATCH(E$7,'Inputs (2)'!$D$2:$AL$2,0))</f>
        <v>0</v>
      </c>
      <c r="F182" s="301">
        <f>INDEX('Inputs (2)'!$D$25:$AL$25,MATCH(F$7,'Inputs (2)'!$D$2:$AL$2,0))</f>
        <v>0</v>
      </c>
      <c r="G182" s="301">
        <f>INDEX('Inputs (2)'!$D$25:$AL$25,MATCH(G$7,'Inputs (2)'!$D$2:$AL$2,0))</f>
        <v>0</v>
      </c>
      <c r="H182" s="268">
        <f>G182</f>
        <v>0</v>
      </c>
      <c r="I182" s="301">
        <f>INDEX('Inputs (2)'!$D$25:$AL$25,MATCH(I$7,'Inputs (2)'!$D$2:$AL$2,0))</f>
        <v>0</v>
      </c>
      <c r="J182" s="301">
        <f>INDEX('Inputs (2)'!$D$25:$AL$25,MATCH(J$7,'Inputs (2)'!$D$2:$AL$2,0))</f>
        <v>0</v>
      </c>
      <c r="K182" s="301">
        <f>INDEX('Inputs (2)'!$D$25:$AL$25,MATCH(K$7,'Inputs (2)'!$D$2:$AL$2,0))</f>
        <v>0</v>
      </c>
      <c r="L182" s="301">
        <f>INDEX('Inputs (2)'!$D$25:$AL$25,MATCH(L$7,'Inputs (2)'!$D$2:$AL$2,0))</f>
        <v>0</v>
      </c>
      <c r="M182" s="268">
        <f>L182</f>
        <v>0</v>
      </c>
      <c r="N182" s="301">
        <f>INDEX('Inputs (2)'!$D$25:$AL$25,MATCH(N$7,'Inputs (2)'!$D$2:$AL$2,0))</f>
        <v>0</v>
      </c>
      <c r="O182" s="301">
        <f>INDEX('Inputs (2)'!$D$25:$AL$25,MATCH(O$7,'Inputs (2)'!$D$2:$AL$2,0))</f>
        <v>0</v>
      </c>
      <c r="P182" s="301">
        <f>INDEX('Inputs (2)'!$D$25:$AL$25,MATCH(P$7,'Inputs (2)'!$D$2:$AL$2,0))</f>
        <v>0</v>
      </c>
      <c r="Q182" s="301">
        <f>INDEX('Inputs (2)'!$D$25:$AL$25,MATCH(Q$7,'Inputs (2)'!$D$2:$AL$2,0))</f>
        <v>0</v>
      </c>
      <c r="R182" s="268">
        <f>Q182</f>
        <v>0</v>
      </c>
      <c r="S182" s="301">
        <f>INDEX('Inputs (2)'!$D$25:$AL$25,MATCH(S$7,'Inputs (2)'!$D$2:$AL$2,0))</f>
        <v>0</v>
      </c>
      <c r="T182" s="301">
        <f>INDEX('Inputs (2)'!$D$25:$AL$25,MATCH(T$7,'Inputs (2)'!$D$2:$AL$2,0))</f>
        <v>0</v>
      </c>
      <c r="U182" s="301">
        <f>INDEX('Inputs (2)'!$D$25:$AL$25,MATCH(U$7,'Inputs (2)'!$D$2:$AL$2,0))</f>
        <v>0</v>
      </c>
      <c r="V182" s="301">
        <f>INDEX('Inputs (2)'!$D$25:$AL$25,MATCH(V$7,'Inputs (2)'!$D$2:$AL$2,0))</f>
        <v>0</v>
      </c>
      <c r="W182" s="268">
        <f>V182</f>
        <v>0</v>
      </c>
      <c r="X182" s="301">
        <f>INDEX('Inputs (2)'!$D$25:$AL$25,MATCH(X$7,'Inputs (2)'!$D$2:$AL$2,0))</f>
        <v>0</v>
      </c>
      <c r="Y182" s="301">
        <f>INDEX('Inputs (2)'!$D$25:$AL$25,MATCH(Y$7,'Inputs (2)'!$D$2:$AL$2,0))</f>
        <v>0</v>
      </c>
      <c r="Z182" s="301">
        <f>INDEX('Inputs (2)'!$D$25:$AL$25,MATCH(Z$7,'Inputs (2)'!$D$2:$AL$2,0))</f>
        <v>0</v>
      </c>
      <c r="AA182" s="301">
        <f>INDEX('Inputs (2)'!$D$25:$AL$25,MATCH(AA$7,'Inputs (2)'!$D$2:$AL$2,0))</f>
        <v>0</v>
      </c>
      <c r="AB182" s="268">
        <f>AA182</f>
        <v>0</v>
      </c>
      <c r="AC182" s="301">
        <f>INDEX('Inputs (2)'!$D$25:$AL$25,MATCH(AC$7,'Inputs (2)'!$D$2:$AL$2,0))</f>
        <v>0</v>
      </c>
      <c r="AD182" s="301">
        <f>INDEX('Inputs (2)'!$D$25:$AL$25,MATCH(AD$7,'Inputs (2)'!$D$2:$AL$2,0))</f>
        <v>0</v>
      </c>
      <c r="AE182" s="301">
        <f>INDEX('Inputs (2)'!$D$25:$AL$25,MATCH(AE$7,'Inputs (2)'!$D$2:$AL$2,0))</f>
        <v>0</v>
      </c>
      <c r="AF182" s="301">
        <f>INDEX('Inputs (2)'!$D$25:$AL$25,MATCH(AF$7,'Inputs (2)'!$D$2:$AL$2,0))</f>
        <v>0</v>
      </c>
      <c r="AG182" s="268">
        <f>AF182</f>
        <v>0</v>
      </c>
      <c r="AH182" s="268">
        <f>INDEX('Inputs (2)'!$D$25:$AL$25,MATCH(AH$7,'Inputs (2)'!$D$2:$AL$2,0))</f>
        <v>0</v>
      </c>
      <c r="AI182" s="268">
        <f>INDEX('Inputs (2)'!$D$25:$AL$25,MATCH(AI$7,'Inputs (2)'!$D$2:$AL$2,0))</f>
        <v>0</v>
      </c>
      <c r="AJ182" s="268" t="n"/>
      <c r="AK182" s="268" t="n"/>
      <c r="AL182" s="268">
        <f>AK182</f>
        <v>0</v>
      </c>
      <c r="AN182" s="268" t="n"/>
      <c r="AO182" s="268" t="n"/>
      <c r="AP182" s="268" t="n"/>
      <c r="AQ182" s="268">
        <f>AP182</f>
        <v>0</v>
      </c>
      <c r="AS182" s="268" t="n"/>
      <c r="AT182" s="268" t="n"/>
      <c r="AU182" s="268" t="n"/>
      <c r="AV182" s="268">
        <f>AU182</f>
        <v>0</v>
      </c>
      <c r="AX182" s="268" t="n"/>
      <c r="AY182" s="268" t="n"/>
      <c r="AZ182" s="268" t="n"/>
      <c r="BA182" s="268">
        <f>AZ182</f>
        <v>0</v>
      </c>
      <c r="BC182" s="268" t="n"/>
      <c r="BD182" s="268" t="n"/>
      <c r="BE182" s="268" t="n"/>
      <c r="BF182" s="268">
        <f>BE182</f>
        <v>0</v>
      </c>
      <c r="BH182" s="268" t="n"/>
      <c r="BI182" s="268" t="n"/>
      <c r="BJ182" s="268" t="n"/>
      <c r="BK182" s="268">
        <f>BJ182</f>
        <v>0</v>
      </c>
      <c r="BM182" s="268" t="n"/>
      <c r="BN182" s="268" t="n"/>
      <c r="BO182" s="268" t="n"/>
      <c r="BP182" s="268">
        <f>BO182</f>
        <v>0</v>
      </c>
      <c r="BR182" s="268" t="n"/>
      <c r="BS182" s="268" t="n"/>
      <c r="BT182" s="268" t="n"/>
      <c r="BU182" s="268">
        <f>BT182</f>
        <v>0</v>
      </c>
      <c r="BW182" s="268" t="n"/>
      <c r="BX182" s="268" t="n"/>
      <c r="BY182" s="268" t="n"/>
      <c r="BZ182" s="268">
        <f>BY182</f>
        <v>0</v>
      </c>
      <c r="CB182" s="268" t="n"/>
      <c r="CC182" s="268" t="n"/>
      <c r="CD182" s="268" t="n"/>
      <c r="CE182" s="268">
        <f>CD182</f>
        <v>0</v>
      </c>
      <c r="CG182" s="268" t="n"/>
      <c r="CH182" s="268" t="n"/>
      <c r="CI182" s="268" t="n"/>
      <c r="CJ182" s="268">
        <f>CI182</f>
        <v>0</v>
      </c>
      <c r="CL182" s="268" t="n"/>
      <c r="CM182" s="268" t="n"/>
      <c r="CN182" s="268" t="n"/>
      <c r="CO182" s="268">
        <f>CN182</f>
        <v>0</v>
      </c>
      <c r="CQ182" s="268" t="n"/>
      <c r="CR182" s="268" t="n"/>
      <c r="CS182" s="268" t="n"/>
      <c r="CT182" s="268">
        <f>CS182</f>
        <v>0</v>
      </c>
      <c r="CV182" s="268" t="n"/>
      <c r="CW182" s="268" t="n"/>
      <c r="CX182" s="268" t="n"/>
      <c r="CY182" s="268">
        <f>CX182</f>
        <v>0</v>
      </c>
    </row>
    <row r="183" hidden="1" outlineLevel="1" ht="12.75" customHeight="1" s="255">
      <c r="C183" s="312" t="n"/>
      <c r="D183" s="268" t="n"/>
      <c r="E183" s="268" t="n"/>
      <c r="F183" s="268" t="n"/>
      <c r="G183" s="268" t="n"/>
      <c r="H183" s="268" t="n"/>
      <c r="I183" s="268" t="n"/>
      <c r="J183" s="268" t="n"/>
      <c r="K183" s="268" t="n"/>
      <c r="L183" s="268" t="n"/>
      <c r="M183" s="268" t="n"/>
      <c r="N183" s="268" t="n"/>
      <c r="O183" s="268" t="n"/>
      <c r="P183" s="268" t="n"/>
      <c r="Q183" s="268" t="n"/>
      <c r="R183" s="268" t="n"/>
      <c r="S183" s="268" t="n"/>
      <c r="T183" s="268" t="n"/>
      <c r="U183" s="268" t="n"/>
      <c r="V183" s="268" t="n"/>
      <c r="W183" s="268" t="n"/>
      <c r="X183" s="268" t="n"/>
      <c r="Y183" s="268" t="n"/>
      <c r="Z183" s="268" t="n"/>
      <c r="AA183" s="268" t="n"/>
      <c r="AB183" s="268" t="n"/>
      <c r="AC183" s="268" t="n"/>
      <c r="AD183" s="268" t="n"/>
      <c r="AE183" s="268" t="n"/>
      <c r="AF183" s="268" t="n"/>
      <c r="AG183" s="268" t="n"/>
      <c r="AH183" s="268" t="n"/>
      <c r="AI183" s="268" t="n"/>
      <c r="AJ183" s="268" t="n"/>
      <c r="AK183" s="268" t="n"/>
      <c r="AL183" s="268" t="n"/>
      <c r="AM183" s="268" t="n"/>
      <c r="AN183" s="268" t="n"/>
      <c r="AO183" s="268" t="n"/>
      <c r="AP183" s="268" t="n"/>
      <c r="AQ183" s="268" t="n"/>
      <c r="AR183" s="268" t="n"/>
      <c r="AS183" s="268" t="n"/>
      <c r="AT183" s="268" t="n"/>
      <c r="AU183" s="268" t="n"/>
      <c r="AV183" s="268" t="n"/>
      <c r="AW183" s="268" t="n"/>
      <c r="AX183" s="268" t="n"/>
      <c r="AY183" s="268" t="n"/>
      <c r="AZ183" s="268" t="n"/>
      <c r="BA183" s="268" t="n"/>
      <c r="BB183" s="268" t="n"/>
      <c r="BC183" s="268" t="n"/>
      <c r="BD183" s="268" t="n"/>
      <c r="BE183" s="268" t="n"/>
      <c r="BF183" s="268" t="n"/>
      <c r="BG183" s="268" t="n"/>
      <c r="BH183" s="268" t="n"/>
      <c r="BI183" s="268" t="n"/>
      <c r="BJ183" s="268" t="n"/>
      <c r="BK183" s="268" t="n"/>
      <c r="BL183" s="268" t="n"/>
      <c r="BM183" s="268" t="n"/>
      <c r="BN183" s="268" t="n"/>
      <c r="BO183" s="268" t="n"/>
      <c r="BP183" s="268" t="n"/>
      <c r="BQ183" s="268" t="n"/>
      <c r="BR183" s="268" t="n"/>
      <c r="BS183" s="268" t="n"/>
      <c r="BT183" s="268" t="n"/>
      <c r="BU183" s="268" t="n"/>
      <c r="BV183" s="268" t="n"/>
      <c r="BW183" s="268" t="n"/>
      <c r="BX183" s="268" t="n"/>
      <c r="BY183" s="268" t="n"/>
      <c r="BZ183" s="268" t="n"/>
      <c r="CA183" s="268" t="n"/>
      <c r="CB183" s="268" t="n"/>
      <c r="CC183" s="268" t="n"/>
      <c r="CD183" s="268" t="n"/>
      <c r="CE183" s="268" t="n"/>
      <c r="CF183" s="268" t="n"/>
      <c r="CG183" s="268" t="n"/>
      <c r="CH183" s="268" t="n"/>
      <c r="CI183" s="268" t="n"/>
      <c r="CJ183" s="268" t="n"/>
      <c r="CK183" s="268" t="n"/>
      <c r="CL183" s="268" t="n"/>
      <c r="CM183" s="268" t="n"/>
      <c r="CN183" s="268" t="n"/>
      <c r="CO183" s="268" t="n"/>
      <c r="CP183" s="268" t="n"/>
      <c r="CQ183" s="268" t="n"/>
      <c r="CR183" s="268" t="n"/>
      <c r="CS183" s="268" t="n"/>
      <c r="CT183" s="268" t="n"/>
      <c r="CU183" s="268" t="n"/>
      <c r="CV183" s="268" t="n"/>
      <c r="CW183" s="268" t="n"/>
      <c r="CX183" s="268" t="n"/>
      <c r="CY183" s="268" t="n"/>
    </row>
    <row r="184" hidden="1" outlineLevel="1" ht="12.75" customHeight="1" s="255">
      <c r="C184" s="312" t="inlineStr">
        <is>
          <t>Purchase of intangible assets</t>
        </is>
      </c>
      <c r="D184" s="268" t="n"/>
      <c r="E184" s="268">
        <f>E182-D182-E86</f>
        <v>0</v>
      </c>
      <c r="F184" s="268">
        <f>F182-E182-F86</f>
        <v>0</v>
      </c>
      <c r="G184" s="268">
        <f>G182-F182-G86</f>
        <v>0</v>
      </c>
      <c r="H184" s="268" t="n"/>
      <c r="I184" s="268">
        <f>I182-H182-I86</f>
        <v>0</v>
      </c>
      <c r="J184" s="268">
        <f>J182-I182-J86</f>
        <v>0</v>
      </c>
      <c r="K184" s="268">
        <f>K182-J182-K86</f>
        <v>0</v>
      </c>
      <c r="L184" s="268">
        <f>L182-K182-L86</f>
        <v>0</v>
      </c>
      <c r="M184" s="268" t="n"/>
      <c r="N184" s="268">
        <f>N182-M182-N86</f>
        <v>0</v>
      </c>
      <c r="O184" s="268">
        <f>O182-N182-O86</f>
        <v>0</v>
      </c>
      <c r="P184" s="268">
        <f>P182-O182-P86</f>
        <v>0</v>
      </c>
      <c r="Q184" s="268">
        <f>Q182-P182-Q86</f>
        <v>0</v>
      </c>
      <c r="R184" s="268" t="n"/>
      <c r="S184" s="268">
        <f>S182-R182-S86</f>
        <v>0</v>
      </c>
      <c r="T184" s="268">
        <f>T182-S182-T86</f>
        <v>0</v>
      </c>
      <c r="U184" s="268">
        <f>U182-T182-U86</f>
        <v>0</v>
      </c>
      <c r="V184" s="268">
        <f>V182-U182-V86</f>
        <v>0</v>
      </c>
      <c r="W184" s="268" t="n"/>
      <c r="X184" s="268">
        <f>X182-W182-X86</f>
        <v>0</v>
      </c>
      <c r="Y184" s="268">
        <f>Y182-X182-Y86</f>
        <v>0</v>
      </c>
      <c r="Z184" s="268">
        <f>Z182-Y182-Z86</f>
        <v>0</v>
      </c>
      <c r="AA184" s="268">
        <f>AA182-Z182-AA86</f>
        <v>0</v>
      </c>
      <c r="AB184" s="268" t="n"/>
      <c r="AC184" s="268">
        <f>AC182-AB182-AC86</f>
        <v>0</v>
      </c>
      <c r="AD184" s="268">
        <f>AD182-AC182-AD86</f>
        <v>0</v>
      </c>
      <c r="AE184" s="268">
        <f>AE182-AD182-AE86</f>
        <v>0</v>
      </c>
      <c r="AF184" s="268" t="n"/>
      <c r="AG184" s="268" t="n"/>
      <c r="AH184" s="267">
        <f>AH182-AG182-AH86</f>
        <v>0</v>
      </c>
      <c r="AI184" s="267">
        <f>AI182-AH182-AI86</f>
        <v>0</v>
      </c>
      <c r="AJ184" s="267" t="n"/>
      <c r="AK184" s="267" t="n"/>
      <c r="AL184" s="268" t="n"/>
      <c r="AM184" s="267" t="n"/>
      <c r="AN184" s="267" t="n"/>
      <c r="AO184" s="267" t="n"/>
      <c r="AP184" s="267" t="n"/>
      <c r="AQ184" s="268" t="n"/>
      <c r="AR184" s="267" t="n"/>
      <c r="AS184" s="267" t="n"/>
      <c r="AT184" s="267" t="n"/>
      <c r="AU184" s="267" t="n"/>
      <c r="AV184" s="268" t="n"/>
      <c r="AW184" s="267" t="n"/>
      <c r="AX184" s="267" t="n"/>
      <c r="AY184" s="267" t="n"/>
      <c r="AZ184" s="267" t="n"/>
      <c r="BA184" s="268" t="n"/>
      <c r="BB184" s="267" t="n"/>
      <c r="BC184" s="267" t="n"/>
      <c r="BD184" s="267" t="n"/>
      <c r="BE184" s="267" t="n"/>
      <c r="BF184" s="268" t="n"/>
      <c r="BG184" s="267" t="n"/>
      <c r="BH184" s="267" t="n"/>
      <c r="BI184" s="267" t="n"/>
      <c r="BJ184" s="267" t="n"/>
      <c r="BK184" s="268" t="n"/>
      <c r="BL184" s="267" t="n"/>
      <c r="BM184" s="267" t="n"/>
      <c r="BN184" s="267" t="n"/>
      <c r="BO184" s="267" t="n"/>
      <c r="BP184" s="268" t="n"/>
      <c r="BQ184" s="267" t="n"/>
      <c r="BR184" s="267" t="n"/>
      <c r="BS184" s="267" t="n"/>
      <c r="BT184" s="267" t="n"/>
      <c r="BU184" s="268" t="n"/>
      <c r="BV184" s="267" t="n"/>
      <c r="BW184" s="267" t="n"/>
      <c r="BX184" s="267" t="n"/>
      <c r="BY184" s="267" t="n"/>
      <c r="BZ184" s="268" t="n"/>
      <c r="CA184" s="267" t="n"/>
      <c r="CB184" s="267" t="n"/>
      <c r="CC184" s="267" t="n"/>
      <c r="CD184" s="267" t="n"/>
      <c r="CE184" s="268" t="n"/>
      <c r="CF184" s="267" t="n"/>
      <c r="CG184" s="267" t="n"/>
      <c r="CH184" s="267" t="n"/>
      <c r="CI184" s="267" t="n"/>
      <c r="CJ184" s="268" t="n"/>
      <c r="CK184" s="267" t="n"/>
      <c r="CL184" s="267" t="n"/>
      <c r="CM184" s="267" t="n"/>
      <c r="CN184" s="267" t="n"/>
      <c r="CO184" s="268" t="n"/>
      <c r="CP184" s="267" t="n"/>
      <c r="CQ184" s="267" t="n"/>
      <c r="CR184" s="267" t="n"/>
      <c r="CS184" s="267" t="n"/>
      <c r="CT184" s="268" t="n"/>
      <c r="CU184" s="267" t="n"/>
      <c r="CV184" s="267" t="n"/>
      <c r="CW184" s="267" t="n"/>
      <c r="CX184" s="267" t="n"/>
      <c r="CY184" s="268" t="n"/>
    </row>
    <row r="185" hidden="1" outlineLevel="1" ht="12.75" customHeight="1" s="255">
      <c r="C185" s="312" t="inlineStr">
        <is>
          <t>Amortization (enter as -)</t>
        </is>
      </c>
      <c r="D185" s="268" t="n"/>
      <c r="E185" s="268">
        <f>E85</f>
        <v>0</v>
      </c>
      <c r="F185" s="268">
        <f>F85</f>
        <v>0</v>
      </c>
      <c r="G185" s="268">
        <f>G85</f>
        <v>0</v>
      </c>
      <c r="H185" s="268" t="n"/>
      <c r="I185" s="268">
        <f>I85</f>
        <v>0</v>
      </c>
      <c r="J185" s="268">
        <f>J85</f>
        <v>0</v>
      </c>
      <c r="K185" s="268">
        <f>K85</f>
        <v>0</v>
      </c>
      <c r="L185" s="268">
        <f>L85</f>
        <v>0</v>
      </c>
      <c r="M185" s="268" t="n"/>
      <c r="N185" s="268">
        <f>N85</f>
        <v>0</v>
      </c>
      <c r="O185" s="268">
        <f>O85</f>
        <v>0</v>
      </c>
      <c r="P185" s="268">
        <f>P85</f>
        <v>0</v>
      </c>
      <c r="Q185" s="268">
        <f>Q85</f>
        <v>0</v>
      </c>
      <c r="R185" s="268" t="n"/>
      <c r="S185" s="268">
        <f>S85</f>
        <v>0</v>
      </c>
      <c r="T185" s="268">
        <f>T85</f>
        <v>0</v>
      </c>
      <c r="U185" s="268">
        <f>U85</f>
        <v>0</v>
      </c>
      <c r="V185" s="268">
        <f>V85</f>
        <v>0</v>
      </c>
      <c r="W185" s="268" t="n"/>
      <c r="X185" s="268">
        <f>X85</f>
        <v>0</v>
      </c>
      <c r="Y185" s="268">
        <f>Y85</f>
        <v>0</v>
      </c>
      <c r="Z185" s="268">
        <f>Z85</f>
        <v>0</v>
      </c>
      <c r="AA185" s="268">
        <f>AA85</f>
        <v>0</v>
      </c>
      <c r="AB185" s="268" t="n"/>
      <c r="AC185" s="268">
        <f>AC85</f>
        <v>0</v>
      </c>
      <c r="AD185" s="268">
        <f>AD85</f>
        <v>0</v>
      </c>
      <c r="AE185" s="268">
        <f>AE85</f>
        <v>0</v>
      </c>
      <c r="AF185" s="268" t="n"/>
      <c r="AG185" s="268" t="n"/>
      <c r="AH185" s="268">
        <f>AH85</f>
        <v>0</v>
      </c>
      <c r="AI185" s="267">
        <f>AI85</f>
        <v>0</v>
      </c>
      <c r="AJ185" s="267" t="n"/>
      <c r="AK185" s="267" t="n"/>
      <c r="AL185" s="268" t="n"/>
      <c r="AM185" s="267" t="n"/>
      <c r="AN185" s="267" t="n"/>
      <c r="AO185" s="267" t="n"/>
      <c r="AP185" s="267" t="n"/>
      <c r="AQ185" s="268" t="n"/>
      <c r="AR185" s="267" t="n"/>
      <c r="AS185" s="267" t="n"/>
      <c r="AT185" s="267" t="n"/>
      <c r="AU185" s="267" t="n"/>
      <c r="AV185" s="268" t="n"/>
      <c r="AW185" s="267" t="n"/>
      <c r="AX185" s="267" t="n"/>
      <c r="AY185" s="267" t="n"/>
      <c r="AZ185" s="267" t="n"/>
      <c r="BA185" s="268" t="n"/>
      <c r="BB185" s="267" t="n"/>
      <c r="BC185" s="267" t="n"/>
      <c r="BD185" s="267" t="n"/>
      <c r="BE185" s="267" t="n"/>
      <c r="BF185" s="268" t="n"/>
      <c r="BG185" s="267" t="n"/>
      <c r="BH185" s="267" t="n"/>
      <c r="BI185" s="267" t="n"/>
      <c r="BJ185" s="267" t="n"/>
      <c r="BK185" s="268" t="n"/>
      <c r="BL185" s="267" t="n"/>
      <c r="BM185" s="267" t="n"/>
      <c r="BN185" s="267" t="n"/>
      <c r="BO185" s="267" t="n"/>
      <c r="BP185" s="268" t="n"/>
      <c r="BQ185" s="267" t="n"/>
      <c r="BR185" s="267" t="n"/>
      <c r="BS185" s="267" t="n"/>
      <c r="BT185" s="267" t="n"/>
      <c r="BU185" s="268" t="n"/>
      <c r="BV185" s="267" t="n"/>
      <c r="BW185" s="267" t="n"/>
      <c r="BX185" s="267" t="n"/>
      <c r="BY185" s="267" t="n"/>
      <c r="BZ185" s="268" t="n"/>
      <c r="CA185" s="267" t="n"/>
      <c r="CB185" s="267" t="n"/>
      <c r="CC185" s="267" t="n"/>
      <c r="CD185" s="267" t="n"/>
      <c r="CE185" s="268" t="n"/>
      <c r="CF185" s="267" t="n"/>
      <c r="CG185" s="267" t="n"/>
      <c r="CH185" s="267" t="n"/>
      <c r="CI185" s="267" t="n"/>
      <c r="CJ185" s="268" t="n"/>
      <c r="CK185" s="267" t="n"/>
      <c r="CL185" s="267" t="n"/>
      <c r="CM185" s="267" t="n"/>
      <c r="CN185" s="267" t="n"/>
      <c r="CO185" s="268" t="n"/>
      <c r="CP185" s="267" t="n"/>
      <c r="CQ185" s="267" t="n"/>
      <c r="CR185" s="267" t="n"/>
      <c r="CS185" s="267" t="n"/>
      <c r="CT185" s="268" t="n"/>
      <c r="CU185" s="267" t="n"/>
      <c r="CV185" s="267" t="n"/>
      <c r="CW185" s="267" t="n"/>
      <c r="CX185" s="267" t="n"/>
      <c r="CY185" s="268" t="n"/>
    </row>
    <row r="186" hidden="1" outlineLevel="1" ht="12.75" customHeight="1" s="255">
      <c r="C186" s="312" t="inlineStr">
        <is>
          <t>Intangibles</t>
        </is>
      </c>
      <c r="D186" s="268" t="n"/>
      <c r="E186" s="268">
        <f>E182</f>
        <v>0</v>
      </c>
      <c r="F186" s="268">
        <f>F182</f>
        <v>0</v>
      </c>
      <c r="G186" s="268">
        <f>G182</f>
        <v>0</v>
      </c>
      <c r="H186" s="268" t="n"/>
      <c r="I186" s="268">
        <f>I182</f>
        <v>0</v>
      </c>
      <c r="J186" s="268">
        <f>J182</f>
        <v>0</v>
      </c>
      <c r="K186" s="268">
        <f>K182</f>
        <v>0</v>
      </c>
      <c r="L186" s="268">
        <f>L182</f>
        <v>0</v>
      </c>
      <c r="M186" s="268" t="n"/>
      <c r="N186" s="268">
        <f>N182</f>
        <v>0</v>
      </c>
      <c r="O186" s="268">
        <f>O182</f>
        <v>0</v>
      </c>
      <c r="P186" s="268">
        <f>P182</f>
        <v>0</v>
      </c>
      <c r="Q186" s="268">
        <f>Q182</f>
        <v>0</v>
      </c>
      <c r="R186" s="268" t="n"/>
      <c r="S186" s="268">
        <f>S182</f>
        <v>0</v>
      </c>
      <c r="T186" s="268">
        <f>T182</f>
        <v>0</v>
      </c>
      <c r="U186" s="268">
        <f>U182</f>
        <v>0</v>
      </c>
      <c r="V186" s="268">
        <f>V182</f>
        <v>0</v>
      </c>
      <c r="W186" s="268" t="n"/>
      <c r="X186" s="268">
        <f>X182</f>
        <v>0</v>
      </c>
      <c r="Y186" s="268">
        <f>Y182</f>
        <v>0</v>
      </c>
      <c r="Z186" s="268">
        <f>Z182</f>
        <v>0</v>
      </c>
      <c r="AA186" s="268">
        <f>AA182</f>
        <v>0</v>
      </c>
      <c r="AB186" s="268" t="n"/>
      <c r="AC186" s="268">
        <f>AC182</f>
        <v>0</v>
      </c>
      <c r="AD186" s="268">
        <f>AD182</f>
        <v>0</v>
      </c>
      <c r="AE186" s="268">
        <f>AE182</f>
        <v>0</v>
      </c>
      <c r="AF186" s="268">
        <f>AF182</f>
        <v>0</v>
      </c>
      <c r="AG186" s="268" t="n"/>
      <c r="AH186" s="268">
        <f>AH182</f>
        <v>0</v>
      </c>
      <c r="AI186" s="268">
        <f>AI182</f>
        <v>0</v>
      </c>
      <c r="AJ186" s="268">
        <f>AI186+SUM(AJ184:AJ185)</f>
        <v>0</v>
      </c>
      <c r="AK186" s="268">
        <f>AJ186+SUM(AK184:AK185)</f>
        <v>0</v>
      </c>
      <c r="AL186" s="268" t="n"/>
      <c r="AM186" s="268">
        <f>AK186+SUM(AM184:AM185)</f>
        <v>0</v>
      </c>
      <c r="AN186" s="268">
        <f>AM186+SUM(AN184:AN185)</f>
        <v>0</v>
      </c>
      <c r="AO186" s="268">
        <f>AN186+SUM(AO184:AO185)</f>
        <v>0</v>
      </c>
      <c r="AP186" s="268">
        <f>AO186+SUM(AP184:AP185)</f>
        <v>0</v>
      </c>
      <c r="AQ186" s="268" t="n"/>
      <c r="AR186" s="268">
        <f>AP186+SUM(AR184:AR185)</f>
        <v>0</v>
      </c>
      <c r="AS186" s="268">
        <f>AR186+SUM(AS184:AS185)</f>
        <v>0</v>
      </c>
      <c r="AT186" s="268">
        <f>AS186+SUM(AT184:AT185)</f>
        <v>0</v>
      </c>
      <c r="AU186" s="268">
        <f>AT186+SUM(AU184:AU185)</f>
        <v>0</v>
      </c>
      <c r="AV186" s="268" t="n"/>
      <c r="AW186" s="268">
        <f>AU186+SUM(AW184:AW185)</f>
        <v>0</v>
      </c>
      <c r="AX186" s="268">
        <f>AW186+SUM(AX184:AX185)</f>
        <v>0</v>
      </c>
      <c r="AY186" s="268">
        <f>AX186+SUM(AY184:AY185)</f>
        <v>0</v>
      </c>
      <c r="AZ186" s="268">
        <f>AY186+SUM(AZ184:AZ185)</f>
        <v>0</v>
      </c>
      <c r="BA186" s="268" t="n"/>
      <c r="BB186" s="268">
        <f>AZ186+SUM(BB184:BB185)</f>
        <v>0</v>
      </c>
      <c r="BC186" s="268">
        <f>BB186+SUM(BC184:BC185)</f>
        <v>0</v>
      </c>
      <c r="BD186" s="268">
        <f>BC186+SUM(BD184:BD185)</f>
        <v>0</v>
      </c>
      <c r="BE186" s="268">
        <f>BD186+SUM(BE184:BE185)</f>
        <v>0</v>
      </c>
      <c r="BF186" s="268" t="n"/>
      <c r="BG186" s="268">
        <f>BE186+SUM(BG184:BG185)</f>
        <v>0</v>
      </c>
      <c r="BH186" s="268">
        <f>BG186+SUM(BH184:BH185)</f>
        <v>0</v>
      </c>
      <c r="BI186" s="268">
        <f>BH186+SUM(BI184:BI185)</f>
        <v>0</v>
      </c>
      <c r="BJ186" s="268">
        <f>BI186+SUM(BJ184:BJ185)</f>
        <v>0</v>
      </c>
      <c r="BK186" s="268" t="n"/>
      <c r="BL186" s="268">
        <f>BJ186+SUM(BL184:BL185)</f>
        <v>0</v>
      </c>
      <c r="BM186" s="268">
        <f>BL186+SUM(BM184:BM185)</f>
        <v>0</v>
      </c>
      <c r="BN186" s="268">
        <f>BM186+SUM(BN184:BN185)</f>
        <v>0</v>
      </c>
      <c r="BO186" s="268">
        <f>BN186+SUM(BO184:BO185)</f>
        <v>0</v>
      </c>
      <c r="BP186" s="268" t="n"/>
      <c r="BQ186" s="268">
        <f>BO186+SUM(BQ184:BQ185)</f>
        <v>0</v>
      </c>
      <c r="BR186" s="268">
        <f>BQ186+SUM(BR184:BR185)</f>
        <v>0</v>
      </c>
      <c r="BS186" s="268">
        <f>BR186+SUM(BS184:BS185)</f>
        <v>0</v>
      </c>
      <c r="BT186" s="268">
        <f>BS186+SUM(BT184:BT185)</f>
        <v>0</v>
      </c>
      <c r="BU186" s="268" t="n"/>
      <c r="BV186" s="268">
        <f>BT186+SUM(BV184:BV185)</f>
        <v>0</v>
      </c>
      <c r="BW186" s="268">
        <f>BV186+SUM(BW184:BW185)</f>
        <v>0</v>
      </c>
      <c r="BX186" s="268">
        <f>BW186+SUM(BX184:BX185)</f>
        <v>0</v>
      </c>
      <c r="BY186" s="268">
        <f>BX186+SUM(BY184:BY185)</f>
        <v>0</v>
      </c>
      <c r="BZ186" s="268" t="n"/>
      <c r="CA186" s="268">
        <f>BY186+SUM(CA184:CA185)</f>
        <v>0</v>
      </c>
      <c r="CB186" s="268">
        <f>CA186+SUM(CB184:CB185)</f>
        <v>0</v>
      </c>
      <c r="CC186" s="268">
        <f>CB186+SUM(CC184:CC185)</f>
        <v>0</v>
      </c>
      <c r="CD186" s="268">
        <f>CC186+SUM(CD184:CD185)</f>
        <v>0</v>
      </c>
      <c r="CE186" s="268" t="n"/>
      <c r="CF186" s="268">
        <f>CD186+SUM(CF184:CF185)</f>
        <v>0</v>
      </c>
      <c r="CG186" s="268">
        <f>CF186+SUM(CG184:CG185)</f>
        <v>0</v>
      </c>
      <c r="CH186" s="268">
        <f>CG186+SUM(CH184:CH185)</f>
        <v>0</v>
      </c>
      <c r="CI186" s="268">
        <f>CH186+SUM(CI184:CI185)</f>
        <v>0</v>
      </c>
      <c r="CJ186" s="268" t="n"/>
      <c r="CK186" s="268">
        <f>CI186+SUM(CK184:CK185)</f>
        <v>0</v>
      </c>
      <c r="CL186" s="268">
        <f>CK186+SUM(CL184:CL185)</f>
        <v>0</v>
      </c>
      <c r="CM186" s="268">
        <f>CL186+SUM(CM184:CM185)</f>
        <v>0</v>
      </c>
      <c r="CN186" s="268">
        <f>CM186+SUM(CN184:CN185)</f>
        <v>0</v>
      </c>
      <c r="CO186" s="268" t="n"/>
      <c r="CP186" s="268">
        <f>CN186+SUM(CP184:CP185)</f>
        <v>0</v>
      </c>
      <c r="CQ186" s="268">
        <f>CP186+SUM(CQ184:CQ185)</f>
        <v>0</v>
      </c>
      <c r="CR186" s="268">
        <f>CQ186+SUM(CR184:CR185)</f>
        <v>0</v>
      </c>
      <c r="CS186" s="268">
        <f>CR186+SUM(CS184:CS185)</f>
        <v>0</v>
      </c>
      <c r="CT186" s="268" t="n"/>
      <c r="CU186" s="268">
        <f>CS186+SUM(CU184:CU185)</f>
        <v>0</v>
      </c>
      <c r="CV186" s="268">
        <f>CU186+SUM(CV184:CV185)</f>
        <v>0</v>
      </c>
      <c r="CW186" s="268">
        <f>CV186+SUM(CW184:CW185)</f>
        <v>0</v>
      </c>
      <c r="CX186" s="268">
        <f>CW186+SUM(CX184:CX185)</f>
        <v>0</v>
      </c>
      <c r="CY186" s="268" t="n"/>
      <c r="CZ186" s="260">
        <f>CX186+SUM(CZ184:CZ185)</f>
        <v>0</v>
      </c>
      <c r="DA186" s="260">
        <f>CZ186+SUM(DA184:DA185)</f>
        <v>0</v>
      </c>
      <c r="DB186" s="260">
        <f>DA186+SUM(DB184:DB185)</f>
        <v>0</v>
      </c>
      <c r="DC186" s="260">
        <f>DB186+SUM(DC184:DC185)</f>
        <v>0</v>
      </c>
    </row>
    <row r="187" hidden="1" outlineLevel="1" ht="12.75" customHeight="1" s="255">
      <c r="C187" s="312" t="n"/>
      <c r="D187" s="268" t="n"/>
      <c r="E187" s="268" t="n"/>
      <c r="F187" s="268" t="n"/>
      <c r="G187" s="268" t="n"/>
      <c r="H187" s="268" t="n"/>
      <c r="I187" s="268" t="n"/>
      <c r="J187" s="268" t="n"/>
      <c r="K187" s="268" t="n"/>
      <c r="L187" s="268" t="n"/>
      <c r="M187" s="268" t="n"/>
      <c r="N187" s="268" t="n"/>
      <c r="O187" s="268" t="n"/>
      <c r="P187" s="268" t="n"/>
      <c r="Q187" s="268" t="n"/>
      <c r="R187" s="268" t="n"/>
      <c r="S187" s="268" t="n"/>
      <c r="T187" s="268" t="n"/>
      <c r="U187" s="268" t="n"/>
      <c r="V187" s="268" t="n"/>
      <c r="W187" s="268" t="n"/>
      <c r="X187" s="268" t="n"/>
      <c r="Y187" s="268" t="n"/>
      <c r="Z187" s="268" t="n"/>
      <c r="AA187" s="268" t="n"/>
      <c r="AB187" s="268" t="n"/>
      <c r="AC187" s="268" t="n"/>
      <c r="AD187" s="268" t="n"/>
      <c r="AE187" s="268" t="n"/>
      <c r="AF187" s="268" t="n"/>
      <c r="AG187" s="268" t="n"/>
      <c r="AH187" s="268" t="n"/>
      <c r="AI187" s="268" t="n"/>
      <c r="AJ187" s="268" t="n"/>
      <c r="AK187" s="268" t="n"/>
      <c r="AL187" s="268" t="n"/>
      <c r="AM187" s="268" t="n"/>
      <c r="AN187" s="268" t="n"/>
      <c r="AO187" s="268" t="n"/>
      <c r="AP187" s="268" t="n"/>
      <c r="AQ187" s="268" t="n"/>
      <c r="AR187" s="268" t="n"/>
      <c r="AS187" s="268" t="n"/>
      <c r="AT187" s="268" t="n"/>
      <c r="AU187" s="268" t="n"/>
      <c r="AV187" s="268" t="n"/>
      <c r="AW187" s="268" t="n"/>
      <c r="AX187" s="268" t="n"/>
      <c r="AY187" s="268" t="n"/>
      <c r="AZ187" s="268" t="n"/>
      <c r="BA187" s="268" t="n"/>
      <c r="BB187" s="268" t="n"/>
      <c r="BC187" s="268" t="n"/>
      <c r="BD187" s="268" t="n"/>
      <c r="BE187" s="268" t="n"/>
      <c r="BF187" s="268" t="n"/>
      <c r="BG187" s="268" t="n"/>
      <c r="BH187" s="268" t="n"/>
      <c r="BI187" s="268" t="n"/>
      <c r="BJ187" s="268" t="n"/>
      <c r="BK187" s="268" t="n"/>
      <c r="BL187" s="268" t="n"/>
      <c r="BM187" s="268" t="n"/>
      <c r="BN187" s="268" t="n"/>
      <c r="BO187" s="268" t="n"/>
      <c r="BP187" s="268" t="n"/>
      <c r="BQ187" s="268" t="n"/>
      <c r="BR187" s="268" t="n"/>
      <c r="BS187" s="268" t="n"/>
      <c r="BT187" s="268" t="n"/>
      <c r="BU187" s="268" t="n"/>
      <c r="BV187" s="268" t="n"/>
      <c r="BW187" s="268" t="n"/>
      <c r="BX187" s="268" t="n"/>
      <c r="BY187" s="268" t="n"/>
      <c r="BZ187" s="268" t="n"/>
      <c r="CA187" s="268" t="n"/>
      <c r="CB187" s="268" t="n"/>
      <c r="CC187" s="268" t="n"/>
      <c r="CD187" s="268" t="n"/>
      <c r="CE187" s="268" t="n"/>
      <c r="CF187" s="268" t="n"/>
      <c r="CG187" s="268" t="n"/>
      <c r="CH187" s="268" t="n"/>
      <c r="CI187" s="268" t="n"/>
      <c r="CJ187" s="268" t="n"/>
      <c r="CK187" s="268" t="n"/>
      <c r="CL187" s="268" t="n"/>
      <c r="CM187" s="268" t="n"/>
      <c r="CN187" s="268" t="n"/>
      <c r="CO187" s="268" t="n"/>
      <c r="CP187" s="268" t="n"/>
      <c r="CQ187" s="268" t="n"/>
      <c r="CR187" s="268" t="n"/>
      <c r="CS187" s="268" t="n"/>
      <c r="CT187" s="268" t="n"/>
      <c r="CU187" s="268" t="n"/>
      <c r="CV187" s="268" t="n"/>
      <c r="CW187" s="268" t="n"/>
      <c r="CX187" s="268" t="n"/>
      <c r="CY187" s="268" t="n"/>
    </row>
    <row r="188" hidden="1" outlineLevel="1" ht="12.75" customHeight="1" s="255">
      <c r="C188" s="312" t="inlineStr">
        <is>
          <t>Definir % do D&amp;A No PPE and Intagibles</t>
        </is>
      </c>
      <c r="D188" s="268" t="n"/>
      <c r="E188" s="268" t="n"/>
      <c r="F188" s="268" t="n"/>
      <c r="G188" s="268" t="n"/>
      <c r="H188" s="268" t="n"/>
      <c r="I188" s="268" t="n"/>
      <c r="J188" s="268" t="n"/>
      <c r="K188" s="268" t="n"/>
      <c r="L188" s="268" t="n"/>
      <c r="M188" s="268" t="n"/>
      <c r="N188" s="268" t="n"/>
      <c r="O188" s="268" t="n"/>
      <c r="P188" s="268" t="n"/>
      <c r="Q188" s="268" t="n"/>
      <c r="R188" s="268" t="n"/>
      <c r="S188" s="268" t="n"/>
      <c r="T188" s="268" t="n"/>
      <c r="U188" s="268" t="n"/>
      <c r="V188" s="268" t="n"/>
      <c r="W188" s="268" t="n"/>
      <c r="X188" s="268" t="n"/>
      <c r="Y188" s="268" t="n"/>
      <c r="Z188" s="268" t="n"/>
      <c r="AA188" s="268" t="n"/>
      <c r="AB188" s="268" t="n"/>
      <c r="AC188" s="268" t="n"/>
      <c r="AD188" s="268" t="n"/>
      <c r="AE188" s="268" t="n"/>
      <c r="AF188" s="268" t="n"/>
      <c r="AG188" s="268" t="n"/>
      <c r="AH188" s="268" t="n"/>
      <c r="AI188" s="268" t="n"/>
      <c r="AJ188" s="268" t="n"/>
      <c r="AK188" s="268" t="n"/>
      <c r="AL188" s="268" t="n"/>
      <c r="AM188" s="268" t="n"/>
      <c r="AN188" s="268" t="n"/>
      <c r="AO188" s="268" t="n"/>
      <c r="AP188" s="268" t="n"/>
      <c r="AQ188" s="268" t="n"/>
      <c r="AR188" s="268" t="n"/>
      <c r="AS188" s="268" t="n"/>
      <c r="AT188" s="268" t="n"/>
      <c r="AU188" s="268" t="n"/>
      <c r="AV188" s="268" t="n"/>
      <c r="AW188" s="268" t="n"/>
      <c r="AX188" s="268" t="n"/>
      <c r="AY188" s="268" t="n"/>
      <c r="AZ188" s="268" t="n"/>
      <c r="BA188" s="268" t="n"/>
      <c r="BB188" s="268" t="n"/>
      <c r="BC188" s="268" t="n"/>
      <c r="BD188" s="268" t="n"/>
      <c r="BE188" s="268" t="n"/>
      <c r="BF188" s="268" t="n"/>
      <c r="BG188" s="268" t="n"/>
      <c r="BH188" s="268" t="n"/>
      <c r="BI188" s="268" t="n"/>
      <c r="BJ188" s="268" t="n"/>
      <c r="BK188" s="268" t="n"/>
      <c r="BL188" s="268" t="n"/>
      <c r="BM188" s="268" t="n"/>
      <c r="BN188" s="268" t="n"/>
      <c r="BO188" s="268" t="n"/>
      <c r="BP188" s="268" t="n"/>
      <c r="BQ188" s="268" t="n"/>
      <c r="BR188" s="268" t="n"/>
      <c r="BS188" s="268" t="n"/>
      <c r="BT188" s="268" t="n"/>
      <c r="BU188" s="268" t="n"/>
      <c r="BV188" s="268" t="n"/>
      <c r="BW188" s="268" t="n"/>
      <c r="BX188" s="268" t="n"/>
      <c r="BY188" s="268" t="n"/>
      <c r="BZ188" s="268" t="n"/>
      <c r="CA188" s="268" t="n"/>
      <c r="CB188" s="268" t="n"/>
      <c r="CC188" s="268" t="n"/>
      <c r="CD188" s="268" t="n"/>
      <c r="CE188" s="268" t="n"/>
      <c r="CF188" s="268" t="n"/>
      <c r="CG188" s="268" t="n"/>
      <c r="CH188" s="268" t="n"/>
      <c r="CI188" s="268" t="n"/>
      <c r="CJ188" s="268" t="n"/>
      <c r="CK188" s="268" t="n"/>
      <c r="CL188" s="268" t="n"/>
      <c r="CM188" s="268" t="n"/>
      <c r="CN188" s="268" t="n"/>
      <c r="CO188" s="268" t="n"/>
      <c r="CP188" s="268" t="n"/>
      <c r="CQ188" s="268" t="n"/>
      <c r="CR188" s="268" t="n"/>
      <c r="CS188" s="268" t="n"/>
      <c r="CT188" s="268" t="n"/>
      <c r="CU188" s="268" t="n"/>
      <c r="CV188" s="268" t="n"/>
      <c r="CW188" s="268" t="n"/>
      <c r="CX188" s="268" t="n"/>
      <c r="CY188" s="268" t="n"/>
    </row>
    <row r="189" hidden="1" outlineLevel="1" ht="12.75" customHeight="1" s="255">
      <c r="C189" s="312" t="n"/>
      <c r="D189" s="268" t="n"/>
      <c r="E189" s="268" t="n"/>
      <c r="F189" s="268" t="n"/>
      <c r="G189" s="268" t="n"/>
      <c r="H189" s="268" t="n"/>
      <c r="I189" s="268" t="n"/>
      <c r="J189" s="268" t="n"/>
      <c r="K189" s="268" t="n"/>
      <c r="L189" s="268" t="n"/>
      <c r="M189" s="268" t="n"/>
      <c r="N189" s="268" t="n"/>
      <c r="O189" s="268" t="n"/>
      <c r="P189" s="268" t="n"/>
      <c r="Q189" s="268" t="n"/>
      <c r="R189" s="268" t="n"/>
      <c r="S189" s="268" t="n"/>
      <c r="T189" s="268" t="n"/>
      <c r="U189" s="268" t="n"/>
      <c r="V189" s="268" t="n"/>
      <c r="W189" s="268" t="n"/>
      <c r="X189" s="268" t="n"/>
      <c r="Y189" s="268" t="n"/>
      <c r="Z189" s="268" t="n"/>
      <c r="AA189" s="268" t="n"/>
      <c r="AB189" s="268" t="n"/>
      <c r="AC189" s="268" t="n"/>
      <c r="AD189" s="268" t="n"/>
      <c r="AE189" s="268" t="n"/>
      <c r="AF189" s="268" t="n"/>
      <c r="AG189" s="268" t="n"/>
      <c r="AH189" s="268" t="n"/>
      <c r="AI189" s="268" t="n"/>
      <c r="AJ189" s="268" t="n"/>
      <c r="AK189" s="268" t="n"/>
      <c r="AL189" s="268" t="n"/>
      <c r="AM189" s="268" t="n"/>
      <c r="AN189" s="268" t="n"/>
      <c r="AO189" s="268" t="n"/>
      <c r="AP189" s="268" t="n"/>
      <c r="AQ189" s="268" t="n"/>
      <c r="AR189" s="268" t="n"/>
      <c r="AS189" s="268" t="n"/>
      <c r="AT189" s="268" t="n"/>
      <c r="AU189" s="268" t="n"/>
      <c r="AV189" s="268" t="n"/>
      <c r="AW189" s="268" t="n"/>
      <c r="AX189" s="268" t="n"/>
      <c r="AY189" s="268" t="n"/>
      <c r="AZ189" s="268" t="n"/>
      <c r="BA189" s="268" t="n"/>
      <c r="BB189" s="268" t="n"/>
      <c r="BC189" s="268" t="n"/>
      <c r="BD189" s="268" t="n"/>
      <c r="BE189" s="268" t="n"/>
      <c r="BF189" s="268" t="n"/>
      <c r="BG189" s="268" t="n"/>
      <c r="BH189" s="268" t="n"/>
      <c r="BI189" s="268" t="n"/>
      <c r="BJ189" s="268" t="n"/>
      <c r="BK189" s="268" t="n"/>
      <c r="BL189" s="268" t="n"/>
      <c r="BM189" s="268" t="n"/>
      <c r="BN189" s="268" t="n"/>
      <c r="BO189" s="268" t="n"/>
      <c r="BP189" s="268" t="n"/>
      <c r="BQ189" s="268" t="n"/>
      <c r="BR189" s="268" t="n"/>
      <c r="BS189" s="268" t="n"/>
      <c r="BT189" s="268" t="n"/>
      <c r="BU189" s="268" t="n"/>
      <c r="BV189" s="268" t="n"/>
      <c r="BW189" s="268" t="n"/>
      <c r="BX189" s="268" t="n"/>
      <c r="BY189" s="268" t="n"/>
      <c r="BZ189" s="268" t="n"/>
      <c r="CA189" s="268" t="n"/>
      <c r="CB189" s="268" t="n"/>
      <c r="CC189" s="268" t="n"/>
      <c r="CD189" s="268" t="n"/>
      <c r="CE189" s="268" t="n"/>
      <c r="CF189" s="268" t="n"/>
      <c r="CG189" s="268" t="n"/>
      <c r="CH189" s="268" t="n"/>
      <c r="CI189" s="268" t="n"/>
      <c r="CJ189" s="268" t="n"/>
      <c r="CK189" s="268" t="n"/>
      <c r="CL189" s="268" t="n"/>
      <c r="CM189" s="268" t="n"/>
      <c r="CN189" s="268" t="n"/>
      <c r="CO189" s="268" t="n"/>
      <c r="CP189" s="268" t="n"/>
      <c r="CQ189" s="268" t="n"/>
      <c r="CR189" s="268" t="n"/>
      <c r="CS189" s="268" t="n"/>
      <c r="CT189" s="268" t="n"/>
      <c r="CU189" s="268" t="n"/>
      <c r="CV189" s="268" t="n"/>
      <c r="CW189" s="268" t="n"/>
      <c r="CX189" s="268" t="n"/>
      <c r="CY189" s="268" t="n"/>
    </row>
    <row r="190" hidden="1" outlineLevel="1" ht="12.75" customHeight="1" s="255">
      <c r="C190" s="312" t="n"/>
      <c r="D190" s="268" t="n"/>
      <c r="E190" s="268" t="n"/>
      <c r="F190" s="268" t="n"/>
      <c r="G190" s="268" t="n"/>
      <c r="H190" s="268" t="n"/>
      <c r="I190" s="268" t="n"/>
      <c r="J190" s="268" t="n"/>
      <c r="K190" s="268" t="n"/>
      <c r="L190" s="268" t="n"/>
      <c r="M190" s="268" t="n"/>
      <c r="N190" s="268" t="n"/>
      <c r="O190" s="268" t="n"/>
      <c r="P190" s="268" t="n"/>
      <c r="Q190" s="268" t="n"/>
      <c r="R190" s="268" t="n"/>
      <c r="S190" s="268" t="n"/>
      <c r="T190" s="268" t="n"/>
      <c r="U190" s="268" t="n"/>
      <c r="V190" s="268" t="n"/>
      <c r="W190" s="268" t="n"/>
      <c r="X190" s="268" t="n"/>
      <c r="Y190" s="268" t="n"/>
      <c r="Z190" s="268" t="n"/>
      <c r="AA190" s="268" t="n"/>
      <c r="AB190" s="268" t="n"/>
      <c r="AC190" s="268" t="n"/>
      <c r="AD190" s="268" t="n"/>
      <c r="AE190" s="268" t="n"/>
      <c r="AF190" s="268" t="n"/>
      <c r="AG190" s="268" t="n"/>
      <c r="AH190" s="268" t="n"/>
      <c r="AI190" s="268" t="n"/>
      <c r="AJ190" s="268" t="n"/>
      <c r="AK190" s="268" t="n"/>
      <c r="AL190" s="268" t="n"/>
      <c r="AM190" s="268" t="n"/>
      <c r="AN190" s="268" t="n"/>
      <c r="AO190" s="268" t="n"/>
      <c r="AP190" s="268" t="n"/>
      <c r="AQ190" s="268" t="n"/>
      <c r="AR190" s="268" t="n"/>
      <c r="AS190" s="268" t="n"/>
      <c r="AT190" s="268" t="n"/>
      <c r="AU190" s="268" t="n"/>
      <c r="AV190" s="268" t="n"/>
      <c r="AW190" s="268" t="n"/>
      <c r="AX190" s="268" t="n"/>
      <c r="AY190" s="268" t="n"/>
      <c r="AZ190" s="268" t="n"/>
      <c r="BA190" s="268" t="n"/>
      <c r="BB190" s="268" t="n"/>
      <c r="BC190" s="268" t="n"/>
      <c r="BD190" s="268" t="n"/>
      <c r="BE190" s="268" t="n"/>
      <c r="BF190" s="268" t="n"/>
      <c r="BG190" s="268" t="n"/>
      <c r="BH190" s="268" t="n"/>
      <c r="BI190" s="268" t="n"/>
      <c r="BJ190" s="268" t="n"/>
      <c r="BK190" s="268" t="n"/>
      <c r="BL190" s="268" t="n"/>
      <c r="BM190" s="268" t="n"/>
      <c r="BN190" s="268" t="n"/>
      <c r="BO190" s="268" t="n"/>
      <c r="BP190" s="268" t="n"/>
      <c r="BQ190" s="268" t="n"/>
      <c r="BR190" s="268" t="n"/>
      <c r="BS190" s="268" t="n"/>
      <c r="BT190" s="268" t="n"/>
      <c r="BU190" s="268" t="n"/>
      <c r="BV190" s="268" t="n"/>
      <c r="BW190" s="268" t="n"/>
      <c r="BX190" s="268" t="n"/>
      <c r="BY190" s="268" t="n"/>
      <c r="BZ190" s="268" t="n"/>
      <c r="CA190" s="268" t="n"/>
      <c r="CB190" s="268" t="n"/>
      <c r="CC190" s="268" t="n"/>
      <c r="CD190" s="268" t="n"/>
      <c r="CE190" s="268" t="n"/>
      <c r="CF190" s="268" t="n"/>
      <c r="CG190" s="268" t="n"/>
      <c r="CH190" s="268" t="n"/>
      <c r="CI190" s="268" t="n"/>
      <c r="CJ190" s="268" t="n"/>
      <c r="CK190" s="268" t="n"/>
      <c r="CL190" s="268" t="n"/>
      <c r="CM190" s="268" t="n"/>
      <c r="CN190" s="268" t="n"/>
      <c r="CO190" s="268" t="n"/>
      <c r="CP190" s="268" t="n"/>
      <c r="CQ190" s="268" t="n"/>
      <c r="CR190" s="268" t="n"/>
      <c r="CS190" s="268" t="n"/>
      <c r="CT190" s="268" t="n"/>
      <c r="CU190" s="268" t="n"/>
      <c r="CV190" s="268" t="n"/>
      <c r="CW190" s="268" t="n"/>
      <c r="CX190" s="268" t="n"/>
      <c r="CY190" s="268" t="n"/>
    </row>
    <row r="191" ht="12.75" customHeight="1" s="255">
      <c r="C191" s="270" t="inlineStr">
        <is>
          <t>Other non-current assets</t>
        </is>
      </c>
      <c r="D191" s="301">
        <f>INDEX('Inputs (2)'!$D$26:$AL$26,MATCH(D$7,'Inputs (2)'!$D$2:$AL$2,0))</f>
        <v>21381</v>
      </c>
      <c r="E191" s="301">
        <f>INDEX('Inputs (2)'!$D$26:$AL$26,MATCH(E$7,'Inputs (2)'!$D$2:$AL$2,0))</f>
        <v>24793</v>
      </c>
      <c r="F191" s="301">
        <f>INDEX('Inputs (2)'!$D$26:$AL$26,MATCH(F$7,'Inputs (2)'!$D$2:$AL$2,0))</f>
        <v>27665</v>
      </c>
      <c r="G191" s="301">
        <f>INDEX('Inputs (2)'!$D$26:$AL$26,MATCH(G$7,'Inputs (2)'!$D$2:$AL$2,0))</f>
        <v>27603</v>
      </c>
      <c r="H191" s="268">
        <f>G191</f>
        <v>27603</v>
      </c>
      <c r="I191" s="301">
        <f>INDEX('Inputs (2)'!$D$26:$AL$26,MATCH(I$7,'Inputs (2)'!$D$2:$AL$2,0))</f>
        <v>26472</v>
      </c>
      <c r="J191" s="301">
        <f>INDEX('Inputs (2)'!$D$26:$AL$26,MATCH(J$7,'Inputs (2)'!$D$2:$AL$2,0))</f>
        <v>25661</v>
      </c>
      <c r="K191" s="301">
        <f>INDEX('Inputs (2)'!$D$26:$AL$26,MATCH(K$7,'Inputs (2)'!$D$2:$AL$2,0))</f>
        <v>26859</v>
      </c>
      <c r="L191" s="301">
        <f>INDEX('Inputs (2)'!$D$26:$AL$26,MATCH(L$7,'Inputs (2)'!$D$2:$AL$2,0))</f>
        <v>26503</v>
      </c>
      <c r="M191" s="268">
        <f>L191</f>
        <v>26503</v>
      </c>
      <c r="N191" s="301">
        <f>INDEX('Inputs (2)'!$D$26:$AL$26,MATCH(N$7,'Inputs (2)'!$D$2:$AL$2,0))</f>
        <v>24772</v>
      </c>
      <c r="O191" s="301">
        <f>INDEX('Inputs (2)'!$D$26:$AL$26,MATCH(O$7,'Inputs (2)'!$D$2:$AL$2,0))</f>
        <v>24493</v>
      </c>
      <c r="P191" s="301">
        <f>INDEX('Inputs (2)'!$D$26:$AL$26,MATCH(P$7,'Inputs (2)'!$D$2:$AL$2,0))</f>
        <v>20892</v>
      </c>
      <c r="Q191" s="301">
        <f>INDEX('Inputs (2)'!$D$26:$AL$26,MATCH(Q$7,'Inputs (2)'!$D$2:$AL$2,0))</f>
        <v>25053</v>
      </c>
      <c r="R191" s="268">
        <f>Q191</f>
        <v>25053</v>
      </c>
      <c r="S191" s="301">
        <f>INDEX('Inputs (2)'!$D$26:$AL$26,MATCH(S$7,'Inputs (2)'!$D$2:$AL$2,0))</f>
        <v>22222</v>
      </c>
      <c r="T191" s="301">
        <f>INDEX('Inputs (2)'!$D$26:$AL$26,MATCH(T$7,'Inputs (2)'!$D$2:$AL$2,0))</f>
        <v>26378</v>
      </c>
      <c r="U191" s="301">
        <f>INDEX('Inputs (2)'!$D$26:$AL$26,MATCH(U$7,'Inputs (2)'!$D$2:$AL$2,0))</f>
        <v>21750</v>
      </c>
      <c r="V191" s="301">
        <f>INDEX('Inputs (2)'!$D$26:$AL$26,MATCH(V$7,'Inputs (2)'!$D$2:$AL$2,0))</f>
        <v>22926</v>
      </c>
      <c r="W191" s="268">
        <f>V191</f>
        <v>22926</v>
      </c>
      <c r="X191" s="301">
        <f>INDEX('Inputs (2)'!$D$26:$AL$26,MATCH(X$7,'Inputs (2)'!$D$2:$AL$2,0))</f>
        <v>23843</v>
      </c>
      <c r="Y191" s="301">
        <f>INDEX('Inputs (2)'!$D$26:$AL$26,MATCH(Y$7,'Inputs (2)'!$D$2:$AL$2,0))</f>
        <v>22603</v>
      </c>
      <c r="Z191" s="301">
        <f>INDEX('Inputs (2)'!$D$26:$AL$26,MATCH(Z$7,'Inputs (2)'!$D$2:$AL$2,0))</f>
        <v>18220</v>
      </c>
      <c r="AA191" s="301">
        <f>INDEX('Inputs (2)'!$D$26:$AL$26,MATCH(AA$7,'Inputs (2)'!$D$2:$AL$2,0))</f>
        <v>18981</v>
      </c>
      <c r="AB191" s="268">
        <f>AA191</f>
        <v>18981</v>
      </c>
      <c r="AC191" s="301">
        <f>INDEX('Inputs (2)'!$D$26:$AL$26,MATCH(AC$7,'Inputs (2)'!$D$2:$AL$2,0))</f>
        <v>18425</v>
      </c>
      <c r="AD191" s="301">
        <f>INDEX('Inputs (2)'!$D$26:$AL$26,MATCH(AD$7,'Inputs (2)'!$D$2:$AL$2,0))</f>
        <v>20315</v>
      </c>
      <c r="AE191" s="301">
        <f>INDEX('Inputs (2)'!$D$26:$AL$26,MATCH(AE$7,'Inputs (2)'!$D$2:$AL$2,0))</f>
        <v>22311</v>
      </c>
      <c r="AF191" s="301">
        <f>INDEX('Inputs (2)'!$D$26:$AL$26,MATCH(AF$7,'Inputs (2)'!$D$2:$AL$2,0))</f>
        <v>20226</v>
      </c>
      <c r="AG191" s="268">
        <f>AF191</f>
        <v>20226</v>
      </c>
      <c r="AH191" s="268">
        <f>INDEX('Inputs (2)'!$D$26:$AL$26,MATCH(AH$7,'Inputs (2)'!$D$2:$AL$2,0))</f>
        <v>20052</v>
      </c>
      <c r="AI191" s="268">
        <f>INDEX('Inputs (2)'!$D$26:$AL$26,MATCH(AI$7,'Inputs (2)'!$D$2:$AL$2,0))</f>
        <v>18819</v>
      </c>
      <c r="AJ191" s="268">
        <f>AI191</f>
        <v>18819</v>
      </c>
      <c r="AK191" s="268">
        <f>AJ191</f>
        <v>18819</v>
      </c>
      <c r="AL191" s="268">
        <f>AK191</f>
        <v>18819</v>
      </c>
      <c r="AM191" s="268">
        <f>AL191</f>
        <v>18819</v>
      </c>
      <c r="AN191" s="268">
        <f>AM191</f>
        <v>18819</v>
      </c>
      <c r="AO191" s="268">
        <f>AN191</f>
        <v>18819</v>
      </c>
      <c r="AP191" s="268">
        <f>AO191</f>
        <v>18819</v>
      </c>
      <c r="AQ191" s="268">
        <f>AP191</f>
        <v>18819</v>
      </c>
      <c r="AR191" s="268">
        <f>AQ191</f>
        <v>18819</v>
      </c>
      <c r="AS191" s="268">
        <f>AR191</f>
        <v>18819</v>
      </c>
      <c r="AT191" s="268">
        <f>AS191</f>
        <v>18819</v>
      </c>
      <c r="AU191" s="268">
        <f>AT191</f>
        <v>18819</v>
      </c>
      <c r="AV191" s="268">
        <f>AU191</f>
        <v>18819</v>
      </c>
      <c r="AW191" s="268">
        <f>AV191</f>
        <v>18819</v>
      </c>
      <c r="AX191" s="268">
        <f>AW191</f>
        <v>18819</v>
      </c>
      <c r="AY191" s="268">
        <f>AX191</f>
        <v>18819</v>
      </c>
      <c r="AZ191" s="268">
        <f>AY191</f>
        <v>18819</v>
      </c>
      <c r="BA191" s="268">
        <f>AZ191</f>
        <v>18819</v>
      </c>
      <c r="BB191" s="268">
        <f>BA191</f>
        <v>18819</v>
      </c>
      <c r="BC191" s="268">
        <f>BB191</f>
        <v>18819</v>
      </c>
      <c r="BD191" s="268">
        <f>BC191</f>
        <v>18819</v>
      </c>
      <c r="BE191" s="268">
        <f>BD191</f>
        <v>18819</v>
      </c>
      <c r="BF191" s="268">
        <f>BE191</f>
        <v>18819</v>
      </c>
      <c r="BG191" s="268">
        <f>BF191</f>
        <v>18819</v>
      </c>
      <c r="BH191" s="268">
        <f>BG191</f>
        <v>18819</v>
      </c>
      <c r="BI191" s="268">
        <f>BH191</f>
        <v>18819</v>
      </c>
      <c r="BJ191" s="268">
        <f>BI191</f>
        <v>18819</v>
      </c>
      <c r="BK191" s="268">
        <f>BJ191</f>
        <v>18819</v>
      </c>
      <c r="BL191" s="268">
        <f>BK191</f>
        <v>18819</v>
      </c>
      <c r="BM191" s="268">
        <f>BL191</f>
        <v>18819</v>
      </c>
      <c r="BN191" s="268">
        <f>BM191</f>
        <v>18819</v>
      </c>
      <c r="BO191" s="268">
        <f>BN191</f>
        <v>18819</v>
      </c>
      <c r="BP191" s="268">
        <f>BO191</f>
        <v>18819</v>
      </c>
      <c r="BQ191" s="268">
        <f>BP191</f>
        <v>18819</v>
      </c>
      <c r="BR191" s="268">
        <f>BQ191</f>
        <v>18819</v>
      </c>
      <c r="BS191" s="268">
        <f>BR191</f>
        <v>18819</v>
      </c>
      <c r="BT191" s="268">
        <f>BS191</f>
        <v>18819</v>
      </c>
      <c r="BU191" s="268">
        <f>BT191</f>
        <v>18819</v>
      </c>
      <c r="BV191" s="268">
        <f>BU191</f>
        <v>18819</v>
      </c>
      <c r="BW191" s="268">
        <f>BV191</f>
        <v>18819</v>
      </c>
      <c r="BX191" s="268">
        <f>BW191</f>
        <v>18819</v>
      </c>
      <c r="BY191" s="268">
        <f>BX191</f>
        <v>18819</v>
      </c>
      <c r="BZ191" s="268">
        <f>BY191</f>
        <v>18819</v>
      </c>
      <c r="CA191" s="268">
        <f>BZ191</f>
        <v>18819</v>
      </c>
      <c r="CB191" s="268">
        <f>CA191</f>
        <v>18819</v>
      </c>
      <c r="CC191" s="268">
        <f>CB191</f>
        <v>18819</v>
      </c>
      <c r="CD191" s="268">
        <f>CC191</f>
        <v>18819</v>
      </c>
      <c r="CE191" s="268">
        <f>CD191</f>
        <v>18819</v>
      </c>
      <c r="CF191" s="268">
        <f>CE191</f>
        <v>18819</v>
      </c>
      <c r="CG191" s="268">
        <f>CF191</f>
        <v>18819</v>
      </c>
      <c r="CH191" s="268">
        <f>CG191</f>
        <v>18819</v>
      </c>
      <c r="CI191" s="268">
        <f>CH191</f>
        <v>18819</v>
      </c>
      <c r="CJ191" s="268">
        <f>CI191</f>
        <v>18819</v>
      </c>
      <c r="CK191" s="268">
        <f>CJ191</f>
        <v>18819</v>
      </c>
      <c r="CL191" s="268">
        <f>CK191</f>
        <v>18819</v>
      </c>
      <c r="CM191" s="268">
        <f>CL191</f>
        <v>18819</v>
      </c>
      <c r="CN191" s="268">
        <f>CM191</f>
        <v>18819</v>
      </c>
      <c r="CO191" s="268">
        <f>CN191</f>
        <v>18819</v>
      </c>
      <c r="CP191" s="268">
        <f>CO191</f>
        <v>18819</v>
      </c>
      <c r="CQ191" s="268">
        <f>CP191</f>
        <v>18819</v>
      </c>
      <c r="CR191" s="268">
        <f>CQ191</f>
        <v>18819</v>
      </c>
      <c r="CS191" s="268">
        <f>CR191</f>
        <v>18819</v>
      </c>
      <c r="CT191" s="268">
        <f>CS191</f>
        <v>18819</v>
      </c>
      <c r="CU191" s="268">
        <f>CT191</f>
        <v>18819</v>
      </c>
      <c r="CV191" s="268">
        <f>CU191</f>
        <v>18819</v>
      </c>
      <c r="CW191" s="268">
        <f>CV191</f>
        <v>18819</v>
      </c>
      <c r="CX191" s="268">
        <f>CW191</f>
        <v>18819</v>
      </c>
      <c r="CY191" s="268">
        <f>CX191</f>
        <v>18819</v>
      </c>
    </row>
    <row r="192" hidden="1" outlineLevel="1" ht="12.75" customHeight="1" s="255">
      <c r="C192" s="314" t="inlineStr">
        <is>
          <t>%(Var.)</t>
        </is>
      </c>
      <c r="D192" s="268" t="n"/>
      <c r="E192" s="296">
        <f>(E191-D191)/D191</f>
        <v>0.159580936345353</v>
      </c>
      <c r="F192" s="296">
        <f>(F191-E191)/E191</f>
        <v>0.115839148146654</v>
      </c>
      <c r="G192" s="296">
        <f>(G191-F191)/F191</f>
        <v>-0.00224109886137719</v>
      </c>
      <c r="H192" s="268" t="n"/>
      <c r="I192" s="296">
        <f>(I191-H191)/H191</f>
        <v>-0.0409738071948701</v>
      </c>
      <c r="J192" s="296">
        <f>(J191-I191)/I191</f>
        <v>-0.0306361438501058</v>
      </c>
      <c r="K192" s="296">
        <f>(K191-J191)/J191</f>
        <v>0.0466856318927555</v>
      </c>
      <c r="L192" s="296">
        <f>(L191-K191)/K191</f>
        <v>-0.0132544026210953</v>
      </c>
      <c r="M192" s="268" t="n"/>
      <c r="N192" s="296">
        <f>(N191-M191)/M191</f>
        <v>-0.065313360751613</v>
      </c>
      <c r="O192" s="296">
        <f>(O191-N191)/N191</f>
        <v>-0.0112627159696431</v>
      </c>
      <c r="P192" s="296">
        <f>(P191-O191)/O191</f>
        <v>-0.147021598007594</v>
      </c>
      <c r="Q192" s="296">
        <f>(Q191-P191)/P191</f>
        <v>0.199167145318782</v>
      </c>
      <c r="R192" s="268" t="n"/>
      <c r="S192" s="296">
        <f>(S191-R191)/R191</f>
        <v>-0.113000439069173</v>
      </c>
      <c r="T192" s="296">
        <f>(T191-S191)/S191</f>
        <v>0.187021870218702</v>
      </c>
      <c r="U192" s="296">
        <f>(U191-T191)/T191</f>
        <v>-0.175449238001365</v>
      </c>
      <c r="V192" s="296">
        <f>(V191-U191)/U191</f>
        <v>0.0540689655172414</v>
      </c>
      <c r="W192" s="268" t="n"/>
      <c r="X192" s="296">
        <f>(X191-W191)/W191</f>
        <v>0.0399982552560412</v>
      </c>
      <c r="Y192" s="296">
        <f>(Y191-X191)/X191</f>
        <v>-0.0520068783290693</v>
      </c>
      <c r="Z192" s="296">
        <f>(Z191-Y191)/Y191</f>
        <v>-0.193912312524886</v>
      </c>
      <c r="AA192" s="296">
        <f>(AA191-Z191)/Z191</f>
        <v>0.0417672886937431</v>
      </c>
      <c r="AB192" s="268" t="n"/>
      <c r="AC192" s="296">
        <f>(AC191-AB191)/AB191</f>
        <v>-0.0292924503450819</v>
      </c>
      <c r="AD192" s="296">
        <f>(AD191-AC191)/AC191</f>
        <v>0.102578018995929</v>
      </c>
      <c r="AE192" s="296">
        <f>(AE191-AD191)/AD191</f>
        <v>0.0982525227664288</v>
      </c>
      <c r="AF192" s="311">
        <f>(AF191-AE191)/AE191</f>
        <v>-0.0934516606158397</v>
      </c>
      <c r="AG192" s="268" t="n"/>
      <c r="AH192" s="311">
        <f>(AH191-AG191)/AG191</f>
        <v>-0.0086027884900623</v>
      </c>
      <c r="AI192" s="311">
        <f>(AI191-AH191)/AH191</f>
        <v>-0.0614901256732496</v>
      </c>
      <c r="AJ192" s="311" t="n"/>
      <c r="AK192" s="311" t="n"/>
      <c r="AL192" s="268" t="n"/>
      <c r="AM192" s="311" t="n"/>
      <c r="AN192" s="311" t="n"/>
      <c r="AO192" s="311" t="n"/>
      <c r="AP192" s="311" t="n"/>
      <c r="AQ192" s="268" t="n"/>
      <c r="AR192" s="311" t="n"/>
      <c r="AS192" s="311" t="n"/>
      <c r="AT192" s="311" t="n"/>
      <c r="AU192" s="311" t="n"/>
      <c r="AV192" s="268" t="n"/>
      <c r="AW192" s="311" t="n"/>
      <c r="AX192" s="311" t="n"/>
      <c r="AY192" s="311" t="n"/>
      <c r="AZ192" s="311" t="n"/>
      <c r="BA192" s="268" t="n"/>
      <c r="BB192" s="311" t="n"/>
      <c r="BC192" s="311" t="n"/>
      <c r="BD192" s="311" t="n"/>
      <c r="BE192" s="311" t="n"/>
      <c r="BF192" s="268" t="n"/>
      <c r="BG192" s="311" t="n"/>
      <c r="BH192" s="311" t="n"/>
      <c r="BI192" s="311" t="n"/>
      <c r="BJ192" s="311" t="n"/>
      <c r="BK192" s="268" t="n"/>
      <c r="BL192" s="311" t="n"/>
      <c r="BM192" s="311" t="n"/>
      <c r="BN192" s="311" t="n"/>
      <c r="BO192" s="311" t="n"/>
      <c r="BP192" s="268" t="n"/>
      <c r="BQ192" s="311" t="n"/>
      <c r="BR192" s="311" t="n"/>
      <c r="BS192" s="311" t="n"/>
      <c r="BT192" s="311" t="n"/>
      <c r="BU192" s="268" t="n"/>
      <c r="BV192" s="311" t="n"/>
      <c r="BW192" s="311" t="n"/>
      <c r="BX192" s="311" t="n"/>
      <c r="BY192" s="311" t="n"/>
      <c r="BZ192" s="268" t="n"/>
      <c r="CA192" s="311" t="n"/>
      <c r="CB192" s="311" t="n"/>
      <c r="CC192" s="311" t="n"/>
      <c r="CD192" s="311" t="n"/>
      <c r="CE192" s="268" t="n"/>
      <c r="CF192" s="311" t="n"/>
      <c r="CG192" s="311" t="n"/>
      <c r="CH192" s="311" t="n"/>
      <c r="CI192" s="311" t="n"/>
      <c r="CJ192" s="268" t="n"/>
      <c r="CK192" s="311" t="n"/>
      <c r="CL192" s="311" t="n"/>
      <c r="CM192" s="311" t="n"/>
      <c r="CN192" s="311" t="n"/>
      <c r="CO192" s="268" t="n"/>
      <c r="CP192" s="311" t="n"/>
      <c r="CQ192" s="311" t="n"/>
      <c r="CR192" s="311" t="n"/>
      <c r="CS192" s="311" t="n"/>
      <c r="CT192" s="268" t="n"/>
      <c r="CU192" s="311" t="n"/>
      <c r="CV192" s="311" t="n"/>
      <c r="CW192" s="311" t="n"/>
      <c r="CX192" s="311" t="n"/>
      <c r="CY192" s="268" t="n"/>
    </row>
    <row r="193" hidden="1" outlineLevel="1" ht="12.75" customHeight="1" s="255">
      <c r="C193" s="312" t="n"/>
      <c r="D193" s="268" t="n"/>
      <c r="E193" s="296" t="n"/>
      <c r="F193" s="296" t="n"/>
      <c r="G193" s="296" t="n"/>
      <c r="H193" s="268" t="n"/>
      <c r="I193" s="296" t="n"/>
      <c r="J193" s="296" t="n"/>
      <c r="K193" s="296" t="n"/>
      <c r="L193" s="296" t="n"/>
      <c r="M193" s="268" t="n"/>
      <c r="N193" s="296" t="n"/>
      <c r="O193" s="296" t="n"/>
      <c r="P193" s="296" t="n"/>
      <c r="Q193" s="296" t="n"/>
      <c r="R193" s="268" t="n"/>
      <c r="S193" s="296" t="n"/>
      <c r="T193" s="296" t="n"/>
      <c r="U193" s="296" t="n"/>
      <c r="V193" s="296" t="n"/>
      <c r="W193" s="268" t="n"/>
      <c r="X193" s="296" t="n"/>
      <c r="Y193" s="296" t="n"/>
      <c r="Z193" s="296" t="n"/>
      <c r="AA193" s="296" t="n"/>
      <c r="AB193" s="268" t="n"/>
      <c r="AC193" s="296" t="n"/>
      <c r="AD193" s="296" t="n"/>
      <c r="AE193" s="296" t="n"/>
      <c r="AF193" s="311" t="n"/>
      <c r="AG193" s="268" t="n"/>
      <c r="AH193" s="311" t="n"/>
      <c r="AI193" s="311" t="n"/>
      <c r="AJ193" s="311" t="n"/>
      <c r="AK193" s="311" t="n"/>
      <c r="AL193" s="268" t="n"/>
      <c r="AM193" s="311" t="n"/>
      <c r="AN193" s="311" t="n"/>
      <c r="AO193" s="311" t="n"/>
      <c r="AP193" s="311" t="n"/>
      <c r="AQ193" s="268" t="n"/>
      <c r="AR193" s="311" t="n"/>
      <c r="AS193" s="311" t="n"/>
      <c r="AT193" s="311" t="n"/>
      <c r="AU193" s="311" t="n"/>
      <c r="AV193" s="268" t="n"/>
      <c r="AW193" s="311" t="n"/>
      <c r="AX193" s="311" t="n"/>
      <c r="AY193" s="311" t="n"/>
      <c r="AZ193" s="311" t="n"/>
      <c r="BA193" s="268" t="n"/>
      <c r="BB193" s="311" t="n"/>
      <c r="BC193" s="311" t="n"/>
      <c r="BD193" s="311" t="n"/>
      <c r="BE193" s="311" t="n"/>
      <c r="BF193" s="268" t="n"/>
      <c r="BG193" s="311" t="n"/>
      <c r="BH193" s="311" t="n"/>
      <c r="BI193" s="311" t="n"/>
      <c r="BJ193" s="311" t="n"/>
      <c r="BK193" s="268" t="n"/>
      <c r="BL193" s="311" t="n"/>
      <c r="BM193" s="311" t="n"/>
      <c r="BN193" s="311" t="n"/>
      <c r="BO193" s="311" t="n"/>
      <c r="BP193" s="268" t="n"/>
      <c r="BQ193" s="311" t="n"/>
      <c r="BR193" s="311" t="n"/>
      <c r="BS193" s="311" t="n"/>
      <c r="BT193" s="311" t="n"/>
      <c r="BU193" s="268" t="n"/>
      <c r="BV193" s="311" t="n"/>
      <c r="BW193" s="311" t="n"/>
      <c r="BX193" s="311" t="n"/>
      <c r="BY193" s="311" t="n"/>
      <c r="BZ193" s="268" t="n"/>
      <c r="CA193" s="311" t="n"/>
      <c r="CB193" s="311" t="n"/>
      <c r="CC193" s="311" t="n"/>
      <c r="CD193" s="311" t="n"/>
      <c r="CE193" s="268" t="n"/>
      <c r="CF193" s="311" t="n"/>
      <c r="CG193" s="311" t="n"/>
      <c r="CH193" s="311" t="n"/>
      <c r="CI193" s="311" t="n"/>
      <c r="CJ193" s="268" t="n"/>
      <c r="CK193" s="311" t="n"/>
      <c r="CL193" s="311" t="n"/>
      <c r="CM193" s="311" t="n"/>
      <c r="CN193" s="311" t="n"/>
      <c r="CO193" s="268" t="n"/>
      <c r="CP193" s="311" t="n"/>
      <c r="CQ193" s="311" t="n"/>
      <c r="CR193" s="311" t="n"/>
      <c r="CS193" s="311" t="n"/>
      <c r="CT193" s="268" t="n"/>
      <c r="CU193" s="311" t="n"/>
      <c r="CV193" s="311" t="n"/>
      <c r="CW193" s="311" t="n"/>
      <c r="CX193" s="311" t="n"/>
      <c r="CY193" s="268" t="n"/>
    </row>
    <row r="194" hidden="1" outlineLevel="1" ht="12.75" customHeight="1" s="255">
      <c r="C194" s="315" t="inlineStr">
        <is>
          <t>Outros Créditos - LP</t>
        </is>
      </c>
      <c r="D194" s="267" t="n"/>
      <c r="E194" s="267" t="n"/>
      <c r="F194" s="267" t="n"/>
      <c r="G194" s="267" t="n"/>
      <c r="H194" s="268" t="n"/>
      <c r="I194" s="267" t="n"/>
      <c r="J194" s="267" t="n"/>
      <c r="K194" s="267" t="n"/>
      <c r="L194" s="267" t="n"/>
      <c r="M194" s="268" t="n"/>
      <c r="N194" s="267" t="n"/>
      <c r="O194" s="267" t="n"/>
      <c r="P194" s="267" t="n"/>
      <c r="Q194" s="267" t="n"/>
      <c r="R194" s="268" t="n"/>
      <c r="S194" s="267" t="n"/>
      <c r="T194" s="267" t="n"/>
      <c r="U194" s="267" t="n"/>
      <c r="V194" s="267" t="n"/>
      <c r="W194" s="268" t="n"/>
      <c r="X194" s="267" t="n"/>
      <c r="Y194" s="267" t="n"/>
      <c r="Z194" s="267" t="n"/>
      <c r="AA194" s="267" t="n"/>
      <c r="AB194" s="268" t="n"/>
      <c r="AC194" s="267" t="n"/>
      <c r="AD194" s="267" t="n"/>
      <c r="AE194" s="267" t="n"/>
      <c r="AF194" s="267" t="n"/>
      <c r="AG194" s="268" t="n"/>
      <c r="AH194" s="268" t="n"/>
      <c r="AI194" s="268" t="n"/>
      <c r="AJ194" s="268" t="n"/>
      <c r="AK194" s="268" t="n"/>
      <c r="AL194" s="268" t="n"/>
      <c r="AM194" s="268" t="n"/>
      <c r="AN194" s="268" t="n"/>
      <c r="AO194" s="268" t="n"/>
      <c r="AP194" s="268" t="n"/>
      <c r="AQ194" s="268" t="n"/>
      <c r="AR194" s="268" t="n"/>
      <c r="AS194" s="268" t="n"/>
      <c r="AT194" s="268" t="n"/>
      <c r="AU194" s="268" t="n"/>
      <c r="AV194" s="268" t="n"/>
      <c r="AW194" s="268" t="n"/>
      <c r="AX194" s="268" t="n"/>
      <c r="AY194" s="268" t="n"/>
      <c r="AZ194" s="268" t="n"/>
      <c r="BA194" s="268" t="n"/>
      <c r="BB194" s="268" t="n"/>
      <c r="BC194" s="268" t="n"/>
      <c r="BD194" s="268" t="n"/>
      <c r="BE194" s="268" t="n"/>
      <c r="BF194" s="268" t="n"/>
      <c r="BG194" s="268" t="n"/>
      <c r="BH194" s="268" t="n"/>
      <c r="BI194" s="268" t="n"/>
      <c r="BJ194" s="268" t="n"/>
      <c r="BK194" s="268" t="n"/>
      <c r="BL194" s="268" t="n"/>
      <c r="BM194" s="268" t="n"/>
      <c r="BN194" s="268" t="n"/>
      <c r="BO194" s="268" t="n"/>
      <c r="BP194" s="268" t="n"/>
      <c r="BQ194" s="268" t="n"/>
      <c r="BR194" s="268" t="n"/>
      <c r="BS194" s="268" t="n"/>
      <c r="BT194" s="268" t="n"/>
      <c r="BU194" s="268" t="n"/>
      <c r="BV194" s="268" t="n"/>
      <c r="BW194" s="268" t="n"/>
      <c r="BX194" s="268" t="n"/>
      <c r="BY194" s="268" t="n"/>
      <c r="BZ194" s="268" t="n"/>
      <c r="CA194" s="268" t="n"/>
      <c r="CB194" s="268" t="n"/>
      <c r="CC194" s="268" t="n"/>
      <c r="CD194" s="268" t="n"/>
      <c r="CE194" s="268" t="n"/>
      <c r="CF194" s="268" t="n"/>
      <c r="CG194" s="268" t="n"/>
      <c r="CH194" s="268" t="n"/>
      <c r="CI194" s="268" t="n"/>
      <c r="CJ194" s="268" t="n"/>
      <c r="CK194" s="268" t="n"/>
      <c r="CL194" s="268" t="n"/>
      <c r="CM194" s="268" t="n"/>
      <c r="CN194" s="268" t="n"/>
      <c r="CO194" s="268" t="n"/>
      <c r="CP194" s="268" t="n"/>
      <c r="CQ194" s="268" t="n"/>
      <c r="CR194" s="268" t="n"/>
      <c r="CS194" s="268" t="n"/>
      <c r="CT194" s="268" t="n"/>
      <c r="CU194" s="268" t="n"/>
      <c r="CV194" s="268" t="n"/>
      <c r="CW194" s="268" t="n"/>
      <c r="CX194" s="268" t="n"/>
      <c r="CY194" s="268" t="n"/>
    </row>
    <row r="195" hidden="1" outlineLevel="1" ht="12.75" customHeight="1" s="255">
      <c r="C195" s="315" t="inlineStr">
        <is>
          <t xml:space="preserve">Impostos e Contribuições a Recuperar </t>
        </is>
      </c>
      <c r="D195" s="267" t="n"/>
      <c r="E195" s="267" t="n"/>
      <c r="F195" s="267" t="n"/>
      <c r="G195" s="267" t="n"/>
      <c r="H195" s="268" t="n"/>
      <c r="I195" s="267" t="n"/>
      <c r="J195" s="267" t="n"/>
      <c r="K195" s="267" t="n"/>
      <c r="L195" s="267" t="n"/>
      <c r="M195" s="268" t="n"/>
      <c r="N195" s="267" t="n"/>
      <c r="O195" s="267" t="n"/>
      <c r="P195" s="267" t="n"/>
      <c r="Q195" s="267" t="n"/>
      <c r="R195" s="268" t="n"/>
      <c r="S195" s="267" t="n"/>
      <c r="T195" s="267" t="n"/>
      <c r="U195" s="267" t="n"/>
      <c r="V195" s="267" t="n"/>
      <c r="W195" s="268" t="n"/>
      <c r="X195" s="267" t="n"/>
      <c r="Y195" s="267" t="n"/>
      <c r="Z195" s="267" t="n"/>
      <c r="AA195" s="267" t="n"/>
      <c r="AB195" s="268" t="n"/>
      <c r="AC195" s="267" t="n"/>
      <c r="AD195" s="267" t="n"/>
      <c r="AE195" s="267" t="n"/>
      <c r="AF195" s="267" t="n"/>
      <c r="AG195" s="268" t="n"/>
      <c r="AH195" s="268" t="n"/>
      <c r="AI195" s="268" t="n"/>
      <c r="AJ195" s="268" t="n"/>
      <c r="AK195" s="268" t="n"/>
      <c r="AL195" s="268" t="n"/>
      <c r="AM195" s="268" t="n"/>
      <c r="AN195" s="268" t="n"/>
      <c r="AO195" s="268" t="n"/>
      <c r="AP195" s="268" t="n"/>
      <c r="AQ195" s="268" t="n"/>
      <c r="AR195" s="268" t="n"/>
      <c r="AS195" s="268" t="n"/>
      <c r="AT195" s="268" t="n"/>
      <c r="AU195" s="268" t="n"/>
      <c r="AV195" s="268" t="n"/>
      <c r="AW195" s="268" t="n"/>
      <c r="AX195" s="268" t="n"/>
      <c r="AY195" s="268" t="n"/>
      <c r="AZ195" s="268" t="n"/>
      <c r="BA195" s="268" t="n"/>
      <c r="BB195" s="268" t="n"/>
      <c r="BC195" s="268" t="n"/>
      <c r="BD195" s="268" t="n"/>
      <c r="BE195" s="268" t="n"/>
      <c r="BF195" s="268" t="n"/>
      <c r="BG195" s="268" t="n"/>
      <c r="BH195" s="268" t="n"/>
      <c r="BI195" s="268" t="n"/>
      <c r="BJ195" s="268" t="n"/>
      <c r="BK195" s="268" t="n"/>
      <c r="BL195" s="268" t="n"/>
      <c r="BM195" s="268" t="n"/>
      <c r="BN195" s="268" t="n"/>
      <c r="BO195" s="268" t="n"/>
      <c r="BP195" s="268" t="n"/>
      <c r="BQ195" s="268" t="n"/>
      <c r="BR195" s="268" t="n"/>
      <c r="BS195" s="268" t="n"/>
      <c r="BT195" s="268" t="n"/>
      <c r="BU195" s="268" t="n"/>
      <c r="BV195" s="268" t="n"/>
      <c r="BW195" s="268" t="n"/>
      <c r="BX195" s="268" t="n"/>
      <c r="BY195" s="268" t="n"/>
      <c r="BZ195" s="268" t="n"/>
      <c r="CA195" s="268" t="n"/>
      <c r="CB195" s="268" t="n"/>
      <c r="CC195" s="268" t="n"/>
      <c r="CD195" s="268" t="n"/>
      <c r="CE195" s="268" t="n"/>
      <c r="CF195" s="268" t="n"/>
      <c r="CG195" s="268" t="n"/>
      <c r="CH195" s="268" t="n"/>
      <c r="CI195" s="268" t="n"/>
      <c r="CJ195" s="268" t="n"/>
      <c r="CK195" s="268" t="n"/>
      <c r="CL195" s="268" t="n"/>
      <c r="CM195" s="268" t="n"/>
      <c r="CN195" s="268" t="n"/>
      <c r="CO195" s="268" t="n"/>
      <c r="CP195" s="268" t="n"/>
      <c r="CQ195" s="268" t="n"/>
      <c r="CR195" s="268" t="n"/>
      <c r="CS195" s="268" t="n"/>
      <c r="CT195" s="268" t="n"/>
      <c r="CU195" s="268" t="n"/>
      <c r="CV195" s="268" t="n"/>
      <c r="CW195" s="268" t="n"/>
      <c r="CX195" s="268" t="n"/>
      <c r="CY195" s="268" t="n"/>
    </row>
    <row r="196" hidden="1" outlineLevel="1" ht="12.75" customHeight="1" s="255">
      <c r="C196" s="315" t="inlineStr">
        <is>
          <t xml:space="preserve">Imposto de Renda e Contribuição Social Diferidos </t>
        </is>
      </c>
      <c r="D196" s="267" t="n"/>
      <c r="E196" s="267" t="n"/>
      <c r="F196" s="267" t="n"/>
      <c r="G196" s="267" t="n"/>
      <c r="H196" s="268" t="n"/>
      <c r="I196" s="267" t="n"/>
      <c r="J196" s="267" t="n"/>
      <c r="K196" s="267" t="n"/>
      <c r="L196" s="267" t="n"/>
      <c r="M196" s="268" t="n"/>
      <c r="N196" s="267" t="n"/>
      <c r="O196" s="267" t="n"/>
      <c r="P196" s="267" t="n"/>
      <c r="Q196" s="267" t="n"/>
      <c r="R196" s="268" t="n"/>
      <c r="S196" s="267" t="n"/>
      <c r="T196" s="267" t="n"/>
      <c r="U196" s="267" t="n"/>
      <c r="V196" s="267" t="n"/>
      <c r="W196" s="268" t="n"/>
      <c r="X196" s="267" t="n"/>
      <c r="Y196" s="267" t="n"/>
      <c r="Z196" s="267" t="n"/>
      <c r="AA196" s="267" t="n"/>
      <c r="AB196" s="268" t="n"/>
      <c r="AC196" s="267" t="n"/>
      <c r="AD196" s="267" t="n"/>
      <c r="AE196" s="267" t="n"/>
      <c r="AF196" s="267" t="n"/>
      <c r="AG196" s="268" t="n"/>
      <c r="AH196" s="268" t="n"/>
      <c r="AI196" s="268" t="n"/>
      <c r="AJ196" s="268" t="n"/>
      <c r="AK196" s="268" t="n"/>
      <c r="AL196" s="268" t="n"/>
      <c r="AM196" s="268" t="n"/>
      <c r="AN196" s="268" t="n"/>
      <c r="AO196" s="268" t="n"/>
      <c r="AP196" s="268" t="n"/>
      <c r="AQ196" s="268" t="n"/>
      <c r="AR196" s="268" t="n"/>
      <c r="AS196" s="268" t="n"/>
      <c r="AT196" s="268" t="n"/>
      <c r="AU196" s="268" t="n"/>
      <c r="AV196" s="268" t="n"/>
      <c r="AW196" s="268" t="n"/>
      <c r="AX196" s="268" t="n"/>
      <c r="AY196" s="268" t="n"/>
      <c r="AZ196" s="268" t="n"/>
      <c r="BA196" s="268" t="n"/>
      <c r="BB196" s="268" t="n"/>
      <c r="BC196" s="268" t="n"/>
      <c r="BD196" s="268" t="n"/>
      <c r="BE196" s="268" t="n"/>
      <c r="BF196" s="268" t="n"/>
      <c r="BG196" s="268" t="n"/>
      <c r="BH196" s="268" t="n"/>
      <c r="BI196" s="268" t="n"/>
      <c r="BJ196" s="268" t="n"/>
      <c r="BK196" s="268" t="n"/>
      <c r="BL196" s="268" t="n"/>
      <c r="BM196" s="268" t="n"/>
      <c r="BN196" s="268" t="n"/>
      <c r="BO196" s="268" t="n"/>
      <c r="BP196" s="268" t="n"/>
      <c r="BQ196" s="268" t="n"/>
      <c r="BR196" s="268" t="n"/>
      <c r="BS196" s="268" t="n"/>
      <c r="BT196" s="268" t="n"/>
      <c r="BU196" s="268" t="n"/>
      <c r="BV196" s="268" t="n"/>
      <c r="BW196" s="268" t="n"/>
      <c r="BX196" s="268" t="n"/>
      <c r="BY196" s="268" t="n"/>
      <c r="BZ196" s="268" t="n"/>
      <c r="CA196" s="268" t="n"/>
      <c r="CB196" s="268" t="n"/>
      <c r="CC196" s="268" t="n"/>
      <c r="CD196" s="268" t="n"/>
      <c r="CE196" s="268" t="n"/>
      <c r="CF196" s="268" t="n"/>
      <c r="CG196" s="268" t="n"/>
      <c r="CH196" s="268" t="n"/>
      <c r="CI196" s="268" t="n"/>
      <c r="CJ196" s="268" t="n"/>
      <c r="CK196" s="268" t="n"/>
      <c r="CL196" s="268" t="n"/>
      <c r="CM196" s="268" t="n"/>
      <c r="CN196" s="268" t="n"/>
      <c r="CO196" s="268" t="n"/>
      <c r="CP196" s="268" t="n"/>
      <c r="CQ196" s="268" t="n"/>
      <c r="CR196" s="268" t="n"/>
      <c r="CS196" s="268" t="n"/>
      <c r="CT196" s="268" t="n"/>
      <c r="CU196" s="268" t="n"/>
      <c r="CV196" s="268" t="n"/>
      <c r="CW196" s="268" t="n"/>
      <c r="CX196" s="268" t="n"/>
      <c r="CY196" s="268" t="n"/>
    </row>
    <row r="197" hidden="1" outlineLevel="1" ht="12.75" customHeight="1" s="255">
      <c r="C197" s="315" t="n"/>
      <c r="D197" s="268" t="n"/>
      <c r="E197" s="268" t="n"/>
      <c r="F197" s="268" t="n"/>
      <c r="G197" s="268" t="n"/>
      <c r="H197" s="268" t="n"/>
      <c r="I197" s="268" t="n"/>
      <c r="J197" s="268" t="n"/>
      <c r="K197" s="268" t="n"/>
      <c r="L197" s="268" t="n"/>
      <c r="M197" s="268" t="n"/>
      <c r="N197" s="268" t="n"/>
      <c r="O197" s="268" t="n"/>
      <c r="P197" s="268" t="n"/>
      <c r="Q197" s="268" t="n"/>
      <c r="R197" s="268" t="n"/>
      <c r="S197" s="268" t="n"/>
      <c r="T197" s="268" t="n"/>
      <c r="U197" s="268" t="n"/>
      <c r="V197" s="268" t="n"/>
      <c r="W197" s="268" t="n"/>
      <c r="X197" s="268" t="n"/>
      <c r="Y197" s="268" t="n"/>
      <c r="Z197" s="268" t="n"/>
      <c r="AA197" s="268" t="n"/>
      <c r="AB197" s="268" t="n"/>
      <c r="AC197" s="268" t="n"/>
      <c r="AD197" s="268" t="n"/>
      <c r="AE197" s="268" t="n"/>
      <c r="AF197" s="268" t="n"/>
      <c r="AG197" s="268" t="n"/>
      <c r="AH197" s="268" t="n"/>
      <c r="AI197" s="268" t="n"/>
      <c r="AJ197" s="268" t="n"/>
      <c r="AK197" s="268" t="n"/>
      <c r="AL197" s="268" t="n"/>
      <c r="AM197" s="268" t="n"/>
      <c r="AN197" s="268" t="n"/>
      <c r="AO197" s="268" t="n"/>
      <c r="AP197" s="268" t="n"/>
      <c r="AQ197" s="268" t="n"/>
      <c r="AR197" s="268" t="n"/>
      <c r="AS197" s="268" t="n"/>
      <c r="AT197" s="268" t="n"/>
      <c r="AU197" s="268" t="n"/>
      <c r="AV197" s="268" t="n"/>
      <c r="AW197" s="268" t="n"/>
      <c r="AX197" s="268" t="n"/>
      <c r="AY197" s="268" t="n"/>
      <c r="AZ197" s="268" t="n"/>
      <c r="BA197" s="268" t="n"/>
      <c r="BB197" s="268" t="n"/>
      <c r="BC197" s="268" t="n"/>
      <c r="BD197" s="268" t="n"/>
      <c r="BE197" s="268" t="n"/>
      <c r="BF197" s="268" t="n"/>
      <c r="BG197" s="268" t="n"/>
      <c r="BH197" s="268" t="n"/>
      <c r="BI197" s="268" t="n"/>
      <c r="BJ197" s="268" t="n"/>
      <c r="BK197" s="268" t="n"/>
      <c r="BL197" s="268" t="n"/>
      <c r="BM197" s="268" t="n"/>
      <c r="BN197" s="268" t="n"/>
      <c r="BO197" s="268" t="n"/>
      <c r="BP197" s="268" t="n"/>
      <c r="BQ197" s="268" t="n"/>
      <c r="BR197" s="268" t="n"/>
      <c r="BS197" s="268" t="n"/>
      <c r="BT197" s="268" t="n"/>
      <c r="BU197" s="268" t="n"/>
      <c r="BV197" s="268" t="n"/>
      <c r="BW197" s="268" t="n"/>
      <c r="BX197" s="268" t="n"/>
      <c r="BY197" s="268" t="n"/>
      <c r="BZ197" s="268" t="n"/>
      <c r="CA197" s="268" t="n"/>
      <c r="CB197" s="268" t="n"/>
      <c r="CC197" s="268" t="n"/>
      <c r="CD197" s="268" t="n"/>
      <c r="CE197" s="268" t="n"/>
      <c r="CF197" s="268" t="n"/>
      <c r="CG197" s="268" t="n"/>
      <c r="CH197" s="268" t="n"/>
      <c r="CI197" s="268" t="n"/>
      <c r="CJ197" s="268" t="n"/>
      <c r="CK197" s="268" t="n"/>
      <c r="CL197" s="268" t="n"/>
      <c r="CM197" s="268" t="n"/>
      <c r="CN197" s="268" t="n"/>
      <c r="CO197" s="268" t="n"/>
      <c r="CP197" s="268" t="n"/>
      <c r="CQ197" s="268" t="n"/>
      <c r="CR197" s="268" t="n"/>
      <c r="CS197" s="268" t="n"/>
      <c r="CT197" s="268" t="n"/>
      <c r="CU197" s="268" t="n"/>
      <c r="CV197" s="268" t="n"/>
      <c r="CW197" s="268" t="n"/>
      <c r="CX197" s="268" t="n"/>
      <c r="CY197" s="268" t="n"/>
    </row>
    <row r="198" hidden="1" outlineLevel="1" ht="12.75" customHeight="1" s="255">
      <c r="C198" s="312" t="n"/>
      <c r="D198" s="268" t="n"/>
      <c r="E198" s="268" t="n"/>
      <c r="F198" s="268" t="n"/>
      <c r="G198" s="268" t="n"/>
      <c r="H198" s="268" t="n"/>
      <c r="I198" s="268" t="n"/>
      <c r="J198" s="268" t="n"/>
      <c r="K198" s="268" t="n"/>
      <c r="L198" s="268" t="n"/>
      <c r="M198" s="268" t="n"/>
      <c r="N198" s="268" t="n"/>
      <c r="O198" s="268" t="n"/>
      <c r="P198" s="268" t="n"/>
      <c r="Q198" s="268" t="n"/>
      <c r="R198" s="268" t="n"/>
      <c r="S198" s="268" t="n"/>
      <c r="T198" s="268" t="n"/>
      <c r="U198" s="268" t="n"/>
      <c r="V198" s="268" t="n"/>
      <c r="W198" s="268" t="n"/>
      <c r="X198" s="268" t="n"/>
      <c r="Y198" s="268" t="n"/>
      <c r="Z198" s="268" t="n"/>
      <c r="AA198" s="268" t="n"/>
      <c r="AB198" s="268" t="n"/>
      <c r="AC198" s="268" t="n"/>
      <c r="AD198" s="268" t="n"/>
      <c r="AE198" s="268" t="n"/>
      <c r="AF198" s="268" t="n"/>
      <c r="AG198" s="268" t="n"/>
      <c r="AH198" s="268" t="n"/>
      <c r="AI198" s="268" t="n"/>
      <c r="AJ198" s="268" t="n"/>
      <c r="AK198" s="268" t="n"/>
      <c r="AL198" s="268" t="n"/>
      <c r="AM198" s="268" t="n"/>
      <c r="AN198" s="268" t="n"/>
      <c r="AO198" s="268" t="n"/>
      <c r="AP198" s="268" t="n"/>
      <c r="AQ198" s="268" t="n"/>
      <c r="AR198" s="268" t="n"/>
      <c r="AS198" s="268" t="n"/>
      <c r="AT198" s="268" t="n"/>
      <c r="AU198" s="268" t="n"/>
      <c r="AV198" s="268" t="n"/>
      <c r="AW198" s="268" t="n"/>
      <c r="AX198" s="268" t="n"/>
      <c r="AY198" s="268" t="n"/>
      <c r="AZ198" s="268" t="n"/>
      <c r="BA198" s="268" t="n"/>
      <c r="BB198" s="268" t="n"/>
      <c r="BC198" s="268" t="n"/>
      <c r="BD198" s="268" t="n"/>
      <c r="BE198" s="268" t="n"/>
      <c r="BF198" s="268" t="n"/>
      <c r="BG198" s="268" t="n"/>
      <c r="BH198" s="268" t="n"/>
      <c r="BI198" s="268" t="n"/>
      <c r="BJ198" s="268" t="n"/>
      <c r="BK198" s="268" t="n"/>
      <c r="BL198" s="268" t="n"/>
      <c r="BM198" s="268" t="n"/>
      <c r="BN198" s="268" t="n"/>
      <c r="BO198" s="268" t="n"/>
      <c r="BP198" s="268" t="n"/>
      <c r="BQ198" s="268" t="n"/>
      <c r="BR198" s="268" t="n"/>
      <c r="BS198" s="268" t="n"/>
      <c r="BT198" s="268" t="n"/>
      <c r="BU198" s="268" t="n"/>
      <c r="BV198" s="268" t="n"/>
      <c r="BW198" s="268" t="n"/>
      <c r="BX198" s="268" t="n"/>
      <c r="BY198" s="268" t="n"/>
      <c r="BZ198" s="268" t="n"/>
      <c r="CA198" s="268" t="n"/>
      <c r="CB198" s="268" t="n"/>
      <c r="CC198" s="268" t="n"/>
      <c r="CD198" s="268" t="n"/>
      <c r="CE198" s="268" t="n"/>
      <c r="CF198" s="268" t="n"/>
      <c r="CG198" s="268" t="n"/>
      <c r="CH198" s="268" t="n"/>
      <c r="CI198" s="268" t="n"/>
      <c r="CJ198" s="268" t="n"/>
      <c r="CK198" s="268" t="n"/>
      <c r="CL198" s="268" t="n"/>
      <c r="CM198" s="268" t="n"/>
      <c r="CN198" s="268" t="n"/>
      <c r="CO198" s="268" t="n"/>
      <c r="CP198" s="268" t="n"/>
      <c r="CQ198" s="268" t="n"/>
      <c r="CR198" s="268" t="n"/>
      <c r="CS198" s="268" t="n"/>
      <c r="CT198" s="268" t="n"/>
      <c r="CU198" s="268" t="n"/>
      <c r="CV198" s="268" t="n"/>
      <c r="CW198" s="268" t="n"/>
      <c r="CX198" s="268" t="n"/>
      <c r="CY198" s="268" t="n"/>
    </row>
    <row r="199" ht="12.75" customFormat="1" customHeight="1" s="287">
      <c r="A199" s="288" t="n"/>
      <c r="B199" s="259" t="n"/>
      <c r="C199" s="275" t="inlineStr">
        <is>
          <t>Total Assets</t>
        </is>
      </c>
      <c r="D199" s="276">
        <f>(D146+D147+D151+D155+D156+D157+D163+D168+D178+D181+D182+D191)</f>
        <v>232892</v>
      </c>
      <c r="E199" s="276">
        <f>(E146+E147+E151+E155+E156+E157+E163+E168+E178+E181+E182+E191)</f>
        <v>237382</v>
      </c>
      <c r="F199" s="276">
        <f>(F146+F147+F151+F155+F156+F157+F163+F168+F178+F181+F182+F191)</f>
        <v>250863</v>
      </c>
      <c r="G199" s="276">
        <f>(G146+G147+G151+G155+G156+G157+G163+G168+G178+G181+G182+G191)</f>
        <v>252496</v>
      </c>
      <c r="H199" s="276">
        <f>SUM(H146,H147,H151,H155,H156,H157,H163,H178,H181,H182,H191,H168)</f>
        <v>252496</v>
      </c>
      <c r="I199" s="276">
        <f>(I146+I147+I151+I155+I156+I157+I163+I168+I178+I181+I182+I191)</f>
        <v>236581</v>
      </c>
      <c r="J199" s="276">
        <f>(J146+J147+J151+J155+J156+J157+J163+J168+J178+J181+J182+J191)</f>
        <v>238552</v>
      </c>
      <c r="K199" s="276">
        <f>(K146+K147+K151+K155+K156+K157+K163+K168+K178+K181+K182+K191)</f>
        <v>244851</v>
      </c>
      <c r="L199" s="276">
        <f>(L146+L147+L151+L155+L156+L157+L163+L168+L178+L181+L182+L191)</f>
        <v>244860</v>
      </c>
      <c r="M199" s="276">
        <f>SUM(M146,M147,M151,M155,M156,M157,M163,M178,M181,M182,M191,M168)</f>
        <v>244860</v>
      </c>
      <c r="N199" s="276">
        <f>(N146+N147+N151+N155+N156+N157+N163+N168+N178+N181+N182+N191)</f>
        <v>246142</v>
      </c>
      <c r="O199" s="276">
        <f>(O146+O147+O151+O155+O156+O157+O163+O168+O178+O181+O182+O191)</f>
        <v>247199</v>
      </c>
      <c r="P199" s="276">
        <f>(P146+P147+P151+P155+P156+P157+P163+P168+P178+P181+P182+P191)</f>
        <v>247656</v>
      </c>
      <c r="Q199" s="276">
        <f>(Q146+Q147+Q151+Q155+Q156+Q157+Q163+Q168+Q178+Q181+Q182+Q191)</f>
        <v>243197</v>
      </c>
      <c r="R199" s="276">
        <f>SUM(R146,R147,R151,R155,R156,R157,R163,R178,R181,R182,R191,R168)</f>
        <v>243197</v>
      </c>
      <c r="S199" s="276">
        <f>(S146+S147+S151+S155+S156+S157+S163+S168+S178+S181+S182+S191)</f>
        <v>245053</v>
      </c>
      <c r="T199" s="276">
        <f>(T146+T147+T151+T155+T156+T157+T163+T168+T178+T181+T182+T191)</f>
        <v>255121</v>
      </c>
      <c r="U199" s="276">
        <f>(U146+U147+U151+U155+U156+U157+U163+U168+U178+U181+U182+U191)</f>
        <v>259174</v>
      </c>
      <c r="V199" s="276">
        <f>(V146+V147+V151+V155+V156+V157+V163+V168+V178+V181+V182+V191)</f>
        <v>252399</v>
      </c>
      <c r="W199" s="276">
        <f>SUM(W146,W147,W151,W155,W156,W157,W163,W178,W181,W182,W191,W168)</f>
        <v>252399</v>
      </c>
      <c r="X199" s="276">
        <f>(X146+X147+X151+X155+X156+X157+X163+X168+X178+X181+X182+X191)</f>
        <v>254054</v>
      </c>
      <c r="Y199" s="276">
        <f>(Y146+Y147+Y151+Y155+Y156+Y157+Y163+Y168+Y178+Y181+Y182+Y191)</f>
        <v>254440</v>
      </c>
      <c r="Z199" s="276">
        <f>(Z146+Z147+Z151+Z155+Z156+Z157+Z163+Z168+Z178+Z181+Z182+Z191)</f>
        <v>263399</v>
      </c>
      <c r="AA199" s="276">
        <f>(AA146+AA147+AA151+AA155+AA156+AA157+AA163+AA168+AA178+AA181+AA182+AA191)</f>
        <v>260823</v>
      </c>
      <c r="AB199" s="276">
        <f>SUM(AB146,AB147,AB151,AB155,AB156,AB157,AB163,AB178,AB181,AB182,AB191,AB168)</f>
        <v>260823</v>
      </c>
      <c r="AC199" s="276">
        <f>(AC146+AC147+AC151+AC155+AC156+AC157+AC163+AC168+AC178+AC181+AC182+AC191)</f>
        <v>262372</v>
      </c>
      <c r="AD199" s="276">
        <f>(AD146+AD147+AD151+AD155+AD156+AD157+AD163+AD168+AD178+AD181+AD182+AD191)</f>
        <v>270837</v>
      </c>
      <c r="AE199" s="276">
        <f>(AE146+AE147+AE151+AE155+AE156+AE157+AE163+AE168+AE178+AE181+AE182+AE191)</f>
        <v>288655</v>
      </c>
      <c r="AF199" s="276">
        <f>(AF146+AF147+AF151+AF155+AF156+AF157+AF163+AF168+AF178+AF181+AF182+AF191)</f>
        <v>284668</v>
      </c>
      <c r="AG199" s="276">
        <f>SUM(AG146,AG147,AG151,AG155,AG156,AG157,AG163,AG178,AG181,AG182,AG191,AG168)</f>
        <v>284668</v>
      </c>
      <c r="AH199" s="276">
        <f>(AH146+AH147+AH151+AH155+AH156+AH157+AH163+AH168+AH178+AH181+AH182+AH191)</f>
        <v>289607</v>
      </c>
      <c r="AI199" s="276">
        <f>(AI146+AI147+AI151+AI155+AI156+AI157+AI163+AI168+AI178+AI181+AI182+AI191)</f>
        <v>293914</v>
      </c>
      <c r="AJ199" s="276">
        <f>(AJ146+AJ147+AJ151+AJ155+AJ156+AJ157+AJ163+AJ168+AJ178+AJ181+AJ182+AJ191)</f>
        <v>199005</v>
      </c>
      <c r="AK199" s="276">
        <f>(AK146+AK147+AK151+AK155+AK156+AK157+AK163+AK168+AK178+AK181+AK182+AK191)</f>
        <v>197771</v>
      </c>
      <c r="AL199" s="276">
        <f>SUM(AL146,AL147,AL151,AL155,AL156,AL157,AL163,AL178,AL181,AL182,AL191,AL168)</f>
        <v>197771</v>
      </c>
      <c r="AM199" s="276" t="e">
        <f>(AM146+AM147+AM151+AM155+AM156+AM157+AM163+AM168+AM178+AM181+AM182+AM191)</f>
        <v>#DIV/0!</v>
      </c>
      <c r="AN199" s="276" t="e">
        <f>(AN146+AN147+AN151+AN155+AN156+AN157+AN163+AN168+AN178+AN181+AN182+AN191)</f>
        <v>#DIV/0!</v>
      </c>
      <c r="AO199" s="276" t="e">
        <f>(AO146+AO147+AO151+AO155+AO156+AO157+AO163+AO168+AO178+AO181+AO182+AO191)</f>
        <v>#DIV/0!</v>
      </c>
      <c r="AP199" s="276" t="e">
        <f>(AP146+AP147+AP151+AP155+AP156+AP157+AP163+AP168+AP178+AP181+AP182+AP191)</f>
        <v>#DIV/0!</v>
      </c>
      <c r="AQ199" s="276" t="e">
        <f>SUM(AQ146,AQ147,AQ151,AQ155,AQ156,AQ157,AQ163,AQ178,AQ181,AQ182,AQ191,AQ168)</f>
        <v>#DIV/0!</v>
      </c>
      <c r="AR199" s="276" t="e">
        <f>(AR146+AR147+AR151+AR155+AR156+AR157+AR163+AR168+AR178+AR181+AR182+AR191)</f>
        <v>#DIV/0!</v>
      </c>
      <c r="AS199" s="276" t="e">
        <f>(AS146+AS147+AS151+AS155+AS156+AS157+AS163+AS168+AS178+AS181+AS182+AS191)</f>
        <v>#DIV/0!</v>
      </c>
      <c r="AT199" s="276" t="e">
        <f>(AT146+AT147+AT151+AT155+AT156+AT157+AT163+AT168+AT178+AT181+AT182+AT191)</f>
        <v>#DIV/0!</v>
      </c>
      <c r="AU199" s="276" t="e">
        <f>(AU146+AU147+AU151+AU155+AU156+AU157+AU163+AU168+AU178+AU181+AU182+AU191)</f>
        <v>#DIV/0!</v>
      </c>
      <c r="AV199" s="276" t="e">
        <f>SUM(AV146,AV147,AV151,AV155,AV156,AV157,AV163,AV178,AV181,AV182,AV191,AV168)</f>
        <v>#DIV/0!</v>
      </c>
      <c r="AW199" s="276" t="e">
        <f>(AW146+AW147+AW151+AW155+AW156+AW157+AW163+AW168+AW178+AW181+AW182+AW191)</f>
        <v>#DIV/0!</v>
      </c>
      <c r="AX199" s="276" t="e">
        <f>(AX146+AX147+AX151+AX155+AX156+AX157+AX163+AX168+AX178+AX181+AX182+AX191)</f>
        <v>#DIV/0!</v>
      </c>
      <c r="AY199" s="276" t="e">
        <f>(AY146+AY147+AY151+AY155+AY156+AY157+AY163+AY168+AY178+AY181+AY182+AY191)</f>
        <v>#DIV/0!</v>
      </c>
      <c r="AZ199" s="276" t="e">
        <f>(AZ146+AZ147+AZ151+AZ155+AZ156+AZ157+AZ163+AZ168+AZ178+AZ181+AZ182+AZ191)</f>
        <v>#DIV/0!</v>
      </c>
      <c r="BA199" s="276" t="e">
        <f>SUM(BA146,BA147,BA151,BA155,BA156,BA157,BA163,BA178,BA181,BA182,BA191,BA168)</f>
        <v>#DIV/0!</v>
      </c>
      <c r="BB199" s="276" t="e">
        <f>(BB146+BB147+BB151+BB155+BB156+BB157+BB163+BB168+BB178+BB181+BB182+BB191)</f>
        <v>#DIV/0!</v>
      </c>
      <c r="BC199" s="276" t="e">
        <f>(BC146+BC147+BC151+BC155+BC156+BC157+BC163+BC168+BC178+BC181+BC182+BC191)</f>
        <v>#DIV/0!</v>
      </c>
      <c r="BD199" s="276" t="e">
        <f>(BD146+BD147+BD151+BD155+BD156+BD157+BD163+BD168+BD178+BD181+BD182+BD191)</f>
        <v>#DIV/0!</v>
      </c>
      <c r="BE199" s="276" t="e">
        <f>(BE146+BE147+BE151+BE155+BE156+BE157+BE163+BE168+BE178+BE181+BE182+BE191)</f>
        <v>#DIV/0!</v>
      </c>
      <c r="BF199" s="276" t="e">
        <f>SUM(BF146,BF147,BF151,BF155,BF156,BF157,BF163,BF178,BF181,BF182,BF191,BF168)</f>
        <v>#DIV/0!</v>
      </c>
      <c r="BG199" s="276" t="e">
        <f>(BG146+BG147+BG151+BG155+BG156+BG157+BG163+BG168+BG178+BG181+BG182+BG191)</f>
        <v>#DIV/0!</v>
      </c>
      <c r="BH199" s="276" t="e">
        <f>(BH146+BH147+BH151+BH155+BH156+BH157+BH163+BH168+BH178+BH181+BH182+BH191)</f>
        <v>#DIV/0!</v>
      </c>
      <c r="BI199" s="276" t="e">
        <f>(BI146+BI147+BI151+BI155+BI156+BI157+BI163+BI168+BI178+BI181+BI182+BI191)</f>
        <v>#DIV/0!</v>
      </c>
      <c r="BJ199" s="276" t="e">
        <f>(BJ146+BJ147+BJ151+BJ155+BJ156+BJ157+BJ163+BJ168+BJ178+BJ181+BJ182+BJ191)</f>
        <v>#DIV/0!</v>
      </c>
      <c r="BK199" s="276" t="e">
        <f>SUM(BK146,BK147,BK151,BK155,BK156,BK157,BK163,BK178,BK181,BK182,BK191,BK168)</f>
        <v>#DIV/0!</v>
      </c>
      <c r="BL199" s="276" t="e">
        <f>(BL146+BL147+BL151+BL155+BL156+BL157+BL163+BL168+BL178+BL181+BL182+BL191)</f>
        <v>#DIV/0!</v>
      </c>
      <c r="BM199" s="276" t="e">
        <f>(BM146+BM147+BM151+BM155+BM156+BM157+BM163+BM168+BM178+BM181+BM182+BM191)</f>
        <v>#DIV/0!</v>
      </c>
      <c r="BN199" s="276" t="e">
        <f>(BN146+BN147+BN151+BN155+BN156+BN157+BN163+BN168+BN178+BN181+BN182+BN191)</f>
        <v>#DIV/0!</v>
      </c>
      <c r="BO199" s="276" t="e">
        <f>(BO146+BO147+BO151+BO155+BO156+BO157+BO163+BO168+BO178+BO181+BO182+BO191)</f>
        <v>#DIV/0!</v>
      </c>
      <c r="BP199" s="276" t="e">
        <f>SUM(BP146,BP147,BP151,BP155,BP156,BP157,BP163,BP178,BP181,BP182,BP191,BP168)</f>
        <v>#DIV/0!</v>
      </c>
      <c r="BQ199" s="276" t="e">
        <f>(BQ146+BQ147+BQ151+BQ155+BQ156+BQ157+BQ163+BQ168+BQ178+BQ181+BQ182+BQ191)</f>
        <v>#DIV/0!</v>
      </c>
      <c r="BR199" s="276" t="e">
        <f>(BR146+BR147+BR151+BR155+BR156+BR157+BR163+BR168+BR178+BR181+BR182+BR191)</f>
        <v>#DIV/0!</v>
      </c>
      <c r="BS199" s="276" t="e">
        <f>(BS146+BS147+BS151+BS155+BS156+BS157+BS163+BS168+BS178+BS181+BS182+BS191)</f>
        <v>#DIV/0!</v>
      </c>
      <c r="BT199" s="276" t="e">
        <f>(BT146+BT147+BT151+BT155+BT156+BT157+BT163+BT168+BT178+BT181+BT182+BT191)</f>
        <v>#DIV/0!</v>
      </c>
      <c r="BU199" s="276" t="e">
        <f>SUM(BU146,BU147,BU151,BU155,BU156,BU157,BU163,BU178,BU181,BU182,BU191,BU168)</f>
        <v>#DIV/0!</v>
      </c>
      <c r="BV199" s="276" t="e">
        <f>(BV146+BV147+BV151+BV155+BV156+BV157+BV163+BV168+BV178+BV181+BV182+BV191)</f>
        <v>#DIV/0!</v>
      </c>
      <c r="BW199" s="276" t="e">
        <f>(BW146+BW147+BW151+BW155+BW156+BW157+BW163+BW168+BW178+BW181+BW182+BW191)</f>
        <v>#DIV/0!</v>
      </c>
      <c r="BX199" s="276" t="e">
        <f>(BX146+BX147+BX151+BX155+BX156+BX157+BX163+BX168+BX178+BX181+BX182+BX191)</f>
        <v>#DIV/0!</v>
      </c>
      <c r="BY199" s="276" t="e">
        <f>(BY146+BY147+BY151+BY155+BY156+BY157+BY163+BY168+BY178+BY181+BY182+BY191)</f>
        <v>#DIV/0!</v>
      </c>
      <c r="BZ199" s="276" t="e">
        <f>SUM(BZ146,BZ147,BZ151,BZ155,BZ156,BZ157,BZ163,BZ178,BZ181,BZ182,BZ191,BZ168)</f>
        <v>#DIV/0!</v>
      </c>
      <c r="CA199" s="276" t="e">
        <f>(CA146+CA147+CA151+CA155+CA156+CA157+CA163+CA168+CA178+CA181+CA182+CA191)</f>
        <v>#DIV/0!</v>
      </c>
      <c r="CB199" s="276" t="e">
        <f>(CB146+CB147+CB151+CB155+CB156+CB157+CB163+CB168+CB178+CB181+CB182+CB191)</f>
        <v>#DIV/0!</v>
      </c>
      <c r="CC199" s="276" t="e">
        <f>(CC146+CC147+CC151+CC155+CC156+CC157+CC163+CC168+CC178+CC181+CC182+CC191)</f>
        <v>#DIV/0!</v>
      </c>
      <c r="CD199" s="276" t="e">
        <f>(CD146+CD147+CD151+CD155+CD156+CD157+CD163+CD168+CD178+CD181+CD182+CD191)</f>
        <v>#DIV/0!</v>
      </c>
      <c r="CE199" s="276" t="e">
        <f>SUM(CE146,CE147,CE151,CE155,CE156,CE157,CE163,CE178,CE181,CE182,CE191,CE168)</f>
        <v>#DIV/0!</v>
      </c>
      <c r="CF199" s="276" t="e">
        <f>(CF146+CF147+CF151+CF155+CF156+CF157+CF163+CF168+CF178+CF181+CF182+CF191)</f>
        <v>#DIV/0!</v>
      </c>
      <c r="CG199" s="276" t="e">
        <f>(CG146+CG147+CG151+CG155+CG156+CG157+CG163+CG168+CG178+CG181+CG182+CG191)</f>
        <v>#DIV/0!</v>
      </c>
      <c r="CH199" s="276" t="e">
        <f>(CH146+CH147+CH151+CH155+CH156+CH157+CH163+CH168+CH178+CH181+CH182+CH191)</f>
        <v>#DIV/0!</v>
      </c>
      <c r="CI199" s="276" t="e">
        <f>(CI146+CI147+CI151+CI155+CI156+CI157+CI163+CI168+CI178+CI181+CI182+CI191)</f>
        <v>#DIV/0!</v>
      </c>
      <c r="CJ199" s="276" t="e">
        <f>SUM(CJ146,CJ147,CJ151,CJ155,CJ156,CJ157,CJ163,CJ178,CJ181,CJ182,CJ191,CJ168)</f>
        <v>#DIV/0!</v>
      </c>
      <c r="CK199" s="276" t="e">
        <f>(CK146+CK147+CK151+CK155+CK156+CK157+CK163+CK168+CK178+CK181+CK182+CK191)</f>
        <v>#DIV/0!</v>
      </c>
      <c r="CL199" s="276" t="e">
        <f>(CL146+CL147+CL151+CL155+CL156+CL157+CL163+CL168+CL178+CL181+CL182+CL191)</f>
        <v>#DIV/0!</v>
      </c>
      <c r="CM199" s="276" t="e">
        <f>(CM146+CM147+CM151+CM155+CM156+CM157+CM163+CM168+CM178+CM181+CM182+CM191)</f>
        <v>#DIV/0!</v>
      </c>
      <c r="CN199" s="276" t="e">
        <f>(CN146+CN147+CN151+CN155+CN156+CN157+CN163+CN168+CN178+CN181+CN182+CN191)</f>
        <v>#DIV/0!</v>
      </c>
      <c r="CO199" s="276" t="e">
        <f>SUM(CO146,CO147,CO151,CO155,CO156,CO157,CO163,CO178,CO181,CO182,CO191,CO168)</f>
        <v>#DIV/0!</v>
      </c>
      <c r="CP199" s="276" t="e">
        <f>(CP146+CP147+CP151+CP155+CP156+CP157+CP163+CP168+CP178+CP181+CP182+CP191)</f>
        <v>#DIV/0!</v>
      </c>
      <c r="CQ199" s="276" t="e">
        <f>(CQ146+CQ147+CQ151+CQ155+CQ156+CQ157+CQ163+CQ168+CQ178+CQ181+CQ182+CQ191)</f>
        <v>#DIV/0!</v>
      </c>
      <c r="CR199" s="276" t="e">
        <f>(CR146+CR147+CR151+CR155+CR156+CR157+CR163+CR168+CR178+CR181+CR182+CR191)</f>
        <v>#DIV/0!</v>
      </c>
      <c r="CS199" s="276" t="e">
        <f>(CS146+CS147+CS151+CS155+CS156+CS157+CS163+CS168+CS178+CS181+CS182+CS191)</f>
        <v>#DIV/0!</v>
      </c>
      <c r="CT199" s="276" t="e">
        <f>SUM(CT146,CT147,CT151,CT155,CT156,CT157,CT163,CT178,CT181,CT182,CT191,CT168)</f>
        <v>#DIV/0!</v>
      </c>
      <c r="CU199" s="276" t="e">
        <f>(CU146+CU147+CU151+CU155+CU156+CU157+CU163+CU168+CU178+CU181+CU182+CU191)</f>
        <v>#DIV/0!</v>
      </c>
      <c r="CV199" s="276" t="e">
        <f>(CV146+CV147+CV151+CV155+CV156+CV157+CV163+CV168+CV178+CV181+CV182+CV191)</f>
        <v>#DIV/0!</v>
      </c>
      <c r="CW199" s="276" t="e">
        <f>(CW146+CW147+CW151+CW155+CW156+CW157+CW163+CW168+CW178+CW181+CW182+CW191)</f>
        <v>#DIV/0!</v>
      </c>
      <c r="CX199" s="276" t="e">
        <f>(CX146+CX147+CX151+CX155+CX156+CX157+CX163+CX168+CX178+CX181+CX182+CX191)</f>
        <v>#DIV/0!</v>
      </c>
      <c r="CY199" s="276" t="e">
        <f>SUM(CY146,CY147,CY151,CY155,CY156,CY157,CY163,CY178,CY181,CY182,CY191,CY168)</f>
        <v>#DIV/0!</v>
      </c>
    </row>
    <row r="200" ht="12.75" customHeight="1" s="255">
      <c r="C200" s="270" t="inlineStr">
        <is>
          <t>Accounts payable</t>
        </is>
      </c>
      <c r="D200" s="301">
        <f>INDEX('Inputs (2)'!$D$28:$AL$28,MATCH(D$7,'Inputs (2)'!$D$2:$AL$2,0))</f>
        <v>44096</v>
      </c>
      <c r="E200" s="301">
        <f>INDEX('Inputs (2)'!$D$28:$AL$28,MATCH(E$7,'Inputs (2)'!$D$2:$AL$2,0))</f>
        <v>46326</v>
      </c>
      <c r="F200" s="301">
        <f>INDEX('Inputs (2)'!$D$28:$AL$28,MATCH(F$7,'Inputs (2)'!$D$2:$AL$2,0))</f>
        <v>54152</v>
      </c>
      <c r="G200" s="301">
        <f>INDEX('Inputs (2)'!$D$28:$AL$28,MATCH(G$7,'Inputs (2)'!$D$2:$AL$2,0))</f>
        <v>49141</v>
      </c>
      <c r="H200" s="268">
        <f>G200</f>
        <v>49141</v>
      </c>
      <c r="I200" s="301">
        <f>INDEX('Inputs (2)'!$D$28:$AL$28,MATCH(I$7,'Inputs (2)'!$D$2:$AL$2,0))</f>
        <v>48151</v>
      </c>
      <c r="J200" s="301">
        <f>INDEX('Inputs (2)'!$D$28:$AL$28,MATCH(J$7,'Inputs (2)'!$D$2:$AL$2,0))</f>
        <v>49601</v>
      </c>
      <c r="K200" s="301">
        <f>INDEX('Inputs (2)'!$D$28:$AL$28,MATCH(K$7,'Inputs (2)'!$D$2:$AL$2,0))</f>
        <v>57156</v>
      </c>
      <c r="L200" s="301">
        <f>INDEX('Inputs (2)'!$D$28:$AL$28,MATCH(L$7,'Inputs (2)'!$D$2:$AL$2,0))</f>
        <v>55261</v>
      </c>
      <c r="M200" s="268">
        <f>L200</f>
        <v>55261</v>
      </c>
      <c r="N200" s="301">
        <f>INDEX('Inputs (2)'!$D$28:$AL$28,MATCH(N$7,'Inputs (2)'!$D$2:$AL$2,0))</f>
        <v>52926</v>
      </c>
      <c r="O200" s="301">
        <f>INDEX('Inputs (2)'!$D$28:$AL$28,MATCH(O$7,'Inputs (2)'!$D$2:$AL$2,0))</f>
        <v>54191</v>
      </c>
      <c r="P200" s="301">
        <f>INDEX('Inputs (2)'!$D$28:$AL$28,MATCH(P$7,'Inputs (2)'!$D$2:$AL$2,0))</f>
        <v>57263</v>
      </c>
      <c r="Q200" s="301">
        <f>INDEX('Inputs (2)'!$D$28:$AL$28,MATCH(Q$7,'Inputs (2)'!$D$2:$AL$2,0))</f>
        <v>53742</v>
      </c>
      <c r="R200" s="268">
        <f>Q200</f>
        <v>53742</v>
      </c>
      <c r="S200" s="301">
        <f>INDEX('Inputs (2)'!$D$28:$AL$28,MATCH(S$7,'Inputs (2)'!$D$2:$AL$2,0))</f>
        <v>54268</v>
      </c>
      <c r="T200" s="301">
        <f>INDEX('Inputs (2)'!$D$28:$AL$28,MATCH(T$7,'Inputs (2)'!$D$2:$AL$2,0))</f>
        <v>56576</v>
      </c>
      <c r="U200" s="301">
        <f>INDEX('Inputs (2)'!$D$28:$AL$28,MATCH(U$7,'Inputs (2)'!$D$2:$AL$2,0))</f>
        <v>61049</v>
      </c>
      <c r="V200" s="301">
        <f>INDEX('Inputs (2)'!$D$28:$AL$28,MATCH(V$7,'Inputs (2)'!$D$2:$AL$2,0))</f>
        <v>56812</v>
      </c>
      <c r="W200" s="268">
        <f>V200</f>
        <v>56812</v>
      </c>
      <c r="X200" s="301">
        <f>INDEX('Inputs (2)'!$D$28:$AL$28,MATCH(X$7,'Inputs (2)'!$D$2:$AL$2,0))</f>
        <v>56071</v>
      </c>
      <c r="Y200" s="301">
        <f>INDEX('Inputs (2)'!$D$28:$AL$28,MATCH(Y$7,'Inputs (2)'!$D$2:$AL$2,0))</f>
        <v>56716</v>
      </c>
      <c r="Z200" s="301">
        <f>INDEX('Inputs (2)'!$D$28:$AL$28,MATCH(Z$7,'Inputs (2)'!$D$2:$AL$2,0))</f>
        <v>62863</v>
      </c>
      <c r="AA200" s="301">
        <f>INDEX('Inputs (2)'!$D$28:$AL$28,MATCH(AA$7,'Inputs (2)'!$D$2:$AL$2,0))</f>
        <v>58666</v>
      </c>
      <c r="AB200" s="268">
        <f>AA200</f>
        <v>58666</v>
      </c>
      <c r="AC200" s="301">
        <f>INDEX('Inputs (2)'!$D$28:$AL$28,MATCH(AC$7,'Inputs (2)'!$D$2:$AL$2,0))</f>
        <v>57700</v>
      </c>
      <c r="AD200" s="301">
        <f>INDEX('Inputs (2)'!$D$28:$AL$28,MATCH(AD$7,'Inputs (2)'!$D$2:$AL$2,0))</f>
        <v>60086</v>
      </c>
      <c r="AE200" s="301">
        <f>INDEX('Inputs (2)'!$D$28:$AL$28,MATCH(AE$7,'Inputs (2)'!$D$2:$AL$2,0))</f>
        <v>67156</v>
      </c>
      <c r="AF200" s="301">
        <f>INDEX('Inputs (2)'!$D$28:$AL$28,MATCH(AF$7,'Inputs (2)'!$D$2:$AL$2,0))</f>
        <v>63061</v>
      </c>
      <c r="AG200" s="268">
        <f>AF200</f>
        <v>63061</v>
      </c>
      <c r="AH200" s="268">
        <f>INDEX('Inputs (2)'!$D$28:$AL$28,MATCH(AH$7,'Inputs (2)'!$D$2:$AL$2,0))</f>
        <v>62876</v>
      </c>
      <c r="AI200" s="268">
        <f>INDEX('Inputs (2)'!$D$28:$AL$28,MATCH(AI$7,'Inputs (2)'!$D$2:$AL$2,0))</f>
        <v>64318</v>
      </c>
      <c r="AJ200" s="268">
        <f>(AJ201/(AJ$5-AI$5))*-AJ56</f>
        <v>0</v>
      </c>
      <c r="AK200" s="268">
        <f>(AK201/(AK$5-AJ$5))*-AK56</f>
        <v>0</v>
      </c>
      <c r="AL200" s="268">
        <f>AK200</f>
        <v>0</v>
      </c>
      <c r="AM200" s="268">
        <f>(AM201/(AM$5-AL$5))*-AM56</f>
        <v>0</v>
      </c>
      <c r="AN200" s="268">
        <f>(AN201/(AN$5-AM$5))*-AN56</f>
        <v>0</v>
      </c>
      <c r="AO200" s="268">
        <f>(AO201/(AO$5-AN$5))*-AO56</f>
        <v>0</v>
      </c>
      <c r="AP200" s="268">
        <f>(AP201/(AP$5-AO$5))*-AP56</f>
        <v>0</v>
      </c>
      <c r="AQ200" s="268">
        <f>AP200</f>
        <v>0</v>
      </c>
      <c r="AR200" s="268">
        <f>(AR201/(AR$5-AQ$5))*-AR56</f>
        <v>0</v>
      </c>
      <c r="AS200" s="268">
        <f>(AS201/(AS$5-AR$5))*-AS56</f>
        <v>0</v>
      </c>
      <c r="AT200" s="268">
        <f>(AT201/(AT$5-AS$5))*-AT56</f>
        <v>0</v>
      </c>
      <c r="AU200" s="268">
        <f>(AU201/(AU$5-AT$5))*-AU56</f>
        <v>0</v>
      </c>
      <c r="AV200" s="268">
        <f>AU200</f>
        <v>0</v>
      </c>
      <c r="AW200" s="268">
        <f>(AW201/(AW$5-AV$5))*-AW56</f>
        <v>0</v>
      </c>
      <c r="AX200" s="268">
        <f>(AX201/(AX$5-AW$5))*-AX56</f>
        <v>0</v>
      </c>
      <c r="AY200" s="268">
        <f>(AY201/(AY$5-AX$5))*-AY56</f>
        <v>0</v>
      </c>
      <c r="AZ200" s="268">
        <f>(AZ201/(AZ$5-AY$5))*-AZ56</f>
        <v>0</v>
      </c>
      <c r="BA200" s="268">
        <f>AZ200</f>
        <v>0</v>
      </c>
      <c r="BB200" s="268">
        <f>(BB201/(BB$5-BA$5))*-BB56</f>
        <v>0</v>
      </c>
      <c r="BC200" s="268">
        <f>(BC201/(BC$5-BB$5))*-BC56</f>
        <v>0</v>
      </c>
      <c r="BD200" s="268">
        <f>(BD201/(BD$5-BC$5))*-BD56</f>
        <v>0</v>
      </c>
      <c r="BE200" s="268">
        <f>(BE201/(BE$5-BD$5))*-BE56</f>
        <v>0</v>
      </c>
      <c r="BF200" s="268">
        <f>BE200</f>
        <v>0</v>
      </c>
      <c r="BG200" s="268">
        <f>(BG201/(BG$5-BF$5))*-BG56</f>
        <v>0</v>
      </c>
      <c r="BH200" s="268">
        <f>(BH201/(BH$5-BG$5))*-BH56</f>
        <v>0</v>
      </c>
      <c r="BI200" s="268">
        <f>(BI201/(BI$5-BH$5))*-BI56</f>
        <v>0</v>
      </c>
      <c r="BJ200" s="268">
        <f>(BJ201/(BJ$5-BI$5))*-BJ56</f>
        <v>0</v>
      </c>
      <c r="BK200" s="268">
        <f>BJ200</f>
        <v>0</v>
      </c>
      <c r="BL200" s="268">
        <f>(BL201/(BL$5-BK$5))*-BL56</f>
        <v>0</v>
      </c>
      <c r="BM200" s="268">
        <f>(BM201/(BM$5-BL$5))*-BM56</f>
        <v>0</v>
      </c>
      <c r="BN200" s="268">
        <f>(BN201/(BN$5-BM$5))*-BN56</f>
        <v>0</v>
      </c>
      <c r="BO200" s="268">
        <f>(BO201/(BO$5-BN$5))*-BO56</f>
        <v>0</v>
      </c>
      <c r="BP200" s="268">
        <f>BO200</f>
        <v>0</v>
      </c>
      <c r="BQ200" s="268">
        <f>(BQ201/(BQ$5-BP$5))*-BQ56</f>
        <v>0</v>
      </c>
      <c r="BR200" s="268">
        <f>(BR201/(BR$5-BQ$5))*-BR56</f>
        <v>0</v>
      </c>
      <c r="BS200" s="268">
        <f>(BS201/(BS$5-BR$5))*-BS56</f>
        <v>0</v>
      </c>
      <c r="BT200" s="268">
        <f>(BT201/(BT$5-BS$5))*-BT56</f>
        <v>0</v>
      </c>
      <c r="BU200" s="268">
        <f>BT200</f>
        <v>0</v>
      </c>
      <c r="BV200" s="268">
        <f>(BV201/(BV$5-BU$5))*-BV56</f>
        <v>0</v>
      </c>
      <c r="BW200" s="268">
        <f>(BW201/(BW$5-BV$5))*-BW56</f>
        <v>0</v>
      </c>
      <c r="BX200" s="268">
        <f>(BX201/(BX$5-BW$5))*-BX56</f>
        <v>0</v>
      </c>
      <c r="BY200" s="268">
        <f>(BY201/(BY$5-BX$5))*-BY56</f>
        <v>0</v>
      </c>
      <c r="BZ200" s="268">
        <f>BY200</f>
        <v>0</v>
      </c>
      <c r="CA200" s="268">
        <f>(CA201/(CA$5-BZ$5))*-CA56</f>
        <v>0</v>
      </c>
      <c r="CB200" s="268">
        <f>(CB201/(CB$5-CA$5))*-CB56</f>
        <v>0</v>
      </c>
      <c r="CC200" s="268">
        <f>(CC201/(CC$5-CB$5))*-CC56</f>
        <v>0</v>
      </c>
      <c r="CD200" s="268">
        <f>(CD201/(CD$5-CC$5))*-CD56</f>
        <v>0</v>
      </c>
      <c r="CE200" s="268">
        <f>CD200</f>
        <v>0</v>
      </c>
      <c r="CF200" s="268">
        <f>(CF201/(CF$5-CE$5))*-CF56</f>
        <v>0</v>
      </c>
      <c r="CG200" s="268">
        <f>(CG201/(CG$5-CF$5))*-CG56</f>
        <v>0</v>
      </c>
      <c r="CH200" s="268">
        <f>(CH201/(CH$5-CG$5))*-CH56</f>
        <v>0</v>
      </c>
      <c r="CI200" s="268">
        <f>(CI201/(CI$5-CH$5))*-CI56</f>
        <v>0</v>
      </c>
      <c r="CJ200" s="268">
        <f>CI200</f>
        <v>0</v>
      </c>
      <c r="CK200" s="268">
        <f>(CK201/(CK$5-CJ$5))*-CK56</f>
        <v>0</v>
      </c>
      <c r="CL200" s="268">
        <f>(CL201/(CL$5-CK$5))*-CL56</f>
        <v>0</v>
      </c>
      <c r="CM200" s="268">
        <f>(CM201/(CM$5-CL$5))*-CM56</f>
        <v>0</v>
      </c>
      <c r="CN200" s="268">
        <f>(CN201/(CN$5-CM$5))*-CN56</f>
        <v>0</v>
      </c>
      <c r="CO200" s="268">
        <f>CN200</f>
        <v>0</v>
      </c>
      <c r="CP200" s="268">
        <f>(CP201/(CP$5-CO$5))*-CP56</f>
        <v>0</v>
      </c>
      <c r="CQ200" s="268">
        <f>(CQ201/(CQ$5-CP$5))*-CQ56</f>
        <v>0</v>
      </c>
      <c r="CR200" s="268">
        <f>(CR201/(CR$5-CQ$5))*-CR56</f>
        <v>0</v>
      </c>
      <c r="CS200" s="268">
        <f>(CS201/(CS$5-CR$5))*-CS56</f>
        <v>0</v>
      </c>
      <c r="CT200" s="268">
        <f>CS200</f>
        <v>0</v>
      </c>
      <c r="CU200" s="268">
        <f>(CU201/(CU$5-CT$5))*-CU56</f>
        <v>0</v>
      </c>
      <c r="CV200" s="268">
        <f>(CV201/(CV$5-CU$5))*-CV56</f>
        <v>0</v>
      </c>
      <c r="CW200" s="268">
        <f>(CW201/(CW$5-CV$5))*-CW56</f>
        <v>0</v>
      </c>
      <c r="CX200" s="268">
        <f>(CX201/(CX$5-CW$5))*-CX56</f>
        <v>0</v>
      </c>
      <c r="CY200" s="268">
        <f>CX200</f>
        <v>0</v>
      </c>
    </row>
    <row r="201" hidden="1" outlineLevel="1" ht="12.75" customHeight="1" s="255">
      <c r="C201" s="312" t="inlineStr">
        <is>
          <t>DPO</t>
        </is>
      </c>
      <c r="D201" s="268" t="n"/>
      <c r="E201" s="268">
        <f>-(E200/E$56)*(E$5-D$5)</f>
        <v>41.0527515118465</v>
      </c>
      <c r="F201" s="268">
        <f>-(F200/F$56)*(F$5-E$5)</f>
        <v>49.6515213426484</v>
      </c>
      <c r="G201" s="268">
        <f>-(G200/G$56)*(G$5-F$5)</f>
        <v>39.223779075316</v>
      </c>
      <c r="H201" s="268" t="n"/>
      <c r="I201" s="268">
        <f>-(I200/I$56)*(I$5-H$5)</f>
        <v>41.9628747385545</v>
      </c>
      <c r="J201" s="268">
        <f>-(J200/J$56)*(J$5-I$5)</f>
        <v>42.9127425534545</v>
      </c>
      <c r="K201" s="268">
        <f>-(K200/K$56)*(K$5-J$5)</f>
        <v>50.0685754549004</v>
      </c>
      <c r="L201" s="268">
        <f>-(L200/L$56)*(L$5-K$5)</f>
        <v>44.00903723966</v>
      </c>
      <c r="M201" s="268" t="n"/>
      <c r="N201" s="268">
        <f>-(N200/N$56)*(N$5-M$5)</f>
        <v>44.5809428435052</v>
      </c>
      <c r="O201" s="268">
        <f>-(O200/O$56)*(O$5-N$5)</f>
        <v>42.5713582762133</v>
      </c>
      <c r="P201" s="268">
        <f>-(P200/P$56)*(P$5-O$5)</f>
        <v>45.5675053843426</v>
      </c>
      <c r="Q201" s="268">
        <f>-(Q200/Q$56)*(Q$5-P$5)</f>
        <v>39.4207123095445</v>
      </c>
      <c r="R201" s="268" t="n"/>
      <c r="S201" s="268">
        <f>-(S200/S$56)*(S$5-R$5)</f>
        <v>42.3659831372957</v>
      </c>
      <c r="T201" s="268">
        <f>-(T200/T$56)*(T$5-S$5)</f>
        <v>42.2520804267542</v>
      </c>
      <c r="U201" s="268">
        <f>-(U200/U$56)*(U$5-T$5)</f>
        <v>46.3473259450583</v>
      </c>
      <c r="V201" s="268">
        <f>-(V200/V$56)*(V$5-U$5)</f>
        <v>39.6488071306657</v>
      </c>
      <c r="W201" s="268" t="n"/>
      <c r="X201" s="268">
        <f>-(X200/X$56)*(X$5-W$5)</f>
        <v>42.0194266702901</v>
      </c>
      <c r="Y201" s="268">
        <f>-(Y200/Y$56)*(Y$5-X$5)</f>
        <v>40.6999132560524</v>
      </c>
      <c r="Z201" s="268">
        <f>-(Z200/Z$56)*(Z$5-Y$5)</f>
        <v>45.4169624626983</v>
      </c>
      <c r="AA201" s="268">
        <f>-(AA200/AA$56)*(AA$5-Z$5)</f>
        <v>39.6356960314896</v>
      </c>
      <c r="AB201" s="268" t="n"/>
      <c r="AC201" s="268">
        <f>-(AC200/AC$56)*(AC$5-AB$5)</f>
        <v>41.7769482635174</v>
      </c>
      <c r="AD201" s="268">
        <f>-(AD200/AD$56)*(AD$5-AC$5)</f>
        <v>41.1823816947978</v>
      </c>
      <c r="AE201" s="268">
        <f>-(AE200/AE$56)*(AE$5-AD$5)</f>
        <v>45.8654551393405</v>
      </c>
      <c r="AF201" s="267">
        <f>-(AF200/AF$56)*(AF$5-AE$5)</f>
        <v>40.3969780315427</v>
      </c>
      <c r="AG201" s="268" t="n"/>
      <c r="AH201" s="267">
        <f>-(AH200/AH$56)*(AH$5-AG$5)</f>
        <v>42.529122638248</v>
      </c>
      <c r="AI201" s="267">
        <f>-(AI200/AI$56)*(AI$5-AH$5)</f>
        <v>42.1669260251866</v>
      </c>
      <c r="AJ201" s="267" t="n"/>
      <c r="AK201" s="267" t="n"/>
      <c r="AL201" s="268" t="n"/>
      <c r="AM201" s="267" t="n"/>
      <c r="AN201" s="267" t="n"/>
      <c r="AO201" s="267" t="n"/>
      <c r="AP201" s="267" t="n"/>
      <c r="AQ201" s="268" t="n"/>
      <c r="AR201" s="267" t="n"/>
      <c r="AS201" s="267" t="n"/>
      <c r="AT201" s="267" t="n"/>
      <c r="AU201" s="267" t="n"/>
      <c r="AV201" s="268" t="n"/>
      <c r="AW201" s="267" t="n"/>
      <c r="AX201" s="267" t="n"/>
      <c r="AY201" s="267" t="n"/>
      <c r="AZ201" s="267" t="n"/>
      <c r="BA201" s="268" t="n"/>
      <c r="BB201" s="267" t="n"/>
      <c r="BC201" s="267" t="n"/>
      <c r="BD201" s="267" t="n"/>
      <c r="BE201" s="267" t="n"/>
      <c r="BF201" s="268" t="n"/>
      <c r="BG201" s="267" t="n"/>
      <c r="BH201" s="267" t="n"/>
      <c r="BI201" s="267" t="n"/>
      <c r="BJ201" s="267" t="n"/>
      <c r="BK201" s="268" t="n"/>
      <c r="BL201" s="267" t="n"/>
      <c r="BM201" s="267" t="n"/>
      <c r="BN201" s="267" t="n"/>
      <c r="BO201" s="267" t="n"/>
      <c r="BP201" s="268" t="n"/>
      <c r="BQ201" s="267" t="n"/>
      <c r="BR201" s="267" t="n"/>
      <c r="BS201" s="267" t="n"/>
      <c r="BT201" s="267" t="n"/>
      <c r="BU201" s="268" t="n"/>
      <c r="BV201" s="267" t="n"/>
      <c r="BW201" s="267" t="n"/>
      <c r="BX201" s="267" t="n"/>
      <c r="BY201" s="267" t="n"/>
      <c r="BZ201" s="268" t="n"/>
      <c r="CA201" s="267" t="n"/>
      <c r="CB201" s="267" t="n"/>
      <c r="CC201" s="267" t="n"/>
      <c r="CD201" s="267" t="n"/>
      <c r="CE201" s="268" t="n"/>
      <c r="CF201" s="267" t="n"/>
      <c r="CG201" s="267" t="n"/>
      <c r="CH201" s="267" t="n"/>
      <c r="CI201" s="267" t="n"/>
      <c r="CJ201" s="268" t="n"/>
      <c r="CK201" s="267" t="n"/>
      <c r="CL201" s="267" t="n"/>
      <c r="CM201" s="267" t="n"/>
      <c r="CN201" s="267" t="n"/>
      <c r="CO201" s="268" t="n"/>
      <c r="CP201" s="267" t="n"/>
      <c r="CQ201" s="267" t="n"/>
      <c r="CR201" s="267" t="n"/>
      <c r="CS201" s="267" t="n"/>
      <c r="CT201" s="268" t="n"/>
      <c r="CU201" s="267" t="n"/>
      <c r="CV201" s="267" t="n"/>
      <c r="CW201" s="267" t="n"/>
      <c r="CX201" s="267" t="n"/>
      <c r="CY201" s="268" t="n"/>
    </row>
    <row r="202" hidden="1" outlineLevel="1" ht="12.75" customHeight="1" s="255">
      <c r="C202" s="312" t="n"/>
      <c r="D202" s="268" t="n"/>
      <c r="E202" s="268" t="n"/>
      <c r="F202" s="268" t="n"/>
      <c r="G202" s="268" t="n"/>
      <c r="H202" s="268" t="n"/>
      <c r="I202" s="268" t="n"/>
      <c r="J202" s="268" t="n"/>
      <c r="K202" s="268" t="n"/>
      <c r="L202" s="268" t="n"/>
      <c r="M202" s="268" t="n"/>
      <c r="N202" s="268" t="n"/>
      <c r="O202" s="268" t="n"/>
      <c r="P202" s="268" t="n"/>
      <c r="Q202" s="268" t="n"/>
      <c r="R202" s="268" t="n"/>
      <c r="S202" s="268" t="n"/>
      <c r="T202" s="268" t="n"/>
      <c r="U202" s="268" t="n"/>
      <c r="V202" s="268" t="n"/>
      <c r="W202" s="268" t="n"/>
      <c r="X202" s="268" t="n"/>
      <c r="Y202" s="268" t="n"/>
      <c r="Z202" s="268" t="n"/>
      <c r="AA202" s="268" t="n"/>
      <c r="AB202" s="268" t="n"/>
      <c r="AC202" s="268" t="n"/>
      <c r="AD202" s="268" t="n"/>
      <c r="AE202" s="268" t="n"/>
      <c r="AF202" s="268" t="n"/>
      <c r="AG202" s="268" t="n"/>
      <c r="AH202" s="268" t="n"/>
      <c r="AI202" s="268" t="n"/>
      <c r="AJ202" s="268" t="n"/>
      <c r="AK202" s="268" t="n"/>
      <c r="AL202" s="268" t="n"/>
      <c r="AM202" s="268" t="n"/>
      <c r="AN202" s="268" t="n"/>
      <c r="AO202" s="268" t="n"/>
      <c r="AP202" s="268" t="n"/>
      <c r="AQ202" s="268" t="n"/>
      <c r="AR202" s="268" t="n"/>
      <c r="AS202" s="268" t="n"/>
      <c r="AT202" s="268" t="n"/>
      <c r="AU202" s="268" t="n"/>
      <c r="AV202" s="268" t="n"/>
      <c r="AW202" s="268" t="n"/>
      <c r="AX202" s="268" t="n"/>
      <c r="AY202" s="268" t="n"/>
      <c r="AZ202" s="268" t="n"/>
      <c r="BA202" s="268" t="n"/>
      <c r="BB202" s="268" t="n"/>
      <c r="BC202" s="268" t="n"/>
      <c r="BD202" s="268" t="n"/>
      <c r="BE202" s="268" t="n"/>
      <c r="BF202" s="268" t="n"/>
      <c r="BG202" s="268" t="n"/>
      <c r="BH202" s="268" t="n"/>
      <c r="BI202" s="268" t="n"/>
      <c r="BJ202" s="268" t="n"/>
      <c r="BK202" s="268" t="n"/>
      <c r="BL202" s="268" t="n"/>
      <c r="BM202" s="268" t="n"/>
      <c r="BN202" s="268" t="n"/>
      <c r="BO202" s="268" t="n"/>
      <c r="BP202" s="268" t="n"/>
      <c r="BQ202" s="268" t="n"/>
      <c r="BR202" s="268" t="n"/>
      <c r="BS202" s="268" t="n"/>
      <c r="BT202" s="268" t="n"/>
      <c r="BU202" s="268" t="n"/>
      <c r="BV202" s="268" t="n"/>
      <c r="BW202" s="268" t="n"/>
      <c r="BX202" s="268" t="n"/>
      <c r="BY202" s="268" t="n"/>
      <c r="BZ202" s="268" t="n"/>
      <c r="CA202" s="268" t="n"/>
      <c r="CB202" s="268" t="n"/>
      <c r="CC202" s="268" t="n"/>
      <c r="CD202" s="268" t="n"/>
      <c r="CE202" s="268" t="n"/>
      <c r="CF202" s="268" t="n"/>
      <c r="CG202" s="268" t="n"/>
      <c r="CH202" s="268" t="n"/>
      <c r="CI202" s="268" t="n"/>
      <c r="CJ202" s="268" t="n"/>
      <c r="CK202" s="268" t="n"/>
      <c r="CL202" s="268" t="n"/>
      <c r="CM202" s="268" t="n"/>
      <c r="CN202" s="268" t="n"/>
      <c r="CO202" s="268" t="n"/>
      <c r="CP202" s="268" t="n"/>
      <c r="CQ202" s="268" t="n"/>
      <c r="CR202" s="268" t="n"/>
      <c r="CS202" s="268" t="n"/>
      <c r="CT202" s="268" t="n"/>
      <c r="CU202" s="268" t="n"/>
      <c r="CV202" s="268" t="n"/>
      <c r="CW202" s="268" t="n"/>
      <c r="CX202" s="268" t="n"/>
      <c r="CY202" s="268" t="n"/>
    </row>
    <row r="203" hidden="1" outlineLevel="1" ht="12.75" customHeight="1" s="255">
      <c r="C203" s="312" t="n"/>
      <c r="D203" s="268" t="n"/>
      <c r="E203" s="268" t="n"/>
      <c r="F203" s="268" t="n"/>
      <c r="G203" s="268" t="n"/>
      <c r="H203" s="268" t="n"/>
      <c r="I203" s="268" t="n"/>
      <c r="J203" s="268" t="n"/>
      <c r="K203" s="268" t="n"/>
      <c r="L203" s="268" t="n"/>
      <c r="M203" s="268" t="n"/>
      <c r="N203" s="268" t="n"/>
      <c r="O203" s="268" t="n"/>
      <c r="P203" s="268" t="n"/>
      <c r="Q203" s="268" t="n"/>
      <c r="R203" s="268" t="n"/>
      <c r="S203" s="268" t="n"/>
      <c r="T203" s="268" t="n"/>
      <c r="U203" s="268" t="n"/>
      <c r="V203" s="268" t="n"/>
      <c r="W203" s="268" t="n"/>
      <c r="X203" s="268" t="n"/>
      <c r="Y203" s="268" t="n"/>
      <c r="Z203" s="268" t="n"/>
      <c r="AA203" s="268" t="n"/>
      <c r="AB203" s="268" t="n"/>
      <c r="AC203" s="268" t="n"/>
      <c r="AD203" s="268" t="n"/>
      <c r="AE203" s="268" t="n"/>
      <c r="AF203" s="268" t="n"/>
      <c r="AG203" s="268" t="n"/>
      <c r="AH203" s="268" t="n"/>
      <c r="AI203" s="268" t="n"/>
      <c r="AJ203" s="268" t="n"/>
      <c r="AK203" s="268" t="n"/>
      <c r="AL203" s="268" t="n"/>
      <c r="AM203" s="268" t="n"/>
      <c r="AN203" s="268" t="n"/>
      <c r="AO203" s="268" t="n"/>
      <c r="AP203" s="268" t="n"/>
      <c r="AQ203" s="268" t="n"/>
      <c r="AR203" s="268" t="n"/>
      <c r="AS203" s="268" t="n"/>
      <c r="AT203" s="268" t="n"/>
      <c r="AU203" s="268" t="n"/>
      <c r="AV203" s="268" t="n"/>
      <c r="AW203" s="268" t="n"/>
      <c r="AX203" s="268" t="n"/>
      <c r="AY203" s="268" t="n"/>
      <c r="AZ203" s="268" t="n"/>
      <c r="BA203" s="268" t="n"/>
      <c r="BB203" s="268" t="n"/>
      <c r="BC203" s="268" t="n"/>
      <c r="BD203" s="268" t="n"/>
      <c r="BE203" s="268" t="n"/>
      <c r="BF203" s="268" t="n"/>
      <c r="BG203" s="268" t="n"/>
      <c r="BH203" s="268" t="n"/>
      <c r="BI203" s="268" t="n"/>
      <c r="BJ203" s="268" t="n"/>
      <c r="BK203" s="268" t="n"/>
      <c r="BL203" s="268" t="n"/>
      <c r="BM203" s="268" t="n"/>
      <c r="BN203" s="268" t="n"/>
      <c r="BO203" s="268" t="n"/>
      <c r="BP203" s="268" t="n"/>
      <c r="BQ203" s="268" t="n"/>
      <c r="BR203" s="268" t="n"/>
      <c r="BS203" s="268" t="n"/>
      <c r="BT203" s="268" t="n"/>
      <c r="BU203" s="268" t="n"/>
      <c r="BV203" s="268" t="n"/>
      <c r="BW203" s="268" t="n"/>
      <c r="BX203" s="268" t="n"/>
      <c r="BY203" s="268" t="n"/>
      <c r="BZ203" s="268" t="n"/>
      <c r="CA203" s="268" t="n"/>
      <c r="CB203" s="268" t="n"/>
      <c r="CC203" s="268" t="n"/>
      <c r="CD203" s="268" t="n"/>
      <c r="CE203" s="268" t="n"/>
      <c r="CF203" s="268" t="n"/>
      <c r="CG203" s="268" t="n"/>
      <c r="CH203" s="268" t="n"/>
      <c r="CI203" s="268" t="n"/>
      <c r="CJ203" s="268" t="n"/>
      <c r="CK203" s="268" t="n"/>
      <c r="CL203" s="268" t="n"/>
      <c r="CM203" s="268" t="n"/>
      <c r="CN203" s="268" t="n"/>
      <c r="CO203" s="268" t="n"/>
      <c r="CP203" s="268" t="n"/>
      <c r="CQ203" s="268" t="n"/>
      <c r="CR203" s="268" t="n"/>
      <c r="CS203" s="268" t="n"/>
      <c r="CT203" s="268" t="n"/>
      <c r="CU203" s="268" t="n"/>
      <c r="CV203" s="268" t="n"/>
      <c r="CW203" s="268" t="n"/>
      <c r="CX203" s="268" t="n"/>
      <c r="CY203" s="268" t="n"/>
    </row>
    <row r="204" ht="12.75" customHeight="1" s="255">
      <c r="C204" s="270" t="inlineStr">
        <is>
          <t>Accrued expenses</t>
        </is>
      </c>
      <c r="D204" s="301">
        <f>INDEX('Inputs (2)'!$D$29:$AL$29,MATCH(D$7,'Inputs (2)'!$D$2:$AL$2,0))</f>
        <v>20377</v>
      </c>
      <c r="E204" s="301">
        <f>INDEX('Inputs (2)'!$D$29:$AL$29,MATCH(E$7,'Inputs (2)'!$D$2:$AL$2,0))</f>
        <v>23768</v>
      </c>
      <c r="F204" s="301">
        <f>INDEX('Inputs (2)'!$D$29:$AL$29,MATCH(F$7,'Inputs (2)'!$D$2:$AL$2,0))</f>
        <v>24995</v>
      </c>
      <c r="G204" s="301">
        <f>INDEX('Inputs (2)'!$D$29:$AL$29,MATCH(G$7,'Inputs (2)'!$D$2:$AL$2,0))</f>
        <v>37966</v>
      </c>
      <c r="H204" s="268">
        <f>G204</f>
        <v>37966</v>
      </c>
      <c r="I204" s="301">
        <f>INDEX('Inputs (2)'!$D$29:$AL$29,MATCH(I$7,'Inputs (2)'!$D$2:$AL$2,0))</f>
        <v>21371</v>
      </c>
      <c r="J204" s="301">
        <f>INDEX('Inputs (2)'!$D$29:$AL$29,MATCH(J$7,'Inputs (2)'!$D$2:$AL$2,0))</f>
        <v>23915</v>
      </c>
      <c r="K204" s="301">
        <f>INDEX('Inputs (2)'!$D$29:$AL$29,MATCH(K$7,'Inputs (2)'!$D$2:$AL$2,0))</f>
        <v>24474</v>
      </c>
      <c r="L204" s="301">
        <f>INDEX('Inputs (2)'!$D$29:$AL$29,MATCH(L$7,'Inputs (2)'!$D$2:$AL$2,0))</f>
        <v>26060</v>
      </c>
      <c r="M204" s="268">
        <f>L204</f>
        <v>26060</v>
      </c>
      <c r="N204" s="301">
        <f>INDEX('Inputs (2)'!$D$29:$AL$29,MATCH(N$7,'Inputs (2)'!$D$2:$AL$2,0))</f>
        <v>21061</v>
      </c>
      <c r="O204" s="301">
        <f>INDEX('Inputs (2)'!$D$29:$AL$29,MATCH(O$7,'Inputs (2)'!$D$2:$AL$2,0))</f>
        <v>23843</v>
      </c>
      <c r="P204" s="301">
        <f>INDEX('Inputs (2)'!$D$29:$AL$29,MATCH(P$7,'Inputs (2)'!$D$2:$AL$2,0))</f>
        <v>27443</v>
      </c>
      <c r="Q204" s="301">
        <f>INDEX('Inputs (2)'!$D$29:$AL$29,MATCH(Q$7,'Inputs (2)'!$D$2:$AL$2,0))</f>
        <v>31126</v>
      </c>
      <c r="R204" s="268">
        <f>Q204</f>
        <v>31126</v>
      </c>
      <c r="S204" s="301">
        <f>INDEX('Inputs (2)'!$D$29:$AL$29,MATCH(S$7,'Inputs (2)'!$D$2:$AL$2,0))</f>
        <v>27527</v>
      </c>
      <c r="T204" s="301">
        <f>INDEX('Inputs (2)'!$D$29:$AL$29,MATCH(T$7,'Inputs (2)'!$D$2:$AL$2,0))</f>
        <v>29239</v>
      </c>
      <c r="U204" s="301">
        <f>INDEX('Inputs (2)'!$D$29:$AL$29,MATCH(U$7,'Inputs (2)'!$D$2:$AL$2,0))</f>
        <v>26132</v>
      </c>
      <c r="V204" s="301">
        <f>INDEX('Inputs (2)'!$D$29:$AL$29,MATCH(V$7,'Inputs (2)'!$D$2:$AL$2,0))</f>
        <v>28759</v>
      </c>
      <c r="W204" s="268">
        <f>V204</f>
        <v>28759</v>
      </c>
      <c r="X204" s="301">
        <f>INDEX('Inputs (2)'!$D$29:$AL$29,MATCH(X$7,'Inputs (2)'!$D$2:$AL$2,0))</f>
        <v>24092</v>
      </c>
      <c r="Y204" s="301">
        <f>INDEX('Inputs (2)'!$D$29:$AL$29,MATCH(Y$7,'Inputs (2)'!$D$2:$AL$2,0))</f>
        <v>27656</v>
      </c>
      <c r="Z204" s="301">
        <f>INDEX('Inputs (2)'!$D$29:$AL$29,MATCH(Z$7,'Inputs (2)'!$D$2:$AL$2,0))</f>
        <v>28117</v>
      </c>
      <c r="AA204" s="301">
        <f>INDEX('Inputs (2)'!$D$29:$AL$29,MATCH(AA$7,'Inputs (2)'!$D$2:$AL$2,0))</f>
        <v>29345</v>
      </c>
      <c r="AB204" s="268">
        <f>AA204</f>
        <v>29345</v>
      </c>
      <c r="AC204" s="301">
        <f>INDEX('Inputs (2)'!$D$29:$AL$29,MATCH(AC$7,'Inputs (2)'!$D$2:$AL$2,0))</f>
        <v>26085</v>
      </c>
      <c r="AD204" s="301">
        <f>INDEX('Inputs (2)'!$D$29:$AL$29,MATCH(AD$7,'Inputs (2)'!$D$2:$AL$2,0))</f>
        <v>28821</v>
      </c>
      <c r="AE204" s="301">
        <f>INDEX('Inputs (2)'!$D$29:$AL$29,MATCH(AE$7,'Inputs (2)'!$D$2:$AL$2,0))</f>
        <v>31521</v>
      </c>
      <c r="AF204" s="301">
        <f>INDEX('Inputs (2)'!$D$29:$AL$29,MATCH(AF$7,'Inputs (2)'!$D$2:$AL$2,0))</f>
        <v>31187</v>
      </c>
      <c r="AG204" s="268">
        <f>AF204</f>
        <v>31187</v>
      </c>
      <c r="AH204" s="268">
        <f>INDEX('Inputs (2)'!$D$29:$AL$29,MATCH(AH$7,'Inputs (2)'!$D$2:$AL$2,0))</f>
        <v>27530</v>
      </c>
      <c r="AI204" s="268">
        <f>INDEX('Inputs (2)'!$D$29:$AL$29,MATCH(AI$7,'Inputs (2)'!$D$2:$AL$2,0))</f>
        <v>30074</v>
      </c>
      <c r="AJ204" s="268">
        <f>AH204*AJ60/AH60</f>
        <v>0</v>
      </c>
      <c r="AK204" s="268">
        <f>AI204*AK60/AI60</f>
        <v>0</v>
      </c>
      <c r="AL204" s="268">
        <f>AK204</f>
        <v>0</v>
      </c>
      <c r="AM204" s="268" t="e">
        <f>AK204*AM60/AK60</f>
        <v>#DIV/0!</v>
      </c>
      <c r="AN204" s="268">
        <f>AL204*AN60/AL60</f>
        <v>0</v>
      </c>
      <c r="AO204" s="268" t="e">
        <f>AM204*AO60/AM60</f>
        <v>#DIV/0!</v>
      </c>
      <c r="AP204" s="268" t="e">
        <f>AN204*AP60/AN60</f>
        <v>#DIV/0!</v>
      </c>
      <c r="AQ204" s="268" t="e">
        <f>AP204</f>
        <v>#DIV/0!</v>
      </c>
      <c r="AR204" s="268" t="e">
        <f>AP204*AR60/AP60</f>
        <v>#DIV/0!</v>
      </c>
      <c r="AS204" s="268" t="e">
        <f>AQ204*AS60/AQ60</f>
        <v>#DIV/0!</v>
      </c>
      <c r="AT204" s="268" t="e">
        <f>AR204*AT60/AR60</f>
        <v>#DIV/0!</v>
      </c>
      <c r="AU204" s="268" t="e">
        <f>AS204*AU60/AS60</f>
        <v>#DIV/0!</v>
      </c>
      <c r="AV204" s="268" t="e">
        <f>AU204</f>
        <v>#DIV/0!</v>
      </c>
      <c r="AW204" s="268" t="e">
        <f>AU204*AW60/AU60</f>
        <v>#DIV/0!</v>
      </c>
      <c r="AX204" s="268" t="e">
        <f>AV204*AX60/AV60</f>
        <v>#DIV/0!</v>
      </c>
      <c r="AY204" s="268" t="e">
        <f>AW204*AY60/AW60</f>
        <v>#DIV/0!</v>
      </c>
      <c r="AZ204" s="268" t="e">
        <f>AX204*AZ60/AX60</f>
        <v>#DIV/0!</v>
      </c>
      <c r="BA204" s="268" t="e">
        <f>AZ204</f>
        <v>#DIV/0!</v>
      </c>
      <c r="BB204" s="268" t="e">
        <f>AZ204*BB60/AZ60</f>
        <v>#DIV/0!</v>
      </c>
      <c r="BC204" s="268" t="e">
        <f>BA204*BC60/BA60</f>
        <v>#DIV/0!</v>
      </c>
      <c r="BD204" s="268" t="e">
        <f>BB204*BD60/BB60</f>
        <v>#DIV/0!</v>
      </c>
      <c r="BE204" s="268" t="e">
        <f>BC204*BE60/BC60</f>
        <v>#DIV/0!</v>
      </c>
      <c r="BF204" s="268" t="e">
        <f>BE204</f>
        <v>#DIV/0!</v>
      </c>
      <c r="BG204" s="268" t="e">
        <f>BE204*BG60/BE60</f>
        <v>#DIV/0!</v>
      </c>
      <c r="BH204" s="268" t="e">
        <f>BF204*BH60/BF60</f>
        <v>#DIV/0!</v>
      </c>
      <c r="BI204" s="268" t="e">
        <f>BG204*BI60/BG60</f>
        <v>#DIV/0!</v>
      </c>
      <c r="BJ204" s="268" t="e">
        <f>BH204*BJ60/BH60</f>
        <v>#DIV/0!</v>
      </c>
      <c r="BK204" s="268" t="e">
        <f>BJ204</f>
        <v>#DIV/0!</v>
      </c>
      <c r="BL204" s="268" t="e">
        <f>BJ204*BL60/BJ60</f>
        <v>#DIV/0!</v>
      </c>
      <c r="BM204" s="268" t="e">
        <f>BK204*BM60/BK60</f>
        <v>#DIV/0!</v>
      </c>
      <c r="BN204" s="268" t="e">
        <f>BL204*BN60/BL60</f>
        <v>#DIV/0!</v>
      </c>
      <c r="BO204" s="268" t="e">
        <f>BM204*BO60/BM60</f>
        <v>#DIV/0!</v>
      </c>
      <c r="BP204" s="268" t="e">
        <f>BO204</f>
        <v>#DIV/0!</v>
      </c>
      <c r="BQ204" s="268" t="e">
        <f>BO204*BQ60/BO60</f>
        <v>#DIV/0!</v>
      </c>
      <c r="BR204" s="268" t="e">
        <f>BP204*BR60/BP60</f>
        <v>#DIV/0!</v>
      </c>
      <c r="BS204" s="268" t="e">
        <f>BQ204*BS60/BQ60</f>
        <v>#DIV/0!</v>
      </c>
      <c r="BT204" s="268" t="e">
        <f>BR204*BT60/BR60</f>
        <v>#DIV/0!</v>
      </c>
      <c r="BU204" s="268" t="e">
        <f>BT204</f>
        <v>#DIV/0!</v>
      </c>
      <c r="BV204" s="268" t="e">
        <f>BT204*BV60/BT60</f>
        <v>#DIV/0!</v>
      </c>
      <c r="BW204" s="268" t="e">
        <f>BU204*BW60/BU60</f>
        <v>#DIV/0!</v>
      </c>
      <c r="BX204" s="268" t="e">
        <f>BV204*BX60/BV60</f>
        <v>#DIV/0!</v>
      </c>
      <c r="BY204" s="268" t="e">
        <f>BW204*BY60/BW60</f>
        <v>#DIV/0!</v>
      </c>
      <c r="BZ204" s="268" t="e">
        <f>BY204</f>
        <v>#DIV/0!</v>
      </c>
      <c r="CA204" s="268" t="e">
        <f>BY204*CA60/BY60</f>
        <v>#DIV/0!</v>
      </c>
      <c r="CB204" s="268" t="e">
        <f>BZ204*CB60/BZ60</f>
        <v>#DIV/0!</v>
      </c>
      <c r="CC204" s="268" t="e">
        <f>CA204*CC60/CA60</f>
        <v>#DIV/0!</v>
      </c>
      <c r="CD204" s="268" t="e">
        <f>CB204*CD60/CB60</f>
        <v>#DIV/0!</v>
      </c>
      <c r="CE204" s="268" t="e">
        <f>CD204</f>
        <v>#DIV/0!</v>
      </c>
      <c r="CF204" s="268" t="e">
        <f>CD204*CF60/CD60</f>
        <v>#DIV/0!</v>
      </c>
      <c r="CG204" s="268" t="e">
        <f>CE204*CG60/CE60</f>
        <v>#DIV/0!</v>
      </c>
      <c r="CH204" s="268" t="e">
        <f>CF204*CH60/CF60</f>
        <v>#DIV/0!</v>
      </c>
      <c r="CI204" s="268" t="e">
        <f>CG204*CI60/CG60</f>
        <v>#DIV/0!</v>
      </c>
      <c r="CJ204" s="268" t="e">
        <f>CI204</f>
        <v>#DIV/0!</v>
      </c>
      <c r="CK204" s="268" t="e">
        <f>CI204*CK60/CI60</f>
        <v>#DIV/0!</v>
      </c>
      <c r="CL204" s="268" t="e">
        <f>CJ204*CL60/CJ60</f>
        <v>#DIV/0!</v>
      </c>
      <c r="CM204" s="268" t="e">
        <f>CK204*CM60/CK60</f>
        <v>#DIV/0!</v>
      </c>
      <c r="CN204" s="268" t="e">
        <f>CL204*CN60/CL60</f>
        <v>#DIV/0!</v>
      </c>
      <c r="CO204" s="268" t="e">
        <f>CN204</f>
        <v>#DIV/0!</v>
      </c>
      <c r="CP204" s="268" t="e">
        <f>CN204*CP60/CN60</f>
        <v>#DIV/0!</v>
      </c>
      <c r="CQ204" s="268" t="e">
        <f>CO204*CQ60/CO60</f>
        <v>#DIV/0!</v>
      </c>
      <c r="CR204" s="268" t="e">
        <f>CP204*CR60/CP60</f>
        <v>#DIV/0!</v>
      </c>
      <c r="CS204" s="268" t="e">
        <f>CQ204*CS60/CQ60</f>
        <v>#DIV/0!</v>
      </c>
      <c r="CT204" s="268" t="e">
        <f>CS204</f>
        <v>#DIV/0!</v>
      </c>
      <c r="CU204" s="268" t="e">
        <f>CS204*CU60/CS60</f>
        <v>#DIV/0!</v>
      </c>
      <c r="CV204" s="268" t="e">
        <f>CT204*CV60/CT60</f>
        <v>#DIV/0!</v>
      </c>
      <c r="CW204" s="268" t="e">
        <f>CU204*CW60/CU60</f>
        <v>#DIV/0!</v>
      </c>
      <c r="CX204" s="268" t="e">
        <f>CV204*CX60/CV60</f>
        <v>#DIV/0!</v>
      </c>
      <c r="CY204" s="268" t="e">
        <f>CX204</f>
        <v>#DIV/0!</v>
      </c>
    </row>
    <row r="205" hidden="1" outlineLevel="1" ht="12.75" customHeight="1" s="255">
      <c r="C205" s="314" t="inlineStr">
        <is>
          <t>%(Var.)</t>
        </is>
      </c>
      <c r="D205" s="268" t="n"/>
      <c r="E205" s="296">
        <f>(E204-D204)/D204</f>
        <v>0.166413112823281</v>
      </c>
      <c r="F205" s="296">
        <f>(F204-E204)/E204</f>
        <v>0.0516240323123527</v>
      </c>
      <c r="G205" s="296">
        <f>(G204-F204)/F204</f>
        <v>0.518943788757752</v>
      </c>
      <c r="H205" s="268" t="n"/>
      <c r="I205" s="296">
        <f>(I204-H204)/H204</f>
        <v>-0.437101617236475</v>
      </c>
      <c r="J205" s="296">
        <f>(J204-I204)/I204</f>
        <v>0.119039820317252</v>
      </c>
      <c r="K205" s="296">
        <f>(K204-J204)/J204</f>
        <v>0.023374451181267</v>
      </c>
      <c r="L205" s="296">
        <f>(L204-K204)/K204</f>
        <v>0.0648034649015282</v>
      </c>
      <c r="M205" s="268" t="n"/>
      <c r="N205" s="296">
        <f>(N204-M204)/M204</f>
        <v>-0.191826554105909</v>
      </c>
      <c r="O205" s="296">
        <f>(O204-N204)/N204</f>
        <v>0.13209249323394</v>
      </c>
      <c r="P205" s="296">
        <f>(P204-O204)/O204</f>
        <v>0.150987711277943</v>
      </c>
      <c r="Q205" s="296">
        <f>(Q204-P204)/P204</f>
        <v>0.134205444011223</v>
      </c>
      <c r="R205" s="268" t="n"/>
      <c r="S205" s="296">
        <f>(S204-R204)/R204</f>
        <v>-0.115626807170854</v>
      </c>
      <c r="T205" s="296">
        <f>(T204-S204)/S204</f>
        <v>0.0621934827623788</v>
      </c>
      <c r="U205" s="296">
        <f>(U204-T204)/T204</f>
        <v>-0.106262184069223</v>
      </c>
      <c r="V205" s="296">
        <f>(V204-U204)/U204</f>
        <v>0.100528088167764</v>
      </c>
      <c r="W205" s="268" t="n"/>
      <c r="X205" s="296">
        <f>(X204-W204)/W204</f>
        <v>-0.162279634201467</v>
      </c>
      <c r="Y205" s="296">
        <f>(Y204-X204)/X204</f>
        <v>0.14793292379213</v>
      </c>
      <c r="Z205" s="296">
        <f>(Z204-Y204)/Y204</f>
        <v>0.0166690772345965</v>
      </c>
      <c r="AA205" s="296">
        <f>(AA204-Z204)/Z204</f>
        <v>0.0436746452324217</v>
      </c>
      <c r="AB205" s="268" t="n"/>
      <c r="AC205" s="296">
        <f>(AC204-AB204)/AB204</f>
        <v>-0.11109217924689</v>
      </c>
      <c r="AD205" s="296">
        <f>(AD204-AC204)/AC204</f>
        <v>0.104887866589994</v>
      </c>
      <c r="AE205" s="296">
        <f>(AE204-AD204)/AD204</f>
        <v>0.0936816904340585</v>
      </c>
      <c r="AF205" s="311">
        <f>(AF204-AE204)/AE204</f>
        <v>-0.0105961105294883</v>
      </c>
      <c r="AG205" s="268" t="n"/>
      <c r="AH205" s="311">
        <f>(AH204-AG204)/AG204</f>
        <v>-0.117260396960272</v>
      </c>
      <c r="AI205" s="311">
        <f>(AI204-AH204)/AH204</f>
        <v>0.0924082818743189</v>
      </c>
      <c r="AJ205" s="311" t="n"/>
      <c r="AK205" s="311" t="n"/>
      <c r="AL205" s="268" t="n"/>
      <c r="AM205" s="311" t="n"/>
      <c r="AN205" s="311" t="n"/>
      <c r="AO205" s="311" t="n"/>
      <c r="AP205" s="311" t="n"/>
      <c r="AQ205" s="268" t="n"/>
      <c r="AR205" s="311" t="n"/>
      <c r="AS205" s="311" t="n"/>
      <c r="AT205" s="311" t="n"/>
      <c r="AU205" s="311" t="n"/>
      <c r="AV205" s="268" t="n"/>
      <c r="AW205" s="311" t="n"/>
      <c r="AX205" s="311" t="n"/>
      <c r="AY205" s="311" t="n"/>
      <c r="AZ205" s="311" t="n"/>
      <c r="BA205" s="268" t="n"/>
      <c r="BB205" s="311" t="n"/>
      <c r="BC205" s="311" t="n"/>
      <c r="BD205" s="311" t="n"/>
      <c r="BE205" s="311" t="n"/>
      <c r="BF205" s="268" t="n"/>
      <c r="BG205" s="311" t="n"/>
      <c r="BH205" s="311" t="n"/>
      <c r="BI205" s="311" t="n"/>
      <c r="BJ205" s="311" t="n"/>
      <c r="BK205" s="268" t="n"/>
      <c r="BL205" s="311" t="n"/>
      <c r="BM205" s="311" t="n"/>
      <c r="BN205" s="311" t="n"/>
      <c r="BO205" s="311" t="n"/>
      <c r="BP205" s="268" t="n"/>
      <c r="BQ205" s="311" t="n"/>
      <c r="BR205" s="311" t="n"/>
      <c r="BS205" s="311" t="n"/>
      <c r="BT205" s="311" t="n"/>
      <c r="BU205" s="268" t="n"/>
      <c r="BV205" s="311" t="n"/>
      <c r="BW205" s="311" t="n"/>
      <c r="BX205" s="311" t="n"/>
      <c r="BY205" s="311" t="n"/>
      <c r="BZ205" s="268" t="n"/>
      <c r="CA205" s="311" t="n"/>
      <c r="CB205" s="311" t="n"/>
      <c r="CC205" s="311" t="n"/>
      <c r="CD205" s="311" t="n"/>
      <c r="CE205" s="268" t="n"/>
      <c r="CF205" s="311" t="n"/>
      <c r="CG205" s="311" t="n"/>
      <c r="CH205" s="311" t="n"/>
      <c r="CI205" s="311" t="n"/>
      <c r="CJ205" s="268" t="n"/>
      <c r="CK205" s="311" t="n"/>
      <c r="CL205" s="311" t="n"/>
      <c r="CM205" s="311" t="n"/>
      <c r="CN205" s="311" t="n"/>
      <c r="CO205" s="268" t="n"/>
      <c r="CP205" s="311" t="n"/>
      <c r="CQ205" s="311" t="n"/>
      <c r="CR205" s="311" t="n"/>
      <c r="CS205" s="311" t="n"/>
      <c r="CT205" s="268" t="n"/>
      <c r="CU205" s="311" t="n"/>
      <c r="CV205" s="311" t="n"/>
      <c r="CW205" s="311" t="n"/>
      <c r="CX205" s="311" t="n"/>
      <c r="CY205" s="268" t="n"/>
    </row>
    <row r="206" ht="12.75" customHeight="1" s="255">
      <c r="C206" s="270" t="inlineStr">
        <is>
          <t>Taxes payable</t>
        </is>
      </c>
      <c r="D206" s="301">
        <f>INDEX('Inputs (2)'!$D$30:$AL$30,MATCH(D$7,'Inputs (2)'!$D$2:$AL$2,0))</f>
        <v>1303</v>
      </c>
      <c r="E206" s="301">
        <f>INDEX('Inputs (2)'!$D$30:$AL$30,MATCH(E$7,'Inputs (2)'!$D$2:$AL$2,0))</f>
        <v>610</v>
      </c>
      <c r="F206" s="301">
        <f>INDEX('Inputs (2)'!$D$30:$AL$30,MATCH(F$7,'Inputs (2)'!$D$2:$AL$2,0))</f>
        <v>548</v>
      </c>
      <c r="G206" s="301">
        <f>INDEX('Inputs (2)'!$D$30:$AL$30,MATCH(G$7,'Inputs (2)'!$D$2:$AL$2,0))</f>
        <v>242</v>
      </c>
      <c r="H206" s="268">
        <f>G206</f>
        <v>242</v>
      </c>
      <c r="I206" s="301">
        <f>INDEX('Inputs (2)'!$D$30:$AL$30,MATCH(I$7,'Inputs (2)'!$D$2:$AL$2,0))</f>
        <v>851</v>
      </c>
      <c r="J206" s="301">
        <f>INDEX('Inputs (2)'!$D$30:$AL$30,MATCH(J$7,'Inputs (2)'!$D$2:$AL$2,0))</f>
        <v>267</v>
      </c>
      <c r="K206" s="301">
        <f>INDEX('Inputs (2)'!$D$30:$AL$30,MATCH(K$7,'Inputs (2)'!$D$2:$AL$2,0))</f>
        <v>446</v>
      </c>
      <c r="L206" s="301">
        <f>INDEX('Inputs (2)'!$D$30:$AL$30,MATCH(L$7,'Inputs (2)'!$D$2:$AL$2,0))</f>
        <v>851</v>
      </c>
      <c r="M206" s="268">
        <f>L206</f>
        <v>851</v>
      </c>
      <c r="N206" s="301">
        <f>INDEX('Inputs (2)'!$D$30:$AL$30,MATCH(N$7,'Inputs (2)'!$D$2:$AL$2,0))</f>
        <v>904</v>
      </c>
      <c r="O206" s="301">
        <f>INDEX('Inputs (2)'!$D$30:$AL$30,MATCH(O$7,'Inputs (2)'!$D$2:$AL$2,0))</f>
        <v>868</v>
      </c>
      <c r="P206" s="301">
        <f>INDEX('Inputs (2)'!$D$30:$AL$30,MATCH(P$7,'Inputs (2)'!$D$2:$AL$2,0))</f>
        <v>900</v>
      </c>
      <c r="Q206" s="301">
        <f>INDEX('Inputs (2)'!$D$30:$AL$30,MATCH(Q$7,'Inputs (2)'!$D$2:$AL$2,0))</f>
        <v>727</v>
      </c>
      <c r="R206" s="268">
        <f>Q206</f>
        <v>727</v>
      </c>
      <c r="S206" s="301">
        <f>INDEX('Inputs (2)'!$D$30:$AL$30,MATCH(S$7,'Inputs (2)'!$D$2:$AL$2,0))</f>
        <v>1325</v>
      </c>
      <c r="T206" s="301">
        <f>INDEX('Inputs (2)'!$D$30:$AL$30,MATCH(T$7,'Inputs (2)'!$D$2:$AL$2,0))</f>
        <v>770</v>
      </c>
      <c r="U206" s="301">
        <f>INDEX('Inputs (2)'!$D$30:$AL$30,MATCH(U$7,'Inputs (2)'!$D$2:$AL$2,0))</f>
        <v>606</v>
      </c>
      <c r="V206" s="301">
        <f>INDEX('Inputs (2)'!$D$30:$AL$30,MATCH(V$7,'Inputs (2)'!$D$2:$AL$2,0))</f>
        <v>307</v>
      </c>
      <c r="W206" s="268">
        <f>V206</f>
        <v>307</v>
      </c>
      <c r="X206" s="301">
        <f>INDEX('Inputs (2)'!$D$30:$AL$30,MATCH(X$7,'Inputs (2)'!$D$2:$AL$2,0))</f>
        <v>1276</v>
      </c>
      <c r="Y206" s="301">
        <f>INDEX('Inputs (2)'!$D$30:$AL$30,MATCH(Y$7,'Inputs (2)'!$D$2:$AL$2,0))</f>
        <v>576</v>
      </c>
      <c r="Z206" s="301">
        <f>INDEX('Inputs (2)'!$D$30:$AL$30,MATCH(Z$7,'Inputs (2)'!$D$2:$AL$2,0))</f>
        <v>783</v>
      </c>
      <c r="AA206" s="301">
        <f>INDEX('Inputs (2)'!$D$30:$AL$30,MATCH(AA$7,'Inputs (2)'!$D$2:$AL$2,0))</f>
        <v>608</v>
      </c>
      <c r="AB206" s="268">
        <f>AA206</f>
        <v>608</v>
      </c>
      <c r="AC206" s="301">
        <f>INDEX('Inputs (2)'!$D$30:$AL$30,MATCH(AC$7,'Inputs (2)'!$D$2:$AL$2,0))</f>
        <v>1465</v>
      </c>
      <c r="AD206" s="301">
        <f>INDEX('Inputs (2)'!$D$30:$AL$30,MATCH(AD$7,'Inputs (2)'!$D$2:$AL$2,0))</f>
        <v>620</v>
      </c>
      <c r="AE206" s="301">
        <f>INDEX('Inputs (2)'!$D$30:$AL$30,MATCH(AE$7,'Inputs (2)'!$D$2:$AL$2,0))</f>
        <v>789</v>
      </c>
      <c r="AF206" s="301">
        <f>INDEX('Inputs (2)'!$D$30:$AL$30,MATCH(AF$7,'Inputs (2)'!$D$2:$AL$2,0))</f>
        <v>596</v>
      </c>
      <c r="AG206" s="268">
        <f>AF206</f>
        <v>596</v>
      </c>
      <c r="AH206" s="268">
        <f>INDEX('Inputs (2)'!$D$30:$AL$30,MATCH(AH$7,'Inputs (2)'!$D$2:$AL$2,0))</f>
        <v>1174</v>
      </c>
      <c r="AI206" s="268">
        <f>INDEX('Inputs (2)'!$D$30:$AL$30,MATCH(AI$7,'Inputs (2)'!$D$2:$AL$2,0))</f>
        <v>746</v>
      </c>
      <c r="AJ206" s="268">
        <f>AH206*AJ133/AH133</f>
        <v>0</v>
      </c>
      <c r="AK206" s="268">
        <f>AI206*AK133/AI133</f>
        <v>0</v>
      </c>
      <c r="AL206" s="268">
        <f>AK206</f>
        <v>0</v>
      </c>
      <c r="AM206" s="268" t="e">
        <f>AK206*AM133/AK133</f>
        <v>#DIV/0!</v>
      </c>
      <c r="AN206" s="268">
        <f>AL206*AN133/AL133</f>
        <v>0</v>
      </c>
      <c r="AO206" s="268" t="e">
        <f>AM206*AO133/AM133</f>
        <v>#DIV/0!</v>
      </c>
      <c r="AP206" s="268" t="e">
        <f>AN206*AP133/AN133</f>
        <v>#DIV/0!</v>
      </c>
      <c r="AQ206" s="268" t="e">
        <f>AP206</f>
        <v>#DIV/0!</v>
      </c>
      <c r="AR206" s="268" t="e">
        <f>AP206*AR133/AP133</f>
        <v>#DIV/0!</v>
      </c>
      <c r="AS206" s="268" t="e">
        <f>AQ206*AS133/AQ133</f>
        <v>#DIV/0!</v>
      </c>
      <c r="AT206" s="268" t="e">
        <f>AR206*AT133/AR133</f>
        <v>#DIV/0!</v>
      </c>
      <c r="AU206" s="268" t="e">
        <f>AS206*AU133/AS133</f>
        <v>#DIV/0!</v>
      </c>
      <c r="AV206" s="268" t="e">
        <f>AU206</f>
        <v>#DIV/0!</v>
      </c>
      <c r="AW206" s="268" t="e">
        <f>AU206*AW133/AU133</f>
        <v>#DIV/0!</v>
      </c>
      <c r="AX206" s="268" t="e">
        <f>AV206*AX133/AV133</f>
        <v>#DIV/0!</v>
      </c>
      <c r="AY206" s="268" t="e">
        <f>AW206*AY133/AW133</f>
        <v>#DIV/0!</v>
      </c>
      <c r="AZ206" s="268" t="e">
        <f>AX206*AZ133/AX133</f>
        <v>#DIV/0!</v>
      </c>
      <c r="BA206" s="268" t="e">
        <f>AZ206</f>
        <v>#DIV/0!</v>
      </c>
      <c r="BB206" s="268" t="e">
        <f>AZ206*BB133/AZ133</f>
        <v>#DIV/0!</v>
      </c>
      <c r="BC206" s="268" t="e">
        <f>BA206*BC133/BA133</f>
        <v>#DIV/0!</v>
      </c>
      <c r="BD206" s="268" t="e">
        <f>BB206*BD133/BB133</f>
        <v>#DIV/0!</v>
      </c>
      <c r="BE206" s="268" t="e">
        <f>BC206*BE133/BC133</f>
        <v>#DIV/0!</v>
      </c>
      <c r="BF206" s="268" t="e">
        <f>BE206</f>
        <v>#DIV/0!</v>
      </c>
      <c r="BG206" s="268" t="e">
        <f>BE206*BG133/BE133</f>
        <v>#DIV/0!</v>
      </c>
      <c r="BH206" s="268" t="e">
        <f>BF206*BH133/BF133</f>
        <v>#DIV/0!</v>
      </c>
      <c r="BI206" s="268" t="e">
        <f>BG206*BI133/BG133</f>
        <v>#DIV/0!</v>
      </c>
      <c r="BJ206" s="268" t="e">
        <f>BH206*BJ133/BH133</f>
        <v>#DIV/0!</v>
      </c>
      <c r="BK206" s="268" t="e">
        <f>BJ206</f>
        <v>#DIV/0!</v>
      </c>
      <c r="BL206" s="268" t="e">
        <f>BJ206*BL133/BJ133</f>
        <v>#DIV/0!</v>
      </c>
      <c r="BM206" s="268" t="e">
        <f>BK206*BM133/BK133</f>
        <v>#DIV/0!</v>
      </c>
      <c r="BN206" s="268" t="e">
        <f>BL206*BN133/BL133</f>
        <v>#DIV/0!</v>
      </c>
      <c r="BO206" s="268" t="e">
        <f>BM206*BO133/BM133</f>
        <v>#DIV/0!</v>
      </c>
      <c r="BP206" s="268" t="e">
        <f>BO206</f>
        <v>#DIV/0!</v>
      </c>
      <c r="BQ206" s="268" t="e">
        <f>BO206*BQ133/BO133</f>
        <v>#DIV/0!</v>
      </c>
      <c r="BR206" s="268" t="e">
        <f>BP206*BR133/BP133</f>
        <v>#DIV/0!</v>
      </c>
      <c r="BS206" s="268" t="e">
        <f>BQ206*BS133/BQ133</f>
        <v>#DIV/0!</v>
      </c>
      <c r="BT206" s="268" t="e">
        <f>BR206*BT133/BR133</f>
        <v>#DIV/0!</v>
      </c>
      <c r="BU206" s="268" t="e">
        <f>BT206</f>
        <v>#DIV/0!</v>
      </c>
      <c r="BV206" s="268" t="e">
        <f>BT206*BV133/BT133</f>
        <v>#DIV/0!</v>
      </c>
      <c r="BW206" s="268" t="e">
        <f>BU206*BW133/BU133</f>
        <v>#DIV/0!</v>
      </c>
      <c r="BX206" s="268" t="e">
        <f>BV206*BX133/BV133</f>
        <v>#DIV/0!</v>
      </c>
      <c r="BY206" s="268" t="e">
        <f>BW206*BY133/BW133</f>
        <v>#DIV/0!</v>
      </c>
      <c r="BZ206" s="268" t="e">
        <f>BY206</f>
        <v>#DIV/0!</v>
      </c>
      <c r="CA206" s="268" t="e">
        <f>BY206*CA133/BY133</f>
        <v>#DIV/0!</v>
      </c>
      <c r="CB206" s="268" t="e">
        <f>BZ206*CB133/BZ133</f>
        <v>#DIV/0!</v>
      </c>
      <c r="CC206" s="268" t="e">
        <f>CA206*CC133/CA133</f>
        <v>#DIV/0!</v>
      </c>
      <c r="CD206" s="268" t="e">
        <f>CB206*CD133/CB133</f>
        <v>#DIV/0!</v>
      </c>
      <c r="CE206" s="268" t="e">
        <f>CD206</f>
        <v>#DIV/0!</v>
      </c>
      <c r="CF206" s="268" t="e">
        <f>CD206*CF133/CD133</f>
        <v>#DIV/0!</v>
      </c>
      <c r="CG206" s="268" t="e">
        <f>CE206*CG133/CE133</f>
        <v>#DIV/0!</v>
      </c>
      <c r="CH206" s="268" t="e">
        <f>CF206*CH133/CF133</f>
        <v>#DIV/0!</v>
      </c>
      <c r="CI206" s="268" t="e">
        <f>CG206*CI133/CG133</f>
        <v>#DIV/0!</v>
      </c>
      <c r="CJ206" s="268" t="e">
        <f>CI206</f>
        <v>#DIV/0!</v>
      </c>
      <c r="CK206" s="268" t="e">
        <f>CI206*CK133/CI133</f>
        <v>#DIV/0!</v>
      </c>
      <c r="CL206" s="268" t="e">
        <f>CJ206*CL133/CJ133</f>
        <v>#DIV/0!</v>
      </c>
      <c r="CM206" s="268" t="e">
        <f>CK206*CM133/CK133</f>
        <v>#DIV/0!</v>
      </c>
      <c r="CN206" s="268" t="e">
        <f>CL206*CN133/CL133</f>
        <v>#DIV/0!</v>
      </c>
      <c r="CO206" s="268" t="e">
        <f>CN206</f>
        <v>#DIV/0!</v>
      </c>
      <c r="CP206" s="268" t="e">
        <f>CN206*CP133/CN133</f>
        <v>#DIV/0!</v>
      </c>
      <c r="CQ206" s="268" t="e">
        <f>CO206*CQ133/CO133</f>
        <v>#DIV/0!</v>
      </c>
      <c r="CR206" s="268" t="e">
        <f>CP206*CR133/CP133</f>
        <v>#DIV/0!</v>
      </c>
      <c r="CS206" s="268" t="e">
        <f>CQ206*CS133/CQ133</f>
        <v>#DIV/0!</v>
      </c>
      <c r="CT206" s="268" t="e">
        <f>CS206</f>
        <v>#DIV/0!</v>
      </c>
      <c r="CU206" s="268" t="e">
        <f>CS206*CU133/CS133</f>
        <v>#DIV/0!</v>
      </c>
      <c r="CV206" s="268" t="e">
        <f>CT206*CV133/CT133</f>
        <v>#DIV/0!</v>
      </c>
      <c r="CW206" s="268" t="e">
        <f>CU206*CW133/CU133</f>
        <v>#DIV/0!</v>
      </c>
      <c r="CX206" s="268" t="e">
        <f>CV206*CX133/CV133</f>
        <v>#DIV/0!</v>
      </c>
      <c r="CY206" s="268" t="e">
        <f>CX206</f>
        <v>#DIV/0!</v>
      </c>
    </row>
    <row r="207" ht="12.75" customHeight="1" s="255">
      <c r="C207" s="270" t="inlineStr">
        <is>
          <t>Other current liabilities (non-debt)</t>
        </is>
      </c>
      <c r="D207" s="301">
        <f>INDEX('Inputs (2)'!$D$31:$AL$31,MATCH(D$7,'Inputs (2)'!$D$2:$AL$2,0))</f>
        <v>5111</v>
      </c>
      <c r="E207" s="301">
        <f>INDEX('Inputs (2)'!$D$31:$AL$31,MATCH(E$7,'Inputs (2)'!$D$2:$AL$2,0))</f>
        <v>3609</v>
      </c>
      <c r="F207" s="301">
        <f>INDEX('Inputs (2)'!$D$31:$AL$31,MATCH(F$7,'Inputs (2)'!$D$2:$AL$2,0))</f>
        <v>2103</v>
      </c>
      <c r="G207" s="301">
        <f>INDEX('Inputs (2)'!$D$31:$AL$31,MATCH(G$7,'Inputs (2)'!$D$2:$AL$2,0))</f>
        <v>491</v>
      </c>
      <c r="H207" s="268">
        <f>G207</f>
        <v>491</v>
      </c>
      <c r="I207" s="301">
        <f>INDEX('Inputs (2)'!$D$31:$AL$31,MATCH(I$7,'Inputs (2)'!$D$2:$AL$2,0))</f>
        <v>5158</v>
      </c>
      <c r="J207" s="301">
        <f>INDEX('Inputs (2)'!$D$31:$AL$31,MATCH(J$7,'Inputs (2)'!$D$2:$AL$2,0))</f>
        <v>3610</v>
      </c>
      <c r="K207" s="301">
        <f>INDEX('Inputs (2)'!$D$31:$AL$31,MATCH(K$7,'Inputs (2)'!$D$2:$AL$2,0))</f>
        <v>2036</v>
      </c>
      <c r="L207" s="301">
        <f>INDEX('Inputs (2)'!$D$31:$AL$31,MATCH(L$7,'Inputs (2)'!$D$2:$AL$2,0))</f>
        <v>511</v>
      </c>
      <c r="M207" s="268">
        <f>L207</f>
        <v>511</v>
      </c>
      <c r="N207" s="301">
        <f>INDEX('Inputs (2)'!$D$31:$AL$31,MATCH(N$7,'Inputs (2)'!$D$2:$AL$2,0))</f>
        <v>5142</v>
      </c>
      <c r="O207" s="301">
        <f>INDEX('Inputs (2)'!$D$31:$AL$31,MATCH(O$7,'Inputs (2)'!$D$2:$AL$2,0))</f>
        <v>3583</v>
      </c>
      <c r="P207" s="301">
        <f>INDEX('Inputs (2)'!$D$31:$AL$31,MATCH(P$7,'Inputs (2)'!$D$2:$AL$2,0))</f>
        <v>2076</v>
      </c>
      <c r="Q207" s="301">
        <f>INDEX('Inputs (2)'!$D$31:$AL$31,MATCH(Q$7,'Inputs (2)'!$D$2:$AL$2,0))</f>
        <v>567</v>
      </c>
      <c r="R207" s="268">
        <f>Q207</f>
        <v>567</v>
      </c>
      <c r="S207" s="301">
        <f>INDEX('Inputs (2)'!$D$31:$AL$31,MATCH(S$7,'Inputs (2)'!$D$2:$AL$2,0))</f>
        <v>5209</v>
      </c>
      <c r="T207" s="301">
        <f>INDEX('Inputs (2)'!$D$31:$AL$31,MATCH(T$7,'Inputs (2)'!$D$2:$AL$2,0))</f>
        <v>3720</v>
      </c>
      <c r="U207" s="301">
        <f>INDEX('Inputs (2)'!$D$31:$AL$31,MATCH(U$7,'Inputs (2)'!$D$2:$AL$2,0))</f>
        <v>2221</v>
      </c>
      <c r="V207" s="301">
        <f>INDEX('Inputs (2)'!$D$31:$AL$31,MATCH(V$7,'Inputs (2)'!$D$2:$AL$2,0))</f>
        <v>725</v>
      </c>
      <c r="W207" s="268">
        <f>V207</f>
        <v>725</v>
      </c>
      <c r="X207" s="301">
        <f>INDEX('Inputs (2)'!$D$31:$AL$31,MATCH(X$7,'Inputs (2)'!$D$2:$AL$2,0))</f>
        <v>5857</v>
      </c>
      <c r="Y207" s="301">
        <f>INDEX('Inputs (2)'!$D$31:$AL$31,MATCH(Y$7,'Inputs (2)'!$D$2:$AL$2,0))</f>
        <v>4129</v>
      </c>
      <c r="Z207" s="301">
        <f>INDEX('Inputs (2)'!$D$31:$AL$31,MATCH(Z$7,'Inputs (2)'!$D$2:$AL$2,0))</f>
        <v>2463</v>
      </c>
      <c r="AA207" s="301">
        <f>INDEX('Inputs (2)'!$D$31:$AL$31,MATCH(AA$7,'Inputs (2)'!$D$2:$AL$2,0))</f>
        <v>800</v>
      </c>
      <c r="AB207" s="268">
        <f>AA207</f>
        <v>800</v>
      </c>
      <c r="AC207" s="301">
        <f>INDEX('Inputs (2)'!$D$31:$AL$31,MATCH(AC$7,'Inputs (2)'!$D$2:$AL$2,0))</f>
        <v>6451</v>
      </c>
      <c r="AD207" s="301">
        <f>INDEX('Inputs (2)'!$D$31:$AL$31,MATCH(AD$7,'Inputs (2)'!$D$2:$AL$2,0))</f>
        <v>4611</v>
      </c>
      <c r="AE207" s="301">
        <f>INDEX('Inputs (2)'!$D$31:$AL$31,MATCH(AE$7,'Inputs (2)'!$D$2:$AL$2,0))</f>
        <v>2750</v>
      </c>
      <c r="AF207" s="301">
        <f>INDEX('Inputs (2)'!$D$31:$AL$31,MATCH(AF$7,'Inputs (2)'!$D$2:$AL$2,0))</f>
        <v>856</v>
      </c>
      <c r="AG207" s="268">
        <f>AF207</f>
        <v>856</v>
      </c>
      <c r="AH207" s="268">
        <f>INDEX('Inputs (2)'!$D$31:$AL$31,MATCH(AH$7,'Inputs (2)'!$D$2:$AL$2,0))</f>
        <v>6772</v>
      </c>
      <c r="AI207" s="268">
        <f>INDEX('Inputs (2)'!$D$31:$AL$31,MATCH(AI$7,'Inputs (2)'!$D$2:$AL$2,0))</f>
        <v>4829</v>
      </c>
      <c r="AJ207" s="268">
        <f>AI207</f>
        <v>4829</v>
      </c>
      <c r="AK207" s="268">
        <f>AJ207</f>
        <v>4829</v>
      </c>
      <c r="AL207" s="268">
        <f>AK207</f>
        <v>4829</v>
      </c>
      <c r="AM207" s="268">
        <f>AL207</f>
        <v>4829</v>
      </c>
      <c r="AN207" s="268">
        <f>AM207</f>
        <v>4829</v>
      </c>
      <c r="AO207" s="268">
        <f>AN207</f>
        <v>4829</v>
      </c>
      <c r="AP207" s="268">
        <f>AO207</f>
        <v>4829</v>
      </c>
      <c r="AQ207" s="268">
        <f>AP207</f>
        <v>4829</v>
      </c>
      <c r="AR207" s="268">
        <f>AQ207</f>
        <v>4829</v>
      </c>
      <c r="AS207" s="268">
        <f>AR207</f>
        <v>4829</v>
      </c>
      <c r="AT207" s="268">
        <f>AS207</f>
        <v>4829</v>
      </c>
      <c r="AU207" s="268">
        <f>AT207</f>
        <v>4829</v>
      </c>
      <c r="AV207" s="268">
        <f>AU207</f>
        <v>4829</v>
      </c>
      <c r="AW207" s="268">
        <f>AV207</f>
        <v>4829</v>
      </c>
      <c r="AX207" s="268">
        <f>AW207</f>
        <v>4829</v>
      </c>
      <c r="AY207" s="268">
        <f>AX207</f>
        <v>4829</v>
      </c>
      <c r="AZ207" s="268">
        <f>AY207</f>
        <v>4829</v>
      </c>
      <c r="BA207" s="268">
        <f>AZ207</f>
        <v>4829</v>
      </c>
      <c r="BB207" s="268">
        <f>BA207</f>
        <v>4829</v>
      </c>
      <c r="BC207" s="268">
        <f>BB207</f>
        <v>4829</v>
      </c>
      <c r="BD207" s="268">
        <f>BC207</f>
        <v>4829</v>
      </c>
      <c r="BE207" s="268">
        <f>BD207</f>
        <v>4829</v>
      </c>
      <c r="BF207" s="268">
        <f>BE207</f>
        <v>4829</v>
      </c>
      <c r="BG207" s="268">
        <f>BF207</f>
        <v>4829</v>
      </c>
      <c r="BH207" s="268">
        <f>BG207</f>
        <v>4829</v>
      </c>
      <c r="BI207" s="268">
        <f>BH207</f>
        <v>4829</v>
      </c>
      <c r="BJ207" s="268">
        <f>BI207</f>
        <v>4829</v>
      </c>
      <c r="BK207" s="268">
        <f>BJ207</f>
        <v>4829</v>
      </c>
      <c r="BL207" s="268">
        <f>BK207</f>
        <v>4829</v>
      </c>
      <c r="BM207" s="268">
        <f>BL207</f>
        <v>4829</v>
      </c>
      <c r="BN207" s="268">
        <f>BM207</f>
        <v>4829</v>
      </c>
      <c r="BO207" s="268">
        <f>BN207</f>
        <v>4829</v>
      </c>
      <c r="BP207" s="268">
        <f>BO207</f>
        <v>4829</v>
      </c>
      <c r="BQ207" s="268">
        <f>BP207</f>
        <v>4829</v>
      </c>
      <c r="BR207" s="268">
        <f>BQ207</f>
        <v>4829</v>
      </c>
      <c r="BS207" s="268">
        <f>BR207</f>
        <v>4829</v>
      </c>
      <c r="BT207" s="268">
        <f>BS207</f>
        <v>4829</v>
      </c>
      <c r="BU207" s="268">
        <f>BT207</f>
        <v>4829</v>
      </c>
      <c r="BV207" s="268">
        <f>BU207</f>
        <v>4829</v>
      </c>
      <c r="BW207" s="268">
        <f>BV207</f>
        <v>4829</v>
      </c>
      <c r="BX207" s="268">
        <f>BW207</f>
        <v>4829</v>
      </c>
      <c r="BY207" s="268">
        <f>BX207</f>
        <v>4829</v>
      </c>
      <c r="BZ207" s="268">
        <f>BY207</f>
        <v>4829</v>
      </c>
      <c r="CA207" s="268">
        <f>BZ207</f>
        <v>4829</v>
      </c>
      <c r="CB207" s="268">
        <f>CA207</f>
        <v>4829</v>
      </c>
      <c r="CC207" s="268">
        <f>CB207</f>
        <v>4829</v>
      </c>
      <c r="CD207" s="268">
        <f>CC207</f>
        <v>4829</v>
      </c>
      <c r="CE207" s="268">
        <f>CD207</f>
        <v>4829</v>
      </c>
      <c r="CF207" s="268">
        <f>CE207</f>
        <v>4829</v>
      </c>
      <c r="CG207" s="268">
        <f>CF207</f>
        <v>4829</v>
      </c>
      <c r="CH207" s="268">
        <f>CG207</f>
        <v>4829</v>
      </c>
      <c r="CI207" s="268">
        <f>CH207</f>
        <v>4829</v>
      </c>
      <c r="CJ207" s="268">
        <f>CI207</f>
        <v>4829</v>
      </c>
      <c r="CK207" s="268">
        <f>CJ207</f>
        <v>4829</v>
      </c>
      <c r="CL207" s="268">
        <f>CK207</f>
        <v>4829</v>
      </c>
      <c r="CM207" s="268">
        <f>CL207</f>
        <v>4829</v>
      </c>
      <c r="CN207" s="268">
        <f>CM207</f>
        <v>4829</v>
      </c>
      <c r="CO207" s="268">
        <f>CN207</f>
        <v>4829</v>
      </c>
      <c r="CP207" s="268">
        <f>CO207</f>
        <v>4829</v>
      </c>
      <c r="CQ207" s="268">
        <f>CP207</f>
        <v>4829</v>
      </c>
      <c r="CR207" s="268">
        <f>CQ207</f>
        <v>4829</v>
      </c>
      <c r="CS207" s="268">
        <f>CR207</f>
        <v>4829</v>
      </c>
      <c r="CT207" s="268">
        <f>CS207</f>
        <v>4829</v>
      </c>
      <c r="CU207" s="268">
        <f>CT207</f>
        <v>4829</v>
      </c>
      <c r="CV207" s="268">
        <f>CU207</f>
        <v>4829</v>
      </c>
      <c r="CW207" s="268">
        <f>CV207</f>
        <v>4829</v>
      </c>
      <c r="CX207" s="268">
        <f>CW207</f>
        <v>4829</v>
      </c>
      <c r="CY207" s="268">
        <f>CX207</f>
        <v>4829</v>
      </c>
    </row>
    <row r="208" hidden="1" outlineLevel="1" ht="12.75" customHeight="1" s="255">
      <c r="C208" s="314" t="inlineStr">
        <is>
          <t>%(Var.)</t>
        </is>
      </c>
      <c r="D208" s="268" t="n"/>
      <c r="E208" s="296">
        <f>(E207-D207)/D207</f>
        <v>-0.293875953825083</v>
      </c>
      <c r="F208" s="296">
        <f>(F207-E207)/E207</f>
        <v>-0.417290108063175</v>
      </c>
      <c r="G208" s="296">
        <f>(G207-F207)/F207</f>
        <v>-0.766524013314313</v>
      </c>
      <c r="H208" s="268" t="n"/>
      <c r="I208" s="296">
        <f>(I207-H207)/H207</f>
        <v>9.5050916496945</v>
      </c>
      <c r="J208" s="296">
        <f>(J207-I207)/I207</f>
        <v>-0.30011632415665</v>
      </c>
      <c r="K208" s="296">
        <f>(K207-J207)/J207</f>
        <v>-0.43601108033241</v>
      </c>
      <c r="L208" s="296">
        <f>(L207-K207)/K207</f>
        <v>-0.74901768172888</v>
      </c>
      <c r="M208" s="268" t="n"/>
      <c r="N208" s="296">
        <f>(N207-M207)/M207</f>
        <v>9.06262230919765</v>
      </c>
      <c r="O208" s="296">
        <f>(O207-N207)/N207</f>
        <v>-0.303189420458965</v>
      </c>
      <c r="P208" s="296">
        <f>(P207-O207)/O207</f>
        <v>-0.420597264861848</v>
      </c>
      <c r="Q208" s="296">
        <f>(Q207-P207)/P207</f>
        <v>-0.726878612716763</v>
      </c>
      <c r="R208" s="268" t="n"/>
      <c r="S208" s="296">
        <f>(S207-R207)/R207</f>
        <v>8.18694885361552</v>
      </c>
      <c r="T208" s="296">
        <f>(T207-S207)/S207</f>
        <v>-0.28585141101939</v>
      </c>
      <c r="U208" s="296">
        <f>(U207-T207)/T207</f>
        <v>-0.402956989247312</v>
      </c>
      <c r="V208" s="296">
        <f>(V207-U207)/U207</f>
        <v>-0.673570463755065</v>
      </c>
      <c r="W208" s="268" t="n"/>
      <c r="X208" s="296">
        <f>(X207-W207)/W207</f>
        <v>7.07862068965517</v>
      </c>
      <c r="Y208" s="296">
        <f>(Y207-X207)/X207</f>
        <v>-0.295031586136247</v>
      </c>
      <c r="Z208" s="296">
        <f>(Z207-Y207)/Y207</f>
        <v>-0.403487527246307</v>
      </c>
      <c r="AA208" s="296">
        <f>(AA207-Z207)/Z207</f>
        <v>-0.675192854242793</v>
      </c>
      <c r="AB208" s="268" t="n"/>
      <c r="AC208" s="296">
        <f>(AC207-AB207)/AB207</f>
        <v>7.06375</v>
      </c>
      <c r="AD208" s="296">
        <f>(AD207-AC207)/AC207</f>
        <v>-0.285227096574175</v>
      </c>
      <c r="AE208" s="296">
        <f>(AE207-AD207)/AD207</f>
        <v>-0.403600086749078</v>
      </c>
      <c r="AF208" s="311">
        <f>(AF207-AE207)/AE207</f>
        <v>-0.688727272727273</v>
      </c>
      <c r="AG208" s="268" t="n"/>
      <c r="AH208" s="311">
        <f>(AH207-AG207)/AG207</f>
        <v>6.91121495327103</v>
      </c>
      <c r="AI208" s="311">
        <f>(AI207-AH207)/AH207</f>
        <v>-0.286916715888955</v>
      </c>
      <c r="AJ208" s="311" t="n"/>
      <c r="AK208" s="311" t="n"/>
      <c r="AL208" s="268" t="n"/>
      <c r="AM208" s="311" t="n"/>
      <c r="AN208" s="311" t="n"/>
      <c r="AO208" s="311" t="n"/>
      <c r="AP208" s="311" t="n"/>
      <c r="AQ208" s="268" t="n"/>
      <c r="AR208" s="311" t="n"/>
      <c r="AS208" s="311" t="n"/>
      <c r="AT208" s="311" t="n"/>
      <c r="AU208" s="311" t="n"/>
      <c r="AV208" s="268" t="n"/>
      <c r="AW208" s="311" t="n"/>
      <c r="AX208" s="311" t="n"/>
      <c r="AY208" s="311" t="n"/>
      <c r="AZ208" s="311" t="n"/>
      <c r="BA208" s="268" t="n"/>
      <c r="BB208" s="311" t="n"/>
      <c r="BC208" s="311" t="n"/>
      <c r="BD208" s="311" t="n"/>
      <c r="BE208" s="311" t="n"/>
      <c r="BF208" s="268" t="n"/>
      <c r="BG208" s="311" t="n"/>
      <c r="BH208" s="311" t="n"/>
      <c r="BI208" s="311" t="n"/>
      <c r="BJ208" s="311" t="n"/>
      <c r="BK208" s="268" t="n"/>
      <c r="BL208" s="311" t="n"/>
      <c r="BM208" s="311" t="n"/>
      <c r="BN208" s="311" t="n"/>
      <c r="BO208" s="311" t="n"/>
      <c r="BP208" s="268" t="n"/>
      <c r="BQ208" s="311" t="n"/>
      <c r="BR208" s="311" t="n"/>
      <c r="BS208" s="311" t="n"/>
      <c r="BT208" s="311" t="n"/>
      <c r="BU208" s="268" t="n"/>
      <c r="BV208" s="311" t="n"/>
      <c r="BW208" s="311" t="n"/>
      <c r="BX208" s="311" t="n"/>
      <c r="BY208" s="311" t="n"/>
      <c r="BZ208" s="268" t="n"/>
      <c r="CA208" s="311" t="n"/>
      <c r="CB208" s="311" t="n"/>
      <c r="CC208" s="311" t="n"/>
      <c r="CD208" s="311" t="n"/>
      <c r="CE208" s="268" t="n"/>
      <c r="CF208" s="311" t="n"/>
      <c r="CG208" s="311" t="n"/>
      <c r="CH208" s="311" t="n"/>
      <c r="CI208" s="311" t="n"/>
      <c r="CJ208" s="268" t="n"/>
      <c r="CK208" s="311" t="n"/>
      <c r="CL208" s="311" t="n"/>
      <c r="CM208" s="311" t="n"/>
      <c r="CN208" s="311" t="n"/>
      <c r="CO208" s="268" t="n"/>
      <c r="CP208" s="311" t="n"/>
      <c r="CQ208" s="311" t="n"/>
      <c r="CR208" s="311" t="n"/>
      <c r="CS208" s="311" t="n"/>
      <c r="CT208" s="268" t="n"/>
      <c r="CU208" s="311" t="n"/>
      <c r="CV208" s="311" t="n"/>
      <c r="CW208" s="311" t="n"/>
      <c r="CX208" s="311" t="n"/>
      <c r="CY208" s="268" t="n"/>
    </row>
    <row r="209" hidden="1" outlineLevel="1" ht="12.75" customHeight="1" s="255">
      <c r="C209" s="312" t="n"/>
      <c r="D209" s="268" t="n"/>
      <c r="E209" s="268" t="n"/>
      <c r="F209" s="268" t="n"/>
      <c r="G209" s="268" t="n"/>
      <c r="H209" s="268" t="n"/>
      <c r="I209" s="268" t="n"/>
      <c r="J209" s="268" t="n"/>
      <c r="K209" s="268" t="n"/>
      <c r="L209" s="268" t="n"/>
      <c r="M209" s="268" t="n"/>
      <c r="N209" s="268" t="n"/>
      <c r="O209" s="268" t="n"/>
      <c r="P209" s="268" t="n"/>
      <c r="Q209" s="268" t="n"/>
      <c r="R209" s="268" t="n"/>
      <c r="S209" s="268" t="n"/>
      <c r="T209" s="268" t="n"/>
      <c r="U209" s="268" t="n"/>
      <c r="V209" s="268" t="n"/>
      <c r="W209" s="268" t="n"/>
      <c r="X209" s="268" t="n"/>
      <c r="Y209" s="268" t="n"/>
      <c r="Z209" s="268" t="n"/>
      <c r="AA209" s="268" t="n"/>
      <c r="AB209" s="268" t="n"/>
      <c r="AC209" s="268" t="n"/>
      <c r="AD209" s="268" t="n"/>
      <c r="AE209" s="268" t="n"/>
      <c r="AF209" s="268" t="n"/>
      <c r="AG209" s="268" t="n"/>
      <c r="AH209" s="268" t="n"/>
      <c r="AI209" s="268" t="n"/>
      <c r="AJ209" s="268" t="n"/>
      <c r="AK209" s="268" t="n"/>
      <c r="AL209" s="268" t="n"/>
      <c r="AM209" s="268" t="n"/>
      <c r="AN209" s="268" t="n"/>
      <c r="AO209" s="268" t="n"/>
      <c r="AP209" s="268" t="n"/>
      <c r="AQ209" s="268" t="n"/>
      <c r="AR209" s="268" t="n"/>
      <c r="AS209" s="268" t="n"/>
      <c r="AT209" s="268" t="n"/>
      <c r="AU209" s="268" t="n"/>
      <c r="AV209" s="268" t="n"/>
      <c r="AW209" s="268" t="n"/>
      <c r="AX209" s="268" t="n"/>
      <c r="AY209" s="268" t="n"/>
      <c r="AZ209" s="268" t="n"/>
      <c r="BA209" s="268" t="n"/>
      <c r="BB209" s="268" t="n"/>
      <c r="BC209" s="268" t="n"/>
      <c r="BD209" s="268" t="n"/>
      <c r="BE209" s="268" t="n"/>
      <c r="BF209" s="268" t="n"/>
      <c r="BG209" s="268" t="n"/>
      <c r="BH209" s="268" t="n"/>
      <c r="BI209" s="268" t="n"/>
      <c r="BJ209" s="268" t="n"/>
      <c r="BK209" s="268" t="n"/>
      <c r="BL209" s="268" t="n"/>
      <c r="BM209" s="268" t="n"/>
      <c r="BN209" s="268" t="n"/>
      <c r="BO209" s="268" t="n"/>
      <c r="BP209" s="268" t="n"/>
      <c r="BQ209" s="268" t="n"/>
      <c r="BR209" s="268" t="n"/>
      <c r="BS209" s="268" t="n"/>
      <c r="BT209" s="268" t="n"/>
      <c r="BU209" s="268" t="n"/>
      <c r="BV209" s="268" t="n"/>
      <c r="BW209" s="268" t="n"/>
      <c r="BX209" s="268" t="n"/>
      <c r="BY209" s="268" t="n"/>
      <c r="BZ209" s="268" t="n"/>
      <c r="CA209" s="268" t="n"/>
      <c r="CB209" s="268" t="n"/>
      <c r="CC209" s="268" t="n"/>
      <c r="CD209" s="268" t="n"/>
      <c r="CE209" s="268" t="n"/>
      <c r="CF209" s="268" t="n"/>
      <c r="CG209" s="268" t="n"/>
      <c r="CH209" s="268" t="n"/>
      <c r="CI209" s="268" t="n"/>
      <c r="CJ209" s="268" t="n"/>
      <c r="CK209" s="268" t="n"/>
      <c r="CL209" s="268" t="n"/>
      <c r="CM209" s="268" t="n"/>
      <c r="CN209" s="268" t="n"/>
      <c r="CO209" s="268" t="n"/>
      <c r="CP209" s="268" t="n"/>
      <c r="CQ209" s="268" t="n"/>
      <c r="CR209" s="268" t="n"/>
      <c r="CS209" s="268" t="n"/>
      <c r="CT209" s="268" t="n"/>
      <c r="CU209" s="268" t="n"/>
      <c r="CV209" s="268" t="n"/>
      <c r="CW209" s="268" t="n"/>
      <c r="CX209" s="268" t="n"/>
      <c r="CY209" s="268" t="n"/>
    </row>
    <row r="210" hidden="1" outlineLevel="1" ht="12.75" customHeight="1" s="255">
      <c r="C210" s="312" t="inlineStr">
        <is>
          <t xml:space="preserve">Dividendos a Pagar </t>
        </is>
      </c>
      <c r="D210" s="267" t="n"/>
      <c r="E210" s="267" t="n"/>
      <c r="F210" s="267" t="n"/>
      <c r="G210" s="267" t="n"/>
      <c r="H210" s="268" t="n"/>
      <c r="I210" s="267" t="n"/>
      <c r="J210" s="267" t="n"/>
      <c r="K210" s="267" t="n"/>
      <c r="L210" s="267" t="n"/>
      <c r="M210" s="268" t="n"/>
      <c r="N210" s="267" t="n"/>
      <c r="O210" s="267" t="n"/>
      <c r="P210" s="267" t="n"/>
      <c r="Q210" s="267" t="n"/>
      <c r="R210" s="268" t="n"/>
      <c r="S210" s="267" t="n"/>
      <c r="T210" s="267" t="n"/>
      <c r="U210" s="267" t="n"/>
      <c r="V210" s="267" t="n"/>
      <c r="W210" s="268" t="n"/>
      <c r="X210" s="267" t="n"/>
      <c r="Y210" s="267" t="n"/>
      <c r="Z210" s="267" t="n"/>
      <c r="AA210" s="267" t="n"/>
      <c r="AB210" s="268" t="n"/>
      <c r="AC210" s="267" t="n"/>
      <c r="AD210" s="267" t="n"/>
      <c r="AE210" s="267" t="n"/>
      <c r="AF210" s="267" t="n"/>
      <c r="AG210" s="268" t="n"/>
      <c r="AH210" s="267" t="n"/>
      <c r="AI210" s="267" t="n"/>
      <c r="AJ210" s="267" t="n"/>
      <c r="AK210" s="267" t="n"/>
      <c r="AL210" s="268" t="n"/>
      <c r="AM210" s="267" t="n"/>
      <c r="AN210" s="267" t="n"/>
      <c r="AO210" s="267" t="n"/>
      <c r="AP210" s="267" t="n"/>
      <c r="AQ210" s="268" t="n"/>
      <c r="AR210" s="267" t="n"/>
      <c r="AS210" s="267" t="n"/>
      <c r="AT210" s="267" t="n"/>
      <c r="AU210" s="267" t="n"/>
      <c r="AV210" s="268" t="n"/>
      <c r="AW210" s="267" t="n"/>
      <c r="AX210" s="267" t="n"/>
      <c r="AY210" s="267" t="n"/>
      <c r="AZ210" s="267" t="n"/>
      <c r="BA210" s="268" t="n"/>
      <c r="BB210" s="267" t="n"/>
      <c r="BC210" s="267" t="n"/>
      <c r="BD210" s="267" t="n"/>
      <c r="BE210" s="267" t="n"/>
      <c r="BF210" s="268" t="n"/>
      <c r="BG210" s="267" t="n"/>
      <c r="BH210" s="267" t="n"/>
      <c r="BI210" s="267" t="n"/>
      <c r="BJ210" s="267" t="n"/>
      <c r="BK210" s="268" t="n"/>
      <c r="BL210" s="267" t="n"/>
      <c r="BM210" s="267" t="n"/>
      <c r="BN210" s="267" t="n"/>
      <c r="BO210" s="267" t="n"/>
      <c r="BP210" s="268" t="n"/>
      <c r="BQ210" s="267" t="n"/>
      <c r="BR210" s="267" t="n"/>
      <c r="BS210" s="267" t="n"/>
      <c r="BT210" s="267" t="n"/>
      <c r="BU210" s="268" t="n"/>
      <c r="BV210" s="267" t="n"/>
      <c r="BW210" s="267" t="n"/>
      <c r="BX210" s="267" t="n"/>
      <c r="BY210" s="267" t="n"/>
      <c r="BZ210" s="268" t="n"/>
      <c r="CA210" s="267" t="n"/>
      <c r="CB210" s="267" t="n"/>
      <c r="CC210" s="267" t="n"/>
      <c r="CD210" s="267" t="n"/>
      <c r="CE210" s="268" t="n"/>
      <c r="CF210" s="267" t="n"/>
      <c r="CG210" s="267" t="n"/>
      <c r="CH210" s="267" t="n"/>
      <c r="CI210" s="267" t="n"/>
      <c r="CJ210" s="268" t="n"/>
      <c r="CK210" s="267" t="n"/>
      <c r="CL210" s="267" t="n"/>
      <c r="CM210" s="267" t="n"/>
      <c r="CN210" s="267" t="n"/>
      <c r="CO210" s="268" t="n"/>
      <c r="CP210" s="267" t="n"/>
      <c r="CQ210" s="267" t="n"/>
      <c r="CR210" s="267" t="n"/>
      <c r="CS210" s="267" t="n"/>
      <c r="CT210" s="268" t="n"/>
      <c r="CU210" s="267" t="n"/>
      <c r="CV210" s="267" t="n"/>
      <c r="CW210" s="267" t="n"/>
      <c r="CX210" s="267" t="n"/>
      <c r="CY210" s="268" t="n"/>
    </row>
    <row r="211" hidden="1" outlineLevel="1" ht="12.75" customHeight="1" s="255">
      <c r="C211" s="312" t="inlineStr">
        <is>
          <t>Contas a pagar pela aquisição de controladas</t>
        </is>
      </c>
      <c r="D211" s="267" t="n"/>
      <c r="E211" s="267" t="n"/>
      <c r="F211" s="267" t="n"/>
      <c r="G211" s="267" t="n"/>
      <c r="H211" s="268" t="n"/>
      <c r="I211" s="267" t="n"/>
      <c r="J211" s="267" t="n"/>
      <c r="K211" s="267" t="n"/>
      <c r="L211" s="267" t="n"/>
      <c r="M211" s="268" t="n"/>
      <c r="N211" s="267" t="n"/>
      <c r="O211" s="267" t="n"/>
      <c r="P211" s="267" t="n"/>
      <c r="Q211" s="267" t="n"/>
      <c r="R211" s="268" t="n"/>
      <c r="S211" s="267" t="n"/>
      <c r="T211" s="267" t="n"/>
      <c r="U211" s="267" t="n"/>
      <c r="V211" s="267" t="n"/>
      <c r="W211" s="268" t="n"/>
      <c r="X211" s="267" t="n"/>
      <c r="Y211" s="267" t="n"/>
      <c r="Z211" s="267" t="n"/>
      <c r="AA211" s="267" t="n"/>
      <c r="AB211" s="268" t="n"/>
      <c r="AC211" s="267" t="n"/>
      <c r="AD211" s="267" t="n"/>
      <c r="AE211" s="267" t="n"/>
      <c r="AF211" s="267" t="n"/>
      <c r="AG211" s="268" t="n"/>
      <c r="AH211" s="267" t="n"/>
      <c r="AI211" s="267" t="n"/>
      <c r="AJ211" s="267" t="n"/>
      <c r="AK211" s="267" t="n"/>
      <c r="AL211" s="268" t="n"/>
      <c r="AM211" s="267" t="n"/>
      <c r="AN211" s="267" t="n"/>
      <c r="AO211" s="267" t="n"/>
      <c r="AP211" s="267" t="n"/>
      <c r="AQ211" s="268" t="n"/>
      <c r="AR211" s="267" t="n"/>
      <c r="AS211" s="267" t="n"/>
      <c r="AT211" s="267" t="n"/>
      <c r="AU211" s="267" t="n"/>
      <c r="AV211" s="268" t="n"/>
      <c r="AW211" s="267" t="n"/>
      <c r="AX211" s="267" t="n"/>
      <c r="AY211" s="267" t="n"/>
      <c r="AZ211" s="267" t="n"/>
      <c r="BA211" s="268" t="n"/>
      <c r="BB211" s="267" t="n"/>
      <c r="BC211" s="267" t="n"/>
      <c r="BD211" s="267" t="n"/>
      <c r="BE211" s="267" t="n"/>
      <c r="BF211" s="268" t="n"/>
      <c r="BG211" s="267" t="n"/>
      <c r="BH211" s="267" t="n"/>
      <c r="BI211" s="267" t="n"/>
      <c r="BJ211" s="267" t="n"/>
      <c r="BK211" s="268" t="n"/>
      <c r="BL211" s="267" t="n"/>
      <c r="BM211" s="267" t="n"/>
      <c r="BN211" s="267" t="n"/>
      <c r="BO211" s="267" t="n"/>
      <c r="BP211" s="268" t="n"/>
      <c r="BQ211" s="267" t="n"/>
      <c r="BR211" s="267" t="n"/>
      <c r="BS211" s="267" t="n"/>
      <c r="BT211" s="267" t="n"/>
      <c r="BU211" s="268" t="n"/>
      <c r="BV211" s="267" t="n"/>
      <c r="BW211" s="267" t="n"/>
      <c r="BX211" s="267" t="n"/>
      <c r="BY211" s="267" t="n"/>
      <c r="BZ211" s="268" t="n"/>
      <c r="CA211" s="267" t="n"/>
      <c r="CB211" s="267" t="n"/>
      <c r="CC211" s="267" t="n"/>
      <c r="CD211" s="267" t="n"/>
      <c r="CE211" s="268" t="n"/>
      <c r="CF211" s="267" t="n"/>
      <c r="CG211" s="267" t="n"/>
      <c r="CH211" s="267" t="n"/>
      <c r="CI211" s="267" t="n"/>
      <c r="CJ211" s="268" t="n"/>
      <c r="CK211" s="267" t="n"/>
      <c r="CL211" s="267" t="n"/>
      <c r="CM211" s="267" t="n"/>
      <c r="CN211" s="267" t="n"/>
      <c r="CO211" s="268" t="n"/>
      <c r="CP211" s="267" t="n"/>
      <c r="CQ211" s="267" t="n"/>
      <c r="CR211" s="267" t="n"/>
      <c r="CS211" s="267" t="n"/>
      <c r="CT211" s="268" t="n"/>
      <c r="CU211" s="267" t="n"/>
      <c r="CV211" s="267" t="n"/>
      <c r="CW211" s="267" t="n"/>
      <c r="CX211" s="267" t="n"/>
      <c r="CY211" s="268" t="n"/>
    </row>
    <row r="212" hidden="1" outlineLevel="1" ht="12.75" customHeight="1" s="255">
      <c r="C212" s="312" t="inlineStr">
        <is>
          <t>Outros</t>
        </is>
      </c>
      <c r="D212" s="267" t="n"/>
      <c r="E212" s="267" t="n"/>
      <c r="F212" s="267" t="n"/>
      <c r="G212" s="267" t="n"/>
      <c r="H212" s="268" t="n"/>
      <c r="I212" s="267" t="n"/>
      <c r="J212" s="267" t="n"/>
      <c r="K212" s="267" t="n"/>
      <c r="L212" s="267" t="n"/>
      <c r="M212" s="268" t="n"/>
      <c r="N212" s="267" t="n"/>
      <c r="O212" s="267" t="n"/>
      <c r="P212" s="267" t="n"/>
      <c r="Q212" s="267" t="n"/>
      <c r="R212" s="268" t="n"/>
      <c r="S212" s="267" t="n"/>
      <c r="T212" s="267" t="n"/>
      <c r="U212" s="267" t="n"/>
      <c r="V212" s="267" t="n"/>
      <c r="W212" s="268" t="n"/>
      <c r="X212" s="267" t="n"/>
      <c r="Y212" s="267" t="n"/>
      <c r="Z212" s="267" t="n"/>
      <c r="AA212" s="267" t="n"/>
      <c r="AB212" s="268" t="n"/>
      <c r="AC212" s="267" t="n"/>
      <c r="AD212" s="267" t="n"/>
      <c r="AE212" s="267" t="n"/>
      <c r="AF212" s="267" t="n"/>
      <c r="AG212" s="268" t="n"/>
      <c r="AH212" s="267" t="n"/>
      <c r="AI212" s="267" t="n"/>
      <c r="AJ212" s="267" t="n"/>
      <c r="AK212" s="267" t="n"/>
      <c r="AL212" s="268" t="n"/>
      <c r="AM212" s="267" t="n"/>
      <c r="AN212" s="267" t="n"/>
      <c r="AO212" s="267" t="n"/>
      <c r="AP212" s="267" t="n"/>
      <c r="AQ212" s="268" t="n"/>
      <c r="AR212" s="267" t="n"/>
      <c r="AS212" s="267" t="n"/>
      <c r="AT212" s="267" t="n"/>
      <c r="AU212" s="267" t="n"/>
      <c r="AV212" s="268" t="n"/>
      <c r="AW212" s="267" t="n"/>
      <c r="AX212" s="267" t="n"/>
      <c r="AY212" s="267" t="n"/>
      <c r="AZ212" s="267" t="n"/>
      <c r="BA212" s="268" t="n"/>
      <c r="BB212" s="267" t="n"/>
      <c r="BC212" s="267" t="n"/>
      <c r="BD212" s="267" t="n"/>
      <c r="BE212" s="267" t="n"/>
      <c r="BF212" s="268" t="n"/>
      <c r="BG212" s="267" t="n"/>
      <c r="BH212" s="267" t="n"/>
      <c r="BI212" s="267" t="n"/>
      <c r="BJ212" s="267" t="n"/>
      <c r="BK212" s="268" t="n"/>
      <c r="BL212" s="267" t="n"/>
      <c r="BM212" s="267" t="n"/>
      <c r="BN212" s="267" t="n"/>
      <c r="BO212" s="267" t="n"/>
      <c r="BP212" s="268" t="n"/>
      <c r="BQ212" s="267" t="n"/>
      <c r="BR212" s="267" t="n"/>
      <c r="BS212" s="267" t="n"/>
      <c r="BT212" s="267" t="n"/>
      <c r="BU212" s="268" t="n"/>
      <c r="BV212" s="267" t="n"/>
      <c r="BW212" s="267" t="n"/>
      <c r="BX212" s="267" t="n"/>
      <c r="BY212" s="267" t="n"/>
      <c r="BZ212" s="268" t="n"/>
      <c r="CA212" s="267" t="n"/>
      <c r="CB212" s="267" t="n"/>
      <c r="CC212" s="267" t="n"/>
      <c r="CD212" s="267" t="n"/>
      <c r="CE212" s="268" t="n"/>
      <c r="CF212" s="267" t="n"/>
      <c r="CG212" s="267" t="n"/>
      <c r="CH212" s="267" t="n"/>
      <c r="CI212" s="267" t="n"/>
      <c r="CJ212" s="268" t="n"/>
      <c r="CK212" s="267" t="n"/>
      <c r="CL212" s="267" t="n"/>
      <c r="CM212" s="267" t="n"/>
      <c r="CN212" s="267" t="n"/>
      <c r="CO212" s="268" t="n"/>
      <c r="CP212" s="267" t="n"/>
      <c r="CQ212" s="267" t="n"/>
      <c r="CR212" s="267" t="n"/>
      <c r="CS212" s="267" t="n"/>
      <c r="CT212" s="268" t="n"/>
      <c r="CU212" s="267" t="n"/>
      <c r="CV212" s="267" t="n"/>
      <c r="CW212" s="267" t="n"/>
      <c r="CX212" s="267" t="n"/>
      <c r="CY212" s="268" t="n"/>
    </row>
    <row r="213" hidden="1" outlineLevel="1" ht="12.75" customHeight="1" s="255">
      <c r="C213" s="312" t="n"/>
      <c r="D213" s="268" t="n"/>
      <c r="E213" s="268" t="n"/>
      <c r="F213" s="268" t="n"/>
      <c r="G213" s="268" t="n"/>
      <c r="H213" s="268" t="n"/>
      <c r="I213" s="268" t="n"/>
      <c r="J213" s="268" t="n"/>
      <c r="K213" s="268" t="n"/>
      <c r="L213" s="268" t="n"/>
      <c r="M213" s="268" t="n"/>
      <c r="N213" s="268" t="n"/>
      <c r="O213" s="268" t="n"/>
      <c r="P213" s="268" t="n"/>
      <c r="Q213" s="268" t="n"/>
      <c r="R213" s="268" t="n"/>
      <c r="S213" s="268" t="n"/>
      <c r="T213" s="268" t="n"/>
      <c r="U213" s="268" t="n"/>
      <c r="V213" s="268" t="n"/>
      <c r="W213" s="268" t="n"/>
      <c r="X213" s="268" t="n"/>
      <c r="Y213" s="268" t="n"/>
      <c r="Z213" s="268" t="n"/>
      <c r="AA213" s="268" t="n"/>
      <c r="AB213" s="268" t="n"/>
      <c r="AC213" s="268" t="n"/>
      <c r="AD213" s="268" t="n"/>
      <c r="AE213" s="268" t="n"/>
      <c r="AF213" s="268" t="n"/>
      <c r="AG213" s="268" t="n"/>
      <c r="AH213" s="268" t="n"/>
      <c r="AI213" s="268" t="n"/>
      <c r="AJ213" s="268" t="n"/>
      <c r="AK213" s="268" t="n"/>
      <c r="AL213" s="268" t="n"/>
      <c r="AM213" s="268" t="n"/>
      <c r="AN213" s="268" t="n"/>
      <c r="AO213" s="268" t="n"/>
      <c r="AP213" s="268" t="n"/>
      <c r="AQ213" s="268" t="n"/>
      <c r="AR213" s="268" t="n"/>
      <c r="AS213" s="268" t="n"/>
      <c r="AT213" s="268" t="n"/>
      <c r="AU213" s="268" t="n"/>
      <c r="AV213" s="268" t="n"/>
      <c r="AW213" s="268" t="n"/>
      <c r="AX213" s="268" t="n"/>
      <c r="AY213" s="268" t="n"/>
      <c r="AZ213" s="268" t="n"/>
      <c r="BA213" s="268" t="n"/>
      <c r="BB213" s="268" t="n"/>
      <c r="BC213" s="268" t="n"/>
      <c r="BD213" s="268" t="n"/>
      <c r="BE213" s="268" t="n"/>
      <c r="BF213" s="268" t="n"/>
      <c r="BG213" s="268" t="n"/>
      <c r="BH213" s="268" t="n"/>
      <c r="BI213" s="268" t="n"/>
      <c r="BJ213" s="268" t="n"/>
      <c r="BK213" s="268" t="n"/>
      <c r="BL213" s="268" t="n"/>
      <c r="BM213" s="268" t="n"/>
      <c r="BN213" s="268" t="n"/>
      <c r="BO213" s="268" t="n"/>
      <c r="BP213" s="268" t="n"/>
      <c r="BQ213" s="268" t="n"/>
      <c r="BR213" s="268" t="n"/>
      <c r="BS213" s="268" t="n"/>
      <c r="BT213" s="268" t="n"/>
      <c r="BU213" s="268" t="n"/>
      <c r="BV213" s="268" t="n"/>
      <c r="BW213" s="268" t="n"/>
      <c r="BX213" s="268" t="n"/>
      <c r="BY213" s="268" t="n"/>
      <c r="BZ213" s="268" t="n"/>
      <c r="CA213" s="268" t="n"/>
      <c r="CB213" s="268" t="n"/>
      <c r="CC213" s="268" t="n"/>
      <c r="CD213" s="268" t="n"/>
      <c r="CE213" s="268" t="n"/>
      <c r="CF213" s="268" t="n"/>
      <c r="CG213" s="268" t="n"/>
      <c r="CH213" s="268" t="n"/>
      <c r="CI213" s="268" t="n"/>
      <c r="CJ213" s="268" t="n"/>
      <c r="CK213" s="268" t="n"/>
      <c r="CL213" s="268" t="n"/>
      <c r="CM213" s="268" t="n"/>
      <c r="CN213" s="268" t="n"/>
      <c r="CO213" s="268" t="n"/>
      <c r="CP213" s="268" t="n"/>
      <c r="CQ213" s="268" t="n"/>
      <c r="CR213" s="268" t="n"/>
      <c r="CS213" s="268" t="n"/>
      <c r="CT213" s="268" t="n"/>
      <c r="CU213" s="268" t="n"/>
      <c r="CV213" s="268" t="n"/>
      <c r="CW213" s="268" t="n"/>
      <c r="CX213" s="268" t="n"/>
      <c r="CY213" s="268" t="n"/>
    </row>
    <row r="214" ht="12.75" customHeight="1" s="255">
      <c r="C214" s="270" t="inlineStr">
        <is>
          <t>Current portion of long-term debt</t>
        </is>
      </c>
      <c r="D214" s="301">
        <f>INDEX('Inputs (2)'!$D$32:$AL$32,MATCH(D$7,'Inputs (2)'!$D$2:$AL$2,0))</f>
        <v>10031</v>
      </c>
      <c r="E214" s="301">
        <f>INDEX('Inputs (2)'!$D$32:$AL$32,MATCH(E$7,'Inputs (2)'!$D$2:$AL$2,0))</f>
        <v>5910</v>
      </c>
      <c r="F214" s="301">
        <f>INDEX('Inputs (2)'!$D$32:$AL$32,MATCH(F$7,'Inputs (2)'!$D$2:$AL$2,0))</f>
        <v>4598</v>
      </c>
      <c r="G214" s="301">
        <f>INDEX('Inputs (2)'!$D$32:$AL$32,MATCH(G$7,'Inputs (2)'!$D$2:$AL$2,0))</f>
        <v>3339</v>
      </c>
      <c r="H214" s="268">
        <f>G214</f>
        <v>3339</v>
      </c>
      <c r="I214" s="301">
        <f>INDEX('Inputs (2)'!$D$32:$AL$32,MATCH(I$7,'Inputs (2)'!$D$2:$AL$2,0))</f>
        <v>3862</v>
      </c>
      <c r="J214" s="301">
        <f>INDEX('Inputs (2)'!$D$32:$AL$32,MATCH(J$7,'Inputs (2)'!$D$2:$AL$2,0))</f>
        <v>2288</v>
      </c>
      <c r="K214" s="301">
        <f>INDEX('Inputs (2)'!$D$32:$AL$32,MATCH(K$7,'Inputs (2)'!$D$2:$AL$2,0))</f>
        <v>2022</v>
      </c>
      <c r="L214" s="301">
        <f>INDEX('Inputs (2)'!$D$32:$AL$32,MATCH(L$7,'Inputs (2)'!$D$2:$AL$2,0))</f>
        <v>3213</v>
      </c>
      <c r="M214" s="268">
        <f>L214</f>
        <v>3213</v>
      </c>
      <c r="N214" s="301">
        <f>INDEX('Inputs (2)'!$D$32:$AL$32,MATCH(N$7,'Inputs (2)'!$D$2:$AL$2,0))</f>
        <v>15012</v>
      </c>
      <c r="O214" s="301">
        <f>INDEX('Inputs (2)'!$D$32:$AL$32,MATCH(O$7,'Inputs (2)'!$D$2:$AL$2,0))</f>
        <v>15950</v>
      </c>
      <c r="P214" s="301">
        <f>INDEX('Inputs (2)'!$D$32:$AL$32,MATCH(P$7,'Inputs (2)'!$D$2:$AL$2,0))</f>
        <v>12269</v>
      </c>
      <c r="Q214" s="301">
        <f>INDEX('Inputs (2)'!$D$32:$AL$32,MATCH(Q$7,'Inputs (2)'!$D$2:$AL$2,0))</f>
        <v>4563</v>
      </c>
      <c r="R214" s="268">
        <f>Q214</f>
        <v>4563</v>
      </c>
      <c r="S214" s="301">
        <f>INDEX('Inputs (2)'!$D$32:$AL$32,MATCH(S$7,'Inputs (2)'!$D$2:$AL$2,0))</f>
        <v>5686</v>
      </c>
      <c r="T214" s="301">
        <f>INDEX('Inputs (2)'!$D$32:$AL$32,MATCH(T$7,'Inputs (2)'!$D$2:$AL$2,0))</f>
        <v>7443</v>
      </c>
      <c r="U214" s="301">
        <f>INDEX('Inputs (2)'!$D$32:$AL$32,MATCH(U$7,'Inputs (2)'!$D$2:$AL$2,0))</f>
        <v>12748</v>
      </c>
      <c r="V214" s="301">
        <f>INDEX('Inputs (2)'!$D$32:$AL$32,MATCH(V$7,'Inputs (2)'!$D$2:$AL$2,0))</f>
        <v>4325</v>
      </c>
      <c r="W214" s="268">
        <f>V214</f>
        <v>4325</v>
      </c>
      <c r="X214" s="301">
        <f>INDEX('Inputs (2)'!$D$32:$AL$32,MATCH(X$7,'Inputs (2)'!$D$2:$AL$2,0))</f>
        <v>7322</v>
      </c>
      <c r="Y214" s="301">
        <f>INDEX('Inputs (2)'!$D$32:$AL$32,MATCH(Y$7,'Inputs (2)'!$D$2:$AL$2,0))</f>
        <v>4690</v>
      </c>
      <c r="Z214" s="301">
        <f>INDEX('Inputs (2)'!$D$32:$AL$32,MATCH(Z$7,'Inputs (2)'!$D$2:$AL$2,0))</f>
        <v>6825</v>
      </c>
      <c r="AA214" s="301">
        <f>INDEX('Inputs (2)'!$D$32:$AL$32,MATCH(AA$7,'Inputs (2)'!$D$2:$AL$2,0))</f>
        <v>5666</v>
      </c>
      <c r="AB214" s="268">
        <f>AA214</f>
        <v>5666</v>
      </c>
      <c r="AC214" s="301">
        <f>INDEX('Inputs (2)'!$D$32:$AL$32,MATCH(AC$7,'Inputs (2)'!$D$2:$AL$2,0))</f>
        <v>9680</v>
      </c>
      <c r="AD214" s="301">
        <f>INDEX('Inputs (2)'!$D$32:$AL$32,MATCH(AD$7,'Inputs (2)'!$D$2:$AL$2,0))</f>
        <v>7848</v>
      </c>
      <c r="AE214" s="301">
        <f>INDEX('Inputs (2)'!$D$32:$AL$32,MATCH(AE$7,'Inputs (2)'!$D$2:$AL$2,0))</f>
        <v>11924</v>
      </c>
      <c r="AF214" s="301">
        <f>INDEX('Inputs (2)'!$D$32:$AL$32,MATCH(AF$7,'Inputs (2)'!$D$2:$AL$2,0))</f>
        <v>10138</v>
      </c>
      <c r="AG214" s="268">
        <f>AF214</f>
        <v>10138</v>
      </c>
      <c r="AH214" s="268">
        <f>INDEX('Inputs (2)'!$D$32:$AL$32,MATCH(AH$7,'Inputs (2)'!$D$2:$AL$2,0))</f>
        <v>14569</v>
      </c>
      <c r="AI214" s="268">
        <f>INDEX('Inputs (2)'!$D$32:$AL$32,MATCH(AI$7,'Inputs (2)'!$D$2:$AL$2,0))</f>
        <v>13949</v>
      </c>
      <c r="AJ214" s="268">
        <f>AI214</f>
        <v>13949</v>
      </c>
      <c r="AK214" s="268">
        <f>AJ214</f>
        <v>13949</v>
      </c>
      <c r="AL214" s="268">
        <f>AK214</f>
        <v>13949</v>
      </c>
      <c r="AM214" s="268">
        <f>AL214</f>
        <v>13949</v>
      </c>
      <c r="AN214" s="268">
        <f>AM214</f>
        <v>13949</v>
      </c>
      <c r="AO214" s="268">
        <f>AN214</f>
        <v>13949</v>
      </c>
      <c r="AP214" s="268">
        <f>AO214</f>
        <v>13949</v>
      </c>
      <c r="AQ214" s="268">
        <f>AP214</f>
        <v>13949</v>
      </c>
      <c r="AR214" s="268">
        <f>AQ214</f>
        <v>13949</v>
      </c>
      <c r="AS214" s="268">
        <f>AR214</f>
        <v>13949</v>
      </c>
      <c r="AT214" s="268">
        <f>AS214</f>
        <v>13949</v>
      </c>
      <c r="AU214" s="268">
        <f>AT214</f>
        <v>13949</v>
      </c>
      <c r="AV214" s="268">
        <f>AU214</f>
        <v>13949</v>
      </c>
      <c r="AW214" s="268">
        <f>AV214</f>
        <v>13949</v>
      </c>
      <c r="AX214" s="268">
        <f>AW214</f>
        <v>13949</v>
      </c>
      <c r="AY214" s="268">
        <f>AX214</f>
        <v>13949</v>
      </c>
      <c r="AZ214" s="268">
        <f>AY214</f>
        <v>13949</v>
      </c>
      <c r="BA214" s="268">
        <f>AZ214</f>
        <v>13949</v>
      </c>
      <c r="BB214" s="268">
        <f>BA214</f>
        <v>13949</v>
      </c>
      <c r="BC214" s="268">
        <f>BB214</f>
        <v>13949</v>
      </c>
      <c r="BD214" s="268">
        <f>BC214</f>
        <v>13949</v>
      </c>
      <c r="BE214" s="268">
        <f>BD214</f>
        <v>13949</v>
      </c>
      <c r="BF214" s="268">
        <f>BE214</f>
        <v>13949</v>
      </c>
      <c r="BG214" s="268">
        <f>BF214</f>
        <v>13949</v>
      </c>
      <c r="BH214" s="268">
        <f>BG214</f>
        <v>13949</v>
      </c>
      <c r="BI214" s="268">
        <f>BH214</f>
        <v>13949</v>
      </c>
      <c r="BJ214" s="268">
        <f>BI214</f>
        <v>13949</v>
      </c>
      <c r="BK214" s="268">
        <f>BJ214</f>
        <v>13949</v>
      </c>
      <c r="BL214" s="268">
        <f>BK214</f>
        <v>13949</v>
      </c>
      <c r="BM214" s="268">
        <f>BL214</f>
        <v>13949</v>
      </c>
      <c r="BN214" s="268">
        <f>BM214</f>
        <v>13949</v>
      </c>
      <c r="BO214" s="268">
        <f>BN214</f>
        <v>13949</v>
      </c>
      <c r="BP214" s="268">
        <f>BO214</f>
        <v>13949</v>
      </c>
      <c r="BQ214" s="268">
        <f>BP214</f>
        <v>13949</v>
      </c>
      <c r="BR214" s="268">
        <f>BQ214</f>
        <v>13949</v>
      </c>
      <c r="BS214" s="268">
        <f>BR214</f>
        <v>13949</v>
      </c>
      <c r="BT214" s="268">
        <f>BS214</f>
        <v>13949</v>
      </c>
      <c r="BU214" s="268">
        <f>BT214</f>
        <v>13949</v>
      </c>
      <c r="BV214" s="268">
        <f>BU214</f>
        <v>13949</v>
      </c>
      <c r="BW214" s="268">
        <f>BV214</f>
        <v>13949</v>
      </c>
      <c r="BX214" s="268">
        <f>BW214</f>
        <v>13949</v>
      </c>
      <c r="BY214" s="268">
        <f>BX214</f>
        <v>13949</v>
      </c>
      <c r="BZ214" s="268">
        <f>BY214</f>
        <v>13949</v>
      </c>
      <c r="CA214" s="268">
        <f>BZ214</f>
        <v>13949</v>
      </c>
      <c r="CB214" s="268">
        <f>CA214</f>
        <v>13949</v>
      </c>
      <c r="CC214" s="268">
        <f>CB214</f>
        <v>13949</v>
      </c>
      <c r="CD214" s="268">
        <f>CC214</f>
        <v>13949</v>
      </c>
      <c r="CE214" s="268">
        <f>CD214</f>
        <v>13949</v>
      </c>
      <c r="CF214" s="268">
        <f>CE214</f>
        <v>13949</v>
      </c>
      <c r="CG214" s="268">
        <f>CF214</f>
        <v>13949</v>
      </c>
      <c r="CH214" s="268">
        <f>CG214</f>
        <v>13949</v>
      </c>
      <c r="CI214" s="268">
        <f>CH214</f>
        <v>13949</v>
      </c>
      <c r="CJ214" s="268">
        <f>CI214</f>
        <v>13949</v>
      </c>
      <c r="CK214" s="268">
        <f>CJ214</f>
        <v>13949</v>
      </c>
      <c r="CL214" s="268">
        <f>CK214</f>
        <v>13949</v>
      </c>
      <c r="CM214" s="268">
        <f>CL214</f>
        <v>13949</v>
      </c>
      <c r="CN214" s="268">
        <f>CM214</f>
        <v>13949</v>
      </c>
      <c r="CO214" s="268">
        <f>CN214</f>
        <v>13949</v>
      </c>
      <c r="CP214" s="268">
        <f>CO214</f>
        <v>13949</v>
      </c>
      <c r="CQ214" s="268">
        <f>CP214</f>
        <v>13949</v>
      </c>
      <c r="CR214" s="268">
        <f>CQ214</f>
        <v>13949</v>
      </c>
      <c r="CS214" s="268">
        <f>CR214</f>
        <v>13949</v>
      </c>
      <c r="CT214" s="268">
        <f>CS214</f>
        <v>13949</v>
      </c>
      <c r="CU214" s="268">
        <f>CT214</f>
        <v>13949</v>
      </c>
      <c r="CV214" s="268">
        <f>CU214</f>
        <v>13949</v>
      </c>
      <c r="CW214" s="268">
        <f>CV214</f>
        <v>13949</v>
      </c>
      <c r="CX214" s="268">
        <f>CW214</f>
        <v>13949</v>
      </c>
      <c r="CY214" s="268">
        <f>CX214</f>
        <v>13949</v>
      </c>
    </row>
    <row r="215" ht="12.75" customHeight="1" s="255">
      <c r="C215" s="270" t="inlineStr">
        <is>
          <t>Short term debt (Revolving credit facility)</t>
        </is>
      </c>
      <c r="D215" s="301">
        <f>INDEX('Inputs (2)'!$D$33:$AL$33,MATCH(D$7,'Inputs (2)'!$D$2:$AL$2,0))</f>
        <v>0</v>
      </c>
      <c r="E215" s="301">
        <f>INDEX('Inputs (2)'!$D$33:$AL$33,MATCH(E$7,'Inputs (2)'!$D$2:$AL$2,0))</f>
        <v>0</v>
      </c>
      <c r="F215" s="301">
        <f>INDEX('Inputs (2)'!$D$33:$AL$33,MATCH(F$7,'Inputs (2)'!$D$2:$AL$2,0))</f>
        <v>0</v>
      </c>
      <c r="G215" s="301">
        <f>INDEX('Inputs (2)'!$D$33:$AL$33,MATCH(G$7,'Inputs (2)'!$D$2:$AL$2,0))</f>
        <v>0</v>
      </c>
      <c r="H215" s="268">
        <f>G215</f>
        <v>0</v>
      </c>
      <c r="I215" s="301">
        <f>INDEX('Inputs (2)'!$D$33:$AL$33,MATCH(I$7,'Inputs (2)'!$D$2:$AL$2,0))</f>
        <v>0</v>
      </c>
      <c r="J215" s="301">
        <f>INDEX('Inputs (2)'!$D$33:$AL$33,MATCH(J$7,'Inputs (2)'!$D$2:$AL$2,0))</f>
        <v>0</v>
      </c>
      <c r="K215" s="301">
        <f>INDEX('Inputs (2)'!$D$33:$AL$33,MATCH(K$7,'Inputs (2)'!$D$2:$AL$2,0))</f>
        <v>0</v>
      </c>
      <c r="L215" s="301">
        <f>INDEX('Inputs (2)'!$D$33:$AL$33,MATCH(L$7,'Inputs (2)'!$D$2:$AL$2,0))</f>
        <v>0</v>
      </c>
      <c r="M215" s="268">
        <f>L215</f>
        <v>0</v>
      </c>
      <c r="N215" s="301">
        <f>INDEX('Inputs (2)'!$D$33:$AL$33,MATCH(N$7,'Inputs (2)'!$D$2:$AL$2,0))</f>
        <v>0</v>
      </c>
      <c r="O215" s="301">
        <f>INDEX('Inputs (2)'!$D$33:$AL$33,MATCH(O$7,'Inputs (2)'!$D$2:$AL$2,0))</f>
        <v>0</v>
      </c>
      <c r="P215" s="301">
        <f>INDEX('Inputs (2)'!$D$33:$AL$33,MATCH(P$7,'Inputs (2)'!$D$2:$AL$2,0))</f>
        <v>0</v>
      </c>
      <c r="Q215" s="301">
        <f>INDEX('Inputs (2)'!$D$33:$AL$33,MATCH(Q$7,'Inputs (2)'!$D$2:$AL$2,0))</f>
        <v>0</v>
      </c>
      <c r="R215" s="268">
        <f>Q215</f>
        <v>0</v>
      </c>
      <c r="S215" s="301">
        <f>INDEX('Inputs (2)'!$D$33:$AL$33,MATCH(S$7,'Inputs (2)'!$D$2:$AL$2,0))</f>
        <v>0</v>
      </c>
      <c r="T215" s="301">
        <f>INDEX('Inputs (2)'!$D$33:$AL$33,MATCH(T$7,'Inputs (2)'!$D$2:$AL$2,0))</f>
        <v>0</v>
      </c>
      <c r="U215" s="301">
        <f>INDEX('Inputs (2)'!$D$33:$AL$33,MATCH(U$7,'Inputs (2)'!$D$2:$AL$2,0))</f>
        <v>0</v>
      </c>
      <c r="V215" s="301">
        <f>INDEX('Inputs (2)'!$D$33:$AL$33,MATCH(V$7,'Inputs (2)'!$D$2:$AL$2,0))</f>
        <v>0</v>
      </c>
      <c r="W215" s="268">
        <f>V215</f>
        <v>0</v>
      </c>
      <c r="X215" s="301">
        <f>INDEX('Inputs (2)'!$D$33:$AL$33,MATCH(X$7,'Inputs (2)'!$D$2:$AL$2,0))</f>
        <v>0</v>
      </c>
      <c r="Y215" s="301">
        <f>INDEX('Inputs (2)'!$D$33:$AL$33,MATCH(Y$7,'Inputs (2)'!$D$2:$AL$2,0))</f>
        <v>0</v>
      </c>
      <c r="Z215" s="301">
        <f>INDEX('Inputs (2)'!$D$33:$AL$33,MATCH(Z$7,'Inputs (2)'!$D$2:$AL$2,0))</f>
        <v>0</v>
      </c>
      <c r="AA215" s="301">
        <f>INDEX('Inputs (2)'!$D$33:$AL$33,MATCH(AA$7,'Inputs (2)'!$D$2:$AL$2,0))</f>
        <v>0</v>
      </c>
      <c r="AB215" s="268">
        <f>AA215</f>
        <v>0</v>
      </c>
      <c r="AC215" s="301">
        <f>INDEX('Inputs (2)'!$D$33:$AL$33,MATCH(AC$7,'Inputs (2)'!$D$2:$AL$2,0))</f>
        <v>0</v>
      </c>
      <c r="AD215" s="301">
        <f>INDEX('Inputs (2)'!$D$33:$AL$33,MATCH(AD$7,'Inputs (2)'!$D$2:$AL$2,0))</f>
        <v>0</v>
      </c>
      <c r="AE215" s="301">
        <f>INDEX('Inputs (2)'!$D$33:$AL$33,MATCH(AE$7,'Inputs (2)'!$D$2:$AL$2,0))</f>
        <v>0</v>
      </c>
      <c r="AF215" s="301">
        <f>INDEX('Inputs (2)'!$D$33:$AL$33,MATCH(AF$7,'Inputs (2)'!$D$2:$AL$2,0))</f>
        <v>0</v>
      </c>
      <c r="AG215" s="268">
        <f>AF215</f>
        <v>0</v>
      </c>
      <c r="AH215" s="268">
        <f>INDEX('Inputs (2)'!$D$33:$AL$33,MATCH(AH$7,'Inputs (2)'!$D$2:$AL$2,0))</f>
        <v>0</v>
      </c>
      <c r="AI215" s="268">
        <f>INDEX('Inputs (2)'!$D$33:$AL$33,MATCH(AI$7,'Inputs (2)'!$D$2:$AL$2,0))</f>
        <v>0</v>
      </c>
      <c r="AJ215" s="268">
        <f>AI215</f>
        <v>0</v>
      </c>
      <c r="AK215" s="268">
        <f>AJ215</f>
        <v>0</v>
      </c>
      <c r="AL215" s="268">
        <f>AK215</f>
        <v>0</v>
      </c>
      <c r="AM215" s="268">
        <f>AL215</f>
        <v>0</v>
      </c>
      <c r="AN215" s="268">
        <f>AM215</f>
        <v>0</v>
      </c>
      <c r="AO215" s="268">
        <f>AN215</f>
        <v>0</v>
      </c>
      <c r="AP215" s="268">
        <f>AO215</f>
        <v>0</v>
      </c>
      <c r="AQ215" s="268">
        <f>AP215</f>
        <v>0</v>
      </c>
      <c r="AR215" s="268">
        <f>AQ215</f>
        <v>0</v>
      </c>
      <c r="AS215" s="268">
        <f>AR215</f>
        <v>0</v>
      </c>
      <c r="AT215" s="268">
        <f>AS215</f>
        <v>0</v>
      </c>
      <c r="AU215" s="268">
        <f>AT215</f>
        <v>0</v>
      </c>
      <c r="AV215" s="268">
        <f>AU215</f>
        <v>0</v>
      </c>
      <c r="AW215" s="268">
        <f>AV215</f>
        <v>0</v>
      </c>
      <c r="AX215" s="268">
        <f>AW215</f>
        <v>0</v>
      </c>
      <c r="AY215" s="268">
        <f>AX215</f>
        <v>0</v>
      </c>
      <c r="AZ215" s="268">
        <f>AY215</f>
        <v>0</v>
      </c>
      <c r="BA215" s="268">
        <f>AZ215</f>
        <v>0</v>
      </c>
      <c r="BB215" s="268">
        <f>BA215</f>
        <v>0</v>
      </c>
      <c r="BC215" s="268">
        <f>BB215</f>
        <v>0</v>
      </c>
      <c r="BD215" s="268">
        <f>BC215</f>
        <v>0</v>
      </c>
      <c r="BE215" s="268">
        <f>BD215</f>
        <v>0</v>
      </c>
      <c r="BF215" s="268">
        <f>BE215</f>
        <v>0</v>
      </c>
      <c r="BG215" s="268">
        <f>BF215</f>
        <v>0</v>
      </c>
      <c r="BH215" s="268">
        <f>BG215</f>
        <v>0</v>
      </c>
      <c r="BI215" s="268">
        <f>BH215</f>
        <v>0</v>
      </c>
      <c r="BJ215" s="268">
        <f>BI215</f>
        <v>0</v>
      </c>
      <c r="BK215" s="268">
        <f>BJ215</f>
        <v>0</v>
      </c>
      <c r="BL215" s="268">
        <f>BK215</f>
        <v>0</v>
      </c>
      <c r="BM215" s="268">
        <f>BL215</f>
        <v>0</v>
      </c>
      <c r="BN215" s="268">
        <f>BM215</f>
        <v>0</v>
      </c>
      <c r="BO215" s="268">
        <f>BN215</f>
        <v>0</v>
      </c>
      <c r="BP215" s="268">
        <f>BO215</f>
        <v>0</v>
      </c>
      <c r="BQ215" s="268">
        <f>BP215</f>
        <v>0</v>
      </c>
      <c r="BR215" s="268">
        <f>BQ215</f>
        <v>0</v>
      </c>
      <c r="BS215" s="268">
        <f>BR215</f>
        <v>0</v>
      </c>
      <c r="BT215" s="268">
        <f>BS215</f>
        <v>0</v>
      </c>
      <c r="BU215" s="268">
        <f>BT215</f>
        <v>0</v>
      </c>
      <c r="BV215" s="268">
        <f>BU215</f>
        <v>0</v>
      </c>
      <c r="BW215" s="268">
        <f>BV215</f>
        <v>0</v>
      </c>
      <c r="BX215" s="268">
        <f>BW215</f>
        <v>0</v>
      </c>
      <c r="BY215" s="268">
        <f>BX215</f>
        <v>0</v>
      </c>
      <c r="BZ215" s="268">
        <f>BY215</f>
        <v>0</v>
      </c>
      <c r="CA215" s="268">
        <f>BZ215</f>
        <v>0</v>
      </c>
      <c r="CB215" s="268">
        <f>CA215</f>
        <v>0</v>
      </c>
      <c r="CC215" s="268">
        <f>CB215</f>
        <v>0</v>
      </c>
      <c r="CD215" s="268">
        <f>CC215</f>
        <v>0</v>
      </c>
      <c r="CE215" s="268">
        <f>CD215</f>
        <v>0</v>
      </c>
      <c r="CF215" s="268">
        <f>CE215</f>
        <v>0</v>
      </c>
      <c r="CG215" s="268">
        <f>CF215</f>
        <v>0</v>
      </c>
      <c r="CH215" s="268">
        <f>CG215</f>
        <v>0</v>
      </c>
      <c r="CI215" s="268">
        <f>CH215</f>
        <v>0</v>
      </c>
      <c r="CJ215" s="268">
        <f>CI215</f>
        <v>0</v>
      </c>
      <c r="CK215" s="268">
        <f>CJ215</f>
        <v>0</v>
      </c>
      <c r="CL215" s="268">
        <f>CK215</f>
        <v>0</v>
      </c>
      <c r="CM215" s="268">
        <f>CL215</f>
        <v>0</v>
      </c>
      <c r="CN215" s="268">
        <f>CM215</f>
        <v>0</v>
      </c>
      <c r="CO215" s="268">
        <f>CN215</f>
        <v>0</v>
      </c>
      <c r="CP215" s="268">
        <f>CO215</f>
        <v>0</v>
      </c>
      <c r="CQ215" s="268">
        <f>CP215</f>
        <v>0</v>
      </c>
      <c r="CR215" s="268">
        <f>CQ215</f>
        <v>0</v>
      </c>
      <c r="CS215" s="268">
        <f>CR215</f>
        <v>0</v>
      </c>
      <c r="CT215" s="268">
        <f>CS215</f>
        <v>0</v>
      </c>
      <c r="CU215" s="268">
        <f>CT215</f>
        <v>0</v>
      </c>
      <c r="CV215" s="268">
        <f>CU215</f>
        <v>0</v>
      </c>
      <c r="CW215" s="268">
        <f>CV215</f>
        <v>0</v>
      </c>
      <c r="CX215" s="268">
        <f>CW215</f>
        <v>0</v>
      </c>
      <c r="CY215" s="268">
        <f>CX215</f>
        <v>0</v>
      </c>
    </row>
    <row r="216" ht="12.75" customHeight="1" s="255">
      <c r="C216" s="270" t="inlineStr">
        <is>
          <t>Short term operating leases</t>
        </is>
      </c>
      <c r="D216" s="301">
        <f>INDEX('Inputs (2)'!$D$34:$AL$34,MATCH(D$7,'Inputs (2)'!$D$2:$AL$2,0))</f>
        <v>1729</v>
      </c>
      <c r="E216" s="301">
        <f>INDEX('Inputs (2)'!$D$34:$AL$34,MATCH(E$7,'Inputs (2)'!$D$2:$AL$2,0))</f>
        <v>1734</v>
      </c>
      <c r="F216" s="301">
        <f>INDEX('Inputs (2)'!$D$34:$AL$34,MATCH(F$7,'Inputs (2)'!$D$2:$AL$2,0))</f>
        <v>1725</v>
      </c>
      <c r="G216" s="301">
        <f>INDEX('Inputs (2)'!$D$34:$AL$34,MATCH(G$7,'Inputs (2)'!$D$2:$AL$2,0))</f>
        <v>1466</v>
      </c>
      <c r="H216" s="268">
        <f>G216</f>
        <v>1466</v>
      </c>
      <c r="I216" s="301">
        <f>INDEX('Inputs (2)'!$D$34:$AL$34,MATCH(I$7,'Inputs (2)'!$D$2:$AL$2,0))</f>
        <v>1448</v>
      </c>
      <c r="J216" s="301">
        <f>INDEX('Inputs (2)'!$D$34:$AL$34,MATCH(J$7,'Inputs (2)'!$D$2:$AL$2,0))</f>
        <v>1441</v>
      </c>
      <c r="K216" s="301">
        <f>INDEX('Inputs (2)'!$D$34:$AL$34,MATCH(K$7,'Inputs (2)'!$D$2:$AL$2,0))</f>
        <v>1486</v>
      </c>
      <c r="L216" s="301">
        <f>INDEX('Inputs (2)'!$D$34:$AL$34,MATCH(L$7,'Inputs (2)'!$D$2:$AL$2,0))</f>
        <v>1483</v>
      </c>
      <c r="M216" s="268">
        <f>L216</f>
        <v>1483</v>
      </c>
      <c r="N216" s="301">
        <f>INDEX('Inputs (2)'!$D$34:$AL$34,MATCH(N$7,'Inputs (2)'!$D$2:$AL$2,0))</f>
        <v>1485</v>
      </c>
      <c r="O216" s="301">
        <f>INDEX('Inputs (2)'!$D$34:$AL$34,MATCH(O$7,'Inputs (2)'!$D$2:$AL$2,0))</f>
        <v>1464</v>
      </c>
      <c r="P216" s="301">
        <f>INDEX('Inputs (2)'!$D$34:$AL$34,MATCH(P$7,'Inputs (2)'!$D$2:$AL$2,0))</f>
        <v>1457</v>
      </c>
      <c r="Q216" s="301">
        <f>INDEX('Inputs (2)'!$D$34:$AL$34,MATCH(Q$7,'Inputs (2)'!$D$2:$AL$2,0))</f>
        <v>1473</v>
      </c>
      <c r="R216" s="268">
        <f>Q216</f>
        <v>1473</v>
      </c>
      <c r="S216" s="301">
        <f>INDEX('Inputs (2)'!$D$34:$AL$34,MATCH(S$7,'Inputs (2)'!$D$2:$AL$2,0))</f>
        <v>1490</v>
      </c>
      <c r="T216" s="301">
        <f>INDEX('Inputs (2)'!$D$34:$AL$34,MATCH(T$7,'Inputs (2)'!$D$2:$AL$2,0))</f>
        <v>1472</v>
      </c>
      <c r="U216" s="301">
        <f>INDEX('Inputs (2)'!$D$34:$AL$34,MATCH(U$7,'Inputs (2)'!$D$2:$AL$2,0))</f>
        <v>1474</v>
      </c>
      <c r="V216" s="301">
        <f>INDEX('Inputs (2)'!$D$34:$AL$34,MATCH(V$7,'Inputs (2)'!$D$2:$AL$2,0))</f>
        <v>1487</v>
      </c>
      <c r="W216" s="268">
        <f>V216</f>
        <v>1487</v>
      </c>
      <c r="X216" s="301">
        <f>INDEX('Inputs (2)'!$D$34:$AL$34,MATCH(X$7,'Inputs (2)'!$D$2:$AL$2,0))</f>
        <v>1482</v>
      </c>
      <c r="Y216" s="301">
        <f>INDEX('Inputs (2)'!$D$34:$AL$34,MATCH(Y$7,'Inputs (2)'!$D$2:$AL$2,0))</f>
        <v>1493</v>
      </c>
      <c r="Z216" s="301">
        <f>INDEX('Inputs (2)'!$D$34:$AL$34,MATCH(Z$7,'Inputs (2)'!$D$2:$AL$2,0))</f>
        <v>1507</v>
      </c>
      <c r="AA216" s="301">
        <f>INDEX('Inputs (2)'!$D$34:$AL$34,MATCH(AA$7,'Inputs (2)'!$D$2:$AL$2,0))</f>
        <v>1499</v>
      </c>
      <c r="AB216" s="268">
        <f>AA216</f>
        <v>1499</v>
      </c>
      <c r="AC216" s="301">
        <f>INDEX('Inputs (2)'!$D$34:$AL$34,MATCH(AC$7,'Inputs (2)'!$D$2:$AL$2,0))</f>
        <v>1539</v>
      </c>
      <c r="AD216" s="301">
        <f>INDEX('Inputs (2)'!$D$34:$AL$34,MATCH(AD$7,'Inputs (2)'!$D$2:$AL$2,0))</f>
        <v>1580</v>
      </c>
      <c r="AE216" s="301">
        <f>INDEX('Inputs (2)'!$D$34:$AL$34,MATCH(AE$7,'Inputs (2)'!$D$2:$AL$2,0))</f>
        <v>1592</v>
      </c>
      <c r="AF216" s="301">
        <f>INDEX('Inputs (2)'!$D$34:$AL$34,MATCH(AF$7,'Inputs (2)'!$D$2:$AL$2,0))</f>
        <v>1631</v>
      </c>
      <c r="AG216" s="268">
        <f>AF216</f>
        <v>1631</v>
      </c>
      <c r="AH216" s="268">
        <f>INDEX('Inputs (2)'!$D$34:$AL$34,MATCH(AH$7,'Inputs (2)'!$D$2:$AL$2,0))</f>
        <v>1662</v>
      </c>
      <c r="AI216" s="268">
        <f>INDEX('Inputs (2)'!$D$34:$AL$34,MATCH(AI$7,'Inputs (2)'!$D$2:$AL$2,0))</f>
        <v>1714</v>
      </c>
      <c r="AJ216" s="268">
        <f>AI216</f>
        <v>1714</v>
      </c>
      <c r="AK216" s="268">
        <f>AJ216</f>
        <v>1714</v>
      </c>
      <c r="AL216" s="268">
        <f>AK216</f>
        <v>1714</v>
      </c>
      <c r="AM216" s="268">
        <f>AL216</f>
        <v>1714</v>
      </c>
      <c r="AN216" s="268">
        <f>AM216</f>
        <v>1714</v>
      </c>
      <c r="AO216" s="268">
        <f>AN216</f>
        <v>1714</v>
      </c>
      <c r="AP216" s="268">
        <f>AO216</f>
        <v>1714</v>
      </c>
      <c r="AQ216" s="268">
        <f>AP216</f>
        <v>1714</v>
      </c>
      <c r="AR216" s="268">
        <f>AQ216</f>
        <v>1714</v>
      </c>
      <c r="AS216" s="268">
        <f>AR216</f>
        <v>1714</v>
      </c>
      <c r="AT216" s="268">
        <f>AS216</f>
        <v>1714</v>
      </c>
      <c r="AU216" s="268">
        <f>AT216</f>
        <v>1714</v>
      </c>
      <c r="AV216" s="268">
        <f>AU216</f>
        <v>1714</v>
      </c>
      <c r="AW216" s="268">
        <f>AV216</f>
        <v>1714</v>
      </c>
      <c r="AX216" s="268">
        <f>AW216</f>
        <v>1714</v>
      </c>
      <c r="AY216" s="268">
        <f>AX216</f>
        <v>1714</v>
      </c>
      <c r="AZ216" s="268">
        <f>AY216</f>
        <v>1714</v>
      </c>
      <c r="BA216" s="268">
        <f>AZ216</f>
        <v>1714</v>
      </c>
      <c r="BB216" s="268">
        <f>BA216</f>
        <v>1714</v>
      </c>
      <c r="BC216" s="268">
        <f>BB216</f>
        <v>1714</v>
      </c>
      <c r="BD216" s="268">
        <f>BC216</f>
        <v>1714</v>
      </c>
      <c r="BE216" s="268">
        <f>BD216</f>
        <v>1714</v>
      </c>
      <c r="BF216" s="268">
        <f>BE216</f>
        <v>1714</v>
      </c>
      <c r="BG216" s="268">
        <f>BF216</f>
        <v>1714</v>
      </c>
      <c r="BH216" s="268">
        <f>BG216</f>
        <v>1714</v>
      </c>
      <c r="BI216" s="268">
        <f>BH216</f>
        <v>1714</v>
      </c>
      <c r="BJ216" s="268">
        <f>BI216</f>
        <v>1714</v>
      </c>
      <c r="BK216" s="268">
        <f>BJ216</f>
        <v>1714</v>
      </c>
      <c r="BL216" s="268">
        <f>BK216</f>
        <v>1714</v>
      </c>
      <c r="BM216" s="268">
        <f>BL216</f>
        <v>1714</v>
      </c>
      <c r="BN216" s="268">
        <f>BM216</f>
        <v>1714</v>
      </c>
      <c r="BO216" s="268">
        <f>BN216</f>
        <v>1714</v>
      </c>
      <c r="BP216" s="268">
        <f>BO216</f>
        <v>1714</v>
      </c>
      <c r="BQ216" s="268">
        <f>BP216</f>
        <v>1714</v>
      </c>
      <c r="BR216" s="268">
        <f>BQ216</f>
        <v>1714</v>
      </c>
      <c r="BS216" s="268">
        <f>BR216</f>
        <v>1714</v>
      </c>
      <c r="BT216" s="268">
        <f>BS216</f>
        <v>1714</v>
      </c>
      <c r="BU216" s="268">
        <f>BT216</f>
        <v>1714</v>
      </c>
      <c r="BV216" s="268">
        <f>BU216</f>
        <v>1714</v>
      </c>
      <c r="BW216" s="268">
        <f>BV216</f>
        <v>1714</v>
      </c>
      <c r="BX216" s="268">
        <f>BW216</f>
        <v>1714</v>
      </c>
      <c r="BY216" s="268">
        <f>BX216</f>
        <v>1714</v>
      </c>
      <c r="BZ216" s="268">
        <f>BY216</f>
        <v>1714</v>
      </c>
      <c r="CA216" s="268">
        <f>BZ216</f>
        <v>1714</v>
      </c>
      <c r="CB216" s="268">
        <f>CA216</f>
        <v>1714</v>
      </c>
      <c r="CC216" s="268">
        <f>CB216</f>
        <v>1714</v>
      </c>
      <c r="CD216" s="268">
        <f>CC216</f>
        <v>1714</v>
      </c>
      <c r="CE216" s="268">
        <f>CD216</f>
        <v>1714</v>
      </c>
      <c r="CF216" s="268">
        <f>CE216</f>
        <v>1714</v>
      </c>
      <c r="CG216" s="268">
        <f>CF216</f>
        <v>1714</v>
      </c>
      <c r="CH216" s="268">
        <f>CG216</f>
        <v>1714</v>
      </c>
      <c r="CI216" s="268">
        <f>CH216</f>
        <v>1714</v>
      </c>
      <c r="CJ216" s="268">
        <f>CI216</f>
        <v>1714</v>
      </c>
      <c r="CK216" s="268">
        <f>CJ216</f>
        <v>1714</v>
      </c>
      <c r="CL216" s="268">
        <f>CK216</f>
        <v>1714</v>
      </c>
      <c r="CM216" s="268">
        <f>CL216</f>
        <v>1714</v>
      </c>
      <c r="CN216" s="268">
        <f>CM216</f>
        <v>1714</v>
      </c>
      <c r="CO216" s="268">
        <f>CN216</f>
        <v>1714</v>
      </c>
      <c r="CP216" s="268">
        <f>CO216</f>
        <v>1714</v>
      </c>
      <c r="CQ216" s="268">
        <f>CP216</f>
        <v>1714</v>
      </c>
      <c r="CR216" s="268">
        <f>CQ216</f>
        <v>1714</v>
      </c>
      <c r="CS216" s="268">
        <f>CR216</f>
        <v>1714</v>
      </c>
      <c r="CT216" s="268">
        <f>CS216</f>
        <v>1714</v>
      </c>
      <c r="CU216" s="268">
        <f>CT216</f>
        <v>1714</v>
      </c>
      <c r="CV216" s="268">
        <f>CU216</f>
        <v>1714</v>
      </c>
      <c r="CW216" s="268">
        <f>CV216</f>
        <v>1714</v>
      </c>
      <c r="CX216" s="268">
        <f>CW216</f>
        <v>1714</v>
      </c>
      <c r="CY216" s="268">
        <f>CX216</f>
        <v>1714</v>
      </c>
    </row>
    <row r="217" hidden="1" outlineLevel="1" ht="12.75" customHeight="1" s="255">
      <c r="C217" s="314" t="inlineStr">
        <is>
          <t>%(Var.)</t>
        </is>
      </c>
      <c r="D217" s="268" t="n"/>
      <c r="E217" s="296">
        <f>IFERROR((E216-D216)/D216,0)</f>
        <v>0.00289184499710816</v>
      </c>
      <c r="F217" s="296">
        <f>IFERROR((F216-E216)/E216,0)</f>
        <v>-0.00519031141868512</v>
      </c>
      <c r="G217" s="296">
        <f>IFERROR((G216-F216)/F216,0)</f>
        <v>-0.150144927536232</v>
      </c>
      <c r="H217" s="268" t="n"/>
      <c r="I217" s="296">
        <f>IFERROR((I216-H216)/H216,0)</f>
        <v>-0.0122783083219645</v>
      </c>
      <c r="J217" s="296">
        <f>IFERROR((J216-I216)/I216,0)</f>
        <v>-0.00483425414364641</v>
      </c>
      <c r="K217" s="296">
        <f>IFERROR((K216-J216)/J216,0)</f>
        <v>0.0312283136710618</v>
      </c>
      <c r="L217" s="296">
        <f>IFERROR((L216-K216)/K216,0)</f>
        <v>-0.00201884253028264</v>
      </c>
      <c r="M217" s="268" t="n"/>
      <c r="N217" s="296">
        <f>IFERROR((N216-M216)/M216,0)</f>
        <v>0.00134861766689144</v>
      </c>
      <c r="O217" s="296">
        <f>IFERROR((O216-N216)/N216,0)</f>
        <v>-0.0141414141414141</v>
      </c>
      <c r="P217" s="296">
        <f>IFERROR((P216-O216)/O216,0)</f>
        <v>-0.00478142076502732</v>
      </c>
      <c r="Q217" s="296">
        <f>IFERROR((Q216-P216)/P216,0)</f>
        <v>0.0109814687714482</v>
      </c>
      <c r="R217" s="268" t="n"/>
      <c r="S217" s="296">
        <f>IFERROR((S216-R216)/R216,0)</f>
        <v>0.011541072640869</v>
      </c>
      <c r="T217" s="296">
        <f>IFERROR((T216-S216)/S216,0)</f>
        <v>-0.0120805369127517</v>
      </c>
      <c r="U217" s="296">
        <f>IFERROR((U216-T216)/T216,0)</f>
        <v>0.00135869565217391</v>
      </c>
      <c r="V217" s="296">
        <f>IFERROR((V216-U216)/U216,0)</f>
        <v>0.00881953867028494</v>
      </c>
      <c r="W217" s="268" t="n"/>
      <c r="X217" s="296">
        <f>IFERROR((X216-W216)/W216,0)</f>
        <v>-0.00336247478143914</v>
      </c>
      <c r="Y217" s="296">
        <f>IFERROR((Y216-X216)/X216,0)</f>
        <v>0.00742240215924426</v>
      </c>
      <c r="Z217" s="296">
        <f>IFERROR((Z216-Y216)/Y216,0)</f>
        <v>0.00937709310113865</v>
      </c>
      <c r="AA217" s="296">
        <f>IFERROR((AA216-Z216)/Z216,0)</f>
        <v>-0.0053085600530856</v>
      </c>
      <c r="AB217" s="268" t="n"/>
      <c r="AC217" s="296">
        <f>IFERROR((AC216-AB216)/AB216,0)</f>
        <v>0.0266844563042028</v>
      </c>
      <c r="AD217" s="296">
        <f>IFERROR((AD216-AC216)/AC216,0)</f>
        <v>0.0266406757634828</v>
      </c>
      <c r="AE217" s="296">
        <f>IFERROR((AE216-AD216)/AD216,0)</f>
        <v>0.00759493670886076</v>
      </c>
      <c r="AF217" s="267">
        <f>IFERROR((AF216-AE216)/AE216,0)</f>
        <v>0.0244974874371859</v>
      </c>
      <c r="AG217" s="268" t="n"/>
      <c r="AH217" s="267">
        <f>IFERROR((AH216-AG216)/AG216,0)</f>
        <v>0.0190067443286327</v>
      </c>
      <c r="AI217" s="267">
        <f>IFERROR((AI216-AH216)/AH216,0)</f>
        <v>0.0312876052948255</v>
      </c>
      <c r="AJ217" s="267" t="n"/>
      <c r="AK217" s="267" t="n"/>
      <c r="AL217" s="268" t="n"/>
      <c r="AM217" s="267" t="n"/>
      <c r="AN217" s="267" t="n"/>
      <c r="AO217" s="267" t="n"/>
      <c r="AP217" s="267" t="n"/>
      <c r="AQ217" s="268" t="n"/>
      <c r="AR217" s="267" t="n"/>
      <c r="AS217" s="267" t="n"/>
      <c r="AT217" s="267" t="n"/>
      <c r="AU217" s="267" t="n"/>
      <c r="AV217" s="268" t="n"/>
      <c r="AW217" s="267" t="n"/>
      <c r="AX217" s="267" t="n"/>
      <c r="AY217" s="267" t="n"/>
      <c r="AZ217" s="267" t="n"/>
      <c r="BA217" s="268" t="n"/>
      <c r="BB217" s="267" t="n"/>
      <c r="BC217" s="267" t="n"/>
      <c r="BD217" s="267" t="n"/>
      <c r="BE217" s="267" t="n"/>
      <c r="BF217" s="268" t="n"/>
      <c r="BG217" s="267" t="n"/>
      <c r="BH217" s="267" t="n"/>
      <c r="BI217" s="267" t="n"/>
      <c r="BJ217" s="267" t="n"/>
      <c r="BK217" s="268" t="n"/>
      <c r="BL217" s="267" t="n"/>
      <c r="BM217" s="267" t="n"/>
      <c r="BN217" s="267" t="n"/>
      <c r="BO217" s="267" t="n"/>
      <c r="BP217" s="268" t="n"/>
      <c r="BQ217" s="267" t="n"/>
      <c r="BR217" s="267" t="n"/>
      <c r="BS217" s="267" t="n"/>
      <c r="BT217" s="267" t="n"/>
      <c r="BU217" s="268" t="n"/>
      <c r="BV217" s="267" t="n"/>
      <c r="BW217" s="267" t="n"/>
      <c r="BX217" s="267" t="n"/>
      <c r="BY217" s="267" t="n"/>
      <c r="BZ217" s="268" t="n"/>
      <c r="CA217" s="267" t="n"/>
      <c r="CB217" s="267" t="n"/>
      <c r="CC217" s="267" t="n"/>
      <c r="CD217" s="267" t="n"/>
      <c r="CE217" s="268" t="n"/>
      <c r="CF217" s="267" t="n"/>
      <c r="CG217" s="267" t="n"/>
      <c r="CH217" s="267" t="n"/>
      <c r="CI217" s="267" t="n"/>
      <c r="CJ217" s="268" t="n"/>
      <c r="CK217" s="267" t="n"/>
      <c r="CL217" s="267" t="n"/>
      <c r="CM217" s="267" t="n"/>
      <c r="CN217" s="267" t="n"/>
      <c r="CO217" s="268" t="n"/>
      <c r="CP217" s="267" t="n"/>
      <c r="CQ217" s="267" t="n"/>
      <c r="CR217" s="267" t="n"/>
      <c r="CS217" s="267" t="n"/>
      <c r="CT217" s="268" t="n"/>
      <c r="CU217" s="267" t="n"/>
      <c r="CV217" s="267" t="n"/>
      <c r="CW217" s="267" t="n"/>
      <c r="CX217" s="267" t="n"/>
      <c r="CY217" s="268" t="n"/>
    </row>
    <row r="218" hidden="1" outlineLevel="1" ht="12.75" customHeight="1" s="255">
      <c r="C218" s="312" t="n"/>
      <c r="D218" s="268" t="n"/>
      <c r="E218" s="268" t="n"/>
      <c r="F218" s="268" t="n"/>
      <c r="G218" s="268" t="n"/>
      <c r="H218" s="268" t="n"/>
      <c r="I218" s="268" t="n"/>
      <c r="J218" s="268" t="n"/>
      <c r="K218" s="268" t="n"/>
      <c r="L218" s="268" t="n"/>
      <c r="M218" s="268" t="n"/>
      <c r="N218" s="268" t="n"/>
      <c r="O218" s="268" t="n"/>
      <c r="P218" s="268" t="n"/>
      <c r="Q218" s="268" t="n"/>
      <c r="R218" s="268" t="n"/>
      <c r="S218" s="268" t="n"/>
      <c r="T218" s="268" t="n"/>
      <c r="U218" s="268" t="n"/>
      <c r="V218" s="268" t="n"/>
      <c r="W218" s="268" t="n"/>
      <c r="X218" s="268" t="n"/>
      <c r="Y218" s="268" t="n"/>
      <c r="Z218" s="268" t="n"/>
      <c r="AA218" s="268" t="n"/>
      <c r="AB218" s="268" t="n"/>
      <c r="AC218" s="268" t="n"/>
      <c r="AD218" s="268" t="n"/>
      <c r="AE218" s="268" t="n"/>
      <c r="AF218" s="268" t="n"/>
      <c r="AG218" s="268" t="n"/>
      <c r="AH218" s="268" t="n"/>
      <c r="AI218" s="268" t="n"/>
      <c r="AJ218" s="268" t="n"/>
      <c r="AK218" s="268" t="n"/>
      <c r="AL218" s="268" t="n"/>
      <c r="AM218" s="268" t="n"/>
      <c r="AN218" s="268" t="n"/>
      <c r="AO218" s="268" t="n"/>
      <c r="AP218" s="268" t="n"/>
      <c r="AQ218" s="268" t="n"/>
      <c r="AR218" s="268" t="n"/>
      <c r="AS218" s="268" t="n"/>
      <c r="AT218" s="268" t="n"/>
      <c r="AU218" s="268" t="n"/>
      <c r="AV218" s="268" t="n"/>
      <c r="AW218" s="268" t="n"/>
      <c r="AX218" s="268" t="n"/>
      <c r="AY218" s="268" t="n"/>
      <c r="AZ218" s="268" t="n"/>
      <c r="BA218" s="268" t="n"/>
      <c r="BB218" s="268" t="n"/>
      <c r="BC218" s="268" t="n"/>
      <c r="BD218" s="268" t="n"/>
      <c r="BE218" s="268" t="n"/>
      <c r="BF218" s="268" t="n"/>
      <c r="BG218" s="268" t="n"/>
      <c r="BH218" s="268" t="n"/>
      <c r="BI218" s="268" t="n"/>
      <c r="BJ218" s="268" t="n"/>
      <c r="BK218" s="268" t="n"/>
      <c r="BL218" s="268" t="n"/>
      <c r="BM218" s="268" t="n"/>
      <c r="BN218" s="268" t="n"/>
      <c r="BO218" s="268" t="n"/>
      <c r="BP218" s="268" t="n"/>
      <c r="BQ218" s="268" t="n"/>
      <c r="BR218" s="268" t="n"/>
      <c r="BS218" s="268" t="n"/>
      <c r="BT218" s="268" t="n"/>
      <c r="BU218" s="268" t="n"/>
      <c r="BV218" s="268" t="n"/>
      <c r="BW218" s="268" t="n"/>
      <c r="BX218" s="268" t="n"/>
      <c r="BY218" s="268" t="n"/>
      <c r="BZ218" s="268" t="n"/>
      <c r="CA218" s="268" t="n"/>
      <c r="CB218" s="268" t="n"/>
      <c r="CC218" s="268" t="n"/>
      <c r="CD218" s="268" t="n"/>
      <c r="CE218" s="268" t="n"/>
      <c r="CF218" s="268" t="n"/>
      <c r="CG218" s="268" t="n"/>
      <c r="CH218" s="268" t="n"/>
      <c r="CI218" s="268" t="n"/>
      <c r="CJ218" s="268" t="n"/>
      <c r="CK218" s="268" t="n"/>
      <c r="CL218" s="268" t="n"/>
      <c r="CM218" s="268" t="n"/>
      <c r="CN218" s="268" t="n"/>
      <c r="CO218" s="268" t="n"/>
      <c r="CP218" s="268" t="n"/>
      <c r="CQ218" s="268" t="n"/>
      <c r="CR218" s="268" t="n"/>
      <c r="CS218" s="268" t="n"/>
      <c r="CT218" s="268" t="n"/>
      <c r="CU218" s="268" t="n"/>
      <c r="CV218" s="268" t="n"/>
      <c r="CW218" s="268" t="n"/>
      <c r="CX218" s="268" t="n"/>
      <c r="CY218" s="268" t="n"/>
    </row>
    <row r="219" ht="12.75" customHeight="1" s="255">
      <c r="C219" s="270" t="inlineStr">
        <is>
          <t>Long term debt</t>
        </is>
      </c>
      <c r="D219" s="301">
        <f>INDEX('Inputs (2)'!$D$35:$AL$35,MATCH(D$7,'Inputs (2)'!$D$2:$AL$2,0))</f>
        <v>43006</v>
      </c>
      <c r="E219" s="301">
        <f>INDEX('Inputs (2)'!$D$35:$AL$35,MATCH(E$7,'Inputs (2)'!$D$2:$AL$2,0))</f>
        <v>40959</v>
      </c>
      <c r="F219" s="301">
        <f>INDEX('Inputs (2)'!$D$35:$AL$35,MATCH(F$7,'Inputs (2)'!$D$2:$AL$2,0))</f>
        <v>40849</v>
      </c>
      <c r="G219" s="301">
        <f>INDEX('Inputs (2)'!$D$35:$AL$35,MATCH(G$7,'Inputs (2)'!$D$2:$AL$2,0))</f>
        <v>41194</v>
      </c>
      <c r="H219" s="268">
        <f>G219</f>
        <v>41194</v>
      </c>
      <c r="I219" s="301">
        <f>INDEX('Inputs (2)'!$D$35:$AL$35,MATCH(I$7,'Inputs (2)'!$D$2:$AL$2,0))</f>
        <v>40273</v>
      </c>
      <c r="J219" s="301">
        <f>INDEX('Inputs (2)'!$D$35:$AL$35,MATCH(J$7,'Inputs (2)'!$D$2:$AL$2,0))</f>
        <v>39581</v>
      </c>
      <c r="K219" s="301">
        <f>INDEX('Inputs (2)'!$D$35:$AL$35,MATCH(K$7,'Inputs (2)'!$D$2:$AL$2,0))</f>
        <v>36425</v>
      </c>
      <c r="L219" s="301">
        <f>INDEX('Inputs (2)'!$D$35:$AL$35,MATCH(L$7,'Inputs (2)'!$D$2:$AL$2,0))</f>
        <v>34864</v>
      </c>
      <c r="M219" s="268">
        <f>L219</f>
        <v>34864</v>
      </c>
      <c r="N219" s="301">
        <f>INDEX('Inputs (2)'!$D$35:$AL$35,MATCH(N$7,'Inputs (2)'!$D$2:$AL$2,0))</f>
        <v>32174</v>
      </c>
      <c r="O219" s="301">
        <f>INDEX('Inputs (2)'!$D$35:$AL$35,MATCH(O$7,'Inputs (2)'!$D$2:$AL$2,0))</f>
        <v>29801</v>
      </c>
      <c r="P219" s="301">
        <f>INDEX('Inputs (2)'!$D$35:$AL$35,MATCH(P$7,'Inputs (2)'!$D$2:$AL$2,0))</f>
        <v>33935</v>
      </c>
      <c r="Q219" s="301">
        <f>INDEX('Inputs (2)'!$D$35:$AL$35,MATCH(Q$7,'Inputs (2)'!$D$2:$AL$2,0))</f>
        <v>34649</v>
      </c>
      <c r="R219" s="268">
        <f>Q219</f>
        <v>34649</v>
      </c>
      <c r="S219" s="301">
        <f>INDEX('Inputs (2)'!$D$35:$AL$35,MATCH(S$7,'Inputs (2)'!$D$2:$AL$2,0))</f>
        <v>38120</v>
      </c>
      <c r="T219" s="301">
        <f>INDEX('Inputs (2)'!$D$35:$AL$35,MATCH(T$7,'Inputs (2)'!$D$2:$AL$2,0))</f>
        <v>36806</v>
      </c>
      <c r="U219" s="301">
        <f>INDEX('Inputs (2)'!$D$35:$AL$35,MATCH(U$7,'Inputs (2)'!$D$2:$AL$2,0))</f>
        <v>36342</v>
      </c>
      <c r="V219" s="301">
        <f>INDEX('Inputs (2)'!$D$35:$AL$35,MATCH(V$7,'Inputs (2)'!$D$2:$AL$2,0))</f>
        <v>36132</v>
      </c>
      <c r="W219" s="268">
        <f>V219</f>
        <v>36132</v>
      </c>
      <c r="X219" s="301">
        <f>INDEX('Inputs (2)'!$D$35:$AL$35,MATCH(X$7,'Inputs (2)'!$D$2:$AL$2,0))</f>
        <v>35928</v>
      </c>
      <c r="Y219" s="301">
        <f>INDEX('Inputs (2)'!$D$35:$AL$35,MATCH(Y$7,'Inputs (2)'!$D$2:$AL$2,0))</f>
        <v>35364</v>
      </c>
      <c r="Z219" s="301">
        <f>INDEX('Inputs (2)'!$D$35:$AL$35,MATCH(Z$7,'Inputs (2)'!$D$2:$AL$2,0))</f>
        <v>33645</v>
      </c>
      <c r="AA219" s="301">
        <f>INDEX('Inputs (2)'!$D$35:$AL$35,MATCH(AA$7,'Inputs (2)'!$D$2:$AL$2,0))</f>
        <v>33401</v>
      </c>
      <c r="AB219" s="268">
        <f>AA219</f>
        <v>33401</v>
      </c>
      <c r="AC219" s="301">
        <f>INDEX('Inputs (2)'!$D$35:$AL$35,MATCH(AC$7,'Inputs (2)'!$D$2:$AL$2,0))</f>
        <v>36520</v>
      </c>
      <c r="AD219" s="301">
        <f>INDEX('Inputs (2)'!$D$35:$AL$35,MATCH(AD$7,'Inputs (2)'!$D$2:$AL$2,0))</f>
        <v>35640</v>
      </c>
      <c r="AE219" s="301">
        <f>INDEX('Inputs (2)'!$D$35:$AL$35,MATCH(AE$7,'Inputs (2)'!$D$2:$AL$2,0))</f>
        <v>34445</v>
      </c>
      <c r="AF219" s="301">
        <f>INDEX('Inputs (2)'!$D$35:$AL$35,MATCH(AF$7,'Inputs (2)'!$D$2:$AL$2,0))</f>
        <v>34624</v>
      </c>
      <c r="AG219" s="268">
        <f>AF219</f>
        <v>34624</v>
      </c>
      <c r="AH219" s="268">
        <f>INDEX('Inputs (2)'!$D$35:$AL$35,MATCH(AH$7,'Inputs (2)'!$D$2:$AL$2,0))</f>
        <v>36887</v>
      </c>
      <c r="AI219" s="268">
        <f>INDEX('Inputs (2)'!$D$35:$AL$35,MATCH(AI$7,'Inputs (2)'!$D$2:$AL$2,0))</f>
        <v>36462</v>
      </c>
      <c r="AJ219" s="268">
        <f>AJ225</f>
        <v>36462</v>
      </c>
      <c r="AK219" s="268">
        <f>AK225</f>
        <v>36462</v>
      </c>
      <c r="AL219" s="268">
        <f>AK219</f>
        <v>36462</v>
      </c>
      <c r="AM219" s="268">
        <f>AM225</f>
        <v>36462</v>
      </c>
      <c r="AN219" s="268">
        <f>AN225</f>
        <v>36462</v>
      </c>
      <c r="AO219" s="268">
        <f>AO225</f>
        <v>36462</v>
      </c>
      <c r="AP219" s="268">
        <f>AP225</f>
        <v>36462</v>
      </c>
      <c r="AQ219" s="268">
        <f>AP219</f>
        <v>36462</v>
      </c>
      <c r="AR219" s="268">
        <f>AR225</f>
        <v>36462</v>
      </c>
      <c r="AS219" s="268">
        <f>AS225</f>
        <v>36462</v>
      </c>
      <c r="AT219" s="268">
        <f>AT225</f>
        <v>36462</v>
      </c>
      <c r="AU219" s="268">
        <f>AU225</f>
        <v>36462</v>
      </c>
      <c r="AV219" s="268">
        <f>AU219</f>
        <v>36462</v>
      </c>
      <c r="AW219" s="268">
        <f>AW225</f>
        <v>36462</v>
      </c>
      <c r="AX219" s="268">
        <f>AX225</f>
        <v>36462</v>
      </c>
      <c r="AY219" s="268">
        <f>AY225</f>
        <v>36462</v>
      </c>
      <c r="AZ219" s="268">
        <f>AZ225</f>
        <v>36462</v>
      </c>
      <c r="BA219" s="268">
        <f>AZ219</f>
        <v>36462</v>
      </c>
      <c r="BB219" s="268">
        <f>BB225</f>
        <v>36462</v>
      </c>
      <c r="BC219" s="268">
        <f>BC225</f>
        <v>36462</v>
      </c>
      <c r="BD219" s="268">
        <f>BD225</f>
        <v>36462</v>
      </c>
      <c r="BE219" s="268">
        <f>BE225</f>
        <v>36462</v>
      </c>
      <c r="BF219" s="268">
        <f>BE219</f>
        <v>36462</v>
      </c>
      <c r="BG219" s="268">
        <f>BG225</f>
        <v>36462</v>
      </c>
      <c r="BH219" s="268">
        <f>BH225</f>
        <v>36462</v>
      </c>
      <c r="BI219" s="268">
        <f>BI225</f>
        <v>36462</v>
      </c>
      <c r="BJ219" s="268">
        <f>BJ225</f>
        <v>36462</v>
      </c>
      <c r="BK219" s="268">
        <f>BJ219</f>
        <v>36462</v>
      </c>
      <c r="BL219" s="268">
        <f>BL225</f>
        <v>36462</v>
      </c>
      <c r="BM219" s="268">
        <f>BM225</f>
        <v>36462</v>
      </c>
      <c r="BN219" s="268">
        <f>BN225</f>
        <v>36462</v>
      </c>
      <c r="BO219" s="268">
        <f>BO225</f>
        <v>36462</v>
      </c>
      <c r="BP219" s="268">
        <f>BO219</f>
        <v>36462</v>
      </c>
      <c r="BQ219" s="268">
        <f>BQ225</f>
        <v>36462</v>
      </c>
      <c r="BR219" s="268">
        <f>BR225</f>
        <v>36462</v>
      </c>
      <c r="BS219" s="268">
        <f>BS225</f>
        <v>36462</v>
      </c>
      <c r="BT219" s="268">
        <f>BT225</f>
        <v>36462</v>
      </c>
      <c r="BU219" s="268">
        <f>BT219</f>
        <v>36462</v>
      </c>
      <c r="BV219" s="268">
        <f>BV225</f>
        <v>36462</v>
      </c>
      <c r="BW219" s="268">
        <f>BW225</f>
        <v>36462</v>
      </c>
      <c r="BX219" s="268">
        <f>BX225</f>
        <v>36462</v>
      </c>
      <c r="BY219" s="268">
        <f>BY225</f>
        <v>36462</v>
      </c>
      <c r="BZ219" s="268">
        <f>BY219</f>
        <v>36462</v>
      </c>
      <c r="CA219" s="268">
        <f>CA225</f>
        <v>36462</v>
      </c>
      <c r="CB219" s="268">
        <f>CB225</f>
        <v>36462</v>
      </c>
      <c r="CC219" s="268">
        <f>CC225</f>
        <v>36462</v>
      </c>
      <c r="CD219" s="268">
        <f>CD225</f>
        <v>36462</v>
      </c>
      <c r="CE219" s="268">
        <f>CD219</f>
        <v>36462</v>
      </c>
      <c r="CF219" s="268">
        <f>CF225</f>
        <v>36462</v>
      </c>
      <c r="CG219" s="268">
        <f>CG225</f>
        <v>36462</v>
      </c>
      <c r="CH219" s="268">
        <f>CH225</f>
        <v>36462</v>
      </c>
      <c r="CI219" s="268">
        <f>CI225</f>
        <v>36462</v>
      </c>
      <c r="CJ219" s="268">
        <f>CI219</f>
        <v>36462</v>
      </c>
      <c r="CK219" s="268">
        <f>CK225</f>
        <v>36462</v>
      </c>
      <c r="CL219" s="268">
        <f>CL225</f>
        <v>36462</v>
      </c>
      <c r="CM219" s="268">
        <f>CM225</f>
        <v>36462</v>
      </c>
      <c r="CN219" s="268">
        <f>CN225</f>
        <v>36462</v>
      </c>
      <c r="CO219" s="268">
        <f>CN219</f>
        <v>36462</v>
      </c>
      <c r="CP219" s="268">
        <f>CP225</f>
        <v>36462</v>
      </c>
      <c r="CQ219" s="268">
        <f>CQ225</f>
        <v>36462</v>
      </c>
      <c r="CR219" s="268">
        <f>CR225</f>
        <v>36462</v>
      </c>
      <c r="CS219" s="268">
        <f>CS225</f>
        <v>36462</v>
      </c>
      <c r="CT219" s="268">
        <f>CS219</f>
        <v>36462</v>
      </c>
      <c r="CU219" s="268">
        <f>CU225</f>
        <v>36462</v>
      </c>
      <c r="CV219" s="268">
        <f>CV225</f>
        <v>36462</v>
      </c>
      <c r="CW219" s="268">
        <f>CW225</f>
        <v>36462</v>
      </c>
      <c r="CX219" s="268">
        <f>CX225</f>
        <v>36462</v>
      </c>
      <c r="CY219" s="268">
        <f>CX219</f>
        <v>36462</v>
      </c>
    </row>
    <row r="220" hidden="1" outlineLevel="1" ht="12.75" customHeight="1" s="255">
      <c r="C220" s="312" t="n"/>
      <c r="D220" s="268" t="n"/>
      <c r="E220" s="268" t="n"/>
      <c r="F220" s="268" t="n"/>
      <c r="G220" s="268" t="n"/>
      <c r="H220" s="268" t="n"/>
      <c r="I220" s="268" t="n"/>
      <c r="J220" s="268" t="n"/>
      <c r="K220" s="268" t="n"/>
      <c r="L220" s="268" t="n"/>
      <c r="M220" s="268" t="n"/>
      <c r="N220" s="268" t="n"/>
      <c r="O220" s="268" t="n"/>
      <c r="P220" s="268" t="n"/>
      <c r="Q220" s="268" t="n"/>
      <c r="R220" s="268" t="n"/>
      <c r="S220" s="268" t="n"/>
      <c r="T220" s="268" t="n"/>
      <c r="U220" s="268" t="n"/>
      <c r="V220" s="268" t="n"/>
      <c r="W220" s="268" t="n"/>
      <c r="X220" s="268" t="n"/>
      <c r="Y220" s="268" t="n"/>
      <c r="Z220" s="268" t="n"/>
      <c r="AA220" s="268" t="n"/>
      <c r="AB220" s="268" t="n"/>
      <c r="AC220" s="268" t="n"/>
      <c r="AD220" s="268" t="n"/>
      <c r="AE220" s="268" t="n"/>
      <c r="AF220" s="268" t="n"/>
      <c r="AG220" s="268" t="n"/>
      <c r="AH220" s="268" t="n"/>
      <c r="AI220" s="268" t="n"/>
      <c r="AJ220" s="268" t="n"/>
      <c r="AK220" s="268" t="n"/>
      <c r="AL220" s="268" t="n"/>
      <c r="AM220" s="268" t="n"/>
      <c r="AN220" s="268" t="n"/>
      <c r="AO220" s="268" t="n"/>
      <c r="AP220" s="268" t="n"/>
      <c r="AQ220" s="268" t="n"/>
      <c r="AR220" s="268" t="n"/>
      <c r="AS220" s="268" t="n"/>
      <c r="AT220" s="268" t="n"/>
      <c r="AU220" s="268" t="n"/>
      <c r="AV220" s="268" t="n"/>
      <c r="AW220" s="268" t="n"/>
      <c r="AX220" s="268" t="n"/>
      <c r="AY220" s="268" t="n"/>
      <c r="AZ220" s="268" t="n"/>
      <c r="BA220" s="268" t="n"/>
      <c r="BB220" s="268" t="n"/>
      <c r="BC220" s="268" t="n"/>
      <c r="BD220" s="268" t="n"/>
      <c r="BE220" s="268" t="n"/>
      <c r="BF220" s="268" t="n"/>
      <c r="BG220" s="268" t="n"/>
      <c r="BH220" s="268" t="n"/>
      <c r="BI220" s="268" t="n"/>
      <c r="BJ220" s="268" t="n"/>
      <c r="BK220" s="268" t="n"/>
      <c r="BL220" s="268" t="n"/>
      <c r="BM220" s="268" t="n"/>
      <c r="BN220" s="268" t="n"/>
      <c r="BO220" s="268" t="n"/>
      <c r="BP220" s="268" t="n"/>
      <c r="BQ220" s="268" t="n"/>
      <c r="BR220" s="268" t="n"/>
      <c r="BS220" s="268" t="n"/>
      <c r="BT220" s="268" t="n"/>
      <c r="BU220" s="268" t="n"/>
      <c r="BV220" s="268" t="n"/>
      <c r="BW220" s="268" t="n"/>
      <c r="BX220" s="268" t="n"/>
      <c r="BY220" s="268" t="n"/>
      <c r="BZ220" s="268" t="n"/>
      <c r="CA220" s="268" t="n"/>
      <c r="CB220" s="268" t="n"/>
      <c r="CC220" s="268" t="n"/>
      <c r="CD220" s="268" t="n"/>
      <c r="CE220" s="268" t="n"/>
      <c r="CF220" s="268" t="n"/>
      <c r="CG220" s="268" t="n"/>
      <c r="CH220" s="268" t="n"/>
      <c r="CI220" s="268" t="n"/>
      <c r="CJ220" s="268" t="n"/>
      <c r="CK220" s="268" t="n"/>
      <c r="CL220" s="268" t="n"/>
      <c r="CM220" s="268" t="n"/>
      <c r="CN220" s="268" t="n"/>
      <c r="CO220" s="268" t="n"/>
      <c r="CP220" s="268" t="n"/>
      <c r="CQ220" s="268" t="n"/>
      <c r="CR220" s="268" t="n"/>
      <c r="CS220" s="268" t="n"/>
      <c r="CT220" s="268" t="n"/>
      <c r="CU220" s="268" t="n"/>
      <c r="CV220" s="268" t="n"/>
      <c r="CW220" s="268" t="n"/>
      <c r="CX220" s="268" t="n"/>
      <c r="CY220" s="268" t="n"/>
    </row>
    <row r="221" hidden="1" outlineLevel="1" ht="12.75" customHeight="1" s="255">
      <c r="C221" s="312" t="inlineStr">
        <is>
          <t>Current portion of LTD</t>
        </is>
      </c>
      <c r="D221" s="268" t="n"/>
      <c r="E221" s="268" t="n"/>
      <c r="F221" s="268" t="n"/>
      <c r="G221" s="268" t="n"/>
      <c r="H221" s="268" t="n"/>
      <c r="I221" s="268" t="n"/>
      <c r="J221" s="268" t="n"/>
      <c r="K221" s="268" t="n"/>
      <c r="L221" s="268" t="n"/>
      <c r="M221" s="268" t="n"/>
      <c r="N221" s="268" t="n"/>
      <c r="O221" s="268" t="n"/>
      <c r="P221" s="268" t="n"/>
      <c r="Q221" s="268" t="n"/>
      <c r="R221" s="268" t="n"/>
      <c r="S221" s="268" t="n"/>
      <c r="T221" s="268" t="n"/>
      <c r="U221" s="268" t="n"/>
      <c r="V221" s="268" t="n"/>
      <c r="W221" s="268" t="n"/>
      <c r="X221" s="268" t="n"/>
      <c r="Y221" s="268" t="n"/>
      <c r="Z221" s="268" t="n"/>
      <c r="AA221" s="268" t="n"/>
      <c r="AB221" s="268" t="n"/>
      <c r="AC221" s="268" t="n"/>
      <c r="AD221" s="268" t="n"/>
      <c r="AE221" s="268" t="n"/>
      <c r="AF221" s="268" t="n"/>
      <c r="AG221" s="268" t="n"/>
      <c r="AH221" s="268">
        <f>AF214</f>
        <v>10138</v>
      </c>
      <c r="AI221" s="317" t="n"/>
      <c r="AJ221" s="317" t="n"/>
      <c r="AK221" s="317" t="n"/>
      <c r="AL221" s="268" t="n"/>
      <c r="AM221" s="268">
        <f>AK214</f>
        <v>13949</v>
      </c>
      <c r="AN221" s="317" t="n"/>
      <c r="AO221" s="317" t="n"/>
      <c r="AP221" s="317" t="n"/>
      <c r="AQ221" s="268" t="n"/>
      <c r="AR221" s="268">
        <f>AP214</f>
        <v>13949</v>
      </c>
      <c r="AS221" s="317" t="n"/>
      <c r="AT221" s="317" t="n"/>
      <c r="AU221" s="317" t="n"/>
      <c r="AV221" s="268" t="n"/>
      <c r="AW221" s="268">
        <f>AU214</f>
        <v>13949</v>
      </c>
      <c r="AX221" s="317" t="n"/>
      <c r="AY221" s="317" t="n"/>
      <c r="AZ221" s="317" t="n"/>
      <c r="BA221" s="268" t="n"/>
      <c r="BB221" s="268">
        <f>AZ214</f>
        <v>13949</v>
      </c>
      <c r="BC221" s="317" t="n"/>
      <c r="BD221" s="317" t="n"/>
      <c r="BE221" s="317" t="n"/>
      <c r="BF221" s="268" t="n"/>
      <c r="BG221" s="268">
        <f>BE214</f>
        <v>13949</v>
      </c>
      <c r="BH221" s="317" t="n"/>
      <c r="BI221" s="317" t="n"/>
      <c r="BJ221" s="317" t="n"/>
      <c r="BK221" s="268" t="n"/>
      <c r="BL221" s="268">
        <f>BJ214</f>
        <v>13949</v>
      </c>
      <c r="BM221" s="317" t="n"/>
      <c r="BN221" s="317" t="n"/>
      <c r="BO221" s="317" t="n"/>
      <c r="BP221" s="268" t="n"/>
      <c r="BQ221" s="268">
        <f>BO214</f>
        <v>13949</v>
      </c>
      <c r="BR221" s="317" t="n"/>
      <c r="BS221" s="317" t="n"/>
      <c r="BT221" s="317" t="n"/>
      <c r="BU221" s="268" t="n"/>
      <c r="BV221" s="268">
        <f>BT214</f>
        <v>13949</v>
      </c>
      <c r="BW221" s="317" t="n"/>
      <c r="BX221" s="317" t="n"/>
      <c r="BY221" s="317" t="n"/>
      <c r="BZ221" s="268" t="n"/>
      <c r="CA221" s="268">
        <f>BY214</f>
        <v>13949</v>
      </c>
      <c r="CB221" s="317" t="n"/>
      <c r="CC221" s="317" t="n"/>
      <c r="CD221" s="317" t="n"/>
      <c r="CE221" s="268" t="n"/>
      <c r="CF221" s="268">
        <f>CD214</f>
        <v>13949</v>
      </c>
      <c r="CG221" s="317" t="n"/>
      <c r="CH221" s="317" t="n"/>
      <c r="CI221" s="317" t="n"/>
      <c r="CJ221" s="268" t="n"/>
      <c r="CK221" s="268">
        <f>CI214</f>
        <v>13949</v>
      </c>
      <c r="CL221" s="317" t="n"/>
      <c r="CM221" s="317" t="n"/>
      <c r="CN221" s="317" t="n"/>
      <c r="CO221" s="268" t="n"/>
      <c r="CP221" s="268">
        <f>CN214</f>
        <v>13949</v>
      </c>
      <c r="CQ221" s="317" t="n"/>
      <c r="CR221" s="317" t="n"/>
      <c r="CS221" s="317" t="n"/>
      <c r="CT221" s="268" t="n"/>
      <c r="CU221" s="268">
        <f>CS214</f>
        <v>13949</v>
      </c>
      <c r="CV221" s="317" t="n"/>
      <c r="CW221" s="317" t="n"/>
      <c r="CX221" s="317" t="n"/>
      <c r="CY221" s="268" t="n"/>
    </row>
    <row r="222" hidden="1" outlineLevel="1" ht="12.75" customHeight="1" s="255">
      <c r="C222" s="312" t="n"/>
      <c r="D222" s="268" t="n"/>
      <c r="E222" s="268" t="n"/>
      <c r="F222" s="268" t="n"/>
      <c r="G222" s="268" t="n"/>
      <c r="H222" s="268" t="n"/>
      <c r="I222" s="268" t="n"/>
      <c r="J222" s="268" t="n"/>
      <c r="K222" s="268" t="n"/>
      <c r="L222" s="268" t="n"/>
      <c r="M222" s="268" t="n"/>
      <c r="N222" s="268" t="n"/>
      <c r="O222" s="268" t="n"/>
      <c r="P222" s="268" t="n"/>
      <c r="Q222" s="268" t="n"/>
      <c r="R222" s="268" t="n"/>
      <c r="S222" s="268" t="n"/>
      <c r="T222" s="268" t="n"/>
      <c r="U222" s="268" t="n"/>
      <c r="V222" s="268" t="n"/>
      <c r="W222" s="268" t="n"/>
      <c r="X222" s="268" t="n"/>
      <c r="Y222" s="268" t="n"/>
      <c r="Z222" s="268" t="n"/>
      <c r="AA222" s="268" t="n"/>
      <c r="AB222" s="268" t="n"/>
      <c r="AC222" s="268" t="n"/>
      <c r="AD222" s="268" t="n"/>
      <c r="AE222" s="268" t="n"/>
      <c r="AF222" s="268" t="n"/>
      <c r="AG222" s="268" t="n"/>
      <c r="AH222" s="268" t="n"/>
      <c r="AI222" s="268" t="n"/>
      <c r="AJ222" s="268" t="n"/>
      <c r="AK222" s="268" t="n"/>
      <c r="AL222" s="268" t="n"/>
      <c r="AM222" s="268" t="n"/>
      <c r="AN222" s="268" t="n"/>
      <c r="AO222" s="268" t="n"/>
      <c r="AP222" s="268" t="n"/>
      <c r="AQ222" s="268" t="n"/>
      <c r="AR222" s="268" t="n"/>
      <c r="AS222" s="268" t="n"/>
      <c r="AT222" s="268" t="n"/>
      <c r="AU222" s="268" t="n"/>
      <c r="AV222" s="268" t="n"/>
      <c r="AW222" s="268" t="n"/>
      <c r="AX222" s="268" t="n"/>
      <c r="AY222" s="268" t="n"/>
      <c r="AZ222" s="268" t="n"/>
      <c r="BA222" s="268" t="n"/>
      <c r="BB222" s="268" t="n"/>
      <c r="BC222" s="268" t="n"/>
      <c r="BD222" s="268" t="n"/>
      <c r="BE222" s="268" t="n"/>
      <c r="BF222" s="268" t="n"/>
      <c r="BG222" s="268" t="n"/>
      <c r="BH222" s="268" t="n"/>
      <c r="BI222" s="268" t="n"/>
      <c r="BJ222" s="268" t="n"/>
      <c r="BK222" s="268" t="n"/>
      <c r="BL222" s="268" t="n"/>
      <c r="BM222" s="268" t="n"/>
      <c r="BN222" s="268" t="n"/>
      <c r="BO222" s="268" t="n"/>
      <c r="BP222" s="268" t="n"/>
      <c r="BQ222" s="268" t="n"/>
      <c r="BR222" s="268" t="n"/>
      <c r="BS222" s="268" t="n"/>
      <c r="BT222" s="268" t="n"/>
      <c r="BU222" s="268" t="n"/>
      <c r="BV222" s="268" t="n"/>
      <c r="BW222" s="268" t="n"/>
      <c r="BX222" s="268" t="n"/>
      <c r="BY222" s="268" t="n"/>
      <c r="BZ222" s="268" t="n"/>
      <c r="CA222" s="268" t="n"/>
      <c r="CB222" s="268" t="n"/>
      <c r="CC222" s="268" t="n"/>
      <c r="CD222" s="268" t="n"/>
      <c r="CE222" s="268" t="n"/>
      <c r="CF222" s="268" t="n"/>
      <c r="CG222" s="268" t="n"/>
      <c r="CH222" s="268" t="n"/>
      <c r="CI222" s="268" t="n"/>
      <c r="CJ222" s="268" t="n"/>
      <c r="CK222" s="268" t="n"/>
      <c r="CL222" s="268" t="n"/>
      <c r="CM222" s="268" t="n"/>
      <c r="CN222" s="268" t="n"/>
      <c r="CO222" s="268" t="n"/>
      <c r="CP222" s="268" t="n"/>
      <c r="CQ222" s="268" t="n"/>
      <c r="CR222" s="268" t="n"/>
      <c r="CS222" s="268" t="n"/>
      <c r="CT222" s="268" t="n"/>
      <c r="CU222" s="268" t="n"/>
      <c r="CV222" s="268" t="n"/>
      <c r="CW222" s="268" t="n"/>
      <c r="CX222" s="268" t="n"/>
      <c r="CY222" s="268" t="n"/>
    </row>
    <row r="223" hidden="1" outlineLevel="1" ht="12.75" customHeight="1" s="255">
      <c r="C223" s="312" t="inlineStr">
        <is>
          <t>Reclassification of LTD to CP of LTD</t>
        </is>
      </c>
      <c r="D223" s="268" t="n"/>
      <c r="E223" s="268" t="n"/>
      <c r="F223" s="268" t="n"/>
      <c r="G223" s="268" t="n"/>
      <c r="H223" s="268" t="n"/>
      <c r="I223" s="268" t="n"/>
      <c r="J223" s="268" t="n"/>
      <c r="K223" s="268" t="n"/>
      <c r="L223" s="268" t="n"/>
      <c r="M223" s="268" t="n"/>
      <c r="N223" s="268" t="n"/>
      <c r="O223" s="268" t="n"/>
      <c r="P223" s="268" t="n"/>
      <c r="Q223" s="268" t="n"/>
      <c r="R223" s="268" t="n"/>
      <c r="S223" s="268" t="n"/>
      <c r="T223" s="268" t="n"/>
      <c r="U223" s="268" t="n"/>
      <c r="V223" s="268" t="n"/>
      <c r="W223" s="268" t="n"/>
      <c r="X223" s="268" t="n"/>
      <c r="Y223" s="268" t="n"/>
      <c r="Z223" s="268" t="n"/>
      <c r="AA223" s="268" t="n"/>
      <c r="AB223" s="268" t="n"/>
      <c r="AC223" s="268" t="n"/>
      <c r="AD223" s="268" t="n"/>
      <c r="AE223" s="268" t="n"/>
      <c r="AF223" s="268" t="n"/>
      <c r="AG223" s="268" t="n"/>
      <c r="AH223" s="268" t="n"/>
      <c r="AI223" s="268">
        <f>-AI221</f>
        <v>0</v>
      </c>
      <c r="AJ223" s="268">
        <f>-AJ221</f>
        <v>0</v>
      </c>
      <c r="AK223" s="268">
        <f>-AK221</f>
        <v>0</v>
      </c>
      <c r="AL223" s="268" t="n"/>
      <c r="AM223" s="268" t="n"/>
      <c r="AN223" s="268">
        <f>-AN221</f>
        <v>0</v>
      </c>
      <c r="AO223" s="268">
        <f>-AO221</f>
        <v>0</v>
      </c>
      <c r="AP223" s="268">
        <f>-AP221</f>
        <v>0</v>
      </c>
      <c r="AQ223" s="268" t="n"/>
      <c r="AR223" s="268" t="n"/>
      <c r="AS223" s="268">
        <f>-AS221</f>
        <v>0</v>
      </c>
      <c r="AT223" s="268">
        <f>-AT221</f>
        <v>0</v>
      </c>
      <c r="AU223" s="268">
        <f>-AU221</f>
        <v>0</v>
      </c>
      <c r="AV223" s="268" t="n"/>
      <c r="AW223" s="268" t="n"/>
      <c r="AX223" s="268">
        <f>-AX221</f>
        <v>0</v>
      </c>
      <c r="AY223" s="268">
        <f>-AY221</f>
        <v>0</v>
      </c>
      <c r="AZ223" s="268">
        <f>-AZ221</f>
        <v>0</v>
      </c>
      <c r="BA223" s="268" t="n"/>
      <c r="BB223" s="268" t="n"/>
      <c r="BC223" s="268">
        <f>-BC221</f>
        <v>0</v>
      </c>
      <c r="BD223" s="268">
        <f>-BD221</f>
        <v>0</v>
      </c>
      <c r="BE223" s="268">
        <f>-BE221</f>
        <v>0</v>
      </c>
      <c r="BF223" s="268" t="n"/>
      <c r="BG223" s="268" t="n"/>
      <c r="BH223" s="268">
        <f>-BH221</f>
        <v>0</v>
      </c>
      <c r="BI223" s="268">
        <f>-BI221</f>
        <v>0</v>
      </c>
      <c r="BJ223" s="268">
        <f>-BJ221</f>
        <v>0</v>
      </c>
      <c r="BK223" s="268" t="n"/>
      <c r="BL223" s="268" t="n"/>
      <c r="BM223" s="268">
        <f>-BM221</f>
        <v>0</v>
      </c>
      <c r="BN223" s="268">
        <f>-BN221</f>
        <v>0</v>
      </c>
      <c r="BO223" s="268">
        <f>-BO221</f>
        <v>0</v>
      </c>
      <c r="BP223" s="268" t="n"/>
      <c r="BQ223" s="268" t="n"/>
      <c r="BR223" s="268">
        <f>-BR221</f>
        <v>0</v>
      </c>
      <c r="BS223" s="268">
        <f>-BS221</f>
        <v>0</v>
      </c>
      <c r="BT223" s="268">
        <f>-BT221</f>
        <v>0</v>
      </c>
      <c r="BU223" s="268" t="n"/>
      <c r="BV223" s="268" t="n"/>
      <c r="BW223" s="268">
        <f>-BW221</f>
        <v>0</v>
      </c>
      <c r="BX223" s="268">
        <f>-BX221</f>
        <v>0</v>
      </c>
      <c r="BY223" s="268">
        <f>-BY221</f>
        <v>0</v>
      </c>
      <c r="BZ223" s="268" t="n"/>
      <c r="CA223" s="268" t="n"/>
      <c r="CB223" s="268">
        <f>-CB221</f>
        <v>0</v>
      </c>
      <c r="CC223" s="268">
        <f>-CC221</f>
        <v>0</v>
      </c>
      <c r="CD223" s="268">
        <f>-CD221</f>
        <v>0</v>
      </c>
      <c r="CE223" s="268" t="n"/>
      <c r="CF223" s="268" t="n"/>
      <c r="CG223" s="268">
        <f>-CG221</f>
        <v>0</v>
      </c>
      <c r="CH223" s="268">
        <f>-CH221</f>
        <v>0</v>
      </c>
      <c r="CI223" s="268">
        <f>-CI221</f>
        <v>0</v>
      </c>
      <c r="CJ223" s="268" t="n"/>
      <c r="CK223" s="268" t="n"/>
      <c r="CL223" s="268">
        <f>-CL221</f>
        <v>0</v>
      </c>
      <c r="CM223" s="268">
        <f>-CM221</f>
        <v>0</v>
      </c>
      <c r="CN223" s="268">
        <f>-CN221</f>
        <v>0</v>
      </c>
      <c r="CO223" s="268" t="n"/>
      <c r="CP223" s="268" t="n"/>
      <c r="CQ223" s="268">
        <f>-CQ221</f>
        <v>0</v>
      </c>
      <c r="CR223" s="268">
        <f>-CR221</f>
        <v>0</v>
      </c>
      <c r="CS223" s="268">
        <f>-CS221</f>
        <v>0</v>
      </c>
      <c r="CT223" s="268" t="n"/>
      <c r="CU223" s="268" t="n"/>
      <c r="CV223" s="268">
        <f>-CV221</f>
        <v>0</v>
      </c>
      <c r="CW223" s="268">
        <f>-CW221</f>
        <v>0</v>
      </c>
      <c r="CX223" s="268">
        <f>-CX221</f>
        <v>0</v>
      </c>
      <c r="CY223" s="268" t="n"/>
    </row>
    <row r="224" hidden="1" outlineLevel="1" ht="12.75" customHeight="1" s="255">
      <c r="C224" s="312" t="inlineStr">
        <is>
          <t>Discretionary (paydown)/borrowing of long term debt</t>
        </is>
      </c>
      <c r="D224" s="268" t="n"/>
      <c r="E224" s="268" t="n"/>
      <c r="F224" s="268" t="n"/>
      <c r="G224" s="268" t="n"/>
      <c r="H224" s="268" t="n"/>
      <c r="I224" s="268" t="n"/>
      <c r="J224" s="268" t="n"/>
      <c r="K224" s="268" t="n"/>
      <c r="L224" s="268" t="n"/>
      <c r="M224" s="268" t="n"/>
      <c r="N224" s="268" t="n"/>
      <c r="O224" s="268" t="n"/>
      <c r="P224" s="268" t="n"/>
      <c r="Q224" s="268" t="n"/>
      <c r="R224" s="268" t="n"/>
      <c r="S224" s="268" t="n"/>
      <c r="T224" s="268" t="n"/>
      <c r="U224" s="268" t="n"/>
      <c r="V224" s="268" t="n"/>
      <c r="W224" s="268" t="n"/>
      <c r="X224" s="268" t="n"/>
      <c r="Y224" s="268" t="n"/>
      <c r="Z224" s="268" t="n"/>
      <c r="AA224" s="268" t="n"/>
      <c r="AB224" s="268" t="n"/>
      <c r="AC224" s="268" t="n"/>
      <c r="AD224" s="268" t="n"/>
      <c r="AE224" s="268" t="n"/>
      <c r="AF224" s="268" t="n"/>
      <c r="AG224" s="268" t="n"/>
      <c r="AH224" s="317" t="n"/>
      <c r="AI224" s="317" t="n"/>
      <c r="AJ224" s="317" t="n"/>
      <c r="AK224" s="317" t="n"/>
      <c r="AL224" s="268" t="n"/>
      <c r="AM224" s="317" t="n"/>
      <c r="AN224" s="317" t="n"/>
      <c r="AO224" s="317" t="n"/>
      <c r="AP224" s="317" t="n"/>
      <c r="AQ224" s="268" t="n"/>
      <c r="AR224" s="317" t="n"/>
      <c r="AS224" s="317" t="n"/>
      <c r="AT224" s="317" t="n"/>
      <c r="AU224" s="317" t="n"/>
      <c r="AV224" s="268" t="n"/>
      <c r="AW224" s="317" t="n"/>
      <c r="AX224" s="317" t="n"/>
      <c r="AY224" s="317" t="n"/>
      <c r="AZ224" s="317" t="n"/>
      <c r="BA224" s="268" t="n"/>
      <c r="BB224" s="317" t="n"/>
      <c r="BC224" s="317" t="n"/>
      <c r="BD224" s="317" t="n"/>
      <c r="BE224" s="317" t="n"/>
      <c r="BF224" s="268" t="n"/>
      <c r="BG224" s="317" t="n"/>
      <c r="BH224" s="317" t="n"/>
      <c r="BI224" s="317" t="n"/>
      <c r="BJ224" s="317" t="n"/>
      <c r="BK224" s="268" t="n"/>
      <c r="BL224" s="317" t="n"/>
      <c r="BM224" s="317" t="n"/>
      <c r="BN224" s="317" t="n"/>
      <c r="BO224" s="317" t="n"/>
      <c r="BP224" s="268" t="n"/>
      <c r="BQ224" s="317" t="n"/>
      <c r="BR224" s="317" t="n"/>
      <c r="BS224" s="317" t="n"/>
      <c r="BT224" s="317" t="n"/>
      <c r="BU224" s="268" t="n"/>
      <c r="BV224" s="317" t="n"/>
      <c r="BW224" s="317" t="n"/>
      <c r="BX224" s="317" t="n"/>
      <c r="BY224" s="317" t="n"/>
      <c r="BZ224" s="268" t="n"/>
      <c r="CA224" s="317" t="n"/>
      <c r="CB224" s="317" t="n"/>
      <c r="CC224" s="317" t="n"/>
      <c r="CD224" s="317" t="n"/>
      <c r="CE224" s="268" t="n"/>
      <c r="CF224" s="317" t="n"/>
      <c r="CG224" s="317" t="n"/>
      <c r="CH224" s="317" t="n"/>
      <c r="CI224" s="317" t="n"/>
      <c r="CJ224" s="268" t="n"/>
      <c r="CK224" s="317" t="n"/>
      <c r="CL224" s="317" t="n"/>
      <c r="CM224" s="317" t="n"/>
      <c r="CN224" s="317" t="n"/>
      <c r="CO224" s="268" t="n"/>
      <c r="CP224" s="317" t="n"/>
      <c r="CQ224" s="317" t="n"/>
      <c r="CR224" s="317" t="n"/>
      <c r="CS224" s="317" t="n"/>
      <c r="CT224" s="268" t="n"/>
      <c r="CU224" s="317" t="n"/>
      <c r="CV224" s="317" t="n"/>
      <c r="CW224" s="317" t="n"/>
      <c r="CX224" s="317" t="n"/>
      <c r="CY224" s="268" t="n"/>
    </row>
    <row r="225" hidden="1" outlineLevel="1" ht="12.75" customHeight="1" s="255">
      <c r="C225" s="312" t="inlineStr">
        <is>
          <t>Long term debt</t>
        </is>
      </c>
      <c r="D225" s="268" t="n"/>
      <c r="E225" s="268" t="n"/>
      <c r="F225" s="268" t="n"/>
      <c r="G225" s="268" t="n"/>
      <c r="H225" s="268" t="n"/>
      <c r="I225" s="268" t="n"/>
      <c r="J225" s="268" t="n"/>
      <c r="K225" s="268" t="n"/>
      <c r="L225" s="268" t="n"/>
      <c r="M225" s="268" t="n"/>
      <c r="N225" s="268" t="n"/>
      <c r="O225" s="268" t="n"/>
      <c r="P225" s="268" t="n"/>
      <c r="Q225" s="268" t="n"/>
      <c r="R225" s="268" t="n"/>
      <c r="S225" s="268" t="n"/>
      <c r="T225" s="268" t="n"/>
      <c r="U225" s="268" t="n"/>
      <c r="V225" s="268" t="n"/>
      <c r="W225" s="268" t="n"/>
      <c r="X225" s="268" t="n"/>
      <c r="Y225" s="268" t="n"/>
      <c r="Z225" s="268" t="n"/>
      <c r="AA225" s="268" t="n"/>
      <c r="AB225" s="268" t="n"/>
      <c r="AC225" s="268" t="n"/>
      <c r="AD225" s="268" t="n"/>
      <c r="AE225" s="268" t="n"/>
      <c r="AF225" s="268" t="n"/>
      <c r="AG225" s="268" t="n"/>
      <c r="AH225" s="268">
        <f>AF219+SUM(AH223:AH224)</f>
        <v>34624</v>
      </c>
      <c r="AI225" s="268">
        <f>AH225+SUM(AI223:AI224)</f>
        <v>34624</v>
      </c>
      <c r="AJ225" s="268">
        <f>AI219+SUM(AJ223:AJ224)</f>
        <v>36462</v>
      </c>
      <c r="AK225" s="268">
        <f>AJ225+SUM(AK223:AK224)</f>
        <v>36462</v>
      </c>
      <c r="AL225" s="268" t="n"/>
      <c r="AM225" s="268">
        <f>AK225+SUM(AM223:AM224)</f>
        <v>36462</v>
      </c>
      <c r="AN225" s="268">
        <f>AM225+SUM(AN223:AN224)</f>
        <v>36462</v>
      </c>
      <c r="AO225" s="268">
        <f>AN225+SUM(AO223:AO224)</f>
        <v>36462</v>
      </c>
      <c r="AP225" s="268">
        <f>AO225+SUM(AP223:AP224)</f>
        <v>36462</v>
      </c>
      <c r="AQ225" s="268" t="n"/>
      <c r="AR225" s="268">
        <f>AP225+SUM(AR223:AR224)</f>
        <v>36462</v>
      </c>
      <c r="AS225" s="268">
        <f>AR225+SUM(AS223:AS224)</f>
        <v>36462</v>
      </c>
      <c r="AT225" s="268">
        <f>AS225+SUM(AT223:AT224)</f>
        <v>36462</v>
      </c>
      <c r="AU225" s="268">
        <f>AT225+SUM(AU223:AU224)</f>
        <v>36462</v>
      </c>
      <c r="AV225" s="268" t="n"/>
      <c r="AW225" s="268">
        <f>AU225+SUM(AW223:AW224)</f>
        <v>36462</v>
      </c>
      <c r="AX225" s="268">
        <f>AW225+SUM(AX223:AX224)</f>
        <v>36462</v>
      </c>
      <c r="AY225" s="268">
        <f>AX225+SUM(AY223:AY224)</f>
        <v>36462</v>
      </c>
      <c r="AZ225" s="268">
        <f>AY225+SUM(AZ223:AZ224)</f>
        <v>36462</v>
      </c>
      <c r="BA225" s="268" t="n"/>
      <c r="BB225" s="268">
        <f>AZ225+SUM(BB223:BB224)</f>
        <v>36462</v>
      </c>
      <c r="BC225" s="268">
        <f>BB225+SUM(BC223:BC224)</f>
        <v>36462</v>
      </c>
      <c r="BD225" s="268">
        <f>BC225+SUM(BD223:BD224)</f>
        <v>36462</v>
      </c>
      <c r="BE225" s="268">
        <f>BD225+SUM(BE223:BE224)</f>
        <v>36462</v>
      </c>
      <c r="BF225" s="268" t="n"/>
      <c r="BG225" s="268">
        <f>BE225+SUM(BG223:BG224)</f>
        <v>36462</v>
      </c>
      <c r="BH225" s="268">
        <f>BG225+SUM(BH223:BH224)</f>
        <v>36462</v>
      </c>
      <c r="BI225" s="268">
        <f>BH225+SUM(BI223:BI224)</f>
        <v>36462</v>
      </c>
      <c r="BJ225" s="268">
        <f>BI225+SUM(BJ223:BJ224)</f>
        <v>36462</v>
      </c>
      <c r="BK225" s="268" t="n"/>
      <c r="BL225" s="268">
        <f>BJ225+SUM(BL223:BL224)</f>
        <v>36462</v>
      </c>
      <c r="BM225" s="268">
        <f>BL225+SUM(BM223:BM224)</f>
        <v>36462</v>
      </c>
      <c r="BN225" s="268">
        <f>BM225+SUM(BN223:BN224)</f>
        <v>36462</v>
      </c>
      <c r="BO225" s="268">
        <f>BN225+SUM(BO223:BO224)</f>
        <v>36462</v>
      </c>
      <c r="BP225" s="268" t="n"/>
      <c r="BQ225" s="268">
        <f>BO225+SUM(BQ223:BQ224)</f>
        <v>36462</v>
      </c>
      <c r="BR225" s="268">
        <f>BQ225+SUM(BR223:BR224)</f>
        <v>36462</v>
      </c>
      <c r="BS225" s="268">
        <f>BR225+SUM(BS223:BS224)</f>
        <v>36462</v>
      </c>
      <c r="BT225" s="268">
        <f>BS225+SUM(BT223:BT224)</f>
        <v>36462</v>
      </c>
      <c r="BU225" s="268" t="n"/>
      <c r="BV225" s="268">
        <f>BT225+SUM(BV223:BV224)</f>
        <v>36462</v>
      </c>
      <c r="BW225" s="268">
        <f>BV225+SUM(BW223:BW224)</f>
        <v>36462</v>
      </c>
      <c r="BX225" s="268">
        <f>BW225+SUM(BX223:BX224)</f>
        <v>36462</v>
      </c>
      <c r="BY225" s="268">
        <f>BX225+SUM(BY223:BY224)</f>
        <v>36462</v>
      </c>
      <c r="BZ225" s="268" t="n"/>
      <c r="CA225" s="268">
        <f>BY225+SUM(CA223:CA224)</f>
        <v>36462</v>
      </c>
      <c r="CB225" s="268">
        <f>CA225+SUM(CB223:CB224)</f>
        <v>36462</v>
      </c>
      <c r="CC225" s="268">
        <f>CB225+SUM(CC223:CC224)</f>
        <v>36462</v>
      </c>
      <c r="CD225" s="268">
        <f>CC225+SUM(CD223:CD224)</f>
        <v>36462</v>
      </c>
      <c r="CE225" s="268" t="n"/>
      <c r="CF225" s="268">
        <f>CD225+SUM(CF223:CF224)</f>
        <v>36462</v>
      </c>
      <c r="CG225" s="268">
        <f>CF225+SUM(CG223:CG224)</f>
        <v>36462</v>
      </c>
      <c r="CH225" s="268">
        <f>CG225+SUM(CH223:CH224)</f>
        <v>36462</v>
      </c>
      <c r="CI225" s="268">
        <f>CH225+SUM(CI223:CI224)</f>
        <v>36462</v>
      </c>
      <c r="CJ225" s="268" t="n"/>
      <c r="CK225" s="268">
        <f>CI225+SUM(CK223:CK224)</f>
        <v>36462</v>
      </c>
      <c r="CL225" s="268">
        <f>CK225+SUM(CL223:CL224)</f>
        <v>36462</v>
      </c>
      <c r="CM225" s="268">
        <f>CL225+SUM(CM223:CM224)</f>
        <v>36462</v>
      </c>
      <c r="CN225" s="268">
        <f>CM225+SUM(CN223:CN224)</f>
        <v>36462</v>
      </c>
      <c r="CO225" s="268" t="n"/>
      <c r="CP225" s="268">
        <f>CN225+SUM(CP223:CP224)</f>
        <v>36462</v>
      </c>
      <c r="CQ225" s="268">
        <f>CP225+SUM(CQ223:CQ224)</f>
        <v>36462</v>
      </c>
      <c r="CR225" s="268">
        <f>CQ225+SUM(CR223:CR224)</f>
        <v>36462</v>
      </c>
      <c r="CS225" s="268">
        <f>CR225+SUM(CS223:CS224)</f>
        <v>36462</v>
      </c>
      <c r="CT225" s="268" t="n"/>
      <c r="CU225" s="268">
        <f>CS225+SUM(CU223:CU224)</f>
        <v>36462</v>
      </c>
      <c r="CV225" s="268">
        <f>CU225+SUM(CV223:CV224)</f>
        <v>36462</v>
      </c>
      <c r="CW225" s="268">
        <f>CV225+SUM(CW223:CW224)</f>
        <v>36462</v>
      </c>
      <c r="CX225" s="268">
        <f>CW225+SUM(CX223:CX224)</f>
        <v>36462</v>
      </c>
      <c r="CY225" s="268" t="n"/>
      <c r="CZ225" s="260">
        <f>CX225+SUM(CZ223:CZ224)</f>
        <v>36462</v>
      </c>
      <c r="DA225" s="260">
        <f>CZ225+SUM(DA223:DA224)</f>
        <v>36462</v>
      </c>
      <c r="DB225" s="260">
        <f>DA225+SUM(DB223:DB224)</f>
        <v>36462</v>
      </c>
      <c r="DC225" s="260">
        <f>DB225+SUM(DC223:DC224)</f>
        <v>36462</v>
      </c>
    </row>
    <row r="226" hidden="1" outlineLevel="1" ht="12.75" customHeight="1" s="255">
      <c r="C226" s="312" t="n"/>
      <c r="D226" s="268" t="n"/>
      <c r="E226" s="268" t="n"/>
      <c r="F226" s="268" t="n"/>
      <c r="G226" s="268" t="n"/>
      <c r="H226" s="268" t="n"/>
      <c r="I226" s="268" t="n"/>
      <c r="J226" s="268" t="n"/>
      <c r="K226" s="268" t="n"/>
      <c r="L226" s="268" t="n"/>
      <c r="M226" s="268" t="n"/>
      <c r="N226" s="268" t="n"/>
      <c r="O226" s="268" t="n"/>
      <c r="P226" s="268" t="n"/>
      <c r="Q226" s="268" t="n"/>
      <c r="R226" s="268" t="n"/>
      <c r="S226" s="268" t="n"/>
      <c r="T226" s="268" t="n"/>
      <c r="U226" s="268" t="n"/>
      <c r="V226" s="268" t="n"/>
      <c r="W226" s="268" t="n"/>
      <c r="X226" s="268" t="n"/>
      <c r="Y226" s="268" t="n"/>
      <c r="Z226" s="268" t="n"/>
      <c r="AA226" s="268" t="n"/>
      <c r="AB226" s="268" t="n"/>
      <c r="AC226" s="268" t="n"/>
      <c r="AD226" s="268" t="n"/>
      <c r="AE226" s="268" t="n"/>
      <c r="AF226" s="268" t="n"/>
      <c r="AG226" s="268" t="n"/>
      <c r="AH226" s="268" t="n"/>
      <c r="AI226" s="268" t="n"/>
      <c r="AJ226" s="268" t="n"/>
      <c r="AK226" s="268" t="n"/>
      <c r="AL226" s="268" t="n"/>
      <c r="AM226" s="268" t="n"/>
      <c r="AN226" s="268" t="n"/>
      <c r="AO226" s="268" t="n"/>
      <c r="AP226" s="268" t="n"/>
      <c r="AQ226" s="268" t="n"/>
      <c r="AR226" s="268" t="n"/>
      <c r="AS226" s="268" t="n"/>
      <c r="AT226" s="268" t="n"/>
      <c r="AU226" s="268" t="n"/>
      <c r="AV226" s="268" t="n"/>
      <c r="AW226" s="268" t="n"/>
      <c r="AX226" s="268" t="n"/>
      <c r="AY226" s="268" t="n"/>
      <c r="AZ226" s="268" t="n"/>
      <c r="BA226" s="268" t="n"/>
      <c r="BB226" s="268" t="n"/>
      <c r="BC226" s="268" t="n"/>
      <c r="BD226" s="268" t="n"/>
      <c r="BE226" s="268" t="n"/>
      <c r="BF226" s="268" t="n"/>
      <c r="BG226" s="268" t="n"/>
      <c r="BH226" s="268" t="n"/>
      <c r="BI226" s="268" t="n"/>
      <c r="BJ226" s="268" t="n"/>
      <c r="BK226" s="268" t="n"/>
      <c r="BL226" s="268" t="n"/>
      <c r="BM226" s="268" t="n"/>
      <c r="BN226" s="268" t="n"/>
      <c r="BO226" s="268" t="n"/>
      <c r="BP226" s="268" t="n"/>
      <c r="BQ226" s="268" t="n"/>
      <c r="BR226" s="268" t="n"/>
      <c r="BS226" s="268" t="n"/>
      <c r="BT226" s="268" t="n"/>
      <c r="BU226" s="268" t="n"/>
      <c r="BV226" s="268" t="n"/>
      <c r="BW226" s="268" t="n"/>
      <c r="BX226" s="268" t="n"/>
      <c r="BY226" s="268" t="n"/>
      <c r="BZ226" s="268" t="n"/>
      <c r="CA226" s="268" t="n"/>
      <c r="CB226" s="268" t="n"/>
      <c r="CC226" s="268" t="n"/>
      <c r="CD226" s="268" t="n"/>
      <c r="CE226" s="268" t="n"/>
      <c r="CF226" s="268" t="n"/>
      <c r="CG226" s="268" t="n"/>
      <c r="CH226" s="268" t="n"/>
      <c r="CI226" s="268" t="n"/>
      <c r="CJ226" s="268" t="n"/>
      <c r="CK226" s="268" t="n"/>
      <c r="CL226" s="268" t="n"/>
      <c r="CM226" s="268" t="n"/>
      <c r="CN226" s="268" t="n"/>
      <c r="CO226" s="268" t="n"/>
      <c r="CP226" s="268" t="n"/>
      <c r="CQ226" s="268" t="n"/>
      <c r="CR226" s="268" t="n"/>
      <c r="CS226" s="268" t="n"/>
      <c r="CT226" s="268" t="n"/>
      <c r="CU226" s="268" t="n"/>
      <c r="CV226" s="268" t="n"/>
      <c r="CW226" s="268" t="n"/>
      <c r="CX226" s="268" t="n"/>
      <c r="CY226" s="268" t="n"/>
    </row>
    <row r="227" hidden="1" outlineLevel="1" ht="12.75" customHeight="1" s="255">
      <c r="C227" s="312" t="inlineStr">
        <is>
          <t>Discretionary (paydown)/borrowing of convertible debt</t>
        </is>
      </c>
      <c r="D227" s="268" t="n"/>
      <c r="E227" s="268" t="n"/>
      <c r="F227" s="268" t="n"/>
      <c r="G227" s="268" t="n"/>
      <c r="H227" s="268" t="n"/>
      <c r="I227" s="268" t="n"/>
      <c r="J227" s="268" t="n"/>
      <c r="K227" s="268" t="n"/>
      <c r="L227" s="268" t="n"/>
      <c r="M227" s="268" t="n"/>
      <c r="N227" s="268" t="n"/>
      <c r="O227" s="268" t="n"/>
      <c r="P227" s="268" t="n"/>
      <c r="Q227" s="268" t="n"/>
      <c r="R227" s="268" t="n"/>
      <c r="S227" s="268" t="n"/>
      <c r="T227" s="268" t="n"/>
      <c r="U227" s="268" t="n"/>
      <c r="V227" s="268" t="n"/>
      <c r="W227" s="268" t="n"/>
      <c r="X227" s="268" t="n"/>
      <c r="Y227" s="268" t="n"/>
      <c r="Z227" s="268" t="n"/>
      <c r="AA227" s="268" t="n"/>
      <c r="AB227" s="268" t="n"/>
      <c r="AC227" s="268" t="n"/>
      <c r="AD227" s="268" t="n"/>
      <c r="AE227" s="268" t="n"/>
      <c r="AF227" s="268" t="n"/>
      <c r="AG227" s="268" t="n"/>
      <c r="AH227" s="317" t="n"/>
      <c r="AI227" s="317" t="n"/>
      <c r="AJ227" s="317" t="n"/>
      <c r="AK227" s="317" t="n"/>
      <c r="AL227" s="268" t="n"/>
      <c r="AM227" s="317" t="n"/>
      <c r="AN227" s="317" t="n"/>
      <c r="AO227" s="317" t="n"/>
      <c r="AP227" s="317" t="n"/>
      <c r="AQ227" s="268" t="n"/>
      <c r="AR227" s="317" t="n"/>
      <c r="AS227" s="317" t="n"/>
      <c r="AT227" s="317" t="n"/>
      <c r="AU227" s="317" t="n"/>
      <c r="AV227" s="268" t="n"/>
      <c r="AW227" s="317" t="n"/>
      <c r="AX227" s="317" t="n"/>
      <c r="AY227" s="317" t="n"/>
      <c r="AZ227" s="317" t="n"/>
      <c r="BA227" s="268" t="n"/>
      <c r="BB227" s="317" t="n"/>
      <c r="BC227" s="317" t="n"/>
      <c r="BD227" s="317" t="n"/>
      <c r="BE227" s="317" t="n"/>
      <c r="BF227" s="268" t="n"/>
      <c r="BG227" s="317" t="n"/>
      <c r="BH227" s="317" t="n"/>
      <c r="BI227" s="317" t="n"/>
      <c r="BJ227" s="317" t="n"/>
      <c r="BK227" s="268" t="n"/>
      <c r="BL227" s="317" t="n"/>
      <c r="BM227" s="317" t="n"/>
      <c r="BN227" s="317" t="n"/>
      <c r="BO227" s="317" t="n"/>
      <c r="BP227" s="268" t="n"/>
      <c r="BQ227" s="317" t="n"/>
      <c r="BR227" s="317" t="n"/>
      <c r="BS227" s="317" t="n"/>
      <c r="BT227" s="317" t="n"/>
      <c r="BU227" s="268" t="n"/>
      <c r="BV227" s="317" t="n"/>
      <c r="BW227" s="317" t="n"/>
      <c r="BX227" s="317" t="n"/>
      <c r="BY227" s="317" t="n"/>
      <c r="BZ227" s="268" t="n"/>
      <c r="CA227" s="317" t="n"/>
      <c r="CB227" s="317" t="n"/>
      <c r="CC227" s="317" t="n"/>
      <c r="CD227" s="317" t="n"/>
      <c r="CE227" s="268" t="n"/>
      <c r="CF227" s="317" t="n"/>
      <c r="CG227" s="317" t="n"/>
      <c r="CH227" s="317" t="n"/>
      <c r="CI227" s="317" t="n"/>
      <c r="CJ227" s="268" t="n"/>
      <c r="CK227" s="317" t="n"/>
      <c r="CL227" s="317" t="n"/>
      <c r="CM227" s="317" t="n"/>
      <c r="CN227" s="317" t="n"/>
      <c r="CO227" s="268" t="n"/>
      <c r="CP227" s="317" t="n"/>
      <c r="CQ227" s="317" t="n"/>
      <c r="CR227" s="317" t="n"/>
      <c r="CS227" s="317" t="n"/>
      <c r="CT227" s="268" t="n"/>
      <c r="CU227" s="317" t="n"/>
      <c r="CV227" s="317" t="n"/>
      <c r="CW227" s="317" t="n"/>
      <c r="CX227" s="317" t="n"/>
      <c r="CY227" s="268" t="n"/>
    </row>
    <row r="228" hidden="1" outlineLevel="1" ht="12.75" customHeight="1" s="255">
      <c r="C228" s="312" t="inlineStr">
        <is>
          <t>Convertible debt</t>
        </is>
      </c>
      <c r="D228" s="268" t="n"/>
      <c r="E228" s="268" t="n"/>
      <c r="F228" s="268" t="n"/>
      <c r="G228" s="268" t="n"/>
      <c r="H228" s="268" t="n"/>
      <c r="I228" s="268" t="n"/>
      <c r="J228" s="268" t="n"/>
      <c r="K228" s="268" t="n"/>
      <c r="L228" s="268" t="n"/>
      <c r="M228" s="268" t="n"/>
      <c r="N228" s="268" t="n"/>
      <c r="O228" s="268" t="n"/>
      <c r="P228" s="268" t="n"/>
      <c r="Q228" s="268" t="n"/>
      <c r="R228" s="268" t="n"/>
      <c r="S228" s="268" t="n"/>
      <c r="T228" s="268" t="n"/>
      <c r="U228" s="268" t="n"/>
      <c r="V228" s="268" t="n"/>
      <c r="W228" s="268" t="n"/>
      <c r="X228" s="268" t="n"/>
      <c r="Y228" s="268" t="n"/>
      <c r="Z228" s="268" t="n"/>
      <c r="AA228" s="268" t="n"/>
      <c r="AB228" s="268" t="n"/>
      <c r="AC228" s="268" t="n"/>
      <c r="AD228" s="268" t="n"/>
      <c r="AE228" s="268" t="n"/>
      <c r="AF228" s="268" t="n"/>
      <c r="AG228" s="268" t="n"/>
      <c r="AH228" s="268">
        <f>AH240</f>
        <v>0</v>
      </c>
      <c r="AI228" s="268">
        <f>AH228+SUM(AI227)</f>
        <v>0</v>
      </c>
      <c r="AJ228" s="268">
        <f>AI228+SUM(AJ227)</f>
        <v>0</v>
      </c>
      <c r="AK228" s="268">
        <f>AJ228+SUM(AK227)</f>
        <v>0</v>
      </c>
      <c r="AL228" s="268" t="n"/>
      <c r="AM228" s="268">
        <f>AM240</f>
        <v>0</v>
      </c>
      <c r="AN228" s="268">
        <f>AM228+SUM(AN227)</f>
        <v>0</v>
      </c>
      <c r="AO228" s="268">
        <f>AN228+SUM(AO227)</f>
        <v>0</v>
      </c>
      <c r="AP228" s="268">
        <f>AO228+SUM(AP227)</f>
        <v>0</v>
      </c>
      <c r="AQ228" s="268" t="n"/>
      <c r="AR228" s="268">
        <f>AR240</f>
        <v>0</v>
      </c>
      <c r="AS228" s="268">
        <f>AR228+SUM(AS227)</f>
        <v>0</v>
      </c>
      <c r="AT228" s="268">
        <f>AS228+SUM(AT227)</f>
        <v>0</v>
      </c>
      <c r="AU228" s="268">
        <f>AT228+SUM(AU227)</f>
        <v>0</v>
      </c>
      <c r="AV228" s="268" t="n"/>
      <c r="AW228" s="268">
        <f>AW240</f>
        <v>0</v>
      </c>
      <c r="AX228" s="268">
        <f>AW228+SUM(AX227)</f>
        <v>0</v>
      </c>
      <c r="AY228" s="268">
        <f>AX228+SUM(AY227)</f>
        <v>0</v>
      </c>
      <c r="AZ228" s="268">
        <f>AY228+SUM(AZ227)</f>
        <v>0</v>
      </c>
      <c r="BA228" s="268" t="n"/>
      <c r="BB228" s="268">
        <f>BB240</f>
        <v>0</v>
      </c>
      <c r="BC228" s="268">
        <f>BB228+SUM(BC227)</f>
        <v>0</v>
      </c>
      <c r="BD228" s="268">
        <f>BC228+SUM(BD227)</f>
        <v>0</v>
      </c>
      <c r="BE228" s="268">
        <f>BD228+SUM(BE227)</f>
        <v>0</v>
      </c>
      <c r="BF228" s="268" t="n"/>
      <c r="BG228" s="268">
        <f>BG240</f>
        <v>0</v>
      </c>
      <c r="BH228" s="268">
        <f>BG228+SUM(BH227)</f>
        <v>0</v>
      </c>
      <c r="BI228" s="268">
        <f>BH228+SUM(BI227)</f>
        <v>0</v>
      </c>
      <c r="BJ228" s="268">
        <f>BI228+SUM(BJ227)</f>
        <v>0</v>
      </c>
      <c r="BK228" s="268" t="n"/>
      <c r="BL228" s="268">
        <f>BL240</f>
        <v>0</v>
      </c>
      <c r="BM228" s="268">
        <f>BL228+SUM(BM227)</f>
        <v>0</v>
      </c>
      <c r="BN228" s="268">
        <f>BM228+SUM(BN227)</f>
        <v>0</v>
      </c>
      <c r="BO228" s="268">
        <f>BN228+SUM(BO227)</f>
        <v>0</v>
      </c>
      <c r="BP228" s="268" t="n"/>
      <c r="BQ228" s="268">
        <f>BQ240</f>
        <v>0</v>
      </c>
      <c r="BR228" s="268">
        <f>BQ228+SUM(BR227)</f>
        <v>0</v>
      </c>
      <c r="BS228" s="268">
        <f>BR228+SUM(BS227)</f>
        <v>0</v>
      </c>
      <c r="BT228" s="268">
        <f>BS228+SUM(BT227)</f>
        <v>0</v>
      </c>
      <c r="BU228" s="268" t="n"/>
      <c r="BV228" s="268">
        <f>BV240</f>
        <v>0</v>
      </c>
      <c r="BW228" s="268">
        <f>BV228+SUM(BW227)</f>
        <v>0</v>
      </c>
      <c r="BX228" s="268">
        <f>BW228+SUM(BX227)</f>
        <v>0</v>
      </c>
      <c r="BY228" s="268">
        <f>BX228+SUM(BY227)</f>
        <v>0</v>
      </c>
      <c r="BZ228" s="268" t="n"/>
      <c r="CA228" s="268">
        <f>CA240</f>
        <v>0</v>
      </c>
      <c r="CB228" s="268">
        <f>CA228+SUM(CB227)</f>
        <v>0</v>
      </c>
      <c r="CC228" s="268">
        <f>CB228+SUM(CC227)</f>
        <v>0</v>
      </c>
      <c r="CD228" s="268">
        <f>CC228+SUM(CD227)</f>
        <v>0</v>
      </c>
      <c r="CE228" s="268" t="n"/>
      <c r="CF228" s="268">
        <f>CF240</f>
        <v>0</v>
      </c>
      <c r="CG228" s="268">
        <f>CF228+SUM(CG227)</f>
        <v>0</v>
      </c>
      <c r="CH228" s="268">
        <f>CG228+SUM(CH227)</f>
        <v>0</v>
      </c>
      <c r="CI228" s="268">
        <f>CH228+SUM(CI227)</f>
        <v>0</v>
      </c>
      <c r="CJ228" s="268" t="n"/>
      <c r="CK228" s="268">
        <f>CK240</f>
        <v>0</v>
      </c>
      <c r="CL228" s="268">
        <f>CK228+SUM(CL227)</f>
        <v>0</v>
      </c>
      <c r="CM228" s="268">
        <f>CL228+SUM(CM227)</f>
        <v>0</v>
      </c>
      <c r="CN228" s="268">
        <f>CM228+SUM(CN227)</f>
        <v>0</v>
      </c>
      <c r="CO228" s="268" t="n"/>
      <c r="CP228" s="268">
        <f>CP240</f>
        <v>0</v>
      </c>
      <c r="CQ228" s="268">
        <f>CP228+SUM(CQ227)</f>
        <v>0</v>
      </c>
      <c r="CR228" s="268">
        <f>CQ228+SUM(CR227)</f>
        <v>0</v>
      </c>
      <c r="CS228" s="268">
        <f>CR228+SUM(CS227)</f>
        <v>0</v>
      </c>
      <c r="CT228" s="268" t="n"/>
      <c r="CU228" s="268">
        <f>CU240</f>
        <v>0</v>
      </c>
      <c r="CV228" s="268">
        <f>CU228+SUM(CV227)</f>
        <v>0</v>
      </c>
      <c r="CW228" s="268">
        <f>CV228+SUM(CW227)</f>
        <v>0</v>
      </c>
      <c r="CX228" s="268">
        <f>CW228+SUM(CX227)</f>
        <v>0</v>
      </c>
      <c r="CY228" s="268" t="n"/>
    </row>
    <row r="229" hidden="1" outlineLevel="1" ht="12.75" customHeight="1" s="255">
      <c r="C229" s="312" t="n"/>
      <c r="D229" s="268" t="n"/>
      <c r="E229" s="268" t="n"/>
      <c r="F229" s="268" t="n"/>
      <c r="G229" s="268" t="n"/>
      <c r="H229" s="268" t="n"/>
      <c r="I229" s="268" t="n"/>
      <c r="J229" s="268" t="n"/>
      <c r="K229" s="268" t="n"/>
      <c r="L229" s="268" t="n"/>
      <c r="M229" s="268" t="n"/>
      <c r="N229" s="268" t="n"/>
      <c r="O229" s="268" t="n"/>
      <c r="P229" s="268" t="n"/>
      <c r="Q229" s="268" t="n"/>
      <c r="R229" s="268" t="n"/>
      <c r="S229" s="268" t="n"/>
      <c r="T229" s="268" t="n"/>
      <c r="U229" s="268" t="n"/>
      <c r="V229" s="268" t="n"/>
      <c r="W229" s="268" t="n"/>
      <c r="X229" s="268" t="n"/>
      <c r="Y229" s="268" t="n"/>
      <c r="Z229" s="268" t="n"/>
      <c r="AA229" s="268" t="n"/>
      <c r="AB229" s="268" t="n"/>
      <c r="AC229" s="268" t="n"/>
      <c r="AD229" s="268" t="n"/>
      <c r="AE229" s="268" t="n"/>
      <c r="AF229" s="268" t="n"/>
      <c r="AG229" s="268" t="n"/>
      <c r="AI229" s="268" t="n"/>
      <c r="AJ229" s="268" t="n"/>
      <c r="AK229" s="268" t="n"/>
      <c r="AL229" s="268" t="n"/>
      <c r="AN229" s="268" t="n"/>
      <c r="AO229" s="268" t="n"/>
      <c r="AP229" s="268" t="n"/>
      <c r="AQ229" s="268" t="n"/>
      <c r="AS229" s="268" t="n"/>
      <c r="AT229" s="268" t="n"/>
      <c r="AU229" s="268" t="n"/>
      <c r="AV229" s="268" t="n"/>
      <c r="AX229" s="268" t="n"/>
      <c r="AY229" s="268" t="n"/>
      <c r="AZ229" s="268" t="n"/>
      <c r="BA229" s="268" t="n"/>
      <c r="BC229" s="268" t="n"/>
      <c r="BD229" s="268" t="n"/>
      <c r="BE229" s="268" t="n"/>
      <c r="BF229" s="268" t="n"/>
      <c r="BH229" s="268" t="n"/>
      <c r="BI229" s="268" t="n"/>
      <c r="BJ229" s="268" t="n"/>
      <c r="BK229" s="268" t="n"/>
      <c r="BM229" s="268" t="n"/>
      <c r="BN229" s="268" t="n"/>
      <c r="BO229" s="268" t="n"/>
      <c r="BP229" s="268" t="n"/>
      <c r="BR229" s="268" t="n"/>
      <c r="BS229" s="268" t="n"/>
      <c r="BT229" s="268" t="n"/>
      <c r="BU229" s="268" t="n"/>
      <c r="BW229" s="268" t="n"/>
      <c r="BX229" s="268" t="n"/>
      <c r="BY229" s="268" t="n"/>
      <c r="BZ229" s="268" t="n"/>
      <c r="CB229" s="268" t="n"/>
      <c r="CC229" s="268" t="n"/>
      <c r="CD229" s="268" t="n"/>
      <c r="CE229" s="268" t="n"/>
      <c r="CG229" s="268" t="n"/>
      <c r="CH229" s="268" t="n"/>
      <c r="CI229" s="268" t="n"/>
      <c r="CJ229" s="268" t="n"/>
      <c r="CL229" s="268" t="n"/>
      <c r="CM229" s="268" t="n"/>
      <c r="CN229" s="268" t="n"/>
      <c r="CO229" s="268" t="n"/>
      <c r="CQ229" s="268" t="n"/>
      <c r="CR229" s="268" t="n"/>
      <c r="CS229" s="268" t="n"/>
      <c r="CT229" s="268" t="n"/>
      <c r="CV229" s="268" t="n"/>
      <c r="CW229" s="268" t="n"/>
      <c r="CX229" s="268" t="n"/>
      <c r="CY229" s="268" t="n"/>
    </row>
    <row r="230" hidden="1" outlineLevel="1" ht="12.75" customHeight="1" s="255">
      <c r="C230" s="312" t="inlineStr">
        <is>
          <t>Calculation of short term debt</t>
        </is>
      </c>
      <c r="D230" s="268" t="n"/>
      <c r="E230" s="268" t="n"/>
      <c r="F230" s="268" t="n"/>
      <c r="G230" s="268" t="n"/>
      <c r="H230" s="268" t="n"/>
      <c r="I230" s="268" t="n"/>
      <c r="J230" s="268" t="n"/>
      <c r="K230" s="268" t="n"/>
      <c r="L230" s="268" t="n"/>
      <c r="M230" s="268" t="n"/>
      <c r="N230" s="268" t="n"/>
      <c r="O230" s="268" t="n"/>
      <c r="P230" s="268" t="n"/>
      <c r="Q230" s="268" t="n"/>
      <c r="R230" s="268" t="n"/>
      <c r="S230" s="268" t="n"/>
      <c r="T230" s="268" t="n"/>
      <c r="U230" s="268" t="n"/>
      <c r="V230" s="268" t="n"/>
      <c r="W230" s="268" t="n"/>
      <c r="X230" s="268" t="n"/>
      <c r="Y230" s="268" t="n"/>
      <c r="Z230" s="268" t="n"/>
      <c r="AA230" s="268" t="n"/>
      <c r="AB230" s="268" t="n"/>
      <c r="AC230" s="268" t="n"/>
      <c r="AD230" s="268" t="n"/>
      <c r="AE230" s="268" t="n"/>
      <c r="AF230" s="268" t="n"/>
      <c r="AG230" s="268" t="n"/>
      <c r="AH230" s="268" t="n"/>
      <c r="AI230" s="268" t="n"/>
      <c r="AJ230" s="268" t="n"/>
      <c r="AK230" s="268" t="n"/>
      <c r="AL230" s="268" t="n"/>
      <c r="AM230" s="268" t="n"/>
      <c r="AN230" s="268" t="n"/>
      <c r="AO230" s="268" t="n"/>
      <c r="AP230" s="268" t="n"/>
      <c r="AQ230" s="268" t="n"/>
      <c r="AR230" s="268" t="n"/>
      <c r="AS230" s="268" t="n"/>
      <c r="AT230" s="268" t="n"/>
      <c r="AU230" s="268" t="n"/>
      <c r="AV230" s="268" t="n"/>
      <c r="AW230" s="268" t="n"/>
      <c r="AX230" s="268" t="n"/>
      <c r="AY230" s="268" t="n"/>
      <c r="AZ230" s="268" t="n"/>
      <c r="BA230" s="268" t="n"/>
      <c r="BB230" s="268" t="n"/>
      <c r="BC230" s="268" t="n"/>
      <c r="BD230" s="268" t="n"/>
      <c r="BE230" s="268" t="n"/>
      <c r="BF230" s="268" t="n"/>
      <c r="BG230" s="268" t="n"/>
      <c r="BH230" s="268" t="n"/>
      <c r="BI230" s="268" t="n"/>
      <c r="BJ230" s="268" t="n"/>
      <c r="BK230" s="268" t="n"/>
      <c r="BL230" s="268" t="n"/>
      <c r="BM230" s="268" t="n"/>
      <c r="BN230" s="268" t="n"/>
      <c r="BO230" s="268" t="n"/>
      <c r="BP230" s="268" t="n"/>
      <c r="BQ230" s="268" t="n"/>
      <c r="BR230" s="268" t="n"/>
      <c r="BS230" s="268" t="n"/>
      <c r="BT230" s="268" t="n"/>
      <c r="BU230" s="268" t="n"/>
      <c r="BV230" s="268" t="n"/>
      <c r="BW230" s="268" t="n"/>
      <c r="BX230" s="268" t="n"/>
      <c r="BY230" s="268" t="n"/>
      <c r="BZ230" s="268" t="n"/>
      <c r="CA230" s="268" t="n"/>
      <c r="CB230" s="268" t="n"/>
      <c r="CC230" s="268" t="n"/>
      <c r="CD230" s="268" t="n"/>
      <c r="CE230" s="268" t="n"/>
      <c r="CF230" s="268" t="n"/>
      <c r="CG230" s="268" t="n"/>
      <c r="CH230" s="268" t="n"/>
      <c r="CI230" s="268" t="n"/>
      <c r="CJ230" s="268" t="n"/>
      <c r="CK230" s="268" t="n"/>
      <c r="CL230" s="268" t="n"/>
      <c r="CM230" s="268" t="n"/>
      <c r="CN230" s="268" t="n"/>
      <c r="CO230" s="268" t="n"/>
      <c r="CP230" s="268" t="n"/>
      <c r="CQ230" s="268" t="n"/>
      <c r="CR230" s="268" t="n"/>
      <c r="CS230" s="268" t="n"/>
      <c r="CT230" s="268" t="n"/>
      <c r="CU230" s="268" t="n"/>
      <c r="CV230" s="268" t="n"/>
      <c r="CW230" s="268" t="n"/>
      <c r="CX230" s="268" t="n"/>
      <c r="CY230" s="268" t="n"/>
    </row>
    <row r="231" hidden="1" outlineLevel="1" ht="12.75" customHeight="1" s="255">
      <c r="C231" s="312" t="inlineStr">
        <is>
          <t>Cash @ beginning of the period (end of last period)</t>
        </is>
      </c>
      <c r="D231" s="268" t="n"/>
      <c r="E231" s="268" t="n"/>
      <c r="F231" s="268" t="n"/>
      <c r="G231" s="268" t="n"/>
      <c r="H231" s="268" t="n"/>
      <c r="I231" s="268" t="n"/>
      <c r="J231" s="268" t="n"/>
      <c r="K231" s="268" t="n"/>
      <c r="L231" s="268" t="n"/>
      <c r="M231" s="268" t="n"/>
      <c r="N231" s="268" t="n"/>
      <c r="O231" s="268" t="n"/>
      <c r="P231" s="268" t="n"/>
      <c r="Q231" s="268" t="n"/>
      <c r="R231" s="268" t="n"/>
      <c r="S231" s="268" t="n"/>
      <c r="T231" s="268" t="n"/>
      <c r="U231" s="268" t="n"/>
      <c r="V231" s="268" t="n"/>
      <c r="W231" s="268" t="n"/>
      <c r="X231" s="268" t="n"/>
      <c r="Y231" s="268" t="n"/>
      <c r="Z231" s="268" t="n"/>
      <c r="AA231" s="268" t="n"/>
      <c r="AB231" s="268" t="n"/>
      <c r="AC231" s="268" t="n"/>
      <c r="AD231" s="268" t="n"/>
      <c r="AE231" s="268" t="n"/>
      <c r="AF231" s="268" t="n"/>
      <c r="AG231" s="268" t="n"/>
      <c r="AH231" s="318">
        <f>AG146</f>
        <v>10727</v>
      </c>
      <c r="AI231" s="268" t="n"/>
      <c r="AJ231" s="268" t="n"/>
      <c r="AK231" s="268" t="n"/>
      <c r="AL231" s="268" t="n"/>
      <c r="AM231" s="318">
        <f>AL146</f>
        <v>-11939</v>
      </c>
      <c r="AN231" s="268" t="n"/>
      <c r="AO231" s="268" t="n"/>
      <c r="AP231" s="268" t="n"/>
      <c r="AQ231" s="268" t="n"/>
      <c r="AR231" s="318" t="e">
        <f>AQ146</f>
        <v>#DIV/0!</v>
      </c>
      <c r="AS231" s="268" t="n"/>
      <c r="AT231" s="268" t="n"/>
      <c r="AU231" s="268" t="n"/>
      <c r="AV231" s="268" t="n"/>
      <c r="AW231" s="318" t="e">
        <f>AV146</f>
        <v>#DIV/0!</v>
      </c>
      <c r="AX231" s="268" t="n"/>
      <c r="AY231" s="268" t="n"/>
      <c r="AZ231" s="268" t="n"/>
      <c r="BA231" s="268" t="n"/>
      <c r="BB231" s="318" t="e">
        <f>BA146</f>
        <v>#DIV/0!</v>
      </c>
      <c r="BC231" s="268" t="n"/>
      <c r="BD231" s="268" t="n"/>
      <c r="BE231" s="268" t="n"/>
      <c r="BF231" s="268" t="n"/>
      <c r="BG231" s="318" t="e">
        <f>BF146</f>
        <v>#DIV/0!</v>
      </c>
      <c r="BH231" s="268" t="n"/>
      <c r="BI231" s="268" t="n"/>
      <c r="BJ231" s="268" t="n"/>
      <c r="BK231" s="268" t="n"/>
      <c r="BL231" s="318" t="e">
        <f>BK146</f>
        <v>#DIV/0!</v>
      </c>
      <c r="BM231" s="268" t="n"/>
      <c r="BN231" s="268" t="n"/>
      <c r="BO231" s="268" t="n"/>
      <c r="BP231" s="268" t="n"/>
      <c r="BQ231" s="318" t="e">
        <f>BP146</f>
        <v>#DIV/0!</v>
      </c>
      <c r="BR231" s="268" t="n"/>
      <c r="BS231" s="268" t="n"/>
      <c r="BT231" s="268" t="n"/>
      <c r="BU231" s="268" t="n"/>
      <c r="BV231" s="318" t="e">
        <f>BU146</f>
        <v>#DIV/0!</v>
      </c>
      <c r="BW231" s="268" t="n"/>
      <c r="BX231" s="268" t="n"/>
      <c r="BY231" s="268" t="n"/>
      <c r="BZ231" s="268" t="n"/>
      <c r="CA231" s="318" t="e">
        <f>BZ146</f>
        <v>#DIV/0!</v>
      </c>
      <c r="CB231" s="268" t="n"/>
      <c r="CC231" s="268" t="n"/>
      <c r="CD231" s="268" t="n"/>
      <c r="CE231" s="268" t="n"/>
      <c r="CF231" s="318" t="e">
        <f>CE146</f>
        <v>#DIV/0!</v>
      </c>
      <c r="CG231" s="268" t="n"/>
      <c r="CH231" s="268" t="n"/>
      <c r="CI231" s="268" t="n"/>
      <c r="CJ231" s="268" t="n"/>
      <c r="CK231" s="318" t="e">
        <f>CJ146</f>
        <v>#DIV/0!</v>
      </c>
      <c r="CL231" s="268" t="n"/>
      <c r="CM231" s="268" t="n"/>
      <c r="CN231" s="268" t="n"/>
      <c r="CO231" s="268" t="n"/>
      <c r="CP231" s="318" t="e">
        <f>CO146</f>
        <v>#DIV/0!</v>
      </c>
      <c r="CQ231" s="268" t="n"/>
      <c r="CR231" s="268" t="n"/>
      <c r="CS231" s="268" t="n"/>
      <c r="CT231" s="268" t="n"/>
      <c r="CU231" s="318" t="e">
        <f>CT146</f>
        <v>#DIV/0!</v>
      </c>
      <c r="CV231" s="268" t="n"/>
      <c r="CW231" s="268" t="n"/>
      <c r="CX231" s="268" t="n"/>
      <c r="CY231" s="268" t="n"/>
    </row>
    <row r="232" hidden="1" outlineLevel="1" ht="12.75" customHeight="1" s="255">
      <c r="C232" s="312" t="inlineStr">
        <is>
          <t>Plus: Free cash flows prior to debt during period</t>
        </is>
      </c>
      <c r="D232" s="268" t="n"/>
      <c r="E232" s="268" t="n"/>
      <c r="F232" s="268" t="n"/>
      <c r="G232" s="268" t="n"/>
      <c r="H232" s="268" t="n"/>
      <c r="I232" s="268" t="n"/>
      <c r="J232" s="268" t="n"/>
      <c r="K232" s="268" t="n"/>
      <c r="L232" s="268" t="n"/>
      <c r="M232" s="268" t="n"/>
      <c r="N232" s="268" t="n"/>
      <c r="O232" s="268" t="n"/>
      <c r="P232" s="268" t="n"/>
      <c r="Q232" s="268" t="n"/>
      <c r="R232" s="268" t="n"/>
      <c r="S232" s="268" t="n"/>
      <c r="T232" s="268" t="n"/>
      <c r="U232" s="268" t="n"/>
      <c r="V232" s="268" t="n"/>
      <c r="W232" s="268" t="n"/>
      <c r="X232" s="268" t="n"/>
      <c r="Y232" s="268" t="n"/>
      <c r="Z232" s="268" t="n"/>
      <c r="AA232" s="268" t="n"/>
      <c r="AB232" s="268" t="n"/>
      <c r="AC232" s="268" t="n"/>
      <c r="AD232" s="268" t="n"/>
      <c r="AE232" s="268" t="n"/>
      <c r="AF232" s="268" t="n"/>
      <c r="AG232" s="268" t="inlineStr">
        <is>
          <t>% of sales</t>
        </is>
      </c>
      <c r="AH232" s="319">
        <f>SUM(AH295,AH302)+SUM(AH304:AH310)</f>
        <v>-7170</v>
      </c>
      <c r="AI232" s="319">
        <f>SUM(AI295,AI302)+SUM(AI304:AI310)</f>
        <v>1383</v>
      </c>
      <c r="AJ232" s="319">
        <f>SUM(AJ295,AJ302)+SUM(AJ304:AJ310)</f>
        <v>-22234</v>
      </c>
      <c r="AK232" s="319">
        <f>SUM(AK295,AK302)+SUM(AK304:AK310)</f>
        <v>-1234</v>
      </c>
      <c r="AL232" s="268" t="n"/>
      <c r="AM232" s="319" t="e">
        <f>SUM(AM295,AM302)+SUM(AM304:AM310)</f>
        <v>#DIV/0!</v>
      </c>
      <c r="AN232" s="319" t="e">
        <f>SUM(AN295,AN302)+SUM(AN304:AN310)</f>
        <v>#DIV/0!</v>
      </c>
      <c r="AO232" s="319" t="e">
        <f>SUM(AO295,AO302)+SUM(AO304:AO310)</f>
        <v>#DIV/0!</v>
      </c>
      <c r="AP232" s="319" t="e">
        <f>SUM(AP295,AP302)+SUM(AP304:AP310)</f>
        <v>#DIV/0!</v>
      </c>
      <c r="AQ232" s="268" t="n"/>
      <c r="AR232" s="319" t="e">
        <f>SUM(AR295,AR302)+SUM(AR304:AR310)</f>
        <v>#DIV/0!</v>
      </c>
      <c r="AS232" s="319" t="e">
        <f>SUM(AS295,AS302)+SUM(AS304:AS310)</f>
        <v>#DIV/0!</v>
      </c>
      <c r="AT232" s="319" t="e">
        <f>SUM(AT295,AT302)+SUM(AT304:AT310)</f>
        <v>#DIV/0!</v>
      </c>
      <c r="AU232" s="319" t="e">
        <f>SUM(AU295,AU302)+SUM(AU304:AU310)</f>
        <v>#DIV/0!</v>
      </c>
      <c r="AV232" s="268" t="n"/>
      <c r="AW232" s="319" t="e">
        <f>SUM(AW295,AW302)+SUM(AW304:AW310)</f>
        <v>#DIV/0!</v>
      </c>
      <c r="AX232" s="319" t="e">
        <f>SUM(AX295,AX302)+SUM(AX304:AX310)</f>
        <v>#DIV/0!</v>
      </c>
      <c r="AY232" s="319" t="e">
        <f>SUM(AY295,AY302)+SUM(AY304:AY310)</f>
        <v>#DIV/0!</v>
      </c>
      <c r="AZ232" s="319" t="e">
        <f>SUM(AZ295,AZ302)+SUM(AZ304:AZ310)</f>
        <v>#DIV/0!</v>
      </c>
      <c r="BA232" s="268" t="n"/>
      <c r="BB232" s="319" t="e">
        <f>SUM(BB295,BB302)+SUM(BB304:BB310)</f>
        <v>#DIV/0!</v>
      </c>
      <c r="BC232" s="319" t="e">
        <f>SUM(BC295,BC302)+SUM(BC304:BC310)</f>
        <v>#DIV/0!</v>
      </c>
      <c r="BD232" s="319" t="e">
        <f>SUM(BD295,BD302)+SUM(BD304:BD310)</f>
        <v>#DIV/0!</v>
      </c>
      <c r="BE232" s="319" t="e">
        <f>SUM(BE295,BE302)+SUM(BE304:BE310)</f>
        <v>#DIV/0!</v>
      </c>
      <c r="BF232" s="268" t="n"/>
      <c r="BG232" s="319" t="e">
        <f>SUM(BG295,BG302)+SUM(BG304:BG310)</f>
        <v>#DIV/0!</v>
      </c>
      <c r="BH232" s="319" t="e">
        <f>SUM(BH295,BH302)+SUM(BH304:BH310)</f>
        <v>#DIV/0!</v>
      </c>
      <c r="BI232" s="319" t="e">
        <f>SUM(BI295,BI302)+SUM(BI304:BI310)</f>
        <v>#DIV/0!</v>
      </c>
      <c r="BJ232" s="319" t="e">
        <f>SUM(BJ295,BJ302)+SUM(BJ304:BJ310)</f>
        <v>#DIV/0!</v>
      </c>
      <c r="BK232" s="268" t="n"/>
      <c r="BL232" s="319" t="e">
        <f>SUM(BL295,BL302)+SUM(BL304:BL310)</f>
        <v>#DIV/0!</v>
      </c>
      <c r="BM232" s="319" t="e">
        <f>SUM(BM295,BM302)+SUM(BM304:BM310)</f>
        <v>#DIV/0!</v>
      </c>
      <c r="BN232" s="319" t="e">
        <f>SUM(BN295,BN302)+SUM(BN304:BN310)</f>
        <v>#DIV/0!</v>
      </c>
      <c r="BO232" s="319" t="e">
        <f>SUM(BO295,BO302)+SUM(BO304:BO310)</f>
        <v>#DIV/0!</v>
      </c>
      <c r="BP232" s="268" t="n"/>
      <c r="BQ232" s="319" t="e">
        <f>SUM(BQ295,BQ302)+SUM(BQ304:BQ310)</f>
        <v>#DIV/0!</v>
      </c>
      <c r="BR232" s="319" t="e">
        <f>SUM(BR295,BR302)+SUM(BR304:BR310)</f>
        <v>#DIV/0!</v>
      </c>
      <c r="BS232" s="319" t="e">
        <f>SUM(BS295,BS302)+SUM(BS304:BS310)</f>
        <v>#DIV/0!</v>
      </c>
      <c r="BT232" s="319" t="e">
        <f>SUM(BT295,BT302)+SUM(BT304:BT310)</f>
        <v>#DIV/0!</v>
      </c>
      <c r="BU232" s="268" t="n"/>
      <c r="BV232" s="319" t="e">
        <f>SUM(BV295,BV302)+SUM(BV304:BV310)</f>
        <v>#DIV/0!</v>
      </c>
      <c r="BW232" s="319" t="e">
        <f>SUM(BW295,BW302)+SUM(BW304:BW310)</f>
        <v>#DIV/0!</v>
      </c>
      <c r="BX232" s="319" t="e">
        <f>SUM(BX295,BX302)+SUM(BX304:BX310)</f>
        <v>#DIV/0!</v>
      </c>
      <c r="BY232" s="319" t="e">
        <f>SUM(BY295,BY302)+SUM(BY304:BY310)</f>
        <v>#DIV/0!</v>
      </c>
      <c r="BZ232" s="268" t="n"/>
      <c r="CA232" s="319" t="e">
        <f>SUM(CA295,CA302)+SUM(CA304:CA310)</f>
        <v>#DIV/0!</v>
      </c>
      <c r="CB232" s="319" t="e">
        <f>SUM(CB295,CB302)+SUM(CB304:CB310)</f>
        <v>#DIV/0!</v>
      </c>
      <c r="CC232" s="319" t="e">
        <f>SUM(CC295,CC302)+SUM(CC304:CC310)</f>
        <v>#DIV/0!</v>
      </c>
      <c r="CD232" s="319" t="e">
        <f>SUM(CD295,CD302)+SUM(CD304:CD310)</f>
        <v>#DIV/0!</v>
      </c>
      <c r="CE232" s="268" t="n"/>
      <c r="CF232" s="319" t="e">
        <f>SUM(CF295,CF302)+SUM(CF304:CF310)</f>
        <v>#DIV/0!</v>
      </c>
      <c r="CG232" s="319" t="e">
        <f>SUM(CG295,CG302)+SUM(CG304:CG310)</f>
        <v>#DIV/0!</v>
      </c>
      <c r="CH232" s="319" t="e">
        <f>SUM(CH295,CH302)+SUM(CH304:CH310)</f>
        <v>#DIV/0!</v>
      </c>
      <c r="CI232" s="319" t="e">
        <f>SUM(CI295,CI302)+SUM(CI304:CI310)</f>
        <v>#DIV/0!</v>
      </c>
      <c r="CJ232" s="268" t="n"/>
      <c r="CK232" s="319" t="e">
        <f>SUM(CK295,CK302)+SUM(CK304:CK310)</f>
        <v>#DIV/0!</v>
      </c>
      <c r="CL232" s="319" t="e">
        <f>SUM(CL295,CL302)+SUM(CL304:CL310)</f>
        <v>#DIV/0!</v>
      </c>
      <c r="CM232" s="319" t="e">
        <f>SUM(CM295,CM302)+SUM(CM304:CM310)</f>
        <v>#DIV/0!</v>
      </c>
      <c r="CN232" s="319" t="e">
        <f>SUM(CN295,CN302)+SUM(CN304:CN310)</f>
        <v>#DIV/0!</v>
      </c>
      <c r="CO232" s="268" t="n"/>
      <c r="CP232" s="319" t="e">
        <f>SUM(CP295,CP302)+SUM(CP304:CP310)</f>
        <v>#DIV/0!</v>
      </c>
      <c r="CQ232" s="319" t="e">
        <f>SUM(CQ295,CQ302)+SUM(CQ304:CQ310)</f>
        <v>#DIV/0!</v>
      </c>
      <c r="CR232" s="319" t="e">
        <f>SUM(CR295,CR302)+SUM(CR304:CR310)</f>
        <v>#DIV/0!</v>
      </c>
      <c r="CS232" s="319" t="e">
        <f>SUM(CS295,CS302)+SUM(CS304:CS310)</f>
        <v>#DIV/0!</v>
      </c>
      <c r="CT232" s="268" t="n"/>
      <c r="CU232" s="319" t="e">
        <f>SUM(CU295,CU302)+SUM(CU304:CU310)</f>
        <v>#DIV/0!</v>
      </c>
      <c r="CV232" s="319" t="e">
        <f>SUM(CV295,CV302)+SUM(CV304:CV310)</f>
        <v>#DIV/0!</v>
      </c>
      <c r="CW232" s="319" t="e">
        <f>SUM(CW295,CW302)+SUM(CW304:CW310)</f>
        <v>#DIV/0!</v>
      </c>
      <c r="CX232" s="319" t="e">
        <f>SUM(CX295,CX302)+SUM(CX304:CX310)</f>
        <v>#DIV/0!</v>
      </c>
      <c r="CY232" s="268" t="n"/>
    </row>
    <row r="233" hidden="1" outlineLevel="1" ht="12.75" customHeight="1" s="255">
      <c r="C233" s="312" t="inlineStr">
        <is>
          <t>Less: Minimum cash balance</t>
        </is>
      </c>
      <c r="D233" s="268" t="n"/>
      <c r="E233" s="268" t="n"/>
      <c r="F233" s="268" t="n"/>
      <c r="G233" s="268" t="n"/>
      <c r="H233" s="268" t="n"/>
      <c r="I233" s="268" t="n"/>
      <c r="J233" s="268" t="n"/>
      <c r="K233" s="268" t="n"/>
      <c r="L233" s="268" t="n"/>
      <c r="M233" s="268" t="n"/>
      <c r="N233" s="268" t="n"/>
      <c r="O233" s="268" t="n"/>
      <c r="P233" s="268" t="n"/>
      <c r="Q233" s="268" t="n"/>
      <c r="R233" s="268" t="n"/>
      <c r="S233" s="268" t="n"/>
      <c r="T233" s="268" t="n"/>
      <c r="U233" s="268" t="n"/>
      <c r="V233" s="268" t="n"/>
      <c r="W233" s="268" t="n"/>
      <c r="X233" s="268" t="n"/>
      <c r="Y233" s="268" t="n"/>
      <c r="Z233" s="268" t="n"/>
      <c r="AA233" s="268" t="n"/>
      <c r="AB233" s="268" t="n"/>
      <c r="AC233" s="268" t="n"/>
      <c r="AD233" s="268" t="n"/>
      <c r="AE233" s="268" t="n"/>
      <c r="AF233" s="268" t="n"/>
      <c r="AG233" s="320" t="n"/>
      <c r="AH233" s="268">
        <f>($AG$233*AH15)</f>
        <v>0</v>
      </c>
      <c r="AI233" s="268">
        <f>($AG$233*AI15)</f>
        <v>0</v>
      </c>
      <c r="AJ233" s="268">
        <f>($AG$233*AJ15)</f>
        <v>0</v>
      </c>
      <c r="AK233" s="268">
        <f>($AG$233*AK15)</f>
        <v>0</v>
      </c>
      <c r="AL233" s="268" t="n"/>
      <c r="AM233" s="268">
        <f>($AG$233*AM15)</f>
        <v>0</v>
      </c>
      <c r="AN233" s="268">
        <f>($AG$233*AN15)</f>
        <v>0</v>
      </c>
      <c r="AO233" s="268">
        <f>($AG$233*AO15)</f>
        <v>0</v>
      </c>
      <c r="AP233" s="268">
        <f>($AG$233*AP15)</f>
        <v>0</v>
      </c>
      <c r="AQ233" s="268" t="n"/>
      <c r="AR233" s="268">
        <f>($AG$233*AR15)</f>
        <v>0</v>
      </c>
      <c r="AS233" s="268">
        <f>($AG$233*AS15)</f>
        <v>0</v>
      </c>
      <c r="AT233" s="268">
        <f>($AG$233*AT15)</f>
        <v>0</v>
      </c>
      <c r="AU233" s="268">
        <f>($AG$233*AU15)</f>
        <v>0</v>
      </c>
      <c r="AV233" s="268" t="n"/>
      <c r="AW233" s="268">
        <f>($AG$233*AW15)</f>
        <v>0</v>
      </c>
      <c r="AX233" s="268">
        <f>($AG$233*AX15)</f>
        <v>0</v>
      </c>
      <c r="AY233" s="268">
        <f>($AG$233*AY15)</f>
        <v>0</v>
      </c>
      <c r="AZ233" s="268">
        <f>($AG$233*AZ15)</f>
        <v>0</v>
      </c>
      <c r="BA233" s="268" t="n"/>
      <c r="BB233" s="268">
        <f>($AG$233*BB15)</f>
        <v>0</v>
      </c>
      <c r="BC233" s="268">
        <f>($AG$233*BC15)</f>
        <v>0</v>
      </c>
      <c r="BD233" s="268">
        <f>($AG$233*BD15)</f>
        <v>0</v>
      </c>
      <c r="BE233" s="268">
        <f>($AG$233*BE15)</f>
        <v>0</v>
      </c>
      <c r="BF233" s="268" t="n"/>
      <c r="BG233" s="268">
        <f>($AG$233*BG15)</f>
        <v>0</v>
      </c>
      <c r="BH233" s="268">
        <f>($AG$233*BH15)</f>
        <v>0</v>
      </c>
      <c r="BI233" s="268">
        <f>($AG$233*BI15)</f>
        <v>0</v>
      </c>
      <c r="BJ233" s="268">
        <f>($AG$233*BJ15)</f>
        <v>0</v>
      </c>
      <c r="BK233" s="268" t="n"/>
      <c r="BL233" s="268">
        <f>($AG$233*BL15)</f>
        <v>0</v>
      </c>
      <c r="BM233" s="268">
        <f>($AG$233*BM15)</f>
        <v>0</v>
      </c>
      <c r="BN233" s="268">
        <f>($AG$233*BN15)</f>
        <v>0</v>
      </c>
      <c r="BO233" s="268">
        <f>($AG$233*BO15)</f>
        <v>0</v>
      </c>
      <c r="BP233" s="268" t="n"/>
      <c r="BQ233" s="268">
        <f>($AG$233*BQ15)</f>
        <v>0</v>
      </c>
      <c r="BR233" s="268">
        <f>($AG$233*BR15)</f>
        <v>0</v>
      </c>
      <c r="BS233" s="268">
        <f>($AG$233*BS15)</f>
        <v>0</v>
      </c>
      <c r="BT233" s="268">
        <f>($AG$233*BT15)</f>
        <v>0</v>
      </c>
      <c r="BU233" s="268" t="n"/>
      <c r="BV233" s="268">
        <f>($AG$233*BV15)</f>
        <v>0</v>
      </c>
      <c r="BW233" s="268">
        <f>($AG$233*BW15)</f>
        <v>0</v>
      </c>
      <c r="BX233" s="268">
        <f>($AG$233*BX15)</f>
        <v>0</v>
      </c>
      <c r="BY233" s="268">
        <f>($AG$233*BY15)</f>
        <v>0</v>
      </c>
      <c r="BZ233" s="268" t="n"/>
      <c r="CA233" s="268">
        <f>($AG$233*CA15)</f>
        <v>0</v>
      </c>
      <c r="CB233" s="268">
        <f>($AG$233*CB15)</f>
        <v>0</v>
      </c>
      <c r="CC233" s="268">
        <f>($AG$233*CC15)</f>
        <v>0</v>
      </c>
      <c r="CD233" s="268">
        <f>($AG$233*CD15)</f>
        <v>0</v>
      </c>
      <c r="CE233" s="268" t="n"/>
      <c r="CF233" s="268">
        <f>($AG$233*CF15)</f>
        <v>0</v>
      </c>
      <c r="CG233" s="268">
        <f>($AG$233*CG15)</f>
        <v>0</v>
      </c>
      <c r="CH233" s="268">
        <f>($AG$233*CH15)</f>
        <v>0</v>
      </c>
      <c r="CI233" s="268">
        <f>($AG$233*CI15)</f>
        <v>0</v>
      </c>
      <c r="CJ233" s="268" t="n"/>
      <c r="CK233" s="268">
        <f>($AG$233*CK15)</f>
        <v>0</v>
      </c>
      <c r="CL233" s="268">
        <f>($AG$233*CL15)</f>
        <v>0</v>
      </c>
      <c r="CM233" s="268">
        <f>($AG$233*CM15)</f>
        <v>0</v>
      </c>
      <c r="CN233" s="268">
        <f>($AG$233*CN15)</f>
        <v>0</v>
      </c>
      <c r="CO233" s="268" t="n"/>
      <c r="CP233" s="268">
        <f>($AG$233*CP15)</f>
        <v>0</v>
      </c>
      <c r="CQ233" s="268">
        <f>($AG$233*CQ15)</f>
        <v>0</v>
      </c>
      <c r="CR233" s="268">
        <f>($AG$233*CR15)</f>
        <v>0</v>
      </c>
      <c r="CS233" s="268">
        <f>($AG$233*CS15)</f>
        <v>0</v>
      </c>
      <c r="CT233" s="268" t="n"/>
      <c r="CU233" s="268">
        <f>($AG$233*CU15)</f>
        <v>0</v>
      </c>
      <c r="CV233" s="268">
        <f>($AG$233*CV15)</f>
        <v>0</v>
      </c>
      <c r="CW233" s="268">
        <f>($AG$233*CW15)</f>
        <v>0</v>
      </c>
      <c r="CX233" s="268">
        <f>($AG$233*CX15)</f>
        <v>0</v>
      </c>
      <c r="CY233" s="268" t="n"/>
    </row>
    <row r="234" hidden="1" outlineLevel="1" ht="12.75" customHeight="1" s="255">
      <c r="C234" s="312" t="inlineStr">
        <is>
          <t>Total cash available / (debt required) for short term debt paydown</t>
        </is>
      </c>
      <c r="D234" s="268" t="n"/>
      <c r="E234" s="268" t="n"/>
      <c r="F234" s="268" t="n"/>
      <c r="G234" s="268" t="n"/>
      <c r="H234" s="268" t="n"/>
      <c r="I234" s="268" t="n"/>
      <c r="J234" s="268" t="n"/>
      <c r="K234" s="268" t="n"/>
      <c r="L234" s="268" t="n"/>
      <c r="M234" s="268" t="n"/>
      <c r="N234" s="268" t="n"/>
      <c r="O234" s="268" t="n"/>
      <c r="P234" s="268" t="n"/>
      <c r="Q234" s="268" t="n"/>
      <c r="R234" s="268" t="n"/>
      <c r="S234" s="268" t="n"/>
      <c r="T234" s="268" t="n"/>
      <c r="U234" s="268" t="n"/>
      <c r="V234" s="268" t="n"/>
      <c r="W234" s="268" t="n"/>
      <c r="X234" s="268" t="n"/>
      <c r="Y234" s="268" t="n"/>
      <c r="Z234" s="268" t="n"/>
      <c r="AA234" s="268" t="n"/>
      <c r="AB234" s="268" t="n"/>
      <c r="AC234" s="268" t="n"/>
      <c r="AD234" s="268" t="n"/>
      <c r="AE234" s="268" t="n"/>
      <c r="AF234" s="268" t="n"/>
      <c r="AG234" s="268" t="n"/>
      <c r="AH234" s="259">
        <f>AH231+AH232-AH233-AF221+AH223+AH227</f>
        <v>3557</v>
      </c>
      <c r="AI234" s="259">
        <f>AI231+AI232-AI233-AG221+AI223+AI227</f>
        <v>1383</v>
      </c>
      <c r="AJ234" s="259">
        <f>AJ231+AJ232-AJ233-AH221+AJ223+AJ227</f>
        <v>-32372</v>
      </c>
      <c r="AK234" s="259">
        <f>AK231+AK232-AK233-AI221+AK223+AK227</f>
        <v>-1234</v>
      </c>
      <c r="AL234" s="268" t="n"/>
      <c r="AM234" s="259" t="e">
        <f>AM231+AM232-AM233-AK221+AM223+AM227</f>
        <v>#DIV/0!</v>
      </c>
      <c r="AN234" s="259" t="e">
        <f>AN231+AN232-AN233-AL221+AN223+AN227</f>
        <v>#DIV/0!</v>
      </c>
      <c r="AO234" s="259" t="e">
        <f>AO231+AO232-AO233-AM221+AO223+AO227</f>
        <v>#DIV/0!</v>
      </c>
      <c r="AP234" s="259" t="e">
        <f>AP231+AP232-AP233-AN221+AP223+AP227</f>
        <v>#DIV/0!</v>
      </c>
      <c r="AQ234" s="268" t="n"/>
      <c r="AR234" s="259" t="e">
        <f>AR231+AR232-AR233-AP221+AR223+AR227</f>
        <v>#DIV/0!</v>
      </c>
      <c r="AS234" s="259" t="e">
        <f>AS231+AS232-AS233-AQ221+AS223+AS227</f>
        <v>#DIV/0!</v>
      </c>
      <c r="AT234" s="259" t="e">
        <f>AT231+AT232-AT233-AR221+AT223+AT227</f>
        <v>#DIV/0!</v>
      </c>
      <c r="AU234" s="259" t="e">
        <f>AU231+AU232-AU233-AS221+AU223+AU227</f>
        <v>#DIV/0!</v>
      </c>
      <c r="AV234" s="268" t="n"/>
      <c r="AW234" s="259" t="e">
        <f>AW231+AW232-AW233-AU221+AW223+AW227</f>
        <v>#DIV/0!</v>
      </c>
      <c r="AX234" s="259" t="e">
        <f>AX231+AX232-AX233-AV221+AX223+AX227</f>
        <v>#DIV/0!</v>
      </c>
      <c r="AY234" s="259" t="e">
        <f>AY231+AY232-AY233-AW221+AY223+AY227</f>
        <v>#DIV/0!</v>
      </c>
      <c r="AZ234" s="259" t="e">
        <f>AZ231+AZ232-AZ233-AX221+AZ223+AZ227</f>
        <v>#DIV/0!</v>
      </c>
      <c r="BA234" s="268" t="n"/>
      <c r="BB234" s="259" t="e">
        <f>BB231+BB232-BB233-AZ221+BB223+BB227</f>
        <v>#DIV/0!</v>
      </c>
      <c r="BC234" s="259" t="e">
        <f>BC231+BC232-BC233-BA221+BC223+BC227</f>
        <v>#DIV/0!</v>
      </c>
      <c r="BD234" s="259" t="e">
        <f>BD231+BD232-BD233-BB221+BD223+BD227</f>
        <v>#DIV/0!</v>
      </c>
      <c r="BE234" s="259" t="e">
        <f>BE231+BE232-BE233-BC221+BE223+BE227</f>
        <v>#DIV/0!</v>
      </c>
      <c r="BF234" s="268" t="n"/>
      <c r="BG234" s="259" t="e">
        <f>BG231+BG232-BG233-BE221+BG223+BG227</f>
        <v>#DIV/0!</v>
      </c>
      <c r="BH234" s="259" t="e">
        <f>BH231+BH232-BH233-BF221+BH223+BH227</f>
        <v>#DIV/0!</v>
      </c>
      <c r="BI234" s="259" t="e">
        <f>BI231+BI232-BI233-BG221+BI223+BI227</f>
        <v>#DIV/0!</v>
      </c>
      <c r="BJ234" s="259" t="e">
        <f>BJ231+BJ232-BJ233-BH221+BJ223+BJ227</f>
        <v>#DIV/0!</v>
      </c>
      <c r="BK234" s="268" t="n"/>
      <c r="BL234" s="259" t="e">
        <f>BL231+BL232-BL233-BJ221+BL223+BL227</f>
        <v>#DIV/0!</v>
      </c>
      <c r="BM234" s="259" t="e">
        <f>BM231+BM232-BM233-BK221+BM223+BM227</f>
        <v>#DIV/0!</v>
      </c>
      <c r="BN234" s="259" t="e">
        <f>BN231+BN232-BN233-BL221+BN223+BN227</f>
        <v>#DIV/0!</v>
      </c>
      <c r="BO234" s="259" t="e">
        <f>BO231+BO232-BO233-BM221+BO223+BO227</f>
        <v>#DIV/0!</v>
      </c>
      <c r="BP234" s="268" t="n"/>
      <c r="BQ234" s="259" t="e">
        <f>BQ231+BQ232-BQ233-BO221+BQ223+BQ227</f>
        <v>#DIV/0!</v>
      </c>
      <c r="BR234" s="259" t="e">
        <f>BR231+BR232-BR233-BP221+BR223+BR227</f>
        <v>#DIV/0!</v>
      </c>
      <c r="BS234" s="259" t="e">
        <f>BS231+BS232-BS233-BQ221+BS223+BS227</f>
        <v>#DIV/0!</v>
      </c>
      <c r="BT234" s="259" t="e">
        <f>BT231+BT232-BT233-BR221+BT223+BT227</f>
        <v>#DIV/0!</v>
      </c>
      <c r="BU234" s="268" t="n"/>
      <c r="BV234" s="259" t="e">
        <f>BV231+BV232-BV233-BT221+BV223+BV227</f>
        <v>#DIV/0!</v>
      </c>
      <c r="BW234" s="259" t="e">
        <f>BW231+BW232-BW233-BU221+BW223+BW227</f>
        <v>#DIV/0!</v>
      </c>
      <c r="BX234" s="259" t="e">
        <f>BX231+BX232-BX233-BV221+BX223+BX227</f>
        <v>#DIV/0!</v>
      </c>
      <c r="BY234" s="259" t="e">
        <f>BY231+BY232-BY233-BW221+BY223+BY227</f>
        <v>#DIV/0!</v>
      </c>
      <c r="BZ234" s="268" t="n"/>
      <c r="CA234" s="259" t="e">
        <f>CA231+CA232-CA233-BY221+CA223+CA227</f>
        <v>#DIV/0!</v>
      </c>
      <c r="CB234" s="259" t="e">
        <f>CB231+CB232-CB233-BZ221+CB223+CB227</f>
        <v>#DIV/0!</v>
      </c>
      <c r="CC234" s="259" t="e">
        <f>CC231+CC232-CC233-CA221+CC223+CC227</f>
        <v>#DIV/0!</v>
      </c>
      <c r="CD234" s="259" t="e">
        <f>CD231+CD232-CD233-CB221+CD223+CD227</f>
        <v>#DIV/0!</v>
      </c>
      <c r="CE234" s="268" t="n"/>
      <c r="CF234" s="259" t="e">
        <f>CF231+CF232-CF233-CD221+CF223+CF227</f>
        <v>#DIV/0!</v>
      </c>
      <c r="CG234" s="259" t="e">
        <f>CG231+CG232-CG233-CE221+CG223+CG227</f>
        <v>#DIV/0!</v>
      </c>
      <c r="CH234" s="259" t="e">
        <f>CH231+CH232-CH233-CF221+CH223+CH227</f>
        <v>#DIV/0!</v>
      </c>
      <c r="CI234" s="259" t="e">
        <f>CI231+CI232-CI233-CG221+CI223+CI227</f>
        <v>#DIV/0!</v>
      </c>
      <c r="CJ234" s="268" t="n"/>
      <c r="CK234" s="259" t="e">
        <f>CK231+CK232-CK233-CI221+CK223+CK227</f>
        <v>#DIV/0!</v>
      </c>
      <c r="CL234" s="259" t="e">
        <f>CL231+CL232-CL233-CJ221+CL223+CL227</f>
        <v>#DIV/0!</v>
      </c>
      <c r="CM234" s="259" t="e">
        <f>CM231+CM232-CM233-CK221+CM223+CM227</f>
        <v>#DIV/0!</v>
      </c>
      <c r="CN234" s="259" t="e">
        <f>CN231+CN232-CN233-CL221+CN223+CN227</f>
        <v>#DIV/0!</v>
      </c>
      <c r="CO234" s="268" t="n"/>
      <c r="CP234" s="259" t="e">
        <f>CP231+CP232-CP233-CN221+CP223+CP227</f>
        <v>#DIV/0!</v>
      </c>
      <c r="CQ234" s="259" t="e">
        <f>CQ231+CQ232-CQ233-CO221+CQ223+CQ227</f>
        <v>#DIV/0!</v>
      </c>
      <c r="CR234" s="259" t="e">
        <f>CR231+CR232-CR233-CP221+CR223+CR227</f>
        <v>#DIV/0!</v>
      </c>
      <c r="CS234" s="259" t="e">
        <f>CS231+CS232-CS233-CQ221+CS223+CS227</f>
        <v>#DIV/0!</v>
      </c>
      <c r="CT234" s="268" t="n"/>
      <c r="CU234" s="259" t="e">
        <f>CU231+CU232-CU233-CS221+CU223+CU227</f>
        <v>#DIV/0!</v>
      </c>
      <c r="CV234" s="259" t="e">
        <f>CV231+CV232-CV233-CT221+CV223+CV227</f>
        <v>#DIV/0!</v>
      </c>
      <c r="CW234" s="259" t="e">
        <f>CW231+CW232-CW233-CU221+CW223+CW227</f>
        <v>#DIV/0!</v>
      </c>
      <c r="CX234" s="259" t="e">
        <f>CX231+CX232-CX233-CV221+CX223+CX227</f>
        <v>#DIV/0!</v>
      </c>
      <c r="CY234" s="268" t="n"/>
    </row>
    <row r="235" hidden="1" outlineLevel="1" ht="12.75" customHeight="1" s="255">
      <c r="C235" s="312" t="inlineStr">
        <is>
          <t>Short term debt</t>
        </is>
      </c>
      <c r="D235" s="268" t="n"/>
      <c r="E235" s="268" t="n"/>
      <c r="F235" s="268" t="n"/>
      <c r="G235" s="268" t="n"/>
      <c r="H235" s="268" t="n"/>
      <c r="I235" s="268" t="n"/>
      <c r="J235" s="268" t="n"/>
      <c r="K235" s="268" t="n"/>
      <c r="L235" s="268" t="n"/>
      <c r="M235" s="268" t="n"/>
      <c r="N235" s="268" t="n"/>
      <c r="O235" s="268" t="n"/>
      <c r="P235" s="268" t="n"/>
      <c r="Q235" s="268" t="n"/>
      <c r="R235" s="268" t="n"/>
      <c r="S235" s="268" t="n"/>
      <c r="T235" s="268" t="n"/>
      <c r="U235" s="268" t="n"/>
      <c r="V235" s="268" t="n"/>
      <c r="W235" s="268" t="n"/>
      <c r="X235" s="268" t="n"/>
      <c r="Y235" s="268" t="n"/>
      <c r="Z235" s="268" t="n"/>
      <c r="AA235" s="268" t="n"/>
      <c r="AB235" s="268" t="n"/>
      <c r="AC235" s="268" t="n"/>
      <c r="AD235" s="268" t="n"/>
      <c r="AE235" s="268" t="n"/>
      <c r="AF235" s="268" t="n"/>
      <c r="AG235" s="268" t="n"/>
      <c r="AH235" s="268">
        <f>AH215</f>
        <v>0</v>
      </c>
      <c r="AI235" s="268">
        <f>MAX(0,AH235-AI234)</f>
        <v>0</v>
      </c>
      <c r="AJ235" s="268">
        <f>MAX(0,AI235-AJ234)</f>
        <v>32372</v>
      </c>
      <c r="AK235" s="268">
        <f>MAX(0,AJ235-AK234)</f>
        <v>33606</v>
      </c>
      <c r="AL235" s="268" t="n"/>
      <c r="AM235" s="268">
        <f>AM215</f>
        <v>0</v>
      </c>
      <c r="AN235" s="268" t="e">
        <f>MAX(0,AM235-AN234)</f>
        <v>#DIV/0!</v>
      </c>
      <c r="AO235" s="268" t="e">
        <f>MAX(0,AN235-AO234)</f>
        <v>#DIV/0!</v>
      </c>
      <c r="AP235" s="268" t="e">
        <f>MAX(0,AO235-AP234)</f>
        <v>#DIV/0!</v>
      </c>
      <c r="AQ235" s="268" t="n"/>
      <c r="AR235" s="268">
        <f>AR215</f>
        <v>0</v>
      </c>
      <c r="AS235" s="268" t="e">
        <f>MAX(0,AR235-AS234)</f>
        <v>#DIV/0!</v>
      </c>
      <c r="AT235" s="268" t="e">
        <f>MAX(0,AS235-AT234)</f>
        <v>#DIV/0!</v>
      </c>
      <c r="AU235" s="268" t="e">
        <f>MAX(0,AT235-AU234)</f>
        <v>#DIV/0!</v>
      </c>
      <c r="AV235" s="268" t="n"/>
      <c r="AW235" s="268">
        <f>AW215</f>
        <v>0</v>
      </c>
      <c r="AX235" s="268" t="e">
        <f>MAX(0,AW235-AX234)</f>
        <v>#DIV/0!</v>
      </c>
      <c r="AY235" s="268" t="e">
        <f>MAX(0,AX235-AY234)</f>
        <v>#DIV/0!</v>
      </c>
      <c r="AZ235" s="268" t="e">
        <f>MAX(0,AY235-AZ234)</f>
        <v>#DIV/0!</v>
      </c>
      <c r="BA235" s="268" t="n"/>
      <c r="BB235" s="268">
        <f>BB215</f>
        <v>0</v>
      </c>
      <c r="BC235" s="268" t="e">
        <f>MAX(0,BB235-BC234)</f>
        <v>#DIV/0!</v>
      </c>
      <c r="BD235" s="268" t="e">
        <f>MAX(0,BC235-BD234)</f>
        <v>#DIV/0!</v>
      </c>
      <c r="BE235" s="268" t="e">
        <f>MAX(0,BD235-BE234)</f>
        <v>#DIV/0!</v>
      </c>
      <c r="BF235" s="268" t="n"/>
      <c r="BG235" s="268">
        <f>BG215</f>
        <v>0</v>
      </c>
      <c r="BH235" s="268" t="e">
        <f>MAX(0,BG235-BH234)</f>
        <v>#DIV/0!</v>
      </c>
      <c r="BI235" s="268" t="e">
        <f>MAX(0,BH235-BI234)</f>
        <v>#DIV/0!</v>
      </c>
      <c r="BJ235" s="268" t="e">
        <f>MAX(0,BI235-BJ234)</f>
        <v>#DIV/0!</v>
      </c>
      <c r="BK235" s="268" t="n"/>
      <c r="BL235" s="268">
        <f>BL215</f>
        <v>0</v>
      </c>
      <c r="BM235" s="268" t="e">
        <f>MAX(0,BL235-BM234)</f>
        <v>#DIV/0!</v>
      </c>
      <c r="BN235" s="268" t="e">
        <f>MAX(0,BM235-BN234)</f>
        <v>#DIV/0!</v>
      </c>
      <c r="BO235" s="268" t="e">
        <f>MAX(0,BN235-BO234)</f>
        <v>#DIV/0!</v>
      </c>
      <c r="BP235" s="268" t="n"/>
      <c r="BQ235" s="268">
        <f>BQ215</f>
        <v>0</v>
      </c>
      <c r="BR235" s="268" t="e">
        <f>MAX(0,BQ235-BR234)</f>
        <v>#DIV/0!</v>
      </c>
      <c r="BS235" s="268" t="e">
        <f>MAX(0,BR235-BS234)</f>
        <v>#DIV/0!</v>
      </c>
      <c r="BT235" s="268" t="e">
        <f>MAX(0,BS235-BT234)</f>
        <v>#DIV/0!</v>
      </c>
      <c r="BU235" s="268" t="n"/>
      <c r="BV235" s="268">
        <f>BV215</f>
        <v>0</v>
      </c>
      <c r="BW235" s="268" t="e">
        <f>MAX(0,BV235-BW234)</f>
        <v>#DIV/0!</v>
      </c>
      <c r="BX235" s="268" t="e">
        <f>MAX(0,BW235-BX234)</f>
        <v>#DIV/0!</v>
      </c>
      <c r="BY235" s="268" t="e">
        <f>MAX(0,BX235-BY234)</f>
        <v>#DIV/0!</v>
      </c>
      <c r="BZ235" s="268" t="n"/>
      <c r="CA235" s="268">
        <f>CA215</f>
        <v>0</v>
      </c>
      <c r="CB235" s="268" t="e">
        <f>MAX(0,CA235-CB234)</f>
        <v>#DIV/0!</v>
      </c>
      <c r="CC235" s="268" t="e">
        <f>MAX(0,CB235-CC234)</f>
        <v>#DIV/0!</v>
      </c>
      <c r="CD235" s="268" t="e">
        <f>MAX(0,CC235-CD234)</f>
        <v>#DIV/0!</v>
      </c>
      <c r="CE235" s="268" t="n"/>
      <c r="CF235" s="268">
        <f>CF215</f>
        <v>0</v>
      </c>
      <c r="CG235" s="268" t="e">
        <f>MAX(0,CF235-CG234)</f>
        <v>#DIV/0!</v>
      </c>
      <c r="CH235" s="268" t="e">
        <f>MAX(0,CG235-CH234)</f>
        <v>#DIV/0!</v>
      </c>
      <c r="CI235" s="268" t="e">
        <f>MAX(0,CH235-CI234)</f>
        <v>#DIV/0!</v>
      </c>
      <c r="CJ235" s="268" t="n"/>
      <c r="CK235" s="268">
        <f>CK215</f>
        <v>0</v>
      </c>
      <c r="CL235" s="268" t="e">
        <f>MAX(0,CK235-CL234)</f>
        <v>#DIV/0!</v>
      </c>
      <c r="CM235" s="268" t="e">
        <f>MAX(0,CL235-CM234)</f>
        <v>#DIV/0!</v>
      </c>
      <c r="CN235" s="268" t="e">
        <f>MAX(0,CM235-CN234)</f>
        <v>#DIV/0!</v>
      </c>
      <c r="CO235" s="268" t="n"/>
      <c r="CP235" s="268">
        <f>CP215</f>
        <v>0</v>
      </c>
      <c r="CQ235" s="268" t="e">
        <f>MAX(0,CP235-CQ234)</f>
        <v>#DIV/0!</v>
      </c>
      <c r="CR235" s="268" t="e">
        <f>MAX(0,CQ235-CR234)</f>
        <v>#DIV/0!</v>
      </c>
      <c r="CS235" s="268" t="e">
        <f>MAX(0,CR235-CS234)</f>
        <v>#DIV/0!</v>
      </c>
      <c r="CT235" s="268" t="n"/>
      <c r="CU235" s="268">
        <f>CU215</f>
        <v>0</v>
      </c>
      <c r="CV235" s="268" t="e">
        <f>MAX(0,CU235-CV234)</f>
        <v>#DIV/0!</v>
      </c>
      <c r="CW235" s="268" t="e">
        <f>MAX(0,CV235-CW234)</f>
        <v>#DIV/0!</v>
      </c>
      <c r="CX235" s="268" t="e">
        <f>MAX(0,CW235-CX234)</f>
        <v>#DIV/0!</v>
      </c>
      <c r="CY235" s="268" t="n"/>
    </row>
    <row r="236" hidden="1" outlineLevel="1" ht="12.75" customHeight="1" s="255">
      <c r="C236" s="312" t="n"/>
      <c r="D236" s="268" t="n"/>
      <c r="E236" s="268" t="n"/>
      <c r="F236" s="268" t="n"/>
      <c r="G236" s="268" t="n"/>
      <c r="H236" s="268" t="n"/>
      <c r="I236" s="268" t="n"/>
      <c r="J236" s="268" t="n"/>
      <c r="K236" s="268" t="n"/>
      <c r="L236" s="268" t="n"/>
      <c r="M236" s="268" t="n"/>
      <c r="N236" s="268" t="n"/>
      <c r="O236" s="268" t="n"/>
      <c r="P236" s="268" t="n"/>
      <c r="Q236" s="268" t="n"/>
      <c r="R236" s="268" t="n"/>
      <c r="S236" s="268" t="n"/>
      <c r="T236" s="268" t="n"/>
      <c r="U236" s="268" t="n"/>
      <c r="V236" s="268" t="n"/>
      <c r="W236" s="268" t="n"/>
      <c r="X236" s="268" t="n"/>
      <c r="Y236" s="268" t="n"/>
      <c r="Z236" s="268" t="n"/>
      <c r="AA236" s="268" t="n"/>
      <c r="AB236" s="268" t="n"/>
      <c r="AC236" s="268" t="n"/>
      <c r="AD236" s="268" t="n"/>
      <c r="AE236" s="268" t="n"/>
      <c r="AF236" s="268" t="n"/>
      <c r="AG236" s="268" t="n"/>
      <c r="AH236" s="268" t="n"/>
      <c r="AI236" s="268" t="n"/>
      <c r="AJ236" s="268" t="n"/>
      <c r="AK236" s="268" t="n"/>
      <c r="AL236" s="268" t="n"/>
      <c r="AM236" s="268" t="n"/>
      <c r="AN236" s="268" t="n"/>
      <c r="AO236" s="268" t="n"/>
      <c r="AP236" s="268" t="n"/>
      <c r="AQ236" s="268" t="n"/>
      <c r="AR236" s="268" t="n"/>
      <c r="AS236" s="268" t="n"/>
      <c r="AT236" s="268" t="n"/>
      <c r="AU236" s="268" t="n"/>
      <c r="AV236" s="268" t="n"/>
      <c r="AW236" s="268" t="n"/>
      <c r="AX236" s="268" t="n"/>
      <c r="AY236" s="268" t="n"/>
      <c r="AZ236" s="268" t="n"/>
      <c r="BA236" s="268" t="n"/>
      <c r="BB236" s="268" t="n"/>
      <c r="BC236" s="268" t="n"/>
      <c r="BD236" s="268" t="n"/>
      <c r="BE236" s="268" t="n"/>
      <c r="BF236" s="268" t="n"/>
      <c r="BG236" s="268" t="n"/>
      <c r="BH236" s="268" t="n"/>
      <c r="BI236" s="268" t="n"/>
      <c r="BJ236" s="268" t="n"/>
      <c r="BK236" s="268" t="n"/>
      <c r="BL236" s="268" t="n"/>
      <c r="BM236" s="268" t="n"/>
      <c r="BN236" s="268" t="n"/>
      <c r="BO236" s="268" t="n"/>
      <c r="BP236" s="268" t="n"/>
      <c r="BQ236" s="268" t="n"/>
      <c r="BR236" s="268" t="n"/>
      <c r="BS236" s="268" t="n"/>
      <c r="BT236" s="268" t="n"/>
      <c r="BU236" s="268" t="n"/>
      <c r="BV236" s="268" t="n"/>
      <c r="BW236" s="268" t="n"/>
      <c r="BX236" s="268" t="n"/>
      <c r="BY236" s="268" t="n"/>
      <c r="BZ236" s="268" t="n"/>
      <c r="CA236" s="268" t="n"/>
      <c r="CB236" s="268" t="n"/>
      <c r="CC236" s="268" t="n"/>
      <c r="CD236" s="268" t="n"/>
      <c r="CE236" s="268" t="n"/>
      <c r="CF236" s="268" t="n"/>
      <c r="CG236" s="268" t="n"/>
      <c r="CH236" s="268" t="n"/>
      <c r="CI236" s="268" t="n"/>
      <c r="CJ236" s="268" t="n"/>
      <c r="CK236" s="268" t="n"/>
      <c r="CL236" s="268" t="n"/>
      <c r="CM236" s="268" t="n"/>
      <c r="CN236" s="268" t="n"/>
      <c r="CO236" s="268" t="n"/>
      <c r="CP236" s="268" t="n"/>
      <c r="CQ236" s="268" t="n"/>
      <c r="CR236" s="268" t="n"/>
      <c r="CS236" s="268" t="n"/>
      <c r="CT236" s="268" t="n"/>
      <c r="CU236" s="268" t="n"/>
      <c r="CV236" s="268" t="n"/>
      <c r="CW236" s="268" t="n"/>
      <c r="CX236" s="268" t="n"/>
      <c r="CY236" s="268" t="n"/>
    </row>
    <row r="237" ht="12.75" customHeight="1" s="255">
      <c r="C237" s="270" t="inlineStr">
        <is>
          <t>Long term operating leases</t>
        </is>
      </c>
      <c r="D237" s="301">
        <f>INDEX('Inputs (2)'!$D$36:$AL$36,MATCH(D$7,'Inputs (2)'!$D$2:$AL$2,0))</f>
        <v>15669</v>
      </c>
      <c r="E237" s="301">
        <f>INDEX('Inputs (2)'!$D$36:$AL$36,MATCH(E$7,'Inputs (2)'!$D$2:$AL$2,0))</f>
        <v>15669</v>
      </c>
      <c r="F237" s="301">
        <f>INDEX('Inputs (2)'!$D$36:$AL$36,MATCH(F$7,'Inputs (2)'!$D$2:$AL$2,0))</f>
        <v>15982</v>
      </c>
      <c r="G237" s="301">
        <f>INDEX('Inputs (2)'!$D$36:$AL$36,MATCH(G$7,'Inputs (2)'!$D$2:$AL$2,0))</f>
        <v>12909</v>
      </c>
      <c r="H237" s="268">
        <f>G237</f>
        <v>12909</v>
      </c>
      <c r="I237" s="301">
        <f>INDEX('Inputs (2)'!$D$36:$AL$36,MATCH(I$7,'Inputs (2)'!$D$2:$AL$2,0))</f>
        <v>12930</v>
      </c>
      <c r="J237" s="301">
        <f>INDEX('Inputs (2)'!$D$36:$AL$36,MATCH(J$7,'Inputs (2)'!$D$2:$AL$2,0))</f>
        <v>13116</v>
      </c>
      <c r="K237" s="301">
        <f>INDEX('Inputs (2)'!$D$36:$AL$36,MATCH(K$7,'Inputs (2)'!$D$2:$AL$2,0))</f>
        <v>13095</v>
      </c>
      <c r="L237" s="301">
        <f>INDEX('Inputs (2)'!$D$36:$AL$36,MATCH(L$7,'Inputs (2)'!$D$2:$AL$2,0))</f>
        <v>13009</v>
      </c>
      <c r="M237" s="268">
        <f>L237</f>
        <v>13009</v>
      </c>
      <c r="N237" s="301">
        <f>INDEX('Inputs (2)'!$D$36:$AL$36,MATCH(N$7,'Inputs (2)'!$D$2:$AL$2,0))</f>
        <v>13226</v>
      </c>
      <c r="O237" s="301">
        <f>INDEX('Inputs (2)'!$D$36:$AL$36,MATCH(O$7,'Inputs (2)'!$D$2:$AL$2,0))</f>
        <v>13140</v>
      </c>
      <c r="P237" s="301">
        <f>INDEX('Inputs (2)'!$D$36:$AL$36,MATCH(P$7,'Inputs (2)'!$D$2:$AL$2,0))</f>
        <v>12658</v>
      </c>
      <c r="Q237" s="301">
        <f>INDEX('Inputs (2)'!$D$36:$AL$36,MATCH(Q$7,'Inputs (2)'!$D$2:$AL$2,0))</f>
        <v>12828</v>
      </c>
      <c r="R237" s="268">
        <f>Q237</f>
        <v>12828</v>
      </c>
      <c r="S237" s="301">
        <f>INDEX('Inputs (2)'!$D$36:$AL$36,MATCH(S$7,'Inputs (2)'!$D$2:$AL$2,0))</f>
        <v>12925</v>
      </c>
      <c r="T237" s="301">
        <f>INDEX('Inputs (2)'!$D$36:$AL$36,MATCH(T$7,'Inputs (2)'!$D$2:$AL$2,0))</f>
        <v>12978</v>
      </c>
      <c r="U237" s="301">
        <f>INDEX('Inputs (2)'!$D$36:$AL$36,MATCH(U$7,'Inputs (2)'!$D$2:$AL$2,0))</f>
        <v>12817</v>
      </c>
      <c r="V237" s="301">
        <f>INDEX('Inputs (2)'!$D$36:$AL$36,MATCH(V$7,'Inputs (2)'!$D$2:$AL$2,0))</f>
        <v>12943</v>
      </c>
      <c r="W237" s="268">
        <f>V237</f>
        <v>12943</v>
      </c>
      <c r="X237" s="301">
        <f>INDEX('Inputs (2)'!$D$36:$AL$36,MATCH(X$7,'Inputs (2)'!$D$2:$AL$2,0))</f>
        <v>12840</v>
      </c>
      <c r="Y237" s="301">
        <f>INDEX('Inputs (2)'!$D$36:$AL$36,MATCH(Y$7,'Inputs (2)'!$D$2:$AL$2,0))</f>
        <v>12811</v>
      </c>
      <c r="Z237" s="301">
        <f>INDEX('Inputs (2)'!$D$36:$AL$36,MATCH(Z$7,'Inputs (2)'!$D$2:$AL$2,0))</f>
        <v>12927</v>
      </c>
      <c r="AA237" s="301">
        <f>INDEX('Inputs (2)'!$D$36:$AL$36,MATCH(AA$7,'Inputs (2)'!$D$2:$AL$2,0))</f>
        <v>12825</v>
      </c>
      <c r="AB237" s="268">
        <f>AA237</f>
        <v>12825</v>
      </c>
      <c r="AC237" s="301">
        <f>INDEX('Inputs (2)'!$D$36:$AL$36,MATCH(AC$7,'Inputs (2)'!$D$2:$AL$2,0))</f>
        <v>12797</v>
      </c>
      <c r="AD237" s="301">
        <f>INDEX('Inputs (2)'!$D$36:$AL$36,MATCH(AD$7,'Inputs (2)'!$D$2:$AL$2,0))</f>
        <v>13171</v>
      </c>
      <c r="AE237" s="301">
        <f>INDEX('Inputs (2)'!$D$36:$AL$36,MATCH(AE$7,'Inputs (2)'!$D$2:$AL$2,0))</f>
        <v>13705</v>
      </c>
      <c r="AF237" s="301">
        <f>INDEX('Inputs (2)'!$D$36:$AL$36,MATCH(AF$7,'Inputs (2)'!$D$2:$AL$2,0))</f>
        <v>13941</v>
      </c>
      <c r="AG237" s="268">
        <f>AF237</f>
        <v>13941</v>
      </c>
      <c r="AH237" s="268">
        <f>INDEX('Inputs (2)'!$D$36:$AL$36,MATCH(AH$7,'Inputs (2)'!$D$2:$AL$2,0))</f>
        <v>14388</v>
      </c>
      <c r="AI237" s="268">
        <f>INDEX('Inputs (2)'!$D$36:$AL$36,MATCH(AI$7,'Inputs (2)'!$D$2:$AL$2,0))</f>
        <v>14798</v>
      </c>
      <c r="AJ237" s="268">
        <f>AI237</f>
        <v>14798</v>
      </c>
      <c r="AK237" s="268">
        <f>AJ237</f>
        <v>14798</v>
      </c>
      <c r="AL237" s="268">
        <f>AK237</f>
        <v>14798</v>
      </c>
      <c r="AM237" s="268">
        <f>AL237</f>
        <v>14798</v>
      </c>
      <c r="AN237" s="268">
        <f>AM237</f>
        <v>14798</v>
      </c>
      <c r="AO237" s="268">
        <f>AN237</f>
        <v>14798</v>
      </c>
      <c r="AP237" s="268">
        <f>AO237</f>
        <v>14798</v>
      </c>
      <c r="AQ237" s="268">
        <f>AP237</f>
        <v>14798</v>
      </c>
      <c r="AR237" s="268">
        <f>AQ237</f>
        <v>14798</v>
      </c>
      <c r="AS237" s="268">
        <f>AR237</f>
        <v>14798</v>
      </c>
      <c r="AT237" s="268">
        <f>AS237</f>
        <v>14798</v>
      </c>
      <c r="AU237" s="268">
        <f>AT237</f>
        <v>14798</v>
      </c>
      <c r="AV237" s="268">
        <f>AU237</f>
        <v>14798</v>
      </c>
      <c r="AW237" s="268">
        <f>AV237</f>
        <v>14798</v>
      </c>
      <c r="AX237" s="268">
        <f>AW237</f>
        <v>14798</v>
      </c>
      <c r="AY237" s="268">
        <f>AX237</f>
        <v>14798</v>
      </c>
      <c r="AZ237" s="268">
        <f>AY237</f>
        <v>14798</v>
      </c>
      <c r="BA237" s="268">
        <f>AZ237</f>
        <v>14798</v>
      </c>
      <c r="BB237" s="268">
        <f>BA237</f>
        <v>14798</v>
      </c>
      <c r="BC237" s="268">
        <f>BB237</f>
        <v>14798</v>
      </c>
      <c r="BD237" s="268">
        <f>BC237</f>
        <v>14798</v>
      </c>
      <c r="BE237" s="268">
        <f>BD237</f>
        <v>14798</v>
      </c>
      <c r="BF237" s="268">
        <f>BE237</f>
        <v>14798</v>
      </c>
      <c r="BG237" s="268">
        <f>BF237</f>
        <v>14798</v>
      </c>
      <c r="BH237" s="268">
        <f>BG237</f>
        <v>14798</v>
      </c>
      <c r="BI237" s="268">
        <f>BH237</f>
        <v>14798</v>
      </c>
      <c r="BJ237" s="268">
        <f>BI237</f>
        <v>14798</v>
      </c>
      <c r="BK237" s="268">
        <f>BJ237</f>
        <v>14798</v>
      </c>
      <c r="BL237" s="268">
        <f>BK237</f>
        <v>14798</v>
      </c>
      <c r="BM237" s="268">
        <f>BL237</f>
        <v>14798</v>
      </c>
      <c r="BN237" s="268">
        <f>BM237</f>
        <v>14798</v>
      </c>
      <c r="BO237" s="268">
        <f>BN237</f>
        <v>14798</v>
      </c>
      <c r="BP237" s="268">
        <f>BO237</f>
        <v>14798</v>
      </c>
      <c r="BQ237" s="268">
        <f>BP237</f>
        <v>14798</v>
      </c>
      <c r="BR237" s="268">
        <f>BQ237</f>
        <v>14798</v>
      </c>
      <c r="BS237" s="268">
        <f>BR237</f>
        <v>14798</v>
      </c>
      <c r="BT237" s="268">
        <f>BS237</f>
        <v>14798</v>
      </c>
      <c r="BU237" s="268">
        <f>BT237</f>
        <v>14798</v>
      </c>
      <c r="BV237" s="268">
        <f>BU237</f>
        <v>14798</v>
      </c>
      <c r="BW237" s="268">
        <f>BV237</f>
        <v>14798</v>
      </c>
      <c r="BX237" s="268">
        <f>BW237</f>
        <v>14798</v>
      </c>
      <c r="BY237" s="268">
        <f>BX237</f>
        <v>14798</v>
      </c>
      <c r="BZ237" s="268">
        <f>BY237</f>
        <v>14798</v>
      </c>
      <c r="CA237" s="268">
        <f>BZ237</f>
        <v>14798</v>
      </c>
      <c r="CB237" s="268">
        <f>CA237</f>
        <v>14798</v>
      </c>
      <c r="CC237" s="268">
        <f>CB237</f>
        <v>14798</v>
      </c>
      <c r="CD237" s="268">
        <f>CC237</f>
        <v>14798</v>
      </c>
      <c r="CE237" s="268">
        <f>CD237</f>
        <v>14798</v>
      </c>
      <c r="CF237" s="268">
        <f>CE237</f>
        <v>14798</v>
      </c>
      <c r="CG237" s="268">
        <f>CF237</f>
        <v>14798</v>
      </c>
      <c r="CH237" s="268">
        <f>CG237</f>
        <v>14798</v>
      </c>
      <c r="CI237" s="268">
        <f>CH237</f>
        <v>14798</v>
      </c>
      <c r="CJ237" s="268">
        <f>CI237</f>
        <v>14798</v>
      </c>
      <c r="CK237" s="268">
        <f>CJ237</f>
        <v>14798</v>
      </c>
      <c r="CL237" s="268">
        <f>CK237</f>
        <v>14798</v>
      </c>
      <c r="CM237" s="268">
        <f>CL237</f>
        <v>14798</v>
      </c>
      <c r="CN237" s="268">
        <f>CM237</f>
        <v>14798</v>
      </c>
      <c r="CO237" s="268">
        <f>CN237</f>
        <v>14798</v>
      </c>
      <c r="CP237" s="268">
        <f>CO237</f>
        <v>14798</v>
      </c>
      <c r="CQ237" s="268">
        <f>CP237</f>
        <v>14798</v>
      </c>
      <c r="CR237" s="268">
        <f>CQ237</f>
        <v>14798</v>
      </c>
      <c r="CS237" s="268">
        <f>CR237</f>
        <v>14798</v>
      </c>
      <c r="CT237" s="268">
        <f>CS237</f>
        <v>14798</v>
      </c>
      <c r="CU237" s="268">
        <f>CT237</f>
        <v>14798</v>
      </c>
      <c r="CV237" s="268">
        <f>CU237</f>
        <v>14798</v>
      </c>
      <c r="CW237" s="268">
        <f>CV237</f>
        <v>14798</v>
      </c>
      <c r="CX237" s="268">
        <f>CW237</f>
        <v>14798</v>
      </c>
      <c r="CY237" s="268">
        <f>CX237</f>
        <v>14798</v>
      </c>
    </row>
    <row r="238" hidden="1" outlineLevel="1" ht="12.75" customHeight="1" s="255">
      <c r="C238" s="314" t="inlineStr">
        <is>
          <t>%(Var.)</t>
        </is>
      </c>
      <c r="D238" s="268" t="n"/>
      <c r="E238" s="296">
        <f>IFERROR((E237-D237)/D237,0)</f>
        <v>0</v>
      </c>
      <c r="F238" s="296">
        <f>IFERROR((F237-E237)/E237,0)</f>
        <v>0.0199757482928075</v>
      </c>
      <c r="G238" s="296">
        <f>IFERROR((G237-F237)/F237,0)</f>
        <v>-0.192278813665374</v>
      </c>
      <c r="H238" s="268" t="n"/>
      <c r="I238" s="296">
        <f>IFERROR((I237-H237)/H237,0)</f>
        <v>0.00162677201952126</v>
      </c>
      <c r="J238" s="296">
        <f>IFERROR((J237-I237)/I237,0)</f>
        <v>0.014385150812065</v>
      </c>
      <c r="K238" s="296">
        <f>IFERROR((K237-J237)/J237,0)</f>
        <v>-0.00160109789569991</v>
      </c>
      <c r="L238" s="296">
        <f>IFERROR((L237-K237)/K237,0)</f>
        <v>-0.00656739213440244</v>
      </c>
      <c r="M238" s="268" t="n"/>
      <c r="N238" s="296">
        <f>IFERROR((N237-M237)/M237,0)</f>
        <v>0.0166807594742102</v>
      </c>
      <c r="O238" s="296">
        <f>IFERROR((O237-N237)/N237,0)</f>
        <v>-0.00650234386813852</v>
      </c>
      <c r="P238" s="296">
        <f>IFERROR((P237-O237)/O237,0)</f>
        <v>-0.0366818873668189</v>
      </c>
      <c r="Q238" s="296">
        <f>IFERROR((Q237-P237)/P237,0)</f>
        <v>0.0134302417443514</v>
      </c>
      <c r="R238" s="268" t="n"/>
      <c r="S238" s="296">
        <f>IFERROR((S237-R237)/R237,0)</f>
        <v>0.0075615840349236</v>
      </c>
      <c r="T238" s="296">
        <f>IFERROR((T237-S237)/S237,0)</f>
        <v>0.00410058027079304</v>
      </c>
      <c r="U238" s="296">
        <f>IFERROR((U237-T237)/T237,0)</f>
        <v>-0.0124056094929881</v>
      </c>
      <c r="V238" s="296">
        <f>IFERROR((V237-U237)/U237,0)</f>
        <v>0.00983069361004915</v>
      </c>
      <c r="W238" s="268" t="n"/>
      <c r="X238" s="296">
        <f>IFERROR((X237-W237)/W237,0)</f>
        <v>-0.00795796955883489</v>
      </c>
      <c r="Y238" s="296">
        <f>IFERROR((Y237-X237)/X237,0)</f>
        <v>-0.00225856697819315</v>
      </c>
      <c r="Z238" s="296">
        <f>IFERROR((Z237-Y237)/Y237,0)</f>
        <v>0.00905471860120209</v>
      </c>
      <c r="AA238" s="296">
        <f>IFERROR((AA237-Z237)/Z237,0)</f>
        <v>-0.00789046182408912</v>
      </c>
      <c r="AB238" s="268" t="n"/>
      <c r="AC238" s="296">
        <f>IFERROR((AC237-AB237)/AB237,0)</f>
        <v>-0.00218323586744639</v>
      </c>
      <c r="AD238" s="296">
        <f>IFERROR((AD237-AC237)/AC237,0)</f>
        <v>0.0292255997499414</v>
      </c>
      <c r="AE238" s="296">
        <f>IFERROR((AE237-AD237)/AD237,0)</f>
        <v>0.0405436185559183</v>
      </c>
      <c r="AF238" s="297">
        <f>IFERROR((AF237-AE237)/AE237,0)</f>
        <v>0.0172199927033929</v>
      </c>
      <c r="AG238" s="268" t="n"/>
      <c r="AH238" s="267">
        <f>IFERROR((AH237-AG237)/AG237,0)</f>
        <v>0.0320636970088229</v>
      </c>
      <c r="AI238" s="267">
        <f>IFERROR((AI237-AH237)/AH237,0)</f>
        <v>0.0284959688629413</v>
      </c>
      <c r="AJ238" s="267" t="n"/>
      <c r="AK238" s="267" t="n"/>
      <c r="AL238" s="268" t="n"/>
      <c r="AM238" s="267" t="n"/>
      <c r="AN238" s="267" t="n"/>
      <c r="AO238" s="267" t="n"/>
      <c r="AP238" s="267" t="n"/>
      <c r="AQ238" s="268" t="n"/>
      <c r="AR238" s="267" t="n"/>
      <c r="AS238" s="267" t="n"/>
      <c r="AT238" s="267" t="n"/>
      <c r="AU238" s="267" t="n"/>
      <c r="AV238" s="268" t="n"/>
      <c r="AW238" s="267" t="n"/>
      <c r="AX238" s="267" t="n"/>
      <c r="AY238" s="267" t="n"/>
      <c r="AZ238" s="267" t="n"/>
      <c r="BA238" s="268" t="n"/>
      <c r="BB238" s="267" t="n"/>
      <c r="BC238" s="267" t="n"/>
      <c r="BD238" s="267" t="n"/>
      <c r="BE238" s="267" t="n"/>
      <c r="BF238" s="268" t="n"/>
      <c r="BG238" s="267" t="n"/>
      <c r="BH238" s="267" t="n"/>
      <c r="BI238" s="267" t="n"/>
      <c r="BJ238" s="267" t="n"/>
      <c r="BK238" s="268" t="n"/>
      <c r="BL238" s="267" t="n"/>
      <c r="BM238" s="267" t="n"/>
      <c r="BN238" s="267" t="n"/>
      <c r="BO238" s="267" t="n"/>
      <c r="BP238" s="268" t="n"/>
      <c r="BQ238" s="267" t="n"/>
      <c r="BR238" s="267" t="n"/>
      <c r="BS238" s="267" t="n"/>
      <c r="BT238" s="267" t="n"/>
      <c r="BU238" s="268" t="n"/>
      <c r="BV238" s="267" t="n"/>
      <c r="BW238" s="267" t="n"/>
      <c r="BX238" s="267" t="n"/>
      <c r="BY238" s="267" t="n"/>
      <c r="BZ238" s="268" t="n"/>
      <c r="CA238" s="267" t="n"/>
      <c r="CB238" s="267" t="n"/>
      <c r="CC238" s="267" t="n"/>
      <c r="CD238" s="267" t="n"/>
      <c r="CE238" s="268" t="n"/>
      <c r="CF238" s="267" t="n"/>
      <c r="CG238" s="267" t="n"/>
      <c r="CH238" s="267" t="n"/>
      <c r="CI238" s="267" t="n"/>
      <c r="CJ238" s="268" t="n"/>
      <c r="CK238" s="267" t="n"/>
      <c r="CL238" s="267" t="n"/>
      <c r="CM238" s="267" t="n"/>
      <c r="CN238" s="267" t="n"/>
      <c r="CO238" s="268" t="n"/>
      <c r="CP238" s="267" t="n"/>
      <c r="CQ238" s="267" t="n"/>
      <c r="CR238" s="267" t="n"/>
      <c r="CS238" s="267" t="n"/>
      <c r="CT238" s="268" t="n"/>
      <c r="CU238" s="267" t="n"/>
      <c r="CV238" s="267" t="n"/>
      <c r="CW238" s="267" t="n"/>
      <c r="CX238" s="267" t="n"/>
      <c r="CY238" s="268" t="n"/>
    </row>
    <row r="239" hidden="1" outlineLevel="1" ht="12.75" customHeight="1" s="255">
      <c r="C239" s="312" t="n"/>
      <c r="D239" s="268" t="n"/>
      <c r="E239" s="268" t="n"/>
      <c r="F239" s="268" t="n"/>
      <c r="G239" s="268" t="n"/>
      <c r="H239" s="268" t="n"/>
      <c r="I239" s="268" t="n"/>
      <c r="J239" s="268" t="n"/>
      <c r="K239" s="268" t="n"/>
      <c r="L239" s="268" t="n"/>
      <c r="M239" s="268" t="n"/>
      <c r="N239" s="268" t="n"/>
      <c r="O239" s="268" t="n"/>
      <c r="P239" s="268" t="n"/>
      <c r="Q239" s="268" t="n"/>
      <c r="R239" s="268" t="n"/>
      <c r="S239" s="268" t="n"/>
      <c r="T239" s="268" t="n"/>
      <c r="U239" s="268" t="n"/>
      <c r="V239" s="268" t="n"/>
      <c r="W239" s="268" t="n"/>
      <c r="X239" s="268" t="n"/>
      <c r="Y239" s="268" t="n"/>
      <c r="Z239" s="268" t="n"/>
      <c r="AA239" s="268" t="n"/>
      <c r="AB239" s="268" t="n"/>
      <c r="AC239" s="268" t="n"/>
      <c r="AD239" s="268" t="n"/>
      <c r="AE239" s="268" t="n"/>
      <c r="AF239" s="268" t="n"/>
      <c r="AG239" s="268" t="n"/>
      <c r="AH239" s="268" t="n"/>
      <c r="AI239" s="268" t="n"/>
      <c r="AJ239" s="268" t="n"/>
      <c r="AK239" s="268" t="n"/>
      <c r="AL239" s="268" t="n"/>
      <c r="AM239" s="268" t="n"/>
      <c r="AN239" s="268" t="n"/>
      <c r="AO239" s="268" t="n"/>
      <c r="AP239" s="268" t="n"/>
      <c r="AQ239" s="268" t="n"/>
      <c r="AR239" s="268" t="n"/>
      <c r="AS239" s="268" t="n"/>
      <c r="AT239" s="268" t="n"/>
      <c r="AU239" s="268" t="n"/>
      <c r="AV239" s="268" t="n"/>
      <c r="AW239" s="268" t="n"/>
      <c r="AX239" s="268" t="n"/>
      <c r="AY239" s="268" t="n"/>
      <c r="AZ239" s="268" t="n"/>
      <c r="BA239" s="268" t="n"/>
      <c r="BB239" s="268" t="n"/>
      <c r="BC239" s="268" t="n"/>
      <c r="BD239" s="268" t="n"/>
      <c r="BE239" s="268" t="n"/>
      <c r="BF239" s="268" t="n"/>
      <c r="BG239" s="268" t="n"/>
      <c r="BH239" s="268" t="n"/>
      <c r="BI239" s="268" t="n"/>
      <c r="BJ239" s="268" t="n"/>
      <c r="BK239" s="268" t="n"/>
      <c r="BL239" s="268" t="n"/>
      <c r="BM239" s="268" t="n"/>
      <c r="BN239" s="268" t="n"/>
      <c r="BO239" s="268" t="n"/>
      <c r="BP239" s="268" t="n"/>
      <c r="BQ239" s="268" t="n"/>
      <c r="BR239" s="268" t="n"/>
      <c r="BS239" s="268" t="n"/>
      <c r="BT239" s="268" t="n"/>
      <c r="BU239" s="268" t="n"/>
      <c r="BV239" s="268" t="n"/>
      <c r="BW239" s="268" t="n"/>
      <c r="BX239" s="268" t="n"/>
      <c r="BY239" s="268" t="n"/>
      <c r="BZ239" s="268" t="n"/>
      <c r="CA239" s="268" t="n"/>
      <c r="CB239" s="268" t="n"/>
      <c r="CC239" s="268" t="n"/>
      <c r="CD239" s="268" t="n"/>
      <c r="CE239" s="268" t="n"/>
      <c r="CF239" s="268" t="n"/>
      <c r="CG239" s="268" t="n"/>
      <c r="CH239" s="268" t="n"/>
      <c r="CI239" s="268" t="n"/>
      <c r="CJ239" s="268" t="n"/>
      <c r="CK239" s="268" t="n"/>
      <c r="CL239" s="268" t="n"/>
      <c r="CM239" s="268" t="n"/>
      <c r="CN239" s="268" t="n"/>
      <c r="CO239" s="268" t="n"/>
      <c r="CP239" s="268" t="n"/>
      <c r="CQ239" s="268" t="n"/>
      <c r="CR239" s="268" t="n"/>
      <c r="CS239" s="268" t="n"/>
      <c r="CT239" s="268" t="n"/>
      <c r="CU239" s="268" t="n"/>
      <c r="CV239" s="268" t="n"/>
      <c r="CW239" s="268" t="n"/>
      <c r="CX239" s="268" t="n"/>
      <c r="CY239" s="268" t="n"/>
    </row>
    <row r="240" ht="12.75" customHeight="1" s="255">
      <c r="C240" s="270" t="inlineStr">
        <is>
          <t>Convertible debt</t>
        </is>
      </c>
      <c r="D240" s="301">
        <f>INDEX('Inputs (2)'!$D$37:$AL$37,MATCH(D$7,'Inputs (2)'!$D$2:$AL$2,0))</f>
        <v>0</v>
      </c>
      <c r="E240" s="301">
        <f>INDEX('Inputs (2)'!$D$37:$AL$37,MATCH(E$7,'Inputs (2)'!$D$2:$AL$2,0))</f>
        <v>0</v>
      </c>
      <c r="F240" s="301">
        <f>INDEX('Inputs (2)'!$D$37:$AL$37,MATCH(F$7,'Inputs (2)'!$D$2:$AL$2,0))</f>
        <v>0</v>
      </c>
      <c r="G240" s="301">
        <f>INDEX('Inputs (2)'!$D$37:$AL$37,MATCH(G$7,'Inputs (2)'!$D$2:$AL$2,0))</f>
        <v>0</v>
      </c>
      <c r="H240" s="268">
        <f>G240</f>
        <v>0</v>
      </c>
      <c r="I240" s="301">
        <f>INDEX('Inputs (2)'!$D$37:$AL$37,MATCH(I$7,'Inputs (2)'!$D$2:$AL$2,0))</f>
        <v>0</v>
      </c>
      <c r="J240" s="301">
        <f>INDEX('Inputs (2)'!$D$37:$AL$37,MATCH(J$7,'Inputs (2)'!$D$2:$AL$2,0))</f>
        <v>0</v>
      </c>
      <c r="K240" s="301">
        <f>INDEX('Inputs (2)'!$D$37:$AL$37,MATCH(K$7,'Inputs (2)'!$D$2:$AL$2,0))</f>
        <v>0</v>
      </c>
      <c r="L240" s="301">
        <f>INDEX('Inputs (2)'!$D$37:$AL$37,MATCH(L$7,'Inputs (2)'!$D$2:$AL$2,0))</f>
        <v>0</v>
      </c>
      <c r="M240" s="268">
        <f>L240</f>
        <v>0</v>
      </c>
      <c r="N240" s="301">
        <f>INDEX('Inputs (2)'!$D$37:$AL$37,MATCH(N$7,'Inputs (2)'!$D$2:$AL$2,0))</f>
        <v>0</v>
      </c>
      <c r="O240" s="301">
        <f>INDEX('Inputs (2)'!$D$37:$AL$37,MATCH(O$7,'Inputs (2)'!$D$2:$AL$2,0))</f>
        <v>0</v>
      </c>
      <c r="P240" s="301">
        <f>INDEX('Inputs (2)'!$D$37:$AL$37,MATCH(P$7,'Inputs (2)'!$D$2:$AL$2,0))</f>
        <v>0</v>
      </c>
      <c r="Q240" s="301">
        <f>INDEX('Inputs (2)'!$D$37:$AL$37,MATCH(Q$7,'Inputs (2)'!$D$2:$AL$2,0))</f>
        <v>0</v>
      </c>
      <c r="R240" s="268">
        <f>Q240</f>
        <v>0</v>
      </c>
      <c r="S240" s="301">
        <f>INDEX('Inputs (2)'!$D$37:$AL$37,MATCH(S$7,'Inputs (2)'!$D$2:$AL$2,0))</f>
        <v>0</v>
      </c>
      <c r="T240" s="301">
        <f>INDEX('Inputs (2)'!$D$37:$AL$37,MATCH(T$7,'Inputs (2)'!$D$2:$AL$2,0))</f>
        <v>0</v>
      </c>
      <c r="U240" s="301">
        <f>INDEX('Inputs (2)'!$D$37:$AL$37,MATCH(U$7,'Inputs (2)'!$D$2:$AL$2,0))</f>
        <v>0</v>
      </c>
      <c r="V240" s="301">
        <f>INDEX('Inputs (2)'!$D$37:$AL$37,MATCH(V$7,'Inputs (2)'!$D$2:$AL$2,0))</f>
        <v>0</v>
      </c>
      <c r="W240" s="268">
        <f>V240</f>
        <v>0</v>
      </c>
      <c r="X240" s="301">
        <f>INDEX('Inputs (2)'!$D$37:$AL$37,MATCH(X$7,'Inputs (2)'!$D$2:$AL$2,0))</f>
        <v>0</v>
      </c>
      <c r="Y240" s="301">
        <f>INDEX('Inputs (2)'!$D$37:$AL$37,MATCH(Y$7,'Inputs (2)'!$D$2:$AL$2,0))</f>
        <v>0</v>
      </c>
      <c r="Z240" s="301">
        <f>INDEX('Inputs (2)'!$D$37:$AL$37,MATCH(Z$7,'Inputs (2)'!$D$2:$AL$2,0))</f>
        <v>0</v>
      </c>
      <c r="AA240" s="301">
        <f>INDEX('Inputs (2)'!$D$37:$AL$37,MATCH(AA$7,'Inputs (2)'!$D$2:$AL$2,0))</f>
        <v>0</v>
      </c>
      <c r="AB240" s="268">
        <f>AA240</f>
        <v>0</v>
      </c>
      <c r="AC240" s="301">
        <f>INDEX('Inputs (2)'!$D$37:$AL$37,MATCH(AC$7,'Inputs (2)'!$D$2:$AL$2,0))</f>
        <v>0</v>
      </c>
      <c r="AD240" s="301">
        <f>INDEX('Inputs (2)'!$D$37:$AL$37,MATCH(AD$7,'Inputs (2)'!$D$2:$AL$2,0))</f>
        <v>0</v>
      </c>
      <c r="AE240" s="301">
        <f>INDEX('Inputs (2)'!$D$37:$AL$37,MATCH(AE$7,'Inputs (2)'!$D$2:$AL$2,0))</f>
        <v>0</v>
      </c>
      <c r="AF240" s="301">
        <f>INDEX('Inputs (2)'!$D$37:$AL$37,MATCH(AF$7,'Inputs (2)'!$D$2:$AL$2,0))</f>
        <v>0</v>
      </c>
      <c r="AG240" s="268">
        <f>AF240</f>
        <v>0</v>
      </c>
      <c r="AH240" s="268">
        <f>INDEX('Inputs (2)'!$D$37:$AL$37,MATCH(AH$7,'Inputs (2)'!$D$2:$AL$2,0))</f>
        <v>0</v>
      </c>
      <c r="AI240" s="268">
        <f>INDEX('Inputs (2)'!$D$37:$AL$37,MATCH(AI$7,'Inputs (2)'!$D$2:$AL$2,0))</f>
        <v>0</v>
      </c>
      <c r="AJ240" s="268">
        <f>AI240</f>
        <v>0</v>
      </c>
      <c r="AK240" s="268">
        <f>AJ240</f>
        <v>0</v>
      </c>
      <c r="AL240" s="268">
        <f>AK240</f>
        <v>0</v>
      </c>
      <c r="AM240" s="268">
        <f>AL240</f>
        <v>0</v>
      </c>
      <c r="AN240" s="268">
        <f>AM240</f>
        <v>0</v>
      </c>
      <c r="AO240" s="268">
        <f>AN240</f>
        <v>0</v>
      </c>
      <c r="AP240" s="268">
        <f>AO240</f>
        <v>0</v>
      </c>
      <c r="AQ240" s="268">
        <f>AP240</f>
        <v>0</v>
      </c>
      <c r="AR240" s="268">
        <f>AQ240</f>
        <v>0</v>
      </c>
      <c r="AS240" s="268">
        <f>AR240</f>
        <v>0</v>
      </c>
      <c r="AT240" s="268">
        <f>AS240</f>
        <v>0</v>
      </c>
      <c r="AU240" s="268">
        <f>AT240</f>
        <v>0</v>
      </c>
      <c r="AV240" s="268">
        <f>AU240</f>
        <v>0</v>
      </c>
      <c r="AW240" s="268">
        <f>AV240</f>
        <v>0</v>
      </c>
      <c r="AX240" s="268">
        <f>AW240</f>
        <v>0</v>
      </c>
      <c r="AY240" s="268">
        <f>AX240</f>
        <v>0</v>
      </c>
      <c r="AZ240" s="268">
        <f>AY240</f>
        <v>0</v>
      </c>
      <c r="BA240" s="268">
        <f>AZ240</f>
        <v>0</v>
      </c>
      <c r="BB240" s="268">
        <f>BA240</f>
        <v>0</v>
      </c>
      <c r="BC240" s="268">
        <f>BB240</f>
        <v>0</v>
      </c>
      <c r="BD240" s="268">
        <f>BC240</f>
        <v>0</v>
      </c>
      <c r="BE240" s="268">
        <f>BD240</f>
        <v>0</v>
      </c>
      <c r="BF240" s="268">
        <f>BE240</f>
        <v>0</v>
      </c>
      <c r="BG240" s="268">
        <f>BF240</f>
        <v>0</v>
      </c>
      <c r="BH240" s="268">
        <f>BG240</f>
        <v>0</v>
      </c>
      <c r="BI240" s="268">
        <f>BH240</f>
        <v>0</v>
      </c>
      <c r="BJ240" s="268">
        <f>BI240</f>
        <v>0</v>
      </c>
      <c r="BK240" s="268">
        <f>BJ240</f>
        <v>0</v>
      </c>
      <c r="BL240" s="268">
        <f>BK240</f>
        <v>0</v>
      </c>
      <c r="BM240" s="268">
        <f>BL240</f>
        <v>0</v>
      </c>
      <c r="BN240" s="268">
        <f>BM240</f>
        <v>0</v>
      </c>
      <c r="BO240" s="268">
        <f>BN240</f>
        <v>0</v>
      </c>
      <c r="BP240" s="268">
        <f>BO240</f>
        <v>0</v>
      </c>
      <c r="BQ240" s="268">
        <f>BP240</f>
        <v>0</v>
      </c>
      <c r="BR240" s="268">
        <f>BQ240</f>
        <v>0</v>
      </c>
      <c r="BS240" s="268">
        <f>BR240</f>
        <v>0</v>
      </c>
      <c r="BT240" s="268">
        <f>BS240</f>
        <v>0</v>
      </c>
      <c r="BU240" s="268">
        <f>BT240</f>
        <v>0</v>
      </c>
      <c r="BV240" s="268">
        <f>BU240</f>
        <v>0</v>
      </c>
      <c r="BW240" s="268">
        <f>BV240</f>
        <v>0</v>
      </c>
      <c r="BX240" s="268">
        <f>BW240</f>
        <v>0</v>
      </c>
      <c r="BY240" s="268">
        <f>BX240</f>
        <v>0</v>
      </c>
      <c r="BZ240" s="268">
        <f>BY240</f>
        <v>0</v>
      </c>
      <c r="CA240" s="268">
        <f>BZ240</f>
        <v>0</v>
      </c>
      <c r="CB240" s="268">
        <f>CA240</f>
        <v>0</v>
      </c>
      <c r="CC240" s="268">
        <f>CB240</f>
        <v>0</v>
      </c>
      <c r="CD240" s="268">
        <f>CC240</f>
        <v>0</v>
      </c>
      <c r="CE240" s="268">
        <f>CD240</f>
        <v>0</v>
      </c>
      <c r="CF240" s="268">
        <f>CE240</f>
        <v>0</v>
      </c>
      <c r="CG240" s="268">
        <f>CF240</f>
        <v>0</v>
      </c>
      <c r="CH240" s="268">
        <f>CG240</f>
        <v>0</v>
      </c>
      <c r="CI240" s="268">
        <f>CH240</f>
        <v>0</v>
      </c>
      <c r="CJ240" s="268">
        <f>CI240</f>
        <v>0</v>
      </c>
      <c r="CK240" s="268">
        <f>CJ240</f>
        <v>0</v>
      </c>
      <c r="CL240" s="268">
        <f>CK240</f>
        <v>0</v>
      </c>
      <c r="CM240" s="268">
        <f>CL240</f>
        <v>0</v>
      </c>
      <c r="CN240" s="268">
        <f>CM240</f>
        <v>0</v>
      </c>
      <c r="CO240" s="268">
        <f>CN240</f>
        <v>0</v>
      </c>
      <c r="CP240" s="268">
        <f>CO240</f>
        <v>0</v>
      </c>
      <c r="CQ240" s="268">
        <f>CP240</f>
        <v>0</v>
      </c>
      <c r="CR240" s="268">
        <f>CQ240</f>
        <v>0</v>
      </c>
      <c r="CS240" s="268">
        <f>CR240</f>
        <v>0</v>
      </c>
      <c r="CT240" s="268">
        <f>CS240</f>
        <v>0</v>
      </c>
      <c r="CU240" s="268">
        <f>CT240</f>
        <v>0</v>
      </c>
      <c r="CV240" s="268">
        <f>CU240</f>
        <v>0</v>
      </c>
      <c r="CW240" s="268">
        <f>CV240</f>
        <v>0</v>
      </c>
      <c r="CX240" s="268">
        <f>CW240</f>
        <v>0</v>
      </c>
      <c r="CY240" s="268">
        <f>CX240</f>
        <v>0</v>
      </c>
    </row>
    <row r="241" ht="12.75" customHeight="1" s="255">
      <c r="C241" s="270" t="inlineStr">
        <is>
          <t>Deferred income taxes</t>
        </is>
      </c>
      <c r="D241" s="301">
        <f>INDEX('Inputs (2)'!$D$38:$AL$38,MATCH(D$7,'Inputs (2)'!$D$2:$AL$2,0))</f>
        <v>0</v>
      </c>
      <c r="E241" s="301">
        <f>INDEX('Inputs (2)'!$D$38:$AL$38,MATCH(E$7,'Inputs (2)'!$D$2:$AL$2,0))</f>
        <v>0</v>
      </c>
      <c r="F241" s="301">
        <f>INDEX('Inputs (2)'!$D$38:$AL$38,MATCH(F$7,'Inputs (2)'!$D$2:$AL$2,0))</f>
        <v>0</v>
      </c>
      <c r="G241" s="301">
        <f>INDEX('Inputs (2)'!$D$38:$AL$38,MATCH(G$7,'Inputs (2)'!$D$2:$AL$2,0))</f>
        <v>0</v>
      </c>
      <c r="H241" s="268">
        <f>G241</f>
        <v>0</v>
      </c>
      <c r="I241" s="301">
        <f>INDEX('Inputs (2)'!$D$38:$AL$38,MATCH(I$7,'Inputs (2)'!$D$2:$AL$2,0))</f>
        <v>0</v>
      </c>
      <c r="J241" s="301">
        <f>INDEX('Inputs (2)'!$D$38:$AL$38,MATCH(J$7,'Inputs (2)'!$D$2:$AL$2,0))</f>
        <v>0</v>
      </c>
      <c r="K241" s="301">
        <f>INDEX('Inputs (2)'!$D$38:$AL$38,MATCH(K$7,'Inputs (2)'!$D$2:$AL$2,0))</f>
        <v>0</v>
      </c>
      <c r="L241" s="301">
        <f>INDEX('Inputs (2)'!$D$38:$AL$38,MATCH(L$7,'Inputs (2)'!$D$2:$AL$2,0))</f>
        <v>0</v>
      </c>
      <c r="M241" s="268">
        <f>L241</f>
        <v>0</v>
      </c>
      <c r="N241" s="301">
        <f>INDEX('Inputs (2)'!$D$38:$AL$38,MATCH(N$7,'Inputs (2)'!$D$2:$AL$2,0))</f>
        <v>0</v>
      </c>
      <c r="O241" s="301">
        <f>INDEX('Inputs (2)'!$D$38:$AL$38,MATCH(O$7,'Inputs (2)'!$D$2:$AL$2,0))</f>
        <v>0</v>
      </c>
      <c r="P241" s="301">
        <f>INDEX('Inputs (2)'!$D$38:$AL$38,MATCH(P$7,'Inputs (2)'!$D$2:$AL$2,0))</f>
        <v>0</v>
      </c>
      <c r="Q241" s="301">
        <f>INDEX('Inputs (2)'!$D$38:$AL$38,MATCH(Q$7,'Inputs (2)'!$D$2:$AL$2,0))</f>
        <v>0</v>
      </c>
      <c r="R241" s="268">
        <f>Q241</f>
        <v>0</v>
      </c>
      <c r="S241" s="301">
        <f>INDEX('Inputs (2)'!$D$38:$AL$38,MATCH(S$7,'Inputs (2)'!$D$2:$AL$2,0))</f>
        <v>0</v>
      </c>
      <c r="T241" s="301">
        <f>INDEX('Inputs (2)'!$D$38:$AL$38,MATCH(T$7,'Inputs (2)'!$D$2:$AL$2,0))</f>
        <v>0</v>
      </c>
      <c r="U241" s="301">
        <f>INDEX('Inputs (2)'!$D$38:$AL$38,MATCH(U$7,'Inputs (2)'!$D$2:$AL$2,0))</f>
        <v>0</v>
      </c>
      <c r="V241" s="301">
        <f>INDEX('Inputs (2)'!$D$38:$AL$38,MATCH(V$7,'Inputs (2)'!$D$2:$AL$2,0))</f>
        <v>0</v>
      </c>
      <c r="W241" s="268">
        <f>V241</f>
        <v>0</v>
      </c>
      <c r="X241" s="301">
        <f>INDEX('Inputs (2)'!$D$38:$AL$38,MATCH(X$7,'Inputs (2)'!$D$2:$AL$2,0))</f>
        <v>0</v>
      </c>
      <c r="Y241" s="301">
        <f>INDEX('Inputs (2)'!$D$38:$AL$38,MATCH(Y$7,'Inputs (2)'!$D$2:$AL$2,0))</f>
        <v>0</v>
      </c>
      <c r="Z241" s="301">
        <f>INDEX('Inputs (2)'!$D$38:$AL$38,MATCH(Z$7,'Inputs (2)'!$D$2:$AL$2,0))</f>
        <v>0</v>
      </c>
      <c r="AA241" s="301">
        <f>INDEX('Inputs (2)'!$D$38:$AL$38,MATCH(AA$7,'Inputs (2)'!$D$2:$AL$2,0))</f>
        <v>0</v>
      </c>
      <c r="AB241" s="268">
        <f>AA241</f>
        <v>0</v>
      </c>
      <c r="AC241" s="301">
        <f>INDEX('Inputs (2)'!$D$38:$AL$38,MATCH(AC$7,'Inputs (2)'!$D$2:$AL$2,0))</f>
        <v>0</v>
      </c>
      <c r="AD241" s="301">
        <f>INDEX('Inputs (2)'!$D$38:$AL$38,MATCH(AD$7,'Inputs (2)'!$D$2:$AL$2,0))</f>
        <v>0</v>
      </c>
      <c r="AE241" s="301">
        <f>INDEX('Inputs (2)'!$D$38:$AL$38,MATCH(AE$7,'Inputs (2)'!$D$2:$AL$2,0))</f>
        <v>0</v>
      </c>
      <c r="AF241" s="301">
        <f>INDEX('Inputs (2)'!$D$38:$AL$38,MATCH(AF$7,'Inputs (2)'!$D$2:$AL$2,0))</f>
        <v>0</v>
      </c>
      <c r="AG241" s="268">
        <f>AF241</f>
        <v>0</v>
      </c>
      <c r="AH241" s="268">
        <f>INDEX('Inputs (2)'!$D$38:$AL$38,MATCH(AH$7,'Inputs (2)'!$D$2:$AL$2,0))</f>
        <v>0</v>
      </c>
      <c r="AI241" s="268">
        <f>INDEX('Inputs (2)'!$D$38:$AL$38,MATCH(AI$7,'Inputs (2)'!$D$2:$AL$2,0))</f>
        <v>0</v>
      </c>
      <c r="AJ241" s="268">
        <f>AI241</f>
        <v>0</v>
      </c>
      <c r="AK241" s="268">
        <f>AJ241</f>
        <v>0</v>
      </c>
      <c r="AL241" s="268">
        <f>AK241</f>
        <v>0</v>
      </c>
      <c r="AM241" s="268">
        <f>AL241</f>
        <v>0</v>
      </c>
      <c r="AN241" s="268">
        <f>AM241</f>
        <v>0</v>
      </c>
      <c r="AO241" s="268">
        <f>AN241</f>
        <v>0</v>
      </c>
      <c r="AP241" s="268">
        <f>AO241</f>
        <v>0</v>
      </c>
      <c r="AQ241" s="268">
        <f>AP241</f>
        <v>0</v>
      </c>
      <c r="AR241" s="268">
        <f>AQ241</f>
        <v>0</v>
      </c>
      <c r="AS241" s="268">
        <f>AR241</f>
        <v>0</v>
      </c>
      <c r="AT241" s="268">
        <f>AS241</f>
        <v>0</v>
      </c>
      <c r="AU241" s="268">
        <f>AT241</f>
        <v>0</v>
      </c>
      <c r="AV241" s="268">
        <f>AU241</f>
        <v>0</v>
      </c>
      <c r="AW241" s="268">
        <f>AV241</f>
        <v>0</v>
      </c>
      <c r="AX241" s="268">
        <f>AW241</f>
        <v>0</v>
      </c>
      <c r="AY241" s="268">
        <f>AX241</f>
        <v>0</v>
      </c>
      <c r="AZ241" s="268">
        <f>AY241</f>
        <v>0</v>
      </c>
      <c r="BA241" s="268">
        <f>AZ241</f>
        <v>0</v>
      </c>
      <c r="BB241" s="268">
        <f>BA241</f>
        <v>0</v>
      </c>
      <c r="BC241" s="268">
        <f>BB241</f>
        <v>0</v>
      </c>
      <c r="BD241" s="268">
        <f>BC241</f>
        <v>0</v>
      </c>
      <c r="BE241" s="268">
        <f>BD241</f>
        <v>0</v>
      </c>
      <c r="BF241" s="268">
        <f>BE241</f>
        <v>0</v>
      </c>
      <c r="BG241" s="268">
        <f>BF241</f>
        <v>0</v>
      </c>
      <c r="BH241" s="268">
        <f>BG241</f>
        <v>0</v>
      </c>
      <c r="BI241" s="268">
        <f>BH241</f>
        <v>0</v>
      </c>
      <c r="BJ241" s="268">
        <f>BI241</f>
        <v>0</v>
      </c>
      <c r="BK241" s="268">
        <f>BJ241</f>
        <v>0</v>
      </c>
      <c r="BL241" s="268">
        <f>BK241</f>
        <v>0</v>
      </c>
      <c r="BM241" s="268">
        <f>BL241</f>
        <v>0</v>
      </c>
      <c r="BN241" s="268">
        <f>BM241</f>
        <v>0</v>
      </c>
      <c r="BO241" s="268">
        <f>BN241</f>
        <v>0</v>
      </c>
      <c r="BP241" s="268">
        <f>BO241</f>
        <v>0</v>
      </c>
      <c r="BQ241" s="268">
        <f>BP241</f>
        <v>0</v>
      </c>
      <c r="BR241" s="268">
        <f>BQ241</f>
        <v>0</v>
      </c>
      <c r="BS241" s="268">
        <f>BR241</f>
        <v>0</v>
      </c>
      <c r="BT241" s="268">
        <f>BS241</f>
        <v>0</v>
      </c>
      <c r="BU241" s="268">
        <f>BT241</f>
        <v>0</v>
      </c>
      <c r="BV241" s="268">
        <f>BU241</f>
        <v>0</v>
      </c>
      <c r="BW241" s="268">
        <f>BV241</f>
        <v>0</v>
      </c>
      <c r="BX241" s="268">
        <f>BW241</f>
        <v>0</v>
      </c>
      <c r="BY241" s="268">
        <f>BX241</f>
        <v>0</v>
      </c>
      <c r="BZ241" s="268">
        <f>BY241</f>
        <v>0</v>
      </c>
      <c r="CA241" s="268">
        <f>BZ241</f>
        <v>0</v>
      </c>
      <c r="CB241" s="268">
        <f>CA241</f>
        <v>0</v>
      </c>
      <c r="CC241" s="268">
        <f>CB241</f>
        <v>0</v>
      </c>
      <c r="CD241" s="268">
        <f>CC241</f>
        <v>0</v>
      </c>
      <c r="CE241" s="268">
        <f>CD241</f>
        <v>0</v>
      </c>
      <c r="CF241" s="268">
        <f>CE241</f>
        <v>0</v>
      </c>
      <c r="CG241" s="268">
        <f>CF241</f>
        <v>0</v>
      </c>
      <c r="CH241" s="268">
        <f>CG241</f>
        <v>0</v>
      </c>
      <c r="CI241" s="268">
        <f>CH241</f>
        <v>0</v>
      </c>
      <c r="CJ241" s="268">
        <f>CI241</f>
        <v>0</v>
      </c>
      <c r="CK241" s="268">
        <f>CJ241</f>
        <v>0</v>
      </c>
      <c r="CL241" s="268">
        <f>CK241</f>
        <v>0</v>
      </c>
      <c r="CM241" s="268">
        <f>CL241</f>
        <v>0</v>
      </c>
      <c r="CN241" s="268">
        <f>CM241</f>
        <v>0</v>
      </c>
      <c r="CO241" s="268">
        <f>CN241</f>
        <v>0</v>
      </c>
      <c r="CP241" s="268">
        <f>CO241</f>
        <v>0</v>
      </c>
      <c r="CQ241" s="268">
        <f>CP241</f>
        <v>0</v>
      </c>
      <c r="CR241" s="268">
        <f>CQ241</f>
        <v>0</v>
      </c>
      <c r="CS241" s="268">
        <f>CR241</f>
        <v>0</v>
      </c>
      <c r="CT241" s="268">
        <f>CS241</f>
        <v>0</v>
      </c>
      <c r="CU241" s="268">
        <f>CT241</f>
        <v>0</v>
      </c>
      <c r="CV241" s="268">
        <f>CU241</f>
        <v>0</v>
      </c>
      <c r="CW241" s="268">
        <f>CV241</f>
        <v>0</v>
      </c>
      <c r="CX241" s="268">
        <f>CW241</f>
        <v>0</v>
      </c>
      <c r="CY241" s="268">
        <f>CX241</f>
        <v>0</v>
      </c>
    </row>
    <row r="242" ht="12.75" customHeight="1" s="255">
      <c r="C242" s="270" t="inlineStr">
        <is>
          <t>Other non-current liabilities</t>
        </is>
      </c>
      <c r="D242" s="301">
        <f>INDEX('Inputs (2)'!$D$39:$AL$39,MATCH(D$7,'Inputs (2)'!$D$2:$AL$2,0))</f>
        <v>17460</v>
      </c>
      <c r="E242" s="301">
        <f>INDEX('Inputs (2)'!$D$39:$AL$39,MATCH(E$7,'Inputs (2)'!$D$2:$AL$2,0))</f>
        <v>17600</v>
      </c>
      <c r="F242" s="301">
        <f>INDEX('Inputs (2)'!$D$39:$AL$39,MATCH(F$7,'Inputs (2)'!$D$2:$AL$2,0))</f>
        <v>18407</v>
      </c>
      <c r="G242" s="301">
        <f>INDEX('Inputs (2)'!$D$39:$AL$39,MATCH(G$7,'Inputs (2)'!$D$2:$AL$2,0))</f>
        <v>18217</v>
      </c>
      <c r="H242" s="268">
        <f>G242</f>
        <v>18217</v>
      </c>
      <c r="I242" s="301">
        <f>INDEX('Inputs (2)'!$D$39:$AL$39,MATCH(I$7,'Inputs (2)'!$D$2:$AL$2,0))</f>
        <v>17945</v>
      </c>
      <c r="J242" s="301">
        <f>INDEX('Inputs (2)'!$D$39:$AL$39,MATCH(J$7,'Inputs (2)'!$D$2:$AL$2,0))</f>
        <v>17606</v>
      </c>
      <c r="K242" s="301">
        <f>INDEX('Inputs (2)'!$D$39:$AL$39,MATCH(K$7,'Inputs (2)'!$D$2:$AL$2,0))</f>
        <v>16954</v>
      </c>
      <c r="L242" s="301">
        <f>INDEX('Inputs (2)'!$D$39:$AL$39,MATCH(L$7,'Inputs (2)'!$D$2:$AL$2,0))</f>
        <v>17717</v>
      </c>
      <c r="M242" s="268">
        <f>L242</f>
        <v>17717</v>
      </c>
      <c r="N242" s="301">
        <f>INDEX('Inputs (2)'!$D$39:$AL$39,MATCH(N$7,'Inputs (2)'!$D$2:$AL$2,0))</f>
        <v>18352</v>
      </c>
      <c r="O242" s="301">
        <f>INDEX('Inputs (2)'!$D$39:$AL$39,MATCH(O$7,'Inputs (2)'!$D$2:$AL$2,0))</f>
        <v>18512</v>
      </c>
      <c r="P242" s="301">
        <f>INDEX('Inputs (2)'!$D$39:$AL$39,MATCH(P$7,'Inputs (2)'!$D$2:$AL$2,0))</f>
        <v>19272</v>
      </c>
      <c r="Q242" s="301">
        <f>INDEX('Inputs (2)'!$D$39:$AL$39,MATCH(Q$7,'Inputs (2)'!$D$2:$AL$2,0))</f>
        <v>19531</v>
      </c>
      <c r="R242" s="268">
        <f>Q242</f>
        <v>19531</v>
      </c>
      <c r="S242" s="301">
        <f>INDEX('Inputs (2)'!$D$39:$AL$39,MATCH(S$7,'Inputs (2)'!$D$2:$AL$2,0))</f>
        <v>19038</v>
      </c>
      <c r="T242" s="301">
        <f>INDEX('Inputs (2)'!$D$39:$AL$39,MATCH(T$7,'Inputs (2)'!$D$2:$AL$2,0))</f>
        <v>20558</v>
      </c>
      <c r="U242" s="301">
        <f>INDEX('Inputs (2)'!$D$39:$AL$39,MATCH(U$7,'Inputs (2)'!$D$2:$AL$2,0))</f>
        <v>19974</v>
      </c>
      <c r="V242" s="301">
        <f>INDEX('Inputs (2)'!$D$39:$AL$39,MATCH(V$7,'Inputs (2)'!$D$2:$AL$2,0))</f>
        <v>20338</v>
      </c>
      <c r="W242" s="268">
        <f>V242</f>
        <v>20338</v>
      </c>
      <c r="X242" s="301">
        <f>INDEX('Inputs (2)'!$D$39:$AL$39,MATCH(X$7,'Inputs (2)'!$D$2:$AL$2,0))</f>
        <v>20896</v>
      </c>
      <c r="Y242" s="301">
        <f>INDEX('Inputs (2)'!$D$39:$AL$39,MATCH(Y$7,'Inputs (2)'!$D$2:$AL$2,0))</f>
        <v>20233</v>
      </c>
      <c r="Z242" s="301">
        <f>INDEX('Inputs (2)'!$D$39:$AL$39,MATCH(Z$7,'Inputs (2)'!$D$2:$AL$2,0))</f>
        <v>19804</v>
      </c>
      <c r="AA242" s="301">
        <f>INDEX('Inputs (2)'!$D$39:$AL$39,MATCH(AA$7,'Inputs (2)'!$D$2:$AL$2,0))</f>
        <v>20321</v>
      </c>
      <c r="AB242" s="268">
        <f>AA242</f>
        <v>20321</v>
      </c>
      <c r="AC242" s="301">
        <f>INDEX('Inputs (2)'!$D$39:$AL$39,MATCH(AC$7,'Inputs (2)'!$D$2:$AL$2,0))</f>
        <v>19487</v>
      </c>
      <c r="AD242" s="301">
        <f>INDEX('Inputs (2)'!$D$39:$AL$39,MATCH(AD$7,'Inputs (2)'!$D$2:$AL$2,0))</f>
        <v>21603</v>
      </c>
      <c r="AE242" s="301">
        <f>INDEX('Inputs (2)'!$D$39:$AL$39,MATCH(AE$7,'Inputs (2)'!$D$2:$AL$2,0))</f>
        <v>22261</v>
      </c>
      <c r="AF242" s="301">
        <f>INDEX('Inputs (2)'!$D$39:$AL$39,MATCH(AF$7,'Inputs (2)'!$D$2:$AL$2,0))</f>
        <v>22454</v>
      </c>
      <c r="AG242" s="268">
        <f>AF242</f>
        <v>22454</v>
      </c>
      <c r="AH242" s="268">
        <f>INDEX('Inputs (2)'!$D$39:$AL$39,MATCH(AH$7,'Inputs (2)'!$D$2:$AL$2,0))</f>
        <v>22774</v>
      </c>
      <c r="AI242" s="268">
        <f>INDEX('Inputs (2)'!$D$39:$AL$39,MATCH(AI$7,'Inputs (2)'!$D$2:$AL$2,0))</f>
        <v>22225</v>
      </c>
      <c r="AJ242" s="268">
        <f>AI242</f>
        <v>22225</v>
      </c>
      <c r="AK242" s="268">
        <f>AJ242</f>
        <v>22225</v>
      </c>
      <c r="AL242" s="268">
        <f>AK242</f>
        <v>22225</v>
      </c>
      <c r="AM242" s="268">
        <f>AL242</f>
        <v>22225</v>
      </c>
      <c r="AN242" s="268">
        <f>AM242</f>
        <v>22225</v>
      </c>
      <c r="AO242" s="268">
        <f>AN242</f>
        <v>22225</v>
      </c>
      <c r="AP242" s="268">
        <f>AO242</f>
        <v>22225</v>
      </c>
      <c r="AQ242" s="268">
        <f>AP242</f>
        <v>22225</v>
      </c>
      <c r="AR242" s="268">
        <f>AQ242</f>
        <v>22225</v>
      </c>
      <c r="AS242" s="268">
        <f>AR242</f>
        <v>22225</v>
      </c>
      <c r="AT242" s="268">
        <f>AS242</f>
        <v>22225</v>
      </c>
      <c r="AU242" s="268">
        <f>AT242</f>
        <v>22225</v>
      </c>
      <c r="AV242" s="268">
        <f>AU242</f>
        <v>22225</v>
      </c>
      <c r="AW242" s="268">
        <f>AV242</f>
        <v>22225</v>
      </c>
      <c r="AX242" s="268">
        <f>AW242</f>
        <v>22225</v>
      </c>
      <c r="AY242" s="268">
        <f>AX242</f>
        <v>22225</v>
      </c>
      <c r="AZ242" s="268">
        <f>AY242</f>
        <v>22225</v>
      </c>
      <c r="BA242" s="268">
        <f>AZ242</f>
        <v>22225</v>
      </c>
      <c r="BB242" s="268">
        <f>BA242</f>
        <v>22225</v>
      </c>
      <c r="BC242" s="268">
        <f>BB242</f>
        <v>22225</v>
      </c>
      <c r="BD242" s="268">
        <f>BC242</f>
        <v>22225</v>
      </c>
      <c r="BE242" s="268">
        <f>BD242</f>
        <v>22225</v>
      </c>
      <c r="BF242" s="268">
        <f>BE242</f>
        <v>22225</v>
      </c>
      <c r="BG242" s="268">
        <f>BF242</f>
        <v>22225</v>
      </c>
      <c r="BH242" s="268">
        <f>BG242</f>
        <v>22225</v>
      </c>
      <c r="BI242" s="268">
        <f>BH242</f>
        <v>22225</v>
      </c>
      <c r="BJ242" s="268">
        <f>BI242</f>
        <v>22225</v>
      </c>
      <c r="BK242" s="268">
        <f>BJ242</f>
        <v>22225</v>
      </c>
      <c r="BL242" s="268">
        <f>BK242</f>
        <v>22225</v>
      </c>
      <c r="BM242" s="268">
        <f>BL242</f>
        <v>22225</v>
      </c>
      <c r="BN242" s="268">
        <f>BM242</f>
        <v>22225</v>
      </c>
      <c r="BO242" s="268">
        <f>BN242</f>
        <v>22225</v>
      </c>
      <c r="BP242" s="268">
        <f>BO242</f>
        <v>22225</v>
      </c>
      <c r="BQ242" s="268">
        <f>BP242</f>
        <v>22225</v>
      </c>
      <c r="BR242" s="268">
        <f>BQ242</f>
        <v>22225</v>
      </c>
      <c r="BS242" s="268">
        <f>BR242</f>
        <v>22225</v>
      </c>
      <c r="BT242" s="268">
        <f>BS242</f>
        <v>22225</v>
      </c>
      <c r="BU242" s="268">
        <f>BT242</f>
        <v>22225</v>
      </c>
      <c r="BV242" s="268">
        <f>BU242</f>
        <v>22225</v>
      </c>
      <c r="BW242" s="268">
        <f>BV242</f>
        <v>22225</v>
      </c>
      <c r="BX242" s="268">
        <f>BW242</f>
        <v>22225</v>
      </c>
      <c r="BY242" s="268">
        <f>BX242</f>
        <v>22225</v>
      </c>
      <c r="BZ242" s="268">
        <f>BY242</f>
        <v>22225</v>
      </c>
      <c r="CA242" s="268">
        <f>BZ242</f>
        <v>22225</v>
      </c>
      <c r="CB242" s="268">
        <f>CA242</f>
        <v>22225</v>
      </c>
      <c r="CC242" s="268">
        <f>CB242</f>
        <v>22225</v>
      </c>
      <c r="CD242" s="268">
        <f>CC242</f>
        <v>22225</v>
      </c>
      <c r="CE242" s="268">
        <f>CD242</f>
        <v>22225</v>
      </c>
      <c r="CF242" s="268">
        <f>CE242</f>
        <v>22225</v>
      </c>
      <c r="CG242" s="268">
        <f>CF242</f>
        <v>22225</v>
      </c>
      <c r="CH242" s="268">
        <f>CG242</f>
        <v>22225</v>
      </c>
      <c r="CI242" s="268">
        <f>CH242</f>
        <v>22225</v>
      </c>
      <c r="CJ242" s="268">
        <f>CI242</f>
        <v>22225</v>
      </c>
      <c r="CK242" s="268">
        <f>CJ242</f>
        <v>22225</v>
      </c>
      <c r="CL242" s="268">
        <f>CK242</f>
        <v>22225</v>
      </c>
      <c r="CM242" s="268">
        <f>CL242</f>
        <v>22225</v>
      </c>
      <c r="CN242" s="268">
        <f>CM242</f>
        <v>22225</v>
      </c>
      <c r="CO242" s="268">
        <f>CN242</f>
        <v>22225</v>
      </c>
      <c r="CP242" s="268">
        <f>CO242</f>
        <v>22225</v>
      </c>
      <c r="CQ242" s="268">
        <f>CP242</f>
        <v>22225</v>
      </c>
      <c r="CR242" s="268">
        <f>CQ242</f>
        <v>22225</v>
      </c>
      <c r="CS242" s="268">
        <f>CR242</f>
        <v>22225</v>
      </c>
      <c r="CT242" s="268">
        <f>CS242</f>
        <v>22225</v>
      </c>
      <c r="CU242" s="268">
        <f>CT242</f>
        <v>22225</v>
      </c>
      <c r="CV242" s="268">
        <f>CU242</f>
        <v>22225</v>
      </c>
      <c r="CW242" s="268">
        <f>CV242</f>
        <v>22225</v>
      </c>
      <c r="CX242" s="268">
        <f>CW242</f>
        <v>22225</v>
      </c>
      <c r="CY242" s="268">
        <f>CX242</f>
        <v>22225</v>
      </c>
    </row>
    <row r="243" hidden="1" outlineLevel="1" ht="12" customHeight="1" s="255">
      <c r="C243" s="314" t="inlineStr">
        <is>
          <t>%(Var.)</t>
        </is>
      </c>
      <c r="D243" s="268" t="n"/>
      <c r="E243" s="296">
        <f>(E242-D242)/D242</f>
        <v>0.00801832760595647</v>
      </c>
      <c r="F243" s="296">
        <f>(F242-E242)/E242</f>
        <v>0.0458522727272727</v>
      </c>
      <c r="G243" s="296">
        <f>(G242-F242)/F242</f>
        <v>-0.0103221600478079</v>
      </c>
      <c r="H243" s="268" t="n"/>
      <c r="I243" s="296">
        <f>(I242-H242)/H242</f>
        <v>-0.014931108305429</v>
      </c>
      <c r="J243" s="296">
        <f>(J242-I242)/I242</f>
        <v>-0.0188910560044581</v>
      </c>
      <c r="K243" s="296">
        <f>(K242-J242)/J242</f>
        <v>-0.0370328297171419</v>
      </c>
      <c r="L243" s="296">
        <f>(L242-K242)/K242</f>
        <v>0.0450041288191577</v>
      </c>
      <c r="M243" s="268" t="n"/>
      <c r="N243" s="296">
        <f>(N242-M242)/M242</f>
        <v>0.0358412823841508</v>
      </c>
      <c r="O243" s="296">
        <f>(O242-N242)/N242</f>
        <v>0.00871839581517001</v>
      </c>
      <c r="P243" s="296">
        <f>(P242-O242)/O242</f>
        <v>0.0410544511668107</v>
      </c>
      <c r="Q243" s="296">
        <f>(Q242-P242)/P242</f>
        <v>0.0134391863843919</v>
      </c>
      <c r="R243" s="268" t="n"/>
      <c r="S243" s="296">
        <f>(S242-R242)/R242</f>
        <v>-0.0252419230966156</v>
      </c>
      <c r="T243" s="296">
        <f>(T242-S242)/S242</f>
        <v>0.0798403193612775</v>
      </c>
      <c r="U243" s="296">
        <f>(U242-T242)/T242</f>
        <v>-0.0284074326296332</v>
      </c>
      <c r="V243" s="296">
        <f>(V242-U242)/U242</f>
        <v>0.0182236907980375</v>
      </c>
      <c r="W243" s="268" t="n"/>
      <c r="X243" s="296">
        <f>(X242-W242)/W242</f>
        <v>0.0274363260890943</v>
      </c>
      <c r="Y243" s="296">
        <f>(Y242-X242)/X242</f>
        <v>-0.0317285604900459</v>
      </c>
      <c r="Z243" s="296">
        <f>(Z242-Y242)/Y242</f>
        <v>-0.0212029852221618</v>
      </c>
      <c r="AA243" s="296">
        <f>(AA242-Z242)/Z242</f>
        <v>0.0261058372046051</v>
      </c>
      <c r="AB243" s="268" t="n"/>
      <c r="AC243" s="296">
        <f>(AC242-AB242)/AB242</f>
        <v>-0.0410412873382215</v>
      </c>
      <c r="AD243" s="296">
        <f>(AD242-AC242)/AC242</f>
        <v>0.108585210653256</v>
      </c>
      <c r="AE243" s="296">
        <f>(AE242-AD242)/AD242</f>
        <v>0.0304587325834375</v>
      </c>
      <c r="AF243" s="297">
        <f>(AF242-AE242)/AE242</f>
        <v>0.00866987107497417</v>
      </c>
      <c r="AG243" s="268" t="n"/>
      <c r="AH243" s="297">
        <f>(AH242-AG242)/AG242</f>
        <v>0.0142513583325911</v>
      </c>
      <c r="AI243" s="297">
        <f>(AI242-AH242)/AH242</f>
        <v>-0.0241064371651884</v>
      </c>
      <c r="AJ243" s="297" t="n"/>
      <c r="AK243" s="297" t="n"/>
      <c r="AL243" s="268" t="n"/>
      <c r="AM243" s="297" t="n"/>
      <c r="AN243" s="297" t="n"/>
      <c r="AO243" s="297" t="n"/>
      <c r="AP243" s="297" t="n"/>
      <c r="AQ243" s="268" t="n"/>
      <c r="AR243" s="297" t="n"/>
      <c r="AS243" s="297" t="n"/>
      <c r="AT243" s="297" t="n"/>
      <c r="AU243" s="297" t="n"/>
      <c r="AV243" s="268" t="n"/>
      <c r="AW243" s="297" t="n"/>
      <c r="AX243" s="297" t="n"/>
      <c r="AY243" s="297" t="n"/>
      <c r="AZ243" s="297" t="n"/>
      <c r="BA243" s="268" t="n"/>
      <c r="BB243" s="297" t="n"/>
      <c r="BC243" s="297" t="n"/>
      <c r="BD243" s="297" t="n"/>
      <c r="BE243" s="297" t="n"/>
      <c r="BF243" s="268" t="n"/>
      <c r="BG243" s="297" t="n"/>
      <c r="BH243" s="297" t="n"/>
      <c r="BI243" s="297" t="n"/>
      <c r="BJ243" s="297" t="n"/>
      <c r="BK243" s="268" t="n"/>
      <c r="BL243" s="297" t="n"/>
      <c r="BM243" s="297" t="n"/>
      <c r="BN243" s="297" t="n"/>
      <c r="BO243" s="297" t="n"/>
      <c r="BP243" s="268" t="n"/>
      <c r="BQ243" s="297" t="n"/>
      <c r="BR243" s="297" t="n"/>
      <c r="BS243" s="297" t="n"/>
      <c r="BT243" s="297" t="n"/>
      <c r="BU243" s="268" t="n"/>
      <c r="BV243" s="297" t="n"/>
      <c r="BW243" s="297" t="n"/>
      <c r="BX243" s="297" t="n"/>
      <c r="BY243" s="297" t="n"/>
      <c r="BZ243" s="268" t="n"/>
      <c r="CA243" s="297" t="n"/>
      <c r="CB243" s="297" t="n"/>
      <c r="CC243" s="297" t="n"/>
      <c r="CD243" s="297" t="n"/>
      <c r="CE243" s="268" t="n"/>
      <c r="CF243" s="297" t="n"/>
      <c r="CG243" s="297" t="n"/>
      <c r="CH243" s="297" t="n"/>
      <c r="CI243" s="297" t="n"/>
      <c r="CJ243" s="268" t="n"/>
      <c r="CK243" s="297" t="n"/>
      <c r="CL243" s="297" t="n"/>
      <c r="CM243" s="297" t="n"/>
      <c r="CN243" s="297" t="n"/>
      <c r="CO243" s="268" t="n"/>
      <c r="CP243" s="297" t="n"/>
      <c r="CQ243" s="297" t="n"/>
      <c r="CR243" s="297" t="n"/>
      <c r="CS243" s="297" t="n"/>
      <c r="CT243" s="268" t="n"/>
      <c r="CU243" s="297" t="n"/>
      <c r="CV243" s="297" t="n"/>
      <c r="CW243" s="297" t="n"/>
      <c r="CX243" s="297" t="n"/>
      <c r="CY243" s="268" t="n"/>
    </row>
    <row r="244" hidden="1" outlineLevel="1" ht="12" customHeight="1" s="255">
      <c r="C244" s="314" t="n"/>
      <c r="D244" s="268" t="n"/>
      <c r="E244" s="268" t="n"/>
      <c r="F244" s="268" t="n"/>
      <c r="G244" s="268" t="n"/>
      <c r="H244" s="268" t="n"/>
      <c r="I244" s="268" t="n"/>
      <c r="J244" s="268" t="n"/>
      <c r="K244" s="268" t="n"/>
      <c r="L244" s="268" t="n"/>
      <c r="M244" s="268" t="n"/>
      <c r="N244" s="268" t="n"/>
      <c r="O244" s="268" t="n"/>
      <c r="P244" s="268" t="n"/>
      <c r="Q244" s="268" t="n"/>
      <c r="R244" s="268" t="n"/>
      <c r="S244" s="268" t="n"/>
      <c r="T244" s="268" t="n"/>
      <c r="U244" s="268" t="n"/>
      <c r="V244" s="268" t="n"/>
      <c r="W244" s="268" t="n"/>
      <c r="X244" s="268" t="n"/>
      <c r="Y244" s="268" t="n"/>
      <c r="Z244" s="268" t="n"/>
      <c r="AA244" s="268" t="n"/>
      <c r="AB244" s="268" t="n"/>
      <c r="AC244" s="268" t="n"/>
      <c r="AD244" s="268" t="n"/>
      <c r="AE244" s="268" t="n"/>
      <c r="AF244" s="268" t="n"/>
      <c r="AG244" s="268" t="n"/>
      <c r="AH244" s="268" t="n"/>
      <c r="AI244" s="268" t="n"/>
      <c r="AJ244" s="268" t="n"/>
      <c r="AK244" s="268" t="n"/>
      <c r="AL244" s="268" t="n"/>
      <c r="AM244" s="268" t="n"/>
      <c r="AN244" s="268" t="n"/>
      <c r="AO244" s="268" t="n"/>
      <c r="AP244" s="268" t="n"/>
      <c r="AQ244" s="268" t="n"/>
      <c r="AR244" s="268" t="n"/>
      <c r="AS244" s="268" t="n"/>
      <c r="AT244" s="268" t="n"/>
      <c r="AU244" s="268" t="n"/>
      <c r="AV244" s="268" t="n"/>
      <c r="AW244" s="268" t="n"/>
      <c r="AX244" s="268" t="n"/>
      <c r="AY244" s="268" t="n"/>
      <c r="AZ244" s="268" t="n"/>
      <c r="BA244" s="268" t="n"/>
      <c r="BB244" s="268" t="n"/>
      <c r="BC244" s="268" t="n"/>
      <c r="BD244" s="268" t="n"/>
      <c r="BE244" s="268" t="n"/>
      <c r="BF244" s="268" t="n"/>
      <c r="BG244" s="268" t="n"/>
      <c r="BH244" s="268" t="n"/>
      <c r="BI244" s="268" t="n"/>
      <c r="BJ244" s="268" t="n"/>
      <c r="BK244" s="268" t="n"/>
      <c r="BL244" s="268" t="n"/>
      <c r="BM244" s="268" t="n"/>
      <c r="BN244" s="268" t="n"/>
      <c r="BO244" s="268" t="n"/>
      <c r="BP244" s="268" t="n"/>
      <c r="BQ244" s="268" t="n"/>
      <c r="BR244" s="268" t="n"/>
      <c r="BS244" s="268" t="n"/>
      <c r="BT244" s="268" t="n"/>
      <c r="BU244" s="268" t="n"/>
      <c r="BV244" s="268" t="n"/>
      <c r="BW244" s="268" t="n"/>
      <c r="BX244" s="268" t="n"/>
      <c r="BY244" s="268" t="n"/>
      <c r="BZ244" s="268" t="n"/>
      <c r="CA244" s="268" t="n"/>
      <c r="CB244" s="268" t="n"/>
      <c r="CC244" s="268" t="n"/>
      <c r="CD244" s="268" t="n"/>
      <c r="CE244" s="268" t="n"/>
      <c r="CF244" s="268" t="n"/>
      <c r="CG244" s="268" t="n"/>
      <c r="CH244" s="268" t="n"/>
      <c r="CI244" s="268" t="n"/>
      <c r="CJ244" s="268" t="n"/>
      <c r="CK244" s="268" t="n"/>
      <c r="CL244" s="268" t="n"/>
      <c r="CM244" s="268" t="n"/>
      <c r="CN244" s="268" t="n"/>
      <c r="CO244" s="268" t="n"/>
      <c r="CP244" s="268" t="n"/>
      <c r="CQ244" s="268" t="n"/>
      <c r="CR244" s="268" t="n"/>
      <c r="CS244" s="268" t="n"/>
      <c r="CT244" s="268" t="n"/>
      <c r="CU244" s="268" t="n"/>
      <c r="CV244" s="268" t="n"/>
      <c r="CW244" s="268" t="n"/>
      <c r="CX244" s="268" t="n"/>
      <c r="CY244" s="268" t="n"/>
    </row>
    <row r="245" hidden="1" outlineLevel="1" ht="12.75" customHeight="1" s="255">
      <c r="C245" s="312" t="inlineStr">
        <is>
          <t>Contas a pagar pela aquisição de controladas</t>
        </is>
      </c>
      <c r="D245" s="267" t="n"/>
      <c r="E245" s="267" t="n"/>
      <c r="F245" s="267" t="n"/>
      <c r="G245" s="267" t="n"/>
      <c r="H245" s="268" t="n"/>
      <c r="I245" s="267" t="n"/>
      <c r="J245" s="267" t="n"/>
      <c r="K245" s="267" t="n"/>
      <c r="L245" s="267" t="n"/>
      <c r="M245" s="268" t="n"/>
      <c r="N245" s="267" t="n"/>
      <c r="O245" s="267" t="n"/>
      <c r="P245" s="267" t="n"/>
      <c r="Q245" s="267" t="n"/>
      <c r="R245" s="268" t="n"/>
      <c r="S245" s="267" t="n"/>
      <c r="T245" s="267" t="n"/>
      <c r="U245" s="267" t="n"/>
      <c r="V245" s="267" t="n"/>
      <c r="W245" s="268" t="n"/>
      <c r="X245" s="267" t="n"/>
      <c r="Y245" s="267" t="n"/>
      <c r="Z245" s="267" t="n"/>
      <c r="AA245" s="267" t="n"/>
      <c r="AB245" s="268" t="n"/>
      <c r="AC245" s="267" t="n"/>
      <c r="AD245" s="267" t="n"/>
      <c r="AE245" s="267" t="n"/>
      <c r="AF245" s="267" t="n"/>
      <c r="AG245" s="268" t="n"/>
      <c r="AH245" s="268" t="n"/>
      <c r="AI245" s="268" t="n"/>
      <c r="AJ245" s="268" t="n"/>
      <c r="AK245" s="268" t="n"/>
      <c r="AL245" s="268" t="n"/>
      <c r="AM245" s="268" t="n"/>
      <c r="AN245" s="268" t="n"/>
      <c r="AO245" s="268" t="n"/>
      <c r="AP245" s="268" t="n"/>
      <c r="AQ245" s="268" t="n"/>
      <c r="AR245" s="268" t="n"/>
      <c r="AS245" s="268" t="n"/>
      <c r="AT245" s="268" t="n"/>
      <c r="AU245" s="268" t="n"/>
      <c r="AV245" s="268" t="n"/>
      <c r="AW245" s="268" t="n"/>
      <c r="AX245" s="268" t="n"/>
      <c r="AY245" s="268" t="n"/>
      <c r="AZ245" s="268" t="n"/>
      <c r="BA245" s="268" t="n"/>
      <c r="BB245" s="268" t="n"/>
      <c r="BC245" s="268" t="n"/>
      <c r="BD245" s="268" t="n"/>
      <c r="BE245" s="268" t="n"/>
      <c r="BF245" s="268" t="n"/>
      <c r="BG245" s="268" t="n"/>
      <c r="BH245" s="268" t="n"/>
      <c r="BI245" s="268" t="n"/>
      <c r="BJ245" s="268" t="n"/>
      <c r="BK245" s="268" t="n"/>
      <c r="BL245" s="268" t="n"/>
      <c r="BM245" s="268" t="n"/>
      <c r="BN245" s="268" t="n"/>
      <c r="BO245" s="268" t="n"/>
      <c r="BP245" s="268" t="n"/>
      <c r="BQ245" s="268" t="n"/>
      <c r="BR245" s="268" t="n"/>
      <c r="BS245" s="268" t="n"/>
      <c r="BT245" s="268" t="n"/>
      <c r="BU245" s="268" t="n"/>
      <c r="BV245" s="268" t="n"/>
      <c r="BW245" s="268" t="n"/>
      <c r="BX245" s="268" t="n"/>
      <c r="BY245" s="268" t="n"/>
      <c r="BZ245" s="268" t="n"/>
      <c r="CA245" s="268" t="n"/>
      <c r="CB245" s="268" t="n"/>
      <c r="CC245" s="268" t="n"/>
      <c r="CD245" s="268" t="n"/>
      <c r="CE245" s="268" t="n"/>
      <c r="CF245" s="268" t="n"/>
      <c r="CG245" s="268" t="n"/>
      <c r="CH245" s="268" t="n"/>
      <c r="CI245" s="268" t="n"/>
      <c r="CJ245" s="268" t="n"/>
      <c r="CK245" s="268" t="n"/>
      <c r="CL245" s="268" t="n"/>
      <c r="CM245" s="268" t="n"/>
      <c r="CN245" s="268" t="n"/>
      <c r="CO245" s="268" t="n"/>
      <c r="CP245" s="268" t="n"/>
      <c r="CQ245" s="268" t="n"/>
      <c r="CR245" s="268" t="n"/>
      <c r="CS245" s="268" t="n"/>
      <c r="CT245" s="268" t="n"/>
      <c r="CU245" s="268" t="n"/>
      <c r="CV245" s="268" t="n"/>
      <c r="CW245" s="268" t="n"/>
      <c r="CX245" s="268" t="n"/>
      <c r="CY245" s="268" t="n"/>
    </row>
    <row r="246" hidden="1" outlineLevel="1" ht="12.75" customHeight="1" s="255">
      <c r="C246" s="312" t="inlineStr">
        <is>
          <t xml:space="preserve">Outras Obrigações </t>
        </is>
      </c>
      <c r="D246" s="267" t="n"/>
      <c r="E246" s="267" t="n"/>
      <c r="F246" s="267" t="n"/>
      <c r="G246" s="267" t="n"/>
      <c r="H246" s="268" t="n"/>
      <c r="I246" s="267" t="n"/>
      <c r="J246" s="267" t="n"/>
      <c r="K246" s="267" t="n"/>
      <c r="L246" s="267" t="n"/>
      <c r="M246" s="268" t="n"/>
      <c r="N246" s="267" t="n"/>
      <c r="O246" s="267" t="n"/>
      <c r="P246" s="267" t="n"/>
      <c r="Q246" s="267" t="n"/>
      <c r="R246" s="268" t="n"/>
      <c r="S246" s="267" t="n"/>
      <c r="T246" s="267" t="n"/>
      <c r="U246" s="267" t="n"/>
      <c r="V246" s="267" t="n"/>
      <c r="W246" s="268" t="n"/>
      <c r="X246" s="267" t="n"/>
      <c r="Y246" s="267" t="n"/>
      <c r="Z246" s="267" t="n"/>
      <c r="AA246" s="267" t="n"/>
      <c r="AB246" s="268" t="n"/>
      <c r="AC246" s="267" t="n"/>
      <c r="AD246" s="267" t="n"/>
      <c r="AE246" s="267" t="n"/>
      <c r="AF246" s="267" t="n"/>
      <c r="AG246" s="268" t="n"/>
      <c r="AH246" s="268" t="n"/>
      <c r="AI246" s="268" t="n"/>
      <c r="AJ246" s="268" t="n"/>
      <c r="AK246" s="268" t="n"/>
      <c r="AL246" s="268" t="n"/>
      <c r="AM246" s="268" t="n"/>
      <c r="AN246" s="268" t="n"/>
      <c r="AO246" s="268" t="n"/>
      <c r="AP246" s="268" t="n"/>
      <c r="AQ246" s="268" t="n"/>
      <c r="AR246" s="268" t="n"/>
      <c r="AS246" s="268" t="n"/>
      <c r="AT246" s="268" t="n"/>
      <c r="AU246" s="268" t="n"/>
      <c r="AV246" s="268" t="n"/>
      <c r="AW246" s="268" t="n"/>
      <c r="AX246" s="268" t="n"/>
      <c r="AY246" s="268" t="n"/>
      <c r="AZ246" s="268" t="n"/>
      <c r="BA246" s="268" t="n"/>
      <c r="BB246" s="268" t="n"/>
      <c r="BC246" s="268" t="n"/>
      <c r="BD246" s="268" t="n"/>
      <c r="BE246" s="268" t="n"/>
      <c r="BF246" s="268" t="n"/>
      <c r="BG246" s="268" t="n"/>
      <c r="BH246" s="268" t="n"/>
      <c r="BI246" s="268" t="n"/>
      <c r="BJ246" s="268" t="n"/>
      <c r="BK246" s="268" t="n"/>
      <c r="BL246" s="268" t="n"/>
      <c r="BM246" s="268" t="n"/>
      <c r="BN246" s="268" t="n"/>
      <c r="BO246" s="268" t="n"/>
      <c r="BP246" s="268" t="n"/>
      <c r="BQ246" s="268" t="n"/>
      <c r="BR246" s="268" t="n"/>
      <c r="BS246" s="268" t="n"/>
      <c r="BT246" s="268" t="n"/>
      <c r="BU246" s="268" t="n"/>
      <c r="BV246" s="268" t="n"/>
      <c r="BW246" s="268" t="n"/>
      <c r="BX246" s="268" t="n"/>
      <c r="BY246" s="268" t="n"/>
      <c r="BZ246" s="268" t="n"/>
      <c r="CA246" s="268" t="n"/>
      <c r="CB246" s="268" t="n"/>
      <c r="CC246" s="268" t="n"/>
      <c r="CD246" s="268" t="n"/>
      <c r="CE246" s="268" t="n"/>
      <c r="CF246" s="268" t="n"/>
      <c r="CG246" s="268" t="n"/>
      <c r="CH246" s="268" t="n"/>
      <c r="CI246" s="268" t="n"/>
      <c r="CJ246" s="268" t="n"/>
      <c r="CK246" s="268" t="n"/>
      <c r="CL246" s="268" t="n"/>
      <c r="CM246" s="268" t="n"/>
      <c r="CN246" s="268" t="n"/>
      <c r="CO246" s="268" t="n"/>
      <c r="CP246" s="268" t="n"/>
      <c r="CQ246" s="268" t="n"/>
      <c r="CR246" s="268" t="n"/>
      <c r="CS246" s="268" t="n"/>
      <c r="CT246" s="268" t="n"/>
      <c r="CU246" s="268" t="n"/>
      <c r="CV246" s="268" t="n"/>
      <c r="CW246" s="268" t="n"/>
      <c r="CX246" s="268" t="n"/>
      <c r="CY246" s="268" t="n"/>
    </row>
    <row r="247" hidden="1" outlineLevel="1" ht="12.75" customHeight="1" s="255">
      <c r="C247" s="312" t="inlineStr">
        <is>
          <t xml:space="preserve">Provisão de Risco Cíveis, Trabalhistas e Tributários </t>
        </is>
      </c>
      <c r="D247" s="267" t="n"/>
      <c r="E247" s="267" t="n"/>
      <c r="F247" s="267" t="n"/>
      <c r="G247" s="267" t="n"/>
      <c r="H247" s="268" t="n"/>
      <c r="I247" s="267" t="n"/>
      <c r="J247" s="267" t="n"/>
      <c r="K247" s="267" t="n"/>
      <c r="L247" s="267" t="n"/>
      <c r="M247" s="268" t="n"/>
      <c r="N247" s="267" t="n"/>
      <c r="O247" s="267" t="n"/>
      <c r="P247" s="267" t="n"/>
      <c r="Q247" s="267" t="n"/>
      <c r="R247" s="268" t="n"/>
      <c r="S247" s="267" t="n"/>
      <c r="T247" s="267" t="n"/>
      <c r="U247" s="267" t="n"/>
      <c r="V247" s="267" t="n"/>
      <c r="W247" s="268" t="n"/>
      <c r="X247" s="267" t="n"/>
      <c r="Y247" s="267" t="n"/>
      <c r="Z247" s="267" t="n"/>
      <c r="AA247" s="267" t="n"/>
      <c r="AB247" s="268" t="n"/>
      <c r="AC247" s="267" t="n"/>
      <c r="AD247" s="267" t="n"/>
      <c r="AE247" s="267" t="n"/>
      <c r="AF247" s="267" t="n"/>
      <c r="AG247" s="268" t="n"/>
      <c r="AH247" s="268" t="n"/>
      <c r="AI247" s="268" t="n"/>
      <c r="AJ247" s="268" t="n"/>
      <c r="AK247" s="268" t="n"/>
      <c r="AL247" s="268" t="n"/>
      <c r="AM247" s="268" t="n"/>
      <c r="AN247" s="268" t="n"/>
      <c r="AO247" s="268" t="n"/>
      <c r="AP247" s="268" t="n"/>
      <c r="AQ247" s="268" t="n"/>
      <c r="AR247" s="268" t="n"/>
      <c r="AS247" s="268" t="n"/>
      <c r="AT247" s="268" t="n"/>
      <c r="AU247" s="268" t="n"/>
      <c r="AV247" s="268" t="n"/>
      <c r="AW247" s="268" t="n"/>
      <c r="AX247" s="268" t="n"/>
      <c r="AY247" s="268" t="n"/>
      <c r="AZ247" s="268" t="n"/>
      <c r="BA247" s="268" t="n"/>
      <c r="BB247" s="268" t="n"/>
      <c r="BC247" s="268" t="n"/>
      <c r="BD247" s="268" t="n"/>
      <c r="BE247" s="268" t="n"/>
      <c r="BF247" s="268" t="n"/>
      <c r="BG247" s="268" t="n"/>
      <c r="BH247" s="268" t="n"/>
      <c r="BI247" s="268" t="n"/>
      <c r="BJ247" s="268" t="n"/>
      <c r="BK247" s="268" t="n"/>
      <c r="BL247" s="268" t="n"/>
      <c r="BM247" s="268" t="n"/>
      <c r="BN247" s="268" t="n"/>
      <c r="BO247" s="268" t="n"/>
      <c r="BP247" s="268" t="n"/>
      <c r="BQ247" s="268" t="n"/>
      <c r="BR247" s="268" t="n"/>
      <c r="BS247" s="268" t="n"/>
      <c r="BT247" s="268" t="n"/>
      <c r="BU247" s="268" t="n"/>
      <c r="BV247" s="268" t="n"/>
      <c r="BW247" s="268" t="n"/>
      <c r="BX247" s="268" t="n"/>
      <c r="BY247" s="268" t="n"/>
      <c r="BZ247" s="268" t="n"/>
      <c r="CA247" s="268" t="n"/>
      <c r="CB247" s="268" t="n"/>
      <c r="CC247" s="268" t="n"/>
      <c r="CD247" s="268" t="n"/>
      <c r="CE247" s="268" t="n"/>
      <c r="CF247" s="268" t="n"/>
      <c r="CG247" s="268" t="n"/>
      <c r="CH247" s="268" t="n"/>
      <c r="CI247" s="268" t="n"/>
      <c r="CJ247" s="268" t="n"/>
      <c r="CK247" s="268" t="n"/>
      <c r="CL247" s="268" t="n"/>
      <c r="CM247" s="268" t="n"/>
      <c r="CN247" s="268" t="n"/>
      <c r="CO247" s="268" t="n"/>
      <c r="CP247" s="268" t="n"/>
      <c r="CQ247" s="268" t="n"/>
      <c r="CR247" s="268" t="n"/>
      <c r="CS247" s="268" t="n"/>
      <c r="CT247" s="268" t="n"/>
      <c r="CU247" s="268" t="n"/>
      <c r="CV247" s="268" t="n"/>
      <c r="CW247" s="268" t="n"/>
      <c r="CX247" s="268" t="n"/>
      <c r="CY247" s="268" t="n"/>
    </row>
    <row r="248" hidden="1" outlineLevel="1" ht="12.75" customHeight="1" s="255">
      <c r="C248" s="312" t="n"/>
      <c r="D248" s="268" t="n"/>
      <c r="E248" s="268" t="n"/>
      <c r="F248" s="268" t="n"/>
      <c r="G248" s="268" t="n"/>
      <c r="H248" s="268" t="n"/>
      <c r="I248" s="268" t="n"/>
      <c r="J248" s="268" t="n"/>
      <c r="K248" s="268" t="n"/>
      <c r="L248" s="268" t="n"/>
      <c r="M248" s="268" t="n"/>
      <c r="N248" s="268" t="n"/>
      <c r="O248" s="268" t="n"/>
      <c r="P248" s="268" t="n"/>
      <c r="Q248" s="268" t="n"/>
      <c r="R248" s="268" t="n"/>
      <c r="S248" s="268" t="n"/>
      <c r="T248" s="268" t="n"/>
      <c r="U248" s="268" t="n"/>
      <c r="V248" s="268" t="n"/>
      <c r="W248" s="268" t="n"/>
      <c r="X248" s="268" t="n"/>
      <c r="Y248" s="268" t="n"/>
      <c r="Z248" s="268" t="n"/>
      <c r="AA248" s="268" t="n"/>
      <c r="AB248" s="268" t="n"/>
      <c r="AC248" s="268" t="n"/>
      <c r="AD248" s="268" t="n"/>
      <c r="AE248" s="268" t="n"/>
      <c r="AF248" s="268" t="n"/>
      <c r="AG248" s="268" t="n"/>
      <c r="AH248" s="268" t="n"/>
      <c r="AI248" s="268" t="n"/>
      <c r="AJ248" s="268" t="n"/>
      <c r="AK248" s="268" t="n"/>
      <c r="AL248" s="268" t="n"/>
      <c r="AM248" s="268" t="n"/>
      <c r="AN248" s="268" t="n"/>
      <c r="AO248" s="268" t="n"/>
      <c r="AP248" s="268" t="n"/>
      <c r="AQ248" s="268" t="n"/>
      <c r="AR248" s="268" t="n"/>
      <c r="AS248" s="268" t="n"/>
      <c r="AT248" s="268" t="n"/>
      <c r="AU248" s="268" t="n"/>
      <c r="AV248" s="268" t="n"/>
      <c r="AW248" s="268" t="n"/>
      <c r="AX248" s="268" t="n"/>
      <c r="AY248" s="268" t="n"/>
      <c r="AZ248" s="268" t="n"/>
      <c r="BA248" s="268" t="n"/>
      <c r="BB248" s="268" t="n"/>
      <c r="BC248" s="268" t="n"/>
      <c r="BD248" s="268" t="n"/>
      <c r="BE248" s="268" t="n"/>
      <c r="BF248" s="268" t="n"/>
      <c r="BG248" s="268" t="n"/>
      <c r="BH248" s="268" t="n"/>
      <c r="BI248" s="268" t="n"/>
      <c r="BJ248" s="268" t="n"/>
      <c r="BK248" s="268" t="n"/>
      <c r="BL248" s="268" t="n"/>
      <c r="BM248" s="268" t="n"/>
      <c r="BN248" s="268" t="n"/>
      <c r="BO248" s="268" t="n"/>
      <c r="BP248" s="268" t="n"/>
      <c r="BQ248" s="268" t="n"/>
      <c r="BR248" s="268" t="n"/>
      <c r="BS248" s="268" t="n"/>
      <c r="BT248" s="268" t="n"/>
      <c r="BU248" s="268" t="n"/>
      <c r="BV248" s="268" t="n"/>
      <c r="BW248" s="268" t="n"/>
      <c r="BX248" s="268" t="n"/>
      <c r="BY248" s="268" t="n"/>
      <c r="BZ248" s="268" t="n"/>
      <c r="CA248" s="268" t="n"/>
      <c r="CB248" s="268" t="n"/>
      <c r="CC248" s="268" t="n"/>
      <c r="CD248" s="268" t="n"/>
      <c r="CE248" s="268" t="n"/>
      <c r="CF248" s="268" t="n"/>
      <c r="CG248" s="268" t="n"/>
      <c r="CH248" s="268" t="n"/>
      <c r="CI248" s="268" t="n"/>
      <c r="CJ248" s="268" t="n"/>
      <c r="CK248" s="268" t="n"/>
      <c r="CL248" s="268" t="n"/>
      <c r="CM248" s="268" t="n"/>
      <c r="CN248" s="268" t="n"/>
      <c r="CO248" s="268" t="n"/>
      <c r="CP248" s="268" t="n"/>
      <c r="CQ248" s="268" t="n"/>
      <c r="CR248" s="268" t="n"/>
      <c r="CS248" s="268" t="n"/>
      <c r="CT248" s="268" t="n"/>
      <c r="CU248" s="268" t="n"/>
      <c r="CV248" s="268" t="n"/>
      <c r="CW248" s="268" t="n"/>
      <c r="CX248" s="268" t="n"/>
      <c r="CY248" s="268" t="n"/>
    </row>
    <row r="249" ht="12.75" customFormat="1" customHeight="1" s="287">
      <c r="A249" s="288" t="n"/>
      <c r="B249" s="288" t="n"/>
      <c r="C249" s="321" t="inlineStr">
        <is>
          <t>Total Liabilities</t>
        </is>
      </c>
      <c r="D249" s="276">
        <f>SUM(D200+D204+D206+D207+D214+D215+D216+D219+D237+D240+D241+D242)</f>
        <v>158782</v>
      </c>
      <c r="E249" s="276">
        <f>SUM(E200+E204+E206+E207+E214+E215+E216+E219+E237+E240+E241+E242)</f>
        <v>156185</v>
      </c>
      <c r="F249" s="276">
        <f>SUM(F200+F204+F206+F207+F214+F215+F216+F219+F237+F240+F241+F242)</f>
        <v>163359</v>
      </c>
      <c r="G249" s="276">
        <f>SUM(G200+G204+G206+G207+G214+G215+G216+G219+G237+G240+G241+G242)</f>
        <v>164965</v>
      </c>
      <c r="H249" s="276">
        <f>SUM(H200,H204,H206,H207,H214,H215,H219,H216,H237,H240,H241,H242)</f>
        <v>164965</v>
      </c>
      <c r="I249" s="276">
        <f>SUM(I200+I204+I206+I207+I214+I215+I216+I219+I237+I240+I241+I242)</f>
        <v>151989</v>
      </c>
      <c r="J249" s="276">
        <f>SUM(J200+J204+J206+J207+J214+J215+J216+J219+J237+J240+J241+J242)</f>
        <v>151425</v>
      </c>
      <c r="K249" s="276">
        <f>SUM(K200+K204+K206+K207+K214+K215+K216+K219+K237+K240+K241+K242)</f>
        <v>154094</v>
      </c>
      <c r="L249" s="276">
        <f>SUM(L200+L204+L206+L207+L214+L215+L216+L219+L237+L240+L241+L242)</f>
        <v>152969</v>
      </c>
      <c r="M249" s="276">
        <f>SUM(M200,M204,M206,M207,M214,M215,M219,M216,M237,M240,M241,M242)</f>
        <v>152969</v>
      </c>
      <c r="N249" s="276">
        <f>SUM(N200+N204+N206+N207+N214+N215+N216+N219+N237+N240+N241+N242)</f>
        <v>160282</v>
      </c>
      <c r="O249" s="276">
        <f>SUM(O200+O204+O206+O207+O214+O215+O216+O219+O237+O240+O241+O242)</f>
        <v>161352</v>
      </c>
      <c r="P249" s="276">
        <f>SUM(P200+P204+P206+P207+P214+P215+P216+P219+P237+P240+P241+P242)</f>
        <v>167273</v>
      </c>
      <c r="Q249" s="276">
        <f>SUM(Q200+Q204+Q206+Q207+Q214+Q215+Q216+Q219+Q237+Q240+Q241+Q242)</f>
        <v>159206</v>
      </c>
      <c r="R249" s="276">
        <f>SUM(R200,R204,R206,R207,R214,R215,R219,R216,R237,R240,R241,R242)</f>
        <v>159206</v>
      </c>
      <c r="S249" s="276">
        <f>SUM(S200+S204+S206+S207+S214+S215+S216+S219+S237+S240+S241+S242)</f>
        <v>165588</v>
      </c>
      <c r="T249" s="276">
        <f>SUM(T200+T204+T206+T207+T214+T215+T216+T219+T237+T240+T241+T242)</f>
        <v>169562</v>
      </c>
      <c r="U249" s="276">
        <f>SUM(U200+U204+U206+U207+U214+U215+U216+U219+U237+U240+U241+U242)</f>
        <v>173363</v>
      </c>
      <c r="V249" s="276">
        <f>SUM(V200+V204+V206+V207+V214+V215+V216+V219+V237+V240+V241+V242)</f>
        <v>161828</v>
      </c>
      <c r="W249" s="276">
        <f>SUM(W200,W204,W206,W207,W214,W215,W219,W216,W237,W240,W241,W242)</f>
        <v>161828</v>
      </c>
      <c r="X249" s="276">
        <f>SUM(X200+X204+X206+X207+X214+X215+X216+X219+X237+X240+X241+X242)</f>
        <v>165764</v>
      </c>
      <c r="Y249" s="276">
        <f>SUM(Y200+Y204+Y206+Y207+Y214+Y215+Y216+Y219+Y237+Y240+Y241+Y242)</f>
        <v>163668</v>
      </c>
      <c r="Z249" s="276">
        <f>SUM(Z200+Z204+Z206+Z207+Z214+Z215+Z216+Z219+Z237+Z240+Z241+Z242)</f>
        <v>168934</v>
      </c>
      <c r="AA249" s="276">
        <f>SUM(AA200+AA204+AA206+AA207+AA214+AA215+AA216+AA219+AA237+AA240+AA241+AA242)</f>
        <v>163131</v>
      </c>
      <c r="AB249" s="276">
        <f>SUM(AB200,AB204,AB206,AB207,AB214,AB215,AB219,AB216,AB237,AB240,AB241,AB242)</f>
        <v>163131</v>
      </c>
      <c r="AC249" s="276">
        <f>SUM(AC200+AC204+AC206+AC207+AC214+AC215+AC216+AC219+AC237+AC240+AC241+AC242)</f>
        <v>171724</v>
      </c>
      <c r="AD249" s="276">
        <f>SUM(AD200+AD204+AD206+AD207+AD214+AD215+AD216+AD219+AD237+AD240+AD241+AD242)</f>
        <v>173980</v>
      </c>
      <c r="AE249" s="276">
        <f>SUM(AE200+AE204+AE206+AE207+AE214+AE215+AE216+AE219+AE237+AE240+AE241+AE242)</f>
        <v>186143</v>
      </c>
      <c r="AF249" s="276">
        <f>SUM(AF200+AF204+AF206+AF207+AF214+AF215+AF216+AF219+AF237+AF240+AF241+AF242)</f>
        <v>178488</v>
      </c>
      <c r="AG249" s="276">
        <f>SUM(AG200,AG204,AG206,AG207,AG214,AG215,AG219,AG216,AG237,AG240,AG241,AG242)</f>
        <v>178488</v>
      </c>
      <c r="AH249" s="276">
        <f>SUM(AH200+AH204+AH206+AH207+AH214+AH215+AH216+AH219+AH237+AH240+AH241+AH242)</f>
        <v>188632</v>
      </c>
      <c r="AI249" s="276">
        <f>SUM(AI200+AI204+AI206+AI207+AI214+AI215+AI216+AI219+AI237+AI240+AI241+AI242)</f>
        <v>189115</v>
      </c>
      <c r="AJ249" s="276">
        <f>SUM(AJ200+AJ204+AJ206+AJ207+AJ214+AJ215+AJ216+AJ219+AJ237+AJ240+AJ241+AJ242)</f>
        <v>93977</v>
      </c>
      <c r="AK249" s="276">
        <f>SUM(AK200+AK204+AK206+AK207+AK214+AK215+AK216+AK219+AK237+AK240+AK241+AK242)</f>
        <v>93977</v>
      </c>
      <c r="AL249" s="276">
        <f>SUM(AL200,AL204,AL206,AL207,AL214,AL215,AL219,AL216,AL237,AL240,AL241,AL242)</f>
        <v>93977</v>
      </c>
      <c r="AM249" s="276" t="e">
        <f>SUM(AM200+AM204+AM206+AM207+AM214+AM215+AM216+AM219+AM237+AM240+AM241+AM242)</f>
        <v>#DIV/0!</v>
      </c>
      <c r="AN249" s="276">
        <f>SUM(AN200+AN204+AN206+AN207+AN214+AN215+AN216+AN219+AN237+AN240+AN241+AN242)</f>
        <v>93977</v>
      </c>
      <c r="AO249" s="276" t="e">
        <f>SUM(AO200+AO204+AO206+AO207+AO214+AO215+AO216+AO219+AO237+AO240+AO241+AO242)</f>
        <v>#DIV/0!</v>
      </c>
      <c r="AP249" s="276" t="e">
        <f>SUM(AP200+AP204+AP206+AP207+AP214+AP215+AP216+AP219+AP237+AP240+AP241+AP242)</f>
        <v>#DIV/0!</v>
      </c>
      <c r="AQ249" s="276" t="e">
        <f>SUM(AQ200,AQ204,AQ206,AQ207,AQ214,AQ215,AQ219,AQ216,AQ237,AQ240,AQ241,AQ242)</f>
        <v>#DIV/0!</v>
      </c>
      <c r="AR249" s="276" t="e">
        <f>SUM(AR200+AR204+AR206+AR207+AR214+AR215+AR216+AR219+AR237+AR240+AR241+AR242)</f>
        <v>#DIV/0!</v>
      </c>
      <c r="AS249" s="276" t="e">
        <f>SUM(AS200+AS204+AS206+AS207+AS214+AS215+AS216+AS219+AS237+AS240+AS241+AS242)</f>
        <v>#DIV/0!</v>
      </c>
      <c r="AT249" s="276" t="e">
        <f>SUM(AT200+AT204+AT206+AT207+AT214+AT215+AT216+AT219+AT237+AT240+AT241+AT242)</f>
        <v>#DIV/0!</v>
      </c>
      <c r="AU249" s="276" t="e">
        <f>SUM(AU200+AU204+AU206+AU207+AU214+AU215+AU216+AU219+AU237+AU240+AU241+AU242)</f>
        <v>#DIV/0!</v>
      </c>
      <c r="AV249" s="276" t="e">
        <f>SUM(AV200,AV204,AV206,AV207,AV214,AV215,AV219,AV216,AV237,AV240,AV241,AV242)</f>
        <v>#DIV/0!</v>
      </c>
      <c r="AW249" s="276" t="e">
        <f>SUM(AW200+AW204+AW206+AW207+AW214+AW215+AW216+AW219+AW237+AW240+AW241+AW242)</f>
        <v>#DIV/0!</v>
      </c>
      <c r="AX249" s="276" t="e">
        <f>SUM(AX200+AX204+AX206+AX207+AX214+AX215+AX216+AX219+AX237+AX240+AX241+AX242)</f>
        <v>#DIV/0!</v>
      </c>
      <c r="AY249" s="276" t="e">
        <f>SUM(AY200+AY204+AY206+AY207+AY214+AY215+AY216+AY219+AY237+AY240+AY241+AY242)</f>
        <v>#DIV/0!</v>
      </c>
      <c r="AZ249" s="276" t="e">
        <f>SUM(AZ200+AZ204+AZ206+AZ207+AZ214+AZ215+AZ216+AZ219+AZ237+AZ240+AZ241+AZ242)</f>
        <v>#DIV/0!</v>
      </c>
      <c r="BA249" s="276" t="e">
        <f>SUM(BA200,BA204,BA206,BA207,BA214,BA215,BA219,BA216,BA237,BA240,BA241,BA242)</f>
        <v>#DIV/0!</v>
      </c>
      <c r="BB249" s="276" t="e">
        <f>SUM(BB200+BB204+BB206+BB207+BB214+BB215+BB216+BB219+BB237+BB240+BB241+BB242)</f>
        <v>#DIV/0!</v>
      </c>
      <c r="BC249" s="276" t="e">
        <f>SUM(BC200+BC204+BC206+BC207+BC214+BC215+BC216+BC219+BC237+BC240+BC241+BC242)</f>
        <v>#DIV/0!</v>
      </c>
      <c r="BD249" s="276" t="e">
        <f>SUM(BD200+BD204+BD206+BD207+BD214+BD215+BD216+BD219+BD237+BD240+BD241+BD242)</f>
        <v>#DIV/0!</v>
      </c>
      <c r="BE249" s="276" t="e">
        <f>SUM(BE200+BE204+BE206+BE207+BE214+BE215+BE216+BE219+BE237+BE240+BE241+BE242)</f>
        <v>#DIV/0!</v>
      </c>
      <c r="BF249" s="276" t="e">
        <f>SUM(BF200,BF204,BF206,BF207,BF214,BF215,BF219,BF216,BF237,BF240,BF241,BF242)</f>
        <v>#DIV/0!</v>
      </c>
      <c r="BG249" s="276" t="e">
        <f>SUM(BG200+BG204+BG206+BG207+BG214+BG215+BG216+BG219+BG237+BG240+BG241+BG242)</f>
        <v>#DIV/0!</v>
      </c>
      <c r="BH249" s="276" t="e">
        <f>SUM(BH200+BH204+BH206+BH207+BH214+BH215+BH216+BH219+BH237+BH240+BH241+BH242)</f>
        <v>#DIV/0!</v>
      </c>
      <c r="BI249" s="276" t="e">
        <f>SUM(BI200+BI204+BI206+BI207+BI214+BI215+BI216+BI219+BI237+BI240+BI241+BI242)</f>
        <v>#DIV/0!</v>
      </c>
      <c r="BJ249" s="276" t="e">
        <f>SUM(BJ200+BJ204+BJ206+BJ207+BJ214+BJ215+BJ216+BJ219+BJ237+BJ240+BJ241+BJ242)</f>
        <v>#DIV/0!</v>
      </c>
      <c r="BK249" s="276" t="e">
        <f>SUM(BK200,BK204,BK206,BK207,BK214,BK215,BK219,BK216,BK237,BK240,BK241,BK242)</f>
        <v>#DIV/0!</v>
      </c>
      <c r="BL249" s="276" t="e">
        <f>SUM(BL200+BL204+BL206+BL207+BL214+BL215+BL216+BL219+BL237+BL240+BL241+BL242)</f>
        <v>#DIV/0!</v>
      </c>
      <c r="BM249" s="276" t="e">
        <f>SUM(BM200+BM204+BM206+BM207+BM214+BM215+BM216+BM219+BM237+BM240+BM241+BM242)</f>
        <v>#DIV/0!</v>
      </c>
      <c r="BN249" s="276" t="e">
        <f>SUM(BN200+BN204+BN206+BN207+BN214+BN215+BN216+BN219+BN237+BN240+BN241+BN242)</f>
        <v>#DIV/0!</v>
      </c>
      <c r="BO249" s="276" t="e">
        <f>SUM(BO200+BO204+BO206+BO207+BO214+BO215+BO216+BO219+BO237+BO240+BO241+BO242)</f>
        <v>#DIV/0!</v>
      </c>
      <c r="BP249" s="276" t="e">
        <f>SUM(BP200,BP204,BP206,BP207,BP214,BP215,BP219,BP216,BP237,BP240,BP241,BP242)</f>
        <v>#DIV/0!</v>
      </c>
      <c r="BQ249" s="276" t="e">
        <f>SUM(BQ200+BQ204+BQ206+BQ207+BQ214+BQ215+BQ216+BQ219+BQ237+BQ240+BQ241+BQ242)</f>
        <v>#DIV/0!</v>
      </c>
      <c r="BR249" s="276" t="e">
        <f>SUM(BR200+BR204+BR206+BR207+BR214+BR215+BR216+BR219+BR237+BR240+BR241+BR242)</f>
        <v>#DIV/0!</v>
      </c>
      <c r="BS249" s="276" t="e">
        <f>SUM(BS200+BS204+BS206+BS207+BS214+BS215+BS216+BS219+BS237+BS240+BS241+BS242)</f>
        <v>#DIV/0!</v>
      </c>
      <c r="BT249" s="276" t="e">
        <f>SUM(BT200+BT204+BT206+BT207+BT214+BT215+BT216+BT219+BT237+BT240+BT241+BT242)</f>
        <v>#DIV/0!</v>
      </c>
      <c r="BU249" s="276" t="e">
        <f>SUM(BU200,BU204,BU206,BU207,BU214,BU215,BU219,BU216,BU237,BU240,BU241,BU242)</f>
        <v>#DIV/0!</v>
      </c>
      <c r="BV249" s="276" t="e">
        <f>SUM(BV200+BV204+BV206+BV207+BV214+BV215+BV216+BV219+BV237+BV240+BV241+BV242)</f>
        <v>#DIV/0!</v>
      </c>
      <c r="BW249" s="276" t="e">
        <f>SUM(BW200+BW204+BW206+BW207+BW214+BW215+BW216+BW219+BW237+BW240+BW241+BW242)</f>
        <v>#DIV/0!</v>
      </c>
      <c r="BX249" s="276" t="e">
        <f>SUM(BX200+BX204+BX206+BX207+BX214+BX215+BX216+BX219+BX237+BX240+BX241+BX242)</f>
        <v>#DIV/0!</v>
      </c>
      <c r="BY249" s="276" t="e">
        <f>SUM(BY200+BY204+BY206+BY207+BY214+BY215+BY216+BY219+BY237+BY240+BY241+BY242)</f>
        <v>#DIV/0!</v>
      </c>
      <c r="BZ249" s="276" t="e">
        <f>SUM(BZ200,BZ204,BZ206,BZ207,BZ214,BZ215,BZ219,BZ216,BZ237,BZ240,BZ241,BZ242)</f>
        <v>#DIV/0!</v>
      </c>
      <c r="CA249" s="276" t="e">
        <f>SUM(CA200+CA204+CA206+CA207+CA214+CA215+CA216+CA219+CA237+CA240+CA241+CA242)</f>
        <v>#DIV/0!</v>
      </c>
      <c r="CB249" s="276" t="e">
        <f>SUM(CB200+CB204+CB206+CB207+CB214+CB215+CB216+CB219+CB237+CB240+CB241+CB242)</f>
        <v>#DIV/0!</v>
      </c>
      <c r="CC249" s="276" t="e">
        <f>SUM(CC200+CC204+CC206+CC207+CC214+CC215+CC216+CC219+CC237+CC240+CC241+CC242)</f>
        <v>#DIV/0!</v>
      </c>
      <c r="CD249" s="276" t="e">
        <f>SUM(CD200+CD204+CD206+CD207+CD214+CD215+CD216+CD219+CD237+CD240+CD241+CD242)</f>
        <v>#DIV/0!</v>
      </c>
      <c r="CE249" s="276" t="e">
        <f>SUM(CE200,CE204,CE206,CE207,CE214,CE215,CE219,CE216,CE237,CE240,CE241,CE242)</f>
        <v>#DIV/0!</v>
      </c>
      <c r="CF249" s="276" t="e">
        <f>SUM(CF200+CF204+CF206+CF207+CF214+CF215+CF216+CF219+CF237+CF240+CF241+CF242)</f>
        <v>#DIV/0!</v>
      </c>
      <c r="CG249" s="276" t="e">
        <f>SUM(CG200+CG204+CG206+CG207+CG214+CG215+CG216+CG219+CG237+CG240+CG241+CG242)</f>
        <v>#DIV/0!</v>
      </c>
      <c r="CH249" s="276" t="e">
        <f>SUM(CH200+CH204+CH206+CH207+CH214+CH215+CH216+CH219+CH237+CH240+CH241+CH242)</f>
        <v>#DIV/0!</v>
      </c>
      <c r="CI249" s="276" t="e">
        <f>SUM(CI200+CI204+CI206+CI207+CI214+CI215+CI216+CI219+CI237+CI240+CI241+CI242)</f>
        <v>#DIV/0!</v>
      </c>
      <c r="CJ249" s="276" t="e">
        <f>SUM(CJ200,CJ204,CJ206,CJ207,CJ214,CJ215,CJ219,CJ216,CJ237,CJ240,CJ241,CJ242)</f>
        <v>#DIV/0!</v>
      </c>
      <c r="CK249" s="276" t="e">
        <f>SUM(CK200+CK204+CK206+CK207+CK214+CK215+CK216+CK219+CK237+CK240+CK241+CK242)</f>
        <v>#DIV/0!</v>
      </c>
      <c r="CL249" s="276" t="e">
        <f>SUM(CL200+CL204+CL206+CL207+CL214+CL215+CL216+CL219+CL237+CL240+CL241+CL242)</f>
        <v>#DIV/0!</v>
      </c>
      <c r="CM249" s="276" t="e">
        <f>SUM(CM200+CM204+CM206+CM207+CM214+CM215+CM216+CM219+CM237+CM240+CM241+CM242)</f>
        <v>#DIV/0!</v>
      </c>
      <c r="CN249" s="276" t="e">
        <f>SUM(CN200+CN204+CN206+CN207+CN214+CN215+CN216+CN219+CN237+CN240+CN241+CN242)</f>
        <v>#DIV/0!</v>
      </c>
      <c r="CO249" s="276" t="e">
        <f>SUM(CO200,CO204,CO206,CO207,CO214,CO215,CO219,CO216,CO237,CO240,CO241,CO242)</f>
        <v>#DIV/0!</v>
      </c>
      <c r="CP249" s="276" t="e">
        <f>SUM(CP200+CP204+CP206+CP207+CP214+CP215+CP216+CP219+CP237+CP240+CP241+CP242)</f>
        <v>#DIV/0!</v>
      </c>
      <c r="CQ249" s="276" t="e">
        <f>SUM(CQ200+CQ204+CQ206+CQ207+CQ214+CQ215+CQ216+CQ219+CQ237+CQ240+CQ241+CQ242)</f>
        <v>#DIV/0!</v>
      </c>
      <c r="CR249" s="276" t="e">
        <f>SUM(CR200+CR204+CR206+CR207+CR214+CR215+CR216+CR219+CR237+CR240+CR241+CR242)</f>
        <v>#DIV/0!</v>
      </c>
      <c r="CS249" s="276" t="e">
        <f>SUM(CS200+CS204+CS206+CS207+CS214+CS215+CS216+CS219+CS237+CS240+CS241+CS242)</f>
        <v>#DIV/0!</v>
      </c>
      <c r="CT249" s="276" t="e">
        <f>SUM(CT200,CT204,CT206,CT207,CT214,CT215,CT219,CT216,CT237,CT240,CT241,CT242)</f>
        <v>#DIV/0!</v>
      </c>
      <c r="CU249" s="276" t="e">
        <f>SUM(CU200+CU204+CU206+CU207+CU214+CU215+CU216+CU219+CU237+CU240+CU241+CU242)</f>
        <v>#DIV/0!</v>
      </c>
      <c r="CV249" s="276" t="e">
        <f>SUM(CV200+CV204+CV206+CV207+CV214+CV215+CV216+CV219+CV237+CV240+CV241+CV242)</f>
        <v>#DIV/0!</v>
      </c>
      <c r="CW249" s="276" t="e">
        <f>SUM(CW200+CW204+CW206+CW207+CW214+CW215+CW216+CW219+CW237+CW240+CW241+CW242)</f>
        <v>#DIV/0!</v>
      </c>
      <c r="CX249" s="276" t="e">
        <f>SUM(CX200+CX204+CX206+CX207+CX214+CX215+CX216+CX219+CX237+CX240+CX241+CX242)</f>
        <v>#DIV/0!</v>
      </c>
      <c r="CY249" s="276" t="e">
        <f>SUM(CY200,CY204,CY206,CY207,CY214,CY215,CY219,CY216,CY237,CY240,CY241,CY242)</f>
        <v>#DIV/0!</v>
      </c>
    </row>
    <row r="250" ht="12.75" customHeight="1" s="255">
      <c r="C250" s="270" t="inlineStr">
        <is>
          <t>Minority interest</t>
        </is>
      </c>
      <c r="D250" s="301">
        <f>INDEX('Inputs (2)'!$D$41:$AL$41,MATCH(D$7,'Inputs (2)'!$D$2:$AL$2,0))</f>
        <v>5870</v>
      </c>
      <c r="E250" s="301">
        <f>INDEX('Inputs (2)'!$D$41:$AL$41,MATCH(E$7,'Inputs (2)'!$D$2:$AL$2,0))</f>
        <v>5887</v>
      </c>
      <c r="F250" s="301">
        <f>INDEX('Inputs (2)'!$D$41:$AL$41,MATCH(F$7,'Inputs (2)'!$D$2:$AL$2,0))</f>
        <v>6073</v>
      </c>
      <c r="G250" s="301">
        <f>INDEX('Inputs (2)'!$D$41:$AL$41,MATCH(G$7,'Inputs (2)'!$D$2:$AL$2,0))</f>
        <v>6606</v>
      </c>
      <c r="H250" s="268">
        <f>G250</f>
        <v>6606</v>
      </c>
      <c r="I250" s="301">
        <f>INDEX('Inputs (2)'!$D$41:$AL$41,MATCH(I$7,'Inputs (2)'!$D$2:$AL$2,0))</f>
        <v>6257</v>
      </c>
      <c r="J250" s="301">
        <f>INDEX('Inputs (2)'!$D$41:$AL$41,MATCH(J$7,'Inputs (2)'!$D$2:$AL$2,0))</f>
        <v>6598</v>
      </c>
      <c r="K250" s="301">
        <f>INDEX('Inputs (2)'!$D$41:$AL$41,MATCH(K$7,'Inputs (2)'!$D$2:$AL$2,0))</f>
        <v>8483</v>
      </c>
      <c r="L250" s="301">
        <f>INDEX('Inputs (2)'!$D$41:$AL$41,MATCH(L$7,'Inputs (2)'!$D$2:$AL$2,0))</f>
        <v>8638</v>
      </c>
      <c r="M250" s="268">
        <f>L250</f>
        <v>8638</v>
      </c>
      <c r="N250" s="301">
        <f>INDEX('Inputs (2)'!$D$41:$AL$41,MATCH(N$7,'Inputs (2)'!$D$2:$AL$2,0))</f>
        <v>8964</v>
      </c>
      <c r="O250" s="301">
        <f>INDEX('Inputs (2)'!$D$41:$AL$41,MATCH(O$7,'Inputs (2)'!$D$2:$AL$2,0))</f>
        <v>8278</v>
      </c>
      <c r="P250" s="301">
        <f>INDEX('Inputs (2)'!$D$41:$AL$41,MATCH(P$7,'Inputs (2)'!$D$2:$AL$2,0))</f>
        <v>8130</v>
      </c>
      <c r="Q250" s="301">
        <f>INDEX('Inputs (2)'!$D$41:$AL$41,MATCH(Q$7,'Inputs (2)'!$D$2:$AL$2,0))</f>
        <v>7298</v>
      </c>
      <c r="R250" s="268">
        <f>Q250</f>
        <v>7298</v>
      </c>
      <c r="S250" s="301">
        <f>INDEX('Inputs (2)'!$D$41:$AL$41,MATCH(S$7,'Inputs (2)'!$D$2:$AL$2,0))</f>
        <v>7060</v>
      </c>
      <c r="T250" s="301">
        <f>INDEX('Inputs (2)'!$D$41:$AL$41,MATCH(T$7,'Inputs (2)'!$D$2:$AL$2,0))</f>
        <v>6003</v>
      </c>
      <c r="U250" s="301">
        <f>INDEX('Inputs (2)'!$D$41:$AL$41,MATCH(U$7,'Inputs (2)'!$D$2:$AL$2,0))</f>
        <v>6355</v>
      </c>
      <c r="V250" s="301">
        <f>INDEX('Inputs (2)'!$D$41:$AL$41,MATCH(V$7,'Inputs (2)'!$D$2:$AL$2,0))</f>
        <v>6710</v>
      </c>
      <c r="W250" s="268">
        <f>V250</f>
        <v>6710</v>
      </c>
      <c r="X250" s="301">
        <f>INDEX('Inputs (2)'!$D$41:$AL$41,MATCH(X$7,'Inputs (2)'!$D$2:$AL$2,0))</f>
        <v>6997</v>
      </c>
      <c r="Y250" s="301">
        <f>INDEX('Inputs (2)'!$D$41:$AL$41,MATCH(Y$7,'Inputs (2)'!$D$2:$AL$2,0))</f>
        <v>6349</v>
      </c>
      <c r="Z250" s="301">
        <f>INDEX('Inputs (2)'!$D$41:$AL$41,MATCH(Z$7,'Inputs (2)'!$D$2:$AL$2,0))</f>
        <v>6357</v>
      </c>
      <c r="AA250" s="301">
        <f>INDEX('Inputs (2)'!$D$41:$AL$41,MATCH(AA$7,'Inputs (2)'!$D$2:$AL$2,0))</f>
        <v>6679</v>
      </c>
      <c r="AB250" s="268">
        <f>AA250</f>
        <v>6679</v>
      </c>
      <c r="AC250" s="301">
        <f>INDEX('Inputs (2)'!$D$41:$AL$41,MATCH(AC$7,'Inputs (2)'!$D$2:$AL$2,0))</f>
        <v>6855</v>
      </c>
      <c r="AD250" s="301">
        <f>INDEX('Inputs (2)'!$D$41:$AL$41,MATCH(AD$7,'Inputs (2)'!$D$2:$AL$2,0))</f>
        <v>6747</v>
      </c>
      <c r="AE250" s="301">
        <f>INDEX('Inputs (2)'!$D$41:$AL$41,MATCH(AE$7,'Inputs (2)'!$D$2:$AL$2,0))</f>
        <v>6418</v>
      </c>
      <c r="AF250" s="301">
        <f>INDEX('Inputs (2)'!$D$41:$AL$41,MATCH(AF$7,'Inputs (2)'!$D$2:$AL$2,0))</f>
        <v>6563</v>
      </c>
      <c r="AG250" s="268">
        <f>AF250</f>
        <v>6563</v>
      </c>
      <c r="AH250" s="268">
        <f>INDEX('Inputs (2)'!$D$41:$AL$41,MATCH(AH$7,'Inputs (2)'!$D$2:$AL$2,0))</f>
        <v>6645</v>
      </c>
      <c r="AI250" s="268">
        <f>INDEX('Inputs (2)'!$D$41:$AL$41,MATCH(AI$7,'Inputs (2)'!$D$2:$AL$2,0))</f>
        <v>6561</v>
      </c>
      <c r="AJ250" s="268">
        <f>AI250-AJ138+AJ253</f>
        <v>6506</v>
      </c>
      <c r="AK250" s="268">
        <f>AJ250-AK138+AK253</f>
        <v>6661</v>
      </c>
      <c r="AL250" s="268">
        <f>AK250</f>
        <v>6661</v>
      </c>
      <c r="AM250" s="268">
        <f>AL250-AM138+AM253</f>
        <v>6821</v>
      </c>
      <c r="AN250" s="268">
        <f>AM250-AN138+AN253</f>
        <v>6984</v>
      </c>
      <c r="AO250" s="268">
        <f>AN250-AO138+AO253</f>
        <v>6929</v>
      </c>
      <c r="AP250" s="268">
        <f>AO250-AP138+AP253</f>
        <v>7084</v>
      </c>
      <c r="AQ250" s="268">
        <f>AP250</f>
        <v>7084</v>
      </c>
      <c r="AR250" s="268">
        <f>AQ250-AR138+AR253</f>
        <v>7244</v>
      </c>
      <c r="AS250" s="268">
        <f>AR250-AS138+AS253</f>
        <v>7407</v>
      </c>
      <c r="AT250" s="268">
        <f>AS250-AT138+AT253</f>
        <v>7352</v>
      </c>
      <c r="AU250" s="268">
        <f>AT250-AU138+AU253</f>
        <v>7507</v>
      </c>
      <c r="AV250" s="268">
        <f>AU250</f>
        <v>7507</v>
      </c>
      <c r="AW250" s="268">
        <f>AV250-AW138+AW253</f>
        <v>7667</v>
      </c>
      <c r="AX250" s="268">
        <f>AW250-AX138+AX253</f>
        <v>7830</v>
      </c>
      <c r="AY250" s="268">
        <f>AX250-AY138+AY253</f>
        <v>7775</v>
      </c>
      <c r="AZ250" s="268">
        <f>AY250-AZ138+AZ253</f>
        <v>7930</v>
      </c>
      <c r="BA250" s="268">
        <f>AZ250</f>
        <v>7930</v>
      </c>
      <c r="BB250" s="268">
        <f>BA250-BB138+BB253</f>
        <v>8090</v>
      </c>
      <c r="BC250" s="268">
        <f>BB250-BC138+BC253</f>
        <v>8253</v>
      </c>
      <c r="BD250" s="268">
        <f>BC250-BD138+BD253</f>
        <v>8198</v>
      </c>
      <c r="BE250" s="268">
        <f>BD250-BE138+BE253</f>
        <v>8353</v>
      </c>
      <c r="BF250" s="268">
        <f>BE250</f>
        <v>8353</v>
      </c>
      <c r="BG250" s="268">
        <f>BF250-BG138+BG253</f>
        <v>8513</v>
      </c>
      <c r="BH250" s="268">
        <f>BG250-BH138+BH253</f>
        <v>8676</v>
      </c>
      <c r="BI250" s="268">
        <f>BH250-BI138+BI253</f>
        <v>8621</v>
      </c>
      <c r="BJ250" s="268">
        <f>BI250-BJ138+BJ253</f>
        <v>8776</v>
      </c>
      <c r="BK250" s="268">
        <f>BJ250</f>
        <v>8776</v>
      </c>
      <c r="BL250" s="268">
        <f>BK250-BL138+BL253</f>
        <v>8936</v>
      </c>
      <c r="BM250" s="268">
        <f>BL250-BM138+BM253</f>
        <v>9099</v>
      </c>
      <c r="BN250" s="268">
        <f>BM250-BN138+BN253</f>
        <v>9044</v>
      </c>
      <c r="BO250" s="268">
        <f>BN250-BO138+BO253</f>
        <v>9199</v>
      </c>
      <c r="BP250" s="268">
        <f>BO250</f>
        <v>9199</v>
      </c>
      <c r="BQ250" s="268">
        <f>BP250-BQ138+BQ253</f>
        <v>9359</v>
      </c>
      <c r="BR250" s="268">
        <f>BQ250-BR138+BR253</f>
        <v>9522</v>
      </c>
      <c r="BS250" s="268">
        <f>BR250-BS138+BS253</f>
        <v>9467</v>
      </c>
      <c r="BT250" s="268">
        <f>BS250-BT138+BT253</f>
        <v>9622</v>
      </c>
      <c r="BU250" s="268">
        <f>BT250</f>
        <v>9622</v>
      </c>
      <c r="BV250" s="268">
        <f>BU250-BV138+BV253</f>
        <v>9782</v>
      </c>
      <c r="BW250" s="268">
        <f>BV250-BW138+BW253</f>
        <v>9945</v>
      </c>
      <c r="BX250" s="268">
        <f>BW250-BX138+BX253</f>
        <v>9890</v>
      </c>
      <c r="BY250" s="268">
        <f>BX250-BY138+BY253</f>
        <v>10045</v>
      </c>
      <c r="BZ250" s="268">
        <f>BY250</f>
        <v>10045</v>
      </c>
      <c r="CA250" s="268">
        <f>BZ250-CA138+CA253</f>
        <v>10205</v>
      </c>
      <c r="CB250" s="268">
        <f>CA250-CB138+CB253</f>
        <v>10368</v>
      </c>
      <c r="CC250" s="268">
        <f>CB250-CC138+CC253</f>
        <v>10313</v>
      </c>
      <c r="CD250" s="268">
        <f>CC250-CD138+CD253</f>
        <v>10468</v>
      </c>
      <c r="CE250" s="268">
        <f>CD250</f>
        <v>10468</v>
      </c>
      <c r="CF250" s="268">
        <f>CE250-CF138+CF253</f>
        <v>10628</v>
      </c>
      <c r="CG250" s="268">
        <f>CF250-CG138+CG253</f>
        <v>10791</v>
      </c>
      <c r="CH250" s="268">
        <f>CG250-CH138+CH253</f>
        <v>10736</v>
      </c>
      <c r="CI250" s="268">
        <f>CH250-CI138+CI253</f>
        <v>10891</v>
      </c>
      <c r="CJ250" s="268">
        <f>CI250</f>
        <v>10891</v>
      </c>
      <c r="CK250" s="268">
        <f>CJ250-CK138+CK253</f>
        <v>11051</v>
      </c>
      <c r="CL250" s="268">
        <f>CK250-CL138+CL253</f>
        <v>11214</v>
      </c>
      <c r="CM250" s="268">
        <f>CL250-CM138+CM253</f>
        <v>11159</v>
      </c>
      <c r="CN250" s="268">
        <f>CM250-CN138+CN253</f>
        <v>11314</v>
      </c>
      <c r="CO250" s="268">
        <f>CN250</f>
        <v>11314</v>
      </c>
      <c r="CP250" s="268">
        <f>CO250-CP138+CP253</f>
        <v>11474</v>
      </c>
      <c r="CQ250" s="268">
        <f>CP250-CQ138+CQ253</f>
        <v>11637</v>
      </c>
      <c r="CR250" s="268">
        <f>CQ250-CR138+CR253</f>
        <v>11582</v>
      </c>
      <c r="CS250" s="268">
        <f>CR250-CS138+CS253</f>
        <v>11737</v>
      </c>
      <c r="CT250" s="268">
        <f>CS250</f>
        <v>11737</v>
      </c>
      <c r="CU250" s="268">
        <f>CT250-CU138+CU253</f>
        <v>11897</v>
      </c>
      <c r="CV250" s="268">
        <f>CU250-CV138+CV253</f>
        <v>12060</v>
      </c>
      <c r="CW250" s="268">
        <f>CV250-CW138+CW253</f>
        <v>12005</v>
      </c>
      <c r="CX250" s="268">
        <f>CW250-CX138+CX253</f>
        <v>12160</v>
      </c>
      <c r="CY250" s="268">
        <f>CX250</f>
        <v>12160</v>
      </c>
    </row>
    <row r="251" hidden="1" outlineLevel="1" ht="12.75" customFormat="1" customHeight="1" s="322">
      <c r="A251" s="293" t="n"/>
      <c r="B251" s="293" t="n"/>
      <c r="C251" s="314" t="n"/>
      <c r="D251" s="298" t="n"/>
      <c r="E251" s="298" t="n"/>
      <c r="F251" s="298" t="n"/>
      <c r="G251" s="298" t="n"/>
      <c r="H251" s="298" t="n"/>
      <c r="I251" s="298" t="n"/>
      <c r="J251" s="298" t="n"/>
      <c r="K251" s="298" t="n"/>
      <c r="L251" s="298" t="n"/>
      <c r="M251" s="298" t="n"/>
      <c r="N251" s="298" t="n"/>
      <c r="O251" s="298" t="n"/>
      <c r="P251" s="298" t="n"/>
      <c r="Q251" s="298" t="n"/>
      <c r="R251" s="298" t="n"/>
      <c r="S251" s="298" t="n"/>
      <c r="T251" s="298" t="n"/>
      <c r="U251" s="298" t="n"/>
      <c r="V251" s="298" t="n"/>
      <c r="W251" s="298" t="n"/>
      <c r="X251" s="298" t="n"/>
      <c r="Y251" s="298" t="n"/>
      <c r="Z251" s="298" t="n"/>
      <c r="AA251" s="298" t="n"/>
      <c r="AB251" s="298" t="n"/>
      <c r="AC251" s="298" t="n"/>
      <c r="AD251" s="298" t="n"/>
      <c r="AE251" s="298" t="n"/>
      <c r="AF251" s="298" t="n"/>
      <c r="AG251" s="298" t="n"/>
      <c r="AH251" s="298" t="n"/>
      <c r="AI251" s="298" t="n"/>
      <c r="AJ251" s="298" t="n"/>
      <c r="AK251" s="298" t="n"/>
      <c r="AL251" s="298" t="n"/>
      <c r="AM251" s="298" t="n"/>
      <c r="AN251" s="298" t="n"/>
      <c r="AO251" s="298" t="n"/>
      <c r="AP251" s="298" t="n"/>
      <c r="AQ251" s="298" t="n"/>
      <c r="AR251" s="298" t="n"/>
      <c r="AS251" s="298" t="n"/>
      <c r="AT251" s="298" t="n"/>
      <c r="AU251" s="298" t="n"/>
      <c r="AV251" s="298" t="n"/>
      <c r="AW251" s="298" t="n"/>
      <c r="AX251" s="298" t="n"/>
      <c r="AY251" s="298" t="n"/>
      <c r="AZ251" s="298" t="n"/>
      <c r="BA251" s="298" t="n"/>
      <c r="BB251" s="298" t="n"/>
      <c r="BC251" s="298" t="n"/>
      <c r="BD251" s="298" t="n"/>
      <c r="BE251" s="298" t="n"/>
      <c r="BF251" s="298" t="n"/>
      <c r="BG251" s="298" t="n"/>
      <c r="BH251" s="298" t="n"/>
      <c r="BI251" s="298" t="n"/>
      <c r="BJ251" s="298" t="n"/>
      <c r="BK251" s="298" t="n"/>
      <c r="BL251" s="298" t="n"/>
      <c r="BM251" s="298" t="n"/>
      <c r="BN251" s="298" t="n"/>
      <c r="BO251" s="298" t="n"/>
      <c r="BP251" s="298" t="n"/>
      <c r="BQ251" s="298" t="n"/>
      <c r="BR251" s="298" t="n"/>
      <c r="BS251" s="298" t="n"/>
      <c r="BT251" s="298" t="n"/>
      <c r="BU251" s="298" t="n"/>
      <c r="BV251" s="298" t="n"/>
      <c r="BW251" s="298" t="n"/>
      <c r="BX251" s="298" t="n"/>
      <c r="BY251" s="298" t="n"/>
      <c r="BZ251" s="298" t="n"/>
      <c r="CA251" s="298" t="n"/>
      <c r="CB251" s="298" t="n"/>
      <c r="CC251" s="298" t="n"/>
      <c r="CD251" s="298" t="n"/>
      <c r="CE251" s="298" t="n"/>
      <c r="CF251" s="298" t="n"/>
      <c r="CG251" s="298" t="n"/>
      <c r="CH251" s="298" t="n"/>
      <c r="CI251" s="298" t="n"/>
      <c r="CJ251" s="298" t="n"/>
      <c r="CK251" s="298" t="n"/>
      <c r="CL251" s="298" t="n"/>
      <c r="CM251" s="298" t="n"/>
      <c r="CN251" s="298" t="n"/>
      <c r="CO251" s="298" t="n"/>
      <c r="CP251" s="298" t="n"/>
      <c r="CQ251" s="298" t="n"/>
      <c r="CR251" s="298" t="n"/>
      <c r="CS251" s="298" t="n"/>
      <c r="CT251" s="298" t="n"/>
      <c r="CU251" s="298" t="n"/>
      <c r="CV251" s="298" t="n"/>
      <c r="CW251" s="298" t="n"/>
      <c r="CX251" s="298" t="n"/>
      <c r="CY251" s="298" t="n"/>
    </row>
    <row r="252" hidden="1" outlineLevel="1" ht="12.75" customFormat="1" customHeight="1" s="322">
      <c r="A252" s="293" t="n"/>
      <c r="B252" s="293" t="n"/>
      <c r="C252" s="312" t="inlineStr">
        <is>
          <t>Minority Interest Expense - % YoY</t>
        </is>
      </c>
      <c r="D252" s="298" t="n"/>
      <c r="E252" s="313">
        <f>IF(D137=0,0,E137/D137-1)</f>
        <v>0</v>
      </c>
      <c r="F252" s="298" t="n"/>
      <c r="G252" s="298" t="n"/>
      <c r="H252" s="313" t="n"/>
      <c r="I252" s="298" t="n"/>
      <c r="J252" s="313">
        <f>IF(I137=0,0,J137/I137-1)</f>
        <v>0</v>
      </c>
      <c r="K252" s="298" t="n"/>
      <c r="L252" s="298" t="n"/>
      <c r="M252" s="313" t="n"/>
      <c r="N252" s="313">
        <f>IF(I137=0,0,N137/I137-1)</f>
        <v>0</v>
      </c>
      <c r="O252" s="313">
        <f>IF(J137=0,0,O137/J137-1)</f>
        <v>0</v>
      </c>
      <c r="P252" s="313">
        <f>IF(K137=0,0,P137/K137-1)</f>
        <v>0</v>
      </c>
      <c r="Q252" s="313">
        <f>IF(L137=0,0,Q137/L137-1)</f>
        <v>0</v>
      </c>
      <c r="R252" s="313" t="n"/>
      <c r="S252" s="313">
        <f>IF(N137=0,0,S137/N137-1)</f>
        <v>0</v>
      </c>
      <c r="T252" s="313">
        <f>IF(O137=0,0,T137/O137-1)</f>
        <v>0</v>
      </c>
      <c r="U252" s="313">
        <f>IF(P137=0,0,U137/P137-1)</f>
        <v>0</v>
      </c>
      <c r="V252" s="313">
        <f>IF(Q137=0,0,V137/Q137-1)</f>
        <v>0</v>
      </c>
      <c r="W252" s="313">
        <f>IF(R138=0,0,W138/R138-1)</f>
        <v>-2.95618556701031</v>
      </c>
      <c r="X252" s="313">
        <f>IF(S137=0,0,X137/S137-1)</f>
        <v>0</v>
      </c>
      <c r="Y252" s="313">
        <f>IF(T137=0,0,Y137/T137-1)</f>
        <v>0</v>
      </c>
      <c r="Z252" s="313">
        <f>IF(U137=0,0,Z137/U137-1)</f>
        <v>0</v>
      </c>
      <c r="AA252" s="313">
        <f>IF(V137=0,0,AA137/V137-1)</f>
        <v>0</v>
      </c>
      <c r="AB252" s="313">
        <f>IF(W138=0,0,AB138/W138-1)</f>
        <v>-0.0500658761528326</v>
      </c>
      <c r="AC252" s="313">
        <f>IF(X137=0,0,AC137/X137-1)</f>
        <v>0</v>
      </c>
      <c r="AD252" s="313">
        <f>IF(Y137=0,0,AD137/Y137-1)</f>
        <v>0</v>
      </c>
      <c r="AE252" s="313">
        <f>IF(Z137=0,0,AE137/Z137-1)</f>
        <v>0</v>
      </c>
      <c r="AF252" s="313">
        <f>IF(AA137=0,0,AF137/AA137-1)</f>
        <v>0</v>
      </c>
      <c r="AG252" s="313">
        <f>IF(AB138=0,0,AG138/AB138-1)</f>
        <v>-0.477115117891817</v>
      </c>
      <c r="AH252" s="317">
        <f>IF(AC137=0,0,AH137/AC137-1)</f>
        <v>0</v>
      </c>
      <c r="AI252" s="317">
        <f>IF(AD137=0,0,AI137/AD137-1)</f>
        <v>0</v>
      </c>
      <c r="AJ252" s="317" t="n"/>
      <c r="AK252" s="317" t="n"/>
      <c r="AL252" s="313">
        <f>IF(AG138=0,0,AL138/AG138-1)</f>
        <v>0.122015915119363</v>
      </c>
      <c r="AM252" s="317" t="n"/>
      <c r="AN252" s="317" t="n"/>
      <c r="AO252" s="317" t="n"/>
      <c r="AP252" s="317" t="n"/>
      <c r="AQ252" s="313">
        <f>IF(AL138=0,0,AQ138/AL138-1)</f>
        <v>0</v>
      </c>
      <c r="AR252" s="317" t="n"/>
      <c r="AS252" s="317" t="n"/>
      <c r="AT252" s="317" t="n"/>
      <c r="AU252" s="317" t="n"/>
      <c r="AV252" s="313">
        <f>IF(AQ138=0,0,AV138/AQ138-1)</f>
        <v>0</v>
      </c>
      <c r="AW252" s="317" t="n"/>
      <c r="AX252" s="317" t="n"/>
      <c r="AY252" s="317" t="n"/>
      <c r="AZ252" s="317" t="n"/>
      <c r="BA252" s="313">
        <f>IF(AV138=0,0,BA138/AV138-1)</f>
        <v>0</v>
      </c>
      <c r="BB252" s="317" t="n"/>
      <c r="BC252" s="317" t="n"/>
      <c r="BD252" s="317" t="n"/>
      <c r="BE252" s="317" t="n"/>
      <c r="BF252" s="313">
        <f>IF(BA138=0,0,BF138/BA138-1)</f>
        <v>0</v>
      </c>
      <c r="BG252" s="317" t="n"/>
      <c r="BH252" s="317" t="n"/>
      <c r="BI252" s="317" t="n"/>
      <c r="BJ252" s="317" t="n"/>
      <c r="BK252" s="313">
        <f>IF(BF138=0,0,BK138/BF138-1)</f>
        <v>0</v>
      </c>
      <c r="BL252" s="317" t="n"/>
      <c r="BM252" s="317" t="n"/>
      <c r="BN252" s="317" t="n"/>
      <c r="BO252" s="317" t="n"/>
      <c r="BP252" s="313">
        <f>IF(BK138=0,0,BP138/BK138-1)</f>
        <v>0</v>
      </c>
      <c r="BQ252" s="317" t="n"/>
      <c r="BR252" s="317" t="n"/>
      <c r="BS252" s="317" t="n"/>
      <c r="BT252" s="317" t="n"/>
      <c r="BU252" s="313">
        <f>IF(BP138=0,0,BU138/BP138-1)</f>
        <v>0</v>
      </c>
      <c r="BV252" s="317" t="n"/>
      <c r="BW252" s="317" t="n"/>
      <c r="BX252" s="317" t="n"/>
      <c r="BY252" s="317" t="n"/>
      <c r="BZ252" s="313">
        <f>IF(BU138=0,0,BZ138/BU138-1)</f>
        <v>0</v>
      </c>
      <c r="CA252" s="317" t="n"/>
      <c r="CB252" s="317" t="n"/>
      <c r="CC252" s="317" t="n"/>
      <c r="CD252" s="317" t="n"/>
      <c r="CE252" s="313">
        <f>IF(BZ138=0,0,CE138/BZ138-1)</f>
        <v>0</v>
      </c>
      <c r="CF252" s="317" t="n"/>
      <c r="CG252" s="317" t="n"/>
      <c r="CH252" s="317" t="n"/>
      <c r="CI252" s="317" t="n"/>
      <c r="CJ252" s="313">
        <f>IF(CE138=0,0,CJ138/CE138-1)</f>
        <v>0</v>
      </c>
      <c r="CK252" s="317" t="n"/>
      <c r="CL252" s="317" t="n"/>
      <c r="CM252" s="317" t="n"/>
      <c r="CN252" s="317" t="n"/>
      <c r="CO252" s="313">
        <f>IF(CJ138=0,0,CO138/CJ138-1)</f>
        <v>0</v>
      </c>
      <c r="CP252" s="317" t="n"/>
      <c r="CQ252" s="317" t="n"/>
      <c r="CR252" s="317" t="n"/>
      <c r="CS252" s="317" t="n"/>
      <c r="CT252" s="313">
        <f>IF(CO138=0,0,CT138/CO138-1)</f>
        <v>0</v>
      </c>
      <c r="CU252" s="317" t="n"/>
      <c r="CV252" s="317" t="n"/>
      <c r="CW252" s="317" t="n"/>
      <c r="CX252" s="317" t="n"/>
      <c r="CY252" s="313">
        <f>IF(CT138=0,0,CY138/CT138-1)</f>
        <v>0</v>
      </c>
    </row>
    <row r="253" hidden="1" outlineLevel="1" ht="12.75" customFormat="1" customHeight="1" s="322">
      <c r="A253" s="293" t="n"/>
      <c r="B253" s="293" t="n"/>
      <c r="C253" s="312" t="inlineStr">
        <is>
          <t>Dividends (enter as -)</t>
        </is>
      </c>
      <c r="D253" s="298" t="n"/>
      <c r="E253" s="298" t="n"/>
      <c r="F253" s="298" t="n"/>
      <c r="G253" s="298" t="n"/>
      <c r="H253" s="298" t="n"/>
      <c r="I253" s="298" t="n"/>
      <c r="J253" s="298" t="n"/>
      <c r="K253" s="298" t="n"/>
      <c r="L253" s="298" t="n"/>
      <c r="M253" s="298" t="n"/>
      <c r="N253" s="298" t="n"/>
      <c r="O253" s="298" t="n"/>
      <c r="P253" s="298" t="n"/>
      <c r="Q253" s="298" t="n"/>
      <c r="R253" s="298" t="n"/>
      <c r="S253" s="298" t="n"/>
      <c r="T253" s="298" t="n"/>
      <c r="U253" s="298" t="n"/>
      <c r="V253" s="298" t="n"/>
      <c r="W253" s="298" t="n"/>
      <c r="X253" s="298" t="n"/>
      <c r="Y253" s="298" t="n"/>
      <c r="Z253" s="298" t="n"/>
      <c r="AA253" s="298" t="n"/>
      <c r="AB253" s="298" t="n"/>
      <c r="AC253" s="298" t="n"/>
      <c r="AD253" s="298" t="n"/>
      <c r="AE253" s="298" t="n"/>
      <c r="AF253" s="298" t="n"/>
      <c r="AG253" s="298" t="n"/>
      <c r="AH253" s="317" t="n"/>
      <c r="AI253" s="317" t="n"/>
      <c r="AJ253" s="317" t="n"/>
      <c r="AK253" s="317" t="n"/>
      <c r="AL253" s="298" t="n"/>
      <c r="AM253" s="317" t="n"/>
      <c r="AN253" s="317" t="n"/>
      <c r="AO253" s="317" t="n"/>
      <c r="AP253" s="317" t="n"/>
      <c r="AQ253" s="298" t="n"/>
      <c r="AR253" s="317" t="n"/>
      <c r="AS253" s="317" t="n"/>
      <c r="AT253" s="317" t="n"/>
      <c r="AU253" s="317" t="n"/>
      <c r="AV253" s="298" t="n"/>
      <c r="AW253" s="317" t="n"/>
      <c r="AX253" s="317" t="n"/>
      <c r="AY253" s="317" t="n"/>
      <c r="AZ253" s="317" t="n"/>
      <c r="BA253" s="298" t="n"/>
      <c r="BB253" s="317" t="n"/>
      <c r="BC253" s="317" t="n"/>
      <c r="BD253" s="317" t="n"/>
      <c r="BE253" s="317" t="n"/>
      <c r="BF253" s="298" t="n"/>
      <c r="BG253" s="317" t="n"/>
      <c r="BH253" s="317" t="n"/>
      <c r="BI253" s="317" t="n"/>
      <c r="BJ253" s="317" t="n"/>
      <c r="BK253" s="298" t="n"/>
      <c r="BL253" s="317" t="n"/>
      <c r="BM253" s="317" t="n"/>
      <c r="BN253" s="317" t="n"/>
      <c r="BO253" s="317" t="n"/>
      <c r="BP253" s="298" t="n"/>
      <c r="BQ253" s="317" t="n"/>
      <c r="BR253" s="317" t="n"/>
      <c r="BS253" s="317" t="n"/>
      <c r="BT253" s="317" t="n"/>
      <c r="BU253" s="298" t="n"/>
      <c r="BV253" s="317" t="n"/>
      <c r="BW253" s="317" t="n"/>
      <c r="BX253" s="317" t="n"/>
      <c r="BY253" s="317" t="n"/>
      <c r="BZ253" s="298" t="n"/>
      <c r="CA253" s="317" t="n"/>
      <c r="CB253" s="317" t="n"/>
      <c r="CC253" s="317" t="n"/>
      <c r="CD253" s="317" t="n"/>
      <c r="CE253" s="298" t="n"/>
      <c r="CF253" s="317" t="n"/>
      <c r="CG253" s="317" t="n"/>
      <c r="CH253" s="317" t="n"/>
      <c r="CI253" s="317" t="n"/>
      <c r="CJ253" s="298" t="n"/>
      <c r="CK253" s="317" t="n"/>
      <c r="CL253" s="317" t="n"/>
      <c r="CM253" s="317" t="n"/>
      <c r="CN253" s="317" t="n"/>
      <c r="CO253" s="298" t="n"/>
      <c r="CP253" s="317" t="n"/>
      <c r="CQ253" s="317" t="n"/>
      <c r="CR253" s="317" t="n"/>
      <c r="CS253" s="317" t="n"/>
      <c r="CT253" s="298" t="n"/>
      <c r="CU253" s="317" t="n"/>
      <c r="CV253" s="317" t="n"/>
      <c r="CW253" s="317" t="n"/>
      <c r="CX253" s="317" t="n"/>
      <c r="CY253" s="298" t="n"/>
    </row>
    <row r="254" hidden="1" outlineLevel="1" ht="12.75" customFormat="1" customHeight="1" s="322">
      <c r="A254" s="293" t="n"/>
      <c r="B254" s="293" t="n"/>
      <c r="C254" s="314" t="n"/>
      <c r="D254" s="298" t="n"/>
      <c r="E254" s="298" t="n"/>
      <c r="F254" s="298" t="n"/>
      <c r="G254" s="298" t="n"/>
      <c r="H254" s="298" t="n"/>
      <c r="I254" s="298" t="n"/>
      <c r="J254" s="298" t="n"/>
      <c r="K254" s="298" t="n"/>
      <c r="L254" s="298" t="n"/>
      <c r="M254" s="298" t="n"/>
      <c r="N254" s="298" t="n"/>
      <c r="O254" s="298" t="n"/>
      <c r="P254" s="298" t="n"/>
      <c r="Q254" s="298" t="n"/>
      <c r="R254" s="298" t="n"/>
      <c r="S254" s="298" t="n"/>
      <c r="T254" s="298" t="n"/>
      <c r="U254" s="298" t="n"/>
      <c r="V254" s="298" t="n"/>
      <c r="W254" s="298" t="n"/>
      <c r="X254" s="298" t="n"/>
      <c r="Y254" s="298" t="n"/>
      <c r="Z254" s="298" t="n"/>
      <c r="AA254" s="298" t="n"/>
      <c r="AB254" s="298" t="n"/>
      <c r="AC254" s="298" t="n"/>
      <c r="AD254" s="298" t="n"/>
      <c r="AE254" s="298" t="n"/>
      <c r="AF254" s="298" t="n"/>
      <c r="AG254" s="298" t="n"/>
      <c r="AH254" s="298" t="n"/>
      <c r="AI254" s="298" t="n"/>
      <c r="AJ254" s="298" t="n"/>
      <c r="AK254" s="298" t="n"/>
      <c r="AL254" s="298" t="n"/>
      <c r="AM254" s="298" t="n"/>
      <c r="AN254" s="298" t="n"/>
      <c r="AO254" s="298" t="n"/>
      <c r="AP254" s="298" t="n"/>
      <c r="AQ254" s="298" t="n"/>
      <c r="AR254" s="298" t="n"/>
      <c r="AS254" s="298" t="n"/>
      <c r="AT254" s="298" t="n"/>
      <c r="AU254" s="298" t="n"/>
      <c r="AV254" s="298" t="n"/>
      <c r="AW254" s="298" t="n"/>
      <c r="AX254" s="298" t="n"/>
      <c r="AY254" s="298" t="n"/>
      <c r="AZ254" s="298" t="n"/>
      <c r="BA254" s="298" t="n"/>
      <c r="BB254" s="298" t="n"/>
      <c r="BC254" s="298" t="n"/>
      <c r="BD254" s="298" t="n"/>
      <c r="BE254" s="298" t="n"/>
      <c r="BF254" s="298" t="n"/>
      <c r="BG254" s="298" t="n"/>
      <c r="BH254" s="298" t="n"/>
      <c r="BI254" s="298" t="n"/>
      <c r="BJ254" s="298" t="n"/>
      <c r="BK254" s="298" t="n"/>
      <c r="BL254" s="298" t="n"/>
      <c r="BM254" s="298" t="n"/>
      <c r="BN254" s="298" t="n"/>
      <c r="BO254" s="298" t="n"/>
      <c r="BP254" s="298" t="n"/>
      <c r="BQ254" s="298" t="n"/>
      <c r="BR254" s="298" t="n"/>
      <c r="BS254" s="298" t="n"/>
      <c r="BT254" s="298" t="n"/>
      <c r="BU254" s="298" t="n"/>
      <c r="BV254" s="298" t="n"/>
      <c r="BW254" s="298" t="n"/>
      <c r="BX254" s="298" t="n"/>
      <c r="BY254" s="298" t="n"/>
      <c r="BZ254" s="298" t="n"/>
      <c r="CA254" s="298" t="n"/>
      <c r="CB254" s="298" t="n"/>
      <c r="CC254" s="298" t="n"/>
      <c r="CD254" s="298" t="n"/>
      <c r="CE254" s="298" t="n"/>
      <c r="CF254" s="298" t="n"/>
      <c r="CG254" s="298" t="n"/>
      <c r="CH254" s="298" t="n"/>
      <c r="CI254" s="298" t="n"/>
      <c r="CJ254" s="298" t="n"/>
      <c r="CK254" s="298" t="n"/>
      <c r="CL254" s="298" t="n"/>
      <c r="CM254" s="298" t="n"/>
      <c r="CN254" s="298" t="n"/>
      <c r="CO254" s="298" t="n"/>
      <c r="CP254" s="298" t="n"/>
      <c r="CQ254" s="298" t="n"/>
      <c r="CR254" s="298" t="n"/>
      <c r="CS254" s="298" t="n"/>
      <c r="CT254" s="298" t="n"/>
      <c r="CU254" s="298" t="n"/>
      <c r="CV254" s="298" t="n"/>
      <c r="CW254" s="298" t="n"/>
      <c r="CX254" s="298" t="n"/>
      <c r="CY254" s="298" t="n"/>
    </row>
    <row r="255" ht="12.75" customHeight="1" s="255">
      <c r="C255" s="270" t="inlineStr">
        <is>
          <t>Convertible Preferred Stock</t>
        </is>
      </c>
      <c r="D255" s="301" t="n"/>
      <c r="E255" s="301" t="n"/>
      <c r="F255" s="301" t="n"/>
      <c r="G255" s="301" t="n"/>
      <c r="H255" s="268">
        <f>G255</f>
        <v>0</v>
      </c>
      <c r="I255" s="301" t="n"/>
      <c r="J255" s="301" t="n"/>
      <c r="K255" s="301" t="n"/>
      <c r="L255" s="301" t="n"/>
      <c r="M255" s="268">
        <f>L255</f>
        <v>0</v>
      </c>
      <c r="N255" s="301" t="n"/>
      <c r="O255" s="301" t="n"/>
      <c r="P255" s="301" t="n"/>
      <c r="Q255" s="301" t="n"/>
      <c r="R255" s="268">
        <f>Q255</f>
        <v>0</v>
      </c>
      <c r="S255" s="301" t="n"/>
      <c r="T255" s="301" t="n"/>
      <c r="U255" s="301" t="n"/>
      <c r="V255" s="301" t="n"/>
      <c r="W255" s="268">
        <f>V255</f>
        <v>0</v>
      </c>
      <c r="X255" s="301" t="n"/>
      <c r="Y255" s="301" t="n"/>
      <c r="Z255" s="301" t="n"/>
      <c r="AA255" s="301" t="n"/>
      <c r="AB255" s="268">
        <f>AA255</f>
        <v>0</v>
      </c>
      <c r="AC255" s="301" t="n"/>
      <c r="AD255" s="301" t="n"/>
      <c r="AE255" s="301" t="n"/>
      <c r="AF255" s="301" t="n"/>
      <c r="AG255" s="268">
        <f>AF255</f>
        <v>0</v>
      </c>
      <c r="AH255" s="268">
        <f>AG255</f>
        <v>0</v>
      </c>
      <c r="AI255" s="268">
        <f>AH255</f>
        <v>0</v>
      </c>
      <c r="AJ255" s="268">
        <f>AI255</f>
        <v>0</v>
      </c>
      <c r="AK255" s="268">
        <f>AJ255</f>
        <v>0</v>
      </c>
      <c r="AL255" s="268">
        <f>AK255</f>
        <v>0</v>
      </c>
      <c r="AM255" s="268">
        <f>AL255</f>
        <v>0</v>
      </c>
      <c r="AN255" s="268">
        <f>AM255</f>
        <v>0</v>
      </c>
      <c r="AO255" s="268">
        <f>AN255</f>
        <v>0</v>
      </c>
      <c r="AP255" s="268">
        <f>AO255</f>
        <v>0</v>
      </c>
      <c r="AQ255" s="268">
        <f>AP255</f>
        <v>0</v>
      </c>
      <c r="AR255" s="268">
        <f>AQ255</f>
        <v>0</v>
      </c>
      <c r="AS255" s="268">
        <f>AR255</f>
        <v>0</v>
      </c>
      <c r="AT255" s="268">
        <f>AS255</f>
        <v>0</v>
      </c>
      <c r="AU255" s="268">
        <f>AT255</f>
        <v>0</v>
      </c>
      <c r="AV255" s="268">
        <f>AU255</f>
        <v>0</v>
      </c>
      <c r="AW255" s="268">
        <f>AV255</f>
        <v>0</v>
      </c>
      <c r="AX255" s="268">
        <f>AW255</f>
        <v>0</v>
      </c>
      <c r="AY255" s="268">
        <f>AX255</f>
        <v>0</v>
      </c>
      <c r="AZ255" s="268">
        <f>AY255</f>
        <v>0</v>
      </c>
      <c r="BA255" s="268">
        <f>AZ255</f>
        <v>0</v>
      </c>
      <c r="BB255" s="268">
        <f>BA255</f>
        <v>0</v>
      </c>
      <c r="BC255" s="268">
        <f>BB255</f>
        <v>0</v>
      </c>
      <c r="BD255" s="268">
        <f>BC255</f>
        <v>0</v>
      </c>
      <c r="BE255" s="268">
        <f>BD255</f>
        <v>0</v>
      </c>
      <c r="BF255" s="268">
        <f>BE255</f>
        <v>0</v>
      </c>
      <c r="BG255" s="268">
        <f>BF255</f>
        <v>0</v>
      </c>
      <c r="BH255" s="268">
        <f>BG255</f>
        <v>0</v>
      </c>
      <c r="BI255" s="268">
        <f>BH255</f>
        <v>0</v>
      </c>
      <c r="BJ255" s="268">
        <f>BI255</f>
        <v>0</v>
      </c>
      <c r="BK255" s="268">
        <f>BJ255</f>
        <v>0</v>
      </c>
      <c r="BL255" s="268">
        <f>BK255</f>
        <v>0</v>
      </c>
      <c r="BM255" s="268">
        <f>BL255</f>
        <v>0</v>
      </c>
      <c r="BN255" s="268">
        <f>BM255</f>
        <v>0</v>
      </c>
      <c r="BO255" s="268">
        <f>BN255</f>
        <v>0</v>
      </c>
      <c r="BP255" s="268">
        <f>BO255</f>
        <v>0</v>
      </c>
      <c r="BQ255" s="268">
        <f>BP255</f>
        <v>0</v>
      </c>
      <c r="BR255" s="268">
        <f>BQ255</f>
        <v>0</v>
      </c>
      <c r="BS255" s="268">
        <f>BR255</f>
        <v>0</v>
      </c>
      <c r="BT255" s="268">
        <f>BS255</f>
        <v>0</v>
      </c>
      <c r="BU255" s="268">
        <f>BT255</f>
        <v>0</v>
      </c>
      <c r="BV255" s="268">
        <f>BU255</f>
        <v>0</v>
      </c>
      <c r="BW255" s="268">
        <f>BV255</f>
        <v>0</v>
      </c>
      <c r="BX255" s="268">
        <f>BW255</f>
        <v>0</v>
      </c>
      <c r="BY255" s="268">
        <f>BX255</f>
        <v>0</v>
      </c>
      <c r="BZ255" s="268">
        <f>BY255</f>
        <v>0</v>
      </c>
      <c r="CA255" s="268">
        <f>BZ255</f>
        <v>0</v>
      </c>
      <c r="CB255" s="268">
        <f>CA255</f>
        <v>0</v>
      </c>
      <c r="CC255" s="268">
        <f>CB255</f>
        <v>0</v>
      </c>
      <c r="CD255" s="268">
        <f>CC255</f>
        <v>0</v>
      </c>
      <c r="CE255" s="268">
        <f>CD255</f>
        <v>0</v>
      </c>
      <c r="CF255" s="268">
        <f>CE255</f>
        <v>0</v>
      </c>
      <c r="CG255" s="268">
        <f>CF255</f>
        <v>0</v>
      </c>
      <c r="CH255" s="268">
        <f>CG255</f>
        <v>0</v>
      </c>
      <c r="CI255" s="268">
        <f>CH255</f>
        <v>0</v>
      </c>
      <c r="CJ255" s="268">
        <f>CI255</f>
        <v>0</v>
      </c>
      <c r="CK255" s="268">
        <f>CJ255</f>
        <v>0</v>
      </c>
      <c r="CL255" s="268">
        <f>CK255</f>
        <v>0</v>
      </c>
      <c r="CM255" s="268">
        <f>CL255</f>
        <v>0</v>
      </c>
      <c r="CN255" s="268">
        <f>CM255</f>
        <v>0</v>
      </c>
      <c r="CO255" s="268">
        <f>CN255</f>
        <v>0</v>
      </c>
      <c r="CP255" s="268">
        <f>CO255</f>
        <v>0</v>
      </c>
      <c r="CQ255" s="268">
        <f>CP255</f>
        <v>0</v>
      </c>
      <c r="CR255" s="268">
        <f>CQ255</f>
        <v>0</v>
      </c>
      <c r="CS255" s="268">
        <f>CR255</f>
        <v>0</v>
      </c>
      <c r="CT255" s="268">
        <f>CS255</f>
        <v>0</v>
      </c>
      <c r="CU255" s="268">
        <f>CT255</f>
        <v>0</v>
      </c>
      <c r="CV255" s="268">
        <f>CU255</f>
        <v>0</v>
      </c>
      <c r="CW255" s="268">
        <f>CV255</f>
        <v>0</v>
      </c>
      <c r="CX255" s="268">
        <f>CW255</f>
        <v>0</v>
      </c>
      <c r="CY255" s="268">
        <f>CX255</f>
        <v>0</v>
      </c>
    </row>
    <row r="256" ht="12.75" customHeight="1" s="255">
      <c r="C256" s="269" t="inlineStr">
        <is>
          <t>Common Stock and APIC</t>
        </is>
      </c>
      <c r="D256" s="301">
        <f>INDEX('Inputs (2)'!$D$43:$AL$43,MATCH(D$7,'Inputs (2)'!$D$2:$AL$2,0))</f>
        <v>3267</v>
      </c>
      <c r="E256" s="301">
        <f>INDEX('Inputs (2)'!$D$43:$AL$43,MATCH(E$7,'Inputs (2)'!$D$2:$AL$2,0))</f>
        <v>3480</v>
      </c>
      <c r="F256" s="301">
        <f>INDEX('Inputs (2)'!$D$43:$AL$43,MATCH(F$7,'Inputs (2)'!$D$2:$AL$2,0))</f>
        <v>3768</v>
      </c>
      <c r="G256" s="301">
        <f>INDEX('Inputs (2)'!$D$43:$AL$43,MATCH(G$7,'Inputs (2)'!$D$2:$AL$2,0))</f>
        <v>3928</v>
      </c>
      <c r="H256" s="268">
        <f>G256</f>
        <v>3928</v>
      </c>
      <c r="I256" s="301">
        <f>INDEX('Inputs (2)'!$D$43:$AL$43,MATCH(I$7,'Inputs (2)'!$D$2:$AL$2,0))</f>
        <v>3704</v>
      </c>
      <c r="J256" s="301">
        <f>INDEX('Inputs (2)'!$D$43:$AL$43,MATCH(J$7,'Inputs (2)'!$D$2:$AL$2,0))</f>
        <v>3933</v>
      </c>
      <c r="K256" s="301">
        <f>INDEX('Inputs (2)'!$D$43:$AL$43,MATCH(K$7,'Inputs (2)'!$D$2:$AL$2,0))</f>
        <v>5088</v>
      </c>
      <c r="L256" s="301">
        <f>INDEX('Inputs (2)'!$D$43:$AL$43,MATCH(L$7,'Inputs (2)'!$D$2:$AL$2,0))</f>
        <v>5115</v>
      </c>
      <c r="M256" s="268">
        <f>L256</f>
        <v>5115</v>
      </c>
      <c r="N256" s="301">
        <f>INDEX('Inputs (2)'!$D$43:$AL$43,MATCH(N$7,'Inputs (2)'!$D$2:$AL$2,0))</f>
        <v>4862</v>
      </c>
      <c r="O256" s="301">
        <f>INDEX('Inputs (2)'!$D$43:$AL$43,MATCH(O$7,'Inputs (2)'!$D$2:$AL$2,0))</f>
        <v>4944</v>
      </c>
      <c r="P256" s="301">
        <f>INDEX('Inputs (2)'!$D$43:$AL$43,MATCH(P$7,'Inputs (2)'!$D$2:$AL$2,0))</f>
        <v>5087</v>
      </c>
      <c r="Q256" s="301">
        <f>INDEX('Inputs (2)'!$D$43:$AL$43,MATCH(Q$7,'Inputs (2)'!$D$2:$AL$2,0))</f>
        <v>5238</v>
      </c>
      <c r="R256" s="268">
        <f>Q256</f>
        <v>5238</v>
      </c>
      <c r="S256" s="301">
        <f>INDEX('Inputs (2)'!$D$43:$AL$43,MATCH(S$7,'Inputs (2)'!$D$2:$AL$2,0))</f>
        <v>5517</v>
      </c>
      <c r="T256" s="301">
        <f>INDEX('Inputs (2)'!$D$43:$AL$43,MATCH(T$7,'Inputs (2)'!$D$2:$AL$2,0))</f>
        <v>4904</v>
      </c>
      <c r="U256" s="301">
        <f>INDEX('Inputs (2)'!$D$43:$AL$43,MATCH(U$7,'Inputs (2)'!$D$2:$AL$2,0))</f>
        <v>5198</v>
      </c>
      <c r="V256" s="301">
        <f>INDEX('Inputs (2)'!$D$43:$AL$43,MATCH(V$7,'Inputs (2)'!$D$2:$AL$2,0))</f>
        <v>5349</v>
      </c>
      <c r="W256" s="268">
        <f>V256</f>
        <v>5349</v>
      </c>
      <c r="X256" s="301">
        <f>INDEX('Inputs (2)'!$D$43:$AL$43,MATCH(X$7,'Inputs (2)'!$D$2:$AL$2,0))</f>
        <v>5430</v>
      </c>
      <c r="Y256" s="301">
        <f>INDEX('Inputs (2)'!$D$43:$AL$43,MATCH(Y$7,'Inputs (2)'!$D$2:$AL$2,0))</f>
        <v>5813</v>
      </c>
      <c r="Z256" s="301">
        <f>INDEX('Inputs (2)'!$D$43:$AL$43,MATCH(Z$7,'Inputs (2)'!$D$2:$AL$2,0))</f>
        <v>6198</v>
      </c>
      <c r="AA256" s="301">
        <f>INDEX('Inputs (2)'!$D$43:$AL$43,MATCH(AA$7,'Inputs (2)'!$D$2:$AL$2,0))</f>
        <v>6305</v>
      </c>
      <c r="AB256" s="268">
        <f>AA256</f>
        <v>6305</v>
      </c>
      <c r="AC256" s="301">
        <f>INDEX('Inputs (2)'!$D$43:$AL$43,MATCH(AC$7,'Inputs (2)'!$D$2:$AL$2,0))</f>
        <v>6240</v>
      </c>
      <c r="AD256" s="301">
        <f>INDEX('Inputs (2)'!$D$43:$AL$43,MATCH(AD$7,'Inputs (2)'!$D$2:$AL$2,0))</f>
        <v>6515</v>
      </c>
      <c r="AE256" s="301">
        <f>INDEX('Inputs (2)'!$D$43:$AL$43,MATCH(AE$7,'Inputs (2)'!$D$2:$AL$2,0))</f>
        <v>7660</v>
      </c>
      <c r="AF256" s="301">
        <f>INDEX('Inputs (2)'!$D$43:$AL$43,MATCH(AF$7,'Inputs (2)'!$D$2:$AL$2,0))</f>
        <v>7613</v>
      </c>
      <c r="AG256" s="268">
        <f>AF256</f>
        <v>7613</v>
      </c>
      <c r="AH256" s="268">
        <f>INDEX('Inputs (2)'!$D$43:$AL$43,MATCH(AH$7,'Inputs (2)'!$D$2:$AL$2,0))</f>
        <v>7694</v>
      </c>
      <c r="AI256" s="268">
        <f>INDEX('Inputs (2)'!$D$43:$AL$43,MATCH(AI$7,'Inputs (2)'!$D$2:$AL$2,0))</f>
        <v>7840</v>
      </c>
      <c r="AJ256" s="268">
        <f>AI256+AJ260</f>
        <v>7840</v>
      </c>
      <c r="AK256" s="268">
        <f>AJ256+AK260</f>
        <v>7840</v>
      </c>
      <c r="AL256" s="268">
        <f>AK256</f>
        <v>7840</v>
      </c>
      <c r="AM256" s="268">
        <f>AL256+AM260</f>
        <v>7840</v>
      </c>
      <c r="AN256" s="268">
        <f>AM256+AN260</f>
        <v>7840</v>
      </c>
      <c r="AO256" s="268">
        <f>AN256+AO260</f>
        <v>7840</v>
      </c>
      <c r="AP256" s="268">
        <f>AO256+AP260</f>
        <v>7840</v>
      </c>
      <c r="AQ256" s="268">
        <f>AP256</f>
        <v>7840</v>
      </c>
      <c r="AR256" s="268">
        <f>AQ256+AR260</f>
        <v>7840</v>
      </c>
      <c r="AS256" s="268">
        <f>AR256+AS260</f>
        <v>7840</v>
      </c>
      <c r="AT256" s="268">
        <f>AS256+AT260</f>
        <v>7840</v>
      </c>
      <c r="AU256" s="268">
        <f>AT256+AU260</f>
        <v>7840</v>
      </c>
      <c r="AV256" s="268">
        <f>AU256</f>
        <v>7840</v>
      </c>
      <c r="AW256" s="268">
        <f>AV256+AW260</f>
        <v>7840</v>
      </c>
      <c r="AX256" s="268">
        <f>AW256+AX260</f>
        <v>7840</v>
      </c>
      <c r="AY256" s="268">
        <f>AX256+AY260</f>
        <v>7840</v>
      </c>
      <c r="AZ256" s="268">
        <f>AY256+AZ260</f>
        <v>7840</v>
      </c>
      <c r="BA256" s="268">
        <f>AZ256</f>
        <v>7840</v>
      </c>
      <c r="BB256" s="268">
        <f>BA256+BB260</f>
        <v>7840</v>
      </c>
      <c r="BC256" s="268">
        <f>BB256+BC260</f>
        <v>7840</v>
      </c>
      <c r="BD256" s="268">
        <f>BC256+BD260</f>
        <v>7840</v>
      </c>
      <c r="BE256" s="268">
        <f>BD256+BE260</f>
        <v>7840</v>
      </c>
      <c r="BF256" s="268">
        <f>BE256</f>
        <v>7840</v>
      </c>
      <c r="BG256" s="268">
        <f>BF256+BG260</f>
        <v>7840</v>
      </c>
      <c r="BH256" s="268">
        <f>BG256+BH260</f>
        <v>7840</v>
      </c>
      <c r="BI256" s="268">
        <f>BH256+BI260</f>
        <v>7840</v>
      </c>
      <c r="BJ256" s="268">
        <f>BI256+BJ260</f>
        <v>7840</v>
      </c>
      <c r="BK256" s="268">
        <f>BJ256</f>
        <v>7840</v>
      </c>
      <c r="BL256" s="268">
        <f>BK256+BL260</f>
        <v>7840</v>
      </c>
      <c r="BM256" s="268">
        <f>BL256+BM260</f>
        <v>7840</v>
      </c>
      <c r="BN256" s="268">
        <f>BM256+BN260</f>
        <v>7840</v>
      </c>
      <c r="BO256" s="268">
        <f>BN256+BO260</f>
        <v>7840</v>
      </c>
      <c r="BP256" s="268">
        <f>BO256</f>
        <v>7840</v>
      </c>
      <c r="BQ256" s="268">
        <f>BP256+BQ260</f>
        <v>7840</v>
      </c>
      <c r="BR256" s="268">
        <f>BQ256+BR260</f>
        <v>7840</v>
      </c>
      <c r="BS256" s="268">
        <f>BR256+BS260</f>
        <v>7840</v>
      </c>
      <c r="BT256" s="268">
        <f>BS256+BT260</f>
        <v>7840</v>
      </c>
      <c r="BU256" s="268">
        <f>BT256</f>
        <v>7840</v>
      </c>
      <c r="BV256" s="268">
        <f>BU256+BV260</f>
        <v>7840</v>
      </c>
      <c r="BW256" s="268">
        <f>BV256+BW260</f>
        <v>7840</v>
      </c>
      <c r="BX256" s="268">
        <f>BW256+BX260</f>
        <v>7840</v>
      </c>
      <c r="BY256" s="268">
        <f>BX256+BY260</f>
        <v>7840</v>
      </c>
      <c r="BZ256" s="268">
        <f>BY256</f>
        <v>7840</v>
      </c>
      <c r="CA256" s="268">
        <f>BZ256+CA260</f>
        <v>7840</v>
      </c>
      <c r="CB256" s="268">
        <f>CA256+CB260</f>
        <v>7840</v>
      </c>
      <c r="CC256" s="268">
        <f>CB256+CC260</f>
        <v>7840</v>
      </c>
      <c r="CD256" s="268">
        <f>CC256+CD260</f>
        <v>7840</v>
      </c>
      <c r="CE256" s="268">
        <f>CD256</f>
        <v>7840</v>
      </c>
      <c r="CF256" s="268">
        <f>CE256+CF260</f>
        <v>7840</v>
      </c>
      <c r="CG256" s="268">
        <f>CF256+CG260</f>
        <v>7840</v>
      </c>
      <c r="CH256" s="268">
        <f>CG256+CH260</f>
        <v>7840</v>
      </c>
      <c r="CI256" s="268">
        <f>CH256+CI260</f>
        <v>7840</v>
      </c>
      <c r="CJ256" s="268">
        <f>CI256</f>
        <v>7840</v>
      </c>
      <c r="CK256" s="268">
        <f>CJ256+CK260</f>
        <v>7840</v>
      </c>
      <c r="CL256" s="268">
        <f>CK256+CL260</f>
        <v>7840</v>
      </c>
      <c r="CM256" s="268">
        <f>CL256+CM260</f>
        <v>7840</v>
      </c>
      <c r="CN256" s="268">
        <f>CM256+CN260</f>
        <v>7840</v>
      </c>
      <c r="CO256" s="268">
        <f>CN256</f>
        <v>7840</v>
      </c>
      <c r="CP256" s="268">
        <f>CO256+CP260</f>
        <v>7840</v>
      </c>
      <c r="CQ256" s="268">
        <f>CP256+CQ260</f>
        <v>7840</v>
      </c>
      <c r="CR256" s="268">
        <f>CQ256+CR260</f>
        <v>7840</v>
      </c>
      <c r="CS256" s="268">
        <f>CR256+CS260</f>
        <v>7840</v>
      </c>
      <c r="CT256" s="268">
        <f>CS256</f>
        <v>7840</v>
      </c>
      <c r="CU256" s="268">
        <f>CT256+CU260</f>
        <v>7840</v>
      </c>
      <c r="CV256" s="268">
        <f>CU256+CV260</f>
        <v>7840</v>
      </c>
      <c r="CW256" s="268">
        <f>CV256+CW260</f>
        <v>7840</v>
      </c>
      <c r="CX256" s="268">
        <f>CW256+CX260</f>
        <v>7840</v>
      </c>
      <c r="CY256" s="268">
        <f>CX256</f>
        <v>7840</v>
      </c>
    </row>
    <row r="257" hidden="1" outlineLevel="1" ht="12.75" customFormat="1" customHeight="1" s="322">
      <c r="A257" s="293" t="n"/>
      <c r="B257" s="293" t="n"/>
      <c r="C257" s="323" t="n"/>
      <c r="D257" s="298" t="n"/>
      <c r="E257" s="298" t="n"/>
      <c r="F257" s="298" t="n"/>
      <c r="G257" s="298" t="n"/>
      <c r="H257" s="298" t="n"/>
      <c r="I257" s="298" t="n"/>
      <c r="J257" s="298" t="n"/>
      <c r="K257" s="298" t="n"/>
      <c r="L257" s="298" t="n"/>
      <c r="M257" s="298" t="n"/>
      <c r="N257" s="298" t="n"/>
      <c r="O257" s="298" t="n"/>
      <c r="P257" s="298" t="n"/>
      <c r="Q257" s="298" t="n"/>
      <c r="R257" s="298" t="n"/>
      <c r="S257" s="298" t="n"/>
      <c r="T257" s="298" t="n"/>
      <c r="U257" s="298" t="n"/>
      <c r="V257" s="298" t="n"/>
      <c r="W257" s="298" t="n"/>
      <c r="X257" s="298" t="n"/>
      <c r="Y257" s="298" t="n"/>
      <c r="Z257" s="298" t="n"/>
      <c r="AA257" s="298" t="n"/>
      <c r="AB257" s="298" t="n"/>
      <c r="AC257" s="298" t="n"/>
      <c r="AD257" s="298" t="n"/>
      <c r="AE257" s="298" t="n"/>
      <c r="AF257" s="298" t="n"/>
      <c r="AG257" s="298" t="n"/>
      <c r="AH257" s="298" t="n"/>
      <c r="AI257" s="298" t="n"/>
      <c r="AJ257" s="298" t="n"/>
      <c r="AK257" s="298" t="n"/>
      <c r="AL257" s="298" t="n"/>
      <c r="AM257" s="298" t="n"/>
      <c r="AN257" s="298" t="n"/>
      <c r="AO257" s="298" t="n"/>
      <c r="AP257" s="298" t="n"/>
      <c r="AQ257" s="298" t="n"/>
      <c r="AR257" s="298" t="n"/>
      <c r="AS257" s="298" t="n"/>
      <c r="AT257" s="298" t="n"/>
      <c r="AU257" s="298" t="n"/>
      <c r="AV257" s="298" t="n"/>
      <c r="AW257" s="298" t="n"/>
      <c r="AX257" s="298" t="n"/>
      <c r="AY257" s="298" t="n"/>
      <c r="AZ257" s="298" t="n"/>
      <c r="BA257" s="298" t="n"/>
      <c r="BB257" s="298" t="n"/>
      <c r="BC257" s="298" t="n"/>
      <c r="BD257" s="298" t="n"/>
      <c r="BE257" s="298" t="n"/>
      <c r="BF257" s="298" t="n"/>
      <c r="BG257" s="298" t="n"/>
      <c r="BH257" s="298" t="n"/>
      <c r="BI257" s="298" t="n"/>
      <c r="BJ257" s="298" t="n"/>
      <c r="BK257" s="298" t="n"/>
      <c r="BL257" s="298" t="n"/>
      <c r="BM257" s="298" t="n"/>
      <c r="BN257" s="298" t="n"/>
      <c r="BO257" s="298" t="n"/>
      <c r="BP257" s="298" t="n"/>
      <c r="BQ257" s="298" t="n"/>
      <c r="BR257" s="298" t="n"/>
      <c r="BS257" s="298" t="n"/>
      <c r="BT257" s="298" t="n"/>
      <c r="BU257" s="298" t="n"/>
      <c r="BV257" s="298" t="n"/>
      <c r="BW257" s="298" t="n"/>
      <c r="BX257" s="298" t="n"/>
      <c r="BY257" s="298" t="n"/>
      <c r="BZ257" s="298" t="n"/>
      <c r="CA257" s="298" t="n"/>
      <c r="CB257" s="298" t="n"/>
      <c r="CC257" s="298" t="n"/>
      <c r="CD257" s="298" t="n"/>
      <c r="CE257" s="298" t="n"/>
      <c r="CF257" s="298" t="n"/>
      <c r="CG257" s="298" t="n"/>
      <c r="CH257" s="298" t="n"/>
      <c r="CI257" s="298" t="n"/>
      <c r="CJ257" s="298" t="n"/>
      <c r="CK257" s="298" t="n"/>
      <c r="CL257" s="298" t="n"/>
      <c r="CM257" s="298" t="n"/>
      <c r="CN257" s="298" t="n"/>
      <c r="CO257" s="298" t="n"/>
      <c r="CP257" s="298" t="n"/>
      <c r="CQ257" s="298" t="n"/>
      <c r="CR257" s="298" t="n"/>
      <c r="CS257" s="298" t="n"/>
      <c r="CT257" s="298" t="n"/>
      <c r="CU257" s="298" t="n"/>
      <c r="CV257" s="298" t="n"/>
      <c r="CW257" s="298" t="n"/>
      <c r="CX257" s="298" t="n"/>
      <c r="CY257" s="298" t="n"/>
    </row>
    <row r="258" hidden="1" outlineLevel="1" ht="12.75" customFormat="1" customHeight="1" s="322">
      <c r="A258" s="293" t="n"/>
      <c r="B258" s="293" t="n"/>
      <c r="C258" s="323" t="inlineStr">
        <is>
          <t>Diluted Shares outstanding</t>
        </is>
      </c>
      <c r="D258" s="298" t="n"/>
      <c r="E258" s="298" t="n"/>
      <c r="F258" s="298" t="n"/>
      <c r="G258" s="298" t="n"/>
      <c r="H258" s="298" t="n"/>
      <c r="I258" s="298" t="n"/>
      <c r="J258" s="298" t="n"/>
      <c r="K258" s="298" t="n"/>
      <c r="L258" s="298" t="n"/>
      <c r="M258" s="298" t="n"/>
      <c r="N258" s="298" t="n"/>
      <c r="O258" s="298" t="n"/>
      <c r="P258" s="298" t="n"/>
      <c r="Q258" s="298" t="n"/>
      <c r="R258" s="298" t="n"/>
      <c r="S258" s="298" t="n"/>
      <c r="T258" s="298" t="n"/>
      <c r="U258" s="298" t="n"/>
      <c r="V258" s="298" t="n"/>
      <c r="W258" s="298" t="n"/>
      <c r="X258" s="298" t="n"/>
      <c r="Y258" s="298" t="n"/>
      <c r="Z258" s="298" t="n"/>
      <c r="AA258" s="298" t="n"/>
      <c r="AB258" s="298" t="n"/>
      <c r="AC258" s="298" t="n"/>
      <c r="AD258" s="298" t="n"/>
      <c r="AE258" s="298" t="n"/>
      <c r="AF258" s="298" t="n"/>
      <c r="AG258" s="298" t="n"/>
      <c r="AH258" s="298" t="n"/>
      <c r="AI258" s="298" t="n"/>
      <c r="AJ258" s="298" t="n"/>
      <c r="AK258" s="298" t="n"/>
      <c r="AL258" s="298" t="n"/>
      <c r="AM258" s="298" t="n"/>
      <c r="AN258" s="298" t="n"/>
      <c r="AO258" s="298" t="n"/>
      <c r="AP258" s="298" t="n"/>
      <c r="AQ258" s="298" t="n"/>
      <c r="AR258" s="298" t="n"/>
      <c r="AS258" s="298" t="n"/>
      <c r="AT258" s="298" t="n"/>
      <c r="AU258" s="298" t="n"/>
      <c r="AV258" s="298" t="n"/>
      <c r="AW258" s="298" t="n"/>
      <c r="AX258" s="298" t="n"/>
      <c r="AY258" s="298" t="n"/>
      <c r="AZ258" s="298" t="n"/>
      <c r="BA258" s="298" t="n"/>
      <c r="BB258" s="298" t="n"/>
      <c r="BC258" s="298" t="n"/>
      <c r="BD258" s="298" t="n"/>
      <c r="BE258" s="298" t="n"/>
      <c r="BF258" s="298" t="n"/>
      <c r="BG258" s="298" t="n"/>
      <c r="BH258" s="298" t="n"/>
      <c r="BI258" s="298" t="n"/>
      <c r="BJ258" s="298" t="n"/>
      <c r="BK258" s="298" t="n"/>
      <c r="BL258" s="298" t="n"/>
      <c r="BM258" s="298" t="n"/>
      <c r="BN258" s="298" t="n"/>
      <c r="BO258" s="298" t="n"/>
      <c r="BP258" s="298" t="n"/>
      <c r="BQ258" s="298" t="n"/>
      <c r="BR258" s="298" t="n"/>
      <c r="BS258" s="298" t="n"/>
      <c r="BT258" s="298" t="n"/>
      <c r="BU258" s="298" t="n"/>
      <c r="BV258" s="298" t="n"/>
      <c r="BW258" s="298" t="n"/>
      <c r="BX258" s="298" t="n"/>
      <c r="BY258" s="298" t="n"/>
      <c r="BZ258" s="298" t="n"/>
      <c r="CA258" s="298" t="n"/>
      <c r="CB258" s="298" t="n"/>
      <c r="CC258" s="298" t="n"/>
      <c r="CD258" s="298" t="n"/>
      <c r="CE258" s="298" t="n"/>
      <c r="CF258" s="298" t="n"/>
      <c r="CG258" s="298" t="n"/>
      <c r="CH258" s="298" t="n"/>
      <c r="CI258" s="298" t="n"/>
      <c r="CJ258" s="298" t="n"/>
      <c r="CK258" s="298" t="n"/>
      <c r="CL258" s="298" t="n"/>
      <c r="CM258" s="298" t="n"/>
      <c r="CN258" s="298" t="n"/>
      <c r="CO258" s="298" t="n"/>
      <c r="CP258" s="298" t="n"/>
      <c r="CQ258" s="298" t="n"/>
      <c r="CR258" s="298" t="n"/>
      <c r="CS258" s="298" t="n"/>
      <c r="CT258" s="298" t="n"/>
      <c r="CU258" s="298" t="n"/>
      <c r="CV258" s="298" t="n"/>
      <c r="CW258" s="298" t="n"/>
      <c r="CX258" s="298" t="n"/>
      <c r="CY258" s="298" t="n"/>
    </row>
    <row r="259" hidden="1" outlineLevel="1" ht="12.75" customFormat="1" customHeight="1" s="322">
      <c r="A259" s="293" t="n"/>
      <c r="B259" s="293" t="n"/>
      <c r="C259" s="323" t="inlineStr">
        <is>
          <t>Treasury share $ repurchases</t>
        </is>
      </c>
      <c r="D259" s="298" t="n"/>
      <c r="E259" s="298" t="n"/>
      <c r="F259" s="298" t="n"/>
      <c r="G259" s="298" t="n"/>
      <c r="H259" s="298" t="n"/>
      <c r="I259" s="298" t="n"/>
      <c r="J259" s="298" t="n"/>
      <c r="K259" s="298" t="n"/>
      <c r="L259" s="298" t="n"/>
      <c r="M259" s="298" t="n"/>
      <c r="N259" s="298" t="n"/>
      <c r="O259" s="298" t="n"/>
      <c r="P259" s="298" t="n"/>
      <c r="Q259" s="298" t="n"/>
      <c r="R259" s="298" t="n"/>
      <c r="S259" s="298" t="n"/>
      <c r="T259" s="298" t="n"/>
      <c r="U259" s="298" t="n"/>
      <c r="V259" s="298" t="n"/>
      <c r="W259" s="298" t="n"/>
      <c r="X259" s="298" t="n"/>
      <c r="Y259" s="298" t="n"/>
      <c r="Z259" s="298" t="n"/>
      <c r="AA259" s="298" t="n"/>
      <c r="AB259" s="298" t="n"/>
      <c r="AC259" s="298" t="n"/>
      <c r="AD259" s="298" t="n"/>
      <c r="AE259" s="298" t="n"/>
      <c r="AF259" s="298" t="n"/>
      <c r="AG259" s="298" t="n"/>
      <c r="AH259" s="267" t="n"/>
      <c r="AI259" s="267" t="n"/>
      <c r="AJ259" s="267" t="n"/>
      <c r="AK259" s="267" t="n"/>
      <c r="AL259" s="298" t="n"/>
      <c r="AM259" s="267" t="n"/>
      <c r="AN259" s="267" t="n"/>
      <c r="AO259" s="267" t="n"/>
      <c r="AP259" s="267" t="n"/>
      <c r="AQ259" s="298" t="n"/>
      <c r="AR259" s="267" t="n"/>
      <c r="AS259" s="267" t="n"/>
      <c r="AT259" s="267" t="n"/>
      <c r="AU259" s="267" t="n"/>
      <c r="AV259" s="298" t="n"/>
      <c r="AW259" s="267" t="n"/>
      <c r="AX259" s="267" t="n"/>
      <c r="AY259" s="267" t="n"/>
      <c r="AZ259" s="267" t="n"/>
      <c r="BA259" s="298" t="n"/>
      <c r="BB259" s="267" t="n"/>
      <c r="BC259" s="267" t="n"/>
      <c r="BD259" s="267" t="n"/>
      <c r="BE259" s="267" t="n"/>
      <c r="BF259" s="298" t="n"/>
      <c r="BG259" s="267" t="n"/>
      <c r="BH259" s="267" t="n"/>
      <c r="BI259" s="267" t="n"/>
      <c r="BJ259" s="267" t="n"/>
      <c r="BK259" s="298" t="n"/>
      <c r="BL259" s="267" t="n"/>
      <c r="BM259" s="267" t="n"/>
      <c r="BN259" s="267" t="n"/>
      <c r="BO259" s="267" t="n"/>
      <c r="BP259" s="298" t="n"/>
      <c r="BQ259" s="267" t="n"/>
      <c r="BR259" s="267" t="n"/>
      <c r="BS259" s="267" t="n"/>
      <c r="BT259" s="267" t="n"/>
      <c r="BU259" s="298" t="n"/>
      <c r="BV259" s="267" t="n"/>
      <c r="BW259" s="267" t="n"/>
      <c r="BX259" s="267" t="n"/>
      <c r="BY259" s="267" t="n"/>
      <c r="BZ259" s="298" t="n"/>
      <c r="CA259" s="267" t="n"/>
      <c r="CB259" s="267" t="n"/>
      <c r="CC259" s="267" t="n"/>
      <c r="CD259" s="267" t="n"/>
      <c r="CE259" s="298" t="n"/>
      <c r="CF259" s="267" t="n"/>
      <c r="CG259" s="267" t="n"/>
      <c r="CH259" s="267" t="n"/>
      <c r="CI259" s="267" t="n"/>
      <c r="CJ259" s="298" t="n"/>
      <c r="CK259" s="267" t="n"/>
      <c r="CL259" s="267" t="n"/>
      <c r="CM259" s="267" t="n"/>
      <c r="CN259" s="267" t="n"/>
      <c r="CO259" s="298" t="n"/>
      <c r="CP259" s="267" t="n"/>
      <c r="CQ259" s="267" t="n"/>
      <c r="CR259" s="267" t="n"/>
      <c r="CS259" s="267" t="n"/>
      <c r="CT259" s="298" t="n"/>
      <c r="CU259" s="267" t="n"/>
      <c r="CV259" s="267" t="n"/>
      <c r="CW259" s="267" t="n"/>
      <c r="CX259" s="267" t="n"/>
      <c r="CY259" s="298" t="n"/>
    </row>
    <row r="260" hidden="1" outlineLevel="1" ht="12.75" customFormat="1" customHeight="1" s="322">
      <c r="A260" s="293" t="n"/>
      <c r="B260" s="293" t="n"/>
      <c r="C260" s="323" t="inlineStr">
        <is>
          <t>Value of shares issued</t>
        </is>
      </c>
      <c r="D260" s="298" t="n"/>
      <c r="E260" s="298" t="n"/>
      <c r="F260" s="298" t="n"/>
      <c r="G260" s="298" t="n"/>
      <c r="H260" s="298" t="n"/>
      <c r="I260" s="298" t="n"/>
      <c r="J260" s="298" t="n"/>
      <c r="K260" s="298" t="n"/>
      <c r="L260" s="298" t="n"/>
      <c r="M260" s="298" t="n"/>
      <c r="N260" s="298" t="n"/>
      <c r="O260" s="298" t="n"/>
      <c r="P260" s="298" t="n"/>
      <c r="Q260" s="298" t="n"/>
      <c r="R260" s="298" t="n"/>
      <c r="S260" s="298" t="n"/>
      <c r="T260" s="298" t="n"/>
      <c r="U260" s="298" t="n"/>
      <c r="V260" s="298" t="n"/>
      <c r="W260" s="298" t="n"/>
      <c r="X260" s="298" t="n"/>
      <c r="Y260" s="298" t="n"/>
      <c r="Z260" s="298" t="n"/>
      <c r="AA260" s="298" t="n"/>
      <c r="AB260" s="298" t="n"/>
      <c r="AC260" s="298" t="n"/>
      <c r="AD260" s="298" t="n"/>
      <c r="AE260" s="298" t="n"/>
      <c r="AF260" s="298" t="n"/>
      <c r="AG260" s="298" t="n"/>
      <c r="AH260" s="267" t="n"/>
      <c r="AI260" s="267" t="n"/>
      <c r="AJ260" s="267" t="n"/>
      <c r="AK260" s="267" t="n"/>
      <c r="AL260" s="298" t="n"/>
      <c r="AM260" s="267" t="n"/>
      <c r="AN260" s="267" t="n"/>
      <c r="AO260" s="267" t="n"/>
      <c r="AP260" s="267" t="n"/>
      <c r="AQ260" s="298" t="n"/>
      <c r="AR260" s="267" t="n"/>
      <c r="AS260" s="267" t="n"/>
      <c r="AT260" s="267" t="n"/>
      <c r="AU260" s="267" t="n"/>
      <c r="AV260" s="298" t="n"/>
      <c r="AW260" s="267" t="n"/>
      <c r="AX260" s="267" t="n"/>
      <c r="AY260" s="267" t="n"/>
      <c r="AZ260" s="267" t="n"/>
      <c r="BA260" s="298" t="n"/>
      <c r="BB260" s="267" t="n"/>
      <c r="BC260" s="267" t="n"/>
      <c r="BD260" s="267" t="n"/>
      <c r="BE260" s="267" t="n"/>
      <c r="BF260" s="298" t="n"/>
      <c r="BG260" s="267" t="n"/>
      <c r="BH260" s="267" t="n"/>
      <c r="BI260" s="267" t="n"/>
      <c r="BJ260" s="267" t="n"/>
      <c r="BK260" s="298" t="n"/>
      <c r="BL260" s="267" t="n"/>
      <c r="BM260" s="267" t="n"/>
      <c r="BN260" s="267" t="n"/>
      <c r="BO260" s="267" t="n"/>
      <c r="BP260" s="298" t="n"/>
      <c r="BQ260" s="267" t="n"/>
      <c r="BR260" s="267" t="n"/>
      <c r="BS260" s="267" t="n"/>
      <c r="BT260" s="267" t="n"/>
      <c r="BU260" s="298" t="n"/>
      <c r="BV260" s="267" t="n"/>
      <c r="BW260" s="267" t="n"/>
      <c r="BX260" s="267" t="n"/>
      <c r="BY260" s="267" t="n"/>
      <c r="BZ260" s="298" t="n"/>
      <c r="CA260" s="267" t="n"/>
      <c r="CB260" s="267" t="n"/>
      <c r="CC260" s="267" t="n"/>
      <c r="CD260" s="267" t="n"/>
      <c r="CE260" s="298" t="n"/>
      <c r="CF260" s="267" t="n"/>
      <c r="CG260" s="267" t="n"/>
      <c r="CH260" s="267" t="n"/>
      <c r="CI260" s="267" t="n"/>
      <c r="CJ260" s="298" t="n"/>
      <c r="CK260" s="267" t="n"/>
      <c r="CL260" s="267" t="n"/>
      <c r="CM260" s="267" t="n"/>
      <c r="CN260" s="267" t="n"/>
      <c r="CO260" s="298" t="n"/>
      <c r="CP260" s="267" t="n"/>
      <c r="CQ260" s="267" t="n"/>
      <c r="CR260" s="267" t="n"/>
      <c r="CS260" s="267" t="n"/>
      <c r="CT260" s="298" t="n"/>
      <c r="CU260" s="267" t="n"/>
      <c r="CV260" s="267" t="n"/>
      <c r="CW260" s="267" t="n"/>
      <c r="CX260" s="267" t="n"/>
      <c r="CY260" s="298" t="n"/>
    </row>
    <row r="261" hidden="1" outlineLevel="1" ht="12.75" customFormat="1" customHeight="1" s="322">
      <c r="A261" s="293" t="n"/>
      <c r="B261" s="293" t="n"/>
      <c r="C261" s="323" t="inlineStr">
        <is>
          <t>Expected average share price</t>
        </is>
      </c>
      <c r="D261" s="298" t="n"/>
      <c r="E261" s="298" t="n"/>
      <c r="F261" s="298" t="n"/>
      <c r="G261" s="298" t="n"/>
      <c r="H261" s="298" t="n"/>
      <c r="I261" s="298" t="n"/>
      <c r="J261" s="298" t="n"/>
      <c r="K261" s="298" t="n"/>
      <c r="L261" s="298" t="n"/>
      <c r="M261" s="298" t="n"/>
      <c r="N261" s="298" t="n"/>
      <c r="O261" s="298" t="n"/>
      <c r="P261" s="298" t="n"/>
      <c r="Q261" s="298" t="n"/>
      <c r="R261" s="298" t="n"/>
      <c r="S261" s="298" t="n"/>
      <c r="T261" s="298" t="n"/>
      <c r="U261" s="298" t="n"/>
      <c r="V261" s="298" t="n"/>
      <c r="W261" s="298" t="n"/>
      <c r="X261" s="298" t="n"/>
      <c r="Y261" s="298" t="n"/>
      <c r="Z261" s="298" t="n"/>
      <c r="AA261" s="298" t="n"/>
      <c r="AB261" s="298" t="n"/>
      <c r="AC261" s="298" t="n"/>
      <c r="AD261" s="298" t="n"/>
      <c r="AE261" s="298" t="n"/>
      <c r="AF261" s="298" t="n"/>
      <c r="AG261" s="324" t="n"/>
      <c r="AH261" s="325">
        <f>AG261*(1+AH262)</f>
        <v>0</v>
      </c>
      <c r="AI261" s="325">
        <f>AH261*(1+AI262)</f>
        <v>0</v>
      </c>
      <c r="AJ261" s="325">
        <f>AI261*(1+AJ262)</f>
        <v>0</v>
      </c>
      <c r="AK261" s="325">
        <f>AJ261*(1+AK262)</f>
        <v>0</v>
      </c>
      <c r="AL261" s="298" t="n"/>
      <c r="AM261" s="325">
        <f>AK261*(1+AM262)</f>
        <v>0</v>
      </c>
      <c r="AN261" s="325">
        <f>AM261*(1+AN262)</f>
        <v>0</v>
      </c>
      <c r="AO261" s="325">
        <f>AN261*(1+AO262)</f>
        <v>0</v>
      </c>
      <c r="AP261" s="325">
        <f>AO261*(1+AP262)</f>
        <v>0</v>
      </c>
      <c r="AQ261" s="298" t="n"/>
      <c r="AR261" s="325">
        <f>AP261*(1+AR262)</f>
        <v>0</v>
      </c>
      <c r="AS261" s="325">
        <f>AR261*(1+AS262)</f>
        <v>0</v>
      </c>
      <c r="AT261" s="325">
        <f>AS261*(1+AT262)</f>
        <v>0</v>
      </c>
      <c r="AU261" s="325">
        <f>AT261*(1+AU262)</f>
        <v>0</v>
      </c>
      <c r="AV261" s="298" t="n"/>
      <c r="AW261" s="325">
        <f>AU261*(1+AW262)</f>
        <v>0</v>
      </c>
      <c r="AX261" s="325">
        <f>AW261*(1+AX262)</f>
        <v>0</v>
      </c>
      <c r="AY261" s="325">
        <f>AX261*(1+AY262)</f>
        <v>0</v>
      </c>
      <c r="AZ261" s="325">
        <f>AY261*(1+AZ262)</f>
        <v>0</v>
      </c>
      <c r="BA261" s="298" t="n"/>
      <c r="BB261" s="325">
        <f>AZ261*(1+BB262)</f>
        <v>0</v>
      </c>
      <c r="BC261" s="325">
        <f>BB261*(1+BC262)</f>
        <v>0</v>
      </c>
      <c r="BD261" s="325">
        <f>BC261*(1+BD262)</f>
        <v>0</v>
      </c>
      <c r="BE261" s="325">
        <f>BD261*(1+BE262)</f>
        <v>0</v>
      </c>
      <c r="BF261" s="298" t="n"/>
      <c r="BG261" s="325">
        <f>BE261*(1+BG262)</f>
        <v>0</v>
      </c>
      <c r="BH261" s="325">
        <f>BG261*(1+BH262)</f>
        <v>0</v>
      </c>
      <c r="BI261" s="325">
        <f>BH261*(1+BI262)</f>
        <v>0</v>
      </c>
      <c r="BJ261" s="325">
        <f>BI261*(1+BJ262)</f>
        <v>0</v>
      </c>
      <c r="BK261" s="298" t="n"/>
      <c r="BL261" s="325">
        <f>BJ261*(1+BL262)</f>
        <v>0</v>
      </c>
      <c r="BM261" s="325">
        <f>BL261*(1+BM262)</f>
        <v>0</v>
      </c>
      <c r="BN261" s="325">
        <f>BM261*(1+BN262)</f>
        <v>0</v>
      </c>
      <c r="BO261" s="325">
        <f>BN261*(1+BO262)</f>
        <v>0</v>
      </c>
      <c r="BP261" s="298" t="n"/>
      <c r="BQ261" s="325">
        <f>BO261*(1+BQ262)</f>
        <v>0</v>
      </c>
      <c r="BR261" s="325">
        <f>BQ261*(1+BR262)</f>
        <v>0</v>
      </c>
      <c r="BS261" s="325">
        <f>BR261*(1+BS262)</f>
        <v>0</v>
      </c>
      <c r="BT261" s="325">
        <f>BS261*(1+BT262)</f>
        <v>0</v>
      </c>
      <c r="BU261" s="298" t="n"/>
      <c r="BV261" s="325">
        <f>BT261*(1+BV262)</f>
        <v>0</v>
      </c>
      <c r="BW261" s="325">
        <f>BV261*(1+BW262)</f>
        <v>0</v>
      </c>
      <c r="BX261" s="325">
        <f>BW261*(1+BX262)</f>
        <v>0</v>
      </c>
      <c r="BY261" s="325">
        <f>BX261*(1+BY262)</f>
        <v>0</v>
      </c>
      <c r="BZ261" s="298" t="n"/>
      <c r="CA261" s="325">
        <f>BY261*(1+CA262)</f>
        <v>0</v>
      </c>
      <c r="CB261" s="325">
        <f>CA261*(1+CB262)</f>
        <v>0</v>
      </c>
      <c r="CC261" s="325">
        <f>CB261*(1+CC262)</f>
        <v>0</v>
      </c>
      <c r="CD261" s="325">
        <f>CC261*(1+CD262)</f>
        <v>0</v>
      </c>
      <c r="CE261" s="298" t="n"/>
      <c r="CF261" s="325">
        <f>CD261*(1+CF262)</f>
        <v>0</v>
      </c>
      <c r="CG261" s="325">
        <f>CF261*(1+CG262)</f>
        <v>0</v>
      </c>
      <c r="CH261" s="325">
        <f>CG261*(1+CH262)</f>
        <v>0</v>
      </c>
      <c r="CI261" s="325">
        <f>CH261*(1+CI262)</f>
        <v>0</v>
      </c>
      <c r="CJ261" s="298" t="n"/>
      <c r="CK261" s="325">
        <f>CI261*(1+CK262)</f>
        <v>0</v>
      </c>
      <c r="CL261" s="325">
        <f>CK261*(1+CL262)</f>
        <v>0</v>
      </c>
      <c r="CM261" s="325">
        <f>CL261*(1+CM262)</f>
        <v>0</v>
      </c>
      <c r="CN261" s="325">
        <f>CM261*(1+CN262)</f>
        <v>0</v>
      </c>
      <c r="CO261" s="298" t="n"/>
      <c r="CP261" s="325">
        <f>CN261*(1+CP262)</f>
        <v>0</v>
      </c>
      <c r="CQ261" s="325">
        <f>CP261*(1+CQ262)</f>
        <v>0</v>
      </c>
      <c r="CR261" s="325">
        <f>CQ261*(1+CR262)</f>
        <v>0</v>
      </c>
      <c r="CS261" s="325">
        <f>CR261*(1+CS262)</f>
        <v>0</v>
      </c>
      <c r="CT261" s="298" t="n"/>
      <c r="CU261" s="325">
        <f>CS261*(1+CU262)</f>
        <v>0</v>
      </c>
      <c r="CV261" s="325">
        <f>CU261*(1+CV262)</f>
        <v>0</v>
      </c>
      <c r="CW261" s="325">
        <f>CV261*(1+CW262)</f>
        <v>0</v>
      </c>
      <c r="CX261" s="325">
        <f>CW261*(1+CX262)</f>
        <v>0</v>
      </c>
      <c r="CY261" s="298" t="n"/>
      <c r="CZ261" s="322">
        <f>CX261*(1+CZ262)</f>
        <v>0</v>
      </c>
      <c r="DA261" s="322">
        <f>CZ261*(1+DA262)</f>
        <v>0</v>
      </c>
      <c r="DB261" s="322">
        <f>DA261*(1+DB262)</f>
        <v>0</v>
      </c>
      <c r="DC261" s="322">
        <f>DB261*(1+DC262)</f>
        <v>0</v>
      </c>
    </row>
    <row r="262" hidden="1" outlineLevel="1" ht="12.75" customFormat="1" customHeight="1" s="322">
      <c r="A262" s="293" t="n"/>
      <c r="B262" s="293" t="n"/>
      <c r="C262" s="323" t="inlineStr">
        <is>
          <t>Consensus EPS growth</t>
        </is>
      </c>
      <c r="D262" s="298" t="n"/>
      <c r="E262" s="298" t="n"/>
      <c r="F262" s="298" t="n"/>
      <c r="G262" s="298" t="n"/>
      <c r="H262" s="298" t="n"/>
      <c r="I262" s="298" t="n"/>
      <c r="J262" s="298" t="n"/>
      <c r="K262" s="298" t="n"/>
      <c r="L262" s="298" t="n"/>
      <c r="M262" s="298" t="n"/>
      <c r="N262" s="298" t="n"/>
      <c r="O262" s="298" t="n"/>
      <c r="P262" s="298" t="n"/>
      <c r="Q262" s="298" t="n"/>
      <c r="R262" s="298" t="n"/>
      <c r="S262" s="298" t="n"/>
      <c r="T262" s="298" t="n"/>
      <c r="U262" s="298" t="n"/>
      <c r="V262" s="298" t="n"/>
      <c r="W262" s="298" t="n"/>
      <c r="X262" s="298" t="n"/>
      <c r="Y262" s="298" t="n"/>
      <c r="Z262" s="298" t="n"/>
      <c r="AA262" s="298" t="n"/>
      <c r="AB262" s="298" t="n"/>
      <c r="AC262" s="298" t="n"/>
      <c r="AD262" s="298" t="n"/>
      <c r="AE262" s="298" t="n"/>
      <c r="AF262" s="298" t="n"/>
      <c r="AG262" s="298" t="n"/>
      <c r="AH262" s="313">
        <f>$AL$267</f>
        <v>0</v>
      </c>
      <c r="AI262" s="313">
        <f>$AL$267</f>
        <v>0</v>
      </c>
      <c r="AJ262" s="313">
        <f>$AL$267</f>
        <v>0</v>
      </c>
      <c r="AK262" s="313">
        <f>$AL$267</f>
        <v>0</v>
      </c>
      <c r="AL262" s="298" t="n"/>
      <c r="AM262" s="313">
        <f>$AL$267</f>
        <v>0</v>
      </c>
      <c r="AN262" s="313">
        <f>$AL$267</f>
        <v>0</v>
      </c>
      <c r="AO262" s="313">
        <f>$AL$267</f>
        <v>0</v>
      </c>
      <c r="AP262" s="313">
        <f>$AL$267</f>
        <v>0</v>
      </c>
      <c r="AQ262" s="298" t="n"/>
      <c r="AR262" s="313">
        <f>$AL$267</f>
        <v>0</v>
      </c>
      <c r="AS262" s="313">
        <f>$AL$267</f>
        <v>0</v>
      </c>
      <c r="AT262" s="313">
        <f>$AL$267</f>
        <v>0</v>
      </c>
      <c r="AU262" s="313">
        <f>$AL$267</f>
        <v>0</v>
      </c>
      <c r="AV262" s="298" t="n"/>
      <c r="AW262" s="313">
        <f>$AL$267</f>
        <v>0</v>
      </c>
      <c r="AX262" s="313">
        <f>$AL$267</f>
        <v>0</v>
      </c>
      <c r="AY262" s="313">
        <f>$AL$267</f>
        <v>0</v>
      </c>
      <c r="AZ262" s="313">
        <f>$AL$267</f>
        <v>0</v>
      </c>
      <c r="BA262" s="298" t="n"/>
      <c r="BB262" s="313">
        <f>$AL$267</f>
        <v>0</v>
      </c>
      <c r="BC262" s="313">
        <f>$AL$267</f>
        <v>0</v>
      </c>
      <c r="BD262" s="313">
        <f>$AL$267</f>
        <v>0</v>
      </c>
      <c r="BE262" s="313">
        <f>$AL$267</f>
        <v>0</v>
      </c>
      <c r="BF262" s="298" t="n"/>
      <c r="BG262" s="313">
        <f>$AL$267</f>
        <v>0</v>
      </c>
      <c r="BH262" s="313">
        <f>$AL$267</f>
        <v>0</v>
      </c>
      <c r="BI262" s="313">
        <f>$AL$267</f>
        <v>0</v>
      </c>
      <c r="BJ262" s="313">
        <f>$AL$267</f>
        <v>0</v>
      </c>
      <c r="BK262" s="298" t="n"/>
      <c r="BL262" s="313">
        <f>$AL$267</f>
        <v>0</v>
      </c>
      <c r="BM262" s="313">
        <f>$AL$267</f>
        <v>0</v>
      </c>
      <c r="BN262" s="313">
        <f>$AL$267</f>
        <v>0</v>
      </c>
      <c r="BO262" s="313">
        <f>$AL$267</f>
        <v>0</v>
      </c>
      <c r="BP262" s="298" t="n"/>
      <c r="BQ262" s="313">
        <f>$AL$267</f>
        <v>0</v>
      </c>
      <c r="BR262" s="313">
        <f>$AL$267</f>
        <v>0</v>
      </c>
      <c r="BS262" s="313">
        <f>$AL$267</f>
        <v>0</v>
      </c>
      <c r="BT262" s="313">
        <f>$AL$267</f>
        <v>0</v>
      </c>
      <c r="BU262" s="298" t="n"/>
      <c r="BV262" s="313">
        <f>$AL$267</f>
        <v>0</v>
      </c>
      <c r="BW262" s="313">
        <f>$AL$267</f>
        <v>0</v>
      </c>
      <c r="BX262" s="313">
        <f>$AL$267</f>
        <v>0</v>
      </c>
      <c r="BY262" s="313">
        <f>$AL$267</f>
        <v>0</v>
      </c>
      <c r="BZ262" s="298" t="n"/>
      <c r="CA262" s="313">
        <f>$AL$267</f>
        <v>0</v>
      </c>
      <c r="CB262" s="313">
        <f>$AL$267</f>
        <v>0</v>
      </c>
      <c r="CC262" s="313">
        <f>$AL$267</f>
        <v>0</v>
      </c>
      <c r="CD262" s="313">
        <f>$AL$267</f>
        <v>0</v>
      </c>
      <c r="CE262" s="298" t="n"/>
      <c r="CF262" s="313">
        <f>$AL$267</f>
        <v>0</v>
      </c>
      <c r="CG262" s="313">
        <f>$AL$267</f>
        <v>0</v>
      </c>
      <c r="CH262" s="313">
        <f>$AL$267</f>
        <v>0</v>
      </c>
      <c r="CI262" s="313">
        <f>$AL$267</f>
        <v>0</v>
      </c>
      <c r="CJ262" s="298" t="n"/>
      <c r="CK262" s="313">
        <f>$AL$267</f>
        <v>0</v>
      </c>
      <c r="CL262" s="313">
        <f>$AL$267</f>
        <v>0</v>
      </c>
      <c r="CM262" s="313">
        <f>$AL$267</f>
        <v>0</v>
      </c>
      <c r="CN262" s="313">
        <f>$AL$267</f>
        <v>0</v>
      </c>
      <c r="CO262" s="298" t="n"/>
      <c r="CP262" s="313">
        <f>$AL$267</f>
        <v>0</v>
      </c>
      <c r="CQ262" s="313">
        <f>$AL$267</f>
        <v>0</v>
      </c>
      <c r="CR262" s="313">
        <f>$AL$267</f>
        <v>0</v>
      </c>
      <c r="CS262" s="313">
        <f>$AL$267</f>
        <v>0</v>
      </c>
      <c r="CT262" s="298" t="n"/>
      <c r="CU262" s="313">
        <f>$AL$267</f>
        <v>0</v>
      </c>
      <c r="CV262" s="313">
        <f>$AL$267</f>
        <v>0</v>
      </c>
      <c r="CW262" s="313">
        <f>$AL$267</f>
        <v>0</v>
      </c>
      <c r="CX262" s="313">
        <f>$AL$267</f>
        <v>0</v>
      </c>
      <c r="CY262" s="298" t="n"/>
    </row>
    <row r="263" hidden="1" outlineLevel="1" ht="12.75" customFormat="1" customHeight="1" s="322">
      <c r="A263" s="293" t="n"/>
      <c r="B263" s="293" t="n"/>
      <c r="C263" s="323" t="n"/>
      <c r="D263" s="298" t="n"/>
      <c r="E263" s="298" t="n"/>
      <c r="F263" s="298" t="n"/>
      <c r="G263" s="298" t="n"/>
      <c r="H263" s="298" t="n"/>
      <c r="I263" s="298" t="n"/>
      <c r="J263" s="298" t="n"/>
      <c r="K263" s="298" t="n"/>
      <c r="L263" s="298" t="n"/>
      <c r="M263" s="298" t="n"/>
      <c r="N263" s="298" t="n"/>
      <c r="O263" s="298" t="n"/>
      <c r="P263" s="298" t="n"/>
      <c r="Q263" s="298" t="n"/>
      <c r="R263" s="298" t="n"/>
      <c r="S263" s="298" t="n"/>
      <c r="T263" s="298" t="n"/>
      <c r="U263" s="298" t="n"/>
      <c r="V263" s="298" t="n"/>
      <c r="W263" s="298" t="n"/>
      <c r="X263" s="298" t="n"/>
      <c r="Y263" s="298" t="n"/>
      <c r="Z263" s="298" t="n"/>
      <c r="AA263" s="298" t="n"/>
      <c r="AB263" s="298" t="n"/>
      <c r="AC263" s="298" t="n"/>
      <c r="AD263" s="298" t="n"/>
      <c r="AE263" s="298" t="n"/>
      <c r="AF263" s="298" t="n"/>
      <c r="AG263" s="298" t="n"/>
      <c r="AH263" s="268" t="n"/>
      <c r="AI263" s="268" t="n"/>
      <c r="AJ263" s="268" t="n"/>
      <c r="AK263" s="268" t="n"/>
      <c r="AL263" s="298" t="n"/>
      <c r="AM263" s="268" t="n"/>
      <c r="AN263" s="268" t="n"/>
      <c r="AO263" s="268" t="n"/>
      <c r="AP263" s="268" t="n"/>
      <c r="AQ263" s="298" t="n"/>
      <c r="AR263" s="268" t="n"/>
      <c r="AS263" s="268" t="n"/>
      <c r="AT263" s="268" t="n"/>
      <c r="AU263" s="268" t="n"/>
      <c r="AV263" s="298" t="n"/>
      <c r="AW263" s="268" t="n"/>
      <c r="AX263" s="268" t="n"/>
      <c r="AY263" s="268" t="n"/>
      <c r="AZ263" s="268" t="n"/>
      <c r="BA263" s="298" t="n"/>
      <c r="BB263" s="268" t="n"/>
      <c r="BC263" s="268" t="n"/>
      <c r="BD263" s="268" t="n"/>
      <c r="BE263" s="268" t="n"/>
      <c r="BF263" s="298" t="n"/>
      <c r="BG263" s="268" t="n"/>
      <c r="BH263" s="268" t="n"/>
      <c r="BI263" s="268" t="n"/>
      <c r="BJ263" s="268" t="n"/>
      <c r="BK263" s="298" t="n"/>
      <c r="BL263" s="268" t="n"/>
      <c r="BM263" s="268" t="n"/>
      <c r="BN263" s="268" t="n"/>
      <c r="BO263" s="268" t="n"/>
      <c r="BP263" s="298" t="n"/>
      <c r="BQ263" s="268" t="n"/>
      <c r="BR263" s="268" t="n"/>
      <c r="BS263" s="268" t="n"/>
      <c r="BT263" s="268" t="n"/>
      <c r="BU263" s="298" t="n"/>
      <c r="BV263" s="268" t="n"/>
      <c r="BW263" s="268" t="n"/>
      <c r="BX263" s="268" t="n"/>
      <c r="BY263" s="268" t="n"/>
      <c r="BZ263" s="298" t="n"/>
      <c r="CA263" s="268" t="n"/>
      <c r="CB263" s="268" t="n"/>
      <c r="CC263" s="268" t="n"/>
      <c r="CD263" s="268" t="n"/>
      <c r="CE263" s="298" t="n"/>
      <c r="CF263" s="268" t="n"/>
      <c r="CG263" s="268" t="n"/>
      <c r="CH263" s="268" t="n"/>
      <c r="CI263" s="268" t="n"/>
      <c r="CJ263" s="298" t="n"/>
      <c r="CK263" s="268" t="n"/>
      <c r="CL263" s="268" t="n"/>
      <c r="CM263" s="268" t="n"/>
      <c r="CN263" s="268" t="n"/>
      <c r="CO263" s="298" t="n"/>
      <c r="CP263" s="268" t="n"/>
      <c r="CQ263" s="268" t="n"/>
      <c r="CR263" s="268" t="n"/>
      <c r="CS263" s="268" t="n"/>
      <c r="CT263" s="298" t="n"/>
      <c r="CU263" s="268" t="n"/>
      <c r="CV263" s="268" t="n"/>
      <c r="CW263" s="268" t="n"/>
      <c r="CX263" s="268" t="n"/>
      <c r="CY263" s="298" t="n"/>
    </row>
    <row r="264" hidden="1" outlineLevel="1" ht="12.75" customFormat="1" customHeight="1" s="322">
      <c r="A264" s="293" t="n"/>
      <c r="B264" s="293" t="n"/>
      <c r="C264" s="323" t="inlineStr">
        <is>
          <t>Shares repurchased</t>
        </is>
      </c>
      <c r="D264" s="298" t="n"/>
      <c r="E264" s="298" t="n"/>
      <c r="F264" s="298" t="n"/>
      <c r="G264" s="298" t="n"/>
      <c r="H264" s="298" t="n"/>
      <c r="I264" s="298" t="n"/>
      <c r="J264" s="298" t="n"/>
      <c r="K264" s="298" t="n"/>
      <c r="L264" s="298" t="n"/>
      <c r="M264" s="298" t="n"/>
      <c r="N264" s="298" t="n"/>
      <c r="O264" s="298" t="n"/>
      <c r="P264" s="298" t="n"/>
      <c r="Q264" s="298" t="n"/>
      <c r="R264" s="298" t="n"/>
      <c r="S264" s="298" t="n"/>
      <c r="T264" s="298" t="n"/>
      <c r="U264" s="298" t="n"/>
      <c r="V264" s="298" t="n"/>
      <c r="W264" s="298" t="n"/>
      <c r="X264" s="298" t="n"/>
      <c r="Y264" s="298" t="n"/>
      <c r="Z264" s="298" t="n"/>
      <c r="AA264" s="298" t="n"/>
      <c r="AB264" s="298" t="n"/>
      <c r="AC264" s="298" t="n"/>
      <c r="AD264" s="298" t="n"/>
      <c r="AE264" s="298" t="n"/>
      <c r="AF264" s="298" t="n"/>
      <c r="AG264" s="298" t="n"/>
      <c r="AH264" s="326" t="n"/>
      <c r="AI264" s="326" t="n"/>
      <c r="AJ264" s="326" t="e">
        <f>-AJ259/AJ261</f>
        <v>#DIV/0!</v>
      </c>
      <c r="AK264" s="326" t="e">
        <f>-AK259/AK261</f>
        <v>#DIV/0!</v>
      </c>
      <c r="AL264" s="298" t="n"/>
      <c r="AM264" s="326" t="e">
        <f>-AM259/AM261</f>
        <v>#DIV/0!</v>
      </c>
      <c r="AN264" s="326" t="e">
        <f>-AN259/AN261</f>
        <v>#DIV/0!</v>
      </c>
      <c r="AO264" s="326" t="e">
        <f>-AO259/AO261</f>
        <v>#DIV/0!</v>
      </c>
      <c r="AP264" s="326" t="e">
        <f>-AP259/AP261</f>
        <v>#DIV/0!</v>
      </c>
      <c r="AQ264" s="298" t="n"/>
      <c r="AR264" s="326" t="e">
        <f>-AR259/AR261</f>
        <v>#DIV/0!</v>
      </c>
      <c r="AS264" s="326" t="e">
        <f>-AS259/AS261</f>
        <v>#DIV/0!</v>
      </c>
      <c r="AT264" s="326" t="e">
        <f>-AT259/AT261</f>
        <v>#DIV/0!</v>
      </c>
      <c r="AU264" s="326" t="e">
        <f>-AU259/AU261</f>
        <v>#DIV/0!</v>
      </c>
      <c r="AV264" s="298" t="n"/>
      <c r="AW264" s="326" t="e">
        <f>-AW259/AW261</f>
        <v>#DIV/0!</v>
      </c>
      <c r="AX264" s="326" t="e">
        <f>-AX259/AX261</f>
        <v>#DIV/0!</v>
      </c>
      <c r="AY264" s="326" t="e">
        <f>-AY259/AY261</f>
        <v>#DIV/0!</v>
      </c>
      <c r="AZ264" s="326" t="e">
        <f>-AZ259/AZ261</f>
        <v>#DIV/0!</v>
      </c>
      <c r="BA264" s="298" t="n"/>
      <c r="BB264" s="326" t="e">
        <f>-BB259/BB261</f>
        <v>#DIV/0!</v>
      </c>
      <c r="BC264" s="326" t="e">
        <f>-BC259/BC261</f>
        <v>#DIV/0!</v>
      </c>
      <c r="BD264" s="326" t="e">
        <f>-BD259/BD261</f>
        <v>#DIV/0!</v>
      </c>
      <c r="BE264" s="326" t="e">
        <f>-BE259/BE261</f>
        <v>#DIV/0!</v>
      </c>
      <c r="BF264" s="298" t="n"/>
      <c r="BG264" s="326" t="e">
        <f>-BG259/BG261</f>
        <v>#DIV/0!</v>
      </c>
      <c r="BH264" s="326" t="e">
        <f>-BH259/BH261</f>
        <v>#DIV/0!</v>
      </c>
      <c r="BI264" s="326" t="e">
        <f>-BI259/BI261</f>
        <v>#DIV/0!</v>
      </c>
      <c r="BJ264" s="326" t="e">
        <f>-BJ259/BJ261</f>
        <v>#DIV/0!</v>
      </c>
      <c r="BK264" s="298" t="n"/>
      <c r="BL264" s="326" t="e">
        <f>-BL259/BL261</f>
        <v>#DIV/0!</v>
      </c>
      <c r="BM264" s="326" t="e">
        <f>-BM259/BM261</f>
        <v>#DIV/0!</v>
      </c>
      <c r="BN264" s="326" t="e">
        <f>-BN259/BN261</f>
        <v>#DIV/0!</v>
      </c>
      <c r="BO264" s="326" t="e">
        <f>-BO259/BO261</f>
        <v>#DIV/0!</v>
      </c>
      <c r="BP264" s="298" t="n"/>
      <c r="BQ264" s="326" t="e">
        <f>-BQ259/BQ261</f>
        <v>#DIV/0!</v>
      </c>
      <c r="BR264" s="326" t="e">
        <f>-BR259/BR261</f>
        <v>#DIV/0!</v>
      </c>
      <c r="BS264" s="326" t="e">
        <f>-BS259/BS261</f>
        <v>#DIV/0!</v>
      </c>
      <c r="BT264" s="326" t="e">
        <f>-BT259/BT261</f>
        <v>#DIV/0!</v>
      </c>
      <c r="BU264" s="298" t="n"/>
      <c r="BV264" s="326" t="e">
        <f>-BV259/BV261</f>
        <v>#DIV/0!</v>
      </c>
      <c r="BW264" s="326" t="e">
        <f>-BW259/BW261</f>
        <v>#DIV/0!</v>
      </c>
      <c r="BX264" s="326" t="e">
        <f>-BX259/BX261</f>
        <v>#DIV/0!</v>
      </c>
      <c r="BY264" s="326" t="e">
        <f>-BY259/BY261</f>
        <v>#DIV/0!</v>
      </c>
      <c r="BZ264" s="298" t="n"/>
      <c r="CA264" s="326" t="e">
        <f>-CA259/CA261</f>
        <v>#DIV/0!</v>
      </c>
      <c r="CB264" s="326" t="e">
        <f>-CB259/CB261</f>
        <v>#DIV/0!</v>
      </c>
      <c r="CC264" s="326" t="e">
        <f>-CC259/CC261</f>
        <v>#DIV/0!</v>
      </c>
      <c r="CD264" s="326" t="e">
        <f>-CD259/CD261</f>
        <v>#DIV/0!</v>
      </c>
      <c r="CE264" s="298" t="n"/>
      <c r="CF264" s="326" t="e">
        <f>-CF259/CF261</f>
        <v>#DIV/0!</v>
      </c>
      <c r="CG264" s="326" t="e">
        <f>-CG259/CG261</f>
        <v>#DIV/0!</v>
      </c>
      <c r="CH264" s="326" t="e">
        <f>-CH259/CH261</f>
        <v>#DIV/0!</v>
      </c>
      <c r="CI264" s="326" t="e">
        <f>-CI259/CI261</f>
        <v>#DIV/0!</v>
      </c>
      <c r="CJ264" s="298" t="n"/>
      <c r="CK264" s="326" t="e">
        <f>-CK259/CK261</f>
        <v>#DIV/0!</v>
      </c>
      <c r="CL264" s="326" t="e">
        <f>-CL259/CL261</f>
        <v>#DIV/0!</v>
      </c>
      <c r="CM264" s="326" t="e">
        <f>-CM259/CM261</f>
        <v>#DIV/0!</v>
      </c>
      <c r="CN264" s="326" t="e">
        <f>-CN259/CN261</f>
        <v>#DIV/0!</v>
      </c>
      <c r="CO264" s="298" t="n"/>
      <c r="CP264" s="326" t="e">
        <f>-CP259/CP261</f>
        <v>#DIV/0!</v>
      </c>
      <c r="CQ264" s="326" t="e">
        <f>-CQ259/CQ261</f>
        <v>#DIV/0!</v>
      </c>
      <c r="CR264" s="326" t="e">
        <f>-CR259/CR261</f>
        <v>#DIV/0!</v>
      </c>
      <c r="CS264" s="326" t="e">
        <f>-CS259/CS261</f>
        <v>#DIV/0!</v>
      </c>
      <c r="CT264" s="298" t="n"/>
      <c r="CU264" s="326" t="e">
        <f>-CU259/CU261</f>
        <v>#DIV/0!</v>
      </c>
      <c r="CV264" s="326" t="e">
        <f>-CV259/CV261</f>
        <v>#DIV/0!</v>
      </c>
      <c r="CW264" s="326" t="e">
        <f>-CW259/CW261</f>
        <v>#DIV/0!</v>
      </c>
      <c r="CX264" s="326" t="e">
        <f>-CX259/CX261</f>
        <v>#DIV/0!</v>
      </c>
      <c r="CY264" s="298" t="n"/>
    </row>
    <row r="265" hidden="1" outlineLevel="1" ht="12.75" customFormat="1" customHeight="1" s="322">
      <c r="A265" s="293" t="n"/>
      <c r="B265" s="293" t="n"/>
      <c r="C265" s="323" t="inlineStr">
        <is>
          <t>Shares issued</t>
        </is>
      </c>
      <c r="D265" s="298" t="n"/>
      <c r="E265" s="298" t="n"/>
      <c r="F265" s="298" t="n"/>
      <c r="G265" s="298" t="n"/>
      <c r="H265" s="298" t="n"/>
      <c r="I265" s="298" t="n"/>
      <c r="J265" s="298" t="n"/>
      <c r="K265" s="298" t="n"/>
      <c r="L265" s="298" t="n"/>
      <c r="M265" s="298" t="n"/>
      <c r="N265" s="298" t="n"/>
      <c r="O265" s="298" t="n"/>
      <c r="P265" s="298" t="n"/>
      <c r="Q265" s="298" t="n"/>
      <c r="R265" s="298" t="n"/>
      <c r="S265" s="298" t="n"/>
      <c r="T265" s="298" t="n"/>
      <c r="U265" s="298" t="n"/>
      <c r="V265" s="298" t="n"/>
      <c r="W265" s="298" t="n"/>
      <c r="X265" s="298" t="n"/>
      <c r="Y265" s="298" t="n"/>
      <c r="Z265" s="298" t="n"/>
      <c r="AA265" s="298" t="n"/>
      <c r="AB265" s="298" t="n"/>
      <c r="AC265" s="298" t="n"/>
      <c r="AD265" s="298" t="n"/>
      <c r="AE265" s="298" t="n"/>
      <c r="AF265" s="265" t="n"/>
      <c r="AG265" s="298" t="n"/>
      <c r="AH265" s="326" t="n"/>
      <c r="AI265" s="326" t="n"/>
      <c r="AJ265" s="326" t="e">
        <f>AJ260/AJ261</f>
        <v>#DIV/0!</v>
      </c>
      <c r="AK265" s="326" t="e">
        <f>AK260/AK261</f>
        <v>#DIV/0!</v>
      </c>
      <c r="AL265" s="298" t="n"/>
      <c r="AM265" s="326" t="e">
        <f>AM260/AM261</f>
        <v>#DIV/0!</v>
      </c>
      <c r="AN265" s="326" t="e">
        <f>AN260/AN261</f>
        <v>#DIV/0!</v>
      </c>
      <c r="AO265" s="326" t="e">
        <f>AO260/AO261</f>
        <v>#DIV/0!</v>
      </c>
      <c r="AP265" s="326" t="e">
        <f>AP260/AP261</f>
        <v>#DIV/0!</v>
      </c>
      <c r="AQ265" s="298" t="n"/>
      <c r="AR265" s="326" t="e">
        <f>AR260/AR261</f>
        <v>#DIV/0!</v>
      </c>
      <c r="AS265" s="326" t="e">
        <f>AS260/AS261</f>
        <v>#DIV/0!</v>
      </c>
      <c r="AT265" s="326" t="e">
        <f>AT260/AT261</f>
        <v>#DIV/0!</v>
      </c>
      <c r="AU265" s="326" t="e">
        <f>AU260/AU261</f>
        <v>#DIV/0!</v>
      </c>
      <c r="AV265" s="298" t="n"/>
      <c r="AW265" s="326" t="e">
        <f>AW260/AW261</f>
        <v>#DIV/0!</v>
      </c>
      <c r="AX265" s="326" t="e">
        <f>AX260/AX261</f>
        <v>#DIV/0!</v>
      </c>
      <c r="AY265" s="326" t="e">
        <f>AY260/AY261</f>
        <v>#DIV/0!</v>
      </c>
      <c r="AZ265" s="326" t="e">
        <f>AZ260/AZ261</f>
        <v>#DIV/0!</v>
      </c>
      <c r="BA265" s="298" t="n"/>
      <c r="BB265" s="326" t="e">
        <f>BB260/BB261</f>
        <v>#DIV/0!</v>
      </c>
      <c r="BC265" s="326" t="e">
        <f>BC260/BC261</f>
        <v>#DIV/0!</v>
      </c>
      <c r="BD265" s="326" t="e">
        <f>BD260/BD261</f>
        <v>#DIV/0!</v>
      </c>
      <c r="BE265" s="326" t="e">
        <f>BE260/BE261</f>
        <v>#DIV/0!</v>
      </c>
      <c r="BF265" s="298" t="n"/>
      <c r="BG265" s="326" t="e">
        <f>BG260/BG261</f>
        <v>#DIV/0!</v>
      </c>
      <c r="BH265" s="326" t="e">
        <f>BH260/BH261</f>
        <v>#DIV/0!</v>
      </c>
      <c r="BI265" s="326" t="e">
        <f>BI260/BI261</f>
        <v>#DIV/0!</v>
      </c>
      <c r="BJ265" s="326" t="e">
        <f>BJ260/BJ261</f>
        <v>#DIV/0!</v>
      </c>
      <c r="BK265" s="298" t="n"/>
      <c r="BL265" s="326" t="e">
        <f>BL260/BL261</f>
        <v>#DIV/0!</v>
      </c>
      <c r="BM265" s="326" t="e">
        <f>BM260/BM261</f>
        <v>#DIV/0!</v>
      </c>
      <c r="BN265" s="326" t="e">
        <f>BN260/BN261</f>
        <v>#DIV/0!</v>
      </c>
      <c r="BO265" s="326" t="e">
        <f>BO260/BO261</f>
        <v>#DIV/0!</v>
      </c>
      <c r="BP265" s="298" t="n"/>
      <c r="BQ265" s="326" t="e">
        <f>BQ260/BQ261</f>
        <v>#DIV/0!</v>
      </c>
      <c r="BR265" s="326" t="e">
        <f>BR260/BR261</f>
        <v>#DIV/0!</v>
      </c>
      <c r="BS265" s="326" t="e">
        <f>BS260/BS261</f>
        <v>#DIV/0!</v>
      </c>
      <c r="BT265" s="326" t="e">
        <f>BT260/BT261</f>
        <v>#DIV/0!</v>
      </c>
      <c r="BU265" s="298" t="n"/>
      <c r="BV265" s="326" t="e">
        <f>BV260/BV261</f>
        <v>#DIV/0!</v>
      </c>
      <c r="BW265" s="326" t="e">
        <f>BW260/BW261</f>
        <v>#DIV/0!</v>
      </c>
      <c r="BX265" s="326" t="e">
        <f>BX260/BX261</f>
        <v>#DIV/0!</v>
      </c>
      <c r="BY265" s="326" t="e">
        <f>BY260/BY261</f>
        <v>#DIV/0!</v>
      </c>
      <c r="BZ265" s="298" t="n"/>
      <c r="CA265" s="326" t="e">
        <f>CA260/CA261</f>
        <v>#DIV/0!</v>
      </c>
      <c r="CB265" s="326" t="e">
        <f>CB260/CB261</f>
        <v>#DIV/0!</v>
      </c>
      <c r="CC265" s="326" t="e">
        <f>CC260/CC261</f>
        <v>#DIV/0!</v>
      </c>
      <c r="CD265" s="326" t="e">
        <f>CD260/CD261</f>
        <v>#DIV/0!</v>
      </c>
      <c r="CE265" s="298" t="n"/>
      <c r="CF265" s="326" t="e">
        <f>CF260/CF261</f>
        <v>#DIV/0!</v>
      </c>
      <c r="CG265" s="326" t="e">
        <f>CG260/CG261</f>
        <v>#DIV/0!</v>
      </c>
      <c r="CH265" s="326" t="e">
        <f>CH260/CH261</f>
        <v>#DIV/0!</v>
      </c>
      <c r="CI265" s="326" t="e">
        <f>CI260/CI261</f>
        <v>#DIV/0!</v>
      </c>
      <c r="CJ265" s="298" t="n"/>
      <c r="CK265" s="326" t="e">
        <f>CK260/CK261</f>
        <v>#DIV/0!</v>
      </c>
      <c r="CL265" s="326" t="e">
        <f>CL260/CL261</f>
        <v>#DIV/0!</v>
      </c>
      <c r="CM265" s="326" t="e">
        <f>CM260/CM261</f>
        <v>#DIV/0!</v>
      </c>
      <c r="CN265" s="326" t="e">
        <f>CN260/CN261</f>
        <v>#DIV/0!</v>
      </c>
      <c r="CO265" s="298" t="n"/>
      <c r="CP265" s="326" t="e">
        <f>CP260/CP261</f>
        <v>#DIV/0!</v>
      </c>
      <c r="CQ265" s="326" t="e">
        <f>CQ260/CQ261</f>
        <v>#DIV/0!</v>
      </c>
      <c r="CR265" s="326" t="e">
        <f>CR260/CR261</f>
        <v>#DIV/0!</v>
      </c>
      <c r="CS265" s="326" t="e">
        <f>CS260/CS261</f>
        <v>#DIV/0!</v>
      </c>
      <c r="CT265" s="298" t="n"/>
      <c r="CU265" s="326" t="e">
        <f>CU260/CU261</f>
        <v>#DIV/0!</v>
      </c>
      <c r="CV265" s="326" t="e">
        <f>CV260/CV261</f>
        <v>#DIV/0!</v>
      </c>
      <c r="CW265" s="326" t="e">
        <f>CW260/CW261</f>
        <v>#DIV/0!</v>
      </c>
      <c r="CX265" s="326" t="e">
        <f>CX260/CX261</f>
        <v>#DIV/0!</v>
      </c>
      <c r="CY265" s="298" t="n"/>
    </row>
    <row r="266" hidden="1" outlineLevel="1" ht="12.75" customFormat="1" customHeight="1" s="322">
      <c r="A266" s="293" t="n"/>
      <c r="B266" s="293" t="n"/>
      <c r="C266" s="323" t="inlineStr">
        <is>
          <t>End of period basic shares outstanding</t>
        </is>
      </c>
      <c r="D266" s="298" t="n"/>
      <c r="E266" s="298" t="n"/>
      <c r="F266" s="298" t="n"/>
      <c r="G266" s="298" t="n"/>
      <c r="H266" s="298" t="n"/>
      <c r="I266" s="298" t="n"/>
      <c r="J266" s="298" t="n"/>
      <c r="K266" s="298" t="n"/>
      <c r="L266" s="298" t="n"/>
      <c r="M266" s="298" t="n"/>
      <c r="N266" s="298" t="n"/>
      <c r="O266" s="298" t="n"/>
      <c r="P266" s="298" t="n"/>
      <c r="Q266" s="298" t="n"/>
      <c r="R266" s="298" t="n"/>
      <c r="S266" s="298" t="n"/>
      <c r="T266" s="298" t="n"/>
      <c r="U266" s="298" t="n"/>
      <c r="V266" s="298" t="n"/>
      <c r="W266" s="298" t="n"/>
      <c r="X266" s="298" t="n"/>
      <c r="Y266" s="298" t="n"/>
      <c r="Z266" s="298" t="n"/>
      <c r="AA266" s="298" t="n"/>
      <c r="AB266" s="298" t="n"/>
      <c r="AC266" s="298" t="n"/>
      <c r="AD266" s="298" t="n"/>
      <c r="AE266" s="298" t="n"/>
      <c r="AF266" s="298" t="n"/>
      <c r="AG266" s="324" t="n"/>
      <c r="AH266" s="259">
        <f>AG266+AH265-AH264</f>
        <v>0</v>
      </c>
      <c r="AI266" s="259">
        <f>AH266+AI265-AI264</f>
        <v>0</v>
      </c>
      <c r="AJ266" s="326" t="e">
        <f>AI266+AJ265-AJ264</f>
        <v>#DIV/0!</v>
      </c>
      <c r="AK266" s="326" t="e">
        <f>AJ266+AK265-AK264</f>
        <v>#DIV/0!</v>
      </c>
      <c r="AL266" s="298" t="n"/>
      <c r="AM266" s="259" t="e">
        <f>AK266+AM265-AM264</f>
        <v>#DIV/0!</v>
      </c>
      <c r="AN266" s="259" t="e">
        <f>AM266+AN265-AN264</f>
        <v>#DIV/0!</v>
      </c>
      <c r="AO266" s="326" t="e">
        <f>AN266+AO265-AO264</f>
        <v>#DIV/0!</v>
      </c>
      <c r="AP266" s="326" t="e">
        <f>AO266+AP265-AP264</f>
        <v>#DIV/0!</v>
      </c>
      <c r="AQ266" s="298" t="n"/>
      <c r="AR266" s="259" t="e">
        <f>AP266+AR265-AR264</f>
        <v>#DIV/0!</v>
      </c>
      <c r="AS266" s="259" t="e">
        <f>AR266+AS265-AS264</f>
        <v>#DIV/0!</v>
      </c>
      <c r="AT266" s="326" t="e">
        <f>AS266+AT265-AT264</f>
        <v>#DIV/0!</v>
      </c>
      <c r="AU266" s="326" t="e">
        <f>AT266+AU265-AU264</f>
        <v>#DIV/0!</v>
      </c>
      <c r="AV266" s="298" t="n"/>
      <c r="AW266" s="259" t="e">
        <f>AU266+AW265-AW264</f>
        <v>#DIV/0!</v>
      </c>
      <c r="AX266" s="259" t="e">
        <f>AW266+AX265-AX264</f>
        <v>#DIV/0!</v>
      </c>
      <c r="AY266" s="326" t="e">
        <f>AX266+AY265-AY264</f>
        <v>#DIV/0!</v>
      </c>
      <c r="AZ266" s="326" t="e">
        <f>AY266+AZ265-AZ264</f>
        <v>#DIV/0!</v>
      </c>
      <c r="BA266" s="298" t="n"/>
      <c r="BB266" s="259" t="e">
        <f>AZ266+BB265-BB264</f>
        <v>#DIV/0!</v>
      </c>
      <c r="BC266" s="259" t="e">
        <f>BB266+BC265-BC264</f>
        <v>#DIV/0!</v>
      </c>
      <c r="BD266" s="326" t="e">
        <f>BC266+BD265-BD264</f>
        <v>#DIV/0!</v>
      </c>
      <c r="BE266" s="326" t="e">
        <f>BD266+BE265-BE264</f>
        <v>#DIV/0!</v>
      </c>
      <c r="BF266" s="298" t="n"/>
      <c r="BG266" s="259" t="e">
        <f>BE266+BG265-BG264</f>
        <v>#DIV/0!</v>
      </c>
      <c r="BH266" s="259" t="e">
        <f>BG266+BH265-BH264</f>
        <v>#DIV/0!</v>
      </c>
      <c r="BI266" s="326" t="e">
        <f>BH266+BI265-BI264</f>
        <v>#DIV/0!</v>
      </c>
      <c r="BJ266" s="326" t="e">
        <f>BI266+BJ265-BJ264</f>
        <v>#DIV/0!</v>
      </c>
      <c r="BK266" s="298" t="n"/>
      <c r="BL266" s="259" t="e">
        <f>BJ266+BL265-BL264</f>
        <v>#DIV/0!</v>
      </c>
      <c r="BM266" s="259" t="e">
        <f>BL266+BM265-BM264</f>
        <v>#DIV/0!</v>
      </c>
      <c r="BN266" s="326" t="e">
        <f>BM266+BN265-BN264</f>
        <v>#DIV/0!</v>
      </c>
      <c r="BO266" s="326" t="e">
        <f>BN266+BO265-BO264</f>
        <v>#DIV/0!</v>
      </c>
      <c r="BP266" s="298" t="n"/>
      <c r="BQ266" s="259" t="e">
        <f>BO266+BQ265-BQ264</f>
        <v>#DIV/0!</v>
      </c>
      <c r="BR266" s="259" t="e">
        <f>BQ266+BR265-BR264</f>
        <v>#DIV/0!</v>
      </c>
      <c r="BS266" s="326" t="e">
        <f>BR266+BS265-BS264</f>
        <v>#DIV/0!</v>
      </c>
      <c r="BT266" s="326" t="e">
        <f>BS266+BT265-BT264</f>
        <v>#DIV/0!</v>
      </c>
      <c r="BU266" s="298" t="n"/>
      <c r="BV266" s="259" t="e">
        <f>BT266+BV265-BV264</f>
        <v>#DIV/0!</v>
      </c>
      <c r="BW266" s="259" t="e">
        <f>BV266+BW265-BW264</f>
        <v>#DIV/0!</v>
      </c>
      <c r="BX266" s="326" t="e">
        <f>BW266+BX265-BX264</f>
        <v>#DIV/0!</v>
      </c>
      <c r="BY266" s="326" t="e">
        <f>BX266+BY265-BY264</f>
        <v>#DIV/0!</v>
      </c>
      <c r="BZ266" s="298" t="n"/>
      <c r="CA266" s="259" t="e">
        <f>BY266+CA265-CA264</f>
        <v>#DIV/0!</v>
      </c>
      <c r="CB266" s="259" t="e">
        <f>CA266+CB265-CB264</f>
        <v>#DIV/0!</v>
      </c>
      <c r="CC266" s="326" t="e">
        <f>CB266+CC265-CC264</f>
        <v>#DIV/0!</v>
      </c>
      <c r="CD266" s="326" t="e">
        <f>CC266+CD265-CD264</f>
        <v>#DIV/0!</v>
      </c>
      <c r="CE266" s="298" t="n"/>
      <c r="CF266" s="259" t="e">
        <f>CD266+CF265-CF264</f>
        <v>#DIV/0!</v>
      </c>
      <c r="CG266" s="259" t="e">
        <f>CF266+CG265-CG264</f>
        <v>#DIV/0!</v>
      </c>
      <c r="CH266" s="326" t="e">
        <f>CG266+CH265-CH264</f>
        <v>#DIV/0!</v>
      </c>
      <c r="CI266" s="326" t="e">
        <f>CH266+CI265-CI264</f>
        <v>#DIV/0!</v>
      </c>
      <c r="CJ266" s="298" t="n"/>
      <c r="CK266" s="259" t="e">
        <f>CI266+CK265-CK264</f>
        <v>#DIV/0!</v>
      </c>
      <c r="CL266" s="259" t="e">
        <f>CK266+CL265-CL264</f>
        <v>#DIV/0!</v>
      </c>
      <c r="CM266" s="326" t="e">
        <f>CL266+CM265-CM264</f>
        <v>#DIV/0!</v>
      </c>
      <c r="CN266" s="326" t="e">
        <f>CM266+CN265-CN264</f>
        <v>#DIV/0!</v>
      </c>
      <c r="CO266" s="298" t="n"/>
      <c r="CP266" s="259" t="e">
        <f>CN266+CP265-CP264</f>
        <v>#DIV/0!</v>
      </c>
      <c r="CQ266" s="259" t="e">
        <f>CP266+CQ265-CQ264</f>
        <v>#DIV/0!</v>
      </c>
      <c r="CR266" s="326" t="e">
        <f>CQ266+CR265-CR264</f>
        <v>#DIV/0!</v>
      </c>
      <c r="CS266" s="326" t="e">
        <f>CR266+CS265-CS264</f>
        <v>#DIV/0!</v>
      </c>
      <c r="CT266" s="298" t="n"/>
      <c r="CU266" s="259" t="e">
        <f>CS266+CU265-CU264</f>
        <v>#DIV/0!</v>
      </c>
      <c r="CV266" s="259" t="e">
        <f>CU266+CV265-CV264</f>
        <v>#DIV/0!</v>
      </c>
      <c r="CW266" s="326" t="e">
        <f>CV266+CW265-CW264</f>
        <v>#DIV/0!</v>
      </c>
      <c r="CX266" s="326" t="e">
        <f>CW266+CX265-CX264</f>
        <v>#DIV/0!</v>
      </c>
      <c r="CY266" s="298" t="n"/>
      <c r="CZ266" s="322" t="e">
        <f>CX266+CZ265-CZ264</f>
        <v>#DIV/0!</v>
      </c>
      <c r="DA266" s="322" t="e">
        <f>CZ266+DA265-DA264</f>
        <v>#DIV/0!</v>
      </c>
      <c r="DB266" s="322" t="e">
        <f>DA266+DB265-DB264</f>
        <v>#DIV/0!</v>
      </c>
      <c r="DC266" s="322" t="e">
        <f>DB266+DC265-DC264</f>
        <v>#DIV/0!</v>
      </c>
    </row>
    <row r="267" hidden="1" outlineLevel="1" ht="12.75" customFormat="1" customHeight="1" s="322">
      <c r="A267" s="293" t="n"/>
      <c r="B267" s="293" t="n"/>
      <c r="C267" s="323" t="inlineStr">
        <is>
          <t>Weighted average basic shares outstanding</t>
        </is>
      </c>
      <c r="D267" s="298" t="n"/>
      <c r="E267" s="298" t="n"/>
      <c r="F267" s="298" t="n"/>
      <c r="G267" s="298" t="n"/>
      <c r="H267" s="298" t="n"/>
      <c r="I267" s="298" t="n"/>
      <c r="J267" s="298" t="n"/>
      <c r="K267" s="298" t="n"/>
      <c r="L267" s="298" t="n"/>
      <c r="M267" s="298" t="n"/>
      <c r="N267" s="298" t="n"/>
      <c r="O267" s="298" t="n"/>
      <c r="P267" s="298" t="n"/>
      <c r="Q267" s="298" t="n"/>
      <c r="R267" s="298" t="n"/>
      <c r="S267" s="298" t="n"/>
      <c r="T267" s="298" t="n"/>
      <c r="U267" s="298" t="n"/>
      <c r="V267" s="298" t="n"/>
      <c r="W267" s="298" t="n"/>
      <c r="X267" s="298" t="n"/>
      <c r="Y267" s="298" t="n"/>
      <c r="Z267" s="298" t="n"/>
      <c r="AA267" s="298" t="n"/>
      <c r="AB267" s="298" t="n"/>
      <c r="AC267" s="298" t="n"/>
      <c r="AD267" s="298" t="n"/>
      <c r="AE267" s="298" t="n"/>
      <c r="AF267" s="298" t="n"/>
      <c r="AG267" s="298" t="n"/>
      <c r="AH267" s="326">
        <f>AVERAGE(AG266,AH266)</f>
        <v>0</v>
      </c>
      <c r="AI267" s="326">
        <f>AVERAGE(AH266,AI266)</f>
        <v>0</v>
      </c>
      <c r="AJ267" s="326" t="e">
        <f>AVERAGE(AI266,AJ266)</f>
        <v>#DIV/0!</v>
      </c>
      <c r="AK267" s="326" t="e">
        <f>AVERAGE(AJ266,AK266)</f>
        <v>#DIV/0!</v>
      </c>
      <c r="AL267" s="298" t="n"/>
      <c r="AM267" s="326" t="e">
        <f>AVERAGE(AK266,AM266)</f>
        <v>#DIV/0!</v>
      </c>
      <c r="AN267" s="326" t="e">
        <f>AVERAGE(AM266,AN266)</f>
        <v>#DIV/0!</v>
      </c>
      <c r="AO267" s="326" t="e">
        <f>AVERAGE(AN266,AO266)</f>
        <v>#DIV/0!</v>
      </c>
      <c r="AP267" s="326" t="e">
        <f>AVERAGE(AO266,AP266)</f>
        <v>#DIV/0!</v>
      </c>
      <c r="AQ267" s="298" t="n"/>
      <c r="AR267" s="326" t="e">
        <f>AVERAGE(AP266,AR266)</f>
        <v>#DIV/0!</v>
      </c>
      <c r="AS267" s="326" t="e">
        <f>AVERAGE(AR266,AS266)</f>
        <v>#DIV/0!</v>
      </c>
      <c r="AT267" s="326" t="e">
        <f>AVERAGE(AS266,AT266)</f>
        <v>#DIV/0!</v>
      </c>
      <c r="AU267" s="326" t="e">
        <f>AVERAGE(AT266,AU266)</f>
        <v>#DIV/0!</v>
      </c>
      <c r="AV267" s="298" t="n"/>
      <c r="AW267" s="326" t="e">
        <f>AVERAGE(AU266,AW266)</f>
        <v>#DIV/0!</v>
      </c>
      <c r="AX267" s="326" t="e">
        <f>AVERAGE(AW266,AX266)</f>
        <v>#DIV/0!</v>
      </c>
      <c r="AY267" s="326" t="e">
        <f>AVERAGE(AX266,AY266)</f>
        <v>#DIV/0!</v>
      </c>
      <c r="AZ267" s="326" t="e">
        <f>AVERAGE(AY266,AZ266)</f>
        <v>#DIV/0!</v>
      </c>
      <c r="BA267" s="298" t="n"/>
      <c r="BB267" s="326" t="e">
        <f>AVERAGE(AZ266,BB266)</f>
        <v>#DIV/0!</v>
      </c>
      <c r="BC267" s="326" t="e">
        <f>AVERAGE(BB266,BC266)</f>
        <v>#DIV/0!</v>
      </c>
      <c r="BD267" s="326" t="e">
        <f>AVERAGE(BC266,BD266)</f>
        <v>#DIV/0!</v>
      </c>
      <c r="BE267" s="326" t="e">
        <f>AVERAGE(BD266,BE266)</f>
        <v>#DIV/0!</v>
      </c>
      <c r="BF267" s="298" t="n"/>
      <c r="BG267" s="326" t="e">
        <f>AVERAGE(BE266,BG266)</f>
        <v>#DIV/0!</v>
      </c>
      <c r="BH267" s="326" t="e">
        <f>AVERAGE(BG266,BH266)</f>
        <v>#DIV/0!</v>
      </c>
      <c r="BI267" s="326" t="e">
        <f>AVERAGE(BH266,BI266)</f>
        <v>#DIV/0!</v>
      </c>
      <c r="BJ267" s="326" t="e">
        <f>AVERAGE(BI266,BJ266)</f>
        <v>#DIV/0!</v>
      </c>
      <c r="BK267" s="298" t="n"/>
      <c r="BL267" s="326" t="e">
        <f>AVERAGE(BJ266,BL266)</f>
        <v>#DIV/0!</v>
      </c>
      <c r="BM267" s="326" t="e">
        <f>AVERAGE(BL266,BM266)</f>
        <v>#DIV/0!</v>
      </c>
      <c r="BN267" s="326" t="e">
        <f>AVERAGE(BM266,BN266)</f>
        <v>#DIV/0!</v>
      </c>
      <c r="BO267" s="326" t="e">
        <f>AVERAGE(BN266,BO266)</f>
        <v>#DIV/0!</v>
      </c>
      <c r="BP267" s="298" t="n"/>
      <c r="BQ267" s="326" t="e">
        <f>AVERAGE(BO266,BQ266)</f>
        <v>#DIV/0!</v>
      </c>
      <c r="BR267" s="326" t="e">
        <f>AVERAGE(BQ266,BR266)</f>
        <v>#DIV/0!</v>
      </c>
      <c r="BS267" s="326" t="e">
        <f>AVERAGE(BR266,BS266)</f>
        <v>#DIV/0!</v>
      </c>
      <c r="BT267" s="326" t="e">
        <f>AVERAGE(BS266,BT266)</f>
        <v>#DIV/0!</v>
      </c>
      <c r="BU267" s="298" t="n"/>
      <c r="BV267" s="326" t="e">
        <f>AVERAGE(BT266,BV266)</f>
        <v>#DIV/0!</v>
      </c>
      <c r="BW267" s="326" t="e">
        <f>AVERAGE(BV266,BW266)</f>
        <v>#DIV/0!</v>
      </c>
      <c r="BX267" s="326" t="e">
        <f>AVERAGE(BW266,BX266)</f>
        <v>#DIV/0!</v>
      </c>
      <c r="BY267" s="326" t="e">
        <f>AVERAGE(BX266,BY266)</f>
        <v>#DIV/0!</v>
      </c>
      <c r="BZ267" s="298" t="n"/>
      <c r="CA267" s="326" t="e">
        <f>AVERAGE(BY266,CA266)</f>
        <v>#DIV/0!</v>
      </c>
      <c r="CB267" s="326" t="e">
        <f>AVERAGE(CA266,CB266)</f>
        <v>#DIV/0!</v>
      </c>
      <c r="CC267" s="326" t="e">
        <f>AVERAGE(CB266,CC266)</f>
        <v>#DIV/0!</v>
      </c>
      <c r="CD267" s="326" t="e">
        <f>AVERAGE(CC266,CD266)</f>
        <v>#DIV/0!</v>
      </c>
      <c r="CE267" s="298" t="n"/>
      <c r="CF267" s="326" t="e">
        <f>AVERAGE(CD266,CF266)</f>
        <v>#DIV/0!</v>
      </c>
      <c r="CG267" s="326" t="e">
        <f>AVERAGE(CF266,CG266)</f>
        <v>#DIV/0!</v>
      </c>
      <c r="CH267" s="326" t="e">
        <f>AVERAGE(CG266,CH266)</f>
        <v>#DIV/0!</v>
      </c>
      <c r="CI267" s="326" t="e">
        <f>AVERAGE(CH266,CI266)</f>
        <v>#DIV/0!</v>
      </c>
      <c r="CJ267" s="298" t="n"/>
      <c r="CK267" s="326" t="e">
        <f>AVERAGE(CI266,CK266)</f>
        <v>#DIV/0!</v>
      </c>
      <c r="CL267" s="326" t="e">
        <f>AVERAGE(CK266,CL266)</f>
        <v>#DIV/0!</v>
      </c>
      <c r="CM267" s="326" t="e">
        <f>AVERAGE(CL266,CM266)</f>
        <v>#DIV/0!</v>
      </c>
      <c r="CN267" s="326" t="e">
        <f>AVERAGE(CM266,CN266)</f>
        <v>#DIV/0!</v>
      </c>
      <c r="CO267" s="298" t="n"/>
      <c r="CP267" s="326" t="e">
        <f>AVERAGE(CN266,CP266)</f>
        <v>#DIV/0!</v>
      </c>
      <c r="CQ267" s="326" t="e">
        <f>AVERAGE(CP266,CQ266)</f>
        <v>#DIV/0!</v>
      </c>
      <c r="CR267" s="326" t="e">
        <f>AVERAGE(CQ266,CR266)</f>
        <v>#DIV/0!</v>
      </c>
      <c r="CS267" s="326" t="e">
        <f>AVERAGE(CR266,CS266)</f>
        <v>#DIV/0!</v>
      </c>
      <c r="CT267" s="298" t="n"/>
      <c r="CU267" s="326" t="e">
        <f>AVERAGE(CS266,CU266)</f>
        <v>#DIV/0!</v>
      </c>
      <c r="CV267" s="326" t="e">
        <f>AVERAGE(CU266,CV266)</f>
        <v>#DIV/0!</v>
      </c>
      <c r="CW267" s="326" t="e">
        <f>AVERAGE(CV266,CW266)</f>
        <v>#DIV/0!</v>
      </c>
      <c r="CX267" s="326" t="e">
        <f>AVERAGE(CW266,CX266)</f>
        <v>#DIV/0!</v>
      </c>
      <c r="CY267" s="298" t="n"/>
      <c r="CZ267" s="322" t="e">
        <f>AVERAGE(CX266,CZ266)</f>
        <v>#DIV/0!</v>
      </c>
      <c r="DA267" s="322" t="e">
        <f>AVERAGE(CZ266,DA266)</f>
        <v>#DIV/0!</v>
      </c>
      <c r="DB267" s="322" t="e">
        <f>AVERAGE(DA266,DB266)</f>
        <v>#DIV/0!</v>
      </c>
      <c r="DC267" s="322" t="e">
        <f>AVERAGE(DB266,DC266)</f>
        <v>#DIV/0!</v>
      </c>
    </row>
    <row r="268" hidden="1" outlineLevel="1" ht="12.75" customFormat="1" customHeight="1" s="322">
      <c r="A268" s="293" t="n"/>
      <c r="B268" s="293" t="n"/>
      <c r="C268" s="323" t="n"/>
      <c r="D268" s="298" t="n"/>
      <c r="E268" s="298" t="n"/>
      <c r="F268" s="298" t="n"/>
      <c r="G268" s="298" t="n"/>
      <c r="H268" s="268" t="n"/>
      <c r="I268" s="298" t="n"/>
      <c r="J268" s="298" t="n"/>
      <c r="K268" s="298" t="n"/>
      <c r="L268" s="298" t="n"/>
      <c r="M268" s="268" t="n"/>
      <c r="N268" s="298" t="n"/>
      <c r="O268" s="298" t="n"/>
      <c r="P268" s="298" t="n"/>
      <c r="Q268" s="298" t="n"/>
      <c r="R268" s="268" t="n"/>
      <c r="S268" s="298" t="n"/>
      <c r="T268" s="298" t="n"/>
      <c r="U268" s="298" t="n"/>
      <c r="V268" s="298" t="n"/>
      <c r="W268" s="268" t="n"/>
      <c r="X268" s="298" t="n"/>
      <c r="Y268" s="298" t="n"/>
      <c r="Z268" s="298" t="n"/>
      <c r="AA268" s="298" t="n"/>
      <c r="AB268" s="268" t="n"/>
      <c r="AC268" s="298" t="n"/>
      <c r="AD268" s="298" t="n"/>
      <c r="AE268" s="298" t="n"/>
      <c r="AF268" s="298" t="n"/>
      <c r="AG268" s="268" t="n"/>
      <c r="AH268" s="298" t="n"/>
      <c r="AI268" s="298" t="n"/>
      <c r="AJ268" s="298" t="n"/>
      <c r="AK268" s="298" t="n"/>
      <c r="AL268" s="268" t="n"/>
      <c r="AM268" s="298" t="n"/>
      <c r="AN268" s="298" t="n"/>
      <c r="AO268" s="298" t="n"/>
      <c r="AP268" s="298" t="n"/>
      <c r="AQ268" s="268" t="n"/>
      <c r="AR268" s="298" t="n"/>
      <c r="AS268" s="298" t="n"/>
      <c r="AT268" s="298" t="n"/>
      <c r="AU268" s="298" t="n"/>
      <c r="AV268" s="268" t="n"/>
      <c r="AW268" s="298" t="n"/>
      <c r="AX268" s="298" t="n"/>
      <c r="AY268" s="298" t="n"/>
      <c r="AZ268" s="298" t="n"/>
      <c r="BA268" s="268" t="n"/>
      <c r="BB268" s="298" t="n"/>
      <c r="BC268" s="298" t="n"/>
      <c r="BD268" s="298" t="n"/>
      <c r="BE268" s="298" t="n"/>
      <c r="BF268" s="268" t="n"/>
      <c r="BG268" s="298" t="n"/>
      <c r="BH268" s="298" t="n"/>
      <c r="BI268" s="298" t="n"/>
      <c r="BJ268" s="298" t="n"/>
      <c r="BK268" s="268" t="n"/>
      <c r="BL268" s="298" t="n"/>
      <c r="BM268" s="298" t="n"/>
      <c r="BN268" s="298" t="n"/>
      <c r="BO268" s="298" t="n"/>
      <c r="BP268" s="268" t="n"/>
      <c r="BQ268" s="298" t="n"/>
      <c r="BR268" s="298" t="n"/>
      <c r="BS268" s="298" t="n"/>
      <c r="BT268" s="298" t="n"/>
      <c r="BU268" s="268" t="n"/>
      <c r="BV268" s="298" t="n"/>
      <c r="BW268" s="298" t="n"/>
      <c r="BX268" s="298" t="n"/>
      <c r="BY268" s="298" t="n"/>
      <c r="BZ268" s="268" t="n"/>
      <c r="CA268" s="298" t="n"/>
      <c r="CB268" s="298" t="n"/>
      <c r="CC268" s="298" t="n"/>
      <c r="CD268" s="298" t="n"/>
      <c r="CE268" s="268" t="n"/>
      <c r="CF268" s="298" t="n"/>
      <c r="CG268" s="298" t="n"/>
      <c r="CH268" s="298" t="n"/>
      <c r="CI268" s="298" t="n"/>
      <c r="CJ268" s="268" t="n"/>
      <c r="CK268" s="298" t="n"/>
      <c r="CL268" s="298" t="n"/>
      <c r="CM268" s="298" t="n"/>
      <c r="CN268" s="298" t="n"/>
      <c r="CO268" s="268" t="n"/>
      <c r="CP268" s="298" t="n"/>
      <c r="CQ268" s="298" t="n"/>
      <c r="CR268" s="298" t="n"/>
      <c r="CS268" s="298" t="n"/>
      <c r="CT268" s="268" t="n"/>
      <c r="CU268" s="298" t="n"/>
      <c r="CV268" s="298" t="n"/>
      <c r="CW268" s="298" t="n"/>
      <c r="CX268" s="298" t="n"/>
      <c r="CY268" s="268" t="n"/>
    </row>
    <row r="269" ht="12.75" customHeight="1" s="255">
      <c r="C269" s="270" t="inlineStr">
        <is>
          <t>Treasury stock (contra account)</t>
        </is>
      </c>
      <c r="D269" s="301">
        <f>INDEX('Inputs (2)'!$D$44:$AL$44,MATCH(D$7,'Inputs (2)'!$D$2:$AL$2,0))</f>
        <v>0</v>
      </c>
      <c r="E269" s="301">
        <f>INDEX('Inputs (2)'!$D$44:$AL$44,MATCH(E$7,'Inputs (2)'!$D$2:$AL$2,0))</f>
        <v>0</v>
      </c>
      <c r="F269" s="301">
        <f>INDEX('Inputs (2)'!$D$44:$AL$44,MATCH(F$7,'Inputs (2)'!$D$2:$AL$2,0))</f>
        <v>0</v>
      </c>
      <c r="G269" s="301">
        <f>INDEX('Inputs (2)'!$D$44:$AL$44,MATCH(G$7,'Inputs (2)'!$D$2:$AL$2,0))</f>
        <v>0</v>
      </c>
      <c r="H269" s="268">
        <f>G269</f>
        <v>0</v>
      </c>
      <c r="I269" s="301">
        <f>INDEX('Inputs (2)'!$D$44:$AL$44,MATCH(I$7,'Inputs (2)'!$D$2:$AL$2,0))</f>
        <v>0</v>
      </c>
      <c r="J269" s="301">
        <f>INDEX('Inputs (2)'!$D$44:$AL$44,MATCH(J$7,'Inputs (2)'!$D$2:$AL$2,0))</f>
        <v>0</v>
      </c>
      <c r="K269" s="301">
        <f>INDEX('Inputs (2)'!$D$44:$AL$44,MATCH(K$7,'Inputs (2)'!$D$2:$AL$2,0))</f>
        <v>0</v>
      </c>
      <c r="L269" s="301">
        <f>INDEX('Inputs (2)'!$D$44:$AL$44,MATCH(L$7,'Inputs (2)'!$D$2:$AL$2,0))</f>
        <v>0</v>
      </c>
      <c r="M269" s="268">
        <f>L269</f>
        <v>0</v>
      </c>
      <c r="N269" s="301">
        <f>INDEX('Inputs (2)'!$D$44:$AL$44,MATCH(N$7,'Inputs (2)'!$D$2:$AL$2,0))</f>
        <v>0</v>
      </c>
      <c r="O269" s="301">
        <f>INDEX('Inputs (2)'!$D$44:$AL$44,MATCH(O$7,'Inputs (2)'!$D$2:$AL$2,0))</f>
        <v>0</v>
      </c>
      <c r="P269" s="301">
        <f>INDEX('Inputs (2)'!$D$44:$AL$44,MATCH(P$7,'Inputs (2)'!$D$2:$AL$2,0))</f>
        <v>0</v>
      </c>
      <c r="Q269" s="301">
        <f>INDEX('Inputs (2)'!$D$44:$AL$44,MATCH(Q$7,'Inputs (2)'!$D$2:$AL$2,0))</f>
        <v>0</v>
      </c>
      <c r="R269" s="268">
        <f>Q269</f>
        <v>0</v>
      </c>
      <c r="S269" s="301">
        <f>INDEX('Inputs (2)'!$D$44:$AL$44,MATCH(S$7,'Inputs (2)'!$D$2:$AL$2,0))</f>
        <v>0</v>
      </c>
      <c r="T269" s="301">
        <f>INDEX('Inputs (2)'!$D$44:$AL$44,MATCH(T$7,'Inputs (2)'!$D$2:$AL$2,0))</f>
        <v>0</v>
      </c>
      <c r="U269" s="301">
        <f>INDEX('Inputs (2)'!$D$44:$AL$44,MATCH(U$7,'Inputs (2)'!$D$2:$AL$2,0))</f>
        <v>0</v>
      </c>
      <c r="V269" s="301">
        <f>INDEX('Inputs (2)'!$D$44:$AL$44,MATCH(V$7,'Inputs (2)'!$D$2:$AL$2,0))</f>
        <v>0</v>
      </c>
      <c r="W269" s="268">
        <f>V269</f>
        <v>0</v>
      </c>
      <c r="X269" s="301">
        <f>INDEX('Inputs (2)'!$D$44:$AL$44,MATCH(X$7,'Inputs (2)'!$D$2:$AL$2,0))</f>
        <v>0</v>
      </c>
      <c r="Y269" s="301">
        <f>INDEX('Inputs (2)'!$D$44:$AL$44,MATCH(Y$7,'Inputs (2)'!$D$2:$AL$2,0))</f>
        <v>0</v>
      </c>
      <c r="Z269" s="301">
        <f>INDEX('Inputs (2)'!$D$44:$AL$44,MATCH(Z$7,'Inputs (2)'!$D$2:$AL$2,0))</f>
        <v>0</v>
      </c>
      <c r="AA269" s="301">
        <f>INDEX('Inputs (2)'!$D$44:$AL$44,MATCH(AA$7,'Inputs (2)'!$D$2:$AL$2,0))</f>
        <v>0</v>
      </c>
      <c r="AB269" s="268">
        <f>AA269</f>
        <v>0</v>
      </c>
      <c r="AC269" s="301">
        <f>INDEX('Inputs (2)'!$D$44:$AL$44,MATCH(AC$7,'Inputs (2)'!$D$2:$AL$2,0))</f>
        <v>0</v>
      </c>
      <c r="AD269" s="301">
        <f>INDEX('Inputs (2)'!$D$44:$AL$44,MATCH(AD$7,'Inputs (2)'!$D$2:$AL$2,0))</f>
        <v>0</v>
      </c>
      <c r="AE269" s="301">
        <f>INDEX('Inputs (2)'!$D$44:$AL$44,MATCH(AE$7,'Inputs (2)'!$D$2:$AL$2,0))</f>
        <v>0</v>
      </c>
      <c r="AF269" s="301">
        <f>INDEX('Inputs (2)'!$D$44:$AL$44,MATCH(AF$7,'Inputs (2)'!$D$2:$AL$2,0))</f>
        <v>0</v>
      </c>
      <c r="AG269" s="268">
        <f>AF269</f>
        <v>0</v>
      </c>
      <c r="AH269" s="268">
        <f>INDEX('Inputs (2)'!$D$44:$AL$44,MATCH(AH$7,'Inputs (2)'!$D$2:$AL$2,0))</f>
        <v>0</v>
      </c>
      <c r="AI269" s="268">
        <f>INDEX('Inputs (2)'!$D$44:$AL$44,MATCH(AI$7,'Inputs (2)'!$D$2:$AL$2,0))</f>
        <v>0</v>
      </c>
      <c r="AJ269" s="268">
        <f>AI269+AJ259</f>
        <v>0</v>
      </c>
      <c r="AK269" s="268">
        <f>AJ269+AK259</f>
        <v>0</v>
      </c>
      <c r="AL269" s="268">
        <f>AK269</f>
        <v>0</v>
      </c>
      <c r="AM269" s="268">
        <f>AL269+AM259</f>
        <v>0</v>
      </c>
      <c r="AN269" s="268">
        <f>AM269+AN259</f>
        <v>0</v>
      </c>
      <c r="AO269" s="268">
        <f>AN269+AO259</f>
        <v>0</v>
      </c>
      <c r="AP269" s="268">
        <f>AO269+AP259</f>
        <v>0</v>
      </c>
      <c r="AQ269" s="268">
        <f>AP269</f>
        <v>0</v>
      </c>
      <c r="AR269" s="268">
        <f>AQ269+AR259</f>
        <v>0</v>
      </c>
      <c r="AS269" s="268">
        <f>AR269+AS259</f>
        <v>0</v>
      </c>
      <c r="AT269" s="268">
        <f>AS269+AT259</f>
        <v>0</v>
      </c>
      <c r="AU269" s="268">
        <f>AT269+AU259</f>
        <v>0</v>
      </c>
      <c r="AV269" s="268">
        <f>AU269</f>
        <v>0</v>
      </c>
      <c r="AW269" s="268">
        <f>AV269+AW259</f>
        <v>0</v>
      </c>
      <c r="AX269" s="268">
        <f>AW269+AX259</f>
        <v>0</v>
      </c>
      <c r="AY269" s="268">
        <f>AX269+AY259</f>
        <v>0</v>
      </c>
      <c r="AZ269" s="268">
        <f>AY269+AZ259</f>
        <v>0</v>
      </c>
      <c r="BA269" s="268">
        <f>AZ269</f>
        <v>0</v>
      </c>
      <c r="BB269" s="268">
        <f>BA269+BB259</f>
        <v>0</v>
      </c>
      <c r="BC269" s="268">
        <f>BB269+BC259</f>
        <v>0</v>
      </c>
      <c r="BD269" s="268">
        <f>BC269+BD259</f>
        <v>0</v>
      </c>
      <c r="BE269" s="268">
        <f>BD269+BE259</f>
        <v>0</v>
      </c>
      <c r="BF269" s="268">
        <f>BE269</f>
        <v>0</v>
      </c>
      <c r="BG269" s="268">
        <f>BF269+BG259</f>
        <v>0</v>
      </c>
      <c r="BH269" s="268">
        <f>BG269+BH259</f>
        <v>0</v>
      </c>
      <c r="BI269" s="268">
        <f>BH269+BI259</f>
        <v>0</v>
      </c>
      <c r="BJ269" s="268">
        <f>BI269+BJ259</f>
        <v>0</v>
      </c>
      <c r="BK269" s="268">
        <f>BJ269</f>
        <v>0</v>
      </c>
      <c r="BL269" s="268">
        <f>BK269+BL259</f>
        <v>0</v>
      </c>
      <c r="BM269" s="268">
        <f>BL269+BM259</f>
        <v>0</v>
      </c>
      <c r="BN269" s="268">
        <f>BM269+BN259</f>
        <v>0</v>
      </c>
      <c r="BO269" s="268">
        <f>BN269+BO259</f>
        <v>0</v>
      </c>
      <c r="BP269" s="268">
        <f>BO269</f>
        <v>0</v>
      </c>
      <c r="BQ269" s="268">
        <f>BP269+BQ259</f>
        <v>0</v>
      </c>
      <c r="BR269" s="268">
        <f>BQ269+BR259</f>
        <v>0</v>
      </c>
      <c r="BS269" s="268">
        <f>BR269+BS259</f>
        <v>0</v>
      </c>
      <c r="BT269" s="268">
        <f>BS269+BT259</f>
        <v>0</v>
      </c>
      <c r="BU269" s="268">
        <f>BT269</f>
        <v>0</v>
      </c>
      <c r="BV269" s="268">
        <f>BU269+BV259</f>
        <v>0</v>
      </c>
      <c r="BW269" s="268">
        <f>BV269+BW259</f>
        <v>0</v>
      </c>
      <c r="BX269" s="268">
        <f>BW269+BX259</f>
        <v>0</v>
      </c>
      <c r="BY269" s="268">
        <f>BX269+BY259</f>
        <v>0</v>
      </c>
      <c r="BZ269" s="268">
        <f>BY269</f>
        <v>0</v>
      </c>
      <c r="CA269" s="268">
        <f>BZ269+CA259</f>
        <v>0</v>
      </c>
      <c r="CB269" s="268">
        <f>CA269+CB259</f>
        <v>0</v>
      </c>
      <c r="CC269" s="268">
        <f>CB269+CC259</f>
        <v>0</v>
      </c>
      <c r="CD269" s="268">
        <f>CC269+CD259</f>
        <v>0</v>
      </c>
      <c r="CE269" s="268">
        <f>CD269</f>
        <v>0</v>
      </c>
      <c r="CF269" s="268">
        <f>CE269+CF259</f>
        <v>0</v>
      </c>
      <c r="CG269" s="268">
        <f>CF269+CG259</f>
        <v>0</v>
      </c>
      <c r="CH269" s="268">
        <f>CG269+CH259</f>
        <v>0</v>
      </c>
      <c r="CI269" s="268">
        <f>CH269+CI259</f>
        <v>0</v>
      </c>
      <c r="CJ269" s="268">
        <f>CI269</f>
        <v>0</v>
      </c>
      <c r="CK269" s="268">
        <f>CJ269+CK259</f>
        <v>0</v>
      </c>
      <c r="CL269" s="268">
        <f>CK269+CL259</f>
        <v>0</v>
      </c>
      <c r="CM269" s="268">
        <f>CL269+CM259</f>
        <v>0</v>
      </c>
      <c r="CN269" s="268">
        <f>CM269+CN259</f>
        <v>0</v>
      </c>
      <c r="CO269" s="268">
        <f>CN269</f>
        <v>0</v>
      </c>
      <c r="CP269" s="268">
        <f>CO269+CP259</f>
        <v>0</v>
      </c>
      <c r="CQ269" s="268">
        <f>CP269+CQ259</f>
        <v>0</v>
      </c>
      <c r="CR269" s="268">
        <f>CQ269+CR259</f>
        <v>0</v>
      </c>
      <c r="CS269" s="268">
        <f>CR269+CS259</f>
        <v>0</v>
      </c>
      <c r="CT269" s="268">
        <f>CS269</f>
        <v>0</v>
      </c>
      <c r="CU269" s="268">
        <f>CT269+CU259</f>
        <v>0</v>
      </c>
      <c r="CV269" s="268">
        <f>CU269+CV259</f>
        <v>0</v>
      </c>
      <c r="CW269" s="268">
        <f>CV269+CW259</f>
        <v>0</v>
      </c>
      <c r="CX269" s="268">
        <f>CW269+CX259</f>
        <v>0</v>
      </c>
      <c r="CY269" s="268">
        <f>CX269</f>
        <v>0</v>
      </c>
    </row>
    <row r="270" ht="12.75" customHeight="1" s="255">
      <c r="C270" s="270" t="inlineStr">
        <is>
          <t>Comprehensive (accumulated) loss</t>
        </is>
      </c>
      <c r="D270" s="301">
        <f>INDEX('Inputs (2)'!$D$45:$AL$45,MATCH(D$7,'Inputs (2)'!$D$2:$AL$2,0))</f>
        <v>-16168</v>
      </c>
      <c r="E270" s="301">
        <f>INDEX('Inputs (2)'!$D$45:$AL$45,MATCH(E$7,'Inputs (2)'!$D$2:$AL$2,0))</f>
        <v>-15784</v>
      </c>
      <c r="F270" s="301">
        <f>INDEX('Inputs (2)'!$D$45:$AL$45,MATCH(F$7,'Inputs (2)'!$D$2:$AL$2,0))</f>
        <v>-14616</v>
      </c>
      <c r="G270" s="301">
        <f>INDEX('Inputs (2)'!$D$45:$AL$45,MATCH(G$7,'Inputs (2)'!$D$2:$AL$2,0))</f>
        <v>-11766</v>
      </c>
      <c r="H270" s="268">
        <f>G270</f>
        <v>-11766</v>
      </c>
      <c r="I270" s="301">
        <f>INDEX('Inputs (2)'!$D$45:$AL$45,MATCH(I$7,'Inputs (2)'!$D$2:$AL$2,0))</f>
        <v>-7946</v>
      </c>
      <c r="J270" s="301">
        <f>INDEX('Inputs (2)'!$D$45:$AL$45,MATCH(J$7,'Inputs (2)'!$D$2:$AL$2,0))</f>
        <v>-7976</v>
      </c>
      <c r="K270" s="301">
        <f>INDEX('Inputs (2)'!$D$45:$AL$45,MATCH(K$7,'Inputs (2)'!$D$2:$AL$2,0))</f>
        <v>-8488</v>
      </c>
      <c r="L270" s="301">
        <f>INDEX('Inputs (2)'!$D$45:$AL$45,MATCH(L$7,'Inputs (2)'!$D$2:$AL$2,0))</f>
        <v>-8766</v>
      </c>
      <c r="M270" s="268">
        <f>L270</f>
        <v>-8766</v>
      </c>
      <c r="N270" s="301">
        <f>INDEX('Inputs (2)'!$D$45:$AL$45,MATCH(N$7,'Inputs (2)'!$D$2:$AL$2,0))</f>
        <v>-8498</v>
      </c>
      <c r="O270" s="301">
        <f>INDEX('Inputs (2)'!$D$45:$AL$45,MATCH(O$7,'Inputs (2)'!$D$2:$AL$2,0))</f>
        <v>-9894</v>
      </c>
      <c r="P270" s="301">
        <f>INDEX('Inputs (2)'!$D$45:$AL$45,MATCH(P$7,'Inputs (2)'!$D$2:$AL$2,0))</f>
        <v>-10780</v>
      </c>
      <c r="Q270" s="301">
        <f>INDEX('Inputs (2)'!$D$45:$AL$45,MATCH(Q$7,'Inputs (2)'!$D$2:$AL$2,0))</f>
        <v>-11680</v>
      </c>
      <c r="R270" s="268">
        <f>Q270</f>
        <v>-11680</v>
      </c>
      <c r="S270" s="301">
        <f>INDEX('Inputs (2)'!$D$45:$AL$45,MATCH(S$7,'Inputs (2)'!$D$2:$AL$2,0))</f>
        <v>-11147</v>
      </c>
      <c r="T270" s="301">
        <f>INDEX('Inputs (2)'!$D$45:$AL$45,MATCH(T$7,'Inputs (2)'!$D$2:$AL$2,0))</f>
        <v>-10818</v>
      </c>
      <c r="U270" s="301">
        <f>INDEX('Inputs (2)'!$D$45:$AL$45,MATCH(U$7,'Inputs (2)'!$D$2:$AL$2,0))</f>
        <v>-11573</v>
      </c>
      <c r="V270" s="301">
        <f>INDEX('Inputs (2)'!$D$45:$AL$45,MATCH(V$7,'Inputs (2)'!$D$2:$AL$2,0))</f>
        <v>-11302</v>
      </c>
      <c r="W270" s="268">
        <f>V270</f>
        <v>-11302</v>
      </c>
      <c r="X270" s="301">
        <f>INDEX('Inputs (2)'!$D$45:$AL$45,MATCH(X$7,'Inputs (2)'!$D$2:$AL$2,0))</f>
        <v>-11367</v>
      </c>
      <c r="Y270" s="301">
        <f>INDEX('Inputs (2)'!$D$45:$AL$45,MATCH(Y$7,'Inputs (2)'!$D$2:$AL$2,0))</f>
        <v>-12178</v>
      </c>
      <c r="Z270" s="301">
        <f>INDEX('Inputs (2)'!$D$45:$AL$45,MATCH(Z$7,'Inputs (2)'!$D$2:$AL$2,0))</f>
        <v>-12525</v>
      </c>
      <c r="AA270" s="301">
        <f>INDEX('Inputs (2)'!$D$45:$AL$45,MATCH(AA$7,'Inputs (2)'!$D$2:$AL$2,0))</f>
        <v>-13605</v>
      </c>
      <c r="AB270" s="268">
        <f>AA270</f>
        <v>-13605</v>
      </c>
      <c r="AC270" s="301">
        <f>INDEX('Inputs (2)'!$D$45:$AL$45,MATCH(AC$7,'Inputs (2)'!$D$2:$AL$2,0))</f>
        <v>-13296</v>
      </c>
      <c r="AD270" s="301">
        <f>INDEX('Inputs (2)'!$D$45:$AL$45,MATCH(AD$7,'Inputs (2)'!$D$2:$AL$2,0))</f>
        <v>-12733</v>
      </c>
      <c r="AE270" s="301">
        <f>INDEX('Inputs (2)'!$D$45:$AL$45,MATCH(AE$7,'Inputs (2)'!$D$2:$AL$2,0))</f>
        <v>-13124</v>
      </c>
      <c r="AF270" s="301">
        <f>INDEX('Inputs (2)'!$D$45:$AL$45,MATCH(AF$7,'Inputs (2)'!$D$2:$AL$2,0))</f>
        <v>-12770</v>
      </c>
      <c r="AG270" s="268">
        <f>AF270</f>
        <v>-12770</v>
      </c>
      <c r="AH270" s="268">
        <f>INDEX('Inputs (2)'!$D$45:$AL$45,MATCH(AH$7,'Inputs (2)'!$D$2:$AL$2,0))</f>
        <v>-13605</v>
      </c>
      <c r="AI270" s="268">
        <f>INDEX('Inputs (2)'!$D$45:$AL$45,MATCH(AI$7,'Inputs (2)'!$D$2:$AL$2,0))</f>
        <v>-13203</v>
      </c>
      <c r="AJ270" s="268">
        <f>AI270</f>
        <v>-13203</v>
      </c>
      <c r="AK270" s="268">
        <f>AJ270</f>
        <v>-13203</v>
      </c>
      <c r="AL270" s="268">
        <f>AK270</f>
        <v>-13203</v>
      </c>
      <c r="AM270" s="268">
        <f>AL270</f>
        <v>-13203</v>
      </c>
      <c r="AN270" s="268">
        <f>AM270</f>
        <v>-13203</v>
      </c>
      <c r="AO270" s="268">
        <f>AN270</f>
        <v>-13203</v>
      </c>
      <c r="AP270" s="268">
        <f>AO270</f>
        <v>-13203</v>
      </c>
      <c r="AQ270" s="268">
        <f>AP270</f>
        <v>-13203</v>
      </c>
      <c r="AR270" s="268">
        <f>AQ270</f>
        <v>-13203</v>
      </c>
      <c r="AS270" s="268">
        <f>AR270</f>
        <v>-13203</v>
      </c>
      <c r="AT270" s="268">
        <f>AS270</f>
        <v>-13203</v>
      </c>
      <c r="AU270" s="268">
        <f>AT270</f>
        <v>-13203</v>
      </c>
      <c r="AV270" s="268">
        <f>AU270</f>
        <v>-13203</v>
      </c>
      <c r="AW270" s="268">
        <f>AV270</f>
        <v>-13203</v>
      </c>
      <c r="AX270" s="268">
        <f>AW270</f>
        <v>-13203</v>
      </c>
      <c r="AY270" s="268">
        <f>AX270</f>
        <v>-13203</v>
      </c>
      <c r="AZ270" s="268">
        <f>AY270</f>
        <v>-13203</v>
      </c>
      <c r="BA270" s="268">
        <f>AZ270</f>
        <v>-13203</v>
      </c>
      <c r="BB270" s="268">
        <f>BA270</f>
        <v>-13203</v>
      </c>
      <c r="BC270" s="268">
        <f>BB270</f>
        <v>-13203</v>
      </c>
      <c r="BD270" s="268">
        <f>BC270</f>
        <v>-13203</v>
      </c>
      <c r="BE270" s="268">
        <f>BD270</f>
        <v>-13203</v>
      </c>
      <c r="BF270" s="268">
        <f>BE270</f>
        <v>-13203</v>
      </c>
      <c r="BG270" s="268">
        <f>BF270</f>
        <v>-13203</v>
      </c>
      <c r="BH270" s="268">
        <f>BG270</f>
        <v>-13203</v>
      </c>
      <c r="BI270" s="268">
        <f>BH270</f>
        <v>-13203</v>
      </c>
      <c r="BJ270" s="268">
        <f>BI270</f>
        <v>-13203</v>
      </c>
      <c r="BK270" s="268">
        <f>BJ270</f>
        <v>-13203</v>
      </c>
      <c r="BL270" s="268">
        <f>BK270</f>
        <v>-13203</v>
      </c>
      <c r="BM270" s="268">
        <f>BL270</f>
        <v>-13203</v>
      </c>
      <c r="BN270" s="268">
        <f>BM270</f>
        <v>-13203</v>
      </c>
      <c r="BO270" s="268">
        <f>BN270</f>
        <v>-13203</v>
      </c>
      <c r="BP270" s="268">
        <f>BO270</f>
        <v>-13203</v>
      </c>
      <c r="BQ270" s="268">
        <f>BP270</f>
        <v>-13203</v>
      </c>
      <c r="BR270" s="268">
        <f>BQ270</f>
        <v>-13203</v>
      </c>
      <c r="BS270" s="268">
        <f>BR270</f>
        <v>-13203</v>
      </c>
      <c r="BT270" s="268">
        <f>BS270</f>
        <v>-13203</v>
      </c>
      <c r="BU270" s="268">
        <f>BT270</f>
        <v>-13203</v>
      </c>
      <c r="BV270" s="268">
        <f>BU270</f>
        <v>-13203</v>
      </c>
      <c r="BW270" s="268">
        <f>BV270</f>
        <v>-13203</v>
      </c>
      <c r="BX270" s="268">
        <f>BW270</f>
        <v>-13203</v>
      </c>
      <c r="BY270" s="268">
        <f>BX270</f>
        <v>-13203</v>
      </c>
      <c r="BZ270" s="268">
        <f>BY270</f>
        <v>-13203</v>
      </c>
      <c r="CA270" s="268">
        <f>BZ270</f>
        <v>-13203</v>
      </c>
      <c r="CB270" s="268">
        <f>CA270</f>
        <v>-13203</v>
      </c>
      <c r="CC270" s="268">
        <f>CB270</f>
        <v>-13203</v>
      </c>
      <c r="CD270" s="268">
        <f>CC270</f>
        <v>-13203</v>
      </c>
      <c r="CE270" s="268">
        <f>CD270</f>
        <v>-13203</v>
      </c>
      <c r="CF270" s="268">
        <f>CE270</f>
        <v>-13203</v>
      </c>
      <c r="CG270" s="268">
        <f>CF270</f>
        <v>-13203</v>
      </c>
      <c r="CH270" s="268">
        <f>CG270</f>
        <v>-13203</v>
      </c>
      <c r="CI270" s="268">
        <f>CH270</f>
        <v>-13203</v>
      </c>
      <c r="CJ270" s="268">
        <f>CI270</f>
        <v>-13203</v>
      </c>
      <c r="CK270" s="268">
        <f>CJ270</f>
        <v>-13203</v>
      </c>
      <c r="CL270" s="268">
        <f>CK270</f>
        <v>-13203</v>
      </c>
      <c r="CM270" s="268">
        <f>CL270</f>
        <v>-13203</v>
      </c>
      <c r="CN270" s="268">
        <f>CM270</f>
        <v>-13203</v>
      </c>
      <c r="CO270" s="268">
        <f>CN270</f>
        <v>-13203</v>
      </c>
      <c r="CP270" s="268">
        <f>CO270</f>
        <v>-13203</v>
      </c>
      <c r="CQ270" s="268">
        <f>CP270</f>
        <v>-13203</v>
      </c>
      <c r="CR270" s="268">
        <f>CQ270</f>
        <v>-13203</v>
      </c>
      <c r="CS270" s="268">
        <f>CR270</f>
        <v>-13203</v>
      </c>
      <c r="CT270" s="268">
        <f>CS270</f>
        <v>-13203</v>
      </c>
      <c r="CU270" s="268">
        <f>CT270</f>
        <v>-13203</v>
      </c>
      <c r="CV270" s="268">
        <f>CU270</f>
        <v>-13203</v>
      </c>
      <c r="CW270" s="268">
        <f>CV270</f>
        <v>-13203</v>
      </c>
      <c r="CX270" s="268">
        <f>CW270</f>
        <v>-13203</v>
      </c>
      <c r="CY270" s="268">
        <f>CX270</f>
        <v>-13203</v>
      </c>
    </row>
    <row r="271" ht="12.75" customHeight="1" s="255">
      <c r="C271" s="270" t="inlineStr">
        <is>
          <t>Other equity account</t>
        </is>
      </c>
      <c r="D271" s="301">
        <f>INDEX('Inputs (2)'!$D$46:$AL$46,MATCH(D$7,'Inputs (2)'!$D$2:$AL$2,0))</f>
        <v>0</v>
      </c>
      <c r="E271" s="301">
        <f>INDEX('Inputs (2)'!$D$46:$AL$46,MATCH(E$7,'Inputs (2)'!$D$2:$AL$2,0))</f>
        <v>0</v>
      </c>
      <c r="F271" s="301">
        <f>INDEX('Inputs (2)'!$D$46:$AL$46,MATCH(F$7,'Inputs (2)'!$D$2:$AL$2,0))</f>
        <v>0</v>
      </c>
      <c r="G271" s="301">
        <f>INDEX('Inputs (2)'!$D$46:$AL$46,MATCH(G$7,'Inputs (2)'!$D$2:$AL$2,0))</f>
        <v>0</v>
      </c>
      <c r="H271" s="268">
        <f>G271</f>
        <v>0</v>
      </c>
      <c r="I271" s="301">
        <f>INDEX('Inputs (2)'!$D$46:$AL$46,MATCH(I$7,'Inputs (2)'!$D$2:$AL$2,0))</f>
        <v>0</v>
      </c>
      <c r="J271" s="301">
        <f>INDEX('Inputs (2)'!$D$46:$AL$46,MATCH(J$7,'Inputs (2)'!$D$2:$AL$2,0))</f>
        <v>0</v>
      </c>
      <c r="K271" s="301">
        <f>INDEX('Inputs (2)'!$D$46:$AL$46,MATCH(K$7,'Inputs (2)'!$D$2:$AL$2,0))</f>
        <v>0</v>
      </c>
      <c r="L271" s="301">
        <f>INDEX('Inputs (2)'!$D$46:$AL$46,MATCH(L$7,'Inputs (2)'!$D$2:$AL$2,0))</f>
        <v>0</v>
      </c>
      <c r="M271" s="268">
        <f>L271</f>
        <v>0</v>
      </c>
      <c r="N271" s="301">
        <f>INDEX('Inputs (2)'!$D$46:$AL$46,MATCH(N$7,'Inputs (2)'!$D$2:$AL$2,0))</f>
        <v>0</v>
      </c>
      <c r="O271" s="301">
        <f>INDEX('Inputs (2)'!$D$46:$AL$46,MATCH(O$7,'Inputs (2)'!$D$2:$AL$2,0))</f>
        <v>0</v>
      </c>
      <c r="P271" s="301">
        <f>INDEX('Inputs (2)'!$D$46:$AL$46,MATCH(P$7,'Inputs (2)'!$D$2:$AL$2,0))</f>
        <v>0</v>
      </c>
      <c r="Q271" s="301">
        <f>INDEX('Inputs (2)'!$D$46:$AL$46,MATCH(Q$7,'Inputs (2)'!$D$2:$AL$2,0))</f>
        <v>0</v>
      </c>
      <c r="R271" s="268">
        <f>Q271</f>
        <v>0</v>
      </c>
      <c r="S271" s="301">
        <f>INDEX('Inputs (2)'!$D$46:$AL$46,MATCH(S$7,'Inputs (2)'!$D$2:$AL$2,0))</f>
        <v>0</v>
      </c>
      <c r="T271" s="301">
        <f>INDEX('Inputs (2)'!$D$46:$AL$46,MATCH(T$7,'Inputs (2)'!$D$2:$AL$2,0))</f>
        <v>0</v>
      </c>
      <c r="U271" s="301">
        <f>INDEX('Inputs (2)'!$D$46:$AL$46,MATCH(U$7,'Inputs (2)'!$D$2:$AL$2,0))</f>
        <v>0</v>
      </c>
      <c r="V271" s="301">
        <f>INDEX('Inputs (2)'!$D$46:$AL$46,MATCH(V$7,'Inputs (2)'!$D$2:$AL$2,0))</f>
        <v>0</v>
      </c>
      <c r="W271" s="268">
        <f>V271</f>
        <v>0</v>
      </c>
      <c r="X271" s="301">
        <f>INDEX('Inputs (2)'!$D$46:$AL$46,MATCH(X$7,'Inputs (2)'!$D$2:$AL$2,0))</f>
        <v>0</v>
      </c>
      <c r="Y271" s="301">
        <f>INDEX('Inputs (2)'!$D$46:$AL$46,MATCH(Y$7,'Inputs (2)'!$D$2:$AL$2,0))</f>
        <v>0</v>
      </c>
      <c r="Z271" s="301">
        <f>INDEX('Inputs (2)'!$D$46:$AL$46,MATCH(Z$7,'Inputs (2)'!$D$2:$AL$2,0))</f>
        <v>0</v>
      </c>
      <c r="AA271" s="301">
        <f>INDEX('Inputs (2)'!$D$46:$AL$46,MATCH(AA$7,'Inputs (2)'!$D$2:$AL$2,0))</f>
        <v>0</v>
      </c>
      <c r="AB271" s="268">
        <f>AA271</f>
        <v>0</v>
      </c>
      <c r="AC271" s="301">
        <f>INDEX('Inputs (2)'!$D$46:$AL$46,MATCH(AC$7,'Inputs (2)'!$D$2:$AL$2,0))</f>
        <v>0</v>
      </c>
      <c r="AD271" s="301">
        <f>INDEX('Inputs (2)'!$D$46:$AL$46,MATCH(AD$7,'Inputs (2)'!$D$2:$AL$2,0))</f>
        <v>0</v>
      </c>
      <c r="AE271" s="301">
        <f>INDEX('Inputs (2)'!$D$46:$AL$46,MATCH(AE$7,'Inputs (2)'!$D$2:$AL$2,0))</f>
        <v>0</v>
      </c>
      <c r="AF271" s="301">
        <f>INDEX('Inputs (2)'!$D$46:$AL$46,MATCH(AF$7,'Inputs (2)'!$D$2:$AL$2,0))</f>
        <v>0</v>
      </c>
      <c r="AG271" s="268">
        <f>AF271</f>
        <v>0</v>
      </c>
      <c r="AH271" s="268">
        <f>INDEX('Inputs (2)'!$D$46:$AL$46,MATCH(AH$7,'Inputs (2)'!$D$2:$AL$2,0))</f>
        <v>0</v>
      </c>
      <c r="AI271" s="268">
        <f>INDEX('Inputs (2)'!$D$46:$AL$46,MATCH(AI$7,'Inputs (2)'!$D$2:$AL$2,0))</f>
        <v>0</v>
      </c>
      <c r="AJ271" s="268">
        <f>AI271</f>
        <v>0</v>
      </c>
      <c r="AK271" s="268">
        <f>AJ271</f>
        <v>0</v>
      </c>
      <c r="AL271" s="268">
        <f>AK271</f>
        <v>0</v>
      </c>
      <c r="AM271" s="268">
        <f>AL271</f>
        <v>0</v>
      </c>
      <c r="AN271" s="268">
        <f>AM271</f>
        <v>0</v>
      </c>
      <c r="AO271" s="268">
        <f>AN271</f>
        <v>0</v>
      </c>
      <c r="AP271" s="268">
        <f>AO271</f>
        <v>0</v>
      </c>
      <c r="AQ271" s="268">
        <f>AP271</f>
        <v>0</v>
      </c>
      <c r="AR271" s="268">
        <f>AQ271</f>
        <v>0</v>
      </c>
      <c r="AS271" s="268">
        <f>AR271</f>
        <v>0</v>
      </c>
      <c r="AT271" s="268">
        <f>AS271</f>
        <v>0</v>
      </c>
      <c r="AU271" s="268">
        <f>AT271</f>
        <v>0</v>
      </c>
      <c r="AV271" s="268">
        <f>AU271</f>
        <v>0</v>
      </c>
      <c r="AW271" s="268">
        <f>AV271</f>
        <v>0</v>
      </c>
      <c r="AX271" s="268">
        <f>AW271</f>
        <v>0</v>
      </c>
      <c r="AY271" s="268">
        <f>AX271</f>
        <v>0</v>
      </c>
      <c r="AZ271" s="268">
        <f>AY271</f>
        <v>0</v>
      </c>
      <c r="BA271" s="268">
        <f>AZ271</f>
        <v>0</v>
      </c>
      <c r="BB271" s="268">
        <f>BA271</f>
        <v>0</v>
      </c>
      <c r="BC271" s="268">
        <f>BB271</f>
        <v>0</v>
      </c>
      <c r="BD271" s="268">
        <f>BC271</f>
        <v>0</v>
      </c>
      <c r="BE271" s="268">
        <f>BD271</f>
        <v>0</v>
      </c>
      <c r="BF271" s="268">
        <f>BE271</f>
        <v>0</v>
      </c>
      <c r="BG271" s="268">
        <f>BF271</f>
        <v>0</v>
      </c>
      <c r="BH271" s="268">
        <f>BG271</f>
        <v>0</v>
      </c>
      <c r="BI271" s="268">
        <f>BH271</f>
        <v>0</v>
      </c>
      <c r="BJ271" s="268">
        <f>BI271</f>
        <v>0</v>
      </c>
      <c r="BK271" s="268">
        <f>BJ271</f>
        <v>0</v>
      </c>
      <c r="BL271" s="268">
        <f>BK271</f>
        <v>0</v>
      </c>
      <c r="BM271" s="268">
        <f>BL271</f>
        <v>0</v>
      </c>
      <c r="BN271" s="268">
        <f>BM271</f>
        <v>0</v>
      </c>
      <c r="BO271" s="268">
        <f>BN271</f>
        <v>0</v>
      </c>
      <c r="BP271" s="268">
        <f>BO271</f>
        <v>0</v>
      </c>
      <c r="BQ271" s="268">
        <f>BP271</f>
        <v>0</v>
      </c>
      <c r="BR271" s="268">
        <f>BQ271</f>
        <v>0</v>
      </c>
      <c r="BS271" s="268">
        <f>BR271</f>
        <v>0</v>
      </c>
      <c r="BT271" s="268">
        <f>BS271</f>
        <v>0</v>
      </c>
      <c r="BU271" s="268">
        <f>BT271</f>
        <v>0</v>
      </c>
      <c r="BV271" s="268">
        <f>BU271</f>
        <v>0</v>
      </c>
      <c r="BW271" s="268">
        <f>BV271</f>
        <v>0</v>
      </c>
      <c r="BX271" s="268">
        <f>BW271</f>
        <v>0</v>
      </c>
      <c r="BY271" s="268">
        <f>BX271</f>
        <v>0</v>
      </c>
      <c r="BZ271" s="268">
        <f>BY271</f>
        <v>0</v>
      </c>
      <c r="CA271" s="268">
        <f>BZ271</f>
        <v>0</v>
      </c>
      <c r="CB271" s="268">
        <f>CA271</f>
        <v>0</v>
      </c>
      <c r="CC271" s="268">
        <f>CB271</f>
        <v>0</v>
      </c>
      <c r="CD271" s="268">
        <f>CC271</f>
        <v>0</v>
      </c>
      <c r="CE271" s="268">
        <f>CD271</f>
        <v>0</v>
      </c>
      <c r="CF271" s="268">
        <f>CE271</f>
        <v>0</v>
      </c>
      <c r="CG271" s="268">
        <f>CF271</f>
        <v>0</v>
      </c>
      <c r="CH271" s="268">
        <f>CG271</f>
        <v>0</v>
      </c>
      <c r="CI271" s="268">
        <f>CH271</f>
        <v>0</v>
      </c>
      <c r="CJ271" s="268">
        <f>CI271</f>
        <v>0</v>
      </c>
      <c r="CK271" s="268">
        <f>CJ271</f>
        <v>0</v>
      </c>
      <c r="CL271" s="268">
        <f>CK271</f>
        <v>0</v>
      </c>
      <c r="CM271" s="268">
        <f>CL271</f>
        <v>0</v>
      </c>
      <c r="CN271" s="268">
        <f>CM271</f>
        <v>0</v>
      </c>
      <c r="CO271" s="268">
        <f>CN271</f>
        <v>0</v>
      </c>
      <c r="CP271" s="268">
        <f>CO271</f>
        <v>0</v>
      </c>
      <c r="CQ271" s="268">
        <f>CP271</f>
        <v>0</v>
      </c>
      <c r="CR271" s="268">
        <f>CQ271</f>
        <v>0</v>
      </c>
      <c r="CS271" s="268">
        <f>CR271</f>
        <v>0</v>
      </c>
      <c r="CT271" s="268">
        <f>CS271</f>
        <v>0</v>
      </c>
      <c r="CU271" s="268">
        <f>CT271</f>
        <v>0</v>
      </c>
      <c r="CV271" s="268">
        <f>CU271</f>
        <v>0</v>
      </c>
      <c r="CW271" s="268">
        <f>CV271</f>
        <v>0</v>
      </c>
      <c r="CX271" s="268">
        <f>CW271</f>
        <v>0</v>
      </c>
      <c r="CY271" s="268">
        <f>CX271</f>
        <v>0</v>
      </c>
    </row>
    <row r="272" ht="12.75" customHeight="1" s="255">
      <c r="C272" s="271" t="inlineStr">
        <is>
          <t>Retained earnings</t>
        </is>
      </c>
      <c r="D272" s="301">
        <f>INDEX('Inputs (2)'!$D$47:$AL$47,MATCH(D$7,'Inputs (2)'!$D$2:$AL$2,0))</f>
        <v>81141</v>
      </c>
      <c r="E272" s="301">
        <f>INDEX('Inputs (2)'!$D$47:$AL$47,MATCH(E$7,'Inputs (2)'!$D$2:$AL$2,0))</f>
        <v>87614</v>
      </c>
      <c r="F272" s="301">
        <f>INDEX('Inputs (2)'!$D$47:$AL$47,MATCH(F$7,'Inputs (2)'!$D$2:$AL$2,0))</f>
        <v>92279</v>
      </c>
      <c r="G272" s="301">
        <f>INDEX('Inputs (2)'!$D$47:$AL$47,MATCH(G$7,'Inputs (2)'!$D$2:$AL$2,0))</f>
        <v>88763</v>
      </c>
      <c r="H272" s="268">
        <f>G272</f>
        <v>88763</v>
      </c>
      <c r="I272" s="301">
        <f>INDEX('Inputs (2)'!$D$47:$AL$47,MATCH(I$7,'Inputs (2)'!$D$2:$AL$2,0))</f>
        <v>82577</v>
      </c>
      <c r="J272" s="301">
        <f>INDEX('Inputs (2)'!$D$47:$AL$47,MATCH(J$7,'Inputs (2)'!$D$2:$AL$2,0))</f>
        <v>84572</v>
      </c>
      <c r="K272" s="301">
        <f>INDEX('Inputs (2)'!$D$47:$AL$47,MATCH(K$7,'Inputs (2)'!$D$2:$AL$2,0))</f>
        <v>85674</v>
      </c>
      <c r="L272" s="301">
        <f>INDEX('Inputs (2)'!$D$47:$AL$47,MATCH(L$7,'Inputs (2)'!$D$2:$AL$2,0))</f>
        <v>86904</v>
      </c>
      <c r="M272" s="268">
        <f>L272</f>
        <v>86904</v>
      </c>
      <c r="N272" s="301">
        <f>INDEX('Inputs (2)'!$D$47:$AL$47,MATCH(N$7,'Inputs (2)'!$D$2:$AL$2,0))</f>
        <v>80532</v>
      </c>
      <c r="O272" s="301">
        <f>INDEX('Inputs (2)'!$D$47:$AL$47,MATCH(O$7,'Inputs (2)'!$D$2:$AL$2,0))</f>
        <v>82519</v>
      </c>
      <c r="P272" s="301">
        <f>INDEX('Inputs (2)'!$D$47:$AL$47,MATCH(P$7,'Inputs (2)'!$D$2:$AL$2,0))</f>
        <v>77946</v>
      </c>
      <c r="Q272" s="301">
        <f>INDEX('Inputs (2)'!$D$47:$AL$47,MATCH(Q$7,'Inputs (2)'!$D$2:$AL$2,0))</f>
        <v>83135</v>
      </c>
      <c r="R272" s="268">
        <f>Q272</f>
        <v>83135</v>
      </c>
      <c r="S272" s="301">
        <f>INDEX('Inputs (2)'!$D$47:$AL$47,MATCH(S$7,'Inputs (2)'!$D$2:$AL$2,0))</f>
        <v>78035</v>
      </c>
      <c r="T272" s="301">
        <f>INDEX('Inputs (2)'!$D$47:$AL$47,MATCH(T$7,'Inputs (2)'!$D$2:$AL$2,0))</f>
        <v>85470</v>
      </c>
      <c r="U272" s="301">
        <f>INDEX('Inputs (2)'!$D$47:$AL$47,MATCH(U$7,'Inputs (2)'!$D$2:$AL$2,0))</f>
        <v>85831</v>
      </c>
      <c r="V272" s="301">
        <f>INDEX('Inputs (2)'!$D$47:$AL$47,MATCH(V$7,'Inputs (2)'!$D$2:$AL$2,0))</f>
        <v>89814</v>
      </c>
      <c r="W272" s="268">
        <f>V272</f>
        <v>89814</v>
      </c>
      <c r="X272" s="301">
        <f>INDEX('Inputs (2)'!$D$47:$AL$47,MATCH(X$7,'Inputs (2)'!$D$2:$AL$2,0))</f>
        <v>87230</v>
      </c>
      <c r="Y272" s="301">
        <f>INDEX('Inputs (2)'!$D$47:$AL$47,MATCH(Y$7,'Inputs (2)'!$D$2:$AL$2,0))</f>
        <v>90788</v>
      </c>
      <c r="Z272" s="301">
        <f>INDEX('Inputs (2)'!$D$47:$AL$47,MATCH(Z$7,'Inputs (2)'!$D$2:$AL$2,0))</f>
        <v>94435</v>
      </c>
      <c r="AA272" s="301">
        <f>INDEX('Inputs (2)'!$D$47:$AL$47,MATCH(AA$7,'Inputs (2)'!$D$2:$AL$2,0))</f>
        <v>98313</v>
      </c>
      <c r="AB272" s="268">
        <f>AA272</f>
        <v>98313</v>
      </c>
      <c r="AC272" s="301">
        <f>INDEX('Inputs (2)'!$D$47:$AL$47,MATCH(AC$7,'Inputs (2)'!$D$2:$AL$2,0))</f>
        <v>90849</v>
      </c>
      <c r="AD272" s="301">
        <f>INDEX('Inputs (2)'!$D$47:$AL$47,MATCH(AD$7,'Inputs (2)'!$D$2:$AL$2,0))</f>
        <v>96328</v>
      </c>
      <c r="AE272" s="301">
        <f>INDEX('Inputs (2)'!$D$47:$AL$47,MATCH(AE$7,'Inputs (2)'!$D$2:$AL$2,0))</f>
        <v>101558</v>
      </c>
      <c r="AF272" s="301">
        <f>INDEX('Inputs (2)'!$D$47:$AL$47,MATCH(AF$7,'Inputs (2)'!$D$2:$AL$2,0))</f>
        <v>104774</v>
      </c>
      <c r="AG272" s="268">
        <f>AF272</f>
        <v>104774</v>
      </c>
      <c r="AH272" s="268">
        <f>INDEX('Inputs (2)'!$D$47:$AL$47,MATCH(AH$7,'Inputs (2)'!$D$2:$AL$2,0))</f>
        <v>100241</v>
      </c>
      <c r="AI272" s="268">
        <f>INDEX('Inputs (2)'!$D$47:$AL$47,MATCH(AI$7,'Inputs (2)'!$D$2:$AL$2,0))</f>
        <v>103601</v>
      </c>
      <c r="AJ272" s="268">
        <f>AI272+AJ139+AJ140</f>
        <v>103885</v>
      </c>
      <c r="AK272" s="268">
        <f>AJ272+AK139+AK140</f>
        <v>102496</v>
      </c>
      <c r="AL272" s="268">
        <f>AK272</f>
        <v>102496</v>
      </c>
      <c r="AM272" s="268">
        <f>AL272+AM139+AM140</f>
        <v>101102</v>
      </c>
      <c r="AN272" s="268">
        <f>AM272+AN139+AN140</f>
        <v>98929</v>
      </c>
      <c r="AO272" s="268">
        <f>AN272+AO139+AO140</f>
        <v>97750</v>
      </c>
      <c r="AP272" s="268">
        <f>AO272+AP139+AP140</f>
        <v>95585</v>
      </c>
      <c r="AQ272" s="268">
        <f>AP272</f>
        <v>95585</v>
      </c>
      <c r="AR272" s="268">
        <f>AQ272+AR139+AR140</f>
        <v>93415</v>
      </c>
      <c r="AS272" s="268">
        <f>AR272+AS139+AS140</f>
        <v>86764</v>
      </c>
      <c r="AT272" s="268">
        <f>AS272+AT139+AT140</f>
        <v>84809</v>
      </c>
      <c r="AU272" s="268">
        <f>AT272+AU139+AU140</f>
        <v>78166</v>
      </c>
      <c r="AV272" s="268">
        <f>AU272</f>
        <v>78166</v>
      </c>
      <c r="AW272" s="268">
        <f>AV272+AW139+AW140</f>
        <v>71518</v>
      </c>
      <c r="AX272" s="268">
        <f>AW272+AX139+AX140</f>
        <v>54359</v>
      </c>
      <c r="AY272" s="268">
        <f>AX272+AY139+AY140</f>
        <v>47926</v>
      </c>
      <c r="AZ272" s="268">
        <f>AY272+AZ139+AZ140</f>
        <v>30775</v>
      </c>
      <c r="BA272" s="268">
        <f>AZ272</f>
        <v>30775</v>
      </c>
      <c r="BB272" s="268">
        <f>BA272+BB139+BB140</f>
        <v>13619</v>
      </c>
      <c r="BC272" s="268">
        <f>BB272+BC139+BC140</f>
        <v>-33512</v>
      </c>
      <c r="BD272" s="268">
        <f>BC272+BD139+BD140</f>
        <v>-50453</v>
      </c>
      <c r="BE272" s="268">
        <f>BD272+BE139+BE140</f>
        <v>-97576</v>
      </c>
      <c r="BF272" s="268">
        <f>BE272</f>
        <v>-97576</v>
      </c>
      <c r="BG272" s="268">
        <f>BF272+BG139+BG140</f>
        <v>-144704</v>
      </c>
      <c r="BH272" s="268">
        <f>BG272+BH139+BH140</f>
        <v>-272795</v>
      </c>
      <c r="BI272" s="268">
        <f>BH272+BI139+BI140</f>
        <v>-319708</v>
      </c>
      <c r="BJ272" s="268">
        <f>BI272+BJ139+BJ140</f>
        <v>-447791</v>
      </c>
      <c r="BK272" s="268">
        <f>BJ272</f>
        <v>-447791</v>
      </c>
      <c r="BL272" s="268">
        <f>BK272+BL139+BL140</f>
        <v>-575879</v>
      </c>
      <c r="BM272" s="268">
        <f>BL272+BM139+BM140</f>
        <v>-925834</v>
      </c>
      <c r="BN272" s="268">
        <f>BM272+BN139+BN140</f>
        <v>-1053707</v>
      </c>
      <c r="BO272" s="268">
        <f>BN272+BO139+BO140</f>
        <v>-1403654</v>
      </c>
      <c r="BP272" s="268">
        <f>BO272</f>
        <v>-1403654</v>
      </c>
      <c r="BQ272" s="268">
        <f>BP272+BQ139+BQ140</f>
        <v>-1753606</v>
      </c>
      <c r="BR272" s="268">
        <f>BQ272+BR139+BR140</f>
        <v>-2709209</v>
      </c>
      <c r="BS272" s="268">
        <f>BR272+BS139+BS140</f>
        <v>-3058946</v>
      </c>
      <c r="BT272" s="268">
        <f>BS272+BT139+BT140</f>
        <v>-4014541</v>
      </c>
      <c r="BU272" s="268">
        <f>BT272</f>
        <v>-4014541</v>
      </c>
      <c r="BV272" s="268">
        <f>BU272+BV139+BV140</f>
        <v>-4970141</v>
      </c>
      <c r="BW272" s="268">
        <f>BV272+BW139+BW140</f>
        <v>-7580768</v>
      </c>
      <c r="BX272" s="268">
        <f>BW272+BX139+BX140</f>
        <v>-8536153</v>
      </c>
      <c r="BY272" s="268">
        <f>BX272+BY139+BY140</f>
        <v>-11146772</v>
      </c>
      <c r="BZ272" s="268">
        <f>BY272</f>
        <v>-11146772</v>
      </c>
      <c r="CA272" s="268">
        <f>BZ272+CA139+CA140</f>
        <v>-13757396</v>
      </c>
      <c r="CB272" s="268">
        <f>CA272+CB139+CB140</f>
        <v>-20889367</v>
      </c>
      <c r="CC272" s="268">
        <f>CB272+CC139+CC140</f>
        <v>-23499776</v>
      </c>
      <c r="CD272" s="268">
        <f>CC272+CD139+CD140</f>
        <v>-30631739</v>
      </c>
      <c r="CE272" s="268">
        <f>CD272</f>
        <v>-30631739</v>
      </c>
      <c r="CF272" s="268">
        <f>CE272+CF139+CF140</f>
        <v>-37763707</v>
      </c>
      <c r="CG272" s="268">
        <f>CF272+CG139+CG140</f>
        <v>-57248414</v>
      </c>
      <c r="CH272" s="268">
        <f>CG272+CH139+CH140</f>
        <v>-64380167</v>
      </c>
      <c r="CI272" s="268">
        <f>CH272+CI139+CI140</f>
        <v>-83864866</v>
      </c>
      <c r="CJ272" s="268">
        <f>CI272</f>
        <v>-83864866</v>
      </c>
      <c r="CK272" s="268">
        <f>CJ272+CK139+CK140</f>
        <v>-103349570</v>
      </c>
      <c r="CL272" s="268">
        <f>CK272+CL139+CL140</f>
        <v>-156582437</v>
      </c>
      <c r="CM272" s="268">
        <f>CL272+CM139+CM140</f>
        <v>-176066926</v>
      </c>
      <c r="CN272" s="268">
        <f>CM272+CN139+CN140</f>
        <v>-229299785</v>
      </c>
      <c r="CO272" s="268">
        <f>CN272</f>
        <v>-229299785</v>
      </c>
      <c r="CP272" s="268">
        <f>CO272+CP139+CP140</f>
        <v>-282532649</v>
      </c>
      <c r="CQ272" s="268">
        <f>CP272+CQ139+CQ140</f>
        <v>-427967308</v>
      </c>
      <c r="CR272" s="268">
        <f>CQ272+CR139+CR140</f>
        <v>-481199957</v>
      </c>
      <c r="CS272" s="268">
        <f>CR272+CS139+CS140</f>
        <v>-626634608</v>
      </c>
      <c r="CT272" s="268">
        <f>CS272</f>
        <v>-626634608</v>
      </c>
      <c r="CU272" s="268">
        <f>CT272+CU139+CU140</f>
        <v>-772069264</v>
      </c>
      <c r="CV272" s="268">
        <f>CU272+CV139+CV140</f>
        <v>-1169403827</v>
      </c>
      <c r="CW272" s="268">
        <f>CV272+CW139+CW140</f>
        <v>-1314838268</v>
      </c>
      <c r="CX272" s="268">
        <f>CW272+CX139+CX140</f>
        <v>-1712172823</v>
      </c>
      <c r="CY272" s="268">
        <f>CX272</f>
        <v>-1712172823</v>
      </c>
    </row>
    <row r="273" ht="12.75" customFormat="1" customHeight="1" s="287">
      <c r="A273" s="288" t="inlineStr">
        <is>
          <t xml:space="preserve"> </t>
        </is>
      </c>
      <c r="B273" s="288" t="n"/>
      <c r="C273" s="321" t="inlineStr">
        <is>
          <t>Total Shareholders' Equity</t>
        </is>
      </c>
      <c r="D273" s="276">
        <f>SUM(D250+D255+D256+D269+D270+D271+D272)</f>
        <v>74110</v>
      </c>
      <c r="E273" s="276">
        <f>SUM(E250+E255+E256+E269+E270+E271+E272)</f>
        <v>81197</v>
      </c>
      <c r="F273" s="276">
        <f>SUM(F250+F255+F256+F269+F270+F271+F272)</f>
        <v>87504</v>
      </c>
      <c r="G273" s="276">
        <f>SUM(G250+G255+G256+G269+G270+G271+G272)</f>
        <v>87531</v>
      </c>
      <c r="H273" s="276">
        <f>SUM(H250,H255,H256,H269,H270,H271,H272)</f>
        <v>87531</v>
      </c>
      <c r="I273" s="276">
        <f>SUM(I250+I255+I256+I269+I270+I271+I272)</f>
        <v>84592</v>
      </c>
      <c r="J273" s="276">
        <f>SUM(J250+J255+J256+J269+J270+J271+J272)</f>
        <v>87127</v>
      </c>
      <c r="K273" s="276">
        <f>SUM(K250+K255+K256+K269+K270+K271+K272)</f>
        <v>90757</v>
      </c>
      <c r="L273" s="276">
        <f>SUM(L250+L255+L256+L269+L270+L271+L272)</f>
        <v>91891</v>
      </c>
      <c r="M273" s="276">
        <f>SUM(M250,M255,M256,M269,M270,M271,M272)</f>
        <v>91891</v>
      </c>
      <c r="N273" s="276">
        <f>SUM(N250+N255+N256+N269+N270+N271+N272)</f>
        <v>85860</v>
      </c>
      <c r="O273" s="276">
        <f>SUM(O250+O255+O256+O269+O270+O271+O272)</f>
        <v>85847</v>
      </c>
      <c r="P273" s="276">
        <f>SUM(P250+P255+P256+P269+P270+P271+P272)</f>
        <v>80383</v>
      </c>
      <c r="Q273" s="276">
        <f>SUM(Q250+Q255+Q256+Q269+Q270+Q271+Q272)</f>
        <v>83991</v>
      </c>
      <c r="R273" s="276">
        <f>SUM(R250,R255,R256,R269,R270,R271,R272)</f>
        <v>83991</v>
      </c>
      <c r="S273" s="276">
        <f>SUM(S250+S255+S256+S269+S270+S271+S272)</f>
        <v>79465</v>
      </c>
      <c r="T273" s="276">
        <f>SUM(T250+T255+T256+T269+T270+T271+T272)</f>
        <v>85559</v>
      </c>
      <c r="U273" s="276">
        <f>SUM(U250+U255+U256+U269+U270+U271+U272)</f>
        <v>85811</v>
      </c>
      <c r="V273" s="276">
        <f>SUM(V250+V255+V256+V269+V270+V271+V272)</f>
        <v>90571</v>
      </c>
      <c r="W273" s="276">
        <f>SUM(W250,W255,W256,W269,W270,W271,W272)</f>
        <v>90571</v>
      </c>
      <c r="X273" s="276">
        <f>SUM(X250+X255+X256+X269+X270+X271+X272)</f>
        <v>88290</v>
      </c>
      <c r="Y273" s="276">
        <f>SUM(Y250+Y255+Y256+Y269+Y270+Y271+Y272)</f>
        <v>90772</v>
      </c>
      <c r="Z273" s="276">
        <f>SUM(Z250+Z255+Z256+Z269+Z270+Z271+Z272)</f>
        <v>94465</v>
      </c>
      <c r="AA273" s="276">
        <f>SUM(AA250+AA255+AA256+AA269+AA270+AA271+AA272)</f>
        <v>97692</v>
      </c>
      <c r="AB273" s="276">
        <f>SUM(AB250,AB255,AB256,AB269,AB270,AB271,AB272)</f>
        <v>97692</v>
      </c>
      <c r="AC273" s="276">
        <f>SUM(AC250+AC255+AC256+AC269+AC270+AC271+AC272)</f>
        <v>90648</v>
      </c>
      <c r="AD273" s="276">
        <f>SUM(AD250+AD255+AD256+AD269+AD270+AD271+AD272)</f>
        <v>96857</v>
      </c>
      <c r="AE273" s="276">
        <f>SUM(AE250+AE255+AE256+AE269+AE270+AE271+AE272)</f>
        <v>102512</v>
      </c>
      <c r="AF273" s="276">
        <f>SUM(AF250+AF255+AF256+AF269+AF270+AF271+AF272)</f>
        <v>106180</v>
      </c>
      <c r="AG273" s="276">
        <f>SUM(AG250,AG255,AG256,AG269,AG270,AG271,AG272)</f>
        <v>106180</v>
      </c>
      <c r="AH273" s="276">
        <f>SUM(AH250+AH255+AH256+AH269+AH270+AH271+AH272)</f>
        <v>100975</v>
      </c>
      <c r="AI273" s="276">
        <f>SUM(AI250+AI255+AI256+AI269+AI270+AI271+AI272)</f>
        <v>104799</v>
      </c>
      <c r="AJ273" s="276">
        <f>SUM(AJ250+AJ255+AJ256+AJ269+AJ270+AJ271+AJ272)</f>
        <v>105028</v>
      </c>
      <c r="AK273" s="276">
        <f>SUM(AK250+AK255+AK256+AK269+AK270+AK271+AK272)</f>
        <v>103794</v>
      </c>
      <c r="AL273" s="276">
        <f>SUM(AL250,AL255,AL256,AL269,AL270,AL271,AL272)</f>
        <v>103794</v>
      </c>
      <c r="AM273" s="276">
        <f>SUM(AM250+AM255+AM256+AM269+AM270+AM271+AM272)</f>
        <v>102560</v>
      </c>
      <c r="AN273" s="276">
        <f>SUM(AN250+AN255+AN256+AN269+AN270+AN271+AN272)</f>
        <v>100550</v>
      </c>
      <c r="AO273" s="276">
        <f>SUM(AO250+AO255+AO256+AO269+AO270+AO271+AO272)</f>
        <v>99316</v>
      </c>
      <c r="AP273" s="276">
        <f>SUM(AP250+AP255+AP256+AP269+AP270+AP271+AP272)</f>
        <v>97306</v>
      </c>
      <c r="AQ273" s="276">
        <f>SUM(AQ250,AQ255,AQ256,AQ269,AQ270,AQ271,AQ272)</f>
        <v>97306</v>
      </c>
      <c r="AR273" s="276">
        <f>SUM(AR250+AR255+AR256+AR269+AR270+AR271+AR272)</f>
        <v>95296</v>
      </c>
      <c r="AS273" s="276">
        <f>SUM(AS250+AS255+AS256+AS269+AS270+AS271+AS272)</f>
        <v>88808</v>
      </c>
      <c r="AT273" s="276">
        <f>SUM(AT250+AT255+AT256+AT269+AT270+AT271+AT272)</f>
        <v>86798</v>
      </c>
      <c r="AU273" s="276">
        <f>SUM(AU250+AU255+AU256+AU269+AU270+AU271+AU272)</f>
        <v>80310</v>
      </c>
      <c r="AV273" s="276">
        <f>SUM(AV250,AV255,AV256,AV269,AV270,AV271,AV272)</f>
        <v>80310</v>
      </c>
      <c r="AW273" s="276">
        <f>SUM(AW250+AW255+AW256+AW269+AW270+AW271+AW272)</f>
        <v>73822</v>
      </c>
      <c r="AX273" s="276">
        <f>SUM(AX250+AX255+AX256+AX269+AX270+AX271+AX272)</f>
        <v>56826</v>
      </c>
      <c r="AY273" s="276">
        <f>SUM(AY250+AY255+AY256+AY269+AY270+AY271+AY272)</f>
        <v>50338</v>
      </c>
      <c r="AZ273" s="276">
        <f>SUM(AZ250+AZ255+AZ256+AZ269+AZ270+AZ271+AZ272)</f>
        <v>33342</v>
      </c>
      <c r="BA273" s="276">
        <f>SUM(BA250,BA255,BA256,BA269,BA270,BA271,BA272)</f>
        <v>33342</v>
      </c>
      <c r="BB273" s="276">
        <f>SUM(BB250+BB255+BB256+BB269+BB270+BB271+BB272)</f>
        <v>16346</v>
      </c>
      <c r="BC273" s="276">
        <f>SUM(BC250+BC255+BC256+BC269+BC270+BC271+BC272)</f>
        <v>-30622</v>
      </c>
      <c r="BD273" s="276">
        <f>SUM(BD250+BD255+BD256+BD269+BD270+BD271+BD272)</f>
        <v>-47618</v>
      </c>
      <c r="BE273" s="276">
        <f>SUM(BE250+BE255+BE256+BE269+BE270+BE271+BE272)</f>
        <v>-94586</v>
      </c>
      <c r="BF273" s="276">
        <f>SUM(BF250,BF255,BF256,BF269,BF270,BF271,BF272)</f>
        <v>-94586</v>
      </c>
      <c r="BG273" s="276">
        <f>SUM(BG250+BG255+BG256+BG269+BG270+BG271+BG272)</f>
        <v>-141554</v>
      </c>
      <c r="BH273" s="276">
        <f>SUM(BH250+BH255+BH256+BH269+BH270+BH271+BH272)</f>
        <v>-269482</v>
      </c>
      <c r="BI273" s="276">
        <f>SUM(BI250+BI255+BI256+BI269+BI270+BI271+BI272)</f>
        <v>-316450</v>
      </c>
      <c r="BJ273" s="276">
        <f>SUM(BJ250+BJ255+BJ256+BJ269+BJ270+BJ271+BJ272)</f>
        <v>-444378</v>
      </c>
      <c r="BK273" s="276">
        <f>SUM(BK250,BK255,BK256,BK269,BK270,BK271,BK272)</f>
        <v>-444378</v>
      </c>
      <c r="BL273" s="276">
        <f>SUM(BL250+BL255+BL256+BL269+BL270+BL271+BL272)</f>
        <v>-572306</v>
      </c>
      <c r="BM273" s="276">
        <f>SUM(BM250+BM255+BM256+BM269+BM270+BM271+BM272)</f>
        <v>-922098</v>
      </c>
      <c r="BN273" s="276">
        <f>SUM(BN250+BN255+BN256+BN269+BN270+BN271+BN272)</f>
        <v>-1050026</v>
      </c>
      <c r="BO273" s="276">
        <f>SUM(BO250+BO255+BO256+BO269+BO270+BO271+BO272)</f>
        <v>-1399818</v>
      </c>
      <c r="BP273" s="276">
        <f>SUM(BP250,BP255,BP256,BP269,BP270,BP271,BP272)</f>
        <v>-1399818</v>
      </c>
      <c r="BQ273" s="276">
        <f>SUM(BQ250+BQ255+BQ256+BQ269+BQ270+BQ271+BQ272)</f>
        <v>-1749610</v>
      </c>
      <c r="BR273" s="276">
        <f>SUM(BR250+BR255+BR256+BR269+BR270+BR271+BR272)</f>
        <v>-2705050</v>
      </c>
      <c r="BS273" s="276">
        <f>SUM(BS250+BS255+BS256+BS269+BS270+BS271+BS272)</f>
        <v>-3054842</v>
      </c>
      <c r="BT273" s="276">
        <f>SUM(BT250+BT255+BT256+BT269+BT270+BT271+BT272)</f>
        <v>-4010282</v>
      </c>
      <c r="BU273" s="276">
        <f>SUM(BU250,BU255,BU256,BU269,BU270,BU271,BU272)</f>
        <v>-4010282</v>
      </c>
      <c r="BV273" s="276">
        <f>SUM(BV250+BV255+BV256+BV269+BV270+BV271+BV272)</f>
        <v>-4965722</v>
      </c>
      <c r="BW273" s="276">
        <f>SUM(BW250+BW255+BW256+BW269+BW270+BW271+BW272)</f>
        <v>-7576186</v>
      </c>
      <c r="BX273" s="276">
        <f>SUM(BX250+BX255+BX256+BX269+BX270+BX271+BX272)</f>
        <v>-8531626</v>
      </c>
      <c r="BY273" s="276">
        <f>SUM(BY250+BY255+BY256+BY269+BY270+BY271+BY272)</f>
        <v>-11142090</v>
      </c>
      <c r="BZ273" s="276">
        <f>SUM(BZ250,BZ255,BZ256,BZ269,BZ270,BZ271,BZ272)</f>
        <v>-11142090</v>
      </c>
      <c r="CA273" s="276">
        <f>SUM(CA250+CA255+CA256+CA269+CA270+CA271+CA272)</f>
        <v>-13752554</v>
      </c>
      <c r="CB273" s="276">
        <f>SUM(CB250+CB255+CB256+CB269+CB270+CB271+CB272)</f>
        <v>-20884362</v>
      </c>
      <c r="CC273" s="276">
        <f>SUM(CC250+CC255+CC256+CC269+CC270+CC271+CC272)</f>
        <v>-23494826</v>
      </c>
      <c r="CD273" s="276">
        <f>SUM(CD250+CD255+CD256+CD269+CD270+CD271+CD272)</f>
        <v>-30626634</v>
      </c>
      <c r="CE273" s="276">
        <f>SUM(CE250,CE255,CE256,CE269,CE270,CE271,CE272)</f>
        <v>-30626634</v>
      </c>
      <c r="CF273" s="276">
        <f>SUM(CF250+CF255+CF256+CF269+CF270+CF271+CF272)</f>
        <v>-37758442</v>
      </c>
      <c r="CG273" s="276">
        <f>SUM(CG250+CG255+CG256+CG269+CG270+CG271+CG272)</f>
        <v>-57242986</v>
      </c>
      <c r="CH273" s="276">
        <f>SUM(CH250+CH255+CH256+CH269+CH270+CH271+CH272)</f>
        <v>-64374794</v>
      </c>
      <c r="CI273" s="276">
        <f>SUM(CI250+CI255+CI256+CI269+CI270+CI271+CI272)</f>
        <v>-83859338</v>
      </c>
      <c r="CJ273" s="276">
        <f>SUM(CJ250,CJ255,CJ256,CJ269,CJ270,CJ271,CJ272)</f>
        <v>-83859338</v>
      </c>
      <c r="CK273" s="276">
        <f>SUM(CK250+CK255+CK256+CK269+CK270+CK271+CK272)</f>
        <v>-103343882</v>
      </c>
      <c r="CL273" s="276">
        <f>SUM(CL250+CL255+CL256+CL269+CL270+CL271+CL272)</f>
        <v>-156576586</v>
      </c>
      <c r="CM273" s="276">
        <f>SUM(CM250+CM255+CM256+CM269+CM270+CM271+CM272)</f>
        <v>-176061130</v>
      </c>
      <c r="CN273" s="276">
        <f>SUM(CN250+CN255+CN256+CN269+CN270+CN271+CN272)</f>
        <v>-229293834</v>
      </c>
      <c r="CO273" s="276">
        <f>SUM(CO250,CO255,CO256,CO269,CO270,CO271,CO272)</f>
        <v>-229293834</v>
      </c>
      <c r="CP273" s="276">
        <f>SUM(CP250+CP255+CP256+CP269+CP270+CP271+CP272)</f>
        <v>-282526538</v>
      </c>
      <c r="CQ273" s="276">
        <f>SUM(CQ250+CQ255+CQ256+CQ269+CQ270+CQ271+CQ272)</f>
        <v>-427961034</v>
      </c>
      <c r="CR273" s="276">
        <f>SUM(CR250+CR255+CR256+CR269+CR270+CR271+CR272)</f>
        <v>-481193738</v>
      </c>
      <c r="CS273" s="276">
        <f>SUM(CS250+CS255+CS256+CS269+CS270+CS271+CS272)</f>
        <v>-626628234</v>
      </c>
      <c r="CT273" s="276">
        <f>SUM(CT250,CT255,CT256,CT269,CT270,CT271,CT272)</f>
        <v>-626628234</v>
      </c>
      <c r="CU273" s="276">
        <f>SUM(CU250+CU255+CU256+CU269+CU270+CU271+CU272)</f>
        <v>-772062730</v>
      </c>
      <c r="CV273" s="276">
        <f>SUM(CV250+CV255+CV256+CV269+CV270+CV271+CV272)</f>
        <v>-1169397130</v>
      </c>
      <c r="CW273" s="276">
        <f>SUM(CW250+CW255+CW256+CW269+CW270+CW271+CW272)</f>
        <v>-1314831626</v>
      </c>
      <c r="CX273" s="276">
        <f>SUM(CX250+CX255+CX256+CX269+CX270+CX271+CX272)</f>
        <v>-1712166026</v>
      </c>
      <c r="CY273" s="276">
        <f>SUM(CY250,CY255,CY256,CY269,CY270,CY271,CY272)</f>
        <v>-1712166026</v>
      </c>
    </row>
    <row r="274" ht="12.75" customHeight="1" s="255">
      <c r="C274" s="266" t="n"/>
      <c r="D274" s="268" t="n"/>
      <c r="E274" s="268" t="n"/>
      <c r="F274" s="268" t="n"/>
      <c r="G274" s="268" t="n"/>
      <c r="H274" s="268" t="n"/>
      <c r="I274" s="268" t="n"/>
      <c r="J274" s="268" t="n"/>
      <c r="K274" s="268" t="n"/>
      <c r="L274" s="268" t="n"/>
      <c r="M274" s="268" t="n"/>
      <c r="N274" s="268" t="n"/>
      <c r="O274" s="268" t="n"/>
      <c r="P274" s="268" t="n"/>
      <c r="Q274" s="268" t="n"/>
      <c r="R274" s="268" t="n"/>
      <c r="S274" s="268" t="n"/>
      <c r="T274" s="268" t="n"/>
      <c r="U274" s="268" t="n"/>
      <c r="V274" s="268" t="n"/>
      <c r="W274" s="268" t="n"/>
      <c r="X274" s="268" t="n"/>
      <c r="Y274" s="268" t="n"/>
      <c r="Z274" s="268" t="n"/>
      <c r="AA274" s="268" t="n"/>
      <c r="AB274" s="268" t="n"/>
      <c r="AC274" s="268" t="n"/>
      <c r="AD274" s="268" t="n"/>
      <c r="AE274" s="268" t="n"/>
      <c r="AF274" s="268" t="n"/>
      <c r="AG274" s="268" t="n"/>
      <c r="AH274" s="268" t="n"/>
      <c r="AI274" s="268" t="n"/>
      <c r="AJ274" s="268" t="n"/>
      <c r="AK274" s="268" t="n"/>
      <c r="AL274" s="268" t="n"/>
      <c r="AM274" s="268" t="n"/>
      <c r="AN274" s="268" t="n"/>
      <c r="AO274" s="268" t="n"/>
      <c r="AP274" s="268" t="n"/>
      <c r="AQ274" s="268" t="n"/>
      <c r="AR274" s="268" t="n"/>
      <c r="AS274" s="268" t="n"/>
      <c r="AT274" s="268" t="n"/>
      <c r="AU274" s="268" t="n"/>
      <c r="AV274" s="268" t="n"/>
      <c r="AW274" s="268" t="n"/>
      <c r="AX274" s="268" t="n"/>
      <c r="AY274" s="268" t="n"/>
      <c r="AZ274" s="268" t="n"/>
      <c r="BA274" s="268" t="n"/>
      <c r="BB274" s="268" t="n"/>
      <c r="BC274" s="268" t="n"/>
      <c r="BD274" s="268" t="n"/>
      <c r="BE274" s="268" t="n"/>
      <c r="BF274" s="268" t="n"/>
      <c r="BG274" s="268" t="n"/>
      <c r="BH274" s="268" t="n"/>
      <c r="BI274" s="268" t="n"/>
      <c r="BJ274" s="268" t="n"/>
      <c r="BK274" s="268" t="n"/>
      <c r="BL274" s="268" t="n"/>
      <c r="BM274" s="268" t="n"/>
      <c r="BN274" s="268" t="n"/>
      <c r="BO274" s="268" t="n"/>
      <c r="BP274" s="268" t="n"/>
      <c r="BQ274" s="268" t="n"/>
      <c r="BR274" s="268" t="n"/>
      <c r="BS274" s="268" t="n"/>
      <c r="BT274" s="268" t="n"/>
      <c r="BU274" s="268" t="n"/>
      <c r="BV274" s="268" t="n"/>
      <c r="BW274" s="268" t="n"/>
      <c r="BX274" s="268" t="n"/>
      <c r="BY274" s="268" t="n"/>
      <c r="BZ274" s="268" t="n"/>
      <c r="CA274" s="268" t="n"/>
      <c r="CB274" s="268" t="n"/>
      <c r="CC274" s="268" t="n"/>
      <c r="CD274" s="268" t="n"/>
      <c r="CE274" s="268" t="n"/>
      <c r="CF274" s="268" t="n"/>
      <c r="CG274" s="268" t="n"/>
      <c r="CH274" s="268" t="n"/>
      <c r="CI274" s="268" t="n"/>
      <c r="CJ274" s="268" t="n"/>
      <c r="CK274" s="268" t="n"/>
      <c r="CL274" s="268" t="n"/>
      <c r="CM274" s="268" t="n"/>
      <c r="CN274" s="268" t="n"/>
      <c r="CO274" s="268" t="n"/>
      <c r="CP274" s="268" t="n"/>
      <c r="CQ274" s="268" t="n"/>
      <c r="CR274" s="268" t="n"/>
      <c r="CS274" s="268" t="n"/>
      <c r="CT274" s="268" t="n"/>
      <c r="CU274" s="268" t="n"/>
      <c r="CV274" s="268" t="n"/>
      <c r="CW274" s="268" t="n"/>
      <c r="CX274" s="268" t="n"/>
      <c r="CY274" s="268" t="n"/>
    </row>
    <row r="275" ht="12.75" customFormat="1" customHeight="1" s="287">
      <c r="A275" s="288" t="n"/>
      <c r="B275" s="259" t="n"/>
      <c r="C275" s="275" t="inlineStr">
        <is>
          <t>Total Liabilities + Shareholders' Equity</t>
        </is>
      </c>
      <c r="D275" s="276">
        <f>D273+D249</f>
        <v>232892</v>
      </c>
      <c r="E275" s="276">
        <f>E273+E249</f>
        <v>237382</v>
      </c>
      <c r="F275" s="276">
        <f>F273+F249</f>
        <v>250863</v>
      </c>
      <c r="G275" s="276">
        <f>G273+G249</f>
        <v>252496</v>
      </c>
      <c r="H275" s="276">
        <f>H273+H249</f>
        <v>252496</v>
      </c>
      <c r="I275" s="276">
        <f>I273+I249</f>
        <v>236581</v>
      </c>
      <c r="J275" s="276">
        <f>J273+J249</f>
        <v>238552</v>
      </c>
      <c r="K275" s="276">
        <f>K273+K249</f>
        <v>244851</v>
      </c>
      <c r="L275" s="276">
        <f>L273+L249</f>
        <v>244860</v>
      </c>
      <c r="M275" s="276">
        <f>M273+M249</f>
        <v>244860</v>
      </c>
      <c r="N275" s="276">
        <f>N273+N249</f>
        <v>246142</v>
      </c>
      <c r="O275" s="276">
        <f>O273+O249</f>
        <v>247199</v>
      </c>
      <c r="P275" s="276">
        <f>P273+P249</f>
        <v>247656</v>
      </c>
      <c r="Q275" s="276">
        <f>Q273+Q249</f>
        <v>243197</v>
      </c>
      <c r="R275" s="276">
        <f>R273+R249</f>
        <v>243197</v>
      </c>
      <c r="S275" s="276">
        <f>S273+S249</f>
        <v>245053</v>
      </c>
      <c r="T275" s="276">
        <f>T273+T249</f>
        <v>255121</v>
      </c>
      <c r="U275" s="276">
        <f>U273+U249</f>
        <v>259174</v>
      </c>
      <c r="V275" s="276">
        <f>V273+V249</f>
        <v>252399</v>
      </c>
      <c r="W275" s="276">
        <f>W273+W249</f>
        <v>252399</v>
      </c>
      <c r="X275" s="276">
        <f>X273+X249</f>
        <v>254054</v>
      </c>
      <c r="Y275" s="276">
        <f>Y273+Y249</f>
        <v>254440</v>
      </c>
      <c r="Z275" s="276">
        <f>Z273+Z249</f>
        <v>263399</v>
      </c>
      <c r="AA275" s="276">
        <f>AA273+AA249</f>
        <v>260823</v>
      </c>
      <c r="AB275" s="276">
        <f>AB273+AB249</f>
        <v>260823</v>
      </c>
      <c r="AC275" s="276">
        <f>AC273+AC249</f>
        <v>262372</v>
      </c>
      <c r="AD275" s="276">
        <f>AD273+AD249</f>
        <v>270837</v>
      </c>
      <c r="AE275" s="276">
        <f>AE273+AE249</f>
        <v>288655</v>
      </c>
      <c r="AF275" s="276">
        <f>AF273+AF249</f>
        <v>284668</v>
      </c>
      <c r="AG275" s="276">
        <f>AG273+AG249</f>
        <v>284668</v>
      </c>
      <c r="AH275" s="276">
        <f>AH273+AH249</f>
        <v>289607</v>
      </c>
      <c r="AI275" s="276">
        <f>AI273+AI249</f>
        <v>293914</v>
      </c>
      <c r="AJ275" s="276">
        <f>AJ273+AJ249</f>
        <v>199005</v>
      </c>
      <c r="AK275" s="276">
        <f>AK273+AK249</f>
        <v>197771</v>
      </c>
      <c r="AL275" s="276">
        <f>AL273+AL249</f>
        <v>197771</v>
      </c>
      <c r="AM275" s="276" t="e">
        <f>AM273+AM249</f>
        <v>#DIV/0!</v>
      </c>
      <c r="AN275" s="276">
        <f>AN273+AN249</f>
        <v>194527</v>
      </c>
      <c r="AO275" s="276" t="e">
        <f>AO273+AO249</f>
        <v>#DIV/0!</v>
      </c>
      <c r="AP275" s="276" t="e">
        <f>AP273+AP249</f>
        <v>#DIV/0!</v>
      </c>
      <c r="AQ275" s="276" t="e">
        <f>AQ273+AQ249</f>
        <v>#DIV/0!</v>
      </c>
      <c r="AR275" s="276" t="e">
        <f>AR273+AR249</f>
        <v>#DIV/0!</v>
      </c>
      <c r="AS275" s="276" t="e">
        <f>AS273+AS249</f>
        <v>#DIV/0!</v>
      </c>
      <c r="AT275" s="276" t="e">
        <f>AT273+AT249</f>
        <v>#DIV/0!</v>
      </c>
      <c r="AU275" s="276" t="e">
        <f>AU273+AU249</f>
        <v>#DIV/0!</v>
      </c>
      <c r="AV275" s="276" t="e">
        <f>AV273+AV249</f>
        <v>#DIV/0!</v>
      </c>
      <c r="AW275" s="276" t="e">
        <f>AW273+AW249</f>
        <v>#DIV/0!</v>
      </c>
      <c r="AX275" s="276" t="e">
        <f>AX273+AX249</f>
        <v>#DIV/0!</v>
      </c>
      <c r="AY275" s="276" t="e">
        <f>AY273+AY249</f>
        <v>#DIV/0!</v>
      </c>
      <c r="AZ275" s="276" t="e">
        <f>AZ273+AZ249</f>
        <v>#DIV/0!</v>
      </c>
      <c r="BA275" s="276" t="e">
        <f>BA273+BA249</f>
        <v>#DIV/0!</v>
      </c>
      <c r="BB275" s="276" t="e">
        <f>BB273+BB249</f>
        <v>#DIV/0!</v>
      </c>
      <c r="BC275" s="276" t="e">
        <f>BC273+BC249</f>
        <v>#DIV/0!</v>
      </c>
      <c r="BD275" s="276" t="e">
        <f>BD273+BD249</f>
        <v>#DIV/0!</v>
      </c>
      <c r="BE275" s="276" t="e">
        <f>BE273+BE249</f>
        <v>#DIV/0!</v>
      </c>
      <c r="BF275" s="276" t="e">
        <f>BF273+BF249</f>
        <v>#DIV/0!</v>
      </c>
      <c r="BG275" s="276" t="e">
        <f>BG273+BG249</f>
        <v>#DIV/0!</v>
      </c>
      <c r="BH275" s="276" t="e">
        <f>BH273+BH249</f>
        <v>#DIV/0!</v>
      </c>
      <c r="BI275" s="276" t="e">
        <f>BI273+BI249</f>
        <v>#DIV/0!</v>
      </c>
      <c r="BJ275" s="276" t="e">
        <f>BJ273+BJ249</f>
        <v>#DIV/0!</v>
      </c>
      <c r="BK275" s="276" t="e">
        <f>BK273+BK249</f>
        <v>#DIV/0!</v>
      </c>
      <c r="BL275" s="276" t="e">
        <f>BL273+BL249</f>
        <v>#DIV/0!</v>
      </c>
      <c r="BM275" s="276" t="e">
        <f>BM273+BM249</f>
        <v>#DIV/0!</v>
      </c>
      <c r="BN275" s="276" t="e">
        <f>BN273+BN249</f>
        <v>#DIV/0!</v>
      </c>
      <c r="BO275" s="276" t="e">
        <f>BO273+BO249</f>
        <v>#DIV/0!</v>
      </c>
      <c r="BP275" s="276" t="e">
        <f>BP273+BP249</f>
        <v>#DIV/0!</v>
      </c>
      <c r="BQ275" s="276" t="e">
        <f>BQ273+BQ249</f>
        <v>#DIV/0!</v>
      </c>
      <c r="BR275" s="276" t="e">
        <f>BR273+BR249</f>
        <v>#DIV/0!</v>
      </c>
      <c r="BS275" s="276" t="e">
        <f>BS273+BS249</f>
        <v>#DIV/0!</v>
      </c>
      <c r="BT275" s="276" t="e">
        <f>BT273+BT249</f>
        <v>#DIV/0!</v>
      </c>
      <c r="BU275" s="276" t="e">
        <f>BU273+BU249</f>
        <v>#DIV/0!</v>
      </c>
      <c r="BV275" s="276" t="e">
        <f>BV273+BV249</f>
        <v>#DIV/0!</v>
      </c>
      <c r="BW275" s="276" t="e">
        <f>BW273+BW249</f>
        <v>#DIV/0!</v>
      </c>
      <c r="BX275" s="276" t="e">
        <f>BX273+BX249</f>
        <v>#DIV/0!</v>
      </c>
      <c r="BY275" s="276" t="e">
        <f>BY273+BY249</f>
        <v>#DIV/0!</v>
      </c>
      <c r="BZ275" s="276" t="e">
        <f>BZ273+BZ249</f>
        <v>#DIV/0!</v>
      </c>
      <c r="CA275" s="276" t="e">
        <f>CA273+CA249</f>
        <v>#DIV/0!</v>
      </c>
      <c r="CB275" s="276" t="e">
        <f>CB273+CB249</f>
        <v>#DIV/0!</v>
      </c>
      <c r="CC275" s="276" t="e">
        <f>CC273+CC249</f>
        <v>#DIV/0!</v>
      </c>
      <c r="CD275" s="276" t="e">
        <f>CD273+CD249</f>
        <v>#DIV/0!</v>
      </c>
      <c r="CE275" s="276" t="e">
        <f>CE273+CE249</f>
        <v>#DIV/0!</v>
      </c>
      <c r="CF275" s="276" t="e">
        <f>CF273+CF249</f>
        <v>#DIV/0!</v>
      </c>
      <c r="CG275" s="276" t="e">
        <f>CG273+CG249</f>
        <v>#DIV/0!</v>
      </c>
      <c r="CH275" s="276" t="e">
        <f>CH273+CH249</f>
        <v>#DIV/0!</v>
      </c>
      <c r="CI275" s="276" t="e">
        <f>CI273+CI249</f>
        <v>#DIV/0!</v>
      </c>
      <c r="CJ275" s="276" t="e">
        <f>CJ273+CJ249</f>
        <v>#DIV/0!</v>
      </c>
      <c r="CK275" s="276" t="e">
        <f>CK273+CK249</f>
        <v>#DIV/0!</v>
      </c>
      <c r="CL275" s="276" t="e">
        <f>CL273+CL249</f>
        <v>#DIV/0!</v>
      </c>
      <c r="CM275" s="276" t="e">
        <f>CM273+CM249</f>
        <v>#DIV/0!</v>
      </c>
      <c r="CN275" s="276" t="e">
        <f>CN273+CN249</f>
        <v>#DIV/0!</v>
      </c>
      <c r="CO275" s="276" t="e">
        <f>CO273+CO249</f>
        <v>#DIV/0!</v>
      </c>
      <c r="CP275" s="276" t="e">
        <f>CP273+CP249</f>
        <v>#DIV/0!</v>
      </c>
      <c r="CQ275" s="276" t="e">
        <f>CQ273+CQ249</f>
        <v>#DIV/0!</v>
      </c>
      <c r="CR275" s="276" t="e">
        <f>CR273+CR249</f>
        <v>#DIV/0!</v>
      </c>
      <c r="CS275" s="276" t="e">
        <f>CS273+CS249</f>
        <v>#DIV/0!</v>
      </c>
      <c r="CT275" s="276" t="e">
        <f>CT273+CT249</f>
        <v>#DIV/0!</v>
      </c>
      <c r="CU275" s="276" t="e">
        <f>CU273+CU249</f>
        <v>#DIV/0!</v>
      </c>
      <c r="CV275" s="276" t="e">
        <f>CV273+CV249</f>
        <v>#DIV/0!</v>
      </c>
      <c r="CW275" s="276" t="e">
        <f>CW273+CW249</f>
        <v>#DIV/0!</v>
      </c>
      <c r="CX275" s="276" t="e">
        <f>CX273+CX249</f>
        <v>#DIV/0!</v>
      </c>
      <c r="CY275" s="276" t="e">
        <f>CY273+CY249</f>
        <v>#DIV/0!</v>
      </c>
    </row>
    <row r="276" ht="12.75" customHeight="1" s="255">
      <c r="C276" s="274" t="n"/>
      <c r="D276" s="259" t="n"/>
      <c r="E276" s="259" t="n"/>
      <c r="F276" s="259" t="n"/>
      <c r="G276" s="259" t="n"/>
      <c r="H276" s="259" t="n"/>
      <c r="I276" s="259" t="n"/>
      <c r="J276" s="259" t="n"/>
      <c r="K276" s="259" t="n"/>
      <c r="L276" s="259" t="n"/>
      <c r="M276" s="259" t="n"/>
      <c r="N276" s="259" t="n"/>
      <c r="O276" s="259" t="n"/>
      <c r="P276" s="259" t="n"/>
      <c r="Q276" s="259" t="n"/>
      <c r="R276" s="259" t="n"/>
      <c r="S276" s="259" t="n"/>
      <c r="T276" s="259" t="n"/>
      <c r="U276" s="259" t="n"/>
      <c r="V276" s="259" t="n"/>
      <c r="W276" s="259" t="n"/>
      <c r="X276" s="259" t="n"/>
      <c r="Y276" s="259" t="n"/>
      <c r="Z276" s="259" t="n"/>
      <c r="AA276" s="259" t="n"/>
      <c r="AB276" s="259" t="n"/>
      <c r="AC276" s="259" t="n"/>
      <c r="AD276" s="259" t="n"/>
      <c r="AE276" s="259" t="n"/>
      <c r="AF276" s="259" t="n"/>
      <c r="AG276" s="259" t="n"/>
      <c r="AH276" s="259" t="n"/>
      <c r="AI276" s="259" t="n"/>
      <c r="AJ276" s="259" t="n"/>
      <c r="AK276" s="259" t="n"/>
      <c r="AL276" s="259" t="n"/>
      <c r="AM276" s="259" t="n"/>
      <c r="AN276" s="259" t="n"/>
      <c r="AO276" s="259" t="n"/>
      <c r="AP276" s="259" t="n"/>
      <c r="AQ276" s="259" t="n"/>
      <c r="AR276" s="259" t="n"/>
      <c r="AS276" s="259" t="n"/>
      <c r="AT276" s="259" t="n"/>
      <c r="AU276" s="259" t="n"/>
      <c r="AV276" s="259" t="n"/>
      <c r="AW276" s="259" t="n"/>
      <c r="AX276" s="259" t="n"/>
      <c r="AY276" s="259" t="n"/>
      <c r="AZ276" s="259" t="n"/>
      <c r="BA276" s="259" t="n"/>
      <c r="BB276" s="259" t="n"/>
      <c r="BC276" s="259" t="n"/>
      <c r="BD276" s="259" t="n"/>
      <c r="BE276" s="259" t="n"/>
      <c r="BF276" s="259" t="n"/>
      <c r="BG276" s="259" t="n"/>
      <c r="BH276" s="259" t="n"/>
      <c r="BI276" s="259" t="n"/>
      <c r="BJ276" s="259" t="n"/>
      <c r="BK276" s="259" t="n"/>
      <c r="BL276" s="259" t="n"/>
      <c r="BM276" s="259" t="n"/>
      <c r="BN276" s="259" t="n"/>
      <c r="BO276" s="259" t="n"/>
      <c r="BP276" s="259" t="n"/>
      <c r="BQ276" s="259" t="n"/>
      <c r="BR276" s="259" t="n"/>
      <c r="BS276" s="259" t="n"/>
      <c r="BT276" s="259" t="n"/>
      <c r="BU276" s="259" t="n"/>
      <c r="BV276" s="259" t="n"/>
      <c r="BW276" s="259" t="n"/>
      <c r="BX276" s="259" t="n"/>
      <c r="BY276" s="259" t="n"/>
      <c r="BZ276" s="259" t="n"/>
      <c r="CA276" s="259" t="n"/>
      <c r="CB276" s="259" t="n"/>
      <c r="CC276" s="259" t="n"/>
      <c r="CD276" s="259" t="n"/>
      <c r="CE276" s="259" t="n"/>
      <c r="CF276" s="259" t="n"/>
      <c r="CG276" s="259" t="n"/>
      <c r="CH276" s="259" t="n"/>
      <c r="CI276" s="259" t="n"/>
      <c r="CJ276" s="259" t="n"/>
      <c r="CK276" s="259" t="n"/>
      <c r="CL276" s="259" t="n"/>
      <c r="CM276" s="259" t="n"/>
      <c r="CN276" s="259" t="n"/>
      <c r="CO276" s="259" t="n"/>
      <c r="CP276" s="259" t="n"/>
      <c r="CQ276" s="259" t="n"/>
      <c r="CR276" s="259" t="n"/>
      <c r="CS276" s="259" t="n"/>
      <c r="CT276" s="259" t="n"/>
      <c r="CU276" s="259" t="n"/>
      <c r="CV276" s="259" t="n"/>
      <c r="CW276" s="259" t="n"/>
      <c r="CX276" s="259" t="n"/>
      <c r="CY276" s="259" t="n"/>
    </row>
    <row r="277" ht="12.75" customFormat="1" customHeight="1" s="287">
      <c r="A277" s="288" t="n"/>
      <c r="B277" s="288" t="n"/>
      <c r="C277" s="289" t="inlineStr">
        <is>
          <t>Cash Flow Statement</t>
        </is>
      </c>
      <c r="D277" s="327" t="str">
        <f>D144</f>
        <v>1Q20</v>
      </c>
      <c r="E277" s="327" t="str">
        <f>E144</f>
        <v>2Q20</v>
      </c>
      <c r="F277" s="327" t="str">
        <f>F144</f>
        <v>3Q20</v>
      </c>
      <c r="G277" s="327" t="str">
        <f>G144</f>
        <v>4Q20</v>
      </c>
      <c r="H277" s="327">
        <f>H144</f>
        <v>2020</v>
      </c>
      <c r="I277" s="327" t="str">
        <f>I144</f>
        <v>1Q21</v>
      </c>
      <c r="J277" s="327" t="str">
        <f>J144</f>
        <v>2Q21</v>
      </c>
      <c r="K277" s="327" t="str">
        <f>K144</f>
        <v>3Q21</v>
      </c>
      <c r="L277" s="327" t="str">
        <f>L144</f>
        <v>4Q21</v>
      </c>
      <c r="M277" s="327">
        <f>M144</f>
        <v>2021</v>
      </c>
      <c r="N277" s="327" t="str">
        <f>N144</f>
        <v>1Q22</v>
      </c>
      <c r="O277" s="327" t="str">
        <f>O144</f>
        <v>2Q22</v>
      </c>
      <c r="P277" s="327" t="str">
        <f>P144</f>
        <v>3Q22</v>
      </c>
      <c r="Q277" s="327" t="str">
        <f>Q144</f>
        <v>4Q22</v>
      </c>
      <c r="R277" s="327">
        <f>R144</f>
        <v>2022</v>
      </c>
      <c r="S277" s="327" t="str">
        <f>S144</f>
        <v>1Q23</v>
      </c>
      <c r="T277" s="327" t="str">
        <f>T144</f>
        <v>2Q23</v>
      </c>
      <c r="U277" s="327" t="str">
        <f>U144</f>
        <v>3Q23</v>
      </c>
      <c r="V277" s="327" t="str">
        <f>V144</f>
        <v>4Q23</v>
      </c>
      <c r="W277" s="327">
        <f>W144</f>
        <v>2023</v>
      </c>
      <c r="X277" s="327" t="str">
        <f>X144</f>
        <v>1Q24</v>
      </c>
      <c r="Y277" s="327" t="str">
        <f>Y144</f>
        <v>2Q24</v>
      </c>
      <c r="Z277" s="327" t="str">
        <f>Z144</f>
        <v>3Q24</v>
      </c>
      <c r="AA277" s="327" t="str">
        <f>AA144</f>
        <v>4Q24</v>
      </c>
      <c r="AB277" s="327">
        <f>AB144</f>
        <v>2024</v>
      </c>
      <c r="AC277" s="327" t="str">
        <f>AC144</f>
        <v>1Q25</v>
      </c>
      <c r="AD277" s="327" t="str">
        <f>AD144</f>
        <v>2Q25</v>
      </c>
      <c r="AE277" s="327" t="str">
        <f>AE144</f>
        <v>3Q25</v>
      </c>
      <c r="AF277" s="327" t="str">
        <f>AF144</f>
        <v>4Q25</v>
      </c>
      <c r="AG277" s="327">
        <f>AG144</f>
        <v>2025</v>
      </c>
      <c r="AH277" s="327" t="str">
        <f>AH144</f>
        <v>1Q26</v>
      </c>
      <c r="AI277" s="327" t="str">
        <f>AI144</f>
        <v>2Q26</v>
      </c>
      <c r="AJ277" s="327" t="str">
        <f>AJ144</f>
        <v>3Q26</v>
      </c>
      <c r="AK277" s="327" t="str">
        <f>AK144</f>
        <v>4Q26</v>
      </c>
      <c r="AL277" s="327">
        <f>AL144</f>
        <v>2026</v>
      </c>
      <c r="AM277" s="327" t="str">
        <f>AM144</f>
        <v>1Q27</v>
      </c>
      <c r="AN277" s="327" t="str">
        <f>AN144</f>
        <v>2Q27</v>
      </c>
      <c r="AO277" s="327" t="str">
        <f>AO144</f>
        <v>3Q27</v>
      </c>
      <c r="AP277" s="327" t="str">
        <f>AP144</f>
        <v>4Q27</v>
      </c>
      <c r="AQ277" s="327">
        <f>AQ144</f>
        <v>2027</v>
      </c>
      <c r="AR277" s="327" t="str">
        <f>AR144</f>
        <v>1Q28</v>
      </c>
      <c r="AS277" s="327" t="str">
        <f>AS144</f>
        <v>2Q28</v>
      </c>
      <c r="AT277" s="327" t="str">
        <f>AT144</f>
        <v>3Q28</v>
      </c>
      <c r="AU277" s="327" t="str">
        <f>AU144</f>
        <v>4Q28</v>
      </c>
      <c r="AV277" s="327">
        <f>AV144</f>
        <v>2028</v>
      </c>
      <c r="AW277" s="327" t="str">
        <f>AW144</f>
        <v>1Q29</v>
      </c>
      <c r="AX277" s="327" t="str">
        <f>AX144</f>
        <v>2Q29</v>
      </c>
      <c r="AY277" s="327" t="str">
        <f>AY144</f>
        <v>3Q29</v>
      </c>
      <c r="AZ277" s="327" t="str">
        <f>AZ144</f>
        <v>4Q29</v>
      </c>
      <c r="BA277" s="327">
        <f>BA144</f>
        <v>2029</v>
      </c>
      <c r="BB277" s="327" t="str">
        <f>BB144</f>
        <v>1Q30</v>
      </c>
      <c r="BC277" s="327" t="str">
        <f>BC144</f>
        <v>2Q30</v>
      </c>
      <c r="BD277" s="327" t="str">
        <f>BD144</f>
        <v>3Q30</v>
      </c>
      <c r="BE277" s="327" t="str">
        <f>BE144</f>
        <v>4Q30</v>
      </c>
      <c r="BF277" s="327">
        <f>BF144</f>
        <v>2030</v>
      </c>
      <c r="BG277" s="327" t="str">
        <f>BG144</f>
        <v>1Q31</v>
      </c>
      <c r="BH277" s="327" t="str">
        <f>BH144</f>
        <v>2Q31</v>
      </c>
      <c r="BI277" s="327" t="str">
        <f>BI144</f>
        <v>3Q31</v>
      </c>
      <c r="BJ277" s="327" t="str">
        <f>BJ144</f>
        <v>4Q31</v>
      </c>
      <c r="BK277" s="327">
        <f>BK144</f>
        <v>2031</v>
      </c>
      <c r="BL277" s="327" t="str">
        <f>BL144</f>
        <v>1Q32</v>
      </c>
      <c r="BM277" s="327" t="str">
        <f>BM144</f>
        <v>2Q32</v>
      </c>
      <c r="BN277" s="327" t="str">
        <f>BN144</f>
        <v>3Q32</v>
      </c>
      <c r="BO277" s="327" t="str">
        <f>BO144</f>
        <v>4Q32</v>
      </c>
      <c r="BP277" s="327">
        <f>BP144</f>
        <v>2032</v>
      </c>
      <c r="BQ277" s="327" t="str">
        <f>BQ144</f>
        <v>1Q33</v>
      </c>
      <c r="BR277" s="327" t="str">
        <f>BR144</f>
        <v>2Q33</v>
      </c>
      <c r="BS277" s="327" t="str">
        <f>BS144</f>
        <v>3Q33</v>
      </c>
      <c r="BT277" s="327" t="str">
        <f>BT144</f>
        <v>4Q33</v>
      </c>
      <c r="BU277" s="327">
        <f>BU144</f>
        <v>2033</v>
      </c>
      <c r="BV277" s="327" t="str">
        <f>BV144</f>
        <v>1Q34</v>
      </c>
      <c r="BW277" s="327" t="str">
        <f>BW144</f>
        <v>2Q34</v>
      </c>
      <c r="BX277" s="327" t="str">
        <f>BX144</f>
        <v>3Q34</v>
      </c>
      <c r="BY277" s="327" t="str">
        <f>BY144</f>
        <v>4Q34</v>
      </c>
      <c r="BZ277" s="327">
        <f>BZ144</f>
        <v>2034</v>
      </c>
      <c r="CA277" s="327" t="str">
        <f>CA144</f>
        <v>1Q35</v>
      </c>
      <c r="CB277" s="327" t="str">
        <f>CB144</f>
        <v>2Q35</v>
      </c>
      <c r="CC277" s="327" t="str">
        <f>CC144</f>
        <v>3Q35</v>
      </c>
      <c r="CD277" s="327" t="str">
        <f>CD144</f>
        <v>4Q35</v>
      </c>
      <c r="CE277" s="327">
        <f>CE144</f>
        <v>2035</v>
      </c>
      <c r="CF277" s="327" t="str">
        <f>CF144</f>
        <v>1Q36</v>
      </c>
      <c r="CG277" s="327" t="str">
        <f>CG144</f>
        <v>2Q36</v>
      </c>
      <c r="CH277" s="327" t="str">
        <f>CH144</f>
        <v>3Q36</v>
      </c>
      <c r="CI277" s="327" t="str">
        <f>CI144</f>
        <v>4Q36</v>
      </c>
      <c r="CJ277" s="327">
        <f>CJ144</f>
        <v>2036</v>
      </c>
      <c r="CK277" s="327" t="str">
        <f>CK144</f>
        <v>1Q37</v>
      </c>
      <c r="CL277" s="327" t="str">
        <f>CL144</f>
        <v>2Q37</v>
      </c>
      <c r="CM277" s="327" t="str">
        <f>CM144</f>
        <v>3Q37</v>
      </c>
      <c r="CN277" s="327" t="str">
        <f>CN144</f>
        <v>4Q37</v>
      </c>
      <c r="CO277" s="327">
        <f>CO144</f>
        <v>2037</v>
      </c>
      <c r="CP277" s="327" t="str">
        <f>CP144</f>
        <v>1Q38</v>
      </c>
      <c r="CQ277" s="327" t="str">
        <f>CQ144</f>
        <v>2Q38</v>
      </c>
      <c r="CR277" s="327" t="str">
        <f>CR144</f>
        <v>3Q38</v>
      </c>
      <c r="CS277" s="327" t="str">
        <f>CS144</f>
        <v>4Q38</v>
      </c>
      <c r="CT277" s="327">
        <f>CT144</f>
        <v>2038</v>
      </c>
      <c r="CU277" s="327" t="str">
        <f>CU144</f>
        <v>1Q39</v>
      </c>
      <c r="CV277" s="327" t="str">
        <f>CV144</f>
        <v>2Q39</v>
      </c>
      <c r="CW277" s="327" t="str">
        <f>CW144</f>
        <v>3Q39</v>
      </c>
      <c r="CX277" s="327" t="str">
        <f>CX144</f>
        <v>4Q39</v>
      </c>
      <c r="CY277" s="327">
        <f>CY144</f>
        <v>2039</v>
      </c>
    </row>
    <row r="278" ht="12.75" customHeight="1" s="255">
      <c r="C278" s="274" t="n"/>
      <c r="D278" s="259" t="n"/>
      <c r="E278" s="259" t="n"/>
      <c r="F278" s="259" t="n"/>
      <c r="G278" s="259" t="n"/>
      <c r="H278" s="259" t="n"/>
      <c r="I278" s="259" t="n"/>
      <c r="J278" s="259" t="n"/>
      <c r="K278" s="259" t="n"/>
      <c r="L278" s="259" t="n"/>
      <c r="M278" s="259" t="n"/>
      <c r="N278" s="259" t="n"/>
      <c r="O278" s="259" t="n"/>
      <c r="P278" s="259" t="n"/>
      <c r="Q278" s="259" t="n"/>
      <c r="R278" s="259" t="n"/>
      <c r="S278" s="259" t="n"/>
      <c r="T278" s="259" t="n"/>
      <c r="U278" s="259" t="n"/>
      <c r="V278" s="259" t="n"/>
      <c r="W278" s="259" t="n"/>
      <c r="X278" s="259" t="n"/>
      <c r="Y278" s="259" t="n"/>
      <c r="Z278" s="259" t="n"/>
      <c r="AA278" s="259" t="n"/>
      <c r="AB278" s="259" t="n"/>
      <c r="AC278" s="259" t="n"/>
      <c r="AD278" s="259" t="n"/>
      <c r="AE278" s="259" t="n"/>
      <c r="AF278" s="259" t="n"/>
      <c r="AG278" s="259" t="n"/>
      <c r="AH278" s="259" t="n"/>
      <c r="AI278" s="259" t="n"/>
      <c r="AJ278" s="259" t="n"/>
      <c r="AK278" s="259" t="n"/>
      <c r="AL278" s="259" t="n"/>
      <c r="AM278" s="259" t="n"/>
      <c r="AN278" s="259" t="n"/>
      <c r="AO278" s="259" t="n"/>
      <c r="AP278" s="259" t="n"/>
      <c r="AQ278" s="259" t="n"/>
      <c r="AR278" s="259" t="n"/>
      <c r="AS278" s="259" t="n"/>
      <c r="AT278" s="259" t="n"/>
      <c r="AU278" s="259" t="n"/>
      <c r="AV278" s="259" t="n"/>
      <c r="AW278" s="259" t="n"/>
      <c r="AX278" s="259" t="n"/>
      <c r="AY278" s="259" t="n"/>
      <c r="AZ278" s="259" t="n"/>
      <c r="BA278" s="259" t="n"/>
      <c r="BB278" s="259" t="n"/>
      <c r="BC278" s="259" t="n"/>
      <c r="BD278" s="259" t="n"/>
      <c r="BE278" s="259" t="n"/>
      <c r="BF278" s="259" t="n"/>
      <c r="BG278" s="259" t="n"/>
      <c r="BH278" s="259" t="n"/>
      <c r="BI278" s="259" t="n"/>
      <c r="BJ278" s="259" t="n"/>
      <c r="BK278" s="259" t="n"/>
      <c r="BL278" s="259" t="n"/>
      <c r="BM278" s="259" t="n"/>
      <c r="BN278" s="259" t="n"/>
      <c r="BO278" s="259" t="n"/>
      <c r="BP278" s="259" t="n"/>
      <c r="BQ278" s="259" t="n"/>
      <c r="BR278" s="259" t="n"/>
      <c r="BS278" s="259" t="n"/>
      <c r="BT278" s="259" t="n"/>
      <c r="BU278" s="259" t="n"/>
      <c r="BV278" s="259" t="n"/>
      <c r="BW278" s="259" t="n"/>
      <c r="BX278" s="259" t="n"/>
      <c r="BY278" s="259" t="n"/>
      <c r="BZ278" s="259" t="n"/>
      <c r="CA278" s="259" t="n"/>
      <c r="CB278" s="259" t="n"/>
      <c r="CC278" s="259" t="n"/>
      <c r="CD278" s="259" t="n"/>
      <c r="CE278" s="259" t="n"/>
      <c r="CF278" s="259" t="n"/>
      <c r="CG278" s="259" t="n"/>
      <c r="CH278" s="259" t="n"/>
      <c r="CI278" s="259" t="n"/>
      <c r="CJ278" s="259" t="n"/>
      <c r="CK278" s="259" t="n"/>
      <c r="CL278" s="259" t="n"/>
      <c r="CM278" s="259" t="n"/>
      <c r="CN278" s="259" t="n"/>
      <c r="CO278" s="259" t="n"/>
      <c r="CP278" s="259" t="n"/>
      <c r="CQ278" s="259" t="n"/>
      <c r="CR278" s="259" t="n"/>
      <c r="CS278" s="259" t="n"/>
      <c r="CT278" s="259" t="n"/>
      <c r="CU278" s="259" t="n"/>
      <c r="CV278" s="259" t="n"/>
      <c r="CW278" s="259" t="n"/>
      <c r="CX278" s="259" t="n"/>
      <c r="CY278" s="259" t="n"/>
    </row>
    <row r="279" ht="12.75" customHeight="1" s="255">
      <c r="C279" s="266" t="inlineStr">
        <is>
          <t>Net Income</t>
        </is>
      </c>
      <c r="D279" s="268" t="n"/>
      <c r="E279" s="268">
        <f>E139</f>
        <v>6476</v>
      </c>
      <c r="F279" s="268">
        <f>F139</f>
        <v>5135</v>
      </c>
      <c r="G279" s="268">
        <f>G139</f>
        <v>-2091</v>
      </c>
      <c r="H279" s="268">
        <f>SUM(D279:G279)</f>
        <v>9520</v>
      </c>
      <c r="I279" s="268">
        <f>I139</f>
        <v>2730</v>
      </c>
      <c r="J279" s="268">
        <f>J139</f>
        <v>4276</v>
      </c>
      <c r="K279" s="268">
        <f>K139</f>
        <v>3105</v>
      </c>
      <c r="L279" s="268">
        <f>L139</f>
        <v>3562</v>
      </c>
      <c r="M279" s="268">
        <f>SUM(I279:L279)</f>
        <v>13673</v>
      </c>
      <c r="N279" s="268">
        <f>N139</f>
        <v>2054</v>
      </c>
      <c r="O279" s="268">
        <f>O139</f>
        <v>5149</v>
      </c>
      <c r="P279" s="268">
        <f>P139</f>
        <v>-1798</v>
      </c>
      <c r="Q279" s="268">
        <f>Q139</f>
        <v>6275</v>
      </c>
      <c r="R279" s="268">
        <f>SUM(N279:Q279)</f>
        <v>11680</v>
      </c>
      <c r="S279" s="268">
        <f>S139</f>
        <v>1673</v>
      </c>
      <c r="T279" s="268">
        <f>T139</f>
        <v>7891</v>
      </c>
      <c r="U279" s="268">
        <f>U139</f>
        <v>453</v>
      </c>
      <c r="V279" s="268">
        <f>V139</f>
        <v>5494</v>
      </c>
      <c r="W279" s="268">
        <f>SUM(S279:V279)</f>
        <v>15511</v>
      </c>
      <c r="X279" s="268">
        <f>X139</f>
        <v>5104</v>
      </c>
      <c r="Y279" s="268">
        <f>Y139</f>
        <v>4501</v>
      </c>
      <c r="Z279" s="268">
        <f>Z139</f>
        <v>4577</v>
      </c>
      <c r="AA279" s="268">
        <f>AA139</f>
        <v>5254</v>
      </c>
      <c r="AB279" s="268">
        <f>SUM(X279:AA279)</f>
        <v>19436</v>
      </c>
      <c r="AC279" s="268">
        <f>AC139</f>
        <v>4487</v>
      </c>
      <c r="AD279" s="268">
        <f>AD139</f>
        <v>7026</v>
      </c>
      <c r="AE279" s="268">
        <f>AE139</f>
        <v>6143</v>
      </c>
      <c r="AF279" s="268">
        <f>AF139</f>
        <v>4237</v>
      </c>
      <c r="AG279" s="268">
        <f>SUM(AC279:AF279)</f>
        <v>21893</v>
      </c>
      <c r="AH279" s="268">
        <f>AH139</f>
        <v>5330</v>
      </c>
      <c r="AI279" s="268">
        <f>AI139</f>
        <v>6366</v>
      </c>
      <c r="AJ279" s="268">
        <f>AJ139</f>
        <v>284</v>
      </c>
      <c r="AK279" s="268">
        <f>AK139</f>
        <v>-1389</v>
      </c>
      <c r="AL279" s="268">
        <f>SUM(AH279:AK279)</f>
        <v>10591</v>
      </c>
      <c r="AM279" s="268">
        <f>AM139</f>
        <v>-1394</v>
      </c>
      <c r="AN279" s="268">
        <f>AN139</f>
        <v>-2173</v>
      </c>
      <c r="AO279" s="268">
        <f>AO139</f>
        <v>-1179</v>
      </c>
      <c r="AP279" s="268">
        <f>AP139</f>
        <v>-2165</v>
      </c>
      <c r="AQ279" s="268">
        <f>SUM(AM279:AP279)</f>
        <v>-6911</v>
      </c>
      <c r="AR279" s="268">
        <f>AR139</f>
        <v>-2170</v>
      </c>
      <c r="AS279" s="268">
        <f>AS139</f>
        <v>-6651</v>
      </c>
      <c r="AT279" s="268">
        <f>AT139</f>
        <v>-1955</v>
      </c>
      <c r="AU279" s="268">
        <f>AU139</f>
        <v>-6643</v>
      </c>
      <c r="AV279" s="268">
        <f>SUM(AR279:AU279)</f>
        <v>-17419</v>
      </c>
      <c r="AW279" s="268">
        <f>AW139</f>
        <v>-6648</v>
      </c>
      <c r="AX279" s="268">
        <f>AX139</f>
        <v>-17159</v>
      </c>
      <c r="AY279" s="268">
        <f>AY139</f>
        <v>-6433</v>
      </c>
      <c r="AZ279" s="268">
        <f>AZ139</f>
        <v>-17151</v>
      </c>
      <c r="BA279" s="268">
        <f>SUM(AW279:AZ279)</f>
        <v>-47391</v>
      </c>
      <c r="BB279" s="268">
        <f>BB139</f>
        <v>-17156</v>
      </c>
      <c r="BC279" s="268">
        <f>BC139</f>
        <v>-47131</v>
      </c>
      <c r="BD279" s="268">
        <f>BD139</f>
        <v>-16941</v>
      </c>
      <c r="BE279" s="268">
        <f>BE139</f>
        <v>-47123</v>
      </c>
      <c r="BF279" s="268">
        <f>SUM(BB279:BE279)</f>
        <v>-128351</v>
      </c>
      <c r="BG279" s="268">
        <f>BG139</f>
        <v>-47128</v>
      </c>
      <c r="BH279" s="268">
        <f>BH139</f>
        <v>-128091</v>
      </c>
      <c r="BI279" s="268">
        <f>BI139</f>
        <v>-46913</v>
      </c>
      <c r="BJ279" s="268">
        <f>BJ139</f>
        <v>-128083</v>
      </c>
      <c r="BK279" s="268">
        <f>SUM(BG279:BJ279)</f>
        <v>-350215</v>
      </c>
      <c r="BL279" s="268">
        <f>BL139</f>
        <v>-128088</v>
      </c>
      <c r="BM279" s="268">
        <f>BM139</f>
        <v>-349955</v>
      </c>
      <c r="BN279" s="268">
        <f>BN139</f>
        <v>-127873</v>
      </c>
      <c r="BO279" s="268">
        <f>BO139</f>
        <v>-349947</v>
      </c>
      <c r="BP279" s="268">
        <f>SUM(BL279:BO279)</f>
        <v>-955863</v>
      </c>
      <c r="BQ279" s="268">
        <f>BQ139</f>
        <v>-349952</v>
      </c>
      <c r="BR279" s="268">
        <f>BR139</f>
        <v>-955603</v>
      </c>
      <c r="BS279" s="268">
        <f>BS139</f>
        <v>-349737</v>
      </c>
      <c r="BT279" s="268">
        <f>BT139</f>
        <v>-955595</v>
      </c>
      <c r="BU279" s="268">
        <f>SUM(BQ279:BT279)</f>
        <v>-2610887</v>
      </c>
      <c r="BV279" s="268">
        <f>BV139</f>
        <v>-955600</v>
      </c>
      <c r="BW279" s="268">
        <f>BW139</f>
        <v>-2610627</v>
      </c>
      <c r="BX279" s="268">
        <f>BX139</f>
        <v>-955385</v>
      </c>
      <c r="BY279" s="268">
        <f>BY139</f>
        <v>-2610619</v>
      </c>
      <c r="BZ279" s="268">
        <f>SUM(BV279:BY279)</f>
        <v>-7132231</v>
      </c>
      <c r="CA279" s="268">
        <f>CA139</f>
        <v>-2610624</v>
      </c>
      <c r="CB279" s="268">
        <f>CB139</f>
        <v>-7131971</v>
      </c>
      <c r="CC279" s="268">
        <f>CC139</f>
        <v>-2610409</v>
      </c>
      <c r="CD279" s="268">
        <f>CD139</f>
        <v>-7131963</v>
      </c>
      <c r="CE279" s="268">
        <f>SUM(CA279:CD279)</f>
        <v>-19484967</v>
      </c>
      <c r="CF279" s="268">
        <f>CF139</f>
        <v>-7131968</v>
      </c>
      <c r="CG279" s="268">
        <f>CG139</f>
        <v>-19484707</v>
      </c>
      <c r="CH279" s="268">
        <f>CH139</f>
        <v>-7131753</v>
      </c>
      <c r="CI279" s="268">
        <f>CI139</f>
        <v>-19484699</v>
      </c>
      <c r="CJ279" s="268">
        <f>SUM(CF279:CI279)</f>
        <v>-53233127</v>
      </c>
      <c r="CK279" s="268">
        <f>CK139</f>
        <v>-19484704</v>
      </c>
      <c r="CL279" s="268">
        <f>CL139</f>
        <v>-53232867</v>
      </c>
      <c r="CM279" s="268">
        <f>CM139</f>
        <v>-19484489</v>
      </c>
      <c r="CN279" s="268">
        <f>CN139</f>
        <v>-53232859</v>
      </c>
      <c r="CO279" s="268">
        <f>SUM(CK279:CN279)</f>
        <v>-145434919</v>
      </c>
      <c r="CP279" s="268">
        <f>CP139</f>
        <v>-53232864</v>
      </c>
      <c r="CQ279" s="268">
        <f>CQ139</f>
        <v>-145434659</v>
      </c>
      <c r="CR279" s="268">
        <f>CR139</f>
        <v>-53232649</v>
      </c>
      <c r="CS279" s="268">
        <f>CS139</f>
        <v>-145434651</v>
      </c>
      <c r="CT279" s="268">
        <f>SUM(CP279:CS279)</f>
        <v>-397334823</v>
      </c>
      <c r="CU279" s="268">
        <f>CU139</f>
        <v>-145434656</v>
      </c>
      <c r="CV279" s="268">
        <f>CV139</f>
        <v>-397334563</v>
      </c>
      <c r="CW279" s="268">
        <f>CW139</f>
        <v>-145434441</v>
      </c>
      <c r="CX279" s="268">
        <f>CX139</f>
        <v>-397334555</v>
      </c>
      <c r="CY279" s="268">
        <f>SUM(CU279:CX279)</f>
        <v>-1085538215</v>
      </c>
    </row>
    <row r="280" ht="12.75" customHeight="1" s="255">
      <c r="C280" s="266" t="inlineStr">
        <is>
          <t>Depreciation &amp; amortization</t>
        </is>
      </c>
      <c r="D280" s="268" t="n"/>
      <c r="E280" s="268">
        <f>-E72</f>
        <v>2771</v>
      </c>
      <c r="F280" s="268">
        <f>-F72</f>
        <v>2771</v>
      </c>
      <c r="G280" s="268">
        <f>-G72</f>
        <v>2819</v>
      </c>
      <c r="H280" s="268">
        <f>SUM(D280:G280)</f>
        <v>8361</v>
      </c>
      <c r="I280" s="268">
        <f>-I72</f>
        <v>2661</v>
      </c>
      <c r="J280" s="268">
        <f>-J72</f>
        <v>2641</v>
      </c>
      <c r="K280" s="268">
        <f>-K72</f>
        <v>2650</v>
      </c>
      <c r="L280" s="268">
        <f>-L72</f>
        <v>2706</v>
      </c>
      <c r="M280" s="268">
        <f>SUM(I280:L280)</f>
        <v>10658</v>
      </c>
      <c r="N280" s="268">
        <f>-N72</f>
        <v>2680</v>
      </c>
      <c r="O280" s="268">
        <f>-O72</f>
        <v>2699</v>
      </c>
      <c r="P280" s="268">
        <f>-P72</f>
        <v>2755</v>
      </c>
      <c r="Q280" s="268">
        <f>-Q72</f>
        <v>2811</v>
      </c>
      <c r="R280" s="268">
        <f>SUM(N280:Q280)</f>
        <v>10945</v>
      </c>
      <c r="S280" s="268">
        <f>-S72</f>
        <v>2845</v>
      </c>
      <c r="T280" s="268">
        <f>-T72</f>
        <v>2905</v>
      </c>
      <c r="U280" s="268">
        <f>-U72</f>
        <v>2986</v>
      </c>
      <c r="V280" s="268">
        <f>-V72</f>
        <v>3117</v>
      </c>
      <c r="W280" s="268">
        <f>SUM(S280:V280)</f>
        <v>11853</v>
      </c>
      <c r="X280" s="268">
        <f>-X72</f>
        <v>3128</v>
      </c>
      <c r="Y280" s="268">
        <f>-Y72</f>
        <v>3211</v>
      </c>
      <c r="Z280" s="268">
        <f>-Z72</f>
        <v>3260</v>
      </c>
      <c r="AA280" s="268">
        <f>-AA72</f>
        <v>3374</v>
      </c>
      <c r="AB280" s="268">
        <f>SUM(X280:AA280)</f>
        <v>12973</v>
      </c>
      <c r="AC280" s="268">
        <f>-AC72</f>
        <v>3369</v>
      </c>
      <c r="AD280" s="268">
        <f>-AD72</f>
        <v>3487</v>
      </c>
      <c r="AE280" s="268">
        <f>-AE72</f>
        <v>3606</v>
      </c>
      <c r="AF280" s="268">
        <f>-AF72</f>
        <v>3741</v>
      </c>
      <c r="AG280" s="268">
        <f>SUM(AC280:AF280)</f>
        <v>14203</v>
      </c>
      <c r="AH280" s="268">
        <f>-AH72</f>
        <v>3821</v>
      </c>
      <c r="AI280" s="268">
        <f>-AI72</f>
        <v>3925</v>
      </c>
      <c r="AJ280" s="268">
        <f>-AJ72</f>
        <v>0</v>
      </c>
      <c r="AK280" s="268">
        <f>-AK72</f>
        <v>0</v>
      </c>
      <c r="AL280" s="268">
        <f>SUM(AH280:AK280)</f>
        <v>7746</v>
      </c>
      <c r="AM280" s="268">
        <f>-AM72</f>
        <v>0</v>
      </c>
      <c r="AN280" s="268">
        <f>-AN72</f>
        <v>0</v>
      </c>
      <c r="AO280" s="268">
        <f>-AO72</f>
        <v>0</v>
      </c>
      <c r="AP280" s="268">
        <f>-AP72</f>
        <v>0</v>
      </c>
      <c r="AQ280" s="268">
        <f>SUM(AM280:AP280)</f>
        <v>0</v>
      </c>
      <c r="AR280" s="268">
        <f>-AR72</f>
        <v>0</v>
      </c>
      <c r="AS280" s="268">
        <f>-AS72</f>
        <v>0</v>
      </c>
      <c r="AT280" s="268">
        <f>-AT72</f>
        <v>0</v>
      </c>
      <c r="AU280" s="268">
        <f>-AU72</f>
        <v>0</v>
      </c>
      <c r="AV280" s="268">
        <f>SUM(AR280:AU280)</f>
        <v>0</v>
      </c>
      <c r="AW280" s="268">
        <f>-AW72</f>
        <v>0</v>
      </c>
      <c r="AX280" s="268">
        <f>-AX72</f>
        <v>0</v>
      </c>
      <c r="AY280" s="268">
        <f>-AY72</f>
        <v>0</v>
      </c>
      <c r="AZ280" s="268">
        <f>-AZ72</f>
        <v>0</v>
      </c>
      <c r="BA280" s="268">
        <f>SUM(AW280:AZ280)</f>
        <v>0</v>
      </c>
      <c r="BB280" s="268">
        <f>-BB72</f>
        <v>0</v>
      </c>
      <c r="BC280" s="268">
        <f>-BC72</f>
        <v>0</v>
      </c>
      <c r="BD280" s="268">
        <f>-BD72</f>
        <v>0</v>
      </c>
      <c r="BE280" s="268">
        <f>-BE72</f>
        <v>0</v>
      </c>
      <c r="BF280" s="268">
        <f>SUM(BB280:BE280)</f>
        <v>0</v>
      </c>
      <c r="BG280" s="268">
        <f>-BG72</f>
        <v>0</v>
      </c>
      <c r="BH280" s="268">
        <f>-BH72</f>
        <v>0</v>
      </c>
      <c r="BI280" s="268">
        <f>-BI72</f>
        <v>0</v>
      </c>
      <c r="BJ280" s="268">
        <f>-BJ72</f>
        <v>0</v>
      </c>
      <c r="BK280" s="268">
        <f>SUM(BG280:BJ280)</f>
        <v>0</v>
      </c>
      <c r="BL280" s="268">
        <f>-BL72</f>
        <v>0</v>
      </c>
      <c r="BM280" s="268">
        <f>-BM72</f>
        <v>0</v>
      </c>
      <c r="BN280" s="268">
        <f>-BN72</f>
        <v>0</v>
      </c>
      <c r="BO280" s="268">
        <f>-BO72</f>
        <v>0</v>
      </c>
      <c r="BP280" s="268">
        <f>SUM(BL280:BO280)</f>
        <v>0</v>
      </c>
      <c r="BQ280" s="268">
        <f>-BQ72</f>
        <v>0</v>
      </c>
      <c r="BR280" s="268">
        <f>-BR72</f>
        <v>0</v>
      </c>
      <c r="BS280" s="268">
        <f>-BS72</f>
        <v>0</v>
      </c>
      <c r="BT280" s="268">
        <f>-BT72</f>
        <v>0</v>
      </c>
      <c r="BU280" s="268">
        <f>SUM(BQ280:BT280)</f>
        <v>0</v>
      </c>
      <c r="BV280" s="268">
        <f>-BV72</f>
        <v>0</v>
      </c>
      <c r="BW280" s="268">
        <f>-BW72</f>
        <v>0</v>
      </c>
      <c r="BX280" s="268">
        <f>-BX72</f>
        <v>0</v>
      </c>
      <c r="BY280" s="268">
        <f>-BY72</f>
        <v>0</v>
      </c>
      <c r="BZ280" s="268">
        <f>SUM(BV280:BY280)</f>
        <v>0</v>
      </c>
      <c r="CA280" s="268">
        <f>-CA72</f>
        <v>0</v>
      </c>
      <c r="CB280" s="268">
        <f>-CB72</f>
        <v>0</v>
      </c>
      <c r="CC280" s="268">
        <f>-CC72</f>
        <v>0</v>
      </c>
      <c r="CD280" s="268">
        <f>-CD72</f>
        <v>0</v>
      </c>
      <c r="CE280" s="268">
        <f>SUM(CA280:CD280)</f>
        <v>0</v>
      </c>
      <c r="CF280" s="268">
        <f>-CF72</f>
        <v>0</v>
      </c>
      <c r="CG280" s="268">
        <f>-CG72</f>
        <v>0</v>
      </c>
      <c r="CH280" s="268">
        <f>-CH72</f>
        <v>0</v>
      </c>
      <c r="CI280" s="268">
        <f>-CI72</f>
        <v>0</v>
      </c>
      <c r="CJ280" s="268">
        <f>SUM(CF280:CI280)</f>
        <v>0</v>
      </c>
      <c r="CK280" s="268">
        <f>-CK72</f>
        <v>0</v>
      </c>
      <c r="CL280" s="268">
        <f>-CL72</f>
        <v>0</v>
      </c>
      <c r="CM280" s="268">
        <f>-CM72</f>
        <v>0</v>
      </c>
      <c r="CN280" s="268">
        <f>-CN72</f>
        <v>0</v>
      </c>
      <c r="CO280" s="268">
        <f>SUM(CK280:CN280)</f>
        <v>0</v>
      </c>
      <c r="CP280" s="268">
        <f>-CP72</f>
        <v>0</v>
      </c>
      <c r="CQ280" s="268">
        <f>-CQ72</f>
        <v>0</v>
      </c>
      <c r="CR280" s="268">
        <f>-CR72</f>
        <v>0</v>
      </c>
      <c r="CS280" s="268">
        <f>-CS72</f>
        <v>0</v>
      </c>
      <c r="CT280" s="268">
        <f>SUM(CP280:CS280)</f>
        <v>0</v>
      </c>
      <c r="CU280" s="268">
        <f>-CU72</f>
        <v>0</v>
      </c>
      <c r="CV280" s="268">
        <f>-CV72</f>
        <v>0</v>
      </c>
      <c r="CW280" s="268">
        <f>-CW72</f>
        <v>0</v>
      </c>
      <c r="CX280" s="268">
        <f>-CX72</f>
        <v>0</v>
      </c>
      <c r="CY280" s="268">
        <f>SUM(CU280:CX280)</f>
        <v>0</v>
      </c>
    </row>
    <row r="281" ht="12.75" customHeight="1" s="255">
      <c r="C281" s="266" t="inlineStr">
        <is>
          <t xml:space="preserve">Changes in working capital </t>
        </is>
      </c>
      <c r="D281" s="268" t="n"/>
      <c r="E281" s="268">
        <f>SUM(E282:E291)</f>
        <v>3734</v>
      </c>
      <c r="F281" s="268">
        <f>SUM(F282:F291)</f>
        <v>-3702</v>
      </c>
      <c r="G281" s="268">
        <f>SUM(G282:G291)</f>
        <v>-7007</v>
      </c>
      <c r="H281" s="268">
        <f>SUM(D281:G281)</f>
        <v>-6975</v>
      </c>
      <c r="I281" s="268">
        <f>SUM(I282:I291)</f>
        <v>6272</v>
      </c>
      <c r="J281" s="268">
        <f>SUM(J282:J291)</f>
        <v>195</v>
      </c>
      <c r="K281" s="268">
        <f>SUM(K282:K291)</f>
        <v>-4722</v>
      </c>
      <c r="L281" s="268">
        <f>SUM(L282:L291)</f>
        <v>-886</v>
      </c>
      <c r="M281" s="268">
        <f>SUM(I281:L281)</f>
        <v>859</v>
      </c>
      <c r="N281" s="268">
        <f>SUM(N282:N291)</f>
        <v>-7743</v>
      </c>
      <c r="O281" s="268">
        <f>SUM(O282:O291)</f>
        <v>3614</v>
      </c>
      <c r="P281" s="268">
        <f>SUM(P282:P291)</f>
        <v>-655</v>
      </c>
      <c r="Q281" s="268">
        <f>SUM(Q282:Q291)</f>
        <v>7543</v>
      </c>
      <c r="R281" s="268">
        <f>SUM(N281:Q281)</f>
        <v>2759</v>
      </c>
      <c r="S281" s="268">
        <f>SUM(S282:S291)</f>
        <v>1261</v>
      </c>
      <c r="T281" s="268">
        <f>SUM(T282:T291)</f>
        <v>1768</v>
      </c>
      <c r="U281" s="268">
        <f>SUM(U282:U291)</f>
        <v>-8390</v>
      </c>
      <c r="V281" s="268">
        <f>SUM(V282:V291)</f>
        <v>5822</v>
      </c>
      <c r="W281" s="268">
        <f>SUM(S281:V281)</f>
        <v>461</v>
      </c>
      <c r="X281" s="268">
        <f>SUM(X282:X291)</f>
        <v>-44</v>
      </c>
      <c r="Y281" s="268">
        <f>SUM(Y282:Y291)</f>
        <v>1829</v>
      </c>
      <c r="Z281" s="268">
        <f>SUM(Z282:Z291)</f>
        <v>-4041</v>
      </c>
      <c r="AA281" s="268">
        <f>SUM(AA282:AA291)</f>
        <v>1661</v>
      </c>
      <c r="AB281" s="268">
        <f>SUM(X281:AA281)</f>
        <v>-595</v>
      </c>
      <c r="AC281" s="268">
        <f>SUM(AC282:AC291)</f>
        <v>1761</v>
      </c>
      <c r="AD281" s="268">
        <f>SUM(AD282:AD291)</f>
        <v>777</v>
      </c>
      <c r="AE281" s="268">
        <f>SUM(AE282:AE291)</f>
        <v>-1658</v>
      </c>
      <c r="AF281" s="268">
        <f>SUM(AF282:AF291)</f>
        <v>1675</v>
      </c>
      <c r="AG281" s="268">
        <f>SUM(AC281:AF281)</f>
        <v>2555</v>
      </c>
      <c r="AH281" s="268">
        <f>SUM(AH282:AH291)</f>
        <v>-866</v>
      </c>
      <c r="AI281" s="268">
        <f>SUM(AI282:AI291)</f>
        <v>2106</v>
      </c>
      <c r="AJ281" s="268">
        <f>SUM(AJ282:AJ291)</f>
        <v>-22463</v>
      </c>
      <c r="AK281" s="268">
        <f>SUM(AK282:AK291)</f>
        <v>0</v>
      </c>
      <c r="AL281" s="268">
        <f>SUM(AH281:AK281)</f>
        <v>-21223</v>
      </c>
      <c r="AM281" s="268" t="e">
        <f>SUM(AM282:AM291)</f>
        <v>#DIV/0!</v>
      </c>
      <c r="AN281" s="268" t="e">
        <f>SUM(AN282:AN291)</f>
        <v>#DIV/0!</v>
      </c>
      <c r="AO281" s="268" t="e">
        <f>SUM(AO282:AO291)</f>
        <v>#DIV/0!</v>
      </c>
      <c r="AP281" s="268" t="e">
        <f>SUM(AP282:AP291)</f>
        <v>#DIV/0!</v>
      </c>
      <c r="AQ281" s="268" t="e">
        <f>SUM(AM281:AP281)</f>
        <v>#DIV/0!</v>
      </c>
      <c r="AR281" s="268" t="e">
        <f>SUM(AR282:AR291)</f>
        <v>#DIV/0!</v>
      </c>
      <c r="AS281" s="268" t="e">
        <f>SUM(AS282:AS291)</f>
        <v>#DIV/0!</v>
      </c>
      <c r="AT281" s="268" t="e">
        <f>SUM(AT282:AT291)</f>
        <v>#DIV/0!</v>
      </c>
      <c r="AU281" s="268" t="e">
        <f>SUM(AU282:AU291)</f>
        <v>#DIV/0!</v>
      </c>
      <c r="AV281" s="268" t="e">
        <f>SUM(AR281:AU281)</f>
        <v>#DIV/0!</v>
      </c>
      <c r="AW281" s="268" t="e">
        <f>SUM(AW282:AW291)</f>
        <v>#DIV/0!</v>
      </c>
      <c r="AX281" s="268" t="e">
        <f>SUM(AX282:AX291)</f>
        <v>#DIV/0!</v>
      </c>
      <c r="AY281" s="268" t="e">
        <f>SUM(AY282:AY291)</f>
        <v>#DIV/0!</v>
      </c>
      <c r="AZ281" s="268" t="e">
        <f>SUM(AZ282:AZ291)</f>
        <v>#DIV/0!</v>
      </c>
      <c r="BA281" s="268" t="e">
        <f>SUM(AW281:AZ281)</f>
        <v>#DIV/0!</v>
      </c>
      <c r="BB281" s="268" t="e">
        <f>SUM(BB282:BB291)</f>
        <v>#DIV/0!</v>
      </c>
      <c r="BC281" s="268" t="e">
        <f>SUM(BC282:BC291)</f>
        <v>#DIV/0!</v>
      </c>
      <c r="BD281" s="268" t="e">
        <f>SUM(BD282:BD291)</f>
        <v>#DIV/0!</v>
      </c>
      <c r="BE281" s="268" t="e">
        <f>SUM(BE282:BE291)</f>
        <v>#DIV/0!</v>
      </c>
      <c r="BF281" s="268" t="e">
        <f>SUM(BB281:BE281)</f>
        <v>#DIV/0!</v>
      </c>
      <c r="BG281" s="268" t="e">
        <f>SUM(BG282:BG291)</f>
        <v>#DIV/0!</v>
      </c>
      <c r="BH281" s="268" t="e">
        <f>SUM(BH282:BH291)</f>
        <v>#DIV/0!</v>
      </c>
      <c r="BI281" s="268" t="e">
        <f>SUM(BI282:BI291)</f>
        <v>#DIV/0!</v>
      </c>
      <c r="BJ281" s="268" t="e">
        <f>SUM(BJ282:BJ291)</f>
        <v>#DIV/0!</v>
      </c>
      <c r="BK281" s="268" t="e">
        <f>SUM(BG281:BJ281)</f>
        <v>#DIV/0!</v>
      </c>
      <c r="BL281" s="268" t="e">
        <f>SUM(BL282:BL291)</f>
        <v>#DIV/0!</v>
      </c>
      <c r="BM281" s="268" t="e">
        <f>SUM(BM282:BM291)</f>
        <v>#DIV/0!</v>
      </c>
      <c r="BN281" s="268" t="e">
        <f>SUM(BN282:BN291)</f>
        <v>#DIV/0!</v>
      </c>
      <c r="BO281" s="268" t="e">
        <f>SUM(BO282:BO291)</f>
        <v>#DIV/0!</v>
      </c>
      <c r="BP281" s="268" t="e">
        <f>SUM(BL281:BO281)</f>
        <v>#DIV/0!</v>
      </c>
      <c r="BQ281" s="268" t="e">
        <f>SUM(BQ282:BQ291)</f>
        <v>#DIV/0!</v>
      </c>
      <c r="BR281" s="268" t="e">
        <f>SUM(BR282:BR291)</f>
        <v>#DIV/0!</v>
      </c>
      <c r="BS281" s="268" t="e">
        <f>SUM(BS282:BS291)</f>
        <v>#DIV/0!</v>
      </c>
      <c r="BT281" s="268" t="e">
        <f>SUM(BT282:BT291)</f>
        <v>#DIV/0!</v>
      </c>
      <c r="BU281" s="268" t="e">
        <f>SUM(BQ281:BT281)</f>
        <v>#DIV/0!</v>
      </c>
      <c r="BV281" s="268" t="e">
        <f>SUM(BV282:BV291)</f>
        <v>#DIV/0!</v>
      </c>
      <c r="BW281" s="268" t="e">
        <f>SUM(BW282:BW291)</f>
        <v>#DIV/0!</v>
      </c>
      <c r="BX281" s="268" t="e">
        <f>SUM(BX282:BX291)</f>
        <v>#DIV/0!</v>
      </c>
      <c r="BY281" s="268" t="e">
        <f>SUM(BY282:BY291)</f>
        <v>#DIV/0!</v>
      </c>
      <c r="BZ281" s="268" t="e">
        <f>SUM(BV281:BY281)</f>
        <v>#DIV/0!</v>
      </c>
      <c r="CA281" s="268" t="e">
        <f>SUM(CA282:CA291)</f>
        <v>#DIV/0!</v>
      </c>
      <c r="CB281" s="268" t="e">
        <f>SUM(CB282:CB291)</f>
        <v>#DIV/0!</v>
      </c>
      <c r="CC281" s="268" t="e">
        <f>SUM(CC282:CC291)</f>
        <v>#DIV/0!</v>
      </c>
      <c r="CD281" s="268" t="e">
        <f>SUM(CD282:CD291)</f>
        <v>#DIV/0!</v>
      </c>
      <c r="CE281" s="268" t="e">
        <f>SUM(CA281:CD281)</f>
        <v>#DIV/0!</v>
      </c>
      <c r="CF281" s="268" t="e">
        <f>SUM(CF282:CF291)</f>
        <v>#DIV/0!</v>
      </c>
      <c r="CG281" s="268" t="e">
        <f>SUM(CG282:CG291)</f>
        <v>#DIV/0!</v>
      </c>
      <c r="CH281" s="268" t="e">
        <f>SUM(CH282:CH291)</f>
        <v>#DIV/0!</v>
      </c>
      <c r="CI281" s="268" t="e">
        <f>SUM(CI282:CI291)</f>
        <v>#DIV/0!</v>
      </c>
      <c r="CJ281" s="268" t="e">
        <f>SUM(CF281:CI281)</f>
        <v>#DIV/0!</v>
      </c>
      <c r="CK281" s="268" t="e">
        <f>SUM(CK282:CK291)</f>
        <v>#DIV/0!</v>
      </c>
      <c r="CL281" s="268" t="e">
        <f>SUM(CL282:CL291)</f>
        <v>#DIV/0!</v>
      </c>
      <c r="CM281" s="268" t="e">
        <f>SUM(CM282:CM291)</f>
        <v>#DIV/0!</v>
      </c>
      <c r="CN281" s="268" t="e">
        <f>SUM(CN282:CN291)</f>
        <v>#DIV/0!</v>
      </c>
      <c r="CO281" s="268" t="e">
        <f>SUM(CK281:CN281)</f>
        <v>#DIV/0!</v>
      </c>
      <c r="CP281" s="268" t="e">
        <f>SUM(CP282:CP291)</f>
        <v>#DIV/0!</v>
      </c>
      <c r="CQ281" s="268" t="e">
        <f>SUM(CQ282:CQ291)</f>
        <v>#DIV/0!</v>
      </c>
      <c r="CR281" s="268" t="e">
        <f>SUM(CR282:CR291)</f>
        <v>#DIV/0!</v>
      </c>
      <c r="CS281" s="268" t="e">
        <f>SUM(CS282:CS291)</f>
        <v>#DIV/0!</v>
      </c>
      <c r="CT281" s="268" t="e">
        <f>SUM(CP281:CS281)</f>
        <v>#DIV/0!</v>
      </c>
      <c r="CU281" s="268" t="e">
        <f>SUM(CU282:CU291)</f>
        <v>#DIV/0!</v>
      </c>
      <c r="CV281" s="268" t="e">
        <f>SUM(CV282:CV291)</f>
        <v>#DIV/0!</v>
      </c>
      <c r="CW281" s="268" t="e">
        <f>SUM(CW282:CW291)</f>
        <v>#DIV/0!</v>
      </c>
      <c r="CX281" s="268" t="e">
        <f>SUM(CX282:CX291)</f>
        <v>#DIV/0!</v>
      </c>
      <c r="CY281" s="268" t="e">
        <f>SUM(CU281:CX281)</f>
        <v>#DIV/0!</v>
      </c>
    </row>
    <row r="282" hidden="1" outlineLevel="1" ht="12.75" customHeight="1" s="255">
      <c r="C282" s="266" t="inlineStr">
        <is>
          <t>Accounts receivable</t>
        </is>
      </c>
      <c r="D282" s="268" t="n"/>
      <c r="E282" s="268">
        <f>(E147-D147)*-1</f>
        <v>-82</v>
      </c>
      <c r="F282" s="268">
        <f>(F147-E147)*-1</f>
        <v>-659</v>
      </c>
      <c r="G282" s="268">
        <f>(G147-F147)*-1</f>
        <v>-746</v>
      </c>
      <c r="H282" s="268">
        <f>SUM(D282:G282)</f>
        <v>-1487</v>
      </c>
      <c r="I282" s="268">
        <f>(I147-H147)*-1</f>
        <v>719</v>
      </c>
      <c r="J282" s="268">
        <f>(J147-I147)*-1</f>
        <v>-306</v>
      </c>
      <c r="K282" s="268">
        <f>(K147-J147)*-1</f>
        <v>-1246</v>
      </c>
      <c r="L282" s="268">
        <f>(L147-K147)*-1</f>
        <v>-931</v>
      </c>
      <c r="M282" s="268">
        <f>SUM(I282:L282)</f>
        <v>-1764</v>
      </c>
      <c r="N282" s="268">
        <f>(N147-M147)*-1</f>
        <v>606</v>
      </c>
      <c r="O282" s="268">
        <f>(O147-N147)*-1</f>
        <v>152</v>
      </c>
      <c r="P282" s="268">
        <f>(P147-O147)*-1</f>
        <v>-696</v>
      </c>
      <c r="Q282" s="268">
        <f>(Q147-P147)*-1</f>
        <v>285</v>
      </c>
      <c r="R282" s="268">
        <f>SUM(N282:Q282)</f>
        <v>347</v>
      </c>
      <c r="S282" s="268">
        <f>(S147-R147)*-1</f>
        <v>286</v>
      </c>
      <c r="T282" s="268">
        <f>(T147-S147)*-1</f>
        <v>-244</v>
      </c>
      <c r="U282" s="268">
        <f>(U147-T147)*-1</f>
        <v>-734</v>
      </c>
      <c r="V282" s="268">
        <f>(V147-U147)*-1</f>
        <v>-171</v>
      </c>
      <c r="W282" s="268">
        <f>SUM(S282:V282)</f>
        <v>-863</v>
      </c>
      <c r="X282" s="268">
        <f>(X147-W147)*-1</f>
        <v>-279</v>
      </c>
      <c r="Y282" s="268">
        <f>(Y147-X147)*-1</f>
        <v>425</v>
      </c>
      <c r="Z282" s="268">
        <f>(Z147-Y147)*-1</f>
        <v>-1389</v>
      </c>
      <c r="AA282" s="268">
        <f>(AA147-Z147)*-1</f>
        <v>64</v>
      </c>
      <c r="AB282" s="268">
        <f>SUM(X282:AA282)</f>
        <v>-1179</v>
      </c>
      <c r="AC282" s="268">
        <f>(AC147-AB147)*-1</f>
        <v>289</v>
      </c>
      <c r="AD282" s="268">
        <f>(AD147-AC147)*-1</f>
        <v>-832</v>
      </c>
      <c r="AE282" s="268">
        <f>(AE147-AD147)*-1</f>
        <v>-1597</v>
      </c>
      <c r="AF282" s="268">
        <f>(AF147-AE147)*-1</f>
        <v>943</v>
      </c>
      <c r="AG282" s="268">
        <f>SUM(AC282:AF282)</f>
        <v>-1197</v>
      </c>
      <c r="AH282" s="268">
        <f>(AH147-AG147)*-1</f>
        <v>510</v>
      </c>
      <c r="AI282" s="268">
        <f>(AI147-AH147)*-1</f>
        <v>-413</v>
      </c>
      <c r="AJ282" s="268">
        <f>(AJ147-AI147)*-1</f>
        <v>11075</v>
      </c>
      <c r="AK282" s="268">
        <f>(AK147-AJ147)*-1</f>
        <v>0</v>
      </c>
      <c r="AL282" s="268">
        <f>SUM(AH282:AK282)</f>
        <v>11172</v>
      </c>
      <c r="AM282" s="268">
        <f>(AM147-AL147)*-1</f>
        <v>0</v>
      </c>
      <c r="AN282" s="268">
        <f>(AN147-AM147)*-1</f>
        <v>0</v>
      </c>
      <c r="AO282" s="268">
        <f>(AO147-AN147)*-1</f>
        <v>0</v>
      </c>
      <c r="AP282" s="268">
        <f>(AP147-AO147)*-1</f>
        <v>0</v>
      </c>
      <c r="AQ282" s="268">
        <f>SUM(AM282:AP282)</f>
        <v>0</v>
      </c>
      <c r="AR282" s="268">
        <f>(AR147-AQ147)*-1</f>
        <v>0</v>
      </c>
      <c r="AS282" s="268">
        <f>(AS147-AR147)*-1</f>
        <v>0</v>
      </c>
      <c r="AT282" s="268">
        <f>(AT147-AS147)*-1</f>
        <v>0</v>
      </c>
      <c r="AU282" s="268">
        <f>(AU147-AT147)*-1</f>
        <v>0</v>
      </c>
      <c r="AV282" s="268">
        <f>SUM(AR282:AU282)</f>
        <v>0</v>
      </c>
      <c r="AW282" s="268">
        <f>(AW147-AV147)*-1</f>
        <v>0</v>
      </c>
      <c r="AX282" s="268">
        <f>(AX147-AW147)*-1</f>
        <v>0</v>
      </c>
      <c r="AY282" s="268">
        <f>(AY147-AX147)*-1</f>
        <v>0</v>
      </c>
      <c r="AZ282" s="268">
        <f>(AZ147-AY147)*-1</f>
        <v>0</v>
      </c>
      <c r="BA282" s="268">
        <f>SUM(AW282:AZ282)</f>
        <v>0</v>
      </c>
      <c r="BB282" s="268">
        <f>(BB147-BA147)*-1</f>
        <v>0</v>
      </c>
      <c r="BC282" s="268">
        <f>(BC147-BB147)*-1</f>
        <v>0</v>
      </c>
      <c r="BD282" s="268">
        <f>(BD147-BC147)*-1</f>
        <v>0</v>
      </c>
      <c r="BE282" s="268">
        <f>(BE147-BD147)*-1</f>
        <v>0</v>
      </c>
      <c r="BF282" s="268">
        <f>SUM(BB282:BE282)</f>
        <v>0</v>
      </c>
      <c r="BG282" s="268">
        <f>(BG147-BF147)*-1</f>
        <v>0</v>
      </c>
      <c r="BH282" s="268">
        <f>(BH147-BG147)*-1</f>
        <v>0</v>
      </c>
      <c r="BI282" s="268">
        <f>(BI147-BH147)*-1</f>
        <v>0</v>
      </c>
      <c r="BJ282" s="268">
        <f>(BJ147-BI147)*-1</f>
        <v>0</v>
      </c>
      <c r="BK282" s="268">
        <f>SUM(BG282:BJ282)</f>
        <v>0</v>
      </c>
      <c r="BL282" s="268">
        <f>(BL147-BK147)*-1</f>
        <v>0</v>
      </c>
      <c r="BM282" s="268">
        <f>(BM147-BL147)*-1</f>
        <v>0</v>
      </c>
      <c r="BN282" s="268">
        <f>(BN147-BM147)*-1</f>
        <v>0</v>
      </c>
      <c r="BO282" s="268">
        <f>(BO147-BN147)*-1</f>
        <v>0</v>
      </c>
      <c r="BP282" s="268">
        <f>SUM(BL282:BO282)</f>
        <v>0</v>
      </c>
      <c r="BQ282" s="268">
        <f>(BQ147-BP147)*-1</f>
        <v>0</v>
      </c>
      <c r="BR282" s="268">
        <f>(BR147-BQ147)*-1</f>
        <v>0</v>
      </c>
      <c r="BS282" s="268">
        <f>(BS147-BR147)*-1</f>
        <v>0</v>
      </c>
      <c r="BT282" s="268">
        <f>(BT147-BS147)*-1</f>
        <v>0</v>
      </c>
      <c r="BU282" s="268">
        <f>SUM(BQ282:BT282)</f>
        <v>0</v>
      </c>
      <c r="BV282" s="268">
        <f>(BV147-BU147)*-1</f>
        <v>0</v>
      </c>
      <c r="BW282" s="268">
        <f>(BW147-BV147)*-1</f>
        <v>0</v>
      </c>
      <c r="BX282" s="268">
        <f>(BX147-BW147)*-1</f>
        <v>0</v>
      </c>
      <c r="BY282" s="268">
        <f>(BY147-BX147)*-1</f>
        <v>0</v>
      </c>
      <c r="BZ282" s="268">
        <f>SUM(BV282:BY282)</f>
        <v>0</v>
      </c>
      <c r="CA282" s="268">
        <f>(CA147-BZ147)*-1</f>
        <v>0</v>
      </c>
      <c r="CB282" s="268">
        <f>(CB147-CA147)*-1</f>
        <v>0</v>
      </c>
      <c r="CC282" s="268">
        <f>(CC147-CB147)*-1</f>
        <v>0</v>
      </c>
      <c r="CD282" s="268">
        <f>(CD147-CC147)*-1</f>
        <v>0</v>
      </c>
      <c r="CE282" s="268">
        <f>SUM(CA282:CD282)</f>
        <v>0</v>
      </c>
      <c r="CF282" s="268">
        <f>(CF147-CE147)*-1</f>
        <v>0</v>
      </c>
      <c r="CG282" s="268">
        <f>(CG147-CF147)*-1</f>
        <v>0</v>
      </c>
      <c r="CH282" s="268">
        <f>(CH147-CG147)*-1</f>
        <v>0</v>
      </c>
      <c r="CI282" s="268">
        <f>(CI147-CH147)*-1</f>
        <v>0</v>
      </c>
      <c r="CJ282" s="268">
        <f>SUM(CF282:CI282)</f>
        <v>0</v>
      </c>
      <c r="CK282" s="268">
        <f>(CK147-CJ147)*-1</f>
        <v>0</v>
      </c>
      <c r="CL282" s="268">
        <f>(CL147-CK147)*-1</f>
        <v>0</v>
      </c>
      <c r="CM282" s="268">
        <f>(CM147-CL147)*-1</f>
        <v>0</v>
      </c>
      <c r="CN282" s="268">
        <f>(CN147-CM147)*-1</f>
        <v>0</v>
      </c>
      <c r="CO282" s="268">
        <f>SUM(CK282:CN282)</f>
        <v>0</v>
      </c>
      <c r="CP282" s="268">
        <f>(CP147-CO147)*-1</f>
        <v>0</v>
      </c>
      <c r="CQ282" s="268">
        <f>(CQ147-CP147)*-1</f>
        <v>0</v>
      </c>
      <c r="CR282" s="268">
        <f>(CR147-CQ147)*-1</f>
        <v>0</v>
      </c>
      <c r="CS282" s="268">
        <f>(CS147-CR147)*-1</f>
        <v>0</v>
      </c>
      <c r="CT282" s="268">
        <f>SUM(CP282:CS282)</f>
        <v>0</v>
      </c>
      <c r="CU282" s="268">
        <f>(CU147-CT147)*-1</f>
        <v>0</v>
      </c>
      <c r="CV282" s="268">
        <f>(CV147-CU147)*-1</f>
        <v>0</v>
      </c>
      <c r="CW282" s="268">
        <f>(CW147-CV147)*-1</f>
        <v>0</v>
      </c>
      <c r="CX282" s="268">
        <f>(CX147-CW147)*-1</f>
        <v>0</v>
      </c>
      <c r="CY282" s="268">
        <f>SUM(CU282:CX282)</f>
        <v>0</v>
      </c>
    </row>
    <row r="283" hidden="1" outlineLevel="1" ht="12.75" customHeight="1" s="255">
      <c r="C283" s="266" t="inlineStr">
        <is>
          <t>Inventories</t>
        </is>
      </c>
      <c r="D283" s="268" t="n"/>
      <c r="E283" s="268">
        <f>(E151-D151)*-1</f>
        <v>133</v>
      </c>
      <c r="F283" s="268">
        <f>(F151-E151)*-1</f>
        <v>-10758</v>
      </c>
      <c r="G283" s="268">
        <f>(G151-F151)*-1</f>
        <v>6893</v>
      </c>
      <c r="H283" s="268">
        <f>SUM(D283:G283)</f>
        <v>-3732</v>
      </c>
      <c r="I283" s="268">
        <f>(I151-H151)*-1</f>
        <v>-1434</v>
      </c>
      <c r="J283" s="268">
        <f>(J151-I151)*-1</f>
        <v>-1371</v>
      </c>
      <c r="K283" s="268">
        <f>(K151-J151)*-1</f>
        <v>-9730</v>
      </c>
      <c r="L283" s="268">
        <f>(L151-K151)*-1</f>
        <v>973</v>
      </c>
      <c r="M283" s="268">
        <f>SUM(I283:L283)</f>
        <v>-11562</v>
      </c>
      <c r="N283" s="268">
        <f>(N151-M151)*-1</f>
        <v>-4718</v>
      </c>
      <c r="O283" s="268">
        <f>(O151-N151)*-1</f>
        <v>1308</v>
      </c>
      <c r="P283" s="268">
        <f>(P151-O151)*-1</f>
        <v>-4785</v>
      </c>
      <c r="Q283" s="268">
        <f>(Q151-P151)*-1</f>
        <v>8130</v>
      </c>
      <c r="R283" s="268">
        <f>SUM(N283:Q283)</f>
        <v>-65</v>
      </c>
      <c r="S283" s="268">
        <f>(S151-R151)*-1</f>
        <v>-356</v>
      </c>
      <c r="T283" s="268">
        <f>(T151-S151)*-1</f>
        <v>210</v>
      </c>
      <c r="U283" s="268">
        <f>(U151-T151)*-1</f>
        <v>-7229</v>
      </c>
      <c r="V283" s="268">
        <f>(V151-U151)*-1</f>
        <v>9059</v>
      </c>
      <c r="W283" s="268">
        <f>SUM(S283:V283)</f>
        <v>1684</v>
      </c>
      <c r="X283" s="268">
        <f>(X151-W151)*-1</f>
        <v>-490</v>
      </c>
      <c r="Y283" s="268">
        <f>(Y151-X151)*-1</f>
        <v>-229</v>
      </c>
      <c r="Z283" s="268">
        <f>(Z151-Y151)*-1</f>
        <v>-7691</v>
      </c>
      <c r="AA283" s="268">
        <f>(AA151-Z151)*-1</f>
        <v>6867</v>
      </c>
      <c r="AB283" s="268">
        <f>SUM(X283:AA283)</f>
        <v>-1543</v>
      </c>
      <c r="AC283" s="268">
        <f>(AC151-AB151)*-1</f>
        <v>-1032</v>
      </c>
      <c r="AD283" s="268">
        <f>(AD151-AC151)*-1</f>
        <v>-262</v>
      </c>
      <c r="AE283" s="268">
        <f>(AE151-AD151)*-1</f>
        <v>-7625</v>
      </c>
      <c r="AF283" s="268">
        <f>(AF151-AE151)*-1</f>
        <v>6503</v>
      </c>
      <c r="AG283" s="268">
        <f>SUM(AC283:AF283)</f>
        <v>-2416</v>
      </c>
      <c r="AH283" s="268">
        <f>(AH151-AG151)*-1</f>
        <v>-3719</v>
      </c>
      <c r="AI283" s="268">
        <f>(AI151-AH151)*-1</f>
        <v>970</v>
      </c>
      <c r="AJ283" s="268">
        <f>(AJ151-AI151)*-1</f>
        <v>61600</v>
      </c>
      <c r="AK283" s="268">
        <f>(AK151-AJ151)*-1</f>
        <v>0</v>
      </c>
      <c r="AL283" s="268">
        <f>SUM(AH283:AK283)</f>
        <v>58851</v>
      </c>
      <c r="AM283" s="268">
        <f>(AM151-AL151)*-1</f>
        <v>0</v>
      </c>
      <c r="AN283" s="268">
        <f>(AN151-AM151)*-1</f>
        <v>0</v>
      </c>
      <c r="AO283" s="268">
        <f>(AO151-AN151)*-1</f>
        <v>0</v>
      </c>
      <c r="AP283" s="268">
        <f>(AP151-AO151)*-1</f>
        <v>0</v>
      </c>
      <c r="AQ283" s="268">
        <f>SUM(AM283:AP283)</f>
        <v>0</v>
      </c>
      <c r="AR283" s="268">
        <f>(AR151-AQ151)*-1</f>
        <v>0</v>
      </c>
      <c r="AS283" s="268">
        <f>(AS151-AR151)*-1</f>
        <v>0</v>
      </c>
      <c r="AT283" s="268">
        <f>(AT151-AS151)*-1</f>
        <v>0</v>
      </c>
      <c r="AU283" s="268">
        <f>(AU151-AT151)*-1</f>
        <v>0</v>
      </c>
      <c r="AV283" s="268">
        <f>SUM(AR283:AU283)</f>
        <v>0</v>
      </c>
      <c r="AW283" s="268">
        <f>(AW151-AV151)*-1</f>
        <v>0</v>
      </c>
      <c r="AX283" s="268">
        <f>(AX151-AW151)*-1</f>
        <v>0</v>
      </c>
      <c r="AY283" s="268">
        <f>(AY151-AX151)*-1</f>
        <v>0</v>
      </c>
      <c r="AZ283" s="268">
        <f>(AZ151-AY151)*-1</f>
        <v>0</v>
      </c>
      <c r="BA283" s="268">
        <f>SUM(AW283:AZ283)</f>
        <v>0</v>
      </c>
      <c r="BB283" s="268">
        <f>(BB151-BA151)*-1</f>
        <v>0</v>
      </c>
      <c r="BC283" s="268">
        <f>(BC151-BB151)*-1</f>
        <v>0</v>
      </c>
      <c r="BD283" s="268">
        <f>(BD151-BC151)*-1</f>
        <v>0</v>
      </c>
      <c r="BE283" s="268">
        <f>(BE151-BD151)*-1</f>
        <v>0</v>
      </c>
      <c r="BF283" s="268">
        <f>SUM(BB283:BE283)</f>
        <v>0</v>
      </c>
      <c r="BG283" s="268">
        <f>(BG151-BF151)*-1</f>
        <v>0</v>
      </c>
      <c r="BH283" s="268">
        <f>(BH151-BG151)*-1</f>
        <v>0</v>
      </c>
      <c r="BI283" s="268">
        <f>(BI151-BH151)*-1</f>
        <v>0</v>
      </c>
      <c r="BJ283" s="268">
        <f>(BJ151-BI151)*-1</f>
        <v>0</v>
      </c>
      <c r="BK283" s="268">
        <f>SUM(BG283:BJ283)</f>
        <v>0</v>
      </c>
      <c r="BL283" s="268">
        <f>(BL151-BK151)*-1</f>
        <v>0</v>
      </c>
      <c r="BM283" s="268">
        <f>(BM151-BL151)*-1</f>
        <v>0</v>
      </c>
      <c r="BN283" s="268">
        <f>(BN151-BM151)*-1</f>
        <v>0</v>
      </c>
      <c r="BO283" s="268">
        <f>(BO151-BN151)*-1</f>
        <v>0</v>
      </c>
      <c r="BP283" s="268">
        <f>SUM(BL283:BO283)</f>
        <v>0</v>
      </c>
      <c r="BQ283" s="268">
        <f>(BQ151-BP151)*-1</f>
        <v>0</v>
      </c>
      <c r="BR283" s="268">
        <f>(BR151-BQ151)*-1</f>
        <v>0</v>
      </c>
      <c r="BS283" s="268">
        <f>(BS151-BR151)*-1</f>
        <v>0</v>
      </c>
      <c r="BT283" s="268">
        <f>(BT151-BS151)*-1</f>
        <v>0</v>
      </c>
      <c r="BU283" s="268">
        <f>SUM(BQ283:BT283)</f>
        <v>0</v>
      </c>
      <c r="BV283" s="268">
        <f>(BV151-BU151)*-1</f>
        <v>0</v>
      </c>
      <c r="BW283" s="268">
        <f>(BW151-BV151)*-1</f>
        <v>0</v>
      </c>
      <c r="BX283" s="268">
        <f>(BX151-BW151)*-1</f>
        <v>0</v>
      </c>
      <c r="BY283" s="268">
        <f>(BY151-BX151)*-1</f>
        <v>0</v>
      </c>
      <c r="BZ283" s="268">
        <f>SUM(BV283:BY283)</f>
        <v>0</v>
      </c>
      <c r="CA283" s="268">
        <f>(CA151-BZ151)*-1</f>
        <v>0</v>
      </c>
      <c r="CB283" s="268">
        <f>(CB151-CA151)*-1</f>
        <v>0</v>
      </c>
      <c r="CC283" s="268">
        <f>(CC151-CB151)*-1</f>
        <v>0</v>
      </c>
      <c r="CD283" s="268">
        <f>(CD151-CC151)*-1</f>
        <v>0</v>
      </c>
      <c r="CE283" s="268">
        <f>SUM(CA283:CD283)</f>
        <v>0</v>
      </c>
      <c r="CF283" s="268">
        <f>(CF151-CE151)*-1</f>
        <v>0</v>
      </c>
      <c r="CG283" s="268">
        <f>(CG151-CF151)*-1</f>
        <v>0</v>
      </c>
      <c r="CH283" s="268">
        <f>(CH151-CG151)*-1</f>
        <v>0</v>
      </c>
      <c r="CI283" s="268">
        <f>(CI151-CH151)*-1</f>
        <v>0</v>
      </c>
      <c r="CJ283" s="268">
        <f>SUM(CF283:CI283)</f>
        <v>0</v>
      </c>
      <c r="CK283" s="268">
        <f>(CK151-CJ151)*-1</f>
        <v>0</v>
      </c>
      <c r="CL283" s="268">
        <f>(CL151-CK151)*-1</f>
        <v>0</v>
      </c>
      <c r="CM283" s="268">
        <f>(CM151-CL151)*-1</f>
        <v>0</v>
      </c>
      <c r="CN283" s="268">
        <f>(CN151-CM151)*-1</f>
        <v>0</v>
      </c>
      <c r="CO283" s="268">
        <f>SUM(CK283:CN283)</f>
        <v>0</v>
      </c>
      <c r="CP283" s="268">
        <f>(CP151-CO151)*-1</f>
        <v>0</v>
      </c>
      <c r="CQ283" s="268">
        <f>(CQ151-CP151)*-1</f>
        <v>0</v>
      </c>
      <c r="CR283" s="268">
        <f>(CR151-CQ151)*-1</f>
        <v>0</v>
      </c>
      <c r="CS283" s="268">
        <f>(CS151-CR151)*-1</f>
        <v>0</v>
      </c>
      <c r="CT283" s="268">
        <f>SUM(CP283:CS283)</f>
        <v>0</v>
      </c>
      <c r="CU283" s="268">
        <f>(CU151-CT151)*-1</f>
        <v>0</v>
      </c>
      <c r="CV283" s="268">
        <f>(CV151-CU151)*-1</f>
        <v>0</v>
      </c>
      <c r="CW283" s="268">
        <f>(CW151-CV151)*-1</f>
        <v>0</v>
      </c>
      <c r="CX283" s="268">
        <f>(CX151-CW151)*-1</f>
        <v>0</v>
      </c>
      <c r="CY283" s="268">
        <f>SUM(CU283:CX283)</f>
        <v>0</v>
      </c>
    </row>
    <row r="284" hidden="1" outlineLevel="1" ht="12.75" customHeight="1" s="255">
      <c r="C284" s="266" t="inlineStr">
        <is>
          <t>Deferred income taxes</t>
        </is>
      </c>
      <c r="D284" s="268" t="n"/>
      <c r="E284" s="268">
        <f>(E155-D155)*-1</f>
        <v>0</v>
      </c>
      <c r="F284" s="268">
        <f>(F155-E155)*-1</f>
        <v>0</v>
      </c>
      <c r="G284" s="268">
        <f>(G155-F155)*-1</f>
        <v>0</v>
      </c>
      <c r="H284" s="268">
        <f>SUM(D284:G284)</f>
        <v>0</v>
      </c>
      <c r="I284" s="268">
        <f>(I155-H155)*-1</f>
        <v>0</v>
      </c>
      <c r="J284" s="268">
        <f>(J155-I155)*-1</f>
        <v>0</v>
      </c>
      <c r="K284" s="268">
        <f>(K155-J155)*-1</f>
        <v>0</v>
      </c>
      <c r="L284" s="268">
        <f>(L155-K155)*-1</f>
        <v>0</v>
      </c>
      <c r="M284" s="268">
        <f>SUM(I284:L284)</f>
        <v>0</v>
      </c>
      <c r="N284" s="268">
        <f>(N155-M155)*-1</f>
        <v>0</v>
      </c>
      <c r="O284" s="268">
        <f>(O155-N155)*-1</f>
        <v>0</v>
      </c>
      <c r="P284" s="268">
        <f>(P155-O155)*-1</f>
        <v>0</v>
      </c>
      <c r="Q284" s="268">
        <f>(Q155-P155)*-1</f>
        <v>0</v>
      </c>
      <c r="R284" s="268">
        <f>SUM(N284:Q284)</f>
        <v>0</v>
      </c>
      <c r="S284" s="268">
        <f>(S155-R155)*-1</f>
        <v>0</v>
      </c>
      <c r="T284" s="268">
        <f>(T155-S155)*-1</f>
        <v>0</v>
      </c>
      <c r="U284" s="268">
        <f>(U155-T155)*-1</f>
        <v>0</v>
      </c>
      <c r="V284" s="268">
        <f>(V155-U155)*-1</f>
        <v>0</v>
      </c>
      <c r="W284" s="268">
        <f>SUM(S284:V284)</f>
        <v>0</v>
      </c>
      <c r="X284" s="268">
        <f>(X155-W155)*-1</f>
        <v>0</v>
      </c>
      <c r="Y284" s="268">
        <f>(Y155-X155)*-1</f>
        <v>0</v>
      </c>
      <c r="Z284" s="268">
        <f>(Z155-Y155)*-1</f>
        <v>0</v>
      </c>
      <c r="AA284" s="268">
        <f>(AA155-Z155)*-1</f>
        <v>0</v>
      </c>
      <c r="AB284" s="268">
        <f>SUM(X284:AA284)</f>
        <v>0</v>
      </c>
      <c r="AC284" s="268">
        <f>(AC155-AB155)*-1</f>
        <v>0</v>
      </c>
      <c r="AD284" s="268">
        <f>(AD155-AC155)*-1</f>
        <v>0</v>
      </c>
      <c r="AE284" s="268">
        <f>(AE155-AD155)*-1</f>
        <v>0</v>
      </c>
      <c r="AF284" s="268">
        <f>(AF155-AE155)*-1</f>
        <v>0</v>
      </c>
      <c r="AG284" s="268">
        <f>SUM(AC284:AF284)</f>
        <v>0</v>
      </c>
      <c r="AH284" s="268">
        <f>(AH155-AG155)*-1</f>
        <v>0</v>
      </c>
      <c r="AI284" s="268">
        <f>(AI155-AH155)*-1</f>
        <v>0</v>
      </c>
      <c r="AJ284" s="268">
        <f>(AJ155-AI155)*-1</f>
        <v>0</v>
      </c>
      <c r="AK284" s="268">
        <f>(AK155-AJ155)*-1</f>
        <v>0</v>
      </c>
      <c r="AL284" s="268">
        <f>SUM(AH284:AK284)</f>
        <v>0</v>
      </c>
      <c r="AM284" s="268">
        <f>(AM155-AL155)*-1</f>
        <v>0</v>
      </c>
      <c r="AN284" s="268">
        <f>(AN155-AM155)*-1</f>
        <v>0</v>
      </c>
      <c r="AO284" s="268">
        <f>(AO155-AN155)*-1</f>
        <v>0</v>
      </c>
      <c r="AP284" s="268">
        <f>(AP155-AO155)*-1</f>
        <v>0</v>
      </c>
      <c r="AQ284" s="268">
        <f>SUM(AM284:AP284)</f>
        <v>0</v>
      </c>
      <c r="AR284" s="268">
        <f>(AR155-AQ155)*-1</f>
        <v>0</v>
      </c>
      <c r="AS284" s="268">
        <f>(AS155-AR155)*-1</f>
        <v>0</v>
      </c>
      <c r="AT284" s="268">
        <f>(AT155-AS155)*-1</f>
        <v>0</v>
      </c>
      <c r="AU284" s="268">
        <f>(AU155-AT155)*-1</f>
        <v>0</v>
      </c>
      <c r="AV284" s="268">
        <f>SUM(AR284:AU284)</f>
        <v>0</v>
      </c>
      <c r="AW284" s="268">
        <f>(AW155-AV155)*-1</f>
        <v>0</v>
      </c>
      <c r="AX284" s="268">
        <f>(AX155-AW155)*-1</f>
        <v>0</v>
      </c>
      <c r="AY284" s="268">
        <f>(AY155-AX155)*-1</f>
        <v>0</v>
      </c>
      <c r="AZ284" s="268">
        <f>(AZ155-AY155)*-1</f>
        <v>0</v>
      </c>
      <c r="BA284" s="268">
        <f>SUM(AW284:AZ284)</f>
        <v>0</v>
      </c>
      <c r="BB284" s="268">
        <f>(BB155-BA155)*-1</f>
        <v>0</v>
      </c>
      <c r="BC284" s="268">
        <f>(BC155-BB155)*-1</f>
        <v>0</v>
      </c>
      <c r="BD284" s="268">
        <f>(BD155-BC155)*-1</f>
        <v>0</v>
      </c>
      <c r="BE284" s="268">
        <f>(BE155-BD155)*-1</f>
        <v>0</v>
      </c>
      <c r="BF284" s="268">
        <f>SUM(BB284:BE284)</f>
        <v>0</v>
      </c>
      <c r="BG284" s="268">
        <f>(BG155-BF155)*-1</f>
        <v>0</v>
      </c>
      <c r="BH284" s="268">
        <f>(BH155-BG155)*-1</f>
        <v>0</v>
      </c>
      <c r="BI284" s="268">
        <f>(BI155-BH155)*-1</f>
        <v>0</v>
      </c>
      <c r="BJ284" s="268">
        <f>(BJ155-BI155)*-1</f>
        <v>0</v>
      </c>
      <c r="BK284" s="268">
        <f>SUM(BG284:BJ284)</f>
        <v>0</v>
      </c>
      <c r="BL284" s="268">
        <f>(BL155-BK155)*-1</f>
        <v>0</v>
      </c>
      <c r="BM284" s="268">
        <f>(BM155-BL155)*-1</f>
        <v>0</v>
      </c>
      <c r="BN284" s="268">
        <f>(BN155-BM155)*-1</f>
        <v>0</v>
      </c>
      <c r="BO284" s="268">
        <f>(BO155-BN155)*-1</f>
        <v>0</v>
      </c>
      <c r="BP284" s="268">
        <f>SUM(BL284:BO284)</f>
        <v>0</v>
      </c>
      <c r="BQ284" s="268">
        <f>(BQ155-BP155)*-1</f>
        <v>0</v>
      </c>
      <c r="BR284" s="268">
        <f>(BR155-BQ155)*-1</f>
        <v>0</v>
      </c>
      <c r="BS284" s="268">
        <f>(BS155-BR155)*-1</f>
        <v>0</v>
      </c>
      <c r="BT284" s="268">
        <f>(BT155-BS155)*-1</f>
        <v>0</v>
      </c>
      <c r="BU284" s="268">
        <f>SUM(BQ284:BT284)</f>
        <v>0</v>
      </c>
      <c r="BV284" s="268">
        <f>(BV155-BU155)*-1</f>
        <v>0</v>
      </c>
      <c r="BW284" s="268">
        <f>(BW155-BV155)*-1</f>
        <v>0</v>
      </c>
      <c r="BX284" s="268">
        <f>(BX155-BW155)*-1</f>
        <v>0</v>
      </c>
      <c r="BY284" s="268">
        <f>(BY155-BX155)*-1</f>
        <v>0</v>
      </c>
      <c r="BZ284" s="268">
        <f>SUM(BV284:BY284)</f>
        <v>0</v>
      </c>
      <c r="CA284" s="268">
        <f>(CA155-BZ155)*-1</f>
        <v>0</v>
      </c>
      <c r="CB284" s="268">
        <f>(CB155-CA155)*-1</f>
        <v>0</v>
      </c>
      <c r="CC284" s="268">
        <f>(CC155-CB155)*-1</f>
        <v>0</v>
      </c>
      <c r="CD284" s="268">
        <f>(CD155-CC155)*-1</f>
        <v>0</v>
      </c>
      <c r="CE284" s="268">
        <f>SUM(CA284:CD284)</f>
        <v>0</v>
      </c>
      <c r="CF284" s="268">
        <f>(CF155-CE155)*-1</f>
        <v>0</v>
      </c>
      <c r="CG284" s="268">
        <f>(CG155-CF155)*-1</f>
        <v>0</v>
      </c>
      <c r="CH284" s="268">
        <f>(CH155-CG155)*-1</f>
        <v>0</v>
      </c>
      <c r="CI284" s="268">
        <f>(CI155-CH155)*-1</f>
        <v>0</v>
      </c>
      <c r="CJ284" s="268">
        <f>SUM(CF284:CI284)</f>
        <v>0</v>
      </c>
      <c r="CK284" s="268">
        <f>(CK155-CJ155)*-1</f>
        <v>0</v>
      </c>
      <c r="CL284" s="268">
        <f>(CL155-CK155)*-1</f>
        <v>0</v>
      </c>
      <c r="CM284" s="268">
        <f>(CM155-CL155)*-1</f>
        <v>0</v>
      </c>
      <c r="CN284" s="268">
        <f>(CN155-CM155)*-1</f>
        <v>0</v>
      </c>
      <c r="CO284" s="268">
        <f>SUM(CK284:CN284)</f>
        <v>0</v>
      </c>
      <c r="CP284" s="268">
        <f>(CP155-CO155)*-1</f>
        <v>0</v>
      </c>
      <c r="CQ284" s="268">
        <f>(CQ155-CP155)*-1</f>
        <v>0</v>
      </c>
      <c r="CR284" s="268">
        <f>(CR155-CQ155)*-1</f>
        <v>0</v>
      </c>
      <c r="CS284" s="268">
        <f>(CS155-CR155)*-1</f>
        <v>0</v>
      </c>
      <c r="CT284" s="268">
        <f>SUM(CP284:CS284)</f>
        <v>0</v>
      </c>
      <c r="CU284" s="268">
        <f>(CU155-CT155)*-1</f>
        <v>0</v>
      </c>
      <c r="CV284" s="268">
        <f>(CV155-CU155)*-1</f>
        <v>0</v>
      </c>
      <c r="CW284" s="268">
        <f>(CW155-CV155)*-1</f>
        <v>0</v>
      </c>
      <c r="CX284" s="268">
        <f>(CX155-CW155)*-1</f>
        <v>0</v>
      </c>
      <c r="CY284" s="268">
        <f>SUM(CU284:CX284)</f>
        <v>0</v>
      </c>
    </row>
    <row r="285" hidden="1" outlineLevel="1" ht="12.75" customHeight="1" s="255">
      <c r="C285" s="266" t="inlineStr">
        <is>
          <t>Prepaid expenses</t>
        </is>
      </c>
      <c r="D285" s="268" t="n"/>
      <c r="E285" s="268">
        <f>(E156-D156)*-1</f>
        <v>0</v>
      </c>
      <c r="F285" s="268">
        <f>(F156-E156)*-1</f>
        <v>0</v>
      </c>
      <c r="G285" s="268">
        <f>(G156-F156)*-1</f>
        <v>0</v>
      </c>
      <c r="H285" s="268">
        <f>SUM(D285:G285)</f>
        <v>0</v>
      </c>
      <c r="I285" s="268">
        <f>(I156-H156)*-1</f>
        <v>0</v>
      </c>
      <c r="J285" s="268">
        <f>(J156-I156)*-1</f>
        <v>0</v>
      </c>
      <c r="K285" s="268">
        <f>(K156-J156)*-1</f>
        <v>0</v>
      </c>
      <c r="L285" s="268">
        <f>(L156-K156)*-1</f>
        <v>0</v>
      </c>
      <c r="M285" s="268">
        <f>SUM(I285:L285)</f>
        <v>0</v>
      </c>
      <c r="N285" s="268">
        <f>(N156-M156)*-1</f>
        <v>0</v>
      </c>
      <c r="O285" s="268">
        <f>(O156-N156)*-1</f>
        <v>0</v>
      </c>
      <c r="P285" s="268">
        <f>(P156-O156)*-1</f>
        <v>0</v>
      </c>
      <c r="Q285" s="268">
        <f>(Q156-P156)*-1</f>
        <v>0</v>
      </c>
      <c r="R285" s="268">
        <f>SUM(N285:Q285)</f>
        <v>0</v>
      </c>
      <c r="S285" s="268">
        <f>(S156-R156)*-1</f>
        <v>0</v>
      </c>
      <c r="T285" s="268">
        <f>(T156-S156)*-1</f>
        <v>0</v>
      </c>
      <c r="U285" s="268">
        <f>(U156-T156)*-1</f>
        <v>0</v>
      </c>
      <c r="V285" s="268">
        <f>(V156-U156)*-1</f>
        <v>0</v>
      </c>
      <c r="W285" s="268">
        <f>SUM(S285:V285)</f>
        <v>0</v>
      </c>
      <c r="X285" s="268">
        <f>(X156-W156)*-1</f>
        <v>0</v>
      </c>
      <c r="Y285" s="268">
        <f>(Y156-X156)*-1</f>
        <v>0</v>
      </c>
      <c r="Z285" s="268">
        <f>(Z156-Y156)*-1</f>
        <v>0</v>
      </c>
      <c r="AA285" s="268">
        <f>(AA156-Z156)*-1</f>
        <v>0</v>
      </c>
      <c r="AB285" s="268">
        <f>SUM(X285:AA285)</f>
        <v>0</v>
      </c>
      <c r="AC285" s="268">
        <f>(AC156-AB156)*-1</f>
        <v>0</v>
      </c>
      <c r="AD285" s="268">
        <f>(AD156-AC156)*-1</f>
        <v>0</v>
      </c>
      <c r="AE285" s="268">
        <f>(AE156-AD156)*-1</f>
        <v>0</v>
      </c>
      <c r="AF285" s="268">
        <f>(AF156-AE156)*-1</f>
        <v>0</v>
      </c>
      <c r="AG285" s="268">
        <f>SUM(AC285:AF285)</f>
        <v>0</v>
      </c>
      <c r="AH285" s="268">
        <f>(AH156-AG156)*-1</f>
        <v>0</v>
      </c>
      <c r="AI285" s="268">
        <f>(AI156-AH156)*-1</f>
        <v>0</v>
      </c>
      <c r="AJ285" s="268">
        <f>(AJ156-AI156)*-1</f>
        <v>0</v>
      </c>
      <c r="AK285" s="268">
        <f>(AK156-AJ156)*-1</f>
        <v>0</v>
      </c>
      <c r="AL285" s="268">
        <f>SUM(AH285:AK285)</f>
        <v>0</v>
      </c>
      <c r="AM285" s="268">
        <f>(AM156-AL156)*-1</f>
        <v>0</v>
      </c>
      <c r="AN285" s="268">
        <f>(AN156-AM156)*-1</f>
        <v>0</v>
      </c>
      <c r="AO285" s="268">
        <f>(AO156-AN156)*-1</f>
        <v>0</v>
      </c>
      <c r="AP285" s="268">
        <f>(AP156-AO156)*-1</f>
        <v>0</v>
      </c>
      <c r="AQ285" s="268">
        <f>SUM(AM285:AP285)</f>
        <v>0</v>
      </c>
      <c r="AR285" s="268">
        <f>(AR156-AQ156)*-1</f>
        <v>0</v>
      </c>
      <c r="AS285" s="268">
        <f>(AS156-AR156)*-1</f>
        <v>0</v>
      </c>
      <c r="AT285" s="268">
        <f>(AT156-AS156)*-1</f>
        <v>0</v>
      </c>
      <c r="AU285" s="268">
        <f>(AU156-AT156)*-1</f>
        <v>0</v>
      </c>
      <c r="AV285" s="268">
        <f>SUM(AR285:AU285)</f>
        <v>0</v>
      </c>
      <c r="AW285" s="268">
        <f>(AW156-AV156)*-1</f>
        <v>0</v>
      </c>
      <c r="AX285" s="268">
        <f>(AX156-AW156)*-1</f>
        <v>0</v>
      </c>
      <c r="AY285" s="268">
        <f>(AY156-AX156)*-1</f>
        <v>0</v>
      </c>
      <c r="AZ285" s="268">
        <f>(AZ156-AY156)*-1</f>
        <v>0</v>
      </c>
      <c r="BA285" s="268">
        <f>SUM(AW285:AZ285)</f>
        <v>0</v>
      </c>
      <c r="BB285" s="268">
        <f>(BB156-BA156)*-1</f>
        <v>0</v>
      </c>
      <c r="BC285" s="268">
        <f>(BC156-BB156)*-1</f>
        <v>0</v>
      </c>
      <c r="BD285" s="268">
        <f>(BD156-BC156)*-1</f>
        <v>0</v>
      </c>
      <c r="BE285" s="268">
        <f>(BE156-BD156)*-1</f>
        <v>0</v>
      </c>
      <c r="BF285" s="268">
        <f>SUM(BB285:BE285)</f>
        <v>0</v>
      </c>
      <c r="BG285" s="268">
        <f>(BG156-BF156)*-1</f>
        <v>0</v>
      </c>
      <c r="BH285" s="268">
        <f>(BH156-BG156)*-1</f>
        <v>0</v>
      </c>
      <c r="BI285" s="268">
        <f>(BI156-BH156)*-1</f>
        <v>0</v>
      </c>
      <c r="BJ285" s="268">
        <f>(BJ156-BI156)*-1</f>
        <v>0</v>
      </c>
      <c r="BK285" s="268">
        <f>SUM(BG285:BJ285)</f>
        <v>0</v>
      </c>
      <c r="BL285" s="268">
        <f>(BL156-BK156)*-1</f>
        <v>0</v>
      </c>
      <c r="BM285" s="268">
        <f>(BM156-BL156)*-1</f>
        <v>0</v>
      </c>
      <c r="BN285" s="268">
        <f>(BN156-BM156)*-1</f>
        <v>0</v>
      </c>
      <c r="BO285" s="268">
        <f>(BO156-BN156)*-1</f>
        <v>0</v>
      </c>
      <c r="BP285" s="268">
        <f>SUM(BL285:BO285)</f>
        <v>0</v>
      </c>
      <c r="BQ285" s="268">
        <f>(BQ156-BP156)*-1</f>
        <v>0</v>
      </c>
      <c r="BR285" s="268">
        <f>(BR156-BQ156)*-1</f>
        <v>0</v>
      </c>
      <c r="BS285" s="268">
        <f>(BS156-BR156)*-1</f>
        <v>0</v>
      </c>
      <c r="BT285" s="268">
        <f>(BT156-BS156)*-1</f>
        <v>0</v>
      </c>
      <c r="BU285" s="268">
        <f>SUM(BQ285:BT285)</f>
        <v>0</v>
      </c>
      <c r="BV285" s="268">
        <f>(BV156-BU156)*-1</f>
        <v>0</v>
      </c>
      <c r="BW285" s="268">
        <f>(BW156-BV156)*-1</f>
        <v>0</v>
      </c>
      <c r="BX285" s="268">
        <f>(BX156-BW156)*-1</f>
        <v>0</v>
      </c>
      <c r="BY285" s="268">
        <f>(BY156-BX156)*-1</f>
        <v>0</v>
      </c>
      <c r="BZ285" s="268">
        <f>SUM(BV285:BY285)</f>
        <v>0</v>
      </c>
      <c r="CA285" s="268">
        <f>(CA156-BZ156)*-1</f>
        <v>0</v>
      </c>
      <c r="CB285" s="268">
        <f>(CB156-CA156)*-1</f>
        <v>0</v>
      </c>
      <c r="CC285" s="268">
        <f>(CC156-CB156)*-1</f>
        <v>0</v>
      </c>
      <c r="CD285" s="268">
        <f>(CD156-CC156)*-1</f>
        <v>0</v>
      </c>
      <c r="CE285" s="268">
        <f>SUM(CA285:CD285)</f>
        <v>0</v>
      </c>
      <c r="CF285" s="268">
        <f>(CF156-CE156)*-1</f>
        <v>0</v>
      </c>
      <c r="CG285" s="268">
        <f>(CG156-CF156)*-1</f>
        <v>0</v>
      </c>
      <c r="CH285" s="268">
        <f>(CH156-CG156)*-1</f>
        <v>0</v>
      </c>
      <c r="CI285" s="268">
        <f>(CI156-CH156)*-1</f>
        <v>0</v>
      </c>
      <c r="CJ285" s="268">
        <f>SUM(CF285:CI285)</f>
        <v>0</v>
      </c>
      <c r="CK285" s="268">
        <f>(CK156-CJ156)*-1</f>
        <v>0</v>
      </c>
      <c r="CL285" s="268">
        <f>(CL156-CK156)*-1</f>
        <v>0</v>
      </c>
      <c r="CM285" s="268">
        <f>(CM156-CL156)*-1</f>
        <v>0</v>
      </c>
      <c r="CN285" s="268">
        <f>(CN156-CM156)*-1</f>
        <v>0</v>
      </c>
      <c r="CO285" s="268">
        <f>SUM(CK285:CN285)</f>
        <v>0</v>
      </c>
      <c r="CP285" s="268">
        <f>(CP156-CO156)*-1</f>
        <v>0</v>
      </c>
      <c r="CQ285" s="268">
        <f>(CQ156-CP156)*-1</f>
        <v>0</v>
      </c>
      <c r="CR285" s="268">
        <f>(CR156-CQ156)*-1</f>
        <v>0</v>
      </c>
      <c r="CS285" s="268">
        <f>(CS156-CR156)*-1</f>
        <v>0</v>
      </c>
      <c r="CT285" s="268">
        <f>SUM(CP285:CS285)</f>
        <v>0</v>
      </c>
      <c r="CU285" s="268">
        <f>(CU156-CT156)*-1</f>
        <v>0</v>
      </c>
      <c r="CV285" s="268">
        <f>(CV156-CU156)*-1</f>
        <v>0</v>
      </c>
      <c r="CW285" s="268">
        <f>(CW156-CV156)*-1</f>
        <v>0</v>
      </c>
      <c r="CX285" s="268">
        <f>(CX156-CW156)*-1</f>
        <v>0</v>
      </c>
      <c r="CY285" s="268">
        <f>SUM(CU285:CX285)</f>
        <v>0</v>
      </c>
    </row>
    <row r="286" hidden="1" outlineLevel="1" ht="12.75" customHeight="1" s="255">
      <c r="C286" s="266" t="inlineStr">
        <is>
          <t>Other current assets</t>
        </is>
      </c>
      <c r="D286" s="268" t="n"/>
      <c r="E286" s="268">
        <f>(E157-D157)*-1</f>
        <v>257</v>
      </c>
      <c r="F286" s="268">
        <f>(F157-E157)*-1</f>
        <v>230</v>
      </c>
      <c r="G286" s="268">
        <f>(G157-F157)*-1</f>
        <v>-19196</v>
      </c>
      <c r="H286" s="268">
        <f>SUM(D286:G286)</f>
        <v>-18709</v>
      </c>
      <c r="I286" s="268">
        <f>(I157-H157)*-1</f>
        <v>19296</v>
      </c>
      <c r="J286" s="268">
        <f>(J157-I157)*-1</f>
        <v>10</v>
      </c>
      <c r="K286" s="268">
        <f>(K157-J157)*-1</f>
        <v>-465</v>
      </c>
      <c r="L286" s="268">
        <f>(L157-K157)*-1</f>
        <v>501</v>
      </c>
      <c r="M286" s="268">
        <f>SUM(I286:L286)</f>
        <v>19342</v>
      </c>
      <c r="N286" s="268">
        <f>(N157-M157)*-1</f>
        <v>-981</v>
      </c>
      <c r="O286" s="268">
        <f>(O157-N157)*-1</f>
        <v>-298</v>
      </c>
      <c r="P286" s="268">
        <f>(P157-O157)*-1</f>
        <v>-371</v>
      </c>
      <c r="Q286" s="268">
        <f>(Q157-P157)*-1</f>
        <v>648</v>
      </c>
      <c r="R286" s="268">
        <f>SUM(N286:Q286)</f>
        <v>-1002</v>
      </c>
      <c r="S286" s="268">
        <f>(S157-R157)*-1</f>
        <v>-836</v>
      </c>
      <c r="T286" s="268">
        <f>(T157-S157)*-1</f>
        <v>-174</v>
      </c>
      <c r="U286" s="268">
        <f>(U157-T157)*-1</f>
        <v>-130</v>
      </c>
      <c r="V286" s="268">
        <f>(V157-U157)*-1</f>
        <v>339</v>
      </c>
      <c r="W286" s="268">
        <f>SUM(S286:V286)</f>
        <v>-801</v>
      </c>
      <c r="X286" s="268">
        <f>(X157-W157)*-1</f>
        <v>32</v>
      </c>
      <c r="Y286" s="268">
        <f>(Y157-X157)*-1</f>
        <v>-148</v>
      </c>
      <c r="Z286" s="268">
        <f>(Z157-Y157)*-1</f>
        <v>-110</v>
      </c>
      <c r="AA286" s="268">
        <f>(AA157-Z157)*-1</f>
        <v>-463</v>
      </c>
      <c r="AB286" s="268">
        <f>SUM(X286:AA286)</f>
        <v>-689</v>
      </c>
      <c r="AC286" s="268">
        <f>(AC157-AB157)*-1</f>
        <v>222</v>
      </c>
      <c r="AD286" s="268">
        <f>(AD157-AC157)*-1</f>
        <v>-566</v>
      </c>
      <c r="AE286" s="268">
        <f>(AE157-AD157)*-1</f>
        <v>-514</v>
      </c>
      <c r="AF286" s="268">
        <f>(AF157-AE157)*-1</f>
        <v>745</v>
      </c>
      <c r="AG286" s="268">
        <f>SUM(AC286:AF286)</f>
        <v>-113</v>
      </c>
      <c r="AH286" s="268">
        <f>(AH157-AG157)*-1</f>
        <v>-309</v>
      </c>
      <c r="AI286" s="268">
        <f>(AI157-AH157)*-1</f>
        <v>-66</v>
      </c>
      <c r="AJ286" s="268">
        <f>(AJ157-AI157)*-1</f>
        <v>0</v>
      </c>
      <c r="AK286" s="268">
        <f>(AK157-AJ157)*-1</f>
        <v>0</v>
      </c>
      <c r="AL286" s="268">
        <f>SUM(AH286:AK286)</f>
        <v>-375</v>
      </c>
      <c r="AM286" s="268">
        <f>(AM157-AL157)*-1</f>
        <v>0</v>
      </c>
      <c r="AN286" s="268">
        <f>(AN157-AM157)*-1</f>
        <v>0</v>
      </c>
      <c r="AO286" s="268">
        <f>(AO157-AN157)*-1</f>
        <v>0</v>
      </c>
      <c r="AP286" s="268">
        <f>(AP157-AO157)*-1</f>
        <v>0</v>
      </c>
      <c r="AQ286" s="268">
        <f>SUM(AM286:AP286)</f>
        <v>0</v>
      </c>
      <c r="AR286" s="268">
        <f>(AR157-AQ157)*-1</f>
        <v>0</v>
      </c>
      <c r="AS286" s="268">
        <f>(AS157-AR157)*-1</f>
        <v>0</v>
      </c>
      <c r="AT286" s="268">
        <f>(AT157-AS157)*-1</f>
        <v>0</v>
      </c>
      <c r="AU286" s="268">
        <f>(AU157-AT157)*-1</f>
        <v>0</v>
      </c>
      <c r="AV286" s="268">
        <f>SUM(AR286:AU286)</f>
        <v>0</v>
      </c>
      <c r="AW286" s="268">
        <f>(AW157-AV157)*-1</f>
        <v>0</v>
      </c>
      <c r="AX286" s="268">
        <f>(AX157-AW157)*-1</f>
        <v>0</v>
      </c>
      <c r="AY286" s="268">
        <f>(AY157-AX157)*-1</f>
        <v>0</v>
      </c>
      <c r="AZ286" s="268">
        <f>(AZ157-AY157)*-1</f>
        <v>0</v>
      </c>
      <c r="BA286" s="268">
        <f>SUM(AW286:AZ286)</f>
        <v>0</v>
      </c>
      <c r="BB286" s="268">
        <f>(BB157-BA157)*-1</f>
        <v>0</v>
      </c>
      <c r="BC286" s="268">
        <f>(BC157-BB157)*-1</f>
        <v>0</v>
      </c>
      <c r="BD286" s="268">
        <f>(BD157-BC157)*-1</f>
        <v>0</v>
      </c>
      <c r="BE286" s="268">
        <f>(BE157-BD157)*-1</f>
        <v>0</v>
      </c>
      <c r="BF286" s="268">
        <f>SUM(BB286:BE286)</f>
        <v>0</v>
      </c>
      <c r="BG286" s="268">
        <f>(BG157-BF157)*-1</f>
        <v>0</v>
      </c>
      <c r="BH286" s="268">
        <f>(BH157-BG157)*-1</f>
        <v>0</v>
      </c>
      <c r="BI286" s="268">
        <f>(BI157-BH157)*-1</f>
        <v>0</v>
      </c>
      <c r="BJ286" s="268">
        <f>(BJ157-BI157)*-1</f>
        <v>0</v>
      </c>
      <c r="BK286" s="268">
        <f>SUM(BG286:BJ286)</f>
        <v>0</v>
      </c>
      <c r="BL286" s="268">
        <f>(BL157-BK157)*-1</f>
        <v>0</v>
      </c>
      <c r="BM286" s="268">
        <f>(BM157-BL157)*-1</f>
        <v>0</v>
      </c>
      <c r="BN286" s="268">
        <f>(BN157-BM157)*-1</f>
        <v>0</v>
      </c>
      <c r="BO286" s="268">
        <f>(BO157-BN157)*-1</f>
        <v>0</v>
      </c>
      <c r="BP286" s="268">
        <f>SUM(BL286:BO286)</f>
        <v>0</v>
      </c>
      <c r="BQ286" s="268">
        <f>(BQ157-BP157)*-1</f>
        <v>0</v>
      </c>
      <c r="BR286" s="268">
        <f>(BR157-BQ157)*-1</f>
        <v>0</v>
      </c>
      <c r="BS286" s="268">
        <f>(BS157-BR157)*-1</f>
        <v>0</v>
      </c>
      <c r="BT286" s="268">
        <f>(BT157-BS157)*-1</f>
        <v>0</v>
      </c>
      <c r="BU286" s="268">
        <f>SUM(BQ286:BT286)</f>
        <v>0</v>
      </c>
      <c r="BV286" s="268">
        <f>(BV157-BU157)*-1</f>
        <v>0</v>
      </c>
      <c r="BW286" s="268">
        <f>(BW157-BV157)*-1</f>
        <v>0</v>
      </c>
      <c r="BX286" s="268">
        <f>(BX157-BW157)*-1</f>
        <v>0</v>
      </c>
      <c r="BY286" s="268">
        <f>(BY157-BX157)*-1</f>
        <v>0</v>
      </c>
      <c r="BZ286" s="268">
        <f>SUM(BV286:BY286)</f>
        <v>0</v>
      </c>
      <c r="CA286" s="268">
        <f>(CA157-BZ157)*-1</f>
        <v>0</v>
      </c>
      <c r="CB286" s="268">
        <f>(CB157-CA157)*-1</f>
        <v>0</v>
      </c>
      <c r="CC286" s="268">
        <f>(CC157-CB157)*-1</f>
        <v>0</v>
      </c>
      <c r="CD286" s="268">
        <f>(CD157-CC157)*-1</f>
        <v>0</v>
      </c>
      <c r="CE286" s="268">
        <f>SUM(CA286:CD286)</f>
        <v>0</v>
      </c>
      <c r="CF286" s="268">
        <f>(CF157-CE157)*-1</f>
        <v>0</v>
      </c>
      <c r="CG286" s="268">
        <f>(CG157-CF157)*-1</f>
        <v>0</v>
      </c>
      <c r="CH286" s="268">
        <f>(CH157-CG157)*-1</f>
        <v>0</v>
      </c>
      <c r="CI286" s="268">
        <f>(CI157-CH157)*-1</f>
        <v>0</v>
      </c>
      <c r="CJ286" s="268">
        <f>SUM(CF286:CI286)</f>
        <v>0</v>
      </c>
      <c r="CK286" s="268">
        <f>(CK157-CJ157)*-1</f>
        <v>0</v>
      </c>
      <c r="CL286" s="268">
        <f>(CL157-CK157)*-1</f>
        <v>0</v>
      </c>
      <c r="CM286" s="268">
        <f>(CM157-CL157)*-1</f>
        <v>0</v>
      </c>
      <c r="CN286" s="268">
        <f>(CN157-CM157)*-1</f>
        <v>0</v>
      </c>
      <c r="CO286" s="268">
        <f>SUM(CK286:CN286)</f>
        <v>0</v>
      </c>
      <c r="CP286" s="268">
        <f>(CP157-CO157)*-1</f>
        <v>0</v>
      </c>
      <c r="CQ286" s="268">
        <f>(CQ157-CP157)*-1</f>
        <v>0</v>
      </c>
      <c r="CR286" s="268">
        <f>(CR157-CQ157)*-1</f>
        <v>0</v>
      </c>
      <c r="CS286" s="268">
        <f>(CS157-CR157)*-1</f>
        <v>0</v>
      </c>
      <c r="CT286" s="268">
        <f>SUM(CP286:CS286)</f>
        <v>0</v>
      </c>
      <c r="CU286" s="268">
        <f>(CU157-CT157)*-1</f>
        <v>0</v>
      </c>
      <c r="CV286" s="268">
        <f>(CV157-CU157)*-1</f>
        <v>0</v>
      </c>
      <c r="CW286" s="268">
        <f>(CW157-CV157)*-1</f>
        <v>0</v>
      </c>
      <c r="CX286" s="268">
        <f>(CX157-CW157)*-1</f>
        <v>0</v>
      </c>
      <c r="CY286" s="268">
        <f>SUM(CU286:CX286)</f>
        <v>0</v>
      </c>
    </row>
    <row r="287" hidden="1" outlineLevel="1" ht="12.75" customHeight="1" s="255">
      <c r="C287" s="266" t="inlineStr">
        <is>
          <t>Accounts payable</t>
        </is>
      </c>
      <c r="D287" s="268" t="n"/>
      <c r="E287" s="268">
        <f>E200-D200</f>
        <v>2230</v>
      </c>
      <c r="F287" s="268">
        <f>F200-E200</f>
        <v>7826</v>
      </c>
      <c r="G287" s="268">
        <f>G200-F200</f>
        <v>-5011</v>
      </c>
      <c r="H287" s="268">
        <f>SUM(D287:G287)</f>
        <v>5045</v>
      </c>
      <c r="I287" s="268">
        <f>I200-H200</f>
        <v>-990</v>
      </c>
      <c r="J287" s="268">
        <f>J200-I200</f>
        <v>1450</v>
      </c>
      <c r="K287" s="268">
        <f>K200-J200</f>
        <v>7555</v>
      </c>
      <c r="L287" s="268">
        <f>L200-K200</f>
        <v>-1895</v>
      </c>
      <c r="M287" s="268">
        <f>SUM(I287:L287)</f>
        <v>6120</v>
      </c>
      <c r="N287" s="268">
        <f>N200-M200</f>
        <v>-2335</v>
      </c>
      <c r="O287" s="268">
        <f>O200-N200</f>
        <v>1265</v>
      </c>
      <c r="P287" s="268">
        <f>P200-O200</f>
        <v>3072</v>
      </c>
      <c r="Q287" s="268">
        <f>Q200-P200</f>
        <v>-3521</v>
      </c>
      <c r="R287" s="268">
        <f>SUM(N287:Q287)</f>
        <v>-1519</v>
      </c>
      <c r="S287" s="268">
        <f>S200-R200</f>
        <v>526</v>
      </c>
      <c r="T287" s="268">
        <f>T200-S200</f>
        <v>2308</v>
      </c>
      <c r="U287" s="268">
        <f>U200-T200</f>
        <v>4473</v>
      </c>
      <c r="V287" s="268">
        <f>V200-U200</f>
        <v>-4237</v>
      </c>
      <c r="W287" s="268">
        <f>SUM(S287:V287)</f>
        <v>3070</v>
      </c>
      <c r="X287" s="268">
        <f>X200-W200</f>
        <v>-741</v>
      </c>
      <c r="Y287" s="268">
        <f>Y200-X200</f>
        <v>645</v>
      </c>
      <c r="Z287" s="268">
        <f>Z200-Y200</f>
        <v>6147</v>
      </c>
      <c r="AA287" s="268">
        <f>AA200-Z200</f>
        <v>-4197</v>
      </c>
      <c r="AB287" s="268">
        <f>SUM(X287:AA287)</f>
        <v>1854</v>
      </c>
      <c r="AC287" s="268">
        <f>AC200-AB200</f>
        <v>-966</v>
      </c>
      <c r="AD287" s="268">
        <f>AD200-AC200</f>
        <v>2386</v>
      </c>
      <c r="AE287" s="268">
        <f>AE200-AD200</f>
        <v>7070</v>
      </c>
      <c r="AF287" s="268">
        <f>AF200-AE200</f>
        <v>-4095</v>
      </c>
      <c r="AG287" s="268">
        <f>SUM(AC287:AF287)</f>
        <v>4395</v>
      </c>
      <c r="AH287" s="268">
        <f>AH200-AG200</f>
        <v>-185</v>
      </c>
      <c r="AI287" s="268">
        <f>AI200-AH200</f>
        <v>1442</v>
      </c>
      <c r="AJ287" s="268">
        <f>AJ200-AI200</f>
        <v>-64318</v>
      </c>
      <c r="AK287" s="268">
        <f>AK200-AJ200</f>
        <v>0</v>
      </c>
      <c r="AL287" s="268">
        <f>SUM(AH287:AK287)</f>
        <v>-63061</v>
      </c>
      <c r="AM287" s="268">
        <f>AM200-AL200</f>
        <v>0</v>
      </c>
      <c r="AN287" s="268">
        <f>AN200-AM200</f>
        <v>0</v>
      </c>
      <c r="AO287" s="268">
        <f>AO200-AN200</f>
        <v>0</v>
      </c>
      <c r="AP287" s="268">
        <f>AP200-AO200</f>
        <v>0</v>
      </c>
      <c r="AQ287" s="268">
        <f>SUM(AM287:AP287)</f>
        <v>0</v>
      </c>
      <c r="AR287" s="268">
        <f>AR200-AQ200</f>
        <v>0</v>
      </c>
      <c r="AS287" s="268">
        <f>AS200-AR200</f>
        <v>0</v>
      </c>
      <c r="AT287" s="268">
        <f>AT200-AS200</f>
        <v>0</v>
      </c>
      <c r="AU287" s="268">
        <f>AU200-AT200</f>
        <v>0</v>
      </c>
      <c r="AV287" s="268">
        <f>SUM(AR287:AU287)</f>
        <v>0</v>
      </c>
      <c r="AW287" s="268">
        <f>AW200-AV200</f>
        <v>0</v>
      </c>
      <c r="AX287" s="268">
        <f>AX200-AW200</f>
        <v>0</v>
      </c>
      <c r="AY287" s="268">
        <f>AY200-AX200</f>
        <v>0</v>
      </c>
      <c r="AZ287" s="268">
        <f>AZ200-AY200</f>
        <v>0</v>
      </c>
      <c r="BA287" s="268">
        <f>SUM(AW287:AZ287)</f>
        <v>0</v>
      </c>
      <c r="BB287" s="268">
        <f>BB200-BA200</f>
        <v>0</v>
      </c>
      <c r="BC287" s="268">
        <f>BC200-BB200</f>
        <v>0</v>
      </c>
      <c r="BD287" s="268">
        <f>BD200-BC200</f>
        <v>0</v>
      </c>
      <c r="BE287" s="268">
        <f>BE200-BD200</f>
        <v>0</v>
      </c>
      <c r="BF287" s="268">
        <f>SUM(BB287:BE287)</f>
        <v>0</v>
      </c>
      <c r="BG287" s="268">
        <f>BG200-BF200</f>
        <v>0</v>
      </c>
      <c r="BH287" s="268">
        <f>BH200-BG200</f>
        <v>0</v>
      </c>
      <c r="BI287" s="268">
        <f>BI200-BH200</f>
        <v>0</v>
      </c>
      <c r="BJ287" s="268">
        <f>BJ200-BI200</f>
        <v>0</v>
      </c>
      <c r="BK287" s="268">
        <f>SUM(BG287:BJ287)</f>
        <v>0</v>
      </c>
      <c r="BL287" s="268">
        <f>BL200-BK200</f>
        <v>0</v>
      </c>
      <c r="BM287" s="268">
        <f>BM200-BL200</f>
        <v>0</v>
      </c>
      <c r="BN287" s="268">
        <f>BN200-BM200</f>
        <v>0</v>
      </c>
      <c r="BO287" s="268">
        <f>BO200-BN200</f>
        <v>0</v>
      </c>
      <c r="BP287" s="268">
        <f>SUM(BL287:BO287)</f>
        <v>0</v>
      </c>
      <c r="BQ287" s="268">
        <f>BQ200-BP200</f>
        <v>0</v>
      </c>
      <c r="BR287" s="268">
        <f>BR200-BQ200</f>
        <v>0</v>
      </c>
      <c r="BS287" s="268">
        <f>BS200-BR200</f>
        <v>0</v>
      </c>
      <c r="BT287" s="268">
        <f>BT200-BS200</f>
        <v>0</v>
      </c>
      <c r="BU287" s="268">
        <f>SUM(BQ287:BT287)</f>
        <v>0</v>
      </c>
      <c r="BV287" s="268">
        <f>BV200-BU200</f>
        <v>0</v>
      </c>
      <c r="BW287" s="268">
        <f>BW200-BV200</f>
        <v>0</v>
      </c>
      <c r="BX287" s="268">
        <f>BX200-BW200</f>
        <v>0</v>
      </c>
      <c r="BY287" s="268">
        <f>BY200-BX200</f>
        <v>0</v>
      </c>
      <c r="BZ287" s="268">
        <f>SUM(BV287:BY287)</f>
        <v>0</v>
      </c>
      <c r="CA287" s="268">
        <f>CA200-BZ200</f>
        <v>0</v>
      </c>
      <c r="CB287" s="268">
        <f>CB200-CA200</f>
        <v>0</v>
      </c>
      <c r="CC287" s="268">
        <f>CC200-CB200</f>
        <v>0</v>
      </c>
      <c r="CD287" s="268">
        <f>CD200-CC200</f>
        <v>0</v>
      </c>
      <c r="CE287" s="268">
        <f>SUM(CA287:CD287)</f>
        <v>0</v>
      </c>
      <c r="CF287" s="268">
        <f>CF200-CE200</f>
        <v>0</v>
      </c>
      <c r="CG287" s="268">
        <f>CG200-CF200</f>
        <v>0</v>
      </c>
      <c r="CH287" s="268">
        <f>CH200-CG200</f>
        <v>0</v>
      </c>
      <c r="CI287" s="268">
        <f>CI200-CH200</f>
        <v>0</v>
      </c>
      <c r="CJ287" s="268">
        <f>SUM(CF287:CI287)</f>
        <v>0</v>
      </c>
      <c r="CK287" s="268">
        <f>CK200-CJ200</f>
        <v>0</v>
      </c>
      <c r="CL287" s="268">
        <f>CL200-CK200</f>
        <v>0</v>
      </c>
      <c r="CM287" s="268">
        <f>CM200-CL200</f>
        <v>0</v>
      </c>
      <c r="CN287" s="268">
        <f>CN200-CM200</f>
        <v>0</v>
      </c>
      <c r="CO287" s="268">
        <f>SUM(CK287:CN287)</f>
        <v>0</v>
      </c>
      <c r="CP287" s="268">
        <f>CP200-CO200</f>
        <v>0</v>
      </c>
      <c r="CQ287" s="268">
        <f>CQ200-CP200</f>
        <v>0</v>
      </c>
      <c r="CR287" s="268">
        <f>CR200-CQ200</f>
        <v>0</v>
      </c>
      <c r="CS287" s="268">
        <f>CS200-CR200</f>
        <v>0</v>
      </c>
      <c r="CT287" s="268">
        <f>SUM(CP287:CS287)</f>
        <v>0</v>
      </c>
      <c r="CU287" s="268">
        <f>CU200-CT200</f>
        <v>0</v>
      </c>
      <c r="CV287" s="268">
        <f>CV200-CU200</f>
        <v>0</v>
      </c>
      <c r="CW287" s="268">
        <f>CW200-CV200</f>
        <v>0</v>
      </c>
      <c r="CX287" s="268">
        <f>CX200-CW200</f>
        <v>0</v>
      </c>
      <c r="CY287" s="268">
        <f>SUM(CU287:CX287)</f>
        <v>0</v>
      </c>
    </row>
    <row r="288" hidden="1" outlineLevel="1" ht="12.75" customHeight="1" s="255">
      <c r="C288" s="266" t="inlineStr">
        <is>
          <t>Accrued expenses</t>
        </is>
      </c>
      <c r="D288" s="268" t="n"/>
      <c r="E288" s="268">
        <f>E204-D204</f>
        <v>3391</v>
      </c>
      <c r="F288" s="268">
        <f>F204-E204</f>
        <v>1227</v>
      </c>
      <c r="G288" s="268">
        <f>G204-F204</f>
        <v>12971</v>
      </c>
      <c r="H288" s="268">
        <f>SUM(D288:G288)</f>
        <v>17589</v>
      </c>
      <c r="I288" s="268">
        <f>I204-H204</f>
        <v>-16595</v>
      </c>
      <c r="J288" s="268">
        <f>J204-I204</f>
        <v>2544</v>
      </c>
      <c r="K288" s="268">
        <f>K204-J204</f>
        <v>559</v>
      </c>
      <c r="L288" s="268">
        <f>L204-K204</f>
        <v>1586</v>
      </c>
      <c r="M288" s="268">
        <f>SUM(I288:L288)</f>
        <v>-11906</v>
      </c>
      <c r="N288" s="268">
        <f>N204-M204</f>
        <v>-4999</v>
      </c>
      <c r="O288" s="268">
        <f>O204-N204</f>
        <v>2782</v>
      </c>
      <c r="P288" s="268">
        <f>P204-O204</f>
        <v>3600</v>
      </c>
      <c r="Q288" s="268">
        <f>Q204-P204</f>
        <v>3683</v>
      </c>
      <c r="R288" s="268">
        <f>SUM(N288:Q288)</f>
        <v>5066</v>
      </c>
      <c r="S288" s="268">
        <f>S204-R204</f>
        <v>-3599</v>
      </c>
      <c r="T288" s="268">
        <f>T204-S204</f>
        <v>1712</v>
      </c>
      <c r="U288" s="268">
        <f>U204-T204</f>
        <v>-3107</v>
      </c>
      <c r="V288" s="268">
        <f>V204-U204</f>
        <v>2627</v>
      </c>
      <c r="W288" s="268">
        <f>SUM(S288:V288)</f>
        <v>-2367</v>
      </c>
      <c r="X288" s="268">
        <f>X204-W204</f>
        <v>-4667</v>
      </c>
      <c r="Y288" s="268">
        <f>Y204-X204</f>
        <v>3564</v>
      </c>
      <c r="Z288" s="268">
        <f>Z204-Y204</f>
        <v>461</v>
      </c>
      <c r="AA288" s="268">
        <f>AA204-Z204</f>
        <v>1228</v>
      </c>
      <c r="AB288" s="268">
        <f>SUM(X288:AA288)</f>
        <v>586</v>
      </c>
      <c r="AC288" s="268">
        <f>AC204-AB204</f>
        <v>-3260</v>
      </c>
      <c r="AD288" s="268">
        <f>AD204-AC204</f>
        <v>2736</v>
      </c>
      <c r="AE288" s="268">
        <f>AE204-AD204</f>
        <v>2700</v>
      </c>
      <c r="AF288" s="268">
        <f>AF204-AE204</f>
        <v>-334</v>
      </c>
      <c r="AG288" s="268">
        <f>SUM(AC288:AF288)</f>
        <v>1842</v>
      </c>
      <c r="AH288" s="268">
        <f>AH204-AG204</f>
        <v>-3657</v>
      </c>
      <c r="AI288" s="268">
        <f>AI204-AH204</f>
        <v>2544</v>
      </c>
      <c r="AJ288" s="268">
        <f>AJ204-AI204</f>
        <v>-30074</v>
      </c>
      <c r="AK288" s="268">
        <f>AK204-AJ204</f>
        <v>0</v>
      </c>
      <c r="AL288" s="268">
        <f>SUM(AH288:AK288)</f>
        <v>-31187</v>
      </c>
      <c r="AM288" s="268" t="e">
        <f>AM204-AL204</f>
        <v>#DIV/0!</v>
      </c>
      <c r="AN288" s="268" t="e">
        <f>AN204-AM204</f>
        <v>#DIV/0!</v>
      </c>
      <c r="AO288" s="268" t="e">
        <f>AO204-AN204</f>
        <v>#DIV/0!</v>
      </c>
      <c r="AP288" s="268" t="e">
        <f>AP204-AO204</f>
        <v>#DIV/0!</v>
      </c>
      <c r="AQ288" s="268" t="e">
        <f>SUM(AM288:AP288)</f>
        <v>#DIV/0!</v>
      </c>
      <c r="AR288" s="268" t="e">
        <f>AR204-AQ204</f>
        <v>#DIV/0!</v>
      </c>
      <c r="AS288" s="268" t="e">
        <f>AS204-AR204</f>
        <v>#DIV/0!</v>
      </c>
      <c r="AT288" s="268" t="e">
        <f>AT204-AS204</f>
        <v>#DIV/0!</v>
      </c>
      <c r="AU288" s="268" t="e">
        <f>AU204-AT204</f>
        <v>#DIV/0!</v>
      </c>
      <c r="AV288" s="268" t="e">
        <f>SUM(AR288:AU288)</f>
        <v>#DIV/0!</v>
      </c>
      <c r="AW288" s="268" t="e">
        <f>AW204-AV204</f>
        <v>#DIV/0!</v>
      </c>
      <c r="AX288" s="268" t="e">
        <f>AX204-AW204</f>
        <v>#DIV/0!</v>
      </c>
      <c r="AY288" s="268" t="e">
        <f>AY204-AX204</f>
        <v>#DIV/0!</v>
      </c>
      <c r="AZ288" s="268" t="e">
        <f>AZ204-AY204</f>
        <v>#DIV/0!</v>
      </c>
      <c r="BA288" s="268" t="e">
        <f>SUM(AW288:AZ288)</f>
        <v>#DIV/0!</v>
      </c>
      <c r="BB288" s="268" t="e">
        <f>BB204-BA204</f>
        <v>#DIV/0!</v>
      </c>
      <c r="BC288" s="268" t="e">
        <f>BC204-BB204</f>
        <v>#DIV/0!</v>
      </c>
      <c r="BD288" s="268" t="e">
        <f>BD204-BC204</f>
        <v>#DIV/0!</v>
      </c>
      <c r="BE288" s="268" t="e">
        <f>BE204-BD204</f>
        <v>#DIV/0!</v>
      </c>
      <c r="BF288" s="268" t="e">
        <f>SUM(BB288:BE288)</f>
        <v>#DIV/0!</v>
      </c>
      <c r="BG288" s="268" t="e">
        <f>BG204-BF204</f>
        <v>#DIV/0!</v>
      </c>
      <c r="BH288" s="268" t="e">
        <f>BH204-BG204</f>
        <v>#DIV/0!</v>
      </c>
      <c r="BI288" s="268" t="e">
        <f>BI204-BH204</f>
        <v>#DIV/0!</v>
      </c>
      <c r="BJ288" s="268" t="e">
        <f>BJ204-BI204</f>
        <v>#DIV/0!</v>
      </c>
      <c r="BK288" s="268" t="e">
        <f>SUM(BG288:BJ288)</f>
        <v>#DIV/0!</v>
      </c>
      <c r="BL288" s="268" t="e">
        <f>BL204-BK204</f>
        <v>#DIV/0!</v>
      </c>
      <c r="BM288" s="268" t="e">
        <f>BM204-BL204</f>
        <v>#DIV/0!</v>
      </c>
      <c r="BN288" s="268" t="e">
        <f>BN204-BM204</f>
        <v>#DIV/0!</v>
      </c>
      <c r="BO288" s="268" t="e">
        <f>BO204-BN204</f>
        <v>#DIV/0!</v>
      </c>
      <c r="BP288" s="268" t="e">
        <f>SUM(BL288:BO288)</f>
        <v>#DIV/0!</v>
      </c>
      <c r="BQ288" s="268" t="e">
        <f>BQ204-BP204</f>
        <v>#DIV/0!</v>
      </c>
      <c r="BR288" s="268" t="e">
        <f>BR204-BQ204</f>
        <v>#DIV/0!</v>
      </c>
      <c r="BS288" s="268" t="e">
        <f>BS204-BR204</f>
        <v>#DIV/0!</v>
      </c>
      <c r="BT288" s="268" t="e">
        <f>BT204-BS204</f>
        <v>#DIV/0!</v>
      </c>
      <c r="BU288" s="268" t="e">
        <f>SUM(BQ288:BT288)</f>
        <v>#DIV/0!</v>
      </c>
      <c r="BV288" s="268" t="e">
        <f>BV204-BU204</f>
        <v>#DIV/0!</v>
      </c>
      <c r="BW288" s="268" t="e">
        <f>BW204-BV204</f>
        <v>#DIV/0!</v>
      </c>
      <c r="BX288" s="268" t="e">
        <f>BX204-BW204</f>
        <v>#DIV/0!</v>
      </c>
      <c r="BY288" s="268" t="e">
        <f>BY204-BX204</f>
        <v>#DIV/0!</v>
      </c>
      <c r="BZ288" s="268" t="e">
        <f>SUM(BV288:BY288)</f>
        <v>#DIV/0!</v>
      </c>
      <c r="CA288" s="268" t="e">
        <f>CA204-BZ204</f>
        <v>#DIV/0!</v>
      </c>
      <c r="CB288" s="268" t="e">
        <f>CB204-CA204</f>
        <v>#DIV/0!</v>
      </c>
      <c r="CC288" s="268" t="e">
        <f>CC204-CB204</f>
        <v>#DIV/0!</v>
      </c>
      <c r="CD288" s="268" t="e">
        <f>CD204-CC204</f>
        <v>#DIV/0!</v>
      </c>
      <c r="CE288" s="268" t="e">
        <f>SUM(CA288:CD288)</f>
        <v>#DIV/0!</v>
      </c>
      <c r="CF288" s="268" t="e">
        <f>CF204-CE204</f>
        <v>#DIV/0!</v>
      </c>
      <c r="CG288" s="268" t="e">
        <f>CG204-CF204</f>
        <v>#DIV/0!</v>
      </c>
      <c r="CH288" s="268" t="e">
        <f>CH204-CG204</f>
        <v>#DIV/0!</v>
      </c>
      <c r="CI288" s="268" t="e">
        <f>CI204-CH204</f>
        <v>#DIV/0!</v>
      </c>
      <c r="CJ288" s="268" t="e">
        <f>SUM(CF288:CI288)</f>
        <v>#DIV/0!</v>
      </c>
      <c r="CK288" s="268" t="e">
        <f>CK204-CJ204</f>
        <v>#DIV/0!</v>
      </c>
      <c r="CL288" s="268" t="e">
        <f>CL204-CK204</f>
        <v>#DIV/0!</v>
      </c>
      <c r="CM288" s="268" t="e">
        <f>CM204-CL204</f>
        <v>#DIV/0!</v>
      </c>
      <c r="CN288" s="268" t="e">
        <f>CN204-CM204</f>
        <v>#DIV/0!</v>
      </c>
      <c r="CO288" s="268" t="e">
        <f>SUM(CK288:CN288)</f>
        <v>#DIV/0!</v>
      </c>
      <c r="CP288" s="268" t="e">
        <f>CP204-CO204</f>
        <v>#DIV/0!</v>
      </c>
      <c r="CQ288" s="268" t="e">
        <f>CQ204-CP204</f>
        <v>#DIV/0!</v>
      </c>
      <c r="CR288" s="268" t="e">
        <f>CR204-CQ204</f>
        <v>#DIV/0!</v>
      </c>
      <c r="CS288" s="268" t="e">
        <f>CS204-CR204</f>
        <v>#DIV/0!</v>
      </c>
      <c r="CT288" s="268" t="e">
        <f>SUM(CP288:CS288)</f>
        <v>#DIV/0!</v>
      </c>
      <c r="CU288" s="268" t="e">
        <f>CU204-CT204</f>
        <v>#DIV/0!</v>
      </c>
      <c r="CV288" s="268" t="e">
        <f>CV204-CU204</f>
        <v>#DIV/0!</v>
      </c>
      <c r="CW288" s="268" t="e">
        <f>CW204-CV204</f>
        <v>#DIV/0!</v>
      </c>
      <c r="CX288" s="268" t="e">
        <f>CX204-CW204</f>
        <v>#DIV/0!</v>
      </c>
      <c r="CY288" s="268" t="e">
        <f>SUM(CU288:CX288)</f>
        <v>#DIV/0!</v>
      </c>
    </row>
    <row r="289" hidden="1" outlineLevel="1" ht="12.75" customHeight="1" s="255">
      <c r="C289" s="266" t="inlineStr">
        <is>
          <t>Taxes payable</t>
        </is>
      </c>
      <c r="D289" s="268" t="n"/>
      <c r="E289" s="268">
        <f>E206-D206</f>
        <v>-693</v>
      </c>
      <c r="F289" s="268">
        <f>F206-E206</f>
        <v>-62</v>
      </c>
      <c r="G289" s="268">
        <f>G206-F206</f>
        <v>-306</v>
      </c>
      <c r="H289" s="268">
        <f>SUM(D289:G289)</f>
        <v>-1061</v>
      </c>
      <c r="I289" s="268">
        <f>I206-H206</f>
        <v>609</v>
      </c>
      <c r="J289" s="268">
        <f>J206-I206</f>
        <v>-584</v>
      </c>
      <c r="K289" s="268">
        <f>K206-J206</f>
        <v>179</v>
      </c>
      <c r="L289" s="268">
        <f>L206-K206</f>
        <v>405</v>
      </c>
      <c r="M289" s="268">
        <f>SUM(I289:L289)</f>
        <v>609</v>
      </c>
      <c r="N289" s="268">
        <f>N206-M206</f>
        <v>53</v>
      </c>
      <c r="O289" s="268">
        <f>O206-N206</f>
        <v>-36</v>
      </c>
      <c r="P289" s="268">
        <f>P206-O206</f>
        <v>32</v>
      </c>
      <c r="Q289" s="268">
        <f>Q206-P206</f>
        <v>-173</v>
      </c>
      <c r="R289" s="268">
        <f>SUM(N289:Q289)</f>
        <v>-124</v>
      </c>
      <c r="S289" s="268">
        <f>S206-R206</f>
        <v>598</v>
      </c>
      <c r="T289" s="268">
        <f>T206-S206</f>
        <v>-555</v>
      </c>
      <c r="U289" s="268">
        <f>U206-T206</f>
        <v>-164</v>
      </c>
      <c r="V289" s="268">
        <f>V206-U206</f>
        <v>-299</v>
      </c>
      <c r="W289" s="268">
        <f>SUM(S289:V289)</f>
        <v>-420</v>
      </c>
      <c r="X289" s="268">
        <f>X206-W206</f>
        <v>969</v>
      </c>
      <c r="Y289" s="268">
        <f>Y206-X206</f>
        <v>-700</v>
      </c>
      <c r="Z289" s="268">
        <f>Z206-Y206</f>
        <v>207</v>
      </c>
      <c r="AA289" s="268">
        <f>AA206-Z206</f>
        <v>-175</v>
      </c>
      <c r="AB289" s="268">
        <f>SUM(X289:AA289)</f>
        <v>301</v>
      </c>
      <c r="AC289" s="268">
        <f>AC206-AB206</f>
        <v>857</v>
      </c>
      <c r="AD289" s="268">
        <f>AD206-AC206</f>
        <v>-845</v>
      </c>
      <c r="AE289" s="268">
        <f>AE206-AD206</f>
        <v>169</v>
      </c>
      <c r="AF289" s="268">
        <f>AF206-AE206</f>
        <v>-193</v>
      </c>
      <c r="AG289" s="268">
        <f>SUM(AC289:AF289)</f>
        <v>-12</v>
      </c>
      <c r="AH289" s="268">
        <f>AH206-AG206</f>
        <v>578</v>
      </c>
      <c r="AI289" s="268">
        <f>AI206-AH206</f>
        <v>-428</v>
      </c>
      <c r="AJ289" s="268">
        <f>AJ206-AI206</f>
        <v>-746</v>
      </c>
      <c r="AK289" s="268">
        <f>AK206-AJ206</f>
        <v>0</v>
      </c>
      <c r="AL289" s="268">
        <f>SUM(AH289:AK289)</f>
        <v>-596</v>
      </c>
      <c r="AM289" s="268" t="e">
        <f>AM206-AL206</f>
        <v>#DIV/0!</v>
      </c>
      <c r="AN289" s="268" t="e">
        <f>AN206-AM206</f>
        <v>#DIV/0!</v>
      </c>
      <c r="AO289" s="268" t="e">
        <f>AO206-AN206</f>
        <v>#DIV/0!</v>
      </c>
      <c r="AP289" s="268" t="e">
        <f>AP206-AO206</f>
        <v>#DIV/0!</v>
      </c>
      <c r="AQ289" s="268" t="e">
        <f>SUM(AM289:AP289)</f>
        <v>#DIV/0!</v>
      </c>
      <c r="AR289" s="268" t="e">
        <f>AR206-AQ206</f>
        <v>#DIV/0!</v>
      </c>
      <c r="AS289" s="268" t="e">
        <f>AS206-AR206</f>
        <v>#DIV/0!</v>
      </c>
      <c r="AT289" s="268" t="e">
        <f>AT206-AS206</f>
        <v>#DIV/0!</v>
      </c>
      <c r="AU289" s="268" t="e">
        <f>AU206-AT206</f>
        <v>#DIV/0!</v>
      </c>
      <c r="AV289" s="268" t="e">
        <f>SUM(AR289:AU289)</f>
        <v>#DIV/0!</v>
      </c>
      <c r="AW289" s="268" t="e">
        <f>AW206-AV206</f>
        <v>#DIV/0!</v>
      </c>
      <c r="AX289" s="268" t="e">
        <f>AX206-AW206</f>
        <v>#DIV/0!</v>
      </c>
      <c r="AY289" s="268" t="e">
        <f>AY206-AX206</f>
        <v>#DIV/0!</v>
      </c>
      <c r="AZ289" s="268" t="e">
        <f>AZ206-AY206</f>
        <v>#DIV/0!</v>
      </c>
      <c r="BA289" s="268" t="e">
        <f>SUM(AW289:AZ289)</f>
        <v>#DIV/0!</v>
      </c>
      <c r="BB289" s="268" t="e">
        <f>BB206-BA206</f>
        <v>#DIV/0!</v>
      </c>
      <c r="BC289" s="268" t="e">
        <f>BC206-BB206</f>
        <v>#DIV/0!</v>
      </c>
      <c r="BD289" s="268" t="e">
        <f>BD206-BC206</f>
        <v>#DIV/0!</v>
      </c>
      <c r="BE289" s="268" t="e">
        <f>BE206-BD206</f>
        <v>#DIV/0!</v>
      </c>
      <c r="BF289" s="268" t="e">
        <f>SUM(BB289:BE289)</f>
        <v>#DIV/0!</v>
      </c>
      <c r="BG289" s="268" t="e">
        <f>BG206-BF206</f>
        <v>#DIV/0!</v>
      </c>
      <c r="BH289" s="268" t="e">
        <f>BH206-BG206</f>
        <v>#DIV/0!</v>
      </c>
      <c r="BI289" s="268" t="e">
        <f>BI206-BH206</f>
        <v>#DIV/0!</v>
      </c>
      <c r="BJ289" s="268" t="e">
        <f>BJ206-BI206</f>
        <v>#DIV/0!</v>
      </c>
      <c r="BK289" s="268" t="e">
        <f>SUM(BG289:BJ289)</f>
        <v>#DIV/0!</v>
      </c>
      <c r="BL289" s="268" t="e">
        <f>BL206-BK206</f>
        <v>#DIV/0!</v>
      </c>
      <c r="BM289" s="268" t="e">
        <f>BM206-BL206</f>
        <v>#DIV/0!</v>
      </c>
      <c r="BN289" s="268" t="e">
        <f>BN206-BM206</f>
        <v>#DIV/0!</v>
      </c>
      <c r="BO289" s="268" t="e">
        <f>BO206-BN206</f>
        <v>#DIV/0!</v>
      </c>
      <c r="BP289" s="268" t="e">
        <f>SUM(BL289:BO289)</f>
        <v>#DIV/0!</v>
      </c>
      <c r="BQ289" s="268" t="e">
        <f>BQ206-BP206</f>
        <v>#DIV/0!</v>
      </c>
      <c r="BR289" s="268" t="e">
        <f>BR206-BQ206</f>
        <v>#DIV/0!</v>
      </c>
      <c r="BS289" s="268" t="e">
        <f>BS206-BR206</f>
        <v>#DIV/0!</v>
      </c>
      <c r="BT289" s="268" t="e">
        <f>BT206-BS206</f>
        <v>#DIV/0!</v>
      </c>
      <c r="BU289" s="268" t="e">
        <f>SUM(BQ289:BT289)</f>
        <v>#DIV/0!</v>
      </c>
      <c r="BV289" s="268" t="e">
        <f>BV206-BU206</f>
        <v>#DIV/0!</v>
      </c>
      <c r="BW289" s="268" t="e">
        <f>BW206-BV206</f>
        <v>#DIV/0!</v>
      </c>
      <c r="BX289" s="268" t="e">
        <f>BX206-BW206</f>
        <v>#DIV/0!</v>
      </c>
      <c r="BY289" s="268" t="e">
        <f>BY206-BX206</f>
        <v>#DIV/0!</v>
      </c>
      <c r="BZ289" s="268" t="e">
        <f>SUM(BV289:BY289)</f>
        <v>#DIV/0!</v>
      </c>
      <c r="CA289" s="268" t="e">
        <f>CA206-BZ206</f>
        <v>#DIV/0!</v>
      </c>
      <c r="CB289" s="268" t="e">
        <f>CB206-CA206</f>
        <v>#DIV/0!</v>
      </c>
      <c r="CC289" s="268" t="e">
        <f>CC206-CB206</f>
        <v>#DIV/0!</v>
      </c>
      <c r="CD289" s="268" t="e">
        <f>CD206-CC206</f>
        <v>#DIV/0!</v>
      </c>
      <c r="CE289" s="268" t="e">
        <f>SUM(CA289:CD289)</f>
        <v>#DIV/0!</v>
      </c>
      <c r="CF289" s="268" t="e">
        <f>CF206-CE206</f>
        <v>#DIV/0!</v>
      </c>
      <c r="CG289" s="268" t="e">
        <f>CG206-CF206</f>
        <v>#DIV/0!</v>
      </c>
      <c r="CH289" s="268" t="e">
        <f>CH206-CG206</f>
        <v>#DIV/0!</v>
      </c>
      <c r="CI289" s="268" t="e">
        <f>CI206-CH206</f>
        <v>#DIV/0!</v>
      </c>
      <c r="CJ289" s="268" t="e">
        <f>SUM(CF289:CI289)</f>
        <v>#DIV/0!</v>
      </c>
      <c r="CK289" s="268" t="e">
        <f>CK206-CJ206</f>
        <v>#DIV/0!</v>
      </c>
      <c r="CL289" s="268" t="e">
        <f>CL206-CK206</f>
        <v>#DIV/0!</v>
      </c>
      <c r="CM289" s="268" t="e">
        <f>CM206-CL206</f>
        <v>#DIV/0!</v>
      </c>
      <c r="CN289" s="268" t="e">
        <f>CN206-CM206</f>
        <v>#DIV/0!</v>
      </c>
      <c r="CO289" s="268" t="e">
        <f>SUM(CK289:CN289)</f>
        <v>#DIV/0!</v>
      </c>
      <c r="CP289" s="268" t="e">
        <f>CP206-CO206</f>
        <v>#DIV/0!</v>
      </c>
      <c r="CQ289" s="268" t="e">
        <f>CQ206-CP206</f>
        <v>#DIV/0!</v>
      </c>
      <c r="CR289" s="268" t="e">
        <f>CR206-CQ206</f>
        <v>#DIV/0!</v>
      </c>
      <c r="CS289" s="268" t="e">
        <f>CS206-CR206</f>
        <v>#DIV/0!</v>
      </c>
      <c r="CT289" s="268" t="e">
        <f>SUM(CP289:CS289)</f>
        <v>#DIV/0!</v>
      </c>
      <c r="CU289" s="268" t="e">
        <f>CU206-CT206</f>
        <v>#DIV/0!</v>
      </c>
      <c r="CV289" s="268" t="e">
        <f>CV206-CU206</f>
        <v>#DIV/0!</v>
      </c>
      <c r="CW289" s="268" t="e">
        <f>CW206-CV206</f>
        <v>#DIV/0!</v>
      </c>
      <c r="CX289" s="268" t="e">
        <f>CX206-CW206</f>
        <v>#DIV/0!</v>
      </c>
      <c r="CY289" s="268" t="e">
        <f>SUM(CU289:CX289)</f>
        <v>#DIV/0!</v>
      </c>
    </row>
    <row r="290" hidden="1" outlineLevel="1" ht="12.75" customHeight="1" s="255">
      <c r="C290" s="266" t="inlineStr">
        <is>
          <t>Other current liabilities (non-debt)</t>
        </is>
      </c>
      <c r="D290" s="268" t="n"/>
      <c r="E290" s="268">
        <f>E207-D207</f>
        <v>-1502</v>
      </c>
      <c r="F290" s="268">
        <f>F207-E207</f>
        <v>-1506</v>
      </c>
      <c r="G290" s="268">
        <f>G207-F207</f>
        <v>-1612</v>
      </c>
      <c r="H290" s="268">
        <f>SUM(D290:G290)</f>
        <v>-4620</v>
      </c>
      <c r="I290" s="268">
        <f>I207-H207</f>
        <v>4667</v>
      </c>
      <c r="J290" s="268">
        <f>J207-I207</f>
        <v>-1548</v>
      </c>
      <c r="K290" s="268">
        <f>K207-J207</f>
        <v>-1574</v>
      </c>
      <c r="L290" s="268">
        <f>L207-K207</f>
        <v>-1525</v>
      </c>
      <c r="M290" s="268">
        <f>SUM(I290:L290)</f>
        <v>20</v>
      </c>
      <c r="N290" s="268">
        <f>N207-M207</f>
        <v>4631</v>
      </c>
      <c r="O290" s="268">
        <f>O207-N207</f>
        <v>-1559</v>
      </c>
      <c r="P290" s="268">
        <f>P207-O207</f>
        <v>-1507</v>
      </c>
      <c r="Q290" s="268">
        <f>Q207-P207</f>
        <v>-1509</v>
      </c>
      <c r="R290" s="268">
        <f>SUM(N290:Q290)</f>
        <v>56</v>
      </c>
      <c r="S290" s="268">
        <f>S207-R207</f>
        <v>4642</v>
      </c>
      <c r="T290" s="268">
        <f>T207-S207</f>
        <v>-1489</v>
      </c>
      <c r="U290" s="268">
        <f>U207-T207</f>
        <v>-1499</v>
      </c>
      <c r="V290" s="268">
        <f>V207-U207</f>
        <v>-1496</v>
      </c>
      <c r="W290" s="268">
        <f>SUM(S290:V290)</f>
        <v>158</v>
      </c>
      <c r="X290" s="268">
        <f>X207-W207</f>
        <v>5132</v>
      </c>
      <c r="Y290" s="268">
        <f>Y207-X207</f>
        <v>-1728</v>
      </c>
      <c r="Z290" s="268">
        <f>Z207-Y207</f>
        <v>-1666</v>
      </c>
      <c r="AA290" s="268">
        <f>AA207-Z207</f>
        <v>-1663</v>
      </c>
      <c r="AB290" s="268">
        <f>SUM(X290:AA290)</f>
        <v>75</v>
      </c>
      <c r="AC290" s="268">
        <f>AC207-AB207</f>
        <v>5651</v>
      </c>
      <c r="AD290" s="268">
        <f>AD207-AC207</f>
        <v>-1840</v>
      </c>
      <c r="AE290" s="268">
        <f>AE207-AD207</f>
        <v>-1861</v>
      </c>
      <c r="AF290" s="268">
        <f>AF207-AE207</f>
        <v>-1894</v>
      </c>
      <c r="AG290" s="268">
        <f>SUM(AC290:AF290)</f>
        <v>56</v>
      </c>
      <c r="AH290" s="268">
        <f>AH207-AG207</f>
        <v>5916</v>
      </c>
      <c r="AI290" s="268">
        <f>AI207-AH207</f>
        <v>-1943</v>
      </c>
      <c r="AJ290" s="268">
        <f>AJ207-AI207</f>
        <v>0</v>
      </c>
      <c r="AK290" s="268">
        <f>AK207-AJ207</f>
        <v>0</v>
      </c>
      <c r="AL290" s="268">
        <f>SUM(AH290:AK290)</f>
        <v>3973</v>
      </c>
      <c r="AM290" s="268">
        <f>AM207-AL207</f>
        <v>0</v>
      </c>
      <c r="AN290" s="268">
        <f>AN207-AM207</f>
        <v>0</v>
      </c>
      <c r="AO290" s="268">
        <f>AO207-AN207</f>
        <v>0</v>
      </c>
      <c r="AP290" s="268">
        <f>AP207-AO207</f>
        <v>0</v>
      </c>
      <c r="AQ290" s="268">
        <f>SUM(AM290:AP290)</f>
        <v>0</v>
      </c>
      <c r="AR290" s="268">
        <f>AR207-AQ207</f>
        <v>0</v>
      </c>
      <c r="AS290" s="268">
        <f>AS207-AR207</f>
        <v>0</v>
      </c>
      <c r="AT290" s="268">
        <f>AT207-AS207</f>
        <v>0</v>
      </c>
      <c r="AU290" s="268">
        <f>AU207-AT207</f>
        <v>0</v>
      </c>
      <c r="AV290" s="268">
        <f>SUM(AR290:AU290)</f>
        <v>0</v>
      </c>
      <c r="AW290" s="268">
        <f>AW207-AV207</f>
        <v>0</v>
      </c>
      <c r="AX290" s="268">
        <f>AX207-AW207</f>
        <v>0</v>
      </c>
      <c r="AY290" s="268">
        <f>AY207-AX207</f>
        <v>0</v>
      </c>
      <c r="AZ290" s="268">
        <f>AZ207-AY207</f>
        <v>0</v>
      </c>
      <c r="BA290" s="268">
        <f>SUM(AW290:AZ290)</f>
        <v>0</v>
      </c>
      <c r="BB290" s="268">
        <f>BB207-BA207</f>
        <v>0</v>
      </c>
      <c r="BC290" s="268">
        <f>BC207-BB207</f>
        <v>0</v>
      </c>
      <c r="BD290" s="268">
        <f>BD207-BC207</f>
        <v>0</v>
      </c>
      <c r="BE290" s="268">
        <f>BE207-BD207</f>
        <v>0</v>
      </c>
      <c r="BF290" s="268">
        <f>SUM(BB290:BE290)</f>
        <v>0</v>
      </c>
      <c r="BG290" s="268">
        <f>BG207-BF207</f>
        <v>0</v>
      </c>
      <c r="BH290" s="268">
        <f>BH207-BG207</f>
        <v>0</v>
      </c>
      <c r="BI290" s="268">
        <f>BI207-BH207</f>
        <v>0</v>
      </c>
      <c r="BJ290" s="268">
        <f>BJ207-BI207</f>
        <v>0</v>
      </c>
      <c r="BK290" s="268">
        <f>SUM(BG290:BJ290)</f>
        <v>0</v>
      </c>
      <c r="BL290" s="268">
        <f>BL207-BK207</f>
        <v>0</v>
      </c>
      <c r="BM290" s="268">
        <f>BM207-BL207</f>
        <v>0</v>
      </c>
      <c r="BN290" s="268">
        <f>BN207-BM207</f>
        <v>0</v>
      </c>
      <c r="BO290" s="268">
        <f>BO207-BN207</f>
        <v>0</v>
      </c>
      <c r="BP290" s="268">
        <f>SUM(BL290:BO290)</f>
        <v>0</v>
      </c>
      <c r="BQ290" s="268">
        <f>BQ207-BP207</f>
        <v>0</v>
      </c>
      <c r="BR290" s="268">
        <f>BR207-BQ207</f>
        <v>0</v>
      </c>
      <c r="BS290" s="268">
        <f>BS207-BR207</f>
        <v>0</v>
      </c>
      <c r="BT290" s="268">
        <f>BT207-BS207</f>
        <v>0</v>
      </c>
      <c r="BU290" s="268">
        <f>SUM(BQ290:BT290)</f>
        <v>0</v>
      </c>
      <c r="BV290" s="268">
        <f>BV207-BU207</f>
        <v>0</v>
      </c>
      <c r="BW290" s="268">
        <f>BW207-BV207</f>
        <v>0</v>
      </c>
      <c r="BX290" s="268">
        <f>BX207-BW207</f>
        <v>0</v>
      </c>
      <c r="BY290" s="268">
        <f>BY207-BX207</f>
        <v>0</v>
      </c>
      <c r="BZ290" s="268">
        <f>SUM(BV290:BY290)</f>
        <v>0</v>
      </c>
      <c r="CA290" s="268">
        <f>CA207-BZ207</f>
        <v>0</v>
      </c>
      <c r="CB290" s="268">
        <f>CB207-CA207</f>
        <v>0</v>
      </c>
      <c r="CC290" s="268">
        <f>CC207-CB207</f>
        <v>0</v>
      </c>
      <c r="CD290" s="268">
        <f>CD207-CC207</f>
        <v>0</v>
      </c>
      <c r="CE290" s="268">
        <f>SUM(CA290:CD290)</f>
        <v>0</v>
      </c>
      <c r="CF290" s="268">
        <f>CF207-CE207</f>
        <v>0</v>
      </c>
      <c r="CG290" s="268">
        <f>CG207-CF207</f>
        <v>0</v>
      </c>
      <c r="CH290" s="268">
        <f>CH207-CG207</f>
        <v>0</v>
      </c>
      <c r="CI290" s="268">
        <f>CI207-CH207</f>
        <v>0</v>
      </c>
      <c r="CJ290" s="268">
        <f>SUM(CF290:CI290)</f>
        <v>0</v>
      </c>
      <c r="CK290" s="268">
        <f>CK207-CJ207</f>
        <v>0</v>
      </c>
      <c r="CL290" s="268">
        <f>CL207-CK207</f>
        <v>0</v>
      </c>
      <c r="CM290" s="268">
        <f>CM207-CL207</f>
        <v>0</v>
      </c>
      <c r="CN290" s="268">
        <f>CN207-CM207</f>
        <v>0</v>
      </c>
      <c r="CO290" s="268">
        <f>SUM(CK290:CN290)</f>
        <v>0</v>
      </c>
      <c r="CP290" s="268">
        <f>CP207-CO207</f>
        <v>0</v>
      </c>
      <c r="CQ290" s="268">
        <f>CQ207-CP207</f>
        <v>0</v>
      </c>
      <c r="CR290" s="268">
        <f>CR207-CQ207</f>
        <v>0</v>
      </c>
      <c r="CS290" s="268">
        <f>CS207-CR207</f>
        <v>0</v>
      </c>
      <c r="CT290" s="268">
        <f>SUM(CP290:CS290)</f>
        <v>0</v>
      </c>
      <c r="CU290" s="268">
        <f>CU207-CT207</f>
        <v>0</v>
      </c>
      <c r="CV290" s="268">
        <f>CV207-CU207</f>
        <v>0</v>
      </c>
      <c r="CW290" s="268">
        <f>CW207-CV207</f>
        <v>0</v>
      </c>
      <c r="CX290" s="268">
        <f>CX207-CW207</f>
        <v>0</v>
      </c>
      <c r="CY290" s="268">
        <f>SUM(CU290:CX290)</f>
        <v>0</v>
      </c>
    </row>
    <row r="291" hidden="1" outlineLevel="1" ht="12.75" customHeight="1" s="255">
      <c r="C291" s="266" t="inlineStr">
        <is>
          <t>Deferred income taxes</t>
        </is>
      </c>
      <c r="D291" s="268" t="n"/>
      <c r="E291" s="268">
        <f>E241-D241</f>
        <v>0</v>
      </c>
      <c r="F291" s="268">
        <f>F241-E241</f>
        <v>0</v>
      </c>
      <c r="G291" s="268">
        <f>G241-F241</f>
        <v>0</v>
      </c>
      <c r="H291" s="268">
        <f>SUM(D291:G291)</f>
        <v>0</v>
      </c>
      <c r="I291" s="268">
        <f>I241-H241</f>
        <v>0</v>
      </c>
      <c r="J291" s="268">
        <f>J241-I241</f>
        <v>0</v>
      </c>
      <c r="K291" s="268">
        <f>K241-J241</f>
        <v>0</v>
      </c>
      <c r="L291" s="268">
        <f>L241-K241</f>
        <v>0</v>
      </c>
      <c r="M291" s="268">
        <f>SUM(I291:L291)</f>
        <v>0</v>
      </c>
      <c r="N291" s="268">
        <f>N241-M241</f>
        <v>0</v>
      </c>
      <c r="O291" s="268">
        <f>O241-N241</f>
        <v>0</v>
      </c>
      <c r="P291" s="268">
        <f>P241-O241</f>
        <v>0</v>
      </c>
      <c r="Q291" s="268">
        <f>Q241-P241</f>
        <v>0</v>
      </c>
      <c r="R291" s="268">
        <f>SUM(N291:Q291)</f>
        <v>0</v>
      </c>
      <c r="S291" s="268">
        <f>S241-R241</f>
        <v>0</v>
      </c>
      <c r="T291" s="268">
        <f>T241-S241</f>
        <v>0</v>
      </c>
      <c r="U291" s="268">
        <f>U241-T241</f>
        <v>0</v>
      </c>
      <c r="V291" s="268">
        <f>V241-U241</f>
        <v>0</v>
      </c>
      <c r="W291" s="268">
        <f>SUM(S291:V291)</f>
        <v>0</v>
      </c>
      <c r="X291" s="268">
        <f>X241-W241</f>
        <v>0</v>
      </c>
      <c r="Y291" s="268">
        <f>Y241-X241</f>
        <v>0</v>
      </c>
      <c r="Z291" s="268">
        <f>Z241-Y241</f>
        <v>0</v>
      </c>
      <c r="AA291" s="268">
        <f>AA241-Z241</f>
        <v>0</v>
      </c>
      <c r="AB291" s="268">
        <f>SUM(X291:AA291)</f>
        <v>0</v>
      </c>
      <c r="AC291" s="268">
        <f>AC241-AB241</f>
        <v>0</v>
      </c>
      <c r="AD291" s="268">
        <f>AD241-AC241</f>
        <v>0</v>
      </c>
      <c r="AE291" s="268">
        <f>AE241-AD241</f>
        <v>0</v>
      </c>
      <c r="AF291" s="268">
        <f>AF241-AE241</f>
        <v>0</v>
      </c>
      <c r="AG291" s="268">
        <f>SUM(AC291:AF291)</f>
        <v>0</v>
      </c>
      <c r="AH291" s="268">
        <f>AH241-AG241</f>
        <v>0</v>
      </c>
      <c r="AI291" s="268">
        <f>AI241-AH241</f>
        <v>0</v>
      </c>
      <c r="AJ291" s="268">
        <f>AJ241-AI241</f>
        <v>0</v>
      </c>
      <c r="AK291" s="268">
        <f>AK241-AJ241</f>
        <v>0</v>
      </c>
      <c r="AL291" s="268">
        <f>SUM(AH291:AK291)</f>
        <v>0</v>
      </c>
      <c r="AM291" s="268">
        <f>AM241-AL241</f>
        <v>0</v>
      </c>
      <c r="AN291" s="268">
        <f>AN241-AM241</f>
        <v>0</v>
      </c>
      <c r="AO291" s="268">
        <f>AO241-AN241</f>
        <v>0</v>
      </c>
      <c r="AP291" s="268">
        <f>AP241-AO241</f>
        <v>0</v>
      </c>
      <c r="AQ291" s="268">
        <f>SUM(AM291:AP291)</f>
        <v>0</v>
      </c>
      <c r="AR291" s="268">
        <f>AR241-AQ241</f>
        <v>0</v>
      </c>
      <c r="AS291" s="268">
        <f>AS241-AR241</f>
        <v>0</v>
      </c>
      <c r="AT291" s="268">
        <f>AT241-AS241</f>
        <v>0</v>
      </c>
      <c r="AU291" s="268">
        <f>AU241-AT241</f>
        <v>0</v>
      </c>
      <c r="AV291" s="268">
        <f>SUM(AR291:AU291)</f>
        <v>0</v>
      </c>
      <c r="AW291" s="268">
        <f>AW241-AV241</f>
        <v>0</v>
      </c>
      <c r="AX291" s="268">
        <f>AX241-AW241</f>
        <v>0</v>
      </c>
      <c r="AY291" s="268">
        <f>AY241-AX241</f>
        <v>0</v>
      </c>
      <c r="AZ291" s="268">
        <f>AZ241-AY241</f>
        <v>0</v>
      </c>
      <c r="BA291" s="268">
        <f>SUM(AW291:AZ291)</f>
        <v>0</v>
      </c>
      <c r="BB291" s="268">
        <f>BB241-BA241</f>
        <v>0</v>
      </c>
      <c r="BC291" s="268">
        <f>BC241-BB241</f>
        <v>0</v>
      </c>
      <c r="BD291" s="268">
        <f>BD241-BC241</f>
        <v>0</v>
      </c>
      <c r="BE291" s="268">
        <f>BE241-BD241</f>
        <v>0</v>
      </c>
      <c r="BF291" s="268">
        <f>SUM(BB291:BE291)</f>
        <v>0</v>
      </c>
      <c r="BG291" s="268">
        <f>BG241-BF241</f>
        <v>0</v>
      </c>
      <c r="BH291" s="268">
        <f>BH241-BG241</f>
        <v>0</v>
      </c>
      <c r="BI291" s="268">
        <f>BI241-BH241</f>
        <v>0</v>
      </c>
      <c r="BJ291" s="268">
        <f>BJ241-BI241</f>
        <v>0</v>
      </c>
      <c r="BK291" s="268">
        <f>SUM(BG291:BJ291)</f>
        <v>0</v>
      </c>
      <c r="BL291" s="268">
        <f>BL241-BK241</f>
        <v>0</v>
      </c>
      <c r="BM291" s="268">
        <f>BM241-BL241</f>
        <v>0</v>
      </c>
      <c r="BN291" s="268">
        <f>BN241-BM241</f>
        <v>0</v>
      </c>
      <c r="BO291" s="268">
        <f>BO241-BN241</f>
        <v>0</v>
      </c>
      <c r="BP291" s="268">
        <f>SUM(BL291:BO291)</f>
        <v>0</v>
      </c>
      <c r="BQ291" s="268">
        <f>BQ241-BP241</f>
        <v>0</v>
      </c>
      <c r="BR291" s="268">
        <f>BR241-BQ241</f>
        <v>0</v>
      </c>
      <c r="BS291" s="268">
        <f>BS241-BR241</f>
        <v>0</v>
      </c>
      <c r="BT291" s="268">
        <f>BT241-BS241</f>
        <v>0</v>
      </c>
      <c r="BU291" s="268">
        <f>SUM(BQ291:BT291)</f>
        <v>0</v>
      </c>
      <c r="BV291" s="268">
        <f>BV241-BU241</f>
        <v>0</v>
      </c>
      <c r="BW291" s="268">
        <f>BW241-BV241</f>
        <v>0</v>
      </c>
      <c r="BX291" s="268">
        <f>BX241-BW241</f>
        <v>0</v>
      </c>
      <c r="BY291" s="268">
        <f>BY241-BX241</f>
        <v>0</v>
      </c>
      <c r="BZ291" s="268">
        <f>SUM(BV291:BY291)</f>
        <v>0</v>
      </c>
      <c r="CA291" s="268">
        <f>CA241-BZ241</f>
        <v>0</v>
      </c>
      <c r="CB291" s="268">
        <f>CB241-CA241</f>
        <v>0</v>
      </c>
      <c r="CC291" s="268">
        <f>CC241-CB241</f>
        <v>0</v>
      </c>
      <c r="CD291" s="268">
        <f>CD241-CC241</f>
        <v>0</v>
      </c>
      <c r="CE291" s="268">
        <f>SUM(CA291:CD291)</f>
        <v>0</v>
      </c>
      <c r="CF291" s="268">
        <f>CF241-CE241</f>
        <v>0</v>
      </c>
      <c r="CG291" s="268">
        <f>CG241-CF241</f>
        <v>0</v>
      </c>
      <c r="CH291" s="268">
        <f>CH241-CG241</f>
        <v>0</v>
      </c>
      <c r="CI291" s="268">
        <f>CI241-CH241</f>
        <v>0</v>
      </c>
      <c r="CJ291" s="268">
        <f>SUM(CF291:CI291)</f>
        <v>0</v>
      </c>
      <c r="CK291" s="268">
        <f>CK241-CJ241</f>
        <v>0</v>
      </c>
      <c r="CL291" s="268">
        <f>CL241-CK241</f>
        <v>0</v>
      </c>
      <c r="CM291" s="268">
        <f>CM241-CL241</f>
        <v>0</v>
      </c>
      <c r="CN291" s="268">
        <f>CN241-CM241</f>
        <v>0</v>
      </c>
      <c r="CO291" s="268">
        <f>SUM(CK291:CN291)</f>
        <v>0</v>
      </c>
      <c r="CP291" s="268">
        <f>CP241-CO241</f>
        <v>0</v>
      </c>
      <c r="CQ291" s="268">
        <f>CQ241-CP241</f>
        <v>0</v>
      </c>
      <c r="CR291" s="268">
        <f>CR241-CQ241</f>
        <v>0</v>
      </c>
      <c r="CS291" s="268">
        <f>CS241-CR241</f>
        <v>0</v>
      </c>
      <c r="CT291" s="268">
        <f>SUM(CP291:CS291)</f>
        <v>0</v>
      </c>
      <c r="CU291" s="268">
        <f>CU241-CT241</f>
        <v>0</v>
      </c>
      <c r="CV291" s="268">
        <f>CV241-CU241</f>
        <v>0</v>
      </c>
      <c r="CW291" s="268">
        <f>CW241-CV241</f>
        <v>0</v>
      </c>
      <c r="CX291" s="268">
        <f>CX241-CW241</f>
        <v>0</v>
      </c>
      <c r="CY291" s="268">
        <f>SUM(CU291:CX291)</f>
        <v>0</v>
      </c>
    </row>
    <row r="292" ht="12.75" customHeight="1" s="255">
      <c r="C292" s="266" t="inlineStr">
        <is>
          <t>Equity income in affiliates</t>
        </is>
      </c>
      <c r="D292" s="268" t="n"/>
      <c r="E292" s="268">
        <f>(E163-D163)*-1</f>
        <v>0</v>
      </c>
      <c r="F292" s="268">
        <f>(F163-E163)*-1</f>
        <v>0</v>
      </c>
      <c r="G292" s="268">
        <f>(G163-F163)*-1</f>
        <v>0</v>
      </c>
      <c r="H292" s="268">
        <f>SUM(D292:G292)</f>
        <v>0</v>
      </c>
      <c r="I292" s="268">
        <f>(I163-H163)*-1</f>
        <v>0</v>
      </c>
      <c r="J292" s="268">
        <f>(J163-I163)*-1</f>
        <v>0</v>
      </c>
      <c r="K292" s="268">
        <f>(K163-J163)*-1</f>
        <v>0</v>
      </c>
      <c r="L292" s="268">
        <f>(L163-K163)*-1</f>
        <v>0</v>
      </c>
      <c r="M292" s="268">
        <f>SUM(I292:L292)</f>
        <v>0</v>
      </c>
      <c r="N292" s="268">
        <f>(N163-M163)*-1</f>
        <v>0</v>
      </c>
      <c r="O292" s="268">
        <f>(O163-N163)*-1</f>
        <v>0</v>
      </c>
      <c r="P292" s="268">
        <f>(P163-O163)*-1</f>
        <v>0</v>
      </c>
      <c r="Q292" s="268">
        <f>(Q163-P163)*-1</f>
        <v>0</v>
      </c>
      <c r="R292" s="268">
        <f>SUM(N292:Q292)</f>
        <v>0</v>
      </c>
      <c r="S292" s="268">
        <f>(S163-R163)*-1</f>
        <v>0</v>
      </c>
      <c r="T292" s="268">
        <f>(T163-S163)*-1</f>
        <v>0</v>
      </c>
      <c r="U292" s="268">
        <f>(U163-T163)*-1</f>
        <v>0</v>
      </c>
      <c r="V292" s="268">
        <f>(V163-U163)*-1</f>
        <v>0</v>
      </c>
      <c r="W292" s="268">
        <f>SUM(S292:V292)</f>
        <v>0</v>
      </c>
      <c r="X292" s="268">
        <f>(X163-W163)*-1</f>
        <v>0</v>
      </c>
      <c r="Y292" s="268">
        <f>(Y163-X163)*-1</f>
        <v>0</v>
      </c>
      <c r="Z292" s="268">
        <f>(Z163-Y163)*-1</f>
        <v>0</v>
      </c>
      <c r="AA292" s="268">
        <f>(AA163-Z163)*-1</f>
        <v>0</v>
      </c>
      <c r="AB292" s="268">
        <f>SUM(X292:AA292)</f>
        <v>0</v>
      </c>
      <c r="AC292" s="268">
        <f>(AC163-AB163)*-1</f>
        <v>0</v>
      </c>
      <c r="AD292" s="268">
        <f>(AD163-AC163)*-1</f>
        <v>0</v>
      </c>
      <c r="AE292" s="268">
        <f>(AE163-AD163)*-1</f>
        <v>0</v>
      </c>
      <c r="AF292" s="268">
        <f>(AF163-AE163)*-1</f>
        <v>0</v>
      </c>
      <c r="AG292" s="268">
        <f>SUM(AC292:AF292)</f>
        <v>0</v>
      </c>
      <c r="AH292" s="268">
        <f>(AH163-AG163)*-1</f>
        <v>0</v>
      </c>
      <c r="AI292" s="268">
        <f>(AI163-AH163)*-1</f>
        <v>0</v>
      </c>
      <c r="AJ292" s="268">
        <f>(AJ163-AI163)*-1</f>
        <v>0</v>
      </c>
      <c r="AK292" s="268">
        <f>(AK163-AJ163)*-1</f>
        <v>0</v>
      </c>
      <c r="AL292" s="268">
        <f>SUM(AH292:AK292)</f>
        <v>0</v>
      </c>
      <c r="AM292" s="268">
        <f>(AM163-AL163)*-1</f>
        <v>0</v>
      </c>
      <c r="AN292" s="268">
        <f>(AN163-AM163)*-1</f>
        <v>0</v>
      </c>
      <c r="AO292" s="268">
        <f>(AO163-AN163)*-1</f>
        <v>0</v>
      </c>
      <c r="AP292" s="268">
        <f>(AP163-AO163)*-1</f>
        <v>0</v>
      </c>
      <c r="AQ292" s="268">
        <f>SUM(AM292:AP292)</f>
        <v>0</v>
      </c>
      <c r="AR292" s="268">
        <f>(AR163-AQ163)*-1</f>
        <v>0</v>
      </c>
      <c r="AS292" s="268">
        <f>(AS163-AR163)*-1</f>
        <v>0</v>
      </c>
      <c r="AT292" s="268">
        <f>(AT163-AS163)*-1</f>
        <v>0</v>
      </c>
      <c r="AU292" s="268">
        <f>(AU163-AT163)*-1</f>
        <v>0</v>
      </c>
      <c r="AV292" s="268">
        <f>SUM(AR292:AU292)</f>
        <v>0</v>
      </c>
      <c r="AW292" s="268">
        <f>(AW163-AV163)*-1</f>
        <v>0</v>
      </c>
      <c r="AX292" s="268">
        <f>(AX163-AW163)*-1</f>
        <v>0</v>
      </c>
      <c r="AY292" s="268">
        <f>(AY163-AX163)*-1</f>
        <v>0</v>
      </c>
      <c r="AZ292" s="268">
        <f>(AZ163-AY163)*-1</f>
        <v>0</v>
      </c>
      <c r="BA292" s="268">
        <f>SUM(AW292:AZ292)</f>
        <v>0</v>
      </c>
      <c r="BB292" s="268">
        <f>(BB163-BA163)*-1</f>
        <v>0</v>
      </c>
      <c r="BC292" s="268">
        <f>(BC163-BB163)*-1</f>
        <v>0</v>
      </c>
      <c r="BD292" s="268">
        <f>(BD163-BC163)*-1</f>
        <v>0</v>
      </c>
      <c r="BE292" s="268">
        <f>(BE163-BD163)*-1</f>
        <v>0</v>
      </c>
      <c r="BF292" s="268">
        <f>SUM(BB292:BE292)</f>
        <v>0</v>
      </c>
      <c r="BG292" s="268">
        <f>(BG163-BF163)*-1</f>
        <v>0</v>
      </c>
      <c r="BH292" s="268">
        <f>(BH163-BG163)*-1</f>
        <v>0</v>
      </c>
      <c r="BI292" s="268">
        <f>(BI163-BH163)*-1</f>
        <v>0</v>
      </c>
      <c r="BJ292" s="268">
        <f>(BJ163-BI163)*-1</f>
        <v>0</v>
      </c>
      <c r="BK292" s="268">
        <f>SUM(BG292:BJ292)</f>
        <v>0</v>
      </c>
      <c r="BL292" s="268">
        <f>(BL163-BK163)*-1</f>
        <v>0</v>
      </c>
      <c r="BM292" s="268">
        <f>(BM163-BL163)*-1</f>
        <v>0</v>
      </c>
      <c r="BN292" s="268">
        <f>(BN163-BM163)*-1</f>
        <v>0</v>
      </c>
      <c r="BO292" s="268">
        <f>(BO163-BN163)*-1</f>
        <v>0</v>
      </c>
      <c r="BP292" s="268">
        <f>SUM(BL292:BO292)</f>
        <v>0</v>
      </c>
      <c r="BQ292" s="268">
        <f>(BQ163-BP163)*-1</f>
        <v>0</v>
      </c>
      <c r="BR292" s="268">
        <f>(BR163-BQ163)*-1</f>
        <v>0</v>
      </c>
      <c r="BS292" s="268">
        <f>(BS163-BR163)*-1</f>
        <v>0</v>
      </c>
      <c r="BT292" s="268">
        <f>(BT163-BS163)*-1</f>
        <v>0</v>
      </c>
      <c r="BU292" s="268">
        <f>SUM(BQ292:BT292)</f>
        <v>0</v>
      </c>
      <c r="BV292" s="268">
        <f>(BV163-BU163)*-1</f>
        <v>0</v>
      </c>
      <c r="BW292" s="268">
        <f>(BW163-BV163)*-1</f>
        <v>0</v>
      </c>
      <c r="BX292" s="268">
        <f>(BX163-BW163)*-1</f>
        <v>0</v>
      </c>
      <c r="BY292" s="268">
        <f>(BY163-BX163)*-1</f>
        <v>0</v>
      </c>
      <c r="BZ292" s="268">
        <f>SUM(BV292:BY292)</f>
        <v>0</v>
      </c>
      <c r="CA292" s="268">
        <f>(CA163-BZ163)*-1</f>
        <v>0</v>
      </c>
      <c r="CB292" s="268">
        <f>(CB163-CA163)*-1</f>
        <v>0</v>
      </c>
      <c r="CC292" s="268">
        <f>(CC163-CB163)*-1</f>
        <v>0</v>
      </c>
      <c r="CD292" s="268">
        <f>(CD163-CC163)*-1</f>
        <v>0</v>
      </c>
      <c r="CE292" s="268">
        <f>SUM(CA292:CD292)</f>
        <v>0</v>
      </c>
      <c r="CF292" s="268">
        <f>(CF163-CE163)*-1</f>
        <v>0</v>
      </c>
      <c r="CG292" s="268">
        <f>(CG163-CF163)*-1</f>
        <v>0</v>
      </c>
      <c r="CH292" s="268">
        <f>(CH163-CG163)*-1</f>
        <v>0</v>
      </c>
      <c r="CI292" s="268">
        <f>(CI163-CH163)*-1</f>
        <v>0</v>
      </c>
      <c r="CJ292" s="268">
        <f>SUM(CF292:CI292)</f>
        <v>0</v>
      </c>
      <c r="CK292" s="268">
        <f>(CK163-CJ163)*-1</f>
        <v>0</v>
      </c>
      <c r="CL292" s="268">
        <f>(CL163-CK163)*-1</f>
        <v>0</v>
      </c>
      <c r="CM292" s="268">
        <f>(CM163-CL163)*-1</f>
        <v>0</v>
      </c>
      <c r="CN292" s="268">
        <f>(CN163-CM163)*-1</f>
        <v>0</v>
      </c>
      <c r="CO292" s="268">
        <f>SUM(CK292:CN292)</f>
        <v>0</v>
      </c>
      <c r="CP292" s="268">
        <f>(CP163-CO163)*-1</f>
        <v>0</v>
      </c>
      <c r="CQ292" s="268">
        <f>(CQ163-CP163)*-1</f>
        <v>0</v>
      </c>
      <c r="CR292" s="268">
        <f>(CR163-CQ163)*-1</f>
        <v>0</v>
      </c>
      <c r="CS292" s="268">
        <f>(CS163-CR163)*-1</f>
        <v>0</v>
      </c>
      <c r="CT292" s="268">
        <f>SUM(CP292:CS292)</f>
        <v>0</v>
      </c>
      <c r="CU292" s="268">
        <f>(CU163-CT163)*-1</f>
        <v>0</v>
      </c>
      <c r="CV292" s="268">
        <f>(CV163-CU163)*-1</f>
        <v>0</v>
      </c>
      <c r="CW292" s="268">
        <f>(CW163-CV163)*-1</f>
        <v>0</v>
      </c>
      <c r="CX292" s="268">
        <f>(CX163-CW163)*-1</f>
        <v>0</v>
      </c>
      <c r="CY292" s="268">
        <f>SUM(CU292:CX292)</f>
        <v>0</v>
      </c>
    </row>
    <row r="293" ht="12.75" customHeight="1" s="255">
      <c r="C293" s="266" t="inlineStr">
        <is>
          <t>Dividends received from affiliates</t>
        </is>
      </c>
      <c r="D293" s="268" t="n"/>
      <c r="E293" s="268">
        <f>-E166</f>
        <v>0</v>
      </c>
      <c r="F293" s="268">
        <f>-F166</f>
        <v>0</v>
      </c>
      <c r="G293" s="268">
        <f>-G166</f>
        <v>0</v>
      </c>
      <c r="H293" s="268">
        <f>SUM(D293:G293)</f>
        <v>0</v>
      </c>
      <c r="I293" s="268">
        <f>-I166</f>
        <v>0</v>
      </c>
      <c r="J293" s="268">
        <f>-J166</f>
        <v>0</v>
      </c>
      <c r="K293" s="268">
        <f>-K166</f>
        <v>0</v>
      </c>
      <c r="L293" s="268">
        <f>-L166</f>
        <v>0</v>
      </c>
      <c r="M293" s="268">
        <f>SUM(I293:L293)</f>
        <v>0</v>
      </c>
      <c r="N293" s="268">
        <f>-N166</f>
        <v>0</v>
      </c>
      <c r="O293" s="268">
        <f>-O166</f>
        <v>0</v>
      </c>
      <c r="P293" s="268">
        <f>-P166</f>
        <v>0</v>
      </c>
      <c r="Q293" s="268">
        <f>-Q166</f>
        <v>0</v>
      </c>
      <c r="R293" s="268">
        <f>SUM(N293:Q293)</f>
        <v>0</v>
      </c>
      <c r="S293" s="268">
        <f>-S166</f>
        <v>0</v>
      </c>
      <c r="T293" s="268">
        <f>-T166</f>
        <v>0</v>
      </c>
      <c r="U293" s="268">
        <f>-U166</f>
        <v>0</v>
      </c>
      <c r="V293" s="268">
        <f>-V166</f>
        <v>0</v>
      </c>
      <c r="W293" s="268">
        <f>SUM(S293:V293)</f>
        <v>0</v>
      </c>
      <c r="X293" s="268">
        <f>-X166</f>
        <v>0</v>
      </c>
      <c r="Y293" s="268">
        <f>-Y166</f>
        <v>0</v>
      </c>
      <c r="Z293" s="268">
        <f>-Z166</f>
        <v>0</v>
      </c>
      <c r="AA293" s="268">
        <f>-AA166</f>
        <v>0</v>
      </c>
      <c r="AB293" s="268">
        <f>SUM(X293:AA293)</f>
        <v>0</v>
      </c>
      <c r="AC293" s="268">
        <f>-AC166</f>
        <v>0</v>
      </c>
      <c r="AD293" s="268">
        <f>-AD166</f>
        <v>0</v>
      </c>
      <c r="AE293" s="268">
        <f>-AE166</f>
        <v>0</v>
      </c>
      <c r="AF293" s="268">
        <f>-AF166</f>
        <v>0</v>
      </c>
      <c r="AG293" s="268">
        <f>SUM(AC293:AF293)</f>
        <v>0</v>
      </c>
      <c r="AH293" s="268">
        <f>-AH166</f>
        <v>0</v>
      </c>
      <c r="AI293" s="268">
        <f>-AI166</f>
        <v>0</v>
      </c>
      <c r="AJ293" s="268">
        <f>-AJ166</f>
        <v>0</v>
      </c>
      <c r="AK293" s="268">
        <f>-AK166</f>
        <v>0</v>
      </c>
      <c r="AL293" s="268">
        <f>SUM(AH293:AK293)</f>
        <v>0</v>
      </c>
      <c r="AM293" s="268">
        <f>-AM166</f>
        <v>0</v>
      </c>
      <c r="AN293" s="268">
        <f>-AN166</f>
        <v>0</v>
      </c>
      <c r="AO293" s="268">
        <f>-AO166</f>
        <v>0</v>
      </c>
      <c r="AP293" s="268">
        <f>-AP166</f>
        <v>0</v>
      </c>
      <c r="AQ293" s="268">
        <f>SUM(AM293:AP293)</f>
        <v>0</v>
      </c>
      <c r="AR293" s="268">
        <f>-AR166</f>
        <v>0</v>
      </c>
      <c r="AS293" s="268">
        <f>-AS166</f>
        <v>0</v>
      </c>
      <c r="AT293" s="268">
        <f>-AT166</f>
        <v>0</v>
      </c>
      <c r="AU293" s="268">
        <f>-AU166</f>
        <v>0</v>
      </c>
      <c r="AV293" s="268">
        <f>SUM(AR293:AU293)</f>
        <v>0</v>
      </c>
      <c r="AW293" s="268">
        <f>-AW166</f>
        <v>0</v>
      </c>
      <c r="AX293" s="268">
        <f>-AX166</f>
        <v>0</v>
      </c>
      <c r="AY293" s="268">
        <f>-AY166</f>
        <v>0</v>
      </c>
      <c r="AZ293" s="268">
        <f>-AZ166</f>
        <v>0</v>
      </c>
      <c r="BA293" s="268">
        <f>SUM(AW293:AZ293)</f>
        <v>0</v>
      </c>
      <c r="BB293" s="268">
        <f>-BB166</f>
        <v>0</v>
      </c>
      <c r="BC293" s="268">
        <f>-BC166</f>
        <v>0</v>
      </c>
      <c r="BD293" s="268">
        <f>-BD166</f>
        <v>0</v>
      </c>
      <c r="BE293" s="268">
        <f>-BE166</f>
        <v>0</v>
      </c>
      <c r="BF293" s="268">
        <f>SUM(BB293:BE293)</f>
        <v>0</v>
      </c>
      <c r="BG293" s="268">
        <f>-BG166</f>
        <v>0</v>
      </c>
      <c r="BH293" s="268">
        <f>-BH166</f>
        <v>0</v>
      </c>
      <c r="BI293" s="268">
        <f>-BI166</f>
        <v>0</v>
      </c>
      <c r="BJ293" s="268">
        <f>-BJ166</f>
        <v>0</v>
      </c>
      <c r="BK293" s="268">
        <f>SUM(BG293:BJ293)</f>
        <v>0</v>
      </c>
      <c r="BL293" s="268">
        <f>-BL166</f>
        <v>0</v>
      </c>
      <c r="BM293" s="268">
        <f>-BM166</f>
        <v>0</v>
      </c>
      <c r="BN293" s="268">
        <f>-BN166</f>
        <v>0</v>
      </c>
      <c r="BO293" s="268">
        <f>-BO166</f>
        <v>0</v>
      </c>
      <c r="BP293" s="268">
        <f>SUM(BL293:BO293)</f>
        <v>0</v>
      </c>
      <c r="BQ293" s="268">
        <f>-BQ166</f>
        <v>0</v>
      </c>
      <c r="BR293" s="268">
        <f>-BR166</f>
        <v>0</v>
      </c>
      <c r="BS293" s="268">
        <f>-BS166</f>
        <v>0</v>
      </c>
      <c r="BT293" s="268">
        <f>-BT166</f>
        <v>0</v>
      </c>
      <c r="BU293" s="268">
        <f>SUM(BQ293:BT293)</f>
        <v>0</v>
      </c>
      <c r="BV293" s="268">
        <f>-BV166</f>
        <v>0</v>
      </c>
      <c r="BW293" s="268">
        <f>-BW166</f>
        <v>0</v>
      </c>
      <c r="BX293" s="268">
        <f>-BX166</f>
        <v>0</v>
      </c>
      <c r="BY293" s="268">
        <f>-BY166</f>
        <v>0</v>
      </c>
      <c r="BZ293" s="268">
        <f>SUM(BV293:BY293)</f>
        <v>0</v>
      </c>
      <c r="CA293" s="268">
        <f>-CA166</f>
        <v>0</v>
      </c>
      <c r="CB293" s="268">
        <f>-CB166</f>
        <v>0</v>
      </c>
      <c r="CC293" s="268">
        <f>-CC166</f>
        <v>0</v>
      </c>
      <c r="CD293" s="268">
        <f>-CD166</f>
        <v>0</v>
      </c>
      <c r="CE293" s="268">
        <f>SUM(CA293:CD293)</f>
        <v>0</v>
      </c>
      <c r="CF293" s="268">
        <f>-CF166</f>
        <v>0</v>
      </c>
      <c r="CG293" s="268">
        <f>-CG166</f>
        <v>0</v>
      </c>
      <c r="CH293" s="268">
        <f>-CH166</f>
        <v>0</v>
      </c>
      <c r="CI293" s="268">
        <f>-CI166</f>
        <v>0</v>
      </c>
      <c r="CJ293" s="268">
        <f>SUM(CF293:CI293)</f>
        <v>0</v>
      </c>
      <c r="CK293" s="268">
        <f>-CK166</f>
        <v>0</v>
      </c>
      <c r="CL293" s="268">
        <f>-CL166</f>
        <v>0</v>
      </c>
      <c r="CM293" s="268">
        <f>-CM166</f>
        <v>0</v>
      </c>
      <c r="CN293" s="268">
        <f>-CN166</f>
        <v>0</v>
      </c>
      <c r="CO293" s="268">
        <f>SUM(CK293:CN293)</f>
        <v>0</v>
      </c>
      <c r="CP293" s="268">
        <f>-CP166</f>
        <v>0</v>
      </c>
      <c r="CQ293" s="268">
        <f>-CQ166</f>
        <v>0</v>
      </c>
      <c r="CR293" s="268">
        <f>-CR166</f>
        <v>0</v>
      </c>
      <c r="CS293" s="268">
        <f>-CS166</f>
        <v>0</v>
      </c>
      <c r="CT293" s="268">
        <f>SUM(CP293:CS293)</f>
        <v>0</v>
      </c>
      <c r="CU293" s="268">
        <f>-CU166</f>
        <v>0</v>
      </c>
      <c r="CV293" s="268">
        <f>-CV166</f>
        <v>0</v>
      </c>
      <c r="CW293" s="268">
        <f>-CW166</f>
        <v>0</v>
      </c>
      <c r="CX293" s="268">
        <f>-CX166</f>
        <v>0</v>
      </c>
      <c r="CY293" s="268">
        <f>SUM(CU293:CX293)</f>
        <v>0</v>
      </c>
    </row>
    <row r="294" ht="12.75" customHeight="1" s="255">
      <c r="C294" s="328" t="inlineStr">
        <is>
          <t>Minority interest expense</t>
        </is>
      </c>
      <c r="D294" s="268" t="n"/>
      <c r="E294" s="268">
        <f>-E138</f>
        <v>-37</v>
      </c>
      <c r="F294" s="268">
        <f>-F138</f>
        <v>66</v>
      </c>
      <c r="G294" s="268">
        <f>-G138</f>
        <v>83</v>
      </c>
      <c r="H294" s="268">
        <f>SUM(D294:G294)</f>
        <v>112</v>
      </c>
      <c r="I294" s="268">
        <f>-I138</f>
        <v>81</v>
      </c>
      <c r="J294" s="268">
        <f>-J138</f>
        <v>88</v>
      </c>
      <c r="K294" s="268">
        <f>-K138</f>
        <v>27</v>
      </c>
      <c r="L294" s="268">
        <f>-L138</f>
        <v>71</v>
      </c>
      <c r="M294" s="268">
        <f>SUM(I294:L294)</f>
        <v>267</v>
      </c>
      <c r="N294" s="268">
        <f>-N138</f>
        <v>49</v>
      </c>
      <c r="O294" s="268">
        <f>-O138</f>
        <v>-2</v>
      </c>
      <c r="P294" s="268">
        <f>-P138</f>
        <v>31</v>
      </c>
      <c r="Q294" s="268">
        <f>-Q138</f>
        <v>-466</v>
      </c>
      <c r="R294" s="268">
        <f>SUM(N294:Q294)</f>
        <v>-388</v>
      </c>
      <c r="S294" s="268">
        <f>-S138</f>
        <v>223</v>
      </c>
      <c r="T294" s="268">
        <f>-T138</f>
        <v>162</v>
      </c>
      <c r="U294" s="268">
        <f>-U138</f>
        <v>190</v>
      </c>
      <c r="V294" s="268">
        <f>-V138</f>
        <v>184</v>
      </c>
      <c r="W294" s="268">
        <f>SUM(S294:V294)</f>
        <v>759</v>
      </c>
      <c r="X294" s="268">
        <f>-X138</f>
        <v>203</v>
      </c>
      <c r="Y294" s="268">
        <f>-Y138</f>
        <v>210</v>
      </c>
      <c r="Z294" s="268">
        <f>-Z138</f>
        <v>137</v>
      </c>
      <c r="AA294" s="268">
        <f>-AA138</f>
        <v>171</v>
      </c>
      <c r="AB294" s="268">
        <f>SUM(X294:AA294)</f>
        <v>721</v>
      </c>
      <c r="AC294" s="268">
        <f>-AC138</f>
        <v>152</v>
      </c>
      <c r="AD294" s="268">
        <f>-AD138</f>
        <v>125</v>
      </c>
      <c r="AE294" s="268">
        <f>-AE138</f>
        <v>-55</v>
      </c>
      <c r="AF294" s="268">
        <f>-AF138</f>
        <v>155</v>
      </c>
      <c r="AG294" s="268">
        <f>SUM(AC294:AF294)</f>
        <v>377</v>
      </c>
      <c r="AH294" s="268">
        <f>-AH138</f>
        <v>160</v>
      </c>
      <c r="AI294" s="268">
        <f>-AI138</f>
        <v>163</v>
      </c>
      <c r="AJ294" s="268">
        <f>-AJ138</f>
        <v>-55</v>
      </c>
      <c r="AK294" s="268">
        <f>-AK138</f>
        <v>155</v>
      </c>
      <c r="AL294" s="268">
        <f>SUM(AH294:AK294)</f>
        <v>423</v>
      </c>
      <c r="AM294" s="268">
        <f>-AM138</f>
        <v>160</v>
      </c>
      <c r="AN294" s="268">
        <f>-AN138</f>
        <v>163</v>
      </c>
      <c r="AO294" s="268">
        <f>-AO138</f>
        <v>-55</v>
      </c>
      <c r="AP294" s="268">
        <f>-AP138</f>
        <v>155</v>
      </c>
      <c r="AQ294" s="268">
        <f>SUM(AM294:AP294)</f>
        <v>423</v>
      </c>
      <c r="AR294" s="268">
        <f>-AR138</f>
        <v>160</v>
      </c>
      <c r="AS294" s="268">
        <f>-AS138</f>
        <v>163</v>
      </c>
      <c r="AT294" s="268">
        <f>-AT138</f>
        <v>-55</v>
      </c>
      <c r="AU294" s="268">
        <f>-AU138</f>
        <v>155</v>
      </c>
      <c r="AV294" s="268">
        <f>SUM(AR294:AU294)</f>
        <v>423</v>
      </c>
      <c r="AW294" s="268">
        <f>-AW138</f>
        <v>160</v>
      </c>
      <c r="AX294" s="268">
        <f>-AX138</f>
        <v>163</v>
      </c>
      <c r="AY294" s="268">
        <f>-AY138</f>
        <v>-55</v>
      </c>
      <c r="AZ294" s="268">
        <f>-AZ138</f>
        <v>155</v>
      </c>
      <c r="BA294" s="268">
        <f>SUM(AW294:AZ294)</f>
        <v>423</v>
      </c>
      <c r="BB294" s="268">
        <f>-BB138</f>
        <v>160</v>
      </c>
      <c r="BC294" s="268">
        <f>-BC138</f>
        <v>163</v>
      </c>
      <c r="BD294" s="268">
        <f>-BD138</f>
        <v>-55</v>
      </c>
      <c r="BE294" s="268">
        <f>-BE138</f>
        <v>155</v>
      </c>
      <c r="BF294" s="268">
        <f>SUM(BB294:BE294)</f>
        <v>423</v>
      </c>
      <c r="BG294" s="268">
        <f>-BG138</f>
        <v>160</v>
      </c>
      <c r="BH294" s="268">
        <f>-BH138</f>
        <v>163</v>
      </c>
      <c r="BI294" s="268">
        <f>-BI138</f>
        <v>-55</v>
      </c>
      <c r="BJ294" s="268">
        <f>-BJ138</f>
        <v>155</v>
      </c>
      <c r="BK294" s="268">
        <f>SUM(BG294:BJ294)</f>
        <v>423</v>
      </c>
      <c r="BL294" s="268">
        <f>-BL138</f>
        <v>160</v>
      </c>
      <c r="BM294" s="268">
        <f>-BM138</f>
        <v>163</v>
      </c>
      <c r="BN294" s="268">
        <f>-BN138</f>
        <v>-55</v>
      </c>
      <c r="BO294" s="268">
        <f>-BO138</f>
        <v>155</v>
      </c>
      <c r="BP294" s="268">
        <f>SUM(BL294:BO294)</f>
        <v>423</v>
      </c>
      <c r="BQ294" s="268">
        <f>-BQ138</f>
        <v>160</v>
      </c>
      <c r="BR294" s="268">
        <f>-BR138</f>
        <v>163</v>
      </c>
      <c r="BS294" s="268">
        <f>-BS138</f>
        <v>-55</v>
      </c>
      <c r="BT294" s="268">
        <f>-BT138</f>
        <v>155</v>
      </c>
      <c r="BU294" s="268">
        <f>SUM(BQ294:BT294)</f>
        <v>423</v>
      </c>
      <c r="BV294" s="268">
        <f>-BV138</f>
        <v>160</v>
      </c>
      <c r="BW294" s="268">
        <f>-BW138</f>
        <v>163</v>
      </c>
      <c r="BX294" s="268">
        <f>-BX138</f>
        <v>-55</v>
      </c>
      <c r="BY294" s="268">
        <f>-BY138</f>
        <v>155</v>
      </c>
      <c r="BZ294" s="268">
        <f>SUM(BV294:BY294)</f>
        <v>423</v>
      </c>
      <c r="CA294" s="268">
        <f>-CA138</f>
        <v>160</v>
      </c>
      <c r="CB294" s="268">
        <f>-CB138</f>
        <v>163</v>
      </c>
      <c r="CC294" s="268">
        <f>-CC138</f>
        <v>-55</v>
      </c>
      <c r="CD294" s="268">
        <f>-CD138</f>
        <v>155</v>
      </c>
      <c r="CE294" s="268">
        <f>SUM(CA294:CD294)</f>
        <v>423</v>
      </c>
      <c r="CF294" s="268">
        <f>-CF138</f>
        <v>160</v>
      </c>
      <c r="CG294" s="268">
        <f>-CG138</f>
        <v>163</v>
      </c>
      <c r="CH294" s="268">
        <f>-CH138</f>
        <v>-55</v>
      </c>
      <c r="CI294" s="268">
        <f>-CI138</f>
        <v>155</v>
      </c>
      <c r="CJ294" s="268">
        <f>SUM(CF294:CI294)</f>
        <v>423</v>
      </c>
      <c r="CK294" s="268">
        <f>-CK138</f>
        <v>160</v>
      </c>
      <c r="CL294" s="268">
        <f>-CL138</f>
        <v>163</v>
      </c>
      <c r="CM294" s="268">
        <f>-CM138</f>
        <v>-55</v>
      </c>
      <c r="CN294" s="268">
        <f>-CN138</f>
        <v>155</v>
      </c>
      <c r="CO294" s="268">
        <f>SUM(CK294:CN294)</f>
        <v>423</v>
      </c>
      <c r="CP294" s="268">
        <f>-CP138</f>
        <v>160</v>
      </c>
      <c r="CQ294" s="268">
        <f>-CQ138</f>
        <v>163</v>
      </c>
      <c r="CR294" s="268">
        <f>-CR138</f>
        <v>-55</v>
      </c>
      <c r="CS294" s="268">
        <f>-CS138</f>
        <v>155</v>
      </c>
      <c r="CT294" s="268">
        <f>SUM(CP294:CS294)</f>
        <v>423</v>
      </c>
      <c r="CU294" s="268">
        <f>-CU138</f>
        <v>160</v>
      </c>
      <c r="CV294" s="268">
        <f>-CV138</f>
        <v>163</v>
      </c>
      <c r="CW294" s="268">
        <f>-CW138</f>
        <v>-55</v>
      </c>
      <c r="CX294" s="268">
        <f>-CX138</f>
        <v>155</v>
      </c>
      <c r="CY294" s="268">
        <f>SUM(CU294:CX294)</f>
        <v>423</v>
      </c>
    </row>
    <row r="295" ht="12.75" customHeight="1" s="255">
      <c r="C295" s="270" t="inlineStr">
        <is>
          <t>Cash from operations</t>
        </is>
      </c>
      <c r="D295" s="268" t="n"/>
      <c r="E295" s="268">
        <f>SUM(E279,E280,E281,E292,E293,E294)</f>
        <v>12944</v>
      </c>
      <c r="F295" s="268">
        <f>SUM(F279,F280,F281,F292,F293,F294)</f>
        <v>4270</v>
      </c>
      <c r="G295" s="268">
        <f>SUM(G279,G280,G281,G292,G293,G294)</f>
        <v>-6196</v>
      </c>
      <c r="H295" s="268">
        <f>SUM(H279,H280,H281,H292,H293,H294)</f>
        <v>11018</v>
      </c>
      <c r="I295" s="268">
        <f>SUM(I279,I280,I281,I292,I293,I294)</f>
        <v>11744</v>
      </c>
      <c r="J295" s="268">
        <f>SUM(J279,J280,J281,J292,J293,J294)</f>
        <v>7200</v>
      </c>
      <c r="K295" s="268">
        <f>SUM(K279,K280,K281,K292,K293,K294)</f>
        <v>1060</v>
      </c>
      <c r="L295" s="268">
        <f>SUM(L279,L280,L281,L292,L293,L294)</f>
        <v>5453</v>
      </c>
      <c r="M295" s="268">
        <f>SUM(M279,M280,M281,M292,M293,M294)</f>
        <v>25457</v>
      </c>
      <c r="N295" s="268">
        <f>SUM(N279,N280,N281,N292,N293,N294)</f>
        <v>-2960</v>
      </c>
      <c r="O295" s="268">
        <f>SUM(O279,O280,O281,O292,O293,O294)</f>
        <v>11460</v>
      </c>
      <c r="P295" s="268">
        <f>SUM(P279,P280,P281,P292,P293,P294)</f>
        <v>333</v>
      </c>
      <c r="Q295" s="268">
        <f>SUM(Q279,Q280,Q281,Q292,Q293,Q294)</f>
        <v>16163</v>
      </c>
      <c r="R295" s="268">
        <f>SUM(R279,R280,R281,R292,R293,R294)</f>
        <v>24996</v>
      </c>
      <c r="S295" s="268">
        <f>SUM(S279,S280,S281,S292,S293,S294)</f>
        <v>6002</v>
      </c>
      <c r="T295" s="268">
        <f>SUM(T279,T280,T281,T292,T293,T294)</f>
        <v>12726</v>
      </c>
      <c r="U295" s="268">
        <f>SUM(U279,U280,U281,U292,U293,U294)</f>
        <v>-4761</v>
      </c>
      <c r="V295" s="268">
        <f>SUM(V279,V280,V281,V292,V293,V294)</f>
        <v>14617</v>
      </c>
      <c r="W295" s="268">
        <f>SUM(W279,W280,W281,W292,W293,W294)</f>
        <v>28584</v>
      </c>
      <c r="X295" s="268">
        <f>SUM(X279,X280,X281,X292,X293,X294)</f>
        <v>8391</v>
      </c>
      <c r="Y295" s="268">
        <f>SUM(Y279,Y280,Y281,Y292,Y293,Y294)</f>
        <v>9751</v>
      </c>
      <c r="Z295" s="268">
        <f>SUM(Z279,Z280,Z281,Z292,Z293,Z294)</f>
        <v>3933</v>
      </c>
      <c r="AA295" s="268">
        <f>SUM(AA279,AA280,AA281,AA292,AA293,AA294)</f>
        <v>10460</v>
      </c>
      <c r="AB295" s="268">
        <f>SUM(AB279,AB280,AB281,AB292,AB293,AB294)</f>
        <v>32535</v>
      </c>
      <c r="AC295" s="268">
        <f>SUM(AC279,AC280,AC281,AC292,AC293,AC294)</f>
        <v>9769</v>
      </c>
      <c r="AD295" s="268">
        <f>SUM(AD279,AD280,AD281,AD292,AD293,AD294)</f>
        <v>11415</v>
      </c>
      <c r="AE295" s="268">
        <f>SUM(AE279,AE280,AE281,AE292,AE293,AE294)</f>
        <v>8036</v>
      </c>
      <c r="AF295" s="268">
        <f>SUM(AF279,AF280,AF281,AF292,AF293,AF294)</f>
        <v>9808</v>
      </c>
      <c r="AG295" s="268">
        <f>SUM(AG279,AG280,AG281,AG292,AG293,AG294)</f>
        <v>39028</v>
      </c>
      <c r="AH295" s="268">
        <f>SUM(AH279,AH280,AH281,AH292,AH293,AH294)</f>
        <v>8445</v>
      </c>
      <c r="AI295" s="268">
        <f>SUM(AI279,AI280,AI281,AI292,AI293,AI294)</f>
        <v>12560</v>
      </c>
      <c r="AJ295" s="268">
        <f>SUM(AJ279,AJ280,AJ281,AJ292,AJ293,AJ294)</f>
        <v>-22234</v>
      </c>
      <c r="AK295" s="268">
        <f>SUM(AK279,AK280,AK281,AK292,AK293,AK294)</f>
        <v>-1234</v>
      </c>
      <c r="AL295" s="268">
        <f>SUM(AL279,AL280,AL281,AL292,AL293,AL294)</f>
        <v>-2463</v>
      </c>
      <c r="AM295" s="268" t="e">
        <f>SUM(AM279,AM280,AM281,AM292,AM293,AM294)</f>
        <v>#DIV/0!</v>
      </c>
      <c r="AN295" s="268" t="e">
        <f>SUM(AN279,AN280,AN281,AN292,AN293,AN294)</f>
        <v>#DIV/0!</v>
      </c>
      <c r="AO295" s="268" t="e">
        <f>SUM(AO279,AO280,AO281,AO292,AO293,AO294)</f>
        <v>#DIV/0!</v>
      </c>
      <c r="AP295" s="268" t="e">
        <f>SUM(AP279,AP280,AP281,AP292,AP293,AP294)</f>
        <v>#DIV/0!</v>
      </c>
      <c r="AQ295" s="268" t="e">
        <f>SUM(AQ279,AQ280,AQ281,AQ292,AQ293,AQ294)</f>
        <v>#DIV/0!</v>
      </c>
      <c r="AR295" s="268" t="e">
        <f>SUM(AR279,AR280,AR281,AR292,AR293,AR294)</f>
        <v>#DIV/0!</v>
      </c>
      <c r="AS295" s="268" t="e">
        <f>SUM(AS279,AS280,AS281,AS292,AS293,AS294)</f>
        <v>#DIV/0!</v>
      </c>
      <c r="AT295" s="268" t="e">
        <f>SUM(AT279,AT280,AT281,AT292,AT293,AT294)</f>
        <v>#DIV/0!</v>
      </c>
      <c r="AU295" s="268" t="e">
        <f>SUM(AU279,AU280,AU281,AU292,AU293,AU294)</f>
        <v>#DIV/0!</v>
      </c>
      <c r="AV295" s="268" t="e">
        <f>SUM(AV279,AV280,AV281,AV292,AV293,AV294)</f>
        <v>#DIV/0!</v>
      </c>
      <c r="AW295" s="268" t="e">
        <f>SUM(AW279,AW280,AW281,AW292,AW293,AW294)</f>
        <v>#DIV/0!</v>
      </c>
      <c r="AX295" s="268" t="e">
        <f>SUM(AX279,AX280,AX281,AX292,AX293,AX294)</f>
        <v>#DIV/0!</v>
      </c>
      <c r="AY295" s="268" t="e">
        <f>SUM(AY279,AY280,AY281,AY292,AY293,AY294)</f>
        <v>#DIV/0!</v>
      </c>
      <c r="AZ295" s="268" t="e">
        <f>SUM(AZ279,AZ280,AZ281,AZ292,AZ293,AZ294)</f>
        <v>#DIV/0!</v>
      </c>
      <c r="BA295" s="268" t="e">
        <f>SUM(BA279,BA280,BA281,BA292,BA293,BA294)</f>
        <v>#DIV/0!</v>
      </c>
      <c r="BB295" s="268" t="e">
        <f>SUM(BB279,BB280,BB281,BB292,BB293,BB294)</f>
        <v>#DIV/0!</v>
      </c>
      <c r="BC295" s="268" t="e">
        <f>SUM(BC279,BC280,BC281,BC292,BC293,BC294)</f>
        <v>#DIV/0!</v>
      </c>
      <c r="BD295" s="268" t="e">
        <f>SUM(BD279,BD280,BD281,BD292,BD293,BD294)</f>
        <v>#DIV/0!</v>
      </c>
      <c r="BE295" s="268" t="e">
        <f>SUM(BE279,BE280,BE281,BE292,BE293,BE294)</f>
        <v>#DIV/0!</v>
      </c>
      <c r="BF295" s="268" t="e">
        <f>SUM(BF279,BF280,BF281,BF292,BF293,BF294)</f>
        <v>#DIV/0!</v>
      </c>
      <c r="BG295" s="268" t="e">
        <f>SUM(BG279,BG280,BG281,BG292,BG293,BG294)</f>
        <v>#DIV/0!</v>
      </c>
      <c r="BH295" s="268" t="e">
        <f>SUM(BH279,BH280,BH281,BH292,BH293,BH294)</f>
        <v>#DIV/0!</v>
      </c>
      <c r="BI295" s="268" t="e">
        <f>SUM(BI279,BI280,BI281,BI292,BI293,BI294)</f>
        <v>#DIV/0!</v>
      </c>
      <c r="BJ295" s="268" t="e">
        <f>SUM(BJ279,BJ280,BJ281,BJ292,BJ293,BJ294)</f>
        <v>#DIV/0!</v>
      </c>
      <c r="BK295" s="268" t="e">
        <f>SUM(BK279,BK280,BK281,BK292,BK293,BK294)</f>
        <v>#DIV/0!</v>
      </c>
      <c r="BL295" s="268" t="e">
        <f>SUM(BL279,BL280,BL281,BL292,BL293,BL294)</f>
        <v>#DIV/0!</v>
      </c>
      <c r="BM295" s="268" t="e">
        <f>SUM(BM279,BM280,BM281,BM292,BM293,BM294)</f>
        <v>#DIV/0!</v>
      </c>
      <c r="BN295" s="268" t="e">
        <f>SUM(BN279,BN280,BN281,BN292,BN293,BN294)</f>
        <v>#DIV/0!</v>
      </c>
      <c r="BO295" s="268" t="e">
        <f>SUM(BO279,BO280,BO281,BO292,BO293,BO294)</f>
        <v>#DIV/0!</v>
      </c>
      <c r="BP295" s="268" t="e">
        <f>SUM(BP279,BP280,BP281,BP292,BP293,BP294)</f>
        <v>#DIV/0!</v>
      </c>
      <c r="BQ295" s="268" t="e">
        <f>SUM(BQ279,BQ280,BQ281,BQ292,BQ293,BQ294)</f>
        <v>#DIV/0!</v>
      </c>
      <c r="BR295" s="268" t="e">
        <f>SUM(BR279,BR280,BR281,BR292,BR293,BR294)</f>
        <v>#DIV/0!</v>
      </c>
      <c r="BS295" s="268" t="e">
        <f>SUM(BS279,BS280,BS281,BS292,BS293,BS294)</f>
        <v>#DIV/0!</v>
      </c>
      <c r="BT295" s="268" t="e">
        <f>SUM(BT279,BT280,BT281,BT292,BT293,BT294)</f>
        <v>#DIV/0!</v>
      </c>
      <c r="BU295" s="268" t="e">
        <f>SUM(BU279,BU280,BU281,BU292,BU293,BU294)</f>
        <v>#DIV/0!</v>
      </c>
      <c r="BV295" s="268" t="e">
        <f>SUM(BV279,BV280,BV281,BV292,BV293,BV294)</f>
        <v>#DIV/0!</v>
      </c>
      <c r="BW295" s="268" t="e">
        <f>SUM(BW279,BW280,BW281,BW292,BW293,BW294)</f>
        <v>#DIV/0!</v>
      </c>
      <c r="BX295" s="268" t="e">
        <f>SUM(BX279,BX280,BX281,BX292,BX293,BX294)</f>
        <v>#DIV/0!</v>
      </c>
      <c r="BY295" s="268" t="e">
        <f>SUM(BY279,BY280,BY281,BY292,BY293,BY294)</f>
        <v>#DIV/0!</v>
      </c>
      <c r="BZ295" s="268" t="e">
        <f>SUM(BZ279,BZ280,BZ281,BZ292,BZ293,BZ294)</f>
        <v>#DIV/0!</v>
      </c>
      <c r="CA295" s="268" t="e">
        <f>SUM(CA279,CA280,CA281,CA292,CA293,CA294)</f>
        <v>#DIV/0!</v>
      </c>
      <c r="CB295" s="268" t="e">
        <f>SUM(CB279,CB280,CB281,CB292,CB293,CB294)</f>
        <v>#DIV/0!</v>
      </c>
      <c r="CC295" s="268" t="e">
        <f>SUM(CC279,CC280,CC281,CC292,CC293,CC294)</f>
        <v>#DIV/0!</v>
      </c>
      <c r="CD295" s="268" t="e">
        <f>SUM(CD279,CD280,CD281,CD292,CD293,CD294)</f>
        <v>#DIV/0!</v>
      </c>
      <c r="CE295" s="268" t="e">
        <f>SUM(CE279,CE280,CE281,CE292,CE293,CE294)</f>
        <v>#DIV/0!</v>
      </c>
      <c r="CF295" s="268" t="e">
        <f>SUM(CF279,CF280,CF281,CF292,CF293,CF294)</f>
        <v>#DIV/0!</v>
      </c>
      <c r="CG295" s="268" t="e">
        <f>SUM(CG279,CG280,CG281,CG292,CG293,CG294)</f>
        <v>#DIV/0!</v>
      </c>
      <c r="CH295" s="268" t="e">
        <f>SUM(CH279,CH280,CH281,CH292,CH293,CH294)</f>
        <v>#DIV/0!</v>
      </c>
      <c r="CI295" s="268" t="e">
        <f>SUM(CI279,CI280,CI281,CI292,CI293,CI294)</f>
        <v>#DIV/0!</v>
      </c>
      <c r="CJ295" s="268" t="e">
        <f>SUM(CJ279,CJ280,CJ281,CJ292,CJ293,CJ294)</f>
        <v>#DIV/0!</v>
      </c>
      <c r="CK295" s="268" t="e">
        <f>SUM(CK279,CK280,CK281,CK292,CK293,CK294)</f>
        <v>#DIV/0!</v>
      </c>
      <c r="CL295" s="268" t="e">
        <f>SUM(CL279,CL280,CL281,CL292,CL293,CL294)</f>
        <v>#DIV/0!</v>
      </c>
      <c r="CM295" s="268" t="e">
        <f>SUM(CM279,CM280,CM281,CM292,CM293,CM294)</f>
        <v>#DIV/0!</v>
      </c>
      <c r="CN295" s="268" t="e">
        <f>SUM(CN279,CN280,CN281,CN292,CN293,CN294)</f>
        <v>#DIV/0!</v>
      </c>
      <c r="CO295" s="268" t="e">
        <f>SUM(CO279,CO280,CO281,CO292,CO293,CO294)</f>
        <v>#DIV/0!</v>
      </c>
      <c r="CP295" s="268" t="e">
        <f>SUM(CP279,CP280,CP281,CP292,CP293,CP294)</f>
        <v>#DIV/0!</v>
      </c>
      <c r="CQ295" s="268" t="e">
        <f>SUM(CQ279,CQ280,CQ281,CQ292,CQ293,CQ294)</f>
        <v>#DIV/0!</v>
      </c>
      <c r="CR295" s="268" t="e">
        <f>SUM(CR279,CR280,CR281,CR292,CR293,CR294)</f>
        <v>#DIV/0!</v>
      </c>
      <c r="CS295" s="268" t="e">
        <f>SUM(CS279,CS280,CS281,CS292,CS293,CS294)</f>
        <v>#DIV/0!</v>
      </c>
      <c r="CT295" s="268" t="e">
        <f>SUM(CT279,CT280,CT281,CT292,CT293,CT294)</f>
        <v>#DIV/0!</v>
      </c>
      <c r="CU295" s="268" t="e">
        <f>SUM(CU279,CU280,CU281,CU292,CU293,CU294)</f>
        <v>#DIV/0!</v>
      </c>
      <c r="CV295" s="268" t="e">
        <f>SUM(CV279,CV280,CV281,CV292,CV293,CV294)</f>
        <v>#DIV/0!</v>
      </c>
      <c r="CW295" s="268" t="e">
        <f>SUM(CW279,CW280,CW281,CW292,CW293,CW294)</f>
        <v>#DIV/0!</v>
      </c>
      <c r="CX295" s="268" t="e">
        <f>SUM(CX279,CX280,CX281,CX292,CX293,CX294)</f>
        <v>#DIV/0!</v>
      </c>
      <c r="CY295" s="268" t="e">
        <f>SUM(CY279,CY280,CY281,CY292,CY293,CY294)</f>
        <v>#DIV/0!</v>
      </c>
    </row>
    <row r="296" ht="12.75" customHeight="1" s="255">
      <c r="C296" s="270" t="n"/>
      <c r="D296" s="268" t="n"/>
      <c r="E296" s="268" t="n"/>
      <c r="F296" s="268" t="n"/>
      <c r="G296" s="268" t="n"/>
      <c r="H296" s="268" t="n"/>
      <c r="I296" s="268" t="n"/>
      <c r="J296" s="268" t="n"/>
      <c r="K296" s="268" t="n"/>
      <c r="L296" s="268" t="n"/>
      <c r="M296" s="268" t="n"/>
      <c r="N296" s="268" t="n"/>
      <c r="O296" s="268" t="n"/>
      <c r="P296" s="268" t="n"/>
      <c r="Q296" s="268" t="n"/>
      <c r="R296" s="268" t="n"/>
      <c r="S296" s="268" t="n"/>
      <c r="T296" s="268" t="n"/>
      <c r="U296" s="268" t="n"/>
      <c r="V296" s="268" t="n"/>
      <c r="W296" s="268" t="n"/>
      <c r="X296" s="268" t="n"/>
      <c r="Y296" s="268" t="n"/>
      <c r="Z296" s="268" t="n"/>
      <c r="AA296" s="268" t="n"/>
      <c r="AB296" s="268" t="n"/>
      <c r="AC296" s="268" t="n"/>
      <c r="AD296" s="268" t="n"/>
      <c r="AE296" s="268" t="n"/>
      <c r="AF296" s="268" t="n"/>
      <c r="AG296" s="268" t="n"/>
      <c r="AH296" s="268" t="n"/>
      <c r="AI296" s="268" t="n"/>
      <c r="AJ296" s="268" t="n"/>
      <c r="AK296" s="268" t="n"/>
      <c r="AL296" s="268" t="n"/>
      <c r="AM296" s="268" t="n"/>
      <c r="AN296" s="268" t="n"/>
      <c r="AO296" s="268" t="n"/>
      <c r="AP296" s="268" t="n"/>
      <c r="AQ296" s="268" t="n"/>
      <c r="AR296" s="268" t="n"/>
      <c r="AS296" s="268" t="n"/>
      <c r="AT296" s="268" t="n"/>
      <c r="AU296" s="268" t="n"/>
      <c r="AV296" s="268" t="n"/>
      <c r="AW296" s="268" t="n"/>
      <c r="AX296" s="268" t="n"/>
      <c r="AY296" s="268" t="n"/>
      <c r="AZ296" s="268" t="n"/>
      <c r="BA296" s="268" t="n"/>
      <c r="BB296" s="268" t="n"/>
      <c r="BC296" s="268" t="n"/>
      <c r="BD296" s="268" t="n"/>
      <c r="BE296" s="268" t="n"/>
      <c r="BF296" s="268" t="n"/>
      <c r="BG296" s="268" t="n"/>
      <c r="BH296" s="268" t="n"/>
      <c r="BI296" s="268" t="n"/>
      <c r="BJ296" s="268" t="n"/>
      <c r="BK296" s="268" t="n"/>
      <c r="BL296" s="268" t="n"/>
      <c r="BM296" s="268" t="n"/>
      <c r="BN296" s="268" t="n"/>
      <c r="BO296" s="268" t="n"/>
      <c r="BP296" s="268" t="n"/>
      <c r="BQ296" s="268" t="n"/>
      <c r="BR296" s="268" t="n"/>
      <c r="BS296" s="268" t="n"/>
      <c r="BT296" s="268" t="n"/>
      <c r="BU296" s="268" t="n"/>
      <c r="BV296" s="268" t="n"/>
      <c r="BW296" s="268" t="n"/>
      <c r="BX296" s="268" t="n"/>
      <c r="BY296" s="268" t="n"/>
      <c r="BZ296" s="268" t="n"/>
      <c r="CA296" s="268" t="n"/>
      <c r="CB296" s="268" t="n"/>
      <c r="CC296" s="268" t="n"/>
      <c r="CD296" s="268" t="n"/>
      <c r="CE296" s="268" t="n"/>
      <c r="CF296" s="268" t="n"/>
      <c r="CG296" s="268" t="n"/>
      <c r="CH296" s="268" t="n"/>
      <c r="CI296" s="268" t="n"/>
      <c r="CJ296" s="268" t="n"/>
      <c r="CK296" s="268" t="n"/>
      <c r="CL296" s="268" t="n"/>
      <c r="CM296" s="268" t="n"/>
      <c r="CN296" s="268" t="n"/>
      <c r="CO296" s="268" t="n"/>
      <c r="CP296" s="268" t="n"/>
      <c r="CQ296" s="268" t="n"/>
      <c r="CR296" s="268" t="n"/>
      <c r="CS296" s="268" t="n"/>
      <c r="CT296" s="268" t="n"/>
      <c r="CU296" s="268" t="n"/>
      <c r="CV296" s="268" t="n"/>
      <c r="CW296" s="268" t="n"/>
      <c r="CX296" s="268" t="n"/>
      <c r="CY296" s="268" t="n"/>
    </row>
    <row r="297" ht="12.75" customHeight="1" s="255">
      <c r="C297" s="266" t="inlineStr">
        <is>
          <t>Purchase of fixed assets (capital expenditures)</t>
        </is>
      </c>
      <c r="D297" s="268" t="n"/>
      <c r="E297" s="268">
        <f>-E170</f>
        <v>-2081</v>
      </c>
      <c r="F297" s="268">
        <f>-F170</f>
        <v>-3821</v>
      </c>
      <c r="G297" s="268">
        <f>-G170</f>
        <v>7212</v>
      </c>
      <c r="H297" s="268">
        <f>SUM(D297:G297)</f>
        <v>1310</v>
      </c>
      <c r="I297" s="268">
        <f>-I170</f>
        <v>-1456</v>
      </c>
      <c r="J297" s="268">
        <f>-J170</f>
        <v>-3266</v>
      </c>
      <c r="K297" s="268">
        <f>-K170</f>
        <v>-3271</v>
      </c>
      <c r="L297" s="268">
        <f>-L170</f>
        <v>-4979</v>
      </c>
      <c r="M297" s="268">
        <f>SUM(I297:L297)</f>
        <v>-12972</v>
      </c>
      <c r="N297" s="268">
        <f>-N170</f>
        <v>-2906</v>
      </c>
      <c r="O297" s="268">
        <f>-O170</f>
        <v>-3964</v>
      </c>
      <c r="P297" s="268">
        <f>-P170</f>
        <v>-4302</v>
      </c>
      <c r="Q297" s="268">
        <f>-Q170</f>
        <v>-6018</v>
      </c>
      <c r="R297" s="268">
        <f>SUM(N297:Q297)</f>
        <v>-17190</v>
      </c>
      <c r="S297" s="268">
        <f>-S170</f>
        <v>-4420</v>
      </c>
      <c r="T297" s="268">
        <f>-T170</f>
        <v>-5303</v>
      </c>
      <c r="U297" s="268">
        <f>-U170</f>
        <v>-5724</v>
      </c>
      <c r="V297" s="268">
        <f>-V170</f>
        <v>-6456</v>
      </c>
      <c r="W297" s="268">
        <f>SUM(S297:V297)</f>
        <v>-21903</v>
      </c>
      <c r="X297" s="268">
        <f>-X170</f>
        <v>-3816</v>
      </c>
      <c r="Y297" s="268">
        <f>-Y170</f>
        <v>-5531</v>
      </c>
      <c r="Z297" s="268">
        <f>-Z170</f>
        <v>-6040</v>
      </c>
      <c r="AA297" s="268">
        <f>-AA170</f>
        <v>-6769</v>
      </c>
      <c r="AB297" s="268">
        <f>SUM(X297:AA297)</f>
        <v>-22156</v>
      </c>
      <c r="AC297" s="268">
        <f>-AC170</f>
        <v>-4637</v>
      </c>
      <c r="AD297" s="268">
        <f>-AD170</f>
        <v>-7702</v>
      </c>
      <c r="AE297" s="268">
        <f>-AE170</f>
        <v>-8331</v>
      </c>
      <c r="AF297" s="268">
        <f>-AF170</f>
        <v>-9623</v>
      </c>
      <c r="AG297" s="268">
        <f>SUM(AC297:AF297)</f>
        <v>-30293</v>
      </c>
      <c r="AH297" s="268">
        <f>-AH170</f>
        <v>-5527</v>
      </c>
      <c r="AI297" s="268">
        <f>-AI170</f>
        <v>-8618</v>
      </c>
      <c r="AJ297" s="268">
        <f>-AJ170</f>
        <v>0</v>
      </c>
      <c r="AK297" s="268">
        <f>-AK170</f>
        <v>0</v>
      </c>
      <c r="AL297" s="268">
        <f>SUM(AH297:AK297)</f>
        <v>-14145</v>
      </c>
      <c r="AM297" s="268">
        <f>-AM170</f>
        <v>0</v>
      </c>
      <c r="AN297" s="268">
        <f>-AN170</f>
        <v>0</v>
      </c>
      <c r="AO297" s="268">
        <f>-AO170</f>
        <v>0</v>
      </c>
      <c r="AP297" s="268">
        <f>-AP170</f>
        <v>0</v>
      </c>
      <c r="AQ297" s="268">
        <f>SUM(AM297:AP297)</f>
        <v>0</v>
      </c>
      <c r="AR297" s="268">
        <f>-AR170</f>
        <v>0</v>
      </c>
      <c r="AS297" s="268">
        <f>-AS170</f>
        <v>0</v>
      </c>
      <c r="AT297" s="268">
        <f>-AT170</f>
        <v>0</v>
      </c>
      <c r="AU297" s="268">
        <f>-AU170</f>
        <v>0</v>
      </c>
      <c r="AV297" s="268">
        <f>SUM(AR297:AU297)</f>
        <v>0</v>
      </c>
      <c r="AW297" s="268">
        <f>-AW170</f>
        <v>0</v>
      </c>
      <c r="AX297" s="268">
        <f>-AX170</f>
        <v>0</v>
      </c>
      <c r="AY297" s="268">
        <f>-AY170</f>
        <v>0</v>
      </c>
      <c r="AZ297" s="268">
        <f>-AZ170</f>
        <v>0</v>
      </c>
      <c r="BA297" s="268">
        <f>SUM(AW297:AZ297)</f>
        <v>0</v>
      </c>
      <c r="BB297" s="268">
        <f>-BB170</f>
        <v>0</v>
      </c>
      <c r="BC297" s="268">
        <f>-BC170</f>
        <v>0</v>
      </c>
      <c r="BD297" s="268">
        <f>-BD170</f>
        <v>0</v>
      </c>
      <c r="BE297" s="268">
        <f>-BE170</f>
        <v>0</v>
      </c>
      <c r="BF297" s="268">
        <f>SUM(BB297:BE297)</f>
        <v>0</v>
      </c>
      <c r="BG297" s="268">
        <f>-BG170</f>
        <v>0</v>
      </c>
      <c r="BH297" s="268">
        <f>-BH170</f>
        <v>0</v>
      </c>
      <c r="BI297" s="268">
        <f>-BI170</f>
        <v>0</v>
      </c>
      <c r="BJ297" s="268">
        <f>-BJ170</f>
        <v>0</v>
      </c>
      <c r="BK297" s="268">
        <f>SUM(BG297:BJ297)</f>
        <v>0</v>
      </c>
      <c r="BL297" s="268">
        <f>-BL170</f>
        <v>0</v>
      </c>
      <c r="BM297" s="268">
        <f>-BM170</f>
        <v>0</v>
      </c>
      <c r="BN297" s="268">
        <f>-BN170</f>
        <v>0</v>
      </c>
      <c r="BO297" s="268">
        <f>-BO170</f>
        <v>0</v>
      </c>
      <c r="BP297" s="268">
        <f>SUM(BL297:BO297)</f>
        <v>0</v>
      </c>
      <c r="BQ297" s="268">
        <f>-BQ170</f>
        <v>0</v>
      </c>
      <c r="BR297" s="268">
        <f>-BR170</f>
        <v>0</v>
      </c>
      <c r="BS297" s="268">
        <f>-BS170</f>
        <v>0</v>
      </c>
      <c r="BT297" s="268">
        <f>-BT170</f>
        <v>0</v>
      </c>
      <c r="BU297" s="268">
        <f>SUM(BQ297:BT297)</f>
        <v>0</v>
      </c>
      <c r="BV297" s="268">
        <f>-BV170</f>
        <v>0</v>
      </c>
      <c r="BW297" s="268">
        <f>-BW170</f>
        <v>0</v>
      </c>
      <c r="BX297" s="268">
        <f>-BX170</f>
        <v>0</v>
      </c>
      <c r="BY297" s="268">
        <f>-BY170</f>
        <v>0</v>
      </c>
      <c r="BZ297" s="268">
        <f>SUM(BV297:BY297)</f>
        <v>0</v>
      </c>
      <c r="CA297" s="268">
        <f>-CA170</f>
        <v>0</v>
      </c>
      <c r="CB297" s="268">
        <f>-CB170</f>
        <v>0</v>
      </c>
      <c r="CC297" s="268">
        <f>-CC170</f>
        <v>0</v>
      </c>
      <c r="CD297" s="268">
        <f>-CD170</f>
        <v>0</v>
      </c>
      <c r="CE297" s="268">
        <f>SUM(CA297:CD297)</f>
        <v>0</v>
      </c>
      <c r="CF297" s="268">
        <f>-CF170</f>
        <v>0</v>
      </c>
      <c r="CG297" s="268">
        <f>-CG170</f>
        <v>0</v>
      </c>
      <c r="CH297" s="268">
        <f>-CH170</f>
        <v>0</v>
      </c>
      <c r="CI297" s="268">
        <f>-CI170</f>
        <v>0</v>
      </c>
      <c r="CJ297" s="268">
        <f>SUM(CF297:CI297)</f>
        <v>0</v>
      </c>
      <c r="CK297" s="268">
        <f>-CK170</f>
        <v>0</v>
      </c>
      <c r="CL297" s="268">
        <f>-CL170</f>
        <v>0</v>
      </c>
      <c r="CM297" s="268">
        <f>-CM170</f>
        <v>0</v>
      </c>
      <c r="CN297" s="268">
        <f>-CN170</f>
        <v>0</v>
      </c>
      <c r="CO297" s="268">
        <f>SUM(CK297:CN297)</f>
        <v>0</v>
      </c>
      <c r="CP297" s="268">
        <f>-CP170</f>
        <v>0</v>
      </c>
      <c r="CQ297" s="268">
        <f>-CQ170</f>
        <v>0</v>
      </c>
      <c r="CR297" s="268">
        <f>-CR170</f>
        <v>0</v>
      </c>
      <c r="CS297" s="268">
        <f>-CS170</f>
        <v>0</v>
      </c>
      <c r="CT297" s="268">
        <f>SUM(CP297:CS297)</f>
        <v>0</v>
      </c>
      <c r="CU297" s="268">
        <f>-CU170</f>
        <v>0</v>
      </c>
      <c r="CV297" s="268">
        <f>-CV170</f>
        <v>0</v>
      </c>
      <c r="CW297" s="268">
        <f>-CW170</f>
        <v>0</v>
      </c>
      <c r="CX297" s="268">
        <f>-CX170</f>
        <v>0</v>
      </c>
      <c r="CY297" s="268">
        <f>SUM(CU297:CX297)</f>
        <v>0</v>
      </c>
    </row>
    <row r="298" ht="12.75" customHeight="1" s="255">
      <c r="C298" s="266" t="inlineStr">
        <is>
          <t>Proceeds from sale of fixed assets</t>
        </is>
      </c>
      <c r="D298" s="268" t="n"/>
      <c r="E298" s="268">
        <f>-E171</f>
        <v>0</v>
      </c>
      <c r="F298" s="268">
        <f>-F171</f>
        <v>0</v>
      </c>
      <c r="G298" s="268">
        <f>-G171</f>
        <v>0</v>
      </c>
      <c r="H298" s="268">
        <f>SUM(D298:G298)</f>
        <v>0</v>
      </c>
      <c r="I298" s="268">
        <f>-I171</f>
        <v>0</v>
      </c>
      <c r="J298" s="268">
        <f>-J171</f>
        <v>0</v>
      </c>
      <c r="K298" s="268">
        <f>-K171</f>
        <v>0</v>
      </c>
      <c r="L298" s="268">
        <f>-L171</f>
        <v>0</v>
      </c>
      <c r="M298" s="268">
        <f>SUM(I298:L298)</f>
        <v>0</v>
      </c>
      <c r="N298" s="268">
        <f>-N171</f>
        <v>0</v>
      </c>
      <c r="O298" s="268">
        <f>-O171</f>
        <v>0</v>
      </c>
      <c r="P298" s="268">
        <f>-P171</f>
        <v>0</v>
      </c>
      <c r="Q298" s="268">
        <f>-Q171</f>
        <v>0</v>
      </c>
      <c r="R298" s="268">
        <f>SUM(N298:Q298)</f>
        <v>0</v>
      </c>
      <c r="S298" s="268">
        <f>-S171</f>
        <v>0</v>
      </c>
      <c r="T298" s="268">
        <f>-T171</f>
        <v>0</v>
      </c>
      <c r="U298" s="268">
        <f>-U171</f>
        <v>0</v>
      </c>
      <c r="V298" s="268">
        <f>-V171</f>
        <v>0</v>
      </c>
      <c r="W298" s="268">
        <f>SUM(S298:V298)</f>
        <v>0</v>
      </c>
      <c r="X298" s="268">
        <f>-X171</f>
        <v>0</v>
      </c>
      <c r="Y298" s="268">
        <f>-Y171</f>
        <v>0</v>
      </c>
      <c r="Z298" s="268">
        <f>-Z171</f>
        <v>0</v>
      </c>
      <c r="AA298" s="268">
        <f>-AA171</f>
        <v>0</v>
      </c>
      <c r="AB298" s="268">
        <f>SUM(X298:AA298)</f>
        <v>0</v>
      </c>
      <c r="AC298" s="268">
        <f>-AC171</f>
        <v>0</v>
      </c>
      <c r="AD298" s="268">
        <f>-AD171</f>
        <v>0</v>
      </c>
      <c r="AE298" s="268">
        <f>-AE171</f>
        <v>0</v>
      </c>
      <c r="AF298" s="268">
        <f>-AF171</f>
        <v>0</v>
      </c>
      <c r="AG298" s="268">
        <f>SUM(AC298:AF298)</f>
        <v>0</v>
      </c>
      <c r="AH298" s="268">
        <f>-AH171</f>
        <v>0</v>
      </c>
      <c r="AI298" s="268">
        <f>-AI171</f>
        <v>0</v>
      </c>
      <c r="AJ298" s="268">
        <f>-AJ171</f>
        <v>0</v>
      </c>
      <c r="AK298" s="268">
        <f>-AK171</f>
        <v>0</v>
      </c>
      <c r="AL298" s="268">
        <f>SUM(AH298:AK298)</f>
        <v>0</v>
      </c>
      <c r="AM298" s="268">
        <f>-AM171</f>
        <v>0</v>
      </c>
      <c r="AN298" s="268">
        <f>-AN171</f>
        <v>0</v>
      </c>
      <c r="AO298" s="268">
        <f>-AO171</f>
        <v>0</v>
      </c>
      <c r="AP298" s="268">
        <f>-AP171</f>
        <v>0</v>
      </c>
      <c r="AQ298" s="268">
        <f>SUM(AM298:AP298)</f>
        <v>0</v>
      </c>
      <c r="AR298" s="268">
        <f>-AR171</f>
        <v>0</v>
      </c>
      <c r="AS298" s="268">
        <f>-AS171</f>
        <v>0</v>
      </c>
      <c r="AT298" s="268">
        <f>-AT171</f>
        <v>0</v>
      </c>
      <c r="AU298" s="268">
        <f>-AU171</f>
        <v>0</v>
      </c>
      <c r="AV298" s="268">
        <f>SUM(AR298:AU298)</f>
        <v>0</v>
      </c>
      <c r="AW298" s="268">
        <f>-AW171</f>
        <v>0</v>
      </c>
      <c r="AX298" s="268">
        <f>-AX171</f>
        <v>0</v>
      </c>
      <c r="AY298" s="268">
        <f>-AY171</f>
        <v>0</v>
      </c>
      <c r="AZ298" s="268">
        <f>-AZ171</f>
        <v>0</v>
      </c>
      <c r="BA298" s="268">
        <f>SUM(AW298:AZ298)</f>
        <v>0</v>
      </c>
      <c r="BB298" s="268">
        <f>-BB171</f>
        <v>0</v>
      </c>
      <c r="BC298" s="268">
        <f>-BC171</f>
        <v>0</v>
      </c>
      <c r="BD298" s="268">
        <f>-BD171</f>
        <v>0</v>
      </c>
      <c r="BE298" s="268">
        <f>-BE171</f>
        <v>0</v>
      </c>
      <c r="BF298" s="268">
        <f>SUM(BB298:BE298)</f>
        <v>0</v>
      </c>
      <c r="BG298" s="268">
        <f>-BG171</f>
        <v>0</v>
      </c>
      <c r="BH298" s="268">
        <f>-BH171</f>
        <v>0</v>
      </c>
      <c r="BI298" s="268">
        <f>-BI171</f>
        <v>0</v>
      </c>
      <c r="BJ298" s="268">
        <f>-BJ171</f>
        <v>0</v>
      </c>
      <c r="BK298" s="268">
        <f>SUM(BG298:BJ298)</f>
        <v>0</v>
      </c>
      <c r="BL298" s="268">
        <f>-BL171</f>
        <v>0</v>
      </c>
      <c r="BM298" s="268">
        <f>-BM171</f>
        <v>0</v>
      </c>
      <c r="BN298" s="268">
        <f>-BN171</f>
        <v>0</v>
      </c>
      <c r="BO298" s="268">
        <f>-BO171</f>
        <v>0</v>
      </c>
      <c r="BP298" s="268">
        <f>SUM(BL298:BO298)</f>
        <v>0</v>
      </c>
      <c r="BQ298" s="268">
        <f>-BQ171</f>
        <v>0</v>
      </c>
      <c r="BR298" s="268">
        <f>-BR171</f>
        <v>0</v>
      </c>
      <c r="BS298" s="268">
        <f>-BS171</f>
        <v>0</v>
      </c>
      <c r="BT298" s="268">
        <f>-BT171</f>
        <v>0</v>
      </c>
      <c r="BU298" s="268">
        <f>SUM(BQ298:BT298)</f>
        <v>0</v>
      </c>
      <c r="BV298" s="268">
        <f>-BV171</f>
        <v>0</v>
      </c>
      <c r="BW298" s="268">
        <f>-BW171</f>
        <v>0</v>
      </c>
      <c r="BX298" s="268">
        <f>-BX171</f>
        <v>0</v>
      </c>
      <c r="BY298" s="268">
        <f>-BY171</f>
        <v>0</v>
      </c>
      <c r="BZ298" s="268">
        <f>SUM(BV298:BY298)</f>
        <v>0</v>
      </c>
      <c r="CA298" s="268">
        <f>-CA171</f>
        <v>0</v>
      </c>
      <c r="CB298" s="268">
        <f>-CB171</f>
        <v>0</v>
      </c>
      <c r="CC298" s="268">
        <f>-CC171</f>
        <v>0</v>
      </c>
      <c r="CD298" s="268">
        <f>-CD171</f>
        <v>0</v>
      </c>
      <c r="CE298" s="268">
        <f>SUM(CA298:CD298)</f>
        <v>0</v>
      </c>
      <c r="CF298" s="268">
        <f>-CF171</f>
        <v>0</v>
      </c>
      <c r="CG298" s="268">
        <f>-CG171</f>
        <v>0</v>
      </c>
      <c r="CH298" s="268">
        <f>-CH171</f>
        <v>0</v>
      </c>
      <c r="CI298" s="268">
        <f>-CI171</f>
        <v>0</v>
      </c>
      <c r="CJ298" s="268">
        <f>SUM(CF298:CI298)</f>
        <v>0</v>
      </c>
      <c r="CK298" s="268">
        <f>-CK171</f>
        <v>0</v>
      </c>
      <c r="CL298" s="268">
        <f>-CL171</f>
        <v>0</v>
      </c>
      <c r="CM298" s="268">
        <f>-CM171</f>
        <v>0</v>
      </c>
      <c r="CN298" s="268">
        <f>-CN171</f>
        <v>0</v>
      </c>
      <c r="CO298" s="268">
        <f>SUM(CK298:CN298)</f>
        <v>0</v>
      </c>
      <c r="CP298" s="268">
        <f>-CP171</f>
        <v>0</v>
      </c>
      <c r="CQ298" s="268">
        <f>-CQ171</f>
        <v>0</v>
      </c>
      <c r="CR298" s="268">
        <f>-CR171</f>
        <v>0</v>
      </c>
      <c r="CS298" s="268">
        <f>-CS171</f>
        <v>0</v>
      </c>
      <c r="CT298" s="268">
        <f>SUM(CP298:CS298)</f>
        <v>0</v>
      </c>
      <c r="CU298" s="268">
        <f>-CU171</f>
        <v>0</v>
      </c>
      <c r="CV298" s="268">
        <f>-CV171</f>
        <v>0</v>
      </c>
      <c r="CW298" s="268">
        <f>-CW171</f>
        <v>0</v>
      </c>
      <c r="CX298" s="268">
        <f>-CX171</f>
        <v>0</v>
      </c>
      <c r="CY298" s="268">
        <f>SUM(CU298:CX298)</f>
        <v>0</v>
      </c>
    </row>
    <row r="299" ht="12.75" customHeight="1" s="255">
      <c r="C299" s="266" t="inlineStr">
        <is>
          <t>Var.Right-of-use-assets</t>
        </is>
      </c>
      <c r="D299" s="268" t="n"/>
      <c r="E299" s="268">
        <f>(E178-D178)*-1</f>
        <v>26</v>
      </c>
      <c r="F299" s="268">
        <f>(F178-E178)*-1</f>
        <v>-259</v>
      </c>
      <c r="G299" s="268">
        <f>(G178-F178)*-1</f>
        <v>3486</v>
      </c>
      <c r="H299" s="268">
        <f>SUM(D299:G299)</f>
        <v>3253</v>
      </c>
      <c r="I299" s="268">
        <f>(I178-H178)*-1</f>
        <v>-8</v>
      </c>
      <c r="J299" s="268">
        <f>(J178-I178)*-1</f>
        <v>-218</v>
      </c>
      <c r="K299" s="268">
        <f>(K178-J178)*-1</f>
        <v>5</v>
      </c>
      <c r="L299" s="268">
        <f>(L178-K178)*-1</f>
        <v>105</v>
      </c>
      <c r="M299" s="268">
        <f>SUM(I299:L299)</f>
        <v>-116</v>
      </c>
      <c r="N299" s="268">
        <f>(N178-M178)*-1</f>
        <v>-213</v>
      </c>
      <c r="O299" s="268">
        <f>(O178-N178)*-1</f>
        <v>99</v>
      </c>
      <c r="P299" s="268">
        <f>(P178-O178)*-1</f>
        <v>478</v>
      </c>
      <c r="Q299" s="268">
        <f>(Q178-P178)*-1</f>
        <v>-161</v>
      </c>
      <c r="R299" s="268">
        <f>SUM(N299:Q299)</f>
        <v>203</v>
      </c>
      <c r="S299" s="268">
        <f>(S178-R178)*-1</f>
        <v>-124</v>
      </c>
      <c r="T299" s="268">
        <f>(T178-S178)*-1</f>
        <v>-31</v>
      </c>
      <c r="U299" s="268">
        <f>(U178-T178)*-1</f>
        <v>163</v>
      </c>
      <c r="V299" s="268">
        <f>(V178-U178)*-1</f>
        <v>-126</v>
      </c>
      <c r="W299" s="268">
        <f>SUM(S299:V299)</f>
        <v>-118</v>
      </c>
      <c r="X299" s="268">
        <f>(X178-W178)*-1</f>
        <v>111</v>
      </c>
      <c r="Y299" s="268">
        <f>(Y178-X178)*-1</f>
        <v>-17</v>
      </c>
      <c r="Z299" s="268">
        <f>(Z178-Y178)*-1</f>
        <v>-122</v>
      </c>
      <c r="AA299" s="268">
        <f>(AA178-Z178)*-1</f>
        <v>102</v>
      </c>
      <c r="AB299" s="268">
        <f>SUM(X299:AA299)</f>
        <v>74</v>
      </c>
      <c r="AC299" s="268">
        <f>(AC178-AB178)*-1</f>
        <v>32</v>
      </c>
      <c r="AD299" s="268">
        <f>(AD178-AC178)*-1</f>
        <v>-386</v>
      </c>
      <c r="AE299" s="268">
        <f>(AE178-AD178)*-1</f>
        <v>-548</v>
      </c>
      <c r="AF299" s="268">
        <f>(AF178-AE178)*-1</f>
        <v>-249</v>
      </c>
      <c r="AG299" s="268">
        <f>SUM(AC299:AF299)</f>
        <v>-1151</v>
      </c>
      <c r="AH299" s="268">
        <f>(AH178-AG178)*-1</f>
        <v>-470</v>
      </c>
      <c r="AI299" s="268">
        <f>(AI178-AH178)*-1</f>
        <v>-430</v>
      </c>
      <c r="AJ299" s="268">
        <f>(AJ178-AI178)*-1</f>
        <v>0</v>
      </c>
      <c r="AK299" s="268">
        <f>(AK178-AJ178)*-1</f>
        <v>0</v>
      </c>
      <c r="AL299" s="268">
        <f>SUM(AH299:AK299)</f>
        <v>-900</v>
      </c>
      <c r="AM299" s="268">
        <f>(AM178-AL178)*-1</f>
        <v>0</v>
      </c>
      <c r="AN299" s="268">
        <f>(AN178-AM178)*-1</f>
        <v>0</v>
      </c>
      <c r="AO299" s="268">
        <f>(AO178-AN178)*-1</f>
        <v>0</v>
      </c>
      <c r="AP299" s="268">
        <f>(AP178-AO178)*-1</f>
        <v>0</v>
      </c>
      <c r="AQ299" s="268">
        <f>SUM(AM299:AP299)</f>
        <v>0</v>
      </c>
      <c r="AR299" s="268">
        <f>(AR178-AQ178)*-1</f>
        <v>0</v>
      </c>
      <c r="AS299" s="268">
        <f>(AS178-AR178)*-1</f>
        <v>0</v>
      </c>
      <c r="AT299" s="268">
        <f>(AT178-AS178)*-1</f>
        <v>0</v>
      </c>
      <c r="AU299" s="268">
        <f>(AU178-AT178)*-1</f>
        <v>0</v>
      </c>
      <c r="AV299" s="268">
        <f>SUM(AR299:AU299)</f>
        <v>0</v>
      </c>
      <c r="AW299" s="268">
        <f>(AW178-AV178)*-1</f>
        <v>0</v>
      </c>
      <c r="AX299" s="268">
        <f>(AX178-AW178)*-1</f>
        <v>0</v>
      </c>
      <c r="AY299" s="268">
        <f>(AY178-AX178)*-1</f>
        <v>0</v>
      </c>
      <c r="AZ299" s="268">
        <f>(AZ178-AY178)*-1</f>
        <v>0</v>
      </c>
      <c r="BA299" s="268">
        <f>SUM(AW299:AZ299)</f>
        <v>0</v>
      </c>
      <c r="BB299" s="268">
        <f>(BB178-BA178)*-1</f>
        <v>0</v>
      </c>
      <c r="BC299" s="268">
        <f>(BC178-BB178)*-1</f>
        <v>0</v>
      </c>
      <c r="BD299" s="268">
        <f>(BD178-BC178)*-1</f>
        <v>0</v>
      </c>
      <c r="BE299" s="268">
        <f>(BE178-BD178)*-1</f>
        <v>0</v>
      </c>
      <c r="BF299" s="268">
        <f>SUM(BB299:BE299)</f>
        <v>0</v>
      </c>
      <c r="BG299" s="268">
        <f>(BG178-BF178)*-1</f>
        <v>0</v>
      </c>
      <c r="BH299" s="268">
        <f>(BH178-BG178)*-1</f>
        <v>0</v>
      </c>
      <c r="BI299" s="268">
        <f>(BI178-BH178)*-1</f>
        <v>0</v>
      </c>
      <c r="BJ299" s="268">
        <f>(BJ178-BI178)*-1</f>
        <v>0</v>
      </c>
      <c r="BK299" s="268">
        <f>SUM(BG299:BJ299)</f>
        <v>0</v>
      </c>
      <c r="BL299" s="268">
        <f>(BL178-BK178)*-1</f>
        <v>0</v>
      </c>
      <c r="BM299" s="268">
        <f>(BM178-BL178)*-1</f>
        <v>0</v>
      </c>
      <c r="BN299" s="268">
        <f>(BN178-BM178)*-1</f>
        <v>0</v>
      </c>
      <c r="BO299" s="268">
        <f>(BO178-BN178)*-1</f>
        <v>0</v>
      </c>
      <c r="BP299" s="268">
        <f>SUM(BL299:BO299)</f>
        <v>0</v>
      </c>
      <c r="BQ299" s="268">
        <f>(BQ178-BP178)*-1</f>
        <v>0</v>
      </c>
      <c r="BR299" s="268">
        <f>(BR178-BQ178)*-1</f>
        <v>0</v>
      </c>
      <c r="BS299" s="268">
        <f>(BS178-BR178)*-1</f>
        <v>0</v>
      </c>
      <c r="BT299" s="268">
        <f>(BT178-BS178)*-1</f>
        <v>0</v>
      </c>
      <c r="BU299" s="268">
        <f>SUM(BQ299:BT299)</f>
        <v>0</v>
      </c>
      <c r="BV299" s="268">
        <f>(BV178-BU178)*-1</f>
        <v>0</v>
      </c>
      <c r="BW299" s="268">
        <f>(BW178-BV178)*-1</f>
        <v>0</v>
      </c>
      <c r="BX299" s="268">
        <f>(BX178-BW178)*-1</f>
        <v>0</v>
      </c>
      <c r="BY299" s="268">
        <f>(BY178-BX178)*-1</f>
        <v>0</v>
      </c>
      <c r="BZ299" s="268">
        <f>SUM(BV299:BY299)</f>
        <v>0</v>
      </c>
      <c r="CA299" s="268">
        <f>(CA178-BZ178)*-1</f>
        <v>0</v>
      </c>
      <c r="CB299" s="268">
        <f>(CB178-CA178)*-1</f>
        <v>0</v>
      </c>
      <c r="CC299" s="268">
        <f>(CC178-CB178)*-1</f>
        <v>0</v>
      </c>
      <c r="CD299" s="268">
        <f>(CD178-CC178)*-1</f>
        <v>0</v>
      </c>
      <c r="CE299" s="268">
        <f>SUM(CA299:CD299)</f>
        <v>0</v>
      </c>
      <c r="CF299" s="268">
        <f>(CF178-CE178)*-1</f>
        <v>0</v>
      </c>
      <c r="CG299" s="268">
        <f>(CG178-CF178)*-1</f>
        <v>0</v>
      </c>
      <c r="CH299" s="268">
        <f>(CH178-CG178)*-1</f>
        <v>0</v>
      </c>
      <c r="CI299" s="268">
        <f>(CI178-CH178)*-1</f>
        <v>0</v>
      </c>
      <c r="CJ299" s="268">
        <f>SUM(CF299:CI299)</f>
        <v>0</v>
      </c>
      <c r="CK299" s="268">
        <f>(CK178-CJ178)*-1</f>
        <v>0</v>
      </c>
      <c r="CL299" s="268">
        <f>(CL178-CK178)*-1</f>
        <v>0</v>
      </c>
      <c r="CM299" s="268">
        <f>(CM178-CL178)*-1</f>
        <v>0</v>
      </c>
      <c r="CN299" s="268">
        <f>(CN178-CM178)*-1</f>
        <v>0</v>
      </c>
      <c r="CO299" s="268">
        <f>SUM(CK299:CN299)</f>
        <v>0</v>
      </c>
      <c r="CP299" s="268">
        <f>(CP178-CO178)*-1</f>
        <v>0</v>
      </c>
      <c r="CQ299" s="268">
        <f>(CQ178-CP178)*-1</f>
        <v>0</v>
      </c>
      <c r="CR299" s="268">
        <f>(CR178-CQ178)*-1</f>
        <v>0</v>
      </c>
      <c r="CS299" s="268">
        <f>(CS178-CR178)*-1</f>
        <v>0</v>
      </c>
      <c r="CT299" s="268">
        <f>SUM(CP299:CS299)</f>
        <v>0</v>
      </c>
      <c r="CU299" s="268">
        <f>(CU178-CT178)*-1</f>
        <v>0</v>
      </c>
      <c r="CV299" s="268">
        <f>(CV178-CU178)*-1</f>
        <v>0</v>
      </c>
      <c r="CW299" s="268">
        <f>(CW178-CV178)*-1</f>
        <v>0</v>
      </c>
      <c r="CX299" s="268">
        <f>(CX178-CW178)*-1</f>
        <v>0</v>
      </c>
      <c r="CY299" s="268">
        <f>SUM(CU299:CX299)</f>
        <v>0</v>
      </c>
      <c r="CZ299" s="268" t="n"/>
      <c r="DA299" s="268" t="n"/>
      <c r="DB299" s="268" t="n"/>
      <c r="DC299" s="268" t="n"/>
    </row>
    <row r="300" ht="12.75" customHeight="1" s="255">
      <c r="C300" s="266" t="inlineStr">
        <is>
          <t>Purchases of intangible assets</t>
        </is>
      </c>
      <c r="D300" s="268" t="n"/>
      <c r="E300" s="268">
        <f>((E182-D182)*-1)+((E181-D181)*-1)</f>
        <v>-126</v>
      </c>
      <c r="F300" s="268">
        <f>((F182-E182)*-1)+((F181-E181)*-1)</f>
        <v>-694</v>
      </c>
      <c r="G300" s="268">
        <f>((G182-F182)*-1)+((G181-F181)*-1)</f>
        <v>1253</v>
      </c>
      <c r="H300" s="268">
        <f>SUM(D300:G300)</f>
        <v>433</v>
      </c>
      <c r="I300" s="268">
        <f>((I182-H182)*-1)+((I181-H181)*-1)</f>
        <v>111</v>
      </c>
      <c r="J300" s="268">
        <f>((J182-I182)*-1)+((J181-I181)*-1)</f>
        <v>-287</v>
      </c>
      <c r="K300" s="268">
        <f>((K182-J182)*-1)+((K181-J181)*-1)</f>
        <v>236</v>
      </c>
      <c r="L300" s="268">
        <f>((L182-K182)*-1)+((L181-K181)*-1)</f>
        <v>-91</v>
      </c>
      <c r="M300" s="268">
        <f>SUM(I300:L300)</f>
        <v>-31</v>
      </c>
      <c r="N300" s="268">
        <f>((N182-M182)*-1)+((N181-M181)*-1)</f>
        <v>-424</v>
      </c>
      <c r="O300" s="268">
        <f>((O182-N182)*-1)+((O181-N181)*-1)</f>
        <v>774</v>
      </c>
      <c r="P300" s="268">
        <f>((P182-O182)*-1)+((P181-O181)*-1)</f>
        <v>527</v>
      </c>
      <c r="Q300" s="268">
        <f>((Q182-P182)*-1)+((Q181-P181)*-1)</f>
        <v>-37</v>
      </c>
      <c r="R300" s="268">
        <f>SUM(N300:Q300)</f>
        <v>840</v>
      </c>
      <c r="S300" s="268">
        <f>((S182-R182)*-1)+((S181-R181)*-1)</f>
        <v>-132</v>
      </c>
      <c r="T300" s="268">
        <f>((T182-S182)*-1)+((T181-S181)*-1)</f>
        <v>38</v>
      </c>
      <c r="U300" s="268">
        <f>((U182-T182)*-1)+((U181-T181)*-1)</f>
        <v>253</v>
      </c>
      <c r="V300" s="268">
        <f>((V182-U182)*-1)+((V181-U181)*-1)</f>
        <v>-98</v>
      </c>
      <c r="W300" s="268">
        <f>SUM(S300:V300)</f>
        <v>61</v>
      </c>
      <c r="X300" s="268">
        <f>((X182-W182)*-1)+((X181-W181)*-1)</f>
        <v>114</v>
      </c>
      <c r="Y300" s="268">
        <f>((Y182-X182)*-1)+((Y181-X181)*-1)</f>
        <v>69</v>
      </c>
      <c r="Z300" s="268">
        <f>((Z182-Y182)*-1)+((Z181-Y181)*-1)</f>
        <v>-12</v>
      </c>
      <c r="AA300" s="268">
        <f>((AA182-Z182)*-1)+((AA181-Z181)*-1)</f>
        <v>-850</v>
      </c>
      <c r="AB300" s="268">
        <f>SUM(X300:AA300)</f>
        <v>-679</v>
      </c>
      <c r="AC300" s="268">
        <f>((AC182-AB182)*-1)+((AC181-AB181)*-1)</f>
        <v>-74</v>
      </c>
      <c r="AD300" s="268">
        <f>((AD182-AC182)*-1)+((AD181-AC181)*-1)</f>
        <v>-194</v>
      </c>
      <c r="AE300" s="268">
        <f>((AE182-AD182)*-1)+((AE181-AD181)*-1)</f>
        <v>338</v>
      </c>
      <c r="AF300" s="268">
        <f>((AF182-AE182)*-1)+((AF181-AE181)*-1)</f>
        <v>-13</v>
      </c>
      <c r="AG300" s="268">
        <f>SUM(AC300:AF300)</f>
        <v>57</v>
      </c>
      <c r="AH300" s="268">
        <f>((AH182-AG182)*-1)+((AH181-AG181)*-1)</f>
        <v>583</v>
      </c>
      <c r="AI300" s="268">
        <f>((AI182-AH182)*-1)+((AI181-AH181)*-1)</f>
        <v>-108</v>
      </c>
      <c r="AJ300" s="268">
        <f>((AJ182-AI182)*-1)+((AJ181-AI181)*-1)</f>
        <v>0</v>
      </c>
      <c r="AK300" s="268">
        <f>((AK182-AJ182)*-1)+((AK181-AJ181)*-1)</f>
        <v>0</v>
      </c>
      <c r="AL300" s="268">
        <f>SUM(AH300:AK300)</f>
        <v>475</v>
      </c>
      <c r="AM300" s="268">
        <f>((AM182-AL182)*-1)+((AM181-AL181)*-1)</f>
        <v>0</v>
      </c>
      <c r="AN300" s="268">
        <f>((AN182-AM182)*-1)+((AN181-AM181)*-1)</f>
        <v>0</v>
      </c>
      <c r="AO300" s="268">
        <f>((AO182-AN182)*-1)+((AO181-AN181)*-1)</f>
        <v>0</v>
      </c>
      <c r="AP300" s="268">
        <f>((AP182-AO182)*-1)+((AP181-AO181)*-1)</f>
        <v>0</v>
      </c>
      <c r="AQ300" s="268">
        <f>SUM(AM300:AP300)</f>
        <v>0</v>
      </c>
      <c r="AR300" s="268">
        <f>((AR182-AQ182)*-1)+((AR181-AQ181)*-1)</f>
        <v>0</v>
      </c>
      <c r="AS300" s="268">
        <f>((AS182-AR182)*-1)+((AS181-AR181)*-1)</f>
        <v>0</v>
      </c>
      <c r="AT300" s="268">
        <f>((AT182-AS182)*-1)+((AT181-AS181)*-1)</f>
        <v>0</v>
      </c>
      <c r="AU300" s="268">
        <f>((AU182-AT182)*-1)+((AU181-AT181)*-1)</f>
        <v>0</v>
      </c>
      <c r="AV300" s="268">
        <f>SUM(AR300:AU300)</f>
        <v>0</v>
      </c>
      <c r="AW300" s="268">
        <f>((AW182-AV182)*-1)+((AW181-AV181)*-1)</f>
        <v>0</v>
      </c>
      <c r="AX300" s="268">
        <f>((AX182-AW182)*-1)+((AX181-AW181)*-1)</f>
        <v>0</v>
      </c>
      <c r="AY300" s="268">
        <f>((AY182-AX182)*-1)+((AY181-AX181)*-1)</f>
        <v>0</v>
      </c>
      <c r="AZ300" s="268">
        <f>((AZ182-AY182)*-1)+((AZ181-AY181)*-1)</f>
        <v>0</v>
      </c>
      <c r="BA300" s="268">
        <f>SUM(AW300:AZ300)</f>
        <v>0</v>
      </c>
      <c r="BB300" s="268">
        <f>((BB182-BA182)*-1)+((BB181-BA181)*-1)</f>
        <v>0</v>
      </c>
      <c r="BC300" s="268">
        <f>((BC182-BB182)*-1)+((BC181-BB181)*-1)</f>
        <v>0</v>
      </c>
      <c r="BD300" s="268">
        <f>((BD182-BC182)*-1)+((BD181-BC181)*-1)</f>
        <v>0</v>
      </c>
      <c r="BE300" s="268">
        <f>((BE182-BD182)*-1)+((BE181-BD181)*-1)</f>
        <v>0</v>
      </c>
      <c r="BF300" s="268">
        <f>SUM(BB300:BE300)</f>
        <v>0</v>
      </c>
      <c r="BG300" s="268">
        <f>((BG182-BF182)*-1)+((BG181-BF181)*-1)</f>
        <v>0</v>
      </c>
      <c r="BH300" s="268">
        <f>((BH182-BG182)*-1)+((BH181-BG181)*-1)</f>
        <v>0</v>
      </c>
      <c r="BI300" s="268">
        <f>((BI182-BH182)*-1)+((BI181-BH181)*-1)</f>
        <v>0</v>
      </c>
      <c r="BJ300" s="268">
        <f>((BJ182-BI182)*-1)+((BJ181-BI181)*-1)</f>
        <v>0</v>
      </c>
      <c r="BK300" s="268">
        <f>SUM(BG300:BJ300)</f>
        <v>0</v>
      </c>
      <c r="BL300" s="268">
        <f>((BL182-BK182)*-1)+((BL181-BK181)*-1)</f>
        <v>0</v>
      </c>
      <c r="BM300" s="268">
        <f>((BM182-BL182)*-1)+((BM181-BL181)*-1)</f>
        <v>0</v>
      </c>
      <c r="BN300" s="268">
        <f>((BN182-BM182)*-1)+((BN181-BM181)*-1)</f>
        <v>0</v>
      </c>
      <c r="BO300" s="268">
        <f>((BO182-BN182)*-1)+((BO181-BN181)*-1)</f>
        <v>0</v>
      </c>
      <c r="BP300" s="268">
        <f>SUM(BL300:BO300)</f>
        <v>0</v>
      </c>
      <c r="BQ300" s="268">
        <f>((BQ182-BP182)*-1)+((BQ181-BP181)*-1)</f>
        <v>0</v>
      </c>
      <c r="BR300" s="268">
        <f>((BR182-BQ182)*-1)+((BR181-BQ181)*-1)</f>
        <v>0</v>
      </c>
      <c r="BS300" s="268">
        <f>((BS182-BR182)*-1)+((BS181-BR181)*-1)</f>
        <v>0</v>
      </c>
      <c r="BT300" s="268">
        <f>((BT182-BS182)*-1)+((BT181-BS181)*-1)</f>
        <v>0</v>
      </c>
      <c r="BU300" s="268">
        <f>SUM(BQ300:BT300)</f>
        <v>0</v>
      </c>
      <c r="BV300" s="268">
        <f>((BV182-BU182)*-1)+((BV181-BU181)*-1)</f>
        <v>0</v>
      </c>
      <c r="BW300" s="268">
        <f>((BW182-BV182)*-1)+((BW181-BV181)*-1)</f>
        <v>0</v>
      </c>
      <c r="BX300" s="268">
        <f>((BX182-BW182)*-1)+((BX181-BW181)*-1)</f>
        <v>0</v>
      </c>
      <c r="BY300" s="268">
        <f>((BY182-BX182)*-1)+((BY181-BX181)*-1)</f>
        <v>0</v>
      </c>
      <c r="BZ300" s="268">
        <f>SUM(BV300:BY300)</f>
        <v>0</v>
      </c>
      <c r="CA300" s="268">
        <f>((CA182-BZ182)*-1)+((CA181-BZ181)*-1)</f>
        <v>0</v>
      </c>
      <c r="CB300" s="268">
        <f>((CB182-CA182)*-1)+((CB181-CA181)*-1)</f>
        <v>0</v>
      </c>
      <c r="CC300" s="268">
        <f>((CC182-CB182)*-1)+((CC181-CB181)*-1)</f>
        <v>0</v>
      </c>
      <c r="CD300" s="268">
        <f>((CD182-CC182)*-1)+((CD181-CC181)*-1)</f>
        <v>0</v>
      </c>
      <c r="CE300" s="268">
        <f>SUM(CA300:CD300)</f>
        <v>0</v>
      </c>
      <c r="CF300" s="268">
        <f>((CF182-CE182)*-1)+((CF181-CE181)*-1)</f>
        <v>0</v>
      </c>
      <c r="CG300" s="268">
        <f>((CG182-CF182)*-1)+((CG181-CF181)*-1)</f>
        <v>0</v>
      </c>
      <c r="CH300" s="268">
        <f>((CH182-CG182)*-1)+((CH181-CG181)*-1)</f>
        <v>0</v>
      </c>
      <c r="CI300" s="268">
        <f>((CI182-CH182)*-1)+((CI181-CH181)*-1)</f>
        <v>0</v>
      </c>
      <c r="CJ300" s="268">
        <f>SUM(CF300:CI300)</f>
        <v>0</v>
      </c>
      <c r="CK300" s="268">
        <f>((CK182-CJ182)*-1)+((CK181-CJ181)*-1)</f>
        <v>0</v>
      </c>
      <c r="CL300" s="268">
        <f>((CL182-CK182)*-1)+((CL181-CK181)*-1)</f>
        <v>0</v>
      </c>
      <c r="CM300" s="268">
        <f>((CM182-CL182)*-1)+((CM181-CL181)*-1)</f>
        <v>0</v>
      </c>
      <c r="CN300" s="268">
        <f>((CN182-CM182)*-1)+((CN181-CM181)*-1)</f>
        <v>0</v>
      </c>
      <c r="CO300" s="268">
        <f>SUM(CK300:CN300)</f>
        <v>0</v>
      </c>
      <c r="CP300" s="268">
        <f>((CP182-CO182)*-1)+((CP181-CO181)*-1)</f>
        <v>0</v>
      </c>
      <c r="CQ300" s="268">
        <f>((CQ182-CP182)*-1)+((CQ181-CP181)*-1)</f>
        <v>0</v>
      </c>
      <c r="CR300" s="268">
        <f>((CR182-CQ182)*-1)+((CR181-CQ181)*-1)</f>
        <v>0</v>
      </c>
      <c r="CS300" s="268">
        <f>((CS182-CR182)*-1)+((CS181-CR181)*-1)</f>
        <v>0</v>
      </c>
      <c r="CT300" s="268">
        <f>SUM(CP300:CS300)</f>
        <v>0</v>
      </c>
      <c r="CU300" s="268">
        <f>((CU182-CT182)*-1)+((CU181-CT181)*-1)</f>
        <v>0</v>
      </c>
      <c r="CV300" s="268">
        <f>((CV182-CU182)*-1)+((CV181-CU181)*-1)</f>
        <v>0</v>
      </c>
      <c r="CW300" s="268">
        <f>((CW182-CV182)*-1)+((CW181-CV181)*-1)</f>
        <v>0</v>
      </c>
      <c r="CX300" s="268">
        <f>((CX182-CW182)*-1)+((CX181-CW181)*-1)</f>
        <v>0</v>
      </c>
      <c r="CY300" s="268">
        <f>SUM(CU300:CX300)</f>
        <v>0</v>
      </c>
      <c r="CZ300" s="268" t="n"/>
      <c r="DA300" s="268" t="n"/>
      <c r="DB300" s="268" t="n"/>
      <c r="DC300" s="268" t="n"/>
    </row>
    <row r="301" ht="12.75" customHeight="1" s="255">
      <c r="C301" s="328" t="inlineStr">
        <is>
          <t>Purchases/Proceeds from other long-term assets</t>
        </is>
      </c>
      <c r="D301" s="268" t="n"/>
      <c r="E301" s="268">
        <f>((E191-D191)*-1)+(E242-D242)</f>
        <v>-3272</v>
      </c>
      <c r="F301" s="268">
        <f>((F191-E191)*-1)+(F242-E242)</f>
        <v>-2065</v>
      </c>
      <c r="G301" s="268">
        <f>((G191-F191)*-1)+(G242-F242)</f>
        <v>-128</v>
      </c>
      <c r="H301" s="268">
        <f>SUM(D301:G301)</f>
        <v>-5465</v>
      </c>
      <c r="I301" s="268">
        <f>((I191-H191)*-1)+(I242-H242)</f>
        <v>859</v>
      </c>
      <c r="J301" s="268">
        <f>((J191-I191)*-1)+(J242-I242)</f>
        <v>472</v>
      </c>
      <c r="K301" s="268">
        <f>((K191-J191)*-1)+(K242-J242)</f>
        <v>-1850</v>
      </c>
      <c r="L301" s="268">
        <f>((L191-K191)*-1)+(L242-K242)</f>
        <v>1119</v>
      </c>
      <c r="M301" s="268">
        <f>SUM(I301:L301)</f>
        <v>600</v>
      </c>
      <c r="N301" s="268">
        <f>((N191-M191)*-1)+(N242-M242)</f>
        <v>2366</v>
      </c>
      <c r="O301" s="268">
        <f>((O191-N191)*-1)+(O242-N242)</f>
        <v>439</v>
      </c>
      <c r="P301" s="268">
        <f>((P191-O191)*-1)+(P242-O242)</f>
        <v>4361</v>
      </c>
      <c r="Q301" s="268">
        <f>((Q191-P191)*-1)+(Q242-P242)</f>
        <v>-3902</v>
      </c>
      <c r="R301" s="268">
        <f>SUM(N301:Q301)</f>
        <v>3264</v>
      </c>
      <c r="S301" s="268">
        <f>((S191-R191)*-1)+(S242-R242)</f>
        <v>2338</v>
      </c>
      <c r="T301" s="268">
        <f>((T191-S191)*-1)+(T242-S242)</f>
        <v>-2636</v>
      </c>
      <c r="U301" s="268">
        <f>((U191-T191)*-1)+(U242-T242)</f>
        <v>4044</v>
      </c>
      <c r="V301" s="268">
        <f>((V191-U191)*-1)+(V242-U242)</f>
        <v>-812</v>
      </c>
      <c r="W301" s="268">
        <f>SUM(S301:V301)</f>
        <v>2934</v>
      </c>
      <c r="X301" s="268">
        <f>((X191-W191)*-1)+(X242-W242)</f>
        <v>-359</v>
      </c>
      <c r="Y301" s="268">
        <f>((Y191-X191)*-1)+(Y242-X242)</f>
        <v>577</v>
      </c>
      <c r="Z301" s="268">
        <f>((Z191-Y191)*-1)+(Z242-Y242)</f>
        <v>3954</v>
      </c>
      <c r="AA301" s="268">
        <f>((AA191-Z191)*-1)+(AA242-Z242)</f>
        <v>-244</v>
      </c>
      <c r="AB301" s="268">
        <f>SUM(X301:AA301)</f>
        <v>3928</v>
      </c>
      <c r="AC301" s="268">
        <f>((AC191-AB191)*-1)+(AC242-AB242)</f>
        <v>-278</v>
      </c>
      <c r="AD301" s="268">
        <f>((AD191-AC191)*-1)+(AD242-AC242)</f>
        <v>226</v>
      </c>
      <c r="AE301" s="268">
        <f>((AE191-AD191)*-1)+(AE242-AD242)</f>
        <v>-1338</v>
      </c>
      <c r="AF301" s="268">
        <f>((AF191-AE191)*-1)+(AF242-AE242)</f>
        <v>2278</v>
      </c>
      <c r="AG301" s="268">
        <f>SUM(AC301:AF301)</f>
        <v>888</v>
      </c>
      <c r="AH301" s="268">
        <f>((AH191-AG191)*-1)+(AH242-AG242)</f>
        <v>494</v>
      </c>
      <c r="AI301" s="268">
        <f>((AI191-AH191)*-1)+(AI242-AH242)</f>
        <v>684</v>
      </c>
      <c r="AJ301" s="268">
        <f>((AJ191-AI191)*-1)+(AJ242-AI242)</f>
        <v>0</v>
      </c>
      <c r="AK301" s="268">
        <f>((AK191-AJ191)*-1)+(AK242-AJ242)</f>
        <v>0</v>
      </c>
      <c r="AL301" s="268">
        <f>SUM(AH301:AK301)</f>
        <v>1178</v>
      </c>
      <c r="AM301" s="268">
        <f>((AM191-AL191)*-1)+(AM242-AL242)</f>
        <v>0</v>
      </c>
      <c r="AN301" s="268">
        <f>((AN191-AM191)*-1)+(AN242-AM242)</f>
        <v>0</v>
      </c>
      <c r="AO301" s="268">
        <f>((AO191-AN191)*-1)+(AO242-AN242)</f>
        <v>0</v>
      </c>
      <c r="AP301" s="268">
        <f>((AP191-AO191)*-1)+(AP242-AO242)</f>
        <v>0</v>
      </c>
      <c r="AQ301" s="268">
        <f>SUM(AM301:AP301)</f>
        <v>0</v>
      </c>
      <c r="AR301" s="268">
        <f>((AR191-AQ191)*-1)+(AR242-AQ242)</f>
        <v>0</v>
      </c>
      <c r="AS301" s="268">
        <f>((AS191-AR191)*-1)+(AS242-AR242)</f>
        <v>0</v>
      </c>
      <c r="AT301" s="268">
        <f>((AT191-AS191)*-1)+(AT242-AS242)</f>
        <v>0</v>
      </c>
      <c r="AU301" s="268">
        <f>((AU191-AT191)*-1)+(AU242-AT242)</f>
        <v>0</v>
      </c>
      <c r="AV301" s="268">
        <f>SUM(AR301:AU301)</f>
        <v>0</v>
      </c>
      <c r="AW301" s="268">
        <f>((AW191-AV191)*-1)+(AW242-AV242)</f>
        <v>0</v>
      </c>
      <c r="AX301" s="268">
        <f>((AX191-AW191)*-1)+(AX242-AW242)</f>
        <v>0</v>
      </c>
      <c r="AY301" s="268">
        <f>((AY191-AX191)*-1)+(AY242-AX242)</f>
        <v>0</v>
      </c>
      <c r="AZ301" s="268">
        <f>((AZ191-AY191)*-1)+(AZ242-AY242)</f>
        <v>0</v>
      </c>
      <c r="BA301" s="268">
        <f>SUM(AW301:AZ301)</f>
        <v>0</v>
      </c>
      <c r="BB301" s="268">
        <f>((BB191-BA191)*-1)+(BB242-BA242)</f>
        <v>0</v>
      </c>
      <c r="BC301" s="268">
        <f>((BC191-BB191)*-1)+(BC242-BB242)</f>
        <v>0</v>
      </c>
      <c r="BD301" s="268">
        <f>((BD191-BC191)*-1)+(BD242-BC242)</f>
        <v>0</v>
      </c>
      <c r="BE301" s="268">
        <f>((BE191-BD191)*-1)+(BE242-BD242)</f>
        <v>0</v>
      </c>
      <c r="BF301" s="268">
        <f>SUM(BB301:BE301)</f>
        <v>0</v>
      </c>
      <c r="BG301" s="268">
        <f>((BG191-BF191)*-1)+(BG242-BF242)</f>
        <v>0</v>
      </c>
      <c r="BH301" s="268">
        <f>((BH191-BG191)*-1)+(BH242-BG242)</f>
        <v>0</v>
      </c>
      <c r="BI301" s="268">
        <f>((BI191-BH191)*-1)+(BI242-BH242)</f>
        <v>0</v>
      </c>
      <c r="BJ301" s="268">
        <f>((BJ191-BI191)*-1)+(BJ242-BI242)</f>
        <v>0</v>
      </c>
      <c r="BK301" s="268">
        <f>SUM(BG301:BJ301)</f>
        <v>0</v>
      </c>
      <c r="BL301" s="268">
        <f>((BL191-BK191)*-1)+(BL242-BK242)</f>
        <v>0</v>
      </c>
      <c r="BM301" s="268">
        <f>((BM191-BL191)*-1)+(BM242-BL242)</f>
        <v>0</v>
      </c>
      <c r="BN301" s="268">
        <f>((BN191-BM191)*-1)+(BN242-BM242)</f>
        <v>0</v>
      </c>
      <c r="BO301" s="268">
        <f>((BO191-BN191)*-1)+(BO242-BN242)</f>
        <v>0</v>
      </c>
      <c r="BP301" s="268">
        <f>SUM(BL301:BO301)</f>
        <v>0</v>
      </c>
      <c r="BQ301" s="268">
        <f>((BQ191-BP191)*-1)+(BQ242-BP242)</f>
        <v>0</v>
      </c>
      <c r="BR301" s="268">
        <f>((BR191-BQ191)*-1)+(BR242-BQ242)</f>
        <v>0</v>
      </c>
      <c r="BS301" s="268">
        <f>((BS191-BR191)*-1)+(BS242-BR242)</f>
        <v>0</v>
      </c>
      <c r="BT301" s="268">
        <f>((BT191-BS191)*-1)+(BT242-BS242)</f>
        <v>0</v>
      </c>
      <c r="BU301" s="268">
        <f>SUM(BQ301:BT301)</f>
        <v>0</v>
      </c>
      <c r="BV301" s="268">
        <f>((BV191-BU191)*-1)+(BV242-BU242)</f>
        <v>0</v>
      </c>
      <c r="BW301" s="268">
        <f>((BW191-BV191)*-1)+(BW242-BV242)</f>
        <v>0</v>
      </c>
      <c r="BX301" s="268">
        <f>((BX191-BW191)*-1)+(BX242-BW242)</f>
        <v>0</v>
      </c>
      <c r="BY301" s="268">
        <f>((BY191-BX191)*-1)+(BY242-BX242)</f>
        <v>0</v>
      </c>
      <c r="BZ301" s="268">
        <f>SUM(BV301:BY301)</f>
        <v>0</v>
      </c>
      <c r="CA301" s="268">
        <f>((CA191-BZ191)*-1)+(CA242-BZ242)</f>
        <v>0</v>
      </c>
      <c r="CB301" s="268">
        <f>((CB191-CA191)*-1)+(CB242-CA242)</f>
        <v>0</v>
      </c>
      <c r="CC301" s="268">
        <f>((CC191-CB191)*-1)+(CC242-CB242)</f>
        <v>0</v>
      </c>
      <c r="CD301" s="268">
        <f>((CD191-CC191)*-1)+(CD242-CC242)</f>
        <v>0</v>
      </c>
      <c r="CE301" s="268">
        <f>SUM(CA301:CD301)</f>
        <v>0</v>
      </c>
      <c r="CF301" s="268">
        <f>((CF191-CE191)*-1)+(CF242-CE242)</f>
        <v>0</v>
      </c>
      <c r="CG301" s="268">
        <f>((CG191-CF191)*-1)+(CG242-CF242)</f>
        <v>0</v>
      </c>
      <c r="CH301" s="268">
        <f>((CH191-CG191)*-1)+(CH242-CG242)</f>
        <v>0</v>
      </c>
      <c r="CI301" s="268">
        <f>((CI191-CH191)*-1)+(CI242-CH242)</f>
        <v>0</v>
      </c>
      <c r="CJ301" s="268">
        <f>SUM(CF301:CI301)</f>
        <v>0</v>
      </c>
      <c r="CK301" s="268">
        <f>((CK191-CJ191)*-1)+(CK242-CJ242)</f>
        <v>0</v>
      </c>
      <c r="CL301" s="268">
        <f>((CL191-CK191)*-1)+(CL242-CK242)</f>
        <v>0</v>
      </c>
      <c r="CM301" s="268">
        <f>((CM191-CL191)*-1)+(CM242-CL242)</f>
        <v>0</v>
      </c>
      <c r="CN301" s="268">
        <f>((CN191-CM191)*-1)+(CN242-CM242)</f>
        <v>0</v>
      </c>
      <c r="CO301" s="268">
        <f>SUM(CK301:CN301)</f>
        <v>0</v>
      </c>
      <c r="CP301" s="268">
        <f>((CP191-CO191)*-1)+(CP242-CO242)</f>
        <v>0</v>
      </c>
      <c r="CQ301" s="268">
        <f>((CQ191-CP191)*-1)+(CQ242-CP242)</f>
        <v>0</v>
      </c>
      <c r="CR301" s="268">
        <f>((CR191-CQ191)*-1)+(CR242-CQ242)</f>
        <v>0</v>
      </c>
      <c r="CS301" s="268">
        <f>((CS191-CR191)*-1)+(CS242-CR242)</f>
        <v>0</v>
      </c>
      <c r="CT301" s="268">
        <f>SUM(CP301:CS301)</f>
        <v>0</v>
      </c>
      <c r="CU301" s="268">
        <f>((CU191-CT191)*-1)+(CU242-CT242)</f>
        <v>0</v>
      </c>
      <c r="CV301" s="268">
        <f>((CV191-CU191)*-1)+(CV242-CU242)</f>
        <v>0</v>
      </c>
      <c r="CW301" s="268">
        <f>((CW191-CV191)*-1)+(CW242-CV242)</f>
        <v>0</v>
      </c>
      <c r="CX301" s="268">
        <f>((CX191-CW191)*-1)+(CX242-CW242)</f>
        <v>0</v>
      </c>
      <c r="CY301" s="268">
        <f>SUM(CU301:CX301)</f>
        <v>0</v>
      </c>
    </row>
    <row r="302" ht="12.75" customHeight="1" s="255">
      <c r="C302" s="270" t="inlineStr">
        <is>
          <t>Cash from investing</t>
        </is>
      </c>
      <c r="D302" s="268" t="n"/>
      <c r="E302" s="268">
        <f>SUM(E297,E298,E300,E301,E299)</f>
        <v>-5453</v>
      </c>
      <c r="F302" s="268">
        <f>SUM(F297,F298,F300,F301,F299)</f>
        <v>-6839</v>
      </c>
      <c r="G302" s="268">
        <f>SUM(G297,G298,G300,G301,G299)</f>
        <v>11823</v>
      </c>
      <c r="H302" s="268">
        <f>SUM(H297,H298,H300,H301)</f>
        <v>-3722</v>
      </c>
      <c r="I302" s="268">
        <f>SUM(I297,I298,I300,I301,I299)</f>
        <v>-494</v>
      </c>
      <c r="J302" s="268">
        <f>SUM(J297,J298,J300,J301,J299)</f>
        <v>-3299</v>
      </c>
      <c r="K302" s="268">
        <f>SUM(K297,K298,K300,K301,K299)</f>
        <v>-4880</v>
      </c>
      <c r="L302" s="268">
        <f>SUM(L297,L298,L300,L301,L299)</f>
        <v>-3846</v>
      </c>
      <c r="M302" s="268">
        <f>SUM(M297,M298,M300,M301)</f>
        <v>-12403</v>
      </c>
      <c r="N302" s="268">
        <f>SUM(N297,N298,N300,N301,N299)</f>
        <v>-1177</v>
      </c>
      <c r="O302" s="268">
        <f>SUM(O297,O298,O300,O301,O299)</f>
        <v>-2652</v>
      </c>
      <c r="P302" s="268">
        <f>SUM(P297,P298,P300,P301,P299)</f>
        <v>1064</v>
      </c>
      <c r="Q302" s="268">
        <f>SUM(Q297,Q298,Q300,Q301,Q299)</f>
        <v>-10118</v>
      </c>
      <c r="R302" s="268">
        <f>SUM(R297,R298,R300,R301)</f>
        <v>-13086</v>
      </c>
      <c r="S302" s="268">
        <f>SUM(S297,S298,S300,S301,S299)</f>
        <v>-2338</v>
      </c>
      <c r="T302" s="268">
        <f>SUM(T297,T298,T300,T301,T299)</f>
        <v>-7932</v>
      </c>
      <c r="U302" s="268">
        <f>SUM(U297,U298,U300,U301,U299)</f>
        <v>-1264</v>
      </c>
      <c r="V302" s="268">
        <f>SUM(V297,V298,V300,V301,V299)</f>
        <v>-7492</v>
      </c>
      <c r="W302" s="268">
        <f>SUM(W297,W298,W300,W301)</f>
        <v>-18908</v>
      </c>
      <c r="X302" s="268">
        <f>SUM(X297,X298,X300,X301,X299)</f>
        <v>-3950</v>
      </c>
      <c r="Y302" s="268">
        <f>SUM(Y297,Y298,Y300,Y301,Y299)</f>
        <v>-4902</v>
      </c>
      <c r="Z302" s="268">
        <f>SUM(Z297,Z298,Z300,Z301,Z299)</f>
        <v>-2220</v>
      </c>
      <c r="AA302" s="268">
        <f>SUM(AA297,AA298,AA300,AA301,AA299)</f>
        <v>-7761</v>
      </c>
      <c r="AB302" s="268">
        <f>SUM(AB297,AB298,AB300,AB301)</f>
        <v>-18907</v>
      </c>
      <c r="AC302" s="268">
        <f>SUM(AC297,AC298,AC300,AC301,AC299)</f>
        <v>-4957</v>
      </c>
      <c r="AD302" s="268">
        <f>SUM(AD297,AD298,AD300,AD301,AD299)</f>
        <v>-8056</v>
      </c>
      <c r="AE302" s="268">
        <f>SUM(AE297,AE298,AE300,AE301,AE299)</f>
        <v>-9879</v>
      </c>
      <c r="AF302" s="268">
        <f>SUM(AF297,AF298,AF300,AF301,AF299)</f>
        <v>-7607</v>
      </c>
      <c r="AG302" s="268">
        <f>SUM(AG297,AG298,AG300,AG301)</f>
        <v>-29348</v>
      </c>
      <c r="AH302" s="268">
        <f>SUM(AH297,AH298,AH300,AH301,AH299)</f>
        <v>-4920</v>
      </c>
      <c r="AI302" s="268">
        <f>SUM(AI297,AI298,AI300,AI301,AI299)</f>
        <v>-8472</v>
      </c>
      <c r="AJ302" s="268">
        <f>SUM(AJ297,AJ298,AJ300,AJ301,AJ299)</f>
        <v>0</v>
      </c>
      <c r="AK302" s="268">
        <f>SUM(AK297,AK298,AK300,AK301,AK299)</f>
        <v>0</v>
      </c>
      <c r="AL302" s="268">
        <f>SUM(AL297,AL298,AL300,AL301)</f>
        <v>-12492</v>
      </c>
      <c r="AM302" s="268">
        <f>SUM(AM297,AM298,AM300,AM301,AM299)</f>
        <v>0</v>
      </c>
      <c r="AN302" s="268">
        <f>SUM(AN297,AN298,AN300,AN301,AN299)</f>
        <v>0</v>
      </c>
      <c r="AO302" s="268">
        <f>SUM(AO297,AO298,AO300,AO301,AO299)</f>
        <v>0</v>
      </c>
      <c r="AP302" s="268">
        <f>SUM(AP297,AP298,AP300,AP301,AP299)</f>
        <v>0</v>
      </c>
      <c r="AQ302" s="268">
        <f>SUM(AQ297,AQ298,AQ300,AQ301)</f>
        <v>0</v>
      </c>
      <c r="AR302" s="268">
        <f>SUM(AR297,AR298,AR300,AR301,AR299)</f>
        <v>0</v>
      </c>
      <c r="AS302" s="268">
        <f>SUM(AS297,AS298,AS300,AS301,AS299)</f>
        <v>0</v>
      </c>
      <c r="AT302" s="268">
        <f>SUM(AT297,AT298,AT300,AT301,AT299)</f>
        <v>0</v>
      </c>
      <c r="AU302" s="268">
        <f>SUM(AU297,AU298,AU300,AU301,AU299)</f>
        <v>0</v>
      </c>
      <c r="AV302" s="268">
        <f>SUM(AV297,AV298,AV300,AV301)</f>
        <v>0</v>
      </c>
      <c r="AW302" s="268">
        <f>SUM(AW297,AW298,AW300,AW301,AW299)</f>
        <v>0</v>
      </c>
      <c r="AX302" s="268">
        <f>SUM(AX297,AX298,AX300,AX301,AX299)</f>
        <v>0</v>
      </c>
      <c r="AY302" s="268">
        <f>SUM(AY297,AY298,AY300,AY301,AY299)</f>
        <v>0</v>
      </c>
      <c r="AZ302" s="268">
        <f>SUM(AZ297,AZ298,AZ300,AZ301,AZ299)</f>
        <v>0</v>
      </c>
      <c r="BA302" s="268">
        <f>SUM(BA297,BA298,BA300,BA301)</f>
        <v>0</v>
      </c>
      <c r="BB302" s="268">
        <f>SUM(BB297,BB298,BB300,BB301,BB299)</f>
        <v>0</v>
      </c>
      <c r="BC302" s="268">
        <f>SUM(BC297,BC298,BC300,BC301,BC299)</f>
        <v>0</v>
      </c>
      <c r="BD302" s="268">
        <f>SUM(BD297,BD298,BD300,BD301,BD299)</f>
        <v>0</v>
      </c>
      <c r="BE302" s="268">
        <f>SUM(BE297,BE298,BE300,BE301,BE299)</f>
        <v>0</v>
      </c>
      <c r="BF302" s="268">
        <f>SUM(BF297,BF298,BF300,BF301)</f>
        <v>0</v>
      </c>
      <c r="BG302" s="268">
        <f>SUM(BG297,BG298,BG300,BG301,BG299)</f>
        <v>0</v>
      </c>
      <c r="BH302" s="268">
        <f>SUM(BH297,BH298,BH300,BH301,BH299)</f>
        <v>0</v>
      </c>
      <c r="BI302" s="268">
        <f>SUM(BI297,BI298,BI300,BI301,BI299)</f>
        <v>0</v>
      </c>
      <c r="BJ302" s="268">
        <f>SUM(BJ297,BJ298,BJ300,BJ301,BJ299)</f>
        <v>0</v>
      </c>
      <c r="BK302" s="268">
        <f>SUM(BK297,BK298,BK300,BK301)</f>
        <v>0</v>
      </c>
      <c r="BL302" s="268">
        <f>SUM(BL297,BL298,BL300,BL301,BL299)</f>
        <v>0</v>
      </c>
      <c r="BM302" s="268">
        <f>SUM(BM297,BM298,BM300,BM301,BM299)</f>
        <v>0</v>
      </c>
      <c r="BN302" s="268">
        <f>SUM(BN297,BN298,BN300,BN301,BN299)</f>
        <v>0</v>
      </c>
      <c r="BO302" s="268">
        <f>SUM(BO297,BO298,BO300,BO301,BO299)</f>
        <v>0</v>
      </c>
      <c r="BP302" s="268">
        <f>SUM(BP297,BP298,BP300,BP301)</f>
        <v>0</v>
      </c>
      <c r="BQ302" s="268">
        <f>SUM(BQ297,BQ298,BQ300,BQ301,BQ299)</f>
        <v>0</v>
      </c>
      <c r="BR302" s="268">
        <f>SUM(BR297,BR298,BR300,BR301,BR299)</f>
        <v>0</v>
      </c>
      <c r="BS302" s="268">
        <f>SUM(BS297,BS298,BS300,BS301,BS299)</f>
        <v>0</v>
      </c>
      <c r="BT302" s="268">
        <f>SUM(BT297,BT298,BT300,BT301,BT299)</f>
        <v>0</v>
      </c>
      <c r="BU302" s="268">
        <f>SUM(BU297,BU298,BU300,BU301)</f>
        <v>0</v>
      </c>
      <c r="BV302" s="268">
        <f>SUM(BV297,BV298,BV300,BV301,BV299)</f>
        <v>0</v>
      </c>
      <c r="BW302" s="268">
        <f>SUM(BW297,BW298,BW300,BW301,BW299)</f>
        <v>0</v>
      </c>
      <c r="BX302" s="268">
        <f>SUM(BX297,BX298,BX300,BX301,BX299)</f>
        <v>0</v>
      </c>
      <c r="BY302" s="268">
        <f>SUM(BY297,BY298,BY300,BY301,BY299)</f>
        <v>0</v>
      </c>
      <c r="BZ302" s="268">
        <f>SUM(BZ297,BZ298,BZ300,BZ301)</f>
        <v>0</v>
      </c>
      <c r="CA302" s="268">
        <f>SUM(CA297,CA298,CA300,CA301,CA299)</f>
        <v>0</v>
      </c>
      <c r="CB302" s="268">
        <f>SUM(CB297,CB298,CB300,CB301,CB299)</f>
        <v>0</v>
      </c>
      <c r="CC302" s="268">
        <f>SUM(CC297,CC298,CC300,CC301,CC299)</f>
        <v>0</v>
      </c>
      <c r="CD302" s="268">
        <f>SUM(CD297,CD298,CD300,CD301,CD299)</f>
        <v>0</v>
      </c>
      <c r="CE302" s="268">
        <f>SUM(CE297,CE298,CE300,CE301)</f>
        <v>0</v>
      </c>
      <c r="CF302" s="268">
        <f>SUM(CF297,CF298,CF300,CF301,CF299)</f>
        <v>0</v>
      </c>
      <c r="CG302" s="268">
        <f>SUM(CG297,CG298,CG300,CG301,CG299)</f>
        <v>0</v>
      </c>
      <c r="CH302" s="268">
        <f>SUM(CH297,CH298,CH300,CH301,CH299)</f>
        <v>0</v>
      </c>
      <c r="CI302" s="268">
        <f>SUM(CI297,CI298,CI300,CI301,CI299)</f>
        <v>0</v>
      </c>
      <c r="CJ302" s="268">
        <f>SUM(CJ297,CJ298,CJ300,CJ301)</f>
        <v>0</v>
      </c>
      <c r="CK302" s="268">
        <f>SUM(CK297,CK298,CK300,CK301,CK299)</f>
        <v>0</v>
      </c>
      <c r="CL302" s="268">
        <f>SUM(CL297,CL298,CL300,CL301,CL299)</f>
        <v>0</v>
      </c>
      <c r="CM302" s="268">
        <f>SUM(CM297,CM298,CM300,CM301,CM299)</f>
        <v>0</v>
      </c>
      <c r="CN302" s="268">
        <f>SUM(CN297,CN298,CN300,CN301,CN299)</f>
        <v>0</v>
      </c>
      <c r="CO302" s="268">
        <f>SUM(CO297,CO298,CO300,CO301)</f>
        <v>0</v>
      </c>
      <c r="CP302" s="268">
        <f>SUM(CP297,CP298,CP300,CP301,CP299)</f>
        <v>0</v>
      </c>
      <c r="CQ302" s="268">
        <f>SUM(CQ297,CQ298,CQ300,CQ301,CQ299)</f>
        <v>0</v>
      </c>
      <c r="CR302" s="268">
        <f>SUM(CR297,CR298,CR300,CR301,CR299)</f>
        <v>0</v>
      </c>
      <c r="CS302" s="268">
        <f>SUM(CS297,CS298,CS300,CS301,CS299)</f>
        <v>0</v>
      </c>
      <c r="CT302" s="268">
        <f>SUM(CT297,CT298,CT300,CT301)</f>
        <v>0</v>
      </c>
      <c r="CU302" s="268">
        <f>SUM(CU297,CU298,CU300,CU301,CU299)</f>
        <v>0</v>
      </c>
      <c r="CV302" s="268">
        <f>SUM(CV297,CV298,CV300,CV301,CV299)</f>
        <v>0</v>
      </c>
      <c r="CW302" s="268">
        <f>SUM(CW297,CW298,CW300,CW301,CW299)</f>
        <v>0</v>
      </c>
      <c r="CX302" s="268">
        <f>SUM(CX297,CX298,CX300,CX301,CX299)</f>
        <v>0</v>
      </c>
      <c r="CY302" s="268">
        <f>SUM(CY297,CY298,CY300,CY301)</f>
        <v>0</v>
      </c>
    </row>
    <row r="303" ht="12.75" customHeight="1" s="255">
      <c r="C303" s="270" t="n"/>
      <c r="D303" s="268" t="n"/>
      <c r="E303" s="268" t="n"/>
      <c r="F303" s="268" t="n"/>
      <c r="G303" s="268" t="n"/>
      <c r="H303" s="268" t="n"/>
      <c r="I303" s="268" t="n"/>
      <c r="J303" s="268" t="n"/>
      <c r="K303" s="268" t="n"/>
      <c r="L303" s="268" t="n"/>
      <c r="M303" s="268" t="n"/>
      <c r="N303" s="268" t="n"/>
      <c r="O303" s="268" t="n"/>
      <c r="P303" s="268" t="n"/>
      <c r="Q303" s="268" t="n"/>
      <c r="R303" s="268" t="n"/>
      <c r="S303" s="268" t="n"/>
      <c r="T303" s="268" t="n"/>
      <c r="U303" s="268" t="n"/>
      <c r="V303" s="268" t="n"/>
      <c r="W303" s="268" t="n"/>
      <c r="X303" s="268" t="n"/>
      <c r="Y303" s="268" t="n"/>
      <c r="Z303" s="268" t="n"/>
      <c r="AA303" s="268" t="n"/>
      <c r="AB303" s="268" t="n"/>
      <c r="AC303" s="268" t="n"/>
      <c r="AD303" s="268" t="n"/>
      <c r="AE303" s="268" t="n"/>
      <c r="AF303" s="268" t="n"/>
      <c r="AG303" s="268" t="n"/>
      <c r="AH303" s="268" t="n"/>
      <c r="AI303" s="268" t="n"/>
      <c r="AJ303" s="268" t="n"/>
      <c r="AK303" s="268" t="n"/>
      <c r="AL303" s="268" t="n"/>
      <c r="AM303" s="268" t="n"/>
      <c r="AN303" s="268" t="n"/>
      <c r="AO303" s="268" t="n"/>
      <c r="AP303" s="268" t="n"/>
      <c r="AQ303" s="268" t="n"/>
      <c r="AR303" s="268" t="n"/>
      <c r="AS303" s="268" t="n"/>
      <c r="AT303" s="268" t="n"/>
      <c r="AU303" s="268" t="n"/>
      <c r="AV303" s="268" t="n"/>
      <c r="AW303" s="268" t="n"/>
      <c r="AX303" s="268" t="n"/>
      <c r="AY303" s="268" t="n"/>
      <c r="AZ303" s="268" t="n"/>
      <c r="BA303" s="268" t="n"/>
      <c r="BB303" s="268" t="n"/>
      <c r="BC303" s="268" t="n"/>
      <c r="BD303" s="268" t="n"/>
      <c r="BE303" s="268" t="n"/>
      <c r="BF303" s="268" t="n"/>
      <c r="BG303" s="268" t="n"/>
      <c r="BH303" s="268" t="n"/>
      <c r="BI303" s="268" t="n"/>
      <c r="BJ303" s="268" t="n"/>
      <c r="BK303" s="268" t="n"/>
      <c r="BL303" s="268" t="n"/>
      <c r="BM303" s="268" t="n"/>
      <c r="BN303" s="268" t="n"/>
      <c r="BO303" s="268" t="n"/>
      <c r="BP303" s="268" t="n"/>
      <c r="BQ303" s="268" t="n"/>
      <c r="BR303" s="268" t="n"/>
      <c r="BS303" s="268" t="n"/>
      <c r="BT303" s="268" t="n"/>
      <c r="BU303" s="268" t="n"/>
      <c r="BV303" s="268" t="n"/>
      <c r="BW303" s="268" t="n"/>
      <c r="BX303" s="268" t="n"/>
      <c r="BY303" s="268" t="n"/>
      <c r="BZ303" s="268" t="n"/>
      <c r="CA303" s="268" t="n"/>
      <c r="CB303" s="268" t="n"/>
      <c r="CC303" s="268" t="n"/>
      <c r="CD303" s="268" t="n"/>
      <c r="CE303" s="268" t="n"/>
      <c r="CF303" s="268" t="n"/>
      <c r="CG303" s="268" t="n"/>
      <c r="CH303" s="268" t="n"/>
      <c r="CI303" s="268" t="n"/>
      <c r="CJ303" s="268" t="n"/>
      <c r="CK303" s="268" t="n"/>
      <c r="CL303" s="268" t="n"/>
      <c r="CM303" s="268" t="n"/>
      <c r="CN303" s="268" t="n"/>
      <c r="CO303" s="268" t="n"/>
      <c r="CP303" s="268" t="n"/>
      <c r="CQ303" s="268" t="n"/>
      <c r="CR303" s="268" t="n"/>
      <c r="CS303" s="268" t="n"/>
      <c r="CT303" s="268" t="n"/>
      <c r="CU303" s="268" t="n"/>
      <c r="CV303" s="268" t="n"/>
      <c r="CW303" s="268" t="n"/>
      <c r="CX303" s="268" t="n"/>
      <c r="CY303" s="268" t="n"/>
    </row>
    <row r="304" ht="12.75" customHeight="1" s="255">
      <c r="C304" s="270" t="inlineStr">
        <is>
          <t>Convertible preferred stock</t>
        </is>
      </c>
      <c r="D304" s="268" t="n"/>
      <c r="E304" s="268">
        <f>E255-D255</f>
        <v>0</v>
      </c>
      <c r="F304" s="268">
        <f>F255-E255</f>
        <v>0</v>
      </c>
      <c r="G304" s="268">
        <f>G255-F255</f>
        <v>0</v>
      </c>
      <c r="H304" s="268">
        <f>SUM(D304:G304)</f>
        <v>0</v>
      </c>
      <c r="I304" s="268">
        <f>I255-H255</f>
        <v>0</v>
      </c>
      <c r="J304" s="268">
        <f>J255-I255</f>
        <v>0</v>
      </c>
      <c r="K304" s="268">
        <f>K255-J255</f>
        <v>0</v>
      </c>
      <c r="L304" s="268">
        <f>L255-K255</f>
        <v>0</v>
      </c>
      <c r="M304" s="268">
        <f>SUM(I304:L304)</f>
        <v>0</v>
      </c>
      <c r="N304" s="268">
        <f>N255-M255</f>
        <v>0</v>
      </c>
      <c r="O304" s="268">
        <f>O255-N255</f>
        <v>0</v>
      </c>
      <c r="P304" s="268">
        <f>P255-O255</f>
        <v>0</v>
      </c>
      <c r="Q304" s="268">
        <f>Q255-P255</f>
        <v>0</v>
      </c>
      <c r="R304" s="268">
        <f>SUM(N304:Q304)</f>
        <v>0</v>
      </c>
      <c r="S304" s="268">
        <f>S255-R255</f>
        <v>0</v>
      </c>
      <c r="T304" s="268">
        <f>T255-S255</f>
        <v>0</v>
      </c>
      <c r="U304" s="268">
        <f>U255-T255</f>
        <v>0</v>
      </c>
      <c r="V304" s="268">
        <f>V255-U255</f>
        <v>0</v>
      </c>
      <c r="W304" s="268">
        <f>SUM(S304:V304)</f>
        <v>0</v>
      </c>
      <c r="X304" s="268">
        <f>X255-W255</f>
        <v>0</v>
      </c>
      <c r="Y304" s="268">
        <f>Y255-X255</f>
        <v>0</v>
      </c>
      <c r="Z304" s="268">
        <f>Z255-Y255</f>
        <v>0</v>
      </c>
      <c r="AA304" s="268">
        <f>AA255-Z255</f>
        <v>0</v>
      </c>
      <c r="AB304" s="268">
        <f>SUM(X304:AA304)</f>
        <v>0</v>
      </c>
      <c r="AC304" s="268">
        <f>AC255-AB255</f>
        <v>0</v>
      </c>
      <c r="AD304" s="268">
        <f>AD255-AC255</f>
        <v>0</v>
      </c>
      <c r="AE304" s="268">
        <f>AE255-AD255</f>
        <v>0</v>
      </c>
      <c r="AF304" s="268">
        <f>AF255-AE255</f>
        <v>0</v>
      </c>
      <c r="AG304" s="268">
        <f>SUM(AC304:AF304)</f>
        <v>0</v>
      </c>
      <c r="AH304" s="268">
        <f>AH255-AG255</f>
        <v>0</v>
      </c>
      <c r="AI304" s="268">
        <f>AI255-AH255</f>
        <v>0</v>
      </c>
      <c r="AJ304" s="268">
        <f>AJ255-AI255</f>
        <v>0</v>
      </c>
      <c r="AK304" s="268">
        <f>AK255-AJ255</f>
        <v>0</v>
      </c>
      <c r="AL304" s="268">
        <f>SUM(AH304:AK304)</f>
        <v>0</v>
      </c>
      <c r="AM304" s="268">
        <f>AM255-AL255</f>
        <v>0</v>
      </c>
      <c r="AN304" s="268">
        <f>AN255-AM255</f>
        <v>0</v>
      </c>
      <c r="AO304" s="268">
        <f>AO255-AN255</f>
        <v>0</v>
      </c>
      <c r="AP304" s="268">
        <f>AP255-AO255</f>
        <v>0</v>
      </c>
      <c r="AQ304" s="268">
        <f>SUM(AM304:AP304)</f>
        <v>0</v>
      </c>
      <c r="AR304" s="268">
        <f>AR255-AQ255</f>
        <v>0</v>
      </c>
      <c r="AS304" s="268">
        <f>AS255-AR255</f>
        <v>0</v>
      </c>
      <c r="AT304" s="268">
        <f>AT255-AS255</f>
        <v>0</v>
      </c>
      <c r="AU304" s="268">
        <f>AU255-AT255</f>
        <v>0</v>
      </c>
      <c r="AV304" s="268">
        <f>SUM(AR304:AU304)</f>
        <v>0</v>
      </c>
      <c r="AW304" s="268">
        <f>AW255-AV255</f>
        <v>0</v>
      </c>
      <c r="AX304" s="268">
        <f>AX255-AW255</f>
        <v>0</v>
      </c>
      <c r="AY304" s="268">
        <f>AY255-AX255</f>
        <v>0</v>
      </c>
      <c r="AZ304" s="268">
        <f>AZ255-AY255</f>
        <v>0</v>
      </c>
      <c r="BA304" s="268">
        <f>SUM(AW304:AZ304)</f>
        <v>0</v>
      </c>
      <c r="BB304" s="268">
        <f>BB255-BA255</f>
        <v>0</v>
      </c>
      <c r="BC304" s="268">
        <f>BC255-BB255</f>
        <v>0</v>
      </c>
      <c r="BD304" s="268">
        <f>BD255-BC255</f>
        <v>0</v>
      </c>
      <c r="BE304" s="268">
        <f>BE255-BD255</f>
        <v>0</v>
      </c>
      <c r="BF304" s="268">
        <f>SUM(BB304:BE304)</f>
        <v>0</v>
      </c>
      <c r="BG304" s="268">
        <f>BG255-BF255</f>
        <v>0</v>
      </c>
      <c r="BH304" s="268">
        <f>BH255-BG255</f>
        <v>0</v>
      </c>
      <c r="BI304" s="268">
        <f>BI255-BH255</f>
        <v>0</v>
      </c>
      <c r="BJ304" s="268">
        <f>BJ255-BI255</f>
        <v>0</v>
      </c>
      <c r="BK304" s="268">
        <f>SUM(BG304:BJ304)</f>
        <v>0</v>
      </c>
      <c r="BL304" s="268">
        <f>BL255-BK255</f>
        <v>0</v>
      </c>
      <c r="BM304" s="268">
        <f>BM255-BL255</f>
        <v>0</v>
      </c>
      <c r="BN304" s="268">
        <f>BN255-BM255</f>
        <v>0</v>
      </c>
      <c r="BO304" s="268">
        <f>BO255-BN255</f>
        <v>0</v>
      </c>
      <c r="BP304" s="268">
        <f>SUM(BL304:BO304)</f>
        <v>0</v>
      </c>
      <c r="BQ304" s="268">
        <f>BQ255-BP255</f>
        <v>0</v>
      </c>
      <c r="BR304" s="268">
        <f>BR255-BQ255</f>
        <v>0</v>
      </c>
      <c r="BS304" s="268">
        <f>BS255-BR255</f>
        <v>0</v>
      </c>
      <c r="BT304" s="268">
        <f>BT255-BS255</f>
        <v>0</v>
      </c>
      <c r="BU304" s="268">
        <f>SUM(BQ304:BT304)</f>
        <v>0</v>
      </c>
      <c r="BV304" s="268">
        <f>BV255-BU255</f>
        <v>0</v>
      </c>
      <c r="BW304" s="268">
        <f>BW255-BV255</f>
        <v>0</v>
      </c>
      <c r="BX304" s="268">
        <f>BX255-BW255</f>
        <v>0</v>
      </c>
      <c r="BY304" s="268">
        <f>BY255-BX255</f>
        <v>0</v>
      </c>
      <c r="BZ304" s="268">
        <f>SUM(BV304:BY304)</f>
        <v>0</v>
      </c>
      <c r="CA304" s="268">
        <f>CA255-BZ255</f>
        <v>0</v>
      </c>
      <c r="CB304" s="268">
        <f>CB255-CA255</f>
        <v>0</v>
      </c>
      <c r="CC304" s="268">
        <f>CC255-CB255</f>
        <v>0</v>
      </c>
      <c r="CD304" s="268">
        <f>CD255-CC255</f>
        <v>0</v>
      </c>
      <c r="CE304" s="268">
        <f>SUM(CA304:CD304)</f>
        <v>0</v>
      </c>
      <c r="CF304" s="268">
        <f>CF255-CE255</f>
        <v>0</v>
      </c>
      <c r="CG304" s="268">
        <f>CG255-CF255</f>
        <v>0</v>
      </c>
      <c r="CH304" s="268">
        <f>CH255-CG255</f>
        <v>0</v>
      </c>
      <c r="CI304" s="268">
        <f>CI255-CH255</f>
        <v>0</v>
      </c>
      <c r="CJ304" s="268">
        <f>SUM(CF304:CI304)</f>
        <v>0</v>
      </c>
      <c r="CK304" s="268">
        <f>CK255-CJ255</f>
        <v>0</v>
      </c>
      <c r="CL304" s="268">
        <f>CL255-CK255</f>
        <v>0</v>
      </c>
      <c r="CM304" s="268">
        <f>CM255-CL255</f>
        <v>0</v>
      </c>
      <c r="CN304" s="268">
        <f>CN255-CM255</f>
        <v>0</v>
      </c>
      <c r="CO304" s="268">
        <f>SUM(CK304:CN304)</f>
        <v>0</v>
      </c>
      <c r="CP304" s="268">
        <f>CP255-CO255</f>
        <v>0</v>
      </c>
      <c r="CQ304" s="268">
        <f>CQ255-CP255</f>
        <v>0</v>
      </c>
      <c r="CR304" s="268">
        <f>CR255-CQ255</f>
        <v>0</v>
      </c>
      <c r="CS304" s="268">
        <f>CS255-CR255</f>
        <v>0</v>
      </c>
      <c r="CT304" s="268">
        <f>SUM(CP304:CS304)</f>
        <v>0</v>
      </c>
      <c r="CU304" s="268">
        <f>CU255-CT255</f>
        <v>0</v>
      </c>
      <c r="CV304" s="268">
        <f>CV255-CU255</f>
        <v>0</v>
      </c>
      <c r="CW304" s="268">
        <f>CW255-CV255</f>
        <v>0</v>
      </c>
      <c r="CX304" s="268">
        <f>CX255-CW255</f>
        <v>0</v>
      </c>
      <c r="CY304" s="268">
        <f>SUM(CU304:CX304)</f>
        <v>0</v>
      </c>
    </row>
    <row r="305" ht="12.75" customHeight="1" s="255">
      <c r="C305" s="270" t="inlineStr">
        <is>
          <t>Common stock and APIC</t>
        </is>
      </c>
      <c r="D305" s="268" t="n"/>
      <c r="E305" s="268">
        <f>E256-D256</f>
        <v>213</v>
      </c>
      <c r="F305" s="268">
        <f>F256-E256</f>
        <v>288</v>
      </c>
      <c r="G305" s="268">
        <f>G256-F256</f>
        <v>160</v>
      </c>
      <c r="H305" s="268">
        <f>SUM(D305:G305)</f>
        <v>661</v>
      </c>
      <c r="I305" s="268">
        <f>I256-H256</f>
        <v>-224</v>
      </c>
      <c r="J305" s="268">
        <f>J256-I256</f>
        <v>229</v>
      </c>
      <c r="K305" s="268">
        <f>K256-J256</f>
        <v>1155</v>
      </c>
      <c r="L305" s="268">
        <f>L256-K256</f>
        <v>27</v>
      </c>
      <c r="M305" s="268">
        <f>SUM(I305:L305)</f>
        <v>1187</v>
      </c>
      <c r="N305" s="268">
        <f>N256-M256</f>
        <v>-253</v>
      </c>
      <c r="O305" s="268">
        <f>O256-N256</f>
        <v>82</v>
      </c>
      <c r="P305" s="268">
        <f>P256-O256</f>
        <v>143</v>
      </c>
      <c r="Q305" s="268">
        <f>Q256-P256</f>
        <v>151</v>
      </c>
      <c r="R305" s="268">
        <f>SUM(N305:Q305)</f>
        <v>123</v>
      </c>
      <c r="S305" s="268">
        <f>S256-R256</f>
        <v>279</v>
      </c>
      <c r="T305" s="268">
        <f>T256-S256</f>
        <v>-613</v>
      </c>
      <c r="U305" s="268">
        <f>U256-T256</f>
        <v>294</v>
      </c>
      <c r="V305" s="268">
        <f>V256-U256</f>
        <v>151</v>
      </c>
      <c r="W305" s="268">
        <f>SUM(S305:V305)</f>
        <v>111</v>
      </c>
      <c r="X305" s="268">
        <f>X256-W256</f>
        <v>81</v>
      </c>
      <c r="Y305" s="268">
        <f>Y256-X256</f>
        <v>383</v>
      </c>
      <c r="Z305" s="268">
        <f>Z256-Y256</f>
        <v>385</v>
      </c>
      <c r="AA305" s="268">
        <f>AA256-Z256</f>
        <v>107</v>
      </c>
      <c r="AB305" s="268">
        <f>SUM(X305:AA305)</f>
        <v>956</v>
      </c>
      <c r="AC305" s="268">
        <f>AC256-AB256</f>
        <v>-65</v>
      </c>
      <c r="AD305" s="268">
        <f>AD256-AC256</f>
        <v>275</v>
      </c>
      <c r="AE305" s="268">
        <f>AE256-AD256</f>
        <v>1145</v>
      </c>
      <c r="AF305" s="268">
        <f>AF256-AE256</f>
        <v>-47</v>
      </c>
      <c r="AG305" s="268">
        <f>SUM(AC305:AF305)</f>
        <v>1308</v>
      </c>
      <c r="AH305" s="268">
        <f>AH256-AG256</f>
        <v>81</v>
      </c>
      <c r="AI305" s="268">
        <f>AI256-AH256</f>
        <v>146</v>
      </c>
      <c r="AJ305" s="268">
        <f>AJ256-AI256</f>
        <v>0</v>
      </c>
      <c r="AK305" s="268">
        <f>AK256-AJ256</f>
        <v>0</v>
      </c>
      <c r="AL305" s="268">
        <f>SUM(AH305:AK305)</f>
        <v>227</v>
      </c>
      <c r="AM305" s="268">
        <f>AM256-AL256</f>
        <v>0</v>
      </c>
      <c r="AN305" s="268">
        <f>AN256-AM256</f>
        <v>0</v>
      </c>
      <c r="AO305" s="268">
        <f>AO256-AN256</f>
        <v>0</v>
      </c>
      <c r="AP305" s="268">
        <f>AP256-AO256</f>
        <v>0</v>
      </c>
      <c r="AQ305" s="268">
        <f>SUM(AM305:AP305)</f>
        <v>0</v>
      </c>
      <c r="AR305" s="268">
        <f>AR256-AQ256</f>
        <v>0</v>
      </c>
      <c r="AS305" s="268">
        <f>AS256-AR256</f>
        <v>0</v>
      </c>
      <c r="AT305" s="268">
        <f>AT256-AS256</f>
        <v>0</v>
      </c>
      <c r="AU305" s="268">
        <f>AU256-AT256</f>
        <v>0</v>
      </c>
      <c r="AV305" s="268">
        <f>SUM(AR305:AU305)</f>
        <v>0</v>
      </c>
      <c r="AW305" s="268">
        <f>AW256-AV256</f>
        <v>0</v>
      </c>
      <c r="AX305" s="268">
        <f>AX256-AW256</f>
        <v>0</v>
      </c>
      <c r="AY305" s="268">
        <f>AY256-AX256</f>
        <v>0</v>
      </c>
      <c r="AZ305" s="268">
        <f>AZ256-AY256</f>
        <v>0</v>
      </c>
      <c r="BA305" s="268">
        <f>SUM(AW305:AZ305)</f>
        <v>0</v>
      </c>
      <c r="BB305" s="268">
        <f>BB256-BA256</f>
        <v>0</v>
      </c>
      <c r="BC305" s="268">
        <f>BC256-BB256</f>
        <v>0</v>
      </c>
      <c r="BD305" s="268">
        <f>BD256-BC256</f>
        <v>0</v>
      </c>
      <c r="BE305" s="268">
        <f>BE256-BD256</f>
        <v>0</v>
      </c>
      <c r="BF305" s="268">
        <f>SUM(BB305:BE305)</f>
        <v>0</v>
      </c>
      <c r="BG305" s="268">
        <f>BG256-BF256</f>
        <v>0</v>
      </c>
      <c r="BH305" s="268">
        <f>BH256-BG256</f>
        <v>0</v>
      </c>
      <c r="BI305" s="268">
        <f>BI256-BH256</f>
        <v>0</v>
      </c>
      <c r="BJ305" s="268">
        <f>BJ256-BI256</f>
        <v>0</v>
      </c>
      <c r="BK305" s="268">
        <f>SUM(BG305:BJ305)</f>
        <v>0</v>
      </c>
      <c r="BL305" s="268">
        <f>BL256-BK256</f>
        <v>0</v>
      </c>
      <c r="BM305" s="268">
        <f>BM256-BL256</f>
        <v>0</v>
      </c>
      <c r="BN305" s="268">
        <f>BN256-BM256</f>
        <v>0</v>
      </c>
      <c r="BO305" s="268">
        <f>BO256-BN256</f>
        <v>0</v>
      </c>
      <c r="BP305" s="268">
        <f>SUM(BL305:BO305)</f>
        <v>0</v>
      </c>
      <c r="BQ305" s="268">
        <f>BQ256-BP256</f>
        <v>0</v>
      </c>
      <c r="BR305" s="268">
        <f>BR256-BQ256</f>
        <v>0</v>
      </c>
      <c r="BS305" s="268">
        <f>BS256-BR256</f>
        <v>0</v>
      </c>
      <c r="BT305" s="268">
        <f>BT256-BS256</f>
        <v>0</v>
      </c>
      <c r="BU305" s="268">
        <f>SUM(BQ305:BT305)</f>
        <v>0</v>
      </c>
      <c r="BV305" s="268">
        <f>BV256-BU256</f>
        <v>0</v>
      </c>
      <c r="BW305" s="268">
        <f>BW256-BV256</f>
        <v>0</v>
      </c>
      <c r="BX305" s="268">
        <f>BX256-BW256</f>
        <v>0</v>
      </c>
      <c r="BY305" s="268">
        <f>BY256-BX256</f>
        <v>0</v>
      </c>
      <c r="BZ305" s="268">
        <f>SUM(BV305:BY305)</f>
        <v>0</v>
      </c>
      <c r="CA305" s="268">
        <f>CA256-BZ256</f>
        <v>0</v>
      </c>
      <c r="CB305" s="268">
        <f>CB256-CA256</f>
        <v>0</v>
      </c>
      <c r="CC305" s="268">
        <f>CC256-CB256</f>
        <v>0</v>
      </c>
      <c r="CD305" s="268">
        <f>CD256-CC256</f>
        <v>0</v>
      </c>
      <c r="CE305" s="268">
        <f>SUM(CA305:CD305)</f>
        <v>0</v>
      </c>
      <c r="CF305" s="268">
        <f>CF256-CE256</f>
        <v>0</v>
      </c>
      <c r="CG305" s="268">
        <f>CG256-CF256</f>
        <v>0</v>
      </c>
      <c r="CH305" s="268">
        <f>CH256-CG256</f>
        <v>0</v>
      </c>
      <c r="CI305" s="268">
        <f>CI256-CH256</f>
        <v>0</v>
      </c>
      <c r="CJ305" s="268">
        <f>SUM(CF305:CI305)</f>
        <v>0</v>
      </c>
      <c r="CK305" s="268">
        <f>CK256-CJ256</f>
        <v>0</v>
      </c>
      <c r="CL305" s="268">
        <f>CL256-CK256</f>
        <v>0</v>
      </c>
      <c r="CM305" s="268">
        <f>CM256-CL256</f>
        <v>0</v>
      </c>
      <c r="CN305" s="268">
        <f>CN256-CM256</f>
        <v>0</v>
      </c>
      <c r="CO305" s="268">
        <f>SUM(CK305:CN305)</f>
        <v>0</v>
      </c>
      <c r="CP305" s="268">
        <f>CP256-CO256</f>
        <v>0</v>
      </c>
      <c r="CQ305" s="268">
        <f>CQ256-CP256</f>
        <v>0</v>
      </c>
      <c r="CR305" s="268">
        <f>CR256-CQ256</f>
        <v>0</v>
      </c>
      <c r="CS305" s="268">
        <f>CS256-CR256</f>
        <v>0</v>
      </c>
      <c r="CT305" s="268">
        <f>SUM(CP305:CS305)</f>
        <v>0</v>
      </c>
      <c r="CU305" s="268">
        <f>CU256-CT256</f>
        <v>0</v>
      </c>
      <c r="CV305" s="268">
        <f>CV256-CU256</f>
        <v>0</v>
      </c>
      <c r="CW305" s="268">
        <f>CW256-CV256</f>
        <v>0</v>
      </c>
      <c r="CX305" s="268">
        <f>CX256-CW256</f>
        <v>0</v>
      </c>
      <c r="CY305" s="268">
        <f>SUM(CU305:CX305)</f>
        <v>0</v>
      </c>
    </row>
    <row r="306" ht="12.75" customHeight="1" s="255">
      <c r="C306" s="270" t="inlineStr">
        <is>
          <t>Treasury stock repurchases</t>
        </is>
      </c>
      <c r="D306" s="268" t="n"/>
      <c r="E306" s="268">
        <f>E269-D269</f>
        <v>0</v>
      </c>
      <c r="F306" s="268">
        <f>F269-E269</f>
        <v>0</v>
      </c>
      <c r="G306" s="268">
        <f>G269-F269</f>
        <v>0</v>
      </c>
      <c r="H306" s="268">
        <f>SUM(D306:G306)</f>
        <v>0</v>
      </c>
      <c r="I306" s="268">
        <f>I269-H269</f>
        <v>0</v>
      </c>
      <c r="J306" s="268">
        <f>J269-I269</f>
        <v>0</v>
      </c>
      <c r="K306" s="268">
        <f>K269-J269</f>
        <v>0</v>
      </c>
      <c r="L306" s="268">
        <f>L269-K269</f>
        <v>0</v>
      </c>
      <c r="M306" s="268">
        <f>SUM(I306:L306)</f>
        <v>0</v>
      </c>
      <c r="N306" s="268">
        <f>N269-M269</f>
        <v>0</v>
      </c>
      <c r="O306" s="268">
        <f>O269-N269</f>
        <v>0</v>
      </c>
      <c r="P306" s="268">
        <f>P269-O269</f>
        <v>0</v>
      </c>
      <c r="Q306" s="268">
        <f>Q269-P269</f>
        <v>0</v>
      </c>
      <c r="R306" s="268">
        <f>SUM(N306:Q306)</f>
        <v>0</v>
      </c>
      <c r="S306" s="268">
        <f>S269-R269</f>
        <v>0</v>
      </c>
      <c r="T306" s="268">
        <f>T269-S269</f>
        <v>0</v>
      </c>
      <c r="U306" s="268">
        <f>U269-T269</f>
        <v>0</v>
      </c>
      <c r="V306" s="268">
        <f>V269-U269</f>
        <v>0</v>
      </c>
      <c r="W306" s="268">
        <f>SUM(S306:V306)</f>
        <v>0</v>
      </c>
      <c r="X306" s="268">
        <f>X269-W269</f>
        <v>0</v>
      </c>
      <c r="Y306" s="268">
        <f>Y269-X269</f>
        <v>0</v>
      </c>
      <c r="Z306" s="268">
        <f>Z269-Y269</f>
        <v>0</v>
      </c>
      <c r="AA306" s="268">
        <f>AA269-Z269</f>
        <v>0</v>
      </c>
      <c r="AB306" s="268">
        <f>SUM(X306:AA306)</f>
        <v>0</v>
      </c>
      <c r="AC306" s="268">
        <f>AC269-AB269</f>
        <v>0</v>
      </c>
      <c r="AD306" s="268">
        <f>AD269-AC269</f>
        <v>0</v>
      </c>
      <c r="AE306" s="268">
        <f>AE269-AD269</f>
        <v>0</v>
      </c>
      <c r="AF306" s="268">
        <f>AF269-AE269</f>
        <v>0</v>
      </c>
      <c r="AG306" s="268">
        <f>SUM(AC306:AF306)</f>
        <v>0</v>
      </c>
      <c r="AH306" s="268">
        <f>AH269-AG269</f>
        <v>0</v>
      </c>
      <c r="AI306" s="268">
        <f>AI269-AH269</f>
        <v>0</v>
      </c>
      <c r="AJ306" s="268">
        <f>AJ269-AI269</f>
        <v>0</v>
      </c>
      <c r="AK306" s="268">
        <f>AK269-AJ269</f>
        <v>0</v>
      </c>
      <c r="AL306" s="268">
        <f>SUM(AH306:AK306)</f>
        <v>0</v>
      </c>
      <c r="AM306" s="268">
        <f>AM269-AL269</f>
        <v>0</v>
      </c>
      <c r="AN306" s="268">
        <f>AN269-AM269</f>
        <v>0</v>
      </c>
      <c r="AO306" s="268">
        <f>AO269-AN269</f>
        <v>0</v>
      </c>
      <c r="AP306" s="268">
        <f>AP269-AO269</f>
        <v>0</v>
      </c>
      <c r="AQ306" s="268">
        <f>SUM(AM306:AP306)</f>
        <v>0</v>
      </c>
      <c r="AR306" s="268">
        <f>AR269-AQ269</f>
        <v>0</v>
      </c>
      <c r="AS306" s="268">
        <f>AS269-AR269</f>
        <v>0</v>
      </c>
      <c r="AT306" s="268">
        <f>AT269-AS269</f>
        <v>0</v>
      </c>
      <c r="AU306" s="268">
        <f>AU269-AT269</f>
        <v>0</v>
      </c>
      <c r="AV306" s="268">
        <f>SUM(AR306:AU306)</f>
        <v>0</v>
      </c>
      <c r="AW306" s="268">
        <f>AW269-AV269</f>
        <v>0</v>
      </c>
      <c r="AX306" s="268">
        <f>AX269-AW269</f>
        <v>0</v>
      </c>
      <c r="AY306" s="268">
        <f>AY269-AX269</f>
        <v>0</v>
      </c>
      <c r="AZ306" s="268">
        <f>AZ269-AY269</f>
        <v>0</v>
      </c>
      <c r="BA306" s="268">
        <f>SUM(AW306:AZ306)</f>
        <v>0</v>
      </c>
      <c r="BB306" s="268">
        <f>BB269-BA269</f>
        <v>0</v>
      </c>
      <c r="BC306" s="268">
        <f>BC269-BB269</f>
        <v>0</v>
      </c>
      <c r="BD306" s="268">
        <f>BD269-BC269</f>
        <v>0</v>
      </c>
      <c r="BE306" s="268">
        <f>BE269-BD269</f>
        <v>0</v>
      </c>
      <c r="BF306" s="268">
        <f>SUM(BB306:BE306)</f>
        <v>0</v>
      </c>
      <c r="BG306" s="268">
        <f>BG269-BF269</f>
        <v>0</v>
      </c>
      <c r="BH306" s="268">
        <f>BH269-BG269</f>
        <v>0</v>
      </c>
      <c r="BI306" s="268">
        <f>BI269-BH269</f>
        <v>0</v>
      </c>
      <c r="BJ306" s="268">
        <f>BJ269-BI269</f>
        <v>0</v>
      </c>
      <c r="BK306" s="268">
        <f>SUM(BG306:BJ306)</f>
        <v>0</v>
      </c>
      <c r="BL306" s="268">
        <f>BL269-BK269</f>
        <v>0</v>
      </c>
      <c r="BM306" s="268">
        <f>BM269-BL269</f>
        <v>0</v>
      </c>
      <c r="BN306" s="268">
        <f>BN269-BM269</f>
        <v>0</v>
      </c>
      <c r="BO306" s="268">
        <f>BO269-BN269</f>
        <v>0</v>
      </c>
      <c r="BP306" s="268">
        <f>SUM(BL306:BO306)</f>
        <v>0</v>
      </c>
      <c r="BQ306" s="268">
        <f>BQ269-BP269</f>
        <v>0</v>
      </c>
      <c r="BR306" s="268">
        <f>BR269-BQ269</f>
        <v>0</v>
      </c>
      <c r="BS306" s="268">
        <f>BS269-BR269</f>
        <v>0</v>
      </c>
      <c r="BT306" s="268">
        <f>BT269-BS269</f>
        <v>0</v>
      </c>
      <c r="BU306" s="268">
        <f>SUM(BQ306:BT306)</f>
        <v>0</v>
      </c>
      <c r="BV306" s="268">
        <f>BV269-BU269</f>
        <v>0</v>
      </c>
      <c r="BW306" s="268">
        <f>BW269-BV269</f>
        <v>0</v>
      </c>
      <c r="BX306" s="268">
        <f>BX269-BW269</f>
        <v>0</v>
      </c>
      <c r="BY306" s="268">
        <f>BY269-BX269</f>
        <v>0</v>
      </c>
      <c r="BZ306" s="268">
        <f>SUM(BV306:BY306)</f>
        <v>0</v>
      </c>
      <c r="CA306" s="268">
        <f>CA269-BZ269</f>
        <v>0</v>
      </c>
      <c r="CB306" s="268">
        <f>CB269-CA269</f>
        <v>0</v>
      </c>
      <c r="CC306" s="268">
        <f>CC269-CB269</f>
        <v>0</v>
      </c>
      <c r="CD306" s="268">
        <f>CD269-CC269</f>
        <v>0</v>
      </c>
      <c r="CE306" s="268">
        <f>SUM(CA306:CD306)</f>
        <v>0</v>
      </c>
      <c r="CF306" s="268">
        <f>CF269-CE269</f>
        <v>0</v>
      </c>
      <c r="CG306" s="268">
        <f>CG269-CF269</f>
        <v>0</v>
      </c>
      <c r="CH306" s="268">
        <f>CH269-CG269</f>
        <v>0</v>
      </c>
      <c r="CI306" s="268">
        <f>CI269-CH269</f>
        <v>0</v>
      </c>
      <c r="CJ306" s="268">
        <f>SUM(CF306:CI306)</f>
        <v>0</v>
      </c>
      <c r="CK306" s="268">
        <f>CK269-CJ269</f>
        <v>0</v>
      </c>
      <c r="CL306" s="268">
        <f>CL269-CK269</f>
        <v>0</v>
      </c>
      <c r="CM306" s="268">
        <f>CM269-CL269</f>
        <v>0</v>
      </c>
      <c r="CN306" s="268">
        <f>CN269-CM269</f>
        <v>0</v>
      </c>
      <c r="CO306" s="268">
        <f>SUM(CK306:CN306)</f>
        <v>0</v>
      </c>
      <c r="CP306" s="268">
        <f>CP269-CO269</f>
        <v>0</v>
      </c>
      <c r="CQ306" s="268">
        <f>CQ269-CP269</f>
        <v>0</v>
      </c>
      <c r="CR306" s="268">
        <f>CR269-CQ269</f>
        <v>0</v>
      </c>
      <c r="CS306" s="268">
        <f>CS269-CR269</f>
        <v>0</v>
      </c>
      <c r="CT306" s="268">
        <f>SUM(CP306:CS306)</f>
        <v>0</v>
      </c>
      <c r="CU306" s="268">
        <f>CU269-CT269</f>
        <v>0</v>
      </c>
      <c r="CV306" s="268">
        <f>CV269-CU269</f>
        <v>0</v>
      </c>
      <c r="CW306" s="268">
        <f>CW269-CV269</f>
        <v>0</v>
      </c>
      <c r="CX306" s="268">
        <f>CX269-CW269</f>
        <v>0</v>
      </c>
      <c r="CY306" s="268">
        <f>SUM(CU306:CX306)</f>
        <v>0</v>
      </c>
    </row>
    <row r="307" ht="12.75" customHeight="1" s="255">
      <c r="C307" s="270" t="inlineStr">
        <is>
          <t>Comprehensive accumulated loss</t>
        </is>
      </c>
      <c r="D307" s="268" t="n"/>
      <c r="E307" s="268">
        <f>E270-D270</f>
        <v>384</v>
      </c>
      <c r="F307" s="268">
        <f>F270-E270</f>
        <v>1168</v>
      </c>
      <c r="G307" s="268">
        <f>G270-F270</f>
        <v>2850</v>
      </c>
      <c r="H307" s="268">
        <f>SUM(D307:G307)</f>
        <v>4402</v>
      </c>
      <c r="I307" s="268">
        <f>I270-H270</f>
        <v>3820</v>
      </c>
      <c r="J307" s="268">
        <f>J270-I270</f>
        <v>-30</v>
      </c>
      <c r="K307" s="268">
        <f>K270-J270</f>
        <v>-512</v>
      </c>
      <c r="L307" s="268">
        <f>L270-K270</f>
        <v>-278</v>
      </c>
      <c r="M307" s="268">
        <f>SUM(I307:L307)</f>
        <v>3000</v>
      </c>
      <c r="N307" s="268">
        <f>N270-M270</f>
        <v>268</v>
      </c>
      <c r="O307" s="268">
        <f>O270-N270</f>
        <v>-1396</v>
      </c>
      <c r="P307" s="268">
        <f>P270-O270</f>
        <v>-886</v>
      </c>
      <c r="Q307" s="268">
        <f>Q270-P270</f>
        <v>-900</v>
      </c>
      <c r="R307" s="268">
        <f>SUM(N307:Q307)</f>
        <v>-2914</v>
      </c>
      <c r="S307" s="268">
        <f>S270-R270</f>
        <v>533</v>
      </c>
      <c r="T307" s="268">
        <f>T270-S270</f>
        <v>329</v>
      </c>
      <c r="U307" s="268">
        <f>U270-T270</f>
        <v>-755</v>
      </c>
      <c r="V307" s="268">
        <f>V270-U270</f>
        <v>271</v>
      </c>
      <c r="W307" s="268">
        <f>SUM(S307:V307)</f>
        <v>378</v>
      </c>
      <c r="X307" s="268">
        <f>X270-W270</f>
        <v>-65</v>
      </c>
      <c r="Y307" s="268">
        <f>Y270-X270</f>
        <v>-811</v>
      </c>
      <c r="Z307" s="268">
        <f>Z270-Y270</f>
        <v>-347</v>
      </c>
      <c r="AA307" s="268">
        <f>AA270-Z270</f>
        <v>-1080</v>
      </c>
      <c r="AB307" s="268">
        <f>SUM(X307:AA307)</f>
        <v>-2303</v>
      </c>
      <c r="AC307" s="268">
        <f>AC270-AB270</f>
        <v>309</v>
      </c>
      <c r="AD307" s="268">
        <f>AD270-AC270</f>
        <v>563</v>
      </c>
      <c r="AE307" s="268">
        <f>AE270-AD270</f>
        <v>-391</v>
      </c>
      <c r="AF307" s="268">
        <f>AF270-AE270</f>
        <v>354</v>
      </c>
      <c r="AG307" s="268">
        <f>SUM(AC307:AF307)</f>
        <v>835</v>
      </c>
      <c r="AH307" s="268">
        <f>AH270-AG270</f>
        <v>-835</v>
      </c>
      <c r="AI307" s="268">
        <f>AI270-AH270</f>
        <v>402</v>
      </c>
      <c r="AJ307" s="268">
        <f>AJ270-AI270</f>
        <v>0</v>
      </c>
      <c r="AK307" s="268">
        <f>AK270-AJ270</f>
        <v>0</v>
      </c>
      <c r="AL307" s="268">
        <f>SUM(AH307:AK307)</f>
        <v>-433</v>
      </c>
      <c r="AM307" s="268">
        <f>AM270-AL270</f>
        <v>0</v>
      </c>
      <c r="AN307" s="268">
        <f>AN270-AM270</f>
        <v>0</v>
      </c>
      <c r="AO307" s="268">
        <f>AO270-AN270</f>
        <v>0</v>
      </c>
      <c r="AP307" s="268">
        <f>AP270-AO270</f>
        <v>0</v>
      </c>
      <c r="AQ307" s="268">
        <f>SUM(AM307:AP307)</f>
        <v>0</v>
      </c>
      <c r="AR307" s="268">
        <f>AR270-AQ270</f>
        <v>0</v>
      </c>
      <c r="AS307" s="268">
        <f>AS270-AR270</f>
        <v>0</v>
      </c>
      <c r="AT307" s="268">
        <f>AT270-AS270</f>
        <v>0</v>
      </c>
      <c r="AU307" s="268">
        <f>AU270-AT270</f>
        <v>0</v>
      </c>
      <c r="AV307" s="268">
        <f>SUM(AR307:AU307)</f>
        <v>0</v>
      </c>
      <c r="AW307" s="268">
        <f>AW270-AV270</f>
        <v>0</v>
      </c>
      <c r="AX307" s="268">
        <f>AX270-AW270</f>
        <v>0</v>
      </c>
      <c r="AY307" s="268">
        <f>AY270-AX270</f>
        <v>0</v>
      </c>
      <c r="AZ307" s="268">
        <f>AZ270-AY270</f>
        <v>0</v>
      </c>
      <c r="BA307" s="268">
        <f>SUM(AW307:AZ307)</f>
        <v>0</v>
      </c>
      <c r="BB307" s="268">
        <f>BB270-BA270</f>
        <v>0</v>
      </c>
      <c r="BC307" s="268">
        <f>BC270-BB270</f>
        <v>0</v>
      </c>
      <c r="BD307" s="268">
        <f>BD270-BC270</f>
        <v>0</v>
      </c>
      <c r="BE307" s="268">
        <f>BE270-BD270</f>
        <v>0</v>
      </c>
      <c r="BF307" s="268">
        <f>SUM(BB307:BE307)</f>
        <v>0</v>
      </c>
      <c r="BG307" s="268">
        <f>BG270-BF270</f>
        <v>0</v>
      </c>
      <c r="BH307" s="268">
        <f>BH270-BG270</f>
        <v>0</v>
      </c>
      <c r="BI307" s="268">
        <f>BI270-BH270</f>
        <v>0</v>
      </c>
      <c r="BJ307" s="268">
        <f>BJ270-BI270</f>
        <v>0</v>
      </c>
      <c r="BK307" s="268">
        <f>SUM(BG307:BJ307)</f>
        <v>0</v>
      </c>
      <c r="BL307" s="268">
        <f>BL270-BK270</f>
        <v>0</v>
      </c>
      <c r="BM307" s="268">
        <f>BM270-BL270</f>
        <v>0</v>
      </c>
      <c r="BN307" s="268">
        <f>BN270-BM270</f>
        <v>0</v>
      </c>
      <c r="BO307" s="268">
        <f>BO270-BN270</f>
        <v>0</v>
      </c>
      <c r="BP307" s="268">
        <f>SUM(BL307:BO307)</f>
        <v>0</v>
      </c>
      <c r="BQ307" s="268">
        <f>BQ270-BP270</f>
        <v>0</v>
      </c>
      <c r="BR307" s="268">
        <f>BR270-BQ270</f>
        <v>0</v>
      </c>
      <c r="BS307" s="268">
        <f>BS270-BR270</f>
        <v>0</v>
      </c>
      <c r="BT307" s="268">
        <f>BT270-BS270</f>
        <v>0</v>
      </c>
      <c r="BU307" s="268">
        <f>SUM(BQ307:BT307)</f>
        <v>0</v>
      </c>
      <c r="BV307" s="268">
        <f>BV270-BU270</f>
        <v>0</v>
      </c>
      <c r="BW307" s="268">
        <f>BW270-BV270</f>
        <v>0</v>
      </c>
      <c r="BX307" s="268">
        <f>BX270-BW270</f>
        <v>0</v>
      </c>
      <c r="BY307" s="268">
        <f>BY270-BX270</f>
        <v>0</v>
      </c>
      <c r="BZ307" s="268">
        <f>SUM(BV307:BY307)</f>
        <v>0</v>
      </c>
      <c r="CA307" s="268">
        <f>CA270-BZ270</f>
        <v>0</v>
      </c>
      <c r="CB307" s="268">
        <f>CB270-CA270</f>
        <v>0</v>
      </c>
      <c r="CC307" s="268">
        <f>CC270-CB270</f>
        <v>0</v>
      </c>
      <c r="CD307" s="268">
        <f>CD270-CC270</f>
        <v>0</v>
      </c>
      <c r="CE307" s="268">
        <f>SUM(CA307:CD307)</f>
        <v>0</v>
      </c>
      <c r="CF307" s="268">
        <f>CF270-CE270</f>
        <v>0</v>
      </c>
      <c r="CG307" s="268">
        <f>CG270-CF270</f>
        <v>0</v>
      </c>
      <c r="CH307" s="268">
        <f>CH270-CG270</f>
        <v>0</v>
      </c>
      <c r="CI307" s="268">
        <f>CI270-CH270</f>
        <v>0</v>
      </c>
      <c r="CJ307" s="268">
        <f>SUM(CF307:CI307)</f>
        <v>0</v>
      </c>
      <c r="CK307" s="268">
        <f>CK270-CJ270</f>
        <v>0</v>
      </c>
      <c r="CL307" s="268">
        <f>CL270-CK270</f>
        <v>0</v>
      </c>
      <c r="CM307" s="268">
        <f>CM270-CL270</f>
        <v>0</v>
      </c>
      <c r="CN307" s="268">
        <f>CN270-CM270</f>
        <v>0</v>
      </c>
      <c r="CO307" s="268">
        <f>SUM(CK307:CN307)</f>
        <v>0</v>
      </c>
      <c r="CP307" s="268">
        <f>CP270-CO270</f>
        <v>0</v>
      </c>
      <c r="CQ307" s="268">
        <f>CQ270-CP270</f>
        <v>0</v>
      </c>
      <c r="CR307" s="268">
        <f>CR270-CQ270</f>
        <v>0</v>
      </c>
      <c r="CS307" s="268">
        <f>CS270-CR270</f>
        <v>0</v>
      </c>
      <c r="CT307" s="268">
        <f>SUM(CP307:CS307)</f>
        <v>0</v>
      </c>
      <c r="CU307" s="268">
        <f>CU270-CT270</f>
        <v>0</v>
      </c>
      <c r="CV307" s="268">
        <f>CV270-CU270</f>
        <v>0</v>
      </c>
      <c r="CW307" s="268">
        <f>CW270-CV270</f>
        <v>0</v>
      </c>
      <c r="CX307" s="268">
        <f>CX270-CW270</f>
        <v>0</v>
      </c>
      <c r="CY307" s="268">
        <f>SUM(CU307:CX307)</f>
        <v>0</v>
      </c>
    </row>
    <row r="308" ht="12.75" customHeight="1" s="255">
      <c r="C308" s="270" t="inlineStr">
        <is>
          <t>Other equity account</t>
        </is>
      </c>
      <c r="D308" s="268" t="n"/>
      <c r="E308" s="268">
        <f>E271-D271</f>
        <v>0</v>
      </c>
      <c r="F308" s="268">
        <f>F271-E271</f>
        <v>0</v>
      </c>
      <c r="G308" s="268">
        <f>G271-F271</f>
        <v>0</v>
      </c>
      <c r="H308" s="268">
        <f>SUM(D308:G308)</f>
        <v>0</v>
      </c>
      <c r="I308" s="268">
        <f>I271-H271</f>
        <v>0</v>
      </c>
      <c r="J308" s="268">
        <f>J271-I271</f>
        <v>0</v>
      </c>
      <c r="K308" s="268">
        <f>K271-J271</f>
        <v>0</v>
      </c>
      <c r="L308" s="268">
        <f>L271-K271</f>
        <v>0</v>
      </c>
      <c r="M308" s="268">
        <f>SUM(I308:L308)</f>
        <v>0</v>
      </c>
      <c r="N308" s="268">
        <f>N271-M271</f>
        <v>0</v>
      </c>
      <c r="O308" s="268">
        <f>O271-N271</f>
        <v>0</v>
      </c>
      <c r="P308" s="268">
        <f>P271-O271</f>
        <v>0</v>
      </c>
      <c r="Q308" s="268">
        <f>Q271-P271</f>
        <v>0</v>
      </c>
      <c r="R308" s="268">
        <f>SUM(N308:Q308)</f>
        <v>0</v>
      </c>
      <c r="S308" s="268">
        <f>S271-R271</f>
        <v>0</v>
      </c>
      <c r="T308" s="268">
        <f>T271-S271</f>
        <v>0</v>
      </c>
      <c r="U308" s="268">
        <f>U271-T271</f>
        <v>0</v>
      </c>
      <c r="V308" s="268">
        <f>V271-U271</f>
        <v>0</v>
      </c>
      <c r="W308" s="268">
        <f>SUM(S308:V308)</f>
        <v>0</v>
      </c>
      <c r="X308" s="268">
        <f>X271-W271</f>
        <v>0</v>
      </c>
      <c r="Y308" s="268">
        <f>Y271-X271</f>
        <v>0</v>
      </c>
      <c r="Z308" s="268">
        <f>Z271-Y271</f>
        <v>0</v>
      </c>
      <c r="AA308" s="268">
        <f>AA271-Z271</f>
        <v>0</v>
      </c>
      <c r="AB308" s="268">
        <f>SUM(X308:AA308)</f>
        <v>0</v>
      </c>
      <c r="AC308" s="268">
        <f>AC271-AB271</f>
        <v>0</v>
      </c>
      <c r="AD308" s="268">
        <f>AD271-AC271</f>
        <v>0</v>
      </c>
      <c r="AE308" s="268">
        <f>AE271-AD271</f>
        <v>0</v>
      </c>
      <c r="AF308" s="268">
        <f>AF271-AE271</f>
        <v>0</v>
      </c>
      <c r="AG308" s="268">
        <f>SUM(AC308:AF308)</f>
        <v>0</v>
      </c>
      <c r="AH308" s="268">
        <f>AH271-AG271</f>
        <v>0</v>
      </c>
      <c r="AI308" s="268">
        <f>AI271-AH271</f>
        <v>0</v>
      </c>
      <c r="AJ308" s="268">
        <f>AJ271-AI271</f>
        <v>0</v>
      </c>
      <c r="AK308" s="268">
        <f>AK271-AJ271</f>
        <v>0</v>
      </c>
      <c r="AL308" s="268">
        <f>SUM(AH308:AK308)</f>
        <v>0</v>
      </c>
      <c r="AM308" s="268">
        <f>AM271-AL271</f>
        <v>0</v>
      </c>
      <c r="AN308" s="268">
        <f>AN271-AM271</f>
        <v>0</v>
      </c>
      <c r="AO308" s="268">
        <f>AO271-AN271</f>
        <v>0</v>
      </c>
      <c r="AP308" s="268">
        <f>AP271-AO271</f>
        <v>0</v>
      </c>
      <c r="AQ308" s="268">
        <f>SUM(AM308:AP308)</f>
        <v>0</v>
      </c>
      <c r="AR308" s="268">
        <f>AR271-AQ271</f>
        <v>0</v>
      </c>
      <c r="AS308" s="268">
        <f>AS271-AR271</f>
        <v>0</v>
      </c>
      <c r="AT308" s="268">
        <f>AT271-AS271</f>
        <v>0</v>
      </c>
      <c r="AU308" s="268">
        <f>AU271-AT271</f>
        <v>0</v>
      </c>
      <c r="AV308" s="268">
        <f>SUM(AR308:AU308)</f>
        <v>0</v>
      </c>
      <c r="AW308" s="268">
        <f>AW271-AV271</f>
        <v>0</v>
      </c>
      <c r="AX308" s="268">
        <f>AX271-AW271</f>
        <v>0</v>
      </c>
      <c r="AY308" s="268">
        <f>AY271-AX271</f>
        <v>0</v>
      </c>
      <c r="AZ308" s="268">
        <f>AZ271-AY271</f>
        <v>0</v>
      </c>
      <c r="BA308" s="268">
        <f>SUM(AW308:AZ308)</f>
        <v>0</v>
      </c>
      <c r="BB308" s="268">
        <f>BB271-BA271</f>
        <v>0</v>
      </c>
      <c r="BC308" s="268">
        <f>BC271-BB271</f>
        <v>0</v>
      </c>
      <c r="BD308" s="268">
        <f>BD271-BC271</f>
        <v>0</v>
      </c>
      <c r="BE308" s="268">
        <f>BE271-BD271</f>
        <v>0</v>
      </c>
      <c r="BF308" s="268">
        <f>SUM(BB308:BE308)</f>
        <v>0</v>
      </c>
      <c r="BG308" s="268">
        <f>BG271-BF271</f>
        <v>0</v>
      </c>
      <c r="BH308" s="268">
        <f>BH271-BG271</f>
        <v>0</v>
      </c>
      <c r="BI308" s="268">
        <f>BI271-BH271</f>
        <v>0</v>
      </c>
      <c r="BJ308" s="268">
        <f>BJ271-BI271</f>
        <v>0</v>
      </c>
      <c r="BK308" s="268">
        <f>SUM(BG308:BJ308)</f>
        <v>0</v>
      </c>
      <c r="BL308" s="268">
        <f>BL271-BK271</f>
        <v>0</v>
      </c>
      <c r="BM308" s="268">
        <f>BM271-BL271</f>
        <v>0</v>
      </c>
      <c r="BN308" s="268">
        <f>BN271-BM271</f>
        <v>0</v>
      </c>
      <c r="BO308" s="268">
        <f>BO271-BN271</f>
        <v>0</v>
      </c>
      <c r="BP308" s="268">
        <f>SUM(BL308:BO308)</f>
        <v>0</v>
      </c>
      <c r="BQ308" s="268">
        <f>BQ271-BP271</f>
        <v>0</v>
      </c>
      <c r="BR308" s="268">
        <f>BR271-BQ271</f>
        <v>0</v>
      </c>
      <c r="BS308" s="268">
        <f>BS271-BR271</f>
        <v>0</v>
      </c>
      <c r="BT308" s="268">
        <f>BT271-BS271</f>
        <v>0</v>
      </c>
      <c r="BU308" s="268">
        <f>SUM(BQ308:BT308)</f>
        <v>0</v>
      </c>
      <c r="BV308" s="268">
        <f>BV271-BU271</f>
        <v>0</v>
      </c>
      <c r="BW308" s="268">
        <f>BW271-BV271</f>
        <v>0</v>
      </c>
      <c r="BX308" s="268">
        <f>BX271-BW271</f>
        <v>0</v>
      </c>
      <c r="BY308" s="268">
        <f>BY271-BX271</f>
        <v>0</v>
      </c>
      <c r="BZ308" s="268">
        <f>SUM(BV308:BY308)</f>
        <v>0</v>
      </c>
      <c r="CA308" s="268">
        <f>CA271-BZ271</f>
        <v>0</v>
      </c>
      <c r="CB308" s="268">
        <f>CB271-CA271</f>
        <v>0</v>
      </c>
      <c r="CC308" s="268">
        <f>CC271-CB271</f>
        <v>0</v>
      </c>
      <c r="CD308" s="268">
        <f>CD271-CC271</f>
        <v>0</v>
      </c>
      <c r="CE308" s="268">
        <f>SUM(CA308:CD308)</f>
        <v>0</v>
      </c>
      <c r="CF308" s="268">
        <f>CF271-CE271</f>
        <v>0</v>
      </c>
      <c r="CG308" s="268">
        <f>CG271-CF271</f>
        <v>0</v>
      </c>
      <c r="CH308" s="268">
        <f>CH271-CG271</f>
        <v>0</v>
      </c>
      <c r="CI308" s="268">
        <f>CI271-CH271</f>
        <v>0</v>
      </c>
      <c r="CJ308" s="268">
        <f>SUM(CF308:CI308)</f>
        <v>0</v>
      </c>
      <c r="CK308" s="268">
        <f>CK271-CJ271</f>
        <v>0</v>
      </c>
      <c r="CL308" s="268">
        <f>CL271-CK271</f>
        <v>0</v>
      </c>
      <c r="CM308" s="268">
        <f>CM271-CL271</f>
        <v>0</v>
      </c>
      <c r="CN308" s="268">
        <f>CN271-CM271</f>
        <v>0</v>
      </c>
      <c r="CO308" s="268">
        <f>SUM(CK308:CN308)</f>
        <v>0</v>
      </c>
      <c r="CP308" s="268">
        <f>CP271-CO271</f>
        <v>0</v>
      </c>
      <c r="CQ308" s="268">
        <f>CQ271-CP271</f>
        <v>0</v>
      </c>
      <c r="CR308" s="268">
        <f>CR271-CQ271</f>
        <v>0</v>
      </c>
      <c r="CS308" s="268">
        <f>CS271-CR271</f>
        <v>0</v>
      </c>
      <c r="CT308" s="268">
        <f>SUM(CP308:CS308)</f>
        <v>0</v>
      </c>
      <c r="CU308" s="268">
        <f>CU271-CT271</f>
        <v>0</v>
      </c>
      <c r="CV308" s="268">
        <f>CV271-CU271</f>
        <v>0</v>
      </c>
      <c r="CW308" s="268">
        <f>CW271-CV271</f>
        <v>0</v>
      </c>
      <c r="CX308" s="268">
        <f>CX271-CW271</f>
        <v>0</v>
      </c>
      <c r="CY308" s="268">
        <f>SUM(CU308:CX308)</f>
        <v>0</v>
      </c>
    </row>
    <row r="309" ht="12.75" customHeight="1" s="255">
      <c r="C309" s="266" t="inlineStr">
        <is>
          <t>Common and preferred dividends</t>
        </is>
      </c>
      <c r="D309" s="268" t="n"/>
      <c r="E309" s="268">
        <f>(E272-D272)-E279</f>
        <v>-3</v>
      </c>
      <c r="F309" s="268">
        <f>(F272-E272)-F279</f>
        <v>-470</v>
      </c>
      <c r="G309" s="268">
        <f>(G272-F272)-G279</f>
        <v>-1425</v>
      </c>
      <c r="H309" s="268">
        <f>SUM(D309:G309)</f>
        <v>-1898</v>
      </c>
      <c r="I309" s="268">
        <f>(I272-H272)-I279</f>
        <v>-8916</v>
      </c>
      <c r="J309" s="268">
        <f>(J272-I272)-J279</f>
        <v>-2281</v>
      </c>
      <c r="K309" s="268">
        <f>(K272-J272)-K279</f>
        <v>-2003</v>
      </c>
      <c r="L309" s="268">
        <f>(L272-K272)-L279</f>
        <v>-2332</v>
      </c>
      <c r="M309" s="268">
        <f>SUM(I309:L309)</f>
        <v>-15532</v>
      </c>
      <c r="N309" s="268">
        <f>(N272-M272)-N279</f>
        <v>-8426</v>
      </c>
      <c r="O309" s="268">
        <f>(O272-N272)-O279</f>
        <v>-3162</v>
      </c>
      <c r="P309" s="268">
        <f>(P272-O272)-P279</f>
        <v>-2775</v>
      </c>
      <c r="Q309" s="268">
        <f>(Q272-P272)-Q279</f>
        <v>-1086</v>
      </c>
      <c r="R309" s="268">
        <f>SUM(N309:Q309)</f>
        <v>-15449</v>
      </c>
      <c r="S309" s="268">
        <f>(S272-R272)-S279</f>
        <v>-6773</v>
      </c>
      <c r="T309" s="268">
        <f>(T272-S272)-T279</f>
        <v>-456</v>
      </c>
      <c r="U309" s="268">
        <f>(U272-T272)-U279</f>
        <v>-92</v>
      </c>
      <c r="V309" s="268">
        <f>(V272-U272)-V279</f>
        <v>-1511</v>
      </c>
      <c r="W309" s="268">
        <f>SUM(S309:V309)</f>
        <v>-8832</v>
      </c>
      <c r="X309" s="268">
        <f>(X272-W272)-X279</f>
        <v>-7688</v>
      </c>
      <c r="Y309" s="268">
        <f>(Y272-X272)-Y279</f>
        <v>-943</v>
      </c>
      <c r="Z309" s="268">
        <f>(Z272-Y272)-Z279</f>
        <v>-930</v>
      </c>
      <c r="AA309" s="268">
        <f>(AA272-Z272)-AA279</f>
        <v>-1376</v>
      </c>
      <c r="AB309" s="268">
        <f>SUM(X309:AA309)</f>
        <v>-10937</v>
      </c>
      <c r="AC309" s="268">
        <f>(AC272-AB272)-AC279</f>
        <v>-11951</v>
      </c>
      <c r="AD309" s="268">
        <f>(AD272-AC272)-AD279</f>
        <v>-1547</v>
      </c>
      <c r="AE309" s="268">
        <f>(AE272-AD272)-AE279</f>
        <v>-913</v>
      </c>
      <c r="AF309" s="268">
        <f>(AF272-AE272)-AF279</f>
        <v>-1021</v>
      </c>
      <c r="AG309" s="268">
        <f>SUM(AC309:AF309)</f>
        <v>-15432</v>
      </c>
      <c r="AH309" s="268">
        <f>(AH272-AG272)-AH279</f>
        <v>-9863</v>
      </c>
      <c r="AI309" s="268">
        <f>(AI272-AH272)-AI279</f>
        <v>-3006</v>
      </c>
      <c r="AJ309" s="268">
        <f>(AJ272-AI272)-AJ279</f>
        <v>0</v>
      </c>
      <c r="AK309" s="268">
        <f>(AK272-AJ272)-AK279</f>
        <v>0</v>
      </c>
      <c r="AL309" s="268">
        <f>SUM(AH309:AK309)</f>
        <v>-12869</v>
      </c>
      <c r="AM309" s="268">
        <f>(AM272-AL272)-AM279</f>
        <v>0</v>
      </c>
      <c r="AN309" s="268">
        <f>(AN272-AM272)-AN279</f>
        <v>0</v>
      </c>
      <c r="AO309" s="268">
        <f>(AO272-AN272)-AO279</f>
        <v>0</v>
      </c>
      <c r="AP309" s="268">
        <f>(AP272-AO272)-AP279</f>
        <v>0</v>
      </c>
      <c r="AQ309" s="268">
        <f>SUM(AM309:AP309)</f>
        <v>0</v>
      </c>
      <c r="AR309" s="268">
        <f>(AR272-AQ272)-AR279</f>
        <v>0</v>
      </c>
      <c r="AS309" s="268">
        <f>(AS272-AR272)-AS279</f>
        <v>0</v>
      </c>
      <c r="AT309" s="268">
        <f>(AT272-AS272)-AT279</f>
        <v>0</v>
      </c>
      <c r="AU309" s="268">
        <f>(AU272-AT272)-AU279</f>
        <v>0</v>
      </c>
      <c r="AV309" s="268">
        <f>SUM(AR309:AU309)</f>
        <v>0</v>
      </c>
      <c r="AW309" s="268">
        <f>(AW272-AV272)-AW279</f>
        <v>0</v>
      </c>
      <c r="AX309" s="268">
        <f>(AX272-AW272)-AX279</f>
        <v>0</v>
      </c>
      <c r="AY309" s="268">
        <f>(AY272-AX272)-AY279</f>
        <v>0</v>
      </c>
      <c r="AZ309" s="268">
        <f>(AZ272-AY272)-AZ279</f>
        <v>0</v>
      </c>
      <c r="BA309" s="268">
        <f>SUM(AW309:AZ309)</f>
        <v>0</v>
      </c>
      <c r="BB309" s="268">
        <f>(BB272-BA272)-BB279</f>
        <v>0</v>
      </c>
      <c r="BC309" s="268">
        <f>(BC272-BB272)-BC279</f>
        <v>0</v>
      </c>
      <c r="BD309" s="268">
        <f>(BD272-BC272)-BD279</f>
        <v>0</v>
      </c>
      <c r="BE309" s="268">
        <f>(BE272-BD272)-BE279</f>
        <v>0</v>
      </c>
      <c r="BF309" s="268">
        <f>SUM(BB309:BE309)</f>
        <v>0</v>
      </c>
      <c r="BG309" s="268">
        <f>(BG272-BF272)-BG279</f>
        <v>0</v>
      </c>
      <c r="BH309" s="268">
        <f>(BH272-BG272)-BH279</f>
        <v>0</v>
      </c>
      <c r="BI309" s="268">
        <f>(BI272-BH272)-BI279</f>
        <v>0</v>
      </c>
      <c r="BJ309" s="268">
        <f>(BJ272-BI272)-BJ279</f>
        <v>0</v>
      </c>
      <c r="BK309" s="268">
        <f>SUM(BG309:BJ309)</f>
        <v>0</v>
      </c>
      <c r="BL309" s="268">
        <f>(BL272-BK272)-BL279</f>
        <v>0</v>
      </c>
      <c r="BM309" s="268">
        <f>(BM272-BL272)-BM279</f>
        <v>0</v>
      </c>
      <c r="BN309" s="268">
        <f>(BN272-BM272)-BN279</f>
        <v>0</v>
      </c>
      <c r="BO309" s="268">
        <f>(BO272-BN272)-BO279</f>
        <v>0</v>
      </c>
      <c r="BP309" s="268">
        <f>SUM(BL309:BO309)</f>
        <v>0</v>
      </c>
      <c r="BQ309" s="268">
        <f>(BQ272-BP272)-BQ279</f>
        <v>0</v>
      </c>
      <c r="BR309" s="268">
        <f>(BR272-BQ272)-BR279</f>
        <v>0</v>
      </c>
      <c r="BS309" s="268">
        <f>(BS272-BR272)-BS279</f>
        <v>0</v>
      </c>
      <c r="BT309" s="268">
        <f>(BT272-BS272)-BT279</f>
        <v>0</v>
      </c>
      <c r="BU309" s="268">
        <f>SUM(BQ309:BT309)</f>
        <v>0</v>
      </c>
      <c r="BV309" s="268">
        <f>(BV272-BU272)-BV279</f>
        <v>0</v>
      </c>
      <c r="BW309" s="268">
        <f>(BW272-BV272)-BW279</f>
        <v>0</v>
      </c>
      <c r="BX309" s="268">
        <f>(BX272-BW272)-BX279</f>
        <v>0</v>
      </c>
      <c r="BY309" s="268">
        <f>(BY272-BX272)-BY279</f>
        <v>0</v>
      </c>
      <c r="BZ309" s="268">
        <f>SUM(BV309:BY309)</f>
        <v>0</v>
      </c>
      <c r="CA309" s="268">
        <f>(CA272-BZ272)-CA279</f>
        <v>0</v>
      </c>
      <c r="CB309" s="268">
        <f>(CB272-CA272)-CB279</f>
        <v>0</v>
      </c>
      <c r="CC309" s="268">
        <f>(CC272-CB272)-CC279</f>
        <v>0</v>
      </c>
      <c r="CD309" s="268">
        <f>(CD272-CC272)-CD279</f>
        <v>0</v>
      </c>
      <c r="CE309" s="268">
        <f>SUM(CA309:CD309)</f>
        <v>0</v>
      </c>
      <c r="CF309" s="268">
        <f>(CF272-CE272)-CF279</f>
        <v>0</v>
      </c>
      <c r="CG309" s="268">
        <f>(CG272-CF272)-CG279</f>
        <v>0</v>
      </c>
      <c r="CH309" s="268">
        <f>(CH272-CG272)-CH279</f>
        <v>0</v>
      </c>
      <c r="CI309" s="268">
        <f>(CI272-CH272)-CI279</f>
        <v>0</v>
      </c>
      <c r="CJ309" s="268">
        <f>SUM(CF309:CI309)</f>
        <v>0</v>
      </c>
      <c r="CK309" s="268">
        <f>(CK272-CJ272)-CK279</f>
        <v>0</v>
      </c>
      <c r="CL309" s="268">
        <f>(CL272-CK272)-CL279</f>
        <v>0</v>
      </c>
      <c r="CM309" s="268">
        <f>(CM272-CL272)-CM279</f>
        <v>0</v>
      </c>
      <c r="CN309" s="268">
        <f>(CN272-CM272)-CN279</f>
        <v>0</v>
      </c>
      <c r="CO309" s="268">
        <f>SUM(CK309:CN309)</f>
        <v>0</v>
      </c>
      <c r="CP309" s="268">
        <f>(CP272-CO272)-CP279</f>
        <v>0</v>
      </c>
      <c r="CQ309" s="268">
        <f>(CQ272-CP272)-CQ279</f>
        <v>0</v>
      </c>
      <c r="CR309" s="268">
        <f>(CR272-CQ272)-CR279</f>
        <v>0</v>
      </c>
      <c r="CS309" s="268">
        <f>(CS272-CR272)-CS279</f>
        <v>0</v>
      </c>
      <c r="CT309" s="268">
        <f>SUM(CP309:CS309)</f>
        <v>0</v>
      </c>
      <c r="CU309" s="268">
        <f>(CU272-CT272)-CU279</f>
        <v>0</v>
      </c>
      <c r="CV309" s="268">
        <f>(CV272-CU272)-CV279</f>
        <v>0</v>
      </c>
      <c r="CW309" s="268">
        <f>(CW272-CV272)-CW279</f>
        <v>0</v>
      </c>
      <c r="CX309" s="268">
        <f>(CX272-CW272)-CX279</f>
        <v>0</v>
      </c>
      <c r="CY309" s="268">
        <f>SUM(CU309:CX309)</f>
        <v>0</v>
      </c>
    </row>
    <row r="310" ht="12.75" customHeight="1" s="255">
      <c r="C310" s="270" t="inlineStr">
        <is>
          <t>Dividends to minority interests</t>
        </is>
      </c>
      <c r="D310" s="268" t="n"/>
      <c r="E310" s="268">
        <f>(E250-D250)+E138</f>
        <v>54</v>
      </c>
      <c r="F310" s="268">
        <f>(F250-E250)+F138</f>
        <v>120</v>
      </c>
      <c r="G310" s="268">
        <f>(G250-F250)+G138</f>
        <v>450</v>
      </c>
      <c r="H310" s="268">
        <f>SUM(D310:G310)</f>
        <v>624</v>
      </c>
      <c r="I310" s="268">
        <f>(I250-H250)+I138</f>
        <v>-430</v>
      </c>
      <c r="J310" s="268">
        <f>(J250-I250)+J138</f>
        <v>253</v>
      </c>
      <c r="K310" s="268">
        <f>(K250-J250)+K138</f>
        <v>1858</v>
      </c>
      <c r="L310" s="268">
        <f>(L250-K250)+L138</f>
        <v>84</v>
      </c>
      <c r="M310" s="268">
        <f>SUM(I310:L310)</f>
        <v>1765</v>
      </c>
      <c r="N310" s="268">
        <f>(N250-M250)+N138</f>
        <v>277</v>
      </c>
      <c r="O310" s="268">
        <f>(O250-N250)+O138</f>
        <v>-684</v>
      </c>
      <c r="P310" s="268">
        <f>(P250-O250)+P138</f>
        <v>-179</v>
      </c>
      <c r="Q310" s="268">
        <f>(Q250-P250)+Q138</f>
        <v>-366</v>
      </c>
      <c r="R310" s="268">
        <f>SUM(N310:Q310)</f>
        <v>-952</v>
      </c>
      <c r="S310" s="268">
        <f>(S250-R250)+S138</f>
        <v>-461</v>
      </c>
      <c r="T310" s="268">
        <f>(T250-S250)+T138</f>
        <v>-1219</v>
      </c>
      <c r="U310" s="268">
        <f>(U250-T250)+U138</f>
        <v>162</v>
      </c>
      <c r="V310" s="268">
        <f>(V250-U250)+V138</f>
        <v>171</v>
      </c>
      <c r="W310" s="268">
        <f>SUM(S310:V310)</f>
        <v>-1347</v>
      </c>
      <c r="X310" s="268">
        <f>(X250-W250)+X138</f>
        <v>84</v>
      </c>
      <c r="Y310" s="268">
        <f>(Y250-X250)+Y138</f>
        <v>-858</v>
      </c>
      <c r="Z310" s="268">
        <f>(Z250-Y250)+Z138</f>
        <v>-129</v>
      </c>
      <c r="AA310" s="268">
        <f>(AA250-Z250)+AA138</f>
        <v>151</v>
      </c>
      <c r="AB310" s="268">
        <f>SUM(X310:AA310)</f>
        <v>-752</v>
      </c>
      <c r="AC310" s="268">
        <f>(AC250-AB250)+AC138</f>
        <v>24</v>
      </c>
      <c r="AD310" s="268">
        <f>(AD250-AC250)+AD138</f>
        <v>-233</v>
      </c>
      <c r="AE310" s="268">
        <f>(AE250-AD250)+AE138</f>
        <v>-274</v>
      </c>
      <c r="AF310" s="268">
        <f>(AF250-AE250)+AF138</f>
        <v>-10</v>
      </c>
      <c r="AG310" s="268">
        <f>SUM(AC310:AF310)</f>
        <v>-493</v>
      </c>
      <c r="AH310" s="268">
        <f>(AH250-AG250)+AH138</f>
        <v>-78</v>
      </c>
      <c r="AI310" s="268">
        <f>(AI250-AH250)+AI138</f>
        <v>-247</v>
      </c>
      <c r="AJ310" s="268">
        <f>(AJ250-AI250)+AJ138</f>
        <v>0</v>
      </c>
      <c r="AK310" s="268">
        <f>(AK250-AJ250)+AK138</f>
        <v>0</v>
      </c>
      <c r="AL310" s="268">
        <f>SUM(AH310:AK310)</f>
        <v>-325</v>
      </c>
      <c r="AM310" s="268">
        <f>(AM250-AL250)+AM138</f>
        <v>0</v>
      </c>
      <c r="AN310" s="268">
        <f>(AN250-AM250)+AN138</f>
        <v>0</v>
      </c>
      <c r="AO310" s="268">
        <f>(AO250-AN250)+AO138</f>
        <v>0</v>
      </c>
      <c r="AP310" s="268">
        <f>(AP250-AO250)+AP138</f>
        <v>0</v>
      </c>
      <c r="AQ310" s="268">
        <f>SUM(AM310:AP310)</f>
        <v>0</v>
      </c>
      <c r="AR310" s="268">
        <f>(AR250-AQ250)+AR138</f>
        <v>0</v>
      </c>
      <c r="AS310" s="268">
        <f>(AS250-AR250)+AS138</f>
        <v>0</v>
      </c>
      <c r="AT310" s="268">
        <f>(AT250-AS250)+AT138</f>
        <v>0</v>
      </c>
      <c r="AU310" s="268">
        <f>(AU250-AT250)+AU138</f>
        <v>0</v>
      </c>
      <c r="AV310" s="268">
        <f>SUM(AR310:AU310)</f>
        <v>0</v>
      </c>
      <c r="AW310" s="268">
        <f>(AW250-AV250)+AW138</f>
        <v>0</v>
      </c>
      <c r="AX310" s="268">
        <f>(AX250-AW250)+AX138</f>
        <v>0</v>
      </c>
      <c r="AY310" s="268">
        <f>(AY250-AX250)+AY138</f>
        <v>0</v>
      </c>
      <c r="AZ310" s="268">
        <f>(AZ250-AY250)+AZ138</f>
        <v>0</v>
      </c>
      <c r="BA310" s="268">
        <f>SUM(AW310:AZ310)</f>
        <v>0</v>
      </c>
      <c r="BB310" s="268">
        <f>(BB250-BA250)+BB138</f>
        <v>0</v>
      </c>
      <c r="BC310" s="268">
        <f>(BC250-BB250)+BC138</f>
        <v>0</v>
      </c>
      <c r="BD310" s="268">
        <f>(BD250-BC250)+BD138</f>
        <v>0</v>
      </c>
      <c r="BE310" s="268">
        <f>(BE250-BD250)+BE138</f>
        <v>0</v>
      </c>
      <c r="BF310" s="268">
        <f>SUM(BB310:BE310)</f>
        <v>0</v>
      </c>
      <c r="BG310" s="268">
        <f>(BG250-BF250)+BG138</f>
        <v>0</v>
      </c>
      <c r="BH310" s="268">
        <f>(BH250-BG250)+BH138</f>
        <v>0</v>
      </c>
      <c r="BI310" s="268">
        <f>(BI250-BH250)+BI138</f>
        <v>0</v>
      </c>
      <c r="BJ310" s="268">
        <f>(BJ250-BI250)+BJ138</f>
        <v>0</v>
      </c>
      <c r="BK310" s="268">
        <f>SUM(BG310:BJ310)</f>
        <v>0</v>
      </c>
      <c r="BL310" s="268">
        <f>(BL250-BK250)+BL138</f>
        <v>0</v>
      </c>
      <c r="BM310" s="268">
        <f>(BM250-BL250)+BM138</f>
        <v>0</v>
      </c>
      <c r="BN310" s="268">
        <f>(BN250-BM250)+BN138</f>
        <v>0</v>
      </c>
      <c r="BO310" s="268">
        <f>(BO250-BN250)+BO138</f>
        <v>0</v>
      </c>
      <c r="BP310" s="268">
        <f>SUM(BL310:BO310)</f>
        <v>0</v>
      </c>
      <c r="BQ310" s="268">
        <f>(BQ250-BP250)+BQ138</f>
        <v>0</v>
      </c>
      <c r="BR310" s="268">
        <f>(BR250-BQ250)+BR138</f>
        <v>0</v>
      </c>
      <c r="BS310" s="268">
        <f>(BS250-BR250)+BS138</f>
        <v>0</v>
      </c>
      <c r="BT310" s="268">
        <f>(BT250-BS250)+BT138</f>
        <v>0</v>
      </c>
      <c r="BU310" s="268">
        <f>SUM(BQ310:BT310)</f>
        <v>0</v>
      </c>
      <c r="BV310" s="268">
        <f>(BV250-BU250)+BV138</f>
        <v>0</v>
      </c>
      <c r="BW310" s="268">
        <f>(BW250-BV250)+BW138</f>
        <v>0</v>
      </c>
      <c r="BX310" s="268">
        <f>(BX250-BW250)+BX138</f>
        <v>0</v>
      </c>
      <c r="BY310" s="268">
        <f>(BY250-BX250)+BY138</f>
        <v>0</v>
      </c>
      <c r="BZ310" s="268">
        <f>SUM(BV310:BY310)</f>
        <v>0</v>
      </c>
      <c r="CA310" s="268">
        <f>(CA250-BZ250)+CA138</f>
        <v>0</v>
      </c>
      <c r="CB310" s="268">
        <f>(CB250-CA250)+CB138</f>
        <v>0</v>
      </c>
      <c r="CC310" s="268">
        <f>(CC250-CB250)+CC138</f>
        <v>0</v>
      </c>
      <c r="CD310" s="268">
        <f>(CD250-CC250)+CD138</f>
        <v>0</v>
      </c>
      <c r="CE310" s="268">
        <f>SUM(CA310:CD310)</f>
        <v>0</v>
      </c>
      <c r="CF310" s="268">
        <f>(CF250-CE250)+CF138</f>
        <v>0</v>
      </c>
      <c r="CG310" s="268">
        <f>(CG250-CF250)+CG138</f>
        <v>0</v>
      </c>
      <c r="CH310" s="268">
        <f>(CH250-CG250)+CH138</f>
        <v>0</v>
      </c>
      <c r="CI310" s="268">
        <f>(CI250-CH250)+CI138</f>
        <v>0</v>
      </c>
      <c r="CJ310" s="268">
        <f>SUM(CF310:CI310)</f>
        <v>0</v>
      </c>
      <c r="CK310" s="268">
        <f>(CK250-CJ250)+CK138</f>
        <v>0</v>
      </c>
      <c r="CL310" s="268">
        <f>(CL250-CK250)+CL138</f>
        <v>0</v>
      </c>
      <c r="CM310" s="268">
        <f>(CM250-CL250)+CM138</f>
        <v>0</v>
      </c>
      <c r="CN310" s="268">
        <f>(CN250-CM250)+CN138</f>
        <v>0</v>
      </c>
      <c r="CO310" s="268">
        <f>SUM(CK310:CN310)</f>
        <v>0</v>
      </c>
      <c r="CP310" s="268">
        <f>(CP250-CO250)+CP138</f>
        <v>0</v>
      </c>
      <c r="CQ310" s="268">
        <f>(CQ250-CP250)+CQ138</f>
        <v>0</v>
      </c>
      <c r="CR310" s="268">
        <f>(CR250-CQ250)+CR138</f>
        <v>0</v>
      </c>
      <c r="CS310" s="268">
        <f>(CS250-CR250)+CS138</f>
        <v>0</v>
      </c>
      <c r="CT310" s="268">
        <f>SUM(CP310:CS310)</f>
        <v>0</v>
      </c>
      <c r="CU310" s="268">
        <f>(CU250-CT250)+CU138</f>
        <v>0</v>
      </c>
      <c r="CV310" s="268">
        <f>(CV250-CU250)+CV138</f>
        <v>0</v>
      </c>
      <c r="CW310" s="268">
        <f>(CW250-CV250)+CW138</f>
        <v>0</v>
      </c>
      <c r="CX310" s="268">
        <f>(CX250-CW250)+CX138</f>
        <v>0</v>
      </c>
      <c r="CY310" s="268">
        <f>SUM(CU310:CX310)</f>
        <v>0</v>
      </c>
    </row>
    <row r="311" ht="12.75" customHeight="1" s="255">
      <c r="C311" s="271" t="inlineStr">
        <is>
          <t>Increases / (decreases) in debt</t>
        </is>
      </c>
      <c r="D311" s="268" t="n"/>
      <c r="E311" s="268">
        <f>SUM(E214:E216,E219,E240,E237)-SUM(D214:D216,D219,D240,D237)</f>
        <v>-6163</v>
      </c>
      <c r="F311" s="268">
        <f>SUM(F214:F216,F219,F240,F237)-SUM(E214:E216,E219,E240,E237)</f>
        <v>-1118</v>
      </c>
      <c r="G311" s="268">
        <f>SUM(G214:G216,G219,G240,G237)-SUM(F214:F216,F219,F240,F237)</f>
        <v>-4246</v>
      </c>
      <c r="H311" s="268">
        <f>SUM(D311:G311)</f>
        <v>-11527</v>
      </c>
      <c r="I311" s="268">
        <f>SUM(I214:I216,I219,I240,I237)-SUM(H214:H216,H219,H240,H237)</f>
        <v>-395</v>
      </c>
      <c r="J311" s="268">
        <f>SUM(J214:J216,J219,J240,J237)-SUM(I214:I216,I219,I240,I237)</f>
        <v>-2087</v>
      </c>
      <c r="K311" s="268">
        <f>SUM(K214:K216,K219,K240,K237)-SUM(J214:J216,J219,J240,J237)</f>
        <v>-3398</v>
      </c>
      <c r="L311" s="268">
        <f>SUM(L214:L216,L219,L240,L237)-SUM(K214:K216,K219,K240,K237)</f>
        <v>-459</v>
      </c>
      <c r="M311" s="268">
        <f>SUM(I311:L311)</f>
        <v>-6339</v>
      </c>
      <c r="N311" s="268">
        <f>SUM(N214:N216,N219,N240,N237)-SUM(M214:M216,M219,M240,M237)</f>
        <v>9328</v>
      </c>
      <c r="O311" s="268">
        <f>SUM(O214:O216,O219,O240,O237)-SUM(N214:N216,N219,N240,N237)</f>
        <v>-1542</v>
      </c>
      <c r="P311" s="268">
        <f>SUM(P214:P216,P219,P240,P237)-SUM(O214:O216,O219,O240,O237)</f>
        <v>-36</v>
      </c>
      <c r="Q311" s="268">
        <f>SUM(Q214:Q216,Q219,Q240,Q237)-SUM(P214:P216,P219,P240,P237)</f>
        <v>-6806</v>
      </c>
      <c r="R311" s="268">
        <f>SUM(N311:Q311)</f>
        <v>944</v>
      </c>
      <c r="S311" s="268">
        <f>SUM(S214:S216,S219,S240,S237)-SUM(R214:R216,R219,R240,R237)</f>
        <v>4708</v>
      </c>
      <c r="T311" s="268">
        <f>SUM(T214:T216,T219,T240,T237)-SUM(S214:S216,S219,S240,S237)</f>
        <v>478</v>
      </c>
      <c r="U311" s="268">
        <f>SUM(U214:U216,U219,U240,U237)-SUM(T214:T216,T219,T240,T237)</f>
        <v>4682</v>
      </c>
      <c r="V311" s="268">
        <f>SUM(V214:V216,V219,V240,V237)-SUM(U214:U216,U219,U240,U237)</f>
        <v>-8494</v>
      </c>
      <c r="W311" s="268">
        <f>SUM(S311:V311)</f>
        <v>1374</v>
      </c>
      <c r="X311" s="268">
        <f>SUM(X214:X216,X219,X240,X237)-SUM(W214:W216,W219,W240,W237)</f>
        <v>2685</v>
      </c>
      <c r="Y311" s="268">
        <f>SUM(Y214:Y216,Y219,Y240,Y237)-SUM(X214:X216,X219,X240,X237)</f>
        <v>-3214</v>
      </c>
      <c r="Z311" s="268">
        <f>SUM(Z214:Z216,Z219,Z240,Z237)-SUM(Y214:Y216,Y219,Y240,Y237)</f>
        <v>546</v>
      </c>
      <c r="AA311" s="268">
        <f>SUM(AA214:AA216,AA219,AA240,AA237)-SUM(Z214:Z216,Z219,Z240,Z237)</f>
        <v>-1513</v>
      </c>
      <c r="AB311" s="268">
        <f>SUM(X311:AA311)</f>
        <v>-1496</v>
      </c>
      <c r="AC311" s="268">
        <f>SUM(AC214:AC216,AC219,AC240,AC237)-SUM(AB214:AB216,AB219,AB240,AB237)</f>
        <v>7145</v>
      </c>
      <c r="AD311" s="268">
        <f>SUM(AD214:AD216,AD219,AD240,AD237)-SUM(AC214:AC216,AC219,AC240,AC237)</f>
        <v>-2297</v>
      </c>
      <c r="AE311" s="268">
        <f>SUM(AE214:AE216,AE219,AE240,AE237)-SUM(AD214:AD216,AD219,AD240,AD237)</f>
        <v>3427</v>
      </c>
      <c r="AF311" s="268">
        <f>SUM(AF214:AF216,AF219,AF240,AF237)-SUM(AE214:AE216,AE219,AE240,AE237)</f>
        <v>-1332</v>
      </c>
      <c r="AG311" s="268">
        <f>SUM(AC311:AF311)</f>
        <v>6943</v>
      </c>
      <c r="AH311" s="268">
        <f>SUM(AH214:AH216,AH219,AH240,AH237)-SUM(AG214:AG216,AG219,AG240,AG237)</f>
        <v>7172</v>
      </c>
      <c r="AI311" s="268">
        <f>SUM(AI214:AI216,AI219,AI240,AI237)-SUM(AH214:AH216,AH219,AH240,AH237)</f>
        <v>-583</v>
      </c>
      <c r="AJ311" s="268">
        <f>SUM(AJ214:AJ216,AJ219,AJ240,AJ237)-SUM(AI214:AI216,AI219,AI240,AI237)</f>
        <v>0</v>
      </c>
      <c r="AK311" s="268">
        <f>SUM(AK214:AK216,AK219,AK240,AK237)-SUM(AJ214:AJ216,AJ219,AJ240,AJ237)</f>
        <v>0</v>
      </c>
      <c r="AL311" s="268">
        <f>SUM(AH311:AK311)</f>
        <v>6589</v>
      </c>
      <c r="AM311" s="268">
        <f>SUM(AM214:AM216,AM219,AM240,AM237)-SUM(AL214:AL216,AL219,AL240,AL237)</f>
        <v>0</v>
      </c>
      <c r="AN311" s="268">
        <f>SUM(AN214:AN216,AN219,AN240,AN237)-SUM(AM214:AM216,AM219,AM240,AM237)</f>
        <v>0</v>
      </c>
      <c r="AO311" s="268">
        <f>SUM(AO214:AO216,AO219,AO240,AO237)-SUM(AN214:AN216,AN219,AN240,AN237)</f>
        <v>0</v>
      </c>
      <c r="AP311" s="268">
        <f>SUM(AP214:AP216,AP219,AP240,AP237)-SUM(AO214:AO216,AO219,AO240,AO237)</f>
        <v>0</v>
      </c>
      <c r="AQ311" s="268">
        <f>SUM(AM311:AP311)</f>
        <v>0</v>
      </c>
      <c r="AR311" s="268">
        <f>SUM(AR214:AR216,AR219,AR240,AR237)-SUM(AQ214:AQ216,AQ219,AQ240,AQ237)</f>
        <v>0</v>
      </c>
      <c r="AS311" s="268">
        <f>SUM(AS214:AS216,AS219,AS240,AS237)-SUM(AR214:AR216,AR219,AR240,AR237)</f>
        <v>0</v>
      </c>
      <c r="AT311" s="268">
        <f>SUM(AT214:AT216,AT219,AT240,AT237)-SUM(AS214:AS216,AS219,AS240,AS237)</f>
        <v>0</v>
      </c>
      <c r="AU311" s="268">
        <f>SUM(AU214:AU216,AU219,AU240,AU237)-SUM(AT214:AT216,AT219,AT240,AT237)</f>
        <v>0</v>
      </c>
      <c r="AV311" s="268">
        <f>SUM(AR311:AU311)</f>
        <v>0</v>
      </c>
      <c r="AW311" s="268">
        <f>SUM(AW214:AW216,AW219,AW240,AW237)-SUM(AV214:AV216,AV219,AV240,AV237)</f>
        <v>0</v>
      </c>
      <c r="AX311" s="268">
        <f>SUM(AX214:AX216,AX219,AX240,AX237)-SUM(AW214:AW216,AW219,AW240,AW237)</f>
        <v>0</v>
      </c>
      <c r="AY311" s="268">
        <f>SUM(AY214:AY216,AY219,AY240,AY237)-SUM(AX214:AX216,AX219,AX240,AX237)</f>
        <v>0</v>
      </c>
      <c r="AZ311" s="268">
        <f>SUM(AZ214:AZ216,AZ219,AZ240,AZ237)-SUM(AY214:AY216,AY219,AY240,AY237)</f>
        <v>0</v>
      </c>
      <c r="BA311" s="268">
        <f>SUM(AW311:AZ311)</f>
        <v>0</v>
      </c>
      <c r="BB311" s="268">
        <f>SUM(BB214:BB216,BB219,BB240,BB237)-SUM(BA214:BA216,BA219,BA240,BA237)</f>
        <v>0</v>
      </c>
      <c r="BC311" s="268">
        <f>SUM(BC214:BC216,BC219,BC240,BC237)-SUM(BB214:BB216,BB219,BB240,BB237)</f>
        <v>0</v>
      </c>
      <c r="BD311" s="268">
        <f>SUM(BD214:BD216,BD219,BD240,BD237)-SUM(BC214:BC216,BC219,BC240,BC237)</f>
        <v>0</v>
      </c>
      <c r="BE311" s="268">
        <f>SUM(BE214:BE216,BE219,BE240,BE237)-SUM(BD214:BD216,BD219,BD240,BD237)</f>
        <v>0</v>
      </c>
      <c r="BF311" s="268">
        <f>SUM(BB311:BE311)</f>
        <v>0</v>
      </c>
      <c r="BG311" s="268">
        <f>SUM(BG214:BG216,BG219,BG240,BG237)-SUM(BF214:BF216,BF219,BF240,BF237)</f>
        <v>0</v>
      </c>
      <c r="BH311" s="268">
        <f>SUM(BH214:BH216,BH219,BH240,BH237)-SUM(BG214:BG216,BG219,BG240,BG237)</f>
        <v>0</v>
      </c>
      <c r="BI311" s="268">
        <f>SUM(BI214:BI216,BI219,BI240,BI237)-SUM(BH214:BH216,BH219,BH240,BH237)</f>
        <v>0</v>
      </c>
      <c r="BJ311" s="268">
        <f>SUM(BJ214:BJ216,BJ219,BJ240,BJ237)-SUM(BI214:BI216,BI219,BI240,BI237)</f>
        <v>0</v>
      </c>
      <c r="BK311" s="268">
        <f>SUM(BG311:BJ311)</f>
        <v>0</v>
      </c>
      <c r="BL311" s="268">
        <f>SUM(BL214:BL216,BL219,BL240,BL237)-SUM(BK214:BK216,BK219,BK240,BK237)</f>
        <v>0</v>
      </c>
      <c r="BM311" s="268">
        <f>SUM(BM214:BM216,BM219,BM240,BM237)-SUM(BL214:BL216,BL219,BL240,BL237)</f>
        <v>0</v>
      </c>
      <c r="BN311" s="268">
        <f>SUM(BN214:BN216,BN219,BN240,BN237)-SUM(BM214:BM216,BM219,BM240,BM237)</f>
        <v>0</v>
      </c>
      <c r="BO311" s="268">
        <f>SUM(BO214:BO216,BO219,BO240,BO237)-SUM(BN214:BN216,BN219,BN240,BN237)</f>
        <v>0</v>
      </c>
      <c r="BP311" s="268">
        <f>SUM(BL311:BO311)</f>
        <v>0</v>
      </c>
      <c r="BQ311" s="268">
        <f>SUM(BQ214:BQ216,BQ219,BQ240,BQ237)-SUM(BP214:BP216,BP219,BP240,BP237)</f>
        <v>0</v>
      </c>
      <c r="BR311" s="268">
        <f>SUM(BR214:BR216,BR219,BR240,BR237)-SUM(BQ214:BQ216,BQ219,BQ240,BQ237)</f>
        <v>0</v>
      </c>
      <c r="BS311" s="268">
        <f>SUM(BS214:BS216,BS219,BS240,BS237)-SUM(BR214:BR216,BR219,BR240,BR237)</f>
        <v>0</v>
      </c>
      <c r="BT311" s="268">
        <f>SUM(BT214:BT216,BT219,BT240,BT237)-SUM(BS214:BS216,BS219,BS240,BS237)</f>
        <v>0</v>
      </c>
      <c r="BU311" s="268">
        <f>SUM(BQ311:BT311)</f>
        <v>0</v>
      </c>
      <c r="BV311" s="268">
        <f>SUM(BV214:BV216,BV219,BV240,BV237)-SUM(BU214:BU216,BU219,BU240,BU237)</f>
        <v>0</v>
      </c>
      <c r="BW311" s="268">
        <f>SUM(BW214:BW216,BW219,BW240,BW237)-SUM(BV214:BV216,BV219,BV240,BV237)</f>
        <v>0</v>
      </c>
      <c r="BX311" s="268">
        <f>SUM(BX214:BX216,BX219,BX240,BX237)-SUM(BW214:BW216,BW219,BW240,BW237)</f>
        <v>0</v>
      </c>
      <c r="BY311" s="268">
        <f>SUM(BY214:BY216,BY219,BY240,BY237)-SUM(BX214:BX216,BX219,BX240,BX237)</f>
        <v>0</v>
      </c>
      <c r="BZ311" s="268">
        <f>SUM(BV311:BY311)</f>
        <v>0</v>
      </c>
      <c r="CA311" s="268">
        <f>SUM(CA214:CA216,CA219,CA240,CA237)-SUM(BZ214:BZ216,BZ219,BZ240,BZ237)</f>
        <v>0</v>
      </c>
      <c r="CB311" s="268">
        <f>SUM(CB214:CB216,CB219,CB240,CB237)-SUM(CA214:CA216,CA219,CA240,CA237)</f>
        <v>0</v>
      </c>
      <c r="CC311" s="268">
        <f>SUM(CC214:CC216,CC219,CC240,CC237)-SUM(CB214:CB216,CB219,CB240,CB237)</f>
        <v>0</v>
      </c>
      <c r="CD311" s="268">
        <f>SUM(CD214:CD216,CD219,CD240,CD237)-SUM(CC214:CC216,CC219,CC240,CC237)</f>
        <v>0</v>
      </c>
      <c r="CE311" s="268">
        <f>SUM(CA311:CD311)</f>
        <v>0</v>
      </c>
      <c r="CF311" s="268">
        <f>SUM(CF214:CF216,CF219,CF240,CF237)-SUM(CE214:CE216,CE219,CE240,CE237)</f>
        <v>0</v>
      </c>
      <c r="CG311" s="268">
        <f>SUM(CG214:CG216,CG219,CG240,CG237)-SUM(CF214:CF216,CF219,CF240,CF237)</f>
        <v>0</v>
      </c>
      <c r="CH311" s="268">
        <f>SUM(CH214:CH216,CH219,CH240,CH237)-SUM(CG214:CG216,CG219,CG240,CG237)</f>
        <v>0</v>
      </c>
      <c r="CI311" s="268">
        <f>SUM(CI214:CI216,CI219,CI240,CI237)-SUM(CH214:CH216,CH219,CH240,CH237)</f>
        <v>0</v>
      </c>
      <c r="CJ311" s="268">
        <f>SUM(CF311:CI311)</f>
        <v>0</v>
      </c>
      <c r="CK311" s="268">
        <f>SUM(CK214:CK216,CK219,CK240,CK237)-SUM(CJ214:CJ216,CJ219,CJ240,CJ237)</f>
        <v>0</v>
      </c>
      <c r="CL311" s="268">
        <f>SUM(CL214:CL216,CL219,CL240,CL237)-SUM(CK214:CK216,CK219,CK240,CK237)</f>
        <v>0</v>
      </c>
      <c r="CM311" s="268">
        <f>SUM(CM214:CM216,CM219,CM240,CM237)-SUM(CL214:CL216,CL219,CL240,CL237)</f>
        <v>0</v>
      </c>
      <c r="CN311" s="268">
        <f>SUM(CN214:CN216,CN219,CN240,CN237)-SUM(CM214:CM216,CM219,CM240,CM237)</f>
        <v>0</v>
      </c>
      <c r="CO311" s="268">
        <f>SUM(CK311:CN311)</f>
        <v>0</v>
      </c>
      <c r="CP311" s="268">
        <f>SUM(CP214:CP216,CP219,CP240,CP237)-SUM(CO214:CO216,CO219,CO240,CO237)</f>
        <v>0</v>
      </c>
      <c r="CQ311" s="268">
        <f>SUM(CQ214:CQ216,CQ219,CQ240,CQ237)-SUM(CP214:CP216,CP219,CP240,CP237)</f>
        <v>0</v>
      </c>
      <c r="CR311" s="268">
        <f>SUM(CR214:CR216,CR219,CR240,CR237)-SUM(CQ214:CQ216,CQ219,CQ240,CQ237)</f>
        <v>0</v>
      </c>
      <c r="CS311" s="268">
        <f>SUM(CS214:CS216,CS219,CS240,CS237)-SUM(CR214:CR216,CR219,CR240,CR237)</f>
        <v>0</v>
      </c>
      <c r="CT311" s="268">
        <f>SUM(CP311:CS311)</f>
        <v>0</v>
      </c>
      <c r="CU311" s="268">
        <f>SUM(CU214:CU216,CU219,CU240,CU237)-SUM(CT214:CT216,CT219,CT240,CT237)</f>
        <v>0</v>
      </c>
      <c r="CV311" s="268">
        <f>SUM(CV214:CV216,CV219,CV240,CV237)-SUM(CU214:CU216,CU219,CU240,CU237)</f>
        <v>0</v>
      </c>
      <c r="CW311" s="268">
        <f>SUM(CW214:CW216,CW219,CW240,CW237)-SUM(CV214:CV216,CV219,CV240,CV237)</f>
        <v>0</v>
      </c>
      <c r="CX311" s="268">
        <f>SUM(CX214:CX216,CX219,CX240,CX237)-SUM(CW214:CW216,CW219,CW240,CW237)</f>
        <v>0</v>
      </c>
      <c r="CY311" s="268">
        <f>SUM(CU311:CX311)</f>
        <v>0</v>
      </c>
      <c r="CZ311" s="268" t="n"/>
      <c r="DA311" s="268" t="n"/>
      <c r="DB311" s="268" t="n"/>
      <c r="DC311" s="268" t="n"/>
    </row>
    <row r="312" ht="12.75" customHeight="1" s="255">
      <c r="C312" s="270" t="inlineStr">
        <is>
          <t>Cash from financing</t>
        </is>
      </c>
      <c r="D312" s="268" t="n"/>
      <c r="E312" s="268">
        <f>SUM(E304,E305,E306,E307,E308,E309,E310,E311)</f>
        <v>-5515</v>
      </c>
      <c r="F312" s="268">
        <f>SUM(F304,F305,F306,F307,F308,F309,F310,F311)</f>
        <v>-12</v>
      </c>
      <c r="G312" s="268">
        <f>SUM(G304,G305,G306,G307,G308,G309,G310,G311)</f>
        <v>-2211</v>
      </c>
      <c r="H312" s="268">
        <f>SUM(H304,H305,H306,H307,H308,H309,H310,H311)</f>
        <v>-7738</v>
      </c>
      <c r="I312" s="268">
        <f>SUM(I304,I305,I306,I307,I308,I309,I310,I311)</f>
        <v>-6145</v>
      </c>
      <c r="J312" s="268">
        <f>SUM(J304,J305,J306,J307,J308,J309,J310,J311)</f>
        <v>-3916</v>
      </c>
      <c r="K312" s="268">
        <f>SUM(K304,K305,K306,K307,K308,K309,K310,K311)</f>
        <v>-2900</v>
      </c>
      <c r="L312" s="268">
        <f>SUM(L304,L305,L306,L307,L308,L309,L310,L311)</f>
        <v>-2958</v>
      </c>
      <c r="M312" s="268">
        <f>SUM(M304,M305,M306,M307,M308,M309,M310,M311)</f>
        <v>-15919</v>
      </c>
      <c r="N312" s="268">
        <f>SUM(N304,N305,N306,N307,N308,N309,N310,N311)</f>
        <v>1194</v>
      </c>
      <c r="O312" s="268">
        <f>SUM(O304,O305,O306,O307,O308,O309,O310,O311)</f>
        <v>-6702</v>
      </c>
      <c r="P312" s="268">
        <f>SUM(P304,P305,P306,P307,P308,P309,P310,P311)</f>
        <v>-3733</v>
      </c>
      <c r="Q312" s="268">
        <f>SUM(Q304,Q305,Q306,Q307,Q308,Q309,Q310,Q311)</f>
        <v>-9007</v>
      </c>
      <c r="R312" s="268">
        <f>SUM(R304,R305,R306,R307,R308,R309,R310,R311)</f>
        <v>-18248</v>
      </c>
      <c r="S312" s="268">
        <f>SUM(S304,S305,S306,S307,S308,S309,S310,S311)</f>
        <v>-1714</v>
      </c>
      <c r="T312" s="268">
        <f>SUM(T304,T305,T306,T307,T308,T309,T310,T311)</f>
        <v>-1481</v>
      </c>
      <c r="U312" s="268">
        <f>SUM(U304,U305,U306,U307,U308,U309,U310,U311)</f>
        <v>4291</v>
      </c>
      <c r="V312" s="268">
        <f>SUM(V304,V305,V306,V307,V308,V309,V310,V311)</f>
        <v>-9412</v>
      </c>
      <c r="W312" s="268">
        <f>SUM(W304,W305,W306,W307,W308,W309,W310,W311)</f>
        <v>-8316</v>
      </c>
      <c r="X312" s="268">
        <f>SUM(X304,X305,X306,X307,X308,X309,X310,X311)</f>
        <v>-4903</v>
      </c>
      <c r="Y312" s="268">
        <f>SUM(Y304,Y305,Y306,Y307,Y308,Y309,Y310,Y311)</f>
        <v>-5443</v>
      </c>
      <c r="Z312" s="268">
        <f>SUM(Z304,Z305,Z306,Z307,Z308,Z309,Z310,Z311)</f>
        <v>-475</v>
      </c>
      <c r="AA312" s="268">
        <f>SUM(AA304,AA305,AA306,AA307,AA308,AA309,AA310,AA311)</f>
        <v>-3711</v>
      </c>
      <c r="AB312" s="268">
        <f>SUM(AB304,AB305,AB306,AB307,AB308,AB309,AB310,AB311)</f>
        <v>-14532</v>
      </c>
      <c r="AC312" s="268">
        <f>SUM(AC304,AC305,AC306,AC307,AC308,AC309,AC310,AC311)</f>
        <v>-4538</v>
      </c>
      <c r="AD312" s="268">
        <f>SUM(AD304,AD305,AD306,AD307,AD308,AD309,AD310,AD311)</f>
        <v>-3239</v>
      </c>
      <c r="AE312" s="268">
        <f>SUM(AE304,AE305,AE306,AE307,AE308,AE309,AE310,AE311)</f>
        <v>2994</v>
      </c>
      <c r="AF312" s="268">
        <f>SUM(AF304,AF305,AF306,AF307,AF308,AF309,AF310,AF311)</f>
        <v>-2056</v>
      </c>
      <c r="AG312" s="268">
        <f>SUM(AG304,AG305,AG306,AG307,AG308,AG309,AG310,AG311)</f>
        <v>-6839</v>
      </c>
      <c r="AH312" s="268">
        <f>SUM(AH304,AH305,AH306,AH307,AH308,AH309,AH310,AH311)</f>
        <v>-3523</v>
      </c>
      <c r="AI312" s="268">
        <f>SUM(AI304,AI305,AI306,AI307,AI308,AI309,AI310,AI311)</f>
        <v>-3288</v>
      </c>
      <c r="AJ312" s="268">
        <f>SUM(AJ304,AJ305,AJ306,AJ307,AJ308,AJ309,AJ310,AJ311)</f>
        <v>0</v>
      </c>
      <c r="AK312" s="268">
        <f>SUM(AK304,AK305,AK306,AK307,AK308,AK309,AK310,AK311)</f>
        <v>0</v>
      </c>
      <c r="AL312" s="268">
        <f>SUM(AL304,AL305,AL306,AL307,AL308,AL309,AL310,AL311)</f>
        <v>-6811</v>
      </c>
      <c r="AM312" s="268">
        <f>SUM(AM304,AM305,AM306,AM307,AM308,AM309,AM310,AM311)</f>
        <v>0</v>
      </c>
      <c r="AN312" s="268">
        <f>SUM(AN304,AN305,AN306,AN307,AN308,AN309,AN310,AN311)</f>
        <v>0</v>
      </c>
      <c r="AO312" s="268">
        <f>SUM(AO304,AO305,AO306,AO307,AO308,AO309,AO310,AO311)</f>
        <v>0</v>
      </c>
      <c r="AP312" s="268">
        <f>SUM(AP304,AP305,AP306,AP307,AP308,AP309,AP310,AP311)</f>
        <v>0</v>
      </c>
      <c r="AQ312" s="268">
        <f>SUM(AQ304,AQ305,AQ306,AQ307,AQ308,AQ309,AQ310,AQ311)</f>
        <v>0</v>
      </c>
      <c r="AR312" s="268">
        <f>SUM(AR304,AR305,AR306,AR307,AR308,AR309,AR310,AR311)</f>
        <v>0</v>
      </c>
      <c r="AS312" s="268">
        <f>SUM(AS304,AS305,AS306,AS307,AS308,AS309,AS310,AS311)</f>
        <v>0</v>
      </c>
      <c r="AT312" s="268">
        <f>SUM(AT304,AT305,AT306,AT307,AT308,AT309,AT310,AT311)</f>
        <v>0</v>
      </c>
      <c r="AU312" s="268">
        <f>SUM(AU304,AU305,AU306,AU307,AU308,AU309,AU310,AU311)</f>
        <v>0</v>
      </c>
      <c r="AV312" s="268">
        <f>SUM(AV304,AV305,AV306,AV307,AV308,AV309,AV310,AV311)</f>
        <v>0</v>
      </c>
      <c r="AW312" s="268">
        <f>SUM(AW304,AW305,AW306,AW307,AW308,AW309,AW310,AW311)</f>
        <v>0</v>
      </c>
      <c r="AX312" s="268">
        <f>SUM(AX304,AX305,AX306,AX307,AX308,AX309,AX310,AX311)</f>
        <v>0</v>
      </c>
      <c r="AY312" s="268">
        <f>SUM(AY304,AY305,AY306,AY307,AY308,AY309,AY310,AY311)</f>
        <v>0</v>
      </c>
      <c r="AZ312" s="268">
        <f>SUM(AZ304,AZ305,AZ306,AZ307,AZ308,AZ309,AZ310,AZ311)</f>
        <v>0</v>
      </c>
      <c r="BA312" s="268">
        <f>SUM(BA304,BA305,BA306,BA307,BA308,BA309,BA310,BA311)</f>
        <v>0</v>
      </c>
      <c r="BB312" s="268">
        <f>SUM(BB304,BB305,BB306,BB307,BB308,BB309,BB310,BB311)</f>
        <v>0</v>
      </c>
      <c r="BC312" s="268">
        <f>SUM(BC304,BC305,BC306,BC307,BC308,BC309,BC310,BC311)</f>
        <v>0</v>
      </c>
      <c r="BD312" s="268">
        <f>SUM(BD304,BD305,BD306,BD307,BD308,BD309,BD310,BD311)</f>
        <v>0</v>
      </c>
      <c r="BE312" s="268">
        <f>SUM(BE304,BE305,BE306,BE307,BE308,BE309,BE310,BE311)</f>
        <v>0</v>
      </c>
      <c r="BF312" s="268">
        <f>SUM(BF304,BF305,BF306,BF307,BF308,BF309,BF310,BF311)</f>
        <v>0</v>
      </c>
      <c r="BG312" s="268">
        <f>SUM(BG304,BG305,BG306,BG307,BG308,BG309,BG310,BG311)</f>
        <v>0</v>
      </c>
      <c r="BH312" s="268">
        <f>SUM(BH304,BH305,BH306,BH307,BH308,BH309,BH310,BH311)</f>
        <v>0</v>
      </c>
      <c r="BI312" s="268">
        <f>SUM(BI304,BI305,BI306,BI307,BI308,BI309,BI310,BI311)</f>
        <v>0</v>
      </c>
      <c r="BJ312" s="268">
        <f>SUM(BJ304,BJ305,BJ306,BJ307,BJ308,BJ309,BJ310,BJ311)</f>
        <v>0</v>
      </c>
      <c r="BK312" s="268">
        <f>SUM(BK304,BK305,BK306,BK307,BK308,BK309,BK310,BK311)</f>
        <v>0</v>
      </c>
      <c r="BL312" s="268">
        <f>SUM(BL304,BL305,BL306,BL307,BL308,BL309,BL310,BL311)</f>
        <v>0</v>
      </c>
      <c r="BM312" s="268">
        <f>SUM(BM304,BM305,BM306,BM307,BM308,BM309,BM310,BM311)</f>
        <v>0</v>
      </c>
      <c r="BN312" s="268">
        <f>SUM(BN304,BN305,BN306,BN307,BN308,BN309,BN310,BN311)</f>
        <v>0</v>
      </c>
      <c r="BO312" s="268">
        <f>SUM(BO304,BO305,BO306,BO307,BO308,BO309,BO310,BO311)</f>
        <v>0</v>
      </c>
      <c r="BP312" s="268">
        <f>SUM(BP304,BP305,BP306,BP307,BP308,BP309,BP310,BP311)</f>
        <v>0</v>
      </c>
      <c r="BQ312" s="268">
        <f>SUM(BQ304,BQ305,BQ306,BQ307,BQ308,BQ309,BQ310,BQ311)</f>
        <v>0</v>
      </c>
      <c r="BR312" s="268">
        <f>SUM(BR304,BR305,BR306,BR307,BR308,BR309,BR310,BR311)</f>
        <v>0</v>
      </c>
      <c r="BS312" s="268">
        <f>SUM(BS304,BS305,BS306,BS307,BS308,BS309,BS310,BS311)</f>
        <v>0</v>
      </c>
      <c r="BT312" s="268">
        <f>SUM(BT304,BT305,BT306,BT307,BT308,BT309,BT310,BT311)</f>
        <v>0</v>
      </c>
      <c r="BU312" s="268">
        <f>SUM(BU304,BU305,BU306,BU307,BU308,BU309,BU310,BU311)</f>
        <v>0</v>
      </c>
      <c r="BV312" s="268">
        <f>SUM(BV304,BV305,BV306,BV307,BV308,BV309,BV310,BV311)</f>
        <v>0</v>
      </c>
      <c r="BW312" s="268">
        <f>SUM(BW304,BW305,BW306,BW307,BW308,BW309,BW310,BW311)</f>
        <v>0</v>
      </c>
      <c r="BX312" s="268">
        <f>SUM(BX304,BX305,BX306,BX307,BX308,BX309,BX310,BX311)</f>
        <v>0</v>
      </c>
      <c r="BY312" s="268">
        <f>SUM(BY304,BY305,BY306,BY307,BY308,BY309,BY310,BY311)</f>
        <v>0</v>
      </c>
      <c r="BZ312" s="268">
        <f>SUM(BZ304,BZ305,BZ306,BZ307,BZ308,BZ309,BZ310,BZ311)</f>
        <v>0</v>
      </c>
      <c r="CA312" s="268">
        <f>SUM(CA304,CA305,CA306,CA307,CA308,CA309,CA310,CA311)</f>
        <v>0</v>
      </c>
      <c r="CB312" s="268">
        <f>SUM(CB304,CB305,CB306,CB307,CB308,CB309,CB310,CB311)</f>
        <v>0</v>
      </c>
      <c r="CC312" s="268">
        <f>SUM(CC304,CC305,CC306,CC307,CC308,CC309,CC310,CC311)</f>
        <v>0</v>
      </c>
      <c r="CD312" s="268">
        <f>SUM(CD304,CD305,CD306,CD307,CD308,CD309,CD310,CD311)</f>
        <v>0</v>
      </c>
      <c r="CE312" s="268">
        <f>SUM(CE304,CE305,CE306,CE307,CE308,CE309,CE310,CE311)</f>
        <v>0</v>
      </c>
      <c r="CF312" s="268">
        <f>SUM(CF304,CF305,CF306,CF307,CF308,CF309,CF310,CF311)</f>
        <v>0</v>
      </c>
      <c r="CG312" s="268">
        <f>SUM(CG304,CG305,CG306,CG307,CG308,CG309,CG310,CG311)</f>
        <v>0</v>
      </c>
      <c r="CH312" s="268">
        <f>SUM(CH304,CH305,CH306,CH307,CH308,CH309,CH310,CH311)</f>
        <v>0</v>
      </c>
      <c r="CI312" s="268">
        <f>SUM(CI304,CI305,CI306,CI307,CI308,CI309,CI310,CI311)</f>
        <v>0</v>
      </c>
      <c r="CJ312" s="268">
        <f>SUM(CJ304,CJ305,CJ306,CJ307,CJ308,CJ309,CJ310,CJ311)</f>
        <v>0</v>
      </c>
      <c r="CK312" s="268">
        <f>SUM(CK304,CK305,CK306,CK307,CK308,CK309,CK310,CK311)</f>
        <v>0</v>
      </c>
      <c r="CL312" s="268">
        <f>SUM(CL304,CL305,CL306,CL307,CL308,CL309,CL310,CL311)</f>
        <v>0</v>
      </c>
      <c r="CM312" s="268">
        <f>SUM(CM304,CM305,CM306,CM307,CM308,CM309,CM310,CM311)</f>
        <v>0</v>
      </c>
      <c r="CN312" s="268">
        <f>SUM(CN304,CN305,CN306,CN307,CN308,CN309,CN310,CN311)</f>
        <v>0</v>
      </c>
      <c r="CO312" s="268">
        <f>SUM(CO304,CO305,CO306,CO307,CO308,CO309,CO310,CO311)</f>
        <v>0</v>
      </c>
      <c r="CP312" s="268">
        <f>SUM(CP304,CP305,CP306,CP307,CP308,CP309,CP310,CP311)</f>
        <v>0</v>
      </c>
      <c r="CQ312" s="268">
        <f>SUM(CQ304,CQ305,CQ306,CQ307,CQ308,CQ309,CQ310,CQ311)</f>
        <v>0</v>
      </c>
      <c r="CR312" s="268">
        <f>SUM(CR304,CR305,CR306,CR307,CR308,CR309,CR310,CR311)</f>
        <v>0</v>
      </c>
      <c r="CS312" s="268">
        <f>SUM(CS304,CS305,CS306,CS307,CS308,CS309,CS310,CS311)</f>
        <v>0</v>
      </c>
      <c r="CT312" s="268">
        <f>SUM(CT304,CT305,CT306,CT307,CT308,CT309,CT310,CT311)</f>
        <v>0</v>
      </c>
      <c r="CU312" s="268">
        <f>SUM(CU304,CU305,CU306,CU307,CU308,CU309,CU310,CU311)</f>
        <v>0</v>
      </c>
      <c r="CV312" s="268">
        <f>SUM(CV304,CV305,CV306,CV307,CV308,CV309,CV310,CV311)</f>
        <v>0</v>
      </c>
      <c r="CW312" s="268">
        <f>SUM(CW304,CW305,CW306,CW307,CW308,CW309,CW310,CW311)</f>
        <v>0</v>
      </c>
      <c r="CX312" s="268">
        <f>SUM(CX304,CX305,CX306,CX307,CX308,CX309,CX310,CX311)</f>
        <v>0</v>
      </c>
      <c r="CY312" s="268">
        <f>SUM(CY304,CY305,CY306,CY307,CY308,CY309,CY310,CY311)</f>
        <v>0</v>
      </c>
    </row>
    <row r="313" ht="12.75" customHeight="1" s="255">
      <c r="C313" s="270" t="n"/>
      <c r="D313" s="268" t="n"/>
      <c r="E313" s="268" t="n"/>
      <c r="F313" s="268" t="n"/>
      <c r="G313" s="268" t="n"/>
      <c r="H313" s="268" t="n"/>
      <c r="I313" s="268" t="n"/>
      <c r="J313" s="268" t="n"/>
      <c r="K313" s="268" t="n"/>
      <c r="L313" s="268" t="n"/>
      <c r="M313" s="268" t="n"/>
      <c r="N313" s="268" t="n"/>
      <c r="O313" s="268" t="n"/>
      <c r="P313" s="268" t="n"/>
      <c r="Q313" s="268" t="n"/>
      <c r="R313" s="268" t="n"/>
      <c r="S313" s="268" t="n"/>
      <c r="T313" s="268" t="n"/>
      <c r="U313" s="268" t="n"/>
      <c r="V313" s="268" t="n"/>
      <c r="W313" s="268" t="n"/>
      <c r="X313" s="268" t="n"/>
      <c r="Y313" s="268" t="n"/>
      <c r="Z313" s="268" t="n"/>
      <c r="AA313" s="268" t="n"/>
      <c r="AB313" s="268" t="n"/>
      <c r="AC313" s="268" t="n"/>
      <c r="AD313" s="268" t="n"/>
      <c r="AE313" s="268" t="n"/>
      <c r="AF313" s="268" t="n"/>
      <c r="AG313" s="268" t="n"/>
      <c r="AH313" s="268" t="n"/>
      <c r="AI313" s="268" t="n"/>
      <c r="AJ313" s="268" t="n"/>
      <c r="AK313" s="268" t="n"/>
      <c r="AL313" s="268" t="n"/>
      <c r="AM313" s="268" t="n"/>
      <c r="AN313" s="268" t="n"/>
      <c r="AO313" s="268" t="n"/>
      <c r="AP313" s="268" t="n"/>
      <c r="AQ313" s="268" t="n"/>
      <c r="AR313" s="268" t="n"/>
      <c r="AS313" s="268" t="n"/>
      <c r="AT313" s="268" t="n"/>
      <c r="AU313" s="268" t="n"/>
      <c r="AV313" s="268" t="n"/>
      <c r="AW313" s="268" t="n"/>
      <c r="AX313" s="268" t="n"/>
      <c r="AY313" s="268" t="n"/>
      <c r="AZ313" s="268" t="n"/>
      <c r="BA313" s="268" t="n"/>
      <c r="BB313" s="268" t="n"/>
      <c r="BC313" s="268" t="n"/>
      <c r="BD313" s="268" t="n"/>
      <c r="BE313" s="268" t="n"/>
      <c r="BF313" s="268" t="n"/>
      <c r="BG313" s="268" t="n"/>
      <c r="BH313" s="268" t="n"/>
      <c r="BI313" s="268" t="n"/>
      <c r="BJ313" s="268" t="n"/>
      <c r="BK313" s="268" t="n"/>
      <c r="BL313" s="268" t="n"/>
      <c r="BM313" s="268" t="n"/>
      <c r="BN313" s="268" t="n"/>
      <c r="BO313" s="268" t="n"/>
      <c r="BP313" s="268" t="n"/>
      <c r="BQ313" s="268" t="n"/>
      <c r="BR313" s="268" t="n"/>
      <c r="BS313" s="268" t="n"/>
      <c r="BT313" s="268" t="n"/>
      <c r="BU313" s="268" t="n"/>
      <c r="BV313" s="268" t="n"/>
      <c r="BW313" s="268" t="n"/>
      <c r="BX313" s="268" t="n"/>
      <c r="BY313" s="268" t="n"/>
      <c r="BZ313" s="268" t="n"/>
      <c r="CA313" s="268" t="n"/>
      <c r="CB313" s="268" t="n"/>
      <c r="CC313" s="268" t="n"/>
      <c r="CD313" s="268" t="n"/>
      <c r="CE313" s="268" t="n"/>
      <c r="CF313" s="268" t="n"/>
      <c r="CG313" s="268" t="n"/>
      <c r="CH313" s="268" t="n"/>
      <c r="CI313" s="268" t="n"/>
      <c r="CJ313" s="268" t="n"/>
      <c r="CK313" s="268" t="n"/>
      <c r="CL313" s="268" t="n"/>
      <c r="CM313" s="268" t="n"/>
      <c r="CN313" s="268" t="n"/>
      <c r="CO313" s="268" t="n"/>
      <c r="CP313" s="268" t="n"/>
      <c r="CQ313" s="268" t="n"/>
      <c r="CR313" s="268" t="n"/>
      <c r="CS313" s="268" t="n"/>
      <c r="CT313" s="268" t="n"/>
      <c r="CU313" s="268" t="n"/>
      <c r="CV313" s="268" t="n"/>
      <c r="CW313" s="268" t="n"/>
      <c r="CX313" s="268" t="n"/>
      <c r="CY313" s="268" t="n"/>
    </row>
    <row r="314" ht="12.75" customHeight="1" s="255">
      <c r="C314" s="270" t="inlineStr">
        <is>
          <t>Others</t>
        </is>
      </c>
      <c r="D314" s="268" t="n"/>
      <c r="E314" s="268" t="n"/>
      <c r="F314" s="268" t="n"/>
      <c r="G314" s="268" t="n"/>
      <c r="H314" s="268">
        <f>SUM(D314:G314)</f>
        <v>0</v>
      </c>
      <c r="I314" s="268" t="n"/>
      <c r="J314" s="268" t="n"/>
      <c r="K314" s="268" t="n"/>
      <c r="L314" s="268" t="n"/>
      <c r="M314" s="268">
        <f>SUM(I314:L314)</f>
        <v>0</v>
      </c>
      <c r="N314" s="268" t="n"/>
      <c r="O314" s="268" t="n"/>
      <c r="P314" s="268" t="n"/>
      <c r="Q314" s="268" t="n"/>
      <c r="R314" s="268">
        <f>SUM(N314:Q314)</f>
        <v>0</v>
      </c>
      <c r="S314" s="268" t="n"/>
      <c r="T314" s="268" t="n"/>
      <c r="U314" s="268" t="n"/>
      <c r="V314" s="268" t="n"/>
      <c r="W314" s="268">
        <f>SUM(S314:V314)</f>
        <v>0</v>
      </c>
      <c r="X314" s="268" t="n"/>
      <c r="Y314" s="268" t="n"/>
      <c r="Z314" s="268" t="n"/>
      <c r="AA314" s="268" t="n"/>
      <c r="AB314" s="268">
        <f>SUM(X314:AA314)</f>
        <v>0</v>
      </c>
      <c r="AC314" s="268" t="n"/>
      <c r="AD314" s="268" t="n"/>
      <c r="AE314" s="268" t="n"/>
      <c r="AF314" s="268" t="n"/>
      <c r="AG314" s="268">
        <f>SUM(AC314:AF314)</f>
        <v>0</v>
      </c>
      <c r="AH314" s="268" t="n"/>
      <c r="AI314" s="268" t="n"/>
      <c r="AJ314" s="268" t="n"/>
      <c r="AK314" s="268" t="n"/>
      <c r="AL314" s="268">
        <f>SUM(AH314:AK314)</f>
        <v>0</v>
      </c>
      <c r="AM314" s="268" t="n"/>
      <c r="AN314" s="268" t="n"/>
      <c r="AO314" s="268" t="n"/>
      <c r="AP314" s="268" t="n"/>
      <c r="AQ314" s="268">
        <f>SUM(AM314:AP314)</f>
        <v>0</v>
      </c>
      <c r="AR314" s="268" t="n"/>
      <c r="AS314" s="268" t="n"/>
      <c r="AT314" s="268" t="n"/>
      <c r="AU314" s="268" t="n"/>
      <c r="AV314" s="268">
        <f>SUM(AR314:AU314)</f>
        <v>0</v>
      </c>
      <c r="AW314" s="268" t="n"/>
      <c r="AX314" s="268" t="n"/>
      <c r="AY314" s="268" t="n"/>
      <c r="AZ314" s="268" t="n"/>
      <c r="BA314" s="268">
        <f>SUM(AW314:AZ314)</f>
        <v>0</v>
      </c>
      <c r="BB314" s="268" t="n"/>
      <c r="BC314" s="268" t="n"/>
      <c r="BD314" s="268" t="n"/>
      <c r="BE314" s="268" t="n"/>
      <c r="BF314" s="268">
        <f>SUM(BB314:BE314)</f>
        <v>0</v>
      </c>
      <c r="BG314" s="268" t="n"/>
      <c r="BH314" s="268" t="n"/>
      <c r="BI314" s="268" t="n"/>
      <c r="BJ314" s="268" t="n"/>
      <c r="BK314" s="268">
        <f>SUM(BG314:BJ314)</f>
        <v>0</v>
      </c>
      <c r="BL314" s="268" t="n"/>
      <c r="BM314" s="268" t="n"/>
      <c r="BN314" s="268" t="n"/>
      <c r="BO314" s="268" t="n"/>
      <c r="BP314" s="268">
        <f>SUM(BL314:BO314)</f>
        <v>0</v>
      </c>
      <c r="BQ314" s="268" t="n"/>
      <c r="BR314" s="268" t="n"/>
      <c r="BS314" s="268" t="n"/>
      <c r="BT314" s="268" t="n"/>
      <c r="BU314" s="268">
        <f>SUM(BQ314:BT314)</f>
        <v>0</v>
      </c>
      <c r="BV314" s="268" t="n"/>
      <c r="BW314" s="268" t="n"/>
      <c r="BX314" s="268" t="n"/>
      <c r="BY314" s="268" t="n"/>
      <c r="BZ314" s="268">
        <f>SUM(BV314:BY314)</f>
        <v>0</v>
      </c>
      <c r="CA314" s="268" t="n"/>
      <c r="CB314" s="268" t="n"/>
      <c r="CC314" s="268" t="n"/>
      <c r="CD314" s="268" t="n"/>
      <c r="CE314" s="268">
        <f>SUM(CA314:CD314)</f>
        <v>0</v>
      </c>
      <c r="CF314" s="268" t="n"/>
      <c r="CG314" s="268" t="n"/>
      <c r="CH314" s="268" t="n"/>
      <c r="CI314" s="268" t="n"/>
      <c r="CJ314" s="268">
        <f>SUM(CF314:CI314)</f>
        <v>0</v>
      </c>
      <c r="CK314" s="268" t="n"/>
      <c r="CL314" s="268" t="n"/>
      <c r="CM314" s="268" t="n"/>
      <c r="CN314" s="268" t="n"/>
      <c r="CO314" s="268">
        <f>SUM(CK314:CN314)</f>
        <v>0</v>
      </c>
      <c r="CP314" s="268" t="n"/>
      <c r="CQ314" s="268" t="n"/>
      <c r="CR314" s="268" t="n"/>
      <c r="CS314" s="268" t="n"/>
      <c r="CT314" s="268">
        <f>SUM(CP314:CS314)</f>
        <v>0</v>
      </c>
      <c r="CU314" s="268" t="n"/>
      <c r="CV314" s="268" t="n"/>
      <c r="CW314" s="268" t="n"/>
      <c r="CX314" s="268" t="n"/>
      <c r="CY314" s="268">
        <f>SUM(CU314:CX314)</f>
        <v>0</v>
      </c>
    </row>
    <row r="315" ht="12.75" customHeight="1" s="255">
      <c r="C315" s="270" t="n"/>
      <c r="D315" s="268" t="n"/>
      <c r="E315" s="268" t="n"/>
      <c r="F315" s="268" t="n"/>
      <c r="G315" s="268" t="n"/>
      <c r="H315" s="268" t="n"/>
      <c r="I315" s="268" t="n"/>
      <c r="J315" s="268" t="n"/>
      <c r="K315" s="268" t="n"/>
      <c r="L315" s="268" t="n"/>
      <c r="M315" s="268" t="n"/>
      <c r="N315" s="268" t="n"/>
      <c r="O315" s="268" t="n"/>
      <c r="P315" s="268" t="n"/>
      <c r="Q315" s="268" t="n"/>
      <c r="R315" s="268" t="n"/>
      <c r="S315" s="268" t="n"/>
      <c r="T315" s="268" t="n"/>
      <c r="U315" s="268" t="n"/>
      <c r="V315" s="268" t="n"/>
      <c r="W315" s="268" t="n"/>
      <c r="X315" s="268" t="n"/>
      <c r="Y315" s="268" t="n"/>
      <c r="Z315" s="268" t="n"/>
      <c r="AA315" s="268" t="n"/>
      <c r="AB315" s="268" t="n"/>
      <c r="AC315" s="268" t="n"/>
      <c r="AD315" s="268" t="n"/>
      <c r="AE315" s="268" t="n"/>
      <c r="AF315" s="268" t="n"/>
      <c r="AG315" s="268" t="n"/>
      <c r="AH315" s="268" t="n"/>
      <c r="AI315" s="268" t="n"/>
      <c r="AJ315" s="268" t="n"/>
      <c r="AK315" s="268" t="n"/>
      <c r="AL315" s="268" t="n"/>
      <c r="AM315" s="268" t="n"/>
      <c r="AN315" s="268" t="n"/>
      <c r="AO315" s="268" t="n"/>
      <c r="AP315" s="268" t="n"/>
      <c r="AQ315" s="268" t="n"/>
      <c r="AR315" s="268" t="n"/>
      <c r="AS315" s="268" t="n"/>
      <c r="AT315" s="268" t="n"/>
      <c r="AU315" s="268" t="n"/>
      <c r="AV315" s="268" t="n"/>
      <c r="AW315" s="268" t="n"/>
      <c r="AX315" s="268" t="n"/>
      <c r="AY315" s="268" t="n"/>
      <c r="AZ315" s="268" t="n"/>
      <c r="BA315" s="268" t="n"/>
      <c r="BB315" s="268" t="n"/>
      <c r="BC315" s="268" t="n"/>
      <c r="BD315" s="268" t="n"/>
      <c r="BE315" s="268" t="n"/>
      <c r="BF315" s="268" t="n"/>
      <c r="BG315" s="268" t="n"/>
      <c r="BH315" s="268" t="n"/>
      <c r="BI315" s="268" t="n"/>
      <c r="BJ315" s="268" t="n"/>
      <c r="BK315" s="268" t="n"/>
      <c r="BL315" s="268" t="n"/>
      <c r="BM315" s="268" t="n"/>
      <c r="BN315" s="268" t="n"/>
      <c r="BO315" s="268" t="n"/>
      <c r="BP315" s="268" t="n"/>
      <c r="BQ315" s="268" t="n"/>
      <c r="BR315" s="268" t="n"/>
      <c r="BS315" s="268" t="n"/>
      <c r="BT315" s="268" t="n"/>
      <c r="BU315" s="268" t="n"/>
      <c r="BV315" s="268" t="n"/>
      <c r="BW315" s="268" t="n"/>
      <c r="BX315" s="268" t="n"/>
      <c r="BY315" s="268" t="n"/>
      <c r="BZ315" s="268" t="n"/>
      <c r="CA315" s="268" t="n"/>
      <c r="CB315" s="268" t="n"/>
      <c r="CC315" s="268" t="n"/>
      <c r="CD315" s="268" t="n"/>
      <c r="CE315" s="268" t="n"/>
      <c r="CF315" s="268" t="n"/>
      <c r="CG315" s="268" t="n"/>
      <c r="CH315" s="268" t="n"/>
      <c r="CI315" s="268" t="n"/>
      <c r="CJ315" s="268" t="n"/>
      <c r="CK315" s="268" t="n"/>
      <c r="CL315" s="268" t="n"/>
      <c r="CM315" s="268" t="n"/>
      <c r="CN315" s="268" t="n"/>
      <c r="CO315" s="268" t="n"/>
      <c r="CP315" s="268" t="n"/>
      <c r="CQ315" s="268" t="n"/>
      <c r="CR315" s="268" t="n"/>
      <c r="CS315" s="268" t="n"/>
      <c r="CT315" s="268" t="n"/>
      <c r="CU315" s="268" t="n"/>
      <c r="CV315" s="268" t="n"/>
      <c r="CW315" s="268" t="n"/>
      <c r="CX315" s="268" t="n"/>
      <c r="CY315" s="268" t="n"/>
    </row>
    <row r="316" ht="12.75" customHeight="1" s="255">
      <c r="C316" s="270" t="inlineStr">
        <is>
          <t>Total increase/decrease of cash</t>
        </is>
      </c>
      <c r="D316" s="268" t="n"/>
      <c r="E316" s="268">
        <f>SUM(E295,E302,E312,E314)</f>
        <v>1976</v>
      </c>
      <c r="F316" s="268">
        <f>SUM(F295,F302,F312,F314)</f>
        <v>-2581</v>
      </c>
      <c r="G316" s="268">
        <f>SUM(G295,G302,G312,G314)</f>
        <v>3416</v>
      </c>
      <c r="H316" s="268">
        <f>SUM(D316:G316)</f>
        <v>2811</v>
      </c>
      <c r="I316" s="268">
        <f>SUM(I295,I302,I312,I314)</f>
        <v>5105</v>
      </c>
      <c r="J316" s="268">
        <f>SUM(J295,J302,J312,J314)</f>
        <v>-15</v>
      </c>
      <c r="K316" s="268">
        <f>SUM(K295,K302,K312,K314)</f>
        <v>-6720</v>
      </c>
      <c r="L316" s="268">
        <f>SUM(L295,L302,L312,L314)</f>
        <v>-1351</v>
      </c>
      <c r="M316" s="268">
        <f>SUM(I316:L316)</f>
        <v>-2981</v>
      </c>
      <c r="N316" s="268">
        <f>SUM(N295,N302,N312,N314)</f>
        <v>-2943</v>
      </c>
      <c r="O316" s="268">
        <f>SUM(O295,O302,O312,O314)</f>
        <v>2106</v>
      </c>
      <c r="P316" s="268">
        <f>SUM(P295,P302,P312,P314)</f>
        <v>-2336</v>
      </c>
      <c r="Q316" s="268">
        <f>SUM(Q295,Q302,Q312,Q314)</f>
        <v>-2962</v>
      </c>
      <c r="R316" s="268">
        <f>SUM(N316:Q316)</f>
        <v>-6135</v>
      </c>
      <c r="S316" s="268">
        <f>SUM(S295,S302,S312,S314)</f>
        <v>1950</v>
      </c>
      <c r="T316" s="268">
        <f>SUM(T295,T302,T312,T314)</f>
        <v>3313</v>
      </c>
      <c r="U316" s="268">
        <f>SUM(U295,U302,U312,U314)</f>
        <v>-1734</v>
      </c>
      <c r="V316" s="268">
        <f>SUM(V295,V302,V312,V314)</f>
        <v>-2287</v>
      </c>
      <c r="W316" s="268">
        <f>SUM(S316:V316)</f>
        <v>1242</v>
      </c>
      <c r="X316" s="268">
        <f>SUM(X295,X302,X312,X314)</f>
        <v>-462</v>
      </c>
      <c r="Y316" s="268">
        <f>SUM(Y295,Y302,Y312,Y314)</f>
        <v>-594</v>
      </c>
      <c r="Z316" s="268">
        <f>SUM(Z295,Z302,Z312,Z314)</f>
        <v>1238</v>
      </c>
      <c r="AA316" s="268">
        <f>SUM(AA295,AA302,AA312,AA314)</f>
        <v>-1012</v>
      </c>
      <c r="AB316" s="268">
        <f>SUM(X316:AA316)</f>
        <v>-830</v>
      </c>
      <c r="AC316" s="268">
        <f>SUM(AC295,AC302,AC312,AC314)</f>
        <v>274</v>
      </c>
      <c r="AD316" s="268">
        <f>SUM(AD295,AD302,AD312,AD314)</f>
        <v>120</v>
      </c>
      <c r="AE316" s="268">
        <f>SUM(AE295,AE302,AE312,AE314)</f>
        <v>1151</v>
      </c>
      <c r="AF316" s="268">
        <f>SUM(AF295,AF302,AF312,AF314)</f>
        <v>145</v>
      </c>
      <c r="AG316" s="268">
        <f>SUM(AC316:AF316)</f>
        <v>1690</v>
      </c>
      <c r="AH316" s="268">
        <f>SUM(AH295,AH302,AH312,AH314)</f>
        <v>2</v>
      </c>
      <c r="AI316" s="268">
        <f>SUM(AI295,AI302,AI312,AI314)</f>
        <v>800</v>
      </c>
      <c r="AJ316" s="268">
        <f>SUM(AJ295,AJ302,AJ312,AJ314)</f>
        <v>-22234</v>
      </c>
      <c r="AK316" s="268">
        <f>SUM(AK295,AK302,AK312,AK314)</f>
        <v>-1234</v>
      </c>
      <c r="AL316" s="268">
        <f>SUM(AH316:AK316)</f>
        <v>-22666</v>
      </c>
      <c r="AM316" s="268" t="e">
        <f>SUM(AM295,AM302,AM312,AM314)</f>
        <v>#DIV/0!</v>
      </c>
      <c r="AN316" s="268" t="e">
        <f>SUM(AN295,AN302,AN312,AN314)</f>
        <v>#DIV/0!</v>
      </c>
      <c r="AO316" s="268" t="e">
        <f>SUM(AO295,AO302,AO312,AO314)</f>
        <v>#DIV/0!</v>
      </c>
      <c r="AP316" s="268" t="e">
        <f>SUM(AP295,AP302,AP312,AP314)</f>
        <v>#DIV/0!</v>
      </c>
      <c r="AQ316" s="268" t="e">
        <f>SUM(AM316:AP316)</f>
        <v>#DIV/0!</v>
      </c>
      <c r="AR316" s="268" t="e">
        <f>SUM(AR295,AR302,AR312,AR314)</f>
        <v>#DIV/0!</v>
      </c>
      <c r="AS316" s="268" t="e">
        <f>SUM(AS295,AS302,AS312,AS314)</f>
        <v>#DIV/0!</v>
      </c>
      <c r="AT316" s="268" t="e">
        <f>SUM(AT295,AT302,AT312,AT314)</f>
        <v>#DIV/0!</v>
      </c>
      <c r="AU316" s="268" t="e">
        <f>SUM(AU295,AU302,AU312,AU314)</f>
        <v>#DIV/0!</v>
      </c>
      <c r="AV316" s="268" t="e">
        <f>SUM(AR316:AU316)</f>
        <v>#DIV/0!</v>
      </c>
      <c r="AW316" s="268" t="e">
        <f>SUM(AW295,AW302,AW312,AW314)</f>
        <v>#DIV/0!</v>
      </c>
      <c r="AX316" s="268" t="e">
        <f>SUM(AX295,AX302,AX312,AX314)</f>
        <v>#DIV/0!</v>
      </c>
      <c r="AY316" s="268" t="e">
        <f>SUM(AY295,AY302,AY312,AY314)</f>
        <v>#DIV/0!</v>
      </c>
      <c r="AZ316" s="268" t="e">
        <f>SUM(AZ295,AZ302,AZ312,AZ314)</f>
        <v>#DIV/0!</v>
      </c>
      <c r="BA316" s="268" t="e">
        <f>SUM(AW316:AZ316)</f>
        <v>#DIV/0!</v>
      </c>
      <c r="BB316" s="268" t="e">
        <f>SUM(BB295,BB302,BB312,BB314)</f>
        <v>#DIV/0!</v>
      </c>
      <c r="BC316" s="268" t="e">
        <f>SUM(BC295,BC302,BC312,BC314)</f>
        <v>#DIV/0!</v>
      </c>
      <c r="BD316" s="268" t="e">
        <f>SUM(BD295,BD302,BD312,BD314)</f>
        <v>#DIV/0!</v>
      </c>
      <c r="BE316" s="268" t="e">
        <f>SUM(BE295,BE302,BE312,BE314)</f>
        <v>#DIV/0!</v>
      </c>
      <c r="BF316" s="268" t="e">
        <f>SUM(BB316:BE316)</f>
        <v>#DIV/0!</v>
      </c>
      <c r="BG316" s="268" t="e">
        <f>SUM(BG295,BG302,BG312,BG314)</f>
        <v>#DIV/0!</v>
      </c>
      <c r="BH316" s="268" t="e">
        <f>SUM(BH295,BH302,BH312,BH314)</f>
        <v>#DIV/0!</v>
      </c>
      <c r="BI316" s="268" t="e">
        <f>SUM(BI295,BI302,BI312,BI314)</f>
        <v>#DIV/0!</v>
      </c>
      <c r="BJ316" s="268" t="e">
        <f>SUM(BJ295,BJ302,BJ312,BJ314)</f>
        <v>#DIV/0!</v>
      </c>
      <c r="BK316" s="268" t="e">
        <f>SUM(BG316:BJ316)</f>
        <v>#DIV/0!</v>
      </c>
      <c r="BL316" s="268" t="e">
        <f>SUM(BL295,BL302,BL312,BL314)</f>
        <v>#DIV/0!</v>
      </c>
      <c r="BM316" s="268" t="e">
        <f>SUM(BM295,BM302,BM312,BM314)</f>
        <v>#DIV/0!</v>
      </c>
      <c r="BN316" s="268" t="e">
        <f>SUM(BN295,BN302,BN312,BN314)</f>
        <v>#DIV/0!</v>
      </c>
      <c r="BO316" s="268" t="e">
        <f>SUM(BO295,BO302,BO312,BO314)</f>
        <v>#DIV/0!</v>
      </c>
      <c r="BP316" s="268" t="e">
        <f>SUM(BL316:BO316)</f>
        <v>#DIV/0!</v>
      </c>
      <c r="BQ316" s="268" t="e">
        <f>SUM(BQ295,BQ302,BQ312,BQ314)</f>
        <v>#DIV/0!</v>
      </c>
      <c r="BR316" s="268" t="e">
        <f>SUM(BR295,BR302,BR312,BR314)</f>
        <v>#DIV/0!</v>
      </c>
      <c r="BS316" s="268" t="e">
        <f>SUM(BS295,BS302,BS312,BS314)</f>
        <v>#DIV/0!</v>
      </c>
      <c r="BT316" s="268" t="e">
        <f>SUM(BT295,BT302,BT312,BT314)</f>
        <v>#DIV/0!</v>
      </c>
      <c r="BU316" s="268" t="e">
        <f>SUM(BQ316:BT316)</f>
        <v>#DIV/0!</v>
      </c>
      <c r="BV316" s="268" t="e">
        <f>SUM(BV295,BV302,BV312,BV314)</f>
        <v>#DIV/0!</v>
      </c>
      <c r="BW316" s="268" t="e">
        <f>SUM(BW295,BW302,BW312,BW314)</f>
        <v>#DIV/0!</v>
      </c>
      <c r="BX316" s="268" t="e">
        <f>SUM(BX295,BX302,BX312,BX314)</f>
        <v>#DIV/0!</v>
      </c>
      <c r="BY316" s="268" t="e">
        <f>SUM(BY295,BY302,BY312,BY314)</f>
        <v>#DIV/0!</v>
      </c>
      <c r="BZ316" s="268" t="e">
        <f>SUM(BV316:BY316)</f>
        <v>#DIV/0!</v>
      </c>
      <c r="CA316" s="268" t="e">
        <f>SUM(CA295,CA302,CA312,CA314)</f>
        <v>#DIV/0!</v>
      </c>
      <c r="CB316" s="268" t="e">
        <f>SUM(CB295,CB302,CB312,CB314)</f>
        <v>#DIV/0!</v>
      </c>
      <c r="CC316" s="268" t="e">
        <f>SUM(CC295,CC302,CC312,CC314)</f>
        <v>#DIV/0!</v>
      </c>
      <c r="CD316" s="268" t="e">
        <f>SUM(CD295,CD302,CD312,CD314)</f>
        <v>#DIV/0!</v>
      </c>
      <c r="CE316" s="268" t="e">
        <f>SUM(CA316:CD316)</f>
        <v>#DIV/0!</v>
      </c>
      <c r="CF316" s="268" t="e">
        <f>SUM(CF295,CF302,CF312,CF314)</f>
        <v>#DIV/0!</v>
      </c>
      <c r="CG316" s="268" t="e">
        <f>SUM(CG295,CG302,CG312,CG314)</f>
        <v>#DIV/0!</v>
      </c>
      <c r="CH316" s="268" t="e">
        <f>SUM(CH295,CH302,CH312,CH314)</f>
        <v>#DIV/0!</v>
      </c>
      <c r="CI316" s="268" t="e">
        <f>SUM(CI295,CI302,CI312,CI314)</f>
        <v>#DIV/0!</v>
      </c>
      <c r="CJ316" s="268" t="e">
        <f>SUM(CF316:CI316)</f>
        <v>#DIV/0!</v>
      </c>
      <c r="CK316" s="268" t="e">
        <f>SUM(CK295,CK302,CK312,CK314)</f>
        <v>#DIV/0!</v>
      </c>
      <c r="CL316" s="268" t="e">
        <f>SUM(CL295,CL302,CL312,CL314)</f>
        <v>#DIV/0!</v>
      </c>
      <c r="CM316" s="268" t="e">
        <f>SUM(CM295,CM302,CM312,CM314)</f>
        <v>#DIV/0!</v>
      </c>
      <c r="CN316" s="268" t="e">
        <f>SUM(CN295,CN302,CN312,CN314)</f>
        <v>#DIV/0!</v>
      </c>
      <c r="CO316" s="268" t="e">
        <f>SUM(CK316:CN316)</f>
        <v>#DIV/0!</v>
      </c>
      <c r="CP316" s="268" t="e">
        <f>SUM(CP295,CP302,CP312,CP314)</f>
        <v>#DIV/0!</v>
      </c>
      <c r="CQ316" s="268" t="e">
        <f>SUM(CQ295,CQ302,CQ312,CQ314)</f>
        <v>#DIV/0!</v>
      </c>
      <c r="CR316" s="268" t="e">
        <f>SUM(CR295,CR302,CR312,CR314)</f>
        <v>#DIV/0!</v>
      </c>
      <c r="CS316" s="268" t="e">
        <f>SUM(CS295,CS302,CS312,CS314)</f>
        <v>#DIV/0!</v>
      </c>
      <c r="CT316" s="268" t="e">
        <f>SUM(CP316:CS316)</f>
        <v>#DIV/0!</v>
      </c>
      <c r="CU316" s="268" t="e">
        <f>SUM(CU295,CU302,CU312,CU314)</f>
        <v>#DIV/0!</v>
      </c>
      <c r="CV316" s="268" t="e">
        <f>SUM(CV295,CV302,CV312,CV314)</f>
        <v>#DIV/0!</v>
      </c>
      <c r="CW316" s="268" t="e">
        <f>SUM(CW295,CW302,CW312,CW314)</f>
        <v>#DIV/0!</v>
      </c>
      <c r="CX316" s="268" t="e">
        <f>SUM(CX295,CX302,CX312,CX314)</f>
        <v>#DIV/0!</v>
      </c>
      <c r="CY316" s="268" t="e">
        <f>SUM(CU316:CX316)</f>
        <v>#DIV/0!</v>
      </c>
    </row>
    <row r="317" ht="12.75" customHeight="1" s="255">
      <c r="C317" s="260" t="inlineStr">
        <is>
          <t>Check</t>
        </is>
      </c>
      <c r="E317" s="329">
        <f>(E316)-(E146-D146)</f>
        <v>0</v>
      </c>
      <c r="F317" s="329">
        <f>(F316)-(F146-E146)</f>
        <v>0</v>
      </c>
      <c r="G317" s="329">
        <f>(G316)-(G146-F146)</f>
        <v>0</v>
      </c>
      <c r="I317" s="329">
        <f>(I316)-(I146-H146)</f>
        <v>0</v>
      </c>
      <c r="J317" s="329">
        <f>(J316)-(J146-I146)</f>
        <v>0</v>
      </c>
      <c r="K317" s="329">
        <f>(K316)-(K146-J146)</f>
        <v>0</v>
      </c>
      <c r="L317" s="329">
        <f>(L316)-(L146-K146)</f>
        <v>0</v>
      </c>
      <c r="N317" s="329">
        <f>(N316)-(N146-M146)</f>
        <v>0</v>
      </c>
      <c r="O317" s="329">
        <f>(O316)-(O146-N146)</f>
        <v>0</v>
      </c>
      <c r="P317" s="329">
        <f>(P316)-(P146-O146)</f>
        <v>0</v>
      </c>
      <c r="Q317" s="329">
        <f>(Q316)-(Q146-P146)</f>
        <v>0</v>
      </c>
      <c r="S317" s="329">
        <f>(S316)-(S146-R146)</f>
        <v>0</v>
      </c>
      <c r="T317" s="329">
        <f>(T316)-(T146-S146)</f>
        <v>0</v>
      </c>
      <c r="U317" s="329">
        <f>(U316)-(U146-T146)</f>
        <v>0</v>
      </c>
      <c r="V317" s="329">
        <f>(V316)-(V146-U146)</f>
        <v>0</v>
      </c>
      <c r="X317" s="329">
        <f>(X316)-(X146-W146)</f>
        <v>0</v>
      </c>
      <c r="Y317" s="329">
        <f>(Y316)-(Y146-X146)</f>
        <v>0</v>
      </c>
      <c r="Z317" s="329">
        <f>(Z316)-(Z146-Y146)</f>
        <v>0</v>
      </c>
      <c r="AA317" s="329">
        <f>(AA316)-(AA146-Z146)</f>
        <v>0</v>
      </c>
      <c r="AC317" s="329">
        <f>(AC316)-(AC146-AB146)</f>
        <v>0</v>
      </c>
      <c r="AD317" s="329">
        <f>(AD316)-(AD146-AC146)</f>
        <v>0</v>
      </c>
      <c r="AE317" s="329">
        <f>(AE316)-(AE146-AD146)</f>
        <v>0</v>
      </c>
      <c r="AF317" s="329">
        <f>(AF316)-(AF146-AE146)</f>
        <v>0</v>
      </c>
      <c r="AH317" s="329">
        <f>(AH316)-(AH146-AG146)</f>
        <v>0</v>
      </c>
      <c r="AI317" s="329">
        <f>(AI316)-(AI146-AH146)</f>
        <v>0</v>
      </c>
      <c r="AJ317" s="329">
        <f>(AJ316)-(AJ146-AI146)</f>
        <v>0</v>
      </c>
      <c r="AK317" s="329">
        <f>(AK316)-(AK146-AJ146)</f>
        <v>0</v>
      </c>
      <c r="AM317" s="329" t="e">
        <f>(AM316)-(AM146-AL146)</f>
        <v>#DIV/0!</v>
      </c>
      <c r="AN317" s="329" t="e">
        <f>(AN316)-(AN146-AM146)</f>
        <v>#DIV/0!</v>
      </c>
      <c r="AO317" s="329" t="e">
        <f>(AO316)-(AO146-AN146)</f>
        <v>#DIV/0!</v>
      </c>
      <c r="AP317" s="329" t="e">
        <f>(AP316)-(AP146-AO146)</f>
        <v>#DIV/0!</v>
      </c>
      <c r="AR317" s="329" t="e">
        <f>(AR316)-(AR146-AQ146)</f>
        <v>#DIV/0!</v>
      </c>
      <c r="AS317" s="329" t="e">
        <f>(AS316)-(AS146-AR146)</f>
        <v>#DIV/0!</v>
      </c>
      <c r="AT317" s="329" t="e">
        <f>(AT316)-(AT146-AS146)</f>
        <v>#DIV/0!</v>
      </c>
      <c r="AU317" s="329" t="e">
        <f>(AU316)-(AU146-AT146)</f>
        <v>#DIV/0!</v>
      </c>
      <c r="AW317" s="329" t="e">
        <f>(AW316)-(AW146-AV146)</f>
        <v>#DIV/0!</v>
      </c>
      <c r="AX317" s="329" t="e">
        <f>(AX316)-(AX146-AW146)</f>
        <v>#DIV/0!</v>
      </c>
      <c r="AY317" s="329" t="e">
        <f>(AY316)-(AY146-AX146)</f>
        <v>#DIV/0!</v>
      </c>
      <c r="AZ317" s="329" t="e">
        <f>(AZ316)-(AZ146-AY146)</f>
        <v>#DIV/0!</v>
      </c>
      <c r="BB317" s="329" t="e">
        <f>(BB316)-(BB146-BA146)</f>
        <v>#DIV/0!</v>
      </c>
      <c r="BC317" s="329" t="e">
        <f>(BC316)-(BC146-BB146)</f>
        <v>#DIV/0!</v>
      </c>
      <c r="BD317" s="329" t="e">
        <f>(BD316)-(BD146-BC146)</f>
        <v>#DIV/0!</v>
      </c>
      <c r="BE317" s="329" t="e">
        <f>(BE316)-(BE146-BD146)</f>
        <v>#DIV/0!</v>
      </c>
      <c r="BG317" s="329" t="e">
        <f>(BG316)-(BG146-BF146)</f>
        <v>#DIV/0!</v>
      </c>
      <c r="BH317" s="329" t="e">
        <f>(BH316)-(BH146-BG146)</f>
        <v>#DIV/0!</v>
      </c>
      <c r="BI317" s="329" t="e">
        <f>(BI316)-(BI146-BH146)</f>
        <v>#DIV/0!</v>
      </c>
      <c r="BJ317" s="329" t="e">
        <f>(BJ316)-(BJ146-BI146)</f>
        <v>#DIV/0!</v>
      </c>
      <c r="BL317" s="329" t="e">
        <f>(BL316)-(BL146-BK146)</f>
        <v>#DIV/0!</v>
      </c>
      <c r="BM317" s="329" t="e">
        <f>(BM316)-(BM146-BL146)</f>
        <v>#DIV/0!</v>
      </c>
      <c r="BN317" s="329" t="e">
        <f>(BN316)-(BN146-BM146)</f>
        <v>#DIV/0!</v>
      </c>
      <c r="BO317" s="329" t="e">
        <f>(BO316)-(BO146-BN146)</f>
        <v>#DIV/0!</v>
      </c>
      <c r="BQ317" s="329" t="e">
        <f>(BQ316)-(BQ146-BP146)</f>
        <v>#DIV/0!</v>
      </c>
      <c r="BR317" s="329" t="e">
        <f>(BR316)-(BR146-BQ146)</f>
        <v>#DIV/0!</v>
      </c>
      <c r="BS317" s="329" t="e">
        <f>(BS316)-(BS146-BR146)</f>
        <v>#DIV/0!</v>
      </c>
      <c r="BT317" s="329" t="e">
        <f>(BT316)-(BT146-BS146)</f>
        <v>#DIV/0!</v>
      </c>
      <c r="BV317" s="329" t="e">
        <f>(BV316)-(BV146-BU146)</f>
        <v>#DIV/0!</v>
      </c>
      <c r="BW317" s="329" t="e">
        <f>(BW316)-(BW146-BV146)</f>
        <v>#DIV/0!</v>
      </c>
      <c r="BX317" s="329" t="e">
        <f>(BX316)-(BX146-BW146)</f>
        <v>#DIV/0!</v>
      </c>
      <c r="BY317" s="329" t="e">
        <f>(BY316)-(BY146-BX146)</f>
        <v>#DIV/0!</v>
      </c>
      <c r="CA317" s="329" t="e">
        <f>(CA316)-(CA146-BZ146)</f>
        <v>#DIV/0!</v>
      </c>
      <c r="CB317" s="329" t="e">
        <f>(CB316)-(CB146-CA146)</f>
        <v>#DIV/0!</v>
      </c>
      <c r="CC317" s="329" t="e">
        <f>(CC316)-(CC146-CB146)</f>
        <v>#DIV/0!</v>
      </c>
      <c r="CD317" s="329" t="e">
        <f>(CD316)-(CD146-CC146)</f>
        <v>#DIV/0!</v>
      </c>
      <c r="CF317" s="329" t="e">
        <f>(CF316)-(CF146-CE146)</f>
        <v>#DIV/0!</v>
      </c>
      <c r="CG317" s="329" t="e">
        <f>(CG316)-(CG146-CF146)</f>
        <v>#DIV/0!</v>
      </c>
      <c r="CH317" s="329" t="e">
        <f>(CH316)-(CH146-CG146)</f>
        <v>#DIV/0!</v>
      </c>
      <c r="CI317" s="329" t="e">
        <f>(CI316)-(CI146-CH146)</f>
        <v>#DIV/0!</v>
      </c>
      <c r="CK317" s="329" t="e">
        <f>(CK316)-(CK146-CJ146)</f>
        <v>#DIV/0!</v>
      </c>
      <c r="CL317" s="329" t="e">
        <f>(CL316)-(CL146-CK146)</f>
        <v>#DIV/0!</v>
      </c>
      <c r="CM317" s="329" t="e">
        <f>(CM316)-(CM146-CL146)</f>
        <v>#DIV/0!</v>
      </c>
      <c r="CN317" s="329" t="e">
        <f>(CN316)-(CN146-CM146)</f>
        <v>#DIV/0!</v>
      </c>
      <c r="CP317" s="329" t="e">
        <f>(CP316)-(CP146-CO146)</f>
        <v>#DIV/0!</v>
      </c>
      <c r="CQ317" s="329" t="e">
        <f>(CQ316)-(CQ146-CP146)</f>
        <v>#DIV/0!</v>
      </c>
      <c r="CR317" s="329" t="e">
        <f>(CR316)-(CR146-CQ146)</f>
        <v>#DIV/0!</v>
      </c>
      <c r="CS317" s="329" t="e">
        <f>(CS316)-(CS146-CR146)</f>
        <v>#DIV/0!</v>
      </c>
      <c r="CU317" s="329" t="e">
        <f>(CU316)-(CU146-CT146)</f>
        <v>#DIV/0!</v>
      </c>
      <c r="CV317" s="329" t="e">
        <f>(CV316)-(CV146-CU146)</f>
        <v>#DIV/0!</v>
      </c>
      <c r="CW317" s="329" t="e">
        <f>(CW316)-(CW146-CV146)</f>
        <v>#DIV/0!</v>
      </c>
      <c r="CX317" s="329" t="e">
        <f>(CX316)-(CX146-CW146)</f>
        <v>#DIV/0!</v>
      </c>
    </row>
    <row r="319" ht="12.75" customHeight="1" s="255">
      <c r="C319" s="330" t="inlineStr">
        <is>
          <t>Ratio Analysis</t>
        </is>
      </c>
      <c r="D319" s="330" t="n"/>
      <c r="E319" s="330" t="n"/>
      <c r="F319" s="330" t="n"/>
      <c r="G319" s="330" t="n"/>
      <c r="H319" s="330" t="n"/>
      <c r="I319" s="330" t="n"/>
      <c r="J319" s="330" t="n"/>
      <c r="K319" s="330" t="n"/>
      <c r="L319" s="330" t="n"/>
      <c r="M319" s="330" t="n"/>
      <c r="N319" s="330" t="n"/>
      <c r="O319" s="330" t="n"/>
      <c r="P319" s="330" t="n"/>
      <c r="Q319" s="330" t="n"/>
      <c r="R319" s="330" t="n"/>
      <c r="S319" s="330" t="n"/>
      <c r="T319" s="330" t="n"/>
      <c r="U319" s="330" t="n"/>
      <c r="V319" s="330" t="n"/>
      <c r="W319" s="330" t="n"/>
      <c r="X319" s="330" t="n"/>
      <c r="Y319" s="330" t="n"/>
      <c r="Z319" s="330" t="n"/>
      <c r="AA319" s="330" t="n"/>
      <c r="AB319" s="330" t="n"/>
      <c r="AC319" s="330" t="n"/>
      <c r="AD319" s="330" t="n"/>
      <c r="AE319" s="330" t="n"/>
      <c r="AF319" s="330" t="n"/>
      <c r="AG319" s="330" t="n"/>
      <c r="AH319" s="330" t="n"/>
      <c r="AI319" s="330" t="n"/>
      <c r="AJ319" s="330" t="n"/>
      <c r="AK319" s="330" t="n"/>
      <c r="AL319" s="330" t="n"/>
      <c r="AM319" s="330" t="n"/>
      <c r="AN319" s="330" t="n"/>
      <c r="AO319" s="330" t="n"/>
      <c r="AP319" s="330" t="n"/>
      <c r="AQ319" s="330" t="n"/>
      <c r="AR319" s="330" t="n"/>
      <c r="AS319" s="330" t="n"/>
      <c r="AT319" s="330" t="n"/>
      <c r="AU319" s="330" t="n"/>
      <c r="AV319" s="330" t="n"/>
      <c r="AW319" s="330" t="n"/>
      <c r="AX319" s="330" t="n"/>
      <c r="AY319" s="330" t="n"/>
      <c r="AZ319" s="330" t="n"/>
      <c r="BA319" s="330" t="n"/>
      <c r="BB319" s="330" t="n"/>
      <c r="BC319" s="330" t="n"/>
      <c r="BD319" s="330" t="n"/>
      <c r="BE319" s="330" t="n"/>
      <c r="BF319" s="330" t="n"/>
      <c r="BG319" s="330" t="n"/>
      <c r="BH319" s="330" t="n"/>
      <c r="BI319" s="330" t="n"/>
      <c r="BJ319" s="330" t="n"/>
      <c r="BK319" s="330" t="n"/>
      <c r="BL319" s="330" t="n"/>
      <c r="BM319" s="330" t="n"/>
      <c r="BN319" s="330" t="n"/>
      <c r="BO319" s="330" t="n"/>
      <c r="BP319" s="330" t="n"/>
      <c r="BQ319" s="330" t="n"/>
      <c r="BR319" s="330" t="n"/>
      <c r="BS319" s="330" t="n"/>
      <c r="BT319" s="330" t="n"/>
      <c r="BU319" s="330" t="n"/>
      <c r="BV319" s="330" t="n"/>
      <c r="BW319" s="330" t="n"/>
      <c r="BX319" s="330" t="n"/>
      <c r="BY319" s="330" t="n"/>
      <c r="BZ319" s="330" t="n"/>
      <c r="CA319" s="330" t="n"/>
      <c r="CB319" s="330" t="n"/>
      <c r="CC319" s="330" t="n"/>
      <c r="CD319" s="330" t="n"/>
      <c r="CE319" s="330" t="n"/>
      <c r="CF319" s="330" t="n"/>
      <c r="CG319" s="330" t="n"/>
      <c r="CH319" s="330" t="n"/>
      <c r="CI319" s="330" t="n"/>
      <c r="CJ319" s="330" t="n"/>
      <c r="CK319" s="330" t="n"/>
      <c r="CL319" s="330" t="n"/>
      <c r="CM319" s="330" t="n"/>
      <c r="CN319" s="330" t="n"/>
      <c r="CO319" s="330" t="n"/>
      <c r="CP319" s="330" t="n"/>
      <c r="CQ319" s="330" t="n"/>
      <c r="CR319" s="330" t="n"/>
      <c r="CS319" s="330" t="n"/>
      <c r="CT319" s="330" t="n"/>
      <c r="CU319" s="330" t="n"/>
      <c r="CV319" s="330" t="n"/>
      <c r="CW319" s="330" t="n"/>
      <c r="CX319" s="330" t="n"/>
      <c r="CY319" s="330" t="n"/>
    </row>
    <row r="321" ht="12.75" customFormat="1" customHeight="1" s="331">
      <c r="C321" s="331" t="inlineStr">
        <is>
          <t>YEAR</t>
        </is>
      </c>
      <c r="D321" s="331" t="str">
        <f>D277</f>
        <v>1Q20</v>
      </c>
      <c r="E321" s="332" t="str">
        <f>E277</f>
        <v>2Q20</v>
      </c>
      <c r="F321" s="332" t="str">
        <f>F277</f>
        <v>3Q20</v>
      </c>
      <c r="G321" s="332" t="str">
        <f>G277</f>
        <v>4Q20</v>
      </c>
      <c r="H321" s="332">
        <f>H277</f>
        <v>2020</v>
      </c>
      <c r="I321" s="332" t="str">
        <f>I277</f>
        <v>1Q21</v>
      </c>
      <c r="J321" s="332" t="str">
        <f>J277</f>
        <v>2Q21</v>
      </c>
      <c r="K321" s="332" t="str">
        <f>K277</f>
        <v>3Q21</v>
      </c>
      <c r="L321" s="332" t="str">
        <f>L277</f>
        <v>4Q21</v>
      </c>
      <c r="M321" s="332">
        <f>M277</f>
        <v>2021</v>
      </c>
      <c r="N321" s="332" t="str">
        <f>N277</f>
        <v>1Q22</v>
      </c>
      <c r="O321" s="332" t="str">
        <f>O277</f>
        <v>2Q22</v>
      </c>
      <c r="P321" s="332" t="str">
        <f>P277</f>
        <v>3Q22</v>
      </c>
      <c r="Q321" s="332" t="str">
        <f>Q277</f>
        <v>4Q22</v>
      </c>
      <c r="R321" s="332">
        <f>R277</f>
        <v>2022</v>
      </c>
      <c r="S321" s="332" t="str">
        <f>S277</f>
        <v>1Q23</v>
      </c>
      <c r="T321" s="332" t="str">
        <f>T277</f>
        <v>2Q23</v>
      </c>
      <c r="U321" s="332" t="str">
        <f>U277</f>
        <v>3Q23</v>
      </c>
      <c r="V321" s="332" t="str">
        <f>V277</f>
        <v>4Q23</v>
      </c>
      <c r="W321" s="332">
        <f>W277</f>
        <v>2023</v>
      </c>
      <c r="X321" s="332" t="str">
        <f>X277</f>
        <v>1Q24</v>
      </c>
      <c r="Y321" s="332" t="str">
        <f>Y277</f>
        <v>2Q24</v>
      </c>
      <c r="Z321" s="332" t="str">
        <f>Z277</f>
        <v>3Q24</v>
      </c>
      <c r="AA321" s="332" t="str">
        <f>AA277</f>
        <v>4Q24</v>
      </c>
      <c r="AB321" s="332">
        <f>AB277</f>
        <v>2024</v>
      </c>
      <c r="AC321" s="332" t="str">
        <f>AC277</f>
        <v>1Q25</v>
      </c>
      <c r="AD321" s="332" t="str">
        <f>AD277</f>
        <v>2Q25</v>
      </c>
      <c r="AE321" s="332" t="str">
        <f>AE277</f>
        <v>3Q25</v>
      </c>
      <c r="AF321" s="332" t="str">
        <f>AF277</f>
        <v>4Q25</v>
      </c>
      <c r="AG321" s="332">
        <f>AG277</f>
        <v>2025</v>
      </c>
      <c r="AH321" s="332" t="str">
        <f>AH277</f>
        <v>1Q26</v>
      </c>
      <c r="AI321" s="332" t="str">
        <f>AI277</f>
        <v>2Q26</v>
      </c>
      <c r="AJ321" s="332" t="str">
        <f>AJ277</f>
        <v>3Q26</v>
      </c>
      <c r="AK321" s="332" t="str">
        <f>AK277</f>
        <v>4Q26</v>
      </c>
      <c r="AL321" s="332">
        <f>AL277</f>
        <v>2026</v>
      </c>
      <c r="AM321" s="332" t="str">
        <f>AM277</f>
        <v>1Q27</v>
      </c>
      <c r="AN321" s="332" t="str">
        <f>AN277</f>
        <v>2Q27</v>
      </c>
      <c r="AO321" s="332" t="str">
        <f>AO277</f>
        <v>3Q27</v>
      </c>
      <c r="AP321" s="332" t="str">
        <f>AP277</f>
        <v>4Q27</v>
      </c>
      <c r="AQ321" s="332">
        <f>AQ277</f>
        <v>2027</v>
      </c>
      <c r="AR321" s="332" t="str">
        <f>AR277</f>
        <v>1Q28</v>
      </c>
      <c r="AS321" s="332" t="str">
        <f>AS277</f>
        <v>2Q28</v>
      </c>
      <c r="AT321" s="332" t="str">
        <f>AT277</f>
        <v>3Q28</v>
      </c>
      <c r="AU321" s="332" t="str">
        <f>AU277</f>
        <v>4Q28</v>
      </c>
      <c r="AV321" s="332">
        <f>AV277</f>
        <v>2028</v>
      </c>
      <c r="AW321" s="332" t="str">
        <f>AW277</f>
        <v>1Q29</v>
      </c>
      <c r="AX321" s="332" t="str">
        <f>AX277</f>
        <v>2Q29</v>
      </c>
      <c r="AY321" s="332" t="str">
        <f>AY277</f>
        <v>3Q29</v>
      </c>
      <c r="AZ321" s="332" t="str">
        <f>AZ277</f>
        <v>4Q29</v>
      </c>
      <c r="BA321" s="332">
        <f>BA277</f>
        <v>2029</v>
      </c>
      <c r="BB321" s="332" t="str">
        <f>BB277</f>
        <v>1Q30</v>
      </c>
      <c r="BC321" s="332" t="str">
        <f>BC277</f>
        <v>2Q30</v>
      </c>
      <c r="BD321" s="332" t="str">
        <f>BD277</f>
        <v>3Q30</v>
      </c>
      <c r="BE321" s="332" t="str">
        <f>BE277</f>
        <v>4Q30</v>
      </c>
      <c r="BF321" s="332">
        <f>BF277</f>
        <v>2030</v>
      </c>
      <c r="BG321" s="332" t="str">
        <f>BG277</f>
        <v>1Q31</v>
      </c>
      <c r="BH321" s="332" t="str">
        <f>BH277</f>
        <v>2Q31</v>
      </c>
      <c r="BI321" s="332" t="str">
        <f>BI277</f>
        <v>3Q31</v>
      </c>
      <c r="BJ321" s="332" t="str">
        <f>BJ277</f>
        <v>4Q31</v>
      </c>
      <c r="BK321" s="332">
        <f>BK277</f>
        <v>2031</v>
      </c>
      <c r="BL321" s="332" t="str">
        <f>BL277</f>
        <v>1Q32</v>
      </c>
      <c r="BM321" s="332" t="str">
        <f>BM277</f>
        <v>2Q32</v>
      </c>
      <c r="BN321" s="332" t="str">
        <f>BN277</f>
        <v>3Q32</v>
      </c>
      <c r="BO321" s="332" t="str">
        <f>BO277</f>
        <v>4Q32</v>
      </c>
      <c r="BP321" s="332">
        <f>BP277</f>
        <v>2032</v>
      </c>
      <c r="BQ321" s="332" t="str">
        <f>BQ277</f>
        <v>1Q33</v>
      </c>
      <c r="BR321" s="332" t="str">
        <f>BR277</f>
        <v>2Q33</v>
      </c>
      <c r="BS321" s="332" t="str">
        <f>BS277</f>
        <v>3Q33</v>
      </c>
      <c r="BT321" s="332" t="str">
        <f>BT277</f>
        <v>4Q33</v>
      </c>
      <c r="BU321" s="332">
        <f>BU277</f>
        <v>2033</v>
      </c>
      <c r="BV321" s="332" t="str">
        <f>BV277</f>
        <v>1Q34</v>
      </c>
      <c r="BW321" s="332" t="str">
        <f>BW277</f>
        <v>2Q34</v>
      </c>
      <c r="BX321" s="332" t="str">
        <f>BX277</f>
        <v>3Q34</v>
      </c>
      <c r="BY321" s="332" t="str">
        <f>BY277</f>
        <v>4Q34</v>
      </c>
      <c r="BZ321" s="332">
        <f>BZ277</f>
        <v>2034</v>
      </c>
      <c r="CA321" s="332" t="str">
        <f>CA277</f>
        <v>1Q35</v>
      </c>
      <c r="CB321" s="332" t="str">
        <f>CB277</f>
        <v>2Q35</v>
      </c>
      <c r="CC321" s="332" t="str">
        <f>CC277</f>
        <v>3Q35</v>
      </c>
      <c r="CD321" s="332" t="str">
        <f>CD277</f>
        <v>4Q35</v>
      </c>
      <c r="CE321" s="332">
        <f>CE277</f>
        <v>2035</v>
      </c>
      <c r="CF321" s="332" t="str">
        <f>CF277</f>
        <v>1Q36</v>
      </c>
      <c r="CG321" s="332" t="str">
        <f>CG277</f>
        <v>2Q36</v>
      </c>
      <c r="CH321" s="332" t="str">
        <f>CH277</f>
        <v>3Q36</v>
      </c>
      <c r="CI321" s="332" t="str">
        <f>CI277</f>
        <v>4Q36</v>
      </c>
      <c r="CJ321" s="332">
        <f>CJ277</f>
        <v>2036</v>
      </c>
      <c r="CK321" s="332" t="str">
        <f>CK277</f>
        <v>1Q37</v>
      </c>
      <c r="CL321" s="332" t="str">
        <f>CL277</f>
        <v>2Q37</v>
      </c>
      <c r="CM321" s="332" t="str">
        <f>CM277</f>
        <v>3Q37</v>
      </c>
      <c r="CN321" s="332" t="str">
        <f>CN277</f>
        <v>4Q37</v>
      </c>
      <c r="CO321" s="332">
        <f>CO277</f>
        <v>2037</v>
      </c>
      <c r="CP321" s="332" t="str">
        <f>CP277</f>
        <v>1Q38</v>
      </c>
      <c r="CQ321" s="332" t="str">
        <f>CQ277</f>
        <v>2Q38</v>
      </c>
      <c r="CR321" s="332" t="str">
        <f>CR277</f>
        <v>3Q38</v>
      </c>
      <c r="CS321" s="332" t="str">
        <f>CS277</f>
        <v>4Q38</v>
      </c>
      <c r="CT321" s="332">
        <f>CT277</f>
        <v>2038</v>
      </c>
      <c r="CU321" s="332" t="str">
        <f>CU277</f>
        <v>1Q39</v>
      </c>
      <c r="CV321" s="332" t="str">
        <f>CV277</f>
        <v>2Q39</v>
      </c>
      <c r="CW321" s="332" t="str">
        <f>CW277</f>
        <v>3Q39</v>
      </c>
      <c r="CX321" s="332" t="str">
        <f>CX277</f>
        <v>4Q39</v>
      </c>
      <c r="CY321" s="332">
        <f>CY277</f>
        <v>2039</v>
      </c>
    </row>
    <row r="322" ht="12.75" customFormat="1" customHeight="1" s="333">
      <c r="A322" s="334" t="n"/>
      <c r="B322" s="334" t="n"/>
      <c r="C322" s="331" t="inlineStr">
        <is>
          <t>GROWTH &amp; MARGINS</t>
        </is>
      </c>
    </row>
    <row r="323" ht="12.75" customFormat="1" customHeight="1" s="333">
      <c r="A323" s="334" t="n"/>
      <c r="B323" s="334" t="n"/>
      <c r="C323" s="333" t="inlineStr">
        <is>
          <t>NET REVENUE GROWTH</t>
        </is>
      </c>
      <c r="E323" s="335">
        <f>E15/D15-1</f>
        <v>0.023176003922093</v>
      </c>
      <c r="F323" s="335">
        <f>F15/E15-1</f>
        <v>-0.022026687575322</v>
      </c>
      <c r="G323" s="335">
        <f>G15/F15-1</f>
        <v>0.128952994625412</v>
      </c>
      <c r="H323" s="335" t="n"/>
      <c r="I323" s="336">
        <f>I15/H15-1</f>
        <v>-0.752642846029069</v>
      </c>
      <c r="J323" s="336">
        <f>J15/I15-1</f>
        <v>0.0197961101872606</v>
      </c>
      <c r="K323" s="336">
        <f>K15/J15-1</f>
        <v>-0.00370795757472631</v>
      </c>
      <c r="L323" s="336">
        <f>L15/K15-1</f>
        <v>0.0878562533357055</v>
      </c>
      <c r="M323" s="335" t="n"/>
      <c r="N323" s="336">
        <f>N15/M15-1</f>
        <v>-0.752827566459597</v>
      </c>
      <c r="O323" s="336">
        <f>O15/N15-1</f>
        <v>0.0797490976131781</v>
      </c>
      <c r="P323" s="336">
        <f>P15/O15-1</f>
        <v>-0.000300930923269105</v>
      </c>
      <c r="Q323" s="336">
        <f>Q15/P15-1</f>
        <v>0.0735212318323704</v>
      </c>
      <c r="R323" s="335" t="n"/>
      <c r="S323" s="336">
        <f>S15/R15-1</f>
        <v>-0.750852706330394</v>
      </c>
      <c r="T323" s="336">
        <f>T15/S15-1</f>
        <v>0.0612668334416715</v>
      </c>
      <c r="U323" s="336">
        <f>U15/T15-1</f>
        <v>-0.00512274797069889</v>
      </c>
      <c r="V323" s="336">
        <f>V15/U15-1</f>
        <v>0.0782567597820949</v>
      </c>
      <c r="W323" s="335" t="n"/>
      <c r="X323" s="336">
        <f>X15/W15-1</f>
        <v>-0.750807328833173</v>
      </c>
      <c r="Y323" s="336">
        <f>Y15/X15-1</f>
        <v>0.048461995690616</v>
      </c>
      <c r="Z323" s="336">
        <f>Z15/Y15-1</f>
        <v>0.00149407978267924</v>
      </c>
      <c r="AA323" s="336">
        <f>AA15/Z15-1</f>
        <v>0.064662594051466</v>
      </c>
      <c r="AB323" s="335" t="n"/>
      <c r="AC323" s="336">
        <f>AC15/AB15-1</f>
        <v>-0.756809621357299</v>
      </c>
      <c r="AD323" s="336">
        <f>AD15/AC15-1</f>
        <v>0.0712098980127891</v>
      </c>
      <c r="AE323" s="336">
        <f>AE15/AD15-1</f>
        <v>0.0118037000710252</v>
      </c>
      <c r="AF323" s="336">
        <f>AF15/AE15-1</f>
        <v>0.0621740874448455</v>
      </c>
      <c r="AG323" s="335" t="n"/>
      <c r="AH323" s="336">
        <f>AH15/AG15-1</f>
        <v>-0.750756839600484</v>
      </c>
      <c r="AI323" s="336">
        <f>AI15/AH15-1</f>
        <v>0.0573048815477832</v>
      </c>
      <c r="AJ323" s="336">
        <f>AJ15/AI15-1</f>
        <v>-0.0449139871339864</v>
      </c>
      <c r="AK323" s="336">
        <f>AK15/AJ15-1</f>
        <v>0.0621740874448455</v>
      </c>
      <c r="AL323" s="335" t="n"/>
      <c r="AM323" s="336">
        <f>AM15/AL15-1</f>
        <v>-0.75843797564688</v>
      </c>
      <c r="AN323" s="336">
        <f>AN15/AM15-1</f>
        <v>0.0573048815477832</v>
      </c>
      <c r="AO323" s="336">
        <f>AO15/AN15-1</f>
        <v>-0.0449139871339864</v>
      </c>
      <c r="AP323" s="336">
        <f>AP15/AO15-1</f>
        <v>0.0621740874448455</v>
      </c>
      <c r="AQ323" s="335" t="n"/>
      <c r="AR323" s="336">
        <f>AR15/AQ15-1</f>
        <v>-0.75843797564688</v>
      </c>
      <c r="AS323" s="336">
        <f>AS15/AR15-1</f>
        <v>0.0573048815477832</v>
      </c>
      <c r="AT323" s="336">
        <f>AT15/AS15-1</f>
        <v>-0.0449139871339864</v>
      </c>
      <c r="AU323" s="336">
        <f>AU15/AT15-1</f>
        <v>0.0621740874448455</v>
      </c>
      <c r="AV323" s="335" t="n"/>
      <c r="AW323" s="336">
        <f>AW15/AV15-1</f>
        <v>-0.75843797564688</v>
      </c>
      <c r="AX323" s="336">
        <f>AX15/AW15-1</f>
        <v>0.0573048815477832</v>
      </c>
      <c r="AY323" s="336">
        <f>AY15/AX15-1</f>
        <v>-0.0449139871339864</v>
      </c>
      <c r="AZ323" s="336">
        <f>AZ15/AY15-1</f>
        <v>0.0621740874448455</v>
      </c>
      <c r="BA323" s="335" t="n"/>
      <c r="BB323" s="336">
        <f>BB15/BA15-1</f>
        <v>-0.75843797564688</v>
      </c>
      <c r="BC323" s="336">
        <f>BC15/BB15-1</f>
        <v>0.0573048815477832</v>
      </c>
      <c r="BD323" s="336">
        <f>BD15/BC15-1</f>
        <v>-0.0449139871339864</v>
      </c>
      <c r="BE323" s="336">
        <f>BE15/BD15-1</f>
        <v>0.0621740874448455</v>
      </c>
      <c r="BF323" s="335" t="n"/>
      <c r="BG323" s="336">
        <f>BG15/BF15-1</f>
        <v>-0.75843797564688</v>
      </c>
      <c r="BH323" s="336">
        <f>BH15/BG15-1</f>
        <v>0.0573048815477832</v>
      </c>
      <c r="BI323" s="336">
        <f>BI15/BH15-1</f>
        <v>-0.0449139871339864</v>
      </c>
      <c r="BJ323" s="336">
        <f>BJ15/BI15-1</f>
        <v>0.0621740874448455</v>
      </c>
      <c r="BK323" s="335" t="n"/>
      <c r="BL323" s="336">
        <f>BL15/BK15-1</f>
        <v>-0.75843797564688</v>
      </c>
      <c r="BM323" s="336">
        <f>BM15/BL15-1</f>
        <v>0.0573048815477832</v>
      </c>
      <c r="BN323" s="336">
        <f>BN15/BM15-1</f>
        <v>-0.0449139871339864</v>
      </c>
      <c r="BO323" s="336">
        <f>BO15/BN15-1</f>
        <v>0.0621740874448455</v>
      </c>
      <c r="BP323" s="335" t="n"/>
      <c r="BQ323" s="336">
        <f>BQ15/BP15-1</f>
        <v>-0.75843797564688</v>
      </c>
      <c r="BR323" s="336">
        <f>BR15/BQ15-1</f>
        <v>0.0573048815477832</v>
      </c>
      <c r="BS323" s="336">
        <f>BS15/BR15-1</f>
        <v>-0.0449139871339864</v>
      </c>
      <c r="BT323" s="336">
        <f>BT15/BS15-1</f>
        <v>0.0621740874448455</v>
      </c>
      <c r="BU323" s="335" t="n"/>
      <c r="BV323" s="336">
        <f>BV15/BU15-1</f>
        <v>-0.75843797564688</v>
      </c>
      <c r="BW323" s="336">
        <f>BW15/BV15-1</f>
        <v>0.0573048815477832</v>
      </c>
      <c r="BX323" s="336">
        <f>BX15/BW15-1</f>
        <v>-0.0449139871339864</v>
      </c>
      <c r="BY323" s="336">
        <f>BY15/BX15-1</f>
        <v>0.0621740874448455</v>
      </c>
      <c r="BZ323" s="335" t="n"/>
      <c r="CA323" s="336">
        <f>CA15/BZ15-1</f>
        <v>-0.75843797564688</v>
      </c>
      <c r="CB323" s="336">
        <f>CB15/CA15-1</f>
        <v>0.0573048815477832</v>
      </c>
      <c r="CC323" s="336">
        <f>CC15/CB15-1</f>
        <v>-0.0449139871339864</v>
      </c>
      <c r="CD323" s="336">
        <f>CD15/CC15-1</f>
        <v>0.0621740874448455</v>
      </c>
      <c r="CE323" s="335" t="n"/>
      <c r="CF323" s="336">
        <f>CF15/CE15-1</f>
        <v>-0.75843797564688</v>
      </c>
      <c r="CG323" s="336">
        <f>CG15/CF15-1</f>
        <v>0.0573048815477832</v>
      </c>
      <c r="CH323" s="336">
        <f>CH15/CG15-1</f>
        <v>-0.0449139871339864</v>
      </c>
      <c r="CI323" s="336">
        <f>CI15/CH15-1</f>
        <v>0.0621740874448455</v>
      </c>
      <c r="CJ323" s="335" t="n"/>
      <c r="CK323" s="336">
        <f>CK15/CJ15-1</f>
        <v>-0.75843797564688</v>
      </c>
      <c r="CL323" s="336">
        <f>CL15/CK15-1</f>
        <v>0.0573048815477832</v>
      </c>
      <c r="CM323" s="336">
        <f>CM15/CL15-1</f>
        <v>-0.0449139871339864</v>
      </c>
      <c r="CN323" s="336">
        <f>CN15/CM15-1</f>
        <v>0.0621740874448455</v>
      </c>
      <c r="CO323" s="335" t="n"/>
      <c r="CP323" s="336">
        <f>CP15/CO15-1</f>
        <v>-0.75843797564688</v>
      </c>
      <c r="CQ323" s="336">
        <f>CQ15/CP15-1</f>
        <v>0.0573048815477832</v>
      </c>
      <c r="CR323" s="336">
        <f>CR15/CQ15-1</f>
        <v>-0.0449139871339864</v>
      </c>
      <c r="CS323" s="336">
        <f>CS15/CR15-1</f>
        <v>0.0621740874448455</v>
      </c>
      <c r="CT323" s="335" t="n"/>
      <c r="CU323" s="336">
        <f>CU15/CT15-1</f>
        <v>-0.75843797564688</v>
      </c>
      <c r="CV323" s="336">
        <f>CV15/CU15-1</f>
        <v>0.0573048815477832</v>
      </c>
      <c r="CW323" s="336">
        <f>CW15/CV15-1</f>
        <v>-0.0449139871339864</v>
      </c>
      <c r="CX323" s="336">
        <f>CX15/CW15-1</f>
        <v>0.0621740874448455</v>
      </c>
      <c r="CY323" s="335" t="n"/>
    </row>
    <row r="324" ht="12.75" customFormat="1" customHeight="1" s="333">
      <c r="A324" s="334" t="n"/>
      <c r="B324" s="334" t="n"/>
      <c r="C324" s="333" t="inlineStr">
        <is>
          <t>GROSS MARGIN</t>
        </is>
      </c>
      <c r="D324" s="336">
        <f>SUM(D15,D56)/D15</f>
        <v>0.242129815334789</v>
      </c>
      <c r="E324" s="336">
        <f>SUM(E15,E56)/E15</f>
        <v>0.254483018977509</v>
      </c>
      <c r="F324" s="336">
        <f>SUM(F15,F56)/F15</f>
        <v>0.255137037147014</v>
      </c>
      <c r="G324" s="336">
        <f>SUM(G15,G56)/G15</f>
        <v>0.242097857034831</v>
      </c>
      <c r="I324" s="337">
        <f>SUM(I15,I56)/I15</f>
        <v>0.253329477261225</v>
      </c>
      <c r="J324" s="337">
        <f>SUM(J15,J56)/J15</f>
        <v>0.254275140377744</v>
      </c>
      <c r="K324" s="337">
        <f>SUM(K15,K56)/K15</f>
        <v>0.252638320583526</v>
      </c>
      <c r="L324" s="337">
        <f>SUM(L15,L56)/L15</f>
        <v>0.244317103963472</v>
      </c>
      <c r="N324" s="337">
        <f>SUM(N15,N56)/N15</f>
        <v>0.245265559550467</v>
      </c>
      <c r="O324" s="337">
        <f>SUM(O15,O56)/O15</f>
        <v>0.242190515442336</v>
      </c>
      <c r="P324" s="337">
        <f>SUM(P15,P56)/P15</f>
        <v>0.243434786307448</v>
      </c>
      <c r="Q324" s="337">
        <f>SUM(Q15,Q56)/Q15</f>
        <v>0.235449380669072</v>
      </c>
      <c r="S324" s="337">
        <f>SUM(S15,S56)/S15</f>
        <v>0.24305158863041</v>
      </c>
      <c r="T324" s="337">
        <f>SUM(T15,T56)/T15</f>
        <v>0.246127004553554</v>
      </c>
      <c r="U324" s="337">
        <f>SUM(U15,U56)/U15</f>
        <v>0.246393124549141</v>
      </c>
      <c r="V324" s="337">
        <f>SUM(V15,V56)/V15</f>
        <v>0.239710937319768</v>
      </c>
      <c r="X324" s="337">
        <f>SUM(X15,X56)/X15</f>
        <v>0.248142506872725</v>
      </c>
      <c r="Y324" s="337">
        <f>SUM(Y15,Y56)/Y15</f>
        <v>0.251129418017539</v>
      </c>
      <c r="Z324" s="337">
        <f>SUM(Z15,Z56)/Z15</f>
        <v>0.249121400099064</v>
      </c>
      <c r="AA324" s="337">
        <f>SUM(AA15,AA56)/AA15</f>
        <v>0.245810117748707</v>
      </c>
      <c r="AC324" s="337">
        <f>SUM(AC15,AC56)/AC15</f>
        <v>0.249418811779553</v>
      </c>
      <c r="AD324" s="337">
        <f>SUM(AD15,AD56)/AD15</f>
        <v>0.251581154665675</v>
      </c>
      <c r="AE324" s="337">
        <f>SUM(AE15,AE56)/AE15</f>
        <v>0.249532022997727</v>
      </c>
      <c r="AF324" s="337">
        <f>SUM(AF15,AF56)/AF15</f>
        <v>0.246732334676066</v>
      </c>
      <c r="AH324" s="337">
        <f>SUM(AH15,AH56)/AH15</f>
        <v>0.251435997547131</v>
      </c>
      <c r="AI324" s="337">
        <f>SUM(AI15,AI56)/AI15</f>
        <v>0.261433352666053</v>
      </c>
      <c r="AJ324" s="337">
        <f>SUM(AJ15,AJ56)/AJ15</f>
        <v>0</v>
      </c>
      <c r="AK324" s="337">
        <f>SUM(AK15,AK56)/AK15</f>
        <v>0</v>
      </c>
      <c r="AM324" s="337">
        <f>SUM(AM15,AM56)/AM15</f>
        <v>0</v>
      </c>
      <c r="AN324" s="337">
        <f>SUM(AN15,AN56)/AN15</f>
        <v>0</v>
      </c>
      <c r="AO324" s="337">
        <f>SUM(AO15,AO56)/AO15</f>
        <v>0</v>
      </c>
      <c r="AP324" s="337">
        <f>SUM(AP15,AP56)/AP15</f>
        <v>0</v>
      </c>
      <c r="AR324" s="337">
        <f>SUM(AR15,AR56)/AR15</f>
        <v>0</v>
      </c>
      <c r="AS324" s="337">
        <f>SUM(AS15,AS56)/AS15</f>
        <v>0</v>
      </c>
      <c r="AT324" s="337">
        <f>SUM(AT15,AT56)/AT15</f>
        <v>0</v>
      </c>
      <c r="AU324" s="337">
        <f>SUM(AU15,AU56)/AU15</f>
        <v>0</v>
      </c>
      <c r="AW324" s="337">
        <f>SUM(AW15,AW56)/AW15</f>
        <v>0</v>
      </c>
      <c r="AX324" s="337">
        <f>SUM(AX15,AX56)/AX15</f>
        <v>0</v>
      </c>
      <c r="AY324" s="337">
        <f>SUM(AY15,AY56)/AY15</f>
        <v>0</v>
      </c>
      <c r="AZ324" s="337">
        <f>SUM(AZ15,AZ56)/AZ15</f>
        <v>0</v>
      </c>
      <c r="BB324" s="337">
        <f>SUM(BB15,BB56)/BB15</f>
        <v>0</v>
      </c>
      <c r="BC324" s="337">
        <f>SUM(BC15,BC56)/BC15</f>
        <v>0</v>
      </c>
      <c r="BD324" s="337">
        <f>SUM(BD15,BD56)/BD15</f>
        <v>0</v>
      </c>
      <c r="BE324" s="337">
        <f>SUM(BE15,BE56)/BE15</f>
        <v>0</v>
      </c>
      <c r="BG324" s="337">
        <f>SUM(BG15,BG56)/BG15</f>
        <v>0</v>
      </c>
      <c r="BH324" s="337">
        <f>SUM(BH15,BH56)/BH15</f>
        <v>0</v>
      </c>
      <c r="BI324" s="337">
        <f>SUM(BI15,BI56)/BI15</f>
        <v>0</v>
      </c>
      <c r="BJ324" s="337">
        <f>SUM(BJ15,BJ56)/BJ15</f>
        <v>0</v>
      </c>
      <c r="BL324" s="337">
        <f>SUM(BL15,BL56)/BL15</f>
        <v>0</v>
      </c>
      <c r="BM324" s="337">
        <f>SUM(BM15,BM56)/BM15</f>
        <v>0</v>
      </c>
      <c r="BN324" s="337">
        <f>SUM(BN15,BN56)/BN15</f>
        <v>0</v>
      </c>
      <c r="BO324" s="337">
        <f>SUM(BO15,BO56)/BO15</f>
        <v>0</v>
      </c>
      <c r="BQ324" s="337">
        <f>SUM(BQ15,BQ56)/BQ15</f>
        <v>0</v>
      </c>
      <c r="BR324" s="337">
        <f>SUM(BR15,BR56)/BR15</f>
        <v>0</v>
      </c>
      <c r="BS324" s="337">
        <f>SUM(BS15,BS56)/BS15</f>
        <v>0</v>
      </c>
      <c r="BT324" s="337">
        <f>SUM(BT15,BT56)/BT15</f>
        <v>0</v>
      </c>
      <c r="BV324" s="337">
        <f>SUM(BV15,BV56)/BV15</f>
        <v>0</v>
      </c>
      <c r="BW324" s="337">
        <f>SUM(BW15,BW56)/BW15</f>
        <v>0</v>
      </c>
      <c r="BX324" s="337">
        <f>SUM(BX15,BX56)/BX15</f>
        <v>0</v>
      </c>
      <c r="BY324" s="337">
        <f>SUM(BY15,BY56)/BY15</f>
        <v>0</v>
      </c>
      <c r="CA324" s="337">
        <f>SUM(CA15,CA56)/CA15</f>
        <v>0</v>
      </c>
      <c r="CB324" s="337">
        <f>SUM(CB15,CB56)/CB15</f>
        <v>0</v>
      </c>
      <c r="CC324" s="337">
        <f>SUM(CC15,CC56)/CC15</f>
        <v>0</v>
      </c>
      <c r="CD324" s="337">
        <f>SUM(CD15,CD56)/CD15</f>
        <v>0</v>
      </c>
      <c r="CF324" s="337">
        <f>SUM(CF15,CF56)/CF15</f>
        <v>0</v>
      </c>
      <c r="CG324" s="337">
        <f>SUM(CG15,CG56)/CG15</f>
        <v>0</v>
      </c>
      <c r="CH324" s="337">
        <f>SUM(CH15,CH56)/CH15</f>
        <v>0</v>
      </c>
      <c r="CI324" s="337">
        <f>SUM(CI15,CI56)/CI15</f>
        <v>0</v>
      </c>
      <c r="CK324" s="337">
        <f>SUM(CK15,CK56)/CK15</f>
        <v>0</v>
      </c>
      <c r="CL324" s="337">
        <f>SUM(CL15,CL56)/CL15</f>
        <v>0</v>
      </c>
      <c r="CM324" s="337">
        <f>SUM(CM15,CM56)/CM15</f>
        <v>0</v>
      </c>
      <c r="CN324" s="337">
        <f>SUM(CN15,CN56)/CN15</f>
        <v>0</v>
      </c>
      <c r="CP324" s="337">
        <f>SUM(CP15,CP56)/CP15</f>
        <v>0</v>
      </c>
      <c r="CQ324" s="337">
        <f>SUM(CQ15,CQ56)/CQ15</f>
        <v>0</v>
      </c>
      <c r="CR324" s="337">
        <f>SUM(CR15,CR56)/CR15</f>
        <v>0</v>
      </c>
      <c r="CS324" s="337">
        <f>SUM(CS15,CS56)/CS15</f>
        <v>0</v>
      </c>
      <c r="CU324" s="337">
        <f>SUM(CU15,CU56)/CU15</f>
        <v>0</v>
      </c>
      <c r="CV324" s="337">
        <f>SUM(CV15,CV56)/CV15</f>
        <v>0</v>
      </c>
      <c r="CW324" s="337">
        <f>SUM(CW15,CW56)/CW15</f>
        <v>0</v>
      </c>
      <c r="CX324" s="337">
        <f>SUM(CX15,CX56)/CX15</f>
        <v>0</v>
      </c>
    </row>
    <row r="325" ht="12.75" customFormat="1" customHeight="1" s="333">
      <c r="A325" s="334" t="n"/>
      <c r="B325" s="334" t="n"/>
      <c r="C325" s="333" t="inlineStr">
        <is>
          <t>EBIT MARGIN</t>
        </is>
      </c>
      <c r="D325" s="335">
        <f>(D75/D15)</f>
        <v>0.0388049501567352</v>
      </c>
      <c r="E325" s="335">
        <f>(E75/E15)</f>
        <v>0.0439880356027936</v>
      </c>
      <c r="F325" s="335">
        <f>(F75/F15)</f>
        <v>0.0428927754847522</v>
      </c>
      <c r="G325" s="335">
        <f>(G75/G15)</f>
        <v>0.0360799321405322</v>
      </c>
      <c r="I325" s="338">
        <f>(I75/I15)</f>
        <v>0.0499530041211771</v>
      </c>
      <c r="J325" s="338">
        <f>(J75/J15)</f>
        <v>0.0521382791673756</v>
      </c>
      <c r="K325" s="338">
        <f>(K75/K15)</f>
        <v>0.0412168653264544</v>
      </c>
      <c r="L325" s="338">
        <f>(L75/L15)</f>
        <v>0.0385095930555828</v>
      </c>
      <c r="N325" s="338">
        <f>(N75/N15)</f>
        <v>0.0375647210900692</v>
      </c>
      <c r="O325" s="338">
        <f>(O75/O15)</f>
        <v>0.0448387075671043</v>
      </c>
      <c r="P325" s="338">
        <f>(P75/P15)</f>
        <v>0.017635934115553</v>
      </c>
      <c r="Q325" s="338">
        <f>(Q75/Q15)</f>
        <v>0.0338986150395006</v>
      </c>
      <c r="S325" s="338">
        <f>(S75/S15)</f>
        <v>0.0409714972324542</v>
      </c>
      <c r="T325" s="338">
        <f>(T75/T15)</f>
        <v>0.0452633141952089</v>
      </c>
      <c r="U325" s="338">
        <f>(U75/U15)</f>
        <v>0.0385686923210865</v>
      </c>
      <c r="V325" s="338">
        <f>(V75/V15)</f>
        <v>0.0418368053152467</v>
      </c>
      <c r="X325" s="338">
        <f>(X75/X15)</f>
        <v>0.0423570349456374</v>
      </c>
      <c r="Y325" s="338">
        <f>(Y75/Y15)</f>
        <v>0.0468893022706469</v>
      </c>
      <c r="Z325" s="338">
        <f>(Z75/Z15)</f>
        <v>0.0395546854730288</v>
      </c>
      <c r="AA325" s="338">
        <f>(AA75/AA15)</f>
        <v>0.043527144233858</v>
      </c>
      <c r="AC325" s="338">
        <f>(AC75/AC15)</f>
        <v>0.0430834073027432</v>
      </c>
      <c r="AD325" s="338">
        <f>(AD75/AD15)</f>
        <v>0.0410705629023348</v>
      </c>
      <c r="AE325" s="338">
        <f>(AE75/AE15)</f>
        <v>0.0373044524669073</v>
      </c>
      <c r="AF325" s="338">
        <f>(AF75/AF15)</f>
        <v>0.0456738838536422</v>
      </c>
      <c r="AH325" s="338">
        <f>(AH75/AH15)</f>
        <v>0.0421544745177242</v>
      </c>
      <c r="AI325" s="338">
        <f>(AI75/AI15)</f>
        <v>0.0499263050915998</v>
      </c>
      <c r="AJ325" s="338">
        <f>(AJ75/AJ15)</f>
        <v>0</v>
      </c>
      <c r="AK325" s="338">
        <f>(AK75/AK15)</f>
        <v>0</v>
      </c>
      <c r="AM325" s="338">
        <f>(AM75/AM15)</f>
        <v>0</v>
      </c>
      <c r="AN325" s="338">
        <f>(AN75/AN15)</f>
        <v>0</v>
      </c>
      <c r="AO325" s="338">
        <f>(AO75/AO15)</f>
        <v>0</v>
      </c>
      <c r="AP325" s="338">
        <f>(AP75/AP15)</f>
        <v>0</v>
      </c>
      <c r="AR325" s="338">
        <f>(AR75/AR15)</f>
        <v>0</v>
      </c>
      <c r="AS325" s="338">
        <f>(AS75/AS15)</f>
        <v>0</v>
      </c>
      <c r="AT325" s="338">
        <f>(AT75/AT15)</f>
        <v>0</v>
      </c>
      <c r="AU325" s="338">
        <f>(AU75/AU15)</f>
        <v>0</v>
      </c>
      <c r="AW325" s="338">
        <f>(AW75/AW15)</f>
        <v>0</v>
      </c>
      <c r="AX325" s="338">
        <f>(AX75/AX15)</f>
        <v>0</v>
      </c>
      <c r="AY325" s="338">
        <f>(AY75/AY15)</f>
        <v>0</v>
      </c>
      <c r="AZ325" s="338">
        <f>(AZ75/AZ15)</f>
        <v>0</v>
      </c>
      <c r="BB325" s="338">
        <f>(BB75/BB15)</f>
        <v>0</v>
      </c>
      <c r="BC325" s="338">
        <f>(BC75/BC15)</f>
        <v>0</v>
      </c>
      <c r="BD325" s="338">
        <f>(BD75/BD15)</f>
        <v>0</v>
      </c>
      <c r="BE325" s="338">
        <f>(BE75/BE15)</f>
        <v>0</v>
      </c>
      <c r="BG325" s="338">
        <f>(BG75/BG15)</f>
        <v>0</v>
      </c>
      <c r="BH325" s="338">
        <f>(BH75/BH15)</f>
        <v>0</v>
      </c>
      <c r="BI325" s="338">
        <f>(BI75/BI15)</f>
        <v>0</v>
      </c>
      <c r="BJ325" s="338">
        <f>(BJ75/BJ15)</f>
        <v>0</v>
      </c>
      <c r="BL325" s="338">
        <f>(BL75/BL15)</f>
        <v>0</v>
      </c>
      <c r="BM325" s="338">
        <f>(BM75/BM15)</f>
        <v>0</v>
      </c>
      <c r="BN325" s="338">
        <f>(BN75/BN15)</f>
        <v>0</v>
      </c>
      <c r="BO325" s="338">
        <f>(BO75/BO15)</f>
        <v>0</v>
      </c>
      <c r="BQ325" s="338">
        <f>(BQ75/BQ15)</f>
        <v>0</v>
      </c>
      <c r="BR325" s="338">
        <f>(BR75/BR15)</f>
        <v>0</v>
      </c>
      <c r="BS325" s="338">
        <f>(BS75/BS15)</f>
        <v>0</v>
      </c>
      <c r="BT325" s="338">
        <f>(BT75/BT15)</f>
        <v>0</v>
      </c>
      <c r="BV325" s="338">
        <f>(BV75/BV15)</f>
        <v>0</v>
      </c>
      <c r="BW325" s="338">
        <f>(BW75/BW15)</f>
        <v>0</v>
      </c>
      <c r="BX325" s="338">
        <f>(BX75/BX15)</f>
        <v>0</v>
      </c>
      <c r="BY325" s="338">
        <f>(BY75/BY15)</f>
        <v>0</v>
      </c>
      <c r="CA325" s="338">
        <f>(CA75/CA15)</f>
        <v>0</v>
      </c>
      <c r="CB325" s="338">
        <f>(CB75/CB15)</f>
        <v>0</v>
      </c>
      <c r="CC325" s="338">
        <f>(CC75/CC15)</f>
        <v>0</v>
      </c>
      <c r="CD325" s="338">
        <f>(CD75/CD15)</f>
        <v>0</v>
      </c>
      <c r="CF325" s="338">
        <f>(CF75/CF15)</f>
        <v>0</v>
      </c>
      <c r="CG325" s="338">
        <f>(CG75/CG15)</f>
        <v>0</v>
      </c>
      <c r="CH325" s="338">
        <f>(CH75/CH15)</f>
        <v>0</v>
      </c>
      <c r="CI325" s="338">
        <f>(CI75/CI15)</f>
        <v>0</v>
      </c>
      <c r="CK325" s="338">
        <f>(CK75/CK15)</f>
        <v>0</v>
      </c>
      <c r="CL325" s="338">
        <f>(CL75/CL15)</f>
        <v>0</v>
      </c>
      <c r="CM325" s="338">
        <f>(CM75/CM15)</f>
        <v>0</v>
      </c>
      <c r="CN325" s="338">
        <f>(CN75/CN15)</f>
        <v>0</v>
      </c>
      <c r="CP325" s="338">
        <f>(CP75/CP15)</f>
        <v>0</v>
      </c>
      <c r="CQ325" s="338">
        <f>(CQ75/CQ15)</f>
        <v>0</v>
      </c>
      <c r="CR325" s="338">
        <f>(CR75/CR15)</f>
        <v>0</v>
      </c>
      <c r="CS325" s="338">
        <f>(CS75/CS15)</f>
        <v>0</v>
      </c>
      <c r="CU325" s="338">
        <f>(CU75/CU15)</f>
        <v>0</v>
      </c>
      <c r="CV325" s="338">
        <f>(CV75/CV15)</f>
        <v>0</v>
      </c>
      <c r="CW325" s="338">
        <f>(CW75/CW15)</f>
        <v>0</v>
      </c>
      <c r="CX325" s="338">
        <f>(CX75/CX15)</f>
        <v>0</v>
      </c>
    </row>
    <row r="326" ht="12.75" customFormat="1" customHeight="1" s="333">
      <c r="A326" s="334" t="n"/>
      <c r="B326" s="334" t="n"/>
      <c r="C326" s="333" t="inlineStr">
        <is>
          <t>EBITDA MARTGIN</t>
        </is>
      </c>
      <c r="D326" s="335">
        <f>D71/D15</f>
        <v>0.059537074178069</v>
      </c>
      <c r="E326" s="335">
        <f>E71/E15</f>
        <v>0.0641053563909338</v>
      </c>
      <c r="F326" s="335">
        <f>F71/F15</f>
        <v>0.0634631944650652</v>
      </c>
      <c r="G326" s="335">
        <f>G71/G15</f>
        <v>0.0546163507124587</v>
      </c>
      <c r="I326" s="338">
        <f>I71/I15</f>
        <v>0.0691923938977659</v>
      </c>
      <c r="J326" s="338">
        <f>J71/J15</f>
        <v>0.070862401451988</v>
      </c>
      <c r="K326" s="338">
        <f>K71/K15</f>
        <v>0.0600747198007472</v>
      </c>
      <c r="L326" s="338">
        <f>L71/L15</f>
        <v>0.0562107921057624</v>
      </c>
      <c r="N326" s="338">
        <f>N71/N15</f>
        <v>0.0564954191948802</v>
      </c>
      <c r="O326" s="338">
        <f>O71/O15</f>
        <v>0.0624955023910924</v>
      </c>
      <c r="P326" s="338">
        <f>P71/P15</f>
        <v>0.0356645049832148</v>
      </c>
      <c r="Q326" s="338">
        <f>Q71/Q15</f>
        <v>0.0510338437530479</v>
      </c>
      <c r="S326" s="338">
        <f>S71/S15</f>
        <v>0.0596516109546228</v>
      </c>
      <c r="T326" s="338">
        <f>T71/T15</f>
        <v>0.0632362403484459</v>
      </c>
      <c r="U326" s="338">
        <f>U71/U15</f>
        <v>0.0571378821422353</v>
      </c>
      <c r="V326" s="338">
        <f>V71/V15</f>
        <v>0.0598138279465707</v>
      </c>
      <c r="X326" s="338">
        <f>X71/X15</f>
        <v>0.0617244966193625</v>
      </c>
      <c r="Y326" s="338">
        <f>Y71/Y15</f>
        <v>0.0658517140579325</v>
      </c>
      <c r="Z326" s="338">
        <f>Z71/Z15</f>
        <v>0.0587777437082812</v>
      </c>
      <c r="AA326" s="338">
        <f>AA71/AA15</f>
        <v>0.0622140744597184</v>
      </c>
      <c r="AC326" s="338">
        <f>AC71/AC15</f>
        <v>0.0634265045981801</v>
      </c>
      <c r="AD326" s="338">
        <f>AD71/AD15</f>
        <v>0.0607264856089559</v>
      </c>
      <c r="AE326" s="338">
        <f>AE71/AE15</f>
        <v>0.0573940366359139</v>
      </c>
      <c r="AF326" s="338">
        <f>AF71/AF15</f>
        <v>0.0652956109432696</v>
      </c>
      <c r="AH326" s="338">
        <f>AH71/AH15</f>
        <v>0.0636508374073845</v>
      </c>
      <c r="AI326" s="338">
        <f>AI71/AI15</f>
        <v>0.0708109632483226</v>
      </c>
      <c r="AJ326" s="338">
        <f>AJ71/AJ15</f>
        <v>0</v>
      </c>
      <c r="AK326" s="338">
        <f>AK71/AK15</f>
        <v>0</v>
      </c>
      <c r="AM326" s="338">
        <f>AM71/AM15</f>
        <v>0</v>
      </c>
      <c r="AN326" s="338">
        <f>AN71/AN15</f>
        <v>0</v>
      </c>
      <c r="AO326" s="338">
        <f>AO71/AO15</f>
        <v>0</v>
      </c>
      <c r="AP326" s="338">
        <f>AP71/AP15</f>
        <v>0</v>
      </c>
      <c r="AR326" s="338">
        <f>AR71/AR15</f>
        <v>0</v>
      </c>
      <c r="AS326" s="338">
        <f>AS71/AS15</f>
        <v>0</v>
      </c>
      <c r="AT326" s="338">
        <f>AT71/AT15</f>
        <v>0</v>
      </c>
      <c r="AU326" s="338">
        <f>AU71/AU15</f>
        <v>0</v>
      </c>
      <c r="AW326" s="338">
        <f>AW71/AW15</f>
        <v>0</v>
      </c>
      <c r="AX326" s="338">
        <f>AX71/AX15</f>
        <v>0</v>
      </c>
      <c r="AY326" s="338">
        <f>AY71/AY15</f>
        <v>0</v>
      </c>
      <c r="AZ326" s="338">
        <f>AZ71/AZ15</f>
        <v>0</v>
      </c>
      <c r="BB326" s="338">
        <f>BB71/BB15</f>
        <v>0</v>
      </c>
      <c r="BC326" s="338">
        <f>BC71/BC15</f>
        <v>0</v>
      </c>
      <c r="BD326" s="338">
        <f>BD71/BD15</f>
        <v>0</v>
      </c>
      <c r="BE326" s="338">
        <f>BE71/BE15</f>
        <v>0</v>
      </c>
      <c r="BG326" s="338">
        <f>BG71/BG15</f>
        <v>0</v>
      </c>
      <c r="BH326" s="338">
        <f>BH71/BH15</f>
        <v>0</v>
      </c>
      <c r="BI326" s="338">
        <f>BI71/BI15</f>
        <v>0</v>
      </c>
      <c r="BJ326" s="338">
        <f>BJ71/BJ15</f>
        <v>0</v>
      </c>
      <c r="BL326" s="338">
        <f>BL71/BL15</f>
        <v>0</v>
      </c>
      <c r="BM326" s="338">
        <f>BM71/BM15</f>
        <v>0</v>
      </c>
      <c r="BN326" s="338">
        <f>BN71/BN15</f>
        <v>0</v>
      </c>
      <c r="BO326" s="338">
        <f>BO71/BO15</f>
        <v>0</v>
      </c>
      <c r="BQ326" s="338">
        <f>BQ71/BQ15</f>
        <v>0</v>
      </c>
      <c r="BR326" s="338">
        <f>BR71/BR15</f>
        <v>0</v>
      </c>
      <c r="BS326" s="338">
        <f>BS71/BS15</f>
        <v>0</v>
      </c>
      <c r="BT326" s="338">
        <f>BT71/BT15</f>
        <v>0</v>
      </c>
      <c r="BV326" s="338">
        <f>BV71/BV15</f>
        <v>0</v>
      </c>
      <c r="BW326" s="338">
        <f>BW71/BW15</f>
        <v>0</v>
      </c>
      <c r="BX326" s="338">
        <f>BX71/BX15</f>
        <v>0</v>
      </c>
      <c r="BY326" s="338">
        <f>BY71/BY15</f>
        <v>0</v>
      </c>
      <c r="CA326" s="338">
        <f>CA71/CA15</f>
        <v>0</v>
      </c>
      <c r="CB326" s="338">
        <f>CB71/CB15</f>
        <v>0</v>
      </c>
      <c r="CC326" s="338">
        <f>CC71/CC15</f>
        <v>0</v>
      </c>
      <c r="CD326" s="338">
        <f>CD71/CD15</f>
        <v>0</v>
      </c>
      <c r="CF326" s="338">
        <f>CF71/CF15</f>
        <v>0</v>
      </c>
      <c r="CG326" s="338">
        <f>CG71/CG15</f>
        <v>0</v>
      </c>
      <c r="CH326" s="338">
        <f>CH71/CH15</f>
        <v>0</v>
      </c>
      <c r="CI326" s="338">
        <f>CI71/CI15</f>
        <v>0</v>
      </c>
      <c r="CK326" s="338">
        <f>CK71/CK15</f>
        <v>0</v>
      </c>
      <c r="CL326" s="338">
        <f>CL71/CL15</f>
        <v>0</v>
      </c>
      <c r="CM326" s="338">
        <f>CM71/CM15</f>
        <v>0</v>
      </c>
      <c r="CN326" s="338">
        <f>CN71/CN15</f>
        <v>0</v>
      </c>
      <c r="CP326" s="338">
        <f>CP71/CP15</f>
        <v>0</v>
      </c>
      <c r="CQ326" s="338">
        <f>CQ71/CQ15</f>
        <v>0</v>
      </c>
      <c r="CR326" s="338">
        <f>CR71/CR15</f>
        <v>0</v>
      </c>
      <c r="CS326" s="338">
        <f>CS71/CS15</f>
        <v>0</v>
      </c>
      <c r="CU326" s="338">
        <f>CU71/CU15</f>
        <v>0</v>
      </c>
      <c r="CV326" s="338">
        <f>CV71/CV15</f>
        <v>0</v>
      </c>
      <c r="CW326" s="338">
        <f>CW71/CW15</f>
        <v>0</v>
      </c>
      <c r="CX326" s="338">
        <f>CX71/CX15</f>
        <v>0</v>
      </c>
    </row>
    <row r="327" ht="12.75" customFormat="1" customHeight="1" s="333">
      <c r="A327" s="334" t="n"/>
      <c r="B327" s="334" t="n"/>
      <c r="C327" s="333" t="inlineStr">
        <is>
          <t>ETR</t>
        </is>
      </c>
      <c r="D327" s="335">
        <f>-D133/D132</f>
        <v>0.244996293550778</v>
      </c>
      <c r="E327" s="335">
        <f>-E133/E132</f>
        <v>0.255262549155679</v>
      </c>
      <c r="F327" s="335">
        <f>-F133/F132</f>
        <v>0.269009135628953</v>
      </c>
      <c r="G327" s="335">
        <f>-G133/G132</f>
        <v>-2.38617200674536</v>
      </c>
      <c r="I327" s="338">
        <f>-I133/I132</f>
        <v>0.268730489073881</v>
      </c>
      <c r="J327" s="338">
        <f>-J133/J132</f>
        <v>0.263211210535202</v>
      </c>
      <c r="K327" s="338">
        <f>-K133/K132</f>
        <v>0.244755244755245</v>
      </c>
      <c r="L327" s="338">
        <f>-L133/L132</f>
        <v>0.240276035131744</v>
      </c>
      <c r="N327" s="338">
        <f>-N133/N132</f>
        <v>0.275077559462254</v>
      </c>
      <c r="O327" s="338">
        <f>-O133/O132</f>
        <v>0.225316074653823</v>
      </c>
      <c r="P327" s="338">
        <f>-P133/P132</f>
        <v>-0.234800838574424</v>
      </c>
      <c r="Q327" s="338">
        <f>-Q133/Q132</f>
        <v>0.347450011233431</v>
      </c>
      <c r="S327" s="338">
        <f>-S133/S132</f>
        <v>0.294642857142857</v>
      </c>
      <c r="T327" s="338">
        <f>-T133/T132</f>
        <v>0.249277524004848</v>
      </c>
      <c r="U327" s="338">
        <f>-U133/U132</f>
        <v>0.297267759562842</v>
      </c>
      <c r="V327" s="338">
        <f>-V133/V132</f>
        <v>0.244745943069965</v>
      </c>
      <c r="X327" s="338">
        <f>-X133/X132</f>
        <v>0.245628997867804</v>
      </c>
      <c r="Y327" s="338">
        <f>-Y133/Y132</f>
        <v>0.241751166908096</v>
      </c>
      <c r="Z327" s="338">
        <f>-Z133/Z132</f>
        <v>0.226959658904559</v>
      </c>
      <c r="AA327" s="338">
        <f>-AA133/AA132</f>
        <v>0.220881803820192</v>
      </c>
      <c r="AC327" s="338">
        <f>-AC133/AC132</f>
        <v>0.226059392726059</v>
      </c>
      <c r="AD327" s="338">
        <f>-AD133/AD132</f>
        <v>0.232642987445005</v>
      </c>
      <c r="AE327" s="338">
        <f>-AE133/AE132</f>
        <v>0.256291228927437</v>
      </c>
      <c r="AF327" s="338">
        <f>-AF133/AF132</f>
        <v>0.264321608040201</v>
      </c>
      <c r="AH327" s="338">
        <f>-AH133/AH132</f>
        <v>0.231952993844432</v>
      </c>
      <c r="AI327" s="338">
        <f>-AI133/AI132</f>
        <v>0.185097353969046</v>
      </c>
      <c r="AJ327" s="338">
        <f>-AJ133/AJ132</f>
        <v>0</v>
      </c>
      <c r="AK327" s="338">
        <f>-AK133/AK132</f>
        <v>0</v>
      </c>
      <c r="AM327" s="338">
        <f>-AM133/AM132</f>
        <v>0</v>
      </c>
      <c r="AN327" s="338">
        <f>-AN133/AN132</f>
        <v>0</v>
      </c>
      <c r="AO327" s="338">
        <f>-AO133/AO132</f>
        <v>0</v>
      </c>
      <c r="AP327" s="338">
        <f>-AP133/AP132</f>
        <v>0</v>
      </c>
      <c r="AR327" s="338">
        <f>-AR133/AR132</f>
        <v>0</v>
      </c>
      <c r="AS327" s="338">
        <f>-AS133/AS132</f>
        <v>0</v>
      </c>
      <c r="AT327" s="338">
        <f>-AT133/AT132</f>
        <v>0</v>
      </c>
      <c r="AU327" s="338">
        <f>-AU133/AU132</f>
        <v>0</v>
      </c>
      <c r="AW327" s="338">
        <f>-AW133/AW132</f>
        <v>0</v>
      </c>
      <c r="AX327" s="338">
        <f>-AX133/AX132</f>
        <v>0</v>
      </c>
      <c r="AY327" s="338">
        <f>-AY133/AY132</f>
        <v>0</v>
      </c>
      <c r="AZ327" s="338">
        <f>-AZ133/AZ132</f>
        <v>0</v>
      </c>
      <c r="BB327" s="338">
        <f>-BB133/BB132</f>
        <v>0</v>
      </c>
      <c r="BC327" s="338">
        <f>-BC133/BC132</f>
        <v>0</v>
      </c>
      <c r="BD327" s="338">
        <f>-BD133/BD132</f>
        <v>0</v>
      </c>
      <c r="BE327" s="338">
        <f>-BE133/BE132</f>
        <v>0</v>
      </c>
      <c r="BG327" s="338">
        <f>-BG133/BG132</f>
        <v>0</v>
      </c>
      <c r="BH327" s="338">
        <f>-BH133/BH132</f>
        <v>0</v>
      </c>
      <c r="BI327" s="338">
        <f>-BI133/BI132</f>
        <v>0</v>
      </c>
      <c r="BJ327" s="338">
        <f>-BJ133/BJ132</f>
        <v>0</v>
      </c>
      <c r="BL327" s="338">
        <f>-BL133/BL132</f>
        <v>0</v>
      </c>
      <c r="BM327" s="338">
        <f>-BM133/BM132</f>
        <v>0</v>
      </c>
      <c r="BN327" s="338">
        <f>-BN133/BN132</f>
        <v>0</v>
      </c>
      <c r="BO327" s="338">
        <f>-BO133/BO132</f>
        <v>0</v>
      </c>
      <c r="BQ327" s="338">
        <f>-BQ133/BQ132</f>
        <v>0</v>
      </c>
      <c r="BR327" s="338">
        <f>-BR133/BR132</f>
        <v>0</v>
      </c>
      <c r="BS327" s="338">
        <f>-BS133/BS132</f>
        <v>0</v>
      </c>
      <c r="BT327" s="338">
        <f>-BT133/BT132</f>
        <v>0</v>
      </c>
      <c r="BV327" s="338">
        <f>-BV133/BV132</f>
        <v>0</v>
      </c>
      <c r="BW327" s="338">
        <f>-BW133/BW132</f>
        <v>0</v>
      </c>
      <c r="BX327" s="338">
        <f>-BX133/BX132</f>
        <v>0</v>
      </c>
      <c r="BY327" s="338">
        <f>-BY133/BY132</f>
        <v>0</v>
      </c>
      <c r="CA327" s="338">
        <f>-CA133/CA132</f>
        <v>0</v>
      </c>
      <c r="CB327" s="338">
        <f>-CB133/CB132</f>
        <v>0</v>
      </c>
      <c r="CC327" s="338">
        <f>-CC133/CC132</f>
        <v>0</v>
      </c>
      <c r="CD327" s="338">
        <f>-CD133/CD132</f>
        <v>0</v>
      </c>
      <c r="CF327" s="338">
        <f>-CF133/CF132</f>
        <v>0</v>
      </c>
      <c r="CG327" s="338">
        <f>-CG133/CG132</f>
        <v>0</v>
      </c>
      <c r="CH327" s="338">
        <f>-CH133/CH132</f>
        <v>0</v>
      </c>
      <c r="CI327" s="338">
        <f>-CI133/CI132</f>
        <v>0</v>
      </c>
      <c r="CK327" s="338">
        <f>-CK133/CK132</f>
        <v>0</v>
      </c>
      <c r="CL327" s="338">
        <f>-CL133/CL132</f>
        <v>0</v>
      </c>
      <c r="CM327" s="338">
        <f>-CM133/CM132</f>
        <v>0</v>
      </c>
      <c r="CN327" s="338">
        <f>-CN133/CN132</f>
        <v>0</v>
      </c>
      <c r="CP327" s="338">
        <f>-CP133/CP132</f>
        <v>0</v>
      </c>
      <c r="CQ327" s="338">
        <f>-CQ133/CQ132</f>
        <v>0</v>
      </c>
      <c r="CR327" s="338">
        <f>-CR133/CR132</f>
        <v>0</v>
      </c>
      <c r="CS327" s="338">
        <f>-CS133/CS132</f>
        <v>0</v>
      </c>
      <c r="CU327" s="338">
        <f>-CU133/CU132</f>
        <v>0</v>
      </c>
      <c r="CV327" s="338">
        <f>-CV133/CV132</f>
        <v>0</v>
      </c>
      <c r="CW327" s="338">
        <f>-CW133/CW132</f>
        <v>0</v>
      </c>
      <c r="CX327" s="338">
        <f>-CX133/CX132</f>
        <v>0</v>
      </c>
    </row>
    <row r="328" ht="12.75" customFormat="1" customHeight="1" s="333">
      <c r="A328" s="334" t="n"/>
      <c r="B328" s="334" t="n"/>
    </row>
    <row r="329" ht="12.75" customFormat="1" customHeight="1" s="333">
      <c r="A329" s="334" t="n"/>
      <c r="B329" s="334" t="n"/>
      <c r="C329" s="331" t="inlineStr">
        <is>
          <t>CAPITAL STRUCTURE</t>
        </is>
      </c>
    </row>
    <row r="330" ht="12.75" customFormat="1" customHeight="1" s="333">
      <c r="A330" s="334" t="n"/>
      <c r="B330" s="334" t="n"/>
      <c r="C330" s="333" t="inlineStr">
        <is>
          <t>MARKET DEBT / EQUITY</t>
        </is>
      </c>
    </row>
    <row r="331" ht="12.75" customFormat="1" customHeight="1" s="333">
      <c r="A331" s="334" t="n"/>
      <c r="B331" s="334" t="n"/>
      <c r="C331" s="333" t="inlineStr">
        <is>
          <t>NET DEBT / (NET DEBT + MARKET CAP)</t>
        </is>
      </c>
    </row>
    <row r="332" ht="12.75" customFormat="1" customHeight="1" s="333">
      <c r="A332" s="334" t="n"/>
      <c r="B332" s="334" t="n"/>
    </row>
    <row r="333" ht="12.75" customFormat="1" customHeight="1" s="333">
      <c r="A333" s="334" t="n"/>
      <c r="B333" s="334" t="n"/>
      <c r="C333" s="331" t="inlineStr">
        <is>
          <t>FINANCIAL RISK RATIOS</t>
        </is>
      </c>
    </row>
    <row r="334" ht="12.75" customFormat="1" customHeight="1" s="333">
      <c r="A334" s="334" t="n"/>
      <c r="B334" s="334" t="n"/>
      <c r="C334" s="333" t="inlineStr">
        <is>
          <t>EBITDA / TOTAL INTEREST</t>
        </is>
      </c>
      <c r="D334" s="339">
        <f>D71/-D76</f>
        <v>15.7156862745098</v>
      </c>
      <c r="E334" s="339">
        <f>E71/-E76</f>
        <v>15.3032928942808</v>
      </c>
      <c r="F334" s="339">
        <f>F71/-F76</f>
        <v>18.789010989011</v>
      </c>
      <c r="G334" s="339">
        <f>G71/-G76</f>
        <v>19.1382488479263</v>
      </c>
      <c r="I334" s="339">
        <f>I71/-I76</f>
        <v>19.8960498960499</v>
      </c>
      <c r="J334" s="339">
        <f>J71/-J76</f>
        <v>22.8718535469108</v>
      </c>
      <c r="K334" s="339">
        <f>K71/-K76</f>
        <v>20.6911764705882</v>
      </c>
      <c r="L334" s="339">
        <f>L71/-L76</f>
        <v>24.6925287356322</v>
      </c>
      <c r="N334" s="339">
        <f>N71/-N76</f>
        <v>21.5</v>
      </c>
      <c r="O334" s="339">
        <f>O71/-O76</f>
        <v>24.1848101265823</v>
      </c>
      <c r="P334" s="339">
        <f>P71/-P76</f>
        <v>10.9218436873748</v>
      </c>
      <c r="Q334" s="339">
        <f>Q71/-Q76</f>
        <v>16.0690978886756</v>
      </c>
      <c r="S334" s="339">
        <f>S71/-S76</f>
        <v>15.9947183098592</v>
      </c>
      <c r="T334" s="339">
        <f>T71/-T76</f>
        <v>18.8232044198895</v>
      </c>
      <c r="U334" s="339">
        <f>U71/-U76</f>
        <v>16.0629370629371</v>
      </c>
      <c r="V334" s="339">
        <f>V71/-V76</f>
        <v>18.0052083333333</v>
      </c>
      <c r="X334" s="339">
        <f>X71/-X76</f>
        <v>16.6984924623116</v>
      </c>
      <c r="Y334" s="339">
        <f>Y71/-Y76</f>
        <v>20.0197486535009</v>
      </c>
      <c r="Z334" s="339">
        <f>Z71/-Z76</f>
        <v>20.0967741935484</v>
      </c>
      <c r="AA334" s="339">
        <f>AA71/-AA76</f>
        <v>18.7529215358932</v>
      </c>
      <c r="AC334" s="339">
        <f>AC71/-AC76</f>
        <v>20.2389210019268</v>
      </c>
      <c r="AD334" s="339">
        <f>AD71/-AD76</f>
        <v>16.5483870967742</v>
      </c>
      <c r="AE334" s="339">
        <f>AE71/-AE76</f>
        <v>18.2984014209592</v>
      </c>
      <c r="AF334" s="339">
        <f>AF71/-AF76</f>
        <v>21.2803418803419</v>
      </c>
      <c r="AH334" s="339">
        <f>AH71/-AH76</f>
        <v>19.7108013937282</v>
      </c>
      <c r="AI334" s="339">
        <f>AI71/-AI76</f>
        <v>97.1386861313869</v>
      </c>
      <c r="AJ334" s="339" t="e">
        <f>AJ71/-AJ76</f>
        <v>#DIV/0!</v>
      </c>
      <c r="AK334" s="339" t="e">
        <f>AK71/-AK76</f>
        <v>#DIV/0!</v>
      </c>
      <c r="AM334" s="339" t="e">
        <f>AM71/-AM76</f>
        <v>#DIV/0!</v>
      </c>
      <c r="AN334" s="339" t="e">
        <f>AN71/-AN76</f>
        <v>#DIV/0!</v>
      </c>
      <c r="AO334" s="339" t="e">
        <f>AO71/-AO76</f>
        <v>#DIV/0!</v>
      </c>
      <c r="AP334" s="339" t="e">
        <f>AP71/-AP76</f>
        <v>#DIV/0!</v>
      </c>
      <c r="AR334" s="339" t="e">
        <f>AR71/-AR76</f>
        <v>#DIV/0!</v>
      </c>
      <c r="AS334" s="339" t="e">
        <f>AS71/-AS76</f>
        <v>#DIV/0!</v>
      </c>
      <c r="AT334" s="339" t="e">
        <f>AT71/-AT76</f>
        <v>#DIV/0!</v>
      </c>
      <c r="AU334" s="339" t="e">
        <f>AU71/-AU76</f>
        <v>#DIV/0!</v>
      </c>
      <c r="AW334" s="339" t="e">
        <f>AW71/-AW76</f>
        <v>#DIV/0!</v>
      </c>
      <c r="AX334" s="339" t="e">
        <f>AX71/-AX76</f>
        <v>#DIV/0!</v>
      </c>
      <c r="AY334" s="339" t="e">
        <f>AY71/-AY76</f>
        <v>#DIV/0!</v>
      </c>
      <c r="AZ334" s="339" t="e">
        <f>AZ71/-AZ76</f>
        <v>#DIV/0!</v>
      </c>
      <c r="BB334" s="339" t="e">
        <f>BB71/-BB76</f>
        <v>#DIV/0!</v>
      </c>
      <c r="BC334" s="339" t="e">
        <f>BC71/-BC76</f>
        <v>#DIV/0!</v>
      </c>
      <c r="BD334" s="339" t="e">
        <f>BD71/-BD76</f>
        <v>#DIV/0!</v>
      </c>
      <c r="BE334" s="339" t="e">
        <f>BE71/-BE76</f>
        <v>#DIV/0!</v>
      </c>
      <c r="BG334" s="339" t="e">
        <f>BG71/-BG76</f>
        <v>#DIV/0!</v>
      </c>
      <c r="BH334" s="339" t="e">
        <f>BH71/-BH76</f>
        <v>#DIV/0!</v>
      </c>
      <c r="BI334" s="339" t="e">
        <f>BI71/-BI76</f>
        <v>#DIV/0!</v>
      </c>
      <c r="BJ334" s="339" t="e">
        <f>BJ71/-BJ76</f>
        <v>#DIV/0!</v>
      </c>
      <c r="BL334" s="339" t="e">
        <f>BL71/-BL76</f>
        <v>#DIV/0!</v>
      </c>
      <c r="BM334" s="339" t="e">
        <f>BM71/-BM76</f>
        <v>#DIV/0!</v>
      </c>
      <c r="BN334" s="339" t="e">
        <f>BN71/-BN76</f>
        <v>#DIV/0!</v>
      </c>
      <c r="BO334" s="339" t="e">
        <f>BO71/-BO76</f>
        <v>#DIV/0!</v>
      </c>
      <c r="BQ334" s="339" t="e">
        <f>BQ71/-BQ76</f>
        <v>#DIV/0!</v>
      </c>
      <c r="BR334" s="339" t="e">
        <f>BR71/-BR76</f>
        <v>#DIV/0!</v>
      </c>
      <c r="BS334" s="339" t="e">
        <f>BS71/-BS76</f>
        <v>#DIV/0!</v>
      </c>
      <c r="BT334" s="339" t="e">
        <f>BT71/-BT76</f>
        <v>#DIV/0!</v>
      </c>
      <c r="BV334" s="339" t="e">
        <f>BV71/-BV76</f>
        <v>#DIV/0!</v>
      </c>
      <c r="BW334" s="339" t="e">
        <f>BW71/-BW76</f>
        <v>#DIV/0!</v>
      </c>
      <c r="BX334" s="339" t="e">
        <f>BX71/-BX76</f>
        <v>#DIV/0!</v>
      </c>
      <c r="BY334" s="339" t="e">
        <f>BY71/-BY76</f>
        <v>#DIV/0!</v>
      </c>
      <c r="CA334" s="339" t="e">
        <f>CA71/-CA76</f>
        <v>#DIV/0!</v>
      </c>
      <c r="CB334" s="339" t="e">
        <f>CB71/-CB76</f>
        <v>#DIV/0!</v>
      </c>
      <c r="CC334" s="339" t="e">
        <f>CC71/-CC76</f>
        <v>#DIV/0!</v>
      </c>
      <c r="CD334" s="339" t="e">
        <f>CD71/-CD76</f>
        <v>#DIV/0!</v>
      </c>
      <c r="CF334" s="339" t="e">
        <f>CF71/-CF76</f>
        <v>#DIV/0!</v>
      </c>
      <c r="CG334" s="339" t="e">
        <f>CG71/-CG76</f>
        <v>#DIV/0!</v>
      </c>
      <c r="CH334" s="339" t="e">
        <f>CH71/-CH76</f>
        <v>#DIV/0!</v>
      </c>
      <c r="CI334" s="339" t="e">
        <f>CI71/-CI76</f>
        <v>#DIV/0!</v>
      </c>
      <c r="CK334" s="339" t="e">
        <f>CK71/-CK76</f>
        <v>#DIV/0!</v>
      </c>
      <c r="CL334" s="339" t="e">
        <f>CL71/-CL76</f>
        <v>#DIV/0!</v>
      </c>
      <c r="CM334" s="339" t="e">
        <f>CM71/-CM76</f>
        <v>#DIV/0!</v>
      </c>
      <c r="CN334" s="339" t="e">
        <f>CN71/-CN76</f>
        <v>#DIV/0!</v>
      </c>
      <c r="CP334" s="339" t="e">
        <f>CP71/-CP76</f>
        <v>#DIV/0!</v>
      </c>
      <c r="CQ334" s="339" t="e">
        <f>CQ71/-CQ76</f>
        <v>#DIV/0!</v>
      </c>
      <c r="CR334" s="339" t="e">
        <f>CR71/-CR76</f>
        <v>#DIV/0!</v>
      </c>
      <c r="CS334" s="339" t="e">
        <f>CS71/-CS76</f>
        <v>#DIV/0!</v>
      </c>
      <c r="CU334" s="339" t="e">
        <f>CU71/-CU76</f>
        <v>#DIV/0!</v>
      </c>
      <c r="CV334" s="339" t="e">
        <f>CV71/-CV76</f>
        <v>#DIV/0!</v>
      </c>
      <c r="CW334" s="339" t="e">
        <f>CW71/-CW76</f>
        <v>#DIV/0!</v>
      </c>
      <c r="CX334" s="339" t="e">
        <f>CX71/-CX76</f>
        <v>#DIV/0!</v>
      </c>
    </row>
    <row r="335" ht="12.75" customFormat="1" customHeight="1" s="333">
      <c r="A335" s="334" t="n"/>
      <c r="B335" s="334" t="n"/>
      <c r="C335" s="333" t="inlineStr">
        <is>
          <t>(EBITDA - CAPEX) / TOTAL INTEREST</t>
        </is>
      </c>
      <c r="D335" s="339">
        <f>(D71-D170)/-D76</f>
        <v>15.7156862745098</v>
      </c>
      <c r="E335" s="339">
        <f>(E71-E170)/-E76</f>
        <v>11.6967071057192</v>
      </c>
      <c r="F335" s="339">
        <f>(F71-F170)/-F76</f>
        <v>10.3912087912088</v>
      </c>
      <c r="G335" s="339">
        <f>(G71-G170)/-G76</f>
        <v>35.7557603686636</v>
      </c>
      <c r="I335" s="339">
        <f>(I71-I170)/-I76</f>
        <v>16.8690228690229</v>
      </c>
      <c r="J335" s="339">
        <f>(J71-J170)/-J76</f>
        <v>15.3981693363844</v>
      </c>
      <c r="K335" s="339">
        <f>(K71-K170)/-K76</f>
        <v>12.6740196078431</v>
      </c>
      <c r="L335" s="339">
        <f>(L71-L170)/-L76</f>
        <v>10.3850574712644</v>
      </c>
      <c r="N335" s="339">
        <f>(N71-N170)/-N76</f>
        <v>13.6881720430108</v>
      </c>
      <c r="O335" s="339">
        <f>(O71-O170)/-O76</f>
        <v>14.1493670886076</v>
      </c>
      <c r="P335" s="339">
        <f>(P71-P170)/-P76</f>
        <v>2.30060120240481</v>
      </c>
      <c r="Q335" s="339">
        <f>(Q71-Q170)/-Q76</f>
        <v>4.51823416506718</v>
      </c>
      <c r="S335" s="339">
        <f>(S71-S170)/-S76</f>
        <v>8.21302816901408</v>
      </c>
      <c r="T335" s="339">
        <f>(T71-T170)/-T76</f>
        <v>9.05709023941068</v>
      </c>
      <c r="U335" s="339">
        <f>(U71-U170)/-U76</f>
        <v>6.05594405594406</v>
      </c>
      <c r="V335" s="339">
        <f>(V71-V170)/-V76</f>
        <v>6.796875</v>
      </c>
      <c r="X335" s="339">
        <f>(X71-X170)/-X76</f>
        <v>10.3065326633166</v>
      </c>
      <c r="Y335" s="339">
        <f>(Y71-Y170)/-Y76</f>
        <v>10.0897666068223</v>
      </c>
      <c r="Z335" s="339">
        <f>(Z71-Z170)/-Z76</f>
        <v>7.91935483870968</v>
      </c>
      <c r="AA335" s="339">
        <f>(AA71-AA170)/-AA76</f>
        <v>7.45242070116862</v>
      </c>
      <c r="AC335" s="339">
        <f>(AC71-AC170)/-AC76</f>
        <v>11.3044315992293</v>
      </c>
      <c r="AD335" s="339">
        <f>(AD71-AD170)/-AD76</f>
        <v>4.7173579109063</v>
      </c>
      <c r="AE335" s="339">
        <f>(AE71-AE170)/-AE76</f>
        <v>3.50088809946714</v>
      </c>
      <c r="AF335" s="339">
        <f>(AF71-AF170)/-AF76</f>
        <v>4.83076923076923</v>
      </c>
      <c r="AH335" s="339">
        <f>(AH71-AH170)/-AH76</f>
        <v>10.081881533101</v>
      </c>
      <c r="AI335" s="339">
        <f>(AI71-AI170)/-AI76</f>
        <v>34.2335766423358</v>
      </c>
      <c r="AJ335" s="339" t="e">
        <f>(AJ71-AJ170)/-AJ76</f>
        <v>#DIV/0!</v>
      </c>
      <c r="AK335" s="339" t="e">
        <f>(AK71-AK170)/-AK76</f>
        <v>#DIV/0!</v>
      </c>
      <c r="AM335" s="339" t="e">
        <f>(AM71-AM170)/-AM76</f>
        <v>#DIV/0!</v>
      </c>
      <c r="AN335" s="339" t="e">
        <f>(AN71-AN170)/-AN76</f>
        <v>#DIV/0!</v>
      </c>
      <c r="AO335" s="339" t="e">
        <f>(AO71-AO170)/-AO76</f>
        <v>#DIV/0!</v>
      </c>
      <c r="AP335" s="339" t="e">
        <f>(AP71-AP170)/-AP76</f>
        <v>#DIV/0!</v>
      </c>
      <c r="AR335" s="339" t="e">
        <f>(AR71-AR170)/-AR76</f>
        <v>#DIV/0!</v>
      </c>
      <c r="AS335" s="339" t="e">
        <f>(AS71-AS170)/-AS76</f>
        <v>#DIV/0!</v>
      </c>
      <c r="AT335" s="339" t="e">
        <f>(AT71-AT170)/-AT76</f>
        <v>#DIV/0!</v>
      </c>
      <c r="AU335" s="339" t="e">
        <f>(AU71-AU170)/-AU76</f>
        <v>#DIV/0!</v>
      </c>
      <c r="AW335" s="339" t="e">
        <f>(AW71-AW170)/-AW76</f>
        <v>#DIV/0!</v>
      </c>
      <c r="AX335" s="339" t="e">
        <f>(AX71-AX170)/-AX76</f>
        <v>#DIV/0!</v>
      </c>
      <c r="AY335" s="339" t="e">
        <f>(AY71-AY170)/-AY76</f>
        <v>#DIV/0!</v>
      </c>
      <c r="AZ335" s="339" t="e">
        <f>(AZ71-AZ170)/-AZ76</f>
        <v>#DIV/0!</v>
      </c>
      <c r="BB335" s="339" t="e">
        <f>(BB71-BB170)/-BB76</f>
        <v>#DIV/0!</v>
      </c>
      <c r="BC335" s="339" t="e">
        <f>(BC71-BC170)/-BC76</f>
        <v>#DIV/0!</v>
      </c>
      <c r="BD335" s="339" t="e">
        <f>(BD71-BD170)/-BD76</f>
        <v>#DIV/0!</v>
      </c>
      <c r="BE335" s="339" t="e">
        <f>(BE71-BE170)/-BE76</f>
        <v>#DIV/0!</v>
      </c>
      <c r="BG335" s="339" t="e">
        <f>(BG71-BG170)/-BG76</f>
        <v>#DIV/0!</v>
      </c>
      <c r="BH335" s="339" t="e">
        <f>(BH71-BH170)/-BH76</f>
        <v>#DIV/0!</v>
      </c>
      <c r="BI335" s="339" t="e">
        <f>(BI71-BI170)/-BI76</f>
        <v>#DIV/0!</v>
      </c>
      <c r="BJ335" s="339" t="e">
        <f>(BJ71-BJ170)/-BJ76</f>
        <v>#DIV/0!</v>
      </c>
      <c r="BL335" s="339" t="e">
        <f>(BL71-BL170)/-BL76</f>
        <v>#DIV/0!</v>
      </c>
      <c r="BM335" s="339" t="e">
        <f>(BM71-BM170)/-BM76</f>
        <v>#DIV/0!</v>
      </c>
      <c r="BN335" s="339" t="e">
        <f>(BN71-BN170)/-BN76</f>
        <v>#DIV/0!</v>
      </c>
      <c r="BO335" s="339" t="e">
        <f>(BO71-BO170)/-BO76</f>
        <v>#DIV/0!</v>
      </c>
      <c r="BQ335" s="339" t="e">
        <f>(BQ71-BQ170)/-BQ76</f>
        <v>#DIV/0!</v>
      </c>
      <c r="BR335" s="339" t="e">
        <f>(BR71-BR170)/-BR76</f>
        <v>#DIV/0!</v>
      </c>
      <c r="BS335" s="339" t="e">
        <f>(BS71-BS170)/-BS76</f>
        <v>#DIV/0!</v>
      </c>
      <c r="BT335" s="339" t="e">
        <f>(BT71-BT170)/-BT76</f>
        <v>#DIV/0!</v>
      </c>
      <c r="BV335" s="339" t="e">
        <f>(BV71-BV170)/-BV76</f>
        <v>#DIV/0!</v>
      </c>
      <c r="BW335" s="339" t="e">
        <f>(BW71-BW170)/-BW76</f>
        <v>#DIV/0!</v>
      </c>
      <c r="BX335" s="339" t="e">
        <f>(BX71-BX170)/-BX76</f>
        <v>#DIV/0!</v>
      </c>
      <c r="BY335" s="339" t="e">
        <f>(BY71-BY170)/-BY76</f>
        <v>#DIV/0!</v>
      </c>
      <c r="CA335" s="339" t="e">
        <f>(CA71-CA170)/-CA76</f>
        <v>#DIV/0!</v>
      </c>
      <c r="CB335" s="339" t="e">
        <f>(CB71-CB170)/-CB76</f>
        <v>#DIV/0!</v>
      </c>
      <c r="CC335" s="339" t="e">
        <f>(CC71-CC170)/-CC76</f>
        <v>#DIV/0!</v>
      </c>
      <c r="CD335" s="339" t="e">
        <f>(CD71-CD170)/-CD76</f>
        <v>#DIV/0!</v>
      </c>
      <c r="CF335" s="339" t="e">
        <f>(CF71-CF170)/-CF76</f>
        <v>#DIV/0!</v>
      </c>
      <c r="CG335" s="339" t="e">
        <f>(CG71-CG170)/-CG76</f>
        <v>#DIV/0!</v>
      </c>
      <c r="CH335" s="339" t="e">
        <f>(CH71-CH170)/-CH76</f>
        <v>#DIV/0!</v>
      </c>
      <c r="CI335" s="339" t="e">
        <f>(CI71-CI170)/-CI76</f>
        <v>#DIV/0!</v>
      </c>
      <c r="CK335" s="339" t="e">
        <f>(CK71-CK170)/-CK76</f>
        <v>#DIV/0!</v>
      </c>
      <c r="CL335" s="339" t="e">
        <f>(CL71-CL170)/-CL76</f>
        <v>#DIV/0!</v>
      </c>
      <c r="CM335" s="339" t="e">
        <f>(CM71-CM170)/-CM76</f>
        <v>#DIV/0!</v>
      </c>
      <c r="CN335" s="339" t="e">
        <f>(CN71-CN170)/-CN76</f>
        <v>#DIV/0!</v>
      </c>
      <c r="CP335" s="339" t="e">
        <f>(CP71-CP170)/-CP76</f>
        <v>#DIV/0!</v>
      </c>
      <c r="CQ335" s="339" t="e">
        <f>(CQ71-CQ170)/-CQ76</f>
        <v>#DIV/0!</v>
      </c>
      <c r="CR335" s="339" t="e">
        <f>(CR71-CR170)/-CR76</f>
        <v>#DIV/0!</v>
      </c>
      <c r="CS335" s="339" t="e">
        <f>(CS71-CS170)/-CS76</f>
        <v>#DIV/0!</v>
      </c>
      <c r="CU335" s="339" t="e">
        <f>(CU71-CU170)/-CU76</f>
        <v>#DIV/0!</v>
      </c>
      <c r="CV335" s="339" t="e">
        <f>(CV71-CV170)/-CV76</f>
        <v>#DIV/0!</v>
      </c>
      <c r="CW335" s="339" t="e">
        <f>(CW71-CW170)/-CW76</f>
        <v>#DIV/0!</v>
      </c>
      <c r="CX335" s="339" t="e">
        <f>(CX71-CX170)/-CX76</f>
        <v>#DIV/0!</v>
      </c>
    </row>
    <row r="336" ht="12.75" customFormat="1" customHeight="1" s="333">
      <c r="A336" s="334" t="n"/>
      <c r="B336" s="334" t="n"/>
      <c r="C336" s="333" t="inlineStr">
        <is>
          <t>TOTAL DEBT / EBITDA LTM</t>
        </is>
      </c>
      <c r="D336" s="339" t="str">
        <f>""</f>
        <v/>
      </c>
      <c r="E336" s="339" t="str">
        <f>""</f>
        <v/>
      </c>
      <c r="F336" s="339" t="str">
        <f>""</f>
        <v/>
      </c>
      <c r="G336" s="339">
        <f>IFERROR(SUM(G214,G215,G216,G219,G237,G240)/(G71+F71+E71+D71),"")</f>
        <v>1.7480118694362</v>
      </c>
      <c r="I336" s="339">
        <f>IFERROR(SUM(I214,I215,I216,I219,I237,I240)/(I71+G71+F71+E71),"")</f>
        <v>1.65970784285917</v>
      </c>
      <c r="J336" s="339">
        <f>IFERROR(SUM(J214,J215,J216,J219,J237,J240)/(J71+I71+G71+F71),"")</f>
        <v>1.54931356397584</v>
      </c>
      <c r="K336" s="339">
        <f>IFERROR(SUM(K214,K215,K216,K219,K237,K240)/(K71+J71+I71+G71),"")</f>
        <v>1.46030347258558</v>
      </c>
      <c r="L336" s="339">
        <f>IFERROR(SUM(L214,L215,L216,L219,L237,L240)/(L71+K71+J71+I71),"")</f>
        <v>1.43631147540984</v>
      </c>
      <c r="N336" s="339">
        <f>IFERROR(SUM(N214,N215,N216,N219,N237,N240)/(N71+L71+K71+J71),"")</f>
        <v>1.7670720566404</v>
      </c>
      <c r="O336" s="339">
        <f>IFERROR(SUM(O214,O215,O216,O219,O237,O240)/(O71+N71+L71+K71),"")</f>
        <v>1.74507025964263</v>
      </c>
      <c r="P336" s="339">
        <f>IFERROR(SUM(P214,P215,P216,P219,P237,P240)/(P71+O71+N71+L71),"")</f>
        <v>1.90919161866177</v>
      </c>
      <c r="Q336" s="339">
        <f>IFERROR(SUM(Q214,Q215,Q216,Q219,Q237,Q240)/(Q71+P71+O71+N71),"")</f>
        <v>1.70570235552864</v>
      </c>
      <c r="S336" s="339">
        <f>IFERROR(SUM(S214,S215,S216,S219,S237,S240)/(S71+Q71+P71+O71),"")</f>
        <v>1.79362292051756</v>
      </c>
      <c r="T336" s="339">
        <f>IFERROR(SUM(T214,T215,T216,T219,T237,T240)/(T71+S71+Q71+P71),"")</f>
        <v>1.77188481043226</v>
      </c>
      <c r="U336" s="339">
        <f>IFERROR(SUM(U214,U215,U216,U219,U237,U240)/(U71+T71+S71+Q71),"")</f>
        <v>1.71922638745728</v>
      </c>
      <c r="V336" s="339">
        <f>IFERROR(SUM(V214,V215,V216,V219,V237,V240)/(V71+U71+T71+S71),"")</f>
        <v>1.41224752347871</v>
      </c>
      <c r="X336" s="339">
        <f>IFERROR(SUM(X214,X215,X216,X219,X237,X240)/(X71+V71+U71+T71),"")</f>
        <v>1.44838863870789</v>
      </c>
      <c r="Y336" s="339">
        <f>IFERROR(SUM(Y214,Y215,Y216,Y219,Y237,Y240)/(Y71+X71+V71+U71),"")</f>
        <v>1.33626686988372</v>
      </c>
      <c r="Z336" s="339">
        <f>IFERROR(SUM(Z214,Z215,Z216,Z219,Z237,Z240)/(Z71+Y71+X71+V71),"")</f>
        <v>1.32429629272293</v>
      </c>
      <c r="AA336" s="339">
        <f>IFERROR(SUM(AA214,AA215,AA216,AA219,AA237,AA240)/(AA71+Z71+Y71+X71),"")</f>
        <v>1.26157226908627</v>
      </c>
      <c r="AC336" s="339">
        <f>IFERROR(SUM(AC214,AC215,AC216,AC219,AC237,AC240)/(AC71+AA71+Z71+Y71),"")</f>
        <v>1.41254433451559</v>
      </c>
      <c r="AD336" s="339">
        <f>IFERROR(SUM(AD214,AD215,AD216,AD219,AD237,AD240)/(AD71+AC71+AA71+Z71),"")</f>
        <v>1.37103912613588</v>
      </c>
      <c r="AE336" s="339">
        <f>IFERROR(SUM(AE214,AE215,AE216,AE219,AE237,AE240)/(AE71+AD71+AC71+AA71),"")</f>
        <v>1.44039054470709</v>
      </c>
      <c r="AF336" s="339">
        <f>IFERROR(SUM(AF214,AF215,AF216,AF219,AF237,AF240)/(AF71+AE71+AD71+AC71),"")</f>
        <v>1.37035522849096</v>
      </c>
      <c r="AH336" s="339">
        <f>IFERROR(SUM(AH214,AH215,AH216,AH219,AH237,AH240)/(AH71+AF71+AE71+AD71),"")</f>
        <v>1.50555332530443</v>
      </c>
      <c r="AI336" s="339">
        <f>IFERROR(SUM(AI214,AI215,AI216,AI219,AI237,AI240)/(AI71+AH71+AF71+AE71),"")</f>
        <v>1.41268232959703</v>
      </c>
      <c r="AJ336" s="339">
        <f>IFERROR(SUM(AJ214,AJ215,AJ216,AJ219,AJ237,AJ240)/(AJ71+AI71+AH71+AF71),"")</f>
        <v>1.80526557147096</v>
      </c>
      <c r="AK336" s="339">
        <f>IFERROR(SUM(AK214,AK215,AK216,AK219,AK237,AK240)/(AK71+AJ71+AI71+AH71),"")</f>
        <v>2.71801640809033</v>
      </c>
      <c r="AM336" s="339">
        <f>IFERROR(SUM(AM214,AM215,AM216,AM219,AM237,AM240)/(AM71+AK71+AJ71+AI71),"")</f>
        <v>5.02877968139465</v>
      </c>
      <c r="AN336" s="339" t="str">
        <f>IFERROR(SUM(AN214,AN215,AN216,AN219,AN237,AN240)/(AN71+AM71+AK71+AJ71),"")</f>
        <v/>
      </c>
      <c r="AO336" s="339" t="str">
        <f>IFERROR(SUM(AO214,AO215,AO216,AO219,AO237,AO240)/(AO71+AN71+AM71+AK71),"")</f>
        <v/>
      </c>
      <c r="AP336" s="339" t="str">
        <f>IFERROR(SUM(AP214,AP215,AP216,AP219,AP237,AP240)/(AP71+AO71+AN71+AM71),"")</f>
        <v/>
      </c>
      <c r="AR336" s="339" t="str">
        <f>IFERROR(SUM(AR214,AR215,AR216,AR219,AR237,AR240)/(AR71+AP71+AO71+AN71),"")</f>
        <v/>
      </c>
      <c r="AS336" s="339" t="str">
        <f>IFERROR(SUM(AS214,AS215,AS216,AS219,AS237,AS240)/(AS71+AR71+AP71+AO71),"")</f>
        <v/>
      </c>
      <c r="AT336" s="339" t="str">
        <f>IFERROR(SUM(AT214,AT215,AT216,AT219,AT237,AT240)/(AT71+AS71+AR71+AP71),"")</f>
        <v/>
      </c>
      <c r="AU336" s="339" t="str">
        <f>IFERROR(SUM(AU214,AU215,AU216,AU219,AU237,AU240)/(AU71+AT71+AS71+AR71),"")</f>
        <v/>
      </c>
      <c r="AW336" s="339" t="str">
        <f>IFERROR(SUM(AW214,AW215,AW216,AW219,AW237,AW240)/(AW71+AU71+AT71+AS71),"")</f>
        <v/>
      </c>
      <c r="AX336" s="339" t="str">
        <f>IFERROR(SUM(AX214,AX215,AX216,AX219,AX237,AX240)/(AX71+AW71+AU71+AT71),"")</f>
        <v/>
      </c>
      <c r="AY336" s="339" t="str">
        <f>IFERROR(SUM(AY214,AY215,AY216,AY219,AY237,AY240)/(AY71+AX71+AW71+AU71),"")</f>
        <v/>
      </c>
      <c r="AZ336" s="339" t="str">
        <f>IFERROR(SUM(AZ214,AZ215,AZ216,AZ219,AZ237,AZ240)/(AZ71+AY71+AX71+AW71),"")</f>
        <v/>
      </c>
      <c r="BB336" s="339" t="str">
        <f>IFERROR(SUM(BB214,BB215,BB216,BB219,BB237,BB240)/(BB71+AZ71+AY71+AX71),"")</f>
        <v/>
      </c>
      <c r="BC336" s="339" t="str">
        <f>IFERROR(SUM(BC214,BC215,BC216,BC219,BC237,BC240)/(BC71+BB71+AZ71+AY71),"")</f>
        <v/>
      </c>
      <c r="BD336" s="339" t="str">
        <f>IFERROR(SUM(BD214,BD215,BD216,BD219,BD237,BD240)/(BD71+BC71+BB71+AZ71),"")</f>
        <v/>
      </c>
      <c r="BE336" s="339" t="str">
        <f>IFERROR(SUM(BE214,BE215,BE216,BE219,BE237,BE240)/(BE71+BD71+BC71+BB71),"")</f>
        <v/>
      </c>
      <c r="BG336" s="339" t="str">
        <f>IFERROR(SUM(BG214,BG215,BG216,BG219,BG237,BG240)/(BG71+BE71+BD71+BC71),"")</f>
        <v/>
      </c>
      <c r="BH336" s="339" t="str">
        <f>IFERROR(SUM(BH214,BH215,BH216,BH219,BH237,BH240)/(BH71+BG71+BE71+BD71),"")</f>
        <v/>
      </c>
      <c r="BI336" s="339" t="str">
        <f>IFERROR(SUM(BI214,BI215,BI216,BI219,BI237,BI240)/(BI71+BH71+BG71+BE71),"")</f>
        <v/>
      </c>
      <c r="BJ336" s="339" t="str">
        <f>IFERROR(SUM(BJ214,BJ215,BJ216,BJ219,BJ237,BJ240)/(BJ71+BI71+BH71+BG71),"")</f>
        <v/>
      </c>
      <c r="BL336" s="339" t="str">
        <f>IFERROR(SUM(BL214,BL215,BL216,BL219,BL237,BL240)/(BL71+BJ71+BI71+BH71),"")</f>
        <v/>
      </c>
      <c r="BM336" s="339" t="str">
        <f>IFERROR(SUM(BM214,BM215,BM216,BM219,BM237,BM240)/(BM71+BL71+BJ71+BI71),"")</f>
        <v/>
      </c>
      <c r="BN336" s="339" t="str">
        <f>IFERROR(SUM(BN214,BN215,BN216,BN219,BN237,BN240)/(BN71+BM71+BL71+BJ71),"")</f>
        <v/>
      </c>
      <c r="BO336" s="339" t="str">
        <f>IFERROR(SUM(BO214,BO215,BO216,BO219,BO237,BO240)/(BO71+BN71+BM71+BL71),"")</f>
        <v/>
      </c>
      <c r="BQ336" s="339" t="str">
        <f>IFERROR(SUM(BQ214,BQ215,BQ216,BQ219,BQ237,BQ240)/(BQ71+BO71+BN71+BM71),"")</f>
        <v/>
      </c>
      <c r="BR336" s="339" t="str">
        <f>IFERROR(SUM(BR214,BR215,BR216,BR219,BR237,BR240)/(BR71+BQ71+BO71+BN71),"")</f>
        <v/>
      </c>
      <c r="BS336" s="339" t="str">
        <f>IFERROR(SUM(BS214,BS215,BS216,BS219,BS237,BS240)/(BS71+BR71+BQ71+BO71),"")</f>
        <v/>
      </c>
      <c r="BT336" s="339" t="str">
        <f>IFERROR(SUM(BT214,BT215,BT216,BT219,BT237,BT240)/(BT71+BS71+BR71+BQ71),"")</f>
        <v/>
      </c>
      <c r="BV336" s="339" t="str">
        <f>IFERROR(SUM(BV214,BV215,BV216,BV219,BV237,BV240)/(BV71+BT71+BS71+BR71),"")</f>
        <v/>
      </c>
      <c r="BW336" s="339" t="str">
        <f>IFERROR(SUM(BW214,BW215,BW216,BW219,BW237,BW240)/(BW71+BV71+BT71+BS71),"")</f>
        <v/>
      </c>
      <c r="BX336" s="339" t="str">
        <f>IFERROR(SUM(BX214,BX215,BX216,BX219,BX237,BX240)/(BX71+BW71+BV71+BT71),"")</f>
        <v/>
      </c>
      <c r="BY336" s="339" t="str">
        <f>IFERROR(SUM(BY214,BY215,BY216,BY219,BY237,BY240)/(BY71+BX71+BW71+BV71),"")</f>
        <v/>
      </c>
      <c r="CA336" s="339" t="str">
        <f>IFERROR(SUM(CA214,CA215,CA216,CA219,CA237,CA240)/(CA71+BY71+BX71+BW71),"")</f>
        <v/>
      </c>
      <c r="CB336" s="339" t="str">
        <f>IFERROR(SUM(CB214,CB215,CB216,CB219,CB237,CB240)/(CB71+CA71+BY71+BX71),"")</f>
        <v/>
      </c>
      <c r="CC336" s="339" t="str">
        <f>IFERROR(SUM(CC214,CC215,CC216,CC219,CC237,CC240)/(CC71+CB71+CA71+BY71),"")</f>
        <v/>
      </c>
      <c r="CD336" s="339" t="str">
        <f>IFERROR(SUM(CD214,CD215,CD216,CD219,CD237,CD240)/(CD71+CC71+CB71+CA71),"")</f>
        <v/>
      </c>
      <c r="CF336" s="339" t="str">
        <f>IFERROR(SUM(CF214,CF215,CF216,CF219,CF237,CF240)/(CF71+CD71+CC71+CB71),"")</f>
        <v/>
      </c>
      <c r="CG336" s="339" t="str">
        <f>IFERROR(SUM(CG214,CG215,CG216,CG219,CG237,CG240)/(CG71+CF71+CD71+CC71),"")</f>
        <v/>
      </c>
      <c r="CH336" s="339" t="str">
        <f>IFERROR(SUM(CH214,CH215,CH216,CH219,CH237,CH240)/(CH71+CG71+CF71+CD71),"")</f>
        <v/>
      </c>
      <c r="CI336" s="339" t="str">
        <f>IFERROR(SUM(CI214,CI215,CI216,CI219,CI237,CI240)/(CI71+CH71+CG71+CF71),"")</f>
        <v/>
      </c>
      <c r="CK336" s="339" t="str">
        <f>IFERROR(SUM(CK214,CK215,CK216,CK219,CK237,CK240)/(CK71+CI71+CH71+CG71),"")</f>
        <v/>
      </c>
      <c r="CL336" s="339" t="str">
        <f>IFERROR(SUM(CL214,CL215,CL216,CL219,CL237,CL240)/(CL71+CK71+CI71+CH71),"")</f>
        <v/>
      </c>
      <c r="CM336" s="339" t="str">
        <f>IFERROR(SUM(CM214,CM215,CM216,CM219,CM237,CM240)/(CM71+CL71+CK71+CI71),"")</f>
        <v/>
      </c>
      <c r="CN336" s="339" t="str">
        <f>IFERROR(SUM(CN214,CN215,CN216,CN219,CN237,CN240)/(CN71+CM71+CL71+CK71),"")</f>
        <v/>
      </c>
      <c r="CP336" s="339" t="str">
        <f>IFERROR(SUM(CP214,CP215,CP216,CP219,CP237,CP240)/(CP71+CN71+CM71+CL71),"")</f>
        <v/>
      </c>
      <c r="CQ336" s="339" t="str">
        <f>IFERROR(SUM(CQ214,CQ215,CQ216,CQ219,CQ237,CQ240)/(CQ71+CP71+CN71+CM71),"")</f>
        <v/>
      </c>
      <c r="CR336" s="339" t="str">
        <f>IFERROR(SUM(CR214,CR215,CR216,CR219,CR237,CR240)/(CR71+CQ71+CP71+CN71),"")</f>
        <v/>
      </c>
      <c r="CS336" s="339" t="str">
        <f>IFERROR(SUM(CS214,CS215,CS216,CS219,CS237,CS240)/(CS71+CR71+CQ71+CP71),"")</f>
        <v/>
      </c>
      <c r="CU336" s="339" t="str">
        <f>IFERROR(SUM(CU214,CU215,CU216,CU219,CU237,CU240)/(CU71+CS71+CR71+CQ71),"")</f>
        <v/>
      </c>
      <c r="CV336" s="339" t="str">
        <f>IFERROR(SUM(CV214,CV215,CV216,CV219,CV237,CV240)/(CV71+CU71+CS71+CR71),"")</f>
        <v/>
      </c>
      <c r="CW336" s="339" t="str">
        <f>IFERROR(SUM(CW214,CW215,CW216,CW219,CW237,CW240)/(CW71+CV71+CU71+CS71),"")</f>
        <v/>
      </c>
      <c r="CX336" s="339" t="str">
        <f>IFERROR(SUM(CX214,CX215,CX216,CX219,CX237,CX240)/(CX71+CW71+CV71+CU71),"")</f>
        <v/>
      </c>
    </row>
    <row r="337" ht="12.75" customFormat="1" customHeight="1" s="333">
      <c r="A337" s="334" t="n"/>
      <c r="B337" s="334" t="n"/>
      <c r="C337" s="333" t="inlineStr">
        <is>
          <t>TOTAL DEBT / TOTAL CAPITALIZATION</t>
        </is>
      </c>
      <c r="D337" s="337">
        <f>SUM(D214+D215+D216+D219+D237+D240)/(SUM(D214+D215+D216+D219+D237+D240)+D273)</f>
        <v>0.487287695873258</v>
      </c>
      <c r="E337" s="337">
        <f>SUM(E214+E215+E216+E219+E237+E240)/(SUM(E214+E215+E216+E219+E237+E240)+E273)</f>
        <v>0.441826093531955</v>
      </c>
      <c r="F337" s="337">
        <f>SUM(F214+F215+F216+F219+F237+F240)/(SUM(F214+F215+F216+F219+F237+F240)+F273)</f>
        <v>0.419187829388416</v>
      </c>
      <c r="G337" s="337">
        <f>SUM(G214+G215+G216+G219+G237+G240)/(SUM(G214+G215+G216+G219+G237+G240)+G273)</f>
        <v>0.402269887120234</v>
      </c>
      <c r="I337" s="337">
        <f>SUM(I214+I215+I216+I219+I237+I240)/(SUM(I214+I215+I216+I219+I237+I240)+I273)</f>
        <v>0.408881590440586</v>
      </c>
      <c r="J337" s="337">
        <f>SUM(J214+J215+J216+J219+J237+J240)/(SUM(J214+J215+J216+J219+J237+J240)+J273)</f>
        <v>0.393067368846349</v>
      </c>
      <c r="K337" s="337">
        <f>SUM(K214+K215+K216+K219+K237+K240)/(SUM(K214+K215+K216+K219+K237+K240)+K273)</f>
        <v>0.368800639844212</v>
      </c>
      <c r="L337" s="337">
        <f>SUM(L214+L215+L216+L219+L237+L240)/(SUM(L214+L215+L216+L219+L237+L240)+L273)</f>
        <v>0.363900041533989</v>
      </c>
      <c r="N337" s="337">
        <f>SUM(N214+N215+N216+N219+N237+N240)/(SUM(N214+N215+N216+N219+N237+N240)+N273)</f>
        <v>0.418910779184743</v>
      </c>
      <c r="O337" s="337">
        <f>SUM(O214+O215+O216+O219+O237+O240)/(SUM(O214+O215+O216+O219+O237+O240)+O273)</f>
        <v>0.412819250078658</v>
      </c>
      <c r="P337" s="337">
        <f>SUM(P214+P215+P216+P219+P237+P240)/(SUM(P214+P215+P216+P219+P237+P240)+P273)</f>
        <v>0.428700373839746</v>
      </c>
      <c r="Q337" s="337">
        <f>SUM(Q214+Q215+Q216+Q219+Q237+Q240)/(SUM(Q214+Q215+Q216+Q219+Q237+Q240)+Q273)</f>
        <v>0.389174133116128</v>
      </c>
      <c r="S337" s="337">
        <f>SUM(S214+S215+S216+S219+S237+S240)/(SUM(S214+S215+S216+S219+S237+S240)+S273)</f>
        <v>0.422853449152419</v>
      </c>
      <c r="T337" s="337">
        <f>SUM(T214+T215+T216+T219+T237+T240)/(SUM(T214+T215+T216+T219+T237+T240)+T273)</f>
        <v>0.406902910063913</v>
      </c>
      <c r="U337" s="337">
        <f>SUM(U214+U215+U216+U219+U237+U240)/(SUM(U214+U215+U216+U219+U237+U240)+U273)</f>
        <v>0.424828409029975</v>
      </c>
      <c r="V337" s="337">
        <f>SUM(V214+V215+V216+V219+V237+V240)/(SUM(V214+V215+V216+V219+V237+V240)+V273)</f>
        <v>0.377339163194874</v>
      </c>
      <c r="X337" s="337">
        <f>SUM(X214+X215+X216+X219+X237+X240)/(SUM(X214+X215+X216+X219+X237+X240)+X273)</f>
        <v>0.394701841466592</v>
      </c>
      <c r="Y337" s="337">
        <f>SUM(Y214+Y215+Y216+Y219+Y237+Y240)/(SUM(Y214+Y215+Y216+Y219+Y237+Y240)+Y273)</f>
        <v>0.374546957899814</v>
      </c>
      <c r="Z337" s="337">
        <f>SUM(Z214+Z215+Z216+Z219+Z237+Z240)/(SUM(Z214+Z215+Z216+Z219+Z237+Z240)+Z273)</f>
        <v>0.367572923431234</v>
      </c>
      <c r="AA337" s="337">
        <f>SUM(AA214+AA215+AA216+AA219+AA237+AA240)/(SUM(AA214+AA215+AA216+AA219+AA237+AA240)+AA273)</f>
        <v>0.353388534778896</v>
      </c>
      <c r="AC337" s="337">
        <f>SUM(AC214+AC215+AC216+AC219+AC237+AC240)/(SUM(AC214+AC215+AC216+AC219+AC237+AC240)+AC273)</f>
        <v>0.40041274208911</v>
      </c>
      <c r="AD337" s="337">
        <f>SUM(AD214+AD215+AD216+AD219+AD237+AD240)/(SUM(AD214+AD215+AD216+AD219+AD237+AD240)+AD273)</f>
        <v>0.375502914324032</v>
      </c>
      <c r="AE337" s="337">
        <f>SUM(AE214+AE215+AE216+AE219+AE237+AE240)/(SUM(AE214+AE215+AE216+AE219+AE237+AE240)+AE273)</f>
        <v>0.375604526794089</v>
      </c>
      <c r="AF337" s="337">
        <f>SUM(AF214+AF215+AF216+AF219+AF237+AF240)/(SUM(AF214+AF215+AF216+AF219+AF237+AF240)+AF273)</f>
        <v>0.362335899684111</v>
      </c>
      <c r="AH337" s="337">
        <f>SUM(AH214+AH215+AH216+AH219+AH237+AH240)/(SUM(AH214+AH215+AH216+AH219+AH237+AH240)+AH273)</f>
        <v>0.400674260005579</v>
      </c>
      <c r="AI337" s="337">
        <f>SUM(AI214+AI215+AI216+AI219+AI237+AI240)/(SUM(AI214+AI215+AI216+AI219+AI237+AI240)+AI273)</f>
        <v>0.389717100895634</v>
      </c>
      <c r="AJ337" s="337">
        <f>SUM(AJ214+AJ215+AJ216+AJ219+AJ237+AJ240)/(SUM(AJ214+AJ215+AJ216+AJ219+AJ237+AJ240)+AJ273)</f>
        <v>0.389198085501102</v>
      </c>
      <c r="AK337" s="337">
        <f>SUM(AK214+AK215+AK216+AK219+AK237+AK240)/(SUM(AK214+AK215+AK216+AK219+AK237+AK240)+AK273)</f>
        <v>0.392011340405466</v>
      </c>
      <c r="AM337" s="337">
        <f>SUM(AM214+AM215+AM216+AM219+AM237+AM240)/(SUM(AM214+AM215+AM216+AM219+AM237+AM240)+AM273)</f>
        <v>0.394865561737755</v>
      </c>
      <c r="AN337" s="337">
        <f>SUM(AN214+AN215+AN216+AN219+AN237+AN240)/(SUM(AN214+AN215+AN216+AN219+AN237+AN240)+AN273)</f>
        <v>0.399604712401402</v>
      </c>
      <c r="AO337" s="337">
        <f>SUM(AO214+AO215+AO216+AO219+AO237+AO240)/(SUM(AO214+AO215+AO216+AO219+AO237+AO240)+AO273)</f>
        <v>0.402570997178761</v>
      </c>
      <c r="AP337" s="337">
        <f>SUM(AP214+AP215+AP216+AP219+AP237+AP240)/(SUM(AP214+AP215+AP216+AP219+AP237+AP240)+AP273)</f>
        <v>0.407498066723904</v>
      </c>
      <c r="AR337" s="337">
        <f>SUM(AR214+AR215+AR216+AR219+AR237+AR240)/(SUM(AR214+AR215+AR216+AR219+AR237+AR240)+AR273)</f>
        <v>0.412547235527281</v>
      </c>
      <c r="AS337" s="337">
        <f>SUM(AS214+AS215+AS216+AS219+AS237+AS240)/(SUM(AS214+AS215+AS216+AS219+AS237+AS240)+AS273)</f>
        <v>0.429734606468847</v>
      </c>
      <c r="AT337" s="337">
        <f>SUM(AT214+AT215+AT216+AT219+AT237+AT240)/(SUM(AT214+AT215+AT216+AT219+AT237+AT240)+AT273)</f>
        <v>0.435353660202575</v>
      </c>
      <c r="AU337" s="337">
        <f>SUM(AU214+AU215+AU216+AU219+AU237+AU240)/(SUM(AU214+AU215+AU216+AU219+AU237+AU240)+AU273)</f>
        <v>0.454538045139337</v>
      </c>
      <c r="AW337" s="337">
        <f>SUM(AW214+AW215+AW216+AW219+AW237+AW240)/(SUM(AW214+AW215+AW216+AW219+AW237+AW240)+AW273)</f>
        <v>0.475491136452449</v>
      </c>
      <c r="AX337" s="337">
        <f>SUM(AX214+AX215+AX216+AX219+AX237+AX240)/(SUM(AX214+AX215+AX216+AX219+AX237+AX240)+AX273)</f>
        <v>0.540796289262944</v>
      </c>
      <c r="AY337" s="337">
        <f>SUM(AY214+AY215+AY216+AY219+AY237+AY240)/(SUM(AY214+AY215+AY216+AY219+AY237+AY240)+AY273)</f>
        <v>0.570718312141292</v>
      </c>
      <c r="AZ337" s="337">
        <f>SUM(AZ214+AZ215+AZ216+AZ219+AZ237+AZ240)/(SUM(AZ214+AZ215+AZ216+AZ219+AZ237+AZ240)+AZ273)</f>
        <v>0.667461227746472</v>
      </c>
      <c r="BB337" s="337">
        <f>SUM(BB214+BB215+BB216+BB219+BB237+BB240)/(SUM(BB214+BB215+BB216+BB219+BB237+BB240)+BB273)</f>
        <v>0.803696453662227</v>
      </c>
      <c r="BC337" s="337">
        <f>SUM(BC214+BC215+BC216+BC219+BC237+BC240)/(SUM(BC214+BC215+BC216+BC219+BC237+BC240)+BC273)</f>
        <v>1.84355802870444</v>
      </c>
      <c r="BD337" s="337">
        <f>SUM(BD214+BD215+BD216+BD219+BD237+BD240)/(SUM(BD214+BD215+BD216+BD219+BD237+BD240)+BD273)</f>
        <v>3.46661486661487</v>
      </c>
      <c r="BE337" s="337">
        <f>SUM(BE214+BE215+BE216+BE219+BE237+BE240)/(SUM(BE214+BE215+BE216+BE219+BE237+BE240)+BE273)</f>
        <v>-2.41922423453711</v>
      </c>
      <c r="BG337" s="337">
        <f>SUM(BG214+BG215+BG216+BG219+BG237+BG240)/(SUM(BG214+BG215+BG216+BG219+BG237+BG240)+BG273)</f>
        <v>-0.896718521793893</v>
      </c>
      <c r="BH337" s="337">
        <f>SUM(BH214+BH215+BH216+BH219+BH237+BH240)/(SUM(BH214+BH215+BH216+BH219+BH237+BH240)+BH273)</f>
        <v>-0.330387689512685</v>
      </c>
      <c r="BI337" s="337">
        <f>SUM(BI214+BI215+BI216+BI219+BI237+BI240)/(SUM(BI214+BI215+BI216+BI219+BI237+BI240)+BI273)</f>
        <v>-0.268199433327856</v>
      </c>
      <c r="BJ337" s="337">
        <f>SUM(BJ214+BJ215+BJ216+BJ219+BJ237+BJ240)/(SUM(BJ214+BJ215+BJ216+BJ219+BJ237+BJ240)+BJ273)</f>
        <v>-0.177300605370177</v>
      </c>
      <c r="BL337" s="337">
        <f>SUM(BL214+BL215+BL216+BL219+BL237+BL240)/(SUM(BL214+BL215+BL216+BL219+BL237+BL240)+BL273)</f>
        <v>-0.132420362378632</v>
      </c>
      <c r="BM337" s="337">
        <f>SUM(BM214+BM215+BM216+BM219+BM237+BM240)/(SUM(BM214+BM215+BM216+BM219+BM237+BM240)+BM273)</f>
        <v>-0.0782564972081738</v>
      </c>
      <c r="BN337" s="337">
        <f>SUM(BN214+BN215+BN216+BN219+BN237+BN240)/(SUM(BN214+BN215+BN216+BN219+BN237+BN240)+BN273)</f>
        <v>-0.0680732334251854</v>
      </c>
      <c r="BO337" s="337">
        <f>SUM(BO214+BO215+BO216+BO219+BO237+BO240)/(SUM(BO214+BO215+BO216+BO219+BO237+BO240)+BO273)</f>
        <v>-0.0502087561285773</v>
      </c>
      <c r="BQ337" s="337">
        <f>SUM(BQ214+BQ215+BQ216+BQ219+BQ237+BQ240)/(SUM(BQ214+BQ215+BQ216+BQ219+BQ237+BQ240)+BQ273)</f>
        <v>-0.0397715083078433</v>
      </c>
      <c r="BR337" s="337">
        <f>SUM(BR214+BR215+BR216+BR219+BR237+BR240)/(SUM(BR214+BR215+BR216+BR219+BR237+BR240)+BR273)</f>
        <v>-0.025367618768922</v>
      </c>
      <c r="BS337" s="337">
        <f>SUM(BS214+BS215+BS216+BS219+BS237+BS240)/(SUM(BS214+BS215+BS216+BS219+BS237+BS240)+BS273)</f>
        <v>-0.0223978628604055</v>
      </c>
      <c r="BT337" s="337">
        <f>SUM(BT214+BT215+BT216+BT219+BT237+BT240)/(SUM(BT214+BT215+BT216+BT219+BT237+BT240)+BT273)</f>
        <v>-0.0169710645163172</v>
      </c>
      <c r="BV337" s="337">
        <f>SUM(BV214+BV215+BV216+BV219+BV237+BV240)/(SUM(BV214+BV215+BV216+BV219+BV237+BV240)+BV273)</f>
        <v>-0.0136611034663802</v>
      </c>
      <c r="BW337" s="337">
        <f>SUM(BW214+BW215+BW216+BW219+BW237+BW240)/(SUM(BW214+BW215+BW216+BW219+BW237+BW240)+BW273)</f>
        <v>-0.008912059678826</v>
      </c>
      <c r="BX337" s="337">
        <f>SUM(BX214+BX215+BX216+BX219+BX237+BX240)/(SUM(BX214+BX215+BX216+BX219+BX237+BX240)+BX273)</f>
        <v>-0.00790612499930594</v>
      </c>
      <c r="BY337" s="337">
        <f>SUM(BY214+BY215+BY216+BY219+BY237+BY240)/(SUM(BY214+BY215+BY216+BY219+BY237+BY240)+BY273)</f>
        <v>-0.00604261768693872</v>
      </c>
      <c r="CA337" s="337">
        <f>SUM(CA214+CA215+CA216+CA219+CA237+CA240)/(SUM(CA214+CA215+CA216+CA219+CA237+CA240)+CA273)</f>
        <v>-0.00489001932026371</v>
      </c>
      <c r="CB337" s="337">
        <f>SUM(CB214+CB215+CB216+CB219+CB237+CB240)/(SUM(CB214+CB215+CB216+CB219+CB237+CB240)+CB273)</f>
        <v>-0.00321475662784457</v>
      </c>
      <c r="CC337" s="337">
        <f>SUM(CC214+CC215+CC216+CC219+CC237+CC240)/(SUM(CC214+CC215+CC216+CC219+CC237+CC240)+CC273)</f>
        <v>-0.00285655101098891</v>
      </c>
      <c r="CD337" s="337">
        <f>SUM(CD214+CD215+CD216+CD219+CD237+CD240)/(SUM(CD214+CD215+CD216+CD219+CD237+CD240)+CD273)</f>
        <v>-0.00218990945300497</v>
      </c>
      <c r="CF337" s="337">
        <f>SUM(CF214+CF215+CF216+CF219+CF237+CF240)/(SUM(CF214+CF215+CF216+CF219+CF237+CF240)+CF273)</f>
        <v>-0.00177554531564515</v>
      </c>
      <c r="CG337" s="337">
        <f>SUM(CG214+CG215+CG216+CG219+CG237+CG240)/(SUM(CG214+CG215+CG216+CG219+CG237+CG240)+CG273)</f>
        <v>-0.0011704723355996</v>
      </c>
      <c r="CH337" s="337">
        <f>SUM(CH214+CH215+CH216+CH219+CH237+CH240)/(SUM(CH214+CH215+CH216+CH219+CH237+CH240)+CH273)</f>
        <v>-0.00104066576858065</v>
      </c>
      <c r="CI337" s="337">
        <f>SUM(CI214+CI215+CI216+CI219+CI237+CI240)/(SUM(CI214+CI215+CI216+CI219+CI237+CI240)+CI273)</f>
        <v>-0.000798676109287458</v>
      </c>
      <c r="CK337" s="337">
        <f>SUM(CK214+CK215+CK216+CK219+CK237+CK240)/(SUM(CK214+CK215+CK216+CK219+CK237+CK240)+CK273)</f>
        <v>-0.000647995454629914</v>
      </c>
      <c r="CL337" s="337">
        <f>SUM(CL214+CL215+CL216+CL219+CL237+CL240)/(SUM(CL214+CL215+CL216+CL219+CL237+CL240)+CL273)</f>
        <v>-0.000427596601495462</v>
      </c>
      <c r="CM337" s="337">
        <f>SUM(CM214+CM215+CM216+CM219+CM237+CM240)/(SUM(CM214+CM215+CM216+CM219+CM237+CM240)+CM273)</f>
        <v>-0.000380256834249095</v>
      </c>
      <c r="CN337" s="337">
        <f>SUM(CN214+CN215+CN216+CN219+CN237+CN240)/(SUM(CN214+CN215+CN216+CN219+CN237+CN240)+CN273)</f>
        <v>-0.000291950887040484</v>
      </c>
      <c r="CP337" s="337">
        <f>SUM(CP214+CP215+CP216+CP219+CP237+CP240)/(SUM(CP214+CP215+CP216+CP219+CP237+CP240)+CP273)</f>
        <v>-0.000236929445648363</v>
      </c>
      <c r="CQ337" s="337">
        <f>SUM(CQ214+CQ215+CQ216+CQ219+CQ237+CQ240)/(SUM(CQ214+CQ215+CQ216+CQ219+CQ237+CQ240)+CQ273)</f>
        <v>-0.000156400843759217</v>
      </c>
      <c r="CR337" s="337">
        <f>SUM(CR214+CR215+CR216+CR219+CR237+CR240)/(SUM(CR214+CR215+CR216+CR219+CR237+CR240)+CR273)</f>
        <v>-0.000139096383559499</v>
      </c>
      <c r="CS337" s="337">
        <f>SUM(CS214+CS215+CS216+CS219+CS237+CS240)/(SUM(CS214+CS215+CS216+CS219+CS237+CS240)+CS273)</f>
        <v>-0.000106809978249678</v>
      </c>
      <c r="CU337" s="337">
        <f>SUM(CU214+CU215+CU216+CU219+CU237+CU240)/(SUM(CU214+CU215+CU216+CU219+CU237+CU240)+CU273)</f>
        <v>-8.66882946684191e-05</v>
      </c>
      <c r="CV337" s="337">
        <f>SUM(CV214+CV215+CV216+CV219+CV237+CV240)/(SUM(CV214+CV215+CV216+CV219+CV237+CV240)+CV273)</f>
        <v>-5.72319090017316e-05</v>
      </c>
      <c r="CW337" s="337">
        <f>SUM(CW214+CW215+CW216+CW219+CW237+CW240)/(SUM(CW214+CW215+CW216+CW219+CW237+CW240)+CW273)</f>
        <v>-5.09011231038502e-05</v>
      </c>
      <c r="CX337" s="337">
        <f>SUM(CX214+CX215+CX216+CX219+CX237+CX240)/(SUM(CX214+CX215+CX216+CX219+CX237+CX240)+CX273)</f>
        <v>-3.90882746698104e-05</v>
      </c>
    </row>
    <row r="338" ht="12.75" customFormat="1" customHeight="1" s="333">
      <c r="A338" s="334" t="n"/>
      <c r="B338" s="334" t="n"/>
      <c r="C338" s="333" t="inlineStr">
        <is>
          <t>NET DEBT / EBITDA LTM (com arrendamentos)</t>
        </is>
      </c>
      <c r="D338" s="339" t="str">
        <f>""</f>
        <v/>
      </c>
      <c r="E338" s="339" t="str">
        <f>""</f>
        <v/>
      </c>
      <c r="F338" s="339" t="str">
        <f>""</f>
        <v/>
      </c>
      <c r="G338" s="339">
        <f>IFERROR((SUM(G214,G215,G216,G219,G237,G240)-G146)/(G71+F71+E71+D71),"")</f>
        <v>1.22157270029674</v>
      </c>
      <c r="I338" s="339">
        <f>IFERROR((SUM(I214,I215,I216,I219,I237,I240)-I146)/(I71+G71+F71+E71),"")</f>
        <v>1.01168628563324</v>
      </c>
      <c r="J338" s="339">
        <f>IFERROR((SUM(J214,J215,J216,J219,J237,J240)-J146)/(J71+I71+G71+F71),"")</f>
        <v>0.922432729269632</v>
      </c>
      <c r="K338" s="339">
        <f>IFERROR((SUM(K214,K215,K216,K219,K237,K240)-K146)/(K71+J71+I71+G71),"")</f>
        <v>1.01663316167764</v>
      </c>
      <c r="L338" s="339">
        <f>IFERROR((SUM(L214,L215,L216,L219,L237,L240)-L146)/(L71+K71+J71+I71),"")</f>
        <v>1.03303278688525</v>
      </c>
      <c r="N338" s="339">
        <f>IFERROR((SUM(N214,N215,N216,N219,N237,N240)-N146)/(N71+L71+K71+J71),"")</f>
        <v>1.42971337215942</v>
      </c>
      <c r="O338" s="339">
        <f>IFERROR((SUM(O214,O215,O216,O219,O237,O240)-O146)/(O71+N71+L71+K71),"")</f>
        <v>1.34250852946279</v>
      </c>
      <c r="P338" s="339">
        <f>IFERROR((SUM(P214,P215,P216,P219,P237,P240)-P146)/(P71+O71+N71+L71),"")</f>
        <v>1.54244476799392</v>
      </c>
      <c r="Q338" s="339">
        <f>IFERROR((SUM(Q214,Q215,Q216,Q219,Q237,Q240)-Q146)/(Q71+P71+O71+N71),"")</f>
        <v>1.43078443247378</v>
      </c>
      <c r="S338" s="339">
        <f>IFERROR((SUM(S214,S215,S216,S219,S237,S240)-S146)/(S71+Q71+P71+O71),"")</f>
        <v>1.46783733826248</v>
      </c>
      <c r="T338" s="339">
        <f>IFERROR((SUM(T214,T215,T216,T219,T237,T240)-T146)/(T71+S71+Q71+P71),"")</f>
        <v>1.35266240038638</v>
      </c>
      <c r="U338" s="339">
        <f>IFERROR((SUM(U214,U215,U216,U219,U237,U240)-U146)/(U71+T71+S71+Q71),"")</f>
        <v>1.38954592307275</v>
      </c>
      <c r="V338" s="339">
        <f>IFERROR((SUM(V214,V215,V216,V219,V237,V240)-V146)/(V71+U71+T71+S71),"")</f>
        <v>1.15836871220893</v>
      </c>
      <c r="X338" s="339">
        <f>IFERROR((SUM(X214,X215,X216,X219,X237,X240)-X146)/(X71+V71+U71+T71),"")</f>
        <v>1.21177891267705</v>
      </c>
      <c r="Y338" s="339">
        <f>IFERROR((SUM(Y214,Y215,Y216,Y219,Y237,Y240)-Y146)/(Y71+X71+V71+U71),"")</f>
        <v>1.11966862508911</v>
      </c>
      <c r="Z338" s="339">
        <f>IFERROR((SUM(Z214,Z215,Z216,Z219,Z237,Z240)-Z146)/(Z71+Y71+X71+V71),"")</f>
        <v>1.08191225065728</v>
      </c>
      <c r="AA338" s="339">
        <f>IFERROR((SUM(AA214,AA215,AA216,AA219,AA237,AA240)-AA146)/(AA71+Z71+Y71+X71),"")</f>
        <v>1.04803761725857</v>
      </c>
      <c r="AC338" s="339">
        <f>IFERROR((SUM(AC214,AC215,AC216,AC219,AC237,AC240)-AC146)/(AC71+AA71+Z71+Y71),"")</f>
        <v>1.19528187418331</v>
      </c>
      <c r="AD338" s="339">
        <f>IFERROR((SUM(AD214,AD215,AD216,AD219,AD237,AD240)-AD146)/(AD71+AC71+AA71+Z71),"")</f>
        <v>1.14901831536325</v>
      </c>
      <c r="AE338" s="339">
        <f>IFERROR((SUM(AE214,AE215,AE216,AE219,AE237,AE240)-AE146)/(AE71+AD71+AC71+AA71),"")</f>
        <v>1.19321685508736</v>
      </c>
      <c r="AF338" s="339">
        <f>IFERROR((SUM(AF214,AF215,AF216,AF219,AF237,AF240)-AF146)/(AF71+AE71+AD71+AC71),"")</f>
        <v>1.12671481784319</v>
      </c>
      <c r="AH338" s="339">
        <f>IFERROR((SUM(AH214,AH215,AH216,AH219,AH237,AH240)-AH146)/(AH71+AF71+AE71+AD71),"")</f>
        <v>1.26626968196619</v>
      </c>
      <c r="AI338" s="339">
        <f>IFERROR((SUM(AI214,AI215,AI216,AI219,AI237,AI240)-AI146)/(AI71+AH71+AF71+AE71),"")</f>
        <v>1.1693158550229</v>
      </c>
      <c r="AJ338" s="339">
        <f>IFERROR((SUM(AJ214,AJ215,AJ216,AJ219,AJ237,AJ240)-AJ146)/(AJ71+AI71+AH71+AF71),"")</f>
        <v>2.09403576919964</v>
      </c>
      <c r="AK338" s="339">
        <f>IFERROR((SUM(AK214,AK215,AK216,AK219,AK237,AK240)-AK146)/(AK71+AJ71+AI71+AH71),"")</f>
        <v>3.20290796848347</v>
      </c>
      <c r="AM338" s="339" t="str">
        <f>IFERROR((SUM(AM214,AM215,AM216,AM219,AM237,AM240)-AM146)/(AM71+AK71+AJ71+AI71),"")</f>
        <v/>
      </c>
      <c r="AN338" s="339" t="str">
        <f>IFERROR((SUM(AN214,AN215,AN216,AN219,AN237,AN240)-AN146)/(AN71+AM71+AK71+AJ71),"")</f>
        <v/>
      </c>
      <c r="AO338" s="339" t="str">
        <f>IFERROR((SUM(AO214,AO215,AO216,AO219,AO237,AO240)-AO146)/(AO71+AN71+AM71+AK71),"")</f>
        <v/>
      </c>
      <c r="AP338" s="339" t="str">
        <f>IFERROR((SUM(AP214,AP215,AP216,AP219,AP237,AP240)-AP146)/(AP71+AO71+AN71+AM71),"")</f>
        <v/>
      </c>
      <c r="AR338" s="339" t="str">
        <f>IFERROR((SUM(AR214,AR215,AR216,AR219,AR237,AR240)-AR146)/(AR71+AP71+AO71+AN71),"")</f>
        <v/>
      </c>
      <c r="AS338" s="339" t="str">
        <f>IFERROR((SUM(AS214,AS215,AS216,AS219,AS237,AS240)-AS146)/(AS71+AR71+AP71+AO71),"")</f>
        <v/>
      </c>
      <c r="AT338" s="339" t="str">
        <f>IFERROR((SUM(AT214,AT215,AT216,AT219,AT237,AT240)-AT146)/(AT71+AS71+AR71+AP71),"")</f>
        <v/>
      </c>
      <c r="AU338" s="339" t="str">
        <f>IFERROR((SUM(AU214,AU215,AU216,AU219,AU237,AU240)-AU146)/(AU71+AT71+AS71+AR71),"")</f>
        <v/>
      </c>
      <c r="AW338" s="339" t="str">
        <f>IFERROR((SUM(AW214,AW215,AW216,AW219,AW237,AW240)-AW146)/(AW71+AU71+AT71+AS71),"")</f>
        <v/>
      </c>
      <c r="AX338" s="339" t="str">
        <f>IFERROR((SUM(AX214,AX215,AX216,AX219,AX237,AX240)-AX146)/(AX71+AW71+AU71+AT71),"")</f>
        <v/>
      </c>
      <c r="AY338" s="339" t="str">
        <f>IFERROR((SUM(AY214,AY215,AY216,AY219,AY237,AY240)-AY146)/(AY71+AX71+AW71+AU71),"")</f>
        <v/>
      </c>
      <c r="AZ338" s="339" t="str">
        <f>IFERROR((SUM(AZ214,AZ215,AZ216,AZ219,AZ237,AZ240)-AZ146)/(AZ71+AY71+AX71+AW71),"")</f>
        <v/>
      </c>
      <c r="BB338" s="339" t="str">
        <f>IFERROR((SUM(BB214,BB215,BB216,BB219,BB237,BB240)-BB146)/(BB71+AZ71+AY71+AX71),"")</f>
        <v/>
      </c>
      <c r="BC338" s="339" t="str">
        <f>IFERROR((SUM(BC214,BC215,BC216,BC219,BC237,BC240)-BC146)/(BC71+BB71+AZ71+AY71),"")</f>
        <v/>
      </c>
      <c r="BD338" s="339" t="str">
        <f>IFERROR((SUM(BD214,BD215,BD216,BD219,BD237,BD240)-BD146)/(BD71+BC71+BB71+AZ71),"")</f>
        <v/>
      </c>
      <c r="BE338" s="339" t="str">
        <f>IFERROR((SUM(BE214,BE215,BE216,BE219,BE237,BE240)-BE146)/(BE71+BD71+BC71+BB71),"")</f>
        <v/>
      </c>
      <c r="BG338" s="339" t="str">
        <f>IFERROR((SUM(BG214,BG215,BG216,BG219,BG237,BG240)-BG146)/(BG71+BE71+BD71+BC71),"")</f>
        <v/>
      </c>
      <c r="BH338" s="339" t="str">
        <f>IFERROR((SUM(BH214,BH215,BH216,BH219,BH237,BH240)-BH146)/(BH71+BG71+BE71+BD71),"")</f>
        <v/>
      </c>
      <c r="BI338" s="339" t="str">
        <f>IFERROR((SUM(BI214,BI215,BI216,BI219,BI237,BI240)-BI146)/(BI71+BH71+BG71+BE71),"")</f>
        <v/>
      </c>
      <c r="BJ338" s="339" t="str">
        <f>IFERROR((SUM(BJ214,BJ215,BJ216,BJ219,BJ237,BJ240)-BJ146)/(BJ71+BI71+BH71+BG71),"")</f>
        <v/>
      </c>
      <c r="BL338" s="339" t="str">
        <f>IFERROR((SUM(BL214,BL215,BL216,BL219,BL237,BL240)-BL146)/(BL71+BJ71+BI71+BH71),"")</f>
        <v/>
      </c>
      <c r="BM338" s="339" t="str">
        <f>IFERROR((SUM(BM214,BM215,BM216,BM219,BM237,BM240)-BM146)/(BM71+BL71+BJ71+BI71),"")</f>
        <v/>
      </c>
      <c r="BN338" s="339" t="str">
        <f>IFERROR((SUM(BN214,BN215,BN216,BN219,BN237,BN240)-BN146)/(BN71+BM71+BL71+BJ71),"")</f>
        <v/>
      </c>
      <c r="BO338" s="339" t="str">
        <f>IFERROR((SUM(BO214,BO215,BO216,BO219,BO237,BO240)-BO146)/(BO71+BN71+BM71+BL71),"")</f>
        <v/>
      </c>
      <c r="BQ338" s="339" t="str">
        <f>IFERROR((SUM(BQ214,BQ215,BQ216,BQ219,BQ237,BQ240)-BQ146)/(BQ71+BO71+BN71+BM71),"")</f>
        <v/>
      </c>
      <c r="BR338" s="339" t="str">
        <f>IFERROR((SUM(BR214,BR215,BR216,BR219,BR237,BR240)-BR146)/(BR71+BQ71+BO71+BN71),"")</f>
        <v/>
      </c>
      <c r="BS338" s="339" t="str">
        <f>IFERROR((SUM(BS214,BS215,BS216,BS219,BS237,BS240)-BS146)/(BS71+BR71+BQ71+BO71),"")</f>
        <v/>
      </c>
      <c r="BT338" s="339" t="str">
        <f>IFERROR((SUM(BT214,BT215,BT216,BT219,BT237,BT240)-BT146)/(BT71+BS71+BR71+BQ71),"")</f>
        <v/>
      </c>
      <c r="BV338" s="339" t="str">
        <f>IFERROR((SUM(BV214,BV215,BV216,BV219,BV237,BV240)-BV146)/(BV71+BT71+BS71+BR71),"")</f>
        <v/>
      </c>
      <c r="BW338" s="339" t="str">
        <f>IFERROR((SUM(BW214,BW215,BW216,BW219,BW237,BW240)-BW146)/(BW71+BV71+BT71+BS71),"")</f>
        <v/>
      </c>
      <c r="BX338" s="339" t="str">
        <f>IFERROR((SUM(BX214,BX215,BX216,BX219,BX237,BX240)-BX146)/(BX71+BW71+BV71+BT71),"")</f>
        <v/>
      </c>
      <c r="BY338" s="339" t="str">
        <f>IFERROR((SUM(BY214,BY215,BY216,BY219,BY237,BY240)-BY146)/(BY71+BX71+BW71+BV71),"")</f>
        <v/>
      </c>
      <c r="CA338" s="339" t="str">
        <f>IFERROR((SUM(CA214,CA215,CA216,CA219,CA237,CA240)-CA146)/(CA71+BY71+BX71+BW71),"")</f>
        <v/>
      </c>
      <c r="CB338" s="339" t="str">
        <f>IFERROR((SUM(CB214,CB215,CB216,CB219,CB237,CB240)-CB146)/(CB71+CA71+BY71+BX71),"")</f>
        <v/>
      </c>
      <c r="CC338" s="339" t="str">
        <f>IFERROR((SUM(CC214,CC215,CC216,CC219,CC237,CC240)-CC146)/(CC71+CB71+CA71+BY71),"")</f>
        <v/>
      </c>
      <c r="CD338" s="339" t="str">
        <f>IFERROR((SUM(CD214,CD215,CD216,CD219,CD237,CD240)-CD146)/(CD71+CC71+CB71+CA71),"")</f>
        <v/>
      </c>
      <c r="CF338" s="339" t="str">
        <f>IFERROR((SUM(CF214,CF215,CF216,CF219,CF237,CF240)-CF146)/(CF71+CD71+CC71+CB71),"")</f>
        <v/>
      </c>
      <c r="CG338" s="339" t="str">
        <f>IFERROR((SUM(CG214,CG215,CG216,CG219,CG237,CG240)-CG146)/(CG71+CF71+CD71+CC71),"")</f>
        <v/>
      </c>
      <c r="CH338" s="339" t="str">
        <f>IFERROR((SUM(CH214,CH215,CH216,CH219,CH237,CH240)-CH146)/(CH71+CG71+CF71+CD71),"")</f>
        <v/>
      </c>
      <c r="CI338" s="339" t="str">
        <f>IFERROR((SUM(CI214,CI215,CI216,CI219,CI237,CI240)-CI146)/(CI71+CH71+CG71+CF71),"")</f>
        <v/>
      </c>
      <c r="CK338" s="339" t="str">
        <f>IFERROR((SUM(CK214,CK215,CK216,CK219,CK237,CK240)-CK146)/(CK71+CI71+CH71+CG71),"")</f>
        <v/>
      </c>
      <c r="CL338" s="339" t="str">
        <f>IFERROR((SUM(CL214,CL215,CL216,CL219,CL237,CL240)-CL146)/(CL71+CK71+CI71+CH71),"")</f>
        <v/>
      </c>
      <c r="CM338" s="339" t="str">
        <f>IFERROR((SUM(CM214,CM215,CM216,CM219,CM237,CM240)-CM146)/(CM71+CL71+CK71+CI71),"")</f>
        <v/>
      </c>
      <c r="CN338" s="339" t="str">
        <f>IFERROR((SUM(CN214,CN215,CN216,CN219,CN237,CN240)-CN146)/(CN71+CM71+CL71+CK71),"")</f>
        <v/>
      </c>
      <c r="CP338" s="339" t="str">
        <f>IFERROR((SUM(CP214,CP215,CP216,CP219,CP237,CP240)-CP146)/(CP71+CN71+CM71+CL71),"")</f>
        <v/>
      </c>
      <c r="CQ338" s="339" t="str">
        <f>IFERROR((SUM(CQ214,CQ215,CQ216,CQ219,CQ237,CQ240)-CQ146)/(CQ71+CP71+CN71+CM71),"")</f>
        <v/>
      </c>
      <c r="CR338" s="339" t="str">
        <f>IFERROR((SUM(CR214,CR215,CR216,CR219,CR237,CR240)-CR146)/(CR71+CQ71+CP71+CN71),"")</f>
        <v/>
      </c>
      <c r="CS338" s="339" t="str">
        <f>IFERROR((SUM(CS214,CS215,CS216,CS219,CS237,CS240)-CS146)/(CS71+CR71+CQ71+CP71),"")</f>
        <v/>
      </c>
      <c r="CU338" s="339" t="str">
        <f>IFERROR((SUM(CU214,CU215,CU216,CU219,CU237,CU240)-CU146)/(CU71+CS71+CR71+CQ71),"")</f>
        <v/>
      </c>
      <c r="CV338" s="339" t="str">
        <f>IFERROR((SUM(CV214,CV215,CV216,CV219,CV237,CV240)-CV146)/(CV71+CU71+CS71+CR71),"")</f>
        <v/>
      </c>
      <c r="CW338" s="339" t="str">
        <f>IFERROR((SUM(CW214,CW215,CW216,CW219,CW237,CW240)-CW146)/(CW71+CV71+CU71+CS71),"")</f>
        <v/>
      </c>
      <c r="CX338" s="339" t="str">
        <f>IFERROR((SUM(CX214,CX215,CX216,CX219,CX237,CX240)-CX146)/(CX71+CW71+CV71+CU71),"")</f>
        <v/>
      </c>
    </row>
    <row r="339" ht="12.75" customFormat="1" customHeight="1" s="333">
      <c r="A339" s="334" t="n"/>
      <c r="B339" s="334" t="n"/>
      <c r="C339" s="340" t="inlineStr">
        <is>
          <t>NET DEBT (EX IFRS 16) / EBITDA LTM</t>
        </is>
      </c>
      <c r="D339" s="339" t="str">
        <f>""</f>
        <v/>
      </c>
      <c r="E339" s="339" t="str">
        <f>""</f>
        <v/>
      </c>
      <c r="F339" s="339" t="str">
        <f>""</f>
        <v/>
      </c>
      <c r="G339" s="339">
        <f>IFERROR((SUM(G214,G215,G219,G240)-G146)/(G71+F71+E71+D71),"")</f>
        <v>0.795014836795252</v>
      </c>
      <c r="I339" s="339">
        <f>IFERROR((SUM(I214,I215,I219,I240)-I146)/(I71+G71+F71+E71),"")</f>
        <v>0.603857608849809</v>
      </c>
      <c r="J339" s="339">
        <f>IFERROR((SUM(J214,J215,J219,J240)-J146)/(J71+I71+G71+F71),"")</f>
        <v>0.522734761120264</v>
      </c>
      <c r="K339" s="339">
        <f>IFERROR((SUM(K214,K215,K219,K240)-K146)/(K71+J71+I71+G71),"")</f>
        <v>0.615096521906755</v>
      </c>
      <c r="L339" s="339">
        <f>IFERROR((SUM(L214,L215,L219,L240)-L146)/(L71+K71+J71+I71),"")</f>
        <v>0.637076502732241</v>
      </c>
      <c r="N339" s="339">
        <f>IFERROR((SUM(N214,N215,N219,N240)-N146)/(N71+L71+K71+J71),"")</f>
        <v>1.00973506908759</v>
      </c>
      <c r="O339" s="339">
        <f>IFERROR((SUM(O214,O215,O219,O240)-O146)/(O71+N71+L71+K71),"")</f>
        <v>0.920256751286648</v>
      </c>
      <c r="P339" s="339">
        <f>IFERROR((SUM(P214,P215,P219,P240)-P146)/(P71+O71+N71+L71),"")</f>
        <v>1.09568272456796</v>
      </c>
      <c r="Q339" s="339">
        <f>IFERROR((SUM(Q214,Q215,Q219,Q240)-Q146)/(Q71+P71+O71+N71),"")</f>
        <v>0.974946610142479</v>
      </c>
      <c r="S339" s="339">
        <f>IFERROR((SUM(S214,S215,S219,S240)-S146)/(S71+Q71+P71+O71),"")</f>
        <v>1.02375231053604</v>
      </c>
      <c r="T339" s="339">
        <f>IFERROR((SUM(T214,T215,T219,T240)-T146)/(T71+S71+Q71+P71),"")</f>
        <v>0.916475489012316</v>
      </c>
      <c r="U339" s="339">
        <f>IFERROR((SUM(U214,U215,U219,U240)-U146)/(U71+T71+S71+Q71),"")</f>
        <v>1.00189876851299</v>
      </c>
      <c r="V339" s="339">
        <f>IFERROR((SUM(V214,V215,V219,V240)-V146)/(V71+U71+T71+S71),"")</f>
        <v>0.787083494146404</v>
      </c>
      <c r="X339" s="339">
        <f>IFERROR((SUM(X214,X215,X219,X240)-X146)/(X71+V71+U71+T71),"")</f>
        <v>0.85146796145815</v>
      </c>
      <c r="Y339" s="339">
        <f>IFERROR((SUM(Y214,Y215,Y219,Y240)-Y146)/(Y71+X71+V71+U71),"")</f>
        <v>0.768037562378623</v>
      </c>
      <c r="Z339" s="339">
        <f>IFERROR((SUM(Z214,Z215,Z219,Z240)-Z146)/(Z71+Y71+X71+V71),"")</f>
        <v>0.733761065148701</v>
      </c>
      <c r="AA339" s="339">
        <f>IFERROR((SUM(AA214,AA215,AA219,AA240)-AA146)/(AA71+Z71+Y71+X71),"")</f>
        <v>0.709576805841072</v>
      </c>
      <c r="AC339" s="339">
        <f>IFERROR((SUM(AC214,AC215,AC219,AC240)-AC146)/(AC71+AA71+Z71+Y71),"")</f>
        <v>0.860766287100989</v>
      </c>
      <c r="AD339" s="339">
        <f>IFERROR((SUM(AD214,AD215,AD219,AD240)-AD146)/(AD71+AC71+AA71+Z71),"")</f>
        <v>0.801756203211074</v>
      </c>
      <c r="AE339" s="339">
        <f>IFERROR((SUM(AE214,AE215,AE219,AE240)-AE146)/(AE71+AD71+AC71+AA71),"")</f>
        <v>0.835910492385313</v>
      </c>
      <c r="AF339" s="339">
        <f>IFERROR((SUM(AF214,AF215,AF219,AF240)-AF146)/(AF71+AE71+AD71+AC71),"")</f>
        <v>0.77303079858272</v>
      </c>
      <c r="AH339" s="339">
        <f>IFERROR((SUM(AH214,AH215,AH219,AH240)-AH146)/(AH71+AF71+AE71+AD71),"")</f>
        <v>0.90831437619876</v>
      </c>
      <c r="AI339" s="339">
        <f>IFERROR((SUM(AI214,AI215,AI219,AI240)-AI146)/(AI71+AH71+AF71+AE71),"")</f>
        <v>0.820762881810314</v>
      </c>
      <c r="AJ339" s="339">
        <f>IFERROR((SUM(AJ214,AJ215,AJ219,AJ240)-AJ146)/(AJ71+AI71+AH71+AF71),"")</f>
        <v>1.6486202152626</v>
      </c>
      <c r="AK339" s="339">
        <f>IFERROR((SUM(AK214,AK215,AK219,AK240)-AK146)/(AK71+AJ71+AI71+AH71),"")</f>
        <v>2.53228819754691</v>
      </c>
      <c r="AM339" s="339" t="str">
        <f>IFERROR((SUM(AM214,AM215,AM219,AM240)-AM146)/(AM71+AK71+AJ71+AI71),"")</f>
        <v/>
      </c>
      <c r="AN339" s="339" t="str">
        <f>IFERROR((SUM(AN214,AN215,AN219,AN240)-AN146)/(AN71+AM71+AK71+AJ71),"")</f>
        <v/>
      </c>
      <c r="AO339" s="339" t="str">
        <f>IFERROR((SUM(AO214,AO215,AO219,AO240)-AO146)/(AO71+AN71+AM71+AK71),"")</f>
        <v/>
      </c>
      <c r="AP339" s="339" t="str">
        <f>IFERROR((SUM(AP214,AP215,AP219,AP240)-AP146)/(AP71+AO71+AN71+AM71),"")</f>
        <v/>
      </c>
      <c r="AR339" s="339" t="str">
        <f>IFERROR((SUM(AR214,AR215,AR219,AR240)-AR146)/(AR71+AP71+AO71+AN71),"")</f>
        <v/>
      </c>
      <c r="AS339" s="339" t="str">
        <f>IFERROR((SUM(AS214,AS215,AS219,AS240)-AS146)/(AS71+AR71+AP71+AO71),"")</f>
        <v/>
      </c>
      <c r="AT339" s="339" t="str">
        <f>IFERROR((SUM(AT214,AT215,AT219,AT240)-AT146)/(AT71+AS71+AR71+AP71),"")</f>
        <v/>
      </c>
      <c r="AU339" s="339" t="str">
        <f>IFERROR((SUM(AU214,AU215,AU219,AU240)-AU146)/(AU71+AT71+AS71+AR71),"")</f>
        <v/>
      </c>
      <c r="AW339" s="339" t="str">
        <f>IFERROR((SUM(AW214,AW215,AW219,AW240)-AW146)/(AW71+AU71+AT71+AS71),"")</f>
        <v/>
      </c>
      <c r="AX339" s="339" t="str">
        <f>IFERROR((SUM(AX214,AX215,AX219,AX240)-AX146)/(AX71+AW71+AU71+AT71),"")</f>
        <v/>
      </c>
      <c r="AY339" s="339" t="str">
        <f>IFERROR((SUM(AY214,AY215,AY219,AY240)-AY146)/(AY71+AX71+AW71+AU71),"")</f>
        <v/>
      </c>
      <c r="AZ339" s="339" t="str">
        <f>IFERROR((SUM(AZ214,AZ215,AZ219,AZ240)-AZ146)/(AZ71+AY71+AX71+AW71),"")</f>
        <v/>
      </c>
      <c r="BB339" s="339" t="str">
        <f>IFERROR((SUM(BB214,BB215,BB219,BB240)-BB146)/(BB71+AZ71+AY71+AX71),"")</f>
        <v/>
      </c>
      <c r="BC339" s="339" t="str">
        <f>IFERROR((SUM(BC214,BC215,BC219,BC240)-BC146)/(BC71+BB71+AZ71+AY71),"")</f>
        <v/>
      </c>
      <c r="BD339" s="339" t="str">
        <f>IFERROR((SUM(BD214,BD215,BD219,BD240)-BD146)/(BD71+BC71+BB71+AZ71),"")</f>
        <v/>
      </c>
      <c r="BE339" s="339" t="str">
        <f>IFERROR((SUM(BE214,BE215,BE219,BE240)-BE146)/(BE71+BD71+BC71+BB71),"")</f>
        <v/>
      </c>
      <c r="BG339" s="339" t="str">
        <f>IFERROR((SUM(BG214,BG215,BG219,BG240)-BG146)/(BG71+BE71+BD71+BC71),"")</f>
        <v/>
      </c>
      <c r="BH339" s="339" t="str">
        <f>IFERROR((SUM(BH214,BH215,BH219,BH240)-BH146)/(BH71+BG71+BE71+BD71),"")</f>
        <v/>
      </c>
      <c r="BI339" s="339" t="str">
        <f>IFERROR((SUM(BI214,BI215,BI219,BI240)-BI146)/(BI71+BH71+BG71+BE71),"")</f>
        <v/>
      </c>
      <c r="BJ339" s="339" t="str">
        <f>IFERROR((SUM(BJ214,BJ215,BJ219,BJ240)-BJ146)/(BJ71+BI71+BH71+BG71),"")</f>
        <v/>
      </c>
      <c r="BL339" s="339" t="str">
        <f>IFERROR((SUM(BL214,BL215,BL219,BL240)-BL146)/(BL71+BJ71+BI71+BH71),"")</f>
        <v/>
      </c>
      <c r="BM339" s="339" t="str">
        <f>IFERROR((SUM(BM214,BM215,BM219,BM240)-BM146)/(BM71+BL71+BJ71+BI71),"")</f>
        <v/>
      </c>
      <c r="BN339" s="339" t="str">
        <f>IFERROR((SUM(BN214,BN215,BN219,BN240)-BN146)/(BN71+BM71+BL71+BJ71),"")</f>
        <v/>
      </c>
      <c r="BO339" s="339" t="str">
        <f>IFERROR((SUM(BO214,BO215,BO219,BO240)-BO146)/(BO71+BN71+BM71+BL71),"")</f>
        <v/>
      </c>
      <c r="BQ339" s="339" t="str">
        <f>IFERROR((SUM(BQ214,BQ215,BQ219,BQ240)-BQ146)/(BQ71+BO71+BN71+BM71),"")</f>
        <v/>
      </c>
      <c r="BR339" s="339" t="str">
        <f>IFERROR((SUM(BR214,BR215,BR219,BR240)-BR146)/(BR71+BQ71+BO71+BN71),"")</f>
        <v/>
      </c>
      <c r="BS339" s="339" t="str">
        <f>IFERROR((SUM(BS214,BS215,BS219,BS240)-BS146)/(BS71+BR71+BQ71+BO71),"")</f>
        <v/>
      </c>
      <c r="BT339" s="339" t="str">
        <f>IFERROR((SUM(BT214,BT215,BT219,BT240)-BT146)/(BT71+BS71+BR71+BQ71),"")</f>
        <v/>
      </c>
      <c r="BV339" s="339" t="str">
        <f>IFERROR((SUM(BV214,BV215,BV219,BV240)-BV146)/(BV71+BT71+BS71+BR71),"")</f>
        <v/>
      </c>
      <c r="BW339" s="339" t="str">
        <f>IFERROR((SUM(BW214,BW215,BW219,BW240)-BW146)/(BW71+BV71+BT71+BS71),"")</f>
        <v/>
      </c>
      <c r="BX339" s="339" t="str">
        <f>IFERROR((SUM(BX214,BX215,BX219,BX240)-BX146)/(BX71+BW71+BV71+BT71),"")</f>
        <v/>
      </c>
      <c r="BY339" s="339" t="str">
        <f>IFERROR((SUM(BY214,BY215,BY219,BY240)-BY146)/(BY71+BX71+BW71+BV71),"")</f>
        <v/>
      </c>
      <c r="CA339" s="339" t="str">
        <f>IFERROR((SUM(CA214,CA215,CA219,CA240)-CA146)/(CA71+BY71+BX71+BW71),"")</f>
        <v/>
      </c>
      <c r="CB339" s="339" t="str">
        <f>IFERROR((SUM(CB214,CB215,CB219,CB240)-CB146)/(CB71+CA71+BY71+BX71),"")</f>
        <v/>
      </c>
      <c r="CC339" s="339" t="str">
        <f>IFERROR((SUM(CC214,CC215,CC219,CC240)-CC146)/(CC71+CB71+CA71+BY71),"")</f>
        <v/>
      </c>
      <c r="CD339" s="339" t="str">
        <f>IFERROR((SUM(CD214,CD215,CD219,CD240)-CD146)/(CD71+CC71+CB71+CA71),"")</f>
        <v/>
      </c>
      <c r="CF339" s="339" t="str">
        <f>IFERROR((SUM(CF214,CF215,CF219,CF240)-CF146)/(CF71+CD71+CC71+CB71),"")</f>
        <v/>
      </c>
      <c r="CG339" s="339" t="str">
        <f>IFERROR((SUM(CG214,CG215,CG219,CG240)-CG146)/(CG71+CF71+CD71+CC71),"")</f>
        <v/>
      </c>
      <c r="CH339" s="339" t="str">
        <f>IFERROR((SUM(CH214,CH215,CH219,CH240)-CH146)/(CH71+CG71+CF71+CD71),"")</f>
        <v/>
      </c>
      <c r="CI339" s="339" t="str">
        <f>IFERROR((SUM(CI214,CI215,CI219,CI240)-CI146)/(CI71+CH71+CG71+CF71),"")</f>
        <v/>
      </c>
      <c r="CK339" s="339" t="str">
        <f>IFERROR((SUM(CK214,CK215,CK219,CK240)-CK146)/(CK71+CI71+CH71+CG71),"")</f>
        <v/>
      </c>
      <c r="CL339" s="339" t="str">
        <f>IFERROR((SUM(CL214,CL215,CL219,CL240)-CL146)/(CL71+CK71+CI71+CH71),"")</f>
        <v/>
      </c>
      <c r="CM339" s="339" t="str">
        <f>IFERROR((SUM(CM214,CM215,CM219,CM240)-CM146)/(CM71+CL71+CK71+CI71),"")</f>
        <v/>
      </c>
      <c r="CN339" s="339" t="str">
        <f>IFERROR((SUM(CN214,CN215,CN219,CN240)-CN146)/(CN71+CM71+CL71+CK71),"")</f>
        <v/>
      </c>
      <c r="CP339" s="339" t="str">
        <f>IFERROR((SUM(CP214,CP215,CP219,CP240)-CP146)/(CP71+CN71+CM71+CL71),"")</f>
        <v/>
      </c>
      <c r="CQ339" s="339" t="str">
        <f>IFERROR((SUM(CQ214,CQ215,CQ219,CQ240)-CQ146)/(CQ71+CP71+CN71+CM71),"")</f>
        <v/>
      </c>
      <c r="CR339" s="339" t="str">
        <f>IFERROR((SUM(CR214,CR215,CR219,CR240)-CR146)/(CR71+CQ71+CP71+CN71),"")</f>
        <v/>
      </c>
      <c r="CS339" s="339" t="str">
        <f>IFERROR((SUM(CS214,CS215,CS219,CS240)-CS146)/(CS71+CR71+CQ71+CP71),"")</f>
        <v/>
      </c>
      <c r="CU339" s="339" t="str">
        <f>IFERROR((SUM(CU214,CU215,CU219,CU240)-CU146)/(CU71+CS71+CR71+CQ71),"")</f>
        <v/>
      </c>
      <c r="CV339" s="339" t="str">
        <f>IFERROR((SUM(CV214,CV215,CV219,CV240)-CV146)/(CV71+CU71+CS71+CR71),"")</f>
        <v/>
      </c>
      <c r="CW339" s="339" t="str">
        <f>IFERROR((SUM(CW214,CW215,CW219,CW240)-CW146)/(CW71+CV71+CU71+CS71),"")</f>
        <v/>
      </c>
      <c r="CX339" s="339" t="str">
        <f>IFERROR((SUM(CX214,CX215,CX219,CX240)-CX146)/(CX71+CW71+CV71+CU71),"")</f>
        <v/>
      </c>
    </row>
    <row r="340" ht="12.75" customFormat="1" customHeight="1" s="333">
      <c r="A340" s="334" t="n"/>
      <c r="B340" s="334" t="n"/>
      <c r="C340" s="333" t="inlineStr">
        <is>
          <t>INTEREST COVERAGE</t>
        </is>
      </c>
      <c r="D340" s="339">
        <f>D75/-D76</f>
        <v>10.243137254902</v>
      </c>
      <c r="E340" s="339">
        <f>E75/-E76</f>
        <v>10.5008665511265</v>
      </c>
      <c r="F340" s="339">
        <f>F75/-F76</f>
        <v>12.6989010989011</v>
      </c>
      <c r="G340" s="339">
        <f>G75/-G76</f>
        <v>12.6428571428571</v>
      </c>
      <c r="I340" s="339">
        <f>I75/-I76</f>
        <v>14.3638253638254</v>
      </c>
      <c r="J340" s="339">
        <f>J75/-J76</f>
        <v>16.8283752860412</v>
      </c>
      <c r="K340" s="339">
        <f>K75/-K76</f>
        <v>14.1960784313725</v>
      </c>
      <c r="L340" s="339">
        <f>L75/-L76</f>
        <v>16.9166666666667</v>
      </c>
      <c r="N340" s="339">
        <f>N75/-N76</f>
        <v>14.2956989247312</v>
      </c>
      <c r="O340" s="339">
        <f>O75/-O76</f>
        <v>17.3518987341772</v>
      </c>
      <c r="P340" s="339">
        <f>P75/-P76</f>
        <v>5.40080160320641</v>
      </c>
      <c r="Q340" s="339">
        <f>Q75/-Q76</f>
        <v>10.6737044145873</v>
      </c>
      <c r="S340" s="339">
        <f>S75/-S76</f>
        <v>10.9859154929577</v>
      </c>
      <c r="T340" s="339">
        <f>T75/-T76</f>
        <v>13.4732965009208</v>
      </c>
      <c r="U340" s="339">
        <f>U75/-U76</f>
        <v>10.8426573426573</v>
      </c>
      <c r="V340" s="339">
        <f>V75/-V76</f>
        <v>12.59375</v>
      </c>
      <c r="X340" s="339">
        <f>X75/-X76</f>
        <v>11.4589614740369</v>
      </c>
      <c r="Y340" s="339">
        <f>Y75/-Y76</f>
        <v>14.2549371633752</v>
      </c>
      <c r="Z340" s="339">
        <f>Z75/-Z76</f>
        <v>13.5241935483871</v>
      </c>
      <c r="AA340" s="339">
        <f>AA75/-AA76</f>
        <v>13.1202003338898</v>
      </c>
      <c r="AC340" s="339">
        <f>AC75/-AC76</f>
        <v>13.747591522158</v>
      </c>
      <c r="AD340" s="339">
        <f>AD75/-AD76</f>
        <v>11.1920122887865</v>
      </c>
      <c r="AE340" s="339">
        <f>AE75/-AE76</f>
        <v>11.8934280639432</v>
      </c>
      <c r="AF340" s="339">
        <f>AF75/-AF76</f>
        <v>14.8854700854701</v>
      </c>
      <c r="AH340" s="339">
        <f>AH75/-AH76</f>
        <v>13.0540069686411</v>
      </c>
      <c r="AI340" s="339">
        <f>AI75/-AI76</f>
        <v>68.4890510948905</v>
      </c>
      <c r="AJ340" s="339" t="e">
        <f>AJ75/-AJ76</f>
        <v>#DIV/0!</v>
      </c>
      <c r="AK340" s="339" t="e">
        <f>AK75/-AK76</f>
        <v>#DIV/0!</v>
      </c>
      <c r="AM340" s="339" t="e">
        <f>AM75/-AM76</f>
        <v>#DIV/0!</v>
      </c>
      <c r="AN340" s="339" t="e">
        <f>AN75/-AN76</f>
        <v>#DIV/0!</v>
      </c>
      <c r="AO340" s="339" t="e">
        <f>AO75/-AO76</f>
        <v>#DIV/0!</v>
      </c>
      <c r="AP340" s="339" t="e">
        <f>AP75/-AP76</f>
        <v>#DIV/0!</v>
      </c>
      <c r="AR340" s="339" t="e">
        <f>AR75/-AR76</f>
        <v>#DIV/0!</v>
      </c>
      <c r="AS340" s="339" t="e">
        <f>AS75/-AS76</f>
        <v>#DIV/0!</v>
      </c>
      <c r="AT340" s="339" t="e">
        <f>AT75/-AT76</f>
        <v>#DIV/0!</v>
      </c>
      <c r="AU340" s="339" t="e">
        <f>AU75/-AU76</f>
        <v>#DIV/0!</v>
      </c>
      <c r="AW340" s="339" t="e">
        <f>AW75/-AW76</f>
        <v>#DIV/0!</v>
      </c>
      <c r="AX340" s="339" t="e">
        <f>AX75/-AX76</f>
        <v>#DIV/0!</v>
      </c>
      <c r="AY340" s="339" t="e">
        <f>AY75/-AY76</f>
        <v>#DIV/0!</v>
      </c>
      <c r="AZ340" s="339" t="e">
        <f>AZ75/-AZ76</f>
        <v>#DIV/0!</v>
      </c>
      <c r="BB340" s="339" t="e">
        <f>BB75/-BB76</f>
        <v>#DIV/0!</v>
      </c>
      <c r="BC340" s="339" t="e">
        <f>BC75/-BC76</f>
        <v>#DIV/0!</v>
      </c>
      <c r="BD340" s="339" t="e">
        <f>BD75/-BD76</f>
        <v>#DIV/0!</v>
      </c>
      <c r="BE340" s="339" t="e">
        <f>BE75/-BE76</f>
        <v>#DIV/0!</v>
      </c>
      <c r="BG340" s="339" t="e">
        <f>BG75/-BG76</f>
        <v>#DIV/0!</v>
      </c>
      <c r="BH340" s="339" t="e">
        <f>BH75/-BH76</f>
        <v>#DIV/0!</v>
      </c>
      <c r="BI340" s="339" t="e">
        <f>BI75/-BI76</f>
        <v>#DIV/0!</v>
      </c>
      <c r="BJ340" s="339" t="e">
        <f>BJ75/-BJ76</f>
        <v>#DIV/0!</v>
      </c>
      <c r="BL340" s="339" t="e">
        <f>BL75/-BL76</f>
        <v>#DIV/0!</v>
      </c>
      <c r="BM340" s="339" t="e">
        <f>BM75/-BM76</f>
        <v>#DIV/0!</v>
      </c>
      <c r="BN340" s="339" t="e">
        <f>BN75/-BN76</f>
        <v>#DIV/0!</v>
      </c>
      <c r="BO340" s="339" t="e">
        <f>BO75/-BO76</f>
        <v>#DIV/0!</v>
      </c>
      <c r="BQ340" s="339" t="e">
        <f>BQ75/-BQ76</f>
        <v>#DIV/0!</v>
      </c>
      <c r="BR340" s="339" t="e">
        <f>BR75/-BR76</f>
        <v>#DIV/0!</v>
      </c>
      <c r="BS340" s="339" t="e">
        <f>BS75/-BS76</f>
        <v>#DIV/0!</v>
      </c>
      <c r="BT340" s="339" t="e">
        <f>BT75/-BT76</f>
        <v>#DIV/0!</v>
      </c>
      <c r="BV340" s="339" t="e">
        <f>BV75/-BV76</f>
        <v>#DIV/0!</v>
      </c>
      <c r="BW340" s="339" t="e">
        <f>BW75/-BW76</f>
        <v>#DIV/0!</v>
      </c>
      <c r="BX340" s="339" t="e">
        <f>BX75/-BX76</f>
        <v>#DIV/0!</v>
      </c>
      <c r="BY340" s="339" t="e">
        <f>BY75/-BY76</f>
        <v>#DIV/0!</v>
      </c>
      <c r="CA340" s="339" t="e">
        <f>CA75/-CA76</f>
        <v>#DIV/0!</v>
      </c>
      <c r="CB340" s="339" t="e">
        <f>CB75/-CB76</f>
        <v>#DIV/0!</v>
      </c>
      <c r="CC340" s="339" t="e">
        <f>CC75/-CC76</f>
        <v>#DIV/0!</v>
      </c>
      <c r="CD340" s="339" t="e">
        <f>CD75/-CD76</f>
        <v>#DIV/0!</v>
      </c>
      <c r="CF340" s="339" t="e">
        <f>CF75/-CF76</f>
        <v>#DIV/0!</v>
      </c>
      <c r="CG340" s="339" t="e">
        <f>CG75/-CG76</f>
        <v>#DIV/0!</v>
      </c>
      <c r="CH340" s="339" t="e">
        <f>CH75/-CH76</f>
        <v>#DIV/0!</v>
      </c>
      <c r="CI340" s="339" t="e">
        <f>CI75/-CI76</f>
        <v>#DIV/0!</v>
      </c>
      <c r="CK340" s="339" t="e">
        <f>CK75/-CK76</f>
        <v>#DIV/0!</v>
      </c>
      <c r="CL340" s="339" t="e">
        <f>CL75/-CL76</f>
        <v>#DIV/0!</v>
      </c>
      <c r="CM340" s="339" t="e">
        <f>CM75/-CM76</f>
        <v>#DIV/0!</v>
      </c>
      <c r="CN340" s="339" t="e">
        <f>CN75/-CN76</f>
        <v>#DIV/0!</v>
      </c>
      <c r="CP340" s="339" t="e">
        <f>CP75/-CP76</f>
        <v>#DIV/0!</v>
      </c>
      <c r="CQ340" s="339" t="e">
        <f>CQ75/-CQ76</f>
        <v>#DIV/0!</v>
      </c>
      <c r="CR340" s="339" t="e">
        <f>CR75/-CR76</f>
        <v>#DIV/0!</v>
      </c>
      <c r="CS340" s="339" t="e">
        <f>CS75/-CS76</f>
        <v>#DIV/0!</v>
      </c>
      <c r="CU340" s="339" t="e">
        <f>CU75/-CU76</f>
        <v>#DIV/0!</v>
      </c>
      <c r="CV340" s="339" t="e">
        <f>CV75/-CV76</f>
        <v>#DIV/0!</v>
      </c>
      <c r="CW340" s="339" t="e">
        <f>CW75/-CW76</f>
        <v>#DIV/0!</v>
      </c>
      <c r="CX340" s="339" t="e">
        <f>CX75/-CX76</f>
        <v>#DIV/0!</v>
      </c>
    </row>
    <row r="341" ht="12.75" customFormat="1" customHeight="1" s="333">
      <c r="A341" s="334" t="n"/>
      <c r="B341" s="334" t="n"/>
    </row>
    <row r="342" ht="12.75" customFormat="1" customHeight="1" s="333">
      <c r="A342" s="334" t="n"/>
      <c r="B342" s="334" t="n"/>
      <c r="C342" s="331" t="inlineStr">
        <is>
          <t>INTERNAL LIQUIDITY</t>
        </is>
      </c>
    </row>
    <row r="343" ht="12.75" customFormat="1" customHeight="1" s="333">
      <c r="A343" s="334" t="n"/>
      <c r="B343" s="334" t="n"/>
      <c r="C343" s="333" t="inlineStr">
        <is>
          <t>CURRENT RATIO</t>
        </is>
      </c>
      <c r="D343" s="339">
        <f>SUM(D146,D147,D151,D155,D156,D157)/SUM(D200,D204,D206,D207)</f>
        <v>0.893365497199769</v>
      </c>
      <c r="E343" s="339">
        <f>SUM(E146,E147,E151,E155,E156,E157)/SUM(E200,E204,E206,E207)</f>
        <v>0.874624897393457</v>
      </c>
      <c r="F343" s="339">
        <f>SUM(F146,F147,F151,F155,F156,F157)/SUM(F200,F204,F206,F207)</f>
        <v>0.89980195114795</v>
      </c>
      <c r="G343" s="339">
        <f>SUM(G146,G147,G151,G155,G156,G157)/SUM(G200,G204,G206,G207)</f>
        <v>1.0253529143898</v>
      </c>
      <c r="I343" s="339">
        <f>SUM(I146,I147,I151,I155,I156,I157)/SUM(I200,I204,I206,I207)</f>
        <v>1.01403397280587</v>
      </c>
      <c r="J343" s="339">
        <f>SUM(J146,J147,J151,J155,J156,J157)/SUM(J200,J204,J206,J207)</f>
        <v>1.01098290543072</v>
      </c>
      <c r="K343" s="339">
        <f>SUM(K146,K147,K151,K155,K156,K157)/SUM(K200,K204,K206,K207)</f>
        <v>0.986351531291611</v>
      </c>
      <c r="L343" s="339">
        <f>SUM(L146,L147,L151,L155,L156,L157)/SUM(L200,L204,L206,L207)</f>
        <v>0.980491757676911</v>
      </c>
      <c r="N343" s="339">
        <f>SUM(N146,N147,N151,N155,N156,N157)/SUM(N200,N204,N206,N207)</f>
        <v>1.03982107380705</v>
      </c>
      <c r="O343" s="339">
        <f>SUM(O146,O147,O151,O155,O156,O157)/SUM(O200,O204,O206,O207)</f>
        <v>1.0203552160999</v>
      </c>
      <c r="P343" s="339">
        <f>SUM(P146,P147,P151,P155,P156,P157)/SUM(P200,P204,P206,P207)</f>
        <v>0.999977190301316</v>
      </c>
      <c r="Q343" s="339">
        <f>SUM(Q146,Q147,Q151,Q155,Q156,Q157)/SUM(Q200,Q204,Q206,Q207)</f>
        <v>0.878055291195655</v>
      </c>
      <c r="S343" s="339">
        <f>SUM(S146,S147,S151,S155,S156,S157)/SUM(S200,S204,S206,S207)</f>
        <v>0.888847377418515</v>
      </c>
      <c r="T343" s="339">
        <f>SUM(T146,T147,T151,T155,T156,T157)/SUM(T200,T204,T206,T207)</f>
        <v>0.908388239853829</v>
      </c>
      <c r="U343" s="339">
        <f>SUM(U146,U147,U151,U155,U156,U157)/SUM(U200,U204,U206,U207)</f>
        <v>0.982034930228424</v>
      </c>
      <c r="V343" s="339">
        <f>SUM(V146,V147,V151,V155,V156,V157)/SUM(V200,V204,V206,V207)</f>
        <v>0.887694421671305</v>
      </c>
      <c r="X343" s="339">
        <f>SUM(X146,X147,X151,X155,X156,X157)/SUM(X200,X204,X206,X207)</f>
        <v>0.883797653958944</v>
      </c>
      <c r="Y343" s="339">
        <f>SUM(Y146,Y147,Y151,Y155,Y156,Y157)/SUM(Y200,Y204,Y206,Y207)</f>
        <v>0.858919810950077</v>
      </c>
      <c r="Z343" s="339">
        <f>SUM(Z146,Z147,Z151,Z155,Z156,Z157)/SUM(Z200,Z204,Z206,Z207)</f>
        <v>0.922654044531234</v>
      </c>
      <c r="AA343" s="339">
        <f>SUM(AA146,AA147,AA151,AA155,AA156,AA157)/SUM(AA200,AA204,AA206,AA207)</f>
        <v>0.888603093302318</v>
      </c>
      <c r="AC343" s="339">
        <f>SUM(AC146,AC147,AC151,AC155,AC156,AC157)/SUM(AC200,AC204,AC206,AC207)</f>
        <v>0.875159485719894</v>
      </c>
      <c r="AD343" s="339">
        <f>SUM(AD146,AD147,AD151,AD155,AD156,AD157)/SUM(AD200,AD204,AD206,AD207)</f>
        <v>0.871412182115618</v>
      </c>
      <c r="AE343" s="339">
        <f>SUM(AE146,AE147,AE151,AE155,AE156,AE157)/SUM(AE200,AE204,AE206,AE207)</f>
        <v>0.909055333802927</v>
      </c>
      <c r="AF343" s="339">
        <f>SUM(AF146,AF147,AF151,AF155,AF156,AF157)/SUM(AF200,AF204,AF206,AF207)</f>
        <v>0.88687565308255</v>
      </c>
      <c r="AH343" s="339">
        <f>SUM(AH146,AH147,AH151,AH155,AH156,AH157)/SUM(AH200,AH204,AH206,AH207)</f>
        <v>0.898751423458598</v>
      </c>
      <c r="AI343" s="339">
        <f>SUM(AI146,AI147,AI151,AI155,AI156,AI157)/SUM(AI200,AI204,AI206,AI207)</f>
        <v>0.887322816529455</v>
      </c>
      <c r="AJ343" s="339">
        <f>SUM(AJ146,AJ147,AJ151,AJ155,AJ156,AJ157)/SUM(AJ200,AJ204,AJ206,AJ207)</f>
        <v>-1.28515220542555</v>
      </c>
      <c r="AK343" s="339">
        <f>SUM(AK146,AK147,AK151,AK155,AK156,AK157)/SUM(AK200,AK204,AK206,AK207)</f>
        <v>-1.54069165458687</v>
      </c>
      <c r="AM343" s="339" t="e">
        <f>SUM(AM146,AM147,AM151,AM155,AM156,AM157)/SUM(AM200,AM204,AM206,AM207)</f>
        <v>#DIV/0!</v>
      </c>
      <c r="AN343" s="339" t="e">
        <f>SUM(AN146,AN147,AN151,AN155,AN156,AN157)/SUM(AN200,AN204,AN206,AN207)</f>
        <v>#DIV/0!</v>
      </c>
      <c r="AO343" s="339" t="e">
        <f>SUM(AO146,AO147,AO151,AO155,AO156,AO157)/SUM(AO200,AO204,AO206,AO207)</f>
        <v>#DIV/0!</v>
      </c>
      <c r="AP343" s="339" t="e">
        <f>SUM(AP146,AP147,AP151,AP155,AP156,AP157)/SUM(AP200,AP204,AP206,AP207)</f>
        <v>#DIV/0!</v>
      </c>
      <c r="AR343" s="339" t="e">
        <f>SUM(AR146,AR147,AR151,AR155,AR156,AR157)/SUM(AR200,AR204,AR206,AR207)</f>
        <v>#DIV/0!</v>
      </c>
      <c r="AS343" s="339" t="e">
        <f>SUM(AS146,AS147,AS151,AS155,AS156,AS157)/SUM(AS200,AS204,AS206,AS207)</f>
        <v>#DIV/0!</v>
      </c>
      <c r="AT343" s="339" t="e">
        <f>SUM(AT146,AT147,AT151,AT155,AT156,AT157)/SUM(AT200,AT204,AT206,AT207)</f>
        <v>#DIV/0!</v>
      </c>
      <c r="AU343" s="339" t="e">
        <f>SUM(AU146,AU147,AU151,AU155,AU156,AU157)/SUM(AU200,AU204,AU206,AU207)</f>
        <v>#DIV/0!</v>
      </c>
      <c r="AW343" s="339" t="e">
        <f>SUM(AW146,AW147,AW151,AW155,AW156,AW157)/SUM(AW200,AW204,AW206,AW207)</f>
        <v>#DIV/0!</v>
      </c>
      <c r="AX343" s="339" t="e">
        <f>SUM(AX146,AX147,AX151,AX155,AX156,AX157)/SUM(AX200,AX204,AX206,AX207)</f>
        <v>#DIV/0!</v>
      </c>
      <c r="AY343" s="339" t="e">
        <f>SUM(AY146,AY147,AY151,AY155,AY156,AY157)/SUM(AY200,AY204,AY206,AY207)</f>
        <v>#DIV/0!</v>
      </c>
      <c r="AZ343" s="339" t="e">
        <f>SUM(AZ146,AZ147,AZ151,AZ155,AZ156,AZ157)/SUM(AZ200,AZ204,AZ206,AZ207)</f>
        <v>#DIV/0!</v>
      </c>
      <c r="BB343" s="339" t="e">
        <f>SUM(BB146,BB147,BB151,BB155,BB156,BB157)/SUM(BB200,BB204,BB206,BB207)</f>
        <v>#DIV/0!</v>
      </c>
      <c r="BC343" s="339" t="e">
        <f>SUM(BC146,BC147,BC151,BC155,BC156,BC157)/SUM(BC200,BC204,BC206,BC207)</f>
        <v>#DIV/0!</v>
      </c>
      <c r="BD343" s="339" t="e">
        <f>SUM(BD146,BD147,BD151,BD155,BD156,BD157)/SUM(BD200,BD204,BD206,BD207)</f>
        <v>#DIV/0!</v>
      </c>
      <c r="BE343" s="339" t="e">
        <f>SUM(BE146,BE147,BE151,BE155,BE156,BE157)/SUM(BE200,BE204,BE206,BE207)</f>
        <v>#DIV/0!</v>
      </c>
      <c r="BG343" s="339" t="e">
        <f>SUM(BG146,BG147,BG151,BG155,BG156,BG157)/SUM(BG200,BG204,BG206,BG207)</f>
        <v>#DIV/0!</v>
      </c>
      <c r="BH343" s="339" t="e">
        <f>SUM(BH146,BH147,BH151,BH155,BH156,BH157)/SUM(BH200,BH204,BH206,BH207)</f>
        <v>#DIV/0!</v>
      </c>
      <c r="BI343" s="339" t="e">
        <f>SUM(BI146,BI147,BI151,BI155,BI156,BI157)/SUM(BI200,BI204,BI206,BI207)</f>
        <v>#DIV/0!</v>
      </c>
      <c r="BJ343" s="339" t="e">
        <f>SUM(BJ146,BJ147,BJ151,BJ155,BJ156,BJ157)/SUM(BJ200,BJ204,BJ206,BJ207)</f>
        <v>#DIV/0!</v>
      </c>
      <c r="BL343" s="339" t="e">
        <f>SUM(BL146,BL147,BL151,BL155,BL156,BL157)/SUM(BL200,BL204,BL206,BL207)</f>
        <v>#DIV/0!</v>
      </c>
      <c r="BM343" s="339" t="e">
        <f>SUM(BM146,BM147,BM151,BM155,BM156,BM157)/SUM(BM200,BM204,BM206,BM207)</f>
        <v>#DIV/0!</v>
      </c>
      <c r="BN343" s="339" t="e">
        <f>SUM(BN146,BN147,BN151,BN155,BN156,BN157)/SUM(BN200,BN204,BN206,BN207)</f>
        <v>#DIV/0!</v>
      </c>
      <c r="BO343" s="339" t="e">
        <f>SUM(BO146,BO147,BO151,BO155,BO156,BO157)/SUM(BO200,BO204,BO206,BO207)</f>
        <v>#DIV/0!</v>
      </c>
      <c r="BQ343" s="339" t="e">
        <f>SUM(BQ146,BQ147,BQ151,BQ155,BQ156,BQ157)/SUM(BQ200,BQ204,BQ206,BQ207)</f>
        <v>#DIV/0!</v>
      </c>
      <c r="BR343" s="339" t="e">
        <f>SUM(BR146,BR147,BR151,BR155,BR156,BR157)/SUM(BR200,BR204,BR206,BR207)</f>
        <v>#DIV/0!</v>
      </c>
      <c r="BS343" s="339" t="e">
        <f>SUM(BS146,BS147,BS151,BS155,BS156,BS157)/SUM(BS200,BS204,BS206,BS207)</f>
        <v>#DIV/0!</v>
      </c>
      <c r="BT343" s="339" t="e">
        <f>SUM(BT146,BT147,BT151,BT155,BT156,BT157)/SUM(BT200,BT204,BT206,BT207)</f>
        <v>#DIV/0!</v>
      </c>
      <c r="BV343" s="339" t="e">
        <f>SUM(BV146,BV147,BV151,BV155,BV156,BV157)/SUM(BV200,BV204,BV206,BV207)</f>
        <v>#DIV/0!</v>
      </c>
      <c r="BW343" s="339" t="e">
        <f>SUM(BW146,BW147,BW151,BW155,BW156,BW157)/SUM(BW200,BW204,BW206,BW207)</f>
        <v>#DIV/0!</v>
      </c>
      <c r="BX343" s="339" t="e">
        <f>SUM(BX146,BX147,BX151,BX155,BX156,BX157)/SUM(BX200,BX204,BX206,BX207)</f>
        <v>#DIV/0!</v>
      </c>
      <c r="BY343" s="339" t="e">
        <f>SUM(BY146,BY147,BY151,BY155,BY156,BY157)/SUM(BY200,BY204,BY206,BY207)</f>
        <v>#DIV/0!</v>
      </c>
      <c r="CA343" s="339" t="e">
        <f>SUM(CA146,CA147,CA151,CA155,CA156,CA157)/SUM(CA200,CA204,CA206,CA207)</f>
        <v>#DIV/0!</v>
      </c>
      <c r="CB343" s="339" t="e">
        <f>SUM(CB146,CB147,CB151,CB155,CB156,CB157)/SUM(CB200,CB204,CB206,CB207)</f>
        <v>#DIV/0!</v>
      </c>
      <c r="CC343" s="339" t="e">
        <f>SUM(CC146,CC147,CC151,CC155,CC156,CC157)/SUM(CC200,CC204,CC206,CC207)</f>
        <v>#DIV/0!</v>
      </c>
      <c r="CD343" s="339" t="e">
        <f>SUM(CD146,CD147,CD151,CD155,CD156,CD157)/SUM(CD200,CD204,CD206,CD207)</f>
        <v>#DIV/0!</v>
      </c>
      <c r="CF343" s="339" t="e">
        <f>SUM(CF146,CF147,CF151,CF155,CF156,CF157)/SUM(CF200,CF204,CF206,CF207)</f>
        <v>#DIV/0!</v>
      </c>
      <c r="CG343" s="339" t="e">
        <f>SUM(CG146,CG147,CG151,CG155,CG156,CG157)/SUM(CG200,CG204,CG206,CG207)</f>
        <v>#DIV/0!</v>
      </c>
      <c r="CH343" s="339" t="e">
        <f>SUM(CH146,CH147,CH151,CH155,CH156,CH157)/SUM(CH200,CH204,CH206,CH207)</f>
        <v>#DIV/0!</v>
      </c>
      <c r="CI343" s="339" t="e">
        <f>SUM(CI146,CI147,CI151,CI155,CI156,CI157)/SUM(CI200,CI204,CI206,CI207)</f>
        <v>#DIV/0!</v>
      </c>
      <c r="CK343" s="339" t="e">
        <f>SUM(CK146,CK147,CK151,CK155,CK156,CK157)/SUM(CK200,CK204,CK206,CK207)</f>
        <v>#DIV/0!</v>
      </c>
      <c r="CL343" s="339" t="e">
        <f>SUM(CL146,CL147,CL151,CL155,CL156,CL157)/SUM(CL200,CL204,CL206,CL207)</f>
        <v>#DIV/0!</v>
      </c>
      <c r="CM343" s="339" t="e">
        <f>SUM(CM146,CM147,CM151,CM155,CM156,CM157)/SUM(CM200,CM204,CM206,CM207)</f>
        <v>#DIV/0!</v>
      </c>
      <c r="CN343" s="339" t="e">
        <f>SUM(CN146,CN147,CN151,CN155,CN156,CN157)/SUM(CN200,CN204,CN206,CN207)</f>
        <v>#DIV/0!</v>
      </c>
      <c r="CP343" s="339" t="e">
        <f>SUM(CP146,CP147,CP151,CP155,CP156,CP157)/SUM(CP200,CP204,CP206,CP207)</f>
        <v>#DIV/0!</v>
      </c>
      <c r="CQ343" s="339" t="e">
        <f>SUM(CQ146,CQ147,CQ151,CQ155,CQ156,CQ157)/SUM(CQ200,CQ204,CQ206,CQ207)</f>
        <v>#DIV/0!</v>
      </c>
      <c r="CR343" s="339" t="e">
        <f>SUM(CR146,CR147,CR151,CR155,CR156,CR157)/SUM(CR200,CR204,CR206,CR207)</f>
        <v>#DIV/0!</v>
      </c>
      <c r="CS343" s="339" t="e">
        <f>SUM(CS146,CS147,CS151,CS155,CS156,CS157)/SUM(CS200,CS204,CS206,CS207)</f>
        <v>#DIV/0!</v>
      </c>
      <c r="CU343" s="339" t="e">
        <f>SUM(CU146,CU147,CU151,CU155,CU156,CU157)/SUM(CU200,CU204,CU206,CU207)</f>
        <v>#DIV/0!</v>
      </c>
      <c r="CV343" s="339" t="e">
        <f>SUM(CV146,CV147,CV151,CV155,CV156,CV157)/SUM(CV200,CV204,CV206,CV207)</f>
        <v>#DIV/0!</v>
      </c>
      <c r="CW343" s="339" t="e">
        <f>SUM(CW146,CW147,CW151,CW155,CW156,CW157)/SUM(CW200,CW204,CW206,CW207)</f>
        <v>#DIV/0!</v>
      </c>
      <c r="CX343" s="339" t="e">
        <f>SUM(CX146,CX147,CX151,CX155,CX156,CX157)/SUM(CX200,CX204,CX206,CX207)</f>
        <v>#DIV/0!</v>
      </c>
    </row>
    <row r="344" ht="12.75" customFormat="1" customHeight="1" s="333">
      <c r="A344" s="334" t="n"/>
      <c r="B344" s="334" t="n"/>
      <c r="C344" s="333" t="inlineStr">
        <is>
          <t>CASH RATIO</t>
        </is>
      </c>
      <c r="D344" s="339">
        <f>SUM(D146)/SUM(D200,D204,D206,D207)</f>
        <v>0.210616897315446</v>
      </c>
      <c r="E344" s="339">
        <f>SUM(E146)/SUM(E200,E204,E206,E207)</f>
        <v>0.227497207756382</v>
      </c>
      <c r="F344" s="339">
        <f>SUM(F146)/SUM(F200,F204,F206,F207)</f>
        <v>0.175126531211032</v>
      </c>
      <c r="G344" s="339">
        <f>SUM(G146)/SUM(G200,G204,G206,G207)</f>
        <v>0.201969489981785</v>
      </c>
      <c r="I344" s="339">
        <f>SUM(I146)/SUM(I200,I204,I206,I207)</f>
        <v>0.302471832757411</v>
      </c>
      <c r="J344" s="339">
        <f>SUM(J146)/SUM(J200,J204,J206,J207)</f>
        <v>0.295000839869239</v>
      </c>
      <c r="K344" s="339">
        <f>SUM(K146)/SUM(K200,K204,K206,K207)</f>
        <v>0.191542229408408</v>
      </c>
      <c r="L344" s="339">
        <f>SUM(L146)/SUM(L200,L204,L206,L207)</f>
        <v>0.178513116360074</v>
      </c>
      <c r="N344" s="339">
        <f>SUM(N146)/SUM(N200,N204,N206,N207)</f>
        <v>0.147651593717591</v>
      </c>
      <c r="O344" s="339">
        <f>SUM(O146)/SUM(O200,O204,O206,O207)</f>
        <v>0.168794326241135</v>
      </c>
      <c r="P344" s="339">
        <f>SUM(P146)/SUM(P200,P204,P206,P207)</f>
        <v>0.132147989325061</v>
      </c>
      <c r="Q344" s="339">
        <f>SUM(Q146)/SUM(Q200,Q204,Q206,Q207)</f>
        <v>0.100102133190966</v>
      </c>
      <c r="S344" s="339">
        <f>SUM(S146)/SUM(S200,S204,S206,S207)</f>
        <v>0.119722854328703</v>
      </c>
      <c r="T344" s="339">
        <f>SUM(T146)/SUM(T200,T204,T206,T207)</f>
        <v>0.153789934112175</v>
      </c>
      <c r="U344" s="339">
        <f>SUM(U146)/SUM(U200,U204,U206,U207)</f>
        <v>0.13503244156075</v>
      </c>
      <c r="V344" s="339">
        <f>SUM(V146)/SUM(V200,V204,V206,V207)</f>
        <v>0.113933697446971</v>
      </c>
      <c r="X344" s="339">
        <f>SUM(X146)/SUM(X200,X204,X206,X207)</f>
        <v>0.10773689516129</v>
      </c>
      <c r="Y344" s="339">
        <f>SUM(Y146)/SUM(Y200,Y204,Y206,Y207)</f>
        <v>0.098914422353694</v>
      </c>
      <c r="Z344" s="339">
        <f>SUM(Z146)/SUM(Z200,Z204,Z206,Z207)</f>
        <v>0.106647846666525</v>
      </c>
      <c r="AA344" s="339">
        <f>SUM(AA146)/SUM(AA200,AA204,AA206,AA207)</f>
        <v>0.101063532358895</v>
      </c>
      <c r="AC344" s="339">
        <f>SUM(AC146)/SUM(AC200,AC204,AC206,AC207)</f>
        <v>0.101536515414227</v>
      </c>
      <c r="AD344" s="339">
        <f>SUM(AD146)/SUM(AD200,AD204,AD206,AD207)</f>
        <v>0.100182710488857</v>
      </c>
      <c r="AE344" s="339">
        <f>SUM(AE146)/SUM(AE200,AE204,AE206,AE207)</f>
        <v>0.103525866791892</v>
      </c>
      <c r="AF344" s="339">
        <f>SUM(AF146)/SUM(AF200,AF204,AF206,AF207)</f>
        <v>0.11208986415883</v>
      </c>
      <c r="AH344" s="339">
        <f>SUM(AH146)/SUM(AH200,AH204,AH206,AH207)</f>
        <v>0.109087766390109</v>
      </c>
      <c r="AI344" s="339">
        <f>SUM(AI146)/SUM(AI200,AI204,AI206,AI207)</f>
        <v>0.115328058259226</v>
      </c>
      <c r="AJ344" s="339">
        <f>SUM(AJ146)/SUM(AJ200,AJ204,AJ206,AJ207)</f>
        <v>-2.21681507558501</v>
      </c>
      <c r="AK344" s="339">
        <f>SUM(AK146)/SUM(AK200,AK204,AK206,AK207)</f>
        <v>-2.47235452474632</v>
      </c>
      <c r="AM344" s="339" t="e">
        <f>SUM(AM146)/SUM(AM200,AM204,AM206,AM207)</f>
        <v>#DIV/0!</v>
      </c>
      <c r="AN344" s="339" t="e">
        <f>SUM(AN146)/SUM(AN200,AN204,AN206,AN207)</f>
        <v>#DIV/0!</v>
      </c>
      <c r="AO344" s="339" t="e">
        <f>SUM(AO146)/SUM(AO200,AO204,AO206,AO207)</f>
        <v>#DIV/0!</v>
      </c>
      <c r="AP344" s="339" t="e">
        <f>SUM(AP146)/SUM(AP200,AP204,AP206,AP207)</f>
        <v>#DIV/0!</v>
      </c>
      <c r="AR344" s="339" t="e">
        <f>SUM(AR146)/SUM(AR200,AR204,AR206,AR207)</f>
        <v>#DIV/0!</v>
      </c>
      <c r="AS344" s="339" t="e">
        <f>SUM(AS146)/SUM(AS200,AS204,AS206,AS207)</f>
        <v>#DIV/0!</v>
      </c>
      <c r="AT344" s="339" t="e">
        <f>SUM(AT146)/SUM(AT200,AT204,AT206,AT207)</f>
        <v>#DIV/0!</v>
      </c>
      <c r="AU344" s="339" t="e">
        <f>SUM(AU146)/SUM(AU200,AU204,AU206,AU207)</f>
        <v>#DIV/0!</v>
      </c>
      <c r="AW344" s="339" t="e">
        <f>SUM(AW146)/SUM(AW200,AW204,AW206,AW207)</f>
        <v>#DIV/0!</v>
      </c>
      <c r="AX344" s="339" t="e">
        <f>SUM(AX146)/SUM(AX200,AX204,AX206,AX207)</f>
        <v>#DIV/0!</v>
      </c>
      <c r="AY344" s="339" t="e">
        <f>SUM(AY146)/SUM(AY200,AY204,AY206,AY207)</f>
        <v>#DIV/0!</v>
      </c>
      <c r="AZ344" s="339" t="e">
        <f>SUM(AZ146)/SUM(AZ200,AZ204,AZ206,AZ207)</f>
        <v>#DIV/0!</v>
      </c>
      <c r="BB344" s="339" t="e">
        <f>SUM(BB146)/SUM(BB200,BB204,BB206,BB207)</f>
        <v>#DIV/0!</v>
      </c>
      <c r="BC344" s="339" t="e">
        <f>SUM(BC146)/SUM(BC200,BC204,BC206,BC207)</f>
        <v>#DIV/0!</v>
      </c>
      <c r="BD344" s="339" t="e">
        <f>SUM(BD146)/SUM(BD200,BD204,BD206,BD207)</f>
        <v>#DIV/0!</v>
      </c>
      <c r="BE344" s="339" t="e">
        <f>SUM(BE146)/SUM(BE200,BE204,BE206,BE207)</f>
        <v>#DIV/0!</v>
      </c>
      <c r="BG344" s="339" t="e">
        <f>SUM(BG146)/SUM(BG200,BG204,BG206,BG207)</f>
        <v>#DIV/0!</v>
      </c>
      <c r="BH344" s="339" t="e">
        <f>SUM(BH146)/SUM(BH200,BH204,BH206,BH207)</f>
        <v>#DIV/0!</v>
      </c>
      <c r="BI344" s="339" t="e">
        <f>SUM(BI146)/SUM(BI200,BI204,BI206,BI207)</f>
        <v>#DIV/0!</v>
      </c>
      <c r="BJ344" s="339" t="e">
        <f>SUM(BJ146)/SUM(BJ200,BJ204,BJ206,BJ207)</f>
        <v>#DIV/0!</v>
      </c>
      <c r="BL344" s="339" t="e">
        <f>SUM(BL146)/SUM(BL200,BL204,BL206,BL207)</f>
        <v>#DIV/0!</v>
      </c>
      <c r="BM344" s="339" t="e">
        <f>SUM(BM146)/SUM(BM200,BM204,BM206,BM207)</f>
        <v>#DIV/0!</v>
      </c>
      <c r="BN344" s="339" t="e">
        <f>SUM(BN146)/SUM(BN200,BN204,BN206,BN207)</f>
        <v>#DIV/0!</v>
      </c>
      <c r="BO344" s="339" t="e">
        <f>SUM(BO146)/SUM(BO200,BO204,BO206,BO207)</f>
        <v>#DIV/0!</v>
      </c>
      <c r="BQ344" s="339" t="e">
        <f>SUM(BQ146)/SUM(BQ200,BQ204,BQ206,BQ207)</f>
        <v>#DIV/0!</v>
      </c>
      <c r="BR344" s="339" t="e">
        <f>SUM(BR146)/SUM(BR200,BR204,BR206,BR207)</f>
        <v>#DIV/0!</v>
      </c>
      <c r="BS344" s="339" t="e">
        <f>SUM(BS146)/SUM(BS200,BS204,BS206,BS207)</f>
        <v>#DIV/0!</v>
      </c>
      <c r="BT344" s="339" t="e">
        <f>SUM(BT146)/SUM(BT200,BT204,BT206,BT207)</f>
        <v>#DIV/0!</v>
      </c>
      <c r="BV344" s="339" t="e">
        <f>SUM(BV146)/SUM(BV200,BV204,BV206,BV207)</f>
        <v>#DIV/0!</v>
      </c>
      <c r="BW344" s="339" t="e">
        <f>SUM(BW146)/SUM(BW200,BW204,BW206,BW207)</f>
        <v>#DIV/0!</v>
      </c>
      <c r="BX344" s="339" t="e">
        <f>SUM(BX146)/SUM(BX200,BX204,BX206,BX207)</f>
        <v>#DIV/0!</v>
      </c>
      <c r="BY344" s="339" t="e">
        <f>SUM(BY146)/SUM(BY200,BY204,BY206,BY207)</f>
        <v>#DIV/0!</v>
      </c>
      <c r="CA344" s="339" t="e">
        <f>SUM(CA146)/SUM(CA200,CA204,CA206,CA207)</f>
        <v>#DIV/0!</v>
      </c>
      <c r="CB344" s="339" t="e">
        <f>SUM(CB146)/SUM(CB200,CB204,CB206,CB207)</f>
        <v>#DIV/0!</v>
      </c>
      <c r="CC344" s="339" t="e">
        <f>SUM(CC146)/SUM(CC200,CC204,CC206,CC207)</f>
        <v>#DIV/0!</v>
      </c>
      <c r="CD344" s="339" t="e">
        <f>SUM(CD146)/SUM(CD200,CD204,CD206,CD207)</f>
        <v>#DIV/0!</v>
      </c>
      <c r="CF344" s="339" t="e">
        <f>SUM(CF146)/SUM(CF200,CF204,CF206,CF207)</f>
        <v>#DIV/0!</v>
      </c>
      <c r="CG344" s="339" t="e">
        <f>SUM(CG146)/SUM(CG200,CG204,CG206,CG207)</f>
        <v>#DIV/0!</v>
      </c>
      <c r="CH344" s="339" t="e">
        <f>SUM(CH146)/SUM(CH200,CH204,CH206,CH207)</f>
        <v>#DIV/0!</v>
      </c>
      <c r="CI344" s="339" t="e">
        <f>SUM(CI146)/SUM(CI200,CI204,CI206,CI207)</f>
        <v>#DIV/0!</v>
      </c>
      <c r="CK344" s="339" t="e">
        <f>SUM(CK146)/SUM(CK200,CK204,CK206,CK207)</f>
        <v>#DIV/0!</v>
      </c>
      <c r="CL344" s="339" t="e">
        <f>SUM(CL146)/SUM(CL200,CL204,CL206,CL207)</f>
        <v>#DIV/0!</v>
      </c>
      <c r="CM344" s="339" t="e">
        <f>SUM(CM146)/SUM(CM200,CM204,CM206,CM207)</f>
        <v>#DIV/0!</v>
      </c>
      <c r="CN344" s="339" t="e">
        <f>SUM(CN146)/SUM(CN200,CN204,CN206,CN207)</f>
        <v>#DIV/0!</v>
      </c>
      <c r="CP344" s="339" t="e">
        <f>SUM(CP146)/SUM(CP200,CP204,CP206,CP207)</f>
        <v>#DIV/0!</v>
      </c>
      <c r="CQ344" s="339" t="e">
        <f>SUM(CQ146)/SUM(CQ200,CQ204,CQ206,CQ207)</f>
        <v>#DIV/0!</v>
      </c>
      <c r="CR344" s="339" t="e">
        <f>SUM(CR146)/SUM(CR200,CR204,CR206,CR207)</f>
        <v>#DIV/0!</v>
      </c>
      <c r="CS344" s="339" t="e">
        <f>SUM(CS146)/SUM(CS200,CS204,CS206,CS207)</f>
        <v>#DIV/0!</v>
      </c>
      <c r="CU344" s="339" t="e">
        <f>SUM(CU146)/SUM(CU200,CU204,CU206,CU207)</f>
        <v>#DIV/0!</v>
      </c>
      <c r="CV344" s="339" t="e">
        <f>SUM(CV146)/SUM(CV200,CV204,CV206,CV207)</f>
        <v>#DIV/0!</v>
      </c>
      <c r="CW344" s="339" t="e">
        <f>SUM(CW146)/SUM(CW200,CW204,CW206,CW207)</f>
        <v>#DIV/0!</v>
      </c>
      <c r="CX344" s="339" t="e">
        <f>SUM(CX146)/SUM(CX200,CX204,CX206,CX207)</f>
        <v>#DIV/0!</v>
      </c>
    </row>
    <row r="345" ht="12.75" customFormat="1" customHeight="1" s="333">
      <c r="A345" s="334" t="n"/>
      <c r="B345" s="334" t="n"/>
    </row>
    <row r="346" ht="12.75" customFormat="1" customHeight="1" s="333">
      <c r="A346" s="334" t="n"/>
      <c r="B346" s="334" t="n"/>
      <c r="C346" s="331" t="inlineStr">
        <is>
          <t>OPERATING EFFICIENCY</t>
        </is>
      </c>
    </row>
    <row r="347" ht="12.75" customFormat="1" customHeight="1" s="341">
      <c r="A347" s="338" t="n"/>
      <c r="B347" s="338" t="n"/>
      <c r="C347" s="341" t="inlineStr">
        <is>
          <t>RETURN ON CAPITAL (ROIC)</t>
        </is>
      </c>
      <c r="D347" s="341">
        <f>D349/D352</f>
        <v>0.0304296521428132</v>
      </c>
      <c r="E347" s="341">
        <f>E349/E352</f>
        <v>0.0350984670135711</v>
      </c>
      <c r="F347" s="341">
        <f>F349/F352</f>
        <v>0.0309805051919631</v>
      </c>
      <c r="G347" s="341">
        <f>G349/G352</f>
        <v>0.144368411327385</v>
      </c>
      <c r="H347" s="341">
        <f>H349/H352</f>
        <v>0.116772172598274</v>
      </c>
      <c r="I347" s="338">
        <f>I349/I352</f>
        <v>0.042012165833647</v>
      </c>
      <c r="J347" s="338">
        <f>J349/J352</f>
        <v>0.044882827966105</v>
      </c>
      <c r="K347" s="338">
        <f>K349/K352</f>
        <v>0.0342620864261919</v>
      </c>
      <c r="L347" s="338">
        <f>L349/L352</f>
        <v>0.034483384588893</v>
      </c>
      <c r="M347" s="338">
        <f>M349/M352</f>
        <v>0.149134304535433</v>
      </c>
      <c r="N347" s="338">
        <f>N349/N352</f>
        <v>0.0283591109223167</v>
      </c>
      <c r="O347" s="338">
        <f>O349/O352</f>
        <v>0.0401400345052707</v>
      </c>
      <c r="P347" s="338">
        <f>P349/P352</f>
        <v>0.0257738315451967</v>
      </c>
      <c r="Q347" s="338">
        <f>Q349/Q352</f>
        <v>0.0281568796121237</v>
      </c>
      <c r="R347" s="338">
        <f>R349/R352</f>
        <v>0.105185792676309</v>
      </c>
      <c r="S347" s="338">
        <f>S349/S352</f>
        <v>0.0346266536446773</v>
      </c>
      <c r="T347" s="338">
        <f>T349/T352</f>
        <v>0.0421284469922569</v>
      </c>
      <c r="U347" s="338">
        <f>U349/U352</f>
        <v>0.031803918294132</v>
      </c>
      <c r="V347" s="338">
        <f>V349/V352</f>
        <v>0.0404054319901061</v>
      </c>
      <c r="W347" s="338">
        <f>W349/W352</f>
        <v>0.148354848067503</v>
      </c>
      <c r="X347" s="338">
        <f>X349/X352</f>
        <v>0.0378188881888533</v>
      </c>
      <c r="Y347" s="338">
        <f>Y349/Y352</f>
        <v>0.0441647586524969</v>
      </c>
      <c r="Z347" s="338">
        <f>Z349/Z352</f>
        <v>0.0372204608675583</v>
      </c>
      <c r="AA347" s="338">
        <f>AA349/AA352</f>
        <v>0.0431063873940632</v>
      </c>
      <c r="AB347" s="338">
        <f>AB349/AB352</f>
        <v>0.158296406754288</v>
      </c>
      <c r="AC347" s="338">
        <f>AC349/AC352</f>
        <v>0.038922601431559</v>
      </c>
      <c r="AD347" s="338">
        <f>AD349/AD352</f>
        <v>0.0383823375105598</v>
      </c>
      <c r="AE347" s="338">
        <f>AE349/AE352</f>
        <v>0.0324218985592195</v>
      </c>
      <c r="AF347" s="338">
        <f>AF349/AF352</f>
        <v>0.0411220925827311</v>
      </c>
      <c r="AG347" s="338">
        <f>AG349/AG352</f>
        <v>0.144678519662565</v>
      </c>
      <c r="AH347" s="338">
        <f>AH349/AH352</f>
        <v>0.0364811616786074</v>
      </c>
      <c r="AI347" s="338">
        <f>AI349/AI352</f>
        <v>0.0477313710818103</v>
      </c>
      <c r="AJ347" s="338">
        <f>AJ349/AJ352</f>
        <v>0</v>
      </c>
      <c r="AK347" s="338">
        <f>AK349/AK352</f>
        <v>0</v>
      </c>
      <c r="AL347" s="338">
        <f>AL349/AL352</f>
        <v>0.0718903788692465</v>
      </c>
      <c r="AM347" s="338" t="e">
        <f>AM349/AM352</f>
        <v>#DIV/0!</v>
      </c>
      <c r="AN347" s="338">
        <f>AN349/AN352</f>
        <v>0</v>
      </c>
      <c r="AO347" s="338" t="e">
        <f>AO349/AO352</f>
        <v>#DIV/0!</v>
      </c>
      <c r="AP347" s="338" t="e">
        <f>AP349/AP352</f>
        <v>#DIV/0!</v>
      </c>
      <c r="AQ347" s="338" t="e">
        <f>AQ349/AQ352</f>
        <v>#DIV/0!</v>
      </c>
      <c r="AR347" s="338" t="e">
        <f>AR349/AR352</f>
        <v>#DIV/0!</v>
      </c>
      <c r="AS347" s="338" t="e">
        <f>AS349/AS352</f>
        <v>#DIV/0!</v>
      </c>
      <c r="AT347" s="338" t="e">
        <f>AT349/AT352</f>
        <v>#DIV/0!</v>
      </c>
      <c r="AU347" s="338" t="e">
        <f>AU349/AU352</f>
        <v>#DIV/0!</v>
      </c>
      <c r="AV347" s="338" t="e">
        <f>AV349/AV352</f>
        <v>#DIV/0!</v>
      </c>
      <c r="AW347" s="338" t="e">
        <f>AW349/AW352</f>
        <v>#DIV/0!</v>
      </c>
      <c r="AX347" s="338" t="e">
        <f>AX349/AX352</f>
        <v>#DIV/0!</v>
      </c>
      <c r="AY347" s="338" t="e">
        <f>AY349/AY352</f>
        <v>#DIV/0!</v>
      </c>
      <c r="AZ347" s="338" t="e">
        <f>AZ349/AZ352</f>
        <v>#DIV/0!</v>
      </c>
      <c r="BA347" s="338" t="e">
        <f>BA349/BA352</f>
        <v>#DIV/0!</v>
      </c>
      <c r="BB347" s="338" t="e">
        <f>BB349/BB352</f>
        <v>#DIV/0!</v>
      </c>
      <c r="BC347" s="338" t="e">
        <f>BC349/BC352</f>
        <v>#DIV/0!</v>
      </c>
      <c r="BD347" s="338" t="e">
        <f>BD349/BD352</f>
        <v>#DIV/0!</v>
      </c>
      <c r="BE347" s="338" t="e">
        <f>BE349/BE352</f>
        <v>#DIV/0!</v>
      </c>
      <c r="BF347" s="338" t="e">
        <f>BF349/BF352</f>
        <v>#DIV/0!</v>
      </c>
      <c r="BG347" s="338" t="e">
        <f>BG349/BG352</f>
        <v>#DIV/0!</v>
      </c>
      <c r="BH347" s="338" t="e">
        <f>BH349/BH352</f>
        <v>#DIV/0!</v>
      </c>
      <c r="BI347" s="338" t="e">
        <f>BI349/BI352</f>
        <v>#DIV/0!</v>
      </c>
      <c r="BJ347" s="338" t="e">
        <f>BJ349/BJ352</f>
        <v>#DIV/0!</v>
      </c>
      <c r="BK347" s="338" t="e">
        <f>BK349/BK352</f>
        <v>#DIV/0!</v>
      </c>
      <c r="BL347" s="338" t="e">
        <f>BL349/BL352</f>
        <v>#DIV/0!</v>
      </c>
      <c r="BM347" s="338" t="e">
        <f>BM349/BM352</f>
        <v>#DIV/0!</v>
      </c>
      <c r="BN347" s="338" t="e">
        <f>BN349/BN352</f>
        <v>#DIV/0!</v>
      </c>
      <c r="BO347" s="338" t="e">
        <f>BO349/BO352</f>
        <v>#DIV/0!</v>
      </c>
      <c r="BP347" s="338" t="e">
        <f>BP349/BP352</f>
        <v>#DIV/0!</v>
      </c>
      <c r="BQ347" s="338" t="e">
        <f>BQ349/BQ352</f>
        <v>#DIV/0!</v>
      </c>
      <c r="BR347" s="338" t="e">
        <f>BR349/BR352</f>
        <v>#DIV/0!</v>
      </c>
      <c r="BS347" s="338" t="e">
        <f>BS349/BS352</f>
        <v>#DIV/0!</v>
      </c>
      <c r="BT347" s="338" t="e">
        <f>BT349/BT352</f>
        <v>#DIV/0!</v>
      </c>
      <c r="BU347" s="338" t="e">
        <f>BU349/BU352</f>
        <v>#DIV/0!</v>
      </c>
      <c r="BV347" s="338" t="e">
        <f>BV349/BV352</f>
        <v>#DIV/0!</v>
      </c>
      <c r="BW347" s="338" t="e">
        <f>BW349/BW352</f>
        <v>#DIV/0!</v>
      </c>
      <c r="BX347" s="338" t="e">
        <f>BX349/BX352</f>
        <v>#DIV/0!</v>
      </c>
      <c r="BY347" s="338" t="e">
        <f>BY349/BY352</f>
        <v>#DIV/0!</v>
      </c>
      <c r="BZ347" s="338" t="e">
        <f>BZ349/BZ352</f>
        <v>#DIV/0!</v>
      </c>
      <c r="CA347" s="338" t="e">
        <f>CA349/CA352</f>
        <v>#DIV/0!</v>
      </c>
      <c r="CB347" s="338" t="e">
        <f>CB349/CB352</f>
        <v>#DIV/0!</v>
      </c>
      <c r="CC347" s="338" t="e">
        <f>CC349/CC352</f>
        <v>#DIV/0!</v>
      </c>
      <c r="CD347" s="338" t="e">
        <f>CD349/CD352</f>
        <v>#DIV/0!</v>
      </c>
      <c r="CE347" s="338" t="e">
        <f>CE349/CE352</f>
        <v>#DIV/0!</v>
      </c>
      <c r="CF347" s="338" t="e">
        <f>CF349/CF352</f>
        <v>#DIV/0!</v>
      </c>
      <c r="CG347" s="338" t="e">
        <f>CG349/CG352</f>
        <v>#DIV/0!</v>
      </c>
      <c r="CH347" s="338" t="e">
        <f>CH349/CH352</f>
        <v>#DIV/0!</v>
      </c>
      <c r="CI347" s="338" t="e">
        <f>CI349/CI352</f>
        <v>#DIV/0!</v>
      </c>
      <c r="CJ347" s="338" t="e">
        <f>CJ349/CJ352</f>
        <v>#DIV/0!</v>
      </c>
      <c r="CK347" s="338" t="e">
        <f>CK349/CK352</f>
        <v>#DIV/0!</v>
      </c>
      <c r="CL347" s="338" t="e">
        <f>CL349/CL352</f>
        <v>#DIV/0!</v>
      </c>
      <c r="CM347" s="338" t="e">
        <f>CM349/CM352</f>
        <v>#DIV/0!</v>
      </c>
      <c r="CN347" s="338" t="e">
        <f>CN349/CN352</f>
        <v>#DIV/0!</v>
      </c>
      <c r="CO347" s="338" t="e">
        <f>CO349/CO352</f>
        <v>#DIV/0!</v>
      </c>
      <c r="CP347" s="338" t="e">
        <f>CP349/CP352</f>
        <v>#DIV/0!</v>
      </c>
      <c r="CQ347" s="338" t="e">
        <f>CQ349/CQ352</f>
        <v>#DIV/0!</v>
      </c>
      <c r="CR347" s="338" t="e">
        <f>CR349/CR352</f>
        <v>#DIV/0!</v>
      </c>
      <c r="CS347" s="338" t="e">
        <f>CS349/CS352</f>
        <v>#DIV/0!</v>
      </c>
      <c r="CT347" s="338" t="e">
        <f>CT349/CT352</f>
        <v>#DIV/0!</v>
      </c>
      <c r="CU347" s="338" t="e">
        <f>CU349/CU352</f>
        <v>#DIV/0!</v>
      </c>
      <c r="CV347" s="338" t="e">
        <f>CV349/CV352</f>
        <v>#DIV/0!</v>
      </c>
      <c r="CW347" s="338" t="e">
        <f>CW349/CW352</f>
        <v>#DIV/0!</v>
      </c>
      <c r="CX347" s="338" t="e">
        <f>CX349/CX352</f>
        <v>#DIV/0!</v>
      </c>
      <c r="CY347" s="338" t="e">
        <f>CY349/CY352</f>
        <v>#DIV/0!</v>
      </c>
    </row>
    <row r="348" ht="12.75" customFormat="1" customHeight="1" s="341">
      <c r="A348" s="338" t="n"/>
      <c r="B348" s="338" t="n"/>
      <c r="C348" s="341" t="inlineStr">
        <is>
          <t>RETURN ON CAPITAL (ROIC) - EX GOODWILL</t>
        </is>
      </c>
      <c r="D348" s="341">
        <f>D349/D353</f>
        <v>0.0393630611332522</v>
      </c>
      <c r="E348" s="341">
        <f>E349/E353</f>
        <v>0.0455697701968849</v>
      </c>
      <c r="F348" s="341">
        <f>F349/F353</f>
        <v>0.0398094688288633</v>
      </c>
      <c r="G348" s="341">
        <f>G349/G353</f>
        <v>0.186330299363303</v>
      </c>
      <c r="H348" s="341">
        <f>H349/H353</f>
        <v>0.150712982691197</v>
      </c>
      <c r="I348" s="338">
        <f>I349/I353</f>
        <v>0.0552851176971402</v>
      </c>
      <c r="J348" s="338">
        <f>J349/J353</f>
        <v>0.0591761383716581</v>
      </c>
      <c r="K348" s="338">
        <f>K349/K353</f>
        <v>0.0442970463324688</v>
      </c>
      <c r="L348" s="338">
        <f>L349/L353</f>
        <v>0.0444202270542024</v>
      </c>
      <c r="M348" s="338">
        <f>M349/M353</f>
        <v>0.192109323026494</v>
      </c>
      <c r="N348" s="338">
        <f>N349/N353</f>
        <v>0.0361977947717389</v>
      </c>
      <c r="O348" s="338">
        <f>O349/O353</f>
        <v>0.0512443528863842</v>
      </c>
      <c r="P348" s="338">
        <f>P349/P353</f>
        <v>0.0329555770559733</v>
      </c>
      <c r="Q348" s="338">
        <f>Q349/Q353</f>
        <v>0.0360342633189106</v>
      </c>
      <c r="R348" s="338">
        <f>R349/R353</f>
        <v>0.134613373460405</v>
      </c>
      <c r="S348" s="338">
        <f>S349/S353</f>
        <v>0.0445466177969594</v>
      </c>
      <c r="T348" s="338">
        <f>T349/T353</f>
        <v>0.0537921454465195</v>
      </c>
      <c r="U348" s="338">
        <f>U349/U353</f>
        <v>0.0399763843885351</v>
      </c>
      <c r="V348" s="338">
        <f>V349/V353</f>
        <v>0.0509742731439966</v>
      </c>
      <c r="W348" s="338">
        <f>W349/W353</f>
        <v>0.187159997435017</v>
      </c>
      <c r="X348" s="338">
        <f>X349/X353</f>
        <v>0.0475820319901377</v>
      </c>
      <c r="Y348" s="338">
        <f>Y349/Y353</f>
        <v>0.0555452650614889</v>
      </c>
      <c r="Z348" s="338">
        <f>Z349/Z353</f>
        <v>0.0465581587752359</v>
      </c>
      <c r="AA348" s="338">
        <f>AA349/AA353</f>
        <v>0.0540651094334603</v>
      </c>
      <c r="AB348" s="338">
        <f>AB349/AB353</f>
        <v>0.198539313347163</v>
      </c>
      <c r="AC348" s="338">
        <f>AC349/AC353</f>
        <v>0.0488648157450385</v>
      </c>
      <c r="AD348" s="338">
        <f>AD349/AD353</f>
        <v>0.0479478855407203</v>
      </c>
      <c r="AE348" s="338">
        <f>AE349/AE353</f>
        <v>0.0398791896720044</v>
      </c>
      <c r="AF348" s="338">
        <f>AF349/AF353</f>
        <v>0.0504225627080717</v>
      </c>
      <c r="AG348" s="338">
        <f>AG349/AG353</f>
        <v>0.177400060940969</v>
      </c>
      <c r="AH348" s="338">
        <f>AH349/AH353</f>
        <v>0.0444056806876826</v>
      </c>
      <c r="AI348" s="338">
        <f>AI349/AI353</f>
        <v>0.0579554131847865</v>
      </c>
      <c r="AJ348" s="338">
        <f>AJ349/AJ353</f>
        <v>0</v>
      </c>
      <c r="AK348" s="338">
        <f>AK349/AK353</f>
        <v>0</v>
      </c>
      <c r="AL348" s="338">
        <f>AL349/AL353</f>
        <v>0.0850488940305518</v>
      </c>
      <c r="AM348" s="338" t="e">
        <f>AM349/AM353</f>
        <v>#DIV/0!</v>
      </c>
      <c r="AN348" s="338">
        <f>AN349/AN353</f>
        <v>0</v>
      </c>
      <c r="AO348" s="338" t="e">
        <f>AO349/AO353</f>
        <v>#DIV/0!</v>
      </c>
      <c r="AP348" s="338" t="e">
        <f>AP349/AP353</f>
        <v>#DIV/0!</v>
      </c>
      <c r="AQ348" s="338" t="e">
        <f>AQ349/AQ353</f>
        <v>#DIV/0!</v>
      </c>
      <c r="AR348" s="338" t="e">
        <f>AR349/AR353</f>
        <v>#DIV/0!</v>
      </c>
      <c r="AS348" s="338" t="e">
        <f>AS349/AS353</f>
        <v>#DIV/0!</v>
      </c>
      <c r="AT348" s="338" t="e">
        <f>AT349/AT353</f>
        <v>#DIV/0!</v>
      </c>
      <c r="AU348" s="338" t="e">
        <f>AU349/AU353</f>
        <v>#DIV/0!</v>
      </c>
      <c r="AV348" s="338" t="e">
        <f>AV349/AV353</f>
        <v>#DIV/0!</v>
      </c>
      <c r="AW348" s="338" t="e">
        <f>AW349/AW353</f>
        <v>#DIV/0!</v>
      </c>
      <c r="AX348" s="338" t="e">
        <f>AX349/AX353</f>
        <v>#DIV/0!</v>
      </c>
      <c r="AY348" s="338" t="e">
        <f>AY349/AY353</f>
        <v>#DIV/0!</v>
      </c>
      <c r="AZ348" s="338" t="e">
        <f>AZ349/AZ353</f>
        <v>#DIV/0!</v>
      </c>
      <c r="BA348" s="338" t="e">
        <f>BA349/BA353</f>
        <v>#DIV/0!</v>
      </c>
      <c r="BB348" s="338" t="e">
        <f>BB349/BB353</f>
        <v>#DIV/0!</v>
      </c>
      <c r="BC348" s="338" t="e">
        <f>BC349/BC353</f>
        <v>#DIV/0!</v>
      </c>
      <c r="BD348" s="338" t="e">
        <f>BD349/BD353</f>
        <v>#DIV/0!</v>
      </c>
      <c r="BE348" s="338" t="e">
        <f>BE349/BE353</f>
        <v>#DIV/0!</v>
      </c>
      <c r="BF348" s="338" t="e">
        <f>BF349/BF353</f>
        <v>#DIV/0!</v>
      </c>
      <c r="BG348" s="338" t="e">
        <f>BG349/BG353</f>
        <v>#DIV/0!</v>
      </c>
      <c r="BH348" s="338" t="e">
        <f>BH349/BH353</f>
        <v>#DIV/0!</v>
      </c>
      <c r="BI348" s="338" t="e">
        <f>BI349/BI353</f>
        <v>#DIV/0!</v>
      </c>
      <c r="BJ348" s="338" t="e">
        <f>BJ349/BJ353</f>
        <v>#DIV/0!</v>
      </c>
      <c r="BK348" s="338" t="e">
        <f>BK349/BK353</f>
        <v>#DIV/0!</v>
      </c>
      <c r="BL348" s="338" t="e">
        <f>BL349/BL353</f>
        <v>#DIV/0!</v>
      </c>
      <c r="BM348" s="338" t="e">
        <f>BM349/BM353</f>
        <v>#DIV/0!</v>
      </c>
      <c r="BN348" s="338" t="e">
        <f>BN349/BN353</f>
        <v>#DIV/0!</v>
      </c>
      <c r="BO348" s="338" t="e">
        <f>BO349/BO353</f>
        <v>#DIV/0!</v>
      </c>
      <c r="BP348" s="338" t="e">
        <f>BP349/BP353</f>
        <v>#DIV/0!</v>
      </c>
      <c r="BQ348" s="338" t="e">
        <f>BQ349/BQ353</f>
        <v>#DIV/0!</v>
      </c>
      <c r="BR348" s="338" t="e">
        <f>BR349/BR353</f>
        <v>#DIV/0!</v>
      </c>
      <c r="BS348" s="338" t="e">
        <f>BS349/BS353</f>
        <v>#DIV/0!</v>
      </c>
      <c r="BT348" s="338" t="e">
        <f>BT349/BT353</f>
        <v>#DIV/0!</v>
      </c>
      <c r="BU348" s="338" t="e">
        <f>BU349/BU353</f>
        <v>#DIV/0!</v>
      </c>
      <c r="BV348" s="338" t="e">
        <f>BV349/BV353</f>
        <v>#DIV/0!</v>
      </c>
      <c r="BW348" s="338" t="e">
        <f>BW349/BW353</f>
        <v>#DIV/0!</v>
      </c>
      <c r="BX348" s="338" t="e">
        <f>BX349/BX353</f>
        <v>#DIV/0!</v>
      </c>
      <c r="BY348" s="338" t="e">
        <f>BY349/BY353</f>
        <v>#DIV/0!</v>
      </c>
      <c r="BZ348" s="338" t="e">
        <f>BZ349/BZ353</f>
        <v>#DIV/0!</v>
      </c>
      <c r="CA348" s="338" t="e">
        <f>CA349/CA353</f>
        <v>#DIV/0!</v>
      </c>
      <c r="CB348" s="338" t="e">
        <f>CB349/CB353</f>
        <v>#DIV/0!</v>
      </c>
      <c r="CC348" s="338" t="e">
        <f>CC349/CC353</f>
        <v>#DIV/0!</v>
      </c>
      <c r="CD348" s="338" t="e">
        <f>CD349/CD353</f>
        <v>#DIV/0!</v>
      </c>
      <c r="CE348" s="338" t="e">
        <f>CE349/CE353</f>
        <v>#DIV/0!</v>
      </c>
      <c r="CF348" s="338" t="e">
        <f>CF349/CF353</f>
        <v>#DIV/0!</v>
      </c>
      <c r="CG348" s="338" t="e">
        <f>CG349/CG353</f>
        <v>#DIV/0!</v>
      </c>
      <c r="CH348" s="338" t="e">
        <f>CH349/CH353</f>
        <v>#DIV/0!</v>
      </c>
      <c r="CI348" s="338" t="e">
        <f>CI349/CI353</f>
        <v>#DIV/0!</v>
      </c>
      <c r="CJ348" s="338" t="e">
        <f>CJ349/CJ353</f>
        <v>#DIV/0!</v>
      </c>
      <c r="CK348" s="338" t="e">
        <f>CK349/CK353</f>
        <v>#DIV/0!</v>
      </c>
      <c r="CL348" s="338" t="e">
        <f>CL349/CL353</f>
        <v>#DIV/0!</v>
      </c>
      <c r="CM348" s="338" t="e">
        <f>CM349/CM353</f>
        <v>#DIV/0!</v>
      </c>
      <c r="CN348" s="338" t="e">
        <f>CN349/CN353</f>
        <v>#DIV/0!</v>
      </c>
      <c r="CO348" s="338" t="e">
        <f>CO349/CO353</f>
        <v>#DIV/0!</v>
      </c>
      <c r="CP348" s="338" t="e">
        <f>CP349/CP353</f>
        <v>#DIV/0!</v>
      </c>
      <c r="CQ348" s="338" t="e">
        <f>CQ349/CQ353</f>
        <v>#DIV/0!</v>
      </c>
      <c r="CR348" s="338" t="e">
        <f>CR349/CR353</f>
        <v>#DIV/0!</v>
      </c>
      <c r="CS348" s="338" t="e">
        <f>CS349/CS353</f>
        <v>#DIV/0!</v>
      </c>
      <c r="CT348" s="338" t="e">
        <f>CT349/CT353</f>
        <v>#DIV/0!</v>
      </c>
      <c r="CU348" s="338" t="e">
        <f>CU349/CU353</f>
        <v>#DIV/0!</v>
      </c>
      <c r="CV348" s="338" t="e">
        <f>CV349/CV353</f>
        <v>#DIV/0!</v>
      </c>
      <c r="CW348" s="338" t="e">
        <f>CW349/CW353</f>
        <v>#DIV/0!</v>
      </c>
      <c r="CX348" s="338" t="e">
        <f>CX349/CX353</f>
        <v>#DIV/0!</v>
      </c>
      <c r="CY348" s="338" t="e">
        <f>CY349/CY353</f>
        <v>#DIV/0!</v>
      </c>
    </row>
    <row r="349" ht="12.75" customFormat="1" customHeight="1" s="333">
      <c r="A349" s="334" t="n"/>
      <c r="B349" s="334" t="n"/>
      <c r="C349" s="333" t="inlineStr">
        <is>
          <t>NOPLAT</t>
        </is>
      </c>
      <c r="D349" s="333">
        <f>D350*(1-D351)</f>
        <v>3944.13936249073</v>
      </c>
      <c r="E349" s="333">
        <f>E350*(1-E351)</f>
        <v>4512.36421466574</v>
      </c>
      <c r="F349" s="333">
        <f>F350*(1-F351)</f>
        <v>4223.66521433591</v>
      </c>
      <c r="G349" s="333">
        <f>G350*(1-G351)</f>
        <v>18579.9258010118</v>
      </c>
      <c r="H349" s="333">
        <f>H350*(1-H351)</f>
        <v>15028.3450690527</v>
      </c>
      <c r="I349" s="342">
        <f>I350*(1-I351)</f>
        <v>5052.34105098855</v>
      </c>
      <c r="J349" s="334">
        <f>J350*(1-J351)</f>
        <v>5418.34475772413</v>
      </c>
      <c r="K349" s="334">
        <f>K350*(1-K351)</f>
        <v>4374.37762237762</v>
      </c>
      <c r="L349" s="334">
        <f>L350*(1-L351)</f>
        <v>4472.49498117942</v>
      </c>
      <c r="M349" s="334">
        <f>M350*(1-M351)</f>
        <v>19342.7192982456</v>
      </c>
      <c r="N349" s="342">
        <f>N350*(1-N351)</f>
        <v>3855.13753877973</v>
      </c>
      <c r="O349" s="334">
        <f>O350*(1-O351)</f>
        <v>5309.6836243227</v>
      </c>
      <c r="P349" s="334">
        <f>P350*(1-P351)</f>
        <v>3327.78825995807</v>
      </c>
      <c r="Q349" s="334">
        <f>Q350*(1-Q351)</f>
        <v>3628.83048753089</v>
      </c>
      <c r="R349" s="334">
        <f>R350*(1-R351)</f>
        <v>13556.23977433</v>
      </c>
      <c r="S349" s="342">
        <f>S350*(1-S351)</f>
        <v>4401.42857142857</v>
      </c>
      <c r="T349" s="334">
        <f>T350*(1-T351)</f>
        <v>5492.28563438054</v>
      </c>
      <c r="U349" s="334">
        <f>U350*(1-U351)</f>
        <v>4358.34535519126</v>
      </c>
      <c r="V349" s="334">
        <f>V350*(1-V351)</f>
        <v>5478.61292897047</v>
      </c>
      <c r="W349" s="334">
        <f>W350*(1-W351)</f>
        <v>20115.5822043208</v>
      </c>
      <c r="X349" s="342">
        <f>X350*(1-X351)</f>
        <v>5160.65202558635</v>
      </c>
      <c r="Y349" s="334">
        <f>Y350*(1-Y351)</f>
        <v>6020.49573474972</v>
      </c>
      <c r="Z349" s="334">
        <f>Z350*(1-Z351)</f>
        <v>5185.55460806822</v>
      </c>
      <c r="AA349" s="334">
        <f>AA350*(1-AA351)</f>
        <v>6123.08990377711</v>
      </c>
      <c r="AB349" s="334">
        <f>AB350*(1-AB351)</f>
        <v>22485.3713938196</v>
      </c>
      <c r="AC349" s="342">
        <f>AC350*(1-AC351)</f>
        <v>5522.06623289957</v>
      </c>
      <c r="AD349" s="334">
        <f>AD350*(1-AD351)</f>
        <v>5590.96319347569</v>
      </c>
      <c r="AE349" s="334">
        <f>AE350*(1-AE351)</f>
        <v>4979.87393110188</v>
      </c>
      <c r="AF349" s="334">
        <f>AF350*(1-AF351)</f>
        <v>6406.28743718593</v>
      </c>
      <c r="AG349" s="334">
        <f>AG350*(1-AG351)</f>
        <v>22539.032542672</v>
      </c>
      <c r="AH349" s="342">
        <f>AH350*(1-AH351)</f>
        <v>5754.97621712367</v>
      </c>
      <c r="AI349" s="334">
        <f>AI350*(1-AI351)</f>
        <v>7646.23152770844</v>
      </c>
      <c r="AJ349" s="334">
        <f>AJ350*(1-AJ351)</f>
        <v>0</v>
      </c>
      <c r="AK349" s="334">
        <f>AK350*(1-AK351)</f>
        <v>0</v>
      </c>
      <c r="AL349" s="334">
        <f>AL350*(1-AL351)</f>
        <v>13131.2090427411</v>
      </c>
      <c r="AM349" s="342">
        <f>AM350*(1-AM351)</f>
        <v>0</v>
      </c>
      <c r="AN349" s="334">
        <f>AN350*(1-AN351)</f>
        <v>0</v>
      </c>
      <c r="AO349" s="334">
        <f>AO350*(1-AO351)</f>
        <v>0</v>
      </c>
      <c r="AP349" s="334">
        <f>AP350*(1-AP351)</f>
        <v>0</v>
      </c>
      <c r="AQ349" s="334">
        <f>AQ350*(1-AQ351)</f>
        <v>0</v>
      </c>
      <c r="AR349" s="342">
        <f>AR350*(1-AR351)</f>
        <v>0</v>
      </c>
      <c r="AS349" s="334">
        <f>AS350*(1-AS351)</f>
        <v>0</v>
      </c>
      <c r="AT349" s="334">
        <f>AT350*(1-AT351)</f>
        <v>0</v>
      </c>
      <c r="AU349" s="334">
        <f>AU350*(1-AU351)</f>
        <v>0</v>
      </c>
      <c r="AV349" s="334">
        <f>AV350*(1-AV351)</f>
        <v>0</v>
      </c>
      <c r="AW349" s="342">
        <f>AW350*(1-AW351)</f>
        <v>0</v>
      </c>
      <c r="AX349" s="334">
        <f>AX350*(1-AX351)</f>
        <v>0</v>
      </c>
      <c r="AY349" s="334">
        <f>AY350*(1-AY351)</f>
        <v>0</v>
      </c>
      <c r="AZ349" s="334">
        <f>AZ350*(1-AZ351)</f>
        <v>0</v>
      </c>
      <c r="BA349" s="334">
        <f>BA350*(1-BA351)</f>
        <v>0</v>
      </c>
      <c r="BB349" s="342">
        <f>BB350*(1-BB351)</f>
        <v>0</v>
      </c>
      <c r="BC349" s="334">
        <f>BC350*(1-BC351)</f>
        <v>0</v>
      </c>
      <c r="BD349" s="334">
        <f>BD350*(1-BD351)</f>
        <v>0</v>
      </c>
      <c r="BE349" s="334">
        <f>BE350*(1-BE351)</f>
        <v>0</v>
      </c>
      <c r="BF349" s="334">
        <f>BF350*(1-BF351)</f>
        <v>0</v>
      </c>
      <c r="BG349" s="342">
        <f>BG350*(1-BG351)</f>
        <v>0</v>
      </c>
      <c r="BH349" s="334">
        <f>BH350*(1-BH351)</f>
        <v>0</v>
      </c>
      <c r="BI349" s="334">
        <f>BI350*(1-BI351)</f>
        <v>0</v>
      </c>
      <c r="BJ349" s="334">
        <f>BJ350*(1-BJ351)</f>
        <v>0</v>
      </c>
      <c r="BK349" s="334">
        <f>BK350*(1-BK351)</f>
        <v>0</v>
      </c>
      <c r="BL349" s="342">
        <f>BL350*(1-BL351)</f>
        <v>0</v>
      </c>
      <c r="BM349" s="334">
        <f>BM350*(1-BM351)</f>
        <v>0</v>
      </c>
      <c r="BN349" s="334">
        <f>BN350*(1-BN351)</f>
        <v>0</v>
      </c>
      <c r="BO349" s="334">
        <f>BO350*(1-BO351)</f>
        <v>0</v>
      </c>
      <c r="BP349" s="334">
        <f>BP350*(1-BP351)</f>
        <v>0</v>
      </c>
      <c r="BQ349" s="342">
        <f>BQ350*(1-BQ351)</f>
        <v>0</v>
      </c>
      <c r="BR349" s="334">
        <f>BR350*(1-BR351)</f>
        <v>0</v>
      </c>
      <c r="BS349" s="334">
        <f>BS350*(1-BS351)</f>
        <v>0</v>
      </c>
      <c r="BT349" s="334">
        <f>BT350*(1-BT351)</f>
        <v>0</v>
      </c>
      <c r="BU349" s="334">
        <f>BU350*(1-BU351)</f>
        <v>0</v>
      </c>
      <c r="BV349" s="342">
        <f>BV350*(1-BV351)</f>
        <v>0</v>
      </c>
      <c r="BW349" s="334">
        <f>BW350*(1-BW351)</f>
        <v>0</v>
      </c>
      <c r="BX349" s="334">
        <f>BX350*(1-BX351)</f>
        <v>0</v>
      </c>
      <c r="BY349" s="334">
        <f>BY350*(1-BY351)</f>
        <v>0</v>
      </c>
      <c r="BZ349" s="334">
        <f>BZ350*(1-BZ351)</f>
        <v>0</v>
      </c>
      <c r="CA349" s="342">
        <f>CA350*(1-CA351)</f>
        <v>0</v>
      </c>
      <c r="CB349" s="334">
        <f>CB350*(1-CB351)</f>
        <v>0</v>
      </c>
      <c r="CC349" s="334">
        <f>CC350*(1-CC351)</f>
        <v>0</v>
      </c>
      <c r="CD349" s="334">
        <f>CD350*(1-CD351)</f>
        <v>0</v>
      </c>
      <c r="CE349" s="334">
        <f>CE350*(1-CE351)</f>
        <v>0</v>
      </c>
      <c r="CF349" s="342">
        <f>CF350*(1-CF351)</f>
        <v>0</v>
      </c>
      <c r="CG349" s="334">
        <f>CG350*(1-CG351)</f>
        <v>0</v>
      </c>
      <c r="CH349" s="334">
        <f>CH350*(1-CH351)</f>
        <v>0</v>
      </c>
      <c r="CI349" s="334">
        <f>CI350*(1-CI351)</f>
        <v>0</v>
      </c>
      <c r="CJ349" s="334">
        <f>CJ350*(1-CJ351)</f>
        <v>0</v>
      </c>
      <c r="CK349" s="342">
        <f>CK350*(1-CK351)</f>
        <v>0</v>
      </c>
      <c r="CL349" s="334">
        <f>CL350*(1-CL351)</f>
        <v>0</v>
      </c>
      <c r="CM349" s="334">
        <f>CM350*(1-CM351)</f>
        <v>0</v>
      </c>
      <c r="CN349" s="334">
        <f>CN350*(1-CN351)</f>
        <v>0</v>
      </c>
      <c r="CO349" s="334">
        <f>CO350*(1-CO351)</f>
        <v>0</v>
      </c>
      <c r="CP349" s="342">
        <f>CP350*(1-CP351)</f>
        <v>0</v>
      </c>
      <c r="CQ349" s="334">
        <f>CQ350*(1-CQ351)</f>
        <v>0</v>
      </c>
      <c r="CR349" s="334">
        <f>CR350*(1-CR351)</f>
        <v>0</v>
      </c>
      <c r="CS349" s="334">
        <f>CS350*(1-CS351)</f>
        <v>0</v>
      </c>
      <c r="CT349" s="334">
        <f>CT350*(1-CT351)</f>
        <v>0</v>
      </c>
      <c r="CU349" s="342">
        <f>CU350*(1-CU351)</f>
        <v>0</v>
      </c>
      <c r="CV349" s="334">
        <f>CV350*(1-CV351)</f>
        <v>0</v>
      </c>
      <c r="CW349" s="334">
        <f>CW350*(1-CW351)</f>
        <v>0</v>
      </c>
      <c r="CX349" s="334">
        <f>CX350*(1-CX351)</f>
        <v>0</v>
      </c>
      <c r="CY349" s="334">
        <f>CY350*(1-CY351)</f>
        <v>0</v>
      </c>
    </row>
    <row r="350" ht="12.75" customFormat="1" customHeight="1" s="333">
      <c r="A350" s="334" t="n"/>
      <c r="B350" s="334" t="n"/>
      <c r="C350" s="333" t="inlineStr">
        <is>
          <t>EBIT</t>
        </is>
      </c>
      <c r="D350" s="343">
        <f>D75</f>
        <v>5224</v>
      </c>
      <c r="E350" s="343">
        <f>E75</f>
        <v>6059</v>
      </c>
      <c r="F350" s="343">
        <f>F75</f>
        <v>5778</v>
      </c>
      <c r="G350" s="343">
        <f>G75</f>
        <v>5487</v>
      </c>
      <c r="H350" s="343">
        <f>H75</f>
        <v>22548</v>
      </c>
      <c r="I350" s="318">
        <f>I75</f>
        <v>6909</v>
      </c>
      <c r="J350" s="318">
        <f>J75</f>
        <v>7354</v>
      </c>
      <c r="K350" s="318">
        <f>K75</f>
        <v>5792</v>
      </c>
      <c r="L350" s="318">
        <f>L75</f>
        <v>5887</v>
      </c>
      <c r="M350" s="318">
        <f>M75</f>
        <v>25942</v>
      </c>
      <c r="N350" s="318">
        <f>N75</f>
        <v>5318</v>
      </c>
      <c r="O350" s="318">
        <f>O75</f>
        <v>6854</v>
      </c>
      <c r="P350" s="318">
        <f>P75</f>
        <v>2695</v>
      </c>
      <c r="Q350" s="318">
        <f>Q75</f>
        <v>5561</v>
      </c>
      <c r="R350" s="318">
        <f>R75</f>
        <v>20428</v>
      </c>
      <c r="S350" s="318">
        <f>S75</f>
        <v>6240</v>
      </c>
      <c r="T350" s="318">
        <f>T75</f>
        <v>7316</v>
      </c>
      <c r="U350" s="318">
        <f>U75</f>
        <v>6202</v>
      </c>
      <c r="V350" s="318">
        <f>V75</f>
        <v>7254</v>
      </c>
      <c r="W350" s="318">
        <f>W75</f>
        <v>27012</v>
      </c>
      <c r="X350" s="318">
        <f>X75</f>
        <v>6841</v>
      </c>
      <c r="Y350" s="318">
        <f>Y75</f>
        <v>7940</v>
      </c>
      <c r="Z350" s="318">
        <f>Z75</f>
        <v>6708</v>
      </c>
      <c r="AA350" s="318">
        <f>AA75</f>
        <v>7859</v>
      </c>
      <c r="AB350" s="318">
        <f>AB75</f>
        <v>29348</v>
      </c>
      <c r="AC350" s="318">
        <f>AC75</f>
        <v>7135</v>
      </c>
      <c r="AD350" s="318">
        <f>AD75</f>
        <v>7286</v>
      </c>
      <c r="AE350" s="318">
        <f>AE75</f>
        <v>6696</v>
      </c>
      <c r="AF350" s="318">
        <f>AF75</f>
        <v>8708</v>
      </c>
      <c r="AG350" s="318">
        <f>AG75</f>
        <v>29825</v>
      </c>
      <c r="AH350" s="318">
        <f>AH75</f>
        <v>7493</v>
      </c>
      <c r="AI350" s="318">
        <f>AI75</f>
        <v>9383</v>
      </c>
      <c r="AJ350" s="318">
        <f>AJ75</f>
        <v>0</v>
      </c>
      <c r="AK350" s="318">
        <f>AK75</f>
        <v>0</v>
      </c>
      <c r="AL350" s="318">
        <f>AL75</f>
        <v>16876</v>
      </c>
      <c r="AM350" s="318">
        <f>AM75</f>
        <v>0</v>
      </c>
      <c r="AN350" s="318">
        <f>AN75</f>
        <v>0</v>
      </c>
      <c r="AO350" s="318">
        <f>AO75</f>
        <v>0</v>
      </c>
      <c r="AP350" s="318">
        <f>AP75</f>
        <v>0</v>
      </c>
      <c r="AQ350" s="318">
        <f>AQ75</f>
        <v>0</v>
      </c>
      <c r="AR350" s="318">
        <f>AR75</f>
        <v>0</v>
      </c>
      <c r="AS350" s="318">
        <f>AS75</f>
        <v>0</v>
      </c>
      <c r="AT350" s="318">
        <f>AT75</f>
        <v>0</v>
      </c>
      <c r="AU350" s="318">
        <f>AU75</f>
        <v>0</v>
      </c>
      <c r="AV350" s="318">
        <f>AV75</f>
        <v>0</v>
      </c>
      <c r="AW350" s="318">
        <f>AW75</f>
        <v>0</v>
      </c>
      <c r="AX350" s="318">
        <f>AX75</f>
        <v>0</v>
      </c>
      <c r="AY350" s="318">
        <f>AY75</f>
        <v>0</v>
      </c>
      <c r="AZ350" s="318">
        <f>AZ75</f>
        <v>0</v>
      </c>
      <c r="BA350" s="318">
        <f>BA75</f>
        <v>0</v>
      </c>
      <c r="BB350" s="318">
        <f>BB75</f>
        <v>0</v>
      </c>
      <c r="BC350" s="318">
        <f>BC75</f>
        <v>0</v>
      </c>
      <c r="BD350" s="318">
        <f>BD75</f>
        <v>0</v>
      </c>
      <c r="BE350" s="318">
        <f>BE75</f>
        <v>0</v>
      </c>
      <c r="BF350" s="318">
        <f>BF75</f>
        <v>0</v>
      </c>
      <c r="BG350" s="318">
        <f>BG75</f>
        <v>0</v>
      </c>
      <c r="BH350" s="318">
        <f>BH75</f>
        <v>0</v>
      </c>
      <c r="BI350" s="318">
        <f>BI75</f>
        <v>0</v>
      </c>
      <c r="BJ350" s="318">
        <f>BJ75</f>
        <v>0</v>
      </c>
      <c r="BK350" s="318">
        <f>BK75</f>
        <v>0</v>
      </c>
      <c r="BL350" s="318">
        <f>BL75</f>
        <v>0</v>
      </c>
      <c r="BM350" s="318">
        <f>BM75</f>
        <v>0</v>
      </c>
      <c r="BN350" s="318">
        <f>BN75</f>
        <v>0</v>
      </c>
      <c r="BO350" s="318">
        <f>BO75</f>
        <v>0</v>
      </c>
      <c r="BP350" s="318">
        <f>BP75</f>
        <v>0</v>
      </c>
      <c r="BQ350" s="318">
        <f>BQ75</f>
        <v>0</v>
      </c>
      <c r="BR350" s="318">
        <f>BR75</f>
        <v>0</v>
      </c>
      <c r="BS350" s="318">
        <f>BS75</f>
        <v>0</v>
      </c>
      <c r="BT350" s="318">
        <f>BT75</f>
        <v>0</v>
      </c>
      <c r="BU350" s="318">
        <f>BU75</f>
        <v>0</v>
      </c>
      <c r="BV350" s="318">
        <f>BV75</f>
        <v>0</v>
      </c>
      <c r="BW350" s="318">
        <f>BW75</f>
        <v>0</v>
      </c>
      <c r="BX350" s="318">
        <f>BX75</f>
        <v>0</v>
      </c>
      <c r="BY350" s="318">
        <f>BY75</f>
        <v>0</v>
      </c>
      <c r="BZ350" s="318">
        <f>BZ75</f>
        <v>0</v>
      </c>
      <c r="CA350" s="318">
        <f>CA75</f>
        <v>0</v>
      </c>
      <c r="CB350" s="318">
        <f>CB75</f>
        <v>0</v>
      </c>
      <c r="CC350" s="318">
        <f>CC75</f>
        <v>0</v>
      </c>
      <c r="CD350" s="318">
        <f>CD75</f>
        <v>0</v>
      </c>
      <c r="CE350" s="318">
        <f>CE75</f>
        <v>0</v>
      </c>
      <c r="CF350" s="318">
        <f>CF75</f>
        <v>0</v>
      </c>
      <c r="CG350" s="318">
        <f>CG75</f>
        <v>0</v>
      </c>
      <c r="CH350" s="318">
        <f>CH75</f>
        <v>0</v>
      </c>
      <c r="CI350" s="318">
        <f>CI75</f>
        <v>0</v>
      </c>
      <c r="CJ350" s="318">
        <f>CJ75</f>
        <v>0</v>
      </c>
      <c r="CK350" s="318">
        <f>CK75</f>
        <v>0</v>
      </c>
      <c r="CL350" s="318">
        <f>CL75</f>
        <v>0</v>
      </c>
      <c r="CM350" s="318">
        <f>CM75</f>
        <v>0</v>
      </c>
      <c r="CN350" s="318">
        <f>CN75</f>
        <v>0</v>
      </c>
      <c r="CO350" s="318">
        <f>CO75</f>
        <v>0</v>
      </c>
      <c r="CP350" s="318">
        <f>CP75</f>
        <v>0</v>
      </c>
      <c r="CQ350" s="318">
        <f>CQ75</f>
        <v>0</v>
      </c>
      <c r="CR350" s="318">
        <f>CR75</f>
        <v>0</v>
      </c>
      <c r="CS350" s="318">
        <f>CS75</f>
        <v>0</v>
      </c>
      <c r="CT350" s="318">
        <f>CT75</f>
        <v>0</v>
      </c>
      <c r="CU350" s="318">
        <f>CU75</f>
        <v>0</v>
      </c>
      <c r="CV350" s="318">
        <f>CV75</f>
        <v>0</v>
      </c>
      <c r="CW350" s="318">
        <f>CW75</f>
        <v>0</v>
      </c>
      <c r="CX350" s="318">
        <f>CX75</f>
        <v>0</v>
      </c>
      <c r="CY350" s="318">
        <f>CY75</f>
        <v>0</v>
      </c>
    </row>
    <row r="351" ht="12.75" customFormat="1" customHeight="1" s="333">
      <c r="A351" s="334" t="n"/>
      <c r="B351" s="334" t="n"/>
      <c r="C351" s="333" t="inlineStr">
        <is>
          <t>ETR</t>
        </is>
      </c>
      <c r="D351" s="344">
        <f>D134</f>
        <v>0.244996293550778</v>
      </c>
      <c r="E351" s="344">
        <f>E134</f>
        <v>0.255262549155679</v>
      </c>
      <c r="F351" s="344">
        <f>F134</f>
        <v>0.269009135628953</v>
      </c>
      <c r="G351" s="344">
        <f>G134</f>
        <v>-2.38617200674536</v>
      </c>
      <c r="H351" s="344">
        <f>H134</f>
        <v>0.333495428904882</v>
      </c>
      <c r="I351" s="345">
        <f>I134</f>
        <v>0.268730489073881</v>
      </c>
      <c r="J351" s="345">
        <f>J134</f>
        <v>0.263211210535202</v>
      </c>
      <c r="K351" s="345">
        <f>K134</f>
        <v>0.244755244755245</v>
      </c>
      <c r="L351" s="345">
        <f>L134</f>
        <v>0.240276035131744</v>
      </c>
      <c r="M351" s="345">
        <f>M134</f>
        <v>0.254385964912281</v>
      </c>
      <c r="N351" s="345">
        <f>N134</f>
        <v>0.275077559462254</v>
      </c>
      <c r="O351" s="345">
        <f>O134</f>
        <v>0.225316074653823</v>
      </c>
      <c r="P351" s="345">
        <f>P134</f>
        <v>-0.234800838574424</v>
      </c>
      <c r="Q351" s="345">
        <f>Q134</f>
        <v>0.347450011233431</v>
      </c>
      <c r="R351" s="345">
        <f>R134</f>
        <v>0.33638928067701</v>
      </c>
      <c r="S351" s="345">
        <f>S134</f>
        <v>0.294642857142857</v>
      </c>
      <c r="T351" s="345">
        <f>T134</f>
        <v>0.249277524004848</v>
      </c>
      <c r="U351" s="345">
        <f>U134</f>
        <v>0.297267759562842</v>
      </c>
      <c r="V351" s="345">
        <f>V134</f>
        <v>0.244745943069965</v>
      </c>
      <c r="W351" s="345">
        <f>W134</f>
        <v>0.255309410472354</v>
      </c>
      <c r="X351" s="345">
        <f>X134</f>
        <v>0.245628997867804</v>
      </c>
      <c r="Y351" s="345">
        <f>Y134</f>
        <v>0.241751166908096</v>
      </c>
      <c r="Z351" s="345">
        <f>Z134</f>
        <v>0.226959658904559</v>
      </c>
      <c r="AA351" s="345">
        <f>AA134</f>
        <v>0.220881803820192</v>
      </c>
      <c r="AB351" s="345">
        <f>AB134</f>
        <v>0.233836329773081</v>
      </c>
      <c r="AC351" s="345">
        <f>AC134</f>
        <v>0.226059392726059</v>
      </c>
      <c r="AD351" s="345">
        <f>AD134</f>
        <v>0.232642987445005</v>
      </c>
      <c r="AE351" s="345">
        <f>AE134</f>
        <v>0.256291228927437</v>
      </c>
      <c r="AF351" s="345">
        <f>AF134</f>
        <v>0.264321608040201</v>
      </c>
      <c r="AG351" s="345">
        <f>AG134</f>
        <v>0.244290610472021</v>
      </c>
      <c r="AH351" s="345">
        <f>AH134</f>
        <v>0.231952993844432</v>
      </c>
      <c r="AI351" s="345">
        <f>AI134</f>
        <v>0.185097353969046</v>
      </c>
      <c r="AJ351" s="345">
        <f>AJ134</f>
        <v>0</v>
      </c>
      <c r="AK351" s="345">
        <f>AK134</f>
        <v>0</v>
      </c>
      <c r="AL351" s="345">
        <f>AL134</f>
        <v>0.221900388555281</v>
      </c>
      <c r="AM351" s="345">
        <f>AM134</f>
        <v>0</v>
      </c>
      <c r="AN351" s="345">
        <f>AN134</f>
        <v>0</v>
      </c>
      <c r="AO351" s="345">
        <f>AO134</f>
        <v>0</v>
      </c>
      <c r="AP351" s="345">
        <f>AP134</f>
        <v>0</v>
      </c>
      <c r="AQ351" s="345">
        <f>AQ134</f>
        <v>0</v>
      </c>
      <c r="AR351" s="345">
        <f>AR134</f>
        <v>0</v>
      </c>
      <c r="AS351" s="345">
        <f>AS134</f>
        <v>0</v>
      </c>
      <c r="AT351" s="345">
        <f>AT134</f>
        <v>0</v>
      </c>
      <c r="AU351" s="345">
        <f>AU134</f>
        <v>0</v>
      </c>
      <c r="AV351" s="345">
        <f>AV134</f>
        <v>0</v>
      </c>
      <c r="AW351" s="345">
        <f>AW134</f>
        <v>0</v>
      </c>
      <c r="AX351" s="345">
        <f>AX134</f>
        <v>0</v>
      </c>
      <c r="AY351" s="345">
        <f>AY134</f>
        <v>0</v>
      </c>
      <c r="AZ351" s="345">
        <f>AZ134</f>
        <v>0</v>
      </c>
      <c r="BA351" s="345">
        <f>BA134</f>
        <v>0</v>
      </c>
      <c r="BB351" s="345">
        <f>BB134</f>
        <v>0</v>
      </c>
      <c r="BC351" s="345">
        <f>BC134</f>
        <v>0</v>
      </c>
      <c r="BD351" s="345">
        <f>BD134</f>
        <v>0</v>
      </c>
      <c r="BE351" s="345">
        <f>BE134</f>
        <v>0</v>
      </c>
      <c r="BF351" s="345">
        <f>BF134</f>
        <v>0</v>
      </c>
      <c r="BG351" s="345">
        <f>BG134</f>
        <v>0</v>
      </c>
      <c r="BH351" s="345">
        <f>BH134</f>
        <v>0</v>
      </c>
      <c r="BI351" s="345">
        <f>BI134</f>
        <v>0</v>
      </c>
      <c r="BJ351" s="345">
        <f>BJ134</f>
        <v>0</v>
      </c>
      <c r="BK351" s="345">
        <f>BK134</f>
        <v>0</v>
      </c>
      <c r="BL351" s="345">
        <f>BL134</f>
        <v>0</v>
      </c>
      <c r="BM351" s="345">
        <f>BM134</f>
        <v>0</v>
      </c>
      <c r="BN351" s="345">
        <f>BN134</f>
        <v>0</v>
      </c>
      <c r="BO351" s="345">
        <f>BO134</f>
        <v>0</v>
      </c>
      <c r="BP351" s="345">
        <f>BP134</f>
        <v>0</v>
      </c>
      <c r="BQ351" s="345">
        <f>BQ134</f>
        <v>0</v>
      </c>
      <c r="BR351" s="345">
        <f>BR134</f>
        <v>0</v>
      </c>
      <c r="BS351" s="345">
        <f>BS134</f>
        <v>0</v>
      </c>
      <c r="BT351" s="345">
        <f>BT134</f>
        <v>0</v>
      </c>
      <c r="BU351" s="345">
        <f>BU134</f>
        <v>0</v>
      </c>
      <c r="BV351" s="345">
        <f>BV134</f>
        <v>0</v>
      </c>
      <c r="BW351" s="345">
        <f>BW134</f>
        <v>0</v>
      </c>
      <c r="BX351" s="345">
        <f>BX134</f>
        <v>0</v>
      </c>
      <c r="BY351" s="345">
        <f>BY134</f>
        <v>0</v>
      </c>
      <c r="BZ351" s="345">
        <f>BZ134</f>
        <v>0</v>
      </c>
      <c r="CA351" s="345">
        <f>CA134</f>
        <v>0</v>
      </c>
      <c r="CB351" s="345">
        <f>CB134</f>
        <v>0</v>
      </c>
      <c r="CC351" s="345">
        <f>CC134</f>
        <v>0</v>
      </c>
      <c r="CD351" s="345">
        <f>CD134</f>
        <v>0</v>
      </c>
      <c r="CE351" s="345">
        <f>CE134</f>
        <v>0</v>
      </c>
      <c r="CF351" s="345">
        <f>CF134</f>
        <v>0</v>
      </c>
      <c r="CG351" s="345">
        <f>CG134</f>
        <v>0</v>
      </c>
      <c r="CH351" s="345">
        <f>CH134</f>
        <v>0</v>
      </c>
      <c r="CI351" s="345">
        <f>CI134</f>
        <v>0</v>
      </c>
      <c r="CJ351" s="345">
        <f>CJ134</f>
        <v>0</v>
      </c>
      <c r="CK351" s="345">
        <f>CK134</f>
        <v>0</v>
      </c>
      <c r="CL351" s="345">
        <f>CL134</f>
        <v>0</v>
      </c>
      <c r="CM351" s="345">
        <f>CM134</f>
        <v>0</v>
      </c>
      <c r="CN351" s="345">
        <f>CN134</f>
        <v>0</v>
      </c>
      <c r="CO351" s="345">
        <f>CO134</f>
        <v>0</v>
      </c>
      <c r="CP351" s="345">
        <f>CP134</f>
        <v>0</v>
      </c>
      <c r="CQ351" s="345">
        <f>CQ134</f>
        <v>0</v>
      </c>
      <c r="CR351" s="345">
        <f>CR134</f>
        <v>0</v>
      </c>
      <c r="CS351" s="345">
        <f>CS134</f>
        <v>0</v>
      </c>
      <c r="CT351" s="345">
        <f>CT134</f>
        <v>0</v>
      </c>
      <c r="CU351" s="345">
        <f>CU134</f>
        <v>0</v>
      </c>
      <c r="CV351" s="345">
        <f>CV134</f>
        <v>0</v>
      </c>
      <c r="CW351" s="345">
        <f>CW134</f>
        <v>0</v>
      </c>
      <c r="CX351" s="345">
        <f>CX134</f>
        <v>0</v>
      </c>
      <c r="CY351" s="345">
        <f>CY134</f>
        <v>0</v>
      </c>
    </row>
    <row r="352" ht="12.75" customFormat="1" customHeight="1" s="333">
      <c r="A352" s="334" t="n"/>
      <c r="B352" s="334" t="n"/>
      <c r="C352" s="333" t="inlineStr">
        <is>
          <t>INVESTED CAPITAL</t>
        </is>
      </c>
      <c r="D352" s="343">
        <f>D355-D356+D357</f>
        <v>129615</v>
      </c>
      <c r="E352" s="343">
        <f>E355-E356+E357</f>
        <v>128563</v>
      </c>
      <c r="F352" s="343">
        <f>F355-F356+F357</f>
        <v>136333</v>
      </c>
      <c r="G352" s="343">
        <f>G355-G356+G357</f>
        <v>128698</v>
      </c>
      <c r="H352" s="343">
        <f>H355-H356+H357</f>
        <v>128698</v>
      </c>
      <c r="I352" s="318">
        <f>I355-I356+I357</f>
        <v>120259</v>
      </c>
      <c r="J352" s="318">
        <f>J355-J356+J357</f>
        <v>120722</v>
      </c>
      <c r="K352" s="318">
        <f>K355-K356+K357</f>
        <v>127674</v>
      </c>
      <c r="L352" s="318">
        <f>L355-L356+L357</f>
        <v>129700</v>
      </c>
      <c r="M352" s="318">
        <f>M355-M356+M357</f>
        <v>129700</v>
      </c>
      <c r="N352" s="318">
        <f>N355-N356+N357</f>
        <v>135940</v>
      </c>
      <c r="O352" s="318">
        <f>O355-O356+O357</f>
        <v>132279</v>
      </c>
      <c r="P352" s="318">
        <f>P355-P356+P357</f>
        <v>129115</v>
      </c>
      <c r="Q352" s="318">
        <f>Q355-Q356+Q357</f>
        <v>128879</v>
      </c>
      <c r="R352" s="318">
        <f>R355-R356+R357</f>
        <v>128879</v>
      </c>
      <c r="S352" s="318">
        <f>S355-S356+S357</f>
        <v>127111</v>
      </c>
      <c r="T352" s="318">
        <f>T355-T356+T357</f>
        <v>130370</v>
      </c>
      <c r="U352" s="318">
        <f>U355-U356+U357</f>
        <v>137038</v>
      </c>
      <c r="V352" s="318">
        <f>V355-V356+V357</f>
        <v>135591</v>
      </c>
      <c r="W352" s="318">
        <f>W355-W356+W357</f>
        <v>135591</v>
      </c>
      <c r="X352" s="318">
        <f>X355-X356+X357</f>
        <v>136457</v>
      </c>
      <c r="Y352" s="318">
        <f>Y355-Y356+Y357</f>
        <v>136319</v>
      </c>
      <c r="Z352" s="318">
        <f>Z355-Z356+Z357</f>
        <v>139320</v>
      </c>
      <c r="AA352" s="318">
        <f>AA355-AA356+AA357</f>
        <v>142046</v>
      </c>
      <c r="AB352" s="318">
        <f>AB355-AB356+AB357</f>
        <v>142046</v>
      </c>
      <c r="AC352" s="318">
        <f>AC355-AC356+AC357</f>
        <v>141873</v>
      </c>
      <c r="AD352" s="318">
        <f>AD355-AD356+AD357</f>
        <v>145665</v>
      </c>
      <c r="AE352" s="318">
        <f>AE355-AE356+AE357</f>
        <v>153596</v>
      </c>
      <c r="AF352" s="318">
        <f>AF355-AF356+AF357</f>
        <v>155787</v>
      </c>
      <c r="AG352" s="318">
        <f>AG355-AG356+AG357</f>
        <v>155787</v>
      </c>
      <c r="AH352" s="318">
        <f>AH355-AH356+AH357</f>
        <v>157752</v>
      </c>
      <c r="AI352" s="318">
        <f>AI355-AI356+AI357</f>
        <v>160193</v>
      </c>
      <c r="AJ352" s="318">
        <f>AJ355-AJ356+AJ357</f>
        <v>182656</v>
      </c>
      <c r="AK352" s="318">
        <f>AK355-AK356+AK357</f>
        <v>182656</v>
      </c>
      <c r="AL352" s="318">
        <f>AL355-AL356+AL357</f>
        <v>182656</v>
      </c>
      <c r="AM352" s="318" t="e">
        <f>AM355-AM356+AM357</f>
        <v>#DIV/0!</v>
      </c>
      <c r="AN352" s="318">
        <f>AN355-AN356+AN357</f>
        <v>182656</v>
      </c>
      <c r="AO352" s="318" t="e">
        <f>AO355-AO356+AO357</f>
        <v>#DIV/0!</v>
      </c>
      <c r="AP352" s="318" t="e">
        <f>AP355-AP356+AP357</f>
        <v>#DIV/0!</v>
      </c>
      <c r="AQ352" s="318" t="e">
        <f>AQ355-AQ356+AQ357</f>
        <v>#DIV/0!</v>
      </c>
      <c r="AR352" s="318" t="e">
        <f>AR355-AR356+AR357</f>
        <v>#DIV/0!</v>
      </c>
      <c r="AS352" s="318" t="e">
        <f>AS355-AS356+AS357</f>
        <v>#DIV/0!</v>
      </c>
      <c r="AT352" s="318" t="e">
        <f>AT355-AT356+AT357</f>
        <v>#DIV/0!</v>
      </c>
      <c r="AU352" s="318" t="e">
        <f>AU355-AU356+AU357</f>
        <v>#DIV/0!</v>
      </c>
      <c r="AV352" s="318" t="e">
        <f>AV355-AV356+AV357</f>
        <v>#DIV/0!</v>
      </c>
      <c r="AW352" s="318" t="e">
        <f>AW355-AW356+AW357</f>
        <v>#DIV/0!</v>
      </c>
      <c r="AX352" s="318" t="e">
        <f>AX355-AX356+AX357</f>
        <v>#DIV/0!</v>
      </c>
      <c r="AY352" s="318" t="e">
        <f>AY355-AY356+AY357</f>
        <v>#DIV/0!</v>
      </c>
      <c r="AZ352" s="318" t="e">
        <f>AZ355-AZ356+AZ357</f>
        <v>#DIV/0!</v>
      </c>
      <c r="BA352" s="318" t="e">
        <f>BA355-BA356+BA357</f>
        <v>#DIV/0!</v>
      </c>
      <c r="BB352" s="318" t="e">
        <f>BB355-BB356+BB357</f>
        <v>#DIV/0!</v>
      </c>
      <c r="BC352" s="318" t="e">
        <f>BC355-BC356+BC357</f>
        <v>#DIV/0!</v>
      </c>
      <c r="BD352" s="318" t="e">
        <f>BD355-BD356+BD357</f>
        <v>#DIV/0!</v>
      </c>
      <c r="BE352" s="318" t="e">
        <f>BE355-BE356+BE357</f>
        <v>#DIV/0!</v>
      </c>
      <c r="BF352" s="318" t="e">
        <f>BF355-BF356+BF357</f>
        <v>#DIV/0!</v>
      </c>
      <c r="BG352" s="318" t="e">
        <f>BG355-BG356+BG357</f>
        <v>#DIV/0!</v>
      </c>
      <c r="BH352" s="318" t="e">
        <f>BH355-BH356+BH357</f>
        <v>#DIV/0!</v>
      </c>
      <c r="BI352" s="318" t="e">
        <f>BI355-BI356+BI357</f>
        <v>#DIV/0!</v>
      </c>
      <c r="BJ352" s="318" t="e">
        <f>BJ355-BJ356+BJ357</f>
        <v>#DIV/0!</v>
      </c>
      <c r="BK352" s="318" t="e">
        <f>BK355-BK356+BK357</f>
        <v>#DIV/0!</v>
      </c>
      <c r="BL352" s="318" t="e">
        <f>BL355-BL356+BL357</f>
        <v>#DIV/0!</v>
      </c>
      <c r="BM352" s="318" t="e">
        <f>BM355-BM356+BM357</f>
        <v>#DIV/0!</v>
      </c>
      <c r="BN352" s="318" t="e">
        <f>BN355-BN356+BN357</f>
        <v>#DIV/0!</v>
      </c>
      <c r="BO352" s="318" t="e">
        <f>BO355-BO356+BO357</f>
        <v>#DIV/0!</v>
      </c>
      <c r="BP352" s="318" t="e">
        <f>BP355-BP356+BP357</f>
        <v>#DIV/0!</v>
      </c>
      <c r="BQ352" s="318" t="e">
        <f>BQ355-BQ356+BQ357</f>
        <v>#DIV/0!</v>
      </c>
      <c r="BR352" s="318" t="e">
        <f>BR355-BR356+BR357</f>
        <v>#DIV/0!</v>
      </c>
      <c r="BS352" s="318" t="e">
        <f>BS355-BS356+BS357</f>
        <v>#DIV/0!</v>
      </c>
      <c r="BT352" s="318" t="e">
        <f>BT355-BT356+BT357</f>
        <v>#DIV/0!</v>
      </c>
      <c r="BU352" s="318" t="e">
        <f>BU355-BU356+BU357</f>
        <v>#DIV/0!</v>
      </c>
      <c r="BV352" s="318" t="e">
        <f>BV355-BV356+BV357</f>
        <v>#DIV/0!</v>
      </c>
      <c r="BW352" s="318" t="e">
        <f>BW355-BW356+BW357</f>
        <v>#DIV/0!</v>
      </c>
      <c r="BX352" s="318" t="e">
        <f>BX355-BX356+BX357</f>
        <v>#DIV/0!</v>
      </c>
      <c r="BY352" s="318" t="e">
        <f>BY355-BY356+BY357</f>
        <v>#DIV/0!</v>
      </c>
      <c r="BZ352" s="318" t="e">
        <f>BZ355-BZ356+BZ357</f>
        <v>#DIV/0!</v>
      </c>
      <c r="CA352" s="318" t="e">
        <f>CA355-CA356+CA357</f>
        <v>#DIV/0!</v>
      </c>
      <c r="CB352" s="318" t="e">
        <f>CB355-CB356+CB357</f>
        <v>#DIV/0!</v>
      </c>
      <c r="CC352" s="318" t="e">
        <f>CC355-CC356+CC357</f>
        <v>#DIV/0!</v>
      </c>
      <c r="CD352" s="318" t="e">
        <f>CD355-CD356+CD357</f>
        <v>#DIV/0!</v>
      </c>
      <c r="CE352" s="318" t="e">
        <f>CE355-CE356+CE357</f>
        <v>#DIV/0!</v>
      </c>
      <c r="CF352" s="318" t="e">
        <f>CF355-CF356+CF357</f>
        <v>#DIV/0!</v>
      </c>
      <c r="CG352" s="318" t="e">
        <f>CG355-CG356+CG357</f>
        <v>#DIV/0!</v>
      </c>
      <c r="CH352" s="318" t="e">
        <f>CH355-CH356+CH357</f>
        <v>#DIV/0!</v>
      </c>
      <c r="CI352" s="318" t="e">
        <f>CI355-CI356+CI357</f>
        <v>#DIV/0!</v>
      </c>
      <c r="CJ352" s="318" t="e">
        <f>CJ355-CJ356+CJ357</f>
        <v>#DIV/0!</v>
      </c>
      <c r="CK352" s="318" t="e">
        <f>CK355-CK356+CK357</f>
        <v>#DIV/0!</v>
      </c>
      <c r="CL352" s="318" t="e">
        <f>CL355-CL356+CL357</f>
        <v>#DIV/0!</v>
      </c>
      <c r="CM352" s="318" t="e">
        <f>CM355-CM356+CM357</f>
        <v>#DIV/0!</v>
      </c>
      <c r="CN352" s="318" t="e">
        <f>CN355-CN356+CN357</f>
        <v>#DIV/0!</v>
      </c>
      <c r="CO352" s="318" t="e">
        <f>CO355-CO356+CO357</f>
        <v>#DIV/0!</v>
      </c>
      <c r="CP352" s="318" t="e">
        <f>CP355-CP356+CP357</f>
        <v>#DIV/0!</v>
      </c>
      <c r="CQ352" s="318" t="e">
        <f>CQ355-CQ356+CQ357</f>
        <v>#DIV/0!</v>
      </c>
      <c r="CR352" s="318" t="e">
        <f>CR355-CR356+CR357</f>
        <v>#DIV/0!</v>
      </c>
      <c r="CS352" s="318" t="e">
        <f>CS355-CS356+CS357</f>
        <v>#DIV/0!</v>
      </c>
      <c r="CT352" s="318" t="e">
        <f>CT355-CT356+CT357</f>
        <v>#DIV/0!</v>
      </c>
      <c r="CU352" s="318" t="e">
        <f>CU355-CU356+CU357</f>
        <v>#DIV/0!</v>
      </c>
      <c r="CV352" s="318" t="e">
        <f>CV355-CV356+CV357</f>
        <v>#DIV/0!</v>
      </c>
      <c r="CW352" s="318" t="e">
        <f>CW355-CW356+CW357</f>
        <v>#DIV/0!</v>
      </c>
      <c r="CX352" s="318" t="e">
        <f>CX355-CX356+CX357</f>
        <v>#DIV/0!</v>
      </c>
      <c r="CY352" s="318" t="e">
        <f>CY355-CY356+CY357</f>
        <v>#DIV/0!</v>
      </c>
    </row>
    <row r="353" ht="12.75" customFormat="1" customHeight="1" s="333">
      <c r="A353" s="334" t="n"/>
      <c r="B353" s="334" t="n"/>
      <c r="C353" s="333" t="inlineStr">
        <is>
          <t>INVESTED CAPITAL - EX GOODWILL</t>
        </is>
      </c>
      <c r="D353" s="346">
        <f>D352-D181</f>
        <v>100199</v>
      </c>
      <c r="E353" s="346">
        <f>E352-E181</f>
        <v>99021</v>
      </c>
      <c r="F353" s="346">
        <f>F352-F181</f>
        <v>106097</v>
      </c>
      <c r="G353" s="346">
        <f>G352-G181</f>
        <v>99715</v>
      </c>
      <c r="H353" s="346">
        <f>H352-H181</f>
        <v>99715</v>
      </c>
      <c r="I353" s="347">
        <f>I352-I181</f>
        <v>91387</v>
      </c>
      <c r="J353" s="347">
        <f>J352-J181</f>
        <v>91563</v>
      </c>
      <c r="K353" s="347">
        <f>K352-K181</f>
        <v>98751</v>
      </c>
      <c r="L353" s="347">
        <f>L352-L181</f>
        <v>100686</v>
      </c>
      <c r="M353" s="347">
        <f>M352-M181</f>
        <v>100686</v>
      </c>
      <c r="N353" s="347">
        <f>N352-N181</f>
        <v>106502</v>
      </c>
      <c r="O353" s="347">
        <f>O352-O181</f>
        <v>103615</v>
      </c>
      <c r="P353" s="347">
        <f>P352-P181</f>
        <v>100978</v>
      </c>
      <c r="Q353" s="347">
        <f>Q352-Q181</f>
        <v>100705</v>
      </c>
      <c r="R353" s="347">
        <f>R352-R181</f>
        <v>100705</v>
      </c>
      <c r="S353" s="347">
        <f>S352-S181</f>
        <v>98805</v>
      </c>
      <c r="T353" s="347">
        <f>T352-T181</f>
        <v>102102</v>
      </c>
      <c r="U353" s="347">
        <f>U352-U181</f>
        <v>109023</v>
      </c>
      <c r="V353" s="347">
        <f>V352-V181</f>
        <v>107478</v>
      </c>
      <c r="W353" s="347">
        <f>W352-W181</f>
        <v>107478</v>
      </c>
      <c r="X353" s="347">
        <f>X352-X181</f>
        <v>108458</v>
      </c>
      <c r="Y353" s="347">
        <f>Y352-Y181</f>
        <v>108389</v>
      </c>
      <c r="Z353" s="347">
        <f>Z352-Z181</f>
        <v>111378</v>
      </c>
      <c r="AA353" s="347">
        <f>AA352-AA181</f>
        <v>113254</v>
      </c>
      <c r="AB353" s="347">
        <f>AB352-AB181</f>
        <v>113254</v>
      </c>
      <c r="AC353" s="347">
        <f>AC352-AC181</f>
        <v>113007</v>
      </c>
      <c r="AD353" s="347">
        <f>AD352-AD181</f>
        <v>116605</v>
      </c>
      <c r="AE353" s="347">
        <f>AE352-AE181</f>
        <v>124874</v>
      </c>
      <c r="AF353" s="347">
        <f>AF352-AF181</f>
        <v>127052</v>
      </c>
      <c r="AG353" s="347">
        <f>AG352-AG181</f>
        <v>127052</v>
      </c>
      <c r="AH353" s="347">
        <f>AH352-AH181</f>
        <v>129600</v>
      </c>
      <c r="AI353" s="347">
        <f>AI352-AI181</f>
        <v>131933</v>
      </c>
      <c r="AJ353" s="347">
        <f>AJ352-AJ181</f>
        <v>154396</v>
      </c>
      <c r="AK353" s="347">
        <f>AK352-AK181</f>
        <v>154396</v>
      </c>
      <c r="AL353" s="347">
        <f>AL352-AL181</f>
        <v>154396</v>
      </c>
      <c r="AM353" s="347" t="e">
        <f>AM352-AM181</f>
        <v>#DIV/0!</v>
      </c>
      <c r="AN353" s="347">
        <f>AN352-AN181</f>
        <v>154396</v>
      </c>
      <c r="AO353" s="347" t="e">
        <f>AO352-AO181</f>
        <v>#DIV/0!</v>
      </c>
      <c r="AP353" s="347" t="e">
        <f>AP352-AP181</f>
        <v>#DIV/0!</v>
      </c>
      <c r="AQ353" s="347" t="e">
        <f>AQ352-AQ181</f>
        <v>#DIV/0!</v>
      </c>
      <c r="AR353" s="347" t="e">
        <f>AR352-AR181</f>
        <v>#DIV/0!</v>
      </c>
      <c r="AS353" s="347" t="e">
        <f>AS352-AS181</f>
        <v>#DIV/0!</v>
      </c>
      <c r="AT353" s="347" t="e">
        <f>AT352-AT181</f>
        <v>#DIV/0!</v>
      </c>
      <c r="AU353" s="347" t="e">
        <f>AU352-AU181</f>
        <v>#DIV/0!</v>
      </c>
      <c r="AV353" s="347" t="e">
        <f>AV352-AV181</f>
        <v>#DIV/0!</v>
      </c>
      <c r="AW353" s="347" t="e">
        <f>AW352-AW181</f>
        <v>#DIV/0!</v>
      </c>
      <c r="AX353" s="347" t="e">
        <f>AX352-AX181</f>
        <v>#DIV/0!</v>
      </c>
      <c r="AY353" s="347" t="e">
        <f>AY352-AY181</f>
        <v>#DIV/0!</v>
      </c>
      <c r="AZ353" s="347" t="e">
        <f>AZ352-AZ181</f>
        <v>#DIV/0!</v>
      </c>
      <c r="BA353" s="347" t="e">
        <f>BA352-BA181</f>
        <v>#DIV/0!</v>
      </c>
      <c r="BB353" s="347" t="e">
        <f>BB352-BB181</f>
        <v>#DIV/0!</v>
      </c>
      <c r="BC353" s="347" t="e">
        <f>BC352-BC181</f>
        <v>#DIV/0!</v>
      </c>
      <c r="BD353" s="347" t="e">
        <f>BD352-BD181</f>
        <v>#DIV/0!</v>
      </c>
      <c r="BE353" s="347" t="e">
        <f>BE352-BE181</f>
        <v>#DIV/0!</v>
      </c>
      <c r="BF353" s="347" t="e">
        <f>BF352-BF181</f>
        <v>#DIV/0!</v>
      </c>
      <c r="BG353" s="347" t="e">
        <f>BG352-BG181</f>
        <v>#DIV/0!</v>
      </c>
      <c r="BH353" s="347" t="e">
        <f>BH352-BH181</f>
        <v>#DIV/0!</v>
      </c>
      <c r="BI353" s="347" t="e">
        <f>BI352-BI181</f>
        <v>#DIV/0!</v>
      </c>
      <c r="BJ353" s="347" t="e">
        <f>BJ352-BJ181</f>
        <v>#DIV/0!</v>
      </c>
      <c r="BK353" s="347" t="e">
        <f>BK352-BK181</f>
        <v>#DIV/0!</v>
      </c>
      <c r="BL353" s="347" t="e">
        <f>BL352-BL181</f>
        <v>#DIV/0!</v>
      </c>
      <c r="BM353" s="347" t="e">
        <f>BM352-BM181</f>
        <v>#DIV/0!</v>
      </c>
      <c r="BN353" s="347" t="e">
        <f>BN352-BN181</f>
        <v>#DIV/0!</v>
      </c>
      <c r="BO353" s="347" t="e">
        <f>BO352-BO181</f>
        <v>#DIV/0!</v>
      </c>
      <c r="BP353" s="347" t="e">
        <f>BP352-BP181</f>
        <v>#DIV/0!</v>
      </c>
      <c r="BQ353" s="347" t="e">
        <f>BQ352-BQ181</f>
        <v>#DIV/0!</v>
      </c>
      <c r="BR353" s="347" t="e">
        <f>BR352-BR181</f>
        <v>#DIV/0!</v>
      </c>
      <c r="BS353" s="347" t="e">
        <f>BS352-BS181</f>
        <v>#DIV/0!</v>
      </c>
      <c r="BT353" s="347" t="e">
        <f>BT352-BT181</f>
        <v>#DIV/0!</v>
      </c>
      <c r="BU353" s="347" t="e">
        <f>BU352-BU181</f>
        <v>#DIV/0!</v>
      </c>
      <c r="BV353" s="347" t="e">
        <f>BV352-BV181</f>
        <v>#DIV/0!</v>
      </c>
      <c r="BW353" s="347" t="e">
        <f>BW352-BW181</f>
        <v>#DIV/0!</v>
      </c>
      <c r="BX353" s="347" t="e">
        <f>BX352-BX181</f>
        <v>#DIV/0!</v>
      </c>
      <c r="BY353" s="347" t="e">
        <f>BY352-BY181</f>
        <v>#DIV/0!</v>
      </c>
      <c r="BZ353" s="347" t="e">
        <f>BZ352-BZ181</f>
        <v>#DIV/0!</v>
      </c>
      <c r="CA353" s="347" t="e">
        <f>CA352-CA181</f>
        <v>#DIV/0!</v>
      </c>
      <c r="CB353" s="347" t="e">
        <f>CB352-CB181</f>
        <v>#DIV/0!</v>
      </c>
      <c r="CC353" s="347" t="e">
        <f>CC352-CC181</f>
        <v>#DIV/0!</v>
      </c>
      <c r="CD353" s="347" t="e">
        <f>CD352-CD181</f>
        <v>#DIV/0!</v>
      </c>
      <c r="CE353" s="347" t="e">
        <f>CE352-CE181</f>
        <v>#DIV/0!</v>
      </c>
      <c r="CF353" s="347" t="e">
        <f>CF352-CF181</f>
        <v>#DIV/0!</v>
      </c>
      <c r="CG353" s="347" t="e">
        <f>CG352-CG181</f>
        <v>#DIV/0!</v>
      </c>
      <c r="CH353" s="347" t="e">
        <f>CH352-CH181</f>
        <v>#DIV/0!</v>
      </c>
      <c r="CI353" s="347" t="e">
        <f>CI352-CI181</f>
        <v>#DIV/0!</v>
      </c>
      <c r="CJ353" s="347" t="e">
        <f>CJ352-CJ181</f>
        <v>#DIV/0!</v>
      </c>
      <c r="CK353" s="347" t="e">
        <f>CK352-CK181</f>
        <v>#DIV/0!</v>
      </c>
      <c r="CL353" s="347" t="e">
        <f>CL352-CL181</f>
        <v>#DIV/0!</v>
      </c>
      <c r="CM353" s="347" t="e">
        <f>CM352-CM181</f>
        <v>#DIV/0!</v>
      </c>
      <c r="CN353" s="347" t="e">
        <f>CN352-CN181</f>
        <v>#DIV/0!</v>
      </c>
      <c r="CO353" s="347" t="e">
        <f>CO352-CO181</f>
        <v>#DIV/0!</v>
      </c>
      <c r="CP353" s="347" t="e">
        <f>CP352-CP181</f>
        <v>#DIV/0!</v>
      </c>
      <c r="CQ353" s="347" t="e">
        <f>CQ352-CQ181</f>
        <v>#DIV/0!</v>
      </c>
      <c r="CR353" s="347" t="e">
        <f>CR352-CR181</f>
        <v>#DIV/0!</v>
      </c>
      <c r="CS353" s="347" t="e">
        <f>CS352-CS181</f>
        <v>#DIV/0!</v>
      </c>
      <c r="CT353" s="347" t="e">
        <f>CT352-CT181</f>
        <v>#DIV/0!</v>
      </c>
      <c r="CU353" s="347" t="e">
        <f>CU352-CU181</f>
        <v>#DIV/0!</v>
      </c>
      <c r="CV353" s="347" t="e">
        <f>CV352-CV181</f>
        <v>#DIV/0!</v>
      </c>
      <c r="CW353" s="347" t="e">
        <f>CW352-CW181</f>
        <v>#DIV/0!</v>
      </c>
      <c r="CX353" s="347" t="e">
        <f>CX352-CX181</f>
        <v>#DIV/0!</v>
      </c>
      <c r="CY353" s="347" t="e">
        <f>CY352-CY181</f>
        <v>#DIV/0!</v>
      </c>
    </row>
    <row r="354" ht="12.75" customFormat="1" customHeight="1" s="333">
      <c r="A354" s="334" t="n"/>
      <c r="B354" s="334" t="n"/>
      <c r="C354" s="333" t="inlineStr">
        <is>
          <t>OPERATING WORKING CAPITAL</t>
        </is>
      </c>
      <c r="D354" s="348">
        <f>D355-D356</f>
        <v>-22489</v>
      </c>
      <c r="E354" s="348">
        <f>E355-E356</f>
        <v>-26223</v>
      </c>
      <c r="F354" s="348">
        <f>F355-F356</f>
        <v>-22521</v>
      </c>
      <c r="G354" s="348">
        <f>G355-G356</f>
        <v>-15514</v>
      </c>
      <c r="H354" s="348">
        <f>H355-H356</f>
        <v>-15514</v>
      </c>
      <c r="I354" s="318">
        <f>I355-I356</f>
        <v>-21786</v>
      </c>
      <c r="J354" s="318">
        <f>J355-J356</f>
        <v>-21981</v>
      </c>
      <c r="K354" s="318">
        <f>K355-K356</f>
        <v>-17259</v>
      </c>
      <c r="L354" s="318">
        <f>L355-L356</f>
        <v>-16373</v>
      </c>
      <c r="M354" s="318">
        <f>M355-M356</f>
        <v>-16373</v>
      </c>
      <c r="N354" s="318">
        <f>N355-N356</f>
        <v>-8630</v>
      </c>
      <c r="O354" s="318">
        <f>O355-O356</f>
        <v>-12244</v>
      </c>
      <c r="P354" s="318">
        <f>P355-P356</f>
        <v>-11589</v>
      </c>
      <c r="Q354" s="318">
        <f>Q355-Q356</f>
        <v>-19132</v>
      </c>
      <c r="R354" s="318">
        <f>R355-R356</f>
        <v>-19132</v>
      </c>
      <c r="S354" s="318">
        <f>S355-S356</f>
        <v>-20393</v>
      </c>
      <c r="T354" s="318">
        <f>T355-T356</f>
        <v>-22161</v>
      </c>
      <c r="U354" s="318">
        <f>U355-U356</f>
        <v>-13771</v>
      </c>
      <c r="V354" s="318">
        <f>V355-V356</f>
        <v>-19593</v>
      </c>
      <c r="W354" s="318">
        <f>W355-W356</f>
        <v>-19593</v>
      </c>
      <c r="X354" s="318">
        <f>X355-X356</f>
        <v>-19549</v>
      </c>
      <c r="Y354" s="318">
        <f>Y355-Y356</f>
        <v>-21378</v>
      </c>
      <c r="Z354" s="318">
        <f>Z355-Z356</f>
        <v>-17337</v>
      </c>
      <c r="AA354" s="318">
        <f>AA355-AA356</f>
        <v>-18998</v>
      </c>
      <c r="AB354" s="318">
        <f>AB355-AB356</f>
        <v>-18998</v>
      </c>
      <c r="AC354" s="318">
        <f>AC355-AC356</f>
        <v>-20759</v>
      </c>
      <c r="AD354" s="318">
        <f>AD355-AD356</f>
        <v>-21536</v>
      </c>
      <c r="AE354" s="318">
        <f>AE355-AE356</f>
        <v>-19878</v>
      </c>
      <c r="AF354" s="318">
        <f>AF355-AF356</f>
        <v>-21553</v>
      </c>
      <c r="AG354" s="318">
        <f>AG355-AG356</f>
        <v>-21553</v>
      </c>
      <c r="AH354" s="318">
        <f>AH355-AH356</f>
        <v>-20687</v>
      </c>
      <c r="AI354" s="318">
        <f>AI355-AI356</f>
        <v>-22793</v>
      </c>
      <c r="AJ354" s="318">
        <f>AJ355-AJ356</f>
        <v>-330</v>
      </c>
      <c r="AK354" s="318">
        <f>AK355-AK356</f>
        <v>-330</v>
      </c>
      <c r="AL354" s="318">
        <f>AL355-AL356</f>
        <v>-330</v>
      </c>
      <c r="AM354" s="318" t="e">
        <f>AM355-AM356</f>
        <v>#DIV/0!</v>
      </c>
      <c r="AN354" s="318">
        <f>AN355-AN356</f>
        <v>-330</v>
      </c>
      <c r="AO354" s="318" t="e">
        <f>AO355-AO356</f>
        <v>#DIV/0!</v>
      </c>
      <c r="AP354" s="318" t="e">
        <f>AP355-AP356</f>
        <v>#DIV/0!</v>
      </c>
      <c r="AQ354" s="318" t="e">
        <f>AQ355-AQ356</f>
        <v>#DIV/0!</v>
      </c>
      <c r="AR354" s="318" t="e">
        <f>AR355-AR356</f>
        <v>#DIV/0!</v>
      </c>
      <c r="AS354" s="318" t="e">
        <f>AS355-AS356</f>
        <v>#DIV/0!</v>
      </c>
      <c r="AT354" s="318" t="e">
        <f>AT355-AT356</f>
        <v>#DIV/0!</v>
      </c>
      <c r="AU354" s="318" t="e">
        <f>AU355-AU356</f>
        <v>#DIV/0!</v>
      </c>
      <c r="AV354" s="318" t="e">
        <f>AV355-AV356</f>
        <v>#DIV/0!</v>
      </c>
      <c r="AW354" s="318" t="e">
        <f>AW355-AW356</f>
        <v>#DIV/0!</v>
      </c>
      <c r="AX354" s="318" t="e">
        <f>AX355-AX356</f>
        <v>#DIV/0!</v>
      </c>
      <c r="AY354" s="318" t="e">
        <f>AY355-AY356</f>
        <v>#DIV/0!</v>
      </c>
      <c r="AZ354" s="318" t="e">
        <f>AZ355-AZ356</f>
        <v>#DIV/0!</v>
      </c>
      <c r="BA354" s="318" t="e">
        <f>BA355-BA356</f>
        <v>#DIV/0!</v>
      </c>
      <c r="BB354" s="318" t="e">
        <f>BB355-BB356</f>
        <v>#DIV/0!</v>
      </c>
      <c r="BC354" s="318" t="e">
        <f>BC355-BC356</f>
        <v>#DIV/0!</v>
      </c>
      <c r="BD354" s="318" t="e">
        <f>BD355-BD356</f>
        <v>#DIV/0!</v>
      </c>
      <c r="BE354" s="318" t="e">
        <f>BE355-BE356</f>
        <v>#DIV/0!</v>
      </c>
      <c r="BF354" s="318" t="e">
        <f>BF355-BF356</f>
        <v>#DIV/0!</v>
      </c>
      <c r="BG354" s="318" t="e">
        <f>BG355-BG356</f>
        <v>#DIV/0!</v>
      </c>
      <c r="BH354" s="318" t="e">
        <f>BH355-BH356</f>
        <v>#DIV/0!</v>
      </c>
      <c r="BI354" s="318" t="e">
        <f>BI355-BI356</f>
        <v>#DIV/0!</v>
      </c>
      <c r="BJ354" s="318" t="e">
        <f>BJ355-BJ356</f>
        <v>#DIV/0!</v>
      </c>
      <c r="BK354" s="318" t="e">
        <f>BK355-BK356</f>
        <v>#DIV/0!</v>
      </c>
      <c r="BL354" s="318" t="e">
        <f>BL355-BL356</f>
        <v>#DIV/0!</v>
      </c>
      <c r="BM354" s="318" t="e">
        <f>BM355-BM356</f>
        <v>#DIV/0!</v>
      </c>
      <c r="BN354" s="318" t="e">
        <f>BN355-BN356</f>
        <v>#DIV/0!</v>
      </c>
      <c r="BO354" s="318" t="e">
        <f>BO355-BO356</f>
        <v>#DIV/0!</v>
      </c>
      <c r="BP354" s="318" t="e">
        <f>BP355-BP356</f>
        <v>#DIV/0!</v>
      </c>
      <c r="BQ354" s="318" t="e">
        <f>BQ355-BQ356</f>
        <v>#DIV/0!</v>
      </c>
      <c r="BR354" s="318" t="e">
        <f>BR355-BR356</f>
        <v>#DIV/0!</v>
      </c>
      <c r="BS354" s="318" t="e">
        <f>BS355-BS356</f>
        <v>#DIV/0!</v>
      </c>
      <c r="BT354" s="318" t="e">
        <f>BT355-BT356</f>
        <v>#DIV/0!</v>
      </c>
      <c r="BU354" s="318" t="e">
        <f>BU355-BU356</f>
        <v>#DIV/0!</v>
      </c>
      <c r="BV354" s="318" t="e">
        <f>BV355-BV356</f>
        <v>#DIV/0!</v>
      </c>
      <c r="BW354" s="318" t="e">
        <f>BW355-BW356</f>
        <v>#DIV/0!</v>
      </c>
      <c r="BX354" s="318" t="e">
        <f>BX355-BX356</f>
        <v>#DIV/0!</v>
      </c>
      <c r="BY354" s="318" t="e">
        <f>BY355-BY356</f>
        <v>#DIV/0!</v>
      </c>
      <c r="BZ354" s="318" t="e">
        <f>BZ355-BZ356</f>
        <v>#DIV/0!</v>
      </c>
      <c r="CA354" s="318" t="e">
        <f>CA355-CA356</f>
        <v>#DIV/0!</v>
      </c>
      <c r="CB354" s="318" t="e">
        <f>CB355-CB356</f>
        <v>#DIV/0!</v>
      </c>
      <c r="CC354" s="318" t="e">
        <f>CC355-CC356</f>
        <v>#DIV/0!</v>
      </c>
      <c r="CD354" s="318" t="e">
        <f>CD355-CD356</f>
        <v>#DIV/0!</v>
      </c>
      <c r="CE354" s="318" t="e">
        <f>CE355-CE356</f>
        <v>#DIV/0!</v>
      </c>
      <c r="CF354" s="318" t="e">
        <f>CF355-CF356</f>
        <v>#DIV/0!</v>
      </c>
      <c r="CG354" s="318" t="e">
        <f>CG355-CG356</f>
        <v>#DIV/0!</v>
      </c>
      <c r="CH354" s="318" t="e">
        <f>CH355-CH356</f>
        <v>#DIV/0!</v>
      </c>
      <c r="CI354" s="318" t="e">
        <f>CI355-CI356</f>
        <v>#DIV/0!</v>
      </c>
      <c r="CJ354" s="318" t="e">
        <f>CJ355-CJ356</f>
        <v>#DIV/0!</v>
      </c>
      <c r="CK354" s="318" t="e">
        <f>CK355-CK356</f>
        <v>#DIV/0!</v>
      </c>
      <c r="CL354" s="318" t="e">
        <f>CL355-CL356</f>
        <v>#DIV/0!</v>
      </c>
      <c r="CM354" s="318" t="e">
        <f>CM355-CM356</f>
        <v>#DIV/0!</v>
      </c>
      <c r="CN354" s="318" t="e">
        <f>CN355-CN356</f>
        <v>#DIV/0!</v>
      </c>
      <c r="CO354" s="318" t="e">
        <f>CO355-CO356</f>
        <v>#DIV/0!</v>
      </c>
      <c r="CP354" s="318" t="e">
        <f>CP355-CP356</f>
        <v>#DIV/0!</v>
      </c>
      <c r="CQ354" s="318" t="e">
        <f>CQ355-CQ356</f>
        <v>#DIV/0!</v>
      </c>
      <c r="CR354" s="318" t="e">
        <f>CR355-CR356</f>
        <v>#DIV/0!</v>
      </c>
      <c r="CS354" s="318" t="e">
        <f>CS355-CS356</f>
        <v>#DIV/0!</v>
      </c>
      <c r="CT354" s="318" t="e">
        <f>CT355-CT356</f>
        <v>#DIV/0!</v>
      </c>
      <c r="CU354" s="318" t="e">
        <f>CU355-CU356</f>
        <v>#DIV/0!</v>
      </c>
      <c r="CV354" s="318" t="e">
        <f>CV355-CV356</f>
        <v>#DIV/0!</v>
      </c>
      <c r="CW354" s="318" t="e">
        <f>CW355-CW356</f>
        <v>#DIV/0!</v>
      </c>
      <c r="CX354" s="318" t="e">
        <f>CX355-CX356</f>
        <v>#DIV/0!</v>
      </c>
      <c r="CY354" s="318" t="e">
        <f>CY355-CY356</f>
        <v>#DIV/0!</v>
      </c>
    </row>
    <row r="355" ht="12.75" customFormat="1" customHeight="1" s="333">
      <c r="A355" s="334" t="n"/>
      <c r="B355" s="334" t="n"/>
      <c r="C355" s="333" t="inlineStr">
        <is>
          <t>CURRENT ASSETS</t>
        </is>
      </c>
      <c r="D355" s="346">
        <f>D147+D151+D155+D156+D157</f>
        <v>48398</v>
      </c>
      <c r="E355" s="346">
        <f>E147+E151+E155+E156+E157</f>
        <v>48090</v>
      </c>
      <c r="F355" s="346">
        <f>F147+F151+F155+F156+F157</f>
        <v>59277</v>
      </c>
      <c r="G355" s="346">
        <f>G147+G151+G155+G156+G157</f>
        <v>72326</v>
      </c>
      <c r="H355" s="346">
        <f>H147+H151+H155+H156+H157</f>
        <v>72326</v>
      </c>
      <c r="I355" s="347">
        <f>I147+I151+I155+I156+I157</f>
        <v>53745</v>
      </c>
      <c r="J355" s="347">
        <f>J147+J151+J155+J156+J157</f>
        <v>55412</v>
      </c>
      <c r="K355" s="347">
        <f>K147+K151+K155+K156+K157</f>
        <v>66853</v>
      </c>
      <c r="L355" s="347">
        <f>L147+L151+L155+L156+L157</f>
        <v>66310</v>
      </c>
      <c r="M355" s="347">
        <f>M147+M151+M155+M156+M157</f>
        <v>66310</v>
      </c>
      <c r="N355" s="347">
        <f>N147+N151+N155+N156+N157</f>
        <v>71403</v>
      </c>
      <c r="O355" s="347">
        <f>O147+O151+O155+O156+O157</f>
        <v>70241</v>
      </c>
      <c r="P355" s="347">
        <f>P147+P151+P155+P156+P157</f>
        <v>76093</v>
      </c>
      <c r="Q355" s="347">
        <f>Q147+Q151+Q155+Q156+Q157</f>
        <v>67030</v>
      </c>
      <c r="R355" s="347">
        <f>R147+R151+R155+R156+R157</f>
        <v>67030</v>
      </c>
      <c r="S355" s="347">
        <f>S147+S151+S155+S156+S157</f>
        <v>67936</v>
      </c>
      <c r="T355" s="347">
        <f>T147+T151+T155+T156+T157</f>
        <v>68144</v>
      </c>
      <c r="U355" s="347">
        <f>U147+U151+U155+U156+U157</f>
        <v>76237</v>
      </c>
      <c r="V355" s="347">
        <f>V147+V151+V155+V156+V157</f>
        <v>67010</v>
      </c>
      <c r="W355" s="347">
        <f>W147+W151+W155+W156+W157</f>
        <v>67010</v>
      </c>
      <c r="X355" s="347">
        <f>X147+X151+X155+X156+X157</f>
        <v>67747</v>
      </c>
      <c r="Y355" s="347">
        <f>Y147+Y151+Y155+Y156+Y157</f>
        <v>67699</v>
      </c>
      <c r="Z355" s="347">
        <f>Z147+Z151+Z155+Z156+Z157</f>
        <v>76889</v>
      </c>
      <c r="AA355" s="347">
        <f>AA147+AA151+AA155+AA156+AA157</f>
        <v>70421</v>
      </c>
      <c r="AB355" s="347">
        <f>AB147+AB151+AB155+AB156+AB157</f>
        <v>70421</v>
      </c>
      <c r="AC355" s="347">
        <f>AC147+AC151+AC155+AC156+AC157</f>
        <v>70942</v>
      </c>
      <c r="AD355" s="347">
        <f>AD147+AD151+AD155+AD156+AD157</f>
        <v>72602</v>
      </c>
      <c r="AE355" s="347">
        <f>AE147+AE151+AE155+AE156+AE157</f>
        <v>82338</v>
      </c>
      <c r="AF355" s="347">
        <f>AF147+AF151+AF155+AF156+AF157</f>
        <v>74147</v>
      </c>
      <c r="AG355" s="347">
        <f>AG147+AG151+AG155+AG156+AG157</f>
        <v>74147</v>
      </c>
      <c r="AH355" s="347">
        <f>AH147+AH151+AH155+AH156+AH157</f>
        <v>77665</v>
      </c>
      <c r="AI355" s="347">
        <f>AI147+AI151+AI155+AI156+AI157</f>
        <v>77174</v>
      </c>
      <c r="AJ355" s="347">
        <f>AJ147+AJ151+AJ155+AJ156+AJ157</f>
        <v>4499</v>
      </c>
      <c r="AK355" s="347">
        <f>AK147+AK151+AK155+AK156+AK157</f>
        <v>4499</v>
      </c>
      <c r="AL355" s="347">
        <f>AL147+AL151+AL155+AL156+AL157</f>
        <v>4499</v>
      </c>
      <c r="AM355" s="347">
        <f>AM147+AM151+AM155+AM156+AM157</f>
        <v>4499</v>
      </c>
      <c r="AN355" s="347">
        <f>AN147+AN151+AN155+AN156+AN157</f>
        <v>4499</v>
      </c>
      <c r="AO355" s="347">
        <f>AO147+AO151+AO155+AO156+AO157</f>
        <v>4499</v>
      </c>
      <c r="AP355" s="347">
        <f>AP147+AP151+AP155+AP156+AP157</f>
        <v>4499</v>
      </c>
      <c r="AQ355" s="347">
        <f>AQ147+AQ151+AQ155+AQ156+AQ157</f>
        <v>4499</v>
      </c>
      <c r="AR355" s="347">
        <f>AR147+AR151+AR155+AR156+AR157</f>
        <v>4499</v>
      </c>
      <c r="AS355" s="347">
        <f>AS147+AS151+AS155+AS156+AS157</f>
        <v>4499</v>
      </c>
      <c r="AT355" s="347">
        <f>AT147+AT151+AT155+AT156+AT157</f>
        <v>4499</v>
      </c>
      <c r="AU355" s="347">
        <f>AU147+AU151+AU155+AU156+AU157</f>
        <v>4499</v>
      </c>
      <c r="AV355" s="347">
        <f>AV147+AV151+AV155+AV156+AV157</f>
        <v>4499</v>
      </c>
      <c r="AW355" s="347">
        <f>AW147+AW151+AW155+AW156+AW157</f>
        <v>4499</v>
      </c>
      <c r="AX355" s="347">
        <f>AX147+AX151+AX155+AX156+AX157</f>
        <v>4499</v>
      </c>
      <c r="AY355" s="347">
        <f>AY147+AY151+AY155+AY156+AY157</f>
        <v>4499</v>
      </c>
      <c r="AZ355" s="347">
        <f>AZ147+AZ151+AZ155+AZ156+AZ157</f>
        <v>4499</v>
      </c>
      <c r="BA355" s="347">
        <f>BA147+BA151+BA155+BA156+BA157</f>
        <v>4499</v>
      </c>
      <c r="BB355" s="347">
        <f>BB147+BB151+BB155+BB156+BB157</f>
        <v>4499</v>
      </c>
      <c r="BC355" s="347">
        <f>BC147+BC151+BC155+BC156+BC157</f>
        <v>4499</v>
      </c>
      <c r="BD355" s="347">
        <f>BD147+BD151+BD155+BD156+BD157</f>
        <v>4499</v>
      </c>
      <c r="BE355" s="347">
        <f>BE147+BE151+BE155+BE156+BE157</f>
        <v>4499</v>
      </c>
      <c r="BF355" s="347">
        <f>BF147+BF151+BF155+BF156+BF157</f>
        <v>4499</v>
      </c>
      <c r="BG355" s="347">
        <f>BG147+BG151+BG155+BG156+BG157</f>
        <v>4499</v>
      </c>
      <c r="BH355" s="347">
        <f>BH147+BH151+BH155+BH156+BH157</f>
        <v>4499</v>
      </c>
      <c r="BI355" s="347">
        <f>BI147+BI151+BI155+BI156+BI157</f>
        <v>4499</v>
      </c>
      <c r="BJ355" s="347">
        <f>BJ147+BJ151+BJ155+BJ156+BJ157</f>
        <v>4499</v>
      </c>
      <c r="BK355" s="347">
        <f>BK147+BK151+BK155+BK156+BK157</f>
        <v>4499</v>
      </c>
      <c r="BL355" s="347">
        <f>BL147+BL151+BL155+BL156+BL157</f>
        <v>4499</v>
      </c>
      <c r="BM355" s="347">
        <f>BM147+BM151+BM155+BM156+BM157</f>
        <v>4499</v>
      </c>
      <c r="BN355" s="347">
        <f>BN147+BN151+BN155+BN156+BN157</f>
        <v>4499</v>
      </c>
      <c r="BO355" s="347">
        <f>BO147+BO151+BO155+BO156+BO157</f>
        <v>4499</v>
      </c>
      <c r="BP355" s="347">
        <f>BP147+BP151+BP155+BP156+BP157</f>
        <v>4499</v>
      </c>
      <c r="BQ355" s="347">
        <f>BQ147+BQ151+BQ155+BQ156+BQ157</f>
        <v>4499</v>
      </c>
      <c r="BR355" s="347">
        <f>BR147+BR151+BR155+BR156+BR157</f>
        <v>4499</v>
      </c>
      <c r="BS355" s="347">
        <f>BS147+BS151+BS155+BS156+BS157</f>
        <v>4499</v>
      </c>
      <c r="BT355" s="347">
        <f>BT147+BT151+BT155+BT156+BT157</f>
        <v>4499</v>
      </c>
      <c r="BU355" s="347">
        <f>BU147+BU151+BU155+BU156+BU157</f>
        <v>4499</v>
      </c>
      <c r="BV355" s="347">
        <f>BV147+BV151+BV155+BV156+BV157</f>
        <v>4499</v>
      </c>
      <c r="BW355" s="347">
        <f>BW147+BW151+BW155+BW156+BW157</f>
        <v>4499</v>
      </c>
      <c r="BX355" s="347">
        <f>BX147+BX151+BX155+BX156+BX157</f>
        <v>4499</v>
      </c>
      <c r="BY355" s="347">
        <f>BY147+BY151+BY155+BY156+BY157</f>
        <v>4499</v>
      </c>
      <c r="BZ355" s="347">
        <f>BZ147+BZ151+BZ155+BZ156+BZ157</f>
        <v>4499</v>
      </c>
      <c r="CA355" s="347">
        <f>CA147+CA151+CA155+CA156+CA157</f>
        <v>4499</v>
      </c>
      <c r="CB355" s="347">
        <f>CB147+CB151+CB155+CB156+CB157</f>
        <v>4499</v>
      </c>
      <c r="CC355" s="347">
        <f>CC147+CC151+CC155+CC156+CC157</f>
        <v>4499</v>
      </c>
      <c r="CD355" s="347">
        <f>CD147+CD151+CD155+CD156+CD157</f>
        <v>4499</v>
      </c>
      <c r="CE355" s="347">
        <f>CE147+CE151+CE155+CE156+CE157</f>
        <v>4499</v>
      </c>
      <c r="CF355" s="347">
        <f>CF147+CF151+CF155+CF156+CF157</f>
        <v>4499</v>
      </c>
      <c r="CG355" s="347">
        <f>CG147+CG151+CG155+CG156+CG157</f>
        <v>4499</v>
      </c>
      <c r="CH355" s="347">
        <f>CH147+CH151+CH155+CH156+CH157</f>
        <v>4499</v>
      </c>
      <c r="CI355" s="347">
        <f>CI147+CI151+CI155+CI156+CI157</f>
        <v>4499</v>
      </c>
      <c r="CJ355" s="347">
        <f>CJ147+CJ151+CJ155+CJ156+CJ157</f>
        <v>4499</v>
      </c>
      <c r="CK355" s="347">
        <f>CK147+CK151+CK155+CK156+CK157</f>
        <v>4499</v>
      </c>
      <c r="CL355" s="347">
        <f>CL147+CL151+CL155+CL156+CL157</f>
        <v>4499</v>
      </c>
      <c r="CM355" s="347">
        <f>CM147+CM151+CM155+CM156+CM157</f>
        <v>4499</v>
      </c>
      <c r="CN355" s="347">
        <f>CN147+CN151+CN155+CN156+CN157</f>
        <v>4499</v>
      </c>
      <c r="CO355" s="347">
        <f>CO147+CO151+CO155+CO156+CO157</f>
        <v>4499</v>
      </c>
      <c r="CP355" s="347">
        <f>CP147+CP151+CP155+CP156+CP157</f>
        <v>4499</v>
      </c>
      <c r="CQ355" s="347">
        <f>CQ147+CQ151+CQ155+CQ156+CQ157</f>
        <v>4499</v>
      </c>
      <c r="CR355" s="347">
        <f>CR147+CR151+CR155+CR156+CR157</f>
        <v>4499</v>
      </c>
      <c r="CS355" s="347">
        <f>CS147+CS151+CS155+CS156+CS157</f>
        <v>4499</v>
      </c>
      <c r="CT355" s="347">
        <f>CT147+CT151+CT155+CT156+CT157</f>
        <v>4499</v>
      </c>
      <c r="CU355" s="347">
        <f>CU147+CU151+CU155+CU156+CU157</f>
        <v>4499</v>
      </c>
      <c r="CV355" s="347">
        <f>CV147+CV151+CV155+CV156+CV157</f>
        <v>4499</v>
      </c>
      <c r="CW355" s="347">
        <f>CW147+CW151+CW155+CW156+CW157</f>
        <v>4499</v>
      </c>
      <c r="CX355" s="347">
        <f>CX147+CX151+CX155+CX156+CX157</f>
        <v>4499</v>
      </c>
      <c r="CY355" s="347">
        <f>CY147+CY151+CY155+CY156+CY157</f>
        <v>4499</v>
      </c>
    </row>
    <row r="356" ht="12.75" customFormat="1" customHeight="1" s="333">
      <c r="A356" s="334" t="n"/>
      <c r="B356" s="334" t="n"/>
      <c r="C356" s="333" t="inlineStr">
        <is>
          <t>CURRENT LIABILITIES</t>
        </is>
      </c>
      <c r="D356" s="346">
        <f>D200+D204+D206+D207</f>
        <v>70887</v>
      </c>
      <c r="E356" s="346">
        <f>E200+E204+E206+E207</f>
        <v>74313</v>
      </c>
      <c r="F356" s="346">
        <f>F200+F204+F206+F207</f>
        <v>81798</v>
      </c>
      <c r="G356" s="346">
        <f>G200+G204+G206+G207</f>
        <v>87840</v>
      </c>
      <c r="H356" s="346">
        <f>H200+H204+H206+H207</f>
        <v>87840</v>
      </c>
      <c r="I356" s="347">
        <f>I200+I204+I206+I207</f>
        <v>75531</v>
      </c>
      <c r="J356" s="347">
        <f>J200+J204+J206+J207</f>
        <v>77393</v>
      </c>
      <c r="K356" s="347">
        <f>K200+K204+K206+K207</f>
        <v>84112</v>
      </c>
      <c r="L356" s="347">
        <f>L200+L204+L206+L207</f>
        <v>82683</v>
      </c>
      <c r="M356" s="347">
        <f>M200+M204+M206+M207</f>
        <v>82683</v>
      </c>
      <c r="N356" s="347">
        <f>N200+N204+N206+N207</f>
        <v>80033</v>
      </c>
      <c r="O356" s="347">
        <f>O200+O204+O206+O207</f>
        <v>82485</v>
      </c>
      <c r="P356" s="347">
        <f>P200+P204+P206+P207</f>
        <v>87682</v>
      </c>
      <c r="Q356" s="347">
        <f>Q200+Q204+Q206+Q207</f>
        <v>86162</v>
      </c>
      <c r="R356" s="347">
        <f>R200+R204+R206+R207</f>
        <v>86162</v>
      </c>
      <c r="S356" s="347">
        <f>S200+S204+S206+S207</f>
        <v>88329</v>
      </c>
      <c r="T356" s="347">
        <f>T200+T204+T206+T207</f>
        <v>90305</v>
      </c>
      <c r="U356" s="347">
        <f>U200+U204+U206+U207</f>
        <v>90008</v>
      </c>
      <c r="V356" s="347">
        <f>V200+V204+V206+V207</f>
        <v>86603</v>
      </c>
      <c r="W356" s="347">
        <f>W200+W204+W206+W207</f>
        <v>86603</v>
      </c>
      <c r="X356" s="347">
        <f>X200+X204+X206+X207</f>
        <v>87296</v>
      </c>
      <c r="Y356" s="347">
        <f>Y200+Y204+Y206+Y207</f>
        <v>89077</v>
      </c>
      <c r="Z356" s="347">
        <f>Z200+Z204+Z206+Z207</f>
        <v>94226</v>
      </c>
      <c r="AA356" s="347">
        <f>AA200+AA204+AA206+AA207</f>
        <v>89419</v>
      </c>
      <c r="AB356" s="347">
        <f>AB200+AB204+AB206+AB207</f>
        <v>89419</v>
      </c>
      <c r="AC356" s="347">
        <f>AC200+AC204+AC206+AC207</f>
        <v>91701</v>
      </c>
      <c r="AD356" s="347">
        <f>AD200+AD204+AD206+AD207</f>
        <v>94138</v>
      </c>
      <c r="AE356" s="347">
        <f>AE200+AE204+AE206+AE207</f>
        <v>102216</v>
      </c>
      <c r="AF356" s="347">
        <f>AF200+AF204+AF206+AF207</f>
        <v>95700</v>
      </c>
      <c r="AG356" s="347">
        <f>AG200+AG204+AG206+AG207</f>
        <v>95700</v>
      </c>
      <c r="AH356" s="347">
        <f>AH200+AH204+AH206+AH207</f>
        <v>98352</v>
      </c>
      <c r="AI356" s="347">
        <f>AI200+AI204+AI206+AI207</f>
        <v>99967</v>
      </c>
      <c r="AJ356" s="347">
        <f>AJ200+AJ204+AJ206+AJ207</f>
        <v>4829</v>
      </c>
      <c r="AK356" s="347">
        <f>AK200+AK204+AK206+AK207</f>
        <v>4829</v>
      </c>
      <c r="AL356" s="347">
        <f>AL200+AL204+AL206+AL207</f>
        <v>4829</v>
      </c>
      <c r="AM356" s="347" t="e">
        <f>AM200+AM204+AM206+AM207</f>
        <v>#DIV/0!</v>
      </c>
      <c r="AN356" s="347">
        <f>AN200+AN204+AN206+AN207</f>
        <v>4829</v>
      </c>
      <c r="AO356" s="347" t="e">
        <f>AO200+AO204+AO206+AO207</f>
        <v>#DIV/0!</v>
      </c>
      <c r="AP356" s="347" t="e">
        <f>AP200+AP204+AP206+AP207</f>
        <v>#DIV/0!</v>
      </c>
      <c r="AQ356" s="347" t="e">
        <f>AQ200+AQ204+AQ206+AQ207</f>
        <v>#DIV/0!</v>
      </c>
      <c r="AR356" s="347" t="e">
        <f>AR200+AR204+AR206+AR207</f>
        <v>#DIV/0!</v>
      </c>
      <c r="AS356" s="347" t="e">
        <f>AS200+AS204+AS206+AS207</f>
        <v>#DIV/0!</v>
      </c>
      <c r="AT356" s="347" t="e">
        <f>AT200+AT204+AT206+AT207</f>
        <v>#DIV/0!</v>
      </c>
      <c r="AU356" s="347" t="e">
        <f>AU200+AU204+AU206+AU207</f>
        <v>#DIV/0!</v>
      </c>
      <c r="AV356" s="347" t="e">
        <f>AV200+AV204+AV206+AV207</f>
        <v>#DIV/0!</v>
      </c>
      <c r="AW356" s="347" t="e">
        <f>AW200+AW204+AW206+AW207</f>
        <v>#DIV/0!</v>
      </c>
      <c r="AX356" s="347" t="e">
        <f>AX200+AX204+AX206+AX207</f>
        <v>#DIV/0!</v>
      </c>
      <c r="AY356" s="347" t="e">
        <f>AY200+AY204+AY206+AY207</f>
        <v>#DIV/0!</v>
      </c>
      <c r="AZ356" s="347" t="e">
        <f>AZ200+AZ204+AZ206+AZ207</f>
        <v>#DIV/0!</v>
      </c>
      <c r="BA356" s="347" t="e">
        <f>BA200+BA204+BA206+BA207</f>
        <v>#DIV/0!</v>
      </c>
      <c r="BB356" s="347" t="e">
        <f>BB200+BB204+BB206+BB207</f>
        <v>#DIV/0!</v>
      </c>
      <c r="BC356" s="347" t="e">
        <f>BC200+BC204+BC206+BC207</f>
        <v>#DIV/0!</v>
      </c>
      <c r="BD356" s="347" t="e">
        <f>BD200+BD204+BD206+BD207</f>
        <v>#DIV/0!</v>
      </c>
      <c r="BE356" s="347" t="e">
        <f>BE200+BE204+BE206+BE207</f>
        <v>#DIV/0!</v>
      </c>
      <c r="BF356" s="347" t="e">
        <f>BF200+BF204+BF206+BF207</f>
        <v>#DIV/0!</v>
      </c>
      <c r="BG356" s="347" t="e">
        <f>BG200+BG204+BG206+BG207</f>
        <v>#DIV/0!</v>
      </c>
      <c r="BH356" s="347" t="e">
        <f>BH200+BH204+BH206+BH207</f>
        <v>#DIV/0!</v>
      </c>
      <c r="BI356" s="347" t="e">
        <f>BI200+BI204+BI206+BI207</f>
        <v>#DIV/0!</v>
      </c>
      <c r="BJ356" s="347" t="e">
        <f>BJ200+BJ204+BJ206+BJ207</f>
        <v>#DIV/0!</v>
      </c>
      <c r="BK356" s="347" t="e">
        <f>BK200+BK204+BK206+BK207</f>
        <v>#DIV/0!</v>
      </c>
      <c r="BL356" s="347" t="e">
        <f>BL200+BL204+BL206+BL207</f>
        <v>#DIV/0!</v>
      </c>
      <c r="BM356" s="347" t="e">
        <f>BM200+BM204+BM206+BM207</f>
        <v>#DIV/0!</v>
      </c>
      <c r="BN356" s="347" t="e">
        <f>BN200+BN204+BN206+BN207</f>
        <v>#DIV/0!</v>
      </c>
      <c r="BO356" s="347" t="e">
        <f>BO200+BO204+BO206+BO207</f>
        <v>#DIV/0!</v>
      </c>
      <c r="BP356" s="347" t="e">
        <f>BP200+BP204+BP206+BP207</f>
        <v>#DIV/0!</v>
      </c>
      <c r="BQ356" s="347" t="e">
        <f>BQ200+BQ204+BQ206+BQ207</f>
        <v>#DIV/0!</v>
      </c>
      <c r="BR356" s="347" t="e">
        <f>BR200+BR204+BR206+BR207</f>
        <v>#DIV/0!</v>
      </c>
      <c r="BS356" s="347" t="e">
        <f>BS200+BS204+BS206+BS207</f>
        <v>#DIV/0!</v>
      </c>
      <c r="BT356" s="347" t="e">
        <f>BT200+BT204+BT206+BT207</f>
        <v>#DIV/0!</v>
      </c>
      <c r="BU356" s="347" t="e">
        <f>BU200+BU204+BU206+BU207</f>
        <v>#DIV/0!</v>
      </c>
      <c r="BV356" s="347" t="e">
        <f>BV200+BV204+BV206+BV207</f>
        <v>#DIV/0!</v>
      </c>
      <c r="BW356" s="347" t="e">
        <f>BW200+BW204+BW206+BW207</f>
        <v>#DIV/0!</v>
      </c>
      <c r="BX356" s="347" t="e">
        <f>BX200+BX204+BX206+BX207</f>
        <v>#DIV/0!</v>
      </c>
      <c r="BY356" s="347" t="e">
        <f>BY200+BY204+BY206+BY207</f>
        <v>#DIV/0!</v>
      </c>
      <c r="BZ356" s="347" t="e">
        <f>BZ200+BZ204+BZ206+BZ207</f>
        <v>#DIV/0!</v>
      </c>
      <c r="CA356" s="347" t="e">
        <f>CA200+CA204+CA206+CA207</f>
        <v>#DIV/0!</v>
      </c>
      <c r="CB356" s="347" t="e">
        <f>CB200+CB204+CB206+CB207</f>
        <v>#DIV/0!</v>
      </c>
      <c r="CC356" s="347" t="e">
        <f>CC200+CC204+CC206+CC207</f>
        <v>#DIV/0!</v>
      </c>
      <c r="CD356" s="347" t="e">
        <f>CD200+CD204+CD206+CD207</f>
        <v>#DIV/0!</v>
      </c>
      <c r="CE356" s="347" t="e">
        <f>CE200+CE204+CE206+CE207</f>
        <v>#DIV/0!</v>
      </c>
      <c r="CF356" s="347" t="e">
        <f>CF200+CF204+CF206+CF207</f>
        <v>#DIV/0!</v>
      </c>
      <c r="CG356" s="347" t="e">
        <f>CG200+CG204+CG206+CG207</f>
        <v>#DIV/0!</v>
      </c>
      <c r="CH356" s="347" t="e">
        <f>CH200+CH204+CH206+CH207</f>
        <v>#DIV/0!</v>
      </c>
      <c r="CI356" s="347" t="e">
        <f>CI200+CI204+CI206+CI207</f>
        <v>#DIV/0!</v>
      </c>
      <c r="CJ356" s="347" t="e">
        <f>CJ200+CJ204+CJ206+CJ207</f>
        <v>#DIV/0!</v>
      </c>
      <c r="CK356" s="347" t="e">
        <f>CK200+CK204+CK206+CK207</f>
        <v>#DIV/0!</v>
      </c>
      <c r="CL356" s="347" t="e">
        <f>CL200+CL204+CL206+CL207</f>
        <v>#DIV/0!</v>
      </c>
      <c r="CM356" s="347" t="e">
        <f>CM200+CM204+CM206+CM207</f>
        <v>#DIV/0!</v>
      </c>
      <c r="CN356" s="347" t="e">
        <f>CN200+CN204+CN206+CN207</f>
        <v>#DIV/0!</v>
      </c>
      <c r="CO356" s="347" t="e">
        <f>CO200+CO204+CO206+CO207</f>
        <v>#DIV/0!</v>
      </c>
      <c r="CP356" s="347" t="e">
        <f>CP200+CP204+CP206+CP207</f>
        <v>#DIV/0!</v>
      </c>
      <c r="CQ356" s="347" t="e">
        <f>CQ200+CQ204+CQ206+CQ207</f>
        <v>#DIV/0!</v>
      </c>
      <c r="CR356" s="347" t="e">
        <f>CR200+CR204+CR206+CR207</f>
        <v>#DIV/0!</v>
      </c>
      <c r="CS356" s="347" t="e">
        <f>CS200+CS204+CS206+CS207</f>
        <v>#DIV/0!</v>
      </c>
      <c r="CT356" s="347" t="e">
        <f>CT200+CT204+CT206+CT207</f>
        <v>#DIV/0!</v>
      </c>
      <c r="CU356" s="347" t="e">
        <f>CU200+CU204+CU206+CU207</f>
        <v>#DIV/0!</v>
      </c>
      <c r="CV356" s="347" t="e">
        <f>CV200+CV204+CV206+CV207</f>
        <v>#DIV/0!</v>
      </c>
      <c r="CW356" s="347" t="e">
        <f>CW200+CW204+CW206+CW207</f>
        <v>#DIV/0!</v>
      </c>
      <c r="CX356" s="347" t="e">
        <f>CX200+CX204+CX206+CX207</f>
        <v>#DIV/0!</v>
      </c>
      <c r="CY356" s="347" t="e">
        <f>CY200+CY204+CY206+CY207</f>
        <v>#DIV/0!</v>
      </c>
    </row>
    <row r="357" ht="12.75" customFormat="1" customHeight="1" s="333">
      <c r="A357" s="334" t="n"/>
      <c r="B357" s="334" t="n"/>
      <c r="C357" s="333" t="inlineStr">
        <is>
          <t>FIXED ASSETS</t>
        </is>
      </c>
      <c r="D357" s="346">
        <f>D168+D178+D181+D182+D191-D242</f>
        <v>152104</v>
      </c>
      <c r="E357" s="346">
        <f>E168+E178+E181+E182+E191-E242</f>
        <v>154786</v>
      </c>
      <c r="F357" s="346">
        <f>F168+F178+F181+F182+F191-F242</f>
        <v>158854</v>
      </c>
      <c r="G357" s="346">
        <f>G168+G178+G181+G182+G191-G242</f>
        <v>144212</v>
      </c>
      <c r="H357" s="346">
        <f>H168+H178+H181+H182+H191-H242</f>
        <v>144212</v>
      </c>
      <c r="I357" s="347">
        <f>I168+I178+I181+I182+I191-I242</f>
        <v>142045</v>
      </c>
      <c r="J357" s="347">
        <f>J168+J178+J181+J182+J191-J242</f>
        <v>142703</v>
      </c>
      <c r="K357" s="347">
        <f>K168+K178+K181+K182+K191-K242</f>
        <v>144933</v>
      </c>
      <c r="L357" s="347">
        <f>L168+L178+L181+L182+L191-L242</f>
        <v>146073</v>
      </c>
      <c r="M357" s="347">
        <f>M168+M178+M181+M182+M191-M242</f>
        <v>146073</v>
      </c>
      <c r="N357" s="347">
        <f>N168+N178+N181+N182+N191-N242</f>
        <v>144570</v>
      </c>
      <c r="O357" s="347">
        <f>O168+O178+O181+O182+O191-O242</f>
        <v>144523</v>
      </c>
      <c r="P357" s="347">
        <f>P168+P178+P181+P182+P191-P242</f>
        <v>140704</v>
      </c>
      <c r="Q357" s="347">
        <f>Q168+Q178+Q181+Q182+Q191-Q242</f>
        <v>148011</v>
      </c>
      <c r="R357" s="347">
        <f>R168+R178+R181+R182+R191-R242</f>
        <v>148011</v>
      </c>
      <c r="S357" s="347">
        <f>S168+S178+S181+S182+S191-S242</f>
        <v>147504</v>
      </c>
      <c r="T357" s="347">
        <f>T168+T178+T181+T182+T191-T242</f>
        <v>152531</v>
      </c>
      <c r="U357" s="347">
        <f>U168+U178+U181+U182+U191-U242</f>
        <v>150809</v>
      </c>
      <c r="V357" s="347">
        <f>V168+V178+V181+V182+V191-V242</f>
        <v>155184</v>
      </c>
      <c r="W357" s="347">
        <f>W168+W178+W181+W182+W191-W242</f>
        <v>155184</v>
      </c>
      <c r="X357" s="347">
        <f>X168+X178+X181+X182+X191-X242</f>
        <v>156006</v>
      </c>
      <c r="Y357" s="347">
        <f>Y168+Y178+Y181+Y182+Y191-Y242</f>
        <v>157697</v>
      </c>
      <c r="Z357" s="347">
        <f>Z168+Z178+Z181+Z182+Z191-Z242</f>
        <v>156657</v>
      </c>
      <c r="AA357" s="347">
        <f>AA168+AA178+AA181+AA182+AA191-AA242</f>
        <v>161044</v>
      </c>
      <c r="AB357" s="347">
        <f>AB168+AB178+AB181+AB182+AB191-AB242</f>
        <v>161044</v>
      </c>
      <c r="AC357" s="347">
        <f>AC168+AC178+AC181+AC182+AC191-AC242</f>
        <v>162632</v>
      </c>
      <c r="AD357" s="347">
        <f>AD168+AD178+AD181+AD182+AD191-AD242</f>
        <v>167201</v>
      </c>
      <c r="AE357" s="347">
        <f>AE168+AE178+AE181+AE182+AE191-AE242</f>
        <v>173474</v>
      </c>
      <c r="AF357" s="347">
        <f>AF168+AF178+AF181+AF182+AF191-AF242</f>
        <v>177340</v>
      </c>
      <c r="AG357" s="347">
        <f>AG168+AG178+AG181+AG182+AG191-AG242</f>
        <v>177340</v>
      </c>
      <c r="AH357" s="347">
        <f>AH168+AH178+AH181+AH182+AH191-AH242</f>
        <v>178439</v>
      </c>
      <c r="AI357" s="347">
        <f>AI168+AI178+AI181+AI182+AI191-AI242</f>
        <v>182986</v>
      </c>
      <c r="AJ357" s="347">
        <f>AJ168+AJ178+AJ181+AJ182+AJ191-AJ242</f>
        <v>182986</v>
      </c>
      <c r="AK357" s="347">
        <f>AK168+AK178+AK181+AK182+AK191-AK242</f>
        <v>182986</v>
      </c>
      <c r="AL357" s="347">
        <f>AL168+AL178+AL181+AL182+AL191-AL242</f>
        <v>182986</v>
      </c>
      <c r="AM357" s="347">
        <f>AM168+AM178+AM181+AM182+AM191-AM242</f>
        <v>182986</v>
      </c>
      <c r="AN357" s="347">
        <f>AN168+AN178+AN181+AN182+AN191-AN242</f>
        <v>182986</v>
      </c>
      <c r="AO357" s="347">
        <f>AO168+AO178+AO181+AO182+AO191-AO242</f>
        <v>182986</v>
      </c>
      <c r="AP357" s="347">
        <f>AP168+AP178+AP181+AP182+AP191-AP242</f>
        <v>182986</v>
      </c>
      <c r="AQ357" s="347">
        <f>AQ168+AQ178+AQ181+AQ182+AQ191-AQ242</f>
        <v>182986</v>
      </c>
      <c r="AR357" s="347">
        <f>AR168+AR178+AR181+AR182+AR191-AR242</f>
        <v>182986</v>
      </c>
      <c r="AS357" s="347">
        <f>AS168+AS178+AS181+AS182+AS191-AS242</f>
        <v>182986</v>
      </c>
      <c r="AT357" s="347">
        <f>AT168+AT178+AT181+AT182+AT191-AT242</f>
        <v>182986</v>
      </c>
      <c r="AU357" s="347">
        <f>AU168+AU178+AU181+AU182+AU191-AU242</f>
        <v>182986</v>
      </c>
      <c r="AV357" s="347">
        <f>AV168+AV178+AV181+AV182+AV191-AV242</f>
        <v>182986</v>
      </c>
      <c r="AW357" s="347">
        <f>AW168+AW178+AW181+AW182+AW191-AW242</f>
        <v>182986</v>
      </c>
      <c r="AX357" s="347">
        <f>AX168+AX178+AX181+AX182+AX191-AX242</f>
        <v>182986</v>
      </c>
      <c r="AY357" s="347">
        <f>AY168+AY178+AY181+AY182+AY191-AY242</f>
        <v>182986</v>
      </c>
      <c r="AZ357" s="347">
        <f>AZ168+AZ178+AZ181+AZ182+AZ191-AZ242</f>
        <v>182986</v>
      </c>
      <c r="BA357" s="347">
        <f>BA168+BA178+BA181+BA182+BA191-BA242</f>
        <v>182986</v>
      </c>
      <c r="BB357" s="347">
        <f>BB168+BB178+BB181+BB182+BB191-BB242</f>
        <v>182986</v>
      </c>
      <c r="BC357" s="347">
        <f>BC168+BC178+BC181+BC182+BC191-BC242</f>
        <v>182986</v>
      </c>
      <c r="BD357" s="347">
        <f>BD168+BD178+BD181+BD182+BD191-BD242</f>
        <v>182986</v>
      </c>
      <c r="BE357" s="347">
        <f>BE168+BE178+BE181+BE182+BE191-BE242</f>
        <v>182986</v>
      </c>
      <c r="BF357" s="347">
        <f>BF168+BF178+BF181+BF182+BF191-BF242</f>
        <v>182986</v>
      </c>
      <c r="BG357" s="347">
        <f>BG168+BG178+BG181+BG182+BG191-BG242</f>
        <v>182986</v>
      </c>
      <c r="BH357" s="347">
        <f>BH168+BH178+BH181+BH182+BH191-BH242</f>
        <v>182986</v>
      </c>
      <c r="BI357" s="347">
        <f>BI168+BI178+BI181+BI182+BI191-BI242</f>
        <v>182986</v>
      </c>
      <c r="BJ357" s="347">
        <f>BJ168+BJ178+BJ181+BJ182+BJ191-BJ242</f>
        <v>182986</v>
      </c>
      <c r="BK357" s="347">
        <f>BK168+BK178+BK181+BK182+BK191-BK242</f>
        <v>182986</v>
      </c>
      <c r="BL357" s="347">
        <f>BL168+BL178+BL181+BL182+BL191-BL242</f>
        <v>182986</v>
      </c>
      <c r="BM357" s="347">
        <f>BM168+BM178+BM181+BM182+BM191-BM242</f>
        <v>182986</v>
      </c>
      <c r="BN357" s="347">
        <f>BN168+BN178+BN181+BN182+BN191-BN242</f>
        <v>182986</v>
      </c>
      <c r="BO357" s="347">
        <f>BO168+BO178+BO181+BO182+BO191-BO242</f>
        <v>182986</v>
      </c>
      <c r="BP357" s="347">
        <f>BP168+BP178+BP181+BP182+BP191-BP242</f>
        <v>182986</v>
      </c>
      <c r="BQ357" s="347">
        <f>BQ168+BQ178+BQ181+BQ182+BQ191-BQ242</f>
        <v>182986</v>
      </c>
      <c r="BR357" s="347">
        <f>BR168+BR178+BR181+BR182+BR191-BR242</f>
        <v>182986</v>
      </c>
      <c r="BS357" s="347">
        <f>BS168+BS178+BS181+BS182+BS191-BS242</f>
        <v>182986</v>
      </c>
      <c r="BT357" s="347">
        <f>BT168+BT178+BT181+BT182+BT191-BT242</f>
        <v>182986</v>
      </c>
      <c r="BU357" s="347">
        <f>BU168+BU178+BU181+BU182+BU191-BU242</f>
        <v>182986</v>
      </c>
      <c r="BV357" s="347">
        <f>BV168+BV178+BV181+BV182+BV191-BV242</f>
        <v>182986</v>
      </c>
      <c r="BW357" s="347">
        <f>BW168+BW178+BW181+BW182+BW191-BW242</f>
        <v>182986</v>
      </c>
      <c r="BX357" s="347">
        <f>BX168+BX178+BX181+BX182+BX191-BX242</f>
        <v>182986</v>
      </c>
      <c r="BY357" s="347">
        <f>BY168+BY178+BY181+BY182+BY191-BY242</f>
        <v>182986</v>
      </c>
      <c r="BZ357" s="347">
        <f>BZ168+BZ178+BZ181+BZ182+BZ191-BZ242</f>
        <v>182986</v>
      </c>
      <c r="CA357" s="347">
        <f>CA168+CA178+CA181+CA182+CA191-CA242</f>
        <v>182986</v>
      </c>
      <c r="CB357" s="347">
        <f>CB168+CB178+CB181+CB182+CB191-CB242</f>
        <v>182986</v>
      </c>
      <c r="CC357" s="347">
        <f>CC168+CC178+CC181+CC182+CC191-CC242</f>
        <v>182986</v>
      </c>
      <c r="CD357" s="347">
        <f>CD168+CD178+CD181+CD182+CD191-CD242</f>
        <v>182986</v>
      </c>
      <c r="CE357" s="347">
        <f>CE168+CE178+CE181+CE182+CE191-CE242</f>
        <v>182986</v>
      </c>
      <c r="CF357" s="347">
        <f>CF168+CF178+CF181+CF182+CF191-CF242</f>
        <v>182986</v>
      </c>
      <c r="CG357" s="347">
        <f>CG168+CG178+CG181+CG182+CG191-CG242</f>
        <v>182986</v>
      </c>
      <c r="CH357" s="347">
        <f>CH168+CH178+CH181+CH182+CH191-CH242</f>
        <v>182986</v>
      </c>
      <c r="CI357" s="347">
        <f>CI168+CI178+CI181+CI182+CI191-CI242</f>
        <v>182986</v>
      </c>
      <c r="CJ357" s="347">
        <f>CJ168+CJ178+CJ181+CJ182+CJ191-CJ242</f>
        <v>182986</v>
      </c>
      <c r="CK357" s="347">
        <f>CK168+CK178+CK181+CK182+CK191-CK242</f>
        <v>182986</v>
      </c>
      <c r="CL357" s="347">
        <f>CL168+CL178+CL181+CL182+CL191-CL242</f>
        <v>182986</v>
      </c>
      <c r="CM357" s="347">
        <f>CM168+CM178+CM181+CM182+CM191-CM242</f>
        <v>182986</v>
      </c>
      <c r="CN357" s="347">
        <f>CN168+CN178+CN181+CN182+CN191-CN242</f>
        <v>182986</v>
      </c>
      <c r="CO357" s="347">
        <f>CO168+CO178+CO181+CO182+CO191-CO242</f>
        <v>182986</v>
      </c>
      <c r="CP357" s="347">
        <f>CP168+CP178+CP181+CP182+CP191-CP242</f>
        <v>182986</v>
      </c>
      <c r="CQ357" s="347">
        <f>CQ168+CQ178+CQ181+CQ182+CQ191-CQ242</f>
        <v>182986</v>
      </c>
      <c r="CR357" s="347">
        <f>CR168+CR178+CR181+CR182+CR191-CR242</f>
        <v>182986</v>
      </c>
      <c r="CS357" s="347">
        <f>CS168+CS178+CS181+CS182+CS191-CS242</f>
        <v>182986</v>
      </c>
      <c r="CT357" s="347">
        <f>CT168+CT178+CT181+CT182+CT191-CT242</f>
        <v>182986</v>
      </c>
      <c r="CU357" s="347">
        <f>CU168+CU178+CU181+CU182+CU191-CU242</f>
        <v>182986</v>
      </c>
      <c r="CV357" s="347">
        <f>CV168+CV178+CV181+CV182+CV191-CV242</f>
        <v>182986</v>
      </c>
      <c r="CW357" s="347">
        <f>CW168+CW178+CW181+CW182+CW191-CW242</f>
        <v>182986</v>
      </c>
      <c r="CX357" s="347">
        <f>CX168+CX178+CX181+CX182+CX191-CX242</f>
        <v>182986</v>
      </c>
      <c r="CY357" s="347">
        <f>CY168+CY178+CY181+CY182+CY191-CY242</f>
        <v>182986</v>
      </c>
    </row>
    <row r="358" ht="12.75" customFormat="1" customHeight="1" s="333">
      <c r="A358" s="334" t="n"/>
      <c r="B358" s="334" t="n"/>
    </row>
    <row r="359" ht="12.75" customFormat="1" customHeight="1" s="333">
      <c r="A359" s="334" t="n"/>
      <c r="B359" s="334" t="n"/>
    </row>
    <row r="360" ht="12.75" customFormat="1" customHeight="1" s="333">
      <c r="A360" s="334" t="n"/>
      <c r="B360" s="334" t="n"/>
    </row>
    <row r="361" ht="12.75" customFormat="1" customHeight="1" s="333">
      <c r="A361" s="334" t="n"/>
      <c r="B361" s="334" t="n"/>
    </row>
    <row r="362" ht="12.75" customFormat="1" customHeight="1" s="333">
      <c r="A362" s="334" t="n"/>
      <c r="B362" s="334" t="n"/>
    </row>
    <row r="363" ht="12.75" customFormat="1" customHeight="1" s="333">
      <c r="A363" s="334" t="n"/>
      <c r="B363" s="334" t="n"/>
    </row>
    <row r="364" ht="12.75" customFormat="1" customHeight="1" s="333">
      <c r="A364" s="334" t="n"/>
      <c r="B364" s="334" t="n"/>
    </row>
    <row r="365" ht="12.75" customFormat="1" customHeight="1" s="333">
      <c r="A365" s="334" t="n"/>
      <c r="B365" s="334" t="n"/>
      <c r="C365" s="331" t="inlineStr">
        <is>
          <t>DUPONT ANALYSIS</t>
        </is>
      </c>
    </row>
    <row r="366" ht="12.75" customFormat="1" customHeight="1" s="333">
      <c r="A366" s="334" t="n"/>
      <c r="B366" s="334" t="n"/>
      <c r="C366" s="333" t="inlineStr">
        <is>
          <t>NET PROFIT MARGIN</t>
        </is>
      </c>
      <c r="D366" s="341">
        <f>D139/D15</f>
        <v>0.029638543477292</v>
      </c>
      <c r="E366" s="341">
        <f>E139/E15</f>
        <v>0.0470154346531922</v>
      </c>
      <c r="F366" s="341">
        <f>F139/F15</f>
        <v>0.0381194880779167</v>
      </c>
      <c r="G366" s="341">
        <f>G139/G15</f>
        <v>-0.0137494328605527</v>
      </c>
      <c r="I366" s="338">
        <f>I139/I15</f>
        <v>0.0197382691056323</v>
      </c>
      <c r="J366" s="338">
        <f>J139/J15</f>
        <v>0.0303159208212807</v>
      </c>
      <c r="K366" s="338">
        <f>K139/K15</f>
        <v>0.0220957125066714</v>
      </c>
      <c r="L366" s="338">
        <f>L139/L15</f>
        <v>0.0233006914326458</v>
      </c>
      <c r="N366" s="338">
        <f>N139/N15</f>
        <v>0.0145088260848067</v>
      </c>
      <c r="O366" s="338">
        <f>O139/O15</f>
        <v>0.0336846374763671</v>
      </c>
      <c r="P366" s="338">
        <f>P139/P15</f>
        <v>-0.0117660146715266</v>
      </c>
      <c r="Q366" s="338">
        <f>Q139/Q15</f>
        <v>0.0382509997074027</v>
      </c>
      <c r="S366" s="338">
        <f>S139/S15</f>
        <v>0.0109848261009448</v>
      </c>
      <c r="T366" s="338">
        <f>T139/T15</f>
        <v>0.0488207780637498</v>
      </c>
      <c r="U366" s="338">
        <f>U139/U15</f>
        <v>0.00281709410213676</v>
      </c>
      <c r="V366" s="338">
        <f>V139/V15</f>
        <v>0.0316861605186057</v>
      </c>
      <c r="X366" s="338">
        <f>X139/X15</f>
        <v>0.0316021497387126</v>
      </c>
      <c r="Y366" s="338">
        <f>Y139/Y15</f>
        <v>0.0265804470428441</v>
      </c>
      <c r="Z366" s="338">
        <f>Z139/Z15</f>
        <v>0.0269889378965493</v>
      </c>
      <c r="AA366" s="338">
        <f>AA139/AA15</f>
        <v>0.0290993276249765</v>
      </c>
      <c r="AC366" s="338">
        <f>AC139/AC15</f>
        <v>0.0270939381313817</v>
      </c>
      <c r="AD366" s="338">
        <f>AD139/AD15</f>
        <v>0.0396049649947577</v>
      </c>
      <c r="AE366" s="338">
        <f>AE139/AE15</f>
        <v>0.0342236038686099</v>
      </c>
      <c r="AF366" s="338">
        <f>AF139/AF15</f>
        <v>0.022223271231957</v>
      </c>
      <c r="AH366" s="338">
        <f>AH139/AH15</f>
        <v>0.029985766606095</v>
      </c>
      <c r="AI366" s="338">
        <f>AI139/AI15</f>
        <v>0.0338730532039992</v>
      </c>
      <c r="AJ366" s="338">
        <f>AJ139/AJ15</f>
        <v>0.00158220796006596</v>
      </c>
      <c r="AK366" s="338">
        <f>AK139/AK15</f>
        <v>-0.0072853726082578</v>
      </c>
      <c r="AM366" s="338">
        <f>AM139/AM15</f>
        <v>-0.00784243126620947</v>
      </c>
      <c r="AN366" s="338">
        <f>AN139/AN15</f>
        <v>-0.0115623852674034</v>
      </c>
      <c r="AO366" s="338">
        <f>AO139/AO15</f>
        <v>-0.00656839149618933</v>
      </c>
      <c r="AP366" s="338">
        <f>AP139/AP15</f>
        <v>-0.0113555303793219</v>
      </c>
      <c r="AR366" s="338">
        <f>AR139/AR15</f>
        <v>-0.012208088843382</v>
      </c>
      <c r="AS366" s="338">
        <f>AS139/AS15</f>
        <v>-0.0353895188281179</v>
      </c>
      <c r="AT366" s="338">
        <f>AT139/AT15</f>
        <v>-0.0108916076124259</v>
      </c>
      <c r="AU366" s="338">
        <f>AU139/AU15</f>
        <v>-0.0348428583417254</v>
      </c>
      <c r="AW366" s="338">
        <f>AW139/AW15</f>
        <v>-0.0374006334704165</v>
      </c>
      <c r="AX366" s="338">
        <f>AX139/AX15</f>
        <v>-0.0913018724359759</v>
      </c>
      <c r="AY366" s="338">
        <f>AY139/AY15</f>
        <v>-0.0358392387574096</v>
      </c>
      <c r="AZ366" s="338">
        <f>AZ139/AZ15</f>
        <v>-0.0899578298086606</v>
      </c>
      <c r="BB366" s="338">
        <f>BB139/BB15</f>
        <v>-0.0965170378788305</v>
      </c>
      <c r="BC366" s="338">
        <f>BC139/BC15</f>
        <v>-0.250780846773121</v>
      </c>
      <c r="BD366" s="338">
        <f>BD139/BD15</f>
        <v>-0.0943809332798503</v>
      </c>
      <c r="BE366" s="338">
        <f>BE139/BE15</f>
        <v>-0.247162428667338</v>
      </c>
      <c r="BG366" s="338">
        <f>BG139/BG15</f>
        <v>-0.265134935949727</v>
      </c>
      <c r="BH366" s="338">
        <f>BH139/BH15</f>
        <v>-0.681563502663127</v>
      </c>
      <c r="BI366" s="338">
        <f>BI139/BI15</f>
        <v>-0.261359584614699</v>
      </c>
      <c r="BJ366" s="338">
        <f>BJ139/BJ15</f>
        <v>-0.671801569318563</v>
      </c>
      <c r="BL366" s="338">
        <f>BL139/BL15</f>
        <v>-0.720603540908349</v>
      </c>
      <c r="BM366" s="338">
        <f>BM139/BM15</f>
        <v>-1.86208676311743</v>
      </c>
      <c r="BN366" s="338">
        <f>BN139/BN15</f>
        <v>-0.712400276329278</v>
      </c>
      <c r="BO366" s="338">
        <f>BO139/BO15</f>
        <v>-1.83548904833837</v>
      </c>
      <c r="BQ366" s="338">
        <f>BQ139/BQ15</f>
        <v>-1.96877654696739</v>
      </c>
      <c r="BR366" s="338">
        <f>BR139/BR15</f>
        <v>-5.08469859580604</v>
      </c>
      <c r="BS366" s="338">
        <f>BS139/BS15</f>
        <v>-1.94843896242813</v>
      </c>
      <c r="BT366" s="338">
        <f>BT139/BT15</f>
        <v>-5.01214228768043</v>
      </c>
      <c r="BV366" s="338">
        <f>BV139/BV15</f>
        <v>-5.37605976900271</v>
      </c>
      <c r="BW366" s="338">
        <f>BW139/BW15</f>
        <v>-13.8909687820919</v>
      </c>
      <c r="BX366" s="338">
        <f>BX139/BX15</f>
        <v>-5.322597718055</v>
      </c>
      <c r="BY366" s="338">
        <f>BY139/BY15</f>
        <v>-13.6928237244042</v>
      </c>
      <c r="CA366" s="338">
        <f>CA139/CA15</f>
        <v>-14.6869722251914</v>
      </c>
      <c r="CB366" s="338">
        <f>CB139/CB15</f>
        <v>-37.9487328200408</v>
      </c>
      <c r="CC366" s="338">
        <f>CC139/CC15</f>
        <v>-14.5429926015064</v>
      </c>
      <c r="CD366" s="338">
        <f>CD139/CD15</f>
        <v>-37.4074930765358</v>
      </c>
      <c r="CF366" s="338">
        <f>CF139/CF15</f>
        <v>-40.1233635816395</v>
      </c>
      <c r="CG366" s="338">
        <f>CG139/CG15</f>
        <v>-103.67680126851</v>
      </c>
      <c r="CH366" s="338">
        <f>CH139/CH15</f>
        <v>-39.7320998796631</v>
      </c>
      <c r="CI366" s="338">
        <f>CI139/CI15</f>
        <v>-102.198194654246</v>
      </c>
      <c r="CK366" s="338">
        <f>CK139/CK15</f>
        <v>-109.617971206913</v>
      </c>
      <c r="CL366" s="338">
        <f>CL139/CL15</f>
        <v>-283.248466241347</v>
      </c>
      <c r="CM366" s="338">
        <f>CM139/CM15</f>
        <v>-108.551104202879</v>
      </c>
      <c r="CN366" s="338">
        <f>CN139/CN15</f>
        <v>-279.208936513931</v>
      </c>
      <c r="CP366" s="338">
        <f>CP139/CP15</f>
        <v>-299.479969170356</v>
      </c>
      <c r="CQ366" s="338">
        <f>CQ139/CQ15</f>
        <v>-773.847933083959</v>
      </c>
      <c r="CR366" s="338">
        <f>CR139/CR15</f>
        <v>-296.567327405625</v>
      </c>
      <c r="CS366" s="338">
        <f>CS139/CS15</f>
        <v>-762.811823388721</v>
      </c>
      <c r="CU366" s="338">
        <f>CU139/CU15</f>
        <v>-818.19318034779</v>
      </c>
      <c r="CV366" s="338">
        <f>CV139/CV15</f>
        <v>-2114.19019671486</v>
      </c>
      <c r="CW366" s="338">
        <f>CW139/CW15</f>
        <v>-810.237782457548</v>
      </c>
      <c r="CX366" s="338">
        <f>CX139/CX15</f>
        <v>-2084.03908085767</v>
      </c>
    </row>
    <row r="367" ht="12.75" customFormat="1" customHeight="1" s="333">
      <c r="A367" s="334" t="n"/>
      <c r="B367" s="334" t="n"/>
      <c r="C367" s="333" t="inlineStr">
        <is>
          <t>ASSET TURNOVER</t>
        </is>
      </c>
      <c r="D367" s="341">
        <f>D139/D199</f>
        <v>0.0171324047197843</v>
      </c>
      <c r="E367" s="341">
        <f>E139/E199</f>
        <v>0.0272809227321364</v>
      </c>
      <c r="F367" s="341">
        <f>F139/F199</f>
        <v>0.0204693398388762</v>
      </c>
      <c r="G367" s="341">
        <f>G139/G199</f>
        <v>-0.00828131930802864</v>
      </c>
      <c r="I367" s="338">
        <f>I139/I199</f>
        <v>0.0115393882010812</v>
      </c>
      <c r="J367" s="338">
        <f>J139/J199</f>
        <v>0.0179248130386666</v>
      </c>
      <c r="K367" s="338">
        <f>K139/K199</f>
        <v>0.012681181616575</v>
      </c>
      <c r="L367" s="338">
        <f>L139/L199</f>
        <v>0.0145470881319938</v>
      </c>
      <c r="N367" s="338">
        <f>N139/N199</f>
        <v>0.00834477659237351</v>
      </c>
      <c r="O367" s="338">
        <f>O139/O199</f>
        <v>0.0208293722871047</v>
      </c>
      <c r="P367" s="338">
        <f>P139/P199</f>
        <v>-0.00726007042026036</v>
      </c>
      <c r="Q367" s="338">
        <f>Q139/Q199</f>
        <v>0.025802127493349</v>
      </c>
      <c r="S367" s="338">
        <f>S139/S199</f>
        <v>0.00682709454689394</v>
      </c>
      <c r="T367" s="338">
        <f>T139/T199</f>
        <v>0.0309304212510926</v>
      </c>
      <c r="U367" s="338">
        <f>U139/U199</f>
        <v>0.00174786051069938</v>
      </c>
      <c r="V367" s="338">
        <f>V139/V199</f>
        <v>0.0217671226906604</v>
      </c>
      <c r="X367" s="338">
        <f>X139/X199</f>
        <v>0.0200902170404717</v>
      </c>
      <c r="Y367" s="338">
        <f>Y139/Y199</f>
        <v>0.0176898286432951</v>
      </c>
      <c r="Z367" s="338">
        <f>Z139/Z199</f>
        <v>0.0173766794862547</v>
      </c>
      <c r="AA367" s="338">
        <f>AA139/AA199</f>
        <v>0.0201439290246642</v>
      </c>
      <c r="AC367" s="338">
        <f>AC139/AC199</f>
        <v>0.0171016724345586</v>
      </c>
      <c r="AD367" s="338">
        <f>AD139/AD199</f>
        <v>0.0259418026340566</v>
      </c>
      <c r="AE367" s="338">
        <f>AE139/AE199</f>
        <v>0.021281460567113</v>
      </c>
      <c r="AF367" s="338">
        <f>AF139/AF199</f>
        <v>0.0148840052271418</v>
      </c>
      <c r="AH367" s="338">
        <f>AH139/AH199</f>
        <v>0.0184042512784567</v>
      </c>
      <c r="AI367" s="338">
        <f>AI139/AI199</f>
        <v>0.0216593969664596</v>
      </c>
      <c r="AJ367" s="338">
        <f>AJ139/AJ199</f>
        <v>0.00142709982161252</v>
      </c>
      <c r="AK367" s="338">
        <f>AK139/AK199</f>
        <v>-0.00702327439311122</v>
      </c>
      <c r="AM367" s="338" t="e">
        <f>AM139/AM199</f>
        <v>#DIV/0!</v>
      </c>
      <c r="AN367" s="338" t="e">
        <f>AN139/AN199</f>
        <v>#DIV/0!</v>
      </c>
      <c r="AO367" s="338" t="e">
        <f>AO139/AO199</f>
        <v>#DIV/0!</v>
      </c>
      <c r="AP367" s="338" t="e">
        <f>AP139/AP199</f>
        <v>#DIV/0!</v>
      </c>
      <c r="AR367" s="338" t="e">
        <f>AR139/AR199</f>
        <v>#DIV/0!</v>
      </c>
      <c r="AS367" s="338" t="e">
        <f>AS139/AS199</f>
        <v>#DIV/0!</v>
      </c>
      <c r="AT367" s="338" t="e">
        <f>AT139/AT199</f>
        <v>#DIV/0!</v>
      </c>
      <c r="AU367" s="338" t="e">
        <f>AU139/AU199</f>
        <v>#DIV/0!</v>
      </c>
      <c r="AW367" s="338" t="e">
        <f>AW139/AW199</f>
        <v>#DIV/0!</v>
      </c>
      <c r="AX367" s="338" t="e">
        <f>AX139/AX199</f>
        <v>#DIV/0!</v>
      </c>
      <c r="AY367" s="338" t="e">
        <f>AY139/AY199</f>
        <v>#DIV/0!</v>
      </c>
      <c r="AZ367" s="338" t="e">
        <f>AZ139/AZ199</f>
        <v>#DIV/0!</v>
      </c>
      <c r="BB367" s="338" t="e">
        <f>BB139/BB199</f>
        <v>#DIV/0!</v>
      </c>
      <c r="BC367" s="338" t="e">
        <f>BC139/BC199</f>
        <v>#DIV/0!</v>
      </c>
      <c r="BD367" s="338" t="e">
        <f>BD139/BD199</f>
        <v>#DIV/0!</v>
      </c>
      <c r="BE367" s="338" t="e">
        <f>BE139/BE199</f>
        <v>#DIV/0!</v>
      </c>
      <c r="BG367" s="338" t="e">
        <f>BG139/BG199</f>
        <v>#DIV/0!</v>
      </c>
      <c r="BH367" s="338" t="e">
        <f>BH139/BH199</f>
        <v>#DIV/0!</v>
      </c>
      <c r="BI367" s="338" t="e">
        <f>BI139/BI199</f>
        <v>#DIV/0!</v>
      </c>
      <c r="BJ367" s="338" t="e">
        <f>BJ139/BJ199</f>
        <v>#DIV/0!</v>
      </c>
      <c r="BL367" s="338" t="e">
        <f>BL139/BL199</f>
        <v>#DIV/0!</v>
      </c>
      <c r="BM367" s="338" t="e">
        <f>BM139/BM199</f>
        <v>#DIV/0!</v>
      </c>
      <c r="BN367" s="338" t="e">
        <f>BN139/BN199</f>
        <v>#DIV/0!</v>
      </c>
      <c r="BO367" s="338" t="e">
        <f>BO139/BO199</f>
        <v>#DIV/0!</v>
      </c>
      <c r="BQ367" s="338" t="e">
        <f>BQ139/BQ199</f>
        <v>#DIV/0!</v>
      </c>
      <c r="BR367" s="338" t="e">
        <f>BR139/BR199</f>
        <v>#DIV/0!</v>
      </c>
      <c r="BS367" s="338" t="e">
        <f>BS139/BS199</f>
        <v>#DIV/0!</v>
      </c>
      <c r="BT367" s="338" t="e">
        <f>BT139/BT199</f>
        <v>#DIV/0!</v>
      </c>
      <c r="BV367" s="338" t="e">
        <f>BV139/BV199</f>
        <v>#DIV/0!</v>
      </c>
      <c r="BW367" s="338" t="e">
        <f>BW139/BW199</f>
        <v>#DIV/0!</v>
      </c>
      <c r="BX367" s="338" t="e">
        <f>BX139/BX199</f>
        <v>#DIV/0!</v>
      </c>
      <c r="BY367" s="338" t="e">
        <f>BY139/BY199</f>
        <v>#DIV/0!</v>
      </c>
      <c r="CA367" s="338" t="e">
        <f>CA139/CA199</f>
        <v>#DIV/0!</v>
      </c>
      <c r="CB367" s="338" t="e">
        <f>CB139/CB199</f>
        <v>#DIV/0!</v>
      </c>
      <c r="CC367" s="338" t="e">
        <f>CC139/CC199</f>
        <v>#DIV/0!</v>
      </c>
      <c r="CD367" s="338" t="e">
        <f>CD139/CD199</f>
        <v>#DIV/0!</v>
      </c>
      <c r="CF367" s="338" t="e">
        <f>CF139/CF199</f>
        <v>#DIV/0!</v>
      </c>
      <c r="CG367" s="338" t="e">
        <f>CG139/CG199</f>
        <v>#DIV/0!</v>
      </c>
      <c r="CH367" s="338" t="e">
        <f>CH139/CH199</f>
        <v>#DIV/0!</v>
      </c>
      <c r="CI367" s="338" t="e">
        <f>CI139/CI199</f>
        <v>#DIV/0!</v>
      </c>
      <c r="CK367" s="338" t="e">
        <f>CK139/CK199</f>
        <v>#DIV/0!</v>
      </c>
      <c r="CL367" s="338" t="e">
        <f>CL139/CL199</f>
        <v>#DIV/0!</v>
      </c>
      <c r="CM367" s="338" t="e">
        <f>CM139/CM199</f>
        <v>#DIV/0!</v>
      </c>
      <c r="CN367" s="338" t="e">
        <f>CN139/CN199</f>
        <v>#DIV/0!</v>
      </c>
      <c r="CP367" s="338" t="e">
        <f>CP139/CP199</f>
        <v>#DIV/0!</v>
      </c>
      <c r="CQ367" s="338" t="e">
        <f>CQ139/CQ199</f>
        <v>#DIV/0!</v>
      </c>
      <c r="CR367" s="338" t="e">
        <f>CR139/CR199</f>
        <v>#DIV/0!</v>
      </c>
      <c r="CS367" s="338" t="e">
        <f>CS139/CS199</f>
        <v>#DIV/0!</v>
      </c>
      <c r="CU367" s="338" t="e">
        <f>CU139/CU199</f>
        <v>#DIV/0!</v>
      </c>
      <c r="CV367" s="338" t="e">
        <f>CV139/CV199</f>
        <v>#DIV/0!</v>
      </c>
      <c r="CW367" s="338" t="e">
        <f>CW139/CW199</f>
        <v>#DIV/0!</v>
      </c>
      <c r="CX367" s="338" t="e">
        <f>CX139/CX199</f>
        <v>#DIV/0!</v>
      </c>
    </row>
    <row r="368" ht="12.75" customFormat="1" customHeight="1" s="333">
      <c r="A368" s="334" t="n"/>
      <c r="B368" s="334" t="n"/>
      <c r="C368" s="333" t="inlineStr">
        <is>
          <t>EQUITY MULTIPLIER</t>
        </is>
      </c>
      <c r="D368" s="341">
        <f>D199/D273</f>
        <v>3.14251787882877</v>
      </c>
      <c r="E368" s="341">
        <f>E199/E273</f>
        <v>2.92353165757356</v>
      </c>
      <c r="F368" s="341">
        <f>F199/F273</f>
        <v>2.86687465715853</v>
      </c>
      <c r="G368" s="341">
        <f>G199/G273</f>
        <v>2.88464658235368</v>
      </c>
      <c r="I368" s="338">
        <f>I199/I273</f>
        <v>2.79673018725175</v>
      </c>
      <c r="J368" s="338">
        <f>J199/J273</f>
        <v>2.73798018983782</v>
      </c>
      <c r="K368" s="338">
        <f>K199/K273</f>
        <v>2.6978745441123</v>
      </c>
      <c r="L368" s="338">
        <f>L199/L273</f>
        <v>2.66467880423545</v>
      </c>
      <c r="N368" s="338">
        <f>N199/N273</f>
        <v>2.86678313533659</v>
      </c>
      <c r="O368" s="338">
        <f>O199/O273</f>
        <v>2.87952986126481</v>
      </c>
      <c r="P368" s="338">
        <f>P199/P273</f>
        <v>3.0809499521043</v>
      </c>
      <c r="Q368" s="338">
        <f>Q199/Q273</f>
        <v>2.89551261444679</v>
      </c>
      <c r="S368" s="338">
        <f>S199/S273</f>
        <v>3.08378531428931</v>
      </c>
      <c r="T368" s="338">
        <f>T199/T273</f>
        <v>2.98181371918793</v>
      </c>
      <c r="U368" s="338">
        <f>U199/U273</f>
        <v>3.02028877416648</v>
      </c>
      <c r="V368" s="338">
        <f>V199/V273</f>
        <v>2.78675293416215</v>
      </c>
      <c r="X368" s="338">
        <f>X199/X273</f>
        <v>2.87749462000227</v>
      </c>
      <c r="Y368" s="338">
        <f>Y199/Y273</f>
        <v>2.80306702507381</v>
      </c>
      <c r="Z368" s="338">
        <f>Z199/Z273</f>
        <v>2.78832371777907</v>
      </c>
      <c r="AA368" s="338">
        <f>AA199/AA273</f>
        <v>2.66985014126029</v>
      </c>
      <c r="AC368" s="338">
        <f>AC199/AC273</f>
        <v>2.89440473038567</v>
      </c>
      <c r="AD368" s="338">
        <f>AD199/AD273</f>
        <v>2.79625633666126</v>
      </c>
      <c r="AE368" s="338">
        <f>AE199/AE273</f>
        <v>2.81581668487592</v>
      </c>
      <c r="AF368" s="338">
        <f>AF199/AF273</f>
        <v>2.6809945375777</v>
      </c>
      <c r="AH368" s="338">
        <f>AH199/AH273</f>
        <v>2.86810596682347</v>
      </c>
      <c r="AI368" s="338">
        <f>AI199/AI273</f>
        <v>2.80454966173341</v>
      </c>
      <c r="AJ368" s="338">
        <f>AJ199/AJ273</f>
        <v>1.89478043950185</v>
      </c>
      <c r="AK368" s="338">
        <f>AK199/AK273</f>
        <v>1.90541842495713</v>
      </c>
      <c r="AM368" s="338" t="e">
        <f>AM199/AM273</f>
        <v>#DIV/0!</v>
      </c>
      <c r="AN368" s="338" t="e">
        <f>AN199/AN273</f>
        <v>#DIV/0!</v>
      </c>
      <c r="AO368" s="338" t="e">
        <f>AO199/AO273</f>
        <v>#DIV/0!</v>
      </c>
      <c r="AP368" s="338" t="e">
        <f>AP199/AP273</f>
        <v>#DIV/0!</v>
      </c>
      <c r="AR368" s="338" t="e">
        <f>AR199/AR273</f>
        <v>#DIV/0!</v>
      </c>
      <c r="AS368" s="338" t="e">
        <f>AS199/AS273</f>
        <v>#DIV/0!</v>
      </c>
      <c r="AT368" s="338" t="e">
        <f>AT199/AT273</f>
        <v>#DIV/0!</v>
      </c>
      <c r="AU368" s="338" t="e">
        <f>AU199/AU273</f>
        <v>#DIV/0!</v>
      </c>
      <c r="AW368" s="338" t="e">
        <f>AW199/AW273</f>
        <v>#DIV/0!</v>
      </c>
      <c r="AX368" s="338" t="e">
        <f>AX199/AX273</f>
        <v>#DIV/0!</v>
      </c>
      <c r="AY368" s="338" t="e">
        <f>AY199/AY273</f>
        <v>#DIV/0!</v>
      </c>
      <c r="AZ368" s="338" t="e">
        <f>AZ199/AZ273</f>
        <v>#DIV/0!</v>
      </c>
      <c r="BB368" s="338" t="e">
        <f>BB199/BB273</f>
        <v>#DIV/0!</v>
      </c>
      <c r="BC368" s="338" t="e">
        <f>BC199/BC273</f>
        <v>#DIV/0!</v>
      </c>
      <c r="BD368" s="338" t="e">
        <f>BD199/BD273</f>
        <v>#DIV/0!</v>
      </c>
      <c r="BE368" s="338" t="e">
        <f>BE199/BE273</f>
        <v>#DIV/0!</v>
      </c>
      <c r="BG368" s="338" t="e">
        <f>BG199/BG273</f>
        <v>#DIV/0!</v>
      </c>
      <c r="BH368" s="338" t="e">
        <f>BH199/BH273</f>
        <v>#DIV/0!</v>
      </c>
      <c r="BI368" s="338" t="e">
        <f>BI199/BI273</f>
        <v>#DIV/0!</v>
      </c>
      <c r="BJ368" s="338" t="e">
        <f>BJ199/BJ273</f>
        <v>#DIV/0!</v>
      </c>
      <c r="BL368" s="338" t="e">
        <f>BL199/BL273</f>
        <v>#DIV/0!</v>
      </c>
      <c r="BM368" s="338" t="e">
        <f>BM199/BM273</f>
        <v>#DIV/0!</v>
      </c>
      <c r="BN368" s="338" t="e">
        <f>BN199/BN273</f>
        <v>#DIV/0!</v>
      </c>
      <c r="BO368" s="338" t="e">
        <f>BO199/BO273</f>
        <v>#DIV/0!</v>
      </c>
      <c r="BQ368" s="338" t="e">
        <f>BQ199/BQ273</f>
        <v>#DIV/0!</v>
      </c>
      <c r="BR368" s="338" t="e">
        <f>BR199/BR273</f>
        <v>#DIV/0!</v>
      </c>
      <c r="BS368" s="338" t="e">
        <f>BS199/BS273</f>
        <v>#DIV/0!</v>
      </c>
      <c r="BT368" s="338" t="e">
        <f>BT199/BT273</f>
        <v>#DIV/0!</v>
      </c>
      <c r="BV368" s="338" t="e">
        <f>BV199/BV273</f>
        <v>#DIV/0!</v>
      </c>
      <c r="BW368" s="338" t="e">
        <f>BW199/BW273</f>
        <v>#DIV/0!</v>
      </c>
      <c r="BX368" s="338" t="e">
        <f>BX199/BX273</f>
        <v>#DIV/0!</v>
      </c>
      <c r="BY368" s="338" t="e">
        <f>BY199/BY273</f>
        <v>#DIV/0!</v>
      </c>
      <c r="CA368" s="338" t="e">
        <f>CA199/CA273</f>
        <v>#DIV/0!</v>
      </c>
      <c r="CB368" s="338" t="e">
        <f>CB199/CB273</f>
        <v>#DIV/0!</v>
      </c>
      <c r="CC368" s="338" t="e">
        <f>CC199/CC273</f>
        <v>#DIV/0!</v>
      </c>
      <c r="CD368" s="338" t="e">
        <f>CD199/CD273</f>
        <v>#DIV/0!</v>
      </c>
      <c r="CF368" s="338" t="e">
        <f>CF199/CF273</f>
        <v>#DIV/0!</v>
      </c>
      <c r="CG368" s="338" t="e">
        <f>CG199/CG273</f>
        <v>#DIV/0!</v>
      </c>
      <c r="CH368" s="338" t="e">
        <f>CH199/CH273</f>
        <v>#DIV/0!</v>
      </c>
      <c r="CI368" s="338" t="e">
        <f>CI199/CI273</f>
        <v>#DIV/0!</v>
      </c>
      <c r="CK368" s="338" t="e">
        <f>CK199/CK273</f>
        <v>#DIV/0!</v>
      </c>
      <c r="CL368" s="338" t="e">
        <f>CL199/CL273</f>
        <v>#DIV/0!</v>
      </c>
      <c r="CM368" s="338" t="e">
        <f>CM199/CM273</f>
        <v>#DIV/0!</v>
      </c>
      <c r="CN368" s="338" t="e">
        <f>CN199/CN273</f>
        <v>#DIV/0!</v>
      </c>
      <c r="CP368" s="338" t="e">
        <f>CP199/CP273</f>
        <v>#DIV/0!</v>
      </c>
      <c r="CQ368" s="338" t="e">
        <f>CQ199/CQ273</f>
        <v>#DIV/0!</v>
      </c>
      <c r="CR368" s="338" t="e">
        <f>CR199/CR273</f>
        <v>#DIV/0!</v>
      </c>
      <c r="CS368" s="338" t="e">
        <f>CS199/CS273</f>
        <v>#DIV/0!</v>
      </c>
      <c r="CU368" s="338" t="e">
        <f>CU199/CU273</f>
        <v>#DIV/0!</v>
      </c>
      <c r="CV368" s="338" t="e">
        <f>CV199/CV273</f>
        <v>#DIV/0!</v>
      </c>
      <c r="CW368" s="338" t="e">
        <f>CW199/CW273</f>
        <v>#DIV/0!</v>
      </c>
      <c r="CX368" s="338" t="e">
        <f>CX199/CX273</f>
        <v>#DIV/0!</v>
      </c>
    </row>
    <row r="369" ht="12.75" customFormat="1" customHeight="1" s="333">
      <c r="A369" s="334" t="n"/>
      <c r="B369" s="334" t="n"/>
      <c r="C369" s="333" t="inlineStr">
        <is>
          <t>ROE - DUPONT</t>
        </is>
      </c>
      <c r="D369" s="341">
        <f>PRODUCT(D366:D368)</f>
        <v>0.00159570622688429</v>
      </c>
      <c r="E369" s="341">
        <f>PRODUCT(E366:E368)</f>
        <v>0.00374979315509283</v>
      </c>
      <c r="F369" s="341">
        <f>PRODUCT(F366:F368)</f>
        <v>0.00223696712470404</v>
      </c>
      <c r="G369" s="341">
        <f>PRODUCT(G366:G368)</f>
        <v>0.000328455794077707</v>
      </c>
      <c r="I369" s="338">
        <f>PRODUCT(I366:I368)</f>
        <v>0.000637004381719029</v>
      </c>
      <c r="J369" s="338">
        <f>PRODUCT(J366:J368)</f>
        <v>0.0014878381837065</v>
      </c>
      <c r="K369" s="338">
        <f>PRODUCT(K366:K368)</f>
        <v>0.000755943754566752</v>
      </c>
      <c r="L369" s="338">
        <f>PRODUCT(L366:L368)</f>
        <v>0.000903212097845104</v>
      </c>
      <c r="N369" s="338">
        <f>PRODUCT(N366:N368)</f>
        <v>0.00034708978311429</v>
      </c>
      <c r="O369" s="338">
        <f>PRODUCT(O366:O368)</f>
        <v>0.00202036411715976</v>
      </c>
      <c r="P369" s="338">
        <f>PRODUCT(P366:P368)</f>
        <v>0.000263181199748764</v>
      </c>
      <c r="Q369" s="338">
        <f>PRODUCT(Q366:Q368)</f>
        <v>0.00285774693912386</v>
      </c>
      <c r="S369" s="338">
        <f>PRODUCT(S366:S368)</f>
        <v>0.000231266772376275</v>
      </c>
      <c r="T369" s="338">
        <f>PRODUCT(T366:T368)</f>
        <v>0.00450267955096541</v>
      </c>
      <c r="U369" s="338">
        <f>PRODUCT(U366:U368)</f>
        <v>1.48715622503869e-05</v>
      </c>
      <c r="V369" s="338">
        <f>PRODUCT(V366:V368)</f>
        <v>0.00192206960162988</v>
      </c>
      <c r="X369" s="338">
        <f>PRODUCT(X366:X368)</f>
        <v>0.0018269042050786</v>
      </c>
      <c r="Y369" s="338">
        <f>PRODUCT(Y366:Y368)</f>
        <v>0.00131801207574848</v>
      </c>
      <c r="Z369" s="338">
        <f>PRODUCT(Z366:Z368)</f>
        <v>0.0013076628248823</v>
      </c>
      <c r="AA369" s="338">
        <f>PRODUCT(AA366:AA368)</f>
        <v>0.00156499884680042</v>
      </c>
      <c r="AC369" s="338">
        <f>PRODUCT(AC366:AC368)</f>
        <v>0.00134112722173142</v>
      </c>
      <c r="AD369" s="338">
        <f>PRODUCT(AD366:AD368)</f>
        <v>0.00287294138836808</v>
      </c>
      <c r="AE369" s="338">
        <f>PRODUCT(AE366:AE368)</f>
        <v>0.00205083891217487</v>
      </c>
      <c r="AF369" s="338">
        <f>PRODUCT(AF366:AF368)</f>
        <v>0.000886796008756847</v>
      </c>
      <c r="AH369" s="338">
        <f>PRODUCT(AH366:AH368)</f>
        <v>0.0015828089726218</v>
      </c>
      <c r="AI369" s="338">
        <f>PRODUCT(AI366:AI368)</f>
        <v>0.00205761368616742</v>
      </c>
      <c r="AJ369" s="338">
        <f>PRODUCT(AJ366:AJ368)</f>
        <v>4.27835492115182e-06</v>
      </c>
      <c r="AK369" s="338">
        <f>PRODUCT(AK366:AK368)</f>
        <v>9.74948701550195e-05</v>
      </c>
      <c r="AM369" s="338" t="e">
        <f>PRODUCT(AM366:AM368)</f>
        <v>#DIV/0!</v>
      </c>
      <c r="AN369" s="338" t="e">
        <f>PRODUCT(AN366:AN368)</f>
        <v>#DIV/0!</v>
      </c>
      <c r="AO369" s="338" t="e">
        <f>PRODUCT(AO366:AO368)</f>
        <v>#DIV/0!</v>
      </c>
      <c r="AP369" s="338" t="e">
        <f>PRODUCT(AP366:AP368)</f>
        <v>#DIV/0!</v>
      </c>
      <c r="AR369" s="338" t="e">
        <f>PRODUCT(AR366:AR368)</f>
        <v>#DIV/0!</v>
      </c>
      <c r="AS369" s="338" t="e">
        <f>PRODUCT(AS366:AS368)</f>
        <v>#DIV/0!</v>
      </c>
      <c r="AT369" s="338" t="e">
        <f>PRODUCT(AT366:AT368)</f>
        <v>#DIV/0!</v>
      </c>
      <c r="AU369" s="338" t="e">
        <f>PRODUCT(AU366:AU368)</f>
        <v>#DIV/0!</v>
      </c>
      <c r="AW369" s="338" t="e">
        <f>PRODUCT(AW366:AW368)</f>
        <v>#DIV/0!</v>
      </c>
      <c r="AX369" s="338" t="e">
        <f>PRODUCT(AX366:AX368)</f>
        <v>#DIV/0!</v>
      </c>
      <c r="AY369" s="338" t="e">
        <f>PRODUCT(AY366:AY368)</f>
        <v>#DIV/0!</v>
      </c>
      <c r="AZ369" s="338" t="e">
        <f>PRODUCT(AZ366:AZ368)</f>
        <v>#DIV/0!</v>
      </c>
      <c r="BB369" s="338" t="e">
        <f>PRODUCT(BB366:BB368)</f>
        <v>#DIV/0!</v>
      </c>
      <c r="BC369" s="338" t="e">
        <f>PRODUCT(BC366:BC368)</f>
        <v>#DIV/0!</v>
      </c>
      <c r="BD369" s="338" t="e">
        <f>PRODUCT(BD366:BD368)</f>
        <v>#DIV/0!</v>
      </c>
      <c r="BE369" s="338" t="e">
        <f>PRODUCT(BE366:BE368)</f>
        <v>#DIV/0!</v>
      </c>
      <c r="BG369" s="338" t="e">
        <f>PRODUCT(BG366:BG368)</f>
        <v>#DIV/0!</v>
      </c>
      <c r="BH369" s="338" t="e">
        <f>PRODUCT(BH366:BH368)</f>
        <v>#DIV/0!</v>
      </c>
      <c r="BI369" s="338" t="e">
        <f>PRODUCT(BI366:BI368)</f>
        <v>#DIV/0!</v>
      </c>
      <c r="BJ369" s="338" t="e">
        <f>PRODUCT(BJ366:BJ368)</f>
        <v>#DIV/0!</v>
      </c>
      <c r="BL369" s="338" t="e">
        <f>PRODUCT(BL366:BL368)</f>
        <v>#DIV/0!</v>
      </c>
      <c r="BM369" s="338" t="e">
        <f>PRODUCT(BM366:BM368)</f>
        <v>#DIV/0!</v>
      </c>
      <c r="BN369" s="338" t="e">
        <f>PRODUCT(BN366:BN368)</f>
        <v>#DIV/0!</v>
      </c>
      <c r="BO369" s="338" t="e">
        <f>PRODUCT(BO366:BO368)</f>
        <v>#DIV/0!</v>
      </c>
      <c r="BQ369" s="338" t="e">
        <f>PRODUCT(BQ366:BQ368)</f>
        <v>#DIV/0!</v>
      </c>
      <c r="BR369" s="338" t="e">
        <f>PRODUCT(BR366:BR368)</f>
        <v>#DIV/0!</v>
      </c>
      <c r="BS369" s="338" t="e">
        <f>PRODUCT(BS366:BS368)</f>
        <v>#DIV/0!</v>
      </c>
      <c r="BT369" s="338" t="e">
        <f>PRODUCT(BT366:BT368)</f>
        <v>#DIV/0!</v>
      </c>
      <c r="BV369" s="338" t="e">
        <f>PRODUCT(BV366:BV368)</f>
        <v>#DIV/0!</v>
      </c>
      <c r="BW369" s="338" t="e">
        <f>PRODUCT(BW366:BW368)</f>
        <v>#DIV/0!</v>
      </c>
      <c r="BX369" s="338" t="e">
        <f>PRODUCT(BX366:BX368)</f>
        <v>#DIV/0!</v>
      </c>
      <c r="BY369" s="338" t="e">
        <f>PRODUCT(BY366:BY368)</f>
        <v>#DIV/0!</v>
      </c>
      <c r="CA369" s="338" t="e">
        <f>PRODUCT(CA366:CA368)</f>
        <v>#DIV/0!</v>
      </c>
      <c r="CB369" s="338" t="e">
        <f>PRODUCT(CB366:CB368)</f>
        <v>#DIV/0!</v>
      </c>
      <c r="CC369" s="338" t="e">
        <f>PRODUCT(CC366:CC368)</f>
        <v>#DIV/0!</v>
      </c>
      <c r="CD369" s="338" t="e">
        <f>PRODUCT(CD366:CD368)</f>
        <v>#DIV/0!</v>
      </c>
      <c r="CF369" s="338" t="e">
        <f>PRODUCT(CF366:CF368)</f>
        <v>#DIV/0!</v>
      </c>
      <c r="CG369" s="338" t="e">
        <f>PRODUCT(CG366:CG368)</f>
        <v>#DIV/0!</v>
      </c>
      <c r="CH369" s="338" t="e">
        <f>PRODUCT(CH366:CH368)</f>
        <v>#DIV/0!</v>
      </c>
      <c r="CI369" s="338" t="e">
        <f>PRODUCT(CI366:CI368)</f>
        <v>#DIV/0!</v>
      </c>
      <c r="CK369" s="338" t="e">
        <f>PRODUCT(CK366:CK368)</f>
        <v>#DIV/0!</v>
      </c>
      <c r="CL369" s="338" t="e">
        <f>PRODUCT(CL366:CL368)</f>
        <v>#DIV/0!</v>
      </c>
      <c r="CM369" s="338" t="e">
        <f>PRODUCT(CM366:CM368)</f>
        <v>#DIV/0!</v>
      </c>
      <c r="CN369" s="338" t="e">
        <f>PRODUCT(CN366:CN368)</f>
        <v>#DIV/0!</v>
      </c>
      <c r="CP369" s="338" t="e">
        <f>PRODUCT(CP366:CP368)</f>
        <v>#DIV/0!</v>
      </c>
      <c r="CQ369" s="338" t="e">
        <f>PRODUCT(CQ366:CQ368)</f>
        <v>#DIV/0!</v>
      </c>
      <c r="CR369" s="338" t="e">
        <f>PRODUCT(CR366:CR368)</f>
        <v>#DIV/0!</v>
      </c>
      <c r="CS369" s="338" t="e">
        <f>PRODUCT(CS366:CS368)</f>
        <v>#DIV/0!</v>
      </c>
      <c r="CU369" s="338" t="e">
        <f>PRODUCT(CU366:CU368)</f>
        <v>#DIV/0!</v>
      </c>
      <c r="CV369" s="338" t="e">
        <f>PRODUCT(CV366:CV368)</f>
        <v>#DIV/0!</v>
      </c>
      <c r="CW369" s="338" t="e">
        <f>PRODUCT(CW366:CW368)</f>
        <v>#DIV/0!</v>
      </c>
      <c r="CX369" s="338" t="e">
        <f>PRODUCT(CX366:CX368)</f>
        <v>#DIV/0!</v>
      </c>
    </row>
    <row r="370" ht="12.75" customFormat="1" customHeight="1" s="333">
      <c r="A370" s="334" t="n"/>
      <c r="B370" s="334" t="n"/>
      <c r="C370" s="333" t="inlineStr">
        <is>
          <t>ROE</t>
        </is>
      </c>
      <c r="D370" s="341">
        <f>D139/D273</f>
        <v>0.0538388881392525</v>
      </c>
      <c r="E370" s="341">
        <f>E139/E273</f>
        <v>0.0797566412552188</v>
      </c>
      <c r="F370" s="341">
        <f>F139/F273</f>
        <v>0.0586830316328396</v>
      </c>
      <c r="G370" s="341">
        <f>G139/G273</f>
        <v>-0.0238886794392844</v>
      </c>
      <c r="I370" s="338">
        <f>I139/I273</f>
        <v>0.0322725553243806</v>
      </c>
      <c r="J370" s="338">
        <f>J139/J273</f>
        <v>0.0490777830064159</v>
      </c>
      <c r="K370" s="338">
        <f>K139/K273</f>
        <v>0.0342122370726225</v>
      </c>
      <c r="L370" s="338">
        <f>L139/L273</f>
        <v>0.038763317408669</v>
      </c>
      <c r="N370" s="338">
        <f>N139/N273</f>
        <v>0.023922664803168</v>
      </c>
      <c r="O370" s="338">
        <f>O139/O273</f>
        <v>0.0599787994921197</v>
      </c>
      <c r="P370" s="338">
        <f>P139/P273</f>
        <v>-0.022367913613575</v>
      </c>
      <c r="Q370" s="338">
        <f>Q139/Q273</f>
        <v>0.0747103856365563</v>
      </c>
      <c r="S370" s="338">
        <f>S139/S273</f>
        <v>0.0210532939029762</v>
      </c>
      <c r="T370" s="338">
        <f>T139/T273</f>
        <v>0.0922287544267698</v>
      </c>
      <c r="U370" s="338">
        <f>U139/U273</f>
        <v>0.00527904347927422</v>
      </c>
      <c r="V370" s="338">
        <f>V139/V273</f>
        <v>0.0606595930264654</v>
      </c>
      <c r="X370" s="338">
        <f>X139/X273</f>
        <v>0.0578094914486352</v>
      </c>
      <c r="Y370" s="338">
        <f>Y139/Y273</f>
        <v>0.0495857753492266</v>
      </c>
      <c r="Z370" s="338">
        <f>Z139/Z273</f>
        <v>0.048451807547769</v>
      </c>
      <c r="AA370" s="338">
        <f>AA139/AA273</f>
        <v>0.053781271752037</v>
      </c>
      <c r="AC370" s="338">
        <f>AC139/AC273</f>
        <v>0.0494991615920925</v>
      </c>
      <c r="AD370" s="338">
        <f>AD139/AD273</f>
        <v>0.0725399299998968</v>
      </c>
      <c r="AE370" s="338">
        <f>AE139/AE273</f>
        <v>0.0599246917434057</v>
      </c>
      <c r="AF370" s="338">
        <f>AF139/AF273</f>
        <v>0.0399039367112451</v>
      </c>
      <c r="AH370" s="338">
        <f>AH139/AH273</f>
        <v>0.0527853429066601</v>
      </c>
      <c r="AI370" s="338">
        <f>AI139/AI273</f>
        <v>0.0607448544356339</v>
      </c>
      <c r="AJ370" s="338">
        <f>AJ139/AJ273</f>
        <v>0.00270404082720798</v>
      </c>
      <c r="AK370" s="338">
        <f>AK139/AK273</f>
        <v>-0.0133822764321637</v>
      </c>
      <c r="AM370" s="338">
        <f>AM139/AM273</f>
        <v>-0.0135920436817473</v>
      </c>
      <c r="AN370" s="338">
        <f>AN139/AN273</f>
        <v>-0.0216111387369468</v>
      </c>
      <c r="AO370" s="338">
        <f>AO139/AO273</f>
        <v>-0.011871199001168</v>
      </c>
      <c r="AP370" s="338">
        <f>AP139/AP273</f>
        <v>-0.0222493988037737</v>
      </c>
      <c r="AR370" s="338">
        <f>AR139/AR273</f>
        <v>-0.0227711551376763</v>
      </c>
      <c r="AS370" s="338">
        <f>AS139/AS273</f>
        <v>-0.0748919016304838</v>
      </c>
      <c r="AT370" s="338">
        <f>AT139/AT273</f>
        <v>-0.0225235604507016</v>
      </c>
      <c r="AU370" s="338">
        <f>AU139/AU273</f>
        <v>-0.0827169717345287</v>
      </c>
      <c r="AW370" s="338">
        <f>AW139/AW273</f>
        <v>-0.0900544553114248</v>
      </c>
      <c r="AX370" s="338">
        <f>AX139/AX273</f>
        <v>-0.301956850737339</v>
      </c>
      <c r="AY370" s="338">
        <f>AY139/AY273</f>
        <v>-0.127796098374985</v>
      </c>
      <c r="AZ370" s="338">
        <f>AZ139/AZ273</f>
        <v>-0.514396256973187</v>
      </c>
      <c r="BB370" s="338">
        <f>BB139/BB273</f>
        <v>-1.04955340756148</v>
      </c>
      <c r="BC370" s="338">
        <f>BC139/BC273</f>
        <v>1.53912219972569</v>
      </c>
      <c r="BD370" s="338">
        <f>BD139/BD273</f>
        <v>0.355768826914192</v>
      </c>
      <c r="BE370" s="338">
        <f>BE139/BE273</f>
        <v>0.498202693844755</v>
      </c>
      <c r="BG370" s="338">
        <f>BG139/BG273</f>
        <v>0.332933014962488</v>
      </c>
      <c r="BH370" s="338">
        <f>BH139/BH273</f>
        <v>0.475323027140959</v>
      </c>
      <c r="BI370" s="338">
        <f>BI139/BI273</f>
        <v>0.148247748459472</v>
      </c>
      <c r="BJ370" s="338">
        <f>BJ139/BJ273</f>
        <v>0.288229840361134</v>
      </c>
      <c r="BL370" s="338">
        <f>BL139/BL273</f>
        <v>0.223810339224121</v>
      </c>
      <c r="BM370" s="338">
        <f>BM139/BM273</f>
        <v>0.379520398048797</v>
      </c>
      <c r="BN370" s="338">
        <f>BN139/BN273</f>
        <v>0.121780793999387</v>
      </c>
      <c r="BO370" s="338">
        <f>BO139/BO273</f>
        <v>0.249994642160624</v>
      </c>
      <c r="BQ370" s="338">
        <f>BQ139/BQ273</f>
        <v>0.200017146678403</v>
      </c>
      <c r="BR370" s="338">
        <f>BR139/BR273</f>
        <v>0.353266298219996</v>
      </c>
      <c r="BS370" s="338">
        <f>BS139/BS273</f>
        <v>0.114486117448955</v>
      </c>
      <c r="BT370" s="338">
        <f>BT139/BT273</f>
        <v>0.238286235232335</v>
      </c>
      <c r="BV370" s="338">
        <f>BV139/BV273</f>
        <v>0.192439286774411</v>
      </c>
      <c r="BW370" s="338">
        <f>BW139/BW273</f>
        <v>0.344583277126512</v>
      </c>
      <c r="BX370" s="338">
        <f>BX139/BX273</f>
        <v>0.111981584753012</v>
      </c>
      <c r="BY370" s="338">
        <f>BY139/BY273</f>
        <v>0.234302451335432</v>
      </c>
      <c r="CA370" s="338">
        <f>CA139/CA273</f>
        <v>0.189828303891772</v>
      </c>
      <c r="CB370" s="338">
        <f>CB139/CB273</f>
        <v>0.341498150625813</v>
      </c>
      <c r="CC370" s="338">
        <f>CC139/CC273</f>
        <v>0.111105696207327</v>
      </c>
      <c r="CD370" s="338">
        <f>CD139/CD273</f>
        <v>0.232867999793905</v>
      </c>
      <c r="CF370" s="338">
        <f>CF139/CF273</f>
        <v>0.188884064654998</v>
      </c>
      <c r="CG370" s="338">
        <f>CG139/CG273</f>
        <v>0.340385929553011</v>
      </c>
      <c r="CH370" s="338">
        <f>CH139/CH273</f>
        <v>0.110784867132934</v>
      </c>
      <c r="CI370" s="338">
        <f>CI139/CI273</f>
        <v>0.232349783157124</v>
      </c>
      <c r="CK370" s="338">
        <f>CK139/CK273</f>
        <v>0.188542404474413</v>
      </c>
      <c r="CL370" s="338">
        <f>CL139/CL273</f>
        <v>0.339979740010425</v>
      </c>
      <c r="CM370" s="338">
        <f>CM139/CM273</f>
        <v>0.110668885290013</v>
      </c>
      <c r="CN370" s="338">
        <f>CN139/CN273</f>
        <v>0.232160010896761</v>
      </c>
      <c r="CP370" s="338">
        <f>CP139/CP273</f>
        <v>0.188417216934149</v>
      </c>
      <c r="CQ370" s="338">
        <f>CQ139/CQ273</f>
        <v>0.339831544102681</v>
      </c>
      <c r="CR370" s="338">
        <f>CR139/CR273</f>
        <v>0.110626229720388</v>
      </c>
      <c r="CS370" s="338">
        <f>CS139/CS273</f>
        <v>0.232090804577439</v>
      </c>
      <c r="CU370" s="338">
        <f>CU139/CU273</f>
        <v>0.188371553694866</v>
      </c>
      <c r="CV370" s="338">
        <f>CV139/CV273</f>
        <v>0.339777268822269</v>
      </c>
      <c r="CW370" s="338">
        <f>CW139/CW273</f>
        <v>0.110610695791097</v>
      </c>
      <c r="CX370" s="338">
        <f>CX139/CX273</f>
        <v>0.232065435808385</v>
      </c>
    </row>
    <row r="372" ht="12.75" customHeight="1" s="255">
      <c r="C372" s="330" t="inlineStr">
        <is>
          <t>Scenario Analysis</t>
        </is>
      </c>
      <c r="D372" s="330" t="n"/>
      <c r="E372" s="330" t="n"/>
      <c r="F372" s="330" t="n"/>
      <c r="G372" s="330" t="n"/>
      <c r="H372" s="330" t="n"/>
      <c r="I372" s="330" t="n"/>
      <c r="J372" s="330" t="n"/>
      <c r="K372" s="330" t="n"/>
      <c r="L372" s="330" t="n"/>
      <c r="M372" s="330" t="n"/>
      <c r="N372" s="330" t="n"/>
      <c r="O372" s="330" t="n"/>
      <c r="P372" s="330" t="n"/>
      <c r="Q372" s="330" t="n"/>
      <c r="R372" s="330" t="n"/>
      <c r="S372" s="330" t="n"/>
      <c r="T372" s="330" t="n"/>
      <c r="U372" s="330" t="n"/>
      <c r="V372" s="330" t="n"/>
      <c r="W372" s="330" t="n"/>
      <c r="X372" s="330" t="n"/>
      <c r="Y372" s="330" t="n"/>
      <c r="Z372" s="330" t="n"/>
      <c r="AA372" s="330" t="n"/>
      <c r="AB372" s="330" t="n"/>
      <c r="AC372" s="330" t="n"/>
      <c r="AD372" s="330" t="n"/>
      <c r="AE372" s="330" t="n"/>
      <c r="AF372" s="330" t="n"/>
      <c r="AG372" s="330" t="n"/>
      <c r="AH372" s="330" t="n"/>
      <c r="AI372" s="330" t="n"/>
      <c r="AJ372" s="330" t="n"/>
      <c r="AK372" s="330" t="n"/>
      <c r="AL372" s="330" t="n"/>
      <c r="AM372" s="330" t="n"/>
      <c r="AN372" s="330" t="n"/>
      <c r="AO372" s="330" t="n"/>
      <c r="AP372" s="330" t="n"/>
      <c r="AQ372" s="330" t="n"/>
      <c r="AR372" s="330" t="n"/>
      <c r="AS372" s="330" t="n"/>
      <c r="AT372" s="330" t="n"/>
      <c r="AU372" s="330" t="n"/>
      <c r="AV372" s="330" t="n"/>
      <c r="AW372" s="330" t="n"/>
      <c r="AX372" s="330" t="n"/>
      <c r="AY372" s="330" t="n"/>
      <c r="AZ372" s="330" t="n"/>
      <c r="BA372" s="330" t="n"/>
      <c r="BB372" s="330" t="n"/>
      <c r="BC372" s="330" t="n"/>
      <c r="BD372" s="330" t="n"/>
      <c r="BE372" s="330" t="n"/>
      <c r="BF372" s="330" t="n"/>
      <c r="BG372" s="330" t="n"/>
      <c r="BH372" s="330" t="n"/>
      <c r="BI372" s="330" t="n"/>
      <c r="BJ372" s="330" t="n"/>
      <c r="BK372" s="330" t="n"/>
      <c r="BL372" s="330" t="n"/>
      <c r="BM372" s="330" t="n"/>
      <c r="BN372" s="330" t="n"/>
      <c r="BO372" s="330" t="n"/>
      <c r="BP372" s="330" t="n"/>
      <c r="BQ372" s="330" t="n"/>
      <c r="BR372" s="330" t="n"/>
      <c r="BS372" s="330" t="n"/>
      <c r="BT372" s="330" t="n"/>
      <c r="BU372" s="330" t="n"/>
      <c r="BV372" s="330" t="n"/>
      <c r="BW372" s="330" t="n"/>
      <c r="BX372" s="330" t="n"/>
      <c r="BY372" s="330" t="n"/>
      <c r="BZ372" s="330" t="n"/>
      <c r="CA372" s="330" t="n"/>
      <c r="CB372" s="330" t="n"/>
      <c r="CC372" s="330" t="n"/>
      <c r="CD372" s="330" t="n"/>
      <c r="CE372" s="330" t="n"/>
      <c r="CF372" s="330" t="n"/>
      <c r="CG372" s="330" t="n"/>
      <c r="CH372" s="330" t="n"/>
      <c r="CI372" s="330" t="n"/>
      <c r="CJ372" s="330" t="n"/>
      <c r="CK372" s="330" t="n"/>
      <c r="CL372" s="330" t="n"/>
      <c r="CM372" s="330" t="n"/>
      <c r="CN372" s="330" t="n"/>
      <c r="CO372" s="330" t="n"/>
      <c r="CP372" s="330" t="n"/>
      <c r="CQ372" s="330" t="n"/>
      <c r="CR372" s="330" t="n"/>
      <c r="CS372" s="330" t="n"/>
      <c r="CT372" s="330" t="n"/>
      <c r="CU372" s="330" t="n"/>
      <c r="CV372" s="330" t="n"/>
      <c r="CW372" s="330" t="n"/>
      <c r="CX372" s="330" t="n"/>
      <c r="CY372" s="330" t="n"/>
    </row>
    <row r="375" ht="12.75" customHeight="1" s="255">
      <c r="C375" s="260" t="inlineStr">
        <is>
          <t>Bull case</t>
        </is>
      </c>
    </row>
    <row r="376" ht="12.75" customHeight="1" s="255">
      <c r="C376" s="260" t="inlineStr">
        <is>
          <t>Base case</t>
        </is>
      </c>
    </row>
    <row r="377" ht="12.75" customHeight="1" s="255">
      <c r="C377" s="260" t="inlineStr">
        <is>
          <t>Bear case</t>
        </is>
      </c>
    </row>
    <row r="380" ht="12.75" customHeight="1" s="255">
      <c r="C380" s="260" t="inlineStr">
        <is>
          <t>Bull case</t>
        </is>
      </c>
    </row>
    <row r="381" ht="12.75" customHeight="1" s="255">
      <c r="C381" s="260" t="inlineStr">
        <is>
          <t>Base case</t>
        </is>
      </c>
    </row>
    <row r="382" ht="12.75" customHeight="1" s="255">
      <c r="C382" s="260" t="inlineStr">
        <is>
          <t>Bear case</t>
        </is>
      </c>
    </row>
    <row r="385" ht="12.75" customHeight="1" s="255">
      <c r="C385" s="260" t="inlineStr">
        <is>
          <t>% Gross Margin</t>
        </is>
      </c>
    </row>
    <row r="386" ht="12.75" customHeight="1" s="255">
      <c r="C386" s="260" t="inlineStr">
        <is>
          <t>Bull case</t>
        </is>
      </c>
    </row>
    <row r="387" ht="12.75" customHeight="1" s="255">
      <c r="C387" s="260" t="inlineStr">
        <is>
          <t>Base case</t>
        </is>
      </c>
    </row>
    <row r="388" ht="12.75" customHeight="1" s="255">
      <c r="C388" s="260" t="inlineStr">
        <is>
          <t>Bear case</t>
        </is>
      </c>
    </row>
    <row r="391" ht="12.75" customHeight="1" s="255">
      <c r="C391" s="260" t="inlineStr">
        <is>
          <t>Capital expenditures</t>
        </is>
      </c>
    </row>
    <row r="392" ht="12.75" customHeight="1" s="255">
      <c r="C392" s="260" t="inlineStr">
        <is>
          <t>Bull case</t>
        </is>
      </c>
    </row>
    <row r="393" ht="12.75" customHeight="1" s="255">
      <c r="C393" s="260" t="inlineStr">
        <is>
          <t>Base case</t>
        </is>
      </c>
    </row>
    <row r="394" ht="12.75" customHeight="1" s="255">
      <c r="C394" s="260" t="inlineStr">
        <is>
          <t>Bear case</t>
        </is>
      </c>
    </row>
  </sheetData>
  <conditionalFormatting sqref="CU317:CX317">
    <cfRule type="cellIs" rank="0" priority="2" equalAverage="0" operator="notEqual" aboveAverage="0" dxfId="0" text="" percent="0" bottom="0">
      <formula>0</formula>
    </cfRule>
  </conditionalFormatting>
  <conditionalFormatting sqref="CP317:CS317">
    <cfRule type="cellIs" rank="0" priority="3" equalAverage="0" operator="notEqual" aboveAverage="0" dxfId="0" text="" percent="0" bottom="0">
      <formula>0</formula>
    </cfRule>
  </conditionalFormatting>
  <conditionalFormatting sqref="CK317:CN317">
    <cfRule type="cellIs" rank="0" priority="4" equalAverage="0" operator="notEqual" aboveAverage="0" dxfId="0" text="" percent="0" bottom="0">
      <formula>0</formula>
    </cfRule>
  </conditionalFormatting>
  <conditionalFormatting sqref="CF317:CI317">
    <cfRule type="cellIs" rank="0" priority="5" equalAverage="0" operator="notEqual" aboveAverage="0" dxfId="0" text="" percent="0" bottom="0">
      <formula>0</formula>
    </cfRule>
  </conditionalFormatting>
  <conditionalFormatting sqref="CA317:CD317">
    <cfRule type="cellIs" rank="0" priority="6" equalAverage="0" operator="notEqual" aboveAverage="0" dxfId="0" text="" percent="0" bottom="0">
      <formula>0</formula>
    </cfRule>
  </conditionalFormatting>
  <conditionalFormatting sqref="BV317:BY317">
    <cfRule type="cellIs" rank="0" priority="7" equalAverage="0" operator="notEqual" aboveAverage="0" dxfId="0" text="" percent="0" bottom="0">
      <formula>0</formula>
    </cfRule>
  </conditionalFormatting>
  <conditionalFormatting sqref="BQ317:BT317">
    <cfRule type="cellIs" rank="0" priority="8" equalAverage="0" operator="notEqual" aboveAverage="0" dxfId="0" text="" percent="0" bottom="0">
      <formula>0</formula>
    </cfRule>
  </conditionalFormatting>
  <conditionalFormatting sqref="BL317:BO317">
    <cfRule type="cellIs" rank="0" priority="9" equalAverage="0" operator="notEqual" aboveAverage="0" dxfId="0" text="" percent="0" bottom="0">
      <formula>0</formula>
    </cfRule>
  </conditionalFormatting>
  <conditionalFormatting sqref="BG317:BJ317">
    <cfRule type="cellIs" rank="0" priority="10" equalAverage="0" operator="notEqual" aboveAverage="0" dxfId="0" text="" percent="0" bottom="0">
      <formula>0</formula>
    </cfRule>
  </conditionalFormatting>
  <conditionalFormatting sqref="BB317:BE317">
    <cfRule type="cellIs" rank="0" priority="11" equalAverage="0" operator="notEqual" aboveAverage="0" dxfId="0" text="" percent="0" bottom="0">
      <formula>0</formula>
    </cfRule>
  </conditionalFormatting>
  <conditionalFormatting sqref="AW317:AZ317">
    <cfRule type="cellIs" rank="0" priority="12" equalAverage="0" operator="notEqual" aboveAverage="0" dxfId="0" text="" percent="0" bottom="0">
      <formula>0</formula>
    </cfRule>
  </conditionalFormatting>
  <conditionalFormatting sqref="AR317:AU317">
    <cfRule type="cellIs" rank="0" priority="13" equalAverage="0" operator="notEqual" aboveAverage="0" dxfId="0" text="" percent="0" bottom="0">
      <formula>0</formula>
    </cfRule>
  </conditionalFormatting>
  <conditionalFormatting sqref="AM317:AP317">
    <cfRule type="cellIs" rank="0" priority="14" equalAverage="0" operator="notEqual" aboveAverage="0" dxfId="0" text="" percent="0" bottom="0">
      <formula>0</formula>
    </cfRule>
  </conditionalFormatting>
  <conditionalFormatting sqref="AH317:AK317">
    <cfRule type="cellIs" rank="0" priority="15" equalAverage="0" operator="notEqual" aboveAverage="0" dxfId="0" text="" percent="0" bottom="0">
      <formula>0</formula>
    </cfRule>
  </conditionalFormatting>
  <conditionalFormatting sqref="E317:G317">
    <cfRule type="cellIs" rank="0" priority="16" equalAverage="0" operator="notEqual" aboveAverage="0" dxfId="0" text="" percent="0" bottom="0">
      <formula>0</formula>
    </cfRule>
  </conditionalFormatting>
  <conditionalFormatting sqref="E5:H5">
    <cfRule type="cellIs" rank="0" priority="17" equalAverage="0" operator="greaterThan" aboveAverage="0" dxfId="1" text="" percent="0" bottom="0">
      <formula>$B$5</formula>
    </cfRule>
  </conditionalFormatting>
  <conditionalFormatting sqref="D1:CY3">
    <cfRule type="cellIs" rank="0" priority="18" equalAverage="0" operator="greaterThan" aboveAverage="0" dxfId="2" text="" percent="0" bottom="0">
      <formula>1</formula>
    </cfRule>
  </conditionalFormatting>
  <conditionalFormatting sqref="AC317:AF317">
    <cfRule type="cellIs" rank="0" priority="19" equalAverage="0" operator="notEqual" aboveAverage="0" dxfId="0" text="" percent="0" bottom="0">
      <formula>0</formula>
    </cfRule>
  </conditionalFormatting>
  <conditionalFormatting sqref="X317:AA317">
    <cfRule type="cellIs" rank="0" priority="20" equalAverage="0" operator="notEqual" aboveAverage="0" dxfId="0" text="" percent="0" bottom="0">
      <formula>0</formula>
    </cfRule>
  </conditionalFormatting>
  <conditionalFormatting sqref="S317:V317">
    <cfRule type="cellIs" rank="0" priority="21" equalAverage="0" operator="notEqual" aboveAverage="0" dxfId="0" text="" percent="0" bottom="0">
      <formula>0</formula>
    </cfRule>
  </conditionalFormatting>
  <conditionalFormatting sqref="N317:Q317">
    <cfRule type="cellIs" rank="0" priority="22" equalAverage="0" operator="notEqual" aboveAverage="0" dxfId="0" text="" percent="0" bottom="0">
      <formula>0</formula>
    </cfRule>
  </conditionalFormatting>
  <conditionalFormatting sqref="I317:L317">
    <cfRule type="cellIs" rank="0" priority="23" equalAverage="0" operator="notEqual" aboveAverage="0" dxfId="0" text="" percent="0" bottom="0">
      <formula>0</formula>
    </cfRule>
  </conditionalFormatting>
  <conditionalFormatting sqref="J5:CY5">
    <cfRule type="cellIs" rank="0" priority="24" equalAverage="0" operator="greaterThan" aboveAverage="0" dxfId="1" text="" percent="0" bottom="0">
      <formula>$B$5</formula>
    </cfRule>
  </conditionalFormatting>
  <conditionalFormatting sqref="B1:B4 B13:B1048576">
    <cfRule type="expression" rank="0" priority="25" equalAverage="0" aboveAverage="0" dxfId="3" text="" percent="0" bottom="0">
      <formula>B1&lt;&gt;""</formula>
    </cfRule>
  </conditionalFormatting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3:AB102"/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D9" activeCellId="0" sqref="D9"/>
    </sheetView>
  </sheetViews>
  <sheetFormatPr baseColWidth="8" defaultColWidth="9.140625" defaultRowHeight="12.75" zeroHeight="0" outlineLevelRow="1"/>
  <cols>
    <col width="2" customWidth="1" style="349" min="1" max="1"/>
    <col outlineLevel="1" width="4.28" customWidth="1" style="349" min="2" max="2"/>
    <col width="54.57" customWidth="1" style="349" min="3" max="3"/>
    <col outlineLevel="1" width="12.85" customWidth="1" style="349" min="4" max="4"/>
    <col outlineLevel="1" width="11.28" customWidth="1" style="349" min="5" max="6"/>
    <col width="11.85" customWidth="1" style="349" min="7" max="7"/>
    <col width="14.14" customWidth="1" style="349" min="8" max="8"/>
    <col width="13.71" customWidth="1" style="349" min="9" max="9"/>
    <col width="11.28" customWidth="1" style="349" min="10" max="12"/>
    <col width="11.71" customWidth="1" style="349" min="13" max="13"/>
    <col width="11.57" customWidth="1" style="349" min="14" max="14"/>
    <col width="11.71" customWidth="1" style="349" min="15" max="15"/>
    <col width="10.85" customWidth="1" style="349" min="16" max="20"/>
    <col width="11.71" customWidth="1" style="349" min="21" max="22"/>
    <col width="9.279999999999999" customWidth="1" style="349" min="23" max="23"/>
    <col width="11.42" customWidth="1" style="349" min="24" max="25"/>
    <col width="10" customWidth="1" style="349" min="26" max="26"/>
    <col width="9.140000000000001" customWidth="1" style="349" min="27" max="27"/>
    <col width="19" customWidth="1" style="349" min="28" max="28"/>
    <col width="9.140000000000001" customWidth="1" style="349" min="29" max="31"/>
    <col width="8" customWidth="1" style="349" min="32" max="32"/>
    <col width="9.140000000000001" customWidth="1" style="349" min="33" max="261"/>
    <col width="2" customWidth="1" style="349" min="262" max="263"/>
    <col width="31.28" customWidth="1" style="349" min="264" max="264"/>
    <col width="13" customWidth="1" style="349" min="265" max="265"/>
    <col width="11.28" customWidth="1" style="349" min="266" max="268"/>
    <col width="13.71" customWidth="1" style="349" min="269" max="269"/>
    <col width="11.28" customWidth="1" style="349" min="270" max="273"/>
    <col width="9.140000000000001" customWidth="1" style="349" min="274" max="275"/>
    <col width="10.85" customWidth="1" style="349" min="276" max="276"/>
    <col width="9.140000000000001" customWidth="1" style="349" min="277" max="517"/>
    <col width="2" customWidth="1" style="349" min="518" max="519"/>
    <col width="31.28" customWidth="1" style="349" min="520" max="520"/>
    <col width="13" customWidth="1" style="349" min="521" max="521"/>
    <col width="11.28" customWidth="1" style="349" min="522" max="524"/>
    <col width="13.71" customWidth="1" style="349" min="525" max="525"/>
    <col width="11.28" customWidth="1" style="349" min="526" max="529"/>
    <col width="9.140000000000001" customWidth="1" style="349" min="530" max="531"/>
    <col width="10.85" customWidth="1" style="349" min="532" max="532"/>
    <col width="9.140000000000001" customWidth="1" style="349" min="533" max="773"/>
    <col width="2" customWidth="1" style="349" min="774" max="775"/>
    <col width="31.28" customWidth="1" style="349" min="776" max="776"/>
    <col width="13" customWidth="1" style="349" min="777" max="777"/>
    <col width="11.28" customWidth="1" style="349" min="778" max="780"/>
    <col width="13.71" customWidth="1" style="349" min="781" max="781"/>
    <col width="11.28" customWidth="1" style="349" min="782" max="785"/>
    <col width="9.140000000000001" customWidth="1" style="349" min="786" max="787"/>
    <col width="10.85" customWidth="1" style="349" min="788" max="788"/>
    <col width="9.140000000000001" customWidth="1" style="349" min="789" max="1029"/>
    <col width="2" customWidth="1" style="349" min="1030" max="1031"/>
    <col width="31.28" customWidth="1" style="349" min="1032" max="1032"/>
    <col width="13" customWidth="1" style="349" min="1033" max="1033"/>
    <col width="11.28" customWidth="1" style="349" min="1034" max="1036"/>
    <col width="13.71" customWidth="1" style="349" min="1037" max="1037"/>
    <col width="11.28" customWidth="1" style="349" min="1038" max="1041"/>
    <col width="9.140000000000001" customWidth="1" style="349" min="1042" max="1043"/>
    <col width="10.85" customWidth="1" style="349" min="1044" max="1044"/>
    <col width="9.140000000000001" customWidth="1" style="349" min="1045" max="1285"/>
    <col width="2" customWidth="1" style="349" min="1286" max="1287"/>
    <col width="31.28" customWidth="1" style="349" min="1288" max="1288"/>
    <col width="13" customWidth="1" style="349" min="1289" max="1289"/>
    <col width="11.28" customWidth="1" style="349" min="1290" max="1292"/>
    <col width="13.71" customWidth="1" style="349" min="1293" max="1293"/>
    <col width="11.28" customWidth="1" style="349" min="1294" max="1297"/>
    <col width="9.140000000000001" customWidth="1" style="349" min="1298" max="1299"/>
    <col width="10.85" customWidth="1" style="349" min="1300" max="1300"/>
    <col width="9.140000000000001" customWidth="1" style="349" min="1301" max="1541"/>
    <col width="2" customWidth="1" style="349" min="1542" max="1543"/>
    <col width="31.28" customWidth="1" style="349" min="1544" max="1544"/>
    <col width="13" customWidth="1" style="349" min="1545" max="1545"/>
    <col width="11.28" customWidth="1" style="349" min="1546" max="1548"/>
    <col width="13.71" customWidth="1" style="349" min="1549" max="1549"/>
    <col width="11.28" customWidth="1" style="349" min="1550" max="1553"/>
    <col width="9.140000000000001" customWidth="1" style="349" min="1554" max="1555"/>
    <col width="10.85" customWidth="1" style="349" min="1556" max="1556"/>
    <col width="9.140000000000001" customWidth="1" style="349" min="1557" max="1797"/>
    <col width="2" customWidth="1" style="349" min="1798" max="1799"/>
    <col width="31.28" customWidth="1" style="349" min="1800" max="1800"/>
    <col width="13" customWidth="1" style="349" min="1801" max="1801"/>
    <col width="11.28" customWidth="1" style="349" min="1802" max="1804"/>
    <col width="13.71" customWidth="1" style="349" min="1805" max="1805"/>
    <col width="11.28" customWidth="1" style="349" min="1806" max="1809"/>
    <col width="9.140000000000001" customWidth="1" style="349" min="1810" max="1811"/>
    <col width="10.85" customWidth="1" style="349" min="1812" max="1812"/>
    <col width="9.140000000000001" customWidth="1" style="349" min="1813" max="2053"/>
    <col width="2" customWidth="1" style="349" min="2054" max="2055"/>
    <col width="31.28" customWidth="1" style="349" min="2056" max="2056"/>
    <col width="13" customWidth="1" style="349" min="2057" max="2057"/>
    <col width="11.28" customWidth="1" style="349" min="2058" max="2060"/>
    <col width="13.71" customWidth="1" style="349" min="2061" max="2061"/>
    <col width="11.28" customWidth="1" style="349" min="2062" max="2065"/>
    <col width="9.140000000000001" customWidth="1" style="349" min="2066" max="2067"/>
    <col width="10.85" customWidth="1" style="349" min="2068" max="2068"/>
    <col width="9.140000000000001" customWidth="1" style="349" min="2069" max="2309"/>
    <col width="2" customWidth="1" style="349" min="2310" max="2311"/>
    <col width="31.28" customWidth="1" style="349" min="2312" max="2312"/>
    <col width="13" customWidth="1" style="349" min="2313" max="2313"/>
    <col width="11.28" customWidth="1" style="349" min="2314" max="2316"/>
    <col width="13.71" customWidth="1" style="349" min="2317" max="2317"/>
    <col width="11.28" customWidth="1" style="349" min="2318" max="2321"/>
    <col width="9.140000000000001" customWidth="1" style="349" min="2322" max="2323"/>
    <col width="10.85" customWidth="1" style="349" min="2324" max="2324"/>
    <col width="9.140000000000001" customWidth="1" style="349" min="2325" max="2565"/>
    <col width="2" customWidth="1" style="349" min="2566" max="2567"/>
    <col width="31.28" customWidth="1" style="349" min="2568" max="2568"/>
    <col width="13" customWidth="1" style="349" min="2569" max="2569"/>
    <col width="11.28" customWidth="1" style="349" min="2570" max="2572"/>
    <col width="13.71" customWidth="1" style="349" min="2573" max="2573"/>
    <col width="11.28" customWidth="1" style="349" min="2574" max="2577"/>
    <col width="9.140000000000001" customWidth="1" style="349" min="2578" max="2579"/>
    <col width="10.85" customWidth="1" style="349" min="2580" max="2580"/>
    <col width="9.140000000000001" customWidth="1" style="349" min="2581" max="2821"/>
    <col width="2" customWidth="1" style="349" min="2822" max="2823"/>
    <col width="31.28" customWidth="1" style="349" min="2824" max="2824"/>
    <col width="13" customWidth="1" style="349" min="2825" max="2825"/>
    <col width="11.28" customWidth="1" style="349" min="2826" max="2828"/>
    <col width="13.71" customWidth="1" style="349" min="2829" max="2829"/>
    <col width="11.28" customWidth="1" style="349" min="2830" max="2833"/>
    <col width="9.140000000000001" customWidth="1" style="349" min="2834" max="2835"/>
    <col width="10.85" customWidth="1" style="349" min="2836" max="2836"/>
    <col width="9.140000000000001" customWidth="1" style="349" min="2837" max="3077"/>
    <col width="2" customWidth="1" style="349" min="3078" max="3079"/>
    <col width="31.28" customWidth="1" style="349" min="3080" max="3080"/>
    <col width="13" customWidth="1" style="349" min="3081" max="3081"/>
    <col width="11.28" customWidth="1" style="349" min="3082" max="3084"/>
    <col width="13.71" customWidth="1" style="349" min="3085" max="3085"/>
    <col width="11.28" customWidth="1" style="349" min="3086" max="3089"/>
    <col width="9.140000000000001" customWidth="1" style="349" min="3090" max="3091"/>
    <col width="10.85" customWidth="1" style="349" min="3092" max="3092"/>
    <col width="9.140000000000001" customWidth="1" style="349" min="3093" max="3333"/>
    <col width="2" customWidth="1" style="349" min="3334" max="3335"/>
    <col width="31.28" customWidth="1" style="349" min="3336" max="3336"/>
    <col width="13" customWidth="1" style="349" min="3337" max="3337"/>
    <col width="11.28" customWidth="1" style="349" min="3338" max="3340"/>
    <col width="13.71" customWidth="1" style="349" min="3341" max="3341"/>
    <col width="11.28" customWidth="1" style="349" min="3342" max="3345"/>
    <col width="9.140000000000001" customWidth="1" style="349" min="3346" max="3347"/>
    <col width="10.85" customWidth="1" style="349" min="3348" max="3348"/>
    <col width="9.140000000000001" customWidth="1" style="349" min="3349" max="3589"/>
    <col width="2" customWidth="1" style="349" min="3590" max="3591"/>
    <col width="31.28" customWidth="1" style="349" min="3592" max="3592"/>
    <col width="13" customWidth="1" style="349" min="3593" max="3593"/>
    <col width="11.28" customWidth="1" style="349" min="3594" max="3596"/>
    <col width="13.71" customWidth="1" style="349" min="3597" max="3597"/>
    <col width="11.28" customWidth="1" style="349" min="3598" max="3601"/>
    <col width="9.140000000000001" customWidth="1" style="349" min="3602" max="3603"/>
    <col width="10.85" customWidth="1" style="349" min="3604" max="3604"/>
    <col width="9.140000000000001" customWidth="1" style="349" min="3605" max="3845"/>
    <col width="2" customWidth="1" style="349" min="3846" max="3847"/>
    <col width="31.28" customWidth="1" style="349" min="3848" max="3848"/>
    <col width="13" customWidth="1" style="349" min="3849" max="3849"/>
    <col width="11.28" customWidth="1" style="349" min="3850" max="3852"/>
    <col width="13.71" customWidth="1" style="349" min="3853" max="3853"/>
    <col width="11.28" customWidth="1" style="349" min="3854" max="3857"/>
    <col width="9.140000000000001" customWidth="1" style="349" min="3858" max="3859"/>
    <col width="10.85" customWidth="1" style="349" min="3860" max="3860"/>
    <col width="9.140000000000001" customWidth="1" style="349" min="3861" max="4101"/>
    <col width="2" customWidth="1" style="349" min="4102" max="4103"/>
    <col width="31.28" customWidth="1" style="349" min="4104" max="4104"/>
    <col width="13" customWidth="1" style="349" min="4105" max="4105"/>
    <col width="11.28" customWidth="1" style="349" min="4106" max="4108"/>
    <col width="13.71" customWidth="1" style="349" min="4109" max="4109"/>
    <col width="11.28" customWidth="1" style="349" min="4110" max="4113"/>
    <col width="9.140000000000001" customWidth="1" style="349" min="4114" max="4115"/>
    <col width="10.85" customWidth="1" style="349" min="4116" max="4116"/>
    <col width="9.140000000000001" customWidth="1" style="349" min="4117" max="4357"/>
    <col width="2" customWidth="1" style="349" min="4358" max="4359"/>
    <col width="31.28" customWidth="1" style="349" min="4360" max="4360"/>
    <col width="13" customWidth="1" style="349" min="4361" max="4361"/>
    <col width="11.28" customWidth="1" style="349" min="4362" max="4364"/>
    <col width="13.71" customWidth="1" style="349" min="4365" max="4365"/>
    <col width="11.28" customWidth="1" style="349" min="4366" max="4369"/>
    <col width="9.140000000000001" customWidth="1" style="349" min="4370" max="4371"/>
    <col width="10.85" customWidth="1" style="349" min="4372" max="4372"/>
    <col width="9.140000000000001" customWidth="1" style="349" min="4373" max="4613"/>
    <col width="2" customWidth="1" style="349" min="4614" max="4615"/>
    <col width="31.28" customWidth="1" style="349" min="4616" max="4616"/>
    <col width="13" customWidth="1" style="349" min="4617" max="4617"/>
    <col width="11.28" customWidth="1" style="349" min="4618" max="4620"/>
    <col width="13.71" customWidth="1" style="349" min="4621" max="4621"/>
    <col width="11.28" customWidth="1" style="349" min="4622" max="4625"/>
    <col width="9.140000000000001" customWidth="1" style="349" min="4626" max="4627"/>
    <col width="10.85" customWidth="1" style="349" min="4628" max="4628"/>
    <col width="9.140000000000001" customWidth="1" style="349" min="4629" max="4869"/>
    <col width="2" customWidth="1" style="349" min="4870" max="4871"/>
    <col width="31.28" customWidth="1" style="349" min="4872" max="4872"/>
    <col width="13" customWidth="1" style="349" min="4873" max="4873"/>
    <col width="11.28" customWidth="1" style="349" min="4874" max="4876"/>
    <col width="13.71" customWidth="1" style="349" min="4877" max="4877"/>
    <col width="11.28" customWidth="1" style="349" min="4878" max="4881"/>
    <col width="9.140000000000001" customWidth="1" style="349" min="4882" max="4883"/>
    <col width="10.85" customWidth="1" style="349" min="4884" max="4884"/>
    <col width="9.140000000000001" customWidth="1" style="349" min="4885" max="5125"/>
    <col width="2" customWidth="1" style="349" min="5126" max="5127"/>
    <col width="31.28" customWidth="1" style="349" min="5128" max="5128"/>
    <col width="13" customWidth="1" style="349" min="5129" max="5129"/>
    <col width="11.28" customWidth="1" style="349" min="5130" max="5132"/>
    <col width="13.71" customWidth="1" style="349" min="5133" max="5133"/>
    <col width="11.28" customWidth="1" style="349" min="5134" max="5137"/>
    <col width="9.140000000000001" customWidth="1" style="349" min="5138" max="5139"/>
    <col width="10.85" customWidth="1" style="349" min="5140" max="5140"/>
    <col width="9.140000000000001" customWidth="1" style="349" min="5141" max="5381"/>
    <col width="2" customWidth="1" style="349" min="5382" max="5383"/>
    <col width="31.28" customWidth="1" style="349" min="5384" max="5384"/>
    <col width="13" customWidth="1" style="349" min="5385" max="5385"/>
    <col width="11.28" customWidth="1" style="349" min="5386" max="5388"/>
    <col width="13.71" customWidth="1" style="349" min="5389" max="5389"/>
    <col width="11.28" customWidth="1" style="349" min="5390" max="5393"/>
    <col width="9.140000000000001" customWidth="1" style="349" min="5394" max="5395"/>
    <col width="10.85" customWidth="1" style="349" min="5396" max="5396"/>
    <col width="9.140000000000001" customWidth="1" style="349" min="5397" max="5637"/>
    <col width="2" customWidth="1" style="349" min="5638" max="5639"/>
    <col width="31.28" customWidth="1" style="349" min="5640" max="5640"/>
    <col width="13" customWidth="1" style="349" min="5641" max="5641"/>
    <col width="11.28" customWidth="1" style="349" min="5642" max="5644"/>
    <col width="13.71" customWidth="1" style="349" min="5645" max="5645"/>
    <col width="11.28" customWidth="1" style="349" min="5646" max="5649"/>
    <col width="9.140000000000001" customWidth="1" style="349" min="5650" max="5651"/>
    <col width="10.85" customWidth="1" style="349" min="5652" max="5652"/>
    <col width="9.140000000000001" customWidth="1" style="349" min="5653" max="5893"/>
    <col width="2" customWidth="1" style="349" min="5894" max="5895"/>
    <col width="31.28" customWidth="1" style="349" min="5896" max="5896"/>
    <col width="13" customWidth="1" style="349" min="5897" max="5897"/>
    <col width="11.28" customWidth="1" style="349" min="5898" max="5900"/>
    <col width="13.71" customWidth="1" style="349" min="5901" max="5901"/>
    <col width="11.28" customWidth="1" style="349" min="5902" max="5905"/>
    <col width="9.140000000000001" customWidth="1" style="349" min="5906" max="5907"/>
    <col width="10.85" customWidth="1" style="349" min="5908" max="5908"/>
    <col width="9.140000000000001" customWidth="1" style="349" min="5909" max="6149"/>
    <col width="2" customWidth="1" style="349" min="6150" max="6151"/>
    <col width="31.28" customWidth="1" style="349" min="6152" max="6152"/>
    <col width="13" customWidth="1" style="349" min="6153" max="6153"/>
    <col width="11.28" customWidth="1" style="349" min="6154" max="6156"/>
    <col width="13.71" customWidth="1" style="349" min="6157" max="6157"/>
    <col width="11.28" customWidth="1" style="349" min="6158" max="6161"/>
    <col width="9.140000000000001" customWidth="1" style="349" min="6162" max="6163"/>
    <col width="10.85" customWidth="1" style="349" min="6164" max="6164"/>
    <col width="9.140000000000001" customWidth="1" style="349" min="6165" max="6405"/>
    <col width="2" customWidth="1" style="349" min="6406" max="6407"/>
    <col width="31.28" customWidth="1" style="349" min="6408" max="6408"/>
    <col width="13" customWidth="1" style="349" min="6409" max="6409"/>
    <col width="11.28" customWidth="1" style="349" min="6410" max="6412"/>
    <col width="13.71" customWidth="1" style="349" min="6413" max="6413"/>
    <col width="11.28" customWidth="1" style="349" min="6414" max="6417"/>
    <col width="9.140000000000001" customWidth="1" style="349" min="6418" max="6419"/>
    <col width="10.85" customWidth="1" style="349" min="6420" max="6420"/>
    <col width="9.140000000000001" customWidth="1" style="349" min="6421" max="6661"/>
    <col width="2" customWidth="1" style="349" min="6662" max="6663"/>
    <col width="31.28" customWidth="1" style="349" min="6664" max="6664"/>
    <col width="13" customWidth="1" style="349" min="6665" max="6665"/>
    <col width="11.28" customWidth="1" style="349" min="6666" max="6668"/>
    <col width="13.71" customWidth="1" style="349" min="6669" max="6669"/>
    <col width="11.28" customWidth="1" style="349" min="6670" max="6673"/>
    <col width="9.140000000000001" customWidth="1" style="349" min="6674" max="6675"/>
    <col width="10.85" customWidth="1" style="349" min="6676" max="6676"/>
    <col width="9.140000000000001" customWidth="1" style="349" min="6677" max="6917"/>
    <col width="2" customWidth="1" style="349" min="6918" max="6919"/>
    <col width="31.28" customWidth="1" style="349" min="6920" max="6920"/>
    <col width="13" customWidth="1" style="349" min="6921" max="6921"/>
    <col width="11.28" customWidth="1" style="349" min="6922" max="6924"/>
    <col width="13.71" customWidth="1" style="349" min="6925" max="6925"/>
    <col width="11.28" customWidth="1" style="349" min="6926" max="6929"/>
    <col width="9.140000000000001" customWidth="1" style="349" min="6930" max="6931"/>
    <col width="10.85" customWidth="1" style="349" min="6932" max="6932"/>
    <col width="9.140000000000001" customWidth="1" style="349" min="6933" max="7173"/>
    <col width="2" customWidth="1" style="349" min="7174" max="7175"/>
    <col width="31.28" customWidth="1" style="349" min="7176" max="7176"/>
    <col width="13" customWidth="1" style="349" min="7177" max="7177"/>
    <col width="11.28" customWidth="1" style="349" min="7178" max="7180"/>
    <col width="13.71" customWidth="1" style="349" min="7181" max="7181"/>
    <col width="11.28" customWidth="1" style="349" min="7182" max="7185"/>
    <col width="9.140000000000001" customWidth="1" style="349" min="7186" max="7187"/>
    <col width="10.85" customWidth="1" style="349" min="7188" max="7188"/>
    <col width="9.140000000000001" customWidth="1" style="349" min="7189" max="7429"/>
    <col width="2" customWidth="1" style="349" min="7430" max="7431"/>
    <col width="31.28" customWidth="1" style="349" min="7432" max="7432"/>
    <col width="13" customWidth="1" style="349" min="7433" max="7433"/>
    <col width="11.28" customWidth="1" style="349" min="7434" max="7436"/>
    <col width="13.71" customWidth="1" style="349" min="7437" max="7437"/>
    <col width="11.28" customWidth="1" style="349" min="7438" max="7441"/>
    <col width="9.140000000000001" customWidth="1" style="349" min="7442" max="7443"/>
    <col width="10.85" customWidth="1" style="349" min="7444" max="7444"/>
    <col width="9.140000000000001" customWidth="1" style="349" min="7445" max="7685"/>
    <col width="2" customWidth="1" style="349" min="7686" max="7687"/>
    <col width="31.28" customWidth="1" style="349" min="7688" max="7688"/>
    <col width="13" customWidth="1" style="349" min="7689" max="7689"/>
    <col width="11.28" customWidth="1" style="349" min="7690" max="7692"/>
    <col width="13.71" customWidth="1" style="349" min="7693" max="7693"/>
    <col width="11.28" customWidth="1" style="349" min="7694" max="7697"/>
    <col width="9.140000000000001" customWidth="1" style="349" min="7698" max="7699"/>
    <col width="10.85" customWidth="1" style="349" min="7700" max="7700"/>
    <col width="9.140000000000001" customWidth="1" style="349" min="7701" max="7941"/>
    <col width="2" customWidth="1" style="349" min="7942" max="7943"/>
    <col width="31.28" customWidth="1" style="349" min="7944" max="7944"/>
    <col width="13" customWidth="1" style="349" min="7945" max="7945"/>
    <col width="11.28" customWidth="1" style="349" min="7946" max="7948"/>
    <col width="13.71" customWidth="1" style="349" min="7949" max="7949"/>
    <col width="11.28" customWidth="1" style="349" min="7950" max="7953"/>
    <col width="9.140000000000001" customWidth="1" style="349" min="7954" max="7955"/>
    <col width="10.85" customWidth="1" style="349" min="7956" max="7956"/>
    <col width="9.140000000000001" customWidth="1" style="349" min="7957" max="8197"/>
    <col width="2" customWidth="1" style="349" min="8198" max="8199"/>
    <col width="31.28" customWidth="1" style="349" min="8200" max="8200"/>
    <col width="13" customWidth="1" style="349" min="8201" max="8201"/>
    <col width="11.28" customWidth="1" style="349" min="8202" max="8204"/>
    <col width="13.71" customWidth="1" style="349" min="8205" max="8205"/>
    <col width="11.28" customWidth="1" style="349" min="8206" max="8209"/>
    <col width="9.140000000000001" customWidth="1" style="349" min="8210" max="8211"/>
    <col width="10.85" customWidth="1" style="349" min="8212" max="8212"/>
    <col width="9.140000000000001" customWidth="1" style="349" min="8213" max="8453"/>
    <col width="2" customWidth="1" style="349" min="8454" max="8455"/>
    <col width="31.28" customWidth="1" style="349" min="8456" max="8456"/>
    <col width="13" customWidth="1" style="349" min="8457" max="8457"/>
    <col width="11.28" customWidth="1" style="349" min="8458" max="8460"/>
    <col width="13.71" customWidth="1" style="349" min="8461" max="8461"/>
    <col width="11.28" customWidth="1" style="349" min="8462" max="8465"/>
    <col width="9.140000000000001" customWidth="1" style="349" min="8466" max="8467"/>
    <col width="10.85" customWidth="1" style="349" min="8468" max="8468"/>
    <col width="9.140000000000001" customWidth="1" style="349" min="8469" max="8709"/>
    <col width="2" customWidth="1" style="349" min="8710" max="8711"/>
    <col width="31.28" customWidth="1" style="349" min="8712" max="8712"/>
    <col width="13" customWidth="1" style="349" min="8713" max="8713"/>
    <col width="11.28" customWidth="1" style="349" min="8714" max="8716"/>
    <col width="13.71" customWidth="1" style="349" min="8717" max="8717"/>
    <col width="11.28" customWidth="1" style="349" min="8718" max="8721"/>
    <col width="9.140000000000001" customWidth="1" style="349" min="8722" max="8723"/>
    <col width="10.85" customWidth="1" style="349" min="8724" max="8724"/>
    <col width="9.140000000000001" customWidth="1" style="349" min="8725" max="8965"/>
    <col width="2" customWidth="1" style="349" min="8966" max="8967"/>
    <col width="31.28" customWidth="1" style="349" min="8968" max="8968"/>
    <col width="13" customWidth="1" style="349" min="8969" max="8969"/>
    <col width="11.28" customWidth="1" style="349" min="8970" max="8972"/>
    <col width="13.71" customWidth="1" style="349" min="8973" max="8973"/>
    <col width="11.28" customWidth="1" style="349" min="8974" max="8977"/>
    <col width="9.140000000000001" customWidth="1" style="349" min="8978" max="8979"/>
    <col width="10.85" customWidth="1" style="349" min="8980" max="8980"/>
    <col width="9.140000000000001" customWidth="1" style="349" min="8981" max="9221"/>
    <col width="2" customWidth="1" style="349" min="9222" max="9223"/>
    <col width="31.28" customWidth="1" style="349" min="9224" max="9224"/>
    <col width="13" customWidth="1" style="349" min="9225" max="9225"/>
    <col width="11.28" customWidth="1" style="349" min="9226" max="9228"/>
    <col width="13.71" customWidth="1" style="349" min="9229" max="9229"/>
    <col width="11.28" customWidth="1" style="349" min="9230" max="9233"/>
    <col width="9.140000000000001" customWidth="1" style="349" min="9234" max="9235"/>
    <col width="10.85" customWidth="1" style="349" min="9236" max="9236"/>
    <col width="9.140000000000001" customWidth="1" style="349" min="9237" max="9477"/>
    <col width="2" customWidth="1" style="349" min="9478" max="9479"/>
    <col width="31.28" customWidth="1" style="349" min="9480" max="9480"/>
    <col width="13" customWidth="1" style="349" min="9481" max="9481"/>
    <col width="11.28" customWidth="1" style="349" min="9482" max="9484"/>
    <col width="13.71" customWidth="1" style="349" min="9485" max="9485"/>
    <col width="11.28" customWidth="1" style="349" min="9486" max="9489"/>
    <col width="9.140000000000001" customWidth="1" style="349" min="9490" max="9491"/>
    <col width="10.85" customWidth="1" style="349" min="9492" max="9492"/>
    <col width="9.140000000000001" customWidth="1" style="349" min="9493" max="9733"/>
    <col width="2" customWidth="1" style="349" min="9734" max="9735"/>
    <col width="31.28" customWidth="1" style="349" min="9736" max="9736"/>
    <col width="13" customWidth="1" style="349" min="9737" max="9737"/>
    <col width="11.28" customWidth="1" style="349" min="9738" max="9740"/>
    <col width="13.71" customWidth="1" style="349" min="9741" max="9741"/>
    <col width="11.28" customWidth="1" style="349" min="9742" max="9745"/>
    <col width="9.140000000000001" customWidth="1" style="349" min="9746" max="9747"/>
    <col width="10.85" customWidth="1" style="349" min="9748" max="9748"/>
    <col width="9.140000000000001" customWidth="1" style="349" min="9749" max="9989"/>
    <col width="2" customWidth="1" style="349" min="9990" max="9991"/>
    <col width="31.28" customWidth="1" style="349" min="9992" max="9992"/>
    <col width="13" customWidth="1" style="349" min="9993" max="9993"/>
    <col width="11.28" customWidth="1" style="349" min="9994" max="9996"/>
    <col width="13.71" customWidth="1" style="349" min="9997" max="9997"/>
    <col width="11.28" customWidth="1" style="349" min="9998" max="10001"/>
    <col width="9.140000000000001" customWidth="1" style="349" min="10002" max="10003"/>
    <col width="10.85" customWidth="1" style="349" min="10004" max="10004"/>
    <col width="9.140000000000001" customWidth="1" style="349" min="10005" max="10245"/>
    <col width="2" customWidth="1" style="349" min="10246" max="10247"/>
    <col width="31.28" customWidth="1" style="349" min="10248" max="10248"/>
    <col width="13" customWidth="1" style="349" min="10249" max="10249"/>
    <col width="11.28" customWidth="1" style="349" min="10250" max="10252"/>
    <col width="13.71" customWidth="1" style="349" min="10253" max="10253"/>
    <col width="11.28" customWidth="1" style="349" min="10254" max="10257"/>
    <col width="9.140000000000001" customWidth="1" style="349" min="10258" max="10259"/>
    <col width="10.85" customWidth="1" style="349" min="10260" max="10260"/>
    <col width="9.140000000000001" customWidth="1" style="349" min="10261" max="10501"/>
    <col width="2" customWidth="1" style="349" min="10502" max="10503"/>
    <col width="31.28" customWidth="1" style="349" min="10504" max="10504"/>
    <col width="13" customWidth="1" style="349" min="10505" max="10505"/>
    <col width="11.28" customWidth="1" style="349" min="10506" max="10508"/>
    <col width="13.71" customWidth="1" style="349" min="10509" max="10509"/>
    <col width="11.28" customWidth="1" style="349" min="10510" max="10513"/>
    <col width="9.140000000000001" customWidth="1" style="349" min="10514" max="10515"/>
    <col width="10.85" customWidth="1" style="349" min="10516" max="10516"/>
    <col width="9.140000000000001" customWidth="1" style="349" min="10517" max="10757"/>
    <col width="2" customWidth="1" style="349" min="10758" max="10759"/>
    <col width="31.28" customWidth="1" style="349" min="10760" max="10760"/>
    <col width="13" customWidth="1" style="349" min="10761" max="10761"/>
    <col width="11.28" customWidth="1" style="349" min="10762" max="10764"/>
    <col width="13.71" customWidth="1" style="349" min="10765" max="10765"/>
    <col width="11.28" customWidth="1" style="349" min="10766" max="10769"/>
    <col width="9.140000000000001" customWidth="1" style="349" min="10770" max="10771"/>
    <col width="10.85" customWidth="1" style="349" min="10772" max="10772"/>
    <col width="9.140000000000001" customWidth="1" style="349" min="10773" max="11013"/>
    <col width="2" customWidth="1" style="349" min="11014" max="11015"/>
    <col width="31.28" customWidth="1" style="349" min="11016" max="11016"/>
    <col width="13" customWidth="1" style="349" min="11017" max="11017"/>
    <col width="11.28" customWidth="1" style="349" min="11018" max="11020"/>
    <col width="13.71" customWidth="1" style="349" min="11021" max="11021"/>
    <col width="11.28" customWidth="1" style="349" min="11022" max="11025"/>
    <col width="9.140000000000001" customWidth="1" style="349" min="11026" max="11027"/>
    <col width="10.85" customWidth="1" style="349" min="11028" max="11028"/>
    <col width="9.140000000000001" customWidth="1" style="349" min="11029" max="11269"/>
    <col width="2" customWidth="1" style="349" min="11270" max="11271"/>
    <col width="31.28" customWidth="1" style="349" min="11272" max="11272"/>
    <col width="13" customWidth="1" style="349" min="11273" max="11273"/>
    <col width="11.28" customWidth="1" style="349" min="11274" max="11276"/>
    <col width="13.71" customWidth="1" style="349" min="11277" max="11277"/>
    <col width="11.28" customWidth="1" style="349" min="11278" max="11281"/>
    <col width="9.140000000000001" customWidth="1" style="349" min="11282" max="11283"/>
    <col width="10.85" customWidth="1" style="349" min="11284" max="11284"/>
    <col width="9.140000000000001" customWidth="1" style="349" min="11285" max="11525"/>
    <col width="2" customWidth="1" style="349" min="11526" max="11527"/>
    <col width="31.28" customWidth="1" style="349" min="11528" max="11528"/>
    <col width="13" customWidth="1" style="349" min="11529" max="11529"/>
    <col width="11.28" customWidth="1" style="349" min="11530" max="11532"/>
    <col width="13.71" customWidth="1" style="349" min="11533" max="11533"/>
    <col width="11.28" customWidth="1" style="349" min="11534" max="11537"/>
    <col width="9.140000000000001" customWidth="1" style="349" min="11538" max="11539"/>
    <col width="10.85" customWidth="1" style="349" min="11540" max="11540"/>
    <col width="9.140000000000001" customWidth="1" style="349" min="11541" max="11781"/>
    <col width="2" customWidth="1" style="349" min="11782" max="11783"/>
    <col width="31.28" customWidth="1" style="349" min="11784" max="11784"/>
    <col width="13" customWidth="1" style="349" min="11785" max="11785"/>
    <col width="11.28" customWidth="1" style="349" min="11786" max="11788"/>
    <col width="13.71" customWidth="1" style="349" min="11789" max="11789"/>
    <col width="11.28" customWidth="1" style="349" min="11790" max="11793"/>
    <col width="9.140000000000001" customWidth="1" style="349" min="11794" max="11795"/>
    <col width="10.85" customWidth="1" style="349" min="11796" max="11796"/>
    <col width="9.140000000000001" customWidth="1" style="349" min="11797" max="12037"/>
    <col width="2" customWidth="1" style="349" min="12038" max="12039"/>
    <col width="31.28" customWidth="1" style="349" min="12040" max="12040"/>
    <col width="13" customWidth="1" style="349" min="12041" max="12041"/>
    <col width="11.28" customWidth="1" style="349" min="12042" max="12044"/>
    <col width="13.71" customWidth="1" style="349" min="12045" max="12045"/>
    <col width="11.28" customWidth="1" style="349" min="12046" max="12049"/>
    <col width="9.140000000000001" customWidth="1" style="349" min="12050" max="12051"/>
    <col width="10.85" customWidth="1" style="349" min="12052" max="12052"/>
    <col width="9.140000000000001" customWidth="1" style="349" min="12053" max="12293"/>
    <col width="2" customWidth="1" style="349" min="12294" max="12295"/>
    <col width="31.28" customWidth="1" style="349" min="12296" max="12296"/>
    <col width="13" customWidth="1" style="349" min="12297" max="12297"/>
    <col width="11.28" customWidth="1" style="349" min="12298" max="12300"/>
    <col width="13.71" customWidth="1" style="349" min="12301" max="12301"/>
    <col width="11.28" customWidth="1" style="349" min="12302" max="12305"/>
    <col width="9.140000000000001" customWidth="1" style="349" min="12306" max="12307"/>
    <col width="10.85" customWidth="1" style="349" min="12308" max="12308"/>
    <col width="9.140000000000001" customWidth="1" style="349" min="12309" max="12549"/>
    <col width="2" customWidth="1" style="349" min="12550" max="12551"/>
    <col width="31.28" customWidth="1" style="349" min="12552" max="12552"/>
    <col width="13" customWidth="1" style="349" min="12553" max="12553"/>
    <col width="11.28" customWidth="1" style="349" min="12554" max="12556"/>
    <col width="13.71" customWidth="1" style="349" min="12557" max="12557"/>
    <col width="11.28" customWidth="1" style="349" min="12558" max="12561"/>
    <col width="9.140000000000001" customWidth="1" style="349" min="12562" max="12563"/>
    <col width="10.85" customWidth="1" style="349" min="12564" max="12564"/>
    <col width="9.140000000000001" customWidth="1" style="349" min="12565" max="12805"/>
    <col width="2" customWidth="1" style="349" min="12806" max="12807"/>
    <col width="31.28" customWidth="1" style="349" min="12808" max="12808"/>
    <col width="13" customWidth="1" style="349" min="12809" max="12809"/>
    <col width="11.28" customWidth="1" style="349" min="12810" max="12812"/>
    <col width="13.71" customWidth="1" style="349" min="12813" max="12813"/>
    <col width="11.28" customWidth="1" style="349" min="12814" max="12817"/>
    <col width="9.140000000000001" customWidth="1" style="349" min="12818" max="12819"/>
    <col width="10.85" customWidth="1" style="349" min="12820" max="12820"/>
    <col width="9.140000000000001" customWidth="1" style="349" min="12821" max="13061"/>
    <col width="2" customWidth="1" style="349" min="13062" max="13063"/>
    <col width="31.28" customWidth="1" style="349" min="13064" max="13064"/>
    <col width="13" customWidth="1" style="349" min="13065" max="13065"/>
    <col width="11.28" customWidth="1" style="349" min="13066" max="13068"/>
    <col width="13.71" customWidth="1" style="349" min="13069" max="13069"/>
    <col width="11.28" customWidth="1" style="349" min="13070" max="13073"/>
    <col width="9.140000000000001" customWidth="1" style="349" min="13074" max="13075"/>
    <col width="10.85" customWidth="1" style="349" min="13076" max="13076"/>
    <col width="9.140000000000001" customWidth="1" style="349" min="13077" max="13317"/>
    <col width="2" customWidth="1" style="349" min="13318" max="13319"/>
    <col width="31.28" customWidth="1" style="349" min="13320" max="13320"/>
    <col width="13" customWidth="1" style="349" min="13321" max="13321"/>
    <col width="11.28" customWidth="1" style="349" min="13322" max="13324"/>
    <col width="13.71" customWidth="1" style="349" min="13325" max="13325"/>
    <col width="11.28" customWidth="1" style="349" min="13326" max="13329"/>
    <col width="9.140000000000001" customWidth="1" style="349" min="13330" max="13331"/>
    <col width="10.85" customWidth="1" style="349" min="13332" max="13332"/>
    <col width="9.140000000000001" customWidth="1" style="349" min="13333" max="13573"/>
    <col width="2" customWidth="1" style="349" min="13574" max="13575"/>
    <col width="31.28" customWidth="1" style="349" min="13576" max="13576"/>
    <col width="13" customWidth="1" style="349" min="13577" max="13577"/>
    <col width="11.28" customWidth="1" style="349" min="13578" max="13580"/>
    <col width="13.71" customWidth="1" style="349" min="13581" max="13581"/>
    <col width="11.28" customWidth="1" style="349" min="13582" max="13585"/>
    <col width="9.140000000000001" customWidth="1" style="349" min="13586" max="13587"/>
    <col width="10.85" customWidth="1" style="349" min="13588" max="13588"/>
    <col width="9.140000000000001" customWidth="1" style="349" min="13589" max="13829"/>
    <col width="2" customWidth="1" style="349" min="13830" max="13831"/>
    <col width="31.28" customWidth="1" style="349" min="13832" max="13832"/>
    <col width="13" customWidth="1" style="349" min="13833" max="13833"/>
    <col width="11.28" customWidth="1" style="349" min="13834" max="13836"/>
    <col width="13.71" customWidth="1" style="349" min="13837" max="13837"/>
    <col width="11.28" customWidth="1" style="349" min="13838" max="13841"/>
    <col width="9.140000000000001" customWidth="1" style="349" min="13842" max="13843"/>
    <col width="10.85" customWidth="1" style="349" min="13844" max="13844"/>
    <col width="9.140000000000001" customWidth="1" style="349" min="13845" max="14085"/>
    <col width="2" customWidth="1" style="349" min="14086" max="14087"/>
    <col width="31.28" customWidth="1" style="349" min="14088" max="14088"/>
    <col width="13" customWidth="1" style="349" min="14089" max="14089"/>
    <col width="11.28" customWidth="1" style="349" min="14090" max="14092"/>
    <col width="13.71" customWidth="1" style="349" min="14093" max="14093"/>
    <col width="11.28" customWidth="1" style="349" min="14094" max="14097"/>
    <col width="9.140000000000001" customWidth="1" style="349" min="14098" max="14099"/>
    <col width="10.85" customWidth="1" style="349" min="14100" max="14100"/>
    <col width="9.140000000000001" customWidth="1" style="349" min="14101" max="14341"/>
    <col width="2" customWidth="1" style="349" min="14342" max="14343"/>
    <col width="31.28" customWidth="1" style="349" min="14344" max="14344"/>
    <col width="13" customWidth="1" style="349" min="14345" max="14345"/>
    <col width="11.28" customWidth="1" style="349" min="14346" max="14348"/>
    <col width="13.71" customWidth="1" style="349" min="14349" max="14349"/>
    <col width="11.28" customWidth="1" style="349" min="14350" max="14353"/>
    <col width="9.140000000000001" customWidth="1" style="349" min="14354" max="14355"/>
    <col width="10.85" customWidth="1" style="349" min="14356" max="14356"/>
    <col width="9.140000000000001" customWidth="1" style="349" min="14357" max="14597"/>
    <col width="2" customWidth="1" style="349" min="14598" max="14599"/>
    <col width="31.28" customWidth="1" style="349" min="14600" max="14600"/>
    <col width="13" customWidth="1" style="349" min="14601" max="14601"/>
    <col width="11.28" customWidth="1" style="349" min="14602" max="14604"/>
    <col width="13.71" customWidth="1" style="349" min="14605" max="14605"/>
    <col width="11.28" customWidth="1" style="349" min="14606" max="14609"/>
    <col width="9.140000000000001" customWidth="1" style="349" min="14610" max="14611"/>
    <col width="10.85" customWidth="1" style="349" min="14612" max="14612"/>
    <col width="9.140000000000001" customWidth="1" style="349" min="14613" max="14853"/>
    <col width="2" customWidth="1" style="349" min="14854" max="14855"/>
    <col width="31.28" customWidth="1" style="349" min="14856" max="14856"/>
    <col width="13" customWidth="1" style="349" min="14857" max="14857"/>
    <col width="11.28" customWidth="1" style="349" min="14858" max="14860"/>
    <col width="13.71" customWidth="1" style="349" min="14861" max="14861"/>
    <col width="11.28" customWidth="1" style="349" min="14862" max="14865"/>
    <col width="9.140000000000001" customWidth="1" style="349" min="14866" max="14867"/>
    <col width="10.85" customWidth="1" style="349" min="14868" max="14868"/>
    <col width="9.140000000000001" customWidth="1" style="349" min="14869" max="15109"/>
    <col width="2" customWidth="1" style="349" min="15110" max="15111"/>
    <col width="31.28" customWidth="1" style="349" min="15112" max="15112"/>
    <col width="13" customWidth="1" style="349" min="15113" max="15113"/>
    <col width="11.28" customWidth="1" style="349" min="15114" max="15116"/>
    <col width="13.71" customWidth="1" style="349" min="15117" max="15117"/>
    <col width="11.28" customWidth="1" style="349" min="15118" max="15121"/>
    <col width="9.140000000000001" customWidth="1" style="349" min="15122" max="15123"/>
    <col width="10.85" customWidth="1" style="349" min="15124" max="15124"/>
    <col width="9.140000000000001" customWidth="1" style="349" min="15125" max="15365"/>
    <col width="2" customWidth="1" style="349" min="15366" max="15367"/>
    <col width="31.28" customWidth="1" style="349" min="15368" max="15368"/>
    <col width="13" customWidth="1" style="349" min="15369" max="15369"/>
    <col width="11.28" customWidth="1" style="349" min="15370" max="15372"/>
    <col width="13.71" customWidth="1" style="349" min="15373" max="15373"/>
    <col width="11.28" customWidth="1" style="349" min="15374" max="15377"/>
    <col width="9.140000000000001" customWidth="1" style="349" min="15378" max="15379"/>
    <col width="10.85" customWidth="1" style="349" min="15380" max="15380"/>
    <col width="9.140000000000001" customWidth="1" style="349" min="15381" max="15621"/>
    <col width="2" customWidth="1" style="349" min="15622" max="15623"/>
    <col width="31.28" customWidth="1" style="349" min="15624" max="15624"/>
    <col width="13" customWidth="1" style="349" min="15625" max="15625"/>
    <col width="11.28" customWidth="1" style="349" min="15626" max="15628"/>
    <col width="13.71" customWidth="1" style="349" min="15629" max="15629"/>
    <col width="11.28" customWidth="1" style="349" min="15630" max="15633"/>
    <col width="9.140000000000001" customWidth="1" style="349" min="15634" max="15635"/>
    <col width="10.85" customWidth="1" style="349" min="15636" max="15636"/>
    <col width="9.140000000000001" customWidth="1" style="349" min="15637" max="15877"/>
    <col width="2" customWidth="1" style="349" min="15878" max="15879"/>
    <col width="31.28" customWidth="1" style="349" min="15880" max="15880"/>
    <col width="13" customWidth="1" style="349" min="15881" max="15881"/>
    <col width="11.28" customWidth="1" style="349" min="15882" max="15884"/>
    <col width="13.71" customWidth="1" style="349" min="15885" max="15885"/>
    <col width="11.28" customWidth="1" style="349" min="15886" max="15889"/>
    <col width="9.140000000000001" customWidth="1" style="349" min="15890" max="15891"/>
    <col width="10.85" customWidth="1" style="349" min="15892" max="15892"/>
    <col width="9.140000000000001" customWidth="1" style="349" min="15893" max="16133"/>
    <col width="2" customWidth="1" style="349" min="16134" max="16135"/>
    <col width="31.28" customWidth="1" style="349" min="16136" max="16136"/>
    <col width="13" customWidth="1" style="349" min="16137" max="16137"/>
    <col width="11.28" customWidth="1" style="349" min="16138" max="16140"/>
    <col width="13.71" customWidth="1" style="349" min="16141" max="16141"/>
    <col width="11.28" customWidth="1" style="349" min="16142" max="16145"/>
    <col width="9.140000000000001" customWidth="1" style="349" min="16146" max="16147"/>
    <col width="10.85" customWidth="1" style="349" min="16148" max="16148"/>
    <col width="9.140000000000001" customWidth="1" style="349" min="16149" max="16384"/>
  </cols>
  <sheetData>
    <row r="1" outlineLevel="1" ht="6.75" customFormat="1" customHeight="1" s="350"/>
    <row r="2" outlineLevel="1" ht="6.75" customFormat="1" customHeight="1" s="350"/>
    <row r="3" outlineLevel="1" ht="12.75" customHeight="1" s="255">
      <c r="C3" s="349" t="str">
        <f>"Discounted Cash Flow Model for "&amp;ticker</f>
        <v>Discounted Cash Flow Model for </v>
      </c>
    </row>
    <row r="4" outlineLevel="1" ht="13.5" customHeight="1" s="255">
      <c r="C4" s="351" t="inlineStr">
        <is>
          <t>All figures in millions, except per share data</t>
        </is>
      </c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</row>
    <row r="5" outlineLevel="1" ht="12.75" customHeight="1" s="255"/>
    <row r="6" outlineLevel="1" ht="12.75" customHeight="1" s="255"/>
    <row r="7" outlineLevel="1" ht="12.75" customHeight="1" s="255">
      <c r="C7" s="349" t="inlineStr">
        <is>
          <t>Ticker</t>
        </is>
      </c>
      <c r="D7" s="352" t="n"/>
      <c r="F7" s="349" t="inlineStr">
        <is>
          <t>Last close</t>
        </is>
      </c>
      <c r="G7" s="353" t="n"/>
    </row>
    <row r="8" outlineLevel="1" ht="13.8" customHeight="1" s="255">
      <c r="C8" s="349" t="inlineStr">
        <is>
          <t>Operating scenario:</t>
        </is>
      </c>
      <c r="D8" s="354" t="str">
        <f>IF(scenario=2,"Base Case",IF(scenario=1,"Bull Case","Bear Case"))</f>
        <v>Base Case</v>
      </c>
      <c r="E8" s="355" t="n">
        <v>2</v>
      </c>
      <c r="F8" s="349" t="inlineStr">
        <is>
          <t>1 = Bull, 2 = Base, 3 = Bear</t>
        </is>
      </c>
    </row>
    <row r="9" outlineLevel="1" ht="12.75" customHeight="1" s="255">
      <c r="C9" s="349" t="inlineStr">
        <is>
          <t>Last fiscal year end date:</t>
        </is>
      </c>
      <c r="D9" s="356" t="n">
        <v>46022</v>
      </c>
    </row>
    <row r="10" outlineLevel="1" ht="12.75" customHeight="1" s="255">
      <c r="C10" s="349" t="inlineStr">
        <is>
          <t>Valuation / deal date:</t>
        </is>
      </c>
      <c r="D10" s="356" t="n">
        <v>46292</v>
      </c>
    </row>
    <row r="11" outlineLevel="1" ht="12.75" customHeight="1" s="255">
      <c r="C11" s="349" t="inlineStr">
        <is>
          <t>Stub year fraction:</t>
        </is>
      </c>
      <c r="D11" s="357">
        <f>1-(D10-D9)/365</f>
        <v>0.26027397260274</v>
      </c>
      <c r="E11" s="358" t="n"/>
      <c r="I11" s="359" t="n"/>
      <c r="O11" s="360" t="n"/>
      <c r="Z11" s="361" t="n"/>
    </row>
    <row r="12" outlineLevel="1" ht="12.75" customHeight="1" s="255">
      <c r="C12" s="349" t="inlineStr">
        <is>
          <t>Weighted average cost of capital:</t>
        </is>
      </c>
      <c r="D12" s="357" t="e">
        <f>J93</f>
        <v>#DIV/0!</v>
      </c>
      <c r="I12" s="359" t="n"/>
    </row>
    <row r="13" outlineLevel="1" ht="12.75" customHeight="1" s="255">
      <c r="D13" s="357" t="n"/>
      <c r="E13" s="357" t="n"/>
    </row>
    <row r="14" ht="12.75" customHeight="1" s="255">
      <c r="C14" s="362" t="inlineStr">
        <is>
          <t>Historicals</t>
        </is>
      </c>
      <c r="D14" s="362" t="n"/>
      <c r="E14" s="362" t="n"/>
      <c r="F14" s="362" t="n"/>
      <c r="G14" s="363" t="inlineStr">
        <is>
          <t>Projected Annual Forecast</t>
        </is>
      </c>
    </row>
    <row r="15" ht="13.8" customHeight="1" s="255">
      <c r="C15" s="364" t="n"/>
      <c r="D15" s="364" t="n"/>
      <c r="E15" s="364" t="n"/>
      <c r="F15" s="364" t="n"/>
      <c r="G15" s="365" t="inlineStr">
        <is>
          <t>Granular</t>
        </is>
      </c>
      <c r="H15" s="366" t="n"/>
      <c r="I15" s="366" t="n"/>
      <c r="J15" s="366" t="n"/>
      <c r="K15" s="366" t="n"/>
      <c r="L15" s="366" t="n"/>
      <c r="M15" s="367" t="inlineStr">
        <is>
          <t>Synthetic</t>
        </is>
      </c>
      <c r="N15" s="366" t="n"/>
      <c r="O15" s="366" t="n"/>
      <c r="P15" s="366" t="n"/>
      <c r="Q15" s="366" t="n"/>
      <c r="R15" s="366" t="n"/>
      <c r="S15" s="368" t="inlineStr">
        <is>
          <t>Fora do horizonte do Model (projecao vai ate 2037)</t>
        </is>
      </c>
      <c r="T15" s="366" t="n"/>
      <c r="U15" s="366" t="n"/>
      <c r="V15" s="366" t="n"/>
      <c r="X15" s="369" t="inlineStr">
        <is>
          <t>CAGR</t>
        </is>
      </c>
      <c r="Y15" s="370" t="n"/>
      <c r="Z15" s="370" t="n"/>
    </row>
    <row r="16" ht="13.8" customHeight="1" s="255">
      <c r="D16" s="371">
        <f>YEAR(D17)</f>
        <v>2023</v>
      </c>
      <c r="E16" s="371">
        <f>YEAR(E17)</f>
        <v>2024</v>
      </c>
      <c r="F16" s="371">
        <f>YEAR(F17)</f>
        <v>2025</v>
      </c>
      <c r="G16" s="371">
        <f>YEAR(G17)</f>
        <v>2026</v>
      </c>
      <c r="H16" s="371">
        <f>YEAR(H17)</f>
        <v>2027</v>
      </c>
      <c r="I16" s="371">
        <f>YEAR(I17)</f>
        <v>2028</v>
      </c>
      <c r="J16" s="371">
        <f>YEAR(J17)</f>
        <v>2029</v>
      </c>
      <c r="K16" s="371">
        <f>YEAR(K17)</f>
        <v>2030</v>
      </c>
      <c r="L16" s="371">
        <f>YEAR(L17)</f>
        <v>2031</v>
      </c>
      <c r="M16" s="371">
        <f>YEAR(M17)</f>
        <v>2032</v>
      </c>
      <c r="N16" s="371">
        <f>YEAR(N17)</f>
        <v>2033</v>
      </c>
      <c r="O16" s="371">
        <f>YEAR(O17)</f>
        <v>2034</v>
      </c>
      <c r="P16" s="371">
        <f>YEAR(P17)</f>
        <v>2035</v>
      </c>
      <c r="Q16" s="371">
        <f>YEAR(Q17)</f>
        <v>2036</v>
      </c>
      <c r="R16" s="371">
        <f>YEAR(R17)</f>
        <v>2037</v>
      </c>
      <c r="S16" s="372">
        <f>YEAR(S17)</f>
        <v>2038</v>
      </c>
      <c r="T16" s="372">
        <f>YEAR(T17)</f>
        <v>2039</v>
      </c>
      <c r="U16" s="372">
        <f>YEAR(U17)</f>
        <v>2040</v>
      </c>
      <c r="V16" s="372">
        <f>YEAR(V17)</f>
        <v>2041</v>
      </c>
      <c r="W16" s="371" t="n"/>
      <c r="X16" s="370" t="str">
        <f>F16&amp;"-"&amp;L16</f>
        <v>2025-2031</v>
      </c>
      <c r="Y16" s="370" t="str">
        <f>L16&amp;"-"&amp;R16</f>
        <v>2031-2037</v>
      </c>
      <c r="Z16" s="370" t="n"/>
    </row>
    <row r="17" outlineLevel="1" ht="12.75" customHeight="1" s="255">
      <c r="C17" s="373" t="n"/>
      <c r="D17" s="374">
        <f>DATE(YEAR(E17)-1,MONTH(E17),DAY(E17))</f>
        <v>45291.0</v>
      </c>
      <c r="E17" s="374">
        <f>DATE(YEAR(F17)-1,MONTH(F17),DAY(F17))</f>
        <v>45657.0</v>
      </c>
      <c r="F17" s="374">
        <f>DATE(YEAR(G17)-1,MONTH(G17),DAY(G17))</f>
        <v>46022.0</v>
      </c>
      <c r="G17" s="374">
        <f>DATE(YEAR(D9)+1,MONTH(D9),DAY(D9))</f>
        <v>46387.0</v>
      </c>
      <c r="H17" s="374">
        <f>DATE(YEAR(G17)+1,MONTH(G17),DAY(G17))</f>
        <v>46752.0</v>
      </c>
      <c r="I17" s="374">
        <f>DATE(YEAR(H17)+1,MONTH(H17),DAY(H17))</f>
        <v>47118.0</v>
      </c>
      <c r="J17" s="374">
        <f>DATE(YEAR(I17)+1,MONTH(I17),DAY(I17))</f>
        <v>47483.0</v>
      </c>
      <c r="K17" s="374">
        <f>DATE(YEAR(J17)+1,MONTH(J17),DAY(J17))</f>
        <v>47848.0</v>
      </c>
      <c r="L17" s="374">
        <f>DATE(YEAR(K17)+1,MONTH(K17),DAY(K17))</f>
        <v>48213.0</v>
      </c>
      <c r="M17" s="374">
        <f>DATE(YEAR(L17)+1,MONTH(L17),DAY(L17))</f>
        <v>48579.0</v>
      </c>
      <c r="N17" s="374">
        <f>DATE(YEAR(M17)+1,MONTH(M17),DAY(M17))</f>
        <v>48944.0</v>
      </c>
      <c r="O17" s="374">
        <f>DATE(YEAR(N17)+1,MONTH(N17),DAY(N17))</f>
        <v>49309.0</v>
      </c>
      <c r="P17" s="374">
        <f>DATE(YEAR(O17)+1,MONTH(O17),DAY(O17))</f>
        <v>49674.0</v>
      </c>
      <c r="Q17" s="374">
        <f>DATE(YEAR(P17)+1,MONTH(P17),DAY(P17))</f>
        <v>50040.0</v>
      </c>
      <c r="R17" s="374">
        <f>DATE(YEAR(Q17)+1,MONTH(Q17),DAY(Q17))</f>
        <v>50405.0</v>
      </c>
      <c r="S17" s="374">
        <f>DATE(YEAR(R17)+1,MONTH(R17),DAY(R17))</f>
        <v>50770.0</v>
      </c>
      <c r="T17" s="374">
        <f>DATE(YEAR(S17)+1,MONTH(S17),DAY(S17))</f>
        <v>51135.0</v>
      </c>
      <c r="U17" s="374">
        <f>DATE(YEAR(T17)+1,MONTH(T17),DAY(T17))</f>
        <v>51501.0</v>
      </c>
      <c r="V17" s="374">
        <f>DATE(YEAR(U17)+1,MONTH(U17),DAY(U17))</f>
        <v>51866.0</v>
      </c>
      <c r="W17" s="375" t="n"/>
      <c r="X17" s="370" t="n"/>
      <c r="Y17" s="370" t="n"/>
      <c r="Z17" s="370" t="n"/>
    </row>
    <row r="18" ht="12.75" customHeight="1" s="255">
      <c r="C18" s="376" t="inlineStr">
        <is>
          <t>Net Revenues</t>
        </is>
      </c>
      <c r="D18" s="377">
        <f>Model!W15</f>
        <v>648125</v>
      </c>
      <c r="E18" s="377">
        <f>Model!AB15</f>
        <v>680985</v>
      </c>
      <c r="F18" s="377">
        <f>Model!AG15</f>
        <v>713163</v>
      </c>
      <c r="G18" s="377">
        <f>Model!AL15</f>
        <v>735840</v>
      </c>
      <c r="H18" s="377">
        <f>Model!AQ15</f>
        <v>735840</v>
      </c>
      <c r="I18" s="377">
        <f>Model!AV15</f>
        <v>735840</v>
      </c>
      <c r="J18" s="377">
        <f>Model!BA15</f>
        <v>735840</v>
      </c>
      <c r="K18" s="377">
        <f>Model!BF15</f>
        <v>735840</v>
      </c>
      <c r="L18" s="377">
        <f>Model!BK15</f>
        <v>735840</v>
      </c>
      <c r="M18" s="377">
        <f>Model!BP15</f>
        <v>735840</v>
      </c>
      <c r="N18" s="377">
        <f>Model!BU15</f>
        <v>735840</v>
      </c>
      <c r="O18" s="377">
        <f>Model!BZ15</f>
        <v>735840</v>
      </c>
      <c r="P18" s="377">
        <f>Model!CE15</f>
        <v>735840</v>
      </c>
      <c r="Q18" s="377">
        <f>Model!CJ15</f>
        <v>735840</v>
      </c>
      <c r="R18" s="377">
        <f>Model!CO15</f>
        <v>735840</v>
      </c>
      <c r="S18" s="377" t="n"/>
      <c r="T18" s="377" t="n"/>
      <c r="U18" s="377" t="n"/>
      <c r="V18" s="378" t="n"/>
      <c r="X18" s="379">
        <f>((L18/F18)^(1/6))-1</f>
        <v>0.00523074918320443</v>
      </c>
      <c r="Y18" s="379">
        <f>((R18/L18)^(1/6))-1</f>
        <v>0</v>
      </c>
      <c r="Z18" s="370" t="n"/>
    </row>
    <row r="19" ht="12.75" customHeight="1" s="255">
      <c r="C19" s="380" t="n"/>
      <c r="D19" s="373" t="n"/>
      <c r="E19" s="381">
        <f>E18/D18-1</f>
        <v>0.0507000964320155</v>
      </c>
      <c r="F19" s="381">
        <f>F18/E18-1</f>
        <v>0.0472521421176677</v>
      </c>
      <c r="G19" s="381">
        <f>G18/F18-1</f>
        <v>0.0317977797502114</v>
      </c>
      <c r="H19" s="381">
        <f>H18/G18-1</f>
        <v>0</v>
      </c>
      <c r="I19" s="381">
        <f>I18/H18-1</f>
        <v>0</v>
      </c>
      <c r="J19" s="381">
        <f>J18/I18-1</f>
        <v>0</v>
      </c>
      <c r="K19" s="381">
        <f>K18/J18-1</f>
        <v>0</v>
      </c>
      <c r="L19" s="381">
        <f>L18/K18-1</f>
        <v>0</v>
      </c>
      <c r="M19" s="381">
        <f>M18/L18-1</f>
        <v>0</v>
      </c>
      <c r="N19" s="381">
        <f>N18/M18-1</f>
        <v>0</v>
      </c>
      <c r="O19" s="381">
        <f>O18/N18-1</f>
        <v>0</v>
      </c>
      <c r="P19" s="381">
        <f>P18/O18-1</f>
        <v>0</v>
      </c>
      <c r="Q19" s="381">
        <f>Q18/P18-1</f>
        <v>0</v>
      </c>
      <c r="R19" s="381">
        <f>R18/Q18-1</f>
        <v>0</v>
      </c>
      <c r="S19" s="381" t="n"/>
      <c r="T19" s="381" t="n"/>
      <c r="U19" s="381" t="n"/>
      <c r="V19" s="382" t="n"/>
      <c r="X19" s="370" t="n"/>
      <c r="Y19" s="370" t="n"/>
      <c r="Z19" s="370" t="n"/>
    </row>
    <row r="20" outlineLevel="1" ht="12.75" customHeight="1" s="255">
      <c r="C20" s="383" t="inlineStr">
        <is>
          <t>EBITDA</t>
        </is>
      </c>
      <c r="D20" s="377">
        <f>Model!W71</f>
        <v>38865</v>
      </c>
      <c r="E20" s="377">
        <f>Model!AB71</f>
        <v>42321</v>
      </c>
      <c r="F20" s="377">
        <f>Model!AG71</f>
        <v>44028</v>
      </c>
      <c r="G20" s="377">
        <f>Model!AL71</f>
        <v>24622</v>
      </c>
      <c r="H20" s="377">
        <f>Model!AQ71</f>
        <v>0</v>
      </c>
      <c r="I20" s="377">
        <f>Model!BA71</f>
        <v>0</v>
      </c>
      <c r="J20" s="377">
        <f>Model!BA71</f>
        <v>0</v>
      </c>
      <c r="K20" s="377">
        <f>Model!BF71</f>
        <v>0</v>
      </c>
      <c r="L20" s="377">
        <f>Model!BK71</f>
        <v>0</v>
      </c>
      <c r="M20" s="384" t="n"/>
      <c r="N20" s="384" t="n"/>
      <c r="O20" s="384" t="n"/>
      <c r="P20" s="384" t="n"/>
      <c r="Q20" s="384" t="n"/>
      <c r="R20" s="384" t="n"/>
      <c r="S20" s="384" t="n"/>
      <c r="T20" s="384" t="n"/>
      <c r="U20" s="384" t="n"/>
      <c r="V20" s="385" t="n"/>
      <c r="X20" s="370" t="n"/>
      <c r="Y20" s="370" t="n"/>
      <c r="Z20" s="370" t="n"/>
    </row>
    <row r="21" outlineLevel="1" ht="12.75" customHeight="1" s="255">
      <c r="C21" s="380" t="n"/>
      <c r="D21" s="386">
        <f>D20/D18</f>
        <v>0.0599652844744455</v>
      </c>
      <c r="E21" s="386">
        <f>E20/E18</f>
        <v>0.0621467433203375</v>
      </c>
      <c r="F21" s="386">
        <f>F20/F18</f>
        <v>0.0617362370173439</v>
      </c>
      <c r="G21" s="386">
        <f>G20/G18</f>
        <v>0.0334610784953251</v>
      </c>
      <c r="H21" s="386">
        <f>H20/H18</f>
        <v>0</v>
      </c>
      <c r="I21" s="386">
        <f>I20/I18</f>
        <v>0</v>
      </c>
      <c r="J21" s="386">
        <f>J20/J18</f>
        <v>0</v>
      </c>
      <c r="K21" s="386">
        <f>K20/K18</f>
        <v>0</v>
      </c>
      <c r="L21" s="386">
        <f>L20/L18</f>
        <v>0</v>
      </c>
      <c r="M21" s="373" t="n"/>
      <c r="N21" s="373" t="n"/>
      <c r="O21" s="373" t="n"/>
      <c r="P21" s="373" t="n"/>
      <c r="Q21" s="373" t="n"/>
      <c r="R21" s="373" t="n"/>
      <c r="S21" s="373" t="n"/>
      <c r="T21" s="373" t="n"/>
      <c r="U21" s="373" t="n"/>
      <c r="V21" s="387" t="n"/>
      <c r="X21" s="379" t="n"/>
      <c r="Y21" s="379" t="n"/>
      <c r="Z21" s="370" t="n"/>
    </row>
    <row r="22" outlineLevel="1" ht="12.75" customHeight="1" s="255">
      <c r="C22" s="376" t="inlineStr">
        <is>
          <t>EBIT</t>
        </is>
      </c>
      <c r="D22" s="377">
        <f>Model!W75</f>
        <v>27012</v>
      </c>
      <c r="E22" s="377">
        <f>Model!AB75</f>
        <v>29348</v>
      </c>
      <c r="F22" s="377">
        <f>Model!AG75</f>
        <v>29825</v>
      </c>
      <c r="G22" s="377">
        <f>Model!AL75</f>
        <v>16876</v>
      </c>
      <c r="H22" s="377">
        <f>Model!AQ75</f>
        <v>0</v>
      </c>
      <c r="I22" s="377">
        <f>Model!AV75</f>
        <v>0</v>
      </c>
      <c r="J22" s="377">
        <f>Model!BA75</f>
        <v>0</v>
      </c>
      <c r="K22" s="377">
        <f>Model!BF75</f>
        <v>0</v>
      </c>
      <c r="L22" s="377">
        <f>Model!BK75</f>
        <v>0</v>
      </c>
      <c r="M22" s="377">
        <f>Model!BP75</f>
        <v>0</v>
      </c>
      <c r="N22" s="377">
        <f>Model!BU75</f>
        <v>0</v>
      </c>
      <c r="O22" s="377">
        <f>Model!BZ75</f>
        <v>0</v>
      </c>
      <c r="P22" s="377">
        <f>Model!CE75</f>
        <v>0</v>
      </c>
      <c r="Q22" s="377">
        <f>Model!CJ75</f>
        <v>0</v>
      </c>
      <c r="R22" s="377">
        <f>Model!CO75</f>
        <v>0</v>
      </c>
      <c r="S22" s="377" t="n"/>
      <c r="T22" s="377" t="n"/>
      <c r="U22" s="377" t="n"/>
      <c r="V22" s="378" t="n"/>
      <c r="X22" s="379">
        <f>((L22/F22)^(1/6))-1</f>
        <v>-1</v>
      </c>
      <c r="Y22" s="379" t="e">
        <f>((R22/L22)^(1/6))-1</f>
        <v>#DIV/0!</v>
      </c>
      <c r="Z22" s="370" t="n"/>
    </row>
    <row r="23" outlineLevel="1" ht="12.75" customHeight="1" s="255">
      <c r="C23" s="380" t="n"/>
      <c r="D23" s="386">
        <f>D22/D18</f>
        <v>0.0416771456123433</v>
      </c>
      <c r="E23" s="386">
        <f>E22/E18</f>
        <v>0.043096397130627</v>
      </c>
      <c r="F23" s="386">
        <f>F22/F18</f>
        <v>0.0418207338294331</v>
      </c>
      <c r="G23" s="386">
        <f>G22/G18</f>
        <v>0.0229343335507719</v>
      </c>
      <c r="H23" s="386">
        <f>H22/H18</f>
        <v>0</v>
      </c>
      <c r="I23" s="386">
        <f>I22/I18</f>
        <v>0</v>
      </c>
      <c r="J23" s="386">
        <f>J22/J18</f>
        <v>0</v>
      </c>
      <c r="K23" s="386">
        <f>K22/K18</f>
        <v>0</v>
      </c>
      <c r="L23" s="386">
        <f>L22/L18</f>
        <v>0</v>
      </c>
      <c r="M23" s="386">
        <f>M22/M18</f>
        <v>0</v>
      </c>
      <c r="N23" s="386">
        <f>N22/N18</f>
        <v>0</v>
      </c>
      <c r="O23" s="386">
        <f>O22/O18</f>
        <v>0</v>
      </c>
      <c r="P23" s="386">
        <f>P22/P18</f>
        <v>0</v>
      </c>
      <c r="Q23" s="386">
        <f>Q22/Q18</f>
        <v>0</v>
      </c>
      <c r="R23" s="386">
        <f>R22/R18</f>
        <v>0</v>
      </c>
      <c r="S23" s="386" t="n"/>
      <c r="T23" s="386" t="n"/>
      <c r="U23" s="386" t="n"/>
      <c r="V23" s="388" t="n"/>
      <c r="X23" s="370" t="n"/>
      <c r="Y23" s="370" t="n"/>
      <c r="Z23" s="370" t="n"/>
    </row>
    <row r="24" ht="12.75" customHeight="1" s="255">
      <c r="C24" s="376" t="inlineStr">
        <is>
          <t>Tax rate</t>
        </is>
      </c>
      <c r="D24" s="389">
        <f>Model!W134</f>
        <v>0.255309410472354</v>
      </c>
      <c r="E24" s="389">
        <f>Model!AB134</f>
        <v>0.233836329773081</v>
      </c>
      <c r="F24" s="389">
        <f>Model!AG134</f>
        <v>0.244290610472021</v>
      </c>
      <c r="G24" s="389">
        <f>Model!AL134</f>
        <v>0.221900388555281</v>
      </c>
      <c r="H24" s="389">
        <f>Model!AQ134</f>
        <v>0</v>
      </c>
      <c r="I24" s="389">
        <f>Model!AV134</f>
        <v>0</v>
      </c>
      <c r="J24" s="389">
        <f>Model!BA134</f>
        <v>0</v>
      </c>
      <c r="K24" s="389">
        <f>Model!BF134</f>
        <v>0</v>
      </c>
      <c r="L24" s="389">
        <f>Model!BK134</f>
        <v>0</v>
      </c>
      <c r="M24" s="389">
        <f>Model!BP134</f>
        <v>0</v>
      </c>
      <c r="N24" s="389">
        <f>Model!BU134</f>
        <v>0</v>
      </c>
      <c r="O24" s="389">
        <f>Model!BZ134</f>
        <v>0</v>
      </c>
      <c r="P24" s="389">
        <f>Model!CE134</f>
        <v>0</v>
      </c>
      <c r="Q24" s="389">
        <f>Model!CJ134</f>
        <v>0</v>
      </c>
      <c r="R24" s="389">
        <f>Model!CO134</f>
        <v>0</v>
      </c>
      <c r="S24" s="389" t="n"/>
      <c r="T24" s="389" t="n"/>
      <c r="U24" s="389" t="n"/>
      <c r="V24" s="390" t="n"/>
      <c r="X24" s="370" t="n"/>
      <c r="Y24" s="370" t="n"/>
      <c r="Z24" s="370" t="n"/>
    </row>
    <row r="25" ht="12.75" customHeight="1" s="255">
      <c r="C25" s="380" t="inlineStr">
        <is>
          <t>NOPLAT</t>
        </is>
      </c>
      <c r="D25" s="391">
        <f>D22*(1-D24)</f>
        <v>20115.5822043208</v>
      </c>
      <c r="E25" s="391">
        <f>E22*(1-E24)</f>
        <v>22485.3713938196</v>
      </c>
      <c r="F25" s="391">
        <f>F22*(1-F24)</f>
        <v>22539.032542672</v>
      </c>
      <c r="G25" s="391">
        <f>G22*(1-G24)</f>
        <v>13131.2090427411</v>
      </c>
      <c r="H25" s="391">
        <f>H22*(1-H24)</f>
        <v>0</v>
      </c>
      <c r="I25" s="391">
        <f>I22*(1-I24)</f>
        <v>0</v>
      </c>
      <c r="J25" s="391">
        <f>J22*(1-J24)</f>
        <v>0</v>
      </c>
      <c r="K25" s="391">
        <f>K22*(1-K24)</f>
        <v>0</v>
      </c>
      <c r="L25" s="391">
        <f>L22*(1-L24)</f>
        <v>0</v>
      </c>
      <c r="M25" s="391">
        <f>M22*(1-M24)</f>
        <v>0</v>
      </c>
      <c r="N25" s="391">
        <f>N22*(1-N24)</f>
        <v>0</v>
      </c>
      <c r="O25" s="391">
        <f>O22*(1-O24)</f>
        <v>0</v>
      </c>
      <c r="P25" s="391">
        <f>P22*(1-P24)</f>
        <v>0</v>
      </c>
      <c r="Q25" s="391">
        <f>Q22*(1-Q24)</f>
        <v>0</v>
      </c>
      <c r="R25" s="391">
        <f>R22*(1-R24)</f>
        <v>0</v>
      </c>
      <c r="S25" s="391" t="n"/>
      <c r="T25" s="391" t="n"/>
      <c r="U25" s="391" t="n"/>
      <c r="V25" s="392" t="n"/>
      <c r="X25" s="379" t="n"/>
      <c r="Y25" s="379" t="n"/>
      <c r="Z25" s="370" t="n"/>
    </row>
    <row r="26" ht="12.75" customHeight="1" s="255">
      <c r="C26" s="393" t="inlineStr">
        <is>
          <t>Depreciation &amp; Amortization</t>
        </is>
      </c>
      <c r="D26" s="394">
        <f>Model!W72</f>
        <v>-11853</v>
      </c>
      <c r="E26" s="394">
        <f>Model!AB72</f>
        <v>-12973</v>
      </c>
      <c r="F26" s="394">
        <f>Model!AG72</f>
        <v>-14203</v>
      </c>
      <c r="G26" s="394">
        <f>Model!AL72</f>
        <v>-7746</v>
      </c>
      <c r="H26" s="394">
        <f>Model!AQ72</f>
        <v>0</v>
      </c>
      <c r="I26" s="394">
        <f>Model!AV72</f>
        <v>0</v>
      </c>
      <c r="J26" s="394">
        <f>Model!BA72</f>
        <v>0</v>
      </c>
      <c r="K26" s="394">
        <f>Model!BF72</f>
        <v>0</v>
      </c>
      <c r="L26" s="395">
        <f>Model!BK72</f>
        <v>0</v>
      </c>
      <c r="X26" s="370" t="n"/>
      <c r="Y26" s="370" t="n"/>
      <c r="Z26" s="370" t="n"/>
    </row>
    <row r="27" ht="12.75" customHeight="1" s="255">
      <c r="C27" s="396" t="inlineStr">
        <is>
          <t>Cash from working capital</t>
        </is>
      </c>
      <c r="D27" s="397">
        <f>SUM(D28:D39)</f>
        <v>3395</v>
      </c>
      <c r="E27" s="397">
        <f>SUM(E28:E39)</f>
        <v>3333</v>
      </c>
      <c r="F27" s="397">
        <f>SUM(F28:F39)</f>
        <v>3443</v>
      </c>
      <c r="G27" s="397">
        <f>SUM(G28:G39)</f>
        <v>-20045</v>
      </c>
      <c r="H27" s="397" t="e">
        <f>SUM(H28:H39)</f>
        <v>#DIV/0!</v>
      </c>
      <c r="I27" s="397" t="e">
        <f>SUM(I28:I39)</f>
        <v>#DIV/0!</v>
      </c>
      <c r="J27" s="397" t="e">
        <f>SUM(J28:J39)</f>
        <v>#DIV/0!</v>
      </c>
      <c r="K27" s="397" t="e">
        <f>SUM(K28:K39)</f>
        <v>#DIV/0!</v>
      </c>
      <c r="L27" s="398" t="e">
        <f>SUM(L28:L39)</f>
        <v>#DIV/0!</v>
      </c>
      <c r="X27" s="370" t="n"/>
      <c r="Y27" s="370" t="n"/>
      <c r="Z27" s="370" t="n"/>
    </row>
    <row r="28" outlineLevel="1" ht="12.75" customHeight="1" s="255">
      <c r="C28" s="399" t="inlineStr">
        <is>
          <t>Accounts receivable</t>
        </is>
      </c>
      <c r="D28" s="400">
        <f>Model!W282</f>
        <v>-863</v>
      </c>
      <c r="E28" s="400">
        <f>Model!AB282</f>
        <v>-1179</v>
      </c>
      <c r="F28" s="400">
        <f>Model!AG282</f>
        <v>-1197</v>
      </c>
      <c r="G28" s="400">
        <f>Model!AL282</f>
        <v>11172</v>
      </c>
      <c r="H28" s="400">
        <f>Model!AQ282</f>
        <v>0</v>
      </c>
      <c r="I28" s="400">
        <f>Model!AV282</f>
        <v>0</v>
      </c>
      <c r="J28" s="400">
        <f>Model!BA282</f>
        <v>0</v>
      </c>
      <c r="K28" s="400">
        <f>Model!BF282</f>
        <v>0</v>
      </c>
      <c r="L28" s="401">
        <f>Model!BK282</f>
        <v>0</v>
      </c>
      <c r="X28" s="370" t="n"/>
      <c r="Y28" s="370" t="n"/>
      <c r="Z28" s="370" t="n"/>
    </row>
    <row r="29" outlineLevel="1" ht="12.75" customHeight="1" s="255">
      <c r="C29" s="399" t="inlineStr">
        <is>
          <t>Inventories</t>
        </is>
      </c>
      <c r="D29" s="400">
        <f>Model!W283</f>
        <v>1684</v>
      </c>
      <c r="E29" s="400">
        <f>Model!AB283</f>
        <v>-1543</v>
      </c>
      <c r="F29" s="400">
        <f>Model!AG283</f>
        <v>-2416</v>
      </c>
      <c r="G29" s="400">
        <f>Model!AL283</f>
        <v>58851</v>
      </c>
      <c r="H29" s="400">
        <f>Model!AQ283</f>
        <v>0</v>
      </c>
      <c r="I29" s="400">
        <f>Model!AV283</f>
        <v>0</v>
      </c>
      <c r="J29" s="400">
        <f>Model!BA283</f>
        <v>0</v>
      </c>
      <c r="K29" s="400">
        <f>Model!BF283</f>
        <v>0</v>
      </c>
      <c r="L29" s="401">
        <f>Model!BK283</f>
        <v>0</v>
      </c>
      <c r="X29" s="370" t="n"/>
      <c r="Y29" s="370" t="n"/>
      <c r="Z29" s="370" t="n"/>
    </row>
    <row r="30" outlineLevel="1" ht="12.75" customHeight="1" s="255">
      <c r="C30" s="399" t="inlineStr">
        <is>
          <t>Deferred income taxes (assets)</t>
        </is>
      </c>
      <c r="D30" s="400">
        <f>Model!W284</f>
        <v>0</v>
      </c>
      <c r="E30" s="400">
        <f>Model!AB284</f>
        <v>0</v>
      </c>
      <c r="F30" s="400">
        <f>Model!AG284</f>
        <v>0</v>
      </c>
      <c r="G30" s="400">
        <f>Model!AL284</f>
        <v>0</v>
      </c>
      <c r="H30" s="400">
        <f>Model!AQ284</f>
        <v>0</v>
      </c>
      <c r="I30" s="400">
        <f>Model!AV284</f>
        <v>0</v>
      </c>
      <c r="J30" s="400">
        <f>Model!BA284</f>
        <v>0</v>
      </c>
      <c r="K30" s="400">
        <f>Model!BF284</f>
        <v>0</v>
      </c>
      <c r="L30" s="401">
        <f>Model!BK284</f>
        <v>0</v>
      </c>
      <c r="X30" s="370" t="n"/>
      <c r="Y30" s="370" t="n"/>
      <c r="Z30" s="370" t="n"/>
    </row>
    <row r="31" outlineLevel="1" ht="12.75" customHeight="1" s="255">
      <c r="C31" s="399" t="inlineStr">
        <is>
          <t>Prepaid expenses</t>
        </is>
      </c>
      <c r="D31" s="400">
        <f>Model!W285</f>
        <v>0</v>
      </c>
      <c r="E31" s="400">
        <f>Model!AB285</f>
        <v>0</v>
      </c>
      <c r="F31" s="400">
        <f>Model!AG285</f>
        <v>0</v>
      </c>
      <c r="G31" s="400">
        <f>Model!AL285</f>
        <v>0</v>
      </c>
      <c r="H31" s="400">
        <f>Model!AQ285</f>
        <v>0</v>
      </c>
      <c r="I31" s="400">
        <f>Model!AV285</f>
        <v>0</v>
      </c>
      <c r="J31" s="400">
        <f>Model!BA285</f>
        <v>0</v>
      </c>
      <c r="K31" s="400">
        <f>Model!BF285</f>
        <v>0</v>
      </c>
      <c r="L31" s="401">
        <f>Model!BK285</f>
        <v>0</v>
      </c>
      <c r="X31" s="370" t="n"/>
      <c r="Y31" s="370" t="n"/>
      <c r="Z31" s="370" t="n"/>
    </row>
    <row r="32" outlineLevel="1" ht="12.75" customHeight="1" s="255">
      <c r="C32" s="399" t="inlineStr">
        <is>
          <t>Other current assets</t>
        </is>
      </c>
      <c r="D32" s="400">
        <f>Model!W286</f>
        <v>-801</v>
      </c>
      <c r="E32" s="400">
        <f>Model!AB286</f>
        <v>-689</v>
      </c>
      <c r="F32" s="400">
        <f>Model!AG286</f>
        <v>-113</v>
      </c>
      <c r="G32" s="400">
        <f>Model!AL286</f>
        <v>-375</v>
      </c>
      <c r="H32" s="400">
        <f>Model!AQ286</f>
        <v>0</v>
      </c>
      <c r="I32" s="400">
        <f>Model!AV286</f>
        <v>0</v>
      </c>
      <c r="J32" s="400">
        <f>Model!BA286</f>
        <v>0</v>
      </c>
      <c r="K32" s="400">
        <f>Model!BF286</f>
        <v>0</v>
      </c>
      <c r="L32" s="401">
        <f>Model!BK286</f>
        <v>0</v>
      </c>
      <c r="X32" s="370" t="n"/>
      <c r="Y32" s="370" t="n"/>
      <c r="Z32" s="370" t="n"/>
    </row>
    <row r="33" outlineLevel="1" ht="12.75" customHeight="1" s="255">
      <c r="C33" s="399" t="inlineStr">
        <is>
          <t>Accounts payable</t>
        </is>
      </c>
      <c r="D33" s="400">
        <f>Model!W287</f>
        <v>3070</v>
      </c>
      <c r="E33" s="400">
        <f>Model!AB287</f>
        <v>1854</v>
      </c>
      <c r="F33" s="400">
        <f>Model!AG287</f>
        <v>4395</v>
      </c>
      <c r="G33" s="400">
        <f>Model!AL287</f>
        <v>-63061</v>
      </c>
      <c r="H33" s="400">
        <f>Model!AQ287</f>
        <v>0</v>
      </c>
      <c r="I33" s="400">
        <f>Model!AV287</f>
        <v>0</v>
      </c>
      <c r="J33" s="400">
        <f>Model!BA287</f>
        <v>0</v>
      </c>
      <c r="K33" s="400">
        <f>Model!BF287</f>
        <v>0</v>
      </c>
      <c r="L33" s="401">
        <f>Model!BK287</f>
        <v>0</v>
      </c>
      <c r="X33" s="370" t="n"/>
      <c r="Y33" s="370" t="n"/>
      <c r="Z33" s="370" t="n"/>
    </row>
    <row r="34" outlineLevel="1" ht="12.75" customHeight="1" s="255">
      <c r="C34" s="399" t="inlineStr">
        <is>
          <t>Accrued expenses</t>
        </is>
      </c>
      <c r="D34" s="400">
        <f>Model!W288</f>
        <v>-2367</v>
      </c>
      <c r="E34" s="400">
        <f>Model!AB288</f>
        <v>586</v>
      </c>
      <c r="F34" s="400">
        <f>Model!AG288</f>
        <v>1842</v>
      </c>
      <c r="G34" s="400">
        <f>Model!AL288</f>
        <v>-31187</v>
      </c>
      <c r="H34" s="400" t="e">
        <f>Model!AQ288</f>
        <v>#DIV/0!</v>
      </c>
      <c r="I34" s="400" t="e">
        <f>Model!AV288</f>
        <v>#DIV/0!</v>
      </c>
      <c r="J34" s="400" t="e">
        <f>Model!BA288</f>
        <v>#DIV/0!</v>
      </c>
      <c r="K34" s="400" t="e">
        <f>Model!BF288</f>
        <v>#DIV/0!</v>
      </c>
      <c r="L34" s="401" t="e">
        <f>Model!BK288</f>
        <v>#DIV/0!</v>
      </c>
      <c r="X34" s="370" t="n"/>
      <c r="Y34" s="370" t="n"/>
      <c r="Z34" s="370" t="n"/>
    </row>
    <row r="35" outlineLevel="1" ht="12.75" customHeight="1" s="255">
      <c r="C35" s="399" t="inlineStr">
        <is>
          <t>Taxes payable</t>
        </is>
      </c>
      <c r="D35" s="400">
        <f>Model!W289</f>
        <v>-420</v>
      </c>
      <c r="E35" s="400">
        <f>Model!AB289</f>
        <v>301</v>
      </c>
      <c r="F35" s="400">
        <f>Model!AG289</f>
        <v>-12</v>
      </c>
      <c r="G35" s="400">
        <f>Model!AL289</f>
        <v>-596</v>
      </c>
      <c r="H35" s="400" t="e">
        <f>Model!AQ289</f>
        <v>#DIV/0!</v>
      </c>
      <c r="I35" s="400" t="e">
        <f>Model!AV289</f>
        <v>#DIV/0!</v>
      </c>
      <c r="J35" s="400" t="e">
        <f>Model!BA289</f>
        <v>#DIV/0!</v>
      </c>
      <c r="K35" s="400" t="e">
        <f>Model!BF289</f>
        <v>#DIV/0!</v>
      </c>
      <c r="L35" s="401" t="e">
        <f>Model!BK289</f>
        <v>#DIV/0!</v>
      </c>
      <c r="X35" s="370" t="n"/>
      <c r="Y35" s="370" t="n"/>
      <c r="Z35" s="370" t="n"/>
    </row>
    <row r="36" outlineLevel="1" ht="12.75" customHeight="1" s="255">
      <c r="C36" s="399" t="inlineStr">
        <is>
          <t>Other current liabilities</t>
        </is>
      </c>
      <c r="D36" s="400">
        <f>Model!W290</f>
        <v>158</v>
      </c>
      <c r="E36" s="400">
        <f>Model!AB290</f>
        <v>75</v>
      </c>
      <c r="F36" s="400">
        <f>Model!AG290</f>
        <v>56</v>
      </c>
      <c r="G36" s="400">
        <f>Model!AL290</f>
        <v>3973</v>
      </c>
      <c r="H36" s="400">
        <f>Model!AQ290</f>
        <v>0</v>
      </c>
      <c r="I36" s="400">
        <f>Model!AV290</f>
        <v>0</v>
      </c>
      <c r="J36" s="400">
        <f>Model!BA290</f>
        <v>0</v>
      </c>
      <c r="K36" s="400">
        <f>Model!BF290</f>
        <v>0</v>
      </c>
      <c r="L36" s="401">
        <f>Model!BK290</f>
        <v>0</v>
      </c>
      <c r="X36" s="370" t="n"/>
      <c r="Y36" s="370" t="n"/>
      <c r="Z36" s="370" t="n"/>
    </row>
    <row r="37" outlineLevel="1" ht="12.75" customHeight="1" s="255">
      <c r="C37" s="399" t="inlineStr">
        <is>
          <t>Deferred tax (liabilities)</t>
        </is>
      </c>
      <c r="D37" s="400">
        <f>Model!W291</f>
        <v>0</v>
      </c>
      <c r="E37" s="400">
        <f>Model!AB291</f>
        <v>0</v>
      </c>
      <c r="F37" s="400">
        <f>Model!AG291</f>
        <v>0</v>
      </c>
      <c r="G37" s="400">
        <f>Model!AL291</f>
        <v>0</v>
      </c>
      <c r="H37" s="400">
        <f>Model!AQ291</f>
        <v>0</v>
      </c>
      <c r="I37" s="400">
        <f>Model!AV291</f>
        <v>0</v>
      </c>
      <c r="J37" s="400">
        <f>Model!BA291</f>
        <v>0</v>
      </c>
      <c r="K37" s="400">
        <f>Model!BF291</f>
        <v>0</v>
      </c>
      <c r="L37" s="401">
        <f>Model!BK291</f>
        <v>0</v>
      </c>
      <c r="X37" s="370" t="n"/>
      <c r="Y37" s="370" t="n"/>
      <c r="Z37" s="370" t="n"/>
    </row>
    <row r="38" outlineLevel="1" ht="15" customHeight="1" s="255">
      <c r="C38" s="399" t="inlineStr">
        <is>
          <t>Other non-current assets</t>
        </is>
      </c>
      <c r="D38" s="400">
        <f>(Model!W191-Model!R191)*-1</f>
        <v>2127</v>
      </c>
      <c r="E38" s="400">
        <f>(Model!AB191-Model!W191)*-1</f>
        <v>3945</v>
      </c>
      <c r="F38" s="400">
        <f>(Model!AG191-Model!AB191)*-1</f>
        <v>-1245</v>
      </c>
      <c r="G38" s="400">
        <f>(Model!AL191-Model!AG191)*-1</f>
        <v>1407</v>
      </c>
      <c r="H38" s="400">
        <f>(Model!AQ191-Model!AL191)*-1</f>
        <v>0</v>
      </c>
      <c r="I38" s="400">
        <f>(Model!AV191-Model!AQ191)*-1</f>
        <v>0</v>
      </c>
      <c r="J38" s="400">
        <f>(Model!BA191-Model!AV191)*-1</f>
        <v>0</v>
      </c>
      <c r="K38" s="400">
        <f>(Model!BF191-Model!BA191)*-1</f>
        <v>0</v>
      </c>
      <c r="L38" s="401">
        <f>(Model!BK191-Model!BF191)*-1</f>
        <v>0</v>
      </c>
      <c r="M38" s="349">
        <f>(Model!BP191-Model!BK191)*-1</f>
        <v>0</v>
      </c>
      <c r="N38" s="349">
        <f>(Model!BU191-Model!BP191)*-1</f>
        <v>0</v>
      </c>
      <c r="O38" s="349">
        <f>(Model!BZ191-Model!BU191)*-1</f>
        <v>0</v>
      </c>
      <c r="P38" s="349">
        <f>(Model!CE191-Model!BZ191)*-1</f>
        <v>0</v>
      </c>
      <c r="Q38" s="349">
        <f>(Model!CJ191-Model!CE191)*-1</f>
        <v>0</v>
      </c>
      <c r="R38" s="349">
        <f>(Model!CO191-Model!CJ191)*-1</f>
        <v>0</v>
      </c>
      <c r="X38" s="370" t="n"/>
      <c r="Y38" s="370" t="n"/>
      <c r="Z38" s="370" t="n"/>
    </row>
    <row r="39" outlineLevel="1" ht="15" customHeight="1" s="255">
      <c r="C39" s="399" t="inlineStr">
        <is>
          <t>Other non-current liabilities</t>
        </is>
      </c>
      <c r="D39" s="400">
        <f>Model!W242-Model!R242</f>
        <v>807</v>
      </c>
      <c r="E39" s="400">
        <f>Model!AB242-Model!W242</f>
        <v>-17</v>
      </c>
      <c r="F39" s="400">
        <f>Model!AG242-Model!AB242</f>
        <v>2133</v>
      </c>
      <c r="G39" s="400">
        <f>Model!AL242-Model!AG242</f>
        <v>-229</v>
      </c>
      <c r="H39" s="400">
        <f>Model!AQ242-Model!AL242</f>
        <v>0</v>
      </c>
      <c r="I39" s="400">
        <f>Model!AV242-Model!AQ242</f>
        <v>0</v>
      </c>
      <c r="J39" s="400">
        <f>Model!BA242-Model!AV242</f>
        <v>0</v>
      </c>
      <c r="K39" s="400">
        <f>Model!BF242-Model!BA242</f>
        <v>0</v>
      </c>
      <c r="L39" s="401">
        <f>Model!BK242-Model!BF242</f>
        <v>0</v>
      </c>
      <c r="M39" s="349">
        <f>Model!BP242-Model!BK242</f>
        <v>0</v>
      </c>
      <c r="N39" s="349">
        <f>Model!BU242-Model!BP242</f>
        <v>0</v>
      </c>
      <c r="O39" s="349">
        <f>Model!BZ242-Model!BU242</f>
        <v>0</v>
      </c>
      <c r="P39" s="349">
        <f>Model!CE242-Model!BZ242</f>
        <v>0</v>
      </c>
      <c r="Q39" s="349">
        <f>Model!CJ242-Model!CE242</f>
        <v>0</v>
      </c>
      <c r="R39" s="349">
        <f>Model!CO242-Model!CJ242</f>
        <v>0</v>
      </c>
      <c r="X39" s="370" t="n"/>
      <c r="Y39" s="370" t="n"/>
      <c r="Z39" s="370" t="n"/>
    </row>
    <row r="40" ht="12.75" customHeight="1" s="255">
      <c r="C40" s="399" t="inlineStr">
        <is>
          <t>Capital expenditures</t>
        </is>
      </c>
      <c r="D40" s="400" t="n"/>
      <c r="E40" s="400" t="n"/>
      <c r="F40" s="400" t="n"/>
      <c r="G40" s="400" t="n"/>
      <c r="H40" s="400" t="n"/>
      <c r="I40" s="400" t="n"/>
      <c r="J40" s="400" t="n"/>
      <c r="K40" s="400" t="n"/>
      <c r="L40" s="401" t="n"/>
      <c r="X40" s="370" t="n"/>
      <c r="Y40" s="370" t="n"/>
      <c r="Z40" s="370" t="n"/>
    </row>
    <row r="41" ht="12.75" customHeight="1" s="255">
      <c r="C41" s="399" t="inlineStr">
        <is>
          <t>Capital expenditures [IFRS16 - implied lease payments]</t>
        </is>
      </c>
      <c r="F41" s="400" t="n"/>
      <c r="G41" s="400" t="n"/>
      <c r="H41" s="400" t="n"/>
      <c r="I41" s="400" t="n"/>
      <c r="J41" s="400" t="n"/>
      <c r="K41" s="400" t="n"/>
      <c r="L41" s="401" t="n"/>
      <c r="X41" s="370" t="n"/>
      <c r="Y41" s="370" t="n"/>
      <c r="Z41" s="370" t="n"/>
    </row>
    <row r="42" ht="12.75" customHeight="1" s="255">
      <c r="C42" s="402" t="inlineStr">
        <is>
          <t>Purchase of intangible assets</t>
        </is>
      </c>
      <c r="D42" s="403" t="n">
        <v>0</v>
      </c>
      <c r="E42" s="403" t="n">
        <v>0</v>
      </c>
      <c r="F42" s="403" t="n">
        <v>0</v>
      </c>
      <c r="G42" s="403" t="n">
        <v>0</v>
      </c>
      <c r="H42" s="403" t="n">
        <v>0</v>
      </c>
      <c r="I42" s="403" t="n">
        <v>0</v>
      </c>
      <c r="J42" s="403" t="n">
        <v>0</v>
      </c>
      <c r="K42" s="403" t="n">
        <v>0</v>
      </c>
      <c r="L42" s="404" t="n">
        <v>0</v>
      </c>
      <c r="M42" s="405" t="n"/>
      <c r="X42" s="370" t="n"/>
      <c r="Y42" s="370" t="n"/>
      <c r="Z42" s="370" t="n"/>
      <c r="AB42" s="360" t="n"/>
    </row>
    <row r="43" ht="12.75" customHeight="1" s="255">
      <c r="X43" s="370" t="n"/>
      <c r="Y43" s="370" t="n"/>
      <c r="Z43" s="370" t="n"/>
    </row>
    <row r="44" ht="12.75" customHeight="1" s="255">
      <c r="C44" s="376" t="inlineStr">
        <is>
          <t>Net Investments</t>
        </is>
      </c>
      <c r="D44" s="397">
        <f>SUM(D27+D40+D41+D42+D26)</f>
        <v>-8458</v>
      </c>
      <c r="E44" s="397">
        <f>SUM(E27+E40+E41+E42+E26)</f>
        <v>-9640</v>
      </c>
      <c r="F44" s="397">
        <f>SUM(F27+F40+F41+F42+F26)</f>
        <v>-10760</v>
      </c>
      <c r="G44" s="397">
        <f>SUM(G27+G40+G41+G42+G26)</f>
        <v>-27791</v>
      </c>
      <c r="H44" s="397" t="e">
        <f>SUM(H27+H40+H41+H42+H26)</f>
        <v>#DIV/0!</v>
      </c>
      <c r="I44" s="397" t="e">
        <f>SUM(I27+I40+I41+I42+I26)</f>
        <v>#DIV/0!</v>
      </c>
      <c r="J44" s="397" t="e">
        <f>SUM(J27+J40+J41+J42+J26)</f>
        <v>#DIV/0!</v>
      </c>
      <c r="K44" s="397" t="e">
        <f>SUM(K27+K40+K41+K42+K26)</f>
        <v>#DIV/0!</v>
      </c>
      <c r="L44" s="397" t="e">
        <f>SUM(L27+L40+L41+L42+L26)</f>
        <v>#DIV/0!</v>
      </c>
      <c r="M44" s="406" t="e">
        <f>+L46-M46</f>
        <v>#DIV/0!</v>
      </c>
      <c r="N44" s="397" t="e">
        <f>+M46-N46</f>
        <v>#DIV/0!</v>
      </c>
      <c r="O44" s="397" t="e">
        <f>+N46-O46</f>
        <v>#DIV/0!</v>
      </c>
      <c r="P44" s="397" t="e">
        <f>+O46-P46</f>
        <v>#DIV/0!</v>
      </c>
      <c r="Q44" s="397" t="e">
        <f>+P46-Q46</f>
        <v>#DIV/0!</v>
      </c>
      <c r="R44" s="397" t="e">
        <f>+Q46-R46</f>
        <v>#DIV/0!</v>
      </c>
      <c r="S44" s="397" t="n"/>
      <c r="T44" s="397" t="n"/>
      <c r="U44" s="397" t="n"/>
      <c r="V44" s="398" t="n"/>
      <c r="X44" s="370" t="n"/>
      <c r="Y44" s="405" t="n"/>
      <c r="Z44" s="370" t="n"/>
    </row>
    <row r="45" ht="12.75" customHeight="1" s="255">
      <c r="C45" s="407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V45" s="408" t="n"/>
      <c r="X45" s="370" t="n"/>
      <c r="Y45" s="370" t="n"/>
      <c r="Z45" s="370" t="n"/>
    </row>
    <row r="46" ht="12.75" customHeight="1" s="255">
      <c r="C46" s="407" t="inlineStr">
        <is>
          <t>Invested Capital</t>
        </is>
      </c>
      <c r="D46" s="400">
        <f>Model!W352</f>
        <v>135591</v>
      </c>
      <c r="E46" s="400">
        <f>Model!AB352</f>
        <v>142046</v>
      </c>
      <c r="F46" s="400">
        <f>Model!AG352</f>
        <v>155787</v>
      </c>
      <c r="G46" s="400">
        <f>Model!AL352</f>
        <v>182656</v>
      </c>
      <c r="H46" s="400" t="e">
        <f>Model!AQ352</f>
        <v>#DIV/0!</v>
      </c>
      <c r="I46" s="400" t="e">
        <f>Model!AV352</f>
        <v>#DIV/0!</v>
      </c>
      <c r="J46" s="400" t="e">
        <f>Model!BA352</f>
        <v>#DIV/0!</v>
      </c>
      <c r="K46" s="400" t="e">
        <f>Model!BF352</f>
        <v>#DIV/0!</v>
      </c>
      <c r="L46" s="400" t="e">
        <f>Model!BK352</f>
        <v>#DIV/0!</v>
      </c>
      <c r="M46" s="409" t="e">
        <f>Model!BP352</f>
        <v>#DIV/0!</v>
      </c>
      <c r="N46" s="409" t="e">
        <f>Model!BU352</f>
        <v>#DIV/0!</v>
      </c>
      <c r="O46" s="409" t="e">
        <f>Model!BZ352</f>
        <v>#DIV/0!</v>
      </c>
      <c r="P46" s="409" t="e">
        <f>Model!CE352</f>
        <v>#DIV/0!</v>
      </c>
      <c r="Q46" s="409" t="e">
        <f>Model!CJ352</f>
        <v>#DIV/0!</v>
      </c>
      <c r="R46" s="409" t="e">
        <f>Model!CO352</f>
        <v>#DIV/0!</v>
      </c>
      <c r="S46" s="409" t="n"/>
      <c r="T46" s="409" t="n"/>
      <c r="U46" s="409" t="n"/>
      <c r="V46" s="410" t="n"/>
      <c r="X46" s="405" t="n"/>
      <c r="Y46" s="405" t="n"/>
      <c r="Z46" s="370" t="n"/>
    </row>
    <row r="47" ht="15" customHeight="1" s="255">
      <c r="C47" s="407" t="inlineStr">
        <is>
          <t>Invested Capital (ex Goodwill)</t>
        </is>
      </c>
      <c r="D47" s="400">
        <f>Model!W353</f>
        <v>107478</v>
      </c>
      <c r="E47" s="400">
        <f>Model!AB353</f>
        <v>113254</v>
      </c>
      <c r="F47" s="400">
        <f>Model!AG353</f>
        <v>127052</v>
      </c>
      <c r="G47" s="400">
        <f>Model!AL353</f>
        <v>154396</v>
      </c>
      <c r="H47" s="400" t="e">
        <f>Model!AQ353</f>
        <v>#DIV/0!</v>
      </c>
      <c r="I47" s="400" t="e">
        <f>Model!AV353</f>
        <v>#DIV/0!</v>
      </c>
      <c r="J47" s="400" t="e">
        <f>Model!BA353</f>
        <v>#DIV/0!</v>
      </c>
      <c r="K47" s="400" t="e">
        <f>Model!BF353</f>
        <v>#DIV/0!</v>
      </c>
      <c r="L47" s="400" t="e">
        <f>Model!BK353</f>
        <v>#DIV/0!</v>
      </c>
      <c r="M47" s="349" t="e">
        <f>Model!BP353</f>
        <v>#DIV/0!</v>
      </c>
      <c r="N47" s="349" t="e">
        <f>Model!BU353</f>
        <v>#DIV/0!</v>
      </c>
      <c r="O47" s="349" t="e">
        <f>Model!BZ353</f>
        <v>#DIV/0!</v>
      </c>
      <c r="P47" s="349" t="e">
        <f>Model!CE353</f>
        <v>#DIV/0!</v>
      </c>
      <c r="Q47" s="349" t="e">
        <f>Model!CJ353</f>
        <v>#DIV/0!</v>
      </c>
      <c r="R47" s="349" t="e">
        <f>Model!CO353</f>
        <v>#DIV/0!</v>
      </c>
      <c r="V47" s="408" t="n"/>
      <c r="X47" s="370" t="n"/>
      <c r="Y47" s="370" t="n"/>
      <c r="Z47" s="370" t="n"/>
    </row>
    <row r="48" ht="12.75" customHeight="1" s="255">
      <c r="C48" s="380" t="inlineStr">
        <is>
          <t>Invested Capital / Net Revenues</t>
        </is>
      </c>
      <c r="D48" s="386">
        <f>D46/D18</f>
        <v>0.209205014464802</v>
      </c>
      <c r="E48" s="386">
        <f>E46/E18</f>
        <v>0.208589029126926</v>
      </c>
      <c r="F48" s="386">
        <f>F46/F18</f>
        <v>0.218445152090055</v>
      </c>
      <c r="G48" s="386">
        <f>G46/G18</f>
        <v>0.248227875625136</v>
      </c>
      <c r="H48" s="386" t="e">
        <f>H46/H18</f>
        <v>#DIV/0!</v>
      </c>
      <c r="I48" s="386" t="e">
        <f>I46/I18</f>
        <v>#DIV/0!</v>
      </c>
      <c r="J48" s="386" t="e">
        <f>J46/J18</f>
        <v>#DIV/0!</v>
      </c>
      <c r="K48" s="386" t="e">
        <f>K46/K18</f>
        <v>#DIV/0!</v>
      </c>
      <c r="L48" s="386" t="e">
        <f>L46/L18</f>
        <v>#DIV/0!</v>
      </c>
      <c r="M48" s="411" t="n"/>
      <c r="N48" s="411" t="n"/>
      <c r="O48" s="411" t="n"/>
      <c r="P48" s="411" t="n"/>
      <c r="Q48" s="411" t="n"/>
      <c r="R48" s="411" t="n"/>
      <c r="S48" s="411" t="n"/>
      <c r="T48" s="411" t="n"/>
      <c r="U48" s="411" t="n"/>
      <c r="V48" s="412" t="n"/>
      <c r="X48" s="369" t="inlineStr">
        <is>
          <t>ROIC</t>
        </is>
      </c>
      <c r="Y48" s="370" t="n"/>
      <c r="Z48" s="370" t="n"/>
    </row>
    <row r="49" ht="12.75" customHeight="1" s="255">
      <c r="X49" s="413">
        <f>F16</f>
        <v>2025</v>
      </c>
      <c r="Y49" s="413">
        <f>L16</f>
        <v>2031</v>
      </c>
      <c r="Z49" s="413">
        <f>R16</f>
        <v>2037</v>
      </c>
    </row>
    <row r="50" ht="12.75" customHeight="1" s="255">
      <c r="C50" s="414" t="inlineStr">
        <is>
          <t>ROIC</t>
        </is>
      </c>
      <c r="D50" s="415" t="n"/>
      <c r="E50" s="415" t="n"/>
      <c r="F50" s="415" t="n"/>
      <c r="G50" s="415">
        <f>G25/AVERAGE(F46,G46)</f>
        <v>0.0775977582206817</v>
      </c>
      <c r="H50" s="415" t="e">
        <f>H25/AVERAGE(G46,H46)</f>
        <v>#DIV/0!</v>
      </c>
      <c r="I50" s="415" t="e">
        <f>I25/AVERAGE(H46,I46)</f>
        <v>#DIV/0!</v>
      </c>
      <c r="J50" s="415" t="e">
        <f>J25/AVERAGE(I46,J46)</f>
        <v>#DIV/0!</v>
      </c>
      <c r="K50" s="415" t="e">
        <f>K25/AVERAGE(J46,K46)</f>
        <v>#DIV/0!</v>
      </c>
      <c r="L50" s="415" t="e">
        <f>L25/AVERAGE(K46,L46)</f>
        <v>#DIV/0!</v>
      </c>
      <c r="M50" s="416" t="e">
        <f>M25/AVERAGE(L46,M46)</f>
        <v>#DIV/0!</v>
      </c>
      <c r="N50" s="416" t="e">
        <f>N25/AVERAGE(M46,N46)</f>
        <v>#DIV/0!</v>
      </c>
      <c r="O50" s="416" t="e">
        <f>O25/AVERAGE(N46,O46)</f>
        <v>#DIV/0!</v>
      </c>
      <c r="P50" s="416" t="e">
        <f>P25/AVERAGE(O46,P46)</f>
        <v>#DIV/0!</v>
      </c>
      <c r="Q50" s="416" t="e">
        <f>Q25/AVERAGE(P46,Q46)</f>
        <v>#DIV/0!</v>
      </c>
      <c r="R50" s="416" t="e">
        <f>R25/AVERAGE(Q46,R46)</f>
        <v>#DIV/0!</v>
      </c>
      <c r="S50" s="416" t="n"/>
      <c r="T50" s="416" t="n"/>
      <c r="U50" s="416" t="n"/>
      <c r="V50" s="417" t="n"/>
      <c r="X50" s="379">
        <f>F50</f>
        <v>0</v>
      </c>
      <c r="Y50" s="379" t="e">
        <f>L50</f>
        <v>#DIV/0!</v>
      </c>
      <c r="Z50" s="418" t="e">
        <f>R50</f>
        <v>#DIV/0!</v>
      </c>
    </row>
    <row r="51" ht="12.75" customHeight="1" s="255">
      <c r="C51" s="360" t="inlineStr">
        <is>
          <t>Capital Turnover</t>
        </is>
      </c>
      <c r="D51" s="419">
        <f>D18/D46</f>
        <v>4.78000014750242</v>
      </c>
      <c r="E51" s="419">
        <f>E18/E46</f>
        <v>4.7941159905946</v>
      </c>
      <c r="F51" s="419">
        <f>F18/F46</f>
        <v>4.5778081611431</v>
      </c>
      <c r="G51" s="419">
        <f>G18/G46</f>
        <v>4.02855641205326</v>
      </c>
      <c r="H51" s="419" t="e">
        <f>H18/H46</f>
        <v>#DIV/0!</v>
      </c>
      <c r="I51" s="419" t="e">
        <f>I18/I46</f>
        <v>#DIV/0!</v>
      </c>
      <c r="J51" s="419" t="e">
        <f>J18/J46</f>
        <v>#DIV/0!</v>
      </c>
      <c r="K51" s="419" t="e">
        <f>K18/K46</f>
        <v>#DIV/0!</v>
      </c>
      <c r="L51" s="419" t="e">
        <f>L18/L46</f>
        <v>#DIV/0!</v>
      </c>
      <c r="M51" s="419" t="e">
        <f>M18/M46</f>
        <v>#DIV/0!</v>
      </c>
      <c r="N51" s="419" t="e">
        <f>N18/N46</f>
        <v>#DIV/0!</v>
      </c>
      <c r="O51" s="419" t="e">
        <f>O18/O46</f>
        <v>#DIV/0!</v>
      </c>
      <c r="P51" s="419" t="e">
        <f>P18/P46</f>
        <v>#DIV/0!</v>
      </c>
      <c r="Q51" s="419" t="e">
        <f>Q18/Q46</f>
        <v>#DIV/0!</v>
      </c>
      <c r="R51" s="419" t="e">
        <f>R18/R46</f>
        <v>#DIV/0!</v>
      </c>
      <c r="S51" s="419" t="n"/>
      <c r="T51" s="419" t="n"/>
      <c r="U51" s="419" t="n"/>
      <c r="V51" s="419" t="n"/>
    </row>
    <row r="53" ht="12.75" customFormat="1" customHeight="1" s="360">
      <c r="A53" s="349" t="n"/>
      <c r="B53" s="349" t="n"/>
      <c r="C53" s="360" t="inlineStr">
        <is>
          <t>Unlevered free cash flows = FCFF</t>
        </is>
      </c>
      <c r="D53" s="420">
        <f>D25+D44</f>
        <v>11657.5822043208</v>
      </c>
      <c r="E53" s="420">
        <f>E25+E44</f>
        <v>12845.3713938196</v>
      </c>
      <c r="F53" s="420">
        <f>F25+F44</f>
        <v>11779.032542672</v>
      </c>
      <c r="G53" s="421">
        <f>(G25+G44)*stub_year_fraction</f>
        <v>-3815.5620299715</v>
      </c>
      <c r="H53" s="420" t="e">
        <f>H25+H44</f>
        <v>#DIV/0!</v>
      </c>
      <c r="I53" s="420" t="e">
        <f>I25+I44</f>
        <v>#DIV/0!</v>
      </c>
      <c r="J53" s="420" t="e">
        <f>J25+J44</f>
        <v>#DIV/0!</v>
      </c>
      <c r="K53" s="420" t="e">
        <f>K25+K44</f>
        <v>#DIV/0!</v>
      </c>
      <c r="L53" s="420" t="e">
        <f>L25+L44</f>
        <v>#DIV/0!</v>
      </c>
      <c r="M53" s="420" t="e">
        <f>M25+M44</f>
        <v>#DIV/0!</v>
      </c>
      <c r="N53" s="420" t="e">
        <f>N25+N44</f>
        <v>#DIV/0!</v>
      </c>
      <c r="O53" s="420" t="e">
        <f>O25+O44</f>
        <v>#DIV/0!</v>
      </c>
      <c r="P53" s="420" t="e">
        <f>P25+P44</f>
        <v>#DIV/0!</v>
      </c>
      <c r="Q53" s="420" t="e">
        <f>Q25+Q44</f>
        <v>#DIV/0!</v>
      </c>
      <c r="R53" s="420" t="e">
        <f>R25+R44</f>
        <v>#DIV/0!</v>
      </c>
      <c r="S53" s="420" t="n"/>
      <c r="T53" s="420" t="n"/>
      <c r="U53" s="420" t="n"/>
      <c r="V53" s="420" t="n"/>
    </row>
    <row r="54" ht="12.75" customHeight="1" s="255">
      <c r="C54" s="422" t="inlineStr">
        <is>
          <t>Discount factor</t>
        </is>
      </c>
      <c r="G54" s="423" t="e">
        <f>1/(1+wacc)^stub_year_fraction</f>
        <v>#DIV/0!</v>
      </c>
      <c r="H54" s="423" t="e">
        <f>1/(1+wacc)^(1+stub_year_fraction)</f>
        <v>#DIV/0!</v>
      </c>
      <c r="I54" s="423" t="e">
        <f>1/(1+wacc)^(2+stub_year_fraction)</f>
        <v>#DIV/0!</v>
      </c>
      <c r="J54" s="423" t="e">
        <f>1/(1+wacc)^(3+stub_year_fraction)</f>
        <v>#DIV/0!</v>
      </c>
      <c r="K54" s="423" t="e">
        <f>1/(1+wacc)^(4+stub_year_fraction)</f>
        <v>#DIV/0!</v>
      </c>
      <c r="L54" s="423" t="e">
        <f>1/(1+wacc)^(5+stub_year_fraction)</f>
        <v>#DIV/0!</v>
      </c>
      <c r="M54" s="423" t="e">
        <f>1/(1+wacc)^(6+stub_year_fraction)</f>
        <v>#DIV/0!</v>
      </c>
      <c r="N54" s="423" t="e">
        <f>1/(1+wacc)^(7+stub_year_fraction)</f>
        <v>#DIV/0!</v>
      </c>
      <c r="O54" s="423" t="e">
        <f>1/(1+wacc)^(8+stub_year_fraction)</f>
        <v>#DIV/0!</v>
      </c>
      <c r="P54" s="423" t="e">
        <f>1/(1+wacc)^(9+stub_year_fraction)</f>
        <v>#DIV/0!</v>
      </c>
      <c r="Q54" s="423" t="e">
        <f>1/(1+wacc)^(10+stub_year_fraction)</f>
        <v>#DIV/0!</v>
      </c>
      <c r="R54" s="423" t="e">
        <f>1/(1+wacc)^(11+stub_year_fraction)</f>
        <v>#DIV/0!</v>
      </c>
      <c r="S54" s="423" t="n"/>
      <c r="T54" s="423" t="n"/>
      <c r="U54" s="423" t="n"/>
      <c r="V54" s="423" t="n"/>
    </row>
    <row r="55" ht="12.75" customHeight="1" s="255">
      <c r="C55" s="422" t="inlineStr">
        <is>
          <t>Midyear adjustment factor</t>
        </is>
      </c>
      <c r="G55" s="424" t="e">
        <f>(1+wacc)^(stub_year_fraction/2)</f>
        <v>#DIV/0!</v>
      </c>
      <c r="H55" s="423" t="e">
        <f>(1+wacc)^0.5</f>
        <v>#DIV/0!</v>
      </c>
      <c r="I55" s="423" t="e">
        <f>(1+wacc)^0.5</f>
        <v>#DIV/0!</v>
      </c>
      <c r="J55" s="423" t="e">
        <f>(1+wacc)^0.5</f>
        <v>#DIV/0!</v>
      </c>
      <c r="K55" s="423" t="e">
        <f>(1+wacc)^0.5</f>
        <v>#DIV/0!</v>
      </c>
      <c r="L55" s="423" t="e">
        <f>(1+wacc)^0.5</f>
        <v>#DIV/0!</v>
      </c>
      <c r="M55" s="423" t="e">
        <f>(1+wacc)^0.5</f>
        <v>#DIV/0!</v>
      </c>
      <c r="N55" s="423" t="e">
        <f>(1+wacc)^0.5</f>
        <v>#DIV/0!</v>
      </c>
      <c r="O55" s="423" t="e">
        <f>(1+wacc)^0.5</f>
        <v>#DIV/0!</v>
      </c>
      <c r="P55" s="423" t="e">
        <f>(1+wacc)^0.5</f>
        <v>#DIV/0!</v>
      </c>
      <c r="Q55" s="423" t="e">
        <f>(1+wacc)^0.5</f>
        <v>#DIV/0!</v>
      </c>
      <c r="R55" s="423" t="e">
        <f>(1+wacc)^0.5</f>
        <v>#DIV/0!</v>
      </c>
      <c r="S55" s="423" t="n"/>
      <c r="T55" s="423" t="n"/>
      <c r="U55" s="423" t="n"/>
      <c r="V55" s="423" t="n"/>
    </row>
    <row r="56" ht="12.75" customHeight="1" s="255">
      <c r="C56" s="422" t="inlineStr">
        <is>
          <t>Present value of free cash flows</t>
        </is>
      </c>
      <c r="G56" s="405" t="e">
        <f>G54*G53*G55</f>
        <v>#DIV/0!</v>
      </c>
      <c r="H56" s="405" t="e">
        <f>H54*H53*H55</f>
        <v>#DIV/0!</v>
      </c>
      <c r="I56" s="405" t="e">
        <f>I54*I53*I55</f>
        <v>#DIV/0!</v>
      </c>
      <c r="J56" s="405" t="e">
        <f>J54*J53*J55</f>
        <v>#DIV/0!</v>
      </c>
      <c r="K56" s="405" t="e">
        <f>K54*K53*K55</f>
        <v>#DIV/0!</v>
      </c>
      <c r="L56" s="405" t="e">
        <f>L54*L53*L55</f>
        <v>#DIV/0!</v>
      </c>
      <c r="M56" s="405" t="e">
        <f>M54*M53*M55</f>
        <v>#DIV/0!</v>
      </c>
      <c r="N56" s="405" t="e">
        <f>N54*N53*N55</f>
        <v>#DIV/0!</v>
      </c>
      <c r="O56" s="405" t="e">
        <f>O54*O53*O55</f>
        <v>#DIV/0!</v>
      </c>
      <c r="P56" s="405" t="e">
        <f>P54*P53*P55</f>
        <v>#DIV/0!</v>
      </c>
      <c r="Q56" s="405" t="e">
        <f>Q54*Q53*Q55</f>
        <v>#DIV/0!</v>
      </c>
      <c r="R56" s="405" t="e">
        <f>R54*R53*R55</f>
        <v>#DIV/0!</v>
      </c>
      <c r="S56" s="405" t="n"/>
      <c r="T56" s="405" t="n"/>
      <c r="U56" s="405" t="n"/>
      <c r="V56" s="405" t="n"/>
    </row>
    <row r="57" ht="12.75" customHeight="1" s="255">
      <c r="C57" s="360" t="inlineStr">
        <is>
          <t>Sum of present values of FCFs</t>
        </is>
      </c>
      <c r="G57" s="420" t="e">
        <f>SUM(G56:R56)</f>
        <v>#DIV/0!</v>
      </c>
      <c r="H57" s="405" t="n"/>
      <c r="N57" s="425" t="n"/>
    </row>
    <row r="59" ht="12.75" customHeight="1" s="255">
      <c r="C59" s="360" t="n"/>
      <c r="D59" s="352" t="n">
        <v>50405</v>
      </c>
      <c r="E59" s="426" t="n"/>
      <c r="F59" s="427" t="n"/>
      <c r="G59" s="427" t="n"/>
      <c r="H59" s="352" t="n">
        <v>46022</v>
      </c>
      <c r="I59" s="427" t="n"/>
      <c r="J59" s="427" t="n"/>
      <c r="K59" s="427" t="n"/>
      <c r="L59" s="427" t="n"/>
    </row>
    <row r="60" ht="13.5" customHeight="1" s="255">
      <c r="C60" s="428" t="inlineStr">
        <is>
          <t>Terminal value</t>
        </is>
      </c>
      <c r="D60" s="429" t="n"/>
      <c r="E60" s="430" t="inlineStr">
        <is>
          <t>Equity value calculations</t>
        </is>
      </c>
      <c r="F60" s="431" t="n"/>
      <c r="G60" s="431" t="n"/>
      <c r="H60" s="431" t="n"/>
      <c r="I60" s="432" t="inlineStr">
        <is>
          <t xml:space="preserve"> Shares Outstanding Worksheet</t>
        </is>
      </c>
      <c r="J60" s="433" t="n"/>
      <c r="K60" s="434" t="n"/>
      <c r="L60" s="435" t="n"/>
    </row>
    <row r="61" ht="12.75" customHeight="1" s="255">
      <c r="C61" s="407" t="n"/>
      <c r="D61" s="408" t="n"/>
      <c r="I61" s="407" t="n"/>
      <c r="L61" s="408" t="n"/>
    </row>
    <row r="62" ht="12.75" customHeight="1" s="255">
      <c r="C62" s="436" t="inlineStr">
        <is>
          <t>Key value driver method</t>
        </is>
      </c>
      <c r="D62" s="437" t="n"/>
      <c r="E62" s="438" t="inlineStr">
        <is>
          <t>Enterprise value</t>
        </is>
      </c>
      <c r="H62" s="420" t="e">
        <f>D80</f>
        <v>#DIV/0!</v>
      </c>
      <c r="I62" s="439" t="inlineStr">
        <is>
          <t>Basic Shares Outanding :</t>
        </is>
      </c>
      <c r="J62" s="354" t="n"/>
      <c r="L62" s="440" t="n"/>
    </row>
    <row r="63" ht="13.5" customHeight="1" s="255">
      <c r="C63" s="436" t="inlineStr">
        <is>
          <t>g</t>
        </is>
      </c>
      <c r="D63" s="441" t="n"/>
      <c r="E63" s="442" t="inlineStr">
        <is>
          <t>Calculation of net debt:</t>
        </is>
      </c>
      <c r="H63" s="405" t="n"/>
      <c r="I63" s="439" t="inlineStr">
        <is>
          <t>Current Share Price:</t>
        </is>
      </c>
      <c r="L63" s="443" t="n"/>
    </row>
    <row r="64" ht="13.5" customHeight="1" s="255">
      <c r="C64" s="436" t="inlineStr">
        <is>
          <t>RONIC</t>
        </is>
      </c>
      <c r="D64" s="444" t="e">
        <f>R50</f>
        <v>#DIV/0!</v>
      </c>
      <c r="E64" s="422" t="inlineStr">
        <is>
          <t>Current portion of long-term debt</t>
        </is>
      </c>
      <c r="H64" s="401" t="n"/>
      <c r="I64" s="445" t="inlineStr">
        <is>
          <t>Options / Warrants Data</t>
        </is>
      </c>
      <c r="J64" s="373" t="n"/>
      <c r="K64" s="373" t="n"/>
      <c r="L64" s="446" t="n"/>
    </row>
    <row r="65" ht="12.75" customHeight="1" s="255">
      <c r="C65" s="436" t="inlineStr">
        <is>
          <t>NOPLAT (t+1)</t>
        </is>
      </c>
      <c r="D65" s="447">
        <f>SUMIFS(INDEX($C$17:$AQ$42,,MATCH(D$59,$C$17:$AQ$17,0)),$C$17:$C$42,"NOPLAT")*(1+D63)</f>
        <v>0</v>
      </c>
      <c r="E65" s="422" t="inlineStr">
        <is>
          <t>Short term debt</t>
        </is>
      </c>
      <c r="H65" s="401" t="n"/>
      <c r="I65" s="445" t="n"/>
      <c r="J65" s="448" t="inlineStr">
        <is>
          <t># of options</t>
        </is>
      </c>
      <c r="K65" s="448" t="inlineStr">
        <is>
          <t xml:space="preserve">$ strike </t>
        </is>
      </c>
      <c r="L65" s="446" t="inlineStr">
        <is>
          <t># In-the-$</t>
        </is>
      </c>
    </row>
    <row r="66" ht="12.75" customHeight="1" s="255">
      <c r="C66" s="436" t="inlineStr">
        <is>
          <t>Terminal value</t>
        </is>
      </c>
      <c r="D66" s="447" t="e">
        <f>(noplat_t1*(1-(g/ronic)))/(wacc-g)</f>
        <v>#DIV/0!</v>
      </c>
      <c r="E66" s="422" t="inlineStr">
        <is>
          <t>Long term debt</t>
        </is>
      </c>
      <c r="H66" s="401" t="n"/>
      <c r="I66" s="422" t="inlineStr">
        <is>
          <t>Batch 1</t>
        </is>
      </c>
      <c r="J66" s="449" t="n"/>
      <c r="K66" s="450" t="n"/>
      <c r="L66" s="451">
        <f>IF($K66&lt;$L$62,J66,0)</f>
        <v>0</v>
      </c>
    </row>
    <row r="67" ht="12.75" customHeight="1" s="255">
      <c r="C67" s="436" t="inlineStr">
        <is>
          <t>Midyear adjusted terminal value</t>
        </is>
      </c>
      <c r="D67" s="447" t="e">
        <f>D66*R55</f>
        <v>#DIV/0!</v>
      </c>
      <c r="E67" s="422" t="inlineStr">
        <is>
          <t>Convertible debt</t>
        </is>
      </c>
      <c r="H67" s="401" t="n"/>
      <c r="I67" s="422" t="inlineStr">
        <is>
          <t>Batch 2</t>
        </is>
      </c>
      <c r="J67" s="452" t="n"/>
      <c r="K67" s="453" t="n"/>
      <c r="L67" s="451">
        <f>IF($K67&lt;$L$61,J67,0)</f>
        <v>0</v>
      </c>
    </row>
    <row r="68" ht="12.75" customHeight="1" s="255">
      <c r="C68" s="436" t="inlineStr">
        <is>
          <t>Present value of terminal value</t>
        </is>
      </c>
      <c r="D68" s="447" t="e">
        <f>D67*R54</f>
        <v>#DIV/0!</v>
      </c>
      <c r="E68" s="422" t="inlineStr">
        <is>
          <t>Minority interest</t>
        </is>
      </c>
      <c r="H68" s="401" t="n"/>
      <c r="I68" s="422" t="inlineStr">
        <is>
          <t>Batch 3</t>
        </is>
      </c>
      <c r="J68" s="452" t="n"/>
      <c r="K68" s="453" t="n"/>
      <c r="L68" s="451">
        <f>IF($K68&lt;$L$61,J68,0)</f>
        <v>0</v>
      </c>
    </row>
    <row r="69" ht="12.75" customHeight="1" s="255">
      <c r="C69" s="439" t="inlineStr">
        <is>
          <t>Enterprise value</t>
        </is>
      </c>
      <c r="D69" s="454" t="e">
        <f>D68+G57</f>
        <v>#DIV/0!</v>
      </c>
      <c r="E69" s="422" t="inlineStr">
        <is>
          <t>Convertible preferred stock</t>
        </is>
      </c>
      <c r="H69" s="401" t="n"/>
      <c r="I69" s="422" t="inlineStr">
        <is>
          <t>Batch 4</t>
        </is>
      </c>
      <c r="J69" s="452" t="n"/>
      <c r="K69" s="453" t="n"/>
      <c r="L69" s="451">
        <f>IF($K69&lt;$L$61,J69,0)</f>
        <v>0</v>
      </c>
    </row>
    <row r="70" ht="12.75" customHeight="1" s="255">
      <c r="C70" s="407" t="n"/>
      <c r="D70" s="408" t="n"/>
      <c r="E70" s="422" t="inlineStr">
        <is>
          <t>Short term operating leases</t>
        </is>
      </c>
      <c r="H70" s="401" t="n"/>
      <c r="I70" s="422" t="inlineStr">
        <is>
          <t>Batch 5</t>
        </is>
      </c>
      <c r="J70" s="452" t="n"/>
      <c r="K70" s="453" t="n"/>
      <c r="L70" s="451">
        <f>IF($K70&lt;$L$61,J70,0)</f>
        <v>0</v>
      </c>
    </row>
    <row r="71" ht="12.75" customHeight="1" s="255">
      <c r="C71" s="436" t="inlineStr">
        <is>
          <t>Exit multiple method</t>
        </is>
      </c>
      <c r="D71" s="437" t="n"/>
      <c r="E71" s="422" t="inlineStr">
        <is>
          <t>Long term operating leases</t>
        </is>
      </c>
      <c r="H71" s="401" t="n"/>
      <c r="I71" s="445" t="inlineStr">
        <is>
          <t>Batch 6</t>
        </is>
      </c>
      <c r="J71" s="455" t="n"/>
      <c r="K71" s="456" t="n"/>
      <c r="L71" s="457">
        <f>IF($K71&lt;$L$61,J71,0)</f>
        <v>0</v>
      </c>
    </row>
    <row r="72" ht="12.75" customHeight="1" s="255">
      <c r="C72" s="439" t="inlineStr">
        <is>
          <t>Exit EV / EBITDA multiple</t>
        </is>
      </c>
      <c r="D72" s="458" t="n"/>
      <c r="E72" s="442" t="inlineStr">
        <is>
          <t>Less: Excess cash</t>
        </is>
      </c>
      <c r="H72" s="401" t="n"/>
      <c r="J72" s="427" t="n"/>
      <c r="K72" s="459" t="inlineStr">
        <is>
          <t>Total in-the-$ options:</t>
        </is>
      </c>
      <c r="L72" s="451">
        <f>SUM(L66:L71)</f>
        <v>0</v>
      </c>
    </row>
    <row r="73" ht="12.75" customHeight="1" s="255">
      <c r="C73" s="439" t="inlineStr">
        <is>
          <t>LTM EBITDA at end of projection</t>
        </is>
      </c>
      <c r="D73" s="454">
        <f>L20</f>
        <v>0</v>
      </c>
      <c r="E73" s="442" t="inlineStr">
        <is>
          <t>Less: Equity investments</t>
        </is>
      </c>
      <c r="H73" s="401" t="n"/>
      <c r="J73" s="427" t="n"/>
      <c r="K73" s="459" t="inlineStr">
        <is>
          <t>Total $ proceeds:</t>
        </is>
      </c>
      <c r="L73" s="460">
        <f>SUMPRODUCT(K66:K71,L66:L71)</f>
        <v>0</v>
      </c>
    </row>
    <row r="74" ht="12.75" customHeight="1" s="255">
      <c r="C74" s="439" t="inlineStr">
        <is>
          <t>Terminal value</t>
        </is>
      </c>
      <c r="D74" s="454">
        <f>D73*D72</f>
        <v>0</v>
      </c>
      <c r="E74" s="422" t="inlineStr">
        <is>
          <t>Net debt</t>
        </is>
      </c>
      <c r="H74" s="454">
        <f>SUM(H64:H73)</f>
        <v>0</v>
      </c>
      <c r="J74" s="427" t="n"/>
      <c r="K74" s="459" t="inlineStr">
        <is>
          <t>Total shares repurchased:</t>
        </is>
      </c>
      <c r="L74" s="451" t="e">
        <f>L73/L63</f>
        <v>#DIV/0!</v>
      </c>
    </row>
    <row r="75" ht="12.75" customHeight="1" s="255">
      <c r="C75" s="439" t="inlineStr">
        <is>
          <t>Present value of terminal value</t>
        </is>
      </c>
      <c r="D75" s="454" t="e">
        <f>D74*L54</f>
        <v>#DIV/0!</v>
      </c>
      <c r="E75" s="438" t="inlineStr">
        <is>
          <t>Equity value</t>
        </is>
      </c>
      <c r="H75" s="447" t="e">
        <f>D80-H74</f>
        <v>#DIV/0!</v>
      </c>
      <c r="J75" s="427" t="n"/>
      <c r="K75" s="461" t="inlineStr">
        <is>
          <t>Basic shares outstanding</t>
        </is>
      </c>
      <c r="L75" s="437">
        <f>L62</f>
        <v>0</v>
      </c>
    </row>
    <row r="76" ht="13.5" customHeight="1" s="255">
      <c r="C76" s="439" t="inlineStr">
        <is>
          <t>Enterprise value</t>
        </is>
      </c>
      <c r="D76" s="454" t="e">
        <f>G57+D75</f>
        <v>#DIV/0!</v>
      </c>
      <c r="E76" s="422" t="inlineStr">
        <is>
          <t>Shares outstanding</t>
        </is>
      </c>
      <c r="H76" s="454" t="e">
        <f>L79</f>
        <v>#DIV/0!</v>
      </c>
      <c r="J76" s="462" t="n"/>
      <c r="K76" s="461" t="inlineStr">
        <is>
          <t>New shares from options:</t>
        </is>
      </c>
      <c r="L76" s="437" t="e">
        <f>L72-L74</f>
        <v>#DIV/0!</v>
      </c>
    </row>
    <row r="77" ht="13.5" customHeight="1" s="255">
      <c r="C77" s="407" t="n"/>
      <c r="D77" s="463" t="n"/>
      <c r="E77" s="438" t="inlineStr">
        <is>
          <t>Equity value / share</t>
        </is>
      </c>
      <c r="H77" s="464" t="e">
        <f>H75/H76</f>
        <v>#DIV/0!</v>
      </c>
      <c r="K77" s="461" t="inlineStr">
        <is>
          <t>New shares from convert. pref. stock:</t>
        </is>
      </c>
      <c r="L77" s="465" t="n"/>
    </row>
    <row r="78" ht="12.75" customHeight="1" s="255">
      <c r="C78" s="436" t="inlineStr">
        <is>
          <t>Select a terminal value method</t>
        </is>
      </c>
      <c r="D78" s="466" t="n"/>
      <c r="F78" s="425" t="n"/>
      <c r="H78" s="467" t="n"/>
      <c r="K78" s="461" t="inlineStr">
        <is>
          <t>New shares from convertible debt:</t>
        </is>
      </c>
      <c r="L78" s="468" t="n"/>
    </row>
    <row r="79" ht="12.75" customHeight="1" s="255">
      <c r="C79" s="439" t="inlineStr">
        <is>
          <t>Perpetual growth = 1 / Exit multiple = 2</t>
        </is>
      </c>
      <c r="D79" s="469" t="n"/>
      <c r="H79" s="467" t="n"/>
      <c r="K79" s="470" t="inlineStr">
        <is>
          <t>Total Shares Outstanding:</t>
        </is>
      </c>
      <c r="L79" s="471" t="e">
        <f>L62+SUM(L76:L78)</f>
        <v>#DIV/0!</v>
      </c>
    </row>
    <row r="80" ht="12.75" customHeight="1" s="255">
      <c r="C80" s="439" t="inlineStr">
        <is>
          <t>Enterprise value</t>
        </is>
      </c>
      <c r="D80" s="437" t="e">
        <f>IF(D79=1,D69,D76)</f>
        <v>#DIV/0!</v>
      </c>
      <c r="H80" s="408" t="n"/>
      <c r="K80" s="470" t="n"/>
      <c r="L80" s="471" t="n"/>
    </row>
    <row r="81" ht="12.75" customHeight="1" s="255">
      <c r="C81" s="472" t="inlineStr">
        <is>
          <t>Terminal value as percent of total value</t>
        </is>
      </c>
      <c r="D81" s="473" t="e">
        <f>IF(D79=1,D68/D69,D75/D76)</f>
        <v>#DIV/0!</v>
      </c>
      <c r="E81" s="373" t="n"/>
      <c r="F81" s="373" t="n"/>
      <c r="G81" s="373" t="n"/>
      <c r="H81" s="387" t="n"/>
      <c r="I81" s="373" t="n"/>
      <c r="J81" s="373" t="n"/>
      <c r="K81" s="373" t="n"/>
      <c r="L81" s="387" t="n"/>
    </row>
    <row r="83" ht="13.5" customHeight="1" s="255">
      <c r="C83" s="474" t="inlineStr">
        <is>
          <t>Analysis of WACC</t>
        </is>
      </c>
      <c r="D83" s="475" t="n"/>
      <c r="E83" s="476" t="n"/>
      <c r="F83" s="476" t="n"/>
      <c r="G83" s="474" t="n"/>
      <c r="H83" s="475" t="n"/>
      <c r="I83" s="476" t="n"/>
      <c r="J83" s="476" t="n"/>
      <c r="K83" s="476" t="n"/>
      <c r="L83" s="476" t="n"/>
    </row>
    <row r="85" ht="12.75" customHeight="1" s="255">
      <c r="C85" s="477" t="inlineStr">
        <is>
          <t>Cost of debt</t>
        </is>
      </c>
      <c r="D85" s="373" t="n"/>
      <c r="F85" s="477" t="inlineStr">
        <is>
          <t>Capital structure</t>
        </is>
      </c>
      <c r="G85" s="477" t="n"/>
      <c r="H85" s="477" t="n"/>
      <c r="I85" s="477" t="n"/>
      <c r="J85" s="477" t="n"/>
    </row>
    <row r="86" ht="12.75" customHeight="1" s="255">
      <c r="C86" s="422" t="inlineStr">
        <is>
          <t>Cost of debt</t>
        </is>
      </c>
      <c r="D86" s="478" t="n"/>
      <c r="G86" s="479" t="inlineStr">
        <is>
          <t>Current capital structure</t>
        </is>
      </c>
      <c r="H86" s="366" t="n"/>
      <c r="I86" s="480" t="inlineStr">
        <is>
          <t>Target capital structure</t>
        </is>
      </c>
      <c r="J86" s="481" t="n"/>
    </row>
    <row r="87" ht="12.75" customHeight="1" s="255">
      <c r="C87" s="422" t="inlineStr">
        <is>
          <t>Marginal tax rate</t>
        </is>
      </c>
      <c r="D87" s="478" t="n"/>
      <c r="F87" s="373" t="n"/>
      <c r="G87" s="448" t="inlineStr">
        <is>
          <t>Market value</t>
        </is>
      </c>
      <c r="H87" s="448" t="inlineStr">
        <is>
          <t>% Weight</t>
        </is>
      </c>
      <c r="I87" s="448" t="inlineStr">
        <is>
          <t>override</t>
        </is>
      </c>
      <c r="J87" s="482" t="inlineStr">
        <is>
          <t>% Weight</t>
        </is>
      </c>
      <c r="K87" s="483" t="n"/>
      <c r="L87" s="484" t="n"/>
    </row>
    <row r="88" ht="12.75" customHeight="1" s="255">
      <c r="C88" s="349" t="inlineStr">
        <is>
          <t>Cost of debt after tax shield</t>
        </is>
      </c>
      <c r="D88" s="485">
        <f>costdebtfirm*(1-D87)</f>
        <v>0</v>
      </c>
      <c r="F88" s="349" t="inlineStr">
        <is>
          <t>Net debt</t>
        </is>
      </c>
      <c r="G88" s="486">
        <f>H74</f>
        <v>0</v>
      </c>
      <c r="H88" s="354" t="e">
        <f>debt/totalcap</f>
        <v>#DIV/0!</v>
      </c>
      <c r="I88" s="478" t="n"/>
      <c r="J88" s="354" t="e">
        <f>IF(I88,I88,H88)</f>
        <v>#DIV/0!</v>
      </c>
      <c r="L88" s="487" t="n"/>
    </row>
    <row r="89" ht="12.75" customHeight="1" s="255">
      <c r="F89" s="349" t="inlineStr">
        <is>
          <t>Equity</t>
        </is>
      </c>
      <c r="G89" s="488" t="e">
        <f>L63*L79</f>
        <v>#DIV/0!</v>
      </c>
      <c r="H89" s="354" t="e">
        <f>1-H88</f>
        <v>#DIV/0!</v>
      </c>
      <c r="J89" s="354" t="e">
        <f>1-debt_weight</f>
        <v>#DIV/0!</v>
      </c>
    </row>
    <row r="90" ht="12.75" customHeight="1" s="255">
      <c r="C90" s="477" t="inlineStr">
        <is>
          <t>Cost of equity</t>
        </is>
      </c>
      <c r="D90" s="373" t="n"/>
      <c r="F90" s="349" t="inlineStr">
        <is>
          <t>Total</t>
        </is>
      </c>
      <c r="G90" s="483" t="e">
        <f>SUM(G88:G89)</f>
        <v>#DIV/0!</v>
      </c>
    </row>
    <row r="91" ht="12.75" customHeight="1" s="255">
      <c r="C91" s="422" t="inlineStr">
        <is>
          <t>Risk-Free Rate (rf)</t>
        </is>
      </c>
      <c r="D91" s="478" t="n"/>
      <c r="E91" s="489" t="n"/>
    </row>
    <row r="92" ht="12.75" customHeight="1" s="255">
      <c r="C92" s="422" t="inlineStr">
        <is>
          <t>Market Risk Premium (rm-rf)</t>
        </is>
      </c>
      <c r="D92" s="478" t="n"/>
      <c r="F92" s="477" t="inlineStr">
        <is>
          <t>Weighted average cost of capital</t>
        </is>
      </c>
      <c r="G92" s="373" t="n"/>
      <c r="H92" s="373" t="n"/>
      <c r="I92" s="373" t="n"/>
      <c r="J92" s="373" t="n"/>
    </row>
    <row r="93" ht="12.75" customHeight="1" s="255">
      <c r="C93" s="422" t="inlineStr">
        <is>
          <t>Raw (observed) beta</t>
        </is>
      </c>
      <c r="D93" s="490" t="n"/>
      <c r="F93" s="349" t="inlineStr">
        <is>
          <t>Weighted average cost of capital:</t>
        </is>
      </c>
      <c r="J93" s="354" t="e">
        <f>debt_weight*D88+J89*costequity</f>
        <v>#DIV/0!</v>
      </c>
    </row>
    <row r="94" ht="12.75" customHeight="1" s="255">
      <c r="C94" s="422" t="inlineStr">
        <is>
          <t>Cost of equity using relevered industry beta</t>
        </is>
      </c>
      <c r="D94" s="485" t="e">
        <f>risk_free_rate+relevered_beta*risk_premium</f>
        <v>#DIV/0!</v>
      </c>
      <c r="E94" s="360" t="n"/>
    </row>
    <row r="95" ht="12.75" customHeight="1" s="255">
      <c r="C95" s="422" t="n"/>
      <c r="D95" s="485" t="n"/>
      <c r="E95" s="360" t="n"/>
      <c r="G95" s="483" t="n"/>
    </row>
    <row r="96" ht="12.75" customHeight="1" s="255">
      <c r="C96" s="477" t="inlineStr">
        <is>
          <t>Industry beta calculation</t>
        </is>
      </c>
      <c r="D96" s="373" t="n"/>
      <c r="E96" s="373" t="n"/>
      <c r="F96" s="373" t="n"/>
      <c r="G96" s="373" t="n"/>
      <c r="H96" s="373" t="n"/>
      <c r="I96" s="373" t="n"/>
      <c r="J96" s="373" t="n"/>
      <c r="K96" s="373" t="n"/>
      <c r="L96" s="373" t="n"/>
      <c r="M96" s="373" t="n"/>
    </row>
    <row r="97" ht="25.5" customHeight="1" s="255">
      <c r="C97" s="491" t="inlineStr">
        <is>
          <t xml:space="preserve">Comps </t>
        </is>
      </c>
      <c r="D97" s="492" t="inlineStr">
        <is>
          <t>Raw beta</t>
        </is>
      </c>
      <c r="E97" s="492" t="inlineStr">
        <is>
          <t>Share price</t>
        </is>
      </c>
      <c r="F97" s="492" t="inlineStr">
        <is>
          <t>Shares</t>
        </is>
      </c>
      <c r="G97" s="492" t="inlineStr">
        <is>
          <t>Market cap.</t>
        </is>
      </c>
      <c r="H97" s="492" t="inlineStr">
        <is>
          <t>Debt</t>
        </is>
      </c>
      <c r="I97" s="492" t="inlineStr">
        <is>
          <t>D / E</t>
        </is>
      </c>
      <c r="J97" s="492" t="inlineStr">
        <is>
          <t>Tax rate</t>
        </is>
      </c>
      <c r="K97" s="492" t="inlineStr">
        <is>
          <t>Unl. Beta</t>
        </is>
      </c>
      <c r="L97" s="492" t="inlineStr">
        <is>
          <t>Weigh. Beta</t>
        </is>
      </c>
      <c r="M97" s="492" t="inlineStr">
        <is>
          <t>Relev. Beta</t>
        </is>
      </c>
    </row>
    <row r="98" ht="12.75" customHeight="1" s="255">
      <c r="C98" s="493">
        <f>ticker</f>
        <v>0.0</v>
      </c>
      <c r="D98" s="494">
        <f>beta_observed</f>
        <v>0</v>
      </c>
      <c r="E98" s="495">
        <f>L63</f>
        <v>0</v>
      </c>
      <c r="F98" s="405" t="e">
        <f>L79</f>
        <v>#DIV/0!</v>
      </c>
      <c r="G98" s="405" t="e">
        <f>E98*F98</f>
        <v>#DIV/0!</v>
      </c>
      <c r="H98" s="405">
        <f>debt</f>
        <v>0</v>
      </c>
      <c r="I98" s="496" t="e">
        <f>debt/market_equity</f>
        <v>#DIV/0!</v>
      </c>
      <c r="J98" s="496">
        <f>F24</f>
        <v>0.244290610472021</v>
      </c>
      <c r="K98" s="494" t="e">
        <f>D98/(1+(I98)*(1-J98))</f>
        <v>#DIV/0!</v>
      </c>
      <c r="L98" s="497" t="e">
        <f>K98*G98/$G$102</f>
        <v>#DIV/0!</v>
      </c>
    </row>
    <row r="99" ht="12.75" customHeight="1" s="255">
      <c r="C99" s="498" t="inlineStr">
        <is>
          <t>TICKER 2</t>
        </is>
      </c>
      <c r="D99" s="490" t="n"/>
      <c r="E99" s="499" t="n"/>
      <c r="F99" s="500" t="n"/>
      <c r="G99" s="405">
        <f>E99*F99</f>
        <v>0</v>
      </c>
      <c r="H99" s="500" t="n"/>
      <c r="I99" s="496" t="e">
        <f>H99/(F99*E99)</f>
        <v>#DIV/0!</v>
      </c>
      <c r="J99" s="501" t="n"/>
      <c r="K99" s="494" t="e">
        <f>D99/(1+(I99)*(1-J99))</f>
        <v>#DIV/0!</v>
      </c>
      <c r="L99" s="497" t="e">
        <f>K99*G99/$G$102</f>
        <v>#DIV/0!</v>
      </c>
    </row>
    <row r="100" ht="12.75" customHeight="1" s="255">
      <c r="C100" s="498" t="inlineStr">
        <is>
          <t>TICKER 3</t>
        </is>
      </c>
      <c r="D100" s="490" t="n"/>
      <c r="E100" s="499" t="n"/>
      <c r="F100" s="500" t="n"/>
      <c r="G100" s="405">
        <f>E100*F100</f>
        <v>0</v>
      </c>
      <c r="H100" s="500" t="n"/>
      <c r="I100" s="496" t="e">
        <f>H100/(F100*E100)</f>
        <v>#DIV/0!</v>
      </c>
      <c r="J100" s="501" t="n"/>
      <c r="K100" s="494" t="e">
        <f>D100/(1+(I100)*(1-J100))</f>
        <v>#DIV/0!</v>
      </c>
      <c r="L100" s="497" t="e">
        <f>K100*G100/$G$102</f>
        <v>#DIV/0!</v>
      </c>
    </row>
    <row r="101" ht="12.75" customHeight="1" s="255">
      <c r="C101" s="502" t="inlineStr">
        <is>
          <t>TICKER 4</t>
        </is>
      </c>
      <c r="D101" s="503" t="n"/>
      <c r="E101" s="504" t="n"/>
      <c r="F101" s="505" t="n"/>
      <c r="G101" s="391">
        <f>E101*F101</f>
        <v>0</v>
      </c>
      <c r="H101" s="505" t="n"/>
      <c r="I101" s="506" t="e">
        <f>H101/(F101*E101)</f>
        <v>#DIV/0!</v>
      </c>
      <c r="J101" s="507" t="n"/>
      <c r="K101" s="508" t="e">
        <f>D101/(1+(I101)*(1-J101))</f>
        <v>#DIV/0!</v>
      </c>
      <c r="L101" s="497" t="e">
        <f>K101*G101/$G$102</f>
        <v>#DIV/0!</v>
      </c>
      <c r="M101" s="509" t="n"/>
    </row>
    <row r="102" ht="12.75" customHeight="1" s="255">
      <c r="D102" s="494" t="n"/>
      <c r="E102" s="470" t="n"/>
      <c r="F102" s="426" t="n"/>
      <c r="G102" s="405" t="e">
        <f>SUM(G98:G101)</f>
        <v>#DIV/0!</v>
      </c>
      <c r="I102" s="494" t="n"/>
      <c r="J102" s="509" t="inlineStr">
        <is>
          <t>Average:</t>
        </is>
      </c>
      <c r="K102" s="510" t="e">
        <f>AVERAGE(K98:K101)</f>
        <v>#DIV/0!</v>
      </c>
      <c r="L102" s="510" t="e">
        <f>SUM(L98:L101)</f>
        <v>#DIV/0!</v>
      </c>
      <c r="M102" s="510" t="e">
        <f>L102*(1+(debt/market_equity)*(1-D87))</f>
        <v>#DIV/0!</v>
      </c>
    </row>
  </sheetData>
  <mergeCells count="6">
    <mergeCell ref="G15:L15"/>
    <mergeCell ref="M15:R15"/>
    <mergeCell ref="G14:V14"/>
    <mergeCell ref="G86:H86"/>
    <mergeCell ref="I86:J86"/>
    <mergeCell ref="S15:V1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:language xmlns:dc="http://purl.org/dc/elements/1.1/">en-US</dc:language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2026-10-14T12:09:52Z</dcterms:modified>
  <cp:lastModifiedBy>Lucas Nascimento</cp:lastModifiedBy>
  <cp:revision>0</cp:revision>
</cp:coreProperties>
</file>