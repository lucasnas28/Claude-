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_Fill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lType" hidden="1">TRUE</definedName>
    <definedName name="beta_observed">Valuation!$D$93</definedName>
    <definedName name="beta_observed_unlevered">#REF!</definedName>
    <definedName name="beta_unlev_comps">#REF!</definedName>
    <definedName name="BG_Del" hidden="1">15</definedName>
    <definedName name="BG_Ins" hidden="1">4</definedName>
    <definedName name="BG_Mod" hidden="1">6</definedName>
    <definedName name="cirkbreak">#REF!</definedName>
    <definedName name="costdebtfirm">#REF!</definedName>
    <definedName name="costequity">#REF!</definedName>
    <definedName name="Debt">#REF!</definedName>
    <definedName name="debt_weight">#REF!</definedName>
    <definedName name="GrpAcct1" hidden="1">"5611"</definedName>
    <definedName name="GrpAcct2" hidden="1">"5612"</definedName>
    <definedName name="GrpLevel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ast_close">Valuation!$G$7</definedName>
    <definedName name="Market_Equity">#REF!</definedName>
    <definedName name="midyear">#REF!</definedName>
    <definedName name="Net_Debt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ange">#REF!</definedName>
    <definedName name="relevered_beta">#REF!</definedName>
    <definedName name="risk_free_rate">#REF!</definedName>
    <definedName name="risk_premium">#REF!</definedName>
    <definedName name="RowLevel" hidden="1">1</definedName>
    <definedName name="Stub_year_fraction">#REF!</definedName>
    <definedName name="TBdbName" hidden="1">"88D5BF544BE111D2B8C5006097494125.mdb"</definedName>
    <definedName name="TextRefCopyRangeCount" hidden="1">68</definedName>
    <definedName name="ticker">Valuation!$D$7</definedName>
    <definedName name="totalcap">#REF!</definedName>
    <definedName name="Useful_Life_of_Depreciable_PP_E">"PPElife"</definedName>
    <definedName name="wacc">#REF!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</definedNames>
  <calcPr calcId="191029" fullCalcOnLoad="1"/>
</workbook>
</file>

<file path=xl/styles.xml><?xml version="1.0" encoding="utf-8"?>
<styleSheet xmlns="http://schemas.openxmlformats.org/spreadsheetml/2006/main">
  <numFmts count="27">
    <numFmt numFmtId="164" formatCode="#,##0.0_);[Red]\(#,##0.0\)"/>
    <numFmt numFmtId="165" formatCode="[$-409]d\-mmm;@"/>
    <numFmt numFmtId="166" formatCode="[$-416]d\-mmm"/>
    <numFmt numFmtId="167" formatCode="[$-409]d\-mmm"/>
    <numFmt numFmtId="168" formatCode="#,##0_ ;[Red]\-#,##0\ "/>
    <numFmt numFmtId="169" formatCode="#,##0.0_ ;[Red]\-#,##0.0\ "/>
    <numFmt numFmtId="170" formatCode="0.0%"/>
    <numFmt numFmtId="171" formatCode="#,##0.0;[Red]#,##0.0"/>
    <numFmt numFmtId="172" formatCode="[$-409]d\-mmm\-yy;@"/>
    <numFmt numFmtId="173" formatCode="[$BRL]\ #,##0.00_);[Red]\([$BRL]\ #,##0.00\)"/>
    <numFmt numFmtId="174" formatCode="#,##0.0_);\(#,##0.0\)"/>
    <numFmt numFmtId="175" formatCode="#,##0.000_);\(#,##0.000\)"/>
    <numFmt numFmtId="176" formatCode="&quot;R$&quot;\ #,##0.00"/>
    <numFmt numFmtId="177" formatCode="#,##0.0\x"/>
    <numFmt numFmtId="178" formatCode="&quot;$&quot;#,##0.00_);\(&quot;$&quot;#,##0.00\)"/>
    <numFmt numFmtId="179" formatCode="#,##0.000_);[Red]\(#,##0.000\)"/>
    <numFmt numFmtId="180" formatCode="0.0\x"/>
    <numFmt numFmtId="181" formatCode="&quot;$&quot;#,##0.00_);[Red]\(&quot;$&quot;#,##0.00\)"/>
    <numFmt numFmtId="182" formatCode="&quot;$&quot;#,##0.0_);\(&quot;$&quot;#,##0.0\)"/>
    <numFmt numFmtId="183" formatCode="0.0%;\(0.0%\)"/>
    <numFmt numFmtId="184" formatCode="0.000"/>
    <numFmt numFmtId="185" formatCode="0.0"/>
    <numFmt numFmtId="186" formatCode="dd/mm/yyyy"/>
    <numFmt numFmtId="187" formatCode="#,##0;(#,##0)"/>
    <numFmt numFmtId="188" formatCode="0.00;(0.00)"/>
    <numFmt numFmtId="189" formatCode="_(&quot;$&quot;* #,##0.00_);_(&quot;$&quot;* \(#,##0.00\);_(&quot;$&quot;* &quot;-&quot;??_);_(@_)"/>
    <numFmt numFmtId="190" formatCode="0_);\(0\)"/>
  </numFmts>
  <fonts count="2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color theme="1"/>
      <sz val="10"/>
    </font>
    <font>
      <name val="Arial"/>
      <family val="2"/>
      <sz val="10"/>
    </font>
    <font>
      <name val="Verdana"/>
      <family val="2"/>
      <b val="1"/>
      <color theme="1"/>
      <sz val="10"/>
    </font>
    <font>
      <name val="Verdana"/>
      <family val="2"/>
      <color rgb="FF0000FF"/>
      <sz val="10"/>
    </font>
    <font>
      <name val="Verdana"/>
      <family val="2"/>
      <b val="1"/>
      <color rgb="FFFFFFFF"/>
      <sz val="10"/>
    </font>
    <font>
      <name val="Calibri"/>
      <family val="2"/>
      <color indexed="8"/>
      <sz val="11"/>
    </font>
    <font>
      <name val="Verdana"/>
      <family val="2"/>
      <sz val="10"/>
    </font>
    <font>
      <name val="Verdana"/>
      <family val="2"/>
      <b val="1"/>
      <color theme="0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Arial"/>
      <family val="2"/>
      <b val="1"/>
      <sz val="8"/>
    </font>
    <font>
      <name val="Verdana"/>
      <family val="2"/>
      <color indexed="12"/>
      <sz val="10"/>
    </font>
    <font>
      <name val="Verdana"/>
      <family val="2"/>
      <b val="1"/>
      <sz val="10"/>
    </font>
    <font>
      <name val="Verdana"/>
      <family val="2"/>
      <b val="1"/>
      <color theme="0" tint="-0.0499893185216834"/>
      <sz val="10"/>
    </font>
    <font>
      <name val="Arial"/>
      <family val="2"/>
      <b val="1"/>
      <color indexed="63"/>
      <sz val="10"/>
    </font>
    <font>
      <name val="Verdana"/>
      <family val="2"/>
      <b val="1"/>
      <color indexed="63"/>
      <sz val="10"/>
    </font>
    <font>
      <name val="Verdana"/>
      <family val="2"/>
      <b val="1"/>
      <color indexed="12"/>
      <sz val="10"/>
    </font>
    <font>
      <name val="Verdana"/>
      <family val="2"/>
      <sz val="10"/>
      <u val="single"/>
    </font>
    <font>
      <name val="Verdana"/>
      <family val="2"/>
      <color indexed="17"/>
      <sz val="10"/>
    </font>
    <font>
      <name val="Arial"/>
      <family val="2"/>
      <sz val="8"/>
    </font>
    <font>
      <name val="Verdana"/>
      <family val="2"/>
      <i val="1"/>
      <color theme="1"/>
      <sz val="10"/>
    </font>
    <font>
      <b val="1"/>
    </font>
    <font>
      <name val="Verdana"/>
      <color rgb="FF808080"/>
      <sz val="10"/>
    </font>
    <font>
      <color rgb="FF808080"/>
    </font>
  </fonts>
  <fills count="1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64"/>
      </bottom>
      <diagonal/>
    </border>
    <border>
      <left style="thin">
        <color indexed="13"/>
      </left>
      <right/>
      <top/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1" fillId="0" borderId="0"/>
    <xf numFmtId="9" fontId="1" fillId="0" borderId="0"/>
    <xf numFmtId="43" fontId="7" fillId="0" borderId="0"/>
    <xf numFmtId="0" fontId="3" fillId="0" borderId="0"/>
    <xf numFmtId="14" fontId="12" fillId="0" borderId="3"/>
    <xf numFmtId="0" fontId="2" fillId="0" borderId="0"/>
    <xf numFmtId="9" fontId="2" fillId="0" borderId="0"/>
    <xf numFmtId="0" fontId="16" fillId="15" borderId="16"/>
    <xf numFmtId="189" fontId="3" fillId="0" borderId="0"/>
    <xf numFmtId="190" fontId="21" fillId="0" borderId="0"/>
  </cellStyleXfs>
  <cellXfs count="265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1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1"/>
    <xf numFmtId="164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6" fontId="4" fillId="3" borderId="0" applyAlignment="1" pivotButton="0" quotePrefix="0" xfId="2">
      <alignment horizontal="center"/>
    </xf>
    <xf numFmtId="167" fontId="5" fillId="4" borderId="0" applyAlignment="1" pivotButton="0" quotePrefix="0" xfId="2">
      <alignment horizontal="center"/>
    </xf>
    <xf numFmtId="166" fontId="2" fillId="3" borderId="0" applyAlignment="1" pivotButton="0" quotePrefix="0" xfId="2">
      <alignment horizontal="center"/>
    </xf>
    <xf numFmtId="168" fontId="2" fillId="0" borderId="0" applyAlignment="1" pivotButton="0" quotePrefix="0" xfId="2">
      <alignment horizontal="center"/>
    </xf>
    <xf numFmtId="0" fontId="6" fillId="6" borderId="0" applyAlignment="1" pivotButton="0" quotePrefix="0" xfId="1">
      <alignment horizontal="left"/>
    </xf>
    <xf numFmtId="0" fontId="4" fillId="0" borderId="0" applyAlignment="1" pivotButton="0" quotePrefix="0" xfId="0">
      <alignment horizontal="center"/>
    </xf>
    <xf numFmtId="0" fontId="4" fillId="3" borderId="0" pivotButton="0" quotePrefix="0" xfId="1"/>
    <xf numFmtId="164" fontId="4" fillId="7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pivotButton="0" quotePrefix="0" xfId="1"/>
    <xf numFmtId="164" fontId="4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4" fillId="8" borderId="0" pivotButton="0" quotePrefix="0" xfId="0"/>
    <xf numFmtId="169" fontId="2" fillId="3" borderId="0" applyAlignment="1" pivotButton="0" quotePrefix="0" xfId="1">
      <alignment horizontal="left"/>
    </xf>
    <xf numFmtId="164" fontId="2" fillId="7" borderId="0" applyAlignment="1" pivotButton="0" quotePrefix="0" xfId="0">
      <alignment horizontal="center"/>
    </xf>
    <xf numFmtId="0" fontId="2" fillId="3" borderId="0" applyAlignment="1" pivotButton="0" quotePrefix="0" xfId="1">
      <alignment horizontal="left"/>
    </xf>
    <xf numFmtId="0" fontId="4" fillId="3" borderId="0" applyAlignment="1" pivotButton="0" quotePrefix="0" xfId="1">
      <alignment horizontal="left"/>
    </xf>
    <xf numFmtId="0" fontId="2" fillId="3" borderId="1" applyAlignment="1" pivotButton="0" quotePrefix="0" xfId="1">
      <alignment horizontal="left"/>
    </xf>
    <xf numFmtId="0" fontId="2" fillId="3" borderId="0" pivotButton="0" quotePrefix="0" xfId="1"/>
    <xf numFmtId="0" fontId="2" fillId="3" borderId="1" pivotButton="0" quotePrefix="0" xfId="1"/>
    <xf numFmtId="0" fontId="4" fillId="5" borderId="0" applyAlignment="1" pivotButton="0" quotePrefix="0" xfId="2">
      <alignment horizontal="center"/>
    </xf>
    <xf numFmtId="169" fontId="2" fillId="0" borderId="0" applyAlignment="1" pivotButton="0" quotePrefix="0" xfId="1">
      <alignment horizontal="left"/>
    </xf>
    <xf numFmtId="170" fontId="2" fillId="9" borderId="0" pivotButton="0" quotePrefix="0" xfId="1"/>
    <xf numFmtId="0" fontId="2" fillId="0" borderId="0" applyAlignment="1" pivotButton="0" quotePrefix="0" xfId="1">
      <alignment horizontal="left"/>
    </xf>
    <xf numFmtId="168" fontId="5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/>
    </xf>
    <xf numFmtId="0" fontId="2" fillId="9" borderId="0" applyAlignment="1" pivotButton="0" quotePrefix="0" xfId="1">
      <alignment horizontal="left"/>
    </xf>
    <xf numFmtId="0" fontId="2" fillId="8" borderId="0" pivotButton="0" quotePrefix="0" xfId="0"/>
    <xf numFmtId="170" fontId="2" fillId="0" borderId="0" applyAlignment="1" pivotButton="0" quotePrefix="0" xfId="0">
      <alignment horizontal="center"/>
    </xf>
    <xf numFmtId="169" fontId="2" fillId="9" borderId="0" applyAlignment="1" pivotButton="0" quotePrefix="0" xfId="1">
      <alignment horizontal="left"/>
    </xf>
    <xf numFmtId="40" fontId="2" fillId="0" borderId="0" applyAlignment="1" pivotButton="0" quotePrefix="0" xfId="0">
      <alignment horizontal="center"/>
    </xf>
    <xf numFmtId="38" fontId="2" fillId="0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70" fontId="5" fillId="4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9" fontId="2" fillId="8" borderId="0" applyAlignment="1" pivotButton="0" quotePrefix="0" xfId="3">
      <alignment horizontal="center"/>
    </xf>
    <xf numFmtId="9" fontId="2" fillId="0" borderId="0" applyAlignment="1" pivotButton="0" quotePrefix="0" xfId="3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center"/>
    </xf>
    <xf numFmtId="171" fontId="2" fillId="0" borderId="0" pivotButton="0" quotePrefix="0" xfId="0"/>
    <xf numFmtId="0" fontId="8" fillId="9" borderId="0" applyAlignment="1" pivotButton="0" quotePrefix="0" xfId="1">
      <alignment horizontal="left"/>
    </xf>
    <xf numFmtId="0" fontId="9" fillId="10" borderId="0" pivotButton="0" quotePrefix="0" xfId="0"/>
    <xf numFmtId="170" fontId="2" fillId="8" borderId="0" applyAlignment="1" pivotButton="0" quotePrefix="0" xfId="3">
      <alignment horizontal="center"/>
    </xf>
    <xf numFmtId="170" fontId="5" fillId="4" borderId="0" applyAlignment="1" pivotButton="0" quotePrefix="0" xfId="3">
      <alignment horizontal="center"/>
    </xf>
    <xf numFmtId="170" fontId="2" fillId="0" borderId="0" applyAlignment="1" pivotButton="0" quotePrefix="0" xfId="3">
      <alignment horizontal="center"/>
    </xf>
    <xf numFmtId="170" fontId="2" fillId="9" borderId="0" applyAlignment="1" pivotButton="0" quotePrefix="0" xfId="1">
      <alignment horizontal="left"/>
    </xf>
    <xf numFmtId="0" fontId="11" fillId="0" borderId="0" pivotButton="0" quotePrefix="0" xfId="5"/>
    <xf numFmtId="0" fontId="8" fillId="0" borderId="0" pivotButton="0" quotePrefix="0" xfId="5"/>
    <xf numFmtId="0" fontId="8" fillId="0" borderId="2" pivotButton="0" quotePrefix="0" xfId="5"/>
    <xf numFmtId="172" fontId="13" fillId="2" borderId="4" applyAlignment="1" pivotButton="0" quotePrefix="0" xfId="6">
      <alignment horizontal="center"/>
    </xf>
    <xf numFmtId="173" fontId="5" fillId="2" borderId="0" applyAlignment="1" pivotButton="0" quotePrefix="0" xfId="5">
      <alignment horizontal="center"/>
    </xf>
    <xf numFmtId="170" fontId="8" fillId="0" borderId="0" applyAlignment="1" pivotButton="0" quotePrefix="0" xfId="5">
      <alignment horizontal="right"/>
    </xf>
    <xf numFmtId="172" fontId="13" fillId="2" borderId="4" applyAlignment="1" pivotButton="0" quotePrefix="0" xfId="6">
      <alignment horizontal="right"/>
    </xf>
    <xf numFmtId="170" fontId="8" fillId="0" borderId="0" applyAlignment="1" pivotButton="0" quotePrefix="0" xfId="5">
      <alignment horizontal="center"/>
    </xf>
    <xf numFmtId="174" fontId="13" fillId="0" borderId="0" applyAlignment="1" pivotButton="0" quotePrefix="0" xfId="5">
      <alignment horizontal="center"/>
    </xf>
    <xf numFmtId="175" fontId="8" fillId="0" borderId="0" applyAlignment="1" pivotButton="0" quotePrefix="0" xfId="5">
      <alignment horizontal="center"/>
    </xf>
    <xf numFmtId="0" fontId="14" fillId="0" borderId="0" pivotButton="0" quotePrefix="0" xfId="5"/>
    <xf numFmtId="176" fontId="8" fillId="0" borderId="0" pivotButton="0" quotePrefix="0" xfId="5"/>
    <xf numFmtId="0" fontId="4" fillId="11" borderId="0" pivotButton="0" quotePrefix="0" xfId="5"/>
    <xf numFmtId="0" fontId="4" fillId="11" borderId="3" pivotButton="0" quotePrefix="0" xfId="5"/>
    <xf numFmtId="0" fontId="9" fillId="12" borderId="3" applyAlignment="1" pivotButton="0" quotePrefix="0" xfId="5">
      <alignment horizontal="centerContinuous"/>
    </xf>
    <xf numFmtId="0" fontId="10" fillId="12" borderId="3" applyAlignment="1" pivotButton="0" quotePrefix="0" xfId="5">
      <alignment horizontal="centerContinuous"/>
    </xf>
    <xf numFmtId="0" fontId="9" fillId="13" borderId="3" applyAlignment="1" pivotButton="0" quotePrefix="0" xfId="5">
      <alignment horizontal="centerContinuous"/>
    </xf>
    <xf numFmtId="0" fontId="10" fillId="13" borderId="3" applyAlignment="1" pivotButton="0" quotePrefix="0" xfId="5">
      <alignment horizontal="centerContinuous"/>
    </xf>
    <xf numFmtId="0" fontId="14" fillId="0" borderId="0" applyAlignment="1" pivotButton="0" quotePrefix="0" xfId="5">
      <alignment horizontal="center"/>
    </xf>
    <xf numFmtId="0" fontId="8" fillId="0" borderId="0" applyAlignment="1" pivotButton="0" quotePrefix="0" xfId="5">
      <alignment horizontal="center"/>
    </xf>
    <xf numFmtId="1" fontId="14" fillId="0" borderId="0" applyAlignment="1" pivotButton="0" quotePrefix="0" xfId="5">
      <alignment horizontal="center"/>
    </xf>
    <xf numFmtId="0" fontId="8" fillId="0" borderId="3" pivotButton="0" quotePrefix="0" xfId="5"/>
    <xf numFmtId="165" fontId="8" fillId="0" borderId="3" applyAlignment="1" pivotButton="0" quotePrefix="0" xfId="5">
      <alignment horizontal="center"/>
    </xf>
    <xf numFmtId="165" fontId="8" fillId="0" borderId="0" applyAlignment="1" pivotButton="0" quotePrefix="0" xfId="5">
      <alignment horizontal="center"/>
    </xf>
    <xf numFmtId="0" fontId="8" fillId="0" borderId="5" pivotButton="0" quotePrefix="0" xfId="5"/>
    <xf numFmtId="174" fontId="8" fillId="14" borderId="6" applyAlignment="1" pivotButton="0" quotePrefix="0" xfId="5">
      <alignment horizontal="center"/>
    </xf>
    <xf numFmtId="174" fontId="8" fillId="14" borderId="7" applyAlignment="1" pivotButton="0" quotePrefix="0" xfId="5">
      <alignment horizontal="center"/>
    </xf>
    <xf numFmtId="170" fontId="14" fillId="0" borderId="0" applyAlignment="1" pivotButton="0" quotePrefix="0" xfId="8">
      <alignment horizontal="center"/>
    </xf>
    <xf numFmtId="0" fontId="8" fillId="0" borderId="8" pivotButton="0" quotePrefix="0" xfId="5"/>
    <xf numFmtId="170" fontId="14" fillId="0" borderId="3" applyAlignment="1" pivotButton="0" quotePrefix="0" xfId="8">
      <alignment horizontal="center"/>
    </xf>
    <xf numFmtId="170" fontId="14" fillId="0" borderId="9" applyAlignment="1" pivotButton="0" quotePrefix="0" xfId="8">
      <alignment horizontal="center"/>
    </xf>
    <xf numFmtId="174" fontId="8" fillId="0" borderId="5" pivotButton="0" quotePrefix="0" xfId="5"/>
    <xf numFmtId="0" fontId="8" fillId="0" borderId="6" pivotButton="0" quotePrefix="0" xfId="5"/>
    <xf numFmtId="0" fontId="8" fillId="0" borderId="7" pivotButton="0" quotePrefix="0" xfId="5"/>
    <xf numFmtId="170" fontId="8" fillId="0" borderId="3" applyAlignment="1" pivotButton="0" quotePrefix="0" xfId="8">
      <alignment horizontal="center"/>
    </xf>
    <xf numFmtId="0" fontId="8" fillId="0" borderId="9" pivotButton="0" quotePrefix="0" xfId="5"/>
    <xf numFmtId="170" fontId="8" fillId="0" borderId="9" applyAlignment="1" pivotButton="0" quotePrefix="0" xfId="8">
      <alignment horizontal="center"/>
    </xf>
    <xf numFmtId="170" fontId="8" fillId="14" borderId="6" applyAlignment="1" pivotButton="0" quotePrefix="0" xfId="5">
      <alignment horizontal="center"/>
    </xf>
    <xf numFmtId="170" fontId="8" fillId="14" borderId="7" applyAlignment="1" pivotButton="0" quotePrefix="0" xfId="5">
      <alignment horizontal="center"/>
    </xf>
    <xf numFmtId="174" fontId="8" fillId="0" borderId="3" applyAlignment="1" pivotButton="0" quotePrefix="0" xfId="5">
      <alignment horizontal="center"/>
    </xf>
    <xf numFmtId="174" fontId="8" fillId="0" borderId="9" applyAlignment="1" pivotButton="0" quotePrefix="0" xfId="5">
      <alignment horizontal="center"/>
    </xf>
    <xf numFmtId="174" fontId="8" fillId="0" borderId="10" applyAlignment="1" pivotButton="0" quotePrefix="0" xfId="5">
      <alignment horizontal="left"/>
    </xf>
    <xf numFmtId="174" fontId="8" fillId="14" borderId="11" applyAlignment="1" pivotButton="0" quotePrefix="0" xfId="5">
      <alignment horizontal="center"/>
    </xf>
    <xf numFmtId="174" fontId="8" fillId="14" borderId="12" applyAlignment="1" pivotButton="0" quotePrefix="0" xfId="5">
      <alignment horizontal="center"/>
    </xf>
    <xf numFmtId="174" fontId="8" fillId="0" borderId="5" applyAlignment="1" pivotButton="0" quotePrefix="0" xfId="5">
      <alignment horizontal="left"/>
    </xf>
    <xf numFmtId="174" fontId="8" fillId="0" borderId="6" applyAlignment="1" pivotButton="0" quotePrefix="0" xfId="5">
      <alignment horizontal="center"/>
    </xf>
    <xf numFmtId="174" fontId="8" fillId="0" borderId="7" applyAlignment="1" pivotButton="0" quotePrefix="0" xfId="5">
      <alignment horizontal="center"/>
    </xf>
    <xf numFmtId="174" fontId="8" fillId="0" borderId="13" applyAlignment="1" pivotButton="0" quotePrefix="0" xfId="5">
      <alignment horizontal="left"/>
    </xf>
    <xf numFmtId="174" fontId="8" fillId="14" borderId="0" applyAlignment="1" pivotButton="0" quotePrefix="0" xfId="5">
      <alignment horizontal="center"/>
    </xf>
    <xf numFmtId="174" fontId="8" fillId="14" borderId="14" applyAlignment="1" pivotButton="0" quotePrefix="0" xfId="5">
      <alignment horizontal="center"/>
    </xf>
    <xf numFmtId="174" fontId="8" fillId="0" borderId="8" applyAlignment="1" pivotButton="0" quotePrefix="0" xfId="5">
      <alignment horizontal="left"/>
    </xf>
    <xf numFmtId="174" fontId="8" fillId="14" borderId="3" applyAlignment="1" pivotButton="0" quotePrefix="0" xfId="5">
      <alignment horizontal="center"/>
    </xf>
    <xf numFmtId="174" fontId="8" fillId="14" borderId="9" applyAlignment="1" pivotButton="0" quotePrefix="0" xfId="5">
      <alignment horizontal="center"/>
    </xf>
    <xf numFmtId="174" fontId="8" fillId="0" borderId="0" applyAlignment="1" pivotButton="0" quotePrefix="0" xfId="5">
      <alignment horizontal="center"/>
    </xf>
    <xf numFmtId="174" fontId="8" fillId="0" borderId="15" applyAlignment="1" pivotButton="0" quotePrefix="0" xfId="5">
      <alignment horizontal="center"/>
    </xf>
    <xf numFmtId="0" fontId="8" fillId="0" borderId="13" pivotButton="0" quotePrefix="0" xfId="5"/>
    <xf numFmtId="0" fontId="8" fillId="0" borderId="14" pivotButton="0" quotePrefix="0" xfId="5"/>
    <xf numFmtId="174" fontId="2" fillId="0" borderId="0" applyAlignment="1" pivotButton="0" quotePrefix="0" xfId="5">
      <alignment horizontal="center"/>
    </xf>
    <xf numFmtId="174" fontId="2" fillId="0" borderId="14" applyAlignment="1" pivotButton="0" quotePrefix="0" xfId="5">
      <alignment horizontal="center"/>
    </xf>
    <xf numFmtId="170" fontId="5" fillId="2" borderId="3" applyAlignment="1" pivotButton="0" quotePrefix="0" xfId="8">
      <alignment horizontal="center"/>
    </xf>
    <xf numFmtId="170" fontId="5" fillId="2" borderId="9" applyAlignment="1" pivotButton="0" quotePrefix="0" xfId="8">
      <alignment horizontal="center"/>
    </xf>
    <xf numFmtId="0" fontId="14" fillId="0" borderId="10" pivotButton="0" quotePrefix="0" xfId="5"/>
    <xf numFmtId="170" fontId="14" fillId="14" borderId="11" applyAlignment="1" pivotButton="0" quotePrefix="0" xfId="5">
      <alignment horizontal="center"/>
    </xf>
    <xf numFmtId="170" fontId="14" fillId="0" borderId="11" applyAlignment="1" pivotButton="0" quotePrefix="0" xfId="8">
      <alignment horizontal="center"/>
    </xf>
    <xf numFmtId="170" fontId="14" fillId="0" borderId="12" applyAlignment="1" pivotButton="0" quotePrefix="0" xfId="8">
      <alignment horizontal="center"/>
    </xf>
    <xf numFmtId="170" fontId="14" fillId="0" borderId="0" applyAlignment="1" pivotButton="0" quotePrefix="0" xfId="5">
      <alignment horizontal="center"/>
    </xf>
    <xf numFmtId="177" fontId="8" fillId="0" borderId="0" applyAlignment="1" pivotButton="0" quotePrefix="0" xfId="7">
      <alignment horizontal="center" vertical="center"/>
    </xf>
    <xf numFmtId="174" fontId="14" fillId="0" borderId="0" applyAlignment="1" pivotButton="0" quotePrefix="0" xfId="5">
      <alignment horizontal="center"/>
    </xf>
    <xf numFmtId="174" fontId="17" fillId="0" borderId="16" applyAlignment="1" pivotButton="0" quotePrefix="0" xfId="9">
      <alignment horizontal="center"/>
    </xf>
    <xf numFmtId="0" fontId="8" fillId="0" borderId="0" applyAlignment="1" pivotButton="0" quotePrefix="0" xfId="5">
      <alignment horizontal="left" indent="1"/>
    </xf>
    <xf numFmtId="40" fontId="8" fillId="0" borderId="0" applyAlignment="1" pivotButton="0" quotePrefix="0" xfId="5">
      <alignment horizontal="center"/>
    </xf>
    <xf numFmtId="40" fontId="17" fillId="0" borderId="16" applyAlignment="1" pivotButton="0" quotePrefix="0" xfId="9">
      <alignment horizontal="center"/>
    </xf>
    <xf numFmtId="10" fontId="8" fillId="0" borderId="0" pivotButton="0" quotePrefix="0" xfId="5"/>
    <xf numFmtId="174" fontId="14" fillId="0" borderId="0" pivotButton="0" quotePrefix="0" xfId="5"/>
    <xf numFmtId="175" fontId="8" fillId="0" borderId="0" pivotButton="0" quotePrefix="0" xfId="5"/>
    <xf numFmtId="0" fontId="4" fillId="11" borderId="5" pivotButton="0" quotePrefix="0" xfId="5"/>
    <xf numFmtId="170" fontId="2" fillId="11" borderId="7" applyAlignment="1" pivotButton="0" quotePrefix="0" xfId="5">
      <alignment horizontal="center"/>
    </xf>
    <xf numFmtId="0" fontId="4" fillId="11" borderId="6" pivotButton="0" quotePrefix="0" xfId="5"/>
    <xf numFmtId="0" fontId="2" fillId="11" borderId="6" pivotButton="0" quotePrefix="0" xfId="5"/>
    <xf numFmtId="0" fontId="4" fillId="11" borderId="17" pivotButton="0" quotePrefix="0" xfId="5"/>
    <xf numFmtId="170" fontId="2" fillId="11" borderId="18" applyAlignment="1" pivotButton="0" quotePrefix="0" xfId="5">
      <alignment horizontal="center"/>
    </xf>
    <xf numFmtId="0" fontId="2" fillId="11" borderId="18" pivotButton="0" quotePrefix="0" xfId="5"/>
    <xf numFmtId="0" fontId="2" fillId="11" borderId="19" pivotButton="0" quotePrefix="0" xfId="5"/>
    <xf numFmtId="0" fontId="14" fillId="0" borderId="13" applyAlignment="1" pivotButton="0" quotePrefix="0" xfId="5">
      <alignment horizontal="left" indent="1"/>
    </xf>
    <xf numFmtId="174" fontId="8" fillId="0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left" indent="1"/>
    </xf>
    <xf numFmtId="0" fontId="8" fillId="0" borderId="13" applyAlignment="1" pivotButton="0" quotePrefix="0" xfId="5">
      <alignment horizontal="left" indent="1"/>
    </xf>
    <xf numFmtId="174" fontId="2" fillId="14" borderId="14" applyAlignment="1" pivotButton="0" quotePrefix="0" xfId="5">
      <alignment horizontal="center"/>
    </xf>
    <xf numFmtId="170" fontId="18" fillId="2" borderId="14" applyAlignment="1" pivotButton="0" quotePrefix="0" xfId="5">
      <alignment horizontal="center"/>
    </xf>
    <xf numFmtId="0" fontId="19" fillId="0" borderId="0" applyAlignment="1" pivotButton="0" quotePrefix="0" xfId="5">
      <alignment horizontal="left" indent="1"/>
    </xf>
    <xf numFmtId="178" fontId="2" fillId="14" borderId="14" applyAlignment="1" pivotButton="0" quotePrefix="0" xfId="6">
      <alignment horizontal="center"/>
    </xf>
    <xf numFmtId="170" fontId="4" fillId="0" borderId="20" applyAlignment="1" pivotButton="0" quotePrefix="0" xfId="0">
      <alignment horizontal="center"/>
    </xf>
    <xf numFmtId="0" fontId="8" fillId="0" borderId="3" applyAlignment="1" pivotButton="0" quotePrefix="0" xfId="5">
      <alignment horizontal="left" indent="1"/>
    </xf>
    <xf numFmtId="0" fontId="8" fillId="0" borderId="9" applyAlignment="1" pivotButton="0" quotePrefix="0" xfId="5">
      <alignment horizontal="right" indent="1"/>
    </xf>
    <xf numFmtId="174" fontId="14" fillId="0" borderId="14" applyAlignment="1" pivotButton="0" quotePrefix="0" xfId="5">
      <alignment horizontal="center"/>
    </xf>
    <xf numFmtId="0" fontId="8" fillId="0" borderId="3" applyAlignment="1" pivotButton="0" quotePrefix="0" xfId="5">
      <alignment horizontal="right"/>
    </xf>
    <xf numFmtId="179" fontId="13" fillId="2" borderId="21" pivotButton="0" quotePrefix="0" xfId="5"/>
    <xf numFmtId="178" fontId="13" fillId="2" borderId="22" pivotButton="0" quotePrefix="0" xfId="10"/>
    <xf numFmtId="175" fontId="8" fillId="0" borderId="14" applyAlignment="1" pivotButton="0" quotePrefix="0" xfId="5">
      <alignment horizontal="right" indent="1"/>
    </xf>
    <xf numFmtId="179" fontId="13" fillId="2" borderId="23" pivotButton="0" quotePrefix="0" xfId="5"/>
    <xf numFmtId="178" fontId="13" fillId="2" borderId="24" pivotButton="0" quotePrefix="0" xfId="10"/>
    <xf numFmtId="174" fontId="8" fillId="0" borderId="14" applyAlignment="1" pivotButton="0" quotePrefix="0" xfId="5">
      <alignment horizontal="center"/>
    </xf>
    <xf numFmtId="179" fontId="13" fillId="2" borderId="25" pivotButton="0" quotePrefix="0" xfId="5"/>
    <xf numFmtId="178" fontId="13" fillId="2" borderId="26" pivotButton="0" quotePrefix="0" xfId="10"/>
    <xf numFmtId="175" fontId="8" fillId="0" borderId="9" applyAlignment="1" pivotButton="0" quotePrefix="0" xfId="5">
      <alignment horizontal="right" indent="1"/>
    </xf>
    <xf numFmtId="180" fontId="13" fillId="2" borderId="14" applyAlignment="1" pivotButton="0" quotePrefix="0" xfId="5">
      <alignment horizontal="center"/>
    </xf>
    <xf numFmtId="181" fontId="8" fillId="0" borderId="0" applyAlignment="1" pivotButton="0" quotePrefix="0" xfId="5">
      <alignment horizontal="right"/>
    </xf>
    <xf numFmtId="182" fontId="8" fillId="0" borderId="14" applyAlignment="1" pivotButton="0" quotePrefix="0" xfId="5">
      <alignment horizontal="right" indent="1"/>
    </xf>
    <xf numFmtId="0" fontId="8" fillId="0" borderId="0" applyAlignment="1" pivotButton="0" quotePrefix="0" xfId="5">
      <alignment horizontal="right"/>
    </xf>
    <xf numFmtId="174" fontId="20" fillId="0" borderId="0" pivotButton="0" quotePrefix="0" xfId="5"/>
    <xf numFmtId="174" fontId="8" fillId="0" borderId="14" pivotButton="0" quotePrefix="0" xfId="5"/>
    <xf numFmtId="178" fontId="14" fillId="0" borderId="27" applyAlignment="1" pivotButton="0" quotePrefix="0" xfId="5">
      <alignment horizontal="center"/>
    </xf>
    <xf numFmtId="179" fontId="13" fillId="2" borderId="28" applyAlignment="1" pivotButton="0" quotePrefix="0" xfId="5">
      <alignment horizontal="right" indent="1"/>
    </xf>
    <xf numFmtId="0" fontId="8" fillId="0" borderId="14" applyAlignment="1" pivotButton="0" quotePrefix="0" xfId="5">
      <alignment horizontal="right" indent="1"/>
    </xf>
    <xf numFmtId="178" fontId="14" fillId="0" borderId="14" applyAlignment="1" pivotButton="0" quotePrefix="0" xfId="5">
      <alignment horizontal="center"/>
    </xf>
    <xf numFmtId="179" fontId="13" fillId="2" borderId="29" applyAlignment="1" pivotButton="0" quotePrefix="0" xfId="5">
      <alignment horizontal="right" indent="1"/>
    </xf>
    <xf numFmtId="37" fontId="13" fillId="2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right"/>
    </xf>
    <xf numFmtId="174" fontId="14" fillId="0" borderId="14" applyAlignment="1" pivotButton="0" quotePrefix="0" xfId="11">
      <alignment horizontal="right" indent="1"/>
    </xf>
    <xf numFmtId="0" fontId="8" fillId="0" borderId="8" applyAlignment="1" pivotButton="0" quotePrefix="0" xfId="5">
      <alignment horizontal="left" indent="1"/>
    </xf>
    <xf numFmtId="170" fontId="8" fillId="0" borderId="9" applyAlignment="1" pivotButton="0" quotePrefix="0" xfId="5">
      <alignment horizontal="right" indent="1"/>
    </xf>
    <xf numFmtId="0" fontId="4" fillId="11" borderId="2" pivotButton="0" quotePrefix="0" xfId="5"/>
    <xf numFmtId="170" fontId="2" fillId="11" borderId="2" applyAlignment="1" pivotButton="0" quotePrefix="0" xfId="5">
      <alignment horizontal="center"/>
    </xf>
    <xf numFmtId="0" fontId="2" fillId="11" borderId="2" pivotButton="0" quotePrefix="0" xfId="5"/>
    <xf numFmtId="0" fontId="14" fillId="0" borderId="3" pivotButton="0" quotePrefix="0" xfId="5"/>
    <xf numFmtId="170" fontId="13" fillId="2" borderId="0" applyAlignment="1" pivotButton="0" quotePrefix="0" xfId="5">
      <alignment horizontal="center"/>
    </xf>
    <xf numFmtId="0" fontId="14" fillId="0" borderId="3" applyAlignment="1" pivotButton="0" quotePrefix="0" xfId="5">
      <alignment horizontal="centerContinuous"/>
    </xf>
    <xf numFmtId="0" fontId="14" fillId="0" borderId="10" applyAlignment="1" pivotButton="0" quotePrefix="0" xfId="5">
      <alignment horizontal="centerContinuous"/>
    </xf>
    <xf numFmtId="0" fontId="14" fillId="0" borderId="11" applyAlignment="1" pivotButton="0" quotePrefix="0" xfId="5">
      <alignment horizontal="centerContinuous"/>
    </xf>
    <xf numFmtId="0" fontId="8" fillId="0" borderId="11" applyAlignment="1" pivotButton="0" quotePrefix="0" xfId="5">
      <alignment horizontal="right"/>
    </xf>
    <xf numFmtId="174" fontId="8" fillId="0" borderId="0" pivotButton="0" quotePrefix="0" xfId="5"/>
    <xf numFmtId="9" fontId="8" fillId="0" borderId="0" pivotButton="0" quotePrefix="0" xfId="5"/>
    <xf numFmtId="183" fontId="8" fillId="0" borderId="0" applyAlignment="1" pivotButton="0" quotePrefix="0" xfId="5">
      <alignment horizontal="center"/>
    </xf>
    <xf numFmtId="174" fontId="8" fillId="0" borderId="0" applyAlignment="1" pivotButton="0" quotePrefix="0" xfId="5">
      <alignment horizontal="right"/>
    </xf>
    <xf numFmtId="184" fontId="8" fillId="0" borderId="0" pivotButton="0" quotePrefix="0" xfId="5"/>
    <xf numFmtId="174" fontId="19" fillId="0" borderId="0" applyAlignment="1" pivotButton="0" quotePrefix="0" xfId="5">
      <alignment horizontal="right"/>
    </xf>
    <xf numFmtId="0" fontId="19" fillId="0" borderId="0" applyAlignment="1" pivotButton="0" quotePrefix="0" xfId="5">
      <alignment horizontal="right"/>
    </xf>
    <xf numFmtId="39" fontId="13" fillId="2" borderId="0" applyAlignment="1" pivotButton="0" quotePrefix="0" xfId="5">
      <alignment horizontal="center"/>
    </xf>
    <xf numFmtId="0" fontId="14" fillId="0" borderId="0" pivotButton="0" quotePrefix="1" xfId="5"/>
    <xf numFmtId="0" fontId="14" fillId="0" borderId="3" applyAlignment="1" pivotButton="0" quotePrefix="0" xfId="5">
      <alignment horizontal="left" wrapText="1"/>
    </xf>
    <xf numFmtId="0" fontId="14" fillId="0" borderId="3" applyAlignment="1" pivotButton="0" quotePrefix="0" xfId="5">
      <alignment horizontal="center" wrapText="1"/>
    </xf>
    <xf numFmtId="39" fontId="8" fillId="0" borderId="0" applyAlignment="1" pivotButton="0" quotePrefix="0" xfId="5">
      <alignment horizontal="center"/>
    </xf>
    <xf numFmtId="178" fontId="8" fillId="0" borderId="0" applyAlignment="1" pivotButton="0" quotePrefix="0" xfId="5">
      <alignment horizontal="center"/>
    </xf>
    <xf numFmtId="10" fontId="8" fillId="0" borderId="0" applyAlignment="1" pivotButton="0" quotePrefix="0" xfId="5">
      <alignment horizontal="center"/>
    </xf>
    <xf numFmtId="2" fontId="8" fillId="0" borderId="0" applyAlignment="1" pivotButton="0" quotePrefix="0" xfId="5">
      <alignment horizontal="center"/>
    </xf>
    <xf numFmtId="39" fontId="13" fillId="2" borderId="0" applyAlignment="1" pivotButton="0" quotePrefix="0" xfId="5">
      <alignment horizontal="left"/>
    </xf>
    <xf numFmtId="178" fontId="13" fillId="2" borderId="0" applyAlignment="1" pivotButton="0" quotePrefix="0" xfId="5">
      <alignment horizontal="center"/>
    </xf>
    <xf numFmtId="174" fontId="13" fillId="2" borderId="0" applyAlignment="1" pivotButton="0" quotePrefix="0" xfId="5">
      <alignment horizontal="center"/>
    </xf>
    <xf numFmtId="10" fontId="13" fillId="2" borderId="0" applyAlignment="1" pivotButton="0" quotePrefix="0" xfId="5">
      <alignment horizontal="center"/>
    </xf>
    <xf numFmtId="39" fontId="13" fillId="2" borderId="3" applyAlignment="1" pivotButton="0" quotePrefix="0" xfId="5">
      <alignment horizontal="left"/>
    </xf>
    <xf numFmtId="39" fontId="13" fillId="2" borderId="3" applyAlignment="1" pivotButton="0" quotePrefix="0" xfId="5">
      <alignment horizontal="center"/>
    </xf>
    <xf numFmtId="178" fontId="13" fillId="2" borderId="3" applyAlignment="1" pivotButton="0" quotePrefix="0" xfId="5">
      <alignment horizontal="center"/>
    </xf>
    <xf numFmtId="174" fontId="13" fillId="2" borderId="3" applyAlignment="1" pivotButton="0" quotePrefix="0" xfId="5">
      <alignment horizontal="center"/>
    </xf>
    <xf numFmtId="10" fontId="8" fillId="0" borderId="3" applyAlignment="1" pivotButton="0" quotePrefix="0" xfId="5">
      <alignment horizontal="center"/>
    </xf>
    <xf numFmtId="10" fontId="13" fillId="2" borderId="3" applyAlignment="1" pivotButton="0" quotePrefix="0" xfId="5">
      <alignment horizontal="center"/>
    </xf>
    <xf numFmtId="39" fontId="8" fillId="0" borderId="3" applyAlignment="1" pivotButton="0" quotePrefix="0" xfId="5">
      <alignment horizontal="center"/>
    </xf>
    <xf numFmtId="39" fontId="14" fillId="0" borderId="0" applyAlignment="1" pivotButton="0" quotePrefix="0" xfId="5">
      <alignment horizontal="right"/>
    </xf>
    <xf numFmtId="39" fontId="14" fillId="0" borderId="30" applyAlignment="1" pivotButton="0" quotePrefix="0" xfId="5">
      <alignment horizontal="center"/>
    </xf>
    <xf numFmtId="164" fontId="8" fillId="8" borderId="0" applyAlignment="1" pivotButton="0" quotePrefix="0" xfId="0">
      <alignment horizontal="center"/>
    </xf>
    <xf numFmtId="0" fontId="4" fillId="0" borderId="0" applyAlignment="1" pivotButton="0" quotePrefix="0" xfId="2">
      <alignment horizontal="center"/>
    </xf>
    <xf numFmtId="9" fontId="5" fillId="2" borderId="0" applyAlignment="1" pivotButton="0" quotePrefix="0" xfId="3">
      <alignment horizontal="center"/>
    </xf>
    <xf numFmtId="180" fontId="2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17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3">
      <alignment horizontal="center" vertical="center"/>
    </xf>
    <xf numFmtId="18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/>
    </xf>
    <xf numFmtId="10" fontId="4" fillId="0" borderId="0" applyAlignment="1" pivotButton="0" quotePrefix="0" xfId="2">
      <alignment horizontal="center"/>
    </xf>
    <xf numFmtId="170" fontId="22" fillId="9" borderId="0" pivotButton="0" quotePrefix="0" xfId="1"/>
    <xf numFmtId="10" fontId="5" fillId="2" borderId="0" applyAlignment="1" pivotButton="0" quotePrefix="0" xfId="0">
      <alignment horizontal="center"/>
    </xf>
    <xf numFmtId="9" fontId="5" fillId="4" borderId="0" applyAlignment="1" pivotButton="0" quotePrefix="0" xfId="3">
      <alignment horizontal="center"/>
    </xf>
    <xf numFmtId="0" fontId="6" fillId="6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vertical="center"/>
    </xf>
    <xf numFmtId="180" fontId="2" fillId="0" borderId="0" applyAlignment="1" pivotButton="0" quotePrefix="0" xfId="0">
      <alignment vertical="center"/>
    </xf>
    <xf numFmtId="170" fontId="2" fillId="0" borderId="0" applyAlignment="1" pivotButton="0" quotePrefix="0" xfId="3">
      <alignment vertical="center"/>
    </xf>
    <xf numFmtId="164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/>
    </xf>
    <xf numFmtId="168" fontId="2" fillId="5" borderId="0" applyAlignment="1" pivotButton="0" quotePrefix="0" xfId="2">
      <alignment horizontal="center"/>
    </xf>
    <xf numFmtId="164" fontId="2" fillId="0" borderId="0" pivotButton="0" quotePrefix="0" xfId="0"/>
    <xf numFmtId="9" fontId="2" fillId="0" borderId="0" applyAlignment="1" pivotButton="0" quotePrefix="0" xfId="3">
      <alignment horizontal="left"/>
    </xf>
    <xf numFmtId="9" fontId="2" fillId="0" borderId="0" pivotButton="0" quotePrefix="0" xfId="3"/>
    <xf numFmtId="0" fontId="15" fillId="12" borderId="0" applyAlignment="1" pivotButton="0" quotePrefix="0" xfId="5">
      <alignment horizontal="center" wrapText="1"/>
    </xf>
    <xf numFmtId="0" fontId="8" fillId="0" borderId="0" pivotButton="0" quotePrefix="0" xfId="5"/>
    <xf numFmtId="186" fontId="0" fillId="0" borderId="0" pivotButton="0" quotePrefix="0" xfId="0"/>
    <xf numFmtId="0" fontId="23" fillId="0" borderId="0" pivotButton="0" quotePrefix="0" xfId="0"/>
    <xf numFmtId="187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88" fontId="0" fillId="0" borderId="0" pivotButton="0" quotePrefix="0" xfId="0"/>
    <xf numFmtId="0" fontId="24" fillId="0" borderId="0" applyAlignment="1" pivotButton="0" quotePrefix="0" xfId="2">
      <alignment horizontal="center"/>
    </xf>
    <xf numFmtId="168" fontId="24" fillId="5" borderId="0" applyAlignment="1" pivotButton="0" quotePrefix="0" xfId="2">
      <alignment horizontal="center"/>
    </xf>
    <xf numFmtId="3" fontId="5" fillId="2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186" fontId="0" fillId="0" borderId="0" pivotButton="0" quotePrefix="0" xfId="0"/>
    <xf numFmtId="187" fontId="0" fillId="0" borderId="0" pivotButton="0" quotePrefix="0" xfId="0"/>
    <xf numFmtId="188" fontId="0" fillId="0" borderId="0" pivotButton="0" quotePrefix="0" xfId="0"/>
    <xf numFmtId="0" fontId="25" fillId="13" borderId="3" applyAlignment="1" pivotButton="0" quotePrefix="0" xfId="5">
      <alignment horizontal="centerContinuous"/>
    </xf>
    <xf numFmtId="1" fontId="25" fillId="0" borderId="0" applyAlignment="1" pivotButton="0" quotePrefix="0" xfId="5">
      <alignment horizontal="center"/>
    </xf>
  </cellXfs>
  <cellStyles count="12">
    <cellStyle name="Normal" xfId="0" builtinId="0"/>
    <cellStyle name="Normal 2" xfId="1"/>
    <cellStyle name="Normal 2 2" xfId="2"/>
    <cellStyle name="Porcentagem" xfId="3" builtinId="5"/>
    <cellStyle name="Separador de milhares 2 17" xfId="4"/>
    <cellStyle name="Normal 2 3" xfId="5"/>
    <cellStyle name="m/d/yy" xfId="6"/>
    <cellStyle name="Normal 4" xfId="7"/>
    <cellStyle name="Porcentagem 3" xfId="8"/>
    <cellStyle name="Output_dcfmodel" xfId="9"/>
    <cellStyle name="Currency 2" xfId="10"/>
    <cellStyle name="Normal [3] 2" xfId="11"/>
  </cellStyles>
  <dxfs count="24"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9"/>
  <sheetViews>
    <sheetView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6" customWidth="1" min="5" max="5"/>
    <col width="7" customWidth="1" min="6" max="6"/>
    <col width="8" customWidth="1" min="7" max="7"/>
    <col width="70" customWidth="1" min="8" max="8"/>
    <col width="60" customWidth="1" min="9" max="9"/>
    <col width="1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</cols>
  <sheetData>
    <row r="1">
      <c r="A1" t="inlineStr">
        <is>
          <t>Fator p/ milhões:</t>
        </is>
      </c>
      <c r="B1" t="n">
        <v>1e-06</v>
      </c>
      <c r="D1" t="inlineStr">
        <is>
          <t>NVIDIA Corp (CIK 1045810) - fonte: SEC EDGAR XBRL (companyfacts API, 10-Q/10-K). Moeda: USD. Unidade dos brutos: unidades (USD e acoes). Fator converte p/ milhoes.</t>
        </is>
      </c>
    </row>
    <row r="2">
      <c r="J2" t="inlineStr">
        <is>
          <t>Trimestre fiscal NVIDIA</t>
        </is>
      </c>
      <c r="K2" t="inlineStr">
        <is>
          <t>1T FY21</t>
        </is>
      </c>
      <c r="L2" t="inlineStr">
        <is>
          <t>2T FY21</t>
        </is>
      </c>
      <c r="M2" t="inlineStr">
        <is>
          <t>3T FY21</t>
        </is>
      </c>
      <c r="N2" t="inlineStr">
        <is>
          <t>4T FY21</t>
        </is>
      </c>
      <c r="O2" t="inlineStr">
        <is>
          <t>1T FY22</t>
        </is>
      </c>
      <c r="P2" t="inlineStr">
        <is>
          <t>2T FY22</t>
        </is>
      </c>
      <c r="Q2" t="inlineStr">
        <is>
          <t>3T FY22</t>
        </is>
      </c>
      <c r="R2" t="inlineStr">
        <is>
          <t>4T FY22</t>
        </is>
      </c>
      <c r="S2" t="inlineStr">
        <is>
          <t>1T FY23</t>
        </is>
      </c>
      <c r="T2" t="inlineStr">
        <is>
          <t>2T FY23</t>
        </is>
      </c>
      <c r="U2" t="inlineStr">
        <is>
          <t>3T FY23</t>
        </is>
      </c>
      <c r="V2" t="inlineStr">
        <is>
          <t>4T FY23</t>
        </is>
      </c>
      <c r="W2" t="inlineStr">
        <is>
          <t>1T FY24</t>
        </is>
      </c>
      <c r="X2" t="inlineStr">
        <is>
          <t>2T FY24</t>
        </is>
      </c>
      <c r="Y2" t="inlineStr">
        <is>
          <t>3T FY24</t>
        </is>
      </c>
      <c r="Z2" t="inlineStr">
        <is>
          <t>4T FY24</t>
        </is>
      </c>
      <c r="AA2" t="inlineStr">
        <is>
          <t>1T FY25</t>
        </is>
      </c>
      <c r="AB2" t="inlineStr">
        <is>
          <t>2T FY25</t>
        </is>
      </c>
      <c r="AC2" t="inlineStr">
        <is>
          <t>3T FY25</t>
        </is>
      </c>
      <c r="AD2" t="inlineStr">
        <is>
          <t>4T FY25</t>
        </is>
      </c>
      <c r="AE2" t="inlineStr">
        <is>
          <t>1T FY26</t>
        </is>
      </c>
      <c r="AF2" t="inlineStr">
        <is>
          <t>2T FY26</t>
        </is>
      </c>
      <c r="AG2" t="inlineStr">
        <is>
          <t>3T FY26</t>
        </is>
      </c>
      <c r="AH2" t="inlineStr">
        <is>
          <t>4T FY26</t>
        </is>
      </c>
      <c r="AI2" t="inlineStr">
        <is>
          <t>1T FY27</t>
        </is>
      </c>
      <c r="AJ2" t="inlineStr">
        <is>
          <t>2T FY27</t>
        </is>
      </c>
    </row>
    <row r="3">
      <c r="J3" t="inlineStr">
        <is>
          <t>Fim do trimestre fiscal</t>
        </is>
      </c>
      <c r="K3" s="260" t="n">
        <v>43947</v>
      </c>
      <c r="L3" s="260" t="n">
        <v>44038</v>
      </c>
      <c r="M3" s="260" t="n">
        <v>44129</v>
      </c>
      <c r="N3" s="260" t="n">
        <v>44227</v>
      </c>
      <c r="O3" s="260" t="n">
        <v>44318</v>
      </c>
      <c r="P3" s="260" t="n">
        <v>44409</v>
      </c>
      <c r="Q3" s="260" t="n">
        <v>44500</v>
      </c>
      <c r="R3" s="260" t="n">
        <v>44591</v>
      </c>
      <c r="S3" s="260" t="n">
        <v>44682</v>
      </c>
      <c r="T3" s="260" t="n">
        <v>44773</v>
      </c>
      <c r="U3" s="260" t="n">
        <v>44864</v>
      </c>
      <c r="V3" s="260" t="n">
        <v>44955</v>
      </c>
      <c r="W3" s="260" t="n">
        <v>45046</v>
      </c>
      <c r="X3" s="260" t="n">
        <v>45137</v>
      </c>
      <c r="Y3" s="260" t="n">
        <v>45228</v>
      </c>
      <c r="Z3" s="260" t="n">
        <v>45319</v>
      </c>
      <c r="AA3" s="260" t="n">
        <v>45410</v>
      </c>
      <c r="AB3" s="260" t="n">
        <v>45501</v>
      </c>
      <c r="AC3" s="260" t="n">
        <v>45592</v>
      </c>
      <c r="AD3" s="260" t="n">
        <v>45683</v>
      </c>
      <c r="AE3" s="260" t="n">
        <v>45774</v>
      </c>
      <c r="AF3" s="260" t="n">
        <v>45865</v>
      </c>
      <c r="AG3" s="260" t="n">
        <v>45956</v>
      </c>
      <c r="AH3" s="260" t="n">
        <v>46047</v>
      </c>
      <c r="AI3" s="260" t="n">
        <v>46138</v>
      </c>
      <c r="AJ3" s="260" t="n">
        <v>46229</v>
      </c>
    </row>
    <row r="4">
      <c r="A4" s="251" t="inlineStr">
        <is>
          <t>COD1</t>
        </is>
      </c>
      <c r="B4" s="251" t="inlineStr">
        <is>
          <t>SINAL1</t>
        </is>
      </c>
      <c r="C4" s="251" t="inlineStr">
        <is>
          <t>COD2</t>
        </is>
      </c>
      <c r="D4" s="251" t="inlineStr">
        <is>
          <t>SINAL2</t>
        </is>
      </c>
      <c r="E4" s="251" t="inlineStr">
        <is>
          <t>COD3</t>
        </is>
      </c>
      <c r="F4" s="251" t="inlineStr">
        <is>
          <t>SINAL3</t>
        </is>
      </c>
      <c r="G4" s="251" t="inlineStr">
        <is>
          <t>UNID</t>
        </is>
      </c>
      <c r="H4" s="251" t="inlineStr">
        <is>
          <t>Conta (PT)</t>
        </is>
      </c>
      <c r="I4" s="251" t="inlineStr">
        <is>
          <t>Account (EN)</t>
        </is>
      </c>
      <c r="J4" s="251" t="inlineStr">
        <is>
          <t>ORIGEM</t>
        </is>
      </c>
      <c r="K4" s="251" t="inlineStr">
        <is>
          <t>1Q20</t>
        </is>
      </c>
      <c r="L4" s="251" t="inlineStr">
        <is>
          <t>2Q20</t>
        </is>
      </c>
      <c r="M4" s="251" t="inlineStr">
        <is>
          <t>3Q20</t>
        </is>
      </c>
      <c r="N4" s="251" t="inlineStr">
        <is>
          <t>4Q20</t>
        </is>
      </c>
      <c r="O4" s="251" t="inlineStr">
        <is>
          <t>1Q21</t>
        </is>
      </c>
      <c r="P4" s="251" t="inlineStr">
        <is>
          <t>2Q21</t>
        </is>
      </c>
      <c r="Q4" s="251" t="inlineStr">
        <is>
          <t>3Q21</t>
        </is>
      </c>
      <c r="R4" s="251" t="inlineStr">
        <is>
          <t>4Q21</t>
        </is>
      </c>
      <c r="S4" s="251" t="inlineStr">
        <is>
          <t>1Q22</t>
        </is>
      </c>
      <c r="T4" s="251" t="inlineStr">
        <is>
          <t>2Q22</t>
        </is>
      </c>
      <c r="U4" s="251" t="inlineStr">
        <is>
          <t>3Q22</t>
        </is>
      </c>
      <c r="V4" s="251" t="inlineStr">
        <is>
          <t>4Q22</t>
        </is>
      </c>
      <c r="W4" s="251" t="inlineStr">
        <is>
          <t>1Q23</t>
        </is>
      </c>
      <c r="X4" s="251" t="inlineStr">
        <is>
          <t>2Q23</t>
        </is>
      </c>
      <c r="Y4" s="251" t="inlineStr">
        <is>
          <t>3Q23</t>
        </is>
      </c>
      <c r="Z4" s="251" t="inlineStr">
        <is>
          <t>4Q23</t>
        </is>
      </c>
      <c r="AA4" s="251" t="inlineStr">
        <is>
          <t>1Q24</t>
        </is>
      </c>
      <c r="AB4" s="251" t="inlineStr">
        <is>
          <t>2Q24</t>
        </is>
      </c>
      <c r="AC4" s="251" t="inlineStr">
        <is>
          <t>3Q24</t>
        </is>
      </c>
      <c r="AD4" s="251" t="inlineStr">
        <is>
          <t>4Q24</t>
        </is>
      </c>
      <c r="AE4" s="251" t="inlineStr">
        <is>
          <t>1Q25</t>
        </is>
      </c>
      <c r="AF4" s="251" t="inlineStr">
        <is>
          <t>2Q25</t>
        </is>
      </c>
      <c r="AG4" s="251" t="inlineStr">
        <is>
          <t>3Q25</t>
        </is>
      </c>
      <c r="AH4" s="251" t="inlineStr">
        <is>
          <t>4Q25</t>
        </is>
      </c>
      <c r="AI4" s="251" t="inlineStr">
        <is>
          <t>1Q26</t>
        </is>
      </c>
      <c r="AJ4" s="251" t="inlineStr">
        <is>
          <t>2Q26</t>
        </is>
      </c>
    </row>
    <row r="5">
      <c r="H5" s="251" t="inlineStr">
        <is>
          <t>DRE - BRUTO COMO DIVULGADO (USD unidades). 1T-3T = trimestre (10-Q, 3M); coluna 4T = ANO FISCAL 12M (10-K)</t>
        </is>
      </c>
    </row>
    <row r="6">
      <c r="G6" t="inlineStr">
        <is>
          <t>moeda</t>
        </is>
      </c>
      <c r="H6" t="inlineStr">
        <is>
          <t>Receita</t>
        </is>
      </c>
      <c r="I6" t="inlineStr">
        <is>
          <t>Revenue [us-gaap:Revenues]</t>
        </is>
      </c>
      <c r="J6" t="inlineStr">
        <is>
          <t>memoria</t>
        </is>
      </c>
      <c r="K6" s="261" t="n">
        <v>3080000000</v>
      </c>
      <c r="L6" s="261" t="n">
        <v>3866000000</v>
      </c>
      <c r="M6" s="261" t="n">
        <v>4726000000</v>
      </c>
      <c r="N6" s="261" t="n">
        <v>16675000000</v>
      </c>
      <c r="O6" s="261" t="n">
        <v>5661000000</v>
      </c>
      <c r="P6" s="261" t="n">
        <v>6507000000</v>
      </c>
      <c r="Q6" s="261" t="n">
        <v>7103000000</v>
      </c>
      <c r="R6" s="261" t="n">
        <v>26914000000</v>
      </c>
      <c r="S6" s="261" t="n">
        <v>8288000000</v>
      </c>
      <c r="T6" s="261" t="n">
        <v>6704000000</v>
      </c>
      <c r="U6" s="261" t="n">
        <v>5931000000</v>
      </c>
      <c r="V6" s="261" t="n">
        <v>26974000000</v>
      </c>
      <c r="W6" s="261" t="n">
        <v>7192000000</v>
      </c>
      <c r="X6" s="261" t="n">
        <v>13507000000</v>
      </c>
      <c r="Y6" s="261" t="n">
        <v>18120000000</v>
      </c>
      <c r="Z6" s="261" t="n">
        <v>60922000000</v>
      </c>
      <c r="AA6" s="261" t="n">
        <v>26044000000</v>
      </c>
      <c r="AB6" s="261" t="n">
        <v>30040000000</v>
      </c>
      <c r="AC6" s="261" t="n">
        <v>35082000000</v>
      </c>
      <c r="AD6" s="261" t="n">
        <v>130497000000</v>
      </c>
      <c r="AE6" s="261" t="n">
        <v>44062000000</v>
      </c>
      <c r="AF6" s="261" t="n">
        <v>46743000000</v>
      </c>
      <c r="AG6" s="261" t="n">
        <v>57006000000</v>
      </c>
      <c r="AH6" s="261" t="n">
        <v>215938000000</v>
      </c>
      <c r="AI6" s="261" t="n">
        <v>81615000000</v>
      </c>
      <c r="AJ6" s="261" t="n">
        <v>96221000000</v>
      </c>
    </row>
    <row r="7">
      <c r="G7" t="inlineStr">
        <is>
          <t>moeda</t>
        </is>
      </c>
      <c r="H7" t="inlineStr">
        <is>
          <t>Custo da receita</t>
        </is>
      </c>
      <c r="I7" t="inlineStr">
        <is>
          <t>Cost of revenue [us-gaap:CostOfRevenue]</t>
        </is>
      </c>
      <c r="J7" t="inlineStr">
        <is>
          <t>memoria</t>
        </is>
      </c>
      <c r="K7" s="261" t="n">
        <v>1076000000</v>
      </c>
      <c r="L7" s="261" t="n">
        <v>1591000000</v>
      </c>
      <c r="M7" s="261" t="n">
        <v>1766000000</v>
      </c>
      <c r="N7" s="261" t="n">
        <v>6279000000</v>
      </c>
      <c r="O7" s="261" t="n">
        <v>2032000000</v>
      </c>
      <c r="P7" s="261" t="n">
        <v>2292000000</v>
      </c>
      <c r="Q7" s="261" t="n">
        <v>2472000000</v>
      </c>
      <c r="R7" s="261" t="n">
        <v>9439000000</v>
      </c>
      <c r="S7" s="261" t="n">
        <v>2857000000</v>
      </c>
      <c r="T7" s="261" t="n">
        <v>3789000000</v>
      </c>
      <c r="U7" s="261" t="n">
        <v>2754000000</v>
      </c>
      <c r="V7" s="261" t="n">
        <v>11618000000</v>
      </c>
      <c r="W7" s="261" t="n">
        <v>2544000000</v>
      </c>
      <c r="X7" s="261" t="n">
        <v>4045000000</v>
      </c>
      <c r="Y7" s="261" t="n">
        <v>4720000000</v>
      </c>
      <c r="Z7" s="261" t="n">
        <v>16621000000</v>
      </c>
      <c r="AA7" s="261" t="n">
        <v>5638000000</v>
      </c>
      <c r="AB7" s="261" t="n">
        <v>7466000000</v>
      </c>
      <c r="AC7" s="261" t="n">
        <v>8926000000</v>
      </c>
      <c r="AD7" s="261" t="n">
        <v>32639000000</v>
      </c>
      <c r="AE7" s="261" t="n">
        <v>17394000000</v>
      </c>
      <c r="AF7" s="261" t="n">
        <v>12890000000</v>
      </c>
      <c r="AG7" s="261" t="n">
        <v>15157000000</v>
      </c>
      <c r="AH7" s="261" t="n">
        <v>62475000000</v>
      </c>
      <c r="AI7" s="261" t="n">
        <v>20458000000</v>
      </c>
      <c r="AJ7" s="261" t="n">
        <v>24079000000</v>
      </c>
    </row>
    <row r="8">
      <c r="G8" t="inlineStr">
        <is>
          <t>moeda</t>
        </is>
      </c>
      <c r="H8" t="inlineStr">
        <is>
          <t>Lucro bruto</t>
        </is>
      </c>
      <c r="I8" t="inlineStr">
        <is>
          <t>Gross profit [us-gaap:GrossProfit]</t>
        </is>
      </c>
      <c r="J8" t="inlineStr">
        <is>
          <t>memoria</t>
        </is>
      </c>
      <c r="K8" s="261" t="n">
        <v>2004000000</v>
      </c>
      <c r="L8" s="261" t="n">
        <v>2275000000</v>
      </c>
      <c r="M8" s="261" t="n">
        <v>2960000000</v>
      </c>
      <c r="N8" s="261" t="n">
        <v>10396000000</v>
      </c>
      <c r="O8" s="261" t="n">
        <v>3629000000</v>
      </c>
      <c r="P8" s="261" t="n">
        <v>4215000000</v>
      </c>
      <c r="Q8" s="261" t="n">
        <v>4631000000</v>
      </c>
      <c r="R8" s="261" t="n">
        <v>17475000000</v>
      </c>
      <c r="S8" s="261" t="n">
        <v>5431000000</v>
      </c>
      <c r="T8" s="261" t="n">
        <v>2915000000</v>
      </c>
      <c r="U8" s="261" t="n">
        <v>3177000000</v>
      </c>
      <c r="V8" s="261" t="n">
        <v>15356000000</v>
      </c>
      <c r="W8" s="261" t="n">
        <v>4648000000</v>
      </c>
      <c r="X8" s="261" t="n">
        <v>9462000000</v>
      </c>
      <c r="Y8" s="261" t="n">
        <v>13400000000</v>
      </c>
      <c r="Z8" s="261" t="n">
        <v>44301000000</v>
      </c>
      <c r="AA8" s="261" t="n">
        <v>20406000000</v>
      </c>
      <c r="AB8" s="261" t="n">
        <v>22574000000</v>
      </c>
      <c r="AC8" s="261" t="n">
        <v>26156000000</v>
      </c>
      <c r="AD8" s="261" t="n">
        <v>97858000000</v>
      </c>
      <c r="AE8" s="261" t="n">
        <v>26668000000</v>
      </c>
      <c r="AF8" s="261" t="n">
        <v>33853000000</v>
      </c>
      <c r="AG8" s="261" t="n">
        <v>41849000000</v>
      </c>
      <c r="AH8" s="261" t="n">
        <v>153463000000</v>
      </c>
      <c r="AI8" s="261" t="n">
        <v>61157000000</v>
      </c>
      <c r="AJ8" s="261" t="n">
        <v>72142000000</v>
      </c>
    </row>
    <row r="9">
      <c r="G9" t="inlineStr">
        <is>
          <t>moeda</t>
        </is>
      </c>
      <c r="H9" t="inlineStr">
        <is>
          <t>P&amp;D</t>
        </is>
      </c>
      <c r="I9" t="inlineStr">
        <is>
          <t>Research and development [us-gaap:ResearchAndDevelopmentExpense]</t>
        </is>
      </c>
      <c r="J9" t="inlineStr">
        <is>
          <t>memoria</t>
        </is>
      </c>
      <c r="K9" s="261" t="n">
        <v>735000000</v>
      </c>
      <c r="L9" s="261" t="n">
        <v>997000000</v>
      </c>
      <c r="M9" s="261" t="n">
        <v>1047000000</v>
      </c>
      <c r="N9" s="261" t="n">
        <v>3924000000</v>
      </c>
      <c r="O9" s="261" t="n">
        <v>1153000000</v>
      </c>
      <c r="P9" s="261" t="n">
        <v>1245000000</v>
      </c>
      <c r="Q9" s="261" t="n">
        <v>1403000000</v>
      </c>
      <c r="R9" s="261" t="n">
        <v>5268000000</v>
      </c>
      <c r="S9" s="261" t="n">
        <v>1618000000</v>
      </c>
      <c r="T9" s="261" t="n">
        <v>1824000000</v>
      </c>
      <c r="U9" s="261" t="n">
        <v>1945000000</v>
      </c>
      <c r="V9" s="261" t="n">
        <v>7339000000</v>
      </c>
      <c r="W9" s="261" t="n">
        <v>1875000000</v>
      </c>
      <c r="X9" s="261" t="n">
        <v>2040000000</v>
      </c>
      <c r="Y9" s="261" t="n">
        <v>2294000000</v>
      </c>
      <c r="Z9" s="261" t="n">
        <v>8675000000</v>
      </c>
      <c r="AA9" s="261" t="n">
        <v>2720000000</v>
      </c>
      <c r="AB9" s="261" t="n">
        <v>3090000000</v>
      </c>
      <c r="AC9" s="261" t="n">
        <v>3390000000</v>
      </c>
      <c r="AD9" s="261" t="n">
        <v>12914000000</v>
      </c>
      <c r="AE9" s="261" t="n">
        <v>3989000000</v>
      </c>
      <c r="AF9" s="261" t="n">
        <v>4291000000</v>
      </c>
      <c r="AG9" s="261" t="n">
        <v>4705000000</v>
      </c>
      <c r="AH9" s="261" t="n">
        <v>18497000000</v>
      </c>
      <c r="AI9" s="261" t="n">
        <v>6321000000</v>
      </c>
      <c r="AJ9" s="261" t="n">
        <v>7054000000</v>
      </c>
    </row>
    <row r="10">
      <c r="G10" t="inlineStr">
        <is>
          <t>moeda</t>
        </is>
      </c>
      <c r="H10" t="inlineStr">
        <is>
          <t>Despesas de vendas, gerais e adm.</t>
        </is>
      </c>
      <c r="I10" t="inlineStr">
        <is>
          <t>Sales, general and administrative [us-gaap:SellingGeneralAndAdministrativeExpense]</t>
        </is>
      </c>
      <c r="J10" t="inlineStr">
        <is>
          <t>memoria</t>
        </is>
      </c>
      <c r="K10" s="261" t="n">
        <v>293000000</v>
      </c>
      <c r="L10" s="261" t="n">
        <v>627000000</v>
      </c>
      <c r="M10" s="261" t="n">
        <v>515000000</v>
      </c>
      <c r="N10" s="261" t="n">
        <v>1940000000</v>
      </c>
      <c r="O10" s="261" t="n">
        <v>520000000</v>
      </c>
      <c r="P10" s="261" t="n">
        <v>526000000</v>
      </c>
      <c r="Q10" s="261" t="n">
        <v>557000000</v>
      </c>
      <c r="R10" s="261" t="n">
        <v>2166000000</v>
      </c>
      <c r="S10" s="261" t="n">
        <v>592000000</v>
      </c>
      <c r="T10" s="261" t="n">
        <v>592000000</v>
      </c>
      <c r="U10" s="261" t="n">
        <v>631000000</v>
      </c>
      <c r="V10" s="261" t="n">
        <v>2440000000</v>
      </c>
      <c r="W10" s="261" t="n">
        <v>633000000</v>
      </c>
      <c r="X10" s="261" t="n">
        <v>622000000</v>
      </c>
      <c r="Y10" s="261" t="n">
        <v>689000000</v>
      </c>
      <c r="Z10" s="261" t="n">
        <v>2654000000</v>
      </c>
      <c r="AA10" s="261" t="n">
        <v>777000000</v>
      </c>
      <c r="AB10" s="261" t="n">
        <v>842000000</v>
      </c>
      <c r="AC10" s="261" t="n">
        <v>897000000</v>
      </c>
      <c r="AD10" s="261" t="n">
        <v>3491000000</v>
      </c>
      <c r="AE10" s="261" t="n">
        <v>1041000000</v>
      </c>
      <c r="AF10" s="261" t="n">
        <v>1122000000</v>
      </c>
      <c r="AG10" s="261" t="n">
        <v>1134000000</v>
      </c>
      <c r="AH10" s="261" t="n">
        <v>4579000000</v>
      </c>
      <c r="AI10" s="261" t="n">
        <v>1300000000</v>
      </c>
      <c r="AJ10" s="261" t="n">
        <v>1354000000</v>
      </c>
    </row>
    <row r="11">
      <c r="G11" t="inlineStr">
        <is>
          <t>moeda</t>
        </is>
      </c>
      <c r="H11" t="inlineStr">
        <is>
          <t>Total de despesas operacionais (inclui custo de rescisao Arm no 1T FY23)</t>
        </is>
      </c>
      <c r="I11" t="inlineStr">
        <is>
          <t>Total operating expenses [us-gaap:OperatingExpenses]</t>
        </is>
      </c>
      <c r="J11" t="inlineStr">
        <is>
          <t>memoria</t>
        </is>
      </c>
      <c r="K11" s="261" t="n">
        <v>1028000000</v>
      </c>
      <c r="L11" s="261" t="n">
        <v>1624000000</v>
      </c>
      <c r="M11" s="261" t="n">
        <v>1562000000</v>
      </c>
      <c r="N11" s="261" t="n">
        <v>5864000000</v>
      </c>
      <c r="O11" s="261" t="n">
        <v>1673000000</v>
      </c>
      <c r="P11" s="261" t="n">
        <v>1771000000</v>
      </c>
      <c r="Q11" s="261" t="n">
        <v>1960000000</v>
      </c>
      <c r="R11" s="261" t="n">
        <v>7434000000</v>
      </c>
      <c r="S11" s="261" t="n">
        <v>3563000000</v>
      </c>
      <c r="T11" s="261" t="n">
        <v>2416000000</v>
      </c>
      <c r="U11" s="261" t="n">
        <v>2576000000</v>
      </c>
      <c r="V11" s="261" t="n">
        <v>11132000000</v>
      </c>
      <c r="W11" s="261" t="n">
        <v>2508000000</v>
      </c>
      <c r="X11" s="261" t="n">
        <v>2662000000</v>
      </c>
      <c r="Y11" s="261" t="n">
        <v>2983000000</v>
      </c>
      <c r="Z11" s="261" t="n">
        <v>11329000000</v>
      </c>
      <c r="AA11" s="261" t="n">
        <v>3497000000</v>
      </c>
      <c r="AB11" s="261" t="n">
        <v>3932000000</v>
      </c>
      <c r="AC11" s="261" t="n">
        <v>4287000000</v>
      </c>
      <c r="AD11" s="261" t="n">
        <v>16405000000</v>
      </c>
      <c r="AE11" s="261" t="n">
        <v>5030000000</v>
      </c>
      <c r="AF11" s="261" t="n">
        <v>5413000000</v>
      </c>
      <c r="AG11" s="261" t="n">
        <v>5839000000</v>
      </c>
      <c r="AH11" s="261" t="n">
        <v>23076000000</v>
      </c>
      <c r="AI11" s="261" t="n">
        <v>7621000000</v>
      </c>
      <c r="AJ11" s="261" t="n">
        <v>8408000000</v>
      </c>
    </row>
    <row r="12">
      <c r="G12" t="inlineStr">
        <is>
          <t>moeda</t>
        </is>
      </c>
      <c r="H12" t="inlineStr">
        <is>
          <t>Lucro operacional</t>
        </is>
      </c>
      <c r="I12" t="inlineStr">
        <is>
          <t>Operating income [us-gaap:OperatingIncomeLoss]</t>
        </is>
      </c>
      <c r="J12" t="inlineStr">
        <is>
          <t>memoria</t>
        </is>
      </c>
      <c r="K12" s="261" t="n">
        <v>976000000</v>
      </c>
      <c r="L12" s="261" t="n">
        <v>651000000</v>
      </c>
      <c r="M12" s="261" t="n">
        <v>1398000000</v>
      </c>
      <c r="N12" s="261" t="n">
        <v>4532000000</v>
      </c>
      <c r="O12" s="261" t="n">
        <v>1956000000</v>
      </c>
      <c r="P12" s="261" t="n">
        <v>2444000000</v>
      </c>
      <c r="Q12" s="261" t="n">
        <v>2671000000</v>
      </c>
      <c r="R12" s="261" t="n">
        <v>10041000000</v>
      </c>
      <c r="S12" s="261" t="n">
        <v>1868000000</v>
      </c>
      <c r="T12" s="261" t="n">
        <v>499000000</v>
      </c>
      <c r="U12" s="261" t="n">
        <v>601000000</v>
      </c>
      <c r="V12" s="261" t="n">
        <v>4224000000</v>
      </c>
      <c r="W12" s="261" t="n">
        <v>2140000000</v>
      </c>
      <c r="X12" s="261" t="n">
        <v>6800000000</v>
      </c>
      <c r="Y12" s="261" t="n">
        <v>10417000000</v>
      </c>
      <c r="Z12" s="261" t="n">
        <v>32972000000</v>
      </c>
      <c r="AA12" s="261" t="n">
        <v>16909000000</v>
      </c>
      <c r="AB12" s="261" t="n">
        <v>18642000000</v>
      </c>
      <c r="AC12" s="261" t="n">
        <v>21869000000</v>
      </c>
      <c r="AD12" s="261" t="n">
        <v>81453000000</v>
      </c>
      <c r="AE12" s="261" t="n">
        <v>21638000000</v>
      </c>
      <c r="AF12" s="261" t="n">
        <v>28440000000</v>
      </c>
      <c r="AG12" s="261" t="n">
        <v>36010000000</v>
      </c>
      <c r="AH12" s="261" t="n">
        <v>130387000000</v>
      </c>
      <c r="AI12" s="261" t="n">
        <v>53536000000</v>
      </c>
      <c r="AJ12" s="261" t="n">
        <v>63734000000</v>
      </c>
    </row>
    <row r="13">
      <c r="G13" t="inlineStr">
        <is>
          <t>moeda</t>
        </is>
      </c>
      <c r="H13" t="inlineStr">
        <is>
          <t>Receita de juros</t>
        </is>
      </c>
      <c r="I13" t="inlineStr">
        <is>
          <t>Interest income [us-gaap:InvestmentIncomeInterest]</t>
        </is>
      </c>
      <c r="J13" t="inlineStr">
        <is>
          <t>memoria</t>
        </is>
      </c>
      <c r="K13" s="261" t="n">
        <v>31000000</v>
      </c>
      <c r="L13" s="261" t="n">
        <v>13000000</v>
      </c>
      <c r="M13" s="261" t="n">
        <v>7000000</v>
      </c>
      <c r="N13" s="261" t="n">
        <v>57000000</v>
      </c>
      <c r="O13" s="261" t="n">
        <v>6000000</v>
      </c>
      <c r="P13" s="261" t="n">
        <v>6000000</v>
      </c>
      <c r="Q13" s="261" t="n">
        <v>7000000</v>
      </c>
      <c r="R13" s="261" t="n">
        <v>29000000</v>
      </c>
      <c r="S13" s="261" t="n">
        <v>18000000</v>
      </c>
      <c r="T13" s="261" t="n">
        <v>46000000</v>
      </c>
      <c r="U13" s="261" t="n">
        <v>88000000</v>
      </c>
      <c r="V13" s="261" t="n">
        <v>267000000</v>
      </c>
      <c r="W13" s="261" t="n">
        <v>150000000</v>
      </c>
      <c r="X13" s="261" t="n">
        <v>187000000</v>
      </c>
      <c r="Y13" s="261" t="n">
        <v>234000000</v>
      </c>
      <c r="Z13" s="261" t="n">
        <v>866000000</v>
      </c>
      <c r="AA13" s="261" t="n">
        <v>359000000</v>
      </c>
      <c r="AB13" s="261" t="n">
        <v>444000000</v>
      </c>
      <c r="AC13" s="261" t="n">
        <v>472000000</v>
      </c>
      <c r="AD13" s="261" t="n">
        <v>1786000000</v>
      </c>
      <c r="AE13" s="261" t="n">
        <v>515000000</v>
      </c>
      <c r="AF13" s="261" t="n">
        <v>592000000</v>
      </c>
      <c r="AG13" s="261" t="n">
        <v>624000000</v>
      </c>
      <c r="AH13" s="261" t="n">
        <v>2300000000</v>
      </c>
      <c r="AI13" s="261" t="n">
        <v>540000000</v>
      </c>
      <c r="AJ13" s="261" t="n">
        <v>496000000</v>
      </c>
    </row>
    <row r="14">
      <c r="G14" t="inlineStr">
        <is>
          <t>moeda</t>
        </is>
      </c>
      <c r="H14" t="inlineStr">
        <is>
          <t>Despesa de juros (divulgada positiva)</t>
        </is>
      </c>
      <c r="I14" t="inlineStr">
        <is>
          <t>Interest expense [us-gaap:InterestExpense ate FY24; InterestExpenseNonoperating depois]</t>
        </is>
      </c>
      <c r="J14" t="inlineStr">
        <is>
          <t>memoria</t>
        </is>
      </c>
      <c r="K14" s="261" t="n">
        <v>25000000</v>
      </c>
      <c r="L14" s="261" t="n">
        <v>54000000</v>
      </c>
      <c r="M14" s="261" t="n">
        <v>53000000</v>
      </c>
      <c r="N14" s="261" t="n">
        <v>184000000</v>
      </c>
      <c r="O14" s="261" t="n">
        <v>53000000</v>
      </c>
      <c r="P14" s="261" t="n">
        <v>60000000</v>
      </c>
      <c r="Q14" s="261" t="n">
        <v>62000000</v>
      </c>
      <c r="R14" s="261" t="n">
        <v>236000000</v>
      </c>
      <c r="S14" s="261" t="n">
        <v>68000000</v>
      </c>
      <c r="T14" s="261" t="n">
        <v>65000000</v>
      </c>
      <c r="U14" s="261" t="n">
        <v>65000000</v>
      </c>
      <c r="V14" s="261" t="n">
        <v>262000000</v>
      </c>
      <c r="W14" s="261" t="n">
        <v>66000000</v>
      </c>
      <c r="X14" s="261" t="n">
        <v>65000000</v>
      </c>
      <c r="Y14" s="261" t="n">
        <v>63000000</v>
      </c>
      <c r="Z14" s="261" t="n">
        <v>257000000</v>
      </c>
      <c r="AA14" s="261" t="n">
        <v>64000000</v>
      </c>
      <c r="AB14" s="261" t="n">
        <v>61000000</v>
      </c>
      <c r="AC14" s="261" t="n">
        <v>61000000</v>
      </c>
      <c r="AD14" s="261" t="n">
        <v>247000000</v>
      </c>
      <c r="AE14" s="261" t="n">
        <v>63000000</v>
      </c>
      <c r="AF14" s="261" t="n">
        <v>62000000</v>
      </c>
      <c r="AG14" s="261" t="n">
        <v>61000000</v>
      </c>
      <c r="AH14" s="261" t="n">
        <v>259000000</v>
      </c>
      <c r="AI14" s="261" t="n">
        <v>102000000</v>
      </c>
      <c r="AJ14" s="261" t="n">
        <v>227000000</v>
      </c>
    </row>
    <row r="15">
      <c r="G15" t="inlineStr">
        <is>
          <t>moeda</t>
        </is>
      </c>
      <c r="H15" t="inlineStr">
        <is>
          <t>Total outras receitas (despesas), liquido</t>
        </is>
      </c>
      <c r="I15" t="inlineStr">
        <is>
          <t>Total other income (expense), net [us-gaap:NonoperatingIncomeExpense]</t>
        </is>
      </c>
      <c r="J15" t="inlineStr">
        <is>
          <t>memoria</t>
        </is>
      </c>
      <c r="K15" s="261" t="n">
        <v>5000000</v>
      </c>
      <c r="L15" s="261" t="n">
        <v>-42000000</v>
      </c>
      <c r="M15" s="261" t="n">
        <v>-50000000</v>
      </c>
      <c r="N15" s="261" t="n">
        <v>-123000000</v>
      </c>
      <c r="O15" s="261" t="n">
        <v>88000000</v>
      </c>
      <c r="P15" s="261" t="n">
        <v>-50000000</v>
      </c>
      <c r="Q15" s="261" t="n">
        <v>-33000000</v>
      </c>
      <c r="R15" s="261" t="n">
        <v>-100000000</v>
      </c>
      <c r="S15" s="261" t="n">
        <v>-63000000</v>
      </c>
      <c r="T15" s="261" t="n">
        <v>-24000000</v>
      </c>
      <c r="U15" s="261" t="n">
        <v>12000000</v>
      </c>
      <c r="V15" s="261" t="n">
        <v>-43000000</v>
      </c>
      <c r="W15" s="261" t="n">
        <v>69000000</v>
      </c>
      <c r="X15" s="261" t="n">
        <v>181000000</v>
      </c>
      <c r="Y15" s="261" t="n">
        <v>105000000</v>
      </c>
      <c r="Z15" s="261" t="n">
        <v>846000000</v>
      </c>
      <c r="AA15" s="261" t="n">
        <v>370000000</v>
      </c>
      <c r="AB15" s="261" t="n">
        <v>572000000</v>
      </c>
      <c r="AC15" s="261" t="n">
        <v>447000000</v>
      </c>
      <c r="AD15" s="261" t="n">
        <v>2573000000</v>
      </c>
      <c r="AE15" s="261" t="n">
        <v>272000000</v>
      </c>
      <c r="AF15" s="261" t="n">
        <v>2766000000</v>
      </c>
      <c r="AG15" s="261" t="n">
        <v>1926000000</v>
      </c>
      <c r="AH15" s="261" t="n">
        <v>11063000000</v>
      </c>
      <c r="AI15" s="261" t="n">
        <v>16367000000</v>
      </c>
      <c r="AJ15" s="261" t="n">
        <v>7773000000</v>
      </c>
    </row>
    <row r="16">
      <c r="G16" t="inlineStr">
        <is>
          <t>moeda</t>
        </is>
      </c>
      <c r="H16" t="inlineStr">
        <is>
          <t>Lucro antes do IR</t>
        </is>
      </c>
      <c r="I16" t="inlineStr">
        <is>
          <t>Income before income tax [us-gaap:IncomeLossFromContinuingOperationsBefore...]</t>
        </is>
      </c>
      <c r="J16" t="inlineStr">
        <is>
          <t>memoria</t>
        </is>
      </c>
      <c r="K16" s="261" t="n"/>
      <c r="L16" s="261" t="n"/>
      <c r="M16" s="261" t="n">
        <v>1348000000</v>
      </c>
      <c r="N16" s="261" t="n">
        <v>4409000000</v>
      </c>
      <c r="O16" s="261" t="n">
        <v>2044000000</v>
      </c>
      <c r="P16" s="261" t="n">
        <v>2394000000</v>
      </c>
      <c r="Q16" s="261" t="n">
        <v>2638000000</v>
      </c>
      <c r="R16" s="261" t="n">
        <v>9941000000</v>
      </c>
      <c r="S16" s="261" t="n">
        <v>1805000000</v>
      </c>
      <c r="T16" s="261" t="n">
        <v>475000000</v>
      </c>
      <c r="U16" s="261" t="n">
        <v>613000000</v>
      </c>
      <c r="V16" s="261" t="n">
        <v>4181000000</v>
      </c>
      <c r="W16" s="261" t="n">
        <v>2209000000</v>
      </c>
      <c r="X16" s="261" t="n">
        <v>6981000000</v>
      </c>
      <c r="Y16" s="261" t="n">
        <v>10522000000</v>
      </c>
      <c r="Z16" s="261" t="n">
        <v>33818000000</v>
      </c>
      <c r="AA16" s="261" t="n">
        <v>17279000000</v>
      </c>
      <c r="AB16" s="261" t="n">
        <v>19214000000</v>
      </c>
      <c r="AC16" s="261" t="n">
        <v>22316000000</v>
      </c>
      <c r="AD16" s="261" t="n">
        <v>84026000000</v>
      </c>
      <c r="AE16" s="261" t="n">
        <v>21910000000</v>
      </c>
      <c r="AF16" s="261" t="n">
        <v>31206000000</v>
      </c>
      <c r="AG16" s="261" t="n">
        <v>37936000000</v>
      </c>
      <c r="AH16" s="261" t="n">
        <v>141450000000</v>
      </c>
      <c r="AI16" s="261" t="n">
        <v>69903000000</v>
      </c>
      <c r="AJ16" s="261" t="n">
        <v>71507000000</v>
      </c>
    </row>
    <row r="17">
      <c r="G17" t="inlineStr">
        <is>
          <t>moeda</t>
        </is>
      </c>
      <c r="H17" t="inlineStr">
        <is>
          <t>Imposto de renda (divulgado positivo)</t>
        </is>
      </c>
      <c r="I17" t="inlineStr">
        <is>
          <t>Income tax expense [us-gaap:IncomeTaxExpenseBenefit]</t>
        </is>
      </c>
      <c r="J17" t="inlineStr">
        <is>
          <t>memoria</t>
        </is>
      </c>
      <c r="K17" s="261" t="n">
        <v>64000000</v>
      </c>
      <c r="L17" s="261" t="n">
        <v>-13000000</v>
      </c>
      <c r="M17" s="261" t="n">
        <v>12000000</v>
      </c>
      <c r="N17" s="261" t="n">
        <v>77000000</v>
      </c>
      <c r="O17" s="261" t="n">
        <v>132000000</v>
      </c>
      <c r="P17" s="261" t="n">
        <v>20000000</v>
      </c>
      <c r="Q17" s="261" t="n">
        <v>174000000</v>
      </c>
      <c r="R17" s="261" t="n">
        <v>189000000</v>
      </c>
      <c r="S17" s="261" t="n">
        <v>187000000</v>
      </c>
      <c r="T17" s="261" t="n">
        <v>-181000000</v>
      </c>
      <c r="U17" s="261" t="n">
        <v>-67000000</v>
      </c>
      <c r="V17" s="261" t="n">
        <v>-187000000</v>
      </c>
      <c r="W17" s="261" t="n">
        <v>166000000</v>
      </c>
      <c r="X17" s="261" t="n">
        <v>793000000</v>
      </c>
      <c r="Y17" s="261" t="n">
        <v>1279000000</v>
      </c>
      <c r="Z17" s="261" t="n">
        <v>4058000000</v>
      </c>
      <c r="AA17" s="261" t="n">
        <v>2398000000</v>
      </c>
      <c r="AB17" s="261" t="n">
        <v>2615000000</v>
      </c>
      <c r="AC17" s="261" t="n">
        <v>3007000000</v>
      </c>
      <c r="AD17" s="261" t="n">
        <v>11146000000</v>
      </c>
      <c r="AE17" s="261" t="n">
        <v>3135000000</v>
      </c>
      <c r="AF17" s="261" t="n">
        <v>4784000000</v>
      </c>
      <c r="AG17" s="261" t="n">
        <v>6026000000</v>
      </c>
      <c r="AH17" s="261" t="n">
        <v>21383000000</v>
      </c>
      <c r="AI17" s="261" t="n">
        <v>11582000000</v>
      </c>
      <c r="AJ17" s="261" t="n">
        <v>11819000000</v>
      </c>
    </row>
    <row r="18">
      <c r="G18" t="inlineStr">
        <is>
          <t>moeda</t>
        </is>
      </c>
      <c r="H18" t="inlineStr">
        <is>
          <t>Lucro liquido</t>
        </is>
      </c>
      <c r="I18" t="inlineStr">
        <is>
          <t>Net income [us-gaap:NetIncomeLoss]</t>
        </is>
      </c>
      <c r="J18" t="inlineStr">
        <is>
          <t>memoria</t>
        </is>
      </c>
      <c r="K18" s="261" t="n">
        <v>917000000</v>
      </c>
      <c r="L18" s="261" t="n">
        <v>622000000</v>
      </c>
      <c r="M18" s="261" t="n">
        <v>1336000000</v>
      </c>
      <c r="N18" s="261" t="n">
        <v>4332000000</v>
      </c>
      <c r="O18" s="261" t="n">
        <v>1912000000</v>
      </c>
      <c r="P18" s="261" t="n">
        <v>2374000000</v>
      </c>
      <c r="Q18" s="261" t="n">
        <v>2464000000</v>
      </c>
      <c r="R18" s="261" t="n">
        <v>9752000000</v>
      </c>
      <c r="S18" s="261" t="n">
        <v>1618000000</v>
      </c>
      <c r="T18" s="261" t="n">
        <v>656000000</v>
      </c>
      <c r="U18" s="261" t="n">
        <v>680000000</v>
      </c>
      <c r="V18" s="261" t="n">
        <v>4368000000</v>
      </c>
      <c r="W18" s="261" t="n">
        <v>2043000000</v>
      </c>
      <c r="X18" s="261" t="n">
        <v>6188000000</v>
      </c>
      <c r="Y18" s="261" t="n">
        <v>9243000000</v>
      </c>
      <c r="Z18" s="261" t="n">
        <v>29760000000</v>
      </c>
      <c r="AA18" s="261" t="n">
        <v>14881000000</v>
      </c>
      <c r="AB18" s="261" t="n">
        <v>16599000000</v>
      </c>
      <c r="AC18" s="261" t="n">
        <v>19309000000</v>
      </c>
      <c r="AD18" s="261" t="n">
        <v>72880000000</v>
      </c>
      <c r="AE18" s="261" t="n">
        <v>18775000000</v>
      </c>
      <c r="AF18" s="261" t="n">
        <v>26422000000</v>
      </c>
      <c r="AG18" s="261" t="n">
        <v>31910000000</v>
      </c>
      <c r="AH18" s="261" t="n">
        <v>120067000000</v>
      </c>
      <c r="AI18" s="261" t="n">
        <v>58321000000</v>
      </c>
      <c r="AJ18" s="261" t="n">
        <v>59688000000</v>
      </c>
    </row>
    <row r="20">
      <c r="H20" s="251" t="inlineStr">
        <is>
          <t>DFC - BRUTO COMO DIVULGADO (USD unidades), ACUMULADO NO ANO FISCAL (3M, 6M, 9M, 12M)</t>
        </is>
      </c>
    </row>
    <row r="21">
      <c r="G21" t="inlineStr">
        <is>
          <t>moeda</t>
        </is>
      </c>
      <c r="H21" t="inlineStr">
        <is>
          <t>Depreciacao e amortizacao (acum.)</t>
        </is>
      </c>
      <c r="I21" t="inlineStr">
        <is>
          <t>Depreciation and amortization, YTD [us-gaap:DepreciationAndAmortization ate 2T FY21; DepreciationDepletionAndAmortization depois]</t>
        </is>
      </c>
      <c r="J21" t="inlineStr">
        <is>
          <t>memoria</t>
        </is>
      </c>
      <c r="K21" s="261" t="n">
        <v>107000000</v>
      </c>
      <c r="L21" s="261" t="n">
        <v>511000000</v>
      </c>
      <c r="M21" s="261" t="n">
        <v>810000000</v>
      </c>
      <c r="N21" s="261" t="n">
        <v>1098000000</v>
      </c>
      <c r="O21" s="261" t="n">
        <v>281000000</v>
      </c>
      <c r="P21" s="261" t="n">
        <v>567000000</v>
      </c>
      <c r="Q21" s="261" t="n">
        <v>865000000</v>
      </c>
      <c r="R21" s="261" t="n">
        <v>1174000000</v>
      </c>
      <c r="S21" s="261" t="n">
        <v>334000000</v>
      </c>
      <c r="T21" s="261" t="n">
        <v>712000000</v>
      </c>
      <c r="U21" s="261" t="n">
        <v>1118000000</v>
      </c>
      <c r="V21" s="261" t="n">
        <v>1544000000</v>
      </c>
      <c r="W21" s="261" t="n">
        <v>384000000</v>
      </c>
      <c r="X21" s="261" t="n">
        <v>749000000</v>
      </c>
      <c r="Y21" s="261" t="n">
        <v>1121000000</v>
      </c>
      <c r="Z21" s="261" t="n">
        <v>1508000000</v>
      </c>
      <c r="AA21" s="261" t="n">
        <v>410000000</v>
      </c>
      <c r="AB21" s="261" t="n">
        <v>843000000</v>
      </c>
      <c r="AC21" s="261" t="n">
        <v>1321000000</v>
      </c>
      <c r="AD21" s="261" t="n">
        <v>1864000000</v>
      </c>
      <c r="AE21" s="261" t="n">
        <v>611000000</v>
      </c>
      <c r="AF21" s="261" t="n">
        <v>1280000000</v>
      </c>
      <c r="AG21" s="261" t="n">
        <v>2031000000</v>
      </c>
      <c r="AH21" s="261" t="n">
        <v>2843000000</v>
      </c>
      <c r="AI21" s="261" t="n">
        <v>997000000</v>
      </c>
      <c r="AJ21" s="261" t="n">
        <v>2124000000</v>
      </c>
    </row>
    <row r="22">
      <c r="G22" t="inlineStr">
        <is>
          <t>moeda</t>
        </is>
      </c>
      <c r="H22" t="inlineStr">
        <is>
          <t>Dividendos pagos (acum.)</t>
        </is>
      </c>
      <c r="I22" t="inlineStr">
        <is>
          <t>Dividends paid, YTD [us-gaap:PaymentsOfDividends]</t>
        </is>
      </c>
      <c r="J22" t="inlineStr">
        <is>
          <t>memoria</t>
        </is>
      </c>
      <c r="K22" s="261" t="n">
        <v>98000000</v>
      </c>
      <c r="L22" s="261" t="n">
        <v>197000000</v>
      </c>
      <c r="M22" s="261" t="n">
        <v>296000000</v>
      </c>
      <c r="N22" s="261" t="n">
        <v>395000000</v>
      </c>
      <c r="O22" s="261" t="n">
        <v>99000000</v>
      </c>
      <c r="P22" s="261" t="n">
        <v>198000000</v>
      </c>
      <c r="Q22" s="261" t="n">
        <v>298000000</v>
      </c>
      <c r="R22" s="261" t="n">
        <v>399000000</v>
      </c>
      <c r="S22" s="261" t="n">
        <v>100000000</v>
      </c>
      <c r="T22" s="261" t="n">
        <v>200000000</v>
      </c>
      <c r="U22" s="261" t="n">
        <v>300000000</v>
      </c>
      <c r="V22" s="261" t="n">
        <v>398000000</v>
      </c>
      <c r="W22" s="261" t="n">
        <v>99000000</v>
      </c>
      <c r="X22" s="261" t="n">
        <v>199000000</v>
      </c>
      <c r="Y22" s="261" t="n">
        <v>296000000</v>
      </c>
      <c r="Z22" s="261" t="n">
        <v>395000000</v>
      </c>
      <c r="AA22" s="261" t="n">
        <v>98000000</v>
      </c>
      <c r="AB22" s="261" t="n">
        <v>344000000</v>
      </c>
      <c r="AC22" s="261" t="n">
        <v>589000000</v>
      </c>
      <c r="AD22" s="261" t="n">
        <v>834000000</v>
      </c>
      <c r="AE22" s="261" t="n">
        <v>244000000</v>
      </c>
      <c r="AF22" s="261" t="n">
        <v>488000000</v>
      </c>
      <c r="AG22" s="261" t="n">
        <v>732000000</v>
      </c>
      <c r="AH22" s="261" t="n">
        <v>974000000</v>
      </c>
      <c r="AI22" s="261" t="n">
        <v>243000000</v>
      </c>
      <c r="AJ22" s="261" t="n">
        <v>6290000000</v>
      </c>
    </row>
    <row r="24">
      <c r="H24" s="251" t="inlineStr">
        <is>
          <t>DRE / DFC TRIMESTRALIZADAS (derivadas por formula) - linhas que alimentam o modelo</t>
        </is>
      </c>
    </row>
    <row r="25">
      <c r="A25" t="n">
        <v>1</v>
      </c>
      <c r="B25" t="n">
        <v>1</v>
      </c>
      <c r="G25" t="inlineStr">
        <is>
          <t>moeda</t>
        </is>
      </c>
      <c r="H25" t="inlineStr">
        <is>
          <t>Receita (trimestre)</t>
        </is>
      </c>
      <c r="I25" t="inlineStr">
        <is>
          <t>Revenue, quarterly</t>
        </is>
      </c>
      <c r="J25" t="inlineStr">
        <is>
          <t>derivada</t>
        </is>
      </c>
      <c r="K25" s="261">
        <f>K6</f>
        <v>3080000000</v>
      </c>
      <c r="L25" s="261">
        <f>L6</f>
        <v>3866000000</v>
      </c>
      <c r="M25" s="261">
        <f>M6</f>
        <v>4726000000</v>
      </c>
      <c r="N25" s="261">
        <f>N6-SUM(K6:M6)</f>
        <v>5003000000</v>
      </c>
      <c r="O25" s="261">
        <f>O6</f>
        <v>5661000000</v>
      </c>
      <c r="P25" s="261">
        <f>P6</f>
        <v>6507000000</v>
      </c>
      <c r="Q25" s="261">
        <f>Q6</f>
        <v>7103000000</v>
      </c>
      <c r="R25" s="261">
        <f>R6-SUM(O6:Q6)</f>
        <v>7643000000</v>
      </c>
      <c r="S25" s="261">
        <f>S6</f>
        <v>8288000000</v>
      </c>
      <c r="T25" s="261">
        <f>T6</f>
        <v>6704000000</v>
      </c>
      <c r="U25" s="261">
        <f>U6</f>
        <v>5931000000</v>
      </c>
      <c r="V25" s="261">
        <f>V6-SUM(S6:U6)</f>
        <v>6051000000</v>
      </c>
      <c r="W25" s="261">
        <f>W6</f>
        <v>7192000000</v>
      </c>
      <c r="X25" s="261">
        <f>X6</f>
        <v>13507000000</v>
      </c>
      <c r="Y25" s="261">
        <f>Y6</f>
        <v>18120000000</v>
      </c>
      <c r="Z25" s="261">
        <f>Z6-SUM(W6:Y6)</f>
        <v>22103000000</v>
      </c>
      <c r="AA25" s="261">
        <f>AA6</f>
        <v>26044000000</v>
      </c>
      <c r="AB25" s="261">
        <f>AB6</f>
        <v>30040000000</v>
      </c>
      <c r="AC25" s="261">
        <f>AC6</f>
        <v>35082000000</v>
      </c>
      <c r="AD25" s="261">
        <f>AD6-SUM(AA6:AC6)</f>
        <v>39331000000</v>
      </c>
      <c r="AE25" s="261">
        <f>AE6</f>
        <v>44062000000</v>
      </c>
      <c r="AF25" s="261">
        <f>AF6</f>
        <v>46743000000</v>
      </c>
      <c r="AG25" s="261">
        <f>AG6</f>
        <v>57006000000</v>
      </c>
      <c r="AH25" s="261">
        <f>AH6-SUM(AE6:AG6)</f>
        <v>68127000000</v>
      </c>
      <c r="AI25" s="261">
        <f>AI6</f>
        <v>81615000000</v>
      </c>
      <c r="AJ25" s="261">
        <f>AJ6</f>
        <v>96221000000</v>
      </c>
    </row>
    <row r="26">
      <c r="A26" t="n">
        <v>2</v>
      </c>
      <c r="B26" t="n">
        <v>-1</v>
      </c>
      <c r="G26" t="inlineStr">
        <is>
          <t>moeda</t>
        </is>
      </c>
      <c r="H26" t="inlineStr">
        <is>
          <t>Custo da receita (trimestre) - inclui a parcela de D&amp;A alocada ao custo</t>
        </is>
      </c>
      <c r="I26" t="inlineStr">
        <is>
          <t>Cost of revenue, quarterly</t>
        </is>
      </c>
      <c r="J26" t="inlineStr">
        <is>
          <t>derivada</t>
        </is>
      </c>
      <c r="K26" s="261">
        <f>K7</f>
        <v>1076000000</v>
      </c>
      <c r="L26" s="261">
        <f>L7</f>
        <v>1591000000</v>
      </c>
      <c r="M26" s="261">
        <f>M7</f>
        <v>1766000000</v>
      </c>
      <c r="N26" s="261">
        <f>N7-SUM(K7:M7)</f>
        <v>1846000000</v>
      </c>
      <c r="O26" s="261">
        <f>O7</f>
        <v>2032000000</v>
      </c>
      <c r="P26" s="261">
        <f>P7</f>
        <v>2292000000</v>
      </c>
      <c r="Q26" s="261">
        <f>Q7</f>
        <v>2472000000</v>
      </c>
      <c r="R26" s="261">
        <f>R7-SUM(O7:Q7)</f>
        <v>2643000000</v>
      </c>
      <c r="S26" s="261">
        <f>S7</f>
        <v>2857000000</v>
      </c>
      <c r="T26" s="261">
        <f>T7</f>
        <v>3789000000</v>
      </c>
      <c r="U26" s="261">
        <f>U7</f>
        <v>2754000000</v>
      </c>
      <c r="V26" s="261">
        <f>V7-SUM(S7:U7)</f>
        <v>2218000000</v>
      </c>
      <c r="W26" s="261">
        <f>W7</f>
        <v>2544000000</v>
      </c>
      <c r="X26" s="261">
        <f>X7</f>
        <v>4045000000</v>
      </c>
      <c r="Y26" s="261">
        <f>Y7</f>
        <v>4720000000</v>
      </c>
      <c r="Z26" s="261">
        <f>Z7-SUM(W7:Y7)</f>
        <v>5312000000</v>
      </c>
      <c r="AA26" s="261">
        <f>AA7</f>
        <v>5638000000</v>
      </c>
      <c r="AB26" s="261">
        <f>AB7</f>
        <v>7466000000</v>
      </c>
      <c r="AC26" s="261">
        <f>AC7</f>
        <v>8926000000</v>
      </c>
      <c r="AD26" s="261">
        <f>AD7-SUM(AA7:AC7)</f>
        <v>10609000000</v>
      </c>
      <c r="AE26" s="261">
        <f>AE7</f>
        <v>17394000000</v>
      </c>
      <c r="AF26" s="261">
        <f>AF7</f>
        <v>12890000000</v>
      </c>
      <c r="AG26" s="261">
        <f>AG7</f>
        <v>15157000000</v>
      </c>
      <c r="AH26" s="261">
        <f>AH7-SUM(AE7:AG7)</f>
        <v>17034000000</v>
      </c>
      <c r="AI26" s="261">
        <f>AI7</f>
        <v>20458000000</v>
      </c>
      <c r="AJ26" s="261">
        <f>AJ7</f>
        <v>24079000000</v>
      </c>
    </row>
    <row r="27">
      <c r="A27" t="n">
        <v>3</v>
      </c>
      <c r="B27" t="n">
        <v>-1</v>
      </c>
      <c r="G27" t="inlineStr">
        <is>
          <t>moeda</t>
        </is>
      </c>
      <c r="H27" t="inlineStr">
        <is>
          <t>Total de despesas operacionais (trimestre) - P&amp;D + SG&amp;A + outros</t>
        </is>
      </c>
      <c r="I27" t="inlineStr">
        <is>
          <t>Total operating expenses, quarterly</t>
        </is>
      </c>
      <c r="J27" t="inlineStr">
        <is>
          <t>derivada</t>
        </is>
      </c>
      <c r="K27" s="261">
        <f>K11</f>
        <v>1028000000</v>
      </c>
      <c r="L27" s="261">
        <f>L11</f>
        <v>1624000000</v>
      </c>
      <c r="M27" s="261">
        <f>M11</f>
        <v>1562000000</v>
      </c>
      <c r="N27" s="261">
        <f>N11-SUM(K11:M11)</f>
        <v>1650000000</v>
      </c>
      <c r="O27" s="261">
        <f>O11</f>
        <v>1673000000</v>
      </c>
      <c r="P27" s="261">
        <f>P11</f>
        <v>1771000000</v>
      </c>
      <c r="Q27" s="261">
        <f>Q11</f>
        <v>1960000000</v>
      </c>
      <c r="R27" s="261">
        <f>R11-SUM(O11:Q11)</f>
        <v>2030000000</v>
      </c>
      <c r="S27" s="261">
        <f>S11</f>
        <v>3563000000</v>
      </c>
      <c r="T27" s="261">
        <f>T11</f>
        <v>2416000000</v>
      </c>
      <c r="U27" s="261">
        <f>U11</f>
        <v>2576000000</v>
      </c>
      <c r="V27" s="261">
        <f>V11-SUM(S11:U11)</f>
        <v>2577000000</v>
      </c>
      <c r="W27" s="261">
        <f>W11</f>
        <v>2508000000</v>
      </c>
      <c r="X27" s="261">
        <f>X11</f>
        <v>2662000000</v>
      </c>
      <c r="Y27" s="261">
        <f>Y11</f>
        <v>2983000000</v>
      </c>
      <c r="Z27" s="261">
        <f>Z11-SUM(W11:Y11)</f>
        <v>3176000000</v>
      </c>
      <c r="AA27" s="261">
        <f>AA11</f>
        <v>3497000000</v>
      </c>
      <c r="AB27" s="261">
        <f>AB11</f>
        <v>3932000000</v>
      </c>
      <c r="AC27" s="261">
        <f>AC11</f>
        <v>4287000000</v>
      </c>
      <c r="AD27" s="261">
        <f>AD11-SUM(AA11:AC11)</f>
        <v>4689000000</v>
      </c>
      <c r="AE27" s="261">
        <f>AE11</f>
        <v>5030000000</v>
      </c>
      <c r="AF27" s="261">
        <f>AF11</f>
        <v>5413000000</v>
      </c>
      <c r="AG27" s="261">
        <f>AG11</f>
        <v>5839000000</v>
      </c>
      <c r="AH27" s="261">
        <f>AH11-SUM(AE11:AG11)</f>
        <v>6794000000</v>
      </c>
      <c r="AI27" s="261">
        <f>AI11</f>
        <v>7621000000</v>
      </c>
      <c r="AJ27" s="261">
        <f>AJ11</f>
        <v>8408000000</v>
      </c>
    </row>
    <row r="28">
      <c r="A28" t="n">
        <v>4</v>
      </c>
      <c r="B28" t="n">
        <v>-1</v>
      </c>
      <c r="C28" t="n">
        <v>3</v>
      </c>
      <c r="D28" t="n">
        <v>1</v>
      </c>
      <c r="G28" t="inlineStr">
        <is>
          <t>moeda</t>
        </is>
      </c>
      <c r="H28" t="inlineStr">
        <is>
          <t>D&amp;A (trimestre). COD1=4 lanca D&amp;A; COD2=3 estorna o mesmo valor do SG&amp;A and Other para deixa-lo caixa</t>
        </is>
      </c>
      <c r="I28" t="inlineStr">
        <is>
          <t>D&amp;A, quarterly (cod 4) and reclass out of opex (cod 3)</t>
        </is>
      </c>
      <c r="J28" t="inlineStr">
        <is>
          <t>derivada</t>
        </is>
      </c>
      <c r="K28" s="261">
        <f>K21</f>
        <v>107000000</v>
      </c>
      <c r="L28" s="261">
        <f>L21-K21</f>
        <v>404000000</v>
      </c>
      <c r="M28" s="261">
        <f>M21-L21</f>
        <v>299000000</v>
      </c>
      <c r="N28" s="261">
        <f>N21-M21</f>
        <v>288000000</v>
      </c>
      <c r="O28" s="261">
        <f>O21</f>
        <v>281000000</v>
      </c>
      <c r="P28" s="261">
        <f>P21-O21</f>
        <v>286000000</v>
      </c>
      <c r="Q28" s="261">
        <f>Q21-P21</f>
        <v>298000000</v>
      </c>
      <c r="R28" s="261">
        <f>R21-Q21</f>
        <v>309000000</v>
      </c>
      <c r="S28" s="261">
        <f>S21</f>
        <v>334000000</v>
      </c>
      <c r="T28" s="261">
        <f>T21-S21</f>
        <v>378000000</v>
      </c>
      <c r="U28" s="261">
        <f>U21-T21</f>
        <v>406000000</v>
      </c>
      <c r="V28" s="261">
        <f>V21-U21</f>
        <v>426000000</v>
      </c>
      <c r="W28" s="261">
        <f>W21</f>
        <v>384000000</v>
      </c>
      <c r="X28" s="261">
        <f>X21-W21</f>
        <v>365000000</v>
      </c>
      <c r="Y28" s="261">
        <f>Y21-X21</f>
        <v>372000000</v>
      </c>
      <c r="Z28" s="261">
        <f>Z21-Y21</f>
        <v>387000000</v>
      </c>
      <c r="AA28" s="261">
        <f>AA21</f>
        <v>410000000</v>
      </c>
      <c r="AB28" s="261">
        <f>AB21-AA21</f>
        <v>433000000</v>
      </c>
      <c r="AC28" s="261">
        <f>AC21-AB21</f>
        <v>478000000</v>
      </c>
      <c r="AD28" s="261">
        <f>AD21-AC21</f>
        <v>543000000</v>
      </c>
      <c r="AE28" s="261">
        <f>AE21</f>
        <v>611000000</v>
      </c>
      <c r="AF28" s="261">
        <f>AF21-AE21</f>
        <v>669000000</v>
      </c>
      <c r="AG28" s="261">
        <f>AG21-AF21</f>
        <v>751000000</v>
      </c>
      <c r="AH28" s="261">
        <f>AH21-AG21</f>
        <v>812000000</v>
      </c>
      <c r="AI28" s="261">
        <f>AI21</f>
        <v>997000000</v>
      </c>
      <c r="AJ28" s="261">
        <f>AJ21-AI21</f>
        <v>1127000000</v>
      </c>
    </row>
    <row r="29">
      <c r="A29" t="n">
        <v>5</v>
      </c>
      <c r="B29" t="n">
        <v>-1</v>
      </c>
      <c r="C29" t="n">
        <v>6</v>
      </c>
      <c r="D29" t="n">
        <v>1</v>
      </c>
      <c r="G29" t="inlineStr">
        <is>
          <t>moeda</t>
        </is>
      </c>
      <c r="H29" t="inlineStr">
        <is>
          <t>Despesa de juros (trimestre). COD1=5 lanca juros; COD2=6 devolve ao total de outras receitas, que ja o desconta</t>
        </is>
      </c>
      <c r="I29" t="inlineStr">
        <is>
          <t>Interest expense, quarterly (cod 5) and add-back to other income total (cod 6)</t>
        </is>
      </c>
      <c r="J29" t="inlineStr">
        <is>
          <t>derivada</t>
        </is>
      </c>
      <c r="K29" s="261">
        <f>K14</f>
        <v>25000000</v>
      </c>
      <c r="L29" s="261">
        <f>L14</f>
        <v>54000000</v>
      </c>
      <c r="M29" s="261">
        <f>M14</f>
        <v>53000000</v>
      </c>
      <c r="N29" s="261">
        <f>N14-SUM(K14:M14)</f>
        <v>52000000</v>
      </c>
      <c r="O29" s="261">
        <f>O14</f>
        <v>53000000</v>
      </c>
      <c r="P29" s="261">
        <f>P14</f>
        <v>60000000</v>
      </c>
      <c r="Q29" s="261">
        <f>Q14</f>
        <v>62000000</v>
      </c>
      <c r="R29" s="261">
        <f>R14-SUM(O14:Q14)</f>
        <v>61000000</v>
      </c>
      <c r="S29" s="261">
        <f>S14</f>
        <v>68000000</v>
      </c>
      <c r="T29" s="261">
        <f>T14</f>
        <v>65000000</v>
      </c>
      <c r="U29" s="261">
        <f>U14</f>
        <v>65000000</v>
      </c>
      <c r="V29" s="261">
        <f>V14-SUM(S14:U14)</f>
        <v>64000000</v>
      </c>
      <c r="W29" s="261">
        <f>W14</f>
        <v>66000000</v>
      </c>
      <c r="X29" s="261">
        <f>X14</f>
        <v>65000000</v>
      </c>
      <c r="Y29" s="261">
        <f>Y14</f>
        <v>63000000</v>
      </c>
      <c r="Z29" s="261">
        <f>Z14-SUM(W14:Y14)</f>
        <v>63000000</v>
      </c>
      <c r="AA29" s="261">
        <f>AA14</f>
        <v>64000000</v>
      </c>
      <c r="AB29" s="261">
        <f>AB14</f>
        <v>61000000</v>
      </c>
      <c r="AC29" s="261">
        <f>AC14</f>
        <v>61000000</v>
      </c>
      <c r="AD29" s="261">
        <f>AD14-SUM(AA14:AC14)</f>
        <v>61000000</v>
      </c>
      <c r="AE29" s="261">
        <f>AE14</f>
        <v>63000000</v>
      </c>
      <c r="AF29" s="261">
        <f>AF14</f>
        <v>62000000</v>
      </c>
      <c r="AG29" s="261">
        <f>AG14</f>
        <v>61000000</v>
      </c>
      <c r="AH29" s="261">
        <f>AH14-SUM(AE14:AG14)</f>
        <v>73000000</v>
      </c>
      <c r="AI29" s="261">
        <f>AI14</f>
        <v>102000000</v>
      </c>
      <c r="AJ29" s="261">
        <f>AJ14</f>
        <v>227000000</v>
      </c>
    </row>
    <row r="30">
      <c r="A30" t="n">
        <v>6</v>
      </c>
      <c r="B30" t="n">
        <v>1</v>
      </c>
      <c r="G30" t="inlineStr">
        <is>
          <t>moeda</t>
        </is>
      </c>
      <c r="H30" t="inlineStr">
        <is>
          <t>Total outras receitas (despesas), liquido (trimestre)</t>
        </is>
      </c>
      <c r="I30" t="inlineStr">
        <is>
          <t>Total other income (expense), net, quarterly</t>
        </is>
      </c>
      <c r="J30" t="inlineStr">
        <is>
          <t>derivada</t>
        </is>
      </c>
      <c r="K30" s="261">
        <f>K15</f>
        <v>5000000</v>
      </c>
      <c r="L30" s="261">
        <f>L15</f>
        <v>-42000000</v>
      </c>
      <c r="M30" s="261">
        <f>M15</f>
        <v>-50000000</v>
      </c>
      <c r="N30" s="261">
        <f>N15-SUM(K15:M15)</f>
        <v>-36000000</v>
      </c>
      <c r="O30" s="261">
        <f>O15</f>
        <v>88000000</v>
      </c>
      <c r="P30" s="261">
        <f>P15</f>
        <v>-50000000</v>
      </c>
      <c r="Q30" s="261">
        <f>Q15</f>
        <v>-33000000</v>
      </c>
      <c r="R30" s="261">
        <f>R15-SUM(O15:Q15)</f>
        <v>-105000000</v>
      </c>
      <c r="S30" s="261">
        <f>S15</f>
        <v>-63000000</v>
      </c>
      <c r="T30" s="261">
        <f>T15</f>
        <v>-24000000</v>
      </c>
      <c r="U30" s="261">
        <f>U15</f>
        <v>12000000</v>
      </c>
      <c r="V30" s="261">
        <f>V15-SUM(S15:U15)</f>
        <v>32000000</v>
      </c>
      <c r="W30" s="261">
        <f>W15</f>
        <v>69000000</v>
      </c>
      <c r="X30" s="261">
        <f>X15</f>
        <v>181000000</v>
      </c>
      <c r="Y30" s="261">
        <f>Y15</f>
        <v>105000000</v>
      </c>
      <c r="Z30" s="261">
        <f>Z15-SUM(W15:Y15)</f>
        <v>491000000</v>
      </c>
      <c r="AA30" s="261">
        <f>AA15</f>
        <v>370000000</v>
      </c>
      <c r="AB30" s="261">
        <f>AB15</f>
        <v>572000000</v>
      </c>
      <c r="AC30" s="261">
        <f>AC15</f>
        <v>447000000</v>
      </c>
      <c r="AD30" s="261">
        <f>AD15-SUM(AA15:AC15)</f>
        <v>1184000000</v>
      </c>
      <c r="AE30" s="261">
        <f>AE15</f>
        <v>272000000</v>
      </c>
      <c r="AF30" s="261">
        <f>AF15</f>
        <v>2766000000</v>
      </c>
      <c r="AG30" s="261">
        <f>AG15</f>
        <v>1926000000</v>
      </c>
      <c r="AH30" s="261">
        <f>AH15-SUM(AE15:AG15)</f>
        <v>6099000000</v>
      </c>
      <c r="AI30" s="261">
        <f>AI15</f>
        <v>16367000000</v>
      </c>
      <c r="AJ30" s="261">
        <f>AJ15</f>
        <v>7773000000</v>
      </c>
    </row>
    <row r="31">
      <c r="A31" t="n">
        <v>7</v>
      </c>
      <c r="B31" t="n">
        <v>-1</v>
      </c>
      <c r="G31" t="inlineStr">
        <is>
          <t>moeda</t>
        </is>
      </c>
      <c r="H31" t="inlineStr">
        <is>
          <t>Imposto de renda (trimestre)</t>
        </is>
      </c>
      <c r="I31" t="inlineStr">
        <is>
          <t>Income tax expense, quarterly</t>
        </is>
      </c>
      <c r="J31" t="inlineStr">
        <is>
          <t>derivada</t>
        </is>
      </c>
      <c r="K31" s="261">
        <f>K17</f>
        <v>64000000</v>
      </c>
      <c r="L31" s="261">
        <f>L17</f>
        <v>-13000000</v>
      </c>
      <c r="M31" s="261">
        <f>M17</f>
        <v>12000000</v>
      </c>
      <c r="N31" s="261">
        <f>N17-SUM(K17:M17)</f>
        <v>14000000</v>
      </c>
      <c r="O31" s="261">
        <f>O17</f>
        <v>132000000</v>
      </c>
      <c r="P31" s="261">
        <f>P17</f>
        <v>20000000</v>
      </c>
      <c r="Q31" s="261">
        <f>Q17</f>
        <v>174000000</v>
      </c>
      <c r="R31" s="261">
        <f>R17-SUM(O17:Q17)</f>
        <v>-137000000</v>
      </c>
      <c r="S31" s="261">
        <f>S17</f>
        <v>187000000</v>
      </c>
      <c r="T31" s="261">
        <f>T17</f>
        <v>-181000000</v>
      </c>
      <c r="U31" s="261">
        <f>U17</f>
        <v>-67000000</v>
      </c>
      <c r="V31" s="261">
        <f>V17-SUM(S17:U17)</f>
        <v>-126000000</v>
      </c>
      <c r="W31" s="261">
        <f>W17</f>
        <v>166000000</v>
      </c>
      <c r="X31" s="261">
        <f>X17</f>
        <v>793000000</v>
      </c>
      <c r="Y31" s="261">
        <f>Y17</f>
        <v>1279000000</v>
      </c>
      <c r="Z31" s="261">
        <f>Z17-SUM(W17:Y17)</f>
        <v>1820000000</v>
      </c>
      <c r="AA31" s="261">
        <f>AA17</f>
        <v>2398000000</v>
      </c>
      <c r="AB31" s="261">
        <f>AB17</f>
        <v>2615000000</v>
      </c>
      <c r="AC31" s="261">
        <f>AC17</f>
        <v>3007000000</v>
      </c>
      <c r="AD31" s="261">
        <f>AD17-SUM(AA17:AC17)</f>
        <v>3126000000</v>
      </c>
      <c r="AE31" s="261">
        <f>AE17</f>
        <v>3135000000</v>
      </c>
      <c r="AF31" s="261">
        <f>AF17</f>
        <v>4784000000</v>
      </c>
      <c r="AG31" s="261">
        <f>AG17</f>
        <v>6026000000</v>
      </c>
      <c r="AH31" s="261">
        <f>AH17-SUM(AE17:AG17)</f>
        <v>7438000000</v>
      </c>
      <c r="AI31" s="261">
        <f>AI17</f>
        <v>11582000000</v>
      </c>
      <c r="AJ31" s="261">
        <f>AJ17</f>
        <v>11819000000</v>
      </c>
    </row>
    <row r="32">
      <c r="A32" t="n">
        <v>10</v>
      </c>
      <c r="B32" t="n">
        <v>-1</v>
      </c>
      <c r="G32" t="inlineStr">
        <is>
          <t>moeda</t>
        </is>
      </c>
      <c r="H32" t="inlineStr">
        <is>
          <t>Dividendos pagos (trimestre)</t>
        </is>
      </c>
      <c r="I32" t="inlineStr">
        <is>
          <t>Dividends paid, quarterly</t>
        </is>
      </c>
      <c r="J32" t="inlineStr">
        <is>
          <t>derivada</t>
        </is>
      </c>
      <c r="K32" s="261">
        <f>K22</f>
        <v>98000000</v>
      </c>
      <c r="L32" s="261">
        <f>L22-K22</f>
        <v>99000000</v>
      </c>
      <c r="M32" s="261">
        <f>M22-L22</f>
        <v>99000000</v>
      </c>
      <c r="N32" s="261">
        <f>N22-M22</f>
        <v>99000000</v>
      </c>
      <c r="O32" s="261">
        <f>O22</f>
        <v>99000000</v>
      </c>
      <c r="P32" s="261">
        <f>P22-O22</f>
        <v>99000000</v>
      </c>
      <c r="Q32" s="261">
        <f>Q22-P22</f>
        <v>100000000</v>
      </c>
      <c r="R32" s="261">
        <f>R22-Q22</f>
        <v>101000000</v>
      </c>
      <c r="S32" s="261">
        <f>S22</f>
        <v>100000000</v>
      </c>
      <c r="T32" s="261">
        <f>T22-S22</f>
        <v>100000000</v>
      </c>
      <c r="U32" s="261">
        <f>U22-T22</f>
        <v>100000000</v>
      </c>
      <c r="V32" s="261">
        <f>V22-U22</f>
        <v>98000000</v>
      </c>
      <c r="W32" s="261">
        <f>W22</f>
        <v>99000000</v>
      </c>
      <c r="X32" s="261">
        <f>X22-W22</f>
        <v>100000000</v>
      </c>
      <c r="Y32" s="261">
        <f>Y22-X22</f>
        <v>97000000</v>
      </c>
      <c r="Z32" s="261">
        <f>Z22-Y22</f>
        <v>99000000</v>
      </c>
      <c r="AA32" s="261">
        <f>AA22</f>
        <v>98000000</v>
      </c>
      <c r="AB32" s="261">
        <f>AB22-AA22</f>
        <v>246000000</v>
      </c>
      <c r="AC32" s="261">
        <f>AC22-AB22</f>
        <v>245000000</v>
      </c>
      <c r="AD32" s="261">
        <f>AD22-AC22</f>
        <v>245000000</v>
      </c>
      <c r="AE32" s="261">
        <f>AE22</f>
        <v>244000000</v>
      </c>
      <c r="AF32" s="261">
        <f>AF22-AE22</f>
        <v>244000000</v>
      </c>
      <c r="AG32" s="261">
        <f>AG22-AF22</f>
        <v>244000000</v>
      </c>
      <c r="AH32" s="261">
        <f>AH22-AG22</f>
        <v>242000000</v>
      </c>
      <c r="AI32" s="261">
        <f>AI22</f>
        <v>243000000</v>
      </c>
      <c r="AJ32" s="261">
        <f>AJ22-AI22</f>
        <v>6047000000</v>
      </c>
    </row>
    <row r="33">
      <c r="A33" t="n">
        <v>44</v>
      </c>
      <c r="B33" t="n">
        <v>1</v>
      </c>
      <c r="G33" t="inlineStr">
        <is>
          <t>moeda</t>
        </is>
      </c>
      <c r="H33" t="inlineStr">
        <is>
          <t>Lucro liquido (trimestre) - COD 44 alimenta o check IS do Model (linha 4)</t>
        </is>
      </c>
      <c r="I33" t="inlineStr">
        <is>
          <t>Net income, quarterly (memo)</t>
        </is>
      </c>
      <c r="J33" t="inlineStr">
        <is>
          <t>derivada</t>
        </is>
      </c>
      <c r="K33" s="261">
        <f>K18</f>
        <v>917000000</v>
      </c>
      <c r="L33" s="261">
        <f>L18</f>
        <v>622000000</v>
      </c>
      <c r="M33" s="261">
        <f>M18</f>
        <v>1336000000</v>
      </c>
      <c r="N33" s="261">
        <f>N18-SUM(K18:M18)</f>
        <v>1457000000</v>
      </c>
      <c r="O33" s="261">
        <f>O18</f>
        <v>1912000000</v>
      </c>
      <c r="P33" s="261">
        <f>P18</f>
        <v>2374000000</v>
      </c>
      <c r="Q33" s="261">
        <f>Q18</f>
        <v>2464000000</v>
      </c>
      <c r="R33" s="261">
        <f>R18-SUM(O18:Q18)</f>
        <v>3002000000</v>
      </c>
      <c r="S33" s="261">
        <f>S18</f>
        <v>1618000000</v>
      </c>
      <c r="T33" s="261">
        <f>T18</f>
        <v>656000000</v>
      </c>
      <c r="U33" s="261">
        <f>U18</f>
        <v>680000000</v>
      </c>
      <c r="V33" s="261">
        <f>V18-SUM(S18:U18)</f>
        <v>1414000000</v>
      </c>
      <c r="W33" s="261">
        <f>W18</f>
        <v>2043000000</v>
      </c>
      <c r="X33" s="261">
        <f>X18</f>
        <v>6188000000</v>
      </c>
      <c r="Y33" s="261">
        <f>Y18</f>
        <v>9243000000</v>
      </c>
      <c r="Z33" s="261">
        <f>Z18-SUM(W18:Y18)</f>
        <v>12286000000</v>
      </c>
      <c r="AA33" s="261">
        <f>AA18</f>
        <v>14881000000</v>
      </c>
      <c r="AB33" s="261">
        <f>AB18</f>
        <v>16599000000</v>
      </c>
      <c r="AC33" s="261">
        <f>AC18</f>
        <v>19309000000</v>
      </c>
      <c r="AD33" s="261">
        <f>AD18-SUM(AA18:AC18)</f>
        <v>22091000000</v>
      </c>
      <c r="AE33" s="261">
        <f>AE18</f>
        <v>18775000000</v>
      </c>
      <c r="AF33" s="261">
        <f>AF18</f>
        <v>26422000000</v>
      </c>
      <c r="AG33" s="261">
        <f>AG18</f>
        <v>31910000000</v>
      </c>
      <c r="AH33" s="261">
        <f>AH18-SUM(AE18:AG18)</f>
        <v>42960000000</v>
      </c>
      <c r="AI33" s="261">
        <f>AI18</f>
        <v>58321000000</v>
      </c>
      <c r="AJ33" s="261">
        <f>AJ18</f>
        <v>59688000000</v>
      </c>
    </row>
    <row r="34">
      <c r="G34" t="inlineStr">
        <is>
          <t>moeda</t>
        </is>
      </c>
      <c r="H34" t="inlineStr">
        <is>
          <t>CHECK: receita - custo - despesas op. + outras receitas - IR - lucro divulgado (deve ser 0)</t>
        </is>
      </c>
      <c r="I34" t="inlineStr">
        <is>
          <t>Check: NI rebuilt from codes 1-7 less reported NI</t>
        </is>
      </c>
      <c r="J34" t="inlineStr">
        <is>
          <t>derivada</t>
        </is>
      </c>
      <c r="K34" s="261">
        <f>K25-K26-K27+K30-K31-K33</f>
        <v>0</v>
      </c>
      <c r="L34" s="261">
        <f>L25-L26-L27+L30-L31-L33</f>
        <v>0</v>
      </c>
      <c r="M34" s="261">
        <f>M25-M26-M27+M30-M31-M33</f>
        <v>0</v>
      </c>
      <c r="N34" s="261">
        <f>N25-N26-N27+N30-N31-N33</f>
        <v>0</v>
      </c>
      <c r="O34" s="261">
        <f>O25-O26-O27+O30-O31-O33</f>
        <v>0</v>
      </c>
      <c r="P34" s="261">
        <f>P25-P26-P27+P30-P31-P33</f>
        <v>0</v>
      </c>
      <c r="Q34" s="261">
        <f>Q25-Q26-Q27+Q30-Q31-Q33</f>
        <v>0</v>
      </c>
      <c r="R34" s="261">
        <f>R25-R26-R27+R30-R31-R33</f>
        <v>0</v>
      </c>
      <c r="S34" s="261">
        <f>S25-S26-S27+S30-S31-S33</f>
        <v>0</v>
      </c>
      <c r="T34" s="261">
        <f>T25-T26-T27+T30-T31-T33</f>
        <v>0</v>
      </c>
      <c r="U34" s="261">
        <f>U25-U26-U27+U30-U31-U33</f>
        <v>0</v>
      </c>
      <c r="V34" s="261">
        <f>V25-V26-V27+V30-V31-V33</f>
        <v>0</v>
      </c>
      <c r="W34" s="261">
        <f>W25-W26-W27+W30-W31-W33</f>
        <v>0</v>
      </c>
      <c r="X34" s="261">
        <f>X25-X26-X27+X30-X31-X33</f>
        <v>0</v>
      </c>
      <c r="Y34" s="261">
        <f>Y25-Y26-Y27+Y30-Y31-Y33</f>
        <v>0</v>
      </c>
      <c r="Z34" s="261">
        <f>Z25-Z26-Z27+Z30-Z31-Z33</f>
        <v>0</v>
      </c>
      <c r="AA34" s="261">
        <f>AA25-AA26-AA27+AA30-AA31-AA33</f>
        <v>0</v>
      </c>
      <c r="AB34" s="261">
        <f>AB25-AB26-AB27+AB30-AB31-AB33</f>
        <v>0</v>
      </c>
      <c r="AC34" s="261">
        <f>AC25-AC26-AC27+AC30-AC31-AC33</f>
        <v>0</v>
      </c>
      <c r="AD34" s="261">
        <f>AD25-AD26-AD27+AD30-AD31-AD33</f>
        <v>0</v>
      </c>
      <c r="AE34" s="261">
        <f>AE25-AE26-AE27+AE30-AE31-AE33</f>
        <v>0</v>
      </c>
      <c r="AF34" s="261">
        <f>AF25-AF26-AF27+AF30-AF31-AF33</f>
        <v>0</v>
      </c>
      <c r="AG34" s="261">
        <f>AG25-AG26-AG27+AG30-AG31-AG33</f>
        <v>0</v>
      </c>
      <c r="AH34" s="261">
        <f>AH25-AH26-AH27+AH30-AH31-AH33</f>
        <v>0</v>
      </c>
      <c r="AI34" s="261">
        <f>AI25-AI26-AI27+AI30-AI31-AI33</f>
        <v>0</v>
      </c>
      <c r="AJ34" s="261">
        <f>AJ25-AJ26-AJ27+AJ30-AJ31-AJ33</f>
        <v>0</v>
      </c>
    </row>
    <row r="35">
      <c r="G35" t="inlineStr">
        <is>
          <t>moeda</t>
        </is>
      </c>
      <c r="H35" t="inlineStr">
        <is>
          <t>[vazio] cod 8 Equity in Income of Affiliates: NVIDIA nao tem resultado de equivalencia patrimonial na DRE</t>
        </is>
      </c>
      <c r="J35" t="inlineStr">
        <is>
          <t>memoria</t>
        </is>
      </c>
      <c r="K35" s="261" t="n"/>
      <c r="L35" s="261" t="n"/>
      <c r="M35" s="261" t="n"/>
      <c r="N35" s="261" t="n"/>
      <c r="O35" s="261" t="n"/>
      <c r="P35" s="261" t="n"/>
      <c r="Q35" s="261" t="n"/>
      <c r="R35" s="261" t="n"/>
      <c r="S35" s="261" t="n"/>
      <c r="T35" s="261" t="n"/>
      <c r="U35" s="261" t="n"/>
      <c r="V35" s="261" t="n"/>
      <c r="W35" s="261" t="n"/>
      <c r="X35" s="261" t="n"/>
      <c r="Y35" s="261" t="n"/>
      <c r="Z35" s="261" t="n"/>
      <c r="AA35" s="261" t="n"/>
      <c r="AB35" s="261" t="n"/>
      <c r="AC35" s="261" t="n"/>
      <c r="AD35" s="261" t="n"/>
      <c r="AE35" s="261" t="n"/>
      <c r="AF35" s="261" t="n"/>
      <c r="AG35" s="261" t="n"/>
      <c r="AH35" s="261" t="n"/>
      <c r="AI35" s="261" t="n"/>
      <c r="AJ35" s="261" t="n"/>
    </row>
    <row r="36">
      <c r="G36" t="inlineStr">
        <is>
          <t>moeda</t>
        </is>
      </c>
      <c r="H36" t="inlineStr">
        <is>
          <t>[vazio] cod 9 Minority Interest: NVIDIA nao tem participacao de nao controladores</t>
        </is>
      </c>
      <c r="J36" t="inlineStr">
        <is>
          <t>memoria</t>
        </is>
      </c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  <c r="U36" s="261" t="n"/>
      <c r="V36" s="261" t="n"/>
      <c r="W36" s="261" t="n"/>
      <c r="X36" s="261" t="n"/>
      <c r="Y36" s="261" t="n"/>
      <c r="Z36" s="261" t="n"/>
      <c r="AA36" s="261" t="n"/>
      <c r="AB36" s="261" t="n"/>
      <c r="AC36" s="261" t="n"/>
      <c r="AD36" s="261" t="n"/>
      <c r="AE36" s="261" t="n"/>
      <c r="AF36" s="261" t="n"/>
      <c r="AG36" s="261" t="n"/>
      <c r="AH36" s="261" t="n"/>
      <c r="AI36" s="261" t="n"/>
      <c r="AJ36" s="261" t="n"/>
    </row>
    <row r="38">
      <c r="H38" s="251" t="inlineStr">
        <is>
          <t>BALANCO PATRIMONIAL - ATIVO (USD unidades, saldo no fim do trimestre fiscal)</t>
        </is>
      </c>
    </row>
    <row r="39">
      <c r="A39" t="n">
        <v>11</v>
      </c>
      <c r="B39" t="n">
        <v>1</v>
      </c>
      <c r="G39" t="inlineStr">
        <is>
          <t>moeda</t>
        </is>
      </c>
      <c r="H39" t="inlineStr">
        <is>
          <t>Caixa e equivalentes</t>
        </is>
      </c>
      <c r="I39" t="inlineStr">
        <is>
          <t>Cash and cash equivalents [us-gaap:CashAndCashEquivalentsAtCarryingValue]</t>
        </is>
      </c>
      <c r="J39" t="inlineStr">
        <is>
          <t>fonte</t>
        </is>
      </c>
      <c r="K39" s="261" t="n">
        <v>15494000000</v>
      </c>
      <c r="L39" s="261" t="n">
        <v>3274000000</v>
      </c>
      <c r="M39" s="261" t="n">
        <v>2251000000</v>
      </c>
      <c r="N39" s="261" t="n">
        <v>847000000</v>
      </c>
      <c r="O39" s="261" t="n">
        <v>978000000</v>
      </c>
      <c r="P39" s="261" t="n">
        <v>5628000000</v>
      </c>
      <c r="Q39" s="261" t="n">
        <v>1288000000</v>
      </c>
      <c r="R39" s="261" t="n">
        <v>1990000000</v>
      </c>
      <c r="S39" s="261" t="n">
        <v>3887000000</v>
      </c>
      <c r="T39" s="261" t="n">
        <v>3013000000</v>
      </c>
      <c r="U39" s="261" t="n">
        <v>2800000000</v>
      </c>
      <c r="V39" s="261" t="n">
        <v>3389000000</v>
      </c>
      <c r="W39" s="261" t="n">
        <v>5079000000</v>
      </c>
      <c r="X39" s="261" t="n">
        <v>5783000000</v>
      </c>
      <c r="Y39" s="261" t="n">
        <v>5519000000</v>
      </c>
      <c r="Z39" s="261" t="n">
        <v>7280000000</v>
      </c>
      <c r="AA39" s="261" t="n">
        <v>7587000000</v>
      </c>
      <c r="AB39" s="261" t="n">
        <v>8563000000</v>
      </c>
      <c r="AC39" s="261" t="n">
        <v>9107000000</v>
      </c>
      <c r="AD39" s="261" t="n">
        <v>8589000000</v>
      </c>
      <c r="AE39" s="261" t="n">
        <v>15234000000</v>
      </c>
      <c r="AF39" s="261" t="n">
        <v>11639000000</v>
      </c>
      <c r="AG39" s="261" t="n">
        <v>11486000000</v>
      </c>
      <c r="AH39" s="261" t="n">
        <v>10605000000</v>
      </c>
      <c r="AI39" s="261" t="n">
        <v>13237000000</v>
      </c>
      <c r="AJ39" s="261" t="n">
        <v>22443000000</v>
      </c>
    </row>
    <row r="40">
      <c r="A40" t="n">
        <v>11</v>
      </c>
      <c r="B40" t="n">
        <v>1</v>
      </c>
      <c r="G40" t="inlineStr">
        <is>
          <t>moeda</t>
        </is>
      </c>
      <c r="H40" t="inlineStr">
        <is>
          <t>Titulos negociaveis de divida</t>
        </is>
      </c>
      <c r="I40" t="inlineStr">
        <is>
          <t>Marketable (debt) securities [us-gaap:MarketableSecuritiesCurrent; DebtSecuritiesCurrent a partir do 4T FY26]</t>
        </is>
      </c>
      <c r="J40" t="inlineStr">
        <is>
          <t>fonte</t>
        </is>
      </c>
      <c r="K40" s="261" t="n">
        <v>860000000</v>
      </c>
      <c r="L40" s="261" t="n">
        <v>7707000000</v>
      </c>
      <c r="M40" s="261" t="n">
        <v>7888000000</v>
      </c>
      <c r="N40" s="261" t="n">
        <v>10714000000</v>
      </c>
      <c r="O40" s="261" t="n">
        <v>11689000000</v>
      </c>
      <c r="P40" s="261" t="n">
        <v>14026000000</v>
      </c>
      <c r="Q40" s="261" t="n">
        <v>18010000000</v>
      </c>
      <c r="R40" s="261" t="n">
        <v>19218000000</v>
      </c>
      <c r="S40" s="261" t="n">
        <v>16451000000</v>
      </c>
      <c r="T40" s="261" t="n">
        <v>14024000000</v>
      </c>
      <c r="U40" s="261" t="n">
        <v>10343000000</v>
      </c>
      <c r="V40" s="261" t="n">
        <v>9907000000</v>
      </c>
      <c r="W40" s="261" t="n">
        <v>10241000000</v>
      </c>
      <c r="X40" s="261" t="n">
        <v>10240000000</v>
      </c>
      <c r="Y40" s="261" t="n">
        <v>12762000000</v>
      </c>
      <c r="Z40" s="261" t="n">
        <v>18704000000</v>
      </c>
      <c r="AA40" s="261" t="n">
        <v>23851000000</v>
      </c>
      <c r="AB40" s="261" t="n">
        <v>26237000000</v>
      </c>
      <c r="AC40" s="261" t="n">
        <v>29380000000</v>
      </c>
      <c r="AD40" s="261" t="n">
        <v>34621000000</v>
      </c>
      <c r="AE40" s="261" t="n">
        <v>38457000000</v>
      </c>
      <c r="AF40" s="261" t="n">
        <v>45152000000</v>
      </c>
      <c r="AG40" s="261" t="n">
        <v>49122000000</v>
      </c>
      <c r="AH40" s="261" t="n">
        <v>39065000000</v>
      </c>
      <c r="AI40" s="261" t="n">
        <v>37098000000</v>
      </c>
      <c r="AJ40" s="261" t="n">
        <v>34143000000</v>
      </c>
    </row>
    <row r="41">
      <c r="A41" t="n">
        <v>11</v>
      </c>
      <c r="B41" t="n">
        <v>1</v>
      </c>
      <c r="G41" t="inlineStr">
        <is>
          <t>moeda</t>
        </is>
      </c>
      <c r="H41" t="inlineStr">
        <is>
          <t>Titulos negociaveis de capital (linha propria no balanco so a partir do 4T FY26)</t>
        </is>
      </c>
      <c r="I41" t="inlineStr">
        <is>
          <t>Marketable equity securities [us-gaap:EquitySecuritiesFvNi]</t>
        </is>
      </c>
      <c r="J41" t="inlineStr">
        <is>
          <t>fonte</t>
        </is>
      </c>
      <c r="K41" s="261" t="n"/>
      <c r="L41" s="261" t="n"/>
      <c r="M41" s="261" t="n"/>
      <c r="N41" s="261" t="n"/>
      <c r="O41" s="261" t="n"/>
      <c r="P41" s="261" t="n"/>
      <c r="Q41" s="261" t="n"/>
      <c r="R41" s="261" t="n"/>
      <c r="S41" s="261" t="n"/>
      <c r="T41" s="261" t="n"/>
      <c r="U41" s="261" t="n"/>
      <c r="V41" s="261" t="n"/>
      <c r="W41" s="261" t="n"/>
      <c r="X41" s="261" t="n"/>
      <c r="Y41" s="261" t="n"/>
      <c r="Z41" s="261" t="n"/>
      <c r="AA41" s="261" t="n"/>
      <c r="AB41" s="261" t="n"/>
      <c r="AC41" s="261" t="n"/>
      <c r="AD41" s="261" t="n"/>
      <c r="AE41" s="261" t="n"/>
      <c r="AF41" s="261" t="n"/>
      <c r="AG41" s="261" t="n"/>
      <c r="AH41" s="261" t="n">
        <v>12886000000</v>
      </c>
      <c r="AI41" s="261" t="n">
        <v>30237000000</v>
      </c>
      <c r="AJ41" s="261" t="n">
        <v>42783000000</v>
      </c>
    </row>
    <row r="42">
      <c r="A42" t="n">
        <v>12</v>
      </c>
      <c r="B42" t="n">
        <v>1</v>
      </c>
      <c r="G42" t="inlineStr">
        <is>
          <t>moeda</t>
        </is>
      </c>
      <c r="H42" t="inlineStr">
        <is>
          <t>Contas a receber, liquido</t>
        </is>
      </c>
      <c r="I42" t="inlineStr">
        <is>
          <t>Accounts receivable, net [us-gaap:AccountsReceivableNetCurrent]</t>
        </is>
      </c>
      <c r="J42" t="inlineStr">
        <is>
          <t>fonte</t>
        </is>
      </c>
      <c r="K42" s="261" t="n">
        <v>1907000000</v>
      </c>
      <c r="L42" s="261" t="n">
        <v>2084000000</v>
      </c>
      <c r="M42" s="261" t="n">
        <v>2546000000</v>
      </c>
      <c r="N42" s="261" t="n">
        <v>2429000000</v>
      </c>
      <c r="O42" s="261" t="n">
        <v>3024000000</v>
      </c>
      <c r="P42" s="261" t="n">
        <v>3586000000</v>
      </c>
      <c r="Q42" s="261" t="n">
        <v>3954000000</v>
      </c>
      <c r="R42" s="261" t="n">
        <v>4650000000</v>
      </c>
      <c r="S42" s="261" t="n">
        <v>5438000000</v>
      </c>
      <c r="T42" s="261" t="n">
        <v>5317000000</v>
      </c>
      <c r="U42" s="261" t="n">
        <v>4908000000</v>
      </c>
      <c r="V42" s="261" t="n">
        <v>3827000000</v>
      </c>
      <c r="W42" s="261" t="n">
        <v>4080000000</v>
      </c>
      <c r="X42" s="261" t="n">
        <v>7066000000</v>
      </c>
      <c r="Y42" s="261" t="n">
        <v>8309000000</v>
      </c>
      <c r="Z42" s="261" t="n">
        <v>9999000000</v>
      </c>
      <c r="AA42" s="261" t="n">
        <v>12365000000</v>
      </c>
      <c r="AB42" s="261" t="n">
        <v>14132000000</v>
      </c>
      <c r="AC42" s="261" t="n">
        <v>17693000000</v>
      </c>
      <c r="AD42" s="261" t="n">
        <v>23065000000</v>
      </c>
      <c r="AE42" s="261" t="n">
        <v>22132000000</v>
      </c>
      <c r="AF42" s="261" t="n">
        <v>27808000000</v>
      </c>
      <c r="AG42" s="261" t="n">
        <v>33391000000</v>
      </c>
      <c r="AH42" s="261" t="n">
        <v>38466000000</v>
      </c>
      <c r="AI42" s="261" t="n">
        <v>40710000000</v>
      </c>
      <c r="AJ42" s="261" t="n">
        <v>63059000000</v>
      </c>
    </row>
    <row r="43">
      <c r="A43" t="n">
        <v>13</v>
      </c>
      <c r="B43" t="n">
        <v>1</v>
      </c>
      <c r="G43" t="inlineStr">
        <is>
          <t>moeda</t>
        </is>
      </c>
      <c r="H43" t="inlineStr">
        <is>
          <t>Estoques</t>
        </is>
      </c>
      <c r="I43" t="inlineStr">
        <is>
          <t>Inventories [us-gaap:InventoryNet]</t>
        </is>
      </c>
      <c r="J43" t="inlineStr">
        <is>
          <t>fonte</t>
        </is>
      </c>
      <c r="K43" s="261" t="n">
        <v>1128000000</v>
      </c>
      <c r="L43" s="261" t="n">
        <v>1401000000</v>
      </c>
      <c r="M43" s="261" t="n">
        <v>1495000000</v>
      </c>
      <c r="N43" s="261" t="n">
        <v>1826000000</v>
      </c>
      <c r="O43" s="261" t="n">
        <v>1992000000</v>
      </c>
      <c r="P43" s="261" t="n">
        <v>2114000000</v>
      </c>
      <c r="Q43" s="261" t="n">
        <v>2233000000</v>
      </c>
      <c r="R43" s="261" t="n">
        <v>2605000000</v>
      </c>
      <c r="S43" s="261" t="n">
        <v>3163000000</v>
      </c>
      <c r="T43" s="261" t="n">
        <v>3889000000</v>
      </c>
      <c r="U43" s="261" t="n">
        <v>4454000000</v>
      </c>
      <c r="V43" s="261" t="n">
        <v>5159000000</v>
      </c>
      <c r="W43" s="261" t="n">
        <v>4611000000</v>
      </c>
      <c r="X43" s="261" t="n">
        <v>4319000000</v>
      </c>
      <c r="Y43" s="261" t="n">
        <v>4779000000</v>
      </c>
      <c r="Z43" s="261" t="n">
        <v>5282000000</v>
      </c>
      <c r="AA43" s="261" t="n">
        <v>5864000000</v>
      </c>
      <c r="AB43" s="261" t="n">
        <v>6675000000</v>
      </c>
      <c r="AC43" s="261" t="n">
        <v>7654000000</v>
      </c>
      <c r="AD43" s="261" t="n">
        <v>10080000000</v>
      </c>
      <c r="AE43" s="261" t="n">
        <v>11333000000</v>
      </c>
      <c r="AF43" s="261" t="n">
        <v>14962000000</v>
      </c>
      <c r="AG43" s="261" t="n">
        <v>19784000000</v>
      </c>
      <c r="AH43" s="261" t="n">
        <v>21403000000</v>
      </c>
      <c r="AI43" s="261" t="n">
        <v>25797000000</v>
      </c>
      <c r="AJ43" s="261" t="n">
        <v>31575000000</v>
      </c>
    </row>
    <row r="44">
      <c r="A44" t="n">
        <v>16</v>
      </c>
      <c r="B44" t="n">
        <v>1</v>
      </c>
      <c r="G44" t="inlineStr">
        <is>
          <t>moeda</t>
        </is>
      </c>
      <c r="H44" t="inlineStr">
        <is>
          <t>Despesas antecipadas e outros ativos circulantes (cod 16; cod 15 Prepaid nao e aberto separadamente)</t>
        </is>
      </c>
      <c r="I44" t="inlineStr">
        <is>
          <t>Prepaid expenses and other current assets [us-gaap:PrepaidExpenseAndOtherAssetsCurrent]</t>
        </is>
      </c>
      <c r="J44" t="inlineStr">
        <is>
          <t>fonte</t>
        </is>
      </c>
      <c r="K44" s="261" t="n">
        <v>195000000</v>
      </c>
      <c r="L44" s="261" t="n">
        <v>215000000</v>
      </c>
      <c r="M44" s="261" t="n">
        <v>213000000</v>
      </c>
      <c r="N44" s="261" t="n">
        <v>239000000</v>
      </c>
      <c r="O44" s="261" t="n">
        <v>444000000</v>
      </c>
      <c r="P44" s="261" t="n">
        <v>452000000</v>
      </c>
      <c r="Q44" s="261" t="n">
        <v>321000000</v>
      </c>
      <c r="R44" s="261" t="n">
        <v>366000000</v>
      </c>
      <c r="S44" s="261" t="n">
        <v>636000000</v>
      </c>
      <c r="T44" s="261" t="n">
        <v>1175000000</v>
      </c>
      <c r="U44" s="261" t="n">
        <v>718000000</v>
      </c>
      <c r="V44" s="261" t="n">
        <v>791000000</v>
      </c>
      <c r="W44" s="261" t="n">
        <v>872000000</v>
      </c>
      <c r="X44" s="261" t="n">
        <v>1389000000</v>
      </c>
      <c r="Y44" s="261" t="n">
        <v>1289000000</v>
      </c>
      <c r="Z44" s="261" t="n">
        <v>3080000000</v>
      </c>
      <c r="AA44" s="261" t="n">
        <v>4062000000</v>
      </c>
      <c r="AB44" s="261" t="n">
        <v>4026000000</v>
      </c>
      <c r="AC44" s="261" t="n">
        <v>3806000000</v>
      </c>
      <c r="AD44" s="261" t="n">
        <v>3771000000</v>
      </c>
      <c r="AE44" s="261" t="n">
        <v>2779000000</v>
      </c>
      <c r="AF44" s="261" t="n">
        <v>2658000000</v>
      </c>
      <c r="AG44" s="261" t="n">
        <v>2709000000</v>
      </c>
      <c r="AH44" s="261" t="n">
        <v>3180000000</v>
      </c>
      <c r="AI44" s="261" t="n">
        <v>3916000000</v>
      </c>
      <c r="AJ44" s="261" t="n">
        <v>3409000000</v>
      </c>
    </row>
    <row r="45">
      <c r="A45" t="n">
        <v>18</v>
      </c>
      <c r="B45" t="n">
        <v>1</v>
      </c>
      <c r="G45" t="inlineStr">
        <is>
          <t>moeda</t>
        </is>
      </c>
      <c r="H45" t="inlineStr">
        <is>
          <t>Imobilizado, liquido</t>
        </is>
      </c>
      <c r="I45" t="inlineStr">
        <is>
          <t>Property and equipment, net [us-gaap:PropertyPlantAndEquipmentNet]</t>
        </is>
      </c>
      <c r="J45" t="inlineStr">
        <is>
          <t>fonte</t>
        </is>
      </c>
      <c r="K45" s="261" t="n">
        <v>1715000000</v>
      </c>
      <c r="L45" s="261" t="n">
        <v>1964000000</v>
      </c>
      <c r="M45" s="261" t="n">
        <v>2059000000</v>
      </c>
      <c r="N45" s="261" t="n">
        <v>2149000000</v>
      </c>
      <c r="O45" s="261" t="n">
        <v>2268000000</v>
      </c>
      <c r="P45" s="261" t="n">
        <v>2364000000</v>
      </c>
      <c r="Q45" s="261" t="n">
        <v>2509000000</v>
      </c>
      <c r="R45" s="261" t="n">
        <v>2778000000</v>
      </c>
      <c r="S45" s="261" t="n">
        <v>2916000000</v>
      </c>
      <c r="T45" s="261" t="n">
        <v>3233000000</v>
      </c>
      <c r="U45" s="261" t="n">
        <v>3774000000</v>
      </c>
      <c r="V45" s="261" t="n">
        <v>3807000000</v>
      </c>
      <c r="W45" s="261" t="n">
        <v>3740000000</v>
      </c>
      <c r="X45" s="261" t="n">
        <v>3799000000</v>
      </c>
      <c r="Y45" s="261" t="n">
        <v>3844000000</v>
      </c>
      <c r="Z45" s="261" t="n">
        <v>3914000000</v>
      </c>
      <c r="AA45" s="261" t="n">
        <v>4006000000</v>
      </c>
      <c r="AB45" s="261" t="n">
        <v>4885000000</v>
      </c>
      <c r="AC45" s="261" t="n">
        <v>5343000000</v>
      </c>
      <c r="AD45" s="261" t="n">
        <v>6283000000</v>
      </c>
      <c r="AE45" s="261" t="n">
        <v>7136000000</v>
      </c>
      <c r="AF45" s="261" t="n">
        <v>9141000000</v>
      </c>
      <c r="AG45" s="261" t="n">
        <v>9780000000</v>
      </c>
      <c r="AH45" s="261" t="n">
        <v>10383000000</v>
      </c>
      <c r="AI45" s="261" t="n">
        <v>12403000000</v>
      </c>
      <c r="AJ45" s="261" t="n">
        <v>14285000000</v>
      </c>
    </row>
    <row r="46">
      <c r="A46" t="n">
        <v>19</v>
      </c>
      <c r="B46" t="n">
        <v>1</v>
      </c>
      <c r="G46" t="inlineStr">
        <is>
          <t>moeda</t>
        </is>
      </c>
      <c r="H46" t="inlineStr">
        <is>
          <t>Ativos de arrendamento operacional</t>
        </is>
      </c>
      <c r="I46" t="inlineStr">
        <is>
          <t>Operating lease assets [us-gaap:OperatingLeaseRightOfUseAsset]</t>
        </is>
      </c>
      <c r="J46" t="inlineStr">
        <is>
          <t>fonte</t>
        </is>
      </c>
      <c r="K46" s="261" t="n">
        <v>595000000</v>
      </c>
      <c r="L46" s="261" t="n">
        <v>701000000</v>
      </c>
      <c r="M46" s="261" t="n">
        <v>681000000</v>
      </c>
      <c r="N46" s="261" t="n">
        <v>707000000</v>
      </c>
      <c r="O46" s="261" t="n">
        <v>727000000</v>
      </c>
      <c r="P46" s="261" t="n">
        <v>801000000</v>
      </c>
      <c r="Q46" s="261" t="n">
        <v>830000000</v>
      </c>
      <c r="R46" s="261" t="n">
        <v>829000000</v>
      </c>
      <c r="S46" s="261" t="n">
        <v>856000000</v>
      </c>
      <c r="T46" s="261" t="n">
        <v>852000000</v>
      </c>
      <c r="U46" s="261" t="n">
        <v>927000000</v>
      </c>
      <c r="V46" s="261" t="n">
        <v>1038000000</v>
      </c>
      <c r="W46" s="261" t="n">
        <v>1094000000</v>
      </c>
      <c r="X46" s="261" t="n">
        <v>1235000000</v>
      </c>
      <c r="Y46" s="261" t="n">
        <v>1316000000</v>
      </c>
      <c r="Z46" s="261" t="n">
        <v>1346000000</v>
      </c>
      <c r="AA46" s="261" t="n">
        <v>1532000000</v>
      </c>
      <c r="AB46" s="261" t="n">
        <v>1556000000</v>
      </c>
      <c r="AC46" s="261" t="n">
        <v>1755000000</v>
      </c>
      <c r="AD46" s="261" t="n">
        <v>1793000000</v>
      </c>
      <c r="AE46" s="261" t="n">
        <v>1810000000</v>
      </c>
      <c r="AF46" s="261" t="n">
        <v>2084000000</v>
      </c>
      <c r="AG46" s="261" t="n">
        <v>2281000000</v>
      </c>
      <c r="AH46" s="261" t="n">
        <v>2867000000</v>
      </c>
      <c r="AI46" s="261" t="n">
        <v>4258000000</v>
      </c>
      <c r="AJ46" s="261" t="n">
        <v>5390000000</v>
      </c>
    </row>
    <row r="47">
      <c r="A47" t="n">
        <v>20</v>
      </c>
      <c r="B47" t="n">
        <v>1</v>
      </c>
      <c r="G47" t="inlineStr">
        <is>
          <t>moeda</t>
        </is>
      </c>
      <c r="H47" t="inlineStr">
        <is>
          <t>Goodwill</t>
        </is>
      </c>
      <c r="I47" t="inlineStr">
        <is>
          <t>Goodwill [us-gaap:Goodwill]</t>
        </is>
      </c>
      <c r="J47" t="inlineStr">
        <is>
          <t>fonte</t>
        </is>
      </c>
      <c r="K47" s="261" t="n">
        <v>628000000</v>
      </c>
      <c r="L47" s="261" t="n">
        <v>4193000000</v>
      </c>
      <c r="M47" s="261" t="n">
        <v>4193000000</v>
      </c>
      <c r="N47" s="261" t="n">
        <v>4193000000</v>
      </c>
      <c r="O47" s="261" t="n">
        <v>4193000000</v>
      </c>
      <c r="P47" s="261" t="n">
        <v>4193000000</v>
      </c>
      <c r="Q47" s="261" t="n">
        <v>4302000000</v>
      </c>
      <c r="R47" s="261" t="n">
        <v>4349000000</v>
      </c>
      <c r="S47" s="261" t="n">
        <v>4365000000</v>
      </c>
      <c r="T47" s="261" t="n">
        <v>4372000000</v>
      </c>
      <c r="U47" s="261" t="n">
        <v>4372000000</v>
      </c>
      <c r="V47" s="261" t="n">
        <v>4372000000</v>
      </c>
      <c r="W47" s="261" t="n">
        <v>4430000000</v>
      </c>
      <c r="X47" s="261" t="n">
        <v>4430000000</v>
      </c>
      <c r="Y47" s="261" t="n">
        <v>4430000000</v>
      </c>
      <c r="Z47" s="261" t="n">
        <v>4430000000</v>
      </c>
      <c r="AA47" s="261" t="n">
        <v>4453000000</v>
      </c>
      <c r="AB47" s="261" t="n">
        <v>4622000000</v>
      </c>
      <c r="AC47" s="261" t="n">
        <v>4724000000</v>
      </c>
      <c r="AD47" s="261" t="n">
        <v>5188000000</v>
      </c>
      <c r="AE47" s="261" t="n">
        <v>5498000000</v>
      </c>
      <c r="AF47" s="261" t="n">
        <v>5755000000</v>
      </c>
      <c r="AG47" s="261" t="n">
        <v>6261000000</v>
      </c>
      <c r="AH47" s="261" t="n">
        <v>20832000000</v>
      </c>
      <c r="AI47" s="261" t="n">
        <v>20894000000</v>
      </c>
      <c r="AJ47" s="261" t="n">
        <v>21125000000</v>
      </c>
    </row>
    <row r="48">
      <c r="A48" t="n">
        <v>21</v>
      </c>
      <c r="B48" t="n">
        <v>1</v>
      </c>
      <c r="G48" t="inlineStr">
        <is>
          <t>moeda</t>
        </is>
      </c>
      <c r="H48" t="inlineStr">
        <is>
          <t>Intangiveis, liquido</t>
        </is>
      </c>
      <c r="I48" t="inlineStr">
        <is>
          <t>Intangible assets, net [us-gaap:IntangibleAssetsNetExcludingGoodwill]</t>
        </is>
      </c>
      <c r="J48" t="inlineStr">
        <is>
          <t>fonte</t>
        </is>
      </c>
      <c r="K48" s="261" t="n">
        <v>80000000</v>
      </c>
      <c r="L48" s="261" t="n">
        <v>2854000000</v>
      </c>
      <c r="M48" s="261" t="n">
        <v>2861000000</v>
      </c>
      <c r="N48" s="261" t="n">
        <v>2737000000</v>
      </c>
      <c r="O48" s="261" t="n">
        <v>2613000000</v>
      </c>
      <c r="P48" s="261" t="n">
        <v>2478000000</v>
      </c>
      <c r="Q48" s="261" t="n">
        <v>2454000000</v>
      </c>
      <c r="R48" s="261" t="n">
        <v>2339000000</v>
      </c>
      <c r="S48" s="261" t="n">
        <v>2211000000</v>
      </c>
      <c r="T48" s="261" t="n">
        <v>2036000000</v>
      </c>
      <c r="U48" s="261" t="n">
        <v>1850000000</v>
      </c>
      <c r="V48" s="261" t="n">
        <v>1676000000</v>
      </c>
      <c r="W48" s="261" t="n">
        <v>1541000000</v>
      </c>
      <c r="X48" s="261" t="n">
        <v>1395000000</v>
      </c>
      <c r="Y48" s="261" t="n">
        <v>1251000000</v>
      </c>
      <c r="Z48" s="261" t="n">
        <v>1112000000</v>
      </c>
      <c r="AA48" s="261" t="n">
        <v>986000000</v>
      </c>
      <c r="AB48" s="261" t="n">
        <v>952000000</v>
      </c>
      <c r="AC48" s="261" t="n">
        <v>838000000</v>
      </c>
      <c r="AD48" s="261" t="n">
        <v>807000000</v>
      </c>
      <c r="AE48" s="261" t="n">
        <v>769000000</v>
      </c>
      <c r="AF48" s="261" t="n">
        <v>755000000</v>
      </c>
      <c r="AG48" s="261" t="n">
        <v>936000000</v>
      </c>
      <c r="AH48" s="261" t="n">
        <v>3306000000</v>
      </c>
      <c r="AI48" s="261" t="n">
        <v>3120000000</v>
      </c>
      <c r="AJ48" s="261" t="n">
        <v>2998000000</v>
      </c>
    </row>
    <row r="49">
      <c r="A49" t="n">
        <v>14</v>
      </c>
      <c r="B49" t="n">
        <v>1</v>
      </c>
      <c r="G49" t="inlineStr">
        <is>
          <t>moeda</t>
        </is>
      </c>
      <c r="H49" t="inlineStr">
        <is>
          <t>IR diferido ativo (nao circulante; vai no cod 14, unica linha de IR diferido ativo do modelo)</t>
        </is>
      </c>
      <c r="I49" t="inlineStr">
        <is>
          <t>Deferred income tax assets [us-gaap:DeferredIncomeTaxAssetsNet]</t>
        </is>
      </c>
      <c r="J49" t="inlineStr">
        <is>
          <t>fonte</t>
        </is>
      </c>
      <c r="K49" s="261" t="n">
        <v>533000000</v>
      </c>
      <c r="L49" s="261" t="n">
        <v>630000000</v>
      </c>
      <c r="M49" s="261" t="n">
        <v>666000000</v>
      </c>
      <c r="N49" s="261" t="n">
        <v>806000000</v>
      </c>
      <c r="O49" s="261" t="n">
        <v>778000000</v>
      </c>
      <c r="P49" s="261" t="n">
        <v>958000000</v>
      </c>
      <c r="Q49" s="261" t="n">
        <v>970000000</v>
      </c>
      <c r="R49" s="261" t="n">
        <v>1222000000</v>
      </c>
      <c r="S49" s="261" t="n">
        <v>1784000000</v>
      </c>
      <c r="T49" s="261" t="n">
        <v>2225000000</v>
      </c>
      <c r="U49" s="261" t="n">
        <v>2762000000</v>
      </c>
      <c r="V49" s="261" t="n">
        <v>3396000000</v>
      </c>
      <c r="W49" s="261" t="n">
        <v>4568000000</v>
      </c>
      <c r="X49" s="261" t="n">
        <v>5398000000</v>
      </c>
      <c r="Y49" s="261" t="n">
        <v>5982000000</v>
      </c>
      <c r="Z49" s="261" t="n">
        <v>6081000000</v>
      </c>
      <c r="AA49" s="261" t="n">
        <v>7798000000</v>
      </c>
      <c r="AB49" s="261" t="n">
        <v>9578000000</v>
      </c>
      <c r="AC49" s="261" t="n">
        <v>10276000000</v>
      </c>
      <c r="AD49" s="261" t="n">
        <v>10979000000</v>
      </c>
      <c r="AE49" s="261" t="n">
        <v>13318000000</v>
      </c>
      <c r="AF49" s="261" t="n">
        <v>13570000000</v>
      </c>
      <c r="AG49" s="261" t="n">
        <v>13674000000</v>
      </c>
      <c r="AH49" s="261" t="n">
        <v>13258000000</v>
      </c>
      <c r="AI49" s="261" t="n">
        <v>11707000000</v>
      </c>
      <c r="AJ49" s="261" t="n">
        <v>12159000000</v>
      </c>
    </row>
    <row r="50">
      <c r="A50" t="n">
        <v>22</v>
      </c>
      <c r="B50" t="n">
        <v>1</v>
      </c>
      <c r="G50" t="inlineStr">
        <is>
          <t>moeda</t>
        </is>
      </c>
      <c r="H50" t="inlineStr">
        <is>
          <t>Titulos nao negociaveis (linha propria so no 4T FY25, 4T FY26 e FY27; nos demais periodos estao dentro de Outros ativos)</t>
        </is>
      </c>
      <c r="I50" t="inlineStr">
        <is>
          <t>Non-marketable securities [us-gaap:EquitySecuritiesFVNINoncurrent; nvda:NonMarketableSecurities em FY27, digitado do 10-Q R4]</t>
        </is>
      </c>
      <c r="J50" t="inlineStr">
        <is>
          <t>fonte</t>
        </is>
      </c>
      <c r="K50" s="261" t="n"/>
      <c r="L50" s="261" t="n"/>
      <c r="M50" s="261" t="n"/>
      <c r="N50" s="261" t="n"/>
      <c r="O50" s="261" t="n"/>
      <c r="P50" s="261" t="n"/>
      <c r="Q50" s="261" t="n"/>
      <c r="R50" s="261" t="n"/>
      <c r="S50" s="261" t="n"/>
      <c r="T50" s="261" t="n"/>
      <c r="U50" s="261" t="n"/>
      <c r="V50" s="261" t="n"/>
      <c r="W50" s="261" t="n"/>
      <c r="X50" s="261" t="n"/>
      <c r="Y50" s="261" t="n"/>
      <c r="Z50" s="261" t="n"/>
      <c r="AA50" s="261" t="n"/>
      <c r="AB50" s="261" t="n"/>
      <c r="AC50" s="261" t="n"/>
      <c r="AD50" s="261" t="n">
        <v>3387000000</v>
      </c>
      <c r="AE50" s="261" t="n"/>
      <c r="AF50" s="261" t="n"/>
      <c r="AG50" s="261" t="n"/>
      <c r="AH50" s="261" t="n">
        <v>22251000000</v>
      </c>
      <c r="AI50" s="261" t="n">
        <v>43364000000</v>
      </c>
      <c r="AJ50" s="261" t="n">
        <v>51157000000</v>
      </c>
    </row>
    <row r="51">
      <c r="A51" t="n">
        <v>22</v>
      </c>
      <c r="B51" t="n">
        <v>1</v>
      </c>
      <c r="G51" t="inlineStr">
        <is>
          <t>moeda</t>
        </is>
      </c>
      <c r="H51" t="inlineStr">
        <is>
          <t>Outros ativos nao circulantes</t>
        </is>
      </c>
      <c r="I51" t="inlineStr">
        <is>
          <t>Other assets [us-gaap:OtherAssetsNoncurrent; OtherAssets no 1T-2T FY21]</t>
        </is>
      </c>
      <c r="J51" t="inlineStr">
        <is>
          <t>fonte</t>
        </is>
      </c>
      <c r="K51" s="261" t="n">
        <v>119000000</v>
      </c>
      <c r="L51" s="261" t="n">
        <v>157000000</v>
      </c>
      <c r="M51" s="261" t="n">
        <v>2028000000</v>
      </c>
      <c r="N51" s="261" t="n">
        <v>2144000000</v>
      </c>
      <c r="O51" s="261" t="n">
        <v>2090000000</v>
      </c>
      <c r="P51" s="261" t="n">
        <v>2050000000</v>
      </c>
      <c r="Q51" s="261" t="n">
        <v>3761000000</v>
      </c>
      <c r="R51" s="261" t="n">
        <v>3841000000</v>
      </c>
      <c r="S51" s="261" t="n">
        <v>3505000000</v>
      </c>
      <c r="T51" s="261" t="n">
        <v>3340000000</v>
      </c>
      <c r="U51" s="261" t="n">
        <v>3580000000</v>
      </c>
      <c r="V51" s="261" t="n">
        <v>3820000000</v>
      </c>
      <c r="W51" s="261" t="n">
        <v>4204000000</v>
      </c>
      <c r="X51" s="261" t="n">
        <v>4501000000</v>
      </c>
      <c r="Y51" s="261" t="n">
        <v>4667000000</v>
      </c>
      <c r="Z51" s="261" t="n">
        <v>4500000000</v>
      </c>
      <c r="AA51" s="261" t="n">
        <v>4568000000</v>
      </c>
      <c r="AB51" s="261" t="n">
        <v>4001000000</v>
      </c>
      <c r="AC51" s="261" t="n">
        <v>5437000000</v>
      </c>
      <c r="AD51" s="261" t="n">
        <v>3038000000</v>
      </c>
      <c r="AE51" s="261" t="n">
        <v>6788000000</v>
      </c>
      <c r="AF51" s="261" t="n">
        <v>7216000000</v>
      </c>
      <c r="AG51" s="261" t="n">
        <v>11724000000</v>
      </c>
      <c r="AH51" s="261" t="n">
        <v>8301000000</v>
      </c>
      <c r="AI51" s="261" t="n">
        <v>12733000000</v>
      </c>
      <c r="AJ51" s="261" t="n">
        <v>15746000000</v>
      </c>
    </row>
    <row r="52">
      <c r="G52" t="inlineStr">
        <is>
          <t>moeda</t>
        </is>
      </c>
      <c r="H52" t="inlineStr">
        <is>
          <t>Total do ativo circulante (divulgado)</t>
        </is>
      </c>
      <c r="I52" t="inlineStr">
        <is>
          <t>Total current assets [us-gaap:AssetsCurrent]</t>
        </is>
      </c>
      <c r="J52" t="inlineStr">
        <is>
          <t>memoria</t>
        </is>
      </c>
      <c r="K52" s="261" t="n">
        <v>19584000000</v>
      </c>
      <c r="L52" s="261" t="n">
        <v>14681000000</v>
      </c>
      <c r="M52" s="261" t="n">
        <v>14393000000</v>
      </c>
      <c r="N52" s="261" t="n">
        <v>16055000000</v>
      </c>
      <c r="O52" s="261" t="n">
        <v>18127000000</v>
      </c>
      <c r="P52" s="261" t="n">
        <v>25806000000</v>
      </c>
      <c r="Q52" s="261" t="n">
        <v>25806000000</v>
      </c>
      <c r="R52" s="261" t="n">
        <v>28829000000</v>
      </c>
      <c r="S52" s="261" t="n">
        <v>29575000000</v>
      </c>
      <c r="T52" s="261" t="n">
        <v>27418000000</v>
      </c>
      <c r="U52" s="261" t="n">
        <v>23223000000</v>
      </c>
      <c r="V52" s="261" t="n">
        <v>23073000000</v>
      </c>
      <c r="W52" s="261" t="n">
        <v>24883000000</v>
      </c>
      <c r="X52" s="261" t="n">
        <v>28797000000</v>
      </c>
      <c r="Y52" s="261" t="n">
        <v>32658000000</v>
      </c>
      <c r="Z52" s="261" t="n">
        <v>44345000000</v>
      </c>
      <c r="AA52" s="261" t="n">
        <v>53729000000</v>
      </c>
      <c r="AB52" s="261" t="n">
        <v>59633000000</v>
      </c>
      <c r="AC52" s="261" t="n">
        <v>67640000000</v>
      </c>
      <c r="AD52" s="261" t="n">
        <v>80126000000</v>
      </c>
      <c r="AE52" s="261" t="n">
        <v>89935000000</v>
      </c>
      <c r="AF52" s="261" t="n">
        <v>102219000000</v>
      </c>
      <c r="AG52" s="261" t="n">
        <v>116492000000</v>
      </c>
      <c r="AH52" s="261" t="n">
        <v>125605000000</v>
      </c>
      <c r="AI52" s="261" t="n">
        <v>150995000000</v>
      </c>
      <c r="AJ52" s="261" t="n">
        <v>197412000000</v>
      </c>
    </row>
    <row r="53">
      <c r="G53" t="inlineStr">
        <is>
          <t>moeda</t>
        </is>
      </c>
      <c r="H53" t="inlineStr">
        <is>
          <t>Total do ativo (divulgado)</t>
        </is>
      </c>
      <c r="I53" t="inlineStr">
        <is>
          <t>Total assets [us-gaap:Assets]</t>
        </is>
      </c>
      <c r="J53" t="inlineStr">
        <is>
          <t>memoria</t>
        </is>
      </c>
      <c r="K53" s="261" t="n">
        <v>23254000000</v>
      </c>
      <c r="L53" s="261" t="n">
        <v>25180000000</v>
      </c>
      <c r="M53" s="261" t="n">
        <v>26881000000</v>
      </c>
      <c r="N53" s="261" t="n">
        <v>28791000000</v>
      </c>
      <c r="O53" s="261" t="n">
        <v>30796000000</v>
      </c>
      <c r="P53" s="261" t="n">
        <v>38650000000</v>
      </c>
      <c r="Q53" s="261" t="n">
        <v>40632000000</v>
      </c>
      <c r="R53" s="261" t="n">
        <v>44187000000</v>
      </c>
      <c r="S53" s="261" t="n">
        <v>45212000000</v>
      </c>
      <c r="T53" s="261" t="n">
        <v>43476000000</v>
      </c>
      <c r="U53" s="261" t="n">
        <v>40488000000</v>
      </c>
      <c r="V53" s="261" t="n">
        <v>41182000000</v>
      </c>
      <c r="W53" s="261" t="n">
        <v>44460000000</v>
      </c>
      <c r="X53" s="261" t="n">
        <v>49555000000</v>
      </c>
      <c r="Y53" s="261" t="n">
        <v>54148000000</v>
      </c>
      <c r="Z53" s="261" t="n">
        <v>65728000000</v>
      </c>
      <c r="AA53" s="261" t="n">
        <v>77072000000</v>
      </c>
      <c r="AB53" s="261" t="n">
        <v>85227000000</v>
      </c>
      <c r="AC53" s="261" t="n">
        <v>96013000000</v>
      </c>
      <c r="AD53" s="261" t="n">
        <v>111601000000</v>
      </c>
      <c r="AE53" s="261" t="n">
        <v>125254000000</v>
      </c>
      <c r="AF53" s="261" t="n">
        <v>140740000000</v>
      </c>
      <c r="AG53" s="261" t="n">
        <v>161148000000</v>
      </c>
      <c r="AH53" s="261" t="n">
        <v>206803000000</v>
      </c>
      <c r="AI53" s="261" t="n">
        <v>259474000000</v>
      </c>
      <c r="AJ53" s="261" t="n">
        <v>320272000000</v>
      </c>
    </row>
    <row r="54">
      <c r="G54" t="inlineStr">
        <is>
          <t>moeda</t>
        </is>
      </c>
      <c r="H54" t="inlineStr">
        <is>
          <t>CHECK: soma das linhas do ativo menos total divulgado (deve ser 0)</t>
        </is>
      </c>
      <c r="I54" t="inlineStr">
        <is>
          <t>Check: mapped assets less reported total</t>
        </is>
      </c>
      <c r="J54" t="inlineStr">
        <is>
          <t>derivada</t>
        </is>
      </c>
      <c r="K54" s="261">
        <f>K39+K40+K41+K42+K43+K44+K45+K46+K47+K48+K49+K50+K51-K53</f>
        <v>0</v>
      </c>
      <c r="L54" s="261">
        <f>L39+L40+L41+L42+L43+L44+L45+L46+L47+L48+L49+L50+L51-L53</f>
        <v>0</v>
      </c>
      <c r="M54" s="261">
        <f>M39+M40+M41+M42+M43+M44+M45+M46+M47+M48+M49+M50+M51-M53</f>
        <v>0</v>
      </c>
      <c r="N54" s="261">
        <f>N39+N40+N41+N42+N43+N44+N45+N46+N47+N48+N49+N50+N51-N53</f>
        <v>0</v>
      </c>
      <c r="O54" s="261">
        <f>O39+O40+O41+O42+O43+O44+O45+O46+O47+O48+O49+O50+O51-O53</f>
        <v>0</v>
      </c>
      <c r="P54" s="261">
        <f>P39+P40+P41+P42+P43+P44+P45+P46+P47+P48+P49+P50+P51-P53</f>
        <v>0</v>
      </c>
      <c r="Q54" s="261">
        <f>Q39+Q40+Q41+Q42+Q43+Q44+Q45+Q46+Q47+Q48+Q49+Q50+Q51-Q53</f>
        <v>0</v>
      </c>
      <c r="R54" s="261">
        <f>R39+R40+R41+R42+R43+R44+R45+R46+R47+R48+R49+R50+R51-R53</f>
        <v>0</v>
      </c>
      <c r="S54" s="261">
        <f>S39+S40+S41+S42+S43+S44+S45+S46+S47+S48+S49+S50+S51-S53</f>
        <v>0</v>
      </c>
      <c r="T54" s="261">
        <f>T39+T40+T41+T42+T43+T44+T45+T46+T47+T48+T49+T50+T51-T53</f>
        <v>0</v>
      </c>
      <c r="U54" s="261">
        <f>U39+U40+U41+U42+U43+U44+U45+U46+U47+U48+U49+U50+U51-U53</f>
        <v>0</v>
      </c>
      <c r="V54" s="261">
        <f>V39+V40+V41+V42+V43+V44+V45+V46+V47+V48+V49+V50+V51-V53</f>
        <v>0</v>
      </c>
      <c r="W54" s="261">
        <f>W39+W40+W41+W42+W43+W44+W45+W46+W47+W48+W49+W50+W51-W53</f>
        <v>0</v>
      </c>
      <c r="X54" s="261">
        <f>X39+X40+X41+X42+X43+X44+X45+X46+X47+X48+X49+X50+X51-X53</f>
        <v>0</v>
      </c>
      <c r="Y54" s="261">
        <f>Y39+Y40+Y41+Y42+Y43+Y44+Y45+Y46+Y47+Y48+Y49+Y50+Y51-Y53</f>
        <v>0</v>
      </c>
      <c r="Z54" s="261">
        <f>Z39+Z40+Z41+Z42+Z43+Z44+Z45+Z46+Z47+Z48+Z49+Z50+Z51-Z53</f>
        <v>0</v>
      </c>
      <c r="AA54" s="261">
        <f>AA39+AA40+AA41+AA42+AA43+AA44+AA45+AA46+AA47+AA48+AA49+AA50+AA51-AA53</f>
        <v>0</v>
      </c>
      <c r="AB54" s="261">
        <f>AB39+AB40+AB41+AB42+AB43+AB44+AB45+AB46+AB47+AB48+AB49+AB50+AB51-AB53</f>
        <v>0</v>
      </c>
      <c r="AC54" s="261">
        <f>AC39+AC40+AC41+AC42+AC43+AC44+AC45+AC46+AC47+AC48+AC49+AC50+AC51-AC53</f>
        <v>0</v>
      </c>
      <c r="AD54" s="261">
        <f>AD39+AD40+AD41+AD42+AD43+AD44+AD45+AD46+AD47+AD48+AD49+AD50+AD51-AD53</f>
        <v>0</v>
      </c>
      <c r="AE54" s="261">
        <f>AE39+AE40+AE41+AE42+AE43+AE44+AE45+AE46+AE47+AE48+AE49+AE50+AE51-AE53</f>
        <v>0</v>
      </c>
      <c r="AF54" s="261">
        <f>AF39+AF40+AF41+AF42+AF43+AF44+AF45+AF46+AF47+AF48+AF49+AF50+AF51-AF53</f>
        <v>0</v>
      </c>
      <c r="AG54" s="261">
        <f>AG39+AG40+AG41+AG42+AG43+AG44+AG45+AG46+AG47+AG48+AG49+AG50+AG51-AG53</f>
        <v>0</v>
      </c>
      <c r="AH54" s="261">
        <f>AH39+AH40+AH41+AH42+AH43+AH44+AH45+AH46+AH47+AH48+AH49+AH50+AH51-AH53</f>
        <v>0</v>
      </c>
      <c r="AI54" s="261">
        <f>AI39+AI40+AI41+AI42+AI43+AI44+AI45+AI46+AI47+AI48+AI49+AI50+AI51-AI53</f>
        <v>0</v>
      </c>
      <c r="AJ54" s="261">
        <f>AJ39+AJ40+AJ41+AJ42+AJ43+AJ44+AJ45+AJ46+AJ47+AJ48+AJ49+AJ50+AJ51-AJ53</f>
        <v>0</v>
      </c>
    </row>
    <row r="55">
      <c r="G55" t="inlineStr">
        <is>
          <t>moeda</t>
        </is>
      </c>
      <c r="H55" t="inlineStr">
        <is>
          <t>[vazio] cod 15 Prepaid expenses: NVIDIA divulga junto com outros ativos circulantes (cod 16)</t>
        </is>
      </c>
      <c r="J55" t="inlineStr">
        <is>
          <t>memoria</t>
        </is>
      </c>
      <c r="K55" s="261" t="n"/>
      <c r="L55" s="261" t="n"/>
      <c r="M55" s="261" t="n"/>
      <c r="N55" s="261" t="n"/>
      <c r="O55" s="261" t="n"/>
      <c r="P55" s="261" t="n"/>
      <c r="Q55" s="261" t="n"/>
      <c r="R55" s="261" t="n"/>
      <c r="S55" s="261" t="n"/>
      <c r="T55" s="261" t="n"/>
      <c r="U55" s="261" t="n"/>
      <c r="V55" s="261" t="n"/>
      <c r="W55" s="261" t="n"/>
      <c r="X55" s="261" t="n"/>
      <c r="Y55" s="261" t="n"/>
      <c r="Z55" s="261" t="n"/>
      <c r="AA55" s="261" t="n"/>
      <c r="AB55" s="261" t="n"/>
      <c r="AC55" s="261" t="n"/>
      <c r="AD55" s="261" t="n"/>
      <c r="AE55" s="261" t="n"/>
      <c r="AF55" s="261" t="n"/>
      <c r="AG55" s="261" t="n"/>
      <c r="AH55" s="261" t="n"/>
      <c r="AI55" s="261" t="n"/>
      <c r="AJ55" s="261" t="n"/>
    </row>
    <row r="56">
      <c r="G56" t="inlineStr">
        <is>
          <t>moeda</t>
        </is>
      </c>
      <c r="H56" t="inlineStr">
        <is>
          <t>[vazio] cod 17 Equity in affiliates: NVIDIA nao tem investimento por equivalencia patrimonial no balanco</t>
        </is>
      </c>
      <c r="J56" t="inlineStr">
        <is>
          <t>memoria</t>
        </is>
      </c>
      <c r="K56" s="261" t="n"/>
      <c r="L56" s="261" t="n"/>
      <c r="M56" s="261" t="n"/>
      <c r="N56" s="261" t="n"/>
      <c r="O56" s="261" t="n"/>
      <c r="P56" s="261" t="n"/>
      <c r="Q56" s="261" t="n"/>
      <c r="R56" s="261" t="n"/>
      <c r="S56" s="261" t="n"/>
      <c r="T56" s="261" t="n"/>
      <c r="U56" s="261" t="n"/>
      <c r="V56" s="261" t="n"/>
      <c r="W56" s="261" t="n"/>
      <c r="X56" s="261" t="n"/>
      <c r="Y56" s="261" t="n"/>
      <c r="Z56" s="261" t="n"/>
      <c r="AA56" s="261" t="n"/>
      <c r="AB56" s="261" t="n"/>
      <c r="AC56" s="261" t="n"/>
      <c r="AD56" s="261" t="n"/>
      <c r="AE56" s="261" t="n"/>
      <c r="AF56" s="261" t="n"/>
      <c r="AG56" s="261" t="n"/>
      <c r="AH56" s="261" t="n"/>
      <c r="AI56" s="261" t="n"/>
      <c r="AJ56" s="261" t="n"/>
    </row>
    <row r="58">
      <c r="H58" s="251" t="inlineStr">
        <is>
          <t>BALANCO PATRIMONIAL - PASSIVO E PL (USD unidades)</t>
        </is>
      </c>
    </row>
    <row r="59">
      <c r="A59" t="n">
        <v>23</v>
      </c>
      <c r="B59" t="n">
        <v>1</v>
      </c>
      <c r="G59" t="inlineStr">
        <is>
          <t>moeda</t>
        </is>
      </c>
      <c r="H59" t="inlineStr">
        <is>
          <t>Fornecedores</t>
        </is>
      </c>
      <c r="I59" t="inlineStr">
        <is>
          <t>Accounts payable [us-gaap:AccountsPayableCurrent]</t>
        </is>
      </c>
      <c r="J59" t="inlineStr">
        <is>
          <t>fonte</t>
        </is>
      </c>
      <c r="K59" s="261" t="n">
        <v>761000000</v>
      </c>
      <c r="L59" s="261" t="n">
        <v>893000000</v>
      </c>
      <c r="M59" s="261" t="n">
        <v>1097000000</v>
      </c>
      <c r="N59" s="261" t="n">
        <v>1149000000</v>
      </c>
      <c r="O59" s="261" t="n">
        <v>1218000000</v>
      </c>
      <c r="P59" s="261" t="n">
        <v>1474000000</v>
      </c>
      <c r="Q59" s="261" t="n">
        <v>1664000000</v>
      </c>
      <c r="R59" s="261" t="n">
        <v>1783000000</v>
      </c>
      <c r="S59" s="261" t="n">
        <v>1999000000</v>
      </c>
      <c r="T59" s="261" t="n">
        <v>2421000000</v>
      </c>
      <c r="U59" s="261" t="n">
        <v>1491000000</v>
      </c>
      <c r="V59" s="261" t="n">
        <v>1193000000</v>
      </c>
      <c r="W59" s="261" t="n">
        <v>1141000000</v>
      </c>
      <c r="X59" s="261" t="n">
        <v>1929000000</v>
      </c>
      <c r="Y59" s="261" t="n">
        <v>2380000000</v>
      </c>
      <c r="Z59" s="261" t="n">
        <v>2699000000</v>
      </c>
      <c r="AA59" s="261" t="n">
        <v>2715000000</v>
      </c>
      <c r="AB59" s="261" t="n">
        <v>3680000000</v>
      </c>
      <c r="AC59" s="261" t="n">
        <v>5353000000</v>
      </c>
      <c r="AD59" s="261" t="n">
        <v>6310000000</v>
      </c>
      <c r="AE59" s="261" t="n">
        <v>7331000000</v>
      </c>
      <c r="AF59" s="261" t="n">
        <v>9064000000</v>
      </c>
      <c r="AG59" s="261" t="n">
        <v>8624000000</v>
      </c>
      <c r="AH59" s="261" t="n">
        <v>9812000000</v>
      </c>
      <c r="AI59" s="261" t="n">
        <v>13097000000</v>
      </c>
      <c r="AJ59" s="261" t="n">
        <v>15059000000</v>
      </c>
    </row>
    <row r="60">
      <c r="A60" t="n">
        <v>24</v>
      </c>
      <c r="B60" t="n">
        <v>1</v>
      </c>
      <c r="G60" t="inlineStr">
        <is>
          <t>moeda</t>
        </is>
      </c>
      <c r="H60" t="inlineStr">
        <is>
          <t>Provisoes e outros passivos circulantes (bruto; inclui IR a pagar e arrendamento CP, estornados abaixo)</t>
        </is>
      </c>
      <c r="I60" t="inlineStr">
        <is>
          <t>Accrued and other current liabilities [us-gaap:AccruedLiabilitiesCurrent]</t>
        </is>
      </c>
      <c r="J60" t="inlineStr">
        <is>
          <t>fonte</t>
        </is>
      </c>
      <c r="K60" s="261" t="n">
        <v>1142000000</v>
      </c>
      <c r="L60" s="261" t="n">
        <v>1517000000</v>
      </c>
      <c r="M60" s="261" t="n">
        <v>1574000000</v>
      </c>
      <c r="N60" s="261" t="n">
        <v>1777000000</v>
      </c>
      <c r="O60" s="261" t="n">
        <v>1787000000</v>
      </c>
      <c r="P60" s="261" t="n">
        <v>1974000000</v>
      </c>
      <c r="Q60" s="261" t="n">
        <v>1948000000</v>
      </c>
      <c r="R60" s="261" t="n">
        <v>2552000000</v>
      </c>
      <c r="S60" s="261" t="n">
        <v>3563000000</v>
      </c>
      <c r="T60" s="261" t="n">
        <v>3903000000</v>
      </c>
      <c r="U60" s="261" t="n">
        <v>4115000000</v>
      </c>
      <c r="V60" s="261" t="n">
        <v>4120000000</v>
      </c>
      <c r="W60" s="261" t="n">
        <v>4869000000</v>
      </c>
      <c r="X60" s="261" t="n">
        <v>7156000000</v>
      </c>
      <c r="Y60" s="261" t="n">
        <v>5472000000</v>
      </c>
      <c r="Z60" s="261" t="n">
        <v>6682000000</v>
      </c>
      <c r="AA60" s="261" t="n">
        <v>11258000000</v>
      </c>
      <c r="AB60" s="261" t="n">
        <v>10289000000</v>
      </c>
      <c r="AC60" s="261" t="n">
        <v>11126000000</v>
      </c>
      <c r="AD60" s="261" t="n">
        <v>11737000000</v>
      </c>
      <c r="AE60" s="261" t="n">
        <v>19211000000</v>
      </c>
      <c r="AF60" s="261" t="n">
        <v>15193000000</v>
      </c>
      <c r="AG60" s="261" t="n">
        <v>16452000000</v>
      </c>
      <c r="AH60" s="261" t="n">
        <v>21352000000</v>
      </c>
      <c r="AI60" s="261" t="n">
        <v>29787000000</v>
      </c>
      <c r="AJ60" s="261" t="n">
        <v>26960000000</v>
      </c>
    </row>
    <row r="61">
      <c r="A61" t="n">
        <v>25</v>
      </c>
      <c r="B61" t="n">
        <v>1</v>
      </c>
      <c r="C61" t="n">
        <v>24</v>
      </c>
      <c r="D61" t="n">
        <v>-1</v>
      </c>
      <c r="G61" t="inlineStr">
        <is>
          <t>moeda</t>
        </is>
      </c>
      <c r="H61" t="inlineStr">
        <is>
          <t>IR a pagar (nota de passivos circulantes). COD1=25 lanca; COD2=24 estorna de Accrued</t>
        </is>
      </c>
      <c r="I61" t="inlineStr">
        <is>
          <t>Taxes payable [us-gaap:TaxesPayableCurrent] - reclass out of accrued</t>
        </is>
      </c>
      <c r="J61" t="inlineStr">
        <is>
          <t>fonte</t>
        </is>
      </c>
      <c r="K61" s="261" t="n">
        <v>74000000</v>
      </c>
      <c r="L61" s="261" t="n">
        <v>52000000</v>
      </c>
      <c r="M61" s="261" t="n">
        <v>70000000</v>
      </c>
      <c r="N61" s="261" t="n">
        <v>61000000</v>
      </c>
      <c r="O61" s="261" t="n">
        <v>96000000</v>
      </c>
      <c r="P61" s="261" t="n">
        <v>64000000</v>
      </c>
      <c r="Q61" s="261" t="n">
        <v>36000000</v>
      </c>
      <c r="R61" s="261" t="n">
        <v>132000000</v>
      </c>
      <c r="S61" s="261" t="n">
        <v>736000000</v>
      </c>
      <c r="T61" s="261" t="n">
        <v>158000000</v>
      </c>
      <c r="U61" s="261" t="n">
        <v>108000000</v>
      </c>
      <c r="V61" s="261" t="n">
        <v>467000000</v>
      </c>
      <c r="W61" s="261" t="n">
        <v>1544000000</v>
      </c>
      <c r="X61" s="261" t="n">
        <v>2803000000</v>
      </c>
      <c r="Y61" s="261" t="n">
        <v>420000000</v>
      </c>
      <c r="Z61" s="261" t="n">
        <v>296000000</v>
      </c>
      <c r="AA61" s="261" t="n">
        <v>3881000000</v>
      </c>
      <c r="AB61" s="261" t="n">
        <v>1173000000</v>
      </c>
      <c r="AC61" s="261" t="n">
        <v>1356000000</v>
      </c>
      <c r="AD61" s="261" t="n">
        <v>881000000</v>
      </c>
      <c r="AE61" s="261" t="n">
        <v>5672000000</v>
      </c>
      <c r="AF61" s="261" t="n">
        <v>1910000000</v>
      </c>
      <c r="AG61" s="261" t="n">
        <v>2915000000</v>
      </c>
      <c r="AH61" s="261" t="n">
        <v>2669000000</v>
      </c>
      <c r="AI61" s="261" t="n">
        <v>10638000000</v>
      </c>
      <c r="AJ61" s="261" t="n">
        <v>5206000000</v>
      </c>
    </row>
    <row r="62">
      <c r="A62" t="n">
        <v>29</v>
      </c>
      <c r="B62" t="n">
        <v>1</v>
      </c>
      <c r="C62" t="n">
        <v>24</v>
      </c>
      <c r="D62" t="n">
        <v>-1</v>
      </c>
      <c r="G62" t="inlineStr">
        <is>
          <t>moeda</t>
        </is>
      </c>
      <c r="H62" t="inlineStr">
        <is>
          <t>Arrendamento operacional CP (nota). COD1=29 lanca; COD2=24 estorna de Accrued</t>
        </is>
      </c>
      <c r="I62" t="inlineStr">
        <is>
          <t>Operating lease liabilities, current [us-gaap:OperatingLeaseLiabilityCurrent] - reclass out of accrued</t>
        </is>
      </c>
      <c r="J62" t="inlineStr">
        <is>
          <t>fonte</t>
        </is>
      </c>
      <c r="K62" s="261" t="n">
        <v>100000000</v>
      </c>
      <c r="L62" s="261" t="n">
        <v>124000000</v>
      </c>
      <c r="M62" s="261" t="n">
        <v>116000000</v>
      </c>
      <c r="N62" s="261" t="n">
        <v>121000000</v>
      </c>
      <c r="O62" s="261" t="n">
        <v>135000000</v>
      </c>
      <c r="P62" s="261" t="n">
        <v>132000000</v>
      </c>
      <c r="Q62" s="261" t="n">
        <v>140000000</v>
      </c>
      <c r="R62" s="261" t="n">
        <v>144000000</v>
      </c>
      <c r="S62" s="261" t="n">
        <v>147000000</v>
      </c>
      <c r="T62" s="261" t="n">
        <v>145000000</v>
      </c>
      <c r="U62" s="261" t="n">
        <v>156000000</v>
      </c>
      <c r="V62" s="261" t="n">
        <v>176000000</v>
      </c>
      <c r="W62" s="261" t="n">
        <v>187000000</v>
      </c>
      <c r="X62" s="261" t="n">
        <v>208000000</v>
      </c>
      <c r="Y62" s="261" t="n">
        <v>230000000</v>
      </c>
      <c r="Z62" s="261" t="n">
        <v>228000000</v>
      </c>
      <c r="AA62" s="261" t="n">
        <v>246000000</v>
      </c>
      <c r="AB62" s="261" t="n">
        <v>250000000</v>
      </c>
      <c r="AC62" s="261" t="n">
        <v>273000000</v>
      </c>
      <c r="AD62" s="261" t="n">
        <v>288000000</v>
      </c>
      <c r="AE62" s="261" t="n">
        <v>300000000</v>
      </c>
      <c r="AF62" s="261" t="n">
        <v>301000000</v>
      </c>
      <c r="AG62" s="261" t="n">
        <v>341000000</v>
      </c>
      <c r="AH62" s="261" t="n">
        <v>372000000</v>
      </c>
      <c r="AI62" s="261" t="n">
        <v>466000000</v>
      </c>
      <c r="AJ62" s="261" t="n">
        <v>509000000</v>
      </c>
    </row>
    <row r="63">
      <c r="A63" t="n">
        <v>27</v>
      </c>
      <c r="B63" t="n">
        <v>1</v>
      </c>
      <c r="G63" t="inlineStr">
        <is>
          <t>moeda</t>
        </is>
      </c>
      <c r="H63" t="inlineStr">
        <is>
          <t>Divida de curto prazo (0 = linha nao apresentada no balanco do periodo; teste de subtotal confirma)</t>
        </is>
      </c>
      <c r="I63" t="inlineStr">
        <is>
          <t>Short-term debt [us-gaap:LongTermDebtCurrent; DebtCurrent]</t>
        </is>
      </c>
      <c r="J63" t="inlineStr">
        <is>
          <t>fonte</t>
        </is>
      </c>
      <c r="K63" s="261" t="n">
        <v>0</v>
      </c>
      <c r="L63" s="261" t="n">
        <v>0</v>
      </c>
      <c r="M63" s="261" t="n">
        <v>998000000</v>
      </c>
      <c r="N63" s="261" t="n">
        <v>999000000</v>
      </c>
      <c r="O63" s="261" t="n">
        <v>999000000</v>
      </c>
      <c r="P63" s="261" t="n">
        <v>1000000000</v>
      </c>
      <c r="Q63" s="261" t="n">
        <v>0</v>
      </c>
      <c r="R63" s="261" t="n">
        <v>0</v>
      </c>
      <c r="S63" s="261" t="n">
        <v>0</v>
      </c>
      <c r="T63" s="261" t="n">
        <v>1249000000</v>
      </c>
      <c r="U63" s="261" t="n">
        <v>1249000000</v>
      </c>
      <c r="V63" s="261" t="n">
        <v>1250000000</v>
      </c>
      <c r="W63" s="261" t="n">
        <v>1250000000</v>
      </c>
      <c r="X63" s="261" t="n">
        <v>1249000000</v>
      </c>
      <c r="Y63" s="261" t="n">
        <v>1249000000</v>
      </c>
      <c r="Z63" s="261" t="n">
        <v>1250000000</v>
      </c>
      <c r="AA63" s="261" t="n">
        <v>1250000000</v>
      </c>
      <c r="AB63" s="261" t="n">
        <v>0</v>
      </c>
      <c r="AC63" s="261" t="n">
        <v>0</v>
      </c>
      <c r="AD63" s="261" t="n">
        <v>0</v>
      </c>
      <c r="AE63" s="261" t="n">
        <v>0</v>
      </c>
      <c r="AF63" s="261" t="n">
        <v>0</v>
      </c>
      <c r="AG63" s="261" t="n">
        <v>999000000</v>
      </c>
      <c r="AH63" s="261" t="n">
        <v>999000000</v>
      </c>
      <c r="AI63" s="261" t="n">
        <v>1000000000</v>
      </c>
      <c r="AJ63" s="261" t="n">
        <v>1000000000</v>
      </c>
    </row>
    <row r="64">
      <c r="A64" t="n">
        <v>30</v>
      </c>
      <c r="B64" t="n">
        <v>1</v>
      </c>
      <c r="G64" t="inlineStr">
        <is>
          <t>moeda</t>
        </is>
      </c>
      <c r="H64" t="inlineStr">
        <is>
          <t>Divida de longo prazo</t>
        </is>
      </c>
      <c r="I64" t="inlineStr">
        <is>
          <t>Long-term debt [us-gaap:LongTermDebtNoncurrent; LongTermDebt no 1T-2T FY21, sem parcela circulante]</t>
        </is>
      </c>
      <c r="J64" t="inlineStr">
        <is>
          <t>fonte</t>
        </is>
      </c>
      <c r="K64" s="261" t="n">
        <v>6959000000</v>
      </c>
      <c r="L64" s="261" t="n">
        <v>6960000000</v>
      </c>
      <c r="M64" s="261" t="n">
        <v>5963000000</v>
      </c>
      <c r="N64" s="261" t="n">
        <v>5964000000</v>
      </c>
      <c r="O64" s="261" t="n">
        <v>5964000000</v>
      </c>
      <c r="P64" s="261" t="n">
        <v>10943000000</v>
      </c>
      <c r="Q64" s="261" t="n">
        <v>10944000000</v>
      </c>
      <c r="R64" s="261" t="n">
        <v>10946000000</v>
      </c>
      <c r="S64" s="261" t="n">
        <v>10947000000</v>
      </c>
      <c r="T64" s="261" t="n">
        <v>9700000000</v>
      </c>
      <c r="U64" s="261" t="n">
        <v>9701000000</v>
      </c>
      <c r="V64" s="261" t="n">
        <v>9703000000</v>
      </c>
      <c r="W64" s="261" t="n">
        <v>9704000000</v>
      </c>
      <c r="X64" s="261" t="n">
        <v>8456000000</v>
      </c>
      <c r="Y64" s="261" t="n">
        <v>8457000000</v>
      </c>
      <c r="Z64" s="261" t="n">
        <v>8459000000</v>
      </c>
      <c r="AA64" s="261" t="n">
        <v>8460000000</v>
      </c>
      <c r="AB64" s="261" t="n">
        <v>8461000000</v>
      </c>
      <c r="AC64" s="261" t="n">
        <v>8462000000</v>
      </c>
      <c r="AD64" s="261" t="n">
        <v>8463000000</v>
      </c>
      <c r="AE64" s="261" t="n">
        <v>8464000000</v>
      </c>
      <c r="AF64" s="261" t="n">
        <v>8466000000</v>
      </c>
      <c r="AG64" s="261" t="n">
        <v>7468000000</v>
      </c>
      <c r="AH64" s="261" t="n">
        <v>7469000000</v>
      </c>
      <c r="AI64" s="261" t="n">
        <v>7470000000</v>
      </c>
      <c r="AJ64" s="261" t="n">
        <v>32366000000</v>
      </c>
    </row>
    <row r="65">
      <c r="A65" t="n">
        <v>31</v>
      </c>
      <c r="B65" t="n">
        <v>1</v>
      </c>
      <c r="G65" t="inlineStr">
        <is>
          <t>moeda</t>
        </is>
      </c>
      <c r="H65" t="inlineStr">
        <is>
          <t>Arrendamento operacional LP</t>
        </is>
      </c>
      <c r="I65" t="inlineStr">
        <is>
          <t>Long-term operating lease liabilities [us-gaap:OperatingLeaseLiabilityNoncurrent]</t>
        </is>
      </c>
      <c r="J65" t="inlineStr">
        <is>
          <t>fonte</t>
        </is>
      </c>
      <c r="K65" s="261" t="n">
        <v>519000000</v>
      </c>
      <c r="L65" s="261" t="n">
        <v>611000000</v>
      </c>
      <c r="M65" s="261" t="n">
        <v>604000000</v>
      </c>
      <c r="N65" s="261" t="n">
        <v>634000000</v>
      </c>
      <c r="O65" s="261" t="n">
        <v>640000000</v>
      </c>
      <c r="P65" s="261" t="n">
        <v>716000000</v>
      </c>
      <c r="Q65" s="261" t="n">
        <v>743000000</v>
      </c>
      <c r="R65" s="261" t="n">
        <v>741000000</v>
      </c>
      <c r="S65" s="261" t="n">
        <v>752000000</v>
      </c>
      <c r="T65" s="261" t="n">
        <v>743000000</v>
      </c>
      <c r="U65" s="261" t="n">
        <v>798000000</v>
      </c>
      <c r="V65" s="261" t="n">
        <v>902000000</v>
      </c>
      <c r="W65" s="261" t="n">
        <v>939000000</v>
      </c>
      <c r="X65" s="261" t="n">
        <v>1041000000</v>
      </c>
      <c r="Y65" s="261" t="n">
        <v>1091000000</v>
      </c>
      <c r="Z65" s="261" t="n">
        <v>1119000000</v>
      </c>
      <c r="AA65" s="261" t="n">
        <v>1281000000</v>
      </c>
      <c r="AB65" s="261" t="n">
        <v>1304000000</v>
      </c>
      <c r="AC65" s="261" t="n">
        <v>1490000000</v>
      </c>
      <c r="AD65" s="261" t="n">
        <v>1519000000</v>
      </c>
      <c r="AE65" s="261" t="n">
        <v>1521000000</v>
      </c>
      <c r="AF65" s="261" t="n">
        <v>1831000000</v>
      </c>
      <c r="AG65" s="261" t="n">
        <v>2014000000</v>
      </c>
      <c r="AH65" s="261" t="n">
        <v>2572000000</v>
      </c>
      <c r="AI65" s="261" t="n">
        <v>3878000000</v>
      </c>
      <c r="AJ65" s="261" t="n">
        <v>4985000000</v>
      </c>
    </row>
    <row r="66">
      <c r="A66" t="n">
        <v>34</v>
      </c>
      <c r="B66" t="n">
        <v>1</v>
      </c>
      <c r="G66" t="inlineStr">
        <is>
          <t>moeda</t>
        </is>
      </c>
      <c r="H66" t="inlineStr">
        <is>
          <t>Outros passivos de longo prazo (bruto; inclui IR diferido passivo, estornado abaixo)</t>
        </is>
      </c>
      <c r="I66" t="inlineStr">
        <is>
          <t>Other long-term liabilities [us-gaap:OtherLiabilitiesNoncurrent]</t>
        </is>
      </c>
      <c r="J66" t="inlineStr">
        <is>
          <t>fonte</t>
        </is>
      </c>
      <c r="K66" s="261" t="n">
        <v>774000000</v>
      </c>
      <c r="L66" s="261" t="n">
        <v>1285000000</v>
      </c>
      <c r="M66" s="261" t="n">
        <v>1311000000</v>
      </c>
      <c r="N66" s="261" t="n">
        <v>1375000000</v>
      </c>
      <c r="O66" s="261" t="n">
        <v>1414000000</v>
      </c>
      <c r="P66" s="261" t="n">
        <v>1396000000</v>
      </c>
      <c r="Q66" s="261" t="n">
        <v>1535000000</v>
      </c>
      <c r="R66" s="261" t="n">
        <v>1553000000</v>
      </c>
      <c r="S66" s="261" t="n">
        <v>1631000000</v>
      </c>
      <c r="T66" s="261" t="n">
        <v>1609000000</v>
      </c>
      <c r="U66" s="261" t="n">
        <v>1785000000</v>
      </c>
      <c r="V66" s="261" t="n">
        <v>1913000000</v>
      </c>
      <c r="W66" s="261" t="n">
        <v>2037000000</v>
      </c>
      <c r="X66" s="261" t="n">
        <v>2223000000</v>
      </c>
      <c r="Y66" s="261" t="n">
        <v>2234000000</v>
      </c>
      <c r="Z66" s="261" t="n">
        <v>2541000000</v>
      </c>
      <c r="AA66" s="261" t="n">
        <v>2966000000</v>
      </c>
      <c r="AB66" s="261" t="n">
        <v>3336000000</v>
      </c>
      <c r="AC66" s="261" t="n">
        <v>3683000000</v>
      </c>
      <c r="AD66" s="261" t="n">
        <v>4245000000</v>
      </c>
      <c r="AE66" s="261" t="n">
        <v>4884000000</v>
      </c>
      <c r="AF66" s="261" t="n">
        <v>6055000000</v>
      </c>
      <c r="AG66" s="261" t="n">
        <v>6694000000</v>
      </c>
      <c r="AH66" s="261" t="n">
        <v>7306000000</v>
      </c>
      <c r="AI66" s="261" t="n">
        <v>8768000000</v>
      </c>
      <c r="AJ66" s="261" t="n">
        <v>10918000000</v>
      </c>
    </row>
    <row r="67">
      <c r="A67" t="n">
        <v>33</v>
      </c>
      <c r="B67" t="n">
        <v>1</v>
      </c>
      <c r="C67" t="n">
        <v>34</v>
      </c>
      <c r="D67" t="n">
        <v>-1</v>
      </c>
      <c r="G67" t="inlineStr">
        <is>
          <t>moeda</t>
        </is>
      </c>
      <c r="H67" t="inlineStr">
        <is>
          <t>IR diferido passivo (nota). COD1=33 lanca; COD2=34 estorna de Other LT liabilities</t>
        </is>
      </c>
      <c r="I67" t="inlineStr">
        <is>
          <t>Deferred income tax liabilities [us-gaap:DeferredIncomeTaxLiabilitiesNet] - reclass out of other LT liabilities</t>
        </is>
      </c>
      <c r="J67" t="inlineStr">
        <is>
          <t>fonte</t>
        </is>
      </c>
      <c r="K67" s="261" t="n">
        <v>32000000</v>
      </c>
      <c r="L67" s="261" t="n">
        <v>274000000</v>
      </c>
      <c r="M67" s="261" t="n">
        <v>258000000</v>
      </c>
      <c r="N67" s="261" t="n">
        <v>241000000</v>
      </c>
      <c r="O67" s="261" t="n">
        <v>234000000</v>
      </c>
      <c r="P67" s="261" t="n">
        <v>229000000</v>
      </c>
      <c r="Q67" s="261" t="n">
        <v>225000000</v>
      </c>
      <c r="R67" s="261" t="n">
        <v>245000000</v>
      </c>
      <c r="S67" s="261" t="n">
        <v>257000000</v>
      </c>
      <c r="T67" s="261" t="n">
        <v>252000000</v>
      </c>
      <c r="U67" s="261" t="n">
        <v>246000000</v>
      </c>
      <c r="V67" s="261" t="n">
        <v>247000000</v>
      </c>
      <c r="W67" s="261" t="n">
        <v>290000000</v>
      </c>
      <c r="X67" s="261" t="n">
        <v>373000000</v>
      </c>
      <c r="Y67" s="261" t="n">
        <v>424000000</v>
      </c>
      <c r="Z67" s="261" t="n">
        <v>462000000</v>
      </c>
      <c r="AA67" s="261" t="n">
        <v>583000000</v>
      </c>
      <c r="AB67" s="261" t="n">
        <v>697000000</v>
      </c>
      <c r="AC67" s="261" t="n">
        <v>790000000</v>
      </c>
      <c r="AD67" s="261" t="n">
        <v>886000000</v>
      </c>
      <c r="AE67" s="261" t="n">
        <v>1082000000</v>
      </c>
      <c r="AF67" s="261" t="n">
        <v>1351000000</v>
      </c>
      <c r="AG67" s="261" t="n">
        <v>1621000000</v>
      </c>
      <c r="AH67" s="261" t="n">
        <v>1774000000</v>
      </c>
      <c r="AI67" s="261" t="n">
        <v>1798000000</v>
      </c>
      <c r="AJ67" s="261" t="n">
        <v>1619000000</v>
      </c>
    </row>
    <row r="68">
      <c r="G68" t="inlineStr">
        <is>
          <t>moeda</t>
        </is>
      </c>
      <c r="H68" t="inlineStr">
        <is>
          <t>Total do passivo (divulgado)</t>
        </is>
      </c>
      <c r="I68" t="inlineStr">
        <is>
          <t>Total liabilities [us-gaap:Liabilities]</t>
        </is>
      </c>
      <c r="J68" t="inlineStr">
        <is>
          <t>memoria</t>
        </is>
      </c>
      <c r="K68" s="261" t="n">
        <v>10155000000</v>
      </c>
      <c r="L68" s="261" t="n">
        <v>11266000000</v>
      </c>
      <c r="M68" s="261" t="n">
        <v>11547000000</v>
      </c>
      <c r="N68" s="261" t="n">
        <v>11898000000</v>
      </c>
      <c r="O68" s="261" t="n">
        <v>12022000000</v>
      </c>
      <c r="P68" s="261" t="n">
        <v>17503000000</v>
      </c>
      <c r="Q68" s="261" t="n">
        <v>16834000000</v>
      </c>
      <c r="R68" s="261" t="n">
        <v>17575000000</v>
      </c>
      <c r="S68" s="261" t="n">
        <v>18892000000</v>
      </c>
      <c r="T68" s="261" t="n">
        <v>19625000000</v>
      </c>
      <c r="U68" s="261" t="n">
        <v>19139000000</v>
      </c>
      <c r="V68" s="261" t="n">
        <v>19081000000</v>
      </c>
      <c r="W68" s="261" t="n">
        <v>19940000000</v>
      </c>
      <c r="X68" s="261" t="n">
        <v>22054000000</v>
      </c>
      <c r="Y68" s="261" t="n">
        <v>20883000000</v>
      </c>
      <c r="Z68" s="261" t="n">
        <v>22750000000</v>
      </c>
      <c r="AA68" s="261" t="n">
        <v>27930000000</v>
      </c>
      <c r="AB68" s="261" t="n">
        <v>27070000000</v>
      </c>
      <c r="AC68" s="261" t="n">
        <v>30114000000</v>
      </c>
      <c r="AD68" s="261" t="n">
        <v>32274000000</v>
      </c>
      <c r="AE68" s="261" t="n">
        <v>41411000000</v>
      </c>
      <c r="AF68" s="261" t="n">
        <v>40609000000</v>
      </c>
      <c r="AG68" s="261" t="n">
        <v>42251000000</v>
      </c>
      <c r="AH68" s="261" t="n">
        <v>49510000000</v>
      </c>
      <c r="AI68" s="261" t="n">
        <v>64000000000</v>
      </c>
      <c r="AJ68" s="261" t="n">
        <v>91288000000</v>
      </c>
    </row>
    <row r="69">
      <c r="G69" t="inlineStr">
        <is>
          <t>moeda</t>
        </is>
      </c>
      <c r="H69" t="inlineStr">
        <is>
          <t>CHECK: soma das linhas do passivo menos total divulgado (deve ser 0)</t>
        </is>
      </c>
      <c r="I69" t="inlineStr">
        <is>
          <t>Check: mapped liabilities less reported total</t>
        </is>
      </c>
      <c r="J69" t="inlineStr">
        <is>
          <t>derivada</t>
        </is>
      </c>
      <c r="K69" s="261">
        <f>K59+K60+K63+K64+K65+K66-K68</f>
        <v>0</v>
      </c>
      <c r="L69" s="261">
        <f>L59+L60+L63+L64+L65+L66-L68</f>
        <v>0</v>
      </c>
      <c r="M69" s="261">
        <f>M59+M60+M63+M64+M65+M66-M68</f>
        <v>0</v>
      </c>
      <c r="N69" s="261">
        <f>N59+N60+N63+N64+N65+N66-N68</f>
        <v>0</v>
      </c>
      <c r="O69" s="261">
        <f>O59+O60+O63+O64+O65+O66-O68</f>
        <v>0</v>
      </c>
      <c r="P69" s="261">
        <f>P59+P60+P63+P64+P65+P66-P68</f>
        <v>0</v>
      </c>
      <c r="Q69" s="261">
        <f>Q59+Q60+Q63+Q64+Q65+Q66-Q68</f>
        <v>0</v>
      </c>
      <c r="R69" s="261">
        <f>R59+R60+R63+R64+R65+R66-R68</f>
        <v>0</v>
      </c>
      <c r="S69" s="261">
        <f>S59+S60+S63+S64+S65+S66-S68</f>
        <v>0</v>
      </c>
      <c r="T69" s="261">
        <f>T59+T60+T63+T64+T65+T66-T68</f>
        <v>0</v>
      </c>
      <c r="U69" s="261">
        <f>U59+U60+U63+U64+U65+U66-U68</f>
        <v>0</v>
      </c>
      <c r="V69" s="261">
        <f>V59+V60+V63+V64+V65+V66-V68</f>
        <v>0</v>
      </c>
      <c r="W69" s="261">
        <f>W59+W60+W63+W64+W65+W66-W68</f>
        <v>0</v>
      </c>
      <c r="X69" s="261">
        <f>X59+X60+X63+X64+X65+X66-X68</f>
        <v>0</v>
      </c>
      <c r="Y69" s="261">
        <f>Y59+Y60+Y63+Y64+Y65+Y66-Y68</f>
        <v>0</v>
      </c>
      <c r="Z69" s="261">
        <f>Z59+Z60+Z63+Z64+Z65+Z66-Z68</f>
        <v>0</v>
      </c>
      <c r="AA69" s="261">
        <f>AA59+AA60+AA63+AA64+AA65+AA66-AA68</f>
        <v>0</v>
      </c>
      <c r="AB69" s="261">
        <f>AB59+AB60+AB63+AB64+AB65+AB66-AB68</f>
        <v>0</v>
      </c>
      <c r="AC69" s="261">
        <f>AC59+AC60+AC63+AC64+AC65+AC66-AC68</f>
        <v>0</v>
      </c>
      <c r="AD69" s="261">
        <f>AD59+AD60+AD63+AD64+AD65+AD66-AD68</f>
        <v>0</v>
      </c>
      <c r="AE69" s="261">
        <f>AE59+AE60+AE63+AE64+AE65+AE66-AE68</f>
        <v>0</v>
      </c>
      <c r="AF69" s="261">
        <f>AF59+AF60+AF63+AF64+AF65+AF66-AF68</f>
        <v>0</v>
      </c>
      <c r="AG69" s="261">
        <f>AG59+AG60+AG63+AG64+AG65+AG66-AG68</f>
        <v>0</v>
      </c>
      <c r="AH69" s="261">
        <f>AH59+AH60+AH63+AH64+AH65+AH66-AH68</f>
        <v>0</v>
      </c>
      <c r="AI69" s="261">
        <f>AI59+AI60+AI63+AI64+AI65+AI66-AI68</f>
        <v>0</v>
      </c>
      <c r="AJ69" s="261">
        <f>AJ59+AJ60+AJ63+AJ64+AJ65+AJ66-AJ68</f>
        <v>0</v>
      </c>
    </row>
    <row r="70">
      <c r="A70" t="n">
        <v>37</v>
      </c>
      <c r="B70" t="n">
        <v>1</v>
      </c>
      <c r="G70" t="inlineStr">
        <is>
          <t>moeda</t>
        </is>
      </c>
      <c r="H70" t="inlineStr">
        <is>
          <t>Acoes ordinarias (valor nominal)</t>
        </is>
      </c>
      <c r="I70" t="inlineStr">
        <is>
          <t>Common stock [us-gaap:CommonStockValue]</t>
        </is>
      </c>
      <c r="J70" t="inlineStr">
        <is>
          <t>fonte</t>
        </is>
      </c>
      <c r="K70" s="261" t="n">
        <v>1000000</v>
      </c>
      <c r="L70" s="261" t="n">
        <v>1000000</v>
      </c>
      <c r="M70" s="261" t="n">
        <v>1000000</v>
      </c>
      <c r="N70" s="261" t="n">
        <v>3000000</v>
      </c>
      <c r="O70" s="261" t="n">
        <v>1000000</v>
      </c>
      <c r="P70" s="261" t="n">
        <v>3000000</v>
      </c>
      <c r="Q70" s="261" t="n">
        <v>3000000</v>
      </c>
      <c r="R70" s="261" t="n">
        <v>3000000</v>
      </c>
      <c r="S70" s="261" t="n">
        <v>3000000</v>
      </c>
      <c r="T70" s="261" t="n">
        <v>2000000</v>
      </c>
      <c r="U70" s="261" t="n">
        <v>2000000</v>
      </c>
      <c r="V70" s="261" t="n">
        <v>2000000</v>
      </c>
      <c r="W70" s="261" t="n">
        <v>2000000</v>
      </c>
      <c r="X70" s="261" t="n">
        <v>2000000</v>
      </c>
      <c r="Y70" s="261" t="n">
        <v>2000000</v>
      </c>
      <c r="Z70" s="261" t="n">
        <v>25000000</v>
      </c>
      <c r="AA70" s="261" t="n">
        <v>2000000</v>
      </c>
      <c r="AB70" s="261" t="n">
        <v>25000000</v>
      </c>
      <c r="AC70" s="261" t="n">
        <v>25000000</v>
      </c>
      <c r="AD70" s="261" t="n">
        <v>24000000</v>
      </c>
      <c r="AE70" s="261" t="n">
        <v>24000000</v>
      </c>
      <c r="AF70" s="261" t="n">
        <v>24000000</v>
      </c>
      <c r="AG70" s="261" t="n">
        <v>24000000</v>
      </c>
      <c r="AH70" s="261" t="n">
        <v>24000000</v>
      </c>
      <c r="AI70" s="261" t="n">
        <v>24000000</v>
      </c>
      <c r="AJ70" s="261" t="n">
        <v>24000000</v>
      </c>
    </row>
    <row r="71">
      <c r="A71" t="n">
        <v>37</v>
      </c>
      <c r="B71" t="n">
        <v>1</v>
      </c>
      <c r="G71" t="inlineStr">
        <is>
          <t>moeda</t>
        </is>
      </c>
      <c r="H71" t="inlineStr">
        <is>
          <t>Capital adicional integralizado</t>
        </is>
      </c>
      <c r="I71" t="inlineStr">
        <is>
          <t>Additional paid-in capital [us-gaap:AdditionalPaidInCapital]</t>
        </is>
      </c>
      <c r="J71" t="inlineStr">
        <is>
          <t>fonte</t>
        </is>
      </c>
      <c r="K71" s="261" t="n">
        <v>7354000000</v>
      </c>
      <c r="L71" s="261" t="n">
        <v>7828000000</v>
      </c>
      <c r="M71" s="261" t="n">
        <v>8301000000</v>
      </c>
      <c r="N71" s="261" t="n">
        <v>8719000000</v>
      </c>
      <c r="O71" s="261" t="n">
        <v>9280000000</v>
      </c>
      <c r="P71" s="261" t="n">
        <v>9745000000</v>
      </c>
      <c r="Q71" s="261" t="n">
        <v>10465000000</v>
      </c>
      <c r="R71" s="261" t="n">
        <v>10385000000</v>
      </c>
      <c r="S71" s="261" t="n">
        <v>10623000000</v>
      </c>
      <c r="T71" s="261" t="n">
        <v>10968000000</v>
      </c>
      <c r="U71" s="261" t="n">
        <v>11565000000</v>
      </c>
      <c r="V71" s="261" t="n">
        <v>11971000000</v>
      </c>
      <c r="W71" s="261" t="n">
        <v>12453000000</v>
      </c>
      <c r="X71" s="261" t="n">
        <v>12629000000</v>
      </c>
      <c r="Y71" s="261" t="n">
        <v>12991000000</v>
      </c>
      <c r="Z71" s="261" t="n">
        <v>13109000000</v>
      </c>
      <c r="AA71" s="261" t="n">
        <v>12651000000</v>
      </c>
      <c r="AB71" s="261" t="n">
        <v>12115000000</v>
      </c>
      <c r="AC71" s="261" t="n">
        <v>11821000000</v>
      </c>
      <c r="AD71" s="261" t="n">
        <v>11237000000</v>
      </c>
      <c r="AE71" s="261" t="n">
        <v>11475000000</v>
      </c>
      <c r="AF71" s="261" t="n">
        <v>11200000000</v>
      </c>
      <c r="AG71" s="261" t="n">
        <v>10626000000</v>
      </c>
      <c r="AH71" s="261" t="n">
        <v>10118000000</v>
      </c>
      <c r="AI71" s="261" t="n">
        <v>10275000000</v>
      </c>
      <c r="AJ71" s="261" t="n">
        <v>9828000000</v>
      </c>
    </row>
    <row r="72">
      <c r="A72" t="n">
        <v>38</v>
      </c>
      <c r="B72" t="n">
        <v>-1</v>
      </c>
      <c r="G72" t="inlineStr">
        <is>
          <t>moeda</t>
        </is>
      </c>
      <c r="H72" t="inlineStr">
        <is>
          <t>Acoes em tesouraria (divulgada positiva; 0 = acoes canceladas, linha nao apresentada a partir do 1T FY23)</t>
        </is>
      </c>
      <c r="I72" t="inlineStr">
        <is>
          <t>Treasury stock [us-gaap:TreasuryStockValue]</t>
        </is>
      </c>
      <c r="J72" t="inlineStr">
        <is>
          <t>fonte</t>
        </is>
      </c>
      <c r="K72" s="261" t="n">
        <v>10036000000</v>
      </c>
      <c r="L72" s="261" t="n">
        <v>10232000000</v>
      </c>
      <c r="M72" s="261" t="n">
        <v>10530000000</v>
      </c>
      <c r="N72" s="261" t="n">
        <v>10756000000</v>
      </c>
      <c r="O72" s="261" t="n">
        <v>11242000000</v>
      </c>
      <c r="P72" s="261" t="n">
        <v>11604000000</v>
      </c>
      <c r="Q72" s="261" t="n">
        <v>12038000000</v>
      </c>
      <c r="R72" s="261" t="n">
        <v>0</v>
      </c>
      <c r="S72" s="261" t="n">
        <v>0</v>
      </c>
      <c r="T72" s="261" t="n">
        <v>0</v>
      </c>
      <c r="U72" s="261" t="n">
        <v>0</v>
      </c>
      <c r="V72" s="261" t="n">
        <v>0</v>
      </c>
      <c r="W72" s="261" t="n">
        <v>0</v>
      </c>
      <c r="X72" s="261" t="n">
        <v>0</v>
      </c>
      <c r="Y72" s="261" t="n">
        <v>0</v>
      </c>
      <c r="Z72" s="261" t="n">
        <v>0</v>
      </c>
      <c r="AA72" s="261" t="n">
        <v>0</v>
      </c>
      <c r="AB72" s="261" t="n">
        <v>0</v>
      </c>
      <c r="AC72" s="261" t="n">
        <v>0</v>
      </c>
      <c r="AD72" s="261" t="n">
        <v>0</v>
      </c>
      <c r="AE72" s="261" t="n">
        <v>0</v>
      </c>
      <c r="AF72" s="261" t="n">
        <v>0</v>
      </c>
      <c r="AG72" s="261" t="n">
        <v>0</v>
      </c>
      <c r="AH72" s="261" t="n">
        <v>0</v>
      </c>
      <c r="AI72" s="261" t="n">
        <v>0</v>
      </c>
      <c r="AJ72" s="261" t="n">
        <v>0</v>
      </c>
    </row>
    <row r="73">
      <c r="A73" t="n">
        <v>39</v>
      </c>
      <c r="B73" t="n">
        <v>1</v>
      </c>
      <c r="G73" t="inlineStr">
        <is>
          <t>moeda</t>
        </is>
      </c>
      <c r="H73" t="inlineStr">
        <is>
          <t>Outros resultados abrangentes acumulados</t>
        </is>
      </c>
      <c r="I73" t="inlineStr">
        <is>
          <t>Accumulated other comprehensive income (loss) [us-gaap:AccumulatedOtherComprehensiveIncomeLossNetOfTax]</t>
        </is>
      </c>
      <c r="J73" t="inlineStr">
        <is>
          <t>fonte</t>
        </is>
      </c>
      <c r="K73" s="261" t="n">
        <v>-10000000</v>
      </c>
      <c r="L73" s="261" t="n">
        <v>4000000</v>
      </c>
      <c r="M73" s="261" t="n">
        <v>12000000</v>
      </c>
      <c r="N73" s="261" t="n">
        <v>19000000</v>
      </c>
      <c r="O73" s="261" t="n">
        <v>14000000</v>
      </c>
      <c r="P73" s="261" t="n">
        <v>8000000</v>
      </c>
      <c r="Q73" s="261" t="n">
        <v>9000000</v>
      </c>
      <c r="R73" s="261" t="n">
        <v>-11000000</v>
      </c>
      <c r="S73" s="261" t="n">
        <v>-64000000</v>
      </c>
      <c r="T73" s="261" t="n">
        <v>-90000000</v>
      </c>
      <c r="U73" s="261" t="n">
        <v>-123000000</v>
      </c>
      <c r="V73" s="261" t="n">
        <v>-43000000</v>
      </c>
      <c r="W73" s="261" t="n">
        <v>-50000000</v>
      </c>
      <c r="X73" s="261" t="n">
        <v>-51000000</v>
      </c>
      <c r="Y73" s="261" t="n">
        <v>-88000000</v>
      </c>
      <c r="Z73" s="261" t="n">
        <v>27000000</v>
      </c>
      <c r="AA73" s="261" t="n">
        <v>-109000000</v>
      </c>
      <c r="AB73" s="261" t="n">
        <v>56000000</v>
      </c>
      <c r="AC73" s="261" t="n">
        <v>103000000</v>
      </c>
      <c r="AD73" s="261" t="n">
        <v>28000000</v>
      </c>
      <c r="AE73" s="261" t="n">
        <v>186000000</v>
      </c>
      <c r="AF73" s="261" t="n">
        <v>170000000</v>
      </c>
      <c r="AG73" s="261" t="n">
        <v>339000000</v>
      </c>
      <c r="AH73" s="261" t="n">
        <v>178000000</v>
      </c>
      <c r="AI73" s="261" t="n">
        <v>137000000</v>
      </c>
      <c r="AJ73" s="261" t="n">
        <v>-25000000</v>
      </c>
    </row>
    <row r="74">
      <c r="A74" t="n">
        <v>41</v>
      </c>
      <c r="B74" t="n">
        <v>1</v>
      </c>
      <c r="G74" t="inlineStr">
        <is>
          <t>moeda</t>
        </is>
      </c>
      <c r="H74" t="inlineStr">
        <is>
          <t>Lucros retidos</t>
        </is>
      </c>
      <c r="I74" t="inlineStr">
        <is>
          <t>Retained earnings [us-gaap:RetainedEarningsAccumulatedDeficit]</t>
        </is>
      </c>
      <c r="J74" t="inlineStr">
        <is>
          <t>fonte</t>
        </is>
      </c>
      <c r="K74" s="261" t="n">
        <v>15790000000</v>
      </c>
      <c r="L74" s="261" t="n">
        <v>16313000000</v>
      </c>
      <c r="M74" s="261" t="n">
        <v>17550000000</v>
      </c>
      <c r="N74" s="261" t="n">
        <v>18908000000</v>
      </c>
      <c r="O74" s="261" t="n">
        <v>20721000000</v>
      </c>
      <c r="P74" s="261" t="n">
        <v>22995000000</v>
      </c>
      <c r="Q74" s="261" t="n">
        <v>25359000000</v>
      </c>
      <c r="R74" s="261" t="n">
        <v>16235000000</v>
      </c>
      <c r="S74" s="261" t="n">
        <v>15758000000</v>
      </c>
      <c r="T74" s="261" t="n">
        <v>12971000000</v>
      </c>
      <c r="U74" s="261" t="n">
        <v>9905000000</v>
      </c>
      <c r="V74" s="261" t="n">
        <v>10171000000</v>
      </c>
      <c r="W74" s="261" t="n">
        <v>12115000000</v>
      </c>
      <c r="X74" s="261" t="n">
        <v>14921000000</v>
      </c>
      <c r="Y74" s="261" t="n">
        <v>20360000000</v>
      </c>
      <c r="Z74" s="261" t="n">
        <v>29817000000</v>
      </c>
      <c r="AA74" s="261" t="n">
        <v>36598000000</v>
      </c>
      <c r="AB74" s="261" t="n">
        <v>45961000000</v>
      </c>
      <c r="AC74" s="261" t="n">
        <v>53950000000</v>
      </c>
      <c r="AD74" s="261" t="n">
        <v>68038000000</v>
      </c>
      <c r="AE74" s="261" t="n">
        <v>72158000000</v>
      </c>
      <c r="AF74" s="261" t="n">
        <v>88737000000</v>
      </c>
      <c r="AG74" s="261" t="n">
        <v>107908000000</v>
      </c>
      <c r="AH74" s="261" t="n">
        <v>146973000000</v>
      </c>
      <c r="AI74" s="261" t="n">
        <v>185038000000</v>
      </c>
      <c r="AJ74" s="261" t="n">
        <v>219157000000</v>
      </c>
    </row>
    <row r="75">
      <c r="G75" t="inlineStr">
        <is>
          <t>moeda</t>
        </is>
      </c>
      <c r="H75" t="inlineStr">
        <is>
          <t>Total do PL (divulgado)</t>
        </is>
      </c>
      <c r="I75" t="inlineStr">
        <is>
          <t>Total shareholders equity [us-gaap:StockholdersEquity]</t>
        </is>
      </c>
      <c r="J75" t="inlineStr">
        <is>
          <t>memoria</t>
        </is>
      </c>
      <c r="K75" s="261" t="n">
        <v>13099000000</v>
      </c>
      <c r="L75" s="261" t="n">
        <v>13914000000</v>
      </c>
      <c r="M75" s="261" t="n">
        <v>15334000000</v>
      </c>
      <c r="N75" s="261" t="n">
        <v>16893000000</v>
      </c>
      <c r="O75" s="261" t="n">
        <v>18774000000</v>
      </c>
      <c r="P75" s="261" t="n">
        <v>21147000000</v>
      </c>
      <c r="Q75" s="261" t="n">
        <v>23798000000</v>
      </c>
      <c r="R75" s="261" t="n">
        <v>26612000000</v>
      </c>
      <c r="S75" s="261" t="n">
        <v>26320000000</v>
      </c>
      <c r="T75" s="261" t="n">
        <v>23851000000</v>
      </c>
      <c r="U75" s="261" t="n">
        <v>21349000000</v>
      </c>
      <c r="V75" s="261" t="n">
        <v>22101000000</v>
      </c>
      <c r="W75" s="261" t="n">
        <v>24520000000</v>
      </c>
      <c r="X75" s="261" t="n">
        <v>27501000000</v>
      </c>
      <c r="Y75" s="261" t="n">
        <v>33265000000</v>
      </c>
      <c r="Z75" s="261" t="n">
        <v>42978000000</v>
      </c>
      <c r="AA75" s="261" t="n">
        <v>49142000000</v>
      </c>
      <c r="AB75" s="261" t="n">
        <v>58157000000</v>
      </c>
      <c r="AC75" s="261" t="n">
        <v>65899000000</v>
      </c>
      <c r="AD75" s="261" t="n">
        <v>79327000000</v>
      </c>
      <c r="AE75" s="261" t="n">
        <v>83843000000</v>
      </c>
      <c r="AF75" s="261" t="n">
        <v>100131000000</v>
      </c>
      <c r="AG75" s="261" t="n">
        <v>118897000000</v>
      </c>
      <c r="AH75" s="261" t="n">
        <v>157293000000</v>
      </c>
      <c r="AI75" s="261" t="n">
        <v>195474000000</v>
      </c>
      <c r="AJ75" s="261" t="n">
        <v>228984000000</v>
      </c>
    </row>
    <row r="76">
      <c r="G76" t="inlineStr">
        <is>
          <t>moeda</t>
        </is>
      </c>
      <c r="H76" t="inlineStr">
        <is>
          <t>CHECK: soma das linhas do PL menos total divulgado (deve ser 0)</t>
        </is>
      </c>
      <c r="I76" t="inlineStr">
        <is>
          <t>Check: mapped equity less reported total</t>
        </is>
      </c>
      <c r="J76" t="inlineStr">
        <is>
          <t>derivada</t>
        </is>
      </c>
      <c r="K76" s="261">
        <f>K70+K71-K72+K73+K74-K75</f>
        <v>0</v>
      </c>
      <c r="L76" s="261">
        <f>L70+L71-L72+L73+L74-L75</f>
        <v>0</v>
      </c>
      <c r="M76" s="261">
        <f>M70+M71-M72+M73+M74-M75</f>
        <v>0</v>
      </c>
      <c r="N76" s="261">
        <f>N70+N71-N72+N73+N74-N75</f>
        <v>0</v>
      </c>
      <c r="O76" s="261">
        <f>O70+O71-O72+O73+O74-O75</f>
        <v>0</v>
      </c>
      <c r="P76" s="261">
        <f>P70+P71-P72+P73+P74-P75</f>
        <v>0</v>
      </c>
      <c r="Q76" s="261">
        <f>Q70+Q71-Q72+Q73+Q74-Q75</f>
        <v>0</v>
      </c>
      <c r="R76" s="261">
        <f>R70+R71-R72+R73+R74-R75</f>
        <v>0</v>
      </c>
      <c r="S76" s="261">
        <f>S70+S71-S72+S73+S74-S75</f>
        <v>0</v>
      </c>
      <c r="T76" s="261">
        <f>T70+T71-T72+T73+T74-T75</f>
        <v>0</v>
      </c>
      <c r="U76" s="261">
        <f>U70+U71-U72+U73+U74-U75</f>
        <v>0</v>
      </c>
      <c r="V76" s="261">
        <f>V70+V71-V72+V73+V74-V75</f>
        <v>0</v>
      </c>
      <c r="W76" s="261">
        <f>W70+W71-W72+W73+W74-W75</f>
        <v>0</v>
      </c>
      <c r="X76" s="261">
        <f>X70+X71-X72+X73+X74-X75</f>
        <v>0</v>
      </c>
      <c r="Y76" s="261">
        <f>Y70+Y71-Y72+Y73+Y74-Y75</f>
        <v>0</v>
      </c>
      <c r="Z76" s="261">
        <f>Z70+Z71-Z72+Z73+Z74-Z75</f>
        <v>0</v>
      </c>
      <c r="AA76" s="261">
        <f>AA70+AA71-AA72+AA73+AA74-AA75</f>
        <v>0</v>
      </c>
      <c r="AB76" s="261">
        <f>AB70+AB71-AB72+AB73+AB74-AB75</f>
        <v>0</v>
      </c>
      <c r="AC76" s="261">
        <f>AC70+AC71-AC72+AC73+AC74-AC75</f>
        <v>0</v>
      </c>
      <c r="AD76" s="261">
        <f>AD70+AD71-AD72+AD73+AD74-AD75</f>
        <v>0</v>
      </c>
      <c r="AE76" s="261">
        <f>AE70+AE71-AE72+AE73+AE74-AE75</f>
        <v>0</v>
      </c>
      <c r="AF76" s="261">
        <f>AF70+AF71-AF72+AF73+AF74-AF75</f>
        <v>0</v>
      </c>
      <c r="AG76" s="261">
        <f>AG70+AG71-AG72+AG73+AG74-AG75</f>
        <v>0</v>
      </c>
      <c r="AH76" s="261">
        <f>AH70+AH71-AH72+AH73+AH74-AH75</f>
        <v>0</v>
      </c>
      <c r="AI76" s="261">
        <f>AI70+AI71-AI72+AI73+AI74-AI75</f>
        <v>0</v>
      </c>
      <c r="AJ76" s="261">
        <f>AJ70+AJ71-AJ72+AJ73+AJ74-AJ75</f>
        <v>0</v>
      </c>
    </row>
    <row r="77">
      <c r="G77" t="inlineStr">
        <is>
          <t>moeda</t>
        </is>
      </c>
      <c r="H77" t="inlineStr">
        <is>
          <t>Total do passivo + PL (divulgado)</t>
        </is>
      </c>
      <c r="I77" t="inlineStr">
        <is>
          <t>Total liabilities and shareholders equity [us-gaap:LiabilitiesAndStockholdersEquity]</t>
        </is>
      </c>
      <c r="J77" t="inlineStr">
        <is>
          <t>memoria</t>
        </is>
      </c>
      <c r="K77" s="261" t="n">
        <v>23254000000</v>
      </c>
      <c r="L77" s="261" t="n">
        <v>25180000000</v>
      </c>
      <c r="M77" s="261" t="n">
        <v>26881000000</v>
      </c>
      <c r="N77" s="261" t="n">
        <v>28791000000</v>
      </c>
      <c r="O77" s="261" t="n">
        <v>30796000000</v>
      </c>
      <c r="P77" s="261" t="n">
        <v>38650000000</v>
      </c>
      <c r="Q77" s="261" t="n">
        <v>40632000000</v>
      </c>
      <c r="R77" s="261" t="n">
        <v>44187000000</v>
      </c>
      <c r="S77" s="261" t="n">
        <v>45212000000</v>
      </c>
      <c r="T77" s="261" t="n">
        <v>43476000000</v>
      </c>
      <c r="U77" s="261" t="n">
        <v>40488000000</v>
      </c>
      <c r="V77" s="261" t="n">
        <v>41182000000</v>
      </c>
      <c r="W77" s="261" t="n">
        <v>44460000000</v>
      </c>
      <c r="X77" s="261" t="n">
        <v>49555000000</v>
      </c>
      <c r="Y77" s="261" t="n">
        <v>54148000000</v>
      </c>
      <c r="Z77" s="261" t="n">
        <v>65728000000</v>
      </c>
      <c r="AA77" s="261" t="n">
        <v>77072000000</v>
      </c>
      <c r="AB77" s="261" t="n">
        <v>85227000000</v>
      </c>
      <c r="AC77" s="261" t="n">
        <v>96013000000</v>
      </c>
      <c r="AD77" s="261" t="n">
        <v>111601000000</v>
      </c>
      <c r="AE77" s="261" t="n">
        <v>125254000000</v>
      </c>
      <c r="AF77" s="261" t="n">
        <v>140740000000</v>
      </c>
      <c r="AG77" s="261" t="n">
        <v>161148000000</v>
      </c>
      <c r="AH77" s="261" t="n">
        <v>206803000000</v>
      </c>
      <c r="AI77" s="261" t="n">
        <v>259474000000</v>
      </c>
      <c r="AJ77" s="261" t="n">
        <v>320272000000</v>
      </c>
    </row>
    <row r="78">
      <c r="G78" t="inlineStr">
        <is>
          <t>moeda</t>
        </is>
      </c>
      <c r="H78" t="inlineStr">
        <is>
          <t>[vazio] cod 26 Other current liabilities (non-debt): tudo que a NVIDIA divulga esta em Accrued and other (cod 24)</t>
        </is>
      </c>
      <c r="J78" t="inlineStr">
        <is>
          <t>memoria</t>
        </is>
      </c>
      <c r="K78" s="261" t="n"/>
      <c r="L78" s="261" t="n"/>
      <c r="M78" s="261" t="n"/>
      <c r="N78" s="261" t="n"/>
      <c r="O78" s="261" t="n"/>
      <c r="P78" s="261" t="n"/>
      <c r="Q78" s="261" t="n"/>
      <c r="R78" s="261" t="n"/>
      <c r="S78" s="261" t="n"/>
      <c r="T78" s="261" t="n"/>
      <c r="U78" s="261" t="n"/>
      <c r="V78" s="261" t="n"/>
      <c r="W78" s="261" t="n"/>
      <c r="X78" s="261" t="n"/>
      <c r="Y78" s="261" t="n"/>
      <c r="Z78" s="261" t="n"/>
      <c r="AA78" s="261" t="n"/>
      <c r="AB78" s="261" t="n"/>
      <c r="AC78" s="261" t="n"/>
      <c r="AD78" s="261" t="n"/>
      <c r="AE78" s="261" t="n"/>
      <c r="AF78" s="261" t="n"/>
      <c r="AG78" s="261" t="n"/>
      <c r="AH78" s="261" t="n"/>
      <c r="AI78" s="261" t="n"/>
      <c r="AJ78" s="261" t="n"/>
    </row>
    <row r="79">
      <c r="G79" t="inlineStr">
        <is>
          <t>moeda</t>
        </is>
      </c>
      <c r="H79" t="inlineStr">
        <is>
          <t>[vazio] cod 28 Short term debt (Revolving): NVIDIA nao tem linha de credito sacada</t>
        </is>
      </c>
      <c r="J79" t="inlineStr">
        <is>
          <t>memoria</t>
        </is>
      </c>
      <c r="K79" s="261" t="n"/>
      <c r="L79" s="261" t="n"/>
      <c r="M79" s="261" t="n"/>
      <c r="N79" s="261" t="n"/>
      <c r="O79" s="261" t="n"/>
      <c r="P79" s="261" t="n"/>
      <c r="Q79" s="261" t="n"/>
      <c r="R79" s="261" t="n"/>
      <c r="S79" s="261" t="n"/>
      <c r="T79" s="261" t="n"/>
      <c r="U79" s="261" t="n"/>
      <c r="V79" s="261" t="n"/>
      <c r="W79" s="261" t="n"/>
      <c r="X79" s="261" t="n"/>
      <c r="Y79" s="261" t="n"/>
      <c r="Z79" s="261" t="n"/>
      <c r="AA79" s="261" t="n"/>
      <c r="AB79" s="261" t="n"/>
      <c r="AC79" s="261" t="n"/>
      <c r="AD79" s="261" t="n"/>
      <c r="AE79" s="261" t="n"/>
      <c r="AF79" s="261" t="n"/>
      <c r="AG79" s="261" t="n"/>
      <c r="AH79" s="261" t="n"/>
      <c r="AI79" s="261" t="n"/>
      <c r="AJ79" s="261" t="n"/>
    </row>
    <row r="80">
      <c r="G80" t="inlineStr">
        <is>
          <t>moeda</t>
        </is>
      </c>
      <c r="H80" t="inlineStr">
        <is>
          <t>[vazio] cod 32 Convertible debt: sem divida conversivel no periodo</t>
        </is>
      </c>
      <c r="J80" t="inlineStr">
        <is>
          <t>memoria</t>
        </is>
      </c>
      <c r="K80" s="261" t="n"/>
      <c r="L80" s="261" t="n"/>
      <c r="M80" s="261" t="n"/>
      <c r="N80" s="261" t="n"/>
      <c r="O80" s="261" t="n"/>
      <c r="P80" s="261" t="n"/>
      <c r="Q80" s="261" t="n"/>
      <c r="R80" s="261" t="n"/>
      <c r="S80" s="261" t="n"/>
      <c r="T80" s="261" t="n"/>
      <c r="U80" s="261" t="n"/>
      <c r="V80" s="261" t="n"/>
      <c r="W80" s="261" t="n"/>
      <c r="X80" s="261" t="n"/>
      <c r="Y80" s="261" t="n"/>
      <c r="Z80" s="261" t="n"/>
      <c r="AA80" s="261" t="n"/>
      <c r="AB80" s="261" t="n"/>
      <c r="AC80" s="261" t="n"/>
      <c r="AD80" s="261" t="n"/>
      <c r="AE80" s="261" t="n"/>
      <c r="AF80" s="261" t="n"/>
      <c r="AG80" s="261" t="n"/>
      <c r="AH80" s="261" t="n"/>
      <c r="AI80" s="261" t="n"/>
      <c r="AJ80" s="261" t="n"/>
    </row>
    <row r="81">
      <c r="G81" t="inlineStr">
        <is>
          <t>moeda</t>
        </is>
      </c>
      <c r="H81" t="inlineStr">
        <is>
          <t>[vazio] cod 35 Minority interest: inexistente</t>
        </is>
      </c>
      <c r="J81" t="inlineStr">
        <is>
          <t>memoria</t>
        </is>
      </c>
      <c r="K81" s="261" t="n"/>
      <c r="L81" s="261" t="n"/>
      <c r="M81" s="261" t="n"/>
      <c r="N81" s="261" t="n"/>
      <c r="O81" s="261" t="n"/>
      <c r="P81" s="261" t="n"/>
      <c r="Q81" s="261" t="n"/>
      <c r="R81" s="261" t="n"/>
      <c r="S81" s="261" t="n"/>
      <c r="T81" s="261" t="n"/>
      <c r="U81" s="261" t="n"/>
      <c r="V81" s="261" t="n"/>
      <c r="W81" s="261" t="n"/>
      <c r="X81" s="261" t="n"/>
      <c r="Y81" s="261" t="n"/>
      <c r="Z81" s="261" t="n"/>
      <c r="AA81" s="261" t="n"/>
      <c r="AB81" s="261" t="n"/>
      <c r="AC81" s="261" t="n"/>
      <c r="AD81" s="261" t="n"/>
      <c r="AE81" s="261" t="n"/>
      <c r="AF81" s="261" t="n"/>
      <c r="AG81" s="261" t="n"/>
      <c r="AH81" s="261" t="n"/>
      <c r="AI81" s="261" t="n"/>
      <c r="AJ81" s="261" t="n"/>
    </row>
    <row r="82">
      <c r="G82" t="inlineStr">
        <is>
          <t>moeda</t>
        </is>
      </c>
      <c r="H82" t="inlineStr">
        <is>
          <t>[vazio] cod 36 Convertible Preferred Stock: preferenciais = 0 no balanco</t>
        </is>
      </c>
      <c r="J82" t="inlineStr">
        <is>
          <t>memoria</t>
        </is>
      </c>
      <c r="K82" s="261" t="n"/>
      <c r="L82" s="261" t="n"/>
      <c r="M82" s="261" t="n"/>
      <c r="N82" s="261" t="n"/>
      <c r="O82" s="261" t="n"/>
      <c r="P82" s="261" t="n"/>
      <c r="Q82" s="261" t="n"/>
      <c r="R82" s="261" t="n"/>
      <c r="S82" s="261" t="n"/>
      <c r="T82" s="261" t="n"/>
      <c r="U82" s="261" t="n"/>
      <c r="V82" s="261" t="n"/>
      <c r="W82" s="261" t="n"/>
      <c r="X82" s="261" t="n"/>
      <c r="Y82" s="261" t="n"/>
      <c r="Z82" s="261" t="n"/>
      <c r="AA82" s="261" t="n"/>
      <c r="AB82" s="261" t="n"/>
      <c r="AC82" s="261" t="n"/>
      <c r="AD82" s="261" t="n"/>
      <c r="AE82" s="261" t="n"/>
      <c r="AF82" s="261" t="n"/>
      <c r="AG82" s="261" t="n"/>
      <c r="AH82" s="261" t="n"/>
      <c r="AI82" s="261" t="n"/>
      <c r="AJ82" s="261" t="n"/>
    </row>
    <row r="83">
      <c r="G83" t="inlineStr">
        <is>
          <t>moeda</t>
        </is>
      </c>
      <c r="H83" t="inlineStr">
        <is>
          <t>[vazio] cod 40 Other equity account: inexistente</t>
        </is>
      </c>
      <c r="J83" t="inlineStr">
        <is>
          <t>memoria</t>
        </is>
      </c>
      <c r="K83" s="261" t="n"/>
      <c r="L83" s="261" t="n"/>
      <c r="M83" s="261" t="n"/>
      <c r="N83" s="261" t="n"/>
      <c r="O83" s="261" t="n"/>
      <c r="P83" s="261" t="n"/>
      <c r="Q83" s="261" t="n"/>
      <c r="R83" s="261" t="n"/>
      <c r="S83" s="261" t="n"/>
      <c r="T83" s="261" t="n"/>
      <c r="U83" s="261" t="n"/>
      <c r="V83" s="261" t="n"/>
      <c r="W83" s="261" t="n"/>
      <c r="X83" s="261" t="n"/>
      <c r="Y83" s="261" t="n"/>
      <c r="Z83" s="261" t="n"/>
      <c r="AA83" s="261" t="n"/>
      <c r="AB83" s="261" t="n"/>
      <c r="AC83" s="261" t="n"/>
      <c r="AD83" s="261" t="n"/>
      <c r="AE83" s="261" t="n"/>
      <c r="AF83" s="261" t="n"/>
      <c r="AG83" s="261" t="n"/>
      <c r="AH83" s="261" t="n"/>
      <c r="AI83" s="261" t="n"/>
      <c r="AJ83" s="261" t="n"/>
    </row>
    <row r="85">
      <c r="H85" s="251" t="inlineStr">
        <is>
          <t>ACOES (unidades de acoes como divulgado; ajuste por desdobramento 4:1 jul/21 e 10:1 jun/24)</t>
        </is>
      </c>
    </row>
    <row r="86">
      <c r="G86" t="inlineStr">
        <is>
          <t>acoes</t>
        </is>
      </c>
      <c r="H86" t="inlineStr">
        <is>
          <t>Acoes diluidas, media ponderada, como divulgado (1T-3T: trimestre; 4T vazio, 10-K so traz o ano)</t>
        </is>
      </c>
      <c r="I86" t="inlineStr">
        <is>
          <t>Diluted weighted average shares [us-gaap:WeightedAverageNumberOfDilutedSharesOutstanding]</t>
        </is>
      </c>
      <c r="J86" t="inlineStr">
        <is>
          <t>memoria</t>
        </is>
      </c>
      <c r="K86" s="253" t="n">
        <v>622000000</v>
      </c>
      <c r="L86" s="253" t="n">
        <v>2504000000</v>
      </c>
      <c r="M86" s="253" t="n">
        <v>2520000000</v>
      </c>
      <c r="N86" s="253" t="n"/>
      <c r="O86" s="253" t="n">
        <v>2528000000</v>
      </c>
      <c r="P86" s="253" t="n">
        <v>2532000000</v>
      </c>
      <c r="Q86" s="253" t="n">
        <v>2538000000</v>
      </c>
      <c r="R86" s="253" t="n"/>
      <c r="S86" s="253" t="n">
        <v>2537000000</v>
      </c>
      <c r="T86" s="253" t="n">
        <v>2516000000</v>
      </c>
      <c r="U86" s="253" t="n">
        <v>2499000000</v>
      </c>
      <c r="V86" s="253" t="n"/>
      <c r="W86" s="253" t="n">
        <v>2490000000</v>
      </c>
      <c r="X86" s="253" t="n">
        <v>24994000000</v>
      </c>
      <c r="Y86" s="253" t="n">
        <v>24940000000</v>
      </c>
      <c r="Z86" s="253" t="n"/>
      <c r="AA86" s="253" t="n">
        <v>24890000000</v>
      </c>
      <c r="AB86" s="253" t="n">
        <v>24848000000</v>
      </c>
      <c r="AC86" s="253" t="n">
        <v>24774000000</v>
      </c>
      <c r="AD86" s="253" t="n"/>
      <c r="AE86" s="253" t="n">
        <v>24611000000</v>
      </c>
      <c r="AF86" s="253" t="n">
        <v>24532000000</v>
      </c>
      <c r="AG86" s="253" t="n">
        <v>24483000000</v>
      </c>
      <c r="AH86" s="253" t="n"/>
      <c r="AI86" s="253" t="n">
        <v>24391000000</v>
      </c>
      <c r="AJ86" s="253" t="n">
        <v>24285000000</v>
      </c>
    </row>
    <row r="87">
      <c r="G87" t="inlineStr">
        <is>
          <t>fator</t>
        </is>
      </c>
      <c r="H87" t="inlineStr">
        <is>
          <t>Fator de desdobramento aplicado (pela data de arquivamento do filing de onde veio o numero)</t>
        </is>
      </c>
      <c r="I87" t="inlineStr">
        <is>
          <t>Split factor to current share basis</t>
        </is>
      </c>
      <c r="J87" t="inlineStr">
        <is>
          <t>memoria</t>
        </is>
      </c>
      <c r="K87" s="254" t="n">
        <v>40</v>
      </c>
      <c r="L87" s="254" t="n">
        <v>10</v>
      </c>
      <c r="M87" s="254" t="n">
        <v>10</v>
      </c>
      <c r="N87" s="254" t="n"/>
      <c r="O87" s="254" t="n">
        <v>10</v>
      </c>
      <c r="P87" s="254" t="n">
        <v>10</v>
      </c>
      <c r="Q87" s="254" t="n">
        <v>10</v>
      </c>
      <c r="R87" s="254" t="n"/>
      <c r="S87" s="254" t="n">
        <v>10</v>
      </c>
      <c r="T87" s="254" t="n">
        <v>10</v>
      </c>
      <c r="U87" s="254" t="n">
        <v>10</v>
      </c>
      <c r="V87" s="254" t="n"/>
      <c r="W87" s="254" t="n">
        <v>10</v>
      </c>
      <c r="X87" s="254" t="n">
        <v>1</v>
      </c>
      <c r="Y87" s="254" t="n">
        <v>1</v>
      </c>
      <c r="Z87" s="254" t="n"/>
      <c r="AA87" s="254" t="n">
        <v>1</v>
      </c>
      <c r="AB87" s="254" t="n">
        <v>1</v>
      </c>
      <c r="AC87" s="254" t="n">
        <v>1</v>
      </c>
      <c r="AD87" s="254" t="n"/>
      <c r="AE87" s="254" t="n">
        <v>1</v>
      </c>
      <c r="AF87" s="254" t="n">
        <v>1</v>
      </c>
      <c r="AG87" s="254" t="n">
        <v>1</v>
      </c>
      <c r="AH87" s="254" t="n"/>
      <c r="AI87" s="254" t="n">
        <v>1</v>
      </c>
      <c r="AJ87" s="254" t="n">
        <v>1</v>
      </c>
    </row>
    <row r="88">
      <c r="G88" t="inlineStr">
        <is>
          <t>acoes</t>
        </is>
      </c>
      <c r="H88" t="inlineStr">
        <is>
          <t>Acoes basicas, media ponderada, como divulgado (4T vazio)</t>
        </is>
      </c>
      <c r="I88" t="inlineStr">
        <is>
          <t>Basic weighted average shares [us-gaap:WeightedAverageNumberOfSharesOutstandingBasic]</t>
        </is>
      </c>
      <c r="J88" t="inlineStr">
        <is>
          <t>memoria</t>
        </is>
      </c>
      <c r="K88" s="253" t="n">
        <v>614000000</v>
      </c>
      <c r="L88" s="253" t="n">
        <v>2464000000</v>
      </c>
      <c r="M88" s="253" t="n">
        <v>2472000000</v>
      </c>
      <c r="N88" s="253" t="n"/>
      <c r="O88" s="253" t="n">
        <v>2484000000</v>
      </c>
      <c r="P88" s="253" t="n">
        <v>2493000000</v>
      </c>
      <c r="Q88" s="253" t="n">
        <v>2499000000</v>
      </c>
      <c r="R88" s="253" t="n"/>
      <c r="S88" s="253" t="n">
        <v>2506000000</v>
      </c>
      <c r="T88" s="253" t="n">
        <v>2495000000</v>
      </c>
      <c r="U88" s="253" t="n">
        <v>2483000000</v>
      </c>
      <c r="V88" s="253" t="n"/>
      <c r="W88" s="253" t="n">
        <v>2470000000</v>
      </c>
      <c r="X88" s="253" t="n">
        <v>24729000000</v>
      </c>
      <c r="Y88" s="253" t="n">
        <v>24680000000</v>
      </c>
      <c r="Z88" s="253" t="n"/>
      <c r="AA88" s="253" t="n">
        <v>24620000000</v>
      </c>
      <c r="AB88" s="253" t="n">
        <v>24578000000</v>
      </c>
      <c r="AC88" s="253" t="n">
        <v>24533000000</v>
      </c>
      <c r="AD88" s="253" t="n"/>
      <c r="AE88" s="253" t="n">
        <v>24441000000</v>
      </c>
      <c r="AF88" s="253" t="n">
        <v>24366000000</v>
      </c>
      <c r="AG88" s="253" t="n">
        <v>24327000000</v>
      </c>
      <c r="AH88" s="253" t="n"/>
      <c r="AI88" s="253" t="n">
        <v>24286000000</v>
      </c>
      <c r="AJ88" s="253" t="n">
        <v>24190000000</v>
      </c>
    </row>
    <row r="89">
      <c r="G89" t="inlineStr">
        <is>
          <t>fator</t>
        </is>
      </c>
      <c r="H89" t="inlineStr">
        <is>
          <t>Fator de desdobramento aplicado (basicas)</t>
        </is>
      </c>
      <c r="I89" t="inlineStr">
        <is>
          <t>Split factor (basic)</t>
        </is>
      </c>
      <c r="J89" t="inlineStr">
        <is>
          <t>memoria</t>
        </is>
      </c>
      <c r="K89" s="254" t="n">
        <v>40</v>
      </c>
      <c r="L89" s="254" t="n">
        <v>10</v>
      </c>
      <c r="M89" s="254" t="n">
        <v>10</v>
      </c>
      <c r="N89" s="254" t="n"/>
      <c r="O89" s="254" t="n">
        <v>10</v>
      </c>
      <c r="P89" s="254" t="n">
        <v>10</v>
      </c>
      <c r="Q89" s="254" t="n">
        <v>10</v>
      </c>
      <c r="R89" s="254" t="n"/>
      <c r="S89" s="254" t="n">
        <v>10</v>
      </c>
      <c r="T89" s="254" t="n">
        <v>10</v>
      </c>
      <c r="U89" s="254" t="n">
        <v>10</v>
      </c>
      <c r="V89" s="254" t="n"/>
      <c r="W89" s="254" t="n">
        <v>10</v>
      </c>
      <c r="X89" s="254" t="n">
        <v>1</v>
      </c>
      <c r="Y89" s="254" t="n">
        <v>1</v>
      </c>
      <c r="Z89" s="254" t="n"/>
      <c r="AA89" s="254" t="n">
        <v>1</v>
      </c>
      <c r="AB89" s="254" t="n">
        <v>1</v>
      </c>
      <c r="AC89" s="254" t="n">
        <v>1</v>
      </c>
      <c r="AD89" s="254" t="n"/>
      <c r="AE89" s="254" t="n">
        <v>1</v>
      </c>
      <c r="AF89" s="254" t="n">
        <v>1</v>
      </c>
      <c r="AG89" s="254" t="n">
        <v>1</v>
      </c>
      <c r="AH89" s="254" t="n"/>
      <c r="AI89" s="254" t="n">
        <v>1</v>
      </c>
      <c r="AJ89" s="254" t="n">
        <v>1</v>
      </c>
    </row>
    <row r="90">
      <c r="A90" t="n">
        <v>42</v>
      </c>
      <c r="B90" t="n">
        <v>1</v>
      </c>
      <c r="G90" t="inlineStr">
        <is>
          <t>acoes</t>
        </is>
      </c>
      <c r="H90" t="inlineStr">
        <is>
          <t>Acoes diluidas, media ponderada, base atual (pos-desdobramentos)</t>
        </is>
      </c>
      <c r="I90" t="inlineStr">
        <is>
          <t>Diluted weighted average shares, split-adjusted</t>
        </is>
      </c>
      <c r="J90" t="inlineStr">
        <is>
          <t>derivada</t>
        </is>
      </c>
      <c r="K90" s="253">
        <f>K86*K87</f>
        <v>24880000000</v>
      </c>
      <c r="L90" s="253">
        <f>L86*L87</f>
        <v>25040000000</v>
      </c>
      <c r="M90" s="253">
        <f>M86*M87</f>
        <v>25200000000</v>
      </c>
      <c r="N90" s="253" t="n"/>
      <c r="O90" s="253">
        <f>O86*O87</f>
        <v>25280000000</v>
      </c>
      <c r="P90" s="253">
        <f>P86*P87</f>
        <v>25320000000</v>
      </c>
      <c r="Q90" s="253">
        <f>Q86*Q87</f>
        <v>25380000000</v>
      </c>
      <c r="R90" s="253" t="n"/>
      <c r="S90" s="253">
        <f>S86*S87</f>
        <v>25370000000</v>
      </c>
      <c r="T90" s="253">
        <f>T86*T87</f>
        <v>25160000000</v>
      </c>
      <c r="U90" s="253">
        <f>U86*U87</f>
        <v>24990000000</v>
      </c>
      <c r="V90" s="253" t="n"/>
      <c r="W90" s="253">
        <f>W86*W87</f>
        <v>24900000000</v>
      </c>
      <c r="X90" s="253">
        <f>X86*X87</f>
        <v>24994000000</v>
      </c>
      <c r="Y90" s="253">
        <f>Y86*Y87</f>
        <v>24940000000</v>
      </c>
      <c r="Z90" s="253" t="n"/>
      <c r="AA90" s="253">
        <f>AA86*AA87</f>
        <v>24890000000</v>
      </c>
      <c r="AB90" s="253">
        <f>AB86*AB87</f>
        <v>24848000000</v>
      </c>
      <c r="AC90" s="253">
        <f>AC86*AC87</f>
        <v>24774000000</v>
      </c>
      <c r="AD90" s="253" t="n"/>
      <c r="AE90" s="253">
        <f>AE86*AE87</f>
        <v>24611000000</v>
      </c>
      <c r="AF90" s="253">
        <f>AF86*AF87</f>
        <v>24532000000</v>
      </c>
      <c r="AG90" s="253">
        <f>AG86*AG87</f>
        <v>24483000000</v>
      </c>
      <c r="AH90" s="253" t="n"/>
      <c r="AI90" s="253">
        <f>AI86*AI87</f>
        <v>24391000000</v>
      </c>
      <c r="AJ90" s="253">
        <f>AJ86*AJ87</f>
        <v>24285000000</v>
      </c>
    </row>
    <row r="91">
      <c r="A91" t="n">
        <v>43</v>
      </c>
      <c r="B91" t="n">
        <v>1</v>
      </c>
      <c r="G91" t="inlineStr">
        <is>
          <t>acoes</t>
        </is>
      </c>
      <c r="H91" t="inlineStr">
        <is>
          <t>Acoes basicas, media ponderada, base atual (pos-desdobramentos)</t>
        </is>
      </c>
      <c r="I91" t="inlineStr">
        <is>
          <t>Basic weighted average shares, split-adjusted</t>
        </is>
      </c>
      <c r="J91" t="inlineStr">
        <is>
          <t>derivada</t>
        </is>
      </c>
      <c r="K91" s="253">
        <f>K88*K89</f>
        <v>24560000000</v>
      </c>
      <c r="L91" s="253">
        <f>L88*L89</f>
        <v>24640000000</v>
      </c>
      <c r="M91" s="253">
        <f>M88*M89</f>
        <v>24720000000</v>
      </c>
      <c r="N91" s="253" t="n"/>
      <c r="O91" s="253">
        <f>O88*O89</f>
        <v>24840000000</v>
      </c>
      <c r="P91" s="253">
        <f>P88*P89</f>
        <v>24930000000</v>
      </c>
      <c r="Q91" s="253">
        <f>Q88*Q89</f>
        <v>24990000000</v>
      </c>
      <c r="R91" s="253" t="n"/>
      <c r="S91" s="253">
        <f>S88*S89</f>
        <v>25060000000</v>
      </c>
      <c r="T91" s="253">
        <f>T88*T89</f>
        <v>24950000000</v>
      </c>
      <c r="U91" s="253">
        <f>U88*U89</f>
        <v>24830000000</v>
      </c>
      <c r="V91" s="253" t="n"/>
      <c r="W91" s="253">
        <f>W88*W89</f>
        <v>24700000000</v>
      </c>
      <c r="X91" s="253">
        <f>X88*X89</f>
        <v>24729000000</v>
      </c>
      <c r="Y91" s="253">
        <f>Y88*Y89</f>
        <v>24680000000</v>
      </c>
      <c r="Z91" s="253" t="n"/>
      <c r="AA91" s="253">
        <f>AA88*AA89</f>
        <v>24620000000</v>
      </c>
      <c r="AB91" s="253">
        <f>AB88*AB89</f>
        <v>24578000000</v>
      </c>
      <c r="AC91" s="253">
        <f>AC88*AC89</f>
        <v>24533000000</v>
      </c>
      <c r="AD91" s="253" t="n"/>
      <c r="AE91" s="253">
        <f>AE88*AE89</f>
        <v>24441000000</v>
      </c>
      <c r="AF91" s="253">
        <f>AF88*AF89</f>
        <v>24366000000</v>
      </c>
      <c r="AG91" s="253">
        <f>AG88*AG89</f>
        <v>24327000000</v>
      </c>
      <c r="AH91" s="253" t="n"/>
      <c r="AI91" s="253">
        <f>AI88*AI89</f>
        <v>24286000000</v>
      </c>
      <c r="AJ91" s="253">
        <f>AJ88*AJ89</f>
        <v>24190000000</v>
      </c>
    </row>
    <row r="92">
      <c r="G92" t="inlineStr">
        <is>
          <t>acoes</t>
        </is>
      </c>
      <c r="H92" t="inlineStr">
        <is>
          <t>Acoes diluidas, media do ANO FISCAL (10-K), como divulgado - coluna 4T</t>
        </is>
      </c>
      <c r="I92" t="inlineStr">
        <is>
          <t>Diluted weighted average shares, fiscal year</t>
        </is>
      </c>
      <c r="J92" t="inlineStr">
        <is>
          <t>memoria</t>
        </is>
      </c>
      <c r="K92" s="253" t="n"/>
      <c r="L92" s="253" t="n"/>
      <c r="M92" s="253" t="n"/>
      <c r="N92" s="253" t="n">
        <v>2510000000</v>
      </c>
      <c r="O92" s="253" t="n"/>
      <c r="P92" s="253" t="n"/>
      <c r="Q92" s="253" t="n"/>
      <c r="R92" s="253" t="n">
        <v>2535000000</v>
      </c>
      <c r="S92" s="253" t="n"/>
      <c r="T92" s="253" t="n"/>
      <c r="U92" s="253" t="n"/>
      <c r="V92" s="253" t="n">
        <v>25070000000</v>
      </c>
      <c r="W92" s="253" t="n"/>
      <c r="X92" s="253" t="n"/>
      <c r="Y92" s="253" t="n"/>
      <c r="Z92" s="253" t="n">
        <v>24940000000</v>
      </c>
      <c r="AA92" s="253" t="n"/>
      <c r="AB92" s="253" t="n"/>
      <c r="AC92" s="253" t="n"/>
      <c r="AD92" s="253" t="n">
        <v>24804000000</v>
      </c>
      <c r="AE92" s="253" t="n"/>
      <c r="AF92" s="253" t="n"/>
      <c r="AG92" s="253" t="n"/>
      <c r="AH92" s="253" t="n">
        <v>24514000000</v>
      </c>
      <c r="AI92" s="253" t="n"/>
      <c r="AJ92" s="253" t="n"/>
    </row>
    <row r="93">
      <c r="G93" t="inlineStr">
        <is>
          <t>fator</t>
        </is>
      </c>
      <c r="H93" t="inlineStr">
        <is>
          <t>Fator de desdobramento (ano fiscal)</t>
        </is>
      </c>
      <c r="I93" t="inlineStr">
        <is>
          <t>Split factor (FY)</t>
        </is>
      </c>
      <c r="J93" t="inlineStr">
        <is>
          <t>memoria</t>
        </is>
      </c>
      <c r="K93" s="254" t="n"/>
      <c r="L93" s="254" t="n"/>
      <c r="M93" s="254" t="n"/>
      <c r="N93" s="254" t="n">
        <v>10</v>
      </c>
      <c r="O93" s="254" t="n"/>
      <c r="P93" s="254" t="n"/>
      <c r="Q93" s="254" t="n"/>
      <c r="R93" s="254" t="n">
        <v>10</v>
      </c>
      <c r="S93" s="254" t="n"/>
      <c r="T93" s="254" t="n"/>
      <c r="U93" s="254" t="n"/>
      <c r="V93" s="254" t="n">
        <v>1</v>
      </c>
      <c r="W93" s="254" t="n"/>
      <c r="X93" s="254" t="n"/>
      <c r="Y93" s="254" t="n"/>
      <c r="Z93" s="254" t="n">
        <v>1</v>
      </c>
      <c r="AA93" s="254" t="n"/>
      <c r="AB93" s="254" t="n"/>
      <c r="AC93" s="254" t="n"/>
      <c r="AD93" s="254" t="n">
        <v>1</v>
      </c>
      <c r="AE93" s="254" t="n"/>
      <c r="AF93" s="254" t="n"/>
      <c r="AG93" s="254" t="n"/>
      <c r="AH93" s="254" t="n">
        <v>1</v>
      </c>
      <c r="AI93" s="254" t="n"/>
      <c r="AJ93" s="254" t="n"/>
    </row>
    <row r="94">
      <c r="G94" t="inlineStr">
        <is>
          <t>por acao</t>
        </is>
      </c>
      <c r="H94" t="inlineStr">
        <is>
          <t>LPA diluido, como divulgado (1T-3T trimestre; 4T = ano fiscal)</t>
        </is>
      </c>
      <c r="I94" t="inlineStr">
        <is>
          <t>Diluted EPS [us-gaap:EarningsPerShareDiluted]</t>
        </is>
      </c>
      <c r="J94" t="inlineStr">
        <is>
          <t>memoria</t>
        </is>
      </c>
      <c r="K94" s="262" t="n">
        <v>1.47</v>
      </c>
      <c r="L94" s="262" t="n">
        <v>0.25</v>
      </c>
      <c r="M94" s="262" t="n">
        <v>0.53</v>
      </c>
      <c r="N94" s="262" t="n">
        <v>1.73</v>
      </c>
      <c r="O94" s="262" t="n">
        <v>0.76</v>
      </c>
      <c r="P94" s="262" t="n">
        <v>0.9399999999999999</v>
      </c>
      <c r="Q94" s="262" t="n">
        <v>0.97</v>
      </c>
      <c r="R94" s="262" t="n">
        <v>3.85</v>
      </c>
      <c r="S94" s="262" t="n">
        <v>0.64</v>
      </c>
      <c r="T94" s="262" t="n">
        <v>0.26</v>
      </c>
      <c r="U94" s="262" t="n">
        <v>0.27</v>
      </c>
      <c r="V94" s="262" t="n">
        <v>0.17</v>
      </c>
      <c r="W94" s="262" t="n">
        <v>0.82</v>
      </c>
      <c r="X94" s="262" t="n">
        <v>0.25</v>
      </c>
      <c r="Y94" s="262" t="n">
        <v>0.37</v>
      </c>
      <c r="Z94" s="262" t="n">
        <v>1.19</v>
      </c>
      <c r="AA94" s="262" t="n">
        <v>0.6</v>
      </c>
      <c r="AB94" s="262" t="n">
        <v>0.67</v>
      </c>
      <c r="AC94" s="262" t="n">
        <v>0.78</v>
      </c>
      <c r="AD94" s="262" t="n">
        <v>2.94</v>
      </c>
      <c r="AE94" s="262" t="n">
        <v>0.76</v>
      </c>
      <c r="AF94" s="262" t="n">
        <v>1.08</v>
      </c>
      <c r="AG94" s="262" t="n">
        <v>1.3</v>
      </c>
      <c r="AH94" s="262" t="n">
        <v>4.9</v>
      </c>
      <c r="AI94" s="262" t="n">
        <v>2.39</v>
      </c>
      <c r="AJ94" s="262" t="n">
        <v>2.46</v>
      </c>
    </row>
    <row r="95">
      <c r="G95" t="inlineStr">
        <is>
          <t>fator</t>
        </is>
      </c>
      <c r="H95" t="inlineStr">
        <is>
          <t>Fator de desdobramento (LPA)</t>
        </is>
      </c>
      <c r="I95" t="inlineStr">
        <is>
          <t>Split factor (EPS)</t>
        </is>
      </c>
      <c r="J95" t="inlineStr">
        <is>
          <t>memoria</t>
        </is>
      </c>
      <c r="K95" s="254" t="n">
        <v>40</v>
      </c>
      <c r="L95" s="254" t="n">
        <v>10</v>
      </c>
      <c r="M95" s="254" t="n">
        <v>10</v>
      </c>
      <c r="N95" s="254" t="n">
        <v>10</v>
      </c>
      <c r="O95" s="254" t="n">
        <v>10</v>
      </c>
      <c r="P95" s="254" t="n">
        <v>10</v>
      </c>
      <c r="Q95" s="254" t="n">
        <v>10</v>
      </c>
      <c r="R95" s="254" t="n">
        <v>10</v>
      </c>
      <c r="S95" s="254" t="n">
        <v>10</v>
      </c>
      <c r="T95" s="254" t="n">
        <v>10</v>
      </c>
      <c r="U95" s="254" t="n">
        <v>10</v>
      </c>
      <c r="V95" s="254" t="n">
        <v>1</v>
      </c>
      <c r="W95" s="254" t="n">
        <v>10</v>
      </c>
      <c r="X95" s="254" t="n">
        <v>1</v>
      </c>
      <c r="Y95" s="254" t="n">
        <v>1</v>
      </c>
      <c r="Z95" s="254" t="n">
        <v>1</v>
      </c>
      <c r="AA95" s="254" t="n">
        <v>1</v>
      </c>
      <c r="AB95" s="254" t="n">
        <v>1</v>
      </c>
      <c r="AC95" s="254" t="n">
        <v>1</v>
      </c>
      <c r="AD95" s="254" t="n">
        <v>1</v>
      </c>
      <c r="AE95" s="254" t="n">
        <v>1</v>
      </c>
      <c r="AF95" s="254" t="n">
        <v>1</v>
      </c>
      <c r="AG95" s="254" t="n">
        <v>1</v>
      </c>
      <c r="AH95" s="254" t="n">
        <v>1</v>
      </c>
      <c r="AI95" s="254" t="n">
        <v>1</v>
      </c>
      <c r="AJ95" s="254" t="n">
        <v>1</v>
      </c>
    </row>
    <row r="96">
      <c r="G96" t="inlineStr">
        <is>
          <t>por acao</t>
        </is>
      </c>
      <c r="H96" t="inlineStr">
        <is>
          <t>CHECK: lucro/acoes diluidas (base atual) menos LPA divulgado ajustado (1T-3T; arredondamento de 1 centavo e normal)</t>
        </is>
      </c>
      <c r="I96" t="inlineStr">
        <is>
          <t>Check: NI / adj. diluted shares less adj. reported EPS</t>
        </is>
      </c>
      <c r="J96" t="inlineStr">
        <is>
          <t>derivada</t>
        </is>
      </c>
      <c r="K96" s="262">
        <f>ROUND(K33/K90-K94/K95,4)</f>
        <v>0.0001</v>
      </c>
      <c r="L96" s="262">
        <f>ROUND(L33/L90-L94/L95,4)</f>
        <v>-0.0002</v>
      </c>
      <c r="M96" s="262">
        <f>ROUND(M33/M90-M94/M95,4)</f>
        <v>0</v>
      </c>
      <c r="N96" s="262" t="n"/>
      <c r="O96" s="262">
        <f>ROUND(O33/O90-O94/O95,4)</f>
        <v>-0.0004</v>
      </c>
      <c r="P96" s="262">
        <f>ROUND(P33/P90-P94/P95,4)</f>
        <v>-0.0002</v>
      </c>
      <c r="Q96" s="262">
        <f>ROUND(Q33/Q90-Q94/Q95,4)</f>
        <v>0.0001</v>
      </c>
      <c r="R96" s="262" t="n"/>
      <c r="S96" s="262">
        <f>ROUND(S33/S90-S94/S95,4)</f>
        <v>-0.0002</v>
      </c>
      <c r="T96" s="262">
        <f>ROUND(T33/T90-T94/T95,4)</f>
        <v>0.0001</v>
      </c>
      <c r="U96" s="262">
        <f>ROUND(U33/U90-U94/U95,4)</f>
        <v>0.0002</v>
      </c>
      <c r="V96" s="262" t="n"/>
      <c r="W96" s="262">
        <f>ROUND(W33/W90-W94/W95,4)</f>
        <v>0</v>
      </c>
      <c r="X96" s="262">
        <f>ROUND(X33/X90-X94/X95,4)</f>
        <v>-0.0024</v>
      </c>
      <c r="Y96" s="262">
        <f>ROUND(Y33/Y90-Y94/Y95,4)</f>
        <v>0.0006</v>
      </c>
      <c r="Z96" s="262" t="n"/>
      <c r="AA96" s="262">
        <f>ROUND(AA33/AA90-AA94/AA95,4)</f>
        <v>-0.0021</v>
      </c>
      <c r="AB96" s="262">
        <f>ROUND(AB33/AB90-AB94/AB95,4)</f>
        <v>-0.002</v>
      </c>
      <c r="AC96" s="262">
        <f>ROUND(AC33/AC90-AC94/AC95,4)</f>
        <v>-0.0006</v>
      </c>
      <c r="AD96" s="262" t="n"/>
      <c r="AE96" s="262">
        <f>ROUND(AE33/AE90-AE94/AE95,4)</f>
        <v>0.0029</v>
      </c>
      <c r="AF96" s="262">
        <f>ROUND(AF33/AF90-AF94/AF95,4)</f>
        <v>-0.003</v>
      </c>
      <c r="AG96" s="262">
        <f>ROUND(AG33/AG90-AG94/AG95,4)</f>
        <v>0.0034</v>
      </c>
      <c r="AH96" s="262" t="n"/>
      <c r="AI96" s="262">
        <f>ROUND(AI33/AI90-AI94/AI95,4)</f>
        <v>0.0011</v>
      </c>
      <c r="AJ96" s="262">
        <f>ROUND(AJ33/AJ90-AJ94/AJ95,4)</f>
        <v>-0.0022</v>
      </c>
    </row>
    <row r="97">
      <c r="G97" t="inlineStr">
        <is>
          <t>acoes</t>
        </is>
      </c>
      <c r="H97" t="inlineStr">
        <is>
          <t>[vazio] End of period basic shares (Model linha 230): 10-Q nao traz saldo de acoes no fim do trimestre, so a capa (data posterior); nao preenchido</t>
        </is>
      </c>
      <c r="J97" t="inlineStr">
        <is>
          <t>memoria</t>
        </is>
      </c>
      <c r="K97" s="253" t="n"/>
      <c r="L97" s="253" t="n"/>
      <c r="M97" s="253" t="n"/>
      <c r="N97" s="253" t="n"/>
      <c r="O97" s="253" t="n"/>
      <c r="P97" s="253" t="n"/>
      <c r="Q97" s="253" t="n"/>
      <c r="R97" s="253" t="n"/>
      <c r="S97" s="253" t="n"/>
      <c r="T97" s="253" t="n"/>
      <c r="U97" s="253" t="n"/>
      <c r="V97" s="253" t="n"/>
      <c r="W97" s="253" t="n"/>
      <c r="X97" s="253" t="n"/>
      <c r="Y97" s="253" t="n"/>
      <c r="Z97" s="253" t="n"/>
      <c r="AA97" s="253" t="n"/>
      <c r="AB97" s="253" t="n"/>
      <c r="AC97" s="253" t="n"/>
      <c r="AD97" s="253" t="n"/>
      <c r="AE97" s="253" t="n"/>
      <c r="AF97" s="253" t="n"/>
      <c r="AG97" s="253" t="n"/>
      <c r="AH97" s="253" t="n"/>
      <c r="AI97" s="253" t="n"/>
      <c r="AJ97" s="253" t="n"/>
    </row>
    <row r="133">
      <c r="H133" s="251" t="inlineStr">
        <is>
          <t>CONVENCOES</t>
        </is>
      </c>
    </row>
    <row r="134">
      <c r="H134" t="inlineStr">
        <is>
          <t>Linhas de origem: 5 a 97. As formulas da Inputs (2) varrem as linhas 5 a 130; as linhas 98 a 130 estao livres para novas contas.</t>
        </is>
      </c>
    </row>
    <row r="135">
      <c r="H135" t="inlineStr">
        <is>
          <t>Periodos: colunas K a AJ, rotulo de trimestre-calendario. Cada trimestre fiscal NVIDIA vai para o trimestre-calendario em que majoritariamente cai (linha 2 mostra o trimestre fiscal; linha 3 a data de encerramento). Ex.: 1Q25 = 1T FY26 (fev-abr/2025).</t>
        </is>
      </c>
    </row>
    <row r="136">
      <c r="H136" t="inlineStr">
        <is>
          <t>Brutos em USD unidades e acoes em unidades; a Inputs (2) multiplica pelo fator da celula B1 as linhas com UNID = moeda ou acoes. LPA e fatores passam sem fator.</t>
        </is>
      </c>
    </row>
    <row r="137">
      <c r="H137" t="inlineStr">
        <is>
          <t>SINAL converte para a convencao do modelo (custos, despesas, impostos, D&amp;A, juros e dividendos negativos). COD2/SINAL2 usam a mesma linha num segundo destino (reclassificacao/estorno).</t>
        </is>
      </c>
    </row>
    <row r="138">
      <c r="H138" t="inlineStr">
        <is>
          <t>ORIGEM: fonte = copiado do XBRL; derivada = formula nesta aba (trimestralizacao, ajuste de desdobramento, checks); memoria = informativa, sem codigo.</t>
        </is>
      </c>
    </row>
    <row r="139">
      <c r="H139" t="inlineStr">
        <is>
          <t>Valores do XBRL: para cada periodo usa-se o fato arquivado mais recentemente (ja reflete reapresentacoes e desdobramentos nas comparacoes posteriores).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0"/>
  <sheetViews>
    <sheetView showGridLines="0" zoomScale="85" zoomScaleNormal="85" workbookViewId="0">
      <pane xSplit="3" ySplit="2" topLeftCell="E3" activePane="bottomRight" state="frozen"/>
      <selection activeCell="D24" sqref="D24"/>
      <selection pane="topRight" activeCell="D24" sqref="D24"/>
      <selection pane="bottomLeft" activeCell="D24" sqref="D24"/>
      <selection pane="bottomRight" activeCell="G24" sqref="G24:G34"/>
    </sheetView>
  </sheetViews>
  <sheetFormatPr baseColWidth="8" defaultColWidth="9.140625" defaultRowHeight="12.75"/>
  <cols>
    <col width="2.28515625" bestFit="1" customWidth="1" style="1" min="1" max="1"/>
    <col width="4.42578125" bestFit="1" customWidth="1" style="1" min="2" max="2"/>
    <col width="53.140625" bestFit="1" customWidth="1" style="4" min="3" max="3"/>
    <col width="8.140625" bestFit="1" customWidth="1" style="1" min="4" max="4"/>
    <col width="9.28515625" bestFit="1" customWidth="1" style="1" min="5" max="7"/>
    <col width="10" bestFit="1" customWidth="1" style="1" min="8" max="8"/>
    <col width="8.140625" bestFit="1" customWidth="1" style="1" min="9" max="9"/>
    <col width="9.28515625" bestFit="1" customWidth="1" style="1" min="10" max="12"/>
    <col width="10" bestFit="1" customWidth="1" style="1" min="13" max="13"/>
    <col width="8.140625" bestFit="1" customWidth="1" style="1" min="14" max="14"/>
    <col width="9.28515625" bestFit="1" customWidth="1" style="1" min="15" max="16"/>
    <col width="10" bestFit="1" customWidth="1" style="1" min="17" max="18"/>
    <col width="8.140625" bestFit="1" customWidth="1" style="1" min="19" max="19"/>
    <col width="9.28515625" bestFit="1" customWidth="1" style="1" min="20" max="20"/>
    <col width="10" bestFit="1" customWidth="1" style="1" min="21" max="23"/>
    <col width="8.140625" bestFit="1" customWidth="1" style="1" min="24" max="24"/>
    <col width="10" bestFit="1" customWidth="1" style="1" min="25" max="27"/>
    <col width="10.42578125" bestFit="1" customWidth="1" style="1" min="28" max="28"/>
    <col width="9.28515625" bestFit="1" customWidth="1" style="1" min="29" max="29"/>
    <col width="11.7109375" bestFit="1" customWidth="1" style="1" min="30" max="31"/>
    <col width="12.7109375" bestFit="1" customWidth="1" style="1" min="32" max="32"/>
    <col width="10.28515625" customWidth="1" style="1" min="33" max="33"/>
    <col width="9.28515625" customWidth="1" style="4" min="34" max="54"/>
    <col width="9.28515625" customWidth="1" min="35" max="35"/>
    <col width="9.28515625" customWidth="1" min="36" max="36"/>
    <col width="9.28515625" customWidth="1" min="37" max="37"/>
    <col width="9.28515625" customWidth="1" min="38" max="38"/>
    <col width="9.7109375" bestFit="1" customWidth="1" style="4" min="55" max="55"/>
    <col width="9.140625" customWidth="1" style="4" min="56" max="56"/>
    <col width="9.140625" customWidth="1" style="4" min="57" max="16384"/>
  </cols>
  <sheetData>
    <row r="1" customFormat="1" s="1">
      <c r="A1" s="1">
        <f>COUNTIF($B$3:$B$1048576,$B$1)</f>
        <v>1</v>
      </c>
      <c r="B1" s="1">
        <f>MAX($B$3:$B$1048576)</f>
        <v>44</v>
      </c>
    </row>
    <row r="2">
      <c r="A2" s="4" t="n"/>
      <c r="B2" s="4" t="n"/>
      <c r="D2" s="50" t="inlineStr">
        <is>
          <t>1Q21</t>
        </is>
      </c>
      <c r="E2" s="50" t="inlineStr">
        <is>
          <t>2Q21</t>
        </is>
      </c>
      <c r="F2" s="50" t="inlineStr">
        <is>
          <t>3Q21</t>
        </is>
      </c>
      <c r="G2" s="50" t="inlineStr">
        <is>
          <t>4Q21</t>
        </is>
      </c>
      <c r="H2" s="244" t="n">
        <v>2021</v>
      </c>
      <c r="I2" s="50" t="inlineStr">
        <is>
          <t>1Q22</t>
        </is>
      </c>
      <c r="J2" s="50" t="inlineStr">
        <is>
          <t>2Q22</t>
        </is>
      </c>
      <c r="K2" s="50" t="inlineStr">
        <is>
          <t>3Q22</t>
        </is>
      </c>
      <c r="L2" s="50" t="inlineStr">
        <is>
          <t>4Q22</t>
        </is>
      </c>
      <c r="M2" s="244" t="n">
        <v>2022</v>
      </c>
      <c r="N2" s="50" t="inlineStr">
        <is>
          <t>1Q23</t>
        </is>
      </c>
      <c r="O2" s="50" t="inlineStr">
        <is>
          <t>2Q23</t>
        </is>
      </c>
      <c r="P2" s="50" t="inlineStr">
        <is>
          <t>3Q23</t>
        </is>
      </c>
      <c r="Q2" s="50" t="inlineStr">
        <is>
          <t>4Q23</t>
        </is>
      </c>
      <c r="R2" s="244" t="n">
        <v>2023</v>
      </c>
      <c r="S2" s="50" t="inlineStr">
        <is>
          <t>1Q24</t>
        </is>
      </c>
      <c r="T2" s="50" t="inlineStr">
        <is>
          <t>2Q24</t>
        </is>
      </c>
      <c r="U2" s="50" t="inlineStr">
        <is>
          <t>3Q24</t>
        </is>
      </c>
      <c r="V2" s="50" t="inlineStr">
        <is>
          <t>4Q24</t>
        </is>
      </c>
      <c r="W2" s="244" t="n">
        <v>2024</v>
      </c>
      <c r="X2" s="50" t="inlineStr">
        <is>
          <t>1Q25</t>
        </is>
      </c>
      <c r="Y2" s="50" t="inlineStr">
        <is>
          <t>2Q25</t>
        </is>
      </c>
      <c r="Z2" s="50" t="inlineStr">
        <is>
          <t>3Q25</t>
        </is>
      </c>
      <c r="AA2" s="50" t="inlineStr">
        <is>
          <t>4Q25</t>
        </is>
      </c>
      <c r="AB2" s="244" t="n">
        <v>2025</v>
      </c>
      <c r="AC2" s="50" t="inlineStr">
        <is>
          <t>1Q26</t>
        </is>
      </c>
      <c r="AD2" s="50" t="inlineStr">
        <is>
          <t>2Q26</t>
        </is>
      </c>
      <c r="AE2" s="256" t="inlineStr">
        <is>
          <t>3Q26</t>
        </is>
      </c>
      <c r="AF2" s="256" t="inlineStr">
        <is>
          <t>4Q26</t>
        </is>
      </c>
      <c r="AG2" s="257" t="n">
        <v>2026</v>
      </c>
      <c r="AH2" s="50" t="inlineStr">
        <is>
          <t>1Q20</t>
        </is>
      </c>
      <c r="AI2" s="50" t="inlineStr">
        <is>
          <t>2Q20</t>
        </is>
      </c>
      <c r="AJ2" s="50" t="inlineStr">
        <is>
          <t>3Q20</t>
        </is>
      </c>
      <c r="AK2" s="50" t="inlineStr">
        <is>
          <t>4Q20</t>
        </is>
      </c>
      <c r="AL2" s="244" t="n">
        <v>2020</v>
      </c>
      <c r="AN2" t="inlineStr">
        <is>
          <t>Sem dado na fonte: 3Q26, 4Q26 e 2026 (rotulo em cinza). 2020 fica nas colunas AH-AL.</t>
        </is>
      </c>
    </row>
    <row r="4">
      <c r="B4" s="46" t="n">
        <v>1</v>
      </c>
      <c r="C4" s="29" t="inlineStr">
        <is>
          <t>Net Revenues</t>
        </is>
      </c>
      <c r="D4" s="6">
        <f>IF(ISNA(MATCH(D$2,Inputs!$K$4:$AJ$4,0)),NA(),IF(SUMPRODUCT((Inputs!$A$5:$A$130=$B4)*ISNUMBER(INDEX(Inputs!$K$5:$AJ$130,0,MATCH(D$2,Inputs!$K$4:$AJ$4,0))))+SUMPRODUCT((Inputs!$C$5:$C$130=$B4)*ISNUMBER(INDEX(Inputs!$K$5:$AJ$130,0,MATCH(D$2,Inputs!$K$4:$AJ$4,0))))+SUMPRODUCT((Inputs!$E$5:$E$130=$B4)*ISNUMBER(INDEX(Inputs!$K$5:$AJ$130,0,MATCH(D$2,Inputs!$K$4:$AJ$4,0))))=0,NA(),SUMPRODUCT((Inputs!$A$5:$A$130=$B4)*Inputs!$B$5:$B$130*(((Inputs!$G$5:$G$130="moeda")+(Inputs!$G$5:$G$130="acoes"))*Inputs!$B$1+((Inputs!$G$5:$G$130&lt;&gt;"moeda")*(Inputs!$G$5:$G$130&lt;&gt;"acoes")))*INDEX(Inputs!$K$5:$AJ$130,0,MATCH(D$2,Inputs!$K$4:$AJ$4,0)))+SUMPRODUCT((Inputs!$C$5:$C$130=$B4)*Inputs!$D$5:$D$130*(((Inputs!$G$5:$G$130="moeda")+(Inputs!$G$5:$G$130="acoes"))*Inputs!$B$1+((Inputs!$G$5:$G$130&lt;&gt;"moeda")*(Inputs!$G$5:$G$130&lt;&gt;"acoes")))*INDEX(Inputs!$K$5:$AJ$130,0,MATCH(D$2,Inputs!$K$4:$AJ$4,0)))+SUMPRODUCT((Inputs!$E$5:$E$130=$B4)*Inputs!$F$5:$F$130*(((Inputs!$G$5:$G$130="moeda")+(Inputs!$G$5:$G$130="acoes"))*Inputs!$B$1+((Inputs!$G$5:$G$130&lt;&gt;"moeda")*(Inputs!$G$5:$G$130&lt;&gt;"acoes")))*INDEX(Inputs!$K$5:$AJ$130,0,MATCH(D$2,Inputs!$K$4:$AJ$4,0)))))</f>
        <v>5661</v>
      </c>
      <c r="E4" s="6">
        <f>IF(ISNA(MATCH(E$2,Inputs!$K$4:$AJ$4,0)),NA(),IF(SUMPRODUCT((Inputs!$A$5:$A$130=$B4)*ISNUMBER(INDEX(Inputs!$K$5:$AJ$130,0,MATCH(E$2,Inputs!$K$4:$AJ$4,0))))+SUMPRODUCT((Inputs!$C$5:$C$130=$B4)*ISNUMBER(INDEX(Inputs!$K$5:$AJ$130,0,MATCH(E$2,Inputs!$K$4:$AJ$4,0))))+SUMPRODUCT((Inputs!$E$5:$E$130=$B4)*ISNUMBER(INDEX(Inputs!$K$5:$AJ$130,0,MATCH(E$2,Inputs!$K$4:$AJ$4,0))))=0,NA(),SUMPRODUCT((Inputs!$A$5:$A$130=$B4)*Inputs!$B$5:$B$130*(((Inputs!$G$5:$G$130="moeda")+(Inputs!$G$5:$G$130="acoes"))*Inputs!$B$1+((Inputs!$G$5:$G$130&lt;&gt;"moeda")*(Inputs!$G$5:$G$130&lt;&gt;"acoes")))*INDEX(Inputs!$K$5:$AJ$130,0,MATCH(E$2,Inputs!$K$4:$AJ$4,0)))+SUMPRODUCT((Inputs!$C$5:$C$130=$B4)*Inputs!$D$5:$D$130*(((Inputs!$G$5:$G$130="moeda")+(Inputs!$G$5:$G$130="acoes"))*Inputs!$B$1+((Inputs!$G$5:$G$130&lt;&gt;"moeda")*(Inputs!$G$5:$G$130&lt;&gt;"acoes")))*INDEX(Inputs!$K$5:$AJ$130,0,MATCH(E$2,Inputs!$K$4:$AJ$4,0)))+SUMPRODUCT((Inputs!$E$5:$E$130=$B4)*Inputs!$F$5:$F$130*(((Inputs!$G$5:$G$130="moeda")+(Inputs!$G$5:$G$130="acoes"))*Inputs!$B$1+((Inputs!$G$5:$G$130&lt;&gt;"moeda")*(Inputs!$G$5:$G$130&lt;&gt;"acoes")))*INDEX(Inputs!$K$5:$AJ$130,0,MATCH(E$2,Inputs!$K$4:$AJ$4,0)))))</f>
        <v>6507</v>
      </c>
      <c r="F4" s="6">
        <f>IF(ISNA(MATCH(F$2,Inputs!$K$4:$AJ$4,0)),NA(),IF(SUMPRODUCT((Inputs!$A$5:$A$130=$B4)*ISNUMBER(INDEX(Inputs!$K$5:$AJ$130,0,MATCH(F$2,Inputs!$K$4:$AJ$4,0))))+SUMPRODUCT((Inputs!$C$5:$C$130=$B4)*ISNUMBER(INDEX(Inputs!$K$5:$AJ$130,0,MATCH(F$2,Inputs!$K$4:$AJ$4,0))))+SUMPRODUCT((Inputs!$E$5:$E$130=$B4)*ISNUMBER(INDEX(Inputs!$K$5:$AJ$130,0,MATCH(F$2,Inputs!$K$4:$AJ$4,0))))=0,NA(),SUMPRODUCT((Inputs!$A$5:$A$130=$B4)*Inputs!$B$5:$B$130*(((Inputs!$G$5:$G$130="moeda")+(Inputs!$G$5:$G$130="acoes"))*Inputs!$B$1+((Inputs!$G$5:$G$130&lt;&gt;"moeda")*(Inputs!$G$5:$G$130&lt;&gt;"acoes")))*INDEX(Inputs!$K$5:$AJ$130,0,MATCH(F$2,Inputs!$K$4:$AJ$4,0)))+SUMPRODUCT((Inputs!$C$5:$C$130=$B4)*Inputs!$D$5:$D$130*(((Inputs!$G$5:$G$130="moeda")+(Inputs!$G$5:$G$130="acoes"))*Inputs!$B$1+((Inputs!$G$5:$G$130&lt;&gt;"moeda")*(Inputs!$G$5:$G$130&lt;&gt;"acoes")))*INDEX(Inputs!$K$5:$AJ$130,0,MATCH(F$2,Inputs!$K$4:$AJ$4,0)))+SUMPRODUCT((Inputs!$E$5:$E$130=$B4)*Inputs!$F$5:$F$130*(((Inputs!$G$5:$G$130="moeda")+(Inputs!$G$5:$G$130="acoes"))*Inputs!$B$1+((Inputs!$G$5:$G$130&lt;&gt;"moeda")*(Inputs!$G$5:$G$130&lt;&gt;"acoes")))*INDEX(Inputs!$K$5:$AJ$130,0,MATCH(F$2,Inputs!$K$4:$AJ$4,0)))))</f>
        <v>7103</v>
      </c>
      <c r="G4" s="6">
        <f>IF(ISNA(MATCH(G$2,Inputs!$K$4:$AJ$4,0)),NA(),IF(SUMPRODUCT((Inputs!$A$5:$A$130=$B4)*ISNUMBER(INDEX(Inputs!$K$5:$AJ$130,0,MATCH(G$2,Inputs!$K$4:$AJ$4,0))))+SUMPRODUCT((Inputs!$C$5:$C$130=$B4)*ISNUMBER(INDEX(Inputs!$K$5:$AJ$130,0,MATCH(G$2,Inputs!$K$4:$AJ$4,0))))+SUMPRODUCT((Inputs!$E$5:$E$130=$B4)*ISNUMBER(INDEX(Inputs!$K$5:$AJ$130,0,MATCH(G$2,Inputs!$K$4:$AJ$4,0))))=0,NA(),SUMPRODUCT((Inputs!$A$5:$A$130=$B4)*Inputs!$B$5:$B$130*(((Inputs!$G$5:$G$130="moeda")+(Inputs!$G$5:$G$130="acoes"))*Inputs!$B$1+((Inputs!$G$5:$G$130&lt;&gt;"moeda")*(Inputs!$G$5:$G$130&lt;&gt;"acoes")))*INDEX(Inputs!$K$5:$AJ$130,0,MATCH(G$2,Inputs!$K$4:$AJ$4,0)))+SUMPRODUCT((Inputs!$C$5:$C$130=$B4)*Inputs!$D$5:$D$130*(((Inputs!$G$5:$G$130="moeda")+(Inputs!$G$5:$G$130="acoes"))*Inputs!$B$1+((Inputs!$G$5:$G$130&lt;&gt;"moeda")*(Inputs!$G$5:$G$130&lt;&gt;"acoes")))*INDEX(Inputs!$K$5:$AJ$130,0,MATCH(G$2,Inputs!$K$4:$AJ$4,0)))+SUMPRODUCT((Inputs!$E$5:$E$130=$B4)*Inputs!$F$5:$F$130*(((Inputs!$G$5:$G$130="moeda")+(Inputs!$G$5:$G$130="acoes"))*Inputs!$B$1+((Inputs!$G$5:$G$130&lt;&gt;"moeda")*(Inputs!$G$5:$G$130&lt;&gt;"acoes")))*INDEX(Inputs!$K$5:$AJ$130,0,MATCH(G$2,Inputs!$K$4:$AJ$4,0)))))</f>
        <v>7643</v>
      </c>
      <c r="H4" s="3">
        <f>SUM(D4:G4)</f>
        <v>26914</v>
      </c>
      <c r="I4" s="6">
        <f>IF(ISNA(MATCH(I$2,Inputs!$K$4:$AJ$4,0)),NA(),IF(SUMPRODUCT((Inputs!$A$5:$A$130=$B4)*ISNUMBER(INDEX(Inputs!$K$5:$AJ$130,0,MATCH(I$2,Inputs!$K$4:$AJ$4,0))))+SUMPRODUCT((Inputs!$C$5:$C$130=$B4)*ISNUMBER(INDEX(Inputs!$K$5:$AJ$130,0,MATCH(I$2,Inputs!$K$4:$AJ$4,0))))+SUMPRODUCT((Inputs!$E$5:$E$130=$B4)*ISNUMBER(INDEX(Inputs!$K$5:$AJ$130,0,MATCH(I$2,Inputs!$K$4:$AJ$4,0))))=0,NA(),SUMPRODUCT((Inputs!$A$5:$A$130=$B4)*Inputs!$B$5:$B$130*(((Inputs!$G$5:$G$130="moeda")+(Inputs!$G$5:$G$130="acoes"))*Inputs!$B$1+((Inputs!$G$5:$G$130&lt;&gt;"moeda")*(Inputs!$G$5:$G$130&lt;&gt;"acoes")))*INDEX(Inputs!$K$5:$AJ$130,0,MATCH(I$2,Inputs!$K$4:$AJ$4,0)))+SUMPRODUCT((Inputs!$C$5:$C$130=$B4)*Inputs!$D$5:$D$130*(((Inputs!$G$5:$G$130="moeda")+(Inputs!$G$5:$G$130="acoes"))*Inputs!$B$1+((Inputs!$G$5:$G$130&lt;&gt;"moeda")*(Inputs!$G$5:$G$130&lt;&gt;"acoes")))*INDEX(Inputs!$K$5:$AJ$130,0,MATCH(I$2,Inputs!$K$4:$AJ$4,0)))+SUMPRODUCT((Inputs!$E$5:$E$130=$B4)*Inputs!$F$5:$F$130*(((Inputs!$G$5:$G$130="moeda")+(Inputs!$G$5:$G$130="acoes"))*Inputs!$B$1+((Inputs!$G$5:$G$130&lt;&gt;"moeda")*(Inputs!$G$5:$G$130&lt;&gt;"acoes")))*INDEX(Inputs!$K$5:$AJ$130,0,MATCH(I$2,Inputs!$K$4:$AJ$4,0)))))</f>
        <v>8288</v>
      </c>
      <c r="J4" s="6">
        <f>IF(ISNA(MATCH(J$2,Inputs!$K$4:$AJ$4,0)),NA(),IF(SUMPRODUCT((Inputs!$A$5:$A$130=$B4)*ISNUMBER(INDEX(Inputs!$K$5:$AJ$130,0,MATCH(J$2,Inputs!$K$4:$AJ$4,0))))+SUMPRODUCT((Inputs!$C$5:$C$130=$B4)*ISNUMBER(INDEX(Inputs!$K$5:$AJ$130,0,MATCH(J$2,Inputs!$K$4:$AJ$4,0))))+SUMPRODUCT((Inputs!$E$5:$E$130=$B4)*ISNUMBER(INDEX(Inputs!$K$5:$AJ$130,0,MATCH(J$2,Inputs!$K$4:$AJ$4,0))))=0,NA(),SUMPRODUCT((Inputs!$A$5:$A$130=$B4)*Inputs!$B$5:$B$130*(((Inputs!$G$5:$G$130="moeda")+(Inputs!$G$5:$G$130="acoes"))*Inputs!$B$1+((Inputs!$G$5:$G$130&lt;&gt;"moeda")*(Inputs!$G$5:$G$130&lt;&gt;"acoes")))*INDEX(Inputs!$K$5:$AJ$130,0,MATCH(J$2,Inputs!$K$4:$AJ$4,0)))+SUMPRODUCT((Inputs!$C$5:$C$130=$B4)*Inputs!$D$5:$D$130*(((Inputs!$G$5:$G$130="moeda")+(Inputs!$G$5:$G$130="acoes"))*Inputs!$B$1+((Inputs!$G$5:$G$130&lt;&gt;"moeda")*(Inputs!$G$5:$G$130&lt;&gt;"acoes")))*INDEX(Inputs!$K$5:$AJ$130,0,MATCH(J$2,Inputs!$K$4:$AJ$4,0)))+SUMPRODUCT((Inputs!$E$5:$E$130=$B4)*Inputs!$F$5:$F$130*(((Inputs!$G$5:$G$130="moeda")+(Inputs!$G$5:$G$130="acoes"))*Inputs!$B$1+((Inputs!$G$5:$G$130&lt;&gt;"moeda")*(Inputs!$G$5:$G$130&lt;&gt;"acoes")))*INDEX(Inputs!$K$5:$AJ$130,0,MATCH(J$2,Inputs!$K$4:$AJ$4,0)))))</f>
        <v>6704</v>
      </c>
      <c r="K4" s="6">
        <f>IF(ISNA(MATCH(K$2,Inputs!$K$4:$AJ$4,0)),NA(),IF(SUMPRODUCT((Inputs!$A$5:$A$130=$B4)*ISNUMBER(INDEX(Inputs!$K$5:$AJ$130,0,MATCH(K$2,Inputs!$K$4:$AJ$4,0))))+SUMPRODUCT((Inputs!$C$5:$C$130=$B4)*ISNUMBER(INDEX(Inputs!$K$5:$AJ$130,0,MATCH(K$2,Inputs!$K$4:$AJ$4,0))))+SUMPRODUCT((Inputs!$E$5:$E$130=$B4)*ISNUMBER(INDEX(Inputs!$K$5:$AJ$130,0,MATCH(K$2,Inputs!$K$4:$AJ$4,0))))=0,NA(),SUMPRODUCT((Inputs!$A$5:$A$130=$B4)*Inputs!$B$5:$B$130*(((Inputs!$G$5:$G$130="moeda")+(Inputs!$G$5:$G$130="acoes"))*Inputs!$B$1+((Inputs!$G$5:$G$130&lt;&gt;"moeda")*(Inputs!$G$5:$G$130&lt;&gt;"acoes")))*INDEX(Inputs!$K$5:$AJ$130,0,MATCH(K$2,Inputs!$K$4:$AJ$4,0)))+SUMPRODUCT((Inputs!$C$5:$C$130=$B4)*Inputs!$D$5:$D$130*(((Inputs!$G$5:$G$130="moeda")+(Inputs!$G$5:$G$130="acoes"))*Inputs!$B$1+((Inputs!$G$5:$G$130&lt;&gt;"moeda")*(Inputs!$G$5:$G$130&lt;&gt;"acoes")))*INDEX(Inputs!$K$5:$AJ$130,0,MATCH(K$2,Inputs!$K$4:$AJ$4,0)))+SUMPRODUCT((Inputs!$E$5:$E$130=$B4)*Inputs!$F$5:$F$130*(((Inputs!$G$5:$G$130="moeda")+(Inputs!$G$5:$G$130="acoes"))*Inputs!$B$1+((Inputs!$G$5:$G$130&lt;&gt;"moeda")*(Inputs!$G$5:$G$130&lt;&gt;"acoes")))*INDEX(Inputs!$K$5:$AJ$130,0,MATCH(K$2,Inputs!$K$4:$AJ$4,0)))))</f>
        <v>5931</v>
      </c>
      <c r="L4" s="6">
        <f>IF(ISNA(MATCH(L$2,Inputs!$K$4:$AJ$4,0)),NA(),IF(SUMPRODUCT((Inputs!$A$5:$A$130=$B4)*ISNUMBER(INDEX(Inputs!$K$5:$AJ$130,0,MATCH(L$2,Inputs!$K$4:$AJ$4,0))))+SUMPRODUCT((Inputs!$C$5:$C$130=$B4)*ISNUMBER(INDEX(Inputs!$K$5:$AJ$130,0,MATCH(L$2,Inputs!$K$4:$AJ$4,0))))+SUMPRODUCT((Inputs!$E$5:$E$130=$B4)*ISNUMBER(INDEX(Inputs!$K$5:$AJ$130,0,MATCH(L$2,Inputs!$K$4:$AJ$4,0))))=0,NA(),SUMPRODUCT((Inputs!$A$5:$A$130=$B4)*Inputs!$B$5:$B$130*(((Inputs!$G$5:$G$130="moeda")+(Inputs!$G$5:$G$130="acoes"))*Inputs!$B$1+((Inputs!$G$5:$G$130&lt;&gt;"moeda")*(Inputs!$G$5:$G$130&lt;&gt;"acoes")))*INDEX(Inputs!$K$5:$AJ$130,0,MATCH(L$2,Inputs!$K$4:$AJ$4,0)))+SUMPRODUCT((Inputs!$C$5:$C$130=$B4)*Inputs!$D$5:$D$130*(((Inputs!$G$5:$G$130="moeda")+(Inputs!$G$5:$G$130="acoes"))*Inputs!$B$1+((Inputs!$G$5:$G$130&lt;&gt;"moeda")*(Inputs!$G$5:$G$130&lt;&gt;"acoes")))*INDEX(Inputs!$K$5:$AJ$130,0,MATCH(L$2,Inputs!$K$4:$AJ$4,0)))+SUMPRODUCT((Inputs!$E$5:$E$130=$B4)*Inputs!$F$5:$F$130*(((Inputs!$G$5:$G$130="moeda")+(Inputs!$G$5:$G$130="acoes"))*Inputs!$B$1+((Inputs!$G$5:$G$130&lt;&gt;"moeda")*(Inputs!$G$5:$G$130&lt;&gt;"acoes")))*INDEX(Inputs!$K$5:$AJ$130,0,MATCH(L$2,Inputs!$K$4:$AJ$4,0)))))</f>
        <v>6051</v>
      </c>
      <c r="M4" s="3">
        <f>SUM(I4:L4)</f>
        <v>26974</v>
      </c>
      <c r="N4" s="6">
        <f>IF(ISNA(MATCH(N$2,Inputs!$K$4:$AJ$4,0)),NA(),IF(SUMPRODUCT((Inputs!$A$5:$A$130=$B4)*ISNUMBER(INDEX(Inputs!$K$5:$AJ$130,0,MATCH(N$2,Inputs!$K$4:$AJ$4,0))))+SUMPRODUCT((Inputs!$C$5:$C$130=$B4)*ISNUMBER(INDEX(Inputs!$K$5:$AJ$130,0,MATCH(N$2,Inputs!$K$4:$AJ$4,0))))+SUMPRODUCT((Inputs!$E$5:$E$130=$B4)*ISNUMBER(INDEX(Inputs!$K$5:$AJ$130,0,MATCH(N$2,Inputs!$K$4:$AJ$4,0))))=0,NA(),SUMPRODUCT((Inputs!$A$5:$A$130=$B4)*Inputs!$B$5:$B$130*(((Inputs!$G$5:$G$130="moeda")+(Inputs!$G$5:$G$130="acoes"))*Inputs!$B$1+((Inputs!$G$5:$G$130&lt;&gt;"moeda")*(Inputs!$G$5:$G$130&lt;&gt;"acoes")))*INDEX(Inputs!$K$5:$AJ$130,0,MATCH(N$2,Inputs!$K$4:$AJ$4,0)))+SUMPRODUCT((Inputs!$C$5:$C$130=$B4)*Inputs!$D$5:$D$130*(((Inputs!$G$5:$G$130="moeda")+(Inputs!$G$5:$G$130="acoes"))*Inputs!$B$1+((Inputs!$G$5:$G$130&lt;&gt;"moeda")*(Inputs!$G$5:$G$130&lt;&gt;"acoes")))*INDEX(Inputs!$K$5:$AJ$130,0,MATCH(N$2,Inputs!$K$4:$AJ$4,0)))+SUMPRODUCT((Inputs!$E$5:$E$130=$B4)*Inputs!$F$5:$F$130*(((Inputs!$G$5:$G$130="moeda")+(Inputs!$G$5:$G$130="acoes"))*Inputs!$B$1+((Inputs!$G$5:$G$130&lt;&gt;"moeda")*(Inputs!$G$5:$G$130&lt;&gt;"acoes")))*INDEX(Inputs!$K$5:$AJ$130,0,MATCH(N$2,Inputs!$K$4:$AJ$4,0)))))</f>
        <v>7192</v>
      </c>
      <c r="O4" s="6">
        <f>IF(ISNA(MATCH(O$2,Inputs!$K$4:$AJ$4,0)),NA(),IF(SUMPRODUCT((Inputs!$A$5:$A$130=$B4)*ISNUMBER(INDEX(Inputs!$K$5:$AJ$130,0,MATCH(O$2,Inputs!$K$4:$AJ$4,0))))+SUMPRODUCT((Inputs!$C$5:$C$130=$B4)*ISNUMBER(INDEX(Inputs!$K$5:$AJ$130,0,MATCH(O$2,Inputs!$K$4:$AJ$4,0))))+SUMPRODUCT((Inputs!$E$5:$E$130=$B4)*ISNUMBER(INDEX(Inputs!$K$5:$AJ$130,0,MATCH(O$2,Inputs!$K$4:$AJ$4,0))))=0,NA(),SUMPRODUCT((Inputs!$A$5:$A$130=$B4)*Inputs!$B$5:$B$130*(((Inputs!$G$5:$G$130="moeda")+(Inputs!$G$5:$G$130="acoes"))*Inputs!$B$1+((Inputs!$G$5:$G$130&lt;&gt;"moeda")*(Inputs!$G$5:$G$130&lt;&gt;"acoes")))*INDEX(Inputs!$K$5:$AJ$130,0,MATCH(O$2,Inputs!$K$4:$AJ$4,0)))+SUMPRODUCT((Inputs!$C$5:$C$130=$B4)*Inputs!$D$5:$D$130*(((Inputs!$G$5:$G$130="moeda")+(Inputs!$G$5:$G$130="acoes"))*Inputs!$B$1+((Inputs!$G$5:$G$130&lt;&gt;"moeda")*(Inputs!$G$5:$G$130&lt;&gt;"acoes")))*INDEX(Inputs!$K$5:$AJ$130,0,MATCH(O$2,Inputs!$K$4:$AJ$4,0)))+SUMPRODUCT((Inputs!$E$5:$E$130=$B4)*Inputs!$F$5:$F$130*(((Inputs!$G$5:$G$130="moeda")+(Inputs!$G$5:$G$130="acoes"))*Inputs!$B$1+((Inputs!$G$5:$G$130&lt;&gt;"moeda")*(Inputs!$G$5:$G$130&lt;&gt;"acoes")))*INDEX(Inputs!$K$5:$AJ$130,0,MATCH(O$2,Inputs!$K$4:$AJ$4,0)))))</f>
        <v>13507</v>
      </c>
      <c r="P4" s="6">
        <f>IF(ISNA(MATCH(P$2,Inputs!$K$4:$AJ$4,0)),NA(),IF(SUMPRODUCT((Inputs!$A$5:$A$130=$B4)*ISNUMBER(INDEX(Inputs!$K$5:$AJ$130,0,MATCH(P$2,Inputs!$K$4:$AJ$4,0))))+SUMPRODUCT((Inputs!$C$5:$C$130=$B4)*ISNUMBER(INDEX(Inputs!$K$5:$AJ$130,0,MATCH(P$2,Inputs!$K$4:$AJ$4,0))))+SUMPRODUCT((Inputs!$E$5:$E$130=$B4)*ISNUMBER(INDEX(Inputs!$K$5:$AJ$130,0,MATCH(P$2,Inputs!$K$4:$AJ$4,0))))=0,NA(),SUMPRODUCT((Inputs!$A$5:$A$130=$B4)*Inputs!$B$5:$B$130*(((Inputs!$G$5:$G$130="moeda")+(Inputs!$G$5:$G$130="acoes"))*Inputs!$B$1+((Inputs!$G$5:$G$130&lt;&gt;"moeda")*(Inputs!$G$5:$G$130&lt;&gt;"acoes")))*INDEX(Inputs!$K$5:$AJ$130,0,MATCH(P$2,Inputs!$K$4:$AJ$4,0)))+SUMPRODUCT((Inputs!$C$5:$C$130=$B4)*Inputs!$D$5:$D$130*(((Inputs!$G$5:$G$130="moeda")+(Inputs!$G$5:$G$130="acoes"))*Inputs!$B$1+((Inputs!$G$5:$G$130&lt;&gt;"moeda")*(Inputs!$G$5:$G$130&lt;&gt;"acoes")))*INDEX(Inputs!$K$5:$AJ$130,0,MATCH(P$2,Inputs!$K$4:$AJ$4,0)))+SUMPRODUCT((Inputs!$E$5:$E$130=$B4)*Inputs!$F$5:$F$130*(((Inputs!$G$5:$G$130="moeda")+(Inputs!$G$5:$G$130="acoes"))*Inputs!$B$1+((Inputs!$G$5:$G$130&lt;&gt;"moeda")*(Inputs!$G$5:$G$130&lt;&gt;"acoes")))*INDEX(Inputs!$K$5:$AJ$130,0,MATCH(P$2,Inputs!$K$4:$AJ$4,0)))))</f>
        <v>18120</v>
      </c>
      <c r="Q4" s="6">
        <f>IF(ISNA(MATCH(Q$2,Inputs!$K$4:$AJ$4,0)),NA(),IF(SUMPRODUCT((Inputs!$A$5:$A$130=$B4)*ISNUMBER(INDEX(Inputs!$K$5:$AJ$130,0,MATCH(Q$2,Inputs!$K$4:$AJ$4,0))))+SUMPRODUCT((Inputs!$C$5:$C$130=$B4)*ISNUMBER(INDEX(Inputs!$K$5:$AJ$130,0,MATCH(Q$2,Inputs!$K$4:$AJ$4,0))))+SUMPRODUCT((Inputs!$E$5:$E$130=$B4)*ISNUMBER(INDEX(Inputs!$K$5:$AJ$130,0,MATCH(Q$2,Inputs!$K$4:$AJ$4,0))))=0,NA(),SUMPRODUCT((Inputs!$A$5:$A$130=$B4)*Inputs!$B$5:$B$130*(((Inputs!$G$5:$G$130="moeda")+(Inputs!$G$5:$G$130="acoes"))*Inputs!$B$1+((Inputs!$G$5:$G$130&lt;&gt;"moeda")*(Inputs!$G$5:$G$130&lt;&gt;"acoes")))*INDEX(Inputs!$K$5:$AJ$130,0,MATCH(Q$2,Inputs!$K$4:$AJ$4,0)))+SUMPRODUCT((Inputs!$C$5:$C$130=$B4)*Inputs!$D$5:$D$130*(((Inputs!$G$5:$G$130="moeda")+(Inputs!$G$5:$G$130="acoes"))*Inputs!$B$1+((Inputs!$G$5:$G$130&lt;&gt;"moeda")*(Inputs!$G$5:$G$130&lt;&gt;"acoes")))*INDEX(Inputs!$K$5:$AJ$130,0,MATCH(Q$2,Inputs!$K$4:$AJ$4,0)))+SUMPRODUCT((Inputs!$E$5:$E$130=$B4)*Inputs!$F$5:$F$130*(((Inputs!$G$5:$G$130="moeda")+(Inputs!$G$5:$G$130="acoes"))*Inputs!$B$1+((Inputs!$G$5:$G$130&lt;&gt;"moeda")*(Inputs!$G$5:$G$130&lt;&gt;"acoes")))*INDEX(Inputs!$K$5:$AJ$130,0,MATCH(Q$2,Inputs!$K$4:$AJ$4,0)))))</f>
        <v>22103</v>
      </c>
      <c r="R4" s="3">
        <f>SUM(N4:Q4)</f>
        <v>60922</v>
      </c>
      <c r="S4" s="6">
        <f>IF(ISNA(MATCH(S$2,Inputs!$K$4:$AJ$4,0)),NA(),IF(SUMPRODUCT((Inputs!$A$5:$A$130=$B4)*ISNUMBER(INDEX(Inputs!$K$5:$AJ$130,0,MATCH(S$2,Inputs!$K$4:$AJ$4,0))))+SUMPRODUCT((Inputs!$C$5:$C$130=$B4)*ISNUMBER(INDEX(Inputs!$K$5:$AJ$130,0,MATCH(S$2,Inputs!$K$4:$AJ$4,0))))+SUMPRODUCT((Inputs!$E$5:$E$130=$B4)*ISNUMBER(INDEX(Inputs!$K$5:$AJ$130,0,MATCH(S$2,Inputs!$K$4:$AJ$4,0))))=0,NA(),SUMPRODUCT((Inputs!$A$5:$A$130=$B4)*Inputs!$B$5:$B$130*(((Inputs!$G$5:$G$130="moeda")+(Inputs!$G$5:$G$130="acoes"))*Inputs!$B$1+((Inputs!$G$5:$G$130&lt;&gt;"moeda")*(Inputs!$G$5:$G$130&lt;&gt;"acoes")))*INDEX(Inputs!$K$5:$AJ$130,0,MATCH(S$2,Inputs!$K$4:$AJ$4,0)))+SUMPRODUCT((Inputs!$C$5:$C$130=$B4)*Inputs!$D$5:$D$130*(((Inputs!$G$5:$G$130="moeda")+(Inputs!$G$5:$G$130="acoes"))*Inputs!$B$1+((Inputs!$G$5:$G$130&lt;&gt;"moeda")*(Inputs!$G$5:$G$130&lt;&gt;"acoes")))*INDEX(Inputs!$K$5:$AJ$130,0,MATCH(S$2,Inputs!$K$4:$AJ$4,0)))+SUMPRODUCT((Inputs!$E$5:$E$130=$B4)*Inputs!$F$5:$F$130*(((Inputs!$G$5:$G$130="moeda")+(Inputs!$G$5:$G$130="acoes"))*Inputs!$B$1+((Inputs!$G$5:$G$130&lt;&gt;"moeda")*(Inputs!$G$5:$G$130&lt;&gt;"acoes")))*INDEX(Inputs!$K$5:$AJ$130,0,MATCH(S$2,Inputs!$K$4:$AJ$4,0)))))</f>
        <v>26044</v>
      </c>
      <c r="T4" s="6">
        <f>IF(ISNA(MATCH(T$2,Inputs!$K$4:$AJ$4,0)),NA(),IF(SUMPRODUCT((Inputs!$A$5:$A$130=$B4)*ISNUMBER(INDEX(Inputs!$K$5:$AJ$130,0,MATCH(T$2,Inputs!$K$4:$AJ$4,0))))+SUMPRODUCT((Inputs!$C$5:$C$130=$B4)*ISNUMBER(INDEX(Inputs!$K$5:$AJ$130,0,MATCH(T$2,Inputs!$K$4:$AJ$4,0))))+SUMPRODUCT((Inputs!$E$5:$E$130=$B4)*ISNUMBER(INDEX(Inputs!$K$5:$AJ$130,0,MATCH(T$2,Inputs!$K$4:$AJ$4,0))))=0,NA(),SUMPRODUCT((Inputs!$A$5:$A$130=$B4)*Inputs!$B$5:$B$130*(((Inputs!$G$5:$G$130="moeda")+(Inputs!$G$5:$G$130="acoes"))*Inputs!$B$1+((Inputs!$G$5:$G$130&lt;&gt;"moeda")*(Inputs!$G$5:$G$130&lt;&gt;"acoes")))*INDEX(Inputs!$K$5:$AJ$130,0,MATCH(T$2,Inputs!$K$4:$AJ$4,0)))+SUMPRODUCT((Inputs!$C$5:$C$130=$B4)*Inputs!$D$5:$D$130*(((Inputs!$G$5:$G$130="moeda")+(Inputs!$G$5:$G$130="acoes"))*Inputs!$B$1+((Inputs!$G$5:$G$130&lt;&gt;"moeda")*(Inputs!$G$5:$G$130&lt;&gt;"acoes")))*INDEX(Inputs!$K$5:$AJ$130,0,MATCH(T$2,Inputs!$K$4:$AJ$4,0)))+SUMPRODUCT((Inputs!$E$5:$E$130=$B4)*Inputs!$F$5:$F$130*(((Inputs!$G$5:$G$130="moeda")+(Inputs!$G$5:$G$130="acoes"))*Inputs!$B$1+((Inputs!$G$5:$G$130&lt;&gt;"moeda")*(Inputs!$G$5:$G$130&lt;&gt;"acoes")))*INDEX(Inputs!$K$5:$AJ$130,0,MATCH(T$2,Inputs!$K$4:$AJ$4,0)))))</f>
        <v>30040</v>
      </c>
      <c r="U4" s="6">
        <f>IF(ISNA(MATCH(U$2,Inputs!$K$4:$AJ$4,0)),NA(),IF(SUMPRODUCT((Inputs!$A$5:$A$130=$B4)*ISNUMBER(INDEX(Inputs!$K$5:$AJ$130,0,MATCH(U$2,Inputs!$K$4:$AJ$4,0))))+SUMPRODUCT((Inputs!$C$5:$C$130=$B4)*ISNUMBER(INDEX(Inputs!$K$5:$AJ$130,0,MATCH(U$2,Inputs!$K$4:$AJ$4,0))))+SUMPRODUCT((Inputs!$E$5:$E$130=$B4)*ISNUMBER(INDEX(Inputs!$K$5:$AJ$130,0,MATCH(U$2,Inputs!$K$4:$AJ$4,0))))=0,NA(),SUMPRODUCT((Inputs!$A$5:$A$130=$B4)*Inputs!$B$5:$B$130*(((Inputs!$G$5:$G$130="moeda")+(Inputs!$G$5:$G$130="acoes"))*Inputs!$B$1+((Inputs!$G$5:$G$130&lt;&gt;"moeda")*(Inputs!$G$5:$G$130&lt;&gt;"acoes")))*INDEX(Inputs!$K$5:$AJ$130,0,MATCH(U$2,Inputs!$K$4:$AJ$4,0)))+SUMPRODUCT((Inputs!$C$5:$C$130=$B4)*Inputs!$D$5:$D$130*(((Inputs!$G$5:$G$130="moeda")+(Inputs!$G$5:$G$130="acoes"))*Inputs!$B$1+((Inputs!$G$5:$G$130&lt;&gt;"moeda")*(Inputs!$G$5:$G$130&lt;&gt;"acoes")))*INDEX(Inputs!$K$5:$AJ$130,0,MATCH(U$2,Inputs!$K$4:$AJ$4,0)))+SUMPRODUCT((Inputs!$E$5:$E$130=$B4)*Inputs!$F$5:$F$130*(((Inputs!$G$5:$G$130="moeda")+(Inputs!$G$5:$G$130="acoes"))*Inputs!$B$1+((Inputs!$G$5:$G$130&lt;&gt;"moeda")*(Inputs!$G$5:$G$130&lt;&gt;"acoes")))*INDEX(Inputs!$K$5:$AJ$130,0,MATCH(U$2,Inputs!$K$4:$AJ$4,0)))))</f>
        <v>35082</v>
      </c>
      <c r="V4" s="6">
        <f>IF(ISNA(MATCH(V$2,Inputs!$K$4:$AJ$4,0)),NA(),IF(SUMPRODUCT((Inputs!$A$5:$A$130=$B4)*ISNUMBER(INDEX(Inputs!$K$5:$AJ$130,0,MATCH(V$2,Inputs!$K$4:$AJ$4,0))))+SUMPRODUCT((Inputs!$C$5:$C$130=$B4)*ISNUMBER(INDEX(Inputs!$K$5:$AJ$130,0,MATCH(V$2,Inputs!$K$4:$AJ$4,0))))+SUMPRODUCT((Inputs!$E$5:$E$130=$B4)*ISNUMBER(INDEX(Inputs!$K$5:$AJ$130,0,MATCH(V$2,Inputs!$K$4:$AJ$4,0))))=0,NA(),SUMPRODUCT((Inputs!$A$5:$A$130=$B4)*Inputs!$B$5:$B$130*(((Inputs!$G$5:$G$130="moeda")+(Inputs!$G$5:$G$130="acoes"))*Inputs!$B$1+((Inputs!$G$5:$G$130&lt;&gt;"moeda")*(Inputs!$G$5:$G$130&lt;&gt;"acoes")))*INDEX(Inputs!$K$5:$AJ$130,0,MATCH(V$2,Inputs!$K$4:$AJ$4,0)))+SUMPRODUCT((Inputs!$C$5:$C$130=$B4)*Inputs!$D$5:$D$130*(((Inputs!$G$5:$G$130="moeda")+(Inputs!$G$5:$G$130="acoes"))*Inputs!$B$1+((Inputs!$G$5:$G$130&lt;&gt;"moeda")*(Inputs!$G$5:$G$130&lt;&gt;"acoes")))*INDEX(Inputs!$K$5:$AJ$130,0,MATCH(V$2,Inputs!$K$4:$AJ$4,0)))+SUMPRODUCT((Inputs!$E$5:$E$130=$B4)*Inputs!$F$5:$F$130*(((Inputs!$G$5:$G$130="moeda")+(Inputs!$G$5:$G$130="acoes"))*Inputs!$B$1+((Inputs!$G$5:$G$130&lt;&gt;"moeda")*(Inputs!$G$5:$G$130&lt;&gt;"acoes")))*INDEX(Inputs!$K$5:$AJ$130,0,MATCH(V$2,Inputs!$K$4:$AJ$4,0)))))</f>
        <v>39331</v>
      </c>
      <c r="W4" s="3">
        <f>SUM(S4:V4)</f>
        <v>130497</v>
      </c>
      <c r="X4" s="6">
        <f>IF(ISNA(MATCH(X$2,Inputs!$K$4:$AJ$4,0)),NA(),IF(SUMPRODUCT((Inputs!$A$5:$A$130=$B4)*ISNUMBER(INDEX(Inputs!$K$5:$AJ$130,0,MATCH(X$2,Inputs!$K$4:$AJ$4,0))))+SUMPRODUCT((Inputs!$C$5:$C$130=$B4)*ISNUMBER(INDEX(Inputs!$K$5:$AJ$130,0,MATCH(X$2,Inputs!$K$4:$AJ$4,0))))+SUMPRODUCT((Inputs!$E$5:$E$130=$B4)*ISNUMBER(INDEX(Inputs!$K$5:$AJ$130,0,MATCH(X$2,Inputs!$K$4:$AJ$4,0))))=0,NA(),SUMPRODUCT((Inputs!$A$5:$A$130=$B4)*Inputs!$B$5:$B$130*(((Inputs!$G$5:$G$130="moeda")+(Inputs!$G$5:$G$130="acoes"))*Inputs!$B$1+((Inputs!$G$5:$G$130&lt;&gt;"moeda")*(Inputs!$G$5:$G$130&lt;&gt;"acoes")))*INDEX(Inputs!$K$5:$AJ$130,0,MATCH(X$2,Inputs!$K$4:$AJ$4,0)))+SUMPRODUCT((Inputs!$C$5:$C$130=$B4)*Inputs!$D$5:$D$130*(((Inputs!$G$5:$G$130="moeda")+(Inputs!$G$5:$G$130="acoes"))*Inputs!$B$1+((Inputs!$G$5:$G$130&lt;&gt;"moeda")*(Inputs!$G$5:$G$130&lt;&gt;"acoes")))*INDEX(Inputs!$K$5:$AJ$130,0,MATCH(X$2,Inputs!$K$4:$AJ$4,0)))+SUMPRODUCT((Inputs!$E$5:$E$130=$B4)*Inputs!$F$5:$F$130*(((Inputs!$G$5:$G$130="moeda")+(Inputs!$G$5:$G$130="acoes"))*Inputs!$B$1+((Inputs!$G$5:$G$130&lt;&gt;"moeda")*(Inputs!$G$5:$G$130&lt;&gt;"acoes")))*INDEX(Inputs!$K$5:$AJ$130,0,MATCH(X$2,Inputs!$K$4:$AJ$4,0)))))</f>
        <v>44062</v>
      </c>
      <c r="Y4" s="6">
        <f>IF(ISNA(MATCH(Y$2,Inputs!$K$4:$AJ$4,0)),NA(),IF(SUMPRODUCT((Inputs!$A$5:$A$130=$B4)*ISNUMBER(INDEX(Inputs!$K$5:$AJ$130,0,MATCH(Y$2,Inputs!$K$4:$AJ$4,0))))+SUMPRODUCT((Inputs!$C$5:$C$130=$B4)*ISNUMBER(INDEX(Inputs!$K$5:$AJ$130,0,MATCH(Y$2,Inputs!$K$4:$AJ$4,0))))+SUMPRODUCT((Inputs!$E$5:$E$130=$B4)*ISNUMBER(INDEX(Inputs!$K$5:$AJ$130,0,MATCH(Y$2,Inputs!$K$4:$AJ$4,0))))=0,NA(),SUMPRODUCT((Inputs!$A$5:$A$130=$B4)*Inputs!$B$5:$B$130*(((Inputs!$G$5:$G$130="moeda")+(Inputs!$G$5:$G$130="acoes"))*Inputs!$B$1+((Inputs!$G$5:$G$130&lt;&gt;"moeda")*(Inputs!$G$5:$G$130&lt;&gt;"acoes")))*INDEX(Inputs!$K$5:$AJ$130,0,MATCH(Y$2,Inputs!$K$4:$AJ$4,0)))+SUMPRODUCT((Inputs!$C$5:$C$130=$B4)*Inputs!$D$5:$D$130*(((Inputs!$G$5:$G$130="moeda")+(Inputs!$G$5:$G$130="acoes"))*Inputs!$B$1+((Inputs!$G$5:$G$130&lt;&gt;"moeda")*(Inputs!$G$5:$G$130&lt;&gt;"acoes")))*INDEX(Inputs!$K$5:$AJ$130,0,MATCH(Y$2,Inputs!$K$4:$AJ$4,0)))+SUMPRODUCT((Inputs!$E$5:$E$130=$B4)*Inputs!$F$5:$F$130*(((Inputs!$G$5:$G$130="moeda")+(Inputs!$G$5:$G$130="acoes"))*Inputs!$B$1+((Inputs!$G$5:$G$130&lt;&gt;"moeda")*(Inputs!$G$5:$G$130&lt;&gt;"acoes")))*INDEX(Inputs!$K$5:$AJ$130,0,MATCH(Y$2,Inputs!$K$4:$AJ$4,0)))))</f>
        <v>46743</v>
      </c>
      <c r="Z4" s="6">
        <f>IF(ISNA(MATCH(Z$2,Inputs!$K$4:$AJ$4,0)),NA(),IF(SUMPRODUCT((Inputs!$A$5:$A$130=$B4)*ISNUMBER(INDEX(Inputs!$K$5:$AJ$130,0,MATCH(Z$2,Inputs!$K$4:$AJ$4,0))))+SUMPRODUCT((Inputs!$C$5:$C$130=$B4)*ISNUMBER(INDEX(Inputs!$K$5:$AJ$130,0,MATCH(Z$2,Inputs!$K$4:$AJ$4,0))))+SUMPRODUCT((Inputs!$E$5:$E$130=$B4)*ISNUMBER(INDEX(Inputs!$K$5:$AJ$130,0,MATCH(Z$2,Inputs!$K$4:$AJ$4,0))))=0,NA(),SUMPRODUCT((Inputs!$A$5:$A$130=$B4)*Inputs!$B$5:$B$130*(((Inputs!$G$5:$G$130="moeda")+(Inputs!$G$5:$G$130="acoes"))*Inputs!$B$1+((Inputs!$G$5:$G$130&lt;&gt;"moeda")*(Inputs!$G$5:$G$130&lt;&gt;"acoes")))*INDEX(Inputs!$K$5:$AJ$130,0,MATCH(Z$2,Inputs!$K$4:$AJ$4,0)))+SUMPRODUCT((Inputs!$C$5:$C$130=$B4)*Inputs!$D$5:$D$130*(((Inputs!$G$5:$G$130="moeda")+(Inputs!$G$5:$G$130="acoes"))*Inputs!$B$1+((Inputs!$G$5:$G$130&lt;&gt;"moeda")*(Inputs!$G$5:$G$130&lt;&gt;"acoes")))*INDEX(Inputs!$K$5:$AJ$130,0,MATCH(Z$2,Inputs!$K$4:$AJ$4,0)))+SUMPRODUCT((Inputs!$E$5:$E$130=$B4)*Inputs!$F$5:$F$130*(((Inputs!$G$5:$G$130="moeda")+(Inputs!$G$5:$G$130="acoes"))*Inputs!$B$1+((Inputs!$G$5:$G$130&lt;&gt;"moeda")*(Inputs!$G$5:$G$130&lt;&gt;"acoes")))*INDEX(Inputs!$K$5:$AJ$130,0,MATCH(Z$2,Inputs!$K$4:$AJ$4,0)))))</f>
        <v>57006</v>
      </c>
      <c r="AA4" s="6">
        <f>IF(ISNA(MATCH(AA$2,Inputs!$K$4:$AJ$4,0)),NA(),IF(SUMPRODUCT((Inputs!$A$5:$A$130=$B4)*ISNUMBER(INDEX(Inputs!$K$5:$AJ$130,0,MATCH(AA$2,Inputs!$K$4:$AJ$4,0))))+SUMPRODUCT((Inputs!$C$5:$C$130=$B4)*ISNUMBER(INDEX(Inputs!$K$5:$AJ$130,0,MATCH(AA$2,Inputs!$K$4:$AJ$4,0))))+SUMPRODUCT((Inputs!$E$5:$E$130=$B4)*ISNUMBER(INDEX(Inputs!$K$5:$AJ$130,0,MATCH(AA$2,Inputs!$K$4:$AJ$4,0))))=0,NA(),SUMPRODUCT((Inputs!$A$5:$A$130=$B4)*Inputs!$B$5:$B$130*(((Inputs!$G$5:$G$130="moeda")+(Inputs!$G$5:$G$130="acoes"))*Inputs!$B$1+((Inputs!$G$5:$G$130&lt;&gt;"moeda")*(Inputs!$G$5:$G$130&lt;&gt;"acoes")))*INDEX(Inputs!$K$5:$AJ$130,0,MATCH(AA$2,Inputs!$K$4:$AJ$4,0)))+SUMPRODUCT((Inputs!$C$5:$C$130=$B4)*Inputs!$D$5:$D$130*(((Inputs!$G$5:$G$130="moeda")+(Inputs!$G$5:$G$130="acoes"))*Inputs!$B$1+((Inputs!$G$5:$G$130&lt;&gt;"moeda")*(Inputs!$G$5:$G$130&lt;&gt;"acoes")))*INDEX(Inputs!$K$5:$AJ$130,0,MATCH(AA$2,Inputs!$K$4:$AJ$4,0)))+SUMPRODUCT((Inputs!$E$5:$E$130=$B4)*Inputs!$F$5:$F$130*(((Inputs!$G$5:$G$130="moeda")+(Inputs!$G$5:$G$130="acoes"))*Inputs!$B$1+((Inputs!$G$5:$G$130&lt;&gt;"moeda")*(Inputs!$G$5:$G$130&lt;&gt;"acoes")))*INDEX(Inputs!$K$5:$AJ$130,0,MATCH(AA$2,Inputs!$K$4:$AJ$4,0)))))</f>
        <v>68127</v>
      </c>
      <c r="AB4" s="3">
        <f>SUM(X4:AA4)</f>
        <v>215938</v>
      </c>
      <c r="AC4" s="6">
        <f>IF(ISNA(MATCH(AC$2,Inputs!$K$4:$AJ$4,0)),NA(),IF(SUMPRODUCT((Inputs!$A$5:$A$130=$B4)*ISNUMBER(INDEX(Inputs!$K$5:$AJ$130,0,MATCH(AC$2,Inputs!$K$4:$AJ$4,0))))+SUMPRODUCT((Inputs!$C$5:$C$130=$B4)*ISNUMBER(INDEX(Inputs!$K$5:$AJ$130,0,MATCH(AC$2,Inputs!$K$4:$AJ$4,0))))+SUMPRODUCT((Inputs!$E$5:$E$130=$B4)*ISNUMBER(INDEX(Inputs!$K$5:$AJ$130,0,MATCH(AC$2,Inputs!$K$4:$AJ$4,0))))=0,NA(),SUMPRODUCT((Inputs!$A$5:$A$130=$B4)*Inputs!$B$5:$B$130*(((Inputs!$G$5:$G$130="moeda")+(Inputs!$G$5:$G$130="acoes"))*Inputs!$B$1+((Inputs!$G$5:$G$130&lt;&gt;"moeda")*(Inputs!$G$5:$G$130&lt;&gt;"acoes")))*INDEX(Inputs!$K$5:$AJ$130,0,MATCH(AC$2,Inputs!$K$4:$AJ$4,0)))+SUMPRODUCT((Inputs!$C$5:$C$130=$B4)*Inputs!$D$5:$D$130*(((Inputs!$G$5:$G$130="moeda")+(Inputs!$G$5:$G$130="acoes"))*Inputs!$B$1+((Inputs!$G$5:$G$130&lt;&gt;"moeda")*(Inputs!$G$5:$G$130&lt;&gt;"acoes")))*INDEX(Inputs!$K$5:$AJ$130,0,MATCH(AC$2,Inputs!$K$4:$AJ$4,0)))+SUMPRODUCT((Inputs!$E$5:$E$130=$B4)*Inputs!$F$5:$F$130*(((Inputs!$G$5:$G$130="moeda")+(Inputs!$G$5:$G$130="acoes"))*Inputs!$B$1+((Inputs!$G$5:$G$130&lt;&gt;"moeda")*(Inputs!$G$5:$G$130&lt;&gt;"acoes")))*INDEX(Inputs!$K$5:$AJ$130,0,MATCH(AC$2,Inputs!$K$4:$AJ$4,0)))))</f>
        <v>81615</v>
      </c>
      <c r="AD4" s="6">
        <f>IF(ISNA(MATCH(AD$2,Inputs!$K$4:$AJ$4,0)),NA(),IF(SUMPRODUCT((Inputs!$A$5:$A$130=$B4)*ISNUMBER(INDEX(Inputs!$K$5:$AJ$130,0,MATCH(AD$2,Inputs!$K$4:$AJ$4,0))))+SUMPRODUCT((Inputs!$C$5:$C$130=$B4)*ISNUMBER(INDEX(Inputs!$K$5:$AJ$130,0,MATCH(AD$2,Inputs!$K$4:$AJ$4,0))))+SUMPRODUCT((Inputs!$E$5:$E$130=$B4)*ISNUMBER(INDEX(Inputs!$K$5:$AJ$130,0,MATCH(AD$2,Inputs!$K$4:$AJ$4,0))))=0,NA(),SUMPRODUCT((Inputs!$A$5:$A$130=$B4)*Inputs!$B$5:$B$130*(((Inputs!$G$5:$G$130="moeda")+(Inputs!$G$5:$G$130="acoes"))*Inputs!$B$1+((Inputs!$G$5:$G$130&lt;&gt;"moeda")*(Inputs!$G$5:$G$130&lt;&gt;"acoes")))*INDEX(Inputs!$K$5:$AJ$130,0,MATCH(AD$2,Inputs!$K$4:$AJ$4,0)))+SUMPRODUCT((Inputs!$C$5:$C$130=$B4)*Inputs!$D$5:$D$130*(((Inputs!$G$5:$G$130="moeda")+(Inputs!$G$5:$G$130="acoes"))*Inputs!$B$1+((Inputs!$G$5:$G$130&lt;&gt;"moeda")*(Inputs!$G$5:$G$130&lt;&gt;"acoes")))*INDEX(Inputs!$K$5:$AJ$130,0,MATCH(AD$2,Inputs!$K$4:$AJ$4,0)))+SUMPRODUCT((Inputs!$E$5:$E$130=$B4)*Inputs!$F$5:$F$130*(((Inputs!$G$5:$G$130="moeda")+(Inputs!$G$5:$G$130="acoes"))*Inputs!$B$1+((Inputs!$G$5:$G$130&lt;&gt;"moeda")*(Inputs!$G$5:$G$130&lt;&gt;"acoes")))*INDEX(Inputs!$K$5:$AJ$130,0,MATCH(AD$2,Inputs!$K$4:$AJ$4,0)))))</f>
        <v>96221</v>
      </c>
      <c r="AE4" s="6" t="e">
        <f>IF(ISNA(MATCH(AE$2,Inputs!$K$4:$AJ$4,0)),NA(),IF(SUMPRODUCT((Inputs!$A$5:$A$130=$B4)*ISNUMBER(INDEX(Inputs!$K$5:$AJ$130,0,MATCH(AE$2,Inputs!$K$4:$AJ$4,0))))+SUMPRODUCT((Inputs!$C$5:$C$130=$B4)*ISNUMBER(INDEX(Inputs!$K$5:$AJ$130,0,MATCH(AE$2,Inputs!$K$4:$AJ$4,0))))+SUMPRODUCT((Inputs!$E$5:$E$130=$B4)*ISNUMBER(INDEX(Inputs!$K$5:$AJ$130,0,MATCH(AE$2,Inputs!$K$4:$AJ$4,0))))=0,NA(),SUMPRODUCT((Inputs!$A$5:$A$130=$B4)*Inputs!$B$5:$B$130*(((Inputs!$G$5:$G$130="moeda")+(Inputs!$G$5:$G$130="acoes"))*Inputs!$B$1+((Inputs!$G$5:$G$130&lt;&gt;"moeda")*(Inputs!$G$5:$G$130&lt;&gt;"acoes")))*INDEX(Inputs!$K$5:$AJ$130,0,MATCH(AE$2,Inputs!$K$4:$AJ$4,0)))+SUMPRODUCT((Inputs!$C$5:$C$130=$B4)*Inputs!$D$5:$D$130*(((Inputs!$G$5:$G$130="moeda")+(Inputs!$G$5:$G$130="acoes"))*Inputs!$B$1+((Inputs!$G$5:$G$130&lt;&gt;"moeda")*(Inputs!$G$5:$G$130&lt;&gt;"acoes")))*INDEX(Inputs!$K$5:$AJ$130,0,MATCH(AE$2,Inputs!$K$4:$AJ$4,0)))+SUMPRODUCT((Inputs!$E$5:$E$130=$B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" s="6" t="e">
        <f>IF(ISNA(MATCH(AF$2,Inputs!$K$4:$AJ$4,0)),NA(),IF(SUMPRODUCT((Inputs!$A$5:$A$130=$B4)*ISNUMBER(INDEX(Inputs!$K$5:$AJ$130,0,MATCH(AF$2,Inputs!$K$4:$AJ$4,0))))+SUMPRODUCT((Inputs!$C$5:$C$130=$B4)*ISNUMBER(INDEX(Inputs!$K$5:$AJ$130,0,MATCH(AF$2,Inputs!$K$4:$AJ$4,0))))+SUMPRODUCT((Inputs!$E$5:$E$130=$B4)*ISNUMBER(INDEX(Inputs!$K$5:$AJ$130,0,MATCH(AF$2,Inputs!$K$4:$AJ$4,0))))=0,NA(),SUMPRODUCT((Inputs!$A$5:$A$130=$B4)*Inputs!$B$5:$B$130*(((Inputs!$G$5:$G$130="moeda")+(Inputs!$G$5:$G$130="acoes"))*Inputs!$B$1+((Inputs!$G$5:$G$130&lt;&gt;"moeda")*(Inputs!$G$5:$G$130&lt;&gt;"acoes")))*INDEX(Inputs!$K$5:$AJ$130,0,MATCH(AF$2,Inputs!$K$4:$AJ$4,0)))+SUMPRODUCT((Inputs!$C$5:$C$130=$B4)*Inputs!$D$5:$D$130*(((Inputs!$G$5:$G$130="moeda")+(Inputs!$G$5:$G$130="acoes"))*Inputs!$B$1+((Inputs!$G$5:$G$130&lt;&gt;"moeda")*(Inputs!$G$5:$G$130&lt;&gt;"acoes")))*INDEX(Inputs!$K$5:$AJ$130,0,MATCH(AF$2,Inputs!$K$4:$AJ$4,0)))+SUMPRODUCT((Inputs!$E$5:$E$130=$B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" s="3" t="e">
        <f>SUM(AC4:AF4)</f>
        <v>#N/A</v>
      </c>
      <c r="AH4" s="6">
        <f>IF(ISNA(MATCH(AH$2,Inputs!$K$4:$AJ$4,0)),NA(),IF(SUMPRODUCT((Inputs!$A$5:$A$130=$B4)*ISNUMBER(INDEX(Inputs!$K$5:$AJ$130,0,MATCH(AH$2,Inputs!$K$4:$AJ$4,0))))+SUMPRODUCT((Inputs!$C$5:$C$130=$B4)*ISNUMBER(INDEX(Inputs!$K$5:$AJ$130,0,MATCH(AH$2,Inputs!$K$4:$AJ$4,0))))+SUMPRODUCT((Inputs!$E$5:$E$130=$B4)*ISNUMBER(INDEX(Inputs!$K$5:$AJ$130,0,MATCH(AH$2,Inputs!$K$4:$AJ$4,0))))=0,NA(),SUMPRODUCT((Inputs!$A$5:$A$130=$B4)*Inputs!$B$5:$B$130*(((Inputs!$G$5:$G$130="moeda")+(Inputs!$G$5:$G$130="acoes"))*Inputs!$B$1+((Inputs!$G$5:$G$130&lt;&gt;"moeda")*(Inputs!$G$5:$G$130&lt;&gt;"acoes")))*INDEX(Inputs!$K$5:$AJ$130,0,MATCH(AH$2,Inputs!$K$4:$AJ$4,0)))+SUMPRODUCT((Inputs!$C$5:$C$130=$B4)*Inputs!$D$5:$D$130*(((Inputs!$G$5:$G$130="moeda")+(Inputs!$G$5:$G$130="acoes"))*Inputs!$B$1+((Inputs!$G$5:$G$130&lt;&gt;"moeda")*(Inputs!$G$5:$G$130&lt;&gt;"acoes")))*INDEX(Inputs!$K$5:$AJ$130,0,MATCH(AH$2,Inputs!$K$4:$AJ$4,0)))+SUMPRODUCT((Inputs!$E$5:$E$130=$B4)*Inputs!$F$5:$F$130*(((Inputs!$G$5:$G$130="moeda")+(Inputs!$G$5:$G$130="acoes"))*Inputs!$B$1+((Inputs!$G$5:$G$130&lt;&gt;"moeda")*(Inputs!$G$5:$G$130&lt;&gt;"acoes")))*INDEX(Inputs!$K$5:$AJ$130,0,MATCH(AH$2,Inputs!$K$4:$AJ$4,0)))))</f>
        <v>3080</v>
      </c>
      <c r="AI4" s="6">
        <f>IF(ISNA(MATCH(AI$2,Inputs!$K$4:$AJ$4,0)),NA(),IF(SUMPRODUCT((Inputs!$A$5:$A$130=$B4)*ISNUMBER(INDEX(Inputs!$K$5:$AJ$130,0,MATCH(AI$2,Inputs!$K$4:$AJ$4,0))))+SUMPRODUCT((Inputs!$C$5:$C$130=$B4)*ISNUMBER(INDEX(Inputs!$K$5:$AJ$130,0,MATCH(AI$2,Inputs!$K$4:$AJ$4,0))))+SUMPRODUCT((Inputs!$E$5:$E$130=$B4)*ISNUMBER(INDEX(Inputs!$K$5:$AJ$130,0,MATCH(AI$2,Inputs!$K$4:$AJ$4,0))))=0,NA(),SUMPRODUCT((Inputs!$A$5:$A$130=$B4)*Inputs!$B$5:$B$130*(((Inputs!$G$5:$G$130="moeda")+(Inputs!$G$5:$G$130="acoes"))*Inputs!$B$1+((Inputs!$G$5:$G$130&lt;&gt;"moeda")*(Inputs!$G$5:$G$130&lt;&gt;"acoes")))*INDEX(Inputs!$K$5:$AJ$130,0,MATCH(AI$2,Inputs!$K$4:$AJ$4,0)))+SUMPRODUCT((Inputs!$C$5:$C$130=$B4)*Inputs!$D$5:$D$130*(((Inputs!$G$5:$G$130="moeda")+(Inputs!$G$5:$G$130="acoes"))*Inputs!$B$1+((Inputs!$G$5:$G$130&lt;&gt;"moeda")*(Inputs!$G$5:$G$130&lt;&gt;"acoes")))*INDEX(Inputs!$K$5:$AJ$130,0,MATCH(AI$2,Inputs!$K$4:$AJ$4,0)))+SUMPRODUCT((Inputs!$E$5:$E$130=$B4)*Inputs!$F$5:$F$130*(((Inputs!$G$5:$G$130="moeda")+(Inputs!$G$5:$G$130="acoes"))*Inputs!$B$1+((Inputs!$G$5:$G$130&lt;&gt;"moeda")*(Inputs!$G$5:$G$130&lt;&gt;"acoes")))*INDEX(Inputs!$K$5:$AJ$130,0,MATCH(AI$2,Inputs!$K$4:$AJ$4,0)))))</f>
        <v>3866</v>
      </c>
      <c r="AJ4" s="6">
        <f>IF(ISNA(MATCH(AJ$2,Inputs!$K$4:$AJ$4,0)),NA(),IF(SUMPRODUCT((Inputs!$A$5:$A$130=$B4)*ISNUMBER(INDEX(Inputs!$K$5:$AJ$130,0,MATCH(AJ$2,Inputs!$K$4:$AJ$4,0))))+SUMPRODUCT((Inputs!$C$5:$C$130=$B4)*ISNUMBER(INDEX(Inputs!$K$5:$AJ$130,0,MATCH(AJ$2,Inputs!$K$4:$AJ$4,0))))+SUMPRODUCT((Inputs!$E$5:$E$130=$B4)*ISNUMBER(INDEX(Inputs!$K$5:$AJ$130,0,MATCH(AJ$2,Inputs!$K$4:$AJ$4,0))))=0,NA(),SUMPRODUCT((Inputs!$A$5:$A$130=$B4)*Inputs!$B$5:$B$130*(((Inputs!$G$5:$G$130="moeda")+(Inputs!$G$5:$G$130="acoes"))*Inputs!$B$1+((Inputs!$G$5:$G$130&lt;&gt;"moeda")*(Inputs!$G$5:$G$130&lt;&gt;"acoes")))*INDEX(Inputs!$K$5:$AJ$130,0,MATCH(AJ$2,Inputs!$K$4:$AJ$4,0)))+SUMPRODUCT((Inputs!$C$5:$C$130=$B4)*Inputs!$D$5:$D$130*(((Inputs!$G$5:$G$130="moeda")+(Inputs!$G$5:$G$130="acoes"))*Inputs!$B$1+((Inputs!$G$5:$G$130&lt;&gt;"moeda")*(Inputs!$G$5:$G$130&lt;&gt;"acoes")))*INDEX(Inputs!$K$5:$AJ$130,0,MATCH(AJ$2,Inputs!$K$4:$AJ$4,0)))+SUMPRODUCT((Inputs!$E$5:$E$130=$B4)*Inputs!$F$5:$F$130*(((Inputs!$G$5:$G$130="moeda")+(Inputs!$G$5:$G$130="acoes"))*Inputs!$B$1+((Inputs!$G$5:$G$130&lt;&gt;"moeda")*(Inputs!$G$5:$G$130&lt;&gt;"acoes")))*INDEX(Inputs!$K$5:$AJ$130,0,MATCH(AJ$2,Inputs!$K$4:$AJ$4,0)))))</f>
        <v>4726</v>
      </c>
      <c r="AK4" s="6">
        <f>IF(ISNA(MATCH(AK$2,Inputs!$K$4:$AJ$4,0)),NA(),IF(SUMPRODUCT((Inputs!$A$5:$A$130=$B4)*ISNUMBER(INDEX(Inputs!$K$5:$AJ$130,0,MATCH(AK$2,Inputs!$K$4:$AJ$4,0))))+SUMPRODUCT((Inputs!$C$5:$C$130=$B4)*ISNUMBER(INDEX(Inputs!$K$5:$AJ$130,0,MATCH(AK$2,Inputs!$K$4:$AJ$4,0))))+SUMPRODUCT((Inputs!$E$5:$E$130=$B4)*ISNUMBER(INDEX(Inputs!$K$5:$AJ$130,0,MATCH(AK$2,Inputs!$K$4:$AJ$4,0))))=0,NA(),SUMPRODUCT((Inputs!$A$5:$A$130=$B4)*Inputs!$B$5:$B$130*(((Inputs!$G$5:$G$130="moeda")+(Inputs!$G$5:$G$130="acoes"))*Inputs!$B$1+((Inputs!$G$5:$G$130&lt;&gt;"moeda")*(Inputs!$G$5:$G$130&lt;&gt;"acoes")))*INDEX(Inputs!$K$5:$AJ$130,0,MATCH(AK$2,Inputs!$K$4:$AJ$4,0)))+SUMPRODUCT((Inputs!$C$5:$C$130=$B4)*Inputs!$D$5:$D$130*(((Inputs!$G$5:$G$130="moeda")+(Inputs!$G$5:$G$130="acoes"))*Inputs!$B$1+((Inputs!$G$5:$G$130&lt;&gt;"moeda")*(Inputs!$G$5:$G$130&lt;&gt;"acoes")))*INDEX(Inputs!$K$5:$AJ$130,0,MATCH(AK$2,Inputs!$K$4:$AJ$4,0)))+SUMPRODUCT((Inputs!$E$5:$E$130=$B4)*Inputs!$F$5:$F$130*(((Inputs!$G$5:$G$130="moeda")+(Inputs!$G$5:$G$130="acoes"))*Inputs!$B$1+((Inputs!$G$5:$G$130&lt;&gt;"moeda")*(Inputs!$G$5:$G$130&lt;&gt;"acoes")))*INDEX(Inputs!$K$5:$AJ$130,0,MATCH(AK$2,Inputs!$K$4:$AJ$4,0)))))</f>
        <v>5003</v>
      </c>
      <c r="AL4" s="3">
        <f>SUM(AH4:AK4)</f>
        <v>16675</v>
      </c>
    </row>
    <row r="5">
      <c r="B5" s="46" t="n">
        <v>2</v>
      </c>
      <c r="C5" s="24" t="inlineStr">
        <is>
          <t>COGS (cash)</t>
        </is>
      </c>
      <c r="D5" s="6">
        <f>IF(ISNA(MATCH(D$2,Inputs!$K$4:$AJ$4,0)),NA(),IF(SUMPRODUCT((Inputs!$A$5:$A$130=$B5)*ISNUMBER(INDEX(Inputs!$K$5:$AJ$130,0,MATCH(D$2,Inputs!$K$4:$AJ$4,0))))+SUMPRODUCT((Inputs!$C$5:$C$130=$B5)*ISNUMBER(INDEX(Inputs!$K$5:$AJ$130,0,MATCH(D$2,Inputs!$K$4:$AJ$4,0))))+SUMPRODUCT((Inputs!$E$5:$E$130=$B5)*ISNUMBER(INDEX(Inputs!$K$5:$AJ$130,0,MATCH(D$2,Inputs!$K$4:$AJ$4,0))))=0,NA(),SUMPRODUCT((Inputs!$A$5:$A$130=$B5)*Inputs!$B$5:$B$130*(((Inputs!$G$5:$G$130="moeda")+(Inputs!$G$5:$G$130="acoes"))*Inputs!$B$1+((Inputs!$G$5:$G$130&lt;&gt;"moeda")*(Inputs!$G$5:$G$130&lt;&gt;"acoes")))*INDEX(Inputs!$K$5:$AJ$130,0,MATCH(D$2,Inputs!$K$4:$AJ$4,0)))+SUMPRODUCT((Inputs!$C$5:$C$130=$B5)*Inputs!$D$5:$D$130*(((Inputs!$G$5:$G$130="moeda")+(Inputs!$G$5:$G$130="acoes"))*Inputs!$B$1+((Inputs!$G$5:$G$130&lt;&gt;"moeda")*(Inputs!$G$5:$G$130&lt;&gt;"acoes")))*INDEX(Inputs!$K$5:$AJ$130,0,MATCH(D$2,Inputs!$K$4:$AJ$4,0)))+SUMPRODUCT((Inputs!$E$5:$E$130=$B5)*Inputs!$F$5:$F$130*(((Inputs!$G$5:$G$130="moeda")+(Inputs!$G$5:$G$130="acoes"))*Inputs!$B$1+((Inputs!$G$5:$G$130&lt;&gt;"moeda")*(Inputs!$G$5:$G$130&lt;&gt;"acoes")))*INDEX(Inputs!$K$5:$AJ$130,0,MATCH(D$2,Inputs!$K$4:$AJ$4,0)))))</f>
        <v>-2032</v>
      </c>
      <c r="E5" s="6">
        <f>IF(ISNA(MATCH(E$2,Inputs!$K$4:$AJ$4,0)),NA(),IF(SUMPRODUCT((Inputs!$A$5:$A$130=$B5)*ISNUMBER(INDEX(Inputs!$K$5:$AJ$130,0,MATCH(E$2,Inputs!$K$4:$AJ$4,0))))+SUMPRODUCT((Inputs!$C$5:$C$130=$B5)*ISNUMBER(INDEX(Inputs!$K$5:$AJ$130,0,MATCH(E$2,Inputs!$K$4:$AJ$4,0))))+SUMPRODUCT((Inputs!$E$5:$E$130=$B5)*ISNUMBER(INDEX(Inputs!$K$5:$AJ$130,0,MATCH(E$2,Inputs!$K$4:$AJ$4,0))))=0,NA(),SUMPRODUCT((Inputs!$A$5:$A$130=$B5)*Inputs!$B$5:$B$130*(((Inputs!$G$5:$G$130="moeda")+(Inputs!$G$5:$G$130="acoes"))*Inputs!$B$1+((Inputs!$G$5:$G$130&lt;&gt;"moeda")*(Inputs!$G$5:$G$130&lt;&gt;"acoes")))*INDEX(Inputs!$K$5:$AJ$130,0,MATCH(E$2,Inputs!$K$4:$AJ$4,0)))+SUMPRODUCT((Inputs!$C$5:$C$130=$B5)*Inputs!$D$5:$D$130*(((Inputs!$G$5:$G$130="moeda")+(Inputs!$G$5:$G$130="acoes"))*Inputs!$B$1+((Inputs!$G$5:$G$130&lt;&gt;"moeda")*(Inputs!$G$5:$G$130&lt;&gt;"acoes")))*INDEX(Inputs!$K$5:$AJ$130,0,MATCH(E$2,Inputs!$K$4:$AJ$4,0)))+SUMPRODUCT((Inputs!$E$5:$E$130=$B5)*Inputs!$F$5:$F$130*(((Inputs!$G$5:$G$130="moeda")+(Inputs!$G$5:$G$130="acoes"))*Inputs!$B$1+((Inputs!$G$5:$G$130&lt;&gt;"moeda")*(Inputs!$G$5:$G$130&lt;&gt;"acoes")))*INDEX(Inputs!$K$5:$AJ$130,0,MATCH(E$2,Inputs!$K$4:$AJ$4,0)))))</f>
        <v>-2292</v>
      </c>
      <c r="F5" s="6">
        <f>IF(ISNA(MATCH(F$2,Inputs!$K$4:$AJ$4,0)),NA(),IF(SUMPRODUCT((Inputs!$A$5:$A$130=$B5)*ISNUMBER(INDEX(Inputs!$K$5:$AJ$130,0,MATCH(F$2,Inputs!$K$4:$AJ$4,0))))+SUMPRODUCT((Inputs!$C$5:$C$130=$B5)*ISNUMBER(INDEX(Inputs!$K$5:$AJ$130,0,MATCH(F$2,Inputs!$K$4:$AJ$4,0))))+SUMPRODUCT((Inputs!$E$5:$E$130=$B5)*ISNUMBER(INDEX(Inputs!$K$5:$AJ$130,0,MATCH(F$2,Inputs!$K$4:$AJ$4,0))))=0,NA(),SUMPRODUCT((Inputs!$A$5:$A$130=$B5)*Inputs!$B$5:$B$130*(((Inputs!$G$5:$G$130="moeda")+(Inputs!$G$5:$G$130="acoes"))*Inputs!$B$1+((Inputs!$G$5:$G$130&lt;&gt;"moeda")*(Inputs!$G$5:$G$130&lt;&gt;"acoes")))*INDEX(Inputs!$K$5:$AJ$130,0,MATCH(F$2,Inputs!$K$4:$AJ$4,0)))+SUMPRODUCT((Inputs!$C$5:$C$130=$B5)*Inputs!$D$5:$D$130*(((Inputs!$G$5:$G$130="moeda")+(Inputs!$G$5:$G$130="acoes"))*Inputs!$B$1+((Inputs!$G$5:$G$130&lt;&gt;"moeda")*(Inputs!$G$5:$G$130&lt;&gt;"acoes")))*INDEX(Inputs!$K$5:$AJ$130,0,MATCH(F$2,Inputs!$K$4:$AJ$4,0)))+SUMPRODUCT((Inputs!$E$5:$E$130=$B5)*Inputs!$F$5:$F$130*(((Inputs!$G$5:$G$130="moeda")+(Inputs!$G$5:$G$130="acoes"))*Inputs!$B$1+((Inputs!$G$5:$G$130&lt;&gt;"moeda")*(Inputs!$G$5:$G$130&lt;&gt;"acoes")))*INDEX(Inputs!$K$5:$AJ$130,0,MATCH(F$2,Inputs!$K$4:$AJ$4,0)))))</f>
        <v>-2472</v>
      </c>
      <c r="G5" s="6">
        <f>IF(ISNA(MATCH(G$2,Inputs!$K$4:$AJ$4,0)),NA(),IF(SUMPRODUCT((Inputs!$A$5:$A$130=$B5)*ISNUMBER(INDEX(Inputs!$K$5:$AJ$130,0,MATCH(G$2,Inputs!$K$4:$AJ$4,0))))+SUMPRODUCT((Inputs!$C$5:$C$130=$B5)*ISNUMBER(INDEX(Inputs!$K$5:$AJ$130,0,MATCH(G$2,Inputs!$K$4:$AJ$4,0))))+SUMPRODUCT((Inputs!$E$5:$E$130=$B5)*ISNUMBER(INDEX(Inputs!$K$5:$AJ$130,0,MATCH(G$2,Inputs!$K$4:$AJ$4,0))))=0,NA(),SUMPRODUCT((Inputs!$A$5:$A$130=$B5)*Inputs!$B$5:$B$130*(((Inputs!$G$5:$G$130="moeda")+(Inputs!$G$5:$G$130="acoes"))*Inputs!$B$1+((Inputs!$G$5:$G$130&lt;&gt;"moeda")*(Inputs!$G$5:$G$130&lt;&gt;"acoes")))*INDEX(Inputs!$K$5:$AJ$130,0,MATCH(G$2,Inputs!$K$4:$AJ$4,0)))+SUMPRODUCT((Inputs!$C$5:$C$130=$B5)*Inputs!$D$5:$D$130*(((Inputs!$G$5:$G$130="moeda")+(Inputs!$G$5:$G$130="acoes"))*Inputs!$B$1+((Inputs!$G$5:$G$130&lt;&gt;"moeda")*(Inputs!$G$5:$G$130&lt;&gt;"acoes")))*INDEX(Inputs!$K$5:$AJ$130,0,MATCH(G$2,Inputs!$K$4:$AJ$4,0)))+SUMPRODUCT((Inputs!$E$5:$E$130=$B5)*Inputs!$F$5:$F$130*(((Inputs!$G$5:$G$130="moeda")+(Inputs!$G$5:$G$130="acoes"))*Inputs!$B$1+((Inputs!$G$5:$G$130&lt;&gt;"moeda")*(Inputs!$G$5:$G$130&lt;&gt;"acoes")))*INDEX(Inputs!$K$5:$AJ$130,0,MATCH(G$2,Inputs!$K$4:$AJ$4,0)))))</f>
        <v>-2643</v>
      </c>
      <c r="H5" s="3">
        <f>SUM(D5:G5)</f>
        <v>-9439</v>
      </c>
      <c r="I5" s="6">
        <f>IF(ISNA(MATCH(I$2,Inputs!$K$4:$AJ$4,0)),NA(),IF(SUMPRODUCT((Inputs!$A$5:$A$130=$B5)*ISNUMBER(INDEX(Inputs!$K$5:$AJ$130,0,MATCH(I$2,Inputs!$K$4:$AJ$4,0))))+SUMPRODUCT((Inputs!$C$5:$C$130=$B5)*ISNUMBER(INDEX(Inputs!$K$5:$AJ$130,0,MATCH(I$2,Inputs!$K$4:$AJ$4,0))))+SUMPRODUCT((Inputs!$E$5:$E$130=$B5)*ISNUMBER(INDEX(Inputs!$K$5:$AJ$130,0,MATCH(I$2,Inputs!$K$4:$AJ$4,0))))=0,NA(),SUMPRODUCT((Inputs!$A$5:$A$130=$B5)*Inputs!$B$5:$B$130*(((Inputs!$G$5:$G$130="moeda")+(Inputs!$G$5:$G$130="acoes"))*Inputs!$B$1+((Inputs!$G$5:$G$130&lt;&gt;"moeda")*(Inputs!$G$5:$G$130&lt;&gt;"acoes")))*INDEX(Inputs!$K$5:$AJ$130,0,MATCH(I$2,Inputs!$K$4:$AJ$4,0)))+SUMPRODUCT((Inputs!$C$5:$C$130=$B5)*Inputs!$D$5:$D$130*(((Inputs!$G$5:$G$130="moeda")+(Inputs!$G$5:$G$130="acoes"))*Inputs!$B$1+((Inputs!$G$5:$G$130&lt;&gt;"moeda")*(Inputs!$G$5:$G$130&lt;&gt;"acoes")))*INDEX(Inputs!$K$5:$AJ$130,0,MATCH(I$2,Inputs!$K$4:$AJ$4,0)))+SUMPRODUCT((Inputs!$E$5:$E$130=$B5)*Inputs!$F$5:$F$130*(((Inputs!$G$5:$G$130="moeda")+(Inputs!$G$5:$G$130="acoes"))*Inputs!$B$1+((Inputs!$G$5:$G$130&lt;&gt;"moeda")*(Inputs!$G$5:$G$130&lt;&gt;"acoes")))*INDEX(Inputs!$K$5:$AJ$130,0,MATCH(I$2,Inputs!$K$4:$AJ$4,0)))))</f>
        <v>-2857</v>
      </c>
      <c r="J5" s="6">
        <f>IF(ISNA(MATCH(J$2,Inputs!$K$4:$AJ$4,0)),NA(),IF(SUMPRODUCT((Inputs!$A$5:$A$130=$B5)*ISNUMBER(INDEX(Inputs!$K$5:$AJ$130,0,MATCH(J$2,Inputs!$K$4:$AJ$4,0))))+SUMPRODUCT((Inputs!$C$5:$C$130=$B5)*ISNUMBER(INDEX(Inputs!$K$5:$AJ$130,0,MATCH(J$2,Inputs!$K$4:$AJ$4,0))))+SUMPRODUCT((Inputs!$E$5:$E$130=$B5)*ISNUMBER(INDEX(Inputs!$K$5:$AJ$130,0,MATCH(J$2,Inputs!$K$4:$AJ$4,0))))=0,NA(),SUMPRODUCT((Inputs!$A$5:$A$130=$B5)*Inputs!$B$5:$B$130*(((Inputs!$G$5:$G$130="moeda")+(Inputs!$G$5:$G$130="acoes"))*Inputs!$B$1+((Inputs!$G$5:$G$130&lt;&gt;"moeda")*(Inputs!$G$5:$G$130&lt;&gt;"acoes")))*INDEX(Inputs!$K$5:$AJ$130,0,MATCH(J$2,Inputs!$K$4:$AJ$4,0)))+SUMPRODUCT((Inputs!$C$5:$C$130=$B5)*Inputs!$D$5:$D$130*(((Inputs!$G$5:$G$130="moeda")+(Inputs!$G$5:$G$130="acoes"))*Inputs!$B$1+((Inputs!$G$5:$G$130&lt;&gt;"moeda")*(Inputs!$G$5:$G$130&lt;&gt;"acoes")))*INDEX(Inputs!$K$5:$AJ$130,0,MATCH(J$2,Inputs!$K$4:$AJ$4,0)))+SUMPRODUCT((Inputs!$E$5:$E$130=$B5)*Inputs!$F$5:$F$130*(((Inputs!$G$5:$G$130="moeda")+(Inputs!$G$5:$G$130="acoes"))*Inputs!$B$1+((Inputs!$G$5:$G$130&lt;&gt;"moeda")*(Inputs!$G$5:$G$130&lt;&gt;"acoes")))*INDEX(Inputs!$K$5:$AJ$130,0,MATCH(J$2,Inputs!$K$4:$AJ$4,0)))))</f>
        <v>-3789</v>
      </c>
      <c r="K5" s="6">
        <f>IF(ISNA(MATCH(K$2,Inputs!$K$4:$AJ$4,0)),NA(),IF(SUMPRODUCT((Inputs!$A$5:$A$130=$B5)*ISNUMBER(INDEX(Inputs!$K$5:$AJ$130,0,MATCH(K$2,Inputs!$K$4:$AJ$4,0))))+SUMPRODUCT((Inputs!$C$5:$C$130=$B5)*ISNUMBER(INDEX(Inputs!$K$5:$AJ$130,0,MATCH(K$2,Inputs!$K$4:$AJ$4,0))))+SUMPRODUCT((Inputs!$E$5:$E$130=$B5)*ISNUMBER(INDEX(Inputs!$K$5:$AJ$130,0,MATCH(K$2,Inputs!$K$4:$AJ$4,0))))=0,NA(),SUMPRODUCT((Inputs!$A$5:$A$130=$B5)*Inputs!$B$5:$B$130*(((Inputs!$G$5:$G$130="moeda")+(Inputs!$G$5:$G$130="acoes"))*Inputs!$B$1+((Inputs!$G$5:$G$130&lt;&gt;"moeda")*(Inputs!$G$5:$G$130&lt;&gt;"acoes")))*INDEX(Inputs!$K$5:$AJ$130,0,MATCH(K$2,Inputs!$K$4:$AJ$4,0)))+SUMPRODUCT((Inputs!$C$5:$C$130=$B5)*Inputs!$D$5:$D$130*(((Inputs!$G$5:$G$130="moeda")+(Inputs!$G$5:$G$130="acoes"))*Inputs!$B$1+((Inputs!$G$5:$G$130&lt;&gt;"moeda")*(Inputs!$G$5:$G$130&lt;&gt;"acoes")))*INDEX(Inputs!$K$5:$AJ$130,0,MATCH(K$2,Inputs!$K$4:$AJ$4,0)))+SUMPRODUCT((Inputs!$E$5:$E$130=$B5)*Inputs!$F$5:$F$130*(((Inputs!$G$5:$G$130="moeda")+(Inputs!$G$5:$G$130="acoes"))*Inputs!$B$1+((Inputs!$G$5:$G$130&lt;&gt;"moeda")*(Inputs!$G$5:$G$130&lt;&gt;"acoes")))*INDEX(Inputs!$K$5:$AJ$130,0,MATCH(K$2,Inputs!$K$4:$AJ$4,0)))))</f>
        <v>-2754</v>
      </c>
      <c r="L5" s="6">
        <f>IF(ISNA(MATCH(L$2,Inputs!$K$4:$AJ$4,0)),NA(),IF(SUMPRODUCT((Inputs!$A$5:$A$130=$B5)*ISNUMBER(INDEX(Inputs!$K$5:$AJ$130,0,MATCH(L$2,Inputs!$K$4:$AJ$4,0))))+SUMPRODUCT((Inputs!$C$5:$C$130=$B5)*ISNUMBER(INDEX(Inputs!$K$5:$AJ$130,0,MATCH(L$2,Inputs!$K$4:$AJ$4,0))))+SUMPRODUCT((Inputs!$E$5:$E$130=$B5)*ISNUMBER(INDEX(Inputs!$K$5:$AJ$130,0,MATCH(L$2,Inputs!$K$4:$AJ$4,0))))=0,NA(),SUMPRODUCT((Inputs!$A$5:$A$130=$B5)*Inputs!$B$5:$B$130*(((Inputs!$G$5:$G$130="moeda")+(Inputs!$G$5:$G$130="acoes"))*Inputs!$B$1+((Inputs!$G$5:$G$130&lt;&gt;"moeda")*(Inputs!$G$5:$G$130&lt;&gt;"acoes")))*INDEX(Inputs!$K$5:$AJ$130,0,MATCH(L$2,Inputs!$K$4:$AJ$4,0)))+SUMPRODUCT((Inputs!$C$5:$C$130=$B5)*Inputs!$D$5:$D$130*(((Inputs!$G$5:$G$130="moeda")+(Inputs!$G$5:$G$130="acoes"))*Inputs!$B$1+((Inputs!$G$5:$G$130&lt;&gt;"moeda")*(Inputs!$G$5:$G$130&lt;&gt;"acoes")))*INDEX(Inputs!$K$5:$AJ$130,0,MATCH(L$2,Inputs!$K$4:$AJ$4,0)))+SUMPRODUCT((Inputs!$E$5:$E$130=$B5)*Inputs!$F$5:$F$130*(((Inputs!$G$5:$G$130="moeda")+(Inputs!$G$5:$G$130="acoes"))*Inputs!$B$1+((Inputs!$G$5:$G$130&lt;&gt;"moeda")*(Inputs!$G$5:$G$130&lt;&gt;"acoes")))*INDEX(Inputs!$K$5:$AJ$130,0,MATCH(L$2,Inputs!$K$4:$AJ$4,0)))))</f>
        <v>-2218</v>
      </c>
      <c r="M5" s="3">
        <f>SUM(I5:L5)</f>
        <v>-11618</v>
      </c>
      <c r="N5" s="6">
        <f>IF(ISNA(MATCH(N$2,Inputs!$K$4:$AJ$4,0)),NA(),IF(SUMPRODUCT((Inputs!$A$5:$A$130=$B5)*ISNUMBER(INDEX(Inputs!$K$5:$AJ$130,0,MATCH(N$2,Inputs!$K$4:$AJ$4,0))))+SUMPRODUCT((Inputs!$C$5:$C$130=$B5)*ISNUMBER(INDEX(Inputs!$K$5:$AJ$130,0,MATCH(N$2,Inputs!$K$4:$AJ$4,0))))+SUMPRODUCT((Inputs!$E$5:$E$130=$B5)*ISNUMBER(INDEX(Inputs!$K$5:$AJ$130,0,MATCH(N$2,Inputs!$K$4:$AJ$4,0))))=0,NA(),SUMPRODUCT((Inputs!$A$5:$A$130=$B5)*Inputs!$B$5:$B$130*(((Inputs!$G$5:$G$130="moeda")+(Inputs!$G$5:$G$130="acoes"))*Inputs!$B$1+((Inputs!$G$5:$G$130&lt;&gt;"moeda")*(Inputs!$G$5:$G$130&lt;&gt;"acoes")))*INDEX(Inputs!$K$5:$AJ$130,0,MATCH(N$2,Inputs!$K$4:$AJ$4,0)))+SUMPRODUCT((Inputs!$C$5:$C$130=$B5)*Inputs!$D$5:$D$130*(((Inputs!$G$5:$G$130="moeda")+(Inputs!$G$5:$G$130="acoes"))*Inputs!$B$1+((Inputs!$G$5:$G$130&lt;&gt;"moeda")*(Inputs!$G$5:$G$130&lt;&gt;"acoes")))*INDEX(Inputs!$K$5:$AJ$130,0,MATCH(N$2,Inputs!$K$4:$AJ$4,0)))+SUMPRODUCT((Inputs!$E$5:$E$130=$B5)*Inputs!$F$5:$F$130*(((Inputs!$G$5:$G$130="moeda")+(Inputs!$G$5:$G$130="acoes"))*Inputs!$B$1+((Inputs!$G$5:$G$130&lt;&gt;"moeda")*(Inputs!$G$5:$G$130&lt;&gt;"acoes")))*INDEX(Inputs!$K$5:$AJ$130,0,MATCH(N$2,Inputs!$K$4:$AJ$4,0)))))</f>
        <v>-2544</v>
      </c>
      <c r="O5" s="6">
        <f>IF(ISNA(MATCH(O$2,Inputs!$K$4:$AJ$4,0)),NA(),IF(SUMPRODUCT((Inputs!$A$5:$A$130=$B5)*ISNUMBER(INDEX(Inputs!$K$5:$AJ$130,0,MATCH(O$2,Inputs!$K$4:$AJ$4,0))))+SUMPRODUCT((Inputs!$C$5:$C$130=$B5)*ISNUMBER(INDEX(Inputs!$K$5:$AJ$130,0,MATCH(O$2,Inputs!$K$4:$AJ$4,0))))+SUMPRODUCT((Inputs!$E$5:$E$130=$B5)*ISNUMBER(INDEX(Inputs!$K$5:$AJ$130,0,MATCH(O$2,Inputs!$K$4:$AJ$4,0))))=0,NA(),SUMPRODUCT((Inputs!$A$5:$A$130=$B5)*Inputs!$B$5:$B$130*(((Inputs!$G$5:$G$130="moeda")+(Inputs!$G$5:$G$130="acoes"))*Inputs!$B$1+((Inputs!$G$5:$G$130&lt;&gt;"moeda")*(Inputs!$G$5:$G$130&lt;&gt;"acoes")))*INDEX(Inputs!$K$5:$AJ$130,0,MATCH(O$2,Inputs!$K$4:$AJ$4,0)))+SUMPRODUCT((Inputs!$C$5:$C$130=$B5)*Inputs!$D$5:$D$130*(((Inputs!$G$5:$G$130="moeda")+(Inputs!$G$5:$G$130="acoes"))*Inputs!$B$1+((Inputs!$G$5:$G$130&lt;&gt;"moeda")*(Inputs!$G$5:$G$130&lt;&gt;"acoes")))*INDEX(Inputs!$K$5:$AJ$130,0,MATCH(O$2,Inputs!$K$4:$AJ$4,0)))+SUMPRODUCT((Inputs!$E$5:$E$130=$B5)*Inputs!$F$5:$F$130*(((Inputs!$G$5:$G$130="moeda")+(Inputs!$G$5:$G$130="acoes"))*Inputs!$B$1+((Inputs!$G$5:$G$130&lt;&gt;"moeda")*(Inputs!$G$5:$G$130&lt;&gt;"acoes")))*INDEX(Inputs!$K$5:$AJ$130,0,MATCH(O$2,Inputs!$K$4:$AJ$4,0)))))</f>
        <v>-4045</v>
      </c>
      <c r="P5" s="6">
        <f>IF(ISNA(MATCH(P$2,Inputs!$K$4:$AJ$4,0)),NA(),IF(SUMPRODUCT((Inputs!$A$5:$A$130=$B5)*ISNUMBER(INDEX(Inputs!$K$5:$AJ$130,0,MATCH(P$2,Inputs!$K$4:$AJ$4,0))))+SUMPRODUCT((Inputs!$C$5:$C$130=$B5)*ISNUMBER(INDEX(Inputs!$K$5:$AJ$130,0,MATCH(P$2,Inputs!$K$4:$AJ$4,0))))+SUMPRODUCT((Inputs!$E$5:$E$130=$B5)*ISNUMBER(INDEX(Inputs!$K$5:$AJ$130,0,MATCH(P$2,Inputs!$K$4:$AJ$4,0))))=0,NA(),SUMPRODUCT((Inputs!$A$5:$A$130=$B5)*Inputs!$B$5:$B$130*(((Inputs!$G$5:$G$130="moeda")+(Inputs!$G$5:$G$130="acoes"))*Inputs!$B$1+((Inputs!$G$5:$G$130&lt;&gt;"moeda")*(Inputs!$G$5:$G$130&lt;&gt;"acoes")))*INDEX(Inputs!$K$5:$AJ$130,0,MATCH(P$2,Inputs!$K$4:$AJ$4,0)))+SUMPRODUCT((Inputs!$C$5:$C$130=$B5)*Inputs!$D$5:$D$130*(((Inputs!$G$5:$G$130="moeda")+(Inputs!$G$5:$G$130="acoes"))*Inputs!$B$1+((Inputs!$G$5:$G$130&lt;&gt;"moeda")*(Inputs!$G$5:$G$130&lt;&gt;"acoes")))*INDEX(Inputs!$K$5:$AJ$130,0,MATCH(P$2,Inputs!$K$4:$AJ$4,0)))+SUMPRODUCT((Inputs!$E$5:$E$130=$B5)*Inputs!$F$5:$F$130*(((Inputs!$G$5:$G$130="moeda")+(Inputs!$G$5:$G$130="acoes"))*Inputs!$B$1+((Inputs!$G$5:$G$130&lt;&gt;"moeda")*(Inputs!$G$5:$G$130&lt;&gt;"acoes")))*INDEX(Inputs!$K$5:$AJ$130,0,MATCH(P$2,Inputs!$K$4:$AJ$4,0)))))</f>
        <v>-4720</v>
      </c>
      <c r="Q5" s="6">
        <f>IF(ISNA(MATCH(Q$2,Inputs!$K$4:$AJ$4,0)),NA(),IF(SUMPRODUCT((Inputs!$A$5:$A$130=$B5)*ISNUMBER(INDEX(Inputs!$K$5:$AJ$130,0,MATCH(Q$2,Inputs!$K$4:$AJ$4,0))))+SUMPRODUCT((Inputs!$C$5:$C$130=$B5)*ISNUMBER(INDEX(Inputs!$K$5:$AJ$130,0,MATCH(Q$2,Inputs!$K$4:$AJ$4,0))))+SUMPRODUCT((Inputs!$E$5:$E$130=$B5)*ISNUMBER(INDEX(Inputs!$K$5:$AJ$130,0,MATCH(Q$2,Inputs!$K$4:$AJ$4,0))))=0,NA(),SUMPRODUCT((Inputs!$A$5:$A$130=$B5)*Inputs!$B$5:$B$130*(((Inputs!$G$5:$G$130="moeda")+(Inputs!$G$5:$G$130="acoes"))*Inputs!$B$1+((Inputs!$G$5:$G$130&lt;&gt;"moeda")*(Inputs!$G$5:$G$130&lt;&gt;"acoes")))*INDEX(Inputs!$K$5:$AJ$130,0,MATCH(Q$2,Inputs!$K$4:$AJ$4,0)))+SUMPRODUCT((Inputs!$C$5:$C$130=$B5)*Inputs!$D$5:$D$130*(((Inputs!$G$5:$G$130="moeda")+(Inputs!$G$5:$G$130="acoes"))*Inputs!$B$1+((Inputs!$G$5:$G$130&lt;&gt;"moeda")*(Inputs!$G$5:$G$130&lt;&gt;"acoes")))*INDEX(Inputs!$K$5:$AJ$130,0,MATCH(Q$2,Inputs!$K$4:$AJ$4,0)))+SUMPRODUCT((Inputs!$E$5:$E$130=$B5)*Inputs!$F$5:$F$130*(((Inputs!$G$5:$G$130="moeda")+(Inputs!$G$5:$G$130="acoes"))*Inputs!$B$1+((Inputs!$G$5:$G$130&lt;&gt;"moeda")*(Inputs!$G$5:$G$130&lt;&gt;"acoes")))*INDEX(Inputs!$K$5:$AJ$130,0,MATCH(Q$2,Inputs!$K$4:$AJ$4,0)))))</f>
        <v>-5312</v>
      </c>
      <c r="R5" s="3">
        <f>SUM(N5:Q5)</f>
        <v>-16621</v>
      </c>
      <c r="S5" s="6">
        <f>IF(ISNA(MATCH(S$2,Inputs!$K$4:$AJ$4,0)),NA(),IF(SUMPRODUCT((Inputs!$A$5:$A$130=$B5)*ISNUMBER(INDEX(Inputs!$K$5:$AJ$130,0,MATCH(S$2,Inputs!$K$4:$AJ$4,0))))+SUMPRODUCT((Inputs!$C$5:$C$130=$B5)*ISNUMBER(INDEX(Inputs!$K$5:$AJ$130,0,MATCH(S$2,Inputs!$K$4:$AJ$4,0))))+SUMPRODUCT((Inputs!$E$5:$E$130=$B5)*ISNUMBER(INDEX(Inputs!$K$5:$AJ$130,0,MATCH(S$2,Inputs!$K$4:$AJ$4,0))))=0,NA(),SUMPRODUCT((Inputs!$A$5:$A$130=$B5)*Inputs!$B$5:$B$130*(((Inputs!$G$5:$G$130="moeda")+(Inputs!$G$5:$G$130="acoes"))*Inputs!$B$1+((Inputs!$G$5:$G$130&lt;&gt;"moeda")*(Inputs!$G$5:$G$130&lt;&gt;"acoes")))*INDEX(Inputs!$K$5:$AJ$130,0,MATCH(S$2,Inputs!$K$4:$AJ$4,0)))+SUMPRODUCT((Inputs!$C$5:$C$130=$B5)*Inputs!$D$5:$D$130*(((Inputs!$G$5:$G$130="moeda")+(Inputs!$G$5:$G$130="acoes"))*Inputs!$B$1+((Inputs!$G$5:$G$130&lt;&gt;"moeda")*(Inputs!$G$5:$G$130&lt;&gt;"acoes")))*INDEX(Inputs!$K$5:$AJ$130,0,MATCH(S$2,Inputs!$K$4:$AJ$4,0)))+SUMPRODUCT((Inputs!$E$5:$E$130=$B5)*Inputs!$F$5:$F$130*(((Inputs!$G$5:$G$130="moeda")+(Inputs!$G$5:$G$130="acoes"))*Inputs!$B$1+((Inputs!$G$5:$G$130&lt;&gt;"moeda")*(Inputs!$G$5:$G$130&lt;&gt;"acoes")))*INDEX(Inputs!$K$5:$AJ$130,0,MATCH(S$2,Inputs!$K$4:$AJ$4,0)))))</f>
        <v>-5638</v>
      </c>
      <c r="T5" s="6">
        <f>IF(ISNA(MATCH(T$2,Inputs!$K$4:$AJ$4,0)),NA(),IF(SUMPRODUCT((Inputs!$A$5:$A$130=$B5)*ISNUMBER(INDEX(Inputs!$K$5:$AJ$130,0,MATCH(T$2,Inputs!$K$4:$AJ$4,0))))+SUMPRODUCT((Inputs!$C$5:$C$130=$B5)*ISNUMBER(INDEX(Inputs!$K$5:$AJ$130,0,MATCH(T$2,Inputs!$K$4:$AJ$4,0))))+SUMPRODUCT((Inputs!$E$5:$E$130=$B5)*ISNUMBER(INDEX(Inputs!$K$5:$AJ$130,0,MATCH(T$2,Inputs!$K$4:$AJ$4,0))))=0,NA(),SUMPRODUCT((Inputs!$A$5:$A$130=$B5)*Inputs!$B$5:$B$130*(((Inputs!$G$5:$G$130="moeda")+(Inputs!$G$5:$G$130="acoes"))*Inputs!$B$1+((Inputs!$G$5:$G$130&lt;&gt;"moeda")*(Inputs!$G$5:$G$130&lt;&gt;"acoes")))*INDEX(Inputs!$K$5:$AJ$130,0,MATCH(T$2,Inputs!$K$4:$AJ$4,0)))+SUMPRODUCT((Inputs!$C$5:$C$130=$B5)*Inputs!$D$5:$D$130*(((Inputs!$G$5:$G$130="moeda")+(Inputs!$G$5:$G$130="acoes"))*Inputs!$B$1+((Inputs!$G$5:$G$130&lt;&gt;"moeda")*(Inputs!$G$5:$G$130&lt;&gt;"acoes")))*INDEX(Inputs!$K$5:$AJ$130,0,MATCH(T$2,Inputs!$K$4:$AJ$4,0)))+SUMPRODUCT((Inputs!$E$5:$E$130=$B5)*Inputs!$F$5:$F$130*(((Inputs!$G$5:$G$130="moeda")+(Inputs!$G$5:$G$130="acoes"))*Inputs!$B$1+((Inputs!$G$5:$G$130&lt;&gt;"moeda")*(Inputs!$G$5:$G$130&lt;&gt;"acoes")))*INDEX(Inputs!$K$5:$AJ$130,0,MATCH(T$2,Inputs!$K$4:$AJ$4,0)))))</f>
        <v>-7466</v>
      </c>
      <c r="U5" s="6">
        <f>IF(ISNA(MATCH(U$2,Inputs!$K$4:$AJ$4,0)),NA(),IF(SUMPRODUCT((Inputs!$A$5:$A$130=$B5)*ISNUMBER(INDEX(Inputs!$K$5:$AJ$130,0,MATCH(U$2,Inputs!$K$4:$AJ$4,0))))+SUMPRODUCT((Inputs!$C$5:$C$130=$B5)*ISNUMBER(INDEX(Inputs!$K$5:$AJ$130,0,MATCH(U$2,Inputs!$K$4:$AJ$4,0))))+SUMPRODUCT((Inputs!$E$5:$E$130=$B5)*ISNUMBER(INDEX(Inputs!$K$5:$AJ$130,0,MATCH(U$2,Inputs!$K$4:$AJ$4,0))))=0,NA(),SUMPRODUCT((Inputs!$A$5:$A$130=$B5)*Inputs!$B$5:$B$130*(((Inputs!$G$5:$G$130="moeda")+(Inputs!$G$5:$G$130="acoes"))*Inputs!$B$1+((Inputs!$G$5:$G$130&lt;&gt;"moeda")*(Inputs!$G$5:$G$130&lt;&gt;"acoes")))*INDEX(Inputs!$K$5:$AJ$130,0,MATCH(U$2,Inputs!$K$4:$AJ$4,0)))+SUMPRODUCT((Inputs!$C$5:$C$130=$B5)*Inputs!$D$5:$D$130*(((Inputs!$G$5:$G$130="moeda")+(Inputs!$G$5:$G$130="acoes"))*Inputs!$B$1+((Inputs!$G$5:$G$130&lt;&gt;"moeda")*(Inputs!$G$5:$G$130&lt;&gt;"acoes")))*INDEX(Inputs!$K$5:$AJ$130,0,MATCH(U$2,Inputs!$K$4:$AJ$4,0)))+SUMPRODUCT((Inputs!$E$5:$E$130=$B5)*Inputs!$F$5:$F$130*(((Inputs!$G$5:$G$130="moeda")+(Inputs!$G$5:$G$130="acoes"))*Inputs!$B$1+((Inputs!$G$5:$G$130&lt;&gt;"moeda")*(Inputs!$G$5:$G$130&lt;&gt;"acoes")))*INDEX(Inputs!$K$5:$AJ$130,0,MATCH(U$2,Inputs!$K$4:$AJ$4,0)))))</f>
        <v>-8926</v>
      </c>
      <c r="V5" s="6">
        <f>IF(ISNA(MATCH(V$2,Inputs!$K$4:$AJ$4,0)),NA(),IF(SUMPRODUCT((Inputs!$A$5:$A$130=$B5)*ISNUMBER(INDEX(Inputs!$K$5:$AJ$130,0,MATCH(V$2,Inputs!$K$4:$AJ$4,0))))+SUMPRODUCT((Inputs!$C$5:$C$130=$B5)*ISNUMBER(INDEX(Inputs!$K$5:$AJ$130,0,MATCH(V$2,Inputs!$K$4:$AJ$4,0))))+SUMPRODUCT((Inputs!$E$5:$E$130=$B5)*ISNUMBER(INDEX(Inputs!$K$5:$AJ$130,0,MATCH(V$2,Inputs!$K$4:$AJ$4,0))))=0,NA(),SUMPRODUCT((Inputs!$A$5:$A$130=$B5)*Inputs!$B$5:$B$130*(((Inputs!$G$5:$G$130="moeda")+(Inputs!$G$5:$G$130="acoes"))*Inputs!$B$1+((Inputs!$G$5:$G$130&lt;&gt;"moeda")*(Inputs!$G$5:$G$130&lt;&gt;"acoes")))*INDEX(Inputs!$K$5:$AJ$130,0,MATCH(V$2,Inputs!$K$4:$AJ$4,0)))+SUMPRODUCT((Inputs!$C$5:$C$130=$B5)*Inputs!$D$5:$D$130*(((Inputs!$G$5:$G$130="moeda")+(Inputs!$G$5:$G$130="acoes"))*Inputs!$B$1+((Inputs!$G$5:$G$130&lt;&gt;"moeda")*(Inputs!$G$5:$G$130&lt;&gt;"acoes")))*INDEX(Inputs!$K$5:$AJ$130,0,MATCH(V$2,Inputs!$K$4:$AJ$4,0)))+SUMPRODUCT((Inputs!$E$5:$E$130=$B5)*Inputs!$F$5:$F$130*(((Inputs!$G$5:$G$130="moeda")+(Inputs!$G$5:$G$130="acoes"))*Inputs!$B$1+((Inputs!$G$5:$G$130&lt;&gt;"moeda")*(Inputs!$G$5:$G$130&lt;&gt;"acoes")))*INDEX(Inputs!$K$5:$AJ$130,0,MATCH(V$2,Inputs!$K$4:$AJ$4,0)))))</f>
        <v>-10609</v>
      </c>
      <c r="W5" s="3">
        <f>SUM(S5:V5)</f>
        <v>-32639</v>
      </c>
      <c r="X5" s="6">
        <f>IF(ISNA(MATCH(X$2,Inputs!$K$4:$AJ$4,0)),NA(),IF(SUMPRODUCT((Inputs!$A$5:$A$130=$B5)*ISNUMBER(INDEX(Inputs!$K$5:$AJ$130,0,MATCH(X$2,Inputs!$K$4:$AJ$4,0))))+SUMPRODUCT((Inputs!$C$5:$C$130=$B5)*ISNUMBER(INDEX(Inputs!$K$5:$AJ$130,0,MATCH(X$2,Inputs!$K$4:$AJ$4,0))))+SUMPRODUCT((Inputs!$E$5:$E$130=$B5)*ISNUMBER(INDEX(Inputs!$K$5:$AJ$130,0,MATCH(X$2,Inputs!$K$4:$AJ$4,0))))=0,NA(),SUMPRODUCT((Inputs!$A$5:$A$130=$B5)*Inputs!$B$5:$B$130*(((Inputs!$G$5:$G$130="moeda")+(Inputs!$G$5:$G$130="acoes"))*Inputs!$B$1+((Inputs!$G$5:$G$130&lt;&gt;"moeda")*(Inputs!$G$5:$G$130&lt;&gt;"acoes")))*INDEX(Inputs!$K$5:$AJ$130,0,MATCH(X$2,Inputs!$K$4:$AJ$4,0)))+SUMPRODUCT((Inputs!$C$5:$C$130=$B5)*Inputs!$D$5:$D$130*(((Inputs!$G$5:$G$130="moeda")+(Inputs!$G$5:$G$130="acoes"))*Inputs!$B$1+((Inputs!$G$5:$G$130&lt;&gt;"moeda")*(Inputs!$G$5:$G$130&lt;&gt;"acoes")))*INDEX(Inputs!$K$5:$AJ$130,0,MATCH(X$2,Inputs!$K$4:$AJ$4,0)))+SUMPRODUCT((Inputs!$E$5:$E$130=$B5)*Inputs!$F$5:$F$130*(((Inputs!$G$5:$G$130="moeda")+(Inputs!$G$5:$G$130="acoes"))*Inputs!$B$1+((Inputs!$G$5:$G$130&lt;&gt;"moeda")*(Inputs!$G$5:$G$130&lt;&gt;"acoes")))*INDEX(Inputs!$K$5:$AJ$130,0,MATCH(X$2,Inputs!$K$4:$AJ$4,0)))))</f>
        <v>-17394</v>
      </c>
      <c r="Y5" s="6">
        <f>IF(ISNA(MATCH(Y$2,Inputs!$K$4:$AJ$4,0)),NA(),IF(SUMPRODUCT((Inputs!$A$5:$A$130=$B5)*ISNUMBER(INDEX(Inputs!$K$5:$AJ$130,0,MATCH(Y$2,Inputs!$K$4:$AJ$4,0))))+SUMPRODUCT((Inputs!$C$5:$C$130=$B5)*ISNUMBER(INDEX(Inputs!$K$5:$AJ$130,0,MATCH(Y$2,Inputs!$K$4:$AJ$4,0))))+SUMPRODUCT((Inputs!$E$5:$E$130=$B5)*ISNUMBER(INDEX(Inputs!$K$5:$AJ$130,0,MATCH(Y$2,Inputs!$K$4:$AJ$4,0))))=0,NA(),SUMPRODUCT((Inputs!$A$5:$A$130=$B5)*Inputs!$B$5:$B$130*(((Inputs!$G$5:$G$130="moeda")+(Inputs!$G$5:$G$130="acoes"))*Inputs!$B$1+((Inputs!$G$5:$G$130&lt;&gt;"moeda")*(Inputs!$G$5:$G$130&lt;&gt;"acoes")))*INDEX(Inputs!$K$5:$AJ$130,0,MATCH(Y$2,Inputs!$K$4:$AJ$4,0)))+SUMPRODUCT((Inputs!$C$5:$C$130=$B5)*Inputs!$D$5:$D$130*(((Inputs!$G$5:$G$130="moeda")+(Inputs!$G$5:$G$130="acoes"))*Inputs!$B$1+((Inputs!$G$5:$G$130&lt;&gt;"moeda")*(Inputs!$G$5:$G$130&lt;&gt;"acoes")))*INDEX(Inputs!$K$5:$AJ$130,0,MATCH(Y$2,Inputs!$K$4:$AJ$4,0)))+SUMPRODUCT((Inputs!$E$5:$E$130=$B5)*Inputs!$F$5:$F$130*(((Inputs!$G$5:$G$130="moeda")+(Inputs!$G$5:$G$130="acoes"))*Inputs!$B$1+((Inputs!$G$5:$G$130&lt;&gt;"moeda")*(Inputs!$G$5:$G$130&lt;&gt;"acoes")))*INDEX(Inputs!$K$5:$AJ$130,0,MATCH(Y$2,Inputs!$K$4:$AJ$4,0)))))</f>
        <v>-12890</v>
      </c>
      <c r="Z5" s="6">
        <f>IF(ISNA(MATCH(Z$2,Inputs!$K$4:$AJ$4,0)),NA(),IF(SUMPRODUCT((Inputs!$A$5:$A$130=$B5)*ISNUMBER(INDEX(Inputs!$K$5:$AJ$130,0,MATCH(Z$2,Inputs!$K$4:$AJ$4,0))))+SUMPRODUCT((Inputs!$C$5:$C$130=$B5)*ISNUMBER(INDEX(Inputs!$K$5:$AJ$130,0,MATCH(Z$2,Inputs!$K$4:$AJ$4,0))))+SUMPRODUCT((Inputs!$E$5:$E$130=$B5)*ISNUMBER(INDEX(Inputs!$K$5:$AJ$130,0,MATCH(Z$2,Inputs!$K$4:$AJ$4,0))))=0,NA(),SUMPRODUCT((Inputs!$A$5:$A$130=$B5)*Inputs!$B$5:$B$130*(((Inputs!$G$5:$G$130="moeda")+(Inputs!$G$5:$G$130="acoes"))*Inputs!$B$1+((Inputs!$G$5:$G$130&lt;&gt;"moeda")*(Inputs!$G$5:$G$130&lt;&gt;"acoes")))*INDEX(Inputs!$K$5:$AJ$130,0,MATCH(Z$2,Inputs!$K$4:$AJ$4,0)))+SUMPRODUCT((Inputs!$C$5:$C$130=$B5)*Inputs!$D$5:$D$130*(((Inputs!$G$5:$G$130="moeda")+(Inputs!$G$5:$G$130="acoes"))*Inputs!$B$1+((Inputs!$G$5:$G$130&lt;&gt;"moeda")*(Inputs!$G$5:$G$130&lt;&gt;"acoes")))*INDEX(Inputs!$K$5:$AJ$130,0,MATCH(Z$2,Inputs!$K$4:$AJ$4,0)))+SUMPRODUCT((Inputs!$E$5:$E$130=$B5)*Inputs!$F$5:$F$130*(((Inputs!$G$5:$G$130="moeda")+(Inputs!$G$5:$G$130="acoes"))*Inputs!$B$1+((Inputs!$G$5:$G$130&lt;&gt;"moeda")*(Inputs!$G$5:$G$130&lt;&gt;"acoes")))*INDEX(Inputs!$K$5:$AJ$130,0,MATCH(Z$2,Inputs!$K$4:$AJ$4,0)))))</f>
        <v>-15157</v>
      </c>
      <c r="AA5" s="6">
        <f>IF(ISNA(MATCH(AA$2,Inputs!$K$4:$AJ$4,0)),NA(),IF(SUMPRODUCT((Inputs!$A$5:$A$130=$B5)*ISNUMBER(INDEX(Inputs!$K$5:$AJ$130,0,MATCH(AA$2,Inputs!$K$4:$AJ$4,0))))+SUMPRODUCT((Inputs!$C$5:$C$130=$B5)*ISNUMBER(INDEX(Inputs!$K$5:$AJ$130,0,MATCH(AA$2,Inputs!$K$4:$AJ$4,0))))+SUMPRODUCT((Inputs!$E$5:$E$130=$B5)*ISNUMBER(INDEX(Inputs!$K$5:$AJ$130,0,MATCH(AA$2,Inputs!$K$4:$AJ$4,0))))=0,NA(),SUMPRODUCT((Inputs!$A$5:$A$130=$B5)*Inputs!$B$5:$B$130*(((Inputs!$G$5:$G$130="moeda")+(Inputs!$G$5:$G$130="acoes"))*Inputs!$B$1+((Inputs!$G$5:$G$130&lt;&gt;"moeda")*(Inputs!$G$5:$G$130&lt;&gt;"acoes")))*INDEX(Inputs!$K$5:$AJ$130,0,MATCH(AA$2,Inputs!$K$4:$AJ$4,0)))+SUMPRODUCT((Inputs!$C$5:$C$130=$B5)*Inputs!$D$5:$D$130*(((Inputs!$G$5:$G$130="moeda")+(Inputs!$G$5:$G$130="acoes"))*Inputs!$B$1+((Inputs!$G$5:$G$130&lt;&gt;"moeda")*(Inputs!$G$5:$G$130&lt;&gt;"acoes")))*INDEX(Inputs!$K$5:$AJ$130,0,MATCH(AA$2,Inputs!$K$4:$AJ$4,0)))+SUMPRODUCT((Inputs!$E$5:$E$130=$B5)*Inputs!$F$5:$F$130*(((Inputs!$G$5:$G$130="moeda")+(Inputs!$G$5:$G$130="acoes"))*Inputs!$B$1+((Inputs!$G$5:$G$130&lt;&gt;"moeda")*(Inputs!$G$5:$G$130&lt;&gt;"acoes")))*INDEX(Inputs!$K$5:$AJ$130,0,MATCH(AA$2,Inputs!$K$4:$AJ$4,0)))))</f>
        <v>-17034</v>
      </c>
      <c r="AB5" s="3">
        <f>SUM(X5:AA5)</f>
        <v>-62475</v>
      </c>
      <c r="AC5" s="6">
        <f>IF(ISNA(MATCH(AC$2,Inputs!$K$4:$AJ$4,0)),NA(),IF(SUMPRODUCT((Inputs!$A$5:$A$130=$B5)*ISNUMBER(INDEX(Inputs!$K$5:$AJ$130,0,MATCH(AC$2,Inputs!$K$4:$AJ$4,0))))+SUMPRODUCT((Inputs!$C$5:$C$130=$B5)*ISNUMBER(INDEX(Inputs!$K$5:$AJ$130,0,MATCH(AC$2,Inputs!$K$4:$AJ$4,0))))+SUMPRODUCT((Inputs!$E$5:$E$130=$B5)*ISNUMBER(INDEX(Inputs!$K$5:$AJ$130,0,MATCH(AC$2,Inputs!$K$4:$AJ$4,0))))=0,NA(),SUMPRODUCT((Inputs!$A$5:$A$130=$B5)*Inputs!$B$5:$B$130*(((Inputs!$G$5:$G$130="moeda")+(Inputs!$G$5:$G$130="acoes"))*Inputs!$B$1+((Inputs!$G$5:$G$130&lt;&gt;"moeda")*(Inputs!$G$5:$G$130&lt;&gt;"acoes")))*INDEX(Inputs!$K$5:$AJ$130,0,MATCH(AC$2,Inputs!$K$4:$AJ$4,0)))+SUMPRODUCT((Inputs!$C$5:$C$130=$B5)*Inputs!$D$5:$D$130*(((Inputs!$G$5:$G$130="moeda")+(Inputs!$G$5:$G$130="acoes"))*Inputs!$B$1+((Inputs!$G$5:$G$130&lt;&gt;"moeda")*(Inputs!$G$5:$G$130&lt;&gt;"acoes")))*INDEX(Inputs!$K$5:$AJ$130,0,MATCH(AC$2,Inputs!$K$4:$AJ$4,0)))+SUMPRODUCT((Inputs!$E$5:$E$130=$B5)*Inputs!$F$5:$F$130*(((Inputs!$G$5:$G$130="moeda")+(Inputs!$G$5:$G$130="acoes"))*Inputs!$B$1+((Inputs!$G$5:$G$130&lt;&gt;"moeda")*(Inputs!$G$5:$G$130&lt;&gt;"acoes")))*INDEX(Inputs!$K$5:$AJ$130,0,MATCH(AC$2,Inputs!$K$4:$AJ$4,0)))))</f>
        <v>-20458</v>
      </c>
      <c r="AD5" s="6">
        <f>IF(ISNA(MATCH(AD$2,Inputs!$K$4:$AJ$4,0)),NA(),IF(SUMPRODUCT((Inputs!$A$5:$A$130=$B5)*ISNUMBER(INDEX(Inputs!$K$5:$AJ$130,0,MATCH(AD$2,Inputs!$K$4:$AJ$4,0))))+SUMPRODUCT((Inputs!$C$5:$C$130=$B5)*ISNUMBER(INDEX(Inputs!$K$5:$AJ$130,0,MATCH(AD$2,Inputs!$K$4:$AJ$4,0))))+SUMPRODUCT((Inputs!$E$5:$E$130=$B5)*ISNUMBER(INDEX(Inputs!$K$5:$AJ$130,0,MATCH(AD$2,Inputs!$K$4:$AJ$4,0))))=0,NA(),SUMPRODUCT((Inputs!$A$5:$A$130=$B5)*Inputs!$B$5:$B$130*(((Inputs!$G$5:$G$130="moeda")+(Inputs!$G$5:$G$130="acoes"))*Inputs!$B$1+((Inputs!$G$5:$G$130&lt;&gt;"moeda")*(Inputs!$G$5:$G$130&lt;&gt;"acoes")))*INDEX(Inputs!$K$5:$AJ$130,0,MATCH(AD$2,Inputs!$K$4:$AJ$4,0)))+SUMPRODUCT((Inputs!$C$5:$C$130=$B5)*Inputs!$D$5:$D$130*(((Inputs!$G$5:$G$130="moeda")+(Inputs!$G$5:$G$130="acoes"))*Inputs!$B$1+((Inputs!$G$5:$G$130&lt;&gt;"moeda")*(Inputs!$G$5:$G$130&lt;&gt;"acoes")))*INDEX(Inputs!$K$5:$AJ$130,0,MATCH(AD$2,Inputs!$K$4:$AJ$4,0)))+SUMPRODUCT((Inputs!$E$5:$E$130=$B5)*Inputs!$F$5:$F$130*(((Inputs!$G$5:$G$130="moeda")+(Inputs!$G$5:$G$130="acoes"))*Inputs!$B$1+((Inputs!$G$5:$G$130&lt;&gt;"moeda")*(Inputs!$G$5:$G$130&lt;&gt;"acoes")))*INDEX(Inputs!$K$5:$AJ$130,0,MATCH(AD$2,Inputs!$K$4:$AJ$4,0)))))</f>
        <v>-24079</v>
      </c>
      <c r="AE5" s="6" t="e">
        <f>IF(ISNA(MATCH(AE$2,Inputs!$K$4:$AJ$4,0)),NA(),IF(SUMPRODUCT((Inputs!$A$5:$A$130=$B5)*ISNUMBER(INDEX(Inputs!$K$5:$AJ$130,0,MATCH(AE$2,Inputs!$K$4:$AJ$4,0))))+SUMPRODUCT((Inputs!$C$5:$C$130=$B5)*ISNUMBER(INDEX(Inputs!$K$5:$AJ$130,0,MATCH(AE$2,Inputs!$K$4:$AJ$4,0))))+SUMPRODUCT((Inputs!$E$5:$E$130=$B5)*ISNUMBER(INDEX(Inputs!$K$5:$AJ$130,0,MATCH(AE$2,Inputs!$K$4:$AJ$4,0))))=0,NA(),SUMPRODUCT((Inputs!$A$5:$A$130=$B5)*Inputs!$B$5:$B$130*(((Inputs!$G$5:$G$130="moeda")+(Inputs!$G$5:$G$130="acoes"))*Inputs!$B$1+((Inputs!$G$5:$G$130&lt;&gt;"moeda")*(Inputs!$G$5:$G$130&lt;&gt;"acoes")))*INDEX(Inputs!$K$5:$AJ$130,0,MATCH(AE$2,Inputs!$K$4:$AJ$4,0)))+SUMPRODUCT((Inputs!$C$5:$C$130=$B5)*Inputs!$D$5:$D$130*(((Inputs!$G$5:$G$130="moeda")+(Inputs!$G$5:$G$130="acoes"))*Inputs!$B$1+((Inputs!$G$5:$G$130&lt;&gt;"moeda")*(Inputs!$G$5:$G$130&lt;&gt;"acoes")))*INDEX(Inputs!$K$5:$AJ$130,0,MATCH(AE$2,Inputs!$K$4:$AJ$4,0)))+SUMPRODUCT((Inputs!$E$5:$E$130=$B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" s="6" t="e">
        <f>IF(ISNA(MATCH(AF$2,Inputs!$K$4:$AJ$4,0)),NA(),IF(SUMPRODUCT((Inputs!$A$5:$A$130=$B5)*ISNUMBER(INDEX(Inputs!$K$5:$AJ$130,0,MATCH(AF$2,Inputs!$K$4:$AJ$4,0))))+SUMPRODUCT((Inputs!$C$5:$C$130=$B5)*ISNUMBER(INDEX(Inputs!$K$5:$AJ$130,0,MATCH(AF$2,Inputs!$K$4:$AJ$4,0))))+SUMPRODUCT((Inputs!$E$5:$E$130=$B5)*ISNUMBER(INDEX(Inputs!$K$5:$AJ$130,0,MATCH(AF$2,Inputs!$K$4:$AJ$4,0))))=0,NA(),SUMPRODUCT((Inputs!$A$5:$A$130=$B5)*Inputs!$B$5:$B$130*(((Inputs!$G$5:$G$130="moeda")+(Inputs!$G$5:$G$130="acoes"))*Inputs!$B$1+((Inputs!$G$5:$G$130&lt;&gt;"moeda")*(Inputs!$G$5:$G$130&lt;&gt;"acoes")))*INDEX(Inputs!$K$5:$AJ$130,0,MATCH(AF$2,Inputs!$K$4:$AJ$4,0)))+SUMPRODUCT((Inputs!$C$5:$C$130=$B5)*Inputs!$D$5:$D$130*(((Inputs!$G$5:$G$130="moeda")+(Inputs!$G$5:$G$130="acoes"))*Inputs!$B$1+((Inputs!$G$5:$G$130&lt;&gt;"moeda")*(Inputs!$G$5:$G$130&lt;&gt;"acoes")))*INDEX(Inputs!$K$5:$AJ$130,0,MATCH(AF$2,Inputs!$K$4:$AJ$4,0)))+SUMPRODUCT((Inputs!$E$5:$E$130=$B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" s="3" t="e">
        <f>SUM(AC5:AF5)</f>
        <v>#N/A</v>
      </c>
      <c r="AH5" s="6">
        <f>IF(ISNA(MATCH(AH$2,Inputs!$K$4:$AJ$4,0)),NA(),IF(SUMPRODUCT((Inputs!$A$5:$A$130=$B5)*ISNUMBER(INDEX(Inputs!$K$5:$AJ$130,0,MATCH(AH$2,Inputs!$K$4:$AJ$4,0))))+SUMPRODUCT((Inputs!$C$5:$C$130=$B5)*ISNUMBER(INDEX(Inputs!$K$5:$AJ$130,0,MATCH(AH$2,Inputs!$K$4:$AJ$4,0))))+SUMPRODUCT((Inputs!$E$5:$E$130=$B5)*ISNUMBER(INDEX(Inputs!$K$5:$AJ$130,0,MATCH(AH$2,Inputs!$K$4:$AJ$4,0))))=0,NA(),SUMPRODUCT((Inputs!$A$5:$A$130=$B5)*Inputs!$B$5:$B$130*(((Inputs!$G$5:$G$130="moeda")+(Inputs!$G$5:$G$130="acoes"))*Inputs!$B$1+((Inputs!$G$5:$G$130&lt;&gt;"moeda")*(Inputs!$G$5:$G$130&lt;&gt;"acoes")))*INDEX(Inputs!$K$5:$AJ$130,0,MATCH(AH$2,Inputs!$K$4:$AJ$4,0)))+SUMPRODUCT((Inputs!$C$5:$C$130=$B5)*Inputs!$D$5:$D$130*(((Inputs!$G$5:$G$130="moeda")+(Inputs!$G$5:$G$130="acoes"))*Inputs!$B$1+((Inputs!$G$5:$G$130&lt;&gt;"moeda")*(Inputs!$G$5:$G$130&lt;&gt;"acoes")))*INDEX(Inputs!$K$5:$AJ$130,0,MATCH(AH$2,Inputs!$K$4:$AJ$4,0)))+SUMPRODUCT((Inputs!$E$5:$E$130=$B5)*Inputs!$F$5:$F$130*(((Inputs!$G$5:$G$130="moeda")+(Inputs!$G$5:$G$130="acoes"))*Inputs!$B$1+((Inputs!$G$5:$G$130&lt;&gt;"moeda")*(Inputs!$G$5:$G$130&lt;&gt;"acoes")))*INDEX(Inputs!$K$5:$AJ$130,0,MATCH(AH$2,Inputs!$K$4:$AJ$4,0)))))</f>
        <v>-1076</v>
      </c>
      <c r="AI5" s="6">
        <f>IF(ISNA(MATCH(AI$2,Inputs!$K$4:$AJ$4,0)),NA(),IF(SUMPRODUCT((Inputs!$A$5:$A$130=$B5)*ISNUMBER(INDEX(Inputs!$K$5:$AJ$130,0,MATCH(AI$2,Inputs!$K$4:$AJ$4,0))))+SUMPRODUCT((Inputs!$C$5:$C$130=$B5)*ISNUMBER(INDEX(Inputs!$K$5:$AJ$130,0,MATCH(AI$2,Inputs!$K$4:$AJ$4,0))))+SUMPRODUCT((Inputs!$E$5:$E$130=$B5)*ISNUMBER(INDEX(Inputs!$K$5:$AJ$130,0,MATCH(AI$2,Inputs!$K$4:$AJ$4,0))))=0,NA(),SUMPRODUCT((Inputs!$A$5:$A$130=$B5)*Inputs!$B$5:$B$130*(((Inputs!$G$5:$G$130="moeda")+(Inputs!$G$5:$G$130="acoes"))*Inputs!$B$1+((Inputs!$G$5:$G$130&lt;&gt;"moeda")*(Inputs!$G$5:$G$130&lt;&gt;"acoes")))*INDEX(Inputs!$K$5:$AJ$130,0,MATCH(AI$2,Inputs!$K$4:$AJ$4,0)))+SUMPRODUCT((Inputs!$C$5:$C$130=$B5)*Inputs!$D$5:$D$130*(((Inputs!$G$5:$G$130="moeda")+(Inputs!$G$5:$G$130="acoes"))*Inputs!$B$1+((Inputs!$G$5:$G$130&lt;&gt;"moeda")*(Inputs!$G$5:$G$130&lt;&gt;"acoes")))*INDEX(Inputs!$K$5:$AJ$130,0,MATCH(AI$2,Inputs!$K$4:$AJ$4,0)))+SUMPRODUCT((Inputs!$E$5:$E$130=$B5)*Inputs!$F$5:$F$130*(((Inputs!$G$5:$G$130="moeda")+(Inputs!$G$5:$G$130="acoes"))*Inputs!$B$1+((Inputs!$G$5:$G$130&lt;&gt;"moeda")*(Inputs!$G$5:$G$130&lt;&gt;"acoes")))*INDEX(Inputs!$K$5:$AJ$130,0,MATCH(AI$2,Inputs!$K$4:$AJ$4,0)))))</f>
        <v>-1591</v>
      </c>
      <c r="AJ5" s="6">
        <f>IF(ISNA(MATCH(AJ$2,Inputs!$K$4:$AJ$4,0)),NA(),IF(SUMPRODUCT((Inputs!$A$5:$A$130=$B5)*ISNUMBER(INDEX(Inputs!$K$5:$AJ$130,0,MATCH(AJ$2,Inputs!$K$4:$AJ$4,0))))+SUMPRODUCT((Inputs!$C$5:$C$130=$B5)*ISNUMBER(INDEX(Inputs!$K$5:$AJ$130,0,MATCH(AJ$2,Inputs!$K$4:$AJ$4,0))))+SUMPRODUCT((Inputs!$E$5:$E$130=$B5)*ISNUMBER(INDEX(Inputs!$K$5:$AJ$130,0,MATCH(AJ$2,Inputs!$K$4:$AJ$4,0))))=0,NA(),SUMPRODUCT((Inputs!$A$5:$A$130=$B5)*Inputs!$B$5:$B$130*(((Inputs!$G$5:$G$130="moeda")+(Inputs!$G$5:$G$130="acoes"))*Inputs!$B$1+((Inputs!$G$5:$G$130&lt;&gt;"moeda")*(Inputs!$G$5:$G$130&lt;&gt;"acoes")))*INDEX(Inputs!$K$5:$AJ$130,0,MATCH(AJ$2,Inputs!$K$4:$AJ$4,0)))+SUMPRODUCT((Inputs!$C$5:$C$130=$B5)*Inputs!$D$5:$D$130*(((Inputs!$G$5:$G$130="moeda")+(Inputs!$G$5:$G$130="acoes"))*Inputs!$B$1+((Inputs!$G$5:$G$130&lt;&gt;"moeda")*(Inputs!$G$5:$G$130&lt;&gt;"acoes")))*INDEX(Inputs!$K$5:$AJ$130,0,MATCH(AJ$2,Inputs!$K$4:$AJ$4,0)))+SUMPRODUCT((Inputs!$E$5:$E$130=$B5)*Inputs!$F$5:$F$130*(((Inputs!$G$5:$G$130="moeda")+(Inputs!$G$5:$G$130="acoes"))*Inputs!$B$1+((Inputs!$G$5:$G$130&lt;&gt;"moeda")*(Inputs!$G$5:$G$130&lt;&gt;"acoes")))*INDEX(Inputs!$K$5:$AJ$130,0,MATCH(AJ$2,Inputs!$K$4:$AJ$4,0)))))</f>
        <v>-1766</v>
      </c>
      <c r="AK5" s="6">
        <f>IF(ISNA(MATCH(AK$2,Inputs!$K$4:$AJ$4,0)),NA(),IF(SUMPRODUCT((Inputs!$A$5:$A$130=$B5)*ISNUMBER(INDEX(Inputs!$K$5:$AJ$130,0,MATCH(AK$2,Inputs!$K$4:$AJ$4,0))))+SUMPRODUCT((Inputs!$C$5:$C$130=$B5)*ISNUMBER(INDEX(Inputs!$K$5:$AJ$130,0,MATCH(AK$2,Inputs!$K$4:$AJ$4,0))))+SUMPRODUCT((Inputs!$E$5:$E$130=$B5)*ISNUMBER(INDEX(Inputs!$K$5:$AJ$130,0,MATCH(AK$2,Inputs!$K$4:$AJ$4,0))))=0,NA(),SUMPRODUCT((Inputs!$A$5:$A$130=$B5)*Inputs!$B$5:$B$130*(((Inputs!$G$5:$G$130="moeda")+(Inputs!$G$5:$G$130="acoes"))*Inputs!$B$1+((Inputs!$G$5:$G$130&lt;&gt;"moeda")*(Inputs!$G$5:$G$130&lt;&gt;"acoes")))*INDEX(Inputs!$K$5:$AJ$130,0,MATCH(AK$2,Inputs!$K$4:$AJ$4,0)))+SUMPRODUCT((Inputs!$C$5:$C$130=$B5)*Inputs!$D$5:$D$130*(((Inputs!$G$5:$G$130="moeda")+(Inputs!$G$5:$G$130="acoes"))*Inputs!$B$1+((Inputs!$G$5:$G$130&lt;&gt;"moeda")*(Inputs!$G$5:$G$130&lt;&gt;"acoes")))*INDEX(Inputs!$K$5:$AJ$130,0,MATCH(AK$2,Inputs!$K$4:$AJ$4,0)))+SUMPRODUCT((Inputs!$E$5:$E$130=$B5)*Inputs!$F$5:$F$130*(((Inputs!$G$5:$G$130="moeda")+(Inputs!$G$5:$G$130="acoes"))*Inputs!$B$1+((Inputs!$G$5:$G$130&lt;&gt;"moeda")*(Inputs!$G$5:$G$130&lt;&gt;"acoes")))*INDEX(Inputs!$K$5:$AJ$130,0,MATCH(AK$2,Inputs!$K$4:$AJ$4,0)))))</f>
        <v>-1846</v>
      </c>
      <c r="AL5" s="3">
        <f>SUM(AH5:AK5)</f>
        <v>-6279</v>
      </c>
    </row>
    <row r="6">
      <c r="B6" s="46" t="n">
        <v>3</v>
      </c>
      <c r="C6" s="24" t="inlineStr">
        <is>
          <t>SG&amp;A and Other (cash)</t>
        </is>
      </c>
      <c r="D6" s="6">
        <f>IF(ISNA(MATCH(D$2,Inputs!$K$4:$AJ$4,0)),NA(),IF(SUMPRODUCT((Inputs!$A$5:$A$130=$B6)*ISNUMBER(INDEX(Inputs!$K$5:$AJ$130,0,MATCH(D$2,Inputs!$K$4:$AJ$4,0))))+SUMPRODUCT((Inputs!$C$5:$C$130=$B6)*ISNUMBER(INDEX(Inputs!$K$5:$AJ$130,0,MATCH(D$2,Inputs!$K$4:$AJ$4,0))))+SUMPRODUCT((Inputs!$E$5:$E$130=$B6)*ISNUMBER(INDEX(Inputs!$K$5:$AJ$130,0,MATCH(D$2,Inputs!$K$4:$AJ$4,0))))=0,NA(),SUMPRODUCT((Inputs!$A$5:$A$130=$B6)*Inputs!$B$5:$B$130*(((Inputs!$G$5:$G$130="moeda")+(Inputs!$G$5:$G$130="acoes"))*Inputs!$B$1+((Inputs!$G$5:$G$130&lt;&gt;"moeda")*(Inputs!$G$5:$G$130&lt;&gt;"acoes")))*INDEX(Inputs!$K$5:$AJ$130,0,MATCH(D$2,Inputs!$K$4:$AJ$4,0)))+SUMPRODUCT((Inputs!$C$5:$C$130=$B6)*Inputs!$D$5:$D$130*(((Inputs!$G$5:$G$130="moeda")+(Inputs!$G$5:$G$130="acoes"))*Inputs!$B$1+((Inputs!$G$5:$G$130&lt;&gt;"moeda")*(Inputs!$G$5:$G$130&lt;&gt;"acoes")))*INDEX(Inputs!$K$5:$AJ$130,0,MATCH(D$2,Inputs!$K$4:$AJ$4,0)))+SUMPRODUCT((Inputs!$E$5:$E$130=$B6)*Inputs!$F$5:$F$130*(((Inputs!$G$5:$G$130="moeda")+(Inputs!$G$5:$G$130="acoes"))*Inputs!$B$1+((Inputs!$G$5:$G$130&lt;&gt;"moeda")*(Inputs!$G$5:$G$130&lt;&gt;"acoes")))*INDEX(Inputs!$K$5:$AJ$130,0,MATCH(D$2,Inputs!$K$4:$AJ$4,0)))))</f>
        <v>-1392</v>
      </c>
      <c r="E6" s="6">
        <f>IF(ISNA(MATCH(E$2,Inputs!$K$4:$AJ$4,0)),NA(),IF(SUMPRODUCT((Inputs!$A$5:$A$130=$B6)*ISNUMBER(INDEX(Inputs!$K$5:$AJ$130,0,MATCH(E$2,Inputs!$K$4:$AJ$4,0))))+SUMPRODUCT((Inputs!$C$5:$C$130=$B6)*ISNUMBER(INDEX(Inputs!$K$5:$AJ$130,0,MATCH(E$2,Inputs!$K$4:$AJ$4,0))))+SUMPRODUCT((Inputs!$E$5:$E$130=$B6)*ISNUMBER(INDEX(Inputs!$K$5:$AJ$130,0,MATCH(E$2,Inputs!$K$4:$AJ$4,0))))=0,NA(),SUMPRODUCT((Inputs!$A$5:$A$130=$B6)*Inputs!$B$5:$B$130*(((Inputs!$G$5:$G$130="moeda")+(Inputs!$G$5:$G$130="acoes"))*Inputs!$B$1+((Inputs!$G$5:$G$130&lt;&gt;"moeda")*(Inputs!$G$5:$G$130&lt;&gt;"acoes")))*INDEX(Inputs!$K$5:$AJ$130,0,MATCH(E$2,Inputs!$K$4:$AJ$4,0)))+SUMPRODUCT((Inputs!$C$5:$C$130=$B6)*Inputs!$D$5:$D$130*(((Inputs!$G$5:$G$130="moeda")+(Inputs!$G$5:$G$130="acoes"))*Inputs!$B$1+((Inputs!$G$5:$G$130&lt;&gt;"moeda")*(Inputs!$G$5:$G$130&lt;&gt;"acoes")))*INDEX(Inputs!$K$5:$AJ$130,0,MATCH(E$2,Inputs!$K$4:$AJ$4,0)))+SUMPRODUCT((Inputs!$E$5:$E$130=$B6)*Inputs!$F$5:$F$130*(((Inputs!$G$5:$G$130="moeda")+(Inputs!$G$5:$G$130="acoes"))*Inputs!$B$1+((Inputs!$G$5:$G$130&lt;&gt;"moeda")*(Inputs!$G$5:$G$130&lt;&gt;"acoes")))*INDEX(Inputs!$K$5:$AJ$130,0,MATCH(E$2,Inputs!$K$4:$AJ$4,0)))))</f>
        <v>-1485</v>
      </c>
      <c r="F6" s="6">
        <f>IF(ISNA(MATCH(F$2,Inputs!$K$4:$AJ$4,0)),NA(),IF(SUMPRODUCT((Inputs!$A$5:$A$130=$B6)*ISNUMBER(INDEX(Inputs!$K$5:$AJ$130,0,MATCH(F$2,Inputs!$K$4:$AJ$4,0))))+SUMPRODUCT((Inputs!$C$5:$C$130=$B6)*ISNUMBER(INDEX(Inputs!$K$5:$AJ$130,0,MATCH(F$2,Inputs!$K$4:$AJ$4,0))))+SUMPRODUCT((Inputs!$E$5:$E$130=$B6)*ISNUMBER(INDEX(Inputs!$K$5:$AJ$130,0,MATCH(F$2,Inputs!$K$4:$AJ$4,0))))=0,NA(),SUMPRODUCT((Inputs!$A$5:$A$130=$B6)*Inputs!$B$5:$B$130*(((Inputs!$G$5:$G$130="moeda")+(Inputs!$G$5:$G$130="acoes"))*Inputs!$B$1+((Inputs!$G$5:$G$130&lt;&gt;"moeda")*(Inputs!$G$5:$G$130&lt;&gt;"acoes")))*INDEX(Inputs!$K$5:$AJ$130,0,MATCH(F$2,Inputs!$K$4:$AJ$4,0)))+SUMPRODUCT((Inputs!$C$5:$C$130=$B6)*Inputs!$D$5:$D$130*(((Inputs!$G$5:$G$130="moeda")+(Inputs!$G$5:$G$130="acoes"))*Inputs!$B$1+((Inputs!$G$5:$G$130&lt;&gt;"moeda")*(Inputs!$G$5:$G$130&lt;&gt;"acoes")))*INDEX(Inputs!$K$5:$AJ$130,0,MATCH(F$2,Inputs!$K$4:$AJ$4,0)))+SUMPRODUCT((Inputs!$E$5:$E$130=$B6)*Inputs!$F$5:$F$130*(((Inputs!$G$5:$G$130="moeda")+(Inputs!$G$5:$G$130="acoes"))*Inputs!$B$1+((Inputs!$G$5:$G$130&lt;&gt;"moeda")*(Inputs!$G$5:$G$130&lt;&gt;"acoes")))*INDEX(Inputs!$K$5:$AJ$130,0,MATCH(F$2,Inputs!$K$4:$AJ$4,0)))))</f>
        <v>-1662</v>
      </c>
      <c r="G6" s="6">
        <f>IF(ISNA(MATCH(G$2,Inputs!$K$4:$AJ$4,0)),NA(),IF(SUMPRODUCT((Inputs!$A$5:$A$130=$B6)*ISNUMBER(INDEX(Inputs!$K$5:$AJ$130,0,MATCH(G$2,Inputs!$K$4:$AJ$4,0))))+SUMPRODUCT((Inputs!$C$5:$C$130=$B6)*ISNUMBER(INDEX(Inputs!$K$5:$AJ$130,0,MATCH(G$2,Inputs!$K$4:$AJ$4,0))))+SUMPRODUCT((Inputs!$E$5:$E$130=$B6)*ISNUMBER(INDEX(Inputs!$K$5:$AJ$130,0,MATCH(G$2,Inputs!$K$4:$AJ$4,0))))=0,NA(),SUMPRODUCT((Inputs!$A$5:$A$130=$B6)*Inputs!$B$5:$B$130*(((Inputs!$G$5:$G$130="moeda")+(Inputs!$G$5:$G$130="acoes"))*Inputs!$B$1+((Inputs!$G$5:$G$130&lt;&gt;"moeda")*(Inputs!$G$5:$G$130&lt;&gt;"acoes")))*INDEX(Inputs!$K$5:$AJ$130,0,MATCH(G$2,Inputs!$K$4:$AJ$4,0)))+SUMPRODUCT((Inputs!$C$5:$C$130=$B6)*Inputs!$D$5:$D$130*(((Inputs!$G$5:$G$130="moeda")+(Inputs!$G$5:$G$130="acoes"))*Inputs!$B$1+((Inputs!$G$5:$G$130&lt;&gt;"moeda")*(Inputs!$G$5:$G$130&lt;&gt;"acoes")))*INDEX(Inputs!$K$5:$AJ$130,0,MATCH(G$2,Inputs!$K$4:$AJ$4,0)))+SUMPRODUCT((Inputs!$E$5:$E$130=$B6)*Inputs!$F$5:$F$130*(((Inputs!$G$5:$G$130="moeda")+(Inputs!$G$5:$G$130="acoes"))*Inputs!$B$1+((Inputs!$G$5:$G$130&lt;&gt;"moeda")*(Inputs!$G$5:$G$130&lt;&gt;"acoes")))*INDEX(Inputs!$K$5:$AJ$130,0,MATCH(G$2,Inputs!$K$4:$AJ$4,0)))))</f>
        <v>-1721</v>
      </c>
      <c r="H6" s="3">
        <f>SUM(D6:G6)</f>
        <v>-6260</v>
      </c>
      <c r="I6" s="6">
        <f>IF(ISNA(MATCH(I$2,Inputs!$K$4:$AJ$4,0)),NA(),IF(SUMPRODUCT((Inputs!$A$5:$A$130=$B6)*ISNUMBER(INDEX(Inputs!$K$5:$AJ$130,0,MATCH(I$2,Inputs!$K$4:$AJ$4,0))))+SUMPRODUCT((Inputs!$C$5:$C$130=$B6)*ISNUMBER(INDEX(Inputs!$K$5:$AJ$130,0,MATCH(I$2,Inputs!$K$4:$AJ$4,0))))+SUMPRODUCT((Inputs!$E$5:$E$130=$B6)*ISNUMBER(INDEX(Inputs!$K$5:$AJ$130,0,MATCH(I$2,Inputs!$K$4:$AJ$4,0))))=0,NA(),SUMPRODUCT((Inputs!$A$5:$A$130=$B6)*Inputs!$B$5:$B$130*(((Inputs!$G$5:$G$130="moeda")+(Inputs!$G$5:$G$130="acoes"))*Inputs!$B$1+((Inputs!$G$5:$G$130&lt;&gt;"moeda")*(Inputs!$G$5:$G$130&lt;&gt;"acoes")))*INDEX(Inputs!$K$5:$AJ$130,0,MATCH(I$2,Inputs!$K$4:$AJ$4,0)))+SUMPRODUCT((Inputs!$C$5:$C$130=$B6)*Inputs!$D$5:$D$130*(((Inputs!$G$5:$G$130="moeda")+(Inputs!$G$5:$G$130="acoes"))*Inputs!$B$1+((Inputs!$G$5:$G$130&lt;&gt;"moeda")*(Inputs!$G$5:$G$130&lt;&gt;"acoes")))*INDEX(Inputs!$K$5:$AJ$130,0,MATCH(I$2,Inputs!$K$4:$AJ$4,0)))+SUMPRODUCT((Inputs!$E$5:$E$130=$B6)*Inputs!$F$5:$F$130*(((Inputs!$G$5:$G$130="moeda")+(Inputs!$G$5:$G$130="acoes"))*Inputs!$B$1+((Inputs!$G$5:$G$130&lt;&gt;"moeda")*(Inputs!$G$5:$G$130&lt;&gt;"acoes")))*INDEX(Inputs!$K$5:$AJ$130,0,MATCH(I$2,Inputs!$K$4:$AJ$4,0)))))</f>
        <v>-3229</v>
      </c>
      <c r="J6" s="6">
        <f>IF(ISNA(MATCH(J$2,Inputs!$K$4:$AJ$4,0)),NA(),IF(SUMPRODUCT((Inputs!$A$5:$A$130=$B6)*ISNUMBER(INDEX(Inputs!$K$5:$AJ$130,0,MATCH(J$2,Inputs!$K$4:$AJ$4,0))))+SUMPRODUCT((Inputs!$C$5:$C$130=$B6)*ISNUMBER(INDEX(Inputs!$K$5:$AJ$130,0,MATCH(J$2,Inputs!$K$4:$AJ$4,0))))+SUMPRODUCT((Inputs!$E$5:$E$130=$B6)*ISNUMBER(INDEX(Inputs!$K$5:$AJ$130,0,MATCH(J$2,Inputs!$K$4:$AJ$4,0))))=0,NA(),SUMPRODUCT((Inputs!$A$5:$A$130=$B6)*Inputs!$B$5:$B$130*(((Inputs!$G$5:$G$130="moeda")+(Inputs!$G$5:$G$130="acoes"))*Inputs!$B$1+((Inputs!$G$5:$G$130&lt;&gt;"moeda")*(Inputs!$G$5:$G$130&lt;&gt;"acoes")))*INDEX(Inputs!$K$5:$AJ$130,0,MATCH(J$2,Inputs!$K$4:$AJ$4,0)))+SUMPRODUCT((Inputs!$C$5:$C$130=$B6)*Inputs!$D$5:$D$130*(((Inputs!$G$5:$G$130="moeda")+(Inputs!$G$5:$G$130="acoes"))*Inputs!$B$1+((Inputs!$G$5:$G$130&lt;&gt;"moeda")*(Inputs!$G$5:$G$130&lt;&gt;"acoes")))*INDEX(Inputs!$K$5:$AJ$130,0,MATCH(J$2,Inputs!$K$4:$AJ$4,0)))+SUMPRODUCT((Inputs!$E$5:$E$130=$B6)*Inputs!$F$5:$F$130*(((Inputs!$G$5:$G$130="moeda")+(Inputs!$G$5:$G$130="acoes"))*Inputs!$B$1+((Inputs!$G$5:$G$130&lt;&gt;"moeda")*(Inputs!$G$5:$G$130&lt;&gt;"acoes")))*INDEX(Inputs!$K$5:$AJ$130,0,MATCH(J$2,Inputs!$K$4:$AJ$4,0)))))</f>
        <v>-2038</v>
      </c>
      <c r="K6" s="6">
        <f>IF(ISNA(MATCH(K$2,Inputs!$K$4:$AJ$4,0)),NA(),IF(SUMPRODUCT((Inputs!$A$5:$A$130=$B6)*ISNUMBER(INDEX(Inputs!$K$5:$AJ$130,0,MATCH(K$2,Inputs!$K$4:$AJ$4,0))))+SUMPRODUCT((Inputs!$C$5:$C$130=$B6)*ISNUMBER(INDEX(Inputs!$K$5:$AJ$130,0,MATCH(K$2,Inputs!$K$4:$AJ$4,0))))+SUMPRODUCT((Inputs!$E$5:$E$130=$B6)*ISNUMBER(INDEX(Inputs!$K$5:$AJ$130,0,MATCH(K$2,Inputs!$K$4:$AJ$4,0))))=0,NA(),SUMPRODUCT((Inputs!$A$5:$A$130=$B6)*Inputs!$B$5:$B$130*(((Inputs!$G$5:$G$130="moeda")+(Inputs!$G$5:$G$130="acoes"))*Inputs!$B$1+((Inputs!$G$5:$G$130&lt;&gt;"moeda")*(Inputs!$G$5:$G$130&lt;&gt;"acoes")))*INDEX(Inputs!$K$5:$AJ$130,0,MATCH(K$2,Inputs!$K$4:$AJ$4,0)))+SUMPRODUCT((Inputs!$C$5:$C$130=$B6)*Inputs!$D$5:$D$130*(((Inputs!$G$5:$G$130="moeda")+(Inputs!$G$5:$G$130="acoes"))*Inputs!$B$1+((Inputs!$G$5:$G$130&lt;&gt;"moeda")*(Inputs!$G$5:$G$130&lt;&gt;"acoes")))*INDEX(Inputs!$K$5:$AJ$130,0,MATCH(K$2,Inputs!$K$4:$AJ$4,0)))+SUMPRODUCT((Inputs!$E$5:$E$130=$B6)*Inputs!$F$5:$F$130*(((Inputs!$G$5:$G$130="moeda")+(Inputs!$G$5:$G$130="acoes"))*Inputs!$B$1+((Inputs!$G$5:$G$130&lt;&gt;"moeda")*(Inputs!$G$5:$G$130&lt;&gt;"acoes")))*INDEX(Inputs!$K$5:$AJ$130,0,MATCH(K$2,Inputs!$K$4:$AJ$4,0)))))</f>
        <v>-2170</v>
      </c>
      <c r="L6" s="6">
        <f>IF(ISNA(MATCH(L$2,Inputs!$K$4:$AJ$4,0)),NA(),IF(SUMPRODUCT((Inputs!$A$5:$A$130=$B6)*ISNUMBER(INDEX(Inputs!$K$5:$AJ$130,0,MATCH(L$2,Inputs!$K$4:$AJ$4,0))))+SUMPRODUCT((Inputs!$C$5:$C$130=$B6)*ISNUMBER(INDEX(Inputs!$K$5:$AJ$130,0,MATCH(L$2,Inputs!$K$4:$AJ$4,0))))+SUMPRODUCT((Inputs!$E$5:$E$130=$B6)*ISNUMBER(INDEX(Inputs!$K$5:$AJ$130,0,MATCH(L$2,Inputs!$K$4:$AJ$4,0))))=0,NA(),SUMPRODUCT((Inputs!$A$5:$A$130=$B6)*Inputs!$B$5:$B$130*(((Inputs!$G$5:$G$130="moeda")+(Inputs!$G$5:$G$130="acoes"))*Inputs!$B$1+((Inputs!$G$5:$G$130&lt;&gt;"moeda")*(Inputs!$G$5:$G$130&lt;&gt;"acoes")))*INDEX(Inputs!$K$5:$AJ$130,0,MATCH(L$2,Inputs!$K$4:$AJ$4,0)))+SUMPRODUCT((Inputs!$C$5:$C$130=$B6)*Inputs!$D$5:$D$130*(((Inputs!$G$5:$G$130="moeda")+(Inputs!$G$5:$G$130="acoes"))*Inputs!$B$1+((Inputs!$G$5:$G$130&lt;&gt;"moeda")*(Inputs!$G$5:$G$130&lt;&gt;"acoes")))*INDEX(Inputs!$K$5:$AJ$130,0,MATCH(L$2,Inputs!$K$4:$AJ$4,0)))+SUMPRODUCT((Inputs!$E$5:$E$130=$B6)*Inputs!$F$5:$F$130*(((Inputs!$G$5:$G$130="moeda")+(Inputs!$G$5:$G$130="acoes"))*Inputs!$B$1+((Inputs!$G$5:$G$130&lt;&gt;"moeda")*(Inputs!$G$5:$G$130&lt;&gt;"acoes")))*INDEX(Inputs!$K$5:$AJ$130,0,MATCH(L$2,Inputs!$K$4:$AJ$4,0)))))</f>
        <v>-2151</v>
      </c>
      <c r="M6" s="3">
        <f>SUM(I6:L6)</f>
        <v>-9588</v>
      </c>
      <c r="N6" s="6">
        <f>IF(ISNA(MATCH(N$2,Inputs!$K$4:$AJ$4,0)),NA(),IF(SUMPRODUCT((Inputs!$A$5:$A$130=$B6)*ISNUMBER(INDEX(Inputs!$K$5:$AJ$130,0,MATCH(N$2,Inputs!$K$4:$AJ$4,0))))+SUMPRODUCT((Inputs!$C$5:$C$130=$B6)*ISNUMBER(INDEX(Inputs!$K$5:$AJ$130,0,MATCH(N$2,Inputs!$K$4:$AJ$4,0))))+SUMPRODUCT((Inputs!$E$5:$E$130=$B6)*ISNUMBER(INDEX(Inputs!$K$5:$AJ$130,0,MATCH(N$2,Inputs!$K$4:$AJ$4,0))))=0,NA(),SUMPRODUCT((Inputs!$A$5:$A$130=$B6)*Inputs!$B$5:$B$130*(((Inputs!$G$5:$G$130="moeda")+(Inputs!$G$5:$G$130="acoes"))*Inputs!$B$1+((Inputs!$G$5:$G$130&lt;&gt;"moeda")*(Inputs!$G$5:$G$130&lt;&gt;"acoes")))*INDEX(Inputs!$K$5:$AJ$130,0,MATCH(N$2,Inputs!$K$4:$AJ$4,0)))+SUMPRODUCT((Inputs!$C$5:$C$130=$B6)*Inputs!$D$5:$D$130*(((Inputs!$G$5:$G$130="moeda")+(Inputs!$G$5:$G$130="acoes"))*Inputs!$B$1+((Inputs!$G$5:$G$130&lt;&gt;"moeda")*(Inputs!$G$5:$G$130&lt;&gt;"acoes")))*INDEX(Inputs!$K$5:$AJ$130,0,MATCH(N$2,Inputs!$K$4:$AJ$4,0)))+SUMPRODUCT((Inputs!$E$5:$E$130=$B6)*Inputs!$F$5:$F$130*(((Inputs!$G$5:$G$130="moeda")+(Inputs!$G$5:$G$130="acoes"))*Inputs!$B$1+((Inputs!$G$5:$G$130&lt;&gt;"moeda")*(Inputs!$G$5:$G$130&lt;&gt;"acoes")))*INDEX(Inputs!$K$5:$AJ$130,0,MATCH(N$2,Inputs!$K$4:$AJ$4,0)))))</f>
        <v>-2124</v>
      </c>
      <c r="O6" s="6">
        <f>IF(ISNA(MATCH(O$2,Inputs!$K$4:$AJ$4,0)),NA(),IF(SUMPRODUCT((Inputs!$A$5:$A$130=$B6)*ISNUMBER(INDEX(Inputs!$K$5:$AJ$130,0,MATCH(O$2,Inputs!$K$4:$AJ$4,0))))+SUMPRODUCT((Inputs!$C$5:$C$130=$B6)*ISNUMBER(INDEX(Inputs!$K$5:$AJ$130,0,MATCH(O$2,Inputs!$K$4:$AJ$4,0))))+SUMPRODUCT((Inputs!$E$5:$E$130=$B6)*ISNUMBER(INDEX(Inputs!$K$5:$AJ$130,0,MATCH(O$2,Inputs!$K$4:$AJ$4,0))))=0,NA(),SUMPRODUCT((Inputs!$A$5:$A$130=$B6)*Inputs!$B$5:$B$130*(((Inputs!$G$5:$G$130="moeda")+(Inputs!$G$5:$G$130="acoes"))*Inputs!$B$1+((Inputs!$G$5:$G$130&lt;&gt;"moeda")*(Inputs!$G$5:$G$130&lt;&gt;"acoes")))*INDEX(Inputs!$K$5:$AJ$130,0,MATCH(O$2,Inputs!$K$4:$AJ$4,0)))+SUMPRODUCT((Inputs!$C$5:$C$130=$B6)*Inputs!$D$5:$D$130*(((Inputs!$G$5:$G$130="moeda")+(Inputs!$G$5:$G$130="acoes"))*Inputs!$B$1+((Inputs!$G$5:$G$130&lt;&gt;"moeda")*(Inputs!$G$5:$G$130&lt;&gt;"acoes")))*INDEX(Inputs!$K$5:$AJ$130,0,MATCH(O$2,Inputs!$K$4:$AJ$4,0)))+SUMPRODUCT((Inputs!$E$5:$E$130=$B6)*Inputs!$F$5:$F$130*(((Inputs!$G$5:$G$130="moeda")+(Inputs!$G$5:$G$130="acoes"))*Inputs!$B$1+((Inputs!$G$5:$G$130&lt;&gt;"moeda")*(Inputs!$G$5:$G$130&lt;&gt;"acoes")))*INDEX(Inputs!$K$5:$AJ$130,0,MATCH(O$2,Inputs!$K$4:$AJ$4,0)))))</f>
        <v>-2297</v>
      </c>
      <c r="P6" s="6">
        <f>IF(ISNA(MATCH(P$2,Inputs!$K$4:$AJ$4,0)),NA(),IF(SUMPRODUCT((Inputs!$A$5:$A$130=$B6)*ISNUMBER(INDEX(Inputs!$K$5:$AJ$130,0,MATCH(P$2,Inputs!$K$4:$AJ$4,0))))+SUMPRODUCT((Inputs!$C$5:$C$130=$B6)*ISNUMBER(INDEX(Inputs!$K$5:$AJ$130,0,MATCH(P$2,Inputs!$K$4:$AJ$4,0))))+SUMPRODUCT((Inputs!$E$5:$E$130=$B6)*ISNUMBER(INDEX(Inputs!$K$5:$AJ$130,0,MATCH(P$2,Inputs!$K$4:$AJ$4,0))))=0,NA(),SUMPRODUCT((Inputs!$A$5:$A$130=$B6)*Inputs!$B$5:$B$130*(((Inputs!$G$5:$G$130="moeda")+(Inputs!$G$5:$G$130="acoes"))*Inputs!$B$1+((Inputs!$G$5:$G$130&lt;&gt;"moeda")*(Inputs!$G$5:$G$130&lt;&gt;"acoes")))*INDEX(Inputs!$K$5:$AJ$130,0,MATCH(P$2,Inputs!$K$4:$AJ$4,0)))+SUMPRODUCT((Inputs!$C$5:$C$130=$B6)*Inputs!$D$5:$D$130*(((Inputs!$G$5:$G$130="moeda")+(Inputs!$G$5:$G$130="acoes"))*Inputs!$B$1+((Inputs!$G$5:$G$130&lt;&gt;"moeda")*(Inputs!$G$5:$G$130&lt;&gt;"acoes")))*INDEX(Inputs!$K$5:$AJ$130,0,MATCH(P$2,Inputs!$K$4:$AJ$4,0)))+SUMPRODUCT((Inputs!$E$5:$E$130=$B6)*Inputs!$F$5:$F$130*(((Inputs!$G$5:$G$130="moeda")+(Inputs!$G$5:$G$130="acoes"))*Inputs!$B$1+((Inputs!$G$5:$G$130&lt;&gt;"moeda")*(Inputs!$G$5:$G$130&lt;&gt;"acoes")))*INDEX(Inputs!$K$5:$AJ$130,0,MATCH(P$2,Inputs!$K$4:$AJ$4,0)))))</f>
        <v>-2611</v>
      </c>
      <c r="Q6" s="6">
        <f>IF(ISNA(MATCH(Q$2,Inputs!$K$4:$AJ$4,0)),NA(),IF(SUMPRODUCT((Inputs!$A$5:$A$130=$B6)*ISNUMBER(INDEX(Inputs!$K$5:$AJ$130,0,MATCH(Q$2,Inputs!$K$4:$AJ$4,0))))+SUMPRODUCT((Inputs!$C$5:$C$130=$B6)*ISNUMBER(INDEX(Inputs!$K$5:$AJ$130,0,MATCH(Q$2,Inputs!$K$4:$AJ$4,0))))+SUMPRODUCT((Inputs!$E$5:$E$130=$B6)*ISNUMBER(INDEX(Inputs!$K$5:$AJ$130,0,MATCH(Q$2,Inputs!$K$4:$AJ$4,0))))=0,NA(),SUMPRODUCT((Inputs!$A$5:$A$130=$B6)*Inputs!$B$5:$B$130*(((Inputs!$G$5:$G$130="moeda")+(Inputs!$G$5:$G$130="acoes"))*Inputs!$B$1+((Inputs!$G$5:$G$130&lt;&gt;"moeda")*(Inputs!$G$5:$G$130&lt;&gt;"acoes")))*INDEX(Inputs!$K$5:$AJ$130,0,MATCH(Q$2,Inputs!$K$4:$AJ$4,0)))+SUMPRODUCT((Inputs!$C$5:$C$130=$B6)*Inputs!$D$5:$D$130*(((Inputs!$G$5:$G$130="moeda")+(Inputs!$G$5:$G$130="acoes"))*Inputs!$B$1+((Inputs!$G$5:$G$130&lt;&gt;"moeda")*(Inputs!$G$5:$G$130&lt;&gt;"acoes")))*INDEX(Inputs!$K$5:$AJ$130,0,MATCH(Q$2,Inputs!$K$4:$AJ$4,0)))+SUMPRODUCT((Inputs!$E$5:$E$130=$B6)*Inputs!$F$5:$F$130*(((Inputs!$G$5:$G$130="moeda")+(Inputs!$G$5:$G$130="acoes"))*Inputs!$B$1+((Inputs!$G$5:$G$130&lt;&gt;"moeda")*(Inputs!$G$5:$G$130&lt;&gt;"acoes")))*INDEX(Inputs!$K$5:$AJ$130,0,MATCH(Q$2,Inputs!$K$4:$AJ$4,0)))))</f>
        <v>-2789</v>
      </c>
      <c r="R6" s="3">
        <f>SUM(N6:Q6)</f>
        <v>-9821</v>
      </c>
      <c r="S6" s="6">
        <f>IF(ISNA(MATCH(S$2,Inputs!$K$4:$AJ$4,0)),NA(),IF(SUMPRODUCT((Inputs!$A$5:$A$130=$B6)*ISNUMBER(INDEX(Inputs!$K$5:$AJ$130,0,MATCH(S$2,Inputs!$K$4:$AJ$4,0))))+SUMPRODUCT((Inputs!$C$5:$C$130=$B6)*ISNUMBER(INDEX(Inputs!$K$5:$AJ$130,0,MATCH(S$2,Inputs!$K$4:$AJ$4,0))))+SUMPRODUCT((Inputs!$E$5:$E$130=$B6)*ISNUMBER(INDEX(Inputs!$K$5:$AJ$130,0,MATCH(S$2,Inputs!$K$4:$AJ$4,0))))=0,NA(),SUMPRODUCT((Inputs!$A$5:$A$130=$B6)*Inputs!$B$5:$B$130*(((Inputs!$G$5:$G$130="moeda")+(Inputs!$G$5:$G$130="acoes"))*Inputs!$B$1+((Inputs!$G$5:$G$130&lt;&gt;"moeda")*(Inputs!$G$5:$G$130&lt;&gt;"acoes")))*INDEX(Inputs!$K$5:$AJ$130,0,MATCH(S$2,Inputs!$K$4:$AJ$4,0)))+SUMPRODUCT((Inputs!$C$5:$C$130=$B6)*Inputs!$D$5:$D$130*(((Inputs!$G$5:$G$130="moeda")+(Inputs!$G$5:$G$130="acoes"))*Inputs!$B$1+((Inputs!$G$5:$G$130&lt;&gt;"moeda")*(Inputs!$G$5:$G$130&lt;&gt;"acoes")))*INDEX(Inputs!$K$5:$AJ$130,0,MATCH(S$2,Inputs!$K$4:$AJ$4,0)))+SUMPRODUCT((Inputs!$E$5:$E$130=$B6)*Inputs!$F$5:$F$130*(((Inputs!$G$5:$G$130="moeda")+(Inputs!$G$5:$G$130="acoes"))*Inputs!$B$1+((Inputs!$G$5:$G$130&lt;&gt;"moeda")*(Inputs!$G$5:$G$130&lt;&gt;"acoes")))*INDEX(Inputs!$K$5:$AJ$130,0,MATCH(S$2,Inputs!$K$4:$AJ$4,0)))))</f>
        <v>-3087</v>
      </c>
      <c r="T6" s="6">
        <f>IF(ISNA(MATCH(T$2,Inputs!$K$4:$AJ$4,0)),NA(),IF(SUMPRODUCT((Inputs!$A$5:$A$130=$B6)*ISNUMBER(INDEX(Inputs!$K$5:$AJ$130,0,MATCH(T$2,Inputs!$K$4:$AJ$4,0))))+SUMPRODUCT((Inputs!$C$5:$C$130=$B6)*ISNUMBER(INDEX(Inputs!$K$5:$AJ$130,0,MATCH(T$2,Inputs!$K$4:$AJ$4,0))))+SUMPRODUCT((Inputs!$E$5:$E$130=$B6)*ISNUMBER(INDEX(Inputs!$K$5:$AJ$130,0,MATCH(T$2,Inputs!$K$4:$AJ$4,0))))=0,NA(),SUMPRODUCT((Inputs!$A$5:$A$130=$B6)*Inputs!$B$5:$B$130*(((Inputs!$G$5:$G$130="moeda")+(Inputs!$G$5:$G$130="acoes"))*Inputs!$B$1+((Inputs!$G$5:$G$130&lt;&gt;"moeda")*(Inputs!$G$5:$G$130&lt;&gt;"acoes")))*INDEX(Inputs!$K$5:$AJ$130,0,MATCH(T$2,Inputs!$K$4:$AJ$4,0)))+SUMPRODUCT((Inputs!$C$5:$C$130=$B6)*Inputs!$D$5:$D$130*(((Inputs!$G$5:$G$130="moeda")+(Inputs!$G$5:$G$130="acoes"))*Inputs!$B$1+((Inputs!$G$5:$G$130&lt;&gt;"moeda")*(Inputs!$G$5:$G$130&lt;&gt;"acoes")))*INDEX(Inputs!$K$5:$AJ$130,0,MATCH(T$2,Inputs!$K$4:$AJ$4,0)))+SUMPRODUCT((Inputs!$E$5:$E$130=$B6)*Inputs!$F$5:$F$130*(((Inputs!$G$5:$G$130="moeda")+(Inputs!$G$5:$G$130="acoes"))*Inputs!$B$1+((Inputs!$G$5:$G$130&lt;&gt;"moeda")*(Inputs!$G$5:$G$130&lt;&gt;"acoes")))*INDEX(Inputs!$K$5:$AJ$130,0,MATCH(T$2,Inputs!$K$4:$AJ$4,0)))))</f>
        <v>-3499</v>
      </c>
      <c r="U6" s="6">
        <f>IF(ISNA(MATCH(U$2,Inputs!$K$4:$AJ$4,0)),NA(),IF(SUMPRODUCT((Inputs!$A$5:$A$130=$B6)*ISNUMBER(INDEX(Inputs!$K$5:$AJ$130,0,MATCH(U$2,Inputs!$K$4:$AJ$4,0))))+SUMPRODUCT((Inputs!$C$5:$C$130=$B6)*ISNUMBER(INDEX(Inputs!$K$5:$AJ$130,0,MATCH(U$2,Inputs!$K$4:$AJ$4,0))))+SUMPRODUCT((Inputs!$E$5:$E$130=$B6)*ISNUMBER(INDEX(Inputs!$K$5:$AJ$130,0,MATCH(U$2,Inputs!$K$4:$AJ$4,0))))=0,NA(),SUMPRODUCT((Inputs!$A$5:$A$130=$B6)*Inputs!$B$5:$B$130*(((Inputs!$G$5:$G$130="moeda")+(Inputs!$G$5:$G$130="acoes"))*Inputs!$B$1+((Inputs!$G$5:$G$130&lt;&gt;"moeda")*(Inputs!$G$5:$G$130&lt;&gt;"acoes")))*INDEX(Inputs!$K$5:$AJ$130,0,MATCH(U$2,Inputs!$K$4:$AJ$4,0)))+SUMPRODUCT((Inputs!$C$5:$C$130=$B6)*Inputs!$D$5:$D$130*(((Inputs!$G$5:$G$130="moeda")+(Inputs!$G$5:$G$130="acoes"))*Inputs!$B$1+((Inputs!$G$5:$G$130&lt;&gt;"moeda")*(Inputs!$G$5:$G$130&lt;&gt;"acoes")))*INDEX(Inputs!$K$5:$AJ$130,0,MATCH(U$2,Inputs!$K$4:$AJ$4,0)))+SUMPRODUCT((Inputs!$E$5:$E$130=$B6)*Inputs!$F$5:$F$130*(((Inputs!$G$5:$G$130="moeda")+(Inputs!$G$5:$G$130="acoes"))*Inputs!$B$1+((Inputs!$G$5:$G$130&lt;&gt;"moeda")*(Inputs!$G$5:$G$130&lt;&gt;"acoes")))*INDEX(Inputs!$K$5:$AJ$130,0,MATCH(U$2,Inputs!$K$4:$AJ$4,0)))))</f>
        <v>-3809</v>
      </c>
      <c r="V6" s="6">
        <f>IF(ISNA(MATCH(V$2,Inputs!$K$4:$AJ$4,0)),NA(),IF(SUMPRODUCT((Inputs!$A$5:$A$130=$B6)*ISNUMBER(INDEX(Inputs!$K$5:$AJ$130,0,MATCH(V$2,Inputs!$K$4:$AJ$4,0))))+SUMPRODUCT((Inputs!$C$5:$C$130=$B6)*ISNUMBER(INDEX(Inputs!$K$5:$AJ$130,0,MATCH(V$2,Inputs!$K$4:$AJ$4,0))))+SUMPRODUCT((Inputs!$E$5:$E$130=$B6)*ISNUMBER(INDEX(Inputs!$K$5:$AJ$130,0,MATCH(V$2,Inputs!$K$4:$AJ$4,0))))=0,NA(),SUMPRODUCT((Inputs!$A$5:$A$130=$B6)*Inputs!$B$5:$B$130*(((Inputs!$G$5:$G$130="moeda")+(Inputs!$G$5:$G$130="acoes"))*Inputs!$B$1+((Inputs!$G$5:$G$130&lt;&gt;"moeda")*(Inputs!$G$5:$G$130&lt;&gt;"acoes")))*INDEX(Inputs!$K$5:$AJ$130,0,MATCH(V$2,Inputs!$K$4:$AJ$4,0)))+SUMPRODUCT((Inputs!$C$5:$C$130=$B6)*Inputs!$D$5:$D$130*(((Inputs!$G$5:$G$130="moeda")+(Inputs!$G$5:$G$130="acoes"))*Inputs!$B$1+((Inputs!$G$5:$G$130&lt;&gt;"moeda")*(Inputs!$G$5:$G$130&lt;&gt;"acoes")))*INDEX(Inputs!$K$5:$AJ$130,0,MATCH(V$2,Inputs!$K$4:$AJ$4,0)))+SUMPRODUCT((Inputs!$E$5:$E$130=$B6)*Inputs!$F$5:$F$130*(((Inputs!$G$5:$G$130="moeda")+(Inputs!$G$5:$G$130="acoes"))*Inputs!$B$1+((Inputs!$G$5:$G$130&lt;&gt;"moeda")*(Inputs!$G$5:$G$130&lt;&gt;"acoes")))*INDEX(Inputs!$K$5:$AJ$130,0,MATCH(V$2,Inputs!$K$4:$AJ$4,0)))))</f>
        <v>-4146</v>
      </c>
      <c r="W6" s="3">
        <f>SUM(S6:V6)</f>
        <v>-14541</v>
      </c>
      <c r="X6" s="6">
        <f>IF(ISNA(MATCH(X$2,Inputs!$K$4:$AJ$4,0)),NA(),IF(SUMPRODUCT((Inputs!$A$5:$A$130=$B6)*ISNUMBER(INDEX(Inputs!$K$5:$AJ$130,0,MATCH(X$2,Inputs!$K$4:$AJ$4,0))))+SUMPRODUCT((Inputs!$C$5:$C$130=$B6)*ISNUMBER(INDEX(Inputs!$K$5:$AJ$130,0,MATCH(X$2,Inputs!$K$4:$AJ$4,0))))+SUMPRODUCT((Inputs!$E$5:$E$130=$B6)*ISNUMBER(INDEX(Inputs!$K$5:$AJ$130,0,MATCH(X$2,Inputs!$K$4:$AJ$4,0))))=0,NA(),SUMPRODUCT((Inputs!$A$5:$A$130=$B6)*Inputs!$B$5:$B$130*(((Inputs!$G$5:$G$130="moeda")+(Inputs!$G$5:$G$130="acoes"))*Inputs!$B$1+((Inputs!$G$5:$G$130&lt;&gt;"moeda")*(Inputs!$G$5:$G$130&lt;&gt;"acoes")))*INDEX(Inputs!$K$5:$AJ$130,0,MATCH(X$2,Inputs!$K$4:$AJ$4,0)))+SUMPRODUCT((Inputs!$C$5:$C$130=$B6)*Inputs!$D$5:$D$130*(((Inputs!$G$5:$G$130="moeda")+(Inputs!$G$5:$G$130="acoes"))*Inputs!$B$1+((Inputs!$G$5:$G$130&lt;&gt;"moeda")*(Inputs!$G$5:$G$130&lt;&gt;"acoes")))*INDEX(Inputs!$K$5:$AJ$130,0,MATCH(X$2,Inputs!$K$4:$AJ$4,0)))+SUMPRODUCT((Inputs!$E$5:$E$130=$B6)*Inputs!$F$5:$F$130*(((Inputs!$G$5:$G$130="moeda")+(Inputs!$G$5:$G$130="acoes"))*Inputs!$B$1+((Inputs!$G$5:$G$130&lt;&gt;"moeda")*(Inputs!$G$5:$G$130&lt;&gt;"acoes")))*INDEX(Inputs!$K$5:$AJ$130,0,MATCH(X$2,Inputs!$K$4:$AJ$4,0)))))</f>
        <v>-4419</v>
      </c>
      <c r="Y6" s="6">
        <f>IF(ISNA(MATCH(Y$2,Inputs!$K$4:$AJ$4,0)),NA(),IF(SUMPRODUCT((Inputs!$A$5:$A$130=$B6)*ISNUMBER(INDEX(Inputs!$K$5:$AJ$130,0,MATCH(Y$2,Inputs!$K$4:$AJ$4,0))))+SUMPRODUCT((Inputs!$C$5:$C$130=$B6)*ISNUMBER(INDEX(Inputs!$K$5:$AJ$130,0,MATCH(Y$2,Inputs!$K$4:$AJ$4,0))))+SUMPRODUCT((Inputs!$E$5:$E$130=$B6)*ISNUMBER(INDEX(Inputs!$K$5:$AJ$130,0,MATCH(Y$2,Inputs!$K$4:$AJ$4,0))))=0,NA(),SUMPRODUCT((Inputs!$A$5:$A$130=$B6)*Inputs!$B$5:$B$130*(((Inputs!$G$5:$G$130="moeda")+(Inputs!$G$5:$G$130="acoes"))*Inputs!$B$1+((Inputs!$G$5:$G$130&lt;&gt;"moeda")*(Inputs!$G$5:$G$130&lt;&gt;"acoes")))*INDEX(Inputs!$K$5:$AJ$130,0,MATCH(Y$2,Inputs!$K$4:$AJ$4,0)))+SUMPRODUCT((Inputs!$C$5:$C$130=$B6)*Inputs!$D$5:$D$130*(((Inputs!$G$5:$G$130="moeda")+(Inputs!$G$5:$G$130="acoes"))*Inputs!$B$1+((Inputs!$G$5:$G$130&lt;&gt;"moeda")*(Inputs!$G$5:$G$130&lt;&gt;"acoes")))*INDEX(Inputs!$K$5:$AJ$130,0,MATCH(Y$2,Inputs!$K$4:$AJ$4,0)))+SUMPRODUCT((Inputs!$E$5:$E$130=$B6)*Inputs!$F$5:$F$130*(((Inputs!$G$5:$G$130="moeda")+(Inputs!$G$5:$G$130="acoes"))*Inputs!$B$1+((Inputs!$G$5:$G$130&lt;&gt;"moeda")*(Inputs!$G$5:$G$130&lt;&gt;"acoes")))*INDEX(Inputs!$K$5:$AJ$130,0,MATCH(Y$2,Inputs!$K$4:$AJ$4,0)))))</f>
        <v>-4744</v>
      </c>
      <c r="Z6" s="6">
        <f>IF(ISNA(MATCH(Z$2,Inputs!$K$4:$AJ$4,0)),NA(),IF(SUMPRODUCT((Inputs!$A$5:$A$130=$B6)*ISNUMBER(INDEX(Inputs!$K$5:$AJ$130,0,MATCH(Z$2,Inputs!$K$4:$AJ$4,0))))+SUMPRODUCT((Inputs!$C$5:$C$130=$B6)*ISNUMBER(INDEX(Inputs!$K$5:$AJ$130,0,MATCH(Z$2,Inputs!$K$4:$AJ$4,0))))+SUMPRODUCT((Inputs!$E$5:$E$130=$B6)*ISNUMBER(INDEX(Inputs!$K$5:$AJ$130,0,MATCH(Z$2,Inputs!$K$4:$AJ$4,0))))=0,NA(),SUMPRODUCT((Inputs!$A$5:$A$130=$B6)*Inputs!$B$5:$B$130*(((Inputs!$G$5:$G$130="moeda")+(Inputs!$G$5:$G$130="acoes"))*Inputs!$B$1+((Inputs!$G$5:$G$130&lt;&gt;"moeda")*(Inputs!$G$5:$G$130&lt;&gt;"acoes")))*INDEX(Inputs!$K$5:$AJ$130,0,MATCH(Z$2,Inputs!$K$4:$AJ$4,0)))+SUMPRODUCT((Inputs!$C$5:$C$130=$B6)*Inputs!$D$5:$D$130*(((Inputs!$G$5:$G$130="moeda")+(Inputs!$G$5:$G$130="acoes"))*Inputs!$B$1+((Inputs!$G$5:$G$130&lt;&gt;"moeda")*(Inputs!$G$5:$G$130&lt;&gt;"acoes")))*INDEX(Inputs!$K$5:$AJ$130,0,MATCH(Z$2,Inputs!$K$4:$AJ$4,0)))+SUMPRODUCT((Inputs!$E$5:$E$130=$B6)*Inputs!$F$5:$F$130*(((Inputs!$G$5:$G$130="moeda")+(Inputs!$G$5:$G$130="acoes"))*Inputs!$B$1+((Inputs!$G$5:$G$130&lt;&gt;"moeda")*(Inputs!$G$5:$G$130&lt;&gt;"acoes")))*INDEX(Inputs!$K$5:$AJ$130,0,MATCH(Z$2,Inputs!$K$4:$AJ$4,0)))))</f>
        <v>-5088</v>
      </c>
      <c r="AA6" s="6">
        <f>IF(ISNA(MATCH(AA$2,Inputs!$K$4:$AJ$4,0)),NA(),IF(SUMPRODUCT((Inputs!$A$5:$A$130=$B6)*ISNUMBER(INDEX(Inputs!$K$5:$AJ$130,0,MATCH(AA$2,Inputs!$K$4:$AJ$4,0))))+SUMPRODUCT((Inputs!$C$5:$C$130=$B6)*ISNUMBER(INDEX(Inputs!$K$5:$AJ$130,0,MATCH(AA$2,Inputs!$K$4:$AJ$4,0))))+SUMPRODUCT((Inputs!$E$5:$E$130=$B6)*ISNUMBER(INDEX(Inputs!$K$5:$AJ$130,0,MATCH(AA$2,Inputs!$K$4:$AJ$4,0))))=0,NA(),SUMPRODUCT((Inputs!$A$5:$A$130=$B6)*Inputs!$B$5:$B$130*(((Inputs!$G$5:$G$130="moeda")+(Inputs!$G$5:$G$130="acoes"))*Inputs!$B$1+((Inputs!$G$5:$G$130&lt;&gt;"moeda")*(Inputs!$G$5:$G$130&lt;&gt;"acoes")))*INDEX(Inputs!$K$5:$AJ$130,0,MATCH(AA$2,Inputs!$K$4:$AJ$4,0)))+SUMPRODUCT((Inputs!$C$5:$C$130=$B6)*Inputs!$D$5:$D$130*(((Inputs!$G$5:$G$130="moeda")+(Inputs!$G$5:$G$130="acoes"))*Inputs!$B$1+((Inputs!$G$5:$G$130&lt;&gt;"moeda")*(Inputs!$G$5:$G$130&lt;&gt;"acoes")))*INDEX(Inputs!$K$5:$AJ$130,0,MATCH(AA$2,Inputs!$K$4:$AJ$4,0)))+SUMPRODUCT((Inputs!$E$5:$E$130=$B6)*Inputs!$F$5:$F$130*(((Inputs!$G$5:$G$130="moeda")+(Inputs!$G$5:$G$130="acoes"))*Inputs!$B$1+((Inputs!$G$5:$G$130&lt;&gt;"moeda")*(Inputs!$G$5:$G$130&lt;&gt;"acoes")))*INDEX(Inputs!$K$5:$AJ$130,0,MATCH(AA$2,Inputs!$K$4:$AJ$4,0)))))</f>
        <v>-5982</v>
      </c>
      <c r="AB6" s="3">
        <f>SUM(X6:AA6)</f>
        <v>-20233</v>
      </c>
      <c r="AC6" s="6">
        <f>IF(ISNA(MATCH(AC$2,Inputs!$K$4:$AJ$4,0)),NA(),IF(SUMPRODUCT((Inputs!$A$5:$A$130=$B6)*ISNUMBER(INDEX(Inputs!$K$5:$AJ$130,0,MATCH(AC$2,Inputs!$K$4:$AJ$4,0))))+SUMPRODUCT((Inputs!$C$5:$C$130=$B6)*ISNUMBER(INDEX(Inputs!$K$5:$AJ$130,0,MATCH(AC$2,Inputs!$K$4:$AJ$4,0))))+SUMPRODUCT((Inputs!$E$5:$E$130=$B6)*ISNUMBER(INDEX(Inputs!$K$5:$AJ$130,0,MATCH(AC$2,Inputs!$K$4:$AJ$4,0))))=0,NA(),SUMPRODUCT((Inputs!$A$5:$A$130=$B6)*Inputs!$B$5:$B$130*(((Inputs!$G$5:$G$130="moeda")+(Inputs!$G$5:$G$130="acoes"))*Inputs!$B$1+((Inputs!$G$5:$G$130&lt;&gt;"moeda")*(Inputs!$G$5:$G$130&lt;&gt;"acoes")))*INDEX(Inputs!$K$5:$AJ$130,0,MATCH(AC$2,Inputs!$K$4:$AJ$4,0)))+SUMPRODUCT((Inputs!$C$5:$C$130=$B6)*Inputs!$D$5:$D$130*(((Inputs!$G$5:$G$130="moeda")+(Inputs!$G$5:$G$130="acoes"))*Inputs!$B$1+((Inputs!$G$5:$G$130&lt;&gt;"moeda")*(Inputs!$G$5:$G$130&lt;&gt;"acoes")))*INDEX(Inputs!$K$5:$AJ$130,0,MATCH(AC$2,Inputs!$K$4:$AJ$4,0)))+SUMPRODUCT((Inputs!$E$5:$E$130=$B6)*Inputs!$F$5:$F$130*(((Inputs!$G$5:$G$130="moeda")+(Inputs!$G$5:$G$130="acoes"))*Inputs!$B$1+((Inputs!$G$5:$G$130&lt;&gt;"moeda")*(Inputs!$G$5:$G$130&lt;&gt;"acoes")))*INDEX(Inputs!$K$5:$AJ$130,0,MATCH(AC$2,Inputs!$K$4:$AJ$4,0)))))</f>
        <v>-6624</v>
      </c>
      <c r="AD6" s="6">
        <f>IF(ISNA(MATCH(AD$2,Inputs!$K$4:$AJ$4,0)),NA(),IF(SUMPRODUCT((Inputs!$A$5:$A$130=$B6)*ISNUMBER(INDEX(Inputs!$K$5:$AJ$130,0,MATCH(AD$2,Inputs!$K$4:$AJ$4,0))))+SUMPRODUCT((Inputs!$C$5:$C$130=$B6)*ISNUMBER(INDEX(Inputs!$K$5:$AJ$130,0,MATCH(AD$2,Inputs!$K$4:$AJ$4,0))))+SUMPRODUCT((Inputs!$E$5:$E$130=$B6)*ISNUMBER(INDEX(Inputs!$K$5:$AJ$130,0,MATCH(AD$2,Inputs!$K$4:$AJ$4,0))))=0,NA(),SUMPRODUCT((Inputs!$A$5:$A$130=$B6)*Inputs!$B$5:$B$130*(((Inputs!$G$5:$G$130="moeda")+(Inputs!$G$5:$G$130="acoes"))*Inputs!$B$1+((Inputs!$G$5:$G$130&lt;&gt;"moeda")*(Inputs!$G$5:$G$130&lt;&gt;"acoes")))*INDEX(Inputs!$K$5:$AJ$130,0,MATCH(AD$2,Inputs!$K$4:$AJ$4,0)))+SUMPRODUCT((Inputs!$C$5:$C$130=$B6)*Inputs!$D$5:$D$130*(((Inputs!$G$5:$G$130="moeda")+(Inputs!$G$5:$G$130="acoes"))*Inputs!$B$1+((Inputs!$G$5:$G$130&lt;&gt;"moeda")*(Inputs!$G$5:$G$130&lt;&gt;"acoes")))*INDEX(Inputs!$K$5:$AJ$130,0,MATCH(AD$2,Inputs!$K$4:$AJ$4,0)))+SUMPRODUCT((Inputs!$E$5:$E$130=$B6)*Inputs!$F$5:$F$130*(((Inputs!$G$5:$G$130="moeda")+(Inputs!$G$5:$G$130="acoes"))*Inputs!$B$1+((Inputs!$G$5:$G$130&lt;&gt;"moeda")*(Inputs!$G$5:$G$130&lt;&gt;"acoes")))*INDEX(Inputs!$K$5:$AJ$130,0,MATCH(AD$2,Inputs!$K$4:$AJ$4,0)))))</f>
        <v>-7281</v>
      </c>
      <c r="AE6" s="6" t="e">
        <f>IF(ISNA(MATCH(AE$2,Inputs!$K$4:$AJ$4,0)),NA(),IF(SUMPRODUCT((Inputs!$A$5:$A$130=$B6)*ISNUMBER(INDEX(Inputs!$K$5:$AJ$130,0,MATCH(AE$2,Inputs!$K$4:$AJ$4,0))))+SUMPRODUCT((Inputs!$C$5:$C$130=$B6)*ISNUMBER(INDEX(Inputs!$K$5:$AJ$130,0,MATCH(AE$2,Inputs!$K$4:$AJ$4,0))))+SUMPRODUCT((Inputs!$E$5:$E$130=$B6)*ISNUMBER(INDEX(Inputs!$K$5:$AJ$130,0,MATCH(AE$2,Inputs!$K$4:$AJ$4,0))))=0,NA(),SUMPRODUCT((Inputs!$A$5:$A$130=$B6)*Inputs!$B$5:$B$130*(((Inputs!$G$5:$G$130="moeda")+(Inputs!$G$5:$G$130="acoes"))*Inputs!$B$1+((Inputs!$G$5:$G$130&lt;&gt;"moeda")*(Inputs!$G$5:$G$130&lt;&gt;"acoes")))*INDEX(Inputs!$K$5:$AJ$130,0,MATCH(AE$2,Inputs!$K$4:$AJ$4,0)))+SUMPRODUCT((Inputs!$C$5:$C$130=$B6)*Inputs!$D$5:$D$130*(((Inputs!$G$5:$G$130="moeda")+(Inputs!$G$5:$G$130="acoes"))*Inputs!$B$1+((Inputs!$G$5:$G$130&lt;&gt;"moeda")*(Inputs!$G$5:$G$130&lt;&gt;"acoes")))*INDEX(Inputs!$K$5:$AJ$130,0,MATCH(AE$2,Inputs!$K$4:$AJ$4,0)))+SUMPRODUCT((Inputs!$E$5:$E$130=$B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6" s="6" t="e">
        <f>IF(ISNA(MATCH(AF$2,Inputs!$K$4:$AJ$4,0)),NA(),IF(SUMPRODUCT((Inputs!$A$5:$A$130=$B6)*ISNUMBER(INDEX(Inputs!$K$5:$AJ$130,0,MATCH(AF$2,Inputs!$K$4:$AJ$4,0))))+SUMPRODUCT((Inputs!$C$5:$C$130=$B6)*ISNUMBER(INDEX(Inputs!$K$5:$AJ$130,0,MATCH(AF$2,Inputs!$K$4:$AJ$4,0))))+SUMPRODUCT((Inputs!$E$5:$E$130=$B6)*ISNUMBER(INDEX(Inputs!$K$5:$AJ$130,0,MATCH(AF$2,Inputs!$K$4:$AJ$4,0))))=0,NA(),SUMPRODUCT((Inputs!$A$5:$A$130=$B6)*Inputs!$B$5:$B$130*(((Inputs!$G$5:$G$130="moeda")+(Inputs!$G$5:$G$130="acoes"))*Inputs!$B$1+((Inputs!$G$5:$G$130&lt;&gt;"moeda")*(Inputs!$G$5:$G$130&lt;&gt;"acoes")))*INDEX(Inputs!$K$5:$AJ$130,0,MATCH(AF$2,Inputs!$K$4:$AJ$4,0)))+SUMPRODUCT((Inputs!$C$5:$C$130=$B6)*Inputs!$D$5:$D$130*(((Inputs!$G$5:$G$130="moeda")+(Inputs!$G$5:$G$130="acoes"))*Inputs!$B$1+((Inputs!$G$5:$G$130&lt;&gt;"moeda")*(Inputs!$G$5:$G$130&lt;&gt;"acoes")))*INDEX(Inputs!$K$5:$AJ$130,0,MATCH(AF$2,Inputs!$K$4:$AJ$4,0)))+SUMPRODUCT((Inputs!$E$5:$E$130=$B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6" s="3" t="e">
        <f>SUM(AC6:AF6)</f>
        <v>#N/A</v>
      </c>
      <c r="AH6" s="6">
        <f>IF(ISNA(MATCH(AH$2,Inputs!$K$4:$AJ$4,0)),NA(),IF(SUMPRODUCT((Inputs!$A$5:$A$130=$B6)*ISNUMBER(INDEX(Inputs!$K$5:$AJ$130,0,MATCH(AH$2,Inputs!$K$4:$AJ$4,0))))+SUMPRODUCT((Inputs!$C$5:$C$130=$B6)*ISNUMBER(INDEX(Inputs!$K$5:$AJ$130,0,MATCH(AH$2,Inputs!$K$4:$AJ$4,0))))+SUMPRODUCT((Inputs!$E$5:$E$130=$B6)*ISNUMBER(INDEX(Inputs!$K$5:$AJ$130,0,MATCH(AH$2,Inputs!$K$4:$AJ$4,0))))=0,NA(),SUMPRODUCT((Inputs!$A$5:$A$130=$B6)*Inputs!$B$5:$B$130*(((Inputs!$G$5:$G$130="moeda")+(Inputs!$G$5:$G$130="acoes"))*Inputs!$B$1+((Inputs!$G$5:$G$130&lt;&gt;"moeda")*(Inputs!$G$5:$G$130&lt;&gt;"acoes")))*INDEX(Inputs!$K$5:$AJ$130,0,MATCH(AH$2,Inputs!$K$4:$AJ$4,0)))+SUMPRODUCT((Inputs!$C$5:$C$130=$B6)*Inputs!$D$5:$D$130*(((Inputs!$G$5:$G$130="moeda")+(Inputs!$G$5:$G$130="acoes"))*Inputs!$B$1+((Inputs!$G$5:$G$130&lt;&gt;"moeda")*(Inputs!$G$5:$G$130&lt;&gt;"acoes")))*INDEX(Inputs!$K$5:$AJ$130,0,MATCH(AH$2,Inputs!$K$4:$AJ$4,0)))+SUMPRODUCT((Inputs!$E$5:$E$130=$B6)*Inputs!$F$5:$F$130*(((Inputs!$G$5:$G$130="moeda")+(Inputs!$G$5:$G$130="acoes"))*Inputs!$B$1+((Inputs!$G$5:$G$130&lt;&gt;"moeda")*(Inputs!$G$5:$G$130&lt;&gt;"acoes")))*INDEX(Inputs!$K$5:$AJ$130,0,MATCH(AH$2,Inputs!$K$4:$AJ$4,0)))))</f>
        <v>-921</v>
      </c>
      <c r="AI6" s="6">
        <f>IF(ISNA(MATCH(AI$2,Inputs!$K$4:$AJ$4,0)),NA(),IF(SUMPRODUCT((Inputs!$A$5:$A$130=$B6)*ISNUMBER(INDEX(Inputs!$K$5:$AJ$130,0,MATCH(AI$2,Inputs!$K$4:$AJ$4,0))))+SUMPRODUCT((Inputs!$C$5:$C$130=$B6)*ISNUMBER(INDEX(Inputs!$K$5:$AJ$130,0,MATCH(AI$2,Inputs!$K$4:$AJ$4,0))))+SUMPRODUCT((Inputs!$E$5:$E$130=$B6)*ISNUMBER(INDEX(Inputs!$K$5:$AJ$130,0,MATCH(AI$2,Inputs!$K$4:$AJ$4,0))))=0,NA(),SUMPRODUCT((Inputs!$A$5:$A$130=$B6)*Inputs!$B$5:$B$130*(((Inputs!$G$5:$G$130="moeda")+(Inputs!$G$5:$G$130="acoes"))*Inputs!$B$1+((Inputs!$G$5:$G$130&lt;&gt;"moeda")*(Inputs!$G$5:$G$130&lt;&gt;"acoes")))*INDEX(Inputs!$K$5:$AJ$130,0,MATCH(AI$2,Inputs!$K$4:$AJ$4,0)))+SUMPRODUCT((Inputs!$C$5:$C$130=$B6)*Inputs!$D$5:$D$130*(((Inputs!$G$5:$G$130="moeda")+(Inputs!$G$5:$G$130="acoes"))*Inputs!$B$1+((Inputs!$G$5:$G$130&lt;&gt;"moeda")*(Inputs!$G$5:$G$130&lt;&gt;"acoes")))*INDEX(Inputs!$K$5:$AJ$130,0,MATCH(AI$2,Inputs!$K$4:$AJ$4,0)))+SUMPRODUCT((Inputs!$E$5:$E$130=$B6)*Inputs!$F$5:$F$130*(((Inputs!$G$5:$G$130="moeda")+(Inputs!$G$5:$G$130="acoes"))*Inputs!$B$1+((Inputs!$G$5:$G$130&lt;&gt;"moeda")*(Inputs!$G$5:$G$130&lt;&gt;"acoes")))*INDEX(Inputs!$K$5:$AJ$130,0,MATCH(AI$2,Inputs!$K$4:$AJ$4,0)))))</f>
        <v>-1220</v>
      </c>
      <c r="AJ6" s="6">
        <f>IF(ISNA(MATCH(AJ$2,Inputs!$K$4:$AJ$4,0)),NA(),IF(SUMPRODUCT((Inputs!$A$5:$A$130=$B6)*ISNUMBER(INDEX(Inputs!$K$5:$AJ$130,0,MATCH(AJ$2,Inputs!$K$4:$AJ$4,0))))+SUMPRODUCT((Inputs!$C$5:$C$130=$B6)*ISNUMBER(INDEX(Inputs!$K$5:$AJ$130,0,MATCH(AJ$2,Inputs!$K$4:$AJ$4,0))))+SUMPRODUCT((Inputs!$E$5:$E$130=$B6)*ISNUMBER(INDEX(Inputs!$K$5:$AJ$130,0,MATCH(AJ$2,Inputs!$K$4:$AJ$4,0))))=0,NA(),SUMPRODUCT((Inputs!$A$5:$A$130=$B6)*Inputs!$B$5:$B$130*(((Inputs!$G$5:$G$130="moeda")+(Inputs!$G$5:$G$130="acoes"))*Inputs!$B$1+((Inputs!$G$5:$G$130&lt;&gt;"moeda")*(Inputs!$G$5:$G$130&lt;&gt;"acoes")))*INDEX(Inputs!$K$5:$AJ$130,0,MATCH(AJ$2,Inputs!$K$4:$AJ$4,0)))+SUMPRODUCT((Inputs!$C$5:$C$130=$B6)*Inputs!$D$5:$D$130*(((Inputs!$G$5:$G$130="moeda")+(Inputs!$G$5:$G$130="acoes"))*Inputs!$B$1+((Inputs!$G$5:$G$130&lt;&gt;"moeda")*(Inputs!$G$5:$G$130&lt;&gt;"acoes")))*INDEX(Inputs!$K$5:$AJ$130,0,MATCH(AJ$2,Inputs!$K$4:$AJ$4,0)))+SUMPRODUCT((Inputs!$E$5:$E$130=$B6)*Inputs!$F$5:$F$130*(((Inputs!$G$5:$G$130="moeda")+(Inputs!$G$5:$G$130="acoes"))*Inputs!$B$1+((Inputs!$G$5:$G$130&lt;&gt;"moeda")*(Inputs!$G$5:$G$130&lt;&gt;"acoes")))*INDEX(Inputs!$K$5:$AJ$130,0,MATCH(AJ$2,Inputs!$K$4:$AJ$4,0)))))</f>
        <v>-1263</v>
      </c>
      <c r="AK6" s="6">
        <f>IF(ISNA(MATCH(AK$2,Inputs!$K$4:$AJ$4,0)),NA(),IF(SUMPRODUCT((Inputs!$A$5:$A$130=$B6)*ISNUMBER(INDEX(Inputs!$K$5:$AJ$130,0,MATCH(AK$2,Inputs!$K$4:$AJ$4,0))))+SUMPRODUCT((Inputs!$C$5:$C$130=$B6)*ISNUMBER(INDEX(Inputs!$K$5:$AJ$130,0,MATCH(AK$2,Inputs!$K$4:$AJ$4,0))))+SUMPRODUCT((Inputs!$E$5:$E$130=$B6)*ISNUMBER(INDEX(Inputs!$K$5:$AJ$130,0,MATCH(AK$2,Inputs!$K$4:$AJ$4,0))))=0,NA(),SUMPRODUCT((Inputs!$A$5:$A$130=$B6)*Inputs!$B$5:$B$130*(((Inputs!$G$5:$G$130="moeda")+(Inputs!$G$5:$G$130="acoes"))*Inputs!$B$1+((Inputs!$G$5:$G$130&lt;&gt;"moeda")*(Inputs!$G$5:$G$130&lt;&gt;"acoes")))*INDEX(Inputs!$K$5:$AJ$130,0,MATCH(AK$2,Inputs!$K$4:$AJ$4,0)))+SUMPRODUCT((Inputs!$C$5:$C$130=$B6)*Inputs!$D$5:$D$130*(((Inputs!$G$5:$G$130="moeda")+(Inputs!$G$5:$G$130="acoes"))*Inputs!$B$1+((Inputs!$G$5:$G$130&lt;&gt;"moeda")*(Inputs!$G$5:$G$130&lt;&gt;"acoes")))*INDEX(Inputs!$K$5:$AJ$130,0,MATCH(AK$2,Inputs!$K$4:$AJ$4,0)))+SUMPRODUCT((Inputs!$E$5:$E$130=$B6)*Inputs!$F$5:$F$130*(((Inputs!$G$5:$G$130="moeda")+(Inputs!$G$5:$G$130="acoes"))*Inputs!$B$1+((Inputs!$G$5:$G$130&lt;&gt;"moeda")*(Inputs!$G$5:$G$130&lt;&gt;"acoes")))*INDEX(Inputs!$K$5:$AJ$130,0,MATCH(AK$2,Inputs!$K$4:$AJ$4,0)))))</f>
        <v>-1362</v>
      </c>
      <c r="AL6" s="3">
        <f>SUM(AH6:AK6)</f>
        <v>-4766</v>
      </c>
    </row>
    <row r="7">
      <c r="B7" s="46" t="n">
        <v>4</v>
      </c>
      <c r="C7" s="24" t="inlineStr">
        <is>
          <t>D&amp;A</t>
        </is>
      </c>
      <c r="D7" s="6">
        <f>IF(ISNA(MATCH(D$2,Inputs!$K$4:$AJ$4,0)),NA(),IF(SUMPRODUCT((Inputs!$A$5:$A$130=$B7)*ISNUMBER(INDEX(Inputs!$K$5:$AJ$130,0,MATCH(D$2,Inputs!$K$4:$AJ$4,0))))+SUMPRODUCT((Inputs!$C$5:$C$130=$B7)*ISNUMBER(INDEX(Inputs!$K$5:$AJ$130,0,MATCH(D$2,Inputs!$K$4:$AJ$4,0))))+SUMPRODUCT((Inputs!$E$5:$E$130=$B7)*ISNUMBER(INDEX(Inputs!$K$5:$AJ$130,0,MATCH(D$2,Inputs!$K$4:$AJ$4,0))))=0,NA(),SUMPRODUCT((Inputs!$A$5:$A$130=$B7)*Inputs!$B$5:$B$130*(((Inputs!$G$5:$G$130="moeda")+(Inputs!$G$5:$G$130="acoes"))*Inputs!$B$1+((Inputs!$G$5:$G$130&lt;&gt;"moeda")*(Inputs!$G$5:$G$130&lt;&gt;"acoes")))*INDEX(Inputs!$K$5:$AJ$130,0,MATCH(D$2,Inputs!$K$4:$AJ$4,0)))+SUMPRODUCT((Inputs!$C$5:$C$130=$B7)*Inputs!$D$5:$D$130*(((Inputs!$G$5:$G$130="moeda")+(Inputs!$G$5:$G$130="acoes"))*Inputs!$B$1+((Inputs!$G$5:$G$130&lt;&gt;"moeda")*(Inputs!$G$5:$G$130&lt;&gt;"acoes")))*INDEX(Inputs!$K$5:$AJ$130,0,MATCH(D$2,Inputs!$K$4:$AJ$4,0)))+SUMPRODUCT((Inputs!$E$5:$E$130=$B7)*Inputs!$F$5:$F$130*(((Inputs!$G$5:$G$130="moeda")+(Inputs!$G$5:$G$130="acoes"))*Inputs!$B$1+((Inputs!$G$5:$G$130&lt;&gt;"moeda")*(Inputs!$G$5:$G$130&lt;&gt;"acoes")))*INDEX(Inputs!$K$5:$AJ$130,0,MATCH(D$2,Inputs!$K$4:$AJ$4,0)))))</f>
        <v>-281</v>
      </c>
      <c r="E7" s="6">
        <f>IF(ISNA(MATCH(E$2,Inputs!$K$4:$AJ$4,0)),NA(),IF(SUMPRODUCT((Inputs!$A$5:$A$130=$B7)*ISNUMBER(INDEX(Inputs!$K$5:$AJ$130,0,MATCH(E$2,Inputs!$K$4:$AJ$4,0))))+SUMPRODUCT((Inputs!$C$5:$C$130=$B7)*ISNUMBER(INDEX(Inputs!$K$5:$AJ$130,0,MATCH(E$2,Inputs!$K$4:$AJ$4,0))))+SUMPRODUCT((Inputs!$E$5:$E$130=$B7)*ISNUMBER(INDEX(Inputs!$K$5:$AJ$130,0,MATCH(E$2,Inputs!$K$4:$AJ$4,0))))=0,NA(),SUMPRODUCT((Inputs!$A$5:$A$130=$B7)*Inputs!$B$5:$B$130*(((Inputs!$G$5:$G$130="moeda")+(Inputs!$G$5:$G$130="acoes"))*Inputs!$B$1+((Inputs!$G$5:$G$130&lt;&gt;"moeda")*(Inputs!$G$5:$G$130&lt;&gt;"acoes")))*INDEX(Inputs!$K$5:$AJ$130,0,MATCH(E$2,Inputs!$K$4:$AJ$4,0)))+SUMPRODUCT((Inputs!$C$5:$C$130=$B7)*Inputs!$D$5:$D$130*(((Inputs!$G$5:$G$130="moeda")+(Inputs!$G$5:$G$130="acoes"))*Inputs!$B$1+((Inputs!$G$5:$G$130&lt;&gt;"moeda")*(Inputs!$G$5:$G$130&lt;&gt;"acoes")))*INDEX(Inputs!$K$5:$AJ$130,0,MATCH(E$2,Inputs!$K$4:$AJ$4,0)))+SUMPRODUCT((Inputs!$E$5:$E$130=$B7)*Inputs!$F$5:$F$130*(((Inputs!$G$5:$G$130="moeda")+(Inputs!$G$5:$G$130="acoes"))*Inputs!$B$1+((Inputs!$G$5:$G$130&lt;&gt;"moeda")*(Inputs!$G$5:$G$130&lt;&gt;"acoes")))*INDEX(Inputs!$K$5:$AJ$130,0,MATCH(E$2,Inputs!$K$4:$AJ$4,0)))))</f>
        <v>-286</v>
      </c>
      <c r="F7" s="6">
        <f>IF(ISNA(MATCH(F$2,Inputs!$K$4:$AJ$4,0)),NA(),IF(SUMPRODUCT((Inputs!$A$5:$A$130=$B7)*ISNUMBER(INDEX(Inputs!$K$5:$AJ$130,0,MATCH(F$2,Inputs!$K$4:$AJ$4,0))))+SUMPRODUCT((Inputs!$C$5:$C$130=$B7)*ISNUMBER(INDEX(Inputs!$K$5:$AJ$130,0,MATCH(F$2,Inputs!$K$4:$AJ$4,0))))+SUMPRODUCT((Inputs!$E$5:$E$130=$B7)*ISNUMBER(INDEX(Inputs!$K$5:$AJ$130,0,MATCH(F$2,Inputs!$K$4:$AJ$4,0))))=0,NA(),SUMPRODUCT((Inputs!$A$5:$A$130=$B7)*Inputs!$B$5:$B$130*(((Inputs!$G$5:$G$130="moeda")+(Inputs!$G$5:$G$130="acoes"))*Inputs!$B$1+((Inputs!$G$5:$G$130&lt;&gt;"moeda")*(Inputs!$G$5:$G$130&lt;&gt;"acoes")))*INDEX(Inputs!$K$5:$AJ$130,0,MATCH(F$2,Inputs!$K$4:$AJ$4,0)))+SUMPRODUCT((Inputs!$C$5:$C$130=$B7)*Inputs!$D$5:$D$130*(((Inputs!$G$5:$G$130="moeda")+(Inputs!$G$5:$G$130="acoes"))*Inputs!$B$1+((Inputs!$G$5:$G$130&lt;&gt;"moeda")*(Inputs!$G$5:$G$130&lt;&gt;"acoes")))*INDEX(Inputs!$K$5:$AJ$130,0,MATCH(F$2,Inputs!$K$4:$AJ$4,0)))+SUMPRODUCT((Inputs!$E$5:$E$130=$B7)*Inputs!$F$5:$F$130*(((Inputs!$G$5:$G$130="moeda")+(Inputs!$G$5:$G$130="acoes"))*Inputs!$B$1+((Inputs!$G$5:$G$130&lt;&gt;"moeda")*(Inputs!$G$5:$G$130&lt;&gt;"acoes")))*INDEX(Inputs!$K$5:$AJ$130,0,MATCH(F$2,Inputs!$K$4:$AJ$4,0)))))</f>
        <v>-298</v>
      </c>
      <c r="G7" s="6">
        <f>IF(ISNA(MATCH(G$2,Inputs!$K$4:$AJ$4,0)),NA(),IF(SUMPRODUCT((Inputs!$A$5:$A$130=$B7)*ISNUMBER(INDEX(Inputs!$K$5:$AJ$130,0,MATCH(G$2,Inputs!$K$4:$AJ$4,0))))+SUMPRODUCT((Inputs!$C$5:$C$130=$B7)*ISNUMBER(INDEX(Inputs!$K$5:$AJ$130,0,MATCH(G$2,Inputs!$K$4:$AJ$4,0))))+SUMPRODUCT((Inputs!$E$5:$E$130=$B7)*ISNUMBER(INDEX(Inputs!$K$5:$AJ$130,0,MATCH(G$2,Inputs!$K$4:$AJ$4,0))))=0,NA(),SUMPRODUCT((Inputs!$A$5:$A$130=$B7)*Inputs!$B$5:$B$130*(((Inputs!$G$5:$G$130="moeda")+(Inputs!$G$5:$G$130="acoes"))*Inputs!$B$1+((Inputs!$G$5:$G$130&lt;&gt;"moeda")*(Inputs!$G$5:$G$130&lt;&gt;"acoes")))*INDEX(Inputs!$K$5:$AJ$130,0,MATCH(G$2,Inputs!$K$4:$AJ$4,0)))+SUMPRODUCT((Inputs!$C$5:$C$130=$B7)*Inputs!$D$5:$D$130*(((Inputs!$G$5:$G$130="moeda")+(Inputs!$G$5:$G$130="acoes"))*Inputs!$B$1+((Inputs!$G$5:$G$130&lt;&gt;"moeda")*(Inputs!$G$5:$G$130&lt;&gt;"acoes")))*INDEX(Inputs!$K$5:$AJ$130,0,MATCH(G$2,Inputs!$K$4:$AJ$4,0)))+SUMPRODUCT((Inputs!$E$5:$E$130=$B7)*Inputs!$F$5:$F$130*(((Inputs!$G$5:$G$130="moeda")+(Inputs!$G$5:$G$130="acoes"))*Inputs!$B$1+((Inputs!$G$5:$G$130&lt;&gt;"moeda")*(Inputs!$G$5:$G$130&lt;&gt;"acoes")))*INDEX(Inputs!$K$5:$AJ$130,0,MATCH(G$2,Inputs!$K$4:$AJ$4,0)))))</f>
        <v>-309</v>
      </c>
      <c r="H7" s="3">
        <f>SUM(D7:G7)</f>
        <v>-1174</v>
      </c>
      <c r="I7" s="6">
        <f>IF(ISNA(MATCH(I$2,Inputs!$K$4:$AJ$4,0)),NA(),IF(SUMPRODUCT((Inputs!$A$5:$A$130=$B7)*ISNUMBER(INDEX(Inputs!$K$5:$AJ$130,0,MATCH(I$2,Inputs!$K$4:$AJ$4,0))))+SUMPRODUCT((Inputs!$C$5:$C$130=$B7)*ISNUMBER(INDEX(Inputs!$K$5:$AJ$130,0,MATCH(I$2,Inputs!$K$4:$AJ$4,0))))+SUMPRODUCT((Inputs!$E$5:$E$130=$B7)*ISNUMBER(INDEX(Inputs!$K$5:$AJ$130,0,MATCH(I$2,Inputs!$K$4:$AJ$4,0))))=0,NA(),SUMPRODUCT((Inputs!$A$5:$A$130=$B7)*Inputs!$B$5:$B$130*(((Inputs!$G$5:$G$130="moeda")+(Inputs!$G$5:$G$130="acoes"))*Inputs!$B$1+((Inputs!$G$5:$G$130&lt;&gt;"moeda")*(Inputs!$G$5:$G$130&lt;&gt;"acoes")))*INDEX(Inputs!$K$5:$AJ$130,0,MATCH(I$2,Inputs!$K$4:$AJ$4,0)))+SUMPRODUCT((Inputs!$C$5:$C$130=$B7)*Inputs!$D$5:$D$130*(((Inputs!$G$5:$G$130="moeda")+(Inputs!$G$5:$G$130="acoes"))*Inputs!$B$1+((Inputs!$G$5:$G$130&lt;&gt;"moeda")*(Inputs!$G$5:$G$130&lt;&gt;"acoes")))*INDEX(Inputs!$K$5:$AJ$130,0,MATCH(I$2,Inputs!$K$4:$AJ$4,0)))+SUMPRODUCT((Inputs!$E$5:$E$130=$B7)*Inputs!$F$5:$F$130*(((Inputs!$G$5:$G$130="moeda")+(Inputs!$G$5:$G$130="acoes"))*Inputs!$B$1+((Inputs!$G$5:$G$130&lt;&gt;"moeda")*(Inputs!$G$5:$G$130&lt;&gt;"acoes")))*INDEX(Inputs!$K$5:$AJ$130,0,MATCH(I$2,Inputs!$K$4:$AJ$4,0)))))</f>
        <v>-334</v>
      </c>
      <c r="J7" s="6">
        <f>IF(ISNA(MATCH(J$2,Inputs!$K$4:$AJ$4,0)),NA(),IF(SUMPRODUCT((Inputs!$A$5:$A$130=$B7)*ISNUMBER(INDEX(Inputs!$K$5:$AJ$130,0,MATCH(J$2,Inputs!$K$4:$AJ$4,0))))+SUMPRODUCT((Inputs!$C$5:$C$130=$B7)*ISNUMBER(INDEX(Inputs!$K$5:$AJ$130,0,MATCH(J$2,Inputs!$K$4:$AJ$4,0))))+SUMPRODUCT((Inputs!$E$5:$E$130=$B7)*ISNUMBER(INDEX(Inputs!$K$5:$AJ$130,0,MATCH(J$2,Inputs!$K$4:$AJ$4,0))))=0,NA(),SUMPRODUCT((Inputs!$A$5:$A$130=$B7)*Inputs!$B$5:$B$130*(((Inputs!$G$5:$G$130="moeda")+(Inputs!$G$5:$G$130="acoes"))*Inputs!$B$1+((Inputs!$G$5:$G$130&lt;&gt;"moeda")*(Inputs!$G$5:$G$130&lt;&gt;"acoes")))*INDEX(Inputs!$K$5:$AJ$130,0,MATCH(J$2,Inputs!$K$4:$AJ$4,0)))+SUMPRODUCT((Inputs!$C$5:$C$130=$B7)*Inputs!$D$5:$D$130*(((Inputs!$G$5:$G$130="moeda")+(Inputs!$G$5:$G$130="acoes"))*Inputs!$B$1+((Inputs!$G$5:$G$130&lt;&gt;"moeda")*(Inputs!$G$5:$G$130&lt;&gt;"acoes")))*INDEX(Inputs!$K$5:$AJ$130,0,MATCH(J$2,Inputs!$K$4:$AJ$4,0)))+SUMPRODUCT((Inputs!$E$5:$E$130=$B7)*Inputs!$F$5:$F$130*(((Inputs!$G$5:$G$130="moeda")+(Inputs!$G$5:$G$130="acoes"))*Inputs!$B$1+((Inputs!$G$5:$G$130&lt;&gt;"moeda")*(Inputs!$G$5:$G$130&lt;&gt;"acoes")))*INDEX(Inputs!$K$5:$AJ$130,0,MATCH(J$2,Inputs!$K$4:$AJ$4,0)))))</f>
        <v>-378</v>
      </c>
      <c r="K7" s="6">
        <f>IF(ISNA(MATCH(K$2,Inputs!$K$4:$AJ$4,0)),NA(),IF(SUMPRODUCT((Inputs!$A$5:$A$130=$B7)*ISNUMBER(INDEX(Inputs!$K$5:$AJ$130,0,MATCH(K$2,Inputs!$K$4:$AJ$4,0))))+SUMPRODUCT((Inputs!$C$5:$C$130=$B7)*ISNUMBER(INDEX(Inputs!$K$5:$AJ$130,0,MATCH(K$2,Inputs!$K$4:$AJ$4,0))))+SUMPRODUCT((Inputs!$E$5:$E$130=$B7)*ISNUMBER(INDEX(Inputs!$K$5:$AJ$130,0,MATCH(K$2,Inputs!$K$4:$AJ$4,0))))=0,NA(),SUMPRODUCT((Inputs!$A$5:$A$130=$B7)*Inputs!$B$5:$B$130*(((Inputs!$G$5:$G$130="moeda")+(Inputs!$G$5:$G$130="acoes"))*Inputs!$B$1+((Inputs!$G$5:$G$130&lt;&gt;"moeda")*(Inputs!$G$5:$G$130&lt;&gt;"acoes")))*INDEX(Inputs!$K$5:$AJ$130,0,MATCH(K$2,Inputs!$K$4:$AJ$4,0)))+SUMPRODUCT((Inputs!$C$5:$C$130=$B7)*Inputs!$D$5:$D$130*(((Inputs!$G$5:$G$130="moeda")+(Inputs!$G$5:$G$130="acoes"))*Inputs!$B$1+((Inputs!$G$5:$G$130&lt;&gt;"moeda")*(Inputs!$G$5:$G$130&lt;&gt;"acoes")))*INDEX(Inputs!$K$5:$AJ$130,0,MATCH(K$2,Inputs!$K$4:$AJ$4,0)))+SUMPRODUCT((Inputs!$E$5:$E$130=$B7)*Inputs!$F$5:$F$130*(((Inputs!$G$5:$G$130="moeda")+(Inputs!$G$5:$G$130="acoes"))*Inputs!$B$1+((Inputs!$G$5:$G$130&lt;&gt;"moeda")*(Inputs!$G$5:$G$130&lt;&gt;"acoes")))*INDEX(Inputs!$K$5:$AJ$130,0,MATCH(K$2,Inputs!$K$4:$AJ$4,0)))))</f>
        <v>-406</v>
      </c>
      <c r="L7" s="6">
        <f>IF(ISNA(MATCH(L$2,Inputs!$K$4:$AJ$4,0)),NA(),IF(SUMPRODUCT((Inputs!$A$5:$A$130=$B7)*ISNUMBER(INDEX(Inputs!$K$5:$AJ$130,0,MATCH(L$2,Inputs!$K$4:$AJ$4,0))))+SUMPRODUCT((Inputs!$C$5:$C$130=$B7)*ISNUMBER(INDEX(Inputs!$K$5:$AJ$130,0,MATCH(L$2,Inputs!$K$4:$AJ$4,0))))+SUMPRODUCT((Inputs!$E$5:$E$130=$B7)*ISNUMBER(INDEX(Inputs!$K$5:$AJ$130,0,MATCH(L$2,Inputs!$K$4:$AJ$4,0))))=0,NA(),SUMPRODUCT((Inputs!$A$5:$A$130=$B7)*Inputs!$B$5:$B$130*(((Inputs!$G$5:$G$130="moeda")+(Inputs!$G$5:$G$130="acoes"))*Inputs!$B$1+((Inputs!$G$5:$G$130&lt;&gt;"moeda")*(Inputs!$G$5:$G$130&lt;&gt;"acoes")))*INDEX(Inputs!$K$5:$AJ$130,0,MATCH(L$2,Inputs!$K$4:$AJ$4,0)))+SUMPRODUCT((Inputs!$C$5:$C$130=$B7)*Inputs!$D$5:$D$130*(((Inputs!$G$5:$G$130="moeda")+(Inputs!$G$5:$G$130="acoes"))*Inputs!$B$1+((Inputs!$G$5:$G$130&lt;&gt;"moeda")*(Inputs!$G$5:$G$130&lt;&gt;"acoes")))*INDEX(Inputs!$K$5:$AJ$130,0,MATCH(L$2,Inputs!$K$4:$AJ$4,0)))+SUMPRODUCT((Inputs!$E$5:$E$130=$B7)*Inputs!$F$5:$F$130*(((Inputs!$G$5:$G$130="moeda")+(Inputs!$G$5:$G$130="acoes"))*Inputs!$B$1+((Inputs!$G$5:$G$130&lt;&gt;"moeda")*(Inputs!$G$5:$G$130&lt;&gt;"acoes")))*INDEX(Inputs!$K$5:$AJ$130,0,MATCH(L$2,Inputs!$K$4:$AJ$4,0)))))</f>
        <v>-426</v>
      </c>
      <c r="M7" s="3">
        <f>SUM(I7:L7)</f>
        <v>-1544</v>
      </c>
      <c r="N7" s="6">
        <f>IF(ISNA(MATCH(N$2,Inputs!$K$4:$AJ$4,0)),NA(),IF(SUMPRODUCT((Inputs!$A$5:$A$130=$B7)*ISNUMBER(INDEX(Inputs!$K$5:$AJ$130,0,MATCH(N$2,Inputs!$K$4:$AJ$4,0))))+SUMPRODUCT((Inputs!$C$5:$C$130=$B7)*ISNUMBER(INDEX(Inputs!$K$5:$AJ$130,0,MATCH(N$2,Inputs!$K$4:$AJ$4,0))))+SUMPRODUCT((Inputs!$E$5:$E$130=$B7)*ISNUMBER(INDEX(Inputs!$K$5:$AJ$130,0,MATCH(N$2,Inputs!$K$4:$AJ$4,0))))=0,NA(),SUMPRODUCT((Inputs!$A$5:$A$130=$B7)*Inputs!$B$5:$B$130*(((Inputs!$G$5:$G$130="moeda")+(Inputs!$G$5:$G$130="acoes"))*Inputs!$B$1+((Inputs!$G$5:$G$130&lt;&gt;"moeda")*(Inputs!$G$5:$G$130&lt;&gt;"acoes")))*INDEX(Inputs!$K$5:$AJ$130,0,MATCH(N$2,Inputs!$K$4:$AJ$4,0)))+SUMPRODUCT((Inputs!$C$5:$C$130=$B7)*Inputs!$D$5:$D$130*(((Inputs!$G$5:$G$130="moeda")+(Inputs!$G$5:$G$130="acoes"))*Inputs!$B$1+((Inputs!$G$5:$G$130&lt;&gt;"moeda")*(Inputs!$G$5:$G$130&lt;&gt;"acoes")))*INDEX(Inputs!$K$5:$AJ$130,0,MATCH(N$2,Inputs!$K$4:$AJ$4,0)))+SUMPRODUCT((Inputs!$E$5:$E$130=$B7)*Inputs!$F$5:$F$130*(((Inputs!$G$5:$G$130="moeda")+(Inputs!$G$5:$G$130="acoes"))*Inputs!$B$1+((Inputs!$G$5:$G$130&lt;&gt;"moeda")*(Inputs!$G$5:$G$130&lt;&gt;"acoes")))*INDEX(Inputs!$K$5:$AJ$130,0,MATCH(N$2,Inputs!$K$4:$AJ$4,0)))))</f>
        <v>-384</v>
      </c>
      <c r="O7" s="6">
        <f>IF(ISNA(MATCH(O$2,Inputs!$K$4:$AJ$4,0)),NA(),IF(SUMPRODUCT((Inputs!$A$5:$A$130=$B7)*ISNUMBER(INDEX(Inputs!$K$5:$AJ$130,0,MATCH(O$2,Inputs!$K$4:$AJ$4,0))))+SUMPRODUCT((Inputs!$C$5:$C$130=$B7)*ISNUMBER(INDEX(Inputs!$K$5:$AJ$130,0,MATCH(O$2,Inputs!$K$4:$AJ$4,0))))+SUMPRODUCT((Inputs!$E$5:$E$130=$B7)*ISNUMBER(INDEX(Inputs!$K$5:$AJ$130,0,MATCH(O$2,Inputs!$K$4:$AJ$4,0))))=0,NA(),SUMPRODUCT((Inputs!$A$5:$A$130=$B7)*Inputs!$B$5:$B$130*(((Inputs!$G$5:$G$130="moeda")+(Inputs!$G$5:$G$130="acoes"))*Inputs!$B$1+((Inputs!$G$5:$G$130&lt;&gt;"moeda")*(Inputs!$G$5:$G$130&lt;&gt;"acoes")))*INDEX(Inputs!$K$5:$AJ$130,0,MATCH(O$2,Inputs!$K$4:$AJ$4,0)))+SUMPRODUCT((Inputs!$C$5:$C$130=$B7)*Inputs!$D$5:$D$130*(((Inputs!$G$5:$G$130="moeda")+(Inputs!$G$5:$G$130="acoes"))*Inputs!$B$1+((Inputs!$G$5:$G$130&lt;&gt;"moeda")*(Inputs!$G$5:$G$130&lt;&gt;"acoes")))*INDEX(Inputs!$K$5:$AJ$130,0,MATCH(O$2,Inputs!$K$4:$AJ$4,0)))+SUMPRODUCT((Inputs!$E$5:$E$130=$B7)*Inputs!$F$5:$F$130*(((Inputs!$G$5:$G$130="moeda")+(Inputs!$G$5:$G$130="acoes"))*Inputs!$B$1+((Inputs!$G$5:$G$130&lt;&gt;"moeda")*(Inputs!$G$5:$G$130&lt;&gt;"acoes")))*INDEX(Inputs!$K$5:$AJ$130,0,MATCH(O$2,Inputs!$K$4:$AJ$4,0)))))</f>
        <v>-365</v>
      </c>
      <c r="P7" s="6">
        <f>IF(ISNA(MATCH(P$2,Inputs!$K$4:$AJ$4,0)),NA(),IF(SUMPRODUCT((Inputs!$A$5:$A$130=$B7)*ISNUMBER(INDEX(Inputs!$K$5:$AJ$130,0,MATCH(P$2,Inputs!$K$4:$AJ$4,0))))+SUMPRODUCT((Inputs!$C$5:$C$130=$B7)*ISNUMBER(INDEX(Inputs!$K$5:$AJ$130,0,MATCH(P$2,Inputs!$K$4:$AJ$4,0))))+SUMPRODUCT((Inputs!$E$5:$E$130=$B7)*ISNUMBER(INDEX(Inputs!$K$5:$AJ$130,0,MATCH(P$2,Inputs!$K$4:$AJ$4,0))))=0,NA(),SUMPRODUCT((Inputs!$A$5:$A$130=$B7)*Inputs!$B$5:$B$130*(((Inputs!$G$5:$G$130="moeda")+(Inputs!$G$5:$G$130="acoes"))*Inputs!$B$1+((Inputs!$G$5:$G$130&lt;&gt;"moeda")*(Inputs!$G$5:$G$130&lt;&gt;"acoes")))*INDEX(Inputs!$K$5:$AJ$130,0,MATCH(P$2,Inputs!$K$4:$AJ$4,0)))+SUMPRODUCT((Inputs!$C$5:$C$130=$B7)*Inputs!$D$5:$D$130*(((Inputs!$G$5:$G$130="moeda")+(Inputs!$G$5:$G$130="acoes"))*Inputs!$B$1+((Inputs!$G$5:$G$130&lt;&gt;"moeda")*(Inputs!$G$5:$G$130&lt;&gt;"acoes")))*INDEX(Inputs!$K$5:$AJ$130,0,MATCH(P$2,Inputs!$K$4:$AJ$4,0)))+SUMPRODUCT((Inputs!$E$5:$E$130=$B7)*Inputs!$F$5:$F$130*(((Inputs!$G$5:$G$130="moeda")+(Inputs!$G$5:$G$130="acoes"))*Inputs!$B$1+((Inputs!$G$5:$G$130&lt;&gt;"moeda")*(Inputs!$G$5:$G$130&lt;&gt;"acoes")))*INDEX(Inputs!$K$5:$AJ$130,0,MATCH(P$2,Inputs!$K$4:$AJ$4,0)))))</f>
        <v>-372</v>
      </c>
      <c r="Q7" s="6">
        <f>IF(ISNA(MATCH(Q$2,Inputs!$K$4:$AJ$4,0)),NA(),IF(SUMPRODUCT((Inputs!$A$5:$A$130=$B7)*ISNUMBER(INDEX(Inputs!$K$5:$AJ$130,0,MATCH(Q$2,Inputs!$K$4:$AJ$4,0))))+SUMPRODUCT((Inputs!$C$5:$C$130=$B7)*ISNUMBER(INDEX(Inputs!$K$5:$AJ$130,0,MATCH(Q$2,Inputs!$K$4:$AJ$4,0))))+SUMPRODUCT((Inputs!$E$5:$E$130=$B7)*ISNUMBER(INDEX(Inputs!$K$5:$AJ$130,0,MATCH(Q$2,Inputs!$K$4:$AJ$4,0))))=0,NA(),SUMPRODUCT((Inputs!$A$5:$A$130=$B7)*Inputs!$B$5:$B$130*(((Inputs!$G$5:$G$130="moeda")+(Inputs!$G$5:$G$130="acoes"))*Inputs!$B$1+((Inputs!$G$5:$G$130&lt;&gt;"moeda")*(Inputs!$G$5:$G$130&lt;&gt;"acoes")))*INDEX(Inputs!$K$5:$AJ$130,0,MATCH(Q$2,Inputs!$K$4:$AJ$4,0)))+SUMPRODUCT((Inputs!$C$5:$C$130=$B7)*Inputs!$D$5:$D$130*(((Inputs!$G$5:$G$130="moeda")+(Inputs!$G$5:$G$130="acoes"))*Inputs!$B$1+((Inputs!$G$5:$G$130&lt;&gt;"moeda")*(Inputs!$G$5:$G$130&lt;&gt;"acoes")))*INDEX(Inputs!$K$5:$AJ$130,0,MATCH(Q$2,Inputs!$K$4:$AJ$4,0)))+SUMPRODUCT((Inputs!$E$5:$E$130=$B7)*Inputs!$F$5:$F$130*(((Inputs!$G$5:$G$130="moeda")+(Inputs!$G$5:$G$130="acoes"))*Inputs!$B$1+((Inputs!$G$5:$G$130&lt;&gt;"moeda")*(Inputs!$G$5:$G$130&lt;&gt;"acoes")))*INDEX(Inputs!$K$5:$AJ$130,0,MATCH(Q$2,Inputs!$K$4:$AJ$4,0)))))</f>
        <v>-387</v>
      </c>
      <c r="R7" s="3">
        <f>SUM(N7:Q7)</f>
        <v>-1508</v>
      </c>
      <c r="S7" s="6">
        <f>IF(ISNA(MATCH(S$2,Inputs!$K$4:$AJ$4,0)),NA(),IF(SUMPRODUCT((Inputs!$A$5:$A$130=$B7)*ISNUMBER(INDEX(Inputs!$K$5:$AJ$130,0,MATCH(S$2,Inputs!$K$4:$AJ$4,0))))+SUMPRODUCT((Inputs!$C$5:$C$130=$B7)*ISNUMBER(INDEX(Inputs!$K$5:$AJ$130,0,MATCH(S$2,Inputs!$K$4:$AJ$4,0))))+SUMPRODUCT((Inputs!$E$5:$E$130=$B7)*ISNUMBER(INDEX(Inputs!$K$5:$AJ$130,0,MATCH(S$2,Inputs!$K$4:$AJ$4,0))))=0,NA(),SUMPRODUCT((Inputs!$A$5:$A$130=$B7)*Inputs!$B$5:$B$130*(((Inputs!$G$5:$G$130="moeda")+(Inputs!$G$5:$G$130="acoes"))*Inputs!$B$1+((Inputs!$G$5:$G$130&lt;&gt;"moeda")*(Inputs!$G$5:$G$130&lt;&gt;"acoes")))*INDEX(Inputs!$K$5:$AJ$130,0,MATCH(S$2,Inputs!$K$4:$AJ$4,0)))+SUMPRODUCT((Inputs!$C$5:$C$130=$B7)*Inputs!$D$5:$D$130*(((Inputs!$G$5:$G$130="moeda")+(Inputs!$G$5:$G$130="acoes"))*Inputs!$B$1+((Inputs!$G$5:$G$130&lt;&gt;"moeda")*(Inputs!$G$5:$G$130&lt;&gt;"acoes")))*INDEX(Inputs!$K$5:$AJ$130,0,MATCH(S$2,Inputs!$K$4:$AJ$4,0)))+SUMPRODUCT((Inputs!$E$5:$E$130=$B7)*Inputs!$F$5:$F$130*(((Inputs!$G$5:$G$130="moeda")+(Inputs!$G$5:$G$130="acoes"))*Inputs!$B$1+((Inputs!$G$5:$G$130&lt;&gt;"moeda")*(Inputs!$G$5:$G$130&lt;&gt;"acoes")))*INDEX(Inputs!$K$5:$AJ$130,0,MATCH(S$2,Inputs!$K$4:$AJ$4,0)))))</f>
        <v>-410</v>
      </c>
      <c r="T7" s="6">
        <f>IF(ISNA(MATCH(T$2,Inputs!$K$4:$AJ$4,0)),NA(),IF(SUMPRODUCT((Inputs!$A$5:$A$130=$B7)*ISNUMBER(INDEX(Inputs!$K$5:$AJ$130,0,MATCH(T$2,Inputs!$K$4:$AJ$4,0))))+SUMPRODUCT((Inputs!$C$5:$C$130=$B7)*ISNUMBER(INDEX(Inputs!$K$5:$AJ$130,0,MATCH(T$2,Inputs!$K$4:$AJ$4,0))))+SUMPRODUCT((Inputs!$E$5:$E$130=$B7)*ISNUMBER(INDEX(Inputs!$K$5:$AJ$130,0,MATCH(T$2,Inputs!$K$4:$AJ$4,0))))=0,NA(),SUMPRODUCT((Inputs!$A$5:$A$130=$B7)*Inputs!$B$5:$B$130*(((Inputs!$G$5:$G$130="moeda")+(Inputs!$G$5:$G$130="acoes"))*Inputs!$B$1+((Inputs!$G$5:$G$130&lt;&gt;"moeda")*(Inputs!$G$5:$G$130&lt;&gt;"acoes")))*INDEX(Inputs!$K$5:$AJ$130,0,MATCH(T$2,Inputs!$K$4:$AJ$4,0)))+SUMPRODUCT((Inputs!$C$5:$C$130=$B7)*Inputs!$D$5:$D$130*(((Inputs!$G$5:$G$130="moeda")+(Inputs!$G$5:$G$130="acoes"))*Inputs!$B$1+((Inputs!$G$5:$G$130&lt;&gt;"moeda")*(Inputs!$G$5:$G$130&lt;&gt;"acoes")))*INDEX(Inputs!$K$5:$AJ$130,0,MATCH(T$2,Inputs!$K$4:$AJ$4,0)))+SUMPRODUCT((Inputs!$E$5:$E$130=$B7)*Inputs!$F$5:$F$130*(((Inputs!$G$5:$G$130="moeda")+(Inputs!$G$5:$G$130="acoes"))*Inputs!$B$1+((Inputs!$G$5:$G$130&lt;&gt;"moeda")*(Inputs!$G$5:$G$130&lt;&gt;"acoes")))*INDEX(Inputs!$K$5:$AJ$130,0,MATCH(T$2,Inputs!$K$4:$AJ$4,0)))))</f>
        <v>-433</v>
      </c>
      <c r="U7" s="6">
        <f>IF(ISNA(MATCH(U$2,Inputs!$K$4:$AJ$4,0)),NA(),IF(SUMPRODUCT((Inputs!$A$5:$A$130=$B7)*ISNUMBER(INDEX(Inputs!$K$5:$AJ$130,0,MATCH(U$2,Inputs!$K$4:$AJ$4,0))))+SUMPRODUCT((Inputs!$C$5:$C$130=$B7)*ISNUMBER(INDEX(Inputs!$K$5:$AJ$130,0,MATCH(U$2,Inputs!$K$4:$AJ$4,0))))+SUMPRODUCT((Inputs!$E$5:$E$130=$B7)*ISNUMBER(INDEX(Inputs!$K$5:$AJ$130,0,MATCH(U$2,Inputs!$K$4:$AJ$4,0))))=0,NA(),SUMPRODUCT((Inputs!$A$5:$A$130=$B7)*Inputs!$B$5:$B$130*(((Inputs!$G$5:$G$130="moeda")+(Inputs!$G$5:$G$130="acoes"))*Inputs!$B$1+((Inputs!$G$5:$G$130&lt;&gt;"moeda")*(Inputs!$G$5:$G$130&lt;&gt;"acoes")))*INDEX(Inputs!$K$5:$AJ$130,0,MATCH(U$2,Inputs!$K$4:$AJ$4,0)))+SUMPRODUCT((Inputs!$C$5:$C$130=$B7)*Inputs!$D$5:$D$130*(((Inputs!$G$5:$G$130="moeda")+(Inputs!$G$5:$G$130="acoes"))*Inputs!$B$1+((Inputs!$G$5:$G$130&lt;&gt;"moeda")*(Inputs!$G$5:$G$130&lt;&gt;"acoes")))*INDEX(Inputs!$K$5:$AJ$130,0,MATCH(U$2,Inputs!$K$4:$AJ$4,0)))+SUMPRODUCT((Inputs!$E$5:$E$130=$B7)*Inputs!$F$5:$F$130*(((Inputs!$G$5:$G$130="moeda")+(Inputs!$G$5:$G$130="acoes"))*Inputs!$B$1+((Inputs!$G$5:$G$130&lt;&gt;"moeda")*(Inputs!$G$5:$G$130&lt;&gt;"acoes")))*INDEX(Inputs!$K$5:$AJ$130,0,MATCH(U$2,Inputs!$K$4:$AJ$4,0)))))</f>
        <v>-478</v>
      </c>
      <c r="V7" s="6">
        <f>IF(ISNA(MATCH(V$2,Inputs!$K$4:$AJ$4,0)),NA(),IF(SUMPRODUCT((Inputs!$A$5:$A$130=$B7)*ISNUMBER(INDEX(Inputs!$K$5:$AJ$130,0,MATCH(V$2,Inputs!$K$4:$AJ$4,0))))+SUMPRODUCT((Inputs!$C$5:$C$130=$B7)*ISNUMBER(INDEX(Inputs!$K$5:$AJ$130,0,MATCH(V$2,Inputs!$K$4:$AJ$4,0))))+SUMPRODUCT((Inputs!$E$5:$E$130=$B7)*ISNUMBER(INDEX(Inputs!$K$5:$AJ$130,0,MATCH(V$2,Inputs!$K$4:$AJ$4,0))))=0,NA(),SUMPRODUCT((Inputs!$A$5:$A$130=$B7)*Inputs!$B$5:$B$130*(((Inputs!$G$5:$G$130="moeda")+(Inputs!$G$5:$G$130="acoes"))*Inputs!$B$1+((Inputs!$G$5:$G$130&lt;&gt;"moeda")*(Inputs!$G$5:$G$130&lt;&gt;"acoes")))*INDEX(Inputs!$K$5:$AJ$130,0,MATCH(V$2,Inputs!$K$4:$AJ$4,0)))+SUMPRODUCT((Inputs!$C$5:$C$130=$B7)*Inputs!$D$5:$D$130*(((Inputs!$G$5:$G$130="moeda")+(Inputs!$G$5:$G$130="acoes"))*Inputs!$B$1+((Inputs!$G$5:$G$130&lt;&gt;"moeda")*(Inputs!$G$5:$G$130&lt;&gt;"acoes")))*INDEX(Inputs!$K$5:$AJ$130,0,MATCH(V$2,Inputs!$K$4:$AJ$4,0)))+SUMPRODUCT((Inputs!$E$5:$E$130=$B7)*Inputs!$F$5:$F$130*(((Inputs!$G$5:$G$130="moeda")+(Inputs!$G$5:$G$130="acoes"))*Inputs!$B$1+((Inputs!$G$5:$G$130&lt;&gt;"moeda")*(Inputs!$G$5:$G$130&lt;&gt;"acoes")))*INDEX(Inputs!$K$5:$AJ$130,0,MATCH(V$2,Inputs!$K$4:$AJ$4,0)))))</f>
        <v>-543</v>
      </c>
      <c r="W7" s="3">
        <f>SUM(S7:V7)</f>
        <v>-1864</v>
      </c>
      <c r="X7" s="6">
        <f>IF(ISNA(MATCH(X$2,Inputs!$K$4:$AJ$4,0)),NA(),IF(SUMPRODUCT((Inputs!$A$5:$A$130=$B7)*ISNUMBER(INDEX(Inputs!$K$5:$AJ$130,0,MATCH(X$2,Inputs!$K$4:$AJ$4,0))))+SUMPRODUCT((Inputs!$C$5:$C$130=$B7)*ISNUMBER(INDEX(Inputs!$K$5:$AJ$130,0,MATCH(X$2,Inputs!$K$4:$AJ$4,0))))+SUMPRODUCT((Inputs!$E$5:$E$130=$B7)*ISNUMBER(INDEX(Inputs!$K$5:$AJ$130,0,MATCH(X$2,Inputs!$K$4:$AJ$4,0))))=0,NA(),SUMPRODUCT((Inputs!$A$5:$A$130=$B7)*Inputs!$B$5:$B$130*(((Inputs!$G$5:$G$130="moeda")+(Inputs!$G$5:$G$130="acoes"))*Inputs!$B$1+((Inputs!$G$5:$G$130&lt;&gt;"moeda")*(Inputs!$G$5:$G$130&lt;&gt;"acoes")))*INDEX(Inputs!$K$5:$AJ$130,0,MATCH(X$2,Inputs!$K$4:$AJ$4,0)))+SUMPRODUCT((Inputs!$C$5:$C$130=$B7)*Inputs!$D$5:$D$130*(((Inputs!$G$5:$G$130="moeda")+(Inputs!$G$5:$G$130="acoes"))*Inputs!$B$1+((Inputs!$G$5:$G$130&lt;&gt;"moeda")*(Inputs!$G$5:$G$130&lt;&gt;"acoes")))*INDEX(Inputs!$K$5:$AJ$130,0,MATCH(X$2,Inputs!$K$4:$AJ$4,0)))+SUMPRODUCT((Inputs!$E$5:$E$130=$B7)*Inputs!$F$5:$F$130*(((Inputs!$G$5:$G$130="moeda")+(Inputs!$G$5:$G$130="acoes"))*Inputs!$B$1+((Inputs!$G$5:$G$130&lt;&gt;"moeda")*(Inputs!$G$5:$G$130&lt;&gt;"acoes")))*INDEX(Inputs!$K$5:$AJ$130,0,MATCH(X$2,Inputs!$K$4:$AJ$4,0)))))</f>
        <v>-611</v>
      </c>
      <c r="Y7" s="6">
        <f>IF(ISNA(MATCH(Y$2,Inputs!$K$4:$AJ$4,0)),NA(),IF(SUMPRODUCT((Inputs!$A$5:$A$130=$B7)*ISNUMBER(INDEX(Inputs!$K$5:$AJ$130,0,MATCH(Y$2,Inputs!$K$4:$AJ$4,0))))+SUMPRODUCT((Inputs!$C$5:$C$130=$B7)*ISNUMBER(INDEX(Inputs!$K$5:$AJ$130,0,MATCH(Y$2,Inputs!$K$4:$AJ$4,0))))+SUMPRODUCT((Inputs!$E$5:$E$130=$B7)*ISNUMBER(INDEX(Inputs!$K$5:$AJ$130,0,MATCH(Y$2,Inputs!$K$4:$AJ$4,0))))=0,NA(),SUMPRODUCT((Inputs!$A$5:$A$130=$B7)*Inputs!$B$5:$B$130*(((Inputs!$G$5:$G$130="moeda")+(Inputs!$G$5:$G$130="acoes"))*Inputs!$B$1+((Inputs!$G$5:$G$130&lt;&gt;"moeda")*(Inputs!$G$5:$G$130&lt;&gt;"acoes")))*INDEX(Inputs!$K$5:$AJ$130,0,MATCH(Y$2,Inputs!$K$4:$AJ$4,0)))+SUMPRODUCT((Inputs!$C$5:$C$130=$B7)*Inputs!$D$5:$D$130*(((Inputs!$G$5:$G$130="moeda")+(Inputs!$G$5:$G$130="acoes"))*Inputs!$B$1+((Inputs!$G$5:$G$130&lt;&gt;"moeda")*(Inputs!$G$5:$G$130&lt;&gt;"acoes")))*INDEX(Inputs!$K$5:$AJ$130,0,MATCH(Y$2,Inputs!$K$4:$AJ$4,0)))+SUMPRODUCT((Inputs!$E$5:$E$130=$B7)*Inputs!$F$5:$F$130*(((Inputs!$G$5:$G$130="moeda")+(Inputs!$G$5:$G$130="acoes"))*Inputs!$B$1+((Inputs!$G$5:$G$130&lt;&gt;"moeda")*(Inputs!$G$5:$G$130&lt;&gt;"acoes")))*INDEX(Inputs!$K$5:$AJ$130,0,MATCH(Y$2,Inputs!$K$4:$AJ$4,0)))))</f>
        <v>-669</v>
      </c>
      <c r="Z7" s="6">
        <f>IF(ISNA(MATCH(Z$2,Inputs!$K$4:$AJ$4,0)),NA(),IF(SUMPRODUCT((Inputs!$A$5:$A$130=$B7)*ISNUMBER(INDEX(Inputs!$K$5:$AJ$130,0,MATCH(Z$2,Inputs!$K$4:$AJ$4,0))))+SUMPRODUCT((Inputs!$C$5:$C$130=$B7)*ISNUMBER(INDEX(Inputs!$K$5:$AJ$130,0,MATCH(Z$2,Inputs!$K$4:$AJ$4,0))))+SUMPRODUCT((Inputs!$E$5:$E$130=$B7)*ISNUMBER(INDEX(Inputs!$K$5:$AJ$130,0,MATCH(Z$2,Inputs!$K$4:$AJ$4,0))))=0,NA(),SUMPRODUCT((Inputs!$A$5:$A$130=$B7)*Inputs!$B$5:$B$130*(((Inputs!$G$5:$G$130="moeda")+(Inputs!$G$5:$G$130="acoes"))*Inputs!$B$1+((Inputs!$G$5:$G$130&lt;&gt;"moeda")*(Inputs!$G$5:$G$130&lt;&gt;"acoes")))*INDEX(Inputs!$K$5:$AJ$130,0,MATCH(Z$2,Inputs!$K$4:$AJ$4,0)))+SUMPRODUCT((Inputs!$C$5:$C$130=$B7)*Inputs!$D$5:$D$130*(((Inputs!$G$5:$G$130="moeda")+(Inputs!$G$5:$G$130="acoes"))*Inputs!$B$1+((Inputs!$G$5:$G$130&lt;&gt;"moeda")*(Inputs!$G$5:$G$130&lt;&gt;"acoes")))*INDEX(Inputs!$K$5:$AJ$130,0,MATCH(Z$2,Inputs!$K$4:$AJ$4,0)))+SUMPRODUCT((Inputs!$E$5:$E$130=$B7)*Inputs!$F$5:$F$130*(((Inputs!$G$5:$G$130="moeda")+(Inputs!$G$5:$G$130="acoes"))*Inputs!$B$1+((Inputs!$G$5:$G$130&lt;&gt;"moeda")*(Inputs!$G$5:$G$130&lt;&gt;"acoes")))*INDEX(Inputs!$K$5:$AJ$130,0,MATCH(Z$2,Inputs!$K$4:$AJ$4,0)))))</f>
        <v>-751</v>
      </c>
      <c r="AA7" s="6">
        <f>IF(ISNA(MATCH(AA$2,Inputs!$K$4:$AJ$4,0)),NA(),IF(SUMPRODUCT((Inputs!$A$5:$A$130=$B7)*ISNUMBER(INDEX(Inputs!$K$5:$AJ$130,0,MATCH(AA$2,Inputs!$K$4:$AJ$4,0))))+SUMPRODUCT((Inputs!$C$5:$C$130=$B7)*ISNUMBER(INDEX(Inputs!$K$5:$AJ$130,0,MATCH(AA$2,Inputs!$K$4:$AJ$4,0))))+SUMPRODUCT((Inputs!$E$5:$E$130=$B7)*ISNUMBER(INDEX(Inputs!$K$5:$AJ$130,0,MATCH(AA$2,Inputs!$K$4:$AJ$4,0))))=0,NA(),SUMPRODUCT((Inputs!$A$5:$A$130=$B7)*Inputs!$B$5:$B$130*(((Inputs!$G$5:$G$130="moeda")+(Inputs!$G$5:$G$130="acoes"))*Inputs!$B$1+((Inputs!$G$5:$G$130&lt;&gt;"moeda")*(Inputs!$G$5:$G$130&lt;&gt;"acoes")))*INDEX(Inputs!$K$5:$AJ$130,0,MATCH(AA$2,Inputs!$K$4:$AJ$4,0)))+SUMPRODUCT((Inputs!$C$5:$C$130=$B7)*Inputs!$D$5:$D$130*(((Inputs!$G$5:$G$130="moeda")+(Inputs!$G$5:$G$130="acoes"))*Inputs!$B$1+((Inputs!$G$5:$G$130&lt;&gt;"moeda")*(Inputs!$G$5:$G$130&lt;&gt;"acoes")))*INDEX(Inputs!$K$5:$AJ$130,0,MATCH(AA$2,Inputs!$K$4:$AJ$4,0)))+SUMPRODUCT((Inputs!$E$5:$E$130=$B7)*Inputs!$F$5:$F$130*(((Inputs!$G$5:$G$130="moeda")+(Inputs!$G$5:$G$130="acoes"))*Inputs!$B$1+((Inputs!$G$5:$G$130&lt;&gt;"moeda")*(Inputs!$G$5:$G$130&lt;&gt;"acoes")))*INDEX(Inputs!$K$5:$AJ$130,0,MATCH(AA$2,Inputs!$K$4:$AJ$4,0)))))</f>
        <v>-812</v>
      </c>
      <c r="AB7" s="3">
        <f>SUM(X7:AA7)</f>
        <v>-2843</v>
      </c>
      <c r="AC7" s="6">
        <f>IF(ISNA(MATCH(AC$2,Inputs!$K$4:$AJ$4,0)),NA(),IF(SUMPRODUCT((Inputs!$A$5:$A$130=$B7)*ISNUMBER(INDEX(Inputs!$K$5:$AJ$130,0,MATCH(AC$2,Inputs!$K$4:$AJ$4,0))))+SUMPRODUCT((Inputs!$C$5:$C$130=$B7)*ISNUMBER(INDEX(Inputs!$K$5:$AJ$130,0,MATCH(AC$2,Inputs!$K$4:$AJ$4,0))))+SUMPRODUCT((Inputs!$E$5:$E$130=$B7)*ISNUMBER(INDEX(Inputs!$K$5:$AJ$130,0,MATCH(AC$2,Inputs!$K$4:$AJ$4,0))))=0,NA(),SUMPRODUCT((Inputs!$A$5:$A$130=$B7)*Inputs!$B$5:$B$130*(((Inputs!$G$5:$G$130="moeda")+(Inputs!$G$5:$G$130="acoes"))*Inputs!$B$1+((Inputs!$G$5:$G$130&lt;&gt;"moeda")*(Inputs!$G$5:$G$130&lt;&gt;"acoes")))*INDEX(Inputs!$K$5:$AJ$130,0,MATCH(AC$2,Inputs!$K$4:$AJ$4,0)))+SUMPRODUCT((Inputs!$C$5:$C$130=$B7)*Inputs!$D$5:$D$130*(((Inputs!$G$5:$G$130="moeda")+(Inputs!$G$5:$G$130="acoes"))*Inputs!$B$1+((Inputs!$G$5:$G$130&lt;&gt;"moeda")*(Inputs!$G$5:$G$130&lt;&gt;"acoes")))*INDEX(Inputs!$K$5:$AJ$130,0,MATCH(AC$2,Inputs!$K$4:$AJ$4,0)))+SUMPRODUCT((Inputs!$E$5:$E$130=$B7)*Inputs!$F$5:$F$130*(((Inputs!$G$5:$G$130="moeda")+(Inputs!$G$5:$G$130="acoes"))*Inputs!$B$1+((Inputs!$G$5:$G$130&lt;&gt;"moeda")*(Inputs!$G$5:$G$130&lt;&gt;"acoes")))*INDEX(Inputs!$K$5:$AJ$130,0,MATCH(AC$2,Inputs!$K$4:$AJ$4,0)))))</f>
        <v>-997</v>
      </c>
      <c r="AD7" s="6">
        <f>IF(ISNA(MATCH(AD$2,Inputs!$K$4:$AJ$4,0)),NA(),IF(SUMPRODUCT((Inputs!$A$5:$A$130=$B7)*ISNUMBER(INDEX(Inputs!$K$5:$AJ$130,0,MATCH(AD$2,Inputs!$K$4:$AJ$4,0))))+SUMPRODUCT((Inputs!$C$5:$C$130=$B7)*ISNUMBER(INDEX(Inputs!$K$5:$AJ$130,0,MATCH(AD$2,Inputs!$K$4:$AJ$4,0))))+SUMPRODUCT((Inputs!$E$5:$E$130=$B7)*ISNUMBER(INDEX(Inputs!$K$5:$AJ$130,0,MATCH(AD$2,Inputs!$K$4:$AJ$4,0))))=0,NA(),SUMPRODUCT((Inputs!$A$5:$A$130=$B7)*Inputs!$B$5:$B$130*(((Inputs!$G$5:$G$130="moeda")+(Inputs!$G$5:$G$130="acoes"))*Inputs!$B$1+((Inputs!$G$5:$G$130&lt;&gt;"moeda")*(Inputs!$G$5:$G$130&lt;&gt;"acoes")))*INDEX(Inputs!$K$5:$AJ$130,0,MATCH(AD$2,Inputs!$K$4:$AJ$4,0)))+SUMPRODUCT((Inputs!$C$5:$C$130=$B7)*Inputs!$D$5:$D$130*(((Inputs!$G$5:$G$130="moeda")+(Inputs!$G$5:$G$130="acoes"))*Inputs!$B$1+((Inputs!$G$5:$G$130&lt;&gt;"moeda")*(Inputs!$G$5:$G$130&lt;&gt;"acoes")))*INDEX(Inputs!$K$5:$AJ$130,0,MATCH(AD$2,Inputs!$K$4:$AJ$4,0)))+SUMPRODUCT((Inputs!$E$5:$E$130=$B7)*Inputs!$F$5:$F$130*(((Inputs!$G$5:$G$130="moeda")+(Inputs!$G$5:$G$130="acoes"))*Inputs!$B$1+((Inputs!$G$5:$G$130&lt;&gt;"moeda")*(Inputs!$G$5:$G$130&lt;&gt;"acoes")))*INDEX(Inputs!$K$5:$AJ$130,0,MATCH(AD$2,Inputs!$K$4:$AJ$4,0)))))</f>
        <v>-1127</v>
      </c>
      <c r="AE7" s="6" t="e">
        <f>IF(ISNA(MATCH(AE$2,Inputs!$K$4:$AJ$4,0)),NA(),IF(SUMPRODUCT((Inputs!$A$5:$A$130=$B7)*ISNUMBER(INDEX(Inputs!$K$5:$AJ$130,0,MATCH(AE$2,Inputs!$K$4:$AJ$4,0))))+SUMPRODUCT((Inputs!$C$5:$C$130=$B7)*ISNUMBER(INDEX(Inputs!$K$5:$AJ$130,0,MATCH(AE$2,Inputs!$K$4:$AJ$4,0))))+SUMPRODUCT((Inputs!$E$5:$E$130=$B7)*ISNUMBER(INDEX(Inputs!$K$5:$AJ$130,0,MATCH(AE$2,Inputs!$K$4:$AJ$4,0))))=0,NA(),SUMPRODUCT((Inputs!$A$5:$A$130=$B7)*Inputs!$B$5:$B$130*(((Inputs!$G$5:$G$130="moeda")+(Inputs!$G$5:$G$130="acoes"))*Inputs!$B$1+((Inputs!$G$5:$G$130&lt;&gt;"moeda")*(Inputs!$G$5:$G$130&lt;&gt;"acoes")))*INDEX(Inputs!$K$5:$AJ$130,0,MATCH(AE$2,Inputs!$K$4:$AJ$4,0)))+SUMPRODUCT((Inputs!$C$5:$C$130=$B7)*Inputs!$D$5:$D$130*(((Inputs!$G$5:$G$130="moeda")+(Inputs!$G$5:$G$130="acoes"))*Inputs!$B$1+((Inputs!$G$5:$G$130&lt;&gt;"moeda")*(Inputs!$G$5:$G$130&lt;&gt;"acoes")))*INDEX(Inputs!$K$5:$AJ$130,0,MATCH(AE$2,Inputs!$K$4:$AJ$4,0)))+SUMPRODUCT((Inputs!$E$5:$E$130=$B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7" s="6" t="e">
        <f>IF(ISNA(MATCH(AF$2,Inputs!$K$4:$AJ$4,0)),NA(),IF(SUMPRODUCT((Inputs!$A$5:$A$130=$B7)*ISNUMBER(INDEX(Inputs!$K$5:$AJ$130,0,MATCH(AF$2,Inputs!$K$4:$AJ$4,0))))+SUMPRODUCT((Inputs!$C$5:$C$130=$B7)*ISNUMBER(INDEX(Inputs!$K$5:$AJ$130,0,MATCH(AF$2,Inputs!$K$4:$AJ$4,0))))+SUMPRODUCT((Inputs!$E$5:$E$130=$B7)*ISNUMBER(INDEX(Inputs!$K$5:$AJ$130,0,MATCH(AF$2,Inputs!$K$4:$AJ$4,0))))=0,NA(),SUMPRODUCT((Inputs!$A$5:$A$130=$B7)*Inputs!$B$5:$B$130*(((Inputs!$G$5:$G$130="moeda")+(Inputs!$G$5:$G$130="acoes"))*Inputs!$B$1+((Inputs!$G$5:$G$130&lt;&gt;"moeda")*(Inputs!$G$5:$G$130&lt;&gt;"acoes")))*INDEX(Inputs!$K$5:$AJ$130,0,MATCH(AF$2,Inputs!$K$4:$AJ$4,0)))+SUMPRODUCT((Inputs!$C$5:$C$130=$B7)*Inputs!$D$5:$D$130*(((Inputs!$G$5:$G$130="moeda")+(Inputs!$G$5:$G$130="acoes"))*Inputs!$B$1+((Inputs!$G$5:$G$130&lt;&gt;"moeda")*(Inputs!$G$5:$G$130&lt;&gt;"acoes")))*INDEX(Inputs!$K$5:$AJ$130,0,MATCH(AF$2,Inputs!$K$4:$AJ$4,0)))+SUMPRODUCT((Inputs!$E$5:$E$130=$B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7" s="3" t="e">
        <f>SUM(AC7:AF7)</f>
        <v>#N/A</v>
      </c>
      <c r="AH7" s="6">
        <f>IF(ISNA(MATCH(AH$2,Inputs!$K$4:$AJ$4,0)),NA(),IF(SUMPRODUCT((Inputs!$A$5:$A$130=$B7)*ISNUMBER(INDEX(Inputs!$K$5:$AJ$130,0,MATCH(AH$2,Inputs!$K$4:$AJ$4,0))))+SUMPRODUCT((Inputs!$C$5:$C$130=$B7)*ISNUMBER(INDEX(Inputs!$K$5:$AJ$130,0,MATCH(AH$2,Inputs!$K$4:$AJ$4,0))))+SUMPRODUCT((Inputs!$E$5:$E$130=$B7)*ISNUMBER(INDEX(Inputs!$K$5:$AJ$130,0,MATCH(AH$2,Inputs!$K$4:$AJ$4,0))))=0,NA(),SUMPRODUCT((Inputs!$A$5:$A$130=$B7)*Inputs!$B$5:$B$130*(((Inputs!$G$5:$G$130="moeda")+(Inputs!$G$5:$G$130="acoes"))*Inputs!$B$1+((Inputs!$G$5:$G$130&lt;&gt;"moeda")*(Inputs!$G$5:$G$130&lt;&gt;"acoes")))*INDEX(Inputs!$K$5:$AJ$130,0,MATCH(AH$2,Inputs!$K$4:$AJ$4,0)))+SUMPRODUCT((Inputs!$C$5:$C$130=$B7)*Inputs!$D$5:$D$130*(((Inputs!$G$5:$G$130="moeda")+(Inputs!$G$5:$G$130="acoes"))*Inputs!$B$1+((Inputs!$G$5:$G$130&lt;&gt;"moeda")*(Inputs!$G$5:$G$130&lt;&gt;"acoes")))*INDEX(Inputs!$K$5:$AJ$130,0,MATCH(AH$2,Inputs!$K$4:$AJ$4,0)))+SUMPRODUCT((Inputs!$E$5:$E$130=$B7)*Inputs!$F$5:$F$130*(((Inputs!$G$5:$G$130="moeda")+(Inputs!$G$5:$G$130="acoes"))*Inputs!$B$1+((Inputs!$G$5:$G$130&lt;&gt;"moeda")*(Inputs!$G$5:$G$130&lt;&gt;"acoes")))*INDEX(Inputs!$K$5:$AJ$130,0,MATCH(AH$2,Inputs!$K$4:$AJ$4,0)))))</f>
        <v>-107</v>
      </c>
      <c r="AI7" s="6">
        <f>IF(ISNA(MATCH(AI$2,Inputs!$K$4:$AJ$4,0)),NA(),IF(SUMPRODUCT((Inputs!$A$5:$A$130=$B7)*ISNUMBER(INDEX(Inputs!$K$5:$AJ$130,0,MATCH(AI$2,Inputs!$K$4:$AJ$4,0))))+SUMPRODUCT((Inputs!$C$5:$C$130=$B7)*ISNUMBER(INDEX(Inputs!$K$5:$AJ$130,0,MATCH(AI$2,Inputs!$K$4:$AJ$4,0))))+SUMPRODUCT((Inputs!$E$5:$E$130=$B7)*ISNUMBER(INDEX(Inputs!$K$5:$AJ$130,0,MATCH(AI$2,Inputs!$K$4:$AJ$4,0))))=0,NA(),SUMPRODUCT((Inputs!$A$5:$A$130=$B7)*Inputs!$B$5:$B$130*(((Inputs!$G$5:$G$130="moeda")+(Inputs!$G$5:$G$130="acoes"))*Inputs!$B$1+((Inputs!$G$5:$G$130&lt;&gt;"moeda")*(Inputs!$G$5:$G$130&lt;&gt;"acoes")))*INDEX(Inputs!$K$5:$AJ$130,0,MATCH(AI$2,Inputs!$K$4:$AJ$4,0)))+SUMPRODUCT((Inputs!$C$5:$C$130=$B7)*Inputs!$D$5:$D$130*(((Inputs!$G$5:$G$130="moeda")+(Inputs!$G$5:$G$130="acoes"))*Inputs!$B$1+((Inputs!$G$5:$G$130&lt;&gt;"moeda")*(Inputs!$G$5:$G$130&lt;&gt;"acoes")))*INDEX(Inputs!$K$5:$AJ$130,0,MATCH(AI$2,Inputs!$K$4:$AJ$4,0)))+SUMPRODUCT((Inputs!$E$5:$E$130=$B7)*Inputs!$F$5:$F$130*(((Inputs!$G$5:$G$130="moeda")+(Inputs!$G$5:$G$130="acoes"))*Inputs!$B$1+((Inputs!$G$5:$G$130&lt;&gt;"moeda")*(Inputs!$G$5:$G$130&lt;&gt;"acoes")))*INDEX(Inputs!$K$5:$AJ$130,0,MATCH(AI$2,Inputs!$K$4:$AJ$4,0)))))</f>
        <v>-404</v>
      </c>
      <c r="AJ7" s="6">
        <f>IF(ISNA(MATCH(AJ$2,Inputs!$K$4:$AJ$4,0)),NA(),IF(SUMPRODUCT((Inputs!$A$5:$A$130=$B7)*ISNUMBER(INDEX(Inputs!$K$5:$AJ$130,0,MATCH(AJ$2,Inputs!$K$4:$AJ$4,0))))+SUMPRODUCT((Inputs!$C$5:$C$130=$B7)*ISNUMBER(INDEX(Inputs!$K$5:$AJ$130,0,MATCH(AJ$2,Inputs!$K$4:$AJ$4,0))))+SUMPRODUCT((Inputs!$E$5:$E$130=$B7)*ISNUMBER(INDEX(Inputs!$K$5:$AJ$130,0,MATCH(AJ$2,Inputs!$K$4:$AJ$4,0))))=0,NA(),SUMPRODUCT((Inputs!$A$5:$A$130=$B7)*Inputs!$B$5:$B$130*(((Inputs!$G$5:$G$130="moeda")+(Inputs!$G$5:$G$130="acoes"))*Inputs!$B$1+((Inputs!$G$5:$G$130&lt;&gt;"moeda")*(Inputs!$G$5:$G$130&lt;&gt;"acoes")))*INDEX(Inputs!$K$5:$AJ$130,0,MATCH(AJ$2,Inputs!$K$4:$AJ$4,0)))+SUMPRODUCT((Inputs!$C$5:$C$130=$B7)*Inputs!$D$5:$D$130*(((Inputs!$G$5:$G$130="moeda")+(Inputs!$G$5:$G$130="acoes"))*Inputs!$B$1+((Inputs!$G$5:$G$130&lt;&gt;"moeda")*(Inputs!$G$5:$G$130&lt;&gt;"acoes")))*INDEX(Inputs!$K$5:$AJ$130,0,MATCH(AJ$2,Inputs!$K$4:$AJ$4,0)))+SUMPRODUCT((Inputs!$E$5:$E$130=$B7)*Inputs!$F$5:$F$130*(((Inputs!$G$5:$G$130="moeda")+(Inputs!$G$5:$G$130="acoes"))*Inputs!$B$1+((Inputs!$G$5:$G$130&lt;&gt;"moeda")*(Inputs!$G$5:$G$130&lt;&gt;"acoes")))*INDEX(Inputs!$K$5:$AJ$130,0,MATCH(AJ$2,Inputs!$K$4:$AJ$4,0)))))</f>
        <v>-299</v>
      </c>
      <c r="AK7" s="6">
        <f>IF(ISNA(MATCH(AK$2,Inputs!$K$4:$AJ$4,0)),NA(),IF(SUMPRODUCT((Inputs!$A$5:$A$130=$B7)*ISNUMBER(INDEX(Inputs!$K$5:$AJ$130,0,MATCH(AK$2,Inputs!$K$4:$AJ$4,0))))+SUMPRODUCT((Inputs!$C$5:$C$130=$B7)*ISNUMBER(INDEX(Inputs!$K$5:$AJ$130,0,MATCH(AK$2,Inputs!$K$4:$AJ$4,0))))+SUMPRODUCT((Inputs!$E$5:$E$130=$B7)*ISNUMBER(INDEX(Inputs!$K$5:$AJ$130,0,MATCH(AK$2,Inputs!$K$4:$AJ$4,0))))=0,NA(),SUMPRODUCT((Inputs!$A$5:$A$130=$B7)*Inputs!$B$5:$B$130*(((Inputs!$G$5:$G$130="moeda")+(Inputs!$G$5:$G$130="acoes"))*Inputs!$B$1+((Inputs!$G$5:$G$130&lt;&gt;"moeda")*(Inputs!$G$5:$G$130&lt;&gt;"acoes")))*INDEX(Inputs!$K$5:$AJ$130,0,MATCH(AK$2,Inputs!$K$4:$AJ$4,0)))+SUMPRODUCT((Inputs!$C$5:$C$130=$B7)*Inputs!$D$5:$D$130*(((Inputs!$G$5:$G$130="moeda")+(Inputs!$G$5:$G$130="acoes"))*Inputs!$B$1+((Inputs!$G$5:$G$130&lt;&gt;"moeda")*(Inputs!$G$5:$G$130&lt;&gt;"acoes")))*INDEX(Inputs!$K$5:$AJ$130,0,MATCH(AK$2,Inputs!$K$4:$AJ$4,0)))+SUMPRODUCT((Inputs!$E$5:$E$130=$B7)*Inputs!$F$5:$F$130*(((Inputs!$G$5:$G$130="moeda")+(Inputs!$G$5:$G$130="acoes"))*Inputs!$B$1+((Inputs!$G$5:$G$130&lt;&gt;"moeda")*(Inputs!$G$5:$G$130&lt;&gt;"acoes")))*INDEX(Inputs!$K$5:$AJ$130,0,MATCH(AK$2,Inputs!$K$4:$AJ$4,0)))))</f>
        <v>-288</v>
      </c>
      <c r="AL7" s="3">
        <f>SUM(AH7:AK7)</f>
        <v>-1098</v>
      </c>
    </row>
    <row r="8">
      <c r="B8" s="46" t="n">
        <v>5</v>
      </c>
      <c r="C8" s="26" t="inlineStr">
        <is>
          <t>Interest Expense</t>
        </is>
      </c>
      <c r="D8" s="6">
        <f>IF(ISNA(MATCH(D$2,Inputs!$K$4:$AJ$4,0)),NA(),IF(SUMPRODUCT((Inputs!$A$5:$A$130=$B8)*ISNUMBER(INDEX(Inputs!$K$5:$AJ$130,0,MATCH(D$2,Inputs!$K$4:$AJ$4,0))))+SUMPRODUCT((Inputs!$C$5:$C$130=$B8)*ISNUMBER(INDEX(Inputs!$K$5:$AJ$130,0,MATCH(D$2,Inputs!$K$4:$AJ$4,0))))+SUMPRODUCT((Inputs!$E$5:$E$130=$B8)*ISNUMBER(INDEX(Inputs!$K$5:$AJ$130,0,MATCH(D$2,Inputs!$K$4:$AJ$4,0))))=0,NA(),SUMPRODUCT((Inputs!$A$5:$A$130=$B8)*Inputs!$B$5:$B$130*(((Inputs!$G$5:$G$130="moeda")+(Inputs!$G$5:$G$130="acoes"))*Inputs!$B$1+((Inputs!$G$5:$G$130&lt;&gt;"moeda")*(Inputs!$G$5:$G$130&lt;&gt;"acoes")))*INDEX(Inputs!$K$5:$AJ$130,0,MATCH(D$2,Inputs!$K$4:$AJ$4,0)))+SUMPRODUCT((Inputs!$C$5:$C$130=$B8)*Inputs!$D$5:$D$130*(((Inputs!$G$5:$G$130="moeda")+(Inputs!$G$5:$G$130="acoes"))*Inputs!$B$1+((Inputs!$G$5:$G$130&lt;&gt;"moeda")*(Inputs!$G$5:$G$130&lt;&gt;"acoes")))*INDEX(Inputs!$K$5:$AJ$130,0,MATCH(D$2,Inputs!$K$4:$AJ$4,0)))+SUMPRODUCT((Inputs!$E$5:$E$130=$B8)*Inputs!$F$5:$F$130*(((Inputs!$G$5:$G$130="moeda")+(Inputs!$G$5:$G$130="acoes"))*Inputs!$B$1+((Inputs!$G$5:$G$130&lt;&gt;"moeda")*(Inputs!$G$5:$G$130&lt;&gt;"acoes")))*INDEX(Inputs!$K$5:$AJ$130,0,MATCH(D$2,Inputs!$K$4:$AJ$4,0)))))</f>
        <v>-53</v>
      </c>
      <c r="E8" s="6">
        <f>IF(ISNA(MATCH(E$2,Inputs!$K$4:$AJ$4,0)),NA(),IF(SUMPRODUCT((Inputs!$A$5:$A$130=$B8)*ISNUMBER(INDEX(Inputs!$K$5:$AJ$130,0,MATCH(E$2,Inputs!$K$4:$AJ$4,0))))+SUMPRODUCT((Inputs!$C$5:$C$130=$B8)*ISNUMBER(INDEX(Inputs!$K$5:$AJ$130,0,MATCH(E$2,Inputs!$K$4:$AJ$4,0))))+SUMPRODUCT((Inputs!$E$5:$E$130=$B8)*ISNUMBER(INDEX(Inputs!$K$5:$AJ$130,0,MATCH(E$2,Inputs!$K$4:$AJ$4,0))))=0,NA(),SUMPRODUCT((Inputs!$A$5:$A$130=$B8)*Inputs!$B$5:$B$130*(((Inputs!$G$5:$G$130="moeda")+(Inputs!$G$5:$G$130="acoes"))*Inputs!$B$1+((Inputs!$G$5:$G$130&lt;&gt;"moeda")*(Inputs!$G$5:$G$130&lt;&gt;"acoes")))*INDEX(Inputs!$K$5:$AJ$130,0,MATCH(E$2,Inputs!$K$4:$AJ$4,0)))+SUMPRODUCT((Inputs!$C$5:$C$130=$B8)*Inputs!$D$5:$D$130*(((Inputs!$G$5:$G$130="moeda")+(Inputs!$G$5:$G$130="acoes"))*Inputs!$B$1+((Inputs!$G$5:$G$130&lt;&gt;"moeda")*(Inputs!$G$5:$G$130&lt;&gt;"acoes")))*INDEX(Inputs!$K$5:$AJ$130,0,MATCH(E$2,Inputs!$K$4:$AJ$4,0)))+SUMPRODUCT((Inputs!$E$5:$E$130=$B8)*Inputs!$F$5:$F$130*(((Inputs!$G$5:$G$130="moeda")+(Inputs!$G$5:$G$130="acoes"))*Inputs!$B$1+((Inputs!$G$5:$G$130&lt;&gt;"moeda")*(Inputs!$G$5:$G$130&lt;&gt;"acoes")))*INDEX(Inputs!$K$5:$AJ$130,0,MATCH(E$2,Inputs!$K$4:$AJ$4,0)))))</f>
        <v>-60</v>
      </c>
      <c r="F8" s="6">
        <f>IF(ISNA(MATCH(F$2,Inputs!$K$4:$AJ$4,0)),NA(),IF(SUMPRODUCT((Inputs!$A$5:$A$130=$B8)*ISNUMBER(INDEX(Inputs!$K$5:$AJ$130,0,MATCH(F$2,Inputs!$K$4:$AJ$4,0))))+SUMPRODUCT((Inputs!$C$5:$C$130=$B8)*ISNUMBER(INDEX(Inputs!$K$5:$AJ$130,0,MATCH(F$2,Inputs!$K$4:$AJ$4,0))))+SUMPRODUCT((Inputs!$E$5:$E$130=$B8)*ISNUMBER(INDEX(Inputs!$K$5:$AJ$130,0,MATCH(F$2,Inputs!$K$4:$AJ$4,0))))=0,NA(),SUMPRODUCT((Inputs!$A$5:$A$130=$B8)*Inputs!$B$5:$B$130*(((Inputs!$G$5:$G$130="moeda")+(Inputs!$G$5:$G$130="acoes"))*Inputs!$B$1+((Inputs!$G$5:$G$130&lt;&gt;"moeda")*(Inputs!$G$5:$G$130&lt;&gt;"acoes")))*INDEX(Inputs!$K$5:$AJ$130,0,MATCH(F$2,Inputs!$K$4:$AJ$4,0)))+SUMPRODUCT((Inputs!$C$5:$C$130=$B8)*Inputs!$D$5:$D$130*(((Inputs!$G$5:$G$130="moeda")+(Inputs!$G$5:$G$130="acoes"))*Inputs!$B$1+((Inputs!$G$5:$G$130&lt;&gt;"moeda")*(Inputs!$G$5:$G$130&lt;&gt;"acoes")))*INDEX(Inputs!$K$5:$AJ$130,0,MATCH(F$2,Inputs!$K$4:$AJ$4,0)))+SUMPRODUCT((Inputs!$E$5:$E$130=$B8)*Inputs!$F$5:$F$130*(((Inputs!$G$5:$G$130="moeda")+(Inputs!$G$5:$G$130="acoes"))*Inputs!$B$1+((Inputs!$G$5:$G$130&lt;&gt;"moeda")*(Inputs!$G$5:$G$130&lt;&gt;"acoes")))*INDEX(Inputs!$K$5:$AJ$130,0,MATCH(F$2,Inputs!$K$4:$AJ$4,0)))))</f>
        <v>-62</v>
      </c>
      <c r="G8" s="6">
        <f>IF(ISNA(MATCH(G$2,Inputs!$K$4:$AJ$4,0)),NA(),IF(SUMPRODUCT((Inputs!$A$5:$A$130=$B8)*ISNUMBER(INDEX(Inputs!$K$5:$AJ$130,0,MATCH(G$2,Inputs!$K$4:$AJ$4,0))))+SUMPRODUCT((Inputs!$C$5:$C$130=$B8)*ISNUMBER(INDEX(Inputs!$K$5:$AJ$130,0,MATCH(G$2,Inputs!$K$4:$AJ$4,0))))+SUMPRODUCT((Inputs!$E$5:$E$130=$B8)*ISNUMBER(INDEX(Inputs!$K$5:$AJ$130,0,MATCH(G$2,Inputs!$K$4:$AJ$4,0))))=0,NA(),SUMPRODUCT((Inputs!$A$5:$A$130=$B8)*Inputs!$B$5:$B$130*(((Inputs!$G$5:$G$130="moeda")+(Inputs!$G$5:$G$130="acoes"))*Inputs!$B$1+((Inputs!$G$5:$G$130&lt;&gt;"moeda")*(Inputs!$G$5:$G$130&lt;&gt;"acoes")))*INDEX(Inputs!$K$5:$AJ$130,0,MATCH(G$2,Inputs!$K$4:$AJ$4,0)))+SUMPRODUCT((Inputs!$C$5:$C$130=$B8)*Inputs!$D$5:$D$130*(((Inputs!$G$5:$G$130="moeda")+(Inputs!$G$5:$G$130="acoes"))*Inputs!$B$1+((Inputs!$G$5:$G$130&lt;&gt;"moeda")*(Inputs!$G$5:$G$130&lt;&gt;"acoes")))*INDEX(Inputs!$K$5:$AJ$130,0,MATCH(G$2,Inputs!$K$4:$AJ$4,0)))+SUMPRODUCT((Inputs!$E$5:$E$130=$B8)*Inputs!$F$5:$F$130*(((Inputs!$G$5:$G$130="moeda")+(Inputs!$G$5:$G$130="acoes"))*Inputs!$B$1+((Inputs!$G$5:$G$130&lt;&gt;"moeda")*(Inputs!$G$5:$G$130&lt;&gt;"acoes")))*INDEX(Inputs!$K$5:$AJ$130,0,MATCH(G$2,Inputs!$K$4:$AJ$4,0)))))</f>
        <v>-61</v>
      </c>
      <c r="H8" s="3">
        <f>SUM(D8:G8)</f>
        <v>-236</v>
      </c>
      <c r="I8" s="6">
        <f>IF(ISNA(MATCH(I$2,Inputs!$K$4:$AJ$4,0)),NA(),IF(SUMPRODUCT((Inputs!$A$5:$A$130=$B8)*ISNUMBER(INDEX(Inputs!$K$5:$AJ$130,0,MATCH(I$2,Inputs!$K$4:$AJ$4,0))))+SUMPRODUCT((Inputs!$C$5:$C$130=$B8)*ISNUMBER(INDEX(Inputs!$K$5:$AJ$130,0,MATCH(I$2,Inputs!$K$4:$AJ$4,0))))+SUMPRODUCT((Inputs!$E$5:$E$130=$B8)*ISNUMBER(INDEX(Inputs!$K$5:$AJ$130,0,MATCH(I$2,Inputs!$K$4:$AJ$4,0))))=0,NA(),SUMPRODUCT((Inputs!$A$5:$A$130=$B8)*Inputs!$B$5:$B$130*(((Inputs!$G$5:$G$130="moeda")+(Inputs!$G$5:$G$130="acoes"))*Inputs!$B$1+((Inputs!$G$5:$G$130&lt;&gt;"moeda")*(Inputs!$G$5:$G$130&lt;&gt;"acoes")))*INDEX(Inputs!$K$5:$AJ$130,0,MATCH(I$2,Inputs!$K$4:$AJ$4,0)))+SUMPRODUCT((Inputs!$C$5:$C$130=$B8)*Inputs!$D$5:$D$130*(((Inputs!$G$5:$G$130="moeda")+(Inputs!$G$5:$G$130="acoes"))*Inputs!$B$1+((Inputs!$G$5:$G$130&lt;&gt;"moeda")*(Inputs!$G$5:$G$130&lt;&gt;"acoes")))*INDEX(Inputs!$K$5:$AJ$130,0,MATCH(I$2,Inputs!$K$4:$AJ$4,0)))+SUMPRODUCT((Inputs!$E$5:$E$130=$B8)*Inputs!$F$5:$F$130*(((Inputs!$G$5:$G$130="moeda")+(Inputs!$G$5:$G$130="acoes"))*Inputs!$B$1+((Inputs!$G$5:$G$130&lt;&gt;"moeda")*(Inputs!$G$5:$G$130&lt;&gt;"acoes")))*INDEX(Inputs!$K$5:$AJ$130,0,MATCH(I$2,Inputs!$K$4:$AJ$4,0)))))</f>
        <v>-68</v>
      </c>
      <c r="J8" s="6">
        <f>IF(ISNA(MATCH(J$2,Inputs!$K$4:$AJ$4,0)),NA(),IF(SUMPRODUCT((Inputs!$A$5:$A$130=$B8)*ISNUMBER(INDEX(Inputs!$K$5:$AJ$130,0,MATCH(J$2,Inputs!$K$4:$AJ$4,0))))+SUMPRODUCT((Inputs!$C$5:$C$130=$B8)*ISNUMBER(INDEX(Inputs!$K$5:$AJ$130,0,MATCH(J$2,Inputs!$K$4:$AJ$4,0))))+SUMPRODUCT((Inputs!$E$5:$E$130=$B8)*ISNUMBER(INDEX(Inputs!$K$5:$AJ$130,0,MATCH(J$2,Inputs!$K$4:$AJ$4,0))))=0,NA(),SUMPRODUCT((Inputs!$A$5:$A$130=$B8)*Inputs!$B$5:$B$130*(((Inputs!$G$5:$G$130="moeda")+(Inputs!$G$5:$G$130="acoes"))*Inputs!$B$1+((Inputs!$G$5:$G$130&lt;&gt;"moeda")*(Inputs!$G$5:$G$130&lt;&gt;"acoes")))*INDEX(Inputs!$K$5:$AJ$130,0,MATCH(J$2,Inputs!$K$4:$AJ$4,0)))+SUMPRODUCT((Inputs!$C$5:$C$130=$B8)*Inputs!$D$5:$D$130*(((Inputs!$G$5:$G$130="moeda")+(Inputs!$G$5:$G$130="acoes"))*Inputs!$B$1+((Inputs!$G$5:$G$130&lt;&gt;"moeda")*(Inputs!$G$5:$G$130&lt;&gt;"acoes")))*INDEX(Inputs!$K$5:$AJ$130,0,MATCH(J$2,Inputs!$K$4:$AJ$4,0)))+SUMPRODUCT((Inputs!$E$5:$E$130=$B8)*Inputs!$F$5:$F$130*(((Inputs!$G$5:$G$130="moeda")+(Inputs!$G$5:$G$130="acoes"))*Inputs!$B$1+((Inputs!$G$5:$G$130&lt;&gt;"moeda")*(Inputs!$G$5:$G$130&lt;&gt;"acoes")))*INDEX(Inputs!$K$5:$AJ$130,0,MATCH(J$2,Inputs!$K$4:$AJ$4,0)))))</f>
        <v>-65</v>
      </c>
      <c r="K8" s="6">
        <f>IF(ISNA(MATCH(K$2,Inputs!$K$4:$AJ$4,0)),NA(),IF(SUMPRODUCT((Inputs!$A$5:$A$130=$B8)*ISNUMBER(INDEX(Inputs!$K$5:$AJ$130,0,MATCH(K$2,Inputs!$K$4:$AJ$4,0))))+SUMPRODUCT((Inputs!$C$5:$C$130=$B8)*ISNUMBER(INDEX(Inputs!$K$5:$AJ$130,0,MATCH(K$2,Inputs!$K$4:$AJ$4,0))))+SUMPRODUCT((Inputs!$E$5:$E$130=$B8)*ISNUMBER(INDEX(Inputs!$K$5:$AJ$130,0,MATCH(K$2,Inputs!$K$4:$AJ$4,0))))=0,NA(),SUMPRODUCT((Inputs!$A$5:$A$130=$B8)*Inputs!$B$5:$B$130*(((Inputs!$G$5:$G$130="moeda")+(Inputs!$G$5:$G$130="acoes"))*Inputs!$B$1+((Inputs!$G$5:$G$130&lt;&gt;"moeda")*(Inputs!$G$5:$G$130&lt;&gt;"acoes")))*INDEX(Inputs!$K$5:$AJ$130,0,MATCH(K$2,Inputs!$K$4:$AJ$4,0)))+SUMPRODUCT((Inputs!$C$5:$C$130=$B8)*Inputs!$D$5:$D$130*(((Inputs!$G$5:$G$130="moeda")+(Inputs!$G$5:$G$130="acoes"))*Inputs!$B$1+((Inputs!$G$5:$G$130&lt;&gt;"moeda")*(Inputs!$G$5:$G$130&lt;&gt;"acoes")))*INDEX(Inputs!$K$5:$AJ$130,0,MATCH(K$2,Inputs!$K$4:$AJ$4,0)))+SUMPRODUCT((Inputs!$E$5:$E$130=$B8)*Inputs!$F$5:$F$130*(((Inputs!$G$5:$G$130="moeda")+(Inputs!$G$5:$G$130="acoes"))*Inputs!$B$1+((Inputs!$G$5:$G$130&lt;&gt;"moeda")*(Inputs!$G$5:$G$130&lt;&gt;"acoes")))*INDEX(Inputs!$K$5:$AJ$130,0,MATCH(K$2,Inputs!$K$4:$AJ$4,0)))))</f>
        <v>-65</v>
      </c>
      <c r="L8" s="6">
        <f>IF(ISNA(MATCH(L$2,Inputs!$K$4:$AJ$4,0)),NA(),IF(SUMPRODUCT((Inputs!$A$5:$A$130=$B8)*ISNUMBER(INDEX(Inputs!$K$5:$AJ$130,0,MATCH(L$2,Inputs!$K$4:$AJ$4,0))))+SUMPRODUCT((Inputs!$C$5:$C$130=$B8)*ISNUMBER(INDEX(Inputs!$K$5:$AJ$130,0,MATCH(L$2,Inputs!$K$4:$AJ$4,0))))+SUMPRODUCT((Inputs!$E$5:$E$130=$B8)*ISNUMBER(INDEX(Inputs!$K$5:$AJ$130,0,MATCH(L$2,Inputs!$K$4:$AJ$4,0))))=0,NA(),SUMPRODUCT((Inputs!$A$5:$A$130=$B8)*Inputs!$B$5:$B$130*(((Inputs!$G$5:$G$130="moeda")+(Inputs!$G$5:$G$130="acoes"))*Inputs!$B$1+((Inputs!$G$5:$G$130&lt;&gt;"moeda")*(Inputs!$G$5:$G$130&lt;&gt;"acoes")))*INDEX(Inputs!$K$5:$AJ$130,0,MATCH(L$2,Inputs!$K$4:$AJ$4,0)))+SUMPRODUCT((Inputs!$C$5:$C$130=$B8)*Inputs!$D$5:$D$130*(((Inputs!$G$5:$G$130="moeda")+(Inputs!$G$5:$G$130="acoes"))*Inputs!$B$1+((Inputs!$G$5:$G$130&lt;&gt;"moeda")*(Inputs!$G$5:$G$130&lt;&gt;"acoes")))*INDEX(Inputs!$K$5:$AJ$130,0,MATCH(L$2,Inputs!$K$4:$AJ$4,0)))+SUMPRODUCT((Inputs!$E$5:$E$130=$B8)*Inputs!$F$5:$F$130*(((Inputs!$G$5:$G$130="moeda")+(Inputs!$G$5:$G$130="acoes"))*Inputs!$B$1+((Inputs!$G$5:$G$130&lt;&gt;"moeda")*(Inputs!$G$5:$G$130&lt;&gt;"acoes")))*INDEX(Inputs!$K$5:$AJ$130,0,MATCH(L$2,Inputs!$K$4:$AJ$4,0)))))</f>
        <v>-64</v>
      </c>
      <c r="M8" s="3">
        <f>SUM(I8:L8)</f>
        <v>-262</v>
      </c>
      <c r="N8" s="6">
        <f>IF(ISNA(MATCH(N$2,Inputs!$K$4:$AJ$4,0)),NA(),IF(SUMPRODUCT((Inputs!$A$5:$A$130=$B8)*ISNUMBER(INDEX(Inputs!$K$5:$AJ$130,0,MATCH(N$2,Inputs!$K$4:$AJ$4,0))))+SUMPRODUCT((Inputs!$C$5:$C$130=$B8)*ISNUMBER(INDEX(Inputs!$K$5:$AJ$130,0,MATCH(N$2,Inputs!$K$4:$AJ$4,0))))+SUMPRODUCT((Inputs!$E$5:$E$130=$B8)*ISNUMBER(INDEX(Inputs!$K$5:$AJ$130,0,MATCH(N$2,Inputs!$K$4:$AJ$4,0))))=0,NA(),SUMPRODUCT((Inputs!$A$5:$A$130=$B8)*Inputs!$B$5:$B$130*(((Inputs!$G$5:$G$130="moeda")+(Inputs!$G$5:$G$130="acoes"))*Inputs!$B$1+((Inputs!$G$5:$G$130&lt;&gt;"moeda")*(Inputs!$G$5:$G$130&lt;&gt;"acoes")))*INDEX(Inputs!$K$5:$AJ$130,0,MATCH(N$2,Inputs!$K$4:$AJ$4,0)))+SUMPRODUCT((Inputs!$C$5:$C$130=$B8)*Inputs!$D$5:$D$130*(((Inputs!$G$5:$G$130="moeda")+(Inputs!$G$5:$G$130="acoes"))*Inputs!$B$1+((Inputs!$G$5:$G$130&lt;&gt;"moeda")*(Inputs!$G$5:$G$130&lt;&gt;"acoes")))*INDEX(Inputs!$K$5:$AJ$130,0,MATCH(N$2,Inputs!$K$4:$AJ$4,0)))+SUMPRODUCT((Inputs!$E$5:$E$130=$B8)*Inputs!$F$5:$F$130*(((Inputs!$G$5:$G$130="moeda")+(Inputs!$G$5:$G$130="acoes"))*Inputs!$B$1+((Inputs!$G$5:$G$130&lt;&gt;"moeda")*(Inputs!$G$5:$G$130&lt;&gt;"acoes")))*INDEX(Inputs!$K$5:$AJ$130,0,MATCH(N$2,Inputs!$K$4:$AJ$4,0)))))</f>
        <v>-66</v>
      </c>
      <c r="O8" s="6">
        <f>IF(ISNA(MATCH(O$2,Inputs!$K$4:$AJ$4,0)),NA(),IF(SUMPRODUCT((Inputs!$A$5:$A$130=$B8)*ISNUMBER(INDEX(Inputs!$K$5:$AJ$130,0,MATCH(O$2,Inputs!$K$4:$AJ$4,0))))+SUMPRODUCT((Inputs!$C$5:$C$130=$B8)*ISNUMBER(INDEX(Inputs!$K$5:$AJ$130,0,MATCH(O$2,Inputs!$K$4:$AJ$4,0))))+SUMPRODUCT((Inputs!$E$5:$E$130=$B8)*ISNUMBER(INDEX(Inputs!$K$5:$AJ$130,0,MATCH(O$2,Inputs!$K$4:$AJ$4,0))))=0,NA(),SUMPRODUCT((Inputs!$A$5:$A$130=$B8)*Inputs!$B$5:$B$130*(((Inputs!$G$5:$G$130="moeda")+(Inputs!$G$5:$G$130="acoes"))*Inputs!$B$1+((Inputs!$G$5:$G$130&lt;&gt;"moeda")*(Inputs!$G$5:$G$130&lt;&gt;"acoes")))*INDEX(Inputs!$K$5:$AJ$130,0,MATCH(O$2,Inputs!$K$4:$AJ$4,0)))+SUMPRODUCT((Inputs!$C$5:$C$130=$B8)*Inputs!$D$5:$D$130*(((Inputs!$G$5:$G$130="moeda")+(Inputs!$G$5:$G$130="acoes"))*Inputs!$B$1+((Inputs!$G$5:$G$130&lt;&gt;"moeda")*(Inputs!$G$5:$G$130&lt;&gt;"acoes")))*INDEX(Inputs!$K$5:$AJ$130,0,MATCH(O$2,Inputs!$K$4:$AJ$4,0)))+SUMPRODUCT((Inputs!$E$5:$E$130=$B8)*Inputs!$F$5:$F$130*(((Inputs!$G$5:$G$130="moeda")+(Inputs!$G$5:$G$130="acoes"))*Inputs!$B$1+((Inputs!$G$5:$G$130&lt;&gt;"moeda")*(Inputs!$G$5:$G$130&lt;&gt;"acoes")))*INDEX(Inputs!$K$5:$AJ$130,0,MATCH(O$2,Inputs!$K$4:$AJ$4,0)))))</f>
        <v>-65</v>
      </c>
      <c r="P8" s="6">
        <f>IF(ISNA(MATCH(P$2,Inputs!$K$4:$AJ$4,0)),NA(),IF(SUMPRODUCT((Inputs!$A$5:$A$130=$B8)*ISNUMBER(INDEX(Inputs!$K$5:$AJ$130,0,MATCH(P$2,Inputs!$K$4:$AJ$4,0))))+SUMPRODUCT((Inputs!$C$5:$C$130=$B8)*ISNUMBER(INDEX(Inputs!$K$5:$AJ$130,0,MATCH(P$2,Inputs!$K$4:$AJ$4,0))))+SUMPRODUCT((Inputs!$E$5:$E$130=$B8)*ISNUMBER(INDEX(Inputs!$K$5:$AJ$130,0,MATCH(P$2,Inputs!$K$4:$AJ$4,0))))=0,NA(),SUMPRODUCT((Inputs!$A$5:$A$130=$B8)*Inputs!$B$5:$B$130*(((Inputs!$G$5:$G$130="moeda")+(Inputs!$G$5:$G$130="acoes"))*Inputs!$B$1+((Inputs!$G$5:$G$130&lt;&gt;"moeda")*(Inputs!$G$5:$G$130&lt;&gt;"acoes")))*INDEX(Inputs!$K$5:$AJ$130,0,MATCH(P$2,Inputs!$K$4:$AJ$4,0)))+SUMPRODUCT((Inputs!$C$5:$C$130=$B8)*Inputs!$D$5:$D$130*(((Inputs!$G$5:$G$130="moeda")+(Inputs!$G$5:$G$130="acoes"))*Inputs!$B$1+((Inputs!$G$5:$G$130&lt;&gt;"moeda")*(Inputs!$G$5:$G$130&lt;&gt;"acoes")))*INDEX(Inputs!$K$5:$AJ$130,0,MATCH(P$2,Inputs!$K$4:$AJ$4,0)))+SUMPRODUCT((Inputs!$E$5:$E$130=$B8)*Inputs!$F$5:$F$130*(((Inputs!$G$5:$G$130="moeda")+(Inputs!$G$5:$G$130="acoes"))*Inputs!$B$1+((Inputs!$G$5:$G$130&lt;&gt;"moeda")*(Inputs!$G$5:$G$130&lt;&gt;"acoes")))*INDEX(Inputs!$K$5:$AJ$130,0,MATCH(P$2,Inputs!$K$4:$AJ$4,0)))))</f>
        <v>-63</v>
      </c>
      <c r="Q8" s="6">
        <f>IF(ISNA(MATCH(Q$2,Inputs!$K$4:$AJ$4,0)),NA(),IF(SUMPRODUCT((Inputs!$A$5:$A$130=$B8)*ISNUMBER(INDEX(Inputs!$K$5:$AJ$130,0,MATCH(Q$2,Inputs!$K$4:$AJ$4,0))))+SUMPRODUCT((Inputs!$C$5:$C$130=$B8)*ISNUMBER(INDEX(Inputs!$K$5:$AJ$130,0,MATCH(Q$2,Inputs!$K$4:$AJ$4,0))))+SUMPRODUCT((Inputs!$E$5:$E$130=$B8)*ISNUMBER(INDEX(Inputs!$K$5:$AJ$130,0,MATCH(Q$2,Inputs!$K$4:$AJ$4,0))))=0,NA(),SUMPRODUCT((Inputs!$A$5:$A$130=$B8)*Inputs!$B$5:$B$130*(((Inputs!$G$5:$G$130="moeda")+(Inputs!$G$5:$G$130="acoes"))*Inputs!$B$1+((Inputs!$G$5:$G$130&lt;&gt;"moeda")*(Inputs!$G$5:$G$130&lt;&gt;"acoes")))*INDEX(Inputs!$K$5:$AJ$130,0,MATCH(Q$2,Inputs!$K$4:$AJ$4,0)))+SUMPRODUCT((Inputs!$C$5:$C$130=$B8)*Inputs!$D$5:$D$130*(((Inputs!$G$5:$G$130="moeda")+(Inputs!$G$5:$G$130="acoes"))*Inputs!$B$1+((Inputs!$G$5:$G$130&lt;&gt;"moeda")*(Inputs!$G$5:$G$130&lt;&gt;"acoes")))*INDEX(Inputs!$K$5:$AJ$130,0,MATCH(Q$2,Inputs!$K$4:$AJ$4,0)))+SUMPRODUCT((Inputs!$E$5:$E$130=$B8)*Inputs!$F$5:$F$130*(((Inputs!$G$5:$G$130="moeda")+(Inputs!$G$5:$G$130="acoes"))*Inputs!$B$1+((Inputs!$G$5:$G$130&lt;&gt;"moeda")*(Inputs!$G$5:$G$130&lt;&gt;"acoes")))*INDEX(Inputs!$K$5:$AJ$130,0,MATCH(Q$2,Inputs!$K$4:$AJ$4,0)))))</f>
        <v>-63</v>
      </c>
      <c r="R8" s="3">
        <f>SUM(N8:Q8)</f>
        <v>-257</v>
      </c>
      <c r="S8" s="6">
        <f>IF(ISNA(MATCH(S$2,Inputs!$K$4:$AJ$4,0)),NA(),IF(SUMPRODUCT((Inputs!$A$5:$A$130=$B8)*ISNUMBER(INDEX(Inputs!$K$5:$AJ$130,0,MATCH(S$2,Inputs!$K$4:$AJ$4,0))))+SUMPRODUCT((Inputs!$C$5:$C$130=$B8)*ISNUMBER(INDEX(Inputs!$K$5:$AJ$130,0,MATCH(S$2,Inputs!$K$4:$AJ$4,0))))+SUMPRODUCT((Inputs!$E$5:$E$130=$B8)*ISNUMBER(INDEX(Inputs!$K$5:$AJ$130,0,MATCH(S$2,Inputs!$K$4:$AJ$4,0))))=0,NA(),SUMPRODUCT((Inputs!$A$5:$A$130=$B8)*Inputs!$B$5:$B$130*(((Inputs!$G$5:$G$130="moeda")+(Inputs!$G$5:$G$130="acoes"))*Inputs!$B$1+((Inputs!$G$5:$G$130&lt;&gt;"moeda")*(Inputs!$G$5:$G$130&lt;&gt;"acoes")))*INDEX(Inputs!$K$5:$AJ$130,0,MATCH(S$2,Inputs!$K$4:$AJ$4,0)))+SUMPRODUCT((Inputs!$C$5:$C$130=$B8)*Inputs!$D$5:$D$130*(((Inputs!$G$5:$G$130="moeda")+(Inputs!$G$5:$G$130="acoes"))*Inputs!$B$1+((Inputs!$G$5:$G$130&lt;&gt;"moeda")*(Inputs!$G$5:$G$130&lt;&gt;"acoes")))*INDEX(Inputs!$K$5:$AJ$130,0,MATCH(S$2,Inputs!$K$4:$AJ$4,0)))+SUMPRODUCT((Inputs!$E$5:$E$130=$B8)*Inputs!$F$5:$F$130*(((Inputs!$G$5:$G$130="moeda")+(Inputs!$G$5:$G$130="acoes"))*Inputs!$B$1+((Inputs!$G$5:$G$130&lt;&gt;"moeda")*(Inputs!$G$5:$G$130&lt;&gt;"acoes")))*INDEX(Inputs!$K$5:$AJ$130,0,MATCH(S$2,Inputs!$K$4:$AJ$4,0)))))</f>
        <v>-64</v>
      </c>
      <c r="T8" s="6">
        <f>IF(ISNA(MATCH(T$2,Inputs!$K$4:$AJ$4,0)),NA(),IF(SUMPRODUCT((Inputs!$A$5:$A$130=$B8)*ISNUMBER(INDEX(Inputs!$K$5:$AJ$130,0,MATCH(T$2,Inputs!$K$4:$AJ$4,0))))+SUMPRODUCT((Inputs!$C$5:$C$130=$B8)*ISNUMBER(INDEX(Inputs!$K$5:$AJ$130,0,MATCH(T$2,Inputs!$K$4:$AJ$4,0))))+SUMPRODUCT((Inputs!$E$5:$E$130=$B8)*ISNUMBER(INDEX(Inputs!$K$5:$AJ$130,0,MATCH(T$2,Inputs!$K$4:$AJ$4,0))))=0,NA(),SUMPRODUCT((Inputs!$A$5:$A$130=$B8)*Inputs!$B$5:$B$130*(((Inputs!$G$5:$G$130="moeda")+(Inputs!$G$5:$G$130="acoes"))*Inputs!$B$1+((Inputs!$G$5:$G$130&lt;&gt;"moeda")*(Inputs!$G$5:$G$130&lt;&gt;"acoes")))*INDEX(Inputs!$K$5:$AJ$130,0,MATCH(T$2,Inputs!$K$4:$AJ$4,0)))+SUMPRODUCT((Inputs!$C$5:$C$130=$B8)*Inputs!$D$5:$D$130*(((Inputs!$G$5:$G$130="moeda")+(Inputs!$G$5:$G$130="acoes"))*Inputs!$B$1+((Inputs!$G$5:$G$130&lt;&gt;"moeda")*(Inputs!$G$5:$G$130&lt;&gt;"acoes")))*INDEX(Inputs!$K$5:$AJ$130,0,MATCH(T$2,Inputs!$K$4:$AJ$4,0)))+SUMPRODUCT((Inputs!$E$5:$E$130=$B8)*Inputs!$F$5:$F$130*(((Inputs!$G$5:$G$130="moeda")+(Inputs!$G$5:$G$130="acoes"))*Inputs!$B$1+((Inputs!$G$5:$G$130&lt;&gt;"moeda")*(Inputs!$G$5:$G$130&lt;&gt;"acoes")))*INDEX(Inputs!$K$5:$AJ$130,0,MATCH(T$2,Inputs!$K$4:$AJ$4,0)))))</f>
        <v>-61</v>
      </c>
      <c r="U8" s="6">
        <f>IF(ISNA(MATCH(U$2,Inputs!$K$4:$AJ$4,0)),NA(),IF(SUMPRODUCT((Inputs!$A$5:$A$130=$B8)*ISNUMBER(INDEX(Inputs!$K$5:$AJ$130,0,MATCH(U$2,Inputs!$K$4:$AJ$4,0))))+SUMPRODUCT((Inputs!$C$5:$C$130=$B8)*ISNUMBER(INDEX(Inputs!$K$5:$AJ$130,0,MATCH(U$2,Inputs!$K$4:$AJ$4,0))))+SUMPRODUCT((Inputs!$E$5:$E$130=$B8)*ISNUMBER(INDEX(Inputs!$K$5:$AJ$130,0,MATCH(U$2,Inputs!$K$4:$AJ$4,0))))=0,NA(),SUMPRODUCT((Inputs!$A$5:$A$130=$B8)*Inputs!$B$5:$B$130*(((Inputs!$G$5:$G$130="moeda")+(Inputs!$G$5:$G$130="acoes"))*Inputs!$B$1+((Inputs!$G$5:$G$130&lt;&gt;"moeda")*(Inputs!$G$5:$G$130&lt;&gt;"acoes")))*INDEX(Inputs!$K$5:$AJ$130,0,MATCH(U$2,Inputs!$K$4:$AJ$4,0)))+SUMPRODUCT((Inputs!$C$5:$C$130=$B8)*Inputs!$D$5:$D$130*(((Inputs!$G$5:$G$130="moeda")+(Inputs!$G$5:$G$130="acoes"))*Inputs!$B$1+((Inputs!$G$5:$G$130&lt;&gt;"moeda")*(Inputs!$G$5:$G$130&lt;&gt;"acoes")))*INDEX(Inputs!$K$5:$AJ$130,0,MATCH(U$2,Inputs!$K$4:$AJ$4,0)))+SUMPRODUCT((Inputs!$E$5:$E$130=$B8)*Inputs!$F$5:$F$130*(((Inputs!$G$5:$G$130="moeda")+(Inputs!$G$5:$G$130="acoes"))*Inputs!$B$1+((Inputs!$G$5:$G$130&lt;&gt;"moeda")*(Inputs!$G$5:$G$130&lt;&gt;"acoes")))*INDEX(Inputs!$K$5:$AJ$130,0,MATCH(U$2,Inputs!$K$4:$AJ$4,0)))))</f>
        <v>-61</v>
      </c>
      <c r="V8" s="6">
        <f>IF(ISNA(MATCH(V$2,Inputs!$K$4:$AJ$4,0)),NA(),IF(SUMPRODUCT((Inputs!$A$5:$A$130=$B8)*ISNUMBER(INDEX(Inputs!$K$5:$AJ$130,0,MATCH(V$2,Inputs!$K$4:$AJ$4,0))))+SUMPRODUCT((Inputs!$C$5:$C$130=$B8)*ISNUMBER(INDEX(Inputs!$K$5:$AJ$130,0,MATCH(V$2,Inputs!$K$4:$AJ$4,0))))+SUMPRODUCT((Inputs!$E$5:$E$130=$B8)*ISNUMBER(INDEX(Inputs!$K$5:$AJ$130,0,MATCH(V$2,Inputs!$K$4:$AJ$4,0))))=0,NA(),SUMPRODUCT((Inputs!$A$5:$A$130=$B8)*Inputs!$B$5:$B$130*(((Inputs!$G$5:$G$130="moeda")+(Inputs!$G$5:$G$130="acoes"))*Inputs!$B$1+((Inputs!$G$5:$G$130&lt;&gt;"moeda")*(Inputs!$G$5:$G$130&lt;&gt;"acoes")))*INDEX(Inputs!$K$5:$AJ$130,0,MATCH(V$2,Inputs!$K$4:$AJ$4,0)))+SUMPRODUCT((Inputs!$C$5:$C$130=$B8)*Inputs!$D$5:$D$130*(((Inputs!$G$5:$G$130="moeda")+(Inputs!$G$5:$G$130="acoes"))*Inputs!$B$1+((Inputs!$G$5:$G$130&lt;&gt;"moeda")*(Inputs!$G$5:$G$130&lt;&gt;"acoes")))*INDEX(Inputs!$K$5:$AJ$130,0,MATCH(V$2,Inputs!$K$4:$AJ$4,0)))+SUMPRODUCT((Inputs!$E$5:$E$130=$B8)*Inputs!$F$5:$F$130*(((Inputs!$G$5:$G$130="moeda")+(Inputs!$G$5:$G$130="acoes"))*Inputs!$B$1+((Inputs!$G$5:$G$130&lt;&gt;"moeda")*(Inputs!$G$5:$G$130&lt;&gt;"acoes")))*INDEX(Inputs!$K$5:$AJ$130,0,MATCH(V$2,Inputs!$K$4:$AJ$4,0)))))</f>
        <v>-61</v>
      </c>
      <c r="W8" s="3">
        <f>SUM(S8:V8)</f>
        <v>-247</v>
      </c>
      <c r="X8" s="6">
        <f>IF(ISNA(MATCH(X$2,Inputs!$K$4:$AJ$4,0)),NA(),IF(SUMPRODUCT((Inputs!$A$5:$A$130=$B8)*ISNUMBER(INDEX(Inputs!$K$5:$AJ$130,0,MATCH(X$2,Inputs!$K$4:$AJ$4,0))))+SUMPRODUCT((Inputs!$C$5:$C$130=$B8)*ISNUMBER(INDEX(Inputs!$K$5:$AJ$130,0,MATCH(X$2,Inputs!$K$4:$AJ$4,0))))+SUMPRODUCT((Inputs!$E$5:$E$130=$B8)*ISNUMBER(INDEX(Inputs!$K$5:$AJ$130,0,MATCH(X$2,Inputs!$K$4:$AJ$4,0))))=0,NA(),SUMPRODUCT((Inputs!$A$5:$A$130=$B8)*Inputs!$B$5:$B$130*(((Inputs!$G$5:$G$130="moeda")+(Inputs!$G$5:$G$130="acoes"))*Inputs!$B$1+((Inputs!$G$5:$G$130&lt;&gt;"moeda")*(Inputs!$G$5:$G$130&lt;&gt;"acoes")))*INDEX(Inputs!$K$5:$AJ$130,0,MATCH(X$2,Inputs!$K$4:$AJ$4,0)))+SUMPRODUCT((Inputs!$C$5:$C$130=$B8)*Inputs!$D$5:$D$130*(((Inputs!$G$5:$G$130="moeda")+(Inputs!$G$5:$G$130="acoes"))*Inputs!$B$1+((Inputs!$G$5:$G$130&lt;&gt;"moeda")*(Inputs!$G$5:$G$130&lt;&gt;"acoes")))*INDEX(Inputs!$K$5:$AJ$130,0,MATCH(X$2,Inputs!$K$4:$AJ$4,0)))+SUMPRODUCT((Inputs!$E$5:$E$130=$B8)*Inputs!$F$5:$F$130*(((Inputs!$G$5:$G$130="moeda")+(Inputs!$G$5:$G$130="acoes"))*Inputs!$B$1+((Inputs!$G$5:$G$130&lt;&gt;"moeda")*(Inputs!$G$5:$G$130&lt;&gt;"acoes")))*INDEX(Inputs!$K$5:$AJ$130,0,MATCH(X$2,Inputs!$K$4:$AJ$4,0)))))</f>
        <v>-63</v>
      </c>
      <c r="Y8" s="6">
        <f>IF(ISNA(MATCH(Y$2,Inputs!$K$4:$AJ$4,0)),NA(),IF(SUMPRODUCT((Inputs!$A$5:$A$130=$B8)*ISNUMBER(INDEX(Inputs!$K$5:$AJ$130,0,MATCH(Y$2,Inputs!$K$4:$AJ$4,0))))+SUMPRODUCT((Inputs!$C$5:$C$130=$B8)*ISNUMBER(INDEX(Inputs!$K$5:$AJ$130,0,MATCH(Y$2,Inputs!$K$4:$AJ$4,0))))+SUMPRODUCT((Inputs!$E$5:$E$130=$B8)*ISNUMBER(INDEX(Inputs!$K$5:$AJ$130,0,MATCH(Y$2,Inputs!$K$4:$AJ$4,0))))=0,NA(),SUMPRODUCT((Inputs!$A$5:$A$130=$B8)*Inputs!$B$5:$B$130*(((Inputs!$G$5:$G$130="moeda")+(Inputs!$G$5:$G$130="acoes"))*Inputs!$B$1+((Inputs!$G$5:$G$130&lt;&gt;"moeda")*(Inputs!$G$5:$G$130&lt;&gt;"acoes")))*INDEX(Inputs!$K$5:$AJ$130,0,MATCH(Y$2,Inputs!$K$4:$AJ$4,0)))+SUMPRODUCT((Inputs!$C$5:$C$130=$B8)*Inputs!$D$5:$D$130*(((Inputs!$G$5:$G$130="moeda")+(Inputs!$G$5:$G$130="acoes"))*Inputs!$B$1+((Inputs!$G$5:$G$130&lt;&gt;"moeda")*(Inputs!$G$5:$G$130&lt;&gt;"acoes")))*INDEX(Inputs!$K$5:$AJ$130,0,MATCH(Y$2,Inputs!$K$4:$AJ$4,0)))+SUMPRODUCT((Inputs!$E$5:$E$130=$B8)*Inputs!$F$5:$F$130*(((Inputs!$G$5:$G$130="moeda")+(Inputs!$G$5:$G$130="acoes"))*Inputs!$B$1+((Inputs!$G$5:$G$130&lt;&gt;"moeda")*(Inputs!$G$5:$G$130&lt;&gt;"acoes")))*INDEX(Inputs!$K$5:$AJ$130,0,MATCH(Y$2,Inputs!$K$4:$AJ$4,0)))))</f>
        <v>-62</v>
      </c>
      <c r="Z8" s="6">
        <f>IF(ISNA(MATCH(Z$2,Inputs!$K$4:$AJ$4,0)),NA(),IF(SUMPRODUCT((Inputs!$A$5:$A$130=$B8)*ISNUMBER(INDEX(Inputs!$K$5:$AJ$130,0,MATCH(Z$2,Inputs!$K$4:$AJ$4,0))))+SUMPRODUCT((Inputs!$C$5:$C$130=$B8)*ISNUMBER(INDEX(Inputs!$K$5:$AJ$130,0,MATCH(Z$2,Inputs!$K$4:$AJ$4,0))))+SUMPRODUCT((Inputs!$E$5:$E$130=$B8)*ISNUMBER(INDEX(Inputs!$K$5:$AJ$130,0,MATCH(Z$2,Inputs!$K$4:$AJ$4,0))))=0,NA(),SUMPRODUCT((Inputs!$A$5:$A$130=$B8)*Inputs!$B$5:$B$130*(((Inputs!$G$5:$G$130="moeda")+(Inputs!$G$5:$G$130="acoes"))*Inputs!$B$1+((Inputs!$G$5:$G$130&lt;&gt;"moeda")*(Inputs!$G$5:$G$130&lt;&gt;"acoes")))*INDEX(Inputs!$K$5:$AJ$130,0,MATCH(Z$2,Inputs!$K$4:$AJ$4,0)))+SUMPRODUCT((Inputs!$C$5:$C$130=$B8)*Inputs!$D$5:$D$130*(((Inputs!$G$5:$G$130="moeda")+(Inputs!$G$5:$G$130="acoes"))*Inputs!$B$1+((Inputs!$G$5:$G$130&lt;&gt;"moeda")*(Inputs!$G$5:$G$130&lt;&gt;"acoes")))*INDEX(Inputs!$K$5:$AJ$130,0,MATCH(Z$2,Inputs!$K$4:$AJ$4,0)))+SUMPRODUCT((Inputs!$E$5:$E$130=$B8)*Inputs!$F$5:$F$130*(((Inputs!$G$5:$G$130="moeda")+(Inputs!$G$5:$G$130="acoes"))*Inputs!$B$1+((Inputs!$G$5:$G$130&lt;&gt;"moeda")*(Inputs!$G$5:$G$130&lt;&gt;"acoes")))*INDEX(Inputs!$K$5:$AJ$130,0,MATCH(Z$2,Inputs!$K$4:$AJ$4,0)))))</f>
        <v>-61</v>
      </c>
      <c r="AA8" s="6">
        <f>IF(ISNA(MATCH(AA$2,Inputs!$K$4:$AJ$4,0)),NA(),IF(SUMPRODUCT((Inputs!$A$5:$A$130=$B8)*ISNUMBER(INDEX(Inputs!$K$5:$AJ$130,0,MATCH(AA$2,Inputs!$K$4:$AJ$4,0))))+SUMPRODUCT((Inputs!$C$5:$C$130=$B8)*ISNUMBER(INDEX(Inputs!$K$5:$AJ$130,0,MATCH(AA$2,Inputs!$K$4:$AJ$4,0))))+SUMPRODUCT((Inputs!$E$5:$E$130=$B8)*ISNUMBER(INDEX(Inputs!$K$5:$AJ$130,0,MATCH(AA$2,Inputs!$K$4:$AJ$4,0))))=0,NA(),SUMPRODUCT((Inputs!$A$5:$A$130=$B8)*Inputs!$B$5:$B$130*(((Inputs!$G$5:$G$130="moeda")+(Inputs!$G$5:$G$130="acoes"))*Inputs!$B$1+((Inputs!$G$5:$G$130&lt;&gt;"moeda")*(Inputs!$G$5:$G$130&lt;&gt;"acoes")))*INDEX(Inputs!$K$5:$AJ$130,0,MATCH(AA$2,Inputs!$K$4:$AJ$4,0)))+SUMPRODUCT((Inputs!$C$5:$C$130=$B8)*Inputs!$D$5:$D$130*(((Inputs!$G$5:$G$130="moeda")+(Inputs!$G$5:$G$130="acoes"))*Inputs!$B$1+((Inputs!$G$5:$G$130&lt;&gt;"moeda")*(Inputs!$G$5:$G$130&lt;&gt;"acoes")))*INDEX(Inputs!$K$5:$AJ$130,0,MATCH(AA$2,Inputs!$K$4:$AJ$4,0)))+SUMPRODUCT((Inputs!$E$5:$E$130=$B8)*Inputs!$F$5:$F$130*(((Inputs!$G$5:$G$130="moeda")+(Inputs!$G$5:$G$130="acoes"))*Inputs!$B$1+((Inputs!$G$5:$G$130&lt;&gt;"moeda")*(Inputs!$G$5:$G$130&lt;&gt;"acoes")))*INDEX(Inputs!$K$5:$AJ$130,0,MATCH(AA$2,Inputs!$K$4:$AJ$4,0)))))</f>
        <v>-73</v>
      </c>
      <c r="AB8" s="3">
        <f>SUM(X8:AA8)</f>
        <v>-259</v>
      </c>
      <c r="AC8" s="6">
        <f>IF(ISNA(MATCH(AC$2,Inputs!$K$4:$AJ$4,0)),NA(),IF(SUMPRODUCT((Inputs!$A$5:$A$130=$B8)*ISNUMBER(INDEX(Inputs!$K$5:$AJ$130,0,MATCH(AC$2,Inputs!$K$4:$AJ$4,0))))+SUMPRODUCT((Inputs!$C$5:$C$130=$B8)*ISNUMBER(INDEX(Inputs!$K$5:$AJ$130,0,MATCH(AC$2,Inputs!$K$4:$AJ$4,0))))+SUMPRODUCT((Inputs!$E$5:$E$130=$B8)*ISNUMBER(INDEX(Inputs!$K$5:$AJ$130,0,MATCH(AC$2,Inputs!$K$4:$AJ$4,0))))=0,NA(),SUMPRODUCT((Inputs!$A$5:$A$130=$B8)*Inputs!$B$5:$B$130*(((Inputs!$G$5:$G$130="moeda")+(Inputs!$G$5:$G$130="acoes"))*Inputs!$B$1+((Inputs!$G$5:$G$130&lt;&gt;"moeda")*(Inputs!$G$5:$G$130&lt;&gt;"acoes")))*INDEX(Inputs!$K$5:$AJ$130,0,MATCH(AC$2,Inputs!$K$4:$AJ$4,0)))+SUMPRODUCT((Inputs!$C$5:$C$130=$B8)*Inputs!$D$5:$D$130*(((Inputs!$G$5:$G$130="moeda")+(Inputs!$G$5:$G$130="acoes"))*Inputs!$B$1+((Inputs!$G$5:$G$130&lt;&gt;"moeda")*(Inputs!$G$5:$G$130&lt;&gt;"acoes")))*INDEX(Inputs!$K$5:$AJ$130,0,MATCH(AC$2,Inputs!$K$4:$AJ$4,0)))+SUMPRODUCT((Inputs!$E$5:$E$130=$B8)*Inputs!$F$5:$F$130*(((Inputs!$G$5:$G$130="moeda")+(Inputs!$G$5:$G$130="acoes"))*Inputs!$B$1+((Inputs!$G$5:$G$130&lt;&gt;"moeda")*(Inputs!$G$5:$G$130&lt;&gt;"acoes")))*INDEX(Inputs!$K$5:$AJ$130,0,MATCH(AC$2,Inputs!$K$4:$AJ$4,0)))))</f>
        <v>-102</v>
      </c>
      <c r="AD8" s="6">
        <f>IF(ISNA(MATCH(AD$2,Inputs!$K$4:$AJ$4,0)),NA(),IF(SUMPRODUCT((Inputs!$A$5:$A$130=$B8)*ISNUMBER(INDEX(Inputs!$K$5:$AJ$130,0,MATCH(AD$2,Inputs!$K$4:$AJ$4,0))))+SUMPRODUCT((Inputs!$C$5:$C$130=$B8)*ISNUMBER(INDEX(Inputs!$K$5:$AJ$130,0,MATCH(AD$2,Inputs!$K$4:$AJ$4,0))))+SUMPRODUCT((Inputs!$E$5:$E$130=$B8)*ISNUMBER(INDEX(Inputs!$K$5:$AJ$130,0,MATCH(AD$2,Inputs!$K$4:$AJ$4,0))))=0,NA(),SUMPRODUCT((Inputs!$A$5:$A$130=$B8)*Inputs!$B$5:$B$130*(((Inputs!$G$5:$G$130="moeda")+(Inputs!$G$5:$G$130="acoes"))*Inputs!$B$1+((Inputs!$G$5:$G$130&lt;&gt;"moeda")*(Inputs!$G$5:$G$130&lt;&gt;"acoes")))*INDEX(Inputs!$K$5:$AJ$130,0,MATCH(AD$2,Inputs!$K$4:$AJ$4,0)))+SUMPRODUCT((Inputs!$C$5:$C$130=$B8)*Inputs!$D$5:$D$130*(((Inputs!$G$5:$G$130="moeda")+(Inputs!$G$5:$G$130="acoes"))*Inputs!$B$1+((Inputs!$G$5:$G$130&lt;&gt;"moeda")*(Inputs!$G$5:$G$130&lt;&gt;"acoes")))*INDEX(Inputs!$K$5:$AJ$130,0,MATCH(AD$2,Inputs!$K$4:$AJ$4,0)))+SUMPRODUCT((Inputs!$E$5:$E$130=$B8)*Inputs!$F$5:$F$130*(((Inputs!$G$5:$G$130="moeda")+(Inputs!$G$5:$G$130="acoes"))*Inputs!$B$1+((Inputs!$G$5:$G$130&lt;&gt;"moeda")*(Inputs!$G$5:$G$130&lt;&gt;"acoes")))*INDEX(Inputs!$K$5:$AJ$130,0,MATCH(AD$2,Inputs!$K$4:$AJ$4,0)))))</f>
        <v>-227</v>
      </c>
      <c r="AE8" s="6" t="e">
        <f>IF(ISNA(MATCH(AE$2,Inputs!$K$4:$AJ$4,0)),NA(),IF(SUMPRODUCT((Inputs!$A$5:$A$130=$B8)*ISNUMBER(INDEX(Inputs!$K$5:$AJ$130,0,MATCH(AE$2,Inputs!$K$4:$AJ$4,0))))+SUMPRODUCT((Inputs!$C$5:$C$130=$B8)*ISNUMBER(INDEX(Inputs!$K$5:$AJ$130,0,MATCH(AE$2,Inputs!$K$4:$AJ$4,0))))+SUMPRODUCT((Inputs!$E$5:$E$130=$B8)*ISNUMBER(INDEX(Inputs!$K$5:$AJ$130,0,MATCH(AE$2,Inputs!$K$4:$AJ$4,0))))=0,NA(),SUMPRODUCT((Inputs!$A$5:$A$130=$B8)*Inputs!$B$5:$B$130*(((Inputs!$G$5:$G$130="moeda")+(Inputs!$G$5:$G$130="acoes"))*Inputs!$B$1+((Inputs!$G$5:$G$130&lt;&gt;"moeda")*(Inputs!$G$5:$G$130&lt;&gt;"acoes")))*INDEX(Inputs!$K$5:$AJ$130,0,MATCH(AE$2,Inputs!$K$4:$AJ$4,0)))+SUMPRODUCT((Inputs!$C$5:$C$130=$B8)*Inputs!$D$5:$D$130*(((Inputs!$G$5:$G$130="moeda")+(Inputs!$G$5:$G$130="acoes"))*Inputs!$B$1+((Inputs!$G$5:$G$130&lt;&gt;"moeda")*(Inputs!$G$5:$G$130&lt;&gt;"acoes")))*INDEX(Inputs!$K$5:$AJ$130,0,MATCH(AE$2,Inputs!$K$4:$AJ$4,0)))+SUMPRODUCT((Inputs!$E$5:$E$130=$B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8" s="6" t="e">
        <f>IF(ISNA(MATCH(AF$2,Inputs!$K$4:$AJ$4,0)),NA(),IF(SUMPRODUCT((Inputs!$A$5:$A$130=$B8)*ISNUMBER(INDEX(Inputs!$K$5:$AJ$130,0,MATCH(AF$2,Inputs!$K$4:$AJ$4,0))))+SUMPRODUCT((Inputs!$C$5:$C$130=$B8)*ISNUMBER(INDEX(Inputs!$K$5:$AJ$130,0,MATCH(AF$2,Inputs!$K$4:$AJ$4,0))))+SUMPRODUCT((Inputs!$E$5:$E$130=$B8)*ISNUMBER(INDEX(Inputs!$K$5:$AJ$130,0,MATCH(AF$2,Inputs!$K$4:$AJ$4,0))))=0,NA(),SUMPRODUCT((Inputs!$A$5:$A$130=$B8)*Inputs!$B$5:$B$130*(((Inputs!$G$5:$G$130="moeda")+(Inputs!$G$5:$G$130="acoes"))*Inputs!$B$1+((Inputs!$G$5:$G$130&lt;&gt;"moeda")*(Inputs!$G$5:$G$130&lt;&gt;"acoes")))*INDEX(Inputs!$K$5:$AJ$130,0,MATCH(AF$2,Inputs!$K$4:$AJ$4,0)))+SUMPRODUCT((Inputs!$C$5:$C$130=$B8)*Inputs!$D$5:$D$130*(((Inputs!$G$5:$G$130="moeda")+(Inputs!$G$5:$G$130="acoes"))*Inputs!$B$1+((Inputs!$G$5:$G$130&lt;&gt;"moeda")*(Inputs!$G$5:$G$130&lt;&gt;"acoes")))*INDEX(Inputs!$K$5:$AJ$130,0,MATCH(AF$2,Inputs!$K$4:$AJ$4,0)))+SUMPRODUCT((Inputs!$E$5:$E$130=$B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8" s="3" t="e">
        <f>SUM(AC8:AF8)</f>
        <v>#N/A</v>
      </c>
      <c r="AH8" s="6">
        <f>IF(ISNA(MATCH(AH$2,Inputs!$K$4:$AJ$4,0)),NA(),IF(SUMPRODUCT((Inputs!$A$5:$A$130=$B8)*ISNUMBER(INDEX(Inputs!$K$5:$AJ$130,0,MATCH(AH$2,Inputs!$K$4:$AJ$4,0))))+SUMPRODUCT((Inputs!$C$5:$C$130=$B8)*ISNUMBER(INDEX(Inputs!$K$5:$AJ$130,0,MATCH(AH$2,Inputs!$K$4:$AJ$4,0))))+SUMPRODUCT((Inputs!$E$5:$E$130=$B8)*ISNUMBER(INDEX(Inputs!$K$5:$AJ$130,0,MATCH(AH$2,Inputs!$K$4:$AJ$4,0))))=0,NA(),SUMPRODUCT((Inputs!$A$5:$A$130=$B8)*Inputs!$B$5:$B$130*(((Inputs!$G$5:$G$130="moeda")+(Inputs!$G$5:$G$130="acoes"))*Inputs!$B$1+((Inputs!$G$5:$G$130&lt;&gt;"moeda")*(Inputs!$G$5:$G$130&lt;&gt;"acoes")))*INDEX(Inputs!$K$5:$AJ$130,0,MATCH(AH$2,Inputs!$K$4:$AJ$4,0)))+SUMPRODUCT((Inputs!$C$5:$C$130=$B8)*Inputs!$D$5:$D$130*(((Inputs!$G$5:$G$130="moeda")+(Inputs!$G$5:$G$130="acoes"))*Inputs!$B$1+((Inputs!$G$5:$G$130&lt;&gt;"moeda")*(Inputs!$G$5:$G$130&lt;&gt;"acoes")))*INDEX(Inputs!$K$5:$AJ$130,0,MATCH(AH$2,Inputs!$K$4:$AJ$4,0)))+SUMPRODUCT((Inputs!$E$5:$E$130=$B8)*Inputs!$F$5:$F$130*(((Inputs!$G$5:$G$130="moeda")+(Inputs!$G$5:$G$130="acoes"))*Inputs!$B$1+((Inputs!$G$5:$G$130&lt;&gt;"moeda")*(Inputs!$G$5:$G$130&lt;&gt;"acoes")))*INDEX(Inputs!$K$5:$AJ$130,0,MATCH(AH$2,Inputs!$K$4:$AJ$4,0)))))</f>
        <v>-25</v>
      </c>
      <c r="AI8" s="6">
        <f>IF(ISNA(MATCH(AI$2,Inputs!$K$4:$AJ$4,0)),NA(),IF(SUMPRODUCT((Inputs!$A$5:$A$130=$B8)*ISNUMBER(INDEX(Inputs!$K$5:$AJ$130,0,MATCH(AI$2,Inputs!$K$4:$AJ$4,0))))+SUMPRODUCT((Inputs!$C$5:$C$130=$B8)*ISNUMBER(INDEX(Inputs!$K$5:$AJ$130,0,MATCH(AI$2,Inputs!$K$4:$AJ$4,0))))+SUMPRODUCT((Inputs!$E$5:$E$130=$B8)*ISNUMBER(INDEX(Inputs!$K$5:$AJ$130,0,MATCH(AI$2,Inputs!$K$4:$AJ$4,0))))=0,NA(),SUMPRODUCT((Inputs!$A$5:$A$130=$B8)*Inputs!$B$5:$B$130*(((Inputs!$G$5:$G$130="moeda")+(Inputs!$G$5:$G$130="acoes"))*Inputs!$B$1+((Inputs!$G$5:$G$130&lt;&gt;"moeda")*(Inputs!$G$5:$G$130&lt;&gt;"acoes")))*INDEX(Inputs!$K$5:$AJ$130,0,MATCH(AI$2,Inputs!$K$4:$AJ$4,0)))+SUMPRODUCT((Inputs!$C$5:$C$130=$B8)*Inputs!$D$5:$D$130*(((Inputs!$G$5:$G$130="moeda")+(Inputs!$G$5:$G$130="acoes"))*Inputs!$B$1+((Inputs!$G$5:$G$130&lt;&gt;"moeda")*(Inputs!$G$5:$G$130&lt;&gt;"acoes")))*INDEX(Inputs!$K$5:$AJ$130,0,MATCH(AI$2,Inputs!$K$4:$AJ$4,0)))+SUMPRODUCT((Inputs!$E$5:$E$130=$B8)*Inputs!$F$5:$F$130*(((Inputs!$G$5:$G$130="moeda")+(Inputs!$G$5:$G$130="acoes"))*Inputs!$B$1+((Inputs!$G$5:$G$130&lt;&gt;"moeda")*(Inputs!$G$5:$G$130&lt;&gt;"acoes")))*INDEX(Inputs!$K$5:$AJ$130,0,MATCH(AI$2,Inputs!$K$4:$AJ$4,0)))))</f>
        <v>-54</v>
      </c>
      <c r="AJ8" s="6">
        <f>IF(ISNA(MATCH(AJ$2,Inputs!$K$4:$AJ$4,0)),NA(),IF(SUMPRODUCT((Inputs!$A$5:$A$130=$B8)*ISNUMBER(INDEX(Inputs!$K$5:$AJ$130,0,MATCH(AJ$2,Inputs!$K$4:$AJ$4,0))))+SUMPRODUCT((Inputs!$C$5:$C$130=$B8)*ISNUMBER(INDEX(Inputs!$K$5:$AJ$130,0,MATCH(AJ$2,Inputs!$K$4:$AJ$4,0))))+SUMPRODUCT((Inputs!$E$5:$E$130=$B8)*ISNUMBER(INDEX(Inputs!$K$5:$AJ$130,0,MATCH(AJ$2,Inputs!$K$4:$AJ$4,0))))=0,NA(),SUMPRODUCT((Inputs!$A$5:$A$130=$B8)*Inputs!$B$5:$B$130*(((Inputs!$G$5:$G$130="moeda")+(Inputs!$G$5:$G$130="acoes"))*Inputs!$B$1+((Inputs!$G$5:$G$130&lt;&gt;"moeda")*(Inputs!$G$5:$G$130&lt;&gt;"acoes")))*INDEX(Inputs!$K$5:$AJ$130,0,MATCH(AJ$2,Inputs!$K$4:$AJ$4,0)))+SUMPRODUCT((Inputs!$C$5:$C$130=$B8)*Inputs!$D$5:$D$130*(((Inputs!$G$5:$G$130="moeda")+(Inputs!$G$5:$G$130="acoes"))*Inputs!$B$1+((Inputs!$G$5:$G$130&lt;&gt;"moeda")*(Inputs!$G$5:$G$130&lt;&gt;"acoes")))*INDEX(Inputs!$K$5:$AJ$130,0,MATCH(AJ$2,Inputs!$K$4:$AJ$4,0)))+SUMPRODUCT((Inputs!$E$5:$E$130=$B8)*Inputs!$F$5:$F$130*(((Inputs!$G$5:$G$130="moeda")+(Inputs!$G$5:$G$130="acoes"))*Inputs!$B$1+((Inputs!$G$5:$G$130&lt;&gt;"moeda")*(Inputs!$G$5:$G$130&lt;&gt;"acoes")))*INDEX(Inputs!$K$5:$AJ$130,0,MATCH(AJ$2,Inputs!$K$4:$AJ$4,0)))))</f>
        <v>-53</v>
      </c>
      <c r="AK8" s="6">
        <f>IF(ISNA(MATCH(AK$2,Inputs!$K$4:$AJ$4,0)),NA(),IF(SUMPRODUCT((Inputs!$A$5:$A$130=$B8)*ISNUMBER(INDEX(Inputs!$K$5:$AJ$130,0,MATCH(AK$2,Inputs!$K$4:$AJ$4,0))))+SUMPRODUCT((Inputs!$C$5:$C$130=$B8)*ISNUMBER(INDEX(Inputs!$K$5:$AJ$130,0,MATCH(AK$2,Inputs!$K$4:$AJ$4,0))))+SUMPRODUCT((Inputs!$E$5:$E$130=$B8)*ISNUMBER(INDEX(Inputs!$K$5:$AJ$130,0,MATCH(AK$2,Inputs!$K$4:$AJ$4,0))))=0,NA(),SUMPRODUCT((Inputs!$A$5:$A$130=$B8)*Inputs!$B$5:$B$130*(((Inputs!$G$5:$G$130="moeda")+(Inputs!$G$5:$G$130="acoes"))*Inputs!$B$1+((Inputs!$G$5:$G$130&lt;&gt;"moeda")*(Inputs!$G$5:$G$130&lt;&gt;"acoes")))*INDEX(Inputs!$K$5:$AJ$130,0,MATCH(AK$2,Inputs!$K$4:$AJ$4,0)))+SUMPRODUCT((Inputs!$C$5:$C$130=$B8)*Inputs!$D$5:$D$130*(((Inputs!$G$5:$G$130="moeda")+(Inputs!$G$5:$G$130="acoes"))*Inputs!$B$1+((Inputs!$G$5:$G$130&lt;&gt;"moeda")*(Inputs!$G$5:$G$130&lt;&gt;"acoes")))*INDEX(Inputs!$K$5:$AJ$130,0,MATCH(AK$2,Inputs!$K$4:$AJ$4,0)))+SUMPRODUCT((Inputs!$E$5:$E$130=$B8)*Inputs!$F$5:$F$130*(((Inputs!$G$5:$G$130="moeda")+(Inputs!$G$5:$G$130="acoes"))*Inputs!$B$1+((Inputs!$G$5:$G$130&lt;&gt;"moeda")*(Inputs!$G$5:$G$130&lt;&gt;"acoes")))*INDEX(Inputs!$K$5:$AJ$130,0,MATCH(AK$2,Inputs!$K$4:$AJ$4,0)))))</f>
        <v>-52</v>
      </c>
      <c r="AL8" s="3">
        <f>SUM(AH8:AK8)</f>
        <v>-184</v>
      </c>
    </row>
    <row r="9">
      <c r="B9" s="46" t="n">
        <v>6</v>
      </c>
      <c r="C9" s="26" t="inlineStr">
        <is>
          <t>Nonoperating Income / (Loss)</t>
        </is>
      </c>
      <c r="D9" s="6">
        <f>IF(ISNA(MATCH(D$2,Inputs!$K$4:$AJ$4,0)),NA(),IF(SUMPRODUCT((Inputs!$A$5:$A$130=$B9)*ISNUMBER(INDEX(Inputs!$K$5:$AJ$130,0,MATCH(D$2,Inputs!$K$4:$AJ$4,0))))+SUMPRODUCT((Inputs!$C$5:$C$130=$B9)*ISNUMBER(INDEX(Inputs!$K$5:$AJ$130,0,MATCH(D$2,Inputs!$K$4:$AJ$4,0))))+SUMPRODUCT((Inputs!$E$5:$E$130=$B9)*ISNUMBER(INDEX(Inputs!$K$5:$AJ$130,0,MATCH(D$2,Inputs!$K$4:$AJ$4,0))))=0,NA(),SUMPRODUCT((Inputs!$A$5:$A$130=$B9)*Inputs!$B$5:$B$130*(((Inputs!$G$5:$G$130="moeda")+(Inputs!$G$5:$G$130="acoes"))*Inputs!$B$1+((Inputs!$G$5:$G$130&lt;&gt;"moeda")*(Inputs!$G$5:$G$130&lt;&gt;"acoes")))*INDEX(Inputs!$K$5:$AJ$130,0,MATCH(D$2,Inputs!$K$4:$AJ$4,0)))+SUMPRODUCT((Inputs!$C$5:$C$130=$B9)*Inputs!$D$5:$D$130*(((Inputs!$G$5:$G$130="moeda")+(Inputs!$G$5:$G$130="acoes"))*Inputs!$B$1+((Inputs!$G$5:$G$130&lt;&gt;"moeda")*(Inputs!$G$5:$G$130&lt;&gt;"acoes")))*INDEX(Inputs!$K$5:$AJ$130,0,MATCH(D$2,Inputs!$K$4:$AJ$4,0)))+SUMPRODUCT((Inputs!$E$5:$E$130=$B9)*Inputs!$F$5:$F$130*(((Inputs!$G$5:$G$130="moeda")+(Inputs!$G$5:$G$130="acoes"))*Inputs!$B$1+((Inputs!$G$5:$G$130&lt;&gt;"moeda")*(Inputs!$G$5:$G$130&lt;&gt;"acoes")))*INDEX(Inputs!$K$5:$AJ$130,0,MATCH(D$2,Inputs!$K$4:$AJ$4,0)))))</f>
        <v>141</v>
      </c>
      <c r="E9" s="6">
        <f>IF(ISNA(MATCH(E$2,Inputs!$K$4:$AJ$4,0)),NA(),IF(SUMPRODUCT((Inputs!$A$5:$A$130=$B9)*ISNUMBER(INDEX(Inputs!$K$5:$AJ$130,0,MATCH(E$2,Inputs!$K$4:$AJ$4,0))))+SUMPRODUCT((Inputs!$C$5:$C$130=$B9)*ISNUMBER(INDEX(Inputs!$K$5:$AJ$130,0,MATCH(E$2,Inputs!$K$4:$AJ$4,0))))+SUMPRODUCT((Inputs!$E$5:$E$130=$B9)*ISNUMBER(INDEX(Inputs!$K$5:$AJ$130,0,MATCH(E$2,Inputs!$K$4:$AJ$4,0))))=0,NA(),SUMPRODUCT((Inputs!$A$5:$A$130=$B9)*Inputs!$B$5:$B$130*(((Inputs!$G$5:$G$130="moeda")+(Inputs!$G$5:$G$130="acoes"))*Inputs!$B$1+((Inputs!$G$5:$G$130&lt;&gt;"moeda")*(Inputs!$G$5:$G$130&lt;&gt;"acoes")))*INDEX(Inputs!$K$5:$AJ$130,0,MATCH(E$2,Inputs!$K$4:$AJ$4,0)))+SUMPRODUCT((Inputs!$C$5:$C$130=$B9)*Inputs!$D$5:$D$130*(((Inputs!$G$5:$G$130="moeda")+(Inputs!$G$5:$G$130="acoes"))*Inputs!$B$1+((Inputs!$G$5:$G$130&lt;&gt;"moeda")*(Inputs!$G$5:$G$130&lt;&gt;"acoes")))*INDEX(Inputs!$K$5:$AJ$130,0,MATCH(E$2,Inputs!$K$4:$AJ$4,0)))+SUMPRODUCT((Inputs!$E$5:$E$130=$B9)*Inputs!$F$5:$F$130*(((Inputs!$G$5:$G$130="moeda")+(Inputs!$G$5:$G$130="acoes"))*Inputs!$B$1+((Inputs!$G$5:$G$130&lt;&gt;"moeda")*(Inputs!$G$5:$G$130&lt;&gt;"acoes")))*INDEX(Inputs!$K$5:$AJ$130,0,MATCH(E$2,Inputs!$K$4:$AJ$4,0)))))</f>
        <v>10</v>
      </c>
      <c r="F9" s="6">
        <f>IF(ISNA(MATCH(F$2,Inputs!$K$4:$AJ$4,0)),NA(),IF(SUMPRODUCT((Inputs!$A$5:$A$130=$B9)*ISNUMBER(INDEX(Inputs!$K$5:$AJ$130,0,MATCH(F$2,Inputs!$K$4:$AJ$4,0))))+SUMPRODUCT((Inputs!$C$5:$C$130=$B9)*ISNUMBER(INDEX(Inputs!$K$5:$AJ$130,0,MATCH(F$2,Inputs!$K$4:$AJ$4,0))))+SUMPRODUCT((Inputs!$E$5:$E$130=$B9)*ISNUMBER(INDEX(Inputs!$K$5:$AJ$130,0,MATCH(F$2,Inputs!$K$4:$AJ$4,0))))=0,NA(),SUMPRODUCT((Inputs!$A$5:$A$130=$B9)*Inputs!$B$5:$B$130*(((Inputs!$G$5:$G$130="moeda")+(Inputs!$G$5:$G$130="acoes"))*Inputs!$B$1+((Inputs!$G$5:$G$130&lt;&gt;"moeda")*(Inputs!$G$5:$G$130&lt;&gt;"acoes")))*INDEX(Inputs!$K$5:$AJ$130,0,MATCH(F$2,Inputs!$K$4:$AJ$4,0)))+SUMPRODUCT((Inputs!$C$5:$C$130=$B9)*Inputs!$D$5:$D$130*(((Inputs!$G$5:$G$130="moeda")+(Inputs!$G$5:$G$130="acoes"))*Inputs!$B$1+((Inputs!$G$5:$G$130&lt;&gt;"moeda")*(Inputs!$G$5:$G$130&lt;&gt;"acoes")))*INDEX(Inputs!$K$5:$AJ$130,0,MATCH(F$2,Inputs!$K$4:$AJ$4,0)))+SUMPRODUCT((Inputs!$E$5:$E$130=$B9)*Inputs!$F$5:$F$130*(((Inputs!$G$5:$G$130="moeda")+(Inputs!$G$5:$G$130="acoes"))*Inputs!$B$1+((Inputs!$G$5:$G$130&lt;&gt;"moeda")*(Inputs!$G$5:$G$130&lt;&gt;"acoes")))*INDEX(Inputs!$K$5:$AJ$130,0,MATCH(F$2,Inputs!$K$4:$AJ$4,0)))))</f>
        <v>29</v>
      </c>
      <c r="G9" s="6">
        <f>IF(ISNA(MATCH(G$2,Inputs!$K$4:$AJ$4,0)),NA(),IF(SUMPRODUCT((Inputs!$A$5:$A$130=$B9)*ISNUMBER(INDEX(Inputs!$K$5:$AJ$130,0,MATCH(G$2,Inputs!$K$4:$AJ$4,0))))+SUMPRODUCT((Inputs!$C$5:$C$130=$B9)*ISNUMBER(INDEX(Inputs!$K$5:$AJ$130,0,MATCH(G$2,Inputs!$K$4:$AJ$4,0))))+SUMPRODUCT((Inputs!$E$5:$E$130=$B9)*ISNUMBER(INDEX(Inputs!$K$5:$AJ$130,0,MATCH(G$2,Inputs!$K$4:$AJ$4,0))))=0,NA(),SUMPRODUCT((Inputs!$A$5:$A$130=$B9)*Inputs!$B$5:$B$130*(((Inputs!$G$5:$G$130="moeda")+(Inputs!$G$5:$G$130="acoes"))*Inputs!$B$1+((Inputs!$G$5:$G$130&lt;&gt;"moeda")*(Inputs!$G$5:$G$130&lt;&gt;"acoes")))*INDEX(Inputs!$K$5:$AJ$130,0,MATCH(G$2,Inputs!$K$4:$AJ$4,0)))+SUMPRODUCT((Inputs!$C$5:$C$130=$B9)*Inputs!$D$5:$D$130*(((Inputs!$G$5:$G$130="moeda")+(Inputs!$G$5:$G$130="acoes"))*Inputs!$B$1+((Inputs!$G$5:$G$130&lt;&gt;"moeda")*(Inputs!$G$5:$G$130&lt;&gt;"acoes")))*INDEX(Inputs!$K$5:$AJ$130,0,MATCH(G$2,Inputs!$K$4:$AJ$4,0)))+SUMPRODUCT((Inputs!$E$5:$E$130=$B9)*Inputs!$F$5:$F$130*(((Inputs!$G$5:$G$130="moeda")+(Inputs!$G$5:$G$130="acoes"))*Inputs!$B$1+((Inputs!$G$5:$G$130&lt;&gt;"moeda")*(Inputs!$G$5:$G$130&lt;&gt;"acoes")))*INDEX(Inputs!$K$5:$AJ$130,0,MATCH(G$2,Inputs!$K$4:$AJ$4,0)))))</f>
        <v>-44</v>
      </c>
      <c r="H9" s="3">
        <f>SUM(D9:G9)</f>
        <v>136</v>
      </c>
      <c r="I9" s="6">
        <f>IF(ISNA(MATCH(I$2,Inputs!$K$4:$AJ$4,0)),NA(),IF(SUMPRODUCT((Inputs!$A$5:$A$130=$B9)*ISNUMBER(INDEX(Inputs!$K$5:$AJ$130,0,MATCH(I$2,Inputs!$K$4:$AJ$4,0))))+SUMPRODUCT((Inputs!$C$5:$C$130=$B9)*ISNUMBER(INDEX(Inputs!$K$5:$AJ$130,0,MATCH(I$2,Inputs!$K$4:$AJ$4,0))))+SUMPRODUCT((Inputs!$E$5:$E$130=$B9)*ISNUMBER(INDEX(Inputs!$K$5:$AJ$130,0,MATCH(I$2,Inputs!$K$4:$AJ$4,0))))=0,NA(),SUMPRODUCT((Inputs!$A$5:$A$130=$B9)*Inputs!$B$5:$B$130*(((Inputs!$G$5:$G$130="moeda")+(Inputs!$G$5:$G$130="acoes"))*Inputs!$B$1+((Inputs!$G$5:$G$130&lt;&gt;"moeda")*(Inputs!$G$5:$G$130&lt;&gt;"acoes")))*INDEX(Inputs!$K$5:$AJ$130,0,MATCH(I$2,Inputs!$K$4:$AJ$4,0)))+SUMPRODUCT((Inputs!$C$5:$C$130=$B9)*Inputs!$D$5:$D$130*(((Inputs!$G$5:$G$130="moeda")+(Inputs!$G$5:$G$130="acoes"))*Inputs!$B$1+((Inputs!$G$5:$G$130&lt;&gt;"moeda")*(Inputs!$G$5:$G$130&lt;&gt;"acoes")))*INDEX(Inputs!$K$5:$AJ$130,0,MATCH(I$2,Inputs!$K$4:$AJ$4,0)))+SUMPRODUCT((Inputs!$E$5:$E$130=$B9)*Inputs!$F$5:$F$130*(((Inputs!$G$5:$G$130="moeda")+(Inputs!$G$5:$G$130="acoes"))*Inputs!$B$1+((Inputs!$G$5:$G$130&lt;&gt;"moeda")*(Inputs!$G$5:$G$130&lt;&gt;"acoes")))*INDEX(Inputs!$K$5:$AJ$130,0,MATCH(I$2,Inputs!$K$4:$AJ$4,0)))))</f>
        <v>5</v>
      </c>
      <c r="J9" s="6">
        <f>IF(ISNA(MATCH(J$2,Inputs!$K$4:$AJ$4,0)),NA(),IF(SUMPRODUCT((Inputs!$A$5:$A$130=$B9)*ISNUMBER(INDEX(Inputs!$K$5:$AJ$130,0,MATCH(J$2,Inputs!$K$4:$AJ$4,0))))+SUMPRODUCT((Inputs!$C$5:$C$130=$B9)*ISNUMBER(INDEX(Inputs!$K$5:$AJ$130,0,MATCH(J$2,Inputs!$K$4:$AJ$4,0))))+SUMPRODUCT((Inputs!$E$5:$E$130=$B9)*ISNUMBER(INDEX(Inputs!$K$5:$AJ$130,0,MATCH(J$2,Inputs!$K$4:$AJ$4,0))))=0,NA(),SUMPRODUCT((Inputs!$A$5:$A$130=$B9)*Inputs!$B$5:$B$130*(((Inputs!$G$5:$G$130="moeda")+(Inputs!$G$5:$G$130="acoes"))*Inputs!$B$1+((Inputs!$G$5:$G$130&lt;&gt;"moeda")*(Inputs!$G$5:$G$130&lt;&gt;"acoes")))*INDEX(Inputs!$K$5:$AJ$130,0,MATCH(J$2,Inputs!$K$4:$AJ$4,0)))+SUMPRODUCT((Inputs!$C$5:$C$130=$B9)*Inputs!$D$5:$D$130*(((Inputs!$G$5:$G$130="moeda")+(Inputs!$G$5:$G$130="acoes"))*Inputs!$B$1+((Inputs!$G$5:$G$130&lt;&gt;"moeda")*(Inputs!$G$5:$G$130&lt;&gt;"acoes")))*INDEX(Inputs!$K$5:$AJ$130,0,MATCH(J$2,Inputs!$K$4:$AJ$4,0)))+SUMPRODUCT((Inputs!$E$5:$E$130=$B9)*Inputs!$F$5:$F$130*(((Inputs!$G$5:$G$130="moeda")+(Inputs!$G$5:$G$130="acoes"))*Inputs!$B$1+((Inputs!$G$5:$G$130&lt;&gt;"moeda")*(Inputs!$G$5:$G$130&lt;&gt;"acoes")))*INDEX(Inputs!$K$5:$AJ$130,0,MATCH(J$2,Inputs!$K$4:$AJ$4,0)))))</f>
        <v>41</v>
      </c>
      <c r="K9" s="6">
        <f>IF(ISNA(MATCH(K$2,Inputs!$K$4:$AJ$4,0)),NA(),IF(SUMPRODUCT((Inputs!$A$5:$A$130=$B9)*ISNUMBER(INDEX(Inputs!$K$5:$AJ$130,0,MATCH(K$2,Inputs!$K$4:$AJ$4,0))))+SUMPRODUCT((Inputs!$C$5:$C$130=$B9)*ISNUMBER(INDEX(Inputs!$K$5:$AJ$130,0,MATCH(K$2,Inputs!$K$4:$AJ$4,0))))+SUMPRODUCT((Inputs!$E$5:$E$130=$B9)*ISNUMBER(INDEX(Inputs!$K$5:$AJ$130,0,MATCH(K$2,Inputs!$K$4:$AJ$4,0))))=0,NA(),SUMPRODUCT((Inputs!$A$5:$A$130=$B9)*Inputs!$B$5:$B$130*(((Inputs!$G$5:$G$130="moeda")+(Inputs!$G$5:$G$130="acoes"))*Inputs!$B$1+((Inputs!$G$5:$G$130&lt;&gt;"moeda")*(Inputs!$G$5:$G$130&lt;&gt;"acoes")))*INDEX(Inputs!$K$5:$AJ$130,0,MATCH(K$2,Inputs!$K$4:$AJ$4,0)))+SUMPRODUCT((Inputs!$C$5:$C$130=$B9)*Inputs!$D$5:$D$130*(((Inputs!$G$5:$G$130="moeda")+(Inputs!$G$5:$G$130="acoes"))*Inputs!$B$1+((Inputs!$G$5:$G$130&lt;&gt;"moeda")*(Inputs!$G$5:$G$130&lt;&gt;"acoes")))*INDEX(Inputs!$K$5:$AJ$130,0,MATCH(K$2,Inputs!$K$4:$AJ$4,0)))+SUMPRODUCT((Inputs!$E$5:$E$130=$B9)*Inputs!$F$5:$F$130*(((Inputs!$G$5:$G$130="moeda")+(Inputs!$G$5:$G$130="acoes"))*Inputs!$B$1+((Inputs!$G$5:$G$130&lt;&gt;"moeda")*(Inputs!$G$5:$G$130&lt;&gt;"acoes")))*INDEX(Inputs!$K$5:$AJ$130,0,MATCH(K$2,Inputs!$K$4:$AJ$4,0)))))</f>
        <v>77</v>
      </c>
      <c r="L9" s="6">
        <f>IF(ISNA(MATCH(L$2,Inputs!$K$4:$AJ$4,0)),NA(),IF(SUMPRODUCT((Inputs!$A$5:$A$130=$B9)*ISNUMBER(INDEX(Inputs!$K$5:$AJ$130,0,MATCH(L$2,Inputs!$K$4:$AJ$4,0))))+SUMPRODUCT((Inputs!$C$5:$C$130=$B9)*ISNUMBER(INDEX(Inputs!$K$5:$AJ$130,0,MATCH(L$2,Inputs!$K$4:$AJ$4,0))))+SUMPRODUCT((Inputs!$E$5:$E$130=$B9)*ISNUMBER(INDEX(Inputs!$K$5:$AJ$130,0,MATCH(L$2,Inputs!$K$4:$AJ$4,0))))=0,NA(),SUMPRODUCT((Inputs!$A$5:$A$130=$B9)*Inputs!$B$5:$B$130*(((Inputs!$G$5:$G$130="moeda")+(Inputs!$G$5:$G$130="acoes"))*Inputs!$B$1+((Inputs!$G$5:$G$130&lt;&gt;"moeda")*(Inputs!$G$5:$G$130&lt;&gt;"acoes")))*INDEX(Inputs!$K$5:$AJ$130,0,MATCH(L$2,Inputs!$K$4:$AJ$4,0)))+SUMPRODUCT((Inputs!$C$5:$C$130=$B9)*Inputs!$D$5:$D$130*(((Inputs!$G$5:$G$130="moeda")+(Inputs!$G$5:$G$130="acoes"))*Inputs!$B$1+((Inputs!$G$5:$G$130&lt;&gt;"moeda")*(Inputs!$G$5:$G$130&lt;&gt;"acoes")))*INDEX(Inputs!$K$5:$AJ$130,0,MATCH(L$2,Inputs!$K$4:$AJ$4,0)))+SUMPRODUCT((Inputs!$E$5:$E$130=$B9)*Inputs!$F$5:$F$130*(((Inputs!$G$5:$G$130="moeda")+(Inputs!$G$5:$G$130="acoes"))*Inputs!$B$1+((Inputs!$G$5:$G$130&lt;&gt;"moeda")*(Inputs!$G$5:$G$130&lt;&gt;"acoes")))*INDEX(Inputs!$K$5:$AJ$130,0,MATCH(L$2,Inputs!$K$4:$AJ$4,0)))))</f>
        <v>96</v>
      </c>
      <c r="M9" s="3">
        <f>SUM(I9:L9)</f>
        <v>219</v>
      </c>
      <c r="N9" s="6">
        <f>IF(ISNA(MATCH(N$2,Inputs!$K$4:$AJ$4,0)),NA(),IF(SUMPRODUCT((Inputs!$A$5:$A$130=$B9)*ISNUMBER(INDEX(Inputs!$K$5:$AJ$130,0,MATCH(N$2,Inputs!$K$4:$AJ$4,0))))+SUMPRODUCT((Inputs!$C$5:$C$130=$B9)*ISNUMBER(INDEX(Inputs!$K$5:$AJ$130,0,MATCH(N$2,Inputs!$K$4:$AJ$4,0))))+SUMPRODUCT((Inputs!$E$5:$E$130=$B9)*ISNUMBER(INDEX(Inputs!$K$5:$AJ$130,0,MATCH(N$2,Inputs!$K$4:$AJ$4,0))))=0,NA(),SUMPRODUCT((Inputs!$A$5:$A$130=$B9)*Inputs!$B$5:$B$130*(((Inputs!$G$5:$G$130="moeda")+(Inputs!$G$5:$G$130="acoes"))*Inputs!$B$1+((Inputs!$G$5:$G$130&lt;&gt;"moeda")*(Inputs!$G$5:$G$130&lt;&gt;"acoes")))*INDEX(Inputs!$K$5:$AJ$130,0,MATCH(N$2,Inputs!$K$4:$AJ$4,0)))+SUMPRODUCT((Inputs!$C$5:$C$130=$B9)*Inputs!$D$5:$D$130*(((Inputs!$G$5:$G$130="moeda")+(Inputs!$G$5:$G$130="acoes"))*Inputs!$B$1+((Inputs!$G$5:$G$130&lt;&gt;"moeda")*(Inputs!$G$5:$G$130&lt;&gt;"acoes")))*INDEX(Inputs!$K$5:$AJ$130,0,MATCH(N$2,Inputs!$K$4:$AJ$4,0)))+SUMPRODUCT((Inputs!$E$5:$E$130=$B9)*Inputs!$F$5:$F$130*(((Inputs!$G$5:$G$130="moeda")+(Inputs!$G$5:$G$130="acoes"))*Inputs!$B$1+((Inputs!$G$5:$G$130&lt;&gt;"moeda")*(Inputs!$G$5:$G$130&lt;&gt;"acoes")))*INDEX(Inputs!$K$5:$AJ$130,0,MATCH(N$2,Inputs!$K$4:$AJ$4,0)))))</f>
        <v>135</v>
      </c>
      <c r="O9" s="6">
        <f>IF(ISNA(MATCH(O$2,Inputs!$K$4:$AJ$4,0)),NA(),IF(SUMPRODUCT((Inputs!$A$5:$A$130=$B9)*ISNUMBER(INDEX(Inputs!$K$5:$AJ$130,0,MATCH(O$2,Inputs!$K$4:$AJ$4,0))))+SUMPRODUCT((Inputs!$C$5:$C$130=$B9)*ISNUMBER(INDEX(Inputs!$K$5:$AJ$130,0,MATCH(O$2,Inputs!$K$4:$AJ$4,0))))+SUMPRODUCT((Inputs!$E$5:$E$130=$B9)*ISNUMBER(INDEX(Inputs!$K$5:$AJ$130,0,MATCH(O$2,Inputs!$K$4:$AJ$4,0))))=0,NA(),SUMPRODUCT((Inputs!$A$5:$A$130=$B9)*Inputs!$B$5:$B$130*(((Inputs!$G$5:$G$130="moeda")+(Inputs!$G$5:$G$130="acoes"))*Inputs!$B$1+((Inputs!$G$5:$G$130&lt;&gt;"moeda")*(Inputs!$G$5:$G$130&lt;&gt;"acoes")))*INDEX(Inputs!$K$5:$AJ$130,0,MATCH(O$2,Inputs!$K$4:$AJ$4,0)))+SUMPRODUCT((Inputs!$C$5:$C$130=$B9)*Inputs!$D$5:$D$130*(((Inputs!$G$5:$G$130="moeda")+(Inputs!$G$5:$G$130="acoes"))*Inputs!$B$1+((Inputs!$G$5:$G$130&lt;&gt;"moeda")*(Inputs!$G$5:$G$130&lt;&gt;"acoes")))*INDEX(Inputs!$K$5:$AJ$130,0,MATCH(O$2,Inputs!$K$4:$AJ$4,0)))+SUMPRODUCT((Inputs!$E$5:$E$130=$B9)*Inputs!$F$5:$F$130*(((Inputs!$G$5:$G$130="moeda")+(Inputs!$G$5:$G$130="acoes"))*Inputs!$B$1+((Inputs!$G$5:$G$130&lt;&gt;"moeda")*(Inputs!$G$5:$G$130&lt;&gt;"acoes")))*INDEX(Inputs!$K$5:$AJ$130,0,MATCH(O$2,Inputs!$K$4:$AJ$4,0)))))</f>
        <v>246</v>
      </c>
      <c r="P9" s="6">
        <f>IF(ISNA(MATCH(P$2,Inputs!$K$4:$AJ$4,0)),NA(),IF(SUMPRODUCT((Inputs!$A$5:$A$130=$B9)*ISNUMBER(INDEX(Inputs!$K$5:$AJ$130,0,MATCH(P$2,Inputs!$K$4:$AJ$4,0))))+SUMPRODUCT((Inputs!$C$5:$C$130=$B9)*ISNUMBER(INDEX(Inputs!$K$5:$AJ$130,0,MATCH(P$2,Inputs!$K$4:$AJ$4,0))))+SUMPRODUCT((Inputs!$E$5:$E$130=$B9)*ISNUMBER(INDEX(Inputs!$K$5:$AJ$130,0,MATCH(P$2,Inputs!$K$4:$AJ$4,0))))=0,NA(),SUMPRODUCT((Inputs!$A$5:$A$130=$B9)*Inputs!$B$5:$B$130*(((Inputs!$G$5:$G$130="moeda")+(Inputs!$G$5:$G$130="acoes"))*Inputs!$B$1+((Inputs!$G$5:$G$130&lt;&gt;"moeda")*(Inputs!$G$5:$G$130&lt;&gt;"acoes")))*INDEX(Inputs!$K$5:$AJ$130,0,MATCH(P$2,Inputs!$K$4:$AJ$4,0)))+SUMPRODUCT((Inputs!$C$5:$C$130=$B9)*Inputs!$D$5:$D$130*(((Inputs!$G$5:$G$130="moeda")+(Inputs!$G$5:$G$130="acoes"))*Inputs!$B$1+((Inputs!$G$5:$G$130&lt;&gt;"moeda")*(Inputs!$G$5:$G$130&lt;&gt;"acoes")))*INDEX(Inputs!$K$5:$AJ$130,0,MATCH(P$2,Inputs!$K$4:$AJ$4,0)))+SUMPRODUCT((Inputs!$E$5:$E$130=$B9)*Inputs!$F$5:$F$130*(((Inputs!$G$5:$G$130="moeda")+(Inputs!$G$5:$G$130="acoes"))*Inputs!$B$1+((Inputs!$G$5:$G$130&lt;&gt;"moeda")*(Inputs!$G$5:$G$130&lt;&gt;"acoes")))*INDEX(Inputs!$K$5:$AJ$130,0,MATCH(P$2,Inputs!$K$4:$AJ$4,0)))))</f>
        <v>168</v>
      </c>
      <c r="Q9" s="6">
        <f>IF(ISNA(MATCH(Q$2,Inputs!$K$4:$AJ$4,0)),NA(),IF(SUMPRODUCT((Inputs!$A$5:$A$130=$B9)*ISNUMBER(INDEX(Inputs!$K$5:$AJ$130,0,MATCH(Q$2,Inputs!$K$4:$AJ$4,0))))+SUMPRODUCT((Inputs!$C$5:$C$130=$B9)*ISNUMBER(INDEX(Inputs!$K$5:$AJ$130,0,MATCH(Q$2,Inputs!$K$4:$AJ$4,0))))+SUMPRODUCT((Inputs!$E$5:$E$130=$B9)*ISNUMBER(INDEX(Inputs!$K$5:$AJ$130,0,MATCH(Q$2,Inputs!$K$4:$AJ$4,0))))=0,NA(),SUMPRODUCT((Inputs!$A$5:$A$130=$B9)*Inputs!$B$5:$B$130*(((Inputs!$G$5:$G$130="moeda")+(Inputs!$G$5:$G$130="acoes"))*Inputs!$B$1+((Inputs!$G$5:$G$130&lt;&gt;"moeda")*(Inputs!$G$5:$G$130&lt;&gt;"acoes")))*INDEX(Inputs!$K$5:$AJ$130,0,MATCH(Q$2,Inputs!$K$4:$AJ$4,0)))+SUMPRODUCT((Inputs!$C$5:$C$130=$B9)*Inputs!$D$5:$D$130*(((Inputs!$G$5:$G$130="moeda")+(Inputs!$G$5:$G$130="acoes"))*Inputs!$B$1+((Inputs!$G$5:$G$130&lt;&gt;"moeda")*(Inputs!$G$5:$G$130&lt;&gt;"acoes")))*INDEX(Inputs!$K$5:$AJ$130,0,MATCH(Q$2,Inputs!$K$4:$AJ$4,0)))+SUMPRODUCT((Inputs!$E$5:$E$130=$B9)*Inputs!$F$5:$F$130*(((Inputs!$G$5:$G$130="moeda")+(Inputs!$G$5:$G$130="acoes"))*Inputs!$B$1+((Inputs!$G$5:$G$130&lt;&gt;"moeda")*(Inputs!$G$5:$G$130&lt;&gt;"acoes")))*INDEX(Inputs!$K$5:$AJ$130,0,MATCH(Q$2,Inputs!$K$4:$AJ$4,0)))))</f>
        <v>554</v>
      </c>
      <c r="R9" s="3">
        <f>SUM(N9:Q9)</f>
        <v>1103</v>
      </c>
      <c r="S9" s="6">
        <f>IF(ISNA(MATCH(S$2,Inputs!$K$4:$AJ$4,0)),NA(),IF(SUMPRODUCT((Inputs!$A$5:$A$130=$B9)*ISNUMBER(INDEX(Inputs!$K$5:$AJ$130,0,MATCH(S$2,Inputs!$K$4:$AJ$4,0))))+SUMPRODUCT((Inputs!$C$5:$C$130=$B9)*ISNUMBER(INDEX(Inputs!$K$5:$AJ$130,0,MATCH(S$2,Inputs!$K$4:$AJ$4,0))))+SUMPRODUCT((Inputs!$E$5:$E$130=$B9)*ISNUMBER(INDEX(Inputs!$K$5:$AJ$130,0,MATCH(S$2,Inputs!$K$4:$AJ$4,0))))=0,NA(),SUMPRODUCT((Inputs!$A$5:$A$130=$B9)*Inputs!$B$5:$B$130*(((Inputs!$G$5:$G$130="moeda")+(Inputs!$G$5:$G$130="acoes"))*Inputs!$B$1+((Inputs!$G$5:$G$130&lt;&gt;"moeda")*(Inputs!$G$5:$G$130&lt;&gt;"acoes")))*INDEX(Inputs!$K$5:$AJ$130,0,MATCH(S$2,Inputs!$K$4:$AJ$4,0)))+SUMPRODUCT((Inputs!$C$5:$C$130=$B9)*Inputs!$D$5:$D$130*(((Inputs!$G$5:$G$130="moeda")+(Inputs!$G$5:$G$130="acoes"))*Inputs!$B$1+((Inputs!$G$5:$G$130&lt;&gt;"moeda")*(Inputs!$G$5:$G$130&lt;&gt;"acoes")))*INDEX(Inputs!$K$5:$AJ$130,0,MATCH(S$2,Inputs!$K$4:$AJ$4,0)))+SUMPRODUCT((Inputs!$E$5:$E$130=$B9)*Inputs!$F$5:$F$130*(((Inputs!$G$5:$G$130="moeda")+(Inputs!$G$5:$G$130="acoes"))*Inputs!$B$1+((Inputs!$G$5:$G$130&lt;&gt;"moeda")*(Inputs!$G$5:$G$130&lt;&gt;"acoes")))*INDEX(Inputs!$K$5:$AJ$130,0,MATCH(S$2,Inputs!$K$4:$AJ$4,0)))))</f>
        <v>434</v>
      </c>
      <c r="T9" s="6">
        <f>IF(ISNA(MATCH(T$2,Inputs!$K$4:$AJ$4,0)),NA(),IF(SUMPRODUCT((Inputs!$A$5:$A$130=$B9)*ISNUMBER(INDEX(Inputs!$K$5:$AJ$130,0,MATCH(T$2,Inputs!$K$4:$AJ$4,0))))+SUMPRODUCT((Inputs!$C$5:$C$130=$B9)*ISNUMBER(INDEX(Inputs!$K$5:$AJ$130,0,MATCH(T$2,Inputs!$K$4:$AJ$4,0))))+SUMPRODUCT((Inputs!$E$5:$E$130=$B9)*ISNUMBER(INDEX(Inputs!$K$5:$AJ$130,0,MATCH(T$2,Inputs!$K$4:$AJ$4,0))))=0,NA(),SUMPRODUCT((Inputs!$A$5:$A$130=$B9)*Inputs!$B$5:$B$130*(((Inputs!$G$5:$G$130="moeda")+(Inputs!$G$5:$G$130="acoes"))*Inputs!$B$1+((Inputs!$G$5:$G$130&lt;&gt;"moeda")*(Inputs!$G$5:$G$130&lt;&gt;"acoes")))*INDEX(Inputs!$K$5:$AJ$130,0,MATCH(T$2,Inputs!$K$4:$AJ$4,0)))+SUMPRODUCT((Inputs!$C$5:$C$130=$B9)*Inputs!$D$5:$D$130*(((Inputs!$G$5:$G$130="moeda")+(Inputs!$G$5:$G$130="acoes"))*Inputs!$B$1+((Inputs!$G$5:$G$130&lt;&gt;"moeda")*(Inputs!$G$5:$G$130&lt;&gt;"acoes")))*INDEX(Inputs!$K$5:$AJ$130,0,MATCH(T$2,Inputs!$K$4:$AJ$4,0)))+SUMPRODUCT((Inputs!$E$5:$E$130=$B9)*Inputs!$F$5:$F$130*(((Inputs!$G$5:$G$130="moeda")+(Inputs!$G$5:$G$130="acoes"))*Inputs!$B$1+((Inputs!$G$5:$G$130&lt;&gt;"moeda")*(Inputs!$G$5:$G$130&lt;&gt;"acoes")))*INDEX(Inputs!$K$5:$AJ$130,0,MATCH(T$2,Inputs!$K$4:$AJ$4,0)))))</f>
        <v>633</v>
      </c>
      <c r="U9" s="6">
        <f>IF(ISNA(MATCH(U$2,Inputs!$K$4:$AJ$4,0)),NA(),IF(SUMPRODUCT((Inputs!$A$5:$A$130=$B9)*ISNUMBER(INDEX(Inputs!$K$5:$AJ$130,0,MATCH(U$2,Inputs!$K$4:$AJ$4,0))))+SUMPRODUCT((Inputs!$C$5:$C$130=$B9)*ISNUMBER(INDEX(Inputs!$K$5:$AJ$130,0,MATCH(U$2,Inputs!$K$4:$AJ$4,0))))+SUMPRODUCT((Inputs!$E$5:$E$130=$B9)*ISNUMBER(INDEX(Inputs!$K$5:$AJ$130,0,MATCH(U$2,Inputs!$K$4:$AJ$4,0))))=0,NA(),SUMPRODUCT((Inputs!$A$5:$A$130=$B9)*Inputs!$B$5:$B$130*(((Inputs!$G$5:$G$130="moeda")+(Inputs!$G$5:$G$130="acoes"))*Inputs!$B$1+((Inputs!$G$5:$G$130&lt;&gt;"moeda")*(Inputs!$G$5:$G$130&lt;&gt;"acoes")))*INDEX(Inputs!$K$5:$AJ$130,0,MATCH(U$2,Inputs!$K$4:$AJ$4,0)))+SUMPRODUCT((Inputs!$C$5:$C$130=$B9)*Inputs!$D$5:$D$130*(((Inputs!$G$5:$G$130="moeda")+(Inputs!$G$5:$G$130="acoes"))*Inputs!$B$1+((Inputs!$G$5:$G$130&lt;&gt;"moeda")*(Inputs!$G$5:$G$130&lt;&gt;"acoes")))*INDEX(Inputs!$K$5:$AJ$130,0,MATCH(U$2,Inputs!$K$4:$AJ$4,0)))+SUMPRODUCT((Inputs!$E$5:$E$130=$B9)*Inputs!$F$5:$F$130*(((Inputs!$G$5:$G$130="moeda")+(Inputs!$G$5:$G$130="acoes"))*Inputs!$B$1+((Inputs!$G$5:$G$130&lt;&gt;"moeda")*(Inputs!$G$5:$G$130&lt;&gt;"acoes")))*INDEX(Inputs!$K$5:$AJ$130,0,MATCH(U$2,Inputs!$K$4:$AJ$4,0)))))</f>
        <v>508</v>
      </c>
      <c r="V9" s="6">
        <f>IF(ISNA(MATCH(V$2,Inputs!$K$4:$AJ$4,0)),NA(),IF(SUMPRODUCT((Inputs!$A$5:$A$130=$B9)*ISNUMBER(INDEX(Inputs!$K$5:$AJ$130,0,MATCH(V$2,Inputs!$K$4:$AJ$4,0))))+SUMPRODUCT((Inputs!$C$5:$C$130=$B9)*ISNUMBER(INDEX(Inputs!$K$5:$AJ$130,0,MATCH(V$2,Inputs!$K$4:$AJ$4,0))))+SUMPRODUCT((Inputs!$E$5:$E$130=$B9)*ISNUMBER(INDEX(Inputs!$K$5:$AJ$130,0,MATCH(V$2,Inputs!$K$4:$AJ$4,0))))=0,NA(),SUMPRODUCT((Inputs!$A$5:$A$130=$B9)*Inputs!$B$5:$B$130*(((Inputs!$G$5:$G$130="moeda")+(Inputs!$G$5:$G$130="acoes"))*Inputs!$B$1+((Inputs!$G$5:$G$130&lt;&gt;"moeda")*(Inputs!$G$5:$G$130&lt;&gt;"acoes")))*INDEX(Inputs!$K$5:$AJ$130,0,MATCH(V$2,Inputs!$K$4:$AJ$4,0)))+SUMPRODUCT((Inputs!$C$5:$C$130=$B9)*Inputs!$D$5:$D$130*(((Inputs!$G$5:$G$130="moeda")+(Inputs!$G$5:$G$130="acoes"))*Inputs!$B$1+((Inputs!$G$5:$G$130&lt;&gt;"moeda")*(Inputs!$G$5:$G$130&lt;&gt;"acoes")))*INDEX(Inputs!$K$5:$AJ$130,0,MATCH(V$2,Inputs!$K$4:$AJ$4,0)))+SUMPRODUCT((Inputs!$E$5:$E$130=$B9)*Inputs!$F$5:$F$130*(((Inputs!$G$5:$G$130="moeda")+(Inputs!$G$5:$G$130="acoes"))*Inputs!$B$1+((Inputs!$G$5:$G$130&lt;&gt;"moeda")*(Inputs!$G$5:$G$130&lt;&gt;"acoes")))*INDEX(Inputs!$K$5:$AJ$130,0,MATCH(V$2,Inputs!$K$4:$AJ$4,0)))))</f>
        <v>1245</v>
      </c>
      <c r="W9" s="3">
        <f>SUM(S9:V9)</f>
        <v>2820</v>
      </c>
      <c r="X9" s="6">
        <f>IF(ISNA(MATCH(X$2,Inputs!$K$4:$AJ$4,0)),NA(),IF(SUMPRODUCT((Inputs!$A$5:$A$130=$B9)*ISNUMBER(INDEX(Inputs!$K$5:$AJ$130,0,MATCH(X$2,Inputs!$K$4:$AJ$4,0))))+SUMPRODUCT((Inputs!$C$5:$C$130=$B9)*ISNUMBER(INDEX(Inputs!$K$5:$AJ$130,0,MATCH(X$2,Inputs!$K$4:$AJ$4,0))))+SUMPRODUCT((Inputs!$E$5:$E$130=$B9)*ISNUMBER(INDEX(Inputs!$K$5:$AJ$130,0,MATCH(X$2,Inputs!$K$4:$AJ$4,0))))=0,NA(),SUMPRODUCT((Inputs!$A$5:$A$130=$B9)*Inputs!$B$5:$B$130*(((Inputs!$G$5:$G$130="moeda")+(Inputs!$G$5:$G$130="acoes"))*Inputs!$B$1+((Inputs!$G$5:$G$130&lt;&gt;"moeda")*(Inputs!$G$5:$G$130&lt;&gt;"acoes")))*INDEX(Inputs!$K$5:$AJ$130,0,MATCH(X$2,Inputs!$K$4:$AJ$4,0)))+SUMPRODUCT((Inputs!$C$5:$C$130=$B9)*Inputs!$D$5:$D$130*(((Inputs!$G$5:$G$130="moeda")+(Inputs!$G$5:$G$130="acoes"))*Inputs!$B$1+((Inputs!$G$5:$G$130&lt;&gt;"moeda")*(Inputs!$G$5:$G$130&lt;&gt;"acoes")))*INDEX(Inputs!$K$5:$AJ$130,0,MATCH(X$2,Inputs!$K$4:$AJ$4,0)))+SUMPRODUCT((Inputs!$E$5:$E$130=$B9)*Inputs!$F$5:$F$130*(((Inputs!$G$5:$G$130="moeda")+(Inputs!$G$5:$G$130="acoes"))*Inputs!$B$1+((Inputs!$G$5:$G$130&lt;&gt;"moeda")*(Inputs!$G$5:$G$130&lt;&gt;"acoes")))*INDEX(Inputs!$K$5:$AJ$130,0,MATCH(X$2,Inputs!$K$4:$AJ$4,0)))))</f>
        <v>335</v>
      </c>
      <c r="Y9" s="6">
        <f>IF(ISNA(MATCH(Y$2,Inputs!$K$4:$AJ$4,0)),NA(),IF(SUMPRODUCT((Inputs!$A$5:$A$130=$B9)*ISNUMBER(INDEX(Inputs!$K$5:$AJ$130,0,MATCH(Y$2,Inputs!$K$4:$AJ$4,0))))+SUMPRODUCT((Inputs!$C$5:$C$130=$B9)*ISNUMBER(INDEX(Inputs!$K$5:$AJ$130,0,MATCH(Y$2,Inputs!$K$4:$AJ$4,0))))+SUMPRODUCT((Inputs!$E$5:$E$130=$B9)*ISNUMBER(INDEX(Inputs!$K$5:$AJ$130,0,MATCH(Y$2,Inputs!$K$4:$AJ$4,0))))=0,NA(),SUMPRODUCT((Inputs!$A$5:$A$130=$B9)*Inputs!$B$5:$B$130*(((Inputs!$G$5:$G$130="moeda")+(Inputs!$G$5:$G$130="acoes"))*Inputs!$B$1+((Inputs!$G$5:$G$130&lt;&gt;"moeda")*(Inputs!$G$5:$G$130&lt;&gt;"acoes")))*INDEX(Inputs!$K$5:$AJ$130,0,MATCH(Y$2,Inputs!$K$4:$AJ$4,0)))+SUMPRODUCT((Inputs!$C$5:$C$130=$B9)*Inputs!$D$5:$D$130*(((Inputs!$G$5:$G$130="moeda")+(Inputs!$G$5:$G$130="acoes"))*Inputs!$B$1+((Inputs!$G$5:$G$130&lt;&gt;"moeda")*(Inputs!$G$5:$G$130&lt;&gt;"acoes")))*INDEX(Inputs!$K$5:$AJ$130,0,MATCH(Y$2,Inputs!$K$4:$AJ$4,0)))+SUMPRODUCT((Inputs!$E$5:$E$130=$B9)*Inputs!$F$5:$F$130*(((Inputs!$G$5:$G$130="moeda")+(Inputs!$G$5:$G$130="acoes"))*Inputs!$B$1+((Inputs!$G$5:$G$130&lt;&gt;"moeda")*(Inputs!$G$5:$G$130&lt;&gt;"acoes")))*INDEX(Inputs!$K$5:$AJ$130,0,MATCH(Y$2,Inputs!$K$4:$AJ$4,0)))))</f>
        <v>2828</v>
      </c>
      <c r="Z9" s="6">
        <f>IF(ISNA(MATCH(Z$2,Inputs!$K$4:$AJ$4,0)),NA(),IF(SUMPRODUCT((Inputs!$A$5:$A$130=$B9)*ISNUMBER(INDEX(Inputs!$K$5:$AJ$130,0,MATCH(Z$2,Inputs!$K$4:$AJ$4,0))))+SUMPRODUCT((Inputs!$C$5:$C$130=$B9)*ISNUMBER(INDEX(Inputs!$K$5:$AJ$130,0,MATCH(Z$2,Inputs!$K$4:$AJ$4,0))))+SUMPRODUCT((Inputs!$E$5:$E$130=$B9)*ISNUMBER(INDEX(Inputs!$K$5:$AJ$130,0,MATCH(Z$2,Inputs!$K$4:$AJ$4,0))))=0,NA(),SUMPRODUCT((Inputs!$A$5:$A$130=$B9)*Inputs!$B$5:$B$130*(((Inputs!$G$5:$G$130="moeda")+(Inputs!$G$5:$G$130="acoes"))*Inputs!$B$1+((Inputs!$G$5:$G$130&lt;&gt;"moeda")*(Inputs!$G$5:$G$130&lt;&gt;"acoes")))*INDEX(Inputs!$K$5:$AJ$130,0,MATCH(Z$2,Inputs!$K$4:$AJ$4,0)))+SUMPRODUCT((Inputs!$C$5:$C$130=$B9)*Inputs!$D$5:$D$130*(((Inputs!$G$5:$G$130="moeda")+(Inputs!$G$5:$G$130="acoes"))*Inputs!$B$1+((Inputs!$G$5:$G$130&lt;&gt;"moeda")*(Inputs!$G$5:$G$130&lt;&gt;"acoes")))*INDEX(Inputs!$K$5:$AJ$130,0,MATCH(Z$2,Inputs!$K$4:$AJ$4,0)))+SUMPRODUCT((Inputs!$E$5:$E$130=$B9)*Inputs!$F$5:$F$130*(((Inputs!$G$5:$G$130="moeda")+(Inputs!$G$5:$G$130="acoes"))*Inputs!$B$1+((Inputs!$G$5:$G$130&lt;&gt;"moeda")*(Inputs!$G$5:$G$130&lt;&gt;"acoes")))*INDEX(Inputs!$K$5:$AJ$130,0,MATCH(Z$2,Inputs!$K$4:$AJ$4,0)))))</f>
        <v>1987</v>
      </c>
      <c r="AA9" s="6">
        <f>IF(ISNA(MATCH(AA$2,Inputs!$K$4:$AJ$4,0)),NA(),IF(SUMPRODUCT((Inputs!$A$5:$A$130=$B9)*ISNUMBER(INDEX(Inputs!$K$5:$AJ$130,0,MATCH(AA$2,Inputs!$K$4:$AJ$4,0))))+SUMPRODUCT((Inputs!$C$5:$C$130=$B9)*ISNUMBER(INDEX(Inputs!$K$5:$AJ$130,0,MATCH(AA$2,Inputs!$K$4:$AJ$4,0))))+SUMPRODUCT((Inputs!$E$5:$E$130=$B9)*ISNUMBER(INDEX(Inputs!$K$5:$AJ$130,0,MATCH(AA$2,Inputs!$K$4:$AJ$4,0))))=0,NA(),SUMPRODUCT((Inputs!$A$5:$A$130=$B9)*Inputs!$B$5:$B$130*(((Inputs!$G$5:$G$130="moeda")+(Inputs!$G$5:$G$130="acoes"))*Inputs!$B$1+((Inputs!$G$5:$G$130&lt;&gt;"moeda")*(Inputs!$G$5:$G$130&lt;&gt;"acoes")))*INDEX(Inputs!$K$5:$AJ$130,0,MATCH(AA$2,Inputs!$K$4:$AJ$4,0)))+SUMPRODUCT((Inputs!$C$5:$C$130=$B9)*Inputs!$D$5:$D$130*(((Inputs!$G$5:$G$130="moeda")+(Inputs!$G$5:$G$130="acoes"))*Inputs!$B$1+((Inputs!$G$5:$G$130&lt;&gt;"moeda")*(Inputs!$G$5:$G$130&lt;&gt;"acoes")))*INDEX(Inputs!$K$5:$AJ$130,0,MATCH(AA$2,Inputs!$K$4:$AJ$4,0)))+SUMPRODUCT((Inputs!$E$5:$E$130=$B9)*Inputs!$F$5:$F$130*(((Inputs!$G$5:$G$130="moeda")+(Inputs!$G$5:$G$130="acoes"))*Inputs!$B$1+((Inputs!$G$5:$G$130&lt;&gt;"moeda")*(Inputs!$G$5:$G$130&lt;&gt;"acoes")))*INDEX(Inputs!$K$5:$AJ$130,0,MATCH(AA$2,Inputs!$K$4:$AJ$4,0)))))</f>
        <v>6172</v>
      </c>
      <c r="AB9" s="3">
        <f>SUM(X9:AA9)</f>
        <v>11322</v>
      </c>
      <c r="AC9" s="6">
        <f>IF(ISNA(MATCH(AC$2,Inputs!$K$4:$AJ$4,0)),NA(),IF(SUMPRODUCT((Inputs!$A$5:$A$130=$B9)*ISNUMBER(INDEX(Inputs!$K$5:$AJ$130,0,MATCH(AC$2,Inputs!$K$4:$AJ$4,0))))+SUMPRODUCT((Inputs!$C$5:$C$130=$B9)*ISNUMBER(INDEX(Inputs!$K$5:$AJ$130,0,MATCH(AC$2,Inputs!$K$4:$AJ$4,0))))+SUMPRODUCT((Inputs!$E$5:$E$130=$B9)*ISNUMBER(INDEX(Inputs!$K$5:$AJ$130,0,MATCH(AC$2,Inputs!$K$4:$AJ$4,0))))=0,NA(),SUMPRODUCT((Inputs!$A$5:$A$130=$B9)*Inputs!$B$5:$B$130*(((Inputs!$G$5:$G$130="moeda")+(Inputs!$G$5:$G$130="acoes"))*Inputs!$B$1+((Inputs!$G$5:$G$130&lt;&gt;"moeda")*(Inputs!$G$5:$G$130&lt;&gt;"acoes")))*INDEX(Inputs!$K$5:$AJ$130,0,MATCH(AC$2,Inputs!$K$4:$AJ$4,0)))+SUMPRODUCT((Inputs!$C$5:$C$130=$B9)*Inputs!$D$5:$D$130*(((Inputs!$G$5:$G$130="moeda")+(Inputs!$G$5:$G$130="acoes"))*Inputs!$B$1+((Inputs!$G$5:$G$130&lt;&gt;"moeda")*(Inputs!$G$5:$G$130&lt;&gt;"acoes")))*INDEX(Inputs!$K$5:$AJ$130,0,MATCH(AC$2,Inputs!$K$4:$AJ$4,0)))+SUMPRODUCT((Inputs!$E$5:$E$130=$B9)*Inputs!$F$5:$F$130*(((Inputs!$G$5:$G$130="moeda")+(Inputs!$G$5:$G$130="acoes"))*Inputs!$B$1+((Inputs!$G$5:$G$130&lt;&gt;"moeda")*(Inputs!$G$5:$G$130&lt;&gt;"acoes")))*INDEX(Inputs!$K$5:$AJ$130,0,MATCH(AC$2,Inputs!$K$4:$AJ$4,0)))))</f>
        <v>16469</v>
      </c>
      <c r="AD9" s="6">
        <f>IF(ISNA(MATCH(AD$2,Inputs!$K$4:$AJ$4,0)),NA(),IF(SUMPRODUCT((Inputs!$A$5:$A$130=$B9)*ISNUMBER(INDEX(Inputs!$K$5:$AJ$130,0,MATCH(AD$2,Inputs!$K$4:$AJ$4,0))))+SUMPRODUCT((Inputs!$C$5:$C$130=$B9)*ISNUMBER(INDEX(Inputs!$K$5:$AJ$130,0,MATCH(AD$2,Inputs!$K$4:$AJ$4,0))))+SUMPRODUCT((Inputs!$E$5:$E$130=$B9)*ISNUMBER(INDEX(Inputs!$K$5:$AJ$130,0,MATCH(AD$2,Inputs!$K$4:$AJ$4,0))))=0,NA(),SUMPRODUCT((Inputs!$A$5:$A$130=$B9)*Inputs!$B$5:$B$130*(((Inputs!$G$5:$G$130="moeda")+(Inputs!$G$5:$G$130="acoes"))*Inputs!$B$1+((Inputs!$G$5:$G$130&lt;&gt;"moeda")*(Inputs!$G$5:$G$130&lt;&gt;"acoes")))*INDEX(Inputs!$K$5:$AJ$130,0,MATCH(AD$2,Inputs!$K$4:$AJ$4,0)))+SUMPRODUCT((Inputs!$C$5:$C$130=$B9)*Inputs!$D$5:$D$130*(((Inputs!$G$5:$G$130="moeda")+(Inputs!$G$5:$G$130="acoes"))*Inputs!$B$1+((Inputs!$G$5:$G$130&lt;&gt;"moeda")*(Inputs!$G$5:$G$130&lt;&gt;"acoes")))*INDEX(Inputs!$K$5:$AJ$130,0,MATCH(AD$2,Inputs!$K$4:$AJ$4,0)))+SUMPRODUCT((Inputs!$E$5:$E$130=$B9)*Inputs!$F$5:$F$130*(((Inputs!$G$5:$G$130="moeda")+(Inputs!$G$5:$G$130="acoes"))*Inputs!$B$1+((Inputs!$G$5:$G$130&lt;&gt;"moeda")*(Inputs!$G$5:$G$130&lt;&gt;"acoes")))*INDEX(Inputs!$K$5:$AJ$130,0,MATCH(AD$2,Inputs!$K$4:$AJ$4,0)))))</f>
        <v>8000</v>
      </c>
      <c r="AE9" s="6" t="e">
        <f>IF(ISNA(MATCH(AE$2,Inputs!$K$4:$AJ$4,0)),NA(),IF(SUMPRODUCT((Inputs!$A$5:$A$130=$B9)*ISNUMBER(INDEX(Inputs!$K$5:$AJ$130,0,MATCH(AE$2,Inputs!$K$4:$AJ$4,0))))+SUMPRODUCT((Inputs!$C$5:$C$130=$B9)*ISNUMBER(INDEX(Inputs!$K$5:$AJ$130,0,MATCH(AE$2,Inputs!$K$4:$AJ$4,0))))+SUMPRODUCT((Inputs!$E$5:$E$130=$B9)*ISNUMBER(INDEX(Inputs!$K$5:$AJ$130,0,MATCH(AE$2,Inputs!$K$4:$AJ$4,0))))=0,NA(),SUMPRODUCT((Inputs!$A$5:$A$130=$B9)*Inputs!$B$5:$B$130*(((Inputs!$G$5:$G$130="moeda")+(Inputs!$G$5:$G$130="acoes"))*Inputs!$B$1+((Inputs!$G$5:$G$130&lt;&gt;"moeda")*(Inputs!$G$5:$G$130&lt;&gt;"acoes")))*INDEX(Inputs!$K$5:$AJ$130,0,MATCH(AE$2,Inputs!$K$4:$AJ$4,0)))+SUMPRODUCT((Inputs!$C$5:$C$130=$B9)*Inputs!$D$5:$D$130*(((Inputs!$G$5:$G$130="moeda")+(Inputs!$G$5:$G$130="acoes"))*Inputs!$B$1+((Inputs!$G$5:$G$130&lt;&gt;"moeda")*(Inputs!$G$5:$G$130&lt;&gt;"acoes")))*INDEX(Inputs!$K$5:$AJ$130,0,MATCH(AE$2,Inputs!$K$4:$AJ$4,0)))+SUMPRODUCT((Inputs!$E$5:$E$130=$B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9" s="6" t="e">
        <f>IF(ISNA(MATCH(AF$2,Inputs!$K$4:$AJ$4,0)),NA(),IF(SUMPRODUCT((Inputs!$A$5:$A$130=$B9)*ISNUMBER(INDEX(Inputs!$K$5:$AJ$130,0,MATCH(AF$2,Inputs!$K$4:$AJ$4,0))))+SUMPRODUCT((Inputs!$C$5:$C$130=$B9)*ISNUMBER(INDEX(Inputs!$K$5:$AJ$130,0,MATCH(AF$2,Inputs!$K$4:$AJ$4,0))))+SUMPRODUCT((Inputs!$E$5:$E$130=$B9)*ISNUMBER(INDEX(Inputs!$K$5:$AJ$130,0,MATCH(AF$2,Inputs!$K$4:$AJ$4,0))))=0,NA(),SUMPRODUCT((Inputs!$A$5:$A$130=$B9)*Inputs!$B$5:$B$130*(((Inputs!$G$5:$G$130="moeda")+(Inputs!$G$5:$G$130="acoes"))*Inputs!$B$1+((Inputs!$G$5:$G$130&lt;&gt;"moeda")*(Inputs!$G$5:$G$130&lt;&gt;"acoes")))*INDEX(Inputs!$K$5:$AJ$130,0,MATCH(AF$2,Inputs!$K$4:$AJ$4,0)))+SUMPRODUCT((Inputs!$C$5:$C$130=$B9)*Inputs!$D$5:$D$130*(((Inputs!$G$5:$G$130="moeda")+(Inputs!$G$5:$G$130="acoes"))*Inputs!$B$1+((Inputs!$G$5:$G$130&lt;&gt;"moeda")*(Inputs!$G$5:$G$130&lt;&gt;"acoes")))*INDEX(Inputs!$K$5:$AJ$130,0,MATCH(AF$2,Inputs!$K$4:$AJ$4,0)))+SUMPRODUCT((Inputs!$E$5:$E$130=$B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9" s="3" t="e">
        <f>SUM(AC9:AF9)</f>
        <v>#N/A</v>
      </c>
      <c r="AH9" s="6">
        <f>IF(ISNA(MATCH(AH$2,Inputs!$K$4:$AJ$4,0)),NA(),IF(SUMPRODUCT((Inputs!$A$5:$A$130=$B9)*ISNUMBER(INDEX(Inputs!$K$5:$AJ$130,0,MATCH(AH$2,Inputs!$K$4:$AJ$4,0))))+SUMPRODUCT((Inputs!$C$5:$C$130=$B9)*ISNUMBER(INDEX(Inputs!$K$5:$AJ$130,0,MATCH(AH$2,Inputs!$K$4:$AJ$4,0))))+SUMPRODUCT((Inputs!$E$5:$E$130=$B9)*ISNUMBER(INDEX(Inputs!$K$5:$AJ$130,0,MATCH(AH$2,Inputs!$K$4:$AJ$4,0))))=0,NA(),SUMPRODUCT((Inputs!$A$5:$A$130=$B9)*Inputs!$B$5:$B$130*(((Inputs!$G$5:$G$130="moeda")+(Inputs!$G$5:$G$130="acoes"))*Inputs!$B$1+((Inputs!$G$5:$G$130&lt;&gt;"moeda")*(Inputs!$G$5:$G$130&lt;&gt;"acoes")))*INDEX(Inputs!$K$5:$AJ$130,0,MATCH(AH$2,Inputs!$K$4:$AJ$4,0)))+SUMPRODUCT((Inputs!$C$5:$C$130=$B9)*Inputs!$D$5:$D$130*(((Inputs!$G$5:$G$130="moeda")+(Inputs!$G$5:$G$130="acoes"))*Inputs!$B$1+((Inputs!$G$5:$G$130&lt;&gt;"moeda")*(Inputs!$G$5:$G$130&lt;&gt;"acoes")))*INDEX(Inputs!$K$5:$AJ$130,0,MATCH(AH$2,Inputs!$K$4:$AJ$4,0)))+SUMPRODUCT((Inputs!$E$5:$E$130=$B9)*Inputs!$F$5:$F$130*(((Inputs!$G$5:$G$130="moeda")+(Inputs!$G$5:$G$130="acoes"))*Inputs!$B$1+((Inputs!$G$5:$G$130&lt;&gt;"moeda")*(Inputs!$G$5:$G$130&lt;&gt;"acoes")))*INDEX(Inputs!$K$5:$AJ$130,0,MATCH(AH$2,Inputs!$K$4:$AJ$4,0)))))</f>
        <v>30</v>
      </c>
      <c r="AI9" s="6">
        <f>IF(ISNA(MATCH(AI$2,Inputs!$K$4:$AJ$4,0)),NA(),IF(SUMPRODUCT((Inputs!$A$5:$A$130=$B9)*ISNUMBER(INDEX(Inputs!$K$5:$AJ$130,0,MATCH(AI$2,Inputs!$K$4:$AJ$4,0))))+SUMPRODUCT((Inputs!$C$5:$C$130=$B9)*ISNUMBER(INDEX(Inputs!$K$5:$AJ$130,0,MATCH(AI$2,Inputs!$K$4:$AJ$4,0))))+SUMPRODUCT((Inputs!$E$5:$E$130=$B9)*ISNUMBER(INDEX(Inputs!$K$5:$AJ$130,0,MATCH(AI$2,Inputs!$K$4:$AJ$4,0))))=0,NA(),SUMPRODUCT((Inputs!$A$5:$A$130=$B9)*Inputs!$B$5:$B$130*(((Inputs!$G$5:$G$130="moeda")+(Inputs!$G$5:$G$130="acoes"))*Inputs!$B$1+((Inputs!$G$5:$G$130&lt;&gt;"moeda")*(Inputs!$G$5:$G$130&lt;&gt;"acoes")))*INDEX(Inputs!$K$5:$AJ$130,0,MATCH(AI$2,Inputs!$K$4:$AJ$4,0)))+SUMPRODUCT((Inputs!$C$5:$C$130=$B9)*Inputs!$D$5:$D$130*(((Inputs!$G$5:$G$130="moeda")+(Inputs!$G$5:$G$130="acoes"))*Inputs!$B$1+((Inputs!$G$5:$G$130&lt;&gt;"moeda")*(Inputs!$G$5:$G$130&lt;&gt;"acoes")))*INDEX(Inputs!$K$5:$AJ$130,0,MATCH(AI$2,Inputs!$K$4:$AJ$4,0)))+SUMPRODUCT((Inputs!$E$5:$E$130=$B9)*Inputs!$F$5:$F$130*(((Inputs!$G$5:$G$130="moeda")+(Inputs!$G$5:$G$130="acoes"))*Inputs!$B$1+((Inputs!$G$5:$G$130&lt;&gt;"moeda")*(Inputs!$G$5:$G$130&lt;&gt;"acoes")))*INDEX(Inputs!$K$5:$AJ$130,0,MATCH(AI$2,Inputs!$K$4:$AJ$4,0)))))</f>
        <v>12</v>
      </c>
      <c r="AJ9" s="6">
        <f>IF(ISNA(MATCH(AJ$2,Inputs!$K$4:$AJ$4,0)),NA(),IF(SUMPRODUCT((Inputs!$A$5:$A$130=$B9)*ISNUMBER(INDEX(Inputs!$K$5:$AJ$130,0,MATCH(AJ$2,Inputs!$K$4:$AJ$4,0))))+SUMPRODUCT((Inputs!$C$5:$C$130=$B9)*ISNUMBER(INDEX(Inputs!$K$5:$AJ$130,0,MATCH(AJ$2,Inputs!$K$4:$AJ$4,0))))+SUMPRODUCT((Inputs!$E$5:$E$130=$B9)*ISNUMBER(INDEX(Inputs!$K$5:$AJ$130,0,MATCH(AJ$2,Inputs!$K$4:$AJ$4,0))))=0,NA(),SUMPRODUCT((Inputs!$A$5:$A$130=$B9)*Inputs!$B$5:$B$130*(((Inputs!$G$5:$G$130="moeda")+(Inputs!$G$5:$G$130="acoes"))*Inputs!$B$1+((Inputs!$G$5:$G$130&lt;&gt;"moeda")*(Inputs!$G$5:$G$130&lt;&gt;"acoes")))*INDEX(Inputs!$K$5:$AJ$130,0,MATCH(AJ$2,Inputs!$K$4:$AJ$4,0)))+SUMPRODUCT((Inputs!$C$5:$C$130=$B9)*Inputs!$D$5:$D$130*(((Inputs!$G$5:$G$130="moeda")+(Inputs!$G$5:$G$130="acoes"))*Inputs!$B$1+((Inputs!$G$5:$G$130&lt;&gt;"moeda")*(Inputs!$G$5:$G$130&lt;&gt;"acoes")))*INDEX(Inputs!$K$5:$AJ$130,0,MATCH(AJ$2,Inputs!$K$4:$AJ$4,0)))+SUMPRODUCT((Inputs!$E$5:$E$130=$B9)*Inputs!$F$5:$F$130*(((Inputs!$G$5:$G$130="moeda")+(Inputs!$G$5:$G$130="acoes"))*Inputs!$B$1+((Inputs!$G$5:$G$130&lt;&gt;"moeda")*(Inputs!$G$5:$G$130&lt;&gt;"acoes")))*INDEX(Inputs!$K$5:$AJ$130,0,MATCH(AJ$2,Inputs!$K$4:$AJ$4,0)))))</f>
        <v>3</v>
      </c>
      <c r="AK9" s="6">
        <f>IF(ISNA(MATCH(AK$2,Inputs!$K$4:$AJ$4,0)),NA(),IF(SUMPRODUCT((Inputs!$A$5:$A$130=$B9)*ISNUMBER(INDEX(Inputs!$K$5:$AJ$130,0,MATCH(AK$2,Inputs!$K$4:$AJ$4,0))))+SUMPRODUCT((Inputs!$C$5:$C$130=$B9)*ISNUMBER(INDEX(Inputs!$K$5:$AJ$130,0,MATCH(AK$2,Inputs!$K$4:$AJ$4,0))))+SUMPRODUCT((Inputs!$E$5:$E$130=$B9)*ISNUMBER(INDEX(Inputs!$K$5:$AJ$130,0,MATCH(AK$2,Inputs!$K$4:$AJ$4,0))))=0,NA(),SUMPRODUCT((Inputs!$A$5:$A$130=$B9)*Inputs!$B$5:$B$130*(((Inputs!$G$5:$G$130="moeda")+(Inputs!$G$5:$G$130="acoes"))*Inputs!$B$1+((Inputs!$G$5:$G$130&lt;&gt;"moeda")*(Inputs!$G$5:$G$130&lt;&gt;"acoes")))*INDEX(Inputs!$K$5:$AJ$130,0,MATCH(AK$2,Inputs!$K$4:$AJ$4,0)))+SUMPRODUCT((Inputs!$C$5:$C$130=$B9)*Inputs!$D$5:$D$130*(((Inputs!$G$5:$G$130="moeda")+(Inputs!$G$5:$G$130="acoes"))*Inputs!$B$1+((Inputs!$G$5:$G$130&lt;&gt;"moeda")*(Inputs!$G$5:$G$130&lt;&gt;"acoes")))*INDEX(Inputs!$K$5:$AJ$130,0,MATCH(AK$2,Inputs!$K$4:$AJ$4,0)))+SUMPRODUCT((Inputs!$E$5:$E$130=$B9)*Inputs!$F$5:$F$130*(((Inputs!$G$5:$G$130="moeda")+(Inputs!$G$5:$G$130="acoes"))*Inputs!$B$1+((Inputs!$G$5:$G$130&lt;&gt;"moeda")*(Inputs!$G$5:$G$130&lt;&gt;"acoes")))*INDEX(Inputs!$K$5:$AJ$130,0,MATCH(AK$2,Inputs!$K$4:$AJ$4,0)))))</f>
        <v>16</v>
      </c>
      <c r="AL9" s="3">
        <f>SUM(AH9:AK9)</f>
        <v>61</v>
      </c>
    </row>
    <row r="10">
      <c r="B10" s="46" t="n">
        <v>7</v>
      </c>
      <c r="C10" s="26" t="inlineStr">
        <is>
          <t>Taxes</t>
        </is>
      </c>
      <c r="D10" s="6">
        <f>IF(ISNA(MATCH(D$2,Inputs!$K$4:$AJ$4,0)),NA(),IF(SUMPRODUCT((Inputs!$A$5:$A$130=$B10)*ISNUMBER(INDEX(Inputs!$K$5:$AJ$130,0,MATCH(D$2,Inputs!$K$4:$AJ$4,0))))+SUMPRODUCT((Inputs!$C$5:$C$130=$B10)*ISNUMBER(INDEX(Inputs!$K$5:$AJ$130,0,MATCH(D$2,Inputs!$K$4:$AJ$4,0))))+SUMPRODUCT((Inputs!$E$5:$E$130=$B10)*ISNUMBER(INDEX(Inputs!$K$5:$AJ$130,0,MATCH(D$2,Inputs!$K$4:$AJ$4,0))))=0,NA(),SUMPRODUCT((Inputs!$A$5:$A$130=$B10)*Inputs!$B$5:$B$130*(((Inputs!$G$5:$G$130="moeda")+(Inputs!$G$5:$G$130="acoes"))*Inputs!$B$1+((Inputs!$G$5:$G$130&lt;&gt;"moeda")*(Inputs!$G$5:$G$130&lt;&gt;"acoes")))*INDEX(Inputs!$K$5:$AJ$130,0,MATCH(D$2,Inputs!$K$4:$AJ$4,0)))+SUMPRODUCT((Inputs!$C$5:$C$130=$B10)*Inputs!$D$5:$D$130*(((Inputs!$G$5:$G$130="moeda")+(Inputs!$G$5:$G$130="acoes"))*Inputs!$B$1+((Inputs!$G$5:$G$130&lt;&gt;"moeda")*(Inputs!$G$5:$G$130&lt;&gt;"acoes")))*INDEX(Inputs!$K$5:$AJ$130,0,MATCH(D$2,Inputs!$K$4:$AJ$4,0)))+SUMPRODUCT((Inputs!$E$5:$E$130=$B10)*Inputs!$F$5:$F$130*(((Inputs!$G$5:$G$130="moeda")+(Inputs!$G$5:$G$130="acoes"))*Inputs!$B$1+((Inputs!$G$5:$G$130&lt;&gt;"moeda")*(Inputs!$G$5:$G$130&lt;&gt;"acoes")))*INDEX(Inputs!$K$5:$AJ$130,0,MATCH(D$2,Inputs!$K$4:$AJ$4,0)))))</f>
        <v>-132</v>
      </c>
      <c r="E10" s="6">
        <f>IF(ISNA(MATCH(E$2,Inputs!$K$4:$AJ$4,0)),NA(),IF(SUMPRODUCT((Inputs!$A$5:$A$130=$B10)*ISNUMBER(INDEX(Inputs!$K$5:$AJ$130,0,MATCH(E$2,Inputs!$K$4:$AJ$4,0))))+SUMPRODUCT((Inputs!$C$5:$C$130=$B10)*ISNUMBER(INDEX(Inputs!$K$5:$AJ$130,0,MATCH(E$2,Inputs!$K$4:$AJ$4,0))))+SUMPRODUCT((Inputs!$E$5:$E$130=$B10)*ISNUMBER(INDEX(Inputs!$K$5:$AJ$130,0,MATCH(E$2,Inputs!$K$4:$AJ$4,0))))=0,NA(),SUMPRODUCT((Inputs!$A$5:$A$130=$B10)*Inputs!$B$5:$B$130*(((Inputs!$G$5:$G$130="moeda")+(Inputs!$G$5:$G$130="acoes"))*Inputs!$B$1+((Inputs!$G$5:$G$130&lt;&gt;"moeda")*(Inputs!$G$5:$G$130&lt;&gt;"acoes")))*INDEX(Inputs!$K$5:$AJ$130,0,MATCH(E$2,Inputs!$K$4:$AJ$4,0)))+SUMPRODUCT((Inputs!$C$5:$C$130=$B10)*Inputs!$D$5:$D$130*(((Inputs!$G$5:$G$130="moeda")+(Inputs!$G$5:$G$130="acoes"))*Inputs!$B$1+((Inputs!$G$5:$G$130&lt;&gt;"moeda")*(Inputs!$G$5:$G$130&lt;&gt;"acoes")))*INDEX(Inputs!$K$5:$AJ$130,0,MATCH(E$2,Inputs!$K$4:$AJ$4,0)))+SUMPRODUCT((Inputs!$E$5:$E$130=$B10)*Inputs!$F$5:$F$130*(((Inputs!$G$5:$G$130="moeda")+(Inputs!$G$5:$G$130="acoes"))*Inputs!$B$1+((Inputs!$G$5:$G$130&lt;&gt;"moeda")*(Inputs!$G$5:$G$130&lt;&gt;"acoes")))*INDEX(Inputs!$K$5:$AJ$130,0,MATCH(E$2,Inputs!$K$4:$AJ$4,0)))))</f>
        <v>-20</v>
      </c>
      <c r="F10" s="6">
        <f>IF(ISNA(MATCH(F$2,Inputs!$K$4:$AJ$4,0)),NA(),IF(SUMPRODUCT((Inputs!$A$5:$A$130=$B10)*ISNUMBER(INDEX(Inputs!$K$5:$AJ$130,0,MATCH(F$2,Inputs!$K$4:$AJ$4,0))))+SUMPRODUCT((Inputs!$C$5:$C$130=$B10)*ISNUMBER(INDEX(Inputs!$K$5:$AJ$130,0,MATCH(F$2,Inputs!$K$4:$AJ$4,0))))+SUMPRODUCT((Inputs!$E$5:$E$130=$B10)*ISNUMBER(INDEX(Inputs!$K$5:$AJ$130,0,MATCH(F$2,Inputs!$K$4:$AJ$4,0))))=0,NA(),SUMPRODUCT((Inputs!$A$5:$A$130=$B10)*Inputs!$B$5:$B$130*(((Inputs!$G$5:$G$130="moeda")+(Inputs!$G$5:$G$130="acoes"))*Inputs!$B$1+((Inputs!$G$5:$G$130&lt;&gt;"moeda")*(Inputs!$G$5:$G$130&lt;&gt;"acoes")))*INDEX(Inputs!$K$5:$AJ$130,0,MATCH(F$2,Inputs!$K$4:$AJ$4,0)))+SUMPRODUCT((Inputs!$C$5:$C$130=$B10)*Inputs!$D$5:$D$130*(((Inputs!$G$5:$G$130="moeda")+(Inputs!$G$5:$G$130="acoes"))*Inputs!$B$1+((Inputs!$G$5:$G$130&lt;&gt;"moeda")*(Inputs!$G$5:$G$130&lt;&gt;"acoes")))*INDEX(Inputs!$K$5:$AJ$130,0,MATCH(F$2,Inputs!$K$4:$AJ$4,0)))+SUMPRODUCT((Inputs!$E$5:$E$130=$B10)*Inputs!$F$5:$F$130*(((Inputs!$G$5:$G$130="moeda")+(Inputs!$G$5:$G$130="acoes"))*Inputs!$B$1+((Inputs!$G$5:$G$130&lt;&gt;"moeda")*(Inputs!$G$5:$G$130&lt;&gt;"acoes")))*INDEX(Inputs!$K$5:$AJ$130,0,MATCH(F$2,Inputs!$K$4:$AJ$4,0)))))</f>
        <v>-174</v>
      </c>
      <c r="G10" s="6">
        <f>IF(ISNA(MATCH(G$2,Inputs!$K$4:$AJ$4,0)),NA(),IF(SUMPRODUCT((Inputs!$A$5:$A$130=$B10)*ISNUMBER(INDEX(Inputs!$K$5:$AJ$130,0,MATCH(G$2,Inputs!$K$4:$AJ$4,0))))+SUMPRODUCT((Inputs!$C$5:$C$130=$B10)*ISNUMBER(INDEX(Inputs!$K$5:$AJ$130,0,MATCH(G$2,Inputs!$K$4:$AJ$4,0))))+SUMPRODUCT((Inputs!$E$5:$E$130=$B10)*ISNUMBER(INDEX(Inputs!$K$5:$AJ$130,0,MATCH(G$2,Inputs!$K$4:$AJ$4,0))))=0,NA(),SUMPRODUCT((Inputs!$A$5:$A$130=$B10)*Inputs!$B$5:$B$130*(((Inputs!$G$5:$G$130="moeda")+(Inputs!$G$5:$G$130="acoes"))*Inputs!$B$1+((Inputs!$G$5:$G$130&lt;&gt;"moeda")*(Inputs!$G$5:$G$130&lt;&gt;"acoes")))*INDEX(Inputs!$K$5:$AJ$130,0,MATCH(G$2,Inputs!$K$4:$AJ$4,0)))+SUMPRODUCT((Inputs!$C$5:$C$130=$B10)*Inputs!$D$5:$D$130*(((Inputs!$G$5:$G$130="moeda")+(Inputs!$G$5:$G$130="acoes"))*Inputs!$B$1+((Inputs!$G$5:$G$130&lt;&gt;"moeda")*(Inputs!$G$5:$G$130&lt;&gt;"acoes")))*INDEX(Inputs!$K$5:$AJ$130,0,MATCH(G$2,Inputs!$K$4:$AJ$4,0)))+SUMPRODUCT((Inputs!$E$5:$E$130=$B10)*Inputs!$F$5:$F$130*(((Inputs!$G$5:$G$130="moeda")+(Inputs!$G$5:$G$130="acoes"))*Inputs!$B$1+((Inputs!$G$5:$G$130&lt;&gt;"moeda")*(Inputs!$G$5:$G$130&lt;&gt;"acoes")))*INDEX(Inputs!$K$5:$AJ$130,0,MATCH(G$2,Inputs!$K$4:$AJ$4,0)))))</f>
        <v>137</v>
      </c>
      <c r="H10" s="3">
        <f>SUM(D10:G10)</f>
        <v>-189</v>
      </c>
      <c r="I10" s="6">
        <f>IF(ISNA(MATCH(I$2,Inputs!$K$4:$AJ$4,0)),NA(),IF(SUMPRODUCT((Inputs!$A$5:$A$130=$B10)*ISNUMBER(INDEX(Inputs!$K$5:$AJ$130,0,MATCH(I$2,Inputs!$K$4:$AJ$4,0))))+SUMPRODUCT((Inputs!$C$5:$C$130=$B10)*ISNUMBER(INDEX(Inputs!$K$5:$AJ$130,0,MATCH(I$2,Inputs!$K$4:$AJ$4,0))))+SUMPRODUCT((Inputs!$E$5:$E$130=$B10)*ISNUMBER(INDEX(Inputs!$K$5:$AJ$130,0,MATCH(I$2,Inputs!$K$4:$AJ$4,0))))=0,NA(),SUMPRODUCT((Inputs!$A$5:$A$130=$B10)*Inputs!$B$5:$B$130*(((Inputs!$G$5:$G$130="moeda")+(Inputs!$G$5:$G$130="acoes"))*Inputs!$B$1+((Inputs!$G$5:$G$130&lt;&gt;"moeda")*(Inputs!$G$5:$G$130&lt;&gt;"acoes")))*INDEX(Inputs!$K$5:$AJ$130,0,MATCH(I$2,Inputs!$K$4:$AJ$4,0)))+SUMPRODUCT((Inputs!$C$5:$C$130=$B10)*Inputs!$D$5:$D$130*(((Inputs!$G$5:$G$130="moeda")+(Inputs!$G$5:$G$130="acoes"))*Inputs!$B$1+((Inputs!$G$5:$G$130&lt;&gt;"moeda")*(Inputs!$G$5:$G$130&lt;&gt;"acoes")))*INDEX(Inputs!$K$5:$AJ$130,0,MATCH(I$2,Inputs!$K$4:$AJ$4,0)))+SUMPRODUCT((Inputs!$E$5:$E$130=$B10)*Inputs!$F$5:$F$130*(((Inputs!$G$5:$G$130="moeda")+(Inputs!$G$5:$G$130="acoes"))*Inputs!$B$1+((Inputs!$G$5:$G$130&lt;&gt;"moeda")*(Inputs!$G$5:$G$130&lt;&gt;"acoes")))*INDEX(Inputs!$K$5:$AJ$130,0,MATCH(I$2,Inputs!$K$4:$AJ$4,0)))))</f>
        <v>-187</v>
      </c>
      <c r="J10" s="6">
        <f>IF(ISNA(MATCH(J$2,Inputs!$K$4:$AJ$4,0)),NA(),IF(SUMPRODUCT((Inputs!$A$5:$A$130=$B10)*ISNUMBER(INDEX(Inputs!$K$5:$AJ$130,0,MATCH(J$2,Inputs!$K$4:$AJ$4,0))))+SUMPRODUCT((Inputs!$C$5:$C$130=$B10)*ISNUMBER(INDEX(Inputs!$K$5:$AJ$130,0,MATCH(J$2,Inputs!$K$4:$AJ$4,0))))+SUMPRODUCT((Inputs!$E$5:$E$130=$B10)*ISNUMBER(INDEX(Inputs!$K$5:$AJ$130,0,MATCH(J$2,Inputs!$K$4:$AJ$4,0))))=0,NA(),SUMPRODUCT((Inputs!$A$5:$A$130=$B10)*Inputs!$B$5:$B$130*(((Inputs!$G$5:$G$130="moeda")+(Inputs!$G$5:$G$130="acoes"))*Inputs!$B$1+((Inputs!$G$5:$G$130&lt;&gt;"moeda")*(Inputs!$G$5:$G$130&lt;&gt;"acoes")))*INDEX(Inputs!$K$5:$AJ$130,0,MATCH(J$2,Inputs!$K$4:$AJ$4,0)))+SUMPRODUCT((Inputs!$C$5:$C$130=$B10)*Inputs!$D$5:$D$130*(((Inputs!$G$5:$G$130="moeda")+(Inputs!$G$5:$G$130="acoes"))*Inputs!$B$1+((Inputs!$G$5:$G$130&lt;&gt;"moeda")*(Inputs!$G$5:$G$130&lt;&gt;"acoes")))*INDEX(Inputs!$K$5:$AJ$130,0,MATCH(J$2,Inputs!$K$4:$AJ$4,0)))+SUMPRODUCT((Inputs!$E$5:$E$130=$B10)*Inputs!$F$5:$F$130*(((Inputs!$G$5:$G$130="moeda")+(Inputs!$G$5:$G$130="acoes"))*Inputs!$B$1+((Inputs!$G$5:$G$130&lt;&gt;"moeda")*(Inputs!$G$5:$G$130&lt;&gt;"acoes")))*INDEX(Inputs!$K$5:$AJ$130,0,MATCH(J$2,Inputs!$K$4:$AJ$4,0)))))</f>
        <v>181</v>
      </c>
      <c r="K10" s="6">
        <f>IF(ISNA(MATCH(K$2,Inputs!$K$4:$AJ$4,0)),NA(),IF(SUMPRODUCT((Inputs!$A$5:$A$130=$B10)*ISNUMBER(INDEX(Inputs!$K$5:$AJ$130,0,MATCH(K$2,Inputs!$K$4:$AJ$4,0))))+SUMPRODUCT((Inputs!$C$5:$C$130=$B10)*ISNUMBER(INDEX(Inputs!$K$5:$AJ$130,0,MATCH(K$2,Inputs!$K$4:$AJ$4,0))))+SUMPRODUCT((Inputs!$E$5:$E$130=$B10)*ISNUMBER(INDEX(Inputs!$K$5:$AJ$130,0,MATCH(K$2,Inputs!$K$4:$AJ$4,0))))=0,NA(),SUMPRODUCT((Inputs!$A$5:$A$130=$B10)*Inputs!$B$5:$B$130*(((Inputs!$G$5:$G$130="moeda")+(Inputs!$G$5:$G$130="acoes"))*Inputs!$B$1+((Inputs!$G$5:$G$130&lt;&gt;"moeda")*(Inputs!$G$5:$G$130&lt;&gt;"acoes")))*INDEX(Inputs!$K$5:$AJ$130,0,MATCH(K$2,Inputs!$K$4:$AJ$4,0)))+SUMPRODUCT((Inputs!$C$5:$C$130=$B10)*Inputs!$D$5:$D$130*(((Inputs!$G$5:$G$130="moeda")+(Inputs!$G$5:$G$130="acoes"))*Inputs!$B$1+((Inputs!$G$5:$G$130&lt;&gt;"moeda")*(Inputs!$G$5:$G$130&lt;&gt;"acoes")))*INDEX(Inputs!$K$5:$AJ$130,0,MATCH(K$2,Inputs!$K$4:$AJ$4,0)))+SUMPRODUCT((Inputs!$E$5:$E$130=$B10)*Inputs!$F$5:$F$130*(((Inputs!$G$5:$G$130="moeda")+(Inputs!$G$5:$G$130="acoes"))*Inputs!$B$1+((Inputs!$G$5:$G$130&lt;&gt;"moeda")*(Inputs!$G$5:$G$130&lt;&gt;"acoes")))*INDEX(Inputs!$K$5:$AJ$130,0,MATCH(K$2,Inputs!$K$4:$AJ$4,0)))))</f>
        <v>67</v>
      </c>
      <c r="L10" s="6">
        <f>IF(ISNA(MATCH(L$2,Inputs!$K$4:$AJ$4,0)),NA(),IF(SUMPRODUCT((Inputs!$A$5:$A$130=$B10)*ISNUMBER(INDEX(Inputs!$K$5:$AJ$130,0,MATCH(L$2,Inputs!$K$4:$AJ$4,0))))+SUMPRODUCT((Inputs!$C$5:$C$130=$B10)*ISNUMBER(INDEX(Inputs!$K$5:$AJ$130,0,MATCH(L$2,Inputs!$K$4:$AJ$4,0))))+SUMPRODUCT((Inputs!$E$5:$E$130=$B10)*ISNUMBER(INDEX(Inputs!$K$5:$AJ$130,0,MATCH(L$2,Inputs!$K$4:$AJ$4,0))))=0,NA(),SUMPRODUCT((Inputs!$A$5:$A$130=$B10)*Inputs!$B$5:$B$130*(((Inputs!$G$5:$G$130="moeda")+(Inputs!$G$5:$G$130="acoes"))*Inputs!$B$1+((Inputs!$G$5:$G$130&lt;&gt;"moeda")*(Inputs!$G$5:$G$130&lt;&gt;"acoes")))*INDEX(Inputs!$K$5:$AJ$130,0,MATCH(L$2,Inputs!$K$4:$AJ$4,0)))+SUMPRODUCT((Inputs!$C$5:$C$130=$B10)*Inputs!$D$5:$D$130*(((Inputs!$G$5:$G$130="moeda")+(Inputs!$G$5:$G$130="acoes"))*Inputs!$B$1+((Inputs!$G$5:$G$130&lt;&gt;"moeda")*(Inputs!$G$5:$G$130&lt;&gt;"acoes")))*INDEX(Inputs!$K$5:$AJ$130,0,MATCH(L$2,Inputs!$K$4:$AJ$4,0)))+SUMPRODUCT((Inputs!$E$5:$E$130=$B10)*Inputs!$F$5:$F$130*(((Inputs!$G$5:$G$130="moeda")+(Inputs!$G$5:$G$130="acoes"))*Inputs!$B$1+((Inputs!$G$5:$G$130&lt;&gt;"moeda")*(Inputs!$G$5:$G$130&lt;&gt;"acoes")))*INDEX(Inputs!$K$5:$AJ$130,0,MATCH(L$2,Inputs!$K$4:$AJ$4,0)))))</f>
        <v>126</v>
      </c>
      <c r="M10" s="3">
        <f>SUM(I10:L10)</f>
        <v>187</v>
      </c>
      <c r="N10" s="6">
        <f>IF(ISNA(MATCH(N$2,Inputs!$K$4:$AJ$4,0)),NA(),IF(SUMPRODUCT((Inputs!$A$5:$A$130=$B10)*ISNUMBER(INDEX(Inputs!$K$5:$AJ$130,0,MATCH(N$2,Inputs!$K$4:$AJ$4,0))))+SUMPRODUCT((Inputs!$C$5:$C$130=$B10)*ISNUMBER(INDEX(Inputs!$K$5:$AJ$130,0,MATCH(N$2,Inputs!$K$4:$AJ$4,0))))+SUMPRODUCT((Inputs!$E$5:$E$130=$B10)*ISNUMBER(INDEX(Inputs!$K$5:$AJ$130,0,MATCH(N$2,Inputs!$K$4:$AJ$4,0))))=0,NA(),SUMPRODUCT((Inputs!$A$5:$A$130=$B10)*Inputs!$B$5:$B$130*(((Inputs!$G$5:$G$130="moeda")+(Inputs!$G$5:$G$130="acoes"))*Inputs!$B$1+((Inputs!$G$5:$G$130&lt;&gt;"moeda")*(Inputs!$G$5:$G$130&lt;&gt;"acoes")))*INDEX(Inputs!$K$5:$AJ$130,0,MATCH(N$2,Inputs!$K$4:$AJ$4,0)))+SUMPRODUCT((Inputs!$C$5:$C$130=$B10)*Inputs!$D$5:$D$130*(((Inputs!$G$5:$G$130="moeda")+(Inputs!$G$5:$G$130="acoes"))*Inputs!$B$1+((Inputs!$G$5:$G$130&lt;&gt;"moeda")*(Inputs!$G$5:$G$130&lt;&gt;"acoes")))*INDEX(Inputs!$K$5:$AJ$130,0,MATCH(N$2,Inputs!$K$4:$AJ$4,0)))+SUMPRODUCT((Inputs!$E$5:$E$130=$B10)*Inputs!$F$5:$F$130*(((Inputs!$G$5:$G$130="moeda")+(Inputs!$G$5:$G$130="acoes"))*Inputs!$B$1+((Inputs!$G$5:$G$130&lt;&gt;"moeda")*(Inputs!$G$5:$G$130&lt;&gt;"acoes")))*INDEX(Inputs!$K$5:$AJ$130,0,MATCH(N$2,Inputs!$K$4:$AJ$4,0)))))</f>
        <v>-166</v>
      </c>
      <c r="O10" s="6">
        <f>IF(ISNA(MATCH(O$2,Inputs!$K$4:$AJ$4,0)),NA(),IF(SUMPRODUCT((Inputs!$A$5:$A$130=$B10)*ISNUMBER(INDEX(Inputs!$K$5:$AJ$130,0,MATCH(O$2,Inputs!$K$4:$AJ$4,0))))+SUMPRODUCT((Inputs!$C$5:$C$130=$B10)*ISNUMBER(INDEX(Inputs!$K$5:$AJ$130,0,MATCH(O$2,Inputs!$K$4:$AJ$4,0))))+SUMPRODUCT((Inputs!$E$5:$E$130=$B10)*ISNUMBER(INDEX(Inputs!$K$5:$AJ$130,0,MATCH(O$2,Inputs!$K$4:$AJ$4,0))))=0,NA(),SUMPRODUCT((Inputs!$A$5:$A$130=$B10)*Inputs!$B$5:$B$130*(((Inputs!$G$5:$G$130="moeda")+(Inputs!$G$5:$G$130="acoes"))*Inputs!$B$1+((Inputs!$G$5:$G$130&lt;&gt;"moeda")*(Inputs!$G$5:$G$130&lt;&gt;"acoes")))*INDEX(Inputs!$K$5:$AJ$130,0,MATCH(O$2,Inputs!$K$4:$AJ$4,0)))+SUMPRODUCT((Inputs!$C$5:$C$130=$B10)*Inputs!$D$5:$D$130*(((Inputs!$G$5:$G$130="moeda")+(Inputs!$G$5:$G$130="acoes"))*Inputs!$B$1+((Inputs!$G$5:$G$130&lt;&gt;"moeda")*(Inputs!$G$5:$G$130&lt;&gt;"acoes")))*INDEX(Inputs!$K$5:$AJ$130,0,MATCH(O$2,Inputs!$K$4:$AJ$4,0)))+SUMPRODUCT((Inputs!$E$5:$E$130=$B10)*Inputs!$F$5:$F$130*(((Inputs!$G$5:$G$130="moeda")+(Inputs!$G$5:$G$130="acoes"))*Inputs!$B$1+((Inputs!$G$5:$G$130&lt;&gt;"moeda")*(Inputs!$G$5:$G$130&lt;&gt;"acoes")))*INDEX(Inputs!$K$5:$AJ$130,0,MATCH(O$2,Inputs!$K$4:$AJ$4,0)))))</f>
        <v>-793</v>
      </c>
      <c r="P10" s="6">
        <f>IF(ISNA(MATCH(P$2,Inputs!$K$4:$AJ$4,0)),NA(),IF(SUMPRODUCT((Inputs!$A$5:$A$130=$B10)*ISNUMBER(INDEX(Inputs!$K$5:$AJ$130,0,MATCH(P$2,Inputs!$K$4:$AJ$4,0))))+SUMPRODUCT((Inputs!$C$5:$C$130=$B10)*ISNUMBER(INDEX(Inputs!$K$5:$AJ$130,0,MATCH(P$2,Inputs!$K$4:$AJ$4,0))))+SUMPRODUCT((Inputs!$E$5:$E$130=$B10)*ISNUMBER(INDEX(Inputs!$K$5:$AJ$130,0,MATCH(P$2,Inputs!$K$4:$AJ$4,0))))=0,NA(),SUMPRODUCT((Inputs!$A$5:$A$130=$B10)*Inputs!$B$5:$B$130*(((Inputs!$G$5:$G$130="moeda")+(Inputs!$G$5:$G$130="acoes"))*Inputs!$B$1+((Inputs!$G$5:$G$130&lt;&gt;"moeda")*(Inputs!$G$5:$G$130&lt;&gt;"acoes")))*INDEX(Inputs!$K$5:$AJ$130,0,MATCH(P$2,Inputs!$K$4:$AJ$4,0)))+SUMPRODUCT((Inputs!$C$5:$C$130=$B10)*Inputs!$D$5:$D$130*(((Inputs!$G$5:$G$130="moeda")+(Inputs!$G$5:$G$130="acoes"))*Inputs!$B$1+((Inputs!$G$5:$G$130&lt;&gt;"moeda")*(Inputs!$G$5:$G$130&lt;&gt;"acoes")))*INDEX(Inputs!$K$5:$AJ$130,0,MATCH(P$2,Inputs!$K$4:$AJ$4,0)))+SUMPRODUCT((Inputs!$E$5:$E$130=$B10)*Inputs!$F$5:$F$130*(((Inputs!$G$5:$G$130="moeda")+(Inputs!$G$5:$G$130="acoes"))*Inputs!$B$1+((Inputs!$G$5:$G$130&lt;&gt;"moeda")*(Inputs!$G$5:$G$130&lt;&gt;"acoes")))*INDEX(Inputs!$K$5:$AJ$130,0,MATCH(P$2,Inputs!$K$4:$AJ$4,0)))))</f>
        <v>-1279</v>
      </c>
      <c r="Q10" s="6">
        <f>IF(ISNA(MATCH(Q$2,Inputs!$K$4:$AJ$4,0)),NA(),IF(SUMPRODUCT((Inputs!$A$5:$A$130=$B10)*ISNUMBER(INDEX(Inputs!$K$5:$AJ$130,0,MATCH(Q$2,Inputs!$K$4:$AJ$4,0))))+SUMPRODUCT((Inputs!$C$5:$C$130=$B10)*ISNUMBER(INDEX(Inputs!$K$5:$AJ$130,0,MATCH(Q$2,Inputs!$K$4:$AJ$4,0))))+SUMPRODUCT((Inputs!$E$5:$E$130=$B10)*ISNUMBER(INDEX(Inputs!$K$5:$AJ$130,0,MATCH(Q$2,Inputs!$K$4:$AJ$4,0))))=0,NA(),SUMPRODUCT((Inputs!$A$5:$A$130=$B10)*Inputs!$B$5:$B$130*(((Inputs!$G$5:$G$130="moeda")+(Inputs!$G$5:$G$130="acoes"))*Inputs!$B$1+((Inputs!$G$5:$G$130&lt;&gt;"moeda")*(Inputs!$G$5:$G$130&lt;&gt;"acoes")))*INDEX(Inputs!$K$5:$AJ$130,0,MATCH(Q$2,Inputs!$K$4:$AJ$4,0)))+SUMPRODUCT((Inputs!$C$5:$C$130=$B10)*Inputs!$D$5:$D$130*(((Inputs!$G$5:$G$130="moeda")+(Inputs!$G$5:$G$130="acoes"))*Inputs!$B$1+((Inputs!$G$5:$G$130&lt;&gt;"moeda")*(Inputs!$G$5:$G$130&lt;&gt;"acoes")))*INDEX(Inputs!$K$5:$AJ$130,0,MATCH(Q$2,Inputs!$K$4:$AJ$4,0)))+SUMPRODUCT((Inputs!$E$5:$E$130=$B10)*Inputs!$F$5:$F$130*(((Inputs!$G$5:$G$130="moeda")+(Inputs!$G$5:$G$130="acoes"))*Inputs!$B$1+((Inputs!$G$5:$G$130&lt;&gt;"moeda")*(Inputs!$G$5:$G$130&lt;&gt;"acoes")))*INDEX(Inputs!$K$5:$AJ$130,0,MATCH(Q$2,Inputs!$K$4:$AJ$4,0)))))</f>
        <v>-1820</v>
      </c>
      <c r="R10" s="3">
        <f>SUM(N10:Q10)</f>
        <v>-4058</v>
      </c>
      <c r="S10" s="6">
        <f>IF(ISNA(MATCH(S$2,Inputs!$K$4:$AJ$4,0)),NA(),IF(SUMPRODUCT((Inputs!$A$5:$A$130=$B10)*ISNUMBER(INDEX(Inputs!$K$5:$AJ$130,0,MATCH(S$2,Inputs!$K$4:$AJ$4,0))))+SUMPRODUCT((Inputs!$C$5:$C$130=$B10)*ISNUMBER(INDEX(Inputs!$K$5:$AJ$130,0,MATCH(S$2,Inputs!$K$4:$AJ$4,0))))+SUMPRODUCT((Inputs!$E$5:$E$130=$B10)*ISNUMBER(INDEX(Inputs!$K$5:$AJ$130,0,MATCH(S$2,Inputs!$K$4:$AJ$4,0))))=0,NA(),SUMPRODUCT((Inputs!$A$5:$A$130=$B10)*Inputs!$B$5:$B$130*(((Inputs!$G$5:$G$130="moeda")+(Inputs!$G$5:$G$130="acoes"))*Inputs!$B$1+((Inputs!$G$5:$G$130&lt;&gt;"moeda")*(Inputs!$G$5:$G$130&lt;&gt;"acoes")))*INDEX(Inputs!$K$5:$AJ$130,0,MATCH(S$2,Inputs!$K$4:$AJ$4,0)))+SUMPRODUCT((Inputs!$C$5:$C$130=$B10)*Inputs!$D$5:$D$130*(((Inputs!$G$5:$G$130="moeda")+(Inputs!$G$5:$G$130="acoes"))*Inputs!$B$1+((Inputs!$G$5:$G$130&lt;&gt;"moeda")*(Inputs!$G$5:$G$130&lt;&gt;"acoes")))*INDEX(Inputs!$K$5:$AJ$130,0,MATCH(S$2,Inputs!$K$4:$AJ$4,0)))+SUMPRODUCT((Inputs!$E$5:$E$130=$B10)*Inputs!$F$5:$F$130*(((Inputs!$G$5:$G$130="moeda")+(Inputs!$G$5:$G$130="acoes"))*Inputs!$B$1+((Inputs!$G$5:$G$130&lt;&gt;"moeda")*(Inputs!$G$5:$G$130&lt;&gt;"acoes")))*INDEX(Inputs!$K$5:$AJ$130,0,MATCH(S$2,Inputs!$K$4:$AJ$4,0)))))</f>
        <v>-2398</v>
      </c>
      <c r="T10" s="6">
        <f>IF(ISNA(MATCH(T$2,Inputs!$K$4:$AJ$4,0)),NA(),IF(SUMPRODUCT((Inputs!$A$5:$A$130=$B10)*ISNUMBER(INDEX(Inputs!$K$5:$AJ$130,0,MATCH(T$2,Inputs!$K$4:$AJ$4,0))))+SUMPRODUCT((Inputs!$C$5:$C$130=$B10)*ISNUMBER(INDEX(Inputs!$K$5:$AJ$130,0,MATCH(T$2,Inputs!$K$4:$AJ$4,0))))+SUMPRODUCT((Inputs!$E$5:$E$130=$B10)*ISNUMBER(INDEX(Inputs!$K$5:$AJ$130,0,MATCH(T$2,Inputs!$K$4:$AJ$4,0))))=0,NA(),SUMPRODUCT((Inputs!$A$5:$A$130=$B10)*Inputs!$B$5:$B$130*(((Inputs!$G$5:$G$130="moeda")+(Inputs!$G$5:$G$130="acoes"))*Inputs!$B$1+((Inputs!$G$5:$G$130&lt;&gt;"moeda")*(Inputs!$G$5:$G$130&lt;&gt;"acoes")))*INDEX(Inputs!$K$5:$AJ$130,0,MATCH(T$2,Inputs!$K$4:$AJ$4,0)))+SUMPRODUCT((Inputs!$C$5:$C$130=$B10)*Inputs!$D$5:$D$130*(((Inputs!$G$5:$G$130="moeda")+(Inputs!$G$5:$G$130="acoes"))*Inputs!$B$1+((Inputs!$G$5:$G$130&lt;&gt;"moeda")*(Inputs!$G$5:$G$130&lt;&gt;"acoes")))*INDEX(Inputs!$K$5:$AJ$130,0,MATCH(T$2,Inputs!$K$4:$AJ$4,0)))+SUMPRODUCT((Inputs!$E$5:$E$130=$B10)*Inputs!$F$5:$F$130*(((Inputs!$G$5:$G$130="moeda")+(Inputs!$G$5:$G$130="acoes"))*Inputs!$B$1+((Inputs!$G$5:$G$130&lt;&gt;"moeda")*(Inputs!$G$5:$G$130&lt;&gt;"acoes")))*INDEX(Inputs!$K$5:$AJ$130,0,MATCH(T$2,Inputs!$K$4:$AJ$4,0)))))</f>
        <v>-2615</v>
      </c>
      <c r="U10" s="6">
        <f>IF(ISNA(MATCH(U$2,Inputs!$K$4:$AJ$4,0)),NA(),IF(SUMPRODUCT((Inputs!$A$5:$A$130=$B10)*ISNUMBER(INDEX(Inputs!$K$5:$AJ$130,0,MATCH(U$2,Inputs!$K$4:$AJ$4,0))))+SUMPRODUCT((Inputs!$C$5:$C$130=$B10)*ISNUMBER(INDEX(Inputs!$K$5:$AJ$130,0,MATCH(U$2,Inputs!$K$4:$AJ$4,0))))+SUMPRODUCT((Inputs!$E$5:$E$130=$B10)*ISNUMBER(INDEX(Inputs!$K$5:$AJ$130,0,MATCH(U$2,Inputs!$K$4:$AJ$4,0))))=0,NA(),SUMPRODUCT((Inputs!$A$5:$A$130=$B10)*Inputs!$B$5:$B$130*(((Inputs!$G$5:$G$130="moeda")+(Inputs!$G$5:$G$130="acoes"))*Inputs!$B$1+((Inputs!$G$5:$G$130&lt;&gt;"moeda")*(Inputs!$G$5:$G$130&lt;&gt;"acoes")))*INDEX(Inputs!$K$5:$AJ$130,0,MATCH(U$2,Inputs!$K$4:$AJ$4,0)))+SUMPRODUCT((Inputs!$C$5:$C$130=$B10)*Inputs!$D$5:$D$130*(((Inputs!$G$5:$G$130="moeda")+(Inputs!$G$5:$G$130="acoes"))*Inputs!$B$1+((Inputs!$G$5:$G$130&lt;&gt;"moeda")*(Inputs!$G$5:$G$130&lt;&gt;"acoes")))*INDEX(Inputs!$K$5:$AJ$130,0,MATCH(U$2,Inputs!$K$4:$AJ$4,0)))+SUMPRODUCT((Inputs!$E$5:$E$130=$B10)*Inputs!$F$5:$F$130*(((Inputs!$G$5:$G$130="moeda")+(Inputs!$G$5:$G$130="acoes"))*Inputs!$B$1+((Inputs!$G$5:$G$130&lt;&gt;"moeda")*(Inputs!$G$5:$G$130&lt;&gt;"acoes")))*INDEX(Inputs!$K$5:$AJ$130,0,MATCH(U$2,Inputs!$K$4:$AJ$4,0)))))</f>
        <v>-3007</v>
      </c>
      <c r="V10" s="6">
        <f>IF(ISNA(MATCH(V$2,Inputs!$K$4:$AJ$4,0)),NA(),IF(SUMPRODUCT((Inputs!$A$5:$A$130=$B10)*ISNUMBER(INDEX(Inputs!$K$5:$AJ$130,0,MATCH(V$2,Inputs!$K$4:$AJ$4,0))))+SUMPRODUCT((Inputs!$C$5:$C$130=$B10)*ISNUMBER(INDEX(Inputs!$K$5:$AJ$130,0,MATCH(V$2,Inputs!$K$4:$AJ$4,0))))+SUMPRODUCT((Inputs!$E$5:$E$130=$B10)*ISNUMBER(INDEX(Inputs!$K$5:$AJ$130,0,MATCH(V$2,Inputs!$K$4:$AJ$4,0))))=0,NA(),SUMPRODUCT((Inputs!$A$5:$A$130=$B10)*Inputs!$B$5:$B$130*(((Inputs!$G$5:$G$130="moeda")+(Inputs!$G$5:$G$130="acoes"))*Inputs!$B$1+((Inputs!$G$5:$G$130&lt;&gt;"moeda")*(Inputs!$G$5:$G$130&lt;&gt;"acoes")))*INDEX(Inputs!$K$5:$AJ$130,0,MATCH(V$2,Inputs!$K$4:$AJ$4,0)))+SUMPRODUCT((Inputs!$C$5:$C$130=$B10)*Inputs!$D$5:$D$130*(((Inputs!$G$5:$G$130="moeda")+(Inputs!$G$5:$G$130="acoes"))*Inputs!$B$1+((Inputs!$G$5:$G$130&lt;&gt;"moeda")*(Inputs!$G$5:$G$130&lt;&gt;"acoes")))*INDEX(Inputs!$K$5:$AJ$130,0,MATCH(V$2,Inputs!$K$4:$AJ$4,0)))+SUMPRODUCT((Inputs!$E$5:$E$130=$B10)*Inputs!$F$5:$F$130*(((Inputs!$G$5:$G$130="moeda")+(Inputs!$G$5:$G$130="acoes"))*Inputs!$B$1+((Inputs!$G$5:$G$130&lt;&gt;"moeda")*(Inputs!$G$5:$G$130&lt;&gt;"acoes")))*INDEX(Inputs!$K$5:$AJ$130,0,MATCH(V$2,Inputs!$K$4:$AJ$4,0)))))</f>
        <v>-3126</v>
      </c>
      <c r="W10" s="3">
        <f>SUM(S10:V10)</f>
        <v>-11146</v>
      </c>
      <c r="X10" s="6">
        <f>IF(ISNA(MATCH(X$2,Inputs!$K$4:$AJ$4,0)),NA(),IF(SUMPRODUCT((Inputs!$A$5:$A$130=$B10)*ISNUMBER(INDEX(Inputs!$K$5:$AJ$130,0,MATCH(X$2,Inputs!$K$4:$AJ$4,0))))+SUMPRODUCT((Inputs!$C$5:$C$130=$B10)*ISNUMBER(INDEX(Inputs!$K$5:$AJ$130,0,MATCH(X$2,Inputs!$K$4:$AJ$4,0))))+SUMPRODUCT((Inputs!$E$5:$E$130=$B10)*ISNUMBER(INDEX(Inputs!$K$5:$AJ$130,0,MATCH(X$2,Inputs!$K$4:$AJ$4,0))))=0,NA(),SUMPRODUCT((Inputs!$A$5:$A$130=$B10)*Inputs!$B$5:$B$130*(((Inputs!$G$5:$G$130="moeda")+(Inputs!$G$5:$G$130="acoes"))*Inputs!$B$1+((Inputs!$G$5:$G$130&lt;&gt;"moeda")*(Inputs!$G$5:$G$130&lt;&gt;"acoes")))*INDEX(Inputs!$K$5:$AJ$130,0,MATCH(X$2,Inputs!$K$4:$AJ$4,0)))+SUMPRODUCT((Inputs!$C$5:$C$130=$B10)*Inputs!$D$5:$D$130*(((Inputs!$G$5:$G$130="moeda")+(Inputs!$G$5:$G$130="acoes"))*Inputs!$B$1+((Inputs!$G$5:$G$130&lt;&gt;"moeda")*(Inputs!$G$5:$G$130&lt;&gt;"acoes")))*INDEX(Inputs!$K$5:$AJ$130,0,MATCH(X$2,Inputs!$K$4:$AJ$4,0)))+SUMPRODUCT((Inputs!$E$5:$E$130=$B10)*Inputs!$F$5:$F$130*(((Inputs!$G$5:$G$130="moeda")+(Inputs!$G$5:$G$130="acoes"))*Inputs!$B$1+((Inputs!$G$5:$G$130&lt;&gt;"moeda")*(Inputs!$G$5:$G$130&lt;&gt;"acoes")))*INDEX(Inputs!$K$5:$AJ$130,0,MATCH(X$2,Inputs!$K$4:$AJ$4,0)))))</f>
        <v>-3135</v>
      </c>
      <c r="Y10" s="6">
        <f>IF(ISNA(MATCH(Y$2,Inputs!$K$4:$AJ$4,0)),NA(),IF(SUMPRODUCT((Inputs!$A$5:$A$130=$B10)*ISNUMBER(INDEX(Inputs!$K$5:$AJ$130,0,MATCH(Y$2,Inputs!$K$4:$AJ$4,0))))+SUMPRODUCT((Inputs!$C$5:$C$130=$B10)*ISNUMBER(INDEX(Inputs!$K$5:$AJ$130,0,MATCH(Y$2,Inputs!$K$4:$AJ$4,0))))+SUMPRODUCT((Inputs!$E$5:$E$130=$B10)*ISNUMBER(INDEX(Inputs!$K$5:$AJ$130,0,MATCH(Y$2,Inputs!$K$4:$AJ$4,0))))=0,NA(),SUMPRODUCT((Inputs!$A$5:$A$130=$B10)*Inputs!$B$5:$B$130*(((Inputs!$G$5:$G$130="moeda")+(Inputs!$G$5:$G$130="acoes"))*Inputs!$B$1+((Inputs!$G$5:$G$130&lt;&gt;"moeda")*(Inputs!$G$5:$G$130&lt;&gt;"acoes")))*INDEX(Inputs!$K$5:$AJ$130,0,MATCH(Y$2,Inputs!$K$4:$AJ$4,0)))+SUMPRODUCT((Inputs!$C$5:$C$130=$B10)*Inputs!$D$5:$D$130*(((Inputs!$G$5:$G$130="moeda")+(Inputs!$G$5:$G$130="acoes"))*Inputs!$B$1+((Inputs!$G$5:$G$130&lt;&gt;"moeda")*(Inputs!$G$5:$G$130&lt;&gt;"acoes")))*INDEX(Inputs!$K$5:$AJ$130,0,MATCH(Y$2,Inputs!$K$4:$AJ$4,0)))+SUMPRODUCT((Inputs!$E$5:$E$130=$B10)*Inputs!$F$5:$F$130*(((Inputs!$G$5:$G$130="moeda")+(Inputs!$G$5:$G$130="acoes"))*Inputs!$B$1+((Inputs!$G$5:$G$130&lt;&gt;"moeda")*(Inputs!$G$5:$G$130&lt;&gt;"acoes")))*INDEX(Inputs!$K$5:$AJ$130,0,MATCH(Y$2,Inputs!$K$4:$AJ$4,0)))))</f>
        <v>-4784</v>
      </c>
      <c r="Z10" s="6">
        <f>IF(ISNA(MATCH(Z$2,Inputs!$K$4:$AJ$4,0)),NA(),IF(SUMPRODUCT((Inputs!$A$5:$A$130=$B10)*ISNUMBER(INDEX(Inputs!$K$5:$AJ$130,0,MATCH(Z$2,Inputs!$K$4:$AJ$4,0))))+SUMPRODUCT((Inputs!$C$5:$C$130=$B10)*ISNUMBER(INDEX(Inputs!$K$5:$AJ$130,0,MATCH(Z$2,Inputs!$K$4:$AJ$4,0))))+SUMPRODUCT((Inputs!$E$5:$E$130=$B10)*ISNUMBER(INDEX(Inputs!$K$5:$AJ$130,0,MATCH(Z$2,Inputs!$K$4:$AJ$4,0))))=0,NA(),SUMPRODUCT((Inputs!$A$5:$A$130=$B10)*Inputs!$B$5:$B$130*(((Inputs!$G$5:$G$130="moeda")+(Inputs!$G$5:$G$130="acoes"))*Inputs!$B$1+((Inputs!$G$5:$G$130&lt;&gt;"moeda")*(Inputs!$G$5:$G$130&lt;&gt;"acoes")))*INDEX(Inputs!$K$5:$AJ$130,0,MATCH(Z$2,Inputs!$K$4:$AJ$4,0)))+SUMPRODUCT((Inputs!$C$5:$C$130=$B10)*Inputs!$D$5:$D$130*(((Inputs!$G$5:$G$130="moeda")+(Inputs!$G$5:$G$130="acoes"))*Inputs!$B$1+((Inputs!$G$5:$G$130&lt;&gt;"moeda")*(Inputs!$G$5:$G$130&lt;&gt;"acoes")))*INDEX(Inputs!$K$5:$AJ$130,0,MATCH(Z$2,Inputs!$K$4:$AJ$4,0)))+SUMPRODUCT((Inputs!$E$5:$E$130=$B10)*Inputs!$F$5:$F$130*(((Inputs!$G$5:$G$130="moeda")+(Inputs!$G$5:$G$130="acoes"))*Inputs!$B$1+((Inputs!$G$5:$G$130&lt;&gt;"moeda")*(Inputs!$G$5:$G$130&lt;&gt;"acoes")))*INDEX(Inputs!$K$5:$AJ$130,0,MATCH(Z$2,Inputs!$K$4:$AJ$4,0)))))</f>
        <v>-6026</v>
      </c>
      <c r="AA10" s="6">
        <f>IF(ISNA(MATCH(AA$2,Inputs!$K$4:$AJ$4,0)),NA(),IF(SUMPRODUCT((Inputs!$A$5:$A$130=$B10)*ISNUMBER(INDEX(Inputs!$K$5:$AJ$130,0,MATCH(AA$2,Inputs!$K$4:$AJ$4,0))))+SUMPRODUCT((Inputs!$C$5:$C$130=$B10)*ISNUMBER(INDEX(Inputs!$K$5:$AJ$130,0,MATCH(AA$2,Inputs!$K$4:$AJ$4,0))))+SUMPRODUCT((Inputs!$E$5:$E$130=$B10)*ISNUMBER(INDEX(Inputs!$K$5:$AJ$130,0,MATCH(AA$2,Inputs!$K$4:$AJ$4,0))))=0,NA(),SUMPRODUCT((Inputs!$A$5:$A$130=$B10)*Inputs!$B$5:$B$130*(((Inputs!$G$5:$G$130="moeda")+(Inputs!$G$5:$G$130="acoes"))*Inputs!$B$1+((Inputs!$G$5:$G$130&lt;&gt;"moeda")*(Inputs!$G$5:$G$130&lt;&gt;"acoes")))*INDEX(Inputs!$K$5:$AJ$130,0,MATCH(AA$2,Inputs!$K$4:$AJ$4,0)))+SUMPRODUCT((Inputs!$C$5:$C$130=$B10)*Inputs!$D$5:$D$130*(((Inputs!$G$5:$G$130="moeda")+(Inputs!$G$5:$G$130="acoes"))*Inputs!$B$1+((Inputs!$G$5:$G$130&lt;&gt;"moeda")*(Inputs!$G$5:$G$130&lt;&gt;"acoes")))*INDEX(Inputs!$K$5:$AJ$130,0,MATCH(AA$2,Inputs!$K$4:$AJ$4,0)))+SUMPRODUCT((Inputs!$E$5:$E$130=$B10)*Inputs!$F$5:$F$130*(((Inputs!$G$5:$G$130="moeda")+(Inputs!$G$5:$G$130="acoes"))*Inputs!$B$1+((Inputs!$G$5:$G$130&lt;&gt;"moeda")*(Inputs!$G$5:$G$130&lt;&gt;"acoes")))*INDEX(Inputs!$K$5:$AJ$130,0,MATCH(AA$2,Inputs!$K$4:$AJ$4,0)))))</f>
        <v>-7438</v>
      </c>
      <c r="AB10" s="3">
        <f>SUM(X10:AA10)</f>
        <v>-21383</v>
      </c>
      <c r="AC10" s="6">
        <f>IF(ISNA(MATCH(AC$2,Inputs!$K$4:$AJ$4,0)),NA(),IF(SUMPRODUCT((Inputs!$A$5:$A$130=$B10)*ISNUMBER(INDEX(Inputs!$K$5:$AJ$130,0,MATCH(AC$2,Inputs!$K$4:$AJ$4,0))))+SUMPRODUCT((Inputs!$C$5:$C$130=$B10)*ISNUMBER(INDEX(Inputs!$K$5:$AJ$130,0,MATCH(AC$2,Inputs!$K$4:$AJ$4,0))))+SUMPRODUCT((Inputs!$E$5:$E$130=$B10)*ISNUMBER(INDEX(Inputs!$K$5:$AJ$130,0,MATCH(AC$2,Inputs!$K$4:$AJ$4,0))))=0,NA(),SUMPRODUCT((Inputs!$A$5:$A$130=$B10)*Inputs!$B$5:$B$130*(((Inputs!$G$5:$G$130="moeda")+(Inputs!$G$5:$G$130="acoes"))*Inputs!$B$1+((Inputs!$G$5:$G$130&lt;&gt;"moeda")*(Inputs!$G$5:$G$130&lt;&gt;"acoes")))*INDEX(Inputs!$K$5:$AJ$130,0,MATCH(AC$2,Inputs!$K$4:$AJ$4,0)))+SUMPRODUCT((Inputs!$C$5:$C$130=$B10)*Inputs!$D$5:$D$130*(((Inputs!$G$5:$G$130="moeda")+(Inputs!$G$5:$G$130="acoes"))*Inputs!$B$1+((Inputs!$G$5:$G$130&lt;&gt;"moeda")*(Inputs!$G$5:$G$130&lt;&gt;"acoes")))*INDEX(Inputs!$K$5:$AJ$130,0,MATCH(AC$2,Inputs!$K$4:$AJ$4,0)))+SUMPRODUCT((Inputs!$E$5:$E$130=$B10)*Inputs!$F$5:$F$130*(((Inputs!$G$5:$G$130="moeda")+(Inputs!$G$5:$G$130="acoes"))*Inputs!$B$1+((Inputs!$G$5:$G$130&lt;&gt;"moeda")*(Inputs!$G$5:$G$130&lt;&gt;"acoes")))*INDEX(Inputs!$K$5:$AJ$130,0,MATCH(AC$2,Inputs!$K$4:$AJ$4,0)))))</f>
        <v>-11582</v>
      </c>
      <c r="AD10" s="6">
        <f>IF(ISNA(MATCH(AD$2,Inputs!$K$4:$AJ$4,0)),NA(),IF(SUMPRODUCT((Inputs!$A$5:$A$130=$B10)*ISNUMBER(INDEX(Inputs!$K$5:$AJ$130,0,MATCH(AD$2,Inputs!$K$4:$AJ$4,0))))+SUMPRODUCT((Inputs!$C$5:$C$130=$B10)*ISNUMBER(INDEX(Inputs!$K$5:$AJ$130,0,MATCH(AD$2,Inputs!$K$4:$AJ$4,0))))+SUMPRODUCT((Inputs!$E$5:$E$130=$B10)*ISNUMBER(INDEX(Inputs!$K$5:$AJ$130,0,MATCH(AD$2,Inputs!$K$4:$AJ$4,0))))=0,NA(),SUMPRODUCT((Inputs!$A$5:$A$130=$B10)*Inputs!$B$5:$B$130*(((Inputs!$G$5:$G$130="moeda")+(Inputs!$G$5:$G$130="acoes"))*Inputs!$B$1+((Inputs!$G$5:$G$130&lt;&gt;"moeda")*(Inputs!$G$5:$G$130&lt;&gt;"acoes")))*INDEX(Inputs!$K$5:$AJ$130,0,MATCH(AD$2,Inputs!$K$4:$AJ$4,0)))+SUMPRODUCT((Inputs!$C$5:$C$130=$B10)*Inputs!$D$5:$D$130*(((Inputs!$G$5:$G$130="moeda")+(Inputs!$G$5:$G$130="acoes"))*Inputs!$B$1+((Inputs!$G$5:$G$130&lt;&gt;"moeda")*(Inputs!$G$5:$G$130&lt;&gt;"acoes")))*INDEX(Inputs!$K$5:$AJ$130,0,MATCH(AD$2,Inputs!$K$4:$AJ$4,0)))+SUMPRODUCT((Inputs!$E$5:$E$130=$B10)*Inputs!$F$5:$F$130*(((Inputs!$G$5:$G$130="moeda")+(Inputs!$G$5:$G$130="acoes"))*Inputs!$B$1+((Inputs!$G$5:$G$130&lt;&gt;"moeda")*(Inputs!$G$5:$G$130&lt;&gt;"acoes")))*INDEX(Inputs!$K$5:$AJ$130,0,MATCH(AD$2,Inputs!$K$4:$AJ$4,0)))))</f>
        <v>-11819</v>
      </c>
      <c r="AE10" s="6" t="e">
        <f>IF(ISNA(MATCH(AE$2,Inputs!$K$4:$AJ$4,0)),NA(),IF(SUMPRODUCT((Inputs!$A$5:$A$130=$B10)*ISNUMBER(INDEX(Inputs!$K$5:$AJ$130,0,MATCH(AE$2,Inputs!$K$4:$AJ$4,0))))+SUMPRODUCT((Inputs!$C$5:$C$130=$B10)*ISNUMBER(INDEX(Inputs!$K$5:$AJ$130,0,MATCH(AE$2,Inputs!$K$4:$AJ$4,0))))+SUMPRODUCT((Inputs!$E$5:$E$130=$B10)*ISNUMBER(INDEX(Inputs!$K$5:$AJ$130,0,MATCH(AE$2,Inputs!$K$4:$AJ$4,0))))=0,NA(),SUMPRODUCT((Inputs!$A$5:$A$130=$B10)*Inputs!$B$5:$B$130*(((Inputs!$G$5:$G$130="moeda")+(Inputs!$G$5:$G$130="acoes"))*Inputs!$B$1+((Inputs!$G$5:$G$130&lt;&gt;"moeda")*(Inputs!$G$5:$G$130&lt;&gt;"acoes")))*INDEX(Inputs!$K$5:$AJ$130,0,MATCH(AE$2,Inputs!$K$4:$AJ$4,0)))+SUMPRODUCT((Inputs!$C$5:$C$130=$B10)*Inputs!$D$5:$D$130*(((Inputs!$G$5:$G$130="moeda")+(Inputs!$G$5:$G$130="acoes"))*Inputs!$B$1+((Inputs!$G$5:$G$130&lt;&gt;"moeda")*(Inputs!$G$5:$G$130&lt;&gt;"acoes")))*INDEX(Inputs!$K$5:$AJ$130,0,MATCH(AE$2,Inputs!$K$4:$AJ$4,0)))+SUMPRODUCT((Inputs!$E$5:$E$130=$B10)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0" s="6" t="e">
        <f>IF(ISNA(MATCH(AF$2,Inputs!$K$4:$AJ$4,0)),NA(),IF(SUMPRODUCT((Inputs!$A$5:$A$130=$B10)*ISNUMBER(INDEX(Inputs!$K$5:$AJ$130,0,MATCH(AF$2,Inputs!$K$4:$AJ$4,0))))+SUMPRODUCT((Inputs!$C$5:$C$130=$B10)*ISNUMBER(INDEX(Inputs!$K$5:$AJ$130,0,MATCH(AF$2,Inputs!$K$4:$AJ$4,0))))+SUMPRODUCT((Inputs!$E$5:$E$130=$B10)*ISNUMBER(INDEX(Inputs!$K$5:$AJ$130,0,MATCH(AF$2,Inputs!$K$4:$AJ$4,0))))=0,NA(),SUMPRODUCT((Inputs!$A$5:$A$130=$B10)*Inputs!$B$5:$B$130*(((Inputs!$G$5:$G$130="moeda")+(Inputs!$G$5:$G$130="acoes"))*Inputs!$B$1+((Inputs!$G$5:$G$130&lt;&gt;"moeda")*(Inputs!$G$5:$G$130&lt;&gt;"acoes")))*INDEX(Inputs!$K$5:$AJ$130,0,MATCH(AF$2,Inputs!$K$4:$AJ$4,0)))+SUMPRODUCT((Inputs!$C$5:$C$130=$B10)*Inputs!$D$5:$D$130*(((Inputs!$G$5:$G$130="moeda")+(Inputs!$G$5:$G$130="acoes"))*Inputs!$B$1+((Inputs!$G$5:$G$130&lt;&gt;"moeda")*(Inputs!$G$5:$G$130&lt;&gt;"acoes")))*INDEX(Inputs!$K$5:$AJ$130,0,MATCH(AF$2,Inputs!$K$4:$AJ$4,0)))+SUMPRODUCT((Inputs!$E$5:$E$130=$B10)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0" s="3" t="e">
        <f>SUM(AC10:AF10)</f>
        <v>#N/A</v>
      </c>
      <c r="AH10" s="6">
        <f>IF(ISNA(MATCH(AH$2,Inputs!$K$4:$AJ$4,0)),NA(),IF(SUMPRODUCT((Inputs!$A$5:$A$130=$B10)*ISNUMBER(INDEX(Inputs!$K$5:$AJ$130,0,MATCH(AH$2,Inputs!$K$4:$AJ$4,0))))+SUMPRODUCT((Inputs!$C$5:$C$130=$B10)*ISNUMBER(INDEX(Inputs!$K$5:$AJ$130,0,MATCH(AH$2,Inputs!$K$4:$AJ$4,0))))+SUMPRODUCT((Inputs!$E$5:$E$130=$B10)*ISNUMBER(INDEX(Inputs!$K$5:$AJ$130,0,MATCH(AH$2,Inputs!$K$4:$AJ$4,0))))=0,NA(),SUMPRODUCT((Inputs!$A$5:$A$130=$B10)*Inputs!$B$5:$B$130*(((Inputs!$G$5:$G$130="moeda")+(Inputs!$G$5:$G$130="acoes"))*Inputs!$B$1+((Inputs!$G$5:$G$130&lt;&gt;"moeda")*(Inputs!$G$5:$G$130&lt;&gt;"acoes")))*INDEX(Inputs!$K$5:$AJ$130,0,MATCH(AH$2,Inputs!$K$4:$AJ$4,0)))+SUMPRODUCT((Inputs!$C$5:$C$130=$B10)*Inputs!$D$5:$D$130*(((Inputs!$G$5:$G$130="moeda")+(Inputs!$G$5:$G$130="acoes"))*Inputs!$B$1+((Inputs!$G$5:$G$130&lt;&gt;"moeda")*(Inputs!$G$5:$G$130&lt;&gt;"acoes")))*INDEX(Inputs!$K$5:$AJ$130,0,MATCH(AH$2,Inputs!$K$4:$AJ$4,0)))+SUMPRODUCT((Inputs!$E$5:$E$130=$B10)*Inputs!$F$5:$F$130*(((Inputs!$G$5:$G$130="moeda")+(Inputs!$G$5:$G$130="acoes"))*Inputs!$B$1+((Inputs!$G$5:$G$130&lt;&gt;"moeda")*(Inputs!$G$5:$G$130&lt;&gt;"acoes")))*INDEX(Inputs!$K$5:$AJ$130,0,MATCH(AH$2,Inputs!$K$4:$AJ$4,0)))))</f>
        <v>-64</v>
      </c>
      <c r="AI10" s="6">
        <f>IF(ISNA(MATCH(AI$2,Inputs!$K$4:$AJ$4,0)),NA(),IF(SUMPRODUCT((Inputs!$A$5:$A$130=$B10)*ISNUMBER(INDEX(Inputs!$K$5:$AJ$130,0,MATCH(AI$2,Inputs!$K$4:$AJ$4,0))))+SUMPRODUCT((Inputs!$C$5:$C$130=$B10)*ISNUMBER(INDEX(Inputs!$K$5:$AJ$130,0,MATCH(AI$2,Inputs!$K$4:$AJ$4,0))))+SUMPRODUCT((Inputs!$E$5:$E$130=$B10)*ISNUMBER(INDEX(Inputs!$K$5:$AJ$130,0,MATCH(AI$2,Inputs!$K$4:$AJ$4,0))))=0,NA(),SUMPRODUCT((Inputs!$A$5:$A$130=$B10)*Inputs!$B$5:$B$130*(((Inputs!$G$5:$G$130="moeda")+(Inputs!$G$5:$G$130="acoes"))*Inputs!$B$1+((Inputs!$G$5:$G$130&lt;&gt;"moeda")*(Inputs!$G$5:$G$130&lt;&gt;"acoes")))*INDEX(Inputs!$K$5:$AJ$130,0,MATCH(AI$2,Inputs!$K$4:$AJ$4,0)))+SUMPRODUCT((Inputs!$C$5:$C$130=$B10)*Inputs!$D$5:$D$130*(((Inputs!$G$5:$G$130="moeda")+(Inputs!$G$5:$G$130="acoes"))*Inputs!$B$1+((Inputs!$G$5:$G$130&lt;&gt;"moeda")*(Inputs!$G$5:$G$130&lt;&gt;"acoes")))*INDEX(Inputs!$K$5:$AJ$130,0,MATCH(AI$2,Inputs!$K$4:$AJ$4,0)))+SUMPRODUCT((Inputs!$E$5:$E$130=$B10)*Inputs!$F$5:$F$130*(((Inputs!$G$5:$G$130="moeda")+(Inputs!$G$5:$G$130="acoes"))*Inputs!$B$1+((Inputs!$G$5:$G$130&lt;&gt;"moeda")*(Inputs!$G$5:$G$130&lt;&gt;"acoes")))*INDEX(Inputs!$K$5:$AJ$130,0,MATCH(AI$2,Inputs!$K$4:$AJ$4,0)))))</f>
        <v>13</v>
      </c>
      <c r="AJ10" s="6">
        <f>IF(ISNA(MATCH(AJ$2,Inputs!$K$4:$AJ$4,0)),NA(),IF(SUMPRODUCT((Inputs!$A$5:$A$130=$B10)*ISNUMBER(INDEX(Inputs!$K$5:$AJ$130,0,MATCH(AJ$2,Inputs!$K$4:$AJ$4,0))))+SUMPRODUCT((Inputs!$C$5:$C$130=$B10)*ISNUMBER(INDEX(Inputs!$K$5:$AJ$130,0,MATCH(AJ$2,Inputs!$K$4:$AJ$4,0))))+SUMPRODUCT((Inputs!$E$5:$E$130=$B10)*ISNUMBER(INDEX(Inputs!$K$5:$AJ$130,0,MATCH(AJ$2,Inputs!$K$4:$AJ$4,0))))=0,NA(),SUMPRODUCT((Inputs!$A$5:$A$130=$B10)*Inputs!$B$5:$B$130*(((Inputs!$G$5:$G$130="moeda")+(Inputs!$G$5:$G$130="acoes"))*Inputs!$B$1+((Inputs!$G$5:$G$130&lt;&gt;"moeda")*(Inputs!$G$5:$G$130&lt;&gt;"acoes")))*INDEX(Inputs!$K$5:$AJ$130,0,MATCH(AJ$2,Inputs!$K$4:$AJ$4,0)))+SUMPRODUCT((Inputs!$C$5:$C$130=$B10)*Inputs!$D$5:$D$130*(((Inputs!$G$5:$G$130="moeda")+(Inputs!$G$5:$G$130="acoes"))*Inputs!$B$1+((Inputs!$G$5:$G$130&lt;&gt;"moeda")*(Inputs!$G$5:$G$130&lt;&gt;"acoes")))*INDEX(Inputs!$K$5:$AJ$130,0,MATCH(AJ$2,Inputs!$K$4:$AJ$4,0)))+SUMPRODUCT((Inputs!$E$5:$E$130=$B10)*Inputs!$F$5:$F$130*(((Inputs!$G$5:$G$130="moeda")+(Inputs!$G$5:$G$130="acoes"))*Inputs!$B$1+((Inputs!$G$5:$G$130&lt;&gt;"moeda")*(Inputs!$G$5:$G$130&lt;&gt;"acoes")))*INDEX(Inputs!$K$5:$AJ$130,0,MATCH(AJ$2,Inputs!$K$4:$AJ$4,0)))))</f>
        <v>-12</v>
      </c>
      <c r="AK10" s="6">
        <f>IF(ISNA(MATCH(AK$2,Inputs!$K$4:$AJ$4,0)),NA(),IF(SUMPRODUCT((Inputs!$A$5:$A$130=$B10)*ISNUMBER(INDEX(Inputs!$K$5:$AJ$130,0,MATCH(AK$2,Inputs!$K$4:$AJ$4,0))))+SUMPRODUCT((Inputs!$C$5:$C$130=$B10)*ISNUMBER(INDEX(Inputs!$K$5:$AJ$130,0,MATCH(AK$2,Inputs!$K$4:$AJ$4,0))))+SUMPRODUCT((Inputs!$E$5:$E$130=$B10)*ISNUMBER(INDEX(Inputs!$K$5:$AJ$130,0,MATCH(AK$2,Inputs!$K$4:$AJ$4,0))))=0,NA(),SUMPRODUCT((Inputs!$A$5:$A$130=$B10)*Inputs!$B$5:$B$130*(((Inputs!$G$5:$G$130="moeda")+(Inputs!$G$5:$G$130="acoes"))*Inputs!$B$1+((Inputs!$G$5:$G$130&lt;&gt;"moeda")*(Inputs!$G$5:$G$130&lt;&gt;"acoes")))*INDEX(Inputs!$K$5:$AJ$130,0,MATCH(AK$2,Inputs!$K$4:$AJ$4,0)))+SUMPRODUCT((Inputs!$C$5:$C$130=$B10)*Inputs!$D$5:$D$130*(((Inputs!$G$5:$G$130="moeda")+(Inputs!$G$5:$G$130="acoes"))*Inputs!$B$1+((Inputs!$G$5:$G$130&lt;&gt;"moeda")*(Inputs!$G$5:$G$130&lt;&gt;"acoes")))*INDEX(Inputs!$K$5:$AJ$130,0,MATCH(AK$2,Inputs!$K$4:$AJ$4,0)))+SUMPRODUCT((Inputs!$E$5:$E$130=$B10)*Inputs!$F$5:$F$130*(((Inputs!$G$5:$G$130="moeda")+(Inputs!$G$5:$G$130="acoes"))*Inputs!$B$1+((Inputs!$G$5:$G$130&lt;&gt;"moeda")*(Inputs!$G$5:$G$130&lt;&gt;"acoes")))*INDEX(Inputs!$K$5:$AJ$130,0,MATCH(AK$2,Inputs!$K$4:$AJ$4,0)))))</f>
        <v>-14</v>
      </c>
      <c r="AL10" s="3">
        <f>SUM(AH10:AK10)</f>
        <v>-77</v>
      </c>
    </row>
    <row r="11">
      <c r="B11" s="46" t="n">
        <v>8</v>
      </c>
      <c r="C11" s="26" t="inlineStr">
        <is>
          <t>Equity in Income of Affiliates, after tax (enter as +)</t>
        </is>
      </c>
      <c r="D11" s="6" t="e">
        <f>IF(ISNA(MATCH(D$2,Inputs!$K$4:$AJ$4,0)),NA(),IF(SUMPRODUCT((Inputs!$A$5:$A$130=$B11)*ISNUMBER(INDEX(Inputs!$K$5:$AJ$130,0,MATCH(D$2,Inputs!$K$4:$AJ$4,0))))+SUMPRODUCT((Inputs!$C$5:$C$130=$B11)*ISNUMBER(INDEX(Inputs!$K$5:$AJ$130,0,MATCH(D$2,Inputs!$K$4:$AJ$4,0))))+SUMPRODUCT((Inputs!$E$5:$E$130=$B11)*ISNUMBER(INDEX(Inputs!$K$5:$AJ$130,0,MATCH(D$2,Inputs!$K$4:$AJ$4,0))))=0,NA(),SUMPRODUCT((Inputs!$A$5:$A$130=$B11)*Inputs!$B$5:$B$130*(((Inputs!$G$5:$G$130="moeda")+(Inputs!$G$5:$G$130="acoes"))*Inputs!$B$1+((Inputs!$G$5:$G$130&lt;&gt;"moeda")*(Inputs!$G$5:$G$130&lt;&gt;"acoes")))*INDEX(Inputs!$K$5:$AJ$130,0,MATCH(D$2,Inputs!$K$4:$AJ$4,0)))+SUMPRODUCT((Inputs!$C$5:$C$130=$B11)*Inputs!$D$5:$D$130*(((Inputs!$G$5:$G$130="moeda")+(Inputs!$G$5:$G$130="acoes"))*Inputs!$B$1+((Inputs!$G$5:$G$130&lt;&gt;"moeda")*(Inputs!$G$5:$G$130&lt;&gt;"acoes")))*INDEX(Inputs!$K$5:$AJ$130,0,MATCH(D$2,Inputs!$K$4:$AJ$4,0)))+SUMPRODUCT((Inputs!$E$5:$E$130=$B11)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11" s="6" t="e">
        <f>IF(ISNA(MATCH(E$2,Inputs!$K$4:$AJ$4,0)),NA(),IF(SUMPRODUCT((Inputs!$A$5:$A$130=$B11)*ISNUMBER(INDEX(Inputs!$K$5:$AJ$130,0,MATCH(E$2,Inputs!$K$4:$AJ$4,0))))+SUMPRODUCT((Inputs!$C$5:$C$130=$B11)*ISNUMBER(INDEX(Inputs!$K$5:$AJ$130,0,MATCH(E$2,Inputs!$K$4:$AJ$4,0))))+SUMPRODUCT((Inputs!$E$5:$E$130=$B11)*ISNUMBER(INDEX(Inputs!$K$5:$AJ$130,0,MATCH(E$2,Inputs!$K$4:$AJ$4,0))))=0,NA(),SUMPRODUCT((Inputs!$A$5:$A$130=$B11)*Inputs!$B$5:$B$130*(((Inputs!$G$5:$G$130="moeda")+(Inputs!$G$5:$G$130="acoes"))*Inputs!$B$1+((Inputs!$G$5:$G$130&lt;&gt;"moeda")*(Inputs!$G$5:$G$130&lt;&gt;"acoes")))*INDEX(Inputs!$K$5:$AJ$130,0,MATCH(E$2,Inputs!$K$4:$AJ$4,0)))+SUMPRODUCT((Inputs!$C$5:$C$130=$B11)*Inputs!$D$5:$D$130*(((Inputs!$G$5:$G$130="moeda")+(Inputs!$G$5:$G$130="acoes"))*Inputs!$B$1+((Inputs!$G$5:$G$130&lt;&gt;"moeda")*(Inputs!$G$5:$G$130&lt;&gt;"acoes")))*INDEX(Inputs!$K$5:$AJ$130,0,MATCH(E$2,Inputs!$K$4:$AJ$4,0)))+SUMPRODUCT((Inputs!$E$5:$E$130=$B11)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11" s="6" t="e">
        <f>IF(ISNA(MATCH(F$2,Inputs!$K$4:$AJ$4,0)),NA(),IF(SUMPRODUCT((Inputs!$A$5:$A$130=$B11)*ISNUMBER(INDEX(Inputs!$K$5:$AJ$130,0,MATCH(F$2,Inputs!$K$4:$AJ$4,0))))+SUMPRODUCT((Inputs!$C$5:$C$130=$B11)*ISNUMBER(INDEX(Inputs!$K$5:$AJ$130,0,MATCH(F$2,Inputs!$K$4:$AJ$4,0))))+SUMPRODUCT((Inputs!$E$5:$E$130=$B11)*ISNUMBER(INDEX(Inputs!$K$5:$AJ$130,0,MATCH(F$2,Inputs!$K$4:$AJ$4,0))))=0,NA(),SUMPRODUCT((Inputs!$A$5:$A$130=$B11)*Inputs!$B$5:$B$130*(((Inputs!$G$5:$G$130="moeda")+(Inputs!$G$5:$G$130="acoes"))*Inputs!$B$1+((Inputs!$G$5:$G$130&lt;&gt;"moeda")*(Inputs!$G$5:$G$130&lt;&gt;"acoes")))*INDEX(Inputs!$K$5:$AJ$130,0,MATCH(F$2,Inputs!$K$4:$AJ$4,0)))+SUMPRODUCT((Inputs!$C$5:$C$130=$B11)*Inputs!$D$5:$D$130*(((Inputs!$G$5:$G$130="moeda")+(Inputs!$G$5:$G$130="acoes"))*Inputs!$B$1+((Inputs!$G$5:$G$130&lt;&gt;"moeda")*(Inputs!$G$5:$G$130&lt;&gt;"acoes")))*INDEX(Inputs!$K$5:$AJ$130,0,MATCH(F$2,Inputs!$K$4:$AJ$4,0)))+SUMPRODUCT((Inputs!$E$5:$E$130=$B11)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11" s="6" t="e">
        <f>IF(ISNA(MATCH(G$2,Inputs!$K$4:$AJ$4,0)),NA(),IF(SUMPRODUCT((Inputs!$A$5:$A$130=$B11)*ISNUMBER(INDEX(Inputs!$K$5:$AJ$130,0,MATCH(G$2,Inputs!$K$4:$AJ$4,0))))+SUMPRODUCT((Inputs!$C$5:$C$130=$B11)*ISNUMBER(INDEX(Inputs!$K$5:$AJ$130,0,MATCH(G$2,Inputs!$K$4:$AJ$4,0))))+SUMPRODUCT((Inputs!$E$5:$E$130=$B11)*ISNUMBER(INDEX(Inputs!$K$5:$AJ$130,0,MATCH(G$2,Inputs!$K$4:$AJ$4,0))))=0,NA(),SUMPRODUCT((Inputs!$A$5:$A$130=$B11)*Inputs!$B$5:$B$130*(((Inputs!$G$5:$G$130="moeda")+(Inputs!$G$5:$G$130="acoes"))*Inputs!$B$1+((Inputs!$G$5:$G$130&lt;&gt;"moeda")*(Inputs!$G$5:$G$130&lt;&gt;"acoes")))*INDEX(Inputs!$K$5:$AJ$130,0,MATCH(G$2,Inputs!$K$4:$AJ$4,0)))+SUMPRODUCT((Inputs!$C$5:$C$130=$B11)*Inputs!$D$5:$D$130*(((Inputs!$G$5:$G$130="moeda")+(Inputs!$G$5:$G$130="acoes"))*Inputs!$B$1+((Inputs!$G$5:$G$130&lt;&gt;"moeda")*(Inputs!$G$5:$G$130&lt;&gt;"acoes")))*INDEX(Inputs!$K$5:$AJ$130,0,MATCH(G$2,Inputs!$K$4:$AJ$4,0)))+SUMPRODUCT((Inputs!$E$5:$E$130=$B11)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11" s="3" t="e">
        <f>SUM(D11:G11)</f>
        <v>#N/A</v>
      </c>
      <c r="I11" s="6" t="e">
        <f>IF(ISNA(MATCH(I$2,Inputs!$K$4:$AJ$4,0)),NA(),IF(SUMPRODUCT((Inputs!$A$5:$A$130=$B11)*ISNUMBER(INDEX(Inputs!$K$5:$AJ$130,0,MATCH(I$2,Inputs!$K$4:$AJ$4,0))))+SUMPRODUCT((Inputs!$C$5:$C$130=$B11)*ISNUMBER(INDEX(Inputs!$K$5:$AJ$130,0,MATCH(I$2,Inputs!$K$4:$AJ$4,0))))+SUMPRODUCT((Inputs!$E$5:$E$130=$B11)*ISNUMBER(INDEX(Inputs!$K$5:$AJ$130,0,MATCH(I$2,Inputs!$K$4:$AJ$4,0))))=0,NA(),SUMPRODUCT((Inputs!$A$5:$A$130=$B11)*Inputs!$B$5:$B$130*(((Inputs!$G$5:$G$130="moeda")+(Inputs!$G$5:$G$130="acoes"))*Inputs!$B$1+((Inputs!$G$5:$G$130&lt;&gt;"moeda")*(Inputs!$G$5:$G$130&lt;&gt;"acoes")))*INDEX(Inputs!$K$5:$AJ$130,0,MATCH(I$2,Inputs!$K$4:$AJ$4,0)))+SUMPRODUCT((Inputs!$C$5:$C$130=$B11)*Inputs!$D$5:$D$130*(((Inputs!$G$5:$G$130="moeda")+(Inputs!$G$5:$G$130="acoes"))*Inputs!$B$1+((Inputs!$G$5:$G$130&lt;&gt;"moeda")*(Inputs!$G$5:$G$130&lt;&gt;"acoes")))*INDEX(Inputs!$K$5:$AJ$130,0,MATCH(I$2,Inputs!$K$4:$AJ$4,0)))+SUMPRODUCT((Inputs!$E$5:$E$130=$B11)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11" s="6" t="e">
        <f>IF(ISNA(MATCH(J$2,Inputs!$K$4:$AJ$4,0)),NA(),IF(SUMPRODUCT((Inputs!$A$5:$A$130=$B11)*ISNUMBER(INDEX(Inputs!$K$5:$AJ$130,0,MATCH(J$2,Inputs!$K$4:$AJ$4,0))))+SUMPRODUCT((Inputs!$C$5:$C$130=$B11)*ISNUMBER(INDEX(Inputs!$K$5:$AJ$130,0,MATCH(J$2,Inputs!$K$4:$AJ$4,0))))+SUMPRODUCT((Inputs!$E$5:$E$130=$B11)*ISNUMBER(INDEX(Inputs!$K$5:$AJ$130,0,MATCH(J$2,Inputs!$K$4:$AJ$4,0))))=0,NA(),SUMPRODUCT((Inputs!$A$5:$A$130=$B11)*Inputs!$B$5:$B$130*(((Inputs!$G$5:$G$130="moeda")+(Inputs!$G$5:$G$130="acoes"))*Inputs!$B$1+((Inputs!$G$5:$G$130&lt;&gt;"moeda")*(Inputs!$G$5:$G$130&lt;&gt;"acoes")))*INDEX(Inputs!$K$5:$AJ$130,0,MATCH(J$2,Inputs!$K$4:$AJ$4,0)))+SUMPRODUCT((Inputs!$C$5:$C$130=$B11)*Inputs!$D$5:$D$130*(((Inputs!$G$5:$G$130="moeda")+(Inputs!$G$5:$G$130="acoes"))*Inputs!$B$1+((Inputs!$G$5:$G$130&lt;&gt;"moeda")*(Inputs!$G$5:$G$130&lt;&gt;"acoes")))*INDEX(Inputs!$K$5:$AJ$130,0,MATCH(J$2,Inputs!$K$4:$AJ$4,0)))+SUMPRODUCT((Inputs!$E$5:$E$130=$B11)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11" s="6" t="e">
        <f>IF(ISNA(MATCH(K$2,Inputs!$K$4:$AJ$4,0)),NA(),IF(SUMPRODUCT((Inputs!$A$5:$A$130=$B11)*ISNUMBER(INDEX(Inputs!$K$5:$AJ$130,0,MATCH(K$2,Inputs!$K$4:$AJ$4,0))))+SUMPRODUCT((Inputs!$C$5:$C$130=$B11)*ISNUMBER(INDEX(Inputs!$K$5:$AJ$130,0,MATCH(K$2,Inputs!$K$4:$AJ$4,0))))+SUMPRODUCT((Inputs!$E$5:$E$130=$B11)*ISNUMBER(INDEX(Inputs!$K$5:$AJ$130,0,MATCH(K$2,Inputs!$K$4:$AJ$4,0))))=0,NA(),SUMPRODUCT((Inputs!$A$5:$A$130=$B11)*Inputs!$B$5:$B$130*(((Inputs!$G$5:$G$130="moeda")+(Inputs!$G$5:$G$130="acoes"))*Inputs!$B$1+((Inputs!$G$5:$G$130&lt;&gt;"moeda")*(Inputs!$G$5:$G$130&lt;&gt;"acoes")))*INDEX(Inputs!$K$5:$AJ$130,0,MATCH(K$2,Inputs!$K$4:$AJ$4,0)))+SUMPRODUCT((Inputs!$C$5:$C$130=$B11)*Inputs!$D$5:$D$130*(((Inputs!$G$5:$G$130="moeda")+(Inputs!$G$5:$G$130="acoes"))*Inputs!$B$1+((Inputs!$G$5:$G$130&lt;&gt;"moeda")*(Inputs!$G$5:$G$130&lt;&gt;"acoes")))*INDEX(Inputs!$K$5:$AJ$130,0,MATCH(K$2,Inputs!$K$4:$AJ$4,0)))+SUMPRODUCT((Inputs!$E$5:$E$130=$B11)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11" s="6" t="e">
        <f>IF(ISNA(MATCH(L$2,Inputs!$K$4:$AJ$4,0)),NA(),IF(SUMPRODUCT((Inputs!$A$5:$A$130=$B11)*ISNUMBER(INDEX(Inputs!$K$5:$AJ$130,0,MATCH(L$2,Inputs!$K$4:$AJ$4,0))))+SUMPRODUCT((Inputs!$C$5:$C$130=$B11)*ISNUMBER(INDEX(Inputs!$K$5:$AJ$130,0,MATCH(L$2,Inputs!$K$4:$AJ$4,0))))+SUMPRODUCT((Inputs!$E$5:$E$130=$B11)*ISNUMBER(INDEX(Inputs!$K$5:$AJ$130,0,MATCH(L$2,Inputs!$K$4:$AJ$4,0))))=0,NA(),SUMPRODUCT((Inputs!$A$5:$A$130=$B11)*Inputs!$B$5:$B$130*(((Inputs!$G$5:$G$130="moeda")+(Inputs!$G$5:$G$130="acoes"))*Inputs!$B$1+((Inputs!$G$5:$G$130&lt;&gt;"moeda")*(Inputs!$G$5:$G$130&lt;&gt;"acoes")))*INDEX(Inputs!$K$5:$AJ$130,0,MATCH(L$2,Inputs!$K$4:$AJ$4,0)))+SUMPRODUCT((Inputs!$C$5:$C$130=$B11)*Inputs!$D$5:$D$130*(((Inputs!$G$5:$G$130="moeda")+(Inputs!$G$5:$G$130="acoes"))*Inputs!$B$1+((Inputs!$G$5:$G$130&lt;&gt;"moeda")*(Inputs!$G$5:$G$130&lt;&gt;"acoes")))*INDEX(Inputs!$K$5:$AJ$130,0,MATCH(L$2,Inputs!$K$4:$AJ$4,0)))+SUMPRODUCT((Inputs!$E$5:$E$130=$B11)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11" s="3" t="e">
        <f>SUM(I11:L11)</f>
        <v>#N/A</v>
      </c>
      <c r="N11" s="6" t="e">
        <f>IF(ISNA(MATCH(N$2,Inputs!$K$4:$AJ$4,0)),NA(),IF(SUMPRODUCT((Inputs!$A$5:$A$130=$B11)*ISNUMBER(INDEX(Inputs!$K$5:$AJ$130,0,MATCH(N$2,Inputs!$K$4:$AJ$4,0))))+SUMPRODUCT((Inputs!$C$5:$C$130=$B11)*ISNUMBER(INDEX(Inputs!$K$5:$AJ$130,0,MATCH(N$2,Inputs!$K$4:$AJ$4,0))))+SUMPRODUCT((Inputs!$E$5:$E$130=$B11)*ISNUMBER(INDEX(Inputs!$K$5:$AJ$130,0,MATCH(N$2,Inputs!$K$4:$AJ$4,0))))=0,NA(),SUMPRODUCT((Inputs!$A$5:$A$130=$B11)*Inputs!$B$5:$B$130*(((Inputs!$G$5:$G$130="moeda")+(Inputs!$G$5:$G$130="acoes"))*Inputs!$B$1+((Inputs!$G$5:$G$130&lt;&gt;"moeda")*(Inputs!$G$5:$G$130&lt;&gt;"acoes")))*INDEX(Inputs!$K$5:$AJ$130,0,MATCH(N$2,Inputs!$K$4:$AJ$4,0)))+SUMPRODUCT((Inputs!$C$5:$C$130=$B11)*Inputs!$D$5:$D$130*(((Inputs!$G$5:$G$130="moeda")+(Inputs!$G$5:$G$130="acoes"))*Inputs!$B$1+((Inputs!$G$5:$G$130&lt;&gt;"moeda")*(Inputs!$G$5:$G$130&lt;&gt;"acoes")))*INDEX(Inputs!$K$5:$AJ$130,0,MATCH(N$2,Inputs!$K$4:$AJ$4,0)))+SUMPRODUCT((Inputs!$E$5:$E$130=$B11)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11" s="6" t="e">
        <f>IF(ISNA(MATCH(O$2,Inputs!$K$4:$AJ$4,0)),NA(),IF(SUMPRODUCT((Inputs!$A$5:$A$130=$B11)*ISNUMBER(INDEX(Inputs!$K$5:$AJ$130,0,MATCH(O$2,Inputs!$K$4:$AJ$4,0))))+SUMPRODUCT((Inputs!$C$5:$C$130=$B11)*ISNUMBER(INDEX(Inputs!$K$5:$AJ$130,0,MATCH(O$2,Inputs!$K$4:$AJ$4,0))))+SUMPRODUCT((Inputs!$E$5:$E$130=$B11)*ISNUMBER(INDEX(Inputs!$K$5:$AJ$130,0,MATCH(O$2,Inputs!$K$4:$AJ$4,0))))=0,NA(),SUMPRODUCT((Inputs!$A$5:$A$130=$B11)*Inputs!$B$5:$B$130*(((Inputs!$G$5:$G$130="moeda")+(Inputs!$G$5:$G$130="acoes"))*Inputs!$B$1+((Inputs!$G$5:$G$130&lt;&gt;"moeda")*(Inputs!$G$5:$G$130&lt;&gt;"acoes")))*INDEX(Inputs!$K$5:$AJ$130,0,MATCH(O$2,Inputs!$K$4:$AJ$4,0)))+SUMPRODUCT((Inputs!$C$5:$C$130=$B11)*Inputs!$D$5:$D$130*(((Inputs!$G$5:$G$130="moeda")+(Inputs!$G$5:$G$130="acoes"))*Inputs!$B$1+((Inputs!$G$5:$G$130&lt;&gt;"moeda")*(Inputs!$G$5:$G$130&lt;&gt;"acoes")))*INDEX(Inputs!$K$5:$AJ$130,0,MATCH(O$2,Inputs!$K$4:$AJ$4,0)))+SUMPRODUCT((Inputs!$E$5:$E$130=$B11)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11" s="6" t="e">
        <f>IF(ISNA(MATCH(P$2,Inputs!$K$4:$AJ$4,0)),NA(),IF(SUMPRODUCT((Inputs!$A$5:$A$130=$B11)*ISNUMBER(INDEX(Inputs!$K$5:$AJ$130,0,MATCH(P$2,Inputs!$K$4:$AJ$4,0))))+SUMPRODUCT((Inputs!$C$5:$C$130=$B11)*ISNUMBER(INDEX(Inputs!$K$5:$AJ$130,0,MATCH(P$2,Inputs!$K$4:$AJ$4,0))))+SUMPRODUCT((Inputs!$E$5:$E$130=$B11)*ISNUMBER(INDEX(Inputs!$K$5:$AJ$130,0,MATCH(P$2,Inputs!$K$4:$AJ$4,0))))=0,NA(),SUMPRODUCT((Inputs!$A$5:$A$130=$B11)*Inputs!$B$5:$B$130*(((Inputs!$G$5:$G$130="moeda")+(Inputs!$G$5:$G$130="acoes"))*Inputs!$B$1+((Inputs!$G$5:$G$130&lt;&gt;"moeda")*(Inputs!$G$5:$G$130&lt;&gt;"acoes")))*INDEX(Inputs!$K$5:$AJ$130,0,MATCH(P$2,Inputs!$K$4:$AJ$4,0)))+SUMPRODUCT((Inputs!$C$5:$C$130=$B11)*Inputs!$D$5:$D$130*(((Inputs!$G$5:$G$130="moeda")+(Inputs!$G$5:$G$130="acoes"))*Inputs!$B$1+((Inputs!$G$5:$G$130&lt;&gt;"moeda")*(Inputs!$G$5:$G$130&lt;&gt;"acoes")))*INDEX(Inputs!$K$5:$AJ$130,0,MATCH(P$2,Inputs!$K$4:$AJ$4,0)))+SUMPRODUCT((Inputs!$E$5:$E$130=$B11)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11" s="6" t="e">
        <f>IF(ISNA(MATCH(Q$2,Inputs!$K$4:$AJ$4,0)),NA(),IF(SUMPRODUCT((Inputs!$A$5:$A$130=$B11)*ISNUMBER(INDEX(Inputs!$K$5:$AJ$130,0,MATCH(Q$2,Inputs!$K$4:$AJ$4,0))))+SUMPRODUCT((Inputs!$C$5:$C$130=$B11)*ISNUMBER(INDEX(Inputs!$K$5:$AJ$130,0,MATCH(Q$2,Inputs!$K$4:$AJ$4,0))))+SUMPRODUCT((Inputs!$E$5:$E$130=$B11)*ISNUMBER(INDEX(Inputs!$K$5:$AJ$130,0,MATCH(Q$2,Inputs!$K$4:$AJ$4,0))))=0,NA(),SUMPRODUCT((Inputs!$A$5:$A$130=$B11)*Inputs!$B$5:$B$130*(((Inputs!$G$5:$G$130="moeda")+(Inputs!$G$5:$G$130="acoes"))*Inputs!$B$1+((Inputs!$G$5:$G$130&lt;&gt;"moeda")*(Inputs!$G$5:$G$130&lt;&gt;"acoes")))*INDEX(Inputs!$K$5:$AJ$130,0,MATCH(Q$2,Inputs!$K$4:$AJ$4,0)))+SUMPRODUCT((Inputs!$C$5:$C$130=$B11)*Inputs!$D$5:$D$130*(((Inputs!$G$5:$G$130="moeda")+(Inputs!$G$5:$G$130="acoes"))*Inputs!$B$1+((Inputs!$G$5:$G$130&lt;&gt;"moeda")*(Inputs!$G$5:$G$130&lt;&gt;"acoes")))*INDEX(Inputs!$K$5:$AJ$130,0,MATCH(Q$2,Inputs!$K$4:$AJ$4,0)))+SUMPRODUCT((Inputs!$E$5:$E$130=$B11)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11" s="3" t="e">
        <f>SUM(N11:Q11)</f>
        <v>#N/A</v>
      </c>
      <c r="S11" s="6" t="e">
        <f>IF(ISNA(MATCH(S$2,Inputs!$K$4:$AJ$4,0)),NA(),IF(SUMPRODUCT((Inputs!$A$5:$A$130=$B11)*ISNUMBER(INDEX(Inputs!$K$5:$AJ$130,0,MATCH(S$2,Inputs!$K$4:$AJ$4,0))))+SUMPRODUCT((Inputs!$C$5:$C$130=$B11)*ISNUMBER(INDEX(Inputs!$K$5:$AJ$130,0,MATCH(S$2,Inputs!$K$4:$AJ$4,0))))+SUMPRODUCT((Inputs!$E$5:$E$130=$B11)*ISNUMBER(INDEX(Inputs!$K$5:$AJ$130,0,MATCH(S$2,Inputs!$K$4:$AJ$4,0))))=0,NA(),SUMPRODUCT((Inputs!$A$5:$A$130=$B11)*Inputs!$B$5:$B$130*(((Inputs!$G$5:$G$130="moeda")+(Inputs!$G$5:$G$130="acoes"))*Inputs!$B$1+((Inputs!$G$5:$G$130&lt;&gt;"moeda")*(Inputs!$G$5:$G$130&lt;&gt;"acoes")))*INDEX(Inputs!$K$5:$AJ$130,0,MATCH(S$2,Inputs!$K$4:$AJ$4,0)))+SUMPRODUCT((Inputs!$C$5:$C$130=$B11)*Inputs!$D$5:$D$130*(((Inputs!$G$5:$G$130="moeda")+(Inputs!$G$5:$G$130="acoes"))*Inputs!$B$1+((Inputs!$G$5:$G$130&lt;&gt;"moeda")*(Inputs!$G$5:$G$130&lt;&gt;"acoes")))*INDEX(Inputs!$K$5:$AJ$130,0,MATCH(S$2,Inputs!$K$4:$AJ$4,0)))+SUMPRODUCT((Inputs!$E$5:$E$130=$B11)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11" s="6" t="e">
        <f>IF(ISNA(MATCH(T$2,Inputs!$K$4:$AJ$4,0)),NA(),IF(SUMPRODUCT((Inputs!$A$5:$A$130=$B11)*ISNUMBER(INDEX(Inputs!$K$5:$AJ$130,0,MATCH(T$2,Inputs!$K$4:$AJ$4,0))))+SUMPRODUCT((Inputs!$C$5:$C$130=$B11)*ISNUMBER(INDEX(Inputs!$K$5:$AJ$130,0,MATCH(T$2,Inputs!$K$4:$AJ$4,0))))+SUMPRODUCT((Inputs!$E$5:$E$130=$B11)*ISNUMBER(INDEX(Inputs!$K$5:$AJ$130,0,MATCH(T$2,Inputs!$K$4:$AJ$4,0))))=0,NA(),SUMPRODUCT((Inputs!$A$5:$A$130=$B11)*Inputs!$B$5:$B$130*(((Inputs!$G$5:$G$130="moeda")+(Inputs!$G$5:$G$130="acoes"))*Inputs!$B$1+((Inputs!$G$5:$G$130&lt;&gt;"moeda")*(Inputs!$G$5:$G$130&lt;&gt;"acoes")))*INDEX(Inputs!$K$5:$AJ$130,0,MATCH(T$2,Inputs!$K$4:$AJ$4,0)))+SUMPRODUCT((Inputs!$C$5:$C$130=$B11)*Inputs!$D$5:$D$130*(((Inputs!$G$5:$G$130="moeda")+(Inputs!$G$5:$G$130="acoes"))*Inputs!$B$1+((Inputs!$G$5:$G$130&lt;&gt;"moeda")*(Inputs!$G$5:$G$130&lt;&gt;"acoes")))*INDEX(Inputs!$K$5:$AJ$130,0,MATCH(T$2,Inputs!$K$4:$AJ$4,0)))+SUMPRODUCT((Inputs!$E$5:$E$130=$B11)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11" s="6" t="e">
        <f>IF(ISNA(MATCH(U$2,Inputs!$K$4:$AJ$4,0)),NA(),IF(SUMPRODUCT((Inputs!$A$5:$A$130=$B11)*ISNUMBER(INDEX(Inputs!$K$5:$AJ$130,0,MATCH(U$2,Inputs!$K$4:$AJ$4,0))))+SUMPRODUCT((Inputs!$C$5:$C$130=$B11)*ISNUMBER(INDEX(Inputs!$K$5:$AJ$130,0,MATCH(U$2,Inputs!$K$4:$AJ$4,0))))+SUMPRODUCT((Inputs!$E$5:$E$130=$B11)*ISNUMBER(INDEX(Inputs!$K$5:$AJ$130,0,MATCH(U$2,Inputs!$K$4:$AJ$4,0))))=0,NA(),SUMPRODUCT((Inputs!$A$5:$A$130=$B11)*Inputs!$B$5:$B$130*(((Inputs!$G$5:$G$130="moeda")+(Inputs!$G$5:$G$130="acoes"))*Inputs!$B$1+((Inputs!$G$5:$G$130&lt;&gt;"moeda")*(Inputs!$G$5:$G$130&lt;&gt;"acoes")))*INDEX(Inputs!$K$5:$AJ$130,0,MATCH(U$2,Inputs!$K$4:$AJ$4,0)))+SUMPRODUCT((Inputs!$C$5:$C$130=$B11)*Inputs!$D$5:$D$130*(((Inputs!$G$5:$G$130="moeda")+(Inputs!$G$5:$G$130="acoes"))*Inputs!$B$1+((Inputs!$G$5:$G$130&lt;&gt;"moeda")*(Inputs!$G$5:$G$130&lt;&gt;"acoes")))*INDEX(Inputs!$K$5:$AJ$130,0,MATCH(U$2,Inputs!$K$4:$AJ$4,0)))+SUMPRODUCT((Inputs!$E$5:$E$130=$B11)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11" s="6" t="e">
        <f>IF(ISNA(MATCH(V$2,Inputs!$K$4:$AJ$4,0)),NA(),IF(SUMPRODUCT((Inputs!$A$5:$A$130=$B11)*ISNUMBER(INDEX(Inputs!$K$5:$AJ$130,0,MATCH(V$2,Inputs!$K$4:$AJ$4,0))))+SUMPRODUCT((Inputs!$C$5:$C$130=$B11)*ISNUMBER(INDEX(Inputs!$K$5:$AJ$130,0,MATCH(V$2,Inputs!$K$4:$AJ$4,0))))+SUMPRODUCT((Inputs!$E$5:$E$130=$B11)*ISNUMBER(INDEX(Inputs!$K$5:$AJ$130,0,MATCH(V$2,Inputs!$K$4:$AJ$4,0))))=0,NA(),SUMPRODUCT((Inputs!$A$5:$A$130=$B11)*Inputs!$B$5:$B$130*(((Inputs!$G$5:$G$130="moeda")+(Inputs!$G$5:$G$130="acoes"))*Inputs!$B$1+((Inputs!$G$5:$G$130&lt;&gt;"moeda")*(Inputs!$G$5:$G$130&lt;&gt;"acoes")))*INDEX(Inputs!$K$5:$AJ$130,0,MATCH(V$2,Inputs!$K$4:$AJ$4,0)))+SUMPRODUCT((Inputs!$C$5:$C$130=$B11)*Inputs!$D$5:$D$130*(((Inputs!$G$5:$G$130="moeda")+(Inputs!$G$5:$G$130="acoes"))*Inputs!$B$1+((Inputs!$G$5:$G$130&lt;&gt;"moeda")*(Inputs!$G$5:$G$130&lt;&gt;"acoes")))*INDEX(Inputs!$K$5:$AJ$130,0,MATCH(V$2,Inputs!$K$4:$AJ$4,0)))+SUMPRODUCT((Inputs!$E$5:$E$130=$B11)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11" s="3" t="e">
        <f>SUM(S11:V11)</f>
        <v>#N/A</v>
      </c>
      <c r="X11" s="6" t="e">
        <f>IF(ISNA(MATCH(X$2,Inputs!$K$4:$AJ$4,0)),NA(),IF(SUMPRODUCT((Inputs!$A$5:$A$130=$B11)*ISNUMBER(INDEX(Inputs!$K$5:$AJ$130,0,MATCH(X$2,Inputs!$K$4:$AJ$4,0))))+SUMPRODUCT((Inputs!$C$5:$C$130=$B11)*ISNUMBER(INDEX(Inputs!$K$5:$AJ$130,0,MATCH(X$2,Inputs!$K$4:$AJ$4,0))))+SUMPRODUCT((Inputs!$E$5:$E$130=$B11)*ISNUMBER(INDEX(Inputs!$K$5:$AJ$130,0,MATCH(X$2,Inputs!$K$4:$AJ$4,0))))=0,NA(),SUMPRODUCT((Inputs!$A$5:$A$130=$B11)*Inputs!$B$5:$B$130*(((Inputs!$G$5:$G$130="moeda")+(Inputs!$G$5:$G$130="acoes"))*Inputs!$B$1+((Inputs!$G$5:$G$130&lt;&gt;"moeda")*(Inputs!$G$5:$G$130&lt;&gt;"acoes")))*INDEX(Inputs!$K$5:$AJ$130,0,MATCH(X$2,Inputs!$K$4:$AJ$4,0)))+SUMPRODUCT((Inputs!$C$5:$C$130=$B11)*Inputs!$D$5:$D$130*(((Inputs!$G$5:$G$130="moeda")+(Inputs!$G$5:$G$130="acoes"))*Inputs!$B$1+((Inputs!$G$5:$G$130&lt;&gt;"moeda")*(Inputs!$G$5:$G$130&lt;&gt;"acoes")))*INDEX(Inputs!$K$5:$AJ$130,0,MATCH(X$2,Inputs!$K$4:$AJ$4,0)))+SUMPRODUCT((Inputs!$E$5:$E$130=$B11)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11" s="6" t="e">
        <f>IF(ISNA(MATCH(Y$2,Inputs!$K$4:$AJ$4,0)),NA(),IF(SUMPRODUCT((Inputs!$A$5:$A$130=$B11)*ISNUMBER(INDEX(Inputs!$K$5:$AJ$130,0,MATCH(Y$2,Inputs!$K$4:$AJ$4,0))))+SUMPRODUCT((Inputs!$C$5:$C$130=$B11)*ISNUMBER(INDEX(Inputs!$K$5:$AJ$130,0,MATCH(Y$2,Inputs!$K$4:$AJ$4,0))))+SUMPRODUCT((Inputs!$E$5:$E$130=$B11)*ISNUMBER(INDEX(Inputs!$K$5:$AJ$130,0,MATCH(Y$2,Inputs!$K$4:$AJ$4,0))))=0,NA(),SUMPRODUCT((Inputs!$A$5:$A$130=$B11)*Inputs!$B$5:$B$130*(((Inputs!$G$5:$G$130="moeda")+(Inputs!$G$5:$G$130="acoes"))*Inputs!$B$1+((Inputs!$G$5:$G$130&lt;&gt;"moeda")*(Inputs!$G$5:$G$130&lt;&gt;"acoes")))*INDEX(Inputs!$K$5:$AJ$130,0,MATCH(Y$2,Inputs!$K$4:$AJ$4,0)))+SUMPRODUCT((Inputs!$C$5:$C$130=$B11)*Inputs!$D$5:$D$130*(((Inputs!$G$5:$G$130="moeda")+(Inputs!$G$5:$G$130="acoes"))*Inputs!$B$1+((Inputs!$G$5:$G$130&lt;&gt;"moeda")*(Inputs!$G$5:$G$130&lt;&gt;"acoes")))*INDEX(Inputs!$K$5:$AJ$130,0,MATCH(Y$2,Inputs!$K$4:$AJ$4,0)))+SUMPRODUCT((Inputs!$E$5:$E$130=$B11)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11" s="6" t="e">
        <f>IF(ISNA(MATCH(Z$2,Inputs!$K$4:$AJ$4,0)),NA(),IF(SUMPRODUCT((Inputs!$A$5:$A$130=$B11)*ISNUMBER(INDEX(Inputs!$K$5:$AJ$130,0,MATCH(Z$2,Inputs!$K$4:$AJ$4,0))))+SUMPRODUCT((Inputs!$C$5:$C$130=$B11)*ISNUMBER(INDEX(Inputs!$K$5:$AJ$130,0,MATCH(Z$2,Inputs!$K$4:$AJ$4,0))))+SUMPRODUCT((Inputs!$E$5:$E$130=$B11)*ISNUMBER(INDEX(Inputs!$K$5:$AJ$130,0,MATCH(Z$2,Inputs!$K$4:$AJ$4,0))))=0,NA(),SUMPRODUCT((Inputs!$A$5:$A$130=$B11)*Inputs!$B$5:$B$130*(((Inputs!$G$5:$G$130="moeda")+(Inputs!$G$5:$G$130="acoes"))*Inputs!$B$1+((Inputs!$G$5:$G$130&lt;&gt;"moeda")*(Inputs!$G$5:$G$130&lt;&gt;"acoes")))*INDEX(Inputs!$K$5:$AJ$130,0,MATCH(Z$2,Inputs!$K$4:$AJ$4,0)))+SUMPRODUCT((Inputs!$C$5:$C$130=$B11)*Inputs!$D$5:$D$130*(((Inputs!$G$5:$G$130="moeda")+(Inputs!$G$5:$G$130="acoes"))*Inputs!$B$1+((Inputs!$G$5:$G$130&lt;&gt;"moeda")*(Inputs!$G$5:$G$130&lt;&gt;"acoes")))*INDEX(Inputs!$K$5:$AJ$130,0,MATCH(Z$2,Inputs!$K$4:$AJ$4,0)))+SUMPRODUCT((Inputs!$E$5:$E$130=$B11)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11" s="6" t="e">
        <f>IF(ISNA(MATCH(AA$2,Inputs!$K$4:$AJ$4,0)),NA(),IF(SUMPRODUCT((Inputs!$A$5:$A$130=$B11)*ISNUMBER(INDEX(Inputs!$K$5:$AJ$130,0,MATCH(AA$2,Inputs!$K$4:$AJ$4,0))))+SUMPRODUCT((Inputs!$C$5:$C$130=$B11)*ISNUMBER(INDEX(Inputs!$K$5:$AJ$130,0,MATCH(AA$2,Inputs!$K$4:$AJ$4,0))))+SUMPRODUCT((Inputs!$E$5:$E$130=$B11)*ISNUMBER(INDEX(Inputs!$K$5:$AJ$130,0,MATCH(AA$2,Inputs!$K$4:$AJ$4,0))))=0,NA(),SUMPRODUCT((Inputs!$A$5:$A$130=$B11)*Inputs!$B$5:$B$130*(((Inputs!$G$5:$G$130="moeda")+(Inputs!$G$5:$G$130="acoes"))*Inputs!$B$1+((Inputs!$G$5:$G$130&lt;&gt;"moeda")*(Inputs!$G$5:$G$130&lt;&gt;"acoes")))*INDEX(Inputs!$K$5:$AJ$130,0,MATCH(AA$2,Inputs!$K$4:$AJ$4,0)))+SUMPRODUCT((Inputs!$C$5:$C$130=$B11)*Inputs!$D$5:$D$130*(((Inputs!$G$5:$G$130="moeda")+(Inputs!$G$5:$G$130="acoes"))*Inputs!$B$1+((Inputs!$G$5:$G$130&lt;&gt;"moeda")*(Inputs!$G$5:$G$130&lt;&gt;"acoes")))*INDEX(Inputs!$K$5:$AJ$130,0,MATCH(AA$2,Inputs!$K$4:$AJ$4,0)))+SUMPRODUCT((Inputs!$E$5:$E$130=$B11)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11" s="3" t="e">
        <f>SUM(X11:AA11)</f>
        <v>#N/A</v>
      </c>
      <c r="AC11" s="6" t="e">
        <f>IF(ISNA(MATCH(AC$2,Inputs!$K$4:$AJ$4,0)),NA(),IF(SUMPRODUCT((Inputs!$A$5:$A$130=$B11)*ISNUMBER(INDEX(Inputs!$K$5:$AJ$130,0,MATCH(AC$2,Inputs!$K$4:$AJ$4,0))))+SUMPRODUCT((Inputs!$C$5:$C$130=$B11)*ISNUMBER(INDEX(Inputs!$K$5:$AJ$130,0,MATCH(AC$2,Inputs!$K$4:$AJ$4,0))))+SUMPRODUCT((Inputs!$E$5:$E$130=$B11)*ISNUMBER(INDEX(Inputs!$K$5:$AJ$130,0,MATCH(AC$2,Inputs!$K$4:$AJ$4,0))))=0,NA(),SUMPRODUCT((Inputs!$A$5:$A$130=$B11)*Inputs!$B$5:$B$130*(((Inputs!$G$5:$G$130="moeda")+(Inputs!$G$5:$G$130="acoes"))*Inputs!$B$1+((Inputs!$G$5:$G$130&lt;&gt;"moeda")*(Inputs!$G$5:$G$130&lt;&gt;"acoes")))*INDEX(Inputs!$K$5:$AJ$130,0,MATCH(AC$2,Inputs!$K$4:$AJ$4,0)))+SUMPRODUCT((Inputs!$C$5:$C$130=$B11)*Inputs!$D$5:$D$130*(((Inputs!$G$5:$G$130="moeda")+(Inputs!$G$5:$G$130="acoes"))*Inputs!$B$1+((Inputs!$G$5:$G$130&lt;&gt;"moeda")*(Inputs!$G$5:$G$130&lt;&gt;"acoes")))*INDEX(Inputs!$K$5:$AJ$130,0,MATCH(AC$2,Inputs!$K$4:$AJ$4,0)))+SUMPRODUCT((Inputs!$E$5:$E$130=$B11)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11" s="6" t="e">
        <f>IF(ISNA(MATCH(AD$2,Inputs!$K$4:$AJ$4,0)),NA(),IF(SUMPRODUCT((Inputs!$A$5:$A$130=$B11)*ISNUMBER(INDEX(Inputs!$K$5:$AJ$130,0,MATCH(AD$2,Inputs!$K$4:$AJ$4,0))))+SUMPRODUCT((Inputs!$C$5:$C$130=$B11)*ISNUMBER(INDEX(Inputs!$K$5:$AJ$130,0,MATCH(AD$2,Inputs!$K$4:$AJ$4,0))))+SUMPRODUCT((Inputs!$E$5:$E$130=$B11)*ISNUMBER(INDEX(Inputs!$K$5:$AJ$130,0,MATCH(AD$2,Inputs!$K$4:$AJ$4,0))))=0,NA(),SUMPRODUCT((Inputs!$A$5:$A$130=$B11)*Inputs!$B$5:$B$130*(((Inputs!$G$5:$G$130="moeda")+(Inputs!$G$5:$G$130="acoes"))*Inputs!$B$1+((Inputs!$G$5:$G$130&lt;&gt;"moeda")*(Inputs!$G$5:$G$130&lt;&gt;"acoes")))*INDEX(Inputs!$K$5:$AJ$130,0,MATCH(AD$2,Inputs!$K$4:$AJ$4,0)))+SUMPRODUCT((Inputs!$C$5:$C$130=$B11)*Inputs!$D$5:$D$130*(((Inputs!$G$5:$G$130="moeda")+(Inputs!$G$5:$G$130="acoes"))*Inputs!$B$1+((Inputs!$G$5:$G$130&lt;&gt;"moeda")*(Inputs!$G$5:$G$130&lt;&gt;"acoes")))*INDEX(Inputs!$K$5:$AJ$130,0,MATCH(AD$2,Inputs!$K$4:$AJ$4,0)))+SUMPRODUCT((Inputs!$E$5:$E$130=$B11)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11" s="6" t="e">
        <f>IF(ISNA(MATCH(AE$2,Inputs!$K$4:$AJ$4,0)),NA(),IF(SUMPRODUCT((Inputs!$A$5:$A$130=$B11)*ISNUMBER(INDEX(Inputs!$K$5:$AJ$130,0,MATCH(AE$2,Inputs!$K$4:$AJ$4,0))))+SUMPRODUCT((Inputs!$C$5:$C$130=$B11)*ISNUMBER(INDEX(Inputs!$K$5:$AJ$130,0,MATCH(AE$2,Inputs!$K$4:$AJ$4,0))))+SUMPRODUCT((Inputs!$E$5:$E$130=$B11)*ISNUMBER(INDEX(Inputs!$K$5:$AJ$130,0,MATCH(AE$2,Inputs!$K$4:$AJ$4,0))))=0,NA(),SUMPRODUCT((Inputs!$A$5:$A$130=$B11)*Inputs!$B$5:$B$130*(((Inputs!$G$5:$G$130="moeda")+(Inputs!$G$5:$G$130="acoes"))*Inputs!$B$1+((Inputs!$G$5:$G$130&lt;&gt;"moeda")*(Inputs!$G$5:$G$130&lt;&gt;"acoes")))*INDEX(Inputs!$K$5:$AJ$130,0,MATCH(AE$2,Inputs!$K$4:$AJ$4,0)))+SUMPRODUCT((Inputs!$C$5:$C$130=$B11)*Inputs!$D$5:$D$130*(((Inputs!$G$5:$G$130="moeda")+(Inputs!$G$5:$G$130="acoes"))*Inputs!$B$1+((Inputs!$G$5:$G$130&lt;&gt;"moeda")*(Inputs!$G$5:$G$130&lt;&gt;"acoes")))*INDEX(Inputs!$K$5:$AJ$130,0,MATCH(AE$2,Inputs!$K$4:$AJ$4,0)))+SUMPRODUCT((Inputs!$E$5:$E$130=$B11)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1" s="6" t="e">
        <f>IF(ISNA(MATCH(AF$2,Inputs!$K$4:$AJ$4,0)),NA(),IF(SUMPRODUCT((Inputs!$A$5:$A$130=$B11)*ISNUMBER(INDEX(Inputs!$K$5:$AJ$130,0,MATCH(AF$2,Inputs!$K$4:$AJ$4,0))))+SUMPRODUCT((Inputs!$C$5:$C$130=$B11)*ISNUMBER(INDEX(Inputs!$K$5:$AJ$130,0,MATCH(AF$2,Inputs!$K$4:$AJ$4,0))))+SUMPRODUCT((Inputs!$E$5:$E$130=$B11)*ISNUMBER(INDEX(Inputs!$K$5:$AJ$130,0,MATCH(AF$2,Inputs!$K$4:$AJ$4,0))))=0,NA(),SUMPRODUCT((Inputs!$A$5:$A$130=$B11)*Inputs!$B$5:$B$130*(((Inputs!$G$5:$G$130="moeda")+(Inputs!$G$5:$G$130="acoes"))*Inputs!$B$1+((Inputs!$G$5:$G$130&lt;&gt;"moeda")*(Inputs!$G$5:$G$130&lt;&gt;"acoes")))*INDEX(Inputs!$K$5:$AJ$130,0,MATCH(AF$2,Inputs!$K$4:$AJ$4,0)))+SUMPRODUCT((Inputs!$C$5:$C$130=$B11)*Inputs!$D$5:$D$130*(((Inputs!$G$5:$G$130="moeda")+(Inputs!$G$5:$G$130="acoes"))*Inputs!$B$1+((Inputs!$G$5:$G$130&lt;&gt;"moeda")*(Inputs!$G$5:$G$130&lt;&gt;"acoes")))*INDEX(Inputs!$K$5:$AJ$130,0,MATCH(AF$2,Inputs!$K$4:$AJ$4,0)))+SUMPRODUCT((Inputs!$E$5:$E$130=$B11)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1" s="3" t="e">
        <f>SUM(AC11:AF11)</f>
        <v>#N/A</v>
      </c>
      <c r="AH11" s="6" t="e">
        <f>IF(ISNA(MATCH(AH$2,Inputs!$K$4:$AJ$4,0)),NA(),IF(SUMPRODUCT((Inputs!$A$5:$A$130=$B11)*ISNUMBER(INDEX(Inputs!$K$5:$AJ$130,0,MATCH(AH$2,Inputs!$K$4:$AJ$4,0))))+SUMPRODUCT((Inputs!$C$5:$C$130=$B11)*ISNUMBER(INDEX(Inputs!$K$5:$AJ$130,0,MATCH(AH$2,Inputs!$K$4:$AJ$4,0))))+SUMPRODUCT((Inputs!$E$5:$E$130=$B11)*ISNUMBER(INDEX(Inputs!$K$5:$AJ$130,0,MATCH(AH$2,Inputs!$K$4:$AJ$4,0))))=0,NA(),SUMPRODUCT((Inputs!$A$5:$A$130=$B11)*Inputs!$B$5:$B$130*(((Inputs!$G$5:$G$130="moeda")+(Inputs!$G$5:$G$130="acoes"))*Inputs!$B$1+((Inputs!$G$5:$G$130&lt;&gt;"moeda")*(Inputs!$G$5:$G$130&lt;&gt;"acoes")))*INDEX(Inputs!$K$5:$AJ$130,0,MATCH(AH$2,Inputs!$K$4:$AJ$4,0)))+SUMPRODUCT((Inputs!$C$5:$C$130=$B11)*Inputs!$D$5:$D$130*(((Inputs!$G$5:$G$130="moeda")+(Inputs!$G$5:$G$130="acoes"))*Inputs!$B$1+((Inputs!$G$5:$G$130&lt;&gt;"moeda")*(Inputs!$G$5:$G$130&lt;&gt;"acoes")))*INDEX(Inputs!$K$5:$AJ$130,0,MATCH(AH$2,Inputs!$K$4:$AJ$4,0)))+SUMPRODUCT((Inputs!$E$5:$E$130=$B11)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11" s="6" t="e">
        <f>IF(ISNA(MATCH(AI$2,Inputs!$K$4:$AJ$4,0)),NA(),IF(SUMPRODUCT((Inputs!$A$5:$A$130=$B11)*ISNUMBER(INDEX(Inputs!$K$5:$AJ$130,0,MATCH(AI$2,Inputs!$K$4:$AJ$4,0))))+SUMPRODUCT((Inputs!$C$5:$C$130=$B11)*ISNUMBER(INDEX(Inputs!$K$5:$AJ$130,0,MATCH(AI$2,Inputs!$K$4:$AJ$4,0))))+SUMPRODUCT((Inputs!$E$5:$E$130=$B11)*ISNUMBER(INDEX(Inputs!$K$5:$AJ$130,0,MATCH(AI$2,Inputs!$K$4:$AJ$4,0))))=0,NA(),SUMPRODUCT((Inputs!$A$5:$A$130=$B11)*Inputs!$B$5:$B$130*(((Inputs!$G$5:$G$130="moeda")+(Inputs!$G$5:$G$130="acoes"))*Inputs!$B$1+((Inputs!$G$5:$G$130&lt;&gt;"moeda")*(Inputs!$G$5:$G$130&lt;&gt;"acoes")))*INDEX(Inputs!$K$5:$AJ$130,0,MATCH(AI$2,Inputs!$K$4:$AJ$4,0)))+SUMPRODUCT((Inputs!$C$5:$C$130=$B11)*Inputs!$D$5:$D$130*(((Inputs!$G$5:$G$130="moeda")+(Inputs!$G$5:$G$130="acoes"))*Inputs!$B$1+((Inputs!$G$5:$G$130&lt;&gt;"moeda")*(Inputs!$G$5:$G$130&lt;&gt;"acoes")))*INDEX(Inputs!$K$5:$AJ$130,0,MATCH(AI$2,Inputs!$K$4:$AJ$4,0)))+SUMPRODUCT((Inputs!$E$5:$E$130=$B11)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11" s="6" t="e">
        <f>IF(ISNA(MATCH(AJ$2,Inputs!$K$4:$AJ$4,0)),NA(),IF(SUMPRODUCT((Inputs!$A$5:$A$130=$B11)*ISNUMBER(INDEX(Inputs!$K$5:$AJ$130,0,MATCH(AJ$2,Inputs!$K$4:$AJ$4,0))))+SUMPRODUCT((Inputs!$C$5:$C$130=$B11)*ISNUMBER(INDEX(Inputs!$K$5:$AJ$130,0,MATCH(AJ$2,Inputs!$K$4:$AJ$4,0))))+SUMPRODUCT((Inputs!$E$5:$E$130=$B11)*ISNUMBER(INDEX(Inputs!$K$5:$AJ$130,0,MATCH(AJ$2,Inputs!$K$4:$AJ$4,0))))=0,NA(),SUMPRODUCT((Inputs!$A$5:$A$130=$B11)*Inputs!$B$5:$B$130*(((Inputs!$G$5:$G$130="moeda")+(Inputs!$G$5:$G$130="acoes"))*Inputs!$B$1+((Inputs!$G$5:$G$130&lt;&gt;"moeda")*(Inputs!$G$5:$G$130&lt;&gt;"acoes")))*INDEX(Inputs!$K$5:$AJ$130,0,MATCH(AJ$2,Inputs!$K$4:$AJ$4,0)))+SUMPRODUCT((Inputs!$C$5:$C$130=$B11)*Inputs!$D$5:$D$130*(((Inputs!$G$5:$G$130="moeda")+(Inputs!$G$5:$G$130="acoes"))*Inputs!$B$1+((Inputs!$G$5:$G$130&lt;&gt;"moeda")*(Inputs!$G$5:$G$130&lt;&gt;"acoes")))*INDEX(Inputs!$K$5:$AJ$130,0,MATCH(AJ$2,Inputs!$K$4:$AJ$4,0)))+SUMPRODUCT((Inputs!$E$5:$E$130=$B11)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11" s="6" t="e">
        <f>IF(ISNA(MATCH(AK$2,Inputs!$K$4:$AJ$4,0)),NA(),IF(SUMPRODUCT((Inputs!$A$5:$A$130=$B11)*ISNUMBER(INDEX(Inputs!$K$5:$AJ$130,0,MATCH(AK$2,Inputs!$K$4:$AJ$4,0))))+SUMPRODUCT((Inputs!$C$5:$C$130=$B11)*ISNUMBER(INDEX(Inputs!$K$5:$AJ$130,0,MATCH(AK$2,Inputs!$K$4:$AJ$4,0))))+SUMPRODUCT((Inputs!$E$5:$E$130=$B11)*ISNUMBER(INDEX(Inputs!$K$5:$AJ$130,0,MATCH(AK$2,Inputs!$K$4:$AJ$4,0))))=0,NA(),SUMPRODUCT((Inputs!$A$5:$A$130=$B11)*Inputs!$B$5:$B$130*(((Inputs!$G$5:$G$130="moeda")+(Inputs!$G$5:$G$130="acoes"))*Inputs!$B$1+((Inputs!$G$5:$G$130&lt;&gt;"moeda")*(Inputs!$G$5:$G$130&lt;&gt;"acoes")))*INDEX(Inputs!$K$5:$AJ$130,0,MATCH(AK$2,Inputs!$K$4:$AJ$4,0)))+SUMPRODUCT((Inputs!$C$5:$C$130=$B11)*Inputs!$D$5:$D$130*(((Inputs!$G$5:$G$130="moeda")+(Inputs!$G$5:$G$130="acoes"))*Inputs!$B$1+((Inputs!$G$5:$G$130&lt;&gt;"moeda")*(Inputs!$G$5:$G$130&lt;&gt;"acoes")))*INDEX(Inputs!$K$5:$AJ$130,0,MATCH(AK$2,Inputs!$K$4:$AJ$4,0)))+SUMPRODUCT((Inputs!$E$5:$E$130=$B11)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11" s="3" t="e">
        <f>SUM(AH11:AK11)</f>
        <v>#N/A</v>
      </c>
    </row>
    <row r="12">
      <c r="B12" s="46" t="n">
        <v>9</v>
      </c>
      <c r="C12" s="26" t="inlineStr">
        <is>
          <t>Minority Interest Expense, after tax (enter as - )</t>
        </is>
      </c>
      <c r="D12" s="6" t="e">
        <f>IF(ISNA(MATCH(D$2,Inputs!$K$4:$AJ$4,0)),NA(),IF(SUMPRODUCT((Inputs!$A$5:$A$130=$B12)*ISNUMBER(INDEX(Inputs!$K$5:$AJ$130,0,MATCH(D$2,Inputs!$K$4:$AJ$4,0))))+SUMPRODUCT((Inputs!$C$5:$C$130=$B12)*ISNUMBER(INDEX(Inputs!$K$5:$AJ$130,0,MATCH(D$2,Inputs!$K$4:$AJ$4,0))))+SUMPRODUCT((Inputs!$E$5:$E$130=$B12)*ISNUMBER(INDEX(Inputs!$K$5:$AJ$130,0,MATCH(D$2,Inputs!$K$4:$AJ$4,0))))=0,NA(),SUMPRODUCT((Inputs!$A$5:$A$130=$B12)*Inputs!$B$5:$B$130*(((Inputs!$G$5:$G$130="moeda")+(Inputs!$G$5:$G$130="acoes"))*Inputs!$B$1+((Inputs!$G$5:$G$130&lt;&gt;"moeda")*(Inputs!$G$5:$G$130&lt;&gt;"acoes")))*INDEX(Inputs!$K$5:$AJ$130,0,MATCH(D$2,Inputs!$K$4:$AJ$4,0)))+SUMPRODUCT((Inputs!$C$5:$C$130=$B12)*Inputs!$D$5:$D$130*(((Inputs!$G$5:$G$130="moeda")+(Inputs!$G$5:$G$130="acoes"))*Inputs!$B$1+((Inputs!$G$5:$G$130&lt;&gt;"moeda")*(Inputs!$G$5:$G$130&lt;&gt;"acoes")))*INDEX(Inputs!$K$5:$AJ$130,0,MATCH(D$2,Inputs!$K$4:$AJ$4,0)))+SUMPRODUCT((Inputs!$E$5:$E$130=$B12)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12" s="6" t="e">
        <f>IF(ISNA(MATCH(E$2,Inputs!$K$4:$AJ$4,0)),NA(),IF(SUMPRODUCT((Inputs!$A$5:$A$130=$B12)*ISNUMBER(INDEX(Inputs!$K$5:$AJ$130,0,MATCH(E$2,Inputs!$K$4:$AJ$4,0))))+SUMPRODUCT((Inputs!$C$5:$C$130=$B12)*ISNUMBER(INDEX(Inputs!$K$5:$AJ$130,0,MATCH(E$2,Inputs!$K$4:$AJ$4,0))))+SUMPRODUCT((Inputs!$E$5:$E$130=$B12)*ISNUMBER(INDEX(Inputs!$K$5:$AJ$130,0,MATCH(E$2,Inputs!$K$4:$AJ$4,0))))=0,NA(),SUMPRODUCT((Inputs!$A$5:$A$130=$B12)*Inputs!$B$5:$B$130*(((Inputs!$G$5:$G$130="moeda")+(Inputs!$G$5:$G$130="acoes"))*Inputs!$B$1+((Inputs!$G$5:$G$130&lt;&gt;"moeda")*(Inputs!$G$5:$G$130&lt;&gt;"acoes")))*INDEX(Inputs!$K$5:$AJ$130,0,MATCH(E$2,Inputs!$K$4:$AJ$4,0)))+SUMPRODUCT((Inputs!$C$5:$C$130=$B12)*Inputs!$D$5:$D$130*(((Inputs!$G$5:$G$130="moeda")+(Inputs!$G$5:$G$130="acoes"))*Inputs!$B$1+((Inputs!$G$5:$G$130&lt;&gt;"moeda")*(Inputs!$G$5:$G$130&lt;&gt;"acoes")))*INDEX(Inputs!$K$5:$AJ$130,0,MATCH(E$2,Inputs!$K$4:$AJ$4,0)))+SUMPRODUCT((Inputs!$E$5:$E$130=$B12)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12" s="6" t="e">
        <f>IF(ISNA(MATCH(F$2,Inputs!$K$4:$AJ$4,0)),NA(),IF(SUMPRODUCT((Inputs!$A$5:$A$130=$B12)*ISNUMBER(INDEX(Inputs!$K$5:$AJ$130,0,MATCH(F$2,Inputs!$K$4:$AJ$4,0))))+SUMPRODUCT((Inputs!$C$5:$C$130=$B12)*ISNUMBER(INDEX(Inputs!$K$5:$AJ$130,0,MATCH(F$2,Inputs!$K$4:$AJ$4,0))))+SUMPRODUCT((Inputs!$E$5:$E$130=$B12)*ISNUMBER(INDEX(Inputs!$K$5:$AJ$130,0,MATCH(F$2,Inputs!$K$4:$AJ$4,0))))=0,NA(),SUMPRODUCT((Inputs!$A$5:$A$130=$B12)*Inputs!$B$5:$B$130*(((Inputs!$G$5:$G$130="moeda")+(Inputs!$G$5:$G$130="acoes"))*Inputs!$B$1+((Inputs!$G$5:$G$130&lt;&gt;"moeda")*(Inputs!$G$5:$G$130&lt;&gt;"acoes")))*INDEX(Inputs!$K$5:$AJ$130,0,MATCH(F$2,Inputs!$K$4:$AJ$4,0)))+SUMPRODUCT((Inputs!$C$5:$C$130=$B12)*Inputs!$D$5:$D$130*(((Inputs!$G$5:$G$130="moeda")+(Inputs!$G$5:$G$130="acoes"))*Inputs!$B$1+((Inputs!$G$5:$G$130&lt;&gt;"moeda")*(Inputs!$G$5:$G$130&lt;&gt;"acoes")))*INDEX(Inputs!$K$5:$AJ$130,0,MATCH(F$2,Inputs!$K$4:$AJ$4,0)))+SUMPRODUCT((Inputs!$E$5:$E$130=$B12)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12" s="6" t="e">
        <f>IF(ISNA(MATCH(G$2,Inputs!$K$4:$AJ$4,0)),NA(),IF(SUMPRODUCT((Inputs!$A$5:$A$130=$B12)*ISNUMBER(INDEX(Inputs!$K$5:$AJ$130,0,MATCH(G$2,Inputs!$K$4:$AJ$4,0))))+SUMPRODUCT((Inputs!$C$5:$C$130=$B12)*ISNUMBER(INDEX(Inputs!$K$5:$AJ$130,0,MATCH(G$2,Inputs!$K$4:$AJ$4,0))))+SUMPRODUCT((Inputs!$E$5:$E$130=$B12)*ISNUMBER(INDEX(Inputs!$K$5:$AJ$130,0,MATCH(G$2,Inputs!$K$4:$AJ$4,0))))=0,NA(),SUMPRODUCT((Inputs!$A$5:$A$130=$B12)*Inputs!$B$5:$B$130*(((Inputs!$G$5:$G$130="moeda")+(Inputs!$G$5:$G$130="acoes"))*Inputs!$B$1+((Inputs!$G$5:$G$130&lt;&gt;"moeda")*(Inputs!$G$5:$G$130&lt;&gt;"acoes")))*INDEX(Inputs!$K$5:$AJ$130,0,MATCH(G$2,Inputs!$K$4:$AJ$4,0)))+SUMPRODUCT((Inputs!$C$5:$C$130=$B12)*Inputs!$D$5:$D$130*(((Inputs!$G$5:$G$130="moeda")+(Inputs!$G$5:$G$130="acoes"))*Inputs!$B$1+((Inputs!$G$5:$G$130&lt;&gt;"moeda")*(Inputs!$G$5:$G$130&lt;&gt;"acoes")))*INDEX(Inputs!$K$5:$AJ$130,0,MATCH(G$2,Inputs!$K$4:$AJ$4,0)))+SUMPRODUCT((Inputs!$E$5:$E$130=$B12)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12" s="3" t="e">
        <f>SUM(D12:G12)</f>
        <v>#N/A</v>
      </c>
      <c r="I12" s="6" t="e">
        <f>IF(ISNA(MATCH(I$2,Inputs!$K$4:$AJ$4,0)),NA(),IF(SUMPRODUCT((Inputs!$A$5:$A$130=$B12)*ISNUMBER(INDEX(Inputs!$K$5:$AJ$130,0,MATCH(I$2,Inputs!$K$4:$AJ$4,0))))+SUMPRODUCT((Inputs!$C$5:$C$130=$B12)*ISNUMBER(INDEX(Inputs!$K$5:$AJ$130,0,MATCH(I$2,Inputs!$K$4:$AJ$4,0))))+SUMPRODUCT((Inputs!$E$5:$E$130=$B12)*ISNUMBER(INDEX(Inputs!$K$5:$AJ$130,0,MATCH(I$2,Inputs!$K$4:$AJ$4,0))))=0,NA(),SUMPRODUCT((Inputs!$A$5:$A$130=$B12)*Inputs!$B$5:$B$130*(((Inputs!$G$5:$G$130="moeda")+(Inputs!$G$5:$G$130="acoes"))*Inputs!$B$1+((Inputs!$G$5:$G$130&lt;&gt;"moeda")*(Inputs!$G$5:$G$130&lt;&gt;"acoes")))*INDEX(Inputs!$K$5:$AJ$130,0,MATCH(I$2,Inputs!$K$4:$AJ$4,0)))+SUMPRODUCT((Inputs!$C$5:$C$130=$B12)*Inputs!$D$5:$D$130*(((Inputs!$G$5:$G$130="moeda")+(Inputs!$G$5:$G$130="acoes"))*Inputs!$B$1+((Inputs!$G$5:$G$130&lt;&gt;"moeda")*(Inputs!$G$5:$G$130&lt;&gt;"acoes")))*INDEX(Inputs!$K$5:$AJ$130,0,MATCH(I$2,Inputs!$K$4:$AJ$4,0)))+SUMPRODUCT((Inputs!$E$5:$E$130=$B12)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12" s="6" t="e">
        <f>IF(ISNA(MATCH(J$2,Inputs!$K$4:$AJ$4,0)),NA(),IF(SUMPRODUCT((Inputs!$A$5:$A$130=$B12)*ISNUMBER(INDEX(Inputs!$K$5:$AJ$130,0,MATCH(J$2,Inputs!$K$4:$AJ$4,0))))+SUMPRODUCT((Inputs!$C$5:$C$130=$B12)*ISNUMBER(INDEX(Inputs!$K$5:$AJ$130,0,MATCH(J$2,Inputs!$K$4:$AJ$4,0))))+SUMPRODUCT((Inputs!$E$5:$E$130=$B12)*ISNUMBER(INDEX(Inputs!$K$5:$AJ$130,0,MATCH(J$2,Inputs!$K$4:$AJ$4,0))))=0,NA(),SUMPRODUCT((Inputs!$A$5:$A$130=$B12)*Inputs!$B$5:$B$130*(((Inputs!$G$5:$G$130="moeda")+(Inputs!$G$5:$G$130="acoes"))*Inputs!$B$1+((Inputs!$G$5:$G$130&lt;&gt;"moeda")*(Inputs!$G$5:$G$130&lt;&gt;"acoes")))*INDEX(Inputs!$K$5:$AJ$130,0,MATCH(J$2,Inputs!$K$4:$AJ$4,0)))+SUMPRODUCT((Inputs!$C$5:$C$130=$B12)*Inputs!$D$5:$D$130*(((Inputs!$G$5:$G$130="moeda")+(Inputs!$G$5:$G$130="acoes"))*Inputs!$B$1+((Inputs!$G$5:$G$130&lt;&gt;"moeda")*(Inputs!$G$5:$G$130&lt;&gt;"acoes")))*INDEX(Inputs!$K$5:$AJ$130,0,MATCH(J$2,Inputs!$K$4:$AJ$4,0)))+SUMPRODUCT((Inputs!$E$5:$E$130=$B12)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12" s="6" t="e">
        <f>IF(ISNA(MATCH(K$2,Inputs!$K$4:$AJ$4,0)),NA(),IF(SUMPRODUCT((Inputs!$A$5:$A$130=$B12)*ISNUMBER(INDEX(Inputs!$K$5:$AJ$130,0,MATCH(K$2,Inputs!$K$4:$AJ$4,0))))+SUMPRODUCT((Inputs!$C$5:$C$130=$B12)*ISNUMBER(INDEX(Inputs!$K$5:$AJ$130,0,MATCH(K$2,Inputs!$K$4:$AJ$4,0))))+SUMPRODUCT((Inputs!$E$5:$E$130=$B12)*ISNUMBER(INDEX(Inputs!$K$5:$AJ$130,0,MATCH(K$2,Inputs!$K$4:$AJ$4,0))))=0,NA(),SUMPRODUCT((Inputs!$A$5:$A$130=$B12)*Inputs!$B$5:$B$130*(((Inputs!$G$5:$G$130="moeda")+(Inputs!$G$5:$G$130="acoes"))*Inputs!$B$1+((Inputs!$G$5:$G$130&lt;&gt;"moeda")*(Inputs!$G$5:$G$130&lt;&gt;"acoes")))*INDEX(Inputs!$K$5:$AJ$130,0,MATCH(K$2,Inputs!$K$4:$AJ$4,0)))+SUMPRODUCT((Inputs!$C$5:$C$130=$B12)*Inputs!$D$5:$D$130*(((Inputs!$G$5:$G$130="moeda")+(Inputs!$G$5:$G$130="acoes"))*Inputs!$B$1+((Inputs!$G$5:$G$130&lt;&gt;"moeda")*(Inputs!$G$5:$G$130&lt;&gt;"acoes")))*INDEX(Inputs!$K$5:$AJ$130,0,MATCH(K$2,Inputs!$K$4:$AJ$4,0)))+SUMPRODUCT((Inputs!$E$5:$E$130=$B12)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12" s="6" t="e">
        <f>IF(ISNA(MATCH(L$2,Inputs!$K$4:$AJ$4,0)),NA(),IF(SUMPRODUCT((Inputs!$A$5:$A$130=$B12)*ISNUMBER(INDEX(Inputs!$K$5:$AJ$130,0,MATCH(L$2,Inputs!$K$4:$AJ$4,0))))+SUMPRODUCT((Inputs!$C$5:$C$130=$B12)*ISNUMBER(INDEX(Inputs!$K$5:$AJ$130,0,MATCH(L$2,Inputs!$K$4:$AJ$4,0))))+SUMPRODUCT((Inputs!$E$5:$E$130=$B12)*ISNUMBER(INDEX(Inputs!$K$5:$AJ$130,0,MATCH(L$2,Inputs!$K$4:$AJ$4,0))))=0,NA(),SUMPRODUCT((Inputs!$A$5:$A$130=$B12)*Inputs!$B$5:$B$130*(((Inputs!$G$5:$G$130="moeda")+(Inputs!$G$5:$G$130="acoes"))*Inputs!$B$1+((Inputs!$G$5:$G$130&lt;&gt;"moeda")*(Inputs!$G$5:$G$130&lt;&gt;"acoes")))*INDEX(Inputs!$K$5:$AJ$130,0,MATCH(L$2,Inputs!$K$4:$AJ$4,0)))+SUMPRODUCT((Inputs!$C$5:$C$130=$B12)*Inputs!$D$5:$D$130*(((Inputs!$G$5:$G$130="moeda")+(Inputs!$G$5:$G$130="acoes"))*Inputs!$B$1+((Inputs!$G$5:$G$130&lt;&gt;"moeda")*(Inputs!$G$5:$G$130&lt;&gt;"acoes")))*INDEX(Inputs!$K$5:$AJ$130,0,MATCH(L$2,Inputs!$K$4:$AJ$4,0)))+SUMPRODUCT((Inputs!$E$5:$E$130=$B12)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12" s="3" t="e">
        <f>SUM(I12:L12)</f>
        <v>#N/A</v>
      </c>
      <c r="N12" s="6" t="e">
        <f>IF(ISNA(MATCH(N$2,Inputs!$K$4:$AJ$4,0)),NA(),IF(SUMPRODUCT((Inputs!$A$5:$A$130=$B12)*ISNUMBER(INDEX(Inputs!$K$5:$AJ$130,0,MATCH(N$2,Inputs!$K$4:$AJ$4,0))))+SUMPRODUCT((Inputs!$C$5:$C$130=$B12)*ISNUMBER(INDEX(Inputs!$K$5:$AJ$130,0,MATCH(N$2,Inputs!$K$4:$AJ$4,0))))+SUMPRODUCT((Inputs!$E$5:$E$130=$B12)*ISNUMBER(INDEX(Inputs!$K$5:$AJ$130,0,MATCH(N$2,Inputs!$K$4:$AJ$4,0))))=0,NA(),SUMPRODUCT((Inputs!$A$5:$A$130=$B12)*Inputs!$B$5:$B$130*(((Inputs!$G$5:$G$130="moeda")+(Inputs!$G$5:$G$130="acoes"))*Inputs!$B$1+((Inputs!$G$5:$G$130&lt;&gt;"moeda")*(Inputs!$G$5:$G$130&lt;&gt;"acoes")))*INDEX(Inputs!$K$5:$AJ$130,0,MATCH(N$2,Inputs!$K$4:$AJ$4,0)))+SUMPRODUCT((Inputs!$C$5:$C$130=$B12)*Inputs!$D$5:$D$130*(((Inputs!$G$5:$G$130="moeda")+(Inputs!$G$5:$G$130="acoes"))*Inputs!$B$1+((Inputs!$G$5:$G$130&lt;&gt;"moeda")*(Inputs!$G$5:$G$130&lt;&gt;"acoes")))*INDEX(Inputs!$K$5:$AJ$130,0,MATCH(N$2,Inputs!$K$4:$AJ$4,0)))+SUMPRODUCT((Inputs!$E$5:$E$130=$B12)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12" s="6" t="e">
        <f>IF(ISNA(MATCH(O$2,Inputs!$K$4:$AJ$4,0)),NA(),IF(SUMPRODUCT((Inputs!$A$5:$A$130=$B12)*ISNUMBER(INDEX(Inputs!$K$5:$AJ$130,0,MATCH(O$2,Inputs!$K$4:$AJ$4,0))))+SUMPRODUCT((Inputs!$C$5:$C$130=$B12)*ISNUMBER(INDEX(Inputs!$K$5:$AJ$130,0,MATCH(O$2,Inputs!$K$4:$AJ$4,0))))+SUMPRODUCT((Inputs!$E$5:$E$130=$B12)*ISNUMBER(INDEX(Inputs!$K$5:$AJ$130,0,MATCH(O$2,Inputs!$K$4:$AJ$4,0))))=0,NA(),SUMPRODUCT((Inputs!$A$5:$A$130=$B12)*Inputs!$B$5:$B$130*(((Inputs!$G$5:$G$130="moeda")+(Inputs!$G$5:$G$130="acoes"))*Inputs!$B$1+((Inputs!$G$5:$G$130&lt;&gt;"moeda")*(Inputs!$G$5:$G$130&lt;&gt;"acoes")))*INDEX(Inputs!$K$5:$AJ$130,0,MATCH(O$2,Inputs!$K$4:$AJ$4,0)))+SUMPRODUCT((Inputs!$C$5:$C$130=$B12)*Inputs!$D$5:$D$130*(((Inputs!$G$5:$G$130="moeda")+(Inputs!$G$5:$G$130="acoes"))*Inputs!$B$1+((Inputs!$G$5:$G$130&lt;&gt;"moeda")*(Inputs!$G$5:$G$130&lt;&gt;"acoes")))*INDEX(Inputs!$K$5:$AJ$130,0,MATCH(O$2,Inputs!$K$4:$AJ$4,0)))+SUMPRODUCT((Inputs!$E$5:$E$130=$B12)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12" s="6" t="e">
        <f>IF(ISNA(MATCH(P$2,Inputs!$K$4:$AJ$4,0)),NA(),IF(SUMPRODUCT((Inputs!$A$5:$A$130=$B12)*ISNUMBER(INDEX(Inputs!$K$5:$AJ$130,0,MATCH(P$2,Inputs!$K$4:$AJ$4,0))))+SUMPRODUCT((Inputs!$C$5:$C$130=$B12)*ISNUMBER(INDEX(Inputs!$K$5:$AJ$130,0,MATCH(P$2,Inputs!$K$4:$AJ$4,0))))+SUMPRODUCT((Inputs!$E$5:$E$130=$B12)*ISNUMBER(INDEX(Inputs!$K$5:$AJ$130,0,MATCH(P$2,Inputs!$K$4:$AJ$4,0))))=0,NA(),SUMPRODUCT((Inputs!$A$5:$A$130=$B12)*Inputs!$B$5:$B$130*(((Inputs!$G$5:$G$130="moeda")+(Inputs!$G$5:$G$130="acoes"))*Inputs!$B$1+((Inputs!$G$5:$G$130&lt;&gt;"moeda")*(Inputs!$G$5:$G$130&lt;&gt;"acoes")))*INDEX(Inputs!$K$5:$AJ$130,0,MATCH(P$2,Inputs!$K$4:$AJ$4,0)))+SUMPRODUCT((Inputs!$C$5:$C$130=$B12)*Inputs!$D$5:$D$130*(((Inputs!$G$5:$G$130="moeda")+(Inputs!$G$5:$G$130="acoes"))*Inputs!$B$1+((Inputs!$G$5:$G$130&lt;&gt;"moeda")*(Inputs!$G$5:$G$130&lt;&gt;"acoes")))*INDEX(Inputs!$K$5:$AJ$130,0,MATCH(P$2,Inputs!$K$4:$AJ$4,0)))+SUMPRODUCT((Inputs!$E$5:$E$130=$B12)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12" s="6" t="e">
        <f>IF(ISNA(MATCH(Q$2,Inputs!$K$4:$AJ$4,0)),NA(),IF(SUMPRODUCT((Inputs!$A$5:$A$130=$B12)*ISNUMBER(INDEX(Inputs!$K$5:$AJ$130,0,MATCH(Q$2,Inputs!$K$4:$AJ$4,0))))+SUMPRODUCT((Inputs!$C$5:$C$130=$B12)*ISNUMBER(INDEX(Inputs!$K$5:$AJ$130,0,MATCH(Q$2,Inputs!$K$4:$AJ$4,0))))+SUMPRODUCT((Inputs!$E$5:$E$130=$B12)*ISNUMBER(INDEX(Inputs!$K$5:$AJ$130,0,MATCH(Q$2,Inputs!$K$4:$AJ$4,0))))=0,NA(),SUMPRODUCT((Inputs!$A$5:$A$130=$B12)*Inputs!$B$5:$B$130*(((Inputs!$G$5:$G$130="moeda")+(Inputs!$G$5:$G$130="acoes"))*Inputs!$B$1+((Inputs!$G$5:$G$130&lt;&gt;"moeda")*(Inputs!$G$5:$G$130&lt;&gt;"acoes")))*INDEX(Inputs!$K$5:$AJ$130,0,MATCH(Q$2,Inputs!$K$4:$AJ$4,0)))+SUMPRODUCT((Inputs!$C$5:$C$130=$B12)*Inputs!$D$5:$D$130*(((Inputs!$G$5:$G$130="moeda")+(Inputs!$G$5:$G$130="acoes"))*Inputs!$B$1+((Inputs!$G$5:$G$130&lt;&gt;"moeda")*(Inputs!$G$5:$G$130&lt;&gt;"acoes")))*INDEX(Inputs!$K$5:$AJ$130,0,MATCH(Q$2,Inputs!$K$4:$AJ$4,0)))+SUMPRODUCT((Inputs!$E$5:$E$130=$B12)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12" s="3" t="e">
        <f>SUM(N12:Q12)</f>
        <v>#N/A</v>
      </c>
      <c r="S12" s="6" t="e">
        <f>IF(ISNA(MATCH(S$2,Inputs!$K$4:$AJ$4,0)),NA(),IF(SUMPRODUCT((Inputs!$A$5:$A$130=$B12)*ISNUMBER(INDEX(Inputs!$K$5:$AJ$130,0,MATCH(S$2,Inputs!$K$4:$AJ$4,0))))+SUMPRODUCT((Inputs!$C$5:$C$130=$B12)*ISNUMBER(INDEX(Inputs!$K$5:$AJ$130,0,MATCH(S$2,Inputs!$K$4:$AJ$4,0))))+SUMPRODUCT((Inputs!$E$5:$E$130=$B12)*ISNUMBER(INDEX(Inputs!$K$5:$AJ$130,0,MATCH(S$2,Inputs!$K$4:$AJ$4,0))))=0,NA(),SUMPRODUCT((Inputs!$A$5:$A$130=$B12)*Inputs!$B$5:$B$130*(((Inputs!$G$5:$G$130="moeda")+(Inputs!$G$5:$G$130="acoes"))*Inputs!$B$1+((Inputs!$G$5:$G$130&lt;&gt;"moeda")*(Inputs!$G$5:$G$130&lt;&gt;"acoes")))*INDEX(Inputs!$K$5:$AJ$130,0,MATCH(S$2,Inputs!$K$4:$AJ$4,0)))+SUMPRODUCT((Inputs!$C$5:$C$130=$B12)*Inputs!$D$5:$D$130*(((Inputs!$G$5:$G$130="moeda")+(Inputs!$G$5:$G$130="acoes"))*Inputs!$B$1+((Inputs!$G$5:$G$130&lt;&gt;"moeda")*(Inputs!$G$5:$G$130&lt;&gt;"acoes")))*INDEX(Inputs!$K$5:$AJ$130,0,MATCH(S$2,Inputs!$K$4:$AJ$4,0)))+SUMPRODUCT((Inputs!$E$5:$E$130=$B12)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12" s="6" t="e">
        <f>IF(ISNA(MATCH(T$2,Inputs!$K$4:$AJ$4,0)),NA(),IF(SUMPRODUCT((Inputs!$A$5:$A$130=$B12)*ISNUMBER(INDEX(Inputs!$K$5:$AJ$130,0,MATCH(T$2,Inputs!$K$4:$AJ$4,0))))+SUMPRODUCT((Inputs!$C$5:$C$130=$B12)*ISNUMBER(INDEX(Inputs!$K$5:$AJ$130,0,MATCH(T$2,Inputs!$K$4:$AJ$4,0))))+SUMPRODUCT((Inputs!$E$5:$E$130=$B12)*ISNUMBER(INDEX(Inputs!$K$5:$AJ$130,0,MATCH(T$2,Inputs!$K$4:$AJ$4,0))))=0,NA(),SUMPRODUCT((Inputs!$A$5:$A$130=$B12)*Inputs!$B$5:$B$130*(((Inputs!$G$5:$G$130="moeda")+(Inputs!$G$5:$G$130="acoes"))*Inputs!$B$1+((Inputs!$G$5:$G$130&lt;&gt;"moeda")*(Inputs!$G$5:$G$130&lt;&gt;"acoes")))*INDEX(Inputs!$K$5:$AJ$130,0,MATCH(T$2,Inputs!$K$4:$AJ$4,0)))+SUMPRODUCT((Inputs!$C$5:$C$130=$B12)*Inputs!$D$5:$D$130*(((Inputs!$G$5:$G$130="moeda")+(Inputs!$G$5:$G$130="acoes"))*Inputs!$B$1+((Inputs!$G$5:$G$130&lt;&gt;"moeda")*(Inputs!$G$5:$G$130&lt;&gt;"acoes")))*INDEX(Inputs!$K$5:$AJ$130,0,MATCH(T$2,Inputs!$K$4:$AJ$4,0)))+SUMPRODUCT((Inputs!$E$5:$E$130=$B12)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12" s="6" t="e">
        <f>IF(ISNA(MATCH(U$2,Inputs!$K$4:$AJ$4,0)),NA(),IF(SUMPRODUCT((Inputs!$A$5:$A$130=$B12)*ISNUMBER(INDEX(Inputs!$K$5:$AJ$130,0,MATCH(U$2,Inputs!$K$4:$AJ$4,0))))+SUMPRODUCT((Inputs!$C$5:$C$130=$B12)*ISNUMBER(INDEX(Inputs!$K$5:$AJ$130,0,MATCH(U$2,Inputs!$K$4:$AJ$4,0))))+SUMPRODUCT((Inputs!$E$5:$E$130=$B12)*ISNUMBER(INDEX(Inputs!$K$5:$AJ$130,0,MATCH(U$2,Inputs!$K$4:$AJ$4,0))))=0,NA(),SUMPRODUCT((Inputs!$A$5:$A$130=$B12)*Inputs!$B$5:$B$130*(((Inputs!$G$5:$G$130="moeda")+(Inputs!$G$5:$G$130="acoes"))*Inputs!$B$1+((Inputs!$G$5:$G$130&lt;&gt;"moeda")*(Inputs!$G$5:$G$130&lt;&gt;"acoes")))*INDEX(Inputs!$K$5:$AJ$130,0,MATCH(U$2,Inputs!$K$4:$AJ$4,0)))+SUMPRODUCT((Inputs!$C$5:$C$130=$B12)*Inputs!$D$5:$D$130*(((Inputs!$G$5:$G$130="moeda")+(Inputs!$G$5:$G$130="acoes"))*Inputs!$B$1+((Inputs!$G$5:$G$130&lt;&gt;"moeda")*(Inputs!$G$5:$G$130&lt;&gt;"acoes")))*INDEX(Inputs!$K$5:$AJ$130,0,MATCH(U$2,Inputs!$K$4:$AJ$4,0)))+SUMPRODUCT((Inputs!$E$5:$E$130=$B12)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12" s="6" t="e">
        <f>IF(ISNA(MATCH(V$2,Inputs!$K$4:$AJ$4,0)),NA(),IF(SUMPRODUCT((Inputs!$A$5:$A$130=$B12)*ISNUMBER(INDEX(Inputs!$K$5:$AJ$130,0,MATCH(V$2,Inputs!$K$4:$AJ$4,0))))+SUMPRODUCT((Inputs!$C$5:$C$130=$B12)*ISNUMBER(INDEX(Inputs!$K$5:$AJ$130,0,MATCH(V$2,Inputs!$K$4:$AJ$4,0))))+SUMPRODUCT((Inputs!$E$5:$E$130=$B12)*ISNUMBER(INDEX(Inputs!$K$5:$AJ$130,0,MATCH(V$2,Inputs!$K$4:$AJ$4,0))))=0,NA(),SUMPRODUCT((Inputs!$A$5:$A$130=$B12)*Inputs!$B$5:$B$130*(((Inputs!$G$5:$G$130="moeda")+(Inputs!$G$5:$G$130="acoes"))*Inputs!$B$1+((Inputs!$G$5:$G$130&lt;&gt;"moeda")*(Inputs!$G$5:$G$130&lt;&gt;"acoes")))*INDEX(Inputs!$K$5:$AJ$130,0,MATCH(V$2,Inputs!$K$4:$AJ$4,0)))+SUMPRODUCT((Inputs!$C$5:$C$130=$B12)*Inputs!$D$5:$D$130*(((Inputs!$G$5:$G$130="moeda")+(Inputs!$G$5:$G$130="acoes"))*Inputs!$B$1+((Inputs!$G$5:$G$130&lt;&gt;"moeda")*(Inputs!$G$5:$G$130&lt;&gt;"acoes")))*INDEX(Inputs!$K$5:$AJ$130,0,MATCH(V$2,Inputs!$K$4:$AJ$4,0)))+SUMPRODUCT((Inputs!$E$5:$E$130=$B12)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12" s="3" t="e">
        <f>SUM(S12:V12)</f>
        <v>#N/A</v>
      </c>
      <c r="X12" s="6" t="e">
        <f>IF(ISNA(MATCH(X$2,Inputs!$K$4:$AJ$4,0)),NA(),IF(SUMPRODUCT((Inputs!$A$5:$A$130=$B12)*ISNUMBER(INDEX(Inputs!$K$5:$AJ$130,0,MATCH(X$2,Inputs!$K$4:$AJ$4,0))))+SUMPRODUCT((Inputs!$C$5:$C$130=$B12)*ISNUMBER(INDEX(Inputs!$K$5:$AJ$130,0,MATCH(X$2,Inputs!$K$4:$AJ$4,0))))+SUMPRODUCT((Inputs!$E$5:$E$130=$B12)*ISNUMBER(INDEX(Inputs!$K$5:$AJ$130,0,MATCH(X$2,Inputs!$K$4:$AJ$4,0))))=0,NA(),SUMPRODUCT((Inputs!$A$5:$A$130=$B12)*Inputs!$B$5:$B$130*(((Inputs!$G$5:$G$130="moeda")+(Inputs!$G$5:$G$130="acoes"))*Inputs!$B$1+((Inputs!$G$5:$G$130&lt;&gt;"moeda")*(Inputs!$G$5:$G$130&lt;&gt;"acoes")))*INDEX(Inputs!$K$5:$AJ$130,0,MATCH(X$2,Inputs!$K$4:$AJ$4,0)))+SUMPRODUCT((Inputs!$C$5:$C$130=$B12)*Inputs!$D$5:$D$130*(((Inputs!$G$5:$G$130="moeda")+(Inputs!$G$5:$G$130="acoes"))*Inputs!$B$1+((Inputs!$G$5:$G$130&lt;&gt;"moeda")*(Inputs!$G$5:$G$130&lt;&gt;"acoes")))*INDEX(Inputs!$K$5:$AJ$130,0,MATCH(X$2,Inputs!$K$4:$AJ$4,0)))+SUMPRODUCT((Inputs!$E$5:$E$130=$B12)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12" s="6" t="e">
        <f>IF(ISNA(MATCH(Y$2,Inputs!$K$4:$AJ$4,0)),NA(),IF(SUMPRODUCT((Inputs!$A$5:$A$130=$B12)*ISNUMBER(INDEX(Inputs!$K$5:$AJ$130,0,MATCH(Y$2,Inputs!$K$4:$AJ$4,0))))+SUMPRODUCT((Inputs!$C$5:$C$130=$B12)*ISNUMBER(INDEX(Inputs!$K$5:$AJ$130,0,MATCH(Y$2,Inputs!$K$4:$AJ$4,0))))+SUMPRODUCT((Inputs!$E$5:$E$130=$B12)*ISNUMBER(INDEX(Inputs!$K$5:$AJ$130,0,MATCH(Y$2,Inputs!$K$4:$AJ$4,0))))=0,NA(),SUMPRODUCT((Inputs!$A$5:$A$130=$B12)*Inputs!$B$5:$B$130*(((Inputs!$G$5:$G$130="moeda")+(Inputs!$G$5:$G$130="acoes"))*Inputs!$B$1+((Inputs!$G$5:$G$130&lt;&gt;"moeda")*(Inputs!$G$5:$G$130&lt;&gt;"acoes")))*INDEX(Inputs!$K$5:$AJ$130,0,MATCH(Y$2,Inputs!$K$4:$AJ$4,0)))+SUMPRODUCT((Inputs!$C$5:$C$130=$B12)*Inputs!$D$5:$D$130*(((Inputs!$G$5:$G$130="moeda")+(Inputs!$G$5:$G$130="acoes"))*Inputs!$B$1+((Inputs!$G$5:$G$130&lt;&gt;"moeda")*(Inputs!$G$5:$G$130&lt;&gt;"acoes")))*INDEX(Inputs!$K$5:$AJ$130,0,MATCH(Y$2,Inputs!$K$4:$AJ$4,0)))+SUMPRODUCT((Inputs!$E$5:$E$130=$B12)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12" s="6" t="e">
        <f>IF(ISNA(MATCH(Z$2,Inputs!$K$4:$AJ$4,0)),NA(),IF(SUMPRODUCT((Inputs!$A$5:$A$130=$B12)*ISNUMBER(INDEX(Inputs!$K$5:$AJ$130,0,MATCH(Z$2,Inputs!$K$4:$AJ$4,0))))+SUMPRODUCT((Inputs!$C$5:$C$130=$B12)*ISNUMBER(INDEX(Inputs!$K$5:$AJ$130,0,MATCH(Z$2,Inputs!$K$4:$AJ$4,0))))+SUMPRODUCT((Inputs!$E$5:$E$130=$B12)*ISNUMBER(INDEX(Inputs!$K$5:$AJ$130,0,MATCH(Z$2,Inputs!$K$4:$AJ$4,0))))=0,NA(),SUMPRODUCT((Inputs!$A$5:$A$130=$B12)*Inputs!$B$5:$B$130*(((Inputs!$G$5:$G$130="moeda")+(Inputs!$G$5:$G$130="acoes"))*Inputs!$B$1+((Inputs!$G$5:$G$130&lt;&gt;"moeda")*(Inputs!$G$5:$G$130&lt;&gt;"acoes")))*INDEX(Inputs!$K$5:$AJ$130,0,MATCH(Z$2,Inputs!$K$4:$AJ$4,0)))+SUMPRODUCT((Inputs!$C$5:$C$130=$B12)*Inputs!$D$5:$D$130*(((Inputs!$G$5:$G$130="moeda")+(Inputs!$G$5:$G$130="acoes"))*Inputs!$B$1+((Inputs!$G$5:$G$130&lt;&gt;"moeda")*(Inputs!$G$5:$G$130&lt;&gt;"acoes")))*INDEX(Inputs!$K$5:$AJ$130,0,MATCH(Z$2,Inputs!$K$4:$AJ$4,0)))+SUMPRODUCT((Inputs!$E$5:$E$130=$B12)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12" s="6" t="e">
        <f>IF(ISNA(MATCH(AA$2,Inputs!$K$4:$AJ$4,0)),NA(),IF(SUMPRODUCT((Inputs!$A$5:$A$130=$B12)*ISNUMBER(INDEX(Inputs!$K$5:$AJ$130,0,MATCH(AA$2,Inputs!$K$4:$AJ$4,0))))+SUMPRODUCT((Inputs!$C$5:$C$130=$B12)*ISNUMBER(INDEX(Inputs!$K$5:$AJ$130,0,MATCH(AA$2,Inputs!$K$4:$AJ$4,0))))+SUMPRODUCT((Inputs!$E$5:$E$130=$B12)*ISNUMBER(INDEX(Inputs!$K$5:$AJ$130,0,MATCH(AA$2,Inputs!$K$4:$AJ$4,0))))=0,NA(),SUMPRODUCT((Inputs!$A$5:$A$130=$B12)*Inputs!$B$5:$B$130*(((Inputs!$G$5:$G$130="moeda")+(Inputs!$G$5:$G$130="acoes"))*Inputs!$B$1+((Inputs!$G$5:$G$130&lt;&gt;"moeda")*(Inputs!$G$5:$G$130&lt;&gt;"acoes")))*INDEX(Inputs!$K$5:$AJ$130,0,MATCH(AA$2,Inputs!$K$4:$AJ$4,0)))+SUMPRODUCT((Inputs!$C$5:$C$130=$B12)*Inputs!$D$5:$D$130*(((Inputs!$G$5:$G$130="moeda")+(Inputs!$G$5:$G$130="acoes"))*Inputs!$B$1+((Inputs!$G$5:$G$130&lt;&gt;"moeda")*(Inputs!$G$5:$G$130&lt;&gt;"acoes")))*INDEX(Inputs!$K$5:$AJ$130,0,MATCH(AA$2,Inputs!$K$4:$AJ$4,0)))+SUMPRODUCT((Inputs!$E$5:$E$130=$B12)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12" s="3" t="e">
        <f>SUM(X12:AA12)</f>
        <v>#N/A</v>
      </c>
      <c r="AC12" s="6" t="e">
        <f>IF(ISNA(MATCH(AC$2,Inputs!$K$4:$AJ$4,0)),NA(),IF(SUMPRODUCT((Inputs!$A$5:$A$130=$B12)*ISNUMBER(INDEX(Inputs!$K$5:$AJ$130,0,MATCH(AC$2,Inputs!$K$4:$AJ$4,0))))+SUMPRODUCT((Inputs!$C$5:$C$130=$B12)*ISNUMBER(INDEX(Inputs!$K$5:$AJ$130,0,MATCH(AC$2,Inputs!$K$4:$AJ$4,0))))+SUMPRODUCT((Inputs!$E$5:$E$130=$B12)*ISNUMBER(INDEX(Inputs!$K$5:$AJ$130,0,MATCH(AC$2,Inputs!$K$4:$AJ$4,0))))=0,NA(),SUMPRODUCT((Inputs!$A$5:$A$130=$B12)*Inputs!$B$5:$B$130*(((Inputs!$G$5:$G$130="moeda")+(Inputs!$G$5:$G$130="acoes"))*Inputs!$B$1+((Inputs!$G$5:$G$130&lt;&gt;"moeda")*(Inputs!$G$5:$G$130&lt;&gt;"acoes")))*INDEX(Inputs!$K$5:$AJ$130,0,MATCH(AC$2,Inputs!$K$4:$AJ$4,0)))+SUMPRODUCT((Inputs!$C$5:$C$130=$B12)*Inputs!$D$5:$D$130*(((Inputs!$G$5:$G$130="moeda")+(Inputs!$G$5:$G$130="acoes"))*Inputs!$B$1+((Inputs!$G$5:$G$130&lt;&gt;"moeda")*(Inputs!$G$5:$G$130&lt;&gt;"acoes")))*INDEX(Inputs!$K$5:$AJ$130,0,MATCH(AC$2,Inputs!$K$4:$AJ$4,0)))+SUMPRODUCT((Inputs!$E$5:$E$130=$B12)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12" s="6" t="e">
        <f>IF(ISNA(MATCH(AD$2,Inputs!$K$4:$AJ$4,0)),NA(),IF(SUMPRODUCT((Inputs!$A$5:$A$130=$B12)*ISNUMBER(INDEX(Inputs!$K$5:$AJ$130,0,MATCH(AD$2,Inputs!$K$4:$AJ$4,0))))+SUMPRODUCT((Inputs!$C$5:$C$130=$B12)*ISNUMBER(INDEX(Inputs!$K$5:$AJ$130,0,MATCH(AD$2,Inputs!$K$4:$AJ$4,0))))+SUMPRODUCT((Inputs!$E$5:$E$130=$B12)*ISNUMBER(INDEX(Inputs!$K$5:$AJ$130,0,MATCH(AD$2,Inputs!$K$4:$AJ$4,0))))=0,NA(),SUMPRODUCT((Inputs!$A$5:$A$130=$B12)*Inputs!$B$5:$B$130*(((Inputs!$G$5:$G$130="moeda")+(Inputs!$G$5:$G$130="acoes"))*Inputs!$B$1+((Inputs!$G$5:$G$130&lt;&gt;"moeda")*(Inputs!$G$5:$G$130&lt;&gt;"acoes")))*INDEX(Inputs!$K$5:$AJ$130,0,MATCH(AD$2,Inputs!$K$4:$AJ$4,0)))+SUMPRODUCT((Inputs!$C$5:$C$130=$B12)*Inputs!$D$5:$D$130*(((Inputs!$G$5:$G$130="moeda")+(Inputs!$G$5:$G$130="acoes"))*Inputs!$B$1+((Inputs!$G$5:$G$130&lt;&gt;"moeda")*(Inputs!$G$5:$G$130&lt;&gt;"acoes")))*INDEX(Inputs!$K$5:$AJ$130,0,MATCH(AD$2,Inputs!$K$4:$AJ$4,0)))+SUMPRODUCT((Inputs!$E$5:$E$130=$B12)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12" s="6" t="e">
        <f>IF(ISNA(MATCH(AE$2,Inputs!$K$4:$AJ$4,0)),NA(),IF(SUMPRODUCT((Inputs!$A$5:$A$130=$B12)*ISNUMBER(INDEX(Inputs!$K$5:$AJ$130,0,MATCH(AE$2,Inputs!$K$4:$AJ$4,0))))+SUMPRODUCT((Inputs!$C$5:$C$130=$B12)*ISNUMBER(INDEX(Inputs!$K$5:$AJ$130,0,MATCH(AE$2,Inputs!$K$4:$AJ$4,0))))+SUMPRODUCT((Inputs!$E$5:$E$130=$B12)*ISNUMBER(INDEX(Inputs!$K$5:$AJ$130,0,MATCH(AE$2,Inputs!$K$4:$AJ$4,0))))=0,NA(),SUMPRODUCT((Inputs!$A$5:$A$130=$B12)*Inputs!$B$5:$B$130*(((Inputs!$G$5:$G$130="moeda")+(Inputs!$G$5:$G$130="acoes"))*Inputs!$B$1+((Inputs!$G$5:$G$130&lt;&gt;"moeda")*(Inputs!$G$5:$G$130&lt;&gt;"acoes")))*INDEX(Inputs!$K$5:$AJ$130,0,MATCH(AE$2,Inputs!$K$4:$AJ$4,0)))+SUMPRODUCT((Inputs!$C$5:$C$130=$B12)*Inputs!$D$5:$D$130*(((Inputs!$G$5:$G$130="moeda")+(Inputs!$G$5:$G$130="acoes"))*Inputs!$B$1+((Inputs!$G$5:$G$130&lt;&gt;"moeda")*(Inputs!$G$5:$G$130&lt;&gt;"acoes")))*INDEX(Inputs!$K$5:$AJ$130,0,MATCH(AE$2,Inputs!$K$4:$AJ$4,0)))+SUMPRODUCT((Inputs!$E$5:$E$130=$B12)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2" s="6" t="e">
        <f>IF(ISNA(MATCH(AF$2,Inputs!$K$4:$AJ$4,0)),NA(),IF(SUMPRODUCT((Inputs!$A$5:$A$130=$B12)*ISNUMBER(INDEX(Inputs!$K$5:$AJ$130,0,MATCH(AF$2,Inputs!$K$4:$AJ$4,0))))+SUMPRODUCT((Inputs!$C$5:$C$130=$B12)*ISNUMBER(INDEX(Inputs!$K$5:$AJ$130,0,MATCH(AF$2,Inputs!$K$4:$AJ$4,0))))+SUMPRODUCT((Inputs!$E$5:$E$130=$B12)*ISNUMBER(INDEX(Inputs!$K$5:$AJ$130,0,MATCH(AF$2,Inputs!$K$4:$AJ$4,0))))=0,NA(),SUMPRODUCT((Inputs!$A$5:$A$130=$B12)*Inputs!$B$5:$B$130*(((Inputs!$G$5:$G$130="moeda")+(Inputs!$G$5:$G$130="acoes"))*Inputs!$B$1+((Inputs!$G$5:$G$130&lt;&gt;"moeda")*(Inputs!$G$5:$G$130&lt;&gt;"acoes")))*INDEX(Inputs!$K$5:$AJ$130,0,MATCH(AF$2,Inputs!$K$4:$AJ$4,0)))+SUMPRODUCT((Inputs!$C$5:$C$130=$B12)*Inputs!$D$5:$D$130*(((Inputs!$G$5:$G$130="moeda")+(Inputs!$G$5:$G$130="acoes"))*Inputs!$B$1+((Inputs!$G$5:$G$130&lt;&gt;"moeda")*(Inputs!$G$5:$G$130&lt;&gt;"acoes")))*INDEX(Inputs!$K$5:$AJ$130,0,MATCH(AF$2,Inputs!$K$4:$AJ$4,0)))+SUMPRODUCT((Inputs!$E$5:$E$130=$B12)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2" s="3" t="e">
        <f>SUM(AC12:AF12)</f>
        <v>#N/A</v>
      </c>
      <c r="AH12" s="6" t="e">
        <f>IF(ISNA(MATCH(AH$2,Inputs!$K$4:$AJ$4,0)),NA(),IF(SUMPRODUCT((Inputs!$A$5:$A$130=$B12)*ISNUMBER(INDEX(Inputs!$K$5:$AJ$130,0,MATCH(AH$2,Inputs!$K$4:$AJ$4,0))))+SUMPRODUCT((Inputs!$C$5:$C$130=$B12)*ISNUMBER(INDEX(Inputs!$K$5:$AJ$130,0,MATCH(AH$2,Inputs!$K$4:$AJ$4,0))))+SUMPRODUCT((Inputs!$E$5:$E$130=$B12)*ISNUMBER(INDEX(Inputs!$K$5:$AJ$130,0,MATCH(AH$2,Inputs!$K$4:$AJ$4,0))))=0,NA(),SUMPRODUCT((Inputs!$A$5:$A$130=$B12)*Inputs!$B$5:$B$130*(((Inputs!$G$5:$G$130="moeda")+(Inputs!$G$5:$G$130="acoes"))*Inputs!$B$1+((Inputs!$G$5:$G$130&lt;&gt;"moeda")*(Inputs!$G$5:$G$130&lt;&gt;"acoes")))*INDEX(Inputs!$K$5:$AJ$130,0,MATCH(AH$2,Inputs!$K$4:$AJ$4,0)))+SUMPRODUCT((Inputs!$C$5:$C$130=$B12)*Inputs!$D$5:$D$130*(((Inputs!$G$5:$G$130="moeda")+(Inputs!$G$5:$G$130="acoes"))*Inputs!$B$1+((Inputs!$G$5:$G$130&lt;&gt;"moeda")*(Inputs!$G$5:$G$130&lt;&gt;"acoes")))*INDEX(Inputs!$K$5:$AJ$130,0,MATCH(AH$2,Inputs!$K$4:$AJ$4,0)))+SUMPRODUCT((Inputs!$E$5:$E$130=$B12)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12" s="6" t="e">
        <f>IF(ISNA(MATCH(AI$2,Inputs!$K$4:$AJ$4,0)),NA(),IF(SUMPRODUCT((Inputs!$A$5:$A$130=$B12)*ISNUMBER(INDEX(Inputs!$K$5:$AJ$130,0,MATCH(AI$2,Inputs!$K$4:$AJ$4,0))))+SUMPRODUCT((Inputs!$C$5:$C$130=$B12)*ISNUMBER(INDEX(Inputs!$K$5:$AJ$130,0,MATCH(AI$2,Inputs!$K$4:$AJ$4,0))))+SUMPRODUCT((Inputs!$E$5:$E$130=$B12)*ISNUMBER(INDEX(Inputs!$K$5:$AJ$130,0,MATCH(AI$2,Inputs!$K$4:$AJ$4,0))))=0,NA(),SUMPRODUCT((Inputs!$A$5:$A$130=$B12)*Inputs!$B$5:$B$130*(((Inputs!$G$5:$G$130="moeda")+(Inputs!$G$5:$G$130="acoes"))*Inputs!$B$1+((Inputs!$G$5:$G$130&lt;&gt;"moeda")*(Inputs!$G$5:$G$130&lt;&gt;"acoes")))*INDEX(Inputs!$K$5:$AJ$130,0,MATCH(AI$2,Inputs!$K$4:$AJ$4,0)))+SUMPRODUCT((Inputs!$C$5:$C$130=$B12)*Inputs!$D$5:$D$130*(((Inputs!$G$5:$G$130="moeda")+(Inputs!$G$5:$G$130="acoes"))*Inputs!$B$1+((Inputs!$G$5:$G$130&lt;&gt;"moeda")*(Inputs!$G$5:$G$130&lt;&gt;"acoes")))*INDEX(Inputs!$K$5:$AJ$130,0,MATCH(AI$2,Inputs!$K$4:$AJ$4,0)))+SUMPRODUCT((Inputs!$E$5:$E$130=$B12)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12" s="6" t="e">
        <f>IF(ISNA(MATCH(AJ$2,Inputs!$K$4:$AJ$4,0)),NA(),IF(SUMPRODUCT((Inputs!$A$5:$A$130=$B12)*ISNUMBER(INDEX(Inputs!$K$5:$AJ$130,0,MATCH(AJ$2,Inputs!$K$4:$AJ$4,0))))+SUMPRODUCT((Inputs!$C$5:$C$130=$B12)*ISNUMBER(INDEX(Inputs!$K$5:$AJ$130,0,MATCH(AJ$2,Inputs!$K$4:$AJ$4,0))))+SUMPRODUCT((Inputs!$E$5:$E$130=$B12)*ISNUMBER(INDEX(Inputs!$K$5:$AJ$130,0,MATCH(AJ$2,Inputs!$K$4:$AJ$4,0))))=0,NA(),SUMPRODUCT((Inputs!$A$5:$A$130=$B12)*Inputs!$B$5:$B$130*(((Inputs!$G$5:$G$130="moeda")+(Inputs!$G$5:$G$130="acoes"))*Inputs!$B$1+((Inputs!$G$5:$G$130&lt;&gt;"moeda")*(Inputs!$G$5:$G$130&lt;&gt;"acoes")))*INDEX(Inputs!$K$5:$AJ$130,0,MATCH(AJ$2,Inputs!$K$4:$AJ$4,0)))+SUMPRODUCT((Inputs!$C$5:$C$130=$B12)*Inputs!$D$5:$D$130*(((Inputs!$G$5:$G$130="moeda")+(Inputs!$G$5:$G$130="acoes"))*Inputs!$B$1+((Inputs!$G$5:$G$130&lt;&gt;"moeda")*(Inputs!$G$5:$G$130&lt;&gt;"acoes")))*INDEX(Inputs!$K$5:$AJ$130,0,MATCH(AJ$2,Inputs!$K$4:$AJ$4,0)))+SUMPRODUCT((Inputs!$E$5:$E$130=$B12)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12" s="6" t="e">
        <f>IF(ISNA(MATCH(AK$2,Inputs!$K$4:$AJ$4,0)),NA(),IF(SUMPRODUCT((Inputs!$A$5:$A$130=$B12)*ISNUMBER(INDEX(Inputs!$K$5:$AJ$130,0,MATCH(AK$2,Inputs!$K$4:$AJ$4,0))))+SUMPRODUCT((Inputs!$C$5:$C$130=$B12)*ISNUMBER(INDEX(Inputs!$K$5:$AJ$130,0,MATCH(AK$2,Inputs!$K$4:$AJ$4,0))))+SUMPRODUCT((Inputs!$E$5:$E$130=$B12)*ISNUMBER(INDEX(Inputs!$K$5:$AJ$130,0,MATCH(AK$2,Inputs!$K$4:$AJ$4,0))))=0,NA(),SUMPRODUCT((Inputs!$A$5:$A$130=$B12)*Inputs!$B$5:$B$130*(((Inputs!$G$5:$G$130="moeda")+(Inputs!$G$5:$G$130="acoes"))*Inputs!$B$1+((Inputs!$G$5:$G$130&lt;&gt;"moeda")*(Inputs!$G$5:$G$130&lt;&gt;"acoes")))*INDEX(Inputs!$K$5:$AJ$130,0,MATCH(AK$2,Inputs!$K$4:$AJ$4,0)))+SUMPRODUCT((Inputs!$C$5:$C$130=$B12)*Inputs!$D$5:$D$130*(((Inputs!$G$5:$G$130="moeda")+(Inputs!$G$5:$G$130="acoes"))*Inputs!$B$1+((Inputs!$G$5:$G$130&lt;&gt;"moeda")*(Inputs!$G$5:$G$130&lt;&gt;"acoes")))*INDEX(Inputs!$K$5:$AJ$130,0,MATCH(AK$2,Inputs!$K$4:$AJ$4,0)))+SUMPRODUCT((Inputs!$E$5:$E$130=$B12)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12" s="3" t="e">
        <f>SUM(AH12:AK12)</f>
        <v>#N/A</v>
      </c>
    </row>
    <row r="13">
      <c r="B13" s="46" t="n">
        <v>10</v>
      </c>
      <c r="C13" s="24" t="inlineStr">
        <is>
          <t>Common Dividends</t>
        </is>
      </c>
      <c r="D13" s="6">
        <f>IF(ISNA(MATCH(D$2,Inputs!$K$4:$AJ$4,0)),NA(),IF(SUMPRODUCT((Inputs!$A$5:$A$130=$B13)*ISNUMBER(INDEX(Inputs!$K$5:$AJ$130,0,MATCH(D$2,Inputs!$K$4:$AJ$4,0))))+SUMPRODUCT((Inputs!$C$5:$C$130=$B13)*ISNUMBER(INDEX(Inputs!$K$5:$AJ$130,0,MATCH(D$2,Inputs!$K$4:$AJ$4,0))))+SUMPRODUCT((Inputs!$E$5:$E$130=$B13)*ISNUMBER(INDEX(Inputs!$K$5:$AJ$130,0,MATCH(D$2,Inputs!$K$4:$AJ$4,0))))=0,NA(),SUMPRODUCT((Inputs!$A$5:$A$130=$B13)*Inputs!$B$5:$B$130*(((Inputs!$G$5:$G$130="moeda")+(Inputs!$G$5:$G$130="acoes"))*Inputs!$B$1+((Inputs!$G$5:$G$130&lt;&gt;"moeda")*(Inputs!$G$5:$G$130&lt;&gt;"acoes")))*INDEX(Inputs!$K$5:$AJ$130,0,MATCH(D$2,Inputs!$K$4:$AJ$4,0)))+SUMPRODUCT((Inputs!$C$5:$C$130=$B13)*Inputs!$D$5:$D$130*(((Inputs!$G$5:$G$130="moeda")+(Inputs!$G$5:$G$130="acoes"))*Inputs!$B$1+((Inputs!$G$5:$G$130&lt;&gt;"moeda")*(Inputs!$G$5:$G$130&lt;&gt;"acoes")))*INDEX(Inputs!$K$5:$AJ$130,0,MATCH(D$2,Inputs!$K$4:$AJ$4,0)))+SUMPRODUCT((Inputs!$E$5:$E$130=$B13)*Inputs!$F$5:$F$130*(((Inputs!$G$5:$G$130="moeda")+(Inputs!$G$5:$G$130="acoes"))*Inputs!$B$1+((Inputs!$G$5:$G$130&lt;&gt;"moeda")*(Inputs!$G$5:$G$130&lt;&gt;"acoes")))*INDEX(Inputs!$K$5:$AJ$130,0,MATCH(D$2,Inputs!$K$4:$AJ$4,0)))))</f>
        <v>-99</v>
      </c>
      <c r="E13" s="6">
        <f>IF(ISNA(MATCH(E$2,Inputs!$K$4:$AJ$4,0)),NA(),IF(SUMPRODUCT((Inputs!$A$5:$A$130=$B13)*ISNUMBER(INDEX(Inputs!$K$5:$AJ$130,0,MATCH(E$2,Inputs!$K$4:$AJ$4,0))))+SUMPRODUCT((Inputs!$C$5:$C$130=$B13)*ISNUMBER(INDEX(Inputs!$K$5:$AJ$130,0,MATCH(E$2,Inputs!$K$4:$AJ$4,0))))+SUMPRODUCT((Inputs!$E$5:$E$130=$B13)*ISNUMBER(INDEX(Inputs!$K$5:$AJ$130,0,MATCH(E$2,Inputs!$K$4:$AJ$4,0))))=0,NA(),SUMPRODUCT((Inputs!$A$5:$A$130=$B13)*Inputs!$B$5:$B$130*(((Inputs!$G$5:$G$130="moeda")+(Inputs!$G$5:$G$130="acoes"))*Inputs!$B$1+((Inputs!$G$5:$G$130&lt;&gt;"moeda")*(Inputs!$G$5:$G$130&lt;&gt;"acoes")))*INDEX(Inputs!$K$5:$AJ$130,0,MATCH(E$2,Inputs!$K$4:$AJ$4,0)))+SUMPRODUCT((Inputs!$C$5:$C$130=$B13)*Inputs!$D$5:$D$130*(((Inputs!$G$5:$G$130="moeda")+(Inputs!$G$5:$G$130="acoes"))*Inputs!$B$1+((Inputs!$G$5:$G$130&lt;&gt;"moeda")*(Inputs!$G$5:$G$130&lt;&gt;"acoes")))*INDEX(Inputs!$K$5:$AJ$130,0,MATCH(E$2,Inputs!$K$4:$AJ$4,0)))+SUMPRODUCT((Inputs!$E$5:$E$130=$B13)*Inputs!$F$5:$F$130*(((Inputs!$G$5:$G$130="moeda")+(Inputs!$G$5:$G$130="acoes"))*Inputs!$B$1+((Inputs!$G$5:$G$130&lt;&gt;"moeda")*(Inputs!$G$5:$G$130&lt;&gt;"acoes")))*INDEX(Inputs!$K$5:$AJ$130,0,MATCH(E$2,Inputs!$K$4:$AJ$4,0)))))</f>
        <v>-99</v>
      </c>
      <c r="F13" s="6">
        <f>IF(ISNA(MATCH(F$2,Inputs!$K$4:$AJ$4,0)),NA(),IF(SUMPRODUCT((Inputs!$A$5:$A$130=$B13)*ISNUMBER(INDEX(Inputs!$K$5:$AJ$130,0,MATCH(F$2,Inputs!$K$4:$AJ$4,0))))+SUMPRODUCT((Inputs!$C$5:$C$130=$B13)*ISNUMBER(INDEX(Inputs!$K$5:$AJ$130,0,MATCH(F$2,Inputs!$K$4:$AJ$4,0))))+SUMPRODUCT((Inputs!$E$5:$E$130=$B13)*ISNUMBER(INDEX(Inputs!$K$5:$AJ$130,0,MATCH(F$2,Inputs!$K$4:$AJ$4,0))))=0,NA(),SUMPRODUCT((Inputs!$A$5:$A$130=$B13)*Inputs!$B$5:$B$130*(((Inputs!$G$5:$G$130="moeda")+(Inputs!$G$5:$G$130="acoes"))*Inputs!$B$1+((Inputs!$G$5:$G$130&lt;&gt;"moeda")*(Inputs!$G$5:$G$130&lt;&gt;"acoes")))*INDEX(Inputs!$K$5:$AJ$130,0,MATCH(F$2,Inputs!$K$4:$AJ$4,0)))+SUMPRODUCT((Inputs!$C$5:$C$130=$B13)*Inputs!$D$5:$D$130*(((Inputs!$G$5:$G$130="moeda")+(Inputs!$G$5:$G$130="acoes"))*Inputs!$B$1+((Inputs!$G$5:$G$130&lt;&gt;"moeda")*(Inputs!$G$5:$G$130&lt;&gt;"acoes")))*INDEX(Inputs!$K$5:$AJ$130,0,MATCH(F$2,Inputs!$K$4:$AJ$4,0)))+SUMPRODUCT((Inputs!$E$5:$E$130=$B13)*Inputs!$F$5:$F$130*(((Inputs!$G$5:$G$130="moeda")+(Inputs!$G$5:$G$130="acoes"))*Inputs!$B$1+((Inputs!$G$5:$G$130&lt;&gt;"moeda")*(Inputs!$G$5:$G$130&lt;&gt;"acoes")))*INDEX(Inputs!$K$5:$AJ$130,0,MATCH(F$2,Inputs!$K$4:$AJ$4,0)))))</f>
        <v>-100</v>
      </c>
      <c r="G13" s="6">
        <f>IF(ISNA(MATCH(G$2,Inputs!$K$4:$AJ$4,0)),NA(),IF(SUMPRODUCT((Inputs!$A$5:$A$130=$B13)*ISNUMBER(INDEX(Inputs!$K$5:$AJ$130,0,MATCH(G$2,Inputs!$K$4:$AJ$4,0))))+SUMPRODUCT((Inputs!$C$5:$C$130=$B13)*ISNUMBER(INDEX(Inputs!$K$5:$AJ$130,0,MATCH(G$2,Inputs!$K$4:$AJ$4,0))))+SUMPRODUCT((Inputs!$E$5:$E$130=$B13)*ISNUMBER(INDEX(Inputs!$K$5:$AJ$130,0,MATCH(G$2,Inputs!$K$4:$AJ$4,0))))=0,NA(),SUMPRODUCT((Inputs!$A$5:$A$130=$B13)*Inputs!$B$5:$B$130*(((Inputs!$G$5:$G$130="moeda")+(Inputs!$G$5:$G$130="acoes"))*Inputs!$B$1+((Inputs!$G$5:$G$130&lt;&gt;"moeda")*(Inputs!$G$5:$G$130&lt;&gt;"acoes")))*INDEX(Inputs!$K$5:$AJ$130,0,MATCH(G$2,Inputs!$K$4:$AJ$4,0)))+SUMPRODUCT((Inputs!$C$5:$C$130=$B13)*Inputs!$D$5:$D$130*(((Inputs!$G$5:$G$130="moeda")+(Inputs!$G$5:$G$130="acoes"))*Inputs!$B$1+((Inputs!$G$5:$G$130&lt;&gt;"moeda")*(Inputs!$G$5:$G$130&lt;&gt;"acoes")))*INDEX(Inputs!$K$5:$AJ$130,0,MATCH(G$2,Inputs!$K$4:$AJ$4,0)))+SUMPRODUCT((Inputs!$E$5:$E$130=$B13)*Inputs!$F$5:$F$130*(((Inputs!$G$5:$G$130="moeda")+(Inputs!$G$5:$G$130="acoes"))*Inputs!$B$1+((Inputs!$G$5:$G$130&lt;&gt;"moeda")*(Inputs!$G$5:$G$130&lt;&gt;"acoes")))*INDEX(Inputs!$K$5:$AJ$130,0,MATCH(G$2,Inputs!$K$4:$AJ$4,0)))))</f>
        <v>-101</v>
      </c>
      <c r="H13" s="3">
        <f>SUM(D13:G13)</f>
        <v>-399</v>
      </c>
      <c r="I13" s="6">
        <f>IF(ISNA(MATCH(I$2,Inputs!$K$4:$AJ$4,0)),NA(),IF(SUMPRODUCT((Inputs!$A$5:$A$130=$B13)*ISNUMBER(INDEX(Inputs!$K$5:$AJ$130,0,MATCH(I$2,Inputs!$K$4:$AJ$4,0))))+SUMPRODUCT((Inputs!$C$5:$C$130=$B13)*ISNUMBER(INDEX(Inputs!$K$5:$AJ$130,0,MATCH(I$2,Inputs!$K$4:$AJ$4,0))))+SUMPRODUCT((Inputs!$E$5:$E$130=$B13)*ISNUMBER(INDEX(Inputs!$K$5:$AJ$130,0,MATCH(I$2,Inputs!$K$4:$AJ$4,0))))=0,NA(),SUMPRODUCT((Inputs!$A$5:$A$130=$B13)*Inputs!$B$5:$B$130*(((Inputs!$G$5:$G$130="moeda")+(Inputs!$G$5:$G$130="acoes"))*Inputs!$B$1+((Inputs!$G$5:$G$130&lt;&gt;"moeda")*(Inputs!$G$5:$G$130&lt;&gt;"acoes")))*INDEX(Inputs!$K$5:$AJ$130,0,MATCH(I$2,Inputs!$K$4:$AJ$4,0)))+SUMPRODUCT((Inputs!$C$5:$C$130=$B13)*Inputs!$D$5:$D$130*(((Inputs!$G$5:$G$130="moeda")+(Inputs!$G$5:$G$130="acoes"))*Inputs!$B$1+((Inputs!$G$5:$G$130&lt;&gt;"moeda")*(Inputs!$G$5:$G$130&lt;&gt;"acoes")))*INDEX(Inputs!$K$5:$AJ$130,0,MATCH(I$2,Inputs!$K$4:$AJ$4,0)))+SUMPRODUCT((Inputs!$E$5:$E$130=$B13)*Inputs!$F$5:$F$130*(((Inputs!$G$5:$G$130="moeda")+(Inputs!$G$5:$G$130="acoes"))*Inputs!$B$1+((Inputs!$G$5:$G$130&lt;&gt;"moeda")*(Inputs!$G$5:$G$130&lt;&gt;"acoes")))*INDEX(Inputs!$K$5:$AJ$130,0,MATCH(I$2,Inputs!$K$4:$AJ$4,0)))))</f>
        <v>-100</v>
      </c>
      <c r="J13" s="6">
        <f>IF(ISNA(MATCH(J$2,Inputs!$K$4:$AJ$4,0)),NA(),IF(SUMPRODUCT((Inputs!$A$5:$A$130=$B13)*ISNUMBER(INDEX(Inputs!$K$5:$AJ$130,0,MATCH(J$2,Inputs!$K$4:$AJ$4,0))))+SUMPRODUCT((Inputs!$C$5:$C$130=$B13)*ISNUMBER(INDEX(Inputs!$K$5:$AJ$130,0,MATCH(J$2,Inputs!$K$4:$AJ$4,0))))+SUMPRODUCT((Inputs!$E$5:$E$130=$B13)*ISNUMBER(INDEX(Inputs!$K$5:$AJ$130,0,MATCH(J$2,Inputs!$K$4:$AJ$4,0))))=0,NA(),SUMPRODUCT((Inputs!$A$5:$A$130=$B13)*Inputs!$B$5:$B$130*(((Inputs!$G$5:$G$130="moeda")+(Inputs!$G$5:$G$130="acoes"))*Inputs!$B$1+((Inputs!$G$5:$G$130&lt;&gt;"moeda")*(Inputs!$G$5:$G$130&lt;&gt;"acoes")))*INDEX(Inputs!$K$5:$AJ$130,0,MATCH(J$2,Inputs!$K$4:$AJ$4,0)))+SUMPRODUCT((Inputs!$C$5:$C$130=$B13)*Inputs!$D$5:$D$130*(((Inputs!$G$5:$G$130="moeda")+(Inputs!$G$5:$G$130="acoes"))*Inputs!$B$1+((Inputs!$G$5:$G$130&lt;&gt;"moeda")*(Inputs!$G$5:$G$130&lt;&gt;"acoes")))*INDEX(Inputs!$K$5:$AJ$130,0,MATCH(J$2,Inputs!$K$4:$AJ$4,0)))+SUMPRODUCT((Inputs!$E$5:$E$130=$B13)*Inputs!$F$5:$F$130*(((Inputs!$G$5:$G$130="moeda")+(Inputs!$G$5:$G$130="acoes"))*Inputs!$B$1+((Inputs!$G$5:$G$130&lt;&gt;"moeda")*(Inputs!$G$5:$G$130&lt;&gt;"acoes")))*INDEX(Inputs!$K$5:$AJ$130,0,MATCH(J$2,Inputs!$K$4:$AJ$4,0)))))</f>
        <v>-100</v>
      </c>
      <c r="K13" s="6">
        <f>IF(ISNA(MATCH(K$2,Inputs!$K$4:$AJ$4,0)),NA(),IF(SUMPRODUCT((Inputs!$A$5:$A$130=$B13)*ISNUMBER(INDEX(Inputs!$K$5:$AJ$130,0,MATCH(K$2,Inputs!$K$4:$AJ$4,0))))+SUMPRODUCT((Inputs!$C$5:$C$130=$B13)*ISNUMBER(INDEX(Inputs!$K$5:$AJ$130,0,MATCH(K$2,Inputs!$K$4:$AJ$4,0))))+SUMPRODUCT((Inputs!$E$5:$E$130=$B13)*ISNUMBER(INDEX(Inputs!$K$5:$AJ$130,0,MATCH(K$2,Inputs!$K$4:$AJ$4,0))))=0,NA(),SUMPRODUCT((Inputs!$A$5:$A$130=$B13)*Inputs!$B$5:$B$130*(((Inputs!$G$5:$G$130="moeda")+(Inputs!$G$5:$G$130="acoes"))*Inputs!$B$1+((Inputs!$G$5:$G$130&lt;&gt;"moeda")*(Inputs!$G$5:$G$130&lt;&gt;"acoes")))*INDEX(Inputs!$K$5:$AJ$130,0,MATCH(K$2,Inputs!$K$4:$AJ$4,0)))+SUMPRODUCT((Inputs!$C$5:$C$130=$B13)*Inputs!$D$5:$D$130*(((Inputs!$G$5:$G$130="moeda")+(Inputs!$G$5:$G$130="acoes"))*Inputs!$B$1+((Inputs!$G$5:$G$130&lt;&gt;"moeda")*(Inputs!$G$5:$G$130&lt;&gt;"acoes")))*INDEX(Inputs!$K$5:$AJ$130,0,MATCH(K$2,Inputs!$K$4:$AJ$4,0)))+SUMPRODUCT((Inputs!$E$5:$E$130=$B13)*Inputs!$F$5:$F$130*(((Inputs!$G$5:$G$130="moeda")+(Inputs!$G$5:$G$130="acoes"))*Inputs!$B$1+((Inputs!$G$5:$G$130&lt;&gt;"moeda")*(Inputs!$G$5:$G$130&lt;&gt;"acoes")))*INDEX(Inputs!$K$5:$AJ$130,0,MATCH(K$2,Inputs!$K$4:$AJ$4,0)))))</f>
        <v>-100</v>
      </c>
      <c r="L13" s="6">
        <f>IF(ISNA(MATCH(L$2,Inputs!$K$4:$AJ$4,0)),NA(),IF(SUMPRODUCT((Inputs!$A$5:$A$130=$B13)*ISNUMBER(INDEX(Inputs!$K$5:$AJ$130,0,MATCH(L$2,Inputs!$K$4:$AJ$4,0))))+SUMPRODUCT((Inputs!$C$5:$C$130=$B13)*ISNUMBER(INDEX(Inputs!$K$5:$AJ$130,0,MATCH(L$2,Inputs!$K$4:$AJ$4,0))))+SUMPRODUCT((Inputs!$E$5:$E$130=$B13)*ISNUMBER(INDEX(Inputs!$K$5:$AJ$130,0,MATCH(L$2,Inputs!$K$4:$AJ$4,0))))=0,NA(),SUMPRODUCT((Inputs!$A$5:$A$130=$B13)*Inputs!$B$5:$B$130*(((Inputs!$G$5:$G$130="moeda")+(Inputs!$G$5:$G$130="acoes"))*Inputs!$B$1+((Inputs!$G$5:$G$130&lt;&gt;"moeda")*(Inputs!$G$5:$G$130&lt;&gt;"acoes")))*INDEX(Inputs!$K$5:$AJ$130,0,MATCH(L$2,Inputs!$K$4:$AJ$4,0)))+SUMPRODUCT((Inputs!$C$5:$C$130=$B13)*Inputs!$D$5:$D$130*(((Inputs!$G$5:$G$130="moeda")+(Inputs!$G$5:$G$130="acoes"))*Inputs!$B$1+((Inputs!$G$5:$G$130&lt;&gt;"moeda")*(Inputs!$G$5:$G$130&lt;&gt;"acoes")))*INDEX(Inputs!$K$5:$AJ$130,0,MATCH(L$2,Inputs!$K$4:$AJ$4,0)))+SUMPRODUCT((Inputs!$E$5:$E$130=$B13)*Inputs!$F$5:$F$130*(((Inputs!$G$5:$G$130="moeda")+(Inputs!$G$5:$G$130="acoes"))*Inputs!$B$1+((Inputs!$G$5:$G$130&lt;&gt;"moeda")*(Inputs!$G$5:$G$130&lt;&gt;"acoes")))*INDEX(Inputs!$K$5:$AJ$130,0,MATCH(L$2,Inputs!$K$4:$AJ$4,0)))))</f>
        <v>-98</v>
      </c>
      <c r="M13" s="3">
        <f>SUM(I13:L13)</f>
        <v>-398</v>
      </c>
      <c r="N13" s="6">
        <f>IF(ISNA(MATCH(N$2,Inputs!$K$4:$AJ$4,0)),NA(),IF(SUMPRODUCT((Inputs!$A$5:$A$130=$B13)*ISNUMBER(INDEX(Inputs!$K$5:$AJ$130,0,MATCH(N$2,Inputs!$K$4:$AJ$4,0))))+SUMPRODUCT((Inputs!$C$5:$C$130=$B13)*ISNUMBER(INDEX(Inputs!$K$5:$AJ$130,0,MATCH(N$2,Inputs!$K$4:$AJ$4,0))))+SUMPRODUCT((Inputs!$E$5:$E$130=$B13)*ISNUMBER(INDEX(Inputs!$K$5:$AJ$130,0,MATCH(N$2,Inputs!$K$4:$AJ$4,0))))=0,NA(),SUMPRODUCT((Inputs!$A$5:$A$130=$B13)*Inputs!$B$5:$B$130*(((Inputs!$G$5:$G$130="moeda")+(Inputs!$G$5:$G$130="acoes"))*Inputs!$B$1+((Inputs!$G$5:$G$130&lt;&gt;"moeda")*(Inputs!$G$5:$G$130&lt;&gt;"acoes")))*INDEX(Inputs!$K$5:$AJ$130,0,MATCH(N$2,Inputs!$K$4:$AJ$4,0)))+SUMPRODUCT((Inputs!$C$5:$C$130=$B13)*Inputs!$D$5:$D$130*(((Inputs!$G$5:$G$130="moeda")+(Inputs!$G$5:$G$130="acoes"))*Inputs!$B$1+((Inputs!$G$5:$G$130&lt;&gt;"moeda")*(Inputs!$G$5:$G$130&lt;&gt;"acoes")))*INDEX(Inputs!$K$5:$AJ$130,0,MATCH(N$2,Inputs!$K$4:$AJ$4,0)))+SUMPRODUCT((Inputs!$E$5:$E$130=$B13)*Inputs!$F$5:$F$130*(((Inputs!$G$5:$G$130="moeda")+(Inputs!$G$5:$G$130="acoes"))*Inputs!$B$1+((Inputs!$G$5:$G$130&lt;&gt;"moeda")*(Inputs!$G$5:$G$130&lt;&gt;"acoes")))*INDEX(Inputs!$K$5:$AJ$130,0,MATCH(N$2,Inputs!$K$4:$AJ$4,0)))))</f>
        <v>-99</v>
      </c>
      <c r="O13" s="6">
        <f>IF(ISNA(MATCH(O$2,Inputs!$K$4:$AJ$4,0)),NA(),IF(SUMPRODUCT((Inputs!$A$5:$A$130=$B13)*ISNUMBER(INDEX(Inputs!$K$5:$AJ$130,0,MATCH(O$2,Inputs!$K$4:$AJ$4,0))))+SUMPRODUCT((Inputs!$C$5:$C$130=$B13)*ISNUMBER(INDEX(Inputs!$K$5:$AJ$130,0,MATCH(O$2,Inputs!$K$4:$AJ$4,0))))+SUMPRODUCT((Inputs!$E$5:$E$130=$B13)*ISNUMBER(INDEX(Inputs!$K$5:$AJ$130,0,MATCH(O$2,Inputs!$K$4:$AJ$4,0))))=0,NA(),SUMPRODUCT((Inputs!$A$5:$A$130=$B13)*Inputs!$B$5:$B$130*(((Inputs!$G$5:$G$130="moeda")+(Inputs!$G$5:$G$130="acoes"))*Inputs!$B$1+((Inputs!$G$5:$G$130&lt;&gt;"moeda")*(Inputs!$G$5:$G$130&lt;&gt;"acoes")))*INDEX(Inputs!$K$5:$AJ$130,0,MATCH(O$2,Inputs!$K$4:$AJ$4,0)))+SUMPRODUCT((Inputs!$C$5:$C$130=$B13)*Inputs!$D$5:$D$130*(((Inputs!$G$5:$G$130="moeda")+(Inputs!$G$5:$G$130="acoes"))*Inputs!$B$1+((Inputs!$G$5:$G$130&lt;&gt;"moeda")*(Inputs!$G$5:$G$130&lt;&gt;"acoes")))*INDEX(Inputs!$K$5:$AJ$130,0,MATCH(O$2,Inputs!$K$4:$AJ$4,0)))+SUMPRODUCT((Inputs!$E$5:$E$130=$B13)*Inputs!$F$5:$F$130*(((Inputs!$G$5:$G$130="moeda")+(Inputs!$G$5:$G$130="acoes"))*Inputs!$B$1+((Inputs!$G$5:$G$130&lt;&gt;"moeda")*(Inputs!$G$5:$G$130&lt;&gt;"acoes")))*INDEX(Inputs!$K$5:$AJ$130,0,MATCH(O$2,Inputs!$K$4:$AJ$4,0)))))</f>
        <v>-100</v>
      </c>
      <c r="P13" s="6">
        <f>IF(ISNA(MATCH(P$2,Inputs!$K$4:$AJ$4,0)),NA(),IF(SUMPRODUCT((Inputs!$A$5:$A$130=$B13)*ISNUMBER(INDEX(Inputs!$K$5:$AJ$130,0,MATCH(P$2,Inputs!$K$4:$AJ$4,0))))+SUMPRODUCT((Inputs!$C$5:$C$130=$B13)*ISNUMBER(INDEX(Inputs!$K$5:$AJ$130,0,MATCH(P$2,Inputs!$K$4:$AJ$4,0))))+SUMPRODUCT((Inputs!$E$5:$E$130=$B13)*ISNUMBER(INDEX(Inputs!$K$5:$AJ$130,0,MATCH(P$2,Inputs!$K$4:$AJ$4,0))))=0,NA(),SUMPRODUCT((Inputs!$A$5:$A$130=$B13)*Inputs!$B$5:$B$130*(((Inputs!$G$5:$G$130="moeda")+(Inputs!$G$5:$G$130="acoes"))*Inputs!$B$1+((Inputs!$G$5:$G$130&lt;&gt;"moeda")*(Inputs!$G$5:$G$130&lt;&gt;"acoes")))*INDEX(Inputs!$K$5:$AJ$130,0,MATCH(P$2,Inputs!$K$4:$AJ$4,0)))+SUMPRODUCT((Inputs!$C$5:$C$130=$B13)*Inputs!$D$5:$D$130*(((Inputs!$G$5:$G$130="moeda")+(Inputs!$G$5:$G$130="acoes"))*Inputs!$B$1+((Inputs!$G$5:$G$130&lt;&gt;"moeda")*(Inputs!$G$5:$G$130&lt;&gt;"acoes")))*INDEX(Inputs!$K$5:$AJ$130,0,MATCH(P$2,Inputs!$K$4:$AJ$4,0)))+SUMPRODUCT((Inputs!$E$5:$E$130=$B13)*Inputs!$F$5:$F$130*(((Inputs!$G$5:$G$130="moeda")+(Inputs!$G$5:$G$130="acoes"))*Inputs!$B$1+((Inputs!$G$5:$G$130&lt;&gt;"moeda")*(Inputs!$G$5:$G$130&lt;&gt;"acoes")))*INDEX(Inputs!$K$5:$AJ$130,0,MATCH(P$2,Inputs!$K$4:$AJ$4,0)))))</f>
        <v>-97</v>
      </c>
      <c r="Q13" s="6">
        <f>IF(ISNA(MATCH(Q$2,Inputs!$K$4:$AJ$4,0)),NA(),IF(SUMPRODUCT((Inputs!$A$5:$A$130=$B13)*ISNUMBER(INDEX(Inputs!$K$5:$AJ$130,0,MATCH(Q$2,Inputs!$K$4:$AJ$4,0))))+SUMPRODUCT((Inputs!$C$5:$C$130=$B13)*ISNUMBER(INDEX(Inputs!$K$5:$AJ$130,0,MATCH(Q$2,Inputs!$K$4:$AJ$4,0))))+SUMPRODUCT((Inputs!$E$5:$E$130=$B13)*ISNUMBER(INDEX(Inputs!$K$5:$AJ$130,0,MATCH(Q$2,Inputs!$K$4:$AJ$4,0))))=0,NA(),SUMPRODUCT((Inputs!$A$5:$A$130=$B13)*Inputs!$B$5:$B$130*(((Inputs!$G$5:$G$130="moeda")+(Inputs!$G$5:$G$130="acoes"))*Inputs!$B$1+((Inputs!$G$5:$G$130&lt;&gt;"moeda")*(Inputs!$G$5:$G$130&lt;&gt;"acoes")))*INDEX(Inputs!$K$5:$AJ$130,0,MATCH(Q$2,Inputs!$K$4:$AJ$4,0)))+SUMPRODUCT((Inputs!$C$5:$C$130=$B13)*Inputs!$D$5:$D$130*(((Inputs!$G$5:$G$130="moeda")+(Inputs!$G$5:$G$130="acoes"))*Inputs!$B$1+((Inputs!$G$5:$G$130&lt;&gt;"moeda")*(Inputs!$G$5:$G$130&lt;&gt;"acoes")))*INDEX(Inputs!$K$5:$AJ$130,0,MATCH(Q$2,Inputs!$K$4:$AJ$4,0)))+SUMPRODUCT((Inputs!$E$5:$E$130=$B13)*Inputs!$F$5:$F$130*(((Inputs!$G$5:$G$130="moeda")+(Inputs!$G$5:$G$130="acoes"))*Inputs!$B$1+((Inputs!$G$5:$G$130&lt;&gt;"moeda")*(Inputs!$G$5:$G$130&lt;&gt;"acoes")))*INDEX(Inputs!$K$5:$AJ$130,0,MATCH(Q$2,Inputs!$K$4:$AJ$4,0)))))</f>
        <v>-99</v>
      </c>
      <c r="R13" s="3">
        <f>SUM(N13:Q13)</f>
        <v>-395</v>
      </c>
      <c r="S13" s="6">
        <f>IF(ISNA(MATCH(S$2,Inputs!$K$4:$AJ$4,0)),NA(),IF(SUMPRODUCT((Inputs!$A$5:$A$130=$B13)*ISNUMBER(INDEX(Inputs!$K$5:$AJ$130,0,MATCH(S$2,Inputs!$K$4:$AJ$4,0))))+SUMPRODUCT((Inputs!$C$5:$C$130=$B13)*ISNUMBER(INDEX(Inputs!$K$5:$AJ$130,0,MATCH(S$2,Inputs!$K$4:$AJ$4,0))))+SUMPRODUCT((Inputs!$E$5:$E$130=$B13)*ISNUMBER(INDEX(Inputs!$K$5:$AJ$130,0,MATCH(S$2,Inputs!$K$4:$AJ$4,0))))=0,NA(),SUMPRODUCT((Inputs!$A$5:$A$130=$B13)*Inputs!$B$5:$B$130*(((Inputs!$G$5:$G$130="moeda")+(Inputs!$G$5:$G$130="acoes"))*Inputs!$B$1+((Inputs!$G$5:$G$130&lt;&gt;"moeda")*(Inputs!$G$5:$G$130&lt;&gt;"acoes")))*INDEX(Inputs!$K$5:$AJ$130,0,MATCH(S$2,Inputs!$K$4:$AJ$4,0)))+SUMPRODUCT((Inputs!$C$5:$C$130=$B13)*Inputs!$D$5:$D$130*(((Inputs!$G$5:$G$130="moeda")+(Inputs!$G$5:$G$130="acoes"))*Inputs!$B$1+((Inputs!$G$5:$G$130&lt;&gt;"moeda")*(Inputs!$G$5:$G$130&lt;&gt;"acoes")))*INDEX(Inputs!$K$5:$AJ$130,0,MATCH(S$2,Inputs!$K$4:$AJ$4,0)))+SUMPRODUCT((Inputs!$E$5:$E$130=$B13)*Inputs!$F$5:$F$130*(((Inputs!$G$5:$G$130="moeda")+(Inputs!$G$5:$G$130="acoes"))*Inputs!$B$1+((Inputs!$G$5:$G$130&lt;&gt;"moeda")*(Inputs!$G$5:$G$130&lt;&gt;"acoes")))*INDEX(Inputs!$K$5:$AJ$130,0,MATCH(S$2,Inputs!$K$4:$AJ$4,0)))))</f>
        <v>-98</v>
      </c>
      <c r="T13" s="6">
        <f>IF(ISNA(MATCH(T$2,Inputs!$K$4:$AJ$4,0)),NA(),IF(SUMPRODUCT((Inputs!$A$5:$A$130=$B13)*ISNUMBER(INDEX(Inputs!$K$5:$AJ$130,0,MATCH(T$2,Inputs!$K$4:$AJ$4,0))))+SUMPRODUCT((Inputs!$C$5:$C$130=$B13)*ISNUMBER(INDEX(Inputs!$K$5:$AJ$130,0,MATCH(T$2,Inputs!$K$4:$AJ$4,0))))+SUMPRODUCT((Inputs!$E$5:$E$130=$B13)*ISNUMBER(INDEX(Inputs!$K$5:$AJ$130,0,MATCH(T$2,Inputs!$K$4:$AJ$4,0))))=0,NA(),SUMPRODUCT((Inputs!$A$5:$A$130=$B13)*Inputs!$B$5:$B$130*(((Inputs!$G$5:$G$130="moeda")+(Inputs!$G$5:$G$130="acoes"))*Inputs!$B$1+((Inputs!$G$5:$G$130&lt;&gt;"moeda")*(Inputs!$G$5:$G$130&lt;&gt;"acoes")))*INDEX(Inputs!$K$5:$AJ$130,0,MATCH(T$2,Inputs!$K$4:$AJ$4,0)))+SUMPRODUCT((Inputs!$C$5:$C$130=$B13)*Inputs!$D$5:$D$130*(((Inputs!$G$5:$G$130="moeda")+(Inputs!$G$5:$G$130="acoes"))*Inputs!$B$1+((Inputs!$G$5:$G$130&lt;&gt;"moeda")*(Inputs!$G$5:$G$130&lt;&gt;"acoes")))*INDEX(Inputs!$K$5:$AJ$130,0,MATCH(T$2,Inputs!$K$4:$AJ$4,0)))+SUMPRODUCT((Inputs!$E$5:$E$130=$B13)*Inputs!$F$5:$F$130*(((Inputs!$G$5:$G$130="moeda")+(Inputs!$G$5:$G$130="acoes"))*Inputs!$B$1+((Inputs!$G$5:$G$130&lt;&gt;"moeda")*(Inputs!$G$5:$G$130&lt;&gt;"acoes")))*INDEX(Inputs!$K$5:$AJ$130,0,MATCH(T$2,Inputs!$K$4:$AJ$4,0)))))</f>
        <v>-246</v>
      </c>
      <c r="U13" s="6">
        <f>IF(ISNA(MATCH(U$2,Inputs!$K$4:$AJ$4,0)),NA(),IF(SUMPRODUCT((Inputs!$A$5:$A$130=$B13)*ISNUMBER(INDEX(Inputs!$K$5:$AJ$130,0,MATCH(U$2,Inputs!$K$4:$AJ$4,0))))+SUMPRODUCT((Inputs!$C$5:$C$130=$B13)*ISNUMBER(INDEX(Inputs!$K$5:$AJ$130,0,MATCH(U$2,Inputs!$K$4:$AJ$4,0))))+SUMPRODUCT((Inputs!$E$5:$E$130=$B13)*ISNUMBER(INDEX(Inputs!$K$5:$AJ$130,0,MATCH(U$2,Inputs!$K$4:$AJ$4,0))))=0,NA(),SUMPRODUCT((Inputs!$A$5:$A$130=$B13)*Inputs!$B$5:$B$130*(((Inputs!$G$5:$G$130="moeda")+(Inputs!$G$5:$G$130="acoes"))*Inputs!$B$1+((Inputs!$G$5:$G$130&lt;&gt;"moeda")*(Inputs!$G$5:$G$130&lt;&gt;"acoes")))*INDEX(Inputs!$K$5:$AJ$130,0,MATCH(U$2,Inputs!$K$4:$AJ$4,0)))+SUMPRODUCT((Inputs!$C$5:$C$130=$B13)*Inputs!$D$5:$D$130*(((Inputs!$G$5:$G$130="moeda")+(Inputs!$G$5:$G$130="acoes"))*Inputs!$B$1+((Inputs!$G$5:$G$130&lt;&gt;"moeda")*(Inputs!$G$5:$G$130&lt;&gt;"acoes")))*INDEX(Inputs!$K$5:$AJ$130,0,MATCH(U$2,Inputs!$K$4:$AJ$4,0)))+SUMPRODUCT((Inputs!$E$5:$E$130=$B13)*Inputs!$F$5:$F$130*(((Inputs!$G$5:$G$130="moeda")+(Inputs!$G$5:$G$130="acoes"))*Inputs!$B$1+((Inputs!$G$5:$G$130&lt;&gt;"moeda")*(Inputs!$G$5:$G$130&lt;&gt;"acoes")))*INDEX(Inputs!$K$5:$AJ$130,0,MATCH(U$2,Inputs!$K$4:$AJ$4,0)))))</f>
        <v>-245</v>
      </c>
      <c r="V13" s="6">
        <f>IF(ISNA(MATCH(V$2,Inputs!$K$4:$AJ$4,0)),NA(),IF(SUMPRODUCT((Inputs!$A$5:$A$130=$B13)*ISNUMBER(INDEX(Inputs!$K$5:$AJ$130,0,MATCH(V$2,Inputs!$K$4:$AJ$4,0))))+SUMPRODUCT((Inputs!$C$5:$C$130=$B13)*ISNUMBER(INDEX(Inputs!$K$5:$AJ$130,0,MATCH(V$2,Inputs!$K$4:$AJ$4,0))))+SUMPRODUCT((Inputs!$E$5:$E$130=$B13)*ISNUMBER(INDEX(Inputs!$K$5:$AJ$130,0,MATCH(V$2,Inputs!$K$4:$AJ$4,0))))=0,NA(),SUMPRODUCT((Inputs!$A$5:$A$130=$B13)*Inputs!$B$5:$B$130*(((Inputs!$G$5:$G$130="moeda")+(Inputs!$G$5:$G$130="acoes"))*Inputs!$B$1+((Inputs!$G$5:$G$130&lt;&gt;"moeda")*(Inputs!$G$5:$G$130&lt;&gt;"acoes")))*INDEX(Inputs!$K$5:$AJ$130,0,MATCH(V$2,Inputs!$K$4:$AJ$4,0)))+SUMPRODUCT((Inputs!$C$5:$C$130=$B13)*Inputs!$D$5:$D$130*(((Inputs!$G$5:$G$130="moeda")+(Inputs!$G$5:$G$130="acoes"))*Inputs!$B$1+((Inputs!$G$5:$G$130&lt;&gt;"moeda")*(Inputs!$G$5:$G$130&lt;&gt;"acoes")))*INDEX(Inputs!$K$5:$AJ$130,0,MATCH(V$2,Inputs!$K$4:$AJ$4,0)))+SUMPRODUCT((Inputs!$E$5:$E$130=$B13)*Inputs!$F$5:$F$130*(((Inputs!$G$5:$G$130="moeda")+(Inputs!$G$5:$G$130="acoes"))*Inputs!$B$1+((Inputs!$G$5:$G$130&lt;&gt;"moeda")*(Inputs!$G$5:$G$130&lt;&gt;"acoes")))*INDEX(Inputs!$K$5:$AJ$130,0,MATCH(V$2,Inputs!$K$4:$AJ$4,0)))))</f>
        <v>-245</v>
      </c>
      <c r="W13" s="3">
        <f>SUM(S13:V13)</f>
        <v>-834</v>
      </c>
      <c r="X13" s="6">
        <f>IF(ISNA(MATCH(X$2,Inputs!$K$4:$AJ$4,0)),NA(),IF(SUMPRODUCT((Inputs!$A$5:$A$130=$B13)*ISNUMBER(INDEX(Inputs!$K$5:$AJ$130,0,MATCH(X$2,Inputs!$K$4:$AJ$4,0))))+SUMPRODUCT((Inputs!$C$5:$C$130=$B13)*ISNUMBER(INDEX(Inputs!$K$5:$AJ$130,0,MATCH(X$2,Inputs!$K$4:$AJ$4,0))))+SUMPRODUCT((Inputs!$E$5:$E$130=$B13)*ISNUMBER(INDEX(Inputs!$K$5:$AJ$130,0,MATCH(X$2,Inputs!$K$4:$AJ$4,0))))=0,NA(),SUMPRODUCT((Inputs!$A$5:$A$130=$B13)*Inputs!$B$5:$B$130*(((Inputs!$G$5:$G$130="moeda")+(Inputs!$G$5:$G$130="acoes"))*Inputs!$B$1+((Inputs!$G$5:$G$130&lt;&gt;"moeda")*(Inputs!$G$5:$G$130&lt;&gt;"acoes")))*INDEX(Inputs!$K$5:$AJ$130,0,MATCH(X$2,Inputs!$K$4:$AJ$4,0)))+SUMPRODUCT((Inputs!$C$5:$C$130=$B13)*Inputs!$D$5:$D$130*(((Inputs!$G$5:$G$130="moeda")+(Inputs!$G$5:$G$130="acoes"))*Inputs!$B$1+((Inputs!$G$5:$G$130&lt;&gt;"moeda")*(Inputs!$G$5:$G$130&lt;&gt;"acoes")))*INDEX(Inputs!$K$5:$AJ$130,0,MATCH(X$2,Inputs!$K$4:$AJ$4,0)))+SUMPRODUCT((Inputs!$E$5:$E$130=$B13)*Inputs!$F$5:$F$130*(((Inputs!$G$5:$G$130="moeda")+(Inputs!$G$5:$G$130="acoes"))*Inputs!$B$1+((Inputs!$G$5:$G$130&lt;&gt;"moeda")*(Inputs!$G$5:$G$130&lt;&gt;"acoes")))*INDEX(Inputs!$K$5:$AJ$130,0,MATCH(X$2,Inputs!$K$4:$AJ$4,0)))))</f>
        <v>-244</v>
      </c>
      <c r="Y13" s="6">
        <f>IF(ISNA(MATCH(Y$2,Inputs!$K$4:$AJ$4,0)),NA(),IF(SUMPRODUCT((Inputs!$A$5:$A$130=$B13)*ISNUMBER(INDEX(Inputs!$K$5:$AJ$130,0,MATCH(Y$2,Inputs!$K$4:$AJ$4,0))))+SUMPRODUCT((Inputs!$C$5:$C$130=$B13)*ISNUMBER(INDEX(Inputs!$K$5:$AJ$130,0,MATCH(Y$2,Inputs!$K$4:$AJ$4,0))))+SUMPRODUCT((Inputs!$E$5:$E$130=$B13)*ISNUMBER(INDEX(Inputs!$K$5:$AJ$130,0,MATCH(Y$2,Inputs!$K$4:$AJ$4,0))))=0,NA(),SUMPRODUCT((Inputs!$A$5:$A$130=$B13)*Inputs!$B$5:$B$130*(((Inputs!$G$5:$G$130="moeda")+(Inputs!$G$5:$G$130="acoes"))*Inputs!$B$1+((Inputs!$G$5:$G$130&lt;&gt;"moeda")*(Inputs!$G$5:$G$130&lt;&gt;"acoes")))*INDEX(Inputs!$K$5:$AJ$130,0,MATCH(Y$2,Inputs!$K$4:$AJ$4,0)))+SUMPRODUCT((Inputs!$C$5:$C$130=$B13)*Inputs!$D$5:$D$130*(((Inputs!$G$5:$G$130="moeda")+(Inputs!$G$5:$G$130="acoes"))*Inputs!$B$1+((Inputs!$G$5:$G$130&lt;&gt;"moeda")*(Inputs!$G$5:$G$130&lt;&gt;"acoes")))*INDEX(Inputs!$K$5:$AJ$130,0,MATCH(Y$2,Inputs!$K$4:$AJ$4,0)))+SUMPRODUCT((Inputs!$E$5:$E$130=$B13)*Inputs!$F$5:$F$130*(((Inputs!$G$5:$G$130="moeda")+(Inputs!$G$5:$G$130="acoes"))*Inputs!$B$1+((Inputs!$G$5:$G$130&lt;&gt;"moeda")*(Inputs!$G$5:$G$130&lt;&gt;"acoes")))*INDEX(Inputs!$K$5:$AJ$130,0,MATCH(Y$2,Inputs!$K$4:$AJ$4,0)))))</f>
        <v>-244</v>
      </c>
      <c r="Z13" s="6">
        <f>IF(ISNA(MATCH(Z$2,Inputs!$K$4:$AJ$4,0)),NA(),IF(SUMPRODUCT((Inputs!$A$5:$A$130=$B13)*ISNUMBER(INDEX(Inputs!$K$5:$AJ$130,0,MATCH(Z$2,Inputs!$K$4:$AJ$4,0))))+SUMPRODUCT((Inputs!$C$5:$C$130=$B13)*ISNUMBER(INDEX(Inputs!$K$5:$AJ$130,0,MATCH(Z$2,Inputs!$K$4:$AJ$4,0))))+SUMPRODUCT((Inputs!$E$5:$E$130=$B13)*ISNUMBER(INDEX(Inputs!$K$5:$AJ$130,0,MATCH(Z$2,Inputs!$K$4:$AJ$4,0))))=0,NA(),SUMPRODUCT((Inputs!$A$5:$A$130=$B13)*Inputs!$B$5:$B$130*(((Inputs!$G$5:$G$130="moeda")+(Inputs!$G$5:$G$130="acoes"))*Inputs!$B$1+((Inputs!$G$5:$G$130&lt;&gt;"moeda")*(Inputs!$G$5:$G$130&lt;&gt;"acoes")))*INDEX(Inputs!$K$5:$AJ$130,0,MATCH(Z$2,Inputs!$K$4:$AJ$4,0)))+SUMPRODUCT((Inputs!$C$5:$C$130=$B13)*Inputs!$D$5:$D$130*(((Inputs!$G$5:$G$130="moeda")+(Inputs!$G$5:$G$130="acoes"))*Inputs!$B$1+((Inputs!$G$5:$G$130&lt;&gt;"moeda")*(Inputs!$G$5:$G$130&lt;&gt;"acoes")))*INDEX(Inputs!$K$5:$AJ$130,0,MATCH(Z$2,Inputs!$K$4:$AJ$4,0)))+SUMPRODUCT((Inputs!$E$5:$E$130=$B13)*Inputs!$F$5:$F$130*(((Inputs!$G$5:$G$130="moeda")+(Inputs!$G$5:$G$130="acoes"))*Inputs!$B$1+((Inputs!$G$5:$G$130&lt;&gt;"moeda")*(Inputs!$G$5:$G$130&lt;&gt;"acoes")))*INDEX(Inputs!$K$5:$AJ$130,0,MATCH(Z$2,Inputs!$K$4:$AJ$4,0)))))</f>
        <v>-244</v>
      </c>
      <c r="AA13" s="6">
        <f>IF(ISNA(MATCH(AA$2,Inputs!$K$4:$AJ$4,0)),NA(),IF(SUMPRODUCT((Inputs!$A$5:$A$130=$B13)*ISNUMBER(INDEX(Inputs!$K$5:$AJ$130,0,MATCH(AA$2,Inputs!$K$4:$AJ$4,0))))+SUMPRODUCT((Inputs!$C$5:$C$130=$B13)*ISNUMBER(INDEX(Inputs!$K$5:$AJ$130,0,MATCH(AA$2,Inputs!$K$4:$AJ$4,0))))+SUMPRODUCT((Inputs!$E$5:$E$130=$B13)*ISNUMBER(INDEX(Inputs!$K$5:$AJ$130,0,MATCH(AA$2,Inputs!$K$4:$AJ$4,0))))=0,NA(),SUMPRODUCT((Inputs!$A$5:$A$130=$B13)*Inputs!$B$5:$B$130*(((Inputs!$G$5:$G$130="moeda")+(Inputs!$G$5:$G$130="acoes"))*Inputs!$B$1+((Inputs!$G$5:$G$130&lt;&gt;"moeda")*(Inputs!$G$5:$G$130&lt;&gt;"acoes")))*INDEX(Inputs!$K$5:$AJ$130,0,MATCH(AA$2,Inputs!$K$4:$AJ$4,0)))+SUMPRODUCT((Inputs!$C$5:$C$130=$B13)*Inputs!$D$5:$D$130*(((Inputs!$G$5:$G$130="moeda")+(Inputs!$G$5:$G$130="acoes"))*Inputs!$B$1+((Inputs!$G$5:$G$130&lt;&gt;"moeda")*(Inputs!$G$5:$G$130&lt;&gt;"acoes")))*INDEX(Inputs!$K$5:$AJ$130,0,MATCH(AA$2,Inputs!$K$4:$AJ$4,0)))+SUMPRODUCT((Inputs!$E$5:$E$130=$B13)*Inputs!$F$5:$F$130*(((Inputs!$G$5:$G$130="moeda")+(Inputs!$G$5:$G$130="acoes"))*Inputs!$B$1+((Inputs!$G$5:$G$130&lt;&gt;"moeda")*(Inputs!$G$5:$G$130&lt;&gt;"acoes")))*INDEX(Inputs!$K$5:$AJ$130,0,MATCH(AA$2,Inputs!$K$4:$AJ$4,0)))))</f>
        <v>-242</v>
      </c>
      <c r="AB13" s="3">
        <f>SUM(X13:AA13)</f>
        <v>-974</v>
      </c>
      <c r="AC13" s="6">
        <f>IF(ISNA(MATCH(AC$2,Inputs!$K$4:$AJ$4,0)),NA(),IF(SUMPRODUCT((Inputs!$A$5:$A$130=$B13)*ISNUMBER(INDEX(Inputs!$K$5:$AJ$130,0,MATCH(AC$2,Inputs!$K$4:$AJ$4,0))))+SUMPRODUCT((Inputs!$C$5:$C$130=$B13)*ISNUMBER(INDEX(Inputs!$K$5:$AJ$130,0,MATCH(AC$2,Inputs!$K$4:$AJ$4,0))))+SUMPRODUCT((Inputs!$E$5:$E$130=$B13)*ISNUMBER(INDEX(Inputs!$K$5:$AJ$130,0,MATCH(AC$2,Inputs!$K$4:$AJ$4,0))))=0,NA(),SUMPRODUCT((Inputs!$A$5:$A$130=$B13)*Inputs!$B$5:$B$130*(((Inputs!$G$5:$G$130="moeda")+(Inputs!$G$5:$G$130="acoes"))*Inputs!$B$1+((Inputs!$G$5:$G$130&lt;&gt;"moeda")*(Inputs!$G$5:$G$130&lt;&gt;"acoes")))*INDEX(Inputs!$K$5:$AJ$130,0,MATCH(AC$2,Inputs!$K$4:$AJ$4,0)))+SUMPRODUCT((Inputs!$C$5:$C$130=$B13)*Inputs!$D$5:$D$130*(((Inputs!$G$5:$G$130="moeda")+(Inputs!$G$5:$G$130="acoes"))*Inputs!$B$1+((Inputs!$G$5:$G$130&lt;&gt;"moeda")*(Inputs!$G$5:$G$130&lt;&gt;"acoes")))*INDEX(Inputs!$K$5:$AJ$130,0,MATCH(AC$2,Inputs!$K$4:$AJ$4,0)))+SUMPRODUCT((Inputs!$E$5:$E$130=$B13)*Inputs!$F$5:$F$130*(((Inputs!$G$5:$G$130="moeda")+(Inputs!$G$5:$G$130="acoes"))*Inputs!$B$1+((Inputs!$G$5:$G$130&lt;&gt;"moeda")*(Inputs!$G$5:$G$130&lt;&gt;"acoes")))*INDEX(Inputs!$K$5:$AJ$130,0,MATCH(AC$2,Inputs!$K$4:$AJ$4,0)))))</f>
        <v>-243</v>
      </c>
      <c r="AD13" s="6">
        <f>IF(ISNA(MATCH(AD$2,Inputs!$K$4:$AJ$4,0)),NA(),IF(SUMPRODUCT((Inputs!$A$5:$A$130=$B13)*ISNUMBER(INDEX(Inputs!$K$5:$AJ$130,0,MATCH(AD$2,Inputs!$K$4:$AJ$4,0))))+SUMPRODUCT((Inputs!$C$5:$C$130=$B13)*ISNUMBER(INDEX(Inputs!$K$5:$AJ$130,0,MATCH(AD$2,Inputs!$K$4:$AJ$4,0))))+SUMPRODUCT((Inputs!$E$5:$E$130=$B13)*ISNUMBER(INDEX(Inputs!$K$5:$AJ$130,0,MATCH(AD$2,Inputs!$K$4:$AJ$4,0))))=0,NA(),SUMPRODUCT((Inputs!$A$5:$A$130=$B13)*Inputs!$B$5:$B$130*(((Inputs!$G$5:$G$130="moeda")+(Inputs!$G$5:$G$130="acoes"))*Inputs!$B$1+((Inputs!$G$5:$G$130&lt;&gt;"moeda")*(Inputs!$G$5:$G$130&lt;&gt;"acoes")))*INDEX(Inputs!$K$5:$AJ$130,0,MATCH(AD$2,Inputs!$K$4:$AJ$4,0)))+SUMPRODUCT((Inputs!$C$5:$C$130=$B13)*Inputs!$D$5:$D$130*(((Inputs!$G$5:$G$130="moeda")+(Inputs!$G$5:$G$130="acoes"))*Inputs!$B$1+((Inputs!$G$5:$G$130&lt;&gt;"moeda")*(Inputs!$G$5:$G$130&lt;&gt;"acoes")))*INDEX(Inputs!$K$5:$AJ$130,0,MATCH(AD$2,Inputs!$K$4:$AJ$4,0)))+SUMPRODUCT((Inputs!$E$5:$E$130=$B13)*Inputs!$F$5:$F$130*(((Inputs!$G$5:$G$130="moeda")+(Inputs!$G$5:$G$130="acoes"))*Inputs!$B$1+((Inputs!$G$5:$G$130&lt;&gt;"moeda")*(Inputs!$G$5:$G$130&lt;&gt;"acoes")))*INDEX(Inputs!$K$5:$AJ$130,0,MATCH(AD$2,Inputs!$K$4:$AJ$4,0)))))</f>
        <v>-6047</v>
      </c>
      <c r="AE13" s="6" t="e">
        <f>IF(ISNA(MATCH(AE$2,Inputs!$K$4:$AJ$4,0)),NA(),IF(SUMPRODUCT((Inputs!$A$5:$A$130=$B13)*ISNUMBER(INDEX(Inputs!$K$5:$AJ$130,0,MATCH(AE$2,Inputs!$K$4:$AJ$4,0))))+SUMPRODUCT((Inputs!$C$5:$C$130=$B13)*ISNUMBER(INDEX(Inputs!$K$5:$AJ$130,0,MATCH(AE$2,Inputs!$K$4:$AJ$4,0))))+SUMPRODUCT((Inputs!$E$5:$E$130=$B13)*ISNUMBER(INDEX(Inputs!$K$5:$AJ$130,0,MATCH(AE$2,Inputs!$K$4:$AJ$4,0))))=0,NA(),SUMPRODUCT((Inputs!$A$5:$A$130=$B13)*Inputs!$B$5:$B$130*(((Inputs!$G$5:$G$130="moeda")+(Inputs!$G$5:$G$130="acoes"))*Inputs!$B$1+((Inputs!$G$5:$G$130&lt;&gt;"moeda")*(Inputs!$G$5:$G$130&lt;&gt;"acoes")))*INDEX(Inputs!$K$5:$AJ$130,0,MATCH(AE$2,Inputs!$K$4:$AJ$4,0)))+SUMPRODUCT((Inputs!$C$5:$C$130=$B13)*Inputs!$D$5:$D$130*(((Inputs!$G$5:$G$130="moeda")+(Inputs!$G$5:$G$130="acoes"))*Inputs!$B$1+((Inputs!$G$5:$G$130&lt;&gt;"moeda")*(Inputs!$G$5:$G$130&lt;&gt;"acoes")))*INDEX(Inputs!$K$5:$AJ$130,0,MATCH(AE$2,Inputs!$K$4:$AJ$4,0)))+SUMPRODUCT((Inputs!$E$5:$E$130=$B13)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3" s="6" t="e">
        <f>IF(ISNA(MATCH(AF$2,Inputs!$K$4:$AJ$4,0)),NA(),IF(SUMPRODUCT((Inputs!$A$5:$A$130=$B13)*ISNUMBER(INDEX(Inputs!$K$5:$AJ$130,0,MATCH(AF$2,Inputs!$K$4:$AJ$4,0))))+SUMPRODUCT((Inputs!$C$5:$C$130=$B13)*ISNUMBER(INDEX(Inputs!$K$5:$AJ$130,0,MATCH(AF$2,Inputs!$K$4:$AJ$4,0))))+SUMPRODUCT((Inputs!$E$5:$E$130=$B13)*ISNUMBER(INDEX(Inputs!$K$5:$AJ$130,0,MATCH(AF$2,Inputs!$K$4:$AJ$4,0))))=0,NA(),SUMPRODUCT((Inputs!$A$5:$A$130=$B13)*Inputs!$B$5:$B$130*(((Inputs!$G$5:$G$130="moeda")+(Inputs!$G$5:$G$130="acoes"))*Inputs!$B$1+((Inputs!$G$5:$G$130&lt;&gt;"moeda")*(Inputs!$G$5:$G$130&lt;&gt;"acoes")))*INDEX(Inputs!$K$5:$AJ$130,0,MATCH(AF$2,Inputs!$K$4:$AJ$4,0)))+SUMPRODUCT((Inputs!$C$5:$C$130=$B13)*Inputs!$D$5:$D$130*(((Inputs!$G$5:$G$130="moeda")+(Inputs!$G$5:$G$130="acoes"))*Inputs!$B$1+((Inputs!$G$5:$G$130&lt;&gt;"moeda")*(Inputs!$G$5:$G$130&lt;&gt;"acoes")))*INDEX(Inputs!$K$5:$AJ$130,0,MATCH(AF$2,Inputs!$K$4:$AJ$4,0)))+SUMPRODUCT((Inputs!$E$5:$E$130=$B13)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3" s="3" t="e">
        <f>SUM(AC13:AF13)</f>
        <v>#N/A</v>
      </c>
      <c r="AH13" s="6">
        <f>IF(ISNA(MATCH(AH$2,Inputs!$K$4:$AJ$4,0)),NA(),IF(SUMPRODUCT((Inputs!$A$5:$A$130=$B13)*ISNUMBER(INDEX(Inputs!$K$5:$AJ$130,0,MATCH(AH$2,Inputs!$K$4:$AJ$4,0))))+SUMPRODUCT((Inputs!$C$5:$C$130=$B13)*ISNUMBER(INDEX(Inputs!$K$5:$AJ$130,0,MATCH(AH$2,Inputs!$K$4:$AJ$4,0))))+SUMPRODUCT((Inputs!$E$5:$E$130=$B13)*ISNUMBER(INDEX(Inputs!$K$5:$AJ$130,0,MATCH(AH$2,Inputs!$K$4:$AJ$4,0))))=0,NA(),SUMPRODUCT((Inputs!$A$5:$A$130=$B13)*Inputs!$B$5:$B$130*(((Inputs!$G$5:$G$130="moeda")+(Inputs!$G$5:$G$130="acoes"))*Inputs!$B$1+((Inputs!$G$5:$G$130&lt;&gt;"moeda")*(Inputs!$G$5:$G$130&lt;&gt;"acoes")))*INDEX(Inputs!$K$5:$AJ$130,0,MATCH(AH$2,Inputs!$K$4:$AJ$4,0)))+SUMPRODUCT((Inputs!$C$5:$C$130=$B13)*Inputs!$D$5:$D$130*(((Inputs!$G$5:$G$130="moeda")+(Inputs!$G$5:$G$130="acoes"))*Inputs!$B$1+((Inputs!$G$5:$G$130&lt;&gt;"moeda")*(Inputs!$G$5:$G$130&lt;&gt;"acoes")))*INDEX(Inputs!$K$5:$AJ$130,0,MATCH(AH$2,Inputs!$K$4:$AJ$4,0)))+SUMPRODUCT((Inputs!$E$5:$E$130=$B13)*Inputs!$F$5:$F$130*(((Inputs!$G$5:$G$130="moeda")+(Inputs!$G$5:$G$130="acoes"))*Inputs!$B$1+((Inputs!$G$5:$G$130&lt;&gt;"moeda")*(Inputs!$G$5:$G$130&lt;&gt;"acoes")))*INDEX(Inputs!$K$5:$AJ$130,0,MATCH(AH$2,Inputs!$K$4:$AJ$4,0)))))</f>
        <v>-98</v>
      </c>
      <c r="AI13" s="6">
        <f>IF(ISNA(MATCH(AI$2,Inputs!$K$4:$AJ$4,0)),NA(),IF(SUMPRODUCT((Inputs!$A$5:$A$130=$B13)*ISNUMBER(INDEX(Inputs!$K$5:$AJ$130,0,MATCH(AI$2,Inputs!$K$4:$AJ$4,0))))+SUMPRODUCT((Inputs!$C$5:$C$130=$B13)*ISNUMBER(INDEX(Inputs!$K$5:$AJ$130,0,MATCH(AI$2,Inputs!$K$4:$AJ$4,0))))+SUMPRODUCT((Inputs!$E$5:$E$130=$B13)*ISNUMBER(INDEX(Inputs!$K$5:$AJ$130,0,MATCH(AI$2,Inputs!$K$4:$AJ$4,0))))=0,NA(),SUMPRODUCT((Inputs!$A$5:$A$130=$B13)*Inputs!$B$5:$B$130*(((Inputs!$G$5:$G$130="moeda")+(Inputs!$G$5:$G$130="acoes"))*Inputs!$B$1+((Inputs!$G$5:$G$130&lt;&gt;"moeda")*(Inputs!$G$5:$G$130&lt;&gt;"acoes")))*INDEX(Inputs!$K$5:$AJ$130,0,MATCH(AI$2,Inputs!$K$4:$AJ$4,0)))+SUMPRODUCT((Inputs!$C$5:$C$130=$B13)*Inputs!$D$5:$D$130*(((Inputs!$G$5:$G$130="moeda")+(Inputs!$G$5:$G$130="acoes"))*Inputs!$B$1+((Inputs!$G$5:$G$130&lt;&gt;"moeda")*(Inputs!$G$5:$G$130&lt;&gt;"acoes")))*INDEX(Inputs!$K$5:$AJ$130,0,MATCH(AI$2,Inputs!$K$4:$AJ$4,0)))+SUMPRODUCT((Inputs!$E$5:$E$130=$B13)*Inputs!$F$5:$F$130*(((Inputs!$G$5:$G$130="moeda")+(Inputs!$G$5:$G$130="acoes"))*Inputs!$B$1+((Inputs!$G$5:$G$130&lt;&gt;"moeda")*(Inputs!$G$5:$G$130&lt;&gt;"acoes")))*INDEX(Inputs!$K$5:$AJ$130,0,MATCH(AI$2,Inputs!$K$4:$AJ$4,0)))))</f>
        <v>-99</v>
      </c>
      <c r="AJ13" s="6">
        <f>IF(ISNA(MATCH(AJ$2,Inputs!$K$4:$AJ$4,0)),NA(),IF(SUMPRODUCT((Inputs!$A$5:$A$130=$B13)*ISNUMBER(INDEX(Inputs!$K$5:$AJ$130,0,MATCH(AJ$2,Inputs!$K$4:$AJ$4,0))))+SUMPRODUCT((Inputs!$C$5:$C$130=$B13)*ISNUMBER(INDEX(Inputs!$K$5:$AJ$130,0,MATCH(AJ$2,Inputs!$K$4:$AJ$4,0))))+SUMPRODUCT((Inputs!$E$5:$E$130=$B13)*ISNUMBER(INDEX(Inputs!$K$5:$AJ$130,0,MATCH(AJ$2,Inputs!$K$4:$AJ$4,0))))=0,NA(),SUMPRODUCT((Inputs!$A$5:$A$130=$B13)*Inputs!$B$5:$B$130*(((Inputs!$G$5:$G$130="moeda")+(Inputs!$G$5:$G$130="acoes"))*Inputs!$B$1+((Inputs!$G$5:$G$130&lt;&gt;"moeda")*(Inputs!$G$5:$G$130&lt;&gt;"acoes")))*INDEX(Inputs!$K$5:$AJ$130,0,MATCH(AJ$2,Inputs!$K$4:$AJ$4,0)))+SUMPRODUCT((Inputs!$C$5:$C$130=$B13)*Inputs!$D$5:$D$130*(((Inputs!$G$5:$G$130="moeda")+(Inputs!$G$5:$G$130="acoes"))*Inputs!$B$1+((Inputs!$G$5:$G$130&lt;&gt;"moeda")*(Inputs!$G$5:$G$130&lt;&gt;"acoes")))*INDEX(Inputs!$K$5:$AJ$130,0,MATCH(AJ$2,Inputs!$K$4:$AJ$4,0)))+SUMPRODUCT((Inputs!$E$5:$E$130=$B13)*Inputs!$F$5:$F$130*(((Inputs!$G$5:$G$130="moeda")+(Inputs!$G$5:$G$130="acoes"))*Inputs!$B$1+((Inputs!$G$5:$G$130&lt;&gt;"moeda")*(Inputs!$G$5:$G$130&lt;&gt;"acoes")))*INDEX(Inputs!$K$5:$AJ$130,0,MATCH(AJ$2,Inputs!$K$4:$AJ$4,0)))))</f>
        <v>-99</v>
      </c>
      <c r="AK13" s="6">
        <f>IF(ISNA(MATCH(AK$2,Inputs!$K$4:$AJ$4,0)),NA(),IF(SUMPRODUCT((Inputs!$A$5:$A$130=$B13)*ISNUMBER(INDEX(Inputs!$K$5:$AJ$130,0,MATCH(AK$2,Inputs!$K$4:$AJ$4,0))))+SUMPRODUCT((Inputs!$C$5:$C$130=$B13)*ISNUMBER(INDEX(Inputs!$K$5:$AJ$130,0,MATCH(AK$2,Inputs!$K$4:$AJ$4,0))))+SUMPRODUCT((Inputs!$E$5:$E$130=$B13)*ISNUMBER(INDEX(Inputs!$K$5:$AJ$130,0,MATCH(AK$2,Inputs!$K$4:$AJ$4,0))))=0,NA(),SUMPRODUCT((Inputs!$A$5:$A$130=$B13)*Inputs!$B$5:$B$130*(((Inputs!$G$5:$G$130="moeda")+(Inputs!$G$5:$G$130="acoes"))*Inputs!$B$1+((Inputs!$G$5:$G$130&lt;&gt;"moeda")*(Inputs!$G$5:$G$130&lt;&gt;"acoes")))*INDEX(Inputs!$K$5:$AJ$130,0,MATCH(AK$2,Inputs!$K$4:$AJ$4,0)))+SUMPRODUCT((Inputs!$C$5:$C$130=$B13)*Inputs!$D$5:$D$130*(((Inputs!$G$5:$G$130="moeda")+(Inputs!$G$5:$G$130="acoes"))*Inputs!$B$1+((Inputs!$G$5:$G$130&lt;&gt;"moeda")*(Inputs!$G$5:$G$130&lt;&gt;"acoes")))*INDEX(Inputs!$K$5:$AJ$130,0,MATCH(AK$2,Inputs!$K$4:$AJ$4,0)))+SUMPRODUCT((Inputs!$E$5:$E$130=$B13)*Inputs!$F$5:$F$130*(((Inputs!$G$5:$G$130="moeda")+(Inputs!$G$5:$G$130="acoes"))*Inputs!$B$1+((Inputs!$G$5:$G$130&lt;&gt;"moeda")*(Inputs!$G$5:$G$130&lt;&gt;"acoes")))*INDEX(Inputs!$K$5:$AJ$130,0,MATCH(AK$2,Inputs!$K$4:$AJ$4,0)))))</f>
        <v>-99</v>
      </c>
      <c r="AL13" s="3">
        <f>SUM(AH13:AK13)</f>
        <v>-395</v>
      </c>
    </row>
    <row r="14">
      <c r="D14" s="3" t="n"/>
    </row>
    <row r="15">
      <c r="B15" s="46" t="n">
        <v>11</v>
      </c>
      <c r="C15" s="24" t="inlineStr">
        <is>
          <t>Cash and equivalents (inc. investment securities)</t>
        </is>
      </c>
      <c r="D15" s="6">
        <f>IF(ISNA(MATCH(D$2,Inputs!$K$4:$AJ$4,0)),NA(),IF(SUMPRODUCT((Inputs!$A$5:$A$130=$B15)*ISNUMBER(INDEX(Inputs!$K$5:$AJ$130,0,MATCH(D$2,Inputs!$K$4:$AJ$4,0))))+SUMPRODUCT((Inputs!$C$5:$C$130=$B15)*ISNUMBER(INDEX(Inputs!$K$5:$AJ$130,0,MATCH(D$2,Inputs!$K$4:$AJ$4,0))))+SUMPRODUCT((Inputs!$E$5:$E$130=$B15)*ISNUMBER(INDEX(Inputs!$K$5:$AJ$130,0,MATCH(D$2,Inputs!$K$4:$AJ$4,0))))=0,NA(),SUMPRODUCT((Inputs!$A$5:$A$130=$B15)*Inputs!$B$5:$B$130*(((Inputs!$G$5:$G$130="moeda")+(Inputs!$G$5:$G$130="acoes"))*Inputs!$B$1+((Inputs!$G$5:$G$130&lt;&gt;"moeda")*(Inputs!$G$5:$G$130&lt;&gt;"acoes")))*INDEX(Inputs!$K$5:$AJ$130,0,MATCH(D$2,Inputs!$K$4:$AJ$4,0)))+SUMPRODUCT((Inputs!$C$5:$C$130=$B15)*Inputs!$D$5:$D$130*(((Inputs!$G$5:$G$130="moeda")+(Inputs!$G$5:$G$130="acoes"))*Inputs!$B$1+((Inputs!$G$5:$G$130&lt;&gt;"moeda")*(Inputs!$G$5:$G$130&lt;&gt;"acoes")))*INDEX(Inputs!$K$5:$AJ$130,0,MATCH(D$2,Inputs!$K$4:$AJ$4,0)))+SUMPRODUCT((Inputs!$E$5:$E$130=$B15)*Inputs!$F$5:$F$130*(((Inputs!$G$5:$G$130="moeda")+(Inputs!$G$5:$G$130="acoes"))*Inputs!$B$1+((Inputs!$G$5:$G$130&lt;&gt;"moeda")*(Inputs!$G$5:$G$130&lt;&gt;"acoes")))*INDEX(Inputs!$K$5:$AJ$130,0,MATCH(D$2,Inputs!$K$4:$AJ$4,0)))))</f>
        <v>12667</v>
      </c>
      <c r="E15" s="6">
        <f>IF(ISNA(MATCH(E$2,Inputs!$K$4:$AJ$4,0)),NA(),IF(SUMPRODUCT((Inputs!$A$5:$A$130=$B15)*ISNUMBER(INDEX(Inputs!$K$5:$AJ$130,0,MATCH(E$2,Inputs!$K$4:$AJ$4,0))))+SUMPRODUCT((Inputs!$C$5:$C$130=$B15)*ISNUMBER(INDEX(Inputs!$K$5:$AJ$130,0,MATCH(E$2,Inputs!$K$4:$AJ$4,0))))+SUMPRODUCT((Inputs!$E$5:$E$130=$B15)*ISNUMBER(INDEX(Inputs!$K$5:$AJ$130,0,MATCH(E$2,Inputs!$K$4:$AJ$4,0))))=0,NA(),SUMPRODUCT((Inputs!$A$5:$A$130=$B15)*Inputs!$B$5:$B$130*(((Inputs!$G$5:$G$130="moeda")+(Inputs!$G$5:$G$130="acoes"))*Inputs!$B$1+((Inputs!$G$5:$G$130&lt;&gt;"moeda")*(Inputs!$G$5:$G$130&lt;&gt;"acoes")))*INDEX(Inputs!$K$5:$AJ$130,0,MATCH(E$2,Inputs!$K$4:$AJ$4,0)))+SUMPRODUCT((Inputs!$C$5:$C$130=$B15)*Inputs!$D$5:$D$130*(((Inputs!$G$5:$G$130="moeda")+(Inputs!$G$5:$G$130="acoes"))*Inputs!$B$1+((Inputs!$G$5:$G$130&lt;&gt;"moeda")*(Inputs!$G$5:$G$130&lt;&gt;"acoes")))*INDEX(Inputs!$K$5:$AJ$130,0,MATCH(E$2,Inputs!$K$4:$AJ$4,0)))+SUMPRODUCT((Inputs!$E$5:$E$130=$B15)*Inputs!$F$5:$F$130*(((Inputs!$G$5:$G$130="moeda")+(Inputs!$G$5:$G$130="acoes"))*Inputs!$B$1+((Inputs!$G$5:$G$130&lt;&gt;"moeda")*(Inputs!$G$5:$G$130&lt;&gt;"acoes")))*INDEX(Inputs!$K$5:$AJ$130,0,MATCH(E$2,Inputs!$K$4:$AJ$4,0)))))</f>
        <v>19654</v>
      </c>
      <c r="F15" s="6">
        <f>IF(ISNA(MATCH(F$2,Inputs!$K$4:$AJ$4,0)),NA(),IF(SUMPRODUCT((Inputs!$A$5:$A$130=$B15)*ISNUMBER(INDEX(Inputs!$K$5:$AJ$130,0,MATCH(F$2,Inputs!$K$4:$AJ$4,0))))+SUMPRODUCT((Inputs!$C$5:$C$130=$B15)*ISNUMBER(INDEX(Inputs!$K$5:$AJ$130,0,MATCH(F$2,Inputs!$K$4:$AJ$4,0))))+SUMPRODUCT((Inputs!$E$5:$E$130=$B15)*ISNUMBER(INDEX(Inputs!$K$5:$AJ$130,0,MATCH(F$2,Inputs!$K$4:$AJ$4,0))))=0,NA(),SUMPRODUCT((Inputs!$A$5:$A$130=$B15)*Inputs!$B$5:$B$130*(((Inputs!$G$5:$G$130="moeda")+(Inputs!$G$5:$G$130="acoes"))*Inputs!$B$1+((Inputs!$G$5:$G$130&lt;&gt;"moeda")*(Inputs!$G$5:$G$130&lt;&gt;"acoes")))*INDEX(Inputs!$K$5:$AJ$130,0,MATCH(F$2,Inputs!$K$4:$AJ$4,0)))+SUMPRODUCT((Inputs!$C$5:$C$130=$B15)*Inputs!$D$5:$D$130*(((Inputs!$G$5:$G$130="moeda")+(Inputs!$G$5:$G$130="acoes"))*Inputs!$B$1+((Inputs!$G$5:$G$130&lt;&gt;"moeda")*(Inputs!$G$5:$G$130&lt;&gt;"acoes")))*INDEX(Inputs!$K$5:$AJ$130,0,MATCH(F$2,Inputs!$K$4:$AJ$4,0)))+SUMPRODUCT((Inputs!$E$5:$E$130=$B15)*Inputs!$F$5:$F$130*(((Inputs!$G$5:$G$130="moeda")+(Inputs!$G$5:$G$130="acoes"))*Inputs!$B$1+((Inputs!$G$5:$G$130&lt;&gt;"moeda")*(Inputs!$G$5:$G$130&lt;&gt;"acoes")))*INDEX(Inputs!$K$5:$AJ$130,0,MATCH(F$2,Inputs!$K$4:$AJ$4,0)))))</f>
        <v>19298</v>
      </c>
      <c r="G15" s="6">
        <f>IF(ISNA(MATCH(G$2,Inputs!$K$4:$AJ$4,0)),NA(),IF(SUMPRODUCT((Inputs!$A$5:$A$130=$B15)*ISNUMBER(INDEX(Inputs!$K$5:$AJ$130,0,MATCH(G$2,Inputs!$K$4:$AJ$4,0))))+SUMPRODUCT((Inputs!$C$5:$C$130=$B15)*ISNUMBER(INDEX(Inputs!$K$5:$AJ$130,0,MATCH(G$2,Inputs!$K$4:$AJ$4,0))))+SUMPRODUCT((Inputs!$E$5:$E$130=$B15)*ISNUMBER(INDEX(Inputs!$K$5:$AJ$130,0,MATCH(G$2,Inputs!$K$4:$AJ$4,0))))=0,NA(),SUMPRODUCT((Inputs!$A$5:$A$130=$B15)*Inputs!$B$5:$B$130*(((Inputs!$G$5:$G$130="moeda")+(Inputs!$G$5:$G$130="acoes"))*Inputs!$B$1+((Inputs!$G$5:$G$130&lt;&gt;"moeda")*(Inputs!$G$5:$G$130&lt;&gt;"acoes")))*INDEX(Inputs!$K$5:$AJ$130,0,MATCH(G$2,Inputs!$K$4:$AJ$4,0)))+SUMPRODUCT((Inputs!$C$5:$C$130=$B15)*Inputs!$D$5:$D$130*(((Inputs!$G$5:$G$130="moeda")+(Inputs!$G$5:$G$130="acoes"))*Inputs!$B$1+((Inputs!$G$5:$G$130&lt;&gt;"moeda")*(Inputs!$G$5:$G$130&lt;&gt;"acoes")))*INDEX(Inputs!$K$5:$AJ$130,0,MATCH(G$2,Inputs!$K$4:$AJ$4,0)))+SUMPRODUCT((Inputs!$E$5:$E$130=$B15)*Inputs!$F$5:$F$130*(((Inputs!$G$5:$G$130="moeda")+(Inputs!$G$5:$G$130="acoes"))*Inputs!$B$1+((Inputs!$G$5:$G$130&lt;&gt;"moeda")*(Inputs!$G$5:$G$130&lt;&gt;"acoes")))*INDEX(Inputs!$K$5:$AJ$130,0,MATCH(G$2,Inputs!$K$4:$AJ$4,0)))))</f>
        <v>21208</v>
      </c>
      <c r="H15" s="3">
        <f>G15</f>
        <v>21208</v>
      </c>
      <c r="I15" s="6">
        <f>IF(ISNA(MATCH(I$2,Inputs!$K$4:$AJ$4,0)),NA(),IF(SUMPRODUCT((Inputs!$A$5:$A$130=$B15)*ISNUMBER(INDEX(Inputs!$K$5:$AJ$130,0,MATCH(I$2,Inputs!$K$4:$AJ$4,0))))+SUMPRODUCT((Inputs!$C$5:$C$130=$B15)*ISNUMBER(INDEX(Inputs!$K$5:$AJ$130,0,MATCH(I$2,Inputs!$K$4:$AJ$4,0))))+SUMPRODUCT((Inputs!$E$5:$E$130=$B15)*ISNUMBER(INDEX(Inputs!$K$5:$AJ$130,0,MATCH(I$2,Inputs!$K$4:$AJ$4,0))))=0,NA(),SUMPRODUCT((Inputs!$A$5:$A$130=$B15)*Inputs!$B$5:$B$130*(((Inputs!$G$5:$G$130="moeda")+(Inputs!$G$5:$G$130="acoes"))*Inputs!$B$1+((Inputs!$G$5:$G$130&lt;&gt;"moeda")*(Inputs!$G$5:$G$130&lt;&gt;"acoes")))*INDEX(Inputs!$K$5:$AJ$130,0,MATCH(I$2,Inputs!$K$4:$AJ$4,0)))+SUMPRODUCT((Inputs!$C$5:$C$130=$B15)*Inputs!$D$5:$D$130*(((Inputs!$G$5:$G$130="moeda")+(Inputs!$G$5:$G$130="acoes"))*Inputs!$B$1+((Inputs!$G$5:$G$130&lt;&gt;"moeda")*(Inputs!$G$5:$G$130&lt;&gt;"acoes")))*INDEX(Inputs!$K$5:$AJ$130,0,MATCH(I$2,Inputs!$K$4:$AJ$4,0)))+SUMPRODUCT((Inputs!$E$5:$E$130=$B15)*Inputs!$F$5:$F$130*(((Inputs!$G$5:$G$130="moeda")+(Inputs!$G$5:$G$130="acoes"))*Inputs!$B$1+((Inputs!$G$5:$G$130&lt;&gt;"moeda")*(Inputs!$G$5:$G$130&lt;&gt;"acoes")))*INDEX(Inputs!$K$5:$AJ$130,0,MATCH(I$2,Inputs!$K$4:$AJ$4,0)))))</f>
        <v>20338</v>
      </c>
      <c r="J15" s="6">
        <f>IF(ISNA(MATCH(J$2,Inputs!$K$4:$AJ$4,0)),NA(),IF(SUMPRODUCT((Inputs!$A$5:$A$130=$B15)*ISNUMBER(INDEX(Inputs!$K$5:$AJ$130,0,MATCH(J$2,Inputs!$K$4:$AJ$4,0))))+SUMPRODUCT((Inputs!$C$5:$C$130=$B15)*ISNUMBER(INDEX(Inputs!$K$5:$AJ$130,0,MATCH(J$2,Inputs!$K$4:$AJ$4,0))))+SUMPRODUCT((Inputs!$E$5:$E$130=$B15)*ISNUMBER(INDEX(Inputs!$K$5:$AJ$130,0,MATCH(J$2,Inputs!$K$4:$AJ$4,0))))=0,NA(),SUMPRODUCT((Inputs!$A$5:$A$130=$B15)*Inputs!$B$5:$B$130*(((Inputs!$G$5:$G$130="moeda")+(Inputs!$G$5:$G$130="acoes"))*Inputs!$B$1+((Inputs!$G$5:$G$130&lt;&gt;"moeda")*(Inputs!$G$5:$G$130&lt;&gt;"acoes")))*INDEX(Inputs!$K$5:$AJ$130,0,MATCH(J$2,Inputs!$K$4:$AJ$4,0)))+SUMPRODUCT((Inputs!$C$5:$C$130=$B15)*Inputs!$D$5:$D$130*(((Inputs!$G$5:$G$130="moeda")+(Inputs!$G$5:$G$130="acoes"))*Inputs!$B$1+((Inputs!$G$5:$G$130&lt;&gt;"moeda")*(Inputs!$G$5:$G$130&lt;&gt;"acoes")))*INDEX(Inputs!$K$5:$AJ$130,0,MATCH(J$2,Inputs!$K$4:$AJ$4,0)))+SUMPRODUCT((Inputs!$E$5:$E$130=$B15)*Inputs!$F$5:$F$130*(((Inputs!$G$5:$G$130="moeda")+(Inputs!$G$5:$G$130="acoes"))*Inputs!$B$1+((Inputs!$G$5:$G$130&lt;&gt;"moeda")*(Inputs!$G$5:$G$130&lt;&gt;"acoes")))*INDEX(Inputs!$K$5:$AJ$130,0,MATCH(J$2,Inputs!$K$4:$AJ$4,0)))))</f>
        <v>17037</v>
      </c>
      <c r="K15" s="6">
        <f>IF(ISNA(MATCH(K$2,Inputs!$K$4:$AJ$4,0)),NA(),IF(SUMPRODUCT((Inputs!$A$5:$A$130=$B15)*ISNUMBER(INDEX(Inputs!$K$5:$AJ$130,0,MATCH(K$2,Inputs!$K$4:$AJ$4,0))))+SUMPRODUCT((Inputs!$C$5:$C$130=$B15)*ISNUMBER(INDEX(Inputs!$K$5:$AJ$130,0,MATCH(K$2,Inputs!$K$4:$AJ$4,0))))+SUMPRODUCT((Inputs!$E$5:$E$130=$B15)*ISNUMBER(INDEX(Inputs!$K$5:$AJ$130,0,MATCH(K$2,Inputs!$K$4:$AJ$4,0))))=0,NA(),SUMPRODUCT((Inputs!$A$5:$A$130=$B15)*Inputs!$B$5:$B$130*(((Inputs!$G$5:$G$130="moeda")+(Inputs!$G$5:$G$130="acoes"))*Inputs!$B$1+((Inputs!$G$5:$G$130&lt;&gt;"moeda")*(Inputs!$G$5:$G$130&lt;&gt;"acoes")))*INDEX(Inputs!$K$5:$AJ$130,0,MATCH(K$2,Inputs!$K$4:$AJ$4,0)))+SUMPRODUCT((Inputs!$C$5:$C$130=$B15)*Inputs!$D$5:$D$130*(((Inputs!$G$5:$G$130="moeda")+(Inputs!$G$5:$G$130="acoes"))*Inputs!$B$1+((Inputs!$G$5:$G$130&lt;&gt;"moeda")*(Inputs!$G$5:$G$130&lt;&gt;"acoes")))*INDEX(Inputs!$K$5:$AJ$130,0,MATCH(K$2,Inputs!$K$4:$AJ$4,0)))+SUMPRODUCT((Inputs!$E$5:$E$130=$B15)*Inputs!$F$5:$F$130*(((Inputs!$G$5:$G$130="moeda")+(Inputs!$G$5:$G$130="acoes"))*Inputs!$B$1+((Inputs!$G$5:$G$130&lt;&gt;"moeda")*(Inputs!$G$5:$G$130&lt;&gt;"acoes")))*INDEX(Inputs!$K$5:$AJ$130,0,MATCH(K$2,Inputs!$K$4:$AJ$4,0)))))</f>
        <v>13143</v>
      </c>
      <c r="L15" s="6">
        <f>IF(ISNA(MATCH(L$2,Inputs!$K$4:$AJ$4,0)),NA(),IF(SUMPRODUCT((Inputs!$A$5:$A$130=$B15)*ISNUMBER(INDEX(Inputs!$K$5:$AJ$130,0,MATCH(L$2,Inputs!$K$4:$AJ$4,0))))+SUMPRODUCT((Inputs!$C$5:$C$130=$B15)*ISNUMBER(INDEX(Inputs!$K$5:$AJ$130,0,MATCH(L$2,Inputs!$K$4:$AJ$4,0))))+SUMPRODUCT((Inputs!$E$5:$E$130=$B15)*ISNUMBER(INDEX(Inputs!$K$5:$AJ$130,0,MATCH(L$2,Inputs!$K$4:$AJ$4,0))))=0,NA(),SUMPRODUCT((Inputs!$A$5:$A$130=$B15)*Inputs!$B$5:$B$130*(((Inputs!$G$5:$G$130="moeda")+(Inputs!$G$5:$G$130="acoes"))*Inputs!$B$1+((Inputs!$G$5:$G$130&lt;&gt;"moeda")*(Inputs!$G$5:$G$130&lt;&gt;"acoes")))*INDEX(Inputs!$K$5:$AJ$130,0,MATCH(L$2,Inputs!$K$4:$AJ$4,0)))+SUMPRODUCT((Inputs!$C$5:$C$130=$B15)*Inputs!$D$5:$D$130*(((Inputs!$G$5:$G$130="moeda")+(Inputs!$G$5:$G$130="acoes"))*Inputs!$B$1+((Inputs!$G$5:$G$130&lt;&gt;"moeda")*(Inputs!$G$5:$G$130&lt;&gt;"acoes")))*INDEX(Inputs!$K$5:$AJ$130,0,MATCH(L$2,Inputs!$K$4:$AJ$4,0)))+SUMPRODUCT((Inputs!$E$5:$E$130=$B15)*Inputs!$F$5:$F$130*(((Inputs!$G$5:$G$130="moeda")+(Inputs!$G$5:$G$130="acoes"))*Inputs!$B$1+((Inputs!$G$5:$G$130&lt;&gt;"moeda")*(Inputs!$G$5:$G$130&lt;&gt;"acoes")))*INDEX(Inputs!$K$5:$AJ$130,0,MATCH(L$2,Inputs!$K$4:$AJ$4,0)))))</f>
        <v>13296</v>
      </c>
      <c r="M15" s="3">
        <f>L15</f>
        <v>13296</v>
      </c>
      <c r="N15" s="6">
        <f>IF(ISNA(MATCH(N$2,Inputs!$K$4:$AJ$4,0)),NA(),IF(SUMPRODUCT((Inputs!$A$5:$A$130=$B15)*ISNUMBER(INDEX(Inputs!$K$5:$AJ$130,0,MATCH(N$2,Inputs!$K$4:$AJ$4,0))))+SUMPRODUCT((Inputs!$C$5:$C$130=$B15)*ISNUMBER(INDEX(Inputs!$K$5:$AJ$130,0,MATCH(N$2,Inputs!$K$4:$AJ$4,0))))+SUMPRODUCT((Inputs!$E$5:$E$130=$B15)*ISNUMBER(INDEX(Inputs!$K$5:$AJ$130,0,MATCH(N$2,Inputs!$K$4:$AJ$4,0))))=0,NA(),SUMPRODUCT((Inputs!$A$5:$A$130=$B15)*Inputs!$B$5:$B$130*(((Inputs!$G$5:$G$130="moeda")+(Inputs!$G$5:$G$130="acoes"))*Inputs!$B$1+((Inputs!$G$5:$G$130&lt;&gt;"moeda")*(Inputs!$G$5:$G$130&lt;&gt;"acoes")))*INDEX(Inputs!$K$5:$AJ$130,0,MATCH(N$2,Inputs!$K$4:$AJ$4,0)))+SUMPRODUCT((Inputs!$C$5:$C$130=$B15)*Inputs!$D$5:$D$130*(((Inputs!$G$5:$G$130="moeda")+(Inputs!$G$5:$G$130="acoes"))*Inputs!$B$1+((Inputs!$G$5:$G$130&lt;&gt;"moeda")*(Inputs!$G$5:$G$130&lt;&gt;"acoes")))*INDEX(Inputs!$K$5:$AJ$130,0,MATCH(N$2,Inputs!$K$4:$AJ$4,0)))+SUMPRODUCT((Inputs!$E$5:$E$130=$B15)*Inputs!$F$5:$F$130*(((Inputs!$G$5:$G$130="moeda")+(Inputs!$G$5:$G$130="acoes"))*Inputs!$B$1+((Inputs!$G$5:$G$130&lt;&gt;"moeda")*(Inputs!$G$5:$G$130&lt;&gt;"acoes")))*INDEX(Inputs!$K$5:$AJ$130,0,MATCH(N$2,Inputs!$K$4:$AJ$4,0)))))</f>
        <v>15320</v>
      </c>
      <c r="O15" s="6">
        <f>IF(ISNA(MATCH(O$2,Inputs!$K$4:$AJ$4,0)),NA(),IF(SUMPRODUCT((Inputs!$A$5:$A$130=$B15)*ISNUMBER(INDEX(Inputs!$K$5:$AJ$130,0,MATCH(O$2,Inputs!$K$4:$AJ$4,0))))+SUMPRODUCT((Inputs!$C$5:$C$130=$B15)*ISNUMBER(INDEX(Inputs!$K$5:$AJ$130,0,MATCH(O$2,Inputs!$K$4:$AJ$4,0))))+SUMPRODUCT((Inputs!$E$5:$E$130=$B15)*ISNUMBER(INDEX(Inputs!$K$5:$AJ$130,0,MATCH(O$2,Inputs!$K$4:$AJ$4,0))))=0,NA(),SUMPRODUCT((Inputs!$A$5:$A$130=$B15)*Inputs!$B$5:$B$130*(((Inputs!$G$5:$G$130="moeda")+(Inputs!$G$5:$G$130="acoes"))*Inputs!$B$1+((Inputs!$G$5:$G$130&lt;&gt;"moeda")*(Inputs!$G$5:$G$130&lt;&gt;"acoes")))*INDEX(Inputs!$K$5:$AJ$130,0,MATCH(O$2,Inputs!$K$4:$AJ$4,0)))+SUMPRODUCT((Inputs!$C$5:$C$130=$B15)*Inputs!$D$5:$D$130*(((Inputs!$G$5:$G$130="moeda")+(Inputs!$G$5:$G$130="acoes"))*Inputs!$B$1+((Inputs!$G$5:$G$130&lt;&gt;"moeda")*(Inputs!$G$5:$G$130&lt;&gt;"acoes")))*INDEX(Inputs!$K$5:$AJ$130,0,MATCH(O$2,Inputs!$K$4:$AJ$4,0)))+SUMPRODUCT((Inputs!$E$5:$E$130=$B15)*Inputs!$F$5:$F$130*(((Inputs!$G$5:$G$130="moeda")+(Inputs!$G$5:$G$130="acoes"))*Inputs!$B$1+((Inputs!$G$5:$G$130&lt;&gt;"moeda")*(Inputs!$G$5:$G$130&lt;&gt;"acoes")))*INDEX(Inputs!$K$5:$AJ$130,0,MATCH(O$2,Inputs!$K$4:$AJ$4,0)))))</f>
        <v>16023</v>
      </c>
      <c r="P15" s="6">
        <f>IF(ISNA(MATCH(P$2,Inputs!$K$4:$AJ$4,0)),NA(),IF(SUMPRODUCT((Inputs!$A$5:$A$130=$B15)*ISNUMBER(INDEX(Inputs!$K$5:$AJ$130,0,MATCH(P$2,Inputs!$K$4:$AJ$4,0))))+SUMPRODUCT((Inputs!$C$5:$C$130=$B15)*ISNUMBER(INDEX(Inputs!$K$5:$AJ$130,0,MATCH(P$2,Inputs!$K$4:$AJ$4,0))))+SUMPRODUCT((Inputs!$E$5:$E$130=$B15)*ISNUMBER(INDEX(Inputs!$K$5:$AJ$130,0,MATCH(P$2,Inputs!$K$4:$AJ$4,0))))=0,NA(),SUMPRODUCT((Inputs!$A$5:$A$130=$B15)*Inputs!$B$5:$B$130*(((Inputs!$G$5:$G$130="moeda")+(Inputs!$G$5:$G$130="acoes"))*Inputs!$B$1+((Inputs!$G$5:$G$130&lt;&gt;"moeda")*(Inputs!$G$5:$G$130&lt;&gt;"acoes")))*INDEX(Inputs!$K$5:$AJ$130,0,MATCH(P$2,Inputs!$K$4:$AJ$4,0)))+SUMPRODUCT((Inputs!$C$5:$C$130=$B15)*Inputs!$D$5:$D$130*(((Inputs!$G$5:$G$130="moeda")+(Inputs!$G$5:$G$130="acoes"))*Inputs!$B$1+((Inputs!$G$5:$G$130&lt;&gt;"moeda")*(Inputs!$G$5:$G$130&lt;&gt;"acoes")))*INDEX(Inputs!$K$5:$AJ$130,0,MATCH(P$2,Inputs!$K$4:$AJ$4,0)))+SUMPRODUCT((Inputs!$E$5:$E$130=$B15)*Inputs!$F$5:$F$130*(((Inputs!$G$5:$G$130="moeda")+(Inputs!$G$5:$G$130="acoes"))*Inputs!$B$1+((Inputs!$G$5:$G$130&lt;&gt;"moeda")*(Inputs!$G$5:$G$130&lt;&gt;"acoes")))*INDEX(Inputs!$K$5:$AJ$130,0,MATCH(P$2,Inputs!$K$4:$AJ$4,0)))))</f>
        <v>18281</v>
      </c>
      <c r="Q15" s="6">
        <f>IF(ISNA(MATCH(Q$2,Inputs!$K$4:$AJ$4,0)),NA(),IF(SUMPRODUCT((Inputs!$A$5:$A$130=$B15)*ISNUMBER(INDEX(Inputs!$K$5:$AJ$130,0,MATCH(Q$2,Inputs!$K$4:$AJ$4,0))))+SUMPRODUCT((Inputs!$C$5:$C$130=$B15)*ISNUMBER(INDEX(Inputs!$K$5:$AJ$130,0,MATCH(Q$2,Inputs!$K$4:$AJ$4,0))))+SUMPRODUCT((Inputs!$E$5:$E$130=$B15)*ISNUMBER(INDEX(Inputs!$K$5:$AJ$130,0,MATCH(Q$2,Inputs!$K$4:$AJ$4,0))))=0,NA(),SUMPRODUCT((Inputs!$A$5:$A$130=$B15)*Inputs!$B$5:$B$130*(((Inputs!$G$5:$G$130="moeda")+(Inputs!$G$5:$G$130="acoes"))*Inputs!$B$1+((Inputs!$G$5:$G$130&lt;&gt;"moeda")*(Inputs!$G$5:$G$130&lt;&gt;"acoes")))*INDEX(Inputs!$K$5:$AJ$130,0,MATCH(Q$2,Inputs!$K$4:$AJ$4,0)))+SUMPRODUCT((Inputs!$C$5:$C$130=$B15)*Inputs!$D$5:$D$130*(((Inputs!$G$5:$G$130="moeda")+(Inputs!$G$5:$G$130="acoes"))*Inputs!$B$1+((Inputs!$G$5:$G$130&lt;&gt;"moeda")*(Inputs!$G$5:$G$130&lt;&gt;"acoes")))*INDEX(Inputs!$K$5:$AJ$130,0,MATCH(Q$2,Inputs!$K$4:$AJ$4,0)))+SUMPRODUCT((Inputs!$E$5:$E$130=$B15)*Inputs!$F$5:$F$130*(((Inputs!$G$5:$G$130="moeda")+(Inputs!$G$5:$G$130="acoes"))*Inputs!$B$1+((Inputs!$G$5:$G$130&lt;&gt;"moeda")*(Inputs!$G$5:$G$130&lt;&gt;"acoes")))*INDEX(Inputs!$K$5:$AJ$130,0,MATCH(Q$2,Inputs!$K$4:$AJ$4,0)))))</f>
        <v>25984</v>
      </c>
      <c r="R15" s="3">
        <f>Q15</f>
        <v>25984</v>
      </c>
      <c r="S15" s="6">
        <f>IF(ISNA(MATCH(S$2,Inputs!$K$4:$AJ$4,0)),NA(),IF(SUMPRODUCT((Inputs!$A$5:$A$130=$B15)*ISNUMBER(INDEX(Inputs!$K$5:$AJ$130,0,MATCH(S$2,Inputs!$K$4:$AJ$4,0))))+SUMPRODUCT((Inputs!$C$5:$C$130=$B15)*ISNUMBER(INDEX(Inputs!$K$5:$AJ$130,0,MATCH(S$2,Inputs!$K$4:$AJ$4,0))))+SUMPRODUCT((Inputs!$E$5:$E$130=$B15)*ISNUMBER(INDEX(Inputs!$K$5:$AJ$130,0,MATCH(S$2,Inputs!$K$4:$AJ$4,0))))=0,NA(),SUMPRODUCT((Inputs!$A$5:$A$130=$B15)*Inputs!$B$5:$B$130*(((Inputs!$G$5:$G$130="moeda")+(Inputs!$G$5:$G$130="acoes"))*Inputs!$B$1+((Inputs!$G$5:$G$130&lt;&gt;"moeda")*(Inputs!$G$5:$G$130&lt;&gt;"acoes")))*INDEX(Inputs!$K$5:$AJ$130,0,MATCH(S$2,Inputs!$K$4:$AJ$4,0)))+SUMPRODUCT((Inputs!$C$5:$C$130=$B15)*Inputs!$D$5:$D$130*(((Inputs!$G$5:$G$130="moeda")+(Inputs!$G$5:$G$130="acoes"))*Inputs!$B$1+((Inputs!$G$5:$G$130&lt;&gt;"moeda")*(Inputs!$G$5:$G$130&lt;&gt;"acoes")))*INDEX(Inputs!$K$5:$AJ$130,0,MATCH(S$2,Inputs!$K$4:$AJ$4,0)))+SUMPRODUCT((Inputs!$E$5:$E$130=$B15)*Inputs!$F$5:$F$130*(((Inputs!$G$5:$G$130="moeda")+(Inputs!$G$5:$G$130="acoes"))*Inputs!$B$1+((Inputs!$G$5:$G$130&lt;&gt;"moeda")*(Inputs!$G$5:$G$130&lt;&gt;"acoes")))*INDEX(Inputs!$K$5:$AJ$130,0,MATCH(S$2,Inputs!$K$4:$AJ$4,0)))))</f>
        <v>31438</v>
      </c>
      <c r="T15" s="6">
        <f>IF(ISNA(MATCH(T$2,Inputs!$K$4:$AJ$4,0)),NA(),IF(SUMPRODUCT((Inputs!$A$5:$A$130=$B15)*ISNUMBER(INDEX(Inputs!$K$5:$AJ$130,0,MATCH(T$2,Inputs!$K$4:$AJ$4,0))))+SUMPRODUCT((Inputs!$C$5:$C$130=$B15)*ISNUMBER(INDEX(Inputs!$K$5:$AJ$130,0,MATCH(T$2,Inputs!$K$4:$AJ$4,0))))+SUMPRODUCT((Inputs!$E$5:$E$130=$B15)*ISNUMBER(INDEX(Inputs!$K$5:$AJ$130,0,MATCH(T$2,Inputs!$K$4:$AJ$4,0))))=0,NA(),SUMPRODUCT((Inputs!$A$5:$A$130=$B15)*Inputs!$B$5:$B$130*(((Inputs!$G$5:$G$130="moeda")+(Inputs!$G$5:$G$130="acoes"))*Inputs!$B$1+((Inputs!$G$5:$G$130&lt;&gt;"moeda")*(Inputs!$G$5:$G$130&lt;&gt;"acoes")))*INDEX(Inputs!$K$5:$AJ$130,0,MATCH(T$2,Inputs!$K$4:$AJ$4,0)))+SUMPRODUCT((Inputs!$C$5:$C$130=$B15)*Inputs!$D$5:$D$130*(((Inputs!$G$5:$G$130="moeda")+(Inputs!$G$5:$G$130="acoes"))*Inputs!$B$1+((Inputs!$G$5:$G$130&lt;&gt;"moeda")*(Inputs!$G$5:$G$130&lt;&gt;"acoes")))*INDEX(Inputs!$K$5:$AJ$130,0,MATCH(T$2,Inputs!$K$4:$AJ$4,0)))+SUMPRODUCT((Inputs!$E$5:$E$130=$B15)*Inputs!$F$5:$F$130*(((Inputs!$G$5:$G$130="moeda")+(Inputs!$G$5:$G$130="acoes"))*Inputs!$B$1+((Inputs!$G$5:$G$130&lt;&gt;"moeda")*(Inputs!$G$5:$G$130&lt;&gt;"acoes")))*INDEX(Inputs!$K$5:$AJ$130,0,MATCH(T$2,Inputs!$K$4:$AJ$4,0)))))</f>
        <v>34800</v>
      </c>
      <c r="U15" s="6">
        <f>IF(ISNA(MATCH(U$2,Inputs!$K$4:$AJ$4,0)),NA(),IF(SUMPRODUCT((Inputs!$A$5:$A$130=$B15)*ISNUMBER(INDEX(Inputs!$K$5:$AJ$130,0,MATCH(U$2,Inputs!$K$4:$AJ$4,0))))+SUMPRODUCT((Inputs!$C$5:$C$130=$B15)*ISNUMBER(INDEX(Inputs!$K$5:$AJ$130,0,MATCH(U$2,Inputs!$K$4:$AJ$4,0))))+SUMPRODUCT((Inputs!$E$5:$E$130=$B15)*ISNUMBER(INDEX(Inputs!$K$5:$AJ$130,0,MATCH(U$2,Inputs!$K$4:$AJ$4,0))))=0,NA(),SUMPRODUCT((Inputs!$A$5:$A$130=$B15)*Inputs!$B$5:$B$130*(((Inputs!$G$5:$G$130="moeda")+(Inputs!$G$5:$G$130="acoes"))*Inputs!$B$1+((Inputs!$G$5:$G$130&lt;&gt;"moeda")*(Inputs!$G$5:$G$130&lt;&gt;"acoes")))*INDEX(Inputs!$K$5:$AJ$130,0,MATCH(U$2,Inputs!$K$4:$AJ$4,0)))+SUMPRODUCT((Inputs!$C$5:$C$130=$B15)*Inputs!$D$5:$D$130*(((Inputs!$G$5:$G$130="moeda")+(Inputs!$G$5:$G$130="acoes"))*Inputs!$B$1+((Inputs!$G$5:$G$130&lt;&gt;"moeda")*(Inputs!$G$5:$G$130&lt;&gt;"acoes")))*INDEX(Inputs!$K$5:$AJ$130,0,MATCH(U$2,Inputs!$K$4:$AJ$4,0)))+SUMPRODUCT((Inputs!$E$5:$E$130=$B15)*Inputs!$F$5:$F$130*(((Inputs!$G$5:$G$130="moeda")+(Inputs!$G$5:$G$130="acoes"))*Inputs!$B$1+((Inputs!$G$5:$G$130&lt;&gt;"moeda")*(Inputs!$G$5:$G$130&lt;&gt;"acoes")))*INDEX(Inputs!$K$5:$AJ$130,0,MATCH(U$2,Inputs!$K$4:$AJ$4,0)))))</f>
        <v>38487</v>
      </c>
      <c r="V15" s="6">
        <f>IF(ISNA(MATCH(V$2,Inputs!$K$4:$AJ$4,0)),NA(),IF(SUMPRODUCT((Inputs!$A$5:$A$130=$B15)*ISNUMBER(INDEX(Inputs!$K$5:$AJ$130,0,MATCH(V$2,Inputs!$K$4:$AJ$4,0))))+SUMPRODUCT((Inputs!$C$5:$C$130=$B15)*ISNUMBER(INDEX(Inputs!$K$5:$AJ$130,0,MATCH(V$2,Inputs!$K$4:$AJ$4,0))))+SUMPRODUCT((Inputs!$E$5:$E$130=$B15)*ISNUMBER(INDEX(Inputs!$K$5:$AJ$130,0,MATCH(V$2,Inputs!$K$4:$AJ$4,0))))=0,NA(),SUMPRODUCT((Inputs!$A$5:$A$130=$B15)*Inputs!$B$5:$B$130*(((Inputs!$G$5:$G$130="moeda")+(Inputs!$G$5:$G$130="acoes"))*Inputs!$B$1+((Inputs!$G$5:$G$130&lt;&gt;"moeda")*(Inputs!$G$5:$G$130&lt;&gt;"acoes")))*INDEX(Inputs!$K$5:$AJ$130,0,MATCH(V$2,Inputs!$K$4:$AJ$4,0)))+SUMPRODUCT((Inputs!$C$5:$C$130=$B15)*Inputs!$D$5:$D$130*(((Inputs!$G$5:$G$130="moeda")+(Inputs!$G$5:$G$130="acoes"))*Inputs!$B$1+((Inputs!$G$5:$G$130&lt;&gt;"moeda")*(Inputs!$G$5:$G$130&lt;&gt;"acoes")))*INDEX(Inputs!$K$5:$AJ$130,0,MATCH(V$2,Inputs!$K$4:$AJ$4,0)))+SUMPRODUCT((Inputs!$E$5:$E$130=$B15)*Inputs!$F$5:$F$130*(((Inputs!$G$5:$G$130="moeda")+(Inputs!$G$5:$G$130="acoes"))*Inputs!$B$1+((Inputs!$G$5:$G$130&lt;&gt;"moeda")*(Inputs!$G$5:$G$130&lt;&gt;"acoes")))*INDEX(Inputs!$K$5:$AJ$130,0,MATCH(V$2,Inputs!$K$4:$AJ$4,0)))))</f>
        <v>43210</v>
      </c>
      <c r="W15" s="3">
        <f>V15</f>
        <v>43210</v>
      </c>
      <c r="X15" s="6">
        <f>IF(ISNA(MATCH(X$2,Inputs!$K$4:$AJ$4,0)),NA(),IF(SUMPRODUCT((Inputs!$A$5:$A$130=$B15)*ISNUMBER(INDEX(Inputs!$K$5:$AJ$130,0,MATCH(X$2,Inputs!$K$4:$AJ$4,0))))+SUMPRODUCT((Inputs!$C$5:$C$130=$B15)*ISNUMBER(INDEX(Inputs!$K$5:$AJ$130,0,MATCH(X$2,Inputs!$K$4:$AJ$4,0))))+SUMPRODUCT((Inputs!$E$5:$E$130=$B15)*ISNUMBER(INDEX(Inputs!$K$5:$AJ$130,0,MATCH(X$2,Inputs!$K$4:$AJ$4,0))))=0,NA(),SUMPRODUCT((Inputs!$A$5:$A$130=$B15)*Inputs!$B$5:$B$130*(((Inputs!$G$5:$G$130="moeda")+(Inputs!$G$5:$G$130="acoes"))*Inputs!$B$1+((Inputs!$G$5:$G$130&lt;&gt;"moeda")*(Inputs!$G$5:$G$130&lt;&gt;"acoes")))*INDEX(Inputs!$K$5:$AJ$130,0,MATCH(X$2,Inputs!$K$4:$AJ$4,0)))+SUMPRODUCT((Inputs!$C$5:$C$130=$B15)*Inputs!$D$5:$D$130*(((Inputs!$G$5:$G$130="moeda")+(Inputs!$G$5:$G$130="acoes"))*Inputs!$B$1+((Inputs!$G$5:$G$130&lt;&gt;"moeda")*(Inputs!$G$5:$G$130&lt;&gt;"acoes")))*INDEX(Inputs!$K$5:$AJ$130,0,MATCH(X$2,Inputs!$K$4:$AJ$4,0)))+SUMPRODUCT((Inputs!$E$5:$E$130=$B15)*Inputs!$F$5:$F$130*(((Inputs!$G$5:$G$130="moeda")+(Inputs!$G$5:$G$130="acoes"))*Inputs!$B$1+((Inputs!$G$5:$G$130&lt;&gt;"moeda")*(Inputs!$G$5:$G$130&lt;&gt;"acoes")))*INDEX(Inputs!$K$5:$AJ$130,0,MATCH(X$2,Inputs!$K$4:$AJ$4,0)))))</f>
        <v>53691</v>
      </c>
      <c r="Y15" s="6">
        <f>IF(ISNA(MATCH(Y$2,Inputs!$K$4:$AJ$4,0)),NA(),IF(SUMPRODUCT((Inputs!$A$5:$A$130=$B15)*ISNUMBER(INDEX(Inputs!$K$5:$AJ$130,0,MATCH(Y$2,Inputs!$K$4:$AJ$4,0))))+SUMPRODUCT((Inputs!$C$5:$C$130=$B15)*ISNUMBER(INDEX(Inputs!$K$5:$AJ$130,0,MATCH(Y$2,Inputs!$K$4:$AJ$4,0))))+SUMPRODUCT((Inputs!$E$5:$E$130=$B15)*ISNUMBER(INDEX(Inputs!$K$5:$AJ$130,0,MATCH(Y$2,Inputs!$K$4:$AJ$4,0))))=0,NA(),SUMPRODUCT((Inputs!$A$5:$A$130=$B15)*Inputs!$B$5:$B$130*(((Inputs!$G$5:$G$130="moeda")+(Inputs!$G$5:$G$130="acoes"))*Inputs!$B$1+((Inputs!$G$5:$G$130&lt;&gt;"moeda")*(Inputs!$G$5:$G$130&lt;&gt;"acoes")))*INDEX(Inputs!$K$5:$AJ$130,0,MATCH(Y$2,Inputs!$K$4:$AJ$4,0)))+SUMPRODUCT((Inputs!$C$5:$C$130=$B15)*Inputs!$D$5:$D$130*(((Inputs!$G$5:$G$130="moeda")+(Inputs!$G$5:$G$130="acoes"))*Inputs!$B$1+((Inputs!$G$5:$G$130&lt;&gt;"moeda")*(Inputs!$G$5:$G$130&lt;&gt;"acoes")))*INDEX(Inputs!$K$5:$AJ$130,0,MATCH(Y$2,Inputs!$K$4:$AJ$4,0)))+SUMPRODUCT((Inputs!$E$5:$E$130=$B15)*Inputs!$F$5:$F$130*(((Inputs!$G$5:$G$130="moeda")+(Inputs!$G$5:$G$130="acoes"))*Inputs!$B$1+((Inputs!$G$5:$G$130&lt;&gt;"moeda")*(Inputs!$G$5:$G$130&lt;&gt;"acoes")))*INDEX(Inputs!$K$5:$AJ$130,0,MATCH(Y$2,Inputs!$K$4:$AJ$4,0)))))</f>
        <v>56791</v>
      </c>
      <c r="Z15" s="6">
        <f>IF(ISNA(MATCH(Z$2,Inputs!$K$4:$AJ$4,0)),NA(),IF(SUMPRODUCT((Inputs!$A$5:$A$130=$B15)*ISNUMBER(INDEX(Inputs!$K$5:$AJ$130,0,MATCH(Z$2,Inputs!$K$4:$AJ$4,0))))+SUMPRODUCT((Inputs!$C$5:$C$130=$B15)*ISNUMBER(INDEX(Inputs!$K$5:$AJ$130,0,MATCH(Z$2,Inputs!$K$4:$AJ$4,0))))+SUMPRODUCT((Inputs!$E$5:$E$130=$B15)*ISNUMBER(INDEX(Inputs!$K$5:$AJ$130,0,MATCH(Z$2,Inputs!$K$4:$AJ$4,0))))=0,NA(),SUMPRODUCT((Inputs!$A$5:$A$130=$B15)*Inputs!$B$5:$B$130*(((Inputs!$G$5:$G$130="moeda")+(Inputs!$G$5:$G$130="acoes"))*Inputs!$B$1+((Inputs!$G$5:$G$130&lt;&gt;"moeda")*(Inputs!$G$5:$G$130&lt;&gt;"acoes")))*INDEX(Inputs!$K$5:$AJ$130,0,MATCH(Z$2,Inputs!$K$4:$AJ$4,0)))+SUMPRODUCT((Inputs!$C$5:$C$130=$B15)*Inputs!$D$5:$D$130*(((Inputs!$G$5:$G$130="moeda")+(Inputs!$G$5:$G$130="acoes"))*Inputs!$B$1+((Inputs!$G$5:$G$130&lt;&gt;"moeda")*(Inputs!$G$5:$G$130&lt;&gt;"acoes")))*INDEX(Inputs!$K$5:$AJ$130,0,MATCH(Z$2,Inputs!$K$4:$AJ$4,0)))+SUMPRODUCT((Inputs!$E$5:$E$130=$B15)*Inputs!$F$5:$F$130*(((Inputs!$G$5:$G$130="moeda")+(Inputs!$G$5:$G$130="acoes"))*Inputs!$B$1+((Inputs!$G$5:$G$130&lt;&gt;"moeda")*(Inputs!$G$5:$G$130&lt;&gt;"acoes")))*INDEX(Inputs!$K$5:$AJ$130,0,MATCH(Z$2,Inputs!$K$4:$AJ$4,0)))))</f>
        <v>60608</v>
      </c>
      <c r="AA15" s="6">
        <f>IF(ISNA(MATCH(AA$2,Inputs!$K$4:$AJ$4,0)),NA(),IF(SUMPRODUCT((Inputs!$A$5:$A$130=$B15)*ISNUMBER(INDEX(Inputs!$K$5:$AJ$130,0,MATCH(AA$2,Inputs!$K$4:$AJ$4,0))))+SUMPRODUCT((Inputs!$C$5:$C$130=$B15)*ISNUMBER(INDEX(Inputs!$K$5:$AJ$130,0,MATCH(AA$2,Inputs!$K$4:$AJ$4,0))))+SUMPRODUCT((Inputs!$E$5:$E$130=$B15)*ISNUMBER(INDEX(Inputs!$K$5:$AJ$130,0,MATCH(AA$2,Inputs!$K$4:$AJ$4,0))))=0,NA(),SUMPRODUCT((Inputs!$A$5:$A$130=$B15)*Inputs!$B$5:$B$130*(((Inputs!$G$5:$G$130="moeda")+(Inputs!$G$5:$G$130="acoes"))*Inputs!$B$1+((Inputs!$G$5:$G$130&lt;&gt;"moeda")*(Inputs!$G$5:$G$130&lt;&gt;"acoes")))*INDEX(Inputs!$K$5:$AJ$130,0,MATCH(AA$2,Inputs!$K$4:$AJ$4,0)))+SUMPRODUCT((Inputs!$C$5:$C$130=$B15)*Inputs!$D$5:$D$130*(((Inputs!$G$5:$G$130="moeda")+(Inputs!$G$5:$G$130="acoes"))*Inputs!$B$1+((Inputs!$G$5:$G$130&lt;&gt;"moeda")*(Inputs!$G$5:$G$130&lt;&gt;"acoes")))*INDEX(Inputs!$K$5:$AJ$130,0,MATCH(AA$2,Inputs!$K$4:$AJ$4,0)))+SUMPRODUCT((Inputs!$E$5:$E$130=$B15)*Inputs!$F$5:$F$130*(((Inputs!$G$5:$G$130="moeda")+(Inputs!$G$5:$G$130="acoes"))*Inputs!$B$1+((Inputs!$G$5:$G$130&lt;&gt;"moeda")*(Inputs!$G$5:$G$130&lt;&gt;"acoes")))*INDEX(Inputs!$K$5:$AJ$130,0,MATCH(AA$2,Inputs!$K$4:$AJ$4,0)))))</f>
        <v>62556</v>
      </c>
      <c r="AB15" s="3">
        <f>AA15</f>
        <v>62556</v>
      </c>
      <c r="AC15" s="6">
        <f>IF(ISNA(MATCH(AC$2,Inputs!$K$4:$AJ$4,0)),NA(),IF(SUMPRODUCT((Inputs!$A$5:$A$130=$B15)*ISNUMBER(INDEX(Inputs!$K$5:$AJ$130,0,MATCH(AC$2,Inputs!$K$4:$AJ$4,0))))+SUMPRODUCT((Inputs!$C$5:$C$130=$B15)*ISNUMBER(INDEX(Inputs!$K$5:$AJ$130,0,MATCH(AC$2,Inputs!$K$4:$AJ$4,0))))+SUMPRODUCT((Inputs!$E$5:$E$130=$B15)*ISNUMBER(INDEX(Inputs!$K$5:$AJ$130,0,MATCH(AC$2,Inputs!$K$4:$AJ$4,0))))=0,NA(),SUMPRODUCT((Inputs!$A$5:$A$130=$B15)*Inputs!$B$5:$B$130*(((Inputs!$G$5:$G$130="moeda")+(Inputs!$G$5:$G$130="acoes"))*Inputs!$B$1+((Inputs!$G$5:$G$130&lt;&gt;"moeda")*(Inputs!$G$5:$G$130&lt;&gt;"acoes")))*INDEX(Inputs!$K$5:$AJ$130,0,MATCH(AC$2,Inputs!$K$4:$AJ$4,0)))+SUMPRODUCT((Inputs!$C$5:$C$130=$B15)*Inputs!$D$5:$D$130*(((Inputs!$G$5:$G$130="moeda")+(Inputs!$G$5:$G$130="acoes"))*Inputs!$B$1+((Inputs!$G$5:$G$130&lt;&gt;"moeda")*(Inputs!$G$5:$G$130&lt;&gt;"acoes")))*INDEX(Inputs!$K$5:$AJ$130,0,MATCH(AC$2,Inputs!$K$4:$AJ$4,0)))+SUMPRODUCT((Inputs!$E$5:$E$130=$B15)*Inputs!$F$5:$F$130*(((Inputs!$G$5:$G$130="moeda")+(Inputs!$G$5:$G$130="acoes"))*Inputs!$B$1+((Inputs!$G$5:$G$130&lt;&gt;"moeda")*(Inputs!$G$5:$G$130&lt;&gt;"acoes")))*INDEX(Inputs!$K$5:$AJ$130,0,MATCH(AC$2,Inputs!$K$4:$AJ$4,0)))))</f>
        <v>80572</v>
      </c>
      <c r="AD15" s="6">
        <f>IF(ISNA(MATCH(AD$2,Inputs!$K$4:$AJ$4,0)),NA(),IF(SUMPRODUCT((Inputs!$A$5:$A$130=$B15)*ISNUMBER(INDEX(Inputs!$K$5:$AJ$130,0,MATCH(AD$2,Inputs!$K$4:$AJ$4,0))))+SUMPRODUCT((Inputs!$C$5:$C$130=$B15)*ISNUMBER(INDEX(Inputs!$K$5:$AJ$130,0,MATCH(AD$2,Inputs!$K$4:$AJ$4,0))))+SUMPRODUCT((Inputs!$E$5:$E$130=$B15)*ISNUMBER(INDEX(Inputs!$K$5:$AJ$130,0,MATCH(AD$2,Inputs!$K$4:$AJ$4,0))))=0,NA(),SUMPRODUCT((Inputs!$A$5:$A$130=$B15)*Inputs!$B$5:$B$130*(((Inputs!$G$5:$G$130="moeda")+(Inputs!$G$5:$G$130="acoes"))*Inputs!$B$1+((Inputs!$G$5:$G$130&lt;&gt;"moeda")*(Inputs!$G$5:$G$130&lt;&gt;"acoes")))*INDEX(Inputs!$K$5:$AJ$130,0,MATCH(AD$2,Inputs!$K$4:$AJ$4,0)))+SUMPRODUCT((Inputs!$C$5:$C$130=$B15)*Inputs!$D$5:$D$130*(((Inputs!$G$5:$G$130="moeda")+(Inputs!$G$5:$G$130="acoes"))*Inputs!$B$1+((Inputs!$G$5:$G$130&lt;&gt;"moeda")*(Inputs!$G$5:$G$130&lt;&gt;"acoes")))*INDEX(Inputs!$K$5:$AJ$130,0,MATCH(AD$2,Inputs!$K$4:$AJ$4,0)))+SUMPRODUCT((Inputs!$E$5:$E$130=$B15)*Inputs!$F$5:$F$130*(((Inputs!$G$5:$G$130="moeda")+(Inputs!$G$5:$G$130="acoes"))*Inputs!$B$1+((Inputs!$G$5:$G$130&lt;&gt;"moeda")*(Inputs!$G$5:$G$130&lt;&gt;"acoes")))*INDEX(Inputs!$K$5:$AJ$130,0,MATCH(AD$2,Inputs!$K$4:$AJ$4,0)))))</f>
        <v>99369</v>
      </c>
      <c r="AE15" s="6" t="e">
        <f>IF(ISNA(MATCH(AE$2,Inputs!$K$4:$AJ$4,0)),NA(),IF(SUMPRODUCT((Inputs!$A$5:$A$130=$B15)*ISNUMBER(INDEX(Inputs!$K$5:$AJ$130,0,MATCH(AE$2,Inputs!$K$4:$AJ$4,0))))+SUMPRODUCT((Inputs!$C$5:$C$130=$B15)*ISNUMBER(INDEX(Inputs!$K$5:$AJ$130,0,MATCH(AE$2,Inputs!$K$4:$AJ$4,0))))+SUMPRODUCT((Inputs!$E$5:$E$130=$B15)*ISNUMBER(INDEX(Inputs!$K$5:$AJ$130,0,MATCH(AE$2,Inputs!$K$4:$AJ$4,0))))=0,NA(),SUMPRODUCT((Inputs!$A$5:$A$130=$B15)*Inputs!$B$5:$B$130*(((Inputs!$G$5:$G$130="moeda")+(Inputs!$G$5:$G$130="acoes"))*Inputs!$B$1+((Inputs!$G$5:$G$130&lt;&gt;"moeda")*(Inputs!$G$5:$G$130&lt;&gt;"acoes")))*INDEX(Inputs!$K$5:$AJ$130,0,MATCH(AE$2,Inputs!$K$4:$AJ$4,0)))+SUMPRODUCT((Inputs!$C$5:$C$130=$B15)*Inputs!$D$5:$D$130*(((Inputs!$G$5:$G$130="moeda")+(Inputs!$G$5:$G$130="acoes"))*Inputs!$B$1+((Inputs!$G$5:$G$130&lt;&gt;"moeda")*(Inputs!$G$5:$G$130&lt;&gt;"acoes")))*INDEX(Inputs!$K$5:$AJ$130,0,MATCH(AE$2,Inputs!$K$4:$AJ$4,0)))+SUMPRODUCT((Inputs!$E$5:$E$130=$B15)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5" s="6" t="e">
        <f>IF(ISNA(MATCH(AF$2,Inputs!$K$4:$AJ$4,0)),NA(),IF(SUMPRODUCT((Inputs!$A$5:$A$130=$B15)*ISNUMBER(INDEX(Inputs!$K$5:$AJ$130,0,MATCH(AF$2,Inputs!$K$4:$AJ$4,0))))+SUMPRODUCT((Inputs!$C$5:$C$130=$B15)*ISNUMBER(INDEX(Inputs!$K$5:$AJ$130,0,MATCH(AF$2,Inputs!$K$4:$AJ$4,0))))+SUMPRODUCT((Inputs!$E$5:$E$130=$B15)*ISNUMBER(INDEX(Inputs!$K$5:$AJ$130,0,MATCH(AF$2,Inputs!$K$4:$AJ$4,0))))=0,NA(),SUMPRODUCT((Inputs!$A$5:$A$130=$B15)*Inputs!$B$5:$B$130*(((Inputs!$G$5:$G$130="moeda")+(Inputs!$G$5:$G$130="acoes"))*Inputs!$B$1+((Inputs!$G$5:$G$130&lt;&gt;"moeda")*(Inputs!$G$5:$G$130&lt;&gt;"acoes")))*INDEX(Inputs!$K$5:$AJ$130,0,MATCH(AF$2,Inputs!$K$4:$AJ$4,0)))+SUMPRODUCT((Inputs!$C$5:$C$130=$B15)*Inputs!$D$5:$D$130*(((Inputs!$G$5:$G$130="moeda")+(Inputs!$G$5:$G$130="acoes"))*Inputs!$B$1+((Inputs!$G$5:$G$130&lt;&gt;"moeda")*(Inputs!$G$5:$G$130&lt;&gt;"acoes")))*INDEX(Inputs!$K$5:$AJ$130,0,MATCH(AF$2,Inputs!$K$4:$AJ$4,0)))+SUMPRODUCT((Inputs!$E$5:$E$130=$B15)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5" s="3" t="e">
        <f>AF15</f>
        <v>#N/A</v>
      </c>
      <c r="AH15" s="6">
        <f>IF(ISNA(MATCH(AH$2,Inputs!$K$4:$AJ$4,0)),NA(),IF(SUMPRODUCT((Inputs!$A$5:$A$130=$B15)*ISNUMBER(INDEX(Inputs!$K$5:$AJ$130,0,MATCH(AH$2,Inputs!$K$4:$AJ$4,0))))+SUMPRODUCT((Inputs!$C$5:$C$130=$B15)*ISNUMBER(INDEX(Inputs!$K$5:$AJ$130,0,MATCH(AH$2,Inputs!$K$4:$AJ$4,0))))+SUMPRODUCT((Inputs!$E$5:$E$130=$B15)*ISNUMBER(INDEX(Inputs!$K$5:$AJ$130,0,MATCH(AH$2,Inputs!$K$4:$AJ$4,0))))=0,NA(),SUMPRODUCT((Inputs!$A$5:$A$130=$B15)*Inputs!$B$5:$B$130*(((Inputs!$G$5:$G$130="moeda")+(Inputs!$G$5:$G$130="acoes"))*Inputs!$B$1+((Inputs!$G$5:$G$130&lt;&gt;"moeda")*(Inputs!$G$5:$G$130&lt;&gt;"acoes")))*INDEX(Inputs!$K$5:$AJ$130,0,MATCH(AH$2,Inputs!$K$4:$AJ$4,0)))+SUMPRODUCT((Inputs!$C$5:$C$130=$B15)*Inputs!$D$5:$D$130*(((Inputs!$G$5:$G$130="moeda")+(Inputs!$G$5:$G$130="acoes"))*Inputs!$B$1+((Inputs!$G$5:$G$130&lt;&gt;"moeda")*(Inputs!$G$5:$G$130&lt;&gt;"acoes")))*INDEX(Inputs!$K$5:$AJ$130,0,MATCH(AH$2,Inputs!$K$4:$AJ$4,0)))+SUMPRODUCT((Inputs!$E$5:$E$130=$B15)*Inputs!$F$5:$F$130*(((Inputs!$G$5:$G$130="moeda")+(Inputs!$G$5:$G$130="acoes"))*Inputs!$B$1+((Inputs!$G$5:$G$130&lt;&gt;"moeda")*(Inputs!$G$5:$G$130&lt;&gt;"acoes")))*INDEX(Inputs!$K$5:$AJ$130,0,MATCH(AH$2,Inputs!$K$4:$AJ$4,0)))))</f>
        <v>16354</v>
      </c>
      <c r="AI15" s="6">
        <f>IF(ISNA(MATCH(AI$2,Inputs!$K$4:$AJ$4,0)),NA(),IF(SUMPRODUCT((Inputs!$A$5:$A$130=$B15)*ISNUMBER(INDEX(Inputs!$K$5:$AJ$130,0,MATCH(AI$2,Inputs!$K$4:$AJ$4,0))))+SUMPRODUCT((Inputs!$C$5:$C$130=$B15)*ISNUMBER(INDEX(Inputs!$K$5:$AJ$130,0,MATCH(AI$2,Inputs!$K$4:$AJ$4,0))))+SUMPRODUCT((Inputs!$E$5:$E$130=$B15)*ISNUMBER(INDEX(Inputs!$K$5:$AJ$130,0,MATCH(AI$2,Inputs!$K$4:$AJ$4,0))))=0,NA(),SUMPRODUCT((Inputs!$A$5:$A$130=$B15)*Inputs!$B$5:$B$130*(((Inputs!$G$5:$G$130="moeda")+(Inputs!$G$5:$G$130="acoes"))*Inputs!$B$1+((Inputs!$G$5:$G$130&lt;&gt;"moeda")*(Inputs!$G$5:$G$130&lt;&gt;"acoes")))*INDEX(Inputs!$K$5:$AJ$130,0,MATCH(AI$2,Inputs!$K$4:$AJ$4,0)))+SUMPRODUCT((Inputs!$C$5:$C$130=$B15)*Inputs!$D$5:$D$130*(((Inputs!$G$5:$G$130="moeda")+(Inputs!$G$5:$G$130="acoes"))*Inputs!$B$1+((Inputs!$G$5:$G$130&lt;&gt;"moeda")*(Inputs!$G$5:$G$130&lt;&gt;"acoes")))*INDEX(Inputs!$K$5:$AJ$130,0,MATCH(AI$2,Inputs!$K$4:$AJ$4,0)))+SUMPRODUCT((Inputs!$E$5:$E$130=$B15)*Inputs!$F$5:$F$130*(((Inputs!$G$5:$G$130="moeda")+(Inputs!$G$5:$G$130="acoes"))*Inputs!$B$1+((Inputs!$G$5:$G$130&lt;&gt;"moeda")*(Inputs!$G$5:$G$130&lt;&gt;"acoes")))*INDEX(Inputs!$K$5:$AJ$130,0,MATCH(AI$2,Inputs!$K$4:$AJ$4,0)))))</f>
        <v>10981</v>
      </c>
      <c r="AJ15" s="6">
        <f>IF(ISNA(MATCH(AJ$2,Inputs!$K$4:$AJ$4,0)),NA(),IF(SUMPRODUCT((Inputs!$A$5:$A$130=$B15)*ISNUMBER(INDEX(Inputs!$K$5:$AJ$130,0,MATCH(AJ$2,Inputs!$K$4:$AJ$4,0))))+SUMPRODUCT((Inputs!$C$5:$C$130=$B15)*ISNUMBER(INDEX(Inputs!$K$5:$AJ$130,0,MATCH(AJ$2,Inputs!$K$4:$AJ$4,0))))+SUMPRODUCT((Inputs!$E$5:$E$130=$B15)*ISNUMBER(INDEX(Inputs!$K$5:$AJ$130,0,MATCH(AJ$2,Inputs!$K$4:$AJ$4,0))))=0,NA(),SUMPRODUCT((Inputs!$A$5:$A$130=$B15)*Inputs!$B$5:$B$130*(((Inputs!$G$5:$G$130="moeda")+(Inputs!$G$5:$G$130="acoes"))*Inputs!$B$1+((Inputs!$G$5:$G$130&lt;&gt;"moeda")*(Inputs!$G$5:$G$130&lt;&gt;"acoes")))*INDEX(Inputs!$K$5:$AJ$130,0,MATCH(AJ$2,Inputs!$K$4:$AJ$4,0)))+SUMPRODUCT((Inputs!$C$5:$C$130=$B15)*Inputs!$D$5:$D$130*(((Inputs!$G$5:$G$130="moeda")+(Inputs!$G$5:$G$130="acoes"))*Inputs!$B$1+((Inputs!$G$5:$G$130&lt;&gt;"moeda")*(Inputs!$G$5:$G$130&lt;&gt;"acoes")))*INDEX(Inputs!$K$5:$AJ$130,0,MATCH(AJ$2,Inputs!$K$4:$AJ$4,0)))+SUMPRODUCT((Inputs!$E$5:$E$130=$B15)*Inputs!$F$5:$F$130*(((Inputs!$G$5:$G$130="moeda")+(Inputs!$G$5:$G$130="acoes"))*Inputs!$B$1+((Inputs!$G$5:$G$130&lt;&gt;"moeda")*(Inputs!$G$5:$G$130&lt;&gt;"acoes")))*INDEX(Inputs!$K$5:$AJ$130,0,MATCH(AJ$2,Inputs!$K$4:$AJ$4,0)))))</f>
        <v>10139</v>
      </c>
      <c r="AK15" s="6">
        <f>IF(ISNA(MATCH(AK$2,Inputs!$K$4:$AJ$4,0)),NA(),IF(SUMPRODUCT((Inputs!$A$5:$A$130=$B15)*ISNUMBER(INDEX(Inputs!$K$5:$AJ$130,0,MATCH(AK$2,Inputs!$K$4:$AJ$4,0))))+SUMPRODUCT((Inputs!$C$5:$C$130=$B15)*ISNUMBER(INDEX(Inputs!$K$5:$AJ$130,0,MATCH(AK$2,Inputs!$K$4:$AJ$4,0))))+SUMPRODUCT((Inputs!$E$5:$E$130=$B15)*ISNUMBER(INDEX(Inputs!$K$5:$AJ$130,0,MATCH(AK$2,Inputs!$K$4:$AJ$4,0))))=0,NA(),SUMPRODUCT((Inputs!$A$5:$A$130=$B15)*Inputs!$B$5:$B$130*(((Inputs!$G$5:$G$130="moeda")+(Inputs!$G$5:$G$130="acoes"))*Inputs!$B$1+((Inputs!$G$5:$G$130&lt;&gt;"moeda")*(Inputs!$G$5:$G$130&lt;&gt;"acoes")))*INDEX(Inputs!$K$5:$AJ$130,0,MATCH(AK$2,Inputs!$K$4:$AJ$4,0)))+SUMPRODUCT((Inputs!$C$5:$C$130=$B15)*Inputs!$D$5:$D$130*(((Inputs!$G$5:$G$130="moeda")+(Inputs!$G$5:$G$130="acoes"))*Inputs!$B$1+((Inputs!$G$5:$G$130&lt;&gt;"moeda")*(Inputs!$G$5:$G$130&lt;&gt;"acoes")))*INDEX(Inputs!$K$5:$AJ$130,0,MATCH(AK$2,Inputs!$K$4:$AJ$4,0)))+SUMPRODUCT((Inputs!$E$5:$E$130=$B15)*Inputs!$F$5:$F$130*(((Inputs!$G$5:$G$130="moeda")+(Inputs!$G$5:$G$130="acoes"))*Inputs!$B$1+((Inputs!$G$5:$G$130&lt;&gt;"moeda")*(Inputs!$G$5:$G$130&lt;&gt;"acoes")))*INDEX(Inputs!$K$5:$AJ$130,0,MATCH(AK$2,Inputs!$K$4:$AJ$4,0)))))</f>
        <v>11561</v>
      </c>
      <c r="AL15" s="3">
        <f>AK15</f>
        <v>11561</v>
      </c>
    </row>
    <row r="16">
      <c r="B16" s="46" t="n">
        <v>12</v>
      </c>
      <c r="C16" s="26" t="inlineStr">
        <is>
          <t>Accounts receivable</t>
        </is>
      </c>
      <c r="D16" s="6">
        <f>IF(ISNA(MATCH(D$2,Inputs!$K$4:$AJ$4,0)),NA(),IF(SUMPRODUCT((Inputs!$A$5:$A$130=$B16)*ISNUMBER(INDEX(Inputs!$K$5:$AJ$130,0,MATCH(D$2,Inputs!$K$4:$AJ$4,0))))+SUMPRODUCT((Inputs!$C$5:$C$130=$B16)*ISNUMBER(INDEX(Inputs!$K$5:$AJ$130,0,MATCH(D$2,Inputs!$K$4:$AJ$4,0))))+SUMPRODUCT((Inputs!$E$5:$E$130=$B16)*ISNUMBER(INDEX(Inputs!$K$5:$AJ$130,0,MATCH(D$2,Inputs!$K$4:$AJ$4,0))))=0,NA(),SUMPRODUCT((Inputs!$A$5:$A$130=$B16)*Inputs!$B$5:$B$130*(((Inputs!$G$5:$G$130="moeda")+(Inputs!$G$5:$G$130="acoes"))*Inputs!$B$1+((Inputs!$G$5:$G$130&lt;&gt;"moeda")*(Inputs!$G$5:$G$130&lt;&gt;"acoes")))*INDEX(Inputs!$K$5:$AJ$130,0,MATCH(D$2,Inputs!$K$4:$AJ$4,0)))+SUMPRODUCT((Inputs!$C$5:$C$130=$B16)*Inputs!$D$5:$D$130*(((Inputs!$G$5:$G$130="moeda")+(Inputs!$G$5:$G$130="acoes"))*Inputs!$B$1+((Inputs!$G$5:$G$130&lt;&gt;"moeda")*(Inputs!$G$5:$G$130&lt;&gt;"acoes")))*INDEX(Inputs!$K$5:$AJ$130,0,MATCH(D$2,Inputs!$K$4:$AJ$4,0)))+SUMPRODUCT((Inputs!$E$5:$E$130=$B16)*Inputs!$F$5:$F$130*(((Inputs!$G$5:$G$130="moeda")+(Inputs!$G$5:$G$130="acoes"))*Inputs!$B$1+((Inputs!$G$5:$G$130&lt;&gt;"moeda")*(Inputs!$G$5:$G$130&lt;&gt;"acoes")))*INDEX(Inputs!$K$5:$AJ$130,0,MATCH(D$2,Inputs!$K$4:$AJ$4,0)))))</f>
        <v>3024</v>
      </c>
      <c r="E16" s="6">
        <f>IF(ISNA(MATCH(E$2,Inputs!$K$4:$AJ$4,0)),NA(),IF(SUMPRODUCT((Inputs!$A$5:$A$130=$B16)*ISNUMBER(INDEX(Inputs!$K$5:$AJ$130,0,MATCH(E$2,Inputs!$K$4:$AJ$4,0))))+SUMPRODUCT((Inputs!$C$5:$C$130=$B16)*ISNUMBER(INDEX(Inputs!$K$5:$AJ$130,0,MATCH(E$2,Inputs!$K$4:$AJ$4,0))))+SUMPRODUCT((Inputs!$E$5:$E$130=$B16)*ISNUMBER(INDEX(Inputs!$K$5:$AJ$130,0,MATCH(E$2,Inputs!$K$4:$AJ$4,0))))=0,NA(),SUMPRODUCT((Inputs!$A$5:$A$130=$B16)*Inputs!$B$5:$B$130*(((Inputs!$G$5:$G$130="moeda")+(Inputs!$G$5:$G$130="acoes"))*Inputs!$B$1+((Inputs!$G$5:$G$130&lt;&gt;"moeda")*(Inputs!$G$5:$G$130&lt;&gt;"acoes")))*INDEX(Inputs!$K$5:$AJ$130,0,MATCH(E$2,Inputs!$K$4:$AJ$4,0)))+SUMPRODUCT((Inputs!$C$5:$C$130=$B16)*Inputs!$D$5:$D$130*(((Inputs!$G$5:$G$130="moeda")+(Inputs!$G$5:$G$130="acoes"))*Inputs!$B$1+((Inputs!$G$5:$G$130&lt;&gt;"moeda")*(Inputs!$G$5:$G$130&lt;&gt;"acoes")))*INDEX(Inputs!$K$5:$AJ$130,0,MATCH(E$2,Inputs!$K$4:$AJ$4,0)))+SUMPRODUCT((Inputs!$E$5:$E$130=$B16)*Inputs!$F$5:$F$130*(((Inputs!$G$5:$G$130="moeda")+(Inputs!$G$5:$G$130="acoes"))*Inputs!$B$1+((Inputs!$G$5:$G$130&lt;&gt;"moeda")*(Inputs!$G$5:$G$130&lt;&gt;"acoes")))*INDEX(Inputs!$K$5:$AJ$130,0,MATCH(E$2,Inputs!$K$4:$AJ$4,0)))))</f>
        <v>3586</v>
      </c>
      <c r="F16" s="6">
        <f>IF(ISNA(MATCH(F$2,Inputs!$K$4:$AJ$4,0)),NA(),IF(SUMPRODUCT((Inputs!$A$5:$A$130=$B16)*ISNUMBER(INDEX(Inputs!$K$5:$AJ$130,0,MATCH(F$2,Inputs!$K$4:$AJ$4,0))))+SUMPRODUCT((Inputs!$C$5:$C$130=$B16)*ISNUMBER(INDEX(Inputs!$K$5:$AJ$130,0,MATCH(F$2,Inputs!$K$4:$AJ$4,0))))+SUMPRODUCT((Inputs!$E$5:$E$130=$B16)*ISNUMBER(INDEX(Inputs!$K$5:$AJ$130,0,MATCH(F$2,Inputs!$K$4:$AJ$4,0))))=0,NA(),SUMPRODUCT((Inputs!$A$5:$A$130=$B16)*Inputs!$B$5:$B$130*(((Inputs!$G$5:$G$130="moeda")+(Inputs!$G$5:$G$130="acoes"))*Inputs!$B$1+((Inputs!$G$5:$G$130&lt;&gt;"moeda")*(Inputs!$G$5:$G$130&lt;&gt;"acoes")))*INDEX(Inputs!$K$5:$AJ$130,0,MATCH(F$2,Inputs!$K$4:$AJ$4,0)))+SUMPRODUCT((Inputs!$C$5:$C$130=$B16)*Inputs!$D$5:$D$130*(((Inputs!$G$5:$G$130="moeda")+(Inputs!$G$5:$G$130="acoes"))*Inputs!$B$1+((Inputs!$G$5:$G$130&lt;&gt;"moeda")*(Inputs!$G$5:$G$130&lt;&gt;"acoes")))*INDEX(Inputs!$K$5:$AJ$130,0,MATCH(F$2,Inputs!$K$4:$AJ$4,0)))+SUMPRODUCT((Inputs!$E$5:$E$130=$B16)*Inputs!$F$5:$F$130*(((Inputs!$G$5:$G$130="moeda")+(Inputs!$G$5:$G$130="acoes"))*Inputs!$B$1+((Inputs!$G$5:$G$130&lt;&gt;"moeda")*(Inputs!$G$5:$G$130&lt;&gt;"acoes")))*INDEX(Inputs!$K$5:$AJ$130,0,MATCH(F$2,Inputs!$K$4:$AJ$4,0)))))</f>
        <v>3954</v>
      </c>
      <c r="G16" s="6">
        <f>IF(ISNA(MATCH(G$2,Inputs!$K$4:$AJ$4,0)),NA(),IF(SUMPRODUCT((Inputs!$A$5:$A$130=$B16)*ISNUMBER(INDEX(Inputs!$K$5:$AJ$130,0,MATCH(G$2,Inputs!$K$4:$AJ$4,0))))+SUMPRODUCT((Inputs!$C$5:$C$130=$B16)*ISNUMBER(INDEX(Inputs!$K$5:$AJ$130,0,MATCH(G$2,Inputs!$K$4:$AJ$4,0))))+SUMPRODUCT((Inputs!$E$5:$E$130=$B16)*ISNUMBER(INDEX(Inputs!$K$5:$AJ$130,0,MATCH(G$2,Inputs!$K$4:$AJ$4,0))))=0,NA(),SUMPRODUCT((Inputs!$A$5:$A$130=$B16)*Inputs!$B$5:$B$130*(((Inputs!$G$5:$G$130="moeda")+(Inputs!$G$5:$G$130="acoes"))*Inputs!$B$1+((Inputs!$G$5:$G$130&lt;&gt;"moeda")*(Inputs!$G$5:$G$130&lt;&gt;"acoes")))*INDEX(Inputs!$K$5:$AJ$130,0,MATCH(G$2,Inputs!$K$4:$AJ$4,0)))+SUMPRODUCT((Inputs!$C$5:$C$130=$B16)*Inputs!$D$5:$D$130*(((Inputs!$G$5:$G$130="moeda")+(Inputs!$G$5:$G$130="acoes"))*Inputs!$B$1+((Inputs!$G$5:$G$130&lt;&gt;"moeda")*(Inputs!$G$5:$G$130&lt;&gt;"acoes")))*INDEX(Inputs!$K$5:$AJ$130,0,MATCH(G$2,Inputs!$K$4:$AJ$4,0)))+SUMPRODUCT((Inputs!$E$5:$E$130=$B16)*Inputs!$F$5:$F$130*(((Inputs!$G$5:$G$130="moeda")+(Inputs!$G$5:$G$130="acoes"))*Inputs!$B$1+((Inputs!$G$5:$G$130&lt;&gt;"moeda")*(Inputs!$G$5:$G$130&lt;&gt;"acoes")))*INDEX(Inputs!$K$5:$AJ$130,0,MATCH(G$2,Inputs!$K$4:$AJ$4,0)))))</f>
        <v>4650</v>
      </c>
      <c r="H16" s="3">
        <f>G16</f>
        <v>4650</v>
      </c>
      <c r="I16" s="6">
        <f>IF(ISNA(MATCH(I$2,Inputs!$K$4:$AJ$4,0)),NA(),IF(SUMPRODUCT((Inputs!$A$5:$A$130=$B16)*ISNUMBER(INDEX(Inputs!$K$5:$AJ$130,0,MATCH(I$2,Inputs!$K$4:$AJ$4,0))))+SUMPRODUCT((Inputs!$C$5:$C$130=$B16)*ISNUMBER(INDEX(Inputs!$K$5:$AJ$130,0,MATCH(I$2,Inputs!$K$4:$AJ$4,0))))+SUMPRODUCT((Inputs!$E$5:$E$130=$B16)*ISNUMBER(INDEX(Inputs!$K$5:$AJ$130,0,MATCH(I$2,Inputs!$K$4:$AJ$4,0))))=0,NA(),SUMPRODUCT((Inputs!$A$5:$A$130=$B16)*Inputs!$B$5:$B$130*(((Inputs!$G$5:$G$130="moeda")+(Inputs!$G$5:$G$130="acoes"))*Inputs!$B$1+((Inputs!$G$5:$G$130&lt;&gt;"moeda")*(Inputs!$G$5:$G$130&lt;&gt;"acoes")))*INDEX(Inputs!$K$5:$AJ$130,0,MATCH(I$2,Inputs!$K$4:$AJ$4,0)))+SUMPRODUCT((Inputs!$C$5:$C$130=$B16)*Inputs!$D$5:$D$130*(((Inputs!$G$5:$G$130="moeda")+(Inputs!$G$5:$G$130="acoes"))*Inputs!$B$1+((Inputs!$G$5:$G$130&lt;&gt;"moeda")*(Inputs!$G$5:$G$130&lt;&gt;"acoes")))*INDEX(Inputs!$K$5:$AJ$130,0,MATCH(I$2,Inputs!$K$4:$AJ$4,0)))+SUMPRODUCT((Inputs!$E$5:$E$130=$B16)*Inputs!$F$5:$F$130*(((Inputs!$G$5:$G$130="moeda")+(Inputs!$G$5:$G$130="acoes"))*Inputs!$B$1+((Inputs!$G$5:$G$130&lt;&gt;"moeda")*(Inputs!$G$5:$G$130&lt;&gt;"acoes")))*INDEX(Inputs!$K$5:$AJ$130,0,MATCH(I$2,Inputs!$K$4:$AJ$4,0)))))</f>
        <v>5438</v>
      </c>
      <c r="J16" s="6">
        <f>IF(ISNA(MATCH(J$2,Inputs!$K$4:$AJ$4,0)),NA(),IF(SUMPRODUCT((Inputs!$A$5:$A$130=$B16)*ISNUMBER(INDEX(Inputs!$K$5:$AJ$130,0,MATCH(J$2,Inputs!$K$4:$AJ$4,0))))+SUMPRODUCT((Inputs!$C$5:$C$130=$B16)*ISNUMBER(INDEX(Inputs!$K$5:$AJ$130,0,MATCH(J$2,Inputs!$K$4:$AJ$4,0))))+SUMPRODUCT((Inputs!$E$5:$E$130=$B16)*ISNUMBER(INDEX(Inputs!$K$5:$AJ$130,0,MATCH(J$2,Inputs!$K$4:$AJ$4,0))))=0,NA(),SUMPRODUCT((Inputs!$A$5:$A$130=$B16)*Inputs!$B$5:$B$130*(((Inputs!$G$5:$G$130="moeda")+(Inputs!$G$5:$G$130="acoes"))*Inputs!$B$1+((Inputs!$G$5:$G$130&lt;&gt;"moeda")*(Inputs!$G$5:$G$130&lt;&gt;"acoes")))*INDEX(Inputs!$K$5:$AJ$130,0,MATCH(J$2,Inputs!$K$4:$AJ$4,0)))+SUMPRODUCT((Inputs!$C$5:$C$130=$B16)*Inputs!$D$5:$D$130*(((Inputs!$G$5:$G$130="moeda")+(Inputs!$G$5:$G$130="acoes"))*Inputs!$B$1+((Inputs!$G$5:$G$130&lt;&gt;"moeda")*(Inputs!$G$5:$G$130&lt;&gt;"acoes")))*INDEX(Inputs!$K$5:$AJ$130,0,MATCH(J$2,Inputs!$K$4:$AJ$4,0)))+SUMPRODUCT((Inputs!$E$5:$E$130=$B16)*Inputs!$F$5:$F$130*(((Inputs!$G$5:$G$130="moeda")+(Inputs!$G$5:$G$130="acoes"))*Inputs!$B$1+((Inputs!$G$5:$G$130&lt;&gt;"moeda")*(Inputs!$G$5:$G$130&lt;&gt;"acoes")))*INDEX(Inputs!$K$5:$AJ$130,0,MATCH(J$2,Inputs!$K$4:$AJ$4,0)))))</f>
        <v>5317</v>
      </c>
      <c r="K16" s="6">
        <f>IF(ISNA(MATCH(K$2,Inputs!$K$4:$AJ$4,0)),NA(),IF(SUMPRODUCT((Inputs!$A$5:$A$130=$B16)*ISNUMBER(INDEX(Inputs!$K$5:$AJ$130,0,MATCH(K$2,Inputs!$K$4:$AJ$4,0))))+SUMPRODUCT((Inputs!$C$5:$C$130=$B16)*ISNUMBER(INDEX(Inputs!$K$5:$AJ$130,0,MATCH(K$2,Inputs!$K$4:$AJ$4,0))))+SUMPRODUCT((Inputs!$E$5:$E$130=$B16)*ISNUMBER(INDEX(Inputs!$K$5:$AJ$130,0,MATCH(K$2,Inputs!$K$4:$AJ$4,0))))=0,NA(),SUMPRODUCT((Inputs!$A$5:$A$130=$B16)*Inputs!$B$5:$B$130*(((Inputs!$G$5:$G$130="moeda")+(Inputs!$G$5:$G$130="acoes"))*Inputs!$B$1+((Inputs!$G$5:$G$130&lt;&gt;"moeda")*(Inputs!$G$5:$G$130&lt;&gt;"acoes")))*INDEX(Inputs!$K$5:$AJ$130,0,MATCH(K$2,Inputs!$K$4:$AJ$4,0)))+SUMPRODUCT((Inputs!$C$5:$C$130=$B16)*Inputs!$D$5:$D$130*(((Inputs!$G$5:$G$130="moeda")+(Inputs!$G$5:$G$130="acoes"))*Inputs!$B$1+((Inputs!$G$5:$G$130&lt;&gt;"moeda")*(Inputs!$G$5:$G$130&lt;&gt;"acoes")))*INDEX(Inputs!$K$5:$AJ$130,0,MATCH(K$2,Inputs!$K$4:$AJ$4,0)))+SUMPRODUCT((Inputs!$E$5:$E$130=$B16)*Inputs!$F$5:$F$130*(((Inputs!$G$5:$G$130="moeda")+(Inputs!$G$5:$G$130="acoes"))*Inputs!$B$1+((Inputs!$G$5:$G$130&lt;&gt;"moeda")*(Inputs!$G$5:$G$130&lt;&gt;"acoes")))*INDEX(Inputs!$K$5:$AJ$130,0,MATCH(K$2,Inputs!$K$4:$AJ$4,0)))))</f>
        <v>4908</v>
      </c>
      <c r="L16" s="6">
        <f>IF(ISNA(MATCH(L$2,Inputs!$K$4:$AJ$4,0)),NA(),IF(SUMPRODUCT((Inputs!$A$5:$A$130=$B16)*ISNUMBER(INDEX(Inputs!$K$5:$AJ$130,0,MATCH(L$2,Inputs!$K$4:$AJ$4,0))))+SUMPRODUCT((Inputs!$C$5:$C$130=$B16)*ISNUMBER(INDEX(Inputs!$K$5:$AJ$130,0,MATCH(L$2,Inputs!$K$4:$AJ$4,0))))+SUMPRODUCT((Inputs!$E$5:$E$130=$B16)*ISNUMBER(INDEX(Inputs!$K$5:$AJ$130,0,MATCH(L$2,Inputs!$K$4:$AJ$4,0))))=0,NA(),SUMPRODUCT((Inputs!$A$5:$A$130=$B16)*Inputs!$B$5:$B$130*(((Inputs!$G$5:$G$130="moeda")+(Inputs!$G$5:$G$130="acoes"))*Inputs!$B$1+((Inputs!$G$5:$G$130&lt;&gt;"moeda")*(Inputs!$G$5:$G$130&lt;&gt;"acoes")))*INDEX(Inputs!$K$5:$AJ$130,0,MATCH(L$2,Inputs!$K$4:$AJ$4,0)))+SUMPRODUCT((Inputs!$C$5:$C$130=$B16)*Inputs!$D$5:$D$130*(((Inputs!$G$5:$G$130="moeda")+(Inputs!$G$5:$G$130="acoes"))*Inputs!$B$1+((Inputs!$G$5:$G$130&lt;&gt;"moeda")*(Inputs!$G$5:$G$130&lt;&gt;"acoes")))*INDEX(Inputs!$K$5:$AJ$130,0,MATCH(L$2,Inputs!$K$4:$AJ$4,0)))+SUMPRODUCT((Inputs!$E$5:$E$130=$B16)*Inputs!$F$5:$F$130*(((Inputs!$G$5:$G$130="moeda")+(Inputs!$G$5:$G$130="acoes"))*Inputs!$B$1+((Inputs!$G$5:$G$130&lt;&gt;"moeda")*(Inputs!$G$5:$G$130&lt;&gt;"acoes")))*INDEX(Inputs!$K$5:$AJ$130,0,MATCH(L$2,Inputs!$K$4:$AJ$4,0)))))</f>
        <v>3827</v>
      </c>
      <c r="M16" s="3">
        <f>L16</f>
        <v>3827</v>
      </c>
      <c r="N16" s="6">
        <f>IF(ISNA(MATCH(N$2,Inputs!$K$4:$AJ$4,0)),NA(),IF(SUMPRODUCT((Inputs!$A$5:$A$130=$B16)*ISNUMBER(INDEX(Inputs!$K$5:$AJ$130,0,MATCH(N$2,Inputs!$K$4:$AJ$4,0))))+SUMPRODUCT((Inputs!$C$5:$C$130=$B16)*ISNUMBER(INDEX(Inputs!$K$5:$AJ$130,0,MATCH(N$2,Inputs!$K$4:$AJ$4,0))))+SUMPRODUCT((Inputs!$E$5:$E$130=$B16)*ISNUMBER(INDEX(Inputs!$K$5:$AJ$130,0,MATCH(N$2,Inputs!$K$4:$AJ$4,0))))=0,NA(),SUMPRODUCT((Inputs!$A$5:$A$130=$B16)*Inputs!$B$5:$B$130*(((Inputs!$G$5:$G$130="moeda")+(Inputs!$G$5:$G$130="acoes"))*Inputs!$B$1+((Inputs!$G$5:$G$130&lt;&gt;"moeda")*(Inputs!$G$5:$G$130&lt;&gt;"acoes")))*INDEX(Inputs!$K$5:$AJ$130,0,MATCH(N$2,Inputs!$K$4:$AJ$4,0)))+SUMPRODUCT((Inputs!$C$5:$C$130=$B16)*Inputs!$D$5:$D$130*(((Inputs!$G$5:$G$130="moeda")+(Inputs!$G$5:$G$130="acoes"))*Inputs!$B$1+((Inputs!$G$5:$G$130&lt;&gt;"moeda")*(Inputs!$G$5:$G$130&lt;&gt;"acoes")))*INDEX(Inputs!$K$5:$AJ$130,0,MATCH(N$2,Inputs!$K$4:$AJ$4,0)))+SUMPRODUCT((Inputs!$E$5:$E$130=$B16)*Inputs!$F$5:$F$130*(((Inputs!$G$5:$G$130="moeda")+(Inputs!$G$5:$G$130="acoes"))*Inputs!$B$1+((Inputs!$G$5:$G$130&lt;&gt;"moeda")*(Inputs!$G$5:$G$130&lt;&gt;"acoes")))*INDEX(Inputs!$K$5:$AJ$130,0,MATCH(N$2,Inputs!$K$4:$AJ$4,0)))))</f>
        <v>4080</v>
      </c>
      <c r="O16" s="6">
        <f>IF(ISNA(MATCH(O$2,Inputs!$K$4:$AJ$4,0)),NA(),IF(SUMPRODUCT((Inputs!$A$5:$A$130=$B16)*ISNUMBER(INDEX(Inputs!$K$5:$AJ$130,0,MATCH(O$2,Inputs!$K$4:$AJ$4,0))))+SUMPRODUCT((Inputs!$C$5:$C$130=$B16)*ISNUMBER(INDEX(Inputs!$K$5:$AJ$130,0,MATCH(O$2,Inputs!$K$4:$AJ$4,0))))+SUMPRODUCT((Inputs!$E$5:$E$130=$B16)*ISNUMBER(INDEX(Inputs!$K$5:$AJ$130,0,MATCH(O$2,Inputs!$K$4:$AJ$4,0))))=0,NA(),SUMPRODUCT((Inputs!$A$5:$A$130=$B16)*Inputs!$B$5:$B$130*(((Inputs!$G$5:$G$130="moeda")+(Inputs!$G$5:$G$130="acoes"))*Inputs!$B$1+((Inputs!$G$5:$G$130&lt;&gt;"moeda")*(Inputs!$G$5:$G$130&lt;&gt;"acoes")))*INDEX(Inputs!$K$5:$AJ$130,0,MATCH(O$2,Inputs!$K$4:$AJ$4,0)))+SUMPRODUCT((Inputs!$C$5:$C$130=$B16)*Inputs!$D$5:$D$130*(((Inputs!$G$5:$G$130="moeda")+(Inputs!$G$5:$G$130="acoes"))*Inputs!$B$1+((Inputs!$G$5:$G$130&lt;&gt;"moeda")*(Inputs!$G$5:$G$130&lt;&gt;"acoes")))*INDEX(Inputs!$K$5:$AJ$130,0,MATCH(O$2,Inputs!$K$4:$AJ$4,0)))+SUMPRODUCT((Inputs!$E$5:$E$130=$B16)*Inputs!$F$5:$F$130*(((Inputs!$G$5:$G$130="moeda")+(Inputs!$G$5:$G$130="acoes"))*Inputs!$B$1+((Inputs!$G$5:$G$130&lt;&gt;"moeda")*(Inputs!$G$5:$G$130&lt;&gt;"acoes")))*INDEX(Inputs!$K$5:$AJ$130,0,MATCH(O$2,Inputs!$K$4:$AJ$4,0)))))</f>
        <v>7066</v>
      </c>
      <c r="P16" s="6">
        <f>IF(ISNA(MATCH(P$2,Inputs!$K$4:$AJ$4,0)),NA(),IF(SUMPRODUCT((Inputs!$A$5:$A$130=$B16)*ISNUMBER(INDEX(Inputs!$K$5:$AJ$130,0,MATCH(P$2,Inputs!$K$4:$AJ$4,0))))+SUMPRODUCT((Inputs!$C$5:$C$130=$B16)*ISNUMBER(INDEX(Inputs!$K$5:$AJ$130,0,MATCH(P$2,Inputs!$K$4:$AJ$4,0))))+SUMPRODUCT((Inputs!$E$5:$E$130=$B16)*ISNUMBER(INDEX(Inputs!$K$5:$AJ$130,0,MATCH(P$2,Inputs!$K$4:$AJ$4,0))))=0,NA(),SUMPRODUCT((Inputs!$A$5:$A$130=$B16)*Inputs!$B$5:$B$130*(((Inputs!$G$5:$G$130="moeda")+(Inputs!$G$5:$G$130="acoes"))*Inputs!$B$1+((Inputs!$G$5:$G$130&lt;&gt;"moeda")*(Inputs!$G$5:$G$130&lt;&gt;"acoes")))*INDEX(Inputs!$K$5:$AJ$130,0,MATCH(P$2,Inputs!$K$4:$AJ$4,0)))+SUMPRODUCT((Inputs!$C$5:$C$130=$B16)*Inputs!$D$5:$D$130*(((Inputs!$G$5:$G$130="moeda")+(Inputs!$G$5:$G$130="acoes"))*Inputs!$B$1+((Inputs!$G$5:$G$130&lt;&gt;"moeda")*(Inputs!$G$5:$G$130&lt;&gt;"acoes")))*INDEX(Inputs!$K$5:$AJ$130,0,MATCH(P$2,Inputs!$K$4:$AJ$4,0)))+SUMPRODUCT((Inputs!$E$5:$E$130=$B16)*Inputs!$F$5:$F$130*(((Inputs!$G$5:$G$130="moeda")+(Inputs!$G$5:$G$130="acoes"))*Inputs!$B$1+((Inputs!$G$5:$G$130&lt;&gt;"moeda")*(Inputs!$G$5:$G$130&lt;&gt;"acoes")))*INDEX(Inputs!$K$5:$AJ$130,0,MATCH(P$2,Inputs!$K$4:$AJ$4,0)))))</f>
        <v>8309</v>
      </c>
      <c r="Q16" s="6">
        <f>IF(ISNA(MATCH(Q$2,Inputs!$K$4:$AJ$4,0)),NA(),IF(SUMPRODUCT((Inputs!$A$5:$A$130=$B16)*ISNUMBER(INDEX(Inputs!$K$5:$AJ$130,0,MATCH(Q$2,Inputs!$K$4:$AJ$4,0))))+SUMPRODUCT((Inputs!$C$5:$C$130=$B16)*ISNUMBER(INDEX(Inputs!$K$5:$AJ$130,0,MATCH(Q$2,Inputs!$K$4:$AJ$4,0))))+SUMPRODUCT((Inputs!$E$5:$E$130=$B16)*ISNUMBER(INDEX(Inputs!$K$5:$AJ$130,0,MATCH(Q$2,Inputs!$K$4:$AJ$4,0))))=0,NA(),SUMPRODUCT((Inputs!$A$5:$A$130=$B16)*Inputs!$B$5:$B$130*(((Inputs!$G$5:$G$130="moeda")+(Inputs!$G$5:$G$130="acoes"))*Inputs!$B$1+((Inputs!$G$5:$G$130&lt;&gt;"moeda")*(Inputs!$G$5:$G$130&lt;&gt;"acoes")))*INDEX(Inputs!$K$5:$AJ$130,0,MATCH(Q$2,Inputs!$K$4:$AJ$4,0)))+SUMPRODUCT((Inputs!$C$5:$C$130=$B16)*Inputs!$D$5:$D$130*(((Inputs!$G$5:$G$130="moeda")+(Inputs!$G$5:$G$130="acoes"))*Inputs!$B$1+((Inputs!$G$5:$G$130&lt;&gt;"moeda")*(Inputs!$G$5:$G$130&lt;&gt;"acoes")))*INDEX(Inputs!$K$5:$AJ$130,0,MATCH(Q$2,Inputs!$K$4:$AJ$4,0)))+SUMPRODUCT((Inputs!$E$5:$E$130=$B16)*Inputs!$F$5:$F$130*(((Inputs!$G$5:$G$130="moeda")+(Inputs!$G$5:$G$130="acoes"))*Inputs!$B$1+((Inputs!$G$5:$G$130&lt;&gt;"moeda")*(Inputs!$G$5:$G$130&lt;&gt;"acoes")))*INDEX(Inputs!$K$5:$AJ$130,0,MATCH(Q$2,Inputs!$K$4:$AJ$4,0)))))</f>
        <v>9999</v>
      </c>
      <c r="R16" s="3">
        <f>Q16</f>
        <v>9999</v>
      </c>
      <c r="S16" s="6">
        <f>IF(ISNA(MATCH(S$2,Inputs!$K$4:$AJ$4,0)),NA(),IF(SUMPRODUCT((Inputs!$A$5:$A$130=$B16)*ISNUMBER(INDEX(Inputs!$K$5:$AJ$130,0,MATCH(S$2,Inputs!$K$4:$AJ$4,0))))+SUMPRODUCT((Inputs!$C$5:$C$130=$B16)*ISNUMBER(INDEX(Inputs!$K$5:$AJ$130,0,MATCH(S$2,Inputs!$K$4:$AJ$4,0))))+SUMPRODUCT((Inputs!$E$5:$E$130=$B16)*ISNUMBER(INDEX(Inputs!$K$5:$AJ$130,0,MATCH(S$2,Inputs!$K$4:$AJ$4,0))))=0,NA(),SUMPRODUCT((Inputs!$A$5:$A$130=$B16)*Inputs!$B$5:$B$130*(((Inputs!$G$5:$G$130="moeda")+(Inputs!$G$5:$G$130="acoes"))*Inputs!$B$1+((Inputs!$G$5:$G$130&lt;&gt;"moeda")*(Inputs!$G$5:$G$130&lt;&gt;"acoes")))*INDEX(Inputs!$K$5:$AJ$130,0,MATCH(S$2,Inputs!$K$4:$AJ$4,0)))+SUMPRODUCT((Inputs!$C$5:$C$130=$B16)*Inputs!$D$5:$D$130*(((Inputs!$G$5:$G$130="moeda")+(Inputs!$G$5:$G$130="acoes"))*Inputs!$B$1+((Inputs!$G$5:$G$130&lt;&gt;"moeda")*(Inputs!$G$5:$G$130&lt;&gt;"acoes")))*INDEX(Inputs!$K$5:$AJ$130,0,MATCH(S$2,Inputs!$K$4:$AJ$4,0)))+SUMPRODUCT((Inputs!$E$5:$E$130=$B16)*Inputs!$F$5:$F$130*(((Inputs!$G$5:$G$130="moeda")+(Inputs!$G$5:$G$130="acoes"))*Inputs!$B$1+((Inputs!$G$5:$G$130&lt;&gt;"moeda")*(Inputs!$G$5:$G$130&lt;&gt;"acoes")))*INDEX(Inputs!$K$5:$AJ$130,0,MATCH(S$2,Inputs!$K$4:$AJ$4,0)))))</f>
        <v>12365</v>
      </c>
      <c r="T16" s="6">
        <f>IF(ISNA(MATCH(T$2,Inputs!$K$4:$AJ$4,0)),NA(),IF(SUMPRODUCT((Inputs!$A$5:$A$130=$B16)*ISNUMBER(INDEX(Inputs!$K$5:$AJ$130,0,MATCH(T$2,Inputs!$K$4:$AJ$4,0))))+SUMPRODUCT((Inputs!$C$5:$C$130=$B16)*ISNUMBER(INDEX(Inputs!$K$5:$AJ$130,0,MATCH(T$2,Inputs!$K$4:$AJ$4,0))))+SUMPRODUCT((Inputs!$E$5:$E$130=$B16)*ISNUMBER(INDEX(Inputs!$K$5:$AJ$130,0,MATCH(T$2,Inputs!$K$4:$AJ$4,0))))=0,NA(),SUMPRODUCT((Inputs!$A$5:$A$130=$B16)*Inputs!$B$5:$B$130*(((Inputs!$G$5:$G$130="moeda")+(Inputs!$G$5:$G$130="acoes"))*Inputs!$B$1+((Inputs!$G$5:$G$130&lt;&gt;"moeda")*(Inputs!$G$5:$G$130&lt;&gt;"acoes")))*INDEX(Inputs!$K$5:$AJ$130,0,MATCH(T$2,Inputs!$K$4:$AJ$4,0)))+SUMPRODUCT((Inputs!$C$5:$C$130=$B16)*Inputs!$D$5:$D$130*(((Inputs!$G$5:$G$130="moeda")+(Inputs!$G$5:$G$130="acoes"))*Inputs!$B$1+((Inputs!$G$5:$G$130&lt;&gt;"moeda")*(Inputs!$G$5:$G$130&lt;&gt;"acoes")))*INDEX(Inputs!$K$5:$AJ$130,0,MATCH(T$2,Inputs!$K$4:$AJ$4,0)))+SUMPRODUCT((Inputs!$E$5:$E$130=$B16)*Inputs!$F$5:$F$130*(((Inputs!$G$5:$G$130="moeda")+(Inputs!$G$5:$G$130="acoes"))*Inputs!$B$1+((Inputs!$G$5:$G$130&lt;&gt;"moeda")*(Inputs!$G$5:$G$130&lt;&gt;"acoes")))*INDEX(Inputs!$K$5:$AJ$130,0,MATCH(T$2,Inputs!$K$4:$AJ$4,0)))))</f>
        <v>14132</v>
      </c>
      <c r="U16" s="6">
        <f>IF(ISNA(MATCH(U$2,Inputs!$K$4:$AJ$4,0)),NA(),IF(SUMPRODUCT((Inputs!$A$5:$A$130=$B16)*ISNUMBER(INDEX(Inputs!$K$5:$AJ$130,0,MATCH(U$2,Inputs!$K$4:$AJ$4,0))))+SUMPRODUCT((Inputs!$C$5:$C$130=$B16)*ISNUMBER(INDEX(Inputs!$K$5:$AJ$130,0,MATCH(U$2,Inputs!$K$4:$AJ$4,0))))+SUMPRODUCT((Inputs!$E$5:$E$130=$B16)*ISNUMBER(INDEX(Inputs!$K$5:$AJ$130,0,MATCH(U$2,Inputs!$K$4:$AJ$4,0))))=0,NA(),SUMPRODUCT((Inputs!$A$5:$A$130=$B16)*Inputs!$B$5:$B$130*(((Inputs!$G$5:$G$130="moeda")+(Inputs!$G$5:$G$130="acoes"))*Inputs!$B$1+((Inputs!$G$5:$G$130&lt;&gt;"moeda")*(Inputs!$G$5:$G$130&lt;&gt;"acoes")))*INDEX(Inputs!$K$5:$AJ$130,0,MATCH(U$2,Inputs!$K$4:$AJ$4,0)))+SUMPRODUCT((Inputs!$C$5:$C$130=$B16)*Inputs!$D$5:$D$130*(((Inputs!$G$5:$G$130="moeda")+(Inputs!$G$5:$G$130="acoes"))*Inputs!$B$1+((Inputs!$G$5:$G$130&lt;&gt;"moeda")*(Inputs!$G$5:$G$130&lt;&gt;"acoes")))*INDEX(Inputs!$K$5:$AJ$130,0,MATCH(U$2,Inputs!$K$4:$AJ$4,0)))+SUMPRODUCT((Inputs!$E$5:$E$130=$B16)*Inputs!$F$5:$F$130*(((Inputs!$G$5:$G$130="moeda")+(Inputs!$G$5:$G$130="acoes"))*Inputs!$B$1+((Inputs!$G$5:$G$130&lt;&gt;"moeda")*(Inputs!$G$5:$G$130&lt;&gt;"acoes")))*INDEX(Inputs!$K$5:$AJ$130,0,MATCH(U$2,Inputs!$K$4:$AJ$4,0)))))</f>
        <v>17693</v>
      </c>
      <c r="V16" s="6">
        <f>IF(ISNA(MATCH(V$2,Inputs!$K$4:$AJ$4,0)),NA(),IF(SUMPRODUCT((Inputs!$A$5:$A$130=$B16)*ISNUMBER(INDEX(Inputs!$K$5:$AJ$130,0,MATCH(V$2,Inputs!$K$4:$AJ$4,0))))+SUMPRODUCT((Inputs!$C$5:$C$130=$B16)*ISNUMBER(INDEX(Inputs!$K$5:$AJ$130,0,MATCH(V$2,Inputs!$K$4:$AJ$4,0))))+SUMPRODUCT((Inputs!$E$5:$E$130=$B16)*ISNUMBER(INDEX(Inputs!$K$5:$AJ$130,0,MATCH(V$2,Inputs!$K$4:$AJ$4,0))))=0,NA(),SUMPRODUCT((Inputs!$A$5:$A$130=$B16)*Inputs!$B$5:$B$130*(((Inputs!$G$5:$G$130="moeda")+(Inputs!$G$5:$G$130="acoes"))*Inputs!$B$1+((Inputs!$G$5:$G$130&lt;&gt;"moeda")*(Inputs!$G$5:$G$130&lt;&gt;"acoes")))*INDEX(Inputs!$K$5:$AJ$130,0,MATCH(V$2,Inputs!$K$4:$AJ$4,0)))+SUMPRODUCT((Inputs!$C$5:$C$130=$B16)*Inputs!$D$5:$D$130*(((Inputs!$G$5:$G$130="moeda")+(Inputs!$G$5:$G$130="acoes"))*Inputs!$B$1+((Inputs!$G$5:$G$130&lt;&gt;"moeda")*(Inputs!$G$5:$G$130&lt;&gt;"acoes")))*INDEX(Inputs!$K$5:$AJ$130,0,MATCH(V$2,Inputs!$K$4:$AJ$4,0)))+SUMPRODUCT((Inputs!$E$5:$E$130=$B16)*Inputs!$F$5:$F$130*(((Inputs!$G$5:$G$130="moeda")+(Inputs!$G$5:$G$130="acoes"))*Inputs!$B$1+((Inputs!$G$5:$G$130&lt;&gt;"moeda")*(Inputs!$G$5:$G$130&lt;&gt;"acoes")))*INDEX(Inputs!$K$5:$AJ$130,0,MATCH(V$2,Inputs!$K$4:$AJ$4,0)))))</f>
        <v>23065</v>
      </c>
      <c r="W16" s="3">
        <f>V16</f>
        <v>23065</v>
      </c>
      <c r="X16" s="6">
        <f>IF(ISNA(MATCH(X$2,Inputs!$K$4:$AJ$4,0)),NA(),IF(SUMPRODUCT((Inputs!$A$5:$A$130=$B16)*ISNUMBER(INDEX(Inputs!$K$5:$AJ$130,0,MATCH(X$2,Inputs!$K$4:$AJ$4,0))))+SUMPRODUCT((Inputs!$C$5:$C$130=$B16)*ISNUMBER(INDEX(Inputs!$K$5:$AJ$130,0,MATCH(X$2,Inputs!$K$4:$AJ$4,0))))+SUMPRODUCT((Inputs!$E$5:$E$130=$B16)*ISNUMBER(INDEX(Inputs!$K$5:$AJ$130,0,MATCH(X$2,Inputs!$K$4:$AJ$4,0))))=0,NA(),SUMPRODUCT((Inputs!$A$5:$A$130=$B16)*Inputs!$B$5:$B$130*(((Inputs!$G$5:$G$130="moeda")+(Inputs!$G$5:$G$130="acoes"))*Inputs!$B$1+((Inputs!$G$5:$G$130&lt;&gt;"moeda")*(Inputs!$G$5:$G$130&lt;&gt;"acoes")))*INDEX(Inputs!$K$5:$AJ$130,0,MATCH(X$2,Inputs!$K$4:$AJ$4,0)))+SUMPRODUCT((Inputs!$C$5:$C$130=$B16)*Inputs!$D$5:$D$130*(((Inputs!$G$5:$G$130="moeda")+(Inputs!$G$5:$G$130="acoes"))*Inputs!$B$1+((Inputs!$G$5:$G$130&lt;&gt;"moeda")*(Inputs!$G$5:$G$130&lt;&gt;"acoes")))*INDEX(Inputs!$K$5:$AJ$130,0,MATCH(X$2,Inputs!$K$4:$AJ$4,0)))+SUMPRODUCT((Inputs!$E$5:$E$130=$B16)*Inputs!$F$5:$F$130*(((Inputs!$G$5:$G$130="moeda")+(Inputs!$G$5:$G$130="acoes"))*Inputs!$B$1+((Inputs!$G$5:$G$130&lt;&gt;"moeda")*(Inputs!$G$5:$G$130&lt;&gt;"acoes")))*INDEX(Inputs!$K$5:$AJ$130,0,MATCH(X$2,Inputs!$K$4:$AJ$4,0)))))</f>
        <v>22132</v>
      </c>
      <c r="Y16" s="6">
        <f>IF(ISNA(MATCH(Y$2,Inputs!$K$4:$AJ$4,0)),NA(),IF(SUMPRODUCT((Inputs!$A$5:$A$130=$B16)*ISNUMBER(INDEX(Inputs!$K$5:$AJ$130,0,MATCH(Y$2,Inputs!$K$4:$AJ$4,0))))+SUMPRODUCT((Inputs!$C$5:$C$130=$B16)*ISNUMBER(INDEX(Inputs!$K$5:$AJ$130,0,MATCH(Y$2,Inputs!$K$4:$AJ$4,0))))+SUMPRODUCT((Inputs!$E$5:$E$130=$B16)*ISNUMBER(INDEX(Inputs!$K$5:$AJ$130,0,MATCH(Y$2,Inputs!$K$4:$AJ$4,0))))=0,NA(),SUMPRODUCT((Inputs!$A$5:$A$130=$B16)*Inputs!$B$5:$B$130*(((Inputs!$G$5:$G$130="moeda")+(Inputs!$G$5:$G$130="acoes"))*Inputs!$B$1+((Inputs!$G$5:$G$130&lt;&gt;"moeda")*(Inputs!$G$5:$G$130&lt;&gt;"acoes")))*INDEX(Inputs!$K$5:$AJ$130,0,MATCH(Y$2,Inputs!$K$4:$AJ$4,0)))+SUMPRODUCT((Inputs!$C$5:$C$130=$B16)*Inputs!$D$5:$D$130*(((Inputs!$G$5:$G$130="moeda")+(Inputs!$G$5:$G$130="acoes"))*Inputs!$B$1+((Inputs!$G$5:$G$130&lt;&gt;"moeda")*(Inputs!$G$5:$G$130&lt;&gt;"acoes")))*INDEX(Inputs!$K$5:$AJ$130,0,MATCH(Y$2,Inputs!$K$4:$AJ$4,0)))+SUMPRODUCT((Inputs!$E$5:$E$130=$B16)*Inputs!$F$5:$F$130*(((Inputs!$G$5:$G$130="moeda")+(Inputs!$G$5:$G$130="acoes"))*Inputs!$B$1+((Inputs!$G$5:$G$130&lt;&gt;"moeda")*(Inputs!$G$5:$G$130&lt;&gt;"acoes")))*INDEX(Inputs!$K$5:$AJ$130,0,MATCH(Y$2,Inputs!$K$4:$AJ$4,0)))))</f>
        <v>27808</v>
      </c>
      <c r="Z16" s="6">
        <f>IF(ISNA(MATCH(Z$2,Inputs!$K$4:$AJ$4,0)),NA(),IF(SUMPRODUCT((Inputs!$A$5:$A$130=$B16)*ISNUMBER(INDEX(Inputs!$K$5:$AJ$130,0,MATCH(Z$2,Inputs!$K$4:$AJ$4,0))))+SUMPRODUCT((Inputs!$C$5:$C$130=$B16)*ISNUMBER(INDEX(Inputs!$K$5:$AJ$130,0,MATCH(Z$2,Inputs!$K$4:$AJ$4,0))))+SUMPRODUCT((Inputs!$E$5:$E$130=$B16)*ISNUMBER(INDEX(Inputs!$K$5:$AJ$130,0,MATCH(Z$2,Inputs!$K$4:$AJ$4,0))))=0,NA(),SUMPRODUCT((Inputs!$A$5:$A$130=$B16)*Inputs!$B$5:$B$130*(((Inputs!$G$5:$G$130="moeda")+(Inputs!$G$5:$G$130="acoes"))*Inputs!$B$1+((Inputs!$G$5:$G$130&lt;&gt;"moeda")*(Inputs!$G$5:$G$130&lt;&gt;"acoes")))*INDEX(Inputs!$K$5:$AJ$130,0,MATCH(Z$2,Inputs!$K$4:$AJ$4,0)))+SUMPRODUCT((Inputs!$C$5:$C$130=$B16)*Inputs!$D$5:$D$130*(((Inputs!$G$5:$G$130="moeda")+(Inputs!$G$5:$G$130="acoes"))*Inputs!$B$1+((Inputs!$G$5:$G$130&lt;&gt;"moeda")*(Inputs!$G$5:$G$130&lt;&gt;"acoes")))*INDEX(Inputs!$K$5:$AJ$130,0,MATCH(Z$2,Inputs!$K$4:$AJ$4,0)))+SUMPRODUCT((Inputs!$E$5:$E$130=$B16)*Inputs!$F$5:$F$130*(((Inputs!$G$5:$G$130="moeda")+(Inputs!$G$5:$G$130="acoes"))*Inputs!$B$1+((Inputs!$G$5:$G$130&lt;&gt;"moeda")*(Inputs!$G$5:$G$130&lt;&gt;"acoes")))*INDEX(Inputs!$K$5:$AJ$130,0,MATCH(Z$2,Inputs!$K$4:$AJ$4,0)))))</f>
        <v>33391</v>
      </c>
      <c r="AA16" s="6">
        <f>IF(ISNA(MATCH(AA$2,Inputs!$K$4:$AJ$4,0)),NA(),IF(SUMPRODUCT((Inputs!$A$5:$A$130=$B16)*ISNUMBER(INDEX(Inputs!$K$5:$AJ$130,0,MATCH(AA$2,Inputs!$K$4:$AJ$4,0))))+SUMPRODUCT((Inputs!$C$5:$C$130=$B16)*ISNUMBER(INDEX(Inputs!$K$5:$AJ$130,0,MATCH(AA$2,Inputs!$K$4:$AJ$4,0))))+SUMPRODUCT((Inputs!$E$5:$E$130=$B16)*ISNUMBER(INDEX(Inputs!$K$5:$AJ$130,0,MATCH(AA$2,Inputs!$K$4:$AJ$4,0))))=0,NA(),SUMPRODUCT((Inputs!$A$5:$A$130=$B16)*Inputs!$B$5:$B$130*(((Inputs!$G$5:$G$130="moeda")+(Inputs!$G$5:$G$130="acoes"))*Inputs!$B$1+((Inputs!$G$5:$G$130&lt;&gt;"moeda")*(Inputs!$G$5:$G$130&lt;&gt;"acoes")))*INDEX(Inputs!$K$5:$AJ$130,0,MATCH(AA$2,Inputs!$K$4:$AJ$4,0)))+SUMPRODUCT((Inputs!$C$5:$C$130=$B16)*Inputs!$D$5:$D$130*(((Inputs!$G$5:$G$130="moeda")+(Inputs!$G$5:$G$130="acoes"))*Inputs!$B$1+((Inputs!$G$5:$G$130&lt;&gt;"moeda")*(Inputs!$G$5:$G$130&lt;&gt;"acoes")))*INDEX(Inputs!$K$5:$AJ$130,0,MATCH(AA$2,Inputs!$K$4:$AJ$4,0)))+SUMPRODUCT((Inputs!$E$5:$E$130=$B16)*Inputs!$F$5:$F$130*(((Inputs!$G$5:$G$130="moeda")+(Inputs!$G$5:$G$130="acoes"))*Inputs!$B$1+((Inputs!$G$5:$G$130&lt;&gt;"moeda")*(Inputs!$G$5:$G$130&lt;&gt;"acoes")))*INDEX(Inputs!$K$5:$AJ$130,0,MATCH(AA$2,Inputs!$K$4:$AJ$4,0)))))</f>
        <v>38466</v>
      </c>
      <c r="AB16" s="3">
        <f>AA16</f>
        <v>38466</v>
      </c>
      <c r="AC16" s="6">
        <f>IF(ISNA(MATCH(AC$2,Inputs!$K$4:$AJ$4,0)),NA(),IF(SUMPRODUCT((Inputs!$A$5:$A$130=$B16)*ISNUMBER(INDEX(Inputs!$K$5:$AJ$130,0,MATCH(AC$2,Inputs!$K$4:$AJ$4,0))))+SUMPRODUCT((Inputs!$C$5:$C$130=$B16)*ISNUMBER(INDEX(Inputs!$K$5:$AJ$130,0,MATCH(AC$2,Inputs!$K$4:$AJ$4,0))))+SUMPRODUCT((Inputs!$E$5:$E$130=$B16)*ISNUMBER(INDEX(Inputs!$K$5:$AJ$130,0,MATCH(AC$2,Inputs!$K$4:$AJ$4,0))))=0,NA(),SUMPRODUCT((Inputs!$A$5:$A$130=$B16)*Inputs!$B$5:$B$130*(((Inputs!$G$5:$G$130="moeda")+(Inputs!$G$5:$G$130="acoes"))*Inputs!$B$1+((Inputs!$G$5:$G$130&lt;&gt;"moeda")*(Inputs!$G$5:$G$130&lt;&gt;"acoes")))*INDEX(Inputs!$K$5:$AJ$130,0,MATCH(AC$2,Inputs!$K$4:$AJ$4,0)))+SUMPRODUCT((Inputs!$C$5:$C$130=$B16)*Inputs!$D$5:$D$130*(((Inputs!$G$5:$G$130="moeda")+(Inputs!$G$5:$G$130="acoes"))*Inputs!$B$1+((Inputs!$G$5:$G$130&lt;&gt;"moeda")*(Inputs!$G$5:$G$130&lt;&gt;"acoes")))*INDEX(Inputs!$K$5:$AJ$130,0,MATCH(AC$2,Inputs!$K$4:$AJ$4,0)))+SUMPRODUCT((Inputs!$E$5:$E$130=$B16)*Inputs!$F$5:$F$130*(((Inputs!$G$5:$G$130="moeda")+(Inputs!$G$5:$G$130="acoes"))*Inputs!$B$1+((Inputs!$G$5:$G$130&lt;&gt;"moeda")*(Inputs!$G$5:$G$130&lt;&gt;"acoes")))*INDEX(Inputs!$K$5:$AJ$130,0,MATCH(AC$2,Inputs!$K$4:$AJ$4,0)))))</f>
        <v>40710</v>
      </c>
      <c r="AD16" s="6">
        <f>IF(ISNA(MATCH(AD$2,Inputs!$K$4:$AJ$4,0)),NA(),IF(SUMPRODUCT((Inputs!$A$5:$A$130=$B16)*ISNUMBER(INDEX(Inputs!$K$5:$AJ$130,0,MATCH(AD$2,Inputs!$K$4:$AJ$4,0))))+SUMPRODUCT((Inputs!$C$5:$C$130=$B16)*ISNUMBER(INDEX(Inputs!$K$5:$AJ$130,0,MATCH(AD$2,Inputs!$K$4:$AJ$4,0))))+SUMPRODUCT((Inputs!$E$5:$E$130=$B16)*ISNUMBER(INDEX(Inputs!$K$5:$AJ$130,0,MATCH(AD$2,Inputs!$K$4:$AJ$4,0))))=0,NA(),SUMPRODUCT((Inputs!$A$5:$A$130=$B16)*Inputs!$B$5:$B$130*(((Inputs!$G$5:$G$130="moeda")+(Inputs!$G$5:$G$130="acoes"))*Inputs!$B$1+((Inputs!$G$5:$G$130&lt;&gt;"moeda")*(Inputs!$G$5:$G$130&lt;&gt;"acoes")))*INDEX(Inputs!$K$5:$AJ$130,0,MATCH(AD$2,Inputs!$K$4:$AJ$4,0)))+SUMPRODUCT((Inputs!$C$5:$C$130=$B16)*Inputs!$D$5:$D$130*(((Inputs!$G$5:$G$130="moeda")+(Inputs!$G$5:$G$130="acoes"))*Inputs!$B$1+((Inputs!$G$5:$G$130&lt;&gt;"moeda")*(Inputs!$G$5:$G$130&lt;&gt;"acoes")))*INDEX(Inputs!$K$5:$AJ$130,0,MATCH(AD$2,Inputs!$K$4:$AJ$4,0)))+SUMPRODUCT((Inputs!$E$5:$E$130=$B16)*Inputs!$F$5:$F$130*(((Inputs!$G$5:$G$130="moeda")+(Inputs!$G$5:$G$130="acoes"))*Inputs!$B$1+((Inputs!$G$5:$G$130&lt;&gt;"moeda")*(Inputs!$G$5:$G$130&lt;&gt;"acoes")))*INDEX(Inputs!$K$5:$AJ$130,0,MATCH(AD$2,Inputs!$K$4:$AJ$4,0)))))</f>
        <v>63059</v>
      </c>
      <c r="AE16" s="6" t="e">
        <f>IF(ISNA(MATCH(AE$2,Inputs!$K$4:$AJ$4,0)),NA(),IF(SUMPRODUCT((Inputs!$A$5:$A$130=$B16)*ISNUMBER(INDEX(Inputs!$K$5:$AJ$130,0,MATCH(AE$2,Inputs!$K$4:$AJ$4,0))))+SUMPRODUCT((Inputs!$C$5:$C$130=$B16)*ISNUMBER(INDEX(Inputs!$K$5:$AJ$130,0,MATCH(AE$2,Inputs!$K$4:$AJ$4,0))))+SUMPRODUCT((Inputs!$E$5:$E$130=$B16)*ISNUMBER(INDEX(Inputs!$K$5:$AJ$130,0,MATCH(AE$2,Inputs!$K$4:$AJ$4,0))))=0,NA(),SUMPRODUCT((Inputs!$A$5:$A$130=$B16)*Inputs!$B$5:$B$130*(((Inputs!$G$5:$G$130="moeda")+(Inputs!$G$5:$G$130="acoes"))*Inputs!$B$1+((Inputs!$G$5:$G$130&lt;&gt;"moeda")*(Inputs!$G$5:$G$130&lt;&gt;"acoes")))*INDEX(Inputs!$K$5:$AJ$130,0,MATCH(AE$2,Inputs!$K$4:$AJ$4,0)))+SUMPRODUCT((Inputs!$C$5:$C$130=$B16)*Inputs!$D$5:$D$130*(((Inputs!$G$5:$G$130="moeda")+(Inputs!$G$5:$G$130="acoes"))*Inputs!$B$1+((Inputs!$G$5:$G$130&lt;&gt;"moeda")*(Inputs!$G$5:$G$130&lt;&gt;"acoes")))*INDEX(Inputs!$K$5:$AJ$130,0,MATCH(AE$2,Inputs!$K$4:$AJ$4,0)))+SUMPRODUCT((Inputs!$E$5:$E$130=$B16)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6" s="6" t="e">
        <f>IF(ISNA(MATCH(AF$2,Inputs!$K$4:$AJ$4,0)),NA(),IF(SUMPRODUCT((Inputs!$A$5:$A$130=$B16)*ISNUMBER(INDEX(Inputs!$K$5:$AJ$130,0,MATCH(AF$2,Inputs!$K$4:$AJ$4,0))))+SUMPRODUCT((Inputs!$C$5:$C$130=$B16)*ISNUMBER(INDEX(Inputs!$K$5:$AJ$130,0,MATCH(AF$2,Inputs!$K$4:$AJ$4,0))))+SUMPRODUCT((Inputs!$E$5:$E$130=$B16)*ISNUMBER(INDEX(Inputs!$K$5:$AJ$130,0,MATCH(AF$2,Inputs!$K$4:$AJ$4,0))))=0,NA(),SUMPRODUCT((Inputs!$A$5:$A$130=$B16)*Inputs!$B$5:$B$130*(((Inputs!$G$5:$G$130="moeda")+(Inputs!$G$5:$G$130="acoes"))*Inputs!$B$1+((Inputs!$G$5:$G$130&lt;&gt;"moeda")*(Inputs!$G$5:$G$130&lt;&gt;"acoes")))*INDEX(Inputs!$K$5:$AJ$130,0,MATCH(AF$2,Inputs!$K$4:$AJ$4,0)))+SUMPRODUCT((Inputs!$C$5:$C$130=$B16)*Inputs!$D$5:$D$130*(((Inputs!$G$5:$G$130="moeda")+(Inputs!$G$5:$G$130="acoes"))*Inputs!$B$1+((Inputs!$G$5:$G$130&lt;&gt;"moeda")*(Inputs!$G$5:$G$130&lt;&gt;"acoes")))*INDEX(Inputs!$K$5:$AJ$130,0,MATCH(AF$2,Inputs!$K$4:$AJ$4,0)))+SUMPRODUCT((Inputs!$E$5:$E$130=$B16)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6" s="3" t="e">
        <f>AF16</f>
        <v>#N/A</v>
      </c>
      <c r="AH16" s="6">
        <f>IF(ISNA(MATCH(AH$2,Inputs!$K$4:$AJ$4,0)),NA(),IF(SUMPRODUCT((Inputs!$A$5:$A$130=$B16)*ISNUMBER(INDEX(Inputs!$K$5:$AJ$130,0,MATCH(AH$2,Inputs!$K$4:$AJ$4,0))))+SUMPRODUCT((Inputs!$C$5:$C$130=$B16)*ISNUMBER(INDEX(Inputs!$K$5:$AJ$130,0,MATCH(AH$2,Inputs!$K$4:$AJ$4,0))))+SUMPRODUCT((Inputs!$E$5:$E$130=$B16)*ISNUMBER(INDEX(Inputs!$K$5:$AJ$130,0,MATCH(AH$2,Inputs!$K$4:$AJ$4,0))))=0,NA(),SUMPRODUCT((Inputs!$A$5:$A$130=$B16)*Inputs!$B$5:$B$130*(((Inputs!$G$5:$G$130="moeda")+(Inputs!$G$5:$G$130="acoes"))*Inputs!$B$1+((Inputs!$G$5:$G$130&lt;&gt;"moeda")*(Inputs!$G$5:$G$130&lt;&gt;"acoes")))*INDEX(Inputs!$K$5:$AJ$130,0,MATCH(AH$2,Inputs!$K$4:$AJ$4,0)))+SUMPRODUCT((Inputs!$C$5:$C$130=$B16)*Inputs!$D$5:$D$130*(((Inputs!$G$5:$G$130="moeda")+(Inputs!$G$5:$G$130="acoes"))*Inputs!$B$1+((Inputs!$G$5:$G$130&lt;&gt;"moeda")*(Inputs!$G$5:$G$130&lt;&gt;"acoes")))*INDEX(Inputs!$K$5:$AJ$130,0,MATCH(AH$2,Inputs!$K$4:$AJ$4,0)))+SUMPRODUCT((Inputs!$E$5:$E$130=$B16)*Inputs!$F$5:$F$130*(((Inputs!$G$5:$G$130="moeda")+(Inputs!$G$5:$G$130="acoes"))*Inputs!$B$1+((Inputs!$G$5:$G$130&lt;&gt;"moeda")*(Inputs!$G$5:$G$130&lt;&gt;"acoes")))*INDEX(Inputs!$K$5:$AJ$130,0,MATCH(AH$2,Inputs!$K$4:$AJ$4,0)))))</f>
        <v>1907</v>
      </c>
      <c r="AI16" s="6">
        <f>IF(ISNA(MATCH(AI$2,Inputs!$K$4:$AJ$4,0)),NA(),IF(SUMPRODUCT((Inputs!$A$5:$A$130=$B16)*ISNUMBER(INDEX(Inputs!$K$5:$AJ$130,0,MATCH(AI$2,Inputs!$K$4:$AJ$4,0))))+SUMPRODUCT((Inputs!$C$5:$C$130=$B16)*ISNUMBER(INDEX(Inputs!$K$5:$AJ$130,0,MATCH(AI$2,Inputs!$K$4:$AJ$4,0))))+SUMPRODUCT((Inputs!$E$5:$E$130=$B16)*ISNUMBER(INDEX(Inputs!$K$5:$AJ$130,0,MATCH(AI$2,Inputs!$K$4:$AJ$4,0))))=0,NA(),SUMPRODUCT((Inputs!$A$5:$A$130=$B16)*Inputs!$B$5:$B$130*(((Inputs!$G$5:$G$130="moeda")+(Inputs!$G$5:$G$130="acoes"))*Inputs!$B$1+((Inputs!$G$5:$G$130&lt;&gt;"moeda")*(Inputs!$G$5:$G$130&lt;&gt;"acoes")))*INDEX(Inputs!$K$5:$AJ$130,0,MATCH(AI$2,Inputs!$K$4:$AJ$4,0)))+SUMPRODUCT((Inputs!$C$5:$C$130=$B16)*Inputs!$D$5:$D$130*(((Inputs!$G$5:$G$130="moeda")+(Inputs!$G$5:$G$130="acoes"))*Inputs!$B$1+((Inputs!$G$5:$G$130&lt;&gt;"moeda")*(Inputs!$G$5:$G$130&lt;&gt;"acoes")))*INDEX(Inputs!$K$5:$AJ$130,0,MATCH(AI$2,Inputs!$K$4:$AJ$4,0)))+SUMPRODUCT((Inputs!$E$5:$E$130=$B16)*Inputs!$F$5:$F$130*(((Inputs!$G$5:$G$130="moeda")+(Inputs!$G$5:$G$130="acoes"))*Inputs!$B$1+((Inputs!$G$5:$G$130&lt;&gt;"moeda")*(Inputs!$G$5:$G$130&lt;&gt;"acoes")))*INDEX(Inputs!$K$5:$AJ$130,0,MATCH(AI$2,Inputs!$K$4:$AJ$4,0)))))</f>
        <v>2084</v>
      </c>
      <c r="AJ16" s="6">
        <f>IF(ISNA(MATCH(AJ$2,Inputs!$K$4:$AJ$4,0)),NA(),IF(SUMPRODUCT((Inputs!$A$5:$A$130=$B16)*ISNUMBER(INDEX(Inputs!$K$5:$AJ$130,0,MATCH(AJ$2,Inputs!$K$4:$AJ$4,0))))+SUMPRODUCT((Inputs!$C$5:$C$130=$B16)*ISNUMBER(INDEX(Inputs!$K$5:$AJ$130,0,MATCH(AJ$2,Inputs!$K$4:$AJ$4,0))))+SUMPRODUCT((Inputs!$E$5:$E$130=$B16)*ISNUMBER(INDEX(Inputs!$K$5:$AJ$130,0,MATCH(AJ$2,Inputs!$K$4:$AJ$4,0))))=0,NA(),SUMPRODUCT((Inputs!$A$5:$A$130=$B16)*Inputs!$B$5:$B$130*(((Inputs!$G$5:$G$130="moeda")+(Inputs!$G$5:$G$130="acoes"))*Inputs!$B$1+((Inputs!$G$5:$G$130&lt;&gt;"moeda")*(Inputs!$G$5:$G$130&lt;&gt;"acoes")))*INDEX(Inputs!$K$5:$AJ$130,0,MATCH(AJ$2,Inputs!$K$4:$AJ$4,0)))+SUMPRODUCT((Inputs!$C$5:$C$130=$B16)*Inputs!$D$5:$D$130*(((Inputs!$G$5:$G$130="moeda")+(Inputs!$G$5:$G$130="acoes"))*Inputs!$B$1+((Inputs!$G$5:$G$130&lt;&gt;"moeda")*(Inputs!$G$5:$G$130&lt;&gt;"acoes")))*INDEX(Inputs!$K$5:$AJ$130,0,MATCH(AJ$2,Inputs!$K$4:$AJ$4,0)))+SUMPRODUCT((Inputs!$E$5:$E$130=$B16)*Inputs!$F$5:$F$130*(((Inputs!$G$5:$G$130="moeda")+(Inputs!$G$5:$G$130="acoes"))*Inputs!$B$1+((Inputs!$G$5:$G$130&lt;&gt;"moeda")*(Inputs!$G$5:$G$130&lt;&gt;"acoes")))*INDEX(Inputs!$K$5:$AJ$130,0,MATCH(AJ$2,Inputs!$K$4:$AJ$4,0)))))</f>
        <v>2546</v>
      </c>
      <c r="AK16" s="6">
        <f>IF(ISNA(MATCH(AK$2,Inputs!$K$4:$AJ$4,0)),NA(),IF(SUMPRODUCT((Inputs!$A$5:$A$130=$B16)*ISNUMBER(INDEX(Inputs!$K$5:$AJ$130,0,MATCH(AK$2,Inputs!$K$4:$AJ$4,0))))+SUMPRODUCT((Inputs!$C$5:$C$130=$B16)*ISNUMBER(INDEX(Inputs!$K$5:$AJ$130,0,MATCH(AK$2,Inputs!$K$4:$AJ$4,0))))+SUMPRODUCT((Inputs!$E$5:$E$130=$B16)*ISNUMBER(INDEX(Inputs!$K$5:$AJ$130,0,MATCH(AK$2,Inputs!$K$4:$AJ$4,0))))=0,NA(),SUMPRODUCT((Inputs!$A$5:$A$130=$B16)*Inputs!$B$5:$B$130*(((Inputs!$G$5:$G$130="moeda")+(Inputs!$G$5:$G$130="acoes"))*Inputs!$B$1+((Inputs!$G$5:$G$130&lt;&gt;"moeda")*(Inputs!$G$5:$G$130&lt;&gt;"acoes")))*INDEX(Inputs!$K$5:$AJ$130,0,MATCH(AK$2,Inputs!$K$4:$AJ$4,0)))+SUMPRODUCT((Inputs!$C$5:$C$130=$B16)*Inputs!$D$5:$D$130*(((Inputs!$G$5:$G$130="moeda")+(Inputs!$G$5:$G$130="acoes"))*Inputs!$B$1+((Inputs!$G$5:$G$130&lt;&gt;"moeda")*(Inputs!$G$5:$G$130&lt;&gt;"acoes")))*INDEX(Inputs!$K$5:$AJ$130,0,MATCH(AK$2,Inputs!$K$4:$AJ$4,0)))+SUMPRODUCT((Inputs!$E$5:$E$130=$B16)*Inputs!$F$5:$F$130*(((Inputs!$G$5:$G$130="moeda")+(Inputs!$G$5:$G$130="acoes"))*Inputs!$B$1+((Inputs!$G$5:$G$130&lt;&gt;"moeda")*(Inputs!$G$5:$G$130&lt;&gt;"acoes")))*INDEX(Inputs!$K$5:$AJ$130,0,MATCH(AK$2,Inputs!$K$4:$AJ$4,0)))))</f>
        <v>2429</v>
      </c>
      <c r="AL16" s="3">
        <f>AK16</f>
        <v>2429</v>
      </c>
    </row>
    <row r="17">
      <c r="B17" s="46" t="n">
        <v>13</v>
      </c>
      <c r="C17" s="26" t="inlineStr">
        <is>
          <t>Inventories</t>
        </is>
      </c>
      <c r="D17" s="6">
        <f>IF(ISNA(MATCH(D$2,Inputs!$K$4:$AJ$4,0)),NA(),IF(SUMPRODUCT((Inputs!$A$5:$A$130=$B17)*ISNUMBER(INDEX(Inputs!$K$5:$AJ$130,0,MATCH(D$2,Inputs!$K$4:$AJ$4,0))))+SUMPRODUCT((Inputs!$C$5:$C$130=$B17)*ISNUMBER(INDEX(Inputs!$K$5:$AJ$130,0,MATCH(D$2,Inputs!$K$4:$AJ$4,0))))+SUMPRODUCT((Inputs!$E$5:$E$130=$B17)*ISNUMBER(INDEX(Inputs!$K$5:$AJ$130,0,MATCH(D$2,Inputs!$K$4:$AJ$4,0))))=0,NA(),SUMPRODUCT((Inputs!$A$5:$A$130=$B17)*Inputs!$B$5:$B$130*(((Inputs!$G$5:$G$130="moeda")+(Inputs!$G$5:$G$130="acoes"))*Inputs!$B$1+((Inputs!$G$5:$G$130&lt;&gt;"moeda")*(Inputs!$G$5:$G$130&lt;&gt;"acoes")))*INDEX(Inputs!$K$5:$AJ$130,0,MATCH(D$2,Inputs!$K$4:$AJ$4,0)))+SUMPRODUCT((Inputs!$C$5:$C$130=$B17)*Inputs!$D$5:$D$130*(((Inputs!$G$5:$G$130="moeda")+(Inputs!$G$5:$G$130="acoes"))*Inputs!$B$1+((Inputs!$G$5:$G$130&lt;&gt;"moeda")*(Inputs!$G$5:$G$130&lt;&gt;"acoes")))*INDEX(Inputs!$K$5:$AJ$130,0,MATCH(D$2,Inputs!$K$4:$AJ$4,0)))+SUMPRODUCT((Inputs!$E$5:$E$130=$B17)*Inputs!$F$5:$F$130*(((Inputs!$G$5:$G$130="moeda")+(Inputs!$G$5:$G$130="acoes"))*Inputs!$B$1+((Inputs!$G$5:$G$130&lt;&gt;"moeda")*(Inputs!$G$5:$G$130&lt;&gt;"acoes")))*INDEX(Inputs!$K$5:$AJ$130,0,MATCH(D$2,Inputs!$K$4:$AJ$4,0)))))</f>
        <v>1992</v>
      </c>
      <c r="E17" s="6">
        <f>IF(ISNA(MATCH(E$2,Inputs!$K$4:$AJ$4,0)),NA(),IF(SUMPRODUCT((Inputs!$A$5:$A$130=$B17)*ISNUMBER(INDEX(Inputs!$K$5:$AJ$130,0,MATCH(E$2,Inputs!$K$4:$AJ$4,0))))+SUMPRODUCT((Inputs!$C$5:$C$130=$B17)*ISNUMBER(INDEX(Inputs!$K$5:$AJ$130,0,MATCH(E$2,Inputs!$K$4:$AJ$4,0))))+SUMPRODUCT((Inputs!$E$5:$E$130=$B17)*ISNUMBER(INDEX(Inputs!$K$5:$AJ$130,0,MATCH(E$2,Inputs!$K$4:$AJ$4,0))))=0,NA(),SUMPRODUCT((Inputs!$A$5:$A$130=$B17)*Inputs!$B$5:$B$130*(((Inputs!$G$5:$G$130="moeda")+(Inputs!$G$5:$G$130="acoes"))*Inputs!$B$1+((Inputs!$G$5:$G$130&lt;&gt;"moeda")*(Inputs!$G$5:$G$130&lt;&gt;"acoes")))*INDEX(Inputs!$K$5:$AJ$130,0,MATCH(E$2,Inputs!$K$4:$AJ$4,0)))+SUMPRODUCT((Inputs!$C$5:$C$130=$B17)*Inputs!$D$5:$D$130*(((Inputs!$G$5:$G$130="moeda")+(Inputs!$G$5:$G$130="acoes"))*Inputs!$B$1+((Inputs!$G$5:$G$130&lt;&gt;"moeda")*(Inputs!$G$5:$G$130&lt;&gt;"acoes")))*INDEX(Inputs!$K$5:$AJ$130,0,MATCH(E$2,Inputs!$K$4:$AJ$4,0)))+SUMPRODUCT((Inputs!$E$5:$E$130=$B17)*Inputs!$F$5:$F$130*(((Inputs!$G$5:$G$130="moeda")+(Inputs!$G$5:$G$130="acoes"))*Inputs!$B$1+((Inputs!$G$5:$G$130&lt;&gt;"moeda")*(Inputs!$G$5:$G$130&lt;&gt;"acoes")))*INDEX(Inputs!$K$5:$AJ$130,0,MATCH(E$2,Inputs!$K$4:$AJ$4,0)))))</f>
        <v>2114</v>
      </c>
      <c r="F17" s="6">
        <f>IF(ISNA(MATCH(F$2,Inputs!$K$4:$AJ$4,0)),NA(),IF(SUMPRODUCT((Inputs!$A$5:$A$130=$B17)*ISNUMBER(INDEX(Inputs!$K$5:$AJ$130,0,MATCH(F$2,Inputs!$K$4:$AJ$4,0))))+SUMPRODUCT((Inputs!$C$5:$C$130=$B17)*ISNUMBER(INDEX(Inputs!$K$5:$AJ$130,0,MATCH(F$2,Inputs!$K$4:$AJ$4,0))))+SUMPRODUCT((Inputs!$E$5:$E$130=$B17)*ISNUMBER(INDEX(Inputs!$K$5:$AJ$130,0,MATCH(F$2,Inputs!$K$4:$AJ$4,0))))=0,NA(),SUMPRODUCT((Inputs!$A$5:$A$130=$B17)*Inputs!$B$5:$B$130*(((Inputs!$G$5:$G$130="moeda")+(Inputs!$G$5:$G$130="acoes"))*Inputs!$B$1+((Inputs!$G$5:$G$130&lt;&gt;"moeda")*(Inputs!$G$5:$G$130&lt;&gt;"acoes")))*INDEX(Inputs!$K$5:$AJ$130,0,MATCH(F$2,Inputs!$K$4:$AJ$4,0)))+SUMPRODUCT((Inputs!$C$5:$C$130=$B17)*Inputs!$D$5:$D$130*(((Inputs!$G$5:$G$130="moeda")+(Inputs!$G$5:$G$130="acoes"))*Inputs!$B$1+((Inputs!$G$5:$G$130&lt;&gt;"moeda")*(Inputs!$G$5:$G$130&lt;&gt;"acoes")))*INDEX(Inputs!$K$5:$AJ$130,0,MATCH(F$2,Inputs!$K$4:$AJ$4,0)))+SUMPRODUCT((Inputs!$E$5:$E$130=$B17)*Inputs!$F$5:$F$130*(((Inputs!$G$5:$G$130="moeda")+(Inputs!$G$5:$G$130="acoes"))*Inputs!$B$1+((Inputs!$G$5:$G$130&lt;&gt;"moeda")*(Inputs!$G$5:$G$130&lt;&gt;"acoes")))*INDEX(Inputs!$K$5:$AJ$130,0,MATCH(F$2,Inputs!$K$4:$AJ$4,0)))))</f>
        <v>2233</v>
      </c>
      <c r="G17" s="6">
        <f>IF(ISNA(MATCH(G$2,Inputs!$K$4:$AJ$4,0)),NA(),IF(SUMPRODUCT((Inputs!$A$5:$A$130=$B17)*ISNUMBER(INDEX(Inputs!$K$5:$AJ$130,0,MATCH(G$2,Inputs!$K$4:$AJ$4,0))))+SUMPRODUCT((Inputs!$C$5:$C$130=$B17)*ISNUMBER(INDEX(Inputs!$K$5:$AJ$130,0,MATCH(G$2,Inputs!$K$4:$AJ$4,0))))+SUMPRODUCT((Inputs!$E$5:$E$130=$B17)*ISNUMBER(INDEX(Inputs!$K$5:$AJ$130,0,MATCH(G$2,Inputs!$K$4:$AJ$4,0))))=0,NA(),SUMPRODUCT((Inputs!$A$5:$A$130=$B17)*Inputs!$B$5:$B$130*(((Inputs!$G$5:$G$130="moeda")+(Inputs!$G$5:$G$130="acoes"))*Inputs!$B$1+((Inputs!$G$5:$G$130&lt;&gt;"moeda")*(Inputs!$G$5:$G$130&lt;&gt;"acoes")))*INDEX(Inputs!$K$5:$AJ$130,0,MATCH(G$2,Inputs!$K$4:$AJ$4,0)))+SUMPRODUCT((Inputs!$C$5:$C$130=$B17)*Inputs!$D$5:$D$130*(((Inputs!$G$5:$G$130="moeda")+(Inputs!$G$5:$G$130="acoes"))*Inputs!$B$1+((Inputs!$G$5:$G$130&lt;&gt;"moeda")*(Inputs!$G$5:$G$130&lt;&gt;"acoes")))*INDEX(Inputs!$K$5:$AJ$130,0,MATCH(G$2,Inputs!$K$4:$AJ$4,0)))+SUMPRODUCT((Inputs!$E$5:$E$130=$B17)*Inputs!$F$5:$F$130*(((Inputs!$G$5:$G$130="moeda")+(Inputs!$G$5:$G$130="acoes"))*Inputs!$B$1+((Inputs!$G$5:$G$130&lt;&gt;"moeda")*(Inputs!$G$5:$G$130&lt;&gt;"acoes")))*INDEX(Inputs!$K$5:$AJ$130,0,MATCH(G$2,Inputs!$K$4:$AJ$4,0)))))</f>
        <v>2605</v>
      </c>
      <c r="H17" s="3">
        <f>G17</f>
        <v>2605</v>
      </c>
      <c r="I17" s="6">
        <f>IF(ISNA(MATCH(I$2,Inputs!$K$4:$AJ$4,0)),NA(),IF(SUMPRODUCT((Inputs!$A$5:$A$130=$B17)*ISNUMBER(INDEX(Inputs!$K$5:$AJ$130,0,MATCH(I$2,Inputs!$K$4:$AJ$4,0))))+SUMPRODUCT((Inputs!$C$5:$C$130=$B17)*ISNUMBER(INDEX(Inputs!$K$5:$AJ$130,0,MATCH(I$2,Inputs!$K$4:$AJ$4,0))))+SUMPRODUCT((Inputs!$E$5:$E$130=$B17)*ISNUMBER(INDEX(Inputs!$K$5:$AJ$130,0,MATCH(I$2,Inputs!$K$4:$AJ$4,0))))=0,NA(),SUMPRODUCT((Inputs!$A$5:$A$130=$B17)*Inputs!$B$5:$B$130*(((Inputs!$G$5:$G$130="moeda")+(Inputs!$G$5:$G$130="acoes"))*Inputs!$B$1+((Inputs!$G$5:$G$130&lt;&gt;"moeda")*(Inputs!$G$5:$G$130&lt;&gt;"acoes")))*INDEX(Inputs!$K$5:$AJ$130,0,MATCH(I$2,Inputs!$K$4:$AJ$4,0)))+SUMPRODUCT((Inputs!$C$5:$C$130=$B17)*Inputs!$D$5:$D$130*(((Inputs!$G$5:$G$130="moeda")+(Inputs!$G$5:$G$130="acoes"))*Inputs!$B$1+((Inputs!$G$5:$G$130&lt;&gt;"moeda")*(Inputs!$G$5:$G$130&lt;&gt;"acoes")))*INDEX(Inputs!$K$5:$AJ$130,0,MATCH(I$2,Inputs!$K$4:$AJ$4,0)))+SUMPRODUCT((Inputs!$E$5:$E$130=$B17)*Inputs!$F$5:$F$130*(((Inputs!$G$5:$G$130="moeda")+(Inputs!$G$5:$G$130="acoes"))*Inputs!$B$1+((Inputs!$G$5:$G$130&lt;&gt;"moeda")*(Inputs!$G$5:$G$130&lt;&gt;"acoes")))*INDEX(Inputs!$K$5:$AJ$130,0,MATCH(I$2,Inputs!$K$4:$AJ$4,0)))))</f>
        <v>3163</v>
      </c>
      <c r="J17" s="6">
        <f>IF(ISNA(MATCH(J$2,Inputs!$K$4:$AJ$4,0)),NA(),IF(SUMPRODUCT((Inputs!$A$5:$A$130=$B17)*ISNUMBER(INDEX(Inputs!$K$5:$AJ$130,0,MATCH(J$2,Inputs!$K$4:$AJ$4,0))))+SUMPRODUCT((Inputs!$C$5:$C$130=$B17)*ISNUMBER(INDEX(Inputs!$K$5:$AJ$130,0,MATCH(J$2,Inputs!$K$4:$AJ$4,0))))+SUMPRODUCT((Inputs!$E$5:$E$130=$B17)*ISNUMBER(INDEX(Inputs!$K$5:$AJ$130,0,MATCH(J$2,Inputs!$K$4:$AJ$4,0))))=0,NA(),SUMPRODUCT((Inputs!$A$5:$A$130=$B17)*Inputs!$B$5:$B$130*(((Inputs!$G$5:$G$130="moeda")+(Inputs!$G$5:$G$130="acoes"))*Inputs!$B$1+((Inputs!$G$5:$G$130&lt;&gt;"moeda")*(Inputs!$G$5:$G$130&lt;&gt;"acoes")))*INDEX(Inputs!$K$5:$AJ$130,0,MATCH(J$2,Inputs!$K$4:$AJ$4,0)))+SUMPRODUCT((Inputs!$C$5:$C$130=$B17)*Inputs!$D$5:$D$130*(((Inputs!$G$5:$G$130="moeda")+(Inputs!$G$5:$G$130="acoes"))*Inputs!$B$1+((Inputs!$G$5:$G$130&lt;&gt;"moeda")*(Inputs!$G$5:$G$130&lt;&gt;"acoes")))*INDEX(Inputs!$K$5:$AJ$130,0,MATCH(J$2,Inputs!$K$4:$AJ$4,0)))+SUMPRODUCT((Inputs!$E$5:$E$130=$B17)*Inputs!$F$5:$F$130*(((Inputs!$G$5:$G$130="moeda")+(Inputs!$G$5:$G$130="acoes"))*Inputs!$B$1+((Inputs!$G$5:$G$130&lt;&gt;"moeda")*(Inputs!$G$5:$G$130&lt;&gt;"acoes")))*INDEX(Inputs!$K$5:$AJ$130,0,MATCH(J$2,Inputs!$K$4:$AJ$4,0)))))</f>
        <v>3889</v>
      </c>
      <c r="K17" s="6">
        <f>IF(ISNA(MATCH(K$2,Inputs!$K$4:$AJ$4,0)),NA(),IF(SUMPRODUCT((Inputs!$A$5:$A$130=$B17)*ISNUMBER(INDEX(Inputs!$K$5:$AJ$130,0,MATCH(K$2,Inputs!$K$4:$AJ$4,0))))+SUMPRODUCT((Inputs!$C$5:$C$130=$B17)*ISNUMBER(INDEX(Inputs!$K$5:$AJ$130,0,MATCH(K$2,Inputs!$K$4:$AJ$4,0))))+SUMPRODUCT((Inputs!$E$5:$E$130=$B17)*ISNUMBER(INDEX(Inputs!$K$5:$AJ$130,0,MATCH(K$2,Inputs!$K$4:$AJ$4,0))))=0,NA(),SUMPRODUCT((Inputs!$A$5:$A$130=$B17)*Inputs!$B$5:$B$130*(((Inputs!$G$5:$G$130="moeda")+(Inputs!$G$5:$G$130="acoes"))*Inputs!$B$1+((Inputs!$G$5:$G$130&lt;&gt;"moeda")*(Inputs!$G$5:$G$130&lt;&gt;"acoes")))*INDEX(Inputs!$K$5:$AJ$130,0,MATCH(K$2,Inputs!$K$4:$AJ$4,0)))+SUMPRODUCT((Inputs!$C$5:$C$130=$B17)*Inputs!$D$5:$D$130*(((Inputs!$G$5:$G$130="moeda")+(Inputs!$G$5:$G$130="acoes"))*Inputs!$B$1+((Inputs!$G$5:$G$130&lt;&gt;"moeda")*(Inputs!$G$5:$G$130&lt;&gt;"acoes")))*INDEX(Inputs!$K$5:$AJ$130,0,MATCH(K$2,Inputs!$K$4:$AJ$4,0)))+SUMPRODUCT((Inputs!$E$5:$E$130=$B17)*Inputs!$F$5:$F$130*(((Inputs!$G$5:$G$130="moeda")+(Inputs!$G$5:$G$130="acoes"))*Inputs!$B$1+((Inputs!$G$5:$G$130&lt;&gt;"moeda")*(Inputs!$G$5:$G$130&lt;&gt;"acoes")))*INDEX(Inputs!$K$5:$AJ$130,0,MATCH(K$2,Inputs!$K$4:$AJ$4,0)))))</f>
        <v>4454</v>
      </c>
      <c r="L17" s="6">
        <f>IF(ISNA(MATCH(L$2,Inputs!$K$4:$AJ$4,0)),NA(),IF(SUMPRODUCT((Inputs!$A$5:$A$130=$B17)*ISNUMBER(INDEX(Inputs!$K$5:$AJ$130,0,MATCH(L$2,Inputs!$K$4:$AJ$4,0))))+SUMPRODUCT((Inputs!$C$5:$C$130=$B17)*ISNUMBER(INDEX(Inputs!$K$5:$AJ$130,0,MATCH(L$2,Inputs!$K$4:$AJ$4,0))))+SUMPRODUCT((Inputs!$E$5:$E$130=$B17)*ISNUMBER(INDEX(Inputs!$K$5:$AJ$130,0,MATCH(L$2,Inputs!$K$4:$AJ$4,0))))=0,NA(),SUMPRODUCT((Inputs!$A$5:$A$130=$B17)*Inputs!$B$5:$B$130*(((Inputs!$G$5:$G$130="moeda")+(Inputs!$G$5:$G$130="acoes"))*Inputs!$B$1+((Inputs!$G$5:$G$130&lt;&gt;"moeda")*(Inputs!$G$5:$G$130&lt;&gt;"acoes")))*INDEX(Inputs!$K$5:$AJ$130,0,MATCH(L$2,Inputs!$K$4:$AJ$4,0)))+SUMPRODUCT((Inputs!$C$5:$C$130=$B17)*Inputs!$D$5:$D$130*(((Inputs!$G$5:$G$130="moeda")+(Inputs!$G$5:$G$130="acoes"))*Inputs!$B$1+((Inputs!$G$5:$G$130&lt;&gt;"moeda")*(Inputs!$G$5:$G$130&lt;&gt;"acoes")))*INDEX(Inputs!$K$5:$AJ$130,0,MATCH(L$2,Inputs!$K$4:$AJ$4,0)))+SUMPRODUCT((Inputs!$E$5:$E$130=$B17)*Inputs!$F$5:$F$130*(((Inputs!$G$5:$G$130="moeda")+(Inputs!$G$5:$G$130="acoes"))*Inputs!$B$1+((Inputs!$G$5:$G$130&lt;&gt;"moeda")*(Inputs!$G$5:$G$130&lt;&gt;"acoes")))*INDEX(Inputs!$K$5:$AJ$130,0,MATCH(L$2,Inputs!$K$4:$AJ$4,0)))))</f>
        <v>5159</v>
      </c>
      <c r="M17" s="3">
        <f>L17</f>
        <v>5159</v>
      </c>
      <c r="N17" s="6">
        <f>IF(ISNA(MATCH(N$2,Inputs!$K$4:$AJ$4,0)),NA(),IF(SUMPRODUCT((Inputs!$A$5:$A$130=$B17)*ISNUMBER(INDEX(Inputs!$K$5:$AJ$130,0,MATCH(N$2,Inputs!$K$4:$AJ$4,0))))+SUMPRODUCT((Inputs!$C$5:$C$130=$B17)*ISNUMBER(INDEX(Inputs!$K$5:$AJ$130,0,MATCH(N$2,Inputs!$K$4:$AJ$4,0))))+SUMPRODUCT((Inputs!$E$5:$E$130=$B17)*ISNUMBER(INDEX(Inputs!$K$5:$AJ$130,0,MATCH(N$2,Inputs!$K$4:$AJ$4,0))))=0,NA(),SUMPRODUCT((Inputs!$A$5:$A$130=$B17)*Inputs!$B$5:$B$130*(((Inputs!$G$5:$G$130="moeda")+(Inputs!$G$5:$G$130="acoes"))*Inputs!$B$1+((Inputs!$G$5:$G$130&lt;&gt;"moeda")*(Inputs!$G$5:$G$130&lt;&gt;"acoes")))*INDEX(Inputs!$K$5:$AJ$130,0,MATCH(N$2,Inputs!$K$4:$AJ$4,0)))+SUMPRODUCT((Inputs!$C$5:$C$130=$B17)*Inputs!$D$5:$D$130*(((Inputs!$G$5:$G$130="moeda")+(Inputs!$G$5:$G$130="acoes"))*Inputs!$B$1+((Inputs!$G$5:$G$130&lt;&gt;"moeda")*(Inputs!$G$5:$G$130&lt;&gt;"acoes")))*INDEX(Inputs!$K$5:$AJ$130,0,MATCH(N$2,Inputs!$K$4:$AJ$4,0)))+SUMPRODUCT((Inputs!$E$5:$E$130=$B17)*Inputs!$F$5:$F$130*(((Inputs!$G$5:$G$130="moeda")+(Inputs!$G$5:$G$130="acoes"))*Inputs!$B$1+((Inputs!$G$5:$G$130&lt;&gt;"moeda")*(Inputs!$G$5:$G$130&lt;&gt;"acoes")))*INDEX(Inputs!$K$5:$AJ$130,0,MATCH(N$2,Inputs!$K$4:$AJ$4,0)))))</f>
        <v>4611</v>
      </c>
      <c r="O17" s="6">
        <f>IF(ISNA(MATCH(O$2,Inputs!$K$4:$AJ$4,0)),NA(),IF(SUMPRODUCT((Inputs!$A$5:$A$130=$B17)*ISNUMBER(INDEX(Inputs!$K$5:$AJ$130,0,MATCH(O$2,Inputs!$K$4:$AJ$4,0))))+SUMPRODUCT((Inputs!$C$5:$C$130=$B17)*ISNUMBER(INDEX(Inputs!$K$5:$AJ$130,0,MATCH(O$2,Inputs!$K$4:$AJ$4,0))))+SUMPRODUCT((Inputs!$E$5:$E$130=$B17)*ISNUMBER(INDEX(Inputs!$K$5:$AJ$130,0,MATCH(O$2,Inputs!$K$4:$AJ$4,0))))=0,NA(),SUMPRODUCT((Inputs!$A$5:$A$130=$B17)*Inputs!$B$5:$B$130*(((Inputs!$G$5:$G$130="moeda")+(Inputs!$G$5:$G$130="acoes"))*Inputs!$B$1+((Inputs!$G$5:$G$130&lt;&gt;"moeda")*(Inputs!$G$5:$G$130&lt;&gt;"acoes")))*INDEX(Inputs!$K$5:$AJ$130,0,MATCH(O$2,Inputs!$K$4:$AJ$4,0)))+SUMPRODUCT((Inputs!$C$5:$C$130=$B17)*Inputs!$D$5:$D$130*(((Inputs!$G$5:$G$130="moeda")+(Inputs!$G$5:$G$130="acoes"))*Inputs!$B$1+((Inputs!$G$5:$G$130&lt;&gt;"moeda")*(Inputs!$G$5:$G$130&lt;&gt;"acoes")))*INDEX(Inputs!$K$5:$AJ$130,0,MATCH(O$2,Inputs!$K$4:$AJ$4,0)))+SUMPRODUCT((Inputs!$E$5:$E$130=$B17)*Inputs!$F$5:$F$130*(((Inputs!$G$5:$G$130="moeda")+(Inputs!$G$5:$G$130="acoes"))*Inputs!$B$1+((Inputs!$G$5:$G$130&lt;&gt;"moeda")*(Inputs!$G$5:$G$130&lt;&gt;"acoes")))*INDEX(Inputs!$K$5:$AJ$130,0,MATCH(O$2,Inputs!$K$4:$AJ$4,0)))))</f>
        <v>4319</v>
      </c>
      <c r="P17" s="6">
        <f>IF(ISNA(MATCH(P$2,Inputs!$K$4:$AJ$4,0)),NA(),IF(SUMPRODUCT((Inputs!$A$5:$A$130=$B17)*ISNUMBER(INDEX(Inputs!$K$5:$AJ$130,0,MATCH(P$2,Inputs!$K$4:$AJ$4,0))))+SUMPRODUCT((Inputs!$C$5:$C$130=$B17)*ISNUMBER(INDEX(Inputs!$K$5:$AJ$130,0,MATCH(P$2,Inputs!$K$4:$AJ$4,0))))+SUMPRODUCT((Inputs!$E$5:$E$130=$B17)*ISNUMBER(INDEX(Inputs!$K$5:$AJ$130,0,MATCH(P$2,Inputs!$K$4:$AJ$4,0))))=0,NA(),SUMPRODUCT((Inputs!$A$5:$A$130=$B17)*Inputs!$B$5:$B$130*(((Inputs!$G$5:$G$130="moeda")+(Inputs!$G$5:$G$130="acoes"))*Inputs!$B$1+((Inputs!$G$5:$G$130&lt;&gt;"moeda")*(Inputs!$G$5:$G$130&lt;&gt;"acoes")))*INDEX(Inputs!$K$5:$AJ$130,0,MATCH(P$2,Inputs!$K$4:$AJ$4,0)))+SUMPRODUCT((Inputs!$C$5:$C$130=$B17)*Inputs!$D$5:$D$130*(((Inputs!$G$5:$G$130="moeda")+(Inputs!$G$5:$G$130="acoes"))*Inputs!$B$1+((Inputs!$G$5:$G$130&lt;&gt;"moeda")*(Inputs!$G$5:$G$130&lt;&gt;"acoes")))*INDEX(Inputs!$K$5:$AJ$130,0,MATCH(P$2,Inputs!$K$4:$AJ$4,0)))+SUMPRODUCT((Inputs!$E$5:$E$130=$B17)*Inputs!$F$5:$F$130*(((Inputs!$G$5:$G$130="moeda")+(Inputs!$G$5:$G$130="acoes"))*Inputs!$B$1+((Inputs!$G$5:$G$130&lt;&gt;"moeda")*(Inputs!$G$5:$G$130&lt;&gt;"acoes")))*INDEX(Inputs!$K$5:$AJ$130,0,MATCH(P$2,Inputs!$K$4:$AJ$4,0)))))</f>
        <v>4779</v>
      </c>
      <c r="Q17" s="6">
        <f>IF(ISNA(MATCH(Q$2,Inputs!$K$4:$AJ$4,0)),NA(),IF(SUMPRODUCT((Inputs!$A$5:$A$130=$B17)*ISNUMBER(INDEX(Inputs!$K$5:$AJ$130,0,MATCH(Q$2,Inputs!$K$4:$AJ$4,0))))+SUMPRODUCT((Inputs!$C$5:$C$130=$B17)*ISNUMBER(INDEX(Inputs!$K$5:$AJ$130,0,MATCH(Q$2,Inputs!$K$4:$AJ$4,0))))+SUMPRODUCT((Inputs!$E$5:$E$130=$B17)*ISNUMBER(INDEX(Inputs!$K$5:$AJ$130,0,MATCH(Q$2,Inputs!$K$4:$AJ$4,0))))=0,NA(),SUMPRODUCT((Inputs!$A$5:$A$130=$B17)*Inputs!$B$5:$B$130*(((Inputs!$G$5:$G$130="moeda")+(Inputs!$G$5:$G$130="acoes"))*Inputs!$B$1+((Inputs!$G$5:$G$130&lt;&gt;"moeda")*(Inputs!$G$5:$G$130&lt;&gt;"acoes")))*INDEX(Inputs!$K$5:$AJ$130,0,MATCH(Q$2,Inputs!$K$4:$AJ$4,0)))+SUMPRODUCT((Inputs!$C$5:$C$130=$B17)*Inputs!$D$5:$D$130*(((Inputs!$G$5:$G$130="moeda")+(Inputs!$G$5:$G$130="acoes"))*Inputs!$B$1+((Inputs!$G$5:$G$130&lt;&gt;"moeda")*(Inputs!$G$5:$G$130&lt;&gt;"acoes")))*INDEX(Inputs!$K$5:$AJ$130,0,MATCH(Q$2,Inputs!$K$4:$AJ$4,0)))+SUMPRODUCT((Inputs!$E$5:$E$130=$B17)*Inputs!$F$5:$F$130*(((Inputs!$G$5:$G$130="moeda")+(Inputs!$G$5:$G$130="acoes"))*Inputs!$B$1+((Inputs!$G$5:$G$130&lt;&gt;"moeda")*(Inputs!$G$5:$G$130&lt;&gt;"acoes")))*INDEX(Inputs!$K$5:$AJ$130,0,MATCH(Q$2,Inputs!$K$4:$AJ$4,0)))))</f>
        <v>5282</v>
      </c>
      <c r="R17" s="3">
        <f>Q17</f>
        <v>5282</v>
      </c>
      <c r="S17" s="6">
        <f>IF(ISNA(MATCH(S$2,Inputs!$K$4:$AJ$4,0)),NA(),IF(SUMPRODUCT((Inputs!$A$5:$A$130=$B17)*ISNUMBER(INDEX(Inputs!$K$5:$AJ$130,0,MATCH(S$2,Inputs!$K$4:$AJ$4,0))))+SUMPRODUCT((Inputs!$C$5:$C$130=$B17)*ISNUMBER(INDEX(Inputs!$K$5:$AJ$130,0,MATCH(S$2,Inputs!$K$4:$AJ$4,0))))+SUMPRODUCT((Inputs!$E$5:$E$130=$B17)*ISNUMBER(INDEX(Inputs!$K$5:$AJ$130,0,MATCH(S$2,Inputs!$K$4:$AJ$4,0))))=0,NA(),SUMPRODUCT((Inputs!$A$5:$A$130=$B17)*Inputs!$B$5:$B$130*(((Inputs!$G$5:$G$130="moeda")+(Inputs!$G$5:$G$130="acoes"))*Inputs!$B$1+((Inputs!$G$5:$G$130&lt;&gt;"moeda")*(Inputs!$G$5:$G$130&lt;&gt;"acoes")))*INDEX(Inputs!$K$5:$AJ$130,0,MATCH(S$2,Inputs!$K$4:$AJ$4,0)))+SUMPRODUCT((Inputs!$C$5:$C$130=$B17)*Inputs!$D$5:$D$130*(((Inputs!$G$5:$G$130="moeda")+(Inputs!$G$5:$G$130="acoes"))*Inputs!$B$1+((Inputs!$G$5:$G$130&lt;&gt;"moeda")*(Inputs!$G$5:$G$130&lt;&gt;"acoes")))*INDEX(Inputs!$K$5:$AJ$130,0,MATCH(S$2,Inputs!$K$4:$AJ$4,0)))+SUMPRODUCT((Inputs!$E$5:$E$130=$B17)*Inputs!$F$5:$F$130*(((Inputs!$G$5:$G$130="moeda")+(Inputs!$G$5:$G$130="acoes"))*Inputs!$B$1+((Inputs!$G$5:$G$130&lt;&gt;"moeda")*(Inputs!$G$5:$G$130&lt;&gt;"acoes")))*INDEX(Inputs!$K$5:$AJ$130,0,MATCH(S$2,Inputs!$K$4:$AJ$4,0)))))</f>
        <v>5864</v>
      </c>
      <c r="T17" s="6">
        <f>IF(ISNA(MATCH(T$2,Inputs!$K$4:$AJ$4,0)),NA(),IF(SUMPRODUCT((Inputs!$A$5:$A$130=$B17)*ISNUMBER(INDEX(Inputs!$K$5:$AJ$130,0,MATCH(T$2,Inputs!$K$4:$AJ$4,0))))+SUMPRODUCT((Inputs!$C$5:$C$130=$B17)*ISNUMBER(INDEX(Inputs!$K$5:$AJ$130,0,MATCH(T$2,Inputs!$K$4:$AJ$4,0))))+SUMPRODUCT((Inputs!$E$5:$E$130=$B17)*ISNUMBER(INDEX(Inputs!$K$5:$AJ$130,0,MATCH(T$2,Inputs!$K$4:$AJ$4,0))))=0,NA(),SUMPRODUCT((Inputs!$A$5:$A$130=$B17)*Inputs!$B$5:$B$130*(((Inputs!$G$5:$G$130="moeda")+(Inputs!$G$5:$G$130="acoes"))*Inputs!$B$1+((Inputs!$G$5:$G$130&lt;&gt;"moeda")*(Inputs!$G$5:$G$130&lt;&gt;"acoes")))*INDEX(Inputs!$K$5:$AJ$130,0,MATCH(T$2,Inputs!$K$4:$AJ$4,0)))+SUMPRODUCT((Inputs!$C$5:$C$130=$B17)*Inputs!$D$5:$D$130*(((Inputs!$G$5:$G$130="moeda")+(Inputs!$G$5:$G$130="acoes"))*Inputs!$B$1+((Inputs!$G$5:$G$130&lt;&gt;"moeda")*(Inputs!$G$5:$G$130&lt;&gt;"acoes")))*INDEX(Inputs!$K$5:$AJ$130,0,MATCH(T$2,Inputs!$K$4:$AJ$4,0)))+SUMPRODUCT((Inputs!$E$5:$E$130=$B17)*Inputs!$F$5:$F$130*(((Inputs!$G$5:$G$130="moeda")+(Inputs!$G$5:$G$130="acoes"))*Inputs!$B$1+((Inputs!$G$5:$G$130&lt;&gt;"moeda")*(Inputs!$G$5:$G$130&lt;&gt;"acoes")))*INDEX(Inputs!$K$5:$AJ$130,0,MATCH(T$2,Inputs!$K$4:$AJ$4,0)))))</f>
        <v>6675</v>
      </c>
      <c r="U17" s="6">
        <f>IF(ISNA(MATCH(U$2,Inputs!$K$4:$AJ$4,0)),NA(),IF(SUMPRODUCT((Inputs!$A$5:$A$130=$B17)*ISNUMBER(INDEX(Inputs!$K$5:$AJ$130,0,MATCH(U$2,Inputs!$K$4:$AJ$4,0))))+SUMPRODUCT((Inputs!$C$5:$C$130=$B17)*ISNUMBER(INDEX(Inputs!$K$5:$AJ$130,0,MATCH(U$2,Inputs!$K$4:$AJ$4,0))))+SUMPRODUCT((Inputs!$E$5:$E$130=$B17)*ISNUMBER(INDEX(Inputs!$K$5:$AJ$130,0,MATCH(U$2,Inputs!$K$4:$AJ$4,0))))=0,NA(),SUMPRODUCT((Inputs!$A$5:$A$130=$B17)*Inputs!$B$5:$B$130*(((Inputs!$G$5:$G$130="moeda")+(Inputs!$G$5:$G$130="acoes"))*Inputs!$B$1+((Inputs!$G$5:$G$130&lt;&gt;"moeda")*(Inputs!$G$5:$G$130&lt;&gt;"acoes")))*INDEX(Inputs!$K$5:$AJ$130,0,MATCH(U$2,Inputs!$K$4:$AJ$4,0)))+SUMPRODUCT((Inputs!$C$5:$C$130=$B17)*Inputs!$D$5:$D$130*(((Inputs!$G$5:$G$130="moeda")+(Inputs!$G$5:$G$130="acoes"))*Inputs!$B$1+((Inputs!$G$5:$G$130&lt;&gt;"moeda")*(Inputs!$G$5:$G$130&lt;&gt;"acoes")))*INDEX(Inputs!$K$5:$AJ$130,0,MATCH(U$2,Inputs!$K$4:$AJ$4,0)))+SUMPRODUCT((Inputs!$E$5:$E$130=$B17)*Inputs!$F$5:$F$130*(((Inputs!$G$5:$G$130="moeda")+(Inputs!$G$5:$G$130="acoes"))*Inputs!$B$1+((Inputs!$G$5:$G$130&lt;&gt;"moeda")*(Inputs!$G$5:$G$130&lt;&gt;"acoes")))*INDEX(Inputs!$K$5:$AJ$130,0,MATCH(U$2,Inputs!$K$4:$AJ$4,0)))))</f>
        <v>7654</v>
      </c>
      <c r="V17" s="6">
        <f>IF(ISNA(MATCH(V$2,Inputs!$K$4:$AJ$4,0)),NA(),IF(SUMPRODUCT((Inputs!$A$5:$A$130=$B17)*ISNUMBER(INDEX(Inputs!$K$5:$AJ$130,0,MATCH(V$2,Inputs!$K$4:$AJ$4,0))))+SUMPRODUCT((Inputs!$C$5:$C$130=$B17)*ISNUMBER(INDEX(Inputs!$K$5:$AJ$130,0,MATCH(V$2,Inputs!$K$4:$AJ$4,0))))+SUMPRODUCT((Inputs!$E$5:$E$130=$B17)*ISNUMBER(INDEX(Inputs!$K$5:$AJ$130,0,MATCH(V$2,Inputs!$K$4:$AJ$4,0))))=0,NA(),SUMPRODUCT((Inputs!$A$5:$A$130=$B17)*Inputs!$B$5:$B$130*(((Inputs!$G$5:$G$130="moeda")+(Inputs!$G$5:$G$130="acoes"))*Inputs!$B$1+((Inputs!$G$5:$G$130&lt;&gt;"moeda")*(Inputs!$G$5:$G$130&lt;&gt;"acoes")))*INDEX(Inputs!$K$5:$AJ$130,0,MATCH(V$2,Inputs!$K$4:$AJ$4,0)))+SUMPRODUCT((Inputs!$C$5:$C$130=$B17)*Inputs!$D$5:$D$130*(((Inputs!$G$5:$G$130="moeda")+(Inputs!$G$5:$G$130="acoes"))*Inputs!$B$1+((Inputs!$G$5:$G$130&lt;&gt;"moeda")*(Inputs!$G$5:$G$130&lt;&gt;"acoes")))*INDEX(Inputs!$K$5:$AJ$130,0,MATCH(V$2,Inputs!$K$4:$AJ$4,0)))+SUMPRODUCT((Inputs!$E$5:$E$130=$B17)*Inputs!$F$5:$F$130*(((Inputs!$G$5:$G$130="moeda")+(Inputs!$G$5:$G$130="acoes"))*Inputs!$B$1+((Inputs!$G$5:$G$130&lt;&gt;"moeda")*(Inputs!$G$5:$G$130&lt;&gt;"acoes")))*INDEX(Inputs!$K$5:$AJ$130,0,MATCH(V$2,Inputs!$K$4:$AJ$4,0)))))</f>
        <v>10080</v>
      </c>
      <c r="W17" s="3">
        <f>V17</f>
        <v>10080</v>
      </c>
      <c r="X17" s="6">
        <f>IF(ISNA(MATCH(X$2,Inputs!$K$4:$AJ$4,0)),NA(),IF(SUMPRODUCT((Inputs!$A$5:$A$130=$B17)*ISNUMBER(INDEX(Inputs!$K$5:$AJ$130,0,MATCH(X$2,Inputs!$K$4:$AJ$4,0))))+SUMPRODUCT((Inputs!$C$5:$C$130=$B17)*ISNUMBER(INDEX(Inputs!$K$5:$AJ$130,0,MATCH(X$2,Inputs!$K$4:$AJ$4,0))))+SUMPRODUCT((Inputs!$E$5:$E$130=$B17)*ISNUMBER(INDEX(Inputs!$K$5:$AJ$130,0,MATCH(X$2,Inputs!$K$4:$AJ$4,0))))=0,NA(),SUMPRODUCT((Inputs!$A$5:$A$130=$B17)*Inputs!$B$5:$B$130*(((Inputs!$G$5:$G$130="moeda")+(Inputs!$G$5:$G$130="acoes"))*Inputs!$B$1+((Inputs!$G$5:$G$130&lt;&gt;"moeda")*(Inputs!$G$5:$G$130&lt;&gt;"acoes")))*INDEX(Inputs!$K$5:$AJ$130,0,MATCH(X$2,Inputs!$K$4:$AJ$4,0)))+SUMPRODUCT((Inputs!$C$5:$C$130=$B17)*Inputs!$D$5:$D$130*(((Inputs!$G$5:$G$130="moeda")+(Inputs!$G$5:$G$130="acoes"))*Inputs!$B$1+((Inputs!$G$5:$G$130&lt;&gt;"moeda")*(Inputs!$G$5:$G$130&lt;&gt;"acoes")))*INDEX(Inputs!$K$5:$AJ$130,0,MATCH(X$2,Inputs!$K$4:$AJ$4,0)))+SUMPRODUCT((Inputs!$E$5:$E$130=$B17)*Inputs!$F$5:$F$130*(((Inputs!$G$5:$G$130="moeda")+(Inputs!$G$5:$G$130="acoes"))*Inputs!$B$1+((Inputs!$G$5:$G$130&lt;&gt;"moeda")*(Inputs!$G$5:$G$130&lt;&gt;"acoes")))*INDEX(Inputs!$K$5:$AJ$130,0,MATCH(X$2,Inputs!$K$4:$AJ$4,0)))))</f>
        <v>11333</v>
      </c>
      <c r="Y17" s="6">
        <f>IF(ISNA(MATCH(Y$2,Inputs!$K$4:$AJ$4,0)),NA(),IF(SUMPRODUCT((Inputs!$A$5:$A$130=$B17)*ISNUMBER(INDEX(Inputs!$K$5:$AJ$130,0,MATCH(Y$2,Inputs!$K$4:$AJ$4,0))))+SUMPRODUCT((Inputs!$C$5:$C$130=$B17)*ISNUMBER(INDEX(Inputs!$K$5:$AJ$130,0,MATCH(Y$2,Inputs!$K$4:$AJ$4,0))))+SUMPRODUCT((Inputs!$E$5:$E$130=$B17)*ISNUMBER(INDEX(Inputs!$K$5:$AJ$130,0,MATCH(Y$2,Inputs!$K$4:$AJ$4,0))))=0,NA(),SUMPRODUCT((Inputs!$A$5:$A$130=$B17)*Inputs!$B$5:$B$130*(((Inputs!$G$5:$G$130="moeda")+(Inputs!$G$5:$G$130="acoes"))*Inputs!$B$1+((Inputs!$G$5:$G$130&lt;&gt;"moeda")*(Inputs!$G$5:$G$130&lt;&gt;"acoes")))*INDEX(Inputs!$K$5:$AJ$130,0,MATCH(Y$2,Inputs!$K$4:$AJ$4,0)))+SUMPRODUCT((Inputs!$C$5:$C$130=$B17)*Inputs!$D$5:$D$130*(((Inputs!$G$5:$G$130="moeda")+(Inputs!$G$5:$G$130="acoes"))*Inputs!$B$1+((Inputs!$G$5:$G$130&lt;&gt;"moeda")*(Inputs!$G$5:$G$130&lt;&gt;"acoes")))*INDEX(Inputs!$K$5:$AJ$130,0,MATCH(Y$2,Inputs!$K$4:$AJ$4,0)))+SUMPRODUCT((Inputs!$E$5:$E$130=$B17)*Inputs!$F$5:$F$130*(((Inputs!$G$5:$G$130="moeda")+(Inputs!$G$5:$G$130="acoes"))*Inputs!$B$1+((Inputs!$G$5:$G$130&lt;&gt;"moeda")*(Inputs!$G$5:$G$130&lt;&gt;"acoes")))*INDEX(Inputs!$K$5:$AJ$130,0,MATCH(Y$2,Inputs!$K$4:$AJ$4,0)))))</f>
        <v>14962</v>
      </c>
      <c r="Z17" s="6">
        <f>IF(ISNA(MATCH(Z$2,Inputs!$K$4:$AJ$4,0)),NA(),IF(SUMPRODUCT((Inputs!$A$5:$A$130=$B17)*ISNUMBER(INDEX(Inputs!$K$5:$AJ$130,0,MATCH(Z$2,Inputs!$K$4:$AJ$4,0))))+SUMPRODUCT((Inputs!$C$5:$C$130=$B17)*ISNUMBER(INDEX(Inputs!$K$5:$AJ$130,0,MATCH(Z$2,Inputs!$K$4:$AJ$4,0))))+SUMPRODUCT((Inputs!$E$5:$E$130=$B17)*ISNUMBER(INDEX(Inputs!$K$5:$AJ$130,0,MATCH(Z$2,Inputs!$K$4:$AJ$4,0))))=0,NA(),SUMPRODUCT((Inputs!$A$5:$A$130=$B17)*Inputs!$B$5:$B$130*(((Inputs!$G$5:$G$130="moeda")+(Inputs!$G$5:$G$130="acoes"))*Inputs!$B$1+((Inputs!$G$5:$G$130&lt;&gt;"moeda")*(Inputs!$G$5:$G$130&lt;&gt;"acoes")))*INDEX(Inputs!$K$5:$AJ$130,0,MATCH(Z$2,Inputs!$K$4:$AJ$4,0)))+SUMPRODUCT((Inputs!$C$5:$C$130=$B17)*Inputs!$D$5:$D$130*(((Inputs!$G$5:$G$130="moeda")+(Inputs!$G$5:$G$130="acoes"))*Inputs!$B$1+((Inputs!$G$5:$G$130&lt;&gt;"moeda")*(Inputs!$G$5:$G$130&lt;&gt;"acoes")))*INDEX(Inputs!$K$5:$AJ$130,0,MATCH(Z$2,Inputs!$K$4:$AJ$4,0)))+SUMPRODUCT((Inputs!$E$5:$E$130=$B17)*Inputs!$F$5:$F$130*(((Inputs!$G$5:$G$130="moeda")+(Inputs!$G$5:$G$130="acoes"))*Inputs!$B$1+((Inputs!$G$5:$G$130&lt;&gt;"moeda")*(Inputs!$G$5:$G$130&lt;&gt;"acoes")))*INDEX(Inputs!$K$5:$AJ$130,0,MATCH(Z$2,Inputs!$K$4:$AJ$4,0)))))</f>
        <v>19784</v>
      </c>
      <c r="AA17" s="6">
        <f>IF(ISNA(MATCH(AA$2,Inputs!$K$4:$AJ$4,0)),NA(),IF(SUMPRODUCT((Inputs!$A$5:$A$130=$B17)*ISNUMBER(INDEX(Inputs!$K$5:$AJ$130,0,MATCH(AA$2,Inputs!$K$4:$AJ$4,0))))+SUMPRODUCT((Inputs!$C$5:$C$130=$B17)*ISNUMBER(INDEX(Inputs!$K$5:$AJ$130,0,MATCH(AA$2,Inputs!$K$4:$AJ$4,0))))+SUMPRODUCT((Inputs!$E$5:$E$130=$B17)*ISNUMBER(INDEX(Inputs!$K$5:$AJ$130,0,MATCH(AA$2,Inputs!$K$4:$AJ$4,0))))=0,NA(),SUMPRODUCT((Inputs!$A$5:$A$130=$B17)*Inputs!$B$5:$B$130*(((Inputs!$G$5:$G$130="moeda")+(Inputs!$G$5:$G$130="acoes"))*Inputs!$B$1+((Inputs!$G$5:$G$130&lt;&gt;"moeda")*(Inputs!$G$5:$G$130&lt;&gt;"acoes")))*INDEX(Inputs!$K$5:$AJ$130,0,MATCH(AA$2,Inputs!$K$4:$AJ$4,0)))+SUMPRODUCT((Inputs!$C$5:$C$130=$B17)*Inputs!$D$5:$D$130*(((Inputs!$G$5:$G$130="moeda")+(Inputs!$G$5:$G$130="acoes"))*Inputs!$B$1+((Inputs!$G$5:$G$130&lt;&gt;"moeda")*(Inputs!$G$5:$G$130&lt;&gt;"acoes")))*INDEX(Inputs!$K$5:$AJ$130,0,MATCH(AA$2,Inputs!$K$4:$AJ$4,0)))+SUMPRODUCT((Inputs!$E$5:$E$130=$B17)*Inputs!$F$5:$F$130*(((Inputs!$G$5:$G$130="moeda")+(Inputs!$G$5:$G$130="acoes"))*Inputs!$B$1+((Inputs!$G$5:$G$130&lt;&gt;"moeda")*(Inputs!$G$5:$G$130&lt;&gt;"acoes")))*INDEX(Inputs!$K$5:$AJ$130,0,MATCH(AA$2,Inputs!$K$4:$AJ$4,0)))))</f>
        <v>21403</v>
      </c>
      <c r="AB17" s="3">
        <f>AA17</f>
        <v>21403</v>
      </c>
      <c r="AC17" s="6">
        <f>IF(ISNA(MATCH(AC$2,Inputs!$K$4:$AJ$4,0)),NA(),IF(SUMPRODUCT((Inputs!$A$5:$A$130=$B17)*ISNUMBER(INDEX(Inputs!$K$5:$AJ$130,0,MATCH(AC$2,Inputs!$K$4:$AJ$4,0))))+SUMPRODUCT((Inputs!$C$5:$C$130=$B17)*ISNUMBER(INDEX(Inputs!$K$5:$AJ$130,0,MATCH(AC$2,Inputs!$K$4:$AJ$4,0))))+SUMPRODUCT((Inputs!$E$5:$E$130=$B17)*ISNUMBER(INDEX(Inputs!$K$5:$AJ$130,0,MATCH(AC$2,Inputs!$K$4:$AJ$4,0))))=0,NA(),SUMPRODUCT((Inputs!$A$5:$A$130=$B17)*Inputs!$B$5:$B$130*(((Inputs!$G$5:$G$130="moeda")+(Inputs!$G$5:$G$130="acoes"))*Inputs!$B$1+((Inputs!$G$5:$G$130&lt;&gt;"moeda")*(Inputs!$G$5:$G$130&lt;&gt;"acoes")))*INDEX(Inputs!$K$5:$AJ$130,0,MATCH(AC$2,Inputs!$K$4:$AJ$4,0)))+SUMPRODUCT((Inputs!$C$5:$C$130=$B17)*Inputs!$D$5:$D$130*(((Inputs!$G$5:$G$130="moeda")+(Inputs!$G$5:$G$130="acoes"))*Inputs!$B$1+((Inputs!$G$5:$G$130&lt;&gt;"moeda")*(Inputs!$G$5:$G$130&lt;&gt;"acoes")))*INDEX(Inputs!$K$5:$AJ$130,0,MATCH(AC$2,Inputs!$K$4:$AJ$4,0)))+SUMPRODUCT((Inputs!$E$5:$E$130=$B17)*Inputs!$F$5:$F$130*(((Inputs!$G$5:$G$130="moeda")+(Inputs!$G$5:$G$130="acoes"))*Inputs!$B$1+((Inputs!$G$5:$G$130&lt;&gt;"moeda")*(Inputs!$G$5:$G$130&lt;&gt;"acoes")))*INDEX(Inputs!$K$5:$AJ$130,0,MATCH(AC$2,Inputs!$K$4:$AJ$4,0)))))</f>
        <v>25797</v>
      </c>
      <c r="AD17" s="6">
        <f>IF(ISNA(MATCH(AD$2,Inputs!$K$4:$AJ$4,0)),NA(),IF(SUMPRODUCT((Inputs!$A$5:$A$130=$B17)*ISNUMBER(INDEX(Inputs!$K$5:$AJ$130,0,MATCH(AD$2,Inputs!$K$4:$AJ$4,0))))+SUMPRODUCT((Inputs!$C$5:$C$130=$B17)*ISNUMBER(INDEX(Inputs!$K$5:$AJ$130,0,MATCH(AD$2,Inputs!$K$4:$AJ$4,0))))+SUMPRODUCT((Inputs!$E$5:$E$130=$B17)*ISNUMBER(INDEX(Inputs!$K$5:$AJ$130,0,MATCH(AD$2,Inputs!$K$4:$AJ$4,0))))=0,NA(),SUMPRODUCT((Inputs!$A$5:$A$130=$B17)*Inputs!$B$5:$B$130*(((Inputs!$G$5:$G$130="moeda")+(Inputs!$G$5:$G$130="acoes"))*Inputs!$B$1+((Inputs!$G$5:$G$130&lt;&gt;"moeda")*(Inputs!$G$5:$G$130&lt;&gt;"acoes")))*INDEX(Inputs!$K$5:$AJ$130,0,MATCH(AD$2,Inputs!$K$4:$AJ$4,0)))+SUMPRODUCT((Inputs!$C$5:$C$130=$B17)*Inputs!$D$5:$D$130*(((Inputs!$G$5:$G$130="moeda")+(Inputs!$G$5:$G$130="acoes"))*Inputs!$B$1+((Inputs!$G$5:$G$130&lt;&gt;"moeda")*(Inputs!$G$5:$G$130&lt;&gt;"acoes")))*INDEX(Inputs!$K$5:$AJ$130,0,MATCH(AD$2,Inputs!$K$4:$AJ$4,0)))+SUMPRODUCT((Inputs!$E$5:$E$130=$B17)*Inputs!$F$5:$F$130*(((Inputs!$G$5:$G$130="moeda")+(Inputs!$G$5:$G$130="acoes"))*Inputs!$B$1+((Inputs!$G$5:$G$130&lt;&gt;"moeda")*(Inputs!$G$5:$G$130&lt;&gt;"acoes")))*INDEX(Inputs!$K$5:$AJ$130,0,MATCH(AD$2,Inputs!$K$4:$AJ$4,0)))))</f>
        <v>31575</v>
      </c>
      <c r="AE17" s="6" t="e">
        <f>IF(ISNA(MATCH(AE$2,Inputs!$K$4:$AJ$4,0)),NA(),IF(SUMPRODUCT((Inputs!$A$5:$A$130=$B17)*ISNUMBER(INDEX(Inputs!$K$5:$AJ$130,0,MATCH(AE$2,Inputs!$K$4:$AJ$4,0))))+SUMPRODUCT((Inputs!$C$5:$C$130=$B17)*ISNUMBER(INDEX(Inputs!$K$5:$AJ$130,0,MATCH(AE$2,Inputs!$K$4:$AJ$4,0))))+SUMPRODUCT((Inputs!$E$5:$E$130=$B17)*ISNUMBER(INDEX(Inputs!$K$5:$AJ$130,0,MATCH(AE$2,Inputs!$K$4:$AJ$4,0))))=0,NA(),SUMPRODUCT((Inputs!$A$5:$A$130=$B17)*Inputs!$B$5:$B$130*(((Inputs!$G$5:$G$130="moeda")+(Inputs!$G$5:$G$130="acoes"))*Inputs!$B$1+((Inputs!$G$5:$G$130&lt;&gt;"moeda")*(Inputs!$G$5:$G$130&lt;&gt;"acoes")))*INDEX(Inputs!$K$5:$AJ$130,0,MATCH(AE$2,Inputs!$K$4:$AJ$4,0)))+SUMPRODUCT((Inputs!$C$5:$C$130=$B17)*Inputs!$D$5:$D$130*(((Inputs!$G$5:$G$130="moeda")+(Inputs!$G$5:$G$130="acoes"))*Inputs!$B$1+((Inputs!$G$5:$G$130&lt;&gt;"moeda")*(Inputs!$G$5:$G$130&lt;&gt;"acoes")))*INDEX(Inputs!$K$5:$AJ$130,0,MATCH(AE$2,Inputs!$K$4:$AJ$4,0)))+SUMPRODUCT((Inputs!$E$5:$E$130=$B17)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7" s="6" t="e">
        <f>IF(ISNA(MATCH(AF$2,Inputs!$K$4:$AJ$4,0)),NA(),IF(SUMPRODUCT((Inputs!$A$5:$A$130=$B17)*ISNUMBER(INDEX(Inputs!$K$5:$AJ$130,0,MATCH(AF$2,Inputs!$K$4:$AJ$4,0))))+SUMPRODUCT((Inputs!$C$5:$C$130=$B17)*ISNUMBER(INDEX(Inputs!$K$5:$AJ$130,0,MATCH(AF$2,Inputs!$K$4:$AJ$4,0))))+SUMPRODUCT((Inputs!$E$5:$E$130=$B17)*ISNUMBER(INDEX(Inputs!$K$5:$AJ$130,0,MATCH(AF$2,Inputs!$K$4:$AJ$4,0))))=0,NA(),SUMPRODUCT((Inputs!$A$5:$A$130=$B17)*Inputs!$B$5:$B$130*(((Inputs!$G$5:$G$130="moeda")+(Inputs!$G$5:$G$130="acoes"))*Inputs!$B$1+((Inputs!$G$5:$G$130&lt;&gt;"moeda")*(Inputs!$G$5:$G$130&lt;&gt;"acoes")))*INDEX(Inputs!$K$5:$AJ$130,0,MATCH(AF$2,Inputs!$K$4:$AJ$4,0)))+SUMPRODUCT((Inputs!$C$5:$C$130=$B17)*Inputs!$D$5:$D$130*(((Inputs!$G$5:$G$130="moeda")+(Inputs!$G$5:$G$130="acoes"))*Inputs!$B$1+((Inputs!$G$5:$G$130&lt;&gt;"moeda")*(Inputs!$G$5:$G$130&lt;&gt;"acoes")))*INDEX(Inputs!$K$5:$AJ$130,0,MATCH(AF$2,Inputs!$K$4:$AJ$4,0)))+SUMPRODUCT((Inputs!$E$5:$E$130=$B17)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7" s="3" t="e">
        <f>AF17</f>
        <v>#N/A</v>
      </c>
      <c r="AH17" s="6">
        <f>IF(ISNA(MATCH(AH$2,Inputs!$K$4:$AJ$4,0)),NA(),IF(SUMPRODUCT((Inputs!$A$5:$A$130=$B17)*ISNUMBER(INDEX(Inputs!$K$5:$AJ$130,0,MATCH(AH$2,Inputs!$K$4:$AJ$4,0))))+SUMPRODUCT((Inputs!$C$5:$C$130=$B17)*ISNUMBER(INDEX(Inputs!$K$5:$AJ$130,0,MATCH(AH$2,Inputs!$K$4:$AJ$4,0))))+SUMPRODUCT((Inputs!$E$5:$E$130=$B17)*ISNUMBER(INDEX(Inputs!$K$5:$AJ$130,0,MATCH(AH$2,Inputs!$K$4:$AJ$4,0))))=0,NA(),SUMPRODUCT((Inputs!$A$5:$A$130=$B17)*Inputs!$B$5:$B$130*(((Inputs!$G$5:$G$130="moeda")+(Inputs!$G$5:$G$130="acoes"))*Inputs!$B$1+((Inputs!$G$5:$G$130&lt;&gt;"moeda")*(Inputs!$G$5:$G$130&lt;&gt;"acoes")))*INDEX(Inputs!$K$5:$AJ$130,0,MATCH(AH$2,Inputs!$K$4:$AJ$4,0)))+SUMPRODUCT((Inputs!$C$5:$C$130=$B17)*Inputs!$D$5:$D$130*(((Inputs!$G$5:$G$130="moeda")+(Inputs!$G$5:$G$130="acoes"))*Inputs!$B$1+((Inputs!$G$5:$G$130&lt;&gt;"moeda")*(Inputs!$G$5:$G$130&lt;&gt;"acoes")))*INDEX(Inputs!$K$5:$AJ$130,0,MATCH(AH$2,Inputs!$K$4:$AJ$4,0)))+SUMPRODUCT((Inputs!$E$5:$E$130=$B17)*Inputs!$F$5:$F$130*(((Inputs!$G$5:$G$130="moeda")+(Inputs!$G$5:$G$130="acoes"))*Inputs!$B$1+((Inputs!$G$5:$G$130&lt;&gt;"moeda")*(Inputs!$G$5:$G$130&lt;&gt;"acoes")))*INDEX(Inputs!$K$5:$AJ$130,0,MATCH(AH$2,Inputs!$K$4:$AJ$4,0)))))</f>
        <v>1128</v>
      </c>
      <c r="AI17" s="6">
        <f>IF(ISNA(MATCH(AI$2,Inputs!$K$4:$AJ$4,0)),NA(),IF(SUMPRODUCT((Inputs!$A$5:$A$130=$B17)*ISNUMBER(INDEX(Inputs!$K$5:$AJ$130,0,MATCH(AI$2,Inputs!$K$4:$AJ$4,0))))+SUMPRODUCT((Inputs!$C$5:$C$130=$B17)*ISNUMBER(INDEX(Inputs!$K$5:$AJ$130,0,MATCH(AI$2,Inputs!$K$4:$AJ$4,0))))+SUMPRODUCT((Inputs!$E$5:$E$130=$B17)*ISNUMBER(INDEX(Inputs!$K$5:$AJ$130,0,MATCH(AI$2,Inputs!$K$4:$AJ$4,0))))=0,NA(),SUMPRODUCT((Inputs!$A$5:$A$130=$B17)*Inputs!$B$5:$B$130*(((Inputs!$G$5:$G$130="moeda")+(Inputs!$G$5:$G$130="acoes"))*Inputs!$B$1+((Inputs!$G$5:$G$130&lt;&gt;"moeda")*(Inputs!$G$5:$G$130&lt;&gt;"acoes")))*INDEX(Inputs!$K$5:$AJ$130,0,MATCH(AI$2,Inputs!$K$4:$AJ$4,0)))+SUMPRODUCT((Inputs!$C$5:$C$130=$B17)*Inputs!$D$5:$D$130*(((Inputs!$G$5:$G$130="moeda")+(Inputs!$G$5:$G$130="acoes"))*Inputs!$B$1+((Inputs!$G$5:$G$130&lt;&gt;"moeda")*(Inputs!$G$5:$G$130&lt;&gt;"acoes")))*INDEX(Inputs!$K$5:$AJ$130,0,MATCH(AI$2,Inputs!$K$4:$AJ$4,0)))+SUMPRODUCT((Inputs!$E$5:$E$130=$B17)*Inputs!$F$5:$F$130*(((Inputs!$G$5:$G$130="moeda")+(Inputs!$G$5:$G$130="acoes"))*Inputs!$B$1+((Inputs!$G$5:$G$130&lt;&gt;"moeda")*(Inputs!$G$5:$G$130&lt;&gt;"acoes")))*INDEX(Inputs!$K$5:$AJ$130,0,MATCH(AI$2,Inputs!$K$4:$AJ$4,0)))))</f>
        <v>1401</v>
      </c>
      <c r="AJ17" s="6">
        <f>IF(ISNA(MATCH(AJ$2,Inputs!$K$4:$AJ$4,0)),NA(),IF(SUMPRODUCT((Inputs!$A$5:$A$130=$B17)*ISNUMBER(INDEX(Inputs!$K$5:$AJ$130,0,MATCH(AJ$2,Inputs!$K$4:$AJ$4,0))))+SUMPRODUCT((Inputs!$C$5:$C$130=$B17)*ISNUMBER(INDEX(Inputs!$K$5:$AJ$130,0,MATCH(AJ$2,Inputs!$K$4:$AJ$4,0))))+SUMPRODUCT((Inputs!$E$5:$E$130=$B17)*ISNUMBER(INDEX(Inputs!$K$5:$AJ$130,0,MATCH(AJ$2,Inputs!$K$4:$AJ$4,0))))=0,NA(),SUMPRODUCT((Inputs!$A$5:$A$130=$B17)*Inputs!$B$5:$B$130*(((Inputs!$G$5:$G$130="moeda")+(Inputs!$G$5:$G$130="acoes"))*Inputs!$B$1+((Inputs!$G$5:$G$130&lt;&gt;"moeda")*(Inputs!$G$5:$G$130&lt;&gt;"acoes")))*INDEX(Inputs!$K$5:$AJ$130,0,MATCH(AJ$2,Inputs!$K$4:$AJ$4,0)))+SUMPRODUCT((Inputs!$C$5:$C$130=$B17)*Inputs!$D$5:$D$130*(((Inputs!$G$5:$G$130="moeda")+(Inputs!$G$5:$G$130="acoes"))*Inputs!$B$1+((Inputs!$G$5:$G$130&lt;&gt;"moeda")*(Inputs!$G$5:$G$130&lt;&gt;"acoes")))*INDEX(Inputs!$K$5:$AJ$130,0,MATCH(AJ$2,Inputs!$K$4:$AJ$4,0)))+SUMPRODUCT((Inputs!$E$5:$E$130=$B17)*Inputs!$F$5:$F$130*(((Inputs!$G$5:$G$130="moeda")+(Inputs!$G$5:$G$130="acoes"))*Inputs!$B$1+((Inputs!$G$5:$G$130&lt;&gt;"moeda")*(Inputs!$G$5:$G$130&lt;&gt;"acoes")))*INDEX(Inputs!$K$5:$AJ$130,0,MATCH(AJ$2,Inputs!$K$4:$AJ$4,0)))))</f>
        <v>1495</v>
      </c>
      <c r="AK17" s="6">
        <f>IF(ISNA(MATCH(AK$2,Inputs!$K$4:$AJ$4,0)),NA(),IF(SUMPRODUCT((Inputs!$A$5:$A$130=$B17)*ISNUMBER(INDEX(Inputs!$K$5:$AJ$130,0,MATCH(AK$2,Inputs!$K$4:$AJ$4,0))))+SUMPRODUCT((Inputs!$C$5:$C$130=$B17)*ISNUMBER(INDEX(Inputs!$K$5:$AJ$130,0,MATCH(AK$2,Inputs!$K$4:$AJ$4,0))))+SUMPRODUCT((Inputs!$E$5:$E$130=$B17)*ISNUMBER(INDEX(Inputs!$K$5:$AJ$130,0,MATCH(AK$2,Inputs!$K$4:$AJ$4,0))))=0,NA(),SUMPRODUCT((Inputs!$A$5:$A$130=$B17)*Inputs!$B$5:$B$130*(((Inputs!$G$5:$G$130="moeda")+(Inputs!$G$5:$G$130="acoes"))*Inputs!$B$1+((Inputs!$G$5:$G$130&lt;&gt;"moeda")*(Inputs!$G$5:$G$130&lt;&gt;"acoes")))*INDEX(Inputs!$K$5:$AJ$130,0,MATCH(AK$2,Inputs!$K$4:$AJ$4,0)))+SUMPRODUCT((Inputs!$C$5:$C$130=$B17)*Inputs!$D$5:$D$130*(((Inputs!$G$5:$G$130="moeda")+(Inputs!$G$5:$G$130="acoes"))*Inputs!$B$1+((Inputs!$G$5:$G$130&lt;&gt;"moeda")*(Inputs!$G$5:$G$130&lt;&gt;"acoes")))*INDEX(Inputs!$K$5:$AJ$130,0,MATCH(AK$2,Inputs!$K$4:$AJ$4,0)))+SUMPRODUCT((Inputs!$E$5:$E$130=$B17)*Inputs!$F$5:$F$130*(((Inputs!$G$5:$G$130="moeda")+(Inputs!$G$5:$G$130="acoes"))*Inputs!$B$1+((Inputs!$G$5:$G$130&lt;&gt;"moeda")*(Inputs!$G$5:$G$130&lt;&gt;"acoes")))*INDEX(Inputs!$K$5:$AJ$130,0,MATCH(AK$2,Inputs!$K$4:$AJ$4,0)))))</f>
        <v>1826</v>
      </c>
      <c r="AL17" s="3">
        <f>AK17</f>
        <v>1826</v>
      </c>
    </row>
    <row r="18">
      <c r="B18" s="46" t="n">
        <v>14</v>
      </c>
      <c r="C18" s="26" t="inlineStr">
        <is>
          <t>Deferred income taxes</t>
        </is>
      </c>
      <c r="D18" s="6">
        <f>IF(ISNA(MATCH(D$2,Inputs!$K$4:$AJ$4,0)),NA(),IF(SUMPRODUCT((Inputs!$A$5:$A$130=$B18)*ISNUMBER(INDEX(Inputs!$K$5:$AJ$130,0,MATCH(D$2,Inputs!$K$4:$AJ$4,0))))+SUMPRODUCT((Inputs!$C$5:$C$130=$B18)*ISNUMBER(INDEX(Inputs!$K$5:$AJ$130,0,MATCH(D$2,Inputs!$K$4:$AJ$4,0))))+SUMPRODUCT((Inputs!$E$5:$E$130=$B18)*ISNUMBER(INDEX(Inputs!$K$5:$AJ$130,0,MATCH(D$2,Inputs!$K$4:$AJ$4,0))))=0,NA(),SUMPRODUCT((Inputs!$A$5:$A$130=$B18)*Inputs!$B$5:$B$130*(((Inputs!$G$5:$G$130="moeda")+(Inputs!$G$5:$G$130="acoes"))*Inputs!$B$1+((Inputs!$G$5:$G$130&lt;&gt;"moeda")*(Inputs!$G$5:$G$130&lt;&gt;"acoes")))*INDEX(Inputs!$K$5:$AJ$130,0,MATCH(D$2,Inputs!$K$4:$AJ$4,0)))+SUMPRODUCT((Inputs!$C$5:$C$130=$B18)*Inputs!$D$5:$D$130*(((Inputs!$G$5:$G$130="moeda")+(Inputs!$G$5:$G$130="acoes"))*Inputs!$B$1+((Inputs!$G$5:$G$130&lt;&gt;"moeda")*(Inputs!$G$5:$G$130&lt;&gt;"acoes")))*INDEX(Inputs!$K$5:$AJ$130,0,MATCH(D$2,Inputs!$K$4:$AJ$4,0)))+SUMPRODUCT((Inputs!$E$5:$E$130=$B18)*Inputs!$F$5:$F$130*(((Inputs!$G$5:$G$130="moeda")+(Inputs!$G$5:$G$130="acoes"))*Inputs!$B$1+((Inputs!$G$5:$G$130&lt;&gt;"moeda")*(Inputs!$G$5:$G$130&lt;&gt;"acoes")))*INDEX(Inputs!$K$5:$AJ$130,0,MATCH(D$2,Inputs!$K$4:$AJ$4,0)))))</f>
        <v>778</v>
      </c>
      <c r="E18" s="6">
        <f>IF(ISNA(MATCH(E$2,Inputs!$K$4:$AJ$4,0)),NA(),IF(SUMPRODUCT((Inputs!$A$5:$A$130=$B18)*ISNUMBER(INDEX(Inputs!$K$5:$AJ$130,0,MATCH(E$2,Inputs!$K$4:$AJ$4,0))))+SUMPRODUCT((Inputs!$C$5:$C$130=$B18)*ISNUMBER(INDEX(Inputs!$K$5:$AJ$130,0,MATCH(E$2,Inputs!$K$4:$AJ$4,0))))+SUMPRODUCT((Inputs!$E$5:$E$130=$B18)*ISNUMBER(INDEX(Inputs!$K$5:$AJ$130,0,MATCH(E$2,Inputs!$K$4:$AJ$4,0))))=0,NA(),SUMPRODUCT((Inputs!$A$5:$A$130=$B18)*Inputs!$B$5:$B$130*(((Inputs!$G$5:$G$130="moeda")+(Inputs!$G$5:$G$130="acoes"))*Inputs!$B$1+((Inputs!$G$5:$G$130&lt;&gt;"moeda")*(Inputs!$G$5:$G$130&lt;&gt;"acoes")))*INDEX(Inputs!$K$5:$AJ$130,0,MATCH(E$2,Inputs!$K$4:$AJ$4,0)))+SUMPRODUCT((Inputs!$C$5:$C$130=$B18)*Inputs!$D$5:$D$130*(((Inputs!$G$5:$G$130="moeda")+(Inputs!$G$5:$G$130="acoes"))*Inputs!$B$1+((Inputs!$G$5:$G$130&lt;&gt;"moeda")*(Inputs!$G$5:$G$130&lt;&gt;"acoes")))*INDEX(Inputs!$K$5:$AJ$130,0,MATCH(E$2,Inputs!$K$4:$AJ$4,0)))+SUMPRODUCT((Inputs!$E$5:$E$130=$B18)*Inputs!$F$5:$F$130*(((Inputs!$G$5:$G$130="moeda")+(Inputs!$G$5:$G$130="acoes"))*Inputs!$B$1+((Inputs!$G$5:$G$130&lt;&gt;"moeda")*(Inputs!$G$5:$G$130&lt;&gt;"acoes")))*INDEX(Inputs!$K$5:$AJ$130,0,MATCH(E$2,Inputs!$K$4:$AJ$4,0)))))</f>
        <v>958</v>
      </c>
      <c r="F18" s="6">
        <f>IF(ISNA(MATCH(F$2,Inputs!$K$4:$AJ$4,0)),NA(),IF(SUMPRODUCT((Inputs!$A$5:$A$130=$B18)*ISNUMBER(INDEX(Inputs!$K$5:$AJ$130,0,MATCH(F$2,Inputs!$K$4:$AJ$4,0))))+SUMPRODUCT((Inputs!$C$5:$C$130=$B18)*ISNUMBER(INDEX(Inputs!$K$5:$AJ$130,0,MATCH(F$2,Inputs!$K$4:$AJ$4,0))))+SUMPRODUCT((Inputs!$E$5:$E$130=$B18)*ISNUMBER(INDEX(Inputs!$K$5:$AJ$130,0,MATCH(F$2,Inputs!$K$4:$AJ$4,0))))=0,NA(),SUMPRODUCT((Inputs!$A$5:$A$130=$B18)*Inputs!$B$5:$B$130*(((Inputs!$G$5:$G$130="moeda")+(Inputs!$G$5:$G$130="acoes"))*Inputs!$B$1+((Inputs!$G$5:$G$130&lt;&gt;"moeda")*(Inputs!$G$5:$G$130&lt;&gt;"acoes")))*INDEX(Inputs!$K$5:$AJ$130,0,MATCH(F$2,Inputs!$K$4:$AJ$4,0)))+SUMPRODUCT((Inputs!$C$5:$C$130=$B18)*Inputs!$D$5:$D$130*(((Inputs!$G$5:$G$130="moeda")+(Inputs!$G$5:$G$130="acoes"))*Inputs!$B$1+((Inputs!$G$5:$G$130&lt;&gt;"moeda")*(Inputs!$G$5:$G$130&lt;&gt;"acoes")))*INDEX(Inputs!$K$5:$AJ$130,0,MATCH(F$2,Inputs!$K$4:$AJ$4,0)))+SUMPRODUCT((Inputs!$E$5:$E$130=$B18)*Inputs!$F$5:$F$130*(((Inputs!$G$5:$G$130="moeda")+(Inputs!$G$5:$G$130="acoes"))*Inputs!$B$1+((Inputs!$G$5:$G$130&lt;&gt;"moeda")*(Inputs!$G$5:$G$130&lt;&gt;"acoes")))*INDEX(Inputs!$K$5:$AJ$130,0,MATCH(F$2,Inputs!$K$4:$AJ$4,0)))))</f>
        <v>970</v>
      </c>
      <c r="G18" s="6">
        <f>IF(ISNA(MATCH(G$2,Inputs!$K$4:$AJ$4,0)),NA(),IF(SUMPRODUCT((Inputs!$A$5:$A$130=$B18)*ISNUMBER(INDEX(Inputs!$K$5:$AJ$130,0,MATCH(G$2,Inputs!$K$4:$AJ$4,0))))+SUMPRODUCT((Inputs!$C$5:$C$130=$B18)*ISNUMBER(INDEX(Inputs!$K$5:$AJ$130,0,MATCH(G$2,Inputs!$K$4:$AJ$4,0))))+SUMPRODUCT((Inputs!$E$5:$E$130=$B18)*ISNUMBER(INDEX(Inputs!$K$5:$AJ$130,0,MATCH(G$2,Inputs!$K$4:$AJ$4,0))))=0,NA(),SUMPRODUCT((Inputs!$A$5:$A$130=$B18)*Inputs!$B$5:$B$130*(((Inputs!$G$5:$G$130="moeda")+(Inputs!$G$5:$G$130="acoes"))*Inputs!$B$1+((Inputs!$G$5:$G$130&lt;&gt;"moeda")*(Inputs!$G$5:$G$130&lt;&gt;"acoes")))*INDEX(Inputs!$K$5:$AJ$130,0,MATCH(G$2,Inputs!$K$4:$AJ$4,0)))+SUMPRODUCT((Inputs!$C$5:$C$130=$B18)*Inputs!$D$5:$D$130*(((Inputs!$G$5:$G$130="moeda")+(Inputs!$G$5:$G$130="acoes"))*Inputs!$B$1+((Inputs!$G$5:$G$130&lt;&gt;"moeda")*(Inputs!$G$5:$G$130&lt;&gt;"acoes")))*INDEX(Inputs!$K$5:$AJ$130,0,MATCH(G$2,Inputs!$K$4:$AJ$4,0)))+SUMPRODUCT((Inputs!$E$5:$E$130=$B18)*Inputs!$F$5:$F$130*(((Inputs!$G$5:$G$130="moeda")+(Inputs!$G$5:$G$130="acoes"))*Inputs!$B$1+((Inputs!$G$5:$G$130&lt;&gt;"moeda")*(Inputs!$G$5:$G$130&lt;&gt;"acoes")))*INDEX(Inputs!$K$5:$AJ$130,0,MATCH(G$2,Inputs!$K$4:$AJ$4,0)))))</f>
        <v>1222</v>
      </c>
      <c r="H18" s="3">
        <f>G18</f>
        <v>1222</v>
      </c>
      <c r="I18" s="6">
        <f>IF(ISNA(MATCH(I$2,Inputs!$K$4:$AJ$4,0)),NA(),IF(SUMPRODUCT((Inputs!$A$5:$A$130=$B18)*ISNUMBER(INDEX(Inputs!$K$5:$AJ$130,0,MATCH(I$2,Inputs!$K$4:$AJ$4,0))))+SUMPRODUCT((Inputs!$C$5:$C$130=$B18)*ISNUMBER(INDEX(Inputs!$K$5:$AJ$130,0,MATCH(I$2,Inputs!$K$4:$AJ$4,0))))+SUMPRODUCT((Inputs!$E$5:$E$130=$B18)*ISNUMBER(INDEX(Inputs!$K$5:$AJ$130,0,MATCH(I$2,Inputs!$K$4:$AJ$4,0))))=0,NA(),SUMPRODUCT((Inputs!$A$5:$A$130=$B18)*Inputs!$B$5:$B$130*(((Inputs!$G$5:$G$130="moeda")+(Inputs!$G$5:$G$130="acoes"))*Inputs!$B$1+((Inputs!$G$5:$G$130&lt;&gt;"moeda")*(Inputs!$G$5:$G$130&lt;&gt;"acoes")))*INDEX(Inputs!$K$5:$AJ$130,0,MATCH(I$2,Inputs!$K$4:$AJ$4,0)))+SUMPRODUCT((Inputs!$C$5:$C$130=$B18)*Inputs!$D$5:$D$130*(((Inputs!$G$5:$G$130="moeda")+(Inputs!$G$5:$G$130="acoes"))*Inputs!$B$1+((Inputs!$G$5:$G$130&lt;&gt;"moeda")*(Inputs!$G$5:$G$130&lt;&gt;"acoes")))*INDEX(Inputs!$K$5:$AJ$130,0,MATCH(I$2,Inputs!$K$4:$AJ$4,0)))+SUMPRODUCT((Inputs!$E$5:$E$130=$B18)*Inputs!$F$5:$F$130*(((Inputs!$G$5:$G$130="moeda")+(Inputs!$G$5:$G$130="acoes"))*Inputs!$B$1+((Inputs!$G$5:$G$130&lt;&gt;"moeda")*(Inputs!$G$5:$G$130&lt;&gt;"acoes")))*INDEX(Inputs!$K$5:$AJ$130,0,MATCH(I$2,Inputs!$K$4:$AJ$4,0)))))</f>
        <v>1784</v>
      </c>
      <c r="J18" s="6">
        <f>IF(ISNA(MATCH(J$2,Inputs!$K$4:$AJ$4,0)),NA(),IF(SUMPRODUCT((Inputs!$A$5:$A$130=$B18)*ISNUMBER(INDEX(Inputs!$K$5:$AJ$130,0,MATCH(J$2,Inputs!$K$4:$AJ$4,0))))+SUMPRODUCT((Inputs!$C$5:$C$130=$B18)*ISNUMBER(INDEX(Inputs!$K$5:$AJ$130,0,MATCH(J$2,Inputs!$K$4:$AJ$4,0))))+SUMPRODUCT((Inputs!$E$5:$E$130=$B18)*ISNUMBER(INDEX(Inputs!$K$5:$AJ$130,0,MATCH(J$2,Inputs!$K$4:$AJ$4,0))))=0,NA(),SUMPRODUCT((Inputs!$A$5:$A$130=$B18)*Inputs!$B$5:$B$130*(((Inputs!$G$5:$G$130="moeda")+(Inputs!$G$5:$G$130="acoes"))*Inputs!$B$1+((Inputs!$G$5:$G$130&lt;&gt;"moeda")*(Inputs!$G$5:$G$130&lt;&gt;"acoes")))*INDEX(Inputs!$K$5:$AJ$130,0,MATCH(J$2,Inputs!$K$4:$AJ$4,0)))+SUMPRODUCT((Inputs!$C$5:$C$130=$B18)*Inputs!$D$5:$D$130*(((Inputs!$G$5:$G$130="moeda")+(Inputs!$G$5:$G$130="acoes"))*Inputs!$B$1+((Inputs!$G$5:$G$130&lt;&gt;"moeda")*(Inputs!$G$5:$G$130&lt;&gt;"acoes")))*INDEX(Inputs!$K$5:$AJ$130,0,MATCH(J$2,Inputs!$K$4:$AJ$4,0)))+SUMPRODUCT((Inputs!$E$5:$E$130=$B18)*Inputs!$F$5:$F$130*(((Inputs!$G$5:$G$130="moeda")+(Inputs!$G$5:$G$130="acoes"))*Inputs!$B$1+((Inputs!$G$5:$G$130&lt;&gt;"moeda")*(Inputs!$G$5:$G$130&lt;&gt;"acoes")))*INDEX(Inputs!$K$5:$AJ$130,0,MATCH(J$2,Inputs!$K$4:$AJ$4,0)))))</f>
        <v>2225</v>
      </c>
      <c r="K18" s="6">
        <f>IF(ISNA(MATCH(K$2,Inputs!$K$4:$AJ$4,0)),NA(),IF(SUMPRODUCT((Inputs!$A$5:$A$130=$B18)*ISNUMBER(INDEX(Inputs!$K$5:$AJ$130,0,MATCH(K$2,Inputs!$K$4:$AJ$4,0))))+SUMPRODUCT((Inputs!$C$5:$C$130=$B18)*ISNUMBER(INDEX(Inputs!$K$5:$AJ$130,0,MATCH(K$2,Inputs!$K$4:$AJ$4,0))))+SUMPRODUCT((Inputs!$E$5:$E$130=$B18)*ISNUMBER(INDEX(Inputs!$K$5:$AJ$130,0,MATCH(K$2,Inputs!$K$4:$AJ$4,0))))=0,NA(),SUMPRODUCT((Inputs!$A$5:$A$130=$B18)*Inputs!$B$5:$B$130*(((Inputs!$G$5:$G$130="moeda")+(Inputs!$G$5:$G$130="acoes"))*Inputs!$B$1+((Inputs!$G$5:$G$130&lt;&gt;"moeda")*(Inputs!$G$5:$G$130&lt;&gt;"acoes")))*INDEX(Inputs!$K$5:$AJ$130,0,MATCH(K$2,Inputs!$K$4:$AJ$4,0)))+SUMPRODUCT((Inputs!$C$5:$C$130=$B18)*Inputs!$D$5:$D$130*(((Inputs!$G$5:$G$130="moeda")+(Inputs!$G$5:$G$130="acoes"))*Inputs!$B$1+((Inputs!$G$5:$G$130&lt;&gt;"moeda")*(Inputs!$G$5:$G$130&lt;&gt;"acoes")))*INDEX(Inputs!$K$5:$AJ$130,0,MATCH(K$2,Inputs!$K$4:$AJ$4,0)))+SUMPRODUCT((Inputs!$E$5:$E$130=$B18)*Inputs!$F$5:$F$130*(((Inputs!$G$5:$G$130="moeda")+(Inputs!$G$5:$G$130="acoes"))*Inputs!$B$1+((Inputs!$G$5:$G$130&lt;&gt;"moeda")*(Inputs!$G$5:$G$130&lt;&gt;"acoes")))*INDEX(Inputs!$K$5:$AJ$130,0,MATCH(K$2,Inputs!$K$4:$AJ$4,0)))))</f>
        <v>2762</v>
      </c>
      <c r="L18" s="6">
        <f>IF(ISNA(MATCH(L$2,Inputs!$K$4:$AJ$4,0)),NA(),IF(SUMPRODUCT((Inputs!$A$5:$A$130=$B18)*ISNUMBER(INDEX(Inputs!$K$5:$AJ$130,0,MATCH(L$2,Inputs!$K$4:$AJ$4,0))))+SUMPRODUCT((Inputs!$C$5:$C$130=$B18)*ISNUMBER(INDEX(Inputs!$K$5:$AJ$130,0,MATCH(L$2,Inputs!$K$4:$AJ$4,0))))+SUMPRODUCT((Inputs!$E$5:$E$130=$B18)*ISNUMBER(INDEX(Inputs!$K$5:$AJ$130,0,MATCH(L$2,Inputs!$K$4:$AJ$4,0))))=0,NA(),SUMPRODUCT((Inputs!$A$5:$A$130=$B18)*Inputs!$B$5:$B$130*(((Inputs!$G$5:$G$130="moeda")+(Inputs!$G$5:$G$130="acoes"))*Inputs!$B$1+((Inputs!$G$5:$G$130&lt;&gt;"moeda")*(Inputs!$G$5:$G$130&lt;&gt;"acoes")))*INDEX(Inputs!$K$5:$AJ$130,0,MATCH(L$2,Inputs!$K$4:$AJ$4,0)))+SUMPRODUCT((Inputs!$C$5:$C$130=$B18)*Inputs!$D$5:$D$130*(((Inputs!$G$5:$G$130="moeda")+(Inputs!$G$5:$G$130="acoes"))*Inputs!$B$1+((Inputs!$G$5:$G$130&lt;&gt;"moeda")*(Inputs!$G$5:$G$130&lt;&gt;"acoes")))*INDEX(Inputs!$K$5:$AJ$130,0,MATCH(L$2,Inputs!$K$4:$AJ$4,0)))+SUMPRODUCT((Inputs!$E$5:$E$130=$B18)*Inputs!$F$5:$F$130*(((Inputs!$G$5:$G$130="moeda")+(Inputs!$G$5:$G$130="acoes"))*Inputs!$B$1+((Inputs!$G$5:$G$130&lt;&gt;"moeda")*(Inputs!$G$5:$G$130&lt;&gt;"acoes")))*INDEX(Inputs!$K$5:$AJ$130,0,MATCH(L$2,Inputs!$K$4:$AJ$4,0)))))</f>
        <v>3396</v>
      </c>
      <c r="M18" s="3">
        <f>L18</f>
        <v>3396</v>
      </c>
      <c r="N18" s="6">
        <f>IF(ISNA(MATCH(N$2,Inputs!$K$4:$AJ$4,0)),NA(),IF(SUMPRODUCT((Inputs!$A$5:$A$130=$B18)*ISNUMBER(INDEX(Inputs!$K$5:$AJ$130,0,MATCH(N$2,Inputs!$K$4:$AJ$4,0))))+SUMPRODUCT((Inputs!$C$5:$C$130=$B18)*ISNUMBER(INDEX(Inputs!$K$5:$AJ$130,0,MATCH(N$2,Inputs!$K$4:$AJ$4,0))))+SUMPRODUCT((Inputs!$E$5:$E$130=$B18)*ISNUMBER(INDEX(Inputs!$K$5:$AJ$130,0,MATCH(N$2,Inputs!$K$4:$AJ$4,0))))=0,NA(),SUMPRODUCT((Inputs!$A$5:$A$130=$B18)*Inputs!$B$5:$B$130*(((Inputs!$G$5:$G$130="moeda")+(Inputs!$G$5:$G$130="acoes"))*Inputs!$B$1+((Inputs!$G$5:$G$130&lt;&gt;"moeda")*(Inputs!$G$5:$G$130&lt;&gt;"acoes")))*INDEX(Inputs!$K$5:$AJ$130,0,MATCH(N$2,Inputs!$K$4:$AJ$4,0)))+SUMPRODUCT((Inputs!$C$5:$C$130=$B18)*Inputs!$D$5:$D$130*(((Inputs!$G$5:$G$130="moeda")+(Inputs!$G$5:$G$130="acoes"))*Inputs!$B$1+((Inputs!$G$5:$G$130&lt;&gt;"moeda")*(Inputs!$G$5:$G$130&lt;&gt;"acoes")))*INDEX(Inputs!$K$5:$AJ$130,0,MATCH(N$2,Inputs!$K$4:$AJ$4,0)))+SUMPRODUCT((Inputs!$E$5:$E$130=$B18)*Inputs!$F$5:$F$130*(((Inputs!$G$5:$G$130="moeda")+(Inputs!$G$5:$G$130="acoes"))*Inputs!$B$1+((Inputs!$G$5:$G$130&lt;&gt;"moeda")*(Inputs!$G$5:$G$130&lt;&gt;"acoes")))*INDEX(Inputs!$K$5:$AJ$130,0,MATCH(N$2,Inputs!$K$4:$AJ$4,0)))))</f>
        <v>4568</v>
      </c>
      <c r="O18" s="6">
        <f>IF(ISNA(MATCH(O$2,Inputs!$K$4:$AJ$4,0)),NA(),IF(SUMPRODUCT((Inputs!$A$5:$A$130=$B18)*ISNUMBER(INDEX(Inputs!$K$5:$AJ$130,0,MATCH(O$2,Inputs!$K$4:$AJ$4,0))))+SUMPRODUCT((Inputs!$C$5:$C$130=$B18)*ISNUMBER(INDEX(Inputs!$K$5:$AJ$130,0,MATCH(O$2,Inputs!$K$4:$AJ$4,0))))+SUMPRODUCT((Inputs!$E$5:$E$130=$B18)*ISNUMBER(INDEX(Inputs!$K$5:$AJ$130,0,MATCH(O$2,Inputs!$K$4:$AJ$4,0))))=0,NA(),SUMPRODUCT((Inputs!$A$5:$A$130=$B18)*Inputs!$B$5:$B$130*(((Inputs!$G$5:$G$130="moeda")+(Inputs!$G$5:$G$130="acoes"))*Inputs!$B$1+((Inputs!$G$5:$G$130&lt;&gt;"moeda")*(Inputs!$G$5:$G$130&lt;&gt;"acoes")))*INDEX(Inputs!$K$5:$AJ$130,0,MATCH(O$2,Inputs!$K$4:$AJ$4,0)))+SUMPRODUCT((Inputs!$C$5:$C$130=$B18)*Inputs!$D$5:$D$130*(((Inputs!$G$5:$G$130="moeda")+(Inputs!$G$5:$G$130="acoes"))*Inputs!$B$1+((Inputs!$G$5:$G$130&lt;&gt;"moeda")*(Inputs!$G$5:$G$130&lt;&gt;"acoes")))*INDEX(Inputs!$K$5:$AJ$130,0,MATCH(O$2,Inputs!$K$4:$AJ$4,0)))+SUMPRODUCT((Inputs!$E$5:$E$130=$B18)*Inputs!$F$5:$F$130*(((Inputs!$G$5:$G$130="moeda")+(Inputs!$G$5:$G$130="acoes"))*Inputs!$B$1+((Inputs!$G$5:$G$130&lt;&gt;"moeda")*(Inputs!$G$5:$G$130&lt;&gt;"acoes")))*INDEX(Inputs!$K$5:$AJ$130,0,MATCH(O$2,Inputs!$K$4:$AJ$4,0)))))</f>
        <v>5398</v>
      </c>
      <c r="P18" s="6">
        <f>IF(ISNA(MATCH(P$2,Inputs!$K$4:$AJ$4,0)),NA(),IF(SUMPRODUCT((Inputs!$A$5:$A$130=$B18)*ISNUMBER(INDEX(Inputs!$K$5:$AJ$130,0,MATCH(P$2,Inputs!$K$4:$AJ$4,0))))+SUMPRODUCT((Inputs!$C$5:$C$130=$B18)*ISNUMBER(INDEX(Inputs!$K$5:$AJ$130,0,MATCH(P$2,Inputs!$K$4:$AJ$4,0))))+SUMPRODUCT((Inputs!$E$5:$E$130=$B18)*ISNUMBER(INDEX(Inputs!$K$5:$AJ$130,0,MATCH(P$2,Inputs!$K$4:$AJ$4,0))))=0,NA(),SUMPRODUCT((Inputs!$A$5:$A$130=$B18)*Inputs!$B$5:$B$130*(((Inputs!$G$5:$G$130="moeda")+(Inputs!$G$5:$G$130="acoes"))*Inputs!$B$1+((Inputs!$G$5:$G$130&lt;&gt;"moeda")*(Inputs!$G$5:$G$130&lt;&gt;"acoes")))*INDEX(Inputs!$K$5:$AJ$130,0,MATCH(P$2,Inputs!$K$4:$AJ$4,0)))+SUMPRODUCT((Inputs!$C$5:$C$130=$B18)*Inputs!$D$5:$D$130*(((Inputs!$G$5:$G$130="moeda")+(Inputs!$G$5:$G$130="acoes"))*Inputs!$B$1+((Inputs!$G$5:$G$130&lt;&gt;"moeda")*(Inputs!$G$5:$G$130&lt;&gt;"acoes")))*INDEX(Inputs!$K$5:$AJ$130,0,MATCH(P$2,Inputs!$K$4:$AJ$4,0)))+SUMPRODUCT((Inputs!$E$5:$E$130=$B18)*Inputs!$F$5:$F$130*(((Inputs!$G$5:$G$130="moeda")+(Inputs!$G$5:$G$130="acoes"))*Inputs!$B$1+((Inputs!$G$5:$G$130&lt;&gt;"moeda")*(Inputs!$G$5:$G$130&lt;&gt;"acoes")))*INDEX(Inputs!$K$5:$AJ$130,0,MATCH(P$2,Inputs!$K$4:$AJ$4,0)))))</f>
        <v>5982</v>
      </c>
      <c r="Q18" s="6">
        <f>IF(ISNA(MATCH(Q$2,Inputs!$K$4:$AJ$4,0)),NA(),IF(SUMPRODUCT((Inputs!$A$5:$A$130=$B18)*ISNUMBER(INDEX(Inputs!$K$5:$AJ$130,0,MATCH(Q$2,Inputs!$K$4:$AJ$4,0))))+SUMPRODUCT((Inputs!$C$5:$C$130=$B18)*ISNUMBER(INDEX(Inputs!$K$5:$AJ$130,0,MATCH(Q$2,Inputs!$K$4:$AJ$4,0))))+SUMPRODUCT((Inputs!$E$5:$E$130=$B18)*ISNUMBER(INDEX(Inputs!$K$5:$AJ$130,0,MATCH(Q$2,Inputs!$K$4:$AJ$4,0))))=0,NA(),SUMPRODUCT((Inputs!$A$5:$A$130=$B18)*Inputs!$B$5:$B$130*(((Inputs!$G$5:$G$130="moeda")+(Inputs!$G$5:$G$130="acoes"))*Inputs!$B$1+((Inputs!$G$5:$G$130&lt;&gt;"moeda")*(Inputs!$G$5:$G$130&lt;&gt;"acoes")))*INDEX(Inputs!$K$5:$AJ$130,0,MATCH(Q$2,Inputs!$K$4:$AJ$4,0)))+SUMPRODUCT((Inputs!$C$5:$C$130=$B18)*Inputs!$D$5:$D$130*(((Inputs!$G$5:$G$130="moeda")+(Inputs!$G$5:$G$130="acoes"))*Inputs!$B$1+((Inputs!$G$5:$G$130&lt;&gt;"moeda")*(Inputs!$G$5:$G$130&lt;&gt;"acoes")))*INDEX(Inputs!$K$5:$AJ$130,0,MATCH(Q$2,Inputs!$K$4:$AJ$4,0)))+SUMPRODUCT((Inputs!$E$5:$E$130=$B18)*Inputs!$F$5:$F$130*(((Inputs!$G$5:$G$130="moeda")+(Inputs!$G$5:$G$130="acoes"))*Inputs!$B$1+((Inputs!$G$5:$G$130&lt;&gt;"moeda")*(Inputs!$G$5:$G$130&lt;&gt;"acoes")))*INDEX(Inputs!$K$5:$AJ$130,0,MATCH(Q$2,Inputs!$K$4:$AJ$4,0)))))</f>
        <v>6081</v>
      </c>
      <c r="R18" s="3">
        <f>Q18</f>
        <v>6081</v>
      </c>
      <c r="S18" s="6">
        <f>IF(ISNA(MATCH(S$2,Inputs!$K$4:$AJ$4,0)),NA(),IF(SUMPRODUCT((Inputs!$A$5:$A$130=$B18)*ISNUMBER(INDEX(Inputs!$K$5:$AJ$130,0,MATCH(S$2,Inputs!$K$4:$AJ$4,0))))+SUMPRODUCT((Inputs!$C$5:$C$130=$B18)*ISNUMBER(INDEX(Inputs!$K$5:$AJ$130,0,MATCH(S$2,Inputs!$K$4:$AJ$4,0))))+SUMPRODUCT((Inputs!$E$5:$E$130=$B18)*ISNUMBER(INDEX(Inputs!$K$5:$AJ$130,0,MATCH(S$2,Inputs!$K$4:$AJ$4,0))))=0,NA(),SUMPRODUCT((Inputs!$A$5:$A$130=$B18)*Inputs!$B$5:$B$130*(((Inputs!$G$5:$G$130="moeda")+(Inputs!$G$5:$G$130="acoes"))*Inputs!$B$1+((Inputs!$G$5:$G$130&lt;&gt;"moeda")*(Inputs!$G$5:$G$130&lt;&gt;"acoes")))*INDEX(Inputs!$K$5:$AJ$130,0,MATCH(S$2,Inputs!$K$4:$AJ$4,0)))+SUMPRODUCT((Inputs!$C$5:$C$130=$B18)*Inputs!$D$5:$D$130*(((Inputs!$G$5:$G$130="moeda")+(Inputs!$G$5:$G$130="acoes"))*Inputs!$B$1+((Inputs!$G$5:$G$130&lt;&gt;"moeda")*(Inputs!$G$5:$G$130&lt;&gt;"acoes")))*INDEX(Inputs!$K$5:$AJ$130,0,MATCH(S$2,Inputs!$K$4:$AJ$4,0)))+SUMPRODUCT((Inputs!$E$5:$E$130=$B18)*Inputs!$F$5:$F$130*(((Inputs!$G$5:$G$130="moeda")+(Inputs!$G$5:$G$130="acoes"))*Inputs!$B$1+((Inputs!$G$5:$G$130&lt;&gt;"moeda")*(Inputs!$G$5:$G$130&lt;&gt;"acoes")))*INDEX(Inputs!$K$5:$AJ$130,0,MATCH(S$2,Inputs!$K$4:$AJ$4,0)))))</f>
        <v>7798</v>
      </c>
      <c r="T18" s="6">
        <f>IF(ISNA(MATCH(T$2,Inputs!$K$4:$AJ$4,0)),NA(),IF(SUMPRODUCT((Inputs!$A$5:$A$130=$B18)*ISNUMBER(INDEX(Inputs!$K$5:$AJ$130,0,MATCH(T$2,Inputs!$K$4:$AJ$4,0))))+SUMPRODUCT((Inputs!$C$5:$C$130=$B18)*ISNUMBER(INDEX(Inputs!$K$5:$AJ$130,0,MATCH(T$2,Inputs!$K$4:$AJ$4,0))))+SUMPRODUCT((Inputs!$E$5:$E$130=$B18)*ISNUMBER(INDEX(Inputs!$K$5:$AJ$130,0,MATCH(T$2,Inputs!$K$4:$AJ$4,0))))=0,NA(),SUMPRODUCT((Inputs!$A$5:$A$130=$B18)*Inputs!$B$5:$B$130*(((Inputs!$G$5:$G$130="moeda")+(Inputs!$G$5:$G$130="acoes"))*Inputs!$B$1+((Inputs!$G$5:$G$130&lt;&gt;"moeda")*(Inputs!$G$5:$G$130&lt;&gt;"acoes")))*INDEX(Inputs!$K$5:$AJ$130,0,MATCH(T$2,Inputs!$K$4:$AJ$4,0)))+SUMPRODUCT((Inputs!$C$5:$C$130=$B18)*Inputs!$D$5:$D$130*(((Inputs!$G$5:$G$130="moeda")+(Inputs!$G$5:$G$130="acoes"))*Inputs!$B$1+((Inputs!$G$5:$G$130&lt;&gt;"moeda")*(Inputs!$G$5:$G$130&lt;&gt;"acoes")))*INDEX(Inputs!$K$5:$AJ$130,0,MATCH(T$2,Inputs!$K$4:$AJ$4,0)))+SUMPRODUCT((Inputs!$E$5:$E$130=$B18)*Inputs!$F$5:$F$130*(((Inputs!$G$5:$G$130="moeda")+(Inputs!$G$5:$G$130="acoes"))*Inputs!$B$1+((Inputs!$G$5:$G$130&lt;&gt;"moeda")*(Inputs!$G$5:$G$130&lt;&gt;"acoes")))*INDEX(Inputs!$K$5:$AJ$130,0,MATCH(T$2,Inputs!$K$4:$AJ$4,0)))))</f>
        <v>9578</v>
      </c>
      <c r="U18" s="6">
        <f>IF(ISNA(MATCH(U$2,Inputs!$K$4:$AJ$4,0)),NA(),IF(SUMPRODUCT((Inputs!$A$5:$A$130=$B18)*ISNUMBER(INDEX(Inputs!$K$5:$AJ$130,0,MATCH(U$2,Inputs!$K$4:$AJ$4,0))))+SUMPRODUCT((Inputs!$C$5:$C$130=$B18)*ISNUMBER(INDEX(Inputs!$K$5:$AJ$130,0,MATCH(U$2,Inputs!$K$4:$AJ$4,0))))+SUMPRODUCT((Inputs!$E$5:$E$130=$B18)*ISNUMBER(INDEX(Inputs!$K$5:$AJ$130,0,MATCH(U$2,Inputs!$K$4:$AJ$4,0))))=0,NA(),SUMPRODUCT((Inputs!$A$5:$A$130=$B18)*Inputs!$B$5:$B$130*(((Inputs!$G$5:$G$130="moeda")+(Inputs!$G$5:$G$130="acoes"))*Inputs!$B$1+((Inputs!$G$5:$G$130&lt;&gt;"moeda")*(Inputs!$G$5:$G$130&lt;&gt;"acoes")))*INDEX(Inputs!$K$5:$AJ$130,0,MATCH(U$2,Inputs!$K$4:$AJ$4,0)))+SUMPRODUCT((Inputs!$C$5:$C$130=$B18)*Inputs!$D$5:$D$130*(((Inputs!$G$5:$G$130="moeda")+(Inputs!$G$5:$G$130="acoes"))*Inputs!$B$1+((Inputs!$G$5:$G$130&lt;&gt;"moeda")*(Inputs!$G$5:$G$130&lt;&gt;"acoes")))*INDEX(Inputs!$K$5:$AJ$130,0,MATCH(U$2,Inputs!$K$4:$AJ$4,0)))+SUMPRODUCT((Inputs!$E$5:$E$130=$B18)*Inputs!$F$5:$F$130*(((Inputs!$G$5:$G$130="moeda")+(Inputs!$G$5:$G$130="acoes"))*Inputs!$B$1+((Inputs!$G$5:$G$130&lt;&gt;"moeda")*(Inputs!$G$5:$G$130&lt;&gt;"acoes")))*INDEX(Inputs!$K$5:$AJ$130,0,MATCH(U$2,Inputs!$K$4:$AJ$4,0)))))</f>
        <v>10276</v>
      </c>
      <c r="V18" s="6">
        <f>IF(ISNA(MATCH(V$2,Inputs!$K$4:$AJ$4,0)),NA(),IF(SUMPRODUCT((Inputs!$A$5:$A$130=$B18)*ISNUMBER(INDEX(Inputs!$K$5:$AJ$130,0,MATCH(V$2,Inputs!$K$4:$AJ$4,0))))+SUMPRODUCT((Inputs!$C$5:$C$130=$B18)*ISNUMBER(INDEX(Inputs!$K$5:$AJ$130,0,MATCH(V$2,Inputs!$K$4:$AJ$4,0))))+SUMPRODUCT((Inputs!$E$5:$E$130=$B18)*ISNUMBER(INDEX(Inputs!$K$5:$AJ$130,0,MATCH(V$2,Inputs!$K$4:$AJ$4,0))))=0,NA(),SUMPRODUCT((Inputs!$A$5:$A$130=$B18)*Inputs!$B$5:$B$130*(((Inputs!$G$5:$G$130="moeda")+(Inputs!$G$5:$G$130="acoes"))*Inputs!$B$1+((Inputs!$G$5:$G$130&lt;&gt;"moeda")*(Inputs!$G$5:$G$130&lt;&gt;"acoes")))*INDEX(Inputs!$K$5:$AJ$130,0,MATCH(V$2,Inputs!$K$4:$AJ$4,0)))+SUMPRODUCT((Inputs!$C$5:$C$130=$B18)*Inputs!$D$5:$D$130*(((Inputs!$G$5:$G$130="moeda")+(Inputs!$G$5:$G$130="acoes"))*Inputs!$B$1+((Inputs!$G$5:$G$130&lt;&gt;"moeda")*(Inputs!$G$5:$G$130&lt;&gt;"acoes")))*INDEX(Inputs!$K$5:$AJ$130,0,MATCH(V$2,Inputs!$K$4:$AJ$4,0)))+SUMPRODUCT((Inputs!$E$5:$E$130=$B18)*Inputs!$F$5:$F$130*(((Inputs!$G$5:$G$130="moeda")+(Inputs!$G$5:$G$130="acoes"))*Inputs!$B$1+((Inputs!$G$5:$G$130&lt;&gt;"moeda")*(Inputs!$G$5:$G$130&lt;&gt;"acoes")))*INDEX(Inputs!$K$5:$AJ$130,0,MATCH(V$2,Inputs!$K$4:$AJ$4,0)))))</f>
        <v>10979</v>
      </c>
      <c r="W18" s="3">
        <f>V18</f>
        <v>10979</v>
      </c>
      <c r="X18" s="6">
        <f>IF(ISNA(MATCH(X$2,Inputs!$K$4:$AJ$4,0)),NA(),IF(SUMPRODUCT((Inputs!$A$5:$A$130=$B18)*ISNUMBER(INDEX(Inputs!$K$5:$AJ$130,0,MATCH(X$2,Inputs!$K$4:$AJ$4,0))))+SUMPRODUCT((Inputs!$C$5:$C$130=$B18)*ISNUMBER(INDEX(Inputs!$K$5:$AJ$130,0,MATCH(X$2,Inputs!$K$4:$AJ$4,0))))+SUMPRODUCT((Inputs!$E$5:$E$130=$B18)*ISNUMBER(INDEX(Inputs!$K$5:$AJ$130,0,MATCH(X$2,Inputs!$K$4:$AJ$4,0))))=0,NA(),SUMPRODUCT((Inputs!$A$5:$A$130=$B18)*Inputs!$B$5:$B$130*(((Inputs!$G$5:$G$130="moeda")+(Inputs!$G$5:$G$130="acoes"))*Inputs!$B$1+((Inputs!$G$5:$G$130&lt;&gt;"moeda")*(Inputs!$G$5:$G$130&lt;&gt;"acoes")))*INDEX(Inputs!$K$5:$AJ$130,0,MATCH(X$2,Inputs!$K$4:$AJ$4,0)))+SUMPRODUCT((Inputs!$C$5:$C$130=$B18)*Inputs!$D$5:$D$130*(((Inputs!$G$5:$G$130="moeda")+(Inputs!$G$5:$G$130="acoes"))*Inputs!$B$1+((Inputs!$G$5:$G$130&lt;&gt;"moeda")*(Inputs!$G$5:$G$130&lt;&gt;"acoes")))*INDEX(Inputs!$K$5:$AJ$130,0,MATCH(X$2,Inputs!$K$4:$AJ$4,0)))+SUMPRODUCT((Inputs!$E$5:$E$130=$B18)*Inputs!$F$5:$F$130*(((Inputs!$G$5:$G$130="moeda")+(Inputs!$G$5:$G$130="acoes"))*Inputs!$B$1+((Inputs!$G$5:$G$130&lt;&gt;"moeda")*(Inputs!$G$5:$G$130&lt;&gt;"acoes")))*INDEX(Inputs!$K$5:$AJ$130,0,MATCH(X$2,Inputs!$K$4:$AJ$4,0)))))</f>
        <v>13318</v>
      </c>
      <c r="Y18" s="6">
        <f>IF(ISNA(MATCH(Y$2,Inputs!$K$4:$AJ$4,0)),NA(),IF(SUMPRODUCT((Inputs!$A$5:$A$130=$B18)*ISNUMBER(INDEX(Inputs!$K$5:$AJ$130,0,MATCH(Y$2,Inputs!$K$4:$AJ$4,0))))+SUMPRODUCT((Inputs!$C$5:$C$130=$B18)*ISNUMBER(INDEX(Inputs!$K$5:$AJ$130,0,MATCH(Y$2,Inputs!$K$4:$AJ$4,0))))+SUMPRODUCT((Inputs!$E$5:$E$130=$B18)*ISNUMBER(INDEX(Inputs!$K$5:$AJ$130,0,MATCH(Y$2,Inputs!$K$4:$AJ$4,0))))=0,NA(),SUMPRODUCT((Inputs!$A$5:$A$130=$B18)*Inputs!$B$5:$B$130*(((Inputs!$G$5:$G$130="moeda")+(Inputs!$G$5:$G$130="acoes"))*Inputs!$B$1+((Inputs!$G$5:$G$130&lt;&gt;"moeda")*(Inputs!$G$5:$G$130&lt;&gt;"acoes")))*INDEX(Inputs!$K$5:$AJ$130,0,MATCH(Y$2,Inputs!$K$4:$AJ$4,0)))+SUMPRODUCT((Inputs!$C$5:$C$130=$B18)*Inputs!$D$5:$D$130*(((Inputs!$G$5:$G$130="moeda")+(Inputs!$G$5:$G$130="acoes"))*Inputs!$B$1+((Inputs!$G$5:$G$130&lt;&gt;"moeda")*(Inputs!$G$5:$G$130&lt;&gt;"acoes")))*INDEX(Inputs!$K$5:$AJ$130,0,MATCH(Y$2,Inputs!$K$4:$AJ$4,0)))+SUMPRODUCT((Inputs!$E$5:$E$130=$B18)*Inputs!$F$5:$F$130*(((Inputs!$G$5:$G$130="moeda")+(Inputs!$G$5:$G$130="acoes"))*Inputs!$B$1+((Inputs!$G$5:$G$130&lt;&gt;"moeda")*(Inputs!$G$5:$G$130&lt;&gt;"acoes")))*INDEX(Inputs!$K$5:$AJ$130,0,MATCH(Y$2,Inputs!$K$4:$AJ$4,0)))))</f>
        <v>13570</v>
      </c>
      <c r="Z18" s="6">
        <f>IF(ISNA(MATCH(Z$2,Inputs!$K$4:$AJ$4,0)),NA(),IF(SUMPRODUCT((Inputs!$A$5:$A$130=$B18)*ISNUMBER(INDEX(Inputs!$K$5:$AJ$130,0,MATCH(Z$2,Inputs!$K$4:$AJ$4,0))))+SUMPRODUCT((Inputs!$C$5:$C$130=$B18)*ISNUMBER(INDEX(Inputs!$K$5:$AJ$130,0,MATCH(Z$2,Inputs!$K$4:$AJ$4,0))))+SUMPRODUCT((Inputs!$E$5:$E$130=$B18)*ISNUMBER(INDEX(Inputs!$K$5:$AJ$130,0,MATCH(Z$2,Inputs!$K$4:$AJ$4,0))))=0,NA(),SUMPRODUCT((Inputs!$A$5:$A$130=$B18)*Inputs!$B$5:$B$130*(((Inputs!$G$5:$G$130="moeda")+(Inputs!$G$5:$G$130="acoes"))*Inputs!$B$1+((Inputs!$G$5:$G$130&lt;&gt;"moeda")*(Inputs!$G$5:$G$130&lt;&gt;"acoes")))*INDEX(Inputs!$K$5:$AJ$130,0,MATCH(Z$2,Inputs!$K$4:$AJ$4,0)))+SUMPRODUCT((Inputs!$C$5:$C$130=$B18)*Inputs!$D$5:$D$130*(((Inputs!$G$5:$G$130="moeda")+(Inputs!$G$5:$G$130="acoes"))*Inputs!$B$1+((Inputs!$G$5:$G$130&lt;&gt;"moeda")*(Inputs!$G$5:$G$130&lt;&gt;"acoes")))*INDEX(Inputs!$K$5:$AJ$130,0,MATCH(Z$2,Inputs!$K$4:$AJ$4,0)))+SUMPRODUCT((Inputs!$E$5:$E$130=$B18)*Inputs!$F$5:$F$130*(((Inputs!$G$5:$G$130="moeda")+(Inputs!$G$5:$G$130="acoes"))*Inputs!$B$1+((Inputs!$G$5:$G$130&lt;&gt;"moeda")*(Inputs!$G$5:$G$130&lt;&gt;"acoes")))*INDEX(Inputs!$K$5:$AJ$130,0,MATCH(Z$2,Inputs!$K$4:$AJ$4,0)))))</f>
        <v>13674</v>
      </c>
      <c r="AA18" s="6">
        <f>IF(ISNA(MATCH(AA$2,Inputs!$K$4:$AJ$4,0)),NA(),IF(SUMPRODUCT((Inputs!$A$5:$A$130=$B18)*ISNUMBER(INDEX(Inputs!$K$5:$AJ$130,0,MATCH(AA$2,Inputs!$K$4:$AJ$4,0))))+SUMPRODUCT((Inputs!$C$5:$C$130=$B18)*ISNUMBER(INDEX(Inputs!$K$5:$AJ$130,0,MATCH(AA$2,Inputs!$K$4:$AJ$4,0))))+SUMPRODUCT((Inputs!$E$5:$E$130=$B18)*ISNUMBER(INDEX(Inputs!$K$5:$AJ$130,0,MATCH(AA$2,Inputs!$K$4:$AJ$4,0))))=0,NA(),SUMPRODUCT((Inputs!$A$5:$A$130=$B18)*Inputs!$B$5:$B$130*(((Inputs!$G$5:$G$130="moeda")+(Inputs!$G$5:$G$130="acoes"))*Inputs!$B$1+((Inputs!$G$5:$G$130&lt;&gt;"moeda")*(Inputs!$G$5:$G$130&lt;&gt;"acoes")))*INDEX(Inputs!$K$5:$AJ$130,0,MATCH(AA$2,Inputs!$K$4:$AJ$4,0)))+SUMPRODUCT((Inputs!$C$5:$C$130=$B18)*Inputs!$D$5:$D$130*(((Inputs!$G$5:$G$130="moeda")+(Inputs!$G$5:$G$130="acoes"))*Inputs!$B$1+((Inputs!$G$5:$G$130&lt;&gt;"moeda")*(Inputs!$G$5:$G$130&lt;&gt;"acoes")))*INDEX(Inputs!$K$5:$AJ$130,0,MATCH(AA$2,Inputs!$K$4:$AJ$4,0)))+SUMPRODUCT((Inputs!$E$5:$E$130=$B18)*Inputs!$F$5:$F$130*(((Inputs!$G$5:$G$130="moeda")+(Inputs!$G$5:$G$130="acoes"))*Inputs!$B$1+((Inputs!$G$5:$G$130&lt;&gt;"moeda")*(Inputs!$G$5:$G$130&lt;&gt;"acoes")))*INDEX(Inputs!$K$5:$AJ$130,0,MATCH(AA$2,Inputs!$K$4:$AJ$4,0)))))</f>
        <v>13258</v>
      </c>
      <c r="AB18" s="3">
        <f>AA18</f>
        <v>13258</v>
      </c>
      <c r="AC18" s="6">
        <f>IF(ISNA(MATCH(AC$2,Inputs!$K$4:$AJ$4,0)),NA(),IF(SUMPRODUCT((Inputs!$A$5:$A$130=$B18)*ISNUMBER(INDEX(Inputs!$K$5:$AJ$130,0,MATCH(AC$2,Inputs!$K$4:$AJ$4,0))))+SUMPRODUCT((Inputs!$C$5:$C$130=$B18)*ISNUMBER(INDEX(Inputs!$K$5:$AJ$130,0,MATCH(AC$2,Inputs!$K$4:$AJ$4,0))))+SUMPRODUCT((Inputs!$E$5:$E$130=$B18)*ISNUMBER(INDEX(Inputs!$K$5:$AJ$130,0,MATCH(AC$2,Inputs!$K$4:$AJ$4,0))))=0,NA(),SUMPRODUCT((Inputs!$A$5:$A$130=$B18)*Inputs!$B$5:$B$130*(((Inputs!$G$5:$G$130="moeda")+(Inputs!$G$5:$G$130="acoes"))*Inputs!$B$1+((Inputs!$G$5:$G$130&lt;&gt;"moeda")*(Inputs!$G$5:$G$130&lt;&gt;"acoes")))*INDEX(Inputs!$K$5:$AJ$130,0,MATCH(AC$2,Inputs!$K$4:$AJ$4,0)))+SUMPRODUCT((Inputs!$C$5:$C$130=$B18)*Inputs!$D$5:$D$130*(((Inputs!$G$5:$G$130="moeda")+(Inputs!$G$5:$G$130="acoes"))*Inputs!$B$1+((Inputs!$G$5:$G$130&lt;&gt;"moeda")*(Inputs!$G$5:$G$130&lt;&gt;"acoes")))*INDEX(Inputs!$K$5:$AJ$130,0,MATCH(AC$2,Inputs!$K$4:$AJ$4,0)))+SUMPRODUCT((Inputs!$E$5:$E$130=$B18)*Inputs!$F$5:$F$130*(((Inputs!$G$5:$G$130="moeda")+(Inputs!$G$5:$G$130="acoes"))*Inputs!$B$1+((Inputs!$G$5:$G$130&lt;&gt;"moeda")*(Inputs!$G$5:$G$130&lt;&gt;"acoes")))*INDEX(Inputs!$K$5:$AJ$130,0,MATCH(AC$2,Inputs!$K$4:$AJ$4,0)))))</f>
        <v>11707</v>
      </c>
      <c r="AD18" s="6">
        <f>IF(ISNA(MATCH(AD$2,Inputs!$K$4:$AJ$4,0)),NA(),IF(SUMPRODUCT((Inputs!$A$5:$A$130=$B18)*ISNUMBER(INDEX(Inputs!$K$5:$AJ$130,0,MATCH(AD$2,Inputs!$K$4:$AJ$4,0))))+SUMPRODUCT((Inputs!$C$5:$C$130=$B18)*ISNUMBER(INDEX(Inputs!$K$5:$AJ$130,0,MATCH(AD$2,Inputs!$K$4:$AJ$4,0))))+SUMPRODUCT((Inputs!$E$5:$E$130=$B18)*ISNUMBER(INDEX(Inputs!$K$5:$AJ$130,0,MATCH(AD$2,Inputs!$K$4:$AJ$4,0))))=0,NA(),SUMPRODUCT((Inputs!$A$5:$A$130=$B18)*Inputs!$B$5:$B$130*(((Inputs!$G$5:$G$130="moeda")+(Inputs!$G$5:$G$130="acoes"))*Inputs!$B$1+((Inputs!$G$5:$G$130&lt;&gt;"moeda")*(Inputs!$G$5:$G$130&lt;&gt;"acoes")))*INDEX(Inputs!$K$5:$AJ$130,0,MATCH(AD$2,Inputs!$K$4:$AJ$4,0)))+SUMPRODUCT((Inputs!$C$5:$C$130=$B18)*Inputs!$D$5:$D$130*(((Inputs!$G$5:$G$130="moeda")+(Inputs!$G$5:$G$130="acoes"))*Inputs!$B$1+((Inputs!$G$5:$G$130&lt;&gt;"moeda")*(Inputs!$G$5:$G$130&lt;&gt;"acoes")))*INDEX(Inputs!$K$5:$AJ$130,0,MATCH(AD$2,Inputs!$K$4:$AJ$4,0)))+SUMPRODUCT((Inputs!$E$5:$E$130=$B18)*Inputs!$F$5:$F$130*(((Inputs!$G$5:$G$130="moeda")+(Inputs!$G$5:$G$130="acoes"))*Inputs!$B$1+((Inputs!$G$5:$G$130&lt;&gt;"moeda")*(Inputs!$G$5:$G$130&lt;&gt;"acoes")))*INDEX(Inputs!$K$5:$AJ$130,0,MATCH(AD$2,Inputs!$K$4:$AJ$4,0)))))</f>
        <v>12159</v>
      </c>
      <c r="AE18" s="6" t="e">
        <f>IF(ISNA(MATCH(AE$2,Inputs!$K$4:$AJ$4,0)),NA(),IF(SUMPRODUCT((Inputs!$A$5:$A$130=$B18)*ISNUMBER(INDEX(Inputs!$K$5:$AJ$130,0,MATCH(AE$2,Inputs!$K$4:$AJ$4,0))))+SUMPRODUCT((Inputs!$C$5:$C$130=$B18)*ISNUMBER(INDEX(Inputs!$K$5:$AJ$130,0,MATCH(AE$2,Inputs!$K$4:$AJ$4,0))))+SUMPRODUCT((Inputs!$E$5:$E$130=$B18)*ISNUMBER(INDEX(Inputs!$K$5:$AJ$130,0,MATCH(AE$2,Inputs!$K$4:$AJ$4,0))))=0,NA(),SUMPRODUCT((Inputs!$A$5:$A$130=$B18)*Inputs!$B$5:$B$130*(((Inputs!$G$5:$G$130="moeda")+(Inputs!$G$5:$G$130="acoes"))*Inputs!$B$1+((Inputs!$G$5:$G$130&lt;&gt;"moeda")*(Inputs!$G$5:$G$130&lt;&gt;"acoes")))*INDEX(Inputs!$K$5:$AJ$130,0,MATCH(AE$2,Inputs!$K$4:$AJ$4,0)))+SUMPRODUCT((Inputs!$C$5:$C$130=$B18)*Inputs!$D$5:$D$130*(((Inputs!$G$5:$G$130="moeda")+(Inputs!$G$5:$G$130="acoes"))*Inputs!$B$1+((Inputs!$G$5:$G$130&lt;&gt;"moeda")*(Inputs!$G$5:$G$130&lt;&gt;"acoes")))*INDEX(Inputs!$K$5:$AJ$130,0,MATCH(AE$2,Inputs!$K$4:$AJ$4,0)))+SUMPRODUCT((Inputs!$E$5:$E$130=$B18)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8" s="6" t="e">
        <f>IF(ISNA(MATCH(AF$2,Inputs!$K$4:$AJ$4,0)),NA(),IF(SUMPRODUCT((Inputs!$A$5:$A$130=$B18)*ISNUMBER(INDEX(Inputs!$K$5:$AJ$130,0,MATCH(AF$2,Inputs!$K$4:$AJ$4,0))))+SUMPRODUCT((Inputs!$C$5:$C$130=$B18)*ISNUMBER(INDEX(Inputs!$K$5:$AJ$130,0,MATCH(AF$2,Inputs!$K$4:$AJ$4,0))))+SUMPRODUCT((Inputs!$E$5:$E$130=$B18)*ISNUMBER(INDEX(Inputs!$K$5:$AJ$130,0,MATCH(AF$2,Inputs!$K$4:$AJ$4,0))))=0,NA(),SUMPRODUCT((Inputs!$A$5:$A$130=$B18)*Inputs!$B$5:$B$130*(((Inputs!$G$5:$G$130="moeda")+(Inputs!$G$5:$G$130="acoes"))*Inputs!$B$1+((Inputs!$G$5:$G$130&lt;&gt;"moeda")*(Inputs!$G$5:$G$130&lt;&gt;"acoes")))*INDEX(Inputs!$K$5:$AJ$130,0,MATCH(AF$2,Inputs!$K$4:$AJ$4,0)))+SUMPRODUCT((Inputs!$C$5:$C$130=$B18)*Inputs!$D$5:$D$130*(((Inputs!$G$5:$G$130="moeda")+(Inputs!$G$5:$G$130="acoes"))*Inputs!$B$1+((Inputs!$G$5:$G$130&lt;&gt;"moeda")*(Inputs!$G$5:$G$130&lt;&gt;"acoes")))*INDEX(Inputs!$K$5:$AJ$130,0,MATCH(AF$2,Inputs!$K$4:$AJ$4,0)))+SUMPRODUCT((Inputs!$E$5:$E$130=$B18)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8" s="3" t="e">
        <f>AF18</f>
        <v>#N/A</v>
      </c>
      <c r="AH18" s="6">
        <f>IF(ISNA(MATCH(AH$2,Inputs!$K$4:$AJ$4,0)),NA(),IF(SUMPRODUCT((Inputs!$A$5:$A$130=$B18)*ISNUMBER(INDEX(Inputs!$K$5:$AJ$130,0,MATCH(AH$2,Inputs!$K$4:$AJ$4,0))))+SUMPRODUCT((Inputs!$C$5:$C$130=$B18)*ISNUMBER(INDEX(Inputs!$K$5:$AJ$130,0,MATCH(AH$2,Inputs!$K$4:$AJ$4,0))))+SUMPRODUCT((Inputs!$E$5:$E$130=$B18)*ISNUMBER(INDEX(Inputs!$K$5:$AJ$130,0,MATCH(AH$2,Inputs!$K$4:$AJ$4,0))))=0,NA(),SUMPRODUCT((Inputs!$A$5:$A$130=$B18)*Inputs!$B$5:$B$130*(((Inputs!$G$5:$G$130="moeda")+(Inputs!$G$5:$G$130="acoes"))*Inputs!$B$1+((Inputs!$G$5:$G$130&lt;&gt;"moeda")*(Inputs!$G$5:$G$130&lt;&gt;"acoes")))*INDEX(Inputs!$K$5:$AJ$130,0,MATCH(AH$2,Inputs!$K$4:$AJ$4,0)))+SUMPRODUCT((Inputs!$C$5:$C$130=$B18)*Inputs!$D$5:$D$130*(((Inputs!$G$5:$G$130="moeda")+(Inputs!$G$5:$G$130="acoes"))*Inputs!$B$1+((Inputs!$G$5:$G$130&lt;&gt;"moeda")*(Inputs!$G$5:$G$130&lt;&gt;"acoes")))*INDEX(Inputs!$K$5:$AJ$130,0,MATCH(AH$2,Inputs!$K$4:$AJ$4,0)))+SUMPRODUCT((Inputs!$E$5:$E$130=$B18)*Inputs!$F$5:$F$130*(((Inputs!$G$5:$G$130="moeda")+(Inputs!$G$5:$G$130="acoes"))*Inputs!$B$1+((Inputs!$G$5:$G$130&lt;&gt;"moeda")*(Inputs!$G$5:$G$130&lt;&gt;"acoes")))*INDEX(Inputs!$K$5:$AJ$130,0,MATCH(AH$2,Inputs!$K$4:$AJ$4,0)))))</f>
        <v>533</v>
      </c>
      <c r="AI18" s="6">
        <f>IF(ISNA(MATCH(AI$2,Inputs!$K$4:$AJ$4,0)),NA(),IF(SUMPRODUCT((Inputs!$A$5:$A$130=$B18)*ISNUMBER(INDEX(Inputs!$K$5:$AJ$130,0,MATCH(AI$2,Inputs!$K$4:$AJ$4,0))))+SUMPRODUCT((Inputs!$C$5:$C$130=$B18)*ISNUMBER(INDEX(Inputs!$K$5:$AJ$130,0,MATCH(AI$2,Inputs!$K$4:$AJ$4,0))))+SUMPRODUCT((Inputs!$E$5:$E$130=$B18)*ISNUMBER(INDEX(Inputs!$K$5:$AJ$130,0,MATCH(AI$2,Inputs!$K$4:$AJ$4,0))))=0,NA(),SUMPRODUCT((Inputs!$A$5:$A$130=$B18)*Inputs!$B$5:$B$130*(((Inputs!$G$5:$G$130="moeda")+(Inputs!$G$5:$G$130="acoes"))*Inputs!$B$1+((Inputs!$G$5:$G$130&lt;&gt;"moeda")*(Inputs!$G$5:$G$130&lt;&gt;"acoes")))*INDEX(Inputs!$K$5:$AJ$130,0,MATCH(AI$2,Inputs!$K$4:$AJ$4,0)))+SUMPRODUCT((Inputs!$C$5:$C$130=$B18)*Inputs!$D$5:$D$130*(((Inputs!$G$5:$G$130="moeda")+(Inputs!$G$5:$G$130="acoes"))*Inputs!$B$1+((Inputs!$G$5:$G$130&lt;&gt;"moeda")*(Inputs!$G$5:$G$130&lt;&gt;"acoes")))*INDEX(Inputs!$K$5:$AJ$130,0,MATCH(AI$2,Inputs!$K$4:$AJ$4,0)))+SUMPRODUCT((Inputs!$E$5:$E$130=$B18)*Inputs!$F$5:$F$130*(((Inputs!$G$5:$G$130="moeda")+(Inputs!$G$5:$G$130="acoes"))*Inputs!$B$1+((Inputs!$G$5:$G$130&lt;&gt;"moeda")*(Inputs!$G$5:$G$130&lt;&gt;"acoes")))*INDEX(Inputs!$K$5:$AJ$130,0,MATCH(AI$2,Inputs!$K$4:$AJ$4,0)))))</f>
        <v>630</v>
      </c>
      <c r="AJ18" s="6">
        <f>IF(ISNA(MATCH(AJ$2,Inputs!$K$4:$AJ$4,0)),NA(),IF(SUMPRODUCT((Inputs!$A$5:$A$130=$B18)*ISNUMBER(INDEX(Inputs!$K$5:$AJ$130,0,MATCH(AJ$2,Inputs!$K$4:$AJ$4,0))))+SUMPRODUCT((Inputs!$C$5:$C$130=$B18)*ISNUMBER(INDEX(Inputs!$K$5:$AJ$130,0,MATCH(AJ$2,Inputs!$K$4:$AJ$4,0))))+SUMPRODUCT((Inputs!$E$5:$E$130=$B18)*ISNUMBER(INDEX(Inputs!$K$5:$AJ$130,0,MATCH(AJ$2,Inputs!$K$4:$AJ$4,0))))=0,NA(),SUMPRODUCT((Inputs!$A$5:$A$130=$B18)*Inputs!$B$5:$B$130*(((Inputs!$G$5:$G$130="moeda")+(Inputs!$G$5:$G$130="acoes"))*Inputs!$B$1+((Inputs!$G$5:$G$130&lt;&gt;"moeda")*(Inputs!$G$5:$G$130&lt;&gt;"acoes")))*INDEX(Inputs!$K$5:$AJ$130,0,MATCH(AJ$2,Inputs!$K$4:$AJ$4,0)))+SUMPRODUCT((Inputs!$C$5:$C$130=$B18)*Inputs!$D$5:$D$130*(((Inputs!$G$5:$G$130="moeda")+(Inputs!$G$5:$G$130="acoes"))*Inputs!$B$1+((Inputs!$G$5:$G$130&lt;&gt;"moeda")*(Inputs!$G$5:$G$130&lt;&gt;"acoes")))*INDEX(Inputs!$K$5:$AJ$130,0,MATCH(AJ$2,Inputs!$K$4:$AJ$4,0)))+SUMPRODUCT((Inputs!$E$5:$E$130=$B18)*Inputs!$F$5:$F$130*(((Inputs!$G$5:$G$130="moeda")+(Inputs!$G$5:$G$130="acoes"))*Inputs!$B$1+((Inputs!$G$5:$G$130&lt;&gt;"moeda")*(Inputs!$G$5:$G$130&lt;&gt;"acoes")))*INDEX(Inputs!$K$5:$AJ$130,0,MATCH(AJ$2,Inputs!$K$4:$AJ$4,0)))))</f>
        <v>666</v>
      </c>
      <c r="AK18" s="6">
        <f>IF(ISNA(MATCH(AK$2,Inputs!$K$4:$AJ$4,0)),NA(),IF(SUMPRODUCT((Inputs!$A$5:$A$130=$B18)*ISNUMBER(INDEX(Inputs!$K$5:$AJ$130,0,MATCH(AK$2,Inputs!$K$4:$AJ$4,0))))+SUMPRODUCT((Inputs!$C$5:$C$130=$B18)*ISNUMBER(INDEX(Inputs!$K$5:$AJ$130,0,MATCH(AK$2,Inputs!$K$4:$AJ$4,0))))+SUMPRODUCT((Inputs!$E$5:$E$130=$B18)*ISNUMBER(INDEX(Inputs!$K$5:$AJ$130,0,MATCH(AK$2,Inputs!$K$4:$AJ$4,0))))=0,NA(),SUMPRODUCT((Inputs!$A$5:$A$130=$B18)*Inputs!$B$5:$B$130*(((Inputs!$G$5:$G$130="moeda")+(Inputs!$G$5:$G$130="acoes"))*Inputs!$B$1+((Inputs!$G$5:$G$130&lt;&gt;"moeda")*(Inputs!$G$5:$G$130&lt;&gt;"acoes")))*INDEX(Inputs!$K$5:$AJ$130,0,MATCH(AK$2,Inputs!$K$4:$AJ$4,0)))+SUMPRODUCT((Inputs!$C$5:$C$130=$B18)*Inputs!$D$5:$D$130*(((Inputs!$G$5:$G$130="moeda")+(Inputs!$G$5:$G$130="acoes"))*Inputs!$B$1+((Inputs!$G$5:$G$130&lt;&gt;"moeda")*(Inputs!$G$5:$G$130&lt;&gt;"acoes")))*INDEX(Inputs!$K$5:$AJ$130,0,MATCH(AK$2,Inputs!$K$4:$AJ$4,0)))+SUMPRODUCT((Inputs!$E$5:$E$130=$B18)*Inputs!$F$5:$F$130*(((Inputs!$G$5:$G$130="moeda")+(Inputs!$G$5:$G$130="acoes"))*Inputs!$B$1+((Inputs!$G$5:$G$130&lt;&gt;"moeda")*(Inputs!$G$5:$G$130&lt;&gt;"acoes")))*INDEX(Inputs!$K$5:$AJ$130,0,MATCH(AK$2,Inputs!$K$4:$AJ$4,0)))))</f>
        <v>806</v>
      </c>
      <c r="AL18" s="3">
        <f>AK18</f>
        <v>806</v>
      </c>
    </row>
    <row r="19">
      <c r="B19" s="46" t="n">
        <v>15</v>
      </c>
      <c r="C19" s="26" t="inlineStr">
        <is>
          <t>Prepaid expenses</t>
        </is>
      </c>
      <c r="D19" s="6" t="e">
        <f>IF(ISNA(MATCH(D$2,Inputs!$K$4:$AJ$4,0)),NA(),IF(SUMPRODUCT((Inputs!$A$5:$A$130=$B19)*ISNUMBER(INDEX(Inputs!$K$5:$AJ$130,0,MATCH(D$2,Inputs!$K$4:$AJ$4,0))))+SUMPRODUCT((Inputs!$C$5:$C$130=$B19)*ISNUMBER(INDEX(Inputs!$K$5:$AJ$130,0,MATCH(D$2,Inputs!$K$4:$AJ$4,0))))+SUMPRODUCT((Inputs!$E$5:$E$130=$B19)*ISNUMBER(INDEX(Inputs!$K$5:$AJ$130,0,MATCH(D$2,Inputs!$K$4:$AJ$4,0))))=0,NA(),SUMPRODUCT((Inputs!$A$5:$A$130=$B19)*Inputs!$B$5:$B$130*(((Inputs!$G$5:$G$130="moeda")+(Inputs!$G$5:$G$130="acoes"))*Inputs!$B$1+((Inputs!$G$5:$G$130&lt;&gt;"moeda")*(Inputs!$G$5:$G$130&lt;&gt;"acoes")))*INDEX(Inputs!$K$5:$AJ$130,0,MATCH(D$2,Inputs!$K$4:$AJ$4,0)))+SUMPRODUCT((Inputs!$C$5:$C$130=$B19)*Inputs!$D$5:$D$130*(((Inputs!$G$5:$G$130="moeda")+(Inputs!$G$5:$G$130="acoes"))*Inputs!$B$1+((Inputs!$G$5:$G$130&lt;&gt;"moeda")*(Inputs!$G$5:$G$130&lt;&gt;"acoes")))*INDEX(Inputs!$K$5:$AJ$130,0,MATCH(D$2,Inputs!$K$4:$AJ$4,0)))+SUMPRODUCT((Inputs!$E$5:$E$130=$B19)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19" s="6" t="e">
        <f>IF(ISNA(MATCH(E$2,Inputs!$K$4:$AJ$4,0)),NA(),IF(SUMPRODUCT((Inputs!$A$5:$A$130=$B19)*ISNUMBER(INDEX(Inputs!$K$5:$AJ$130,0,MATCH(E$2,Inputs!$K$4:$AJ$4,0))))+SUMPRODUCT((Inputs!$C$5:$C$130=$B19)*ISNUMBER(INDEX(Inputs!$K$5:$AJ$130,0,MATCH(E$2,Inputs!$K$4:$AJ$4,0))))+SUMPRODUCT((Inputs!$E$5:$E$130=$B19)*ISNUMBER(INDEX(Inputs!$K$5:$AJ$130,0,MATCH(E$2,Inputs!$K$4:$AJ$4,0))))=0,NA(),SUMPRODUCT((Inputs!$A$5:$A$130=$B19)*Inputs!$B$5:$B$130*(((Inputs!$G$5:$G$130="moeda")+(Inputs!$G$5:$G$130="acoes"))*Inputs!$B$1+((Inputs!$G$5:$G$130&lt;&gt;"moeda")*(Inputs!$G$5:$G$130&lt;&gt;"acoes")))*INDEX(Inputs!$K$5:$AJ$130,0,MATCH(E$2,Inputs!$K$4:$AJ$4,0)))+SUMPRODUCT((Inputs!$C$5:$C$130=$B19)*Inputs!$D$5:$D$130*(((Inputs!$G$5:$G$130="moeda")+(Inputs!$G$5:$G$130="acoes"))*Inputs!$B$1+((Inputs!$G$5:$G$130&lt;&gt;"moeda")*(Inputs!$G$5:$G$130&lt;&gt;"acoes")))*INDEX(Inputs!$K$5:$AJ$130,0,MATCH(E$2,Inputs!$K$4:$AJ$4,0)))+SUMPRODUCT((Inputs!$E$5:$E$130=$B19)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19" s="6" t="e">
        <f>IF(ISNA(MATCH(F$2,Inputs!$K$4:$AJ$4,0)),NA(),IF(SUMPRODUCT((Inputs!$A$5:$A$130=$B19)*ISNUMBER(INDEX(Inputs!$K$5:$AJ$130,0,MATCH(F$2,Inputs!$K$4:$AJ$4,0))))+SUMPRODUCT((Inputs!$C$5:$C$130=$B19)*ISNUMBER(INDEX(Inputs!$K$5:$AJ$130,0,MATCH(F$2,Inputs!$K$4:$AJ$4,0))))+SUMPRODUCT((Inputs!$E$5:$E$130=$B19)*ISNUMBER(INDEX(Inputs!$K$5:$AJ$130,0,MATCH(F$2,Inputs!$K$4:$AJ$4,0))))=0,NA(),SUMPRODUCT((Inputs!$A$5:$A$130=$B19)*Inputs!$B$5:$B$130*(((Inputs!$G$5:$G$130="moeda")+(Inputs!$G$5:$G$130="acoes"))*Inputs!$B$1+((Inputs!$G$5:$G$130&lt;&gt;"moeda")*(Inputs!$G$5:$G$130&lt;&gt;"acoes")))*INDEX(Inputs!$K$5:$AJ$130,0,MATCH(F$2,Inputs!$K$4:$AJ$4,0)))+SUMPRODUCT((Inputs!$C$5:$C$130=$B19)*Inputs!$D$5:$D$130*(((Inputs!$G$5:$G$130="moeda")+(Inputs!$G$5:$G$130="acoes"))*Inputs!$B$1+((Inputs!$G$5:$G$130&lt;&gt;"moeda")*(Inputs!$G$5:$G$130&lt;&gt;"acoes")))*INDEX(Inputs!$K$5:$AJ$130,0,MATCH(F$2,Inputs!$K$4:$AJ$4,0)))+SUMPRODUCT((Inputs!$E$5:$E$130=$B19)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19" s="6" t="e">
        <f>IF(ISNA(MATCH(G$2,Inputs!$K$4:$AJ$4,0)),NA(),IF(SUMPRODUCT((Inputs!$A$5:$A$130=$B19)*ISNUMBER(INDEX(Inputs!$K$5:$AJ$130,0,MATCH(G$2,Inputs!$K$4:$AJ$4,0))))+SUMPRODUCT((Inputs!$C$5:$C$130=$B19)*ISNUMBER(INDEX(Inputs!$K$5:$AJ$130,0,MATCH(G$2,Inputs!$K$4:$AJ$4,0))))+SUMPRODUCT((Inputs!$E$5:$E$130=$B19)*ISNUMBER(INDEX(Inputs!$K$5:$AJ$130,0,MATCH(G$2,Inputs!$K$4:$AJ$4,0))))=0,NA(),SUMPRODUCT((Inputs!$A$5:$A$130=$B19)*Inputs!$B$5:$B$130*(((Inputs!$G$5:$G$130="moeda")+(Inputs!$G$5:$G$130="acoes"))*Inputs!$B$1+((Inputs!$G$5:$G$130&lt;&gt;"moeda")*(Inputs!$G$5:$G$130&lt;&gt;"acoes")))*INDEX(Inputs!$K$5:$AJ$130,0,MATCH(G$2,Inputs!$K$4:$AJ$4,0)))+SUMPRODUCT((Inputs!$C$5:$C$130=$B19)*Inputs!$D$5:$D$130*(((Inputs!$G$5:$G$130="moeda")+(Inputs!$G$5:$G$130="acoes"))*Inputs!$B$1+((Inputs!$G$5:$G$130&lt;&gt;"moeda")*(Inputs!$G$5:$G$130&lt;&gt;"acoes")))*INDEX(Inputs!$K$5:$AJ$130,0,MATCH(G$2,Inputs!$K$4:$AJ$4,0)))+SUMPRODUCT((Inputs!$E$5:$E$130=$B19)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19" s="3" t="e">
        <f>G19</f>
        <v>#N/A</v>
      </c>
      <c r="I19" s="6" t="e">
        <f>IF(ISNA(MATCH(I$2,Inputs!$K$4:$AJ$4,0)),NA(),IF(SUMPRODUCT((Inputs!$A$5:$A$130=$B19)*ISNUMBER(INDEX(Inputs!$K$5:$AJ$130,0,MATCH(I$2,Inputs!$K$4:$AJ$4,0))))+SUMPRODUCT((Inputs!$C$5:$C$130=$B19)*ISNUMBER(INDEX(Inputs!$K$5:$AJ$130,0,MATCH(I$2,Inputs!$K$4:$AJ$4,0))))+SUMPRODUCT((Inputs!$E$5:$E$130=$B19)*ISNUMBER(INDEX(Inputs!$K$5:$AJ$130,0,MATCH(I$2,Inputs!$K$4:$AJ$4,0))))=0,NA(),SUMPRODUCT((Inputs!$A$5:$A$130=$B19)*Inputs!$B$5:$B$130*(((Inputs!$G$5:$G$130="moeda")+(Inputs!$G$5:$G$130="acoes"))*Inputs!$B$1+((Inputs!$G$5:$G$130&lt;&gt;"moeda")*(Inputs!$G$5:$G$130&lt;&gt;"acoes")))*INDEX(Inputs!$K$5:$AJ$130,0,MATCH(I$2,Inputs!$K$4:$AJ$4,0)))+SUMPRODUCT((Inputs!$C$5:$C$130=$B19)*Inputs!$D$5:$D$130*(((Inputs!$G$5:$G$130="moeda")+(Inputs!$G$5:$G$130="acoes"))*Inputs!$B$1+((Inputs!$G$5:$G$130&lt;&gt;"moeda")*(Inputs!$G$5:$G$130&lt;&gt;"acoes")))*INDEX(Inputs!$K$5:$AJ$130,0,MATCH(I$2,Inputs!$K$4:$AJ$4,0)))+SUMPRODUCT((Inputs!$E$5:$E$130=$B19)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19" s="6" t="e">
        <f>IF(ISNA(MATCH(J$2,Inputs!$K$4:$AJ$4,0)),NA(),IF(SUMPRODUCT((Inputs!$A$5:$A$130=$B19)*ISNUMBER(INDEX(Inputs!$K$5:$AJ$130,0,MATCH(J$2,Inputs!$K$4:$AJ$4,0))))+SUMPRODUCT((Inputs!$C$5:$C$130=$B19)*ISNUMBER(INDEX(Inputs!$K$5:$AJ$130,0,MATCH(J$2,Inputs!$K$4:$AJ$4,0))))+SUMPRODUCT((Inputs!$E$5:$E$130=$B19)*ISNUMBER(INDEX(Inputs!$K$5:$AJ$130,0,MATCH(J$2,Inputs!$K$4:$AJ$4,0))))=0,NA(),SUMPRODUCT((Inputs!$A$5:$A$130=$B19)*Inputs!$B$5:$B$130*(((Inputs!$G$5:$G$130="moeda")+(Inputs!$G$5:$G$130="acoes"))*Inputs!$B$1+((Inputs!$G$5:$G$130&lt;&gt;"moeda")*(Inputs!$G$5:$G$130&lt;&gt;"acoes")))*INDEX(Inputs!$K$5:$AJ$130,0,MATCH(J$2,Inputs!$K$4:$AJ$4,0)))+SUMPRODUCT((Inputs!$C$5:$C$130=$B19)*Inputs!$D$5:$D$130*(((Inputs!$G$5:$G$130="moeda")+(Inputs!$G$5:$G$130="acoes"))*Inputs!$B$1+((Inputs!$G$5:$G$130&lt;&gt;"moeda")*(Inputs!$G$5:$G$130&lt;&gt;"acoes")))*INDEX(Inputs!$K$5:$AJ$130,0,MATCH(J$2,Inputs!$K$4:$AJ$4,0)))+SUMPRODUCT((Inputs!$E$5:$E$130=$B19)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19" s="6" t="e">
        <f>IF(ISNA(MATCH(K$2,Inputs!$K$4:$AJ$4,0)),NA(),IF(SUMPRODUCT((Inputs!$A$5:$A$130=$B19)*ISNUMBER(INDEX(Inputs!$K$5:$AJ$130,0,MATCH(K$2,Inputs!$K$4:$AJ$4,0))))+SUMPRODUCT((Inputs!$C$5:$C$130=$B19)*ISNUMBER(INDEX(Inputs!$K$5:$AJ$130,0,MATCH(K$2,Inputs!$K$4:$AJ$4,0))))+SUMPRODUCT((Inputs!$E$5:$E$130=$B19)*ISNUMBER(INDEX(Inputs!$K$5:$AJ$130,0,MATCH(K$2,Inputs!$K$4:$AJ$4,0))))=0,NA(),SUMPRODUCT((Inputs!$A$5:$A$130=$B19)*Inputs!$B$5:$B$130*(((Inputs!$G$5:$G$130="moeda")+(Inputs!$G$5:$G$130="acoes"))*Inputs!$B$1+((Inputs!$G$5:$G$130&lt;&gt;"moeda")*(Inputs!$G$5:$G$130&lt;&gt;"acoes")))*INDEX(Inputs!$K$5:$AJ$130,0,MATCH(K$2,Inputs!$K$4:$AJ$4,0)))+SUMPRODUCT((Inputs!$C$5:$C$130=$B19)*Inputs!$D$5:$D$130*(((Inputs!$G$5:$G$130="moeda")+(Inputs!$G$5:$G$130="acoes"))*Inputs!$B$1+((Inputs!$G$5:$G$130&lt;&gt;"moeda")*(Inputs!$G$5:$G$130&lt;&gt;"acoes")))*INDEX(Inputs!$K$5:$AJ$130,0,MATCH(K$2,Inputs!$K$4:$AJ$4,0)))+SUMPRODUCT((Inputs!$E$5:$E$130=$B19)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19" s="6" t="e">
        <f>IF(ISNA(MATCH(L$2,Inputs!$K$4:$AJ$4,0)),NA(),IF(SUMPRODUCT((Inputs!$A$5:$A$130=$B19)*ISNUMBER(INDEX(Inputs!$K$5:$AJ$130,0,MATCH(L$2,Inputs!$K$4:$AJ$4,0))))+SUMPRODUCT((Inputs!$C$5:$C$130=$B19)*ISNUMBER(INDEX(Inputs!$K$5:$AJ$130,0,MATCH(L$2,Inputs!$K$4:$AJ$4,0))))+SUMPRODUCT((Inputs!$E$5:$E$130=$B19)*ISNUMBER(INDEX(Inputs!$K$5:$AJ$130,0,MATCH(L$2,Inputs!$K$4:$AJ$4,0))))=0,NA(),SUMPRODUCT((Inputs!$A$5:$A$130=$B19)*Inputs!$B$5:$B$130*(((Inputs!$G$5:$G$130="moeda")+(Inputs!$G$5:$G$130="acoes"))*Inputs!$B$1+((Inputs!$G$5:$G$130&lt;&gt;"moeda")*(Inputs!$G$5:$G$130&lt;&gt;"acoes")))*INDEX(Inputs!$K$5:$AJ$130,0,MATCH(L$2,Inputs!$K$4:$AJ$4,0)))+SUMPRODUCT((Inputs!$C$5:$C$130=$B19)*Inputs!$D$5:$D$130*(((Inputs!$G$5:$G$130="moeda")+(Inputs!$G$5:$G$130="acoes"))*Inputs!$B$1+((Inputs!$G$5:$G$130&lt;&gt;"moeda")*(Inputs!$G$5:$G$130&lt;&gt;"acoes")))*INDEX(Inputs!$K$5:$AJ$130,0,MATCH(L$2,Inputs!$K$4:$AJ$4,0)))+SUMPRODUCT((Inputs!$E$5:$E$130=$B19)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19" s="3" t="e">
        <f>L19</f>
        <v>#N/A</v>
      </c>
      <c r="N19" s="6" t="e">
        <f>IF(ISNA(MATCH(N$2,Inputs!$K$4:$AJ$4,0)),NA(),IF(SUMPRODUCT((Inputs!$A$5:$A$130=$B19)*ISNUMBER(INDEX(Inputs!$K$5:$AJ$130,0,MATCH(N$2,Inputs!$K$4:$AJ$4,0))))+SUMPRODUCT((Inputs!$C$5:$C$130=$B19)*ISNUMBER(INDEX(Inputs!$K$5:$AJ$130,0,MATCH(N$2,Inputs!$K$4:$AJ$4,0))))+SUMPRODUCT((Inputs!$E$5:$E$130=$B19)*ISNUMBER(INDEX(Inputs!$K$5:$AJ$130,0,MATCH(N$2,Inputs!$K$4:$AJ$4,0))))=0,NA(),SUMPRODUCT((Inputs!$A$5:$A$130=$B19)*Inputs!$B$5:$B$130*(((Inputs!$G$5:$G$130="moeda")+(Inputs!$G$5:$G$130="acoes"))*Inputs!$B$1+((Inputs!$G$5:$G$130&lt;&gt;"moeda")*(Inputs!$G$5:$G$130&lt;&gt;"acoes")))*INDEX(Inputs!$K$5:$AJ$130,0,MATCH(N$2,Inputs!$K$4:$AJ$4,0)))+SUMPRODUCT((Inputs!$C$5:$C$130=$B19)*Inputs!$D$5:$D$130*(((Inputs!$G$5:$G$130="moeda")+(Inputs!$G$5:$G$130="acoes"))*Inputs!$B$1+((Inputs!$G$5:$G$130&lt;&gt;"moeda")*(Inputs!$G$5:$G$130&lt;&gt;"acoes")))*INDEX(Inputs!$K$5:$AJ$130,0,MATCH(N$2,Inputs!$K$4:$AJ$4,0)))+SUMPRODUCT((Inputs!$E$5:$E$130=$B19)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19" s="6" t="e">
        <f>IF(ISNA(MATCH(O$2,Inputs!$K$4:$AJ$4,0)),NA(),IF(SUMPRODUCT((Inputs!$A$5:$A$130=$B19)*ISNUMBER(INDEX(Inputs!$K$5:$AJ$130,0,MATCH(O$2,Inputs!$K$4:$AJ$4,0))))+SUMPRODUCT((Inputs!$C$5:$C$130=$B19)*ISNUMBER(INDEX(Inputs!$K$5:$AJ$130,0,MATCH(O$2,Inputs!$K$4:$AJ$4,0))))+SUMPRODUCT((Inputs!$E$5:$E$130=$B19)*ISNUMBER(INDEX(Inputs!$K$5:$AJ$130,0,MATCH(O$2,Inputs!$K$4:$AJ$4,0))))=0,NA(),SUMPRODUCT((Inputs!$A$5:$A$130=$B19)*Inputs!$B$5:$B$130*(((Inputs!$G$5:$G$130="moeda")+(Inputs!$G$5:$G$130="acoes"))*Inputs!$B$1+((Inputs!$G$5:$G$130&lt;&gt;"moeda")*(Inputs!$G$5:$G$130&lt;&gt;"acoes")))*INDEX(Inputs!$K$5:$AJ$130,0,MATCH(O$2,Inputs!$K$4:$AJ$4,0)))+SUMPRODUCT((Inputs!$C$5:$C$130=$B19)*Inputs!$D$5:$D$130*(((Inputs!$G$5:$G$130="moeda")+(Inputs!$G$5:$G$130="acoes"))*Inputs!$B$1+((Inputs!$G$5:$G$130&lt;&gt;"moeda")*(Inputs!$G$5:$G$130&lt;&gt;"acoes")))*INDEX(Inputs!$K$5:$AJ$130,0,MATCH(O$2,Inputs!$K$4:$AJ$4,0)))+SUMPRODUCT((Inputs!$E$5:$E$130=$B19)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19" s="6" t="e">
        <f>IF(ISNA(MATCH(P$2,Inputs!$K$4:$AJ$4,0)),NA(),IF(SUMPRODUCT((Inputs!$A$5:$A$130=$B19)*ISNUMBER(INDEX(Inputs!$K$5:$AJ$130,0,MATCH(P$2,Inputs!$K$4:$AJ$4,0))))+SUMPRODUCT((Inputs!$C$5:$C$130=$B19)*ISNUMBER(INDEX(Inputs!$K$5:$AJ$130,0,MATCH(P$2,Inputs!$K$4:$AJ$4,0))))+SUMPRODUCT((Inputs!$E$5:$E$130=$B19)*ISNUMBER(INDEX(Inputs!$K$5:$AJ$130,0,MATCH(P$2,Inputs!$K$4:$AJ$4,0))))=0,NA(),SUMPRODUCT((Inputs!$A$5:$A$130=$B19)*Inputs!$B$5:$B$130*(((Inputs!$G$5:$G$130="moeda")+(Inputs!$G$5:$G$130="acoes"))*Inputs!$B$1+((Inputs!$G$5:$G$130&lt;&gt;"moeda")*(Inputs!$G$5:$G$130&lt;&gt;"acoes")))*INDEX(Inputs!$K$5:$AJ$130,0,MATCH(P$2,Inputs!$K$4:$AJ$4,0)))+SUMPRODUCT((Inputs!$C$5:$C$130=$B19)*Inputs!$D$5:$D$130*(((Inputs!$G$5:$G$130="moeda")+(Inputs!$G$5:$G$130="acoes"))*Inputs!$B$1+((Inputs!$G$5:$G$130&lt;&gt;"moeda")*(Inputs!$G$5:$G$130&lt;&gt;"acoes")))*INDEX(Inputs!$K$5:$AJ$130,0,MATCH(P$2,Inputs!$K$4:$AJ$4,0)))+SUMPRODUCT((Inputs!$E$5:$E$130=$B19)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19" s="6" t="e">
        <f>IF(ISNA(MATCH(Q$2,Inputs!$K$4:$AJ$4,0)),NA(),IF(SUMPRODUCT((Inputs!$A$5:$A$130=$B19)*ISNUMBER(INDEX(Inputs!$K$5:$AJ$130,0,MATCH(Q$2,Inputs!$K$4:$AJ$4,0))))+SUMPRODUCT((Inputs!$C$5:$C$130=$B19)*ISNUMBER(INDEX(Inputs!$K$5:$AJ$130,0,MATCH(Q$2,Inputs!$K$4:$AJ$4,0))))+SUMPRODUCT((Inputs!$E$5:$E$130=$B19)*ISNUMBER(INDEX(Inputs!$K$5:$AJ$130,0,MATCH(Q$2,Inputs!$K$4:$AJ$4,0))))=0,NA(),SUMPRODUCT((Inputs!$A$5:$A$130=$B19)*Inputs!$B$5:$B$130*(((Inputs!$G$5:$G$130="moeda")+(Inputs!$G$5:$G$130="acoes"))*Inputs!$B$1+((Inputs!$G$5:$G$130&lt;&gt;"moeda")*(Inputs!$G$5:$G$130&lt;&gt;"acoes")))*INDEX(Inputs!$K$5:$AJ$130,0,MATCH(Q$2,Inputs!$K$4:$AJ$4,0)))+SUMPRODUCT((Inputs!$C$5:$C$130=$B19)*Inputs!$D$5:$D$130*(((Inputs!$G$5:$G$130="moeda")+(Inputs!$G$5:$G$130="acoes"))*Inputs!$B$1+((Inputs!$G$5:$G$130&lt;&gt;"moeda")*(Inputs!$G$5:$G$130&lt;&gt;"acoes")))*INDEX(Inputs!$K$5:$AJ$130,0,MATCH(Q$2,Inputs!$K$4:$AJ$4,0)))+SUMPRODUCT((Inputs!$E$5:$E$130=$B19)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19" s="3" t="e">
        <f>Q19</f>
        <v>#N/A</v>
      </c>
      <c r="S19" s="6" t="e">
        <f>IF(ISNA(MATCH(S$2,Inputs!$K$4:$AJ$4,0)),NA(),IF(SUMPRODUCT((Inputs!$A$5:$A$130=$B19)*ISNUMBER(INDEX(Inputs!$K$5:$AJ$130,0,MATCH(S$2,Inputs!$K$4:$AJ$4,0))))+SUMPRODUCT((Inputs!$C$5:$C$130=$B19)*ISNUMBER(INDEX(Inputs!$K$5:$AJ$130,0,MATCH(S$2,Inputs!$K$4:$AJ$4,0))))+SUMPRODUCT((Inputs!$E$5:$E$130=$B19)*ISNUMBER(INDEX(Inputs!$K$5:$AJ$130,0,MATCH(S$2,Inputs!$K$4:$AJ$4,0))))=0,NA(),SUMPRODUCT((Inputs!$A$5:$A$130=$B19)*Inputs!$B$5:$B$130*(((Inputs!$G$5:$G$130="moeda")+(Inputs!$G$5:$G$130="acoes"))*Inputs!$B$1+((Inputs!$G$5:$G$130&lt;&gt;"moeda")*(Inputs!$G$5:$G$130&lt;&gt;"acoes")))*INDEX(Inputs!$K$5:$AJ$130,0,MATCH(S$2,Inputs!$K$4:$AJ$4,0)))+SUMPRODUCT((Inputs!$C$5:$C$130=$B19)*Inputs!$D$5:$D$130*(((Inputs!$G$5:$G$130="moeda")+(Inputs!$G$5:$G$130="acoes"))*Inputs!$B$1+((Inputs!$G$5:$G$130&lt;&gt;"moeda")*(Inputs!$G$5:$G$130&lt;&gt;"acoes")))*INDEX(Inputs!$K$5:$AJ$130,0,MATCH(S$2,Inputs!$K$4:$AJ$4,0)))+SUMPRODUCT((Inputs!$E$5:$E$130=$B19)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19" s="6" t="e">
        <f>IF(ISNA(MATCH(T$2,Inputs!$K$4:$AJ$4,0)),NA(),IF(SUMPRODUCT((Inputs!$A$5:$A$130=$B19)*ISNUMBER(INDEX(Inputs!$K$5:$AJ$130,0,MATCH(T$2,Inputs!$K$4:$AJ$4,0))))+SUMPRODUCT((Inputs!$C$5:$C$130=$B19)*ISNUMBER(INDEX(Inputs!$K$5:$AJ$130,0,MATCH(T$2,Inputs!$K$4:$AJ$4,0))))+SUMPRODUCT((Inputs!$E$5:$E$130=$B19)*ISNUMBER(INDEX(Inputs!$K$5:$AJ$130,0,MATCH(T$2,Inputs!$K$4:$AJ$4,0))))=0,NA(),SUMPRODUCT((Inputs!$A$5:$A$130=$B19)*Inputs!$B$5:$B$130*(((Inputs!$G$5:$G$130="moeda")+(Inputs!$G$5:$G$130="acoes"))*Inputs!$B$1+((Inputs!$G$5:$G$130&lt;&gt;"moeda")*(Inputs!$G$5:$G$130&lt;&gt;"acoes")))*INDEX(Inputs!$K$5:$AJ$130,0,MATCH(T$2,Inputs!$K$4:$AJ$4,0)))+SUMPRODUCT((Inputs!$C$5:$C$130=$B19)*Inputs!$D$5:$D$130*(((Inputs!$G$5:$G$130="moeda")+(Inputs!$G$5:$G$130="acoes"))*Inputs!$B$1+((Inputs!$G$5:$G$130&lt;&gt;"moeda")*(Inputs!$G$5:$G$130&lt;&gt;"acoes")))*INDEX(Inputs!$K$5:$AJ$130,0,MATCH(T$2,Inputs!$K$4:$AJ$4,0)))+SUMPRODUCT((Inputs!$E$5:$E$130=$B19)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19" s="6" t="e">
        <f>IF(ISNA(MATCH(U$2,Inputs!$K$4:$AJ$4,0)),NA(),IF(SUMPRODUCT((Inputs!$A$5:$A$130=$B19)*ISNUMBER(INDEX(Inputs!$K$5:$AJ$130,0,MATCH(U$2,Inputs!$K$4:$AJ$4,0))))+SUMPRODUCT((Inputs!$C$5:$C$130=$B19)*ISNUMBER(INDEX(Inputs!$K$5:$AJ$130,0,MATCH(U$2,Inputs!$K$4:$AJ$4,0))))+SUMPRODUCT((Inputs!$E$5:$E$130=$B19)*ISNUMBER(INDEX(Inputs!$K$5:$AJ$130,0,MATCH(U$2,Inputs!$K$4:$AJ$4,0))))=0,NA(),SUMPRODUCT((Inputs!$A$5:$A$130=$B19)*Inputs!$B$5:$B$130*(((Inputs!$G$5:$G$130="moeda")+(Inputs!$G$5:$G$130="acoes"))*Inputs!$B$1+((Inputs!$G$5:$G$130&lt;&gt;"moeda")*(Inputs!$G$5:$G$130&lt;&gt;"acoes")))*INDEX(Inputs!$K$5:$AJ$130,0,MATCH(U$2,Inputs!$K$4:$AJ$4,0)))+SUMPRODUCT((Inputs!$C$5:$C$130=$B19)*Inputs!$D$5:$D$130*(((Inputs!$G$5:$G$130="moeda")+(Inputs!$G$5:$G$130="acoes"))*Inputs!$B$1+((Inputs!$G$5:$G$130&lt;&gt;"moeda")*(Inputs!$G$5:$G$130&lt;&gt;"acoes")))*INDEX(Inputs!$K$5:$AJ$130,0,MATCH(U$2,Inputs!$K$4:$AJ$4,0)))+SUMPRODUCT((Inputs!$E$5:$E$130=$B19)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19" s="6" t="e">
        <f>IF(ISNA(MATCH(V$2,Inputs!$K$4:$AJ$4,0)),NA(),IF(SUMPRODUCT((Inputs!$A$5:$A$130=$B19)*ISNUMBER(INDEX(Inputs!$K$5:$AJ$130,0,MATCH(V$2,Inputs!$K$4:$AJ$4,0))))+SUMPRODUCT((Inputs!$C$5:$C$130=$B19)*ISNUMBER(INDEX(Inputs!$K$5:$AJ$130,0,MATCH(V$2,Inputs!$K$4:$AJ$4,0))))+SUMPRODUCT((Inputs!$E$5:$E$130=$B19)*ISNUMBER(INDEX(Inputs!$K$5:$AJ$130,0,MATCH(V$2,Inputs!$K$4:$AJ$4,0))))=0,NA(),SUMPRODUCT((Inputs!$A$5:$A$130=$B19)*Inputs!$B$5:$B$130*(((Inputs!$G$5:$G$130="moeda")+(Inputs!$G$5:$G$130="acoes"))*Inputs!$B$1+((Inputs!$G$5:$G$130&lt;&gt;"moeda")*(Inputs!$G$5:$G$130&lt;&gt;"acoes")))*INDEX(Inputs!$K$5:$AJ$130,0,MATCH(V$2,Inputs!$K$4:$AJ$4,0)))+SUMPRODUCT((Inputs!$C$5:$C$130=$B19)*Inputs!$D$5:$D$130*(((Inputs!$G$5:$G$130="moeda")+(Inputs!$G$5:$G$130="acoes"))*Inputs!$B$1+((Inputs!$G$5:$G$130&lt;&gt;"moeda")*(Inputs!$G$5:$G$130&lt;&gt;"acoes")))*INDEX(Inputs!$K$5:$AJ$130,0,MATCH(V$2,Inputs!$K$4:$AJ$4,0)))+SUMPRODUCT((Inputs!$E$5:$E$130=$B19)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19" s="3" t="e">
        <f>V19</f>
        <v>#N/A</v>
      </c>
      <c r="X19" s="6" t="e">
        <f>IF(ISNA(MATCH(X$2,Inputs!$K$4:$AJ$4,0)),NA(),IF(SUMPRODUCT((Inputs!$A$5:$A$130=$B19)*ISNUMBER(INDEX(Inputs!$K$5:$AJ$130,0,MATCH(X$2,Inputs!$K$4:$AJ$4,0))))+SUMPRODUCT((Inputs!$C$5:$C$130=$B19)*ISNUMBER(INDEX(Inputs!$K$5:$AJ$130,0,MATCH(X$2,Inputs!$K$4:$AJ$4,0))))+SUMPRODUCT((Inputs!$E$5:$E$130=$B19)*ISNUMBER(INDEX(Inputs!$K$5:$AJ$130,0,MATCH(X$2,Inputs!$K$4:$AJ$4,0))))=0,NA(),SUMPRODUCT((Inputs!$A$5:$A$130=$B19)*Inputs!$B$5:$B$130*(((Inputs!$G$5:$G$130="moeda")+(Inputs!$G$5:$G$130="acoes"))*Inputs!$B$1+((Inputs!$G$5:$G$130&lt;&gt;"moeda")*(Inputs!$G$5:$G$130&lt;&gt;"acoes")))*INDEX(Inputs!$K$5:$AJ$130,0,MATCH(X$2,Inputs!$K$4:$AJ$4,0)))+SUMPRODUCT((Inputs!$C$5:$C$130=$B19)*Inputs!$D$5:$D$130*(((Inputs!$G$5:$G$130="moeda")+(Inputs!$G$5:$G$130="acoes"))*Inputs!$B$1+((Inputs!$G$5:$G$130&lt;&gt;"moeda")*(Inputs!$G$5:$G$130&lt;&gt;"acoes")))*INDEX(Inputs!$K$5:$AJ$130,0,MATCH(X$2,Inputs!$K$4:$AJ$4,0)))+SUMPRODUCT((Inputs!$E$5:$E$130=$B19)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19" s="6" t="e">
        <f>IF(ISNA(MATCH(Y$2,Inputs!$K$4:$AJ$4,0)),NA(),IF(SUMPRODUCT((Inputs!$A$5:$A$130=$B19)*ISNUMBER(INDEX(Inputs!$K$5:$AJ$130,0,MATCH(Y$2,Inputs!$K$4:$AJ$4,0))))+SUMPRODUCT((Inputs!$C$5:$C$130=$B19)*ISNUMBER(INDEX(Inputs!$K$5:$AJ$130,0,MATCH(Y$2,Inputs!$K$4:$AJ$4,0))))+SUMPRODUCT((Inputs!$E$5:$E$130=$B19)*ISNUMBER(INDEX(Inputs!$K$5:$AJ$130,0,MATCH(Y$2,Inputs!$K$4:$AJ$4,0))))=0,NA(),SUMPRODUCT((Inputs!$A$5:$A$130=$B19)*Inputs!$B$5:$B$130*(((Inputs!$G$5:$G$130="moeda")+(Inputs!$G$5:$G$130="acoes"))*Inputs!$B$1+((Inputs!$G$5:$G$130&lt;&gt;"moeda")*(Inputs!$G$5:$G$130&lt;&gt;"acoes")))*INDEX(Inputs!$K$5:$AJ$130,0,MATCH(Y$2,Inputs!$K$4:$AJ$4,0)))+SUMPRODUCT((Inputs!$C$5:$C$130=$B19)*Inputs!$D$5:$D$130*(((Inputs!$G$5:$G$130="moeda")+(Inputs!$G$5:$G$130="acoes"))*Inputs!$B$1+((Inputs!$G$5:$G$130&lt;&gt;"moeda")*(Inputs!$G$5:$G$130&lt;&gt;"acoes")))*INDEX(Inputs!$K$5:$AJ$130,0,MATCH(Y$2,Inputs!$K$4:$AJ$4,0)))+SUMPRODUCT((Inputs!$E$5:$E$130=$B19)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19" s="6" t="e">
        <f>IF(ISNA(MATCH(Z$2,Inputs!$K$4:$AJ$4,0)),NA(),IF(SUMPRODUCT((Inputs!$A$5:$A$130=$B19)*ISNUMBER(INDEX(Inputs!$K$5:$AJ$130,0,MATCH(Z$2,Inputs!$K$4:$AJ$4,0))))+SUMPRODUCT((Inputs!$C$5:$C$130=$B19)*ISNUMBER(INDEX(Inputs!$K$5:$AJ$130,0,MATCH(Z$2,Inputs!$K$4:$AJ$4,0))))+SUMPRODUCT((Inputs!$E$5:$E$130=$B19)*ISNUMBER(INDEX(Inputs!$K$5:$AJ$130,0,MATCH(Z$2,Inputs!$K$4:$AJ$4,0))))=0,NA(),SUMPRODUCT((Inputs!$A$5:$A$130=$B19)*Inputs!$B$5:$B$130*(((Inputs!$G$5:$G$130="moeda")+(Inputs!$G$5:$G$130="acoes"))*Inputs!$B$1+((Inputs!$G$5:$G$130&lt;&gt;"moeda")*(Inputs!$G$5:$G$130&lt;&gt;"acoes")))*INDEX(Inputs!$K$5:$AJ$130,0,MATCH(Z$2,Inputs!$K$4:$AJ$4,0)))+SUMPRODUCT((Inputs!$C$5:$C$130=$B19)*Inputs!$D$5:$D$130*(((Inputs!$G$5:$G$130="moeda")+(Inputs!$G$5:$G$130="acoes"))*Inputs!$B$1+((Inputs!$G$5:$G$130&lt;&gt;"moeda")*(Inputs!$G$5:$G$130&lt;&gt;"acoes")))*INDEX(Inputs!$K$5:$AJ$130,0,MATCH(Z$2,Inputs!$K$4:$AJ$4,0)))+SUMPRODUCT((Inputs!$E$5:$E$130=$B19)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19" s="6" t="e">
        <f>IF(ISNA(MATCH(AA$2,Inputs!$K$4:$AJ$4,0)),NA(),IF(SUMPRODUCT((Inputs!$A$5:$A$130=$B19)*ISNUMBER(INDEX(Inputs!$K$5:$AJ$130,0,MATCH(AA$2,Inputs!$K$4:$AJ$4,0))))+SUMPRODUCT((Inputs!$C$5:$C$130=$B19)*ISNUMBER(INDEX(Inputs!$K$5:$AJ$130,0,MATCH(AA$2,Inputs!$K$4:$AJ$4,0))))+SUMPRODUCT((Inputs!$E$5:$E$130=$B19)*ISNUMBER(INDEX(Inputs!$K$5:$AJ$130,0,MATCH(AA$2,Inputs!$K$4:$AJ$4,0))))=0,NA(),SUMPRODUCT((Inputs!$A$5:$A$130=$B19)*Inputs!$B$5:$B$130*(((Inputs!$G$5:$G$130="moeda")+(Inputs!$G$5:$G$130="acoes"))*Inputs!$B$1+((Inputs!$G$5:$G$130&lt;&gt;"moeda")*(Inputs!$G$5:$G$130&lt;&gt;"acoes")))*INDEX(Inputs!$K$5:$AJ$130,0,MATCH(AA$2,Inputs!$K$4:$AJ$4,0)))+SUMPRODUCT((Inputs!$C$5:$C$130=$B19)*Inputs!$D$5:$D$130*(((Inputs!$G$5:$G$130="moeda")+(Inputs!$G$5:$G$130="acoes"))*Inputs!$B$1+((Inputs!$G$5:$G$130&lt;&gt;"moeda")*(Inputs!$G$5:$G$130&lt;&gt;"acoes")))*INDEX(Inputs!$K$5:$AJ$130,0,MATCH(AA$2,Inputs!$K$4:$AJ$4,0)))+SUMPRODUCT((Inputs!$E$5:$E$130=$B19)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19" s="3" t="e">
        <f>AA19</f>
        <v>#N/A</v>
      </c>
      <c r="AC19" s="6" t="e">
        <f>IF(ISNA(MATCH(AC$2,Inputs!$K$4:$AJ$4,0)),NA(),IF(SUMPRODUCT((Inputs!$A$5:$A$130=$B19)*ISNUMBER(INDEX(Inputs!$K$5:$AJ$130,0,MATCH(AC$2,Inputs!$K$4:$AJ$4,0))))+SUMPRODUCT((Inputs!$C$5:$C$130=$B19)*ISNUMBER(INDEX(Inputs!$K$5:$AJ$130,0,MATCH(AC$2,Inputs!$K$4:$AJ$4,0))))+SUMPRODUCT((Inputs!$E$5:$E$130=$B19)*ISNUMBER(INDEX(Inputs!$K$5:$AJ$130,0,MATCH(AC$2,Inputs!$K$4:$AJ$4,0))))=0,NA(),SUMPRODUCT((Inputs!$A$5:$A$130=$B19)*Inputs!$B$5:$B$130*(((Inputs!$G$5:$G$130="moeda")+(Inputs!$G$5:$G$130="acoes"))*Inputs!$B$1+((Inputs!$G$5:$G$130&lt;&gt;"moeda")*(Inputs!$G$5:$G$130&lt;&gt;"acoes")))*INDEX(Inputs!$K$5:$AJ$130,0,MATCH(AC$2,Inputs!$K$4:$AJ$4,0)))+SUMPRODUCT((Inputs!$C$5:$C$130=$B19)*Inputs!$D$5:$D$130*(((Inputs!$G$5:$G$130="moeda")+(Inputs!$G$5:$G$130="acoes"))*Inputs!$B$1+((Inputs!$G$5:$G$130&lt;&gt;"moeda")*(Inputs!$G$5:$G$130&lt;&gt;"acoes")))*INDEX(Inputs!$K$5:$AJ$130,0,MATCH(AC$2,Inputs!$K$4:$AJ$4,0)))+SUMPRODUCT((Inputs!$E$5:$E$130=$B19)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19" s="6" t="e">
        <f>IF(ISNA(MATCH(AD$2,Inputs!$K$4:$AJ$4,0)),NA(),IF(SUMPRODUCT((Inputs!$A$5:$A$130=$B19)*ISNUMBER(INDEX(Inputs!$K$5:$AJ$130,0,MATCH(AD$2,Inputs!$K$4:$AJ$4,0))))+SUMPRODUCT((Inputs!$C$5:$C$130=$B19)*ISNUMBER(INDEX(Inputs!$K$5:$AJ$130,0,MATCH(AD$2,Inputs!$K$4:$AJ$4,0))))+SUMPRODUCT((Inputs!$E$5:$E$130=$B19)*ISNUMBER(INDEX(Inputs!$K$5:$AJ$130,0,MATCH(AD$2,Inputs!$K$4:$AJ$4,0))))=0,NA(),SUMPRODUCT((Inputs!$A$5:$A$130=$B19)*Inputs!$B$5:$B$130*(((Inputs!$G$5:$G$130="moeda")+(Inputs!$G$5:$G$130="acoes"))*Inputs!$B$1+((Inputs!$G$5:$G$130&lt;&gt;"moeda")*(Inputs!$G$5:$G$130&lt;&gt;"acoes")))*INDEX(Inputs!$K$5:$AJ$130,0,MATCH(AD$2,Inputs!$K$4:$AJ$4,0)))+SUMPRODUCT((Inputs!$C$5:$C$130=$B19)*Inputs!$D$5:$D$130*(((Inputs!$G$5:$G$130="moeda")+(Inputs!$G$5:$G$130="acoes"))*Inputs!$B$1+((Inputs!$G$5:$G$130&lt;&gt;"moeda")*(Inputs!$G$5:$G$130&lt;&gt;"acoes")))*INDEX(Inputs!$K$5:$AJ$130,0,MATCH(AD$2,Inputs!$K$4:$AJ$4,0)))+SUMPRODUCT((Inputs!$E$5:$E$130=$B19)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19" s="6" t="e">
        <f>IF(ISNA(MATCH(AE$2,Inputs!$K$4:$AJ$4,0)),NA(),IF(SUMPRODUCT((Inputs!$A$5:$A$130=$B19)*ISNUMBER(INDEX(Inputs!$K$5:$AJ$130,0,MATCH(AE$2,Inputs!$K$4:$AJ$4,0))))+SUMPRODUCT((Inputs!$C$5:$C$130=$B19)*ISNUMBER(INDEX(Inputs!$K$5:$AJ$130,0,MATCH(AE$2,Inputs!$K$4:$AJ$4,0))))+SUMPRODUCT((Inputs!$E$5:$E$130=$B19)*ISNUMBER(INDEX(Inputs!$K$5:$AJ$130,0,MATCH(AE$2,Inputs!$K$4:$AJ$4,0))))=0,NA(),SUMPRODUCT((Inputs!$A$5:$A$130=$B19)*Inputs!$B$5:$B$130*(((Inputs!$G$5:$G$130="moeda")+(Inputs!$G$5:$G$130="acoes"))*Inputs!$B$1+((Inputs!$G$5:$G$130&lt;&gt;"moeda")*(Inputs!$G$5:$G$130&lt;&gt;"acoes")))*INDEX(Inputs!$K$5:$AJ$130,0,MATCH(AE$2,Inputs!$K$4:$AJ$4,0)))+SUMPRODUCT((Inputs!$C$5:$C$130=$B19)*Inputs!$D$5:$D$130*(((Inputs!$G$5:$G$130="moeda")+(Inputs!$G$5:$G$130="acoes"))*Inputs!$B$1+((Inputs!$G$5:$G$130&lt;&gt;"moeda")*(Inputs!$G$5:$G$130&lt;&gt;"acoes")))*INDEX(Inputs!$K$5:$AJ$130,0,MATCH(AE$2,Inputs!$K$4:$AJ$4,0)))+SUMPRODUCT((Inputs!$E$5:$E$130=$B19)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9" s="6" t="e">
        <f>IF(ISNA(MATCH(AF$2,Inputs!$K$4:$AJ$4,0)),NA(),IF(SUMPRODUCT((Inputs!$A$5:$A$130=$B19)*ISNUMBER(INDEX(Inputs!$K$5:$AJ$130,0,MATCH(AF$2,Inputs!$K$4:$AJ$4,0))))+SUMPRODUCT((Inputs!$C$5:$C$130=$B19)*ISNUMBER(INDEX(Inputs!$K$5:$AJ$130,0,MATCH(AF$2,Inputs!$K$4:$AJ$4,0))))+SUMPRODUCT((Inputs!$E$5:$E$130=$B19)*ISNUMBER(INDEX(Inputs!$K$5:$AJ$130,0,MATCH(AF$2,Inputs!$K$4:$AJ$4,0))))=0,NA(),SUMPRODUCT((Inputs!$A$5:$A$130=$B19)*Inputs!$B$5:$B$130*(((Inputs!$G$5:$G$130="moeda")+(Inputs!$G$5:$G$130="acoes"))*Inputs!$B$1+((Inputs!$G$5:$G$130&lt;&gt;"moeda")*(Inputs!$G$5:$G$130&lt;&gt;"acoes")))*INDEX(Inputs!$K$5:$AJ$130,0,MATCH(AF$2,Inputs!$K$4:$AJ$4,0)))+SUMPRODUCT((Inputs!$C$5:$C$130=$B19)*Inputs!$D$5:$D$130*(((Inputs!$G$5:$G$130="moeda")+(Inputs!$G$5:$G$130="acoes"))*Inputs!$B$1+((Inputs!$G$5:$G$130&lt;&gt;"moeda")*(Inputs!$G$5:$G$130&lt;&gt;"acoes")))*INDEX(Inputs!$K$5:$AJ$130,0,MATCH(AF$2,Inputs!$K$4:$AJ$4,0)))+SUMPRODUCT((Inputs!$E$5:$E$130=$B19)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9" s="3" t="e">
        <f>AF19</f>
        <v>#N/A</v>
      </c>
      <c r="AH19" s="6" t="e">
        <f>IF(ISNA(MATCH(AH$2,Inputs!$K$4:$AJ$4,0)),NA(),IF(SUMPRODUCT((Inputs!$A$5:$A$130=$B19)*ISNUMBER(INDEX(Inputs!$K$5:$AJ$130,0,MATCH(AH$2,Inputs!$K$4:$AJ$4,0))))+SUMPRODUCT((Inputs!$C$5:$C$130=$B19)*ISNUMBER(INDEX(Inputs!$K$5:$AJ$130,0,MATCH(AH$2,Inputs!$K$4:$AJ$4,0))))+SUMPRODUCT((Inputs!$E$5:$E$130=$B19)*ISNUMBER(INDEX(Inputs!$K$5:$AJ$130,0,MATCH(AH$2,Inputs!$K$4:$AJ$4,0))))=0,NA(),SUMPRODUCT((Inputs!$A$5:$A$130=$B19)*Inputs!$B$5:$B$130*(((Inputs!$G$5:$G$130="moeda")+(Inputs!$G$5:$G$130="acoes"))*Inputs!$B$1+((Inputs!$G$5:$G$130&lt;&gt;"moeda")*(Inputs!$G$5:$G$130&lt;&gt;"acoes")))*INDEX(Inputs!$K$5:$AJ$130,0,MATCH(AH$2,Inputs!$K$4:$AJ$4,0)))+SUMPRODUCT((Inputs!$C$5:$C$130=$B19)*Inputs!$D$5:$D$130*(((Inputs!$G$5:$G$130="moeda")+(Inputs!$G$5:$G$130="acoes"))*Inputs!$B$1+((Inputs!$G$5:$G$130&lt;&gt;"moeda")*(Inputs!$G$5:$G$130&lt;&gt;"acoes")))*INDEX(Inputs!$K$5:$AJ$130,0,MATCH(AH$2,Inputs!$K$4:$AJ$4,0)))+SUMPRODUCT((Inputs!$E$5:$E$130=$B19)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19" s="6" t="e">
        <f>IF(ISNA(MATCH(AI$2,Inputs!$K$4:$AJ$4,0)),NA(),IF(SUMPRODUCT((Inputs!$A$5:$A$130=$B19)*ISNUMBER(INDEX(Inputs!$K$5:$AJ$130,0,MATCH(AI$2,Inputs!$K$4:$AJ$4,0))))+SUMPRODUCT((Inputs!$C$5:$C$130=$B19)*ISNUMBER(INDEX(Inputs!$K$5:$AJ$130,0,MATCH(AI$2,Inputs!$K$4:$AJ$4,0))))+SUMPRODUCT((Inputs!$E$5:$E$130=$B19)*ISNUMBER(INDEX(Inputs!$K$5:$AJ$130,0,MATCH(AI$2,Inputs!$K$4:$AJ$4,0))))=0,NA(),SUMPRODUCT((Inputs!$A$5:$A$130=$B19)*Inputs!$B$5:$B$130*(((Inputs!$G$5:$G$130="moeda")+(Inputs!$G$5:$G$130="acoes"))*Inputs!$B$1+((Inputs!$G$5:$G$130&lt;&gt;"moeda")*(Inputs!$G$5:$G$130&lt;&gt;"acoes")))*INDEX(Inputs!$K$5:$AJ$130,0,MATCH(AI$2,Inputs!$K$4:$AJ$4,0)))+SUMPRODUCT((Inputs!$C$5:$C$130=$B19)*Inputs!$D$5:$D$130*(((Inputs!$G$5:$G$130="moeda")+(Inputs!$G$5:$G$130="acoes"))*Inputs!$B$1+((Inputs!$G$5:$G$130&lt;&gt;"moeda")*(Inputs!$G$5:$G$130&lt;&gt;"acoes")))*INDEX(Inputs!$K$5:$AJ$130,0,MATCH(AI$2,Inputs!$K$4:$AJ$4,0)))+SUMPRODUCT((Inputs!$E$5:$E$130=$B19)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19" s="6" t="e">
        <f>IF(ISNA(MATCH(AJ$2,Inputs!$K$4:$AJ$4,0)),NA(),IF(SUMPRODUCT((Inputs!$A$5:$A$130=$B19)*ISNUMBER(INDEX(Inputs!$K$5:$AJ$130,0,MATCH(AJ$2,Inputs!$K$4:$AJ$4,0))))+SUMPRODUCT((Inputs!$C$5:$C$130=$B19)*ISNUMBER(INDEX(Inputs!$K$5:$AJ$130,0,MATCH(AJ$2,Inputs!$K$4:$AJ$4,0))))+SUMPRODUCT((Inputs!$E$5:$E$130=$B19)*ISNUMBER(INDEX(Inputs!$K$5:$AJ$130,0,MATCH(AJ$2,Inputs!$K$4:$AJ$4,0))))=0,NA(),SUMPRODUCT((Inputs!$A$5:$A$130=$B19)*Inputs!$B$5:$B$130*(((Inputs!$G$5:$G$130="moeda")+(Inputs!$G$5:$G$130="acoes"))*Inputs!$B$1+((Inputs!$G$5:$G$130&lt;&gt;"moeda")*(Inputs!$G$5:$G$130&lt;&gt;"acoes")))*INDEX(Inputs!$K$5:$AJ$130,0,MATCH(AJ$2,Inputs!$K$4:$AJ$4,0)))+SUMPRODUCT((Inputs!$C$5:$C$130=$B19)*Inputs!$D$5:$D$130*(((Inputs!$G$5:$G$130="moeda")+(Inputs!$G$5:$G$130="acoes"))*Inputs!$B$1+((Inputs!$G$5:$G$130&lt;&gt;"moeda")*(Inputs!$G$5:$G$130&lt;&gt;"acoes")))*INDEX(Inputs!$K$5:$AJ$130,0,MATCH(AJ$2,Inputs!$K$4:$AJ$4,0)))+SUMPRODUCT((Inputs!$E$5:$E$130=$B19)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19" s="6" t="e">
        <f>IF(ISNA(MATCH(AK$2,Inputs!$K$4:$AJ$4,0)),NA(),IF(SUMPRODUCT((Inputs!$A$5:$A$130=$B19)*ISNUMBER(INDEX(Inputs!$K$5:$AJ$130,0,MATCH(AK$2,Inputs!$K$4:$AJ$4,0))))+SUMPRODUCT((Inputs!$C$5:$C$130=$B19)*ISNUMBER(INDEX(Inputs!$K$5:$AJ$130,0,MATCH(AK$2,Inputs!$K$4:$AJ$4,0))))+SUMPRODUCT((Inputs!$E$5:$E$130=$B19)*ISNUMBER(INDEX(Inputs!$K$5:$AJ$130,0,MATCH(AK$2,Inputs!$K$4:$AJ$4,0))))=0,NA(),SUMPRODUCT((Inputs!$A$5:$A$130=$B19)*Inputs!$B$5:$B$130*(((Inputs!$G$5:$G$130="moeda")+(Inputs!$G$5:$G$130="acoes"))*Inputs!$B$1+((Inputs!$G$5:$G$130&lt;&gt;"moeda")*(Inputs!$G$5:$G$130&lt;&gt;"acoes")))*INDEX(Inputs!$K$5:$AJ$130,0,MATCH(AK$2,Inputs!$K$4:$AJ$4,0)))+SUMPRODUCT((Inputs!$C$5:$C$130=$B19)*Inputs!$D$5:$D$130*(((Inputs!$G$5:$G$130="moeda")+(Inputs!$G$5:$G$130="acoes"))*Inputs!$B$1+((Inputs!$G$5:$G$130&lt;&gt;"moeda")*(Inputs!$G$5:$G$130&lt;&gt;"acoes")))*INDEX(Inputs!$K$5:$AJ$130,0,MATCH(AK$2,Inputs!$K$4:$AJ$4,0)))+SUMPRODUCT((Inputs!$E$5:$E$130=$B19)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19" s="3" t="e">
        <f>AK19</f>
        <v>#N/A</v>
      </c>
    </row>
    <row r="20">
      <c r="B20" s="46" t="n">
        <v>16</v>
      </c>
      <c r="C20" s="26" t="inlineStr">
        <is>
          <t>Other current assets</t>
        </is>
      </c>
      <c r="D20" s="6">
        <f>IF(ISNA(MATCH(D$2,Inputs!$K$4:$AJ$4,0)),NA(),IF(SUMPRODUCT((Inputs!$A$5:$A$130=$B20)*ISNUMBER(INDEX(Inputs!$K$5:$AJ$130,0,MATCH(D$2,Inputs!$K$4:$AJ$4,0))))+SUMPRODUCT((Inputs!$C$5:$C$130=$B20)*ISNUMBER(INDEX(Inputs!$K$5:$AJ$130,0,MATCH(D$2,Inputs!$K$4:$AJ$4,0))))+SUMPRODUCT((Inputs!$E$5:$E$130=$B20)*ISNUMBER(INDEX(Inputs!$K$5:$AJ$130,0,MATCH(D$2,Inputs!$K$4:$AJ$4,0))))=0,NA(),SUMPRODUCT((Inputs!$A$5:$A$130=$B20)*Inputs!$B$5:$B$130*(((Inputs!$G$5:$G$130="moeda")+(Inputs!$G$5:$G$130="acoes"))*Inputs!$B$1+((Inputs!$G$5:$G$130&lt;&gt;"moeda")*(Inputs!$G$5:$G$130&lt;&gt;"acoes")))*INDEX(Inputs!$K$5:$AJ$130,0,MATCH(D$2,Inputs!$K$4:$AJ$4,0)))+SUMPRODUCT((Inputs!$C$5:$C$130=$B20)*Inputs!$D$5:$D$130*(((Inputs!$G$5:$G$130="moeda")+(Inputs!$G$5:$G$130="acoes"))*Inputs!$B$1+((Inputs!$G$5:$G$130&lt;&gt;"moeda")*(Inputs!$G$5:$G$130&lt;&gt;"acoes")))*INDEX(Inputs!$K$5:$AJ$130,0,MATCH(D$2,Inputs!$K$4:$AJ$4,0)))+SUMPRODUCT((Inputs!$E$5:$E$130=$B20)*Inputs!$F$5:$F$130*(((Inputs!$G$5:$G$130="moeda")+(Inputs!$G$5:$G$130="acoes"))*Inputs!$B$1+((Inputs!$G$5:$G$130&lt;&gt;"moeda")*(Inputs!$G$5:$G$130&lt;&gt;"acoes")))*INDEX(Inputs!$K$5:$AJ$130,0,MATCH(D$2,Inputs!$K$4:$AJ$4,0)))))</f>
        <v>444</v>
      </c>
      <c r="E20" s="6">
        <f>IF(ISNA(MATCH(E$2,Inputs!$K$4:$AJ$4,0)),NA(),IF(SUMPRODUCT((Inputs!$A$5:$A$130=$B20)*ISNUMBER(INDEX(Inputs!$K$5:$AJ$130,0,MATCH(E$2,Inputs!$K$4:$AJ$4,0))))+SUMPRODUCT((Inputs!$C$5:$C$130=$B20)*ISNUMBER(INDEX(Inputs!$K$5:$AJ$130,0,MATCH(E$2,Inputs!$K$4:$AJ$4,0))))+SUMPRODUCT((Inputs!$E$5:$E$130=$B20)*ISNUMBER(INDEX(Inputs!$K$5:$AJ$130,0,MATCH(E$2,Inputs!$K$4:$AJ$4,0))))=0,NA(),SUMPRODUCT((Inputs!$A$5:$A$130=$B20)*Inputs!$B$5:$B$130*(((Inputs!$G$5:$G$130="moeda")+(Inputs!$G$5:$G$130="acoes"))*Inputs!$B$1+((Inputs!$G$5:$G$130&lt;&gt;"moeda")*(Inputs!$G$5:$G$130&lt;&gt;"acoes")))*INDEX(Inputs!$K$5:$AJ$130,0,MATCH(E$2,Inputs!$K$4:$AJ$4,0)))+SUMPRODUCT((Inputs!$C$5:$C$130=$B20)*Inputs!$D$5:$D$130*(((Inputs!$G$5:$G$130="moeda")+(Inputs!$G$5:$G$130="acoes"))*Inputs!$B$1+((Inputs!$G$5:$G$130&lt;&gt;"moeda")*(Inputs!$G$5:$G$130&lt;&gt;"acoes")))*INDEX(Inputs!$K$5:$AJ$130,0,MATCH(E$2,Inputs!$K$4:$AJ$4,0)))+SUMPRODUCT((Inputs!$E$5:$E$130=$B20)*Inputs!$F$5:$F$130*(((Inputs!$G$5:$G$130="moeda")+(Inputs!$G$5:$G$130="acoes"))*Inputs!$B$1+((Inputs!$G$5:$G$130&lt;&gt;"moeda")*(Inputs!$G$5:$G$130&lt;&gt;"acoes")))*INDEX(Inputs!$K$5:$AJ$130,0,MATCH(E$2,Inputs!$K$4:$AJ$4,0)))))</f>
        <v>452</v>
      </c>
      <c r="F20" s="6">
        <f>IF(ISNA(MATCH(F$2,Inputs!$K$4:$AJ$4,0)),NA(),IF(SUMPRODUCT((Inputs!$A$5:$A$130=$B20)*ISNUMBER(INDEX(Inputs!$K$5:$AJ$130,0,MATCH(F$2,Inputs!$K$4:$AJ$4,0))))+SUMPRODUCT((Inputs!$C$5:$C$130=$B20)*ISNUMBER(INDEX(Inputs!$K$5:$AJ$130,0,MATCH(F$2,Inputs!$K$4:$AJ$4,0))))+SUMPRODUCT((Inputs!$E$5:$E$130=$B20)*ISNUMBER(INDEX(Inputs!$K$5:$AJ$130,0,MATCH(F$2,Inputs!$K$4:$AJ$4,0))))=0,NA(),SUMPRODUCT((Inputs!$A$5:$A$130=$B20)*Inputs!$B$5:$B$130*(((Inputs!$G$5:$G$130="moeda")+(Inputs!$G$5:$G$130="acoes"))*Inputs!$B$1+((Inputs!$G$5:$G$130&lt;&gt;"moeda")*(Inputs!$G$5:$G$130&lt;&gt;"acoes")))*INDEX(Inputs!$K$5:$AJ$130,0,MATCH(F$2,Inputs!$K$4:$AJ$4,0)))+SUMPRODUCT((Inputs!$C$5:$C$130=$B20)*Inputs!$D$5:$D$130*(((Inputs!$G$5:$G$130="moeda")+(Inputs!$G$5:$G$130="acoes"))*Inputs!$B$1+((Inputs!$G$5:$G$130&lt;&gt;"moeda")*(Inputs!$G$5:$G$130&lt;&gt;"acoes")))*INDEX(Inputs!$K$5:$AJ$130,0,MATCH(F$2,Inputs!$K$4:$AJ$4,0)))+SUMPRODUCT((Inputs!$E$5:$E$130=$B20)*Inputs!$F$5:$F$130*(((Inputs!$G$5:$G$130="moeda")+(Inputs!$G$5:$G$130="acoes"))*Inputs!$B$1+((Inputs!$G$5:$G$130&lt;&gt;"moeda")*(Inputs!$G$5:$G$130&lt;&gt;"acoes")))*INDEX(Inputs!$K$5:$AJ$130,0,MATCH(F$2,Inputs!$K$4:$AJ$4,0)))))</f>
        <v>321</v>
      </c>
      <c r="G20" s="6">
        <f>IF(ISNA(MATCH(G$2,Inputs!$K$4:$AJ$4,0)),NA(),IF(SUMPRODUCT((Inputs!$A$5:$A$130=$B20)*ISNUMBER(INDEX(Inputs!$K$5:$AJ$130,0,MATCH(G$2,Inputs!$K$4:$AJ$4,0))))+SUMPRODUCT((Inputs!$C$5:$C$130=$B20)*ISNUMBER(INDEX(Inputs!$K$5:$AJ$130,0,MATCH(G$2,Inputs!$K$4:$AJ$4,0))))+SUMPRODUCT((Inputs!$E$5:$E$130=$B20)*ISNUMBER(INDEX(Inputs!$K$5:$AJ$130,0,MATCH(G$2,Inputs!$K$4:$AJ$4,0))))=0,NA(),SUMPRODUCT((Inputs!$A$5:$A$130=$B20)*Inputs!$B$5:$B$130*(((Inputs!$G$5:$G$130="moeda")+(Inputs!$G$5:$G$130="acoes"))*Inputs!$B$1+((Inputs!$G$5:$G$130&lt;&gt;"moeda")*(Inputs!$G$5:$G$130&lt;&gt;"acoes")))*INDEX(Inputs!$K$5:$AJ$130,0,MATCH(G$2,Inputs!$K$4:$AJ$4,0)))+SUMPRODUCT((Inputs!$C$5:$C$130=$B20)*Inputs!$D$5:$D$130*(((Inputs!$G$5:$G$130="moeda")+(Inputs!$G$5:$G$130="acoes"))*Inputs!$B$1+((Inputs!$G$5:$G$130&lt;&gt;"moeda")*(Inputs!$G$5:$G$130&lt;&gt;"acoes")))*INDEX(Inputs!$K$5:$AJ$130,0,MATCH(G$2,Inputs!$K$4:$AJ$4,0)))+SUMPRODUCT((Inputs!$E$5:$E$130=$B20)*Inputs!$F$5:$F$130*(((Inputs!$G$5:$G$130="moeda")+(Inputs!$G$5:$G$130="acoes"))*Inputs!$B$1+((Inputs!$G$5:$G$130&lt;&gt;"moeda")*(Inputs!$G$5:$G$130&lt;&gt;"acoes")))*INDEX(Inputs!$K$5:$AJ$130,0,MATCH(G$2,Inputs!$K$4:$AJ$4,0)))))</f>
        <v>366</v>
      </c>
      <c r="H20" s="3">
        <f>G20</f>
        <v>366</v>
      </c>
      <c r="I20" s="6">
        <f>IF(ISNA(MATCH(I$2,Inputs!$K$4:$AJ$4,0)),NA(),IF(SUMPRODUCT((Inputs!$A$5:$A$130=$B20)*ISNUMBER(INDEX(Inputs!$K$5:$AJ$130,0,MATCH(I$2,Inputs!$K$4:$AJ$4,0))))+SUMPRODUCT((Inputs!$C$5:$C$130=$B20)*ISNUMBER(INDEX(Inputs!$K$5:$AJ$130,0,MATCH(I$2,Inputs!$K$4:$AJ$4,0))))+SUMPRODUCT((Inputs!$E$5:$E$130=$B20)*ISNUMBER(INDEX(Inputs!$K$5:$AJ$130,0,MATCH(I$2,Inputs!$K$4:$AJ$4,0))))=0,NA(),SUMPRODUCT((Inputs!$A$5:$A$130=$B20)*Inputs!$B$5:$B$130*(((Inputs!$G$5:$G$130="moeda")+(Inputs!$G$5:$G$130="acoes"))*Inputs!$B$1+((Inputs!$G$5:$G$130&lt;&gt;"moeda")*(Inputs!$G$5:$G$130&lt;&gt;"acoes")))*INDEX(Inputs!$K$5:$AJ$130,0,MATCH(I$2,Inputs!$K$4:$AJ$4,0)))+SUMPRODUCT((Inputs!$C$5:$C$130=$B20)*Inputs!$D$5:$D$130*(((Inputs!$G$5:$G$130="moeda")+(Inputs!$G$5:$G$130="acoes"))*Inputs!$B$1+((Inputs!$G$5:$G$130&lt;&gt;"moeda")*(Inputs!$G$5:$G$130&lt;&gt;"acoes")))*INDEX(Inputs!$K$5:$AJ$130,0,MATCH(I$2,Inputs!$K$4:$AJ$4,0)))+SUMPRODUCT((Inputs!$E$5:$E$130=$B20)*Inputs!$F$5:$F$130*(((Inputs!$G$5:$G$130="moeda")+(Inputs!$G$5:$G$130="acoes"))*Inputs!$B$1+((Inputs!$G$5:$G$130&lt;&gt;"moeda")*(Inputs!$G$5:$G$130&lt;&gt;"acoes")))*INDEX(Inputs!$K$5:$AJ$130,0,MATCH(I$2,Inputs!$K$4:$AJ$4,0)))))</f>
        <v>636</v>
      </c>
      <c r="J20" s="6">
        <f>IF(ISNA(MATCH(J$2,Inputs!$K$4:$AJ$4,0)),NA(),IF(SUMPRODUCT((Inputs!$A$5:$A$130=$B20)*ISNUMBER(INDEX(Inputs!$K$5:$AJ$130,0,MATCH(J$2,Inputs!$K$4:$AJ$4,0))))+SUMPRODUCT((Inputs!$C$5:$C$130=$B20)*ISNUMBER(INDEX(Inputs!$K$5:$AJ$130,0,MATCH(J$2,Inputs!$K$4:$AJ$4,0))))+SUMPRODUCT((Inputs!$E$5:$E$130=$B20)*ISNUMBER(INDEX(Inputs!$K$5:$AJ$130,0,MATCH(J$2,Inputs!$K$4:$AJ$4,0))))=0,NA(),SUMPRODUCT((Inputs!$A$5:$A$130=$B20)*Inputs!$B$5:$B$130*(((Inputs!$G$5:$G$130="moeda")+(Inputs!$G$5:$G$130="acoes"))*Inputs!$B$1+((Inputs!$G$5:$G$130&lt;&gt;"moeda")*(Inputs!$G$5:$G$130&lt;&gt;"acoes")))*INDEX(Inputs!$K$5:$AJ$130,0,MATCH(J$2,Inputs!$K$4:$AJ$4,0)))+SUMPRODUCT((Inputs!$C$5:$C$130=$B20)*Inputs!$D$5:$D$130*(((Inputs!$G$5:$G$130="moeda")+(Inputs!$G$5:$G$130="acoes"))*Inputs!$B$1+((Inputs!$G$5:$G$130&lt;&gt;"moeda")*(Inputs!$G$5:$G$130&lt;&gt;"acoes")))*INDEX(Inputs!$K$5:$AJ$130,0,MATCH(J$2,Inputs!$K$4:$AJ$4,0)))+SUMPRODUCT((Inputs!$E$5:$E$130=$B20)*Inputs!$F$5:$F$130*(((Inputs!$G$5:$G$130="moeda")+(Inputs!$G$5:$G$130="acoes"))*Inputs!$B$1+((Inputs!$G$5:$G$130&lt;&gt;"moeda")*(Inputs!$G$5:$G$130&lt;&gt;"acoes")))*INDEX(Inputs!$K$5:$AJ$130,0,MATCH(J$2,Inputs!$K$4:$AJ$4,0)))))</f>
        <v>1175</v>
      </c>
      <c r="K20" s="6">
        <f>IF(ISNA(MATCH(K$2,Inputs!$K$4:$AJ$4,0)),NA(),IF(SUMPRODUCT((Inputs!$A$5:$A$130=$B20)*ISNUMBER(INDEX(Inputs!$K$5:$AJ$130,0,MATCH(K$2,Inputs!$K$4:$AJ$4,0))))+SUMPRODUCT((Inputs!$C$5:$C$130=$B20)*ISNUMBER(INDEX(Inputs!$K$5:$AJ$130,0,MATCH(K$2,Inputs!$K$4:$AJ$4,0))))+SUMPRODUCT((Inputs!$E$5:$E$130=$B20)*ISNUMBER(INDEX(Inputs!$K$5:$AJ$130,0,MATCH(K$2,Inputs!$K$4:$AJ$4,0))))=0,NA(),SUMPRODUCT((Inputs!$A$5:$A$130=$B20)*Inputs!$B$5:$B$130*(((Inputs!$G$5:$G$130="moeda")+(Inputs!$G$5:$G$130="acoes"))*Inputs!$B$1+((Inputs!$G$5:$G$130&lt;&gt;"moeda")*(Inputs!$G$5:$G$130&lt;&gt;"acoes")))*INDEX(Inputs!$K$5:$AJ$130,0,MATCH(K$2,Inputs!$K$4:$AJ$4,0)))+SUMPRODUCT((Inputs!$C$5:$C$130=$B20)*Inputs!$D$5:$D$130*(((Inputs!$G$5:$G$130="moeda")+(Inputs!$G$5:$G$130="acoes"))*Inputs!$B$1+((Inputs!$G$5:$G$130&lt;&gt;"moeda")*(Inputs!$G$5:$G$130&lt;&gt;"acoes")))*INDEX(Inputs!$K$5:$AJ$130,0,MATCH(K$2,Inputs!$K$4:$AJ$4,0)))+SUMPRODUCT((Inputs!$E$5:$E$130=$B20)*Inputs!$F$5:$F$130*(((Inputs!$G$5:$G$130="moeda")+(Inputs!$G$5:$G$130="acoes"))*Inputs!$B$1+((Inputs!$G$5:$G$130&lt;&gt;"moeda")*(Inputs!$G$5:$G$130&lt;&gt;"acoes")))*INDEX(Inputs!$K$5:$AJ$130,0,MATCH(K$2,Inputs!$K$4:$AJ$4,0)))))</f>
        <v>718</v>
      </c>
      <c r="L20" s="6">
        <f>IF(ISNA(MATCH(L$2,Inputs!$K$4:$AJ$4,0)),NA(),IF(SUMPRODUCT((Inputs!$A$5:$A$130=$B20)*ISNUMBER(INDEX(Inputs!$K$5:$AJ$130,0,MATCH(L$2,Inputs!$K$4:$AJ$4,0))))+SUMPRODUCT((Inputs!$C$5:$C$130=$B20)*ISNUMBER(INDEX(Inputs!$K$5:$AJ$130,0,MATCH(L$2,Inputs!$K$4:$AJ$4,0))))+SUMPRODUCT((Inputs!$E$5:$E$130=$B20)*ISNUMBER(INDEX(Inputs!$K$5:$AJ$130,0,MATCH(L$2,Inputs!$K$4:$AJ$4,0))))=0,NA(),SUMPRODUCT((Inputs!$A$5:$A$130=$B20)*Inputs!$B$5:$B$130*(((Inputs!$G$5:$G$130="moeda")+(Inputs!$G$5:$G$130="acoes"))*Inputs!$B$1+((Inputs!$G$5:$G$130&lt;&gt;"moeda")*(Inputs!$G$5:$G$130&lt;&gt;"acoes")))*INDEX(Inputs!$K$5:$AJ$130,0,MATCH(L$2,Inputs!$K$4:$AJ$4,0)))+SUMPRODUCT((Inputs!$C$5:$C$130=$B20)*Inputs!$D$5:$D$130*(((Inputs!$G$5:$G$130="moeda")+(Inputs!$G$5:$G$130="acoes"))*Inputs!$B$1+((Inputs!$G$5:$G$130&lt;&gt;"moeda")*(Inputs!$G$5:$G$130&lt;&gt;"acoes")))*INDEX(Inputs!$K$5:$AJ$130,0,MATCH(L$2,Inputs!$K$4:$AJ$4,0)))+SUMPRODUCT((Inputs!$E$5:$E$130=$B20)*Inputs!$F$5:$F$130*(((Inputs!$G$5:$G$130="moeda")+(Inputs!$G$5:$G$130="acoes"))*Inputs!$B$1+((Inputs!$G$5:$G$130&lt;&gt;"moeda")*(Inputs!$G$5:$G$130&lt;&gt;"acoes")))*INDEX(Inputs!$K$5:$AJ$130,0,MATCH(L$2,Inputs!$K$4:$AJ$4,0)))))</f>
        <v>791</v>
      </c>
      <c r="M20" s="3">
        <f>L20</f>
        <v>791</v>
      </c>
      <c r="N20" s="6">
        <f>IF(ISNA(MATCH(N$2,Inputs!$K$4:$AJ$4,0)),NA(),IF(SUMPRODUCT((Inputs!$A$5:$A$130=$B20)*ISNUMBER(INDEX(Inputs!$K$5:$AJ$130,0,MATCH(N$2,Inputs!$K$4:$AJ$4,0))))+SUMPRODUCT((Inputs!$C$5:$C$130=$B20)*ISNUMBER(INDEX(Inputs!$K$5:$AJ$130,0,MATCH(N$2,Inputs!$K$4:$AJ$4,0))))+SUMPRODUCT((Inputs!$E$5:$E$130=$B20)*ISNUMBER(INDEX(Inputs!$K$5:$AJ$130,0,MATCH(N$2,Inputs!$K$4:$AJ$4,0))))=0,NA(),SUMPRODUCT((Inputs!$A$5:$A$130=$B20)*Inputs!$B$5:$B$130*(((Inputs!$G$5:$G$130="moeda")+(Inputs!$G$5:$G$130="acoes"))*Inputs!$B$1+((Inputs!$G$5:$G$130&lt;&gt;"moeda")*(Inputs!$G$5:$G$130&lt;&gt;"acoes")))*INDEX(Inputs!$K$5:$AJ$130,0,MATCH(N$2,Inputs!$K$4:$AJ$4,0)))+SUMPRODUCT((Inputs!$C$5:$C$130=$B20)*Inputs!$D$5:$D$130*(((Inputs!$G$5:$G$130="moeda")+(Inputs!$G$5:$G$130="acoes"))*Inputs!$B$1+((Inputs!$G$5:$G$130&lt;&gt;"moeda")*(Inputs!$G$5:$G$130&lt;&gt;"acoes")))*INDEX(Inputs!$K$5:$AJ$130,0,MATCH(N$2,Inputs!$K$4:$AJ$4,0)))+SUMPRODUCT((Inputs!$E$5:$E$130=$B20)*Inputs!$F$5:$F$130*(((Inputs!$G$5:$G$130="moeda")+(Inputs!$G$5:$G$130="acoes"))*Inputs!$B$1+((Inputs!$G$5:$G$130&lt;&gt;"moeda")*(Inputs!$G$5:$G$130&lt;&gt;"acoes")))*INDEX(Inputs!$K$5:$AJ$130,0,MATCH(N$2,Inputs!$K$4:$AJ$4,0)))))</f>
        <v>872</v>
      </c>
      <c r="O20" s="6">
        <f>IF(ISNA(MATCH(O$2,Inputs!$K$4:$AJ$4,0)),NA(),IF(SUMPRODUCT((Inputs!$A$5:$A$130=$B20)*ISNUMBER(INDEX(Inputs!$K$5:$AJ$130,0,MATCH(O$2,Inputs!$K$4:$AJ$4,0))))+SUMPRODUCT((Inputs!$C$5:$C$130=$B20)*ISNUMBER(INDEX(Inputs!$K$5:$AJ$130,0,MATCH(O$2,Inputs!$K$4:$AJ$4,0))))+SUMPRODUCT((Inputs!$E$5:$E$130=$B20)*ISNUMBER(INDEX(Inputs!$K$5:$AJ$130,0,MATCH(O$2,Inputs!$K$4:$AJ$4,0))))=0,NA(),SUMPRODUCT((Inputs!$A$5:$A$130=$B20)*Inputs!$B$5:$B$130*(((Inputs!$G$5:$G$130="moeda")+(Inputs!$G$5:$G$130="acoes"))*Inputs!$B$1+((Inputs!$G$5:$G$130&lt;&gt;"moeda")*(Inputs!$G$5:$G$130&lt;&gt;"acoes")))*INDEX(Inputs!$K$5:$AJ$130,0,MATCH(O$2,Inputs!$K$4:$AJ$4,0)))+SUMPRODUCT((Inputs!$C$5:$C$130=$B20)*Inputs!$D$5:$D$130*(((Inputs!$G$5:$G$130="moeda")+(Inputs!$G$5:$G$130="acoes"))*Inputs!$B$1+((Inputs!$G$5:$G$130&lt;&gt;"moeda")*(Inputs!$G$5:$G$130&lt;&gt;"acoes")))*INDEX(Inputs!$K$5:$AJ$130,0,MATCH(O$2,Inputs!$K$4:$AJ$4,0)))+SUMPRODUCT((Inputs!$E$5:$E$130=$B20)*Inputs!$F$5:$F$130*(((Inputs!$G$5:$G$130="moeda")+(Inputs!$G$5:$G$130="acoes"))*Inputs!$B$1+((Inputs!$G$5:$G$130&lt;&gt;"moeda")*(Inputs!$G$5:$G$130&lt;&gt;"acoes")))*INDEX(Inputs!$K$5:$AJ$130,0,MATCH(O$2,Inputs!$K$4:$AJ$4,0)))))</f>
        <v>1389</v>
      </c>
      <c r="P20" s="6">
        <f>IF(ISNA(MATCH(P$2,Inputs!$K$4:$AJ$4,0)),NA(),IF(SUMPRODUCT((Inputs!$A$5:$A$130=$B20)*ISNUMBER(INDEX(Inputs!$K$5:$AJ$130,0,MATCH(P$2,Inputs!$K$4:$AJ$4,0))))+SUMPRODUCT((Inputs!$C$5:$C$130=$B20)*ISNUMBER(INDEX(Inputs!$K$5:$AJ$130,0,MATCH(P$2,Inputs!$K$4:$AJ$4,0))))+SUMPRODUCT((Inputs!$E$5:$E$130=$B20)*ISNUMBER(INDEX(Inputs!$K$5:$AJ$130,0,MATCH(P$2,Inputs!$K$4:$AJ$4,0))))=0,NA(),SUMPRODUCT((Inputs!$A$5:$A$130=$B20)*Inputs!$B$5:$B$130*(((Inputs!$G$5:$G$130="moeda")+(Inputs!$G$5:$G$130="acoes"))*Inputs!$B$1+((Inputs!$G$5:$G$130&lt;&gt;"moeda")*(Inputs!$G$5:$G$130&lt;&gt;"acoes")))*INDEX(Inputs!$K$5:$AJ$130,0,MATCH(P$2,Inputs!$K$4:$AJ$4,0)))+SUMPRODUCT((Inputs!$C$5:$C$130=$B20)*Inputs!$D$5:$D$130*(((Inputs!$G$5:$G$130="moeda")+(Inputs!$G$5:$G$130="acoes"))*Inputs!$B$1+((Inputs!$G$5:$G$130&lt;&gt;"moeda")*(Inputs!$G$5:$G$130&lt;&gt;"acoes")))*INDEX(Inputs!$K$5:$AJ$130,0,MATCH(P$2,Inputs!$K$4:$AJ$4,0)))+SUMPRODUCT((Inputs!$E$5:$E$130=$B20)*Inputs!$F$5:$F$130*(((Inputs!$G$5:$G$130="moeda")+(Inputs!$G$5:$G$130="acoes"))*Inputs!$B$1+((Inputs!$G$5:$G$130&lt;&gt;"moeda")*(Inputs!$G$5:$G$130&lt;&gt;"acoes")))*INDEX(Inputs!$K$5:$AJ$130,0,MATCH(P$2,Inputs!$K$4:$AJ$4,0)))))</f>
        <v>1289</v>
      </c>
      <c r="Q20" s="6">
        <f>IF(ISNA(MATCH(Q$2,Inputs!$K$4:$AJ$4,0)),NA(),IF(SUMPRODUCT((Inputs!$A$5:$A$130=$B20)*ISNUMBER(INDEX(Inputs!$K$5:$AJ$130,0,MATCH(Q$2,Inputs!$K$4:$AJ$4,0))))+SUMPRODUCT((Inputs!$C$5:$C$130=$B20)*ISNUMBER(INDEX(Inputs!$K$5:$AJ$130,0,MATCH(Q$2,Inputs!$K$4:$AJ$4,0))))+SUMPRODUCT((Inputs!$E$5:$E$130=$B20)*ISNUMBER(INDEX(Inputs!$K$5:$AJ$130,0,MATCH(Q$2,Inputs!$K$4:$AJ$4,0))))=0,NA(),SUMPRODUCT((Inputs!$A$5:$A$130=$B20)*Inputs!$B$5:$B$130*(((Inputs!$G$5:$G$130="moeda")+(Inputs!$G$5:$G$130="acoes"))*Inputs!$B$1+((Inputs!$G$5:$G$130&lt;&gt;"moeda")*(Inputs!$G$5:$G$130&lt;&gt;"acoes")))*INDEX(Inputs!$K$5:$AJ$130,0,MATCH(Q$2,Inputs!$K$4:$AJ$4,0)))+SUMPRODUCT((Inputs!$C$5:$C$130=$B20)*Inputs!$D$5:$D$130*(((Inputs!$G$5:$G$130="moeda")+(Inputs!$G$5:$G$130="acoes"))*Inputs!$B$1+((Inputs!$G$5:$G$130&lt;&gt;"moeda")*(Inputs!$G$5:$G$130&lt;&gt;"acoes")))*INDEX(Inputs!$K$5:$AJ$130,0,MATCH(Q$2,Inputs!$K$4:$AJ$4,0)))+SUMPRODUCT((Inputs!$E$5:$E$130=$B20)*Inputs!$F$5:$F$130*(((Inputs!$G$5:$G$130="moeda")+(Inputs!$G$5:$G$130="acoes"))*Inputs!$B$1+((Inputs!$G$5:$G$130&lt;&gt;"moeda")*(Inputs!$G$5:$G$130&lt;&gt;"acoes")))*INDEX(Inputs!$K$5:$AJ$130,0,MATCH(Q$2,Inputs!$K$4:$AJ$4,0)))))</f>
        <v>3080</v>
      </c>
      <c r="R20" s="3">
        <f>Q20</f>
        <v>3080</v>
      </c>
      <c r="S20" s="6">
        <f>IF(ISNA(MATCH(S$2,Inputs!$K$4:$AJ$4,0)),NA(),IF(SUMPRODUCT((Inputs!$A$5:$A$130=$B20)*ISNUMBER(INDEX(Inputs!$K$5:$AJ$130,0,MATCH(S$2,Inputs!$K$4:$AJ$4,0))))+SUMPRODUCT((Inputs!$C$5:$C$130=$B20)*ISNUMBER(INDEX(Inputs!$K$5:$AJ$130,0,MATCH(S$2,Inputs!$K$4:$AJ$4,0))))+SUMPRODUCT((Inputs!$E$5:$E$130=$B20)*ISNUMBER(INDEX(Inputs!$K$5:$AJ$130,0,MATCH(S$2,Inputs!$K$4:$AJ$4,0))))=0,NA(),SUMPRODUCT((Inputs!$A$5:$A$130=$B20)*Inputs!$B$5:$B$130*(((Inputs!$G$5:$G$130="moeda")+(Inputs!$G$5:$G$130="acoes"))*Inputs!$B$1+((Inputs!$G$5:$G$130&lt;&gt;"moeda")*(Inputs!$G$5:$G$130&lt;&gt;"acoes")))*INDEX(Inputs!$K$5:$AJ$130,0,MATCH(S$2,Inputs!$K$4:$AJ$4,0)))+SUMPRODUCT((Inputs!$C$5:$C$130=$B20)*Inputs!$D$5:$D$130*(((Inputs!$G$5:$G$130="moeda")+(Inputs!$G$5:$G$130="acoes"))*Inputs!$B$1+((Inputs!$G$5:$G$130&lt;&gt;"moeda")*(Inputs!$G$5:$G$130&lt;&gt;"acoes")))*INDEX(Inputs!$K$5:$AJ$130,0,MATCH(S$2,Inputs!$K$4:$AJ$4,0)))+SUMPRODUCT((Inputs!$E$5:$E$130=$B20)*Inputs!$F$5:$F$130*(((Inputs!$G$5:$G$130="moeda")+(Inputs!$G$5:$G$130="acoes"))*Inputs!$B$1+((Inputs!$G$5:$G$130&lt;&gt;"moeda")*(Inputs!$G$5:$G$130&lt;&gt;"acoes")))*INDEX(Inputs!$K$5:$AJ$130,0,MATCH(S$2,Inputs!$K$4:$AJ$4,0)))))</f>
        <v>4062</v>
      </c>
      <c r="T20" s="6">
        <f>IF(ISNA(MATCH(T$2,Inputs!$K$4:$AJ$4,0)),NA(),IF(SUMPRODUCT((Inputs!$A$5:$A$130=$B20)*ISNUMBER(INDEX(Inputs!$K$5:$AJ$130,0,MATCH(T$2,Inputs!$K$4:$AJ$4,0))))+SUMPRODUCT((Inputs!$C$5:$C$130=$B20)*ISNUMBER(INDEX(Inputs!$K$5:$AJ$130,0,MATCH(T$2,Inputs!$K$4:$AJ$4,0))))+SUMPRODUCT((Inputs!$E$5:$E$130=$B20)*ISNUMBER(INDEX(Inputs!$K$5:$AJ$130,0,MATCH(T$2,Inputs!$K$4:$AJ$4,0))))=0,NA(),SUMPRODUCT((Inputs!$A$5:$A$130=$B20)*Inputs!$B$5:$B$130*(((Inputs!$G$5:$G$130="moeda")+(Inputs!$G$5:$G$130="acoes"))*Inputs!$B$1+((Inputs!$G$5:$G$130&lt;&gt;"moeda")*(Inputs!$G$5:$G$130&lt;&gt;"acoes")))*INDEX(Inputs!$K$5:$AJ$130,0,MATCH(T$2,Inputs!$K$4:$AJ$4,0)))+SUMPRODUCT((Inputs!$C$5:$C$130=$B20)*Inputs!$D$5:$D$130*(((Inputs!$G$5:$G$130="moeda")+(Inputs!$G$5:$G$130="acoes"))*Inputs!$B$1+((Inputs!$G$5:$G$130&lt;&gt;"moeda")*(Inputs!$G$5:$G$130&lt;&gt;"acoes")))*INDEX(Inputs!$K$5:$AJ$130,0,MATCH(T$2,Inputs!$K$4:$AJ$4,0)))+SUMPRODUCT((Inputs!$E$5:$E$130=$B20)*Inputs!$F$5:$F$130*(((Inputs!$G$5:$G$130="moeda")+(Inputs!$G$5:$G$130="acoes"))*Inputs!$B$1+((Inputs!$G$5:$G$130&lt;&gt;"moeda")*(Inputs!$G$5:$G$130&lt;&gt;"acoes")))*INDEX(Inputs!$K$5:$AJ$130,0,MATCH(T$2,Inputs!$K$4:$AJ$4,0)))))</f>
        <v>4026</v>
      </c>
      <c r="U20" s="6">
        <f>IF(ISNA(MATCH(U$2,Inputs!$K$4:$AJ$4,0)),NA(),IF(SUMPRODUCT((Inputs!$A$5:$A$130=$B20)*ISNUMBER(INDEX(Inputs!$K$5:$AJ$130,0,MATCH(U$2,Inputs!$K$4:$AJ$4,0))))+SUMPRODUCT((Inputs!$C$5:$C$130=$B20)*ISNUMBER(INDEX(Inputs!$K$5:$AJ$130,0,MATCH(U$2,Inputs!$K$4:$AJ$4,0))))+SUMPRODUCT((Inputs!$E$5:$E$130=$B20)*ISNUMBER(INDEX(Inputs!$K$5:$AJ$130,0,MATCH(U$2,Inputs!$K$4:$AJ$4,0))))=0,NA(),SUMPRODUCT((Inputs!$A$5:$A$130=$B20)*Inputs!$B$5:$B$130*(((Inputs!$G$5:$G$130="moeda")+(Inputs!$G$5:$G$130="acoes"))*Inputs!$B$1+((Inputs!$G$5:$G$130&lt;&gt;"moeda")*(Inputs!$G$5:$G$130&lt;&gt;"acoes")))*INDEX(Inputs!$K$5:$AJ$130,0,MATCH(U$2,Inputs!$K$4:$AJ$4,0)))+SUMPRODUCT((Inputs!$C$5:$C$130=$B20)*Inputs!$D$5:$D$130*(((Inputs!$G$5:$G$130="moeda")+(Inputs!$G$5:$G$130="acoes"))*Inputs!$B$1+((Inputs!$G$5:$G$130&lt;&gt;"moeda")*(Inputs!$G$5:$G$130&lt;&gt;"acoes")))*INDEX(Inputs!$K$5:$AJ$130,0,MATCH(U$2,Inputs!$K$4:$AJ$4,0)))+SUMPRODUCT((Inputs!$E$5:$E$130=$B20)*Inputs!$F$5:$F$130*(((Inputs!$G$5:$G$130="moeda")+(Inputs!$G$5:$G$130="acoes"))*Inputs!$B$1+((Inputs!$G$5:$G$130&lt;&gt;"moeda")*(Inputs!$G$5:$G$130&lt;&gt;"acoes")))*INDEX(Inputs!$K$5:$AJ$130,0,MATCH(U$2,Inputs!$K$4:$AJ$4,0)))))</f>
        <v>3806</v>
      </c>
      <c r="V20" s="6">
        <f>IF(ISNA(MATCH(V$2,Inputs!$K$4:$AJ$4,0)),NA(),IF(SUMPRODUCT((Inputs!$A$5:$A$130=$B20)*ISNUMBER(INDEX(Inputs!$K$5:$AJ$130,0,MATCH(V$2,Inputs!$K$4:$AJ$4,0))))+SUMPRODUCT((Inputs!$C$5:$C$130=$B20)*ISNUMBER(INDEX(Inputs!$K$5:$AJ$130,0,MATCH(V$2,Inputs!$K$4:$AJ$4,0))))+SUMPRODUCT((Inputs!$E$5:$E$130=$B20)*ISNUMBER(INDEX(Inputs!$K$5:$AJ$130,0,MATCH(V$2,Inputs!$K$4:$AJ$4,0))))=0,NA(),SUMPRODUCT((Inputs!$A$5:$A$130=$B20)*Inputs!$B$5:$B$130*(((Inputs!$G$5:$G$130="moeda")+(Inputs!$G$5:$G$130="acoes"))*Inputs!$B$1+((Inputs!$G$5:$G$130&lt;&gt;"moeda")*(Inputs!$G$5:$G$130&lt;&gt;"acoes")))*INDEX(Inputs!$K$5:$AJ$130,0,MATCH(V$2,Inputs!$K$4:$AJ$4,0)))+SUMPRODUCT((Inputs!$C$5:$C$130=$B20)*Inputs!$D$5:$D$130*(((Inputs!$G$5:$G$130="moeda")+(Inputs!$G$5:$G$130="acoes"))*Inputs!$B$1+((Inputs!$G$5:$G$130&lt;&gt;"moeda")*(Inputs!$G$5:$G$130&lt;&gt;"acoes")))*INDEX(Inputs!$K$5:$AJ$130,0,MATCH(V$2,Inputs!$K$4:$AJ$4,0)))+SUMPRODUCT((Inputs!$E$5:$E$130=$B20)*Inputs!$F$5:$F$130*(((Inputs!$G$5:$G$130="moeda")+(Inputs!$G$5:$G$130="acoes"))*Inputs!$B$1+((Inputs!$G$5:$G$130&lt;&gt;"moeda")*(Inputs!$G$5:$G$130&lt;&gt;"acoes")))*INDEX(Inputs!$K$5:$AJ$130,0,MATCH(V$2,Inputs!$K$4:$AJ$4,0)))))</f>
        <v>3771</v>
      </c>
      <c r="W20" s="3">
        <f>V20</f>
        <v>3771</v>
      </c>
      <c r="X20" s="6">
        <f>IF(ISNA(MATCH(X$2,Inputs!$K$4:$AJ$4,0)),NA(),IF(SUMPRODUCT((Inputs!$A$5:$A$130=$B20)*ISNUMBER(INDEX(Inputs!$K$5:$AJ$130,0,MATCH(X$2,Inputs!$K$4:$AJ$4,0))))+SUMPRODUCT((Inputs!$C$5:$C$130=$B20)*ISNUMBER(INDEX(Inputs!$K$5:$AJ$130,0,MATCH(X$2,Inputs!$K$4:$AJ$4,0))))+SUMPRODUCT((Inputs!$E$5:$E$130=$B20)*ISNUMBER(INDEX(Inputs!$K$5:$AJ$130,0,MATCH(X$2,Inputs!$K$4:$AJ$4,0))))=0,NA(),SUMPRODUCT((Inputs!$A$5:$A$130=$B20)*Inputs!$B$5:$B$130*(((Inputs!$G$5:$G$130="moeda")+(Inputs!$G$5:$G$130="acoes"))*Inputs!$B$1+((Inputs!$G$5:$G$130&lt;&gt;"moeda")*(Inputs!$G$5:$G$130&lt;&gt;"acoes")))*INDEX(Inputs!$K$5:$AJ$130,0,MATCH(X$2,Inputs!$K$4:$AJ$4,0)))+SUMPRODUCT((Inputs!$C$5:$C$130=$B20)*Inputs!$D$5:$D$130*(((Inputs!$G$5:$G$130="moeda")+(Inputs!$G$5:$G$130="acoes"))*Inputs!$B$1+((Inputs!$G$5:$G$130&lt;&gt;"moeda")*(Inputs!$G$5:$G$130&lt;&gt;"acoes")))*INDEX(Inputs!$K$5:$AJ$130,0,MATCH(X$2,Inputs!$K$4:$AJ$4,0)))+SUMPRODUCT((Inputs!$E$5:$E$130=$B20)*Inputs!$F$5:$F$130*(((Inputs!$G$5:$G$130="moeda")+(Inputs!$G$5:$G$130="acoes"))*Inputs!$B$1+((Inputs!$G$5:$G$130&lt;&gt;"moeda")*(Inputs!$G$5:$G$130&lt;&gt;"acoes")))*INDEX(Inputs!$K$5:$AJ$130,0,MATCH(X$2,Inputs!$K$4:$AJ$4,0)))))</f>
        <v>2779</v>
      </c>
      <c r="Y20" s="6">
        <f>IF(ISNA(MATCH(Y$2,Inputs!$K$4:$AJ$4,0)),NA(),IF(SUMPRODUCT((Inputs!$A$5:$A$130=$B20)*ISNUMBER(INDEX(Inputs!$K$5:$AJ$130,0,MATCH(Y$2,Inputs!$K$4:$AJ$4,0))))+SUMPRODUCT((Inputs!$C$5:$C$130=$B20)*ISNUMBER(INDEX(Inputs!$K$5:$AJ$130,0,MATCH(Y$2,Inputs!$K$4:$AJ$4,0))))+SUMPRODUCT((Inputs!$E$5:$E$130=$B20)*ISNUMBER(INDEX(Inputs!$K$5:$AJ$130,0,MATCH(Y$2,Inputs!$K$4:$AJ$4,0))))=0,NA(),SUMPRODUCT((Inputs!$A$5:$A$130=$B20)*Inputs!$B$5:$B$130*(((Inputs!$G$5:$G$130="moeda")+(Inputs!$G$5:$G$130="acoes"))*Inputs!$B$1+((Inputs!$G$5:$G$130&lt;&gt;"moeda")*(Inputs!$G$5:$G$130&lt;&gt;"acoes")))*INDEX(Inputs!$K$5:$AJ$130,0,MATCH(Y$2,Inputs!$K$4:$AJ$4,0)))+SUMPRODUCT((Inputs!$C$5:$C$130=$B20)*Inputs!$D$5:$D$130*(((Inputs!$G$5:$G$130="moeda")+(Inputs!$G$5:$G$130="acoes"))*Inputs!$B$1+((Inputs!$G$5:$G$130&lt;&gt;"moeda")*(Inputs!$G$5:$G$130&lt;&gt;"acoes")))*INDEX(Inputs!$K$5:$AJ$130,0,MATCH(Y$2,Inputs!$K$4:$AJ$4,0)))+SUMPRODUCT((Inputs!$E$5:$E$130=$B20)*Inputs!$F$5:$F$130*(((Inputs!$G$5:$G$130="moeda")+(Inputs!$G$5:$G$130="acoes"))*Inputs!$B$1+((Inputs!$G$5:$G$130&lt;&gt;"moeda")*(Inputs!$G$5:$G$130&lt;&gt;"acoes")))*INDEX(Inputs!$K$5:$AJ$130,0,MATCH(Y$2,Inputs!$K$4:$AJ$4,0)))))</f>
        <v>2658</v>
      </c>
      <c r="Z20" s="6">
        <f>IF(ISNA(MATCH(Z$2,Inputs!$K$4:$AJ$4,0)),NA(),IF(SUMPRODUCT((Inputs!$A$5:$A$130=$B20)*ISNUMBER(INDEX(Inputs!$K$5:$AJ$130,0,MATCH(Z$2,Inputs!$K$4:$AJ$4,0))))+SUMPRODUCT((Inputs!$C$5:$C$130=$B20)*ISNUMBER(INDEX(Inputs!$K$5:$AJ$130,0,MATCH(Z$2,Inputs!$K$4:$AJ$4,0))))+SUMPRODUCT((Inputs!$E$5:$E$130=$B20)*ISNUMBER(INDEX(Inputs!$K$5:$AJ$130,0,MATCH(Z$2,Inputs!$K$4:$AJ$4,0))))=0,NA(),SUMPRODUCT((Inputs!$A$5:$A$130=$B20)*Inputs!$B$5:$B$130*(((Inputs!$G$5:$G$130="moeda")+(Inputs!$G$5:$G$130="acoes"))*Inputs!$B$1+((Inputs!$G$5:$G$130&lt;&gt;"moeda")*(Inputs!$G$5:$G$130&lt;&gt;"acoes")))*INDEX(Inputs!$K$5:$AJ$130,0,MATCH(Z$2,Inputs!$K$4:$AJ$4,0)))+SUMPRODUCT((Inputs!$C$5:$C$130=$B20)*Inputs!$D$5:$D$130*(((Inputs!$G$5:$G$130="moeda")+(Inputs!$G$5:$G$130="acoes"))*Inputs!$B$1+((Inputs!$G$5:$G$130&lt;&gt;"moeda")*(Inputs!$G$5:$G$130&lt;&gt;"acoes")))*INDEX(Inputs!$K$5:$AJ$130,0,MATCH(Z$2,Inputs!$K$4:$AJ$4,0)))+SUMPRODUCT((Inputs!$E$5:$E$130=$B20)*Inputs!$F$5:$F$130*(((Inputs!$G$5:$G$130="moeda")+(Inputs!$G$5:$G$130="acoes"))*Inputs!$B$1+((Inputs!$G$5:$G$130&lt;&gt;"moeda")*(Inputs!$G$5:$G$130&lt;&gt;"acoes")))*INDEX(Inputs!$K$5:$AJ$130,0,MATCH(Z$2,Inputs!$K$4:$AJ$4,0)))))</f>
        <v>2709</v>
      </c>
      <c r="AA20" s="6">
        <f>IF(ISNA(MATCH(AA$2,Inputs!$K$4:$AJ$4,0)),NA(),IF(SUMPRODUCT((Inputs!$A$5:$A$130=$B20)*ISNUMBER(INDEX(Inputs!$K$5:$AJ$130,0,MATCH(AA$2,Inputs!$K$4:$AJ$4,0))))+SUMPRODUCT((Inputs!$C$5:$C$130=$B20)*ISNUMBER(INDEX(Inputs!$K$5:$AJ$130,0,MATCH(AA$2,Inputs!$K$4:$AJ$4,0))))+SUMPRODUCT((Inputs!$E$5:$E$130=$B20)*ISNUMBER(INDEX(Inputs!$K$5:$AJ$130,0,MATCH(AA$2,Inputs!$K$4:$AJ$4,0))))=0,NA(),SUMPRODUCT((Inputs!$A$5:$A$130=$B20)*Inputs!$B$5:$B$130*(((Inputs!$G$5:$G$130="moeda")+(Inputs!$G$5:$G$130="acoes"))*Inputs!$B$1+((Inputs!$G$5:$G$130&lt;&gt;"moeda")*(Inputs!$G$5:$G$130&lt;&gt;"acoes")))*INDEX(Inputs!$K$5:$AJ$130,0,MATCH(AA$2,Inputs!$K$4:$AJ$4,0)))+SUMPRODUCT((Inputs!$C$5:$C$130=$B20)*Inputs!$D$5:$D$130*(((Inputs!$G$5:$G$130="moeda")+(Inputs!$G$5:$G$130="acoes"))*Inputs!$B$1+((Inputs!$G$5:$G$130&lt;&gt;"moeda")*(Inputs!$G$5:$G$130&lt;&gt;"acoes")))*INDEX(Inputs!$K$5:$AJ$130,0,MATCH(AA$2,Inputs!$K$4:$AJ$4,0)))+SUMPRODUCT((Inputs!$E$5:$E$130=$B20)*Inputs!$F$5:$F$130*(((Inputs!$G$5:$G$130="moeda")+(Inputs!$G$5:$G$130="acoes"))*Inputs!$B$1+((Inputs!$G$5:$G$130&lt;&gt;"moeda")*(Inputs!$G$5:$G$130&lt;&gt;"acoes")))*INDEX(Inputs!$K$5:$AJ$130,0,MATCH(AA$2,Inputs!$K$4:$AJ$4,0)))))</f>
        <v>3180</v>
      </c>
      <c r="AB20" s="3">
        <f>AA20</f>
        <v>3180</v>
      </c>
      <c r="AC20" s="6">
        <f>IF(ISNA(MATCH(AC$2,Inputs!$K$4:$AJ$4,0)),NA(),IF(SUMPRODUCT((Inputs!$A$5:$A$130=$B20)*ISNUMBER(INDEX(Inputs!$K$5:$AJ$130,0,MATCH(AC$2,Inputs!$K$4:$AJ$4,0))))+SUMPRODUCT((Inputs!$C$5:$C$130=$B20)*ISNUMBER(INDEX(Inputs!$K$5:$AJ$130,0,MATCH(AC$2,Inputs!$K$4:$AJ$4,0))))+SUMPRODUCT((Inputs!$E$5:$E$130=$B20)*ISNUMBER(INDEX(Inputs!$K$5:$AJ$130,0,MATCH(AC$2,Inputs!$K$4:$AJ$4,0))))=0,NA(),SUMPRODUCT((Inputs!$A$5:$A$130=$B20)*Inputs!$B$5:$B$130*(((Inputs!$G$5:$G$130="moeda")+(Inputs!$G$5:$G$130="acoes"))*Inputs!$B$1+((Inputs!$G$5:$G$130&lt;&gt;"moeda")*(Inputs!$G$5:$G$130&lt;&gt;"acoes")))*INDEX(Inputs!$K$5:$AJ$130,0,MATCH(AC$2,Inputs!$K$4:$AJ$4,0)))+SUMPRODUCT((Inputs!$C$5:$C$130=$B20)*Inputs!$D$5:$D$130*(((Inputs!$G$5:$G$130="moeda")+(Inputs!$G$5:$G$130="acoes"))*Inputs!$B$1+((Inputs!$G$5:$G$130&lt;&gt;"moeda")*(Inputs!$G$5:$G$130&lt;&gt;"acoes")))*INDEX(Inputs!$K$5:$AJ$130,0,MATCH(AC$2,Inputs!$K$4:$AJ$4,0)))+SUMPRODUCT((Inputs!$E$5:$E$130=$B20)*Inputs!$F$5:$F$130*(((Inputs!$G$5:$G$130="moeda")+(Inputs!$G$5:$G$130="acoes"))*Inputs!$B$1+((Inputs!$G$5:$G$130&lt;&gt;"moeda")*(Inputs!$G$5:$G$130&lt;&gt;"acoes")))*INDEX(Inputs!$K$5:$AJ$130,0,MATCH(AC$2,Inputs!$K$4:$AJ$4,0)))))</f>
        <v>3916</v>
      </c>
      <c r="AD20" s="6">
        <f>IF(ISNA(MATCH(AD$2,Inputs!$K$4:$AJ$4,0)),NA(),IF(SUMPRODUCT((Inputs!$A$5:$A$130=$B20)*ISNUMBER(INDEX(Inputs!$K$5:$AJ$130,0,MATCH(AD$2,Inputs!$K$4:$AJ$4,0))))+SUMPRODUCT((Inputs!$C$5:$C$130=$B20)*ISNUMBER(INDEX(Inputs!$K$5:$AJ$130,0,MATCH(AD$2,Inputs!$K$4:$AJ$4,0))))+SUMPRODUCT((Inputs!$E$5:$E$130=$B20)*ISNUMBER(INDEX(Inputs!$K$5:$AJ$130,0,MATCH(AD$2,Inputs!$K$4:$AJ$4,0))))=0,NA(),SUMPRODUCT((Inputs!$A$5:$A$130=$B20)*Inputs!$B$5:$B$130*(((Inputs!$G$5:$G$130="moeda")+(Inputs!$G$5:$G$130="acoes"))*Inputs!$B$1+((Inputs!$G$5:$G$130&lt;&gt;"moeda")*(Inputs!$G$5:$G$130&lt;&gt;"acoes")))*INDEX(Inputs!$K$5:$AJ$130,0,MATCH(AD$2,Inputs!$K$4:$AJ$4,0)))+SUMPRODUCT((Inputs!$C$5:$C$130=$B20)*Inputs!$D$5:$D$130*(((Inputs!$G$5:$G$130="moeda")+(Inputs!$G$5:$G$130="acoes"))*Inputs!$B$1+((Inputs!$G$5:$G$130&lt;&gt;"moeda")*(Inputs!$G$5:$G$130&lt;&gt;"acoes")))*INDEX(Inputs!$K$5:$AJ$130,0,MATCH(AD$2,Inputs!$K$4:$AJ$4,0)))+SUMPRODUCT((Inputs!$E$5:$E$130=$B20)*Inputs!$F$5:$F$130*(((Inputs!$G$5:$G$130="moeda")+(Inputs!$G$5:$G$130="acoes"))*Inputs!$B$1+((Inputs!$G$5:$G$130&lt;&gt;"moeda")*(Inputs!$G$5:$G$130&lt;&gt;"acoes")))*INDEX(Inputs!$K$5:$AJ$130,0,MATCH(AD$2,Inputs!$K$4:$AJ$4,0)))))</f>
        <v>3409</v>
      </c>
      <c r="AE20" s="6" t="e">
        <f>IF(ISNA(MATCH(AE$2,Inputs!$K$4:$AJ$4,0)),NA(),IF(SUMPRODUCT((Inputs!$A$5:$A$130=$B20)*ISNUMBER(INDEX(Inputs!$K$5:$AJ$130,0,MATCH(AE$2,Inputs!$K$4:$AJ$4,0))))+SUMPRODUCT((Inputs!$C$5:$C$130=$B20)*ISNUMBER(INDEX(Inputs!$K$5:$AJ$130,0,MATCH(AE$2,Inputs!$K$4:$AJ$4,0))))+SUMPRODUCT((Inputs!$E$5:$E$130=$B20)*ISNUMBER(INDEX(Inputs!$K$5:$AJ$130,0,MATCH(AE$2,Inputs!$K$4:$AJ$4,0))))=0,NA(),SUMPRODUCT((Inputs!$A$5:$A$130=$B20)*Inputs!$B$5:$B$130*(((Inputs!$G$5:$G$130="moeda")+(Inputs!$G$5:$G$130="acoes"))*Inputs!$B$1+((Inputs!$G$5:$G$130&lt;&gt;"moeda")*(Inputs!$G$5:$G$130&lt;&gt;"acoes")))*INDEX(Inputs!$K$5:$AJ$130,0,MATCH(AE$2,Inputs!$K$4:$AJ$4,0)))+SUMPRODUCT((Inputs!$C$5:$C$130=$B20)*Inputs!$D$5:$D$130*(((Inputs!$G$5:$G$130="moeda")+(Inputs!$G$5:$G$130="acoes"))*Inputs!$B$1+((Inputs!$G$5:$G$130&lt;&gt;"moeda")*(Inputs!$G$5:$G$130&lt;&gt;"acoes")))*INDEX(Inputs!$K$5:$AJ$130,0,MATCH(AE$2,Inputs!$K$4:$AJ$4,0)))+SUMPRODUCT((Inputs!$E$5:$E$130=$B20)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0" s="6" t="e">
        <f>IF(ISNA(MATCH(AF$2,Inputs!$K$4:$AJ$4,0)),NA(),IF(SUMPRODUCT((Inputs!$A$5:$A$130=$B20)*ISNUMBER(INDEX(Inputs!$K$5:$AJ$130,0,MATCH(AF$2,Inputs!$K$4:$AJ$4,0))))+SUMPRODUCT((Inputs!$C$5:$C$130=$B20)*ISNUMBER(INDEX(Inputs!$K$5:$AJ$130,0,MATCH(AF$2,Inputs!$K$4:$AJ$4,0))))+SUMPRODUCT((Inputs!$E$5:$E$130=$B20)*ISNUMBER(INDEX(Inputs!$K$5:$AJ$130,0,MATCH(AF$2,Inputs!$K$4:$AJ$4,0))))=0,NA(),SUMPRODUCT((Inputs!$A$5:$A$130=$B20)*Inputs!$B$5:$B$130*(((Inputs!$G$5:$G$130="moeda")+(Inputs!$G$5:$G$130="acoes"))*Inputs!$B$1+((Inputs!$G$5:$G$130&lt;&gt;"moeda")*(Inputs!$G$5:$G$130&lt;&gt;"acoes")))*INDEX(Inputs!$K$5:$AJ$130,0,MATCH(AF$2,Inputs!$K$4:$AJ$4,0)))+SUMPRODUCT((Inputs!$C$5:$C$130=$B20)*Inputs!$D$5:$D$130*(((Inputs!$G$5:$G$130="moeda")+(Inputs!$G$5:$G$130="acoes"))*Inputs!$B$1+((Inputs!$G$5:$G$130&lt;&gt;"moeda")*(Inputs!$G$5:$G$130&lt;&gt;"acoes")))*INDEX(Inputs!$K$5:$AJ$130,0,MATCH(AF$2,Inputs!$K$4:$AJ$4,0)))+SUMPRODUCT((Inputs!$E$5:$E$130=$B20)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0" s="3" t="e">
        <f>AF20</f>
        <v>#N/A</v>
      </c>
      <c r="AH20" s="6">
        <f>IF(ISNA(MATCH(AH$2,Inputs!$K$4:$AJ$4,0)),NA(),IF(SUMPRODUCT((Inputs!$A$5:$A$130=$B20)*ISNUMBER(INDEX(Inputs!$K$5:$AJ$130,0,MATCH(AH$2,Inputs!$K$4:$AJ$4,0))))+SUMPRODUCT((Inputs!$C$5:$C$130=$B20)*ISNUMBER(INDEX(Inputs!$K$5:$AJ$130,0,MATCH(AH$2,Inputs!$K$4:$AJ$4,0))))+SUMPRODUCT((Inputs!$E$5:$E$130=$B20)*ISNUMBER(INDEX(Inputs!$K$5:$AJ$130,0,MATCH(AH$2,Inputs!$K$4:$AJ$4,0))))=0,NA(),SUMPRODUCT((Inputs!$A$5:$A$130=$B20)*Inputs!$B$5:$B$130*(((Inputs!$G$5:$G$130="moeda")+(Inputs!$G$5:$G$130="acoes"))*Inputs!$B$1+((Inputs!$G$5:$G$130&lt;&gt;"moeda")*(Inputs!$G$5:$G$130&lt;&gt;"acoes")))*INDEX(Inputs!$K$5:$AJ$130,0,MATCH(AH$2,Inputs!$K$4:$AJ$4,0)))+SUMPRODUCT((Inputs!$C$5:$C$130=$B20)*Inputs!$D$5:$D$130*(((Inputs!$G$5:$G$130="moeda")+(Inputs!$G$5:$G$130="acoes"))*Inputs!$B$1+((Inputs!$G$5:$G$130&lt;&gt;"moeda")*(Inputs!$G$5:$G$130&lt;&gt;"acoes")))*INDEX(Inputs!$K$5:$AJ$130,0,MATCH(AH$2,Inputs!$K$4:$AJ$4,0)))+SUMPRODUCT((Inputs!$E$5:$E$130=$B20)*Inputs!$F$5:$F$130*(((Inputs!$G$5:$G$130="moeda")+(Inputs!$G$5:$G$130="acoes"))*Inputs!$B$1+((Inputs!$G$5:$G$130&lt;&gt;"moeda")*(Inputs!$G$5:$G$130&lt;&gt;"acoes")))*INDEX(Inputs!$K$5:$AJ$130,0,MATCH(AH$2,Inputs!$K$4:$AJ$4,0)))))</f>
        <v>195</v>
      </c>
      <c r="AI20" s="6">
        <f>IF(ISNA(MATCH(AI$2,Inputs!$K$4:$AJ$4,0)),NA(),IF(SUMPRODUCT((Inputs!$A$5:$A$130=$B20)*ISNUMBER(INDEX(Inputs!$K$5:$AJ$130,0,MATCH(AI$2,Inputs!$K$4:$AJ$4,0))))+SUMPRODUCT((Inputs!$C$5:$C$130=$B20)*ISNUMBER(INDEX(Inputs!$K$5:$AJ$130,0,MATCH(AI$2,Inputs!$K$4:$AJ$4,0))))+SUMPRODUCT((Inputs!$E$5:$E$130=$B20)*ISNUMBER(INDEX(Inputs!$K$5:$AJ$130,0,MATCH(AI$2,Inputs!$K$4:$AJ$4,0))))=0,NA(),SUMPRODUCT((Inputs!$A$5:$A$130=$B20)*Inputs!$B$5:$B$130*(((Inputs!$G$5:$G$130="moeda")+(Inputs!$G$5:$G$130="acoes"))*Inputs!$B$1+((Inputs!$G$5:$G$130&lt;&gt;"moeda")*(Inputs!$G$5:$G$130&lt;&gt;"acoes")))*INDEX(Inputs!$K$5:$AJ$130,0,MATCH(AI$2,Inputs!$K$4:$AJ$4,0)))+SUMPRODUCT((Inputs!$C$5:$C$130=$B20)*Inputs!$D$5:$D$130*(((Inputs!$G$5:$G$130="moeda")+(Inputs!$G$5:$G$130="acoes"))*Inputs!$B$1+((Inputs!$G$5:$G$130&lt;&gt;"moeda")*(Inputs!$G$5:$G$130&lt;&gt;"acoes")))*INDEX(Inputs!$K$5:$AJ$130,0,MATCH(AI$2,Inputs!$K$4:$AJ$4,0)))+SUMPRODUCT((Inputs!$E$5:$E$130=$B20)*Inputs!$F$5:$F$130*(((Inputs!$G$5:$G$130="moeda")+(Inputs!$G$5:$G$130="acoes"))*Inputs!$B$1+((Inputs!$G$5:$G$130&lt;&gt;"moeda")*(Inputs!$G$5:$G$130&lt;&gt;"acoes")))*INDEX(Inputs!$K$5:$AJ$130,0,MATCH(AI$2,Inputs!$K$4:$AJ$4,0)))))</f>
        <v>215</v>
      </c>
      <c r="AJ20" s="6">
        <f>IF(ISNA(MATCH(AJ$2,Inputs!$K$4:$AJ$4,0)),NA(),IF(SUMPRODUCT((Inputs!$A$5:$A$130=$B20)*ISNUMBER(INDEX(Inputs!$K$5:$AJ$130,0,MATCH(AJ$2,Inputs!$K$4:$AJ$4,0))))+SUMPRODUCT((Inputs!$C$5:$C$130=$B20)*ISNUMBER(INDEX(Inputs!$K$5:$AJ$130,0,MATCH(AJ$2,Inputs!$K$4:$AJ$4,0))))+SUMPRODUCT((Inputs!$E$5:$E$130=$B20)*ISNUMBER(INDEX(Inputs!$K$5:$AJ$130,0,MATCH(AJ$2,Inputs!$K$4:$AJ$4,0))))=0,NA(),SUMPRODUCT((Inputs!$A$5:$A$130=$B20)*Inputs!$B$5:$B$130*(((Inputs!$G$5:$G$130="moeda")+(Inputs!$G$5:$G$130="acoes"))*Inputs!$B$1+((Inputs!$G$5:$G$130&lt;&gt;"moeda")*(Inputs!$G$5:$G$130&lt;&gt;"acoes")))*INDEX(Inputs!$K$5:$AJ$130,0,MATCH(AJ$2,Inputs!$K$4:$AJ$4,0)))+SUMPRODUCT((Inputs!$C$5:$C$130=$B20)*Inputs!$D$5:$D$130*(((Inputs!$G$5:$G$130="moeda")+(Inputs!$G$5:$G$130="acoes"))*Inputs!$B$1+((Inputs!$G$5:$G$130&lt;&gt;"moeda")*(Inputs!$G$5:$G$130&lt;&gt;"acoes")))*INDEX(Inputs!$K$5:$AJ$130,0,MATCH(AJ$2,Inputs!$K$4:$AJ$4,0)))+SUMPRODUCT((Inputs!$E$5:$E$130=$B20)*Inputs!$F$5:$F$130*(((Inputs!$G$5:$G$130="moeda")+(Inputs!$G$5:$G$130="acoes"))*Inputs!$B$1+((Inputs!$G$5:$G$130&lt;&gt;"moeda")*(Inputs!$G$5:$G$130&lt;&gt;"acoes")))*INDEX(Inputs!$K$5:$AJ$130,0,MATCH(AJ$2,Inputs!$K$4:$AJ$4,0)))))</f>
        <v>213</v>
      </c>
      <c r="AK20" s="6">
        <f>IF(ISNA(MATCH(AK$2,Inputs!$K$4:$AJ$4,0)),NA(),IF(SUMPRODUCT((Inputs!$A$5:$A$130=$B20)*ISNUMBER(INDEX(Inputs!$K$5:$AJ$130,0,MATCH(AK$2,Inputs!$K$4:$AJ$4,0))))+SUMPRODUCT((Inputs!$C$5:$C$130=$B20)*ISNUMBER(INDEX(Inputs!$K$5:$AJ$130,0,MATCH(AK$2,Inputs!$K$4:$AJ$4,0))))+SUMPRODUCT((Inputs!$E$5:$E$130=$B20)*ISNUMBER(INDEX(Inputs!$K$5:$AJ$130,0,MATCH(AK$2,Inputs!$K$4:$AJ$4,0))))=0,NA(),SUMPRODUCT((Inputs!$A$5:$A$130=$B20)*Inputs!$B$5:$B$130*(((Inputs!$G$5:$G$130="moeda")+(Inputs!$G$5:$G$130="acoes"))*Inputs!$B$1+((Inputs!$G$5:$G$130&lt;&gt;"moeda")*(Inputs!$G$5:$G$130&lt;&gt;"acoes")))*INDEX(Inputs!$K$5:$AJ$130,0,MATCH(AK$2,Inputs!$K$4:$AJ$4,0)))+SUMPRODUCT((Inputs!$C$5:$C$130=$B20)*Inputs!$D$5:$D$130*(((Inputs!$G$5:$G$130="moeda")+(Inputs!$G$5:$G$130="acoes"))*Inputs!$B$1+((Inputs!$G$5:$G$130&lt;&gt;"moeda")*(Inputs!$G$5:$G$130&lt;&gt;"acoes")))*INDEX(Inputs!$K$5:$AJ$130,0,MATCH(AK$2,Inputs!$K$4:$AJ$4,0)))+SUMPRODUCT((Inputs!$E$5:$E$130=$B20)*Inputs!$F$5:$F$130*(((Inputs!$G$5:$G$130="moeda")+(Inputs!$G$5:$G$130="acoes"))*Inputs!$B$1+((Inputs!$G$5:$G$130&lt;&gt;"moeda")*(Inputs!$G$5:$G$130&lt;&gt;"acoes")))*INDEX(Inputs!$K$5:$AJ$130,0,MATCH(AK$2,Inputs!$K$4:$AJ$4,0)))))</f>
        <v>239</v>
      </c>
      <c r="AL20" s="3">
        <f>AK20</f>
        <v>239</v>
      </c>
    </row>
    <row r="21">
      <c r="B21" s="46" t="n">
        <v>17</v>
      </c>
      <c r="C21" s="26" t="inlineStr">
        <is>
          <t>Equity in affiliates</t>
        </is>
      </c>
      <c r="D21" s="6" t="e">
        <f>IF(ISNA(MATCH(D$2,Inputs!$K$4:$AJ$4,0)),NA(),IF(SUMPRODUCT((Inputs!$A$5:$A$130=$B21)*ISNUMBER(INDEX(Inputs!$K$5:$AJ$130,0,MATCH(D$2,Inputs!$K$4:$AJ$4,0))))+SUMPRODUCT((Inputs!$C$5:$C$130=$B21)*ISNUMBER(INDEX(Inputs!$K$5:$AJ$130,0,MATCH(D$2,Inputs!$K$4:$AJ$4,0))))+SUMPRODUCT((Inputs!$E$5:$E$130=$B21)*ISNUMBER(INDEX(Inputs!$K$5:$AJ$130,0,MATCH(D$2,Inputs!$K$4:$AJ$4,0))))=0,NA(),SUMPRODUCT((Inputs!$A$5:$A$130=$B21)*Inputs!$B$5:$B$130*(((Inputs!$G$5:$G$130="moeda")+(Inputs!$G$5:$G$130="acoes"))*Inputs!$B$1+((Inputs!$G$5:$G$130&lt;&gt;"moeda")*(Inputs!$G$5:$G$130&lt;&gt;"acoes")))*INDEX(Inputs!$K$5:$AJ$130,0,MATCH(D$2,Inputs!$K$4:$AJ$4,0)))+SUMPRODUCT((Inputs!$C$5:$C$130=$B21)*Inputs!$D$5:$D$130*(((Inputs!$G$5:$G$130="moeda")+(Inputs!$G$5:$G$130="acoes"))*Inputs!$B$1+((Inputs!$G$5:$G$130&lt;&gt;"moeda")*(Inputs!$G$5:$G$130&lt;&gt;"acoes")))*INDEX(Inputs!$K$5:$AJ$130,0,MATCH(D$2,Inputs!$K$4:$AJ$4,0)))+SUMPRODUCT((Inputs!$E$5:$E$130=$B21)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21" s="6" t="e">
        <f>IF(ISNA(MATCH(E$2,Inputs!$K$4:$AJ$4,0)),NA(),IF(SUMPRODUCT((Inputs!$A$5:$A$130=$B21)*ISNUMBER(INDEX(Inputs!$K$5:$AJ$130,0,MATCH(E$2,Inputs!$K$4:$AJ$4,0))))+SUMPRODUCT((Inputs!$C$5:$C$130=$B21)*ISNUMBER(INDEX(Inputs!$K$5:$AJ$130,0,MATCH(E$2,Inputs!$K$4:$AJ$4,0))))+SUMPRODUCT((Inputs!$E$5:$E$130=$B21)*ISNUMBER(INDEX(Inputs!$K$5:$AJ$130,0,MATCH(E$2,Inputs!$K$4:$AJ$4,0))))=0,NA(),SUMPRODUCT((Inputs!$A$5:$A$130=$B21)*Inputs!$B$5:$B$130*(((Inputs!$G$5:$G$130="moeda")+(Inputs!$G$5:$G$130="acoes"))*Inputs!$B$1+((Inputs!$G$5:$G$130&lt;&gt;"moeda")*(Inputs!$G$5:$G$130&lt;&gt;"acoes")))*INDEX(Inputs!$K$5:$AJ$130,0,MATCH(E$2,Inputs!$K$4:$AJ$4,0)))+SUMPRODUCT((Inputs!$C$5:$C$130=$B21)*Inputs!$D$5:$D$130*(((Inputs!$G$5:$G$130="moeda")+(Inputs!$G$5:$G$130="acoes"))*Inputs!$B$1+((Inputs!$G$5:$G$130&lt;&gt;"moeda")*(Inputs!$G$5:$G$130&lt;&gt;"acoes")))*INDEX(Inputs!$K$5:$AJ$130,0,MATCH(E$2,Inputs!$K$4:$AJ$4,0)))+SUMPRODUCT((Inputs!$E$5:$E$130=$B21)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21" s="6" t="e">
        <f>IF(ISNA(MATCH(F$2,Inputs!$K$4:$AJ$4,0)),NA(),IF(SUMPRODUCT((Inputs!$A$5:$A$130=$B21)*ISNUMBER(INDEX(Inputs!$K$5:$AJ$130,0,MATCH(F$2,Inputs!$K$4:$AJ$4,0))))+SUMPRODUCT((Inputs!$C$5:$C$130=$B21)*ISNUMBER(INDEX(Inputs!$K$5:$AJ$130,0,MATCH(F$2,Inputs!$K$4:$AJ$4,0))))+SUMPRODUCT((Inputs!$E$5:$E$130=$B21)*ISNUMBER(INDEX(Inputs!$K$5:$AJ$130,0,MATCH(F$2,Inputs!$K$4:$AJ$4,0))))=0,NA(),SUMPRODUCT((Inputs!$A$5:$A$130=$B21)*Inputs!$B$5:$B$130*(((Inputs!$G$5:$G$130="moeda")+(Inputs!$G$5:$G$130="acoes"))*Inputs!$B$1+((Inputs!$G$5:$G$130&lt;&gt;"moeda")*(Inputs!$G$5:$G$130&lt;&gt;"acoes")))*INDEX(Inputs!$K$5:$AJ$130,0,MATCH(F$2,Inputs!$K$4:$AJ$4,0)))+SUMPRODUCT((Inputs!$C$5:$C$130=$B21)*Inputs!$D$5:$D$130*(((Inputs!$G$5:$G$130="moeda")+(Inputs!$G$5:$G$130="acoes"))*Inputs!$B$1+((Inputs!$G$5:$G$130&lt;&gt;"moeda")*(Inputs!$G$5:$G$130&lt;&gt;"acoes")))*INDEX(Inputs!$K$5:$AJ$130,0,MATCH(F$2,Inputs!$K$4:$AJ$4,0)))+SUMPRODUCT((Inputs!$E$5:$E$130=$B21)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21" s="6" t="e">
        <f>IF(ISNA(MATCH(G$2,Inputs!$K$4:$AJ$4,0)),NA(),IF(SUMPRODUCT((Inputs!$A$5:$A$130=$B21)*ISNUMBER(INDEX(Inputs!$K$5:$AJ$130,0,MATCH(G$2,Inputs!$K$4:$AJ$4,0))))+SUMPRODUCT((Inputs!$C$5:$C$130=$B21)*ISNUMBER(INDEX(Inputs!$K$5:$AJ$130,0,MATCH(G$2,Inputs!$K$4:$AJ$4,0))))+SUMPRODUCT((Inputs!$E$5:$E$130=$B21)*ISNUMBER(INDEX(Inputs!$K$5:$AJ$130,0,MATCH(G$2,Inputs!$K$4:$AJ$4,0))))=0,NA(),SUMPRODUCT((Inputs!$A$5:$A$130=$B21)*Inputs!$B$5:$B$130*(((Inputs!$G$5:$G$130="moeda")+(Inputs!$G$5:$G$130="acoes"))*Inputs!$B$1+((Inputs!$G$5:$G$130&lt;&gt;"moeda")*(Inputs!$G$5:$G$130&lt;&gt;"acoes")))*INDEX(Inputs!$K$5:$AJ$130,0,MATCH(G$2,Inputs!$K$4:$AJ$4,0)))+SUMPRODUCT((Inputs!$C$5:$C$130=$B21)*Inputs!$D$5:$D$130*(((Inputs!$G$5:$G$130="moeda")+(Inputs!$G$5:$G$130="acoes"))*Inputs!$B$1+((Inputs!$G$5:$G$130&lt;&gt;"moeda")*(Inputs!$G$5:$G$130&lt;&gt;"acoes")))*INDEX(Inputs!$K$5:$AJ$130,0,MATCH(G$2,Inputs!$K$4:$AJ$4,0)))+SUMPRODUCT((Inputs!$E$5:$E$130=$B21)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21" s="3" t="e">
        <f>G21</f>
        <v>#N/A</v>
      </c>
      <c r="I21" s="6" t="e">
        <f>IF(ISNA(MATCH(I$2,Inputs!$K$4:$AJ$4,0)),NA(),IF(SUMPRODUCT((Inputs!$A$5:$A$130=$B21)*ISNUMBER(INDEX(Inputs!$K$5:$AJ$130,0,MATCH(I$2,Inputs!$K$4:$AJ$4,0))))+SUMPRODUCT((Inputs!$C$5:$C$130=$B21)*ISNUMBER(INDEX(Inputs!$K$5:$AJ$130,0,MATCH(I$2,Inputs!$K$4:$AJ$4,0))))+SUMPRODUCT((Inputs!$E$5:$E$130=$B21)*ISNUMBER(INDEX(Inputs!$K$5:$AJ$130,0,MATCH(I$2,Inputs!$K$4:$AJ$4,0))))=0,NA(),SUMPRODUCT((Inputs!$A$5:$A$130=$B21)*Inputs!$B$5:$B$130*(((Inputs!$G$5:$G$130="moeda")+(Inputs!$G$5:$G$130="acoes"))*Inputs!$B$1+((Inputs!$G$5:$G$130&lt;&gt;"moeda")*(Inputs!$G$5:$G$130&lt;&gt;"acoes")))*INDEX(Inputs!$K$5:$AJ$130,0,MATCH(I$2,Inputs!$K$4:$AJ$4,0)))+SUMPRODUCT((Inputs!$C$5:$C$130=$B21)*Inputs!$D$5:$D$130*(((Inputs!$G$5:$G$130="moeda")+(Inputs!$G$5:$G$130="acoes"))*Inputs!$B$1+((Inputs!$G$5:$G$130&lt;&gt;"moeda")*(Inputs!$G$5:$G$130&lt;&gt;"acoes")))*INDEX(Inputs!$K$5:$AJ$130,0,MATCH(I$2,Inputs!$K$4:$AJ$4,0)))+SUMPRODUCT((Inputs!$E$5:$E$130=$B21)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21" s="6" t="e">
        <f>IF(ISNA(MATCH(J$2,Inputs!$K$4:$AJ$4,0)),NA(),IF(SUMPRODUCT((Inputs!$A$5:$A$130=$B21)*ISNUMBER(INDEX(Inputs!$K$5:$AJ$130,0,MATCH(J$2,Inputs!$K$4:$AJ$4,0))))+SUMPRODUCT((Inputs!$C$5:$C$130=$B21)*ISNUMBER(INDEX(Inputs!$K$5:$AJ$130,0,MATCH(J$2,Inputs!$K$4:$AJ$4,0))))+SUMPRODUCT((Inputs!$E$5:$E$130=$B21)*ISNUMBER(INDEX(Inputs!$K$5:$AJ$130,0,MATCH(J$2,Inputs!$K$4:$AJ$4,0))))=0,NA(),SUMPRODUCT((Inputs!$A$5:$A$130=$B21)*Inputs!$B$5:$B$130*(((Inputs!$G$5:$G$130="moeda")+(Inputs!$G$5:$G$130="acoes"))*Inputs!$B$1+((Inputs!$G$5:$G$130&lt;&gt;"moeda")*(Inputs!$G$5:$G$130&lt;&gt;"acoes")))*INDEX(Inputs!$K$5:$AJ$130,0,MATCH(J$2,Inputs!$K$4:$AJ$4,0)))+SUMPRODUCT((Inputs!$C$5:$C$130=$B21)*Inputs!$D$5:$D$130*(((Inputs!$G$5:$G$130="moeda")+(Inputs!$G$5:$G$130="acoes"))*Inputs!$B$1+((Inputs!$G$5:$G$130&lt;&gt;"moeda")*(Inputs!$G$5:$G$130&lt;&gt;"acoes")))*INDEX(Inputs!$K$5:$AJ$130,0,MATCH(J$2,Inputs!$K$4:$AJ$4,0)))+SUMPRODUCT((Inputs!$E$5:$E$130=$B21)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21" s="6" t="e">
        <f>IF(ISNA(MATCH(K$2,Inputs!$K$4:$AJ$4,0)),NA(),IF(SUMPRODUCT((Inputs!$A$5:$A$130=$B21)*ISNUMBER(INDEX(Inputs!$K$5:$AJ$130,0,MATCH(K$2,Inputs!$K$4:$AJ$4,0))))+SUMPRODUCT((Inputs!$C$5:$C$130=$B21)*ISNUMBER(INDEX(Inputs!$K$5:$AJ$130,0,MATCH(K$2,Inputs!$K$4:$AJ$4,0))))+SUMPRODUCT((Inputs!$E$5:$E$130=$B21)*ISNUMBER(INDEX(Inputs!$K$5:$AJ$130,0,MATCH(K$2,Inputs!$K$4:$AJ$4,0))))=0,NA(),SUMPRODUCT((Inputs!$A$5:$A$130=$B21)*Inputs!$B$5:$B$130*(((Inputs!$G$5:$G$130="moeda")+(Inputs!$G$5:$G$130="acoes"))*Inputs!$B$1+((Inputs!$G$5:$G$130&lt;&gt;"moeda")*(Inputs!$G$5:$G$130&lt;&gt;"acoes")))*INDEX(Inputs!$K$5:$AJ$130,0,MATCH(K$2,Inputs!$K$4:$AJ$4,0)))+SUMPRODUCT((Inputs!$C$5:$C$130=$B21)*Inputs!$D$5:$D$130*(((Inputs!$G$5:$G$130="moeda")+(Inputs!$G$5:$G$130="acoes"))*Inputs!$B$1+((Inputs!$G$5:$G$130&lt;&gt;"moeda")*(Inputs!$G$5:$G$130&lt;&gt;"acoes")))*INDEX(Inputs!$K$5:$AJ$130,0,MATCH(K$2,Inputs!$K$4:$AJ$4,0)))+SUMPRODUCT((Inputs!$E$5:$E$130=$B21)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21" s="6" t="e">
        <f>IF(ISNA(MATCH(L$2,Inputs!$K$4:$AJ$4,0)),NA(),IF(SUMPRODUCT((Inputs!$A$5:$A$130=$B21)*ISNUMBER(INDEX(Inputs!$K$5:$AJ$130,0,MATCH(L$2,Inputs!$K$4:$AJ$4,0))))+SUMPRODUCT((Inputs!$C$5:$C$130=$B21)*ISNUMBER(INDEX(Inputs!$K$5:$AJ$130,0,MATCH(L$2,Inputs!$K$4:$AJ$4,0))))+SUMPRODUCT((Inputs!$E$5:$E$130=$B21)*ISNUMBER(INDEX(Inputs!$K$5:$AJ$130,0,MATCH(L$2,Inputs!$K$4:$AJ$4,0))))=0,NA(),SUMPRODUCT((Inputs!$A$5:$A$130=$B21)*Inputs!$B$5:$B$130*(((Inputs!$G$5:$G$130="moeda")+(Inputs!$G$5:$G$130="acoes"))*Inputs!$B$1+((Inputs!$G$5:$G$130&lt;&gt;"moeda")*(Inputs!$G$5:$G$130&lt;&gt;"acoes")))*INDEX(Inputs!$K$5:$AJ$130,0,MATCH(L$2,Inputs!$K$4:$AJ$4,0)))+SUMPRODUCT((Inputs!$C$5:$C$130=$B21)*Inputs!$D$5:$D$130*(((Inputs!$G$5:$G$130="moeda")+(Inputs!$G$5:$G$130="acoes"))*Inputs!$B$1+((Inputs!$G$5:$G$130&lt;&gt;"moeda")*(Inputs!$G$5:$G$130&lt;&gt;"acoes")))*INDEX(Inputs!$K$5:$AJ$130,0,MATCH(L$2,Inputs!$K$4:$AJ$4,0)))+SUMPRODUCT((Inputs!$E$5:$E$130=$B21)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21" s="3" t="e">
        <f>L21</f>
        <v>#N/A</v>
      </c>
      <c r="N21" s="6" t="e">
        <f>IF(ISNA(MATCH(N$2,Inputs!$K$4:$AJ$4,0)),NA(),IF(SUMPRODUCT((Inputs!$A$5:$A$130=$B21)*ISNUMBER(INDEX(Inputs!$K$5:$AJ$130,0,MATCH(N$2,Inputs!$K$4:$AJ$4,0))))+SUMPRODUCT((Inputs!$C$5:$C$130=$B21)*ISNUMBER(INDEX(Inputs!$K$5:$AJ$130,0,MATCH(N$2,Inputs!$K$4:$AJ$4,0))))+SUMPRODUCT((Inputs!$E$5:$E$130=$B21)*ISNUMBER(INDEX(Inputs!$K$5:$AJ$130,0,MATCH(N$2,Inputs!$K$4:$AJ$4,0))))=0,NA(),SUMPRODUCT((Inputs!$A$5:$A$130=$B21)*Inputs!$B$5:$B$130*(((Inputs!$G$5:$G$130="moeda")+(Inputs!$G$5:$G$130="acoes"))*Inputs!$B$1+((Inputs!$G$5:$G$130&lt;&gt;"moeda")*(Inputs!$G$5:$G$130&lt;&gt;"acoes")))*INDEX(Inputs!$K$5:$AJ$130,0,MATCH(N$2,Inputs!$K$4:$AJ$4,0)))+SUMPRODUCT((Inputs!$C$5:$C$130=$B21)*Inputs!$D$5:$D$130*(((Inputs!$G$5:$G$130="moeda")+(Inputs!$G$5:$G$130="acoes"))*Inputs!$B$1+((Inputs!$G$5:$G$130&lt;&gt;"moeda")*(Inputs!$G$5:$G$130&lt;&gt;"acoes")))*INDEX(Inputs!$K$5:$AJ$130,0,MATCH(N$2,Inputs!$K$4:$AJ$4,0)))+SUMPRODUCT((Inputs!$E$5:$E$130=$B21)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21" s="6" t="e">
        <f>IF(ISNA(MATCH(O$2,Inputs!$K$4:$AJ$4,0)),NA(),IF(SUMPRODUCT((Inputs!$A$5:$A$130=$B21)*ISNUMBER(INDEX(Inputs!$K$5:$AJ$130,0,MATCH(O$2,Inputs!$K$4:$AJ$4,0))))+SUMPRODUCT((Inputs!$C$5:$C$130=$B21)*ISNUMBER(INDEX(Inputs!$K$5:$AJ$130,0,MATCH(O$2,Inputs!$K$4:$AJ$4,0))))+SUMPRODUCT((Inputs!$E$5:$E$130=$B21)*ISNUMBER(INDEX(Inputs!$K$5:$AJ$130,0,MATCH(O$2,Inputs!$K$4:$AJ$4,0))))=0,NA(),SUMPRODUCT((Inputs!$A$5:$A$130=$B21)*Inputs!$B$5:$B$130*(((Inputs!$G$5:$G$130="moeda")+(Inputs!$G$5:$G$130="acoes"))*Inputs!$B$1+((Inputs!$G$5:$G$130&lt;&gt;"moeda")*(Inputs!$G$5:$G$130&lt;&gt;"acoes")))*INDEX(Inputs!$K$5:$AJ$130,0,MATCH(O$2,Inputs!$K$4:$AJ$4,0)))+SUMPRODUCT((Inputs!$C$5:$C$130=$B21)*Inputs!$D$5:$D$130*(((Inputs!$G$5:$G$130="moeda")+(Inputs!$G$5:$G$130="acoes"))*Inputs!$B$1+((Inputs!$G$5:$G$130&lt;&gt;"moeda")*(Inputs!$G$5:$G$130&lt;&gt;"acoes")))*INDEX(Inputs!$K$5:$AJ$130,0,MATCH(O$2,Inputs!$K$4:$AJ$4,0)))+SUMPRODUCT((Inputs!$E$5:$E$130=$B21)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21" s="6" t="e">
        <f>IF(ISNA(MATCH(P$2,Inputs!$K$4:$AJ$4,0)),NA(),IF(SUMPRODUCT((Inputs!$A$5:$A$130=$B21)*ISNUMBER(INDEX(Inputs!$K$5:$AJ$130,0,MATCH(P$2,Inputs!$K$4:$AJ$4,0))))+SUMPRODUCT((Inputs!$C$5:$C$130=$B21)*ISNUMBER(INDEX(Inputs!$K$5:$AJ$130,0,MATCH(P$2,Inputs!$K$4:$AJ$4,0))))+SUMPRODUCT((Inputs!$E$5:$E$130=$B21)*ISNUMBER(INDEX(Inputs!$K$5:$AJ$130,0,MATCH(P$2,Inputs!$K$4:$AJ$4,0))))=0,NA(),SUMPRODUCT((Inputs!$A$5:$A$130=$B21)*Inputs!$B$5:$B$130*(((Inputs!$G$5:$G$130="moeda")+(Inputs!$G$5:$G$130="acoes"))*Inputs!$B$1+((Inputs!$G$5:$G$130&lt;&gt;"moeda")*(Inputs!$G$5:$G$130&lt;&gt;"acoes")))*INDEX(Inputs!$K$5:$AJ$130,0,MATCH(P$2,Inputs!$K$4:$AJ$4,0)))+SUMPRODUCT((Inputs!$C$5:$C$130=$B21)*Inputs!$D$5:$D$130*(((Inputs!$G$5:$G$130="moeda")+(Inputs!$G$5:$G$130="acoes"))*Inputs!$B$1+((Inputs!$G$5:$G$130&lt;&gt;"moeda")*(Inputs!$G$5:$G$130&lt;&gt;"acoes")))*INDEX(Inputs!$K$5:$AJ$130,0,MATCH(P$2,Inputs!$K$4:$AJ$4,0)))+SUMPRODUCT((Inputs!$E$5:$E$130=$B21)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21" s="6" t="e">
        <f>IF(ISNA(MATCH(Q$2,Inputs!$K$4:$AJ$4,0)),NA(),IF(SUMPRODUCT((Inputs!$A$5:$A$130=$B21)*ISNUMBER(INDEX(Inputs!$K$5:$AJ$130,0,MATCH(Q$2,Inputs!$K$4:$AJ$4,0))))+SUMPRODUCT((Inputs!$C$5:$C$130=$B21)*ISNUMBER(INDEX(Inputs!$K$5:$AJ$130,0,MATCH(Q$2,Inputs!$K$4:$AJ$4,0))))+SUMPRODUCT((Inputs!$E$5:$E$130=$B21)*ISNUMBER(INDEX(Inputs!$K$5:$AJ$130,0,MATCH(Q$2,Inputs!$K$4:$AJ$4,0))))=0,NA(),SUMPRODUCT((Inputs!$A$5:$A$130=$B21)*Inputs!$B$5:$B$130*(((Inputs!$G$5:$G$130="moeda")+(Inputs!$G$5:$G$130="acoes"))*Inputs!$B$1+((Inputs!$G$5:$G$130&lt;&gt;"moeda")*(Inputs!$G$5:$G$130&lt;&gt;"acoes")))*INDEX(Inputs!$K$5:$AJ$130,0,MATCH(Q$2,Inputs!$K$4:$AJ$4,0)))+SUMPRODUCT((Inputs!$C$5:$C$130=$B21)*Inputs!$D$5:$D$130*(((Inputs!$G$5:$G$130="moeda")+(Inputs!$G$5:$G$130="acoes"))*Inputs!$B$1+((Inputs!$G$5:$G$130&lt;&gt;"moeda")*(Inputs!$G$5:$G$130&lt;&gt;"acoes")))*INDEX(Inputs!$K$5:$AJ$130,0,MATCH(Q$2,Inputs!$K$4:$AJ$4,0)))+SUMPRODUCT((Inputs!$E$5:$E$130=$B21)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21" s="3" t="e">
        <f>Q21</f>
        <v>#N/A</v>
      </c>
      <c r="S21" s="6" t="e">
        <f>IF(ISNA(MATCH(S$2,Inputs!$K$4:$AJ$4,0)),NA(),IF(SUMPRODUCT((Inputs!$A$5:$A$130=$B21)*ISNUMBER(INDEX(Inputs!$K$5:$AJ$130,0,MATCH(S$2,Inputs!$K$4:$AJ$4,0))))+SUMPRODUCT((Inputs!$C$5:$C$130=$B21)*ISNUMBER(INDEX(Inputs!$K$5:$AJ$130,0,MATCH(S$2,Inputs!$K$4:$AJ$4,0))))+SUMPRODUCT((Inputs!$E$5:$E$130=$B21)*ISNUMBER(INDEX(Inputs!$K$5:$AJ$130,0,MATCH(S$2,Inputs!$K$4:$AJ$4,0))))=0,NA(),SUMPRODUCT((Inputs!$A$5:$A$130=$B21)*Inputs!$B$5:$B$130*(((Inputs!$G$5:$G$130="moeda")+(Inputs!$G$5:$G$130="acoes"))*Inputs!$B$1+((Inputs!$G$5:$G$130&lt;&gt;"moeda")*(Inputs!$G$5:$G$130&lt;&gt;"acoes")))*INDEX(Inputs!$K$5:$AJ$130,0,MATCH(S$2,Inputs!$K$4:$AJ$4,0)))+SUMPRODUCT((Inputs!$C$5:$C$130=$B21)*Inputs!$D$5:$D$130*(((Inputs!$G$5:$G$130="moeda")+(Inputs!$G$5:$G$130="acoes"))*Inputs!$B$1+((Inputs!$G$5:$G$130&lt;&gt;"moeda")*(Inputs!$G$5:$G$130&lt;&gt;"acoes")))*INDEX(Inputs!$K$5:$AJ$130,0,MATCH(S$2,Inputs!$K$4:$AJ$4,0)))+SUMPRODUCT((Inputs!$E$5:$E$130=$B21)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21" s="6" t="e">
        <f>IF(ISNA(MATCH(T$2,Inputs!$K$4:$AJ$4,0)),NA(),IF(SUMPRODUCT((Inputs!$A$5:$A$130=$B21)*ISNUMBER(INDEX(Inputs!$K$5:$AJ$130,0,MATCH(T$2,Inputs!$K$4:$AJ$4,0))))+SUMPRODUCT((Inputs!$C$5:$C$130=$B21)*ISNUMBER(INDEX(Inputs!$K$5:$AJ$130,0,MATCH(T$2,Inputs!$K$4:$AJ$4,0))))+SUMPRODUCT((Inputs!$E$5:$E$130=$B21)*ISNUMBER(INDEX(Inputs!$K$5:$AJ$130,0,MATCH(T$2,Inputs!$K$4:$AJ$4,0))))=0,NA(),SUMPRODUCT((Inputs!$A$5:$A$130=$B21)*Inputs!$B$5:$B$130*(((Inputs!$G$5:$G$130="moeda")+(Inputs!$G$5:$G$130="acoes"))*Inputs!$B$1+((Inputs!$G$5:$G$130&lt;&gt;"moeda")*(Inputs!$G$5:$G$130&lt;&gt;"acoes")))*INDEX(Inputs!$K$5:$AJ$130,0,MATCH(T$2,Inputs!$K$4:$AJ$4,0)))+SUMPRODUCT((Inputs!$C$5:$C$130=$B21)*Inputs!$D$5:$D$130*(((Inputs!$G$5:$G$130="moeda")+(Inputs!$G$5:$G$130="acoes"))*Inputs!$B$1+((Inputs!$G$5:$G$130&lt;&gt;"moeda")*(Inputs!$G$5:$G$130&lt;&gt;"acoes")))*INDEX(Inputs!$K$5:$AJ$130,0,MATCH(T$2,Inputs!$K$4:$AJ$4,0)))+SUMPRODUCT((Inputs!$E$5:$E$130=$B21)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21" s="6" t="e">
        <f>IF(ISNA(MATCH(U$2,Inputs!$K$4:$AJ$4,0)),NA(),IF(SUMPRODUCT((Inputs!$A$5:$A$130=$B21)*ISNUMBER(INDEX(Inputs!$K$5:$AJ$130,0,MATCH(U$2,Inputs!$K$4:$AJ$4,0))))+SUMPRODUCT((Inputs!$C$5:$C$130=$B21)*ISNUMBER(INDEX(Inputs!$K$5:$AJ$130,0,MATCH(U$2,Inputs!$K$4:$AJ$4,0))))+SUMPRODUCT((Inputs!$E$5:$E$130=$B21)*ISNUMBER(INDEX(Inputs!$K$5:$AJ$130,0,MATCH(U$2,Inputs!$K$4:$AJ$4,0))))=0,NA(),SUMPRODUCT((Inputs!$A$5:$A$130=$B21)*Inputs!$B$5:$B$130*(((Inputs!$G$5:$G$130="moeda")+(Inputs!$G$5:$G$130="acoes"))*Inputs!$B$1+((Inputs!$G$5:$G$130&lt;&gt;"moeda")*(Inputs!$G$5:$G$130&lt;&gt;"acoes")))*INDEX(Inputs!$K$5:$AJ$130,0,MATCH(U$2,Inputs!$K$4:$AJ$4,0)))+SUMPRODUCT((Inputs!$C$5:$C$130=$B21)*Inputs!$D$5:$D$130*(((Inputs!$G$5:$G$130="moeda")+(Inputs!$G$5:$G$130="acoes"))*Inputs!$B$1+((Inputs!$G$5:$G$130&lt;&gt;"moeda")*(Inputs!$G$5:$G$130&lt;&gt;"acoes")))*INDEX(Inputs!$K$5:$AJ$130,0,MATCH(U$2,Inputs!$K$4:$AJ$4,0)))+SUMPRODUCT((Inputs!$E$5:$E$130=$B21)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21" s="6" t="e">
        <f>IF(ISNA(MATCH(V$2,Inputs!$K$4:$AJ$4,0)),NA(),IF(SUMPRODUCT((Inputs!$A$5:$A$130=$B21)*ISNUMBER(INDEX(Inputs!$K$5:$AJ$130,0,MATCH(V$2,Inputs!$K$4:$AJ$4,0))))+SUMPRODUCT((Inputs!$C$5:$C$130=$B21)*ISNUMBER(INDEX(Inputs!$K$5:$AJ$130,0,MATCH(V$2,Inputs!$K$4:$AJ$4,0))))+SUMPRODUCT((Inputs!$E$5:$E$130=$B21)*ISNUMBER(INDEX(Inputs!$K$5:$AJ$130,0,MATCH(V$2,Inputs!$K$4:$AJ$4,0))))=0,NA(),SUMPRODUCT((Inputs!$A$5:$A$130=$B21)*Inputs!$B$5:$B$130*(((Inputs!$G$5:$G$130="moeda")+(Inputs!$G$5:$G$130="acoes"))*Inputs!$B$1+((Inputs!$G$5:$G$130&lt;&gt;"moeda")*(Inputs!$G$5:$G$130&lt;&gt;"acoes")))*INDEX(Inputs!$K$5:$AJ$130,0,MATCH(V$2,Inputs!$K$4:$AJ$4,0)))+SUMPRODUCT((Inputs!$C$5:$C$130=$B21)*Inputs!$D$5:$D$130*(((Inputs!$G$5:$G$130="moeda")+(Inputs!$G$5:$G$130="acoes"))*Inputs!$B$1+((Inputs!$G$5:$G$130&lt;&gt;"moeda")*(Inputs!$G$5:$G$130&lt;&gt;"acoes")))*INDEX(Inputs!$K$5:$AJ$130,0,MATCH(V$2,Inputs!$K$4:$AJ$4,0)))+SUMPRODUCT((Inputs!$E$5:$E$130=$B21)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21" s="3" t="e">
        <f>V21</f>
        <v>#N/A</v>
      </c>
      <c r="X21" s="6" t="e">
        <f>IF(ISNA(MATCH(X$2,Inputs!$K$4:$AJ$4,0)),NA(),IF(SUMPRODUCT((Inputs!$A$5:$A$130=$B21)*ISNUMBER(INDEX(Inputs!$K$5:$AJ$130,0,MATCH(X$2,Inputs!$K$4:$AJ$4,0))))+SUMPRODUCT((Inputs!$C$5:$C$130=$B21)*ISNUMBER(INDEX(Inputs!$K$5:$AJ$130,0,MATCH(X$2,Inputs!$K$4:$AJ$4,0))))+SUMPRODUCT((Inputs!$E$5:$E$130=$B21)*ISNUMBER(INDEX(Inputs!$K$5:$AJ$130,0,MATCH(X$2,Inputs!$K$4:$AJ$4,0))))=0,NA(),SUMPRODUCT((Inputs!$A$5:$A$130=$B21)*Inputs!$B$5:$B$130*(((Inputs!$G$5:$G$130="moeda")+(Inputs!$G$5:$G$130="acoes"))*Inputs!$B$1+((Inputs!$G$5:$G$130&lt;&gt;"moeda")*(Inputs!$G$5:$G$130&lt;&gt;"acoes")))*INDEX(Inputs!$K$5:$AJ$130,0,MATCH(X$2,Inputs!$K$4:$AJ$4,0)))+SUMPRODUCT((Inputs!$C$5:$C$130=$B21)*Inputs!$D$5:$D$130*(((Inputs!$G$5:$G$130="moeda")+(Inputs!$G$5:$G$130="acoes"))*Inputs!$B$1+((Inputs!$G$5:$G$130&lt;&gt;"moeda")*(Inputs!$G$5:$G$130&lt;&gt;"acoes")))*INDEX(Inputs!$K$5:$AJ$130,0,MATCH(X$2,Inputs!$K$4:$AJ$4,0)))+SUMPRODUCT((Inputs!$E$5:$E$130=$B21)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21" s="6" t="e">
        <f>IF(ISNA(MATCH(Y$2,Inputs!$K$4:$AJ$4,0)),NA(),IF(SUMPRODUCT((Inputs!$A$5:$A$130=$B21)*ISNUMBER(INDEX(Inputs!$K$5:$AJ$130,0,MATCH(Y$2,Inputs!$K$4:$AJ$4,0))))+SUMPRODUCT((Inputs!$C$5:$C$130=$B21)*ISNUMBER(INDEX(Inputs!$K$5:$AJ$130,0,MATCH(Y$2,Inputs!$K$4:$AJ$4,0))))+SUMPRODUCT((Inputs!$E$5:$E$130=$B21)*ISNUMBER(INDEX(Inputs!$K$5:$AJ$130,0,MATCH(Y$2,Inputs!$K$4:$AJ$4,0))))=0,NA(),SUMPRODUCT((Inputs!$A$5:$A$130=$B21)*Inputs!$B$5:$B$130*(((Inputs!$G$5:$G$130="moeda")+(Inputs!$G$5:$G$130="acoes"))*Inputs!$B$1+((Inputs!$G$5:$G$130&lt;&gt;"moeda")*(Inputs!$G$5:$G$130&lt;&gt;"acoes")))*INDEX(Inputs!$K$5:$AJ$130,0,MATCH(Y$2,Inputs!$K$4:$AJ$4,0)))+SUMPRODUCT((Inputs!$C$5:$C$130=$B21)*Inputs!$D$5:$D$130*(((Inputs!$G$5:$G$130="moeda")+(Inputs!$G$5:$G$130="acoes"))*Inputs!$B$1+((Inputs!$G$5:$G$130&lt;&gt;"moeda")*(Inputs!$G$5:$G$130&lt;&gt;"acoes")))*INDEX(Inputs!$K$5:$AJ$130,0,MATCH(Y$2,Inputs!$K$4:$AJ$4,0)))+SUMPRODUCT((Inputs!$E$5:$E$130=$B21)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21" s="6" t="e">
        <f>IF(ISNA(MATCH(Z$2,Inputs!$K$4:$AJ$4,0)),NA(),IF(SUMPRODUCT((Inputs!$A$5:$A$130=$B21)*ISNUMBER(INDEX(Inputs!$K$5:$AJ$130,0,MATCH(Z$2,Inputs!$K$4:$AJ$4,0))))+SUMPRODUCT((Inputs!$C$5:$C$130=$B21)*ISNUMBER(INDEX(Inputs!$K$5:$AJ$130,0,MATCH(Z$2,Inputs!$K$4:$AJ$4,0))))+SUMPRODUCT((Inputs!$E$5:$E$130=$B21)*ISNUMBER(INDEX(Inputs!$K$5:$AJ$130,0,MATCH(Z$2,Inputs!$K$4:$AJ$4,0))))=0,NA(),SUMPRODUCT((Inputs!$A$5:$A$130=$B21)*Inputs!$B$5:$B$130*(((Inputs!$G$5:$G$130="moeda")+(Inputs!$G$5:$G$130="acoes"))*Inputs!$B$1+((Inputs!$G$5:$G$130&lt;&gt;"moeda")*(Inputs!$G$5:$G$130&lt;&gt;"acoes")))*INDEX(Inputs!$K$5:$AJ$130,0,MATCH(Z$2,Inputs!$K$4:$AJ$4,0)))+SUMPRODUCT((Inputs!$C$5:$C$130=$B21)*Inputs!$D$5:$D$130*(((Inputs!$G$5:$G$130="moeda")+(Inputs!$G$5:$G$130="acoes"))*Inputs!$B$1+((Inputs!$G$5:$G$130&lt;&gt;"moeda")*(Inputs!$G$5:$G$130&lt;&gt;"acoes")))*INDEX(Inputs!$K$5:$AJ$130,0,MATCH(Z$2,Inputs!$K$4:$AJ$4,0)))+SUMPRODUCT((Inputs!$E$5:$E$130=$B21)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21" s="6" t="e">
        <f>IF(ISNA(MATCH(AA$2,Inputs!$K$4:$AJ$4,0)),NA(),IF(SUMPRODUCT((Inputs!$A$5:$A$130=$B21)*ISNUMBER(INDEX(Inputs!$K$5:$AJ$130,0,MATCH(AA$2,Inputs!$K$4:$AJ$4,0))))+SUMPRODUCT((Inputs!$C$5:$C$130=$B21)*ISNUMBER(INDEX(Inputs!$K$5:$AJ$130,0,MATCH(AA$2,Inputs!$K$4:$AJ$4,0))))+SUMPRODUCT((Inputs!$E$5:$E$130=$B21)*ISNUMBER(INDEX(Inputs!$K$5:$AJ$130,0,MATCH(AA$2,Inputs!$K$4:$AJ$4,0))))=0,NA(),SUMPRODUCT((Inputs!$A$5:$A$130=$B21)*Inputs!$B$5:$B$130*(((Inputs!$G$5:$G$130="moeda")+(Inputs!$G$5:$G$130="acoes"))*Inputs!$B$1+((Inputs!$G$5:$G$130&lt;&gt;"moeda")*(Inputs!$G$5:$G$130&lt;&gt;"acoes")))*INDEX(Inputs!$K$5:$AJ$130,0,MATCH(AA$2,Inputs!$K$4:$AJ$4,0)))+SUMPRODUCT((Inputs!$C$5:$C$130=$B21)*Inputs!$D$5:$D$130*(((Inputs!$G$5:$G$130="moeda")+(Inputs!$G$5:$G$130="acoes"))*Inputs!$B$1+((Inputs!$G$5:$G$130&lt;&gt;"moeda")*(Inputs!$G$5:$G$130&lt;&gt;"acoes")))*INDEX(Inputs!$K$5:$AJ$130,0,MATCH(AA$2,Inputs!$K$4:$AJ$4,0)))+SUMPRODUCT((Inputs!$E$5:$E$130=$B21)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21" s="3" t="e">
        <f>AA21</f>
        <v>#N/A</v>
      </c>
      <c r="AC21" s="6" t="e">
        <f>IF(ISNA(MATCH(AC$2,Inputs!$K$4:$AJ$4,0)),NA(),IF(SUMPRODUCT((Inputs!$A$5:$A$130=$B21)*ISNUMBER(INDEX(Inputs!$K$5:$AJ$130,0,MATCH(AC$2,Inputs!$K$4:$AJ$4,0))))+SUMPRODUCT((Inputs!$C$5:$C$130=$B21)*ISNUMBER(INDEX(Inputs!$K$5:$AJ$130,0,MATCH(AC$2,Inputs!$K$4:$AJ$4,0))))+SUMPRODUCT((Inputs!$E$5:$E$130=$B21)*ISNUMBER(INDEX(Inputs!$K$5:$AJ$130,0,MATCH(AC$2,Inputs!$K$4:$AJ$4,0))))=0,NA(),SUMPRODUCT((Inputs!$A$5:$A$130=$B21)*Inputs!$B$5:$B$130*(((Inputs!$G$5:$G$130="moeda")+(Inputs!$G$5:$G$130="acoes"))*Inputs!$B$1+((Inputs!$G$5:$G$130&lt;&gt;"moeda")*(Inputs!$G$5:$G$130&lt;&gt;"acoes")))*INDEX(Inputs!$K$5:$AJ$130,0,MATCH(AC$2,Inputs!$K$4:$AJ$4,0)))+SUMPRODUCT((Inputs!$C$5:$C$130=$B21)*Inputs!$D$5:$D$130*(((Inputs!$G$5:$G$130="moeda")+(Inputs!$G$5:$G$130="acoes"))*Inputs!$B$1+((Inputs!$G$5:$G$130&lt;&gt;"moeda")*(Inputs!$G$5:$G$130&lt;&gt;"acoes")))*INDEX(Inputs!$K$5:$AJ$130,0,MATCH(AC$2,Inputs!$K$4:$AJ$4,0)))+SUMPRODUCT((Inputs!$E$5:$E$130=$B21)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21" s="6" t="e">
        <f>IF(ISNA(MATCH(AD$2,Inputs!$K$4:$AJ$4,0)),NA(),IF(SUMPRODUCT((Inputs!$A$5:$A$130=$B21)*ISNUMBER(INDEX(Inputs!$K$5:$AJ$130,0,MATCH(AD$2,Inputs!$K$4:$AJ$4,0))))+SUMPRODUCT((Inputs!$C$5:$C$130=$B21)*ISNUMBER(INDEX(Inputs!$K$5:$AJ$130,0,MATCH(AD$2,Inputs!$K$4:$AJ$4,0))))+SUMPRODUCT((Inputs!$E$5:$E$130=$B21)*ISNUMBER(INDEX(Inputs!$K$5:$AJ$130,0,MATCH(AD$2,Inputs!$K$4:$AJ$4,0))))=0,NA(),SUMPRODUCT((Inputs!$A$5:$A$130=$B21)*Inputs!$B$5:$B$130*(((Inputs!$G$5:$G$130="moeda")+(Inputs!$G$5:$G$130="acoes"))*Inputs!$B$1+((Inputs!$G$5:$G$130&lt;&gt;"moeda")*(Inputs!$G$5:$G$130&lt;&gt;"acoes")))*INDEX(Inputs!$K$5:$AJ$130,0,MATCH(AD$2,Inputs!$K$4:$AJ$4,0)))+SUMPRODUCT((Inputs!$C$5:$C$130=$B21)*Inputs!$D$5:$D$130*(((Inputs!$G$5:$G$130="moeda")+(Inputs!$G$5:$G$130="acoes"))*Inputs!$B$1+((Inputs!$G$5:$G$130&lt;&gt;"moeda")*(Inputs!$G$5:$G$130&lt;&gt;"acoes")))*INDEX(Inputs!$K$5:$AJ$130,0,MATCH(AD$2,Inputs!$K$4:$AJ$4,0)))+SUMPRODUCT((Inputs!$E$5:$E$130=$B21)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21" s="6" t="e">
        <f>IF(ISNA(MATCH(AE$2,Inputs!$K$4:$AJ$4,0)),NA(),IF(SUMPRODUCT((Inputs!$A$5:$A$130=$B21)*ISNUMBER(INDEX(Inputs!$K$5:$AJ$130,0,MATCH(AE$2,Inputs!$K$4:$AJ$4,0))))+SUMPRODUCT((Inputs!$C$5:$C$130=$B21)*ISNUMBER(INDEX(Inputs!$K$5:$AJ$130,0,MATCH(AE$2,Inputs!$K$4:$AJ$4,0))))+SUMPRODUCT((Inputs!$E$5:$E$130=$B21)*ISNUMBER(INDEX(Inputs!$K$5:$AJ$130,0,MATCH(AE$2,Inputs!$K$4:$AJ$4,0))))=0,NA(),SUMPRODUCT((Inputs!$A$5:$A$130=$B21)*Inputs!$B$5:$B$130*(((Inputs!$G$5:$G$130="moeda")+(Inputs!$G$5:$G$130="acoes"))*Inputs!$B$1+((Inputs!$G$5:$G$130&lt;&gt;"moeda")*(Inputs!$G$5:$G$130&lt;&gt;"acoes")))*INDEX(Inputs!$K$5:$AJ$130,0,MATCH(AE$2,Inputs!$K$4:$AJ$4,0)))+SUMPRODUCT((Inputs!$C$5:$C$130=$B21)*Inputs!$D$5:$D$130*(((Inputs!$G$5:$G$130="moeda")+(Inputs!$G$5:$G$130="acoes"))*Inputs!$B$1+((Inputs!$G$5:$G$130&lt;&gt;"moeda")*(Inputs!$G$5:$G$130&lt;&gt;"acoes")))*INDEX(Inputs!$K$5:$AJ$130,0,MATCH(AE$2,Inputs!$K$4:$AJ$4,0)))+SUMPRODUCT((Inputs!$E$5:$E$130=$B21)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1" s="6" t="e">
        <f>IF(ISNA(MATCH(AF$2,Inputs!$K$4:$AJ$4,0)),NA(),IF(SUMPRODUCT((Inputs!$A$5:$A$130=$B21)*ISNUMBER(INDEX(Inputs!$K$5:$AJ$130,0,MATCH(AF$2,Inputs!$K$4:$AJ$4,0))))+SUMPRODUCT((Inputs!$C$5:$C$130=$B21)*ISNUMBER(INDEX(Inputs!$K$5:$AJ$130,0,MATCH(AF$2,Inputs!$K$4:$AJ$4,0))))+SUMPRODUCT((Inputs!$E$5:$E$130=$B21)*ISNUMBER(INDEX(Inputs!$K$5:$AJ$130,0,MATCH(AF$2,Inputs!$K$4:$AJ$4,0))))=0,NA(),SUMPRODUCT((Inputs!$A$5:$A$130=$B21)*Inputs!$B$5:$B$130*(((Inputs!$G$5:$G$130="moeda")+(Inputs!$G$5:$G$130="acoes"))*Inputs!$B$1+((Inputs!$G$5:$G$130&lt;&gt;"moeda")*(Inputs!$G$5:$G$130&lt;&gt;"acoes")))*INDEX(Inputs!$K$5:$AJ$130,0,MATCH(AF$2,Inputs!$K$4:$AJ$4,0)))+SUMPRODUCT((Inputs!$C$5:$C$130=$B21)*Inputs!$D$5:$D$130*(((Inputs!$G$5:$G$130="moeda")+(Inputs!$G$5:$G$130="acoes"))*Inputs!$B$1+((Inputs!$G$5:$G$130&lt;&gt;"moeda")*(Inputs!$G$5:$G$130&lt;&gt;"acoes")))*INDEX(Inputs!$K$5:$AJ$130,0,MATCH(AF$2,Inputs!$K$4:$AJ$4,0)))+SUMPRODUCT((Inputs!$E$5:$E$130=$B21)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1" s="3" t="e">
        <f>AF21</f>
        <v>#N/A</v>
      </c>
      <c r="AH21" s="6" t="e">
        <f>IF(ISNA(MATCH(AH$2,Inputs!$K$4:$AJ$4,0)),NA(),IF(SUMPRODUCT((Inputs!$A$5:$A$130=$B21)*ISNUMBER(INDEX(Inputs!$K$5:$AJ$130,0,MATCH(AH$2,Inputs!$K$4:$AJ$4,0))))+SUMPRODUCT((Inputs!$C$5:$C$130=$B21)*ISNUMBER(INDEX(Inputs!$K$5:$AJ$130,0,MATCH(AH$2,Inputs!$K$4:$AJ$4,0))))+SUMPRODUCT((Inputs!$E$5:$E$130=$B21)*ISNUMBER(INDEX(Inputs!$K$5:$AJ$130,0,MATCH(AH$2,Inputs!$K$4:$AJ$4,0))))=0,NA(),SUMPRODUCT((Inputs!$A$5:$A$130=$B21)*Inputs!$B$5:$B$130*(((Inputs!$G$5:$G$130="moeda")+(Inputs!$G$5:$G$130="acoes"))*Inputs!$B$1+((Inputs!$G$5:$G$130&lt;&gt;"moeda")*(Inputs!$G$5:$G$130&lt;&gt;"acoes")))*INDEX(Inputs!$K$5:$AJ$130,0,MATCH(AH$2,Inputs!$K$4:$AJ$4,0)))+SUMPRODUCT((Inputs!$C$5:$C$130=$B21)*Inputs!$D$5:$D$130*(((Inputs!$G$5:$G$130="moeda")+(Inputs!$G$5:$G$130="acoes"))*Inputs!$B$1+((Inputs!$G$5:$G$130&lt;&gt;"moeda")*(Inputs!$G$5:$G$130&lt;&gt;"acoes")))*INDEX(Inputs!$K$5:$AJ$130,0,MATCH(AH$2,Inputs!$K$4:$AJ$4,0)))+SUMPRODUCT((Inputs!$E$5:$E$130=$B21)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21" s="6" t="e">
        <f>IF(ISNA(MATCH(AI$2,Inputs!$K$4:$AJ$4,0)),NA(),IF(SUMPRODUCT((Inputs!$A$5:$A$130=$B21)*ISNUMBER(INDEX(Inputs!$K$5:$AJ$130,0,MATCH(AI$2,Inputs!$K$4:$AJ$4,0))))+SUMPRODUCT((Inputs!$C$5:$C$130=$B21)*ISNUMBER(INDEX(Inputs!$K$5:$AJ$130,0,MATCH(AI$2,Inputs!$K$4:$AJ$4,0))))+SUMPRODUCT((Inputs!$E$5:$E$130=$B21)*ISNUMBER(INDEX(Inputs!$K$5:$AJ$130,0,MATCH(AI$2,Inputs!$K$4:$AJ$4,0))))=0,NA(),SUMPRODUCT((Inputs!$A$5:$A$130=$B21)*Inputs!$B$5:$B$130*(((Inputs!$G$5:$G$130="moeda")+(Inputs!$G$5:$G$130="acoes"))*Inputs!$B$1+((Inputs!$G$5:$G$130&lt;&gt;"moeda")*(Inputs!$G$5:$G$130&lt;&gt;"acoes")))*INDEX(Inputs!$K$5:$AJ$130,0,MATCH(AI$2,Inputs!$K$4:$AJ$4,0)))+SUMPRODUCT((Inputs!$C$5:$C$130=$B21)*Inputs!$D$5:$D$130*(((Inputs!$G$5:$G$130="moeda")+(Inputs!$G$5:$G$130="acoes"))*Inputs!$B$1+((Inputs!$G$5:$G$130&lt;&gt;"moeda")*(Inputs!$G$5:$G$130&lt;&gt;"acoes")))*INDEX(Inputs!$K$5:$AJ$130,0,MATCH(AI$2,Inputs!$K$4:$AJ$4,0)))+SUMPRODUCT((Inputs!$E$5:$E$130=$B21)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21" s="6" t="e">
        <f>IF(ISNA(MATCH(AJ$2,Inputs!$K$4:$AJ$4,0)),NA(),IF(SUMPRODUCT((Inputs!$A$5:$A$130=$B21)*ISNUMBER(INDEX(Inputs!$K$5:$AJ$130,0,MATCH(AJ$2,Inputs!$K$4:$AJ$4,0))))+SUMPRODUCT((Inputs!$C$5:$C$130=$B21)*ISNUMBER(INDEX(Inputs!$K$5:$AJ$130,0,MATCH(AJ$2,Inputs!$K$4:$AJ$4,0))))+SUMPRODUCT((Inputs!$E$5:$E$130=$B21)*ISNUMBER(INDEX(Inputs!$K$5:$AJ$130,0,MATCH(AJ$2,Inputs!$K$4:$AJ$4,0))))=0,NA(),SUMPRODUCT((Inputs!$A$5:$A$130=$B21)*Inputs!$B$5:$B$130*(((Inputs!$G$5:$G$130="moeda")+(Inputs!$G$5:$G$130="acoes"))*Inputs!$B$1+((Inputs!$G$5:$G$130&lt;&gt;"moeda")*(Inputs!$G$5:$G$130&lt;&gt;"acoes")))*INDEX(Inputs!$K$5:$AJ$130,0,MATCH(AJ$2,Inputs!$K$4:$AJ$4,0)))+SUMPRODUCT((Inputs!$C$5:$C$130=$B21)*Inputs!$D$5:$D$130*(((Inputs!$G$5:$G$130="moeda")+(Inputs!$G$5:$G$130="acoes"))*Inputs!$B$1+((Inputs!$G$5:$G$130&lt;&gt;"moeda")*(Inputs!$G$5:$G$130&lt;&gt;"acoes")))*INDEX(Inputs!$K$5:$AJ$130,0,MATCH(AJ$2,Inputs!$K$4:$AJ$4,0)))+SUMPRODUCT((Inputs!$E$5:$E$130=$B21)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21" s="6" t="e">
        <f>IF(ISNA(MATCH(AK$2,Inputs!$K$4:$AJ$4,0)),NA(),IF(SUMPRODUCT((Inputs!$A$5:$A$130=$B21)*ISNUMBER(INDEX(Inputs!$K$5:$AJ$130,0,MATCH(AK$2,Inputs!$K$4:$AJ$4,0))))+SUMPRODUCT((Inputs!$C$5:$C$130=$B21)*ISNUMBER(INDEX(Inputs!$K$5:$AJ$130,0,MATCH(AK$2,Inputs!$K$4:$AJ$4,0))))+SUMPRODUCT((Inputs!$E$5:$E$130=$B21)*ISNUMBER(INDEX(Inputs!$K$5:$AJ$130,0,MATCH(AK$2,Inputs!$K$4:$AJ$4,0))))=0,NA(),SUMPRODUCT((Inputs!$A$5:$A$130=$B21)*Inputs!$B$5:$B$130*(((Inputs!$G$5:$G$130="moeda")+(Inputs!$G$5:$G$130="acoes"))*Inputs!$B$1+((Inputs!$G$5:$G$130&lt;&gt;"moeda")*(Inputs!$G$5:$G$130&lt;&gt;"acoes")))*INDEX(Inputs!$K$5:$AJ$130,0,MATCH(AK$2,Inputs!$K$4:$AJ$4,0)))+SUMPRODUCT((Inputs!$C$5:$C$130=$B21)*Inputs!$D$5:$D$130*(((Inputs!$G$5:$G$130="moeda")+(Inputs!$G$5:$G$130="acoes"))*Inputs!$B$1+((Inputs!$G$5:$G$130&lt;&gt;"moeda")*(Inputs!$G$5:$G$130&lt;&gt;"acoes")))*INDEX(Inputs!$K$5:$AJ$130,0,MATCH(AK$2,Inputs!$K$4:$AJ$4,0)))+SUMPRODUCT((Inputs!$E$5:$E$130=$B21)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21" s="3" t="e">
        <f>AK21</f>
        <v>#N/A</v>
      </c>
    </row>
    <row r="22">
      <c r="B22" s="46" t="n">
        <v>18</v>
      </c>
      <c r="C22" s="26" t="inlineStr">
        <is>
          <t>PP&amp;E</t>
        </is>
      </c>
      <c r="D22" s="6">
        <f>IF(ISNA(MATCH(D$2,Inputs!$K$4:$AJ$4,0)),NA(),IF(SUMPRODUCT((Inputs!$A$5:$A$130=$B22)*ISNUMBER(INDEX(Inputs!$K$5:$AJ$130,0,MATCH(D$2,Inputs!$K$4:$AJ$4,0))))+SUMPRODUCT((Inputs!$C$5:$C$130=$B22)*ISNUMBER(INDEX(Inputs!$K$5:$AJ$130,0,MATCH(D$2,Inputs!$K$4:$AJ$4,0))))+SUMPRODUCT((Inputs!$E$5:$E$130=$B22)*ISNUMBER(INDEX(Inputs!$K$5:$AJ$130,0,MATCH(D$2,Inputs!$K$4:$AJ$4,0))))=0,NA(),SUMPRODUCT((Inputs!$A$5:$A$130=$B22)*Inputs!$B$5:$B$130*(((Inputs!$G$5:$G$130="moeda")+(Inputs!$G$5:$G$130="acoes"))*Inputs!$B$1+((Inputs!$G$5:$G$130&lt;&gt;"moeda")*(Inputs!$G$5:$G$130&lt;&gt;"acoes")))*INDEX(Inputs!$K$5:$AJ$130,0,MATCH(D$2,Inputs!$K$4:$AJ$4,0)))+SUMPRODUCT((Inputs!$C$5:$C$130=$B22)*Inputs!$D$5:$D$130*(((Inputs!$G$5:$G$130="moeda")+(Inputs!$G$5:$G$130="acoes"))*Inputs!$B$1+((Inputs!$G$5:$G$130&lt;&gt;"moeda")*(Inputs!$G$5:$G$130&lt;&gt;"acoes")))*INDEX(Inputs!$K$5:$AJ$130,0,MATCH(D$2,Inputs!$K$4:$AJ$4,0)))+SUMPRODUCT((Inputs!$E$5:$E$130=$B22)*Inputs!$F$5:$F$130*(((Inputs!$G$5:$G$130="moeda")+(Inputs!$G$5:$G$130="acoes"))*Inputs!$B$1+((Inputs!$G$5:$G$130&lt;&gt;"moeda")*(Inputs!$G$5:$G$130&lt;&gt;"acoes")))*INDEX(Inputs!$K$5:$AJ$130,0,MATCH(D$2,Inputs!$K$4:$AJ$4,0)))))</f>
        <v>2268</v>
      </c>
      <c r="E22" s="6">
        <f>IF(ISNA(MATCH(E$2,Inputs!$K$4:$AJ$4,0)),NA(),IF(SUMPRODUCT((Inputs!$A$5:$A$130=$B22)*ISNUMBER(INDEX(Inputs!$K$5:$AJ$130,0,MATCH(E$2,Inputs!$K$4:$AJ$4,0))))+SUMPRODUCT((Inputs!$C$5:$C$130=$B22)*ISNUMBER(INDEX(Inputs!$K$5:$AJ$130,0,MATCH(E$2,Inputs!$K$4:$AJ$4,0))))+SUMPRODUCT((Inputs!$E$5:$E$130=$B22)*ISNUMBER(INDEX(Inputs!$K$5:$AJ$130,0,MATCH(E$2,Inputs!$K$4:$AJ$4,0))))=0,NA(),SUMPRODUCT((Inputs!$A$5:$A$130=$B22)*Inputs!$B$5:$B$130*(((Inputs!$G$5:$G$130="moeda")+(Inputs!$G$5:$G$130="acoes"))*Inputs!$B$1+((Inputs!$G$5:$G$130&lt;&gt;"moeda")*(Inputs!$G$5:$G$130&lt;&gt;"acoes")))*INDEX(Inputs!$K$5:$AJ$130,0,MATCH(E$2,Inputs!$K$4:$AJ$4,0)))+SUMPRODUCT((Inputs!$C$5:$C$130=$B22)*Inputs!$D$5:$D$130*(((Inputs!$G$5:$G$130="moeda")+(Inputs!$G$5:$G$130="acoes"))*Inputs!$B$1+((Inputs!$G$5:$G$130&lt;&gt;"moeda")*(Inputs!$G$5:$G$130&lt;&gt;"acoes")))*INDEX(Inputs!$K$5:$AJ$130,0,MATCH(E$2,Inputs!$K$4:$AJ$4,0)))+SUMPRODUCT((Inputs!$E$5:$E$130=$B22)*Inputs!$F$5:$F$130*(((Inputs!$G$5:$G$130="moeda")+(Inputs!$G$5:$G$130="acoes"))*Inputs!$B$1+((Inputs!$G$5:$G$130&lt;&gt;"moeda")*(Inputs!$G$5:$G$130&lt;&gt;"acoes")))*INDEX(Inputs!$K$5:$AJ$130,0,MATCH(E$2,Inputs!$K$4:$AJ$4,0)))))</f>
        <v>2364</v>
      </c>
      <c r="F22" s="6">
        <f>IF(ISNA(MATCH(F$2,Inputs!$K$4:$AJ$4,0)),NA(),IF(SUMPRODUCT((Inputs!$A$5:$A$130=$B22)*ISNUMBER(INDEX(Inputs!$K$5:$AJ$130,0,MATCH(F$2,Inputs!$K$4:$AJ$4,0))))+SUMPRODUCT((Inputs!$C$5:$C$130=$B22)*ISNUMBER(INDEX(Inputs!$K$5:$AJ$130,0,MATCH(F$2,Inputs!$K$4:$AJ$4,0))))+SUMPRODUCT((Inputs!$E$5:$E$130=$B22)*ISNUMBER(INDEX(Inputs!$K$5:$AJ$130,0,MATCH(F$2,Inputs!$K$4:$AJ$4,0))))=0,NA(),SUMPRODUCT((Inputs!$A$5:$A$130=$B22)*Inputs!$B$5:$B$130*(((Inputs!$G$5:$G$130="moeda")+(Inputs!$G$5:$G$130="acoes"))*Inputs!$B$1+((Inputs!$G$5:$G$130&lt;&gt;"moeda")*(Inputs!$G$5:$G$130&lt;&gt;"acoes")))*INDEX(Inputs!$K$5:$AJ$130,0,MATCH(F$2,Inputs!$K$4:$AJ$4,0)))+SUMPRODUCT((Inputs!$C$5:$C$130=$B22)*Inputs!$D$5:$D$130*(((Inputs!$G$5:$G$130="moeda")+(Inputs!$G$5:$G$130="acoes"))*Inputs!$B$1+((Inputs!$G$5:$G$130&lt;&gt;"moeda")*(Inputs!$G$5:$G$130&lt;&gt;"acoes")))*INDEX(Inputs!$K$5:$AJ$130,0,MATCH(F$2,Inputs!$K$4:$AJ$4,0)))+SUMPRODUCT((Inputs!$E$5:$E$130=$B22)*Inputs!$F$5:$F$130*(((Inputs!$G$5:$G$130="moeda")+(Inputs!$G$5:$G$130="acoes"))*Inputs!$B$1+((Inputs!$G$5:$G$130&lt;&gt;"moeda")*(Inputs!$G$5:$G$130&lt;&gt;"acoes")))*INDEX(Inputs!$K$5:$AJ$130,0,MATCH(F$2,Inputs!$K$4:$AJ$4,0)))))</f>
        <v>2509</v>
      </c>
      <c r="G22" s="6">
        <f>IF(ISNA(MATCH(G$2,Inputs!$K$4:$AJ$4,0)),NA(),IF(SUMPRODUCT((Inputs!$A$5:$A$130=$B22)*ISNUMBER(INDEX(Inputs!$K$5:$AJ$130,0,MATCH(G$2,Inputs!$K$4:$AJ$4,0))))+SUMPRODUCT((Inputs!$C$5:$C$130=$B22)*ISNUMBER(INDEX(Inputs!$K$5:$AJ$130,0,MATCH(G$2,Inputs!$K$4:$AJ$4,0))))+SUMPRODUCT((Inputs!$E$5:$E$130=$B22)*ISNUMBER(INDEX(Inputs!$K$5:$AJ$130,0,MATCH(G$2,Inputs!$K$4:$AJ$4,0))))=0,NA(),SUMPRODUCT((Inputs!$A$5:$A$130=$B22)*Inputs!$B$5:$B$130*(((Inputs!$G$5:$G$130="moeda")+(Inputs!$G$5:$G$130="acoes"))*Inputs!$B$1+((Inputs!$G$5:$G$130&lt;&gt;"moeda")*(Inputs!$G$5:$G$130&lt;&gt;"acoes")))*INDEX(Inputs!$K$5:$AJ$130,0,MATCH(G$2,Inputs!$K$4:$AJ$4,0)))+SUMPRODUCT((Inputs!$C$5:$C$130=$B22)*Inputs!$D$5:$D$130*(((Inputs!$G$5:$G$130="moeda")+(Inputs!$G$5:$G$130="acoes"))*Inputs!$B$1+((Inputs!$G$5:$G$130&lt;&gt;"moeda")*(Inputs!$G$5:$G$130&lt;&gt;"acoes")))*INDEX(Inputs!$K$5:$AJ$130,0,MATCH(G$2,Inputs!$K$4:$AJ$4,0)))+SUMPRODUCT((Inputs!$E$5:$E$130=$B22)*Inputs!$F$5:$F$130*(((Inputs!$G$5:$G$130="moeda")+(Inputs!$G$5:$G$130="acoes"))*Inputs!$B$1+((Inputs!$G$5:$G$130&lt;&gt;"moeda")*(Inputs!$G$5:$G$130&lt;&gt;"acoes")))*INDEX(Inputs!$K$5:$AJ$130,0,MATCH(G$2,Inputs!$K$4:$AJ$4,0)))))</f>
        <v>2778</v>
      </c>
      <c r="H22" s="3">
        <f>G22</f>
        <v>2778</v>
      </c>
      <c r="I22" s="6">
        <f>IF(ISNA(MATCH(I$2,Inputs!$K$4:$AJ$4,0)),NA(),IF(SUMPRODUCT((Inputs!$A$5:$A$130=$B22)*ISNUMBER(INDEX(Inputs!$K$5:$AJ$130,0,MATCH(I$2,Inputs!$K$4:$AJ$4,0))))+SUMPRODUCT((Inputs!$C$5:$C$130=$B22)*ISNUMBER(INDEX(Inputs!$K$5:$AJ$130,0,MATCH(I$2,Inputs!$K$4:$AJ$4,0))))+SUMPRODUCT((Inputs!$E$5:$E$130=$B22)*ISNUMBER(INDEX(Inputs!$K$5:$AJ$130,0,MATCH(I$2,Inputs!$K$4:$AJ$4,0))))=0,NA(),SUMPRODUCT((Inputs!$A$5:$A$130=$B22)*Inputs!$B$5:$B$130*(((Inputs!$G$5:$G$130="moeda")+(Inputs!$G$5:$G$130="acoes"))*Inputs!$B$1+((Inputs!$G$5:$G$130&lt;&gt;"moeda")*(Inputs!$G$5:$G$130&lt;&gt;"acoes")))*INDEX(Inputs!$K$5:$AJ$130,0,MATCH(I$2,Inputs!$K$4:$AJ$4,0)))+SUMPRODUCT((Inputs!$C$5:$C$130=$B22)*Inputs!$D$5:$D$130*(((Inputs!$G$5:$G$130="moeda")+(Inputs!$G$5:$G$130="acoes"))*Inputs!$B$1+((Inputs!$G$5:$G$130&lt;&gt;"moeda")*(Inputs!$G$5:$G$130&lt;&gt;"acoes")))*INDEX(Inputs!$K$5:$AJ$130,0,MATCH(I$2,Inputs!$K$4:$AJ$4,0)))+SUMPRODUCT((Inputs!$E$5:$E$130=$B22)*Inputs!$F$5:$F$130*(((Inputs!$G$5:$G$130="moeda")+(Inputs!$G$5:$G$130="acoes"))*Inputs!$B$1+((Inputs!$G$5:$G$130&lt;&gt;"moeda")*(Inputs!$G$5:$G$130&lt;&gt;"acoes")))*INDEX(Inputs!$K$5:$AJ$130,0,MATCH(I$2,Inputs!$K$4:$AJ$4,0)))))</f>
        <v>2916</v>
      </c>
      <c r="J22" s="6">
        <f>IF(ISNA(MATCH(J$2,Inputs!$K$4:$AJ$4,0)),NA(),IF(SUMPRODUCT((Inputs!$A$5:$A$130=$B22)*ISNUMBER(INDEX(Inputs!$K$5:$AJ$130,0,MATCH(J$2,Inputs!$K$4:$AJ$4,0))))+SUMPRODUCT((Inputs!$C$5:$C$130=$B22)*ISNUMBER(INDEX(Inputs!$K$5:$AJ$130,0,MATCH(J$2,Inputs!$K$4:$AJ$4,0))))+SUMPRODUCT((Inputs!$E$5:$E$130=$B22)*ISNUMBER(INDEX(Inputs!$K$5:$AJ$130,0,MATCH(J$2,Inputs!$K$4:$AJ$4,0))))=0,NA(),SUMPRODUCT((Inputs!$A$5:$A$130=$B22)*Inputs!$B$5:$B$130*(((Inputs!$G$5:$G$130="moeda")+(Inputs!$G$5:$G$130="acoes"))*Inputs!$B$1+((Inputs!$G$5:$G$130&lt;&gt;"moeda")*(Inputs!$G$5:$G$130&lt;&gt;"acoes")))*INDEX(Inputs!$K$5:$AJ$130,0,MATCH(J$2,Inputs!$K$4:$AJ$4,0)))+SUMPRODUCT((Inputs!$C$5:$C$130=$B22)*Inputs!$D$5:$D$130*(((Inputs!$G$5:$G$130="moeda")+(Inputs!$G$5:$G$130="acoes"))*Inputs!$B$1+((Inputs!$G$5:$G$130&lt;&gt;"moeda")*(Inputs!$G$5:$G$130&lt;&gt;"acoes")))*INDEX(Inputs!$K$5:$AJ$130,0,MATCH(J$2,Inputs!$K$4:$AJ$4,0)))+SUMPRODUCT((Inputs!$E$5:$E$130=$B22)*Inputs!$F$5:$F$130*(((Inputs!$G$5:$G$130="moeda")+(Inputs!$G$5:$G$130="acoes"))*Inputs!$B$1+((Inputs!$G$5:$G$130&lt;&gt;"moeda")*(Inputs!$G$5:$G$130&lt;&gt;"acoes")))*INDEX(Inputs!$K$5:$AJ$130,0,MATCH(J$2,Inputs!$K$4:$AJ$4,0)))))</f>
        <v>3233</v>
      </c>
      <c r="K22" s="6">
        <f>IF(ISNA(MATCH(K$2,Inputs!$K$4:$AJ$4,0)),NA(),IF(SUMPRODUCT((Inputs!$A$5:$A$130=$B22)*ISNUMBER(INDEX(Inputs!$K$5:$AJ$130,0,MATCH(K$2,Inputs!$K$4:$AJ$4,0))))+SUMPRODUCT((Inputs!$C$5:$C$130=$B22)*ISNUMBER(INDEX(Inputs!$K$5:$AJ$130,0,MATCH(K$2,Inputs!$K$4:$AJ$4,0))))+SUMPRODUCT((Inputs!$E$5:$E$130=$B22)*ISNUMBER(INDEX(Inputs!$K$5:$AJ$130,0,MATCH(K$2,Inputs!$K$4:$AJ$4,0))))=0,NA(),SUMPRODUCT((Inputs!$A$5:$A$130=$B22)*Inputs!$B$5:$B$130*(((Inputs!$G$5:$G$130="moeda")+(Inputs!$G$5:$G$130="acoes"))*Inputs!$B$1+((Inputs!$G$5:$G$130&lt;&gt;"moeda")*(Inputs!$G$5:$G$130&lt;&gt;"acoes")))*INDEX(Inputs!$K$5:$AJ$130,0,MATCH(K$2,Inputs!$K$4:$AJ$4,0)))+SUMPRODUCT((Inputs!$C$5:$C$130=$B22)*Inputs!$D$5:$D$130*(((Inputs!$G$5:$G$130="moeda")+(Inputs!$G$5:$G$130="acoes"))*Inputs!$B$1+((Inputs!$G$5:$G$130&lt;&gt;"moeda")*(Inputs!$G$5:$G$130&lt;&gt;"acoes")))*INDEX(Inputs!$K$5:$AJ$130,0,MATCH(K$2,Inputs!$K$4:$AJ$4,0)))+SUMPRODUCT((Inputs!$E$5:$E$130=$B22)*Inputs!$F$5:$F$130*(((Inputs!$G$5:$G$130="moeda")+(Inputs!$G$5:$G$130="acoes"))*Inputs!$B$1+((Inputs!$G$5:$G$130&lt;&gt;"moeda")*(Inputs!$G$5:$G$130&lt;&gt;"acoes")))*INDEX(Inputs!$K$5:$AJ$130,0,MATCH(K$2,Inputs!$K$4:$AJ$4,0)))))</f>
        <v>3774</v>
      </c>
      <c r="L22" s="6">
        <f>IF(ISNA(MATCH(L$2,Inputs!$K$4:$AJ$4,0)),NA(),IF(SUMPRODUCT((Inputs!$A$5:$A$130=$B22)*ISNUMBER(INDEX(Inputs!$K$5:$AJ$130,0,MATCH(L$2,Inputs!$K$4:$AJ$4,0))))+SUMPRODUCT((Inputs!$C$5:$C$130=$B22)*ISNUMBER(INDEX(Inputs!$K$5:$AJ$130,0,MATCH(L$2,Inputs!$K$4:$AJ$4,0))))+SUMPRODUCT((Inputs!$E$5:$E$130=$B22)*ISNUMBER(INDEX(Inputs!$K$5:$AJ$130,0,MATCH(L$2,Inputs!$K$4:$AJ$4,0))))=0,NA(),SUMPRODUCT((Inputs!$A$5:$A$130=$B22)*Inputs!$B$5:$B$130*(((Inputs!$G$5:$G$130="moeda")+(Inputs!$G$5:$G$130="acoes"))*Inputs!$B$1+((Inputs!$G$5:$G$130&lt;&gt;"moeda")*(Inputs!$G$5:$G$130&lt;&gt;"acoes")))*INDEX(Inputs!$K$5:$AJ$130,0,MATCH(L$2,Inputs!$K$4:$AJ$4,0)))+SUMPRODUCT((Inputs!$C$5:$C$130=$B22)*Inputs!$D$5:$D$130*(((Inputs!$G$5:$G$130="moeda")+(Inputs!$G$5:$G$130="acoes"))*Inputs!$B$1+((Inputs!$G$5:$G$130&lt;&gt;"moeda")*(Inputs!$G$5:$G$130&lt;&gt;"acoes")))*INDEX(Inputs!$K$5:$AJ$130,0,MATCH(L$2,Inputs!$K$4:$AJ$4,0)))+SUMPRODUCT((Inputs!$E$5:$E$130=$B22)*Inputs!$F$5:$F$130*(((Inputs!$G$5:$G$130="moeda")+(Inputs!$G$5:$G$130="acoes"))*Inputs!$B$1+((Inputs!$G$5:$G$130&lt;&gt;"moeda")*(Inputs!$G$5:$G$130&lt;&gt;"acoes")))*INDEX(Inputs!$K$5:$AJ$130,0,MATCH(L$2,Inputs!$K$4:$AJ$4,0)))))</f>
        <v>3807</v>
      </c>
      <c r="M22" s="3">
        <f>L22</f>
        <v>3807</v>
      </c>
      <c r="N22" s="6">
        <f>IF(ISNA(MATCH(N$2,Inputs!$K$4:$AJ$4,0)),NA(),IF(SUMPRODUCT((Inputs!$A$5:$A$130=$B22)*ISNUMBER(INDEX(Inputs!$K$5:$AJ$130,0,MATCH(N$2,Inputs!$K$4:$AJ$4,0))))+SUMPRODUCT((Inputs!$C$5:$C$130=$B22)*ISNUMBER(INDEX(Inputs!$K$5:$AJ$130,0,MATCH(N$2,Inputs!$K$4:$AJ$4,0))))+SUMPRODUCT((Inputs!$E$5:$E$130=$B22)*ISNUMBER(INDEX(Inputs!$K$5:$AJ$130,0,MATCH(N$2,Inputs!$K$4:$AJ$4,0))))=0,NA(),SUMPRODUCT((Inputs!$A$5:$A$130=$B22)*Inputs!$B$5:$B$130*(((Inputs!$G$5:$G$130="moeda")+(Inputs!$G$5:$G$130="acoes"))*Inputs!$B$1+((Inputs!$G$5:$G$130&lt;&gt;"moeda")*(Inputs!$G$5:$G$130&lt;&gt;"acoes")))*INDEX(Inputs!$K$5:$AJ$130,0,MATCH(N$2,Inputs!$K$4:$AJ$4,0)))+SUMPRODUCT((Inputs!$C$5:$C$130=$B22)*Inputs!$D$5:$D$130*(((Inputs!$G$5:$G$130="moeda")+(Inputs!$G$5:$G$130="acoes"))*Inputs!$B$1+((Inputs!$G$5:$G$130&lt;&gt;"moeda")*(Inputs!$G$5:$G$130&lt;&gt;"acoes")))*INDEX(Inputs!$K$5:$AJ$130,0,MATCH(N$2,Inputs!$K$4:$AJ$4,0)))+SUMPRODUCT((Inputs!$E$5:$E$130=$B22)*Inputs!$F$5:$F$130*(((Inputs!$G$5:$G$130="moeda")+(Inputs!$G$5:$G$130="acoes"))*Inputs!$B$1+((Inputs!$G$5:$G$130&lt;&gt;"moeda")*(Inputs!$G$5:$G$130&lt;&gt;"acoes")))*INDEX(Inputs!$K$5:$AJ$130,0,MATCH(N$2,Inputs!$K$4:$AJ$4,0)))))</f>
        <v>3740</v>
      </c>
      <c r="O22" s="6">
        <f>IF(ISNA(MATCH(O$2,Inputs!$K$4:$AJ$4,0)),NA(),IF(SUMPRODUCT((Inputs!$A$5:$A$130=$B22)*ISNUMBER(INDEX(Inputs!$K$5:$AJ$130,0,MATCH(O$2,Inputs!$K$4:$AJ$4,0))))+SUMPRODUCT((Inputs!$C$5:$C$130=$B22)*ISNUMBER(INDEX(Inputs!$K$5:$AJ$130,0,MATCH(O$2,Inputs!$K$4:$AJ$4,0))))+SUMPRODUCT((Inputs!$E$5:$E$130=$B22)*ISNUMBER(INDEX(Inputs!$K$5:$AJ$130,0,MATCH(O$2,Inputs!$K$4:$AJ$4,0))))=0,NA(),SUMPRODUCT((Inputs!$A$5:$A$130=$B22)*Inputs!$B$5:$B$130*(((Inputs!$G$5:$G$130="moeda")+(Inputs!$G$5:$G$130="acoes"))*Inputs!$B$1+((Inputs!$G$5:$G$130&lt;&gt;"moeda")*(Inputs!$G$5:$G$130&lt;&gt;"acoes")))*INDEX(Inputs!$K$5:$AJ$130,0,MATCH(O$2,Inputs!$K$4:$AJ$4,0)))+SUMPRODUCT((Inputs!$C$5:$C$130=$B22)*Inputs!$D$5:$D$130*(((Inputs!$G$5:$G$130="moeda")+(Inputs!$G$5:$G$130="acoes"))*Inputs!$B$1+((Inputs!$G$5:$G$130&lt;&gt;"moeda")*(Inputs!$G$5:$G$130&lt;&gt;"acoes")))*INDEX(Inputs!$K$5:$AJ$130,0,MATCH(O$2,Inputs!$K$4:$AJ$4,0)))+SUMPRODUCT((Inputs!$E$5:$E$130=$B22)*Inputs!$F$5:$F$130*(((Inputs!$G$5:$G$130="moeda")+(Inputs!$G$5:$G$130="acoes"))*Inputs!$B$1+((Inputs!$G$5:$G$130&lt;&gt;"moeda")*(Inputs!$G$5:$G$130&lt;&gt;"acoes")))*INDEX(Inputs!$K$5:$AJ$130,0,MATCH(O$2,Inputs!$K$4:$AJ$4,0)))))</f>
        <v>3799</v>
      </c>
      <c r="P22" s="6">
        <f>IF(ISNA(MATCH(P$2,Inputs!$K$4:$AJ$4,0)),NA(),IF(SUMPRODUCT((Inputs!$A$5:$A$130=$B22)*ISNUMBER(INDEX(Inputs!$K$5:$AJ$130,0,MATCH(P$2,Inputs!$K$4:$AJ$4,0))))+SUMPRODUCT((Inputs!$C$5:$C$130=$B22)*ISNUMBER(INDEX(Inputs!$K$5:$AJ$130,0,MATCH(P$2,Inputs!$K$4:$AJ$4,0))))+SUMPRODUCT((Inputs!$E$5:$E$130=$B22)*ISNUMBER(INDEX(Inputs!$K$5:$AJ$130,0,MATCH(P$2,Inputs!$K$4:$AJ$4,0))))=0,NA(),SUMPRODUCT((Inputs!$A$5:$A$130=$B22)*Inputs!$B$5:$B$130*(((Inputs!$G$5:$G$130="moeda")+(Inputs!$G$5:$G$130="acoes"))*Inputs!$B$1+((Inputs!$G$5:$G$130&lt;&gt;"moeda")*(Inputs!$G$5:$G$130&lt;&gt;"acoes")))*INDEX(Inputs!$K$5:$AJ$130,0,MATCH(P$2,Inputs!$K$4:$AJ$4,0)))+SUMPRODUCT((Inputs!$C$5:$C$130=$B22)*Inputs!$D$5:$D$130*(((Inputs!$G$5:$G$130="moeda")+(Inputs!$G$5:$G$130="acoes"))*Inputs!$B$1+((Inputs!$G$5:$G$130&lt;&gt;"moeda")*(Inputs!$G$5:$G$130&lt;&gt;"acoes")))*INDEX(Inputs!$K$5:$AJ$130,0,MATCH(P$2,Inputs!$K$4:$AJ$4,0)))+SUMPRODUCT((Inputs!$E$5:$E$130=$B22)*Inputs!$F$5:$F$130*(((Inputs!$G$5:$G$130="moeda")+(Inputs!$G$5:$G$130="acoes"))*Inputs!$B$1+((Inputs!$G$5:$G$130&lt;&gt;"moeda")*(Inputs!$G$5:$G$130&lt;&gt;"acoes")))*INDEX(Inputs!$K$5:$AJ$130,0,MATCH(P$2,Inputs!$K$4:$AJ$4,0)))))</f>
        <v>3844</v>
      </c>
      <c r="Q22" s="6">
        <f>IF(ISNA(MATCH(Q$2,Inputs!$K$4:$AJ$4,0)),NA(),IF(SUMPRODUCT((Inputs!$A$5:$A$130=$B22)*ISNUMBER(INDEX(Inputs!$K$5:$AJ$130,0,MATCH(Q$2,Inputs!$K$4:$AJ$4,0))))+SUMPRODUCT((Inputs!$C$5:$C$130=$B22)*ISNUMBER(INDEX(Inputs!$K$5:$AJ$130,0,MATCH(Q$2,Inputs!$K$4:$AJ$4,0))))+SUMPRODUCT((Inputs!$E$5:$E$130=$B22)*ISNUMBER(INDEX(Inputs!$K$5:$AJ$130,0,MATCH(Q$2,Inputs!$K$4:$AJ$4,0))))=0,NA(),SUMPRODUCT((Inputs!$A$5:$A$130=$B22)*Inputs!$B$5:$B$130*(((Inputs!$G$5:$G$130="moeda")+(Inputs!$G$5:$G$130="acoes"))*Inputs!$B$1+((Inputs!$G$5:$G$130&lt;&gt;"moeda")*(Inputs!$G$5:$G$130&lt;&gt;"acoes")))*INDEX(Inputs!$K$5:$AJ$130,0,MATCH(Q$2,Inputs!$K$4:$AJ$4,0)))+SUMPRODUCT((Inputs!$C$5:$C$130=$B22)*Inputs!$D$5:$D$130*(((Inputs!$G$5:$G$130="moeda")+(Inputs!$G$5:$G$130="acoes"))*Inputs!$B$1+((Inputs!$G$5:$G$130&lt;&gt;"moeda")*(Inputs!$G$5:$G$130&lt;&gt;"acoes")))*INDEX(Inputs!$K$5:$AJ$130,0,MATCH(Q$2,Inputs!$K$4:$AJ$4,0)))+SUMPRODUCT((Inputs!$E$5:$E$130=$B22)*Inputs!$F$5:$F$130*(((Inputs!$G$5:$G$130="moeda")+(Inputs!$G$5:$G$130="acoes"))*Inputs!$B$1+((Inputs!$G$5:$G$130&lt;&gt;"moeda")*(Inputs!$G$5:$G$130&lt;&gt;"acoes")))*INDEX(Inputs!$K$5:$AJ$130,0,MATCH(Q$2,Inputs!$K$4:$AJ$4,0)))))</f>
        <v>3914</v>
      </c>
      <c r="R22" s="3">
        <f>Q22</f>
        <v>3914</v>
      </c>
      <c r="S22" s="6">
        <f>IF(ISNA(MATCH(S$2,Inputs!$K$4:$AJ$4,0)),NA(),IF(SUMPRODUCT((Inputs!$A$5:$A$130=$B22)*ISNUMBER(INDEX(Inputs!$K$5:$AJ$130,0,MATCH(S$2,Inputs!$K$4:$AJ$4,0))))+SUMPRODUCT((Inputs!$C$5:$C$130=$B22)*ISNUMBER(INDEX(Inputs!$K$5:$AJ$130,0,MATCH(S$2,Inputs!$K$4:$AJ$4,0))))+SUMPRODUCT((Inputs!$E$5:$E$130=$B22)*ISNUMBER(INDEX(Inputs!$K$5:$AJ$130,0,MATCH(S$2,Inputs!$K$4:$AJ$4,0))))=0,NA(),SUMPRODUCT((Inputs!$A$5:$A$130=$B22)*Inputs!$B$5:$B$130*(((Inputs!$G$5:$G$130="moeda")+(Inputs!$G$5:$G$130="acoes"))*Inputs!$B$1+((Inputs!$G$5:$G$130&lt;&gt;"moeda")*(Inputs!$G$5:$G$130&lt;&gt;"acoes")))*INDEX(Inputs!$K$5:$AJ$130,0,MATCH(S$2,Inputs!$K$4:$AJ$4,0)))+SUMPRODUCT((Inputs!$C$5:$C$130=$B22)*Inputs!$D$5:$D$130*(((Inputs!$G$5:$G$130="moeda")+(Inputs!$G$5:$G$130="acoes"))*Inputs!$B$1+((Inputs!$G$5:$G$130&lt;&gt;"moeda")*(Inputs!$G$5:$G$130&lt;&gt;"acoes")))*INDEX(Inputs!$K$5:$AJ$130,0,MATCH(S$2,Inputs!$K$4:$AJ$4,0)))+SUMPRODUCT((Inputs!$E$5:$E$130=$B22)*Inputs!$F$5:$F$130*(((Inputs!$G$5:$G$130="moeda")+(Inputs!$G$5:$G$130="acoes"))*Inputs!$B$1+((Inputs!$G$5:$G$130&lt;&gt;"moeda")*(Inputs!$G$5:$G$130&lt;&gt;"acoes")))*INDEX(Inputs!$K$5:$AJ$130,0,MATCH(S$2,Inputs!$K$4:$AJ$4,0)))))</f>
        <v>4006</v>
      </c>
      <c r="T22" s="6">
        <f>IF(ISNA(MATCH(T$2,Inputs!$K$4:$AJ$4,0)),NA(),IF(SUMPRODUCT((Inputs!$A$5:$A$130=$B22)*ISNUMBER(INDEX(Inputs!$K$5:$AJ$130,0,MATCH(T$2,Inputs!$K$4:$AJ$4,0))))+SUMPRODUCT((Inputs!$C$5:$C$130=$B22)*ISNUMBER(INDEX(Inputs!$K$5:$AJ$130,0,MATCH(T$2,Inputs!$K$4:$AJ$4,0))))+SUMPRODUCT((Inputs!$E$5:$E$130=$B22)*ISNUMBER(INDEX(Inputs!$K$5:$AJ$130,0,MATCH(T$2,Inputs!$K$4:$AJ$4,0))))=0,NA(),SUMPRODUCT((Inputs!$A$5:$A$130=$B22)*Inputs!$B$5:$B$130*(((Inputs!$G$5:$G$130="moeda")+(Inputs!$G$5:$G$130="acoes"))*Inputs!$B$1+((Inputs!$G$5:$G$130&lt;&gt;"moeda")*(Inputs!$G$5:$G$130&lt;&gt;"acoes")))*INDEX(Inputs!$K$5:$AJ$130,0,MATCH(T$2,Inputs!$K$4:$AJ$4,0)))+SUMPRODUCT((Inputs!$C$5:$C$130=$B22)*Inputs!$D$5:$D$130*(((Inputs!$G$5:$G$130="moeda")+(Inputs!$G$5:$G$130="acoes"))*Inputs!$B$1+((Inputs!$G$5:$G$130&lt;&gt;"moeda")*(Inputs!$G$5:$G$130&lt;&gt;"acoes")))*INDEX(Inputs!$K$5:$AJ$130,0,MATCH(T$2,Inputs!$K$4:$AJ$4,0)))+SUMPRODUCT((Inputs!$E$5:$E$130=$B22)*Inputs!$F$5:$F$130*(((Inputs!$G$5:$G$130="moeda")+(Inputs!$G$5:$G$130="acoes"))*Inputs!$B$1+((Inputs!$G$5:$G$130&lt;&gt;"moeda")*(Inputs!$G$5:$G$130&lt;&gt;"acoes")))*INDEX(Inputs!$K$5:$AJ$130,0,MATCH(T$2,Inputs!$K$4:$AJ$4,0)))))</f>
        <v>4885</v>
      </c>
      <c r="U22" s="6">
        <f>IF(ISNA(MATCH(U$2,Inputs!$K$4:$AJ$4,0)),NA(),IF(SUMPRODUCT((Inputs!$A$5:$A$130=$B22)*ISNUMBER(INDEX(Inputs!$K$5:$AJ$130,0,MATCH(U$2,Inputs!$K$4:$AJ$4,0))))+SUMPRODUCT((Inputs!$C$5:$C$130=$B22)*ISNUMBER(INDEX(Inputs!$K$5:$AJ$130,0,MATCH(U$2,Inputs!$K$4:$AJ$4,0))))+SUMPRODUCT((Inputs!$E$5:$E$130=$B22)*ISNUMBER(INDEX(Inputs!$K$5:$AJ$130,0,MATCH(U$2,Inputs!$K$4:$AJ$4,0))))=0,NA(),SUMPRODUCT((Inputs!$A$5:$A$130=$B22)*Inputs!$B$5:$B$130*(((Inputs!$G$5:$G$130="moeda")+(Inputs!$G$5:$G$130="acoes"))*Inputs!$B$1+((Inputs!$G$5:$G$130&lt;&gt;"moeda")*(Inputs!$G$5:$G$130&lt;&gt;"acoes")))*INDEX(Inputs!$K$5:$AJ$130,0,MATCH(U$2,Inputs!$K$4:$AJ$4,0)))+SUMPRODUCT((Inputs!$C$5:$C$130=$B22)*Inputs!$D$5:$D$130*(((Inputs!$G$5:$G$130="moeda")+(Inputs!$G$5:$G$130="acoes"))*Inputs!$B$1+((Inputs!$G$5:$G$130&lt;&gt;"moeda")*(Inputs!$G$5:$G$130&lt;&gt;"acoes")))*INDEX(Inputs!$K$5:$AJ$130,0,MATCH(U$2,Inputs!$K$4:$AJ$4,0)))+SUMPRODUCT((Inputs!$E$5:$E$130=$B22)*Inputs!$F$5:$F$130*(((Inputs!$G$5:$G$130="moeda")+(Inputs!$G$5:$G$130="acoes"))*Inputs!$B$1+((Inputs!$G$5:$G$130&lt;&gt;"moeda")*(Inputs!$G$5:$G$130&lt;&gt;"acoes")))*INDEX(Inputs!$K$5:$AJ$130,0,MATCH(U$2,Inputs!$K$4:$AJ$4,0)))))</f>
        <v>5343</v>
      </c>
      <c r="V22" s="6">
        <f>IF(ISNA(MATCH(V$2,Inputs!$K$4:$AJ$4,0)),NA(),IF(SUMPRODUCT((Inputs!$A$5:$A$130=$B22)*ISNUMBER(INDEX(Inputs!$K$5:$AJ$130,0,MATCH(V$2,Inputs!$K$4:$AJ$4,0))))+SUMPRODUCT((Inputs!$C$5:$C$130=$B22)*ISNUMBER(INDEX(Inputs!$K$5:$AJ$130,0,MATCH(V$2,Inputs!$K$4:$AJ$4,0))))+SUMPRODUCT((Inputs!$E$5:$E$130=$B22)*ISNUMBER(INDEX(Inputs!$K$5:$AJ$130,0,MATCH(V$2,Inputs!$K$4:$AJ$4,0))))=0,NA(),SUMPRODUCT((Inputs!$A$5:$A$130=$B22)*Inputs!$B$5:$B$130*(((Inputs!$G$5:$G$130="moeda")+(Inputs!$G$5:$G$130="acoes"))*Inputs!$B$1+((Inputs!$G$5:$G$130&lt;&gt;"moeda")*(Inputs!$G$5:$G$130&lt;&gt;"acoes")))*INDEX(Inputs!$K$5:$AJ$130,0,MATCH(V$2,Inputs!$K$4:$AJ$4,0)))+SUMPRODUCT((Inputs!$C$5:$C$130=$B22)*Inputs!$D$5:$D$130*(((Inputs!$G$5:$G$130="moeda")+(Inputs!$G$5:$G$130="acoes"))*Inputs!$B$1+((Inputs!$G$5:$G$130&lt;&gt;"moeda")*(Inputs!$G$5:$G$130&lt;&gt;"acoes")))*INDEX(Inputs!$K$5:$AJ$130,0,MATCH(V$2,Inputs!$K$4:$AJ$4,0)))+SUMPRODUCT((Inputs!$E$5:$E$130=$B22)*Inputs!$F$5:$F$130*(((Inputs!$G$5:$G$130="moeda")+(Inputs!$G$5:$G$130="acoes"))*Inputs!$B$1+((Inputs!$G$5:$G$130&lt;&gt;"moeda")*(Inputs!$G$5:$G$130&lt;&gt;"acoes")))*INDEX(Inputs!$K$5:$AJ$130,0,MATCH(V$2,Inputs!$K$4:$AJ$4,0)))))</f>
        <v>6283</v>
      </c>
      <c r="W22" s="3">
        <f>V22</f>
        <v>6283</v>
      </c>
      <c r="X22" s="6">
        <f>IF(ISNA(MATCH(X$2,Inputs!$K$4:$AJ$4,0)),NA(),IF(SUMPRODUCT((Inputs!$A$5:$A$130=$B22)*ISNUMBER(INDEX(Inputs!$K$5:$AJ$130,0,MATCH(X$2,Inputs!$K$4:$AJ$4,0))))+SUMPRODUCT((Inputs!$C$5:$C$130=$B22)*ISNUMBER(INDEX(Inputs!$K$5:$AJ$130,0,MATCH(X$2,Inputs!$K$4:$AJ$4,0))))+SUMPRODUCT((Inputs!$E$5:$E$130=$B22)*ISNUMBER(INDEX(Inputs!$K$5:$AJ$130,0,MATCH(X$2,Inputs!$K$4:$AJ$4,0))))=0,NA(),SUMPRODUCT((Inputs!$A$5:$A$130=$B22)*Inputs!$B$5:$B$130*(((Inputs!$G$5:$G$130="moeda")+(Inputs!$G$5:$G$130="acoes"))*Inputs!$B$1+((Inputs!$G$5:$G$130&lt;&gt;"moeda")*(Inputs!$G$5:$G$130&lt;&gt;"acoes")))*INDEX(Inputs!$K$5:$AJ$130,0,MATCH(X$2,Inputs!$K$4:$AJ$4,0)))+SUMPRODUCT((Inputs!$C$5:$C$130=$B22)*Inputs!$D$5:$D$130*(((Inputs!$G$5:$G$130="moeda")+(Inputs!$G$5:$G$130="acoes"))*Inputs!$B$1+((Inputs!$G$5:$G$130&lt;&gt;"moeda")*(Inputs!$G$5:$G$130&lt;&gt;"acoes")))*INDEX(Inputs!$K$5:$AJ$130,0,MATCH(X$2,Inputs!$K$4:$AJ$4,0)))+SUMPRODUCT((Inputs!$E$5:$E$130=$B22)*Inputs!$F$5:$F$130*(((Inputs!$G$5:$G$130="moeda")+(Inputs!$G$5:$G$130="acoes"))*Inputs!$B$1+((Inputs!$G$5:$G$130&lt;&gt;"moeda")*(Inputs!$G$5:$G$130&lt;&gt;"acoes")))*INDEX(Inputs!$K$5:$AJ$130,0,MATCH(X$2,Inputs!$K$4:$AJ$4,0)))))</f>
        <v>7136</v>
      </c>
      <c r="Y22" s="6">
        <f>IF(ISNA(MATCH(Y$2,Inputs!$K$4:$AJ$4,0)),NA(),IF(SUMPRODUCT((Inputs!$A$5:$A$130=$B22)*ISNUMBER(INDEX(Inputs!$K$5:$AJ$130,0,MATCH(Y$2,Inputs!$K$4:$AJ$4,0))))+SUMPRODUCT((Inputs!$C$5:$C$130=$B22)*ISNUMBER(INDEX(Inputs!$K$5:$AJ$130,0,MATCH(Y$2,Inputs!$K$4:$AJ$4,0))))+SUMPRODUCT((Inputs!$E$5:$E$130=$B22)*ISNUMBER(INDEX(Inputs!$K$5:$AJ$130,0,MATCH(Y$2,Inputs!$K$4:$AJ$4,0))))=0,NA(),SUMPRODUCT((Inputs!$A$5:$A$130=$B22)*Inputs!$B$5:$B$130*(((Inputs!$G$5:$G$130="moeda")+(Inputs!$G$5:$G$130="acoes"))*Inputs!$B$1+((Inputs!$G$5:$G$130&lt;&gt;"moeda")*(Inputs!$G$5:$G$130&lt;&gt;"acoes")))*INDEX(Inputs!$K$5:$AJ$130,0,MATCH(Y$2,Inputs!$K$4:$AJ$4,0)))+SUMPRODUCT((Inputs!$C$5:$C$130=$B22)*Inputs!$D$5:$D$130*(((Inputs!$G$5:$G$130="moeda")+(Inputs!$G$5:$G$130="acoes"))*Inputs!$B$1+((Inputs!$G$5:$G$130&lt;&gt;"moeda")*(Inputs!$G$5:$G$130&lt;&gt;"acoes")))*INDEX(Inputs!$K$5:$AJ$130,0,MATCH(Y$2,Inputs!$K$4:$AJ$4,0)))+SUMPRODUCT((Inputs!$E$5:$E$130=$B22)*Inputs!$F$5:$F$130*(((Inputs!$G$5:$G$130="moeda")+(Inputs!$G$5:$G$130="acoes"))*Inputs!$B$1+((Inputs!$G$5:$G$130&lt;&gt;"moeda")*(Inputs!$G$5:$G$130&lt;&gt;"acoes")))*INDEX(Inputs!$K$5:$AJ$130,0,MATCH(Y$2,Inputs!$K$4:$AJ$4,0)))))</f>
        <v>9141</v>
      </c>
      <c r="Z22" s="6">
        <f>IF(ISNA(MATCH(Z$2,Inputs!$K$4:$AJ$4,0)),NA(),IF(SUMPRODUCT((Inputs!$A$5:$A$130=$B22)*ISNUMBER(INDEX(Inputs!$K$5:$AJ$130,0,MATCH(Z$2,Inputs!$K$4:$AJ$4,0))))+SUMPRODUCT((Inputs!$C$5:$C$130=$B22)*ISNUMBER(INDEX(Inputs!$K$5:$AJ$130,0,MATCH(Z$2,Inputs!$K$4:$AJ$4,0))))+SUMPRODUCT((Inputs!$E$5:$E$130=$B22)*ISNUMBER(INDEX(Inputs!$K$5:$AJ$130,0,MATCH(Z$2,Inputs!$K$4:$AJ$4,0))))=0,NA(),SUMPRODUCT((Inputs!$A$5:$A$130=$B22)*Inputs!$B$5:$B$130*(((Inputs!$G$5:$G$130="moeda")+(Inputs!$G$5:$G$130="acoes"))*Inputs!$B$1+((Inputs!$G$5:$G$130&lt;&gt;"moeda")*(Inputs!$G$5:$G$130&lt;&gt;"acoes")))*INDEX(Inputs!$K$5:$AJ$130,0,MATCH(Z$2,Inputs!$K$4:$AJ$4,0)))+SUMPRODUCT((Inputs!$C$5:$C$130=$B22)*Inputs!$D$5:$D$130*(((Inputs!$G$5:$G$130="moeda")+(Inputs!$G$5:$G$130="acoes"))*Inputs!$B$1+((Inputs!$G$5:$G$130&lt;&gt;"moeda")*(Inputs!$G$5:$G$130&lt;&gt;"acoes")))*INDEX(Inputs!$K$5:$AJ$130,0,MATCH(Z$2,Inputs!$K$4:$AJ$4,0)))+SUMPRODUCT((Inputs!$E$5:$E$130=$B22)*Inputs!$F$5:$F$130*(((Inputs!$G$5:$G$130="moeda")+(Inputs!$G$5:$G$130="acoes"))*Inputs!$B$1+((Inputs!$G$5:$G$130&lt;&gt;"moeda")*(Inputs!$G$5:$G$130&lt;&gt;"acoes")))*INDEX(Inputs!$K$5:$AJ$130,0,MATCH(Z$2,Inputs!$K$4:$AJ$4,0)))))</f>
        <v>9780</v>
      </c>
      <c r="AA22" s="6">
        <f>IF(ISNA(MATCH(AA$2,Inputs!$K$4:$AJ$4,0)),NA(),IF(SUMPRODUCT((Inputs!$A$5:$A$130=$B22)*ISNUMBER(INDEX(Inputs!$K$5:$AJ$130,0,MATCH(AA$2,Inputs!$K$4:$AJ$4,0))))+SUMPRODUCT((Inputs!$C$5:$C$130=$B22)*ISNUMBER(INDEX(Inputs!$K$5:$AJ$130,0,MATCH(AA$2,Inputs!$K$4:$AJ$4,0))))+SUMPRODUCT((Inputs!$E$5:$E$130=$B22)*ISNUMBER(INDEX(Inputs!$K$5:$AJ$130,0,MATCH(AA$2,Inputs!$K$4:$AJ$4,0))))=0,NA(),SUMPRODUCT((Inputs!$A$5:$A$130=$B22)*Inputs!$B$5:$B$130*(((Inputs!$G$5:$G$130="moeda")+(Inputs!$G$5:$G$130="acoes"))*Inputs!$B$1+((Inputs!$G$5:$G$130&lt;&gt;"moeda")*(Inputs!$G$5:$G$130&lt;&gt;"acoes")))*INDEX(Inputs!$K$5:$AJ$130,0,MATCH(AA$2,Inputs!$K$4:$AJ$4,0)))+SUMPRODUCT((Inputs!$C$5:$C$130=$B22)*Inputs!$D$5:$D$130*(((Inputs!$G$5:$G$130="moeda")+(Inputs!$G$5:$G$130="acoes"))*Inputs!$B$1+((Inputs!$G$5:$G$130&lt;&gt;"moeda")*(Inputs!$G$5:$G$130&lt;&gt;"acoes")))*INDEX(Inputs!$K$5:$AJ$130,0,MATCH(AA$2,Inputs!$K$4:$AJ$4,0)))+SUMPRODUCT((Inputs!$E$5:$E$130=$B22)*Inputs!$F$5:$F$130*(((Inputs!$G$5:$G$130="moeda")+(Inputs!$G$5:$G$130="acoes"))*Inputs!$B$1+((Inputs!$G$5:$G$130&lt;&gt;"moeda")*(Inputs!$G$5:$G$130&lt;&gt;"acoes")))*INDEX(Inputs!$K$5:$AJ$130,0,MATCH(AA$2,Inputs!$K$4:$AJ$4,0)))))</f>
        <v>10383</v>
      </c>
      <c r="AB22" s="3">
        <f>AA22</f>
        <v>10383</v>
      </c>
      <c r="AC22" s="6">
        <f>IF(ISNA(MATCH(AC$2,Inputs!$K$4:$AJ$4,0)),NA(),IF(SUMPRODUCT((Inputs!$A$5:$A$130=$B22)*ISNUMBER(INDEX(Inputs!$K$5:$AJ$130,0,MATCH(AC$2,Inputs!$K$4:$AJ$4,0))))+SUMPRODUCT((Inputs!$C$5:$C$130=$B22)*ISNUMBER(INDEX(Inputs!$K$5:$AJ$130,0,MATCH(AC$2,Inputs!$K$4:$AJ$4,0))))+SUMPRODUCT((Inputs!$E$5:$E$130=$B22)*ISNUMBER(INDEX(Inputs!$K$5:$AJ$130,0,MATCH(AC$2,Inputs!$K$4:$AJ$4,0))))=0,NA(),SUMPRODUCT((Inputs!$A$5:$A$130=$B22)*Inputs!$B$5:$B$130*(((Inputs!$G$5:$G$130="moeda")+(Inputs!$G$5:$G$130="acoes"))*Inputs!$B$1+((Inputs!$G$5:$G$130&lt;&gt;"moeda")*(Inputs!$G$5:$G$130&lt;&gt;"acoes")))*INDEX(Inputs!$K$5:$AJ$130,0,MATCH(AC$2,Inputs!$K$4:$AJ$4,0)))+SUMPRODUCT((Inputs!$C$5:$C$130=$B22)*Inputs!$D$5:$D$130*(((Inputs!$G$5:$G$130="moeda")+(Inputs!$G$5:$G$130="acoes"))*Inputs!$B$1+((Inputs!$G$5:$G$130&lt;&gt;"moeda")*(Inputs!$G$5:$G$130&lt;&gt;"acoes")))*INDEX(Inputs!$K$5:$AJ$130,0,MATCH(AC$2,Inputs!$K$4:$AJ$4,0)))+SUMPRODUCT((Inputs!$E$5:$E$130=$B22)*Inputs!$F$5:$F$130*(((Inputs!$G$5:$G$130="moeda")+(Inputs!$G$5:$G$130="acoes"))*Inputs!$B$1+((Inputs!$G$5:$G$130&lt;&gt;"moeda")*(Inputs!$G$5:$G$130&lt;&gt;"acoes")))*INDEX(Inputs!$K$5:$AJ$130,0,MATCH(AC$2,Inputs!$K$4:$AJ$4,0)))))</f>
        <v>12403</v>
      </c>
      <c r="AD22" s="6">
        <f>IF(ISNA(MATCH(AD$2,Inputs!$K$4:$AJ$4,0)),NA(),IF(SUMPRODUCT((Inputs!$A$5:$A$130=$B22)*ISNUMBER(INDEX(Inputs!$K$5:$AJ$130,0,MATCH(AD$2,Inputs!$K$4:$AJ$4,0))))+SUMPRODUCT((Inputs!$C$5:$C$130=$B22)*ISNUMBER(INDEX(Inputs!$K$5:$AJ$130,0,MATCH(AD$2,Inputs!$K$4:$AJ$4,0))))+SUMPRODUCT((Inputs!$E$5:$E$130=$B22)*ISNUMBER(INDEX(Inputs!$K$5:$AJ$130,0,MATCH(AD$2,Inputs!$K$4:$AJ$4,0))))=0,NA(),SUMPRODUCT((Inputs!$A$5:$A$130=$B22)*Inputs!$B$5:$B$130*(((Inputs!$G$5:$G$130="moeda")+(Inputs!$G$5:$G$130="acoes"))*Inputs!$B$1+((Inputs!$G$5:$G$130&lt;&gt;"moeda")*(Inputs!$G$5:$G$130&lt;&gt;"acoes")))*INDEX(Inputs!$K$5:$AJ$130,0,MATCH(AD$2,Inputs!$K$4:$AJ$4,0)))+SUMPRODUCT((Inputs!$C$5:$C$130=$B22)*Inputs!$D$5:$D$130*(((Inputs!$G$5:$G$130="moeda")+(Inputs!$G$5:$G$130="acoes"))*Inputs!$B$1+((Inputs!$G$5:$G$130&lt;&gt;"moeda")*(Inputs!$G$5:$G$130&lt;&gt;"acoes")))*INDEX(Inputs!$K$5:$AJ$130,0,MATCH(AD$2,Inputs!$K$4:$AJ$4,0)))+SUMPRODUCT((Inputs!$E$5:$E$130=$B22)*Inputs!$F$5:$F$130*(((Inputs!$G$5:$G$130="moeda")+(Inputs!$G$5:$G$130="acoes"))*Inputs!$B$1+((Inputs!$G$5:$G$130&lt;&gt;"moeda")*(Inputs!$G$5:$G$130&lt;&gt;"acoes")))*INDEX(Inputs!$K$5:$AJ$130,0,MATCH(AD$2,Inputs!$K$4:$AJ$4,0)))))</f>
        <v>14285</v>
      </c>
      <c r="AE22" s="6" t="e">
        <f>IF(ISNA(MATCH(AE$2,Inputs!$K$4:$AJ$4,0)),NA(),IF(SUMPRODUCT((Inputs!$A$5:$A$130=$B22)*ISNUMBER(INDEX(Inputs!$K$5:$AJ$130,0,MATCH(AE$2,Inputs!$K$4:$AJ$4,0))))+SUMPRODUCT((Inputs!$C$5:$C$130=$B22)*ISNUMBER(INDEX(Inputs!$K$5:$AJ$130,0,MATCH(AE$2,Inputs!$K$4:$AJ$4,0))))+SUMPRODUCT((Inputs!$E$5:$E$130=$B22)*ISNUMBER(INDEX(Inputs!$K$5:$AJ$130,0,MATCH(AE$2,Inputs!$K$4:$AJ$4,0))))=0,NA(),SUMPRODUCT((Inputs!$A$5:$A$130=$B22)*Inputs!$B$5:$B$130*(((Inputs!$G$5:$G$130="moeda")+(Inputs!$G$5:$G$130="acoes"))*Inputs!$B$1+((Inputs!$G$5:$G$130&lt;&gt;"moeda")*(Inputs!$G$5:$G$130&lt;&gt;"acoes")))*INDEX(Inputs!$K$5:$AJ$130,0,MATCH(AE$2,Inputs!$K$4:$AJ$4,0)))+SUMPRODUCT((Inputs!$C$5:$C$130=$B22)*Inputs!$D$5:$D$130*(((Inputs!$G$5:$G$130="moeda")+(Inputs!$G$5:$G$130="acoes"))*Inputs!$B$1+((Inputs!$G$5:$G$130&lt;&gt;"moeda")*(Inputs!$G$5:$G$130&lt;&gt;"acoes")))*INDEX(Inputs!$K$5:$AJ$130,0,MATCH(AE$2,Inputs!$K$4:$AJ$4,0)))+SUMPRODUCT((Inputs!$E$5:$E$130=$B22)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2" s="6" t="e">
        <f>IF(ISNA(MATCH(AF$2,Inputs!$K$4:$AJ$4,0)),NA(),IF(SUMPRODUCT((Inputs!$A$5:$A$130=$B22)*ISNUMBER(INDEX(Inputs!$K$5:$AJ$130,0,MATCH(AF$2,Inputs!$K$4:$AJ$4,0))))+SUMPRODUCT((Inputs!$C$5:$C$130=$B22)*ISNUMBER(INDEX(Inputs!$K$5:$AJ$130,0,MATCH(AF$2,Inputs!$K$4:$AJ$4,0))))+SUMPRODUCT((Inputs!$E$5:$E$130=$B22)*ISNUMBER(INDEX(Inputs!$K$5:$AJ$130,0,MATCH(AF$2,Inputs!$K$4:$AJ$4,0))))=0,NA(),SUMPRODUCT((Inputs!$A$5:$A$130=$B22)*Inputs!$B$5:$B$130*(((Inputs!$G$5:$G$130="moeda")+(Inputs!$G$5:$G$130="acoes"))*Inputs!$B$1+((Inputs!$G$5:$G$130&lt;&gt;"moeda")*(Inputs!$G$5:$G$130&lt;&gt;"acoes")))*INDEX(Inputs!$K$5:$AJ$130,0,MATCH(AF$2,Inputs!$K$4:$AJ$4,0)))+SUMPRODUCT((Inputs!$C$5:$C$130=$B22)*Inputs!$D$5:$D$130*(((Inputs!$G$5:$G$130="moeda")+(Inputs!$G$5:$G$130="acoes"))*Inputs!$B$1+((Inputs!$G$5:$G$130&lt;&gt;"moeda")*(Inputs!$G$5:$G$130&lt;&gt;"acoes")))*INDEX(Inputs!$K$5:$AJ$130,0,MATCH(AF$2,Inputs!$K$4:$AJ$4,0)))+SUMPRODUCT((Inputs!$E$5:$E$130=$B22)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2" s="3" t="e">
        <f>AF22</f>
        <v>#N/A</v>
      </c>
      <c r="AH22" s="6">
        <f>IF(ISNA(MATCH(AH$2,Inputs!$K$4:$AJ$4,0)),NA(),IF(SUMPRODUCT((Inputs!$A$5:$A$130=$B22)*ISNUMBER(INDEX(Inputs!$K$5:$AJ$130,0,MATCH(AH$2,Inputs!$K$4:$AJ$4,0))))+SUMPRODUCT((Inputs!$C$5:$C$130=$B22)*ISNUMBER(INDEX(Inputs!$K$5:$AJ$130,0,MATCH(AH$2,Inputs!$K$4:$AJ$4,0))))+SUMPRODUCT((Inputs!$E$5:$E$130=$B22)*ISNUMBER(INDEX(Inputs!$K$5:$AJ$130,0,MATCH(AH$2,Inputs!$K$4:$AJ$4,0))))=0,NA(),SUMPRODUCT((Inputs!$A$5:$A$130=$B22)*Inputs!$B$5:$B$130*(((Inputs!$G$5:$G$130="moeda")+(Inputs!$G$5:$G$130="acoes"))*Inputs!$B$1+((Inputs!$G$5:$G$130&lt;&gt;"moeda")*(Inputs!$G$5:$G$130&lt;&gt;"acoes")))*INDEX(Inputs!$K$5:$AJ$130,0,MATCH(AH$2,Inputs!$K$4:$AJ$4,0)))+SUMPRODUCT((Inputs!$C$5:$C$130=$B22)*Inputs!$D$5:$D$130*(((Inputs!$G$5:$G$130="moeda")+(Inputs!$G$5:$G$130="acoes"))*Inputs!$B$1+((Inputs!$G$5:$G$130&lt;&gt;"moeda")*(Inputs!$G$5:$G$130&lt;&gt;"acoes")))*INDEX(Inputs!$K$5:$AJ$130,0,MATCH(AH$2,Inputs!$K$4:$AJ$4,0)))+SUMPRODUCT((Inputs!$E$5:$E$130=$B22)*Inputs!$F$5:$F$130*(((Inputs!$G$5:$G$130="moeda")+(Inputs!$G$5:$G$130="acoes"))*Inputs!$B$1+((Inputs!$G$5:$G$130&lt;&gt;"moeda")*(Inputs!$G$5:$G$130&lt;&gt;"acoes")))*INDEX(Inputs!$K$5:$AJ$130,0,MATCH(AH$2,Inputs!$K$4:$AJ$4,0)))))</f>
        <v>1715</v>
      </c>
      <c r="AI22" s="6">
        <f>IF(ISNA(MATCH(AI$2,Inputs!$K$4:$AJ$4,0)),NA(),IF(SUMPRODUCT((Inputs!$A$5:$A$130=$B22)*ISNUMBER(INDEX(Inputs!$K$5:$AJ$130,0,MATCH(AI$2,Inputs!$K$4:$AJ$4,0))))+SUMPRODUCT((Inputs!$C$5:$C$130=$B22)*ISNUMBER(INDEX(Inputs!$K$5:$AJ$130,0,MATCH(AI$2,Inputs!$K$4:$AJ$4,0))))+SUMPRODUCT((Inputs!$E$5:$E$130=$B22)*ISNUMBER(INDEX(Inputs!$K$5:$AJ$130,0,MATCH(AI$2,Inputs!$K$4:$AJ$4,0))))=0,NA(),SUMPRODUCT((Inputs!$A$5:$A$130=$B22)*Inputs!$B$5:$B$130*(((Inputs!$G$5:$G$130="moeda")+(Inputs!$G$5:$G$130="acoes"))*Inputs!$B$1+((Inputs!$G$5:$G$130&lt;&gt;"moeda")*(Inputs!$G$5:$G$130&lt;&gt;"acoes")))*INDEX(Inputs!$K$5:$AJ$130,0,MATCH(AI$2,Inputs!$K$4:$AJ$4,0)))+SUMPRODUCT((Inputs!$C$5:$C$130=$B22)*Inputs!$D$5:$D$130*(((Inputs!$G$5:$G$130="moeda")+(Inputs!$G$5:$G$130="acoes"))*Inputs!$B$1+((Inputs!$G$5:$G$130&lt;&gt;"moeda")*(Inputs!$G$5:$G$130&lt;&gt;"acoes")))*INDEX(Inputs!$K$5:$AJ$130,0,MATCH(AI$2,Inputs!$K$4:$AJ$4,0)))+SUMPRODUCT((Inputs!$E$5:$E$130=$B22)*Inputs!$F$5:$F$130*(((Inputs!$G$5:$G$130="moeda")+(Inputs!$G$5:$G$130="acoes"))*Inputs!$B$1+((Inputs!$G$5:$G$130&lt;&gt;"moeda")*(Inputs!$G$5:$G$130&lt;&gt;"acoes")))*INDEX(Inputs!$K$5:$AJ$130,0,MATCH(AI$2,Inputs!$K$4:$AJ$4,0)))))</f>
        <v>1964</v>
      </c>
      <c r="AJ22" s="6">
        <f>IF(ISNA(MATCH(AJ$2,Inputs!$K$4:$AJ$4,0)),NA(),IF(SUMPRODUCT((Inputs!$A$5:$A$130=$B22)*ISNUMBER(INDEX(Inputs!$K$5:$AJ$130,0,MATCH(AJ$2,Inputs!$K$4:$AJ$4,0))))+SUMPRODUCT((Inputs!$C$5:$C$130=$B22)*ISNUMBER(INDEX(Inputs!$K$5:$AJ$130,0,MATCH(AJ$2,Inputs!$K$4:$AJ$4,0))))+SUMPRODUCT((Inputs!$E$5:$E$130=$B22)*ISNUMBER(INDEX(Inputs!$K$5:$AJ$130,0,MATCH(AJ$2,Inputs!$K$4:$AJ$4,0))))=0,NA(),SUMPRODUCT((Inputs!$A$5:$A$130=$B22)*Inputs!$B$5:$B$130*(((Inputs!$G$5:$G$130="moeda")+(Inputs!$G$5:$G$130="acoes"))*Inputs!$B$1+((Inputs!$G$5:$G$130&lt;&gt;"moeda")*(Inputs!$G$5:$G$130&lt;&gt;"acoes")))*INDEX(Inputs!$K$5:$AJ$130,0,MATCH(AJ$2,Inputs!$K$4:$AJ$4,0)))+SUMPRODUCT((Inputs!$C$5:$C$130=$B22)*Inputs!$D$5:$D$130*(((Inputs!$G$5:$G$130="moeda")+(Inputs!$G$5:$G$130="acoes"))*Inputs!$B$1+((Inputs!$G$5:$G$130&lt;&gt;"moeda")*(Inputs!$G$5:$G$130&lt;&gt;"acoes")))*INDEX(Inputs!$K$5:$AJ$130,0,MATCH(AJ$2,Inputs!$K$4:$AJ$4,0)))+SUMPRODUCT((Inputs!$E$5:$E$130=$B22)*Inputs!$F$5:$F$130*(((Inputs!$G$5:$G$130="moeda")+(Inputs!$G$5:$G$130="acoes"))*Inputs!$B$1+((Inputs!$G$5:$G$130&lt;&gt;"moeda")*(Inputs!$G$5:$G$130&lt;&gt;"acoes")))*INDEX(Inputs!$K$5:$AJ$130,0,MATCH(AJ$2,Inputs!$K$4:$AJ$4,0)))))</f>
        <v>2059</v>
      </c>
      <c r="AK22" s="6">
        <f>IF(ISNA(MATCH(AK$2,Inputs!$K$4:$AJ$4,0)),NA(),IF(SUMPRODUCT((Inputs!$A$5:$A$130=$B22)*ISNUMBER(INDEX(Inputs!$K$5:$AJ$130,0,MATCH(AK$2,Inputs!$K$4:$AJ$4,0))))+SUMPRODUCT((Inputs!$C$5:$C$130=$B22)*ISNUMBER(INDEX(Inputs!$K$5:$AJ$130,0,MATCH(AK$2,Inputs!$K$4:$AJ$4,0))))+SUMPRODUCT((Inputs!$E$5:$E$130=$B22)*ISNUMBER(INDEX(Inputs!$K$5:$AJ$130,0,MATCH(AK$2,Inputs!$K$4:$AJ$4,0))))=0,NA(),SUMPRODUCT((Inputs!$A$5:$A$130=$B22)*Inputs!$B$5:$B$130*(((Inputs!$G$5:$G$130="moeda")+(Inputs!$G$5:$G$130="acoes"))*Inputs!$B$1+((Inputs!$G$5:$G$130&lt;&gt;"moeda")*(Inputs!$G$5:$G$130&lt;&gt;"acoes")))*INDEX(Inputs!$K$5:$AJ$130,0,MATCH(AK$2,Inputs!$K$4:$AJ$4,0)))+SUMPRODUCT((Inputs!$C$5:$C$130=$B22)*Inputs!$D$5:$D$130*(((Inputs!$G$5:$G$130="moeda")+(Inputs!$G$5:$G$130="acoes"))*Inputs!$B$1+((Inputs!$G$5:$G$130&lt;&gt;"moeda")*(Inputs!$G$5:$G$130&lt;&gt;"acoes")))*INDEX(Inputs!$K$5:$AJ$130,0,MATCH(AK$2,Inputs!$K$4:$AJ$4,0)))+SUMPRODUCT((Inputs!$E$5:$E$130=$B22)*Inputs!$F$5:$F$130*(((Inputs!$G$5:$G$130="moeda")+(Inputs!$G$5:$G$130="acoes"))*Inputs!$B$1+((Inputs!$G$5:$G$130&lt;&gt;"moeda")*(Inputs!$G$5:$G$130&lt;&gt;"acoes")))*INDEX(Inputs!$K$5:$AJ$130,0,MATCH(AK$2,Inputs!$K$4:$AJ$4,0)))))</f>
        <v>2149</v>
      </c>
      <c r="AL22" s="3">
        <f>AK22</f>
        <v>2149</v>
      </c>
    </row>
    <row r="23">
      <c r="B23" s="46" t="n">
        <v>19</v>
      </c>
      <c r="C23" s="26" t="inlineStr">
        <is>
          <t>Right-of-use-assets</t>
        </is>
      </c>
      <c r="D23" s="6">
        <f>IF(ISNA(MATCH(D$2,Inputs!$K$4:$AJ$4,0)),NA(),IF(SUMPRODUCT((Inputs!$A$5:$A$130=$B23)*ISNUMBER(INDEX(Inputs!$K$5:$AJ$130,0,MATCH(D$2,Inputs!$K$4:$AJ$4,0))))+SUMPRODUCT((Inputs!$C$5:$C$130=$B23)*ISNUMBER(INDEX(Inputs!$K$5:$AJ$130,0,MATCH(D$2,Inputs!$K$4:$AJ$4,0))))+SUMPRODUCT((Inputs!$E$5:$E$130=$B23)*ISNUMBER(INDEX(Inputs!$K$5:$AJ$130,0,MATCH(D$2,Inputs!$K$4:$AJ$4,0))))=0,NA(),SUMPRODUCT((Inputs!$A$5:$A$130=$B23)*Inputs!$B$5:$B$130*(((Inputs!$G$5:$G$130="moeda")+(Inputs!$G$5:$G$130="acoes"))*Inputs!$B$1+((Inputs!$G$5:$G$130&lt;&gt;"moeda")*(Inputs!$G$5:$G$130&lt;&gt;"acoes")))*INDEX(Inputs!$K$5:$AJ$130,0,MATCH(D$2,Inputs!$K$4:$AJ$4,0)))+SUMPRODUCT((Inputs!$C$5:$C$130=$B23)*Inputs!$D$5:$D$130*(((Inputs!$G$5:$G$130="moeda")+(Inputs!$G$5:$G$130="acoes"))*Inputs!$B$1+((Inputs!$G$5:$G$130&lt;&gt;"moeda")*(Inputs!$G$5:$G$130&lt;&gt;"acoes")))*INDEX(Inputs!$K$5:$AJ$130,0,MATCH(D$2,Inputs!$K$4:$AJ$4,0)))+SUMPRODUCT((Inputs!$E$5:$E$130=$B23)*Inputs!$F$5:$F$130*(((Inputs!$G$5:$G$130="moeda")+(Inputs!$G$5:$G$130="acoes"))*Inputs!$B$1+((Inputs!$G$5:$G$130&lt;&gt;"moeda")*(Inputs!$G$5:$G$130&lt;&gt;"acoes")))*INDEX(Inputs!$K$5:$AJ$130,0,MATCH(D$2,Inputs!$K$4:$AJ$4,0)))))</f>
        <v>727</v>
      </c>
      <c r="E23" s="6">
        <f>IF(ISNA(MATCH(E$2,Inputs!$K$4:$AJ$4,0)),NA(),IF(SUMPRODUCT((Inputs!$A$5:$A$130=$B23)*ISNUMBER(INDEX(Inputs!$K$5:$AJ$130,0,MATCH(E$2,Inputs!$K$4:$AJ$4,0))))+SUMPRODUCT((Inputs!$C$5:$C$130=$B23)*ISNUMBER(INDEX(Inputs!$K$5:$AJ$130,0,MATCH(E$2,Inputs!$K$4:$AJ$4,0))))+SUMPRODUCT((Inputs!$E$5:$E$130=$B23)*ISNUMBER(INDEX(Inputs!$K$5:$AJ$130,0,MATCH(E$2,Inputs!$K$4:$AJ$4,0))))=0,NA(),SUMPRODUCT((Inputs!$A$5:$A$130=$B23)*Inputs!$B$5:$B$130*(((Inputs!$G$5:$G$130="moeda")+(Inputs!$G$5:$G$130="acoes"))*Inputs!$B$1+((Inputs!$G$5:$G$130&lt;&gt;"moeda")*(Inputs!$G$5:$G$130&lt;&gt;"acoes")))*INDEX(Inputs!$K$5:$AJ$130,0,MATCH(E$2,Inputs!$K$4:$AJ$4,0)))+SUMPRODUCT((Inputs!$C$5:$C$130=$B23)*Inputs!$D$5:$D$130*(((Inputs!$G$5:$G$130="moeda")+(Inputs!$G$5:$G$130="acoes"))*Inputs!$B$1+((Inputs!$G$5:$G$130&lt;&gt;"moeda")*(Inputs!$G$5:$G$130&lt;&gt;"acoes")))*INDEX(Inputs!$K$5:$AJ$130,0,MATCH(E$2,Inputs!$K$4:$AJ$4,0)))+SUMPRODUCT((Inputs!$E$5:$E$130=$B23)*Inputs!$F$5:$F$130*(((Inputs!$G$5:$G$130="moeda")+(Inputs!$G$5:$G$130="acoes"))*Inputs!$B$1+((Inputs!$G$5:$G$130&lt;&gt;"moeda")*(Inputs!$G$5:$G$130&lt;&gt;"acoes")))*INDEX(Inputs!$K$5:$AJ$130,0,MATCH(E$2,Inputs!$K$4:$AJ$4,0)))))</f>
        <v>801</v>
      </c>
      <c r="F23" s="6">
        <f>IF(ISNA(MATCH(F$2,Inputs!$K$4:$AJ$4,0)),NA(),IF(SUMPRODUCT((Inputs!$A$5:$A$130=$B23)*ISNUMBER(INDEX(Inputs!$K$5:$AJ$130,0,MATCH(F$2,Inputs!$K$4:$AJ$4,0))))+SUMPRODUCT((Inputs!$C$5:$C$130=$B23)*ISNUMBER(INDEX(Inputs!$K$5:$AJ$130,0,MATCH(F$2,Inputs!$K$4:$AJ$4,0))))+SUMPRODUCT((Inputs!$E$5:$E$130=$B23)*ISNUMBER(INDEX(Inputs!$K$5:$AJ$130,0,MATCH(F$2,Inputs!$K$4:$AJ$4,0))))=0,NA(),SUMPRODUCT((Inputs!$A$5:$A$130=$B23)*Inputs!$B$5:$B$130*(((Inputs!$G$5:$G$130="moeda")+(Inputs!$G$5:$G$130="acoes"))*Inputs!$B$1+((Inputs!$G$5:$G$130&lt;&gt;"moeda")*(Inputs!$G$5:$G$130&lt;&gt;"acoes")))*INDEX(Inputs!$K$5:$AJ$130,0,MATCH(F$2,Inputs!$K$4:$AJ$4,0)))+SUMPRODUCT((Inputs!$C$5:$C$130=$B23)*Inputs!$D$5:$D$130*(((Inputs!$G$5:$G$130="moeda")+(Inputs!$G$5:$G$130="acoes"))*Inputs!$B$1+((Inputs!$G$5:$G$130&lt;&gt;"moeda")*(Inputs!$G$5:$G$130&lt;&gt;"acoes")))*INDEX(Inputs!$K$5:$AJ$130,0,MATCH(F$2,Inputs!$K$4:$AJ$4,0)))+SUMPRODUCT((Inputs!$E$5:$E$130=$B23)*Inputs!$F$5:$F$130*(((Inputs!$G$5:$G$130="moeda")+(Inputs!$G$5:$G$130="acoes"))*Inputs!$B$1+((Inputs!$G$5:$G$130&lt;&gt;"moeda")*(Inputs!$G$5:$G$130&lt;&gt;"acoes")))*INDEX(Inputs!$K$5:$AJ$130,0,MATCH(F$2,Inputs!$K$4:$AJ$4,0)))))</f>
        <v>830</v>
      </c>
      <c r="G23" s="6">
        <f>IF(ISNA(MATCH(G$2,Inputs!$K$4:$AJ$4,0)),NA(),IF(SUMPRODUCT((Inputs!$A$5:$A$130=$B23)*ISNUMBER(INDEX(Inputs!$K$5:$AJ$130,0,MATCH(G$2,Inputs!$K$4:$AJ$4,0))))+SUMPRODUCT((Inputs!$C$5:$C$130=$B23)*ISNUMBER(INDEX(Inputs!$K$5:$AJ$130,0,MATCH(G$2,Inputs!$K$4:$AJ$4,0))))+SUMPRODUCT((Inputs!$E$5:$E$130=$B23)*ISNUMBER(INDEX(Inputs!$K$5:$AJ$130,0,MATCH(G$2,Inputs!$K$4:$AJ$4,0))))=0,NA(),SUMPRODUCT((Inputs!$A$5:$A$130=$B23)*Inputs!$B$5:$B$130*(((Inputs!$G$5:$G$130="moeda")+(Inputs!$G$5:$G$130="acoes"))*Inputs!$B$1+((Inputs!$G$5:$G$130&lt;&gt;"moeda")*(Inputs!$G$5:$G$130&lt;&gt;"acoes")))*INDEX(Inputs!$K$5:$AJ$130,0,MATCH(G$2,Inputs!$K$4:$AJ$4,0)))+SUMPRODUCT((Inputs!$C$5:$C$130=$B23)*Inputs!$D$5:$D$130*(((Inputs!$G$5:$G$130="moeda")+(Inputs!$G$5:$G$130="acoes"))*Inputs!$B$1+((Inputs!$G$5:$G$130&lt;&gt;"moeda")*(Inputs!$G$5:$G$130&lt;&gt;"acoes")))*INDEX(Inputs!$K$5:$AJ$130,0,MATCH(G$2,Inputs!$K$4:$AJ$4,0)))+SUMPRODUCT((Inputs!$E$5:$E$130=$B23)*Inputs!$F$5:$F$130*(((Inputs!$G$5:$G$130="moeda")+(Inputs!$G$5:$G$130="acoes"))*Inputs!$B$1+((Inputs!$G$5:$G$130&lt;&gt;"moeda")*(Inputs!$G$5:$G$130&lt;&gt;"acoes")))*INDEX(Inputs!$K$5:$AJ$130,0,MATCH(G$2,Inputs!$K$4:$AJ$4,0)))))</f>
        <v>829</v>
      </c>
      <c r="H23" s="3">
        <f>G23</f>
        <v>829</v>
      </c>
      <c r="I23" s="6">
        <f>IF(ISNA(MATCH(I$2,Inputs!$K$4:$AJ$4,0)),NA(),IF(SUMPRODUCT((Inputs!$A$5:$A$130=$B23)*ISNUMBER(INDEX(Inputs!$K$5:$AJ$130,0,MATCH(I$2,Inputs!$K$4:$AJ$4,0))))+SUMPRODUCT((Inputs!$C$5:$C$130=$B23)*ISNUMBER(INDEX(Inputs!$K$5:$AJ$130,0,MATCH(I$2,Inputs!$K$4:$AJ$4,0))))+SUMPRODUCT((Inputs!$E$5:$E$130=$B23)*ISNUMBER(INDEX(Inputs!$K$5:$AJ$130,0,MATCH(I$2,Inputs!$K$4:$AJ$4,0))))=0,NA(),SUMPRODUCT((Inputs!$A$5:$A$130=$B23)*Inputs!$B$5:$B$130*(((Inputs!$G$5:$G$130="moeda")+(Inputs!$G$5:$G$130="acoes"))*Inputs!$B$1+((Inputs!$G$5:$G$130&lt;&gt;"moeda")*(Inputs!$G$5:$G$130&lt;&gt;"acoes")))*INDEX(Inputs!$K$5:$AJ$130,0,MATCH(I$2,Inputs!$K$4:$AJ$4,0)))+SUMPRODUCT((Inputs!$C$5:$C$130=$B23)*Inputs!$D$5:$D$130*(((Inputs!$G$5:$G$130="moeda")+(Inputs!$G$5:$G$130="acoes"))*Inputs!$B$1+((Inputs!$G$5:$G$130&lt;&gt;"moeda")*(Inputs!$G$5:$G$130&lt;&gt;"acoes")))*INDEX(Inputs!$K$5:$AJ$130,0,MATCH(I$2,Inputs!$K$4:$AJ$4,0)))+SUMPRODUCT((Inputs!$E$5:$E$130=$B23)*Inputs!$F$5:$F$130*(((Inputs!$G$5:$G$130="moeda")+(Inputs!$G$5:$G$130="acoes"))*Inputs!$B$1+((Inputs!$G$5:$G$130&lt;&gt;"moeda")*(Inputs!$G$5:$G$130&lt;&gt;"acoes")))*INDEX(Inputs!$K$5:$AJ$130,0,MATCH(I$2,Inputs!$K$4:$AJ$4,0)))))</f>
        <v>856</v>
      </c>
      <c r="J23" s="6">
        <f>IF(ISNA(MATCH(J$2,Inputs!$K$4:$AJ$4,0)),NA(),IF(SUMPRODUCT((Inputs!$A$5:$A$130=$B23)*ISNUMBER(INDEX(Inputs!$K$5:$AJ$130,0,MATCH(J$2,Inputs!$K$4:$AJ$4,0))))+SUMPRODUCT((Inputs!$C$5:$C$130=$B23)*ISNUMBER(INDEX(Inputs!$K$5:$AJ$130,0,MATCH(J$2,Inputs!$K$4:$AJ$4,0))))+SUMPRODUCT((Inputs!$E$5:$E$130=$B23)*ISNUMBER(INDEX(Inputs!$K$5:$AJ$130,0,MATCH(J$2,Inputs!$K$4:$AJ$4,0))))=0,NA(),SUMPRODUCT((Inputs!$A$5:$A$130=$B23)*Inputs!$B$5:$B$130*(((Inputs!$G$5:$G$130="moeda")+(Inputs!$G$5:$G$130="acoes"))*Inputs!$B$1+((Inputs!$G$5:$G$130&lt;&gt;"moeda")*(Inputs!$G$5:$G$130&lt;&gt;"acoes")))*INDEX(Inputs!$K$5:$AJ$130,0,MATCH(J$2,Inputs!$K$4:$AJ$4,0)))+SUMPRODUCT((Inputs!$C$5:$C$130=$B23)*Inputs!$D$5:$D$130*(((Inputs!$G$5:$G$130="moeda")+(Inputs!$G$5:$G$130="acoes"))*Inputs!$B$1+((Inputs!$G$5:$G$130&lt;&gt;"moeda")*(Inputs!$G$5:$G$130&lt;&gt;"acoes")))*INDEX(Inputs!$K$5:$AJ$130,0,MATCH(J$2,Inputs!$K$4:$AJ$4,0)))+SUMPRODUCT((Inputs!$E$5:$E$130=$B23)*Inputs!$F$5:$F$130*(((Inputs!$G$5:$G$130="moeda")+(Inputs!$G$5:$G$130="acoes"))*Inputs!$B$1+((Inputs!$G$5:$G$130&lt;&gt;"moeda")*(Inputs!$G$5:$G$130&lt;&gt;"acoes")))*INDEX(Inputs!$K$5:$AJ$130,0,MATCH(J$2,Inputs!$K$4:$AJ$4,0)))))</f>
        <v>852</v>
      </c>
      <c r="K23" s="6">
        <f>IF(ISNA(MATCH(K$2,Inputs!$K$4:$AJ$4,0)),NA(),IF(SUMPRODUCT((Inputs!$A$5:$A$130=$B23)*ISNUMBER(INDEX(Inputs!$K$5:$AJ$130,0,MATCH(K$2,Inputs!$K$4:$AJ$4,0))))+SUMPRODUCT((Inputs!$C$5:$C$130=$B23)*ISNUMBER(INDEX(Inputs!$K$5:$AJ$130,0,MATCH(K$2,Inputs!$K$4:$AJ$4,0))))+SUMPRODUCT((Inputs!$E$5:$E$130=$B23)*ISNUMBER(INDEX(Inputs!$K$5:$AJ$130,0,MATCH(K$2,Inputs!$K$4:$AJ$4,0))))=0,NA(),SUMPRODUCT((Inputs!$A$5:$A$130=$B23)*Inputs!$B$5:$B$130*(((Inputs!$G$5:$G$130="moeda")+(Inputs!$G$5:$G$130="acoes"))*Inputs!$B$1+((Inputs!$G$5:$G$130&lt;&gt;"moeda")*(Inputs!$G$5:$G$130&lt;&gt;"acoes")))*INDEX(Inputs!$K$5:$AJ$130,0,MATCH(K$2,Inputs!$K$4:$AJ$4,0)))+SUMPRODUCT((Inputs!$C$5:$C$130=$B23)*Inputs!$D$5:$D$130*(((Inputs!$G$5:$G$130="moeda")+(Inputs!$G$5:$G$130="acoes"))*Inputs!$B$1+((Inputs!$G$5:$G$130&lt;&gt;"moeda")*(Inputs!$G$5:$G$130&lt;&gt;"acoes")))*INDEX(Inputs!$K$5:$AJ$130,0,MATCH(K$2,Inputs!$K$4:$AJ$4,0)))+SUMPRODUCT((Inputs!$E$5:$E$130=$B23)*Inputs!$F$5:$F$130*(((Inputs!$G$5:$G$130="moeda")+(Inputs!$G$5:$G$130="acoes"))*Inputs!$B$1+((Inputs!$G$5:$G$130&lt;&gt;"moeda")*(Inputs!$G$5:$G$130&lt;&gt;"acoes")))*INDEX(Inputs!$K$5:$AJ$130,0,MATCH(K$2,Inputs!$K$4:$AJ$4,0)))))</f>
        <v>927</v>
      </c>
      <c r="L23" s="6">
        <f>IF(ISNA(MATCH(L$2,Inputs!$K$4:$AJ$4,0)),NA(),IF(SUMPRODUCT((Inputs!$A$5:$A$130=$B23)*ISNUMBER(INDEX(Inputs!$K$5:$AJ$130,0,MATCH(L$2,Inputs!$K$4:$AJ$4,0))))+SUMPRODUCT((Inputs!$C$5:$C$130=$B23)*ISNUMBER(INDEX(Inputs!$K$5:$AJ$130,0,MATCH(L$2,Inputs!$K$4:$AJ$4,0))))+SUMPRODUCT((Inputs!$E$5:$E$130=$B23)*ISNUMBER(INDEX(Inputs!$K$5:$AJ$130,0,MATCH(L$2,Inputs!$K$4:$AJ$4,0))))=0,NA(),SUMPRODUCT((Inputs!$A$5:$A$130=$B23)*Inputs!$B$5:$B$130*(((Inputs!$G$5:$G$130="moeda")+(Inputs!$G$5:$G$130="acoes"))*Inputs!$B$1+((Inputs!$G$5:$G$130&lt;&gt;"moeda")*(Inputs!$G$5:$G$130&lt;&gt;"acoes")))*INDEX(Inputs!$K$5:$AJ$130,0,MATCH(L$2,Inputs!$K$4:$AJ$4,0)))+SUMPRODUCT((Inputs!$C$5:$C$130=$B23)*Inputs!$D$5:$D$130*(((Inputs!$G$5:$G$130="moeda")+(Inputs!$G$5:$G$130="acoes"))*Inputs!$B$1+((Inputs!$G$5:$G$130&lt;&gt;"moeda")*(Inputs!$G$5:$G$130&lt;&gt;"acoes")))*INDEX(Inputs!$K$5:$AJ$130,0,MATCH(L$2,Inputs!$K$4:$AJ$4,0)))+SUMPRODUCT((Inputs!$E$5:$E$130=$B23)*Inputs!$F$5:$F$130*(((Inputs!$G$5:$G$130="moeda")+(Inputs!$G$5:$G$130="acoes"))*Inputs!$B$1+((Inputs!$G$5:$G$130&lt;&gt;"moeda")*(Inputs!$G$5:$G$130&lt;&gt;"acoes")))*INDEX(Inputs!$K$5:$AJ$130,0,MATCH(L$2,Inputs!$K$4:$AJ$4,0)))))</f>
        <v>1038</v>
      </c>
      <c r="M23" s="3">
        <f>L23</f>
        <v>1038</v>
      </c>
      <c r="N23" s="6">
        <f>IF(ISNA(MATCH(N$2,Inputs!$K$4:$AJ$4,0)),NA(),IF(SUMPRODUCT((Inputs!$A$5:$A$130=$B23)*ISNUMBER(INDEX(Inputs!$K$5:$AJ$130,0,MATCH(N$2,Inputs!$K$4:$AJ$4,0))))+SUMPRODUCT((Inputs!$C$5:$C$130=$B23)*ISNUMBER(INDEX(Inputs!$K$5:$AJ$130,0,MATCH(N$2,Inputs!$K$4:$AJ$4,0))))+SUMPRODUCT((Inputs!$E$5:$E$130=$B23)*ISNUMBER(INDEX(Inputs!$K$5:$AJ$130,0,MATCH(N$2,Inputs!$K$4:$AJ$4,0))))=0,NA(),SUMPRODUCT((Inputs!$A$5:$A$130=$B23)*Inputs!$B$5:$B$130*(((Inputs!$G$5:$G$130="moeda")+(Inputs!$G$5:$G$130="acoes"))*Inputs!$B$1+((Inputs!$G$5:$G$130&lt;&gt;"moeda")*(Inputs!$G$5:$G$130&lt;&gt;"acoes")))*INDEX(Inputs!$K$5:$AJ$130,0,MATCH(N$2,Inputs!$K$4:$AJ$4,0)))+SUMPRODUCT((Inputs!$C$5:$C$130=$B23)*Inputs!$D$5:$D$130*(((Inputs!$G$5:$G$130="moeda")+(Inputs!$G$5:$G$130="acoes"))*Inputs!$B$1+((Inputs!$G$5:$G$130&lt;&gt;"moeda")*(Inputs!$G$5:$G$130&lt;&gt;"acoes")))*INDEX(Inputs!$K$5:$AJ$130,0,MATCH(N$2,Inputs!$K$4:$AJ$4,0)))+SUMPRODUCT((Inputs!$E$5:$E$130=$B23)*Inputs!$F$5:$F$130*(((Inputs!$G$5:$G$130="moeda")+(Inputs!$G$5:$G$130="acoes"))*Inputs!$B$1+((Inputs!$G$5:$G$130&lt;&gt;"moeda")*(Inputs!$G$5:$G$130&lt;&gt;"acoes")))*INDEX(Inputs!$K$5:$AJ$130,0,MATCH(N$2,Inputs!$K$4:$AJ$4,0)))))</f>
        <v>1094</v>
      </c>
      <c r="O23" s="6">
        <f>IF(ISNA(MATCH(O$2,Inputs!$K$4:$AJ$4,0)),NA(),IF(SUMPRODUCT((Inputs!$A$5:$A$130=$B23)*ISNUMBER(INDEX(Inputs!$K$5:$AJ$130,0,MATCH(O$2,Inputs!$K$4:$AJ$4,0))))+SUMPRODUCT((Inputs!$C$5:$C$130=$B23)*ISNUMBER(INDEX(Inputs!$K$5:$AJ$130,0,MATCH(O$2,Inputs!$K$4:$AJ$4,0))))+SUMPRODUCT((Inputs!$E$5:$E$130=$B23)*ISNUMBER(INDEX(Inputs!$K$5:$AJ$130,0,MATCH(O$2,Inputs!$K$4:$AJ$4,0))))=0,NA(),SUMPRODUCT((Inputs!$A$5:$A$130=$B23)*Inputs!$B$5:$B$130*(((Inputs!$G$5:$G$130="moeda")+(Inputs!$G$5:$G$130="acoes"))*Inputs!$B$1+((Inputs!$G$5:$G$130&lt;&gt;"moeda")*(Inputs!$G$5:$G$130&lt;&gt;"acoes")))*INDEX(Inputs!$K$5:$AJ$130,0,MATCH(O$2,Inputs!$K$4:$AJ$4,0)))+SUMPRODUCT((Inputs!$C$5:$C$130=$B23)*Inputs!$D$5:$D$130*(((Inputs!$G$5:$G$130="moeda")+(Inputs!$G$5:$G$130="acoes"))*Inputs!$B$1+((Inputs!$G$5:$G$130&lt;&gt;"moeda")*(Inputs!$G$5:$G$130&lt;&gt;"acoes")))*INDEX(Inputs!$K$5:$AJ$130,0,MATCH(O$2,Inputs!$K$4:$AJ$4,0)))+SUMPRODUCT((Inputs!$E$5:$E$130=$B23)*Inputs!$F$5:$F$130*(((Inputs!$G$5:$G$130="moeda")+(Inputs!$G$5:$G$130="acoes"))*Inputs!$B$1+((Inputs!$G$5:$G$130&lt;&gt;"moeda")*(Inputs!$G$5:$G$130&lt;&gt;"acoes")))*INDEX(Inputs!$K$5:$AJ$130,0,MATCH(O$2,Inputs!$K$4:$AJ$4,0)))))</f>
        <v>1235</v>
      </c>
      <c r="P23" s="6">
        <f>IF(ISNA(MATCH(P$2,Inputs!$K$4:$AJ$4,0)),NA(),IF(SUMPRODUCT((Inputs!$A$5:$A$130=$B23)*ISNUMBER(INDEX(Inputs!$K$5:$AJ$130,0,MATCH(P$2,Inputs!$K$4:$AJ$4,0))))+SUMPRODUCT((Inputs!$C$5:$C$130=$B23)*ISNUMBER(INDEX(Inputs!$K$5:$AJ$130,0,MATCH(P$2,Inputs!$K$4:$AJ$4,0))))+SUMPRODUCT((Inputs!$E$5:$E$130=$B23)*ISNUMBER(INDEX(Inputs!$K$5:$AJ$130,0,MATCH(P$2,Inputs!$K$4:$AJ$4,0))))=0,NA(),SUMPRODUCT((Inputs!$A$5:$A$130=$B23)*Inputs!$B$5:$B$130*(((Inputs!$G$5:$G$130="moeda")+(Inputs!$G$5:$G$130="acoes"))*Inputs!$B$1+((Inputs!$G$5:$G$130&lt;&gt;"moeda")*(Inputs!$G$5:$G$130&lt;&gt;"acoes")))*INDEX(Inputs!$K$5:$AJ$130,0,MATCH(P$2,Inputs!$K$4:$AJ$4,0)))+SUMPRODUCT((Inputs!$C$5:$C$130=$B23)*Inputs!$D$5:$D$130*(((Inputs!$G$5:$G$130="moeda")+(Inputs!$G$5:$G$130="acoes"))*Inputs!$B$1+((Inputs!$G$5:$G$130&lt;&gt;"moeda")*(Inputs!$G$5:$G$130&lt;&gt;"acoes")))*INDEX(Inputs!$K$5:$AJ$130,0,MATCH(P$2,Inputs!$K$4:$AJ$4,0)))+SUMPRODUCT((Inputs!$E$5:$E$130=$B23)*Inputs!$F$5:$F$130*(((Inputs!$G$5:$G$130="moeda")+(Inputs!$G$5:$G$130="acoes"))*Inputs!$B$1+((Inputs!$G$5:$G$130&lt;&gt;"moeda")*(Inputs!$G$5:$G$130&lt;&gt;"acoes")))*INDEX(Inputs!$K$5:$AJ$130,0,MATCH(P$2,Inputs!$K$4:$AJ$4,0)))))</f>
        <v>1316</v>
      </c>
      <c r="Q23" s="6">
        <f>IF(ISNA(MATCH(Q$2,Inputs!$K$4:$AJ$4,0)),NA(),IF(SUMPRODUCT((Inputs!$A$5:$A$130=$B23)*ISNUMBER(INDEX(Inputs!$K$5:$AJ$130,0,MATCH(Q$2,Inputs!$K$4:$AJ$4,0))))+SUMPRODUCT((Inputs!$C$5:$C$130=$B23)*ISNUMBER(INDEX(Inputs!$K$5:$AJ$130,0,MATCH(Q$2,Inputs!$K$4:$AJ$4,0))))+SUMPRODUCT((Inputs!$E$5:$E$130=$B23)*ISNUMBER(INDEX(Inputs!$K$5:$AJ$130,0,MATCH(Q$2,Inputs!$K$4:$AJ$4,0))))=0,NA(),SUMPRODUCT((Inputs!$A$5:$A$130=$B23)*Inputs!$B$5:$B$130*(((Inputs!$G$5:$G$130="moeda")+(Inputs!$G$5:$G$130="acoes"))*Inputs!$B$1+((Inputs!$G$5:$G$130&lt;&gt;"moeda")*(Inputs!$G$5:$G$130&lt;&gt;"acoes")))*INDEX(Inputs!$K$5:$AJ$130,0,MATCH(Q$2,Inputs!$K$4:$AJ$4,0)))+SUMPRODUCT((Inputs!$C$5:$C$130=$B23)*Inputs!$D$5:$D$130*(((Inputs!$G$5:$G$130="moeda")+(Inputs!$G$5:$G$130="acoes"))*Inputs!$B$1+((Inputs!$G$5:$G$130&lt;&gt;"moeda")*(Inputs!$G$5:$G$130&lt;&gt;"acoes")))*INDEX(Inputs!$K$5:$AJ$130,0,MATCH(Q$2,Inputs!$K$4:$AJ$4,0)))+SUMPRODUCT((Inputs!$E$5:$E$130=$B23)*Inputs!$F$5:$F$130*(((Inputs!$G$5:$G$130="moeda")+(Inputs!$G$5:$G$130="acoes"))*Inputs!$B$1+((Inputs!$G$5:$G$130&lt;&gt;"moeda")*(Inputs!$G$5:$G$130&lt;&gt;"acoes")))*INDEX(Inputs!$K$5:$AJ$130,0,MATCH(Q$2,Inputs!$K$4:$AJ$4,0)))))</f>
        <v>1346</v>
      </c>
      <c r="R23" s="3">
        <f>Q23</f>
        <v>1346</v>
      </c>
      <c r="S23" s="6">
        <f>IF(ISNA(MATCH(S$2,Inputs!$K$4:$AJ$4,0)),NA(),IF(SUMPRODUCT((Inputs!$A$5:$A$130=$B23)*ISNUMBER(INDEX(Inputs!$K$5:$AJ$130,0,MATCH(S$2,Inputs!$K$4:$AJ$4,0))))+SUMPRODUCT((Inputs!$C$5:$C$130=$B23)*ISNUMBER(INDEX(Inputs!$K$5:$AJ$130,0,MATCH(S$2,Inputs!$K$4:$AJ$4,0))))+SUMPRODUCT((Inputs!$E$5:$E$130=$B23)*ISNUMBER(INDEX(Inputs!$K$5:$AJ$130,0,MATCH(S$2,Inputs!$K$4:$AJ$4,0))))=0,NA(),SUMPRODUCT((Inputs!$A$5:$A$130=$B23)*Inputs!$B$5:$B$130*(((Inputs!$G$5:$G$130="moeda")+(Inputs!$G$5:$G$130="acoes"))*Inputs!$B$1+((Inputs!$G$5:$G$130&lt;&gt;"moeda")*(Inputs!$G$5:$G$130&lt;&gt;"acoes")))*INDEX(Inputs!$K$5:$AJ$130,0,MATCH(S$2,Inputs!$K$4:$AJ$4,0)))+SUMPRODUCT((Inputs!$C$5:$C$130=$B23)*Inputs!$D$5:$D$130*(((Inputs!$G$5:$G$130="moeda")+(Inputs!$G$5:$G$130="acoes"))*Inputs!$B$1+((Inputs!$G$5:$G$130&lt;&gt;"moeda")*(Inputs!$G$5:$G$130&lt;&gt;"acoes")))*INDEX(Inputs!$K$5:$AJ$130,0,MATCH(S$2,Inputs!$K$4:$AJ$4,0)))+SUMPRODUCT((Inputs!$E$5:$E$130=$B23)*Inputs!$F$5:$F$130*(((Inputs!$G$5:$G$130="moeda")+(Inputs!$G$5:$G$130="acoes"))*Inputs!$B$1+((Inputs!$G$5:$G$130&lt;&gt;"moeda")*(Inputs!$G$5:$G$130&lt;&gt;"acoes")))*INDEX(Inputs!$K$5:$AJ$130,0,MATCH(S$2,Inputs!$K$4:$AJ$4,0)))))</f>
        <v>1532</v>
      </c>
      <c r="T23" s="6">
        <f>IF(ISNA(MATCH(T$2,Inputs!$K$4:$AJ$4,0)),NA(),IF(SUMPRODUCT((Inputs!$A$5:$A$130=$B23)*ISNUMBER(INDEX(Inputs!$K$5:$AJ$130,0,MATCH(T$2,Inputs!$K$4:$AJ$4,0))))+SUMPRODUCT((Inputs!$C$5:$C$130=$B23)*ISNUMBER(INDEX(Inputs!$K$5:$AJ$130,0,MATCH(T$2,Inputs!$K$4:$AJ$4,0))))+SUMPRODUCT((Inputs!$E$5:$E$130=$B23)*ISNUMBER(INDEX(Inputs!$K$5:$AJ$130,0,MATCH(T$2,Inputs!$K$4:$AJ$4,0))))=0,NA(),SUMPRODUCT((Inputs!$A$5:$A$130=$B23)*Inputs!$B$5:$B$130*(((Inputs!$G$5:$G$130="moeda")+(Inputs!$G$5:$G$130="acoes"))*Inputs!$B$1+((Inputs!$G$5:$G$130&lt;&gt;"moeda")*(Inputs!$G$5:$G$130&lt;&gt;"acoes")))*INDEX(Inputs!$K$5:$AJ$130,0,MATCH(T$2,Inputs!$K$4:$AJ$4,0)))+SUMPRODUCT((Inputs!$C$5:$C$130=$B23)*Inputs!$D$5:$D$130*(((Inputs!$G$5:$G$130="moeda")+(Inputs!$G$5:$G$130="acoes"))*Inputs!$B$1+((Inputs!$G$5:$G$130&lt;&gt;"moeda")*(Inputs!$G$5:$G$130&lt;&gt;"acoes")))*INDEX(Inputs!$K$5:$AJ$130,0,MATCH(T$2,Inputs!$K$4:$AJ$4,0)))+SUMPRODUCT((Inputs!$E$5:$E$130=$B23)*Inputs!$F$5:$F$130*(((Inputs!$G$5:$G$130="moeda")+(Inputs!$G$5:$G$130="acoes"))*Inputs!$B$1+((Inputs!$G$5:$G$130&lt;&gt;"moeda")*(Inputs!$G$5:$G$130&lt;&gt;"acoes")))*INDEX(Inputs!$K$5:$AJ$130,0,MATCH(T$2,Inputs!$K$4:$AJ$4,0)))))</f>
        <v>1556</v>
      </c>
      <c r="U23" s="6">
        <f>IF(ISNA(MATCH(U$2,Inputs!$K$4:$AJ$4,0)),NA(),IF(SUMPRODUCT((Inputs!$A$5:$A$130=$B23)*ISNUMBER(INDEX(Inputs!$K$5:$AJ$130,0,MATCH(U$2,Inputs!$K$4:$AJ$4,0))))+SUMPRODUCT((Inputs!$C$5:$C$130=$B23)*ISNUMBER(INDEX(Inputs!$K$5:$AJ$130,0,MATCH(U$2,Inputs!$K$4:$AJ$4,0))))+SUMPRODUCT((Inputs!$E$5:$E$130=$B23)*ISNUMBER(INDEX(Inputs!$K$5:$AJ$130,0,MATCH(U$2,Inputs!$K$4:$AJ$4,0))))=0,NA(),SUMPRODUCT((Inputs!$A$5:$A$130=$B23)*Inputs!$B$5:$B$130*(((Inputs!$G$5:$G$130="moeda")+(Inputs!$G$5:$G$130="acoes"))*Inputs!$B$1+((Inputs!$G$5:$G$130&lt;&gt;"moeda")*(Inputs!$G$5:$G$130&lt;&gt;"acoes")))*INDEX(Inputs!$K$5:$AJ$130,0,MATCH(U$2,Inputs!$K$4:$AJ$4,0)))+SUMPRODUCT((Inputs!$C$5:$C$130=$B23)*Inputs!$D$5:$D$130*(((Inputs!$G$5:$G$130="moeda")+(Inputs!$G$5:$G$130="acoes"))*Inputs!$B$1+((Inputs!$G$5:$G$130&lt;&gt;"moeda")*(Inputs!$G$5:$G$130&lt;&gt;"acoes")))*INDEX(Inputs!$K$5:$AJ$130,0,MATCH(U$2,Inputs!$K$4:$AJ$4,0)))+SUMPRODUCT((Inputs!$E$5:$E$130=$B23)*Inputs!$F$5:$F$130*(((Inputs!$G$5:$G$130="moeda")+(Inputs!$G$5:$G$130="acoes"))*Inputs!$B$1+((Inputs!$G$5:$G$130&lt;&gt;"moeda")*(Inputs!$G$5:$G$130&lt;&gt;"acoes")))*INDEX(Inputs!$K$5:$AJ$130,0,MATCH(U$2,Inputs!$K$4:$AJ$4,0)))))</f>
        <v>1755</v>
      </c>
      <c r="V23" s="6">
        <f>IF(ISNA(MATCH(V$2,Inputs!$K$4:$AJ$4,0)),NA(),IF(SUMPRODUCT((Inputs!$A$5:$A$130=$B23)*ISNUMBER(INDEX(Inputs!$K$5:$AJ$130,0,MATCH(V$2,Inputs!$K$4:$AJ$4,0))))+SUMPRODUCT((Inputs!$C$5:$C$130=$B23)*ISNUMBER(INDEX(Inputs!$K$5:$AJ$130,0,MATCH(V$2,Inputs!$K$4:$AJ$4,0))))+SUMPRODUCT((Inputs!$E$5:$E$130=$B23)*ISNUMBER(INDEX(Inputs!$K$5:$AJ$130,0,MATCH(V$2,Inputs!$K$4:$AJ$4,0))))=0,NA(),SUMPRODUCT((Inputs!$A$5:$A$130=$B23)*Inputs!$B$5:$B$130*(((Inputs!$G$5:$G$130="moeda")+(Inputs!$G$5:$G$130="acoes"))*Inputs!$B$1+((Inputs!$G$5:$G$130&lt;&gt;"moeda")*(Inputs!$G$5:$G$130&lt;&gt;"acoes")))*INDEX(Inputs!$K$5:$AJ$130,0,MATCH(V$2,Inputs!$K$4:$AJ$4,0)))+SUMPRODUCT((Inputs!$C$5:$C$130=$B23)*Inputs!$D$5:$D$130*(((Inputs!$G$5:$G$130="moeda")+(Inputs!$G$5:$G$130="acoes"))*Inputs!$B$1+((Inputs!$G$5:$G$130&lt;&gt;"moeda")*(Inputs!$G$5:$G$130&lt;&gt;"acoes")))*INDEX(Inputs!$K$5:$AJ$130,0,MATCH(V$2,Inputs!$K$4:$AJ$4,0)))+SUMPRODUCT((Inputs!$E$5:$E$130=$B23)*Inputs!$F$5:$F$130*(((Inputs!$G$5:$G$130="moeda")+(Inputs!$G$5:$G$130="acoes"))*Inputs!$B$1+((Inputs!$G$5:$G$130&lt;&gt;"moeda")*(Inputs!$G$5:$G$130&lt;&gt;"acoes")))*INDEX(Inputs!$K$5:$AJ$130,0,MATCH(V$2,Inputs!$K$4:$AJ$4,0)))))</f>
        <v>1793</v>
      </c>
      <c r="W23" s="3">
        <f>V23</f>
        <v>1793</v>
      </c>
      <c r="X23" s="6">
        <f>IF(ISNA(MATCH(X$2,Inputs!$K$4:$AJ$4,0)),NA(),IF(SUMPRODUCT((Inputs!$A$5:$A$130=$B23)*ISNUMBER(INDEX(Inputs!$K$5:$AJ$130,0,MATCH(X$2,Inputs!$K$4:$AJ$4,0))))+SUMPRODUCT((Inputs!$C$5:$C$130=$B23)*ISNUMBER(INDEX(Inputs!$K$5:$AJ$130,0,MATCH(X$2,Inputs!$K$4:$AJ$4,0))))+SUMPRODUCT((Inputs!$E$5:$E$130=$B23)*ISNUMBER(INDEX(Inputs!$K$5:$AJ$130,0,MATCH(X$2,Inputs!$K$4:$AJ$4,0))))=0,NA(),SUMPRODUCT((Inputs!$A$5:$A$130=$B23)*Inputs!$B$5:$B$130*(((Inputs!$G$5:$G$130="moeda")+(Inputs!$G$5:$G$130="acoes"))*Inputs!$B$1+((Inputs!$G$5:$G$130&lt;&gt;"moeda")*(Inputs!$G$5:$G$130&lt;&gt;"acoes")))*INDEX(Inputs!$K$5:$AJ$130,0,MATCH(X$2,Inputs!$K$4:$AJ$4,0)))+SUMPRODUCT((Inputs!$C$5:$C$130=$B23)*Inputs!$D$5:$D$130*(((Inputs!$G$5:$G$130="moeda")+(Inputs!$G$5:$G$130="acoes"))*Inputs!$B$1+((Inputs!$G$5:$G$130&lt;&gt;"moeda")*(Inputs!$G$5:$G$130&lt;&gt;"acoes")))*INDEX(Inputs!$K$5:$AJ$130,0,MATCH(X$2,Inputs!$K$4:$AJ$4,0)))+SUMPRODUCT((Inputs!$E$5:$E$130=$B23)*Inputs!$F$5:$F$130*(((Inputs!$G$5:$G$130="moeda")+(Inputs!$G$5:$G$130="acoes"))*Inputs!$B$1+((Inputs!$G$5:$G$130&lt;&gt;"moeda")*(Inputs!$G$5:$G$130&lt;&gt;"acoes")))*INDEX(Inputs!$K$5:$AJ$130,0,MATCH(X$2,Inputs!$K$4:$AJ$4,0)))))</f>
        <v>1810</v>
      </c>
      <c r="Y23" s="6">
        <f>IF(ISNA(MATCH(Y$2,Inputs!$K$4:$AJ$4,0)),NA(),IF(SUMPRODUCT((Inputs!$A$5:$A$130=$B23)*ISNUMBER(INDEX(Inputs!$K$5:$AJ$130,0,MATCH(Y$2,Inputs!$K$4:$AJ$4,0))))+SUMPRODUCT((Inputs!$C$5:$C$130=$B23)*ISNUMBER(INDEX(Inputs!$K$5:$AJ$130,0,MATCH(Y$2,Inputs!$K$4:$AJ$4,0))))+SUMPRODUCT((Inputs!$E$5:$E$130=$B23)*ISNUMBER(INDEX(Inputs!$K$5:$AJ$130,0,MATCH(Y$2,Inputs!$K$4:$AJ$4,0))))=0,NA(),SUMPRODUCT((Inputs!$A$5:$A$130=$B23)*Inputs!$B$5:$B$130*(((Inputs!$G$5:$G$130="moeda")+(Inputs!$G$5:$G$130="acoes"))*Inputs!$B$1+((Inputs!$G$5:$G$130&lt;&gt;"moeda")*(Inputs!$G$5:$G$130&lt;&gt;"acoes")))*INDEX(Inputs!$K$5:$AJ$130,0,MATCH(Y$2,Inputs!$K$4:$AJ$4,0)))+SUMPRODUCT((Inputs!$C$5:$C$130=$B23)*Inputs!$D$5:$D$130*(((Inputs!$G$5:$G$130="moeda")+(Inputs!$G$5:$G$130="acoes"))*Inputs!$B$1+((Inputs!$G$5:$G$130&lt;&gt;"moeda")*(Inputs!$G$5:$G$130&lt;&gt;"acoes")))*INDEX(Inputs!$K$5:$AJ$130,0,MATCH(Y$2,Inputs!$K$4:$AJ$4,0)))+SUMPRODUCT((Inputs!$E$5:$E$130=$B23)*Inputs!$F$5:$F$130*(((Inputs!$G$5:$G$130="moeda")+(Inputs!$G$5:$G$130="acoes"))*Inputs!$B$1+((Inputs!$G$5:$G$130&lt;&gt;"moeda")*(Inputs!$G$5:$G$130&lt;&gt;"acoes")))*INDEX(Inputs!$K$5:$AJ$130,0,MATCH(Y$2,Inputs!$K$4:$AJ$4,0)))))</f>
        <v>2084</v>
      </c>
      <c r="Z23" s="6">
        <f>IF(ISNA(MATCH(Z$2,Inputs!$K$4:$AJ$4,0)),NA(),IF(SUMPRODUCT((Inputs!$A$5:$A$130=$B23)*ISNUMBER(INDEX(Inputs!$K$5:$AJ$130,0,MATCH(Z$2,Inputs!$K$4:$AJ$4,0))))+SUMPRODUCT((Inputs!$C$5:$C$130=$B23)*ISNUMBER(INDEX(Inputs!$K$5:$AJ$130,0,MATCH(Z$2,Inputs!$K$4:$AJ$4,0))))+SUMPRODUCT((Inputs!$E$5:$E$130=$B23)*ISNUMBER(INDEX(Inputs!$K$5:$AJ$130,0,MATCH(Z$2,Inputs!$K$4:$AJ$4,0))))=0,NA(),SUMPRODUCT((Inputs!$A$5:$A$130=$B23)*Inputs!$B$5:$B$130*(((Inputs!$G$5:$G$130="moeda")+(Inputs!$G$5:$G$130="acoes"))*Inputs!$B$1+((Inputs!$G$5:$G$130&lt;&gt;"moeda")*(Inputs!$G$5:$G$130&lt;&gt;"acoes")))*INDEX(Inputs!$K$5:$AJ$130,0,MATCH(Z$2,Inputs!$K$4:$AJ$4,0)))+SUMPRODUCT((Inputs!$C$5:$C$130=$B23)*Inputs!$D$5:$D$130*(((Inputs!$G$5:$G$130="moeda")+(Inputs!$G$5:$G$130="acoes"))*Inputs!$B$1+((Inputs!$G$5:$G$130&lt;&gt;"moeda")*(Inputs!$G$5:$G$130&lt;&gt;"acoes")))*INDEX(Inputs!$K$5:$AJ$130,0,MATCH(Z$2,Inputs!$K$4:$AJ$4,0)))+SUMPRODUCT((Inputs!$E$5:$E$130=$B23)*Inputs!$F$5:$F$130*(((Inputs!$G$5:$G$130="moeda")+(Inputs!$G$5:$G$130="acoes"))*Inputs!$B$1+((Inputs!$G$5:$G$130&lt;&gt;"moeda")*(Inputs!$G$5:$G$130&lt;&gt;"acoes")))*INDEX(Inputs!$K$5:$AJ$130,0,MATCH(Z$2,Inputs!$K$4:$AJ$4,0)))))</f>
        <v>2281</v>
      </c>
      <c r="AA23" s="6">
        <f>IF(ISNA(MATCH(AA$2,Inputs!$K$4:$AJ$4,0)),NA(),IF(SUMPRODUCT((Inputs!$A$5:$A$130=$B23)*ISNUMBER(INDEX(Inputs!$K$5:$AJ$130,0,MATCH(AA$2,Inputs!$K$4:$AJ$4,0))))+SUMPRODUCT((Inputs!$C$5:$C$130=$B23)*ISNUMBER(INDEX(Inputs!$K$5:$AJ$130,0,MATCH(AA$2,Inputs!$K$4:$AJ$4,0))))+SUMPRODUCT((Inputs!$E$5:$E$130=$B23)*ISNUMBER(INDEX(Inputs!$K$5:$AJ$130,0,MATCH(AA$2,Inputs!$K$4:$AJ$4,0))))=0,NA(),SUMPRODUCT((Inputs!$A$5:$A$130=$B23)*Inputs!$B$5:$B$130*(((Inputs!$G$5:$G$130="moeda")+(Inputs!$G$5:$G$130="acoes"))*Inputs!$B$1+((Inputs!$G$5:$G$130&lt;&gt;"moeda")*(Inputs!$G$5:$G$130&lt;&gt;"acoes")))*INDEX(Inputs!$K$5:$AJ$130,0,MATCH(AA$2,Inputs!$K$4:$AJ$4,0)))+SUMPRODUCT((Inputs!$C$5:$C$130=$B23)*Inputs!$D$5:$D$130*(((Inputs!$G$5:$G$130="moeda")+(Inputs!$G$5:$G$130="acoes"))*Inputs!$B$1+((Inputs!$G$5:$G$130&lt;&gt;"moeda")*(Inputs!$G$5:$G$130&lt;&gt;"acoes")))*INDEX(Inputs!$K$5:$AJ$130,0,MATCH(AA$2,Inputs!$K$4:$AJ$4,0)))+SUMPRODUCT((Inputs!$E$5:$E$130=$B23)*Inputs!$F$5:$F$130*(((Inputs!$G$5:$G$130="moeda")+(Inputs!$G$5:$G$130="acoes"))*Inputs!$B$1+((Inputs!$G$5:$G$130&lt;&gt;"moeda")*(Inputs!$G$5:$G$130&lt;&gt;"acoes")))*INDEX(Inputs!$K$5:$AJ$130,0,MATCH(AA$2,Inputs!$K$4:$AJ$4,0)))))</f>
        <v>2867</v>
      </c>
      <c r="AB23" s="3">
        <f>AA23</f>
        <v>2867</v>
      </c>
      <c r="AC23" s="6">
        <f>IF(ISNA(MATCH(AC$2,Inputs!$K$4:$AJ$4,0)),NA(),IF(SUMPRODUCT((Inputs!$A$5:$A$130=$B23)*ISNUMBER(INDEX(Inputs!$K$5:$AJ$130,0,MATCH(AC$2,Inputs!$K$4:$AJ$4,0))))+SUMPRODUCT((Inputs!$C$5:$C$130=$B23)*ISNUMBER(INDEX(Inputs!$K$5:$AJ$130,0,MATCH(AC$2,Inputs!$K$4:$AJ$4,0))))+SUMPRODUCT((Inputs!$E$5:$E$130=$B23)*ISNUMBER(INDEX(Inputs!$K$5:$AJ$130,0,MATCH(AC$2,Inputs!$K$4:$AJ$4,0))))=0,NA(),SUMPRODUCT((Inputs!$A$5:$A$130=$B23)*Inputs!$B$5:$B$130*(((Inputs!$G$5:$G$130="moeda")+(Inputs!$G$5:$G$130="acoes"))*Inputs!$B$1+((Inputs!$G$5:$G$130&lt;&gt;"moeda")*(Inputs!$G$5:$G$130&lt;&gt;"acoes")))*INDEX(Inputs!$K$5:$AJ$130,0,MATCH(AC$2,Inputs!$K$4:$AJ$4,0)))+SUMPRODUCT((Inputs!$C$5:$C$130=$B23)*Inputs!$D$5:$D$130*(((Inputs!$G$5:$G$130="moeda")+(Inputs!$G$5:$G$130="acoes"))*Inputs!$B$1+((Inputs!$G$5:$G$130&lt;&gt;"moeda")*(Inputs!$G$5:$G$130&lt;&gt;"acoes")))*INDEX(Inputs!$K$5:$AJ$130,0,MATCH(AC$2,Inputs!$K$4:$AJ$4,0)))+SUMPRODUCT((Inputs!$E$5:$E$130=$B23)*Inputs!$F$5:$F$130*(((Inputs!$G$5:$G$130="moeda")+(Inputs!$G$5:$G$130="acoes"))*Inputs!$B$1+((Inputs!$G$5:$G$130&lt;&gt;"moeda")*(Inputs!$G$5:$G$130&lt;&gt;"acoes")))*INDEX(Inputs!$K$5:$AJ$130,0,MATCH(AC$2,Inputs!$K$4:$AJ$4,0)))))</f>
        <v>4258</v>
      </c>
      <c r="AD23" s="6">
        <f>IF(ISNA(MATCH(AD$2,Inputs!$K$4:$AJ$4,0)),NA(),IF(SUMPRODUCT((Inputs!$A$5:$A$130=$B23)*ISNUMBER(INDEX(Inputs!$K$5:$AJ$130,0,MATCH(AD$2,Inputs!$K$4:$AJ$4,0))))+SUMPRODUCT((Inputs!$C$5:$C$130=$B23)*ISNUMBER(INDEX(Inputs!$K$5:$AJ$130,0,MATCH(AD$2,Inputs!$K$4:$AJ$4,0))))+SUMPRODUCT((Inputs!$E$5:$E$130=$B23)*ISNUMBER(INDEX(Inputs!$K$5:$AJ$130,0,MATCH(AD$2,Inputs!$K$4:$AJ$4,0))))=0,NA(),SUMPRODUCT((Inputs!$A$5:$A$130=$B23)*Inputs!$B$5:$B$130*(((Inputs!$G$5:$G$130="moeda")+(Inputs!$G$5:$G$130="acoes"))*Inputs!$B$1+((Inputs!$G$5:$G$130&lt;&gt;"moeda")*(Inputs!$G$5:$G$130&lt;&gt;"acoes")))*INDEX(Inputs!$K$5:$AJ$130,0,MATCH(AD$2,Inputs!$K$4:$AJ$4,0)))+SUMPRODUCT((Inputs!$C$5:$C$130=$B23)*Inputs!$D$5:$D$130*(((Inputs!$G$5:$G$130="moeda")+(Inputs!$G$5:$G$130="acoes"))*Inputs!$B$1+((Inputs!$G$5:$G$130&lt;&gt;"moeda")*(Inputs!$G$5:$G$130&lt;&gt;"acoes")))*INDEX(Inputs!$K$5:$AJ$130,0,MATCH(AD$2,Inputs!$K$4:$AJ$4,0)))+SUMPRODUCT((Inputs!$E$5:$E$130=$B23)*Inputs!$F$5:$F$130*(((Inputs!$G$5:$G$130="moeda")+(Inputs!$G$5:$G$130="acoes"))*Inputs!$B$1+((Inputs!$G$5:$G$130&lt;&gt;"moeda")*(Inputs!$G$5:$G$130&lt;&gt;"acoes")))*INDEX(Inputs!$K$5:$AJ$130,0,MATCH(AD$2,Inputs!$K$4:$AJ$4,0)))))</f>
        <v>5390</v>
      </c>
      <c r="AE23" s="6" t="e">
        <f>IF(ISNA(MATCH(AE$2,Inputs!$K$4:$AJ$4,0)),NA(),IF(SUMPRODUCT((Inputs!$A$5:$A$130=$B23)*ISNUMBER(INDEX(Inputs!$K$5:$AJ$130,0,MATCH(AE$2,Inputs!$K$4:$AJ$4,0))))+SUMPRODUCT((Inputs!$C$5:$C$130=$B23)*ISNUMBER(INDEX(Inputs!$K$5:$AJ$130,0,MATCH(AE$2,Inputs!$K$4:$AJ$4,0))))+SUMPRODUCT((Inputs!$E$5:$E$130=$B23)*ISNUMBER(INDEX(Inputs!$K$5:$AJ$130,0,MATCH(AE$2,Inputs!$K$4:$AJ$4,0))))=0,NA(),SUMPRODUCT((Inputs!$A$5:$A$130=$B23)*Inputs!$B$5:$B$130*(((Inputs!$G$5:$G$130="moeda")+(Inputs!$G$5:$G$130="acoes"))*Inputs!$B$1+((Inputs!$G$5:$G$130&lt;&gt;"moeda")*(Inputs!$G$5:$G$130&lt;&gt;"acoes")))*INDEX(Inputs!$K$5:$AJ$130,0,MATCH(AE$2,Inputs!$K$4:$AJ$4,0)))+SUMPRODUCT((Inputs!$C$5:$C$130=$B23)*Inputs!$D$5:$D$130*(((Inputs!$G$5:$G$130="moeda")+(Inputs!$G$5:$G$130="acoes"))*Inputs!$B$1+((Inputs!$G$5:$G$130&lt;&gt;"moeda")*(Inputs!$G$5:$G$130&lt;&gt;"acoes")))*INDEX(Inputs!$K$5:$AJ$130,0,MATCH(AE$2,Inputs!$K$4:$AJ$4,0)))+SUMPRODUCT((Inputs!$E$5:$E$130=$B23)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3" s="6" t="e">
        <f>IF(ISNA(MATCH(AF$2,Inputs!$K$4:$AJ$4,0)),NA(),IF(SUMPRODUCT((Inputs!$A$5:$A$130=$B23)*ISNUMBER(INDEX(Inputs!$K$5:$AJ$130,0,MATCH(AF$2,Inputs!$K$4:$AJ$4,0))))+SUMPRODUCT((Inputs!$C$5:$C$130=$B23)*ISNUMBER(INDEX(Inputs!$K$5:$AJ$130,0,MATCH(AF$2,Inputs!$K$4:$AJ$4,0))))+SUMPRODUCT((Inputs!$E$5:$E$130=$B23)*ISNUMBER(INDEX(Inputs!$K$5:$AJ$130,0,MATCH(AF$2,Inputs!$K$4:$AJ$4,0))))=0,NA(),SUMPRODUCT((Inputs!$A$5:$A$130=$B23)*Inputs!$B$5:$B$130*(((Inputs!$G$5:$G$130="moeda")+(Inputs!$G$5:$G$130="acoes"))*Inputs!$B$1+((Inputs!$G$5:$G$130&lt;&gt;"moeda")*(Inputs!$G$5:$G$130&lt;&gt;"acoes")))*INDEX(Inputs!$K$5:$AJ$130,0,MATCH(AF$2,Inputs!$K$4:$AJ$4,0)))+SUMPRODUCT((Inputs!$C$5:$C$130=$B23)*Inputs!$D$5:$D$130*(((Inputs!$G$5:$G$130="moeda")+(Inputs!$G$5:$G$130="acoes"))*Inputs!$B$1+((Inputs!$G$5:$G$130&lt;&gt;"moeda")*(Inputs!$G$5:$G$130&lt;&gt;"acoes")))*INDEX(Inputs!$K$5:$AJ$130,0,MATCH(AF$2,Inputs!$K$4:$AJ$4,0)))+SUMPRODUCT((Inputs!$E$5:$E$130=$B23)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3" s="3" t="e">
        <f>AF23</f>
        <v>#N/A</v>
      </c>
      <c r="AH23" s="6">
        <f>IF(ISNA(MATCH(AH$2,Inputs!$K$4:$AJ$4,0)),NA(),IF(SUMPRODUCT((Inputs!$A$5:$A$130=$B23)*ISNUMBER(INDEX(Inputs!$K$5:$AJ$130,0,MATCH(AH$2,Inputs!$K$4:$AJ$4,0))))+SUMPRODUCT((Inputs!$C$5:$C$130=$B23)*ISNUMBER(INDEX(Inputs!$K$5:$AJ$130,0,MATCH(AH$2,Inputs!$K$4:$AJ$4,0))))+SUMPRODUCT((Inputs!$E$5:$E$130=$B23)*ISNUMBER(INDEX(Inputs!$K$5:$AJ$130,0,MATCH(AH$2,Inputs!$K$4:$AJ$4,0))))=0,NA(),SUMPRODUCT((Inputs!$A$5:$A$130=$B23)*Inputs!$B$5:$B$130*(((Inputs!$G$5:$G$130="moeda")+(Inputs!$G$5:$G$130="acoes"))*Inputs!$B$1+((Inputs!$G$5:$G$130&lt;&gt;"moeda")*(Inputs!$G$5:$G$130&lt;&gt;"acoes")))*INDEX(Inputs!$K$5:$AJ$130,0,MATCH(AH$2,Inputs!$K$4:$AJ$4,0)))+SUMPRODUCT((Inputs!$C$5:$C$130=$B23)*Inputs!$D$5:$D$130*(((Inputs!$G$5:$G$130="moeda")+(Inputs!$G$5:$G$130="acoes"))*Inputs!$B$1+((Inputs!$G$5:$G$130&lt;&gt;"moeda")*(Inputs!$G$5:$G$130&lt;&gt;"acoes")))*INDEX(Inputs!$K$5:$AJ$130,0,MATCH(AH$2,Inputs!$K$4:$AJ$4,0)))+SUMPRODUCT((Inputs!$E$5:$E$130=$B23)*Inputs!$F$5:$F$130*(((Inputs!$G$5:$G$130="moeda")+(Inputs!$G$5:$G$130="acoes"))*Inputs!$B$1+((Inputs!$G$5:$G$130&lt;&gt;"moeda")*(Inputs!$G$5:$G$130&lt;&gt;"acoes")))*INDEX(Inputs!$K$5:$AJ$130,0,MATCH(AH$2,Inputs!$K$4:$AJ$4,0)))))</f>
        <v>595</v>
      </c>
      <c r="AI23" s="6">
        <f>IF(ISNA(MATCH(AI$2,Inputs!$K$4:$AJ$4,0)),NA(),IF(SUMPRODUCT((Inputs!$A$5:$A$130=$B23)*ISNUMBER(INDEX(Inputs!$K$5:$AJ$130,0,MATCH(AI$2,Inputs!$K$4:$AJ$4,0))))+SUMPRODUCT((Inputs!$C$5:$C$130=$B23)*ISNUMBER(INDEX(Inputs!$K$5:$AJ$130,0,MATCH(AI$2,Inputs!$K$4:$AJ$4,0))))+SUMPRODUCT((Inputs!$E$5:$E$130=$B23)*ISNUMBER(INDEX(Inputs!$K$5:$AJ$130,0,MATCH(AI$2,Inputs!$K$4:$AJ$4,0))))=0,NA(),SUMPRODUCT((Inputs!$A$5:$A$130=$B23)*Inputs!$B$5:$B$130*(((Inputs!$G$5:$G$130="moeda")+(Inputs!$G$5:$G$130="acoes"))*Inputs!$B$1+((Inputs!$G$5:$G$130&lt;&gt;"moeda")*(Inputs!$G$5:$G$130&lt;&gt;"acoes")))*INDEX(Inputs!$K$5:$AJ$130,0,MATCH(AI$2,Inputs!$K$4:$AJ$4,0)))+SUMPRODUCT((Inputs!$C$5:$C$130=$B23)*Inputs!$D$5:$D$130*(((Inputs!$G$5:$G$130="moeda")+(Inputs!$G$5:$G$130="acoes"))*Inputs!$B$1+((Inputs!$G$5:$G$130&lt;&gt;"moeda")*(Inputs!$G$5:$G$130&lt;&gt;"acoes")))*INDEX(Inputs!$K$5:$AJ$130,0,MATCH(AI$2,Inputs!$K$4:$AJ$4,0)))+SUMPRODUCT((Inputs!$E$5:$E$130=$B23)*Inputs!$F$5:$F$130*(((Inputs!$G$5:$G$130="moeda")+(Inputs!$G$5:$G$130="acoes"))*Inputs!$B$1+((Inputs!$G$5:$G$130&lt;&gt;"moeda")*(Inputs!$G$5:$G$130&lt;&gt;"acoes")))*INDEX(Inputs!$K$5:$AJ$130,0,MATCH(AI$2,Inputs!$K$4:$AJ$4,0)))))</f>
        <v>701</v>
      </c>
      <c r="AJ23" s="6">
        <f>IF(ISNA(MATCH(AJ$2,Inputs!$K$4:$AJ$4,0)),NA(),IF(SUMPRODUCT((Inputs!$A$5:$A$130=$B23)*ISNUMBER(INDEX(Inputs!$K$5:$AJ$130,0,MATCH(AJ$2,Inputs!$K$4:$AJ$4,0))))+SUMPRODUCT((Inputs!$C$5:$C$130=$B23)*ISNUMBER(INDEX(Inputs!$K$5:$AJ$130,0,MATCH(AJ$2,Inputs!$K$4:$AJ$4,0))))+SUMPRODUCT((Inputs!$E$5:$E$130=$B23)*ISNUMBER(INDEX(Inputs!$K$5:$AJ$130,0,MATCH(AJ$2,Inputs!$K$4:$AJ$4,0))))=0,NA(),SUMPRODUCT((Inputs!$A$5:$A$130=$B23)*Inputs!$B$5:$B$130*(((Inputs!$G$5:$G$130="moeda")+(Inputs!$G$5:$G$130="acoes"))*Inputs!$B$1+((Inputs!$G$5:$G$130&lt;&gt;"moeda")*(Inputs!$G$5:$G$130&lt;&gt;"acoes")))*INDEX(Inputs!$K$5:$AJ$130,0,MATCH(AJ$2,Inputs!$K$4:$AJ$4,0)))+SUMPRODUCT((Inputs!$C$5:$C$130=$B23)*Inputs!$D$5:$D$130*(((Inputs!$G$5:$G$130="moeda")+(Inputs!$G$5:$G$130="acoes"))*Inputs!$B$1+((Inputs!$G$5:$G$130&lt;&gt;"moeda")*(Inputs!$G$5:$G$130&lt;&gt;"acoes")))*INDEX(Inputs!$K$5:$AJ$130,0,MATCH(AJ$2,Inputs!$K$4:$AJ$4,0)))+SUMPRODUCT((Inputs!$E$5:$E$130=$B23)*Inputs!$F$5:$F$130*(((Inputs!$G$5:$G$130="moeda")+(Inputs!$G$5:$G$130="acoes"))*Inputs!$B$1+((Inputs!$G$5:$G$130&lt;&gt;"moeda")*(Inputs!$G$5:$G$130&lt;&gt;"acoes")))*INDEX(Inputs!$K$5:$AJ$130,0,MATCH(AJ$2,Inputs!$K$4:$AJ$4,0)))))</f>
        <v>681</v>
      </c>
      <c r="AK23" s="6">
        <f>IF(ISNA(MATCH(AK$2,Inputs!$K$4:$AJ$4,0)),NA(),IF(SUMPRODUCT((Inputs!$A$5:$A$130=$B23)*ISNUMBER(INDEX(Inputs!$K$5:$AJ$130,0,MATCH(AK$2,Inputs!$K$4:$AJ$4,0))))+SUMPRODUCT((Inputs!$C$5:$C$130=$B23)*ISNUMBER(INDEX(Inputs!$K$5:$AJ$130,0,MATCH(AK$2,Inputs!$K$4:$AJ$4,0))))+SUMPRODUCT((Inputs!$E$5:$E$130=$B23)*ISNUMBER(INDEX(Inputs!$K$5:$AJ$130,0,MATCH(AK$2,Inputs!$K$4:$AJ$4,0))))=0,NA(),SUMPRODUCT((Inputs!$A$5:$A$130=$B23)*Inputs!$B$5:$B$130*(((Inputs!$G$5:$G$130="moeda")+(Inputs!$G$5:$G$130="acoes"))*Inputs!$B$1+((Inputs!$G$5:$G$130&lt;&gt;"moeda")*(Inputs!$G$5:$G$130&lt;&gt;"acoes")))*INDEX(Inputs!$K$5:$AJ$130,0,MATCH(AK$2,Inputs!$K$4:$AJ$4,0)))+SUMPRODUCT((Inputs!$C$5:$C$130=$B23)*Inputs!$D$5:$D$130*(((Inputs!$G$5:$G$130="moeda")+(Inputs!$G$5:$G$130="acoes"))*Inputs!$B$1+((Inputs!$G$5:$G$130&lt;&gt;"moeda")*(Inputs!$G$5:$G$130&lt;&gt;"acoes")))*INDEX(Inputs!$K$5:$AJ$130,0,MATCH(AK$2,Inputs!$K$4:$AJ$4,0)))+SUMPRODUCT((Inputs!$E$5:$E$130=$B23)*Inputs!$F$5:$F$130*(((Inputs!$G$5:$G$130="moeda")+(Inputs!$G$5:$G$130="acoes"))*Inputs!$B$1+((Inputs!$G$5:$G$130&lt;&gt;"moeda")*(Inputs!$G$5:$G$130&lt;&gt;"acoes")))*INDEX(Inputs!$K$5:$AJ$130,0,MATCH(AK$2,Inputs!$K$4:$AJ$4,0)))))</f>
        <v>707</v>
      </c>
      <c r="AL23" s="3">
        <f>AK23</f>
        <v>707</v>
      </c>
    </row>
    <row r="24">
      <c r="B24" s="46" t="n">
        <v>20</v>
      </c>
      <c r="C24" s="26" t="inlineStr">
        <is>
          <t>Goodwill</t>
        </is>
      </c>
      <c r="D24" s="6">
        <f>IF(ISNA(MATCH(D$2,Inputs!$K$4:$AJ$4,0)),NA(),IF(SUMPRODUCT((Inputs!$A$5:$A$130=$B24)*ISNUMBER(INDEX(Inputs!$K$5:$AJ$130,0,MATCH(D$2,Inputs!$K$4:$AJ$4,0))))+SUMPRODUCT((Inputs!$C$5:$C$130=$B24)*ISNUMBER(INDEX(Inputs!$K$5:$AJ$130,0,MATCH(D$2,Inputs!$K$4:$AJ$4,0))))+SUMPRODUCT((Inputs!$E$5:$E$130=$B24)*ISNUMBER(INDEX(Inputs!$K$5:$AJ$130,0,MATCH(D$2,Inputs!$K$4:$AJ$4,0))))=0,NA(),SUMPRODUCT((Inputs!$A$5:$A$130=$B24)*Inputs!$B$5:$B$130*(((Inputs!$G$5:$G$130="moeda")+(Inputs!$G$5:$G$130="acoes"))*Inputs!$B$1+((Inputs!$G$5:$G$130&lt;&gt;"moeda")*(Inputs!$G$5:$G$130&lt;&gt;"acoes")))*INDEX(Inputs!$K$5:$AJ$130,0,MATCH(D$2,Inputs!$K$4:$AJ$4,0)))+SUMPRODUCT((Inputs!$C$5:$C$130=$B24)*Inputs!$D$5:$D$130*(((Inputs!$G$5:$G$130="moeda")+(Inputs!$G$5:$G$130="acoes"))*Inputs!$B$1+((Inputs!$G$5:$G$130&lt;&gt;"moeda")*(Inputs!$G$5:$G$130&lt;&gt;"acoes")))*INDEX(Inputs!$K$5:$AJ$130,0,MATCH(D$2,Inputs!$K$4:$AJ$4,0)))+SUMPRODUCT((Inputs!$E$5:$E$130=$B24)*Inputs!$F$5:$F$130*(((Inputs!$G$5:$G$130="moeda")+(Inputs!$G$5:$G$130="acoes"))*Inputs!$B$1+((Inputs!$G$5:$G$130&lt;&gt;"moeda")*(Inputs!$G$5:$G$130&lt;&gt;"acoes")))*INDEX(Inputs!$K$5:$AJ$130,0,MATCH(D$2,Inputs!$K$4:$AJ$4,0)))))</f>
        <v>4193</v>
      </c>
      <c r="E24" s="6">
        <f>IF(ISNA(MATCH(E$2,Inputs!$K$4:$AJ$4,0)),NA(),IF(SUMPRODUCT((Inputs!$A$5:$A$130=$B24)*ISNUMBER(INDEX(Inputs!$K$5:$AJ$130,0,MATCH(E$2,Inputs!$K$4:$AJ$4,0))))+SUMPRODUCT((Inputs!$C$5:$C$130=$B24)*ISNUMBER(INDEX(Inputs!$K$5:$AJ$130,0,MATCH(E$2,Inputs!$K$4:$AJ$4,0))))+SUMPRODUCT((Inputs!$E$5:$E$130=$B24)*ISNUMBER(INDEX(Inputs!$K$5:$AJ$130,0,MATCH(E$2,Inputs!$K$4:$AJ$4,0))))=0,NA(),SUMPRODUCT((Inputs!$A$5:$A$130=$B24)*Inputs!$B$5:$B$130*(((Inputs!$G$5:$G$130="moeda")+(Inputs!$G$5:$G$130="acoes"))*Inputs!$B$1+((Inputs!$G$5:$G$130&lt;&gt;"moeda")*(Inputs!$G$5:$G$130&lt;&gt;"acoes")))*INDEX(Inputs!$K$5:$AJ$130,0,MATCH(E$2,Inputs!$K$4:$AJ$4,0)))+SUMPRODUCT((Inputs!$C$5:$C$130=$B24)*Inputs!$D$5:$D$130*(((Inputs!$G$5:$G$130="moeda")+(Inputs!$G$5:$G$130="acoes"))*Inputs!$B$1+((Inputs!$G$5:$G$130&lt;&gt;"moeda")*(Inputs!$G$5:$G$130&lt;&gt;"acoes")))*INDEX(Inputs!$K$5:$AJ$130,0,MATCH(E$2,Inputs!$K$4:$AJ$4,0)))+SUMPRODUCT((Inputs!$E$5:$E$130=$B24)*Inputs!$F$5:$F$130*(((Inputs!$G$5:$G$130="moeda")+(Inputs!$G$5:$G$130="acoes"))*Inputs!$B$1+((Inputs!$G$5:$G$130&lt;&gt;"moeda")*(Inputs!$G$5:$G$130&lt;&gt;"acoes")))*INDEX(Inputs!$K$5:$AJ$130,0,MATCH(E$2,Inputs!$K$4:$AJ$4,0)))))</f>
        <v>4193</v>
      </c>
      <c r="F24" s="6">
        <f>IF(ISNA(MATCH(F$2,Inputs!$K$4:$AJ$4,0)),NA(),IF(SUMPRODUCT((Inputs!$A$5:$A$130=$B24)*ISNUMBER(INDEX(Inputs!$K$5:$AJ$130,0,MATCH(F$2,Inputs!$K$4:$AJ$4,0))))+SUMPRODUCT((Inputs!$C$5:$C$130=$B24)*ISNUMBER(INDEX(Inputs!$K$5:$AJ$130,0,MATCH(F$2,Inputs!$K$4:$AJ$4,0))))+SUMPRODUCT((Inputs!$E$5:$E$130=$B24)*ISNUMBER(INDEX(Inputs!$K$5:$AJ$130,0,MATCH(F$2,Inputs!$K$4:$AJ$4,0))))=0,NA(),SUMPRODUCT((Inputs!$A$5:$A$130=$B24)*Inputs!$B$5:$B$130*(((Inputs!$G$5:$G$130="moeda")+(Inputs!$G$5:$G$130="acoes"))*Inputs!$B$1+((Inputs!$G$5:$G$130&lt;&gt;"moeda")*(Inputs!$G$5:$G$130&lt;&gt;"acoes")))*INDEX(Inputs!$K$5:$AJ$130,0,MATCH(F$2,Inputs!$K$4:$AJ$4,0)))+SUMPRODUCT((Inputs!$C$5:$C$130=$B24)*Inputs!$D$5:$D$130*(((Inputs!$G$5:$G$130="moeda")+(Inputs!$G$5:$G$130="acoes"))*Inputs!$B$1+((Inputs!$G$5:$G$130&lt;&gt;"moeda")*(Inputs!$G$5:$G$130&lt;&gt;"acoes")))*INDEX(Inputs!$K$5:$AJ$130,0,MATCH(F$2,Inputs!$K$4:$AJ$4,0)))+SUMPRODUCT((Inputs!$E$5:$E$130=$B24)*Inputs!$F$5:$F$130*(((Inputs!$G$5:$G$130="moeda")+(Inputs!$G$5:$G$130="acoes"))*Inputs!$B$1+((Inputs!$G$5:$G$130&lt;&gt;"moeda")*(Inputs!$G$5:$G$130&lt;&gt;"acoes")))*INDEX(Inputs!$K$5:$AJ$130,0,MATCH(F$2,Inputs!$K$4:$AJ$4,0)))))</f>
        <v>4302</v>
      </c>
      <c r="G24" s="6">
        <f>IF(ISNA(MATCH(G$2,Inputs!$K$4:$AJ$4,0)),NA(),IF(SUMPRODUCT((Inputs!$A$5:$A$130=$B24)*ISNUMBER(INDEX(Inputs!$K$5:$AJ$130,0,MATCH(G$2,Inputs!$K$4:$AJ$4,0))))+SUMPRODUCT((Inputs!$C$5:$C$130=$B24)*ISNUMBER(INDEX(Inputs!$K$5:$AJ$130,0,MATCH(G$2,Inputs!$K$4:$AJ$4,0))))+SUMPRODUCT((Inputs!$E$5:$E$130=$B24)*ISNUMBER(INDEX(Inputs!$K$5:$AJ$130,0,MATCH(G$2,Inputs!$K$4:$AJ$4,0))))=0,NA(),SUMPRODUCT((Inputs!$A$5:$A$130=$B24)*Inputs!$B$5:$B$130*(((Inputs!$G$5:$G$130="moeda")+(Inputs!$G$5:$G$130="acoes"))*Inputs!$B$1+((Inputs!$G$5:$G$130&lt;&gt;"moeda")*(Inputs!$G$5:$G$130&lt;&gt;"acoes")))*INDEX(Inputs!$K$5:$AJ$130,0,MATCH(G$2,Inputs!$K$4:$AJ$4,0)))+SUMPRODUCT((Inputs!$C$5:$C$130=$B24)*Inputs!$D$5:$D$130*(((Inputs!$G$5:$G$130="moeda")+(Inputs!$G$5:$G$130="acoes"))*Inputs!$B$1+((Inputs!$G$5:$G$130&lt;&gt;"moeda")*(Inputs!$G$5:$G$130&lt;&gt;"acoes")))*INDEX(Inputs!$K$5:$AJ$130,0,MATCH(G$2,Inputs!$K$4:$AJ$4,0)))+SUMPRODUCT((Inputs!$E$5:$E$130=$B24)*Inputs!$F$5:$F$130*(((Inputs!$G$5:$G$130="moeda")+(Inputs!$G$5:$G$130="acoes"))*Inputs!$B$1+((Inputs!$G$5:$G$130&lt;&gt;"moeda")*(Inputs!$G$5:$G$130&lt;&gt;"acoes")))*INDEX(Inputs!$K$5:$AJ$130,0,MATCH(G$2,Inputs!$K$4:$AJ$4,0)))))</f>
        <v>4349</v>
      </c>
      <c r="H24" s="3">
        <f>G24</f>
        <v>4349</v>
      </c>
      <c r="I24" s="6">
        <f>IF(ISNA(MATCH(I$2,Inputs!$K$4:$AJ$4,0)),NA(),IF(SUMPRODUCT((Inputs!$A$5:$A$130=$B24)*ISNUMBER(INDEX(Inputs!$K$5:$AJ$130,0,MATCH(I$2,Inputs!$K$4:$AJ$4,0))))+SUMPRODUCT((Inputs!$C$5:$C$130=$B24)*ISNUMBER(INDEX(Inputs!$K$5:$AJ$130,0,MATCH(I$2,Inputs!$K$4:$AJ$4,0))))+SUMPRODUCT((Inputs!$E$5:$E$130=$B24)*ISNUMBER(INDEX(Inputs!$K$5:$AJ$130,0,MATCH(I$2,Inputs!$K$4:$AJ$4,0))))=0,NA(),SUMPRODUCT((Inputs!$A$5:$A$130=$B24)*Inputs!$B$5:$B$130*(((Inputs!$G$5:$G$130="moeda")+(Inputs!$G$5:$G$130="acoes"))*Inputs!$B$1+((Inputs!$G$5:$G$130&lt;&gt;"moeda")*(Inputs!$G$5:$G$130&lt;&gt;"acoes")))*INDEX(Inputs!$K$5:$AJ$130,0,MATCH(I$2,Inputs!$K$4:$AJ$4,0)))+SUMPRODUCT((Inputs!$C$5:$C$130=$B24)*Inputs!$D$5:$D$130*(((Inputs!$G$5:$G$130="moeda")+(Inputs!$G$5:$G$130="acoes"))*Inputs!$B$1+((Inputs!$G$5:$G$130&lt;&gt;"moeda")*(Inputs!$G$5:$G$130&lt;&gt;"acoes")))*INDEX(Inputs!$K$5:$AJ$130,0,MATCH(I$2,Inputs!$K$4:$AJ$4,0)))+SUMPRODUCT((Inputs!$E$5:$E$130=$B24)*Inputs!$F$5:$F$130*(((Inputs!$G$5:$G$130="moeda")+(Inputs!$G$5:$G$130="acoes"))*Inputs!$B$1+((Inputs!$G$5:$G$130&lt;&gt;"moeda")*(Inputs!$G$5:$G$130&lt;&gt;"acoes")))*INDEX(Inputs!$K$5:$AJ$130,0,MATCH(I$2,Inputs!$K$4:$AJ$4,0)))))</f>
        <v>4365</v>
      </c>
      <c r="J24" s="6">
        <f>IF(ISNA(MATCH(J$2,Inputs!$K$4:$AJ$4,0)),NA(),IF(SUMPRODUCT((Inputs!$A$5:$A$130=$B24)*ISNUMBER(INDEX(Inputs!$K$5:$AJ$130,0,MATCH(J$2,Inputs!$K$4:$AJ$4,0))))+SUMPRODUCT((Inputs!$C$5:$C$130=$B24)*ISNUMBER(INDEX(Inputs!$K$5:$AJ$130,0,MATCH(J$2,Inputs!$K$4:$AJ$4,0))))+SUMPRODUCT((Inputs!$E$5:$E$130=$B24)*ISNUMBER(INDEX(Inputs!$K$5:$AJ$130,0,MATCH(J$2,Inputs!$K$4:$AJ$4,0))))=0,NA(),SUMPRODUCT((Inputs!$A$5:$A$130=$B24)*Inputs!$B$5:$B$130*(((Inputs!$G$5:$G$130="moeda")+(Inputs!$G$5:$G$130="acoes"))*Inputs!$B$1+((Inputs!$G$5:$G$130&lt;&gt;"moeda")*(Inputs!$G$5:$G$130&lt;&gt;"acoes")))*INDEX(Inputs!$K$5:$AJ$130,0,MATCH(J$2,Inputs!$K$4:$AJ$4,0)))+SUMPRODUCT((Inputs!$C$5:$C$130=$B24)*Inputs!$D$5:$D$130*(((Inputs!$G$5:$G$130="moeda")+(Inputs!$G$5:$G$130="acoes"))*Inputs!$B$1+((Inputs!$G$5:$G$130&lt;&gt;"moeda")*(Inputs!$G$5:$G$130&lt;&gt;"acoes")))*INDEX(Inputs!$K$5:$AJ$130,0,MATCH(J$2,Inputs!$K$4:$AJ$4,0)))+SUMPRODUCT((Inputs!$E$5:$E$130=$B24)*Inputs!$F$5:$F$130*(((Inputs!$G$5:$G$130="moeda")+(Inputs!$G$5:$G$130="acoes"))*Inputs!$B$1+((Inputs!$G$5:$G$130&lt;&gt;"moeda")*(Inputs!$G$5:$G$130&lt;&gt;"acoes")))*INDEX(Inputs!$K$5:$AJ$130,0,MATCH(J$2,Inputs!$K$4:$AJ$4,0)))))</f>
        <v>4372</v>
      </c>
      <c r="K24" s="6">
        <f>IF(ISNA(MATCH(K$2,Inputs!$K$4:$AJ$4,0)),NA(),IF(SUMPRODUCT((Inputs!$A$5:$A$130=$B24)*ISNUMBER(INDEX(Inputs!$K$5:$AJ$130,0,MATCH(K$2,Inputs!$K$4:$AJ$4,0))))+SUMPRODUCT((Inputs!$C$5:$C$130=$B24)*ISNUMBER(INDEX(Inputs!$K$5:$AJ$130,0,MATCH(K$2,Inputs!$K$4:$AJ$4,0))))+SUMPRODUCT((Inputs!$E$5:$E$130=$B24)*ISNUMBER(INDEX(Inputs!$K$5:$AJ$130,0,MATCH(K$2,Inputs!$K$4:$AJ$4,0))))=0,NA(),SUMPRODUCT((Inputs!$A$5:$A$130=$B24)*Inputs!$B$5:$B$130*(((Inputs!$G$5:$G$130="moeda")+(Inputs!$G$5:$G$130="acoes"))*Inputs!$B$1+((Inputs!$G$5:$G$130&lt;&gt;"moeda")*(Inputs!$G$5:$G$130&lt;&gt;"acoes")))*INDEX(Inputs!$K$5:$AJ$130,0,MATCH(K$2,Inputs!$K$4:$AJ$4,0)))+SUMPRODUCT((Inputs!$C$5:$C$130=$B24)*Inputs!$D$5:$D$130*(((Inputs!$G$5:$G$130="moeda")+(Inputs!$G$5:$G$130="acoes"))*Inputs!$B$1+((Inputs!$G$5:$G$130&lt;&gt;"moeda")*(Inputs!$G$5:$G$130&lt;&gt;"acoes")))*INDEX(Inputs!$K$5:$AJ$130,0,MATCH(K$2,Inputs!$K$4:$AJ$4,0)))+SUMPRODUCT((Inputs!$E$5:$E$130=$B24)*Inputs!$F$5:$F$130*(((Inputs!$G$5:$G$130="moeda")+(Inputs!$G$5:$G$130="acoes"))*Inputs!$B$1+((Inputs!$G$5:$G$130&lt;&gt;"moeda")*(Inputs!$G$5:$G$130&lt;&gt;"acoes")))*INDEX(Inputs!$K$5:$AJ$130,0,MATCH(K$2,Inputs!$K$4:$AJ$4,0)))))</f>
        <v>4372</v>
      </c>
      <c r="L24" s="6">
        <f>IF(ISNA(MATCH(L$2,Inputs!$K$4:$AJ$4,0)),NA(),IF(SUMPRODUCT((Inputs!$A$5:$A$130=$B24)*ISNUMBER(INDEX(Inputs!$K$5:$AJ$130,0,MATCH(L$2,Inputs!$K$4:$AJ$4,0))))+SUMPRODUCT((Inputs!$C$5:$C$130=$B24)*ISNUMBER(INDEX(Inputs!$K$5:$AJ$130,0,MATCH(L$2,Inputs!$K$4:$AJ$4,0))))+SUMPRODUCT((Inputs!$E$5:$E$130=$B24)*ISNUMBER(INDEX(Inputs!$K$5:$AJ$130,0,MATCH(L$2,Inputs!$K$4:$AJ$4,0))))=0,NA(),SUMPRODUCT((Inputs!$A$5:$A$130=$B24)*Inputs!$B$5:$B$130*(((Inputs!$G$5:$G$130="moeda")+(Inputs!$G$5:$G$130="acoes"))*Inputs!$B$1+((Inputs!$G$5:$G$130&lt;&gt;"moeda")*(Inputs!$G$5:$G$130&lt;&gt;"acoes")))*INDEX(Inputs!$K$5:$AJ$130,0,MATCH(L$2,Inputs!$K$4:$AJ$4,0)))+SUMPRODUCT((Inputs!$C$5:$C$130=$B24)*Inputs!$D$5:$D$130*(((Inputs!$G$5:$G$130="moeda")+(Inputs!$G$5:$G$130="acoes"))*Inputs!$B$1+((Inputs!$G$5:$G$130&lt;&gt;"moeda")*(Inputs!$G$5:$G$130&lt;&gt;"acoes")))*INDEX(Inputs!$K$5:$AJ$130,0,MATCH(L$2,Inputs!$K$4:$AJ$4,0)))+SUMPRODUCT((Inputs!$E$5:$E$130=$B24)*Inputs!$F$5:$F$130*(((Inputs!$G$5:$G$130="moeda")+(Inputs!$G$5:$G$130="acoes"))*Inputs!$B$1+((Inputs!$G$5:$G$130&lt;&gt;"moeda")*(Inputs!$G$5:$G$130&lt;&gt;"acoes")))*INDEX(Inputs!$K$5:$AJ$130,0,MATCH(L$2,Inputs!$K$4:$AJ$4,0)))))</f>
        <v>4372</v>
      </c>
      <c r="M24" s="3">
        <f>L24</f>
        <v>4372</v>
      </c>
      <c r="N24" s="6">
        <f>IF(ISNA(MATCH(N$2,Inputs!$K$4:$AJ$4,0)),NA(),IF(SUMPRODUCT((Inputs!$A$5:$A$130=$B24)*ISNUMBER(INDEX(Inputs!$K$5:$AJ$130,0,MATCH(N$2,Inputs!$K$4:$AJ$4,0))))+SUMPRODUCT((Inputs!$C$5:$C$130=$B24)*ISNUMBER(INDEX(Inputs!$K$5:$AJ$130,0,MATCH(N$2,Inputs!$K$4:$AJ$4,0))))+SUMPRODUCT((Inputs!$E$5:$E$130=$B24)*ISNUMBER(INDEX(Inputs!$K$5:$AJ$130,0,MATCH(N$2,Inputs!$K$4:$AJ$4,0))))=0,NA(),SUMPRODUCT((Inputs!$A$5:$A$130=$B24)*Inputs!$B$5:$B$130*(((Inputs!$G$5:$G$130="moeda")+(Inputs!$G$5:$G$130="acoes"))*Inputs!$B$1+((Inputs!$G$5:$G$130&lt;&gt;"moeda")*(Inputs!$G$5:$G$130&lt;&gt;"acoes")))*INDEX(Inputs!$K$5:$AJ$130,0,MATCH(N$2,Inputs!$K$4:$AJ$4,0)))+SUMPRODUCT((Inputs!$C$5:$C$130=$B24)*Inputs!$D$5:$D$130*(((Inputs!$G$5:$G$130="moeda")+(Inputs!$G$5:$G$130="acoes"))*Inputs!$B$1+((Inputs!$G$5:$G$130&lt;&gt;"moeda")*(Inputs!$G$5:$G$130&lt;&gt;"acoes")))*INDEX(Inputs!$K$5:$AJ$130,0,MATCH(N$2,Inputs!$K$4:$AJ$4,0)))+SUMPRODUCT((Inputs!$E$5:$E$130=$B24)*Inputs!$F$5:$F$130*(((Inputs!$G$5:$G$130="moeda")+(Inputs!$G$5:$G$130="acoes"))*Inputs!$B$1+((Inputs!$G$5:$G$130&lt;&gt;"moeda")*(Inputs!$G$5:$G$130&lt;&gt;"acoes")))*INDEX(Inputs!$K$5:$AJ$130,0,MATCH(N$2,Inputs!$K$4:$AJ$4,0)))))</f>
        <v>4430</v>
      </c>
      <c r="O24" s="6">
        <f>IF(ISNA(MATCH(O$2,Inputs!$K$4:$AJ$4,0)),NA(),IF(SUMPRODUCT((Inputs!$A$5:$A$130=$B24)*ISNUMBER(INDEX(Inputs!$K$5:$AJ$130,0,MATCH(O$2,Inputs!$K$4:$AJ$4,0))))+SUMPRODUCT((Inputs!$C$5:$C$130=$B24)*ISNUMBER(INDEX(Inputs!$K$5:$AJ$130,0,MATCH(O$2,Inputs!$K$4:$AJ$4,0))))+SUMPRODUCT((Inputs!$E$5:$E$130=$B24)*ISNUMBER(INDEX(Inputs!$K$5:$AJ$130,0,MATCH(O$2,Inputs!$K$4:$AJ$4,0))))=0,NA(),SUMPRODUCT((Inputs!$A$5:$A$130=$B24)*Inputs!$B$5:$B$130*(((Inputs!$G$5:$G$130="moeda")+(Inputs!$G$5:$G$130="acoes"))*Inputs!$B$1+((Inputs!$G$5:$G$130&lt;&gt;"moeda")*(Inputs!$G$5:$G$130&lt;&gt;"acoes")))*INDEX(Inputs!$K$5:$AJ$130,0,MATCH(O$2,Inputs!$K$4:$AJ$4,0)))+SUMPRODUCT((Inputs!$C$5:$C$130=$B24)*Inputs!$D$5:$D$130*(((Inputs!$G$5:$G$130="moeda")+(Inputs!$G$5:$G$130="acoes"))*Inputs!$B$1+((Inputs!$G$5:$G$130&lt;&gt;"moeda")*(Inputs!$G$5:$G$130&lt;&gt;"acoes")))*INDEX(Inputs!$K$5:$AJ$130,0,MATCH(O$2,Inputs!$K$4:$AJ$4,0)))+SUMPRODUCT((Inputs!$E$5:$E$130=$B24)*Inputs!$F$5:$F$130*(((Inputs!$G$5:$G$130="moeda")+(Inputs!$G$5:$G$130="acoes"))*Inputs!$B$1+((Inputs!$G$5:$G$130&lt;&gt;"moeda")*(Inputs!$G$5:$G$130&lt;&gt;"acoes")))*INDEX(Inputs!$K$5:$AJ$130,0,MATCH(O$2,Inputs!$K$4:$AJ$4,0)))))</f>
        <v>4430</v>
      </c>
      <c r="P24" s="6">
        <f>IF(ISNA(MATCH(P$2,Inputs!$K$4:$AJ$4,0)),NA(),IF(SUMPRODUCT((Inputs!$A$5:$A$130=$B24)*ISNUMBER(INDEX(Inputs!$K$5:$AJ$130,0,MATCH(P$2,Inputs!$K$4:$AJ$4,0))))+SUMPRODUCT((Inputs!$C$5:$C$130=$B24)*ISNUMBER(INDEX(Inputs!$K$5:$AJ$130,0,MATCH(P$2,Inputs!$K$4:$AJ$4,0))))+SUMPRODUCT((Inputs!$E$5:$E$130=$B24)*ISNUMBER(INDEX(Inputs!$K$5:$AJ$130,0,MATCH(P$2,Inputs!$K$4:$AJ$4,0))))=0,NA(),SUMPRODUCT((Inputs!$A$5:$A$130=$B24)*Inputs!$B$5:$B$130*(((Inputs!$G$5:$G$130="moeda")+(Inputs!$G$5:$G$130="acoes"))*Inputs!$B$1+((Inputs!$G$5:$G$130&lt;&gt;"moeda")*(Inputs!$G$5:$G$130&lt;&gt;"acoes")))*INDEX(Inputs!$K$5:$AJ$130,0,MATCH(P$2,Inputs!$K$4:$AJ$4,0)))+SUMPRODUCT((Inputs!$C$5:$C$130=$B24)*Inputs!$D$5:$D$130*(((Inputs!$G$5:$G$130="moeda")+(Inputs!$G$5:$G$130="acoes"))*Inputs!$B$1+((Inputs!$G$5:$G$130&lt;&gt;"moeda")*(Inputs!$G$5:$G$130&lt;&gt;"acoes")))*INDEX(Inputs!$K$5:$AJ$130,0,MATCH(P$2,Inputs!$K$4:$AJ$4,0)))+SUMPRODUCT((Inputs!$E$5:$E$130=$B24)*Inputs!$F$5:$F$130*(((Inputs!$G$5:$G$130="moeda")+(Inputs!$G$5:$G$130="acoes"))*Inputs!$B$1+((Inputs!$G$5:$G$130&lt;&gt;"moeda")*(Inputs!$G$5:$G$130&lt;&gt;"acoes")))*INDEX(Inputs!$K$5:$AJ$130,0,MATCH(P$2,Inputs!$K$4:$AJ$4,0)))))</f>
        <v>4430</v>
      </c>
      <c r="Q24" s="6">
        <f>IF(ISNA(MATCH(Q$2,Inputs!$K$4:$AJ$4,0)),NA(),IF(SUMPRODUCT((Inputs!$A$5:$A$130=$B24)*ISNUMBER(INDEX(Inputs!$K$5:$AJ$130,0,MATCH(Q$2,Inputs!$K$4:$AJ$4,0))))+SUMPRODUCT((Inputs!$C$5:$C$130=$B24)*ISNUMBER(INDEX(Inputs!$K$5:$AJ$130,0,MATCH(Q$2,Inputs!$K$4:$AJ$4,0))))+SUMPRODUCT((Inputs!$E$5:$E$130=$B24)*ISNUMBER(INDEX(Inputs!$K$5:$AJ$130,0,MATCH(Q$2,Inputs!$K$4:$AJ$4,0))))=0,NA(),SUMPRODUCT((Inputs!$A$5:$A$130=$B24)*Inputs!$B$5:$B$130*(((Inputs!$G$5:$G$130="moeda")+(Inputs!$G$5:$G$130="acoes"))*Inputs!$B$1+((Inputs!$G$5:$G$130&lt;&gt;"moeda")*(Inputs!$G$5:$G$130&lt;&gt;"acoes")))*INDEX(Inputs!$K$5:$AJ$130,0,MATCH(Q$2,Inputs!$K$4:$AJ$4,0)))+SUMPRODUCT((Inputs!$C$5:$C$130=$B24)*Inputs!$D$5:$D$130*(((Inputs!$G$5:$G$130="moeda")+(Inputs!$G$5:$G$130="acoes"))*Inputs!$B$1+((Inputs!$G$5:$G$130&lt;&gt;"moeda")*(Inputs!$G$5:$G$130&lt;&gt;"acoes")))*INDEX(Inputs!$K$5:$AJ$130,0,MATCH(Q$2,Inputs!$K$4:$AJ$4,0)))+SUMPRODUCT((Inputs!$E$5:$E$130=$B24)*Inputs!$F$5:$F$130*(((Inputs!$G$5:$G$130="moeda")+(Inputs!$G$5:$G$130="acoes"))*Inputs!$B$1+((Inputs!$G$5:$G$130&lt;&gt;"moeda")*(Inputs!$G$5:$G$130&lt;&gt;"acoes")))*INDEX(Inputs!$K$5:$AJ$130,0,MATCH(Q$2,Inputs!$K$4:$AJ$4,0)))))</f>
        <v>4430</v>
      </c>
      <c r="R24" s="3">
        <f>Q24</f>
        <v>4430</v>
      </c>
      <c r="S24" s="6">
        <f>IF(ISNA(MATCH(S$2,Inputs!$K$4:$AJ$4,0)),NA(),IF(SUMPRODUCT((Inputs!$A$5:$A$130=$B24)*ISNUMBER(INDEX(Inputs!$K$5:$AJ$130,0,MATCH(S$2,Inputs!$K$4:$AJ$4,0))))+SUMPRODUCT((Inputs!$C$5:$C$130=$B24)*ISNUMBER(INDEX(Inputs!$K$5:$AJ$130,0,MATCH(S$2,Inputs!$K$4:$AJ$4,0))))+SUMPRODUCT((Inputs!$E$5:$E$130=$B24)*ISNUMBER(INDEX(Inputs!$K$5:$AJ$130,0,MATCH(S$2,Inputs!$K$4:$AJ$4,0))))=0,NA(),SUMPRODUCT((Inputs!$A$5:$A$130=$B24)*Inputs!$B$5:$B$130*(((Inputs!$G$5:$G$130="moeda")+(Inputs!$G$5:$G$130="acoes"))*Inputs!$B$1+((Inputs!$G$5:$G$130&lt;&gt;"moeda")*(Inputs!$G$5:$G$130&lt;&gt;"acoes")))*INDEX(Inputs!$K$5:$AJ$130,0,MATCH(S$2,Inputs!$K$4:$AJ$4,0)))+SUMPRODUCT((Inputs!$C$5:$C$130=$B24)*Inputs!$D$5:$D$130*(((Inputs!$G$5:$G$130="moeda")+(Inputs!$G$5:$G$130="acoes"))*Inputs!$B$1+((Inputs!$G$5:$G$130&lt;&gt;"moeda")*(Inputs!$G$5:$G$130&lt;&gt;"acoes")))*INDEX(Inputs!$K$5:$AJ$130,0,MATCH(S$2,Inputs!$K$4:$AJ$4,0)))+SUMPRODUCT((Inputs!$E$5:$E$130=$B24)*Inputs!$F$5:$F$130*(((Inputs!$G$5:$G$130="moeda")+(Inputs!$G$5:$G$130="acoes"))*Inputs!$B$1+((Inputs!$G$5:$G$130&lt;&gt;"moeda")*(Inputs!$G$5:$G$130&lt;&gt;"acoes")))*INDEX(Inputs!$K$5:$AJ$130,0,MATCH(S$2,Inputs!$K$4:$AJ$4,0)))))</f>
        <v>4453</v>
      </c>
      <c r="T24" s="6">
        <f>IF(ISNA(MATCH(T$2,Inputs!$K$4:$AJ$4,0)),NA(),IF(SUMPRODUCT((Inputs!$A$5:$A$130=$B24)*ISNUMBER(INDEX(Inputs!$K$5:$AJ$130,0,MATCH(T$2,Inputs!$K$4:$AJ$4,0))))+SUMPRODUCT((Inputs!$C$5:$C$130=$B24)*ISNUMBER(INDEX(Inputs!$K$5:$AJ$130,0,MATCH(T$2,Inputs!$K$4:$AJ$4,0))))+SUMPRODUCT((Inputs!$E$5:$E$130=$B24)*ISNUMBER(INDEX(Inputs!$K$5:$AJ$130,0,MATCH(T$2,Inputs!$K$4:$AJ$4,0))))=0,NA(),SUMPRODUCT((Inputs!$A$5:$A$130=$B24)*Inputs!$B$5:$B$130*(((Inputs!$G$5:$G$130="moeda")+(Inputs!$G$5:$G$130="acoes"))*Inputs!$B$1+((Inputs!$G$5:$G$130&lt;&gt;"moeda")*(Inputs!$G$5:$G$130&lt;&gt;"acoes")))*INDEX(Inputs!$K$5:$AJ$130,0,MATCH(T$2,Inputs!$K$4:$AJ$4,0)))+SUMPRODUCT((Inputs!$C$5:$C$130=$B24)*Inputs!$D$5:$D$130*(((Inputs!$G$5:$G$130="moeda")+(Inputs!$G$5:$G$130="acoes"))*Inputs!$B$1+((Inputs!$G$5:$G$130&lt;&gt;"moeda")*(Inputs!$G$5:$G$130&lt;&gt;"acoes")))*INDEX(Inputs!$K$5:$AJ$130,0,MATCH(T$2,Inputs!$K$4:$AJ$4,0)))+SUMPRODUCT((Inputs!$E$5:$E$130=$B24)*Inputs!$F$5:$F$130*(((Inputs!$G$5:$G$130="moeda")+(Inputs!$G$5:$G$130="acoes"))*Inputs!$B$1+((Inputs!$G$5:$G$130&lt;&gt;"moeda")*(Inputs!$G$5:$G$130&lt;&gt;"acoes")))*INDEX(Inputs!$K$5:$AJ$130,0,MATCH(T$2,Inputs!$K$4:$AJ$4,0)))))</f>
        <v>4622</v>
      </c>
      <c r="U24" s="6">
        <f>IF(ISNA(MATCH(U$2,Inputs!$K$4:$AJ$4,0)),NA(),IF(SUMPRODUCT((Inputs!$A$5:$A$130=$B24)*ISNUMBER(INDEX(Inputs!$K$5:$AJ$130,0,MATCH(U$2,Inputs!$K$4:$AJ$4,0))))+SUMPRODUCT((Inputs!$C$5:$C$130=$B24)*ISNUMBER(INDEX(Inputs!$K$5:$AJ$130,0,MATCH(U$2,Inputs!$K$4:$AJ$4,0))))+SUMPRODUCT((Inputs!$E$5:$E$130=$B24)*ISNUMBER(INDEX(Inputs!$K$5:$AJ$130,0,MATCH(U$2,Inputs!$K$4:$AJ$4,0))))=0,NA(),SUMPRODUCT((Inputs!$A$5:$A$130=$B24)*Inputs!$B$5:$B$130*(((Inputs!$G$5:$G$130="moeda")+(Inputs!$G$5:$G$130="acoes"))*Inputs!$B$1+((Inputs!$G$5:$G$130&lt;&gt;"moeda")*(Inputs!$G$5:$G$130&lt;&gt;"acoes")))*INDEX(Inputs!$K$5:$AJ$130,0,MATCH(U$2,Inputs!$K$4:$AJ$4,0)))+SUMPRODUCT((Inputs!$C$5:$C$130=$B24)*Inputs!$D$5:$D$130*(((Inputs!$G$5:$G$130="moeda")+(Inputs!$G$5:$G$130="acoes"))*Inputs!$B$1+((Inputs!$G$5:$G$130&lt;&gt;"moeda")*(Inputs!$G$5:$G$130&lt;&gt;"acoes")))*INDEX(Inputs!$K$5:$AJ$130,0,MATCH(U$2,Inputs!$K$4:$AJ$4,0)))+SUMPRODUCT((Inputs!$E$5:$E$130=$B24)*Inputs!$F$5:$F$130*(((Inputs!$G$5:$G$130="moeda")+(Inputs!$G$5:$G$130="acoes"))*Inputs!$B$1+((Inputs!$G$5:$G$130&lt;&gt;"moeda")*(Inputs!$G$5:$G$130&lt;&gt;"acoes")))*INDEX(Inputs!$K$5:$AJ$130,0,MATCH(U$2,Inputs!$K$4:$AJ$4,0)))))</f>
        <v>4724</v>
      </c>
      <c r="V24" s="6">
        <f>IF(ISNA(MATCH(V$2,Inputs!$K$4:$AJ$4,0)),NA(),IF(SUMPRODUCT((Inputs!$A$5:$A$130=$B24)*ISNUMBER(INDEX(Inputs!$K$5:$AJ$130,0,MATCH(V$2,Inputs!$K$4:$AJ$4,0))))+SUMPRODUCT((Inputs!$C$5:$C$130=$B24)*ISNUMBER(INDEX(Inputs!$K$5:$AJ$130,0,MATCH(V$2,Inputs!$K$4:$AJ$4,0))))+SUMPRODUCT((Inputs!$E$5:$E$130=$B24)*ISNUMBER(INDEX(Inputs!$K$5:$AJ$130,0,MATCH(V$2,Inputs!$K$4:$AJ$4,0))))=0,NA(),SUMPRODUCT((Inputs!$A$5:$A$130=$B24)*Inputs!$B$5:$B$130*(((Inputs!$G$5:$G$130="moeda")+(Inputs!$G$5:$G$130="acoes"))*Inputs!$B$1+((Inputs!$G$5:$G$130&lt;&gt;"moeda")*(Inputs!$G$5:$G$130&lt;&gt;"acoes")))*INDEX(Inputs!$K$5:$AJ$130,0,MATCH(V$2,Inputs!$K$4:$AJ$4,0)))+SUMPRODUCT((Inputs!$C$5:$C$130=$B24)*Inputs!$D$5:$D$130*(((Inputs!$G$5:$G$130="moeda")+(Inputs!$G$5:$G$130="acoes"))*Inputs!$B$1+((Inputs!$G$5:$G$130&lt;&gt;"moeda")*(Inputs!$G$5:$G$130&lt;&gt;"acoes")))*INDEX(Inputs!$K$5:$AJ$130,0,MATCH(V$2,Inputs!$K$4:$AJ$4,0)))+SUMPRODUCT((Inputs!$E$5:$E$130=$B24)*Inputs!$F$5:$F$130*(((Inputs!$G$5:$G$130="moeda")+(Inputs!$G$5:$G$130="acoes"))*Inputs!$B$1+((Inputs!$G$5:$G$130&lt;&gt;"moeda")*(Inputs!$G$5:$G$130&lt;&gt;"acoes")))*INDEX(Inputs!$K$5:$AJ$130,0,MATCH(V$2,Inputs!$K$4:$AJ$4,0)))))</f>
        <v>5188</v>
      </c>
      <c r="W24" s="3">
        <f>V24</f>
        <v>5188</v>
      </c>
      <c r="X24" s="6">
        <f>IF(ISNA(MATCH(X$2,Inputs!$K$4:$AJ$4,0)),NA(),IF(SUMPRODUCT((Inputs!$A$5:$A$130=$B24)*ISNUMBER(INDEX(Inputs!$K$5:$AJ$130,0,MATCH(X$2,Inputs!$K$4:$AJ$4,0))))+SUMPRODUCT((Inputs!$C$5:$C$130=$B24)*ISNUMBER(INDEX(Inputs!$K$5:$AJ$130,0,MATCH(X$2,Inputs!$K$4:$AJ$4,0))))+SUMPRODUCT((Inputs!$E$5:$E$130=$B24)*ISNUMBER(INDEX(Inputs!$K$5:$AJ$130,0,MATCH(X$2,Inputs!$K$4:$AJ$4,0))))=0,NA(),SUMPRODUCT((Inputs!$A$5:$A$130=$B24)*Inputs!$B$5:$B$130*(((Inputs!$G$5:$G$130="moeda")+(Inputs!$G$5:$G$130="acoes"))*Inputs!$B$1+((Inputs!$G$5:$G$130&lt;&gt;"moeda")*(Inputs!$G$5:$G$130&lt;&gt;"acoes")))*INDEX(Inputs!$K$5:$AJ$130,0,MATCH(X$2,Inputs!$K$4:$AJ$4,0)))+SUMPRODUCT((Inputs!$C$5:$C$130=$B24)*Inputs!$D$5:$D$130*(((Inputs!$G$5:$G$130="moeda")+(Inputs!$G$5:$G$130="acoes"))*Inputs!$B$1+((Inputs!$G$5:$G$130&lt;&gt;"moeda")*(Inputs!$G$5:$G$130&lt;&gt;"acoes")))*INDEX(Inputs!$K$5:$AJ$130,0,MATCH(X$2,Inputs!$K$4:$AJ$4,0)))+SUMPRODUCT((Inputs!$E$5:$E$130=$B24)*Inputs!$F$5:$F$130*(((Inputs!$G$5:$G$130="moeda")+(Inputs!$G$5:$G$130="acoes"))*Inputs!$B$1+((Inputs!$G$5:$G$130&lt;&gt;"moeda")*(Inputs!$G$5:$G$130&lt;&gt;"acoes")))*INDEX(Inputs!$K$5:$AJ$130,0,MATCH(X$2,Inputs!$K$4:$AJ$4,0)))))</f>
        <v>5498</v>
      </c>
      <c r="Y24" s="6">
        <f>IF(ISNA(MATCH(Y$2,Inputs!$K$4:$AJ$4,0)),NA(),IF(SUMPRODUCT((Inputs!$A$5:$A$130=$B24)*ISNUMBER(INDEX(Inputs!$K$5:$AJ$130,0,MATCH(Y$2,Inputs!$K$4:$AJ$4,0))))+SUMPRODUCT((Inputs!$C$5:$C$130=$B24)*ISNUMBER(INDEX(Inputs!$K$5:$AJ$130,0,MATCH(Y$2,Inputs!$K$4:$AJ$4,0))))+SUMPRODUCT((Inputs!$E$5:$E$130=$B24)*ISNUMBER(INDEX(Inputs!$K$5:$AJ$130,0,MATCH(Y$2,Inputs!$K$4:$AJ$4,0))))=0,NA(),SUMPRODUCT((Inputs!$A$5:$A$130=$B24)*Inputs!$B$5:$B$130*(((Inputs!$G$5:$G$130="moeda")+(Inputs!$G$5:$G$130="acoes"))*Inputs!$B$1+((Inputs!$G$5:$G$130&lt;&gt;"moeda")*(Inputs!$G$5:$G$130&lt;&gt;"acoes")))*INDEX(Inputs!$K$5:$AJ$130,0,MATCH(Y$2,Inputs!$K$4:$AJ$4,0)))+SUMPRODUCT((Inputs!$C$5:$C$130=$B24)*Inputs!$D$5:$D$130*(((Inputs!$G$5:$G$130="moeda")+(Inputs!$G$5:$G$130="acoes"))*Inputs!$B$1+((Inputs!$G$5:$G$130&lt;&gt;"moeda")*(Inputs!$G$5:$G$130&lt;&gt;"acoes")))*INDEX(Inputs!$K$5:$AJ$130,0,MATCH(Y$2,Inputs!$K$4:$AJ$4,0)))+SUMPRODUCT((Inputs!$E$5:$E$130=$B24)*Inputs!$F$5:$F$130*(((Inputs!$G$5:$G$130="moeda")+(Inputs!$G$5:$G$130="acoes"))*Inputs!$B$1+((Inputs!$G$5:$G$130&lt;&gt;"moeda")*(Inputs!$G$5:$G$130&lt;&gt;"acoes")))*INDEX(Inputs!$K$5:$AJ$130,0,MATCH(Y$2,Inputs!$K$4:$AJ$4,0)))))</f>
        <v>5755</v>
      </c>
      <c r="Z24" s="6">
        <f>IF(ISNA(MATCH(Z$2,Inputs!$K$4:$AJ$4,0)),NA(),IF(SUMPRODUCT((Inputs!$A$5:$A$130=$B24)*ISNUMBER(INDEX(Inputs!$K$5:$AJ$130,0,MATCH(Z$2,Inputs!$K$4:$AJ$4,0))))+SUMPRODUCT((Inputs!$C$5:$C$130=$B24)*ISNUMBER(INDEX(Inputs!$K$5:$AJ$130,0,MATCH(Z$2,Inputs!$K$4:$AJ$4,0))))+SUMPRODUCT((Inputs!$E$5:$E$130=$B24)*ISNUMBER(INDEX(Inputs!$K$5:$AJ$130,0,MATCH(Z$2,Inputs!$K$4:$AJ$4,0))))=0,NA(),SUMPRODUCT((Inputs!$A$5:$A$130=$B24)*Inputs!$B$5:$B$130*(((Inputs!$G$5:$G$130="moeda")+(Inputs!$G$5:$G$130="acoes"))*Inputs!$B$1+((Inputs!$G$5:$G$130&lt;&gt;"moeda")*(Inputs!$G$5:$G$130&lt;&gt;"acoes")))*INDEX(Inputs!$K$5:$AJ$130,0,MATCH(Z$2,Inputs!$K$4:$AJ$4,0)))+SUMPRODUCT((Inputs!$C$5:$C$130=$B24)*Inputs!$D$5:$D$130*(((Inputs!$G$5:$G$130="moeda")+(Inputs!$G$5:$G$130="acoes"))*Inputs!$B$1+((Inputs!$G$5:$G$130&lt;&gt;"moeda")*(Inputs!$G$5:$G$130&lt;&gt;"acoes")))*INDEX(Inputs!$K$5:$AJ$130,0,MATCH(Z$2,Inputs!$K$4:$AJ$4,0)))+SUMPRODUCT((Inputs!$E$5:$E$130=$B24)*Inputs!$F$5:$F$130*(((Inputs!$G$5:$G$130="moeda")+(Inputs!$G$5:$G$130="acoes"))*Inputs!$B$1+((Inputs!$G$5:$G$130&lt;&gt;"moeda")*(Inputs!$G$5:$G$130&lt;&gt;"acoes")))*INDEX(Inputs!$K$5:$AJ$130,0,MATCH(Z$2,Inputs!$K$4:$AJ$4,0)))))</f>
        <v>6261</v>
      </c>
      <c r="AA24" s="6">
        <f>IF(ISNA(MATCH(AA$2,Inputs!$K$4:$AJ$4,0)),NA(),IF(SUMPRODUCT((Inputs!$A$5:$A$130=$B24)*ISNUMBER(INDEX(Inputs!$K$5:$AJ$130,0,MATCH(AA$2,Inputs!$K$4:$AJ$4,0))))+SUMPRODUCT((Inputs!$C$5:$C$130=$B24)*ISNUMBER(INDEX(Inputs!$K$5:$AJ$130,0,MATCH(AA$2,Inputs!$K$4:$AJ$4,0))))+SUMPRODUCT((Inputs!$E$5:$E$130=$B24)*ISNUMBER(INDEX(Inputs!$K$5:$AJ$130,0,MATCH(AA$2,Inputs!$K$4:$AJ$4,0))))=0,NA(),SUMPRODUCT((Inputs!$A$5:$A$130=$B24)*Inputs!$B$5:$B$130*(((Inputs!$G$5:$G$130="moeda")+(Inputs!$G$5:$G$130="acoes"))*Inputs!$B$1+((Inputs!$G$5:$G$130&lt;&gt;"moeda")*(Inputs!$G$5:$G$130&lt;&gt;"acoes")))*INDEX(Inputs!$K$5:$AJ$130,0,MATCH(AA$2,Inputs!$K$4:$AJ$4,0)))+SUMPRODUCT((Inputs!$C$5:$C$130=$B24)*Inputs!$D$5:$D$130*(((Inputs!$G$5:$G$130="moeda")+(Inputs!$G$5:$G$130="acoes"))*Inputs!$B$1+((Inputs!$G$5:$G$130&lt;&gt;"moeda")*(Inputs!$G$5:$G$130&lt;&gt;"acoes")))*INDEX(Inputs!$K$5:$AJ$130,0,MATCH(AA$2,Inputs!$K$4:$AJ$4,0)))+SUMPRODUCT((Inputs!$E$5:$E$130=$B24)*Inputs!$F$5:$F$130*(((Inputs!$G$5:$G$130="moeda")+(Inputs!$G$5:$G$130="acoes"))*Inputs!$B$1+((Inputs!$G$5:$G$130&lt;&gt;"moeda")*(Inputs!$G$5:$G$130&lt;&gt;"acoes")))*INDEX(Inputs!$K$5:$AJ$130,0,MATCH(AA$2,Inputs!$K$4:$AJ$4,0)))))</f>
        <v>20832</v>
      </c>
      <c r="AB24" s="3">
        <f>AA24</f>
        <v>20832</v>
      </c>
      <c r="AC24" s="6">
        <f>IF(ISNA(MATCH(AC$2,Inputs!$K$4:$AJ$4,0)),NA(),IF(SUMPRODUCT((Inputs!$A$5:$A$130=$B24)*ISNUMBER(INDEX(Inputs!$K$5:$AJ$130,0,MATCH(AC$2,Inputs!$K$4:$AJ$4,0))))+SUMPRODUCT((Inputs!$C$5:$C$130=$B24)*ISNUMBER(INDEX(Inputs!$K$5:$AJ$130,0,MATCH(AC$2,Inputs!$K$4:$AJ$4,0))))+SUMPRODUCT((Inputs!$E$5:$E$130=$B24)*ISNUMBER(INDEX(Inputs!$K$5:$AJ$130,0,MATCH(AC$2,Inputs!$K$4:$AJ$4,0))))=0,NA(),SUMPRODUCT((Inputs!$A$5:$A$130=$B24)*Inputs!$B$5:$B$130*(((Inputs!$G$5:$G$130="moeda")+(Inputs!$G$5:$G$130="acoes"))*Inputs!$B$1+((Inputs!$G$5:$G$130&lt;&gt;"moeda")*(Inputs!$G$5:$G$130&lt;&gt;"acoes")))*INDEX(Inputs!$K$5:$AJ$130,0,MATCH(AC$2,Inputs!$K$4:$AJ$4,0)))+SUMPRODUCT((Inputs!$C$5:$C$130=$B24)*Inputs!$D$5:$D$130*(((Inputs!$G$5:$G$130="moeda")+(Inputs!$G$5:$G$130="acoes"))*Inputs!$B$1+((Inputs!$G$5:$G$130&lt;&gt;"moeda")*(Inputs!$G$5:$G$130&lt;&gt;"acoes")))*INDEX(Inputs!$K$5:$AJ$130,0,MATCH(AC$2,Inputs!$K$4:$AJ$4,0)))+SUMPRODUCT((Inputs!$E$5:$E$130=$B24)*Inputs!$F$5:$F$130*(((Inputs!$G$5:$G$130="moeda")+(Inputs!$G$5:$G$130="acoes"))*Inputs!$B$1+((Inputs!$G$5:$G$130&lt;&gt;"moeda")*(Inputs!$G$5:$G$130&lt;&gt;"acoes")))*INDEX(Inputs!$K$5:$AJ$130,0,MATCH(AC$2,Inputs!$K$4:$AJ$4,0)))))</f>
        <v>20894</v>
      </c>
      <c r="AD24" s="6">
        <f>IF(ISNA(MATCH(AD$2,Inputs!$K$4:$AJ$4,0)),NA(),IF(SUMPRODUCT((Inputs!$A$5:$A$130=$B24)*ISNUMBER(INDEX(Inputs!$K$5:$AJ$130,0,MATCH(AD$2,Inputs!$K$4:$AJ$4,0))))+SUMPRODUCT((Inputs!$C$5:$C$130=$B24)*ISNUMBER(INDEX(Inputs!$K$5:$AJ$130,0,MATCH(AD$2,Inputs!$K$4:$AJ$4,0))))+SUMPRODUCT((Inputs!$E$5:$E$130=$B24)*ISNUMBER(INDEX(Inputs!$K$5:$AJ$130,0,MATCH(AD$2,Inputs!$K$4:$AJ$4,0))))=0,NA(),SUMPRODUCT((Inputs!$A$5:$A$130=$B24)*Inputs!$B$5:$B$130*(((Inputs!$G$5:$G$130="moeda")+(Inputs!$G$5:$G$130="acoes"))*Inputs!$B$1+((Inputs!$G$5:$G$130&lt;&gt;"moeda")*(Inputs!$G$5:$G$130&lt;&gt;"acoes")))*INDEX(Inputs!$K$5:$AJ$130,0,MATCH(AD$2,Inputs!$K$4:$AJ$4,0)))+SUMPRODUCT((Inputs!$C$5:$C$130=$B24)*Inputs!$D$5:$D$130*(((Inputs!$G$5:$G$130="moeda")+(Inputs!$G$5:$G$130="acoes"))*Inputs!$B$1+((Inputs!$G$5:$G$130&lt;&gt;"moeda")*(Inputs!$G$5:$G$130&lt;&gt;"acoes")))*INDEX(Inputs!$K$5:$AJ$130,0,MATCH(AD$2,Inputs!$K$4:$AJ$4,0)))+SUMPRODUCT((Inputs!$E$5:$E$130=$B24)*Inputs!$F$5:$F$130*(((Inputs!$G$5:$G$130="moeda")+(Inputs!$G$5:$G$130="acoes"))*Inputs!$B$1+((Inputs!$G$5:$G$130&lt;&gt;"moeda")*(Inputs!$G$5:$G$130&lt;&gt;"acoes")))*INDEX(Inputs!$K$5:$AJ$130,0,MATCH(AD$2,Inputs!$K$4:$AJ$4,0)))))</f>
        <v>21125</v>
      </c>
      <c r="AE24" s="6" t="e">
        <f>IF(ISNA(MATCH(AE$2,Inputs!$K$4:$AJ$4,0)),NA(),IF(SUMPRODUCT((Inputs!$A$5:$A$130=$B24)*ISNUMBER(INDEX(Inputs!$K$5:$AJ$130,0,MATCH(AE$2,Inputs!$K$4:$AJ$4,0))))+SUMPRODUCT((Inputs!$C$5:$C$130=$B24)*ISNUMBER(INDEX(Inputs!$K$5:$AJ$130,0,MATCH(AE$2,Inputs!$K$4:$AJ$4,0))))+SUMPRODUCT((Inputs!$E$5:$E$130=$B24)*ISNUMBER(INDEX(Inputs!$K$5:$AJ$130,0,MATCH(AE$2,Inputs!$K$4:$AJ$4,0))))=0,NA(),SUMPRODUCT((Inputs!$A$5:$A$130=$B24)*Inputs!$B$5:$B$130*(((Inputs!$G$5:$G$130="moeda")+(Inputs!$G$5:$G$130="acoes"))*Inputs!$B$1+((Inputs!$G$5:$G$130&lt;&gt;"moeda")*(Inputs!$G$5:$G$130&lt;&gt;"acoes")))*INDEX(Inputs!$K$5:$AJ$130,0,MATCH(AE$2,Inputs!$K$4:$AJ$4,0)))+SUMPRODUCT((Inputs!$C$5:$C$130=$B24)*Inputs!$D$5:$D$130*(((Inputs!$G$5:$G$130="moeda")+(Inputs!$G$5:$G$130="acoes"))*Inputs!$B$1+((Inputs!$G$5:$G$130&lt;&gt;"moeda")*(Inputs!$G$5:$G$130&lt;&gt;"acoes")))*INDEX(Inputs!$K$5:$AJ$130,0,MATCH(AE$2,Inputs!$K$4:$AJ$4,0)))+SUMPRODUCT((Inputs!$E$5:$E$130=$B24)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4" s="6" t="e">
        <f>IF(ISNA(MATCH(AF$2,Inputs!$K$4:$AJ$4,0)),NA(),IF(SUMPRODUCT((Inputs!$A$5:$A$130=$B24)*ISNUMBER(INDEX(Inputs!$K$5:$AJ$130,0,MATCH(AF$2,Inputs!$K$4:$AJ$4,0))))+SUMPRODUCT((Inputs!$C$5:$C$130=$B24)*ISNUMBER(INDEX(Inputs!$K$5:$AJ$130,0,MATCH(AF$2,Inputs!$K$4:$AJ$4,0))))+SUMPRODUCT((Inputs!$E$5:$E$130=$B24)*ISNUMBER(INDEX(Inputs!$K$5:$AJ$130,0,MATCH(AF$2,Inputs!$K$4:$AJ$4,0))))=0,NA(),SUMPRODUCT((Inputs!$A$5:$A$130=$B24)*Inputs!$B$5:$B$130*(((Inputs!$G$5:$G$130="moeda")+(Inputs!$G$5:$G$130="acoes"))*Inputs!$B$1+((Inputs!$G$5:$G$130&lt;&gt;"moeda")*(Inputs!$G$5:$G$130&lt;&gt;"acoes")))*INDEX(Inputs!$K$5:$AJ$130,0,MATCH(AF$2,Inputs!$K$4:$AJ$4,0)))+SUMPRODUCT((Inputs!$C$5:$C$130=$B24)*Inputs!$D$5:$D$130*(((Inputs!$G$5:$G$130="moeda")+(Inputs!$G$5:$G$130="acoes"))*Inputs!$B$1+((Inputs!$G$5:$G$130&lt;&gt;"moeda")*(Inputs!$G$5:$G$130&lt;&gt;"acoes")))*INDEX(Inputs!$K$5:$AJ$130,0,MATCH(AF$2,Inputs!$K$4:$AJ$4,0)))+SUMPRODUCT((Inputs!$E$5:$E$130=$B24)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4" s="3" t="e">
        <f>AF24</f>
        <v>#N/A</v>
      </c>
      <c r="AH24" s="6">
        <f>IF(ISNA(MATCH(AH$2,Inputs!$K$4:$AJ$4,0)),NA(),IF(SUMPRODUCT((Inputs!$A$5:$A$130=$B24)*ISNUMBER(INDEX(Inputs!$K$5:$AJ$130,0,MATCH(AH$2,Inputs!$K$4:$AJ$4,0))))+SUMPRODUCT((Inputs!$C$5:$C$130=$B24)*ISNUMBER(INDEX(Inputs!$K$5:$AJ$130,0,MATCH(AH$2,Inputs!$K$4:$AJ$4,0))))+SUMPRODUCT((Inputs!$E$5:$E$130=$B24)*ISNUMBER(INDEX(Inputs!$K$5:$AJ$130,0,MATCH(AH$2,Inputs!$K$4:$AJ$4,0))))=0,NA(),SUMPRODUCT((Inputs!$A$5:$A$130=$B24)*Inputs!$B$5:$B$130*(((Inputs!$G$5:$G$130="moeda")+(Inputs!$G$5:$G$130="acoes"))*Inputs!$B$1+((Inputs!$G$5:$G$130&lt;&gt;"moeda")*(Inputs!$G$5:$G$130&lt;&gt;"acoes")))*INDEX(Inputs!$K$5:$AJ$130,0,MATCH(AH$2,Inputs!$K$4:$AJ$4,0)))+SUMPRODUCT((Inputs!$C$5:$C$130=$B24)*Inputs!$D$5:$D$130*(((Inputs!$G$5:$G$130="moeda")+(Inputs!$G$5:$G$130="acoes"))*Inputs!$B$1+((Inputs!$G$5:$G$130&lt;&gt;"moeda")*(Inputs!$G$5:$G$130&lt;&gt;"acoes")))*INDEX(Inputs!$K$5:$AJ$130,0,MATCH(AH$2,Inputs!$K$4:$AJ$4,0)))+SUMPRODUCT((Inputs!$E$5:$E$130=$B24)*Inputs!$F$5:$F$130*(((Inputs!$G$5:$G$130="moeda")+(Inputs!$G$5:$G$130="acoes"))*Inputs!$B$1+((Inputs!$G$5:$G$130&lt;&gt;"moeda")*(Inputs!$G$5:$G$130&lt;&gt;"acoes")))*INDEX(Inputs!$K$5:$AJ$130,0,MATCH(AH$2,Inputs!$K$4:$AJ$4,0)))))</f>
        <v>628</v>
      </c>
      <c r="AI24" s="6">
        <f>IF(ISNA(MATCH(AI$2,Inputs!$K$4:$AJ$4,0)),NA(),IF(SUMPRODUCT((Inputs!$A$5:$A$130=$B24)*ISNUMBER(INDEX(Inputs!$K$5:$AJ$130,0,MATCH(AI$2,Inputs!$K$4:$AJ$4,0))))+SUMPRODUCT((Inputs!$C$5:$C$130=$B24)*ISNUMBER(INDEX(Inputs!$K$5:$AJ$130,0,MATCH(AI$2,Inputs!$K$4:$AJ$4,0))))+SUMPRODUCT((Inputs!$E$5:$E$130=$B24)*ISNUMBER(INDEX(Inputs!$K$5:$AJ$130,0,MATCH(AI$2,Inputs!$K$4:$AJ$4,0))))=0,NA(),SUMPRODUCT((Inputs!$A$5:$A$130=$B24)*Inputs!$B$5:$B$130*(((Inputs!$G$5:$G$130="moeda")+(Inputs!$G$5:$G$130="acoes"))*Inputs!$B$1+((Inputs!$G$5:$G$130&lt;&gt;"moeda")*(Inputs!$G$5:$G$130&lt;&gt;"acoes")))*INDEX(Inputs!$K$5:$AJ$130,0,MATCH(AI$2,Inputs!$K$4:$AJ$4,0)))+SUMPRODUCT((Inputs!$C$5:$C$130=$B24)*Inputs!$D$5:$D$130*(((Inputs!$G$5:$G$130="moeda")+(Inputs!$G$5:$G$130="acoes"))*Inputs!$B$1+((Inputs!$G$5:$G$130&lt;&gt;"moeda")*(Inputs!$G$5:$G$130&lt;&gt;"acoes")))*INDEX(Inputs!$K$5:$AJ$130,0,MATCH(AI$2,Inputs!$K$4:$AJ$4,0)))+SUMPRODUCT((Inputs!$E$5:$E$130=$B24)*Inputs!$F$5:$F$130*(((Inputs!$G$5:$G$130="moeda")+(Inputs!$G$5:$G$130="acoes"))*Inputs!$B$1+((Inputs!$G$5:$G$130&lt;&gt;"moeda")*(Inputs!$G$5:$G$130&lt;&gt;"acoes")))*INDEX(Inputs!$K$5:$AJ$130,0,MATCH(AI$2,Inputs!$K$4:$AJ$4,0)))))</f>
        <v>4193</v>
      </c>
      <c r="AJ24" s="6">
        <f>IF(ISNA(MATCH(AJ$2,Inputs!$K$4:$AJ$4,0)),NA(),IF(SUMPRODUCT((Inputs!$A$5:$A$130=$B24)*ISNUMBER(INDEX(Inputs!$K$5:$AJ$130,0,MATCH(AJ$2,Inputs!$K$4:$AJ$4,0))))+SUMPRODUCT((Inputs!$C$5:$C$130=$B24)*ISNUMBER(INDEX(Inputs!$K$5:$AJ$130,0,MATCH(AJ$2,Inputs!$K$4:$AJ$4,0))))+SUMPRODUCT((Inputs!$E$5:$E$130=$B24)*ISNUMBER(INDEX(Inputs!$K$5:$AJ$130,0,MATCH(AJ$2,Inputs!$K$4:$AJ$4,0))))=0,NA(),SUMPRODUCT((Inputs!$A$5:$A$130=$B24)*Inputs!$B$5:$B$130*(((Inputs!$G$5:$G$130="moeda")+(Inputs!$G$5:$G$130="acoes"))*Inputs!$B$1+((Inputs!$G$5:$G$130&lt;&gt;"moeda")*(Inputs!$G$5:$G$130&lt;&gt;"acoes")))*INDEX(Inputs!$K$5:$AJ$130,0,MATCH(AJ$2,Inputs!$K$4:$AJ$4,0)))+SUMPRODUCT((Inputs!$C$5:$C$130=$B24)*Inputs!$D$5:$D$130*(((Inputs!$G$5:$G$130="moeda")+(Inputs!$G$5:$G$130="acoes"))*Inputs!$B$1+((Inputs!$G$5:$G$130&lt;&gt;"moeda")*(Inputs!$G$5:$G$130&lt;&gt;"acoes")))*INDEX(Inputs!$K$5:$AJ$130,0,MATCH(AJ$2,Inputs!$K$4:$AJ$4,0)))+SUMPRODUCT((Inputs!$E$5:$E$130=$B24)*Inputs!$F$5:$F$130*(((Inputs!$G$5:$G$130="moeda")+(Inputs!$G$5:$G$130="acoes"))*Inputs!$B$1+((Inputs!$G$5:$G$130&lt;&gt;"moeda")*(Inputs!$G$5:$G$130&lt;&gt;"acoes")))*INDEX(Inputs!$K$5:$AJ$130,0,MATCH(AJ$2,Inputs!$K$4:$AJ$4,0)))))</f>
        <v>4193</v>
      </c>
      <c r="AK24" s="6">
        <f>IF(ISNA(MATCH(AK$2,Inputs!$K$4:$AJ$4,0)),NA(),IF(SUMPRODUCT((Inputs!$A$5:$A$130=$B24)*ISNUMBER(INDEX(Inputs!$K$5:$AJ$130,0,MATCH(AK$2,Inputs!$K$4:$AJ$4,0))))+SUMPRODUCT((Inputs!$C$5:$C$130=$B24)*ISNUMBER(INDEX(Inputs!$K$5:$AJ$130,0,MATCH(AK$2,Inputs!$K$4:$AJ$4,0))))+SUMPRODUCT((Inputs!$E$5:$E$130=$B24)*ISNUMBER(INDEX(Inputs!$K$5:$AJ$130,0,MATCH(AK$2,Inputs!$K$4:$AJ$4,0))))=0,NA(),SUMPRODUCT((Inputs!$A$5:$A$130=$B24)*Inputs!$B$5:$B$130*(((Inputs!$G$5:$G$130="moeda")+(Inputs!$G$5:$G$130="acoes"))*Inputs!$B$1+((Inputs!$G$5:$G$130&lt;&gt;"moeda")*(Inputs!$G$5:$G$130&lt;&gt;"acoes")))*INDEX(Inputs!$K$5:$AJ$130,0,MATCH(AK$2,Inputs!$K$4:$AJ$4,0)))+SUMPRODUCT((Inputs!$C$5:$C$130=$B24)*Inputs!$D$5:$D$130*(((Inputs!$G$5:$G$130="moeda")+(Inputs!$G$5:$G$130="acoes"))*Inputs!$B$1+((Inputs!$G$5:$G$130&lt;&gt;"moeda")*(Inputs!$G$5:$G$130&lt;&gt;"acoes")))*INDEX(Inputs!$K$5:$AJ$130,0,MATCH(AK$2,Inputs!$K$4:$AJ$4,0)))+SUMPRODUCT((Inputs!$E$5:$E$130=$B24)*Inputs!$F$5:$F$130*(((Inputs!$G$5:$G$130="moeda")+(Inputs!$G$5:$G$130="acoes"))*Inputs!$B$1+((Inputs!$G$5:$G$130&lt;&gt;"moeda")*(Inputs!$G$5:$G$130&lt;&gt;"acoes")))*INDEX(Inputs!$K$5:$AJ$130,0,MATCH(AK$2,Inputs!$K$4:$AJ$4,0)))))</f>
        <v>4193</v>
      </c>
      <c r="AL24" s="3">
        <f>AK24</f>
        <v>4193</v>
      </c>
    </row>
    <row r="25">
      <c r="B25" s="46" t="n">
        <v>21</v>
      </c>
      <c r="C25" s="26" t="inlineStr">
        <is>
          <t>Intangibles</t>
        </is>
      </c>
      <c r="D25" s="6">
        <f>IF(ISNA(MATCH(D$2,Inputs!$K$4:$AJ$4,0)),NA(),IF(SUMPRODUCT((Inputs!$A$5:$A$130=$B25)*ISNUMBER(INDEX(Inputs!$K$5:$AJ$130,0,MATCH(D$2,Inputs!$K$4:$AJ$4,0))))+SUMPRODUCT((Inputs!$C$5:$C$130=$B25)*ISNUMBER(INDEX(Inputs!$K$5:$AJ$130,0,MATCH(D$2,Inputs!$K$4:$AJ$4,0))))+SUMPRODUCT((Inputs!$E$5:$E$130=$B25)*ISNUMBER(INDEX(Inputs!$K$5:$AJ$130,0,MATCH(D$2,Inputs!$K$4:$AJ$4,0))))=0,NA(),SUMPRODUCT((Inputs!$A$5:$A$130=$B25)*Inputs!$B$5:$B$130*(((Inputs!$G$5:$G$130="moeda")+(Inputs!$G$5:$G$130="acoes"))*Inputs!$B$1+((Inputs!$G$5:$G$130&lt;&gt;"moeda")*(Inputs!$G$5:$G$130&lt;&gt;"acoes")))*INDEX(Inputs!$K$5:$AJ$130,0,MATCH(D$2,Inputs!$K$4:$AJ$4,0)))+SUMPRODUCT((Inputs!$C$5:$C$130=$B25)*Inputs!$D$5:$D$130*(((Inputs!$G$5:$G$130="moeda")+(Inputs!$G$5:$G$130="acoes"))*Inputs!$B$1+((Inputs!$G$5:$G$130&lt;&gt;"moeda")*(Inputs!$G$5:$G$130&lt;&gt;"acoes")))*INDEX(Inputs!$K$5:$AJ$130,0,MATCH(D$2,Inputs!$K$4:$AJ$4,0)))+SUMPRODUCT((Inputs!$E$5:$E$130=$B25)*Inputs!$F$5:$F$130*(((Inputs!$G$5:$G$130="moeda")+(Inputs!$G$5:$G$130="acoes"))*Inputs!$B$1+((Inputs!$G$5:$G$130&lt;&gt;"moeda")*(Inputs!$G$5:$G$130&lt;&gt;"acoes")))*INDEX(Inputs!$K$5:$AJ$130,0,MATCH(D$2,Inputs!$K$4:$AJ$4,0)))))</f>
        <v>2613</v>
      </c>
      <c r="E25" s="6">
        <f>IF(ISNA(MATCH(E$2,Inputs!$K$4:$AJ$4,0)),NA(),IF(SUMPRODUCT((Inputs!$A$5:$A$130=$B25)*ISNUMBER(INDEX(Inputs!$K$5:$AJ$130,0,MATCH(E$2,Inputs!$K$4:$AJ$4,0))))+SUMPRODUCT((Inputs!$C$5:$C$130=$B25)*ISNUMBER(INDEX(Inputs!$K$5:$AJ$130,0,MATCH(E$2,Inputs!$K$4:$AJ$4,0))))+SUMPRODUCT((Inputs!$E$5:$E$130=$B25)*ISNUMBER(INDEX(Inputs!$K$5:$AJ$130,0,MATCH(E$2,Inputs!$K$4:$AJ$4,0))))=0,NA(),SUMPRODUCT((Inputs!$A$5:$A$130=$B25)*Inputs!$B$5:$B$130*(((Inputs!$G$5:$G$130="moeda")+(Inputs!$G$5:$G$130="acoes"))*Inputs!$B$1+((Inputs!$G$5:$G$130&lt;&gt;"moeda")*(Inputs!$G$5:$G$130&lt;&gt;"acoes")))*INDEX(Inputs!$K$5:$AJ$130,0,MATCH(E$2,Inputs!$K$4:$AJ$4,0)))+SUMPRODUCT((Inputs!$C$5:$C$130=$B25)*Inputs!$D$5:$D$130*(((Inputs!$G$5:$G$130="moeda")+(Inputs!$G$5:$G$130="acoes"))*Inputs!$B$1+((Inputs!$G$5:$G$130&lt;&gt;"moeda")*(Inputs!$G$5:$G$130&lt;&gt;"acoes")))*INDEX(Inputs!$K$5:$AJ$130,0,MATCH(E$2,Inputs!$K$4:$AJ$4,0)))+SUMPRODUCT((Inputs!$E$5:$E$130=$B25)*Inputs!$F$5:$F$130*(((Inputs!$G$5:$G$130="moeda")+(Inputs!$G$5:$G$130="acoes"))*Inputs!$B$1+((Inputs!$G$5:$G$130&lt;&gt;"moeda")*(Inputs!$G$5:$G$130&lt;&gt;"acoes")))*INDEX(Inputs!$K$5:$AJ$130,0,MATCH(E$2,Inputs!$K$4:$AJ$4,0)))))</f>
        <v>2478</v>
      </c>
      <c r="F25" s="6">
        <f>IF(ISNA(MATCH(F$2,Inputs!$K$4:$AJ$4,0)),NA(),IF(SUMPRODUCT((Inputs!$A$5:$A$130=$B25)*ISNUMBER(INDEX(Inputs!$K$5:$AJ$130,0,MATCH(F$2,Inputs!$K$4:$AJ$4,0))))+SUMPRODUCT((Inputs!$C$5:$C$130=$B25)*ISNUMBER(INDEX(Inputs!$K$5:$AJ$130,0,MATCH(F$2,Inputs!$K$4:$AJ$4,0))))+SUMPRODUCT((Inputs!$E$5:$E$130=$B25)*ISNUMBER(INDEX(Inputs!$K$5:$AJ$130,0,MATCH(F$2,Inputs!$K$4:$AJ$4,0))))=0,NA(),SUMPRODUCT((Inputs!$A$5:$A$130=$B25)*Inputs!$B$5:$B$130*(((Inputs!$G$5:$G$130="moeda")+(Inputs!$G$5:$G$130="acoes"))*Inputs!$B$1+((Inputs!$G$5:$G$130&lt;&gt;"moeda")*(Inputs!$G$5:$G$130&lt;&gt;"acoes")))*INDEX(Inputs!$K$5:$AJ$130,0,MATCH(F$2,Inputs!$K$4:$AJ$4,0)))+SUMPRODUCT((Inputs!$C$5:$C$130=$B25)*Inputs!$D$5:$D$130*(((Inputs!$G$5:$G$130="moeda")+(Inputs!$G$5:$G$130="acoes"))*Inputs!$B$1+((Inputs!$G$5:$G$130&lt;&gt;"moeda")*(Inputs!$G$5:$G$130&lt;&gt;"acoes")))*INDEX(Inputs!$K$5:$AJ$130,0,MATCH(F$2,Inputs!$K$4:$AJ$4,0)))+SUMPRODUCT((Inputs!$E$5:$E$130=$B25)*Inputs!$F$5:$F$130*(((Inputs!$G$5:$G$130="moeda")+(Inputs!$G$5:$G$130="acoes"))*Inputs!$B$1+((Inputs!$G$5:$G$130&lt;&gt;"moeda")*(Inputs!$G$5:$G$130&lt;&gt;"acoes")))*INDEX(Inputs!$K$5:$AJ$130,0,MATCH(F$2,Inputs!$K$4:$AJ$4,0)))))</f>
        <v>2454</v>
      </c>
      <c r="G25" s="6">
        <f>IF(ISNA(MATCH(G$2,Inputs!$K$4:$AJ$4,0)),NA(),IF(SUMPRODUCT((Inputs!$A$5:$A$130=$B25)*ISNUMBER(INDEX(Inputs!$K$5:$AJ$130,0,MATCH(G$2,Inputs!$K$4:$AJ$4,0))))+SUMPRODUCT((Inputs!$C$5:$C$130=$B25)*ISNUMBER(INDEX(Inputs!$K$5:$AJ$130,0,MATCH(G$2,Inputs!$K$4:$AJ$4,0))))+SUMPRODUCT((Inputs!$E$5:$E$130=$B25)*ISNUMBER(INDEX(Inputs!$K$5:$AJ$130,0,MATCH(G$2,Inputs!$K$4:$AJ$4,0))))=0,NA(),SUMPRODUCT((Inputs!$A$5:$A$130=$B25)*Inputs!$B$5:$B$130*(((Inputs!$G$5:$G$130="moeda")+(Inputs!$G$5:$G$130="acoes"))*Inputs!$B$1+((Inputs!$G$5:$G$130&lt;&gt;"moeda")*(Inputs!$G$5:$G$130&lt;&gt;"acoes")))*INDEX(Inputs!$K$5:$AJ$130,0,MATCH(G$2,Inputs!$K$4:$AJ$4,0)))+SUMPRODUCT((Inputs!$C$5:$C$130=$B25)*Inputs!$D$5:$D$130*(((Inputs!$G$5:$G$130="moeda")+(Inputs!$G$5:$G$130="acoes"))*Inputs!$B$1+((Inputs!$G$5:$G$130&lt;&gt;"moeda")*(Inputs!$G$5:$G$130&lt;&gt;"acoes")))*INDEX(Inputs!$K$5:$AJ$130,0,MATCH(G$2,Inputs!$K$4:$AJ$4,0)))+SUMPRODUCT((Inputs!$E$5:$E$130=$B25)*Inputs!$F$5:$F$130*(((Inputs!$G$5:$G$130="moeda")+(Inputs!$G$5:$G$130="acoes"))*Inputs!$B$1+((Inputs!$G$5:$G$130&lt;&gt;"moeda")*(Inputs!$G$5:$G$130&lt;&gt;"acoes")))*INDEX(Inputs!$K$5:$AJ$130,0,MATCH(G$2,Inputs!$K$4:$AJ$4,0)))))</f>
        <v>2339</v>
      </c>
      <c r="H25" s="3">
        <f>G25</f>
        <v>2339</v>
      </c>
      <c r="I25" s="6">
        <f>IF(ISNA(MATCH(I$2,Inputs!$K$4:$AJ$4,0)),NA(),IF(SUMPRODUCT((Inputs!$A$5:$A$130=$B25)*ISNUMBER(INDEX(Inputs!$K$5:$AJ$130,0,MATCH(I$2,Inputs!$K$4:$AJ$4,0))))+SUMPRODUCT((Inputs!$C$5:$C$130=$B25)*ISNUMBER(INDEX(Inputs!$K$5:$AJ$130,0,MATCH(I$2,Inputs!$K$4:$AJ$4,0))))+SUMPRODUCT((Inputs!$E$5:$E$130=$B25)*ISNUMBER(INDEX(Inputs!$K$5:$AJ$130,0,MATCH(I$2,Inputs!$K$4:$AJ$4,0))))=0,NA(),SUMPRODUCT((Inputs!$A$5:$A$130=$B25)*Inputs!$B$5:$B$130*(((Inputs!$G$5:$G$130="moeda")+(Inputs!$G$5:$G$130="acoes"))*Inputs!$B$1+((Inputs!$G$5:$G$130&lt;&gt;"moeda")*(Inputs!$G$5:$G$130&lt;&gt;"acoes")))*INDEX(Inputs!$K$5:$AJ$130,0,MATCH(I$2,Inputs!$K$4:$AJ$4,0)))+SUMPRODUCT((Inputs!$C$5:$C$130=$B25)*Inputs!$D$5:$D$130*(((Inputs!$G$5:$G$130="moeda")+(Inputs!$G$5:$G$130="acoes"))*Inputs!$B$1+((Inputs!$G$5:$G$130&lt;&gt;"moeda")*(Inputs!$G$5:$G$130&lt;&gt;"acoes")))*INDEX(Inputs!$K$5:$AJ$130,0,MATCH(I$2,Inputs!$K$4:$AJ$4,0)))+SUMPRODUCT((Inputs!$E$5:$E$130=$B25)*Inputs!$F$5:$F$130*(((Inputs!$G$5:$G$130="moeda")+(Inputs!$G$5:$G$130="acoes"))*Inputs!$B$1+((Inputs!$G$5:$G$130&lt;&gt;"moeda")*(Inputs!$G$5:$G$130&lt;&gt;"acoes")))*INDEX(Inputs!$K$5:$AJ$130,0,MATCH(I$2,Inputs!$K$4:$AJ$4,0)))))</f>
        <v>2211</v>
      </c>
      <c r="J25" s="6">
        <f>IF(ISNA(MATCH(J$2,Inputs!$K$4:$AJ$4,0)),NA(),IF(SUMPRODUCT((Inputs!$A$5:$A$130=$B25)*ISNUMBER(INDEX(Inputs!$K$5:$AJ$130,0,MATCH(J$2,Inputs!$K$4:$AJ$4,0))))+SUMPRODUCT((Inputs!$C$5:$C$130=$B25)*ISNUMBER(INDEX(Inputs!$K$5:$AJ$130,0,MATCH(J$2,Inputs!$K$4:$AJ$4,0))))+SUMPRODUCT((Inputs!$E$5:$E$130=$B25)*ISNUMBER(INDEX(Inputs!$K$5:$AJ$130,0,MATCH(J$2,Inputs!$K$4:$AJ$4,0))))=0,NA(),SUMPRODUCT((Inputs!$A$5:$A$130=$B25)*Inputs!$B$5:$B$130*(((Inputs!$G$5:$G$130="moeda")+(Inputs!$G$5:$G$130="acoes"))*Inputs!$B$1+((Inputs!$G$5:$G$130&lt;&gt;"moeda")*(Inputs!$G$5:$G$130&lt;&gt;"acoes")))*INDEX(Inputs!$K$5:$AJ$130,0,MATCH(J$2,Inputs!$K$4:$AJ$4,0)))+SUMPRODUCT((Inputs!$C$5:$C$130=$B25)*Inputs!$D$5:$D$130*(((Inputs!$G$5:$G$130="moeda")+(Inputs!$G$5:$G$130="acoes"))*Inputs!$B$1+((Inputs!$G$5:$G$130&lt;&gt;"moeda")*(Inputs!$G$5:$G$130&lt;&gt;"acoes")))*INDEX(Inputs!$K$5:$AJ$130,0,MATCH(J$2,Inputs!$K$4:$AJ$4,0)))+SUMPRODUCT((Inputs!$E$5:$E$130=$B25)*Inputs!$F$5:$F$130*(((Inputs!$G$5:$G$130="moeda")+(Inputs!$G$5:$G$130="acoes"))*Inputs!$B$1+((Inputs!$G$5:$G$130&lt;&gt;"moeda")*(Inputs!$G$5:$G$130&lt;&gt;"acoes")))*INDEX(Inputs!$K$5:$AJ$130,0,MATCH(J$2,Inputs!$K$4:$AJ$4,0)))))</f>
        <v>2036</v>
      </c>
      <c r="K25" s="6">
        <f>IF(ISNA(MATCH(K$2,Inputs!$K$4:$AJ$4,0)),NA(),IF(SUMPRODUCT((Inputs!$A$5:$A$130=$B25)*ISNUMBER(INDEX(Inputs!$K$5:$AJ$130,0,MATCH(K$2,Inputs!$K$4:$AJ$4,0))))+SUMPRODUCT((Inputs!$C$5:$C$130=$B25)*ISNUMBER(INDEX(Inputs!$K$5:$AJ$130,0,MATCH(K$2,Inputs!$K$4:$AJ$4,0))))+SUMPRODUCT((Inputs!$E$5:$E$130=$B25)*ISNUMBER(INDEX(Inputs!$K$5:$AJ$130,0,MATCH(K$2,Inputs!$K$4:$AJ$4,0))))=0,NA(),SUMPRODUCT((Inputs!$A$5:$A$130=$B25)*Inputs!$B$5:$B$130*(((Inputs!$G$5:$G$130="moeda")+(Inputs!$G$5:$G$130="acoes"))*Inputs!$B$1+((Inputs!$G$5:$G$130&lt;&gt;"moeda")*(Inputs!$G$5:$G$130&lt;&gt;"acoes")))*INDEX(Inputs!$K$5:$AJ$130,0,MATCH(K$2,Inputs!$K$4:$AJ$4,0)))+SUMPRODUCT((Inputs!$C$5:$C$130=$B25)*Inputs!$D$5:$D$130*(((Inputs!$G$5:$G$130="moeda")+(Inputs!$G$5:$G$130="acoes"))*Inputs!$B$1+((Inputs!$G$5:$G$130&lt;&gt;"moeda")*(Inputs!$G$5:$G$130&lt;&gt;"acoes")))*INDEX(Inputs!$K$5:$AJ$130,0,MATCH(K$2,Inputs!$K$4:$AJ$4,0)))+SUMPRODUCT((Inputs!$E$5:$E$130=$B25)*Inputs!$F$5:$F$130*(((Inputs!$G$5:$G$130="moeda")+(Inputs!$G$5:$G$130="acoes"))*Inputs!$B$1+((Inputs!$G$5:$G$130&lt;&gt;"moeda")*(Inputs!$G$5:$G$130&lt;&gt;"acoes")))*INDEX(Inputs!$K$5:$AJ$130,0,MATCH(K$2,Inputs!$K$4:$AJ$4,0)))))</f>
        <v>1850</v>
      </c>
      <c r="L25" s="6">
        <f>IF(ISNA(MATCH(L$2,Inputs!$K$4:$AJ$4,0)),NA(),IF(SUMPRODUCT((Inputs!$A$5:$A$130=$B25)*ISNUMBER(INDEX(Inputs!$K$5:$AJ$130,0,MATCH(L$2,Inputs!$K$4:$AJ$4,0))))+SUMPRODUCT((Inputs!$C$5:$C$130=$B25)*ISNUMBER(INDEX(Inputs!$K$5:$AJ$130,0,MATCH(L$2,Inputs!$K$4:$AJ$4,0))))+SUMPRODUCT((Inputs!$E$5:$E$130=$B25)*ISNUMBER(INDEX(Inputs!$K$5:$AJ$130,0,MATCH(L$2,Inputs!$K$4:$AJ$4,0))))=0,NA(),SUMPRODUCT((Inputs!$A$5:$A$130=$B25)*Inputs!$B$5:$B$130*(((Inputs!$G$5:$G$130="moeda")+(Inputs!$G$5:$G$130="acoes"))*Inputs!$B$1+((Inputs!$G$5:$G$130&lt;&gt;"moeda")*(Inputs!$G$5:$G$130&lt;&gt;"acoes")))*INDEX(Inputs!$K$5:$AJ$130,0,MATCH(L$2,Inputs!$K$4:$AJ$4,0)))+SUMPRODUCT((Inputs!$C$5:$C$130=$B25)*Inputs!$D$5:$D$130*(((Inputs!$G$5:$G$130="moeda")+(Inputs!$G$5:$G$130="acoes"))*Inputs!$B$1+((Inputs!$G$5:$G$130&lt;&gt;"moeda")*(Inputs!$G$5:$G$130&lt;&gt;"acoes")))*INDEX(Inputs!$K$5:$AJ$130,0,MATCH(L$2,Inputs!$K$4:$AJ$4,0)))+SUMPRODUCT((Inputs!$E$5:$E$130=$B25)*Inputs!$F$5:$F$130*(((Inputs!$G$5:$G$130="moeda")+(Inputs!$G$5:$G$130="acoes"))*Inputs!$B$1+((Inputs!$G$5:$G$130&lt;&gt;"moeda")*(Inputs!$G$5:$G$130&lt;&gt;"acoes")))*INDEX(Inputs!$K$5:$AJ$130,0,MATCH(L$2,Inputs!$K$4:$AJ$4,0)))))</f>
        <v>1676</v>
      </c>
      <c r="M25" s="3">
        <f>L25</f>
        <v>1676</v>
      </c>
      <c r="N25" s="6">
        <f>IF(ISNA(MATCH(N$2,Inputs!$K$4:$AJ$4,0)),NA(),IF(SUMPRODUCT((Inputs!$A$5:$A$130=$B25)*ISNUMBER(INDEX(Inputs!$K$5:$AJ$130,0,MATCH(N$2,Inputs!$K$4:$AJ$4,0))))+SUMPRODUCT((Inputs!$C$5:$C$130=$B25)*ISNUMBER(INDEX(Inputs!$K$5:$AJ$130,0,MATCH(N$2,Inputs!$K$4:$AJ$4,0))))+SUMPRODUCT((Inputs!$E$5:$E$130=$B25)*ISNUMBER(INDEX(Inputs!$K$5:$AJ$130,0,MATCH(N$2,Inputs!$K$4:$AJ$4,0))))=0,NA(),SUMPRODUCT((Inputs!$A$5:$A$130=$B25)*Inputs!$B$5:$B$130*(((Inputs!$G$5:$G$130="moeda")+(Inputs!$G$5:$G$130="acoes"))*Inputs!$B$1+((Inputs!$G$5:$G$130&lt;&gt;"moeda")*(Inputs!$G$5:$G$130&lt;&gt;"acoes")))*INDEX(Inputs!$K$5:$AJ$130,0,MATCH(N$2,Inputs!$K$4:$AJ$4,0)))+SUMPRODUCT((Inputs!$C$5:$C$130=$B25)*Inputs!$D$5:$D$130*(((Inputs!$G$5:$G$130="moeda")+(Inputs!$G$5:$G$130="acoes"))*Inputs!$B$1+((Inputs!$G$5:$G$130&lt;&gt;"moeda")*(Inputs!$G$5:$G$130&lt;&gt;"acoes")))*INDEX(Inputs!$K$5:$AJ$130,0,MATCH(N$2,Inputs!$K$4:$AJ$4,0)))+SUMPRODUCT((Inputs!$E$5:$E$130=$B25)*Inputs!$F$5:$F$130*(((Inputs!$G$5:$G$130="moeda")+(Inputs!$G$5:$G$130="acoes"))*Inputs!$B$1+((Inputs!$G$5:$G$130&lt;&gt;"moeda")*(Inputs!$G$5:$G$130&lt;&gt;"acoes")))*INDEX(Inputs!$K$5:$AJ$130,0,MATCH(N$2,Inputs!$K$4:$AJ$4,0)))))</f>
        <v>1541</v>
      </c>
      <c r="O25" s="6">
        <f>IF(ISNA(MATCH(O$2,Inputs!$K$4:$AJ$4,0)),NA(),IF(SUMPRODUCT((Inputs!$A$5:$A$130=$B25)*ISNUMBER(INDEX(Inputs!$K$5:$AJ$130,0,MATCH(O$2,Inputs!$K$4:$AJ$4,0))))+SUMPRODUCT((Inputs!$C$5:$C$130=$B25)*ISNUMBER(INDEX(Inputs!$K$5:$AJ$130,0,MATCH(O$2,Inputs!$K$4:$AJ$4,0))))+SUMPRODUCT((Inputs!$E$5:$E$130=$B25)*ISNUMBER(INDEX(Inputs!$K$5:$AJ$130,0,MATCH(O$2,Inputs!$K$4:$AJ$4,0))))=0,NA(),SUMPRODUCT((Inputs!$A$5:$A$130=$B25)*Inputs!$B$5:$B$130*(((Inputs!$G$5:$G$130="moeda")+(Inputs!$G$5:$G$130="acoes"))*Inputs!$B$1+((Inputs!$G$5:$G$130&lt;&gt;"moeda")*(Inputs!$G$5:$G$130&lt;&gt;"acoes")))*INDEX(Inputs!$K$5:$AJ$130,0,MATCH(O$2,Inputs!$K$4:$AJ$4,0)))+SUMPRODUCT((Inputs!$C$5:$C$130=$B25)*Inputs!$D$5:$D$130*(((Inputs!$G$5:$G$130="moeda")+(Inputs!$G$5:$G$130="acoes"))*Inputs!$B$1+((Inputs!$G$5:$G$130&lt;&gt;"moeda")*(Inputs!$G$5:$G$130&lt;&gt;"acoes")))*INDEX(Inputs!$K$5:$AJ$130,0,MATCH(O$2,Inputs!$K$4:$AJ$4,0)))+SUMPRODUCT((Inputs!$E$5:$E$130=$B25)*Inputs!$F$5:$F$130*(((Inputs!$G$5:$G$130="moeda")+(Inputs!$G$5:$G$130="acoes"))*Inputs!$B$1+((Inputs!$G$5:$G$130&lt;&gt;"moeda")*(Inputs!$G$5:$G$130&lt;&gt;"acoes")))*INDEX(Inputs!$K$5:$AJ$130,0,MATCH(O$2,Inputs!$K$4:$AJ$4,0)))))</f>
        <v>1395</v>
      </c>
      <c r="P25" s="6">
        <f>IF(ISNA(MATCH(P$2,Inputs!$K$4:$AJ$4,0)),NA(),IF(SUMPRODUCT((Inputs!$A$5:$A$130=$B25)*ISNUMBER(INDEX(Inputs!$K$5:$AJ$130,0,MATCH(P$2,Inputs!$K$4:$AJ$4,0))))+SUMPRODUCT((Inputs!$C$5:$C$130=$B25)*ISNUMBER(INDEX(Inputs!$K$5:$AJ$130,0,MATCH(P$2,Inputs!$K$4:$AJ$4,0))))+SUMPRODUCT((Inputs!$E$5:$E$130=$B25)*ISNUMBER(INDEX(Inputs!$K$5:$AJ$130,0,MATCH(P$2,Inputs!$K$4:$AJ$4,0))))=0,NA(),SUMPRODUCT((Inputs!$A$5:$A$130=$B25)*Inputs!$B$5:$B$130*(((Inputs!$G$5:$G$130="moeda")+(Inputs!$G$5:$G$130="acoes"))*Inputs!$B$1+((Inputs!$G$5:$G$130&lt;&gt;"moeda")*(Inputs!$G$5:$G$130&lt;&gt;"acoes")))*INDEX(Inputs!$K$5:$AJ$130,0,MATCH(P$2,Inputs!$K$4:$AJ$4,0)))+SUMPRODUCT((Inputs!$C$5:$C$130=$B25)*Inputs!$D$5:$D$130*(((Inputs!$G$5:$G$130="moeda")+(Inputs!$G$5:$G$130="acoes"))*Inputs!$B$1+((Inputs!$G$5:$G$130&lt;&gt;"moeda")*(Inputs!$G$5:$G$130&lt;&gt;"acoes")))*INDEX(Inputs!$K$5:$AJ$130,0,MATCH(P$2,Inputs!$K$4:$AJ$4,0)))+SUMPRODUCT((Inputs!$E$5:$E$130=$B25)*Inputs!$F$5:$F$130*(((Inputs!$G$5:$G$130="moeda")+(Inputs!$G$5:$G$130="acoes"))*Inputs!$B$1+((Inputs!$G$5:$G$130&lt;&gt;"moeda")*(Inputs!$G$5:$G$130&lt;&gt;"acoes")))*INDEX(Inputs!$K$5:$AJ$130,0,MATCH(P$2,Inputs!$K$4:$AJ$4,0)))))</f>
        <v>1251</v>
      </c>
      <c r="Q25" s="6">
        <f>IF(ISNA(MATCH(Q$2,Inputs!$K$4:$AJ$4,0)),NA(),IF(SUMPRODUCT((Inputs!$A$5:$A$130=$B25)*ISNUMBER(INDEX(Inputs!$K$5:$AJ$130,0,MATCH(Q$2,Inputs!$K$4:$AJ$4,0))))+SUMPRODUCT((Inputs!$C$5:$C$130=$B25)*ISNUMBER(INDEX(Inputs!$K$5:$AJ$130,0,MATCH(Q$2,Inputs!$K$4:$AJ$4,0))))+SUMPRODUCT((Inputs!$E$5:$E$130=$B25)*ISNUMBER(INDEX(Inputs!$K$5:$AJ$130,0,MATCH(Q$2,Inputs!$K$4:$AJ$4,0))))=0,NA(),SUMPRODUCT((Inputs!$A$5:$A$130=$B25)*Inputs!$B$5:$B$130*(((Inputs!$G$5:$G$130="moeda")+(Inputs!$G$5:$G$130="acoes"))*Inputs!$B$1+((Inputs!$G$5:$G$130&lt;&gt;"moeda")*(Inputs!$G$5:$G$130&lt;&gt;"acoes")))*INDEX(Inputs!$K$5:$AJ$130,0,MATCH(Q$2,Inputs!$K$4:$AJ$4,0)))+SUMPRODUCT((Inputs!$C$5:$C$130=$B25)*Inputs!$D$5:$D$130*(((Inputs!$G$5:$G$130="moeda")+(Inputs!$G$5:$G$130="acoes"))*Inputs!$B$1+((Inputs!$G$5:$G$130&lt;&gt;"moeda")*(Inputs!$G$5:$G$130&lt;&gt;"acoes")))*INDEX(Inputs!$K$5:$AJ$130,0,MATCH(Q$2,Inputs!$K$4:$AJ$4,0)))+SUMPRODUCT((Inputs!$E$5:$E$130=$B25)*Inputs!$F$5:$F$130*(((Inputs!$G$5:$G$130="moeda")+(Inputs!$G$5:$G$130="acoes"))*Inputs!$B$1+((Inputs!$G$5:$G$130&lt;&gt;"moeda")*(Inputs!$G$5:$G$130&lt;&gt;"acoes")))*INDEX(Inputs!$K$5:$AJ$130,0,MATCH(Q$2,Inputs!$K$4:$AJ$4,0)))))</f>
        <v>1112</v>
      </c>
      <c r="R25" s="3">
        <f>Q25</f>
        <v>1112</v>
      </c>
      <c r="S25" s="6">
        <f>IF(ISNA(MATCH(S$2,Inputs!$K$4:$AJ$4,0)),NA(),IF(SUMPRODUCT((Inputs!$A$5:$A$130=$B25)*ISNUMBER(INDEX(Inputs!$K$5:$AJ$130,0,MATCH(S$2,Inputs!$K$4:$AJ$4,0))))+SUMPRODUCT((Inputs!$C$5:$C$130=$B25)*ISNUMBER(INDEX(Inputs!$K$5:$AJ$130,0,MATCH(S$2,Inputs!$K$4:$AJ$4,0))))+SUMPRODUCT((Inputs!$E$5:$E$130=$B25)*ISNUMBER(INDEX(Inputs!$K$5:$AJ$130,0,MATCH(S$2,Inputs!$K$4:$AJ$4,0))))=0,NA(),SUMPRODUCT((Inputs!$A$5:$A$130=$B25)*Inputs!$B$5:$B$130*(((Inputs!$G$5:$G$130="moeda")+(Inputs!$G$5:$G$130="acoes"))*Inputs!$B$1+((Inputs!$G$5:$G$130&lt;&gt;"moeda")*(Inputs!$G$5:$G$130&lt;&gt;"acoes")))*INDEX(Inputs!$K$5:$AJ$130,0,MATCH(S$2,Inputs!$K$4:$AJ$4,0)))+SUMPRODUCT((Inputs!$C$5:$C$130=$B25)*Inputs!$D$5:$D$130*(((Inputs!$G$5:$G$130="moeda")+(Inputs!$G$5:$G$130="acoes"))*Inputs!$B$1+((Inputs!$G$5:$G$130&lt;&gt;"moeda")*(Inputs!$G$5:$G$130&lt;&gt;"acoes")))*INDEX(Inputs!$K$5:$AJ$130,0,MATCH(S$2,Inputs!$K$4:$AJ$4,0)))+SUMPRODUCT((Inputs!$E$5:$E$130=$B25)*Inputs!$F$5:$F$130*(((Inputs!$G$5:$G$130="moeda")+(Inputs!$G$5:$G$130="acoes"))*Inputs!$B$1+((Inputs!$G$5:$G$130&lt;&gt;"moeda")*(Inputs!$G$5:$G$130&lt;&gt;"acoes")))*INDEX(Inputs!$K$5:$AJ$130,0,MATCH(S$2,Inputs!$K$4:$AJ$4,0)))))</f>
        <v>986</v>
      </c>
      <c r="T25" s="6">
        <f>IF(ISNA(MATCH(T$2,Inputs!$K$4:$AJ$4,0)),NA(),IF(SUMPRODUCT((Inputs!$A$5:$A$130=$B25)*ISNUMBER(INDEX(Inputs!$K$5:$AJ$130,0,MATCH(T$2,Inputs!$K$4:$AJ$4,0))))+SUMPRODUCT((Inputs!$C$5:$C$130=$B25)*ISNUMBER(INDEX(Inputs!$K$5:$AJ$130,0,MATCH(T$2,Inputs!$K$4:$AJ$4,0))))+SUMPRODUCT((Inputs!$E$5:$E$130=$B25)*ISNUMBER(INDEX(Inputs!$K$5:$AJ$130,0,MATCH(T$2,Inputs!$K$4:$AJ$4,0))))=0,NA(),SUMPRODUCT((Inputs!$A$5:$A$130=$B25)*Inputs!$B$5:$B$130*(((Inputs!$G$5:$G$130="moeda")+(Inputs!$G$5:$G$130="acoes"))*Inputs!$B$1+((Inputs!$G$5:$G$130&lt;&gt;"moeda")*(Inputs!$G$5:$G$130&lt;&gt;"acoes")))*INDEX(Inputs!$K$5:$AJ$130,0,MATCH(T$2,Inputs!$K$4:$AJ$4,0)))+SUMPRODUCT((Inputs!$C$5:$C$130=$B25)*Inputs!$D$5:$D$130*(((Inputs!$G$5:$G$130="moeda")+(Inputs!$G$5:$G$130="acoes"))*Inputs!$B$1+((Inputs!$G$5:$G$130&lt;&gt;"moeda")*(Inputs!$G$5:$G$130&lt;&gt;"acoes")))*INDEX(Inputs!$K$5:$AJ$130,0,MATCH(T$2,Inputs!$K$4:$AJ$4,0)))+SUMPRODUCT((Inputs!$E$5:$E$130=$B25)*Inputs!$F$5:$F$130*(((Inputs!$G$5:$G$130="moeda")+(Inputs!$G$5:$G$130="acoes"))*Inputs!$B$1+((Inputs!$G$5:$G$130&lt;&gt;"moeda")*(Inputs!$G$5:$G$130&lt;&gt;"acoes")))*INDEX(Inputs!$K$5:$AJ$130,0,MATCH(T$2,Inputs!$K$4:$AJ$4,0)))))</f>
        <v>952</v>
      </c>
      <c r="U25" s="6">
        <f>IF(ISNA(MATCH(U$2,Inputs!$K$4:$AJ$4,0)),NA(),IF(SUMPRODUCT((Inputs!$A$5:$A$130=$B25)*ISNUMBER(INDEX(Inputs!$K$5:$AJ$130,0,MATCH(U$2,Inputs!$K$4:$AJ$4,0))))+SUMPRODUCT((Inputs!$C$5:$C$130=$B25)*ISNUMBER(INDEX(Inputs!$K$5:$AJ$130,0,MATCH(U$2,Inputs!$K$4:$AJ$4,0))))+SUMPRODUCT((Inputs!$E$5:$E$130=$B25)*ISNUMBER(INDEX(Inputs!$K$5:$AJ$130,0,MATCH(U$2,Inputs!$K$4:$AJ$4,0))))=0,NA(),SUMPRODUCT((Inputs!$A$5:$A$130=$B25)*Inputs!$B$5:$B$130*(((Inputs!$G$5:$G$130="moeda")+(Inputs!$G$5:$G$130="acoes"))*Inputs!$B$1+((Inputs!$G$5:$G$130&lt;&gt;"moeda")*(Inputs!$G$5:$G$130&lt;&gt;"acoes")))*INDEX(Inputs!$K$5:$AJ$130,0,MATCH(U$2,Inputs!$K$4:$AJ$4,0)))+SUMPRODUCT((Inputs!$C$5:$C$130=$B25)*Inputs!$D$5:$D$130*(((Inputs!$G$5:$G$130="moeda")+(Inputs!$G$5:$G$130="acoes"))*Inputs!$B$1+((Inputs!$G$5:$G$130&lt;&gt;"moeda")*(Inputs!$G$5:$G$130&lt;&gt;"acoes")))*INDEX(Inputs!$K$5:$AJ$130,0,MATCH(U$2,Inputs!$K$4:$AJ$4,0)))+SUMPRODUCT((Inputs!$E$5:$E$130=$B25)*Inputs!$F$5:$F$130*(((Inputs!$G$5:$G$130="moeda")+(Inputs!$G$5:$G$130="acoes"))*Inputs!$B$1+((Inputs!$G$5:$G$130&lt;&gt;"moeda")*(Inputs!$G$5:$G$130&lt;&gt;"acoes")))*INDEX(Inputs!$K$5:$AJ$130,0,MATCH(U$2,Inputs!$K$4:$AJ$4,0)))))</f>
        <v>838</v>
      </c>
      <c r="V25" s="6">
        <f>IF(ISNA(MATCH(V$2,Inputs!$K$4:$AJ$4,0)),NA(),IF(SUMPRODUCT((Inputs!$A$5:$A$130=$B25)*ISNUMBER(INDEX(Inputs!$K$5:$AJ$130,0,MATCH(V$2,Inputs!$K$4:$AJ$4,0))))+SUMPRODUCT((Inputs!$C$5:$C$130=$B25)*ISNUMBER(INDEX(Inputs!$K$5:$AJ$130,0,MATCH(V$2,Inputs!$K$4:$AJ$4,0))))+SUMPRODUCT((Inputs!$E$5:$E$130=$B25)*ISNUMBER(INDEX(Inputs!$K$5:$AJ$130,0,MATCH(V$2,Inputs!$K$4:$AJ$4,0))))=0,NA(),SUMPRODUCT((Inputs!$A$5:$A$130=$B25)*Inputs!$B$5:$B$130*(((Inputs!$G$5:$G$130="moeda")+(Inputs!$G$5:$G$130="acoes"))*Inputs!$B$1+((Inputs!$G$5:$G$130&lt;&gt;"moeda")*(Inputs!$G$5:$G$130&lt;&gt;"acoes")))*INDEX(Inputs!$K$5:$AJ$130,0,MATCH(V$2,Inputs!$K$4:$AJ$4,0)))+SUMPRODUCT((Inputs!$C$5:$C$130=$B25)*Inputs!$D$5:$D$130*(((Inputs!$G$5:$G$130="moeda")+(Inputs!$G$5:$G$130="acoes"))*Inputs!$B$1+((Inputs!$G$5:$G$130&lt;&gt;"moeda")*(Inputs!$G$5:$G$130&lt;&gt;"acoes")))*INDEX(Inputs!$K$5:$AJ$130,0,MATCH(V$2,Inputs!$K$4:$AJ$4,0)))+SUMPRODUCT((Inputs!$E$5:$E$130=$B25)*Inputs!$F$5:$F$130*(((Inputs!$G$5:$G$130="moeda")+(Inputs!$G$5:$G$130="acoes"))*Inputs!$B$1+((Inputs!$G$5:$G$130&lt;&gt;"moeda")*(Inputs!$G$5:$G$130&lt;&gt;"acoes")))*INDEX(Inputs!$K$5:$AJ$130,0,MATCH(V$2,Inputs!$K$4:$AJ$4,0)))))</f>
        <v>807</v>
      </c>
      <c r="W25" s="3">
        <f>V25</f>
        <v>807</v>
      </c>
      <c r="X25" s="6">
        <f>IF(ISNA(MATCH(X$2,Inputs!$K$4:$AJ$4,0)),NA(),IF(SUMPRODUCT((Inputs!$A$5:$A$130=$B25)*ISNUMBER(INDEX(Inputs!$K$5:$AJ$130,0,MATCH(X$2,Inputs!$K$4:$AJ$4,0))))+SUMPRODUCT((Inputs!$C$5:$C$130=$B25)*ISNUMBER(INDEX(Inputs!$K$5:$AJ$130,0,MATCH(X$2,Inputs!$K$4:$AJ$4,0))))+SUMPRODUCT((Inputs!$E$5:$E$130=$B25)*ISNUMBER(INDEX(Inputs!$K$5:$AJ$130,0,MATCH(X$2,Inputs!$K$4:$AJ$4,0))))=0,NA(),SUMPRODUCT((Inputs!$A$5:$A$130=$B25)*Inputs!$B$5:$B$130*(((Inputs!$G$5:$G$130="moeda")+(Inputs!$G$5:$G$130="acoes"))*Inputs!$B$1+((Inputs!$G$5:$G$130&lt;&gt;"moeda")*(Inputs!$G$5:$G$130&lt;&gt;"acoes")))*INDEX(Inputs!$K$5:$AJ$130,0,MATCH(X$2,Inputs!$K$4:$AJ$4,0)))+SUMPRODUCT((Inputs!$C$5:$C$130=$B25)*Inputs!$D$5:$D$130*(((Inputs!$G$5:$G$130="moeda")+(Inputs!$G$5:$G$130="acoes"))*Inputs!$B$1+((Inputs!$G$5:$G$130&lt;&gt;"moeda")*(Inputs!$G$5:$G$130&lt;&gt;"acoes")))*INDEX(Inputs!$K$5:$AJ$130,0,MATCH(X$2,Inputs!$K$4:$AJ$4,0)))+SUMPRODUCT((Inputs!$E$5:$E$130=$B25)*Inputs!$F$5:$F$130*(((Inputs!$G$5:$G$130="moeda")+(Inputs!$G$5:$G$130="acoes"))*Inputs!$B$1+((Inputs!$G$5:$G$130&lt;&gt;"moeda")*(Inputs!$G$5:$G$130&lt;&gt;"acoes")))*INDEX(Inputs!$K$5:$AJ$130,0,MATCH(X$2,Inputs!$K$4:$AJ$4,0)))))</f>
        <v>769</v>
      </c>
      <c r="Y25" s="6">
        <f>IF(ISNA(MATCH(Y$2,Inputs!$K$4:$AJ$4,0)),NA(),IF(SUMPRODUCT((Inputs!$A$5:$A$130=$B25)*ISNUMBER(INDEX(Inputs!$K$5:$AJ$130,0,MATCH(Y$2,Inputs!$K$4:$AJ$4,0))))+SUMPRODUCT((Inputs!$C$5:$C$130=$B25)*ISNUMBER(INDEX(Inputs!$K$5:$AJ$130,0,MATCH(Y$2,Inputs!$K$4:$AJ$4,0))))+SUMPRODUCT((Inputs!$E$5:$E$130=$B25)*ISNUMBER(INDEX(Inputs!$K$5:$AJ$130,0,MATCH(Y$2,Inputs!$K$4:$AJ$4,0))))=0,NA(),SUMPRODUCT((Inputs!$A$5:$A$130=$B25)*Inputs!$B$5:$B$130*(((Inputs!$G$5:$G$130="moeda")+(Inputs!$G$5:$G$130="acoes"))*Inputs!$B$1+((Inputs!$G$5:$G$130&lt;&gt;"moeda")*(Inputs!$G$5:$G$130&lt;&gt;"acoes")))*INDEX(Inputs!$K$5:$AJ$130,0,MATCH(Y$2,Inputs!$K$4:$AJ$4,0)))+SUMPRODUCT((Inputs!$C$5:$C$130=$B25)*Inputs!$D$5:$D$130*(((Inputs!$G$5:$G$130="moeda")+(Inputs!$G$5:$G$130="acoes"))*Inputs!$B$1+((Inputs!$G$5:$G$130&lt;&gt;"moeda")*(Inputs!$G$5:$G$130&lt;&gt;"acoes")))*INDEX(Inputs!$K$5:$AJ$130,0,MATCH(Y$2,Inputs!$K$4:$AJ$4,0)))+SUMPRODUCT((Inputs!$E$5:$E$130=$B25)*Inputs!$F$5:$F$130*(((Inputs!$G$5:$G$130="moeda")+(Inputs!$G$5:$G$130="acoes"))*Inputs!$B$1+((Inputs!$G$5:$G$130&lt;&gt;"moeda")*(Inputs!$G$5:$G$130&lt;&gt;"acoes")))*INDEX(Inputs!$K$5:$AJ$130,0,MATCH(Y$2,Inputs!$K$4:$AJ$4,0)))))</f>
        <v>755</v>
      </c>
      <c r="Z25" s="6">
        <f>IF(ISNA(MATCH(Z$2,Inputs!$K$4:$AJ$4,0)),NA(),IF(SUMPRODUCT((Inputs!$A$5:$A$130=$B25)*ISNUMBER(INDEX(Inputs!$K$5:$AJ$130,0,MATCH(Z$2,Inputs!$K$4:$AJ$4,0))))+SUMPRODUCT((Inputs!$C$5:$C$130=$B25)*ISNUMBER(INDEX(Inputs!$K$5:$AJ$130,0,MATCH(Z$2,Inputs!$K$4:$AJ$4,0))))+SUMPRODUCT((Inputs!$E$5:$E$130=$B25)*ISNUMBER(INDEX(Inputs!$K$5:$AJ$130,0,MATCH(Z$2,Inputs!$K$4:$AJ$4,0))))=0,NA(),SUMPRODUCT((Inputs!$A$5:$A$130=$B25)*Inputs!$B$5:$B$130*(((Inputs!$G$5:$G$130="moeda")+(Inputs!$G$5:$G$130="acoes"))*Inputs!$B$1+((Inputs!$G$5:$G$130&lt;&gt;"moeda")*(Inputs!$G$5:$G$130&lt;&gt;"acoes")))*INDEX(Inputs!$K$5:$AJ$130,0,MATCH(Z$2,Inputs!$K$4:$AJ$4,0)))+SUMPRODUCT((Inputs!$C$5:$C$130=$B25)*Inputs!$D$5:$D$130*(((Inputs!$G$5:$G$130="moeda")+(Inputs!$G$5:$G$130="acoes"))*Inputs!$B$1+((Inputs!$G$5:$G$130&lt;&gt;"moeda")*(Inputs!$G$5:$G$130&lt;&gt;"acoes")))*INDEX(Inputs!$K$5:$AJ$130,0,MATCH(Z$2,Inputs!$K$4:$AJ$4,0)))+SUMPRODUCT((Inputs!$E$5:$E$130=$B25)*Inputs!$F$5:$F$130*(((Inputs!$G$5:$G$130="moeda")+(Inputs!$G$5:$G$130="acoes"))*Inputs!$B$1+((Inputs!$G$5:$G$130&lt;&gt;"moeda")*(Inputs!$G$5:$G$130&lt;&gt;"acoes")))*INDEX(Inputs!$K$5:$AJ$130,0,MATCH(Z$2,Inputs!$K$4:$AJ$4,0)))))</f>
        <v>936</v>
      </c>
      <c r="AA25" s="6">
        <f>IF(ISNA(MATCH(AA$2,Inputs!$K$4:$AJ$4,0)),NA(),IF(SUMPRODUCT((Inputs!$A$5:$A$130=$B25)*ISNUMBER(INDEX(Inputs!$K$5:$AJ$130,0,MATCH(AA$2,Inputs!$K$4:$AJ$4,0))))+SUMPRODUCT((Inputs!$C$5:$C$130=$B25)*ISNUMBER(INDEX(Inputs!$K$5:$AJ$130,0,MATCH(AA$2,Inputs!$K$4:$AJ$4,0))))+SUMPRODUCT((Inputs!$E$5:$E$130=$B25)*ISNUMBER(INDEX(Inputs!$K$5:$AJ$130,0,MATCH(AA$2,Inputs!$K$4:$AJ$4,0))))=0,NA(),SUMPRODUCT((Inputs!$A$5:$A$130=$B25)*Inputs!$B$5:$B$130*(((Inputs!$G$5:$G$130="moeda")+(Inputs!$G$5:$G$130="acoes"))*Inputs!$B$1+((Inputs!$G$5:$G$130&lt;&gt;"moeda")*(Inputs!$G$5:$G$130&lt;&gt;"acoes")))*INDEX(Inputs!$K$5:$AJ$130,0,MATCH(AA$2,Inputs!$K$4:$AJ$4,0)))+SUMPRODUCT((Inputs!$C$5:$C$130=$B25)*Inputs!$D$5:$D$130*(((Inputs!$G$5:$G$130="moeda")+(Inputs!$G$5:$G$130="acoes"))*Inputs!$B$1+((Inputs!$G$5:$G$130&lt;&gt;"moeda")*(Inputs!$G$5:$G$130&lt;&gt;"acoes")))*INDEX(Inputs!$K$5:$AJ$130,0,MATCH(AA$2,Inputs!$K$4:$AJ$4,0)))+SUMPRODUCT((Inputs!$E$5:$E$130=$B25)*Inputs!$F$5:$F$130*(((Inputs!$G$5:$G$130="moeda")+(Inputs!$G$5:$G$130="acoes"))*Inputs!$B$1+((Inputs!$G$5:$G$130&lt;&gt;"moeda")*(Inputs!$G$5:$G$130&lt;&gt;"acoes")))*INDEX(Inputs!$K$5:$AJ$130,0,MATCH(AA$2,Inputs!$K$4:$AJ$4,0)))))</f>
        <v>3306</v>
      </c>
      <c r="AB25" s="3">
        <f>AA25</f>
        <v>3306</v>
      </c>
      <c r="AC25" s="6">
        <f>IF(ISNA(MATCH(AC$2,Inputs!$K$4:$AJ$4,0)),NA(),IF(SUMPRODUCT((Inputs!$A$5:$A$130=$B25)*ISNUMBER(INDEX(Inputs!$K$5:$AJ$130,0,MATCH(AC$2,Inputs!$K$4:$AJ$4,0))))+SUMPRODUCT((Inputs!$C$5:$C$130=$B25)*ISNUMBER(INDEX(Inputs!$K$5:$AJ$130,0,MATCH(AC$2,Inputs!$K$4:$AJ$4,0))))+SUMPRODUCT((Inputs!$E$5:$E$130=$B25)*ISNUMBER(INDEX(Inputs!$K$5:$AJ$130,0,MATCH(AC$2,Inputs!$K$4:$AJ$4,0))))=0,NA(),SUMPRODUCT((Inputs!$A$5:$A$130=$B25)*Inputs!$B$5:$B$130*(((Inputs!$G$5:$G$130="moeda")+(Inputs!$G$5:$G$130="acoes"))*Inputs!$B$1+((Inputs!$G$5:$G$130&lt;&gt;"moeda")*(Inputs!$G$5:$G$130&lt;&gt;"acoes")))*INDEX(Inputs!$K$5:$AJ$130,0,MATCH(AC$2,Inputs!$K$4:$AJ$4,0)))+SUMPRODUCT((Inputs!$C$5:$C$130=$B25)*Inputs!$D$5:$D$130*(((Inputs!$G$5:$G$130="moeda")+(Inputs!$G$5:$G$130="acoes"))*Inputs!$B$1+((Inputs!$G$5:$G$130&lt;&gt;"moeda")*(Inputs!$G$5:$G$130&lt;&gt;"acoes")))*INDEX(Inputs!$K$5:$AJ$130,0,MATCH(AC$2,Inputs!$K$4:$AJ$4,0)))+SUMPRODUCT((Inputs!$E$5:$E$130=$B25)*Inputs!$F$5:$F$130*(((Inputs!$G$5:$G$130="moeda")+(Inputs!$G$5:$G$130="acoes"))*Inputs!$B$1+((Inputs!$G$5:$G$130&lt;&gt;"moeda")*(Inputs!$G$5:$G$130&lt;&gt;"acoes")))*INDEX(Inputs!$K$5:$AJ$130,0,MATCH(AC$2,Inputs!$K$4:$AJ$4,0)))))</f>
        <v>3120</v>
      </c>
      <c r="AD25" s="6">
        <f>IF(ISNA(MATCH(AD$2,Inputs!$K$4:$AJ$4,0)),NA(),IF(SUMPRODUCT((Inputs!$A$5:$A$130=$B25)*ISNUMBER(INDEX(Inputs!$K$5:$AJ$130,0,MATCH(AD$2,Inputs!$K$4:$AJ$4,0))))+SUMPRODUCT((Inputs!$C$5:$C$130=$B25)*ISNUMBER(INDEX(Inputs!$K$5:$AJ$130,0,MATCH(AD$2,Inputs!$K$4:$AJ$4,0))))+SUMPRODUCT((Inputs!$E$5:$E$130=$B25)*ISNUMBER(INDEX(Inputs!$K$5:$AJ$130,0,MATCH(AD$2,Inputs!$K$4:$AJ$4,0))))=0,NA(),SUMPRODUCT((Inputs!$A$5:$A$130=$B25)*Inputs!$B$5:$B$130*(((Inputs!$G$5:$G$130="moeda")+(Inputs!$G$5:$G$130="acoes"))*Inputs!$B$1+((Inputs!$G$5:$G$130&lt;&gt;"moeda")*(Inputs!$G$5:$G$130&lt;&gt;"acoes")))*INDEX(Inputs!$K$5:$AJ$130,0,MATCH(AD$2,Inputs!$K$4:$AJ$4,0)))+SUMPRODUCT((Inputs!$C$5:$C$130=$B25)*Inputs!$D$5:$D$130*(((Inputs!$G$5:$G$130="moeda")+(Inputs!$G$5:$G$130="acoes"))*Inputs!$B$1+((Inputs!$G$5:$G$130&lt;&gt;"moeda")*(Inputs!$G$5:$G$130&lt;&gt;"acoes")))*INDEX(Inputs!$K$5:$AJ$130,0,MATCH(AD$2,Inputs!$K$4:$AJ$4,0)))+SUMPRODUCT((Inputs!$E$5:$E$130=$B25)*Inputs!$F$5:$F$130*(((Inputs!$G$5:$G$130="moeda")+(Inputs!$G$5:$G$130="acoes"))*Inputs!$B$1+((Inputs!$G$5:$G$130&lt;&gt;"moeda")*(Inputs!$G$5:$G$130&lt;&gt;"acoes")))*INDEX(Inputs!$K$5:$AJ$130,0,MATCH(AD$2,Inputs!$K$4:$AJ$4,0)))))</f>
        <v>2998</v>
      </c>
      <c r="AE25" s="6" t="e">
        <f>IF(ISNA(MATCH(AE$2,Inputs!$K$4:$AJ$4,0)),NA(),IF(SUMPRODUCT((Inputs!$A$5:$A$130=$B25)*ISNUMBER(INDEX(Inputs!$K$5:$AJ$130,0,MATCH(AE$2,Inputs!$K$4:$AJ$4,0))))+SUMPRODUCT((Inputs!$C$5:$C$130=$B25)*ISNUMBER(INDEX(Inputs!$K$5:$AJ$130,0,MATCH(AE$2,Inputs!$K$4:$AJ$4,0))))+SUMPRODUCT((Inputs!$E$5:$E$130=$B25)*ISNUMBER(INDEX(Inputs!$K$5:$AJ$130,0,MATCH(AE$2,Inputs!$K$4:$AJ$4,0))))=0,NA(),SUMPRODUCT((Inputs!$A$5:$A$130=$B25)*Inputs!$B$5:$B$130*(((Inputs!$G$5:$G$130="moeda")+(Inputs!$G$5:$G$130="acoes"))*Inputs!$B$1+((Inputs!$G$5:$G$130&lt;&gt;"moeda")*(Inputs!$G$5:$G$130&lt;&gt;"acoes")))*INDEX(Inputs!$K$5:$AJ$130,0,MATCH(AE$2,Inputs!$K$4:$AJ$4,0)))+SUMPRODUCT((Inputs!$C$5:$C$130=$B25)*Inputs!$D$5:$D$130*(((Inputs!$G$5:$G$130="moeda")+(Inputs!$G$5:$G$130="acoes"))*Inputs!$B$1+((Inputs!$G$5:$G$130&lt;&gt;"moeda")*(Inputs!$G$5:$G$130&lt;&gt;"acoes")))*INDEX(Inputs!$K$5:$AJ$130,0,MATCH(AE$2,Inputs!$K$4:$AJ$4,0)))+SUMPRODUCT((Inputs!$E$5:$E$130=$B25)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5" s="6" t="e">
        <f>IF(ISNA(MATCH(AF$2,Inputs!$K$4:$AJ$4,0)),NA(),IF(SUMPRODUCT((Inputs!$A$5:$A$130=$B25)*ISNUMBER(INDEX(Inputs!$K$5:$AJ$130,0,MATCH(AF$2,Inputs!$K$4:$AJ$4,0))))+SUMPRODUCT((Inputs!$C$5:$C$130=$B25)*ISNUMBER(INDEX(Inputs!$K$5:$AJ$130,0,MATCH(AF$2,Inputs!$K$4:$AJ$4,0))))+SUMPRODUCT((Inputs!$E$5:$E$130=$B25)*ISNUMBER(INDEX(Inputs!$K$5:$AJ$130,0,MATCH(AF$2,Inputs!$K$4:$AJ$4,0))))=0,NA(),SUMPRODUCT((Inputs!$A$5:$A$130=$B25)*Inputs!$B$5:$B$130*(((Inputs!$G$5:$G$130="moeda")+(Inputs!$G$5:$G$130="acoes"))*Inputs!$B$1+((Inputs!$G$5:$G$130&lt;&gt;"moeda")*(Inputs!$G$5:$G$130&lt;&gt;"acoes")))*INDEX(Inputs!$K$5:$AJ$130,0,MATCH(AF$2,Inputs!$K$4:$AJ$4,0)))+SUMPRODUCT((Inputs!$C$5:$C$130=$B25)*Inputs!$D$5:$D$130*(((Inputs!$G$5:$G$130="moeda")+(Inputs!$G$5:$G$130="acoes"))*Inputs!$B$1+((Inputs!$G$5:$G$130&lt;&gt;"moeda")*(Inputs!$G$5:$G$130&lt;&gt;"acoes")))*INDEX(Inputs!$K$5:$AJ$130,0,MATCH(AF$2,Inputs!$K$4:$AJ$4,0)))+SUMPRODUCT((Inputs!$E$5:$E$130=$B25)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5" s="3" t="e">
        <f>AF25</f>
        <v>#N/A</v>
      </c>
      <c r="AH25" s="6">
        <f>IF(ISNA(MATCH(AH$2,Inputs!$K$4:$AJ$4,0)),NA(),IF(SUMPRODUCT((Inputs!$A$5:$A$130=$B25)*ISNUMBER(INDEX(Inputs!$K$5:$AJ$130,0,MATCH(AH$2,Inputs!$K$4:$AJ$4,0))))+SUMPRODUCT((Inputs!$C$5:$C$130=$B25)*ISNUMBER(INDEX(Inputs!$K$5:$AJ$130,0,MATCH(AH$2,Inputs!$K$4:$AJ$4,0))))+SUMPRODUCT((Inputs!$E$5:$E$130=$B25)*ISNUMBER(INDEX(Inputs!$K$5:$AJ$130,0,MATCH(AH$2,Inputs!$K$4:$AJ$4,0))))=0,NA(),SUMPRODUCT((Inputs!$A$5:$A$130=$B25)*Inputs!$B$5:$B$130*(((Inputs!$G$5:$G$130="moeda")+(Inputs!$G$5:$G$130="acoes"))*Inputs!$B$1+((Inputs!$G$5:$G$130&lt;&gt;"moeda")*(Inputs!$G$5:$G$130&lt;&gt;"acoes")))*INDEX(Inputs!$K$5:$AJ$130,0,MATCH(AH$2,Inputs!$K$4:$AJ$4,0)))+SUMPRODUCT((Inputs!$C$5:$C$130=$B25)*Inputs!$D$5:$D$130*(((Inputs!$G$5:$G$130="moeda")+(Inputs!$G$5:$G$130="acoes"))*Inputs!$B$1+((Inputs!$G$5:$G$130&lt;&gt;"moeda")*(Inputs!$G$5:$G$130&lt;&gt;"acoes")))*INDEX(Inputs!$K$5:$AJ$130,0,MATCH(AH$2,Inputs!$K$4:$AJ$4,0)))+SUMPRODUCT((Inputs!$E$5:$E$130=$B25)*Inputs!$F$5:$F$130*(((Inputs!$G$5:$G$130="moeda")+(Inputs!$G$5:$G$130="acoes"))*Inputs!$B$1+((Inputs!$G$5:$G$130&lt;&gt;"moeda")*(Inputs!$G$5:$G$130&lt;&gt;"acoes")))*INDEX(Inputs!$K$5:$AJ$130,0,MATCH(AH$2,Inputs!$K$4:$AJ$4,0)))))</f>
        <v>80</v>
      </c>
      <c r="AI25" s="6">
        <f>IF(ISNA(MATCH(AI$2,Inputs!$K$4:$AJ$4,0)),NA(),IF(SUMPRODUCT((Inputs!$A$5:$A$130=$B25)*ISNUMBER(INDEX(Inputs!$K$5:$AJ$130,0,MATCH(AI$2,Inputs!$K$4:$AJ$4,0))))+SUMPRODUCT((Inputs!$C$5:$C$130=$B25)*ISNUMBER(INDEX(Inputs!$K$5:$AJ$130,0,MATCH(AI$2,Inputs!$K$4:$AJ$4,0))))+SUMPRODUCT((Inputs!$E$5:$E$130=$B25)*ISNUMBER(INDEX(Inputs!$K$5:$AJ$130,0,MATCH(AI$2,Inputs!$K$4:$AJ$4,0))))=0,NA(),SUMPRODUCT((Inputs!$A$5:$A$130=$B25)*Inputs!$B$5:$B$130*(((Inputs!$G$5:$G$130="moeda")+(Inputs!$G$5:$G$130="acoes"))*Inputs!$B$1+((Inputs!$G$5:$G$130&lt;&gt;"moeda")*(Inputs!$G$5:$G$130&lt;&gt;"acoes")))*INDEX(Inputs!$K$5:$AJ$130,0,MATCH(AI$2,Inputs!$K$4:$AJ$4,0)))+SUMPRODUCT((Inputs!$C$5:$C$130=$B25)*Inputs!$D$5:$D$130*(((Inputs!$G$5:$G$130="moeda")+(Inputs!$G$5:$G$130="acoes"))*Inputs!$B$1+((Inputs!$G$5:$G$130&lt;&gt;"moeda")*(Inputs!$G$5:$G$130&lt;&gt;"acoes")))*INDEX(Inputs!$K$5:$AJ$130,0,MATCH(AI$2,Inputs!$K$4:$AJ$4,0)))+SUMPRODUCT((Inputs!$E$5:$E$130=$B25)*Inputs!$F$5:$F$130*(((Inputs!$G$5:$G$130="moeda")+(Inputs!$G$5:$G$130="acoes"))*Inputs!$B$1+((Inputs!$G$5:$G$130&lt;&gt;"moeda")*(Inputs!$G$5:$G$130&lt;&gt;"acoes")))*INDEX(Inputs!$K$5:$AJ$130,0,MATCH(AI$2,Inputs!$K$4:$AJ$4,0)))))</f>
        <v>2854</v>
      </c>
      <c r="AJ25" s="6">
        <f>IF(ISNA(MATCH(AJ$2,Inputs!$K$4:$AJ$4,0)),NA(),IF(SUMPRODUCT((Inputs!$A$5:$A$130=$B25)*ISNUMBER(INDEX(Inputs!$K$5:$AJ$130,0,MATCH(AJ$2,Inputs!$K$4:$AJ$4,0))))+SUMPRODUCT((Inputs!$C$5:$C$130=$B25)*ISNUMBER(INDEX(Inputs!$K$5:$AJ$130,0,MATCH(AJ$2,Inputs!$K$4:$AJ$4,0))))+SUMPRODUCT((Inputs!$E$5:$E$130=$B25)*ISNUMBER(INDEX(Inputs!$K$5:$AJ$130,0,MATCH(AJ$2,Inputs!$K$4:$AJ$4,0))))=0,NA(),SUMPRODUCT((Inputs!$A$5:$A$130=$B25)*Inputs!$B$5:$B$130*(((Inputs!$G$5:$G$130="moeda")+(Inputs!$G$5:$G$130="acoes"))*Inputs!$B$1+((Inputs!$G$5:$G$130&lt;&gt;"moeda")*(Inputs!$G$5:$G$130&lt;&gt;"acoes")))*INDEX(Inputs!$K$5:$AJ$130,0,MATCH(AJ$2,Inputs!$K$4:$AJ$4,0)))+SUMPRODUCT((Inputs!$C$5:$C$130=$B25)*Inputs!$D$5:$D$130*(((Inputs!$G$5:$G$130="moeda")+(Inputs!$G$5:$G$130="acoes"))*Inputs!$B$1+((Inputs!$G$5:$G$130&lt;&gt;"moeda")*(Inputs!$G$5:$G$130&lt;&gt;"acoes")))*INDEX(Inputs!$K$5:$AJ$130,0,MATCH(AJ$2,Inputs!$K$4:$AJ$4,0)))+SUMPRODUCT((Inputs!$E$5:$E$130=$B25)*Inputs!$F$5:$F$130*(((Inputs!$G$5:$G$130="moeda")+(Inputs!$G$5:$G$130="acoes"))*Inputs!$B$1+((Inputs!$G$5:$G$130&lt;&gt;"moeda")*(Inputs!$G$5:$G$130&lt;&gt;"acoes")))*INDEX(Inputs!$K$5:$AJ$130,0,MATCH(AJ$2,Inputs!$K$4:$AJ$4,0)))))</f>
        <v>2861</v>
      </c>
      <c r="AK25" s="6">
        <f>IF(ISNA(MATCH(AK$2,Inputs!$K$4:$AJ$4,0)),NA(),IF(SUMPRODUCT((Inputs!$A$5:$A$130=$B25)*ISNUMBER(INDEX(Inputs!$K$5:$AJ$130,0,MATCH(AK$2,Inputs!$K$4:$AJ$4,0))))+SUMPRODUCT((Inputs!$C$5:$C$130=$B25)*ISNUMBER(INDEX(Inputs!$K$5:$AJ$130,0,MATCH(AK$2,Inputs!$K$4:$AJ$4,0))))+SUMPRODUCT((Inputs!$E$5:$E$130=$B25)*ISNUMBER(INDEX(Inputs!$K$5:$AJ$130,0,MATCH(AK$2,Inputs!$K$4:$AJ$4,0))))=0,NA(),SUMPRODUCT((Inputs!$A$5:$A$130=$B25)*Inputs!$B$5:$B$130*(((Inputs!$G$5:$G$130="moeda")+(Inputs!$G$5:$G$130="acoes"))*Inputs!$B$1+((Inputs!$G$5:$G$130&lt;&gt;"moeda")*(Inputs!$G$5:$G$130&lt;&gt;"acoes")))*INDEX(Inputs!$K$5:$AJ$130,0,MATCH(AK$2,Inputs!$K$4:$AJ$4,0)))+SUMPRODUCT((Inputs!$C$5:$C$130=$B25)*Inputs!$D$5:$D$130*(((Inputs!$G$5:$G$130="moeda")+(Inputs!$G$5:$G$130="acoes"))*Inputs!$B$1+((Inputs!$G$5:$G$130&lt;&gt;"moeda")*(Inputs!$G$5:$G$130&lt;&gt;"acoes")))*INDEX(Inputs!$K$5:$AJ$130,0,MATCH(AK$2,Inputs!$K$4:$AJ$4,0)))+SUMPRODUCT((Inputs!$E$5:$E$130=$B25)*Inputs!$F$5:$F$130*(((Inputs!$G$5:$G$130="moeda")+(Inputs!$G$5:$G$130="acoes"))*Inputs!$B$1+((Inputs!$G$5:$G$130&lt;&gt;"moeda")*(Inputs!$G$5:$G$130&lt;&gt;"acoes")))*INDEX(Inputs!$K$5:$AJ$130,0,MATCH(AK$2,Inputs!$K$4:$AJ$4,0)))))</f>
        <v>2737</v>
      </c>
      <c r="AL25" s="3">
        <f>AK25</f>
        <v>2737</v>
      </c>
    </row>
    <row r="26">
      <c r="B26" s="46" t="n">
        <v>22</v>
      </c>
      <c r="C26" s="26" t="inlineStr">
        <is>
          <t>Other non-current assets</t>
        </is>
      </c>
      <c r="D26" s="6">
        <f>IF(ISNA(MATCH(D$2,Inputs!$K$4:$AJ$4,0)),NA(),IF(SUMPRODUCT((Inputs!$A$5:$A$130=$B26)*ISNUMBER(INDEX(Inputs!$K$5:$AJ$130,0,MATCH(D$2,Inputs!$K$4:$AJ$4,0))))+SUMPRODUCT((Inputs!$C$5:$C$130=$B26)*ISNUMBER(INDEX(Inputs!$K$5:$AJ$130,0,MATCH(D$2,Inputs!$K$4:$AJ$4,0))))+SUMPRODUCT((Inputs!$E$5:$E$130=$B26)*ISNUMBER(INDEX(Inputs!$K$5:$AJ$130,0,MATCH(D$2,Inputs!$K$4:$AJ$4,0))))=0,NA(),SUMPRODUCT((Inputs!$A$5:$A$130=$B26)*Inputs!$B$5:$B$130*(((Inputs!$G$5:$G$130="moeda")+(Inputs!$G$5:$G$130="acoes"))*Inputs!$B$1+((Inputs!$G$5:$G$130&lt;&gt;"moeda")*(Inputs!$G$5:$G$130&lt;&gt;"acoes")))*INDEX(Inputs!$K$5:$AJ$130,0,MATCH(D$2,Inputs!$K$4:$AJ$4,0)))+SUMPRODUCT((Inputs!$C$5:$C$130=$B26)*Inputs!$D$5:$D$130*(((Inputs!$G$5:$G$130="moeda")+(Inputs!$G$5:$G$130="acoes"))*Inputs!$B$1+((Inputs!$G$5:$G$130&lt;&gt;"moeda")*(Inputs!$G$5:$G$130&lt;&gt;"acoes")))*INDEX(Inputs!$K$5:$AJ$130,0,MATCH(D$2,Inputs!$K$4:$AJ$4,0)))+SUMPRODUCT((Inputs!$E$5:$E$130=$B26)*Inputs!$F$5:$F$130*(((Inputs!$G$5:$G$130="moeda")+(Inputs!$G$5:$G$130="acoes"))*Inputs!$B$1+((Inputs!$G$5:$G$130&lt;&gt;"moeda")*(Inputs!$G$5:$G$130&lt;&gt;"acoes")))*INDEX(Inputs!$K$5:$AJ$130,0,MATCH(D$2,Inputs!$K$4:$AJ$4,0)))))</f>
        <v>2090</v>
      </c>
      <c r="E26" s="6">
        <f>IF(ISNA(MATCH(E$2,Inputs!$K$4:$AJ$4,0)),NA(),IF(SUMPRODUCT((Inputs!$A$5:$A$130=$B26)*ISNUMBER(INDEX(Inputs!$K$5:$AJ$130,0,MATCH(E$2,Inputs!$K$4:$AJ$4,0))))+SUMPRODUCT((Inputs!$C$5:$C$130=$B26)*ISNUMBER(INDEX(Inputs!$K$5:$AJ$130,0,MATCH(E$2,Inputs!$K$4:$AJ$4,0))))+SUMPRODUCT((Inputs!$E$5:$E$130=$B26)*ISNUMBER(INDEX(Inputs!$K$5:$AJ$130,0,MATCH(E$2,Inputs!$K$4:$AJ$4,0))))=0,NA(),SUMPRODUCT((Inputs!$A$5:$A$130=$B26)*Inputs!$B$5:$B$130*(((Inputs!$G$5:$G$130="moeda")+(Inputs!$G$5:$G$130="acoes"))*Inputs!$B$1+((Inputs!$G$5:$G$130&lt;&gt;"moeda")*(Inputs!$G$5:$G$130&lt;&gt;"acoes")))*INDEX(Inputs!$K$5:$AJ$130,0,MATCH(E$2,Inputs!$K$4:$AJ$4,0)))+SUMPRODUCT((Inputs!$C$5:$C$130=$B26)*Inputs!$D$5:$D$130*(((Inputs!$G$5:$G$130="moeda")+(Inputs!$G$5:$G$130="acoes"))*Inputs!$B$1+((Inputs!$G$5:$G$130&lt;&gt;"moeda")*(Inputs!$G$5:$G$130&lt;&gt;"acoes")))*INDEX(Inputs!$K$5:$AJ$130,0,MATCH(E$2,Inputs!$K$4:$AJ$4,0)))+SUMPRODUCT((Inputs!$E$5:$E$130=$B26)*Inputs!$F$5:$F$130*(((Inputs!$G$5:$G$130="moeda")+(Inputs!$G$5:$G$130="acoes"))*Inputs!$B$1+((Inputs!$G$5:$G$130&lt;&gt;"moeda")*(Inputs!$G$5:$G$130&lt;&gt;"acoes")))*INDEX(Inputs!$K$5:$AJ$130,0,MATCH(E$2,Inputs!$K$4:$AJ$4,0)))))</f>
        <v>2050</v>
      </c>
      <c r="F26" s="6">
        <f>IF(ISNA(MATCH(F$2,Inputs!$K$4:$AJ$4,0)),NA(),IF(SUMPRODUCT((Inputs!$A$5:$A$130=$B26)*ISNUMBER(INDEX(Inputs!$K$5:$AJ$130,0,MATCH(F$2,Inputs!$K$4:$AJ$4,0))))+SUMPRODUCT((Inputs!$C$5:$C$130=$B26)*ISNUMBER(INDEX(Inputs!$K$5:$AJ$130,0,MATCH(F$2,Inputs!$K$4:$AJ$4,0))))+SUMPRODUCT((Inputs!$E$5:$E$130=$B26)*ISNUMBER(INDEX(Inputs!$K$5:$AJ$130,0,MATCH(F$2,Inputs!$K$4:$AJ$4,0))))=0,NA(),SUMPRODUCT((Inputs!$A$5:$A$130=$B26)*Inputs!$B$5:$B$130*(((Inputs!$G$5:$G$130="moeda")+(Inputs!$G$5:$G$130="acoes"))*Inputs!$B$1+((Inputs!$G$5:$G$130&lt;&gt;"moeda")*(Inputs!$G$5:$G$130&lt;&gt;"acoes")))*INDEX(Inputs!$K$5:$AJ$130,0,MATCH(F$2,Inputs!$K$4:$AJ$4,0)))+SUMPRODUCT((Inputs!$C$5:$C$130=$B26)*Inputs!$D$5:$D$130*(((Inputs!$G$5:$G$130="moeda")+(Inputs!$G$5:$G$130="acoes"))*Inputs!$B$1+((Inputs!$G$5:$G$130&lt;&gt;"moeda")*(Inputs!$G$5:$G$130&lt;&gt;"acoes")))*INDEX(Inputs!$K$5:$AJ$130,0,MATCH(F$2,Inputs!$K$4:$AJ$4,0)))+SUMPRODUCT((Inputs!$E$5:$E$130=$B26)*Inputs!$F$5:$F$130*(((Inputs!$G$5:$G$130="moeda")+(Inputs!$G$5:$G$130="acoes"))*Inputs!$B$1+((Inputs!$G$5:$G$130&lt;&gt;"moeda")*(Inputs!$G$5:$G$130&lt;&gt;"acoes")))*INDEX(Inputs!$K$5:$AJ$130,0,MATCH(F$2,Inputs!$K$4:$AJ$4,0)))))</f>
        <v>3761</v>
      </c>
      <c r="G26" s="6">
        <f>IF(ISNA(MATCH(G$2,Inputs!$K$4:$AJ$4,0)),NA(),IF(SUMPRODUCT((Inputs!$A$5:$A$130=$B26)*ISNUMBER(INDEX(Inputs!$K$5:$AJ$130,0,MATCH(G$2,Inputs!$K$4:$AJ$4,0))))+SUMPRODUCT((Inputs!$C$5:$C$130=$B26)*ISNUMBER(INDEX(Inputs!$K$5:$AJ$130,0,MATCH(G$2,Inputs!$K$4:$AJ$4,0))))+SUMPRODUCT((Inputs!$E$5:$E$130=$B26)*ISNUMBER(INDEX(Inputs!$K$5:$AJ$130,0,MATCH(G$2,Inputs!$K$4:$AJ$4,0))))=0,NA(),SUMPRODUCT((Inputs!$A$5:$A$130=$B26)*Inputs!$B$5:$B$130*(((Inputs!$G$5:$G$130="moeda")+(Inputs!$G$5:$G$130="acoes"))*Inputs!$B$1+((Inputs!$G$5:$G$130&lt;&gt;"moeda")*(Inputs!$G$5:$G$130&lt;&gt;"acoes")))*INDEX(Inputs!$K$5:$AJ$130,0,MATCH(G$2,Inputs!$K$4:$AJ$4,0)))+SUMPRODUCT((Inputs!$C$5:$C$130=$B26)*Inputs!$D$5:$D$130*(((Inputs!$G$5:$G$130="moeda")+(Inputs!$G$5:$G$130="acoes"))*Inputs!$B$1+((Inputs!$G$5:$G$130&lt;&gt;"moeda")*(Inputs!$G$5:$G$130&lt;&gt;"acoes")))*INDEX(Inputs!$K$5:$AJ$130,0,MATCH(G$2,Inputs!$K$4:$AJ$4,0)))+SUMPRODUCT((Inputs!$E$5:$E$130=$B26)*Inputs!$F$5:$F$130*(((Inputs!$G$5:$G$130="moeda")+(Inputs!$G$5:$G$130="acoes"))*Inputs!$B$1+((Inputs!$G$5:$G$130&lt;&gt;"moeda")*(Inputs!$G$5:$G$130&lt;&gt;"acoes")))*INDEX(Inputs!$K$5:$AJ$130,0,MATCH(G$2,Inputs!$K$4:$AJ$4,0)))))</f>
        <v>3841</v>
      </c>
      <c r="H26" s="3">
        <f>G26</f>
        <v>3841</v>
      </c>
      <c r="I26" s="6">
        <f>IF(ISNA(MATCH(I$2,Inputs!$K$4:$AJ$4,0)),NA(),IF(SUMPRODUCT((Inputs!$A$5:$A$130=$B26)*ISNUMBER(INDEX(Inputs!$K$5:$AJ$130,0,MATCH(I$2,Inputs!$K$4:$AJ$4,0))))+SUMPRODUCT((Inputs!$C$5:$C$130=$B26)*ISNUMBER(INDEX(Inputs!$K$5:$AJ$130,0,MATCH(I$2,Inputs!$K$4:$AJ$4,0))))+SUMPRODUCT((Inputs!$E$5:$E$130=$B26)*ISNUMBER(INDEX(Inputs!$K$5:$AJ$130,0,MATCH(I$2,Inputs!$K$4:$AJ$4,0))))=0,NA(),SUMPRODUCT((Inputs!$A$5:$A$130=$B26)*Inputs!$B$5:$B$130*(((Inputs!$G$5:$G$130="moeda")+(Inputs!$G$5:$G$130="acoes"))*Inputs!$B$1+((Inputs!$G$5:$G$130&lt;&gt;"moeda")*(Inputs!$G$5:$G$130&lt;&gt;"acoes")))*INDEX(Inputs!$K$5:$AJ$130,0,MATCH(I$2,Inputs!$K$4:$AJ$4,0)))+SUMPRODUCT((Inputs!$C$5:$C$130=$B26)*Inputs!$D$5:$D$130*(((Inputs!$G$5:$G$130="moeda")+(Inputs!$G$5:$G$130="acoes"))*Inputs!$B$1+((Inputs!$G$5:$G$130&lt;&gt;"moeda")*(Inputs!$G$5:$G$130&lt;&gt;"acoes")))*INDEX(Inputs!$K$5:$AJ$130,0,MATCH(I$2,Inputs!$K$4:$AJ$4,0)))+SUMPRODUCT((Inputs!$E$5:$E$130=$B26)*Inputs!$F$5:$F$130*(((Inputs!$G$5:$G$130="moeda")+(Inputs!$G$5:$G$130="acoes"))*Inputs!$B$1+((Inputs!$G$5:$G$130&lt;&gt;"moeda")*(Inputs!$G$5:$G$130&lt;&gt;"acoes")))*INDEX(Inputs!$K$5:$AJ$130,0,MATCH(I$2,Inputs!$K$4:$AJ$4,0)))))</f>
        <v>3505</v>
      </c>
      <c r="J26" s="6">
        <f>IF(ISNA(MATCH(J$2,Inputs!$K$4:$AJ$4,0)),NA(),IF(SUMPRODUCT((Inputs!$A$5:$A$130=$B26)*ISNUMBER(INDEX(Inputs!$K$5:$AJ$130,0,MATCH(J$2,Inputs!$K$4:$AJ$4,0))))+SUMPRODUCT((Inputs!$C$5:$C$130=$B26)*ISNUMBER(INDEX(Inputs!$K$5:$AJ$130,0,MATCH(J$2,Inputs!$K$4:$AJ$4,0))))+SUMPRODUCT((Inputs!$E$5:$E$130=$B26)*ISNUMBER(INDEX(Inputs!$K$5:$AJ$130,0,MATCH(J$2,Inputs!$K$4:$AJ$4,0))))=0,NA(),SUMPRODUCT((Inputs!$A$5:$A$130=$B26)*Inputs!$B$5:$B$130*(((Inputs!$G$5:$G$130="moeda")+(Inputs!$G$5:$G$130="acoes"))*Inputs!$B$1+((Inputs!$G$5:$G$130&lt;&gt;"moeda")*(Inputs!$G$5:$G$130&lt;&gt;"acoes")))*INDEX(Inputs!$K$5:$AJ$130,0,MATCH(J$2,Inputs!$K$4:$AJ$4,0)))+SUMPRODUCT((Inputs!$C$5:$C$130=$B26)*Inputs!$D$5:$D$130*(((Inputs!$G$5:$G$130="moeda")+(Inputs!$G$5:$G$130="acoes"))*Inputs!$B$1+((Inputs!$G$5:$G$130&lt;&gt;"moeda")*(Inputs!$G$5:$G$130&lt;&gt;"acoes")))*INDEX(Inputs!$K$5:$AJ$130,0,MATCH(J$2,Inputs!$K$4:$AJ$4,0)))+SUMPRODUCT((Inputs!$E$5:$E$130=$B26)*Inputs!$F$5:$F$130*(((Inputs!$G$5:$G$130="moeda")+(Inputs!$G$5:$G$130="acoes"))*Inputs!$B$1+((Inputs!$G$5:$G$130&lt;&gt;"moeda")*(Inputs!$G$5:$G$130&lt;&gt;"acoes")))*INDEX(Inputs!$K$5:$AJ$130,0,MATCH(J$2,Inputs!$K$4:$AJ$4,0)))))</f>
        <v>3340</v>
      </c>
      <c r="K26" s="6">
        <f>IF(ISNA(MATCH(K$2,Inputs!$K$4:$AJ$4,0)),NA(),IF(SUMPRODUCT((Inputs!$A$5:$A$130=$B26)*ISNUMBER(INDEX(Inputs!$K$5:$AJ$130,0,MATCH(K$2,Inputs!$K$4:$AJ$4,0))))+SUMPRODUCT((Inputs!$C$5:$C$130=$B26)*ISNUMBER(INDEX(Inputs!$K$5:$AJ$130,0,MATCH(K$2,Inputs!$K$4:$AJ$4,0))))+SUMPRODUCT((Inputs!$E$5:$E$130=$B26)*ISNUMBER(INDEX(Inputs!$K$5:$AJ$130,0,MATCH(K$2,Inputs!$K$4:$AJ$4,0))))=0,NA(),SUMPRODUCT((Inputs!$A$5:$A$130=$B26)*Inputs!$B$5:$B$130*(((Inputs!$G$5:$G$130="moeda")+(Inputs!$G$5:$G$130="acoes"))*Inputs!$B$1+((Inputs!$G$5:$G$130&lt;&gt;"moeda")*(Inputs!$G$5:$G$130&lt;&gt;"acoes")))*INDEX(Inputs!$K$5:$AJ$130,0,MATCH(K$2,Inputs!$K$4:$AJ$4,0)))+SUMPRODUCT((Inputs!$C$5:$C$130=$B26)*Inputs!$D$5:$D$130*(((Inputs!$G$5:$G$130="moeda")+(Inputs!$G$5:$G$130="acoes"))*Inputs!$B$1+((Inputs!$G$5:$G$130&lt;&gt;"moeda")*(Inputs!$G$5:$G$130&lt;&gt;"acoes")))*INDEX(Inputs!$K$5:$AJ$130,0,MATCH(K$2,Inputs!$K$4:$AJ$4,0)))+SUMPRODUCT((Inputs!$E$5:$E$130=$B26)*Inputs!$F$5:$F$130*(((Inputs!$G$5:$G$130="moeda")+(Inputs!$G$5:$G$130="acoes"))*Inputs!$B$1+((Inputs!$G$5:$G$130&lt;&gt;"moeda")*(Inputs!$G$5:$G$130&lt;&gt;"acoes")))*INDEX(Inputs!$K$5:$AJ$130,0,MATCH(K$2,Inputs!$K$4:$AJ$4,0)))))</f>
        <v>3580</v>
      </c>
      <c r="L26" s="6">
        <f>IF(ISNA(MATCH(L$2,Inputs!$K$4:$AJ$4,0)),NA(),IF(SUMPRODUCT((Inputs!$A$5:$A$130=$B26)*ISNUMBER(INDEX(Inputs!$K$5:$AJ$130,0,MATCH(L$2,Inputs!$K$4:$AJ$4,0))))+SUMPRODUCT((Inputs!$C$5:$C$130=$B26)*ISNUMBER(INDEX(Inputs!$K$5:$AJ$130,0,MATCH(L$2,Inputs!$K$4:$AJ$4,0))))+SUMPRODUCT((Inputs!$E$5:$E$130=$B26)*ISNUMBER(INDEX(Inputs!$K$5:$AJ$130,0,MATCH(L$2,Inputs!$K$4:$AJ$4,0))))=0,NA(),SUMPRODUCT((Inputs!$A$5:$A$130=$B26)*Inputs!$B$5:$B$130*(((Inputs!$G$5:$G$130="moeda")+(Inputs!$G$5:$G$130="acoes"))*Inputs!$B$1+((Inputs!$G$5:$G$130&lt;&gt;"moeda")*(Inputs!$G$5:$G$130&lt;&gt;"acoes")))*INDEX(Inputs!$K$5:$AJ$130,0,MATCH(L$2,Inputs!$K$4:$AJ$4,0)))+SUMPRODUCT((Inputs!$C$5:$C$130=$B26)*Inputs!$D$5:$D$130*(((Inputs!$G$5:$G$130="moeda")+(Inputs!$G$5:$G$130="acoes"))*Inputs!$B$1+((Inputs!$G$5:$G$130&lt;&gt;"moeda")*(Inputs!$G$5:$G$130&lt;&gt;"acoes")))*INDEX(Inputs!$K$5:$AJ$130,0,MATCH(L$2,Inputs!$K$4:$AJ$4,0)))+SUMPRODUCT((Inputs!$E$5:$E$130=$B26)*Inputs!$F$5:$F$130*(((Inputs!$G$5:$G$130="moeda")+(Inputs!$G$5:$G$130="acoes"))*Inputs!$B$1+((Inputs!$G$5:$G$130&lt;&gt;"moeda")*(Inputs!$G$5:$G$130&lt;&gt;"acoes")))*INDEX(Inputs!$K$5:$AJ$130,0,MATCH(L$2,Inputs!$K$4:$AJ$4,0)))))</f>
        <v>3820</v>
      </c>
      <c r="M26" s="3">
        <f>L26</f>
        <v>3820</v>
      </c>
      <c r="N26" s="6">
        <f>IF(ISNA(MATCH(N$2,Inputs!$K$4:$AJ$4,0)),NA(),IF(SUMPRODUCT((Inputs!$A$5:$A$130=$B26)*ISNUMBER(INDEX(Inputs!$K$5:$AJ$130,0,MATCH(N$2,Inputs!$K$4:$AJ$4,0))))+SUMPRODUCT((Inputs!$C$5:$C$130=$B26)*ISNUMBER(INDEX(Inputs!$K$5:$AJ$130,0,MATCH(N$2,Inputs!$K$4:$AJ$4,0))))+SUMPRODUCT((Inputs!$E$5:$E$130=$B26)*ISNUMBER(INDEX(Inputs!$K$5:$AJ$130,0,MATCH(N$2,Inputs!$K$4:$AJ$4,0))))=0,NA(),SUMPRODUCT((Inputs!$A$5:$A$130=$B26)*Inputs!$B$5:$B$130*(((Inputs!$G$5:$G$130="moeda")+(Inputs!$G$5:$G$130="acoes"))*Inputs!$B$1+((Inputs!$G$5:$G$130&lt;&gt;"moeda")*(Inputs!$G$5:$G$130&lt;&gt;"acoes")))*INDEX(Inputs!$K$5:$AJ$130,0,MATCH(N$2,Inputs!$K$4:$AJ$4,0)))+SUMPRODUCT((Inputs!$C$5:$C$130=$B26)*Inputs!$D$5:$D$130*(((Inputs!$G$5:$G$130="moeda")+(Inputs!$G$5:$G$130="acoes"))*Inputs!$B$1+((Inputs!$G$5:$G$130&lt;&gt;"moeda")*(Inputs!$G$5:$G$130&lt;&gt;"acoes")))*INDEX(Inputs!$K$5:$AJ$130,0,MATCH(N$2,Inputs!$K$4:$AJ$4,0)))+SUMPRODUCT((Inputs!$E$5:$E$130=$B26)*Inputs!$F$5:$F$130*(((Inputs!$G$5:$G$130="moeda")+(Inputs!$G$5:$G$130="acoes"))*Inputs!$B$1+((Inputs!$G$5:$G$130&lt;&gt;"moeda")*(Inputs!$G$5:$G$130&lt;&gt;"acoes")))*INDEX(Inputs!$K$5:$AJ$130,0,MATCH(N$2,Inputs!$K$4:$AJ$4,0)))))</f>
        <v>4204</v>
      </c>
      <c r="O26" s="6">
        <f>IF(ISNA(MATCH(O$2,Inputs!$K$4:$AJ$4,0)),NA(),IF(SUMPRODUCT((Inputs!$A$5:$A$130=$B26)*ISNUMBER(INDEX(Inputs!$K$5:$AJ$130,0,MATCH(O$2,Inputs!$K$4:$AJ$4,0))))+SUMPRODUCT((Inputs!$C$5:$C$130=$B26)*ISNUMBER(INDEX(Inputs!$K$5:$AJ$130,0,MATCH(O$2,Inputs!$K$4:$AJ$4,0))))+SUMPRODUCT((Inputs!$E$5:$E$130=$B26)*ISNUMBER(INDEX(Inputs!$K$5:$AJ$130,0,MATCH(O$2,Inputs!$K$4:$AJ$4,0))))=0,NA(),SUMPRODUCT((Inputs!$A$5:$A$130=$B26)*Inputs!$B$5:$B$130*(((Inputs!$G$5:$G$130="moeda")+(Inputs!$G$5:$G$130="acoes"))*Inputs!$B$1+((Inputs!$G$5:$G$130&lt;&gt;"moeda")*(Inputs!$G$5:$G$130&lt;&gt;"acoes")))*INDEX(Inputs!$K$5:$AJ$130,0,MATCH(O$2,Inputs!$K$4:$AJ$4,0)))+SUMPRODUCT((Inputs!$C$5:$C$130=$B26)*Inputs!$D$5:$D$130*(((Inputs!$G$5:$G$130="moeda")+(Inputs!$G$5:$G$130="acoes"))*Inputs!$B$1+((Inputs!$G$5:$G$130&lt;&gt;"moeda")*(Inputs!$G$5:$G$130&lt;&gt;"acoes")))*INDEX(Inputs!$K$5:$AJ$130,0,MATCH(O$2,Inputs!$K$4:$AJ$4,0)))+SUMPRODUCT((Inputs!$E$5:$E$130=$B26)*Inputs!$F$5:$F$130*(((Inputs!$G$5:$G$130="moeda")+(Inputs!$G$5:$G$130="acoes"))*Inputs!$B$1+((Inputs!$G$5:$G$130&lt;&gt;"moeda")*(Inputs!$G$5:$G$130&lt;&gt;"acoes")))*INDEX(Inputs!$K$5:$AJ$130,0,MATCH(O$2,Inputs!$K$4:$AJ$4,0)))))</f>
        <v>4501</v>
      </c>
      <c r="P26" s="6">
        <f>IF(ISNA(MATCH(P$2,Inputs!$K$4:$AJ$4,0)),NA(),IF(SUMPRODUCT((Inputs!$A$5:$A$130=$B26)*ISNUMBER(INDEX(Inputs!$K$5:$AJ$130,0,MATCH(P$2,Inputs!$K$4:$AJ$4,0))))+SUMPRODUCT((Inputs!$C$5:$C$130=$B26)*ISNUMBER(INDEX(Inputs!$K$5:$AJ$130,0,MATCH(P$2,Inputs!$K$4:$AJ$4,0))))+SUMPRODUCT((Inputs!$E$5:$E$130=$B26)*ISNUMBER(INDEX(Inputs!$K$5:$AJ$130,0,MATCH(P$2,Inputs!$K$4:$AJ$4,0))))=0,NA(),SUMPRODUCT((Inputs!$A$5:$A$130=$B26)*Inputs!$B$5:$B$130*(((Inputs!$G$5:$G$130="moeda")+(Inputs!$G$5:$G$130="acoes"))*Inputs!$B$1+((Inputs!$G$5:$G$130&lt;&gt;"moeda")*(Inputs!$G$5:$G$130&lt;&gt;"acoes")))*INDEX(Inputs!$K$5:$AJ$130,0,MATCH(P$2,Inputs!$K$4:$AJ$4,0)))+SUMPRODUCT((Inputs!$C$5:$C$130=$B26)*Inputs!$D$5:$D$130*(((Inputs!$G$5:$G$130="moeda")+(Inputs!$G$5:$G$130="acoes"))*Inputs!$B$1+((Inputs!$G$5:$G$130&lt;&gt;"moeda")*(Inputs!$G$5:$G$130&lt;&gt;"acoes")))*INDEX(Inputs!$K$5:$AJ$130,0,MATCH(P$2,Inputs!$K$4:$AJ$4,0)))+SUMPRODUCT((Inputs!$E$5:$E$130=$B26)*Inputs!$F$5:$F$130*(((Inputs!$G$5:$G$130="moeda")+(Inputs!$G$5:$G$130="acoes"))*Inputs!$B$1+((Inputs!$G$5:$G$130&lt;&gt;"moeda")*(Inputs!$G$5:$G$130&lt;&gt;"acoes")))*INDEX(Inputs!$K$5:$AJ$130,0,MATCH(P$2,Inputs!$K$4:$AJ$4,0)))))</f>
        <v>4667</v>
      </c>
      <c r="Q26" s="6">
        <f>IF(ISNA(MATCH(Q$2,Inputs!$K$4:$AJ$4,0)),NA(),IF(SUMPRODUCT((Inputs!$A$5:$A$130=$B26)*ISNUMBER(INDEX(Inputs!$K$5:$AJ$130,0,MATCH(Q$2,Inputs!$K$4:$AJ$4,0))))+SUMPRODUCT((Inputs!$C$5:$C$130=$B26)*ISNUMBER(INDEX(Inputs!$K$5:$AJ$130,0,MATCH(Q$2,Inputs!$K$4:$AJ$4,0))))+SUMPRODUCT((Inputs!$E$5:$E$130=$B26)*ISNUMBER(INDEX(Inputs!$K$5:$AJ$130,0,MATCH(Q$2,Inputs!$K$4:$AJ$4,0))))=0,NA(),SUMPRODUCT((Inputs!$A$5:$A$130=$B26)*Inputs!$B$5:$B$130*(((Inputs!$G$5:$G$130="moeda")+(Inputs!$G$5:$G$130="acoes"))*Inputs!$B$1+((Inputs!$G$5:$G$130&lt;&gt;"moeda")*(Inputs!$G$5:$G$130&lt;&gt;"acoes")))*INDEX(Inputs!$K$5:$AJ$130,0,MATCH(Q$2,Inputs!$K$4:$AJ$4,0)))+SUMPRODUCT((Inputs!$C$5:$C$130=$B26)*Inputs!$D$5:$D$130*(((Inputs!$G$5:$G$130="moeda")+(Inputs!$G$5:$G$130="acoes"))*Inputs!$B$1+((Inputs!$G$5:$G$130&lt;&gt;"moeda")*(Inputs!$G$5:$G$130&lt;&gt;"acoes")))*INDEX(Inputs!$K$5:$AJ$130,0,MATCH(Q$2,Inputs!$K$4:$AJ$4,0)))+SUMPRODUCT((Inputs!$E$5:$E$130=$B26)*Inputs!$F$5:$F$130*(((Inputs!$G$5:$G$130="moeda")+(Inputs!$G$5:$G$130="acoes"))*Inputs!$B$1+((Inputs!$G$5:$G$130&lt;&gt;"moeda")*(Inputs!$G$5:$G$130&lt;&gt;"acoes")))*INDEX(Inputs!$K$5:$AJ$130,0,MATCH(Q$2,Inputs!$K$4:$AJ$4,0)))))</f>
        <v>4500</v>
      </c>
      <c r="R26" s="3">
        <f>Q26</f>
        <v>4500</v>
      </c>
      <c r="S26" s="6">
        <f>IF(ISNA(MATCH(S$2,Inputs!$K$4:$AJ$4,0)),NA(),IF(SUMPRODUCT((Inputs!$A$5:$A$130=$B26)*ISNUMBER(INDEX(Inputs!$K$5:$AJ$130,0,MATCH(S$2,Inputs!$K$4:$AJ$4,0))))+SUMPRODUCT((Inputs!$C$5:$C$130=$B26)*ISNUMBER(INDEX(Inputs!$K$5:$AJ$130,0,MATCH(S$2,Inputs!$K$4:$AJ$4,0))))+SUMPRODUCT((Inputs!$E$5:$E$130=$B26)*ISNUMBER(INDEX(Inputs!$K$5:$AJ$130,0,MATCH(S$2,Inputs!$K$4:$AJ$4,0))))=0,NA(),SUMPRODUCT((Inputs!$A$5:$A$130=$B26)*Inputs!$B$5:$B$130*(((Inputs!$G$5:$G$130="moeda")+(Inputs!$G$5:$G$130="acoes"))*Inputs!$B$1+((Inputs!$G$5:$G$130&lt;&gt;"moeda")*(Inputs!$G$5:$G$130&lt;&gt;"acoes")))*INDEX(Inputs!$K$5:$AJ$130,0,MATCH(S$2,Inputs!$K$4:$AJ$4,0)))+SUMPRODUCT((Inputs!$C$5:$C$130=$B26)*Inputs!$D$5:$D$130*(((Inputs!$G$5:$G$130="moeda")+(Inputs!$G$5:$G$130="acoes"))*Inputs!$B$1+((Inputs!$G$5:$G$130&lt;&gt;"moeda")*(Inputs!$G$5:$G$130&lt;&gt;"acoes")))*INDEX(Inputs!$K$5:$AJ$130,0,MATCH(S$2,Inputs!$K$4:$AJ$4,0)))+SUMPRODUCT((Inputs!$E$5:$E$130=$B26)*Inputs!$F$5:$F$130*(((Inputs!$G$5:$G$130="moeda")+(Inputs!$G$5:$G$130="acoes"))*Inputs!$B$1+((Inputs!$G$5:$G$130&lt;&gt;"moeda")*(Inputs!$G$5:$G$130&lt;&gt;"acoes")))*INDEX(Inputs!$K$5:$AJ$130,0,MATCH(S$2,Inputs!$K$4:$AJ$4,0)))))</f>
        <v>4568</v>
      </c>
      <c r="T26" s="6">
        <f>IF(ISNA(MATCH(T$2,Inputs!$K$4:$AJ$4,0)),NA(),IF(SUMPRODUCT((Inputs!$A$5:$A$130=$B26)*ISNUMBER(INDEX(Inputs!$K$5:$AJ$130,0,MATCH(T$2,Inputs!$K$4:$AJ$4,0))))+SUMPRODUCT((Inputs!$C$5:$C$130=$B26)*ISNUMBER(INDEX(Inputs!$K$5:$AJ$130,0,MATCH(T$2,Inputs!$K$4:$AJ$4,0))))+SUMPRODUCT((Inputs!$E$5:$E$130=$B26)*ISNUMBER(INDEX(Inputs!$K$5:$AJ$130,0,MATCH(T$2,Inputs!$K$4:$AJ$4,0))))=0,NA(),SUMPRODUCT((Inputs!$A$5:$A$130=$B26)*Inputs!$B$5:$B$130*(((Inputs!$G$5:$G$130="moeda")+(Inputs!$G$5:$G$130="acoes"))*Inputs!$B$1+((Inputs!$G$5:$G$130&lt;&gt;"moeda")*(Inputs!$G$5:$G$130&lt;&gt;"acoes")))*INDEX(Inputs!$K$5:$AJ$130,0,MATCH(T$2,Inputs!$K$4:$AJ$4,0)))+SUMPRODUCT((Inputs!$C$5:$C$130=$B26)*Inputs!$D$5:$D$130*(((Inputs!$G$5:$G$130="moeda")+(Inputs!$G$5:$G$130="acoes"))*Inputs!$B$1+((Inputs!$G$5:$G$130&lt;&gt;"moeda")*(Inputs!$G$5:$G$130&lt;&gt;"acoes")))*INDEX(Inputs!$K$5:$AJ$130,0,MATCH(T$2,Inputs!$K$4:$AJ$4,0)))+SUMPRODUCT((Inputs!$E$5:$E$130=$B26)*Inputs!$F$5:$F$130*(((Inputs!$G$5:$G$130="moeda")+(Inputs!$G$5:$G$130="acoes"))*Inputs!$B$1+((Inputs!$G$5:$G$130&lt;&gt;"moeda")*(Inputs!$G$5:$G$130&lt;&gt;"acoes")))*INDEX(Inputs!$K$5:$AJ$130,0,MATCH(T$2,Inputs!$K$4:$AJ$4,0)))))</f>
        <v>4001</v>
      </c>
      <c r="U26" s="6">
        <f>IF(ISNA(MATCH(U$2,Inputs!$K$4:$AJ$4,0)),NA(),IF(SUMPRODUCT((Inputs!$A$5:$A$130=$B26)*ISNUMBER(INDEX(Inputs!$K$5:$AJ$130,0,MATCH(U$2,Inputs!$K$4:$AJ$4,0))))+SUMPRODUCT((Inputs!$C$5:$C$130=$B26)*ISNUMBER(INDEX(Inputs!$K$5:$AJ$130,0,MATCH(U$2,Inputs!$K$4:$AJ$4,0))))+SUMPRODUCT((Inputs!$E$5:$E$130=$B26)*ISNUMBER(INDEX(Inputs!$K$5:$AJ$130,0,MATCH(U$2,Inputs!$K$4:$AJ$4,0))))=0,NA(),SUMPRODUCT((Inputs!$A$5:$A$130=$B26)*Inputs!$B$5:$B$130*(((Inputs!$G$5:$G$130="moeda")+(Inputs!$G$5:$G$130="acoes"))*Inputs!$B$1+((Inputs!$G$5:$G$130&lt;&gt;"moeda")*(Inputs!$G$5:$G$130&lt;&gt;"acoes")))*INDEX(Inputs!$K$5:$AJ$130,0,MATCH(U$2,Inputs!$K$4:$AJ$4,0)))+SUMPRODUCT((Inputs!$C$5:$C$130=$B26)*Inputs!$D$5:$D$130*(((Inputs!$G$5:$G$130="moeda")+(Inputs!$G$5:$G$130="acoes"))*Inputs!$B$1+((Inputs!$G$5:$G$130&lt;&gt;"moeda")*(Inputs!$G$5:$G$130&lt;&gt;"acoes")))*INDEX(Inputs!$K$5:$AJ$130,0,MATCH(U$2,Inputs!$K$4:$AJ$4,0)))+SUMPRODUCT((Inputs!$E$5:$E$130=$B26)*Inputs!$F$5:$F$130*(((Inputs!$G$5:$G$130="moeda")+(Inputs!$G$5:$G$130="acoes"))*Inputs!$B$1+((Inputs!$G$5:$G$130&lt;&gt;"moeda")*(Inputs!$G$5:$G$130&lt;&gt;"acoes")))*INDEX(Inputs!$K$5:$AJ$130,0,MATCH(U$2,Inputs!$K$4:$AJ$4,0)))))</f>
        <v>5437</v>
      </c>
      <c r="V26" s="6">
        <f>IF(ISNA(MATCH(V$2,Inputs!$K$4:$AJ$4,0)),NA(),IF(SUMPRODUCT((Inputs!$A$5:$A$130=$B26)*ISNUMBER(INDEX(Inputs!$K$5:$AJ$130,0,MATCH(V$2,Inputs!$K$4:$AJ$4,0))))+SUMPRODUCT((Inputs!$C$5:$C$130=$B26)*ISNUMBER(INDEX(Inputs!$K$5:$AJ$130,0,MATCH(V$2,Inputs!$K$4:$AJ$4,0))))+SUMPRODUCT((Inputs!$E$5:$E$130=$B26)*ISNUMBER(INDEX(Inputs!$K$5:$AJ$130,0,MATCH(V$2,Inputs!$K$4:$AJ$4,0))))=0,NA(),SUMPRODUCT((Inputs!$A$5:$A$130=$B26)*Inputs!$B$5:$B$130*(((Inputs!$G$5:$G$130="moeda")+(Inputs!$G$5:$G$130="acoes"))*Inputs!$B$1+((Inputs!$G$5:$G$130&lt;&gt;"moeda")*(Inputs!$G$5:$G$130&lt;&gt;"acoes")))*INDEX(Inputs!$K$5:$AJ$130,0,MATCH(V$2,Inputs!$K$4:$AJ$4,0)))+SUMPRODUCT((Inputs!$C$5:$C$130=$B26)*Inputs!$D$5:$D$130*(((Inputs!$G$5:$G$130="moeda")+(Inputs!$G$5:$G$130="acoes"))*Inputs!$B$1+((Inputs!$G$5:$G$130&lt;&gt;"moeda")*(Inputs!$G$5:$G$130&lt;&gt;"acoes")))*INDEX(Inputs!$K$5:$AJ$130,0,MATCH(V$2,Inputs!$K$4:$AJ$4,0)))+SUMPRODUCT((Inputs!$E$5:$E$130=$B26)*Inputs!$F$5:$F$130*(((Inputs!$G$5:$G$130="moeda")+(Inputs!$G$5:$G$130="acoes"))*Inputs!$B$1+((Inputs!$G$5:$G$130&lt;&gt;"moeda")*(Inputs!$G$5:$G$130&lt;&gt;"acoes")))*INDEX(Inputs!$K$5:$AJ$130,0,MATCH(V$2,Inputs!$K$4:$AJ$4,0)))))</f>
        <v>6425</v>
      </c>
      <c r="W26" s="3">
        <f>V26</f>
        <v>6425</v>
      </c>
      <c r="X26" s="6">
        <f>IF(ISNA(MATCH(X$2,Inputs!$K$4:$AJ$4,0)),NA(),IF(SUMPRODUCT((Inputs!$A$5:$A$130=$B26)*ISNUMBER(INDEX(Inputs!$K$5:$AJ$130,0,MATCH(X$2,Inputs!$K$4:$AJ$4,0))))+SUMPRODUCT((Inputs!$C$5:$C$130=$B26)*ISNUMBER(INDEX(Inputs!$K$5:$AJ$130,0,MATCH(X$2,Inputs!$K$4:$AJ$4,0))))+SUMPRODUCT((Inputs!$E$5:$E$130=$B26)*ISNUMBER(INDEX(Inputs!$K$5:$AJ$130,0,MATCH(X$2,Inputs!$K$4:$AJ$4,0))))=0,NA(),SUMPRODUCT((Inputs!$A$5:$A$130=$B26)*Inputs!$B$5:$B$130*(((Inputs!$G$5:$G$130="moeda")+(Inputs!$G$5:$G$130="acoes"))*Inputs!$B$1+((Inputs!$G$5:$G$130&lt;&gt;"moeda")*(Inputs!$G$5:$G$130&lt;&gt;"acoes")))*INDEX(Inputs!$K$5:$AJ$130,0,MATCH(X$2,Inputs!$K$4:$AJ$4,0)))+SUMPRODUCT((Inputs!$C$5:$C$130=$B26)*Inputs!$D$5:$D$130*(((Inputs!$G$5:$G$130="moeda")+(Inputs!$G$5:$G$130="acoes"))*Inputs!$B$1+((Inputs!$G$5:$G$130&lt;&gt;"moeda")*(Inputs!$G$5:$G$130&lt;&gt;"acoes")))*INDEX(Inputs!$K$5:$AJ$130,0,MATCH(X$2,Inputs!$K$4:$AJ$4,0)))+SUMPRODUCT((Inputs!$E$5:$E$130=$B26)*Inputs!$F$5:$F$130*(((Inputs!$G$5:$G$130="moeda")+(Inputs!$G$5:$G$130="acoes"))*Inputs!$B$1+((Inputs!$G$5:$G$130&lt;&gt;"moeda")*(Inputs!$G$5:$G$130&lt;&gt;"acoes")))*INDEX(Inputs!$K$5:$AJ$130,0,MATCH(X$2,Inputs!$K$4:$AJ$4,0)))))</f>
        <v>6788</v>
      </c>
      <c r="Y26" s="6">
        <f>IF(ISNA(MATCH(Y$2,Inputs!$K$4:$AJ$4,0)),NA(),IF(SUMPRODUCT((Inputs!$A$5:$A$130=$B26)*ISNUMBER(INDEX(Inputs!$K$5:$AJ$130,0,MATCH(Y$2,Inputs!$K$4:$AJ$4,0))))+SUMPRODUCT((Inputs!$C$5:$C$130=$B26)*ISNUMBER(INDEX(Inputs!$K$5:$AJ$130,0,MATCH(Y$2,Inputs!$K$4:$AJ$4,0))))+SUMPRODUCT((Inputs!$E$5:$E$130=$B26)*ISNUMBER(INDEX(Inputs!$K$5:$AJ$130,0,MATCH(Y$2,Inputs!$K$4:$AJ$4,0))))=0,NA(),SUMPRODUCT((Inputs!$A$5:$A$130=$B26)*Inputs!$B$5:$B$130*(((Inputs!$G$5:$G$130="moeda")+(Inputs!$G$5:$G$130="acoes"))*Inputs!$B$1+((Inputs!$G$5:$G$130&lt;&gt;"moeda")*(Inputs!$G$5:$G$130&lt;&gt;"acoes")))*INDEX(Inputs!$K$5:$AJ$130,0,MATCH(Y$2,Inputs!$K$4:$AJ$4,0)))+SUMPRODUCT((Inputs!$C$5:$C$130=$B26)*Inputs!$D$5:$D$130*(((Inputs!$G$5:$G$130="moeda")+(Inputs!$G$5:$G$130="acoes"))*Inputs!$B$1+((Inputs!$G$5:$G$130&lt;&gt;"moeda")*(Inputs!$G$5:$G$130&lt;&gt;"acoes")))*INDEX(Inputs!$K$5:$AJ$130,0,MATCH(Y$2,Inputs!$K$4:$AJ$4,0)))+SUMPRODUCT((Inputs!$E$5:$E$130=$B26)*Inputs!$F$5:$F$130*(((Inputs!$G$5:$G$130="moeda")+(Inputs!$G$5:$G$130="acoes"))*Inputs!$B$1+((Inputs!$G$5:$G$130&lt;&gt;"moeda")*(Inputs!$G$5:$G$130&lt;&gt;"acoes")))*INDEX(Inputs!$K$5:$AJ$130,0,MATCH(Y$2,Inputs!$K$4:$AJ$4,0)))))</f>
        <v>7216</v>
      </c>
      <c r="Z26" s="6">
        <f>IF(ISNA(MATCH(Z$2,Inputs!$K$4:$AJ$4,0)),NA(),IF(SUMPRODUCT((Inputs!$A$5:$A$130=$B26)*ISNUMBER(INDEX(Inputs!$K$5:$AJ$130,0,MATCH(Z$2,Inputs!$K$4:$AJ$4,0))))+SUMPRODUCT((Inputs!$C$5:$C$130=$B26)*ISNUMBER(INDEX(Inputs!$K$5:$AJ$130,0,MATCH(Z$2,Inputs!$K$4:$AJ$4,0))))+SUMPRODUCT((Inputs!$E$5:$E$130=$B26)*ISNUMBER(INDEX(Inputs!$K$5:$AJ$130,0,MATCH(Z$2,Inputs!$K$4:$AJ$4,0))))=0,NA(),SUMPRODUCT((Inputs!$A$5:$A$130=$B26)*Inputs!$B$5:$B$130*(((Inputs!$G$5:$G$130="moeda")+(Inputs!$G$5:$G$130="acoes"))*Inputs!$B$1+((Inputs!$G$5:$G$130&lt;&gt;"moeda")*(Inputs!$G$5:$G$130&lt;&gt;"acoes")))*INDEX(Inputs!$K$5:$AJ$130,0,MATCH(Z$2,Inputs!$K$4:$AJ$4,0)))+SUMPRODUCT((Inputs!$C$5:$C$130=$B26)*Inputs!$D$5:$D$130*(((Inputs!$G$5:$G$130="moeda")+(Inputs!$G$5:$G$130="acoes"))*Inputs!$B$1+((Inputs!$G$5:$G$130&lt;&gt;"moeda")*(Inputs!$G$5:$G$130&lt;&gt;"acoes")))*INDEX(Inputs!$K$5:$AJ$130,0,MATCH(Z$2,Inputs!$K$4:$AJ$4,0)))+SUMPRODUCT((Inputs!$E$5:$E$130=$B26)*Inputs!$F$5:$F$130*(((Inputs!$G$5:$G$130="moeda")+(Inputs!$G$5:$G$130="acoes"))*Inputs!$B$1+((Inputs!$G$5:$G$130&lt;&gt;"moeda")*(Inputs!$G$5:$G$130&lt;&gt;"acoes")))*INDEX(Inputs!$K$5:$AJ$130,0,MATCH(Z$2,Inputs!$K$4:$AJ$4,0)))))</f>
        <v>11724</v>
      </c>
      <c r="AA26" s="6">
        <f>IF(ISNA(MATCH(AA$2,Inputs!$K$4:$AJ$4,0)),NA(),IF(SUMPRODUCT((Inputs!$A$5:$A$130=$B26)*ISNUMBER(INDEX(Inputs!$K$5:$AJ$130,0,MATCH(AA$2,Inputs!$K$4:$AJ$4,0))))+SUMPRODUCT((Inputs!$C$5:$C$130=$B26)*ISNUMBER(INDEX(Inputs!$K$5:$AJ$130,0,MATCH(AA$2,Inputs!$K$4:$AJ$4,0))))+SUMPRODUCT((Inputs!$E$5:$E$130=$B26)*ISNUMBER(INDEX(Inputs!$K$5:$AJ$130,0,MATCH(AA$2,Inputs!$K$4:$AJ$4,0))))=0,NA(),SUMPRODUCT((Inputs!$A$5:$A$130=$B26)*Inputs!$B$5:$B$130*(((Inputs!$G$5:$G$130="moeda")+(Inputs!$G$5:$G$130="acoes"))*Inputs!$B$1+((Inputs!$G$5:$G$130&lt;&gt;"moeda")*(Inputs!$G$5:$G$130&lt;&gt;"acoes")))*INDEX(Inputs!$K$5:$AJ$130,0,MATCH(AA$2,Inputs!$K$4:$AJ$4,0)))+SUMPRODUCT((Inputs!$C$5:$C$130=$B26)*Inputs!$D$5:$D$130*(((Inputs!$G$5:$G$130="moeda")+(Inputs!$G$5:$G$130="acoes"))*Inputs!$B$1+((Inputs!$G$5:$G$130&lt;&gt;"moeda")*(Inputs!$G$5:$G$130&lt;&gt;"acoes")))*INDEX(Inputs!$K$5:$AJ$130,0,MATCH(AA$2,Inputs!$K$4:$AJ$4,0)))+SUMPRODUCT((Inputs!$E$5:$E$130=$B26)*Inputs!$F$5:$F$130*(((Inputs!$G$5:$G$130="moeda")+(Inputs!$G$5:$G$130="acoes"))*Inputs!$B$1+((Inputs!$G$5:$G$130&lt;&gt;"moeda")*(Inputs!$G$5:$G$130&lt;&gt;"acoes")))*INDEX(Inputs!$K$5:$AJ$130,0,MATCH(AA$2,Inputs!$K$4:$AJ$4,0)))))</f>
        <v>30552</v>
      </c>
      <c r="AB26" s="3">
        <f>AA26</f>
        <v>30552</v>
      </c>
      <c r="AC26" s="6">
        <f>IF(ISNA(MATCH(AC$2,Inputs!$K$4:$AJ$4,0)),NA(),IF(SUMPRODUCT((Inputs!$A$5:$A$130=$B26)*ISNUMBER(INDEX(Inputs!$K$5:$AJ$130,0,MATCH(AC$2,Inputs!$K$4:$AJ$4,0))))+SUMPRODUCT((Inputs!$C$5:$C$130=$B26)*ISNUMBER(INDEX(Inputs!$K$5:$AJ$130,0,MATCH(AC$2,Inputs!$K$4:$AJ$4,0))))+SUMPRODUCT((Inputs!$E$5:$E$130=$B26)*ISNUMBER(INDEX(Inputs!$K$5:$AJ$130,0,MATCH(AC$2,Inputs!$K$4:$AJ$4,0))))=0,NA(),SUMPRODUCT((Inputs!$A$5:$A$130=$B26)*Inputs!$B$5:$B$130*(((Inputs!$G$5:$G$130="moeda")+(Inputs!$G$5:$G$130="acoes"))*Inputs!$B$1+((Inputs!$G$5:$G$130&lt;&gt;"moeda")*(Inputs!$G$5:$G$130&lt;&gt;"acoes")))*INDEX(Inputs!$K$5:$AJ$130,0,MATCH(AC$2,Inputs!$K$4:$AJ$4,0)))+SUMPRODUCT((Inputs!$C$5:$C$130=$B26)*Inputs!$D$5:$D$130*(((Inputs!$G$5:$G$130="moeda")+(Inputs!$G$5:$G$130="acoes"))*Inputs!$B$1+((Inputs!$G$5:$G$130&lt;&gt;"moeda")*(Inputs!$G$5:$G$130&lt;&gt;"acoes")))*INDEX(Inputs!$K$5:$AJ$130,0,MATCH(AC$2,Inputs!$K$4:$AJ$4,0)))+SUMPRODUCT((Inputs!$E$5:$E$130=$B26)*Inputs!$F$5:$F$130*(((Inputs!$G$5:$G$130="moeda")+(Inputs!$G$5:$G$130="acoes"))*Inputs!$B$1+((Inputs!$G$5:$G$130&lt;&gt;"moeda")*(Inputs!$G$5:$G$130&lt;&gt;"acoes")))*INDEX(Inputs!$K$5:$AJ$130,0,MATCH(AC$2,Inputs!$K$4:$AJ$4,0)))))</f>
        <v>56097</v>
      </c>
      <c r="AD26" s="6">
        <f>IF(ISNA(MATCH(AD$2,Inputs!$K$4:$AJ$4,0)),NA(),IF(SUMPRODUCT((Inputs!$A$5:$A$130=$B26)*ISNUMBER(INDEX(Inputs!$K$5:$AJ$130,0,MATCH(AD$2,Inputs!$K$4:$AJ$4,0))))+SUMPRODUCT((Inputs!$C$5:$C$130=$B26)*ISNUMBER(INDEX(Inputs!$K$5:$AJ$130,0,MATCH(AD$2,Inputs!$K$4:$AJ$4,0))))+SUMPRODUCT((Inputs!$E$5:$E$130=$B26)*ISNUMBER(INDEX(Inputs!$K$5:$AJ$130,0,MATCH(AD$2,Inputs!$K$4:$AJ$4,0))))=0,NA(),SUMPRODUCT((Inputs!$A$5:$A$130=$B26)*Inputs!$B$5:$B$130*(((Inputs!$G$5:$G$130="moeda")+(Inputs!$G$5:$G$130="acoes"))*Inputs!$B$1+((Inputs!$G$5:$G$130&lt;&gt;"moeda")*(Inputs!$G$5:$G$130&lt;&gt;"acoes")))*INDEX(Inputs!$K$5:$AJ$130,0,MATCH(AD$2,Inputs!$K$4:$AJ$4,0)))+SUMPRODUCT((Inputs!$C$5:$C$130=$B26)*Inputs!$D$5:$D$130*(((Inputs!$G$5:$G$130="moeda")+(Inputs!$G$5:$G$130="acoes"))*Inputs!$B$1+((Inputs!$G$5:$G$130&lt;&gt;"moeda")*(Inputs!$G$5:$G$130&lt;&gt;"acoes")))*INDEX(Inputs!$K$5:$AJ$130,0,MATCH(AD$2,Inputs!$K$4:$AJ$4,0)))+SUMPRODUCT((Inputs!$E$5:$E$130=$B26)*Inputs!$F$5:$F$130*(((Inputs!$G$5:$G$130="moeda")+(Inputs!$G$5:$G$130="acoes"))*Inputs!$B$1+((Inputs!$G$5:$G$130&lt;&gt;"moeda")*(Inputs!$G$5:$G$130&lt;&gt;"acoes")))*INDEX(Inputs!$K$5:$AJ$130,0,MATCH(AD$2,Inputs!$K$4:$AJ$4,0)))))</f>
        <v>66903</v>
      </c>
      <c r="AE26" s="6" t="e">
        <f>IF(ISNA(MATCH(AE$2,Inputs!$K$4:$AJ$4,0)),NA(),IF(SUMPRODUCT((Inputs!$A$5:$A$130=$B26)*ISNUMBER(INDEX(Inputs!$K$5:$AJ$130,0,MATCH(AE$2,Inputs!$K$4:$AJ$4,0))))+SUMPRODUCT((Inputs!$C$5:$C$130=$B26)*ISNUMBER(INDEX(Inputs!$K$5:$AJ$130,0,MATCH(AE$2,Inputs!$K$4:$AJ$4,0))))+SUMPRODUCT((Inputs!$E$5:$E$130=$B26)*ISNUMBER(INDEX(Inputs!$K$5:$AJ$130,0,MATCH(AE$2,Inputs!$K$4:$AJ$4,0))))=0,NA(),SUMPRODUCT((Inputs!$A$5:$A$130=$B26)*Inputs!$B$5:$B$130*(((Inputs!$G$5:$G$130="moeda")+(Inputs!$G$5:$G$130="acoes"))*Inputs!$B$1+((Inputs!$G$5:$G$130&lt;&gt;"moeda")*(Inputs!$G$5:$G$130&lt;&gt;"acoes")))*INDEX(Inputs!$K$5:$AJ$130,0,MATCH(AE$2,Inputs!$K$4:$AJ$4,0)))+SUMPRODUCT((Inputs!$C$5:$C$130=$B26)*Inputs!$D$5:$D$130*(((Inputs!$G$5:$G$130="moeda")+(Inputs!$G$5:$G$130="acoes"))*Inputs!$B$1+((Inputs!$G$5:$G$130&lt;&gt;"moeda")*(Inputs!$G$5:$G$130&lt;&gt;"acoes")))*INDEX(Inputs!$K$5:$AJ$130,0,MATCH(AE$2,Inputs!$K$4:$AJ$4,0)))+SUMPRODUCT((Inputs!$E$5:$E$130=$B26)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6" s="6" t="e">
        <f>IF(ISNA(MATCH(AF$2,Inputs!$K$4:$AJ$4,0)),NA(),IF(SUMPRODUCT((Inputs!$A$5:$A$130=$B26)*ISNUMBER(INDEX(Inputs!$K$5:$AJ$130,0,MATCH(AF$2,Inputs!$K$4:$AJ$4,0))))+SUMPRODUCT((Inputs!$C$5:$C$130=$B26)*ISNUMBER(INDEX(Inputs!$K$5:$AJ$130,0,MATCH(AF$2,Inputs!$K$4:$AJ$4,0))))+SUMPRODUCT((Inputs!$E$5:$E$130=$B26)*ISNUMBER(INDEX(Inputs!$K$5:$AJ$130,0,MATCH(AF$2,Inputs!$K$4:$AJ$4,0))))=0,NA(),SUMPRODUCT((Inputs!$A$5:$A$130=$B26)*Inputs!$B$5:$B$130*(((Inputs!$G$5:$G$130="moeda")+(Inputs!$G$5:$G$130="acoes"))*Inputs!$B$1+((Inputs!$G$5:$G$130&lt;&gt;"moeda")*(Inputs!$G$5:$G$130&lt;&gt;"acoes")))*INDEX(Inputs!$K$5:$AJ$130,0,MATCH(AF$2,Inputs!$K$4:$AJ$4,0)))+SUMPRODUCT((Inputs!$C$5:$C$130=$B26)*Inputs!$D$5:$D$130*(((Inputs!$G$5:$G$130="moeda")+(Inputs!$G$5:$G$130="acoes"))*Inputs!$B$1+((Inputs!$G$5:$G$130&lt;&gt;"moeda")*(Inputs!$G$5:$G$130&lt;&gt;"acoes")))*INDEX(Inputs!$K$5:$AJ$130,0,MATCH(AF$2,Inputs!$K$4:$AJ$4,0)))+SUMPRODUCT((Inputs!$E$5:$E$130=$B26)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6" s="3" t="e">
        <f>AF26</f>
        <v>#N/A</v>
      </c>
      <c r="AH26" s="6">
        <f>IF(ISNA(MATCH(AH$2,Inputs!$K$4:$AJ$4,0)),NA(),IF(SUMPRODUCT((Inputs!$A$5:$A$130=$B26)*ISNUMBER(INDEX(Inputs!$K$5:$AJ$130,0,MATCH(AH$2,Inputs!$K$4:$AJ$4,0))))+SUMPRODUCT((Inputs!$C$5:$C$130=$B26)*ISNUMBER(INDEX(Inputs!$K$5:$AJ$130,0,MATCH(AH$2,Inputs!$K$4:$AJ$4,0))))+SUMPRODUCT((Inputs!$E$5:$E$130=$B26)*ISNUMBER(INDEX(Inputs!$K$5:$AJ$130,0,MATCH(AH$2,Inputs!$K$4:$AJ$4,0))))=0,NA(),SUMPRODUCT((Inputs!$A$5:$A$130=$B26)*Inputs!$B$5:$B$130*(((Inputs!$G$5:$G$130="moeda")+(Inputs!$G$5:$G$130="acoes"))*Inputs!$B$1+((Inputs!$G$5:$G$130&lt;&gt;"moeda")*(Inputs!$G$5:$G$130&lt;&gt;"acoes")))*INDEX(Inputs!$K$5:$AJ$130,0,MATCH(AH$2,Inputs!$K$4:$AJ$4,0)))+SUMPRODUCT((Inputs!$C$5:$C$130=$B26)*Inputs!$D$5:$D$130*(((Inputs!$G$5:$G$130="moeda")+(Inputs!$G$5:$G$130="acoes"))*Inputs!$B$1+((Inputs!$G$5:$G$130&lt;&gt;"moeda")*(Inputs!$G$5:$G$130&lt;&gt;"acoes")))*INDEX(Inputs!$K$5:$AJ$130,0,MATCH(AH$2,Inputs!$K$4:$AJ$4,0)))+SUMPRODUCT((Inputs!$E$5:$E$130=$B26)*Inputs!$F$5:$F$130*(((Inputs!$G$5:$G$130="moeda")+(Inputs!$G$5:$G$130="acoes"))*Inputs!$B$1+((Inputs!$G$5:$G$130&lt;&gt;"moeda")*(Inputs!$G$5:$G$130&lt;&gt;"acoes")))*INDEX(Inputs!$K$5:$AJ$130,0,MATCH(AH$2,Inputs!$K$4:$AJ$4,0)))))</f>
        <v>119</v>
      </c>
      <c r="AI26" s="6">
        <f>IF(ISNA(MATCH(AI$2,Inputs!$K$4:$AJ$4,0)),NA(),IF(SUMPRODUCT((Inputs!$A$5:$A$130=$B26)*ISNUMBER(INDEX(Inputs!$K$5:$AJ$130,0,MATCH(AI$2,Inputs!$K$4:$AJ$4,0))))+SUMPRODUCT((Inputs!$C$5:$C$130=$B26)*ISNUMBER(INDEX(Inputs!$K$5:$AJ$130,0,MATCH(AI$2,Inputs!$K$4:$AJ$4,0))))+SUMPRODUCT((Inputs!$E$5:$E$130=$B26)*ISNUMBER(INDEX(Inputs!$K$5:$AJ$130,0,MATCH(AI$2,Inputs!$K$4:$AJ$4,0))))=0,NA(),SUMPRODUCT((Inputs!$A$5:$A$130=$B26)*Inputs!$B$5:$B$130*(((Inputs!$G$5:$G$130="moeda")+(Inputs!$G$5:$G$130="acoes"))*Inputs!$B$1+((Inputs!$G$5:$G$130&lt;&gt;"moeda")*(Inputs!$G$5:$G$130&lt;&gt;"acoes")))*INDEX(Inputs!$K$5:$AJ$130,0,MATCH(AI$2,Inputs!$K$4:$AJ$4,0)))+SUMPRODUCT((Inputs!$C$5:$C$130=$B26)*Inputs!$D$5:$D$130*(((Inputs!$G$5:$G$130="moeda")+(Inputs!$G$5:$G$130="acoes"))*Inputs!$B$1+((Inputs!$G$5:$G$130&lt;&gt;"moeda")*(Inputs!$G$5:$G$130&lt;&gt;"acoes")))*INDEX(Inputs!$K$5:$AJ$130,0,MATCH(AI$2,Inputs!$K$4:$AJ$4,0)))+SUMPRODUCT((Inputs!$E$5:$E$130=$B26)*Inputs!$F$5:$F$130*(((Inputs!$G$5:$G$130="moeda")+(Inputs!$G$5:$G$130="acoes"))*Inputs!$B$1+((Inputs!$G$5:$G$130&lt;&gt;"moeda")*(Inputs!$G$5:$G$130&lt;&gt;"acoes")))*INDEX(Inputs!$K$5:$AJ$130,0,MATCH(AI$2,Inputs!$K$4:$AJ$4,0)))))</f>
        <v>157</v>
      </c>
      <c r="AJ26" s="6">
        <f>IF(ISNA(MATCH(AJ$2,Inputs!$K$4:$AJ$4,0)),NA(),IF(SUMPRODUCT((Inputs!$A$5:$A$130=$B26)*ISNUMBER(INDEX(Inputs!$K$5:$AJ$130,0,MATCH(AJ$2,Inputs!$K$4:$AJ$4,0))))+SUMPRODUCT((Inputs!$C$5:$C$130=$B26)*ISNUMBER(INDEX(Inputs!$K$5:$AJ$130,0,MATCH(AJ$2,Inputs!$K$4:$AJ$4,0))))+SUMPRODUCT((Inputs!$E$5:$E$130=$B26)*ISNUMBER(INDEX(Inputs!$K$5:$AJ$130,0,MATCH(AJ$2,Inputs!$K$4:$AJ$4,0))))=0,NA(),SUMPRODUCT((Inputs!$A$5:$A$130=$B26)*Inputs!$B$5:$B$130*(((Inputs!$G$5:$G$130="moeda")+(Inputs!$G$5:$G$130="acoes"))*Inputs!$B$1+((Inputs!$G$5:$G$130&lt;&gt;"moeda")*(Inputs!$G$5:$G$130&lt;&gt;"acoes")))*INDEX(Inputs!$K$5:$AJ$130,0,MATCH(AJ$2,Inputs!$K$4:$AJ$4,0)))+SUMPRODUCT((Inputs!$C$5:$C$130=$B26)*Inputs!$D$5:$D$130*(((Inputs!$G$5:$G$130="moeda")+(Inputs!$G$5:$G$130="acoes"))*Inputs!$B$1+((Inputs!$G$5:$G$130&lt;&gt;"moeda")*(Inputs!$G$5:$G$130&lt;&gt;"acoes")))*INDEX(Inputs!$K$5:$AJ$130,0,MATCH(AJ$2,Inputs!$K$4:$AJ$4,0)))+SUMPRODUCT((Inputs!$E$5:$E$130=$B26)*Inputs!$F$5:$F$130*(((Inputs!$G$5:$G$130="moeda")+(Inputs!$G$5:$G$130="acoes"))*Inputs!$B$1+((Inputs!$G$5:$G$130&lt;&gt;"moeda")*(Inputs!$G$5:$G$130&lt;&gt;"acoes")))*INDEX(Inputs!$K$5:$AJ$130,0,MATCH(AJ$2,Inputs!$K$4:$AJ$4,0)))))</f>
        <v>2028</v>
      </c>
      <c r="AK26" s="6">
        <f>IF(ISNA(MATCH(AK$2,Inputs!$K$4:$AJ$4,0)),NA(),IF(SUMPRODUCT((Inputs!$A$5:$A$130=$B26)*ISNUMBER(INDEX(Inputs!$K$5:$AJ$130,0,MATCH(AK$2,Inputs!$K$4:$AJ$4,0))))+SUMPRODUCT((Inputs!$C$5:$C$130=$B26)*ISNUMBER(INDEX(Inputs!$K$5:$AJ$130,0,MATCH(AK$2,Inputs!$K$4:$AJ$4,0))))+SUMPRODUCT((Inputs!$E$5:$E$130=$B26)*ISNUMBER(INDEX(Inputs!$K$5:$AJ$130,0,MATCH(AK$2,Inputs!$K$4:$AJ$4,0))))=0,NA(),SUMPRODUCT((Inputs!$A$5:$A$130=$B26)*Inputs!$B$5:$B$130*(((Inputs!$G$5:$G$130="moeda")+(Inputs!$G$5:$G$130="acoes"))*Inputs!$B$1+((Inputs!$G$5:$G$130&lt;&gt;"moeda")*(Inputs!$G$5:$G$130&lt;&gt;"acoes")))*INDEX(Inputs!$K$5:$AJ$130,0,MATCH(AK$2,Inputs!$K$4:$AJ$4,0)))+SUMPRODUCT((Inputs!$C$5:$C$130=$B26)*Inputs!$D$5:$D$130*(((Inputs!$G$5:$G$130="moeda")+(Inputs!$G$5:$G$130="acoes"))*Inputs!$B$1+((Inputs!$G$5:$G$130&lt;&gt;"moeda")*(Inputs!$G$5:$G$130&lt;&gt;"acoes")))*INDEX(Inputs!$K$5:$AJ$130,0,MATCH(AK$2,Inputs!$K$4:$AJ$4,0)))+SUMPRODUCT((Inputs!$E$5:$E$130=$B26)*Inputs!$F$5:$F$130*(((Inputs!$G$5:$G$130="moeda")+(Inputs!$G$5:$G$130="acoes"))*Inputs!$B$1+((Inputs!$G$5:$G$130&lt;&gt;"moeda")*(Inputs!$G$5:$G$130&lt;&gt;"acoes")))*INDEX(Inputs!$K$5:$AJ$130,0,MATCH(AK$2,Inputs!$K$4:$AJ$4,0)))))</f>
        <v>2144</v>
      </c>
      <c r="AL26" s="3">
        <f>AK26</f>
        <v>2144</v>
      </c>
    </row>
    <row r="27">
      <c r="C27" s="1" t="n"/>
    </row>
    <row r="28">
      <c r="B28" s="46" t="n">
        <v>23</v>
      </c>
      <c r="C28" s="26" t="inlineStr">
        <is>
          <t>Accounts payable</t>
        </is>
      </c>
      <c r="D28" s="6">
        <f>IF(ISNA(MATCH(D$2,Inputs!$K$4:$AJ$4,0)),NA(),IF(SUMPRODUCT((Inputs!$A$5:$A$130=$B28)*ISNUMBER(INDEX(Inputs!$K$5:$AJ$130,0,MATCH(D$2,Inputs!$K$4:$AJ$4,0))))+SUMPRODUCT((Inputs!$C$5:$C$130=$B28)*ISNUMBER(INDEX(Inputs!$K$5:$AJ$130,0,MATCH(D$2,Inputs!$K$4:$AJ$4,0))))+SUMPRODUCT((Inputs!$E$5:$E$130=$B28)*ISNUMBER(INDEX(Inputs!$K$5:$AJ$130,0,MATCH(D$2,Inputs!$K$4:$AJ$4,0))))=0,NA(),SUMPRODUCT((Inputs!$A$5:$A$130=$B28)*Inputs!$B$5:$B$130*(((Inputs!$G$5:$G$130="moeda")+(Inputs!$G$5:$G$130="acoes"))*Inputs!$B$1+((Inputs!$G$5:$G$130&lt;&gt;"moeda")*(Inputs!$G$5:$G$130&lt;&gt;"acoes")))*INDEX(Inputs!$K$5:$AJ$130,0,MATCH(D$2,Inputs!$K$4:$AJ$4,0)))+SUMPRODUCT((Inputs!$C$5:$C$130=$B28)*Inputs!$D$5:$D$130*(((Inputs!$G$5:$G$130="moeda")+(Inputs!$G$5:$G$130="acoes"))*Inputs!$B$1+((Inputs!$G$5:$G$130&lt;&gt;"moeda")*(Inputs!$G$5:$G$130&lt;&gt;"acoes")))*INDEX(Inputs!$K$5:$AJ$130,0,MATCH(D$2,Inputs!$K$4:$AJ$4,0)))+SUMPRODUCT((Inputs!$E$5:$E$130=$B28)*Inputs!$F$5:$F$130*(((Inputs!$G$5:$G$130="moeda")+(Inputs!$G$5:$G$130="acoes"))*Inputs!$B$1+((Inputs!$G$5:$G$130&lt;&gt;"moeda")*(Inputs!$G$5:$G$130&lt;&gt;"acoes")))*INDEX(Inputs!$K$5:$AJ$130,0,MATCH(D$2,Inputs!$K$4:$AJ$4,0)))))</f>
        <v>1218</v>
      </c>
      <c r="E28" s="6">
        <f>IF(ISNA(MATCH(E$2,Inputs!$K$4:$AJ$4,0)),NA(),IF(SUMPRODUCT((Inputs!$A$5:$A$130=$B28)*ISNUMBER(INDEX(Inputs!$K$5:$AJ$130,0,MATCH(E$2,Inputs!$K$4:$AJ$4,0))))+SUMPRODUCT((Inputs!$C$5:$C$130=$B28)*ISNUMBER(INDEX(Inputs!$K$5:$AJ$130,0,MATCH(E$2,Inputs!$K$4:$AJ$4,0))))+SUMPRODUCT((Inputs!$E$5:$E$130=$B28)*ISNUMBER(INDEX(Inputs!$K$5:$AJ$130,0,MATCH(E$2,Inputs!$K$4:$AJ$4,0))))=0,NA(),SUMPRODUCT((Inputs!$A$5:$A$130=$B28)*Inputs!$B$5:$B$130*(((Inputs!$G$5:$G$130="moeda")+(Inputs!$G$5:$G$130="acoes"))*Inputs!$B$1+((Inputs!$G$5:$G$130&lt;&gt;"moeda")*(Inputs!$G$5:$G$130&lt;&gt;"acoes")))*INDEX(Inputs!$K$5:$AJ$130,0,MATCH(E$2,Inputs!$K$4:$AJ$4,0)))+SUMPRODUCT((Inputs!$C$5:$C$130=$B28)*Inputs!$D$5:$D$130*(((Inputs!$G$5:$G$130="moeda")+(Inputs!$G$5:$G$130="acoes"))*Inputs!$B$1+((Inputs!$G$5:$G$130&lt;&gt;"moeda")*(Inputs!$G$5:$G$130&lt;&gt;"acoes")))*INDEX(Inputs!$K$5:$AJ$130,0,MATCH(E$2,Inputs!$K$4:$AJ$4,0)))+SUMPRODUCT((Inputs!$E$5:$E$130=$B28)*Inputs!$F$5:$F$130*(((Inputs!$G$5:$G$130="moeda")+(Inputs!$G$5:$G$130="acoes"))*Inputs!$B$1+((Inputs!$G$5:$G$130&lt;&gt;"moeda")*(Inputs!$G$5:$G$130&lt;&gt;"acoes")))*INDEX(Inputs!$K$5:$AJ$130,0,MATCH(E$2,Inputs!$K$4:$AJ$4,0)))))</f>
        <v>1474</v>
      </c>
      <c r="F28" s="6">
        <f>IF(ISNA(MATCH(F$2,Inputs!$K$4:$AJ$4,0)),NA(),IF(SUMPRODUCT((Inputs!$A$5:$A$130=$B28)*ISNUMBER(INDEX(Inputs!$K$5:$AJ$130,0,MATCH(F$2,Inputs!$K$4:$AJ$4,0))))+SUMPRODUCT((Inputs!$C$5:$C$130=$B28)*ISNUMBER(INDEX(Inputs!$K$5:$AJ$130,0,MATCH(F$2,Inputs!$K$4:$AJ$4,0))))+SUMPRODUCT((Inputs!$E$5:$E$130=$B28)*ISNUMBER(INDEX(Inputs!$K$5:$AJ$130,0,MATCH(F$2,Inputs!$K$4:$AJ$4,0))))=0,NA(),SUMPRODUCT((Inputs!$A$5:$A$130=$B28)*Inputs!$B$5:$B$130*(((Inputs!$G$5:$G$130="moeda")+(Inputs!$G$5:$G$130="acoes"))*Inputs!$B$1+((Inputs!$G$5:$G$130&lt;&gt;"moeda")*(Inputs!$G$5:$G$130&lt;&gt;"acoes")))*INDEX(Inputs!$K$5:$AJ$130,0,MATCH(F$2,Inputs!$K$4:$AJ$4,0)))+SUMPRODUCT((Inputs!$C$5:$C$130=$B28)*Inputs!$D$5:$D$130*(((Inputs!$G$5:$G$130="moeda")+(Inputs!$G$5:$G$130="acoes"))*Inputs!$B$1+((Inputs!$G$5:$G$130&lt;&gt;"moeda")*(Inputs!$G$5:$G$130&lt;&gt;"acoes")))*INDEX(Inputs!$K$5:$AJ$130,0,MATCH(F$2,Inputs!$K$4:$AJ$4,0)))+SUMPRODUCT((Inputs!$E$5:$E$130=$B28)*Inputs!$F$5:$F$130*(((Inputs!$G$5:$G$130="moeda")+(Inputs!$G$5:$G$130="acoes"))*Inputs!$B$1+((Inputs!$G$5:$G$130&lt;&gt;"moeda")*(Inputs!$G$5:$G$130&lt;&gt;"acoes")))*INDEX(Inputs!$K$5:$AJ$130,0,MATCH(F$2,Inputs!$K$4:$AJ$4,0)))))</f>
        <v>1664</v>
      </c>
      <c r="G28" s="6">
        <f>IF(ISNA(MATCH(G$2,Inputs!$K$4:$AJ$4,0)),NA(),IF(SUMPRODUCT((Inputs!$A$5:$A$130=$B28)*ISNUMBER(INDEX(Inputs!$K$5:$AJ$130,0,MATCH(G$2,Inputs!$K$4:$AJ$4,0))))+SUMPRODUCT((Inputs!$C$5:$C$130=$B28)*ISNUMBER(INDEX(Inputs!$K$5:$AJ$130,0,MATCH(G$2,Inputs!$K$4:$AJ$4,0))))+SUMPRODUCT((Inputs!$E$5:$E$130=$B28)*ISNUMBER(INDEX(Inputs!$K$5:$AJ$130,0,MATCH(G$2,Inputs!$K$4:$AJ$4,0))))=0,NA(),SUMPRODUCT((Inputs!$A$5:$A$130=$B28)*Inputs!$B$5:$B$130*(((Inputs!$G$5:$G$130="moeda")+(Inputs!$G$5:$G$130="acoes"))*Inputs!$B$1+((Inputs!$G$5:$G$130&lt;&gt;"moeda")*(Inputs!$G$5:$G$130&lt;&gt;"acoes")))*INDEX(Inputs!$K$5:$AJ$130,0,MATCH(G$2,Inputs!$K$4:$AJ$4,0)))+SUMPRODUCT((Inputs!$C$5:$C$130=$B28)*Inputs!$D$5:$D$130*(((Inputs!$G$5:$G$130="moeda")+(Inputs!$G$5:$G$130="acoes"))*Inputs!$B$1+((Inputs!$G$5:$G$130&lt;&gt;"moeda")*(Inputs!$G$5:$G$130&lt;&gt;"acoes")))*INDEX(Inputs!$K$5:$AJ$130,0,MATCH(G$2,Inputs!$K$4:$AJ$4,0)))+SUMPRODUCT((Inputs!$E$5:$E$130=$B28)*Inputs!$F$5:$F$130*(((Inputs!$G$5:$G$130="moeda")+(Inputs!$G$5:$G$130="acoes"))*Inputs!$B$1+((Inputs!$G$5:$G$130&lt;&gt;"moeda")*(Inputs!$G$5:$G$130&lt;&gt;"acoes")))*INDEX(Inputs!$K$5:$AJ$130,0,MATCH(G$2,Inputs!$K$4:$AJ$4,0)))))</f>
        <v>1783</v>
      </c>
      <c r="H28" s="3">
        <f>G28</f>
        <v>1783</v>
      </c>
      <c r="I28" s="6">
        <f>IF(ISNA(MATCH(I$2,Inputs!$K$4:$AJ$4,0)),NA(),IF(SUMPRODUCT((Inputs!$A$5:$A$130=$B28)*ISNUMBER(INDEX(Inputs!$K$5:$AJ$130,0,MATCH(I$2,Inputs!$K$4:$AJ$4,0))))+SUMPRODUCT((Inputs!$C$5:$C$130=$B28)*ISNUMBER(INDEX(Inputs!$K$5:$AJ$130,0,MATCH(I$2,Inputs!$K$4:$AJ$4,0))))+SUMPRODUCT((Inputs!$E$5:$E$130=$B28)*ISNUMBER(INDEX(Inputs!$K$5:$AJ$130,0,MATCH(I$2,Inputs!$K$4:$AJ$4,0))))=0,NA(),SUMPRODUCT((Inputs!$A$5:$A$130=$B28)*Inputs!$B$5:$B$130*(((Inputs!$G$5:$G$130="moeda")+(Inputs!$G$5:$G$130="acoes"))*Inputs!$B$1+((Inputs!$G$5:$G$130&lt;&gt;"moeda")*(Inputs!$G$5:$G$130&lt;&gt;"acoes")))*INDEX(Inputs!$K$5:$AJ$130,0,MATCH(I$2,Inputs!$K$4:$AJ$4,0)))+SUMPRODUCT((Inputs!$C$5:$C$130=$B28)*Inputs!$D$5:$D$130*(((Inputs!$G$5:$G$130="moeda")+(Inputs!$G$5:$G$130="acoes"))*Inputs!$B$1+((Inputs!$G$5:$G$130&lt;&gt;"moeda")*(Inputs!$G$5:$G$130&lt;&gt;"acoes")))*INDEX(Inputs!$K$5:$AJ$130,0,MATCH(I$2,Inputs!$K$4:$AJ$4,0)))+SUMPRODUCT((Inputs!$E$5:$E$130=$B28)*Inputs!$F$5:$F$130*(((Inputs!$G$5:$G$130="moeda")+(Inputs!$G$5:$G$130="acoes"))*Inputs!$B$1+((Inputs!$G$5:$G$130&lt;&gt;"moeda")*(Inputs!$G$5:$G$130&lt;&gt;"acoes")))*INDEX(Inputs!$K$5:$AJ$130,0,MATCH(I$2,Inputs!$K$4:$AJ$4,0)))))</f>
        <v>1999</v>
      </c>
      <c r="J28" s="6">
        <f>IF(ISNA(MATCH(J$2,Inputs!$K$4:$AJ$4,0)),NA(),IF(SUMPRODUCT((Inputs!$A$5:$A$130=$B28)*ISNUMBER(INDEX(Inputs!$K$5:$AJ$130,0,MATCH(J$2,Inputs!$K$4:$AJ$4,0))))+SUMPRODUCT((Inputs!$C$5:$C$130=$B28)*ISNUMBER(INDEX(Inputs!$K$5:$AJ$130,0,MATCH(J$2,Inputs!$K$4:$AJ$4,0))))+SUMPRODUCT((Inputs!$E$5:$E$130=$B28)*ISNUMBER(INDEX(Inputs!$K$5:$AJ$130,0,MATCH(J$2,Inputs!$K$4:$AJ$4,0))))=0,NA(),SUMPRODUCT((Inputs!$A$5:$A$130=$B28)*Inputs!$B$5:$B$130*(((Inputs!$G$5:$G$130="moeda")+(Inputs!$G$5:$G$130="acoes"))*Inputs!$B$1+((Inputs!$G$5:$G$130&lt;&gt;"moeda")*(Inputs!$G$5:$G$130&lt;&gt;"acoes")))*INDEX(Inputs!$K$5:$AJ$130,0,MATCH(J$2,Inputs!$K$4:$AJ$4,0)))+SUMPRODUCT((Inputs!$C$5:$C$130=$B28)*Inputs!$D$5:$D$130*(((Inputs!$G$5:$G$130="moeda")+(Inputs!$G$5:$G$130="acoes"))*Inputs!$B$1+((Inputs!$G$5:$G$130&lt;&gt;"moeda")*(Inputs!$G$5:$G$130&lt;&gt;"acoes")))*INDEX(Inputs!$K$5:$AJ$130,0,MATCH(J$2,Inputs!$K$4:$AJ$4,0)))+SUMPRODUCT((Inputs!$E$5:$E$130=$B28)*Inputs!$F$5:$F$130*(((Inputs!$G$5:$G$130="moeda")+(Inputs!$G$5:$G$130="acoes"))*Inputs!$B$1+((Inputs!$G$5:$G$130&lt;&gt;"moeda")*(Inputs!$G$5:$G$130&lt;&gt;"acoes")))*INDEX(Inputs!$K$5:$AJ$130,0,MATCH(J$2,Inputs!$K$4:$AJ$4,0)))))</f>
        <v>2421</v>
      </c>
      <c r="K28" s="6">
        <f>IF(ISNA(MATCH(K$2,Inputs!$K$4:$AJ$4,0)),NA(),IF(SUMPRODUCT((Inputs!$A$5:$A$130=$B28)*ISNUMBER(INDEX(Inputs!$K$5:$AJ$130,0,MATCH(K$2,Inputs!$K$4:$AJ$4,0))))+SUMPRODUCT((Inputs!$C$5:$C$130=$B28)*ISNUMBER(INDEX(Inputs!$K$5:$AJ$130,0,MATCH(K$2,Inputs!$K$4:$AJ$4,0))))+SUMPRODUCT((Inputs!$E$5:$E$130=$B28)*ISNUMBER(INDEX(Inputs!$K$5:$AJ$130,0,MATCH(K$2,Inputs!$K$4:$AJ$4,0))))=0,NA(),SUMPRODUCT((Inputs!$A$5:$A$130=$B28)*Inputs!$B$5:$B$130*(((Inputs!$G$5:$G$130="moeda")+(Inputs!$G$5:$G$130="acoes"))*Inputs!$B$1+((Inputs!$G$5:$G$130&lt;&gt;"moeda")*(Inputs!$G$5:$G$130&lt;&gt;"acoes")))*INDEX(Inputs!$K$5:$AJ$130,0,MATCH(K$2,Inputs!$K$4:$AJ$4,0)))+SUMPRODUCT((Inputs!$C$5:$C$130=$B28)*Inputs!$D$5:$D$130*(((Inputs!$G$5:$G$130="moeda")+(Inputs!$G$5:$G$130="acoes"))*Inputs!$B$1+((Inputs!$G$5:$G$130&lt;&gt;"moeda")*(Inputs!$G$5:$G$130&lt;&gt;"acoes")))*INDEX(Inputs!$K$5:$AJ$130,0,MATCH(K$2,Inputs!$K$4:$AJ$4,0)))+SUMPRODUCT((Inputs!$E$5:$E$130=$B28)*Inputs!$F$5:$F$130*(((Inputs!$G$5:$G$130="moeda")+(Inputs!$G$5:$G$130="acoes"))*Inputs!$B$1+((Inputs!$G$5:$G$130&lt;&gt;"moeda")*(Inputs!$G$5:$G$130&lt;&gt;"acoes")))*INDEX(Inputs!$K$5:$AJ$130,0,MATCH(K$2,Inputs!$K$4:$AJ$4,0)))))</f>
        <v>1491</v>
      </c>
      <c r="L28" s="6">
        <f>IF(ISNA(MATCH(L$2,Inputs!$K$4:$AJ$4,0)),NA(),IF(SUMPRODUCT((Inputs!$A$5:$A$130=$B28)*ISNUMBER(INDEX(Inputs!$K$5:$AJ$130,0,MATCH(L$2,Inputs!$K$4:$AJ$4,0))))+SUMPRODUCT((Inputs!$C$5:$C$130=$B28)*ISNUMBER(INDEX(Inputs!$K$5:$AJ$130,0,MATCH(L$2,Inputs!$K$4:$AJ$4,0))))+SUMPRODUCT((Inputs!$E$5:$E$130=$B28)*ISNUMBER(INDEX(Inputs!$K$5:$AJ$130,0,MATCH(L$2,Inputs!$K$4:$AJ$4,0))))=0,NA(),SUMPRODUCT((Inputs!$A$5:$A$130=$B28)*Inputs!$B$5:$B$130*(((Inputs!$G$5:$G$130="moeda")+(Inputs!$G$5:$G$130="acoes"))*Inputs!$B$1+((Inputs!$G$5:$G$130&lt;&gt;"moeda")*(Inputs!$G$5:$G$130&lt;&gt;"acoes")))*INDEX(Inputs!$K$5:$AJ$130,0,MATCH(L$2,Inputs!$K$4:$AJ$4,0)))+SUMPRODUCT((Inputs!$C$5:$C$130=$B28)*Inputs!$D$5:$D$130*(((Inputs!$G$5:$G$130="moeda")+(Inputs!$G$5:$G$130="acoes"))*Inputs!$B$1+((Inputs!$G$5:$G$130&lt;&gt;"moeda")*(Inputs!$G$5:$G$130&lt;&gt;"acoes")))*INDEX(Inputs!$K$5:$AJ$130,0,MATCH(L$2,Inputs!$K$4:$AJ$4,0)))+SUMPRODUCT((Inputs!$E$5:$E$130=$B28)*Inputs!$F$5:$F$130*(((Inputs!$G$5:$G$130="moeda")+(Inputs!$G$5:$G$130="acoes"))*Inputs!$B$1+((Inputs!$G$5:$G$130&lt;&gt;"moeda")*(Inputs!$G$5:$G$130&lt;&gt;"acoes")))*INDEX(Inputs!$K$5:$AJ$130,0,MATCH(L$2,Inputs!$K$4:$AJ$4,0)))))</f>
        <v>1193</v>
      </c>
      <c r="M28" s="3">
        <f>L28</f>
        <v>1193</v>
      </c>
      <c r="N28" s="6">
        <f>IF(ISNA(MATCH(N$2,Inputs!$K$4:$AJ$4,0)),NA(),IF(SUMPRODUCT((Inputs!$A$5:$A$130=$B28)*ISNUMBER(INDEX(Inputs!$K$5:$AJ$130,0,MATCH(N$2,Inputs!$K$4:$AJ$4,0))))+SUMPRODUCT((Inputs!$C$5:$C$130=$B28)*ISNUMBER(INDEX(Inputs!$K$5:$AJ$130,0,MATCH(N$2,Inputs!$K$4:$AJ$4,0))))+SUMPRODUCT((Inputs!$E$5:$E$130=$B28)*ISNUMBER(INDEX(Inputs!$K$5:$AJ$130,0,MATCH(N$2,Inputs!$K$4:$AJ$4,0))))=0,NA(),SUMPRODUCT((Inputs!$A$5:$A$130=$B28)*Inputs!$B$5:$B$130*(((Inputs!$G$5:$G$130="moeda")+(Inputs!$G$5:$G$130="acoes"))*Inputs!$B$1+((Inputs!$G$5:$G$130&lt;&gt;"moeda")*(Inputs!$G$5:$G$130&lt;&gt;"acoes")))*INDEX(Inputs!$K$5:$AJ$130,0,MATCH(N$2,Inputs!$K$4:$AJ$4,0)))+SUMPRODUCT((Inputs!$C$5:$C$130=$B28)*Inputs!$D$5:$D$130*(((Inputs!$G$5:$G$130="moeda")+(Inputs!$G$5:$G$130="acoes"))*Inputs!$B$1+((Inputs!$G$5:$G$130&lt;&gt;"moeda")*(Inputs!$G$5:$G$130&lt;&gt;"acoes")))*INDEX(Inputs!$K$5:$AJ$130,0,MATCH(N$2,Inputs!$K$4:$AJ$4,0)))+SUMPRODUCT((Inputs!$E$5:$E$130=$B28)*Inputs!$F$5:$F$130*(((Inputs!$G$5:$G$130="moeda")+(Inputs!$G$5:$G$130="acoes"))*Inputs!$B$1+((Inputs!$G$5:$G$130&lt;&gt;"moeda")*(Inputs!$G$5:$G$130&lt;&gt;"acoes")))*INDEX(Inputs!$K$5:$AJ$130,0,MATCH(N$2,Inputs!$K$4:$AJ$4,0)))))</f>
        <v>1141</v>
      </c>
      <c r="O28" s="6">
        <f>IF(ISNA(MATCH(O$2,Inputs!$K$4:$AJ$4,0)),NA(),IF(SUMPRODUCT((Inputs!$A$5:$A$130=$B28)*ISNUMBER(INDEX(Inputs!$K$5:$AJ$130,0,MATCH(O$2,Inputs!$K$4:$AJ$4,0))))+SUMPRODUCT((Inputs!$C$5:$C$130=$B28)*ISNUMBER(INDEX(Inputs!$K$5:$AJ$130,0,MATCH(O$2,Inputs!$K$4:$AJ$4,0))))+SUMPRODUCT((Inputs!$E$5:$E$130=$B28)*ISNUMBER(INDEX(Inputs!$K$5:$AJ$130,0,MATCH(O$2,Inputs!$K$4:$AJ$4,0))))=0,NA(),SUMPRODUCT((Inputs!$A$5:$A$130=$B28)*Inputs!$B$5:$B$130*(((Inputs!$G$5:$G$130="moeda")+(Inputs!$G$5:$G$130="acoes"))*Inputs!$B$1+((Inputs!$G$5:$G$130&lt;&gt;"moeda")*(Inputs!$G$5:$G$130&lt;&gt;"acoes")))*INDEX(Inputs!$K$5:$AJ$130,0,MATCH(O$2,Inputs!$K$4:$AJ$4,0)))+SUMPRODUCT((Inputs!$C$5:$C$130=$B28)*Inputs!$D$5:$D$130*(((Inputs!$G$5:$G$130="moeda")+(Inputs!$G$5:$G$130="acoes"))*Inputs!$B$1+((Inputs!$G$5:$G$130&lt;&gt;"moeda")*(Inputs!$G$5:$G$130&lt;&gt;"acoes")))*INDEX(Inputs!$K$5:$AJ$130,0,MATCH(O$2,Inputs!$K$4:$AJ$4,0)))+SUMPRODUCT((Inputs!$E$5:$E$130=$B28)*Inputs!$F$5:$F$130*(((Inputs!$G$5:$G$130="moeda")+(Inputs!$G$5:$G$130="acoes"))*Inputs!$B$1+((Inputs!$G$5:$G$130&lt;&gt;"moeda")*(Inputs!$G$5:$G$130&lt;&gt;"acoes")))*INDEX(Inputs!$K$5:$AJ$130,0,MATCH(O$2,Inputs!$K$4:$AJ$4,0)))))</f>
        <v>1929</v>
      </c>
      <c r="P28" s="6">
        <f>IF(ISNA(MATCH(P$2,Inputs!$K$4:$AJ$4,0)),NA(),IF(SUMPRODUCT((Inputs!$A$5:$A$130=$B28)*ISNUMBER(INDEX(Inputs!$K$5:$AJ$130,0,MATCH(P$2,Inputs!$K$4:$AJ$4,0))))+SUMPRODUCT((Inputs!$C$5:$C$130=$B28)*ISNUMBER(INDEX(Inputs!$K$5:$AJ$130,0,MATCH(P$2,Inputs!$K$4:$AJ$4,0))))+SUMPRODUCT((Inputs!$E$5:$E$130=$B28)*ISNUMBER(INDEX(Inputs!$K$5:$AJ$130,0,MATCH(P$2,Inputs!$K$4:$AJ$4,0))))=0,NA(),SUMPRODUCT((Inputs!$A$5:$A$130=$B28)*Inputs!$B$5:$B$130*(((Inputs!$G$5:$G$130="moeda")+(Inputs!$G$5:$G$130="acoes"))*Inputs!$B$1+((Inputs!$G$5:$G$130&lt;&gt;"moeda")*(Inputs!$G$5:$G$130&lt;&gt;"acoes")))*INDEX(Inputs!$K$5:$AJ$130,0,MATCH(P$2,Inputs!$K$4:$AJ$4,0)))+SUMPRODUCT((Inputs!$C$5:$C$130=$B28)*Inputs!$D$5:$D$130*(((Inputs!$G$5:$G$130="moeda")+(Inputs!$G$5:$G$130="acoes"))*Inputs!$B$1+((Inputs!$G$5:$G$130&lt;&gt;"moeda")*(Inputs!$G$5:$G$130&lt;&gt;"acoes")))*INDEX(Inputs!$K$5:$AJ$130,0,MATCH(P$2,Inputs!$K$4:$AJ$4,0)))+SUMPRODUCT((Inputs!$E$5:$E$130=$B28)*Inputs!$F$5:$F$130*(((Inputs!$G$5:$G$130="moeda")+(Inputs!$G$5:$G$130="acoes"))*Inputs!$B$1+((Inputs!$G$5:$G$130&lt;&gt;"moeda")*(Inputs!$G$5:$G$130&lt;&gt;"acoes")))*INDEX(Inputs!$K$5:$AJ$130,0,MATCH(P$2,Inputs!$K$4:$AJ$4,0)))))</f>
        <v>2380</v>
      </c>
      <c r="Q28" s="6">
        <f>IF(ISNA(MATCH(Q$2,Inputs!$K$4:$AJ$4,0)),NA(),IF(SUMPRODUCT((Inputs!$A$5:$A$130=$B28)*ISNUMBER(INDEX(Inputs!$K$5:$AJ$130,0,MATCH(Q$2,Inputs!$K$4:$AJ$4,0))))+SUMPRODUCT((Inputs!$C$5:$C$130=$B28)*ISNUMBER(INDEX(Inputs!$K$5:$AJ$130,0,MATCH(Q$2,Inputs!$K$4:$AJ$4,0))))+SUMPRODUCT((Inputs!$E$5:$E$130=$B28)*ISNUMBER(INDEX(Inputs!$K$5:$AJ$130,0,MATCH(Q$2,Inputs!$K$4:$AJ$4,0))))=0,NA(),SUMPRODUCT((Inputs!$A$5:$A$130=$B28)*Inputs!$B$5:$B$130*(((Inputs!$G$5:$G$130="moeda")+(Inputs!$G$5:$G$130="acoes"))*Inputs!$B$1+((Inputs!$G$5:$G$130&lt;&gt;"moeda")*(Inputs!$G$5:$G$130&lt;&gt;"acoes")))*INDEX(Inputs!$K$5:$AJ$130,0,MATCH(Q$2,Inputs!$K$4:$AJ$4,0)))+SUMPRODUCT((Inputs!$C$5:$C$130=$B28)*Inputs!$D$5:$D$130*(((Inputs!$G$5:$G$130="moeda")+(Inputs!$G$5:$G$130="acoes"))*Inputs!$B$1+((Inputs!$G$5:$G$130&lt;&gt;"moeda")*(Inputs!$G$5:$G$130&lt;&gt;"acoes")))*INDEX(Inputs!$K$5:$AJ$130,0,MATCH(Q$2,Inputs!$K$4:$AJ$4,0)))+SUMPRODUCT((Inputs!$E$5:$E$130=$B28)*Inputs!$F$5:$F$130*(((Inputs!$G$5:$G$130="moeda")+(Inputs!$G$5:$G$130="acoes"))*Inputs!$B$1+((Inputs!$G$5:$G$130&lt;&gt;"moeda")*(Inputs!$G$5:$G$130&lt;&gt;"acoes")))*INDEX(Inputs!$K$5:$AJ$130,0,MATCH(Q$2,Inputs!$K$4:$AJ$4,0)))))</f>
        <v>2699</v>
      </c>
      <c r="R28" s="3">
        <f>Q28</f>
        <v>2699</v>
      </c>
      <c r="S28" s="6">
        <f>IF(ISNA(MATCH(S$2,Inputs!$K$4:$AJ$4,0)),NA(),IF(SUMPRODUCT((Inputs!$A$5:$A$130=$B28)*ISNUMBER(INDEX(Inputs!$K$5:$AJ$130,0,MATCH(S$2,Inputs!$K$4:$AJ$4,0))))+SUMPRODUCT((Inputs!$C$5:$C$130=$B28)*ISNUMBER(INDEX(Inputs!$K$5:$AJ$130,0,MATCH(S$2,Inputs!$K$4:$AJ$4,0))))+SUMPRODUCT((Inputs!$E$5:$E$130=$B28)*ISNUMBER(INDEX(Inputs!$K$5:$AJ$130,0,MATCH(S$2,Inputs!$K$4:$AJ$4,0))))=0,NA(),SUMPRODUCT((Inputs!$A$5:$A$130=$B28)*Inputs!$B$5:$B$130*(((Inputs!$G$5:$G$130="moeda")+(Inputs!$G$5:$G$130="acoes"))*Inputs!$B$1+((Inputs!$G$5:$G$130&lt;&gt;"moeda")*(Inputs!$G$5:$G$130&lt;&gt;"acoes")))*INDEX(Inputs!$K$5:$AJ$130,0,MATCH(S$2,Inputs!$K$4:$AJ$4,0)))+SUMPRODUCT((Inputs!$C$5:$C$130=$B28)*Inputs!$D$5:$D$130*(((Inputs!$G$5:$G$130="moeda")+(Inputs!$G$5:$G$130="acoes"))*Inputs!$B$1+((Inputs!$G$5:$G$130&lt;&gt;"moeda")*(Inputs!$G$5:$G$130&lt;&gt;"acoes")))*INDEX(Inputs!$K$5:$AJ$130,0,MATCH(S$2,Inputs!$K$4:$AJ$4,0)))+SUMPRODUCT((Inputs!$E$5:$E$130=$B28)*Inputs!$F$5:$F$130*(((Inputs!$G$5:$G$130="moeda")+(Inputs!$G$5:$G$130="acoes"))*Inputs!$B$1+((Inputs!$G$5:$G$130&lt;&gt;"moeda")*(Inputs!$G$5:$G$130&lt;&gt;"acoes")))*INDEX(Inputs!$K$5:$AJ$130,0,MATCH(S$2,Inputs!$K$4:$AJ$4,0)))))</f>
        <v>2715</v>
      </c>
      <c r="T28" s="6">
        <f>IF(ISNA(MATCH(T$2,Inputs!$K$4:$AJ$4,0)),NA(),IF(SUMPRODUCT((Inputs!$A$5:$A$130=$B28)*ISNUMBER(INDEX(Inputs!$K$5:$AJ$130,0,MATCH(T$2,Inputs!$K$4:$AJ$4,0))))+SUMPRODUCT((Inputs!$C$5:$C$130=$B28)*ISNUMBER(INDEX(Inputs!$K$5:$AJ$130,0,MATCH(T$2,Inputs!$K$4:$AJ$4,0))))+SUMPRODUCT((Inputs!$E$5:$E$130=$B28)*ISNUMBER(INDEX(Inputs!$K$5:$AJ$130,0,MATCH(T$2,Inputs!$K$4:$AJ$4,0))))=0,NA(),SUMPRODUCT((Inputs!$A$5:$A$130=$B28)*Inputs!$B$5:$B$130*(((Inputs!$G$5:$G$130="moeda")+(Inputs!$G$5:$G$130="acoes"))*Inputs!$B$1+((Inputs!$G$5:$G$130&lt;&gt;"moeda")*(Inputs!$G$5:$G$130&lt;&gt;"acoes")))*INDEX(Inputs!$K$5:$AJ$130,0,MATCH(T$2,Inputs!$K$4:$AJ$4,0)))+SUMPRODUCT((Inputs!$C$5:$C$130=$B28)*Inputs!$D$5:$D$130*(((Inputs!$G$5:$G$130="moeda")+(Inputs!$G$5:$G$130="acoes"))*Inputs!$B$1+((Inputs!$G$5:$G$130&lt;&gt;"moeda")*(Inputs!$G$5:$G$130&lt;&gt;"acoes")))*INDEX(Inputs!$K$5:$AJ$130,0,MATCH(T$2,Inputs!$K$4:$AJ$4,0)))+SUMPRODUCT((Inputs!$E$5:$E$130=$B28)*Inputs!$F$5:$F$130*(((Inputs!$G$5:$G$130="moeda")+(Inputs!$G$5:$G$130="acoes"))*Inputs!$B$1+((Inputs!$G$5:$G$130&lt;&gt;"moeda")*(Inputs!$G$5:$G$130&lt;&gt;"acoes")))*INDEX(Inputs!$K$5:$AJ$130,0,MATCH(T$2,Inputs!$K$4:$AJ$4,0)))))</f>
        <v>3680</v>
      </c>
      <c r="U28" s="6">
        <f>IF(ISNA(MATCH(U$2,Inputs!$K$4:$AJ$4,0)),NA(),IF(SUMPRODUCT((Inputs!$A$5:$A$130=$B28)*ISNUMBER(INDEX(Inputs!$K$5:$AJ$130,0,MATCH(U$2,Inputs!$K$4:$AJ$4,0))))+SUMPRODUCT((Inputs!$C$5:$C$130=$B28)*ISNUMBER(INDEX(Inputs!$K$5:$AJ$130,0,MATCH(U$2,Inputs!$K$4:$AJ$4,0))))+SUMPRODUCT((Inputs!$E$5:$E$130=$B28)*ISNUMBER(INDEX(Inputs!$K$5:$AJ$130,0,MATCH(U$2,Inputs!$K$4:$AJ$4,0))))=0,NA(),SUMPRODUCT((Inputs!$A$5:$A$130=$B28)*Inputs!$B$5:$B$130*(((Inputs!$G$5:$G$130="moeda")+(Inputs!$G$5:$G$130="acoes"))*Inputs!$B$1+((Inputs!$G$5:$G$130&lt;&gt;"moeda")*(Inputs!$G$5:$G$130&lt;&gt;"acoes")))*INDEX(Inputs!$K$5:$AJ$130,0,MATCH(U$2,Inputs!$K$4:$AJ$4,0)))+SUMPRODUCT((Inputs!$C$5:$C$130=$B28)*Inputs!$D$5:$D$130*(((Inputs!$G$5:$G$130="moeda")+(Inputs!$G$5:$G$130="acoes"))*Inputs!$B$1+((Inputs!$G$5:$G$130&lt;&gt;"moeda")*(Inputs!$G$5:$G$130&lt;&gt;"acoes")))*INDEX(Inputs!$K$5:$AJ$130,0,MATCH(U$2,Inputs!$K$4:$AJ$4,0)))+SUMPRODUCT((Inputs!$E$5:$E$130=$B28)*Inputs!$F$5:$F$130*(((Inputs!$G$5:$G$130="moeda")+(Inputs!$G$5:$G$130="acoes"))*Inputs!$B$1+((Inputs!$G$5:$G$130&lt;&gt;"moeda")*(Inputs!$G$5:$G$130&lt;&gt;"acoes")))*INDEX(Inputs!$K$5:$AJ$130,0,MATCH(U$2,Inputs!$K$4:$AJ$4,0)))))</f>
        <v>5353</v>
      </c>
      <c r="V28" s="6">
        <f>IF(ISNA(MATCH(V$2,Inputs!$K$4:$AJ$4,0)),NA(),IF(SUMPRODUCT((Inputs!$A$5:$A$130=$B28)*ISNUMBER(INDEX(Inputs!$K$5:$AJ$130,0,MATCH(V$2,Inputs!$K$4:$AJ$4,0))))+SUMPRODUCT((Inputs!$C$5:$C$130=$B28)*ISNUMBER(INDEX(Inputs!$K$5:$AJ$130,0,MATCH(V$2,Inputs!$K$4:$AJ$4,0))))+SUMPRODUCT((Inputs!$E$5:$E$130=$B28)*ISNUMBER(INDEX(Inputs!$K$5:$AJ$130,0,MATCH(V$2,Inputs!$K$4:$AJ$4,0))))=0,NA(),SUMPRODUCT((Inputs!$A$5:$A$130=$B28)*Inputs!$B$5:$B$130*(((Inputs!$G$5:$G$130="moeda")+(Inputs!$G$5:$G$130="acoes"))*Inputs!$B$1+((Inputs!$G$5:$G$130&lt;&gt;"moeda")*(Inputs!$G$5:$G$130&lt;&gt;"acoes")))*INDEX(Inputs!$K$5:$AJ$130,0,MATCH(V$2,Inputs!$K$4:$AJ$4,0)))+SUMPRODUCT((Inputs!$C$5:$C$130=$B28)*Inputs!$D$5:$D$130*(((Inputs!$G$5:$G$130="moeda")+(Inputs!$G$5:$G$130="acoes"))*Inputs!$B$1+((Inputs!$G$5:$G$130&lt;&gt;"moeda")*(Inputs!$G$5:$G$130&lt;&gt;"acoes")))*INDEX(Inputs!$K$5:$AJ$130,0,MATCH(V$2,Inputs!$K$4:$AJ$4,0)))+SUMPRODUCT((Inputs!$E$5:$E$130=$B28)*Inputs!$F$5:$F$130*(((Inputs!$G$5:$G$130="moeda")+(Inputs!$G$5:$G$130="acoes"))*Inputs!$B$1+((Inputs!$G$5:$G$130&lt;&gt;"moeda")*(Inputs!$G$5:$G$130&lt;&gt;"acoes")))*INDEX(Inputs!$K$5:$AJ$130,0,MATCH(V$2,Inputs!$K$4:$AJ$4,0)))))</f>
        <v>6310</v>
      </c>
      <c r="W28" s="3">
        <f>V28</f>
        <v>6310</v>
      </c>
      <c r="X28" s="6">
        <f>IF(ISNA(MATCH(X$2,Inputs!$K$4:$AJ$4,0)),NA(),IF(SUMPRODUCT((Inputs!$A$5:$A$130=$B28)*ISNUMBER(INDEX(Inputs!$K$5:$AJ$130,0,MATCH(X$2,Inputs!$K$4:$AJ$4,0))))+SUMPRODUCT((Inputs!$C$5:$C$130=$B28)*ISNUMBER(INDEX(Inputs!$K$5:$AJ$130,0,MATCH(X$2,Inputs!$K$4:$AJ$4,0))))+SUMPRODUCT((Inputs!$E$5:$E$130=$B28)*ISNUMBER(INDEX(Inputs!$K$5:$AJ$130,0,MATCH(X$2,Inputs!$K$4:$AJ$4,0))))=0,NA(),SUMPRODUCT((Inputs!$A$5:$A$130=$B28)*Inputs!$B$5:$B$130*(((Inputs!$G$5:$G$130="moeda")+(Inputs!$G$5:$G$130="acoes"))*Inputs!$B$1+((Inputs!$G$5:$G$130&lt;&gt;"moeda")*(Inputs!$G$5:$G$130&lt;&gt;"acoes")))*INDEX(Inputs!$K$5:$AJ$130,0,MATCH(X$2,Inputs!$K$4:$AJ$4,0)))+SUMPRODUCT((Inputs!$C$5:$C$130=$B28)*Inputs!$D$5:$D$130*(((Inputs!$G$5:$G$130="moeda")+(Inputs!$G$5:$G$130="acoes"))*Inputs!$B$1+((Inputs!$G$5:$G$130&lt;&gt;"moeda")*(Inputs!$G$5:$G$130&lt;&gt;"acoes")))*INDEX(Inputs!$K$5:$AJ$130,0,MATCH(X$2,Inputs!$K$4:$AJ$4,0)))+SUMPRODUCT((Inputs!$E$5:$E$130=$B28)*Inputs!$F$5:$F$130*(((Inputs!$G$5:$G$130="moeda")+(Inputs!$G$5:$G$130="acoes"))*Inputs!$B$1+((Inputs!$G$5:$G$130&lt;&gt;"moeda")*(Inputs!$G$5:$G$130&lt;&gt;"acoes")))*INDEX(Inputs!$K$5:$AJ$130,0,MATCH(X$2,Inputs!$K$4:$AJ$4,0)))))</f>
        <v>7331</v>
      </c>
      <c r="Y28" s="6">
        <f>IF(ISNA(MATCH(Y$2,Inputs!$K$4:$AJ$4,0)),NA(),IF(SUMPRODUCT((Inputs!$A$5:$A$130=$B28)*ISNUMBER(INDEX(Inputs!$K$5:$AJ$130,0,MATCH(Y$2,Inputs!$K$4:$AJ$4,0))))+SUMPRODUCT((Inputs!$C$5:$C$130=$B28)*ISNUMBER(INDEX(Inputs!$K$5:$AJ$130,0,MATCH(Y$2,Inputs!$K$4:$AJ$4,0))))+SUMPRODUCT((Inputs!$E$5:$E$130=$B28)*ISNUMBER(INDEX(Inputs!$K$5:$AJ$130,0,MATCH(Y$2,Inputs!$K$4:$AJ$4,0))))=0,NA(),SUMPRODUCT((Inputs!$A$5:$A$130=$B28)*Inputs!$B$5:$B$130*(((Inputs!$G$5:$G$130="moeda")+(Inputs!$G$5:$G$130="acoes"))*Inputs!$B$1+((Inputs!$G$5:$G$130&lt;&gt;"moeda")*(Inputs!$G$5:$G$130&lt;&gt;"acoes")))*INDEX(Inputs!$K$5:$AJ$130,0,MATCH(Y$2,Inputs!$K$4:$AJ$4,0)))+SUMPRODUCT((Inputs!$C$5:$C$130=$B28)*Inputs!$D$5:$D$130*(((Inputs!$G$5:$G$130="moeda")+(Inputs!$G$5:$G$130="acoes"))*Inputs!$B$1+((Inputs!$G$5:$G$130&lt;&gt;"moeda")*(Inputs!$G$5:$G$130&lt;&gt;"acoes")))*INDEX(Inputs!$K$5:$AJ$130,0,MATCH(Y$2,Inputs!$K$4:$AJ$4,0)))+SUMPRODUCT((Inputs!$E$5:$E$130=$B28)*Inputs!$F$5:$F$130*(((Inputs!$G$5:$G$130="moeda")+(Inputs!$G$5:$G$130="acoes"))*Inputs!$B$1+((Inputs!$G$5:$G$130&lt;&gt;"moeda")*(Inputs!$G$5:$G$130&lt;&gt;"acoes")))*INDEX(Inputs!$K$5:$AJ$130,0,MATCH(Y$2,Inputs!$K$4:$AJ$4,0)))))</f>
        <v>9064</v>
      </c>
      <c r="Z28" s="6">
        <f>IF(ISNA(MATCH(Z$2,Inputs!$K$4:$AJ$4,0)),NA(),IF(SUMPRODUCT((Inputs!$A$5:$A$130=$B28)*ISNUMBER(INDEX(Inputs!$K$5:$AJ$130,0,MATCH(Z$2,Inputs!$K$4:$AJ$4,0))))+SUMPRODUCT((Inputs!$C$5:$C$130=$B28)*ISNUMBER(INDEX(Inputs!$K$5:$AJ$130,0,MATCH(Z$2,Inputs!$K$4:$AJ$4,0))))+SUMPRODUCT((Inputs!$E$5:$E$130=$B28)*ISNUMBER(INDEX(Inputs!$K$5:$AJ$130,0,MATCH(Z$2,Inputs!$K$4:$AJ$4,0))))=0,NA(),SUMPRODUCT((Inputs!$A$5:$A$130=$B28)*Inputs!$B$5:$B$130*(((Inputs!$G$5:$G$130="moeda")+(Inputs!$G$5:$G$130="acoes"))*Inputs!$B$1+((Inputs!$G$5:$G$130&lt;&gt;"moeda")*(Inputs!$G$5:$G$130&lt;&gt;"acoes")))*INDEX(Inputs!$K$5:$AJ$130,0,MATCH(Z$2,Inputs!$K$4:$AJ$4,0)))+SUMPRODUCT((Inputs!$C$5:$C$130=$B28)*Inputs!$D$5:$D$130*(((Inputs!$G$5:$G$130="moeda")+(Inputs!$G$5:$G$130="acoes"))*Inputs!$B$1+((Inputs!$G$5:$G$130&lt;&gt;"moeda")*(Inputs!$G$5:$G$130&lt;&gt;"acoes")))*INDEX(Inputs!$K$5:$AJ$130,0,MATCH(Z$2,Inputs!$K$4:$AJ$4,0)))+SUMPRODUCT((Inputs!$E$5:$E$130=$B28)*Inputs!$F$5:$F$130*(((Inputs!$G$5:$G$130="moeda")+(Inputs!$G$5:$G$130="acoes"))*Inputs!$B$1+((Inputs!$G$5:$G$130&lt;&gt;"moeda")*(Inputs!$G$5:$G$130&lt;&gt;"acoes")))*INDEX(Inputs!$K$5:$AJ$130,0,MATCH(Z$2,Inputs!$K$4:$AJ$4,0)))))</f>
        <v>8624</v>
      </c>
      <c r="AA28" s="6">
        <f>IF(ISNA(MATCH(AA$2,Inputs!$K$4:$AJ$4,0)),NA(),IF(SUMPRODUCT((Inputs!$A$5:$A$130=$B28)*ISNUMBER(INDEX(Inputs!$K$5:$AJ$130,0,MATCH(AA$2,Inputs!$K$4:$AJ$4,0))))+SUMPRODUCT((Inputs!$C$5:$C$130=$B28)*ISNUMBER(INDEX(Inputs!$K$5:$AJ$130,0,MATCH(AA$2,Inputs!$K$4:$AJ$4,0))))+SUMPRODUCT((Inputs!$E$5:$E$130=$B28)*ISNUMBER(INDEX(Inputs!$K$5:$AJ$130,0,MATCH(AA$2,Inputs!$K$4:$AJ$4,0))))=0,NA(),SUMPRODUCT((Inputs!$A$5:$A$130=$B28)*Inputs!$B$5:$B$130*(((Inputs!$G$5:$G$130="moeda")+(Inputs!$G$5:$G$130="acoes"))*Inputs!$B$1+((Inputs!$G$5:$G$130&lt;&gt;"moeda")*(Inputs!$G$5:$G$130&lt;&gt;"acoes")))*INDEX(Inputs!$K$5:$AJ$130,0,MATCH(AA$2,Inputs!$K$4:$AJ$4,0)))+SUMPRODUCT((Inputs!$C$5:$C$130=$B28)*Inputs!$D$5:$D$130*(((Inputs!$G$5:$G$130="moeda")+(Inputs!$G$5:$G$130="acoes"))*Inputs!$B$1+((Inputs!$G$5:$G$130&lt;&gt;"moeda")*(Inputs!$G$5:$G$130&lt;&gt;"acoes")))*INDEX(Inputs!$K$5:$AJ$130,0,MATCH(AA$2,Inputs!$K$4:$AJ$4,0)))+SUMPRODUCT((Inputs!$E$5:$E$130=$B28)*Inputs!$F$5:$F$130*(((Inputs!$G$5:$G$130="moeda")+(Inputs!$G$5:$G$130="acoes"))*Inputs!$B$1+((Inputs!$G$5:$G$130&lt;&gt;"moeda")*(Inputs!$G$5:$G$130&lt;&gt;"acoes")))*INDEX(Inputs!$K$5:$AJ$130,0,MATCH(AA$2,Inputs!$K$4:$AJ$4,0)))))</f>
        <v>9812</v>
      </c>
      <c r="AB28" s="3">
        <f>AA28</f>
        <v>9812</v>
      </c>
      <c r="AC28" s="6">
        <f>IF(ISNA(MATCH(AC$2,Inputs!$K$4:$AJ$4,0)),NA(),IF(SUMPRODUCT((Inputs!$A$5:$A$130=$B28)*ISNUMBER(INDEX(Inputs!$K$5:$AJ$130,0,MATCH(AC$2,Inputs!$K$4:$AJ$4,0))))+SUMPRODUCT((Inputs!$C$5:$C$130=$B28)*ISNUMBER(INDEX(Inputs!$K$5:$AJ$130,0,MATCH(AC$2,Inputs!$K$4:$AJ$4,0))))+SUMPRODUCT((Inputs!$E$5:$E$130=$B28)*ISNUMBER(INDEX(Inputs!$K$5:$AJ$130,0,MATCH(AC$2,Inputs!$K$4:$AJ$4,0))))=0,NA(),SUMPRODUCT((Inputs!$A$5:$A$130=$B28)*Inputs!$B$5:$B$130*(((Inputs!$G$5:$G$130="moeda")+(Inputs!$G$5:$G$130="acoes"))*Inputs!$B$1+((Inputs!$G$5:$G$130&lt;&gt;"moeda")*(Inputs!$G$5:$G$130&lt;&gt;"acoes")))*INDEX(Inputs!$K$5:$AJ$130,0,MATCH(AC$2,Inputs!$K$4:$AJ$4,0)))+SUMPRODUCT((Inputs!$C$5:$C$130=$B28)*Inputs!$D$5:$D$130*(((Inputs!$G$5:$G$130="moeda")+(Inputs!$G$5:$G$130="acoes"))*Inputs!$B$1+((Inputs!$G$5:$G$130&lt;&gt;"moeda")*(Inputs!$G$5:$G$130&lt;&gt;"acoes")))*INDEX(Inputs!$K$5:$AJ$130,0,MATCH(AC$2,Inputs!$K$4:$AJ$4,0)))+SUMPRODUCT((Inputs!$E$5:$E$130=$B28)*Inputs!$F$5:$F$130*(((Inputs!$G$5:$G$130="moeda")+(Inputs!$G$5:$G$130="acoes"))*Inputs!$B$1+((Inputs!$G$5:$G$130&lt;&gt;"moeda")*(Inputs!$G$5:$G$130&lt;&gt;"acoes")))*INDEX(Inputs!$K$5:$AJ$130,0,MATCH(AC$2,Inputs!$K$4:$AJ$4,0)))))</f>
        <v>13097</v>
      </c>
      <c r="AD28" s="6">
        <f>IF(ISNA(MATCH(AD$2,Inputs!$K$4:$AJ$4,0)),NA(),IF(SUMPRODUCT((Inputs!$A$5:$A$130=$B28)*ISNUMBER(INDEX(Inputs!$K$5:$AJ$130,0,MATCH(AD$2,Inputs!$K$4:$AJ$4,0))))+SUMPRODUCT((Inputs!$C$5:$C$130=$B28)*ISNUMBER(INDEX(Inputs!$K$5:$AJ$130,0,MATCH(AD$2,Inputs!$K$4:$AJ$4,0))))+SUMPRODUCT((Inputs!$E$5:$E$130=$B28)*ISNUMBER(INDEX(Inputs!$K$5:$AJ$130,0,MATCH(AD$2,Inputs!$K$4:$AJ$4,0))))=0,NA(),SUMPRODUCT((Inputs!$A$5:$A$130=$B28)*Inputs!$B$5:$B$130*(((Inputs!$G$5:$G$130="moeda")+(Inputs!$G$5:$G$130="acoes"))*Inputs!$B$1+((Inputs!$G$5:$G$130&lt;&gt;"moeda")*(Inputs!$G$5:$G$130&lt;&gt;"acoes")))*INDEX(Inputs!$K$5:$AJ$130,0,MATCH(AD$2,Inputs!$K$4:$AJ$4,0)))+SUMPRODUCT((Inputs!$C$5:$C$130=$B28)*Inputs!$D$5:$D$130*(((Inputs!$G$5:$G$130="moeda")+(Inputs!$G$5:$G$130="acoes"))*Inputs!$B$1+((Inputs!$G$5:$G$130&lt;&gt;"moeda")*(Inputs!$G$5:$G$130&lt;&gt;"acoes")))*INDEX(Inputs!$K$5:$AJ$130,0,MATCH(AD$2,Inputs!$K$4:$AJ$4,0)))+SUMPRODUCT((Inputs!$E$5:$E$130=$B28)*Inputs!$F$5:$F$130*(((Inputs!$G$5:$G$130="moeda")+(Inputs!$G$5:$G$130="acoes"))*Inputs!$B$1+((Inputs!$G$5:$G$130&lt;&gt;"moeda")*(Inputs!$G$5:$G$130&lt;&gt;"acoes")))*INDEX(Inputs!$K$5:$AJ$130,0,MATCH(AD$2,Inputs!$K$4:$AJ$4,0)))))</f>
        <v>15059</v>
      </c>
      <c r="AE28" s="6" t="e">
        <f>IF(ISNA(MATCH(AE$2,Inputs!$K$4:$AJ$4,0)),NA(),IF(SUMPRODUCT((Inputs!$A$5:$A$130=$B28)*ISNUMBER(INDEX(Inputs!$K$5:$AJ$130,0,MATCH(AE$2,Inputs!$K$4:$AJ$4,0))))+SUMPRODUCT((Inputs!$C$5:$C$130=$B28)*ISNUMBER(INDEX(Inputs!$K$5:$AJ$130,0,MATCH(AE$2,Inputs!$K$4:$AJ$4,0))))+SUMPRODUCT((Inputs!$E$5:$E$130=$B28)*ISNUMBER(INDEX(Inputs!$K$5:$AJ$130,0,MATCH(AE$2,Inputs!$K$4:$AJ$4,0))))=0,NA(),SUMPRODUCT((Inputs!$A$5:$A$130=$B28)*Inputs!$B$5:$B$130*(((Inputs!$G$5:$G$130="moeda")+(Inputs!$G$5:$G$130="acoes"))*Inputs!$B$1+((Inputs!$G$5:$G$130&lt;&gt;"moeda")*(Inputs!$G$5:$G$130&lt;&gt;"acoes")))*INDEX(Inputs!$K$5:$AJ$130,0,MATCH(AE$2,Inputs!$K$4:$AJ$4,0)))+SUMPRODUCT((Inputs!$C$5:$C$130=$B28)*Inputs!$D$5:$D$130*(((Inputs!$G$5:$G$130="moeda")+(Inputs!$G$5:$G$130="acoes"))*Inputs!$B$1+((Inputs!$G$5:$G$130&lt;&gt;"moeda")*(Inputs!$G$5:$G$130&lt;&gt;"acoes")))*INDEX(Inputs!$K$5:$AJ$130,0,MATCH(AE$2,Inputs!$K$4:$AJ$4,0)))+SUMPRODUCT((Inputs!$E$5:$E$130=$B28)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8" s="6" t="e">
        <f>IF(ISNA(MATCH(AF$2,Inputs!$K$4:$AJ$4,0)),NA(),IF(SUMPRODUCT((Inputs!$A$5:$A$130=$B28)*ISNUMBER(INDEX(Inputs!$K$5:$AJ$130,0,MATCH(AF$2,Inputs!$K$4:$AJ$4,0))))+SUMPRODUCT((Inputs!$C$5:$C$130=$B28)*ISNUMBER(INDEX(Inputs!$K$5:$AJ$130,0,MATCH(AF$2,Inputs!$K$4:$AJ$4,0))))+SUMPRODUCT((Inputs!$E$5:$E$130=$B28)*ISNUMBER(INDEX(Inputs!$K$5:$AJ$130,0,MATCH(AF$2,Inputs!$K$4:$AJ$4,0))))=0,NA(),SUMPRODUCT((Inputs!$A$5:$A$130=$B28)*Inputs!$B$5:$B$130*(((Inputs!$G$5:$G$130="moeda")+(Inputs!$G$5:$G$130="acoes"))*Inputs!$B$1+((Inputs!$G$5:$G$130&lt;&gt;"moeda")*(Inputs!$G$5:$G$130&lt;&gt;"acoes")))*INDEX(Inputs!$K$5:$AJ$130,0,MATCH(AF$2,Inputs!$K$4:$AJ$4,0)))+SUMPRODUCT((Inputs!$C$5:$C$130=$B28)*Inputs!$D$5:$D$130*(((Inputs!$G$5:$G$130="moeda")+(Inputs!$G$5:$G$130="acoes"))*Inputs!$B$1+((Inputs!$G$5:$G$130&lt;&gt;"moeda")*(Inputs!$G$5:$G$130&lt;&gt;"acoes")))*INDEX(Inputs!$K$5:$AJ$130,0,MATCH(AF$2,Inputs!$K$4:$AJ$4,0)))+SUMPRODUCT((Inputs!$E$5:$E$130=$B28)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8" s="3" t="e">
        <f>AF28</f>
        <v>#N/A</v>
      </c>
      <c r="AH28" s="6">
        <f>IF(ISNA(MATCH(AH$2,Inputs!$K$4:$AJ$4,0)),NA(),IF(SUMPRODUCT((Inputs!$A$5:$A$130=$B28)*ISNUMBER(INDEX(Inputs!$K$5:$AJ$130,0,MATCH(AH$2,Inputs!$K$4:$AJ$4,0))))+SUMPRODUCT((Inputs!$C$5:$C$130=$B28)*ISNUMBER(INDEX(Inputs!$K$5:$AJ$130,0,MATCH(AH$2,Inputs!$K$4:$AJ$4,0))))+SUMPRODUCT((Inputs!$E$5:$E$130=$B28)*ISNUMBER(INDEX(Inputs!$K$5:$AJ$130,0,MATCH(AH$2,Inputs!$K$4:$AJ$4,0))))=0,NA(),SUMPRODUCT((Inputs!$A$5:$A$130=$B28)*Inputs!$B$5:$B$130*(((Inputs!$G$5:$G$130="moeda")+(Inputs!$G$5:$G$130="acoes"))*Inputs!$B$1+((Inputs!$G$5:$G$130&lt;&gt;"moeda")*(Inputs!$G$5:$G$130&lt;&gt;"acoes")))*INDEX(Inputs!$K$5:$AJ$130,0,MATCH(AH$2,Inputs!$K$4:$AJ$4,0)))+SUMPRODUCT((Inputs!$C$5:$C$130=$B28)*Inputs!$D$5:$D$130*(((Inputs!$G$5:$G$130="moeda")+(Inputs!$G$5:$G$130="acoes"))*Inputs!$B$1+((Inputs!$G$5:$G$130&lt;&gt;"moeda")*(Inputs!$G$5:$G$130&lt;&gt;"acoes")))*INDEX(Inputs!$K$5:$AJ$130,0,MATCH(AH$2,Inputs!$K$4:$AJ$4,0)))+SUMPRODUCT((Inputs!$E$5:$E$130=$B28)*Inputs!$F$5:$F$130*(((Inputs!$G$5:$G$130="moeda")+(Inputs!$G$5:$G$130="acoes"))*Inputs!$B$1+((Inputs!$G$5:$G$130&lt;&gt;"moeda")*(Inputs!$G$5:$G$130&lt;&gt;"acoes")))*INDEX(Inputs!$K$5:$AJ$130,0,MATCH(AH$2,Inputs!$K$4:$AJ$4,0)))))</f>
        <v>761</v>
      </c>
      <c r="AI28" s="6">
        <f>IF(ISNA(MATCH(AI$2,Inputs!$K$4:$AJ$4,0)),NA(),IF(SUMPRODUCT((Inputs!$A$5:$A$130=$B28)*ISNUMBER(INDEX(Inputs!$K$5:$AJ$130,0,MATCH(AI$2,Inputs!$K$4:$AJ$4,0))))+SUMPRODUCT((Inputs!$C$5:$C$130=$B28)*ISNUMBER(INDEX(Inputs!$K$5:$AJ$130,0,MATCH(AI$2,Inputs!$K$4:$AJ$4,0))))+SUMPRODUCT((Inputs!$E$5:$E$130=$B28)*ISNUMBER(INDEX(Inputs!$K$5:$AJ$130,0,MATCH(AI$2,Inputs!$K$4:$AJ$4,0))))=0,NA(),SUMPRODUCT((Inputs!$A$5:$A$130=$B28)*Inputs!$B$5:$B$130*(((Inputs!$G$5:$G$130="moeda")+(Inputs!$G$5:$G$130="acoes"))*Inputs!$B$1+((Inputs!$G$5:$G$130&lt;&gt;"moeda")*(Inputs!$G$5:$G$130&lt;&gt;"acoes")))*INDEX(Inputs!$K$5:$AJ$130,0,MATCH(AI$2,Inputs!$K$4:$AJ$4,0)))+SUMPRODUCT((Inputs!$C$5:$C$130=$B28)*Inputs!$D$5:$D$130*(((Inputs!$G$5:$G$130="moeda")+(Inputs!$G$5:$G$130="acoes"))*Inputs!$B$1+((Inputs!$G$5:$G$130&lt;&gt;"moeda")*(Inputs!$G$5:$G$130&lt;&gt;"acoes")))*INDEX(Inputs!$K$5:$AJ$130,0,MATCH(AI$2,Inputs!$K$4:$AJ$4,0)))+SUMPRODUCT((Inputs!$E$5:$E$130=$B28)*Inputs!$F$5:$F$130*(((Inputs!$G$5:$G$130="moeda")+(Inputs!$G$5:$G$130="acoes"))*Inputs!$B$1+((Inputs!$G$5:$G$130&lt;&gt;"moeda")*(Inputs!$G$5:$G$130&lt;&gt;"acoes")))*INDEX(Inputs!$K$5:$AJ$130,0,MATCH(AI$2,Inputs!$K$4:$AJ$4,0)))))</f>
        <v>893</v>
      </c>
      <c r="AJ28" s="6">
        <f>IF(ISNA(MATCH(AJ$2,Inputs!$K$4:$AJ$4,0)),NA(),IF(SUMPRODUCT((Inputs!$A$5:$A$130=$B28)*ISNUMBER(INDEX(Inputs!$K$5:$AJ$130,0,MATCH(AJ$2,Inputs!$K$4:$AJ$4,0))))+SUMPRODUCT((Inputs!$C$5:$C$130=$B28)*ISNUMBER(INDEX(Inputs!$K$5:$AJ$130,0,MATCH(AJ$2,Inputs!$K$4:$AJ$4,0))))+SUMPRODUCT((Inputs!$E$5:$E$130=$B28)*ISNUMBER(INDEX(Inputs!$K$5:$AJ$130,0,MATCH(AJ$2,Inputs!$K$4:$AJ$4,0))))=0,NA(),SUMPRODUCT((Inputs!$A$5:$A$130=$B28)*Inputs!$B$5:$B$130*(((Inputs!$G$5:$G$130="moeda")+(Inputs!$G$5:$G$130="acoes"))*Inputs!$B$1+((Inputs!$G$5:$G$130&lt;&gt;"moeda")*(Inputs!$G$5:$G$130&lt;&gt;"acoes")))*INDEX(Inputs!$K$5:$AJ$130,0,MATCH(AJ$2,Inputs!$K$4:$AJ$4,0)))+SUMPRODUCT((Inputs!$C$5:$C$130=$B28)*Inputs!$D$5:$D$130*(((Inputs!$G$5:$G$130="moeda")+(Inputs!$G$5:$G$130="acoes"))*Inputs!$B$1+((Inputs!$G$5:$G$130&lt;&gt;"moeda")*(Inputs!$G$5:$G$130&lt;&gt;"acoes")))*INDEX(Inputs!$K$5:$AJ$130,0,MATCH(AJ$2,Inputs!$K$4:$AJ$4,0)))+SUMPRODUCT((Inputs!$E$5:$E$130=$B28)*Inputs!$F$5:$F$130*(((Inputs!$G$5:$G$130="moeda")+(Inputs!$G$5:$G$130="acoes"))*Inputs!$B$1+((Inputs!$G$5:$G$130&lt;&gt;"moeda")*(Inputs!$G$5:$G$130&lt;&gt;"acoes")))*INDEX(Inputs!$K$5:$AJ$130,0,MATCH(AJ$2,Inputs!$K$4:$AJ$4,0)))))</f>
        <v>1097</v>
      </c>
      <c r="AK28" s="6">
        <f>IF(ISNA(MATCH(AK$2,Inputs!$K$4:$AJ$4,0)),NA(),IF(SUMPRODUCT((Inputs!$A$5:$A$130=$B28)*ISNUMBER(INDEX(Inputs!$K$5:$AJ$130,0,MATCH(AK$2,Inputs!$K$4:$AJ$4,0))))+SUMPRODUCT((Inputs!$C$5:$C$130=$B28)*ISNUMBER(INDEX(Inputs!$K$5:$AJ$130,0,MATCH(AK$2,Inputs!$K$4:$AJ$4,0))))+SUMPRODUCT((Inputs!$E$5:$E$130=$B28)*ISNUMBER(INDEX(Inputs!$K$5:$AJ$130,0,MATCH(AK$2,Inputs!$K$4:$AJ$4,0))))=0,NA(),SUMPRODUCT((Inputs!$A$5:$A$130=$B28)*Inputs!$B$5:$B$130*(((Inputs!$G$5:$G$130="moeda")+(Inputs!$G$5:$G$130="acoes"))*Inputs!$B$1+((Inputs!$G$5:$G$130&lt;&gt;"moeda")*(Inputs!$G$5:$G$130&lt;&gt;"acoes")))*INDEX(Inputs!$K$5:$AJ$130,0,MATCH(AK$2,Inputs!$K$4:$AJ$4,0)))+SUMPRODUCT((Inputs!$C$5:$C$130=$B28)*Inputs!$D$5:$D$130*(((Inputs!$G$5:$G$130="moeda")+(Inputs!$G$5:$G$130="acoes"))*Inputs!$B$1+((Inputs!$G$5:$G$130&lt;&gt;"moeda")*(Inputs!$G$5:$G$130&lt;&gt;"acoes")))*INDEX(Inputs!$K$5:$AJ$130,0,MATCH(AK$2,Inputs!$K$4:$AJ$4,0)))+SUMPRODUCT((Inputs!$E$5:$E$130=$B28)*Inputs!$F$5:$F$130*(((Inputs!$G$5:$G$130="moeda")+(Inputs!$G$5:$G$130="acoes"))*Inputs!$B$1+((Inputs!$G$5:$G$130&lt;&gt;"moeda")*(Inputs!$G$5:$G$130&lt;&gt;"acoes")))*INDEX(Inputs!$K$5:$AJ$130,0,MATCH(AK$2,Inputs!$K$4:$AJ$4,0)))))</f>
        <v>1149</v>
      </c>
      <c r="AL28" s="3">
        <f>AK28</f>
        <v>1149</v>
      </c>
    </row>
    <row r="29">
      <c r="B29" s="46" t="n">
        <v>24</v>
      </c>
      <c r="C29" s="26" t="inlineStr">
        <is>
          <t>Accrued expenses</t>
        </is>
      </c>
      <c r="D29" s="6">
        <f>IF(ISNA(MATCH(D$2,Inputs!$K$4:$AJ$4,0)),NA(),IF(SUMPRODUCT((Inputs!$A$5:$A$130=$B29)*ISNUMBER(INDEX(Inputs!$K$5:$AJ$130,0,MATCH(D$2,Inputs!$K$4:$AJ$4,0))))+SUMPRODUCT((Inputs!$C$5:$C$130=$B29)*ISNUMBER(INDEX(Inputs!$K$5:$AJ$130,0,MATCH(D$2,Inputs!$K$4:$AJ$4,0))))+SUMPRODUCT((Inputs!$E$5:$E$130=$B29)*ISNUMBER(INDEX(Inputs!$K$5:$AJ$130,0,MATCH(D$2,Inputs!$K$4:$AJ$4,0))))=0,NA(),SUMPRODUCT((Inputs!$A$5:$A$130=$B29)*Inputs!$B$5:$B$130*(((Inputs!$G$5:$G$130="moeda")+(Inputs!$G$5:$G$130="acoes"))*Inputs!$B$1+((Inputs!$G$5:$G$130&lt;&gt;"moeda")*(Inputs!$G$5:$G$130&lt;&gt;"acoes")))*INDEX(Inputs!$K$5:$AJ$130,0,MATCH(D$2,Inputs!$K$4:$AJ$4,0)))+SUMPRODUCT((Inputs!$C$5:$C$130=$B29)*Inputs!$D$5:$D$130*(((Inputs!$G$5:$G$130="moeda")+(Inputs!$G$5:$G$130="acoes"))*Inputs!$B$1+((Inputs!$G$5:$G$130&lt;&gt;"moeda")*(Inputs!$G$5:$G$130&lt;&gt;"acoes")))*INDEX(Inputs!$K$5:$AJ$130,0,MATCH(D$2,Inputs!$K$4:$AJ$4,0)))+SUMPRODUCT((Inputs!$E$5:$E$130=$B29)*Inputs!$F$5:$F$130*(((Inputs!$G$5:$G$130="moeda")+(Inputs!$G$5:$G$130="acoes"))*Inputs!$B$1+((Inputs!$G$5:$G$130&lt;&gt;"moeda")*(Inputs!$G$5:$G$130&lt;&gt;"acoes")))*INDEX(Inputs!$K$5:$AJ$130,0,MATCH(D$2,Inputs!$K$4:$AJ$4,0)))))</f>
        <v>1556</v>
      </c>
      <c r="E29" s="6">
        <f>IF(ISNA(MATCH(E$2,Inputs!$K$4:$AJ$4,0)),NA(),IF(SUMPRODUCT((Inputs!$A$5:$A$130=$B29)*ISNUMBER(INDEX(Inputs!$K$5:$AJ$130,0,MATCH(E$2,Inputs!$K$4:$AJ$4,0))))+SUMPRODUCT((Inputs!$C$5:$C$130=$B29)*ISNUMBER(INDEX(Inputs!$K$5:$AJ$130,0,MATCH(E$2,Inputs!$K$4:$AJ$4,0))))+SUMPRODUCT((Inputs!$E$5:$E$130=$B29)*ISNUMBER(INDEX(Inputs!$K$5:$AJ$130,0,MATCH(E$2,Inputs!$K$4:$AJ$4,0))))=0,NA(),SUMPRODUCT((Inputs!$A$5:$A$130=$B29)*Inputs!$B$5:$B$130*(((Inputs!$G$5:$G$130="moeda")+(Inputs!$G$5:$G$130="acoes"))*Inputs!$B$1+((Inputs!$G$5:$G$130&lt;&gt;"moeda")*(Inputs!$G$5:$G$130&lt;&gt;"acoes")))*INDEX(Inputs!$K$5:$AJ$130,0,MATCH(E$2,Inputs!$K$4:$AJ$4,0)))+SUMPRODUCT((Inputs!$C$5:$C$130=$B29)*Inputs!$D$5:$D$130*(((Inputs!$G$5:$G$130="moeda")+(Inputs!$G$5:$G$130="acoes"))*Inputs!$B$1+((Inputs!$G$5:$G$130&lt;&gt;"moeda")*(Inputs!$G$5:$G$130&lt;&gt;"acoes")))*INDEX(Inputs!$K$5:$AJ$130,0,MATCH(E$2,Inputs!$K$4:$AJ$4,0)))+SUMPRODUCT((Inputs!$E$5:$E$130=$B29)*Inputs!$F$5:$F$130*(((Inputs!$G$5:$G$130="moeda")+(Inputs!$G$5:$G$130="acoes"))*Inputs!$B$1+((Inputs!$G$5:$G$130&lt;&gt;"moeda")*(Inputs!$G$5:$G$130&lt;&gt;"acoes")))*INDEX(Inputs!$K$5:$AJ$130,0,MATCH(E$2,Inputs!$K$4:$AJ$4,0)))))</f>
        <v>1778</v>
      </c>
      <c r="F29" s="6">
        <f>IF(ISNA(MATCH(F$2,Inputs!$K$4:$AJ$4,0)),NA(),IF(SUMPRODUCT((Inputs!$A$5:$A$130=$B29)*ISNUMBER(INDEX(Inputs!$K$5:$AJ$130,0,MATCH(F$2,Inputs!$K$4:$AJ$4,0))))+SUMPRODUCT((Inputs!$C$5:$C$130=$B29)*ISNUMBER(INDEX(Inputs!$K$5:$AJ$130,0,MATCH(F$2,Inputs!$K$4:$AJ$4,0))))+SUMPRODUCT((Inputs!$E$5:$E$130=$B29)*ISNUMBER(INDEX(Inputs!$K$5:$AJ$130,0,MATCH(F$2,Inputs!$K$4:$AJ$4,0))))=0,NA(),SUMPRODUCT((Inputs!$A$5:$A$130=$B29)*Inputs!$B$5:$B$130*(((Inputs!$G$5:$G$130="moeda")+(Inputs!$G$5:$G$130="acoes"))*Inputs!$B$1+((Inputs!$G$5:$G$130&lt;&gt;"moeda")*(Inputs!$G$5:$G$130&lt;&gt;"acoes")))*INDEX(Inputs!$K$5:$AJ$130,0,MATCH(F$2,Inputs!$K$4:$AJ$4,0)))+SUMPRODUCT((Inputs!$C$5:$C$130=$B29)*Inputs!$D$5:$D$130*(((Inputs!$G$5:$G$130="moeda")+(Inputs!$G$5:$G$130="acoes"))*Inputs!$B$1+((Inputs!$G$5:$G$130&lt;&gt;"moeda")*(Inputs!$G$5:$G$130&lt;&gt;"acoes")))*INDEX(Inputs!$K$5:$AJ$130,0,MATCH(F$2,Inputs!$K$4:$AJ$4,0)))+SUMPRODUCT((Inputs!$E$5:$E$130=$B29)*Inputs!$F$5:$F$130*(((Inputs!$G$5:$G$130="moeda")+(Inputs!$G$5:$G$130="acoes"))*Inputs!$B$1+((Inputs!$G$5:$G$130&lt;&gt;"moeda")*(Inputs!$G$5:$G$130&lt;&gt;"acoes")))*INDEX(Inputs!$K$5:$AJ$130,0,MATCH(F$2,Inputs!$K$4:$AJ$4,0)))))</f>
        <v>1772</v>
      </c>
      <c r="G29" s="6">
        <f>IF(ISNA(MATCH(G$2,Inputs!$K$4:$AJ$4,0)),NA(),IF(SUMPRODUCT((Inputs!$A$5:$A$130=$B29)*ISNUMBER(INDEX(Inputs!$K$5:$AJ$130,0,MATCH(G$2,Inputs!$K$4:$AJ$4,0))))+SUMPRODUCT((Inputs!$C$5:$C$130=$B29)*ISNUMBER(INDEX(Inputs!$K$5:$AJ$130,0,MATCH(G$2,Inputs!$K$4:$AJ$4,0))))+SUMPRODUCT((Inputs!$E$5:$E$130=$B29)*ISNUMBER(INDEX(Inputs!$K$5:$AJ$130,0,MATCH(G$2,Inputs!$K$4:$AJ$4,0))))=0,NA(),SUMPRODUCT((Inputs!$A$5:$A$130=$B29)*Inputs!$B$5:$B$130*(((Inputs!$G$5:$G$130="moeda")+(Inputs!$G$5:$G$130="acoes"))*Inputs!$B$1+((Inputs!$G$5:$G$130&lt;&gt;"moeda")*(Inputs!$G$5:$G$130&lt;&gt;"acoes")))*INDEX(Inputs!$K$5:$AJ$130,0,MATCH(G$2,Inputs!$K$4:$AJ$4,0)))+SUMPRODUCT((Inputs!$C$5:$C$130=$B29)*Inputs!$D$5:$D$130*(((Inputs!$G$5:$G$130="moeda")+(Inputs!$G$5:$G$130="acoes"))*Inputs!$B$1+((Inputs!$G$5:$G$130&lt;&gt;"moeda")*(Inputs!$G$5:$G$130&lt;&gt;"acoes")))*INDEX(Inputs!$K$5:$AJ$130,0,MATCH(G$2,Inputs!$K$4:$AJ$4,0)))+SUMPRODUCT((Inputs!$E$5:$E$130=$B29)*Inputs!$F$5:$F$130*(((Inputs!$G$5:$G$130="moeda")+(Inputs!$G$5:$G$130="acoes"))*Inputs!$B$1+((Inputs!$G$5:$G$130&lt;&gt;"moeda")*(Inputs!$G$5:$G$130&lt;&gt;"acoes")))*INDEX(Inputs!$K$5:$AJ$130,0,MATCH(G$2,Inputs!$K$4:$AJ$4,0)))))</f>
        <v>2276</v>
      </c>
      <c r="H29" s="3">
        <f>G29</f>
        <v>2276</v>
      </c>
      <c r="I29" s="6">
        <f>IF(ISNA(MATCH(I$2,Inputs!$K$4:$AJ$4,0)),NA(),IF(SUMPRODUCT((Inputs!$A$5:$A$130=$B29)*ISNUMBER(INDEX(Inputs!$K$5:$AJ$130,0,MATCH(I$2,Inputs!$K$4:$AJ$4,0))))+SUMPRODUCT((Inputs!$C$5:$C$130=$B29)*ISNUMBER(INDEX(Inputs!$K$5:$AJ$130,0,MATCH(I$2,Inputs!$K$4:$AJ$4,0))))+SUMPRODUCT((Inputs!$E$5:$E$130=$B29)*ISNUMBER(INDEX(Inputs!$K$5:$AJ$130,0,MATCH(I$2,Inputs!$K$4:$AJ$4,0))))=0,NA(),SUMPRODUCT((Inputs!$A$5:$A$130=$B29)*Inputs!$B$5:$B$130*(((Inputs!$G$5:$G$130="moeda")+(Inputs!$G$5:$G$130="acoes"))*Inputs!$B$1+((Inputs!$G$5:$G$130&lt;&gt;"moeda")*(Inputs!$G$5:$G$130&lt;&gt;"acoes")))*INDEX(Inputs!$K$5:$AJ$130,0,MATCH(I$2,Inputs!$K$4:$AJ$4,0)))+SUMPRODUCT((Inputs!$C$5:$C$130=$B29)*Inputs!$D$5:$D$130*(((Inputs!$G$5:$G$130="moeda")+(Inputs!$G$5:$G$130="acoes"))*Inputs!$B$1+((Inputs!$G$5:$G$130&lt;&gt;"moeda")*(Inputs!$G$5:$G$130&lt;&gt;"acoes")))*INDEX(Inputs!$K$5:$AJ$130,0,MATCH(I$2,Inputs!$K$4:$AJ$4,0)))+SUMPRODUCT((Inputs!$E$5:$E$130=$B29)*Inputs!$F$5:$F$130*(((Inputs!$G$5:$G$130="moeda")+(Inputs!$G$5:$G$130="acoes"))*Inputs!$B$1+((Inputs!$G$5:$G$130&lt;&gt;"moeda")*(Inputs!$G$5:$G$130&lt;&gt;"acoes")))*INDEX(Inputs!$K$5:$AJ$130,0,MATCH(I$2,Inputs!$K$4:$AJ$4,0)))))</f>
        <v>2680</v>
      </c>
      <c r="J29" s="6">
        <f>IF(ISNA(MATCH(J$2,Inputs!$K$4:$AJ$4,0)),NA(),IF(SUMPRODUCT((Inputs!$A$5:$A$130=$B29)*ISNUMBER(INDEX(Inputs!$K$5:$AJ$130,0,MATCH(J$2,Inputs!$K$4:$AJ$4,0))))+SUMPRODUCT((Inputs!$C$5:$C$130=$B29)*ISNUMBER(INDEX(Inputs!$K$5:$AJ$130,0,MATCH(J$2,Inputs!$K$4:$AJ$4,0))))+SUMPRODUCT((Inputs!$E$5:$E$130=$B29)*ISNUMBER(INDEX(Inputs!$K$5:$AJ$130,0,MATCH(J$2,Inputs!$K$4:$AJ$4,0))))=0,NA(),SUMPRODUCT((Inputs!$A$5:$A$130=$B29)*Inputs!$B$5:$B$130*(((Inputs!$G$5:$G$130="moeda")+(Inputs!$G$5:$G$130="acoes"))*Inputs!$B$1+((Inputs!$G$5:$G$130&lt;&gt;"moeda")*(Inputs!$G$5:$G$130&lt;&gt;"acoes")))*INDEX(Inputs!$K$5:$AJ$130,0,MATCH(J$2,Inputs!$K$4:$AJ$4,0)))+SUMPRODUCT((Inputs!$C$5:$C$130=$B29)*Inputs!$D$5:$D$130*(((Inputs!$G$5:$G$130="moeda")+(Inputs!$G$5:$G$130="acoes"))*Inputs!$B$1+((Inputs!$G$5:$G$130&lt;&gt;"moeda")*(Inputs!$G$5:$G$130&lt;&gt;"acoes")))*INDEX(Inputs!$K$5:$AJ$130,0,MATCH(J$2,Inputs!$K$4:$AJ$4,0)))+SUMPRODUCT((Inputs!$E$5:$E$130=$B29)*Inputs!$F$5:$F$130*(((Inputs!$G$5:$G$130="moeda")+(Inputs!$G$5:$G$130="acoes"))*Inputs!$B$1+((Inputs!$G$5:$G$130&lt;&gt;"moeda")*(Inputs!$G$5:$G$130&lt;&gt;"acoes")))*INDEX(Inputs!$K$5:$AJ$130,0,MATCH(J$2,Inputs!$K$4:$AJ$4,0)))))</f>
        <v>3600</v>
      </c>
      <c r="K29" s="6">
        <f>IF(ISNA(MATCH(K$2,Inputs!$K$4:$AJ$4,0)),NA(),IF(SUMPRODUCT((Inputs!$A$5:$A$130=$B29)*ISNUMBER(INDEX(Inputs!$K$5:$AJ$130,0,MATCH(K$2,Inputs!$K$4:$AJ$4,0))))+SUMPRODUCT((Inputs!$C$5:$C$130=$B29)*ISNUMBER(INDEX(Inputs!$K$5:$AJ$130,0,MATCH(K$2,Inputs!$K$4:$AJ$4,0))))+SUMPRODUCT((Inputs!$E$5:$E$130=$B29)*ISNUMBER(INDEX(Inputs!$K$5:$AJ$130,0,MATCH(K$2,Inputs!$K$4:$AJ$4,0))))=0,NA(),SUMPRODUCT((Inputs!$A$5:$A$130=$B29)*Inputs!$B$5:$B$130*(((Inputs!$G$5:$G$130="moeda")+(Inputs!$G$5:$G$130="acoes"))*Inputs!$B$1+((Inputs!$G$5:$G$130&lt;&gt;"moeda")*(Inputs!$G$5:$G$130&lt;&gt;"acoes")))*INDEX(Inputs!$K$5:$AJ$130,0,MATCH(K$2,Inputs!$K$4:$AJ$4,0)))+SUMPRODUCT((Inputs!$C$5:$C$130=$B29)*Inputs!$D$5:$D$130*(((Inputs!$G$5:$G$130="moeda")+(Inputs!$G$5:$G$130="acoes"))*Inputs!$B$1+((Inputs!$G$5:$G$130&lt;&gt;"moeda")*(Inputs!$G$5:$G$130&lt;&gt;"acoes")))*INDEX(Inputs!$K$5:$AJ$130,0,MATCH(K$2,Inputs!$K$4:$AJ$4,0)))+SUMPRODUCT((Inputs!$E$5:$E$130=$B29)*Inputs!$F$5:$F$130*(((Inputs!$G$5:$G$130="moeda")+(Inputs!$G$5:$G$130="acoes"))*Inputs!$B$1+((Inputs!$G$5:$G$130&lt;&gt;"moeda")*(Inputs!$G$5:$G$130&lt;&gt;"acoes")))*INDEX(Inputs!$K$5:$AJ$130,0,MATCH(K$2,Inputs!$K$4:$AJ$4,0)))))</f>
        <v>3851</v>
      </c>
      <c r="L29" s="6">
        <f>IF(ISNA(MATCH(L$2,Inputs!$K$4:$AJ$4,0)),NA(),IF(SUMPRODUCT((Inputs!$A$5:$A$130=$B29)*ISNUMBER(INDEX(Inputs!$K$5:$AJ$130,0,MATCH(L$2,Inputs!$K$4:$AJ$4,0))))+SUMPRODUCT((Inputs!$C$5:$C$130=$B29)*ISNUMBER(INDEX(Inputs!$K$5:$AJ$130,0,MATCH(L$2,Inputs!$K$4:$AJ$4,0))))+SUMPRODUCT((Inputs!$E$5:$E$130=$B29)*ISNUMBER(INDEX(Inputs!$K$5:$AJ$130,0,MATCH(L$2,Inputs!$K$4:$AJ$4,0))))=0,NA(),SUMPRODUCT((Inputs!$A$5:$A$130=$B29)*Inputs!$B$5:$B$130*(((Inputs!$G$5:$G$130="moeda")+(Inputs!$G$5:$G$130="acoes"))*Inputs!$B$1+((Inputs!$G$5:$G$130&lt;&gt;"moeda")*(Inputs!$G$5:$G$130&lt;&gt;"acoes")))*INDEX(Inputs!$K$5:$AJ$130,0,MATCH(L$2,Inputs!$K$4:$AJ$4,0)))+SUMPRODUCT((Inputs!$C$5:$C$130=$B29)*Inputs!$D$5:$D$130*(((Inputs!$G$5:$G$130="moeda")+(Inputs!$G$5:$G$130="acoes"))*Inputs!$B$1+((Inputs!$G$5:$G$130&lt;&gt;"moeda")*(Inputs!$G$5:$G$130&lt;&gt;"acoes")))*INDEX(Inputs!$K$5:$AJ$130,0,MATCH(L$2,Inputs!$K$4:$AJ$4,0)))+SUMPRODUCT((Inputs!$E$5:$E$130=$B29)*Inputs!$F$5:$F$130*(((Inputs!$G$5:$G$130="moeda")+(Inputs!$G$5:$G$130="acoes"))*Inputs!$B$1+((Inputs!$G$5:$G$130&lt;&gt;"moeda")*(Inputs!$G$5:$G$130&lt;&gt;"acoes")))*INDEX(Inputs!$K$5:$AJ$130,0,MATCH(L$2,Inputs!$K$4:$AJ$4,0)))))</f>
        <v>3477</v>
      </c>
      <c r="M29" s="3">
        <f>L29</f>
        <v>3477</v>
      </c>
      <c r="N29" s="6">
        <f>IF(ISNA(MATCH(N$2,Inputs!$K$4:$AJ$4,0)),NA(),IF(SUMPRODUCT((Inputs!$A$5:$A$130=$B29)*ISNUMBER(INDEX(Inputs!$K$5:$AJ$130,0,MATCH(N$2,Inputs!$K$4:$AJ$4,0))))+SUMPRODUCT((Inputs!$C$5:$C$130=$B29)*ISNUMBER(INDEX(Inputs!$K$5:$AJ$130,0,MATCH(N$2,Inputs!$K$4:$AJ$4,0))))+SUMPRODUCT((Inputs!$E$5:$E$130=$B29)*ISNUMBER(INDEX(Inputs!$K$5:$AJ$130,0,MATCH(N$2,Inputs!$K$4:$AJ$4,0))))=0,NA(),SUMPRODUCT((Inputs!$A$5:$A$130=$B29)*Inputs!$B$5:$B$130*(((Inputs!$G$5:$G$130="moeda")+(Inputs!$G$5:$G$130="acoes"))*Inputs!$B$1+((Inputs!$G$5:$G$130&lt;&gt;"moeda")*(Inputs!$G$5:$G$130&lt;&gt;"acoes")))*INDEX(Inputs!$K$5:$AJ$130,0,MATCH(N$2,Inputs!$K$4:$AJ$4,0)))+SUMPRODUCT((Inputs!$C$5:$C$130=$B29)*Inputs!$D$5:$D$130*(((Inputs!$G$5:$G$130="moeda")+(Inputs!$G$5:$G$130="acoes"))*Inputs!$B$1+((Inputs!$G$5:$G$130&lt;&gt;"moeda")*(Inputs!$G$5:$G$130&lt;&gt;"acoes")))*INDEX(Inputs!$K$5:$AJ$130,0,MATCH(N$2,Inputs!$K$4:$AJ$4,0)))+SUMPRODUCT((Inputs!$E$5:$E$130=$B29)*Inputs!$F$5:$F$130*(((Inputs!$G$5:$G$130="moeda")+(Inputs!$G$5:$G$130="acoes"))*Inputs!$B$1+((Inputs!$G$5:$G$130&lt;&gt;"moeda")*(Inputs!$G$5:$G$130&lt;&gt;"acoes")))*INDEX(Inputs!$K$5:$AJ$130,0,MATCH(N$2,Inputs!$K$4:$AJ$4,0)))))</f>
        <v>3138</v>
      </c>
      <c r="O29" s="6">
        <f>IF(ISNA(MATCH(O$2,Inputs!$K$4:$AJ$4,0)),NA(),IF(SUMPRODUCT((Inputs!$A$5:$A$130=$B29)*ISNUMBER(INDEX(Inputs!$K$5:$AJ$130,0,MATCH(O$2,Inputs!$K$4:$AJ$4,0))))+SUMPRODUCT((Inputs!$C$5:$C$130=$B29)*ISNUMBER(INDEX(Inputs!$K$5:$AJ$130,0,MATCH(O$2,Inputs!$K$4:$AJ$4,0))))+SUMPRODUCT((Inputs!$E$5:$E$130=$B29)*ISNUMBER(INDEX(Inputs!$K$5:$AJ$130,0,MATCH(O$2,Inputs!$K$4:$AJ$4,0))))=0,NA(),SUMPRODUCT((Inputs!$A$5:$A$130=$B29)*Inputs!$B$5:$B$130*(((Inputs!$G$5:$G$130="moeda")+(Inputs!$G$5:$G$130="acoes"))*Inputs!$B$1+((Inputs!$G$5:$G$130&lt;&gt;"moeda")*(Inputs!$G$5:$G$130&lt;&gt;"acoes")))*INDEX(Inputs!$K$5:$AJ$130,0,MATCH(O$2,Inputs!$K$4:$AJ$4,0)))+SUMPRODUCT((Inputs!$C$5:$C$130=$B29)*Inputs!$D$5:$D$130*(((Inputs!$G$5:$G$130="moeda")+(Inputs!$G$5:$G$130="acoes"))*Inputs!$B$1+((Inputs!$G$5:$G$130&lt;&gt;"moeda")*(Inputs!$G$5:$G$130&lt;&gt;"acoes")))*INDEX(Inputs!$K$5:$AJ$130,0,MATCH(O$2,Inputs!$K$4:$AJ$4,0)))+SUMPRODUCT((Inputs!$E$5:$E$130=$B29)*Inputs!$F$5:$F$130*(((Inputs!$G$5:$G$130="moeda")+(Inputs!$G$5:$G$130="acoes"))*Inputs!$B$1+((Inputs!$G$5:$G$130&lt;&gt;"moeda")*(Inputs!$G$5:$G$130&lt;&gt;"acoes")))*INDEX(Inputs!$K$5:$AJ$130,0,MATCH(O$2,Inputs!$K$4:$AJ$4,0)))))</f>
        <v>4145</v>
      </c>
      <c r="P29" s="6">
        <f>IF(ISNA(MATCH(P$2,Inputs!$K$4:$AJ$4,0)),NA(),IF(SUMPRODUCT((Inputs!$A$5:$A$130=$B29)*ISNUMBER(INDEX(Inputs!$K$5:$AJ$130,0,MATCH(P$2,Inputs!$K$4:$AJ$4,0))))+SUMPRODUCT((Inputs!$C$5:$C$130=$B29)*ISNUMBER(INDEX(Inputs!$K$5:$AJ$130,0,MATCH(P$2,Inputs!$K$4:$AJ$4,0))))+SUMPRODUCT((Inputs!$E$5:$E$130=$B29)*ISNUMBER(INDEX(Inputs!$K$5:$AJ$130,0,MATCH(P$2,Inputs!$K$4:$AJ$4,0))))=0,NA(),SUMPRODUCT((Inputs!$A$5:$A$130=$B29)*Inputs!$B$5:$B$130*(((Inputs!$G$5:$G$130="moeda")+(Inputs!$G$5:$G$130="acoes"))*Inputs!$B$1+((Inputs!$G$5:$G$130&lt;&gt;"moeda")*(Inputs!$G$5:$G$130&lt;&gt;"acoes")))*INDEX(Inputs!$K$5:$AJ$130,0,MATCH(P$2,Inputs!$K$4:$AJ$4,0)))+SUMPRODUCT((Inputs!$C$5:$C$130=$B29)*Inputs!$D$5:$D$130*(((Inputs!$G$5:$G$130="moeda")+(Inputs!$G$5:$G$130="acoes"))*Inputs!$B$1+((Inputs!$G$5:$G$130&lt;&gt;"moeda")*(Inputs!$G$5:$G$130&lt;&gt;"acoes")))*INDEX(Inputs!$K$5:$AJ$130,0,MATCH(P$2,Inputs!$K$4:$AJ$4,0)))+SUMPRODUCT((Inputs!$E$5:$E$130=$B29)*Inputs!$F$5:$F$130*(((Inputs!$G$5:$G$130="moeda")+(Inputs!$G$5:$G$130="acoes"))*Inputs!$B$1+((Inputs!$G$5:$G$130&lt;&gt;"moeda")*(Inputs!$G$5:$G$130&lt;&gt;"acoes")))*INDEX(Inputs!$K$5:$AJ$130,0,MATCH(P$2,Inputs!$K$4:$AJ$4,0)))))</f>
        <v>4822</v>
      </c>
      <c r="Q29" s="6">
        <f>IF(ISNA(MATCH(Q$2,Inputs!$K$4:$AJ$4,0)),NA(),IF(SUMPRODUCT((Inputs!$A$5:$A$130=$B29)*ISNUMBER(INDEX(Inputs!$K$5:$AJ$130,0,MATCH(Q$2,Inputs!$K$4:$AJ$4,0))))+SUMPRODUCT((Inputs!$C$5:$C$130=$B29)*ISNUMBER(INDEX(Inputs!$K$5:$AJ$130,0,MATCH(Q$2,Inputs!$K$4:$AJ$4,0))))+SUMPRODUCT((Inputs!$E$5:$E$130=$B29)*ISNUMBER(INDEX(Inputs!$K$5:$AJ$130,0,MATCH(Q$2,Inputs!$K$4:$AJ$4,0))))=0,NA(),SUMPRODUCT((Inputs!$A$5:$A$130=$B29)*Inputs!$B$5:$B$130*(((Inputs!$G$5:$G$130="moeda")+(Inputs!$G$5:$G$130="acoes"))*Inputs!$B$1+((Inputs!$G$5:$G$130&lt;&gt;"moeda")*(Inputs!$G$5:$G$130&lt;&gt;"acoes")))*INDEX(Inputs!$K$5:$AJ$130,0,MATCH(Q$2,Inputs!$K$4:$AJ$4,0)))+SUMPRODUCT((Inputs!$C$5:$C$130=$B29)*Inputs!$D$5:$D$130*(((Inputs!$G$5:$G$130="moeda")+(Inputs!$G$5:$G$130="acoes"))*Inputs!$B$1+((Inputs!$G$5:$G$130&lt;&gt;"moeda")*(Inputs!$G$5:$G$130&lt;&gt;"acoes")))*INDEX(Inputs!$K$5:$AJ$130,0,MATCH(Q$2,Inputs!$K$4:$AJ$4,0)))+SUMPRODUCT((Inputs!$E$5:$E$130=$B29)*Inputs!$F$5:$F$130*(((Inputs!$G$5:$G$130="moeda")+(Inputs!$G$5:$G$130="acoes"))*Inputs!$B$1+((Inputs!$G$5:$G$130&lt;&gt;"moeda")*(Inputs!$G$5:$G$130&lt;&gt;"acoes")))*INDEX(Inputs!$K$5:$AJ$130,0,MATCH(Q$2,Inputs!$K$4:$AJ$4,0)))))</f>
        <v>6158</v>
      </c>
      <c r="R29" s="3">
        <f>Q29</f>
        <v>6158</v>
      </c>
      <c r="S29" s="6">
        <f>IF(ISNA(MATCH(S$2,Inputs!$K$4:$AJ$4,0)),NA(),IF(SUMPRODUCT((Inputs!$A$5:$A$130=$B29)*ISNUMBER(INDEX(Inputs!$K$5:$AJ$130,0,MATCH(S$2,Inputs!$K$4:$AJ$4,0))))+SUMPRODUCT((Inputs!$C$5:$C$130=$B29)*ISNUMBER(INDEX(Inputs!$K$5:$AJ$130,0,MATCH(S$2,Inputs!$K$4:$AJ$4,0))))+SUMPRODUCT((Inputs!$E$5:$E$130=$B29)*ISNUMBER(INDEX(Inputs!$K$5:$AJ$130,0,MATCH(S$2,Inputs!$K$4:$AJ$4,0))))=0,NA(),SUMPRODUCT((Inputs!$A$5:$A$130=$B29)*Inputs!$B$5:$B$130*(((Inputs!$G$5:$G$130="moeda")+(Inputs!$G$5:$G$130="acoes"))*Inputs!$B$1+((Inputs!$G$5:$G$130&lt;&gt;"moeda")*(Inputs!$G$5:$G$130&lt;&gt;"acoes")))*INDEX(Inputs!$K$5:$AJ$130,0,MATCH(S$2,Inputs!$K$4:$AJ$4,0)))+SUMPRODUCT((Inputs!$C$5:$C$130=$B29)*Inputs!$D$5:$D$130*(((Inputs!$G$5:$G$130="moeda")+(Inputs!$G$5:$G$130="acoes"))*Inputs!$B$1+((Inputs!$G$5:$G$130&lt;&gt;"moeda")*(Inputs!$G$5:$G$130&lt;&gt;"acoes")))*INDEX(Inputs!$K$5:$AJ$130,0,MATCH(S$2,Inputs!$K$4:$AJ$4,0)))+SUMPRODUCT((Inputs!$E$5:$E$130=$B29)*Inputs!$F$5:$F$130*(((Inputs!$G$5:$G$130="moeda")+(Inputs!$G$5:$G$130="acoes"))*Inputs!$B$1+((Inputs!$G$5:$G$130&lt;&gt;"moeda")*(Inputs!$G$5:$G$130&lt;&gt;"acoes")))*INDEX(Inputs!$K$5:$AJ$130,0,MATCH(S$2,Inputs!$K$4:$AJ$4,0)))))</f>
        <v>7131</v>
      </c>
      <c r="T29" s="6">
        <f>IF(ISNA(MATCH(T$2,Inputs!$K$4:$AJ$4,0)),NA(),IF(SUMPRODUCT((Inputs!$A$5:$A$130=$B29)*ISNUMBER(INDEX(Inputs!$K$5:$AJ$130,0,MATCH(T$2,Inputs!$K$4:$AJ$4,0))))+SUMPRODUCT((Inputs!$C$5:$C$130=$B29)*ISNUMBER(INDEX(Inputs!$K$5:$AJ$130,0,MATCH(T$2,Inputs!$K$4:$AJ$4,0))))+SUMPRODUCT((Inputs!$E$5:$E$130=$B29)*ISNUMBER(INDEX(Inputs!$K$5:$AJ$130,0,MATCH(T$2,Inputs!$K$4:$AJ$4,0))))=0,NA(),SUMPRODUCT((Inputs!$A$5:$A$130=$B29)*Inputs!$B$5:$B$130*(((Inputs!$G$5:$G$130="moeda")+(Inputs!$G$5:$G$130="acoes"))*Inputs!$B$1+((Inputs!$G$5:$G$130&lt;&gt;"moeda")*(Inputs!$G$5:$G$130&lt;&gt;"acoes")))*INDEX(Inputs!$K$5:$AJ$130,0,MATCH(T$2,Inputs!$K$4:$AJ$4,0)))+SUMPRODUCT((Inputs!$C$5:$C$130=$B29)*Inputs!$D$5:$D$130*(((Inputs!$G$5:$G$130="moeda")+(Inputs!$G$5:$G$130="acoes"))*Inputs!$B$1+((Inputs!$G$5:$G$130&lt;&gt;"moeda")*(Inputs!$G$5:$G$130&lt;&gt;"acoes")))*INDEX(Inputs!$K$5:$AJ$130,0,MATCH(T$2,Inputs!$K$4:$AJ$4,0)))+SUMPRODUCT((Inputs!$E$5:$E$130=$B29)*Inputs!$F$5:$F$130*(((Inputs!$G$5:$G$130="moeda")+(Inputs!$G$5:$G$130="acoes"))*Inputs!$B$1+((Inputs!$G$5:$G$130&lt;&gt;"moeda")*(Inputs!$G$5:$G$130&lt;&gt;"acoes")))*INDEX(Inputs!$K$5:$AJ$130,0,MATCH(T$2,Inputs!$K$4:$AJ$4,0)))))</f>
        <v>8866</v>
      </c>
      <c r="U29" s="6">
        <f>IF(ISNA(MATCH(U$2,Inputs!$K$4:$AJ$4,0)),NA(),IF(SUMPRODUCT((Inputs!$A$5:$A$130=$B29)*ISNUMBER(INDEX(Inputs!$K$5:$AJ$130,0,MATCH(U$2,Inputs!$K$4:$AJ$4,0))))+SUMPRODUCT((Inputs!$C$5:$C$130=$B29)*ISNUMBER(INDEX(Inputs!$K$5:$AJ$130,0,MATCH(U$2,Inputs!$K$4:$AJ$4,0))))+SUMPRODUCT((Inputs!$E$5:$E$130=$B29)*ISNUMBER(INDEX(Inputs!$K$5:$AJ$130,0,MATCH(U$2,Inputs!$K$4:$AJ$4,0))))=0,NA(),SUMPRODUCT((Inputs!$A$5:$A$130=$B29)*Inputs!$B$5:$B$130*(((Inputs!$G$5:$G$130="moeda")+(Inputs!$G$5:$G$130="acoes"))*Inputs!$B$1+((Inputs!$G$5:$G$130&lt;&gt;"moeda")*(Inputs!$G$5:$G$130&lt;&gt;"acoes")))*INDEX(Inputs!$K$5:$AJ$130,0,MATCH(U$2,Inputs!$K$4:$AJ$4,0)))+SUMPRODUCT((Inputs!$C$5:$C$130=$B29)*Inputs!$D$5:$D$130*(((Inputs!$G$5:$G$130="moeda")+(Inputs!$G$5:$G$130="acoes"))*Inputs!$B$1+((Inputs!$G$5:$G$130&lt;&gt;"moeda")*(Inputs!$G$5:$G$130&lt;&gt;"acoes")))*INDEX(Inputs!$K$5:$AJ$130,0,MATCH(U$2,Inputs!$K$4:$AJ$4,0)))+SUMPRODUCT((Inputs!$E$5:$E$130=$B29)*Inputs!$F$5:$F$130*(((Inputs!$G$5:$G$130="moeda")+(Inputs!$G$5:$G$130="acoes"))*Inputs!$B$1+((Inputs!$G$5:$G$130&lt;&gt;"moeda")*(Inputs!$G$5:$G$130&lt;&gt;"acoes")))*INDEX(Inputs!$K$5:$AJ$130,0,MATCH(U$2,Inputs!$K$4:$AJ$4,0)))))</f>
        <v>9497</v>
      </c>
      <c r="V29" s="6">
        <f>IF(ISNA(MATCH(V$2,Inputs!$K$4:$AJ$4,0)),NA(),IF(SUMPRODUCT((Inputs!$A$5:$A$130=$B29)*ISNUMBER(INDEX(Inputs!$K$5:$AJ$130,0,MATCH(V$2,Inputs!$K$4:$AJ$4,0))))+SUMPRODUCT((Inputs!$C$5:$C$130=$B29)*ISNUMBER(INDEX(Inputs!$K$5:$AJ$130,0,MATCH(V$2,Inputs!$K$4:$AJ$4,0))))+SUMPRODUCT((Inputs!$E$5:$E$130=$B29)*ISNUMBER(INDEX(Inputs!$K$5:$AJ$130,0,MATCH(V$2,Inputs!$K$4:$AJ$4,0))))=0,NA(),SUMPRODUCT((Inputs!$A$5:$A$130=$B29)*Inputs!$B$5:$B$130*(((Inputs!$G$5:$G$130="moeda")+(Inputs!$G$5:$G$130="acoes"))*Inputs!$B$1+((Inputs!$G$5:$G$130&lt;&gt;"moeda")*(Inputs!$G$5:$G$130&lt;&gt;"acoes")))*INDEX(Inputs!$K$5:$AJ$130,0,MATCH(V$2,Inputs!$K$4:$AJ$4,0)))+SUMPRODUCT((Inputs!$C$5:$C$130=$B29)*Inputs!$D$5:$D$130*(((Inputs!$G$5:$G$130="moeda")+(Inputs!$G$5:$G$130="acoes"))*Inputs!$B$1+((Inputs!$G$5:$G$130&lt;&gt;"moeda")*(Inputs!$G$5:$G$130&lt;&gt;"acoes")))*INDEX(Inputs!$K$5:$AJ$130,0,MATCH(V$2,Inputs!$K$4:$AJ$4,0)))+SUMPRODUCT((Inputs!$E$5:$E$130=$B29)*Inputs!$F$5:$F$130*(((Inputs!$G$5:$G$130="moeda")+(Inputs!$G$5:$G$130="acoes"))*Inputs!$B$1+((Inputs!$G$5:$G$130&lt;&gt;"moeda")*(Inputs!$G$5:$G$130&lt;&gt;"acoes")))*INDEX(Inputs!$K$5:$AJ$130,0,MATCH(V$2,Inputs!$K$4:$AJ$4,0)))))</f>
        <v>10568</v>
      </c>
      <c r="W29" s="3">
        <f>V29</f>
        <v>10568</v>
      </c>
      <c r="X29" s="6">
        <f>IF(ISNA(MATCH(X$2,Inputs!$K$4:$AJ$4,0)),NA(),IF(SUMPRODUCT((Inputs!$A$5:$A$130=$B29)*ISNUMBER(INDEX(Inputs!$K$5:$AJ$130,0,MATCH(X$2,Inputs!$K$4:$AJ$4,0))))+SUMPRODUCT((Inputs!$C$5:$C$130=$B29)*ISNUMBER(INDEX(Inputs!$K$5:$AJ$130,0,MATCH(X$2,Inputs!$K$4:$AJ$4,0))))+SUMPRODUCT((Inputs!$E$5:$E$130=$B29)*ISNUMBER(INDEX(Inputs!$K$5:$AJ$130,0,MATCH(X$2,Inputs!$K$4:$AJ$4,0))))=0,NA(),SUMPRODUCT((Inputs!$A$5:$A$130=$B29)*Inputs!$B$5:$B$130*(((Inputs!$G$5:$G$130="moeda")+(Inputs!$G$5:$G$130="acoes"))*Inputs!$B$1+((Inputs!$G$5:$G$130&lt;&gt;"moeda")*(Inputs!$G$5:$G$130&lt;&gt;"acoes")))*INDEX(Inputs!$K$5:$AJ$130,0,MATCH(X$2,Inputs!$K$4:$AJ$4,0)))+SUMPRODUCT((Inputs!$C$5:$C$130=$B29)*Inputs!$D$5:$D$130*(((Inputs!$G$5:$G$130="moeda")+(Inputs!$G$5:$G$130="acoes"))*Inputs!$B$1+((Inputs!$G$5:$G$130&lt;&gt;"moeda")*(Inputs!$G$5:$G$130&lt;&gt;"acoes")))*INDEX(Inputs!$K$5:$AJ$130,0,MATCH(X$2,Inputs!$K$4:$AJ$4,0)))+SUMPRODUCT((Inputs!$E$5:$E$130=$B29)*Inputs!$F$5:$F$130*(((Inputs!$G$5:$G$130="moeda")+(Inputs!$G$5:$G$130="acoes"))*Inputs!$B$1+((Inputs!$G$5:$G$130&lt;&gt;"moeda")*(Inputs!$G$5:$G$130&lt;&gt;"acoes")))*INDEX(Inputs!$K$5:$AJ$130,0,MATCH(X$2,Inputs!$K$4:$AJ$4,0)))))</f>
        <v>13239</v>
      </c>
      <c r="Y29" s="6">
        <f>IF(ISNA(MATCH(Y$2,Inputs!$K$4:$AJ$4,0)),NA(),IF(SUMPRODUCT((Inputs!$A$5:$A$130=$B29)*ISNUMBER(INDEX(Inputs!$K$5:$AJ$130,0,MATCH(Y$2,Inputs!$K$4:$AJ$4,0))))+SUMPRODUCT((Inputs!$C$5:$C$130=$B29)*ISNUMBER(INDEX(Inputs!$K$5:$AJ$130,0,MATCH(Y$2,Inputs!$K$4:$AJ$4,0))))+SUMPRODUCT((Inputs!$E$5:$E$130=$B29)*ISNUMBER(INDEX(Inputs!$K$5:$AJ$130,0,MATCH(Y$2,Inputs!$K$4:$AJ$4,0))))=0,NA(),SUMPRODUCT((Inputs!$A$5:$A$130=$B29)*Inputs!$B$5:$B$130*(((Inputs!$G$5:$G$130="moeda")+(Inputs!$G$5:$G$130="acoes"))*Inputs!$B$1+((Inputs!$G$5:$G$130&lt;&gt;"moeda")*(Inputs!$G$5:$G$130&lt;&gt;"acoes")))*INDEX(Inputs!$K$5:$AJ$130,0,MATCH(Y$2,Inputs!$K$4:$AJ$4,0)))+SUMPRODUCT((Inputs!$C$5:$C$130=$B29)*Inputs!$D$5:$D$130*(((Inputs!$G$5:$G$130="moeda")+(Inputs!$G$5:$G$130="acoes"))*Inputs!$B$1+((Inputs!$G$5:$G$130&lt;&gt;"moeda")*(Inputs!$G$5:$G$130&lt;&gt;"acoes")))*INDEX(Inputs!$K$5:$AJ$130,0,MATCH(Y$2,Inputs!$K$4:$AJ$4,0)))+SUMPRODUCT((Inputs!$E$5:$E$130=$B29)*Inputs!$F$5:$F$130*(((Inputs!$G$5:$G$130="moeda")+(Inputs!$G$5:$G$130="acoes"))*Inputs!$B$1+((Inputs!$G$5:$G$130&lt;&gt;"moeda")*(Inputs!$G$5:$G$130&lt;&gt;"acoes")))*INDEX(Inputs!$K$5:$AJ$130,0,MATCH(Y$2,Inputs!$K$4:$AJ$4,0)))))</f>
        <v>12982</v>
      </c>
      <c r="Z29" s="6">
        <f>IF(ISNA(MATCH(Z$2,Inputs!$K$4:$AJ$4,0)),NA(),IF(SUMPRODUCT((Inputs!$A$5:$A$130=$B29)*ISNUMBER(INDEX(Inputs!$K$5:$AJ$130,0,MATCH(Z$2,Inputs!$K$4:$AJ$4,0))))+SUMPRODUCT((Inputs!$C$5:$C$130=$B29)*ISNUMBER(INDEX(Inputs!$K$5:$AJ$130,0,MATCH(Z$2,Inputs!$K$4:$AJ$4,0))))+SUMPRODUCT((Inputs!$E$5:$E$130=$B29)*ISNUMBER(INDEX(Inputs!$K$5:$AJ$130,0,MATCH(Z$2,Inputs!$K$4:$AJ$4,0))))=0,NA(),SUMPRODUCT((Inputs!$A$5:$A$130=$B29)*Inputs!$B$5:$B$130*(((Inputs!$G$5:$G$130="moeda")+(Inputs!$G$5:$G$130="acoes"))*Inputs!$B$1+((Inputs!$G$5:$G$130&lt;&gt;"moeda")*(Inputs!$G$5:$G$130&lt;&gt;"acoes")))*INDEX(Inputs!$K$5:$AJ$130,0,MATCH(Z$2,Inputs!$K$4:$AJ$4,0)))+SUMPRODUCT((Inputs!$C$5:$C$130=$B29)*Inputs!$D$5:$D$130*(((Inputs!$G$5:$G$130="moeda")+(Inputs!$G$5:$G$130="acoes"))*Inputs!$B$1+((Inputs!$G$5:$G$130&lt;&gt;"moeda")*(Inputs!$G$5:$G$130&lt;&gt;"acoes")))*INDEX(Inputs!$K$5:$AJ$130,0,MATCH(Z$2,Inputs!$K$4:$AJ$4,0)))+SUMPRODUCT((Inputs!$E$5:$E$130=$B29)*Inputs!$F$5:$F$130*(((Inputs!$G$5:$G$130="moeda")+(Inputs!$G$5:$G$130="acoes"))*Inputs!$B$1+((Inputs!$G$5:$G$130&lt;&gt;"moeda")*(Inputs!$G$5:$G$130&lt;&gt;"acoes")))*INDEX(Inputs!$K$5:$AJ$130,0,MATCH(Z$2,Inputs!$K$4:$AJ$4,0)))))</f>
        <v>13196</v>
      </c>
      <c r="AA29" s="6">
        <f>IF(ISNA(MATCH(AA$2,Inputs!$K$4:$AJ$4,0)),NA(),IF(SUMPRODUCT((Inputs!$A$5:$A$130=$B29)*ISNUMBER(INDEX(Inputs!$K$5:$AJ$130,0,MATCH(AA$2,Inputs!$K$4:$AJ$4,0))))+SUMPRODUCT((Inputs!$C$5:$C$130=$B29)*ISNUMBER(INDEX(Inputs!$K$5:$AJ$130,0,MATCH(AA$2,Inputs!$K$4:$AJ$4,0))))+SUMPRODUCT((Inputs!$E$5:$E$130=$B29)*ISNUMBER(INDEX(Inputs!$K$5:$AJ$130,0,MATCH(AA$2,Inputs!$K$4:$AJ$4,0))))=0,NA(),SUMPRODUCT((Inputs!$A$5:$A$130=$B29)*Inputs!$B$5:$B$130*(((Inputs!$G$5:$G$130="moeda")+(Inputs!$G$5:$G$130="acoes"))*Inputs!$B$1+((Inputs!$G$5:$G$130&lt;&gt;"moeda")*(Inputs!$G$5:$G$130&lt;&gt;"acoes")))*INDEX(Inputs!$K$5:$AJ$130,0,MATCH(AA$2,Inputs!$K$4:$AJ$4,0)))+SUMPRODUCT((Inputs!$C$5:$C$130=$B29)*Inputs!$D$5:$D$130*(((Inputs!$G$5:$G$130="moeda")+(Inputs!$G$5:$G$130="acoes"))*Inputs!$B$1+((Inputs!$G$5:$G$130&lt;&gt;"moeda")*(Inputs!$G$5:$G$130&lt;&gt;"acoes")))*INDEX(Inputs!$K$5:$AJ$130,0,MATCH(AA$2,Inputs!$K$4:$AJ$4,0)))+SUMPRODUCT((Inputs!$E$5:$E$130=$B29)*Inputs!$F$5:$F$130*(((Inputs!$G$5:$G$130="moeda")+(Inputs!$G$5:$G$130="acoes"))*Inputs!$B$1+((Inputs!$G$5:$G$130&lt;&gt;"moeda")*(Inputs!$G$5:$G$130&lt;&gt;"acoes")))*INDEX(Inputs!$K$5:$AJ$130,0,MATCH(AA$2,Inputs!$K$4:$AJ$4,0)))))</f>
        <v>18311</v>
      </c>
      <c r="AB29" s="3">
        <f>AA29</f>
        <v>18311</v>
      </c>
      <c r="AC29" s="6">
        <f>IF(ISNA(MATCH(AC$2,Inputs!$K$4:$AJ$4,0)),NA(),IF(SUMPRODUCT((Inputs!$A$5:$A$130=$B29)*ISNUMBER(INDEX(Inputs!$K$5:$AJ$130,0,MATCH(AC$2,Inputs!$K$4:$AJ$4,0))))+SUMPRODUCT((Inputs!$C$5:$C$130=$B29)*ISNUMBER(INDEX(Inputs!$K$5:$AJ$130,0,MATCH(AC$2,Inputs!$K$4:$AJ$4,0))))+SUMPRODUCT((Inputs!$E$5:$E$130=$B29)*ISNUMBER(INDEX(Inputs!$K$5:$AJ$130,0,MATCH(AC$2,Inputs!$K$4:$AJ$4,0))))=0,NA(),SUMPRODUCT((Inputs!$A$5:$A$130=$B29)*Inputs!$B$5:$B$130*(((Inputs!$G$5:$G$130="moeda")+(Inputs!$G$5:$G$130="acoes"))*Inputs!$B$1+((Inputs!$G$5:$G$130&lt;&gt;"moeda")*(Inputs!$G$5:$G$130&lt;&gt;"acoes")))*INDEX(Inputs!$K$5:$AJ$130,0,MATCH(AC$2,Inputs!$K$4:$AJ$4,0)))+SUMPRODUCT((Inputs!$C$5:$C$130=$B29)*Inputs!$D$5:$D$130*(((Inputs!$G$5:$G$130="moeda")+(Inputs!$G$5:$G$130="acoes"))*Inputs!$B$1+((Inputs!$G$5:$G$130&lt;&gt;"moeda")*(Inputs!$G$5:$G$130&lt;&gt;"acoes")))*INDEX(Inputs!$K$5:$AJ$130,0,MATCH(AC$2,Inputs!$K$4:$AJ$4,0)))+SUMPRODUCT((Inputs!$E$5:$E$130=$B29)*Inputs!$F$5:$F$130*(((Inputs!$G$5:$G$130="moeda")+(Inputs!$G$5:$G$130="acoes"))*Inputs!$B$1+((Inputs!$G$5:$G$130&lt;&gt;"moeda")*(Inputs!$G$5:$G$130&lt;&gt;"acoes")))*INDEX(Inputs!$K$5:$AJ$130,0,MATCH(AC$2,Inputs!$K$4:$AJ$4,0)))))</f>
        <v>18683</v>
      </c>
      <c r="AD29" s="6">
        <f>IF(ISNA(MATCH(AD$2,Inputs!$K$4:$AJ$4,0)),NA(),IF(SUMPRODUCT((Inputs!$A$5:$A$130=$B29)*ISNUMBER(INDEX(Inputs!$K$5:$AJ$130,0,MATCH(AD$2,Inputs!$K$4:$AJ$4,0))))+SUMPRODUCT((Inputs!$C$5:$C$130=$B29)*ISNUMBER(INDEX(Inputs!$K$5:$AJ$130,0,MATCH(AD$2,Inputs!$K$4:$AJ$4,0))))+SUMPRODUCT((Inputs!$E$5:$E$130=$B29)*ISNUMBER(INDEX(Inputs!$K$5:$AJ$130,0,MATCH(AD$2,Inputs!$K$4:$AJ$4,0))))=0,NA(),SUMPRODUCT((Inputs!$A$5:$A$130=$B29)*Inputs!$B$5:$B$130*(((Inputs!$G$5:$G$130="moeda")+(Inputs!$G$5:$G$130="acoes"))*Inputs!$B$1+((Inputs!$G$5:$G$130&lt;&gt;"moeda")*(Inputs!$G$5:$G$130&lt;&gt;"acoes")))*INDEX(Inputs!$K$5:$AJ$130,0,MATCH(AD$2,Inputs!$K$4:$AJ$4,0)))+SUMPRODUCT((Inputs!$C$5:$C$130=$B29)*Inputs!$D$5:$D$130*(((Inputs!$G$5:$G$130="moeda")+(Inputs!$G$5:$G$130="acoes"))*Inputs!$B$1+((Inputs!$G$5:$G$130&lt;&gt;"moeda")*(Inputs!$G$5:$G$130&lt;&gt;"acoes")))*INDEX(Inputs!$K$5:$AJ$130,0,MATCH(AD$2,Inputs!$K$4:$AJ$4,0)))+SUMPRODUCT((Inputs!$E$5:$E$130=$B29)*Inputs!$F$5:$F$130*(((Inputs!$G$5:$G$130="moeda")+(Inputs!$G$5:$G$130="acoes"))*Inputs!$B$1+((Inputs!$G$5:$G$130&lt;&gt;"moeda")*(Inputs!$G$5:$G$130&lt;&gt;"acoes")))*INDEX(Inputs!$K$5:$AJ$130,0,MATCH(AD$2,Inputs!$K$4:$AJ$4,0)))))</f>
        <v>21245</v>
      </c>
      <c r="AE29" s="6" t="e">
        <f>IF(ISNA(MATCH(AE$2,Inputs!$K$4:$AJ$4,0)),NA(),IF(SUMPRODUCT((Inputs!$A$5:$A$130=$B29)*ISNUMBER(INDEX(Inputs!$K$5:$AJ$130,0,MATCH(AE$2,Inputs!$K$4:$AJ$4,0))))+SUMPRODUCT((Inputs!$C$5:$C$130=$B29)*ISNUMBER(INDEX(Inputs!$K$5:$AJ$130,0,MATCH(AE$2,Inputs!$K$4:$AJ$4,0))))+SUMPRODUCT((Inputs!$E$5:$E$130=$B29)*ISNUMBER(INDEX(Inputs!$K$5:$AJ$130,0,MATCH(AE$2,Inputs!$K$4:$AJ$4,0))))=0,NA(),SUMPRODUCT((Inputs!$A$5:$A$130=$B29)*Inputs!$B$5:$B$130*(((Inputs!$G$5:$G$130="moeda")+(Inputs!$G$5:$G$130="acoes"))*Inputs!$B$1+((Inputs!$G$5:$G$130&lt;&gt;"moeda")*(Inputs!$G$5:$G$130&lt;&gt;"acoes")))*INDEX(Inputs!$K$5:$AJ$130,0,MATCH(AE$2,Inputs!$K$4:$AJ$4,0)))+SUMPRODUCT((Inputs!$C$5:$C$130=$B29)*Inputs!$D$5:$D$130*(((Inputs!$G$5:$G$130="moeda")+(Inputs!$G$5:$G$130="acoes"))*Inputs!$B$1+((Inputs!$G$5:$G$130&lt;&gt;"moeda")*(Inputs!$G$5:$G$130&lt;&gt;"acoes")))*INDEX(Inputs!$K$5:$AJ$130,0,MATCH(AE$2,Inputs!$K$4:$AJ$4,0)))+SUMPRODUCT((Inputs!$E$5:$E$130=$B29)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9" s="6" t="e">
        <f>IF(ISNA(MATCH(AF$2,Inputs!$K$4:$AJ$4,0)),NA(),IF(SUMPRODUCT((Inputs!$A$5:$A$130=$B29)*ISNUMBER(INDEX(Inputs!$K$5:$AJ$130,0,MATCH(AF$2,Inputs!$K$4:$AJ$4,0))))+SUMPRODUCT((Inputs!$C$5:$C$130=$B29)*ISNUMBER(INDEX(Inputs!$K$5:$AJ$130,0,MATCH(AF$2,Inputs!$K$4:$AJ$4,0))))+SUMPRODUCT((Inputs!$E$5:$E$130=$B29)*ISNUMBER(INDEX(Inputs!$K$5:$AJ$130,0,MATCH(AF$2,Inputs!$K$4:$AJ$4,0))))=0,NA(),SUMPRODUCT((Inputs!$A$5:$A$130=$B29)*Inputs!$B$5:$B$130*(((Inputs!$G$5:$G$130="moeda")+(Inputs!$G$5:$G$130="acoes"))*Inputs!$B$1+((Inputs!$G$5:$G$130&lt;&gt;"moeda")*(Inputs!$G$5:$G$130&lt;&gt;"acoes")))*INDEX(Inputs!$K$5:$AJ$130,0,MATCH(AF$2,Inputs!$K$4:$AJ$4,0)))+SUMPRODUCT((Inputs!$C$5:$C$130=$B29)*Inputs!$D$5:$D$130*(((Inputs!$G$5:$G$130="moeda")+(Inputs!$G$5:$G$130="acoes"))*Inputs!$B$1+((Inputs!$G$5:$G$130&lt;&gt;"moeda")*(Inputs!$G$5:$G$130&lt;&gt;"acoes")))*INDEX(Inputs!$K$5:$AJ$130,0,MATCH(AF$2,Inputs!$K$4:$AJ$4,0)))+SUMPRODUCT((Inputs!$E$5:$E$130=$B29)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9" s="3" t="e">
        <f>AF29</f>
        <v>#N/A</v>
      </c>
      <c r="AH29" s="6">
        <f>IF(ISNA(MATCH(AH$2,Inputs!$K$4:$AJ$4,0)),NA(),IF(SUMPRODUCT((Inputs!$A$5:$A$130=$B29)*ISNUMBER(INDEX(Inputs!$K$5:$AJ$130,0,MATCH(AH$2,Inputs!$K$4:$AJ$4,0))))+SUMPRODUCT((Inputs!$C$5:$C$130=$B29)*ISNUMBER(INDEX(Inputs!$K$5:$AJ$130,0,MATCH(AH$2,Inputs!$K$4:$AJ$4,0))))+SUMPRODUCT((Inputs!$E$5:$E$130=$B29)*ISNUMBER(INDEX(Inputs!$K$5:$AJ$130,0,MATCH(AH$2,Inputs!$K$4:$AJ$4,0))))=0,NA(),SUMPRODUCT((Inputs!$A$5:$A$130=$B29)*Inputs!$B$5:$B$130*(((Inputs!$G$5:$G$130="moeda")+(Inputs!$G$5:$G$130="acoes"))*Inputs!$B$1+((Inputs!$G$5:$G$130&lt;&gt;"moeda")*(Inputs!$G$5:$G$130&lt;&gt;"acoes")))*INDEX(Inputs!$K$5:$AJ$130,0,MATCH(AH$2,Inputs!$K$4:$AJ$4,0)))+SUMPRODUCT((Inputs!$C$5:$C$130=$B29)*Inputs!$D$5:$D$130*(((Inputs!$G$5:$G$130="moeda")+(Inputs!$G$5:$G$130="acoes"))*Inputs!$B$1+((Inputs!$G$5:$G$130&lt;&gt;"moeda")*(Inputs!$G$5:$G$130&lt;&gt;"acoes")))*INDEX(Inputs!$K$5:$AJ$130,0,MATCH(AH$2,Inputs!$K$4:$AJ$4,0)))+SUMPRODUCT((Inputs!$E$5:$E$130=$B29)*Inputs!$F$5:$F$130*(((Inputs!$G$5:$G$130="moeda")+(Inputs!$G$5:$G$130="acoes"))*Inputs!$B$1+((Inputs!$G$5:$G$130&lt;&gt;"moeda")*(Inputs!$G$5:$G$130&lt;&gt;"acoes")))*INDEX(Inputs!$K$5:$AJ$130,0,MATCH(AH$2,Inputs!$K$4:$AJ$4,0)))))</f>
        <v>968</v>
      </c>
      <c r="AI29" s="6">
        <f>IF(ISNA(MATCH(AI$2,Inputs!$K$4:$AJ$4,0)),NA(),IF(SUMPRODUCT((Inputs!$A$5:$A$130=$B29)*ISNUMBER(INDEX(Inputs!$K$5:$AJ$130,0,MATCH(AI$2,Inputs!$K$4:$AJ$4,0))))+SUMPRODUCT((Inputs!$C$5:$C$130=$B29)*ISNUMBER(INDEX(Inputs!$K$5:$AJ$130,0,MATCH(AI$2,Inputs!$K$4:$AJ$4,0))))+SUMPRODUCT((Inputs!$E$5:$E$130=$B29)*ISNUMBER(INDEX(Inputs!$K$5:$AJ$130,0,MATCH(AI$2,Inputs!$K$4:$AJ$4,0))))=0,NA(),SUMPRODUCT((Inputs!$A$5:$A$130=$B29)*Inputs!$B$5:$B$130*(((Inputs!$G$5:$G$130="moeda")+(Inputs!$G$5:$G$130="acoes"))*Inputs!$B$1+((Inputs!$G$5:$G$130&lt;&gt;"moeda")*(Inputs!$G$5:$G$130&lt;&gt;"acoes")))*INDEX(Inputs!$K$5:$AJ$130,0,MATCH(AI$2,Inputs!$K$4:$AJ$4,0)))+SUMPRODUCT((Inputs!$C$5:$C$130=$B29)*Inputs!$D$5:$D$130*(((Inputs!$G$5:$G$130="moeda")+(Inputs!$G$5:$G$130="acoes"))*Inputs!$B$1+((Inputs!$G$5:$G$130&lt;&gt;"moeda")*(Inputs!$G$5:$G$130&lt;&gt;"acoes")))*INDEX(Inputs!$K$5:$AJ$130,0,MATCH(AI$2,Inputs!$K$4:$AJ$4,0)))+SUMPRODUCT((Inputs!$E$5:$E$130=$B29)*Inputs!$F$5:$F$130*(((Inputs!$G$5:$G$130="moeda")+(Inputs!$G$5:$G$130="acoes"))*Inputs!$B$1+((Inputs!$G$5:$G$130&lt;&gt;"moeda")*(Inputs!$G$5:$G$130&lt;&gt;"acoes")))*INDEX(Inputs!$K$5:$AJ$130,0,MATCH(AI$2,Inputs!$K$4:$AJ$4,0)))))</f>
        <v>1341</v>
      </c>
      <c r="AJ29" s="6">
        <f>IF(ISNA(MATCH(AJ$2,Inputs!$K$4:$AJ$4,0)),NA(),IF(SUMPRODUCT((Inputs!$A$5:$A$130=$B29)*ISNUMBER(INDEX(Inputs!$K$5:$AJ$130,0,MATCH(AJ$2,Inputs!$K$4:$AJ$4,0))))+SUMPRODUCT((Inputs!$C$5:$C$130=$B29)*ISNUMBER(INDEX(Inputs!$K$5:$AJ$130,0,MATCH(AJ$2,Inputs!$K$4:$AJ$4,0))))+SUMPRODUCT((Inputs!$E$5:$E$130=$B29)*ISNUMBER(INDEX(Inputs!$K$5:$AJ$130,0,MATCH(AJ$2,Inputs!$K$4:$AJ$4,0))))=0,NA(),SUMPRODUCT((Inputs!$A$5:$A$130=$B29)*Inputs!$B$5:$B$130*(((Inputs!$G$5:$G$130="moeda")+(Inputs!$G$5:$G$130="acoes"))*Inputs!$B$1+((Inputs!$G$5:$G$130&lt;&gt;"moeda")*(Inputs!$G$5:$G$130&lt;&gt;"acoes")))*INDEX(Inputs!$K$5:$AJ$130,0,MATCH(AJ$2,Inputs!$K$4:$AJ$4,0)))+SUMPRODUCT((Inputs!$C$5:$C$130=$B29)*Inputs!$D$5:$D$130*(((Inputs!$G$5:$G$130="moeda")+(Inputs!$G$5:$G$130="acoes"))*Inputs!$B$1+((Inputs!$G$5:$G$130&lt;&gt;"moeda")*(Inputs!$G$5:$G$130&lt;&gt;"acoes")))*INDEX(Inputs!$K$5:$AJ$130,0,MATCH(AJ$2,Inputs!$K$4:$AJ$4,0)))+SUMPRODUCT((Inputs!$E$5:$E$130=$B29)*Inputs!$F$5:$F$130*(((Inputs!$G$5:$G$130="moeda")+(Inputs!$G$5:$G$130="acoes"))*Inputs!$B$1+((Inputs!$G$5:$G$130&lt;&gt;"moeda")*(Inputs!$G$5:$G$130&lt;&gt;"acoes")))*INDEX(Inputs!$K$5:$AJ$130,0,MATCH(AJ$2,Inputs!$K$4:$AJ$4,0)))))</f>
        <v>1388</v>
      </c>
      <c r="AK29" s="6">
        <f>IF(ISNA(MATCH(AK$2,Inputs!$K$4:$AJ$4,0)),NA(),IF(SUMPRODUCT((Inputs!$A$5:$A$130=$B29)*ISNUMBER(INDEX(Inputs!$K$5:$AJ$130,0,MATCH(AK$2,Inputs!$K$4:$AJ$4,0))))+SUMPRODUCT((Inputs!$C$5:$C$130=$B29)*ISNUMBER(INDEX(Inputs!$K$5:$AJ$130,0,MATCH(AK$2,Inputs!$K$4:$AJ$4,0))))+SUMPRODUCT((Inputs!$E$5:$E$130=$B29)*ISNUMBER(INDEX(Inputs!$K$5:$AJ$130,0,MATCH(AK$2,Inputs!$K$4:$AJ$4,0))))=0,NA(),SUMPRODUCT((Inputs!$A$5:$A$130=$B29)*Inputs!$B$5:$B$130*(((Inputs!$G$5:$G$130="moeda")+(Inputs!$G$5:$G$130="acoes"))*Inputs!$B$1+((Inputs!$G$5:$G$130&lt;&gt;"moeda")*(Inputs!$G$5:$G$130&lt;&gt;"acoes")))*INDEX(Inputs!$K$5:$AJ$130,0,MATCH(AK$2,Inputs!$K$4:$AJ$4,0)))+SUMPRODUCT((Inputs!$C$5:$C$130=$B29)*Inputs!$D$5:$D$130*(((Inputs!$G$5:$G$130="moeda")+(Inputs!$G$5:$G$130="acoes"))*Inputs!$B$1+((Inputs!$G$5:$G$130&lt;&gt;"moeda")*(Inputs!$G$5:$G$130&lt;&gt;"acoes")))*INDEX(Inputs!$K$5:$AJ$130,0,MATCH(AK$2,Inputs!$K$4:$AJ$4,0)))+SUMPRODUCT((Inputs!$E$5:$E$130=$B29)*Inputs!$F$5:$F$130*(((Inputs!$G$5:$G$130="moeda")+(Inputs!$G$5:$G$130="acoes"))*Inputs!$B$1+((Inputs!$G$5:$G$130&lt;&gt;"moeda")*(Inputs!$G$5:$G$130&lt;&gt;"acoes")))*INDEX(Inputs!$K$5:$AJ$130,0,MATCH(AK$2,Inputs!$K$4:$AJ$4,0)))))</f>
        <v>1595</v>
      </c>
      <c r="AL29" s="3">
        <f>AK29</f>
        <v>1595</v>
      </c>
    </row>
    <row r="30">
      <c r="B30" s="46" t="n">
        <v>25</v>
      </c>
      <c r="C30" s="26" t="inlineStr">
        <is>
          <t>Taxes payable</t>
        </is>
      </c>
      <c r="D30" s="6">
        <f>IF(ISNA(MATCH(D$2,Inputs!$K$4:$AJ$4,0)),NA(),IF(SUMPRODUCT((Inputs!$A$5:$A$130=$B30)*ISNUMBER(INDEX(Inputs!$K$5:$AJ$130,0,MATCH(D$2,Inputs!$K$4:$AJ$4,0))))+SUMPRODUCT((Inputs!$C$5:$C$130=$B30)*ISNUMBER(INDEX(Inputs!$K$5:$AJ$130,0,MATCH(D$2,Inputs!$K$4:$AJ$4,0))))+SUMPRODUCT((Inputs!$E$5:$E$130=$B30)*ISNUMBER(INDEX(Inputs!$K$5:$AJ$130,0,MATCH(D$2,Inputs!$K$4:$AJ$4,0))))=0,NA(),SUMPRODUCT((Inputs!$A$5:$A$130=$B30)*Inputs!$B$5:$B$130*(((Inputs!$G$5:$G$130="moeda")+(Inputs!$G$5:$G$130="acoes"))*Inputs!$B$1+((Inputs!$G$5:$G$130&lt;&gt;"moeda")*(Inputs!$G$5:$G$130&lt;&gt;"acoes")))*INDEX(Inputs!$K$5:$AJ$130,0,MATCH(D$2,Inputs!$K$4:$AJ$4,0)))+SUMPRODUCT((Inputs!$C$5:$C$130=$B30)*Inputs!$D$5:$D$130*(((Inputs!$G$5:$G$130="moeda")+(Inputs!$G$5:$G$130="acoes"))*Inputs!$B$1+((Inputs!$G$5:$G$130&lt;&gt;"moeda")*(Inputs!$G$5:$G$130&lt;&gt;"acoes")))*INDEX(Inputs!$K$5:$AJ$130,0,MATCH(D$2,Inputs!$K$4:$AJ$4,0)))+SUMPRODUCT((Inputs!$E$5:$E$130=$B30)*Inputs!$F$5:$F$130*(((Inputs!$G$5:$G$130="moeda")+(Inputs!$G$5:$G$130="acoes"))*Inputs!$B$1+((Inputs!$G$5:$G$130&lt;&gt;"moeda")*(Inputs!$G$5:$G$130&lt;&gt;"acoes")))*INDEX(Inputs!$K$5:$AJ$130,0,MATCH(D$2,Inputs!$K$4:$AJ$4,0)))))</f>
        <v>96</v>
      </c>
      <c r="E30" s="6">
        <f>IF(ISNA(MATCH(E$2,Inputs!$K$4:$AJ$4,0)),NA(),IF(SUMPRODUCT((Inputs!$A$5:$A$130=$B30)*ISNUMBER(INDEX(Inputs!$K$5:$AJ$130,0,MATCH(E$2,Inputs!$K$4:$AJ$4,0))))+SUMPRODUCT((Inputs!$C$5:$C$130=$B30)*ISNUMBER(INDEX(Inputs!$K$5:$AJ$130,0,MATCH(E$2,Inputs!$K$4:$AJ$4,0))))+SUMPRODUCT((Inputs!$E$5:$E$130=$B30)*ISNUMBER(INDEX(Inputs!$K$5:$AJ$130,0,MATCH(E$2,Inputs!$K$4:$AJ$4,0))))=0,NA(),SUMPRODUCT((Inputs!$A$5:$A$130=$B30)*Inputs!$B$5:$B$130*(((Inputs!$G$5:$G$130="moeda")+(Inputs!$G$5:$G$130="acoes"))*Inputs!$B$1+((Inputs!$G$5:$G$130&lt;&gt;"moeda")*(Inputs!$G$5:$G$130&lt;&gt;"acoes")))*INDEX(Inputs!$K$5:$AJ$130,0,MATCH(E$2,Inputs!$K$4:$AJ$4,0)))+SUMPRODUCT((Inputs!$C$5:$C$130=$B30)*Inputs!$D$5:$D$130*(((Inputs!$G$5:$G$130="moeda")+(Inputs!$G$5:$G$130="acoes"))*Inputs!$B$1+((Inputs!$G$5:$G$130&lt;&gt;"moeda")*(Inputs!$G$5:$G$130&lt;&gt;"acoes")))*INDEX(Inputs!$K$5:$AJ$130,0,MATCH(E$2,Inputs!$K$4:$AJ$4,0)))+SUMPRODUCT((Inputs!$E$5:$E$130=$B30)*Inputs!$F$5:$F$130*(((Inputs!$G$5:$G$130="moeda")+(Inputs!$G$5:$G$130="acoes"))*Inputs!$B$1+((Inputs!$G$5:$G$130&lt;&gt;"moeda")*(Inputs!$G$5:$G$130&lt;&gt;"acoes")))*INDEX(Inputs!$K$5:$AJ$130,0,MATCH(E$2,Inputs!$K$4:$AJ$4,0)))))</f>
        <v>64</v>
      </c>
      <c r="F30" s="6">
        <f>IF(ISNA(MATCH(F$2,Inputs!$K$4:$AJ$4,0)),NA(),IF(SUMPRODUCT((Inputs!$A$5:$A$130=$B30)*ISNUMBER(INDEX(Inputs!$K$5:$AJ$130,0,MATCH(F$2,Inputs!$K$4:$AJ$4,0))))+SUMPRODUCT((Inputs!$C$5:$C$130=$B30)*ISNUMBER(INDEX(Inputs!$K$5:$AJ$130,0,MATCH(F$2,Inputs!$K$4:$AJ$4,0))))+SUMPRODUCT((Inputs!$E$5:$E$130=$B30)*ISNUMBER(INDEX(Inputs!$K$5:$AJ$130,0,MATCH(F$2,Inputs!$K$4:$AJ$4,0))))=0,NA(),SUMPRODUCT((Inputs!$A$5:$A$130=$B30)*Inputs!$B$5:$B$130*(((Inputs!$G$5:$G$130="moeda")+(Inputs!$G$5:$G$130="acoes"))*Inputs!$B$1+((Inputs!$G$5:$G$130&lt;&gt;"moeda")*(Inputs!$G$5:$G$130&lt;&gt;"acoes")))*INDEX(Inputs!$K$5:$AJ$130,0,MATCH(F$2,Inputs!$K$4:$AJ$4,0)))+SUMPRODUCT((Inputs!$C$5:$C$130=$B30)*Inputs!$D$5:$D$130*(((Inputs!$G$5:$G$130="moeda")+(Inputs!$G$5:$G$130="acoes"))*Inputs!$B$1+((Inputs!$G$5:$G$130&lt;&gt;"moeda")*(Inputs!$G$5:$G$130&lt;&gt;"acoes")))*INDEX(Inputs!$K$5:$AJ$130,0,MATCH(F$2,Inputs!$K$4:$AJ$4,0)))+SUMPRODUCT((Inputs!$E$5:$E$130=$B30)*Inputs!$F$5:$F$130*(((Inputs!$G$5:$G$130="moeda")+(Inputs!$G$5:$G$130="acoes"))*Inputs!$B$1+((Inputs!$G$5:$G$130&lt;&gt;"moeda")*(Inputs!$G$5:$G$130&lt;&gt;"acoes")))*INDEX(Inputs!$K$5:$AJ$130,0,MATCH(F$2,Inputs!$K$4:$AJ$4,0)))))</f>
        <v>36</v>
      </c>
      <c r="G30" s="6">
        <f>IF(ISNA(MATCH(G$2,Inputs!$K$4:$AJ$4,0)),NA(),IF(SUMPRODUCT((Inputs!$A$5:$A$130=$B30)*ISNUMBER(INDEX(Inputs!$K$5:$AJ$130,0,MATCH(G$2,Inputs!$K$4:$AJ$4,0))))+SUMPRODUCT((Inputs!$C$5:$C$130=$B30)*ISNUMBER(INDEX(Inputs!$K$5:$AJ$130,0,MATCH(G$2,Inputs!$K$4:$AJ$4,0))))+SUMPRODUCT((Inputs!$E$5:$E$130=$B30)*ISNUMBER(INDEX(Inputs!$K$5:$AJ$130,0,MATCH(G$2,Inputs!$K$4:$AJ$4,0))))=0,NA(),SUMPRODUCT((Inputs!$A$5:$A$130=$B30)*Inputs!$B$5:$B$130*(((Inputs!$G$5:$G$130="moeda")+(Inputs!$G$5:$G$130="acoes"))*Inputs!$B$1+((Inputs!$G$5:$G$130&lt;&gt;"moeda")*(Inputs!$G$5:$G$130&lt;&gt;"acoes")))*INDEX(Inputs!$K$5:$AJ$130,0,MATCH(G$2,Inputs!$K$4:$AJ$4,0)))+SUMPRODUCT((Inputs!$C$5:$C$130=$B30)*Inputs!$D$5:$D$130*(((Inputs!$G$5:$G$130="moeda")+(Inputs!$G$5:$G$130="acoes"))*Inputs!$B$1+((Inputs!$G$5:$G$130&lt;&gt;"moeda")*(Inputs!$G$5:$G$130&lt;&gt;"acoes")))*INDEX(Inputs!$K$5:$AJ$130,0,MATCH(G$2,Inputs!$K$4:$AJ$4,0)))+SUMPRODUCT((Inputs!$E$5:$E$130=$B30)*Inputs!$F$5:$F$130*(((Inputs!$G$5:$G$130="moeda")+(Inputs!$G$5:$G$130="acoes"))*Inputs!$B$1+((Inputs!$G$5:$G$130&lt;&gt;"moeda")*(Inputs!$G$5:$G$130&lt;&gt;"acoes")))*INDEX(Inputs!$K$5:$AJ$130,0,MATCH(G$2,Inputs!$K$4:$AJ$4,0)))))</f>
        <v>132</v>
      </c>
      <c r="H30" s="3">
        <f>G30</f>
        <v>132</v>
      </c>
      <c r="I30" s="6">
        <f>IF(ISNA(MATCH(I$2,Inputs!$K$4:$AJ$4,0)),NA(),IF(SUMPRODUCT((Inputs!$A$5:$A$130=$B30)*ISNUMBER(INDEX(Inputs!$K$5:$AJ$130,0,MATCH(I$2,Inputs!$K$4:$AJ$4,0))))+SUMPRODUCT((Inputs!$C$5:$C$130=$B30)*ISNUMBER(INDEX(Inputs!$K$5:$AJ$130,0,MATCH(I$2,Inputs!$K$4:$AJ$4,0))))+SUMPRODUCT((Inputs!$E$5:$E$130=$B30)*ISNUMBER(INDEX(Inputs!$K$5:$AJ$130,0,MATCH(I$2,Inputs!$K$4:$AJ$4,0))))=0,NA(),SUMPRODUCT((Inputs!$A$5:$A$130=$B30)*Inputs!$B$5:$B$130*(((Inputs!$G$5:$G$130="moeda")+(Inputs!$G$5:$G$130="acoes"))*Inputs!$B$1+((Inputs!$G$5:$G$130&lt;&gt;"moeda")*(Inputs!$G$5:$G$130&lt;&gt;"acoes")))*INDEX(Inputs!$K$5:$AJ$130,0,MATCH(I$2,Inputs!$K$4:$AJ$4,0)))+SUMPRODUCT((Inputs!$C$5:$C$130=$B30)*Inputs!$D$5:$D$130*(((Inputs!$G$5:$G$130="moeda")+(Inputs!$G$5:$G$130="acoes"))*Inputs!$B$1+((Inputs!$G$5:$G$130&lt;&gt;"moeda")*(Inputs!$G$5:$G$130&lt;&gt;"acoes")))*INDEX(Inputs!$K$5:$AJ$130,0,MATCH(I$2,Inputs!$K$4:$AJ$4,0)))+SUMPRODUCT((Inputs!$E$5:$E$130=$B30)*Inputs!$F$5:$F$130*(((Inputs!$G$5:$G$130="moeda")+(Inputs!$G$5:$G$130="acoes"))*Inputs!$B$1+((Inputs!$G$5:$G$130&lt;&gt;"moeda")*(Inputs!$G$5:$G$130&lt;&gt;"acoes")))*INDEX(Inputs!$K$5:$AJ$130,0,MATCH(I$2,Inputs!$K$4:$AJ$4,0)))))</f>
        <v>736</v>
      </c>
      <c r="J30" s="6">
        <f>IF(ISNA(MATCH(J$2,Inputs!$K$4:$AJ$4,0)),NA(),IF(SUMPRODUCT((Inputs!$A$5:$A$130=$B30)*ISNUMBER(INDEX(Inputs!$K$5:$AJ$130,0,MATCH(J$2,Inputs!$K$4:$AJ$4,0))))+SUMPRODUCT((Inputs!$C$5:$C$130=$B30)*ISNUMBER(INDEX(Inputs!$K$5:$AJ$130,0,MATCH(J$2,Inputs!$K$4:$AJ$4,0))))+SUMPRODUCT((Inputs!$E$5:$E$130=$B30)*ISNUMBER(INDEX(Inputs!$K$5:$AJ$130,0,MATCH(J$2,Inputs!$K$4:$AJ$4,0))))=0,NA(),SUMPRODUCT((Inputs!$A$5:$A$130=$B30)*Inputs!$B$5:$B$130*(((Inputs!$G$5:$G$130="moeda")+(Inputs!$G$5:$G$130="acoes"))*Inputs!$B$1+((Inputs!$G$5:$G$130&lt;&gt;"moeda")*(Inputs!$G$5:$G$130&lt;&gt;"acoes")))*INDEX(Inputs!$K$5:$AJ$130,0,MATCH(J$2,Inputs!$K$4:$AJ$4,0)))+SUMPRODUCT((Inputs!$C$5:$C$130=$B30)*Inputs!$D$5:$D$130*(((Inputs!$G$5:$G$130="moeda")+(Inputs!$G$5:$G$130="acoes"))*Inputs!$B$1+((Inputs!$G$5:$G$130&lt;&gt;"moeda")*(Inputs!$G$5:$G$130&lt;&gt;"acoes")))*INDEX(Inputs!$K$5:$AJ$130,0,MATCH(J$2,Inputs!$K$4:$AJ$4,0)))+SUMPRODUCT((Inputs!$E$5:$E$130=$B30)*Inputs!$F$5:$F$130*(((Inputs!$G$5:$G$130="moeda")+(Inputs!$G$5:$G$130="acoes"))*Inputs!$B$1+((Inputs!$G$5:$G$130&lt;&gt;"moeda")*(Inputs!$G$5:$G$130&lt;&gt;"acoes")))*INDEX(Inputs!$K$5:$AJ$130,0,MATCH(J$2,Inputs!$K$4:$AJ$4,0)))))</f>
        <v>158</v>
      </c>
      <c r="K30" s="6">
        <f>IF(ISNA(MATCH(K$2,Inputs!$K$4:$AJ$4,0)),NA(),IF(SUMPRODUCT((Inputs!$A$5:$A$130=$B30)*ISNUMBER(INDEX(Inputs!$K$5:$AJ$130,0,MATCH(K$2,Inputs!$K$4:$AJ$4,0))))+SUMPRODUCT((Inputs!$C$5:$C$130=$B30)*ISNUMBER(INDEX(Inputs!$K$5:$AJ$130,0,MATCH(K$2,Inputs!$K$4:$AJ$4,0))))+SUMPRODUCT((Inputs!$E$5:$E$130=$B30)*ISNUMBER(INDEX(Inputs!$K$5:$AJ$130,0,MATCH(K$2,Inputs!$K$4:$AJ$4,0))))=0,NA(),SUMPRODUCT((Inputs!$A$5:$A$130=$B30)*Inputs!$B$5:$B$130*(((Inputs!$G$5:$G$130="moeda")+(Inputs!$G$5:$G$130="acoes"))*Inputs!$B$1+((Inputs!$G$5:$G$130&lt;&gt;"moeda")*(Inputs!$G$5:$G$130&lt;&gt;"acoes")))*INDEX(Inputs!$K$5:$AJ$130,0,MATCH(K$2,Inputs!$K$4:$AJ$4,0)))+SUMPRODUCT((Inputs!$C$5:$C$130=$B30)*Inputs!$D$5:$D$130*(((Inputs!$G$5:$G$130="moeda")+(Inputs!$G$5:$G$130="acoes"))*Inputs!$B$1+((Inputs!$G$5:$G$130&lt;&gt;"moeda")*(Inputs!$G$5:$G$130&lt;&gt;"acoes")))*INDEX(Inputs!$K$5:$AJ$130,0,MATCH(K$2,Inputs!$K$4:$AJ$4,0)))+SUMPRODUCT((Inputs!$E$5:$E$130=$B30)*Inputs!$F$5:$F$130*(((Inputs!$G$5:$G$130="moeda")+(Inputs!$G$5:$G$130="acoes"))*Inputs!$B$1+((Inputs!$G$5:$G$130&lt;&gt;"moeda")*(Inputs!$G$5:$G$130&lt;&gt;"acoes")))*INDEX(Inputs!$K$5:$AJ$130,0,MATCH(K$2,Inputs!$K$4:$AJ$4,0)))))</f>
        <v>108</v>
      </c>
      <c r="L30" s="6">
        <f>IF(ISNA(MATCH(L$2,Inputs!$K$4:$AJ$4,0)),NA(),IF(SUMPRODUCT((Inputs!$A$5:$A$130=$B30)*ISNUMBER(INDEX(Inputs!$K$5:$AJ$130,0,MATCH(L$2,Inputs!$K$4:$AJ$4,0))))+SUMPRODUCT((Inputs!$C$5:$C$130=$B30)*ISNUMBER(INDEX(Inputs!$K$5:$AJ$130,0,MATCH(L$2,Inputs!$K$4:$AJ$4,0))))+SUMPRODUCT((Inputs!$E$5:$E$130=$B30)*ISNUMBER(INDEX(Inputs!$K$5:$AJ$130,0,MATCH(L$2,Inputs!$K$4:$AJ$4,0))))=0,NA(),SUMPRODUCT((Inputs!$A$5:$A$130=$B30)*Inputs!$B$5:$B$130*(((Inputs!$G$5:$G$130="moeda")+(Inputs!$G$5:$G$130="acoes"))*Inputs!$B$1+((Inputs!$G$5:$G$130&lt;&gt;"moeda")*(Inputs!$G$5:$G$130&lt;&gt;"acoes")))*INDEX(Inputs!$K$5:$AJ$130,0,MATCH(L$2,Inputs!$K$4:$AJ$4,0)))+SUMPRODUCT((Inputs!$C$5:$C$130=$B30)*Inputs!$D$5:$D$130*(((Inputs!$G$5:$G$130="moeda")+(Inputs!$G$5:$G$130="acoes"))*Inputs!$B$1+((Inputs!$G$5:$G$130&lt;&gt;"moeda")*(Inputs!$G$5:$G$130&lt;&gt;"acoes")))*INDEX(Inputs!$K$5:$AJ$130,0,MATCH(L$2,Inputs!$K$4:$AJ$4,0)))+SUMPRODUCT((Inputs!$E$5:$E$130=$B30)*Inputs!$F$5:$F$130*(((Inputs!$G$5:$G$130="moeda")+(Inputs!$G$5:$G$130="acoes"))*Inputs!$B$1+((Inputs!$G$5:$G$130&lt;&gt;"moeda")*(Inputs!$G$5:$G$130&lt;&gt;"acoes")))*INDEX(Inputs!$K$5:$AJ$130,0,MATCH(L$2,Inputs!$K$4:$AJ$4,0)))))</f>
        <v>467</v>
      </c>
      <c r="M30" s="3">
        <f>L30</f>
        <v>467</v>
      </c>
      <c r="N30" s="6">
        <f>IF(ISNA(MATCH(N$2,Inputs!$K$4:$AJ$4,0)),NA(),IF(SUMPRODUCT((Inputs!$A$5:$A$130=$B30)*ISNUMBER(INDEX(Inputs!$K$5:$AJ$130,0,MATCH(N$2,Inputs!$K$4:$AJ$4,0))))+SUMPRODUCT((Inputs!$C$5:$C$130=$B30)*ISNUMBER(INDEX(Inputs!$K$5:$AJ$130,0,MATCH(N$2,Inputs!$K$4:$AJ$4,0))))+SUMPRODUCT((Inputs!$E$5:$E$130=$B30)*ISNUMBER(INDEX(Inputs!$K$5:$AJ$130,0,MATCH(N$2,Inputs!$K$4:$AJ$4,0))))=0,NA(),SUMPRODUCT((Inputs!$A$5:$A$130=$B30)*Inputs!$B$5:$B$130*(((Inputs!$G$5:$G$130="moeda")+(Inputs!$G$5:$G$130="acoes"))*Inputs!$B$1+((Inputs!$G$5:$G$130&lt;&gt;"moeda")*(Inputs!$G$5:$G$130&lt;&gt;"acoes")))*INDEX(Inputs!$K$5:$AJ$130,0,MATCH(N$2,Inputs!$K$4:$AJ$4,0)))+SUMPRODUCT((Inputs!$C$5:$C$130=$B30)*Inputs!$D$5:$D$130*(((Inputs!$G$5:$G$130="moeda")+(Inputs!$G$5:$G$130="acoes"))*Inputs!$B$1+((Inputs!$G$5:$G$130&lt;&gt;"moeda")*(Inputs!$G$5:$G$130&lt;&gt;"acoes")))*INDEX(Inputs!$K$5:$AJ$130,0,MATCH(N$2,Inputs!$K$4:$AJ$4,0)))+SUMPRODUCT((Inputs!$E$5:$E$130=$B30)*Inputs!$F$5:$F$130*(((Inputs!$G$5:$G$130="moeda")+(Inputs!$G$5:$G$130="acoes"))*Inputs!$B$1+((Inputs!$G$5:$G$130&lt;&gt;"moeda")*(Inputs!$G$5:$G$130&lt;&gt;"acoes")))*INDEX(Inputs!$K$5:$AJ$130,0,MATCH(N$2,Inputs!$K$4:$AJ$4,0)))))</f>
        <v>1544</v>
      </c>
      <c r="O30" s="6">
        <f>IF(ISNA(MATCH(O$2,Inputs!$K$4:$AJ$4,0)),NA(),IF(SUMPRODUCT((Inputs!$A$5:$A$130=$B30)*ISNUMBER(INDEX(Inputs!$K$5:$AJ$130,0,MATCH(O$2,Inputs!$K$4:$AJ$4,0))))+SUMPRODUCT((Inputs!$C$5:$C$130=$B30)*ISNUMBER(INDEX(Inputs!$K$5:$AJ$130,0,MATCH(O$2,Inputs!$K$4:$AJ$4,0))))+SUMPRODUCT((Inputs!$E$5:$E$130=$B30)*ISNUMBER(INDEX(Inputs!$K$5:$AJ$130,0,MATCH(O$2,Inputs!$K$4:$AJ$4,0))))=0,NA(),SUMPRODUCT((Inputs!$A$5:$A$130=$B30)*Inputs!$B$5:$B$130*(((Inputs!$G$5:$G$130="moeda")+(Inputs!$G$5:$G$130="acoes"))*Inputs!$B$1+((Inputs!$G$5:$G$130&lt;&gt;"moeda")*(Inputs!$G$5:$G$130&lt;&gt;"acoes")))*INDEX(Inputs!$K$5:$AJ$130,0,MATCH(O$2,Inputs!$K$4:$AJ$4,0)))+SUMPRODUCT((Inputs!$C$5:$C$130=$B30)*Inputs!$D$5:$D$130*(((Inputs!$G$5:$G$130="moeda")+(Inputs!$G$5:$G$130="acoes"))*Inputs!$B$1+((Inputs!$G$5:$G$130&lt;&gt;"moeda")*(Inputs!$G$5:$G$130&lt;&gt;"acoes")))*INDEX(Inputs!$K$5:$AJ$130,0,MATCH(O$2,Inputs!$K$4:$AJ$4,0)))+SUMPRODUCT((Inputs!$E$5:$E$130=$B30)*Inputs!$F$5:$F$130*(((Inputs!$G$5:$G$130="moeda")+(Inputs!$G$5:$G$130="acoes"))*Inputs!$B$1+((Inputs!$G$5:$G$130&lt;&gt;"moeda")*(Inputs!$G$5:$G$130&lt;&gt;"acoes")))*INDEX(Inputs!$K$5:$AJ$130,0,MATCH(O$2,Inputs!$K$4:$AJ$4,0)))))</f>
        <v>2803</v>
      </c>
      <c r="P30" s="6">
        <f>IF(ISNA(MATCH(P$2,Inputs!$K$4:$AJ$4,0)),NA(),IF(SUMPRODUCT((Inputs!$A$5:$A$130=$B30)*ISNUMBER(INDEX(Inputs!$K$5:$AJ$130,0,MATCH(P$2,Inputs!$K$4:$AJ$4,0))))+SUMPRODUCT((Inputs!$C$5:$C$130=$B30)*ISNUMBER(INDEX(Inputs!$K$5:$AJ$130,0,MATCH(P$2,Inputs!$K$4:$AJ$4,0))))+SUMPRODUCT((Inputs!$E$5:$E$130=$B30)*ISNUMBER(INDEX(Inputs!$K$5:$AJ$130,0,MATCH(P$2,Inputs!$K$4:$AJ$4,0))))=0,NA(),SUMPRODUCT((Inputs!$A$5:$A$130=$B30)*Inputs!$B$5:$B$130*(((Inputs!$G$5:$G$130="moeda")+(Inputs!$G$5:$G$130="acoes"))*Inputs!$B$1+((Inputs!$G$5:$G$130&lt;&gt;"moeda")*(Inputs!$G$5:$G$130&lt;&gt;"acoes")))*INDEX(Inputs!$K$5:$AJ$130,0,MATCH(P$2,Inputs!$K$4:$AJ$4,0)))+SUMPRODUCT((Inputs!$C$5:$C$130=$B30)*Inputs!$D$5:$D$130*(((Inputs!$G$5:$G$130="moeda")+(Inputs!$G$5:$G$130="acoes"))*Inputs!$B$1+((Inputs!$G$5:$G$130&lt;&gt;"moeda")*(Inputs!$G$5:$G$130&lt;&gt;"acoes")))*INDEX(Inputs!$K$5:$AJ$130,0,MATCH(P$2,Inputs!$K$4:$AJ$4,0)))+SUMPRODUCT((Inputs!$E$5:$E$130=$B30)*Inputs!$F$5:$F$130*(((Inputs!$G$5:$G$130="moeda")+(Inputs!$G$5:$G$130="acoes"))*Inputs!$B$1+((Inputs!$G$5:$G$130&lt;&gt;"moeda")*(Inputs!$G$5:$G$130&lt;&gt;"acoes")))*INDEX(Inputs!$K$5:$AJ$130,0,MATCH(P$2,Inputs!$K$4:$AJ$4,0)))))</f>
        <v>420</v>
      </c>
      <c r="Q30" s="6">
        <f>IF(ISNA(MATCH(Q$2,Inputs!$K$4:$AJ$4,0)),NA(),IF(SUMPRODUCT((Inputs!$A$5:$A$130=$B30)*ISNUMBER(INDEX(Inputs!$K$5:$AJ$130,0,MATCH(Q$2,Inputs!$K$4:$AJ$4,0))))+SUMPRODUCT((Inputs!$C$5:$C$130=$B30)*ISNUMBER(INDEX(Inputs!$K$5:$AJ$130,0,MATCH(Q$2,Inputs!$K$4:$AJ$4,0))))+SUMPRODUCT((Inputs!$E$5:$E$130=$B30)*ISNUMBER(INDEX(Inputs!$K$5:$AJ$130,0,MATCH(Q$2,Inputs!$K$4:$AJ$4,0))))=0,NA(),SUMPRODUCT((Inputs!$A$5:$A$130=$B30)*Inputs!$B$5:$B$130*(((Inputs!$G$5:$G$130="moeda")+(Inputs!$G$5:$G$130="acoes"))*Inputs!$B$1+((Inputs!$G$5:$G$130&lt;&gt;"moeda")*(Inputs!$G$5:$G$130&lt;&gt;"acoes")))*INDEX(Inputs!$K$5:$AJ$130,0,MATCH(Q$2,Inputs!$K$4:$AJ$4,0)))+SUMPRODUCT((Inputs!$C$5:$C$130=$B30)*Inputs!$D$5:$D$130*(((Inputs!$G$5:$G$130="moeda")+(Inputs!$G$5:$G$130="acoes"))*Inputs!$B$1+((Inputs!$G$5:$G$130&lt;&gt;"moeda")*(Inputs!$G$5:$G$130&lt;&gt;"acoes")))*INDEX(Inputs!$K$5:$AJ$130,0,MATCH(Q$2,Inputs!$K$4:$AJ$4,0)))+SUMPRODUCT((Inputs!$E$5:$E$130=$B30)*Inputs!$F$5:$F$130*(((Inputs!$G$5:$G$130="moeda")+(Inputs!$G$5:$G$130="acoes"))*Inputs!$B$1+((Inputs!$G$5:$G$130&lt;&gt;"moeda")*(Inputs!$G$5:$G$130&lt;&gt;"acoes")))*INDEX(Inputs!$K$5:$AJ$130,0,MATCH(Q$2,Inputs!$K$4:$AJ$4,0)))))</f>
        <v>296</v>
      </c>
      <c r="R30" s="3">
        <f>Q30</f>
        <v>296</v>
      </c>
      <c r="S30" s="6">
        <f>IF(ISNA(MATCH(S$2,Inputs!$K$4:$AJ$4,0)),NA(),IF(SUMPRODUCT((Inputs!$A$5:$A$130=$B30)*ISNUMBER(INDEX(Inputs!$K$5:$AJ$130,0,MATCH(S$2,Inputs!$K$4:$AJ$4,0))))+SUMPRODUCT((Inputs!$C$5:$C$130=$B30)*ISNUMBER(INDEX(Inputs!$K$5:$AJ$130,0,MATCH(S$2,Inputs!$K$4:$AJ$4,0))))+SUMPRODUCT((Inputs!$E$5:$E$130=$B30)*ISNUMBER(INDEX(Inputs!$K$5:$AJ$130,0,MATCH(S$2,Inputs!$K$4:$AJ$4,0))))=0,NA(),SUMPRODUCT((Inputs!$A$5:$A$130=$B30)*Inputs!$B$5:$B$130*(((Inputs!$G$5:$G$130="moeda")+(Inputs!$G$5:$G$130="acoes"))*Inputs!$B$1+((Inputs!$G$5:$G$130&lt;&gt;"moeda")*(Inputs!$G$5:$G$130&lt;&gt;"acoes")))*INDEX(Inputs!$K$5:$AJ$130,0,MATCH(S$2,Inputs!$K$4:$AJ$4,0)))+SUMPRODUCT((Inputs!$C$5:$C$130=$B30)*Inputs!$D$5:$D$130*(((Inputs!$G$5:$G$130="moeda")+(Inputs!$G$5:$G$130="acoes"))*Inputs!$B$1+((Inputs!$G$5:$G$130&lt;&gt;"moeda")*(Inputs!$G$5:$G$130&lt;&gt;"acoes")))*INDEX(Inputs!$K$5:$AJ$130,0,MATCH(S$2,Inputs!$K$4:$AJ$4,0)))+SUMPRODUCT((Inputs!$E$5:$E$130=$B30)*Inputs!$F$5:$F$130*(((Inputs!$G$5:$G$130="moeda")+(Inputs!$G$5:$G$130="acoes"))*Inputs!$B$1+((Inputs!$G$5:$G$130&lt;&gt;"moeda")*(Inputs!$G$5:$G$130&lt;&gt;"acoes")))*INDEX(Inputs!$K$5:$AJ$130,0,MATCH(S$2,Inputs!$K$4:$AJ$4,0)))))</f>
        <v>3881</v>
      </c>
      <c r="T30" s="6">
        <f>IF(ISNA(MATCH(T$2,Inputs!$K$4:$AJ$4,0)),NA(),IF(SUMPRODUCT((Inputs!$A$5:$A$130=$B30)*ISNUMBER(INDEX(Inputs!$K$5:$AJ$130,0,MATCH(T$2,Inputs!$K$4:$AJ$4,0))))+SUMPRODUCT((Inputs!$C$5:$C$130=$B30)*ISNUMBER(INDEX(Inputs!$K$5:$AJ$130,0,MATCH(T$2,Inputs!$K$4:$AJ$4,0))))+SUMPRODUCT((Inputs!$E$5:$E$130=$B30)*ISNUMBER(INDEX(Inputs!$K$5:$AJ$130,0,MATCH(T$2,Inputs!$K$4:$AJ$4,0))))=0,NA(),SUMPRODUCT((Inputs!$A$5:$A$130=$B30)*Inputs!$B$5:$B$130*(((Inputs!$G$5:$G$130="moeda")+(Inputs!$G$5:$G$130="acoes"))*Inputs!$B$1+((Inputs!$G$5:$G$130&lt;&gt;"moeda")*(Inputs!$G$5:$G$130&lt;&gt;"acoes")))*INDEX(Inputs!$K$5:$AJ$130,0,MATCH(T$2,Inputs!$K$4:$AJ$4,0)))+SUMPRODUCT((Inputs!$C$5:$C$130=$B30)*Inputs!$D$5:$D$130*(((Inputs!$G$5:$G$130="moeda")+(Inputs!$G$5:$G$130="acoes"))*Inputs!$B$1+((Inputs!$G$5:$G$130&lt;&gt;"moeda")*(Inputs!$G$5:$G$130&lt;&gt;"acoes")))*INDEX(Inputs!$K$5:$AJ$130,0,MATCH(T$2,Inputs!$K$4:$AJ$4,0)))+SUMPRODUCT((Inputs!$E$5:$E$130=$B30)*Inputs!$F$5:$F$130*(((Inputs!$G$5:$G$130="moeda")+(Inputs!$G$5:$G$130="acoes"))*Inputs!$B$1+((Inputs!$G$5:$G$130&lt;&gt;"moeda")*(Inputs!$G$5:$G$130&lt;&gt;"acoes")))*INDEX(Inputs!$K$5:$AJ$130,0,MATCH(T$2,Inputs!$K$4:$AJ$4,0)))))</f>
        <v>1173</v>
      </c>
      <c r="U30" s="6">
        <f>IF(ISNA(MATCH(U$2,Inputs!$K$4:$AJ$4,0)),NA(),IF(SUMPRODUCT((Inputs!$A$5:$A$130=$B30)*ISNUMBER(INDEX(Inputs!$K$5:$AJ$130,0,MATCH(U$2,Inputs!$K$4:$AJ$4,0))))+SUMPRODUCT((Inputs!$C$5:$C$130=$B30)*ISNUMBER(INDEX(Inputs!$K$5:$AJ$130,0,MATCH(U$2,Inputs!$K$4:$AJ$4,0))))+SUMPRODUCT((Inputs!$E$5:$E$130=$B30)*ISNUMBER(INDEX(Inputs!$K$5:$AJ$130,0,MATCH(U$2,Inputs!$K$4:$AJ$4,0))))=0,NA(),SUMPRODUCT((Inputs!$A$5:$A$130=$B30)*Inputs!$B$5:$B$130*(((Inputs!$G$5:$G$130="moeda")+(Inputs!$G$5:$G$130="acoes"))*Inputs!$B$1+((Inputs!$G$5:$G$130&lt;&gt;"moeda")*(Inputs!$G$5:$G$130&lt;&gt;"acoes")))*INDEX(Inputs!$K$5:$AJ$130,0,MATCH(U$2,Inputs!$K$4:$AJ$4,0)))+SUMPRODUCT((Inputs!$C$5:$C$130=$B30)*Inputs!$D$5:$D$130*(((Inputs!$G$5:$G$130="moeda")+(Inputs!$G$5:$G$130="acoes"))*Inputs!$B$1+((Inputs!$G$5:$G$130&lt;&gt;"moeda")*(Inputs!$G$5:$G$130&lt;&gt;"acoes")))*INDEX(Inputs!$K$5:$AJ$130,0,MATCH(U$2,Inputs!$K$4:$AJ$4,0)))+SUMPRODUCT((Inputs!$E$5:$E$130=$B30)*Inputs!$F$5:$F$130*(((Inputs!$G$5:$G$130="moeda")+(Inputs!$G$5:$G$130="acoes"))*Inputs!$B$1+((Inputs!$G$5:$G$130&lt;&gt;"moeda")*(Inputs!$G$5:$G$130&lt;&gt;"acoes")))*INDEX(Inputs!$K$5:$AJ$130,0,MATCH(U$2,Inputs!$K$4:$AJ$4,0)))))</f>
        <v>1356</v>
      </c>
      <c r="V30" s="6">
        <f>IF(ISNA(MATCH(V$2,Inputs!$K$4:$AJ$4,0)),NA(),IF(SUMPRODUCT((Inputs!$A$5:$A$130=$B30)*ISNUMBER(INDEX(Inputs!$K$5:$AJ$130,0,MATCH(V$2,Inputs!$K$4:$AJ$4,0))))+SUMPRODUCT((Inputs!$C$5:$C$130=$B30)*ISNUMBER(INDEX(Inputs!$K$5:$AJ$130,0,MATCH(V$2,Inputs!$K$4:$AJ$4,0))))+SUMPRODUCT((Inputs!$E$5:$E$130=$B30)*ISNUMBER(INDEX(Inputs!$K$5:$AJ$130,0,MATCH(V$2,Inputs!$K$4:$AJ$4,0))))=0,NA(),SUMPRODUCT((Inputs!$A$5:$A$130=$B30)*Inputs!$B$5:$B$130*(((Inputs!$G$5:$G$130="moeda")+(Inputs!$G$5:$G$130="acoes"))*Inputs!$B$1+((Inputs!$G$5:$G$130&lt;&gt;"moeda")*(Inputs!$G$5:$G$130&lt;&gt;"acoes")))*INDEX(Inputs!$K$5:$AJ$130,0,MATCH(V$2,Inputs!$K$4:$AJ$4,0)))+SUMPRODUCT((Inputs!$C$5:$C$130=$B30)*Inputs!$D$5:$D$130*(((Inputs!$G$5:$G$130="moeda")+(Inputs!$G$5:$G$130="acoes"))*Inputs!$B$1+((Inputs!$G$5:$G$130&lt;&gt;"moeda")*(Inputs!$G$5:$G$130&lt;&gt;"acoes")))*INDEX(Inputs!$K$5:$AJ$130,0,MATCH(V$2,Inputs!$K$4:$AJ$4,0)))+SUMPRODUCT((Inputs!$E$5:$E$130=$B30)*Inputs!$F$5:$F$130*(((Inputs!$G$5:$G$130="moeda")+(Inputs!$G$5:$G$130="acoes"))*Inputs!$B$1+((Inputs!$G$5:$G$130&lt;&gt;"moeda")*(Inputs!$G$5:$G$130&lt;&gt;"acoes")))*INDEX(Inputs!$K$5:$AJ$130,0,MATCH(V$2,Inputs!$K$4:$AJ$4,0)))))</f>
        <v>881</v>
      </c>
      <c r="W30" s="3">
        <f>V30</f>
        <v>881</v>
      </c>
      <c r="X30" s="6">
        <f>IF(ISNA(MATCH(X$2,Inputs!$K$4:$AJ$4,0)),NA(),IF(SUMPRODUCT((Inputs!$A$5:$A$130=$B30)*ISNUMBER(INDEX(Inputs!$K$5:$AJ$130,0,MATCH(X$2,Inputs!$K$4:$AJ$4,0))))+SUMPRODUCT((Inputs!$C$5:$C$130=$B30)*ISNUMBER(INDEX(Inputs!$K$5:$AJ$130,0,MATCH(X$2,Inputs!$K$4:$AJ$4,0))))+SUMPRODUCT((Inputs!$E$5:$E$130=$B30)*ISNUMBER(INDEX(Inputs!$K$5:$AJ$130,0,MATCH(X$2,Inputs!$K$4:$AJ$4,0))))=0,NA(),SUMPRODUCT((Inputs!$A$5:$A$130=$B30)*Inputs!$B$5:$B$130*(((Inputs!$G$5:$G$130="moeda")+(Inputs!$G$5:$G$130="acoes"))*Inputs!$B$1+((Inputs!$G$5:$G$130&lt;&gt;"moeda")*(Inputs!$G$5:$G$130&lt;&gt;"acoes")))*INDEX(Inputs!$K$5:$AJ$130,0,MATCH(X$2,Inputs!$K$4:$AJ$4,0)))+SUMPRODUCT((Inputs!$C$5:$C$130=$B30)*Inputs!$D$5:$D$130*(((Inputs!$G$5:$G$130="moeda")+(Inputs!$G$5:$G$130="acoes"))*Inputs!$B$1+((Inputs!$G$5:$G$130&lt;&gt;"moeda")*(Inputs!$G$5:$G$130&lt;&gt;"acoes")))*INDEX(Inputs!$K$5:$AJ$130,0,MATCH(X$2,Inputs!$K$4:$AJ$4,0)))+SUMPRODUCT((Inputs!$E$5:$E$130=$B30)*Inputs!$F$5:$F$130*(((Inputs!$G$5:$G$130="moeda")+(Inputs!$G$5:$G$130="acoes"))*Inputs!$B$1+((Inputs!$G$5:$G$130&lt;&gt;"moeda")*(Inputs!$G$5:$G$130&lt;&gt;"acoes")))*INDEX(Inputs!$K$5:$AJ$130,0,MATCH(X$2,Inputs!$K$4:$AJ$4,0)))))</f>
        <v>5672</v>
      </c>
      <c r="Y30" s="6">
        <f>IF(ISNA(MATCH(Y$2,Inputs!$K$4:$AJ$4,0)),NA(),IF(SUMPRODUCT((Inputs!$A$5:$A$130=$B30)*ISNUMBER(INDEX(Inputs!$K$5:$AJ$130,0,MATCH(Y$2,Inputs!$K$4:$AJ$4,0))))+SUMPRODUCT((Inputs!$C$5:$C$130=$B30)*ISNUMBER(INDEX(Inputs!$K$5:$AJ$130,0,MATCH(Y$2,Inputs!$K$4:$AJ$4,0))))+SUMPRODUCT((Inputs!$E$5:$E$130=$B30)*ISNUMBER(INDEX(Inputs!$K$5:$AJ$130,0,MATCH(Y$2,Inputs!$K$4:$AJ$4,0))))=0,NA(),SUMPRODUCT((Inputs!$A$5:$A$130=$B30)*Inputs!$B$5:$B$130*(((Inputs!$G$5:$G$130="moeda")+(Inputs!$G$5:$G$130="acoes"))*Inputs!$B$1+((Inputs!$G$5:$G$130&lt;&gt;"moeda")*(Inputs!$G$5:$G$130&lt;&gt;"acoes")))*INDEX(Inputs!$K$5:$AJ$130,0,MATCH(Y$2,Inputs!$K$4:$AJ$4,0)))+SUMPRODUCT((Inputs!$C$5:$C$130=$B30)*Inputs!$D$5:$D$130*(((Inputs!$G$5:$G$130="moeda")+(Inputs!$G$5:$G$130="acoes"))*Inputs!$B$1+((Inputs!$G$5:$G$130&lt;&gt;"moeda")*(Inputs!$G$5:$G$130&lt;&gt;"acoes")))*INDEX(Inputs!$K$5:$AJ$130,0,MATCH(Y$2,Inputs!$K$4:$AJ$4,0)))+SUMPRODUCT((Inputs!$E$5:$E$130=$B30)*Inputs!$F$5:$F$130*(((Inputs!$G$5:$G$130="moeda")+(Inputs!$G$5:$G$130="acoes"))*Inputs!$B$1+((Inputs!$G$5:$G$130&lt;&gt;"moeda")*(Inputs!$G$5:$G$130&lt;&gt;"acoes")))*INDEX(Inputs!$K$5:$AJ$130,0,MATCH(Y$2,Inputs!$K$4:$AJ$4,0)))))</f>
        <v>1910</v>
      </c>
      <c r="Z30" s="6">
        <f>IF(ISNA(MATCH(Z$2,Inputs!$K$4:$AJ$4,0)),NA(),IF(SUMPRODUCT((Inputs!$A$5:$A$130=$B30)*ISNUMBER(INDEX(Inputs!$K$5:$AJ$130,0,MATCH(Z$2,Inputs!$K$4:$AJ$4,0))))+SUMPRODUCT((Inputs!$C$5:$C$130=$B30)*ISNUMBER(INDEX(Inputs!$K$5:$AJ$130,0,MATCH(Z$2,Inputs!$K$4:$AJ$4,0))))+SUMPRODUCT((Inputs!$E$5:$E$130=$B30)*ISNUMBER(INDEX(Inputs!$K$5:$AJ$130,0,MATCH(Z$2,Inputs!$K$4:$AJ$4,0))))=0,NA(),SUMPRODUCT((Inputs!$A$5:$A$130=$B30)*Inputs!$B$5:$B$130*(((Inputs!$G$5:$G$130="moeda")+(Inputs!$G$5:$G$130="acoes"))*Inputs!$B$1+((Inputs!$G$5:$G$130&lt;&gt;"moeda")*(Inputs!$G$5:$G$130&lt;&gt;"acoes")))*INDEX(Inputs!$K$5:$AJ$130,0,MATCH(Z$2,Inputs!$K$4:$AJ$4,0)))+SUMPRODUCT((Inputs!$C$5:$C$130=$B30)*Inputs!$D$5:$D$130*(((Inputs!$G$5:$G$130="moeda")+(Inputs!$G$5:$G$130="acoes"))*Inputs!$B$1+((Inputs!$G$5:$G$130&lt;&gt;"moeda")*(Inputs!$G$5:$G$130&lt;&gt;"acoes")))*INDEX(Inputs!$K$5:$AJ$130,0,MATCH(Z$2,Inputs!$K$4:$AJ$4,0)))+SUMPRODUCT((Inputs!$E$5:$E$130=$B30)*Inputs!$F$5:$F$130*(((Inputs!$G$5:$G$130="moeda")+(Inputs!$G$5:$G$130="acoes"))*Inputs!$B$1+((Inputs!$G$5:$G$130&lt;&gt;"moeda")*(Inputs!$G$5:$G$130&lt;&gt;"acoes")))*INDEX(Inputs!$K$5:$AJ$130,0,MATCH(Z$2,Inputs!$K$4:$AJ$4,0)))))</f>
        <v>2915</v>
      </c>
      <c r="AA30" s="6">
        <f>IF(ISNA(MATCH(AA$2,Inputs!$K$4:$AJ$4,0)),NA(),IF(SUMPRODUCT((Inputs!$A$5:$A$130=$B30)*ISNUMBER(INDEX(Inputs!$K$5:$AJ$130,0,MATCH(AA$2,Inputs!$K$4:$AJ$4,0))))+SUMPRODUCT((Inputs!$C$5:$C$130=$B30)*ISNUMBER(INDEX(Inputs!$K$5:$AJ$130,0,MATCH(AA$2,Inputs!$K$4:$AJ$4,0))))+SUMPRODUCT((Inputs!$E$5:$E$130=$B30)*ISNUMBER(INDEX(Inputs!$K$5:$AJ$130,0,MATCH(AA$2,Inputs!$K$4:$AJ$4,0))))=0,NA(),SUMPRODUCT((Inputs!$A$5:$A$130=$B30)*Inputs!$B$5:$B$130*(((Inputs!$G$5:$G$130="moeda")+(Inputs!$G$5:$G$130="acoes"))*Inputs!$B$1+((Inputs!$G$5:$G$130&lt;&gt;"moeda")*(Inputs!$G$5:$G$130&lt;&gt;"acoes")))*INDEX(Inputs!$K$5:$AJ$130,0,MATCH(AA$2,Inputs!$K$4:$AJ$4,0)))+SUMPRODUCT((Inputs!$C$5:$C$130=$B30)*Inputs!$D$5:$D$130*(((Inputs!$G$5:$G$130="moeda")+(Inputs!$G$5:$G$130="acoes"))*Inputs!$B$1+((Inputs!$G$5:$G$130&lt;&gt;"moeda")*(Inputs!$G$5:$G$130&lt;&gt;"acoes")))*INDEX(Inputs!$K$5:$AJ$130,0,MATCH(AA$2,Inputs!$K$4:$AJ$4,0)))+SUMPRODUCT((Inputs!$E$5:$E$130=$B30)*Inputs!$F$5:$F$130*(((Inputs!$G$5:$G$130="moeda")+(Inputs!$G$5:$G$130="acoes"))*Inputs!$B$1+((Inputs!$G$5:$G$130&lt;&gt;"moeda")*(Inputs!$G$5:$G$130&lt;&gt;"acoes")))*INDEX(Inputs!$K$5:$AJ$130,0,MATCH(AA$2,Inputs!$K$4:$AJ$4,0)))))</f>
        <v>2669</v>
      </c>
      <c r="AB30" s="3">
        <f>AA30</f>
        <v>2669</v>
      </c>
      <c r="AC30" s="6">
        <f>IF(ISNA(MATCH(AC$2,Inputs!$K$4:$AJ$4,0)),NA(),IF(SUMPRODUCT((Inputs!$A$5:$A$130=$B30)*ISNUMBER(INDEX(Inputs!$K$5:$AJ$130,0,MATCH(AC$2,Inputs!$K$4:$AJ$4,0))))+SUMPRODUCT((Inputs!$C$5:$C$130=$B30)*ISNUMBER(INDEX(Inputs!$K$5:$AJ$130,0,MATCH(AC$2,Inputs!$K$4:$AJ$4,0))))+SUMPRODUCT((Inputs!$E$5:$E$130=$B30)*ISNUMBER(INDEX(Inputs!$K$5:$AJ$130,0,MATCH(AC$2,Inputs!$K$4:$AJ$4,0))))=0,NA(),SUMPRODUCT((Inputs!$A$5:$A$130=$B30)*Inputs!$B$5:$B$130*(((Inputs!$G$5:$G$130="moeda")+(Inputs!$G$5:$G$130="acoes"))*Inputs!$B$1+((Inputs!$G$5:$G$130&lt;&gt;"moeda")*(Inputs!$G$5:$G$130&lt;&gt;"acoes")))*INDEX(Inputs!$K$5:$AJ$130,0,MATCH(AC$2,Inputs!$K$4:$AJ$4,0)))+SUMPRODUCT((Inputs!$C$5:$C$130=$B30)*Inputs!$D$5:$D$130*(((Inputs!$G$5:$G$130="moeda")+(Inputs!$G$5:$G$130="acoes"))*Inputs!$B$1+((Inputs!$G$5:$G$130&lt;&gt;"moeda")*(Inputs!$G$5:$G$130&lt;&gt;"acoes")))*INDEX(Inputs!$K$5:$AJ$130,0,MATCH(AC$2,Inputs!$K$4:$AJ$4,0)))+SUMPRODUCT((Inputs!$E$5:$E$130=$B30)*Inputs!$F$5:$F$130*(((Inputs!$G$5:$G$130="moeda")+(Inputs!$G$5:$G$130="acoes"))*Inputs!$B$1+((Inputs!$G$5:$G$130&lt;&gt;"moeda")*(Inputs!$G$5:$G$130&lt;&gt;"acoes")))*INDEX(Inputs!$K$5:$AJ$130,0,MATCH(AC$2,Inputs!$K$4:$AJ$4,0)))))</f>
        <v>10638</v>
      </c>
      <c r="AD30" s="6">
        <f>IF(ISNA(MATCH(AD$2,Inputs!$K$4:$AJ$4,0)),NA(),IF(SUMPRODUCT((Inputs!$A$5:$A$130=$B30)*ISNUMBER(INDEX(Inputs!$K$5:$AJ$130,0,MATCH(AD$2,Inputs!$K$4:$AJ$4,0))))+SUMPRODUCT((Inputs!$C$5:$C$130=$B30)*ISNUMBER(INDEX(Inputs!$K$5:$AJ$130,0,MATCH(AD$2,Inputs!$K$4:$AJ$4,0))))+SUMPRODUCT((Inputs!$E$5:$E$130=$B30)*ISNUMBER(INDEX(Inputs!$K$5:$AJ$130,0,MATCH(AD$2,Inputs!$K$4:$AJ$4,0))))=0,NA(),SUMPRODUCT((Inputs!$A$5:$A$130=$B30)*Inputs!$B$5:$B$130*(((Inputs!$G$5:$G$130="moeda")+(Inputs!$G$5:$G$130="acoes"))*Inputs!$B$1+((Inputs!$G$5:$G$130&lt;&gt;"moeda")*(Inputs!$G$5:$G$130&lt;&gt;"acoes")))*INDEX(Inputs!$K$5:$AJ$130,0,MATCH(AD$2,Inputs!$K$4:$AJ$4,0)))+SUMPRODUCT((Inputs!$C$5:$C$130=$B30)*Inputs!$D$5:$D$130*(((Inputs!$G$5:$G$130="moeda")+(Inputs!$G$5:$G$130="acoes"))*Inputs!$B$1+((Inputs!$G$5:$G$130&lt;&gt;"moeda")*(Inputs!$G$5:$G$130&lt;&gt;"acoes")))*INDEX(Inputs!$K$5:$AJ$130,0,MATCH(AD$2,Inputs!$K$4:$AJ$4,0)))+SUMPRODUCT((Inputs!$E$5:$E$130=$B30)*Inputs!$F$5:$F$130*(((Inputs!$G$5:$G$130="moeda")+(Inputs!$G$5:$G$130="acoes"))*Inputs!$B$1+((Inputs!$G$5:$G$130&lt;&gt;"moeda")*(Inputs!$G$5:$G$130&lt;&gt;"acoes")))*INDEX(Inputs!$K$5:$AJ$130,0,MATCH(AD$2,Inputs!$K$4:$AJ$4,0)))))</f>
        <v>5206</v>
      </c>
      <c r="AE30" s="6" t="e">
        <f>IF(ISNA(MATCH(AE$2,Inputs!$K$4:$AJ$4,0)),NA(),IF(SUMPRODUCT((Inputs!$A$5:$A$130=$B30)*ISNUMBER(INDEX(Inputs!$K$5:$AJ$130,0,MATCH(AE$2,Inputs!$K$4:$AJ$4,0))))+SUMPRODUCT((Inputs!$C$5:$C$130=$B30)*ISNUMBER(INDEX(Inputs!$K$5:$AJ$130,0,MATCH(AE$2,Inputs!$K$4:$AJ$4,0))))+SUMPRODUCT((Inputs!$E$5:$E$130=$B30)*ISNUMBER(INDEX(Inputs!$K$5:$AJ$130,0,MATCH(AE$2,Inputs!$K$4:$AJ$4,0))))=0,NA(),SUMPRODUCT((Inputs!$A$5:$A$130=$B30)*Inputs!$B$5:$B$130*(((Inputs!$G$5:$G$130="moeda")+(Inputs!$G$5:$G$130="acoes"))*Inputs!$B$1+((Inputs!$G$5:$G$130&lt;&gt;"moeda")*(Inputs!$G$5:$G$130&lt;&gt;"acoes")))*INDEX(Inputs!$K$5:$AJ$130,0,MATCH(AE$2,Inputs!$K$4:$AJ$4,0)))+SUMPRODUCT((Inputs!$C$5:$C$130=$B30)*Inputs!$D$5:$D$130*(((Inputs!$G$5:$G$130="moeda")+(Inputs!$G$5:$G$130="acoes"))*Inputs!$B$1+((Inputs!$G$5:$G$130&lt;&gt;"moeda")*(Inputs!$G$5:$G$130&lt;&gt;"acoes")))*INDEX(Inputs!$K$5:$AJ$130,0,MATCH(AE$2,Inputs!$K$4:$AJ$4,0)))+SUMPRODUCT((Inputs!$E$5:$E$130=$B30)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0" s="6" t="e">
        <f>IF(ISNA(MATCH(AF$2,Inputs!$K$4:$AJ$4,0)),NA(),IF(SUMPRODUCT((Inputs!$A$5:$A$130=$B30)*ISNUMBER(INDEX(Inputs!$K$5:$AJ$130,0,MATCH(AF$2,Inputs!$K$4:$AJ$4,0))))+SUMPRODUCT((Inputs!$C$5:$C$130=$B30)*ISNUMBER(INDEX(Inputs!$K$5:$AJ$130,0,MATCH(AF$2,Inputs!$K$4:$AJ$4,0))))+SUMPRODUCT((Inputs!$E$5:$E$130=$B30)*ISNUMBER(INDEX(Inputs!$K$5:$AJ$130,0,MATCH(AF$2,Inputs!$K$4:$AJ$4,0))))=0,NA(),SUMPRODUCT((Inputs!$A$5:$A$130=$B30)*Inputs!$B$5:$B$130*(((Inputs!$G$5:$G$130="moeda")+(Inputs!$G$5:$G$130="acoes"))*Inputs!$B$1+((Inputs!$G$5:$G$130&lt;&gt;"moeda")*(Inputs!$G$5:$G$130&lt;&gt;"acoes")))*INDEX(Inputs!$K$5:$AJ$130,0,MATCH(AF$2,Inputs!$K$4:$AJ$4,0)))+SUMPRODUCT((Inputs!$C$5:$C$130=$B30)*Inputs!$D$5:$D$130*(((Inputs!$G$5:$G$130="moeda")+(Inputs!$G$5:$G$130="acoes"))*Inputs!$B$1+((Inputs!$G$5:$G$130&lt;&gt;"moeda")*(Inputs!$G$5:$G$130&lt;&gt;"acoes")))*INDEX(Inputs!$K$5:$AJ$130,0,MATCH(AF$2,Inputs!$K$4:$AJ$4,0)))+SUMPRODUCT((Inputs!$E$5:$E$130=$B30)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0" s="3" t="e">
        <f>AF30</f>
        <v>#N/A</v>
      </c>
      <c r="AH30" s="6">
        <f>IF(ISNA(MATCH(AH$2,Inputs!$K$4:$AJ$4,0)),NA(),IF(SUMPRODUCT((Inputs!$A$5:$A$130=$B30)*ISNUMBER(INDEX(Inputs!$K$5:$AJ$130,0,MATCH(AH$2,Inputs!$K$4:$AJ$4,0))))+SUMPRODUCT((Inputs!$C$5:$C$130=$B30)*ISNUMBER(INDEX(Inputs!$K$5:$AJ$130,0,MATCH(AH$2,Inputs!$K$4:$AJ$4,0))))+SUMPRODUCT((Inputs!$E$5:$E$130=$B30)*ISNUMBER(INDEX(Inputs!$K$5:$AJ$130,0,MATCH(AH$2,Inputs!$K$4:$AJ$4,0))))=0,NA(),SUMPRODUCT((Inputs!$A$5:$A$130=$B30)*Inputs!$B$5:$B$130*(((Inputs!$G$5:$G$130="moeda")+(Inputs!$G$5:$G$130="acoes"))*Inputs!$B$1+((Inputs!$G$5:$G$130&lt;&gt;"moeda")*(Inputs!$G$5:$G$130&lt;&gt;"acoes")))*INDEX(Inputs!$K$5:$AJ$130,0,MATCH(AH$2,Inputs!$K$4:$AJ$4,0)))+SUMPRODUCT((Inputs!$C$5:$C$130=$B30)*Inputs!$D$5:$D$130*(((Inputs!$G$5:$G$130="moeda")+(Inputs!$G$5:$G$130="acoes"))*Inputs!$B$1+((Inputs!$G$5:$G$130&lt;&gt;"moeda")*(Inputs!$G$5:$G$130&lt;&gt;"acoes")))*INDEX(Inputs!$K$5:$AJ$130,0,MATCH(AH$2,Inputs!$K$4:$AJ$4,0)))+SUMPRODUCT((Inputs!$E$5:$E$130=$B30)*Inputs!$F$5:$F$130*(((Inputs!$G$5:$G$130="moeda")+(Inputs!$G$5:$G$130="acoes"))*Inputs!$B$1+((Inputs!$G$5:$G$130&lt;&gt;"moeda")*(Inputs!$G$5:$G$130&lt;&gt;"acoes")))*INDEX(Inputs!$K$5:$AJ$130,0,MATCH(AH$2,Inputs!$K$4:$AJ$4,0)))))</f>
        <v>74</v>
      </c>
      <c r="AI30" s="6">
        <f>IF(ISNA(MATCH(AI$2,Inputs!$K$4:$AJ$4,0)),NA(),IF(SUMPRODUCT((Inputs!$A$5:$A$130=$B30)*ISNUMBER(INDEX(Inputs!$K$5:$AJ$130,0,MATCH(AI$2,Inputs!$K$4:$AJ$4,0))))+SUMPRODUCT((Inputs!$C$5:$C$130=$B30)*ISNUMBER(INDEX(Inputs!$K$5:$AJ$130,0,MATCH(AI$2,Inputs!$K$4:$AJ$4,0))))+SUMPRODUCT((Inputs!$E$5:$E$130=$B30)*ISNUMBER(INDEX(Inputs!$K$5:$AJ$130,0,MATCH(AI$2,Inputs!$K$4:$AJ$4,0))))=0,NA(),SUMPRODUCT((Inputs!$A$5:$A$130=$B30)*Inputs!$B$5:$B$130*(((Inputs!$G$5:$G$130="moeda")+(Inputs!$G$5:$G$130="acoes"))*Inputs!$B$1+((Inputs!$G$5:$G$130&lt;&gt;"moeda")*(Inputs!$G$5:$G$130&lt;&gt;"acoes")))*INDEX(Inputs!$K$5:$AJ$130,0,MATCH(AI$2,Inputs!$K$4:$AJ$4,0)))+SUMPRODUCT((Inputs!$C$5:$C$130=$B30)*Inputs!$D$5:$D$130*(((Inputs!$G$5:$G$130="moeda")+(Inputs!$G$5:$G$130="acoes"))*Inputs!$B$1+((Inputs!$G$5:$G$130&lt;&gt;"moeda")*(Inputs!$G$5:$G$130&lt;&gt;"acoes")))*INDEX(Inputs!$K$5:$AJ$130,0,MATCH(AI$2,Inputs!$K$4:$AJ$4,0)))+SUMPRODUCT((Inputs!$E$5:$E$130=$B30)*Inputs!$F$5:$F$130*(((Inputs!$G$5:$G$130="moeda")+(Inputs!$G$5:$G$130="acoes"))*Inputs!$B$1+((Inputs!$G$5:$G$130&lt;&gt;"moeda")*(Inputs!$G$5:$G$130&lt;&gt;"acoes")))*INDEX(Inputs!$K$5:$AJ$130,0,MATCH(AI$2,Inputs!$K$4:$AJ$4,0)))))</f>
        <v>52</v>
      </c>
      <c r="AJ30" s="6">
        <f>IF(ISNA(MATCH(AJ$2,Inputs!$K$4:$AJ$4,0)),NA(),IF(SUMPRODUCT((Inputs!$A$5:$A$130=$B30)*ISNUMBER(INDEX(Inputs!$K$5:$AJ$130,0,MATCH(AJ$2,Inputs!$K$4:$AJ$4,0))))+SUMPRODUCT((Inputs!$C$5:$C$130=$B30)*ISNUMBER(INDEX(Inputs!$K$5:$AJ$130,0,MATCH(AJ$2,Inputs!$K$4:$AJ$4,0))))+SUMPRODUCT((Inputs!$E$5:$E$130=$B30)*ISNUMBER(INDEX(Inputs!$K$5:$AJ$130,0,MATCH(AJ$2,Inputs!$K$4:$AJ$4,0))))=0,NA(),SUMPRODUCT((Inputs!$A$5:$A$130=$B30)*Inputs!$B$5:$B$130*(((Inputs!$G$5:$G$130="moeda")+(Inputs!$G$5:$G$130="acoes"))*Inputs!$B$1+((Inputs!$G$5:$G$130&lt;&gt;"moeda")*(Inputs!$G$5:$G$130&lt;&gt;"acoes")))*INDEX(Inputs!$K$5:$AJ$130,0,MATCH(AJ$2,Inputs!$K$4:$AJ$4,0)))+SUMPRODUCT((Inputs!$C$5:$C$130=$B30)*Inputs!$D$5:$D$130*(((Inputs!$G$5:$G$130="moeda")+(Inputs!$G$5:$G$130="acoes"))*Inputs!$B$1+((Inputs!$G$5:$G$130&lt;&gt;"moeda")*(Inputs!$G$5:$G$130&lt;&gt;"acoes")))*INDEX(Inputs!$K$5:$AJ$130,0,MATCH(AJ$2,Inputs!$K$4:$AJ$4,0)))+SUMPRODUCT((Inputs!$E$5:$E$130=$B30)*Inputs!$F$5:$F$130*(((Inputs!$G$5:$G$130="moeda")+(Inputs!$G$5:$G$130="acoes"))*Inputs!$B$1+((Inputs!$G$5:$G$130&lt;&gt;"moeda")*(Inputs!$G$5:$G$130&lt;&gt;"acoes")))*INDEX(Inputs!$K$5:$AJ$130,0,MATCH(AJ$2,Inputs!$K$4:$AJ$4,0)))))</f>
        <v>70</v>
      </c>
      <c r="AK30" s="6">
        <f>IF(ISNA(MATCH(AK$2,Inputs!$K$4:$AJ$4,0)),NA(),IF(SUMPRODUCT((Inputs!$A$5:$A$130=$B30)*ISNUMBER(INDEX(Inputs!$K$5:$AJ$130,0,MATCH(AK$2,Inputs!$K$4:$AJ$4,0))))+SUMPRODUCT((Inputs!$C$5:$C$130=$B30)*ISNUMBER(INDEX(Inputs!$K$5:$AJ$130,0,MATCH(AK$2,Inputs!$K$4:$AJ$4,0))))+SUMPRODUCT((Inputs!$E$5:$E$130=$B30)*ISNUMBER(INDEX(Inputs!$K$5:$AJ$130,0,MATCH(AK$2,Inputs!$K$4:$AJ$4,0))))=0,NA(),SUMPRODUCT((Inputs!$A$5:$A$130=$B30)*Inputs!$B$5:$B$130*(((Inputs!$G$5:$G$130="moeda")+(Inputs!$G$5:$G$130="acoes"))*Inputs!$B$1+((Inputs!$G$5:$G$130&lt;&gt;"moeda")*(Inputs!$G$5:$G$130&lt;&gt;"acoes")))*INDEX(Inputs!$K$5:$AJ$130,0,MATCH(AK$2,Inputs!$K$4:$AJ$4,0)))+SUMPRODUCT((Inputs!$C$5:$C$130=$B30)*Inputs!$D$5:$D$130*(((Inputs!$G$5:$G$130="moeda")+(Inputs!$G$5:$G$130="acoes"))*Inputs!$B$1+((Inputs!$G$5:$G$130&lt;&gt;"moeda")*(Inputs!$G$5:$G$130&lt;&gt;"acoes")))*INDEX(Inputs!$K$5:$AJ$130,0,MATCH(AK$2,Inputs!$K$4:$AJ$4,0)))+SUMPRODUCT((Inputs!$E$5:$E$130=$B30)*Inputs!$F$5:$F$130*(((Inputs!$G$5:$G$130="moeda")+(Inputs!$G$5:$G$130="acoes"))*Inputs!$B$1+((Inputs!$G$5:$G$130&lt;&gt;"moeda")*(Inputs!$G$5:$G$130&lt;&gt;"acoes")))*INDEX(Inputs!$K$5:$AJ$130,0,MATCH(AK$2,Inputs!$K$4:$AJ$4,0)))))</f>
        <v>61</v>
      </c>
      <c r="AL30" s="3">
        <f>AK30</f>
        <v>61</v>
      </c>
    </row>
    <row r="31">
      <c r="B31" s="46" t="n">
        <v>26</v>
      </c>
      <c r="C31" s="26" t="inlineStr">
        <is>
          <t>Other current liabilities (non-debt)</t>
        </is>
      </c>
      <c r="D31" s="6" t="e">
        <f>IF(ISNA(MATCH(D$2,Inputs!$K$4:$AJ$4,0)),NA(),IF(SUMPRODUCT((Inputs!$A$5:$A$130=$B31)*ISNUMBER(INDEX(Inputs!$K$5:$AJ$130,0,MATCH(D$2,Inputs!$K$4:$AJ$4,0))))+SUMPRODUCT((Inputs!$C$5:$C$130=$B31)*ISNUMBER(INDEX(Inputs!$K$5:$AJ$130,0,MATCH(D$2,Inputs!$K$4:$AJ$4,0))))+SUMPRODUCT((Inputs!$E$5:$E$130=$B31)*ISNUMBER(INDEX(Inputs!$K$5:$AJ$130,0,MATCH(D$2,Inputs!$K$4:$AJ$4,0))))=0,NA(),SUMPRODUCT((Inputs!$A$5:$A$130=$B31)*Inputs!$B$5:$B$130*(((Inputs!$G$5:$G$130="moeda")+(Inputs!$G$5:$G$130="acoes"))*Inputs!$B$1+((Inputs!$G$5:$G$130&lt;&gt;"moeda")*(Inputs!$G$5:$G$130&lt;&gt;"acoes")))*INDEX(Inputs!$K$5:$AJ$130,0,MATCH(D$2,Inputs!$K$4:$AJ$4,0)))+SUMPRODUCT((Inputs!$C$5:$C$130=$B31)*Inputs!$D$5:$D$130*(((Inputs!$G$5:$G$130="moeda")+(Inputs!$G$5:$G$130="acoes"))*Inputs!$B$1+((Inputs!$G$5:$G$130&lt;&gt;"moeda")*(Inputs!$G$5:$G$130&lt;&gt;"acoes")))*INDEX(Inputs!$K$5:$AJ$130,0,MATCH(D$2,Inputs!$K$4:$AJ$4,0)))+SUMPRODUCT((Inputs!$E$5:$E$130=$B31)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31" s="6" t="e">
        <f>IF(ISNA(MATCH(E$2,Inputs!$K$4:$AJ$4,0)),NA(),IF(SUMPRODUCT((Inputs!$A$5:$A$130=$B31)*ISNUMBER(INDEX(Inputs!$K$5:$AJ$130,0,MATCH(E$2,Inputs!$K$4:$AJ$4,0))))+SUMPRODUCT((Inputs!$C$5:$C$130=$B31)*ISNUMBER(INDEX(Inputs!$K$5:$AJ$130,0,MATCH(E$2,Inputs!$K$4:$AJ$4,0))))+SUMPRODUCT((Inputs!$E$5:$E$130=$B31)*ISNUMBER(INDEX(Inputs!$K$5:$AJ$130,0,MATCH(E$2,Inputs!$K$4:$AJ$4,0))))=0,NA(),SUMPRODUCT((Inputs!$A$5:$A$130=$B31)*Inputs!$B$5:$B$130*(((Inputs!$G$5:$G$130="moeda")+(Inputs!$G$5:$G$130="acoes"))*Inputs!$B$1+((Inputs!$G$5:$G$130&lt;&gt;"moeda")*(Inputs!$G$5:$G$130&lt;&gt;"acoes")))*INDEX(Inputs!$K$5:$AJ$130,0,MATCH(E$2,Inputs!$K$4:$AJ$4,0)))+SUMPRODUCT((Inputs!$C$5:$C$130=$B31)*Inputs!$D$5:$D$130*(((Inputs!$G$5:$G$130="moeda")+(Inputs!$G$5:$G$130="acoes"))*Inputs!$B$1+((Inputs!$G$5:$G$130&lt;&gt;"moeda")*(Inputs!$G$5:$G$130&lt;&gt;"acoes")))*INDEX(Inputs!$K$5:$AJ$130,0,MATCH(E$2,Inputs!$K$4:$AJ$4,0)))+SUMPRODUCT((Inputs!$E$5:$E$130=$B31)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31" s="6" t="e">
        <f>IF(ISNA(MATCH(F$2,Inputs!$K$4:$AJ$4,0)),NA(),IF(SUMPRODUCT((Inputs!$A$5:$A$130=$B31)*ISNUMBER(INDEX(Inputs!$K$5:$AJ$130,0,MATCH(F$2,Inputs!$K$4:$AJ$4,0))))+SUMPRODUCT((Inputs!$C$5:$C$130=$B31)*ISNUMBER(INDEX(Inputs!$K$5:$AJ$130,0,MATCH(F$2,Inputs!$K$4:$AJ$4,0))))+SUMPRODUCT((Inputs!$E$5:$E$130=$B31)*ISNUMBER(INDEX(Inputs!$K$5:$AJ$130,0,MATCH(F$2,Inputs!$K$4:$AJ$4,0))))=0,NA(),SUMPRODUCT((Inputs!$A$5:$A$130=$B31)*Inputs!$B$5:$B$130*(((Inputs!$G$5:$G$130="moeda")+(Inputs!$G$5:$G$130="acoes"))*Inputs!$B$1+((Inputs!$G$5:$G$130&lt;&gt;"moeda")*(Inputs!$G$5:$G$130&lt;&gt;"acoes")))*INDEX(Inputs!$K$5:$AJ$130,0,MATCH(F$2,Inputs!$K$4:$AJ$4,0)))+SUMPRODUCT((Inputs!$C$5:$C$130=$B31)*Inputs!$D$5:$D$130*(((Inputs!$G$5:$G$130="moeda")+(Inputs!$G$5:$G$130="acoes"))*Inputs!$B$1+((Inputs!$G$5:$G$130&lt;&gt;"moeda")*(Inputs!$G$5:$G$130&lt;&gt;"acoes")))*INDEX(Inputs!$K$5:$AJ$130,0,MATCH(F$2,Inputs!$K$4:$AJ$4,0)))+SUMPRODUCT((Inputs!$E$5:$E$130=$B31)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31" s="6" t="e">
        <f>IF(ISNA(MATCH(G$2,Inputs!$K$4:$AJ$4,0)),NA(),IF(SUMPRODUCT((Inputs!$A$5:$A$130=$B31)*ISNUMBER(INDEX(Inputs!$K$5:$AJ$130,0,MATCH(G$2,Inputs!$K$4:$AJ$4,0))))+SUMPRODUCT((Inputs!$C$5:$C$130=$B31)*ISNUMBER(INDEX(Inputs!$K$5:$AJ$130,0,MATCH(G$2,Inputs!$K$4:$AJ$4,0))))+SUMPRODUCT((Inputs!$E$5:$E$130=$B31)*ISNUMBER(INDEX(Inputs!$K$5:$AJ$130,0,MATCH(G$2,Inputs!$K$4:$AJ$4,0))))=0,NA(),SUMPRODUCT((Inputs!$A$5:$A$130=$B31)*Inputs!$B$5:$B$130*(((Inputs!$G$5:$G$130="moeda")+(Inputs!$G$5:$G$130="acoes"))*Inputs!$B$1+((Inputs!$G$5:$G$130&lt;&gt;"moeda")*(Inputs!$G$5:$G$130&lt;&gt;"acoes")))*INDEX(Inputs!$K$5:$AJ$130,0,MATCH(G$2,Inputs!$K$4:$AJ$4,0)))+SUMPRODUCT((Inputs!$C$5:$C$130=$B31)*Inputs!$D$5:$D$130*(((Inputs!$G$5:$G$130="moeda")+(Inputs!$G$5:$G$130="acoes"))*Inputs!$B$1+((Inputs!$G$5:$G$130&lt;&gt;"moeda")*(Inputs!$G$5:$G$130&lt;&gt;"acoes")))*INDEX(Inputs!$K$5:$AJ$130,0,MATCH(G$2,Inputs!$K$4:$AJ$4,0)))+SUMPRODUCT((Inputs!$E$5:$E$130=$B31)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31" s="3" t="e">
        <f>G31</f>
        <v>#N/A</v>
      </c>
      <c r="I31" s="6" t="e">
        <f>IF(ISNA(MATCH(I$2,Inputs!$K$4:$AJ$4,0)),NA(),IF(SUMPRODUCT((Inputs!$A$5:$A$130=$B31)*ISNUMBER(INDEX(Inputs!$K$5:$AJ$130,0,MATCH(I$2,Inputs!$K$4:$AJ$4,0))))+SUMPRODUCT((Inputs!$C$5:$C$130=$B31)*ISNUMBER(INDEX(Inputs!$K$5:$AJ$130,0,MATCH(I$2,Inputs!$K$4:$AJ$4,0))))+SUMPRODUCT((Inputs!$E$5:$E$130=$B31)*ISNUMBER(INDEX(Inputs!$K$5:$AJ$130,0,MATCH(I$2,Inputs!$K$4:$AJ$4,0))))=0,NA(),SUMPRODUCT((Inputs!$A$5:$A$130=$B31)*Inputs!$B$5:$B$130*(((Inputs!$G$5:$G$130="moeda")+(Inputs!$G$5:$G$130="acoes"))*Inputs!$B$1+((Inputs!$G$5:$G$130&lt;&gt;"moeda")*(Inputs!$G$5:$G$130&lt;&gt;"acoes")))*INDEX(Inputs!$K$5:$AJ$130,0,MATCH(I$2,Inputs!$K$4:$AJ$4,0)))+SUMPRODUCT((Inputs!$C$5:$C$130=$B31)*Inputs!$D$5:$D$130*(((Inputs!$G$5:$G$130="moeda")+(Inputs!$G$5:$G$130="acoes"))*Inputs!$B$1+((Inputs!$G$5:$G$130&lt;&gt;"moeda")*(Inputs!$G$5:$G$130&lt;&gt;"acoes")))*INDEX(Inputs!$K$5:$AJ$130,0,MATCH(I$2,Inputs!$K$4:$AJ$4,0)))+SUMPRODUCT((Inputs!$E$5:$E$130=$B31)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31" s="6" t="e">
        <f>IF(ISNA(MATCH(J$2,Inputs!$K$4:$AJ$4,0)),NA(),IF(SUMPRODUCT((Inputs!$A$5:$A$130=$B31)*ISNUMBER(INDEX(Inputs!$K$5:$AJ$130,0,MATCH(J$2,Inputs!$K$4:$AJ$4,0))))+SUMPRODUCT((Inputs!$C$5:$C$130=$B31)*ISNUMBER(INDEX(Inputs!$K$5:$AJ$130,0,MATCH(J$2,Inputs!$K$4:$AJ$4,0))))+SUMPRODUCT((Inputs!$E$5:$E$130=$B31)*ISNUMBER(INDEX(Inputs!$K$5:$AJ$130,0,MATCH(J$2,Inputs!$K$4:$AJ$4,0))))=0,NA(),SUMPRODUCT((Inputs!$A$5:$A$130=$B31)*Inputs!$B$5:$B$130*(((Inputs!$G$5:$G$130="moeda")+(Inputs!$G$5:$G$130="acoes"))*Inputs!$B$1+((Inputs!$G$5:$G$130&lt;&gt;"moeda")*(Inputs!$G$5:$G$130&lt;&gt;"acoes")))*INDEX(Inputs!$K$5:$AJ$130,0,MATCH(J$2,Inputs!$K$4:$AJ$4,0)))+SUMPRODUCT((Inputs!$C$5:$C$130=$B31)*Inputs!$D$5:$D$130*(((Inputs!$G$5:$G$130="moeda")+(Inputs!$G$5:$G$130="acoes"))*Inputs!$B$1+((Inputs!$G$5:$G$130&lt;&gt;"moeda")*(Inputs!$G$5:$G$130&lt;&gt;"acoes")))*INDEX(Inputs!$K$5:$AJ$130,0,MATCH(J$2,Inputs!$K$4:$AJ$4,0)))+SUMPRODUCT((Inputs!$E$5:$E$130=$B31)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31" s="6" t="e">
        <f>IF(ISNA(MATCH(K$2,Inputs!$K$4:$AJ$4,0)),NA(),IF(SUMPRODUCT((Inputs!$A$5:$A$130=$B31)*ISNUMBER(INDEX(Inputs!$K$5:$AJ$130,0,MATCH(K$2,Inputs!$K$4:$AJ$4,0))))+SUMPRODUCT((Inputs!$C$5:$C$130=$B31)*ISNUMBER(INDEX(Inputs!$K$5:$AJ$130,0,MATCH(K$2,Inputs!$K$4:$AJ$4,0))))+SUMPRODUCT((Inputs!$E$5:$E$130=$B31)*ISNUMBER(INDEX(Inputs!$K$5:$AJ$130,0,MATCH(K$2,Inputs!$K$4:$AJ$4,0))))=0,NA(),SUMPRODUCT((Inputs!$A$5:$A$130=$B31)*Inputs!$B$5:$B$130*(((Inputs!$G$5:$G$130="moeda")+(Inputs!$G$5:$G$130="acoes"))*Inputs!$B$1+((Inputs!$G$5:$G$130&lt;&gt;"moeda")*(Inputs!$G$5:$G$130&lt;&gt;"acoes")))*INDEX(Inputs!$K$5:$AJ$130,0,MATCH(K$2,Inputs!$K$4:$AJ$4,0)))+SUMPRODUCT((Inputs!$C$5:$C$130=$B31)*Inputs!$D$5:$D$130*(((Inputs!$G$5:$G$130="moeda")+(Inputs!$G$5:$G$130="acoes"))*Inputs!$B$1+((Inputs!$G$5:$G$130&lt;&gt;"moeda")*(Inputs!$G$5:$G$130&lt;&gt;"acoes")))*INDEX(Inputs!$K$5:$AJ$130,0,MATCH(K$2,Inputs!$K$4:$AJ$4,0)))+SUMPRODUCT((Inputs!$E$5:$E$130=$B31)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31" s="6" t="e">
        <f>IF(ISNA(MATCH(L$2,Inputs!$K$4:$AJ$4,0)),NA(),IF(SUMPRODUCT((Inputs!$A$5:$A$130=$B31)*ISNUMBER(INDEX(Inputs!$K$5:$AJ$130,0,MATCH(L$2,Inputs!$K$4:$AJ$4,0))))+SUMPRODUCT((Inputs!$C$5:$C$130=$B31)*ISNUMBER(INDEX(Inputs!$K$5:$AJ$130,0,MATCH(L$2,Inputs!$K$4:$AJ$4,0))))+SUMPRODUCT((Inputs!$E$5:$E$130=$B31)*ISNUMBER(INDEX(Inputs!$K$5:$AJ$130,0,MATCH(L$2,Inputs!$K$4:$AJ$4,0))))=0,NA(),SUMPRODUCT((Inputs!$A$5:$A$130=$B31)*Inputs!$B$5:$B$130*(((Inputs!$G$5:$G$130="moeda")+(Inputs!$G$5:$G$130="acoes"))*Inputs!$B$1+((Inputs!$G$5:$G$130&lt;&gt;"moeda")*(Inputs!$G$5:$G$130&lt;&gt;"acoes")))*INDEX(Inputs!$K$5:$AJ$130,0,MATCH(L$2,Inputs!$K$4:$AJ$4,0)))+SUMPRODUCT((Inputs!$C$5:$C$130=$B31)*Inputs!$D$5:$D$130*(((Inputs!$G$5:$G$130="moeda")+(Inputs!$G$5:$G$130="acoes"))*Inputs!$B$1+((Inputs!$G$5:$G$130&lt;&gt;"moeda")*(Inputs!$G$5:$G$130&lt;&gt;"acoes")))*INDEX(Inputs!$K$5:$AJ$130,0,MATCH(L$2,Inputs!$K$4:$AJ$4,0)))+SUMPRODUCT((Inputs!$E$5:$E$130=$B31)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31" s="3" t="e">
        <f>L31</f>
        <v>#N/A</v>
      </c>
      <c r="N31" s="6" t="e">
        <f>IF(ISNA(MATCH(N$2,Inputs!$K$4:$AJ$4,0)),NA(),IF(SUMPRODUCT((Inputs!$A$5:$A$130=$B31)*ISNUMBER(INDEX(Inputs!$K$5:$AJ$130,0,MATCH(N$2,Inputs!$K$4:$AJ$4,0))))+SUMPRODUCT((Inputs!$C$5:$C$130=$B31)*ISNUMBER(INDEX(Inputs!$K$5:$AJ$130,0,MATCH(N$2,Inputs!$K$4:$AJ$4,0))))+SUMPRODUCT((Inputs!$E$5:$E$130=$B31)*ISNUMBER(INDEX(Inputs!$K$5:$AJ$130,0,MATCH(N$2,Inputs!$K$4:$AJ$4,0))))=0,NA(),SUMPRODUCT((Inputs!$A$5:$A$130=$B31)*Inputs!$B$5:$B$130*(((Inputs!$G$5:$G$130="moeda")+(Inputs!$G$5:$G$130="acoes"))*Inputs!$B$1+((Inputs!$G$5:$G$130&lt;&gt;"moeda")*(Inputs!$G$5:$G$130&lt;&gt;"acoes")))*INDEX(Inputs!$K$5:$AJ$130,0,MATCH(N$2,Inputs!$K$4:$AJ$4,0)))+SUMPRODUCT((Inputs!$C$5:$C$130=$B31)*Inputs!$D$5:$D$130*(((Inputs!$G$5:$G$130="moeda")+(Inputs!$G$5:$G$130="acoes"))*Inputs!$B$1+((Inputs!$G$5:$G$130&lt;&gt;"moeda")*(Inputs!$G$5:$G$130&lt;&gt;"acoes")))*INDEX(Inputs!$K$5:$AJ$130,0,MATCH(N$2,Inputs!$K$4:$AJ$4,0)))+SUMPRODUCT((Inputs!$E$5:$E$130=$B31)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31" s="6" t="e">
        <f>IF(ISNA(MATCH(O$2,Inputs!$K$4:$AJ$4,0)),NA(),IF(SUMPRODUCT((Inputs!$A$5:$A$130=$B31)*ISNUMBER(INDEX(Inputs!$K$5:$AJ$130,0,MATCH(O$2,Inputs!$K$4:$AJ$4,0))))+SUMPRODUCT((Inputs!$C$5:$C$130=$B31)*ISNUMBER(INDEX(Inputs!$K$5:$AJ$130,0,MATCH(O$2,Inputs!$K$4:$AJ$4,0))))+SUMPRODUCT((Inputs!$E$5:$E$130=$B31)*ISNUMBER(INDEX(Inputs!$K$5:$AJ$130,0,MATCH(O$2,Inputs!$K$4:$AJ$4,0))))=0,NA(),SUMPRODUCT((Inputs!$A$5:$A$130=$B31)*Inputs!$B$5:$B$130*(((Inputs!$G$5:$G$130="moeda")+(Inputs!$G$5:$G$130="acoes"))*Inputs!$B$1+((Inputs!$G$5:$G$130&lt;&gt;"moeda")*(Inputs!$G$5:$G$130&lt;&gt;"acoes")))*INDEX(Inputs!$K$5:$AJ$130,0,MATCH(O$2,Inputs!$K$4:$AJ$4,0)))+SUMPRODUCT((Inputs!$C$5:$C$130=$B31)*Inputs!$D$5:$D$130*(((Inputs!$G$5:$G$130="moeda")+(Inputs!$G$5:$G$130="acoes"))*Inputs!$B$1+((Inputs!$G$5:$G$130&lt;&gt;"moeda")*(Inputs!$G$5:$G$130&lt;&gt;"acoes")))*INDEX(Inputs!$K$5:$AJ$130,0,MATCH(O$2,Inputs!$K$4:$AJ$4,0)))+SUMPRODUCT((Inputs!$E$5:$E$130=$B31)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31" s="6" t="e">
        <f>IF(ISNA(MATCH(P$2,Inputs!$K$4:$AJ$4,0)),NA(),IF(SUMPRODUCT((Inputs!$A$5:$A$130=$B31)*ISNUMBER(INDEX(Inputs!$K$5:$AJ$130,0,MATCH(P$2,Inputs!$K$4:$AJ$4,0))))+SUMPRODUCT((Inputs!$C$5:$C$130=$B31)*ISNUMBER(INDEX(Inputs!$K$5:$AJ$130,0,MATCH(P$2,Inputs!$K$4:$AJ$4,0))))+SUMPRODUCT((Inputs!$E$5:$E$130=$B31)*ISNUMBER(INDEX(Inputs!$K$5:$AJ$130,0,MATCH(P$2,Inputs!$K$4:$AJ$4,0))))=0,NA(),SUMPRODUCT((Inputs!$A$5:$A$130=$B31)*Inputs!$B$5:$B$130*(((Inputs!$G$5:$G$130="moeda")+(Inputs!$G$5:$G$130="acoes"))*Inputs!$B$1+((Inputs!$G$5:$G$130&lt;&gt;"moeda")*(Inputs!$G$5:$G$130&lt;&gt;"acoes")))*INDEX(Inputs!$K$5:$AJ$130,0,MATCH(P$2,Inputs!$K$4:$AJ$4,0)))+SUMPRODUCT((Inputs!$C$5:$C$130=$B31)*Inputs!$D$5:$D$130*(((Inputs!$G$5:$G$130="moeda")+(Inputs!$G$5:$G$130="acoes"))*Inputs!$B$1+((Inputs!$G$5:$G$130&lt;&gt;"moeda")*(Inputs!$G$5:$G$130&lt;&gt;"acoes")))*INDEX(Inputs!$K$5:$AJ$130,0,MATCH(P$2,Inputs!$K$4:$AJ$4,0)))+SUMPRODUCT((Inputs!$E$5:$E$130=$B31)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31" s="6" t="e">
        <f>IF(ISNA(MATCH(Q$2,Inputs!$K$4:$AJ$4,0)),NA(),IF(SUMPRODUCT((Inputs!$A$5:$A$130=$B31)*ISNUMBER(INDEX(Inputs!$K$5:$AJ$130,0,MATCH(Q$2,Inputs!$K$4:$AJ$4,0))))+SUMPRODUCT((Inputs!$C$5:$C$130=$B31)*ISNUMBER(INDEX(Inputs!$K$5:$AJ$130,0,MATCH(Q$2,Inputs!$K$4:$AJ$4,0))))+SUMPRODUCT((Inputs!$E$5:$E$130=$B31)*ISNUMBER(INDEX(Inputs!$K$5:$AJ$130,0,MATCH(Q$2,Inputs!$K$4:$AJ$4,0))))=0,NA(),SUMPRODUCT((Inputs!$A$5:$A$130=$B31)*Inputs!$B$5:$B$130*(((Inputs!$G$5:$G$130="moeda")+(Inputs!$G$5:$G$130="acoes"))*Inputs!$B$1+((Inputs!$G$5:$G$130&lt;&gt;"moeda")*(Inputs!$G$5:$G$130&lt;&gt;"acoes")))*INDEX(Inputs!$K$5:$AJ$130,0,MATCH(Q$2,Inputs!$K$4:$AJ$4,0)))+SUMPRODUCT((Inputs!$C$5:$C$130=$B31)*Inputs!$D$5:$D$130*(((Inputs!$G$5:$G$130="moeda")+(Inputs!$G$5:$G$130="acoes"))*Inputs!$B$1+((Inputs!$G$5:$G$130&lt;&gt;"moeda")*(Inputs!$G$5:$G$130&lt;&gt;"acoes")))*INDEX(Inputs!$K$5:$AJ$130,0,MATCH(Q$2,Inputs!$K$4:$AJ$4,0)))+SUMPRODUCT((Inputs!$E$5:$E$130=$B31)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31" s="3" t="e">
        <f>Q31</f>
        <v>#N/A</v>
      </c>
      <c r="S31" s="6" t="e">
        <f>IF(ISNA(MATCH(S$2,Inputs!$K$4:$AJ$4,0)),NA(),IF(SUMPRODUCT((Inputs!$A$5:$A$130=$B31)*ISNUMBER(INDEX(Inputs!$K$5:$AJ$130,0,MATCH(S$2,Inputs!$K$4:$AJ$4,0))))+SUMPRODUCT((Inputs!$C$5:$C$130=$B31)*ISNUMBER(INDEX(Inputs!$K$5:$AJ$130,0,MATCH(S$2,Inputs!$K$4:$AJ$4,0))))+SUMPRODUCT((Inputs!$E$5:$E$130=$B31)*ISNUMBER(INDEX(Inputs!$K$5:$AJ$130,0,MATCH(S$2,Inputs!$K$4:$AJ$4,0))))=0,NA(),SUMPRODUCT((Inputs!$A$5:$A$130=$B31)*Inputs!$B$5:$B$130*(((Inputs!$G$5:$G$130="moeda")+(Inputs!$G$5:$G$130="acoes"))*Inputs!$B$1+((Inputs!$G$5:$G$130&lt;&gt;"moeda")*(Inputs!$G$5:$G$130&lt;&gt;"acoes")))*INDEX(Inputs!$K$5:$AJ$130,0,MATCH(S$2,Inputs!$K$4:$AJ$4,0)))+SUMPRODUCT((Inputs!$C$5:$C$130=$B31)*Inputs!$D$5:$D$130*(((Inputs!$G$5:$G$130="moeda")+(Inputs!$G$5:$G$130="acoes"))*Inputs!$B$1+((Inputs!$G$5:$G$130&lt;&gt;"moeda")*(Inputs!$G$5:$G$130&lt;&gt;"acoes")))*INDEX(Inputs!$K$5:$AJ$130,0,MATCH(S$2,Inputs!$K$4:$AJ$4,0)))+SUMPRODUCT((Inputs!$E$5:$E$130=$B31)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31" s="6" t="e">
        <f>IF(ISNA(MATCH(T$2,Inputs!$K$4:$AJ$4,0)),NA(),IF(SUMPRODUCT((Inputs!$A$5:$A$130=$B31)*ISNUMBER(INDEX(Inputs!$K$5:$AJ$130,0,MATCH(T$2,Inputs!$K$4:$AJ$4,0))))+SUMPRODUCT((Inputs!$C$5:$C$130=$B31)*ISNUMBER(INDEX(Inputs!$K$5:$AJ$130,0,MATCH(T$2,Inputs!$K$4:$AJ$4,0))))+SUMPRODUCT((Inputs!$E$5:$E$130=$B31)*ISNUMBER(INDEX(Inputs!$K$5:$AJ$130,0,MATCH(T$2,Inputs!$K$4:$AJ$4,0))))=0,NA(),SUMPRODUCT((Inputs!$A$5:$A$130=$B31)*Inputs!$B$5:$B$130*(((Inputs!$G$5:$G$130="moeda")+(Inputs!$G$5:$G$130="acoes"))*Inputs!$B$1+((Inputs!$G$5:$G$130&lt;&gt;"moeda")*(Inputs!$G$5:$G$130&lt;&gt;"acoes")))*INDEX(Inputs!$K$5:$AJ$130,0,MATCH(T$2,Inputs!$K$4:$AJ$4,0)))+SUMPRODUCT((Inputs!$C$5:$C$130=$B31)*Inputs!$D$5:$D$130*(((Inputs!$G$5:$G$130="moeda")+(Inputs!$G$5:$G$130="acoes"))*Inputs!$B$1+((Inputs!$G$5:$G$130&lt;&gt;"moeda")*(Inputs!$G$5:$G$130&lt;&gt;"acoes")))*INDEX(Inputs!$K$5:$AJ$130,0,MATCH(T$2,Inputs!$K$4:$AJ$4,0)))+SUMPRODUCT((Inputs!$E$5:$E$130=$B31)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31" s="6" t="e">
        <f>IF(ISNA(MATCH(U$2,Inputs!$K$4:$AJ$4,0)),NA(),IF(SUMPRODUCT((Inputs!$A$5:$A$130=$B31)*ISNUMBER(INDEX(Inputs!$K$5:$AJ$130,0,MATCH(U$2,Inputs!$K$4:$AJ$4,0))))+SUMPRODUCT((Inputs!$C$5:$C$130=$B31)*ISNUMBER(INDEX(Inputs!$K$5:$AJ$130,0,MATCH(U$2,Inputs!$K$4:$AJ$4,0))))+SUMPRODUCT((Inputs!$E$5:$E$130=$B31)*ISNUMBER(INDEX(Inputs!$K$5:$AJ$130,0,MATCH(U$2,Inputs!$K$4:$AJ$4,0))))=0,NA(),SUMPRODUCT((Inputs!$A$5:$A$130=$B31)*Inputs!$B$5:$B$130*(((Inputs!$G$5:$G$130="moeda")+(Inputs!$G$5:$G$130="acoes"))*Inputs!$B$1+((Inputs!$G$5:$G$130&lt;&gt;"moeda")*(Inputs!$G$5:$G$130&lt;&gt;"acoes")))*INDEX(Inputs!$K$5:$AJ$130,0,MATCH(U$2,Inputs!$K$4:$AJ$4,0)))+SUMPRODUCT((Inputs!$C$5:$C$130=$B31)*Inputs!$D$5:$D$130*(((Inputs!$G$5:$G$130="moeda")+(Inputs!$G$5:$G$130="acoes"))*Inputs!$B$1+((Inputs!$G$5:$G$130&lt;&gt;"moeda")*(Inputs!$G$5:$G$130&lt;&gt;"acoes")))*INDEX(Inputs!$K$5:$AJ$130,0,MATCH(U$2,Inputs!$K$4:$AJ$4,0)))+SUMPRODUCT((Inputs!$E$5:$E$130=$B31)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31" s="6" t="e">
        <f>IF(ISNA(MATCH(V$2,Inputs!$K$4:$AJ$4,0)),NA(),IF(SUMPRODUCT((Inputs!$A$5:$A$130=$B31)*ISNUMBER(INDEX(Inputs!$K$5:$AJ$130,0,MATCH(V$2,Inputs!$K$4:$AJ$4,0))))+SUMPRODUCT((Inputs!$C$5:$C$130=$B31)*ISNUMBER(INDEX(Inputs!$K$5:$AJ$130,0,MATCH(V$2,Inputs!$K$4:$AJ$4,0))))+SUMPRODUCT((Inputs!$E$5:$E$130=$B31)*ISNUMBER(INDEX(Inputs!$K$5:$AJ$130,0,MATCH(V$2,Inputs!$K$4:$AJ$4,0))))=0,NA(),SUMPRODUCT((Inputs!$A$5:$A$130=$B31)*Inputs!$B$5:$B$130*(((Inputs!$G$5:$G$130="moeda")+(Inputs!$G$5:$G$130="acoes"))*Inputs!$B$1+((Inputs!$G$5:$G$130&lt;&gt;"moeda")*(Inputs!$G$5:$G$130&lt;&gt;"acoes")))*INDEX(Inputs!$K$5:$AJ$130,0,MATCH(V$2,Inputs!$K$4:$AJ$4,0)))+SUMPRODUCT((Inputs!$C$5:$C$130=$B31)*Inputs!$D$5:$D$130*(((Inputs!$G$5:$G$130="moeda")+(Inputs!$G$5:$G$130="acoes"))*Inputs!$B$1+((Inputs!$G$5:$G$130&lt;&gt;"moeda")*(Inputs!$G$5:$G$130&lt;&gt;"acoes")))*INDEX(Inputs!$K$5:$AJ$130,0,MATCH(V$2,Inputs!$K$4:$AJ$4,0)))+SUMPRODUCT((Inputs!$E$5:$E$130=$B31)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31" s="3" t="e">
        <f>V31</f>
        <v>#N/A</v>
      </c>
      <c r="X31" s="6" t="e">
        <f>IF(ISNA(MATCH(X$2,Inputs!$K$4:$AJ$4,0)),NA(),IF(SUMPRODUCT((Inputs!$A$5:$A$130=$B31)*ISNUMBER(INDEX(Inputs!$K$5:$AJ$130,0,MATCH(X$2,Inputs!$K$4:$AJ$4,0))))+SUMPRODUCT((Inputs!$C$5:$C$130=$B31)*ISNUMBER(INDEX(Inputs!$K$5:$AJ$130,0,MATCH(X$2,Inputs!$K$4:$AJ$4,0))))+SUMPRODUCT((Inputs!$E$5:$E$130=$B31)*ISNUMBER(INDEX(Inputs!$K$5:$AJ$130,0,MATCH(X$2,Inputs!$K$4:$AJ$4,0))))=0,NA(),SUMPRODUCT((Inputs!$A$5:$A$130=$B31)*Inputs!$B$5:$B$130*(((Inputs!$G$5:$G$130="moeda")+(Inputs!$G$5:$G$130="acoes"))*Inputs!$B$1+((Inputs!$G$5:$G$130&lt;&gt;"moeda")*(Inputs!$G$5:$G$130&lt;&gt;"acoes")))*INDEX(Inputs!$K$5:$AJ$130,0,MATCH(X$2,Inputs!$K$4:$AJ$4,0)))+SUMPRODUCT((Inputs!$C$5:$C$130=$B31)*Inputs!$D$5:$D$130*(((Inputs!$G$5:$G$130="moeda")+(Inputs!$G$5:$G$130="acoes"))*Inputs!$B$1+((Inputs!$G$5:$G$130&lt;&gt;"moeda")*(Inputs!$G$5:$G$130&lt;&gt;"acoes")))*INDEX(Inputs!$K$5:$AJ$130,0,MATCH(X$2,Inputs!$K$4:$AJ$4,0)))+SUMPRODUCT((Inputs!$E$5:$E$130=$B31)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31" s="6" t="e">
        <f>IF(ISNA(MATCH(Y$2,Inputs!$K$4:$AJ$4,0)),NA(),IF(SUMPRODUCT((Inputs!$A$5:$A$130=$B31)*ISNUMBER(INDEX(Inputs!$K$5:$AJ$130,0,MATCH(Y$2,Inputs!$K$4:$AJ$4,0))))+SUMPRODUCT((Inputs!$C$5:$C$130=$B31)*ISNUMBER(INDEX(Inputs!$K$5:$AJ$130,0,MATCH(Y$2,Inputs!$K$4:$AJ$4,0))))+SUMPRODUCT((Inputs!$E$5:$E$130=$B31)*ISNUMBER(INDEX(Inputs!$K$5:$AJ$130,0,MATCH(Y$2,Inputs!$K$4:$AJ$4,0))))=0,NA(),SUMPRODUCT((Inputs!$A$5:$A$130=$B31)*Inputs!$B$5:$B$130*(((Inputs!$G$5:$G$130="moeda")+(Inputs!$G$5:$G$130="acoes"))*Inputs!$B$1+((Inputs!$G$5:$G$130&lt;&gt;"moeda")*(Inputs!$G$5:$G$130&lt;&gt;"acoes")))*INDEX(Inputs!$K$5:$AJ$130,0,MATCH(Y$2,Inputs!$K$4:$AJ$4,0)))+SUMPRODUCT((Inputs!$C$5:$C$130=$B31)*Inputs!$D$5:$D$130*(((Inputs!$G$5:$G$130="moeda")+(Inputs!$G$5:$G$130="acoes"))*Inputs!$B$1+((Inputs!$G$5:$G$130&lt;&gt;"moeda")*(Inputs!$G$5:$G$130&lt;&gt;"acoes")))*INDEX(Inputs!$K$5:$AJ$130,0,MATCH(Y$2,Inputs!$K$4:$AJ$4,0)))+SUMPRODUCT((Inputs!$E$5:$E$130=$B31)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31" s="6" t="e">
        <f>IF(ISNA(MATCH(Z$2,Inputs!$K$4:$AJ$4,0)),NA(),IF(SUMPRODUCT((Inputs!$A$5:$A$130=$B31)*ISNUMBER(INDEX(Inputs!$K$5:$AJ$130,0,MATCH(Z$2,Inputs!$K$4:$AJ$4,0))))+SUMPRODUCT((Inputs!$C$5:$C$130=$B31)*ISNUMBER(INDEX(Inputs!$K$5:$AJ$130,0,MATCH(Z$2,Inputs!$K$4:$AJ$4,0))))+SUMPRODUCT((Inputs!$E$5:$E$130=$B31)*ISNUMBER(INDEX(Inputs!$K$5:$AJ$130,0,MATCH(Z$2,Inputs!$K$4:$AJ$4,0))))=0,NA(),SUMPRODUCT((Inputs!$A$5:$A$130=$B31)*Inputs!$B$5:$B$130*(((Inputs!$G$5:$G$130="moeda")+(Inputs!$G$5:$G$130="acoes"))*Inputs!$B$1+((Inputs!$G$5:$G$130&lt;&gt;"moeda")*(Inputs!$G$5:$G$130&lt;&gt;"acoes")))*INDEX(Inputs!$K$5:$AJ$130,0,MATCH(Z$2,Inputs!$K$4:$AJ$4,0)))+SUMPRODUCT((Inputs!$C$5:$C$130=$B31)*Inputs!$D$5:$D$130*(((Inputs!$G$5:$G$130="moeda")+(Inputs!$G$5:$G$130="acoes"))*Inputs!$B$1+((Inputs!$G$5:$G$130&lt;&gt;"moeda")*(Inputs!$G$5:$G$130&lt;&gt;"acoes")))*INDEX(Inputs!$K$5:$AJ$130,0,MATCH(Z$2,Inputs!$K$4:$AJ$4,0)))+SUMPRODUCT((Inputs!$E$5:$E$130=$B31)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31" s="6" t="e">
        <f>IF(ISNA(MATCH(AA$2,Inputs!$K$4:$AJ$4,0)),NA(),IF(SUMPRODUCT((Inputs!$A$5:$A$130=$B31)*ISNUMBER(INDEX(Inputs!$K$5:$AJ$130,0,MATCH(AA$2,Inputs!$K$4:$AJ$4,0))))+SUMPRODUCT((Inputs!$C$5:$C$130=$B31)*ISNUMBER(INDEX(Inputs!$K$5:$AJ$130,0,MATCH(AA$2,Inputs!$K$4:$AJ$4,0))))+SUMPRODUCT((Inputs!$E$5:$E$130=$B31)*ISNUMBER(INDEX(Inputs!$K$5:$AJ$130,0,MATCH(AA$2,Inputs!$K$4:$AJ$4,0))))=0,NA(),SUMPRODUCT((Inputs!$A$5:$A$130=$B31)*Inputs!$B$5:$B$130*(((Inputs!$G$5:$G$130="moeda")+(Inputs!$G$5:$G$130="acoes"))*Inputs!$B$1+((Inputs!$G$5:$G$130&lt;&gt;"moeda")*(Inputs!$G$5:$G$130&lt;&gt;"acoes")))*INDEX(Inputs!$K$5:$AJ$130,0,MATCH(AA$2,Inputs!$K$4:$AJ$4,0)))+SUMPRODUCT((Inputs!$C$5:$C$130=$B31)*Inputs!$D$5:$D$130*(((Inputs!$G$5:$G$130="moeda")+(Inputs!$G$5:$G$130="acoes"))*Inputs!$B$1+((Inputs!$G$5:$G$130&lt;&gt;"moeda")*(Inputs!$G$5:$G$130&lt;&gt;"acoes")))*INDEX(Inputs!$K$5:$AJ$130,0,MATCH(AA$2,Inputs!$K$4:$AJ$4,0)))+SUMPRODUCT((Inputs!$E$5:$E$130=$B31)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31" s="3" t="e">
        <f>AA31</f>
        <v>#N/A</v>
      </c>
      <c r="AC31" s="6" t="e">
        <f>IF(ISNA(MATCH(AC$2,Inputs!$K$4:$AJ$4,0)),NA(),IF(SUMPRODUCT((Inputs!$A$5:$A$130=$B31)*ISNUMBER(INDEX(Inputs!$K$5:$AJ$130,0,MATCH(AC$2,Inputs!$K$4:$AJ$4,0))))+SUMPRODUCT((Inputs!$C$5:$C$130=$B31)*ISNUMBER(INDEX(Inputs!$K$5:$AJ$130,0,MATCH(AC$2,Inputs!$K$4:$AJ$4,0))))+SUMPRODUCT((Inputs!$E$5:$E$130=$B31)*ISNUMBER(INDEX(Inputs!$K$5:$AJ$130,0,MATCH(AC$2,Inputs!$K$4:$AJ$4,0))))=0,NA(),SUMPRODUCT((Inputs!$A$5:$A$130=$B31)*Inputs!$B$5:$B$130*(((Inputs!$G$5:$G$130="moeda")+(Inputs!$G$5:$G$130="acoes"))*Inputs!$B$1+((Inputs!$G$5:$G$130&lt;&gt;"moeda")*(Inputs!$G$5:$G$130&lt;&gt;"acoes")))*INDEX(Inputs!$K$5:$AJ$130,0,MATCH(AC$2,Inputs!$K$4:$AJ$4,0)))+SUMPRODUCT((Inputs!$C$5:$C$130=$B31)*Inputs!$D$5:$D$130*(((Inputs!$G$5:$G$130="moeda")+(Inputs!$G$5:$G$130="acoes"))*Inputs!$B$1+((Inputs!$G$5:$G$130&lt;&gt;"moeda")*(Inputs!$G$5:$G$130&lt;&gt;"acoes")))*INDEX(Inputs!$K$5:$AJ$130,0,MATCH(AC$2,Inputs!$K$4:$AJ$4,0)))+SUMPRODUCT((Inputs!$E$5:$E$130=$B31)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31" s="6" t="e">
        <f>IF(ISNA(MATCH(AD$2,Inputs!$K$4:$AJ$4,0)),NA(),IF(SUMPRODUCT((Inputs!$A$5:$A$130=$B31)*ISNUMBER(INDEX(Inputs!$K$5:$AJ$130,0,MATCH(AD$2,Inputs!$K$4:$AJ$4,0))))+SUMPRODUCT((Inputs!$C$5:$C$130=$B31)*ISNUMBER(INDEX(Inputs!$K$5:$AJ$130,0,MATCH(AD$2,Inputs!$K$4:$AJ$4,0))))+SUMPRODUCT((Inputs!$E$5:$E$130=$B31)*ISNUMBER(INDEX(Inputs!$K$5:$AJ$130,0,MATCH(AD$2,Inputs!$K$4:$AJ$4,0))))=0,NA(),SUMPRODUCT((Inputs!$A$5:$A$130=$B31)*Inputs!$B$5:$B$130*(((Inputs!$G$5:$G$130="moeda")+(Inputs!$G$5:$G$130="acoes"))*Inputs!$B$1+((Inputs!$G$5:$G$130&lt;&gt;"moeda")*(Inputs!$G$5:$G$130&lt;&gt;"acoes")))*INDEX(Inputs!$K$5:$AJ$130,0,MATCH(AD$2,Inputs!$K$4:$AJ$4,0)))+SUMPRODUCT((Inputs!$C$5:$C$130=$B31)*Inputs!$D$5:$D$130*(((Inputs!$G$5:$G$130="moeda")+(Inputs!$G$5:$G$130="acoes"))*Inputs!$B$1+((Inputs!$G$5:$G$130&lt;&gt;"moeda")*(Inputs!$G$5:$G$130&lt;&gt;"acoes")))*INDEX(Inputs!$K$5:$AJ$130,0,MATCH(AD$2,Inputs!$K$4:$AJ$4,0)))+SUMPRODUCT((Inputs!$E$5:$E$130=$B31)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31" s="6" t="e">
        <f>IF(ISNA(MATCH(AE$2,Inputs!$K$4:$AJ$4,0)),NA(),IF(SUMPRODUCT((Inputs!$A$5:$A$130=$B31)*ISNUMBER(INDEX(Inputs!$K$5:$AJ$130,0,MATCH(AE$2,Inputs!$K$4:$AJ$4,0))))+SUMPRODUCT((Inputs!$C$5:$C$130=$B31)*ISNUMBER(INDEX(Inputs!$K$5:$AJ$130,0,MATCH(AE$2,Inputs!$K$4:$AJ$4,0))))+SUMPRODUCT((Inputs!$E$5:$E$130=$B31)*ISNUMBER(INDEX(Inputs!$K$5:$AJ$130,0,MATCH(AE$2,Inputs!$K$4:$AJ$4,0))))=0,NA(),SUMPRODUCT((Inputs!$A$5:$A$130=$B31)*Inputs!$B$5:$B$130*(((Inputs!$G$5:$G$130="moeda")+(Inputs!$G$5:$G$130="acoes"))*Inputs!$B$1+((Inputs!$G$5:$G$130&lt;&gt;"moeda")*(Inputs!$G$5:$G$130&lt;&gt;"acoes")))*INDEX(Inputs!$K$5:$AJ$130,0,MATCH(AE$2,Inputs!$K$4:$AJ$4,0)))+SUMPRODUCT((Inputs!$C$5:$C$130=$B31)*Inputs!$D$5:$D$130*(((Inputs!$G$5:$G$130="moeda")+(Inputs!$G$5:$G$130="acoes"))*Inputs!$B$1+((Inputs!$G$5:$G$130&lt;&gt;"moeda")*(Inputs!$G$5:$G$130&lt;&gt;"acoes")))*INDEX(Inputs!$K$5:$AJ$130,0,MATCH(AE$2,Inputs!$K$4:$AJ$4,0)))+SUMPRODUCT((Inputs!$E$5:$E$130=$B31)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1" s="6" t="e">
        <f>IF(ISNA(MATCH(AF$2,Inputs!$K$4:$AJ$4,0)),NA(),IF(SUMPRODUCT((Inputs!$A$5:$A$130=$B31)*ISNUMBER(INDEX(Inputs!$K$5:$AJ$130,0,MATCH(AF$2,Inputs!$K$4:$AJ$4,0))))+SUMPRODUCT((Inputs!$C$5:$C$130=$B31)*ISNUMBER(INDEX(Inputs!$K$5:$AJ$130,0,MATCH(AF$2,Inputs!$K$4:$AJ$4,0))))+SUMPRODUCT((Inputs!$E$5:$E$130=$B31)*ISNUMBER(INDEX(Inputs!$K$5:$AJ$130,0,MATCH(AF$2,Inputs!$K$4:$AJ$4,0))))=0,NA(),SUMPRODUCT((Inputs!$A$5:$A$130=$B31)*Inputs!$B$5:$B$130*(((Inputs!$G$5:$G$130="moeda")+(Inputs!$G$5:$G$130="acoes"))*Inputs!$B$1+((Inputs!$G$5:$G$130&lt;&gt;"moeda")*(Inputs!$G$5:$G$130&lt;&gt;"acoes")))*INDEX(Inputs!$K$5:$AJ$130,0,MATCH(AF$2,Inputs!$K$4:$AJ$4,0)))+SUMPRODUCT((Inputs!$C$5:$C$130=$B31)*Inputs!$D$5:$D$130*(((Inputs!$G$5:$G$130="moeda")+(Inputs!$G$5:$G$130="acoes"))*Inputs!$B$1+((Inputs!$G$5:$G$130&lt;&gt;"moeda")*(Inputs!$G$5:$G$130&lt;&gt;"acoes")))*INDEX(Inputs!$K$5:$AJ$130,0,MATCH(AF$2,Inputs!$K$4:$AJ$4,0)))+SUMPRODUCT((Inputs!$E$5:$E$130=$B31)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1" s="3" t="e">
        <f>AF31</f>
        <v>#N/A</v>
      </c>
      <c r="AH31" s="6" t="e">
        <f>IF(ISNA(MATCH(AH$2,Inputs!$K$4:$AJ$4,0)),NA(),IF(SUMPRODUCT((Inputs!$A$5:$A$130=$B31)*ISNUMBER(INDEX(Inputs!$K$5:$AJ$130,0,MATCH(AH$2,Inputs!$K$4:$AJ$4,0))))+SUMPRODUCT((Inputs!$C$5:$C$130=$B31)*ISNUMBER(INDEX(Inputs!$K$5:$AJ$130,0,MATCH(AH$2,Inputs!$K$4:$AJ$4,0))))+SUMPRODUCT((Inputs!$E$5:$E$130=$B31)*ISNUMBER(INDEX(Inputs!$K$5:$AJ$130,0,MATCH(AH$2,Inputs!$K$4:$AJ$4,0))))=0,NA(),SUMPRODUCT((Inputs!$A$5:$A$130=$B31)*Inputs!$B$5:$B$130*(((Inputs!$G$5:$G$130="moeda")+(Inputs!$G$5:$G$130="acoes"))*Inputs!$B$1+((Inputs!$G$5:$G$130&lt;&gt;"moeda")*(Inputs!$G$5:$G$130&lt;&gt;"acoes")))*INDEX(Inputs!$K$5:$AJ$130,0,MATCH(AH$2,Inputs!$K$4:$AJ$4,0)))+SUMPRODUCT((Inputs!$C$5:$C$130=$B31)*Inputs!$D$5:$D$130*(((Inputs!$G$5:$G$130="moeda")+(Inputs!$G$5:$G$130="acoes"))*Inputs!$B$1+((Inputs!$G$5:$G$130&lt;&gt;"moeda")*(Inputs!$G$5:$G$130&lt;&gt;"acoes")))*INDEX(Inputs!$K$5:$AJ$130,0,MATCH(AH$2,Inputs!$K$4:$AJ$4,0)))+SUMPRODUCT((Inputs!$E$5:$E$130=$B31)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31" s="6" t="e">
        <f>IF(ISNA(MATCH(AI$2,Inputs!$K$4:$AJ$4,0)),NA(),IF(SUMPRODUCT((Inputs!$A$5:$A$130=$B31)*ISNUMBER(INDEX(Inputs!$K$5:$AJ$130,0,MATCH(AI$2,Inputs!$K$4:$AJ$4,0))))+SUMPRODUCT((Inputs!$C$5:$C$130=$B31)*ISNUMBER(INDEX(Inputs!$K$5:$AJ$130,0,MATCH(AI$2,Inputs!$K$4:$AJ$4,0))))+SUMPRODUCT((Inputs!$E$5:$E$130=$B31)*ISNUMBER(INDEX(Inputs!$K$5:$AJ$130,0,MATCH(AI$2,Inputs!$K$4:$AJ$4,0))))=0,NA(),SUMPRODUCT((Inputs!$A$5:$A$130=$B31)*Inputs!$B$5:$B$130*(((Inputs!$G$5:$G$130="moeda")+(Inputs!$G$5:$G$130="acoes"))*Inputs!$B$1+((Inputs!$G$5:$G$130&lt;&gt;"moeda")*(Inputs!$G$5:$G$130&lt;&gt;"acoes")))*INDEX(Inputs!$K$5:$AJ$130,0,MATCH(AI$2,Inputs!$K$4:$AJ$4,0)))+SUMPRODUCT((Inputs!$C$5:$C$130=$B31)*Inputs!$D$5:$D$130*(((Inputs!$G$5:$G$130="moeda")+(Inputs!$G$5:$G$130="acoes"))*Inputs!$B$1+((Inputs!$G$5:$G$130&lt;&gt;"moeda")*(Inputs!$G$5:$G$130&lt;&gt;"acoes")))*INDEX(Inputs!$K$5:$AJ$130,0,MATCH(AI$2,Inputs!$K$4:$AJ$4,0)))+SUMPRODUCT((Inputs!$E$5:$E$130=$B31)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31" s="6" t="e">
        <f>IF(ISNA(MATCH(AJ$2,Inputs!$K$4:$AJ$4,0)),NA(),IF(SUMPRODUCT((Inputs!$A$5:$A$130=$B31)*ISNUMBER(INDEX(Inputs!$K$5:$AJ$130,0,MATCH(AJ$2,Inputs!$K$4:$AJ$4,0))))+SUMPRODUCT((Inputs!$C$5:$C$130=$B31)*ISNUMBER(INDEX(Inputs!$K$5:$AJ$130,0,MATCH(AJ$2,Inputs!$K$4:$AJ$4,0))))+SUMPRODUCT((Inputs!$E$5:$E$130=$B31)*ISNUMBER(INDEX(Inputs!$K$5:$AJ$130,0,MATCH(AJ$2,Inputs!$K$4:$AJ$4,0))))=0,NA(),SUMPRODUCT((Inputs!$A$5:$A$130=$B31)*Inputs!$B$5:$B$130*(((Inputs!$G$5:$G$130="moeda")+(Inputs!$G$5:$G$130="acoes"))*Inputs!$B$1+((Inputs!$G$5:$G$130&lt;&gt;"moeda")*(Inputs!$G$5:$G$130&lt;&gt;"acoes")))*INDEX(Inputs!$K$5:$AJ$130,0,MATCH(AJ$2,Inputs!$K$4:$AJ$4,0)))+SUMPRODUCT((Inputs!$C$5:$C$130=$B31)*Inputs!$D$5:$D$130*(((Inputs!$G$5:$G$130="moeda")+(Inputs!$G$5:$G$130="acoes"))*Inputs!$B$1+((Inputs!$G$5:$G$130&lt;&gt;"moeda")*(Inputs!$G$5:$G$130&lt;&gt;"acoes")))*INDEX(Inputs!$K$5:$AJ$130,0,MATCH(AJ$2,Inputs!$K$4:$AJ$4,0)))+SUMPRODUCT((Inputs!$E$5:$E$130=$B31)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31" s="6" t="e">
        <f>IF(ISNA(MATCH(AK$2,Inputs!$K$4:$AJ$4,0)),NA(),IF(SUMPRODUCT((Inputs!$A$5:$A$130=$B31)*ISNUMBER(INDEX(Inputs!$K$5:$AJ$130,0,MATCH(AK$2,Inputs!$K$4:$AJ$4,0))))+SUMPRODUCT((Inputs!$C$5:$C$130=$B31)*ISNUMBER(INDEX(Inputs!$K$5:$AJ$130,0,MATCH(AK$2,Inputs!$K$4:$AJ$4,0))))+SUMPRODUCT((Inputs!$E$5:$E$130=$B31)*ISNUMBER(INDEX(Inputs!$K$5:$AJ$130,0,MATCH(AK$2,Inputs!$K$4:$AJ$4,0))))=0,NA(),SUMPRODUCT((Inputs!$A$5:$A$130=$B31)*Inputs!$B$5:$B$130*(((Inputs!$G$5:$G$130="moeda")+(Inputs!$G$5:$G$130="acoes"))*Inputs!$B$1+((Inputs!$G$5:$G$130&lt;&gt;"moeda")*(Inputs!$G$5:$G$130&lt;&gt;"acoes")))*INDEX(Inputs!$K$5:$AJ$130,0,MATCH(AK$2,Inputs!$K$4:$AJ$4,0)))+SUMPRODUCT((Inputs!$C$5:$C$130=$B31)*Inputs!$D$5:$D$130*(((Inputs!$G$5:$G$130="moeda")+(Inputs!$G$5:$G$130="acoes"))*Inputs!$B$1+((Inputs!$G$5:$G$130&lt;&gt;"moeda")*(Inputs!$G$5:$G$130&lt;&gt;"acoes")))*INDEX(Inputs!$K$5:$AJ$130,0,MATCH(AK$2,Inputs!$K$4:$AJ$4,0)))+SUMPRODUCT((Inputs!$E$5:$E$130=$B31)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31" s="3" t="e">
        <f>AK31</f>
        <v>#N/A</v>
      </c>
    </row>
    <row r="32">
      <c r="B32" s="46" t="n">
        <v>27</v>
      </c>
      <c r="C32" s="26" t="inlineStr">
        <is>
          <t>Current portion of long-term debt</t>
        </is>
      </c>
      <c r="D32" s="6">
        <f>IF(ISNA(MATCH(D$2,Inputs!$K$4:$AJ$4,0)),NA(),IF(SUMPRODUCT((Inputs!$A$5:$A$130=$B32)*ISNUMBER(INDEX(Inputs!$K$5:$AJ$130,0,MATCH(D$2,Inputs!$K$4:$AJ$4,0))))+SUMPRODUCT((Inputs!$C$5:$C$130=$B32)*ISNUMBER(INDEX(Inputs!$K$5:$AJ$130,0,MATCH(D$2,Inputs!$K$4:$AJ$4,0))))+SUMPRODUCT((Inputs!$E$5:$E$130=$B32)*ISNUMBER(INDEX(Inputs!$K$5:$AJ$130,0,MATCH(D$2,Inputs!$K$4:$AJ$4,0))))=0,NA(),SUMPRODUCT((Inputs!$A$5:$A$130=$B32)*Inputs!$B$5:$B$130*(((Inputs!$G$5:$G$130="moeda")+(Inputs!$G$5:$G$130="acoes"))*Inputs!$B$1+((Inputs!$G$5:$G$130&lt;&gt;"moeda")*(Inputs!$G$5:$G$130&lt;&gt;"acoes")))*INDEX(Inputs!$K$5:$AJ$130,0,MATCH(D$2,Inputs!$K$4:$AJ$4,0)))+SUMPRODUCT((Inputs!$C$5:$C$130=$B32)*Inputs!$D$5:$D$130*(((Inputs!$G$5:$G$130="moeda")+(Inputs!$G$5:$G$130="acoes"))*Inputs!$B$1+((Inputs!$G$5:$G$130&lt;&gt;"moeda")*(Inputs!$G$5:$G$130&lt;&gt;"acoes")))*INDEX(Inputs!$K$5:$AJ$130,0,MATCH(D$2,Inputs!$K$4:$AJ$4,0)))+SUMPRODUCT((Inputs!$E$5:$E$130=$B32)*Inputs!$F$5:$F$130*(((Inputs!$G$5:$G$130="moeda")+(Inputs!$G$5:$G$130="acoes"))*Inputs!$B$1+((Inputs!$G$5:$G$130&lt;&gt;"moeda")*(Inputs!$G$5:$G$130&lt;&gt;"acoes")))*INDEX(Inputs!$K$5:$AJ$130,0,MATCH(D$2,Inputs!$K$4:$AJ$4,0)))))</f>
        <v>999</v>
      </c>
      <c r="E32" s="6">
        <f>IF(ISNA(MATCH(E$2,Inputs!$K$4:$AJ$4,0)),NA(),IF(SUMPRODUCT((Inputs!$A$5:$A$130=$B32)*ISNUMBER(INDEX(Inputs!$K$5:$AJ$130,0,MATCH(E$2,Inputs!$K$4:$AJ$4,0))))+SUMPRODUCT((Inputs!$C$5:$C$130=$B32)*ISNUMBER(INDEX(Inputs!$K$5:$AJ$130,0,MATCH(E$2,Inputs!$K$4:$AJ$4,0))))+SUMPRODUCT((Inputs!$E$5:$E$130=$B32)*ISNUMBER(INDEX(Inputs!$K$5:$AJ$130,0,MATCH(E$2,Inputs!$K$4:$AJ$4,0))))=0,NA(),SUMPRODUCT((Inputs!$A$5:$A$130=$B32)*Inputs!$B$5:$B$130*(((Inputs!$G$5:$G$130="moeda")+(Inputs!$G$5:$G$130="acoes"))*Inputs!$B$1+((Inputs!$G$5:$G$130&lt;&gt;"moeda")*(Inputs!$G$5:$G$130&lt;&gt;"acoes")))*INDEX(Inputs!$K$5:$AJ$130,0,MATCH(E$2,Inputs!$K$4:$AJ$4,0)))+SUMPRODUCT((Inputs!$C$5:$C$130=$B32)*Inputs!$D$5:$D$130*(((Inputs!$G$5:$G$130="moeda")+(Inputs!$G$5:$G$130="acoes"))*Inputs!$B$1+((Inputs!$G$5:$G$130&lt;&gt;"moeda")*(Inputs!$G$5:$G$130&lt;&gt;"acoes")))*INDEX(Inputs!$K$5:$AJ$130,0,MATCH(E$2,Inputs!$K$4:$AJ$4,0)))+SUMPRODUCT((Inputs!$E$5:$E$130=$B32)*Inputs!$F$5:$F$130*(((Inputs!$G$5:$G$130="moeda")+(Inputs!$G$5:$G$130="acoes"))*Inputs!$B$1+((Inputs!$G$5:$G$130&lt;&gt;"moeda")*(Inputs!$G$5:$G$130&lt;&gt;"acoes")))*INDEX(Inputs!$K$5:$AJ$130,0,MATCH(E$2,Inputs!$K$4:$AJ$4,0)))))</f>
        <v>1000</v>
      </c>
      <c r="F32" s="6">
        <f>IF(ISNA(MATCH(F$2,Inputs!$K$4:$AJ$4,0)),NA(),IF(SUMPRODUCT((Inputs!$A$5:$A$130=$B32)*ISNUMBER(INDEX(Inputs!$K$5:$AJ$130,0,MATCH(F$2,Inputs!$K$4:$AJ$4,0))))+SUMPRODUCT((Inputs!$C$5:$C$130=$B32)*ISNUMBER(INDEX(Inputs!$K$5:$AJ$130,0,MATCH(F$2,Inputs!$K$4:$AJ$4,0))))+SUMPRODUCT((Inputs!$E$5:$E$130=$B32)*ISNUMBER(INDEX(Inputs!$K$5:$AJ$130,0,MATCH(F$2,Inputs!$K$4:$AJ$4,0))))=0,NA(),SUMPRODUCT((Inputs!$A$5:$A$130=$B32)*Inputs!$B$5:$B$130*(((Inputs!$G$5:$G$130="moeda")+(Inputs!$G$5:$G$130="acoes"))*Inputs!$B$1+((Inputs!$G$5:$G$130&lt;&gt;"moeda")*(Inputs!$G$5:$G$130&lt;&gt;"acoes")))*INDEX(Inputs!$K$5:$AJ$130,0,MATCH(F$2,Inputs!$K$4:$AJ$4,0)))+SUMPRODUCT((Inputs!$C$5:$C$130=$B32)*Inputs!$D$5:$D$130*(((Inputs!$G$5:$G$130="moeda")+(Inputs!$G$5:$G$130="acoes"))*Inputs!$B$1+((Inputs!$G$5:$G$130&lt;&gt;"moeda")*(Inputs!$G$5:$G$130&lt;&gt;"acoes")))*INDEX(Inputs!$K$5:$AJ$130,0,MATCH(F$2,Inputs!$K$4:$AJ$4,0)))+SUMPRODUCT((Inputs!$E$5:$E$130=$B32)*Inputs!$F$5:$F$130*(((Inputs!$G$5:$G$130="moeda")+(Inputs!$G$5:$G$130="acoes"))*Inputs!$B$1+((Inputs!$G$5:$G$130&lt;&gt;"moeda")*(Inputs!$G$5:$G$130&lt;&gt;"acoes")))*INDEX(Inputs!$K$5:$AJ$130,0,MATCH(F$2,Inputs!$K$4:$AJ$4,0)))))</f>
        <v>0</v>
      </c>
      <c r="G32" s="6">
        <f>IF(ISNA(MATCH(G$2,Inputs!$K$4:$AJ$4,0)),NA(),IF(SUMPRODUCT((Inputs!$A$5:$A$130=$B32)*ISNUMBER(INDEX(Inputs!$K$5:$AJ$130,0,MATCH(G$2,Inputs!$K$4:$AJ$4,0))))+SUMPRODUCT((Inputs!$C$5:$C$130=$B32)*ISNUMBER(INDEX(Inputs!$K$5:$AJ$130,0,MATCH(G$2,Inputs!$K$4:$AJ$4,0))))+SUMPRODUCT((Inputs!$E$5:$E$130=$B32)*ISNUMBER(INDEX(Inputs!$K$5:$AJ$130,0,MATCH(G$2,Inputs!$K$4:$AJ$4,0))))=0,NA(),SUMPRODUCT((Inputs!$A$5:$A$130=$B32)*Inputs!$B$5:$B$130*(((Inputs!$G$5:$G$130="moeda")+(Inputs!$G$5:$G$130="acoes"))*Inputs!$B$1+((Inputs!$G$5:$G$130&lt;&gt;"moeda")*(Inputs!$G$5:$G$130&lt;&gt;"acoes")))*INDEX(Inputs!$K$5:$AJ$130,0,MATCH(G$2,Inputs!$K$4:$AJ$4,0)))+SUMPRODUCT((Inputs!$C$5:$C$130=$B32)*Inputs!$D$5:$D$130*(((Inputs!$G$5:$G$130="moeda")+(Inputs!$G$5:$G$130="acoes"))*Inputs!$B$1+((Inputs!$G$5:$G$130&lt;&gt;"moeda")*(Inputs!$G$5:$G$130&lt;&gt;"acoes")))*INDEX(Inputs!$K$5:$AJ$130,0,MATCH(G$2,Inputs!$K$4:$AJ$4,0)))+SUMPRODUCT((Inputs!$E$5:$E$130=$B32)*Inputs!$F$5:$F$130*(((Inputs!$G$5:$G$130="moeda")+(Inputs!$G$5:$G$130="acoes"))*Inputs!$B$1+((Inputs!$G$5:$G$130&lt;&gt;"moeda")*(Inputs!$G$5:$G$130&lt;&gt;"acoes")))*INDEX(Inputs!$K$5:$AJ$130,0,MATCH(G$2,Inputs!$K$4:$AJ$4,0)))))</f>
        <v>0</v>
      </c>
      <c r="H32" s="3">
        <f>G32</f>
        <v>0</v>
      </c>
      <c r="I32" s="6">
        <f>IF(ISNA(MATCH(I$2,Inputs!$K$4:$AJ$4,0)),NA(),IF(SUMPRODUCT((Inputs!$A$5:$A$130=$B32)*ISNUMBER(INDEX(Inputs!$K$5:$AJ$130,0,MATCH(I$2,Inputs!$K$4:$AJ$4,0))))+SUMPRODUCT((Inputs!$C$5:$C$130=$B32)*ISNUMBER(INDEX(Inputs!$K$5:$AJ$130,0,MATCH(I$2,Inputs!$K$4:$AJ$4,0))))+SUMPRODUCT((Inputs!$E$5:$E$130=$B32)*ISNUMBER(INDEX(Inputs!$K$5:$AJ$130,0,MATCH(I$2,Inputs!$K$4:$AJ$4,0))))=0,NA(),SUMPRODUCT((Inputs!$A$5:$A$130=$B32)*Inputs!$B$5:$B$130*(((Inputs!$G$5:$G$130="moeda")+(Inputs!$G$5:$G$130="acoes"))*Inputs!$B$1+((Inputs!$G$5:$G$130&lt;&gt;"moeda")*(Inputs!$G$5:$G$130&lt;&gt;"acoes")))*INDEX(Inputs!$K$5:$AJ$130,0,MATCH(I$2,Inputs!$K$4:$AJ$4,0)))+SUMPRODUCT((Inputs!$C$5:$C$130=$B32)*Inputs!$D$5:$D$130*(((Inputs!$G$5:$G$130="moeda")+(Inputs!$G$5:$G$130="acoes"))*Inputs!$B$1+((Inputs!$G$5:$G$130&lt;&gt;"moeda")*(Inputs!$G$5:$G$130&lt;&gt;"acoes")))*INDEX(Inputs!$K$5:$AJ$130,0,MATCH(I$2,Inputs!$K$4:$AJ$4,0)))+SUMPRODUCT((Inputs!$E$5:$E$130=$B32)*Inputs!$F$5:$F$130*(((Inputs!$G$5:$G$130="moeda")+(Inputs!$G$5:$G$130="acoes"))*Inputs!$B$1+((Inputs!$G$5:$G$130&lt;&gt;"moeda")*(Inputs!$G$5:$G$130&lt;&gt;"acoes")))*INDEX(Inputs!$K$5:$AJ$130,0,MATCH(I$2,Inputs!$K$4:$AJ$4,0)))))</f>
        <v>0</v>
      </c>
      <c r="J32" s="6">
        <f>IF(ISNA(MATCH(J$2,Inputs!$K$4:$AJ$4,0)),NA(),IF(SUMPRODUCT((Inputs!$A$5:$A$130=$B32)*ISNUMBER(INDEX(Inputs!$K$5:$AJ$130,0,MATCH(J$2,Inputs!$K$4:$AJ$4,0))))+SUMPRODUCT((Inputs!$C$5:$C$130=$B32)*ISNUMBER(INDEX(Inputs!$K$5:$AJ$130,0,MATCH(J$2,Inputs!$K$4:$AJ$4,0))))+SUMPRODUCT((Inputs!$E$5:$E$130=$B32)*ISNUMBER(INDEX(Inputs!$K$5:$AJ$130,0,MATCH(J$2,Inputs!$K$4:$AJ$4,0))))=0,NA(),SUMPRODUCT((Inputs!$A$5:$A$130=$B32)*Inputs!$B$5:$B$130*(((Inputs!$G$5:$G$130="moeda")+(Inputs!$G$5:$G$130="acoes"))*Inputs!$B$1+((Inputs!$G$5:$G$130&lt;&gt;"moeda")*(Inputs!$G$5:$G$130&lt;&gt;"acoes")))*INDEX(Inputs!$K$5:$AJ$130,0,MATCH(J$2,Inputs!$K$4:$AJ$4,0)))+SUMPRODUCT((Inputs!$C$5:$C$130=$B32)*Inputs!$D$5:$D$130*(((Inputs!$G$5:$G$130="moeda")+(Inputs!$G$5:$G$130="acoes"))*Inputs!$B$1+((Inputs!$G$5:$G$130&lt;&gt;"moeda")*(Inputs!$G$5:$G$130&lt;&gt;"acoes")))*INDEX(Inputs!$K$5:$AJ$130,0,MATCH(J$2,Inputs!$K$4:$AJ$4,0)))+SUMPRODUCT((Inputs!$E$5:$E$130=$B32)*Inputs!$F$5:$F$130*(((Inputs!$G$5:$G$130="moeda")+(Inputs!$G$5:$G$130="acoes"))*Inputs!$B$1+((Inputs!$G$5:$G$130&lt;&gt;"moeda")*(Inputs!$G$5:$G$130&lt;&gt;"acoes")))*INDEX(Inputs!$K$5:$AJ$130,0,MATCH(J$2,Inputs!$K$4:$AJ$4,0)))))</f>
        <v>1249</v>
      </c>
      <c r="K32" s="6">
        <f>IF(ISNA(MATCH(K$2,Inputs!$K$4:$AJ$4,0)),NA(),IF(SUMPRODUCT((Inputs!$A$5:$A$130=$B32)*ISNUMBER(INDEX(Inputs!$K$5:$AJ$130,0,MATCH(K$2,Inputs!$K$4:$AJ$4,0))))+SUMPRODUCT((Inputs!$C$5:$C$130=$B32)*ISNUMBER(INDEX(Inputs!$K$5:$AJ$130,0,MATCH(K$2,Inputs!$K$4:$AJ$4,0))))+SUMPRODUCT((Inputs!$E$5:$E$130=$B32)*ISNUMBER(INDEX(Inputs!$K$5:$AJ$130,0,MATCH(K$2,Inputs!$K$4:$AJ$4,0))))=0,NA(),SUMPRODUCT((Inputs!$A$5:$A$130=$B32)*Inputs!$B$5:$B$130*(((Inputs!$G$5:$G$130="moeda")+(Inputs!$G$5:$G$130="acoes"))*Inputs!$B$1+((Inputs!$G$5:$G$130&lt;&gt;"moeda")*(Inputs!$G$5:$G$130&lt;&gt;"acoes")))*INDEX(Inputs!$K$5:$AJ$130,0,MATCH(K$2,Inputs!$K$4:$AJ$4,0)))+SUMPRODUCT((Inputs!$C$5:$C$130=$B32)*Inputs!$D$5:$D$130*(((Inputs!$G$5:$G$130="moeda")+(Inputs!$G$5:$G$130="acoes"))*Inputs!$B$1+((Inputs!$G$5:$G$130&lt;&gt;"moeda")*(Inputs!$G$5:$G$130&lt;&gt;"acoes")))*INDEX(Inputs!$K$5:$AJ$130,0,MATCH(K$2,Inputs!$K$4:$AJ$4,0)))+SUMPRODUCT((Inputs!$E$5:$E$130=$B32)*Inputs!$F$5:$F$130*(((Inputs!$G$5:$G$130="moeda")+(Inputs!$G$5:$G$130="acoes"))*Inputs!$B$1+((Inputs!$G$5:$G$130&lt;&gt;"moeda")*(Inputs!$G$5:$G$130&lt;&gt;"acoes")))*INDEX(Inputs!$K$5:$AJ$130,0,MATCH(K$2,Inputs!$K$4:$AJ$4,0)))))</f>
        <v>1249</v>
      </c>
      <c r="L32" s="6">
        <f>IF(ISNA(MATCH(L$2,Inputs!$K$4:$AJ$4,0)),NA(),IF(SUMPRODUCT((Inputs!$A$5:$A$130=$B32)*ISNUMBER(INDEX(Inputs!$K$5:$AJ$130,0,MATCH(L$2,Inputs!$K$4:$AJ$4,0))))+SUMPRODUCT((Inputs!$C$5:$C$130=$B32)*ISNUMBER(INDEX(Inputs!$K$5:$AJ$130,0,MATCH(L$2,Inputs!$K$4:$AJ$4,0))))+SUMPRODUCT((Inputs!$E$5:$E$130=$B32)*ISNUMBER(INDEX(Inputs!$K$5:$AJ$130,0,MATCH(L$2,Inputs!$K$4:$AJ$4,0))))=0,NA(),SUMPRODUCT((Inputs!$A$5:$A$130=$B32)*Inputs!$B$5:$B$130*(((Inputs!$G$5:$G$130="moeda")+(Inputs!$G$5:$G$130="acoes"))*Inputs!$B$1+((Inputs!$G$5:$G$130&lt;&gt;"moeda")*(Inputs!$G$5:$G$130&lt;&gt;"acoes")))*INDEX(Inputs!$K$5:$AJ$130,0,MATCH(L$2,Inputs!$K$4:$AJ$4,0)))+SUMPRODUCT((Inputs!$C$5:$C$130=$B32)*Inputs!$D$5:$D$130*(((Inputs!$G$5:$G$130="moeda")+(Inputs!$G$5:$G$130="acoes"))*Inputs!$B$1+((Inputs!$G$5:$G$130&lt;&gt;"moeda")*(Inputs!$G$5:$G$130&lt;&gt;"acoes")))*INDEX(Inputs!$K$5:$AJ$130,0,MATCH(L$2,Inputs!$K$4:$AJ$4,0)))+SUMPRODUCT((Inputs!$E$5:$E$130=$B32)*Inputs!$F$5:$F$130*(((Inputs!$G$5:$G$130="moeda")+(Inputs!$G$5:$G$130="acoes"))*Inputs!$B$1+((Inputs!$G$5:$G$130&lt;&gt;"moeda")*(Inputs!$G$5:$G$130&lt;&gt;"acoes")))*INDEX(Inputs!$K$5:$AJ$130,0,MATCH(L$2,Inputs!$K$4:$AJ$4,0)))))</f>
        <v>1250</v>
      </c>
      <c r="M32" s="3">
        <f>L32</f>
        <v>1250</v>
      </c>
      <c r="N32" s="6">
        <f>IF(ISNA(MATCH(N$2,Inputs!$K$4:$AJ$4,0)),NA(),IF(SUMPRODUCT((Inputs!$A$5:$A$130=$B32)*ISNUMBER(INDEX(Inputs!$K$5:$AJ$130,0,MATCH(N$2,Inputs!$K$4:$AJ$4,0))))+SUMPRODUCT((Inputs!$C$5:$C$130=$B32)*ISNUMBER(INDEX(Inputs!$K$5:$AJ$130,0,MATCH(N$2,Inputs!$K$4:$AJ$4,0))))+SUMPRODUCT((Inputs!$E$5:$E$130=$B32)*ISNUMBER(INDEX(Inputs!$K$5:$AJ$130,0,MATCH(N$2,Inputs!$K$4:$AJ$4,0))))=0,NA(),SUMPRODUCT((Inputs!$A$5:$A$130=$B32)*Inputs!$B$5:$B$130*(((Inputs!$G$5:$G$130="moeda")+(Inputs!$G$5:$G$130="acoes"))*Inputs!$B$1+((Inputs!$G$5:$G$130&lt;&gt;"moeda")*(Inputs!$G$5:$G$130&lt;&gt;"acoes")))*INDEX(Inputs!$K$5:$AJ$130,0,MATCH(N$2,Inputs!$K$4:$AJ$4,0)))+SUMPRODUCT((Inputs!$C$5:$C$130=$B32)*Inputs!$D$5:$D$130*(((Inputs!$G$5:$G$130="moeda")+(Inputs!$G$5:$G$130="acoes"))*Inputs!$B$1+((Inputs!$G$5:$G$130&lt;&gt;"moeda")*(Inputs!$G$5:$G$130&lt;&gt;"acoes")))*INDEX(Inputs!$K$5:$AJ$130,0,MATCH(N$2,Inputs!$K$4:$AJ$4,0)))+SUMPRODUCT((Inputs!$E$5:$E$130=$B32)*Inputs!$F$5:$F$130*(((Inputs!$G$5:$G$130="moeda")+(Inputs!$G$5:$G$130="acoes"))*Inputs!$B$1+((Inputs!$G$5:$G$130&lt;&gt;"moeda")*(Inputs!$G$5:$G$130&lt;&gt;"acoes")))*INDEX(Inputs!$K$5:$AJ$130,0,MATCH(N$2,Inputs!$K$4:$AJ$4,0)))))</f>
        <v>1250</v>
      </c>
      <c r="O32" s="6">
        <f>IF(ISNA(MATCH(O$2,Inputs!$K$4:$AJ$4,0)),NA(),IF(SUMPRODUCT((Inputs!$A$5:$A$130=$B32)*ISNUMBER(INDEX(Inputs!$K$5:$AJ$130,0,MATCH(O$2,Inputs!$K$4:$AJ$4,0))))+SUMPRODUCT((Inputs!$C$5:$C$130=$B32)*ISNUMBER(INDEX(Inputs!$K$5:$AJ$130,0,MATCH(O$2,Inputs!$K$4:$AJ$4,0))))+SUMPRODUCT((Inputs!$E$5:$E$130=$B32)*ISNUMBER(INDEX(Inputs!$K$5:$AJ$130,0,MATCH(O$2,Inputs!$K$4:$AJ$4,0))))=0,NA(),SUMPRODUCT((Inputs!$A$5:$A$130=$B32)*Inputs!$B$5:$B$130*(((Inputs!$G$5:$G$130="moeda")+(Inputs!$G$5:$G$130="acoes"))*Inputs!$B$1+((Inputs!$G$5:$G$130&lt;&gt;"moeda")*(Inputs!$G$5:$G$130&lt;&gt;"acoes")))*INDEX(Inputs!$K$5:$AJ$130,0,MATCH(O$2,Inputs!$K$4:$AJ$4,0)))+SUMPRODUCT((Inputs!$C$5:$C$130=$B32)*Inputs!$D$5:$D$130*(((Inputs!$G$5:$G$130="moeda")+(Inputs!$G$5:$G$130="acoes"))*Inputs!$B$1+((Inputs!$G$5:$G$130&lt;&gt;"moeda")*(Inputs!$G$5:$G$130&lt;&gt;"acoes")))*INDEX(Inputs!$K$5:$AJ$130,0,MATCH(O$2,Inputs!$K$4:$AJ$4,0)))+SUMPRODUCT((Inputs!$E$5:$E$130=$B32)*Inputs!$F$5:$F$130*(((Inputs!$G$5:$G$130="moeda")+(Inputs!$G$5:$G$130="acoes"))*Inputs!$B$1+((Inputs!$G$5:$G$130&lt;&gt;"moeda")*(Inputs!$G$5:$G$130&lt;&gt;"acoes")))*INDEX(Inputs!$K$5:$AJ$130,0,MATCH(O$2,Inputs!$K$4:$AJ$4,0)))))</f>
        <v>1249</v>
      </c>
      <c r="P32" s="6">
        <f>IF(ISNA(MATCH(P$2,Inputs!$K$4:$AJ$4,0)),NA(),IF(SUMPRODUCT((Inputs!$A$5:$A$130=$B32)*ISNUMBER(INDEX(Inputs!$K$5:$AJ$130,0,MATCH(P$2,Inputs!$K$4:$AJ$4,0))))+SUMPRODUCT((Inputs!$C$5:$C$130=$B32)*ISNUMBER(INDEX(Inputs!$K$5:$AJ$130,0,MATCH(P$2,Inputs!$K$4:$AJ$4,0))))+SUMPRODUCT((Inputs!$E$5:$E$130=$B32)*ISNUMBER(INDEX(Inputs!$K$5:$AJ$130,0,MATCH(P$2,Inputs!$K$4:$AJ$4,0))))=0,NA(),SUMPRODUCT((Inputs!$A$5:$A$130=$B32)*Inputs!$B$5:$B$130*(((Inputs!$G$5:$G$130="moeda")+(Inputs!$G$5:$G$130="acoes"))*Inputs!$B$1+((Inputs!$G$5:$G$130&lt;&gt;"moeda")*(Inputs!$G$5:$G$130&lt;&gt;"acoes")))*INDEX(Inputs!$K$5:$AJ$130,0,MATCH(P$2,Inputs!$K$4:$AJ$4,0)))+SUMPRODUCT((Inputs!$C$5:$C$130=$B32)*Inputs!$D$5:$D$130*(((Inputs!$G$5:$G$130="moeda")+(Inputs!$G$5:$G$130="acoes"))*Inputs!$B$1+((Inputs!$G$5:$G$130&lt;&gt;"moeda")*(Inputs!$G$5:$G$130&lt;&gt;"acoes")))*INDEX(Inputs!$K$5:$AJ$130,0,MATCH(P$2,Inputs!$K$4:$AJ$4,0)))+SUMPRODUCT((Inputs!$E$5:$E$130=$B32)*Inputs!$F$5:$F$130*(((Inputs!$G$5:$G$130="moeda")+(Inputs!$G$5:$G$130="acoes"))*Inputs!$B$1+((Inputs!$G$5:$G$130&lt;&gt;"moeda")*(Inputs!$G$5:$G$130&lt;&gt;"acoes")))*INDEX(Inputs!$K$5:$AJ$130,0,MATCH(P$2,Inputs!$K$4:$AJ$4,0)))))</f>
        <v>1249</v>
      </c>
      <c r="Q32" s="6">
        <f>IF(ISNA(MATCH(Q$2,Inputs!$K$4:$AJ$4,0)),NA(),IF(SUMPRODUCT((Inputs!$A$5:$A$130=$B32)*ISNUMBER(INDEX(Inputs!$K$5:$AJ$130,0,MATCH(Q$2,Inputs!$K$4:$AJ$4,0))))+SUMPRODUCT((Inputs!$C$5:$C$130=$B32)*ISNUMBER(INDEX(Inputs!$K$5:$AJ$130,0,MATCH(Q$2,Inputs!$K$4:$AJ$4,0))))+SUMPRODUCT((Inputs!$E$5:$E$130=$B32)*ISNUMBER(INDEX(Inputs!$K$5:$AJ$130,0,MATCH(Q$2,Inputs!$K$4:$AJ$4,0))))=0,NA(),SUMPRODUCT((Inputs!$A$5:$A$130=$B32)*Inputs!$B$5:$B$130*(((Inputs!$G$5:$G$130="moeda")+(Inputs!$G$5:$G$130="acoes"))*Inputs!$B$1+((Inputs!$G$5:$G$130&lt;&gt;"moeda")*(Inputs!$G$5:$G$130&lt;&gt;"acoes")))*INDEX(Inputs!$K$5:$AJ$130,0,MATCH(Q$2,Inputs!$K$4:$AJ$4,0)))+SUMPRODUCT((Inputs!$C$5:$C$130=$B32)*Inputs!$D$5:$D$130*(((Inputs!$G$5:$G$130="moeda")+(Inputs!$G$5:$G$130="acoes"))*Inputs!$B$1+((Inputs!$G$5:$G$130&lt;&gt;"moeda")*(Inputs!$G$5:$G$130&lt;&gt;"acoes")))*INDEX(Inputs!$K$5:$AJ$130,0,MATCH(Q$2,Inputs!$K$4:$AJ$4,0)))+SUMPRODUCT((Inputs!$E$5:$E$130=$B32)*Inputs!$F$5:$F$130*(((Inputs!$G$5:$G$130="moeda")+(Inputs!$G$5:$G$130="acoes"))*Inputs!$B$1+((Inputs!$G$5:$G$130&lt;&gt;"moeda")*(Inputs!$G$5:$G$130&lt;&gt;"acoes")))*INDEX(Inputs!$K$5:$AJ$130,0,MATCH(Q$2,Inputs!$K$4:$AJ$4,0)))))</f>
        <v>1250</v>
      </c>
      <c r="R32" s="3">
        <f>Q32</f>
        <v>1250</v>
      </c>
      <c r="S32" s="6">
        <f>IF(ISNA(MATCH(S$2,Inputs!$K$4:$AJ$4,0)),NA(),IF(SUMPRODUCT((Inputs!$A$5:$A$130=$B32)*ISNUMBER(INDEX(Inputs!$K$5:$AJ$130,0,MATCH(S$2,Inputs!$K$4:$AJ$4,0))))+SUMPRODUCT((Inputs!$C$5:$C$130=$B32)*ISNUMBER(INDEX(Inputs!$K$5:$AJ$130,0,MATCH(S$2,Inputs!$K$4:$AJ$4,0))))+SUMPRODUCT((Inputs!$E$5:$E$130=$B32)*ISNUMBER(INDEX(Inputs!$K$5:$AJ$130,0,MATCH(S$2,Inputs!$K$4:$AJ$4,0))))=0,NA(),SUMPRODUCT((Inputs!$A$5:$A$130=$B32)*Inputs!$B$5:$B$130*(((Inputs!$G$5:$G$130="moeda")+(Inputs!$G$5:$G$130="acoes"))*Inputs!$B$1+((Inputs!$G$5:$G$130&lt;&gt;"moeda")*(Inputs!$G$5:$G$130&lt;&gt;"acoes")))*INDEX(Inputs!$K$5:$AJ$130,0,MATCH(S$2,Inputs!$K$4:$AJ$4,0)))+SUMPRODUCT((Inputs!$C$5:$C$130=$B32)*Inputs!$D$5:$D$130*(((Inputs!$G$5:$G$130="moeda")+(Inputs!$G$5:$G$130="acoes"))*Inputs!$B$1+((Inputs!$G$5:$G$130&lt;&gt;"moeda")*(Inputs!$G$5:$G$130&lt;&gt;"acoes")))*INDEX(Inputs!$K$5:$AJ$130,0,MATCH(S$2,Inputs!$K$4:$AJ$4,0)))+SUMPRODUCT((Inputs!$E$5:$E$130=$B32)*Inputs!$F$5:$F$130*(((Inputs!$G$5:$G$130="moeda")+(Inputs!$G$5:$G$130="acoes"))*Inputs!$B$1+((Inputs!$G$5:$G$130&lt;&gt;"moeda")*(Inputs!$G$5:$G$130&lt;&gt;"acoes")))*INDEX(Inputs!$K$5:$AJ$130,0,MATCH(S$2,Inputs!$K$4:$AJ$4,0)))))</f>
        <v>1250</v>
      </c>
      <c r="T32" s="6">
        <f>IF(ISNA(MATCH(T$2,Inputs!$K$4:$AJ$4,0)),NA(),IF(SUMPRODUCT((Inputs!$A$5:$A$130=$B32)*ISNUMBER(INDEX(Inputs!$K$5:$AJ$130,0,MATCH(T$2,Inputs!$K$4:$AJ$4,0))))+SUMPRODUCT((Inputs!$C$5:$C$130=$B32)*ISNUMBER(INDEX(Inputs!$K$5:$AJ$130,0,MATCH(T$2,Inputs!$K$4:$AJ$4,0))))+SUMPRODUCT((Inputs!$E$5:$E$130=$B32)*ISNUMBER(INDEX(Inputs!$K$5:$AJ$130,0,MATCH(T$2,Inputs!$K$4:$AJ$4,0))))=0,NA(),SUMPRODUCT((Inputs!$A$5:$A$130=$B32)*Inputs!$B$5:$B$130*(((Inputs!$G$5:$G$130="moeda")+(Inputs!$G$5:$G$130="acoes"))*Inputs!$B$1+((Inputs!$G$5:$G$130&lt;&gt;"moeda")*(Inputs!$G$5:$G$130&lt;&gt;"acoes")))*INDEX(Inputs!$K$5:$AJ$130,0,MATCH(T$2,Inputs!$K$4:$AJ$4,0)))+SUMPRODUCT((Inputs!$C$5:$C$130=$B32)*Inputs!$D$5:$D$130*(((Inputs!$G$5:$G$130="moeda")+(Inputs!$G$5:$G$130="acoes"))*Inputs!$B$1+((Inputs!$G$5:$G$130&lt;&gt;"moeda")*(Inputs!$G$5:$G$130&lt;&gt;"acoes")))*INDEX(Inputs!$K$5:$AJ$130,0,MATCH(T$2,Inputs!$K$4:$AJ$4,0)))+SUMPRODUCT((Inputs!$E$5:$E$130=$B32)*Inputs!$F$5:$F$130*(((Inputs!$G$5:$G$130="moeda")+(Inputs!$G$5:$G$130="acoes"))*Inputs!$B$1+((Inputs!$G$5:$G$130&lt;&gt;"moeda")*(Inputs!$G$5:$G$130&lt;&gt;"acoes")))*INDEX(Inputs!$K$5:$AJ$130,0,MATCH(T$2,Inputs!$K$4:$AJ$4,0)))))</f>
        <v>0</v>
      </c>
      <c r="U32" s="6">
        <f>IF(ISNA(MATCH(U$2,Inputs!$K$4:$AJ$4,0)),NA(),IF(SUMPRODUCT((Inputs!$A$5:$A$130=$B32)*ISNUMBER(INDEX(Inputs!$K$5:$AJ$130,0,MATCH(U$2,Inputs!$K$4:$AJ$4,0))))+SUMPRODUCT((Inputs!$C$5:$C$130=$B32)*ISNUMBER(INDEX(Inputs!$K$5:$AJ$130,0,MATCH(U$2,Inputs!$K$4:$AJ$4,0))))+SUMPRODUCT((Inputs!$E$5:$E$130=$B32)*ISNUMBER(INDEX(Inputs!$K$5:$AJ$130,0,MATCH(U$2,Inputs!$K$4:$AJ$4,0))))=0,NA(),SUMPRODUCT((Inputs!$A$5:$A$130=$B32)*Inputs!$B$5:$B$130*(((Inputs!$G$5:$G$130="moeda")+(Inputs!$G$5:$G$130="acoes"))*Inputs!$B$1+((Inputs!$G$5:$G$130&lt;&gt;"moeda")*(Inputs!$G$5:$G$130&lt;&gt;"acoes")))*INDEX(Inputs!$K$5:$AJ$130,0,MATCH(U$2,Inputs!$K$4:$AJ$4,0)))+SUMPRODUCT((Inputs!$C$5:$C$130=$B32)*Inputs!$D$5:$D$130*(((Inputs!$G$5:$G$130="moeda")+(Inputs!$G$5:$G$130="acoes"))*Inputs!$B$1+((Inputs!$G$5:$G$130&lt;&gt;"moeda")*(Inputs!$G$5:$G$130&lt;&gt;"acoes")))*INDEX(Inputs!$K$5:$AJ$130,0,MATCH(U$2,Inputs!$K$4:$AJ$4,0)))+SUMPRODUCT((Inputs!$E$5:$E$130=$B32)*Inputs!$F$5:$F$130*(((Inputs!$G$5:$G$130="moeda")+(Inputs!$G$5:$G$130="acoes"))*Inputs!$B$1+((Inputs!$G$5:$G$130&lt;&gt;"moeda")*(Inputs!$G$5:$G$130&lt;&gt;"acoes")))*INDEX(Inputs!$K$5:$AJ$130,0,MATCH(U$2,Inputs!$K$4:$AJ$4,0)))))</f>
        <v>0</v>
      </c>
      <c r="V32" s="6">
        <f>IF(ISNA(MATCH(V$2,Inputs!$K$4:$AJ$4,0)),NA(),IF(SUMPRODUCT((Inputs!$A$5:$A$130=$B32)*ISNUMBER(INDEX(Inputs!$K$5:$AJ$130,0,MATCH(V$2,Inputs!$K$4:$AJ$4,0))))+SUMPRODUCT((Inputs!$C$5:$C$130=$B32)*ISNUMBER(INDEX(Inputs!$K$5:$AJ$130,0,MATCH(V$2,Inputs!$K$4:$AJ$4,0))))+SUMPRODUCT((Inputs!$E$5:$E$130=$B32)*ISNUMBER(INDEX(Inputs!$K$5:$AJ$130,0,MATCH(V$2,Inputs!$K$4:$AJ$4,0))))=0,NA(),SUMPRODUCT((Inputs!$A$5:$A$130=$B32)*Inputs!$B$5:$B$130*(((Inputs!$G$5:$G$130="moeda")+(Inputs!$G$5:$G$130="acoes"))*Inputs!$B$1+((Inputs!$G$5:$G$130&lt;&gt;"moeda")*(Inputs!$G$5:$G$130&lt;&gt;"acoes")))*INDEX(Inputs!$K$5:$AJ$130,0,MATCH(V$2,Inputs!$K$4:$AJ$4,0)))+SUMPRODUCT((Inputs!$C$5:$C$130=$B32)*Inputs!$D$5:$D$130*(((Inputs!$G$5:$G$130="moeda")+(Inputs!$G$5:$G$130="acoes"))*Inputs!$B$1+((Inputs!$G$5:$G$130&lt;&gt;"moeda")*(Inputs!$G$5:$G$130&lt;&gt;"acoes")))*INDEX(Inputs!$K$5:$AJ$130,0,MATCH(V$2,Inputs!$K$4:$AJ$4,0)))+SUMPRODUCT((Inputs!$E$5:$E$130=$B32)*Inputs!$F$5:$F$130*(((Inputs!$G$5:$G$130="moeda")+(Inputs!$G$5:$G$130="acoes"))*Inputs!$B$1+((Inputs!$G$5:$G$130&lt;&gt;"moeda")*(Inputs!$G$5:$G$130&lt;&gt;"acoes")))*INDEX(Inputs!$K$5:$AJ$130,0,MATCH(V$2,Inputs!$K$4:$AJ$4,0)))))</f>
        <v>0</v>
      </c>
      <c r="W32" s="3">
        <f>V32</f>
        <v>0</v>
      </c>
      <c r="X32" s="6">
        <f>IF(ISNA(MATCH(X$2,Inputs!$K$4:$AJ$4,0)),NA(),IF(SUMPRODUCT((Inputs!$A$5:$A$130=$B32)*ISNUMBER(INDEX(Inputs!$K$5:$AJ$130,0,MATCH(X$2,Inputs!$K$4:$AJ$4,0))))+SUMPRODUCT((Inputs!$C$5:$C$130=$B32)*ISNUMBER(INDEX(Inputs!$K$5:$AJ$130,0,MATCH(X$2,Inputs!$K$4:$AJ$4,0))))+SUMPRODUCT((Inputs!$E$5:$E$130=$B32)*ISNUMBER(INDEX(Inputs!$K$5:$AJ$130,0,MATCH(X$2,Inputs!$K$4:$AJ$4,0))))=0,NA(),SUMPRODUCT((Inputs!$A$5:$A$130=$B32)*Inputs!$B$5:$B$130*(((Inputs!$G$5:$G$130="moeda")+(Inputs!$G$5:$G$130="acoes"))*Inputs!$B$1+((Inputs!$G$5:$G$130&lt;&gt;"moeda")*(Inputs!$G$5:$G$130&lt;&gt;"acoes")))*INDEX(Inputs!$K$5:$AJ$130,0,MATCH(X$2,Inputs!$K$4:$AJ$4,0)))+SUMPRODUCT((Inputs!$C$5:$C$130=$B32)*Inputs!$D$5:$D$130*(((Inputs!$G$5:$G$130="moeda")+(Inputs!$G$5:$G$130="acoes"))*Inputs!$B$1+((Inputs!$G$5:$G$130&lt;&gt;"moeda")*(Inputs!$G$5:$G$130&lt;&gt;"acoes")))*INDEX(Inputs!$K$5:$AJ$130,0,MATCH(X$2,Inputs!$K$4:$AJ$4,0)))+SUMPRODUCT((Inputs!$E$5:$E$130=$B32)*Inputs!$F$5:$F$130*(((Inputs!$G$5:$G$130="moeda")+(Inputs!$G$5:$G$130="acoes"))*Inputs!$B$1+((Inputs!$G$5:$G$130&lt;&gt;"moeda")*(Inputs!$G$5:$G$130&lt;&gt;"acoes")))*INDEX(Inputs!$K$5:$AJ$130,0,MATCH(X$2,Inputs!$K$4:$AJ$4,0)))))</f>
        <v>0</v>
      </c>
      <c r="Y32" s="6">
        <f>IF(ISNA(MATCH(Y$2,Inputs!$K$4:$AJ$4,0)),NA(),IF(SUMPRODUCT((Inputs!$A$5:$A$130=$B32)*ISNUMBER(INDEX(Inputs!$K$5:$AJ$130,0,MATCH(Y$2,Inputs!$K$4:$AJ$4,0))))+SUMPRODUCT((Inputs!$C$5:$C$130=$B32)*ISNUMBER(INDEX(Inputs!$K$5:$AJ$130,0,MATCH(Y$2,Inputs!$K$4:$AJ$4,0))))+SUMPRODUCT((Inputs!$E$5:$E$130=$B32)*ISNUMBER(INDEX(Inputs!$K$5:$AJ$130,0,MATCH(Y$2,Inputs!$K$4:$AJ$4,0))))=0,NA(),SUMPRODUCT((Inputs!$A$5:$A$130=$B32)*Inputs!$B$5:$B$130*(((Inputs!$G$5:$G$130="moeda")+(Inputs!$G$5:$G$130="acoes"))*Inputs!$B$1+((Inputs!$G$5:$G$130&lt;&gt;"moeda")*(Inputs!$G$5:$G$130&lt;&gt;"acoes")))*INDEX(Inputs!$K$5:$AJ$130,0,MATCH(Y$2,Inputs!$K$4:$AJ$4,0)))+SUMPRODUCT((Inputs!$C$5:$C$130=$B32)*Inputs!$D$5:$D$130*(((Inputs!$G$5:$G$130="moeda")+(Inputs!$G$5:$G$130="acoes"))*Inputs!$B$1+((Inputs!$G$5:$G$130&lt;&gt;"moeda")*(Inputs!$G$5:$G$130&lt;&gt;"acoes")))*INDEX(Inputs!$K$5:$AJ$130,0,MATCH(Y$2,Inputs!$K$4:$AJ$4,0)))+SUMPRODUCT((Inputs!$E$5:$E$130=$B32)*Inputs!$F$5:$F$130*(((Inputs!$G$5:$G$130="moeda")+(Inputs!$G$5:$G$130="acoes"))*Inputs!$B$1+((Inputs!$G$5:$G$130&lt;&gt;"moeda")*(Inputs!$G$5:$G$130&lt;&gt;"acoes")))*INDEX(Inputs!$K$5:$AJ$130,0,MATCH(Y$2,Inputs!$K$4:$AJ$4,0)))))</f>
        <v>0</v>
      </c>
      <c r="Z32" s="6">
        <f>IF(ISNA(MATCH(Z$2,Inputs!$K$4:$AJ$4,0)),NA(),IF(SUMPRODUCT((Inputs!$A$5:$A$130=$B32)*ISNUMBER(INDEX(Inputs!$K$5:$AJ$130,0,MATCH(Z$2,Inputs!$K$4:$AJ$4,0))))+SUMPRODUCT((Inputs!$C$5:$C$130=$B32)*ISNUMBER(INDEX(Inputs!$K$5:$AJ$130,0,MATCH(Z$2,Inputs!$K$4:$AJ$4,0))))+SUMPRODUCT((Inputs!$E$5:$E$130=$B32)*ISNUMBER(INDEX(Inputs!$K$5:$AJ$130,0,MATCH(Z$2,Inputs!$K$4:$AJ$4,0))))=0,NA(),SUMPRODUCT((Inputs!$A$5:$A$130=$B32)*Inputs!$B$5:$B$130*(((Inputs!$G$5:$G$130="moeda")+(Inputs!$G$5:$G$130="acoes"))*Inputs!$B$1+((Inputs!$G$5:$G$130&lt;&gt;"moeda")*(Inputs!$G$5:$G$130&lt;&gt;"acoes")))*INDEX(Inputs!$K$5:$AJ$130,0,MATCH(Z$2,Inputs!$K$4:$AJ$4,0)))+SUMPRODUCT((Inputs!$C$5:$C$130=$B32)*Inputs!$D$5:$D$130*(((Inputs!$G$5:$G$130="moeda")+(Inputs!$G$5:$G$130="acoes"))*Inputs!$B$1+((Inputs!$G$5:$G$130&lt;&gt;"moeda")*(Inputs!$G$5:$G$130&lt;&gt;"acoes")))*INDEX(Inputs!$K$5:$AJ$130,0,MATCH(Z$2,Inputs!$K$4:$AJ$4,0)))+SUMPRODUCT((Inputs!$E$5:$E$130=$B32)*Inputs!$F$5:$F$130*(((Inputs!$G$5:$G$130="moeda")+(Inputs!$G$5:$G$130="acoes"))*Inputs!$B$1+((Inputs!$G$5:$G$130&lt;&gt;"moeda")*(Inputs!$G$5:$G$130&lt;&gt;"acoes")))*INDEX(Inputs!$K$5:$AJ$130,0,MATCH(Z$2,Inputs!$K$4:$AJ$4,0)))))</f>
        <v>999</v>
      </c>
      <c r="AA32" s="6">
        <f>IF(ISNA(MATCH(AA$2,Inputs!$K$4:$AJ$4,0)),NA(),IF(SUMPRODUCT((Inputs!$A$5:$A$130=$B32)*ISNUMBER(INDEX(Inputs!$K$5:$AJ$130,0,MATCH(AA$2,Inputs!$K$4:$AJ$4,0))))+SUMPRODUCT((Inputs!$C$5:$C$130=$B32)*ISNUMBER(INDEX(Inputs!$K$5:$AJ$130,0,MATCH(AA$2,Inputs!$K$4:$AJ$4,0))))+SUMPRODUCT((Inputs!$E$5:$E$130=$B32)*ISNUMBER(INDEX(Inputs!$K$5:$AJ$130,0,MATCH(AA$2,Inputs!$K$4:$AJ$4,0))))=0,NA(),SUMPRODUCT((Inputs!$A$5:$A$130=$B32)*Inputs!$B$5:$B$130*(((Inputs!$G$5:$G$130="moeda")+(Inputs!$G$5:$G$130="acoes"))*Inputs!$B$1+((Inputs!$G$5:$G$130&lt;&gt;"moeda")*(Inputs!$G$5:$G$130&lt;&gt;"acoes")))*INDEX(Inputs!$K$5:$AJ$130,0,MATCH(AA$2,Inputs!$K$4:$AJ$4,0)))+SUMPRODUCT((Inputs!$C$5:$C$130=$B32)*Inputs!$D$5:$D$130*(((Inputs!$G$5:$G$130="moeda")+(Inputs!$G$5:$G$130="acoes"))*Inputs!$B$1+((Inputs!$G$5:$G$130&lt;&gt;"moeda")*(Inputs!$G$5:$G$130&lt;&gt;"acoes")))*INDEX(Inputs!$K$5:$AJ$130,0,MATCH(AA$2,Inputs!$K$4:$AJ$4,0)))+SUMPRODUCT((Inputs!$E$5:$E$130=$B32)*Inputs!$F$5:$F$130*(((Inputs!$G$5:$G$130="moeda")+(Inputs!$G$5:$G$130="acoes"))*Inputs!$B$1+((Inputs!$G$5:$G$130&lt;&gt;"moeda")*(Inputs!$G$5:$G$130&lt;&gt;"acoes")))*INDEX(Inputs!$K$5:$AJ$130,0,MATCH(AA$2,Inputs!$K$4:$AJ$4,0)))))</f>
        <v>999</v>
      </c>
      <c r="AB32" s="3">
        <f>AA32</f>
        <v>999</v>
      </c>
      <c r="AC32" s="6">
        <f>IF(ISNA(MATCH(AC$2,Inputs!$K$4:$AJ$4,0)),NA(),IF(SUMPRODUCT((Inputs!$A$5:$A$130=$B32)*ISNUMBER(INDEX(Inputs!$K$5:$AJ$130,0,MATCH(AC$2,Inputs!$K$4:$AJ$4,0))))+SUMPRODUCT((Inputs!$C$5:$C$130=$B32)*ISNUMBER(INDEX(Inputs!$K$5:$AJ$130,0,MATCH(AC$2,Inputs!$K$4:$AJ$4,0))))+SUMPRODUCT((Inputs!$E$5:$E$130=$B32)*ISNUMBER(INDEX(Inputs!$K$5:$AJ$130,0,MATCH(AC$2,Inputs!$K$4:$AJ$4,0))))=0,NA(),SUMPRODUCT((Inputs!$A$5:$A$130=$B32)*Inputs!$B$5:$B$130*(((Inputs!$G$5:$G$130="moeda")+(Inputs!$G$5:$G$130="acoes"))*Inputs!$B$1+((Inputs!$G$5:$G$130&lt;&gt;"moeda")*(Inputs!$G$5:$G$130&lt;&gt;"acoes")))*INDEX(Inputs!$K$5:$AJ$130,0,MATCH(AC$2,Inputs!$K$4:$AJ$4,0)))+SUMPRODUCT((Inputs!$C$5:$C$130=$B32)*Inputs!$D$5:$D$130*(((Inputs!$G$5:$G$130="moeda")+(Inputs!$G$5:$G$130="acoes"))*Inputs!$B$1+((Inputs!$G$5:$G$130&lt;&gt;"moeda")*(Inputs!$G$5:$G$130&lt;&gt;"acoes")))*INDEX(Inputs!$K$5:$AJ$130,0,MATCH(AC$2,Inputs!$K$4:$AJ$4,0)))+SUMPRODUCT((Inputs!$E$5:$E$130=$B32)*Inputs!$F$5:$F$130*(((Inputs!$G$5:$G$130="moeda")+(Inputs!$G$5:$G$130="acoes"))*Inputs!$B$1+((Inputs!$G$5:$G$130&lt;&gt;"moeda")*(Inputs!$G$5:$G$130&lt;&gt;"acoes")))*INDEX(Inputs!$K$5:$AJ$130,0,MATCH(AC$2,Inputs!$K$4:$AJ$4,0)))))</f>
        <v>1000</v>
      </c>
      <c r="AD32" s="6">
        <f>IF(ISNA(MATCH(AD$2,Inputs!$K$4:$AJ$4,0)),NA(),IF(SUMPRODUCT((Inputs!$A$5:$A$130=$B32)*ISNUMBER(INDEX(Inputs!$K$5:$AJ$130,0,MATCH(AD$2,Inputs!$K$4:$AJ$4,0))))+SUMPRODUCT((Inputs!$C$5:$C$130=$B32)*ISNUMBER(INDEX(Inputs!$K$5:$AJ$130,0,MATCH(AD$2,Inputs!$K$4:$AJ$4,0))))+SUMPRODUCT((Inputs!$E$5:$E$130=$B32)*ISNUMBER(INDEX(Inputs!$K$5:$AJ$130,0,MATCH(AD$2,Inputs!$K$4:$AJ$4,0))))=0,NA(),SUMPRODUCT((Inputs!$A$5:$A$130=$B32)*Inputs!$B$5:$B$130*(((Inputs!$G$5:$G$130="moeda")+(Inputs!$G$5:$G$130="acoes"))*Inputs!$B$1+((Inputs!$G$5:$G$130&lt;&gt;"moeda")*(Inputs!$G$5:$G$130&lt;&gt;"acoes")))*INDEX(Inputs!$K$5:$AJ$130,0,MATCH(AD$2,Inputs!$K$4:$AJ$4,0)))+SUMPRODUCT((Inputs!$C$5:$C$130=$B32)*Inputs!$D$5:$D$130*(((Inputs!$G$5:$G$130="moeda")+(Inputs!$G$5:$G$130="acoes"))*Inputs!$B$1+((Inputs!$G$5:$G$130&lt;&gt;"moeda")*(Inputs!$G$5:$G$130&lt;&gt;"acoes")))*INDEX(Inputs!$K$5:$AJ$130,0,MATCH(AD$2,Inputs!$K$4:$AJ$4,0)))+SUMPRODUCT((Inputs!$E$5:$E$130=$B32)*Inputs!$F$5:$F$130*(((Inputs!$G$5:$G$130="moeda")+(Inputs!$G$5:$G$130="acoes"))*Inputs!$B$1+((Inputs!$G$5:$G$130&lt;&gt;"moeda")*(Inputs!$G$5:$G$130&lt;&gt;"acoes")))*INDEX(Inputs!$K$5:$AJ$130,0,MATCH(AD$2,Inputs!$K$4:$AJ$4,0)))))</f>
        <v>1000</v>
      </c>
      <c r="AE32" s="6" t="e">
        <f>IF(ISNA(MATCH(AE$2,Inputs!$K$4:$AJ$4,0)),NA(),IF(SUMPRODUCT((Inputs!$A$5:$A$130=$B32)*ISNUMBER(INDEX(Inputs!$K$5:$AJ$130,0,MATCH(AE$2,Inputs!$K$4:$AJ$4,0))))+SUMPRODUCT((Inputs!$C$5:$C$130=$B32)*ISNUMBER(INDEX(Inputs!$K$5:$AJ$130,0,MATCH(AE$2,Inputs!$K$4:$AJ$4,0))))+SUMPRODUCT((Inputs!$E$5:$E$130=$B32)*ISNUMBER(INDEX(Inputs!$K$5:$AJ$130,0,MATCH(AE$2,Inputs!$K$4:$AJ$4,0))))=0,NA(),SUMPRODUCT((Inputs!$A$5:$A$130=$B32)*Inputs!$B$5:$B$130*(((Inputs!$G$5:$G$130="moeda")+(Inputs!$G$5:$G$130="acoes"))*Inputs!$B$1+((Inputs!$G$5:$G$130&lt;&gt;"moeda")*(Inputs!$G$5:$G$130&lt;&gt;"acoes")))*INDEX(Inputs!$K$5:$AJ$130,0,MATCH(AE$2,Inputs!$K$4:$AJ$4,0)))+SUMPRODUCT((Inputs!$C$5:$C$130=$B32)*Inputs!$D$5:$D$130*(((Inputs!$G$5:$G$130="moeda")+(Inputs!$G$5:$G$130="acoes"))*Inputs!$B$1+((Inputs!$G$5:$G$130&lt;&gt;"moeda")*(Inputs!$G$5:$G$130&lt;&gt;"acoes")))*INDEX(Inputs!$K$5:$AJ$130,0,MATCH(AE$2,Inputs!$K$4:$AJ$4,0)))+SUMPRODUCT((Inputs!$E$5:$E$130=$B32)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2" s="6" t="e">
        <f>IF(ISNA(MATCH(AF$2,Inputs!$K$4:$AJ$4,0)),NA(),IF(SUMPRODUCT((Inputs!$A$5:$A$130=$B32)*ISNUMBER(INDEX(Inputs!$K$5:$AJ$130,0,MATCH(AF$2,Inputs!$K$4:$AJ$4,0))))+SUMPRODUCT((Inputs!$C$5:$C$130=$B32)*ISNUMBER(INDEX(Inputs!$K$5:$AJ$130,0,MATCH(AF$2,Inputs!$K$4:$AJ$4,0))))+SUMPRODUCT((Inputs!$E$5:$E$130=$B32)*ISNUMBER(INDEX(Inputs!$K$5:$AJ$130,0,MATCH(AF$2,Inputs!$K$4:$AJ$4,0))))=0,NA(),SUMPRODUCT((Inputs!$A$5:$A$130=$B32)*Inputs!$B$5:$B$130*(((Inputs!$G$5:$G$130="moeda")+(Inputs!$G$5:$G$130="acoes"))*Inputs!$B$1+((Inputs!$G$5:$G$130&lt;&gt;"moeda")*(Inputs!$G$5:$G$130&lt;&gt;"acoes")))*INDEX(Inputs!$K$5:$AJ$130,0,MATCH(AF$2,Inputs!$K$4:$AJ$4,0)))+SUMPRODUCT((Inputs!$C$5:$C$130=$B32)*Inputs!$D$5:$D$130*(((Inputs!$G$5:$G$130="moeda")+(Inputs!$G$5:$G$130="acoes"))*Inputs!$B$1+((Inputs!$G$5:$G$130&lt;&gt;"moeda")*(Inputs!$G$5:$G$130&lt;&gt;"acoes")))*INDEX(Inputs!$K$5:$AJ$130,0,MATCH(AF$2,Inputs!$K$4:$AJ$4,0)))+SUMPRODUCT((Inputs!$E$5:$E$130=$B32)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2" s="3" t="e">
        <f>AF32</f>
        <v>#N/A</v>
      </c>
      <c r="AH32" s="6">
        <f>IF(ISNA(MATCH(AH$2,Inputs!$K$4:$AJ$4,0)),NA(),IF(SUMPRODUCT((Inputs!$A$5:$A$130=$B32)*ISNUMBER(INDEX(Inputs!$K$5:$AJ$130,0,MATCH(AH$2,Inputs!$K$4:$AJ$4,0))))+SUMPRODUCT((Inputs!$C$5:$C$130=$B32)*ISNUMBER(INDEX(Inputs!$K$5:$AJ$130,0,MATCH(AH$2,Inputs!$K$4:$AJ$4,0))))+SUMPRODUCT((Inputs!$E$5:$E$130=$B32)*ISNUMBER(INDEX(Inputs!$K$5:$AJ$130,0,MATCH(AH$2,Inputs!$K$4:$AJ$4,0))))=0,NA(),SUMPRODUCT((Inputs!$A$5:$A$130=$B32)*Inputs!$B$5:$B$130*(((Inputs!$G$5:$G$130="moeda")+(Inputs!$G$5:$G$130="acoes"))*Inputs!$B$1+((Inputs!$G$5:$G$130&lt;&gt;"moeda")*(Inputs!$G$5:$G$130&lt;&gt;"acoes")))*INDEX(Inputs!$K$5:$AJ$130,0,MATCH(AH$2,Inputs!$K$4:$AJ$4,0)))+SUMPRODUCT((Inputs!$C$5:$C$130=$B32)*Inputs!$D$5:$D$130*(((Inputs!$G$5:$G$130="moeda")+(Inputs!$G$5:$G$130="acoes"))*Inputs!$B$1+((Inputs!$G$5:$G$130&lt;&gt;"moeda")*(Inputs!$G$5:$G$130&lt;&gt;"acoes")))*INDEX(Inputs!$K$5:$AJ$130,0,MATCH(AH$2,Inputs!$K$4:$AJ$4,0)))+SUMPRODUCT((Inputs!$E$5:$E$130=$B32)*Inputs!$F$5:$F$130*(((Inputs!$G$5:$G$130="moeda")+(Inputs!$G$5:$G$130="acoes"))*Inputs!$B$1+((Inputs!$G$5:$G$130&lt;&gt;"moeda")*(Inputs!$G$5:$G$130&lt;&gt;"acoes")))*INDEX(Inputs!$K$5:$AJ$130,0,MATCH(AH$2,Inputs!$K$4:$AJ$4,0)))))</f>
        <v>0</v>
      </c>
      <c r="AI32" s="6">
        <f>IF(ISNA(MATCH(AI$2,Inputs!$K$4:$AJ$4,0)),NA(),IF(SUMPRODUCT((Inputs!$A$5:$A$130=$B32)*ISNUMBER(INDEX(Inputs!$K$5:$AJ$130,0,MATCH(AI$2,Inputs!$K$4:$AJ$4,0))))+SUMPRODUCT((Inputs!$C$5:$C$130=$B32)*ISNUMBER(INDEX(Inputs!$K$5:$AJ$130,0,MATCH(AI$2,Inputs!$K$4:$AJ$4,0))))+SUMPRODUCT((Inputs!$E$5:$E$130=$B32)*ISNUMBER(INDEX(Inputs!$K$5:$AJ$130,0,MATCH(AI$2,Inputs!$K$4:$AJ$4,0))))=0,NA(),SUMPRODUCT((Inputs!$A$5:$A$130=$B32)*Inputs!$B$5:$B$130*(((Inputs!$G$5:$G$130="moeda")+(Inputs!$G$5:$G$130="acoes"))*Inputs!$B$1+((Inputs!$G$5:$G$130&lt;&gt;"moeda")*(Inputs!$G$5:$G$130&lt;&gt;"acoes")))*INDEX(Inputs!$K$5:$AJ$130,0,MATCH(AI$2,Inputs!$K$4:$AJ$4,0)))+SUMPRODUCT((Inputs!$C$5:$C$130=$B32)*Inputs!$D$5:$D$130*(((Inputs!$G$5:$G$130="moeda")+(Inputs!$G$5:$G$130="acoes"))*Inputs!$B$1+((Inputs!$G$5:$G$130&lt;&gt;"moeda")*(Inputs!$G$5:$G$130&lt;&gt;"acoes")))*INDEX(Inputs!$K$5:$AJ$130,0,MATCH(AI$2,Inputs!$K$4:$AJ$4,0)))+SUMPRODUCT((Inputs!$E$5:$E$130=$B32)*Inputs!$F$5:$F$130*(((Inputs!$G$5:$G$130="moeda")+(Inputs!$G$5:$G$130="acoes"))*Inputs!$B$1+((Inputs!$G$5:$G$130&lt;&gt;"moeda")*(Inputs!$G$5:$G$130&lt;&gt;"acoes")))*INDEX(Inputs!$K$5:$AJ$130,0,MATCH(AI$2,Inputs!$K$4:$AJ$4,0)))))</f>
        <v>0</v>
      </c>
      <c r="AJ32" s="6">
        <f>IF(ISNA(MATCH(AJ$2,Inputs!$K$4:$AJ$4,0)),NA(),IF(SUMPRODUCT((Inputs!$A$5:$A$130=$B32)*ISNUMBER(INDEX(Inputs!$K$5:$AJ$130,0,MATCH(AJ$2,Inputs!$K$4:$AJ$4,0))))+SUMPRODUCT((Inputs!$C$5:$C$130=$B32)*ISNUMBER(INDEX(Inputs!$K$5:$AJ$130,0,MATCH(AJ$2,Inputs!$K$4:$AJ$4,0))))+SUMPRODUCT((Inputs!$E$5:$E$130=$B32)*ISNUMBER(INDEX(Inputs!$K$5:$AJ$130,0,MATCH(AJ$2,Inputs!$K$4:$AJ$4,0))))=0,NA(),SUMPRODUCT((Inputs!$A$5:$A$130=$B32)*Inputs!$B$5:$B$130*(((Inputs!$G$5:$G$130="moeda")+(Inputs!$G$5:$G$130="acoes"))*Inputs!$B$1+((Inputs!$G$5:$G$130&lt;&gt;"moeda")*(Inputs!$G$5:$G$130&lt;&gt;"acoes")))*INDEX(Inputs!$K$5:$AJ$130,0,MATCH(AJ$2,Inputs!$K$4:$AJ$4,0)))+SUMPRODUCT((Inputs!$C$5:$C$130=$B32)*Inputs!$D$5:$D$130*(((Inputs!$G$5:$G$130="moeda")+(Inputs!$G$5:$G$130="acoes"))*Inputs!$B$1+((Inputs!$G$5:$G$130&lt;&gt;"moeda")*(Inputs!$G$5:$G$130&lt;&gt;"acoes")))*INDEX(Inputs!$K$5:$AJ$130,0,MATCH(AJ$2,Inputs!$K$4:$AJ$4,0)))+SUMPRODUCT((Inputs!$E$5:$E$130=$B32)*Inputs!$F$5:$F$130*(((Inputs!$G$5:$G$130="moeda")+(Inputs!$G$5:$G$130="acoes"))*Inputs!$B$1+((Inputs!$G$5:$G$130&lt;&gt;"moeda")*(Inputs!$G$5:$G$130&lt;&gt;"acoes")))*INDEX(Inputs!$K$5:$AJ$130,0,MATCH(AJ$2,Inputs!$K$4:$AJ$4,0)))))</f>
        <v>998</v>
      </c>
      <c r="AK32" s="6">
        <f>IF(ISNA(MATCH(AK$2,Inputs!$K$4:$AJ$4,0)),NA(),IF(SUMPRODUCT((Inputs!$A$5:$A$130=$B32)*ISNUMBER(INDEX(Inputs!$K$5:$AJ$130,0,MATCH(AK$2,Inputs!$K$4:$AJ$4,0))))+SUMPRODUCT((Inputs!$C$5:$C$130=$B32)*ISNUMBER(INDEX(Inputs!$K$5:$AJ$130,0,MATCH(AK$2,Inputs!$K$4:$AJ$4,0))))+SUMPRODUCT((Inputs!$E$5:$E$130=$B32)*ISNUMBER(INDEX(Inputs!$K$5:$AJ$130,0,MATCH(AK$2,Inputs!$K$4:$AJ$4,0))))=0,NA(),SUMPRODUCT((Inputs!$A$5:$A$130=$B32)*Inputs!$B$5:$B$130*(((Inputs!$G$5:$G$130="moeda")+(Inputs!$G$5:$G$130="acoes"))*Inputs!$B$1+((Inputs!$G$5:$G$130&lt;&gt;"moeda")*(Inputs!$G$5:$G$130&lt;&gt;"acoes")))*INDEX(Inputs!$K$5:$AJ$130,0,MATCH(AK$2,Inputs!$K$4:$AJ$4,0)))+SUMPRODUCT((Inputs!$C$5:$C$130=$B32)*Inputs!$D$5:$D$130*(((Inputs!$G$5:$G$130="moeda")+(Inputs!$G$5:$G$130="acoes"))*Inputs!$B$1+((Inputs!$G$5:$G$130&lt;&gt;"moeda")*(Inputs!$G$5:$G$130&lt;&gt;"acoes")))*INDEX(Inputs!$K$5:$AJ$130,0,MATCH(AK$2,Inputs!$K$4:$AJ$4,0)))+SUMPRODUCT((Inputs!$E$5:$E$130=$B32)*Inputs!$F$5:$F$130*(((Inputs!$G$5:$G$130="moeda")+(Inputs!$G$5:$G$130="acoes"))*Inputs!$B$1+((Inputs!$G$5:$G$130&lt;&gt;"moeda")*(Inputs!$G$5:$G$130&lt;&gt;"acoes")))*INDEX(Inputs!$K$5:$AJ$130,0,MATCH(AK$2,Inputs!$K$4:$AJ$4,0)))))</f>
        <v>999</v>
      </c>
      <c r="AL32" s="3">
        <f>AK32</f>
        <v>999</v>
      </c>
    </row>
    <row r="33">
      <c r="B33" s="46" t="n">
        <v>28</v>
      </c>
      <c r="C33" s="26" t="inlineStr">
        <is>
          <t>Short term debt (Revolving credit facility)</t>
        </is>
      </c>
      <c r="D33" s="6" t="e">
        <f>IF(ISNA(MATCH(D$2,Inputs!$K$4:$AJ$4,0)),NA(),IF(SUMPRODUCT((Inputs!$A$5:$A$130=$B33)*ISNUMBER(INDEX(Inputs!$K$5:$AJ$130,0,MATCH(D$2,Inputs!$K$4:$AJ$4,0))))+SUMPRODUCT((Inputs!$C$5:$C$130=$B33)*ISNUMBER(INDEX(Inputs!$K$5:$AJ$130,0,MATCH(D$2,Inputs!$K$4:$AJ$4,0))))+SUMPRODUCT((Inputs!$E$5:$E$130=$B33)*ISNUMBER(INDEX(Inputs!$K$5:$AJ$130,0,MATCH(D$2,Inputs!$K$4:$AJ$4,0))))=0,NA(),SUMPRODUCT((Inputs!$A$5:$A$130=$B33)*Inputs!$B$5:$B$130*(((Inputs!$G$5:$G$130="moeda")+(Inputs!$G$5:$G$130="acoes"))*Inputs!$B$1+((Inputs!$G$5:$G$130&lt;&gt;"moeda")*(Inputs!$G$5:$G$130&lt;&gt;"acoes")))*INDEX(Inputs!$K$5:$AJ$130,0,MATCH(D$2,Inputs!$K$4:$AJ$4,0)))+SUMPRODUCT((Inputs!$C$5:$C$130=$B33)*Inputs!$D$5:$D$130*(((Inputs!$G$5:$G$130="moeda")+(Inputs!$G$5:$G$130="acoes"))*Inputs!$B$1+((Inputs!$G$5:$G$130&lt;&gt;"moeda")*(Inputs!$G$5:$G$130&lt;&gt;"acoes")))*INDEX(Inputs!$K$5:$AJ$130,0,MATCH(D$2,Inputs!$K$4:$AJ$4,0)))+SUMPRODUCT((Inputs!$E$5:$E$130=$B33)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33" s="6" t="e">
        <f>IF(ISNA(MATCH(E$2,Inputs!$K$4:$AJ$4,0)),NA(),IF(SUMPRODUCT((Inputs!$A$5:$A$130=$B33)*ISNUMBER(INDEX(Inputs!$K$5:$AJ$130,0,MATCH(E$2,Inputs!$K$4:$AJ$4,0))))+SUMPRODUCT((Inputs!$C$5:$C$130=$B33)*ISNUMBER(INDEX(Inputs!$K$5:$AJ$130,0,MATCH(E$2,Inputs!$K$4:$AJ$4,0))))+SUMPRODUCT((Inputs!$E$5:$E$130=$B33)*ISNUMBER(INDEX(Inputs!$K$5:$AJ$130,0,MATCH(E$2,Inputs!$K$4:$AJ$4,0))))=0,NA(),SUMPRODUCT((Inputs!$A$5:$A$130=$B33)*Inputs!$B$5:$B$130*(((Inputs!$G$5:$G$130="moeda")+(Inputs!$G$5:$G$130="acoes"))*Inputs!$B$1+((Inputs!$G$5:$G$130&lt;&gt;"moeda")*(Inputs!$G$5:$G$130&lt;&gt;"acoes")))*INDEX(Inputs!$K$5:$AJ$130,0,MATCH(E$2,Inputs!$K$4:$AJ$4,0)))+SUMPRODUCT((Inputs!$C$5:$C$130=$B33)*Inputs!$D$5:$D$130*(((Inputs!$G$5:$G$130="moeda")+(Inputs!$G$5:$G$130="acoes"))*Inputs!$B$1+((Inputs!$G$5:$G$130&lt;&gt;"moeda")*(Inputs!$G$5:$G$130&lt;&gt;"acoes")))*INDEX(Inputs!$K$5:$AJ$130,0,MATCH(E$2,Inputs!$K$4:$AJ$4,0)))+SUMPRODUCT((Inputs!$E$5:$E$130=$B33)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33" s="6" t="e">
        <f>IF(ISNA(MATCH(F$2,Inputs!$K$4:$AJ$4,0)),NA(),IF(SUMPRODUCT((Inputs!$A$5:$A$130=$B33)*ISNUMBER(INDEX(Inputs!$K$5:$AJ$130,0,MATCH(F$2,Inputs!$K$4:$AJ$4,0))))+SUMPRODUCT((Inputs!$C$5:$C$130=$B33)*ISNUMBER(INDEX(Inputs!$K$5:$AJ$130,0,MATCH(F$2,Inputs!$K$4:$AJ$4,0))))+SUMPRODUCT((Inputs!$E$5:$E$130=$B33)*ISNUMBER(INDEX(Inputs!$K$5:$AJ$130,0,MATCH(F$2,Inputs!$K$4:$AJ$4,0))))=0,NA(),SUMPRODUCT((Inputs!$A$5:$A$130=$B33)*Inputs!$B$5:$B$130*(((Inputs!$G$5:$G$130="moeda")+(Inputs!$G$5:$G$130="acoes"))*Inputs!$B$1+((Inputs!$G$5:$G$130&lt;&gt;"moeda")*(Inputs!$G$5:$G$130&lt;&gt;"acoes")))*INDEX(Inputs!$K$5:$AJ$130,0,MATCH(F$2,Inputs!$K$4:$AJ$4,0)))+SUMPRODUCT((Inputs!$C$5:$C$130=$B33)*Inputs!$D$5:$D$130*(((Inputs!$G$5:$G$130="moeda")+(Inputs!$G$5:$G$130="acoes"))*Inputs!$B$1+((Inputs!$G$5:$G$130&lt;&gt;"moeda")*(Inputs!$G$5:$G$130&lt;&gt;"acoes")))*INDEX(Inputs!$K$5:$AJ$130,0,MATCH(F$2,Inputs!$K$4:$AJ$4,0)))+SUMPRODUCT((Inputs!$E$5:$E$130=$B33)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33" s="6" t="e">
        <f>IF(ISNA(MATCH(G$2,Inputs!$K$4:$AJ$4,0)),NA(),IF(SUMPRODUCT((Inputs!$A$5:$A$130=$B33)*ISNUMBER(INDEX(Inputs!$K$5:$AJ$130,0,MATCH(G$2,Inputs!$K$4:$AJ$4,0))))+SUMPRODUCT((Inputs!$C$5:$C$130=$B33)*ISNUMBER(INDEX(Inputs!$K$5:$AJ$130,0,MATCH(G$2,Inputs!$K$4:$AJ$4,0))))+SUMPRODUCT((Inputs!$E$5:$E$130=$B33)*ISNUMBER(INDEX(Inputs!$K$5:$AJ$130,0,MATCH(G$2,Inputs!$K$4:$AJ$4,0))))=0,NA(),SUMPRODUCT((Inputs!$A$5:$A$130=$B33)*Inputs!$B$5:$B$130*(((Inputs!$G$5:$G$130="moeda")+(Inputs!$G$5:$G$130="acoes"))*Inputs!$B$1+((Inputs!$G$5:$G$130&lt;&gt;"moeda")*(Inputs!$G$5:$G$130&lt;&gt;"acoes")))*INDEX(Inputs!$K$5:$AJ$130,0,MATCH(G$2,Inputs!$K$4:$AJ$4,0)))+SUMPRODUCT((Inputs!$C$5:$C$130=$B33)*Inputs!$D$5:$D$130*(((Inputs!$G$5:$G$130="moeda")+(Inputs!$G$5:$G$130="acoes"))*Inputs!$B$1+((Inputs!$G$5:$G$130&lt;&gt;"moeda")*(Inputs!$G$5:$G$130&lt;&gt;"acoes")))*INDEX(Inputs!$K$5:$AJ$130,0,MATCH(G$2,Inputs!$K$4:$AJ$4,0)))+SUMPRODUCT((Inputs!$E$5:$E$130=$B33)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33" s="3" t="e">
        <f>G33</f>
        <v>#N/A</v>
      </c>
      <c r="I33" s="6" t="e">
        <f>IF(ISNA(MATCH(I$2,Inputs!$K$4:$AJ$4,0)),NA(),IF(SUMPRODUCT((Inputs!$A$5:$A$130=$B33)*ISNUMBER(INDEX(Inputs!$K$5:$AJ$130,0,MATCH(I$2,Inputs!$K$4:$AJ$4,0))))+SUMPRODUCT((Inputs!$C$5:$C$130=$B33)*ISNUMBER(INDEX(Inputs!$K$5:$AJ$130,0,MATCH(I$2,Inputs!$K$4:$AJ$4,0))))+SUMPRODUCT((Inputs!$E$5:$E$130=$B33)*ISNUMBER(INDEX(Inputs!$K$5:$AJ$130,0,MATCH(I$2,Inputs!$K$4:$AJ$4,0))))=0,NA(),SUMPRODUCT((Inputs!$A$5:$A$130=$B33)*Inputs!$B$5:$B$130*(((Inputs!$G$5:$G$130="moeda")+(Inputs!$G$5:$G$130="acoes"))*Inputs!$B$1+((Inputs!$G$5:$G$130&lt;&gt;"moeda")*(Inputs!$G$5:$G$130&lt;&gt;"acoes")))*INDEX(Inputs!$K$5:$AJ$130,0,MATCH(I$2,Inputs!$K$4:$AJ$4,0)))+SUMPRODUCT((Inputs!$C$5:$C$130=$B33)*Inputs!$D$5:$D$130*(((Inputs!$G$5:$G$130="moeda")+(Inputs!$G$5:$G$130="acoes"))*Inputs!$B$1+((Inputs!$G$5:$G$130&lt;&gt;"moeda")*(Inputs!$G$5:$G$130&lt;&gt;"acoes")))*INDEX(Inputs!$K$5:$AJ$130,0,MATCH(I$2,Inputs!$K$4:$AJ$4,0)))+SUMPRODUCT((Inputs!$E$5:$E$130=$B33)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33" s="6" t="e">
        <f>IF(ISNA(MATCH(J$2,Inputs!$K$4:$AJ$4,0)),NA(),IF(SUMPRODUCT((Inputs!$A$5:$A$130=$B33)*ISNUMBER(INDEX(Inputs!$K$5:$AJ$130,0,MATCH(J$2,Inputs!$K$4:$AJ$4,0))))+SUMPRODUCT((Inputs!$C$5:$C$130=$B33)*ISNUMBER(INDEX(Inputs!$K$5:$AJ$130,0,MATCH(J$2,Inputs!$K$4:$AJ$4,0))))+SUMPRODUCT((Inputs!$E$5:$E$130=$B33)*ISNUMBER(INDEX(Inputs!$K$5:$AJ$130,0,MATCH(J$2,Inputs!$K$4:$AJ$4,0))))=0,NA(),SUMPRODUCT((Inputs!$A$5:$A$130=$B33)*Inputs!$B$5:$B$130*(((Inputs!$G$5:$G$130="moeda")+(Inputs!$G$5:$G$130="acoes"))*Inputs!$B$1+((Inputs!$G$5:$G$130&lt;&gt;"moeda")*(Inputs!$G$5:$G$130&lt;&gt;"acoes")))*INDEX(Inputs!$K$5:$AJ$130,0,MATCH(J$2,Inputs!$K$4:$AJ$4,0)))+SUMPRODUCT((Inputs!$C$5:$C$130=$B33)*Inputs!$D$5:$D$130*(((Inputs!$G$5:$G$130="moeda")+(Inputs!$G$5:$G$130="acoes"))*Inputs!$B$1+((Inputs!$G$5:$G$130&lt;&gt;"moeda")*(Inputs!$G$5:$G$130&lt;&gt;"acoes")))*INDEX(Inputs!$K$5:$AJ$130,0,MATCH(J$2,Inputs!$K$4:$AJ$4,0)))+SUMPRODUCT((Inputs!$E$5:$E$130=$B33)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33" s="6" t="e">
        <f>IF(ISNA(MATCH(K$2,Inputs!$K$4:$AJ$4,0)),NA(),IF(SUMPRODUCT((Inputs!$A$5:$A$130=$B33)*ISNUMBER(INDEX(Inputs!$K$5:$AJ$130,0,MATCH(K$2,Inputs!$K$4:$AJ$4,0))))+SUMPRODUCT((Inputs!$C$5:$C$130=$B33)*ISNUMBER(INDEX(Inputs!$K$5:$AJ$130,0,MATCH(K$2,Inputs!$K$4:$AJ$4,0))))+SUMPRODUCT((Inputs!$E$5:$E$130=$B33)*ISNUMBER(INDEX(Inputs!$K$5:$AJ$130,0,MATCH(K$2,Inputs!$K$4:$AJ$4,0))))=0,NA(),SUMPRODUCT((Inputs!$A$5:$A$130=$B33)*Inputs!$B$5:$B$130*(((Inputs!$G$5:$G$130="moeda")+(Inputs!$G$5:$G$130="acoes"))*Inputs!$B$1+((Inputs!$G$5:$G$130&lt;&gt;"moeda")*(Inputs!$G$5:$G$130&lt;&gt;"acoes")))*INDEX(Inputs!$K$5:$AJ$130,0,MATCH(K$2,Inputs!$K$4:$AJ$4,0)))+SUMPRODUCT((Inputs!$C$5:$C$130=$B33)*Inputs!$D$5:$D$130*(((Inputs!$G$5:$G$130="moeda")+(Inputs!$G$5:$G$130="acoes"))*Inputs!$B$1+((Inputs!$G$5:$G$130&lt;&gt;"moeda")*(Inputs!$G$5:$G$130&lt;&gt;"acoes")))*INDEX(Inputs!$K$5:$AJ$130,0,MATCH(K$2,Inputs!$K$4:$AJ$4,0)))+SUMPRODUCT((Inputs!$E$5:$E$130=$B33)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33" s="6" t="e">
        <f>IF(ISNA(MATCH(L$2,Inputs!$K$4:$AJ$4,0)),NA(),IF(SUMPRODUCT((Inputs!$A$5:$A$130=$B33)*ISNUMBER(INDEX(Inputs!$K$5:$AJ$130,0,MATCH(L$2,Inputs!$K$4:$AJ$4,0))))+SUMPRODUCT((Inputs!$C$5:$C$130=$B33)*ISNUMBER(INDEX(Inputs!$K$5:$AJ$130,0,MATCH(L$2,Inputs!$K$4:$AJ$4,0))))+SUMPRODUCT((Inputs!$E$5:$E$130=$B33)*ISNUMBER(INDEX(Inputs!$K$5:$AJ$130,0,MATCH(L$2,Inputs!$K$4:$AJ$4,0))))=0,NA(),SUMPRODUCT((Inputs!$A$5:$A$130=$B33)*Inputs!$B$5:$B$130*(((Inputs!$G$5:$G$130="moeda")+(Inputs!$G$5:$G$130="acoes"))*Inputs!$B$1+((Inputs!$G$5:$G$130&lt;&gt;"moeda")*(Inputs!$G$5:$G$130&lt;&gt;"acoes")))*INDEX(Inputs!$K$5:$AJ$130,0,MATCH(L$2,Inputs!$K$4:$AJ$4,0)))+SUMPRODUCT((Inputs!$C$5:$C$130=$B33)*Inputs!$D$5:$D$130*(((Inputs!$G$5:$G$130="moeda")+(Inputs!$G$5:$G$130="acoes"))*Inputs!$B$1+((Inputs!$G$5:$G$130&lt;&gt;"moeda")*(Inputs!$G$5:$G$130&lt;&gt;"acoes")))*INDEX(Inputs!$K$5:$AJ$130,0,MATCH(L$2,Inputs!$K$4:$AJ$4,0)))+SUMPRODUCT((Inputs!$E$5:$E$130=$B33)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33" s="3" t="e">
        <f>L33</f>
        <v>#N/A</v>
      </c>
      <c r="N33" s="6" t="e">
        <f>IF(ISNA(MATCH(N$2,Inputs!$K$4:$AJ$4,0)),NA(),IF(SUMPRODUCT((Inputs!$A$5:$A$130=$B33)*ISNUMBER(INDEX(Inputs!$K$5:$AJ$130,0,MATCH(N$2,Inputs!$K$4:$AJ$4,0))))+SUMPRODUCT((Inputs!$C$5:$C$130=$B33)*ISNUMBER(INDEX(Inputs!$K$5:$AJ$130,0,MATCH(N$2,Inputs!$K$4:$AJ$4,0))))+SUMPRODUCT((Inputs!$E$5:$E$130=$B33)*ISNUMBER(INDEX(Inputs!$K$5:$AJ$130,0,MATCH(N$2,Inputs!$K$4:$AJ$4,0))))=0,NA(),SUMPRODUCT((Inputs!$A$5:$A$130=$B33)*Inputs!$B$5:$B$130*(((Inputs!$G$5:$G$130="moeda")+(Inputs!$G$5:$G$130="acoes"))*Inputs!$B$1+((Inputs!$G$5:$G$130&lt;&gt;"moeda")*(Inputs!$G$5:$G$130&lt;&gt;"acoes")))*INDEX(Inputs!$K$5:$AJ$130,0,MATCH(N$2,Inputs!$K$4:$AJ$4,0)))+SUMPRODUCT((Inputs!$C$5:$C$130=$B33)*Inputs!$D$5:$D$130*(((Inputs!$G$5:$G$130="moeda")+(Inputs!$G$5:$G$130="acoes"))*Inputs!$B$1+((Inputs!$G$5:$G$130&lt;&gt;"moeda")*(Inputs!$G$5:$G$130&lt;&gt;"acoes")))*INDEX(Inputs!$K$5:$AJ$130,0,MATCH(N$2,Inputs!$K$4:$AJ$4,0)))+SUMPRODUCT((Inputs!$E$5:$E$130=$B33)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33" s="6" t="e">
        <f>IF(ISNA(MATCH(O$2,Inputs!$K$4:$AJ$4,0)),NA(),IF(SUMPRODUCT((Inputs!$A$5:$A$130=$B33)*ISNUMBER(INDEX(Inputs!$K$5:$AJ$130,0,MATCH(O$2,Inputs!$K$4:$AJ$4,0))))+SUMPRODUCT((Inputs!$C$5:$C$130=$B33)*ISNUMBER(INDEX(Inputs!$K$5:$AJ$130,0,MATCH(O$2,Inputs!$K$4:$AJ$4,0))))+SUMPRODUCT((Inputs!$E$5:$E$130=$B33)*ISNUMBER(INDEX(Inputs!$K$5:$AJ$130,0,MATCH(O$2,Inputs!$K$4:$AJ$4,0))))=0,NA(),SUMPRODUCT((Inputs!$A$5:$A$130=$B33)*Inputs!$B$5:$B$130*(((Inputs!$G$5:$G$130="moeda")+(Inputs!$G$5:$G$130="acoes"))*Inputs!$B$1+((Inputs!$G$5:$G$130&lt;&gt;"moeda")*(Inputs!$G$5:$G$130&lt;&gt;"acoes")))*INDEX(Inputs!$K$5:$AJ$130,0,MATCH(O$2,Inputs!$K$4:$AJ$4,0)))+SUMPRODUCT((Inputs!$C$5:$C$130=$B33)*Inputs!$D$5:$D$130*(((Inputs!$G$5:$G$130="moeda")+(Inputs!$G$5:$G$130="acoes"))*Inputs!$B$1+((Inputs!$G$5:$G$130&lt;&gt;"moeda")*(Inputs!$G$5:$G$130&lt;&gt;"acoes")))*INDEX(Inputs!$K$5:$AJ$130,0,MATCH(O$2,Inputs!$K$4:$AJ$4,0)))+SUMPRODUCT((Inputs!$E$5:$E$130=$B33)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33" s="6" t="e">
        <f>IF(ISNA(MATCH(P$2,Inputs!$K$4:$AJ$4,0)),NA(),IF(SUMPRODUCT((Inputs!$A$5:$A$130=$B33)*ISNUMBER(INDEX(Inputs!$K$5:$AJ$130,0,MATCH(P$2,Inputs!$K$4:$AJ$4,0))))+SUMPRODUCT((Inputs!$C$5:$C$130=$B33)*ISNUMBER(INDEX(Inputs!$K$5:$AJ$130,0,MATCH(P$2,Inputs!$K$4:$AJ$4,0))))+SUMPRODUCT((Inputs!$E$5:$E$130=$B33)*ISNUMBER(INDEX(Inputs!$K$5:$AJ$130,0,MATCH(P$2,Inputs!$K$4:$AJ$4,0))))=0,NA(),SUMPRODUCT((Inputs!$A$5:$A$130=$B33)*Inputs!$B$5:$B$130*(((Inputs!$G$5:$G$130="moeda")+(Inputs!$G$5:$G$130="acoes"))*Inputs!$B$1+((Inputs!$G$5:$G$130&lt;&gt;"moeda")*(Inputs!$G$5:$G$130&lt;&gt;"acoes")))*INDEX(Inputs!$K$5:$AJ$130,0,MATCH(P$2,Inputs!$K$4:$AJ$4,0)))+SUMPRODUCT((Inputs!$C$5:$C$130=$B33)*Inputs!$D$5:$D$130*(((Inputs!$G$5:$G$130="moeda")+(Inputs!$G$5:$G$130="acoes"))*Inputs!$B$1+((Inputs!$G$5:$G$130&lt;&gt;"moeda")*(Inputs!$G$5:$G$130&lt;&gt;"acoes")))*INDEX(Inputs!$K$5:$AJ$130,0,MATCH(P$2,Inputs!$K$4:$AJ$4,0)))+SUMPRODUCT((Inputs!$E$5:$E$130=$B33)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33" s="6" t="e">
        <f>IF(ISNA(MATCH(Q$2,Inputs!$K$4:$AJ$4,0)),NA(),IF(SUMPRODUCT((Inputs!$A$5:$A$130=$B33)*ISNUMBER(INDEX(Inputs!$K$5:$AJ$130,0,MATCH(Q$2,Inputs!$K$4:$AJ$4,0))))+SUMPRODUCT((Inputs!$C$5:$C$130=$B33)*ISNUMBER(INDEX(Inputs!$K$5:$AJ$130,0,MATCH(Q$2,Inputs!$K$4:$AJ$4,0))))+SUMPRODUCT((Inputs!$E$5:$E$130=$B33)*ISNUMBER(INDEX(Inputs!$K$5:$AJ$130,0,MATCH(Q$2,Inputs!$K$4:$AJ$4,0))))=0,NA(),SUMPRODUCT((Inputs!$A$5:$A$130=$B33)*Inputs!$B$5:$B$130*(((Inputs!$G$5:$G$130="moeda")+(Inputs!$G$5:$G$130="acoes"))*Inputs!$B$1+((Inputs!$G$5:$G$130&lt;&gt;"moeda")*(Inputs!$G$5:$G$130&lt;&gt;"acoes")))*INDEX(Inputs!$K$5:$AJ$130,0,MATCH(Q$2,Inputs!$K$4:$AJ$4,0)))+SUMPRODUCT((Inputs!$C$5:$C$130=$B33)*Inputs!$D$5:$D$130*(((Inputs!$G$5:$G$130="moeda")+(Inputs!$G$5:$G$130="acoes"))*Inputs!$B$1+((Inputs!$G$5:$G$130&lt;&gt;"moeda")*(Inputs!$G$5:$G$130&lt;&gt;"acoes")))*INDEX(Inputs!$K$5:$AJ$130,0,MATCH(Q$2,Inputs!$K$4:$AJ$4,0)))+SUMPRODUCT((Inputs!$E$5:$E$130=$B33)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33" s="3" t="e">
        <f>Q33</f>
        <v>#N/A</v>
      </c>
      <c r="S33" s="6" t="e">
        <f>IF(ISNA(MATCH(S$2,Inputs!$K$4:$AJ$4,0)),NA(),IF(SUMPRODUCT((Inputs!$A$5:$A$130=$B33)*ISNUMBER(INDEX(Inputs!$K$5:$AJ$130,0,MATCH(S$2,Inputs!$K$4:$AJ$4,0))))+SUMPRODUCT((Inputs!$C$5:$C$130=$B33)*ISNUMBER(INDEX(Inputs!$K$5:$AJ$130,0,MATCH(S$2,Inputs!$K$4:$AJ$4,0))))+SUMPRODUCT((Inputs!$E$5:$E$130=$B33)*ISNUMBER(INDEX(Inputs!$K$5:$AJ$130,0,MATCH(S$2,Inputs!$K$4:$AJ$4,0))))=0,NA(),SUMPRODUCT((Inputs!$A$5:$A$130=$B33)*Inputs!$B$5:$B$130*(((Inputs!$G$5:$G$130="moeda")+(Inputs!$G$5:$G$130="acoes"))*Inputs!$B$1+((Inputs!$G$5:$G$130&lt;&gt;"moeda")*(Inputs!$G$5:$G$130&lt;&gt;"acoes")))*INDEX(Inputs!$K$5:$AJ$130,0,MATCH(S$2,Inputs!$K$4:$AJ$4,0)))+SUMPRODUCT((Inputs!$C$5:$C$130=$B33)*Inputs!$D$5:$D$130*(((Inputs!$G$5:$G$130="moeda")+(Inputs!$G$5:$G$130="acoes"))*Inputs!$B$1+((Inputs!$G$5:$G$130&lt;&gt;"moeda")*(Inputs!$G$5:$G$130&lt;&gt;"acoes")))*INDEX(Inputs!$K$5:$AJ$130,0,MATCH(S$2,Inputs!$K$4:$AJ$4,0)))+SUMPRODUCT((Inputs!$E$5:$E$130=$B33)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33" s="6" t="e">
        <f>IF(ISNA(MATCH(T$2,Inputs!$K$4:$AJ$4,0)),NA(),IF(SUMPRODUCT((Inputs!$A$5:$A$130=$B33)*ISNUMBER(INDEX(Inputs!$K$5:$AJ$130,0,MATCH(T$2,Inputs!$K$4:$AJ$4,0))))+SUMPRODUCT((Inputs!$C$5:$C$130=$B33)*ISNUMBER(INDEX(Inputs!$K$5:$AJ$130,0,MATCH(T$2,Inputs!$K$4:$AJ$4,0))))+SUMPRODUCT((Inputs!$E$5:$E$130=$B33)*ISNUMBER(INDEX(Inputs!$K$5:$AJ$130,0,MATCH(T$2,Inputs!$K$4:$AJ$4,0))))=0,NA(),SUMPRODUCT((Inputs!$A$5:$A$130=$B33)*Inputs!$B$5:$B$130*(((Inputs!$G$5:$G$130="moeda")+(Inputs!$G$5:$G$130="acoes"))*Inputs!$B$1+((Inputs!$G$5:$G$130&lt;&gt;"moeda")*(Inputs!$G$5:$G$130&lt;&gt;"acoes")))*INDEX(Inputs!$K$5:$AJ$130,0,MATCH(T$2,Inputs!$K$4:$AJ$4,0)))+SUMPRODUCT((Inputs!$C$5:$C$130=$B33)*Inputs!$D$5:$D$130*(((Inputs!$G$5:$G$130="moeda")+(Inputs!$G$5:$G$130="acoes"))*Inputs!$B$1+((Inputs!$G$5:$G$130&lt;&gt;"moeda")*(Inputs!$G$5:$G$130&lt;&gt;"acoes")))*INDEX(Inputs!$K$5:$AJ$130,0,MATCH(T$2,Inputs!$K$4:$AJ$4,0)))+SUMPRODUCT((Inputs!$E$5:$E$130=$B33)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33" s="6" t="e">
        <f>IF(ISNA(MATCH(U$2,Inputs!$K$4:$AJ$4,0)),NA(),IF(SUMPRODUCT((Inputs!$A$5:$A$130=$B33)*ISNUMBER(INDEX(Inputs!$K$5:$AJ$130,0,MATCH(U$2,Inputs!$K$4:$AJ$4,0))))+SUMPRODUCT((Inputs!$C$5:$C$130=$B33)*ISNUMBER(INDEX(Inputs!$K$5:$AJ$130,0,MATCH(U$2,Inputs!$K$4:$AJ$4,0))))+SUMPRODUCT((Inputs!$E$5:$E$130=$B33)*ISNUMBER(INDEX(Inputs!$K$5:$AJ$130,0,MATCH(U$2,Inputs!$K$4:$AJ$4,0))))=0,NA(),SUMPRODUCT((Inputs!$A$5:$A$130=$B33)*Inputs!$B$5:$B$130*(((Inputs!$G$5:$G$130="moeda")+(Inputs!$G$5:$G$130="acoes"))*Inputs!$B$1+((Inputs!$G$5:$G$130&lt;&gt;"moeda")*(Inputs!$G$5:$G$130&lt;&gt;"acoes")))*INDEX(Inputs!$K$5:$AJ$130,0,MATCH(U$2,Inputs!$K$4:$AJ$4,0)))+SUMPRODUCT((Inputs!$C$5:$C$130=$B33)*Inputs!$D$5:$D$130*(((Inputs!$G$5:$G$130="moeda")+(Inputs!$G$5:$G$130="acoes"))*Inputs!$B$1+((Inputs!$G$5:$G$130&lt;&gt;"moeda")*(Inputs!$G$5:$G$130&lt;&gt;"acoes")))*INDEX(Inputs!$K$5:$AJ$130,0,MATCH(U$2,Inputs!$K$4:$AJ$4,0)))+SUMPRODUCT((Inputs!$E$5:$E$130=$B33)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33" s="6" t="e">
        <f>IF(ISNA(MATCH(V$2,Inputs!$K$4:$AJ$4,0)),NA(),IF(SUMPRODUCT((Inputs!$A$5:$A$130=$B33)*ISNUMBER(INDEX(Inputs!$K$5:$AJ$130,0,MATCH(V$2,Inputs!$K$4:$AJ$4,0))))+SUMPRODUCT((Inputs!$C$5:$C$130=$B33)*ISNUMBER(INDEX(Inputs!$K$5:$AJ$130,0,MATCH(V$2,Inputs!$K$4:$AJ$4,0))))+SUMPRODUCT((Inputs!$E$5:$E$130=$B33)*ISNUMBER(INDEX(Inputs!$K$5:$AJ$130,0,MATCH(V$2,Inputs!$K$4:$AJ$4,0))))=0,NA(),SUMPRODUCT((Inputs!$A$5:$A$130=$B33)*Inputs!$B$5:$B$130*(((Inputs!$G$5:$G$130="moeda")+(Inputs!$G$5:$G$130="acoes"))*Inputs!$B$1+((Inputs!$G$5:$G$130&lt;&gt;"moeda")*(Inputs!$G$5:$G$130&lt;&gt;"acoes")))*INDEX(Inputs!$K$5:$AJ$130,0,MATCH(V$2,Inputs!$K$4:$AJ$4,0)))+SUMPRODUCT((Inputs!$C$5:$C$130=$B33)*Inputs!$D$5:$D$130*(((Inputs!$G$5:$G$130="moeda")+(Inputs!$G$5:$G$130="acoes"))*Inputs!$B$1+((Inputs!$G$5:$G$130&lt;&gt;"moeda")*(Inputs!$G$5:$G$130&lt;&gt;"acoes")))*INDEX(Inputs!$K$5:$AJ$130,0,MATCH(V$2,Inputs!$K$4:$AJ$4,0)))+SUMPRODUCT((Inputs!$E$5:$E$130=$B33)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33" s="3" t="e">
        <f>V33</f>
        <v>#N/A</v>
      </c>
      <c r="X33" s="6" t="e">
        <f>IF(ISNA(MATCH(X$2,Inputs!$K$4:$AJ$4,0)),NA(),IF(SUMPRODUCT((Inputs!$A$5:$A$130=$B33)*ISNUMBER(INDEX(Inputs!$K$5:$AJ$130,0,MATCH(X$2,Inputs!$K$4:$AJ$4,0))))+SUMPRODUCT((Inputs!$C$5:$C$130=$B33)*ISNUMBER(INDEX(Inputs!$K$5:$AJ$130,0,MATCH(X$2,Inputs!$K$4:$AJ$4,0))))+SUMPRODUCT((Inputs!$E$5:$E$130=$B33)*ISNUMBER(INDEX(Inputs!$K$5:$AJ$130,0,MATCH(X$2,Inputs!$K$4:$AJ$4,0))))=0,NA(),SUMPRODUCT((Inputs!$A$5:$A$130=$B33)*Inputs!$B$5:$B$130*(((Inputs!$G$5:$G$130="moeda")+(Inputs!$G$5:$G$130="acoes"))*Inputs!$B$1+((Inputs!$G$5:$G$130&lt;&gt;"moeda")*(Inputs!$G$5:$G$130&lt;&gt;"acoes")))*INDEX(Inputs!$K$5:$AJ$130,0,MATCH(X$2,Inputs!$K$4:$AJ$4,0)))+SUMPRODUCT((Inputs!$C$5:$C$130=$B33)*Inputs!$D$5:$D$130*(((Inputs!$G$5:$G$130="moeda")+(Inputs!$G$5:$G$130="acoes"))*Inputs!$B$1+((Inputs!$G$5:$G$130&lt;&gt;"moeda")*(Inputs!$G$5:$G$130&lt;&gt;"acoes")))*INDEX(Inputs!$K$5:$AJ$130,0,MATCH(X$2,Inputs!$K$4:$AJ$4,0)))+SUMPRODUCT((Inputs!$E$5:$E$130=$B33)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33" s="6" t="e">
        <f>IF(ISNA(MATCH(Y$2,Inputs!$K$4:$AJ$4,0)),NA(),IF(SUMPRODUCT((Inputs!$A$5:$A$130=$B33)*ISNUMBER(INDEX(Inputs!$K$5:$AJ$130,0,MATCH(Y$2,Inputs!$K$4:$AJ$4,0))))+SUMPRODUCT((Inputs!$C$5:$C$130=$B33)*ISNUMBER(INDEX(Inputs!$K$5:$AJ$130,0,MATCH(Y$2,Inputs!$K$4:$AJ$4,0))))+SUMPRODUCT((Inputs!$E$5:$E$130=$B33)*ISNUMBER(INDEX(Inputs!$K$5:$AJ$130,0,MATCH(Y$2,Inputs!$K$4:$AJ$4,0))))=0,NA(),SUMPRODUCT((Inputs!$A$5:$A$130=$B33)*Inputs!$B$5:$B$130*(((Inputs!$G$5:$G$130="moeda")+(Inputs!$G$5:$G$130="acoes"))*Inputs!$B$1+((Inputs!$G$5:$G$130&lt;&gt;"moeda")*(Inputs!$G$5:$G$130&lt;&gt;"acoes")))*INDEX(Inputs!$K$5:$AJ$130,0,MATCH(Y$2,Inputs!$K$4:$AJ$4,0)))+SUMPRODUCT((Inputs!$C$5:$C$130=$B33)*Inputs!$D$5:$D$130*(((Inputs!$G$5:$G$130="moeda")+(Inputs!$G$5:$G$130="acoes"))*Inputs!$B$1+((Inputs!$G$5:$G$130&lt;&gt;"moeda")*(Inputs!$G$5:$G$130&lt;&gt;"acoes")))*INDEX(Inputs!$K$5:$AJ$130,0,MATCH(Y$2,Inputs!$K$4:$AJ$4,0)))+SUMPRODUCT((Inputs!$E$5:$E$130=$B33)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33" s="6" t="e">
        <f>IF(ISNA(MATCH(Z$2,Inputs!$K$4:$AJ$4,0)),NA(),IF(SUMPRODUCT((Inputs!$A$5:$A$130=$B33)*ISNUMBER(INDEX(Inputs!$K$5:$AJ$130,0,MATCH(Z$2,Inputs!$K$4:$AJ$4,0))))+SUMPRODUCT((Inputs!$C$5:$C$130=$B33)*ISNUMBER(INDEX(Inputs!$K$5:$AJ$130,0,MATCH(Z$2,Inputs!$K$4:$AJ$4,0))))+SUMPRODUCT((Inputs!$E$5:$E$130=$B33)*ISNUMBER(INDEX(Inputs!$K$5:$AJ$130,0,MATCH(Z$2,Inputs!$K$4:$AJ$4,0))))=0,NA(),SUMPRODUCT((Inputs!$A$5:$A$130=$B33)*Inputs!$B$5:$B$130*(((Inputs!$G$5:$G$130="moeda")+(Inputs!$G$5:$G$130="acoes"))*Inputs!$B$1+((Inputs!$G$5:$G$130&lt;&gt;"moeda")*(Inputs!$G$5:$G$130&lt;&gt;"acoes")))*INDEX(Inputs!$K$5:$AJ$130,0,MATCH(Z$2,Inputs!$K$4:$AJ$4,0)))+SUMPRODUCT((Inputs!$C$5:$C$130=$B33)*Inputs!$D$5:$D$130*(((Inputs!$G$5:$G$130="moeda")+(Inputs!$G$5:$G$130="acoes"))*Inputs!$B$1+((Inputs!$G$5:$G$130&lt;&gt;"moeda")*(Inputs!$G$5:$G$130&lt;&gt;"acoes")))*INDEX(Inputs!$K$5:$AJ$130,0,MATCH(Z$2,Inputs!$K$4:$AJ$4,0)))+SUMPRODUCT((Inputs!$E$5:$E$130=$B33)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33" s="6" t="e">
        <f>IF(ISNA(MATCH(AA$2,Inputs!$K$4:$AJ$4,0)),NA(),IF(SUMPRODUCT((Inputs!$A$5:$A$130=$B33)*ISNUMBER(INDEX(Inputs!$K$5:$AJ$130,0,MATCH(AA$2,Inputs!$K$4:$AJ$4,0))))+SUMPRODUCT((Inputs!$C$5:$C$130=$B33)*ISNUMBER(INDEX(Inputs!$K$5:$AJ$130,0,MATCH(AA$2,Inputs!$K$4:$AJ$4,0))))+SUMPRODUCT((Inputs!$E$5:$E$130=$B33)*ISNUMBER(INDEX(Inputs!$K$5:$AJ$130,0,MATCH(AA$2,Inputs!$K$4:$AJ$4,0))))=0,NA(),SUMPRODUCT((Inputs!$A$5:$A$130=$B33)*Inputs!$B$5:$B$130*(((Inputs!$G$5:$G$130="moeda")+(Inputs!$G$5:$G$130="acoes"))*Inputs!$B$1+((Inputs!$G$5:$G$130&lt;&gt;"moeda")*(Inputs!$G$5:$G$130&lt;&gt;"acoes")))*INDEX(Inputs!$K$5:$AJ$130,0,MATCH(AA$2,Inputs!$K$4:$AJ$4,0)))+SUMPRODUCT((Inputs!$C$5:$C$130=$B33)*Inputs!$D$5:$D$130*(((Inputs!$G$5:$G$130="moeda")+(Inputs!$G$5:$G$130="acoes"))*Inputs!$B$1+((Inputs!$G$5:$G$130&lt;&gt;"moeda")*(Inputs!$G$5:$G$130&lt;&gt;"acoes")))*INDEX(Inputs!$K$5:$AJ$130,0,MATCH(AA$2,Inputs!$K$4:$AJ$4,0)))+SUMPRODUCT((Inputs!$E$5:$E$130=$B33)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33" s="3" t="e">
        <f>AA33</f>
        <v>#N/A</v>
      </c>
      <c r="AC33" s="6" t="e">
        <f>IF(ISNA(MATCH(AC$2,Inputs!$K$4:$AJ$4,0)),NA(),IF(SUMPRODUCT((Inputs!$A$5:$A$130=$B33)*ISNUMBER(INDEX(Inputs!$K$5:$AJ$130,0,MATCH(AC$2,Inputs!$K$4:$AJ$4,0))))+SUMPRODUCT((Inputs!$C$5:$C$130=$B33)*ISNUMBER(INDEX(Inputs!$K$5:$AJ$130,0,MATCH(AC$2,Inputs!$K$4:$AJ$4,0))))+SUMPRODUCT((Inputs!$E$5:$E$130=$B33)*ISNUMBER(INDEX(Inputs!$K$5:$AJ$130,0,MATCH(AC$2,Inputs!$K$4:$AJ$4,0))))=0,NA(),SUMPRODUCT((Inputs!$A$5:$A$130=$B33)*Inputs!$B$5:$B$130*(((Inputs!$G$5:$G$130="moeda")+(Inputs!$G$5:$G$130="acoes"))*Inputs!$B$1+((Inputs!$G$5:$G$130&lt;&gt;"moeda")*(Inputs!$G$5:$G$130&lt;&gt;"acoes")))*INDEX(Inputs!$K$5:$AJ$130,0,MATCH(AC$2,Inputs!$K$4:$AJ$4,0)))+SUMPRODUCT((Inputs!$C$5:$C$130=$B33)*Inputs!$D$5:$D$130*(((Inputs!$G$5:$G$130="moeda")+(Inputs!$G$5:$G$130="acoes"))*Inputs!$B$1+((Inputs!$G$5:$G$130&lt;&gt;"moeda")*(Inputs!$G$5:$G$130&lt;&gt;"acoes")))*INDEX(Inputs!$K$5:$AJ$130,0,MATCH(AC$2,Inputs!$K$4:$AJ$4,0)))+SUMPRODUCT((Inputs!$E$5:$E$130=$B33)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33" s="6" t="e">
        <f>IF(ISNA(MATCH(AD$2,Inputs!$K$4:$AJ$4,0)),NA(),IF(SUMPRODUCT((Inputs!$A$5:$A$130=$B33)*ISNUMBER(INDEX(Inputs!$K$5:$AJ$130,0,MATCH(AD$2,Inputs!$K$4:$AJ$4,0))))+SUMPRODUCT((Inputs!$C$5:$C$130=$B33)*ISNUMBER(INDEX(Inputs!$K$5:$AJ$130,0,MATCH(AD$2,Inputs!$K$4:$AJ$4,0))))+SUMPRODUCT((Inputs!$E$5:$E$130=$B33)*ISNUMBER(INDEX(Inputs!$K$5:$AJ$130,0,MATCH(AD$2,Inputs!$K$4:$AJ$4,0))))=0,NA(),SUMPRODUCT((Inputs!$A$5:$A$130=$B33)*Inputs!$B$5:$B$130*(((Inputs!$G$5:$G$130="moeda")+(Inputs!$G$5:$G$130="acoes"))*Inputs!$B$1+((Inputs!$G$5:$G$130&lt;&gt;"moeda")*(Inputs!$G$5:$G$130&lt;&gt;"acoes")))*INDEX(Inputs!$K$5:$AJ$130,0,MATCH(AD$2,Inputs!$K$4:$AJ$4,0)))+SUMPRODUCT((Inputs!$C$5:$C$130=$B33)*Inputs!$D$5:$D$130*(((Inputs!$G$5:$G$130="moeda")+(Inputs!$G$5:$G$130="acoes"))*Inputs!$B$1+((Inputs!$G$5:$G$130&lt;&gt;"moeda")*(Inputs!$G$5:$G$130&lt;&gt;"acoes")))*INDEX(Inputs!$K$5:$AJ$130,0,MATCH(AD$2,Inputs!$K$4:$AJ$4,0)))+SUMPRODUCT((Inputs!$E$5:$E$130=$B33)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33" s="6" t="e">
        <f>IF(ISNA(MATCH(AE$2,Inputs!$K$4:$AJ$4,0)),NA(),IF(SUMPRODUCT((Inputs!$A$5:$A$130=$B33)*ISNUMBER(INDEX(Inputs!$K$5:$AJ$130,0,MATCH(AE$2,Inputs!$K$4:$AJ$4,0))))+SUMPRODUCT((Inputs!$C$5:$C$130=$B33)*ISNUMBER(INDEX(Inputs!$K$5:$AJ$130,0,MATCH(AE$2,Inputs!$K$4:$AJ$4,0))))+SUMPRODUCT((Inputs!$E$5:$E$130=$B33)*ISNUMBER(INDEX(Inputs!$K$5:$AJ$130,0,MATCH(AE$2,Inputs!$K$4:$AJ$4,0))))=0,NA(),SUMPRODUCT((Inputs!$A$5:$A$130=$B33)*Inputs!$B$5:$B$130*(((Inputs!$G$5:$G$130="moeda")+(Inputs!$G$5:$G$130="acoes"))*Inputs!$B$1+((Inputs!$G$5:$G$130&lt;&gt;"moeda")*(Inputs!$G$5:$G$130&lt;&gt;"acoes")))*INDEX(Inputs!$K$5:$AJ$130,0,MATCH(AE$2,Inputs!$K$4:$AJ$4,0)))+SUMPRODUCT((Inputs!$C$5:$C$130=$B33)*Inputs!$D$5:$D$130*(((Inputs!$G$5:$G$130="moeda")+(Inputs!$G$5:$G$130="acoes"))*Inputs!$B$1+((Inputs!$G$5:$G$130&lt;&gt;"moeda")*(Inputs!$G$5:$G$130&lt;&gt;"acoes")))*INDEX(Inputs!$K$5:$AJ$130,0,MATCH(AE$2,Inputs!$K$4:$AJ$4,0)))+SUMPRODUCT((Inputs!$E$5:$E$130=$B33)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3" s="6" t="e">
        <f>IF(ISNA(MATCH(AF$2,Inputs!$K$4:$AJ$4,0)),NA(),IF(SUMPRODUCT((Inputs!$A$5:$A$130=$B33)*ISNUMBER(INDEX(Inputs!$K$5:$AJ$130,0,MATCH(AF$2,Inputs!$K$4:$AJ$4,0))))+SUMPRODUCT((Inputs!$C$5:$C$130=$B33)*ISNUMBER(INDEX(Inputs!$K$5:$AJ$130,0,MATCH(AF$2,Inputs!$K$4:$AJ$4,0))))+SUMPRODUCT((Inputs!$E$5:$E$130=$B33)*ISNUMBER(INDEX(Inputs!$K$5:$AJ$130,0,MATCH(AF$2,Inputs!$K$4:$AJ$4,0))))=0,NA(),SUMPRODUCT((Inputs!$A$5:$A$130=$B33)*Inputs!$B$5:$B$130*(((Inputs!$G$5:$G$130="moeda")+(Inputs!$G$5:$G$130="acoes"))*Inputs!$B$1+((Inputs!$G$5:$G$130&lt;&gt;"moeda")*(Inputs!$G$5:$G$130&lt;&gt;"acoes")))*INDEX(Inputs!$K$5:$AJ$130,0,MATCH(AF$2,Inputs!$K$4:$AJ$4,0)))+SUMPRODUCT((Inputs!$C$5:$C$130=$B33)*Inputs!$D$5:$D$130*(((Inputs!$G$5:$G$130="moeda")+(Inputs!$G$5:$G$130="acoes"))*Inputs!$B$1+((Inputs!$G$5:$G$130&lt;&gt;"moeda")*(Inputs!$G$5:$G$130&lt;&gt;"acoes")))*INDEX(Inputs!$K$5:$AJ$130,0,MATCH(AF$2,Inputs!$K$4:$AJ$4,0)))+SUMPRODUCT((Inputs!$E$5:$E$130=$B33)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3" s="3" t="e">
        <f>AF33</f>
        <v>#N/A</v>
      </c>
      <c r="AH33" s="6" t="e">
        <f>IF(ISNA(MATCH(AH$2,Inputs!$K$4:$AJ$4,0)),NA(),IF(SUMPRODUCT((Inputs!$A$5:$A$130=$B33)*ISNUMBER(INDEX(Inputs!$K$5:$AJ$130,0,MATCH(AH$2,Inputs!$K$4:$AJ$4,0))))+SUMPRODUCT((Inputs!$C$5:$C$130=$B33)*ISNUMBER(INDEX(Inputs!$K$5:$AJ$130,0,MATCH(AH$2,Inputs!$K$4:$AJ$4,0))))+SUMPRODUCT((Inputs!$E$5:$E$130=$B33)*ISNUMBER(INDEX(Inputs!$K$5:$AJ$130,0,MATCH(AH$2,Inputs!$K$4:$AJ$4,0))))=0,NA(),SUMPRODUCT((Inputs!$A$5:$A$130=$B33)*Inputs!$B$5:$B$130*(((Inputs!$G$5:$G$130="moeda")+(Inputs!$G$5:$G$130="acoes"))*Inputs!$B$1+((Inputs!$G$5:$G$130&lt;&gt;"moeda")*(Inputs!$G$5:$G$130&lt;&gt;"acoes")))*INDEX(Inputs!$K$5:$AJ$130,0,MATCH(AH$2,Inputs!$K$4:$AJ$4,0)))+SUMPRODUCT((Inputs!$C$5:$C$130=$B33)*Inputs!$D$5:$D$130*(((Inputs!$G$5:$G$130="moeda")+(Inputs!$G$5:$G$130="acoes"))*Inputs!$B$1+((Inputs!$G$5:$G$130&lt;&gt;"moeda")*(Inputs!$G$5:$G$130&lt;&gt;"acoes")))*INDEX(Inputs!$K$5:$AJ$130,0,MATCH(AH$2,Inputs!$K$4:$AJ$4,0)))+SUMPRODUCT((Inputs!$E$5:$E$130=$B33)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33" s="6" t="e">
        <f>IF(ISNA(MATCH(AI$2,Inputs!$K$4:$AJ$4,0)),NA(),IF(SUMPRODUCT((Inputs!$A$5:$A$130=$B33)*ISNUMBER(INDEX(Inputs!$K$5:$AJ$130,0,MATCH(AI$2,Inputs!$K$4:$AJ$4,0))))+SUMPRODUCT((Inputs!$C$5:$C$130=$B33)*ISNUMBER(INDEX(Inputs!$K$5:$AJ$130,0,MATCH(AI$2,Inputs!$K$4:$AJ$4,0))))+SUMPRODUCT((Inputs!$E$5:$E$130=$B33)*ISNUMBER(INDEX(Inputs!$K$5:$AJ$130,0,MATCH(AI$2,Inputs!$K$4:$AJ$4,0))))=0,NA(),SUMPRODUCT((Inputs!$A$5:$A$130=$B33)*Inputs!$B$5:$B$130*(((Inputs!$G$5:$G$130="moeda")+(Inputs!$G$5:$G$130="acoes"))*Inputs!$B$1+((Inputs!$G$5:$G$130&lt;&gt;"moeda")*(Inputs!$G$5:$G$130&lt;&gt;"acoes")))*INDEX(Inputs!$K$5:$AJ$130,0,MATCH(AI$2,Inputs!$K$4:$AJ$4,0)))+SUMPRODUCT((Inputs!$C$5:$C$130=$B33)*Inputs!$D$5:$D$130*(((Inputs!$G$5:$G$130="moeda")+(Inputs!$G$5:$G$130="acoes"))*Inputs!$B$1+((Inputs!$G$5:$G$130&lt;&gt;"moeda")*(Inputs!$G$5:$G$130&lt;&gt;"acoes")))*INDEX(Inputs!$K$5:$AJ$130,0,MATCH(AI$2,Inputs!$K$4:$AJ$4,0)))+SUMPRODUCT((Inputs!$E$5:$E$130=$B33)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33" s="6" t="e">
        <f>IF(ISNA(MATCH(AJ$2,Inputs!$K$4:$AJ$4,0)),NA(),IF(SUMPRODUCT((Inputs!$A$5:$A$130=$B33)*ISNUMBER(INDEX(Inputs!$K$5:$AJ$130,0,MATCH(AJ$2,Inputs!$K$4:$AJ$4,0))))+SUMPRODUCT((Inputs!$C$5:$C$130=$B33)*ISNUMBER(INDEX(Inputs!$K$5:$AJ$130,0,MATCH(AJ$2,Inputs!$K$4:$AJ$4,0))))+SUMPRODUCT((Inputs!$E$5:$E$130=$B33)*ISNUMBER(INDEX(Inputs!$K$5:$AJ$130,0,MATCH(AJ$2,Inputs!$K$4:$AJ$4,0))))=0,NA(),SUMPRODUCT((Inputs!$A$5:$A$130=$B33)*Inputs!$B$5:$B$130*(((Inputs!$G$5:$G$130="moeda")+(Inputs!$G$5:$G$130="acoes"))*Inputs!$B$1+((Inputs!$G$5:$G$130&lt;&gt;"moeda")*(Inputs!$G$5:$G$130&lt;&gt;"acoes")))*INDEX(Inputs!$K$5:$AJ$130,0,MATCH(AJ$2,Inputs!$K$4:$AJ$4,0)))+SUMPRODUCT((Inputs!$C$5:$C$130=$B33)*Inputs!$D$5:$D$130*(((Inputs!$G$5:$G$130="moeda")+(Inputs!$G$5:$G$130="acoes"))*Inputs!$B$1+((Inputs!$G$5:$G$130&lt;&gt;"moeda")*(Inputs!$G$5:$G$130&lt;&gt;"acoes")))*INDEX(Inputs!$K$5:$AJ$130,0,MATCH(AJ$2,Inputs!$K$4:$AJ$4,0)))+SUMPRODUCT((Inputs!$E$5:$E$130=$B33)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33" s="6" t="e">
        <f>IF(ISNA(MATCH(AK$2,Inputs!$K$4:$AJ$4,0)),NA(),IF(SUMPRODUCT((Inputs!$A$5:$A$130=$B33)*ISNUMBER(INDEX(Inputs!$K$5:$AJ$130,0,MATCH(AK$2,Inputs!$K$4:$AJ$4,0))))+SUMPRODUCT((Inputs!$C$5:$C$130=$B33)*ISNUMBER(INDEX(Inputs!$K$5:$AJ$130,0,MATCH(AK$2,Inputs!$K$4:$AJ$4,0))))+SUMPRODUCT((Inputs!$E$5:$E$130=$B33)*ISNUMBER(INDEX(Inputs!$K$5:$AJ$130,0,MATCH(AK$2,Inputs!$K$4:$AJ$4,0))))=0,NA(),SUMPRODUCT((Inputs!$A$5:$A$130=$B33)*Inputs!$B$5:$B$130*(((Inputs!$G$5:$G$130="moeda")+(Inputs!$G$5:$G$130="acoes"))*Inputs!$B$1+((Inputs!$G$5:$G$130&lt;&gt;"moeda")*(Inputs!$G$5:$G$130&lt;&gt;"acoes")))*INDEX(Inputs!$K$5:$AJ$130,0,MATCH(AK$2,Inputs!$K$4:$AJ$4,0)))+SUMPRODUCT((Inputs!$C$5:$C$130=$B33)*Inputs!$D$5:$D$130*(((Inputs!$G$5:$G$130="moeda")+(Inputs!$G$5:$G$130="acoes"))*Inputs!$B$1+((Inputs!$G$5:$G$130&lt;&gt;"moeda")*(Inputs!$G$5:$G$130&lt;&gt;"acoes")))*INDEX(Inputs!$K$5:$AJ$130,0,MATCH(AK$2,Inputs!$K$4:$AJ$4,0)))+SUMPRODUCT((Inputs!$E$5:$E$130=$B33)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33" s="3" t="e">
        <f>AK33</f>
        <v>#N/A</v>
      </c>
    </row>
    <row r="34">
      <c r="B34" s="46" t="n">
        <v>29</v>
      </c>
      <c r="C34" s="26" t="inlineStr">
        <is>
          <t>Short term operating leases</t>
        </is>
      </c>
      <c r="D34" s="6">
        <f>IF(ISNA(MATCH(D$2,Inputs!$K$4:$AJ$4,0)),NA(),IF(SUMPRODUCT((Inputs!$A$5:$A$130=$B34)*ISNUMBER(INDEX(Inputs!$K$5:$AJ$130,0,MATCH(D$2,Inputs!$K$4:$AJ$4,0))))+SUMPRODUCT((Inputs!$C$5:$C$130=$B34)*ISNUMBER(INDEX(Inputs!$K$5:$AJ$130,0,MATCH(D$2,Inputs!$K$4:$AJ$4,0))))+SUMPRODUCT((Inputs!$E$5:$E$130=$B34)*ISNUMBER(INDEX(Inputs!$K$5:$AJ$130,0,MATCH(D$2,Inputs!$K$4:$AJ$4,0))))=0,NA(),SUMPRODUCT((Inputs!$A$5:$A$130=$B34)*Inputs!$B$5:$B$130*(((Inputs!$G$5:$G$130="moeda")+(Inputs!$G$5:$G$130="acoes"))*Inputs!$B$1+((Inputs!$G$5:$G$130&lt;&gt;"moeda")*(Inputs!$G$5:$G$130&lt;&gt;"acoes")))*INDEX(Inputs!$K$5:$AJ$130,0,MATCH(D$2,Inputs!$K$4:$AJ$4,0)))+SUMPRODUCT((Inputs!$C$5:$C$130=$B34)*Inputs!$D$5:$D$130*(((Inputs!$G$5:$G$130="moeda")+(Inputs!$G$5:$G$130="acoes"))*Inputs!$B$1+((Inputs!$G$5:$G$130&lt;&gt;"moeda")*(Inputs!$G$5:$G$130&lt;&gt;"acoes")))*INDEX(Inputs!$K$5:$AJ$130,0,MATCH(D$2,Inputs!$K$4:$AJ$4,0)))+SUMPRODUCT((Inputs!$E$5:$E$130=$B34)*Inputs!$F$5:$F$130*(((Inputs!$G$5:$G$130="moeda")+(Inputs!$G$5:$G$130="acoes"))*Inputs!$B$1+((Inputs!$G$5:$G$130&lt;&gt;"moeda")*(Inputs!$G$5:$G$130&lt;&gt;"acoes")))*INDEX(Inputs!$K$5:$AJ$130,0,MATCH(D$2,Inputs!$K$4:$AJ$4,0)))))</f>
        <v>135</v>
      </c>
      <c r="E34" s="6">
        <f>IF(ISNA(MATCH(E$2,Inputs!$K$4:$AJ$4,0)),NA(),IF(SUMPRODUCT((Inputs!$A$5:$A$130=$B34)*ISNUMBER(INDEX(Inputs!$K$5:$AJ$130,0,MATCH(E$2,Inputs!$K$4:$AJ$4,0))))+SUMPRODUCT((Inputs!$C$5:$C$130=$B34)*ISNUMBER(INDEX(Inputs!$K$5:$AJ$130,0,MATCH(E$2,Inputs!$K$4:$AJ$4,0))))+SUMPRODUCT((Inputs!$E$5:$E$130=$B34)*ISNUMBER(INDEX(Inputs!$K$5:$AJ$130,0,MATCH(E$2,Inputs!$K$4:$AJ$4,0))))=0,NA(),SUMPRODUCT((Inputs!$A$5:$A$130=$B34)*Inputs!$B$5:$B$130*(((Inputs!$G$5:$G$130="moeda")+(Inputs!$G$5:$G$130="acoes"))*Inputs!$B$1+((Inputs!$G$5:$G$130&lt;&gt;"moeda")*(Inputs!$G$5:$G$130&lt;&gt;"acoes")))*INDEX(Inputs!$K$5:$AJ$130,0,MATCH(E$2,Inputs!$K$4:$AJ$4,0)))+SUMPRODUCT((Inputs!$C$5:$C$130=$B34)*Inputs!$D$5:$D$130*(((Inputs!$G$5:$G$130="moeda")+(Inputs!$G$5:$G$130="acoes"))*Inputs!$B$1+((Inputs!$G$5:$G$130&lt;&gt;"moeda")*(Inputs!$G$5:$G$130&lt;&gt;"acoes")))*INDEX(Inputs!$K$5:$AJ$130,0,MATCH(E$2,Inputs!$K$4:$AJ$4,0)))+SUMPRODUCT((Inputs!$E$5:$E$130=$B34)*Inputs!$F$5:$F$130*(((Inputs!$G$5:$G$130="moeda")+(Inputs!$G$5:$G$130="acoes"))*Inputs!$B$1+((Inputs!$G$5:$G$130&lt;&gt;"moeda")*(Inputs!$G$5:$G$130&lt;&gt;"acoes")))*INDEX(Inputs!$K$5:$AJ$130,0,MATCH(E$2,Inputs!$K$4:$AJ$4,0)))))</f>
        <v>132</v>
      </c>
      <c r="F34" s="6">
        <f>IF(ISNA(MATCH(F$2,Inputs!$K$4:$AJ$4,0)),NA(),IF(SUMPRODUCT((Inputs!$A$5:$A$130=$B34)*ISNUMBER(INDEX(Inputs!$K$5:$AJ$130,0,MATCH(F$2,Inputs!$K$4:$AJ$4,0))))+SUMPRODUCT((Inputs!$C$5:$C$130=$B34)*ISNUMBER(INDEX(Inputs!$K$5:$AJ$130,0,MATCH(F$2,Inputs!$K$4:$AJ$4,0))))+SUMPRODUCT((Inputs!$E$5:$E$130=$B34)*ISNUMBER(INDEX(Inputs!$K$5:$AJ$130,0,MATCH(F$2,Inputs!$K$4:$AJ$4,0))))=0,NA(),SUMPRODUCT((Inputs!$A$5:$A$130=$B34)*Inputs!$B$5:$B$130*(((Inputs!$G$5:$G$130="moeda")+(Inputs!$G$5:$G$130="acoes"))*Inputs!$B$1+((Inputs!$G$5:$G$130&lt;&gt;"moeda")*(Inputs!$G$5:$G$130&lt;&gt;"acoes")))*INDEX(Inputs!$K$5:$AJ$130,0,MATCH(F$2,Inputs!$K$4:$AJ$4,0)))+SUMPRODUCT((Inputs!$C$5:$C$130=$B34)*Inputs!$D$5:$D$130*(((Inputs!$G$5:$G$130="moeda")+(Inputs!$G$5:$G$130="acoes"))*Inputs!$B$1+((Inputs!$G$5:$G$130&lt;&gt;"moeda")*(Inputs!$G$5:$G$130&lt;&gt;"acoes")))*INDEX(Inputs!$K$5:$AJ$130,0,MATCH(F$2,Inputs!$K$4:$AJ$4,0)))+SUMPRODUCT((Inputs!$E$5:$E$130=$B34)*Inputs!$F$5:$F$130*(((Inputs!$G$5:$G$130="moeda")+(Inputs!$G$5:$G$130="acoes"))*Inputs!$B$1+((Inputs!$G$5:$G$130&lt;&gt;"moeda")*(Inputs!$G$5:$G$130&lt;&gt;"acoes")))*INDEX(Inputs!$K$5:$AJ$130,0,MATCH(F$2,Inputs!$K$4:$AJ$4,0)))))</f>
        <v>140</v>
      </c>
      <c r="G34" s="6">
        <f>IF(ISNA(MATCH(G$2,Inputs!$K$4:$AJ$4,0)),NA(),IF(SUMPRODUCT((Inputs!$A$5:$A$130=$B34)*ISNUMBER(INDEX(Inputs!$K$5:$AJ$130,0,MATCH(G$2,Inputs!$K$4:$AJ$4,0))))+SUMPRODUCT((Inputs!$C$5:$C$130=$B34)*ISNUMBER(INDEX(Inputs!$K$5:$AJ$130,0,MATCH(G$2,Inputs!$K$4:$AJ$4,0))))+SUMPRODUCT((Inputs!$E$5:$E$130=$B34)*ISNUMBER(INDEX(Inputs!$K$5:$AJ$130,0,MATCH(G$2,Inputs!$K$4:$AJ$4,0))))=0,NA(),SUMPRODUCT((Inputs!$A$5:$A$130=$B34)*Inputs!$B$5:$B$130*(((Inputs!$G$5:$G$130="moeda")+(Inputs!$G$5:$G$130="acoes"))*Inputs!$B$1+((Inputs!$G$5:$G$130&lt;&gt;"moeda")*(Inputs!$G$5:$G$130&lt;&gt;"acoes")))*INDEX(Inputs!$K$5:$AJ$130,0,MATCH(G$2,Inputs!$K$4:$AJ$4,0)))+SUMPRODUCT((Inputs!$C$5:$C$130=$B34)*Inputs!$D$5:$D$130*(((Inputs!$G$5:$G$130="moeda")+(Inputs!$G$5:$G$130="acoes"))*Inputs!$B$1+((Inputs!$G$5:$G$130&lt;&gt;"moeda")*(Inputs!$G$5:$G$130&lt;&gt;"acoes")))*INDEX(Inputs!$K$5:$AJ$130,0,MATCH(G$2,Inputs!$K$4:$AJ$4,0)))+SUMPRODUCT((Inputs!$E$5:$E$130=$B34)*Inputs!$F$5:$F$130*(((Inputs!$G$5:$G$130="moeda")+(Inputs!$G$5:$G$130="acoes"))*Inputs!$B$1+((Inputs!$G$5:$G$130&lt;&gt;"moeda")*(Inputs!$G$5:$G$130&lt;&gt;"acoes")))*INDEX(Inputs!$K$5:$AJ$130,0,MATCH(G$2,Inputs!$K$4:$AJ$4,0)))))</f>
        <v>144</v>
      </c>
      <c r="H34" s="3">
        <f>G34</f>
        <v>144</v>
      </c>
      <c r="I34" s="6">
        <f>IF(ISNA(MATCH(I$2,Inputs!$K$4:$AJ$4,0)),NA(),IF(SUMPRODUCT((Inputs!$A$5:$A$130=$B34)*ISNUMBER(INDEX(Inputs!$K$5:$AJ$130,0,MATCH(I$2,Inputs!$K$4:$AJ$4,0))))+SUMPRODUCT((Inputs!$C$5:$C$130=$B34)*ISNUMBER(INDEX(Inputs!$K$5:$AJ$130,0,MATCH(I$2,Inputs!$K$4:$AJ$4,0))))+SUMPRODUCT((Inputs!$E$5:$E$130=$B34)*ISNUMBER(INDEX(Inputs!$K$5:$AJ$130,0,MATCH(I$2,Inputs!$K$4:$AJ$4,0))))=0,NA(),SUMPRODUCT((Inputs!$A$5:$A$130=$B34)*Inputs!$B$5:$B$130*(((Inputs!$G$5:$G$130="moeda")+(Inputs!$G$5:$G$130="acoes"))*Inputs!$B$1+((Inputs!$G$5:$G$130&lt;&gt;"moeda")*(Inputs!$G$5:$G$130&lt;&gt;"acoes")))*INDEX(Inputs!$K$5:$AJ$130,0,MATCH(I$2,Inputs!$K$4:$AJ$4,0)))+SUMPRODUCT((Inputs!$C$5:$C$130=$B34)*Inputs!$D$5:$D$130*(((Inputs!$G$5:$G$130="moeda")+(Inputs!$G$5:$G$130="acoes"))*Inputs!$B$1+((Inputs!$G$5:$G$130&lt;&gt;"moeda")*(Inputs!$G$5:$G$130&lt;&gt;"acoes")))*INDEX(Inputs!$K$5:$AJ$130,0,MATCH(I$2,Inputs!$K$4:$AJ$4,0)))+SUMPRODUCT((Inputs!$E$5:$E$130=$B34)*Inputs!$F$5:$F$130*(((Inputs!$G$5:$G$130="moeda")+(Inputs!$G$5:$G$130="acoes"))*Inputs!$B$1+((Inputs!$G$5:$G$130&lt;&gt;"moeda")*(Inputs!$G$5:$G$130&lt;&gt;"acoes")))*INDEX(Inputs!$K$5:$AJ$130,0,MATCH(I$2,Inputs!$K$4:$AJ$4,0)))))</f>
        <v>147</v>
      </c>
      <c r="J34" s="6">
        <f>IF(ISNA(MATCH(J$2,Inputs!$K$4:$AJ$4,0)),NA(),IF(SUMPRODUCT((Inputs!$A$5:$A$130=$B34)*ISNUMBER(INDEX(Inputs!$K$5:$AJ$130,0,MATCH(J$2,Inputs!$K$4:$AJ$4,0))))+SUMPRODUCT((Inputs!$C$5:$C$130=$B34)*ISNUMBER(INDEX(Inputs!$K$5:$AJ$130,0,MATCH(J$2,Inputs!$K$4:$AJ$4,0))))+SUMPRODUCT((Inputs!$E$5:$E$130=$B34)*ISNUMBER(INDEX(Inputs!$K$5:$AJ$130,0,MATCH(J$2,Inputs!$K$4:$AJ$4,0))))=0,NA(),SUMPRODUCT((Inputs!$A$5:$A$130=$B34)*Inputs!$B$5:$B$130*(((Inputs!$G$5:$G$130="moeda")+(Inputs!$G$5:$G$130="acoes"))*Inputs!$B$1+((Inputs!$G$5:$G$130&lt;&gt;"moeda")*(Inputs!$G$5:$G$130&lt;&gt;"acoes")))*INDEX(Inputs!$K$5:$AJ$130,0,MATCH(J$2,Inputs!$K$4:$AJ$4,0)))+SUMPRODUCT((Inputs!$C$5:$C$130=$B34)*Inputs!$D$5:$D$130*(((Inputs!$G$5:$G$130="moeda")+(Inputs!$G$5:$G$130="acoes"))*Inputs!$B$1+((Inputs!$G$5:$G$130&lt;&gt;"moeda")*(Inputs!$G$5:$G$130&lt;&gt;"acoes")))*INDEX(Inputs!$K$5:$AJ$130,0,MATCH(J$2,Inputs!$K$4:$AJ$4,0)))+SUMPRODUCT((Inputs!$E$5:$E$130=$B34)*Inputs!$F$5:$F$130*(((Inputs!$G$5:$G$130="moeda")+(Inputs!$G$5:$G$130="acoes"))*Inputs!$B$1+((Inputs!$G$5:$G$130&lt;&gt;"moeda")*(Inputs!$G$5:$G$130&lt;&gt;"acoes")))*INDEX(Inputs!$K$5:$AJ$130,0,MATCH(J$2,Inputs!$K$4:$AJ$4,0)))))</f>
        <v>145</v>
      </c>
      <c r="K34" s="6">
        <f>IF(ISNA(MATCH(K$2,Inputs!$K$4:$AJ$4,0)),NA(),IF(SUMPRODUCT((Inputs!$A$5:$A$130=$B34)*ISNUMBER(INDEX(Inputs!$K$5:$AJ$130,0,MATCH(K$2,Inputs!$K$4:$AJ$4,0))))+SUMPRODUCT((Inputs!$C$5:$C$130=$B34)*ISNUMBER(INDEX(Inputs!$K$5:$AJ$130,0,MATCH(K$2,Inputs!$K$4:$AJ$4,0))))+SUMPRODUCT((Inputs!$E$5:$E$130=$B34)*ISNUMBER(INDEX(Inputs!$K$5:$AJ$130,0,MATCH(K$2,Inputs!$K$4:$AJ$4,0))))=0,NA(),SUMPRODUCT((Inputs!$A$5:$A$130=$B34)*Inputs!$B$5:$B$130*(((Inputs!$G$5:$G$130="moeda")+(Inputs!$G$5:$G$130="acoes"))*Inputs!$B$1+((Inputs!$G$5:$G$130&lt;&gt;"moeda")*(Inputs!$G$5:$G$130&lt;&gt;"acoes")))*INDEX(Inputs!$K$5:$AJ$130,0,MATCH(K$2,Inputs!$K$4:$AJ$4,0)))+SUMPRODUCT((Inputs!$C$5:$C$130=$B34)*Inputs!$D$5:$D$130*(((Inputs!$G$5:$G$130="moeda")+(Inputs!$G$5:$G$130="acoes"))*Inputs!$B$1+((Inputs!$G$5:$G$130&lt;&gt;"moeda")*(Inputs!$G$5:$G$130&lt;&gt;"acoes")))*INDEX(Inputs!$K$5:$AJ$130,0,MATCH(K$2,Inputs!$K$4:$AJ$4,0)))+SUMPRODUCT((Inputs!$E$5:$E$130=$B34)*Inputs!$F$5:$F$130*(((Inputs!$G$5:$G$130="moeda")+(Inputs!$G$5:$G$130="acoes"))*Inputs!$B$1+((Inputs!$G$5:$G$130&lt;&gt;"moeda")*(Inputs!$G$5:$G$130&lt;&gt;"acoes")))*INDEX(Inputs!$K$5:$AJ$130,0,MATCH(K$2,Inputs!$K$4:$AJ$4,0)))))</f>
        <v>156</v>
      </c>
      <c r="L34" s="6">
        <f>IF(ISNA(MATCH(L$2,Inputs!$K$4:$AJ$4,0)),NA(),IF(SUMPRODUCT((Inputs!$A$5:$A$130=$B34)*ISNUMBER(INDEX(Inputs!$K$5:$AJ$130,0,MATCH(L$2,Inputs!$K$4:$AJ$4,0))))+SUMPRODUCT((Inputs!$C$5:$C$130=$B34)*ISNUMBER(INDEX(Inputs!$K$5:$AJ$130,0,MATCH(L$2,Inputs!$K$4:$AJ$4,0))))+SUMPRODUCT((Inputs!$E$5:$E$130=$B34)*ISNUMBER(INDEX(Inputs!$K$5:$AJ$130,0,MATCH(L$2,Inputs!$K$4:$AJ$4,0))))=0,NA(),SUMPRODUCT((Inputs!$A$5:$A$130=$B34)*Inputs!$B$5:$B$130*(((Inputs!$G$5:$G$130="moeda")+(Inputs!$G$5:$G$130="acoes"))*Inputs!$B$1+((Inputs!$G$5:$G$130&lt;&gt;"moeda")*(Inputs!$G$5:$G$130&lt;&gt;"acoes")))*INDEX(Inputs!$K$5:$AJ$130,0,MATCH(L$2,Inputs!$K$4:$AJ$4,0)))+SUMPRODUCT((Inputs!$C$5:$C$130=$B34)*Inputs!$D$5:$D$130*(((Inputs!$G$5:$G$130="moeda")+(Inputs!$G$5:$G$130="acoes"))*Inputs!$B$1+((Inputs!$G$5:$G$130&lt;&gt;"moeda")*(Inputs!$G$5:$G$130&lt;&gt;"acoes")))*INDEX(Inputs!$K$5:$AJ$130,0,MATCH(L$2,Inputs!$K$4:$AJ$4,0)))+SUMPRODUCT((Inputs!$E$5:$E$130=$B34)*Inputs!$F$5:$F$130*(((Inputs!$G$5:$G$130="moeda")+(Inputs!$G$5:$G$130="acoes"))*Inputs!$B$1+((Inputs!$G$5:$G$130&lt;&gt;"moeda")*(Inputs!$G$5:$G$130&lt;&gt;"acoes")))*INDEX(Inputs!$K$5:$AJ$130,0,MATCH(L$2,Inputs!$K$4:$AJ$4,0)))))</f>
        <v>176</v>
      </c>
      <c r="M34" s="3">
        <f>L34</f>
        <v>176</v>
      </c>
      <c r="N34" s="6">
        <f>IF(ISNA(MATCH(N$2,Inputs!$K$4:$AJ$4,0)),NA(),IF(SUMPRODUCT((Inputs!$A$5:$A$130=$B34)*ISNUMBER(INDEX(Inputs!$K$5:$AJ$130,0,MATCH(N$2,Inputs!$K$4:$AJ$4,0))))+SUMPRODUCT((Inputs!$C$5:$C$130=$B34)*ISNUMBER(INDEX(Inputs!$K$5:$AJ$130,0,MATCH(N$2,Inputs!$K$4:$AJ$4,0))))+SUMPRODUCT((Inputs!$E$5:$E$130=$B34)*ISNUMBER(INDEX(Inputs!$K$5:$AJ$130,0,MATCH(N$2,Inputs!$K$4:$AJ$4,0))))=0,NA(),SUMPRODUCT((Inputs!$A$5:$A$130=$B34)*Inputs!$B$5:$B$130*(((Inputs!$G$5:$G$130="moeda")+(Inputs!$G$5:$G$130="acoes"))*Inputs!$B$1+((Inputs!$G$5:$G$130&lt;&gt;"moeda")*(Inputs!$G$5:$G$130&lt;&gt;"acoes")))*INDEX(Inputs!$K$5:$AJ$130,0,MATCH(N$2,Inputs!$K$4:$AJ$4,0)))+SUMPRODUCT((Inputs!$C$5:$C$130=$B34)*Inputs!$D$5:$D$130*(((Inputs!$G$5:$G$130="moeda")+(Inputs!$G$5:$G$130="acoes"))*Inputs!$B$1+((Inputs!$G$5:$G$130&lt;&gt;"moeda")*(Inputs!$G$5:$G$130&lt;&gt;"acoes")))*INDEX(Inputs!$K$5:$AJ$130,0,MATCH(N$2,Inputs!$K$4:$AJ$4,0)))+SUMPRODUCT((Inputs!$E$5:$E$130=$B34)*Inputs!$F$5:$F$130*(((Inputs!$G$5:$G$130="moeda")+(Inputs!$G$5:$G$130="acoes"))*Inputs!$B$1+((Inputs!$G$5:$G$130&lt;&gt;"moeda")*(Inputs!$G$5:$G$130&lt;&gt;"acoes")))*INDEX(Inputs!$K$5:$AJ$130,0,MATCH(N$2,Inputs!$K$4:$AJ$4,0)))))</f>
        <v>187</v>
      </c>
      <c r="O34" s="6">
        <f>IF(ISNA(MATCH(O$2,Inputs!$K$4:$AJ$4,0)),NA(),IF(SUMPRODUCT((Inputs!$A$5:$A$130=$B34)*ISNUMBER(INDEX(Inputs!$K$5:$AJ$130,0,MATCH(O$2,Inputs!$K$4:$AJ$4,0))))+SUMPRODUCT((Inputs!$C$5:$C$130=$B34)*ISNUMBER(INDEX(Inputs!$K$5:$AJ$130,0,MATCH(O$2,Inputs!$K$4:$AJ$4,0))))+SUMPRODUCT((Inputs!$E$5:$E$130=$B34)*ISNUMBER(INDEX(Inputs!$K$5:$AJ$130,0,MATCH(O$2,Inputs!$K$4:$AJ$4,0))))=0,NA(),SUMPRODUCT((Inputs!$A$5:$A$130=$B34)*Inputs!$B$5:$B$130*(((Inputs!$G$5:$G$130="moeda")+(Inputs!$G$5:$G$130="acoes"))*Inputs!$B$1+((Inputs!$G$5:$G$130&lt;&gt;"moeda")*(Inputs!$G$5:$G$130&lt;&gt;"acoes")))*INDEX(Inputs!$K$5:$AJ$130,0,MATCH(O$2,Inputs!$K$4:$AJ$4,0)))+SUMPRODUCT((Inputs!$C$5:$C$130=$B34)*Inputs!$D$5:$D$130*(((Inputs!$G$5:$G$130="moeda")+(Inputs!$G$5:$G$130="acoes"))*Inputs!$B$1+((Inputs!$G$5:$G$130&lt;&gt;"moeda")*(Inputs!$G$5:$G$130&lt;&gt;"acoes")))*INDEX(Inputs!$K$5:$AJ$130,0,MATCH(O$2,Inputs!$K$4:$AJ$4,0)))+SUMPRODUCT((Inputs!$E$5:$E$130=$B34)*Inputs!$F$5:$F$130*(((Inputs!$G$5:$G$130="moeda")+(Inputs!$G$5:$G$130="acoes"))*Inputs!$B$1+((Inputs!$G$5:$G$130&lt;&gt;"moeda")*(Inputs!$G$5:$G$130&lt;&gt;"acoes")))*INDEX(Inputs!$K$5:$AJ$130,0,MATCH(O$2,Inputs!$K$4:$AJ$4,0)))))</f>
        <v>208</v>
      </c>
      <c r="P34" s="6">
        <f>IF(ISNA(MATCH(P$2,Inputs!$K$4:$AJ$4,0)),NA(),IF(SUMPRODUCT((Inputs!$A$5:$A$130=$B34)*ISNUMBER(INDEX(Inputs!$K$5:$AJ$130,0,MATCH(P$2,Inputs!$K$4:$AJ$4,0))))+SUMPRODUCT((Inputs!$C$5:$C$130=$B34)*ISNUMBER(INDEX(Inputs!$K$5:$AJ$130,0,MATCH(P$2,Inputs!$K$4:$AJ$4,0))))+SUMPRODUCT((Inputs!$E$5:$E$130=$B34)*ISNUMBER(INDEX(Inputs!$K$5:$AJ$130,0,MATCH(P$2,Inputs!$K$4:$AJ$4,0))))=0,NA(),SUMPRODUCT((Inputs!$A$5:$A$130=$B34)*Inputs!$B$5:$B$130*(((Inputs!$G$5:$G$130="moeda")+(Inputs!$G$5:$G$130="acoes"))*Inputs!$B$1+((Inputs!$G$5:$G$130&lt;&gt;"moeda")*(Inputs!$G$5:$G$130&lt;&gt;"acoes")))*INDEX(Inputs!$K$5:$AJ$130,0,MATCH(P$2,Inputs!$K$4:$AJ$4,0)))+SUMPRODUCT((Inputs!$C$5:$C$130=$B34)*Inputs!$D$5:$D$130*(((Inputs!$G$5:$G$130="moeda")+(Inputs!$G$5:$G$130="acoes"))*Inputs!$B$1+((Inputs!$G$5:$G$130&lt;&gt;"moeda")*(Inputs!$G$5:$G$130&lt;&gt;"acoes")))*INDEX(Inputs!$K$5:$AJ$130,0,MATCH(P$2,Inputs!$K$4:$AJ$4,0)))+SUMPRODUCT((Inputs!$E$5:$E$130=$B34)*Inputs!$F$5:$F$130*(((Inputs!$G$5:$G$130="moeda")+(Inputs!$G$5:$G$130="acoes"))*Inputs!$B$1+((Inputs!$G$5:$G$130&lt;&gt;"moeda")*(Inputs!$G$5:$G$130&lt;&gt;"acoes")))*INDEX(Inputs!$K$5:$AJ$130,0,MATCH(P$2,Inputs!$K$4:$AJ$4,0)))))</f>
        <v>230</v>
      </c>
      <c r="Q34" s="6">
        <f>IF(ISNA(MATCH(Q$2,Inputs!$K$4:$AJ$4,0)),NA(),IF(SUMPRODUCT((Inputs!$A$5:$A$130=$B34)*ISNUMBER(INDEX(Inputs!$K$5:$AJ$130,0,MATCH(Q$2,Inputs!$K$4:$AJ$4,0))))+SUMPRODUCT((Inputs!$C$5:$C$130=$B34)*ISNUMBER(INDEX(Inputs!$K$5:$AJ$130,0,MATCH(Q$2,Inputs!$K$4:$AJ$4,0))))+SUMPRODUCT((Inputs!$E$5:$E$130=$B34)*ISNUMBER(INDEX(Inputs!$K$5:$AJ$130,0,MATCH(Q$2,Inputs!$K$4:$AJ$4,0))))=0,NA(),SUMPRODUCT((Inputs!$A$5:$A$130=$B34)*Inputs!$B$5:$B$130*(((Inputs!$G$5:$G$130="moeda")+(Inputs!$G$5:$G$130="acoes"))*Inputs!$B$1+((Inputs!$G$5:$G$130&lt;&gt;"moeda")*(Inputs!$G$5:$G$130&lt;&gt;"acoes")))*INDEX(Inputs!$K$5:$AJ$130,0,MATCH(Q$2,Inputs!$K$4:$AJ$4,0)))+SUMPRODUCT((Inputs!$C$5:$C$130=$B34)*Inputs!$D$5:$D$130*(((Inputs!$G$5:$G$130="moeda")+(Inputs!$G$5:$G$130="acoes"))*Inputs!$B$1+((Inputs!$G$5:$G$130&lt;&gt;"moeda")*(Inputs!$G$5:$G$130&lt;&gt;"acoes")))*INDEX(Inputs!$K$5:$AJ$130,0,MATCH(Q$2,Inputs!$K$4:$AJ$4,0)))+SUMPRODUCT((Inputs!$E$5:$E$130=$B34)*Inputs!$F$5:$F$130*(((Inputs!$G$5:$G$130="moeda")+(Inputs!$G$5:$G$130="acoes"))*Inputs!$B$1+((Inputs!$G$5:$G$130&lt;&gt;"moeda")*(Inputs!$G$5:$G$130&lt;&gt;"acoes")))*INDEX(Inputs!$K$5:$AJ$130,0,MATCH(Q$2,Inputs!$K$4:$AJ$4,0)))))</f>
        <v>228</v>
      </c>
      <c r="R34" s="3">
        <f>Q34</f>
        <v>228</v>
      </c>
      <c r="S34" s="6">
        <f>IF(ISNA(MATCH(S$2,Inputs!$K$4:$AJ$4,0)),NA(),IF(SUMPRODUCT((Inputs!$A$5:$A$130=$B34)*ISNUMBER(INDEX(Inputs!$K$5:$AJ$130,0,MATCH(S$2,Inputs!$K$4:$AJ$4,0))))+SUMPRODUCT((Inputs!$C$5:$C$130=$B34)*ISNUMBER(INDEX(Inputs!$K$5:$AJ$130,0,MATCH(S$2,Inputs!$K$4:$AJ$4,0))))+SUMPRODUCT((Inputs!$E$5:$E$130=$B34)*ISNUMBER(INDEX(Inputs!$K$5:$AJ$130,0,MATCH(S$2,Inputs!$K$4:$AJ$4,0))))=0,NA(),SUMPRODUCT((Inputs!$A$5:$A$130=$B34)*Inputs!$B$5:$B$130*(((Inputs!$G$5:$G$130="moeda")+(Inputs!$G$5:$G$130="acoes"))*Inputs!$B$1+((Inputs!$G$5:$G$130&lt;&gt;"moeda")*(Inputs!$G$5:$G$130&lt;&gt;"acoes")))*INDEX(Inputs!$K$5:$AJ$130,0,MATCH(S$2,Inputs!$K$4:$AJ$4,0)))+SUMPRODUCT((Inputs!$C$5:$C$130=$B34)*Inputs!$D$5:$D$130*(((Inputs!$G$5:$G$130="moeda")+(Inputs!$G$5:$G$130="acoes"))*Inputs!$B$1+((Inputs!$G$5:$G$130&lt;&gt;"moeda")*(Inputs!$G$5:$G$130&lt;&gt;"acoes")))*INDEX(Inputs!$K$5:$AJ$130,0,MATCH(S$2,Inputs!$K$4:$AJ$4,0)))+SUMPRODUCT((Inputs!$E$5:$E$130=$B34)*Inputs!$F$5:$F$130*(((Inputs!$G$5:$G$130="moeda")+(Inputs!$G$5:$G$130="acoes"))*Inputs!$B$1+((Inputs!$G$5:$G$130&lt;&gt;"moeda")*(Inputs!$G$5:$G$130&lt;&gt;"acoes")))*INDEX(Inputs!$K$5:$AJ$130,0,MATCH(S$2,Inputs!$K$4:$AJ$4,0)))))</f>
        <v>246</v>
      </c>
      <c r="T34" s="6">
        <f>IF(ISNA(MATCH(T$2,Inputs!$K$4:$AJ$4,0)),NA(),IF(SUMPRODUCT((Inputs!$A$5:$A$130=$B34)*ISNUMBER(INDEX(Inputs!$K$5:$AJ$130,0,MATCH(T$2,Inputs!$K$4:$AJ$4,0))))+SUMPRODUCT((Inputs!$C$5:$C$130=$B34)*ISNUMBER(INDEX(Inputs!$K$5:$AJ$130,0,MATCH(T$2,Inputs!$K$4:$AJ$4,0))))+SUMPRODUCT((Inputs!$E$5:$E$130=$B34)*ISNUMBER(INDEX(Inputs!$K$5:$AJ$130,0,MATCH(T$2,Inputs!$K$4:$AJ$4,0))))=0,NA(),SUMPRODUCT((Inputs!$A$5:$A$130=$B34)*Inputs!$B$5:$B$130*(((Inputs!$G$5:$G$130="moeda")+(Inputs!$G$5:$G$130="acoes"))*Inputs!$B$1+((Inputs!$G$5:$G$130&lt;&gt;"moeda")*(Inputs!$G$5:$G$130&lt;&gt;"acoes")))*INDEX(Inputs!$K$5:$AJ$130,0,MATCH(T$2,Inputs!$K$4:$AJ$4,0)))+SUMPRODUCT((Inputs!$C$5:$C$130=$B34)*Inputs!$D$5:$D$130*(((Inputs!$G$5:$G$130="moeda")+(Inputs!$G$5:$G$130="acoes"))*Inputs!$B$1+((Inputs!$G$5:$G$130&lt;&gt;"moeda")*(Inputs!$G$5:$G$130&lt;&gt;"acoes")))*INDEX(Inputs!$K$5:$AJ$130,0,MATCH(T$2,Inputs!$K$4:$AJ$4,0)))+SUMPRODUCT((Inputs!$E$5:$E$130=$B34)*Inputs!$F$5:$F$130*(((Inputs!$G$5:$G$130="moeda")+(Inputs!$G$5:$G$130="acoes"))*Inputs!$B$1+((Inputs!$G$5:$G$130&lt;&gt;"moeda")*(Inputs!$G$5:$G$130&lt;&gt;"acoes")))*INDEX(Inputs!$K$5:$AJ$130,0,MATCH(T$2,Inputs!$K$4:$AJ$4,0)))))</f>
        <v>250</v>
      </c>
      <c r="U34" s="6">
        <f>IF(ISNA(MATCH(U$2,Inputs!$K$4:$AJ$4,0)),NA(),IF(SUMPRODUCT((Inputs!$A$5:$A$130=$B34)*ISNUMBER(INDEX(Inputs!$K$5:$AJ$130,0,MATCH(U$2,Inputs!$K$4:$AJ$4,0))))+SUMPRODUCT((Inputs!$C$5:$C$130=$B34)*ISNUMBER(INDEX(Inputs!$K$5:$AJ$130,0,MATCH(U$2,Inputs!$K$4:$AJ$4,0))))+SUMPRODUCT((Inputs!$E$5:$E$130=$B34)*ISNUMBER(INDEX(Inputs!$K$5:$AJ$130,0,MATCH(U$2,Inputs!$K$4:$AJ$4,0))))=0,NA(),SUMPRODUCT((Inputs!$A$5:$A$130=$B34)*Inputs!$B$5:$B$130*(((Inputs!$G$5:$G$130="moeda")+(Inputs!$G$5:$G$130="acoes"))*Inputs!$B$1+((Inputs!$G$5:$G$130&lt;&gt;"moeda")*(Inputs!$G$5:$G$130&lt;&gt;"acoes")))*INDEX(Inputs!$K$5:$AJ$130,0,MATCH(U$2,Inputs!$K$4:$AJ$4,0)))+SUMPRODUCT((Inputs!$C$5:$C$130=$B34)*Inputs!$D$5:$D$130*(((Inputs!$G$5:$G$130="moeda")+(Inputs!$G$5:$G$130="acoes"))*Inputs!$B$1+((Inputs!$G$5:$G$130&lt;&gt;"moeda")*(Inputs!$G$5:$G$130&lt;&gt;"acoes")))*INDEX(Inputs!$K$5:$AJ$130,0,MATCH(U$2,Inputs!$K$4:$AJ$4,0)))+SUMPRODUCT((Inputs!$E$5:$E$130=$B34)*Inputs!$F$5:$F$130*(((Inputs!$G$5:$G$130="moeda")+(Inputs!$G$5:$G$130="acoes"))*Inputs!$B$1+((Inputs!$G$5:$G$130&lt;&gt;"moeda")*(Inputs!$G$5:$G$130&lt;&gt;"acoes")))*INDEX(Inputs!$K$5:$AJ$130,0,MATCH(U$2,Inputs!$K$4:$AJ$4,0)))))</f>
        <v>273</v>
      </c>
      <c r="V34" s="6">
        <f>IF(ISNA(MATCH(V$2,Inputs!$K$4:$AJ$4,0)),NA(),IF(SUMPRODUCT((Inputs!$A$5:$A$130=$B34)*ISNUMBER(INDEX(Inputs!$K$5:$AJ$130,0,MATCH(V$2,Inputs!$K$4:$AJ$4,0))))+SUMPRODUCT((Inputs!$C$5:$C$130=$B34)*ISNUMBER(INDEX(Inputs!$K$5:$AJ$130,0,MATCH(V$2,Inputs!$K$4:$AJ$4,0))))+SUMPRODUCT((Inputs!$E$5:$E$130=$B34)*ISNUMBER(INDEX(Inputs!$K$5:$AJ$130,0,MATCH(V$2,Inputs!$K$4:$AJ$4,0))))=0,NA(),SUMPRODUCT((Inputs!$A$5:$A$130=$B34)*Inputs!$B$5:$B$130*(((Inputs!$G$5:$G$130="moeda")+(Inputs!$G$5:$G$130="acoes"))*Inputs!$B$1+((Inputs!$G$5:$G$130&lt;&gt;"moeda")*(Inputs!$G$5:$G$130&lt;&gt;"acoes")))*INDEX(Inputs!$K$5:$AJ$130,0,MATCH(V$2,Inputs!$K$4:$AJ$4,0)))+SUMPRODUCT((Inputs!$C$5:$C$130=$B34)*Inputs!$D$5:$D$130*(((Inputs!$G$5:$G$130="moeda")+(Inputs!$G$5:$G$130="acoes"))*Inputs!$B$1+((Inputs!$G$5:$G$130&lt;&gt;"moeda")*(Inputs!$G$5:$G$130&lt;&gt;"acoes")))*INDEX(Inputs!$K$5:$AJ$130,0,MATCH(V$2,Inputs!$K$4:$AJ$4,0)))+SUMPRODUCT((Inputs!$E$5:$E$130=$B34)*Inputs!$F$5:$F$130*(((Inputs!$G$5:$G$130="moeda")+(Inputs!$G$5:$G$130="acoes"))*Inputs!$B$1+((Inputs!$G$5:$G$130&lt;&gt;"moeda")*(Inputs!$G$5:$G$130&lt;&gt;"acoes")))*INDEX(Inputs!$K$5:$AJ$130,0,MATCH(V$2,Inputs!$K$4:$AJ$4,0)))))</f>
        <v>288</v>
      </c>
      <c r="W34" s="3">
        <f>V34</f>
        <v>288</v>
      </c>
      <c r="X34" s="6">
        <f>IF(ISNA(MATCH(X$2,Inputs!$K$4:$AJ$4,0)),NA(),IF(SUMPRODUCT((Inputs!$A$5:$A$130=$B34)*ISNUMBER(INDEX(Inputs!$K$5:$AJ$130,0,MATCH(X$2,Inputs!$K$4:$AJ$4,0))))+SUMPRODUCT((Inputs!$C$5:$C$130=$B34)*ISNUMBER(INDEX(Inputs!$K$5:$AJ$130,0,MATCH(X$2,Inputs!$K$4:$AJ$4,0))))+SUMPRODUCT((Inputs!$E$5:$E$130=$B34)*ISNUMBER(INDEX(Inputs!$K$5:$AJ$130,0,MATCH(X$2,Inputs!$K$4:$AJ$4,0))))=0,NA(),SUMPRODUCT((Inputs!$A$5:$A$130=$B34)*Inputs!$B$5:$B$130*(((Inputs!$G$5:$G$130="moeda")+(Inputs!$G$5:$G$130="acoes"))*Inputs!$B$1+((Inputs!$G$5:$G$130&lt;&gt;"moeda")*(Inputs!$G$5:$G$130&lt;&gt;"acoes")))*INDEX(Inputs!$K$5:$AJ$130,0,MATCH(X$2,Inputs!$K$4:$AJ$4,0)))+SUMPRODUCT((Inputs!$C$5:$C$130=$B34)*Inputs!$D$5:$D$130*(((Inputs!$G$5:$G$130="moeda")+(Inputs!$G$5:$G$130="acoes"))*Inputs!$B$1+((Inputs!$G$5:$G$130&lt;&gt;"moeda")*(Inputs!$G$5:$G$130&lt;&gt;"acoes")))*INDEX(Inputs!$K$5:$AJ$130,0,MATCH(X$2,Inputs!$K$4:$AJ$4,0)))+SUMPRODUCT((Inputs!$E$5:$E$130=$B34)*Inputs!$F$5:$F$130*(((Inputs!$G$5:$G$130="moeda")+(Inputs!$G$5:$G$130="acoes"))*Inputs!$B$1+((Inputs!$G$5:$G$130&lt;&gt;"moeda")*(Inputs!$G$5:$G$130&lt;&gt;"acoes")))*INDEX(Inputs!$K$5:$AJ$130,0,MATCH(X$2,Inputs!$K$4:$AJ$4,0)))))</f>
        <v>300</v>
      </c>
      <c r="Y34" s="6">
        <f>IF(ISNA(MATCH(Y$2,Inputs!$K$4:$AJ$4,0)),NA(),IF(SUMPRODUCT((Inputs!$A$5:$A$130=$B34)*ISNUMBER(INDEX(Inputs!$K$5:$AJ$130,0,MATCH(Y$2,Inputs!$K$4:$AJ$4,0))))+SUMPRODUCT((Inputs!$C$5:$C$130=$B34)*ISNUMBER(INDEX(Inputs!$K$5:$AJ$130,0,MATCH(Y$2,Inputs!$K$4:$AJ$4,0))))+SUMPRODUCT((Inputs!$E$5:$E$130=$B34)*ISNUMBER(INDEX(Inputs!$K$5:$AJ$130,0,MATCH(Y$2,Inputs!$K$4:$AJ$4,0))))=0,NA(),SUMPRODUCT((Inputs!$A$5:$A$130=$B34)*Inputs!$B$5:$B$130*(((Inputs!$G$5:$G$130="moeda")+(Inputs!$G$5:$G$130="acoes"))*Inputs!$B$1+((Inputs!$G$5:$G$130&lt;&gt;"moeda")*(Inputs!$G$5:$G$130&lt;&gt;"acoes")))*INDEX(Inputs!$K$5:$AJ$130,0,MATCH(Y$2,Inputs!$K$4:$AJ$4,0)))+SUMPRODUCT((Inputs!$C$5:$C$130=$B34)*Inputs!$D$5:$D$130*(((Inputs!$G$5:$G$130="moeda")+(Inputs!$G$5:$G$130="acoes"))*Inputs!$B$1+((Inputs!$G$5:$G$130&lt;&gt;"moeda")*(Inputs!$G$5:$G$130&lt;&gt;"acoes")))*INDEX(Inputs!$K$5:$AJ$130,0,MATCH(Y$2,Inputs!$K$4:$AJ$4,0)))+SUMPRODUCT((Inputs!$E$5:$E$130=$B34)*Inputs!$F$5:$F$130*(((Inputs!$G$5:$G$130="moeda")+(Inputs!$G$5:$G$130="acoes"))*Inputs!$B$1+((Inputs!$G$5:$G$130&lt;&gt;"moeda")*(Inputs!$G$5:$G$130&lt;&gt;"acoes")))*INDEX(Inputs!$K$5:$AJ$130,0,MATCH(Y$2,Inputs!$K$4:$AJ$4,0)))))</f>
        <v>301</v>
      </c>
      <c r="Z34" s="6">
        <f>IF(ISNA(MATCH(Z$2,Inputs!$K$4:$AJ$4,0)),NA(),IF(SUMPRODUCT((Inputs!$A$5:$A$130=$B34)*ISNUMBER(INDEX(Inputs!$K$5:$AJ$130,0,MATCH(Z$2,Inputs!$K$4:$AJ$4,0))))+SUMPRODUCT((Inputs!$C$5:$C$130=$B34)*ISNUMBER(INDEX(Inputs!$K$5:$AJ$130,0,MATCH(Z$2,Inputs!$K$4:$AJ$4,0))))+SUMPRODUCT((Inputs!$E$5:$E$130=$B34)*ISNUMBER(INDEX(Inputs!$K$5:$AJ$130,0,MATCH(Z$2,Inputs!$K$4:$AJ$4,0))))=0,NA(),SUMPRODUCT((Inputs!$A$5:$A$130=$B34)*Inputs!$B$5:$B$130*(((Inputs!$G$5:$G$130="moeda")+(Inputs!$G$5:$G$130="acoes"))*Inputs!$B$1+((Inputs!$G$5:$G$130&lt;&gt;"moeda")*(Inputs!$G$5:$G$130&lt;&gt;"acoes")))*INDEX(Inputs!$K$5:$AJ$130,0,MATCH(Z$2,Inputs!$K$4:$AJ$4,0)))+SUMPRODUCT((Inputs!$C$5:$C$130=$B34)*Inputs!$D$5:$D$130*(((Inputs!$G$5:$G$130="moeda")+(Inputs!$G$5:$G$130="acoes"))*Inputs!$B$1+((Inputs!$G$5:$G$130&lt;&gt;"moeda")*(Inputs!$G$5:$G$130&lt;&gt;"acoes")))*INDEX(Inputs!$K$5:$AJ$130,0,MATCH(Z$2,Inputs!$K$4:$AJ$4,0)))+SUMPRODUCT((Inputs!$E$5:$E$130=$B34)*Inputs!$F$5:$F$130*(((Inputs!$G$5:$G$130="moeda")+(Inputs!$G$5:$G$130="acoes"))*Inputs!$B$1+((Inputs!$G$5:$G$130&lt;&gt;"moeda")*(Inputs!$G$5:$G$130&lt;&gt;"acoes")))*INDEX(Inputs!$K$5:$AJ$130,0,MATCH(Z$2,Inputs!$K$4:$AJ$4,0)))))</f>
        <v>341</v>
      </c>
      <c r="AA34" s="6">
        <f>IF(ISNA(MATCH(AA$2,Inputs!$K$4:$AJ$4,0)),NA(),IF(SUMPRODUCT((Inputs!$A$5:$A$130=$B34)*ISNUMBER(INDEX(Inputs!$K$5:$AJ$130,0,MATCH(AA$2,Inputs!$K$4:$AJ$4,0))))+SUMPRODUCT((Inputs!$C$5:$C$130=$B34)*ISNUMBER(INDEX(Inputs!$K$5:$AJ$130,0,MATCH(AA$2,Inputs!$K$4:$AJ$4,0))))+SUMPRODUCT((Inputs!$E$5:$E$130=$B34)*ISNUMBER(INDEX(Inputs!$K$5:$AJ$130,0,MATCH(AA$2,Inputs!$K$4:$AJ$4,0))))=0,NA(),SUMPRODUCT((Inputs!$A$5:$A$130=$B34)*Inputs!$B$5:$B$130*(((Inputs!$G$5:$G$130="moeda")+(Inputs!$G$5:$G$130="acoes"))*Inputs!$B$1+((Inputs!$G$5:$G$130&lt;&gt;"moeda")*(Inputs!$G$5:$G$130&lt;&gt;"acoes")))*INDEX(Inputs!$K$5:$AJ$130,0,MATCH(AA$2,Inputs!$K$4:$AJ$4,0)))+SUMPRODUCT((Inputs!$C$5:$C$130=$B34)*Inputs!$D$5:$D$130*(((Inputs!$G$5:$G$130="moeda")+(Inputs!$G$5:$G$130="acoes"))*Inputs!$B$1+((Inputs!$G$5:$G$130&lt;&gt;"moeda")*(Inputs!$G$5:$G$130&lt;&gt;"acoes")))*INDEX(Inputs!$K$5:$AJ$130,0,MATCH(AA$2,Inputs!$K$4:$AJ$4,0)))+SUMPRODUCT((Inputs!$E$5:$E$130=$B34)*Inputs!$F$5:$F$130*(((Inputs!$G$5:$G$130="moeda")+(Inputs!$G$5:$G$130="acoes"))*Inputs!$B$1+((Inputs!$G$5:$G$130&lt;&gt;"moeda")*(Inputs!$G$5:$G$130&lt;&gt;"acoes")))*INDEX(Inputs!$K$5:$AJ$130,0,MATCH(AA$2,Inputs!$K$4:$AJ$4,0)))))</f>
        <v>372</v>
      </c>
      <c r="AB34" s="3">
        <f>AA34</f>
        <v>372</v>
      </c>
      <c r="AC34" s="6">
        <f>IF(ISNA(MATCH(AC$2,Inputs!$K$4:$AJ$4,0)),NA(),IF(SUMPRODUCT((Inputs!$A$5:$A$130=$B34)*ISNUMBER(INDEX(Inputs!$K$5:$AJ$130,0,MATCH(AC$2,Inputs!$K$4:$AJ$4,0))))+SUMPRODUCT((Inputs!$C$5:$C$130=$B34)*ISNUMBER(INDEX(Inputs!$K$5:$AJ$130,0,MATCH(AC$2,Inputs!$K$4:$AJ$4,0))))+SUMPRODUCT((Inputs!$E$5:$E$130=$B34)*ISNUMBER(INDEX(Inputs!$K$5:$AJ$130,0,MATCH(AC$2,Inputs!$K$4:$AJ$4,0))))=0,NA(),SUMPRODUCT((Inputs!$A$5:$A$130=$B34)*Inputs!$B$5:$B$130*(((Inputs!$G$5:$G$130="moeda")+(Inputs!$G$5:$G$130="acoes"))*Inputs!$B$1+((Inputs!$G$5:$G$130&lt;&gt;"moeda")*(Inputs!$G$5:$G$130&lt;&gt;"acoes")))*INDEX(Inputs!$K$5:$AJ$130,0,MATCH(AC$2,Inputs!$K$4:$AJ$4,0)))+SUMPRODUCT((Inputs!$C$5:$C$130=$B34)*Inputs!$D$5:$D$130*(((Inputs!$G$5:$G$130="moeda")+(Inputs!$G$5:$G$130="acoes"))*Inputs!$B$1+((Inputs!$G$5:$G$130&lt;&gt;"moeda")*(Inputs!$G$5:$G$130&lt;&gt;"acoes")))*INDEX(Inputs!$K$5:$AJ$130,0,MATCH(AC$2,Inputs!$K$4:$AJ$4,0)))+SUMPRODUCT((Inputs!$E$5:$E$130=$B34)*Inputs!$F$5:$F$130*(((Inputs!$G$5:$G$130="moeda")+(Inputs!$G$5:$G$130="acoes"))*Inputs!$B$1+((Inputs!$G$5:$G$130&lt;&gt;"moeda")*(Inputs!$G$5:$G$130&lt;&gt;"acoes")))*INDEX(Inputs!$K$5:$AJ$130,0,MATCH(AC$2,Inputs!$K$4:$AJ$4,0)))))</f>
        <v>466</v>
      </c>
      <c r="AD34" s="6">
        <f>IF(ISNA(MATCH(AD$2,Inputs!$K$4:$AJ$4,0)),NA(),IF(SUMPRODUCT((Inputs!$A$5:$A$130=$B34)*ISNUMBER(INDEX(Inputs!$K$5:$AJ$130,0,MATCH(AD$2,Inputs!$K$4:$AJ$4,0))))+SUMPRODUCT((Inputs!$C$5:$C$130=$B34)*ISNUMBER(INDEX(Inputs!$K$5:$AJ$130,0,MATCH(AD$2,Inputs!$K$4:$AJ$4,0))))+SUMPRODUCT((Inputs!$E$5:$E$130=$B34)*ISNUMBER(INDEX(Inputs!$K$5:$AJ$130,0,MATCH(AD$2,Inputs!$K$4:$AJ$4,0))))=0,NA(),SUMPRODUCT((Inputs!$A$5:$A$130=$B34)*Inputs!$B$5:$B$130*(((Inputs!$G$5:$G$130="moeda")+(Inputs!$G$5:$G$130="acoes"))*Inputs!$B$1+((Inputs!$G$5:$G$130&lt;&gt;"moeda")*(Inputs!$G$5:$G$130&lt;&gt;"acoes")))*INDEX(Inputs!$K$5:$AJ$130,0,MATCH(AD$2,Inputs!$K$4:$AJ$4,0)))+SUMPRODUCT((Inputs!$C$5:$C$130=$B34)*Inputs!$D$5:$D$130*(((Inputs!$G$5:$G$130="moeda")+(Inputs!$G$5:$G$130="acoes"))*Inputs!$B$1+((Inputs!$G$5:$G$130&lt;&gt;"moeda")*(Inputs!$G$5:$G$130&lt;&gt;"acoes")))*INDEX(Inputs!$K$5:$AJ$130,0,MATCH(AD$2,Inputs!$K$4:$AJ$4,0)))+SUMPRODUCT((Inputs!$E$5:$E$130=$B34)*Inputs!$F$5:$F$130*(((Inputs!$G$5:$G$130="moeda")+(Inputs!$G$5:$G$130="acoes"))*Inputs!$B$1+((Inputs!$G$5:$G$130&lt;&gt;"moeda")*(Inputs!$G$5:$G$130&lt;&gt;"acoes")))*INDEX(Inputs!$K$5:$AJ$130,0,MATCH(AD$2,Inputs!$K$4:$AJ$4,0)))))</f>
        <v>509</v>
      </c>
      <c r="AE34" s="6" t="e">
        <f>IF(ISNA(MATCH(AE$2,Inputs!$K$4:$AJ$4,0)),NA(),IF(SUMPRODUCT((Inputs!$A$5:$A$130=$B34)*ISNUMBER(INDEX(Inputs!$K$5:$AJ$130,0,MATCH(AE$2,Inputs!$K$4:$AJ$4,0))))+SUMPRODUCT((Inputs!$C$5:$C$130=$B34)*ISNUMBER(INDEX(Inputs!$K$5:$AJ$130,0,MATCH(AE$2,Inputs!$K$4:$AJ$4,0))))+SUMPRODUCT((Inputs!$E$5:$E$130=$B34)*ISNUMBER(INDEX(Inputs!$K$5:$AJ$130,0,MATCH(AE$2,Inputs!$K$4:$AJ$4,0))))=0,NA(),SUMPRODUCT((Inputs!$A$5:$A$130=$B34)*Inputs!$B$5:$B$130*(((Inputs!$G$5:$G$130="moeda")+(Inputs!$G$5:$G$130="acoes"))*Inputs!$B$1+((Inputs!$G$5:$G$130&lt;&gt;"moeda")*(Inputs!$G$5:$G$130&lt;&gt;"acoes")))*INDEX(Inputs!$K$5:$AJ$130,0,MATCH(AE$2,Inputs!$K$4:$AJ$4,0)))+SUMPRODUCT((Inputs!$C$5:$C$130=$B34)*Inputs!$D$5:$D$130*(((Inputs!$G$5:$G$130="moeda")+(Inputs!$G$5:$G$130="acoes"))*Inputs!$B$1+((Inputs!$G$5:$G$130&lt;&gt;"moeda")*(Inputs!$G$5:$G$130&lt;&gt;"acoes")))*INDEX(Inputs!$K$5:$AJ$130,0,MATCH(AE$2,Inputs!$K$4:$AJ$4,0)))+SUMPRODUCT((Inputs!$E$5:$E$130=$B34)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4" s="6" t="e">
        <f>IF(ISNA(MATCH(AF$2,Inputs!$K$4:$AJ$4,0)),NA(),IF(SUMPRODUCT((Inputs!$A$5:$A$130=$B34)*ISNUMBER(INDEX(Inputs!$K$5:$AJ$130,0,MATCH(AF$2,Inputs!$K$4:$AJ$4,0))))+SUMPRODUCT((Inputs!$C$5:$C$130=$B34)*ISNUMBER(INDEX(Inputs!$K$5:$AJ$130,0,MATCH(AF$2,Inputs!$K$4:$AJ$4,0))))+SUMPRODUCT((Inputs!$E$5:$E$130=$B34)*ISNUMBER(INDEX(Inputs!$K$5:$AJ$130,0,MATCH(AF$2,Inputs!$K$4:$AJ$4,0))))=0,NA(),SUMPRODUCT((Inputs!$A$5:$A$130=$B34)*Inputs!$B$5:$B$130*(((Inputs!$G$5:$G$130="moeda")+(Inputs!$G$5:$G$130="acoes"))*Inputs!$B$1+((Inputs!$G$5:$G$130&lt;&gt;"moeda")*(Inputs!$G$5:$G$130&lt;&gt;"acoes")))*INDEX(Inputs!$K$5:$AJ$130,0,MATCH(AF$2,Inputs!$K$4:$AJ$4,0)))+SUMPRODUCT((Inputs!$C$5:$C$130=$B34)*Inputs!$D$5:$D$130*(((Inputs!$G$5:$G$130="moeda")+(Inputs!$G$5:$G$130="acoes"))*Inputs!$B$1+((Inputs!$G$5:$G$130&lt;&gt;"moeda")*(Inputs!$G$5:$G$130&lt;&gt;"acoes")))*INDEX(Inputs!$K$5:$AJ$130,0,MATCH(AF$2,Inputs!$K$4:$AJ$4,0)))+SUMPRODUCT((Inputs!$E$5:$E$130=$B34)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4" s="3" t="e">
        <f>AF34</f>
        <v>#N/A</v>
      </c>
      <c r="AH34" s="6">
        <f>IF(ISNA(MATCH(AH$2,Inputs!$K$4:$AJ$4,0)),NA(),IF(SUMPRODUCT((Inputs!$A$5:$A$130=$B34)*ISNUMBER(INDEX(Inputs!$K$5:$AJ$130,0,MATCH(AH$2,Inputs!$K$4:$AJ$4,0))))+SUMPRODUCT((Inputs!$C$5:$C$130=$B34)*ISNUMBER(INDEX(Inputs!$K$5:$AJ$130,0,MATCH(AH$2,Inputs!$K$4:$AJ$4,0))))+SUMPRODUCT((Inputs!$E$5:$E$130=$B34)*ISNUMBER(INDEX(Inputs!$K$5:$AJ$130,0,MATCH(AH$2,Inputs!$K$4:$AJ$4,0))))=0,NA(),SUMPRODUCT((Inputs!$A$5:$A$130=$B34)*Inputs!$B$5:$B$130*(((Inputs!$G$5:$G$130="moeda")+(Inputs!$G$5:$G$130="acoes"))*Inputs!$B$1+((Inputs!$G$5:$G$130&lt;&gt;"moeda")*(Inputs!$G$5:$G$130&lt;&gt;"acoes")))*INDEX(Inputs!$K$5:$AJ$130,0,MATCH(AH$2,Inputs!$K$4:$AJ$4,0)))+SUMPRODUCT((Inputs!$C$5:$C$130=$B34)*Inputs!$D$5:$D$130*(((Inputs!$G$5:$G$130="moeda")+(Inputs!$G$5:$G$130="acoes"))*Inputs!$B$1+((Inputs!$G$5:$G$130&lt;&gt;"moeda")*(Inputs!$G$5:$G$130&lt;&gt;"acoes")))*INDEX(Inputs!$K$5:$AJ$130,0,MATCH(AH$2,Inputs!$K$4:$AJ$4,0)))+SUMPRODUCT((Inputs!$E$5:$E$130=$B34)*Inputs!$F$5:$F$130*(((Inputs!$G$5:$G$130="moeda")+(Inputs!$G$5:$G$130="acoes"))*Inputs!$B$1+((Inputs!$G$5:$G$130&lt;&gt;"moeda")*(Inputs!$G$5:$G$130&lt;&gt;"acoes")))*INDEX(Inputs!$K$5:$AJ$130,0,MATCH(AH$2,Inputs!$K$4:$AJ$4,0)))))</f>
        <v>100</v>
      </c>
      <c r="AI34" s="6">
        <f>IF(ISNA(MATCH(AI$2,Inputs!$K$4:$AJ$4,0)),NA(),IF(SUMPRODUCT((Inputs!$A$5:$A$130=$B34)*ISNUMBER(INDEX(Inputs!$K$5:$AJ$130,0,MATCH(AI$2,Inputs!$K$4:$AJ$4,0))))+SUMPRODUCT((Inputs!$C$5:$C$130=$B34)*ISNUMBER(INDEX(Inputs!$K$5:$AJ$130,0,MATCH(AI$2,Inputs!$K$4:$AJ$4,0))))+SUMPRODUCT((Inputs!$E$5:$E$130=$B34)*ISNUMBER(INDEX(Inputs!$K$5:$AJ$130,0,MATCH(AI$2,Inputs!$K$4:$AJ$4,0))))=0,NA(),SUMPRODUCT((Inputs!$A$5:$A$130=$B34)*Inputs!$B$5:$B$130*(((Inputs!$G$5:$G$130="moeda")+(Inputs!$G$5:$G$130="acoes"))*Inputs!$B$1+((Inputs!$G$5:$G$130&lt;&gt;"moeda")*(Inputs!$G$5:$G$130&lt;&gt;"acoes")))*INDEX(Inputs!$K$5:$AJ$130,0,MATCH(AI$2,Inputs!$K$4:$AJ$4,0)))+SUMPRODUCT((Inputs!$C$5:$C$130=$B34)*Inputs!$D$5:$D$130*(((Inputs!$G$5:$G$130="moeda")+(Inputs!$G$5:$G$130="acoes"))*Inputs!$B$1+((Inputs!$G$5:$G$130&lt;&gt;"moeda")*(Inputs!$G$5:$G$130&lt;&gt;"acoes")))*INDEX(Inputs!$K$5:$AJ$130,0,MATCH(AI$2,Inputs!$K$4:$AJ$4,0)))+SUMPRODUCT((Inputs!$E$5:$E$130=$B34)*Inputs!$F$5:$F$130*(((Inputs!$G$5:$G$130="moeda")+(Inputs!$G$5:$G$130="acoes"))*Inputs!$B$1+((Inputs!$G$5:$G$130&lt;&gt;"moeda")*(Inputs!$G$5:$G$130&lt;&gt;"acoes")))*INDEX(Inputs!$K$5:$AJ$130,0,MATCH(AI$2,Inputs!$K$4:$AJ$4,0)))))</f>
        <v>124</v>
      </c>
      <c r="AJ34" s="6">
        <f>IF(ISNA(MATCH(AJ$2,Inputs!$K$4:$AJ$4,0)),NA(),IF(SUMPRODUCT((Inputs!$A$5:$A$130=$B34)*ISNUMBER(INDEX(Inputs!$K$5:$AJ$130,0,MATCH(AJ$2,Inputs!$K$4:$AJ$4,0))))+SUMPRODUCT((Inputs!$C$5:$C$130=$B34)*ISNUMBER(INDEX(Inputs!$K$5:$AJ$130,0,MATCH(AJ$2,Inputs!$K$4:$AJ$4,0))))+SUMPRODUCT((Inputs!$E$5:$E$130=$B34)*ISNUMBER(INDEX(Inputs!$K$5:$AJ$130,0,MATCH(AJ$2,Inputs!$K$4:$AJ$4,0))))=0,NA(),SUMPRODUCT((Inputs!$A$5:$A$130=$B34)*Inputs!$B$5:$B$130*(((Inputs!$G$5:$G$130="moeda")+(Inputs!$G$5:$G$130="acoes"))*Inputs!$B$1+((Inputs!$G$5:$G$130&lt;&gt;"moeda")*(Inputs!$G$5:$G$130&lt;&gt;"acoes")))*INDEX(Inputs!$K$5:$AJ$130,0,MATCH(AJ$2,Inputs!$K$4:$AJ$4,0)))+SUMPRODUCT((Inputs!$C$5:$C$130=$B34)*Inputs!$D$5:$D$130*(((Inputs!$G$5:$G$130="moeda")+(Inputs!$G$5:$G$130="acoes"))*Inputs!$B$1+((Inputs!$G$5:$G$130&lt;&gt;"moeda")*(Inputs!$G$5:$G$130&lt;&gt;"acoes")))*INDEX(Inputs!$K$5:$AJ$130,0,MATCH(AJ$2,Inputs!$K$4:$AJ$4,0)))+SUMPRODUCT((Inputs!$E$5:$E$130=$B34)*Inputs!$F$5:$F$130*(((Inputs!$G$5:$G$130="moeda")+(Inputs!$G$5:$G$130="acoes"))*Inputs!$B$1+((Inputs!$G$5:$G$130&lt;&gt;"moeda")*(Inputs!$G$5:$G$130&lt;&gt;"acoes")))*INDEX(Inputs!$K$5:$AJ$130,0,MATCH(AJ$2,Inputs!$K$4:$AJ$4,0)))))</f>
        <v>116</v>
      </c>
      <c r="AK34" s="6">
        <f>IF(ISNA(MATCH(AK$2,Inputs!$K$4:$AJ$4,0)),NA(),IF(SUMPRODUCT((Inputs!$A$5:$A$130=$B34)*ISNUMBER(INDEX(Inputs!$K$5:$AJ$130,0,MATCH(AK$2,Inputs!$K$4:$AJ$4,0))))+SUMPRODUCT((Inputs!$C$5:$C$130=$B34)*ISNUMBER(INDEX(Inputs!$K$5:$AJ$130,0,MATCH(AK$2,Inputs!$K$4:$AJ$4,0))))+SUMPRODUCT((Inputs!$E$5:$E$130=$B34)*ISNUMBER(INDEX(Inputs!$K$5:$AJ$130,0,MATCH(AK$2,Inputs!$K$4:$AJ$4,0))))=0,NA(),SUMPRODUCT((Inputs!$A$5:$A$130=$B34)*Inputs!$B$5:$B$130*(((Inputs!$G$5:$G$130="moeda")+(Inputs!$G$5:$G$130="acoes"))*Inputs!$B$1+((Inputs!$G$5:$G$130&lt;&gt;"moeda")*(Inputs!$G$5:$G$130&lt;&gt;"acoes")))*INDEX(Inputs!$K$5:$AJ$130,0,MATCH(AK$2,Inputs!$K$4:$AJ$4,0)))+SUMPRODUCT((Inputs!$C$5:$C$130=$B34)*Inputs!$D$5:$D$130*(((Inputs!$G$5:$G$130="moeda")+(Inputs!$G$5:$G$130="acoes"))*Inputs!$B$1+((Inputs!$G$5:$G$130&lt;&gt;"moeda")*(Inputs!$G$5:$G$130&lt;&gt;"acoes")))*INDEX(Inputs!$K$5:$AJ$130,0,MATCH(AK$2,Inputs!$K$4:$AJ$4,0)))+SUMPRODUCT((Inputs!$E$5:$E$130=$B34)*Inputs!$F$5:$F$130*(((Inputs!$G$5:$G$130="moeda")+(Inputs!$G$5:$G$130="acoes"))*Inputs!$B$1+((Inputs!$G$5:$G$130&lt;&gt;"moeda")*(Inputs!$G$5:$G$130&lt;&gt;"acoes")))*INDEX(Inputs!$K$5:$AJ$130,0,MATCH(AK$2,Inputs!$K$4:$AJ$4,0)))))</f>
        <v>121</v>
      </c>
      <c r="AL34" s="3">
        <f>AK34</f>
        <v>121</v>
      </c>
    </row>
    <row r="35">
      <c r="B35" s="46" t="n">
        <v>30</v>
      </c>
      <c r="C35" s="26" t="inlineStr">
        <is>
          <t>Long term debt</t>
        </is>
      </c>
      <c r="D35" s="6">
        <f>IF(ISNA(MATCH(D$2,Inputs!$K$4:$AJ$4,0)),NA(),IF(SUMPRODUCT((Inputs!$A$5:$A$130=$B35)*ISNUMBER(INDEX(Inputs!$K$5:$AJ$130,0,MATCH(D$2,Inputs!$K$4:$AJ$4,0))))+SUMPRODUCT((Inputs!$C$5:$C$130=$B35)*ISNUMBER(INDEX(Inputs!$K$5:$AJ$130,0,MATCH(D$2,Inputs!$K$4:$AJ$4,0))))+SUMPRODUCT((Inputs!$E$5:$E$130=$B35)*ISNUMBER(INDEX(Inputs!$K$5:$AJ$130,0,MATCH(D$2,Inputs!$K$4:$AJ$4,0))))=0,NA(),SUMPRODUCT((Inputs!$A$5:$A$130=$B35)*Inputs!$B$5:$B$130*(((Inputs!$G$5:$G$130="moeda")+(Inputs!$G$5:$G$130="acoes"))*Inputs!$B$1+((Inputs!$G$5:$G$130&lt;&gt;"moeda")*(Inputs!$G$5:$G$130&lt;&gt;"acoes")))*INDEX(Inputs!$K$5:$AJ$130,0,MATCH(D$2,Inputs!$K$4:$AJ$4,0)))+SUMPRODUCT((Inputs!$C$5:$C$130=$B35)*Inputs!$D$5:$D$130*(((Inputs!$G$5:$G$130="moeda")+(Inputs!$G$5:$G$130="acoes"))*Inputs!$B$1+((Inputs!$G$5:$G$130&lt;&gt;"moeda")*(Inputs!$G$5:$G$130&lt;&gt;"acoes")))*INDEX(Inputs!$K$5:$AJ$130,0,MATCH(D$2,Inputs!$K$4:$AJ$4,0)))+SUMPRODUCT((Inputs!$E$5:$E$130=$B35)*Inputs!$F$5:$F$130*(((Inputs!$G$5:$G$130="moeda")+(Inputs!$G$5:$G$130="acoes"))*Inputs!$B$1+((Inputs!$G$5:$G$130&lt;&gt;"moeda")*(Inputs!$G$5:$G$130&lt;&gt;"acoes")))*INDEX(Inputs!$K$5:$AJ$130,0,MATCH(D$2,Inputs!$K$4:$AJ$4,0)))))</f>
        <v>5964</v>
      </c>
      <c r="E35" s="6">
        <f>IF(ISNA(MATCH(E$2,Inputs!$K$4:$AJ$4,0)),NA(),IF(SUMPRODUCT((Inputs!$A$5:$A$130=$B35)*ISNUMBER(INDEX(Inputs!$K$5:$AJ$130,0,MATCH(E$2,Inputs!$K$4:$AJ$4,0))))+SUMPRODUCT((Inputs!$C$5:$C$130=$B35)*ISNUMBER(INDEX(Inputs!$K$5:$AJ$130,0,MATCH(E$2,Inputs!$K$4:$AJ$4,0))))+SUMPRODUCT((Inputs!$E$5:$E$130=$B35)*ISNUMBER(INDEX(Inputs!$K$5:$AJ$130,0,MATCH(E$2,Inputs!$K$4:$AJ$4,0))))=0,NA(),SUMPRODUCT((Inputs!$A$5:$A$130=$B35)*Inputs!$B$5:$B$130*(((Inputs!$G$5:$G$130="moeda")+(Inputs!$G$5:$G$130="acoes"))*Inputs!$B$1+((Inputs!$G$5:$G$130&lt;&gt;"moeda")*(Inputs!$G$5:$G$130&lt;&gt;"acoes")))*INDEX(Inputs!$K$5:$AJ$130,0,MATCH(E$2,Inputs!$K$4:$AJ$4,0)))+SUMPRODUCT((Inputs!$C$5:$C$130=$B35)*Inputs!$D$5:$D$130*(((Inputs!$G$5:$G$130="moeda")+(Inputs!$G$5:$G$130="acoes"))*Inputs!$B$1+((Inputs!$G$5:$G$130&lt;&gt;"moeda")*(Inputs!$G$5:$G$130&lt;&gt;"acoes")))*INDEX(Inputs!$K$5:$AJ$130,0,MATCH(E$2,Inputs!$K$4:$AJ$4,0)))+SUMPRODUCT((Inputs!$E$5:$E$130=$B35)*Inputs!$F$5:$F$130*(((Inputs!$G$5:$G$130="moeda")+(Inputs!$G$5:$G$130="acoes"))*Inputs!$B$1+((Inputs!$G$5:$G$130&lt;&gt;"moeda")*(Inputs!$G$5:$G$130&lt;&gt;"acoes")))*INDEX(Inputs!$K$5:$AJ$130,0,MATCH(E$2,Inputs!$K$4:$AJ$4,0)))))</f>
        <v>10943</v>
      </c>
      <c r="F35" s="6">
        <f>IF(ISNA(MATCH(F$2,Inputs!$K$4:$AJ$4,0)),NA(),IF(SUMPRODUCT((Inputs!$A$5:$A$130=$B35)*ISNUMBER(INDEX(Inputs!$K$5:$AJ$130,0,MATCH(F$2,Inputs!$K$4:$AJ$4,0))))+SUMPRODUCT((Inputs!$C$5:$C$130=$B35)*ISNUMBER(INDEX(Inputs!$K$5:$AJ$130,0,MATCH(F$2,Inputs!$K$4:$AJ$4,0))))+SUMPRODUCT((Inputs!$E$5:$E$130=$B35)*ISNUMBER(INDEX(Inputs!$K$5:$AJ$130,0,MATCH(F$2,Inputs!$K$4:$AJ$4,0))))=0,NA(),SUMPRODUCT((Inputs!$A$5:$A$130=$B35)*Inputs!$B$5:$B$130*(((Inputs!$G$5:$G$130="moeda")+(Inputs!$G$5:$G$130="acoes"))*Inputs!$B$1+((Inputs!$G$5:$G$130&lt;&gt;"moeda")*(Inputs!$G$5:$G$130&lt;&gt;"acoes")))*INDEX(Inputs!$K$5:$AJ$130,0,MATCH(F$2,Inputs!$K$4:$AJ$4,0)))+SUMPRODUCT((Inputs!$C$5:$C$130=$B35)*Inputs!$D$5:$D$130*(((Inputs!$G$5:$G$130="moeda")+(Inputs!$G$5:$G$130="acoes"))*Inputs!$B$1+((Inputs!$G$5:$G$130&lt;&gt;"moeda")*(Inputs!$G$5:$G$130&lt;&gt;"acoes")))*INDEX(Inputs!$K$5:$AJ$130,0,MATCH(F$2,Inputs!$K$4:$AJ$4,0)))+SUMPRODUCT((Inputs!$E$5:$E$130=$B35)*Inputs!$F$5:$F$130*(((Inputs!$G$5:$G$130="moeda")+(Inputs!$G$5:$G$130="acoes"))*Inputs!$B$1+((Inputs!$G$5:$G$130&lt;&gt;"moeda")*(Inputs!$G$5:$G$130&lt;&gt;"acoes")))*INDEX(Inputs!$K$5:$AJ$130,0,MATCH(F$2,Inputs!$K$4:$AJ$4,0)))))</f>
        <v>10944</v>
      </c>
      <c r="G35" s="6">
        <f>IF(ISNA(MATCH(G$2,Inputs!$K$4:$AJ$4,0)),NA(),IF(SUMPRODUCT((Inputs!$A$5:$A$130=$B35)*ISNUMBER(INDEX(Inputs!$K$5:$AJ$130,0,MATCH(G$2,Inputs!$K$4:$AJ$4,0))))+SUMPRODUCT((Inputs!$C$5:$C$130=$B35)*ISNUMBER(INDEX(Inputs!$K$5:$AJ$130,0,MATCH(G$2,Inputs!$K$4:$AJ$4,0))))+SUMPRODUCT((Inputs!$E$5:$E$130=$B35)*ISNUMBER(INDEX(Inputs!$K$5:$AJ$130,0,MATCH(G$2,Inputs!$K$4:$AJ$4,0))))=0,NA(),SUMPRODUCT((Inputs!$A$5:$A$130=$B35)*Inputs!$B$5:$B$130*(((Inputs!$G$5:$G$130="moeda")+(Inputs!$G$5:$G$130="acoes"))*Inputs!$B$1+((Inputs!$G$5:$G$130&lt;&gt;"moeda")*(Inputs!$G$5:$G$130&lt;&gt;"acoes")))*INDEX(Inputs!$K$5:$AJ$130,0,MATCH(G$2,Inputs!$K$4:$AJ$4,0)))+SUMPRODUCT((Inputs!$C$5:$C$130=$B35)*Inputs!$D$5:$D$130*(((Inputs!$G$5:$G$130="moeda")+(Inputs!$G$5:$G$130="acoes"))*Inputs!$B$1+((Inputs!$G$5:$G$130&lt;&gt;"moeda")*(Inputs!$G$5:$G$130&lt;&gt;"acoes")))*INDEX(Inputs!$K$5:$AJ$130,0,MATCH(G$2,Inputs!$K$4:$AJ$4,0)))+SUMPRODUCT((Inputs!$E$5:$E$130=$B35)*Inputs!$F$5:$F$130*(((Inputs!$G$5:$G$130="moeda")+(Inputs!$G$5:$G$130="acoes"))*Inputs!$B$1+((Inputs!$G$5:$G$130&lt;&gt;"moeda")*(Inputs!$G$5:$G$130&lt;&gt;"acoes")))*INDEX(Inputs!$K$5:$AJ$130,0,MATCH(G$2,Inputs!$K$4:$AJ$4,0)))))</f>
        <v>10946</v>
      </c>
      <c r="H35" s="3">
        <f>G35</f>
        <v>10946</v>
      </c>
      <c r="I35" s="6">
        <f>IF(ISNA(MATCH(I$2,Inputs!$K$4:$AJ$4,0)),NA(),IF(SUMPRODUCT((Inputs!$A$5:$A$130=$B35)*ISNUMBER(INDEX(Inputs!$K$5:$AJ$130,0,MATCH(I$2,Inputs!$K$4:$AJ$4,0))))+SUMPRODUCT((Inputs!$C$5:$C$130=$B35)*ISNUMBER(INDEX(Inputs!$K$5:$AJ$130,0,MATCH(I$2,Inputs!$K$4:$AJ$4,0))))+SUMPRODUCT((Inputs!$E$5:$E$130=$B35)*ISNUMBER(INDEX(Inputs!$K$5:$AJ$130,0,MATCH(I$2,Inputs!$K$4:$AJ$4,0))))=0,NA(),SUMPRODUCT((Inputs!$A$5:$A$130=$B35)*Inputs!$B$5:$B$130*(((Inputs!$G$5:$G$130="moeda")+(Inputs!$G$5:$G$130="acoes"))*Inputs!$B$1+((Inputs!$G$5:$G$130&lt;&gt;"moeda")*(Inputs!$G$5:$G$130&lt;&gt;"acoes")))*INDEX(Inputs!$K$5:$AJ$130,0,MATCH(I$2,Inputs!$K$4:$AJ$4,0)))+SUMPRODUCT((Inputs!$C$5:$C$130=$B35)*Inputs!$D$5:$D$130*(((Inputs!$G$5:$G$130="moeda")+(Inputs!$G$5:$G$130="acoes"))*Inputs!$B$1+((Inputs!$G$5:$G$130&lt;&gt;"moeda")*(Inputs!$G$5:$G$130&lt;&gt;"acoes")))*INDEX(Inputs!$K$5:$AJ$130,0,MATCH(I$2,Inputs!$K$4:$AJ$4,0)))+SUMPRODUCT((Inputs!$E$5:$E$130=$B35)*Inputs!$F$5:$F$130*(((Inputs!$G$5:$G$130="moeda")+(Inputs!$G$5:$G$130="acoes"))*Inputs!$B$1+((Inputs!$G$5:$G$130&lt;&gt;"moeda")*(Inputs!$G$5:$G$130&lt;&gt;"acoes")))*INDEX(Inputs!$K$5:$AJ$130,0,MATCH(I$2,Inputs!$K$4:$AJ$4,0)))))</f>
        <v>10947</v>
      </c>
      <c r="J35" s="6">
        <f>IF(ISNA(MATCH(J$2,Inputs!$K$4:$AJ$4,0)),NA(),IF(SUMPRODUCT((Inputs!$A$5:$A$130=$B35)*ISNUMBER(INDEX(Inputs!$K$5:$AJ$130,0,MATCH(J$2,Inputs!$K$4:$AJ$4,0))))+SUMPRODUCT((Inputs!$C$5:$C$130=$B35)*ISNUMBER(INDEX(Inputs!$K$5:$AJ$130,0,MATCH(J$2,Inputs!$K$4:$AJ$4,0))))+SUMPRODUCT((Inputs!$E$5:$E$130=$B35)*ISNUMBER(INDEX(Inputs!$K$5:$AJ$130,0,MATCH(J$2,Inputs!$K$4:$AJ$4,0))))=0,NA(),SUMPRODUCT((Inputs!$A$5:$A$130=$B35)*Inputs!$B$5:$B$130*(((Inputs!$G$5:$G$130="moeda")+(Inputs!$G$5:$G$130="acoes"))*Inputs!$B$1+((Inputs!$G$5:$G$130&lt;&gt;"moeda")*(Inputs!$G$5:$G$130&lt;&gt;"acoes")))*INDEX(Inputs!$K$5:$AJ$130,0,MATCH(J$2,Inputs!$K$4:$AJ$4,0)))+SUMPRODUCT((Inputs!$C$5:$C$130=$B35)*Inputs!$D$5:$D$130*(((Inputs!$G$5:$G$130="moeda")+(Inputs!$G$5:$G$130="acoes"))*Inputs!$B$1+((Inputs!$G$5:$G$130&lt;&gt;"moeda")*(Inputs!$G$5:$G$130&lt;&gt;"acoes")))*INDEX(Inputs!$K$5:$AJ$130,0,MATCH(J$2,Inputs!$K$4:$AJ$4,0)))+SUMPRODUCT((Inputs!$E$5:$E$130=$B35)*Inputs!$F$5:$F$130*(((Inputs!$G$5:$G$130="moeda")+(Inputs!$G$5:$G$130="acoes"))*Inputs!$B$1+((Inputs!$G$5:$G$130&lt;&gt;"moeda")*(Inputs!$G$5:$G$130&lt;&gt;"acoes")))*INDEX(Inputs!$K$5:$AJ$130,0,MATCH(J$2,Inputs!$K$4:$AJ$4,0)))))</f>
        <v>9700</v>
      </c>
      <c r="K35" s="6">
        <f>IF(ISNA(MATCH(K$2,Inputs!$K$4:$AJ$4,0)),NA(),IF(SUMPRODUCT((Inputs!$A$5:$A$130=$B35)*ISNUMBER(INDEX(Inputs!$K$5:$AJ$130,0,MATCH(K$2,Inputs!$K$4:$AJ$4,0))))+SUMPRODUCT((Inputs!$C$5:$C$130=$B35)*ISNUMBER(INDEX(Inputs!$K$5:$AJ$130,0,MATCH(K$2,Inputs!$K$4:$AJ$4,0))))+SUMPRODUCT((Inputs!$E$5:$E$130=$B35)*ISNUMBER(INDEX(Inputs!$K$5:$AJ$130,0,MATCH(K$2,Inputs!$K$4:$AJ$4,0))))=0,NA(),SUMPRODUCT((Inputs!$A$5:$A$130=$B35)*Inputs!$B$5:$B$130*(((Inputs!$G$5:$G$130="moeda")+(Inputs!$G$5:$G$130="acoes"))*Inputs!$B$1+((Inputs!$G$5:$G$130&lt;&gt;"moeda")*(Inputs!$G$5:$G$130&lt;&gt;"acoes")))*INDEX(Inputs!$K$5:$AJ$130,0,MATCH(K$2,Inputs!$K$4:$AJ$4,0)))+SUMPRODUCT((Inputs!$C$5:$C$130=$B35)*Inputs!$D$5:$D$130*(((Inputs!$G$5:$G$130="moeda")+(Inputs!$G$5:$G$130="acoes"))*Inputs!$B$1+((Inputs!$G$5:$G$130&lt;&gt;"moeda")*(Inputs!$G$5:$G$130&lt;&gt;"acoes")))*INDEX(Inputs!$K$5:$AJ$130,0,MATCH(K$2,Inputs!$K$4:$AJ$4,0)))+SUMPRODUCT((Inputs!$E$5:$E$130=$B35)*Inputs!$F$5:$F$130*(((Inputs!$G$5:$G$130="moeda")+(Inputs!$G$5:$G$130="acoes"))*Inputs!$B$1+((Inputs!$G$5:$G$130&lt;&gt;"moeda")*(Inputs!$G$5:$G$130&lt;&gt;"acoes")))*INDEX(Inputs!$K$5:$AJ$130,0,MATCH(K$2,Inputs!$K$4:$AJ$4,0)))))</f>
        <v>9701</v>
      </c>
      <c r="L35" s="6">
        <f>IF(ISNA(MATCH(L$2,Inputs!$K$4:$AJ$4,0)),NA(),IF(SUMPRODUCT((Inputs!$A$5:$A$130=$B35)*ISNUMBER(INDEX(Inputs!$K$5:$AJ$130,0,MATCH(L$2,Inputs!$K$4:$AJ$4,0))))+SUMPRODUCT((Inputs!$C$5:$C$130=$B35)*ISNUMBER(INDEX(Inputs!$K$5:$AJ$130,0,MATCH(L$2,Inputs!$K$4:$AJ$4,0))))+SUMPRODUCT((Inputs!$E$5:$E$130=$B35)*ISNUMBER(INDEX(Inputs!$K$5:$AJ$130,0,MATCH(L$2,Inputs!$K$4:$AJ$4,0))))=0,NA(),SUMPRODUCT((Inputs!$A$5:$A$130=$B35)*Inputs!$B$5:$B$130*(((Inputs!$G$5:$G$130="moeda")+(Inputs!$G$5:$G$130="acoes"))*Inputs!$B$1+((Inputs!$G$5:$G$130&lt;&gt;"moeda")*(Inputs!$G$5:$G$130&lt;&gt;"acoes")))*INDEX(Inputs!$K$5:$AJ$130,0,MATCH(L$2,Inputs!$K$4:$AJ$4,0)))+SUMPRODUCT((Inputs!$C$5:$C$130=$B35)*Inputs!$D$5:$D$130*(((Inputs!$G$5:$G$130="moeda")+(Inputs!$G$5:$G$130="acoes"))*Inputs!$B$1+((Inputs!$G$5:$G$130&lt;&gt;"moeda")*(Inputs!$G$5:$G$130&lt;&gt;"acoes")))*INDEX(Inputs!$K$5:$AJ$130,0,MATCH(L$2,Inputs!$K$4:$AJ$4,0)))+SUMPRODUCT((Inputs!$E$5:$E$130=$B35)*Inputs!$F$5:$F$130*(((Inputs!$G$5:$G$130="moeda")+(Inputs!$G$5:$G$130="acoes"))*Inputs!$B$1+((Inputs!$G$5:$G$130&lt;&gt;"moeda")*(Inputs!$G$5:$G$130&lt;&gt;"acoes")))*INDEX(Inputs!$K$5:$AJ$130,0,MATCH(L$2,Inputs!$K$4:$AJ$4,0)))))</f>
        <v>9703</v>
      </c>
      <c r="M35" s="3">
        <f>L35</f>
        <v>9703</v>
      </c>
      <c r="N35" s="6">
        <f>IF(ISNA(MATCH(N$2,Inputs!$K$4:$AJ$4,0)),NA(),IF(SUMPRODUCT((Inputs!$A$5:$A$130=$B35)*ISNUMBER(INDEX(Inputs!$K$5:$AJ$130,0,MATCH(N$2,Inputs!$K$4:$AJ$4,0))))+SUMPRODUCT((Inputs!$C$5:$C$130=$B35)*ISNUMBER(INDEX(Inputs!$K$5:$AJ$130,0,MATCH(N$2,Inputs!$K$4:$AJ$4,0))))+SUMPRODUCT((Inputs!$E$5:$E$130=$B35)*ISNUMBER(INDEX(Inputs!$K$5:$AJ$130,0,MATCH(N$2,Inputs!$K$4:$AJ$4,0))))=0,NA(),SUMPRODUCT((Inputs!$A$5:$A$130=$B35)*Inputs!$B$5:$B$130*(((Inputs!$G$5:$G$130="moeda")+(Inputs!$G$5:$G$130="acoes"))*Inputs!$B$1+((Inputs!$G$5:$G$130&lt;&gt;"moeda")*(Inputs!$G$5:$G$130&lt;&gt;"acoes")))*INDEX(Inputs!$K$5:$AJ$130,0,MATCH(N$2,Inputs!$K$4:$AJ$4,0)))+SUMPRODUCT((Inputs!$C$5:$C$130=$B35)*Inputs!$D$5:$D$130*(((Inputs!$G$5:$G$130="moeda")+(Inputs!$G$5:$G$130="acoes"))*Inputs!$B$1+((Inputs!$G$5:$G$130&lt;&gt;"moeda")*(Inputs!$G$5:$G$130&lt;&gt;"acoes")))*INDEX(Inputs!$K$5:$AJ$130,0,MATCH(N$2,Inputs!$K$4:$AJ$4,0)))+SUMPRODUCT((Inputs!$E$5:$E$130=$B35)*Inputs!$F$5:$F$130*(((Inputs!$G$5:$G$130="moeda")+(Inputs!$G$5:$G$130="acoes"))*Inputs!$B$1+((Inputs!$G$5:$G$130&lt;&gt;"moeda")*(Inputs!$G$5:$G$130&lt;&gt;"acoes")))*INDEX(Inputs!$K$5:$AJ$130,0,MATCH(N$2,Inputs!$K$4:$AJ$4,0)))))</f>
        <v>9704</v>
      </c>
      <c r="O35" s="6">
        <f>IF(ISNA(MATCH(O$2,Inputs!$K$4:$AJ$4,0)),NA(),IF(SUMPRODUCT((Inputs!$A$5:$A$130=$B35)*ISNUMBER(INDEX(Inputs!$K$5:$AJ$130,0,MATCH(O$2,Inputs!$K$4:$AJ$4,0))))+SUMPRODUCT((Inputs!$C$5:$C$130=$B35)*ISNUMBER(INDEX(Inputs!$K$5:$AJ$130,0,MATCH(O$2,Inputs!$K$4:$AJ$4,0))))+SUMPRODUCT((Inputs!$E$5:$E$130=$B35)*ISNUMBER(INDEX(Inputs!$K$5:$AJ$130,0,MATCH(O$2,Inputs!$K$4:$AJ$4,0))))=0,NA(),SUMPRODUCT((Inputs!$A$5:$A$130=$B35)*Inputs!$B$5:$B$130*(((Inputs!$G$5:$G$130="moeda")+(Inputs!$G$5:$G$130="acoes"))*Inputs!$B$1+((Inputs!$G$5:$G$130&lt;&gt;"moeda")*(Inputs!$G$5:$G$130&lt;&gt;"acoes")))*INDEX(Inputs!$K$5:$AJ$130,0,MATCH(O$2,Inputs!$K$4:$AJ$4,0)))+SUMPRODUCT((Inputs!$C$5:$C$130=$B35)*Inputs!$D$5:$D$130*(((Inputs!$G$5:$G$130="moeda")+(Inputs!$G$5:$G$130="acoes"))*Inputs!$B$1+((Inputs!$G$5:$G$130&lt;&gt;"moeda")*(Inputs!$G$5:$G$130&lt;&gt;"acoes")))*INDEX(Inputs!$K$5:$AJ$130,0,MATCH(O$2,Inputs!$K$4:$AJ$4,0)))+SUMPRODUCT((Inputs!$E$5:$E$130=$B35)*Inputs!$F$5:$F$130*(((Inputs!$G$5:$G$130="moeda")+(Inputs!$G$5:$G$130="acoes"))*Inputs!$B$1+((Inputs!$G$5:$G$130&lt;&gt;"moeda")*(Inputs!$G$5:$G$130&lt;&gt;"acoes")))*INDEX(Inputs!$K$5:$AJ$130,0,MATCH(O$2,Inputs!$K$4:$AJ$4,0)))))</f>
        <v>8456</v>
      </c>
      <c r="P35" s="6">
        <f>IF(ISNA(MATCH(P$2,Inputs!$K$4:$AJ$4,0)),NA(),IF(SUMPRODUCT((Inputs!$A$5:$A$130=$B35)*ISNUMBER(INDEX(Inputs!$K$5:$AJ$130,0,MATCH(P$2,Inputs!$K$4:$AJ$4,0))))+SUMPRODUCT((Inputs!$C$5:$C$130=$B35)*ISNUMBER(INDEX(Inputs!$K$5:$AJ$130,0,MATCH(P$2,Inputs!$K$4:$AJ$4,0))))+SUMPRODUCT((Inputs!$E$5:$E$130=$B35)*ISNUMBER(INDEX(Inputs!$K$5:$AJ$130,0,MATCH(P$2,Inputs!$K$4:$AJ$4,0))))=0,NA(),SUMPRODUCT((Inputs!$A$5:$A$130=$B35)*Inputs!$B$5:$B$130*(((Inputs!$G$5:$G$130="moeda")+(Inputs!$G$5:$G$130="acoes"))*Inputs!$B$1+((Inputs!$G$5:$G$130&lt;&gt;"moeda")*(Inputs!$G$5:$G$130&lt;&gt;"acoes")))*INDEX(Inputs!$K$5:$AJ$130,0,MATCH(P$2,Inputs!$K$4:$AJ$4,0)))+SUMPRODUCT((Inputs!$C$5:$C$130=$B35)*Inputs!$D$5:$D$130*(((Inputs!$G$5:$G$130="moeda")+(Inputs!$G$5:$G$130="acoes"))*Inputs!$B$1+((Inputs!$G$5:$G$130&lt;&gt;"moeda")*(Inputs!$G$5:$G$130&lt;&gt;"acoes")))*INDEX(Inputs!$K$5:$AJ$130,0,MATCH(P$2,Inputs!$K$4:$AJ$4,0)))+SUMPRODUCT((Inputs!$E$5:$E$130=$B35)*Inputs!$F$5:$F$130*(((Inputs!$G$5:$G$130="moeda")+(Inputs!$G$5:$G$130="acoes"))*Inputs!$B$1+((Inputs!$G$5:$G$130&lt;&gt;"moeda")*(Inputs!$G$5:$G$130&lt;&gt;"acoes")))*INDEX(Inputs!$K$5:$AJ$130,0,MATCH(P$2,Inputs!$K$4:$AJ$4,0)))))</f>
        <v>8457</v>
      </c>
      <c r="Q35" s="6">
        <f>IF(ISNA(MATCH(Q$2,Inputs!$K$4:$AJ$4,0)),NA(),IF(SUMPRODUCT((Inputs!$A$5:$A$130=$B35)*ISNUMBER(INDEX(Inputs!$K$5:$AJ$130,0,MATCH(Q$2,Inputs!$K$4:$AJ$4,0))))+SUMPRODUCT((Inputs!$C$5:$C$130=$B35)*ISNUMBER(INDEX(Inputs!$K$5:$AJ$130,0,MATCH(Q$2,Inputs!$K$4:$AJ$4,0))))+SUMPRODUCT((Inputs!$E$5:$E$130=$B35)*ISNUMBER(INDEX(Inputs!$K$5:$AJ$130,0,MATCH(Q$2,Inputs!$K$4:$AJ$4,0))))=0,NA(),SUMPRODUCT((Inputs!$A$5:$A$130=$B35)*Inputs!$B$5:$B$130*(((Inputs!$G$5:$G$130="moeda")+(Inputs!$G$5:$G$130="acoes"))*Inputs!$B$1+((Inputs!$G$5:$G$130&lt;&gt;"moeda")*(Inputs!$G$5:$G$130&lt;&gt;"acoes")))*INDEX(Inputs!$K$5:$AJ$130,0,MATCH(Q$2,Inputs!$K$4:$AJ$4,0)))+SUMPRODUCT((Inputs!$C$5:$C$130=$B35)*Inputs!$D$5:$D$130*(((Inputs!$G$5:$G$130="moeda")+(Inputs!$G$5:$G$130="acoes"))*Inputs!$B$1+((Inputs!$G$5:$G$130&lt;&gt;"moeda")*(Inputs!$G$5:$G$130&lt;&gt;"acoes")))*INDEX(Inputs!$K$5:$AJ$130,0,MATCH(Q$2,Inputs!$K$4:$AJ$4,0)))+SUMPRODUCT((Inputs!$E$5:$E$130=$B35)*Inputs!$F$5:$F$130*(((Inputs!$G$5:$G$130="moeda")+(Inputs!$G$5:$G$130="acoes"))*Inputs!$B$1+((Inputs!$G$5:$G$130&lt;&gt;"moeda")*(Inputs!$G$5:$G$130&lt;&gt;"acoes")))*INDEX(Inputs!$K$5:$AJ$130,0,MATCH(Q$2,Inputs!$K$4:$AJ$4,0)))))</f>
        <v>8459</v>
      </c>
      <c r="R35" s="3">
        <f>Q35</f>
        <v>8459</v>
      </c>
      <c r="S35" s="6">
        <f>IF(ISNA(MATCH(S$2,Inputs!$K$4:$AJ$4,0)),NA(),IF(SUMPRODUCT((Inputs!$A$5:$A$130=$B35)*ISNUMBER(INDEX(Inputs!$K$5:$AJ$130,0,MATCH(S$2,Inputs!$K$4:$AJ$4,0))))+SUMPRODUCT((Inputs!$C$5:$C$130=$B35)*ISNUMBER(INDEX(Inputs!$K$5:$AJ$130,0,MATCH(S$2,Inputs!$K$4:$AJ$4,0))))+SUMPRODUCT((Inputs!$E$5:$E$130=$B35)*ISNUMBER(INDEX(Inputs!$K$5:$AJ$130,0,MATCH(S$2,Inputs!$K$4:$AJ$4,0))))=0,NA(),SUMPRODUCT((Inputs!$A$5:$A$130=$B35)*Inputs!$B$5:$B$130*(((Inputs!$G$5:$G$130="moeda")+(Inputs!$G$5:$G$130="acoes"))*Inputs!$B$1+((Inputs!$G$5:$G$130&lt;&gt;"moeda")*(Inputs!$G$5:$G$130&lt;&gt;"acoes")))*INDEX(Inputs!$K$5:$AJ$130,0,MATCH(S$2,Inputs!$K$4:$AJ$4,0)))+SUMPRODUCT((Inputs!$C$5:$C$130=$B35)*Inputs!$D$5:$D$130*(((Inputs!$G$5:$G$130="moeda")+(Inputs!$G$5:$G$130="acoes"))*Inputs!$B$1+((Inputs!$G$5:$G$130&lt;&gt;"moeda")*(Inputs!$G$5:$G$130&lt;&gt;"acoes")))*INDEX(Inputs!$K$5:$AJ$130,0,MATCH(S$2,Inputs!$K$4:$AJ$4,0)))+SUMPRODUCT((Inputs!$E$5:$E$130=$B35)*Inputs!$F$5:$F$130*(((Inputs!$G$5:$G$130="moeda")+(Inputs!$G$5:$G$130="acoes"))*Inputs!$B$1+((Inputs!$G$5:$G$130&lt;&gt;"moeda")*(Inputs!$G$5:$G$130&lt;&gt;"acoes")))*INDEX(Inputs!$K$5:$AJ$130,0,MATCH(S$2,Inputs!$K$4:$AJ$4,0)))))</f>
        <v>8460</v>
      </c>
      <c r="T35" s="6">
        <f>IF(ISNA(MATCH(T$2,Inputs!$K$4:$AJ$4,0)),NA(),IF(SUMPRODUCT((Inputs!$A$5:$A$130=$B35)*ISNUMBER(INDEX(Inputs!$K$5:$AJ$130,0,MATCH(T$2,Inputs!$K$4:$AJ$4,0))))+SUMPRODUCT((Inputs!$C$5:$C$130=$B35)*ISNUMBER(INDEX(Inputs!$K$5:$AJ$130,0,MATCH(T$2,Inputs!$K$4:$AJ$4,0))))+SUMPRODUCT((Inputs!$E$5:$E$130=$B35)*ISNUMBER(INDEX(Inputs!$K$5:$AJ$130,0,MATCH(T$2,Inputs!$K$4:$AJ$4,0))))=0,NA(),SUMPRODUCT((Inputs!$A$5:$A$130=$B35)*Inputs!$B$5:$B$130*(((Inputs!$G$5:$G$130="moeda")+(Inputs!$G$5:$G$130="acoes"))*Inputs!$B$1+((Inputs!$G$5:$G$130&lt;&gt;"moeda")*(Inputs!$G$5:$G$130&lt;&gt;"acoes")))*INDEX(Inputs!$K$5:$AJ$130,0,MATCH(T$2,Inputs!$K$4:$AJ$4,0)))+SUMPRODUCT((Inputs!$C$5:$C$130=$B35)*Inputs!$D$5:$D$130*(((Inputs!$G$5:$G$130="moeda")+(Inputs!$G$5:$G$130="acoes"))*Inputs!$B$1+((Inputs!$G$5:$G$130&lt;&gt;"moeda")*(Inputs!$G$5:$G$130&lt;&gt;"acoes")))*INDEX(Inputs!$K$5:$AJ$130,0,MATCH(T$2,Inputs!$K$4:$AJ$4,0)))+SUMPRODUCT((Inputs!$E$5:$E$130=$B35)*Inputs!$F$5:$F$130*(((Inputs!$G$5:$G$130="moeda")+(Inputs!$G$5:$G$130="acoes"))*Inputs!$B$1+((Inputs!$G$5:$G$130&lt;&gt;"moeda")*(Inputs!$G$5:$G$130&lt;&gt;"acoes")))*INDEX(Inputs!$K$5:$AJ$130,0,MATCH(T$2,Inputs!$K$4:$AJ$4,0)))))</f>
        <v>8461</v>
      </c>
      <c r="U35" s="6">
        <f>IF(ISNA(MATCH(U$2,Inputs!$K$4:$AJ$4,0)),NA(),IF(SUMPRODUCT((Inputs!$A$5:$A$130=$B35)*ISNUMBER(INDEX(Inputs!$K$5:$AJ$130,0,MATCH(U$2,Inputs!$K$4:$AJ$4,0))))+SUMPRODUCT((Inputs!$C$5:$C$130=$B35)*ISNUMBER(INDEX(Inputs!$K$5:$AJ$130,0,MATCH(U$2,Inputs!$K$4:$AJ$4,0))))+SUMPRODUCT((Inputs!$E$5:$E$130=$B35)*ISNUMBER(INDEX(Inputs!$K$5:$AJ$130,0,MATCH(U$2,Inputs!$K$4:$AJ$4,0))))=0,NA(),SUMPRODUCT((Inputs!$A$5:$A$130=$B35)*Inputs!$B$5:$B$130*(((Inputs!$G$5:$G$130="moeda")+(Inputs!$G$5:$G$130="acoes"))*Inputs!$B$1+((Inputs!$G$5:$G$130&lt;&gt;"moeda")*(Inputs!$G$5:$G$130&lt;&gt;"acoes")))*INDEX(Inputs!$K$5:$AJ$130,0,MATCH(U$2,Inputs!$K$4:$AJ$4,0)))+SUMPRODUCT((Inputs!$C$5:$C$130=$B35)*Inputs!$D$5:$D$130*(((Inputs!$G$5:$G$130="moeda")+(Inputs!$G$5:$G$130="acoes"))*Inputs!$B$1+((Inputs!$G$5:$G$130&lt;&gt;"moeda")*(Inputs!$G$5:$G$130&lt;&gt;"acoes")))*INDEX(Inputs!$K$5:$AJ$130,0,MATCH(U$2,Inputs!$K$4:$AJ$4,0)))+SUMPRODUCT((Inputs!$E$5:$E$130=$B35)*Inputs!$F$5:$F$130*(((Inputs!$G$5:$G$130="moeda")+(Inputs!$G$5:$G$130="acoes"))*Inputs!$B$1+((Inputs!$G$5:$G$130&lt;&gt;"moeda")*(Inputs!$G$5:$G$130&lt;&gt;"acoes")))*INDEX(Inputs!$K$5:$AJ$130,0,MATCH(U$2,Inputs!$K$4:$AJ$4,0)))))</f>
        <v>8462</v>
      </c>
      <c r="V35" s="6">
        <f>IF(ISNA(MATCH(V$2,Inputs!$K$4:$AJ$4,0)),NA(),IF(SUMPRODUCT((Inputs!$A$5:$A$130=$B35)*ISNUMBER(INDEX(Inputs!$K$5:$AJ$130,0,MATCH(V$2,Inputs!$K$4:$AJ$4,0))))+SUMPRODUCT((Inputs!$C$5:$C$130=$B35)*ISNUMBER(INDEX(Inputs!$K$5:$AJ$130,0,MATCH(V$2,Inputs!$K$4:$AJ$4,0))))+SUMPRODUCT((Inputs!$E$5:$E$130=$B35)*ISNUMBER(INDEX(Inputs!$K$5:$AJ$130,0,MATCH(V$2,Inputs!$K$4:$AJ$4,0))))=0,NA(),SUMPRODUCT((Inputs!$A$5:$A$130=$B35)*Inputs!$B$5:$B$130*(((Inputs!$G$5:$G$130="moeda")+(Inputs!$G$5:$G$130="acoes"))*Inputs!$B$1+((Inputs!$G$5:$G$130&lt;&gt;"moeda")*(Inputs!$G$5:$G$130&lt;&gt;"acoes")))*INDEX(Inputs!$K$5:$AJ$130,0,MATCH(V$2,Inputs!$K$4:$AJ$4,0)))+SUMPRODUCT((Inputs!$C$5:$C$130=$B35)*Inputs!$D$5:$D$130*(((Inputs!$G$5:$G$130="moeda")+(Inputs!$G$5:$G$130="acoes"))*Inputs!$B$1+((Inputs!$G$5:$G$130&lt;&gt;"moeda")*(Inputs!$G$5:$G$130&lt;&gt;"acoes")))*INDEX(Inputs!$K$5:$AJ$130,0,MATCH(V$2,Inputs!$K$4:$AJ$4,0)))+SUMPRODUCT((Inputs!$E$5:$E$130=$B35)*Inputs!$F$5:$F$130*(((Inputs!$G$5:$G$130="moeda")+(Inputs!$G$5:$G$130="acoes"))*Inputs!$B$1+((Inputs!$G$5:$G$130&lt;&gt;"moeda")*(Inputs!$G$5:$G$130&lt;&gt;"acoes")))*INDEX(Inputs!$K$5:$AJ$130,0,MATCH(V$2,Inputs!$K$4:$AJ$4,0)))))</f>
        <v>8463</v>
      </c>
      <c r="W35" s="3">
        <f>V35</f>
        <v>8463</v>
      </c>
      <c r="X35" s="6">
        <f>IF(ISNA(MATCH(X$2,Inputs!$K$4:$AJ$4,0)),NA(),IF(SUMPRODUCT((Inputs!$A$5:$A$130=$B35)*ISNUMBER(INDEX(Inputs!$K$5:$AJ$130,0,MATCH(X$2,Inputs!$K$4:$AJ$4,0))))+SUMPRODUCT((Inputs!$C$5:$C$130=$B35)*ISNUMBER(INDEX(Inputs!$K$5:$AJ$130,0,MATCH(X$2,Inputs!$K$4:$AJ$4,0))))+SUMPRODUCT((Inputs!$E$5:$E$130=$B35)*ISNUMBER(INDEX(Inputs!$K$5:$AJ$130,0,MATCH(X$2,Inputs!$K$4:$AJ$4,0))))=0,NA(),SUMPRODUCT((Inputs!$A$5:$A$130=$B35)*Inputs!$B$5:$B$130*(((Inputs!$G$5:$G$130="moeda")+(Inputs!$G$5:$G$130="acoes"))*Inputs!$B$1+((Inputs!$G$5:$G$130&lt;&gt;"moeda")*(Inputs!$G$5:$G$130&lt;&gt;"acoes")))*INDEX(Inputs!$K$5:$AJ$130,0,MATCH(X$2,Inputs!$K$4:$AJ$4,0)))+SUMPRODUCT((Inputs!$C$5:$C$130=$B35)*Inputs!$D$5:$D$130*(((Inputs!$G$5:$G$130="moeda")+(Inputs!$G$5:$G$130="acoes"))*Inputs!$B$1+((Inputs!$G$5:$G$130&lt;&gt;"moeda")*(Inputs!$G$5:$G$130&lt;&gt;"acoes")))*INDEX(Inputs!$K$5:$AJ$130,0,MATCH(X$2,Inputs!$K$4:$AJ$4,0)))+SUMPRODUCT((Inputs!$E$5:$E$130=$B35)*Inputs!$F$5:$F$130*(((Inputs!$G$5:$G$130="moeda")+(Inputs!$G$5:$G$130="acoes"))*Inputs!$B$1+((Inputs!$G$5:$G$130&lt;&gt;"moeda")*(Inputs!$G$5:$G$130&lt;&gt;"acoes")))*INDEX(Inputs!$K$5:$AJ$130,0,MATCH(X$2,Inputs!$K$4:$AJ$4,0)))))</f>
        <v>8464</v>
      </c>
      <c r="Y35" s="6">
        <f>IF(ISNA(MATCH(Y$2,Inputs!$K$4:$AJ$4,0)),NA(),IF(SUMPRODUCT((Inputs!$A$5:$A$130=$B35)*ISNUMBER(INDEX(Inputs!$K$5:$AJ$130,0,MATCH(Y$2,Inputs!$K$4:$AJ$4,0))))+SUMPRODUCT((Inputs!$C$5:$C$130=$B35)*ISNUMBER(INDEX(Inputs!$K$5:$AJ$130,0,MATCH(Y$2,Inputs!$K$4:$AJ$4,0))))+SUMPRODUCT((Inputs!$E$5:$E$130=$B35)*ISNUMBER(INDEX(Inputs!$K$5:$AJ$130,0,MATCH(Y$2,Inputs!$K$4:$AJ$4,0))))=0,NA(),SUMPRODUCT((Inputs!$A$5:$A$130=$B35)*Inputs!$B$5:$B$130*(((Inputs!$G$5:$G$130="moeda")+(Inputs!$G$5:$G$130="acoes"))*Inputs!$B$1+((Inputs!$G$5:$G$130&lt;&gt;"moeda")*(Inputs!$G$5:$G$130&lt;&gt;"acoes")))*INDEX(Inputs!$K$5:$AJ$130,0,MATCH(Y$2,Inputs!$K$4:$AJ$4,0)))+SUMPRODUCT((Inputs!$C$5:$C$130=$B35)*Inputs!$D$5:$D$130*(((Inputs!$G$5:$G$130="moeda")+(Inputs!$G$5:$G$130="acoes"))*Inputs!$B$1+((Inputs!$G$5:$G$130&lt;&gt;"moeda")*(Inputs!$G$5:$G$130&lt;&gt;"acoes")))*INDEX(Inputs!$K$5:$AJ$130,0,MATCH(Y$2,Inputs!$K$4:$AJ$4,0)))+SUMPRODUCT((Inputs!$E$5:$E$130=$B35)*Inputs!$F$5:$F$130*(((Inputs!$G$5:$G$130="moeda")+(Inputs!$G$5:$G$130="acoes"))*Inputs!$B$1+((Inputs!$G$5:$G$130&lt;&gt;"moeda")*(Inputs!$G$5:$G$130&lt;&gt;"acoes")))*INDEX(Inputs!$K$5:$AJ$130,0,MATCH(Y$2,Inputs!$K$4:$AJ$4,0)))))</f>
        <v>8466</v>
      </c>
      <c r="Z35" s="6">
        <f>IF(ISNA(MATCH(Z$2,Inputs!$K$4:$AJ$4,0)),NA(),IF(SUMPRODUCT((Inputs!$A$5:$A$130=$B35)*ISNUMBER(INDEX(Inputs!$K$5:$AJ$130,0,MATCH(Z$2,Inputs!$K$4:$AJ$4,0))))+SUMPRODUCT((Inputs!$C$5:$C$130=$B35)*ISNUMBER(INDEX(Inputs!$K$5:$AJ$130,0,MATCH(Z$2,Inputs!$K$4:$AJ$4,0))))+SUMPRODUCT((Inputs!$E$5:$E$130=$B35)*ISNUMBER(INDEX(Inputs!$K$5:$AJ$130,0,MATCH(Z$2,Inputs!$K$4:$AJ$4,0))))=0,NA(),SUMPRODUCT((Inputs!$A$5:$A$130=$B35)*Inputs!$B$5:$B$130*(((Inputs!$G$5:$G$130="moeda")+(Inputs!$G$5:$G$130="acoes"))*Inputs!$B$1+((Inputs!$G$5:$G$130&lt;&gt;"moeda")*(Inputs!$G$5:$G$130&lt;&gt;"acoes")))*INDEX(Inputs!$K$5:$AJ$130,0,MATCH(Z$2,Inputs!$K$4:$AJ$4,0)))+SUMPRODUCT((Inputs!$C$5:$C$130=$B35)*Inputs!$D$5:$D$130*(((Inputs!$G$5:$G$130="moeda")+(Inputs!$G$5:$G$130="acoes"))*Inputs!$B$1+((Inputs!$G$5:$G$130&lt;&gt;"moeda")*(Inputs!$G$5:$G$130&lt;&gt;"acoes")))*INDEX(Inputs!$K$5:$AJ$130,0,MATCH(Z$2,Inputs!$K$4:$AJ$4,0)))+SUMPRODUCT((Inputs!$E$5:$E$130=$B35)*Inputs!$F$5:$F$130*(((Inputs!$G$5:$G$130="moeda")+(Inputs!$G$5:$G$130="acoes"))*Inputs!$B$1+((Inputs!$G$5:$G$130&lt;&gt;"moeda")*(Inputs!$G$5:$G$130&lt;&gt;"acoes")))*INDEX(Inputs!$K$5:$AJ$130,0,MATCH(Z$2,Inputs!$K$4:$AJ$4,0)))))</f>
        <v>7468</v>
      </c>
      <c r="AA35" s="6">
        <f>IF(ISNA(MATCH(AA$2,Inputs!$K$4:$AJ$4,0)),NA(),IF(SUMPRODUCT((Inputs!$A$5:$A$130=$B35)*ISNUMBER(INDEX(Inputs!$K$5:$AJ$130,0,MATCH(AA$2,Inputs!$K$4:$AJ$4,0))))+SUMPRODUCT((Inputs!$C$5:$C$130=$B35)*ISNUMBER(INDEX(Inputs!$K$5:$AJ$130,0,MATCH(AA$2,Inputs!$K$4:$AJ$4,0))))+SUMPRODUCT((Inputs!$E$5:$E$130=$B35)*ISNUMBER(INDEX(Inputs!$K$5:$AJ$130,0,MATCH(AA$2,Inputs!$K$4:$AJ$4,0))))=0,NA(),SUMPRODUCT((Inputs!$A$5:$A$130=$B35)*Inputs!$B$5:$B$130*(((Inputs!$G$5:$G$130="moeda")+(Inputs!$G$5:$G$130="acoes"))*Inputs!$B$1+((Inputs!$G$5:$G$130&lt;&gt;"moeda")*(Inputs!$G$5:$G$130&lt;&gt;"acoes")))*INDEX(Inputs!$K$5:$AJ$130,0,MATCH(AA$2,Inputs!$K$4:$AJ$4,0)))+SUMPRODUCT((Inputs!$C$5:$C$130=$B35)*Inputs!$D$5:$D$130*(((Inputs!$G$5:$G$130="moeda")+(Inputs!$G$5:$G$130="acoes"))*Inputs!$B$1+((Inputs!$G$5:$G$130&lt;&gt;"moeda")*(Inputs!$G$5:$G$130&lt;&gt;"acoes")))*INDEX(Inputs!$K$5:$AJ$130,0,MATCH(AA$2,Inputs!$K$4:$AJ$4,0)))+SUMPRODUCT((Inputs!$E$5:$E$130=$B35)*Inputs!$F$5:$F$130*(((Inputs!$G$5:$G$130="moeda")+(Inputs!$G$5:$G$130="acoes"))*Inputs!$B$1+((Inputs!$G$5:$G$130&lt;&gt;"moeda")*(Inputs!$G$5:$G$130&lt;&gt;"acoes")))*INDEX(Inputs!$K$5:$AJ$130,0,MATCH(AA$2,Inputs!$K$4:$AJ$4,0)))))</f>
        <v>7469</v>
      </c>
      <c r="AB35" s="3">
        <f>AA35</f>
        <v>7469</v>
      </c>
      <c r="AC35" s="6">
        <f>IF(ISNA(MATCH(AC$2,Inputs!$K$4:$AJ$4,0)),NA(),IF(SUMPRODUCT((Inputs!$A$5:$A$130=$B35)*ISNUMBER(INDEX(Inputs!$K$5:$AJ$130,0,MATCH(AC$2,Inputs!$K$4:$AJ$4,0))))+SUMPRODUCT((Inputs!$C$5:$C$130=$B35)*ISNUMBER(INDEX(Inputs!$K$5:$AJ$130,0,MATCH(AC$2,Inputs!$K$4:$AJ$4,0))))+SUMPRODUCT((Inputs!$E$5:$E$130=$B35)*ISNUMBER(INDEX(Inputs!$K$5:$AJ$130,0,MATCH(AC$2,Inputs!$K$4:$AJ$4,0))))=0,NA(),SUMPRODUCT((Inputs!$A$5:$A$130=$B35)*Inputs!$B$5:$B$130*(((Inputs!$G$5:$G$130="moeda")+(Inputs!$G$5:$G$130="acoes"))*Inputs!$B$1+((Inputs!$G$5:$G$130&lt;&gt;"moeda")*(Inputs!$G$5:$G$130&lt;&gt;"acoes")))*INDEX(Inputs!$K$5:$AJ$130,0,MATCH(AC$2,Inputs!$K$4:$AJ$4,0)))+SUMPRODUCT((Inputs!$C$5:$C$130=$B35)*Inputs!$D$5:$D$130*(((Inputs!$G$5:$G$130="moeda")+(Inputs!$G$5:$G$130="acoes"))*Inputs!$B$1+((Inputs!$G$5:$G$130&lt;&gt;"moeda")*(Inputs!$G$5:$G$130&lt;&gt;"acoes")))*INDEX(Inputs!$K$5:$AJ$130,0,MATCH(AC$2,Inputs!$K$4:$AJ$4,0)))+SUMPRODUCT((Inputs!$E$5:$E$130=$B35)*Inputs!$F$5:$F$130*(((Inputs!$G$5:$G$130="moeda")+(Inputs!$G$5:$G$130="acoes"))*Inputs!$B$1+((Inputs!$G$5:$G$130&lt;&gt;"moeda")*(Inputs!$G$5:$G$130&lt;&gt;"acoes")))*INDEX(Inputs!$K$5:$AJ$130,0,MATCH(AC$2,Inputs!$K$4:$AJ$4,0)))))</f>
        <v>7470</v>
      </c>
      <c r="AD35" s="6">
        <f>IF(ISNA(MATCH(AD$2,Inputs!$K$4:$AJ$4,0)),NA(),IF(SUMPRODUCT((Inputs!$A$5:$A$130=$B35)*ISNUMBER(INDEX(Inputs!$K$5:$AJ$130,0,MATCH(AD$2,Inputs!$K$4:$AJ$4,0))))+SUMPRODUCT((Inputs!$C$5:$C$130=$B35)*ISNUMBER(INDEX(Inputs!$K$5:$AJ$130,0,MATCH(AD$2,Inputs!$K$4:$AJ$4,0))))+SUMPRODUCT((Inputs!$E$5:$E$130=$B35)*ISNUMBER(INDEX(Inputs!$K$5:$AJ$130,0,MATCH(AD$2,Inputs!$K$4:$AJ$4,0))))=0,NA(),SUMPRODUCT((Inputs!$A$5:$A$130=$B35)*Inputs!$B$5:$B$130*(((Inputs!$G$5:$G$130="moeda")+(Inputs!$G$5:$G$130="acoes"))*Inputs!$B$1+((Inputs!$G$5:$G$130&lt;&gt;"moeda")*(Inputs!$G$5:$G$130&lt;&gt;"acoes")))*INDEX(Inputs!$K$5:$AJ$130,0,MATCH(AD$2,Inputs!$K$4:$AJ$4,0)))+SUMPRODUCT((Inputs!$C$5:$C$130=$B35)*Inputs!$D$5:$D$130*(((Inputs!$G$5:$G$130="moeda")+(Inputs!$G$5:$G$130="acoes"))*Inputs!$B$1+((Inputs!$G$5:$G$130&lt;&gt;"moeda")*(Inputs!$G$5:$G$130&lt;&gt;"acoes")))*INDEX(Inputs!$K$5:$AJ$130,0,MATCH(AD$2,Inputs!$K$4:$AJ$4,0)))+SUMPRODUCT((Inputs!$E$5:$E$130=$B35)*Inputs!$F$5:$F$130*(((Inputs!$G$5:$G$130="moeda")+(Inputs!$G$5:$G$130="acoes"))*Inputs!$B$1+((Inputs!$G$5:$G$130&lt;&gt;"moeda")*(Inputs!$G$5:$G$130&lt;&gt;"acoes")))*INDEX(Inputs!$K$5:$AJ$130,0,MATCH(AD$2,Inputs!$K$4:$AJ$4,0)))))</f>
        <v>32366</v>
      </c>
      <c r="AE35" s="6" t="e">
        <f>IF(ISNA(MATCH(AE$2,Inputs!$K$4:$AJ$4,0)),NA(),IF(SUMPRODUCT((Inputs!$A$5:$A$130=$B35)*ISNUMBER(INDEX(Inputs!$K$5:$AJ$130,0,MATCH(AE$2,Inputs!$K$4:$AJ$4,0))))+SUMPRODUCT((Inputs!$C$5:$C$130=$B35)*ISNUMBER(INDEX(Inputs!$K$5:$AJ$130,0,MATCH(AE$2,Inputs!$K$4:$AJ$4,0))))+SUMPRODUCT((Inputs!$E$5:$E$130=$B35)*ISNUMBER(INDEX(Inputs!$K$5:$AJ$130,0,MATCH(AE$2,Inputs!$K$4:$AJ$4,0))))=0,NA(),SUMPRODUCT((Inputs!$A$5:$A$130=$B35)*Inputs!$B$5:$B$130*(((Inputs!$G$5:$G$130="moeda")+(Inputs!$G$5:$G$130="acoes"))*Inputs!$B$1+((Inputs!$G$5:$G$130&lt;&gt;"moeda")*(Inputs!$G$5:$G$130&lt;&gt;"acoes")))*INDEX(Inputs!$K$5:$AJ$130,0,MATCH(AE$2,Inputs!$K$4:$AJ$4,0)))+SUMPRODUCT((Inputs!$C$5:$C$130=$B35)*Inputs!$D$5:$D$130*(((Inputs!$G$5:$G$130="moeda")+(Inputs!$G$5:$G$130="acoes"))*Inputs!$B$1+((Inputs!$G$5:$G$130&lt;&gt;"moeda")*(Inputs!$G$5:$G$130&lt;&gt;"acoes")))*INDEX(Inputs!$K$5:$AJ$130,0,MATCH(AE$2,Inputs!$K$4:$AJ$4,0)))+SUMPRODUCT((Inputs!$E$5:$E$130=$B35)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5" s="6" t="e">
        <f>IF(ISNA(MATCH(AF$2,Inputs!$K$4:$AJ$4,0)),NA(),IF(SUMPRODUCT((Inputs!$A$5:$A$130=$B35)*ISNUMBER(INDEX(Inputs!$K$5:$AJ$130,0,MATCH(AF$2,Inputs!$K$4:$AJ$4,0))))+SUMPRODUCT((Inputs!$C$5:$C$130=$B35)*ISNUMBER(INDEX(Inputs!$K$5:$AJ$130,0,MATCH(AF$2,Inputs!$K$4:$AJ$4,0))))+SUMPRODUCT((Inputs!$E$5:$E$130=$B35)*ISNUMBER(INDEX(Inputs!$K$5:$AJ$130,0,MATCH(AF$2,Inputs!$K$4:$AJ$4,0))))=0,NA(),SUMPRODUCT((Inputs!$A$5:$A$130=$B35)*Inputs!$B$5:$B$130*(((Inputs!$G$5:$G$130="moeda")+(Inputs!$G$5:$G$130="acoes"))*Inputs!$B$1+((Inputs!$G$5:$G$130&lt;&gt;"moeda")*(Inputs!$G$5:$G$130&lt;&gt;"acoes")))*INDEX(Inputs!$K$5:$AJ$130,0,MATCH(AF$2,Inputs!$K$4:$AJ$4,0)))+SUMPRODUCT((Inputs!$C$5:$C$130=$B35)*Inputs!$D$5:$D$130*(((Inputs!$G$5:$G$130="moeda")+(Inputs!$G$5:$G$130="acoes"))*Inputs!$B$1+((Inputs!$G$5:$G$130&lt;&gt;"moeda")*(Inputs!$G$5:$G$130&lt;&gt;"acoes")))*INDEX(Inputs!$K$5:$AJ$130,0,MATCH(AF$2,Inputs!$K$4:$AJ$4,0)))+SUMPRODUCT((Inputs!$E$5:$E$130=$B35)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5" s="3" t="e">
        <f>AF35</f>
        <v>#N/A</v>
      </c>
      <c r="AH35" s="6">
        <f>IF(ISNA(MATCH(AH$2,Inputs!$K$4:$AJ$4,0)),NA(),IF(SUMPRODUCT((Inputs!$A$5:$A$130=$B35)*ISNUMBER(INDEX(Inputs!$K$5:$AJ$130,0,MATCH(AH$2,Inputs!$K$4:$AJ$4,0))))+SUMPRODUCT((Inputs!$C$5:$C$130=$B35)*ISNUMBER(INDEX(Inputs!$K$5:$AJ$130,0,MATCH(AH$2,Inputs!$K$4:$AJ$4,0))))+SUMPRODUCT((Inputs!$E$5:$E$130=$B35)*ISNUMBER(INDEX(Inputs!$K$5:$AJ$130,0,MATCH(AH$2,Inputs!$K$4:$AJ$4,0))))=0,NA(),SUMPRODUCT((Inputs!$A$5:$A$130=$B35)*Inputs!$B$5:$B$130*(((Inputs!$G$5:$G$130="moeda")+(Inputs!$G$5:$G$130="acoes"))*Inputs!$B$1+((Inputs!$G$5:$G$130&lt;&gt;"moeda")*(Inputs!$G$5:$G$130&lt;&gt;"acoes")))*INDEX(Inputs!$K$5:$AJ$130,0,MATCH(AH$2,Inputs!$K$4:$AJ$4,0)))+SUMPRODUCT((Inputs!$C$5:$C$130=$B35)*Inputs!$D$5:$D$130*(((Inputs!$G$5:$G$130="moeda")+(Inputs!$G$5:$G$130="acoes"))*Inputs!$B$1+((Inputs!$G$5:$G$130&lt;&gt;"moeda")*(Inputs!$G$5:$G$130&lt;&gt;"acoes")))*INDEX(Inputs!$K$5:$AJ$130,0,MATCH(AH$2,Inputs!$K$4:$AJ$4,0)))+SUMPRODUCT((Inputs!$E$5:$E$130=$B35)*Inputs!$F$5:$F$130*(((Inputs!$G$5:$G$130="moeda")+(Inputs!$G$5:$G$130="acoes"))*Inputs!$B$1+((Inputs!$G$5:$G$130&lt;&gt;"moeda")*(Inputs!$G$5:$G$130&lt;&gt;"acoes")))*INDEX(Inputs!$K$5:$AJ$130,0,MATCH(AH$2,Inputs!$K$4:$AJ$4,0)))))</f>
        <v>6959</v>
      </c>
      <c r="AI35" s="6">
        <f>IF(ISNA(MATCH(AI$2,Inputs!$K$4:$AJ$4,0)),NA(),IF(SUMPRODUCT((Inputs!$A$5:$A$130=$B35)*ISNUMBER(INDEX(Inputs!$K$5:$AJ$130,0,MATCH(AI$2,Inputs!$K$4:$AJ$4,0))))+SUMPRODUCT((Inputs!$C$5:$C$130=$B35)*ISNUMBER(INDEX(Inputs!$K$5:$AJ$130,0,MATCH(AI$2,Inputs!$K$4:$AJ$4,0))))+SUMPRODUCT((Inputs!$E$5:$E$130=$B35)*ISNUMBER(INDEX(Inputs!$K$5:$AJ$130,0,MATCH(AI$2,Inputs!$K$4:$AJ$4,0))))=0,NA(),SUMPRODUCT((Inputs!$A$5:$A$130=$B35)*Inputs!$B$5:$B$130*(((Inputs!$G$5:$G$130="moeda")+(Inputs!$G$5:$G$130="acoes"))*Inputs!$B$1+((Inputs!$G$5:$G$130&lt;&gt;"moeda")*(Inputs!$G$5:$G$130&lt;&gt;"acoes")))*INDEX(Inputs!$K$5:$AJ$130,0,MATCH(AI$2,Inputs!$K$4:$AJ$4,0)))+SUMPRODUCT((Inputs!$C$5:$C$130=$B35)*Inputs!$D$5:$D$130*(((Inputs!$G$5:$G$130="moeda")+(Inputs!$G$5:$G$130="acoes"))*Inputs!$B$1+((Inputs!$G$5:$G$130&lt;&gt;"moeda")*(Inputs!$G$5:$G$130&lt;&gt;"acoes")))*INDEX(Inputs!$K$5:$AJ$130,0,MATCH(AI$2,Inputs!$K$4:$AJ$4,0)))+SUMPRODUCT((Inputs!$E$5:$E$130=$B35)*Inputs!$F$5:$F$130*(((Inputs!$G$5:$G$130="moeda")+(Inputs!$G$5:$G$130="acoes"))*Inputs!$B$1+((Inputs!$G$5:$G$130&lt;&gt;"moeda")*(Inputs!$G$5:$G$130&lt;&gt;"acoes")))*INDEX(Inputs!$K$5:$AJ$130,0,MATCH(AI$2,Inputs!$K$4:$AJ$4,0)))))</f>
        <v>6960</v>
      </c>
      <c r="AJ35" s="6">
        <f>IF(ISNA(MATCH(AJ$2,Inputs!$K$4:$AJ$4,0)),NA(),IF(SUMPRODUCT((Inputs!$A$5:$A$130=$B35)*ISNUMBER(INDEX(Inputs!$K$5:$AJ$130,0,MATCH(AJ$2,Inputs!$K$4:$AJ$4,0))))+SUMPRODUCT((Inputs!$C$5:$C$130=$B35)*ISNUMBER(INDEX(Inputs!$K$5:$AJ$130,0,MATCH(AJ$2,Inputs!$K$4:$AJ$4,0))))+SUMPRODUCT((Inputs!$E$5:$E$130=$B35)*ISNUMBER(INDEX(Inputs!$K$5:$AJ$130,0,MATCH(AJ$2,Inputs!$K$4:$AJ$4,0))))=0,NA(),SUMPRODUCT((Inputs!$A$5:$A$130=$B35)*Inputs!$B$5:$B$130*(((Inputs!$G$5:$G$130="moeda")+(Inputs!$G$5:$G$130="acoes"))*Inputs!$B$1+((Inputs!$G$5:$G$130&lt;&gt;"moeda")*(Inputs!$G$5:$G$130&lt;&gt;"acoes")))*INDEX(Inputs!$K$5:$AJ$130,0,MATCH(AJ$2,Inputs!$K$4:$AJ$4,0)))+SUMPRODUCT((Inputs!$C$5:$C$130=$B35)*Inputs!$D$5:$D$130*(((Inputs!$G$5:$G$130="moeda")+(Inputs!$G$5:$G$130="acoes"))*Inputs!$B$1+((Inputs!$G$5:$G$130&lt;&gt;"moeda")*(Inputs!$G$5:$G$130&lt;&gt;"acoes")))*INDEX(Inputs!$K$5:$AJ$130,0,MATCH(AJ$2,Inputs!$K$4:$AJ$4,0)))+SUMPRODUCT((Inputs!$E$5:$E$130=$B35)*Inputs!$F$5:$F$130*(((Inputs!$G$5:$G$130="moeda")+(Inputs!$G$5:$G$130="acoes"))*Inputs!$B$1+((Inputs!$G$5:$G$130&lt;&gt;"moeda")*(Inputs!$G$5:$G$130&lt;&gt;"acoes")))*INDEX(Inputs!$K$5:$AJ$130,0,MATCH(AJ$2,Inputs!$K$4:$AJ$4,0)))))</f>
        <v>5963</v>
      </c>
      <c r="AK35" s="6">
        <f>IF(ISNA(MATCH(AK$2,Inputs!$K$4:$AJ$4,0)),NA(),IF(SUMPRODUCT((Inputs!$A$5:$A$130=$B35)*ISNUMBER(INDEX(Inputs!$K$5:$AJ$130,0,MATCH(AK$2,Inputs!$K$4:$AJ$4,0))))+SUMPRODUCT((Inputs!$C$5:$C$130=$B35)*ISNUMBER(INDEX(Inputs!$K$5:$AJ$130,0,MATCH(AK$2,Inputs!$K$4:$AJ$4,0))))+SUMPRODUCT((Inputs!$E$5:$E$130=$B35)*ISNUMBER(INDEX(Inputs!$K$5:$AJ$130,0,MATCH(AK$2,Inputs!$K$4:$AJ$4,0))))=0,NA(),SUMPRODUCT((Inputs!$A$5:$A$130=$B35)*Inputs!$B$5:$B$130*(((Inputs!$G$5:$G$130="moeda")+(Inputs!$G$5:$G$130="acoes"))*Inputs!$B$1+((Inputs!$G$5:$G$130&lt;&gt;"moeda")*(Inputs!$G$5:$G$130&lt;&gt;"acoes")))*INDEX(Inputs!$K$5:$AJ$130,0,MATCH(AK$2,Inputs!$K$4:$AJ$4,0)))+SUMPRODUCT((Inputs!$C$5:$C$130=$B35)*Inputs!$D$5:$D$130*(((Inputs!$G$5:$G$130="moeda")+(Inputs!$G$5:$G$130="acoes"))*Inputs!$B$1+((Inputs!$G$5:$G$130&lt;&gt;"moeda")*(Inputs!$G$5:$G$130&lt;&gt;"acoes")))*INDEX(Inputs!$K$5:$AJ$130,0,MATCH(AK$2,Inputs!$K$4:$AJ$4,0)))+SUMPRODUCT((Inputs!$E$5:$E$130=$B35)*Inputs!$F$5:$F$130*(((Inputs!$G$5:$G$130="moeda")+(Inputs!$G$5:$G$130="acoes"))*Inputs!$B$1+((Inputs!$G$5:$G$130&lt;&gt;"moeda")*(Inputs!$G$5:$G$130&lt;&gt;"acoes")))*INDEX(Inputs!$K$5:$AJ$130,0,MATCH(AK$2,Inputs!$K$4:$AJ$4,0)))))</f>
        <v>5964</v>
      </c>
      <c r="AL35" s="3">
        <f>AK35</f>
        <v>5964</v>
      </c>
    </row>
    <row r="36">
      <c r="B36" s="46" t="n">
        <v>31</v>
      </c>
      <c r="C36" s="26" t="inlineStr">
        <is>
          <t>Long term operating leases</t>
        </is>
      </c>
      <c r="D36" s="6">
        <f>IF(ISNA(MATCH(D$2,Inputs!$K$4:$AJ$4,0)),NA(),IF(SUMPRODUCT((Inputs!$A$5:$A$130=$B36)*ISNUMBER(INDEX(Inputs!$K$5:$AJ$130,0,MATCH(D$2,Inputs!$K$4:$AJ$4,0))))+SUMPRODUCT((Inputs!$C$5:$C$130=$B36)*ISNUMBER(INDEX(Inputs!$K$5:$AJ$130,0,MATCH(D$2,Inputs!$K$4:$AJ$4,0))))+SUMPRODUCT((Inputs!$E$5:$E$130=$B36)*ISNUMBER(INDEX(Inputs!$K$5:$AJ$130,0,MATCH(D$2,Inputs!$K$4:$AJ$4,0))))=0,NA(),SUMPRODUCT((Inputs!$A$5:$A$130=$B36)*Inputs!$B$5:$B$130*(((Inputs!$G$5:$G$130="moeda")+(Inputs!$G$5:$G$130="acoes"))*Inputs!$B$1+((Inputs!$G$5:$G$130&lt;&gt;"moeda")*(Inputs!$G$5:$G$130&lt;&gt;"acoes")))*INDEX(Inputs!$K$5:$AJ$130,0,MATCH(D$2,Inputs!$K$4:$AJ$4,0)))+SUMPRODUCT((Inputs!$C$5:$C$130=$B36)*Inputs!$D$5:$D$130*(((Inputs!$G$5:$G$130="moeda")+(Inputs!$G$5:$G$130="acoes"))*Inputs!$B$1+((Inputs!$G$5:$G$130&lt;&gt;"moeda")*(Inputs!$G$5:$G$130&lt;&gt;"acoes")))*INDEX(Inputs!$K$5:$AJ$130,0,MATCH(D$2,Inputs!$K$4:$AJ$4,0)))+SUMPRODUCT((Inputs!$E$5:$E$130=$B36)*Inputs!$F$5:$F$130*(((Inputs!$G$5:$G$130="moeda")+(Inputs!$G$5:$G$130="acoes"))*Inputs!$B$1+((Inputs!$G$5:$G$130&lt;&gt;"moeda")*(Inputs!$G$5:$G$130&lt;&gt;"acoes")))*INDEX(Inputs!$K$5:$AJ$130,0,MATCH(D$2,Inputs!$K$4:$AJ$4,0)))))</f>
        <v>640</v>
      </c>
      <c r="E36" s="6">
        <f>IF(ISNA(MATCH(E$2,Inputs!$K$4:$AJ$4,0)),NA(),IF(SUMPRODUCT((Inputs!$A$5:$A$130=$B36)*ISNUMBER(INDEX(Inputs!$K$5:$AJ$130,0,MATCH(E$2,Inputs!$K$4:$AJ$4,0))))+SUMPRODUCT((Inputs!$C$5:$C$130=$B36)*ISNUMBER(INDEX(Inputs!$K$5:$AJ$130,0,MATCH(E$2,Inputs!$K$4:$AJ$4,0))))+SUMPRODUCT((Inputs!$E$5:$E$130=$B36)*ISNUMBER(INDEX(Inputs!$K$5:$AJ$130,0,MATCH(E$2,Inputs!$K$4:$AJ$4,0))))=0,NA(),SUMPRODUCT((Inputs!$A$5:$A$130=$B36)*Inputs!$B$5:$B$130*(((Inputs!$G$5:$G$130="moeda")+(Inputs!$G$5:$G$130="acoes"))*Inputs!$B$1+((Inputs!$G$5:$G$130&lt;&gt;"moeda")*(Inputs!$G$5:$G$130&lt;&gt;"acoes")))*INDEX(Inputs!$K$5:$AJ$130,0,MATCH(E$2,Inputs!$K$4:$AJ$4,0)))+SUMPRODUCT((Inputs!$C$5:$C$130=$B36)*Inputs!$D$5:$D$130*(((Inputs!$G$5:$G$130="moeda")+(Inputs!$G$5:$G$130="acoes"))*Inputs!$B$1+((Inputs!$G$5:$G$130&lt;&gt;"moeda")*(Inputs!$G$5:$G$130&lt;&gt;"acoes")))*INDEX(Inputs!$K$5:$AJ$130,0,MATCH(E$2,Inputs!$K$4:$AJ$4,0)))+SUMPRODUCT((Inputs!$E$5:$E$130=$B36)*Inputs!$F$5:$F$130*(((Inputs!$G$5:$G$130="moeda")+(Inputs!$G$5:$G$130="acoes"))*Inputs!$B$1+((Inputs!$G$5:$G$130&lt;&gt;"moeda")*(Inputs!$G$5:$G$130&lt;&gt;"acoes")))*INDEX(Inputs!$K$5:$AJ$130,0,MATCH(E$2,Inputs!$K$4:$AJ$4,0)))))</f>
        <v>716</v>
      </c>
      <c r="F36" s="6">
        <f>IF(ISNA(MATCH(F$2,Inputs!$K$4:$AJ$4,0)),NA(),IF(SUMPRODUCT((Inputs!$A$5:$A$130=$B36)*ISNUMBER(INDEX(Inputs!$K$5:$AJ$130,0,MATCH(F$2,Inputs!$K$4:$AJ$4,0))))+SUMPRODUCT((Inputs!$C$5:$C$130=$B36)*ISNUMBER(INDEX(Inputs!$K$5:$AJ$130,0,MATCH(F$2,Inputs!$K$4:$AJ$4,0))))+SUMPRODUCT((Inputs!$E$5:$E$130=$B36)*ISNUMBER(INDEX(Inputs!$K$5:$AJ$130,0,MATCH(F$2,Inputs!$K$4:$AJ$4,0))))=0,NA(),SUMPRODUCT((Inputs!$A$5:$A$130=$B36)*Inputs!$B$5:$B$130*(((Inputs!$G$5:$G$130="moeda")+(Inputs!$G$5:$G$130="acoes"))*Inputs!$B$1+((Inputs!$G$5:$G$130&lt;&gt;"moeda")*(Inputs!$G$5:$G$130&lt;&gt;"acoes")))*INDEX(Inputs!$K$5:$AJ$130,0,MATCH(F$2,Inputs!$K$4:$AJ$4,0)))+SUMPRODUCT((Inputs!$C$5:$C$130=$B36)*Inputs!$D$5:$D$130*(((Inputs!$G$5:$G$130="moeda")+(Inputs!$G$5:$G$130="acoes"))*Inputs!$B$1+((Inputs!$G$5:$G$130&lt;&gt;"moeda")*(Inputs!$G$5:$G$130&lt;&gt;"acoes")))*INDEX(Inputs!$K$5:$AJ$130,0,MATCH(F$2,Inputs!$K$4:$AJ$4,0)))+SUMPRODUCT((Inputs!$E$5:$E$130=$B36)*Inputs!$F$5:$F$130*(((Inputs!$G$5:$G$130="moeda")+(Inputs!$G$5:$G$130="acoes"))*Inputs!$B$1+((Inputs!$G$5:$G$130&lt;&gt;"moeda")*(Inputs!$G$5:$G$130&lt;&gt;"acoes")))*INDEX(Inputs!$K$5:$AJ$130,0,MATCH(F$2,Inputs!$K$4:$AJ$4,0)))))</f>
        <v>743</v>
      </c>
      <c r="G36" s="6">
        <f>IF(ISNA(MATCH(G$2,Inputs!$K$4:$AJ$4,0)),NA(),IF(SUMPRODUCT((Inputs!$A$5:$A$130=$B36)*ISNUMBER(INDEX(Inputs!$K$5:$AJ$130,0,MATCH(G$2,Inputs!$K$4:$AJ$4,0))))+SUMPRODUCT((Inputs!$C$5:$C$130=$B36)*ISNUMBER(INDEX(Inputs!$K$5:$AJ$130,0,MATCH(G$2,Inputs!$K$4:$AJ$4,0))))+SUMPRODUCT((Inputs!$E$5:$E$130=$B36)*ISNUMBER(INDEX(Inputs!$K$5:$AJ$130,0,MATCH(G$2,Inputs!$K$4:$AJ$4,0))))=0,NA(),SUMPRODUCT((Inputs!$A$5:$A$130=$B36)*Inputs!$B$5:$B$130*(((Inputs!$G$5:$G$130="moeda")+(Inputs!$G$5:$G$130="acoes"))*Inputs!$B$1+((Inputs!$G$5:$G$130&lt;&gt;"moeda")*(Inputs!$G$5:$G$130&lt;&gt;"acoes")))*INDEX(Inputs!$K$5:$AJ$130,0,MATCH(G$2,Inputs!$K$4:$AJ$4,0)))+SUMPRODUCT((Inputs!$C$5:$C$130=$B36)*Inputs!$D$5:$D$130*(((Inputs!$G$5:$G$130="moeda")+(Inputs!$G$5:$G$130="acoes"))*Inputs!$B$1+((Inputs!$G$5:$G$130&lt;&gt;"moeda")*(Inputs!$G$5:$G$130&lt;&gt;"acoes")))*INDEX(Inputs!$K$5:$AJ$130,0,MATCH(G$2,Inputs!$K$4:$AJ$4,0)))+SUMPRODUCT((Inputs!$E$5:$E$130=$B36)*Inputs!$F$5:$F$130*(((Inputs!$G$5:$G$130="moeda")+(Inputs!$G$5:$G$130="acoes"))*Inputs!$B$1+((Inputs!$G$5:$G$130&lt;&gt;"moeda")*(Inputs!$G$5:$G$130&lt;&gt;"acoes")))*INDEX(Inputs!$K$5:$AJ$130,0,MATCH(G$2,Inputs!$K$4:$AJ$4,0)))))</f>
        <v>741</v>
      </c>
      <c r="H36" s="3">
        <f>G36</f>
        <v>741</v>
      </c>
      <c r="I36" s="6">
        <f>IF(ISNA(MATCH(I$2,Inputs!$K$4:$AJ$4,0)),NA(),IF(SUMPRODUCT((Inputs!$A$5:$A$130=$B36)*ISNUMBER(INDEX(Inputs!$K$5:$AJ$130,0,MATCH(I$2,Inputs!$K$4:$AJ$4,0))))+SUMPRODUCT((Inputs!$C$5:$C$130=$B36)*ISNUMBER(INDEX(Inputs!$K$5:$AJ$130,0,MATCH(I$2,Inputs!$K$4:$AJ$4,0))))+SUMPRODUCT((Inputs!$E$5:$E$130=$B36)*ISNUMBER(INDEX(Inputs!$K$5:$AJ$130,0,MATCH(I$2,Inputs!$K$4:$AJ$4,0))))=0,NA(),SUMPRODUCT((Inputs!$A$5:$A$130=$B36)*Inputs!$B$5:$B$130*(((Inputs!$G$5:$G$130="moeda")+(Inputs!$G$5:$G$130="acoes"))*Inputs!$B$1+((Inputs!$G$5:$G$130&lt;&gt;"moeda")*(Inputs!$G$5:$G$130&lt;&gt;"acoes")))*INDEX(Inputs!$K$5:$AJ$130,0,MATCH(I$2,Inputs!$K$4:$AJ$4,0)))+SUMPRODUCT((Inputs!$C$5:$C$130=$B36)*Inputs!$D$5:$D$130*(((Inputs!$G$5:$G$130="moeda")+(Inputs!$G$5:$G$130="acoes"))*Inputs!$B$1+((Inputs!$G$5:$G$130&lt;&gt;"moeda")*(Inputs!$G$5:$G$130&lt;&gt;"acoes")))*INDEX(Inputs!$K$5:$AJ$130,0,MATCH(I$2,Inputs!$K$4:$AJ$4,0)))+SUMPRODUCT((Inputs!$E$5:$E$130=$B36)*Inputs!$F$5:$F$130*(((Inputs!$G$5:$G$130="moeda")+(Inputs!$G$5:$G$130="acoes"))*Inputs!$B$1+((Inputs!$G$5:$G$130&lt;&gt;"moeda")*(Inputs!$G$5:$G$130&lt;&gt;"acoes")))*INDEX(Inputs!$K$5:$AJ$130,0,MATCH(I$2,Inputs!$K$4:$AJ$4,0)))))</f>
        <v>752</v>
      </c>
      <c r="J36" s="6">
        <f>IF(ISNA(MATCH(J$2,Inputs!$K$4:$AJ$4,0)),NA(),IF(SUMPRODUCT((Inputs!$A$5:$A$130=$B36)*ISNUMBER(INDEX(Inputs!$K$5:$AJ$130,0,MATCH(J$2,Inputs!$K$4:$AJ$4,0))))+SUMPRODUCT((Inputs!$C$5:$C$130=$B36)*ISNUMBER(INDEX(Inputs!$K$5:$AJ$130,0,MATCH(J$2,Inputs!$K$4:$AJ$4,0))))+SUMPRODUCT((Inputs!$E$5:$E$130=$B36)*ISNUMBER(INDEX(Inputs!$K$5:$AJ$130,0,MATCH(J$2,Inputs!$K$4:$AJ$4,0))))=0,NA(),SUMPRODUCT((Inputs!$A$5:$A$130=$B36)*Inputs!$B$5:$B$130*(((Inputs!$G$5:$G$130="moeda")+(Inputs!$G$5:$G$130="acoes"))*Inputs!$B$1+((Inputs!$G$5:$G$130&lt;&gt;"moeda")*(Inputs!$G$5:$G$130&lt;&gt;"acoes")))*INDEX(Inputs!$K$5:$AJ$130,0,MATCH(J$2,Inputs!$K$4:$AJ$4,0)))+SUMPRODUCT((Inputs!$C$5:$C$130=$B36)*Inputs!$D$5:$D$130*(((Inputs!$G$5:$G$130="moeda")+(Inputs!$G$5:$G$130="acoes"))*Inputs!$B$1+((Inputs!$G$5:$G$130&lt;&gt;"moeda")*(Inputs!$G$5:$G$130&lt;&gt;"acoes")))*INDEX(Inputs!$K$5:$AJ$130,0,MATCH(J$2,Inputs!$K$4:$AJ$4,0)))+SUMPRODUCT((Inputs!$E$5:$E$130=$B36)*Inputs!$F$5:$F$130*(((Inputs!$G$5:$G$130="moeda")+(Inputs!$G$5:$G$130="acoes"))*Inputs!$B$1+((Inputs!$G$5:$G$130&lt;&gt;"moeda")*(Inputs!$G$5:$G$130&lt;&gt;"acoes")))*INDEX(Inputs!$K$5:$AJ$130,0,MATCH(J$2,Inputs!$K$4:$AJ$4,0)))))</f>
        <v>743</v>
      </c>
      <c r="K36" s="6">
        <f>IF(ISNA(MATCH(K$2,Inputs!$K$4:$AJ$4,0)),NA(),IF(SUMPRODUCT((Inputs!$A$5:$A$130=$B36)*ISNUMBER(INDEX(Inputs!$K$5:$AJ$130,0,MATCH(K$2,Inputs!$K$4:$AJ$4,0))))+SUMPRODUCT((Inputs!$C$5:$C$130=$B36)*ISNUMBER(INDEX(Inputs!$K$5:$AJ$130,0,MATCH(K$2,Inputs!$K$4:$AJ$4,0))))+SUMPRODUCT((Inputs!$E$5:$E$130=$B36)*ISNUMBER(INDEX(Inputs!$K$5:$AJ$130,0,MATCH(K$2,Inputs!$K$4:$AJ$4,0))))=0,NA(),SUMPRODUCT((Inputs!$A$5:$A$130=$B36)*Inputs!$B$5:$B$130*(((Inputs!$G$5:$G$130="moeda")+(Inputs!$G$5:$G$130="acoes"))*Inputs!$B$1+((Inputs!$G$5:$G$130&lt;&gt;"moeda")*(Inputs!$G$5:$G$130&lt;&gt;"acoes")))*INDEX(Inputs!$K$5:$AJ$130,0,MATCH(K$2,Inputs!$K$4:$AJ$4,0)))+SUMPRODUCT((Inputs!$C$5:$C$130=$B36)*Inputs!$D$5:$D$130*(((Inputs!$G$5:$G$130="moeda")+(Inputs!$G$5:$G$130="acoes"))*Inputs!$B$1+((Inputs!$G$5:$G$130&lt;&gt;"moeda")*(Inputs!$G$5:$G$130&lt;&gt;"acoes")))*INDEX(Inputs!$K$5:$AJ$130,0,MATCH(K$2,Inputs!$K$4:$AJ$4,0)))+SUMPRODUCT((Inputs!$E$5:$E$130=$B36)*Inputs!$F$5:$F$130*(((Inputs!$G$5:$G$130="moeda")+(Inputs!$G$5:$G$130="acoes"))*Inputs!$B$1+((Inputs!$G$5:$G$130&lt;&gt;"moeda")*(Inputs!$G$5:$G$130&lt;&gt;"acoes")))*INDEX(Inputs!$K$5:$AJ$130,0,MATCH(K$2,Inputs!$K$4:$AJ$4,0)))))</f>
        <v>798</v>
      </c>
      <c r="L36" s="6">
        <f>IF(ISNA(MATCH(L$2,Inputs!$K$4:$AJ$4,0)),NA(),IF(SUMPRODUCT((Inputs!$A$5:$A$130=$B36)*ISNUMBER(INDEX(Inputs!$K$5:$AJ$130,0,MATCH(L$2,Inputs!$K$4:$AJ$4,0))))+SUMPRODUCT((Inputs!$C$5:$C$130=$B36)*ISNUMBER(INDEX(Inputs!$K$5:$AJ$130,0,MATCH(L$2,Inputs!$K$4:$AJ$4,0))))+SUMPRODUCT((Inputs!$E$5:$E$130=$B36)*ISNUMBER(INDEX(Inputs!$K$5:$AJ$130,0,MATCH(L$2,Inputs!$K$4:$AJ$4,0))))=0,NA(),SUMPRODUCT((Inputs!$A$5:$A$130=$B36)*Inputs!$B$5:$B$130*(((Inputs!$G$5:$G$130="moeda")+(Inputs!$G$5:$G$130="acoes"))*Inputs!$B$1+((Inputs!$G$5:$G$130&lt;&gt;"moeda")*(Inputs!$G$5:$G$130&lt;&gt;"acoes")))*INDEX(Inputs!$K$5:$AJ$130,0,MATCH(L$2,Inputs!$K$4:$AJ$4,0)))+SUMPRODUCT((Inputs!$C$5:$C$130=$B36)*Inputs!$D$5:$D$130*(((Inputs!$G$5:$G$130="moeda")+(Inputs!$G$5:$G$130="acoes"))*Inputs!$B$1+((Inputs!$G$5:$G$130&lt;&gt;"moeda")*(Inputs!$G$5:$G$130&lt;&gt;"acoes")))*INDEX(Inputs!$K$5:$AJ$130,0,MATCH(L$2,Inputs!$K$4:$AJ$4,0)))+SUMPRODUCT((Inputs!$E$5:$E$130=$B36)*Inputs!$F$5:$F$130*(((Inputs!$G$5:$G$130="moeda")+(Inputs!$G$5:$G$130="acoes"))*Inputs!$B$1+((Inputs!$G$5:$G$130&lt;&gt;"moeda")*(Inputs!$G$5:$G$130&lt;&gt;"acoes")))*INDEX(Inputs!$K$5:$AJ$130,0,MATCH(L$2,Inputs!$K$4:$AJ$4,0)))))</f>
        <v>902</v>
      </c>
      <c r="M36" s="3">
        <f>L36</f>
        <v>902</v>
      </c>
      <c r="N36" s="6">
        <f>IF(ISNA(MATCH(N$2,Inputs!$K$4:$AJ$4,0)),NA(),IF(SUMPRODUCT((Inputs!$A$5:$A$130=$B36)*ISNUMBER(INDEX(Inputs!$K$5:$AJ$130,0,MATCH(N$2,Inputs!$K$4:$AJ$4,0))))+SUMPRODUCT((Inputs!$C$5:$C$130=$B36)*ISNUMBER(INDEX(Inputs!$K$5:$AJ$130,0,MATCH(N$2,Inputs!$K$4:$AJ$4,0))))+SUMPRODUCT((Inputs!$E$5:$E$130=$B36)*ISNUMBER(INDEX(Inputs!$K$5:$AJ$130,0,MATCH(N$2,Inputs!$K$4:$AJ$4,0))))=0,NA(),SUMPRODUCT((Inputs!$A$5:$A$130=$B36)*Inputs!$B$5:$B$130*(((Inputs!$G$5:$G$130="moeda")+(Inputs!$G$5:$G$130="acoes"))*Inputs!$B$1+((Inputs!$G$5:$G$130&lt;&gt;"moeda")*(Inputs!$G$5:$G$130&lt;&gt;"acoes")))*INDEX(Inputs!$K$5:$AJ$130,0,MATCH(N$2,Inputs!$K$4:$AJ$4,0)))+SUMPRODUCT((Inputs!$C$5:$C$130=$B36)*Inputs!$D$5:$D$130*(((Inputs!$G$5:$G$130="moeda")+(Inputs!$G$5:$G$130="acoes"))*Inputs!$B$1+((Inputs!$G$5:$G$130&lt;&gt;"moeda")*(Inputs!$G$5:$G$130&lt;&gt;"acoes")))*INDEX(Inputs!$K$5:$AJ$130,0,MATCH(N$2,Inputs!$K$4:$AJ$4,0)))+SUMPRODUCT((Inputs!$E$5:$E$130=$B36)*Inputs!$F$5:$F$130*(((Inputs!$G$5:$G$130="moeda")+(Inputs!$G$5:$G$130="acoes"))*Inputs!$B$1+((Inputs!$G$5:$G$130&lt;&gt;"moeda")*(Inputs!$G$5:$G$130&lt;&gt;"acoes")))*INDEX(Inputs!$K$5:$AJ$130,0,MATCH(N$2,Inputs!$K$4:$AJ$4,0)))))</f>
        <v>939</v>
      </c>
      <c r="O36" s="6">
        <f>IF(ISNA(MATCH(O$2,Inputs!$K$4:$AJ$4,0)),NA(),IF(SUMPRODUCT((Inputs!$A$5:$A$130=$B36)*ISNUMBER(INDEX(Inputs!$K$5:$AJ$130,0,MATCH(O$2,Inputs!$K$4:$AJ$4,0))))+SUMPRODUCT((Inputs!$C$5:$C$130=$B36)*ISNUMBER(INDEX(Inputs!$K$5:$AJ$130,0,MATCH(O$2,Inputs!$K$4:$AJ$4,0))))+SUMPRODUCT((Inputs!$E$5:$E$130=$B36)*ISNUMBER(INDEX(Inputs!$K$5:$AJ$130,0,MATCH(O$2,Inputs!$K$4:$AJ$4,0))))=0,NA(),SUMPRODUCT((Inputs!$A$5:$A$130=$B36)*Inputs!$B$5:$B$130*(((Inputs!$G$5:$G$130="moeda")+(Inputs!$G$5:$G$130="acoes"))*Inputs!$B$1+((Inputs!$G$5:$G$130&lt;&gt;"moeda")*(Inputs!$G$5:$G$130&lt;&gt;"acoes")))*INDEX(Inputs!$K$5:$AJ$130,0,MATCH(O$2,Inputs!$K$4:$AJ$4,0)))+SUMPRODUCT((Inputs!$C$5:$C$130=$B36)*Inputs!$D$5:$D$130*(((Inputs!$G$5:$G$130="moeda")+(Inputs!$G$5:$G$130="acoes"))*Inputs!$B$1+((Inputs!$G$5:$G$130&lt;&gt;"moeda")*(Inputs!$G$5:$G$130&lt;&gt;"acoes")))*INDEX(Inputs!$K$5:$AJ$130,0,MATCH(O$2,Inputs!$K$4:$AJ$4,0)))+SUMPRODUCT((Inputs!$E$5:$E$130=$B36)*Inputs!$F$5:$F$130*(((Inputs!$G$5:$G$130="moeda")+(Inputs!$G$5:$G$130="acoes"))*Inputs!$B$1+((Inputs!$G$5:$G$130&lt;&gt;"moeda")*(Inputs!$G$5:$G$130&lt;&gt;"acoes")))*INDEX(Inputs!$K$5:$AJ$130,0,MATCH(O$2,Inputs!$K$4:$AJ$4,0)))))</f>
        <v>1041</v>
      </c>
      <c r="P36" s="6">
        <f>IF(ISNA(MATCH(P$2,Inputs!$K$4:$AJ$4,0)),NA(),IF(SUMPRODUCT((Inputs!$A$5:$A$130=$B36)*ISNUMBER(INDEX(Inputs!$K$5:$AJ$130,0,MATCH(P$2,Inputs!$K$4:$AJ$4,0))))+SUMPRODUCT((Inputs!$C$5:$C$130=$B36)*ISNUMBER(INDEX(Inputs!$K$5:$AJ$130,0,MATCH(P$2,Inputs!$K$4:$AJ$4,0))))+SUMPRODUCT((Inputs!$E$5:$E$130=$B36)*ISNUMBER(INDEX(Inputs!$K$5:$AJ$130,0,MATCH(P$2,Inputs!$K$4:$AJ$4,0))))=0,NA(),SUMPRODUCT((Inputs!$A$5:$A$130=$B36)*Inputs!$B$5:$B$130*(((Inputs!$G$5:$G$130="moeda")+(Inputs!$G$5:$G$130="acoes"))*Inputs!$B$1+((Inputs!$G$5:$G$130&lt;&gt;"moeda")*(Inputs!$G$5:$G$130&lt;&gt;"acoes")))*INDEX(Inputs!$K$5:$AJ$130,0,MATCH(P$2,Inputs!$K$4:$AJ$4,0)))+SUMPRODUCT((Inputs!$C$5:$C$130=$B36)*Inputs!$D$5:$D$130*(((Inputs!$G$5:$G$130="moeda")+(Inputs!$G$5:$G$130="acoes"))*Inputs!$B$1+((Inputs!$G$5:$G$130&lt;&gt;"moeda")*(Inputs!$G$5:$G$130&lt;&gt;"acoes")))*INDEX(Inputs!$K$5:$AJ$130,0,MATCH(P$2,Inputs!$K$4:$AJ$4,0)))+SUMPRODUCT((Inputs!$E$5:$E$130=$B36)*Inputs!$F$5:$F$130*(((Inputs!$G$5:$G$130="moeda")+(Inputs!$G$5:$G$130="acoes"))*Inputs!$B$1+((Inputs!$G$5:$G$130&lt;&gt;"moeda")*(Inputs!$G$5:$G$130&lt;&gt;"acoes")))*INDEX(Inputs!$K$5:$AJ$130,0,MATCH(P$2,Inputs!$K$4:$AJ$4,0)))))</f>
        <v>1091</v>
      </c>
      <c r="Q36" s="6">
        <f>IF(ISNA(MATCH(Q$2,Inputs!$K$4:$AJ$4,0)),NA(),IF(SUMPRODUCT((Inputs!$A$5:$A$130=$B36)*ISNUMBER(INDEX(Inputs!$K$5:$AJ$130,0,MATCH(Q$2,Inputs!$K$4:$AJ$4,0))))+SUMPRODUCT((Inputs!$C$5:$C$130=$B36)*ISNUMBER(INDEX(Inputs!$K$5:$AJ$130,0,MATCH(Q$2,Inputs!$K$4:$AJ$4,0))))+SUMPRODUCT((Inputs!$E$5:$E$130=$B36)*ISNUMBER(INDEX(Inputs!$K$5:$AJ$130,0,MATCH(Q$2,Inputs!$K$4:$AJ$4,0))))=0,NA(),SUMPRODUCT((Inputs!$A$5:$A$130=$B36)*Inputs!$B$5:$B$130*(((Inputs!$G$5:$G$130="moeda")+(Inputs!$G$5:$G$130="acoes"))*Inputs!$B$1+((Inputs!$G$5:$G$130&lt;&gt;"moeda")*(Inputs!$G$5:$G$130&lt;&gt;"acoes")))*INDEX(Inputs!$K$5:$AJ$130,0,MATCH(Q$2,Inputs!$K$4:$AJ$4,0)))+SUMPRODUCT((Inputs!$C$5:$C$130=$B36)*Inputs!$D$5:$D$130*(((Inputs!$G$5:$G$130="moeda")+(Inputs!$G$5:$G$130="acoes"))*Inputs!$B$1+((Inputs!$G$5:$G$130&lt;&gt;"moeda")*(Inputs!$G$5:$G$130&lt;&gt;"acoes")))*INDEX(Inputs!$K$5:$AJ$130,0,MATCH(Q$2,Inputs!$K$4:$AJ$4,0)))+SUMPRODUCT((Inputs!$E$5:$E$130=$B36)*Inputs!$F$5:$F$130*(((Inputs!$G$5:$G$130="moeda")+(Inputs!$G$5:$G$130="acoes"))*Inputs!$B$1+((Inputs!$G$5:$G$130&lt;&gt;"moeda")*(Inputs!$G$5:$G$130&lt;&gt;"acoes")))*INDEX(Inputs!$K$5:$AJ$130,0,MATCH(Q$2,Inputs!$K$4:$AJ$4,0)))))</f>
        <v>1119</v>
      </c>
      <c r="R36" s="3">
        <f>Q36</f>
        <v>1119</v>
      </c>
      <c r="S36" s="6">
        <f>IF(ISNA(MATCH(S$2,Inputs!$K$4:$AJ$4,0)),NA(),IF(SUMPRODUCT((Inputs!$A$5:$A$130=$B36)*ISNUMBER(INDEX(Inputs!$K$5:$AJ$130,0,MATCH(S$2,Inputs!$K$4:$AJ$4,0))))+SUMPRODUCT((Inputs!$C$5:$C$130=$B36)*ISNUMBER(INDEX(Inputs!$K$5:$AJ$130,0,MATCH(S$2,Inputs!$K$4:$AJ$4,0))))+SUMPRODUCT((Inputs!$E$5:$E$130=$B36)*ISNUMBER(INDEX(Inputs!$K$5:$AJ$130,0,MATCH(S$2,Inputs!$K$4:$AJ$4,0))))=0,NA(),SUMPRODUCT((Inputs!$A$5:$A$130=$B36)*Inputs!$B$5:$B$130*(((Inputs!$G$5:$G$130="moeda")+(Inputs!$G$5:$G$130="acoes"))*Inputs!$B$1+((Inputs!$G$5:$G$130&lt;&gt;"moeda")*(Inputs!$G$5:$G$130&lt;&gt;"acoes")))*INDEX(Inputs!$K$5:$AJ$130,0,MATCH(S$2,Inputs!$K$4:$AJ$4,0)))+SUMPRODUCT((Inputs!$C$5:$C$130=$B36)*Inputs!$D$5:$D$130*(((Inputs!$G$5:$G$130="moeda")+(Inputs!$G$5:$G$130="acoes"))*Inputs!$B$1+((Inputs!$G$5:$G$130&lt;&gt;"moeda")*(Inputs!$G$5:$G$130&lt;&gt;"acoes")))*INDEX(Inputs!$K$5:$AJ$130,0,MATCH(S$2,Inputs!$K$4:$AJ$4,0)))+SUMPRODUCT((Inputs!$E$5:$E$130=$B36)*Inputs!$F$5:$F$130*(((Inputs!$G$5:$G$130="moeda")+(Inputs!$G$5:$G$130="acoes"))*Inputs!$B$1+((Inputs!$G$5:$G$130&lt;&gt;"moeda")*(Inputs!$G$5:$G$130&lt;&gt;"acoes")))*INDEX(Inputs!$K$5:$AJ$130,0,MATCH(S$2,Inputs!$K$4:$AJ$4,0)))))</f>
        <v>1281</v>
      </c>
      <c r="T36" s="6">
        <f>IF(ISNA(MATCH(T$2,Inputs!$K$4:$AJ$4,0)),NA(),IF(SUMPRODUCT((Inputs!$A$5:$A$130=$B36)*ISNUMBER(INDEX(Inputs!$K$5:$AJ$130,0,MATCH(T$2,Inputs!$K$4:$AJ$4,0))))+SUMPRODUCT((Inputs!$C$5:$C$130=$B36)*ISNUMBER(INDEX(Inputs!$K$5:$AJ$130,0,MATCH(T$2,Inputs!$K$4:$AJ$4,0))))+SUMPRODUCT((Inputs!$E$5:$E$130=$B36)*ISNUMBER(INDEX(Inputs!$K$5:$AJ$130,0,MATCH(T$2,Inputs!$K$4:$AJ$4,0))))=0,NA(),SUMPRODUCT((Inputs!$A$5:$A$130=$B36)*Inputs!$B$5:$B$130*(((Inputs!$G$5:$G$130="moeda")+(Inputs!$G$5:$G$130="acoes"))*Inputs!$B$1+((Inputs!$G$5:$G$130&lt;&gt;"moeda")*(Inputs!$G$5:$G$130&lt;&gt;"acoes")))*INDEX(Inputs!$K$5:$AJ$130,0,MATCH(T$2,Inputs!$K$4:$AJ$4,0)))+SUMPRODUCT((Inputs!$C$5:$C$130=$B36)*Inputs!$D$5:$D$130*(((Inputs!$G$5:$G$130="moeda")+(Inputs!$G$5:$G$130="acoes"))*Inputs!$B$1+((Inputs!$G$5:$G$130&lt;&gt;"moeda")*(Inputs!$G$5:$G$130&lt;&gt;"acoes")))*INDEX(Inputs!$K$5:$AJ$130,0,MATCH(T$2,Inputs!$K$4:$AJ$4,0)))+SUMPRODUCT((Inputs!$E$5:$E$130=$B36)*Inputs!$F$5:$F$130*(((Inputs!$G$5:$G$130="moeda")+(Inputs!$G$5:$G$130="acoes"))*Inputs!$B$1+((Inputs!$G$5:$G$130&lt;&gt;"moeda")*(Inputs!$G$5:$G$130&lt;&gt;"acoes")))*INDEX(Inputs!$K$5:$AJ$130,0,MATCH(T$2,Inputs!$K$4:$AJ$4,0)))))</f>
        <v>1304</v>
      </c>
      <c r="U36" s="6">
        <f>IF(ISNA(MATCH(U$2,Inputs!$K$4:$AJ$4,0)),NA(),IF(SUMPRODUCT((Inputs!$A$5:$A$130=$B36)*ISNUMBER(INDEX(Inputs!$K$5:$AJ$130,0,MATCH(U$2,Inputs!$K$4:$AJ$4,0))))+SUMPRODUCT((Inputs!$C$5:$C$130=$B36)*ISNUMBER(INDEX(Inputs!$K$5:$AJ$130,0,MATCH(U$2,Inputs!$K$4:$AJ$4,0))))+SUMPRODUCT((Inputs!$E$5:$E$130=$B36)*ISNUMBER(INDEX(Inputs!$K$5:$AJ$130,0,MATCH(U$2,Inputs!$K$4:$AJ$4,0))))=0,NA(),SUMPRODUCT((Inputs!$A$5:$A$130=$B36)*Inputs!$B$5:$B$130*(((Inputs!$G$5:$G$130="moeda")+(Inputs!$G$5:$G$130="acoes"))*Inputs!$B$1+((Inputs!$G$5:$G$130&lt;&gt;"moeda")*(Inputs!$G$5:$G$130&lt;&gt;"acoes")))*INDEX(Inputs!$K$5:$AJ$130,0,MATCH(U$2,Inputs!$K$4:$AJ$4,0)))+SUMPRODUCT((Inputs!$C$5:$C$130=$B36)*Inputs!$D$5:$D$130*(((Inputs!$G$5:$G$130="moeda")+(Inputs!$G$5:$G$130="acoes"))*Inputs!$B$1+((Inputs!$G$5:$G$130&lt;&gt;"moeda")*(Inputs!$G$5:$G$130&lt;&gt;"acoes")))*INDEX(Inputs!$K$5:$AJ$130,0,MATCH(U$2,Inputs!$K$4:$AJ$4,0)))+SUMPRODUCT((Inputs!$E$5:$E$130=$B36)*Inputs!$F$5:$F$130*(((Inputs!$G$5:$G$130="moeda")+(Inputs!$G$5:$G$130="acoes"))*Inputs!$B$1+((Inputs!$G$5:$G$130&lt;&gt;"moeda")*(Inputs!$G$5:$G$130&lt;&gt;"acoes")))*INDEX(Inputs!$K$5:$AJ$130,0,MATCH(U$2,Inputs!$K$4:$AJ$4,0)))))</f>
        <v>1490</v>
      </c>
      <c r="V36" s="6">
        <f>IF(ISNA(MATCH(V$2,Inputs!$K$4:$AJ$4,0)),NA(),IF(SUMPRODUCT((Inputs!$A$5:$A$130=$B36)*ISNUMBER(INDEX(Inputs!$K$5:$AJ$130,0,MATCH(V$2,Inputs!$K$4:$AJ$4,0))))+SUMPRODUCT((Inputs!$C$5:$C$130=$B36)*ISNUMBER(INDEX(Inputs!$K$5:$AJ$130,0,MATCH(V$2,Inputs!$K$4:$AJ$4,0))))+SUMPRODUCT((Inputs!$E$5:$E$130=$B36)*ISNUMBER(INDEX(Inputs!$K$5:$AJ$130,0,MATCH(V$2,Inputs!$K$4:$AJ$4,0))))=0,NA(),SUMPRODUCT((Inputs!$A$5:$A$130=$B36)*Inputs!$B$5:$B$130*(((Inputs!$G$5:$G$130="moeda")+(Inputs!$G$5:$G$130="acoes"))*Inputs!$B$1+((Inputs!$G$5:$G$130&lt;&gt;"moeda")*(Inputs!$G$5:$G$130&lt;&gt;"acoes")))*INDEX(Inputs!$K$5:$AJ$130,0,MATCH(V$2,Inputs!$K$4:$AJ$4,0)))+SUMPRODUCT((Inputs!$C$5:$C$130=$B36)*Inputs!$D$5:$D$130*(((Inputs!$G$5:$G$130="moeda")+(Inputs!$G$5:$G$130="acoes"))*Inputs!$B$1+((Inputs!$G$5:$G$130&lt;&gt;"moeda")*(Inputs!$G$5:$G$130&lt;&gt;"acoes")))*INDEX(Inputs!$K$5:$AJ$130,0,MATCH(V$2,Inputs!$K$4:$AJ$4,0)))+SUMPRODUCT((Inputs!$E$5:$E$130=$B36)*Inputs!$F$5:$F$130*(((Inputs!$G$5:$G$130="moeda")+(Inputs!$G$5:$G$130="acoes"))*Inputs!$B$1+((Inputs!$G$5:$G$130&lt;&gt;"moeda")*(Inputs!$G$5:$G$130&lt;&gt;"acoes")))*INDEX(Inputs!$K$5:$AJ$130,0,MATCH(V$2,Inputs!$K$4:$AJ$4,0)))))</f>
        <v>1519</v>
      </c>
      <c r="W36" s="3">
        <f>V36</f>
        <v>1519</v>
      </c>
      <c r="X36" s="6">
        <f>IF(ISNA(MATCH(X$2,Inputs!$K$4:$AJ$4,0)),NA(),IF(SUMPRODUCT((Inputs!$A$5:$A$130=$B36)*ISNUMBER(INDEX(Inputs!$K$5:$AJ$130,0,MATCH(X$2,Inputs!$K$4:$AJ$4,0))))+SUMPRODUCT((Inputs!$C$5:$C$130=$B36)*ISNUMBER(INDEX(Inputs!$K$5:$AJ$130,0,MATCH(X$2,Inputs!$K$4:$AJ$4,0))))+SUMPRODUCT((Inputs!$E$5:$E$130=$B36)*ISNUMBER(INDEX(Inputs!$K$5:$AJ$130,0,MATCH(X$2,Inputs!$K$4:$AJ$4,0))))=0,NA(),SUMPRODUCT((Inputs!$A$5:$A$130=$B36)*Inputs!$B$5:$B$130*(((Inputs!$G$5:$G$130="moeda")+(Inputs!$G$5:$G$130="acoes"))*Inputs!$B$1+((Inputs!$G$5:$G$130&lt;&gt;"moeda")*(Inputs!$G$5:$G$130&lt;&gt;"acoes")))*INDEX(Inputs!$K$5:$AJ$130,0,MATCH(X$2,Inputs!$K$4:$AJ$4,0)))+SUMPRODUCT((Inputs!$C$5:$C$130=$B36)*Inputs!$D$5:$D$130*(((Inputs!$G$5:$G$130="moeda")+(Inputs!$G$5:$G$130="acoes"))*Inputs!$B$1+((Inputs!$G$5:$G$130&lt;&gt;"moeda")*(Inputs!$G$5:$G$130&lt;&gt;"acoes")))*INDEX(Inputs!$K$5:$AJ$130,0,MATCH(X$2,Inputs!$K$4:$AJ$4,0)))+SUMPRODUCT((Inputs!$E$5:$E$130=$B36)*Inputs!$F$5:$F$130*(((Inputs!$G$5:$G$130="moeda")+(Inputs!$G$5:$G$130="acoes"))*Inputs!$B$1+((Inputs!$G$5:$G$130&lt;&gt;"moeda")*(Inputs!$G$5:$G$130&lt;&gt;"acoes")))*INDEX(Inputs!$K$5:$AJ$130,0,MATCH(X$2,Inputs!$K$4:$AJ$4,0)))))</f>
        <v>1521</v>
      </c>
      <c r="Y36" s="6">
        <f>IF(ISNA(MATCH(Y$2,Inputs!$K$4:$AJ$4,0)),NA(),IF(SUMPRODUCT((Inputs!$A$5:$A$130=$B36)*ISNUMBER(INDEX(Inputs!$K$5:$AJ$130,0,MATCH(Y$2,Inputs!$K$4:$AJ$4,0))))+SUMPRODUCT((Inputs!$C$5:$C$130=$B36)*ISNUMBER(INDEX(Inputs!$K$5:$AJ$130,0,MATCH(Y$2,Inputs!$K$4:$AJ$4,0))))+SUMPRODUCT((Inputs!$E$5:$E$130=$B36)*ISNUMBER(INDEX(Inputs!$K$5:$AJ$130,0,MATCH(Y$2,Inputs!$K$4:$AJ$4,0))))=0,NA(),SUMPRODUCT((Inputs!$A$5:$A$130=$B36)*Inputs!$B$5:$B$130*(((Inputs!$G$5:$G$130="moeda")+(Inputs!$G$5:$G$130="acoes"))*Inputs!$B$1+((Inputs!$G$5:$G$130&lt;&gt;"moeda")*(Inputs!$G$5:$G$130&lt;&gt;"acoes")))*INDEX(Inputs!$K$5:$AJ$130,0,MATCH(Y$2,Inputs!$K$4:$AJ$4,0)))+SUMPRODUCT((Inputs!$C$5:$C$130=$B36)*Inputs!$D$5:$D$130*(((Inputs!$G$5:$G$130="moeda")+(Inputs!$G$5:$G$130="acoes"))*Inputs!$B$1+((Inputs!$G$5:$G$130&lt;&gt;"moeda")*(Inputs!$G$5:$G$130&lt;&gt;"acoes")))*INDEX(Inputs!$K$5:$AJ$130,0,MATCH(Y$2,Inputs!$K$4:$AJ$4,0)))+SUMPRODUCT((Inputs!$E$5:$E$130=$B36)*Inputs!$F$5:$F$130*(((Inputs!$G$5:$G$130="moeda")+(Inputs!$G$5:$G$130="acoes"))*Inputs!$B$1+((Inputs!$G$5:$G$130&lt;&gt;"moeda")*(Inputs!$G$5:$G$130&lt;&gt;"acoes")))*INDEX(Inputs!$K$5:$AJ$130,0,MATCH(Y$2,Inputs!$K$4:$AJ$4,0)))))</f>
        <v>1831</v>
      </c>
      <c r="Z36" s="6">
        <f>IF(ISNA(MATCH(Z$2,Inputs!$K$4:$AJ$4,0)),NA(),IF(SUMPRODUCT((Inputs!$A$5:$A$130=$B36)*ISNUMBER(INDEX(Inputs!$K$5:$AJ$130,0,MATCH(Z$2,Inputs!$K$4:$AJ$4,0))))+SUMPRODUCT((Inputs!$C$5:$C$130=$B36)*ISNUMBER(INDEX(Inputs!$K$5:$AJ$130,0,MATCH(Z$2,Inputs!$K$4:$AJ$4,0))))+SUMPRODUCT((Inputs!$E$5:$E$130=$B36)*ISNUMBER(INDEX(Inputs!$K$5:$AJ$130,0,MATCH(Z$2,Inputs!$K$4:$AJ$4,0))))=0,NA(),SUMPRODUCT((Inputs!$A$5:$A$130=$B36)*Inputs!$B$5:$B$130*(((Inputs!$G$5:$G$130="moeda")+(Inputs!$G$5:$G$130="acoes"))*Inputs!$B$1+((Inputs!$G$5:$G$130&lt;&gt;"moeda")*(Inputs!$G$5:$G$130&lt;&gt;"acoes")))*INDEX(Inputs!$K$5:$AJ$130,0,MATCH(Z$2,Inputs!$K$4:$AJ$4,0)))+SUMPRODUCT((Inputs!$C$5:$C$130=$B36)*Inputs!$D$5:$D$130*(((Inputs!$G$5:$G$130="moeda")+(Inputs!$G$5:$G$130="acoes"))*Inputs!$B$1+((Inputs!$G$5:$G$130&lt;&gt;"moeda")*(Inputs!$G$5:$G$130&lt;&gt;"acoes")))*INDEX(Inputs!$K$5:$AJ$130,0,MATCH(Z$2,Inputs!$K$4:$AJ$4,0)))+SUMPRODUCT((Inputs!$E$5:$E$130=$B36)*Inputs!$F$5:$F$130*(((Inputs!$G$5:$G$130="moeda")+(Inputs!$G$5:$G$130="acoes"))*Inputs!$B$1+((Inputs!$G$5:$G$130&lt;&gt;"moeda")*(Inputs!$G$5:$G$130&lt;&gt;"acoes")))*INDEX(Inputs!$K$5:$AJ$130,0,MATCH(Z$2,Inputs!$K$4:$AJ$4,0)))))</f>
        <v>2014</v>
      </c>
      <c r="AA36" s="6">
        <f>IF(ISNA(MATCH(AA$2,Inputs!$K$4:$AJ$4,0)),NA(),IF(SUMPRODUCT((Inputs!$A$5:$A$130=$B36)*ISNUMBER(INDEX(Inputs!$K$5:$AJ$130,0,MATCH(AA$2,Inputs!$K$4:$AJ$4,0))))+SUMPRODUCT((Inputs!$C$5:$C$130=$B36)*ISNUMBER(INDEX(Inputs!$K$5:$AJ$130,0,MATCH(AA$2,Inputs!$K$4:$AJ$4,0))))+SUMPRODUCT((Inputs!$E$5:$E$130=$B36)*ISNUMBER(INDEX(Inputs!$K$5:$AJ$130,0,MATCH(AA$2,Inputs!$K$4:$AJ$4,0))))=0,NA(),SUMPRODUCT((Inputs!$A$5:$A$130=$B36)*Inputs!$B$5:$B$130*(((Inputs!$G$5:$G$130="moeda")+(Inputs!$G$5:$G$130="acoes"))*Inputs!$B$1+((Inputs!$G$5:$G$130&lt;&gt;"moeda")*(Inputs!$G$5:$G$130&lt;&gt;"acoes")))*INDEX(Inputs!$K$5:$AJ$130,0,MATCH(AA$2,Inputs!$K$4:$AJ$4,0)))+SUMPRODUCT((Inputs!$C$5:$C$130=$B36)*Inputs!$D$5:$D$130*(((Inputs!$G$5:$G$130="moeda")+(Inputs!$G$5:$G$130="acoes"))*Inputs!$B$1+((Inputs!$G$5:$G$130&lt;&gt;"moeda")*(Inputs!$G$5:$G$130&lt;&gt;"acoes")))*INDEX(Inputs!$K$5:$AJ$130,0,MATCH(AA$2,Inputs!$K$4:$AJ$4,0)))+SUMPRODUCT((Inputs!$E$5:$E$130=$B36)*Inputs!$F$5:$F$130*(((Inputs!$G$5:$G$130="moeda")+(Inputs!$G$5:$G$130="acoes"))*Inputs!$B$1+((Inputs!$G$5:$G$130&lt;&gt;"moeda")*(Inputs!$G$5:$G$130&lt;&gt;"acoes")))*INDEX(Inputs!$K$5:$AJ$130,0,MATCH(AA$2,Inputs!$K$4:$AJ$4,0)))))</f>
        <v>2572</v>
      </c>
      <c r="AB36" s="3">
        <f>AA36</f>
        <v>2572</v>
      </c>
      <c r="AC36" s="6">
        <f>IF(ISNA(MATCH(AC$2,Inputs!$K$4:$AJ$4,0)),NA(),IF(SUMPRODUCT((Inputs!$A$5:$A$130=$B36)*ISNUMBER(INDEX(Inputs!$K$5:$AJ$130,0,MATCH(AC$2,Inputs!$K$4:$AJ$4,0))))+SUMPRODUCT((Inputs!$C$5:$C$130=$B36)*ISNUMBER(INDEX(Inputs!$K$5:$AJ$130,0,MATCH(AC$2,Inputs!$K$4:$AJ$4,0))))+SUMPRODUCT((Inputs!$E$5:$E$130=$B36)*ISNUMBER(INDEX(Inputs!$K$5:$AJ$130,0,MATCH(AC$2,Inputs!$K$4:$AJ$4,0))))=0,NA(),SUMPRODUCT((Inputs!$A$5:$A$130=$B36)*Inputs!$B$5:$B$130*(((Inputs!$G$5:$G$130="moeda")+(Inputs!$G$5:$G$130="acoes"))*Inputs!$B$1+((Inputs!$G$5:$G$130&lt;&gt;"moeda")*(Inputs!$G$5:$G$130&lt;&gt;"acoes")))*INDEX(Inputs!$K$5:$AJ$130,0,MATCH(AC$2,Inputs!$K$4:$AJ$4,0)))+SUMPRODUCT((Inputs!$C$5:$C$130=$B36)*Inputs!$D$5:$D$130*(((Inputs!$G$5:$G$130="moeda")+(Inputs!$G$5:$G$130="acoes"))*Inputs!$B$1+((Inputs!$G$5:$G$130&lt;&gt;"moeda")*(Inputs!$G$5:$G$130&lt;&gt;"acoes")))*INDEX(Inputs!$K$5:$AJ$130,0,MATCH(AC$2,Inputs!$K$4:$AJ$4,0)))+SUMPRODUCT((Inputs!$E$5:$E$130=$B36)*Inputs!$F$5:$F$130*(((Inputs!$G$5:$G$130="moeda")+(Inputs!$G$5:$G$130="acoes"))*Inputs!$B$1+((Inputs!$G$5:$G$130&lt;&gt;"moeda")*(Inputs!$G$5:$G$130&lt;&gt;"acoes")))*INDEX(Inputs!$K$5:$AJ$130,0,MATCH(AC$2,Inputs!$K$4:$AJ$4,0)))))</f>
        <v>3878</v>
      </c>
      <c r="AD36" s="6">
        <f>IF(ISNA(MATCH(AD$2,Inputs!$K$4:$AJ$4,0)),NA(),IF(SUMPRODUCT((Inputs!$A$5:$A$130=$B36)*ISNUMBER(INDEX(Inputs!$K$5:$AJ$130,0,MATCH(AD$2,Inputs!$K$4:$AJ$4,0))))+SUMPRODUCT((Inputs!$C$5:$C$130=$B36)*ISNUMBER(INDEX(Inputs!$K$5:$AJ$130,0,MATCH(AD$2,Inputs!$K$4:$AJ$4,0))))+SUMPRODUCT((Inputs!$E$5:$E$130=$B36)*ISNUMBER(INDEX(Inputs!$K$5:$AJ$130,0,MATCH(AD$2,Inputs!$K$4:$AJ$4,0))))=0,NA(),SUMPRODUCT((Inputs!$A$5:$A$130=$B36)*Inputs!$B$5:$B$130*(((Inputs!$G$5:$G$130="moeda")+(Inputs!$G$5:$G$130="acoes"))*Inputs!$B$1+((Inputs!$G$5:$G$130&lt;&gt;"moeda")*(Inputs!$G$5:$G$130&lt;&gt;"acoes")))*INDEX(Inputs!$K$5:$AJ$130,0,MATCH(AD$2,Inputs!$K$4:$AJ$4,0)))+SUMPRODUCT((Inputs!$C$5:$C$130=$B36)*Inputs!$D$5:$D$130*(((Inputs!$G$5:$G$130="moeda")+(Inputs!$G$5:$G$130="acoes"))*Inputs!$B$1+((Inputs!$G$5:$G$130&lt;&gt;"moeda")*(Inputs!$G$5:$G$130&lt;&gt;"acoes")))*INDEX(Inputs!$K$5:$AJ$130,0,MATCH(AD$2,Inputs!$K$4:$AJ$4,0)))+SUMPRODUCT((Inputs!$E$5:$E$130=$B36)*Inputs!$F$5:$F$130*(((Inputs!$G$5:$G$130="moeda")+(Inputs!$G$5:$G$130="acoes"))*Inputs!$B$1+((Inputs!$G$5:$G$130&lt;&gt;"moeda")*(Inputs!$G$5:$G$130&lt;&gt;"acoes")))*INDEX(Inputs!$K$5:$AJ$130,0,MATCH(AD$2,Inputs!$K$4:$AJ$4,0)))))</f>
        <v>4985</v>
      </c>
      <c r="AE36" s="6" t="e">
        <f>IF(ISNA(MATCH(AE$2,Inputs!$K$4:$AJ$4,0)),NA(),IF(SUMPRODUCT((Inputs!$A$5:$A$130=$B36)*ISNUMBER(INDEX(Inputs!$K$5:$AJ$130,0,MATCH(AE$2,Inputs!$K$4:$AJ$4,0))))+SUMPRODUCT((Inputs!$C$5:$C$130=$B36)*ISNUMBER(INDEX(Inputs!$K$5:$AJ$130,0,MATCH(AE$2,Inputs!$K$4:$AJ$4,0))))+SUMPRODUCT((Inputs!$E$5:$E$130=$B36)*ISNUMBER(INDEX(Inputs!$K$5:$AJ$130,0,MATCH(AE$2,Inputs!$K$4:$AJ$4,0))))=0,NA(),SUMPRODUCT((Inputs!$A$5:$A$130=$B36)*Inputs!$B$5:$B$130*(((Inputs!$G$5:$G$130="moeda")+(Inputs!$G$5:$G$130="acoes"))*Inputs!$B$1+((Inputs!$G$5:$G$130&lt;&gt;"moeda")*(Inputs!$G$5:$G$130&lt;&gt;"acoes")))*INDEX(Inputs!$K$5:$AJ$130,0,MATCH(AE$2,Inputs!$K$4:$AJ$4,0)))+SUMPRODUCT((Inputs!$C$5:$C$130=$B36)*Inputs!$D$5:$D$130*(((Inputs!$G$5:$G$130="moeda")+(Inputs!$G$5:$G$130="acoes"))*Inputs!$B$1+((Inputs!$G$5:$G$130&lt;&gt;"moeda")*(Inputs!$G$5:$G$130&lt;&gt;"acoes")))*INDEX(Inputs!$K$5:$AJ$130,0,MATCH(AE$2,Inputs!$K$4:$AJ$4,0)))+SUMPRODUCT((Inputs!$E$5:$E$130=$B36)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6" s="6" t="e">
        <f>IF(ISNA(MATCH(AF$2,Inputs!$K$4:$AJ$4,0)),NA(),IF(SUMPRODUCT((Inputs!$A$5:$A$130=$B36)*ISNUMBER(INDEX(Inputs!$K$5:$AJ$130,0,MATCH(AF$2,Inputs!$K$4:$AJ$4,0))))+SUMPRODUCT((Inputs!$C$5:$C$130=$B36)*ISNUMBER(INDEX(Inputs!$K$5:$AJ$130,0,MATCH(AF$2,Inputs!$K$4:$AJ$4,0))))+SUMPRODUCT((Inputs!$E$5:$E$130=$B36)*ISNUMBER(INDEX(Inputs!$K$5:$AJ$130,0,MATCH(AF$2,Inputs!$K$4:$AJ$4,0))))=0,NA(),SUMPRODUCT((Inputs!$A$5:$A$130=$B36)*Inputs!$B$5:$B$130*(((Inputs!$G$5:$G$130="moeda")+(Inputs!$G$5:$G$130="acoes"))*Inputs!$B$1+((Inputs!$G$5:$G$130&lt;&gt;"moeda")*(Inputs!$G$5:$G$130&lt;&gt;"acoes")))*INDEX(Inputs!$K$5:$AJ$130,0,MATCH(AF$2,Inputs!$K$4:$AJ$4,0)))+SUMPRODUCT((Inputs!$C$5:$C$130=$B36)*Inputs!$D$5:$D$130*(((Inputs!$G$5:$G$130="moeda")+(Inputs!$G$5:$G$130="acoes"))*Inputs!$B$1+((Inputs!$G$5:$G$130&lt;&gt;"moeda")*(Inputs!$G$5:$G$130&lt;&gt;"acoes")))*INDEX(Inputs!$K$5:$AJ$130,0,MATCH(AF$2,Inputs!$K$4:$AJ$4,0)))+SUMPRODUCT((Inputs!$E$5:$E$130=$B36)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6" s="3" t="e">
        <f>AF36</f>
        <v>#N/A</v>
      </c>
      <c r="AH36" s="6">
        <f>IF(ISNA(MATCH(AH$2,Inputs!$K$4:$AJ$4,0)),NA(),IF(SUMPRODUCT((Inputs!$A$5:$A$130=$B36)*ISNUMBER(INDEX(Inputs!$K$5:$AJ$130,0,MATCH(AH$2,Inputs!$K$4:$AJ$4,0))))+SUMPRODUCT((Inputs!$C$5:$C$130=$B36)*ISNUMBER(INDEX(Inputs!$K$5:$AJ$130,0,MATCH(AH$2,Inputs!$K$4:$AJ$4,0))))+SUMPRODUCT((Inputs!$E$5:$E$130=$B36)*ISNUMBER(INDEX(Inputs!$K$5:$AJ$130,0,MATCH(AH$2,Inputs!$K$4:$AJ$4,0))))=0,NA(),SUMPRODUCT((Inputs!$A$5:$A$130=$B36)*Inputs!$B$5:$B$130*(((Inputs!$G$5:$G$130="moeda")+(Inputs!$G$5:$G$130="acoes"))*Inputs!$B$1+((Inputs!$G$5:$G$130&lt;&gt;"moeda")*(Inputs!$G$5:$G$130&lt;&gt;"acoes")))*INDEX(Inputs!$K$5:$AJ$130,0,MATCH(AH$2,Inputs!$K$4:$AJ$4,0)))+SUMPRODUCT((Inputs!$C$5:$C$130=$B36)*Inputs!$D$5:$D$130*(((Inputs!$G$5:$G$130="moeda")+(Inputs!$G$5:$G$130="acoes"))*Inputs!$B$1+((Inputs!$G$5:$G$130&lt;&gt;"moeda")*(Inputs!$G$5:$G$130&lt;&gt;"acoes")))*INDEX(Inputs!$K$5:$AJ$130,0,MATCH(AH$2,Inputs!$K$4:$AJ$4,0)))+SUMPRODUCT((Inputs!$E$5:$E$130=$B36)*Inputs!$F$5:$F$130*(((Inputs!$G$5:$G$130="moeda")+(Inputs!$G$5:$G$130="acoes"))*Inputs!$B$1+((Inputs!$G$5:$G$130&lt;&gt;"moeda")*(Inputs!$G$5:$G$130&lt;&gt;"acoes")))*INDEX(Inputs!$K$5:$AJ$130,0,MATCH(AH$2,Inputs!$K$4:$AJ$4,0)))))</f>
        <v>519</v>
      </c>
      <c r="AI36" s="6">
        <f>IF(ISNA(MATCH(AI$2,Inputs!$K$4:$AJ$4,0)),NA(),IF(SUMPRODUCT((Inputs!$A$5:$A$130=$B36)*ISNUMBER(INDEX(Inputs!$K$5:$AJ$130,0,MATCH(AI$2,Inputs!$K$4:$AJ$4,0))))+SUMPRODUCT((Inputs!$C$5:$C$130=$B36)*ISNUMBER(INDEX(Inputs!$K$5:$AJ$130,0,MATCH(AI$2,Inputs!$K$4:$AJ$4,0))))+SUMPRODUCT((Inputs!$E$5:$E$130=$B36)*ISNUMBER(INDEX(Inputs!$K$5:$AJ$130,0,MATCH(AI$2,Inputs!$K$4:$AJ$4,0))))=0,NA(),SUMPRODUCT((Inputs!$A$5:$A$130=$B36)*Inputs!$B$5:$B$130*(((Inputs!$G$5:$G$130="moeda")+(Inputs!$G$5:$G$130="acoes"))*Inputs!$B$1+((Inputs!$G$5:$G$130&lt;&gt;"moeda")*(Inputs!$G$5:$G$130&lt;&gt;"acoes")))*INDEX(Inputs!$K$5:$AJ$130,0,MATCH(AI$2,Inputs!$K$4:$AJ$4,0)))+SUMPRODUCT((Inputs!$C$5:$C$130=$B36)*Inputs!$D$5:$D$130*(((Inputs!$G$5:$G$130="moeda")+(Inputs!$G$5:$G$130="acoes"))*Inputs!$B$1+((Inputs!$G$5:$G$130&lt;&gt;"moeda")*(Inputs!$G$5:$G$130&lt;&gt;"acoes")))*INDEX(Inputs!$K$5:$AJ$130,0,MATCH(AI$2,Inputs!$K$4:$AJ$4,0)))+SUMPRODUCT((Inputs!$E$5:$E$130=$B36)*Inputs!$F$5:$F$130*(((Inputs!$G$5:$G$130="moeda")+(Inputs!$G$5:$G$130="acoes"))*Inputs!$B$1+((Inputs!$G$5:$G$130&lt;&gt;"moeda")*(Inputs!$G$5:$G$130&lt;&gt;"acoes")))*INDEX(Inputs!$K$5:$AJ$130,0,MATCH(AI$2,Inputs!$K$4:$AJ$4,0)))))</f>
        <v>611</v>
      </c>
      <c r="AJ36" s="6">
        <f>IF(ISNA(MATCH(AJ$2,Inputs!$K$4:$AJ$4,0)),NA(),IF(SUMPRODUCT((Inputs!$A$5:$A$130=$B36)*ISNUMBER(INDEX(Inputs!$K$5:$AJ$130,0,MATCH(AJ$2,Inputs!$K$4:$AJ$4,0))))+SUMPRODUCT((Inputs!$C$5:$C$130=$B36)*ISNUMBER(INDEX(Inputs!$K$5:$AJ$130,0,MATCH(AJ$2,Inputs!$K$4:$AJ$4,0))))+SUMPRODUCT((Inputs!$E$5:$E$130=$B36)*ISNUMBER(INDEX(Inputs!$K$5:$AJ$130,0,MATCH(AJ$2,Inputs!$K$4:$AJ$4,0))))=0,NA(),SUMPRODUCT((Inputs!$A$5:$A$130=$B36)*Inputs!$B$5:$B$130*(((Inputs!$G$5:$G$130="moeda")+(Inputs!$G$5:$G$130="acoes"))*Inputs!$B$1+((Inputs!$G$5:$G$130&lt;&gt;"moeda")*(Inputs!$G$5:$G$130&lt;&gt;"acoes")))*INDEX(Inputs!$K$5:$AJ$130,0,MATCH(AJ$2,Inputs!$K$4:$AJ$4,0)))+SUMPRODUCT((Inputs!$C$5:$C$130=$B36)*Inputs!$D$5:$D$130*(((Inputs!$G$5:$G$130="moeda")+(Inputs!$G$5:$G$130="acoes"))*Inputs!$B$1+((Inputs!$G$5:$G$130&lt;&gt;"moeda")*(Inputs!$G$5:$G$130&lt;&gt;"acoes")))*INDEX(Inputs!$K$5:$AJ$130,0,MATCH(AJ$2,Inputs!$K$4:$AJ$4,0)))+SUMPRODUCT((Inputs!$E$5:$E$130=$B36)*Inputs!$F$5:$F$130*(((Inputs!$G$5:$G$130="moeda")+(Inputs!$G$5:$G$130="acoes"))*Inputs!$B$1+((Inputs!$G$5:$G$130&lt;&gt;"moeda")*(Inputs!$G$5:$G$130&lt;&gt;"acoes")))*INDEX(Inputs!$K$5:$AJ$130,0,MATCH(AJ$2,Inputs!$K$4:$AJ$4,0)))))</f>
        <v>604</v>
      </c>
      <c r="AK36" s="6">
        <f>IF(ISNA(MATCH(AK$2,Inputs!$K$4:$AJ$4,0)),NA(),IF(SUMPRODUCT((Inputs!$A$5:$A$130=$B36)*ISNUMBER(INDEX(Inputs!$K$5:$AJ$130,0,MATCH(AK$2,Inputs!$K$4:$AJ$4,0))))+SUMPRODUCT((Inputs!$C$5:$C$130=$B36)*ISNUMBER(INDEX(Inputs!$K$5:$AJ$130,0,MATCH(AK$2,Inputs!$K$4:$AJ$4,0))))+SUMPRODUCT((Inputs!$E$5:$E$130=$B36)*ISNUMBER(INDEX(Inputs!$K$5:$AJ$130,0,MATCH(AK$2,Inputs!$K$4:$AJ$4,0))))=0,NA(),SUMPRODUCT((Inputs!$A$5:$A$130=$B36)*Inputs!$B$5:$B$130*(((Inputs!$G$5:$G$130="moeda")+(Inputs!$G$5:$G$130="acoes"))*Inputs!$B$1+((Inputs!$G$5:$G$130&lt;&gt;"moeda")*(Inputs!$G$5:$G$130&lt;&gt;"acoes")))*INDEX(Inputs!$K$5:$AJ$130,0,MATCH(AK$2,Inputs!$K$4:$AJ$4,0)))+SUMPRODUCT((Inputs!$C$5:$C$130=$B36)*Inputs!$D$5:$D$130*(((Inputs!$G$5:$G$130="moeda")+(Inputs!$G$5:$G$130="acoes"))*Inputs!$B$1+((Inputs!$G$5:$G$130&lt;&gt;"moeda")*(Inputs!$G$5:$G$130&lt;&gt;"acoes")))*INDEX(Inputs!$K$5:$AJ$130,0,MATCH(AK$2,Inputs!$K$4:$AJ$4,0)))+SUMPRODUCT((Inputs!$E$5:$E$130=$B36)*Inputs!$F$5:$F$130*(((Inputs!$G$5:$G$130="moeda")+(Inputs!$G$5:$G$130="acoes"))*Inputs!$B$1+((Inputs!$G$5:$G$130&lt;&gt;"moeda")*(Inputs!$G$5:$G$130&lt;&gt;"acoes")))*INDEX(Inputs!$K$5:$AJ$130,0,MATCH(AK$2,Inputs!$K$4:$AJ$4,0)))))</f>
        <v>634</v>
      </c>
      <c r="AL36" s="3">
        <f>AK36</f>
        <v>634</v>
      </c>
    </row>
    <row r="37">
      <c r="B37" s="46" t="n">
        <v>32</v>
      </c>
      <c r="C37" s="26" t="inlineStr">
        <is>
          <t>Convertible debt</t>
        </is>
      </c>
      <c r="D37" s="6" t="e">
        <f>IF(ISNA(MATCH(D$2,Inputs!$K$4:$AJ$4,0)),NA(),IF(SUMPRODUCT((Inputs!$A$5:$A$130=$B37)*ISNUMBER(INDEX(Inputs!$K$5:$AJ$130,0,MATCH(D$2,Inputs!$K$4:$AJ$4,0))))+SUMPRODUCT((Inputs!$C$5:$C$130=$B37)*ISNUMBER(INDEX(Inputs!$K$5:$AJ$130,0,MATCH(D$2,Inputs!$K$4:$AJ$4,0))))+SUMPRODUCT((Inputs!$E$5:$E$130=$B37)*ISNUMBER(INDEX(Inputs!$K$5:$AJ$130,0,MATCH(D$2,Inputs!$K$4:$AJ$4,0))))=0,NA(),SUMPRODUCT((Inputs!$A$5:$A$130=$B37)*Inputs!$B$5:$B$130*(((Inputs!$G$5:$G$130="moeda")+(Inputs!$G$5:$G$130="acoes"))*Inputs!$B$1+((Inputs!$G$5:$G$130&lt;&gt;"moeda")*(Inputs!$G$5:$G$130&lt;&gt;"acoes")))*INDEX(Inputs!$K$5:$AJ$130,0,MATCH(D$2,Inputs!$K$4:$AJ$4,0)))+SUMPRODUCT((Inputs!$C$5:$C$130=$B37)*Inputs!$D$5:$D$130*(((Inputs!$G$5:$G$130="moeda")+(Inputs!$G$5:$G$130="acoes"))*Inputs!$B$1+((Inputs!$G$5:$G$130&lt;&gt;"moeda")*(Inputs!$G$5:$G$130&lt;&gt;"acoes")))*INDEX(Inputs!$K$5:$AJ$130,0,MATCH(D$2,Inputs!$K$4:$AJ$4,0)))+SUMPRODUCT((Inputs!$E$5:$E$130=$B37)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37" s="6" t="e">
        <f>IF(ISNA(MATCH(E$2,Inputs!$K$4:$AJ$4,0)),NA(),IF(SUMPRODUCT((Inputs!$A$5:$A$130=$B37)*ISNUMBER(INDEX(Inputs!$K$5:$AJ$130,0,MATCH(E$2,Inputs!$K$4:$AJ$4,0))))+SUMPRODUCT((Inputs!$C$5:$C$130=$B37)*ISNUMBER(INDEX(Inputs!$K$5:$AJ$130,0,MATCH(E$2,Inputs!$K$4:$AJ$4,0))))+SUMPRODUCT((Inputs!$E$5:$E$130=$B37)*ISNUMBER(INDEX(Inputs!$K$5:$AJ$130,0,MATCH(E$2,Inputs!$K$4:$AJ$4,0))))=0,NA(),SUMPRODUCT((Inputs!$A$5:$A$130=$B37)*Inputs!$B$5:$B$130*(((Inputs!$G$5:$G$130="moeda")+(Inputs!$G$5:$G$130="acoes"))*Inputs!$B$1+((Inputs!$G$5:$G$130&lt;&gt;"moeda")*(Inputs!$G$5:$G$130&lt;&gt;"acoes")))*INDEX(Inputs!$K$5:$AJ$130,0,MATCH(E$2,Inputs!$K$4:$AJ$4,0)))+SUMPRODUCT((Inputs!$C$5:$C$130=$B37)*Inputs!$D$5:$D$130*(((Inputs!$G$5:$G$130="moeda")+(Inputs!$G$5:$G$130="acoes"))*Inputs!$B$1+((Inputs!$G$5:$G$130&lt;&gt;"moeda")*(Inputs!$G$5:$G$130&lt;&gt;"acoes")))*INDEX(Inputs!$K$5:$AJ$130,0,MATCH(E$2,Inputs!$K$4:$AJ$4,0)))+SUMPRODUCT((Inputs!$E$5:$E$130=$B37)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37" s="6" t="e">
        <f>IF(ISNA(MATCH(F$2,Inputs!$K$4:$AJ$4,0)),NA(),IF(SUMPRODUCT((Inputs!$A$5:$A$130=$B37)*ISNUMBER(INDEX(Inputs!$K$5:$AJ$130,0,MATCH(F$2,Inputs!$K$4:$AJ$4,0))))+SUMPRODUCT((Inputs!$C$5:$C$130=$B37)*ISNUMBER(INDEX(Inputs!$K$5:$AJ$130,0,MATCH(F$2,Inputs!$K$4:$AJ$4,0))))+SUMPRODUCT((Inputs!$E$5:$E$130=$B37)*ISNUMBER(INDEX(Inputs!$K$5:$AJ$130,0,MATCH(F$2,Inputs!$K$4:$AJ$4,0))))=0,NA(),SUMPRODUCT((Inputs!$A$5:$A$130=$B37)*Inputs!$B$5:$B$130*(((Inputs!$G$5:$G$130="moeda")+(Inputs!$G$5:$G$130="acoes"))*Inputs!$B$1+((Inputs!$G$5:$G$130&lt;&gt;"moeda")*(Inputs!$G$5:$G$130&lt;&gt;"acoes")))*INDEX(Inputs!$K$5:$AJ$130,0,MATCH(F$2,Inputs!$K$4:$AJ$4,0)))+SUMPRODUCT((Inputs!$C$5:$C$130=$B37)*Inputs!$D$5:$D$130*(((Inputs!$G$5:$G$130="moeda")+(Inputs!$G$5:$G$130="acoes"))*Inputs!$B$1+((Inputs!$G$5:$G$130&lt;&gt;"moeda")*(Inputs!$G$5:$G$130&lt;&gt;"acoes")))*INDEX(Inputs!$K$5:$AJ$130,0,MATCH(F$2,Inputs!$K$4:$AJ$4,0)))+SUMPRODUCT((Inputs!$E$5:$E$130=$B37)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37" s="6" t="e">
        <f>IF(ISNA(MATCH(G$2,Inputs!$K$4:$AJ$4,0)),NA(),IF(SUMPRODUCT((Inputs!$A$5:$A$130=$B37)*ISNUMBER(INDEX(Inputs!$K$5:$AJ$130,0,MATCH(G$2,Inputs!$K$4:$AJ$4,0))))+SUMPRODUCT((Inputs!$C$5:$C$130=$B37)*ISNUMBER(INDEX(Inputs!$K$5:$AJ$130,0,MATCH(G$2,Inputs!$K$4:$AJ$4,0))))+SUMPRODUCT((Inputs!$E$5:$E$130=$B37)*ISNUMBER(INDEX(Inputs!$K$5:$AJ$130,0,MATCH(G$2,Inputs!$K$4:$AJ$4,0))))=0,NA(),SUMPRODUCT((Inputs!$A$5:$A$130=$B37)*Inputs!$B$5:$B$130*(((Inputs!$G$5:$G$130="moeda")+(Inputs!$G$5:$G$130="acoes"))*Inputs!$B$1+((Inputs!$G$5:$G$130&lt;&gt;"moeda")*(Inputs!$G$5:$G$130&lt;&gt;"acoes")))*INDEX(Inputs!$K$5:$AJ$130,0,MATCH(G$2,Inputs!$K$4:$AJ$4,0)))+SUMPRODUCT((Inputs!$C$5:$C$130=$B37)*Inputs!$D$5:$D$130*(((Inputs!$G$5:$G$130="moeda")+(Inputs!$G$5:$G$130="acoes"))*Inputs!$B$1+((Inputs!$G$5:$G$130&lt;&gt;"moeda")*(Inputs!$G$5:$G$130&lt;&gt;"acoes")))*INDEX(Inputs!$K$5:$AJ$130,0,MATCH(G$2,Inputs!$K$4:$AJ$4,0)))+SUMPRODUCT((Inputs!$E$5:$E$130=$B37)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37" s="3" t="e">
        <f>G37</f>
        <v>#N/A</v>
      </c>
      <c r="I37" s="6" t="e">
        <f>IF(ISNA(MATCH(I$2,Inputs!$K$4:$AJ$4,0)),NA(),IF(SUMPRODUCT((Inputs!$A$5:$A$130=$B37)*ISNUMBER(INDEX(Inputs!$K$5:$AJ$130,0,MATCH(I$2,Inputs!$K$4:$AJ$4,0))))+SUMPRODUCT((Inputs!$C$5:$C$130=$B37)*ISNUMBER(INDEX(Inputs!$K$5:$AJ$130,0,MATCH(I$2,Inputs!$K$4:$AJ$4,0))))+SUMPRODUCT((Inputs!$E$5:$E$130=$B37)*ISNUMBER(INDEX(Inputs!$K$5:$AJ$130,0,MATCH(I$2,Inputs!$K$4:$AJ$4,0))))=0,NA(),SUMPRODUCT((Inputs!$A$5:$A$130=$B37)*Inputs!$B$5:$B$130*(((Inputs!$G$5:$G$130="moeda")+(Inputs!$G$5:$G$130="acoes"))*Inputs!$B$1+((Inputs!$G$5:$G$130&lt;&gt;"moeda")*(Inputs!$G$5:$G$130&lt;&gt;"acoes")))*INDEX(Inputs!$K$5:$AJ$130,0,MATCH(I$2,Inputs!$K$4:$AJ$4,0)))+SUMPRODUCT((Inputs!$C$5:$C$130=$B37)*Inputs!$D$5:$D$130*(((Inputs!$G$5:$G$130="moeda")+(Inputs!$G$5:$G$130="acoes"))*Inputs!$B$1+((Inputs!$G$5:$G$130&lt;&gt;"moeda")*(Inputs!$G$5:$G$130&lt;&gt;"acoes")))*INDEX(Inputs!$K$5:$AJ$130,0,MATCH(I$2,Inputs!$K$4:$AJ$4,0)))+SUMPRODUCT((Inputs!$E$5:$E$130=$B37)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37" s="6" t="e">
        <f>IF(ISNA(MATCH(J$2,Inputs!$K$4:$AJ$4,0)),NA(),IF(SUMPRODUCT((Inputs!$A$5:$A$130=$B37)*ISNUMBER(INDEX(Inputs!$K$5:$AJ$130,0,MATCH(J$2,Inputs!$K$4:$AJ$4,0))))+SUMPRODUCT((Inputs!$C$5:$C$130=$B37)*ISNUMBER(INDEX(Inputs!$K$5:$AJ$130,0,MATCH(J$2,Inputs!$K$4:$AJ$4,0))))+SUMPRODUCT((Inputs!$E$5:$E$130=$B37)*ISNUMBER(INDEX(Inputs!$K$5:$AJ$130,0,MATCH(J$2,Inputs!$K$4:$AJ$4,0))))=0,NA(),SUMPRODUCT((Inputs!$A$5:$A$130=$B37)*Inputs!$B$5:$B$130*(((Inputs!$G$5:$G$130="moeda")+(Inputs!$G$5:$G$130="acoes"))*Inputs!$B$1+((Inputs!$G$5:$G$130&lt;&gt;"moeda")*(Inputs!$G$5:$G$130&lt;&gt;"acoes")))*INDEX(Inputs!$K$5:$AJ$130,0,MATCH(J$2,Inputs!$K$4:$AJ$4,0)))+SUMPRODUCT((Inputs!$C$5:$C$130=$B37)*Inputs!$D$5:$D$130*(((Inputs!$G$5:$G$130="moeda")+(Inputs!$G$5:$G$130="acoes"))*Inputs!$B$1+((Inputs!$G$5:$G$130&lt;&gt;"moeda")*(Inputs!$G$5:$G$130&lt;&gt;"acoes")))*INDEX(Inputs!$K$5:$AJ$130,0,MATCH(J$2,Inputs!$K$4:$AJ$4,0)))+SUMPRODUCT((Inputs!$E$5:$E$130=$B37)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37" s="6" t="e">
        <f>IF(ISNA(MATCH(K$2,Inputs!$K$4:$AJ$4,0)),NA(),IF(SUMPRODUCT((Inputs!$A$5:$A$130=$B37)*ISNUMBER(INDEX(Inputs!$K$5:$AJ$130,0,MATCH(K$2,Inputs!$K$4:$AJ$4,0))))+SUMPRODUCT((Inputs!$C$5:$C$130=$B37)*ISNUMBER(INDEX(Inputs!$K$5:$AJ$130,0,MATCH(K$2,Inputs!$K$4:$AJ$4,0))))+SUMPRODUCT((Inputs!$E$5:$E$130=$B37)*ISNUMBER(INDEX(Inputs!$K$5:$AJ$130,0,MATCH(K$2,Inputs!$K$4:$AJ$4,0))))=0,NA(),SUMPRODUCT((Inputs!$A$5:$A$130=$B37)*Inputs!$B$5:$B$130*(((Inputs!$G$5:$G$130="moeda")+(Inputs!$G$5:$G$130="acoes"))*Inputs!$B$1+((Inputs!$G$5:$G$130&lt;&gt;"moeda")*(Inputs!$G$5:$G$130&lt;&gt;"acoes")))*INDEX(Inputs!$K$5:$AJ$130,0,MATCH(K$2,Inputs!$K$4:$AJ$4,0)))+SUMPRODUCT((Inputs!$C$5:$C$130=$B37)*Inputs!$D$5:$D$130*(((Inputs!$G$5:$G$130="moeda")+(Inputs!$G$5:$G$130="acoes"))*Inputs!$B$1+((Inputs!$G$5:$G$130&lt;&gt;"moeda")*(Inputs!$G$5:$G$130&lt;&gt;"acoes")))*INDEX(Inputs!$K$5:$AJ$130,0,MATCH(K$2,Inputs!$K$4:$AJ$4,0)))+SUMPRODUCT((Inputs!$E$5:$E$130=$B37)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37" s="6" t="e">
        <f>IF(ISNA(MATCH(L$2,Inputs!$K$4:$AJ$4,0)),NA(),IF(SUMPRODUCT((Inputs!$A$5:$A$130=$B37)*ISNUMBER(INDEX(Inputs!$K$5:$AJ$130,0,MATCH(L$2,Inputs!$K$4:$AJ$4,0))))+SUMPRODUCT((Inputs!$C$5:$C$130=$B37)*ISNUMBER(INDEX(Inputs!$K$5:$AJ$130,0,MATCH(L$2,Inputs!$K$4:$AJ$4,0))))+SUMPRODUCT((Inputs!$E$5:$E$130=$B37)*ISNUMBER(INDEX(Inputs!$K$5:$AJ$130,0,MATCH(L$2,Inputs!$K$4:$AJ$4,0))))=0,NA(),SUMPRODUCT((Inputs!$A$5:$A$130=$B37)*Inputs!$B$5:$B$130*(((Inputs!$G$5:$G$130="moeda")+(Inputs!$G$5:$G$130="acoes"))*Inputs!$B$1+((Inputs!$G$5:$G$130&lt;&gt;"moeda")*(Inputs!$G$5:$G$130&lt;&gt;"acoes")))*INDEX(Inputs!$K$5:$AJ$130,0,MATCH(L$2,Inputs!$K$4:$AJ$4,0)))+SUMPRODUCT((Inputs!$C$5:$C$130=$B37)*Inputs!$D$5:$D$130*(((Inputs!$G$5:$G$130="moeda")+(Inputs!$G$5:$G$130="acoes"))*Inputs!$B$1+((Inputs!$G$5:$G$130&lt;&gt;"moeda")*(Inputs!$G$5:$G$130&lt;&gt;"acoes")))*INDEX(Inputs!$K$5:$AJ$130,0,MATCH(L$2,Inputs!$K$4:$AJ$4,0)))+SUMPRODUCT((Inputs!$E$5:$E$130=$B37)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37" s="3" t="e">
        <f>L37</f>
        <v>#N/A</v>
      </c>
      <c r="N37" s="6" t="e">
        <f>IF(ISNA(MATCH(N$2,Inputs!$K$4:$AJ$4,0)),NA(),IF(SUMPRODUCT((Inputs!$A$5:$A$130=$B37)*ISNUMBER(INDEX(Inputs!$K$5:$AJ$130,0,MATCH(N$2,Inputs!$K$4:$AJ$4,0))))+SUMPRODUCT((Inputs!$C$5:$C$130=$B37)*ISNUMBER(INDEX(Inputs!$K$5:$AJ$130,0,MATCH(N$2,Inputs!$K$4:$AJ$4,0))))+SUMPRODUCT((Inputs!$E$5:$E$130=$B37)*ISNUMBER(INDEX(Inputs!$K$5:$AJ$130,0,MATCH(N$2,Inputs!$K$4:$AJ$4,0))))=0,NA(),SUMPRODUCT((Inputs!$A$5:$A$130=$B37)*Inputs!$B$5:$B$130*(((Inputs!$G$5:$G$130="moeda")+(Inputs!$G$5:$G$130="acoes"))*Inputs!$B$1+((Inputs!$G$5:$G$130&lt;&gt;"moeda")*(Inputs!$G$5:$G$130&lt;&gt;"acoes")))*INDEX(Inputs!$K$5:$AJ$130,0,MATCH(N$2,Inputs!$K$4:$AJ$4,0)))+SUMPRODUCT((Inputs!$C$5:$C$130=$B37)*Inputs!$D$5:$D$130*(((Inputs!$G$5:$G$130="moeda")+(Inputs!$G$5:$G$130="acoes"))*Inputs!$B$1+((Inputs!$G$5:$G$130&lt;&gt;"moeda")*(Inputs!$G$5:$G$130&lt;&gt;"acoes")))*INDEX(Inputs!$K$5:$AJ$130,0,MATCH(N$2,Inputs!$K$4:$AJ$4,0)))+SUMPRODUCT((Inputs!$E$5:$E$130=$B37)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37" s="6" t="e">
        <f>IF(ISNA(MATCH(O$2,Inputs!$K$4:$AJ$4,0)),NA(),IF(SUMPRODUCT((Inputs!$A$5:$A$130=$B37)*ISNUMBER(INDEX(Inputs!$K$5:$AJ$130,0,MATCH(O$2,Inputs!$K$4:$AJ$4,0))))+SUMPRODUCT((Inputs!$C$5:$C$130=$B37)*ISNUMBER(INDEX(Inputs!$K$5:$AJ$130,0,MATCH(O$2,Inputs!$K$4:$AJ$4,0))))+SUMPRODUCT((Inputs!$E$5:$E$130=$B37)*ISNUMBER(INDEX(Inputs!$K$5:$AJ$130,0,MATCH(O$2,Inputs!$K$4:$AJ$4,0))))=0,NA(),SUMPRODUCT((Inputs!$A$5:$A$130=$B37)*Inputs!$B$5:$B$130*(((Inputs!$G$5:$G$130="moeda")+(Inputs!$G$5:$G$130="acoes"))*Inputs!$B$1+((Inputs!$G$5:$G$130&lt;&gt;"moeda")*(Inputs!$G$5:$G$130&lt;&gt;"acoes")))*INDEX(Inputs!$K$5:$AJ$130,0,MATCH(O$2,Inputs!$K$4:$AJ$4,0)))+SUMPRODUCT((Inputs!$C$5:$C$130=$B37)*Inputs!$D$5:$D$130*(((Inputs!$G$5:$G$130="moeda")+(Inputs!$G$5:$G$130="acoes"))*Inputs!$B$1+((Inputs!$G$5:$G$130&lt;&gt;"moeda")*(Inputs!$G$5:$G$130&lt;&gt;"acoes")))*INDEX(Inputs!$K$5:$AJ$130,0,MATCH(O$2,Inputs!$K$4:$AJ$4,0)))+SUMPRODUCT((Inputs!$E$5:$E$130=$B37)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37" s="6" t="e">
        <f>IF(ISNA(MATCH(P$2,Inputs!$K$4:$AJ$4,0)),NA(),IF(SUMPRODUCT((Inputs!$A$5:$A$130=$B37)*ISNUMBER(INDEX(Inputs!$K$5:$AJ$130,0,MATCH(P$2,Inputs!$K$4:$AJ$4,0))))+SUMPRODUCT((Inputs!$C$5:$C$130=$B37)*ISNUMBER(INDEX(Inputs!$K$5:$AJ$130,0,MATCH(P$2,Inputs!$K$4:$AJ$4,0))))+SUMPRODUCT((Inputs!$E$5:$E$130=$B37)*ISNUMBER(INDEX(Inputs!$K$5:$AJ$130,0,MATCH(P$2,Inputs!$K$4:$AJ$4,0))))=0,NA(),SUMPRODUCT((Inputs!$A$5:$A$130=$B37)*Inputs!$B$5:$B$130*(((Inputs!$G$5:$G$130="moeda")+(Inputs!$G$5:$G$130="acoes"))*Inputs!$B$1+((Inputs!$G$5:$G$130&lt;&gt;"moeda")*(Inputs!$G$5:$G$130&lt;&gt;"acoes")))*INDEX(Inputs!$K$5:$AJ$130,0,MATCH(P$2,Inputs!$K$4:$AJ$4,0)))+SUMPRODUCT((Inputs!$C$5:$C$130=$B37)*Inputs!$D$5:$D$130*(((Inputs!$G$5:$G$130="moeda")+(Inputs!$G$5:$G$130="acoes"))*Inputs!$B$1+((Inputs!$G$5:$G$130&lt;&gt;"moeda")*(Inputs!$G$5:$G$130&lt;&gt;"acoes")))*INDEX(Inputs!$K$5:$AJ$130,0,MATCH(P$2,Inputs!$K$4:$AJ$4,0)))+SUMPRODUCT((Inputs!$E$5:$E$130=$B37)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37" s="6" t="e">
        <f>IF(ISNA(MATCH(Q$2,Inputs!$K$4:$AJ$4,0)),NA(),IF(SUMPRODUCT((Inputs!$A$5:$A$130=$B37)*ISNUMBER(INDEX(Inputs!$K$5:$AJ$130,0,MATCH(Q$2,Inputs!$K$4:$AJ$4,0))))+SUMPRODUCT((Inputs!$C$5:$C$130=$B37)*ISNUMBER(INDEX(Inputs!$K$5:$AJ$130,0,MATCH(Q$2,Inputs!$K$4:$AJ$4,0))))+SUMPRODUCT((Inputs!$E$5:$E$130=$B37)*ISNUMBER(INDEX(Inputs!$K$5:$AJ$130,0,MATCH(Q$2,Inputs!$K$4:$AJ$4,0))))=0,NA(),SUMPRODUCT((Inputs!$A$5:$A$130=$B37)*Inputs!$B$5:$B$130*(((Inputs!$G$5:$G$130="moeda")+(Inputs!$G$5:$G$130="acoes"))*Inputs!$B$1+((Inputs!$G$5:$G$130&lt;&gt;"moeda")*(Inputs!$G$5:$G$130&lt;&gt;"acoes")))*INDEX(Inputs!$K$5:$AJ$130,0,MATCH(Q$2,Inputs!$K$4:$AJ$4,0)))+SUMPRODUCT((Inputs!$C$5:$C$130=$B37)*Inputs!$D$5:$D$130*(((Inputs!$G$5:$G$130="moeda")+(Inputs!$G$5:$G$130="acoes"))*Inputs!$B$1+((Inputs!$G$5:$G$130&lt;&gt;"moeda")*(Inputs!$G$5:$G$130&lt;&gt;"acoes")))*INDEX(Inputs!$K$5:$AJ$130,0,MATCH(Q$2,Inputs!$K$4:$AJ$4,0)))+SUMPRODUCT((Inputs!$E$5:$E$130=$B37)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37" s="3" t="e">
        <f>Q37</f>
        <v>#N/A</v>
      </c>
      <c r="S37" s="6" t="e">
        <f>IF(ISNA(MATCH(S$2,Inputs!$K$4:$AJ$4,0)),NA(),IF(SUMPRODUCT((Inputs!$A$5:$A$130=$B37)*ISNUMBER(INDEX(Inputs!$K$5:$AJ$130,0,MATCH(S$2,Inputs!$K$4:$AJ$4,0))))+SUMPRODUCT((Inputs!$C$5:$C$130=$B37)*ISNUMBER(INDEX(Inputs!$K$5:$AJ$130,0,MATCH(S$2,Inputs!$K$4:$AJ$4,0))))+SUMPRODUCT((Inputs!$E$5:$E$130=$B37)*ISNUMBER(INDEX(Inputs!$K$5:$AJ$130,0,MATCH(S$2,Inputs!$K$4:$AJ$4,0))))=0,NA(),SUMPRODUCT((Inputs!$A$5:$A$130=$B37)*Inputs!$B$5:$B$130*(((Inputs!$G$5:$G$130="moeda")+(Inputs!$G$5:$G$130="acoes"))*Inputs!$B$1+((Inputs!$G$5:$G$130&lt;&gt;"moeda")*(Inputs!$G$5:$G$130&lt;&gt;"acoes")))*INDEX(Inputs!$K$5:$AJ$130,0,MATCH(S$2,Inputs!$K$4:$AJ$4,0)))+SUMPRODUCT((Inputs!$C$5:$C$130=$B37)*Inputs!$D$5:$D$130*(((Inputs!$G$5:$G$130="moeda")+(Inputs!$G$5:$G$130="acoes"))*Inputs!$B$1+((Inputs!$G$5:$G$130&lt;&gt;"moeda")*(Inputs!$G$5:$G$130&lt;&gt;"acoes")))*INDEX(Inputs!$K$5:$AJ$130,0,MATCH(S$2,Inputs!$K$4:$AJ$4,0)))+SUMPRODUCT((Inputs!$E$5:$E$130=$B37)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37" s="6" t="e">
        <f>IF(ISNA(MATCH(T$2,Inputs!$K$4:$AJ$4,0)),NA(),IF(SUMPRODUCT((Inputs!$A$5:$A$130=$B37)*ISNUMBER(INDEX(Inputs!$K$5:$AJ$130,0,MATCH(T$2,Inputs!$K$4:$AJ$4,0))))+SUMPRODUCT((Inputs!$C$5:$C$130=$B37)*ISNUMBER(INDEX(Inputs!$K$5:$AJ$130,0,MATCH(T$2,Inputs!$K$4:$AJ$4,0))))+SUMPRODUCT((Inputs!$E$5:$E$130=$B37)*ISNUMBER(INDEX(Inputs!$K$5:$AJ$130,0,MATCH(T$2,Inputs!$K$4:$AJ$4,0))))=0,NA(),SUMPRODUCT((Inputs!$A$5:$A$130=$B37)*Inputs!$B$5:$B$130*(((Inputs!$G$5:$G$130="moeda")+(Inputs!$G$5:$G$130="acoes"))*Inputs!$B$1+((Inputs!$G$5:$G$130&lt;&gt;"moeda")*(Inputs!$G$5:$G$130&lt;&gt;"acoes")))*INDEX(Inputs!$K$5:$AJ$130,0,MATCH(T$2,Inputs!$K$4:$AJ$4,0)))+SUMPRODUCT((Inputs!$C$5:$C$130=$B37)*Inputs!$D$5:$D$130*(((Inputs!$G$5:$G$130="moeda")+(Inputs!$G$5:$G$130="acoes"))*Inputs!$B$1+((Inputs!$G$5:$G$130&lt;&gt;"moeda")*(Inputs!$G$5:$G$130&lt;&gt;"acoes")))*INDEX(Inputs!$K$5:$AJ$130,0,MATCH(T$2,Inputs!$K$4:$AJ$4,0)))+SUMPRODUCT((Inputs!$E$5:$E$130=$B37)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37" s="6" t="e">
        <f>IF(ISNA(MATCH(U$2,Inputs!$K$4:$AJ$4,0)),NA(),IF(SUMPRODUCT((Inputs!$A$5:$A$130=$B37)*ISNUMBER(INDEX(Inputs!$K$5:$AJ$130,0,MATCH(U$2,Inputs!$K$4:$AJ$4,0))))+SUMPRODUCT((Inputs!$C$5:$C$130=$B37)*ISNUMBER(INDEX(Inputs!$K$5:$AJ$130,0,MATCH(U$2,Inputs!$K$4:$AJ$4,0))))+SUMPRODUCT((Inputs!$E$5:$E$130=$B37)*ISNUMBER(INDEX(Inputs!$K$5:$AJ$130,0,MATCH(U$2,Inputs!$K$4:$AJ$4,0))))=0,NA(),SUMPRODUCT((Inputs!$A$5:$A$130=$B37)*Inputs!$B$5:$B$130*(((Inputs!$G$5:$G$130="moeda")+(Inputs!$G$5:$G$130="acoes"))*Inputs!$B$1+((Inputs!$G$5:$G$130&lt;&gt;"moeda")*(Inputs!$G$5:$G$130&lt;&gt;"acoes")))*INDEX(Inputs!$K$5:$AJ$130,0,MATCH(U$2,Inputs!$K$4:$AJ$4,0)))+SUMPRODUCT((Inputs!$C$5:$C$130=$B37)*Inputs!$D$5:$D$130*(((Inputs!$G$5:$G$130="moeda")+(Inputs!$G$5:$G$130="acoes"))*Inputs!$B$1+((Inputs!$G$5:$G$130&lt;&gt;"moeda")*(Inputs!$G$5:$G$130&lt;&gt;"acoes")))*INDEX(Inputs!$K$5:$AJ$130,0,MATCH(U$2,Inputs!$K$4:$AJ$4,0)))+SUMPRODUCT((Inputs!$E$5:$E$130=$B37)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37" s="6" t="e">
        <f>IF(ISNA(MATCH(V$2,Inputs!$K$4:$AJ$4,0)),NA(),IF(SUMPRODUCT((Inputs!$A$5:$A$130=$B37)*ISNUMBER(INDEX(Inputs!$K$5:$AJ$130,0,MATCH(V$2,Inputs!$K$4:$AJ$4,0))))+SUMPRODUCT((Inputs!$C$5:$C$130=$B37)*ISNUMBER(INDEX(Inputs!$K$5:$AJ$130,0,MATCH(V$2,Inputs!$K$4:$AJ$4,0))))+SUMPRODUCT((Inputs!$E$5:$E$130=$B37)*ISNUMBER(INDEX(Inputs!$K$5:$AJ$130,0,MATCH(V$2,Inputs!$K$4:$AJ$4,0))))=0,NA(),SUMPRODUCT((Inputs!$A$5:$A$130=$B37)*Inputs!$B$5:$B$130*(((Inputs!$G$5:$G$130="moeda")+(Inputs!$G$5:$G$130="acoes"))*Inputs!$B$1+((Inputs!$G$5:$G$130&lt;&gt;"moeda")*(Inputs!$G$5:$G$130&lt;&gt;"acoes")))*INDEX(Inputs!$K$5:$AJ$130,0,MATCH(V$2,Inputs!$K$4:$AJ$4,0)))+SUMPRODUCT((Inputs!$C$5:$C$130=$B37)*Inputs!$D$5:$D$130*(((Inputs!$G$5:$G$130="moeda")+(Inputs!$G$5:$G$130="acoes"))*Inputs!$B$1+((Inputs!$G$5:$G$130&lt;&gt;"moeda")*(Inputs!$G$5:$G$130&lt;&gt;"acoes")))*INDEX(Inputs!$K$5:$AJ$130,0,MATCH(V$2,Inputs!$K$4:$AJ$4,0)))+SUMPRODUCT((Inputs!$E$5:$E$130=$B37)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37" s="3" t="e">
        <f>V37</f>
        <v>#N/A</v>
      </c>
      <c r="X37" s="6" t="e">
        <f>IF(ISNA(MATCH(X$2,Inputs!$K$4:$AJ$4,0)),NA(),IF(SUMPRODUCT((Inputs!$A$5:$A$130=$B37)*ISNUMBER(INDEX(Inputs!$K$5:$AJ$130,0,MATCH(X$2,Inputs!$K$4:$AJ$4,0))))+SUMPRODUCT((Inputs!$C$5:$C$130=$B37)*ISNUMBER(INDEX(Inputs!$K$5:$AJ$130,0,MATCH(X$2,Inputs!$K$4:$AJ$4,0))))+SUMPRODUCT((Inputs!$E$5:$E$130=$B37)*ISNUMBER(INDEX(Inputs!$K$5:$AJ$130,0,MATCH(X$2,Inputs!$K$4:$AJ$4,0))))=0,NA(),SUMPRODUCT((Inputs!$A$5:$A$130=$B37)*Inputs!$B$5:$B$130*(((Inputs!$G$5:$G$130="moeda")+(Inputs!$G$5:$G$130="acoes"))*Inputs!$B$1+((Inputs!$G$5:$G$130&lt;&gt;"moeda")*(Inputs!$G$5:$G$130&lt;&gt;"acoes")))*INDEX(Inputs!$K$5:$AJ$130,0,MATCH(X$2,Inputs!$K$4:$AJ$4,0)))+SUMPRODUCT((Inputs!$C$5:$C$130=$B37)*Inputs!$D$5:$D$130*(((Inputs!$G$5:$G$130="moeda")+(Inputs!$G$5:$G$130="acoes"))*Inputs!$B$1+((Inputs!$G$5:$G$130&lt;&gt;"moeda")*(Inputs!$G$5:$G$130&lt;&gt;"acoes")))*INDEX(Inputs!$K$5:$AJ$130,0,MATCH(X$2,Inputs!$K$4:$AJ$4,0)))+SUMPRODUCT((Inputs!$E$5:$E$130=$B37)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37" s="6" t="e">
        <f>IF(ISNA(MATCH(Y$2,Inputs!$K$4:$AJ$4,0)),NA(),IF(SUMPRODUCT((Inputs!$A$5:$A$130=$B37)*ISNUMBER(INDEX(Inputs!$K$5:$AJ$130,0,MATCH(Y$2,Inputs!$K$4:$AJ$4,0))))+SUMPRODUCT((Inputs!$C$5:$C$130=$B37)*ISNUMBER(INDEX(Inputs!$K$5:$AJ$130,0,MATCH(Y$2,Inputs!$K$4:$AJ$4,0))))+SUMPRODUCT((Inputs!$E$5:$E$130=$B37)*ISNUMBER(INDEX(Inputs!$K$5:$AJ$130,0,MATCH(Y$2,Inputs!$K$4:$AJ$4,0))))=0,NA(),SUMPRODUCT((Inputs!$A$5:$A$130=$B37)*Inputs!$B$5:$B$130*(((Inputs!$G$5:$G$130="moeda")+(Inputs!$G$5:$G$130="acoes"))*Inputs!$B$1+((Inputs!$G$5:$G$130&lt;&gt;"moeda")*(Inputs!$G$5:$G$130&lt;&gt;"acoes")))*INDEX(Inputs!$K$5:$AJ$130,0,MATCH(Y$2,Inputs!$K$4:$AJ$4,0)))+SUMPRODUCT((Inputs!$C$5:$C$130=$B37)*Inputs!$D$5:$D$130*(((Inputs!$G$5:$G$130="moeda")+(Inputs!$G$5:$G$130="acoes"))*Inputs!$B$1+((Inputs!$G$5:$G$130&lt;&gt;"moeda")*(Inputs!$G$5:$G$130&lt;&gt;"acoes")))*INDEX(Inputs!$K$5:$AJ$130,0,MATCH(Y$2,Inputs!$K$4:$AJ$4,0)))+SUMPRODUCT((Inputs!$E$5:$E$130=$B37)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37" s="6" t="e">
        <f>IF(ISNA(MATCH(Z$2,Inputs!$K$4:$AJ$4,0)),NA(),IF(SUMPRODUCT((Inputs!$A$5:$A$130=$B37)*ISNUMBER(INDEX(Inputs!$K$5:$AJ$130,0,MATCH(Z$2,Inputs!$K$4:$AJ$4,0))))+SUMPRODUCT((Inputs!$C$5:$C$130=$B37)*ISNUMBER(INDEX(Inputs!$K$5:$AJ$130,0,MATCH(Z$2,Inputs!$K$4:$AJ$4,0))))+SUMPRODUCT((Inputs!$E$5:$E$130=$B37)*ISNUMBER(INDEX(Inputs!$K$5:$AJ$130,0,MATCH(Z$2,Inputs!$K$4:$AJ$4,0))))=0,NA(),SUMPRODUCT((Inputs!$A$5:$A$130=$B37)*Inputs!$B$5:$B$130*(((Inputs!$G$5:$G$130="moeda")+(Inputs!$G$5:$G$130="acoes"))*Inputs!$B$1+((Inputs!$G$5:$G$130&lt;&gt;"moeda")*(Inputs!$G$5:$G$130&lt;&gt;"acoes")))*INDEX(Inputs!$K$5:$AJ$130,0,MATCH(Z$2,Inputs!$K$4:$AJ$4,0)))+SUMPRODUCT((Inputs!$C$5:$C$130=$B37)*Inputs!$D$5:$D$130*(((Inputs!$G$5:$G$130="moeda")+(Inputs!$G$5:$G$130="acoes"))*Inputs!$B$1+((Inputs!$G$5:$G$130&lt;&gt;"moeda")*(Inputs!$G$5:$G$130&lt;&gt;"acoes")))*INDEX(Inputs!$K$5:$AJ$130,0,MATCH(Z$2,Inputs!$K$4:$AJ$4,0)))+SUMPRODUCT((Inputs!$E$5:$E$130=$B37)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37" s="6" t="e">
        <f>IF(ISNA(MATCH(AA$2,Inputs!$K$4:$AJ$4,0)),NA(),IF(SUMPRODUCT((Inputs!$A$5:$A$130=$B37)*ISNUMBER(INDEX(Inputs!$K$5:$AJ$130,0,MATCH(AA$2,Inputs!$K$4:$AJ$4,0))))+SUMPRODUCT((Inputs!$C$5:$C$130=$B37)*ISNUMBER(INDEX(Inputs!$K$5:$AJ$130,0,MATCH(AA$2,Inputs!$K$4:$AJ$4,0))))+SUMPRODUCT((Inputs!$E$5:$E$130=$B37)*ISNUMBER(INDEX(Inputs!$K$5:$AJ$130,0,MATCH(AA$2,Inputs!$K$4:$AJ$4,0))))=0,NA(),SUMPRODUCT((Inputs!$A$5:$A$130=$B37)*Inputs!$B$5:$B$130*(((Inputs!$G$5:$G$130="moeda")+(Inputs!$G$5:$G$130="acoes"))*Inputs!$B$1+((Inputs!$G$5:$G$130&lt;&gt;"moeda")*(Inputs!$G$5:$G$130&lt;&gt;"acoes")))*INDEX(Inputs!$K$5:$AJ$130,0,MATCH(AA$2,Inputs!$K$4:$AJ$4,0)))+SUMPRODUCT((Inputs!$C$5:$C$130=$B37)*Inputs!$D$5:$D$130*(((Inputs!$G$5:$G$130="moeda")+(Inputs!$G$5:$G$130="acoes"))*Inputs!$B$1+((Inputs!$G$5:$G$130&lt;&gt;"moeda")*(Inputs!$G$5:$G$130&lt;&gt;"acoes")))*INDEX(Inputs!$K$5:$AJ$130,0,MATCH(AA$2,Inputs!$K$4:$AJ$4,0)))+SUMPRODUCT((Inputs!$E$5:$E$130=$B37)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37" s="3" t="e">
        <f>AA37</f>
        <v>#N/A</v>
      </c>
      <c r="AC37" s="6" t="e">
        <f>IF(ISNA(MATCH(AC$2,Inputs!$K$4:$AJ$4,0)),NA(),IF(SUMPRODUCT((Inputs!$A$5:$A$130=$B37)*ISNUMBER(INDEX(Inputs!$K$5:$AJ$130,0,MATCH(AC$2,Inputs!$K$4:$AJ$4,0))))+SUMPRODUCT((Inputs!$C$5:$C$130=$B37)*ISNUMBER(INDEX(Inputs!$K$5:$AJ$130,0,MATCH(AC$2,Inputs!$K$4:$AJ$4,0))))+SUMPRODUCT((Inputs!$E$5:$E$130=$B37)*ISNUMBER(INDEX(Inputs!$K$5:$AJ$130,0,MATCH(AC$2,Inputs!$K$4:$AJ$4,0))))=0,NA(),SUMPRODUCT((Inputs!$A$5:$A$130=$B37)*Inputs!$B$5:$B$130*(((Inputs!$G$5:$G$130="moeda")+(Inputs!$G$5:$G$130="acoes"))*Inputs!$B$1+((Inputs!$G$5:$G$130&lt;&gt;"moeda")*(Inputs!$G$5:$G$130&lt;&gt;"acoes")))*INDEX(Inputs!$K$5:$AJ$130,0,MATCH(AC$2,Inputs!$K$4:$AJ$4,0)))+SUMPRODUCT((Inputs!$C$5:$C$130=$B37)*Inputs!$D$5:$D$130*(((Inputs!$G$5:$G$130="moeda")+(Inputs!$G$5:$G$130="acoes"))*Inputs!$B$1+((Inputs!$G$5:$G$130&lt;&gt;"moeda")*(Inputs!$G$5:$G$130&lt;&gt;"acoes")))*INDEX(Inputs!$K$5:$AJ$130,0,MATCH(AC$2,Inputs!$K$4:$AJ$4,0)))+SUMPRODUCT((Inputs!$E$5:$E$130=$B37)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37" s="6" t="e">
        <f>IF(ISNA(MATCH(AD$2,Inputs!$K$4:$AJ$4,0)),NA(),IF(SUMPRODUCT((Inputs!$A$5:$A$130=$B37)*ISNUMBER(INDEX(Inputs!$K$5:$AJ$130,0,MATCH(AD$2,Inputs!$K$4:$AJ$4,0))))+SUMPRODUCT((Inputs!$C$5:$C$130=$B37)*ISNUMBER(INDEX(Inputs!$K$5:$AJ$130,0,MATCH(AD$2,Inputs!$K$4:$AJ$4,0))))+SUMPRODUCT((Inputs!$E$5:$E$130=$B37)*ISNUMBER(INDEX(Inputs!$K$5:$AJ$130,0,MATCH(AD$2,Inputs!$K$4:$AJ$4,0))))=0,NA(),SUMPRODUCT((Inputs!$A$5:$A$130=$B37)*Inputs!$B$5:$B$130*(((Inputs!$G$5:$G$130="moeda")+(Inputs!$G$5:$G$130="acoes"))*Inputs!$B$1+((Inputs!$G$5:$G$130&lt;&gt;"moeda")*(Inputs!$G$5:$G$130&lt;&gt;"acoes")))*INDEX(Inputs!$K$5:$AJ$130,0,MATCH(AD$2,Inputs!$K$4:$AJ$4,0)))+SUMPRODUCT((Inputs!$C$5:$C$130=$B37)*Inputs!$D$5:$D$130*(((Inputs!$G$5:$G$130="moeda")+(Inputs!$G$5:$G$130="acoes"))*Inputs!$B$1+((Inputs!$G$5:$G$130&lt;&gt;"moeda")*(Inputs!$G$5:$G$130&lt;&gt;"acoes")))*INDEX(Inputs!$K$5:$AJ$130,0,MATCH(AD$2,Inputs!$K$4:$AJ$4,0)))+SUMPRODUCT((Inputs!$E$5:$E$130=$B37)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37" s="6" t="e">
        <f>IF(ISNA(MATCH(AE$2,Inputs!$K$4:$AJ$4,0)),NA(),IF(SUMPRODUCT((Inputs!$A$5:$A$130=$B37)*ISNUMBER(INDEX(Inputs!$K$5:$AJ$130,0,MATCH(AE$2,Inputs!$K$4:$AJ$4,0))))+SUMPRODUCT((Inputs!$C$5:$C$130=$B37)*ISNUMBER(INDEX(Inputs!$K$5:$AJ$130,0,MATCH(AE$2,Inputs!$K$4:$AJ$4,0))))+SUMPRODUCT((Inputs!$E$5:$E$130=$B37)*ISNUMBER(INDEX(Inputs!$K$5:$AJ$130,0,MATCH(AE$2,Inputs!$K$4:$AJ$4,0))))=0,NA(),SUMPRODUCT((Inputs!$A$5:$A$130=$B37)*Inputs!$B$5:$B$130*(((Inputs!$G$5:$G$130="moeda")+(Inputs!$G$5:$G$130="acoes"))*Inputs!$B$1+((Inputs!$G$5:$G$130&lt;&gt;"moeda")*(Inputs!$G$5:$G$130&lt;&gt;"acoes")))*INDEX(Inputs!$K$5:$AJ$130,0,MATCH(AE$2,Inputs!$K$4:$AJ$4,0)))+SUMPRODUCT((Inputs!$C$5:$C$130=$B37)*Inputs!$D$5:$D$130*(((Inputs!$G$5:$G$130="moeda")+(Inputs!$G$5:$G$130="acoes"))*Inputs!$B$1+((Inputs!$G$5:$G$130&lt;&gt;"moeda")*(Inputs!$G$5:$G$130&lt;&gt;"acoes")))*INDEX(Inputs!$K$5:$AJ$130,0,MATCH(AE$2,Inputs!$K$4:$AJ$4,0)))+SUMPRODUCT((Inputs!$E$5:$E$130=$B37)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7" s="6" t="e">
        <f>IF(ISNA(MATCH(AF$2,Inputs!$K$4:$AJ$4,0)),NA(),IF(SUMPRODUCT((Inputs!$A$5:$A$130=$B37)*ISNUMBER(INDEX(Inputs!$K$5:$AJ$130,0,MATCH(AF$2,Inputs!$K$4:$AJ$4,0))))+SUMPRODUCT((Inputs!$C$5:$C$130=$B37)*ISNUMBER(INDEX(Inputs!$K$5:$AJ$130,0,MATCH(AF$2,Inputs!$K$4:$AJ$4,0))))+SUMPRODUCT((Inputs!$E$5:$E$130=$B37)*ISNUMBER(INDEX(Inputs!$K$5:$AJ$130,0,MATCH(AF$2,Inputs!$K$4:$AJ$4,0))))=0,NA(),SUMPRODUCT((Inputs!$A$5:$A$130=$B37)*Inputs!$B$5:$B$130*(((Inputs!$G$5:$G$130="moeda")+(Inputs!$G$5:$G$130="acoes"))*Inputs!$B$1+((Inputs!$G$5:$G$130&lt;&gt;"moeda")*(Inputs!$G$5:$G$130&lt;&gt;"acoes")))*INDEX(Inputs!$K$5:$AJ$130,0,MATCH(AF$2,Inputs!$K$4:$AJ$4,0)))+SUMPRODUCT((Inputs!$C$5:$C$130=$B37)*Inputs!$D$5:$D$130*(((Inputs!$G$5:$G$130="moeda")+(Inputs!$G$5:$G$130="acoes"))*Inputs!$B$1+((Inputs!$G$5:$G$130&lt;&gt;"moeda")*(Inputs!$G$5:$G$130&lt;&gt;"acoes")))*INDEX(Inputs!$K$5:$AJ$130,0,MATCH(AF$2,Inputs!$K$4:$AJ$4,0)))+SUMPRODUCT((Inputs!$E$5:$E$130=$B37)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7" s="3" t="e">
        <f>AF37</f>
        <v>#N/A</v>
      </c>
      <c r="AH37" s="6" t="e">
        <f>IF(ISNA(MATCH(AH$2,Inputs!$K$4:$AJ$4,0)),NA(),IF(SUMPRODUCT((Inputs!$A$5:$A$130=$B37)*ISNUMBER(INDEX(Inputs!$K$5:$AJ$130,0,MATCH(AH$2,Inputs!$K$4:$AJ$4,0))))+SUMPRODUCT((Inputs!$C$5:$C$130=$B37)*ISNUMBER(INDEX(Inputs!$K$5:$AJ$130,0,MATCH(AH$2,Inputs!$K$4:$AJ$4,0))))+SUMPRODUCT((Inputs!$E$5:$E$130=$B37)*ISNUMBER(INDEX(Inputs!$K$5:$AJ$130,0,MATCH(AH$2,Inputs!$K$4:$AJ$4,0))))=0,NA(),SUMPRODUCT((Inputs!$A$5:$A$130=$B37)*Inputs!$B$5:$B$130*(((Inputs!$G$5:$G$130="moeda")+(Inputs!$G$5:$G$130="acoes"))*Inputs!$B$1+((Inputs!$G$5:$G$130&lt;&gt;"moeda")*(Inputs!$G$5:$G$130&lt;&gt;"acoes")))*INDEX(Inputs!$K$5:$AJ$130,0,MATCH(AH$2,Inputs!$K$4:$AJ$4,0)))+SUMPRODUCT((Inputs!$C$5:$C$130=$B37)*Inputs!$D$5:$D$130*(((Inputs!$G$5:$G$130="moeda")+(Inputs!$G$5:$G$130="acoes"))*Inputs!$B$1+((Inputs!$G$5:$G$130&lt;&gt;"moeda")*(Inputs!$G$5:$G$130&lt;&gt;"acoes")))*INDEX(Inputs!$K$5:$AJ$130,0,MATCH(AH$2,Inputs!$K$4:$AJ$4,0)))+SUMPRODUCT((Inputs!$E$5:$E$130=$B37)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37" s="6" t="e">
        <f>IF(ISNA(MATCH(AI$2,Inputs!$K$4:$AJ$4,0)),NA(),IF(SUMPRODUCT((Inputs!$A$5:$A$130=$B37)*ISNUMBER(INDEX(Inputs!$K$5:$AJ$130,0,MATCH(AI$2,Inputs!$K$4:$AJ$4,0))))+SUMPRODUCT((Inputs!$C$5:$C$130=$B37)*ISNUMBER(INDEX(Inputs!$K$5:$AJ$130,0,MATCH(AI$2,Inputs!$K$4:$AJ$4,0))))+SUMPRODUCT((Inputs!$E$5:$E$130=$B37)*ISNUMBER(INDEX(Inputs!$K$5:$AJ$130,0,MATCH(AI$2,Inputs!$K$4:$AJ$4,0))))=0,NA(),SUMPRODUCT((Inputs!$A$5:$A$130=$B37)*Inputs!$B$5:$B$130*(((Inputs!$G$5:$G$130="moeda")+(Inputs!$G$5:$G$130="acoes"))*Inputs!$B$1+((Inputs!$G$5:$G$130&lt;&gt;"moeda")*(Inputs!$G$5:$G$130&lt;&gt;"acoes")))*INDEX(Inputs!$K$5:$AJ$130,0,MATCH(AI$2,Inputs!$K$4:$AJ$4,0)))+SUMPRODUCT((Inputs!$C$5:$C$130=$B37)*Inputs!$D$5:$D$130*(((Inputs!$G$5:$G$130="moeda")+(Inputs!$G$5:$G$130="acoes"))*Inputs!$B$1+((Inputs!$G$5:$G$130&lt;&gt;"moeda")*(Inputs!$G$5:$G$130&lt;&gt;"acoes")))*INDEX(Inputs!$K$5:$AJ$130,0,MATCH(AI$2,Inputs!$K$4:$AJ$4,0)))+SUMPRODUCT((Inputs!$E$5:$E$130=$B37)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37" s="6" t="e">
        <f>IF(ISNA(MATCH(AJ$2,Inputs!$K$4:$AJ$4,0)),NA(),IF(SUMPRODUCT((Inputs!$A$5:$A$130=$B37)*ISNUMBER(INDEX(Inputs!$K$5:$AJ$130,0,MATCH(AJ$2,Inputs!$K$4:$AJ$4,0))))+SUMPRODUCT((Inputs!$C$5:$C$130=$B37)*ISNUMBER(INDEX(Inputs!$K$5:$AJ$130,0,MATCH(AJ$2,Inputs!$K$4:$AJ$4,0))))+SUMPRODUCT((Inputs!$E$5:$E$130=$B37)*ISNUMBER(INDEX(Inputs!$K$5:$AJ$130,0,MATCH(AJ$2,Inputs!$K$4:$AJ$4,0))))=0,NA(),SUMPRODUCT((Inputs!$A$5:$A$130=$B37)*Inputs!$B$5:$B$130*(((Inputs!$G$5:$G$130="moeda")+(Inputs!$G$5:$G$130="acoes"))*Inputs!$B$1+((Inputs!$G$5:$G$130&lt;&gt;"moeda")*(Inputs!$G$5:$G$130&lt;&gt;"acoes")))*INDEX(Inputs!$K$5:$AJ$130,0,MATCH(AJ$2,Inputs!$K$4:$AJ$4,0)))+SUMPRODUCT((Inputs!$C$5:$C$130=$B37)*Inputs!$D$5:$D$130*(((Inputs!$G$5:$G$130="moeda")+(Inputs!$G$5:$G$130="acoes"))*Inputs!$B$1+((Inputs!$G$5:$G$130&lt;&gt;"moeda")*(Inputs!$G$5:$G$130&lt;&gt;"acoes")))*INDEX(Inputs!$K$5:$AJ$130,0,MATCH(AJ$2,Inputs!$K$4:$AJ$4,0)))+SUMPRODUCT((Inputs!$E$5:$E$130=$B37)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37" s="6" t="e">
        <f>IF(ISNA(MATCH(AK$2,Inputs!$K$4:$AJ$4,0)),NA(),IF(SUMPRODUCT((Inputs!$A$5:$A$130=$B37)*ISNUMBER(INDEX(Inputs!$K$5:$AJ$130,0,MATCH(AK$2,Inputs!$K$4:$AJ$4,0))))+SUMPRODUCT((Inputs!$C$5:$C$130=$B37)*ISNUMBER(INDEX(Inputs!$K$5:$AJ$130,0,MATCH(AK$2,Inputs!$K$4:$AJ$4,0))))+SUMPRODUCT((Inputs!$E$5:$E$130=$B37)*ISNUMBER(INDEX(Inputs!$K$5:$AJ$130,0,MATCH(AK$2,Inputs!$K$4:$AJ$4,0))))=0,NA(),SUMPRODUCT((Inputs!$A$5:$A$130=$B37)*Inputs!$B$5:$B$130*(((Inputs!$G$5:$G$130="moeda")+(Inputs!$G$5:$G$130="acoes"))*Inputs!$B$1+((Inputs!$G$5:$G$130&lt;&gt;"moeda")*(Inputs!$G$5:$G$130&lt;&gt;"acoes")))*INDEX(Inputs!$K$5:$AJ$130,0,MATCH(AK$2,Inputs!$K$4:$AJ$4,0)))+SUMPRODUCT((Inputs!$C$5:$C$130=$B37)*Inputs!$D$5:$D$130*(((Inputs!$G$5:$G$130="moeda")+(Inputs!$G$5:$G$130="acoes"))*Inputs!$B$1+((Inputs!$G$5:$G$130&lt;&gt;"moeda")*(Inputs!$G$5:$G$130&lt;&gt;"acoes")))*INDEX(Inputs!$K$5:$AJ$130,0,MATCH(AK$2,Inputs!$K$4:$AJ$4,0)))+SUMPRODUCT((Inputs!$E$5:$E$130=$B37)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37" s="3" t="e">
        <f>AK37</f>
        <v>#N/A</v>
      </c>
    </row>
    <row r="38">
      <c r="B38" s="46" t="n">
        <v>33</v>
      </c>
      <c r="C38" s="26" t="inlineStr">
        <is>
          <t>Deferred income taxes</t>
        </is>
      </c>
      <c r="D38" s="6">
        <f>IF(ISNA(MATCH(D$2,Inputs!$K$4:$AJ$4,0)),NA(),IF(SUMPRODUCT((Inputs!$A$5:$A$130=$B38)*ISNUMBER(INDEX(Inputs!$K$5:$AJ$130,0,MATCH(D$2,Inputs!$K$4:$AJ$4,0))))+SUMPRODUCT((Inputs!$C$5:$C$130=$B38)*ISNUMBER(INDEX(Inputs!$K$5:$AJ$130,0,MATCH(D$2,Inputs!$K$4:$AJ$4,0))))+SUMPRODUCT((Inputs!$E$5:$E$130=$B38)*ISNUMBER(INDEX(Inputs!$K$5:$AJ$130,0,MATCH(D$2,Inputs!$K$4:$AJ$4,0))))=0,NA(),SUMPRODUCT((Inputs!$A$5:$A$130=$B38)*Inputs!$B$5:$B$130*(((Inputs!$G$5:$G$130="moeda")+(Inputs!$G$5:$G$130="acoes"))*Inputs!$B$1+((Inputs!$G$5:$G$130&lt;&gt;"moeda")*(Inputs!$G$5:$G$130&lt;&gt;"acoes")))*INDEX(Inputs!$K$5:$AJ$130,0,MATCH(D$2,Inputs!$K$4:$AJ$4,0)))+SUMPRODUCT((Inputs!$C$5:$C$130=$B38)*Inputs!$D$5:$D$130*(((Inputs!$G$5:$G$130="moeda")+(Inputs!$G$5:$G$130="acoes"))*Inputs!$B$1+((Inputs!$G$5:$G$130&lt;&gt;"moeda")*(Inputs!$G$5:$G$130&lt;&gt;"acoes")))*INDEX(Inputs!$K$5:$AJ$130,0,MATCH(D$2,Inputs!$K$4:$AJ$4,0)))+SUMPRODUCT((Inputs!$E$5:$E$130=$B38)*Inputs!$F$5:$F$130*(((Inputs!$G$5:$G$130="moeda")+(Inputs!$G$5:$G$130="acoes"))*Inputs!$B$1+((Inputs!$G$5:$G$130&lt;&gt;"moeda")*(Inputs!$G$5:$G$130&lt;&gt;"acoes")))*INDEX(Inputs!$K$5:$AJ$130,0,MATCH(D$2,Inputs!$K$4:$AJ$4,0)))))</f>
        <v>234</v>
      </c>
      <c r="E38" s="6">
        <f>IF(ISNA(MATCH(E$2,Inputs!$K$4:$AJ$4,0)),NA(),IF(SUMPRODUCT((Inputs!$A$5:$A$130=$B38)*ISNUMBER(INDEX(Inputs!$K$5:$AJ$130,0,MATCH(E$2,Inputs!$K$4:$AJ$4,0))))+SUMPRODUCT((Inputs!$C$5:$C$130=$B38)*ISNUMBER(INDEX(Inputs!$K$5:$AJ$130,0,MATCH(E$2,Inputs!$K$4:$AJ$4,0))))+SUMPRODUCT((Inputs!$E$5:$E$130=$B38)*ISNUMBER(INDEX(Inputs!$K$5:$AJ$130,0,MATCH(E$2,Inputs!$K$4:$AJ$4,0))))=0,NA(),SUMPRODUCT((Inputs!$A$5:$A$130=$B38)*Inputs!$B$5:$B$130*(((Inputs!$G$5:$G$130="moeda")+(Inputs!$G$5:$G$130="acoes"))*Inputs!$B$1+((Inputs!$G$5:$G$130&lt;&gt;"moeda")*(Inputs!$G$5:$G$130&lt;&gt;"acoes")))*INDEX(Inputs!$K$5:$AJ$130,0,MATCH(E$2,Inputs!$K$4:$AJ$4,0)))+SUMPRODUCT((Inputs!$C$5:$C$130=$B38)*Inputs!$D$5:$D$130*(((Inputs!$G$5:$G$130="moeda")+(Inputs!$G$5:$G$130="acoes"))*Inputs!$B$1+((Inputs!$G$5:$G$130&lt;&gt;"moeda")*(Inputs!$G$5:$G$130&lt;&gt;"acoes")))*INDEX(Inputs!$K$5:$AJ$130,0,MATCH(E$2,Inputs!$K$4:$AJ$4,0)))+SUMPRODUCT((Inputs!$E$5:$E$130=$B38)*Inputs!$F$5:$F$130*(((Inputs!$G$5:$G$130="moeda")+(Inputs!$G$5:$G$130="acoes"))*Inputs!$B$1+((Inputs!$G$5:$G$130&lt;&gt;"moeda")*(Inputs!$G$5:$G$130&lt;&gt;"acoes")))*INDEX(Inputs!$K$5:$AJ$130,0,MATCH(E$2,Inputs!$K$4:$AJ$4,0)))))</f>
        <v>229</v>
      </c>
      <c r="F38" s="6">
        <f>IF(ISNA(MATCH(F$2,Inputs!$K$4:$AJ$4,0)),NA(),IF(SUMPRODUCT((Inputs!$A$5:$A$130=$B38)*ISNUMBER(INDEX(Inputs!$K$5:$AJ$130,0,MATCH(F$2,Inputs!$K$4:$AJ$4,0))))+SUMPRODUCT((Inputs!$C$5:$C$130=$B38)*ISNUMBER(INDEX(Inputs!$K$5:$AJ$130,0,MATCH(F$2,Inputs!$K$4:$AJ$4,0))))+SUMPRODUCT((Inputs!$E$5:$E$130=$B38)*ISNUMBER(INDEX(Inputs!$K$5:$AJ$130,0,MATCH(F$2,Inputs!$K$4:$AJ$4,0))))=0,NA(),SUMPRODUCT((Inputs!$A$5:$A$130=$B38)*Inputs!$B$5:$B$130*(((Inputs!$G$5:$G$130="moeda")+(Inputs!$G$5:$G$130="acoes"))*Inputs!$B$1+((Inputs!$G$5:$G$130&lt;&gt;"moeda")*(Inputs!$G$5:$G$130&lt;&gt;"acoes")))*INDEX(Inputs!$K$5:$AJ$130,0,MATCH(F$2,Inputs!$K$4:$AJ$4,0)))+SUMPRODUCT((Inputs!$C$5:$C$130=$B38)*Inputs!$D$5:$D$130*(((Inputs!$G$5:$G$130="moeda")+(Inputs!$G$5:$G$130="acoes"))*Inputs!$B$1+((Inputs!$G$5:$G$130&lt;&gt;"moeda")*(Inputs!$G$5:$G$130&lt;&gt;"acoes")))*INDEX(Inputs!$K$5:$AJ$130,0,MATCH(F$2,Inputs!$K$4:$AJ$4,0)))+SUMPRODUCT((Inputs!$E$5:$E$130=$B38)*Inputs!$F$5:$F$130*(((Inputs!$G$5:$G$130="moeda")+(Inputs!$G$5:$G$130="acoes"))*Inputs!$B$1+((Inputs!$G$5:$G$130&lt;&gt;"moeda")*(Inputs!$G$5:$G$130&lt;&gt;"acoes")))*INDEX(Inputs!$K$5:$AJ$130,0,MATCH(F$2,Inputs!$K$4:$AJ$4,0)))))</f>
        <v>225</v>
      </c>
      <c r="G38" s="6">
        <f>IF(ISNA(MATCH(G$2,Inputs!$K$4:$AJ$4,0)),NA(),IF(SUMPRODUCT((Inputs!$A$5:$A$130=$B38)*ISNUMBER(INDEX(Inputs!$K$5:$AJ$130,0,MATCH(G$2,Inputs!$K$4:$AJ$4,0))))+SUMPRODUCT((Inputs!$C$5:$C$130=$B38)*ISNUMBER(INDEX(Inputs!$K$5:$AJ$130,0,MATCH(G$2,Inputs!$K$4:$AJ$4,0))))+SUMPRODUCT((Inputs!$E$5:$E$130=$B38)*ISNUMBER(INDEX(Inputs!$K$5:$AJ$130,0,MATCH(G$2,Inputs!$K$4:$AJ$4,0))))=0,NA(),SUMPRODUCT((Inputs!$A$5:$A$130=$B38)*Inputs!$B$5:$B$130*(((Inputs!$G$5:$G$130="moeda")+(Inputs!$G$5:$G$130="acoes"))*Inputs!$B$1+((Inputs!$G$5:$G$130&lt;&gt;"moeda")*(Inputs!$G$5:$G$130&lt;&gt;"acoes")))*INDEX(Inputs!$K$5:$AJ$130,0,MATCH(G$2,Inputs!$K$4:$AJ$4,0)))+SUMPRODUCT((Inputs!$C$5:$C$130=$B38)*Inputs!$D$5:$D$130*(((Inputs!$G$5:$G$130="moeda")+(Inputs!$G$5:$G$130="acoes"))*Inputs!$B$1+((Inputs!$G$5:$G$130&lt;&gt;"moeda")*(Inputs!$G$5:$G$130&lt;&gt;"acoes")))*INDEX(Inputs!$K$5:$AJ$130,0,MATCH(G$2,Inputs!$K$4:$AJ$4,0)))+SUMPRODUCT((Inputs!$E$5:$E$130=$B38)*Inputs!$F$5:$F$130*(((Inputs!$G$5:$G$130="moeda")+(Inputs!$G$5:$G$130="acoes"))*Inputs!$B$1+((Inputs!$G$5:$G$130&lt;&gt;"moeda")*(Inputs!$G$5:$G$130&lt;&gt;"acoes")))*INDEX(Inputs!$K$5:$AJ$130,0,MATCH(G$2,Inputs!$K$4:$AJ$4,0)))))</f>
        <v>245</v>
      </c>
      <c r="H38" s="3">
        <f>G38</f>
        <v>245</v>
      </c>
      <c r="I38" s="6">
        <f>IF(ISNA(MATCH(I$2,Inputs!$K$4:$AJ$4,0)),NA(),IF(SUMPRODUCT((Inputs!$A$5:$A$130=$B38)*ISNUMBER(INDEX(Inputs!$K$5:$AJ$130,0,MATCH(I$2,Inputs!$K$4:$AJ$4,0))))+SUMPRODUCT((Inputs!$C$5:$C$130=$B38)*ISNUMBER(INDEX(Inputs!$K$5:$AJ$130,0,MATCH(I$2,Inputs!$K$4:$AJ$4,0))))+SUMPRODUCT((Inputs!$E$5:$E$130=$B38)*ISNUMBER(INDEX(Inputs!$K$5:$AJ$130,0,MATCH(I$2,Inputs!$K$4:$AJ$4,0))))=0,NA(),SUMPRODUCT((Inputs!$A$5:$A$130=$B38)*Inputs!$B$5:$B$130*(((Inputs!$G$5:$G$130="moeda")+(Inputs!$G$5:$G$130="acoes"))*Inputs!$B$1+((Inputs!$G$5:$G$130&lt;&gt;"moeda")*(Inputs!$G$5:$G$130&lt;&gt;"acoes")))*INDEX(Inputs!$K$5:$AJ$130,0,MATCH(I$2,Inputs!$K$4:$AJ$4,0)))+SUMPRODUCT((Inputs!$C$5:$C$130=$B38)*Inputs!$D$5:$D$130*(((Inputs!$G$5:$G$130="moeda")+(Inputs!$G$5:$G$130="acoes"))*Inputs!$B$1+((Inputs!$G$5:$G$130&lt;&gt;"moeda")*(Inputs!$G$5:$G$130&lt;&gt;"acoes")))*INDEX(Inputs!$K$5:$AJ$130,0,MATCH(I$2,Inputs!$K$4:$AJ$4,0)))+SUMPRODUCT((Inputs!$E$5:$E$130=$B38)*Inputs!$F$5:$F$130*(((Inputs!$G$5:$G$130="moeda")+(Inputs!$G$5:$G$130="acoes"))*Inputs!$B$1+((Inputs!$G$5:$G$130&lt;&gt;"moeda")*(Inputs!$G$5:$G$130&lt;&gt;"acoes")))*INDEX(Inputs!$K$5:$AJ$130,0,MATCH(I$2,Inputs!$K$4:$AJ$4,0)))))</f>
        <v>257</v>
      </c>
      <c r="J38" s="6">
        <f>IF(ISNA(MATCH(J$2,Inputs!$K$4:$AJ$4,0)),NA(),IF(SUMPRODUCT((Inputs!$A$5:$A$130=$B38)*ISNUMBER(INDEX(Inputs!$K$5:$AJ$130,0,MATCH(J$2,Inputs!$K$4:$AJ$4,0))))+SUMPRODUCT((Inputs!$C$5:$C$130=$B38)*ISNUMBER(INDEX(Inputs!$K$5:$AJ$130,0,MATCH(J$2,Inputs!$K$4:$AJ$4,0))))+SUMPRODUCT((Inputs!$E$5:$E$130=$B38)*ISNUMBER(INDEX(Inputs!$K$5:$AJ$130,0,MATCH(J$2,Inputs!$K$4:$AJ$4,0))))=0,NA(),SUMPRODUCT((Inputs!$A$5:$A$130=$B38)*Inputs!$B$5:$B$130*(((Inputs!$G$5:$G$130="moeda")+(Inputs!$G$5:$G$130="acoes"))*Inputs!$B$1+((Inputs!$G$5:$G$130&lt;&gt;"moeda")*(Inputs!$G$5:$G$130&lt;&gt;"acoes")))*INDEX(Inputs!$K$5:$AJ$130,0,MATCH(J$2,Inputs!$K$4:$AJ$4,0)))+SUMPRODUCT((Inputs!$C$5:$C$130=$B38)*Inputs!$D$5:$D$130*(((Inputs!$G$5:$G$130="moeda")+(Inputs!$G$5:$G$130="acoes"))*Inputs!$B$1+((Inputs!$G$5:$G$130&lt;&gt;"moeda")*(Inputs!$G$5:$G$130&lt;&gt;"acoes")))*INDEX(Inputs!$K$5:$AJ$130,0,MATCH(J$2,Inputs!$K$4:$AJ$4,0)))+SUMPRODUCT((Inputs!$E$5:$E$130=$B38)*Inputs!$F$5:$F$130*(((Inputs!$G$5:$G$130="moeda")+(Inputs!$G$5:$G$130="acoes"))*Inputs!$B$1+((Inputs!$G$5:$G$130&lt;&gt;"moeda")*(Inputs!$G$5:$G$130&lt;&gt;"acoes")))*INDEX(Inputs!$K$5:$AJ$130,0,MATCH(J$2,Inputs!$K$4:$AJ$4,0)))))</f>
        <v>252</v>
      </c>
      <c r="K38" s="6">
        <f>IF(ISNA(MATCH(K$2,Inputs!$K$4:$AJ$4,0)),NA(),IF(SUMPRODUCT((Inputs!$A$5:$A$130=$B38)*ISNUMBER(INDEX(Inputs!$K$5:$AJ$130,0,MATCH(K$2,Inputs!$K$4:$AJ$4,0))))+SUMPRODUCT((Inputs!$C$5:$C$130=$B38)*ISNUMBER(INDEX(Inputs!$K$5:$AJ$130,0,MATCH(K$2,Inputs!$K$4:$AJ$4,0))))+SUMPRODUCT((Inputs!$E$5:$E$130=$B38)*ISNUMBER(INDEX(Inputs!$K$5:$AJ$130,0,MATCH(K$2,Inputs!$K$4:$AJ$4,0))))=0,NA(),SUMPRODUCT((Inputs!$A$5:$A$130=$B38)*Inputs!$B$5:$B$130*(((Inputs!$G$5:$G$130="moeda")+(Inputs!$G$5:$G$130="acoes"))*Inputs!$B$1+((Inputs!$G$5:$G$130&lt;&gt;"moeda")*(Inputs!$G$5:$G$130&lt;&gt;"acoes")))*INDEX(Inputs!$K$5:$AJ$130,0,MATCH(K$2,Inputs!$K$4:$AJ$4,0)))+SUMPRODUCT((Inputs!$C$5:$C$130=$B38)*Inputs!$D$5:$D$130*(((Inputs!$G$5:$G$130="moeda")+(Inputs!$G$5:$G$130="acoes"))*Inputs!$B$1+((Inputs!$G$5:$G$130&lt;&gt;"moeda")*(Inputs!$G$5:$G$130&lt;&gt;"acoes")))*INDEX(Inputs!$K$5:$AJ$130,0,MATCH(K$2,Inputs!$K$4:$AJ$4,0)))+SUMPRODUCT((Inputs!$E$5:$E$130=$B38)*Inputs!$F$5:$F$130*(((Inputs!$G$5:$G$130="moeda")+(Inputs!$G$5:$G$130="acoes"))*Inputs!$B$1+((Inputs!$G$5:$G$130&lt;&gt;"moeda")*(Inputs!$G$5:$G$130&lt;&gt;"acoes")))*INDEX(Inputs!$K$5:$AJ$130,0,MATCH(K$2,Inputs!$K$4:$AJ$4,0)))))</f>
        <v>246</v>
      </c>
      <c r="L38" s="6">
        <f>IF(ISNA(MATCH(L$2,Inputs!$K$4:$AJ$4,0)),NA(),IF(SUMPRODUCT((Inputs!$A$5:$A$130=$B38)*ISNUMBER(INDEX(Inputs!$K$5:$AJ$130,0,MATCH(L$2,Inputs!$K$4:$AJ$4,0))))+SUMPRODUCT((Inputs!$C$5:$C$130=$B38)*ISNUMBER(INDEX(Inputs!$K$5:$AJ$130,0,MATCH(L$2,Inputs!$K$4:$AJ$4,0))))+SUMPRODUCT((Inputs!$E$5:$E$130=$B38)*ISNUMBER(INDEX(Inputs!$K$5:$AJ$130,0,MATCH(L$2,Inputs!$K$4:$AJ$4,0))))=0,NA(),SUMPRODUCT((Inputs!$A$5:$A$130=$B38)*Inputs!$B$5:$B$130*(((Inputs!$G$5:$G$130="moeda")+(Inputs!$G$5:$G$130="acoes"))*Inputs!$B$1+((Inputs!$G$5:$G$130&lt;&gt;"moeda")*(Inputs!$G$5:$G$130&lt;&gt;"acoes")))*INDEX(Inputs!$K$5:$AJ$130,0,MATCH(L$2,Inputs!$K$4:$AJ$4,0)))+SUMPRODUCT((Inputs!$C$5:$C$130=$B38)*Inputs!$D$5:$D$130*(((Inputs!$G$5:$G$130="moeda")+(Inputs!$G$5:$G$130="acoes"))*Inputs!$B$1+((Inputs!$G$5:$G$130&lt;&gt;"moeda")*(Inputs!$G$5:$G$130&lt;&gt;"acoes")))*INDEX(Inputs!$K$5:$AJ$130,0,MATCH(L$2,Inputs!$K$4:$AJ$4,0)))+SUMPRODUCT((Inputs!$E$5:$E$130=$B38)*Inputs!$F$5:$F$130*(((Inputs!$G$5:$G$130="moeda")+(Inputs!$G$5:$G$130="acoes"))*Inputs!$B$1+((Inputs!$G$5:$G$130&lt;&gt;"moeda")*(Inputs!$G$5:$G$130&lt;&gt;"acoes")))*INDEX(Inputs!$K$5:$AJ$130,0,MATCH(L$2,Inputs!$K$4:$AJ$4,0)))))</f>
        <v>247</v>
      </c>
      <c r="M38" s="3">
        <f>L38</f>
        <v>247</v>
      </c>
      <c r="N38" s="6">
        <f>IF(ISNA(MATCH(N$2,Inputs!$K$4:$AJ$4,0)),NA(),IF(SUMPRODUCT((Inputs!$A$5:$A$130=$B38)*ISNUMBER(INDEX(Inputs!$K$5:$AJ$130,0,MATCH(N$2,Inputs!$K$4:$AJ$4,0))))+SUMPRODUCT((Inputs!$C$5:$C$130=$B38)*ISNUMBER(INDEX(Inputs!$K$5:$AJ$130,0,MATCH(N$2,Inputs!$K$4:$AJ$4,0))))+SUMPRODUCT((Inputs!$E$5:$E$130=$B38)*ISNUMBER(INDEX(Inputs!$K$5:$AJ$130,0,MATCH(N$2,Inputs!$K$4:$AJ$4,0))))=0,NA(),SUMPRODUCT((Inputs!$A$5:$A$130=$B38)*Inputs!$B$5:$B$130*(((Inputs!$G$5:$G$130="moeda")+(Inputs!$G$5:$G$130="acoes"))*Inputs!$B$1+((Inputs!$G$5:$G$130&lt;&gt;"moeda")*(Inputs!$G$5:$G$130&lt;&gt;"acoes")))*INDEX(Inputs!$K$5:$AJ$130,0,MATCH(N$2,Inputs!$K$4:$AJ$4,0)))+SUMPRODUCT((Inputs!$C$5:$C$130=$B38)*Inputs!$D$5:$D$130*(((Inputs!$G$5:$G$130="moeda")+(Inputs!$G$5:$G$130="acoes"))*Inputs!$B$1+((Inputs!$G$5:$G$130&lt;&gt;"moeda")*(Inputs!$G$5:$G$130&lt;&gt;"acoes")))*INDEX(Inputs!$K$5:$AJ$130,0,MATCH(N$2,Inputs!$K$4:$AJ$4,0)))+SUMPRODUCT((Inputs!$E$5:$E$130=$B38)*Inputs!$F$5:$F$130*(((Inputs!$G$5:$G$130="moeda")+(Inputs!$G$5:$G$130="acoes"))*Inputs!$B$1+((Inputs!$G$5:$G$130&lt;&gt;"moeda")*(Inputs!$G$5:$G$130&lt;&gt;"acoes")))*INDEX(Inputs!$K$5:$AJ$130,0,MATCH(N$2,Inputs!$K$4:$AJ$4,0)))))</f>
        <v>290</v>
      </c>
      <c r="O38" s="6">
        <f>IF(ISNA(MATCH(O$2,Inputs!$K$4:$AJ$4,0)),NA(),IF(SUMPRODUCT((Inputs!$A$5:$A$130=$B38)*ISNUMBER(INDEX(Inputs!$K$5:$AJ$130,0,MATCH(O$2,Inputs!$K$4:$AJ$4,0))))+SUMPRODUCT((Inputs!$C$5:$C$130=$B38)*ISNUMBER(INDEX(Inputs!$K$5:$AJ$130,0,MATCH(O$2,Inputs!$K$4:$AJ$4,0))))+SUMPRODUCT((Inputs!$E$5:$E$130=$B38)*ISNUMBER(INDEX(Inputs!$K$5:$AJ$130,0,MATCH(O$2,Inputs!$K$4:$AJ$4,0))))=0,NA(),SUMPRODUCT((Inputs!$A$5:$A$130=$B38)*Inputs!$B$5:$B$130*(((Inputs!$G$5:$G$130="moeda")+(Inputs!$G$5:$G$130="acoes"))*Inputs!$B$1+((Inputs!$G$5:$G$130&lt;&gt;"moeda")*(Inputs!$G$5:$G$130&lt;&gt;"acoes")))*INDEX(Inputs!$K$5:$AJ$130,0,MATCH(O$2,Inputs!$K$4:$AJ$4,0)))+SUMPRODUCT((Inputs!$C$5:$C$130=$B38)*Inputs!$D$5:$D$130*(((Inputs!$G$5:$G$130="moeda")+(Inputs!$G$5:$G$130="acoes"))*Inputs!$B$1+((Inputs!$G$5:$G$130&lt;&gt;"moeda")*(Inputs!$G$5:$G$130&lt;&gt;"acoes")))*INDEX(Inputs!$K$5:$AJ$130,0,MATCH(O$2,Inputs!$K$4:$AJ$4,0)))+SUMPRODUCT((Inputs!$E$5:$E$130=$B38)*Inputs!$F$5:$F$130*(((Inputs!$G$5:$G$130="moeda")+(Inputs!$G$5:$G$130="acoes"))*Inputs!$B$1+((Inputs!$G$5:$G$130&lt;&gt;"moeda")*(Inputs!$G$5:$G$130&lt;&gt;"acoes")))*INDEX(Inputs!$K$5:$AJ$130,0,MATCH(O$2,Inputs!$K$4:$AJ$4,0)))))</f>
        <v>373</v>
      </c>
      <c r="P38" s="6">
        <f>IF(ISNA(MATCH(P$2,Inputs!$K$4:$AJ$4,0)),NA(),IF(SUMPRODUCT((Inputs!$A$5:$A$130=$B38)*ISNUMBER(INDEX(Inputs!$K$5:$AJ$130,0,MATCH(P$2,Inputs!$K$4:$AJ$4,0))))+SUMPRODUCT((Inputs!$C$5:$C$130=$B38)*ISNUMBER(INDEX(Inputs!$K$5:$AJ$130,0,MATCH(P$2,Inputs!$K$4:$AJ$4,0))))+SUMPRODUCT((Inputs!$E$5:$E$130=$B38)*ISNUMBER(INDEX(Inputs!$K$5:$AJ$130,0,MATCH(P$2,Inputs!$K$4:$AJ$4,0))))=0,NA(),SUMPRODUCT((Inputs!$A$5:$A$130=$B38)*Inputs!$B$5:$B$130*(((Inputs!$G$5:$G$130="moeda")+(Inputs!$G$5:$G$130="acoes"))*Inputs!$B$1+((Inputs!$G$5:$G$130&lt;&gt;"moeda")*(Inputs!$G$5:$G$130&lt;&gt;"acoes")))*INDEX(Inputs!$K$5:$AJ$130,0,MATCH(P$2,Inputs!$K$4:$AJ$4,0)))+SUMPRODUCT((Inputs!$C$5:$C$130=$B38)*Inputs!$D$5:$D$130*(((Inputs!$G$5:$G$130="moeda")+(Inputs!$G$5:$G$130="acoes"))*Inputs!$B$1+((Inputs!$G$5:$G$130&lt;&gt;"moeda")*(Inputs!$G$5:$G$130&lt;&gt;"acoes")))*INDEX(Inputs!$K$5:$AJ$130,0,MATCH(P$2,Inputs!$K$4:$AJ$4,0)))+SUMPRODUCT((Inputs!$E$5:$E$130=$B38)*Inputs!$F$5:$F$130*(((Inputs!$G$5:$G$130="moeda")+(Inputs!$G$5:$G$130="acoes"))*Inputs!$B$1+((Inputs!$G$5:$G$130&lt;&gt;"moeda")*(Inputs!$G$5:$G$130&lt;&gt;"acoes")))*INDEX(Inputs!$K$5:$AJ$130,0,MATCH(P$2,Inputs!$K$4:$AJ$4,0)))))</f>
        <v>424</v>
      </c>
      <c r="Q38" s="6">
        <f>IF(ISNA(MATCH(Q$2,Inputs!$K$4:$AJ$4,0)),NA(),IF(SUMPRODUCT((Inputs!$A$5:$A$130=$B38)*ISNUMBER(INDEX(Inputs!$K$5:$AJ$130,0,MATCH(Q$2,Inputs!$K$4:$AJ$4,0))))+SUMPRODUCT((Inputs!$C$5:$C$130=$B38)*ISNUMBER(INDEX(Inputs!$K$5:$AJ$130,0,MATCH(Q$2,Inputs!$K$4:$AJ$4,0))))+SUMPRODUCT((Inputs!$E$5:$E$130=$B38)*ISNUMBER(INDEX(Inputs!$K$5:$AJ$130,0,MATCH(Q$2,Inputs!$K$4:$AJ$4,0))))=0,NA(),SUMPRODUCT((Inputs!$A$5:$A$130=$B38)*Inputs!$B$5:$B$130*(((Inputs!$G$5:$G$130="moeda")+(Inputs!$G$5:$G$130="acoes"))*Inputs!$B$1+((Inputs!$G$5:$G$130&lt;&gt;"moeda")*(Inputs!$G$5:$G$130&lt;&gt;"acoes")))*INDEX(Inputs!$K$5:$AJ$130,0,MATCH(Q$2,Inputs!$K$4:$AJ$4,0)))+SUMPRODUCT((Inputs!$C$5:$C$130=$B38)*Inputs!$D$5:$D$130*(((Inputs!$G$5:$G$130="moeda")+(Inputs!$G$5:$G$130="acoes"))*Inputs!$B$1+((Inputs!$G$5:$G$130&lt;&gt;"moeda")*(Inputs!$G$5:$G$130&lt;&gt;"acoes")))*INDEX(Inputs!$K$5:$AJ$130,0,MATCH(Q$2,Inputs!$K$4:$AJ$4,0)))+SUMPRODUCT((Inputs!$E$5:$E$130=$B38)*Inputs!$F$5:$F$130*(((Inputs!$G$5:$G$130="moeda")+(Inputs!$G$5:$G$130="acoes"))*Inputs!$B$1+((Inputs!$G$5:$G$130&lt;&gt;"moeda")*(Inputs!$G$5:$G$130&lt;&gt;"acoes")))*INDEX(Inputs!$K$5:$AJ$130,0,MATCH(Q$2,Inputs!$K$4:$AJ$4,0)))))</f>
        <v>462</v>
      </c>
      <c r="R38" s="3">
        <f>Q38</f>
        <v>462</v>
      </c>
      <c r="S38" s="6">
        <f>IF(ISNA(MATCH(S$2,Inputs!$K$4:$AJ$4,0)),NA(),IF(SUMPRODUCT((Inputs!$A$5:$A$130=$B38)*ISNUMBER(INDEX(Inputs!$K$5:$AJ$130,0,MATCH(S$2,Inputs!$K$4:$AJ$4,0))))+SUMPRODUCT((Inputs!$C$5:$C$130=$B38)*ISNUMBER(INDEX(Inputs!$K$5:$AJ$130,0,MATCH(S$2,Inputs!$K$4:$AJ$4,0))))+SUMPRODUCT((Inputs!$E$5:$E$130=$B38)*ISNUMBER(INDEX(Inputs!$K$5:$AJ$130,0,MATCH(S$2,Inputs!$K$4:$AJ$4,0))))=0,NA(),SUMPRODUCT((Inputs!$A$5:$A$130=$B38)*Inputs!$B$5:$B$130*(((Inputs!$G$5:$G$130="moeda")+(Inputs!$G$5:$G$130="acoes"))*Inputs!$B$1+((Inputs!$G$5:$G$130&lt;&gt;"moeda")*(Inputs!$G$5:$G$130&lt;&gt;"acoes")))*INDEX(Inputs!$K$5:$AJ$130,0,MATCH(S$2,Inputs!$K$4:$AJ$4,0)))+SUMPRODUCT((Inputs!$C$5:$C$130=$B38)*Inputs!$D$5:$D$130*(((Inputs!$G$5:$G$130="moeda")+(Inputs!$G$5:$G$130="acoes"))*Inputs!$B$1+((Inputs!$G$5:$G$130&lt;&gt;"moeda")*(Inputs!$G$5:$G$130&lt;&gt;"acoes")))*INDEX(Inputs!$K$5:$AJ$130,0,MATCH(S$2,Inputs!$K$4:$AJ$4,0)))+SUMPRODUCT((Inputs!$E$5:$E$130=$B38)*Inputs!$F$5:$F$130*(((Inputs!$G$5:$G$130="moeda")+(Inputs!$G$5:$G$130="acoes"))*Inputs!$B$1+((Inputs!$G$5:$G$130&lt;&gt;"moeda")*(Inputs!$G$5:$G$130&lt;&gt;"acoes")))*INDEX(Inputs!$K$5:$AJ$130,0,MATCH(S$2,Inputs!$K$4:$AJ$4,0)))))</f>
        <v>583</v>
      </c>
      <c r="T38" s="6">
        <f>IF(ISNA(MATCH(T$2,Inputs!$K$4:$AJ$4,0)),NA(),IF(SUMPRODUCT((Inputs!$A$5:$A$130=$B38)*ISNUMBER(INDEX(Inputs!$K$5:$AJ$130,0,MATCH(T$2,Inputs!$K$4:$AJ$4,0))))+SUMPRODUCT((Inputs!$C$5:$C$130=$B38)*ISNUMBER(INDEX(Inputs!$K$5:$AJ$130,0,MATCH(T$2,Inputs!$K$4:$AJ$4,0))))+SUMPRODUCT((Inputs!$E$5:$E$130=$B38)*ISNUMBER(INDEX(Inputs!$K$5:$AJ$130,0,MATCH(T$2,Inputs!$K$4:$AJ$4,0))))=0,NA(),SUMPRODUCT((Inputs!$A$5:$A$130=$B38)*Inputs!$B$5:$B$130*(((Inputs!$G$5:$G$130="moeda")+(Inputs!$G$5:$G$130="acoes"))*Inputs!$B$1+((Inputs!$G$5:$G$130&lt;&gt;"moeda")*(Inputs!$G$5:$G$130&lt;&gt;"acoes")))*INDEX(Inputs!$K$5:$AJ$130,0,MATCH(T$2,Inputs!$K$4:$AJ$4,0)))+SUMPRODUCT((Inputs!$C$5:$C$130=$B38)*Inputs!$D$5:$D$130*(((Inputs!$G$5:$G$130="moeda")+(Inputs!$G$5:$G$130="acoes"))*Inputs!$B$1+((Inputs!$G$5:$G$130&lt;&gt;"moeda")*(Inputs!$G$5:$G$130&lt;&gt;"acoes")))*INDEX(Inputs!$K$5:$AJ$130,0,MATCH(T$2,Inputs!$K$4:$AJ$4,0)))+SUMPRODUCT((Inputs!$E$5:$E$130=$B38)*Inputs!$F$5:$F$130*(((Inputs!$G$5:$G$130="moeda")+(Inputs!$G$5:$G$130="acoes"))*Inputs!$B$1+((Inputs!$G$5:$G$130&lt;&gt;"moeda")*(Inputs!$G$5:$G$130&lt;&gt;"acoes")))*INDEX(Inputs!$K$5:$AJ$130,0,MATCH(T$2,Inputs!$K$4:$AJ$4,0)))))</f>
        <v>697</v>
      </c>
      <c r="U38" s="6">
        <f>IF(ISNA(MATCH(U$2,Inputs!$K$4:$AJ$4,0)),NA(),IF(SUMPRODUCT((Inputs!$A$5:$A$130=$B38)*ISNUMBER(INDEX(Inputs!$K$5:$AJ$130,0,MATCH(U$2,Inputs!$K$4:$AJ$4,0))))+SUMPRODUCT((Inputs!$C$5:$C$130=$B38)*ISNUMBER(INDEX(Inputs!$K$5:$AJ$130,0,MATCH(U$2,Inputs!$K$4:$AJ$4,0))))+SUMPRODUCT((Inputs!$E$5:$E$130=$B38)*ISNUMBER(INDEX(Inputs!$K$5:$AJ$130,0,MATCH(U$2,Inputs!$K$4:$AJ$4,0))))=0,NA(),SUMPRODUCT((Inputs!$A$5:$A$130=$B38)*Inputs!$B$5:$B$130*(((Inputs!$G$5:$G$130="moeda")+(Inputs!$G$5:$G$130="acoes"))*Inputs!$B$1+((Inputs!$G$5:$G$130&lt;&gt;"moeda")*(Inputs!$G$5:$G$130&lt;&gt;"acoes")))*INDEX(Inputs!$K$5:$AJ$130,0,MATCH(U$2,Inputs!$K$4:$AJ$4,0)))+SUMPRODUCT((Inputs!$C$5:$C$130=$B38)*Inputs!$D$5:$D$130*(((Inputs!$G$5:$G$130="moeda")+(Inputs!$G$5:$G$130="acoes"))*Inputs!$B$1+((Inputs!$G$5:$G$130&lt;&gt;"moeda")*(Inputs!$G$5:$G$130&lt;&gt;"acoes")))*INDEX(Inputs!$K$5:$AJ$130,0,MATCH(U$2,Inputs!$K$4:$AJ$4,0)))+SUMPRODUCT((Inputs!$E$5:$E$130=$B38)*Inputs!$F$5:$F$130*(((Inputs!$G$5:$G$130="moeda")+(Inputs!$G$5:$G$130="acoes"))*Inputs!$B$1+((Inputs!$G$5:$G$130&lt;&gt;"moeda")*(Inputs!$G$5:$G$130&lt;&gt;"acoes")))*INDEX(Inputs!$K$5:$AJ$130,0,MATCH(U$2,Inputs!$K$4:$AJ$4,0)))))</f>
        <v>790</v>
      </c>
      <c r="V38" s="6">
        <f>IF(ISNA(MATCH(V$2,Inputs!$K$4:$AJ$4,0)),NA(),IF(SUMPRODUCT((Inputs!$A$5:$A$130=$B38)*ISNUMBER(INDEX(Inputs!$K$5:$AJ$130,0,MATCH(V$2,Inputs!$K$4:$AJ$4,0))))+SUMPRODUCT((Inputs!$C$5:$C$130=$B38)*ISNUMBER(INDEX(Inputs!$K$5:$AJ$130,0,MATCH(V$2,Inputs!$K$4:$AJ$4,0))))+SUMPRODUCT((Inputs!$E$5:$E$130=$B38)*ISNUMBER(INDEX(Inputs!$K$5:$AJ$130,0,MATCH(V$2,Inputs!$K$4:$AJ$4,0))))=0,NA(),SUMPRODUCT((Inputs!$A$5:$A$130=$B38)*Inputs!$B$5:$B$130*(((Inputs!$G$5:$G$130="moeda")+(Inputs!$G$5:$G$130="acoes"))*Inputs!$B$1+((Inputs!$G$5:$G$130&lt;&gt;"moeda")*(Inputs!$G$5:$G$130&lt;&gt;"acoes")))*INDEX(Inputs!$K$5:$AJ$130,0,MATCH(V$2,Inputs!$K$4:$AJ$4,0)))+SUMPRODUCT((Inputs!$C$5:$C$130=$B38)*Inputs!$D$5:$D$130*(((Inputs!$G$5:$G$130="moeda")+(Inputs!$G$5:$G$130="acoes"))*Inputs!$B$1+((Inputs!$G$5:$G$130&lt;&gt;"moeda")*(Inputs!$G$5:$G$130&lt;&gt;"acoes")))*INDEX(Inputs!$K$5:$AJ$130,0,MATCH(V$2,Inputs!$K$4:$AJ$4,0)))+SUMPRODUCT((Inputs!$E$5:$E$130=$B38)*Inputs!$F$5:$F$130*(((Inputs!$G$5:$G$130="moeda")+(Inputs!$G$5:$G$130="acoes"))*Inputs!$B$1+((Inputs!$G$5:$G$130&lt;&gt;"moeda")*(Inputs!$G$5:$G$130&lt;&gt;"acoes")))*INDEX(Inputs!$K$5:$AJ$130,0,MATCH(V$2,Inputs!$K$4:$AJ$4,0)))))</f>
        <v>886</v>
      </c>
      <c r="W38" s="3">
        <f>V38</f>
        <v>886</v>
      </c>
      <c r="X38" s="6">
        <f>IF(ISNA(MATCH(X$2,Inputs!$K$4:$AJ$4,0)),NA(),IF(SUMPRODUCT((Inputs!$A$5:$A$130=$B38)*ISNUMBER(INDEX(Inputs!$K$5:$AJ$130,0,MATCH(X$2,Inputs!$K$4:$AJ$4,0))))+SUMPRODUCT((Inputs!$C$5:$C$130=$B38)*ISNUMBER(INDEX(Inputs!$K$5:$AJ$130,0,MATCH(X$2,Inputs!$K$4:$AJ$4,0))))+SUMPRODUCT((Inputs!$E$5:$E$130=$B38)*ISNUMBER(INDEX(Inputs!$K$5:$AJ$130,0,MATCH(X$2,Inputs!$K$4:$AJ$4,0))))=0,NA(),SUMPRODUCT((Inputs!$A$5:$A$130=$B38)*Inputs!$B$5:$B$130*(((Inputs!$G$5:$G$130="moeda")+(Inputs!$G$5:$G$130="acoes"))*Inputs!$B$1+((Inputs!$G$5:$G$130&lt;&gt;"moeda")*(Inputs!$G$5:$G$130&lt;&gt;"acoes")))*INDEX(Inputs!$K$5:$AJ$130,0,MATCH(X$2,Inputs!$K$4:$AJ$4,0)))+SUMPRODUCT((Inputs!$C$5:$C$130=$B38)*Inputs!$D$5:$D$130*(((Inputs!$G$5:$G$130="moeda")+(Inputs!$G$5:$G$130="acoes"))*Inputs!$B$1+((Inputs!$G$5:$G$130&lt;&gt;"moeda")*(Inputs!$G$5:$G$130&lt;&gt;"acoes")))*INDEX(Inputs!$K$5:$AJ$130,0,MATCH(X$2,Inputs!$K$4:$AJ$4,0)))+SUMPRODUCT((Inputs!$E$5:$E$130=$B38)*Inputs!$F$5:$F$130*(((Inputs!$G$5:$G$130="moeda")+(Inputs!$G$5:$G$130="acoes"))*Inputs!$B$1+((Inputs!$G$5:$G$130&lt;&gt;"moeda")*(Inputs!$G$5:$G$130&lt;&gt;"acoes")))*INDEX(Inputs!$K$5:$AJ$130,0,MATCH(X$2,Inputs!$K$4:$AJ$4,0)))))</f>
        <v>1082</v>
      </c>
      <c r="Y38" s="6">
        <f>IF(ISNA(MATCH(Y$2,Inputs!$K$4:$AJ$4,0)),NA(),IF(SUMPRODUCT((Inputs!$A$5:$A$130=$B38)*ISNUMBER(INDEX(Inputs!$K$5:$AJ$130,0,MATCH(Y$2,Inputs!$K$4:$AJ$4,0))))+SUMPRODUCT((Inputs!$C$5:$C$130=$B38)*ISNUMBER(INDEX(Inputs!$K$5:$AJ$130,0,MATCH(Y$2,Inputs!$K$4:$AJ$4,0))))+SUMPRODUCT((Inputs!$E$5:$E$130=$B38)*ISNUMBER(INDEX(Inputs!$K$5:$AJ$130,0,MATCH(Y$2,Inputs!$K$4:$AJ$4,0))))=0,NA(),SUMPRODUCT((Inputs!$A$5:$A$130=$B38)*Inputs!$B$5:$B$130*(((Inputs!$G$5:$G$130="moeda")+(Inputs!$G$5:$G$130="acoes"))*Inputs!$B$1+((Inputs!$G$5:$G$130&lt;&gt;"moeda")*(Inputs!$G$5:$G$130&lt;&gt;"acoes")))*INDEX(Inputs!$K$5:$AJ$130,0,MATCH(Y$2,Inputs!$K$4:$AJ$4,0)))+SUMPRODUCT((Inputs!$C$5:$C$130=$B38)*Inputs!$D$5:$D$130*(((Inputs!$G$5:$G$130="moeda")+(Inputs!$G$5:$G$130="acoes"))*Inputs!$B$1+((Inputs!$G$5:$G$130&lt;&gt;"moeda")*(Inputs!$G$5:$G$130&lt;&gt;"acoes")))*INDEX(Inputs!$K$5:$AJ$130,0,MATCH(Y$2,Inputs!$K$4:$AJ$4,0)))+SUMPRODUCT((Inputs!$E$5:$E$130=$B38)*Inputs!$F$5:$F$130*(((Inputs!$G$5:$G$130="moeda")+(Inputs!$G$5:$G$130="acoes"))*Inputs!$B$1+((Inputs!$G$5:$G$130&lt;&gt;"moeda")*(Inputs!$G$5:$G$130&lt;&gt;"acoes")))*INDEX(Inputs!$K$5:$AJ$130,0,MATCH(Y$2,Inputs!$K$4:$AJ$4,0)))))</f>
        <v>1351</v>
      </c>
      <c r="Z38" s="6">
        <f>IF(ISNA(MATCH(Z$2,Inputs!$K$4:$AJ$4,0)),NA(),IF(SUMPRODUCT((Inputs!$A$5:$A$130=$B38)*ISNUMBER(INDEX(Inputs!$K$5:$AJ$130,0,MATCH(Z$2,Inputs!$K$4:$AJ$4,0))))+SUMPRODUCT((Inputs!$C$5:$C$130=$B38)*ISNUMBER(INDEX(Inputs!$K$5:$AJ$130,0,MATCH(Z$2,Inputs!$K$4:$AJ$4,0))))+SUMPRODUCT((Inputs!$E$5:$E$130=$B38)*ISNUMBER(INDEX(Inputs!$K$5:$AJ$130,0,MATCH(Z$2,Inputs!$K$4:$AJ$4,0))))=0,NA(),SUMPRODUCT((Inputs!$A$5:$A$130=$B38)*Inputs!$B$5:$B$130*(((Inputs!$G$5:$G$130="moeda")+(Inputs!$G$5:$G$130="acoes"))*Inputs!$B$1+((Inputs!$G$5:$G$130&lt;&gt;"moeda")*(Inputs!$G$5:$G$130&lt;&gt;"acoes")))*INDEX(Inputs!$K$5:$AJ$130,0,MATCH(Z$2,Inputs!$K$4:$AJ$4,0)))+SUMPRODUCT((Inputs!$C$5:$C$130=$B38)*Inputs!$D$5:$D$130*(((Inputs!$G$5:$G$130="moeda")+(Inputs!$G$5:$G$130="acoes"))*Inputs!$B$1+((Inputs!$G$5:$G$130&lt;&gt;"moeda")*(Inputs!$G$5:$G$130&lt;&gt;"acoes")))*INDEX(Inputs!$K$5:$AJ$130,0,MATCH(Z$2,Inputs!$K$4:$AJ$4,0)))+SUMPRODUCT((Inputs!$E$5:$E$130=$B38)*Inputs!$F$5:$F$130*(((Inputs!$G$5:$G$130="moeda")+(Inputs!$G$5:$G$130="acoes"))*Inputs!$B$1+((Inputs!$G$5:$G$130&lt;&gt;"moeda")*(Inputs!$G$5:$G$130&lt;&gt;"acoes")))*INDEX(Inputs!$K$5:$AJ$130,0,MATCH(Z$2,Inputs!$K$4:$AJ$4,0)))))</f>
        <v>1621</v>
      </c>
      <c r="AA38" s="6">
        <f>IF(ISNA(MATCH(AA$2,Inputs!$K$4:$AJ$4,0)),NA(),IF(SUMPRODUCT((Inputs!$A$5:$A$130=$B38)*ISNUMBER(INDEX(Inputs!$K$5:$AJ$130,0,MATCH(AA$2,Inputs!$K$4:$AJ$4,0))))+SUMPRODUCT((Inputs!$C$5:$C$130=$B38)*ISNUMBER(INDEX(Inputs!$K$5:$AJ$130,0,MATCH(AA$2,Inputs!$K$4:$AJ$4,0))))+SUMPRODUCT((Inputs!$E$5:$E$130=$B38)*ISNUMBER(INDEX(Inputs!$K$5:$AJ$130,0,MATCH(AA$2,Inputs!$K$4:$AJ$4,0))))=0,NA(),SUMPRODUCT((Inputs!$A$5:$A$130=$B38)*Inputs!$B$5:$B$130*(((Inputs!$G$5:$G$130="moeda")+(Inputs!$G$5:$G$130="acoes"))*Inputs!$B$1+((Inputs!$G$5:$G$130&lt;&gt;"moeda")*(Inputs!$G$5:$G$130&lt;&gt;"acoes")))*INDEX(Inputs!$K$5:$AJ$130,0,MATCH(AA$2,Inputs!$K$4:$AJ$4,0)))+SUMPRODUCT((Inputs!$C$5:$C$130=$B38)*Inputs!$D$5:$D$130*(((Inputs!$G$5:$G$130="moeda")+(Inputs!$G$5:$G$130="acoes"))*Inputs!$B$1+((Inputs!$G$5:$G$130&lt;&gt;"moeda")*(Inputs!$G$5:$G$130&lt;&gt;"acoes")))*INDEX(Inputs!$K$5:$AJ$130,0,MATCH(AA$2,Inputs!$K$4:$AJ$4,0)))+SUMPRODUCT((Inputs!$E$5:$E$130=$B38)*Inputs!$F$5:$F$130*(((Inputs!$G$5:$G$130="moeda")+(Inputs!$G$5:$G$130="acoes"))*Inputs!$B$1+((Inputs!$G$5:$G$130&lt;&gt;"moeda")*(Inputs!$G$5:$G$130&lt;&gt;"acoes")))*INDEX(Inputs!$K$5:$AJ$130,0,MATCH(AA$2,Inputs!$K$4:$AJ$4,0)))))</f>
        <v>1774</v>
      </c>
      <c r="AB38" s="3">
        <f>AA38</f>
        <v>1774</v>
      </c>
      <c r="AC38" s="6">
        <f>IF(ISNA(MATCH(AC$2,Inputs!$K$4:$AJ$4,0)),NA(),IF(SUMPRODUCT((Inputs!$A$5:$A$130=$B38)*ISNUMBER(INDEX(Inputs!$K$5:$AJ$130,0,MATCH(AC$2,Inputs!$K$4:$AJ$4,0))))+SUMPRODUCT((Inputs!$C$5:$C$130=$B38)*ISNUMBER(INDEX(Inputs!$K$5:$AJ$130,0,MATCH(AC$2,Inputs!$K$4:$AJ$4,0))))+SUMPRODUCT((Inputs!$E$5:$E$130=$B38)*ISNUMBER(INDEX(Inputs!$K$5:$AJ$130,0,MATCH(AC$2,Inputs!$K$4:$AJ$4,0))))=0,NA(),SUMPRODUCT((Inputs!$A$5:$A$130=$B38)*Inputs!$B$5:$B$130*(((Inputs!$G$5:$G$130="moeda")+(Inputs!$G$5:$G$130="acoes"))*Inputs!$B$1+((Inputs!$G$5:$G$130&lt;&gt;"moeda")*(Inputs!$G$5:$G$130&lt;&gt;"acoes")))*INDEX(Inputs!$K$5:$AJ$130,0,MATCH(AC$2,Inputs!$K$4:$AJ$4,0)))+SUMPRODUCT((Inputs!$C$5:$C$130=$B38)*Inputs!$D$5:$D$130*(((Inputs!$G$5:$G$130="moeda")+(Inputs!$G$5:$G$130="acoes"))*Inputs!$B$1+((Inputs!$G$5:$G$130&lt;&gt;"moeda")*(Inputs!$G$5:$G$130&lt;&gt;"acoes")))*INDEX(Inputs!$K$5:$AJ$130,0,MATCH(AC$2,Inputs!$K$4:$AJ$4,0)))+SUMPRODUCT((Inputs!$E$5:$E$130=$B38)*Inputs!$F$5:$F$130*(((Inputs!$G$5:$G$130="moeda")+(Inputs!$G$5:$G$130="acoes"))*Inputs!$B$1+((Inputs!$G$5:$G$130&lt;&gt;"moeda")*(Inputs!$G$5:$G$130&lt;&gt;"acoes")))*INDEX(Inputs!$K$5:$AJ$130,0,MATCH(AC$2,Inputs!$K$4:$AJ$4,0)))))</f>
        <v>1798</v>
      </c>
      <c r="AD38" s="6">
        <f>IF(ISNA(MATCH(AD$2,Inputs!$K$4:$AJ$4,0)),NA(),IF(SUMPRODUCT((Inputs!$A$5:$A$130=$B38)*ISNUMBER(INDEX(Inputs!$K$5:$AJ$130,0,MATCH(AD$2,Inputs!$K$4:$AJ$4,0))))+SUMPRODUCT((Inputs!$C$5:$C$130=$B38)*ISNUMBER(INDEX(Inputs!$K$5:$AJ$130,0,MATCH(AD$2,Inputs!$K$4:$AJ$4,0))))+SUMPRODUCT((Inputs!$E$5:$E$130=$B38)*ISNUMBER(INDEX(Inputs!$K$5:$AJ$130,0,MATCH(AD$2,Inputs!$K$4:$AJ$4,0))))=0,NA(),SUMPRODUCT((Inputs!$A$5:$A$130=$B38)*Inputs!$B$5:$B$130*(((Inputs!$G$5:$G$130="moeda")+(Inputs!$G$5:$G$130="acoes"))*Inputs!$B$1+((Inputs!$G$5:$G$130&lt;&gt;"moeda")*(Inputs!$G$5:$G$130&lt;&gt;"acoes")))*INDEX(Inputs!$K$5:$AJ$130,0,MATCH(AD$2,Inputs!$K$4:$AJ$4,0)))+SUMPRODUCT((Inputs!$C$5:$C$130=$B38)*Inputs!$D$5:$D$130*(((Inputs!$G$5:$G$130="moeda")+(Inputs!$G$5:$G$130="acoes"))*Inputs!$B$1+((Inputs!$G$5:$G$130&lt;&gt;"moeda")*(Inputs!$G$5:$G$130&lt;&gt;"acoes")))*INDEX(Inputs!$K$5:$AJ$130,0,MATCH(AD$2,Inputs!$K$4:$AJ$4,0)))+SUMPRODUCT((Inputs!$E$5:$E$130=$B38)*Inputs!$F$5:$F$130*(((Inputs!$G$5:$G$130="moeda")+(Inputs!$G$5:$G$130="acoes"))*Inputs!$B$1+((Inputs!$G$5:$G$130&lt;&gt;"moeda")*(Inputs!$G$5:$G$130&lt;&gt;"acoes")))*INDEX(Inputs!$K$5:$AJ$130,0,MATCH(AD$2,Inputs!$K$4:$AJ$4,0)))))</f>
        <v>1619</v>
      </c>
      <c r="AE38" s="6" t="e">
        <f>IF(ISNA(MATCH(AE$2,Inputs!$K$4:$AJ$4,0)),NA(),IF(SUMPRODUCT((Inputs!$A$5:$A$130=$B38)*ISNUMBER(INDEX(Inputs!$K$5:$AJ$130,0,MATCH(AE$2,Inputs!$K$4:$AJ$4,0))))+SUMPRODUCT((Inputs!$C$5:$C$130=$B38)*ISNUMBER(INDEX(Inputs!$K$5:$AJ$130,0,MATCH(AE$2,Inputs!$K$4:$AJ$4,0))))+SUMPRODUCT((Inputs!$E$5:$E$130=$B38)*ISNUMBER(INDEX(Inputs!$K$5:$AJ$130,0,MATCH(AE$2,Inputs!$K$4:$AJ$4,0))))=0,NA(),SUMPRODUCT((Inputs!$A$5:$A$130=$B38)*Inputs!$B$5:$B$130*(((Inputs!$G$5:$G$130="moeda")+(Inputs!$G$5:$G$130="acoes"))*Inputs!$B$1+((Inputs!$G$5:$G$130&lt;&gt;"moeda")*(Inputs!$G$5:$G$130&lt;&gt;"acoes")))*INDEX(Inputs!$K$5:$AJ$130,0,MATCH(AE$2,Inputs!$K$4:$AJ$4,0)))+SUMPRODUCT((Inputs!$C$5:$C$130=$B38)*Inputs!$D$5:$D$130*(((Inputs!$G$5:$G$130="moeda")+(Inputs!$G$5:$G$130="acoes"))*Inputs!$B$1+((Inputs!$G$5:$G$130&lt;&gt;"moeda")*(Inputs!$G$5:$G$130&lt;&gt;"acoes")))*INDEX(Inputs!$K$5:$AJ$130,0,MATCH(AE$2,Inputs!$K$4:$AJ$4,0)))+SUMPRODUCT((Inputs!$E$5:$E$130=$B38)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8" s="6" t="e">
        <f>IF(ISNA(MATCH(AF$2,Inputs!$K$4:$AJ$4,0)),NA(),IF(SUMPRODUCT((Inputs!$A$5:$A$130=$B38)*ISNUMBER(INDEX(Inputs!$K$5:$AJ$130,0,MATCH(AF$2,Inputs!$K$4:$AJ$4,0))))+SUMPRODUCT((Inputs!$C$5:$C$130=$B38)*ISNUMBER(INDEX(Inputs!$K$5:$AJ$130,0,MATCH(AF$2,Inputs!$K$4:$AJ$4,0))))+SUMPRODUCT((Inputs!$E$5:$E$130=$B38)*ISNUMBER(INDEX(Inputs!$K$5:$AJ$130,0,MATCH(AF$2,Inputs!$K$4:$AJ$4,0))))=0,NA(),SUMPRODUCT((Inputs!$A$5:$A$130=$B38)*Inputs!$B$5:$B$130*(((Inputs!$G$5:$G$130="moeda")+(Inputs!$G$5:$G$130="acoes"))*Inputs!$B$1+((Inputs!$G$5:$G$130&lt;&gt;"moeda")*(Inputs!$G$5:$G$130&lt;&gt;"acoes")))*INDEX(Inputs!$K$5:$AJ$130,0,MATCH(AF$2,Inputs!$K$4:$AJ$4,0)))+SUMPRODUCT((Inputs!$C$5:$C$130=$B38)*Inputs!$D$5:$D$130*(((Inputs!$G$5:$G$130="moeda")+(Inputs!$G$5:$G$130="acoes"))*Inputs!$B$1+((Inputs!$G$5:$G$130&lt;&gt;"moeda")*(Inputs!$G$5:$G$130&lt;&gt;"acoes")))*INDEX(Inputs!$K$5:$AJ$130,0,MATCH(AF$2,Inputs!$K$4:$AJ$4,0)))+SUMPRODUCT((Inputs!$E$5:$E$130=$B38)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8" s="3" t="e">
        <f>AF38</f>
        <v>#N/A</v>
      </c>
      <c r="AH38" s="6">
        <f>IF(ISNA(MATCH(AH$2,Inputs!$K$4:$AJ$4,0)),NA(),IF(SUMPRODUCT((Inputs!$A$5:$A$130=$B38)*ISNUMBER(INDEX(Inputs!$K$5:$AJ$130,0,MATCH(AH$2,Inputs!$K$4:$AJ$4,0))))+SUMPRODUCT((Inputs!$C$5:$C$130=$B38)*ISNUMBER(INDEX(Inputs!$K$5:$AJ$130,0,MATCH(AH$2,Inputs!$K$4:$AJ$4,0))))+SUMPRODUCT((Inputs!$E$5:$E$130=$B38)*ISNUMBER(INDEX(Inputs!$K$5:$AJ$130,0,MATCH(AH$2,Inputs!$K$4:$AJ$4,0))))=0,NA(),SUMPRODUCT((Inputs!$A$5:$A$130=$B38)*Inputs!$B$5:$B$130*(((Inputs!$G$5:$G$130="moeda")+(Inputs!$G$5:$G$130="acoes"))*Inputs!$B$1+((Inputs!$G$5:$G$130&lt;&gt;"moeda")*(Inputs!$G$5:$G$130&lt;&gt;"acoes")))*INDEX(Inputs!$K$5:$AJ$130,0,MATCH(AH$2,Inputs!$K$4:$AJ$4,0)))+SUMPRODUCT((Inputs!$C$5:$C$130=$B38)*Inputs!$D$5:$D$130*(((Inputs!$G$5:$G$130="moeda")+(Inputs!$G$5:$G$130="acoes"))*Inputs!$B$1+((Inputs!$G$5:$G$130&lt;&gt;"moeda")*(Inputs!$G$5:$G$130&lt;&gt;"acoes")))*INDEX(Inputs!$K$5:$AJ$130,0,MATCH(AH$2,Inputs!$K$4:$AJ$4,0)))+SUMPRODUCT((Inputs!$E$5:$E$130=$B38)*Inputs!$F$5:$F$130*(((Inputs!$G$5:$G$130="moeda")+(Inputs!$G$5:$G$130="acoes"))*Inputs!$B$1+((Inputs!$G$5:$G$130&lt;&gt;"moeda")*(Inputs!$G$5:$G$130&lt;&gt;"acoes")))*INDEX(Inputs!$K$5:$AJ$130,0,MATCH(AH$2,Inputs!$K$4:$AJ$4,0)))))</f>
        <v>32</v>
      </c>
      <c r="AI38" s="6">
        <f>IF(ISNA(MATCH(AI$2,Inputs!$K$4:$AJ$4,0)),NA(),IF(SUMPRODUCT((Inputs!$A$5:$A$130=$B38)*ISNUMBER(INDEX(Inputs!$K$5:$AJ$130,0,MATCH(AI$2,Inputs!$K$4:$AJ$4,0))))+SUMPRODUCT((Inputs!$C$5:$C$130=$B38)*ISNUMBER(INDEX(Inputs!$K$5:$AJ$130,0,MATCH(AI$2,Inputs!$K$4:$AJ$4,0))))+SUMPRODUCT((Inputs!$E$5:$E$130=$B38)*ISNUMBER(INDEX(Inputs!$K$5:$AJ$130,0,MATCH(AI$2,Inputs!$K$4:$AJ$4,0))))=0,NA(),SUMPRODUCT((Inputs!$A$5:$A$130=$B38)*Inputs!$B$5:$B$130*(((Inputs!$G$5:$G$130="moeda")+(Inputs!$G$5:$G$130="acoes"))*Inputs!$B$1+((Inputs!$G$5:$G$130&lt;&gt;"moeda")*(Inputs!$G$5:$G$130&lt;&gt;"acoes")))*INDEX(Inputs!$K$5:$AJ$130,0,MATCH(AI$2,Inputs!$K$4:$AJ$4,0)))+SUMPRODUCT((Inputs!$C$5:$C$130=$B38)*Inputs!$D$5:$D$130*(((Inputs!$G$5:$G$130="moeda")+(Inputs!$G$5:$G$130="acoes"))*Inputs!$B$1+((Inputs!$G$5:$G$130&lt;&gt;"moeda")*(Inputs!$G$5:$G$130&lt;&gt;"acoes")))*INDEX(Inputs!$K$5:$AJ$130,0,MATCH(AI$2,Inputs!$K$4:$AJ$4,0)))+SUMPRODUCT((Inputs!$E$5:$E$130=$B38)*Inputs!$F$5:$F$130*(((Inputs!$G$5:$G$130="moeda")+(Inputs!$G$5:$G$130="acoes"))*Inputs!$B$1+((Inputs!$G$5:$G$130&lt;&gt;"moeda")*(Inputs!$G$5:$G$130&lt;&gt;"acoes")))*INDEX(Inputs!$K$5:$AJ$130,0,MATCH(AI$2,Inputs!$K$4:$AJ$4,0)))))</f>
        <v>274</v>
      </c>
      <c r="AJ38" s="6">
        <f>IF(ISNA(MATCH(AJ$2,Inputs!$K$4:$AJ$4,0)),NA(),IF(SUMPRODUCT((Inputs!$A$5:$A$130=$B38)*ISNUMBER(INDEX(Inputs!$K$5:$AJ$130,0,MATCH(AJ$2,Inputs!$K$4:$AJ$4,0))))+SUMPRODUCT((Inputs!$C$5:$C$130=$B38)*ISNUMBER(INDEX(Inputs!$K$5:$AJ$130,0,MATCH(AJ$2,Inputs!$K$4:$AJ$4,0))))+SUMPRODUCT((Inputs!$E$5:$E$130=$B38)*ISNUMBER(INDEX(Inputs!$K$5:$AJ$130,0,MATCH(AJ$2,Inputs!$K$4:$AJ$4,0))))=0,NA(),SUMPRODUCT((Inputs!$A$5:$A$130=$B38)*Inputs!$B$5:$B$130*(((Inputs!$G$5:$G$130="moeda")+(Inputs!$G$5:$G$130="acoes"))*Inputs!$B$1+((Inputs!$G$5:$G$130&lt;&gt;"moeda")*(Inputs!$G$5:$G$130&lt;&gt;"acoes")))*INDEX(Inputs!$K$5:$AJ$130,0,MATCH(AJ$2,Inputs!$K$4:$AJ$4,0)))+SUMPRODUCT((Inputs!$C$5:$C$130=$B38)*Inputs!$D$5:$D$130*(((Inputs!$G$5:$G$130="moeda")+(Inputs!$G$5:$G$130="acoes"))*Inputs!$B$1+((Inputs!$G$5:$G$130&lt;&gt;"moeda")*(Inputs!$G$5:$G$130&lt;&gt;"acoes")))*INDEX(Inputs!$K$5:$AJ$130,0,MATCH(AJ$2,Inputs!$K$4:$AJ$4,0)))+SUMPRODUCT((Inputs!$E$5:$E$130=$B38)*Inputs!$F$5:$F$130*(((Inputs!$G$5:$G$130="moeda")+(Inputs!$G$5:$G$130="acoes"))*Inputs!$B$1+((Inputs!$G$5:$G$130&lt;&gt;"moeda")*(Inputs!$G$5:$G$130&lt;&gt;"acoes")))*INDEX(Inputs!$K$5:$AJ$130,0,MATCH(AJ$2,Inputs!$K$4:$AJ$4,0)))))</f>
        <v>258</v>
      </c>
      <c r="AK38" s="6">
        <f>IF(ISNA(MATCH(AK$2,Inputs!$K$4:$AJ$4,0)),NA(),IF(SUMPRODUCT((Inputs!$A$5:$A$130=$B38)*ISNUMBER(INDEX(Inputs!$K$5:$AJ$130,0,MATCH(AK$2,Inputs!$K$4:$AJ$4,0))))+SUMPRODUCT((Inputs!$C$5:$C$130=$B38)*ISNUMBER(INDEX(Inputs!$K$5:$AJ$130,0,MATCH(AK$2,Inputs!$K$4:$AJ$4,0))))+SUMPRODUCT((Inputs!$E$5:$E$130=$B38)*ISNUMBER(INDEX(Inputs!$K$5:$AJ$130,0,MATCH(AK$2,Inputs!$K$4:$AJ$4,0))))=0,NA(),SUMPRODUCT((Inputs!$A$5:$A$130=$B38)*Inputs!$B$5:$B$130*(((Inputs!$G$5:$G$130="moeda")+(Inputs!$G$5:$G$130="acoes"))*Inputs!$B$1+((Inputs!$G$5:$G$130&lt;&gt;"moeda")*(Inputs!$G$5:$G$130&lt;&gt;"acoes")))*INDEX(Inputs!$K$5:$AJ$130,0,MATCH(AK$2,Inputs!$K$4:$AJ$4,0)))+SUMPRODUCT((Inputs!$C$5:$C$130=$B38)*Inputs!$D$5:$D$130*(((Inputs!$G$5:$G$130="moeda")+(Inputs!$G$5:$G$130="acoes"))*Inputs!$B$1+((Inputs!$G$5:$G$130&lt;&gt;"moeda")*(Inputs!$G$5:$G$130&lt;&gt;"acoes")))*INDEX(Inputs!$K$5:$AJ$130,0,MATCH(AK$2,Inputs!$K$4:$AJ$4,0)))+SUMPRODUCT((Inputs!$E$5:$E$130=$B38)*Inputs!$F$5:$F$130*(((Inputs!$G$5:$G$130="moeda")+(Inputs!$G$5:$G$130="acoes"))*Inputs!$B$1+((Inputs!$G$5:$G$130&lt;&gt;"moeda")*(Inputs!$G$5:$G$130&lt;&gt;"acoes")))*INDEX(Inputs!$K$5:$AJ$130,0,MATCH(AK$2,Inputs!$K$4:$AJ$4,0)))))</f>
        <v>241</v>
      </c>
      <c r="AL38" s="3">
        <f>AK38</f>
        <v>241</v>
      </c>
    </row>
    <row r="39">
      <c r="B39" s="46" t="n">
        <v>34</v>
      </c>
      <c r="C39" s="26" t="inlineStr">
        <is>
          <t>Other non-current liabilities</t>
        </is>
      </c>
      <c r="D39" s="6">
        <f>IF(ISNA(MATCH(D$2,Inputs!$K$4:$AJ$4,0)),NA(),IF(SUMPRODUCT((Inputs!$A$5:$A$130=$B39)*ISNUMBER(INDEX(Inputs!$K$5:$AJ$130,0,MATCH(D$2,Inputs!$K$4:$AJ$4,0))))+SUMPRODUCT((Inputs!$C$5:$C$130=$B39)*ISNUMBER(INDEX(Inputs!$K$5:$AJ$130,0,MATCH(D$2,Inputs!$K$4:$AJ$4,0))))+SUMPRODUCT((Inputs!$E$5:$E$130=$B39)*ISNUMBER(INDEX(Inputs!$K$5:$AJ$130,0,MATCH(D$2,Inputs!$K$4:$AJ$4,0))))=0,NA(),SUMPRODUCT((Inputs!$A$5:$A$130=$B39)*Inputs!$B$5:$B$130*(((Inputs!$G$5:$G$130="moeda")+(Inputs!$G$5:$G$130="acoes"))*Inputs!$B$1+((Inputs!$G$5:$G$130&lt;&gt;"moeda")*(Inputs!$G$5:$G$130&lt;&gt;"acoes")))*INDEX(Inputs!$K$5:$AJ$130,0,MATCH(D$2,Inputs!$K$4:$AJ$4,0)))+SUMPRODUCT((Inputs!$C$5:$C$130=$B39)*Inputs!$D$5:$D$130*(((Inputs!$G$5:$G$130="moeda")+(Inputs!$G$5:$G$130="acoes"))*Inputs!$B$1+((Inputs!$G$5:$G$130&lt;&gt;"moeda")*(Inputs!$G$5:$G$130&lt;&gt;"acoes")))*INDEX(Inputs!$K$5:$AJ$130,0,MATCH(D$2,Inputs!$K$4:$AJ$4,0)))+SUMPRODUCT((Inputs!$E$5:$E$130=$B39)*Inputs!$F$5:$F$130*(((Inputs!$G$5:$G$130="moeda")+(Inputs!$G$5:$G$130="acoes"))*Inputs!$B$1+((Inputs!$G$5:$G$130&lt;&gt;"moeda")*(Inputs!$G$5:$G$130&lt;&gt;"acoes")))*INDEX(Inputs!$K$5:$AJ$130,0,MATCH(D$2,Inputs!$K$4:$AJ$4,0)))))</f>
        <v>1180</v>
      </c>
      <c r="E39" s="6">
        <f>IF(ISNA(MATCH(E$2,Inputs!$K$4:$AJ$4,0)),NA(),IF(SUMPRODUCT((Inputs!$A$5:$A$130=$B39)*ISNUMBER(INDEX(Inputs!$K$5:$AJ$130,0,MATCH(E$2,Inputs!$K$4:$AJ$4,0))))+SUMPRODUCT((Inputs!$C$5:$C$130=$B39)*ISNUMBER(INDEX(Inputs!$K$5:$AJ$130,0,MATCH(E$2,Inputs!$K$4:$AJ$4,0))))+SUMPRODUCT((Inputs!$E$5:$E$130=$B39)*ISNUMBER(INDEX(Inputs!$K$5:$AJ$130,0,MATCH(E$2,Inputs!$K$4:$AJ$4,0))))=0,NA(),SUMPRODUCT((Inputs!$A$5:$A$130=$B39)*Inputs!$B$5:$B$130*(((Inputs!$G$5:$G$130="moeda")+(Inputs!$G$5:$G$130="acoes"))*Inputs!$B$1+((Inputs!$G$5:$G$130&lt;&gt;"moeda")*(Inputs!$G$5:$G$130&lt;&gt;"acoes")))*INDEX(Inputs!$K$5:$AJ$130,0,MATCH(E$2,Inputs!$K$4:$AJ$4,0)))+SUMPRODUCT((Inputs!$C$5:$C$130=$B39)*Inputs!$D$5:$D$130*(((Inputs!$G$5:$G$130="moeda")+(Inputs!$G$5:$G$130="acoes"))*Inputs!$B$1+((Inputs!$G$5:$G$130&lt;&gt;"moeda")*(Inputs!$G$5:$G$130&lt;&gt;"acoes")))*INDEX(Inputs!$K$5:$AJ$130,0,MATCH(E$2,Inputs!$K$4:$AJ$4,0)))+SUMPRODUCT((Inputs!$E$5:$E$130=$B39)*Inputs!$F$5:$F$130*(((Inputs!$G$5:$G$130="moeda")+(Inputs!$G$5:$G$130="acoes"))*Inputs!$B$1+((Inputs!$G$5:$G$130&lt;&gt;"moeda")*(Inputs!$G$5:$G$130&lt;&gt;"acoes")))*INDEX(Inputs!$K$5:$AJ$130,0,MATCH(E$2,Inputs!$K$4:$AJ$4,0)))))</f>
        <v>1167</v>
      </c>
      <c r="F39" s="6">
        <f>IF(ISNA(MATCH(F$2,Inputs!$K$4:$AJ$4,0)),NA(),IF(SUMPRODUCT((Inputs!$A$5:$A$130=$B39)*ISNUMBER(INDEX(Inputs!$K$5:$AJ$130,0,MATCH(F$2,Inputs!$K$4:$AJ$4,0))))+SUMPRODUCT((Inputs!$C$5:$C$130=$B39)*ISNUMBER(INDEX(Inputs!$K$5:$AJ$130,0,MATCH(F$2,Inputs!$K$4:$AJ$4,0))))+SUMPRODUCT((Inputs!$E$5:$E$130=$B39)*ISNUMBER(INDEX(Inputs!$K$5:$AJ$130,0,MATCH(F$2,Inputs!$K$4:$AJ$4,0))))=0,NA(),SUMPRODUCT((Inputs!$A$5:$A$130=$B39)*Inputs!$B$5:$B$130*(((Inputs!$G$5:$G$130="moeda")+(Inputs!$G$5:$G$130="acoes"))*Inputs!$B$1+((Inputs!$G$5:$G$130&lt;&gt;"moeda")*(Inputs!$G$5:$G$130&lt;&gt;"acoes")))*INDEX(Inputs!$K$5:$AJ$130,0,MATCH(F$2,Inputs!$K$4:$AJ$4,0)))+SUMPRODUCT((Inputs!$C$5:$C$130=$B39)*Inputs!$D$5:$D$130*(((Inputs!$G$5:$G$130="moeda")+(Inputs!$G$5:$G$130="acoes"))*Inputs!$B$1+((Inputs!$G$5:$G$130&lt;&gt;"moeda")*(Inputs!$G$5:$G$130&lt;&gt;"acoes")))*INDEX(Inputs!$K$5:$AJ$130,0,MATCH(F$2,Inputs!$K$4:$AJ$4,0)))+SUMPRODUCT((Inputs!$E$5:$E$130=$B39)*Inputs!$F$5:$F$130*(((Inputs!$G$5:$G$130="moeda")+(Inputs!$G$5:$G$130="acoes"))*Inputs!$B$1+((Inputs!$G$5:$G$130&lt;&gt;"moeda")*(Inputs!$G$5:$G$130&lt;&gt;"acoes")))*INDEX(Inputs!$K$5:$AJ$130,0,MATCH(F$2,Inputs!$K$4:$AJ$4,0)))))</f>
        <v>1310</v>
      </c>
      <c r="G39" s="6">
        <f>IF(ISNA(MATCH(G$2,Inputs!$K$4:$AJ$4,0)),NA(),IF(SUMPRODUCT((Inputs!$A$5:$A$130=$B39)*ISNUMBER(INDEX(Inputs!$K$5:$AJ$130,0,MATCH(G$2,Inputs!$K$4:$AJ$4,0))))+SUMPRODUCT((Inputs!$C$5:$C$130=$B39)*ISNUMBER(INDEX(Inputs!$K$5:$AJ$130,0,MATCH(G$2,Inputs!$K$4:$AJ$4,0))))+SUMPRODUCT((Inputs!$E$5:$E$130=$B39)*ISNUMBER(INDEX(Inputs!$K$5:$AJ$130,0,MATCH(G$2,Inputs!$K$4:$AJ$4,0))))=0,NA(),SUMPRODUCT((Inputs!$A$5:$A$130=$B39)*Inputs!$B$5:$B$130*(((Inputs!$G$5:$G$130="moeda")+(Inputs!$G$5:$G$130="acoes"))*Inputs!$B$1+((Inputs!$G$5:$G$130&lt;&gt;"moeda")*(Inputs!$G$5:$G$130&lt;&gt;"acoes")))*INDEX(Inputs!$K$5:$AJ$130,0,MATCH(G$2,Inputs!$K$4:$AJ$4,0)))+SUMPRODUCT((Inputs!$C$5:$C$130=$B39)*Inputs!$D$5:$D$130*(((Inputs!$G$5:$G$130="moeda")+(Inputs!$G$5:$G$130="acoes"))*Inputs!$B$1+((Inputs!$G$5:$G$130&lt;&gt;"moeda")*(Inputs!$G$5:$G$130&lt;&gt;"acoes")))*INDEX(Inputs!$K$5:$AJ$130,0,MATCH(G$2,Inputs!$K$4:$AJ$4,0)))+SUMPRODUCT((Inputs!$E$5:$E$130=$B39)*Inputs!$F$5:$F$130*(((Inputs!$G$5:$G$130="moeda")+(Inputs!$G$5:$G$130="acoes"))*Inputs!$B$1+((Inputs!$G$5:$G$130&lt;&gt;"moeda")*(Inputs!$G$5:$G$130&lt;&gt;"acoes")))*INDEX(Inputs!$K$5:$AJ$130,0,MATCH(G$2,Inputs!$K$4:$AJ$4,0)))))</f>
        <v>1308</v>
      </c>
      <c r="H39" s="3">
        <f>G39</f>
        <v>1308</v>
      </c>
      <c r="I39" s="6">
        <f>IF(ISNA(MATCH(I$2,Inputs!$K$4:$AJ$4,0)),NA(),IF(SUMPRODUCT((Inputs!$A$5:$A$130=$B39)*ISNUMBER(INDEX(Inputs!$K$5:$AJ$130,0,MATCH(I$2,Inputs!$K$4:$AJ$4,0))))+SUMPRODUCT((Inputs!$C$5:$C$130=$B39)*ISNUMBER(INDEX(Inputs!$K$5:$AJ$130,0,MATCH(I$2,Inputs!$K$4:$AJ$4,0))))+SUMPRODUCT((Inputs!$E$5:$E$130=$B39)*ISNUMBER(INDEX(Inputs!$K$5:$AJ$130,0,MATCH(I$2,Inputs!$K$4:$AJ$4,0))))=0,NA(),SUMPRODUCT((Inputs!$A$5:$A$130=$B39)*Inputs!$B$5:$B$130*(((Inputs!$G$5:$G$130="moeda")+(Inputs!$G$5:$G$130="acoes"))*Inputs!$B$1+((Inputs!$G$5:$G$130&lt;&gt;"moeda")*(Inputs!$G$5:$G$130&lt;&gt;"acoes")))*INDEX(Inputs!$K$5:$AJ$130,0,MATCH(I$2,Inputs!$K$4:$AJ$4,0)))+SUMPRODUCT((Inputs!$C$5:$C$130=$B39)*Inputs!$D$5:$D$130*(((Inputs!$G$5:$G$130="moeda")+(Inputs!$G$5:$G$130="acoes"))*Inputs!$B$1+((Inputs!$G$5:$G$130&lt;&gt;"moeda")*(Inputs!$G$5:$G$130&lt;&gt;"acoes")))*INDEX(Inputs!$K$5:$AJ$130,0,MATCH(I$2,Inputs!$K$4:$AJ$4,0)))+SUMPRODUCT((Inputs!$E$5:$E$130=$B39)*Inputs!$F$5:$F$130*(((Inputs!$G$5:$G$130="moeda")+(Inputs!$G$5:$G$130="acoes"))*Inputs!$B$1+((Inputs!$G$5:$G$130&lt;&gt;"moeda")*(Inputs!$G$5:$G$130&lt;&gt;"acoes")))*INDEX(Inputs!$K$5:$AJ$130,0,MATCH(I$2,Inputs!$K$4:$AJ$4,0)))))</f>
        <v>1374</v>
      </c>
      <c r="J39" s="6">
        <f>IF(ISNA(MATCH(J$2,Inputs!$K$4:$AJ$4,0)),NA(),IF(SUMPRODUCT((Inputs!$A$5:$A$130=$B39)*ISNUMBER(INDEX(Inputs!$K$5:$AJ$130,0,MATCH(J$2,Inputs!$K$4:$AJ$4,0))))+SUMPRODUCT((Inputs!$C$5:$C$130=$B39)*ISNUMBER(INDEX(Inputs!$K$5:$AJ$130,0,MATCH(J$2,Inputs!$K$4:$AJ$4,0))))+SUMPRODUCT((Inputs!$E$5:$E$130=$B39)*ISNUMBER(INDEX(Inputs!$K$5:$AJ$130,0,MATCH(J$2,Inputs!$K$4:$AJ$4,0))))=0,NA(),SUMPRODUCT((Inputs!$A$5:$A$130=$B39)*Inputs!$B$5:$B$130*(((Inputs!$G$5:$G$130="moeda")+(Inputs!$G$5:$G$130="acoes"))*Inputs!$B$1+((Inputs!$G$5:$G$130&lt;&gt;"moeda")*(Inputs!$G$5:$G$130&lt;&gt;"acoes")))*INDEX(Inputs!$K$5:$AJ$130,0,MATCH(J$2,Inputs!$K$4:$AJ$4,0)))+SUMPRODUCT((Inputs!$C$5:$C$130=$B39)*Inputs!$D$5:$D$130*(((Inputs!$G$5:$G$130="moeda")+(Inputs!$G$5:$G$130="acoes"))*Inputs!$B$1+((Inputs!$G$5:$G$130&lt;&gt;"moeda")*(Inputs!$G$5:$G$130&lt;&gt;"acoes")))*INDEX(Inputs!$K$5:$AJ$130,0,MATCH(J$2,Inputs!$K$4:$AJ$4,0)))+SUMPRODUCT((Inputs!$E$5:$E$130=$B39)*Inputs!$F$5:$F$130*(((Inputs!$G$5:$G$130="moeda")+(Inputs!$G$5:$G$130="acoes"))*Inputs!$B$1+((Inputs!$G$5:$G$130&lt;&gt;"moeda")*(Inputs!$G$5:$G$130&lt;&gt;"acoes")))*INDEX(Inputs!$K$5:$AJ$130,0,MATCH(J$2,Inputs!$K$4:$AJ$4,0)))))</f>
        <v>1357</v>
      </c>
      <c r="K39" s="6">
        <f>IF(ISNA(MATCH(K$2,Inputs!$K$4:$AJ$4,0)),NA(),IF(SUMPRODUCT((Inputs!$A$5:$A$130=$B39)*ISNUMBER(INDEX(Inputs!$K$5:$AJ$130,0,MATCH(K$2,Inputs!$K$4:$AJ$4,0))))+SUMPRODUCT((Inputs!$C$5:$C$130=$B39)*ISNUMBER(INDEX(Inputs!$K$5:$AJ$130,0,MATCH(K$2,Inputs!$K$4:$AJ$4,0))))+SUMPRODUCT((Inputs!$E$5:$E$130=$B39)*ISNUMBER(INDEX(Inputs!$K$5:$AJ$130,0,MATCH(K$2,Inputs!$K$4:$AJ$4,0))))=0,NA(),SUMPRODUCT((Inputs!$A$5:$A$130=$B39)*Inputs!$B$5:$B$130*(((Inputs!$G$5:$G$130="moeda")+(Inputs!$G$5:$G$130="acoes"))*Inputs!$B$1+((Inputs!$G$5:$G$130&lt;&gt;"moeda")*(Inputs!$G$5:$G$130&lt;&gt;"acoes")))*INDEX(Inputs!$K$5:$AJ$130,0,MATCH(K$2,Inputs!$K$4:$AJ$4,0)))+SUMPRODUCT((Inputs!$C$5:$C$130=$B39)*Inputs!$D$5:$D$130*(((Inputs!$G$5:$G$130="moeda")+(Inputs!$G$5:$G$130="acoes"))*Inputs!$B$1+((Inputs!$G$5:$G$130&lt;&gt;"moeda")*(Inputs!$G$5:$G$130&lt;&gt;"acoes")))*INDEX(Inputs!$K$5:$AJ$130,0,MATCH(K$2,Inputs!$K$4:$AJ$4,0)))+SUMPRODUCT((Inputs!$E$5:$E$130=$B39)*Inputs!$F$5:$F$130*(((Inputs!$G$5:$G$130="moeda")+(Inputs!$G$5:$G$130="acoes"))*Inputs!$B$1+((Inputs!$G$5:$G$130&lt;&gt;"moeda")*(Inputs!$G$5:$G$130&lt;&gt;"acoes")))*INDEX(Inputs!$K$5:$AJ$130,0,MATCH(K$2,Inputs!$K$4:$AJ$4,0)))))</f>
        <v>1539</v>
      </c>
      <c r="L39" s="6">
        <f>IF(ISNA(MATCH(L$2,Inputs!$K$4:$AJ$4,0)),NA(),IF(SUMPRODUCT((Inputs!$A$5:$A$130=$B39)*ISNUMBER(INDEX(Inputs!$K$5:$AJ$130,0,MATCH(L$2,Inputs!$K$4:$AJ$4,0))))+SUMPRODUCT((Inputs!$C$5:$C$130=$B39)*ISNUMBER(INDEX(Inputs!$K$5:$AJ$130,0,MATCH(L$2,Inputs!$K$4:$AJ$4,0))))+SUMPRODUCT((Inputs!$E$5:$E$130=$B39)*ISNUMBER(INDEX(Inputs!$K$5:$AJ$130,0,MATCH(L$2,Inputs!$K$4:$AJ$4,0))))=0,NA(),SUMPRODUCT((Inputs!$A$5:$A$130=$B39)*Inputs!$B$5:$B$130*(((Inputs!$G$5:$G$130="moeda")+(Inputs!$G$5:$G$130="acoes"))*Inputs!$B$1+((Inputs!$G$5:$G$130&lt;&gt;"moeda")*(Inputs!$G$5:$G$130&lt;&gt;"acoes")))*INDEX(Inputs!$K$5:$AJ$130,0,MATCH(L$2,Inputs!$K$4:$AJ$4,0)))+SUMPRODUCT((Inputs!$C$5:$C$130=$B39)*Inputs!$D$5:$D$130*(((Inputs!$G$5:$G$130="moeda")+(Inputs!$G$5:$G$130="acoes"))*Inputs!$B$1+((Inputs!$G$5:$G$130&lt;&gt;"moeda")*(Inputs!$G$5:$G$130&lt;&gt;"acoes")))*INDEX(Inputs!$K$5:$AJ$130,0,MATCH(L$2,Inputs!$K$4:$AJ$4,0)))+SUMPRODUCT((Inputs!$E$5:$E$130=$B39)*Inputs!$F$5:$F$130*(((Inputs!$G$5:$G$130="moeda")+(Inputs!$G$5:$G$130="acoes"))*Inputs!$B$1+((Inputs!$G$5:$G$130&lt;&gt;"moeda")*(Inputs!$G$5:$G$130&lt;&gt;"acoes")))*INDEX(Inputs!$K$5:$AJ$130,0,MATCH(L$2,Inputs!$K$4:$AJ$4,0)))))</f>
        <v>1666</v>
      </c>
      <c r="M39" s="3">
        <f>L39</f>
        <v>1666</v>
      </c>
      <c r="N39" s="6">
        <f>IF(ISNA(MATCH(N$2,Inputs!$K$4:$AJ$4,0)),NA(),IF(SUMPRODUCT((Inputs!$A$5:$A$130=$B39)*ISNUMBER(INDEX(Inputs!$K$5:$AJ$130,0,MATCH(N$2,Inputs!$K$4:$AJ$4,0))))+SUMPRODUCT((Inputs!$C$5:$C$130=$B39)*ISNUMBER(INDEX(Inputs!$K$5:$AJ$130,0,MATCH(N$2,Inputs!$K$4:$AJ$4,0))))+SUMPRODUCT((Inputs!$E$5:$E$130=$B39)*ISNUMBER(INDEX(Inputs!$K$5:$AJ$130,0,MATCH(N$2,Inputs!$K$4:$AJ$4,0))))=0,NA(),SUMPRODUCT((Inputs!$A$5:$A$130=$B39)*Inputs!$B$5:$B$130*(((Inputs!$G$5:$G$130="moeda")+(Inputs!$G$5:$G$130="acoes"))*Inputs!$B$1+((Inputs!$G$5:$G$130&lt;&gt;"moeda")*(Inputs!$G$5:$G$130&lt;&gt;"acoes")))*INDEX(Inputs!$K$5:$AJ$130,0,MATCH(N$2,Inputs!$K$4:$AJ$4,0)))+SUMPRODUCT((Inputs!$C$5:$C$130=$B39)*Inputs!$D$5:$D$130*(((Inputs!$G$5:$G$130="moeda")+(Inputs!$G$5:$G$130="acoes"))*Inputs!$B$1+((Inputs!$G$5:$G$130&lt;&gt;"moeda")*(Inputs!$G$5:$G$130&lt;&gt;"acoes")))*INDEX(Inputs!$K$5:$AJ$130,0,MATCH(N$2,Inputs!$K$4:$AJ$4,0)))+SUMPRODUCT((Inputs!$E$5:$E$130=$B39)*Inputs!$F$5:$F$130*(((Inputs!$G$5:$G$130="moeda")+(Inputs!$G$5:$G$130="acoes"))*Inputs!$B$1+((Inputs!$G$5:$G$130&lt;&gt;"moeda")*(Inputs!$G$5:$G$130&lt;&gt;"acoes")))*INDEX(Inputs!$K$5:$AJ$130,0,MATCH(N$2,Inputs!$K$4:$AJ$4,0)))))</f>
        <v>1747</v>
      </c>
      <c r="O39" s="6">
        <f>IF(ISNA(MATCH(O$2,Inputs!$K$4:$AJ$4,0)),NA(),IF(SUMPRODUCT((Inputs!$A$5:$A$130=$B39)*ISNUMBER(INDEX(Inputs!$K$5:$AJ$130,0,MATCH(O$2,Inputs!$K$4:$AJ$4,0))))+SUMPRODUCT((Inputs!$C$5:$C$130=$B39)*ISNUMBER(INDEX(Inputs!$K$5:$AJ$130,0,MATCH(O$2,Inputs!$K$4:$AJ$4,0))))+SUMPRODUCT((Inputs!$E$5:$E$130=$B39)*ISNUMBER(INDEX(Inputs!$K$5:$AJ$130,0,MATCH(O$2,Inputs!$K$4:$AJ$4,0))))=0,NA(),SUMPRODUCT((Inputs!$A$5:$A$130=$B39)*Inputs!$B$5:$B$130*(((Inputs!$G$5:$G$130="moeda")+(Inputs!$G$5:$G$130="acoes"))*Inputs!$B$1+((Inputs!$G$5:$G$130&lt;&gt;"moeda")*(Inputs!$G$5:$G$130&lt;&gt;"acoes")))*INDEX(Inputs!$K$5:$AJ$130,0,MATCH(O$2,Inputs!$K$4:$AJ$4,0)))+SUMPRODUCT((Inputs!$C$5:$C$130=$B39)*Inputs!$D$5:$D$130*(((Inputs!$G$5:$G$130="moeda")+(Inputs!$G$5:$G$130="acoes"))*Inputs!$B$1+((Inputs!$G$5:$G$130&lt;&gt;"moeda")*(Inputs!$G$5:$G$130&lt;&gt;"acoes")))*INDEX(Inputs!$K$5:$AJ$130,0,MATCH(O$2,Inputs!$K$4:$AJ$4,0)))+SUMPRODUCT((Inputs!$E$5:$E$130=$B39)*Inputs!$F$5:$F$130*(((Inputs!$G$5:$G$130="moeda")+(Inputs!$G$5:$G$130="acoes"))*Inputs!$B$1+((Inputs!$G$5:$G$130&lt;&gt;"moeda")*(Inputs!$G$5:$G$130&lt;&gt;"acoes")))*INDEX(Inputs!$K$5:$AJ$130,0,MATCH(O$2,Inputs!$K$4:$AJ$4,0)))))</f>
        <v>1850</v>
      </c>
      <c r="P39" s="6">
        <f>IF(ISNA(MATCH(P$2,Inputs!$K$4:$AJ$4,0)),NA(),IF(SUMPRODUCT((Inputs!$A$5:$A$130=$B39)*ISNUMBER(INDEX(Inputs!$K$5:$AJ$130,0,MATCH(P$2,Inputs!$K$4:$AJ$4,0))))+SUMPRODUCT((Inputs!$C$5:$C$130=$B39)*ISNUMBER(INDEX(Inputs!$K$5:$AJ$130,0,MATCH(P$2,Inputs!$K$4:$AJ$4,0))))+SUMPRODUCT((Inputs!$E$5:$E$130=$B39)*ISNUMBER(INDEX(Inputs!$K$5:$AJ$130,0,MATCH(P$2,Inputs!$K$4:$AJ$4,0))))=0,NA(),SUMPRODUCT((Inputs!$A$5:$A$130=$B39)*Inputs!$B$5:$B$130*(((Inputs!$G$5:$G$130="moeda")+(Inputs!$G$5:$G$130="acoes"))*Inputs!$B$1+((Inputs!$G$5:$G$130&lt;&gt;"moeda")*(Inputs!$G$5:$G$130&lt;&gt;"acoes")))*INDEX(Inputs!$K$5:$AJ$130,0,MATCH(P$2,Inputs!$K$4:$AJ$4,0)))+SUMPRODUCT((Inputs!$C$5:$C$130=$B39)*Inputs!$D$5:$D$130*(((Inputs!$G$5:$G$130="moeda")+(Inputs!$G$5:$G$130="acoes"))*Inputs!$B$1+((Inputs!$G$5:$G$130&lt;&gt;"moeda")*(Inputs!$G$5:$G$130&lt;&gt;"acoes")))*INDEX(Inputs!$K$5:$AJ$130,0,MATCH(P$2,Inputs!$K$4:$AJ$4,0)))+SUMPRODUCT((Inputs!$E$5:$E$130=$B39)*Inputs!$F$5:$F$130*(((Inputs!$G$5:$G$130="moeda")+(Inputs!$G$5:$G$130="acoes"))*Inputs!$B$1+((Inputs!$G$5:$G$130&lt;&gt;"moeda")*(Inputs!$G$5:$G$130&lt;&gt;"acoes")))*INDEX(Inputs!$K$5:$AJ$130,0,MATCH(P$2,Inputs!$K$4:$AJ$4,0)))))</f>
        <v>1810</v>
      </c>
      <c r="Q39" s="6">
        <f>IF(ISNA(MATCH(Q$2,Inputs!$K$4:$AJ$4,0)),NA(),IF(SUMPRODUCT((Inputs!$A$5:$A$130=$B39)*ISNUMBER(INDEX(Inputs!$K$5:$AJ$130,0,MATCH(Q$2,Inputs!$K$4:$AJ$4,0))))+SUMPRODUCT((Inputs!$C$5:$C$130=$B39)*ISNUMBER(INDEX(Inputs!$K$5:$AJ$130,0,MATCH(Q$2,Inputs!$K$4:$AJ$4,0))))+SUMPRODUCT((Inputs!$E$5:$E$130=$B39)*ISNUMBER(INDEX(Inputs!$K$5:$AJ$130,0,MATCH(Q$2,Inputs!$K$4:$AJ$4,0))))=0,NA(),SUMPRODUCT((Inputs!$A$5:$A$130=$B39)*Inputs!$B$5:$B$130*(((Inputs!$G$5:$G$130="moeda")+(Inputs!$G$5:$G$130="acoes"))*Inputs!$B$1+((Inputs!$G$5:$G$130&lt;&gt;"moeda")*(Inputs!$G$5:$G$130&lt;&gt;"acoes")))*INDEX(Inputs!$K$5:$AJ$130,0,MATCH(Q$2,Inputs!$K$4:$AJ$4,0)))+SUMPRODUCT((Inputs!$C$5:$C$130=$B39)*Inputs!$D$5:$D$130*(((Inputs!$G$5:$G$130="moeda")+(Inputs!$G$5:$G$130="acoes"))*Inputs!$B$1+((Inputs!$G$5:$G$130&lt;&gt;"moeda")*(Inputs!$G$5:$G$130&lt;&gt;"acoes")))*INDEX(Inputs!$K$5:$AJ$130,0,MATCH(Q$2,Inputs!$K$4:$AJ$4,0)))+SUMPRODUCT((Inputs!$E$5:$E$130=$B39)*Inputs!$F$5:$F$130*(((Inputs!$G$5:$G$130="moeda")+(Inputs!$G$5:$G$130="acoes"))*Inputs!$B$1+((Inputs!$G$5:$G$130&lt;&gt;"moeda")*(Inputs!$G$5:$G$130&lt;&gt;"acoes")))*INDEX(Inputs!$K$5:$AJ$130,0,MATCH(Q$2,Inputs!$K$4:$AJ$4,0)))))</f>
        <v>2079</v>
      </c>
      <c r="R39" s="3">
        <f>Q39</f>
        <v>2079</v>
      </c>
      <c r="S39" s="6">
        <f>IF(ISNA(MATCH(S$2,Inputs!$K$4:$AJ$4,0)),NA(),IF(SUMPRODUCT((Inputs!$A$5:$A$130=$B39)*ISNUMBER(INDEX(Inputs!$K$5:$AJ$130,0,MATCH(S$2,Inputs!$K$4:$AJ$4,0))))+SUMPRODUCT((Inputs!$C$5:$C$130=$B39)*ISNUMBER(INDEX(Inputs!$K$5:$AJ$130,0,MATCH(S$2,Inputs!$K$4:$AJ$4,0))))+SUMPRODUCT((Inputs!$E$5:$E$130=$B39)*ISNUMBER(INDEX(Inputs!$K$5:$AJ$130,0,MATCH(S$2,Inputs!$K$4:$AJ$4,0))))=0,NA(),SUMPRODUCT((Inputs!$A$5:$A$130=$B39)*Inputs!$B$5:$B$130*(((Inputs!$G$5:$G$130="moeda")+(Inputs!$G$5:$G$130="acoes"))*Inputs!$B$1+((Inputs!$G$5:$G$130&lt;&gt;"moeda")*(Inputs!$G$5:$G$130&lt;&gt;"acoes")))*INDEX(Inputs!$K$5:$AJ$130,0,MATCH(S$2,Inputs!$K$4:$AJ$4,0)))+SUMPRODUCT((Inputs!$C$5:$C$130=$B39)*Inputs!$D$5:$D$130*(((Inputs!$G$5:$G$130="moeda")+(Inputs!$G$5:$G$130="acoes"))*Inputs!$B$1+((Inputs!$G$5:$G$130&lt;&gt;"moeda")*(Inputs!$G$5:$G$130&lt;&gt;"acoes")))*INDEX(Inputs!$K$5:$AJ$130,0,MATCH(S$2,Inputs!$K$4:$AJ$4,0)))+SUMPRODUCT((Inputs!$E$5:$E$130=$B39)*Inputs!$F$5:$F$130*(((Inputs!$G$5:$G$130="moeda")+(Inputs!$G$5:$G$130="acoes"))*Inputs!$B$1+((Inputs!$G$5:$G$130&lt;&gt;"moeda")*(Inputs!$G$5:$G$130&lt;&gt;"acoes")))*INDEX(Inputs!$K$5:$AJ$130,0,MATCH(S$2,Inputs!$K$4:$AJ$4,0)))))</f>
        <v>2383</v>
      </c>
      <c r="T39" s="6">
        <f>IF(ISNA(MATCH(T$2,Inputs!$K$4:$AJ$4,0)),NA(),IF(SUMPRODUCT((Inputs!$A$5:$A$130=$B39)*ISNUMBER(INDEX(Inputs!$K$5:$AJ$130,0,MATCH(T$2,Inputs!$K$4:$AJ$4,0))))+SUMPRODUCT((Inputs!$C$5:$C$130=$B39)*ISNUMBER(INDEX(Inputs!$K$5:$AJ$130,0,MATCH(T$2,Inputs!$K$4:$AJ$4,0))))+SUMPRODUCT((Inputs!$E$5:$E$130=$B39)*ISNUMBER(INDEX(Inputs!$K$5:$AJ$130,0,MATCH(T$2,Inputs!$K$4:$AJ$4,0))))=0,NA(),SUMPRODUCT((Inputs!$A$5:$A$130=$B39)*Inputs!$B$5:$B$130*(((Inputs!$G$5:$G$130="moeda")+(Inputs!$G$5:$G$130="acoes"))*Inputs!$B$1+((Inputs!$G$5:$G$130&lt;&gt;"moeda")*(Inputs!$G$5:$G$130&lt;&gt;"acoes")))*INDEX(Inputs!$K$5:$AJ$130,0,MATCH(T$2,Inputs!$K$4:$AJ$4,0)))+SUMPRODUCT((Inputs!$C$5:$C$130=$B39)*Inputs!$D$5:$D$130*(((Inputs!$G$5:$G$130="moeda")+(Inputs!$G$5:$G$130="acoes"))*Inputs!$B$1+((Inputs!$G$5:$G$130&lt;&gt;"moeda")*(Inputs!$G$5:$G$130&lt;&gt;"acoes")))*INDEX(Inputs!$K$5:$AJ$130,0,MATCH(T$2,Inputs!$K$4:$AJ$4,0)))+SUMPRODUCT((Inputs!$E$5:$E$130=$B39)*Inputs!$F$5:$F$130*(((Inputs!$G$5:$G$130="moeda")+(Inputs!$G$5:$G$130="acoes"))*Inputs!$B$1+((Inputs!$G$5:$G$130&lt;&gt;"moeda")*(Inputs!$G$5:$G$130&lt;&gt;"acoes")))*INDEX(Inputs!$K$5:$AJ$130,0,MATCH(T$2,Inputs!$K$4:$AJ$4,0)))))</f>
        <v>2639</v>
      </c>
      <c r="U39" s="6">
        <f>IF(ISNA(MATCH(U$2,Inputs!$K$4:$AJ$4,0)),NA(),IF(SUMPRODUCT((Inputs!$A$5:$A$130=$B39)*ISNUMBER(INDEX(Inputs!$K$5:$AJ$130,0,MATCH(U$2,Inputs!$K$4:$AJ$4,0))))+SUMPRODUCT((Inputs!$C$5:$C$130=$B39)*ISNUMBER(INDEX(Inputs!$K$5:$AJ$130,0,MATCH(U$2,Inputs!$K$4:$AJ$4,0))))+SUMPRODUCT((Inputs!$E$5:$E$130=$B39)*ISNUMBER(INDEX(Inputs!$K$5:$AJ$130,0,MATCH(U$2,Inputs!$K$4:$AJ$4,0))))=0,NA(),SUMPRODUCT((Inputs!$A$5:$A$130=$B39)*Inputs!$B$5:$B$130*(((Inputs!$G$5:$G$130="moeda")+(Inputs!$G$5:$G$130="acoes"))*Inputs!$B$1+((Inputs!$G$5:$G$130&lt;&gt;"moeda")*(Inputs!$G$5:$G$130&lt;&gt;"acoes")))*INDEX(Inputs!$K$5:$AJ$130,0,MATCH(U$2,Inputs!$K$4:$AJ$4,0)))+SUMPRODUCT((Inputs!$C$5:$C$130=$B39)*Inputs!$D$5:$D$130*(((Inputs!$G$5:$G$130="moeda")+(Inputs!$G$5:$G$130="acoes"))*Inputs!$B$1+((Inputs!$G$5:$G$130&lt;&gt;"moeda")*(Inputs!$G$5:$G$130&lt;&gt;"acoes")))*INDEX(Inputs!$K$5:$AJ$130,0,MATCH(U$2,Inputs!$K$4:$AJ$4,0)))+SUMPRODUCT((Inputs!$E$5:$E$130=$B39)*Inputs!$F$5:$F$130*(((Inputs!$G$5:$G$130="moeda")+(Inputs!$G$5:$G$130="acoes"))*Inputs!$B$1+((Inputs!$G$5:$G$130&lt;&gt;"moeda")*(Inputs!$G$5:$G$130&lt;&gt;"acoes")))*INDEX(Inputs!$K$5:$AJ$130,0,MATCH(U$2,Inputs!$K$4:$AJ$4,0)))))</f>
        <v>2893</v>
      </c>
      <c r="V39" s="6">
        <f>IF(ISNA(MATCH(V$2,Inputs!$K$4:$AJ$4,0)),NA(),IF(SUMPRODUCT((Inputs!$A$5:$A$130=$B39)*ISNUMBER(INDEX(Inputs!$K$5:$AJ$130,0,MATCH(V$2,Inputs!$K$4:$AJ$4,0))))+SUMPRODUCT((Inputs!$C$5:$C$130=$B39)*ISNUMBER(INDEX(Inputs!$K$5:$AJ$130,0,MATCH(V$2,Inputs!$K$4:$AJ$4,0))))+SUMPRODUCT((Inputs!$E$5:$E$130=$B39)*ISNUMBER(INDEX(Inputs!$K$5:$AJ$130,0,MATCH(V$2,Inputs!$K$4:$AJ$4,0))))=0,NA(),SUMPRODUCT((Inputs!$A$5:$A$130=$B39)*Inputs!$B$5:$B$130*(((Inputs!$G$5:$G$130="moeda")+(Inputs!$G$5:$G$130="acoes"))*Inputs!$B$1+((Inputs!$G$5:$G$130&lt;&gt;"moeda")*(Inputs!$G$5:$G$130&lt;&gt;"acoes")))*INDEX(Inputs!$K$5:$AJ$130,0,MATCH(V$2,Inputs!$K$4:$AJ$4,0)))+SUMPRODUCT((Inputs!$C$5:$C$130=$B39)*Inputs!$D$5:$D$130*(((Inputs!$G$5:$G$130="moeda")+(Inputs!$G$5:$G$130="acoes"))*Inputs!$B$1+((Inputs!$G$5:$G$130&lt;&gt;"moeda")*(Inputs!$G$5:$G$130&lt;&gt;"acoes")))*INDEX(Inputs!$K$5:$AJ$130,0,MATCH(V$2,Inputs!$K$4:$AJ$4,0)))+SUMPRODUCT((Inputs!$E$5:$E$130=$B39)*Inputs!$F$5:$F$130*(((Inputs!$G$5:$G$130="moeda")+(Inputs!$G$5:$G$130="acoes"))*Inputs!$B$1+((Inputs!$G$5:$G$130&lt;&gt;"moeda")*(Inputs!$G$5:$G$130&lt;&gt;"acoes")))*INDEX(Inputs!$K$5:$AJ$130,0,MATCH(V$2,Inputs!$K$4:$AJ$4,0)))))</f>
        <v>3359</v>
      </c>
      <c r="W39" s="3">
        <f>V39</f>
        <v>3359</v>
      </c>
      <c r="X39" s="6">
        <f>IF(ISNA(MATCH(X$2,Inputs!$K$4:$AJ$4,0)),NA(),IF(SUMPRODUCT((Inputs!$A$5:$A$130=$B39)*ISNUMBER(INDEX(Inputs!$K$5:$AJ$130,0,MATCH(X$2,Inputs!$K$4:$AJ$4,0))))+SUMPRODUCT((Inputs!$C$5:$C$130=$B39)*ISNUMBER(INDEX(Inputs!$K$5:$AJ$130,0,MATCH(X$2,Inputs!$K$4:$AJ$4,0))))+SUMPRODUCT((Inputs!$E$5:$E$130=$B39)*ISNUMBER(INDEX(Inputs!$K$5:$AJ$130,0,MATCH(X$2,Inputs!$K$4:$AJ$4,0))))=0,NA(),SUMPRODUCT((Inputs!$A$5:$A$130=$B39)*Inputs!$B$5:$B$130*(((Inputs!$G$5:$G$130="moeda")+(Inputs!$G$5:$G$130="acoes"))*Inputs!$B$1+((Inputs!$G$5:$G$130&lt;&gt;"moeda")*(Inputs!$G$5:$G$130&lt;&gt;"acoes")))*INDEX(Inputs!$K$5:$AJ$130,0,MATCH(X$2,Inputs!$K$4:$AJ$4,0)))+SUMPRODUCT((Inputs!$C$5:$C$130=$B39)*Inputs!$D$5:$D$130*(((Inputs!$G$5:$G$130="moeda")+(Inputs!$G$5:$G$130="acoes"))*Inputs!$B$1+((Inputs!$G$5:$G$130&lt;&gt;"moeda")*(Inputs!$G$5:$G$130&lt;&gt;"acoes")))*INDEX(Inputs!$K$5:$AJ$130,0,MATCH(X$2,Inputs!$K$4:$AJ$4,0)))+SUMPRODUCT((Inputs!$E$5:$E$130=$B39)*Inputs!$F$5:$F$130*(((Inputs!$G$5:$G$130="moeda")+(Inputs!$G$5:$G$130="acoes"))*Inputs!$B$1+((Inputs!$G$5:$G$130&lt;&gt;"moeda")*(Inputs!$G$5:$G$130&lt;&gt;"acoes")))*INDEX(Inputs!$K$5:$AJ$130,0,MATCH(X$2,Inputs!$K$4:$AJ$4,0)))))</f>
        <v>3802</v>
      </c>
      <c r="Y39" s="6">
        <f>IF(ISNA(MATCH(Y$2,Inputs!$K$4:$AJ$4,0)),NA(),IF(SUMPRODUCT((Inputs!$A$5:$A$130=$B39)*ISNUMBER(INDEX(Inputs!$K$5:$AJ$130,0,MATCH(Y$2,Inputs!$K$4:$AJ$4,0))))+SUMPRODUCT((Inputs!$C$5:$C$130=$B39)*ISNUMBER(INDEX(Inputs!$K$5:$AJ$130,0,MATCH(Y$2,Inputs!$K$4:$AJ$4,0))))+SUMPRODUCT((Inputs!$E$5:$E$130=$B39)*ISNUMBER(INDEX(Inputs!$K$5:$AJ$130,0,MATCH(Y$2,Inputs!$K$4:$AJ$4,0))))=0,NA(),SUMPRODUCT((Inputs!$A$5:$A$130=$B39)*Inputs!$B$5:$B$130*(((Inputs!$G$5:$G$130="moeda")+(Inputs!$G$5:$G$130="acoes"))*Inputs!$B$1+((Inputs!$G$5:$G$130&lt;&gt;"moeda")*(Inputs!$G$5:$G$130&lt;&gt;"acoes")))*INDEX(Inputs!$K$5:$AJ$130,0,MATCH(Y$2,Inputs!$K$4:$AJ$4,0)))+SUMPRODUCT((Inputs!$C$5:$C$130=$B39)*Inputs!$D$5:$D$130*(((Inputs!$G$5:$G$130="moeda")+(Inputs!$G$5:$G$130="acoes"))*Inputs!$B$1+((Inputs!$G$5:$G$130&lt;&gt;"moeda")*(Inputs!$G$5:$G$130&lt;&gt;"acoes")))*INDEX(Inputs!$K$5:$AJ$130,0,MATCH(Y$2,Inputs!$K$4:$AJ$4,0)))+SUMPRODUCT((Inputs!$E$5:$E$130=$B39)*Inputs!$F$5:$F$130*(((Inputs!$G$5:$G$130="moeda")+(Inputs!$G$5:$G$130="acoes"))*Inputs!$B$1+((Inputs!$G$5:$G$130&lt;&gt;"moeda")*(Inputs!$G$5:$G$130&lt;&gt;"acoes")))*INDEX(Inputs!$K$5:$AJ$130,0,MATCH(Y$2,Inputs!$K$4:$AJ$4,0)))))</f>
        <v>4704</v>
      </c>
      <c r="Z39" s="6">
        <f>IF(ISNA(MATCH(Z$2,Inputs!$K$4:$AJ$4,0)),NA(),IF(SUMPRODUCT((Inputs!$A$5:$A$130=$B39)*ISNUMBER(INDEX(Inputs!$K$5:$AJ$130,0,MATCH(Z$2,Inputs!$K$4:$AJ$4,0))))+SUMPRODUCT((Inputs!$C$5:$C$130=$B39)*ISNUMBER(INDEX(Inputs!$K$5:$AJ$130,0,MATCH(Z$2,Inputs!$K$4:$AJ$4,0))))+SUMPRODUCT((Inputs!$E$5:$E$130=$B39)*ISNUMBER(INDEX(Inputs!$K$5:$AJ$130,0,MATCH(Z$2,Inputs!$K$4:$AJ$4,0))))=0,NA(),SUMPRODUCT((Inputs!$A$5:$A$130=$B39)*Inputs!$B$5:$B$130*(((Inputs!$G$5:$G$130="moeda")+(Inputs!$G$5:$G$130="acoes"))*Inputs!$B$1+((Inputs!$G$5:$G$130&lt;&gt;"moeda")*(Inputs!$G$5:$G$130&lt;&gt;"acoes")))*INDEX(Inputs!$K$5:$AJ$130,0,MATCH(Z$2,Inputs!$K$4:$AJ$4,0)))+SUMPRODUCT((Inputs!$C$5:$C$130=$B39)*Inputs!$D$5:$D$130*(((Inputs!$G$5:$G$130="moeda")+(Inputs!$G$5:$G$130="acoes"))*Inputs!$B$1+((Inputs!$G$5:$G$130&lt;&gt;"moeda")*(Inputs!$G$5:$G$130&lt;&gt;"acoes")))*INDEX(Inputs!$K$5:$AJ$130,0,MATCH(Z$2,Inputs!$K$4:$AJ$4,0)))+SUMPRODUCT((Inputs!$E$5:$E$130=$B39)*Inputs!$F$5:$F$130*(((Inputs!$G$5:$G$130="moeda")+(Inputs!$G$5:$G$130="acoes"))*Inputs!$B$1+((Inputs!$G$5:$G$130&lt;&gt;"moeda")*(Inputs!$G$5:$G$130&lt;&gt;"acoes")))*INDEX(Inputs!$K$5:$AJ$130,0,MATCH(Z$2,Inputs!$K$4:$AJ$4,0)))))</f>
        <v>5073</v>
      </c>
      <c r="AA39" s="6">
        <f>IF(ISNA(MATCH(AA$2,Inputs!$K$4:$AJ$4,0)),NA(),IF(SUMPRODUCT((Inputs!$A$5:$A$130=$B39)*ISNUMBER(INDEX(Inputs!$K$5:$AJ$130,0,MATCH(AA$2,Inputs!$K$4:$AJ$4,0))))+SUMPRODUCT((Inputs!$C$5:$C$130=$B39)*ISNUMBER(INDEX(Inputs!$K$5:$AJ$130,0,MATCH(AA$2,Inputs!$K$4:$AJ$4,0))))+SUMPRODUCT((Inputs!$E$5:$E$130=$B39)*ISNUMBER(INDEX(Inputs!$K$5:$AJ$130,0,MATCH(AA$2,Inputs!$K$4:$AJ$4,0))))=0,NA(),SUMPRODUCT((Inputs!$A$5:$A$130=$B39)*Inputs!$B$5:$B$130*(((Inputs!$G$5:$G$130="moeda")+(Inputs!$G$5:$G$130="acoes"))*Inputs!$B$1+((Inputs!$G$5:$G$130&lt;&gt;"moeda")*(Inputs!$G$5:$G$130&lt;&gt;"acoes")))*INDEX(Inputs!$K$5:$AJ$130,0,MATCH(AA$2,Inputs!$K$4:$AJ$4,0)))+SUMPRODUCT((Inputs!$C$5:$C$130=$B39)*Inputs!$D$5:$D$130*(((Inputs!$G$5:$G$130="moeda")+(Inputs!$G$5:$G$130="acoes"))*Inputs!$B$1+((Inputs!$G$5:$G$130&lt;&gt;"moeda")*(Inputs!$G$5:$G$130&lt;&gt;"acoes")))*INDEX(Inputs!$K$5:$AJ$130,0,MATCH(AA$2,Inputs!$K$4:$AJ$4,0)))+SUMPRODUCT((Inputs!$E$5:$E$130=$B39)*Inputs!$F$5:$F$130*(((Inputs!$G$5:$G$130="moeda")+(Inputs!$G$5:$G$130="acoes"))*Inputs!$B$1+((Inputs!$G$5:$G$130&lt;&gt;"moeda")*(Inputs!$G$5:$G$130&lt;&gt;"acoes")))*INDEX(Inputs!$K$5:$AJ$130,0,MATCH(AA$2,Inputs!$K$4:$AJ$4,0)))))</f>
        <v>5532</v>
      </c>
      <c r="AB39" s="3">
        <f>AA39</f>
        <v>5532</v>
      </c>
      <c r="AC39" s="6">
        <f>IF(ISNA(MATCH(AC$2,Inputs!$K$4:$AJ$4,0)),NA(),IF(SUMPRODUCT((Inputs!$A$5:$A$130=$B39)*ISNUMBER(INDEX(Inputs!$K$5:$AJ$130,0,MATCH(AC$2,Inputs!$K$4:$AJ$4,0))))+SUMPRODUCT((Inputs!$C$5:$C$130=$B39)*ISNUMBER(INDEX(Inputs!$K$5:$AJ$130,0,MATCH(AC$2,Inputs!$K$4:$AJ$4,0))))+SUMPRODUCT((Inputs!$E$5:$E$130=$B39)*ISNUMBER(INDEX(Inputs!$K$5:$AJ$130,0,MATCH(AC$2,Inputs!$K$4:$AJ$4,0))))=0,NA(),SUMPRODUCT((Inputs!$A$5:$A$130=$B39)*Inputs!$B$5:$B$130*(((Inputs!$G$5:$G$130="moeda")+(Inputs!$G$5:$G$130="acoes"))*Inputs!$B$1+((Inputs!$G$5:$G$130&lt;&gt;"moeda")*(Inputs!$G$5:$G$130&lt;&gt;"acoes")))*INDEX(Inputs!$K$5:$AJ$130,0,MATCH(AC$2,Inputs!$K$4:$AJ$4,0)))+SUMPRODUCT((Inputs!$C$5:$C$130=$B39)*Inputs!$D$5:$D$130*(((Inputs!$G$5:$G$130="moeda")+(Inputs!$G$5:$G$130="acoes"))*Inputs!$B$1+((Inputs!$G$5:$G$130&lt;&gt;"moeda")*(Inputs!$G$5:$G$130&lt;&gt;"acoes")))*INDEX(Inputs!$K$5:$AJ$130,0,MATCH(AC$2,Inputs!$K$4:$AJ$4,0)))+SUMPRODUCT((Inputs!$E$5:$E$130=$B39)*Inputs!$F$5:$F$130*(((Inputs!$G$5:$G$130="moeda")+(Inputs!$G$5:$G$130="acoes"))*Inputs!$B$1+((Inputs!$G$5:$G$130&lt;&gt;"moeda")*(Inputs!$G$5:$G$130&lt;&gt;"acoes")))*INDEX(Inputs!$K$5:$AJ$130,0,MATCH(AC$2,Inputs!$K$4:$AJ$4,0)))))</f>
        <v>6970</v>
      </c>
      <c r="AD39" s="6">
        <f>IF(ISNA(MATCH(AD$2,Inputs!$K$4:$AJ$4,0)),NA(),IF(SUMPRODUCT((Inputs!$A$5:$A$130=$B39)*ISNUMBER(INDEX(Inputs!$K$5:$AJ$130,0,MATCH(AD$2,Inputs!$K$4:$AJ$4,0))))+SUMPRODUCT((Inputs!$C$5:$C$130=$B39)*ISNUMBER(INDEX(Inputs!$K$5:$AJ$130,0,MATCH(AD$2,Inputs!$K$4:$AJ$4,0))))+SUMPRODUCT((Inputs!$E$5:$E$130=$B39)*ISNUMBER(INDEX(Inputs!$K$5:$AJ$130,0,MATCH(AD$2,Inputs!$K$4:$AJ$4,0))))=0,NA(),SUMPRODUCT((Inputs!$A$5:$A$130=$B39)*Inputs!$B$5:$B$130*(((Inputs!$G$5:$G$130="moeda")+(Inputs!$G$5:$G$130="acoes"))*Inputs!$B$1+((Inputs!$G$5:$G$130&lt;&gt;"moeda")*(Inputs!$G$5:$G$130&lt;&gt;"acoes")))*INDEX(Inputs!$K$5:$AJ$130,0,MATCH(AD$2,Inputs!$K$4:$AJ$4,0)))+SUMPRODUCT((Inputs!$C$5:$C$130=$B39)*Inputs!$D$5:$D$130*(((Inputs!$G$5:$G$130="moeda")+(Inputs!$G$5:$G$130="acoes"))*Inputs!$B$1+((Inputs!$G$5:$G$130&lt;&gt;"moeda")*(Inputs!$G$5:$G$130&lt;&gt;"acoes")))*INDEX(Inputs!$K$5:$AJ$130,0,MATCH(AD$2,Inputs!$K$4:$AJ$4,0)))+SUMPRODUCT((Inputs!$E$5:$E$130=$B39)*Inputs!$F$5:$F$130*(((Inputs!$G$5:$G$130="moeda")+(Inputs!$G$5:$G$130="acoes"))*Inputs!$B$1+((Inputs!$G$5:$G$130&lt;&gt;"moeda")*(Inputs!$G$5:$G$130&lt;&gt;"acoes")))*INDEX(Inputs!$K$5:$AJ$130,0,MATCH(AD$2,Inputs!$K$4:$AJ$4,0)))))</f>
        <v>9299</v>
      </c>
      <c r="AE39" s="6" t="e">
        <f>IF(ISNA(MATCH(AE$2,Inputs!$K$4:$AJ$4,0)),NA(),IF(SUMPRODUCT((Inputs!$A$5:$A$130=$B39)*ISNUMBER(INDEX(Inputs!$K$5:$AJ$130,0,MATCH(AE$2,Inputs!$K$4:$AJ$4,0))))+SUMPRODUCT((Inputs!$C$5:$C$130=$B39)*ISNUMBER(INDEX(Inputs!$K$5:$AJ$130,0,MATCH(AE$2,Inputs!$K$4:$AJ$4,0))))+SUMPRODUCT((Inputs!$E$5:$E$130=$B39)*ISNUMBER(INDEX(Inputs!$K$5:$AJ$130,0,MATCH(AE$2,Inputs!$K$4:$AJ$4,0))))=0,NA(),SUMPRODUCT((Inputs!$A$5:$A$130=$B39)*Inputs!$B$5:$B$130*(((Inputs!$G$5:$G$130="moeda")+(Inputs!$G$5:$G$130="acoes"))*Inputs!$B$1+((Inputs!$G$5:$G$130&lt;&gt;"moeda")*(Inputs!$G$5:$G$130&lt;&gt;"acoes")))*INDEX(Inputs!$K$5:$AJ$130,0,MATCH(AE$2,Inputs!$K$4:$AJ$4,0)))+SUMPRODUCT((Inputs!$C$5:$C$130=$B39)*Inputs!$D$5:$D$130*(((Inputs!$G$5:$G$130="moeda")+(Inputs!$G$5:$G$130="acoes"))*Inputs!$B$1+((Inputs!$G$5:$G$130&lt;&gt;"moeda")*(Inputs!$G$5:$G$130&lt;&gt;"acoes")))*INDEX(Inputs!$K$5:$AJ$130,0,MATCH(AE$2,Inputs!$K$4:$AJ$4,0)))+SUMPRODUCT((Inputs!$E$5:$E$130=$B39)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9" s="6" t="e">
        <f>IF(ISNA(MATCH(AF$2,Inputs!$K$4:$AJ$4,0)),NA(),IF(SUMPRODUCT((Inputs!$A$5:$A$130=$B39)*ISNUMBER(INDEX(Inputs!$K$5:$AJ$130,0,MATCH(AF$2,Inputs!$K$4:$AJ$4,0))))+SUMPRODUCT((Inputs!$C$5:$C$130=$B39)*ISNUMBER(INDEX(Inputs!$K$5:$AJ$130,0,MATCH(AF$2,Inputs!$K$4:$AJ$4,0))))+SUMPRODUCT((Inputs!$E$5:$E$130=$B39)*ISNUMBER(INDEX(Inputs!$K$5:$AJ$130,0,MATCH(AF$2,Inputs!$K$4:$AJ$4,0))))=0,NA(),SUMPRODUCT((Inputs!$A$5:$A$130=$B39)*Inputs!$B$5:$B$130*(((Inputs!$G$5:$G$130="moeda")+(Inputs!$G$5:$G$130="acoes"))*Inputs!$B$1+((Inputs!$G$5:$G$130&lt;&gt;"moeda")*(Inputs!$G$5:$G$130&lt;&gt;"acoes")))*INDEX(Inputs!$K$5:$AJ$130,0,MATCH(AF$2,Inputs!$K$4:$AJ$4,0)))+SUMPRODUCT((Inputs!$C$5:$C$130=$B39)*Inputs!$D$5:$D$130*(((Inputs!$G$5:$G$130="moeda")+(Inputs!$G$5:$G$130="acoes"))*Inputs!$B$1+((Inputs!$G$5:$G$130&lt;&gt;"moeda")*(Inputs!$G$5:$G$130&lt;&gt;"acoes")))*INDEX(Inputs!$K$5:$AJ$130,0,MATCH(AF$2,Inputs!$K$4:$AJ$4,0)))+SUMPRODUCT((Inputs!$E$5:$E$130=$B39)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9" s="3" t="e">
        <f>AF39</f>
        <v>#N/A</v>
      </c>
      <c r="AH39" s="6">
        <f>IF(ISNA(MATCH(AH$2,Inputs!$K$4:$AJ$4,0)),NA(),IF(SUMPRODUCT((Inputs!$A$5:$A$130=$B39)*ISNUMBER(INDEX(Inputs!$K$5:$AJ$130,0,MATCH(AH$2,Inputs!$K$4:$AJ$4,0))))+SUMPRODUCT((Inputs!$C$5:$C$130=$B39)*ISNUMBER(INDEX(Inputs!$K$5:$AJ$130,0,MATCH(AH$2,Inputs!$K$4:$AJ$4,0))))+SUMPRODUCT((Inputs!$E$5:$E$130=$B39)*ISNUMBER(INDEX(Inputs!$K$5:$AJ$130,0,MATCH(AH$2,Inputs!$K$4:$AJ$4,0))))=0,NA(),SUMPRODUCT((Inputs!$A$5:$A$130=$B39)*Inputs!$B$5:$B$130*(((Inputs!$G$5:$G$130="moeda")+(Inputs!$G$5:$G$130="acoes"))*Inputs!$B$1+((Inputs!$G$5:$G$130&lt;&gt;"moeda")*(Inputs!$G$5:$G$130&lt;&gt;"acoes")))*INDEX(Inputs!$K$5:$AJ$130,0,MATCH(AH$2,Inputs!$K$4:$AJ$4,0)))+SUMPRODUCT((Inputs!$C$5:$C$130=$B39)*Inputs!$D$5:$D$130*(((Inputs!$G$5:$G$130="moeda")+(Inputs!$G$5:$G$130="acoes"))*Inputs!$B$1+((Inputs!$G$5:$G$130&lt;&gt;"moeda")*(Inputs!$G$5:$G$130&lt;&gt;"acoes")))*INDEX(Inputs!$K$5:$AJ$130,0,MATCH(AH$2,Inputs!$K$4:$AJ$4,0)))+SUMPRODUCT((Inputs!$E$5:$E$130=$B39)*Inputs!$F$5:$F$130*(((Inputs!$G$5:$G$130="moeda")+(Inputs!$G$5:$G$130="acoes"))*Inputs!$B$1+((Inputs!$G$5:$G$130&lt;&gt;"moeda")*(Inputs!$G$5:$G$130&lt;&gt;"acoes")))*INDEX(Inputs!$K$5:$AJ$130,0,MATCH(AH$2,Inputs!$K$4:$AJ$4,0)))))</f>
        <v>742</v>
      </c>
      <c r="AI39" s="6">
        <f>IF(ISNA(MATCH(AI$2,Inputs!$K$4:$AJ$4,0)),NA(),IF(SUMPRODUCT((Inputs!$A$5:$A$130=$B39)*ISNUMBER(INDEX(Inputs!$K$5:$AJ$130,0,MATCH(AI$2,Inputs!$K$4:$AJ$4,0))))+SUMPRODUCT((Inputs!$C$5:$C$130=$B39)*ISNUMBER(INDEX(Inputs!$K$5:$AJ$130,0,MATCH(AI$2,Inputs!$K$4:$AJ$4,0))))+SUMPRODUCT((Inputs!$E$5:$E$130=$B39)*ISNUMBER(INDEX(Inputs!$K$5:$AJ$130,0,MATCH(AI$2,Inputs!$K$4:$AJ$4,0))))=0,NA(),SUMPRODUCT((Inputs!$A$5:$A$130=$B39)*Inputs!$B$5:$B$130*(((Inputs!$G$5:$G$130="moeda")+(Inputs!$G$5:$G$130="acoes"))*Inputs!$B$1+((Inputs!$G$5:$G$130&lt;&gt;"moeda")*(Inputs!$G$5:$G$130&lt;&gt;"acoes")))*INDEX(Inputs!$K$5:$AJ$130,0,MATCH(AI$2,Inputs!$K$4:$AJ$4,0)))+SUMPRODUCT((Inputs!$C$5:$C$130=$B39)*Inputs!$D$5:$D$130*(((Inputs!$G$5:$G$130="moeda")+(Inputs!$G$5:$G$130="acoes"))*Inputs!$B$1+((Inputs!$G$5:$G$130&lt;&gt;"moeda")*(Inputs!$G$5:$G$130&lt;&gt;"acoes")))*INDEX(Inputs!$K$5:$AJ$130,0,MATCH(AI$2,Inputs!$K$4:$AJ$4,0)))+SUMPRODUCT((Inputs!$E$5:$E$130=$B39)*Inputs!$F$5:$F$130*(((Inputs!$G$5:$G$130="moeda")+(Inputs!$G$5:$G$130="acoes"))*Inputs!$B$1+((Inputs!$G$5:$G$130&lt;&gt;"moeda")*(Inputs!$G$5:$G$130&lt;&gt;"acoes")))*INDEX(Inputs!$K$5:$AJ$130,0,MATCH(AI$2,Inputs!$K$4:$AJ$4,0)))))</f>
        <v>1011</v>
      </c>
      <c r="AJ39" s="6">
        <f>IF(ISNA(MATCH(AJ$2,Inputs!$K$4:$AJ$4,0)),NA(),IF(SUMPRODUCT((Inputs!$A$5:$A$130=$B39)*ISNUMBER(INDEX(Inputs!$K$5:$AJ$130,0,MATCH(AJ$2,Inputs!$K$4:$AJ$4,0))))+SUMPRODUCT((Inputs!$C$5:$C$130=$B39)*ISNUMBER(INDEX(Inputs!$K$5:$AJ$130,0,MATCH(AJ$2,Inputs!$K$4:$AJ$4,0))))+SUMPRODUCT((Inputs!$E$5:$E$130=$B39)*ISNUMBER(INDEX(Inputs!$K$5:$AJ$130,0,MATCH(AJ$2,Inputs!$K$4:$AJ$4,0))))=0,NA(),SUMPRODUCT((Inputs!$A$5:$A$130=$B39)*Inputs!$B$5:$B$130*(((Inputs!$G$5:$G$130="moeda")+(Inputs!$G$5:$G$130="acoes"))*Inputs!$B$1+((Inputs!$G$5:$G$130&lt;&gt;"moeda")*(Inputs!$G$5:$G$130&lt;&gt;"acoes")))*INDEX(Inputs!$K$5:$AJ$130,0,MATCH(AJ$2,Inputs!$K$4:$AJ$4,0)))+SUMPRODUCT((Inputs!$C$5:$C$130=$B39)*Inputs!$D$5:$D$130*(((Inputs!$G$5:$G$130="moeda")+(Inputs!$G$5:$G$130="acoes"))*Inputs!$B$1+((Inputs!$G$5:$G$130&lt;&gt;"moeda")*(Inputs!$G$5:$G$130&lt;&gt;"acoes")))*INDEX(Inputs!$K$5:$AJ$130,0,MATCH(AJ$2,Inputs!$K$4:$AJ$4,0)))+SUMPRODUCT((Inputs!$E$5:$E$130=$B39)*Inputs!$F$5:$F$130*(((Inputs!$G$5:$G$130="moeda")+(Inputs!$G$5:$G$130="acoes"))*Inputs!$B$1+((Inputs!$G$5:$G$130&lt;&gt;"moeda")*(Inputs!$G$5:$G$130&lt;&gt;"acoes")))*INDEX(Inputs!$K$5:$AJ$130,0,MATCH(AJ$2,Inputs!$K$4:$AJ$4,0)))))</f>
        <v>1053</v>
      </c>
      <c r="AK39" s="6">
        <f>IF(ISNA(MATCH(AK$2,Inputs!$K$4:$AJ$4,0)),NA(),IF(SUMPRODUCT((Inputs!$A$5:$A$130=$B39)*ISNUMBER(INDEX(Inputs!$K$5:$AJ$130,0,MATCH(AK$2,Inputs!$K$4:$AJ$4,0))))+SUMPRODUCT((Inputs!$C$5:$C$130=$B39)*ISNUMBER(INDEX(Inputs!$K$5:$AJ$130,0,MATCH(AK$2,Inputs!$K$4:$AJ$4,0))))+SUMPRODUCT((Inputs!$E$5:$E$130=$B39)*ISNUMBER(INDEX(Inputs!$K$5:$AJ$130,0,MATCH(AK$2,Inputs!$K$4:$AJ$4,0))))=0,NA(),SUMPRODUCT((Inputs!$A$5:$A$130=$B39)*Inputs!$B$5:$B$130*(((Inputs!$G$5:$G$130="moeda")+(Inputs!$G$5:$G$130="acoes"))*Inputs!$B$1+((Inputs!$G$5:$G$130&lt;&gt;"moeda")*(Inputs!$G$5:$G$130&lt;&gt;"acoes")))*INDEX(Inputs!$K$5:$AJ$130,0,MATCH(AK$2,Inputs!$K$4:$AJ$4,0)))+SUMPRODUCT((Inputs!$C$5:$C$130=$B39)*Inputs!$D$5:$D$130*(((Inputs!$G$5:$G$130="moeda")+(Inputs!$G$5:$G$130="acoes"))*Inputs!$B$1+((Inputs!$G$5:$G$130&lt;&gt;"moeda")*(Inputs!$G$5:$G$130&lt;&gt;"acoes")))*INDEX(Inputs!$K$5:$AJ$130,0,MATCH(AK$2,Inputs!$K$4:$AJ$4,0)))+SUMPRODUCT((Inputs!$E$5:$E$130=$B39)*Inputs!$F$5:$F$130*(((Inputs!$G$5:$G$130="moeda")+(Inputs!$G$5:$G$130="acoes"))*Inputs!$B$1+((Inputs!$G$5:$G$130&lt;&gt;"moeda")*(Inputs!$G$5:$G$130&lt;&gt;"acoes")))*INDEX(Inputs!$K$5:$AJ$130,0,MATCH(AK$2,Inputs!$K$4:$AJ$4,0)))))</f>
        <v>1134</v>
      </c>
      <c r="AL39" s="3">
        <f>AK39</f>
        <v>1134</v>
      </c>
    </row>
    <row r="40">
      <c r="C40" s="1" t="n"/>
    </row>
    <row r="41">
      <c r="B41" s="46" t="n">
        <v>35</v>
      </c>
      <c r="C41" s="26" t="inlineStr">
        <is>
          <t>Minority interest</t>
        </is>
      </c>
      <c r="D41" s="6" t="e">
        <f>IF(ISNA(MATCH(D$2,Inputs!$K$4:$AJ$4,0)),NA(),IF(SUMPRODUCT((Inputs!$A$5:$A$130=$B41)*ISNUMBER(INDEX(Inputs!$K$5:$AJ$130,0,MATCH(D$2,Inputs!$K$4:$AJ$4,0))))+SUMPRODUCT((Inputs!$C$5:$C$130=$B41)*ISNUMBER(INDEX(Inputs!$K$5:$AJ$130,0,MATCH(D$2,Inputs!$K$4:$AJ$4,0))))+SUMPRODUCT((Inputs!$E$5:$E$130=$B41)*ISNUMBER(INDEX(Inputs!$K$5:$AJ$130,0,MATCH(D$2,Inputs!$K$4:$AJ$4,0))))=0,NA(),SUMPRODUCT((Inputs!$A$5:$A$130=$B41)*Inputs!$B$5:$B$130*(((Inputs!$G$5:$G$130="moeda")+(Inputs!$G$5:$G$130="acoes"))*Inputs!$B$1+((Inputs!$G$5:$G$130&lt;&gt;"moeda")*(Inputs!$G$5:$G$130&lt;&gt;"acoes")))*INDEX(Inputs!$K$5:$AJ$130,0,MATCH(D$2,Inputs!$K$4:$AJ$4,0)))+SUMPRODUCT((Inputs!$C$5:$C$130=$B41)*Inputs!$D$5:$D$130*(((Inputs!$G$5:$G$130="moeda")+(Inputs!$G$5:$G$130="acoes"))*Inputs!$B$1+((Inputs!$G$5:$G$130&lt;&gt;"moeda")*(Inputs!$G$5:$G$130&lt;&gt;"acoes")))*INDEX(Inputs!$K$5:$AJ$130,0,MATCH(D$2,Inputs!$K$4:$AJ$4,0)))+SUMPRODUCT((Inputs!$E$5:$E$130=$B41)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41" s="6" t="e">
        <f>IF(ISNA(MATCH(E$2,Inputs!$K$4:$AJ$4,0)),NA(),IF(SUMPRODUCT((Inputs!$A$5:$A$130=$B41)*ISNUMBER(INDEX(Inputs!$K$5:$AJ$130,0,MATCH(E$2,Inputs!$K$4:$AJ$4,0))))+SUMPRODUCT((Inputs!$C$5:$C$130=$B41)*ISNUMBER(INDEX(Inputs!$K$5:$AJ$130,0,MATCH(E$2,Inputs!$K$4:$AJ$4,0))))+SUMPRODUCT((Inputs!$E$5:$E$130=$B41)*ISNUMBER(INDEX(Inputs!$K$5:$AJ$130,0,MATCH(E$2,Inputs!$K$4:$AJ$4,0))))=0,NA(),SUMPRODUCT((Inputs!$A$5:$A$130=$B41)*Inputs!$B$5:$B$130*(((Inputs!$G$5:$G$130="moeda")+(Inputs!$G$5:$G$130="acoes"))*Inputs!$B$1+((Inputs!$G$5:$G$130&lt;&gt;"moeda")*(Inputs!$G$5:$G$130&lt;&gt;"acoes")))*INDEX(Inputs!$K$5:$AJ$130,0,MATCH(E$2,Inputs!$K$4:$AJ$4,0)))+SUMPRODUCT((Inputs!$C$5:$C$130=$B41)*Inputs!$D$5:$D$130*(((Inputs!$G$5:$G$130="moeda")+(Inputs!$G$5:$G$130="acoes"))*Inputs!$B$1+((Inputs!$G$5:$G$130&lt;&gt;"moeda")*(Inputs!$G$5:$G$130&lt;&gt;"acoes")))*INDEX(Inputs!$K$5:$AJ$130,0,MATCH(E$2,Inputs!$K$4:$AJ$4,0)))+SUMPRODUCT((Inputs!$E$5:$E$130=$B41)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41" s="6" t="e">
        <f>IF(ISNA(MATCH(F$2,Inputs!$K$4:$AJ$4,0)),NA(),IF(SUMPRODUCT((Inputs!$A$5:$A$130=$B41)*ISNUMBER(INDEX(Inputs!$K$5:$AJ$130,0,MATCH(F$2,Inputs!$K$4:$AJ$4,0))))+SUMPRODUCT((Inputs!$C$5:$C$130=$B41)*ISNUMBER(INDEX(Inputs!$K$5:$AJ$130,0,MATCH(F$2,Inputs!$K$4:$AJ$4,0))))+SUMPRODUCT((Inputs!$E$5:$E$130=$B41)*ISNUMBER(INDEX(Inputs!$K$5:$AJ$130,0,MATCH(F$2,Inputs!$K$4:$AJ$4,0))))=0,NA(),SUMPRODUCT((Inputs!$A$5:$A$130=$B41)*Inputs!$B$5:$B$130*(((Inputs!$G$5:$G$130="moeda")+(Inputs!$G$5:$G$130="acoes"))*Inputs!$B$1+((Inputs!$G$5:$G$130&lt;&gt;"moeda")*(Inputs!$G$5:$G$130&lt;&gt;"acoes")))*INDEX(Inputs!$K$5:$AJ$130,0,MATCH(F$2,Inputs!$K$4:$AJ$4,0)))+SUMPRODUCT((Inputs!$C$5:$C$130=$B41)*Inputs!$D$5:$D$130*(((Inputs!$G$5:$G$130="moeda")+(Inputs!$G$5:$G$130="acoes"))*Inputs!$B$1+((Inputs!$G$5:$G$130&lt;&gt;"moeda")*(Inputs!$G$5:$G$130&lt;&gt;"acoes")))*INDEX(Inputs!$K$5:$AJ$130,0,MATCH(F$2,Inputs!$K$4:$AJ$4,0)))+SUMPRODUCT((Inputs!$E$5:$E$130=$B41)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41" s="6" t="e">
        <f>IF(ISNA(MATCH(G$2,Inputs!$K$4:$AJ$4,0)),NA(),IF(SUMPRODUCT((Inputs!$A$5:$A$130=$B41)*ISNUMBER(INDEX(Inputs!$K$5:$AJ$130,0,MATCH(G$2,Inputs!$K$4:$AJ$4,0))))+SUMPRODUCT((Inputs!$C$5:$C$130=$B41)*ISNUMBER(INDEX(Inputs!$K$5:$AJ$130,0,MATCH(G$2,Inputs!$K$4:$AJ$4,0))))+SUMPRODUCT((Inputs!$E$5:$E$130=$B41)*ISNUMBER(INDEX(Inputs!$K$5:$AJ$130,0,MATCH(G$2,Inputs!$K$4:$AJ$4,0))))=0,NA(),SUMPRODUCT((Inputs!$A$5:$A$130=$B41)*Inputs!$B$5:$B$130*(((Inputs!$G$5:$G$130="moeda")+(Inputs!$G$5:$G$130="acoes"))*Inputs!$B$1+((Inputs!$G$5:$G$130&lt;&gt;"moeda")*(Inputs!$G$5:$G$130&lt;&gt;"acoes")))*INDEX(Inputs!$K$5:$AJ$130,0,MATCH(G$2,Inputs!$K$4:$AJ$4,0)))+SUMPRODUCT((Inputs!$C$5:$C$130=$B41)*Inputs!$D$5:$D$130*(((Inputs!$G$5:$G$130="moeda")+(Inputs!$G$5:$G$130="acoes"))*Inputs!$B$1+((Inputs!$G$5:$G$130&lt;&gt;"moeda")*(Inputs!$G$5:$G$130&lt;&gt;"acoes")))*INDEX(Inputs!$K$5:$AJ$130,0,MATCH(G$2,Inputs!$K$4:$AJ$4,0)))+SUMPRODUCT((Inputs!$E$5:$E$130=$B41)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41" s="3" t="e">
        <f>G41</f>
        <v>#N/A</v>
      </c>
      <c r="I41" s="6" t="e">
        <f>IF(ISNA(MATCH(I$2,Inputs!$K$4:$AJ$4,0)),NA(),IF(SUMPRODUCT((Inputs!$A$5:$A$130=$B41)*ISNUMBER(INDEX(Inputs!$K$5:$AJ$130,0,MATCH(I$2,Inputs!$K$4:$AJ$4,0))))+SUMPRODUCT((Inputs!$C$5:$C$130=$B41)*ISNUMBER(INDEX(Inputs!$K$5:$AJ$130,0,MATCH(I$2,Inputs!$K$4:$AJ$4,0))))+SUMPRODUCT((Inputs!$E$5:$E$130=$B41)*ISNUMBER(INDEX(Inputs!$K$5:$AJ$130,0,MATCH(I$2,Inputs!$K$4:$AJ$4,0))))=0,NA(),SUMPRODUCT((Inputs!$A$5:$A$130=$B41)*Inputs!$B$5:$B$130*(((Inputs!$G$5:$G$130="moeda")+(Inputs!$G$5:$G$130="acoes"))*Inputs!$B$1+((Inputs!$G$5:$G$130&lt;&gt;"moeda")*(Inputs!$G$5:$G$130&lt;&gt;"acoes")))*INDEX(Inputs!$K$5:$AJ$130,0,MATCH(I$2,Inputs!$K$4:$AJ$4,0)))+SUMPRODUCT((Inputs!$C$5:$C$130=$B41)*Inputs!$D$5:$D$130*(((Inputs!$G$5:$G$130="moeda")+(Inputs!$G$5:$G$130="acoes"))*Inputs!$B$1+((Inputs!$G$5:$G$130&lt;&gt;"moeda")*(Inputs!$G$5:$G$130&lt;&gt;"acoes")))*INDEX(Inputs!$K$5:$AJ$130,0,MATCH(I$2,Inputs!$K$4:$AJ$4,0)))+SUMPRODUCT((Inputs!$E$5:$E$130=$B41)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41" s="6" t="e">
        <f>IF(ISNA(MATCH(J$2,Inputs!$K$4:$AJ$4,0)),NA(),IF(SUMPRODUCT((Inputs!$A$5:$A$130=$B41)*ISNUMBER(INDEX(Inputs!$K$5:$AJ$130,0,MATCH(J$2,Inputs!$K$4:$AJ$4,0))))+SUMPRODUCT((Inputs!$C$5:$C$130=$B41)*ISNUMBER(INDEX(Inputs!$K$5:$AJ$130,0,MATCH(J$2,Inputs!$K$4:$AJ$4,0))))+SUMPRODUCT((Inputs!$E$5:$E$130=$B41)*ISNUMBER(INDEX(Inputs!$K$5:$AJ$130,0,MATCH(J$2,Inputs!$K$4:$AJ$4,0))))=0,NA(),SUMPRODUCT((Inputs!$A$5:$A$130=$B41)*Inputs!$B$5:$B$130*(((Inputs!$G$5:$G$130="moeda")+(Inputs!$G$5:$G$130="acoes"))*Inputs!$B$1+((Inputs!$G$5:$G$130&lt;&gt;"moeda")*(Inputs!$G$5:$G$130&lt;&gt;"acoes")))*INDEX(Inputs!$K$5:$AJ$130,0,MATCH(J$2,Inputs!$K$4:$AJ$4,0)))+SUMPRODUCT((Inputs!$C$5:$C$130=$B41)*Inputs!$D$5:$D$130*(((Inputs!$G$5:$G$130="moeda")+(Inputs!$G$5:$G$130="acoes"))*Inputs!$B$1+((Inputs!$G$5:$G$130&lt;&gt;"moeda")*(Inputs!$G$5:$G$130&lt;&gt;"acoes")))*INDEX(Inputs!$K$5:$AJ$130,0,MATCH(J$2,Inputs!$K$4:$AJ$4,0)))+SUMPRODUCT((Inputs!$E$5:$E$130=$B41)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41" s="6" t="e">
        <f>IF(ISNA(MATCH(K$2,Inputs!$K$4:$AJ$4,0)),NA(),IF(SUMPRODUCT((Inputs!$A$5:$A$130=$B41)*ISNUMBER(INDEX(Inputs!$K$5:$AJ$130,0,MATCH(K$2,Inputs!$K$4:$AJ$4,0))))+SUMPRODUCT((Inputs!$C$5:$C$130=$B41)*ISNUMBER(INDEX(Inputs!$K$5:$AJ$130,0,MATCH(K$2,Inputs!$K$4:$AJ$4,0))))+SUMPRODUCT((Inputs!$E$5:$E$130=$B41)*ISNUMBER(INDEX(Inputs!$K$5:$AJ$130,0,MATCH(K$2,Inputs!$K$4:$AJ$4,0))))=0,NA(),SUMPRODUCT((Inputs!$A$5:$A$130=$B41)*Inputs!$B$5:$B$130*(((Inputs!$G$5:$G$130="moeda")+(Inputs!$G$5:$G$130="acoes"))*Inputs!$B$1+((Inputs!$G$5:$G$130&lt;&gt;"moeda")*(Inputs!$G$5:$G$130&lt;&gt;"acoes")))*INDEX(Inputs!$K$5:$AJ$130,0,MATCH(K$2,Inputs!$K$4:$AJ$4,0)))+SUMPRODUCT((Inputs!$C$5:$C$130=$B41)*Inputs!$D$5:$D$130*(((Inputs!$G$5:$G$130="moeda")+(Inputs!$G$5:$G$130="acoes"))*Inputs!$B$1+((Inputs!$G$5:$G$130&lt;&gt;"moeda")*(Inputs!$G$5:$G$130&lt;&gt;"acoes")))*INDEX(Inputs!$K$5:$AJ$130,0,MATCH(K$2,Inputs!$K$4:$AJ$4,0)))+SUMPRODUCT((Inputs!$E$5:$E$130=$B41)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41" s="6" t="e">
        <f>IF(ISNA(MATCH(L$2,Inputs!$K$4:$AJ$4,0)),NA(),IF(SUMPRODUCT((Inputs!$A$5:$A$130=$B41)*ISNUMBER(INDEX(Inputs!$K$5:$AJ$130,0,MATCH(L$2,Inputs!$K$4:$AJ$4,0))))+SUMPRODUCT((Inputs!$C$5:$C$130=$B41)*ISNUMBER(INDEX(Inputs!$K$5:$AJ$130,0,MATCH(L$2,Inputs!$K$4:$AJ$4,0))))+SUMPRODUCT((Inputs!$E$5:$E$130=$B41)*ISNUMBER(INDEX(Inputs!$K$5:$AJ$130,0,MATCH(L$2,Inputs!$K$4:$AJ$4,0))))=0,NA(),SUMPRODUCT((Inputs!$A$5:$A$130=$B41)*Inputs!$B$5:$B$130*(((Inputs!$G$5:$G$130="moeda")+(Inputs!$G$5:$G$130="acoes"))*Inputs!$B$1+((Inputs!$G$5:$G$130&lt;&gt;"moeda")*(Inputs!$G$5:$G$130&lt;&gt;"acoes")))*INDEX(Inputs!$K$5:$AJ$130,0,MATCH(L$2,Inputs!$K$4:$AJ$4,0)))+SUMPRODUCT((Inputs!$C$5:$C$130=$B41)*Inputs!$D$5:$D$130*(((Inputs!$G$5:$G$130="moeda")+(Inputs!$G$5:$G$130="acoes"))*Inputs!$B$1+((Inputs!$G$5:$G$130&lt;&gt;"moeda")*(Inputs!$G$5:$G$130&lt;&gt;"acoes")))*INDEX(Inputs!$K$5:$AJ$130,0,MATCH(L$2,Inputs!$K$4:$AJ$4,0)))+SUMPRODUCT((Inputs!$E$5:$E$130=$B41)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41" s="3" t="e">
        <f>L41</f>
        <v>#N/A</v>
      </c>
      <c r="N41" s="6" t="e">
        <f>IF(ISNA(MATCH(N$2,Inputs!$K$4:$AJ$4,0)),NA(),IF(SUMPRODUCT((Inputs!$A$5:$A$130=$B41)*ISNUMBER(INDEX(Inputs!$K$5:$AJ$130,0,MATCH(N$2,Inputs!$K$4:$AJ$4,0))))+SUMPRODUCT((Inputs!$C$5:$C$130=$B41)*ISNUMBER(INDEX(Inputs!$K$5:$AJ$130,0,MATCH(N$2,Inputs!$K$4:$AJ$4,0))))+SUMPRODUCT((Inputs!$E$5:$E$130=$B41)*ISNUMBER(INDEX(Inputs!$K$5:$AJ$130,0,MATCH(N$2,Inputs!$K$4:$AJ$4,0))))=0,NA(),SUMPRODUCT((Inputs!$A$5:$A$130=$B41)*Inputs!$B$5:$B$130*(((Inputs!$G$5:$G$130="moeda")+(Inputs!$G$5:$G$130="acoes"))*Inputs!$B$1+((Inputs!$G$5:$G$130&lt;&gt;"moeda")*(Inputs!$G$5:$G$130&lt;&gt;"acoes")))*INDEX(Inputs!$K$5:$AJ$130,0,MATCH(N$2,Inputs!$K$4:$AJ$4,0)))+SUMPRODUCT((Inputs!$C$5:$C$130=$B41)*Inputs!$D$5:$D$130*(((Inputs!$G$5:$G$130="moeda")+(Inputs!$G$5:$G$130="acoes"))*Inputs!$B$1+((Inputs!$G$5:$G$130&lt;&gt;"moeda")*(Inputs!$G$5:$G$130&lt;&gt;"acoes")))*INDEX(Inputs!$K$5:$AJ$130,0,MATCH(N$2,Inputs!$K$4:$AJ$4,0)))+SUMPRODUCT((Inputs!$E$5:$E$130=$B41)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41" s="6" t="e">
        <f>IF(ISNA(MATCH(O$2,Inputs!$K$4:$AJ$4,0)),NA(),IF(SUMPRODUCT((Inputs!$A$5:$A$130=$B41)*ISNUMBER(INDEX(Inputs!$K$5:$AJ$130,0,MATCH(O$2,Inputs!$K$4:$AJ$4,0))))+SUMPRODUCT((Inputs!$C$5:$C$130=$B41)*ISNUMBER(INDEX(Inputs!$K$5:$AJ$130,0,MATCH(O$2,Inputs!$K$4:$AJ$4,0))))+SUMPRODUCT((Inputs!$E$5:$E$130=$B41)*ISNUMBER(INDEX(Inputs!$K$5:$AJ$130,0,MATCH(O$2,Inputs!$K$4:$AJ$4,0))))=0,NA(),SUMPRODUCT((Inputs!$A$5:$A$130=$B41)*Inputs!$B$5:$B$130*(((Inputs!$G$5:$G$130="moeda")+(Inputs!$G$5:$G$130="acoes"))*Inputs!$B$1+((Inputs!$G$5:$G$130&lt;&gt;"moeda")*(Inputs!$G$5:$G$130&lt;&gt;"acoes")))*INDEX(Inputs!$K$5:$AJ$130,0,MATCH(O$2,Inputs!$K$4:$AJ$4,0)))+SUMPRODUCT((Inputs!$C$5:$C$130=$B41)*Inputs!$D$5:$D$130*(((Inputs!$G$5:$G$130="moeda")+(Inputs!$G$5:$G$130="acoes"))*Inputs!$B$1+((Inputs!$G$5:$G$130&lt;&gt;"moeda")*(Inputs!$G$5:$G$130&lt;&gt;"acoes")))*INDEX(Inputs!$K$5:$AJ$130,0,MATCH(O$2,Inputs!$K$4:$AJ$4,0)))+SUMPRODUCT((Inputs!$E$5:$E$130=$B41)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41" s="6" t="e">
        <f>IF(ISNA(MATCH(P$2,Inputs!$K$4:$AJ$4,0)),NA(),IF(SUMPRODUCT((Inputs!$A$5:$A$130=$B41)*ISNUMBER(INDEX(Inputs!$K$5:$AJ$130,0,MATCH(P$2,Inputs!$K$4:$AJ$4,0))))+SUMPRODUCT((Inputs!$C$5:$C$130=$B41)*ISNUMBER(INDEX(Inputs!$K$5:$AJ$130,0,MATCH(P$2,Inputs!$K$4:$AJ$4,0))))+SUMPRODUCT((Inputs!$E$5:$E$130=$B41)*ISNUMBER(INDEX(Inputs!$K$5:$AJ$130,0,MATCH(P$2,Inputs!$K$4:$AJ$4,0))))=0,NA(),SUMPRODUCT((Inputs!$A$5:$A$130=$B41)*Inputs!$B$5:$B$130*(((Inputs!$G$5:$G$130="moeda")+(Inputs!$G$5:$G$130="acoes"))*Inputs!$B$1+((Inputs!$G$5:$G$130&lt;&gt;"moeda")*(Inputs!$G$5:$G$130&lt;&gt;"acoes")))*INDEX(Inputs!$K$5:$AJ$130,0,MATCH(P$2,Inputs!$K$4:$AJ$4,0)))+SUMPRODUCT((Inputs!$C$5:$C$130=$B41)*Inputs!$D$5:$D$130*(((Inputs!$G$5:$G$130="moeda")+(Inputs!$G$5:$G$130="acoes"))*Inputs!$B$1+((Inputs!$G$5:$G$130&lt;&gt;"moeda")*(Inputs!$G$5:$G$130&lt;&gt;"acoes")))*INDEX(Inputs!$K$5:$AJ$130,0,MATCH(P$2,Inputs!$K$4:$AJ$4,0)))+SUMPRODUCT((Inputs!$E$5:$E$130=$B41)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41" s="6" t="e">
        <f>IF(ISNA(MATCH(Q$2,Inputs!$K$4:$AJ$4,0)),NA(),IF(SUMPRODUCT((Inputs!$A$5:$A$130=$B41)*ISNUMBER(INDEX(Inputs!$K$5:$AJ$130,0,MATCH(Q$2,Inputs!$K$4:$AJ$4,0))))+SUMPRODUCT((Inputs!$C$5:$C$130=$B41)*ISNUMBER(INDEX(Inputs!$K$5:$AJ$130,0,MATCH(Q$2,Inputs!$K$4:$AJ$4,0))))+SUMPRODUCT((Inputs!$E$5:$E$130=$B41)*ISNUMBER(INDEX(Inputs!$K$5:$AJ$130,0,MATCH(Q$2,Inputs!$K$4:$AJ$4,0))))=0,NA(),SUMPRODUCT((Inputs!$A$5:$A$130=$B41)*Inputs!$B$5:$B$130*(((Inputs!$G$5:$G$130="moeda")+(Inputs!$G$5:$G$130="acoes"))*Inputs!$B$1+((Inputs!$G$5:$G$130&lt;&gt;"moeda")*(Inputs!$G$5:$G$130&lt;&gt;"acoes")))*INDEX(Inputs!$K$5:$AJ$130,0,MATCH(Q$2,Inputs!$K$4:$AJ$4,0)))+SUMPRODUCT((Inputs!$C$5:$C$130=$B41)*Inputs!$D$5:$D$130*(((Inputs!$G$5:$G$130="moeda")+(Inputs!$G$5:$G$130="acoes"))*Inputs!$B$1+((Inputs!$G$5:$G$130&lt;&gt;"moeda")*(Inputs!$G$5:$G$130&lt;&gt;"acoes")))*INDEX(Inputs!$K$5:$AJ$130,0,MATCH(Q$2,Inputs!$K$4:$AJ$4,0)))+SUMPRODUCT((Inputs!$E$5:$E$130=$B41)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41" s="3" t="e">
        <f>Q41</f>
        <v>#N/A</v>
      </c>
      <c r="S41" s="6" t="e">
        <f>IF(ISNA(MATCH(S$2,Inputs!$K$4:$AJ$4,0)),NA(),IF(SUMPRODUCT((Inputs!$A$5:$A$130=$B41)*ISNUMBER(INDEX(Inputs!$K$5:$AJ$130,0,MATCH(S$2,Inputs!$K$4:$AJ$4,0))))+SUMPRODUCT((Inputs!$C$5:$C$130=$B41)*ISNUMBER(INDEX(Inputs!$K$5:$AJ$130,0,MATCH(S$2,Inputs!$K$4:$AJ$4,0))))+SUMPRODUCT((Inputs!$E$5:$E$130=$B41)*ISNUMBER(INDEX(Inputs!$K$5:$AJ$130,0,MATCH(S$2,Inputs!$K$4:$AJ$4,0))))=0,NA(),SUMPRODUCT((Inputs!$A$5:$A$130=$B41)*Inputs!$B$5:$B$130*(((Inputs!$G$5:$G$130="moeda")+(Inputs!$G$5:$G$130="acoes"))*Inputs!$B$1+((Inputs!$G$5:$G$130&lt;&gt;"moeda")*(Inputs!$G$5:$G$130&lt;&gt;"acoes")))*INDEX(Inputs!$K$5:$AJ$130,0,MATCH(S$2,Inputs!$K$4:$AJ$4,0)))+SUMPRODUCT((Inputs!$C$5:$C$130=$B41)*Inputs!$D$5:$D$130*(((Inputs!$G$5:$G$130="moeda")+(Inputs!$G$5:$G$130="acoes"))*Inputs!$B$1+((Inputs!$G$5:$G$130&lt;&gt;"moeda")*(Inputs!$G$5:$G$130&lt;&gt;"acoes")))*INDEX(Inputs!$K$5:$AJ$130,0,MATCH(S$2,Inputs!$K$4:$AJ$4,0)))+SUMPRODUCT((Inputs!$E$5:$E$130=$B41)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41" s="6" t="e">
        <f>IF(ISNA(MATCH(T$2,Inputs!$K$4:$AJ$4,0)),NA(),IF(SUMPRODUCT((Inputs!$A$5:$A$130=$B41)*ISNUMBER(INDEX(Inputs!$K$5:$AJ$130,0,MATCH(T$2,Inputs!$K$4:$AJ$4,0))))+SUMPRODUCT((Inputs!$C$5:$C$130=$B41)*ISNUMBER(INDEX(Inputs!$K$5:$AJ$130,0,MATCH(T$2,Inputs!$K$4:$AJ$4,0))))+SUMPRODUCT((Inputs!$E$5:$E$130=$B41)*ISNUMBER(INDEX(Inputs!$K$5:$AJ$130,0,MATCH(T$2,Inputs!$K$4:$AJ$4,0))))=0,NA(),SUMPRODUCT((Inputs!$A$5:$A$130=$B41)*Inputs!$B$5:$B$130*(((Inputs!$G$5:$G$130="moeda")+(Inputs!$G$5:$G$130="acoes"))*Inputs!$B$1+((Inputs!$G$5:$G$130&lt;&gt;"moeda")*(Inputs!$G$5:$G$130&lt;&gt;"acoes")))*INDEX(Inputs!$K$5:$AJ$130,0,MATCH(T$2,Inputs!$K$4:$AJ$4,0)))+SUMPRODUCT((Inputs!$C$5:$C$130=$B41)*Inputs!$D$5:$D$130*(((Inputs!$G$5:$G$130="moeda")+(Inputs!$G$5:$G$130="acoes"))*Inputs!$B$1+((Inputs!$G$5:$G$130&lt;&gt;"moeda")*(Inputs!$G$5:$G$130&lt;&gt;"acoes")))*INDEX(Inputs!$K$5:$AJ$130,0,MATCH(T$2,Inputs!$K$4:$AJ$4,0)))+SUMPRODUCT((Inputs!$E$5:$E$130=$B41)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41" s="6" t="e">
        <f>IF(ISNA(MATCH(U$2,Inputs!$K$4:$AJ$4,0)),NA(),IF(SUMPRODUCT((Inputs!$A$5:$A$130=$B41)*ISNUMBER(INDEX(Inputs!$K$5:$AJ$130,0,MATCH(U$2,Inputs!$K$4:$AJ$4,0))))+SUMPRODUCT((Inputs!$C$5:$C$130=$B41)*ISNUMBER(INDEX(Inputs!$K$5:$AJ$130,0,MATCH(U$2,Inputs!$K$4:$AJ$4,0))))+SUMPRODUCT((Inputs!$E$5:$E$130=$B41)*ISNUMBER(INDEX(Inputs!$K$5:$AJ$130,0,MATCH(U$2,Inputs!$K$4:$AJ$4,0))))=0,NA(),SUMPRODUCT((Inputs!$A$5:$A$130=$B41)*Inputs!$B$5:$B$130*(((Inputs!$G$5:$G$130="moeda")+(Inputs!$G$5:$G$130="acoes"))*Inputs!$B$1+((Inputs!$G$5:$G$130&lt;&gt;"moeda")*(Inputs!$G$5:$G$130&lt;&gt;"acoes")))*INDEX(Inputs!$K$5:$AJ$130,0,MATCH(U$2,Inputs!$K$4:$AJ$4,0)))+SUMPRODUCT((Inputs!$C$5:$C$130=$B41)*Inputs!$D$5:$D$130*(((Inputs!$G$5:$G$130="moeda")+(Inputs!$G$5:$G$130="acoes"))*Inputs!$B$1+((Inputs!$G$5:$G$130&lt;&gt;"moeda")*(Inputs!$G$5:$G$130&lt;&gt;"acoes")))*INDEX(Inputs!$K$5:$AJ$130,0,MATCH(U$2,Inputs!$K$4:$AJ$4,0)))+SUMPRODUCT((Inputs!$E$5:$E$130=$B41)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41" s="6" t="e">
        <f>IF(ISNA(MATCH(V$2,Inputs!$K$4:$AJ$4,0)),NA(),IF(SUMPRODUCT((Inputs!$A$5:$A$130=$B41)*ISNUMBER(INDEX(Inputs!$K$5:$AJ$130,0,MATCH(V$2,Inputs!$K$4:$AJ$4,0))))+SUMPRODUCT((Inputs!$C$5:$C$130=$B41)*ISNUMBER(INDEX(Inputs!$K$5:$AJ$130,0,MATCH(V$2,Inputs!$K$4:$AJ$4,0))))+SUMPRODUCT((Inputs!$E$5:$E$130=$B41)*ISNUMBER(INDEX(Inputs!$K$5:$AJ$130,0,MATCH(V$2,Inputs!$K$4:$AJ$4,0))))=0,NA(),SUMPRODUCT((Inputs!$A$5:$A$130=$B41)*Inputs!$B$5:$B$130*(((Inputs!$G$5:$G$130="moeda")+(Inputs!$G$5:$G$130="acoes"))*Inputs!$B$1+((Inputs!$G$5:$G$130&lt;&gt;"moeda")*(Inputs!$G$5:$G$130&lt;&gt;"acoes")))*INDEX(Inputs!$K$5:$AJ$130,0,MATCH(V$2,Inputs!$K$4:$AJ$4,0)))+SUMPRODUCT((Inputs!$C$5:$C$130=$B41)*Inputs!$D$5:$D$130*(((Inputs!$G$5:$G$130="moeda")+(Inputs!$G$5:$G$130="acoes"))*Inputs!$B$1+((Inputs!$G$5:$G$130&lt;&gt;"moeda")*(Inputs!$G$5:$G$130&lt;&gt;"acoes")))*INDEX(Inputs!$K$5:$AJ$130,0,MATCH(V$2,Inputs!$K$4:$AJ$4,0)))+SUMPRODUCT((Inputs!$E$5:$E$130=$B41)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41" s="3" t="e">
        <f>V41</f>
        <v>#N/A</v>
      </c>
      <c r="X41" s="6" t="e">
        <f>IF(ISNA(MATCH(X$2,Inputs!$K$4:$AJ$4,0)),NA(),IF(SUMPRODUCT((Inputs!$A$5:$A$130=$B41)*ISNUMBER(INDEX(Inputs!$K$5:$AJ$130,0,MATCH(X$2,Inputs!$K$4:$AJ$4,0))))+SUMPRODUCT((Inputs!$C$5:$C$130=$B41)*ISNUMBER(INDEX(Inputs!$K$5:$AJ$130,0,MATCH(X$2,Inputs!$K$4:$AJ$4,0))))+SUMPRODUCT((Inputs!$E$5:$E$130=$B41)*ISNUMBER(INDEX(Inputs!$K$5:$AJ$130,0,MATCH(X$2,Inputs!$K$4:$AJ$4,0))))=0,NA(),SUMPRODUCT((Inputs!$A$5:$A$130=$B41)*Inputs!$B$5:$B$130*(((Inputs!$G$5:$G$130="moeda")+(Inputs!$G$5:$G$130="acoes"))*Inputs!$B$1+((Inputs!$G$5:$G$130&lt;&gt;"moeda")*(Inputs!$G$5:$G$130&lt;&gt;"acoes")))*INDEX(Inputs!$K$5:$AJ$130,0,MATCH(X$2,Inputs!$K$4:$AJ$4,0)))+SUMPRODUCT((Inputs!$C$5:$C$130=$B41)*Inputs!$D$5:$D$130*(((Inputs!$G$5:$G$130="moeda")+(Inputs!$G$5:$G$130="acoes"))*Inputs!$B$1+((Inputs!$G$5:$G$130&lt;&gt;"moeda")*(Inputs!$G$5:$G$130&lt;&gt;"acoes")))*INDEX(Inputs!$K$5:$AJ$130,0,MATCH(X$2,Inputs!$K$4:$AJ$4,0)))+SUMPRODUCT((Inputs!$E$5:$E$130=$B41)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41" s="6" t="e">
        <f>IF(ISNA(MATCH(Y$2,Inputs!$K$4:$AJ$4,0)),NA(),IF(SUMPRODUCT((Inputs!$A$5:$A$130=$B41)*ISNUMBER(INDEX(Inputs!$K$5:$AJ$130,0,MATCH(Y$2,Inputs!$K$4:$AJ$4,0))))+SUMPRODUCT((Inputs!$C$5:$C$130=$B41)*ISNUMBER(INDEX(Inputs!$K$5:$AJ$130,0,MATCH(Y$2,Inputs!$K$4:$AJ$4,0))))+SUMPRODUCT((Inputs!$E$5:$E$130=$B41)*ISNUMBER(INDEX(Inputs!$K$5:$AJ$130,0,MATCH(Y$2,Inputs!$K$4:$AJ$4,0))))=0,NA(),SUMPRODUCT((Inputs!$A$5:$A$130=$B41)*Inputs!$B$5:$B$130*(((Inputs!$G$5:$G$130="moeda")+(Inputs!$G$5:$G$130="acoes"))*Inputs!$B$1+((Inputs!$G$5:$G$130&lt;&gt;"moeda")*(Inputs!$G$5:$G$130&lt;&gt;"acoes")))*INDEX(Inputs!$K$5:$AJ$130,0,MATCH(Y$2,Inputs!$K$4:$AJ$4,0)))+SUMPRODUCT((Inputs!$C$5:$C$130=$B41)*Inputs!$D$5:$D$130*(((Inputs!$G$5:$G$130="moeda")+(Inputs!$G$5:$G$130="acoes"))*Inputs!$B$1+((Inputs!$G$5:$G$130&lt;&gt;"moeda")*(Inputs!$G$5:$G$130&lt;&gt;"acoes")))*INDEX(Inputs!$K$5:$AJ$130,0,MATCH(Y$2,Inputs!$K$4:$AJ$4,0)))+SUMPRODUCT((Inputs!$E$5:$E$130=$B41)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41" s="6" t="e">
        <f>IF(ISNA(MATCH(Z$2,Inputs!$K$4:$AJ$4,0)),NA(),IF(SUMPRODUCT((Inputs!$A$5:$A$130=$B41)*ISNUMBER(INDEX(Inputs!$K$5:$AJ$130,0,MATCH(Z$2,Inputs!$K$4:$AJ$4,0))))+SUMPRODUCT((Inputs!$C$5:$C$130=$B41)*ISNUMBER(INDEX(Inputs!$K$5:$AJ$130,0,MATCH(Z$2,Inputs!$K$4:$AJ$4,0))))+SUMPRODUCT((Inputs!$E$5:$E$130=$B41)*ISNUMBER(INDEX(Inputs!$K$5:$AJ$130,0,MATCH(Z$2,Inputs!$K$4:$AJ$4,0))))=0,NA(),SUMPRODUCT((Inputs!$A$5:$A$130=$B41)*Inputs!$B$5:$B$130*(((Inputs!$G$5:$G$130="moeda")+(Inputs!$G$5:$G$130="acoes"))*Inputs!$B$1+((Inputs!$G$5:$G$130&lt;&gt;"moeda")*(Inputs!$G$5:$G$130&lt;&gt;"acoes")))*INDEX(Inputs!$K$5:$AJ$130,0,MATCH(Z$2,Inputs!$K$4:$AJ$4,0)))+SUMPRODUCT((Inputs!$C$5:$C$130=$B41)*Inputs!$D$5:$D$130*(((Inputs!$G$5:$G$130="moeda")+(Inputs!$G$5:$G$130="acoes"))*Inputs!$B$1+((Inputs!$G$5:$G$130&lt;&gt;"moeda")*(Inputs!$G$5:$G$130&lt;&gt;"acoes")))*INDEX(Inputs!$K$5:$AJ$130,0,MATCH(Z$2,Inputs!$K$4:$AJ$4,0)))+SUMPRODUCT((Inputs!$E$5:$E$130=$B41)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41" s="6" t="e">
        <f>IF(ISNA(MATCH(AA$2,Inputs!$K$4:$AJ$4,0)),NA(),IF(SUMPRODUCT((Inputs!$A$5:$A$130=$B41)*ISNUMBER(INDEX(Inputs!$K$5:$AJ$130,0,MATCH(AA$2,Inputs!$K$4:$AJ$4,0))))+SUMPRODUCT((Inputs!$C$5:$C$130=$B41)*ISNUMBER(INDEX(Inputs!$K$5:$AJ$130,0,MATCH(AA$2,Inputs!$K$4:$AJ$4,0))))+SUMPRODUCT((Inputs!$E$5:$E$130=$B41)*ISNUMBER(INDEX(Inputs!$K$5:$AJ$130,0,MATCH(AA$2,Inputs!$K$4:$AJ$4,0))))=0,NA(),SUMPRODUCT((Inputs!$A$5:$A$130=$B41)*Inputs!$B$5:$B$130*(((Inputs!$G$5:$G$130="moeda")+(Inputs!$G$5:$G$130="acoes"))*Inputs!$B$1+((Inputs!$G$5:$G$130&lt;&gt;"moeda")*(Inputs!$G$5:$G$130&lt;&gt;"acoes")))*INDEX(Inputs!$K$5:$AJ$130,0,MATCH(AA$2,Inputs!$K$4:$AJ$4,0)))+SUMPRODUCT((Inputs!$C$5:$C$130=$B41)*Inputs!$D$5:$D$130*(((Inputs!$G$5:$G$130="moeda")+(Inputs!$G$5:$G$130="acoes"))*Inputs!$B$1+((Inputs!$G$5:$G$130&lt;&gt;"moeda")*(Inputs!$G$5:$G$130&lt;&gt;"acoes")))*INDEX(Inputs!$K$5:$AJ$130,0,MATCH(AA$2,Inputs!$K$4:$AJ$4,0)))+SUMPRODUCT((Inputs!$E$5:$E$130=$B41)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41" s="3" t="e">
        <f>AA41</f>
        <v>#N/A</v>
      </c>
      <c r="AC41" s="6" t="e">
        <f>IF(ISNA(MATCH(AC$2,Inputs!$K$4:$AJ$4,0)),NA(),IF(SUMPRODUCT((Inputs!$A$5:$A$130=$B41)*ISNUMBER(INDEX(Inputs!$K$5:$AJ$130,0,MATCH(AC$2,Inputs!$K$4:$AJ$4,0))))+SUMPRODUCT((Inputs!$C$5:$C$130=$B41)*ISNUMBER(INDEX(Inputs!$K$5:$AJ$130,0,MATCH(AC$2,Inputs!$K$4:$AJ$4,0))))+SUMPRODUCT((Inputs!$E$5:$E$130=$B41)*ISNUMBER(INDEX(Inputs!$K$5:$AJ$130,0,MATCH(AC$2,Inputs!$K$4:$AJ$4,0))))=0,NA(),SUMPRODUCT((Inputs!$A$5:$A$130=$B41)*Inputs!$B$5:$B$130*(((Inputs!$G$5:$G$130="moeda")+(Inputs!$G$5:$G$130="acoes"))*Inputs!$B$1+((Inputs!$G$5:$G$130&lt;&gt;"moeda")*(Inputs!$G$5:$G$130&lt;&gt;"acoes")))*INDEX(Inputs!$K$5:$AJ$130,0,MATCH(AC$2,Inputs!$K$4:$AJ$4,0)))+SUMPRODUCT((Inputs!$C$5:$C$130=$B41)*Inputs!$D$5:$D$130*(((Inputs!$G$5:$G$130="moeda")+(Inputs!$G$5:$G$130="acoes"))*Inputs!$B$1+((Inputs!$G$5:$G$130&lt;&gt;"moeda")*(Inputs!$G$5:$G$130&lt;&gt;"acoes")))*INDEX(Inputs!$K$5:$AJ$130,0,MATCH(AC$2,Inputs!$K$4:$AJ$4,0)))+SUMPRODUCT((Inputs!$E$5:$E$130=$B41)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41" s="6" t="e">
        <f>IF(ISNA(MATCH(AD$2,Inputs!$K$4:$AJ$4,0)),NA(),IF(SUMPRODUCT((Inputs!$A$5:$A$130=$B41)*ISNUMBER(INDEX(Inputs!$K$5:$AJ$130,0,MATCH(AD$2,Inputs!$K$4:$AJ$4,0))))+SUMPRODUCT((Inputs!$C$5:$C$130=$B41)*ISNUMBER(INDEX(Inputs!$K$5:$AJ$130,0,MATCH(AD$2,Inputs!$K$4:$AJ$4,0))))+SUMPRODUCT((Inputs!$E$5:$E$130=$B41)*ISNUMBER(INDEX(Inputs!$K$5:$AJ$130,0,MATCH(AD$2,Inputs!$K$4:$AJ$4,0))))=0,NA(),SUMPRODUCT((Inputs!$A$5:$A$130=$B41)*Inputs!$B$5:$B$130*(((Inputs!$G$5:$G$130="moeda")+(Inputs!$G$5:$G$130="acoes"))*Inputs!$B$1+((Inputs!$G$5:$G$130&lt;&gt;"moeda")*(Inputs!$G$5:$G$130&lt;&gt;"acoes")))*INDEX(Inputs!$K$5:$AJ$130,0,MATCH(AD$2,Inputs!$K$4:$AJ$4,0)))+SUMPRODUCT((Inputs!$C$5:$C$130=$B41)*Inputs!$D$5:$D$130*(((Inputs!$G$5:$G$130="moeda")+(Inputs!$G$5:$G$130="acoes"))*Inputs!$B$1+((Inputs!$G$5:$G$130&lt;&gt;"moeda")*(Inputs!$G$5:$G$130&lt;&gt;"acoes")))*INDEX(Inputs!$K$5:$AJ$130,0,MATCH(AD$2,Inputs!$K$4:$AJ$4,0)))+SUMPRODUCT((Inputs!$E$5:$E$130=$B41)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41" s="6" t="e">
        <f>IF(ISNA(MATCH(AE$2,Inputs!$K$4:$AJ$4,0)),NA(),IF(SUMPRODUCT((Inputs!$A$5:$A$130=$B41)*ISNUMBER(INDEX(Inputs!$K$5:$AJ$130,0,MATCH(AE$2,Inputs!$K$4:$AJ$4,0))))+SUMPRODUCT((Inputs!$C$5:$C$130=$B41)*ISNUMBER(INDEX(Inputs!$K$5:$AJ$130,0,MATCH(AE$2,Inputs!$K$4:$AJ$4,0))))+SUMPRODUCT((Inputs!$E$5:$E$130=$B41)*ISNUMBER(INDEX(Inputs!$K$5:$AJ$130,0,MATCH(AE$2,Inputs!$K$4:$AJ$4,0))))=0,NA(),SUMPRODUCT((Inputs!$A$5:$A$130=$B41)*Inputs!$B$5:$B$130*(((Inputs!$G$5:$G$130="moeda")+(Inputs!$G$5:$G$130="acoes"))*Inputs!$B$1+((Inputs!$G$5:$G$130&lt;&gt;"moeda")*(Inputs!$G$5:$G$130&lt;&gt;"acoes")))*INDEX(Inputs!$K$5:$AJ$130,0,MATCH(AE$2,Inputs!$K$4:$AJ$4,0)))+SUMPRODUCT((Inputs!$C$5:$C$130=$B41)*Inputs!$D$5:$D$130*(((Inputs!$G$5:$G$130="moeda")+(Inputs!$G$5:$G$130="acoes"))*Inputs!$B$1+((Inputs!$G$5:$G$130&lt;&gt;"moeda")*(Inputs!$G$5:$G$130&lt;&gt;"acoes")))*INDEX(Inputs!$K$5:$AJ$130,0,MATCH(AE$2,Inputs!$K$4:$AJ$4,0)))+SUMPRODUCT((Inputs!$E$5:$E$130=$B41)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1" s="6" t="e">
        <f>IF(ISNA(MATCH(AF$2,Inputs!$K$4:$AJ$4,0)),NA(),IF(SUMPRODUCT((Inputs!$A$5:$A$130=$B41)*ISNUMBER(INDEX(Inputs!$K$5:$AJ$130,0,MATCH(AF$2,Inputs!$K$4:$AJ$4,0))))+SUMPRODUCT((Inputs!$C$5:$C$130=$B41)*ISNUMBER(INDEX(Inputs!$K$5:$AJ$130,0,MATCH(AF$2,Inputs!$K$4:$AJ$4,0))))+SUMPRODUCT((Inputs!$E$5:$E$130=$B41)*ISNUMBER(INDEX(Inputs!$K$5:$AJ$130,0,MATCH(AF$2,Inputs!$K$4:$AJ$4,0))))=0,NA(),SUMPRODUCT((Inputs!$A$5:$A$130=$B41)*Inputs!$B$5:$B$130*(((Inputs!$G$5:$G$130="moeda")+(Inputs!$G$5:$G$130="acoes"))*Inputs!$B$1+((Inputs!$G$5:$G$130&lt;&gt;"moeda")*(Inputs!$G$5:$G$130&lt;&gt;"acoes")))*INDEX(Inputs!$K$5:$AJ$130,0,MATCH(AF$2,Inputs!$K$4:$AJ$4,0)))+SUMPRODUCT((Inputs!$C$5:$C$130=$B41)*Inputs!$D$5:$D$130*(((Inputs!$G$5:$G$130="moeda")+(Inputs!$G$5:$G$130="acoes"))*Inputs!$B$1+((Inputs!$G$5:$G$130&lt;&gt;"moeda")*(Inputs!$G$5:$G$130&lt;&gt;"acoes")))*INDEX(Inputs!$K$5:$AJ$130,0,MATCH(AF$2,Inputs!$K$4:$AJ$4,0)))+SUMPRODUCT((Inputs!$E$5:$E$130=$B41)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1" s="3" t="e">
        <f>AF41</f>
        <v>#N/A</v>
      </c>
      <c r="AH41" s="6" t="e">
        <f>IF(ISNA(MATCH(AH$2,Inputs!$K$4:$AJ$4,0)),NA(),IF(SUMPRODUCT((Inputs!$A$5:$A$130=$B41)*ISNUMBER(INDEX(Inputs!$K$5:$AJ$130,0,MATCH(AH$2,Inputs!$K$4:$AJ$4,0))))+SUMPRODUCT((Inputs!$C$5:$C$130=$B41)*ISNUMBER(INDEX(Inputs!$K$5:$AJ$130,0,MATCH(AH$2,Inputs!$K$4:$AJ$4,0))))+SUMPRODUCT((Inputs!$E$5:$E$130=$B41)*ISNUMBER(INDEX(Inputs!$K$5:$AJ$130,0,MATCH(AH$2,Inputs!$K$4:$AJ$4,0))))=0,NA(),SUMPRODUCT((Inputs!$A$5:$A$130=$B41)*Inputs!$B$5:$B$130*(((Inputs!$G$5:$G$130="moeda")+(Inputs!$G$5:$G$130="acoes"))*Inputs!$B$1+((Inputs!$G$5:$G$130&lt;&gt;"moeda")*(Inputs!$G$5:$G$130&lt;&gt;"acoes")))*INDEX(Inputs!$K$5:$AJ$130,0,MATCH(AH$2,Inputs!$K$4:$AJ$4,0)))+SUMPRODUCT((Inputs!$C$5:$C$130=$B41)*Inputs!$D$5:$D$130*(((Inputs!$G$5:$G$130="moeda")+(Inputs!$G$5:$G$130="acoes"))*Inputs!$B$1+((Inputs!$G$5:$G$130&lt;&gt;"moeda")*(Inputs!$G$5:$G$130&lt;&gt;"acoes")))*INDEX(Inputs!$K$5:$AJ$130,0,MATCH(AH$2,Inputs!$K$4:$AJ$4,0)))+SUMPRODUCT((Inputs!$E$5:$E$130=$B41)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41" s="6" t="e">
        <f>IF(ISNA(MATCH(AI$2,Inputs!$K$4:$AJ$4,0)),NA(),IF(SUMPRODUCT((Inputs!$A$5:$A$130=$B41)*ISNUMBER(INDEX(Inputs!$K$5:$AJ$130,0,MATCH(AI$2,Inputs!$K$4:$AJ$4,0))))+SUMPRODUCT((Inputs!$C$5:$C$130=$B41)*ISNUMBER(INDEX(Inputs!$K$5:$AJ$130,0,MATCH(AI$2,Inputs!$K$4:$AJ$4,0))))+SUMPRODUCT((Inputs!$E$5:$E$130=$B41)*ISNUMBER(INDEX(Inputs!$K$5:$AJ$130,0,MATCH(AI$2,Inputs!$K$4:$AJ$4,0))))=0,NA(),SUMPRODUCT((Inputs!$A$5:$A$130=$B41)*Inputs!$B$5:$B$130*(((Inputs!$G$5:$G$130="moeda")+(Inputs!$G$5:$G$130="acoes"))*Inputs!$B$1+((Inputs!$G$5:$G$130&lt;&gt;"moeda")*(Inputs!$G$5:$G$130&lt;&gt;"acoes")))*INDEX(Inputs!$K$5:$AJ$130,0,MATCH(AI$2,Inputs!$K$4:$AJ$4,0)))+SUMPRODUCT((Inputs!$C$5:$C$130=$B41)*Inputs!$D$5:$D$130*(((Inputs!$G$5:$G$130="moeda")+(Inputs!$G$5:$G$130="acoes"))*Inputs!$B$1+((Inputs!$G$5:$G$130&lt;&gt;"moeda")*(Inputs!$G$5:$G$130&lt;&gt;"acoes")))*INDEX(Inputs!$K$5:$AJ$130,0,MATCH(AI$2,Inputs!$K$4:$AJ$4,0)))+SUMPRODUCT((Inputs!$E$5:$E$130=$B41)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41" s="6" t="e">
        <f>IF(ISNA(MATCH(AJ$2,Inputs!$K$4:$AJ$4,0)),NA(),IF(SUMPRODUCT((Inputs!$A$5:$A$130=$B41)*ISNUMBER(INDEX(Inputs!$K$5:$AJ$130,0,MATCH(AJ$2,Inputs!$K$4:$AJ$4,0))))+SUMPRODUCT((Inputs!$C$5:$C$130=$B41)*ISNUMBER(INDEX(Inputs!$K$5:$AJ$130,0,MATCH(AJ$2,Inputs!$K$4:$AJ$4,0))))+SUMPRODUCT((Inputs!$E$5:$E$130=$B41)*ISNUMBER(INDEX(Inputs!$K$5:$AJ$130,0,MATCH(AJ$2,Inputs!$K$4:$AJ$4,0))))=0,NA(),SUMPRODUCT((Inputs!$A$5:$A$130=$B41)*Inputs!$B$5:$B$130*(((Inputs!$G$5:$G$130="moeda")+(Inputs!$G$5:$G$130="acoes"))*Inputs!$B$1+((Inputs!$G$5:$G$130&lt;&gt;"moeda")*(Inputs!$G$5:$G$130&lt;&gt;"acoes")))*INDEX(Inputs!$K$5:$AJ$130,0,MATCH(AJ$2,Inputs!$K$4:$AJ$4,0)))+SUMPRODUCT((Inputs!$C$5:$C$130=$B41)*Inputs!$D$5:$D$130*(((Inputs!$G$5:$G$130="moeda")+(Inputs!$G$5:$G$130="acoes"))*Inputs!$B$1+((Inputs!$G$5:$G$130&lt;&gt;"moeda")*(Inputs!$G$5:$G$130&lt;&gt;"acoes")))*INDEX(Inputs!$K$5:$AJ$130,0,MATCH(AJ$2,Inputs!$K$4:$AJ$4,0)))+SUMPRODUCT((Inputs!$E$5:$E$130=$B41)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41" s="6" t="e">
        <f>IF(ISNA(MATCH(AK$2,Inputs!$K$4:$AJ$4,0)),NA(),IF(SUMPRODUCT((Inputs!$A$5:$A$130=$B41)*ISNUMBER(INDEX(Inputs!$K$5:$AJ$130,0,MATCH(AK$2,Inputs!$K$4:$AJ$4,0))))+SUMPRODUCT((Inputs!$C$5:$C$130=$B41)*ISNUMBER(INDEX(Inputs!$K$5:$AJ$130,0,MATCH(AK$2,Inputs!$K$4:$AJ$4,0))))+SUMPRODUCT((Inputs!$E$5:$E$130=$B41)*ISNUMBER(INDEX(Inputs!$K$5:$AJ$130,0,MATCH(AK$2,Inputs!$K$4:$AJ$4,0))))=0,NA(),SUMPRODUCT((Inputs!$A$5:$A$130=$B41)*Inputs!$B$5:$B$130*(((Inputs!$G$5:$G$130="moeda")+(Inputs!$G$5:$G$130="acoes"))*Inputs!$B$1+((Inputs!$G$5:$G$130&lt;&gt;"moeda")*(Inputs!$G$5:$G$130&lt;&gt;"acoes")))*INDEX(Inputs!$K$5:$AJ$130,0,MATCH(AK$2,Inputs!$K$4:$AJ$4,0)))+SUMPRODUCT((Inputs!$C$5:$C$130=$B41)*Inputs!$D$5:$D$130*(((Inputs!$G$5:$G$130="moeda")+(Inputs!$G$5:$G$130="acoes"))*Inputs!$B$1+((Inputs!$G$5:$G$130&lt;&gt;"moeda")*(Inputs!$G$5:$G$130&lt;&gt;"acoes")))*INDEX(Inputs!$K$5:$AJ$130,0,MATCH(AK$2,Inputs!$K$4:$AJ$4,0)))+SUMPRODUCT((Inputs!$E$5:$E$130=$B41)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41" s="3" t="e">
        <f>AK41</f>
        <v>#N/A</v>
      </c>
    </row>
    <row r="42">
      <c r="B42" s="46" t="n">
        <v>36</v>
      </c>
      <c r="C42" s="26" t="inlineStr">
        <is>
          <t>Convertible Preferred Stock</t>
        </is>
      </c>
      <c r="D42" s="6" t="e">
        <f>IF(ISNA(MATCH(D$2,Inputs!$K$4:$AJ$4,0)),NA(),IF(SUMPRODUCT((Inputs!$A$5:$A$130=$B42)*ISNUMBER(INDEX(Inputs!$K$5:$AJ$130,0,MATCH(D$2,Inputs!$K$4:$AJ$4,0))))+SUMPRODUCT((Inputs!$C$5:$C$130=$B42)*ISNUMBER(INDEX(Inputs!$K$5:$AJ$130,0,MATCH(D$2,Inputs!$K$4:$AJ$4,0))))+SUMPRODUCT((Inputs!$E$5:$E$130=$B42)*ISNUMBER(INDEX(Inputs!$K$5:$AJ$130,0,MATCH(D$2,Inputs!$K$4:$AJ$4,0))))=0,NA(),SUMPRODUCT((Inputs!$A$5:$A$130=$B42)*Inputs!$B$5:$B$130*(((Inputs!$G$5:$G$130="moeda")+(Inputs!$G$5:$G$130="acoes"))*Inputs!$B$1+((Inputs!$G$5:$G$130&lt;&gt;"moeda")*(Inputs!$G$5:$G$130&lt;&gt;"acoes")))*INDEX(Inputs!$K$5:$AJ$130,0,MATCH(D$2,Inputs!$K$4:$AJ$4,0)))+SUMPRODUCT((Inputs!$C$5:$C$130=$B42)*Inputs!$D$5:$D$130*(((Inputs!$G$5:$G$130="moeda")+(Inputs!$G$5:$G$130="acoes"))*Inputs!$B$1+((Inputs!$G$5:$G$130&lt;&gt;"moeda")*(Inputs!$G$5:$G$130&lt;&gt;"acoes")))*INDEX(Inputs!$K$5:$AJ$130,0,MATCH(D$2,Inputs!$K$4:$AJ$4,0)))+SUMPRODUCT((Inputs!$E$5:$E$130=$B42)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42" s="6" t="e">
        <f>IF(ISNA(MATCH(E$2,Inputs!$K$4:$AJ$4,0)),NA(),IF(SUMPRODUCT((Inputs!$A$5:$A$130=$B42)*ISNUMBER(INDEX(Inputs!$K$5:$AJ$130,0,MATCH(E$2,Inputs!$K$4:$AJ$4,0))))+SUMPRODUCT((Inputs!$C$5:$C$130=$B42)*ISNUMBER(INDEX(Inputs!$K$5:$AJ$130,0,MATCH(E$2,Inputs!$K$4:$AJ$4,0))))+SUMPRODUCT((Inputs!$E$5:$E$130=$B42)*ISNUMBER(INDEX(Inputs!$K$5:$AJ$130,0,MATCH(E$2,Inputs!$K$4:$AJ$4,0))))=0,NA(),SUMPRODUCT((Inputs!$A$5:$A$130=$B42)*Inputs!$B$5:$B$130*(((Inputs!$G$5:$G$130="moeda")+(Inputs!$G$5:$G$130="acoes"))*Inputs!$B$1+((Inputs!$G$5:$G$130&lt;&gt;"moeda")*(Inputs!$G$5:$G$130&lt;&gt;"acoes")))*INDEX(Inputs!$K$5:$AJ$130,0,MATCH(E$2,Inputs!$K$4:$AJ$4,0)))+SUMPRODUCT((Inputs!$C$5:$C$130=$B42)*Inputs!$D$5:$D$130*(((Inputs!$G$5:$G$130="moeda")+(Inputs!$G$5:$G$130="acoes"))*Inputs!$B$1+((Inputs!$G$5:$G$130&lt;&gt;"moeda")*(Inputs!$G$5:$G$130&lt;&gt;"acoes")))*INDEX(Inputs!$K$5:$AJ$130,0,MATCH(E$2,Inputs!$K$4:$AJ$4,0)))+SUMPRODUCT((Inputs!$E$5:$E$130=$B42)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42" s="6" t="e">
        <f>IF(ISNA(MATCH(F$2,Inputs!$K$4:$AJ$4,0)),NA(),IF(SUMPRODUCT((Inputs!$A$5:$A$130=$B42)*ISNUMBER(INDEX(Inputs!$K$5:$AJ$130,0,MATCH(F$2,Inputs!$K$4:$AJ$4,0))))+SUMPRODUCT((Inputs!$C$5:$C$130=$B42)*ISNUMBER(INDEX(Inputs!$K$5:$AJ$130,0,MATCH(F$2,Inputs!$K$4:$AJ$4,0))))+SUMPRODUCT((Inputs!$E$5:$E$130=$B42)*ISNUMBER(INDEX(Inputs!$K$5:$AJ$130,0,MATCH(F$2,Inputs!$K$4:$AJ$4,0))))=0,NA(),SUMPRODUCT((Inputs!$A$5:$A$130=$B42)*Inputs!$B$5:$B$130*(((Inputs!$G$5:$G$130="moeda")+(Inputs!$G$5:$G$130="acoes"))*Inputs!$B$1+((Inputs!$G$5:$G$130&lt;&gt;"moeda")*(Inputs!$G$5:$G$130&lt;&gt;"acoes")))*INDEX(Inputs!$K$5:$AJ$130,0,MATCH(F$2,Inputs!$K$4:$AJ$4,0)))+SUMPRODUCT((Inputs!$C$5:$C$130=$B42)*Inputs!$D$5:$D$130*(((Inputs!$G$5:$G$130="moeda")+(Inputs!$G$5:$G$130="acoes"))*Inputs!$B$1+((Inputs!$G$5:$G$130&lt;&gt;"moeda")*(Inputs!$G$5:$G$130&lt;&gt;"acoes")))*INDEX(Inputs!$K$5:$AJ$130,0,MATCH(F$2,Inputs!$K$4:$AJ$4,0)))+SUMPRODUCT((Inputs!$E$5:$E$130=$B42)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42" s="6" t="e">
        <f>IF(ISNA(MATCH(G$2,Inputs!$K$4:$AJ$4,0)),NA(),IF(SUMPRODUCT((Inputs!$A$5:$A$130=$B42)*ISNUMBER(INDEX(Inputs!$K$5:$AJ$130,0,MATCH(G$2,Inputs!$K$4:$AJ$4,0))))+SUMPRODUCT((Inputs!$C$5:$C$130=$B42)*ISNUMBER(INDEX(Inputs!$K$5:$AJ$130,0,MATCH(G$2,Inputs!$K$4:$AJ$4,0))))+SUMPRODUCT((Inputs!$E$5:$E$130=$B42)*ISNUMBER(INDEX(Inputs!$K$5:$AJ$130,0,MATCH(G$2,Inputs!$K$4:$AJ$4,0))))=0,NA(),SUMPRODUCT((Inputs!$A$5:$A$130=$B42)*Inputs!$B$5:$B$130*(((Inputs!$G$5:$G$130="moeda")+(Inputs!$G$5:$G$130="acoes"))*Inputs!$B$1+((Inputs!$G$5:$G$130&lt;&gt;"moeda")*(Inputs!$G$5:$G$130&lt;&gt;"acoes")))*INDEX(Inputs!$K$5:$AJ$130,0,MATCH(G$2,Inputs!$K$4:$AJ$4,0)))+SUMPRODUCT((Inputs!$C$5:$C$130=$B42)*Inputs!$D$5:$D$130*(((Inputs!$G$5:$G$130="moeda")+(Inputs!$G$5:$G$130="acoes"))*Inputs!$B$1+((Inputs!$G$5:$G$130&lt;&gt;"moeda")*(Inputs!$G$5:$G$130&lt;&gt;"acoes")))*INDEX(Inputs!$K$5:$AJ$130,0,MATCH(G$2,Inputs!$K$4:$AJ$4,0)))+SUMPRODUCT((Inputs!$E$5:$E$130=$B42)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42" s="3" t="e">
        <f>G42</f>
        <v>#N/A</v>
      </c>
      <c r="I42" s="6" t="e">
        <f>IF(ISNA(MATCH(I$2,Inputs!$K$4:$AJ$4,0)),NA(),IF(SUMPRODUCT((Inputs!$A$5:$A$130=$B42)*ISNUMBER(INDEX(Inputs!$K$5:$AJ$130,0,MATCH(I$2,Inputs!$K$4:$AJ$4,0))))+SUMPRODUCT((Inputs!$C$5:$C$130=$B42)*ISNUMBER(INDEX(Inputs!$K$5:$AJ$130,0,MATCH(I$2,Inputs!$K$4:$AJ$4,0))))+SUMPRODUCT((Inputs!$E$5:$E$130=$B42)*ISNUMBER(INDEX(Inputs!$K$5:$AJ$130,0,MATCH(I$2,Inputs!$K$4:$AJ$4,0))))=0,NA(),SUMPRODUCT((Inputs!$A$5:$A$130=$B42)*Inputs!$B$5:$B$130*(((Inputs!$G$5:$G$130="moeda")+(Inputs!$G$5:$G$130="acoes"))*Inputs!$B$1+((Inputs!$G$5:$G$130&lt;&gt;"moeda")*(Inputs!$G$5:$G$130&lt;&gt;"acoes")))*INDEX(Inputs!$K$5:$AJ$130,0,MATCH(I$2,Inputs!$K$4:$AJ$4,0)))+SUMPRODUCT((Inputs!$C$5:$C$130=$B42)*Inputs!$D$5:$D$130*(((Inputs!$G$5:$G$130="moeda")+(Inputs!$G$5:$G$130="acoes"))*Inputs!$B$1+((Inputs!$G$5:$G$130&lt;&gt;"moeda")*(Inputs!$G$5:$G$130&lt;&gt;"acoes")))*INDEX(Inputs!$K$5:$AJ$130,0,MATCH(I$2,Inputs!$K$4:$AJ$4,0)))+SUMPRODUCT((Inputs!$E$5:$E$130=$B42)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42" s="6" t="e">
        <f>IF(ISNA(MATCH(J$2,Inputs!$K$4:$AJ$4,0)),NA(),IF(SUMPRODUCT((Inputs!$A$5:$A$130=$B42)*ISNUMBER(INDEX(Inputs!$K$5:$AJ$130,0,MATCH(J$2,Inputs!$K$4:$AJ$4,0))))+SUMPRODUCT((Inputs!$C$5:$C$130=$B42)*ISNUMBER(INDEX(Inputs!$K$5:$AJ$130,0,MATCH(J$2,Inputs!$K$4:$AJ$4,0))))+SUMPRODUCT((Inputs!$E$5:$E$130=$B42)*ISNUMBER(INDEX(Inputs!$K$5:$AJ$130,0,MATCH(J$2,Inputs!$K$4:$AJ$4,0))))=0,NA(),SUMPRODUCT((Inputs!$A$5:$A$130=$B42)*Inputs!$B$5:$B$130*(((Inputs!$G$5:$G$130="moeda")+(Inputs!$G$5:$G$130="acoes"))*Inputs!$B$1+((Inputs!$G$5:$G$130&lt;&gt;"moeda")*(Inputs!$G$5:$G$130&lt;&gt;"acoes")))*INDEX(Inputs!$K$5:$AJ$130,0,MATCH(J$2,Inputs!$K$4:$AJ$4,0)))+SUMPRODUCT((Inputs!$C$5:$C$130=$B42)*Inputs!$D$5:$D$130*(((Inputs!$G$5:$G$130="moeda")+(Inputs!$G$5:$G$130="acoes"))*Inputs!$B$1+((Inputs!$G$5:$G$130&lt;&gt;"moeda")*(Inputs!$G$5:$G$130&lt;&gt;"acoes")))*INDEX(Inputs!$K$5:$AJ$130,0,MATCH(J$2,Inputs!$K$4:$AJ$4,0)))+SUMPRODUCT((Inputs!$E$5:$E$130=$B42)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42" s="6" t="e">
        <f>IF(ISNA(MATCH(K$2,Inputs!$K$4:$AJ$4,0)),NA(),IF(SUMPRODUCT((Inputs!$A$5:$A$130=$B42)*ISNUMBER(INDEX(Inputs!$K$5:$AJ$130,0,MATCH(K$2,Inputs!$K$4:$AJ$4,0))))+SUMPRODUCT((Inputs!$C$5:$C$130=$B42)*ISNUMBER(INDEX(Inputs!$K$5:$AJ$130,0,MATCH(K$2,Inputs!$K$4:$AJ$4,0))))+SUMPRODUCT((Inputs!$E$5:$E$130=$B42)*ISNUMBER(INDEX(Inputs!$K$5:$AJ$130,0,MATCH(K$2,Inputs!$K$4:$AJ$4,0))))=0,NA(),SUMPRODUCT((Inputs!$A$5:$A$130=$B42)*Inputs!$B$5:$B$130*(((Inputs!$G$5:$G$130="moeda")+(Inputs!$G$5:$G$130="acoes"))*Inputs!$B$1+((Inputs!$G$5:$G$130&lt;&gt;"moeda")*(Inputs!$G$5:$G$130&lt;&gt;"acoes")))*INDEX(Inputs!$K$5:$AJ$130,0,MATCH(K$2,Inputs!$K$4:$AJ$4,0)))+SUMPRODUCT((Inputs!$C$5:$C$130=$B42)*Inputs!$D$5:$D$130*(((Inputs!$G$5:$G$130="moeda")+(Inputs!$G$5:$G$130="acoes"))*Inputs!$B$1+((Inputs!$G$5:$G$130&lt;&gt;"moeda")*(Inputs!$G$5:$G$130&lt;&gt;"acoes")))*INDEX(Inputs!$K$5:$AJ$130,0,MATCH(K$2,Inputs!$K$4:$AJ$4,0)))+SUMPRODUCT((Inputs!$E$5:$E$130=$B42)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42" s="6" t="e">
        <f>IF(ISNA(MATCH(L$2,Inputs!$K$4:$AJ$4,0)),NA(),IF(SUMPRODUCT((Inputs!$A$5:$A$130=$B42)*ISNUMBER(INDEX(Inputs!$K$5:$AJ$130,0,MATCH(L$2,Inputs!$K$4:$AJ$4,0))))+SUMPRODUCT((Inputs!$C$5:$C$130=$B42)*ISNUMBER(INDEX(Inputs!$K$5:$AJ$130,0,MATCH(L$2,Inputs!$K$4:$AJ$4,0))))+SUMPRODUCT((Inputs!$E$5:$E$130=$B42)*ISNUMBER(INDEX(Inputs!$K$5:$AJ$130,0,MATCH(L$2,Inputs!$K$4:$AJ$4,0))))=0,NA(),SUMPRODUCT((Inputs!$A$5:$A$130=$B42)*Inputs!$B$5:$B$130*(((Inputs!$G$5:$G$130="moeda")+(Inputs!$G$5:$G$130="acoes"))*Inputs!$B$1+((Inputs!$G$5:$G$130&lt;&gt;"moeda")*(Inputs!$G$5:$G$130&lt;&gt;"acoes")))*INDEX(Inputs!$K$5:$AJ$130,0,MATCH(L$2,Inputs!$K$4:$AJ$4,0)))+SUMPRODUCT((Inputs!$C$5:$C$130=$B42)*Inputs!$D$5:$D$130*(((Inputs!$G$5:$G$130="moeda")+(Inputs!$G$5:$G$130="acoes"))*Inputs!$B$1+((Inputs!$G$5:$G$130&lt;&gt;"moeda")*(Inputs!$G$5:$G$130&lt;&gt;"acoes")))*INDEX(Inputs!$K$5:$AJ$130,0,MATCH(L$2,Inputs!$K$4:$AJ$4,0)))+SUMPRODUCT((Inputs!$E$5:$E$130=$B42)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42" s="3" t="e">
        <f>L42</f>
        <v>#N/A</v>
      </c>
      <c r="N42" s="6" t="e">
        <f>IF(ISNA(MATCH(N$2,Inputs!$K$4:$AJ$4,0)),NA(),IF(SUMPRODUCT((Inputs!$A$5:$A$130=$B42)*ISNUMBER(INDEX(Inputs!$K$5:$AJ$130,0,MATCH(N$2,Inputs!$K$4:$AJ$4,0))))+SUMPRODUCT((Inputs!$C$5:$C$130=$B42)*ISNUMBER(INDEX(Inputs!$K$5:$AJ$130,0,MATCH(N$2,Inputs!$K$4:$AJ$4,0))))+SUMPRODUCT((Inputs!$E$5:$E$130=$B42)*ISNUMBER(INDEX(Inputs!$K$5:$AJ$130,0,MATCH(N$2,Inputs!$K$4:$AJ$4,0))))=0,NA(),SUMPRODUCT((Inputs!$A$5:$A$130=$B42)*Inputs!$B$5:$B$130*(((Inputs!$G$5:$G$130="moeda")+(Inputs!$G$5:$G$130="acoes"))*Inputs!$B$1+((Inputs!$G$5:$G$130&lt;&gt;"moeda")*(Inputs!$G$5:$G$130&lt;&gt;"acoes")))*INDEX(Inputs!$K$5:$AJ$130,0,MATCH(N$2,Inputs!$K$4:$AJ$4,0)))+SUMPRODUCT((Inputs!$C$5:$C$130=$B42)*Inputs!$D$5:$D$130*(((Inputs!$G$5:$G$130="moeda")+(Inputs!$G$5:$G$130="acoes"))*Inputs!$B$1+((Inputs!$G$5:$G$130&lt;&gt;"moeda")*(Inputs!$G$5:$G$130&lt;&gt;"acoes")))*INDEX(Inputs!$K$5:$AJ$130,0,MATCH(N$2,Inputs!$K$4:$AJ$4,0)))+SUMPRODUCT((Inputs!$E$5:$E$130=$B42)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42" s="6" t="e">
        <f>IF(ISNA(MATCH(O$2,Inputs!$K$4:$AJ$4,0)),NA(),IF(SUMPRODUCT((Inputs!$A$5:$A$130=$B42)*ISNUMBER(INDEX(Inputs!$K$5:$AJ$130,0,MATCH(O$2,Inputs!$K$4:$AJ$4,0))))+SUMPRODUCT((Inputs!$C$5:$C$130=$B42)*ISNUMBER(INDEX(Inputs!$K$5:$AJ$130,0,MATCH(O$2,Inputs!$K$4:$AJ$4,0))))+SUMPRODUCT((Inputs!$E$5:$E$130=$B42)*ISNUMBER(INDEX(Inputs!$K$5:$AJ$130,0,MATCH(O$2,Inputs!$K$4:$AJ$4,0))))=0,NA(),SUMPRODUCT((Inputs!$A$5:$A$130=$B42)*Inputs!$B$5:$B$130*(((Inputs!$G$5:$G$130="moeda")+(Inputs!$G$5:$G$130="acoes"))*Inputs!$B$1+((Inputs!$G$5:$G$130&lt;&gt;"moeda")*(Inputs!$G$5:$G$130&lt;&gt;"acoes")))*INDEX(Inputs!$K$5:$AJ$130,0,MATCH(O$2,Inputs!$K$4:$AJ$4,0)))+SUMPRODUCT((Inputs!$C$5:$C$130=$B42)*Inputs!$D$5:$D$130*(((Inputs!$G$5:$G$130="moeda")+(Inputs!$G$5:$G$130="acoes"))*Inputs!$B$1+((Inputs!$G$5:$G$130&lt;&gt;"moeda")*(Inputs!$G$5:$G$130&lt;&gt;"acoes")))*INDEX(Inputs!$K$5:$AJ$130,0,MATCH(O$2,Inputs!$K$4:$AJ$4,0)))+SUMPRODUCT((Inputs!$E$5:$E$130=$B42)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42" s="6" t="e">
        <f>IF(ISNA(MATCH(P$2,Inputs!$K$4:$AJ$4,0)),NA(),IF(SUMPRODUCT((Inputs!$A$5:$A$130=$B42)*ISNUMBER(INDEX(Inputs!$K$5:$AJ$130,0,MATCH(P$2,Inputs!$K$4:$AJ$4,0))))+SUMPRODUCT((Inputs!$C$5:$C$130=$B42)*ISNUMBER(INDEX(Inputs!$K$5:$AJ$130,0,MATCH(P$2,Inputs!$K$4:$AJ$4,0))))+SUMPRODUCT((Inputs!$E$5:$E$130=$B42)*ISNUMBER(INDEX(Inputs!$K$5:$AJ$130,0,MATCH(P$2,Inputs!$K$4:$AJ$4,0))))=0,NA(),SUMPRODUCT((Inputs!$A$5:$A$130=$B42)*Inputs!$B$5:$B$130*(((Inputs!$G$5:$G$130="moeda")+(Inputs!$G$5:$G$130="acoes"))*Inputs!$B$1+((Inputs!$G$5:$G$130&lt;&gt;"moeda")*(Inputs!$G$5:$G$130&lt;&gt;"acoes")))*INDEX(Inputs!$K$5:$AJ$130,0,MATCH(P$2,Inputs!$K$4:$AJ$4,0)))+SUMPRODUCT((Inputs!$C$5:$C$130=$B42)*Inputs!$D$5:$D$130*(((Inputs!$G$5:$G$130="moeda")+(Inputs!$G$5:$G$130="acoes"))*Inputs!$B$1+((Inputs!$G$5:$G$130&lt;&gt;"moeda")*(Inputs!$G$5:$G$130&lt;&gt;"acoes")))*INDEX(Inputs!$K$5:$AJ$130,0,MATCH(P$2,Inputs!$K$4:$AJ$4,0)))+SUMPRODUCT((Inputs!$E$5:$E$130=$B42)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42" s="6" t="e">
        <f>IF(ISNA(MATCH(Q$2,Inputs!$K$4:$AJ$4,0)),NA(),IF(SUMPRODUCT((Inputs!$A$5:$A$130=$B42)*ISNUMBER(INDEX(Inputs!$K$5:$AJ$130,0,MATCH(Q$2,Inputs!$K$4:$AJ$4,0))))+SUMPRODUCT((Inputs!$C$5:$C$130=$B42)*ISNUMBER(INDEX(Inputs!$K$5:$AJ$130,0,MATCH(Q$2,Inputs!$K$4:$AJ$4,0))))+SUMPRODUCT((Inputs!$E$5:$E$130=$B42)*ISNUMBER(INDEX(Inputs!$K$5:$AJ$130,0,MATCH(Q$2,Inputs!$K$4:$AJ$4,0))))=0,NA(),SUMPRODUCT((Inputs!$A$5:$A$130=$B42)*Inputs!$B$5:$B$130*(((Inputs!$G$5:$G$130="moeda")+(Inputs!$G$5:$G$130="acoes"))*Inputs!$B$1+((Inputs!$G$5:$G$130&lt;&gt;"moeda")*(Inputs!$G$5:$G$130&lt;&gt;"acoes")))*INDEX(Inputs!$K$5:$AJ$130,0,MATCH(Q$2,Inputs!$K$4:$AJ$4,0)))+SUMPRODUCT((Inputs!$C$5:$C$130=$B42)*Inputs!$D$5:$D$130*(((Inputs!$G$5:$G$130="moeda")+(Inputs!$G$5:$G$130="acoes"))*Inputs!$B$1+((Inputs!$G$5:$G$130&lt;&gt;"moeda")*(Inputs!$G$5:$G$130&lt;&gt;"acoes")))*INDEX(Inputs!$K$5:$AJ$130,0,MATCH(Q$2,Inputs!$K$4:$AJ$4,0)))+SUMPRODUCT((Inputs!$E$5:$E$130=$B42)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42" s="3" t="e">
        <f>Q42</f>
        <v>#N/A</v>
      </c>
      <c r="S42" s="6" t="e">
        <f>IF(ISNA(MATCH(S$2,Inputs!$K$4:$AJ$4,0)),NA(),IF(SUMPRODUCT((Inputs!$A$5:$A$130=$B42)*ISNUMBER(INDEX(Inputs!$K$5:$AJ$130,0,MATCH(S$2,Inputs!$K$4:$AJ$4,0))))+SUMPRODUCT((Inputs!$C$5:$C$130=$B42)*ISNUMBER(INDEX(Inputs!$K$5:$AJ$130,0,MATCH(S$2,Inputs!$K$4:$AJ$4,0))))+SUMPRODUCT((Inputs!$E$5:$E$130=$B42)*ISNUMBER(INDEX(Inputs!$K$5:$AJ$130,0,MATCH(S$2,Inputs!$K$4:$AJ$4,0))))=0,NA(),SUMPRODUCT((Inputs!$A$5:$A$130=$B42)*Inputs!$B$5:$B$130*(((Inputs!$G$5:$G$130="moeda")+(Inputs!$G$5:$G$130="acoes"))*Inputs!$B$1+((Inputs!$G$5:$G$130&lt;&gt;"moeda")*(Inputs!$G$5:$G$130&lt;&gt;"acoes")))*INDEX(Inputs!$K$5:$AJ$130,0,MATCH(S$2,Inputs!$K$4:$AJ$4,0)))+SUMPRODUCT((Inputs!$C$5:$C$130=$B42)*Inputs!$D$5:$D$130*(((Inputs!$G$5:$G$130="moeda")+(Inputs!$G$5:$G$130="acoes"))*Inputs!$B$1+((Inputs!$G$5:$G$130&lt;&gt;"moeda")*(Inputs!$G$5:$G$130&lt;&gt;"acoes")))*INDEX(Inputs!$K$5:$AJ$130,0,MATCH(S$2,Inputs!$K$4:$AJ$4,0)))+SUMPRODUCT((Inputs!$E$5:$E$130=$B42)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42" s="6" t="e">
        <f>IF(ISNA(MATCH(T$2,Inputs!$K$4:$AJ$4,0)),NA(),IF(SUMPRODUCT((Inputs!$A$5:$A$130=$B42)*ISNUMBER(INDEX(Inputs!$K$5:$AJ$130,0,MATCH(T$2,Inputs!$K$4:$AJ$4,0))))+SUMPRODUCT((Inputs!$C$5:$C$130=$B42)*ISNUMBER(INDEX(Inputs!$K$5:$AJ$130,0,MATCH(T$2,Inputs!$K$4:$AJ$4,0))))+SUMPRODUCT((Inputs!$E$5:$E$130=$B42)*ISNUMBER(INDEX(Inputs!$K$5:$AJ$130,0,MATCH(T$2,Inputs!$K$4:$AJ$4,0))))=0,NA(),SUMPRODUCT((Inputs!$A$5:$A$130=$B42)*Inputs!$B$5:$B$130*(((Inputs!$G$5:$G$130="moeda")+(Inputs!$G$5:$G$130="acoes"))*Inputs!$B$1+((Inputs!$G$5:$G$130&lt;&gt;"moeda")*(Inputs!$G$5:$G$130&lt;&gt;"acoes")))*INDEX(Inputs!$K$5:$AJ$130,0,MATCH(T$2,Inputs!$K$4:$AJ$4,0)))+SUMPRODUCT((Inputs!$C$5:$C$130=$B42)*Inputs!$D$5:$D$130*(((Inputs!$G$5:$G$130="moeda")+(Inputs!$G$5:$G$130="acoes"))*Inputs!$B$1+((Inputs!$G$5:$G$130&lt;&gt;"moeda")*(Inputs!$G$5:$G$130&lt;&gt;"acoes")))*INDEX(Inputs!$K$5:$AJ$130,0,MATCH(T$2,Inputs!$K$4:$AJ$4,0)))+SUMPRODUCT((Inputs!$E$5:$E$130=$B42)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42" s="6" t="e">
        <f>IF(ISNA(MATCH(U$2,Inputs!$K$4:$AJ$4,0)),NA(),IF(SUMPRODUCT((Inputs!$A$5:$A$130=$B42)*ISNUMBER(INDEX(Inputs!$K$5:$AJ$130,0,MATCH(U$2,Inputs!$K$4:$AJ$4,0))))+SUMPRODUCT((Inputs!$C$5:$C$130=$B42)*ISNUMBER(INDEX(Inputs!$K$5:$AJ$130,0,MATCH(U$2,Inputs!$K$4:$AJ$4,0))))+SUMPRODUCT((Inputs!$E$5:$E$130=$B42)*ISNUMBER(INDEX(Inputs!$K$5:$AJ$130,0,MATCH(U$2,Inputs!$K$4:$AJ$4,0))))=0,NA(),SUMPRODUCT((Inputs!$A$5:$A$130=$B42)*Inputs!$B$5:$B$130*(((Inputs!$G$5:$G$130="moeda")+(Inputs!$G$5:$G$130="acoes"))*Inputs!$B$1+((Inputs!$G$5:$G$130&lt;&gt;"moeda")*(Inputs!$G$5:$G$130&lt;&gt;"acoes")))*INDEX(Inputs!$K$5:$AJ$130,0,MATCH(U$2,Inputs!$K$4:$AJ$4,0)))+SUMPRODUCT((Inputs!$C$5:$C$130=$B42)*Inputs!$D$5:$D$130*(((Inputs!$G$5:$G$130="moeda")+(Inputs!$G$5:$G$130="acoes"))*Inputs!$B$1+((Inputs!$G$5:$G$130&lt;&gt;"moeda")*(Inputs!$G$5:$G$130&lt;&gt;"acoes")))*INDEX(Inputs!$K$5:$AJ$130,0,MATCH(U$2,Inputs!$K$4:$AJ$4,0)))+SUMPRODUCT((Inputs!$E$5:$E$130=$B42)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42" s="6" t="e">
        <f>IF(ISNA(MATCH(V$2,Inputs!$K$4:$AJ$4,0)),NA(),IF(SUMPRODUCT((Inputs!$A$5:$A$130=$B42)*ISNUMBER(INDEX(Inputs!$K$5:$AJ$130,0,MATCH(V$2,Inputs!$K$4:$AJ$4,0))))+SUMPRODUCT((Inputs!$C$5:$C$130=$B42)*ISNUMBER(INDEX(Inputs!$K$5:$AJ$130,0,MATCH(V$2,Inputs!$K$4:$AJ$4,0))))+SUMPRODUCT((Inputs!$E$5:$E$130=$B42)*ISNUMBER(INDEX(Inputs!$K$5:$AJ$130,0,MATCH(V$2,Inputs!$K$4:$AJ$4,0))))=0,NA(),SUMPRODUCT((Inputs!$A$5:$A$130=$B42)*Inputs!$B$5:$B$130*(((Inputs!$G$5:$G$130="moeda")+(Inputs!$G$5:$G$130="acoes"))*Inputs!$B$1+((Inputs!$G$5:$G$130&lt;&gt;"moeda")*(Inputs!$G$5:$G$130&lt;&gt;"acoes")))*INDEX(Inputs!$K$5:$AJ$130,0,MATCH(V$2,Inputs!$K$4:$AJ$4,0)))+SUMPRODUCT((Inputs!$C$5:$C$130=$B42)*Inputs!$D$5:$D$130*(((Inputs!$G$5:$G$130="moeda")+(Inputs!$G$5:$G$130="acoes"))*Inputs!$B$1+((Inputs!$G$5:$G$130&lt;&gt;"moeda")*(Inputs!$G$5:$G$130&lt;&gt;"acoes")))*INDEX(Inputs!$K$5:$AJ$130,0,MATCH(V$2,Inputs!$K$4:$AJ$4,0)))+SUMPRODUCT((Inputs!$E$5:$E$130=$B42)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42" s="3" t="e">
        <f>V42</f>
        <v>#N/A</v>
      </c>
      <c r="X42" s="6" t="e">
        <f>IF(ISNA(MATCH(X$2,Inputs!$K$4:$AJ$4,0)),NA(),IF(SUMPRODUCT((Inputs!$A$5:$A$130=$B42)*ISNUMBER(INDEX(Inputs!$K$5:$AJ$130,0,MATCH(X$2,Inputs!$K$4:$AJ$4,0))))+SUMPRODUCT((Inputs!$C$5:$C$130=$B42)*ISNUMBER(INDEX(Inputs!$K$5:$AJ$130,0,MATCH(X$2,Inputs!$K$4:$AJ$4,0))))+SUMPRODUCT((Inputs!$E$5:$E$130=$B42)*ISNUMBER(INDEX(Inputs!$K$5:$AJ$130,0,MATCH(X$2,Inputs!$K$4:$AJ$4,0))))=0,NA(),SUMPRODUCT((Inputs!$A$5:$A$130=$B42)*Inputs!$B$5:$B$130*(((Inputs!$G$5:$G$130="moeda")+(Inputs!$G$5:$G$130="acoes"))*Inputs!$B$1+((Inputs!$G$5:$G$130&lt;&gt;"moeda")*(Inputs!$G$5:$G$130&lt;&gt;"acoes")))*INDEX(Inputs!$K$5:$AJ$130,0,MATCH(X$2,Inputs!$K$4:$AJ$4,0)))+SUMPRODUCT((Inputs!$C$5:$C$130=$B42)*Inputs!$D$5:$D$130*(((Inputs!$G$5:$G$130="moeda")+(Inputs!$G$5:$G$130="acoes"))*Inputs!$B$1+((Inputs!$G$5:$G$130&lt;&gt;"moeda")*(Inputs!$G$5:$G$130&lt;&gt;"acoes")))*INDEX(Inputs!$K$5:$AJ$130,0,MATCH(X$2,Inputs!$K$4:$AJ$4,0)))+SUMPRODUCT((Inputs!$E$5:$E$130=$B42)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42" s="6" t="e">
        <f>IF(ISNA(MATCH(Y$2,Inputs!$K$4:$AJ$4,0)),NA(),IF(SUMPRODUCT((Inputs!$A$5:$A$130=$B42)*ISNUMBER(INDEX(Inputs!$K$5:$AJ$130,0,MATCH(Y$2,Inputs!$K$4:$AJ$4,0))))+SUMPRODUCT((Inputs!$C$5:$C$130=$B42)*ISNUMBER(INDEX(Inputs!$K$5:$AJ$130,0,MATCH(Y$2,Inputs!$K$4:$AJ$4,0))))+SUMPRODUCT((Inputs!$E$5:$E$130=$B42)*ISNUMBER(INDEX(Inputs!$K$5:$AJ$130,0,MATCH(Y$2,Inputs!$K$4:$AJ$4,0))))=0,NA(),SUMPRODUCT((Inputs!$A$5:$A$130=$B42)*Inputs!$B$5:$B$130*(((Inputs!$G$5:$G$130="moeda")+(Inputs!$G$5:$G$130="acoes"))*Inputs!$B$1+((Inputs!$G$5:$G$130&lt;&gt;"moeda")*(Inputs!$G$5:$G$130&lt;&gt;"acoes")))*INDEX(Inputs!$K$5:$AJ$130,0,MATCH(Y$2,Inputs!$K$4:$AJ$4,0)))+SUMPRODUCT((Inputs!$C$5:$C$130=$B42)*Inputs!$D$5:$D$130*(((Inputs!$G$5:$G$130="moeda")+(Inputs!$G$5:$G$130="acoes"))*Inputs!$B$1+((Inputs!$G$5:$G$130&lt;&gt;"moeda")*(Inputs!$G$5:$G$130&lt;&gt;"acoes")))*INDEX(Inputs!$K$5:$AJ$130,0,MATCH(Y$2,Inputs!$K$4:$AJ$4,0)))+SUMPRODUCT((Inputs!$E$5:$E$130=$B42)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42" s="6" t="e">
        <f>IF(ISNA(MATCH(Z$2,Inputs!$K$4:$AJ$4,0)),NA(),IF(SUMPRODUCT((Inputs!$A$5:$A$130=$B42)*ISNUMBER(INDEX(Inputs!$K$5:$AJ$130,0,MATCH(Z$2,Inputs!$K$4:$AJ$4,0))))+SUMPRODUCT((Inputs!$C$5:$C$130=$B42)*ISNUMBER(INDEX(Inputs!$K$5:$AJ$130,0,MATCH(Z$2,Inputs!$K$4:$AJ$4,0))))+SUMPRODUCT((Inputs!$E$5:$E$130=$B42)*ISNUMBER(INDEX(Inputs!$K$5:$AJ$130,0,MATCH(Z$2,Inputs!$K$4:$AJ$4,0))))=0,NA(),SUMPRODUCT((Inputs!$A$5:$A$130=$B42)*Inputs!$B$5:$B$130*(((Inputs!$G$5:$G$130="moeda")+(Inputs!$G$5:$G$130="acoes"))*Inputs!$B$1+((Inputs!$G$5:$G$130&lt;&gt;"moeda")*(Inputs!$G$5:$G$130&lt;&gt;"acoes")))*INDEX(Inputs!$K$5:$AJ$130,0,MATCH(Z$2,Inputs!$K$4:$AJ$4,0)))+SUMPRODUCT((Inputs!$C$5:$C$130=$B42)*Inputs!$D$5:$D$130*(((Inputs!$G$5:$G$130="moeda")+(Inputs!$G$5:$G$130="acoes"))*Inputs!$B$1+((Inputs!$G$5:$G$130&lt;&gt;"moeda")*(Inputs!$G$5:$G$130&lt;&gt;"acoes")))*INDEX(Inputs!$K$5:$AJ$130,0,MATCH(Z$2,Inputs!$K$4:$AJ$4,0)))+SUMPRODUCT((Inputs!$E$5:$E$130=$B42)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42" s="6" t="e">
        <f>IF(ISNA(MATCH(AA$2,Inputs!$K$4:$AJ$4,0)),NA(),IF(SUMPRODUCT((Inputs!$A$5:$A$130=$B42)*ISNUMBER(INDEX(Inputs!$K$5:$AJ$130,0,MATCH(AA$2,Inputs!$K$4:$AJ$4,0))))+SUMPRODUCT((Inputs!$C$5:$C$130=$B42)*ISNUMBER(INDEX(Inputs!$K$5:$AJ$130,0,MATCH(AA$2,Inputs!$K$4:$AJ$4,0))))+SUMPRODUCT((Inputs!$E$5:$E$130=$B42)*ISNUMBER(INDEX(Inputs!$K$5:$AJ$130,0,MATCH(AA$2,Inputs!$K$4:$AJ$4,0))))=0,NA(),SUMPRODUCT((Inputs!$A$5:$A$130=$B42)*Inputs!$B$5:$B$130*(((Inputs!$G$5:$G$130="moeda")+(Inputs!$G$5:$G$130="acoes"))*Inputs!$B$1+((Inputs!$G$5:$G$130&lt;&gt;"moeda")*(Inputs!$G$5:$G$130&lt;&gt;"acoes")))*INDEX(Inputs!$K$5:$AJ$130,0,MATCH(AA$2,Inputs!$K$4:$AJ$4,0)))+SUMPRODUCT((Inputs!$C$5:$C$130=$B42)*Inputs!$D$5:$D$130*(((Inputs!$G$5:$G$130="moeda")+(Inputs!$G$5:$G$130="acoes"))*Inputs!$B$1+((Inputs!$G$5:$G$130&lt;&gt;"moeda")*(Inputs!$G$5:$G$130&lt;&gt;"acoes")))*INDEX(Inputs!$K$5:$AJ$130,0,MATCH(AA$2,Inputs!$K$4:$AJ$4,0)))+SUMPRODUCT((Inputs!$E$5:$E$130=$B42)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42" s="3" t="e">
        <f>AA42</f>
        <v>#N/A</v>
      </c>
      <c r="AC42" s="6" t="e">
        <f>IF(ISNA(MATCH(AC$2,Inputs!$K$4:$AJ$4,0)),NA(),IF(SUMPRODUCT((Inputs!$A$5:$A$130=$B42)*ISNUMBER(INDEX(Inputs!$K$5:$AJ$130,0,MATCH(AC$2,Inputs!$K$4:$AJ$4,0))))+SUMPRODUCT((Inputs!$C$5:$C$130=$B42)*ISNUMBER(INDEX(Inputs!$K$5:$AJ$130,0,MATCH(AC$2,Inputs!$K$4:$AJ$4,0))))+SUMPRODUCT((Inputs!$E$5:$E$130=$B42)*ISNUMBER(INDEX(Inputs!$K$5:$AJ$130,0,MATCH(AC$2,Inputs!$K$4:$AJ$4,0))))=0,NA(),SUMPRODUCT((Inputs!$A$5:$A$130=$B42)*Inputs!$B$5:$B$130*(((Inputs!$G$5:$G$130="moeda")+(Inputs!$G$5:$G$130="acoes"))*Inputs!$B$1+((Inputs!$G$5:$G$130&lt;&gt;"moeda")*(Inputs!$G$5:$G$130&lt;&gt;"acoes")))*INDEX(Inputs!$K$5:$AJ$130,0,MATCH(AC$2,Inputs!$K$4:$AJ$4,0)))+SUMPRODUCT((Inputs!$C$5:$C$130=$B42)*Inputs!$D$5:$D$130*(((Inputs!$G$5:$G$130="moeda")+(Inputs!$G$5:$G$130="acoes"))*Inputs!$B$1+((Inputs!$G$5:$G$130&lt;&gt;"moeda")*(Inputs!$G$5:$G$130&lt;&gt;"acoes")))*INDEX(Inputs!$K$5:$AJ$130,0,MATCH(AC$2,Inputs!$K$4:$AJ$4,0)))+SUMPRODUCT((Inputs!$E$5:$E$130=$B42)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42" s="6" t="e">
        <f>IF(ISNA(MATCH(AD$2,Inputs!$K$4:$AJ$4,0)),NA(),IF(SUMPRODUCT((Inputs!$A$5:$A$130=$B42)*ISNUMBER(INDEX(Inputs!$K$5:$AJ$130,0,MATCH(AD$2,Inputs!$K$4:$AJ$4,0))))+SUMPRODUCT((Inputs!$C$5:$C$130=$B42)*ISNUMBER(INDEX(Inputs!$K$5:$AJ$130,0,MATCH(AD$2,Inputs!$K$4:$AJ$4,0))))+SUMPRODUCT((Inputs!$E$5:$E$130=$B42)*ISNUMBER(INDEX(Inputs!$K$5:$AJ$130,0,MATCH(AD$2,Inputs!$K$4:$AJ$4,0))))=0,NA(),SUMPRODUCT((Inputs!$A$5:$A$130=$B42)*Inputs!$B$5:$B$130*(((Inputs!$G$5:$G$130="moeda")+(Inputs!$G$5:$G$130="acoes"))*Inputs!$B$1+((Inputs!$G$5:$G$130&lt;&gt;"moeda")*(Inputs!$G$5:$G$130&lt;&gt;"acoes")))*INDEX(Inputs!$K$5:$AJ$130,0,MATCH(AD$2,Inputs!$K$4:$AJ$4,0)))+SUMPRODUCT((Inputs!$C$5:$C$130=$B42)*Inputs!$D$5:$D$130*(((Inputs!$G$5:$G$130="moeda")+(Inputs!$G$5:$G$130="acoes"))*Inputs!$B$1+((Inputs!$G$5:$G$130&lt;&gt;"moeda")*(Inputs!$G$5:$G$130&lt;&gt;"acoes")))*INDEX(Inputs!$K$5:$AJ$130,0,MATCH(AD$2,Inputs!$K$4:$AJ$4,0)))+SUMPRODUCT((Inputs!$E$5:$E$130=$B42)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42" s="6" t="e">
        <f>IF(ISNA(MATCH(AE$2,Inputs!$K$4:$AJ$4,0)),NA(),IF(SUMPRODUCT((Inputs!$A$5:$A$130=$B42)*ISNUMBER(INDEX(Inputs!$K$5:$AJ$130,0,MATCH(AE$2,Inputs!$K$4:$AJ$4,0))))+SUMPRODUCT((Inputs!$C$5:$C$130=$B42)*ISNUMBER(INDEX(Inputs!$K$5:$AJ$130,0,MATCH(AE$2,Inputs!$K$4:$AJ$4,0))))+SUMPRODUCT((Inputs!$E$5:$E$130=$B42)*ISNUMBER(INDEX(Inputs!$K$5:$AJ$130,0,MATCH(AE$2,Inputs!$K$4:$AJ$4,0))))=0,NA(),SUMPRODUCT((Inputs!$A$5:$A$130=$B42)*Inputs!$B$5:$B$130*(((Inputs!$G$5:$G$130="moeda")+(Inputs!$G$5:$G$130="acoes"))*Inputs!$B$1+((Inputs!$G$5:$G$130&lt;&gt;"moeda")*(Inputs!$G$5:$G$130&lt;&gt;"acoes")))*INDEX(Inputs!$K$5:$AJ$130,0,MATCH(AE$2,Inputs!$K$4:$AJ$4,0)))+SUMPRODUCT((Inputs!$C$5:$C$130=$B42)*Inputs!$D$5:$D$130*(((Inputs!$G$5:$G$130="moeda")+(Inputs!$G$5:$G$130="acoes"))*Inputs!$B$1+((Inputs!$G$5:$G$130&lt;&gt;"moeda")*(Inputs!$G$5:$G$130&lt;&gt;"acoes")))*INDEX(Inputs!$K$5:$AJ$130,0,MATCH(AE$2,Inputs!$K$4:$AJ$4,0)))+SUMPRODUCT((Inputs!$E$5:$E$130=$B42)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2" s="6" t="e">
        <f>IF(ISNA(MATCH(AF$2,Inputs!$K$4:$AJ$4,0)),NA(),IF(SUMPRODUCT((Inputs!$A$5:$A$130=$B42)*ISNUMBER(INDEX(Inputs!$K$5:$AJ$130,0,MATCH(AF$2,Inputs!$K$4:$AJ$4,0))))+SUMPRODUCT((Inputs!$C$5:$C$130=$B42)*ISNUMBER(INDEX(Inputs!$K$5:$AJ$130,0,MATCH(AF$2,Inputs!$K$4:$AJ$4,0))))+SUMPRODUCT((Inputs!$E$5:$E$130=$B42)*ISNUMBER(INDEX(Inputs!$K$5:$AJ$130,0,MATCH(AF$2,Inputs!$K$4:$AJ$4,0))))=0,NA(),SUMPRODUCT((Inputs!$A$5:$A$130=$B42)*Inputs!$B$5:$B$130*(((Inputs!$G$5:$G$130="moeda")+(Inputs!$G$5:$G$130="acoes"))*Inputs!$B$1+((Inputs!$G$5:$G$130&lt;&gt;"moeda")*(Inputs!$G$5:$G$130&lt;&gt;"acoes")))*INDEX(Inputs!$K$5:$AJ$130,0,MATCH(AF$2,Inputs!$K$4:$AJ$4,0)))+SUMPRODUCT((Inputs!$C$5:$C$130=$B42)*Inputs!$D$5:$D$130*(((Inputs!$G$5:$G$130="moeda")+(Inputs!$G$5:$G$130="acoes"))*Inputs!$B$1+((Inputs!$G$5:$G$130&lt;&gt;"moeda")*(Inputs!$G$5:$G$130&lt;&gt;"acoes")))*INDEX(Inputs!$K$5:$AJ$130,0,MATCH(AF$2,Inputs!$K$4:$AJ$4,0)))+SUMPRODUCT((Inputs!$E$5:$E$130=$B42)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2" s="3" t="e">
        <f>AF42</f>
        <v>#N/A</v>
      </c>
      <c r="AH42" s="6" t="e">
        <f>IF(ISNA(MATCH(AH$2,Inputs!$K$4:$AJ$4,0)),NA(),IF(SUMPRODUCT((Inputs!$A$5:$A$130=$B42)*ISNUMBER(INDEX(Inputs!$K$5:$AJ$130,0,MATCH(AH$2,Inputs!$K$4:$AJ$4,0))))+SUMPRODUCT((Inputs!$C$5:$C$130=$B42)*ISNUMBER(INDEX(Inputs!$K$5:$AJ$130,0,MATCH(AH$2,Inputs!$K$4:$AJ$4,0))))+SUMPRODUCT((Inputs!$E$5:$E$130=$B42)*ISNUMBER(INDEX(Inputs!$K$5:$AJ$130,0,MATCH(AH$2,Inputs!$K$4:$AJ$4,0))))=0,NA(),SUMPRODUCT((Inputs!$A$5:$A$130=$B42)*Inputs!$B$5:$B$130*(((Inputs!$G$5:$G$130="moeda")+(Inputs!$G$5:$G$130="acoes"))*Inputs!$B$1+((Inputs!$G$5:$G$130&lt;&gt;"moeda")*(Inputs!$G$5:$G$130&lt;&gt;"acoes")))*INDEX(Inputs!$K$5:$AJ$130,0,MATCH(AH$2,Inputs!$K$4:$AJ$4,0)))+SUMPRODUCT((Inputs!$C$5:$C$130=$B42)*Inputs!$D$5:$D$130*(((Inputs!$G$5:$G$130="moeda")+(Inputs!$G$5:$G$130="acoes"))*Inputs!$B$1+((Inputs!$G$5:$G$130&lt;&gt;"moeda")*(Inputs!$G$5:$G$130&lt;&gt;"acoes")))*INDEX(Inputs!$K$5:$AJ$130,0,MATCH(AH$2,Inputs!$K$4:$AJ$4,0)))+SUMPRODUCT((Inputs!$E$5:$E$130=$B42)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42" s="6" t="e">
        <f>IF(ISNA(MATCH(AI$2,Inputs!$K$4:$AJ$4,0)),NA(),IF(SUMPRODUCT((Inputs!$A$5:$A$130=$B42)*ISNUMBER(INDEX(Inputs!$K$5:$AJ$130,0,MATCH(AI$2,Inputs!$K$4:$AJ$4,0))))+SUMPRODUCT((Inputs!$C$5:$C$130=$B42)*ISNUMBER(INDEX(Inputs!$K$5:$AJ$130,0,MATCH(AI$2,Inputs!$K$4:$AJ$4,0))))+SUMPRODUCT((Inputs!$E$5:$E$130=$B42)*ISNUMBER(INDEX(Inputs!$K$5:$AJ$130,0,MATCH(AI$2,Inputs!$K$4:$AJ$4,0))))=0,NA(),SUMPRODUCT((Inputs!$A$5:$A$130=$B42)*Inputs!$B$5:$B$130*(((Inputs!$G$5:$G$130="moeda")+(Inputs!$G$5:$G$130="acoes"))*Inputs!$B$1+((Inputs!$G$5:$G$130&lt;&gt;"moeda")*(Inputs!$G$5:$G$130&lt;&gt;"acoes")))*INDEX(Inputs!$K$5:$AJ$130,0,MATCH(AI$2,Inputs!$K$4:$AJ$4,0)))+SUMPRODUCT((Inputs!$C$5:$C$130=$B42)*Inputs!$D$5:$D$130*(((Inputs!$G$5:$G$130="moeda")+(Inputs!$G$5:$G$130="acoes"))*Inputs!$B$1+((Inputs!$G$5:$G$130&lt;&gt;"moeda")*(Inputs!$G$5:$G$130&lt;&gt;"acoes")))*INDEX(Inputs!$K$5:$AJ$130,0,MATCH(AI$2,Inputs!$K$4:$AJ$4,0)))+SUMPRODUCT((Inputs!$E$5:$E$130=$B42)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42" s="6" t="e">
        <f>IF(ISNA(MATCH(AJ$2,Inputs!$K$4:$AJ$4,0)),NA(),IF(SUMPRODUCT((Inputs!$A$5:$A$130=$B42)*ISNUMBER(INDEX(Inputs!$K$5:$AJ$130,0,MATCH(AJ$2,Inputs!$K$4:$AJ$4,0))))+SUMPRODUCT((Inputs!$C$5:$C$130=$B42)*ISNUMBER(INDEX(Inputs!$K$5:$AJ$130,0,MATCH(AJ$2,Inputs!$K$4:$AJ$4,0))))+SUMPRODUCT((Inputs!$E$5:$E$130=$B42)*ISNUMBER(INDEX(Inputs!$K$5:$AJ$130,0,MATCH(AJ$2,Inputs!$K$4:$AJ$4,0))))=0,NA(),SUMPRODUCT((Inputs!$A$5:$A$130=$B42)*Inputs!$B$5:$B$130*(((Inputs!$G$5:$G$130="moeda")+(Inputs!$G$5:$G$130="acoes"))*Inputs!$B$1+((Inputs!$G$5:$G$130&lt;&gt;"moeda")*(Inputs!$G$5:$G$130&lt;&gt;"acoes")))*INDEX(Inputs!$K$5:$AJ$130,0,MATCH(AJ$2,Inputs!$K$4:$AJ$4,0)))+SUMPRODUCT((Inputs!$C$5:$C$130=$B42)*Inputs!$D$5:$D$130*(((Inputs!$G$5:$G$130="moeda")+(Inputs!$G$5:$G$130="acoes"))*Inputs!$B$1+((Inputs!$G$5:$G$130&lt;&gt;"moeda")*(Inputs!$G$5:$G$130&lt;&gt;"acoes")))*INDEX(Inputs!$K$5:$AJ$130,0,MATCH(AJ$2,Inputs!$K$4:$AJ$4,0)))+SUMPRODUCT((Inputs!$E$5:$E$130=$B42)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42" s="6" t="e">
        <f>IF(ISNA(MATCH(AK$2,Inputs!$K$4:$AJ$4,0)),NA(),IF(SUMPRODUCT((Inputs!$A$5:$A$130=$B42)*ISNUMBER(INDEX(Inputs!$K$5:$AJ$130,0,MATCH(AK$2,Inputs!$K$4:$AJ$4,0))))+SUMPRODUCT((Inputs!$C$5:$C$130=$B42)*ISNUMBER(INDEX(Inputs!$K$5:$AJ$130,0,MATCH(AK$2,Inputs!$K$4:$AJ$4,0))))+SUMPRODUCT((Inputs!$E$5:$E$130=$B42)*ISNUMBER(INDEX(Inputs!$K$5:$AJ$130,0,MATCH(AK$2,Inputs!$K$4:$AJ$4,0))))=0,NA(),SUMPRODUCT((Inputs!$A$5:$A$130=$B42)*Inputs!$B$5:$B$130*(((Inputs!$G$5:$G$130="moeda")+(Inputs!$G$5:$G$130="acoes"))*Inputs!$B$1+((Inputs!$G$5:$G$130&lt;&gt;"moeda")*(Inputs!$G$5:$G$130&lt;&gt;"acoes")))*INDEX(Inputs!$K$5:$AJ$130,0,MATCH(AK$2,Inputs!$K$4:$AJ$4,0)))+SUMPRODUCT((Inputs!$C$5:$C$130=$B42)*Inputs!$D$5:$D$130*(((Inputs!$G$5:$G$130="moeda")+(Inputs!$G$5:$G$130="acoes"))*Inputs!$B$1+((Inputs!$G$5:$G$130&lt;&gt;"moeda")*(Inputs!$G$5:$G$130&lt;&gt;"acoes")))*INDEX(Inputs!$K$5:$AJ$130,0,MATCH(AK$2,Inputs!$K$4:$AJ$4,0)))+SUMPRODUCT((Inputs!$E$5:$E$130=$B42)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42" s="3" t="e">
        <f>AK42</f>
        <v>#N/A</v>
      </c>
    </row>
    <row r="43">
      <c r="B43" s="46" t="n">
        <v>37</v>
      </c>
      <c r="C43" s="24" t="inlineStr">
        <is>
          <t>Common Stock and APIC</t>
        </is>
      </c>
      <c r="D43" s="6">
        <f>IF(ISNA(MATCH(D$2,Inputs!$K$4:$AJ$4,0)),NA(),IF(SUMPRODUCT((Inputs!$A$5:$A$130=$B43)*ISNUMBER(INDEX(Inputs!$K$5:$AJ$130,0,MATCH(D$2,Inputs!$K$4:$AJ$4,0))))+SUMPRODUCT((Inputs!$C$5:$C$130=$B43)*ISNUMBER(INDEX(Inputs!$K$5:$AJ$130,0,MATCH(D$2,Inputs!$K$4:$AJ$4,0))))+SUMPRODUCT((Inputs!$E$5:$E$130=$B43)*ISNUMBER(INDEX(Inputs!$K$5:$AJ$130,0,MATCH(D$2,Inputs!$K$4:$AJ$4,0))))=0,NA(),SUMPRODUCT((Inputs!$A$5:$A$130=$B43)*Inputs!$B$5:$B$130*(((Inputs!$G$5:$G$130="moeda")+(Inputs!$G$5:$G$130="acoes"))*Inputs!$B$1+((Inputs!$G$5:$G$130&lt;&gt;"moeda")*(Inputs!$G$5:$G$130&lt;&gt;"acoes")))*INDEX(Inputs!$K$5:$AJ$130,0,MATCH(D$2,Inputs!$K$4:$AJ$4,0)))+SUMPRODUCT((Inputs!$C$5:$C$130=$B43)*Inputs!$D$5:$D$130*(((Inputs!$G$5:$G$130="moeda")+(Inputs!$G$5:$G$130="acoes"))*Inputs!$B$1+((Inputs!$G$5:$G$130&lt;&gt;"moeda")*(Inputs!$G$5:$G$130&lt;&gt;"acoes")))*INDEX(Inputs!$K$5:$AJ$130,0,MATCH(D$2,Inputs!$K$4:$AJ$4,0)))+SUMPRODUCT((Inputs!$E$5:$E$130=$B43)*Inputs!$F$5:$F$130*(((Inputs!$G$5:$G$130="moeda")+(Inputs!$G$5:$G$130="acoes"))*Inputs!$B$1+((Inputs!$G$5:$G$130&lt;&gt;"moeda")*(Inputs!$G$5:$G$130&lt;&gt;"acoes")))*INDEX(Inputs!$K$5:$AJ$130,0,MATCH(D$2,Inputs!$K$4:$AJ$4,0)))))</f>
        <v>9281</v>
      </c>
      <c r="E43" s="6">
        <f>IF(ISNA(MATCH(E$2,Inputs!$K$4:$AJ$4,0)),NA(),IF(SUMPRODUCT((Inputs!$A$5:$A$130=$B43)*ISNUMBER(INDEX(Inputs!$K$5:$AJ$130,0,MATCH(E$2,Inputs!$K$4:$AJ$4,0))))+SUMPRODUCT((Inputs!$C$5:$C$130=$B43)*ISNUMBER(INDEX(Inputs!$K$5:$AJ$130,0,MATCH(E$2,Inputs!$K$4:$AJ$4,0))))+SUMPRODUCT((Inputs!$E$5:$E$130=$B43)*ISNUMBER(INDEX(Inputs!$K$5:$AJ$130,0,MATCH(E$2,Inputs!$K$4:$AJ$4,0))))=0,NA(),SUMPRODUCT((Inputs!$A$5:$A$130=$B43)*Inputs!$B$5:$B$130*(((Inputs!$G$5:$G$130="moeda")+(Inputs!$G$5:$G$130="acoes"))*Inputs!$B$1+((Inputs!$G$5:$G$130&lt;&gt;"moeda")*(Inputs!$G$5:$G$130&lt;&gt;"acoes")))*INDEX(Inputs!$K$5:$AJ$130,0,MATCH(E$2,Inputs!$K$4:$AJ$4,0)))+SUMPRODUCT((Inputs!$C$5:$C$130=$B43)*Inputs!$D$5:$D$130*(((Inputs!$G$5:$G$130="moeda")+(Inputs!$G$5:$G$130="acoes"))*Inputs!$B$1+((Inputs!$G$5:$G$130&lt;&gt;"moeda")*(Inputs!$G$5:$G$130&lt;&gt;"acoes")))*INDEX(Inputs!$K$5:$AJ$130,0,MATCH(E$2,Inputs!$K$4:$AJ$4,0)))+SUMPRODUCT((Inputs!$E$5:$E$130=$B43)*Inputs!$F$5:$F$130*(((Inputs!$G$5:$G$130="moeda")+(Inputs!$G$5:$G$130="acoes"))*Inputs!$B$1+((Inputs!$G$5:$G$130&lt;&gt;"moeda")*(Inputs!$G$5:$G$130&lt;&gt;"acoes")))*INDEX(Inputs!$K$5:$AJ$130,0,MATCH(E$2,Inputs!$K$4:$AJ$4,0)))))</f>
        <v>9748</v>
      </c>
      <c r="F43" s="6">
        <f>IF(ISNA(MATCH(F$2,Inputs!$K$4:$AJ$4,0)),NA(),IF(SUMPRODUCT((Inputs!$A$5:$A$130=$B43)*ISNUMBER(INDEX(Inputs!$K$5:$AJ$130,0,MATCH(F$2,Inputs!$K$4:$AJ$4,0))))+SUMPRODUCT((Inputs!$C$5:$C$130=$B43)*ISNUMBER(INDEX(Inputs!$K$5:$AJ$130,0,MATCH(F$2,Inputs!$K$4:$AJ$4,0))))+SUMPRODUCT((Inputs!$E$5:$E$130=$B43)*ISNUMBER(INDEX(Inputs!$K$5:$AJ$130,0,MATCH(F$2,Inputs!$K$4:$AJ$4,0))))=0,NA(),SUMPRODUCT((Inputs!$A$5:$A$130=$B43)*Inputs!$B$5:$B$130*(((Inputs!$G$5:$G$130="moeda")+(Inputs!$G$5:$G$130="acoes"))*Inputs!$B$1+((Inputs!$G$5:$G$130&lt;&gt;"moeda")*(Inputs!$G$5:$G$130&lt;&gt;"acoes")))*INDEX(Inputs!$K$5:$AJ$130,0,MATCH(F$2,Inputs!$K$4:$AJ$4,0)))+SUMPRODUCT((Inputs!$C$5:$C$130=$B43)*Inputs!$D$5:$D$130*(((Inputs!$G$5:$G$130="moeda")+(Inputs!$G$5:$G$130="acoes"))*Inputs!$B$1+((Inputs!$G$5:$G$130&lt;&gt;"moeda")*(Inputs!$G$5:$G$130&lt;&gt;"acoes")))*INDEX(Inputs!$K$5:$AJ$130,0,MATCH(F$2,Inputs!$K$4:$AJ$4,0)))+SUMPRODUCT((Inputs!$E$5:$E$130=$B43)*Inputs!$F$5:$F$130*(((Inputs!$G$5:$G$130="moeda")+(Inputs!$G$5:$G$130="acoes"))*Inputs!$B$1+((Inputs!$G$5:$G$130&lt;&gt;"moeda")*(Inputs!$G$5:$G$130&lt;&gt;"acoes")))*INDEX(Inputs!$K$5:$AJ$130,0,MATCH(F$2,Inputs!$K$4:$AJ$4,0)))))</f>
        <v>10468</v>
      </c>
      <c r="G43" s="6">
        <f>IF(ISNA(MATCH(G$2,Inputs!$K$4:$AJ$4,0)),NA(),IF(SUMPRODUCT((Inputs!$A$5:$A$130=$B43)*ISNUMBER(INDEX(Inputs!$K$5:$AJ$130,0,MATCH(G$2,Inputs!$K$4:$AJ$4,0))))+SUMPRODUCT((Inputs!$C$5:$C$130=$B43)*ISNUMBER(INDEX(Inputs!$K$5:$AJ$130,0,MATCH(G$2,Inputs!$K$4:$AJ$4,0))))+SUMPRODUCT((Inputs!$E$5:$E$130=$B43)*ISNUMBER(INDEX(Inputs!$K$5:$AJ$130,0,MATCH(G$2,Inputs!$K$4:$AJ$4,0))))=0,NA(),SUMPRODUCT((Inputs!$A$5:$A$130=$B43)*Inputs!$B$5:$B$130*(((Inputs!$G$5:$G$130="moeda")+(Inputs!$G$5:$G$130="acoes"))*Inputs!$B$1+((Inputs!$G$5:$G$130&lt;&gt;"moeda")*(Inputs!$G$5:$G$130&lt;&gt;"acoes")))*INDEX(Inputs!$K$5:$AJ$130,0,MATCH(G$2,Inputs!$K$4:$AJ$4,0)))+SUMPRODUCT((Inputs!$C$5:$C$130=$B43)*Inputs!$D$5:$D$130*(((Inputs!$G$5:$G$130="moeda")+(Inputs!$G$5:$G$130="acoes"))*Inputs!$B$1+((Inputs!$G$5:$G$130&lt;&gt;"moeda")*(Inputs!$G$5:$G$130&lt;&gt;"acoes")))*INDEX(Inputs!$K$5:$AJ$130,0,MATCH(G$2,Inputs!$K$4:$AJ$4,0)))+SUMPRODUCT((Inputs!$E$5:$E$130=$B43)*Inputs!$F$5:$F$130*(((Inputs!$G$5:$G$130="moeda")+(Inputs!$G$5:$G$130="acoes"))*Inputs!$B$1+((Inputs!$G$5:$G$130&lt;&gt;"moeda")*(Inputs!$G$5:$G$130&lt;&gt;"acoes")))*INDEX(Inputs!$K$5:$AJ$130,0,MATCH(G$2,Inputs!$K$4:$AJ$4,0)))))</f>
        <v>10388</v>
      </c>
      <c r="H43" s="3">
        <f>G43</f>
        <v>10388</v>
      </c>
      <c r="I43" s="6">
        <f>IF(ISNA(MATCH(I$2,Inputs!$K$4:$AJ$4,0)),NA(),IF(SUMPRODUCT((Inputs!$A$5:$A$130=$B43)*ISNUMBER(INDEX(Inputs!$K$5:$AJ$130,0,MATCH(I$2,Inputs!$K$4:$AJ$4,0))))+SUMPRODUCT((Inputs!$C$5:$C$130=$B43)*ISNUMBER(INDEX(Inputs!$K$5:$AJ$130,0,MATCH(I$2,Inputs!$K$4:$AJ$4,0))))+SUMPRODUCT((Inputs!$E$5:$E$130=$B43)*ISNUMBER(INDEX(Inputs!$K$5:$AJ$130,0,MATCH(I$2,Inputs!$K$4:$AJ$4,0))))=0,NA(),SUMPRODUCT((Inputs!$A$5:$A$130=$B43)*Inputs!$B$5:$B$130*(((Inputs!$G$5:$G$130="moeda")+(Inputs!$G$5:$G$130="acoes"))*Inputs!$B$1+((Inputs!$G$5:$G$130&lt;&gt;"moeda")*(Inputs!$G$5:$G$130&lt;&gt;"acoes")))*INDEX(Inputs!$K$5:$AJ$130,0,MATCH(I$2,Inputs!$K$4:$AJ$4,0)))+SUMPRODUCT((Inputs!$C$5:$C$130=$B43)*Inputs!$D$5:$D$130*(((Inputs!$G$5:$G$130="moeda")+(Inputs!$G$5:$G$130="acoes"))*Inputs!$B$1+((Inputs!$G$5:$G$130&lt;&gt;"moeda")*(Inputs!$G$5:$G$130&lt;&gt;"acoes")))*INDEX(Inputs!$K$5:$AJ$130,0,MATCH(I$2,Inputs!$K$4:$AJ$4,0)))+SUMPRODUCT((Inputs!$E$5:$E$130=$B43)*Inputs!$F$5:$F$130*(((Inputs!$G$5:$G$130="moeda")+(Inputs!$G$5:$G$130="acoes"))*Inputs!$B$1+((Inputs!$G$5:$G$130&lt;&gt;"moeda")*(Inputs!$G$5:$G$130&lt;&gt;"acoes")))*INDEX(Inputs!$K$5:$AJ$130,0,MATCH(I$2,Inputs!$K$4:$AJ$4,0)))))</f>
        <v>10626</v>
      </c>
      <c r="J43" s="6">
        <f>IF(ISNA(MATCH(J$2,Inputs!$K$4:$AJ$4,0)),NA(),IF(SUMPRODUCT((Inputs!$A$5:$A$130=$B43)*ISNUMBER(INDEX(Inputs!$K$5:$AJ$130,0,MATCH(J$2,Inputs!$K$4:$AJ$4,0))))+SUMPRODUCT((Inputs!$C$5:$C$130=$B43)*ISNUMBER(INDEX(Inputs!$K$5:$AJ$130,0,MATCH(J$2,Inputs!$K$4:$AJ$4,0))))+SUMPRODUCT((Inputs!$E$5:$E$130=$B43)*ISNUMBER(INDEX(Inputs!$K$5:$AJ$130,0,MATCH(J$2,Inputs!$K$4:$AJ$4,0))))=0,NA(),SUMPRODUCT((Inputs!$A$5:$A$130=$B43)*Inputs!$B$5:$B$130*(((Inputs!$G$5:$G$130="moeda")+(Inputs!$G$5:$G$130="acoes"))*Inputs!$B$1+((Inputs!$G$5:$G$130&lt;&gt;"moeda")*(Inputs!$G$5:$G$130&lt;&gt;"acoes")))*INDEX(Inputs!$K$5:$AJ$130,0,MATCH(J$2,Inputs!$K$4:$AJ$4,0)))+SUMPRODUCT((Inputs!$C$5:$C$130=$B43)*Inputs!$D$5:$D$130*(((Inputs!$G$5:$G$130="moeda")+(Inputs!$G$5:$G$130="acoes"))*Inputs!$B$1+((Inputs!$G$5:$G$130&lt;&gt;"moeda")*(Inputs!$G$5:$G$130&lt;&gt;"acoes")))*INDEX(Inputs!$K$5:$AJ$130,0,MATCH(J$2,Inputs!$K$4:$AJ$4,0)))+SUMPRODUCT((Inputs!$E$5:$E$130=$B43)*Inputs!$F$5:$F$130*(((Inputs!$G$5:$G$130="moeda")+(Inputs!$G$5:$G$130="acoes"))*Inputs!$B$1+((Inputs!$G$5:$G$130&lt;&gt;"moeda")*(Inputs!$G$5:$G$130&lt;&gt;"acoes")))*INDEX(Inputs!$K$5:$AJ$130,0,MATCH(J$2,Inputs!$K$4:$AJ$4,0)))))</f>
        <v>10970</v>
      </c>
      <c r="K43" s="6">
        <f>IF(ISNA(MATCH(K$2,Inputs!$K$4:$AJ$4,0)),NA(),IF(SUMPRODUCT((Inputs!$A$5:$A$130=$B43)*ISNUMBER(INDEX(Inputs!$K$5:$AJ$130,0,MATCH(K$2,Inputs!$K$4:$AJ$4,0))))+SUMPRODUCT((Inputs!$C$5:$C$130=$B43)*ISNUMBER(INDEX(Inputs!$K$5:$AJ$130,0,MATCH(K$2,Inputs!$K$4:$AJ$4,0))))+SUMPRODUCT((Inputs!$E$5:$E$130=$B43)*ISNUMBER(INDEX(Inputs!$K$5:$AJ$130,0,MATCH(K$2,Inputs!$K$4:$AJ$4,0))))=0,NA(),SUMPRODUCT((Inputs!$A$5:$A$130=$B43)*Inputs!$B$5:$B$130*(((Inputs!$G$5:$G$130="moeda")+(Inputs!$G$5:$G$130="acoes"))*Inputs!$B$1+((Inputs!$G$5:$G$130&lt;&gt;"moeda")*(Inputs!$G$5:$G$130&lt;&gt;"acoes")))*INDEX(Inputs!$K$5:$AJ$130,0,MATCH(K$2,Inputs!$K$4:$AJ$4,0)))+SUMPRODUCT((Inputs!$C$5:$C$130=$B43)*Inputs!$D$5:$D$130*(((Inputs!$G$5:$G$130="moeda")+(Inputs!$G$5:$G$130="acoes"))*Inputs!$B$1+((Inputs!$G$5:$G$130&lt;&gt;"moeda")*(Inputs!$G$5:$G$130&lt;&gt;"acoes")))*INDEX(Inputs!$K$5:$AJ$130,0,MATCH(K$2,Inputs!$K$4:$AJ$4,0)))+SUMPRODUCT((Inputs!$E$5:$E$130=$B43)*Inputs!$F$5:$F$130*(((Inputs!$G$5:$G$130="moeda")+(Inputs!$G$5:$G$130="acoes"))*Inputs!$B$1+((Inputs!$G$5:$G$130&lt;&gt;"moeda")*(Inputs!$G$5:$G$130&lt;&gt;"acoes")))*INDEX(Inputs!$K$5:$AJ$130,0,MATCH(K$2,Inputs!$K$4:$AJ$4,0)))))</f>
        <v>11567</v>
      </c>
      <c r="L43" s="6">
        <f>IF(ISNA(MATCH(L$2,Inputs!$K$4:$AJ$4,0)),NA(),IF(SUMPRODUCT((Inputs!$A$5:$A$130=$B43)*ISNUMBER(INDEX(Inputs!$K$5:$AJ$130,0,MATCH(L$2,Inputs!$K$4:$AJ$4,0))))+SUMPRODUCT((Inputs!$C$5:$C$130=$B43)*ISNUMBER(INDEX(Inputs!$K$5:$AJ$130,0,MATCH(L$2,Inputs!$K$4:$AJ$4,0))))+SUMPRODUCT((Inputs!$E$5:$E$130=$B43)*ISNUMBER(INDEX(Inputs!$K$5:$AJ$130,0,MATCH(L$2,Inputs!$K$4:$AJ$4,0))))=0,NA(),SUMPRODUCT((Inputs!$A$5:$A$130=$B43)*Inputs!$B$5:$B$130*(((Inputs!$G$5:$G$130="moeda")+(Inputs!$G$5:$G$130="acoes"))*Inputs!$B$1+((Inputs!$G$5:$G$130&lt;&gt;"moeda")*(Inputs!$G$5:$G$130&lt;&gt;"acoes")))*INDEX(Inputs!$K$5:$AJ$130,0,MATCH(L$2,Inputs!$K$4:$AJ$4,0)))+SUMPRODUCT((Inputs!$C$5:$C$130=$B43)*Inputs!$D$5:$D$130*(((Inputs!$G$5:$G$130="moeda")+(Inputs!$G$5:$G$130="acoes"))*Inputs!$B$1+((Inputs!$G$5:$G$130&lt;&gt;"moeda")*(Inputs!$G$5:$G$130&lt;&gt;"acoes")))*INDEX(Inputs!$K$5:$AJ$130,0,MATCH(L$2,Inputs!$K$4:$AJ$4,0)))+SUMPRODUCT((Inputs!$E$5:$E$130=$B43)*Inputs!$F$5:$F$130*(((Inputs!$G$5:$G$130="moeda")+(Inputs!$G$5:$G$130="acoes"))*Inputs!$B$1+((Inputs!$G$5:$G$130&lt;&gt;"moeda")*(Inputs!$G$5:$G$130&lt;&gt;"acoes")))*INDEX(Inputs!$K$5:$AJ$130,0,MATCH(L$2,Inputs!$K$4:$AJ$4,0)))))</f>
        <v>11973</v>
      </c>
      <c r="M43" s="3">
        <f>L43</f>
        <v>11973</v>
      </c>
      <c r="N43" s="6">
        <f>IF(ISNA(MATCH(N$2,Inputs!$K$4:$AJ$4,0)),NA(),IF(SUMPRODUCT((Inputs!$A$5:$A$130=$B43)*ISNUMBER(INDEX(Inputs!$K$5:$AJ$130,0,MATCH(N$2,Inputs!$K$4:$AJ$4,0))))+SUMPRODUCT((Inputs!$C$5:$C$130=$B43)*ISNUMBER(INDEX(Inputs!$K$5:$AJ$130,0,MATCH(N$2,Inputs!$K$4:$AJ$4,0))))+SUMPRODUCT((Inputs!$E$5:$E$130=$B43)*ISNUMBER(INDEX(Inputs!$K$5:$AJ$130,0,MATCH(N$2,Inputs!$K$4:$AJ$4,0))))=0,NA(),SUMPRODUCT((Inputs!$A$5:$A$130=$B43)*Inputs!$B$5:$B$130*(((Inputs!$G$5:$G$130="moeda")+(Inputs!$G$5:$G$130="acoes"))*Inputs!$B$1+((Inputs!$G$5:$G$130&lt;&gt;"moeda")*(Inputs!$G$5:$G$130&lt;&gt;"acoes")))*INDEX(Inputs!$K$5:$AJ$130,0,MATCH(N$2,Inputs!$K$4:$AJ$4,0)))+SUMPRODUCT((Inputs!$C$5:$C$130=$B43)*Inputs!$D$5:$D$130*(((Inputs!$G$5:$G$130="moeda")+(Inputs!$G$5:$G$130="acoes"))*Inputs!$B$1+((Inputs!$G$5:$G$130&lt;&gt;"moeda")*(Inputs!$G$5:$G$130&lt;&gt;"acoes")))*INDEX(Inputs!$K$5:$AJ$130,0,MATCH(N$2,Inputs!$K$4:$AJ$4,0)))+SUMPRODUCT((Inputs!$E$5:$E$130=$B43)*Inputs!$F$5:$F$130*(((Inputs!$G$5:$G$130="moeda")+(Inputs!$G$5:$G$130="acoes"))*Inputs!$B$1+((Inputs!$G$5:$G$130&lt;&gt;"moeda")*(Inputs!$G$5:$G$130&lt;&gt;"acoes")))*INDEX(Inputs!$K$5:$AJ$130,0,MATCH(N$2,Inputs!$K$4:$AJ$4,0)))))</f>
        <v>12455</v>
      </c>
      <c r="O43" s="6">
        <f>IF(ISNA(MATCH(O$2,Inputs!$K$4:$AJ$4,0)),NA(),IF(SUMPRODUCT((Inputs!$A$5:$A$130=$B43)*ISNUMBER(INDEX(Inputs!$K$5:$AJ$130,0,MATCH(O$2,Inputs!$K$4:$AJ$4,0))))+SUMPRODUCT((Inputs!$C$5:$C$130=$B43)*ISNUMBER(INDEX(Inputs!$K$5:$AJ$130,0,MATCH(O$2,Inputs!$K$4:$AJ$4,0))))+SUMPRODUCT((Inputs!$E$5:$E$130=$B43)*ISNUMBER(INDEX(Inputs!$K$5:$AJ$130,0,MATCH(O$2,Inputs!$K$4:$AJ$4,0))))=0,NA(),SUMPRODUCT((Inputs!$A$5:$A$130=$B43)*Inputs!$B$5:$B$130*(((Inputs!$G$5:$G$130="moeda")+(Inputs!$G$5:$G$130="acoes"))*Inputs!$B$1+((Inputs!$G$5:$G$130&lt;&gt;"moeda")*(Inputs!$G$5:$G$130&lt;&gt;"acoes")))*INDEX(Inputs!$K$5:$AJ$130,0,MATCH(O$2,Inputs!$K$4:$AJ$4,0)))+SUMPRODUCT((Inputs!$C$5:$C$130=$B43)*Inputs!$D$5:$D$130*(((Inputs!$G$5:$G$130="moeda")+(Inputs!$G$5:$G$130="acoes"))*Inputs!$B$1+((Inputs!$G$5:$G$130&lt;&gt;"moeda")*(Inputs!$G$5:$G$130&lt;&gt;"acoes")))*INDEX(Inputs!$K$5:$AJ$130,0,MATCH(O$2,Inputs!$K$4:$AJ$4,0)))+SUMPRODUCT((Inputs!$E$5:$E$130=$B43)*Inputs!$F$5:$F$130*(((Inputs!$G$5:$G$130="moeda")+(Inputs!$G$5:$G$130="acoes"))*Inputs!$B$1+((Inputs!$G$5:$G$130&lt;&gt;"moeda")*(Inputs!$G$5:$G$130&lt;&gt;"acoes")))*INDEX(Inputs!$K$5:$AJ$130,0,MATCH(O$2,Inputs!$K$4:$AJ$4,0)))))</f>
        <v>12631</v>
      </c>
      <c r="P43" s="6">
        <f>IF(ISNA(MATCH(P$2,Inputs!$K$4:$AJ$4,0)),NA(),IF(SUMPRODUCT((Inputs!$A$5:$A$130=$B43)*ISNUMBER(INDEX(Inputs!$K$5:$AJ$130,0,MATCH(P$2,Inputs!$K$4:$AJ$4,0))))+SUMPRODUCT((Inputs!$C$5:$C$130=$B43)*ISNUMBER(INDEX(Inputs!$K$5:$AJ$130,0,MATCH(P$2,Inputs!$K$4:$AJ$4,0))))+SUMPRODUCT((Inputs!$E$5:$E$130=$B43)*ISNUMBER(INDEX(Inputs!$K$5:$AJ$130,0,MATCH(P$2,Inputs!$K$4:$AJ$4,0))))=0,NA(),SUMPRODUCT((Inputs!$A$5:$A$130=$B43)*Inputs!$B$5:$B$130*(((Inputs!$G$5:$G$130="moeda")+(Inputs!$G$5:$G$130="acoes"))*Inputs!$B$1+((Inputs!$G$5:$G$130&lt;&gt;"moeda")*(Inputs!$G$5:$G$130&lt;&gt;"acoes")))*INDEX(Inputs!$K$5:$AJ$130,0,MATCH(P$2,Inputs!$K$4:$AJ$4,0)))+SUMPRODUCT((Inputs!$C$5:$C$130=$B43)*Inputs!$D$5:$D$130*(((Inputs!$G$5:$G$130="moeda")+(Inputs!$G$5:$G$130="acoes"))*Inputs!$B$1+((Inputs!$G$5:$G$130&lt;&gt;"moeda")*(Inputs!$G$5:$G$130&lt;&gt;"acoes")))*INDEX(Inputs!$K$5:$AJ$130,0,MATCH(P$2,Inputs!$K$4:$AJ$4,0)))+SUMPRODUCT((Inputs!$E$5:$E$130=$B43)*Inputs!$F$5:$F$130*(((Inputs!$G$5:$G$130="moeda")+(Inputs!$G$5:$G$130="acoes"))*Inputs!$B$1+((Inputs!$G$5:$G$130&lt;&gt;"moeda")*(Inputs!$G$5:$G$130&lt;&gt;"acoes")))*INDEX(Inputs!$K$5:$AJ$130,0,MATCH(P$2,Inputs!$K$4:$AJ$4,0)))))</f>
        <v>12993</v>
      </c>
      <c r="Q43" s="6">
        <f>IF(ISNA(MATCH(Q$2,Inputs!$K$4:$AJ$4,0)),NA(),IF(SUMPRODUCT((Inputs!$A$5:$A$130=$B43)*ISNUMBER(INDEX(Inputs!$K$5:$AJ$130,0,MATCH(Q$2,Inputs!$K$4:$AJ$4,0))))+SUMPRODUCT((Inputs!$C$5:$C$130=$B43)*ISNUMBER(INDEX(Inputs!$K$5:$AJ$130,0,MATCH(Q$2,Inputs!$K$4:$AJ$4,0))))+SUMPRODUCT((Inputs!$E$5:$E$130=$B43)*ISNUMBER(INDEX(Inputs!$K$5:$AJ$130,0,MATCH(Q$2,Inputs!$K$4:$AJ$4,0))))=0,NA(),SUMPRODUCT((Inputs!$A$5:$A$130=$B43)*Inputs!$B$5:$B$130*(((Inputs!$G$5:$G$130="moeda")+(Inputs!$G$5:$G$130="acoes"))*Inputs!$B$1+((Inputs!$G$5:$G$130&lt;&gt;"moeda")*(Inputs!$G$5:$G$130&lt;&gt;"acoes")))*INDEX(Inputs!$K$5:$AJ$130,0,MATCH(Q$2,Inputs!$K$4:$AJ$4,0)))+SUMPRODUCT((Inputs!$C$5:$C$130=$B43)*Inputs!$D$5:$D$130*(((Inputs!$G$5:$G$130="moeda")+(Inputs!$G$5:$G$130="acoes"))*Inputs!$B$1+((Inputs!$G$5:$G$130&lt;&gt;"moeda")*(Inputs!$G$5:$G$130&lt;&gt;"acoes")))*INDEX(Inputs!$K$5:$AJ$130,0,MATCH(Q$2,Inputs!$K$4:$AJ$4,0)))+SUMPRODUCT((Inputs!$E$5:$E$130=$B43)*Inputs!$F$5:$F$130*(((Inputs!$G$5:$G$130="moeda")+(Inputs!$G$5:$G$130="acoes"))*Inputs!$B$1+((Inputs!$G$5:$G$130&lt;&gt;"moeda")*(Inputs!$G$5:$G$130&lt;&gt;"acoes")))*INDEX(Inputs!$K$5:$AJ$130,0,MATCH(Q$2,Inputs!$K$4:$AJ$4,0)))))</f>
        <v>13134</v>
      </c>
      <c r="R43" s="3">
        <f>Q43</f>
        <v>13134</v>
      </c>
      <c r="S43" s="6">
        <f>IF(ISNA(MATCH(S$2,Inputs!$K$4:$AJ$4,0)),NA(),IF(SUMPRODUCT((Inputs!$A$5:$A$130=$B43)*ISNUMBER(INDEX(Inputs!$K$5:$AJ$130,0,MATCH(S$2,Inputs!$K$4:$AJ$4,0))))+SUMPRODUCT((Inputs!$C$5:$C$130=$B43)*ISNUMBER(INDEX(Inputs!$K$5:$AJ$130,0,MATCH(S$2,Inputs!$K$4:$AJ$4,0))))+SUMPRODUCT((Inputs!$E$5:$E$130=$B43)*ISNUMBER(INDEX(Inputs!$K$5:$AJ$130,0,MATCH(S$2,Inputs!$K$4:$AJ$4,0))))=0,NA(),SUMPRODUCT((Inputs!$A$5:$A$130=$B43)*Inputs!$B$5:$B$130*(((Inputs!$G$5:$G$130="moeda")+(Inputs!$G$5:$G$130="acoes"))*Inputs!$B$1+((Inputs!$G$5:$G$130&lt;&gt;"moeda")*(Inputs!$G$5:$G$130&lt;&gt;"acoes")))*INDEX(Inputs!$K$5:$AJ$130,0,MATCH(S$2,Inputs!$K$4:$AJ$4,0)))+SUMPRODUCT((Inputs!$C$5:$C$130=$B43)*Inputs!$D$5:$D$130*(((Inputs!$G$5:$G$130="moeda")+(Inputs!$G$5:$G$130="acoes"))*Inputs!$B$1+((Inputs!$G$5:$G$130&lt;&gt;"moeda")*(Inputs!$G$5:$G$130&lt;&gt;"acoes")))*INDEX(Inputs!$K$5:$AJ$130,0,MATCH(S$2,Inputs!$K$4:$AJ$4,0)))+SUMPRODUCT((Inputs!$E$5:$E$130=$B43)*Inputs!$F$5:$F$130*(((Inputs!$G$5:$G$130="moeda")+(Inputs!$G$5:$G$130="acoes"))*Inputs!$B$1+((Inputs!$G$5:$G$130&lt;&gt;"moeda")*(Inputs!$G$5:$G$130&lt;&gt;"acoes")))*INDEX(Inputs!$K$5:$AJ$130,0,MATCH(S$2,Inputs!$K$4:$AJ$4,0)))))</f>
        <v>12653</v>
      </c>
      <c r="T43" s="6">
        <f>IF(ISNA(MATCH(T$2,Inputs!$K$4:$AJ$4,0)),NA(),IF(SUMPRODUCT((Inputs!$A$5:$A$130=$B43)*ISNUMBER(INDEX(Inputs!$K$5:$AJ$130,0,MATCH(T$2,Inputs!$K$4:$AJ$4,0))))+SUMPRODUCT((Inputs!$C$5:$C$130=$B43)*ISNUMBER(INDEX(Inputs!$K$5:$AJ$130,0,MATCH(T$2,Inputs!$K$4:$AJ$4,0))))+SUMPRODUCT((Inputs!$E$5:$E$130=$B43)*ISNUMBER(INDEX(Inputs!$K$5:$AJ$130,0,MATCH(T$2,Inputs!$K$4:$AJ$4,0))))=0,NA(),SUMPRODUCT((Inputs!$A$5:$A$130=$B43)*Inputs!$B$5:$B$130*(((Inputs!$G$5:$G$130="moeda")+(Inputs!$G$5:$G$130="acoes"))*Inputs!$B$1+((Inputs!$G$5:$G$130&lt;&gt;"moeda")*(Inputs!$G$5:$G$130&lt;&gt;"acoes")))*INDEX(Inputs!$K$5:$AJ$130,0,MATCH(T$2,Inputs!$K$4:$AJ$4,0)))+SUMPRODUCT((Inputs!$C$5:$C$130=$B43)*Inputs!$D$5:$D$130*(((Inputs!$G$5:$G$130="moeda")+(Inputs!$G$5:$G$130="acoes"))*Inputs!$B$1+((Inputs!$G$5:$G$130&lt;&gt;"moeda")*(Inputs!$G$5:$G$130&lt;&gt;"acoes")))*INDEX(Inputs!$K$5:$AJ$130,0,MATCH(T$2,Inputs!$K$4:$AJ$4,0)))+SUMPRODUCT((Inputs!$E$5:$E$130=$B43)*Inputs!$F$5:$F$130*(((Inputs!$G$5:$G$130="moeda")+(Inputs!$G$5:$G$130="acoes"))*Inputs!$B$1+((Inputs!$G$5:$G$130&lt;&gt;"moeda")*(Inputs!$G$5:$G$130&lt;&gt;"acoes")))*INDEX(Inputs!$K$5:$AJ$130,0,MATCH(T$2,Inputs!$K$4:$AJ$4,0)))))</f>
        <v>12140</v>
      </c>
      <c r="U43" s="6">
        <f>IF(ISNA(MATCH(U$2,Inputs!$K$4:$AJ$4,0)),NA(),IF(SUMPRODUCT((Inputs!$A$5:$A$130=$B43)*ISNUMBER(INDEX(Inputs!$K$5:$AJ$130,0,MATCH(U$2,Inputs!$K$4:$AJ$4,0))))+SUMPRODUCT((Inputs!$C$5:$C$130=$B43)*ISNUMBER(INDEX(Inputs!$K$5:$AJ$130,0,MATCH(U$2,Inputs!$K$4:$AJ$4,0))))+SUMPRODUCT((Inputs!$E$5:$E$130=$B43)*ISNUMBER(INDEX(Inputs!$K$5:$AJ$130,0,MATCH(U$2,Inputs!$K$4:$AJ$4,0))))=0,NA(),SUMPRODUCT((Inputs!$A$5:$A$130=$B43)*Inputs!$B$5:$B$130*(((Inputs!$G$5:$G$130="moeda")+(Inputs!$G$5:$G$130="acoes"))*Inputs!$B$1+((Inputs!$G$5:$G$130&lt;&gt;"moeda")*(Inputs!$G$5:$G$130&lt;&gt;"acoes")))*INDEX(Inputs!$K$5:$AJ$130,0,MATCH(U$2,Inputs!$K$4:$AJ$4,0)))+SUMPRODUCT((Inputs!$C$5:$C$130=$B43)*Inputs!$D$5:$D$130*(((Inputs!$G$5:$G$130="moeda")+(Inputs!$G$5:$G$130="acoes"))*Inputs!$B$1+((Inputs!$G$5:$G$130&lt;&gt;"moeda")*(Inputs!$G$5:$G$130&lt;&gt;"acoes")))*INDEX(Inputs!$K$5:$AJ$130,0,MATCH(U$2,Inputs!$K$4:$AJ$4,0)))+SUMPRODUCT((Inputs!$E$5:$E$130=$B43)*Inputs!$F$5:$F$130*(((Inputs!$G$5:$G$130="moeda")+(Inputs!$G$5:$G$130="acoes"))*Inputs!$B$1+((Inputs!$G$5:$G$130&lt;&gt;"moeda")*(Inputs!$G$5:$G$130&lt;&gt;"acoes")))*INDEX(Inputs!$K$5:$AJ$130,0,MATCH(U$2,Inputs!$K$4:$AJ$4,0)))))</f>
        <v>11846</v>
      </c>
      <c r="V43" s="6">
        <f>IF(ISNA(MATCH(V$2,Inputs!$K$4:$AJ$4,0)),NA(),IF(SUMPRODUCT((Inputs!$A$5:$A$130=$B43)*ISNUMBER(INDEX(Inputs!$K$5:$AJ$130,0,MATCH(V$2,Inputs!$K$4:$AJ$4,0))))+SUMPRODUCT((Inputs!$C$5:$C$130=$B43)*ISNUMBER(INDEX(Inputs!$K$5:$AJ$130,0,MATCH(V$2,Inputs!$K$4:$AJ$4,0))))+SUMPRODUCT((Inputs!$E$5:$E$130=$B43)*ISNUMBER(INDEX(Inputs!$K$5:$AJ$130,0,MATCH(V$2,Inputs!$K$4:$AJ$4,0))))=0,NA(),SUMPRODUCT((Inputs!$A$5:$A$130=$B43)*Inputs!$B$5:$B$130*(((Inputs!$G$5:$G$130="moeda")+(Inputs!$G$5:$G$130="acoes"))*Inputs!$B$1+((Inputs!$G$5:$G$130&lt;&gt;"moeda")*(Inputs!$G$5:$G$130&lt;&gt;"acoes")))*INDEX(Inputs!$K$5:$AJ$130,0,MATCH(V$2,Inputs!$K$4:$AJ$4,0)))+SUMPRODUCT((Inputs!$C$5:$C$130=$B43)*Inputs!$D$5:$D$130*(((Inputs!$G$5:$G$130="moeda")+(Inputs!$G$5:$G$130="acoes"))*Inputs!$B$1+((Inputs!$G$5:$G$130&lt;&gt;"moeda")*(Inputs!$G$5:$G$130&lt;&gt;"acoes")))*INDEX(Inputs!$K$5:$AJ$130,0,MATCH(V$2,Inputs!$K$4:$AJ$4,0)))+SUMPRODUCT((Inputs!$E$5:$E$130=$B43)*Inputs!$F$5:$F$130*(((Inputs!$G$5:$G$130="moeda")+(Inputs!$G$5:$G$130="acoes"))*Inputs!$B$1+((Inputs!$G$5:$G$130&lt;&gt;"moeda")*(Inputs!$G$5:$G$130&lt;&gt;"acoes")))*INDEX(Inputs!$K$5:$AJ$130,0,MATCH(V$2,Inputs!$K$4:$AJ$4,0)))))</f>
        <v>11261</v>
      </c>
      <c r="W43" s="3">
        <f>V43</f>
        <v>11261</v>
      </c>
      <c r="X43" s="6">
        <f>IF(ISNA(MATCH(X$2,Inputs!$K$4:$AJ$4,0)),NA(),IF(SUMPRODUCT((Inputs!$A$5:$A$130=$B43)*ISNUMBER(INDEX(Inputs!$K$5:$AJ$130,0,MATCH(X$2,Inputs!$K$4:$AJ$4,0))))+SUMPRODUCT((Inputs!$C$5:$C$130=$B43)*ISNUMBER(INDEX(Inputs!$K$5:$AJ$130,0,MATCH(X$2,Inputs!$K$4:$AJ$4,0))))+SUMPRODUCT((Inputs!$E$5:$E$130=$B43)*ISNUMBER(INDEX(Inputs!$K$5:$AJ$130,0,MATCH(X$2,Inputs!$K$4:$AJ$4,0))))=0,NA(),SUMPRODUCT((Inputs!$A$5:$A$130=$B43)*Inputs!$B$5:$B$130*(((Inputs!$G$5:$G$130="moeda")+(Inputs!$G$5:$G$130="acoes"))*Inputs!$B$1+((Inputs!$G$5:$G$130&lt;&gt;"moeda")*(Inputs!$G$5:$G$130&lt;&gt;"acoes")))*INDEX(Inputs!$K$5:$AJ$130,0,MATCH(X$2,Inputs!$K$4:$AJ$4,0)))+SUMPRODUCT((Inputs!$C$5:$C$130=$B43)*Inputs!$D$5:$D$130*(((Inputs!$G$5:$G$130="moeda")+(Inputs!$G$5:$G$130="acoes"))*Inputs!$B$1+((Inputs!$G$5:$G$130&lt;&gt;"moeda")*(Inputs!$G$5:$G$130&lt;&gt;"acoes")))*INDEX(Inputs!$K$5:$AJ$130,0,MATCH(X$2,Inputs!$K$4:$AJ$4,0)))+SUMPRODUCT((Inputs!$E$5:$E$130=$B43)*Inputs!$F$5:$F$130*(((Inputs!$G$5:$G$130="moeda")+(Inputs!$G$5:$G$130="acoes"))*Inputs!$B$1+((Inputs!$G$5:$G$130&lt;&gt;"moeda")*(Inputs!$G$5:$G$130&lt;&gt;"acoes")))*INDEX(Inputs!$K$5:$AJ$130,0,MATCH(X$2,Inputs!$K$4:$AJ$4,0)))))</f>
        <v>11499</v>
      </c>
      <c r="Y43" s="6">
        <f>IF(ISNA(MATCH(Y$2,Inputs!$K$4:$AJ$4,0)),NA(),IF(SUMPRODUCT((Inputs!$A$5:$A$130=$B43)*ISNUMBER(INDEX(Inputs!$K$5:$AJ$130,0,MATCH(Y$2,Inputs!$K$4:$AJ$4,0))))+SUMPRODUCT((Inputs!$C$5:$C$130=$B43)*ISNUMBER(INDEX(Inputs!$K$5:$AJ$130,0,MATCH(Y$2,Inputs!$K$4:$AJ$4,0))))+SUMPRODUCT((Inputs!$E$5:$E$130=$B43)*ISNUMBER(INDEX(Inputs!$K$5:$AJ$130,0,MATCH(Y$2,Inputs!$K$4:$AJ$4,0))))=0,NA(),SUMPRODUCT((Inputs!$A$5:$A$130=$B43)*Inputs!$B$5:$B$130*(((Inputs!$G$5:$G$130="moeda")+(Inputs!$G$5:$G$130="acoes"))*Inputs!$B$1+((Inputs!$G$5:$G$130&lt;&gt;"moeda")*(Inputs!$G$5:$G$130&lt;&gt;"acoes")))*INDEX(Inputs!$K$5:$AJ$130,0,MATCH(Y$2,Inputs!$K$4:$AJ$4,0)))+SUMPRODUCT((Inputs!$C$5:$C$130=$B43)*Inputs!$D$5:$D$130*(((Inputs!$G$5:$G$130="moeda")+(Inputs!$G$5:$G$130="acoes"))*Inputs!$B$1+((Inputs!$G$5:$G$130&lt;&gt;"moeda")*(Inputs!$G$5:$G$130&lt;&gt;"acoes")))*INDEX(Inputs!$K$5:$AJ$130,0,MATCH(Y$2,Inputs!$K$4:$AJ$4,0)))+SUMPRODUCT((Inputs!$E$5:$E$130=$B43)*Inputs!$F$5:$F$130*(((Inputs!$G$5:$G$130="moeda")+(Inputs!$G$5:$G$130="acoes"))*Inputs!$B$1+((Inputs!$G$5:$G$130&lt;&gt;"moeda")*(Inputs!$G$5:$G$130&lt;&gt;"acoes")))*INDEX(Inputs!$K$5:$AJ$130,0,MATCH(Y$2,Inputs!$K$4:$AJ$4,0)))))</f>
        <v>11224</v>
      </c>
      <c r="Z43" s="6">
        <f>IF(ISNA(MATCH(Z$2,Inputs!$K$4:$AJ$4,0)),NA(),IF(SUMPRODUCT((Inputs!$A$5:$A$130=$B43)*ISNUMBER(INDEX(Inputs!$K$5:$AJ$130,0,MATCH(Z$2,Inputs!$K$4:$AJ$4,0))))+SUMPRODUCT((Inputs!$C$5:$C$130=$B43)*ISNUMBER(INDEX(Inputs!$K$5:$AJ$130,0,MATCH(Z$2,Inputs!$K$4:$AJ$4,0))))+SUMPRODUCT((Inputs!$E$5:$E$130=$B43)*ISNUMBER(INDEX(Inputs!$K$5:$AJ$130,0,MATCH(Z$2,Inputs!$K$4:$AJ$4,0))))=0,NA(),SUMPRODUCT((Inputs!$A$5:$A$130=$B43)*Inputs!$B$5:$B$130*(((Inputs!$G$5:$G$130="moeda")+(Inputs!$G$5:$G$130="acoes"))*Inputs!$B$1+((Inputs!$G$5:$G$130&lt;&gt;"moeda")*(Inputs!$G$5:$G$130&lt;&gt;"acoes")))*INDEX(Inputs!$K$5:$AJ$130,0,MATCH(Z$2,Inputs!$K$4:$AJ$4,0)))+SUMPRODUCT((Inputs!$C$5:$C$130=$B43)*Inputs!$D$5:$D$130*(((Inputs!$G$5:$G$130="moeda")+(Inputs!$G$5:$G$130="acoes"))*Inputs!$B$1+((Inputs!$G$5:$G$130&lt;&gt;"moeda")*(Inputs!$G$5:$G$130&lt;&gt;"acoes")))*INDEX(Inputs!$K$5:$AJ$130,0,MATCH(Z$2,Inputs!$K$4:$AJ$4,0)))+SUMPRODUCT((Inputs!$E$5:$E$130=$B43)*Inputs!$F$5:$F$130*(((Inputs!$G$5:$G$130="moeda")+(Inputs!$G$5:$G$130="acoes"))*Inputs!$B$1+((Inputs!$G$5:$G$130&lt;&gt;"moeda")*(Inputs!$G$5:$G$130&lt;&gt;"acoes")))*INDEX(Inputs!$K$5:$AJ$130,0,MATCH(Z$2,Inputs!$K$4:$AJ$4,0)))))</f>
        <v>10650</v>
      </c>
      <c r="AA43" s="6">
        <f>IF(ISNA(MATCH(AA$2,Inputs!$K$4:$AJ$4,0)),NA(),IF(SUMPRODUCT((Inputs!$A$5:$A$130=$B43)*ISNUMBER(INDEX(Inputs!$K$5:$AJ$130,0,MATCH(AA$2,Inputs!$K$4:$AJ$4,0))))+SUMPRODUCT((Inputs!$C$5:$C$130=$B43)*ISNUMBER(INDEX(Inputs!$K$5:$AJ$130,0,MATCH(AA$2,Inputs!$K$4:$AJ$4,0))))+SUMPRODUCT((Inputs!$E$5:$E$130=$B43)*ISNUMBER(INDEX(Inputs!$K$5:$AJ$130,0,MATCH(AA$2,Inputs!$K$4:$AJ$4,0))))=0,NA(),SUMPRODUCT((Inputs!$A$5:$A$130=$B43)*Inputs!$B$5:$B$130*(((Inputs!$G$5:$G$130="moeda")+(Inputs!$G$5:$G$130="acoes"))*Inputs!$B$1+((Inputs!$G$5:$G$130&lt;&gt;"moeda")*(Inputs!$G$5:$G$130&lt;&gt;"acoes")))*INDEX(Inputs!$K$5:$AJ$130,0,MATCH(AA$2,Inputs!$K$4:$AJ$4,0)))+SUMPRODUCT((Inputs!$C$5:$C$130=$B43)*Inputs!$D$5:$D$130*(((Inputs!$G$5:$G$130="moeda")+(Inputs!$G$5:$G$130="acoes"))*Inputs!$B$1+((Inputs!$G$5:$G$130&lt;&gt;"moeda")*(Inputs!$G$5:$G$130&lt;&gt;"acoes")))*INDEX(Inputs!$K$5:$AJ$130,0,MATCH(AA$2,Inputs!$K$4:$AJ$4,0)))+SUMPRODUCT((Inputs!$E$5:$E$130=$B43)*Inputs!$F$5:$F$130*(((Inputs!$G$5:$G$130="moeda")+(Inputs!$G$5:$G$130="acoes"))*Inputs!$B$1+((Inputs!$G$5:$G$130&lt;&gt;"moeda")*(Inputs!$G$5:$G$130&lt;&gt;"acoes")))*INDEX(Inputs!$K$5:$AJ$130,0,MATCH(AA$2,Inputs!$K$4:$AJ$4,0)))))</f>
        <v>10142</v>
      </c>
      <c r="AB43" s="3">
        <f>AA43</f>
        <v>10142</v>
      </c>
      <c r="AC43" s="6">
        <f>IF(ISNA(MATCH(AC$2,Inputs!$K$4:$AJ$4,0)),NA(),IF(SUMPRODUCT((Inputs!$A$5:$A$130=$B43)*ISNUMBER(INDEX(Inputs!$K$5:$AJ$130,0,MATCH(AC$2,Inputs!$K$4:$AJ$4,0))))+SUMPRODUCT((Inputs!$C$5:$C$130=$B43)*ISNUMBER(INDEX(Inputs!$K$5:$AJ$130,0,MATCH(AC$2,Inputs!$K$4:$AJ$4,0))))+SUMPRODUCT((Inputs!$E$5:$E$130=$B43)*ISNUMBER(INDEX(Inputs!$K$5:$AJ$130,0,MATCH(AC$2,Inputs!$K$4:$AJ$4,0))))=0,NA(),SUMPRODUCT((Inputs!$A$5:$A$130=$B43)*Inputs!$B$5:$B$130*(((Inputs!$G$5:$G$130="moeda")+(Inputs!$G$5:$G$130="acoes"))*Inputs!$B$1+((Inputs!$G$5:$G$130&lt;&gt;"moeda")*(Inputs!$G$5:$G$130&lt;&gt;"acoes")))*INDEX(Inputs!$K$5:$AJ$130,0,MATCH(AC$2,Inputs!$K$4:$AJ$4,0)))+SUMPRODUCT((Inputs!$C$5:$C$130=$B43)*Inputs!$D$5:$D$130*(((Inputs!$G$5:$G$130="moeda")+(Inputs!$G$5:$G$130="acoes"))*Inputs!$B$1+((Inputs!$G$5:$G$130&lt;&gt;"moeda")*(Inputs!$G$5:$G$130&lt;&gt;"acoes")))*INDEX(Inputs!$K$5:$AJ$130,0,MATCH(AC$2,Inputs!$K$4:$AJ$4,0)))+SUMPRODUCT((Inputs!$E$5:$E$130=$B43)*Inputs!$F$5:$F$130*(((Inputs!$G$5:$G$130="moeda")+(Inputs!$G$5:$G$130="acoes"))*Inputs!$B$1+((Inputs!$G$5:$G$130&lt;&gt;"moeda")*(Inputs!$G$5:$G$130&lt;&gt;"acoes")))*INDEX(Inputs!$K$5:$AJ$130,0,MATCH(AC$2,Inputs!$K$4:$AJ$4,0)))))</f>
        <v>10299</v>
      </c>
      <c r="AD43" s="6">
        <f>IF(ISNA(MATCH(AD$2,Inputs!$K$4:$AJ$4,0)),NA(),IF(SUMPRODUCT((Inputs!$A$5:$A$130=$B43)*ISNUMBER(INDEX(Inputs!$K$5:$AJ$130,0,MATCH(AD$2,Inputs!$K$4:$AJ$4,0))))+SUMPRODUCT((Inputs!$C$5:$C$130=$B43)*ISNUMBER(INDEX(Inputs!$K$5:$AJ$130,0,MATCH(AD$2,Inputs!$K$4:$AJ$4,0))))+SUMPRODUCT((Inputs!$E$5:$E$130=$B43)*ISNUMBER(INDEX(Inputs!$K$5:$AJ$130,0,MATCH(AD$2,Inputs!$K$4:$AJ$4,0))))=0,NA(),SUMPRODUCT((Inputs!$A$5:$A$130=$B43)*Inputs!$B$5:$B$130*(((Inputs!$G$5:$G$130="moeda")+(Inputs!$G$5:$G$130="acoes"))*Inputs!$B$1+((Inputs!$G$5:$G$130&lt;&gt;"moeda")*(Inputs!$G$5:$G$130&lt;&gt;"acoes")))*INDEX(Inputs!$K$5:$AJ$130,0,MATCH(AD$2,Inputs!$K$4:$AJ$4,0)))+SUMPRODUCT((Inputs!$C$5:$C$130=$B43)*Inputs!$D$5:$D$130*(((Inputs!$G$5:$G$130="moeda")+(Inputs!$G$5:$G$130="acoes"))*Inputs!$B$1+((Inputs!$G$5:$G$130&lt;&gt;"moeda")*(Inputs!$G$5:$G$130&lt;&gt;"acoes")))*INDEX(Inputs!$K$5:$AJ$130,0,MATCH(AD$2,Inputs!$K$4:$AJ$4,0)))+SUMPRODUCT((Inputs!$E$5:$E$130=$B43)*Inputs!$F$5:$F$130*(((Inputs!$G$5:$G$130="moeda")+(Inputs!$G$5:$G$130="acoes"))*Inputs!$B$1+((Inputs!$G$5:$G$130&lt;&gt;"moeda")*(Inputs!$G$5:$G$130&lt;&gt;"acoes")))*INDEX(Inputs!$K$5:$AJ$130,0,MATCH(AD$2,Inputs!$K$4:$AJ$4,0)))))</f>
        <v>9852</v>
      </c>
      <c r="AE43" s="6" t="e">
        <f>IF(ISNA(MATCH(AE$2,Inputs!$K$4:$AJ$4,0)),NA(),IF(SUMPRODUCT((Inputs!$A$5:$A$130=$B43)*ISNUMBER(INDEX(Inputs!$K$5:$AJ$130,0,MATCH(AE$2,Inputs!$K$4:$AJ$4,0))))+SUMPRODUCT((Inputs!$C$5:$C$130=$B43)*ISNUMBER(INDEX(Inputs!$K$5:$AJ$130,0,MATCH(AE$2,Inputs!$K$4:$AJ$4,0))))+SUMPRODUCT((Inputs!$E$5:$E$130=$B43)*ISNUMBER(INDEX(Inputs!$K$5:$AJ$130,0,MATCH(AE$2,Inputs!$K$4:$AJ$4,0))))=0,NA(),SUMPRODUCT((Inputs!$A$5:$A$130=$B43)*Inputs!$B$5:$B$130*(((Inputs!$G$5:$G$130="moeda")+(Inputs!$G$5:$G$130="acoes"))*Inputs!$B$1+((Inputs!$G$5:$G$130&lt;&gt;"moeda")*(Inputs!$G$5:$G$130&lt;&gt;"acoes")))*INDEX(Inputs!$K$5:$AJ$130,0,MATCH(AE$2,Inputs!$K$4:$AJ$4,0)))+SUMPRODUCT((Inputs!$C$5:$C$130=$B43)*Inputs!$D$5:$D$130*(((Inputs!$G$5:$G$130="moeda")+(Inputs!$G$5:$G$130="acoes"))*Inputs!$B$1+((Inputs!$G$5:$G$130&lt;&gt;"moeda")*(Inputs!$G$5:$G$130&lt;&gt;"acoes")))*INDEX(Inputs!$K$5:$AJ$130,0,MATCH(AE$2,Inputs!$K$4:$AJ$4,0)))+SUMPRODUCT((Inputs!$E$5:$E$130=$B43)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3" s="6" t="e">
        <f>IF(ISNA(MATCH(AF$2,Inputs!$K$4:$AJ$4,0)),NA(),IF(SUMPRODUCT((Inputs!$A$5:$A$130=$B43)*ISNUMBER(INDEX(Inputs!$K$5:$AJ$130,0,MATCH(AF$2,Inputs!$K$4:$AJ$4,0))))+SUMPRODUCT((Inputs!$C$5:$C$130=$B43)*ISNUMBER(INDEX(Inputs!$K$5:$AJ$130,0,MATCH(AF$2,Inputs!$K$4:$AJ$4,0))))+SUMPRODUCT((Inputs!$E$5:$E$130=$B43)*ISNUMBER(INDEX(Inputs!$K$5:$AJ$130,0,MATCH(AF$2,Inputs!$K$4:$AJ$4,0))))=0,NA(),SUMPRODUCT((Inputs!$A$5:$A$130=$B43)*Inputs!$B$5:$B$130*(((Inputs!$G$5:$G$130="moeda")+(Inputs!$G$5:$G$130="acoes"))*Inputs!$B$1+((Inputs!$G$5:$G$130&lt;&gt;"moeda")*(Inputs!$G$5:$G$130&lt;&gt;"acoes")))*INDEX(Inputs!$K$5:$AJ$130,0,MATCH(AF$2,Inputs!$K$4:$AJ$4,0)))+SUMPRODUCT((Inputs!$C$5:$C$130=$B43)*Inputs!$D$5:$D$130*(((Inputs!$G$5:$G$130="moeda")+(Inputs!$G$5:$G$130="acoes"))*Inputs!$B$1+((Inputs!$G$5:$G$130&lt;&gt;"moeda")*(Inputs!$G$5:$G$130&lt;&gt;"acoes")))*INDEX(Inputs!$K$5:$AJ$130,0,MATCH(AF$2,Inputs!$K$4:$AJ$4,0)))+SUMPRODUCT((Inputs!$E$5:$E$130=$B43)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3" s="3" t="e">
        <f>AF43</f>
        <v>#N/A</v>
      </c>
      <c r="AH43" s="6">
        <f>IF(ISNA(MATCH(AH$2,Inputs!$K$4:$AJ$4,0)),NA(),IF(SUMPRODUCT((Inputs!$A$5:$A$130=$B43)*ISNUMBER(INDEX(Inputs!$K$5:$AJ$130,0,MATCH(AH$2,Inputs!$K$4:$AJ$4,0))))+SUMPRODUCT((Inputs!$C$5:$C$130=$B43)*ISNUMBER(INDEX(Inputs!$K$5:$AJ$130,0,MATCH(AH$2,Inputs!$K$4:$AJ$4,0))))+SUMPRODUCT((Inputs!$E$5:$E$130=$B43)*ISNUMBER(INDEX(Inputs!$K$5:$AJ$130,0,MATCH(AH$2,Inputs!$K$4:$AJ$4,0))))=0,NA(),SUMPRODUCT((Inputs!$A$5:$A$130=$B43)*Inputs!$B$5:$B$130*(((Inputs!$G$5:$G$130="moeda")+(Inputs!$G$5:$G$130="acoes"))*Inputs!$B$1+((Inputs!$G$5:$G$130&lt;&gt;"moeda")*(Inputs!$G$5:$G$130&lt;&gt;"acoes")))*INDEX(Inputs!$K$5:$AJ$130,0,MATCH(AH$2,Inputs!$K$4:$AJ$4,0)))+SUMPRODUCT((Inputs!$C$5:$C$130=$B43)*Inputs!$D$5:$D$130*(((Inputs!$G$5:$G$130="moeda")+(Inputs!$G$5:$G$130="acoes"))*Inputs!$B$1+((Inputs!$G$5:$G$130&lt;&gt;"moeda")*(Inputs!$G$5:$G$130&lt;&gt;"acoes")))*INDEX(Inputs!$K$5:$AJ$130,0,MATCH(AH$2,Inputs!$K$4:$AJ$4,0)))+SUMPRODUCT((Inputs!$E$5:$E$130=$B43)*Inputs!$F$5:$F$130*(((Inputs!$G$5:$G$130="moeda")+(Inputs!$G$5:$G$130="acoes"))*Inputs!$B$1+((Inputs!$G$5:$G$130&lt;&gt;"moeda")*(Inputs!$G$5:$G$130&lt;&gt;"acoes")))*INDEX(Inputs!$K$5:$AJ$130,0,MATCH(AH$2,Inputs!$K$4:$AJ$4,0)))))</f>
        <v>7355</v>
      </c>
      <c r="AI43" s="6">
        <f>IF(ISNA(MATCH(AI$2,Inputs!$K$4:$AJ$4,0)),NA(),IF(SUMPRODUCT((Inputs!$A$5:$A$130=$B43)*ISNUMBER(INDEX(Inputs!$K$5:$AJ$130,0,MATCH(AI$2,Inputs!$K$4:$AJ$4,0))))+SUMPRODUCT((Inputs!$C$5:$C$130=$B43)*ISNUMBER(INDEX(Inputs!$K$5:$AJ$130,0,MATCH(AI$2,Inputs!$K$4:$AJ$4,0))))+SUMPRODUCT((Inputs!$E$5:$E$130=$B43)*ISNUMBER(INDEX(Inputs!$K$5:$AJ$130,0,MATCH(AI$2,Inputs!$K$4:$AJ$4,0))))=0,NA(),SUMPRODUCT((Inputs!$A$5:$A$130=$B43)*Inputs!$B$5:$B$130*(((Inputs!$G$5:$G$130="moeda")+(Inputs!$G$5:$G$130="acoes"))*Inputs!$B$1+((Inputs!$G$5:$G$130&lt;&gt;"moeda")*(Inputs!$G$5:$G$130&lt;&gt;"acoes")))*INDEX(Inputs!$K$5:$AJ$130,0,MATCH(AI$2,Inputs!$K$4:$AJ$4,0)))+SUMPRODUCT((Inputs!$C$5:$C$130=$B43)*Inputs!$D$5:$D$130*(((Inputs!$G$5:$G$130="moeda")+(Inputs!$G$5:$G$130="acoes"))*Inputs!$B$1+((Inputs!$G$5:$G$130&lt;&gt;"moeda")*(Inputs!$G$5:$G$130&lt;&gt;"acoes")))*INDEX(Inputs!$K$5:$AJ$130,0,MATCH(AI$2,Inputs!$K$4:$AJ$4,0)))+SUMPRODUCT((Inputs!$E$5:$E$130=$B43)*Inputs!$F$5:$F$130*(((Inputs!$G$5:$G$130="moeda")+(Inputs!$G$5:$G$130="acoes"))*Inputs!$B$1+((Inputs!$G$5:$G$130&lt;&gt;"moeda")*(Inputs!$G$5:$G$130&lt;&gt;"acoes")))*INDEX(Inputs!$K$5:$AJ$130,0,MATCH(AI$2,Inputs!$K$4:$AJ$4,0)))))</f>
        <v>7829</v>
      </c>
      <c r="AJ43" s="6">
        <f>IF(ISNA(MATCH(AJ$2,Inputs!$K$4:$AJ$4,0)),NA(),IF(SUMPRODUCT((Inputs!$A$5:$A$130=$B43)*ISNUMBER(INDEX(Inputs!$K$5:$AJ$130,0,MATCH(AJ$2,Inputs!$K$4:$AJ$4,0))))+SUMPRODUCT((Inputs!$C$5:$C$130=$B43)*ISNUMBER(INDEX(Inputs!$K$5:$AJ$130,0,MATCH(AJ$2,Inputs!$K$4:$AJ$4,0))))+SUMPRODUCT((Inputs!$E$5:$E$130=$B43)*ISNUMBER(INDEX(Inputs!$K$5:$AJ$130,0,MATCH(AJ$2,Inputs!$K$4:$AJ$4,0))))=0,NA(),SUMPRODUCT((Inputs!$A$5:$A$130=$B43)*Inputs!$B$5:$B$130*(((Inputs!$G$5:$G$130="moeda")+(Inputs!$G$5:$G$130="acoes"))*Inputs!$B$1+((Inputs!$G$5:$G$130&lt;&gt;"moeda")*(Inputs!$G$5:$G$130&lt;&gt;"acoes")))*INDEX(Inputs!$K$5:$AJ$130,0,MATCH(AJ$2,Inputs!$K$4:$AJ$4,0)))+SUMPRODUCT((Inputs!$C$5:$C$130=$B43)*Inputs!$D$5:$D$130*(((Inputs!$G$5:$G$130="moeda")+(Inputs!$G$5:$G$130="acoes"))*Inputs!$B$1+((Inputs!$G$5:$G$130&lt;&gt;"moeda")*(Inputs!$G$5:$G$130&lt;&gt;"acoes")))*INDEX(Inputs!$K$5:$AJ$130,0,MATCH(AJ$2,Inputs!$K$4:$AJ$4,0)))+SUMPRODUCT((Inputs!$E$5:$E$130=$B43)*Inputs!$F$5:$F$130*(((Inputs!$G$5:$G$130="moeda")+(Inputs!$G$5:$G$130="acoes"))*Inputs!$B$1+((Inputs!$G$5:$G$130&lt;&gt;"moeda")*(Inputs!$G$5:$G$130&lt;&gt;"acoes")))*INDEX(Inputs!$K$5:$AJ$130,0,MATCH(AJ$2,Inputs!$K$4:$AJ$4,0)))))</f>
        <v>8302</v>
      </c>
      <c r="AK43" s="6">
        <f>IF(ISNA(MATCH(AK$2,Inputs!$K$4:$AJ$4,0)),NA(),IF(SUMPRODUCT((Inputs!$A$5:$A$130=$B43)*ISNUMBER(INDEX(Inputs!$K$5:$AJ$130,0,MATCH(AK$2,Inputs!$K$4:$AJ$4,0))))+SUMPRODUCT((Inputs!$C$5:$C$130=$B43)*ISNUMBER(INDEX(Inputs!$K$5:$AJ$130,0,MATCH(AK$2,Inputs!$K$4:$AJ$4,0))))+SUMPRODUCT((Inputs!$E$5:$E$130=$B43)*ISNUMBER(INDEX(Inputs!$K$5:$AJ$130,0,MATCH(AK$2,Inputs!$K$4:$AJ$4,0))))=0,NA(),SUMPRODUCT((Inputs!$A$5:$A$130=$B43)*Inputs!$B$5:$B$130*(((Inputs!$G$5:$G$130="moeda")+(Inputs!$G$5:$G$130="acoes"))*Inputs!$B$1+((Inputs!$G$5:$G$130&lt;&gt;"moeda")*(Inputs!$G$5:$G$130&lt;&gt;"acoes")))*INDEX(Inputs!$K$5:$AJ$130,0,MATCH(AK$2,Inputs!$K$4:$AJ$4,0)))+SUMPRODUCT((Inputs!$C$5:$C$130=$B43)*Inputs!$D$5:$D$130*(((Inputs!$G$5:$G$130="moeda")+(Inputs!$G$5:$G$130="acoes"))*Inputs!$B$1+((Inputs!$G$5:$G$130&lt;&gt;"moeda")*(Inputs!$G$5:$G$130&lt;&gt;"acoes")))*INDEX(Inputs!$K$5:$AJ$130,0,MATCH(AK$2,Inputs!$K$4:$AJ$4,0)))+SUMPRODUCT((Inputs!$E$5:$E$130=$B43)*Inputs!$F$5:$F$130*(((Inputs!$G$5:$G$130="moeda")+(Inputs!$G$5:$G$130="acoes"))*Inputs!$B$1+((Inputs!$G$5:$G$130&lt;&gt;"moeda")*(Inputs!$G$5:$G$130&lt;&gt;"acoes")))*INDEX(Inputs!$K$5:$AJ$130,0,MATCH(AK$2,Inputs!$K$4:$AJ$4,0)))))</f>
        <v>8722</v>
      </c>
      <c r="AL43" s="3">
        <f>AK43</f>
        <v>8722</v>
      </c>
    </row>
    <row r="44">
      <c r="B44" s="46" t="n">
        <v>38</v>
      </c>
      <c r="C44" s="26" t="inlineStr">
        <is>
          <t>Treasury stock (contra account)</t>
        </is>
      </c>
      <c r="D44" s="6">
        <f>IF(ISNA(MATCH(D$2,Inputs!$K$4:$AJ$4,0)),NA(),IF(SUMPRODUCT((Inputs!$A$5:$A$130=$B44)*ISNUMBER(INDEX(Inputs!$K$5:$AJ$130,0,MATCH(D$2,Inputs!$K$4:$AJ$4,0))))+SUMPRODUCT((Inputs!$C$5:$C$130=$B44)*ISNUMBER(INDEX(Inputs!$K$5:$AJ$130,0,MATCH(D$2,Inputs!$K$4:$AJ$4,0))))+SUMPRODUCT((Inputs!$E$5:$E$130=$B44)*ISNUMBER(INDEX(Inputs!$K$5:$AJ$130,0,MATCH(D$2,Inputs!$K$4:$AJ$4,0))))=0,NA(),SUMPRODUCT((Inputs!$A$5:$A$130=$B44)*Inputs!$B$5:$B$130*(((Inputs!$G$5:$G$130="moeda")+(Inputs!$G$5:$G$130="acoes"))*Inputs!$B$1+((Inputs!$G$5:$G$130&lt;&gt;"moeda")*(Inputs!$G$5:$G$130&lt;&gt;"acoes")))*INDEX(Inputs!$K$5:$AJ$130,0,MATCH(D$2,Inputs!$K$4:$AJ$4,0)))+SUMPRODUCT((Inputs!$C$5:$C$130=$B44)*Inputs!$D$5:$D$130*(((Inputs!$G$5:$G$130="moeda")+(Inputs!$G$5:$G$130="acoes"))*Inputs!$B$1+((Inputs!$G$5:$G$130&lt;&gt;"moeda")*(Inputs!$G$5:$G$130&lt;&gt;"acoes")))*INDEX(Inputs!$K$5:$AJ$130,0,MATCH(D$2,Inputs!$K$4:$AJ$4,0)))+SUMPRODUCT((Inputs!$E$5:$E$130=$B44)*Inputs!$F$5:$F$130*(((Inputs!$G$5:$G$130="moeda")+(Inputs!$G$5:$G$130="acoes"))*Inputs!$B$1+((Inputs!$G$5:$G$130&lt;&gt;"moeda")*(Inputs!$G$5:$G$130&lt;&gt;"acoes")))*INDEX(Inputs!$K$5:$AJ$130,0,MATCH(D$2,Inputs!$K$4:$AJ$4,0)))))</f>
        <v>-11242</v>
      </c>
      <c r="E44" s="6">
        <f>IF(ISNA(MATCH(E$2,Inputs!$K$4:$AJ$4,0)),NA(),IF(SUMPRODUCT((Inputs!$A$5:$A$130=$B44)*ISNUMBER(INDEX(Inputs!$K$5:$AJ$130,0,MATCH(E$2,Inputs!$K$4:$AJ$4,0))))+SUMPRODUCT((Inputs!$C$5:$C$130=$B44)*ISNUMBER(INDEX(Inputs!$K$5:$AJ$130,0,MATCH(E$2,Inputs!$K$4:$AJ$4,0))))+SUMPRODUCT((Inputs!$E$5:$E$130=$B44)*ISNUMBER(INDEX(Inputs!$K$5:$AJ$130,0,MATCH(E$2,Inputs!$K$4:$AJ$4,0))))=0,NA(),SUMPRODUCT((Inputs!$A$5:$A$130=$B44)*Inputs!$B$5:$B$130*(((Inputs!$G$5:$G$130="moeda")+(Inputs!$G$5:$G$130="acoes"))*Inputs!$B$1+((Inputs!$G$5:$G$130&lt;&gt;"moeda")*(Inputs!$G$5:$G$130&lt;&gt;"acoes")))*INDEX(Inputs!$K$5:$AJ$130,0,MATCH(E$2,Inputs!$K$4:$AJ$4,0)))+SUMPRODUCT((Inputs!$C$5:$C$130=$B44)*Inputs!$D$5:$D$130*(((Inputs!$G$5:$G$130="moeda")+(Inputs!$G$5:$G$130="acoes"))*Inputs!$B$1+((Inputs!$G$5:$G$130&lt;&gt;"moeda")*(Inputs!$G$5:$G$130&lt;&gt;"acoes")))*INDEX(Inputs!$K$5:$AJ$130,0,MATCH(E$2,Inputs!$K$4:$AJ$4,0)))+SUMPRODUCT((Inputs!$E$5:$E$130=$B44)*Inputs!$F$5:$F$130*(((Inputs!$G$5:$G$130="moeda")+(Inputs!$G$5:$G$130="acoes"))*Inputs!$B$1+((Inputs!$G$5:$G$130&lt;&gt;"moeda")*(Inputs!$G$5:$G$130&lt;&gt;"acoes")))*INDEX(Inputs!$K$5:$AJ$130,0,MATCH(E$2,Inputs!$K$4:$AJ$4,0)))))</f>
        <v>-11604</v>
      </c>
      <c r="F44" s="6">
        <f>IF(ISNA(MATCH(F$2,Inputs!$K$4:$AJ$4,0)),NA(),IF(SUMPRODUCT((Inputs!$A$5:$A$130=$B44)*ISNUMBER(INDEX(Inputs!$K$5:$AJ$130,0,MATCH(F$2,Inputs!$K$4:$AJ$4,0))))+SUMPRODUCT((Inputs!$C$5:$C$130=$B44)*ISNUMBER(INDEX(Inputs!$K$5:$AJ$130,0,MATCH(F$2,Inputs!$K$4:$AJ$4,0))))+SUMPRODUCT((Inputs!$E$5:$E$130=$B44)*ISNUMBER(INDEX(Inputs!$K$5:$AJ$130,0,MATCH(F$2,Inputs!$K$4:$AJ$4,0))))=0,NA(),SUMPRODUCT((Inputs!$A$5:$A$130=$B44)*Inputs!$B$5:$B$130*(((Inputs!$G$5:$G$130="moeda")+(Inputs!$G$5:$G$130="acoes"))*Inputs!$B$1+((Inputs!$G$5:$G$130&lt;&gt;"moeda")*(Inputs!$G$5:$G$130&lt;&gt;"acoes")))*INDEX(Inputs!$K$5:$AJ$130,0,MATCH(F$2,Inputs!$K$4:$AJ$4,0)))+SUMPRODUCT((Inputs!$C$5:$C$130=$B44)*Inputs!$D$5:$D$130*(((Inputs!$G$5:$G$130="moeda")+(Inputs!$G$5:$G$130="acoes"))*Inputs!$B$1+((Inputs!$G$5:$G$130&lt;&gt;"moeda")*(Inputs!$G$5:$G$130&lt;&gt;"acoes")))*INDEX(Inputs!$K$5:$AJ$130,0,MATCH(F$2,Inputs!$K$4:$AJ$4,0)))+SUMPRODUCT((Inputs!$E$5:$E$130=$B44)*Inputs!$F$5:$F$130*(((Inputs!$G$5:$G$130="moeda")+(Inputs!$G$5:$G$130="acoes"))*Inputs!$B$1+((Inputs!$G$5:$G$130&lt;&gt;"moeda")*(Inputs!$G$5:$G$130&lt;&gt;"acoes")))*INDEX(Inputs!$K$5:$AJ$130,0,MATCH(F$2,Inputs!$K$4:$AJ$4,0)))))</f>
        <v>-12038</v>
      </c>
      <c r="G44" s="6">
        <f>IF(ISNA(MATCH(G$2,Inputs!$K$4:$AJ$4,0)),NA(),IF(SUMPRODUCT((Inputs!$A$5:$A$130=$B44)*ISNUMBER(INDEX(Inputs!$K$5:$AJ$130,0,MATCH(G$2,Inputs!$K$4:$AJ$4,0))))+SUMPRODUCT((Inputs!$C$5:$C$130=$B44)*ISNUMBER(INDEX(Inputs!$K$5:$AJ$130,0,MATCH(G$2,Inputs!$K$4:$AJ$4,0))))+SUMPRODUCT((Inputs!$E$5:$E$130=$B44)*ISNUMBER(INDEX(Inputs!$K$5:$AJ$130,0,MATCH(G$2,Inputs!$K$4:$AJ$4,0))))=0,NA(),SUMPRODUCT((Inputs!$A$5:$A$130=$B44)*Inputs!$B$5:$B$130*(((Inputs!$G$5:$G$130="moeda")+(Inputs!$G$5:$G$130="acoes"))*Inputs!$B$1+((Inputs!$G$5:$G$130&lt;&gt;"moeda")*(Inputs!$G$5:$G$130&lt;&gt;"acoes")))*INDEX(Inputs!$K$5:$AJ$130,0,MATCH(G$2,Inputs!$K$4:$AJ$4,0)))+SUMPRODUCT((Inputs!$C$5:$C$130=$B44)*Inputs!$D$5:$D$130*(((Inputs!$G$5:$G$130="moeda")+(Inputs!$G$5:$G$130="acoes"))*Inputs!$B$1+((Inputs!$G$5:$G$130&lt;&gt;"moeda")*(Inputs!$G$5:$G$130&lt;&gt;"acoes")))*INDEX(Inputs!$K$5:$AJ$130,0,MATCH(G$2,Inputs!$K$4:$AJ$4,0)))+SUMPRODUCT((Inputs!$E$5:$E$130=$B44)*Inputs!$F$5:$F$130*(((Inputs!$G$5:$G$130="moeda")+(Inputs!$G$5:$G$130="acoes"))*Inputs!$B$1+((Inputs!$G$5:$G$130&lt;&gt;"moeda")*(Inputs!$G$5:$G$130&lt;&gt;"acoes")))*INDEX(Inputs!$K$5:$AJ$130,0,MATCH(G$2,Inputs!$K$4:$AJ$4,0)))))</f>
        <v>0</v>
      </c>
      <c r="H44" s="3">
        <f>G44</f>
        <v>0</v>
      </c>
      <c r="I44" s="6">
        <f>IF(ISNA(MATCH(I$2,Inputs!$K$4:$AJ$4,0)),NA(),IF(SUMPRODUCT((Inputs!$A$5:$A$130=$B44)*ISNUMBER(INDEX(Inputs!$K$5:$AJ$130,0,MATCH(I$2,Inputs!$K$4:$AJ$4,0))))+SUMPRODUCT((Inputs!$C$5:$C$130=$B44)*ISNUMBER(INDEX(Inputs!$K$5:$AJ$130,0,MATCH(I$2,Inputs!$K$4:$AJ$4,0))))+SUMPRODUCT((Inputs!$E$5:$E$130=$B44)*ISNUMBER(INDEX(Inputs!$K$5:$AJ$130,0,MATCH(I$2,Inputs!$K$4:$AJ$4,0))))=0,NA(),SUMPRODUCT((Inputs!$A$5:$A$130=$B44)*Inputs!$B$5:$B$130*(((Inputs!$G$5:$G$130="moeda")+(Inputs!$G$5:$G$130="acoes"))*Inputs!$B$1+((Inputs!$G$5:$G$130&lt;&gt;"moeda")*(Inputs!$G$5:$G$130&lt;&gt;"acoes")))*INDEX(Inputs!$K$5:$AJ$130,0,MATCH(I$2,Inputs!$K$4:$AJ$4,0)))+SUMPRODUCT((Inputs!$C$5:$C$130=$B44)*Inputs!$D$5:$D$130*(((Inputs!$G$5:$G$130="moeda")+(Inputs!$G$5:$G$130="acoes"))*Inputs!$B$1+((Inputs!$G$5:$G$130&lt;&gt;"moeda")*(Inputs!$G$5:$G$130&lt;&gt;"acoes")))*INDEX(Inputs!$K$5:$AJ$130,0,MATCH(I$2,Inputs!$K$4:$AJ$4,0)))+SUMPRODUCT((Inputs!$E$5:$E$130=$B44)*Inputs!$F$5:$F$130*(((Inputs!$G$5:$G$130="moeda")+(Inputs!$G$5:$G$130="acoes"))*Inputs!$B$1+((Inputs!$G$5:$G$130&lt;&gt;"moeda")*(Inputs!$G$5:$G$130&lt;&gt;"acoes")))*INDEX(Inputs!$K$5:$AJ$130,0,MATCH(I$2,Inputs!$K$4:$AJ$4,0)))))</f>
        <v>0</v>
      </c>
      <c r="J44" s="6">
        <f>IF(ISNA(MATCH(J$2,Inputs!$K$4:$AJ$4,0)),NA(),IF(SUMPRODUCT((Inputs!$A$5:$A$130=$B44)*ISNUMBER(INDEX(Inputs!$K$5:$AJ$130,0,MATCH(J$2,Inputs!$K$4:$AJ$4,0))))+SUMPRODUCT((Inputs!$C$5:$C$130=$B44)*ISNUMBER(INDEX(Inputs!$K$5:$AJ$130,0,MATCH(J$2,Inputs!$K$4:$AJ$4,0))))+SUMPRODUCT((Inputs!$E$5:$E$130=$B44)*ISNUMBER(INDEX(Inputs!$K$5:$AJ$130,0,MATCH(J$2,Inputs!$K$4:$AJ$4,0))))=0,NA(),SUMPRODUCT((Inputs!$A$5:$A$130=$B44)*Inputs!$B$5:$B$130*(((Inputs!$G$5:$G$130="moeda")+(Inputs!$G$5:$G$130="acoes"))*Inputs!$B$1+((Inputs!$G$5:$G$130&lt;&gt;"moeda")*(Inputs!$G$5:$G$130&lt;&gt;"acoes")))*INDEX(Inputs!$K$5:$AJ$130,0,MATCH(J$2,Inputs!$K$4:$AJ$4,0)))+SUMPRODUCT((Inputs!$C$5:$C$130=$B44)*Inputs!$D$5:$D$130*(((Inputs!$G$5:$G$130="moeda")+(Inputs!$G$5:$G$130="acoes"))*Inputs!$B$1+((Inputs!$G$5:$G$130&lt;&gt;"moeda")*(Inputs!$G$5:$G$130&lt;&gt;"acoes")))*INDEX(Inputs!$K$5:$AJ$130,0,MATCH(J$2,Inputs!$K$4:$AJ$4,0)))+SUMPRODUCT((Inputs!$E$5:$E$130=$B44)*Inputs!$F$5:$F$130*(((Inputs!$G$5:$G$130="moeda")+(Inputs!$G$5:$G$130="acoes"))*Inputs!$B$1+((Inputs!$G$5:$G$130&lt;&gt;"moeda")*(Inputs!$G$5:$G$130&lt;&gt;"acoes")))*INDEX(Inputs!$K$5:$AJ$130,0,MATCH(J$2,Inputs!$K$4:$AJ$4,0)))))</f>
        <v>0</v>
      </c>
      <c r="K44" s="6">
        <f>IF(ISNA(MATCH(K$2,Inputs!$K$4:$AJ$4,0)),NA(),IF(SUMPRODUCT((Inputs!$A$5:$A$130=$B44)*ISNUMBER(INDEX(Inputs!$K$5:$AJ$130,0,MATCH(K$2,Inputs!$K$4:$AJ$4,0))))+SUMPRODUCT((Inputs!$C$5:$C$130=$B44)*ISNUMBER(INDEX(Inputs!$K$5:$AJ$130,0,MATCH(K$2,Inputs!$K$4:$AJ$4,0))))+SUMPRODUCT((Inputs!$E$5:$E$130=$B44)*ISNUMBER(INDEX(Inputs!$K$5:$AJ$130,0,MATCH(K$2,Inputs!$K$4:$AJ$4,0))))=0,NA(),SUMPRODUCT((Inputs!$A$5:$A$130=$B44)*Inputs!$B$5:$B$130*(((Inputs!$G$5:$G$130="moeda")+(Inputs!$G$5:$G$130="acoes"))*Inputs!$B$1+((Inputs!$G$5:$G$130&lt;&gt;"moeda")*(Inputs!$G$5:$G$130&lt;&gt;"acoes")))*INDEX(Inputs!$K$5:$AJ$130,0,MATCH(K$2,Inputs!$K$4:$AJ$4,0)))+SUMPRODUCT((Inputs!$C$5:$C$130=$B44)*Inputs!$D$5:$D$130*(((Inputs!$G$5:$G$130="moeda")+(Inputs!$G$5:$G$130="acoes"))*Inputs!$B$1+((Inputs!$G$5:$G$130&lt;&gt;"moeda")*(Inputs!$G$5:$G$130&lt;&gt;"acoes")))*INDEX(Inputs!$K$5:$AJ$130,0,MATCH(K$2,Inputs!$K$4:$AJ$4,0)))+SUMPRODUCT((Inputs!$E$5:$E$130=$B44)*Inputs!$F$5:$F$130*(((Inputs!$G$5:$G$130="moeda")+(Inputs!$G$5:$G$130="acoes"))*Inputs!$B$1+((Inputs!$G$5:$G$130&lt;&gt;"moeda")*(Inputs!$G$5:$G$130&lt;&gt;"acoes")))*INDEX(Inputs!$K$5:$AJ$130,0,MATCH(K$2,Inputs!$K$4:$AJ$4,0)))))</f>
        <v>0</v>
      </c>
      <c r="L44" s="6">
        <f>IF(ISNA(MATCH(L$2,Inputs!$K$4:$AJ$4,0)),NA(),IF(SUMPRODUCT((Inputs!$A$5:$A$130=$B44)*ISNUMBER(INDEX(Inputs!$K$5:$AJ$130,0,MATCH(L$2,Inputs!$K$4:$AJ$4,0))))+SUMPRODUCT((Inputs!$C$5:$C$130=$B44)*ISNUMBER(INDEX(Inputs!$K$5:$AJ$130,0,MATCH(L$2,Inputs!$K$4:$AJ$4,0))))+SUMPRODUCT((Inputs!$E$5:$E$130=$B44)*ISNUMBER(INDEX(Inputs!$K$5:$AJ$130,0,MATCH(L$2,Inputs!$K$4:$AJ$4,0))))=0,NA(),SUMPRODUCT((Inputs!$A$5:$A$130=$B44)*Inputs!$B$5:$B$130*(((Inputs!$G$5:$G$130="moeda")+(Inputs!$G$5:$G$130="acoes"))*Inputs!$B$1+((Inputs!$G$5:$G$130&lt;&gt;"moeda")*(Inputs!$G$5:$G$130&lt;&gt;"acoes")))*INDEX(Inputs!$K$5:$AJ$130,0,MATCH(L$2,Inputs!$K$4:$AJ$4,0)))+SUMPRODUCT((Inputs!$C$5:$C$130=$B44)*Inputs!$D$5:$D$130*(((Inputs!$G$5:$G$130="moeda")+(Inputs!$G$5:$G$130="acoes"))*Inputs!$B$1+((Inputs!$G$5:$G$130&lt;&gt;"moeda")*(Inputs!$G$5:$G$130&lt;&gt;"acoes")))*INDEX(Inputs!$K$5:$AJ$130,0,MATCH(L$2,Inputs!$K$4:$AJ$4,0)))+SUMPRODUCT((Inputs!$E$5:$E$130=$B44)*Inputs!$F$5:$F$130*(((Inputs!$G$5:$G$130="moeda")+(Inputs!$G$5:$G$130="acoes"))*Inputs!$B$1+((Inputs!$G$5:$G$130&lt;&gt;"moeda")*(Inputs!$G$5:$G$130&lt;&gt;"acoes")))*INDEX(Inputs!$K$5:$AJ$130,0,MATCH(L$2,Inputs!$K$4:$AJ$4,0)))))</f>
        <v>0</v>
      </c>
      <c r="M44" s="3">
        <f>L44</f>
        <v>0</v>
      </c>
      <c r="N44" s="6">
        <f>IF(ISNA(MATCH(N$2,Inputs!$K$4:$AJ$4,0)),NA(),IF(SUMPRODUCT((Inputs!$A$5:$A$130=$B44)*ISNUMBER(INDEX(Inputs!$K$5:$AJ$130,0,MATCH(N$2,Inputs!$K$4:$AJ$4,0))))+SUMPRODUCT((Inputs!$C$5:$C$130=$B44)*ISNUMBER(INDEX(Inputs!$K$5:$AJ$130,0,MATCH(N$2,Inputs!$K$4:$AJ$4,0))))+SUMPRODUCT((Inputs!$E$5:$E$130=$B44)*ISNUMBER(INDEX(Inputs!$K$5:$AJ$130,0,MATCH(N$2,Inputs!$K$4:$AJ$4,0))))=0,NA(),SUMPRODUCT((Inputs!$A$5:$A$130=$B44)*Inputs!$B$5:$B$130*(((Inputs!$G$5:$G$130="moeda")+(Inputs!$G$5:$G$130="acoes"))*Inputs!$B$1+((Inputs!$G$5:$G$130&lt;&gt;"moeda")*(Inputs!$G$5:$G$130&lt;&gt;"acoes")))*INDEX(Inputs!$K$5:$AJ$130,0,MATCH(N$2,Inputs!$K$4:$AJ$4,0)))+SUMPRODUCT((Inputs!$C$5:$C$130=$B44)*Inputs!$D$5:$D$130*(((Inputs!$G$5:$G$130="moeda")+(Inputs!$G$5:$G$130="acoes"))*Inputs!$B$1+((Inputs!$G$5:$G$130&lt;&gt;"moeda")*(Inputs!$G$5:$G$130&lt;&gt;"acoes")))*INDEX(Inputs!$K$5:$AJ$130,0,MATCH(N$2,Inputs!$K$4:$AJ$4,0)))+SUMPRODUCT((Inputs!$E$5:$E$130=$B44)*Inputs!$F$5:$F$130*(((Inputs!$G$5:$G$130="moeda")+(Inputs!$G$5:$G$130="acoes"))*Inputs!$B$1+((Inputs!$G$5:$G$130&lt;&gt;"moeda")*(Inputs!$G$5:$G$130&lt;&gt;"acoes")))*INDEX(Inputs!$K$5:$AJ$130,0,MATCH(N$2,Inputs!$K$4:$AJ$4,0)))))</f>
        <v>0</v>
      </c>
      <c r="O44" s="6">
        <f>IF(ISNA(MATCH(O$2,Inputs!$K$4:$AJ$4,0)),NA(),IF(SUMPRODUCT((Inputs!$A$5:$A$130=$B44)*ISNUMBER(INDEX(Inputs!$K$5:$AJ$130,0,MATCH(O$2,Inputs!$K$4:$AJ$4,0))))+SUMPRODUCT((Inputs!$C$5:$C$130=$B44)*ISNUMBER(INDEX(Inputs!$K$5:$AJ$130,0,MATCH(O$2,Inputs!$K$4:$AJ$4,0))))+SUMPRODUCT((Inputs!$E$5:$E$130=$B44)*ISNUMBER(INDEX(Inputs!$K$5:$AJ$130,0,MATCH(O$2,Inputs!$K$4:$AJ$4,0))))=0,NA(),SUMPRODUCT((Inputs!$A$5:$A$130=$B44)*Inputs!$B$5:$B$130*(((Inputs!$G$5:$G$130="moeda")+(Inputs!$G$5:$G$130="acoes"))*Inputs!$B$1+((Inputs!$G$5:$G$130&lt;&gt;"moeda")*(Inputs!$G$5:$G$130&lt;&gt;"acoes")))*INDEX(Inputs!$K$5:$AJ$130,0,MATCH(O$2,Inputs!$K$4:$AJ$4,0)))+SUMPRODUCT((Inputs!$C$5:$C$130=$B44)*Inputs!$D$5:$D$130*(((Inputs!$G$5:$G$130="moeda")+(Inputs!$G$5:$G$130="acoes"))*Inputs!$B$1+((Inputs!$G$5:$G$130&lt;&gt;"moeda")*(Inputs!$G$5:$G$130&lt;&gt;"acoes")))*INDEX(Inputs!$K$5:$AJ$130,0,MATCH(O$2,Inputs!$K$4:$AJ$4,0)))+SUMPRODUCT((Inputs!$E$5:$E$130=$B44)*Inputs!$F$5:$F$130*(((Inputs!$G$5:$G$130="moeda")+(Inputs!$G$5:$G$130="acoes"))*Inputs!$B$1+((Inputs!$G$5:$G$130&lt;&gt;"moeda")*(Inputs!$G$5:$G$130&lt;&gt;"acoes")))*INDEX(Inputs!$K$5:$AJ$130,0,MATCH(O$2,Inputs!$K$4:$AJ$4,0)))))</f>
        <v>0</v>
      </c>
      <c r="P44" s="6">
        <f>IF(ISNA(MATCH(P$2,Inputs!$K$4:$AJ$4,0)),NA(),IF(SUMPRODUCT((Inputs!$A$5:$A$130=$B44)*ISNUMBER(INDEX(Inputs!$K$5:$AJ$130,0,MATCH(P$2,Inputs!$K$4:$AJ$4,0))))+SUMPRODUCT((Inputs!$C$5:$C$130=$B44)*ISNUMBER(INDEX(Inputs!$K$5:$AJ$130,0,MATCH(P$2,Inputs!$K$4:$AJ$4,0))))+SUMPRODUCT((Inputs!$E$5:$E$130=$B44)*ISNUMBER(INDEX(Inputs!$K$5:$AJ$130,0,MATCH(P$2,Inputs!$K$4:$AJ$4,0))))=0,NA(),SUMPRODUCT((Inputs!$A$5:$A$130=$B44)*Inputs!$B$5:$B$130*(((Inputs!$G$5:$G$130="moeda")+(Inputs!$G$5:$G$130="acoes"))*Inputs!$B$1+((Inputs!$G$5:$G$130&lt;&gt;"moeda")*(Inputs!$G$5:$G$130&lt;&gt;"acoes")))*INDEX(Inputs!$K$5:$AJ$130,0,MATCH(P$2,Inputs!$K$4:$AJ$4,0)))+SUMPRODUCT((Inputs!$C$5:$C$130=$B44)*Inputs!$D$5:$D$130*(((Inputs!$G$5:$G$130="moeda")+(Inputs!$G$5:$G$130="acoes"))*Inputs!$B$1+((Inputs!$G$5:$G$130&lt;&gt;"moeda")*(Inputs!$G$5:$G$130&lt;&gt;"acoes")))*INDEX(Inputs!$K$5:$AJ$130,0,MATCH(P$2,Inputs!$K$4:$AJ$4,0)))+SUMPRODUCT((Inputs!$E$5:$E$130=$B44)*Inputs!$F$5:$F$130*(((Inputs!$G$5:$G$130="moeda")+(Inputs!$G$5:$G$130="acoes"))*Inputs!$B$1+((Inputs!$G$5:$G$130&lt;&gt;"moeda")*(Inputs!$G$5:$G$130&lt;&gt;"acoes")))*INDEX(Inputs!$K$5:$AJ$130,0,MATCH(P$2,Inputs!$K$4:$AJ$4,0)))))</f>
        <v>0</v>
      </c>
      <c r="Q44" s="6">
        <f>IF(ISNA(MATCH(Q$2,Inputs!$K$4:$AJ$4,0)),NA(),IF(SUMPRODUCT((Inputs!$A$5:$A$130=$B44)*ISNUMBER(INDEX(Inputs!$K$5:$AJ$130,0,MATCH(Q$2,Inputs!$K$4:$AJ$4,0))))+SUMPRODUCT((Inputs!$C$5:$C$130=$B44)*ISNUMBER(INDEX(Inputs!$K$5:$AJ$130,0,MATCH(Q$2,Inputs!$K$4:$AJ$4,0))))+SUMPRODUCT((Inputs!$E$5:$E$130=$B44)*ISNUMBER(INDEX(Inputs!$K$5:$AJ$130,0,MATCH(Q$2,Inputs!$K$4:$AJ$4,0))))=0,NA(),SUMPRODUCT((Inputs!$A$5:$A$130=$B44)*Inputs!$B$5:$B$130*(((Inputs!$G$5:$G$130="moeda")+(Inputs!$G$5:$G$130="acoes"))*Inputs!$B$1+((Inputs!$G$5:$G$130&lt;&gt;"moeda")*(Inputs!$G$5:$G$130&lt;&gt;"acoes")))*INDEX(Inputs!$K$5:$AJ$130,0,MATCH(Q$2,Inputs!$K$4:$AJ$4,0)))+SUMPRODUCT((Inputs!$C$5:$C$130=$B44)*Inputs!$D$5:$D$130*(((Inputs!$G$5:$G$130="moeda")+(Inputs!$G$5:$G$130="acoes"))*Inputs!$B$1+((Inputs!$G$5:$G$130&lt;&gt;"moeda")*(Inputs!$G$5:$G$130&lt;&gt;"acoes")))*INDEX(Inputs!$K$5:$AJ$130,0,MATCH(Q$2,Inputs!$K$4:$AJ$4,0)))+SUMPRODUCT((Inputs!$E$5:$E$130=$B44)*Inputs!$F$5:$F$130*(((Inputs!$G$5:$G$130="moeda")+(Inputs!$G$5:$G$130="acoes"))*Inputs!$B$1+((Inputs!$G$5:$G$130&lt;&gt;"moeda")*(Inputs!$G$5:$G$130&lt;&gt;"acoes")))*INDEX(Inputs!$K$5:$AJ$130,0,MATCH(Q$2,Inputs!$K$4:$AJ$4,0)))))</f>
        <v>0</v>
      </c>
      <c r="R44" s="3">
        <f>Q44</f>
        <v>0</v>
      </c>
      <c r="S44" s="6">
        <f>IF(ISNA(MATCH(S$2,Inputs!$K$4:$AJ$4,0)),NA(),IF(SUMPRODUCT((Inputs!$A$5:$A$130=$B44)*ISNUMBER(INDEX(Inputs!$K$5:$AJ$130,0,MATCH(S$2,Inputs!$K$4:$AJ$4,0))))+SUMPRODUCT((Inputs!$C$5:$C$130=$B44)*ISNUMBER(INDEX(Inputs!$K$5:$AJ$130,0,MATCH(S$2,Inputs!$K$4:$AJ$4,0))))+SUMPRODUCT((Inputs!$E$5:$E$130=$B44)*ISNUMBER(INDEX(Inputs!$K$5:$AJ$130,0,MATCH(S$2,Inputs!$K$4:$AJ$4,0))))=0,NA(),SUMPRODUCT((Inputs!$A$5:$A$130=$B44)*Inputs!$B$5:$B$130*(((Inputs!$G$5:$G$130="moeda")+(Inputs!$G$5:$G$130="acoes"))*Inputs!$B$1+((Inputs!$G$5:$G$130&lt;&gt;"moeda")*(Inputs!$G$5:$G$130&lt;&gt;"acoes")))*INDEX(Inputs!$K$5:$AJ$130,0,MATCH(S$2,Inputs!$K$4:$AJ$4,0)))+SUMPRODUCT((Inputs!$C$5:$C$130=$B44)*Inputs!$D$5:$D$130*(((Inputs!$G$5:$G$130="moeda")+(Inputs!$G$5:$G$130="acoes"))*Inputs!$B$1+((Inputs!$G$5:$G$130&lt;&gt;"moeda")*(Inputs!$G$5:$G$130&lt;&gt;"acoes")))*INDEX(Inputs!$K$5:$AJ$130,0,MATCH(S$2,Inputs!$K$4:$AJ$4,0)))+SUMPRODUCT((Inputs!$E$5:$E$130=$B44)*Inputs!$F$5:$F$130*(((Inputs!$G$5:$G$130="moeda")+(Inputs!$G$5:$G$130="acoes"))*Inputs!$B$1+((Inputs!$G$5:$G$130&lt;&gt;"moeda")*(Inputs!$G$5:$G$130&lt;&gt;"acoes")))*INDEX(Inputs!$K$5:$AJ$130,0,MATCH(S$2,Inputs!$K$4:$AJ$4,0)))))</f>
        <v>0</v>
      </c>
      <c r="T44" s="6">
        <f>IF(ISNA(MATCH(T$2,Inputs!$K$4:$AJ$4,0)),NA(),IF(SUMPRODUCT((Inputs!$A$5:$A$130=$B44)*ISNUMBER(INDEX(Inputs!$K$5:$AJ$130,0,MATCH(T$2,Inputs!$K$4:$AJ$4,0))))+SUMPRODUCT((Inputs!$C$5:$C$130=$B44)*ISNUMBER(INDEX(Inputs!$K$5:$AJ$130,0,MATCH(T$2,Inputs!$K$4:$AJ$4,0))))+SUMPRODUCT((Inputs!$E$5:$E$130=$B44)*ISNUMBER(INDEX(Inputs!$K$5:$AJ$130,0,MATCH(T$2,Inputs!$K$4:$AJ$4,0))))=0,NA(),SUMPRODUCT((Inputs!$A$5:$A$130=$B44)*Inputs!$B$5:$B$130*(((Inputs!$G$5:$G$130="moeda")+(Inputs!$G$5:$G$130="acoes"))*Inputs!$B$1+((Inputs!$G$5:$G$130&lt;&gt;"moeda")*(Inputs!$G$5:$G$130&lt;&gt;"acoes")))*INDEX(Inputs!$K$5:$AJ$130,0,MATCH(T$2,Inputs!$K$4:$AJ$4,0)))+SUMPRODUCT((Inputs!$C$5:$C$130=$B44)*Inputs!$D$5:$D$130*(((Inputs!$G$5:$G$130="moeda")+(Inputs!$G$5:$G$130="acoes"))*Inputs!$B$1+((Inputs!$G$5:$G$130&lt;&gt;"moeda")*(Inputs!$G$5:$G$130&lt;&gt;"acoes")))*INDEX(Inputs!$K$5:$AJ$130,0,MATCH(T$2,Inputs!$K$4:$AJ$4,0)))+SUMPRODUCT((Inputs!$E$5:$E$130=$B44)*Inputs!$F$5:$F$130*(((Inputs!$G$5:$G$130="moeda")+(Inputs!$G$5:$G$130="acoes"))*Inputs!$B$1+((Inputs!$G$5:$G$130&lt;&gt;"moeda")*(Inputs!$G$5:$G$130&lt;&gt;"acoes")))*INDEX(Inputs!$K$5:$AJ$130,0,MATCH(T$2,Inputs!$K$4:$AJ$4,0)))))</f>
        <v>0</v>
      </c>
      <c r="U44" s="6">
        <f>IF(ISNA(MATCH(U$2,Inputs!$K$4:$AJ$4,0)),NA(),IF(SUMPRODUCT((Inputs!$A$5:$A$130=$B44)*ISNUMBER(INDEX(Inputs!$K$5:$AJ$130,0,MATCH(U$2,Inputs!$K$4:$AJ$4,0))))+SUMPRODUCT((Inputs!$C$5:$C$130=$B44)*ISNUMBER(INDEX(Inputs!$K$5:$AJ$130,0,MATCH(U$2,Inputs!$K$4:$AJ$4,0))))+SUMPRODUCT((Inputs!$E$5:$E$130=$B44)*ISNUMBER(INDEX(Inputs!$K$5:$AJ$130,0,MATCH(U$2,Inputs!$K$4:$AJ$4,0))))=0,NA(),SUMPRODUCT((Inputs!$A$5:$A$130=$B44)*Inputs!$B$5:$B$130*(((Inputs!$G$5:$G$130="moeda")+(Inputs!$G$5:$G$130="acoes"))*Inputs!$B$1+((Inputs!$G$5:$G$130&lt;&gt;"moeda")*(Inputs!$G$5:$G$130&lt;&gt;"acoes")))*INDEX(Inputs!$K$5:$AJ$130,0,MATCH(U$2,Inputs!$K$4:$AJ$4,0)))+SUMPRODUCT((Inputs!$C$5:$C$130=$B44)*Inputs!$D$5:$D$130*(((Inputs!$G$5:$G$130="moeda")+(Inputs!$G$5:$G$130="acoes"))*Inputs!$B$1+((Inputs!$G$5:$G$130&lt;&gt;"moeda")*(Inputs!$G$5:$G$130&lt;&gt;"acoes")))*INDEX(Inputs!$K$5:$AJ$130,0,MATCH(U$2,Inputs!$K$4:$AJ$4,0)))+SUMPRODUCT((Inputs!$E$5:$E$130=$B44)*Inputs!$F$5:$F$130*(((Inputs!$G$5:$G$130="moeda")+(Inputs!$G$5:$G$130="acoes"))*Inputs!$B$1+((Inputs!$G$5:$G$130&lt;&gt;"moeda")*(Inputs!$G$5:$G$130&lt;&gt;"acoes")))*INDEX(Inputs!$K$5:$AJ$130,0,MATCH(U$2,Inputs!$K$4:$AJ$4,0)))))</f>
        <v>0</v>
      </c>
      <c r="V44" s="6">
        <f>IF(ISNA(MATCH(V$2,Inputs!$K$4:$AJ$4,0)),NA(),IF(SUMPRODUCT((Inputs!$A$5:$A$130=$B44)*ISNUMBER(INDEX(Inputs!$K$5:$AJ$130,0,MATCH(V$2,Inputs!$K$4:$AJ$4,0))))+SUMPRODUCT((Inputs!$C$5:$C$130=$B44)*ISNUMBER(INDEX(Inputs!$K$5:$AJ$130,0,MATCH(V$2,Inputs!$K$4:$AJ$4,0))))+SUMPRODUCT((Inputs!$E$5:$E$130=$B44)*ISNUMBER(INDEX(Inputs!$K$5:$AJ$130,0,MATCH(V$2,Inputs!$K$4:$AJ$4,0))))=0,NA(),SUMPRODUCT((Inputs!$A$5:$A$130=$B44)*Inputs!$B$5:$B$130*(((Inputs!$G$5:$G$130="moeda")+(Inputs!$G$5:$G$130="acoes"))*Inputs!$B$1+((Inputs!$G$5:$G$130&lt;&gt;"moeda")*(Inputs!$G$5:$G$130&lt;&gt;"acoes")))*INDEX(Inputs!$K$5:$AJ$130,0,MATCH(V$2,Inputs!$K$4:$AJ$4,0)))+SUMPRODUCT((Inputs!$C$5:$C$130=$B44)*Inputs!$D$5:$D$130*(((Inputs!$G$5:$G$130="moeda")+(Inputs!$G$5:$G$130="acoes"))*Inputs!$B$1+((Inputs!$G$5:$G$130&lt;&gt;"moeda")*(Inputs!$G$5:$G$130&lt;&gt;"acoes")))*INDEX(Inputs!$K$5:$AJ$130,0,MATCH(V$2,Inputs!$K$4:$AJ$4,0)))+SUMPRODUCT((Inputs!$E$5:$E$130=$B44)*Inputs!$F$5:$F$130*(((Inputs!$G$5:$G$130="moeda")+(Inputs!$G$5:$G$130="acoes"))*Inputs!$B$1+((Inputs!$G$5:$G$130&lt;&gt;"moeda")*(Inputs!$G$5:$G$130&lt;&gt;"acoes")))*INDEX(Inputs!$K$5:$AJ$130,0,MATCH(V$2,Inputs!$K$4:$AJ$4,0)))))</f>
        <v>0</v>
      </c>
      <c r="W44" s="3">
        <f>V44</f>
        <v>0</v>
      </c>
      <c r="X44" s="6">
        <f>IF(ISNA(MATCH(X$2,Inputs!$K$4:$AJ$4,0)),NA(),IF(SUMPRODUCT((Inputs!$A$5:$A$130=$B44)*ISNUMBER(INDEX(Inputs!$K$5:$AJ$130,0,MATCH(X$2,Inputs!$K$4:$AJ$4,0))))+SUMPRODUCT((Inputs!$C$5:$C$130=$B44)*ISNUMBER(INDEX(Inputs!$K$5:$AJ$130,0,MATCH(X$2,Inputs!$K$4:$AJ$4,0))))+SUMPRODUCT((Inputs!$E$5:$E$130=$B44)*ISNUMBER(INDEX(Inputs!$K$5:$AJ$130,0,MATCH(X$2,Inputs!$K$4:$AJ$4,0))))=0,NA(),SUMPRODUCT((Inputs!$A$5:$A$130=$B44)*Inputs!$B$5:$B$130*(((Inputs!$G$5:$G$130="moeda")+(Inputs!$G$5:$G$130="acoes"))*Inputs!$B$1+((Inputs!$G$5:$G$130&lt;&gt;"moeda")*(Inputs!$G$5:$G$130&lt;&gt;"acoes")))*INDEX(Inputs!$K$5:$AJ$130,0,MATCH(X$2,Inputs!$K$4:$AJ$4,0)))+SUMPRODUCT((Inputs!$C$5:$C$130=$B44)*Inputs!$D$5:$D$130*(((Inputs!$G$5:$G$130="moeda")+(Inputs!$G$5:$G$130="acoes"))*Inputs!$B$1+((Inputs!$G$5:$G$130&lt;&gt;"moeda")*(Inputs!$G$5:$G$130&lt;&gt;"acoes")))*INDEX(Inputs!$K$5:$AJ$130,0,MATCH(X$2,Inputs!$K$4:$AJ$4,0)))+SUMPRODUCT((Inputs!$E$5:$E$130=$B44)*Inputs!$F$5:$F$130*(((Inputs!$G$5:$G$130="moeda")+(Inputs!$G$5:$G$130="acoes"))*Inputs!$B$1+((Inputs!$G$5:$G$130&lt;&gt;"moeda")*(Inputs!$G$5:$G$130&lt;&gt;"acoes")))*INDEX(Inputs!$K$5:$AJ$130,0,MATCH(X$2,Inputs!$K$4:$AJ$4,0)))))</f>
        <v>0</v>
      </c>
      <c r="Y44" s="6">
        <f>IF(ISNA(MATCH(Y$2,Inputs!$K$4:$AJ$4,0)),NA(),IF(SUMPRODUCT((Inputs!$A$5:$A$130=$B44)*ISNUMBER(INDEX(Inputs!$K$5:$AJ$130,0,MATCH(Y$2,Inputs!$K$4:$AJ$4,0))))+SUMPRODUCT((Inputs!$C$5:$C$130=$B44)*ISNUMBER(INDEX(Inputs!$K$5:$AJ$130,0,MATCH(Y$2,Inputs!$K$4:$AJ$4,0))))+SUMPRODUCT((Inputs!$E$5:$E$130=$B44)*ISNUMBER(INDEX(Inputs!$K$5:$AJ$130,0,MATCH(Y$2,Inputs!$K$4:$AJ$4,0))))=0,NA(),SUMPRODUCT((Inputs!$A$5:$A$130=$B44)*Inputs!$B$5:$B$130*(((Inputs!$G$5:$G$130="moeda")+(Inputs!$G$5:$G$130="acoes"))*Inputs!$B$1+((Inputs!$G$5:$G$130&lt;&gt;"moeda")*(Inputs!$G$5:$G$130&lt;&gt;"acoes")))*INDEX(Inputs!$K$5:$AJ$130,0,MATCH(Y$2,Inputs!$K$4:$AJ$4,0)))+SUMPRODUCT((Inputs!$C$5:$C$130=$B44)*Inputs!$D$5:$D$130*(((Inputs!$G$5:$G$130="moeda")+(Inputs!$G$5:$G$130="acoes"))*Inputs!$B$1+((Inputs!$G$5:$G$130&lt;&gt;"moeda")*(Inputs!$G$5:$G$130&lt;&gt;"acoes")))*INDEX(Inputs!$K$5:$AJ$130,0,MATCH(Y$2,Inputs!$K$4:$AJ$4,0)))+SUMPRODUCT((Inputs!$E$5:$E$130=$B44)*Inputs!$F$5:$F$130*(((Inputs!$G$5:$G$130="moeda")+(Inputs!$G$5:$G$130="acoes"))*Inputs!$B$1+((Inputs!$G$5:$G$130&lt;&gt;"moeda")*(Inputs!$G$5:$G$130&lt;&gt;"acoes")))*INDEX(Inputs!$K$5:$AJ$130,0,MATCH(Y$2,Inputs!$K$4:$AJ$4,0)))))</f>
        <v>0</v>
      </c>
      <c r="Z44" s="6">
        <f>IF(ISNA(MATCH(Z$2,Inputs!$K$4:$AJ$4,0)),NA(),IF(SUMPRODUCT((Inputs!$A$5:$A$130=$B44)*ISNUMBER(INDEX(Inputs!$K$5:$AJ$130,0,MATCH(Z$2,Inputs!$K$4:$AJ$4,0))))+SUMPRODUCT((Inputs!$C$5:$C$130=$B44)*ISNUMBER(INDEX(Inputs!$K$5:$AJ$130,0,MATCH(Z$2,Inputs!$K$4:$AJ$4,0))))+SUMPRODUCT((Inputs!$E$5:$E$130=$B44)*ISNUMBER(INDEX(Inputs!$K$5:$AJ$130,0,MATCH(Z$2,Inputs!$K$4:$AJ$4,0))))=0,NA(),SUMPRODUCT((Inputs!$A$5:$A$130=$B44)*Inputs!$B$5:$B$130*(((Inputs!$G$5:$G$130="moeda")+(Inputs!$G$5:$G$130="acoes"))*Inputs!$B$1+((Inputs!$G$5:$G$130&lt;&gt;"moeda")*(Inputs!$G$5:$G$130&lt;&gt;"acoes")))*INDEX(Inputs!$K$5:$AJ$130,0,MATCH(Z$2,Inputs!$K$4:$AJ$4,0)))+SUMPRODUCT((Inputs!$C$5:$C$130=$B44)*Inputs!$D$5:$D$130*(((Inputs!$G$5:$G$130="moeda")+(Inputs!$G$5:$G$130="acoes"))*Inputs!$B$1+((Inputs!$G$5:$G$130&lt;&gt;"moeda")*(Inputs!$G$5:$G$130&lt;&gt;"acoes")))*INDEX(Inputs!$K$5:$AJ$130,0,MATCH(Z$2,Inputs!$K$4:$AJ$4,0)))+SUMPRODUCT((Inputs!$E$5:$E$130=$B44)*Inputs!$F$5:$F$130*(((Inputs!$G$5:$G$130="moeda")+(Inputs!$G$5:$G$130="acoes"))*Inputs!$B$1+((Inputs!$G$5:$G$130&lt;&gt;"moeda")*(Inputs!$G$5:$G$130&lt;&gt;"acoes")))*INDEX(Inputs!$K$5:$AJ$130,0,MATCH(Z$2,Inputs!$K$4:$AJ$4,0)))))</f>
        <v>0</v>
      </c>
      <c r="AA44" s="6">
        <f>IF(ISNA(MATCH(AA$2,Inputs!$K$4:$AJ$4,0)),NA(),IF(SUMPRODUCT((Inputs!$A$5:$A$130=$B44)*ISNUMBER(INDEX(Inputs!$K$5:$AJ$130,0,MATCH(AA$2,Inputs!$K$4:$AJ$4,0))))+SUMPRODUCT((Inputs!$C$5:$C$130=$B44)*ISNUMBER(INDEX(Inputs!$K$5:$AJ$130,0,MATCH(AA$2,Inputs!$K$4:$AJ$4,0))))+SUMPRODUCT((Inputs!$E$5:$E$130=$B44)*ISNUMBER(INDEX(Inputs!$K$5:$AJ$130,0,MATCH(AA$2,Inputs!$K$4:$AJ$4,0))))=0,NA(),SUMPRODUCT((Inputs!$A$5:$A$130=$B44)*Inputs!$B$5:$B$130*(((Inputs!$G$5:$G$130="moeda")+(Inputs!$G$5:$G$130="acoes"))*Inputs!$B$1+((Inputs!$G$5:$G$130&lt;&gt;"moeda")*(Inputs!$G$5:$G$130&lt;&gt;"acoes")))*INDEX(Inputs!$K$5:$AJ$130,0,MATCH(AA$2,Inputs!$K$4:$AJ$4,0)))+SUMPRODUCT((Inputs!$C$5:$C$130=$B44)*Inputs!$D$5:$D$130*(((Inputs!$G$5:$G$130="moeda")+(Inputs!$G$5:$G$130="acoes"))*Inputs!$B$1+((Inputs!$G$5:$G$130&lt;&gt;"moeda")*(Inputs!$G$5:$G$130&lt;&gt;"acoes")))*INDEX(Inputs!$K$5:$AJ$130,0,MATCH(AA$2,Inputs!$K$4:$AJ$4,0)))+SUMPRODUCT((Inputs!$E$5:$E$130=$B44)*Inputs!$F$5:$F$130*(((Inputs!$G$5:$G$130="moeda")+(Inputs!$G$5:$G$130="acoes"))*Inputs!$B$1+((Inputs!$G$5:$G$130&lt;&gt;"moeda")*(Inputs!$G$5:$G$130&lt;&gt;"acoes")))*INDEX(Inputs!$K$5:$AJ$130,0,MATCH(AA$2,Inputs!$K$4:$AJ$4,0)))))</f>
        <v>0</v>
      </c>
      <c r="AB44" s="3">
        <f>AA44</f>
        <v>0</v>
      </c>
      <c r="AC44" s="6">
        <f>IF(ISNA(MATCH(AC$2,Inputs!$K$4:$AJ$4,0)),NA(),IF(SUMPRODUCT((Inputs!$A$5:$A$130=$B44)*ISNUMBER(INDEX(Inputs!$K$5:$AJ$130,0,MATCH(AC$2,Inputs!$K$4:$AJ$4,0))))+SUMPRODUCT((Inputs!$C$5:$C$130=$B44)*ISNUMBER(INDEX(Inputs!$K$5:$AJ$130,0,MATCH(AC$2,Inputs!$K$4:$AJ$4,0))))+SUMPRODUCT((Inputs!$E$5:$E$130=$B44)*ISNUMBER(INDEX(Inputs!$K$5:$AJ$130,0,MATCH(AC$2,Inputs!$K$4:$AJ$4,0))))=0,NA(),SUMPRODUCT((Inputs!$A$5:$A$130=$B44)*Inputs!$B$5:$B$130*(((Inputs!$G$5:$G$130="moeda")+(Inputs!$G$5:$G$130="acoes"))*Inputs!$B$1+((Inputs!$G$5:$G$130&lt;&gt;"moeda")*(Inputs!$G$5:$G$130&lt;&gt;"acoes")))*INDEX(Inputs!$K$5:$AJ$130,0,MATCH(AC$2,Inputs!$K$4:$AJ$4,0)))+SUMPRODUCT((Inputs!$C$5:$C$130=$B44)*Inputs!$D$5:$D$130*(((Inputs!$G$5:$G$130="moeda")+(Inputs!$G$5:$G$130="acoes"))*Inputs!$B$1+((Inputs!$G$5:$G$130&lt;&gt;"moeda")*(Inputs!$G$5:$G$130&lt;&gt;"acoes")))*INDEX(Inputs!$K$5:$AJ$130,0,MATCH(AC$2,Inputs!$K$4:$AJ$4,0)))+SUMPRODUCT((Inputs!$E$5:$E$130=$B44)*Inputs!$F$5:$F$130*(((Inputs!$G$5:$G$130="moeda")+(Inputs!$G$5:$G$130="acoes"))*Inputs!$B$1+((Inputs!$G$5:$G$130&lt;&gt;"moeda")*(Inputs!$G$5:$G$130&lt;&gt;"acoes")))*INDEX(Inputs!$K$5:$AJ$130,0,MATCH(AC$2,Inputs!$K$4:$AJ$4,0)))))</f>
        <v>0</v>
      </c>
      <c r="AD44" s="6">
        <f>IF(ISNA(MATCH(AD$2,Inputs!$K$4:$AJ$4,0)),NA(),IF(SUMPRODUCT((Inputs!$A$5:$A$130=$B44)*ISNUMBER(INDEX(Inputs!$K$5:$AJ$130,0,MATCH(AD$2,Inputs!$K$4:$AJ$4,0))))+SUMPRODUCT((Inputs!$C$5:$C$130=$B44)*ISNUMBER(INDEX(Inputs!$K$5:$AJ$130,0,MATCH(AD$2,Inputs!$K$4:$AJ$4,0))))+SUMPRODUCT((Inputs!$E$5:$E$130=$B44)*ISNUMBER(INDEX(Inputs!$K$5:$AJ$130,0,MATCH(AD$2,Inputs!$K$4:$AJ$4,0))))=0,NA(),SUMPRODUCT((Inputs!$A$5:$A$130=$B44)*Inputs!$B$5:$B$130*(((Inputs!$G$5:$G$130="moeda")+(Inputs!$G$5:$G$130="acoes"))*Inputs!$B$1+((Inputs!$G$5:$G$130&lt;&gt;"moeda")*(Inputs!$G$5:$G$130&lt;&gt;"acoes")))*INDEX(Inputs!$K$5:$AJ$130,0,MATCH(AD$2,Inputs!$K$4:$AJ$4,0)))+SUMPRODUCT((Inputs!$C$5:$C$130=$B44)*Inputs!$D$5:$D$130*(((Inputs!$G$5:$G$130="moeda")+(Inputs!$G$5:$G$130="acoes"))*Inputs!$B$1+((Inputs!$G$5:$G$130&lt;&gt;"moeda")*(Inputs!$G$5:$G$130&lt;&gt;"acoes")))*INDEX(Inputs!$K$5:$AJ$130,0,MATCH(AD$2,Inputs!$K$4:$AJ$4,0)))+SUMPRODUCT((Inputs!$E$5:$E$130=$B44)*Inputs!$F$5:$F$130*(((Inputs!$G$5:$G$130="moeda")+(Inputs!$G$5:$G$130="acoes"))*Inputs!$B$1+((Inputs!$G$5:$G$130&lt;&gt;"moeda")*(Inputs!$G$5:$G$130&lt;&gt;"acoes")))*INDEX(Inputs!$K$5:$AJ$130,0,MATCH(AD$2,Inputs!$K$4:$AJ$4,0)))))</f>
        <v>0</v>
      </c>
      <c r="AE44" s="6" t="e">
        <f>IF(ISNA(MATCH(AE$2,Inputs!$K$4:$AJ$4,0)),NA(),IF(SUMPRODUCT((Inputs!$A$5:$A$130=$B44)*ISNUMBER(INDEX(Inputs!$K$5:$AJ$130,0,MATCH(AE$2,Inputs!$K$4:$AJ$4,0))))+SUMPRODUCT((Inputs!$C$5:$C$130=$B44)*ISNUMBER(INDEX(Inputs!$K$5:$AJ$130,0,MATCH(AE$2,Inputs!$K$4:$AJ$4,0))))+SUMPRODUCT((Inputs!$E$5:$E$130=$B44)*ISNUMBER(INDEX(Inputs!$K$5:$AJ$130,0,MATCH(AE$2,Inputs!$K$4:$AJ$4,0))))=0,NA(),SUMPRODUCT((Inputs!$A$5:$A$130=$B44)*Inputs!$B$5:$B$130*(((Inputs!$G$5:$G$130="moeda")+(Inputs!$G$5:$G$130="acoes"))*Inputs!$B$1+((Inputs!$G$5:$G$130&lt;&gt;"moeda")*(Inputs!$G$5:$G$130&lt;&gt;"acoes")))*INDEX(Inputs!$K$5:$AJ$130,0,MATCH(AE$2,Inputs!$K$4:$AJ$4,0)))+SUMPRODUCT((Inputs!$C$5:$C$130=$B44)*Inputs!$D$5:$D$130*(((Inputs!$G$5:$G$130="moeda")+(Inputs!$G$5:$G$130="acoes"))*Inputs!$B$1+((Inputs!$G$5:$G$130&lt;&gt;"moeda")*(Inputs!$G$5:$G$130&lt;&gt;"acoes")))*INDEX(Inputs!$K$5:$AJ$130,0,MATCH(AE$2,Inputs!$K$4:$AJ$4,0)))+SUMPRODUCT((Inputs!$E$5:$E$130=$B44)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4" s="6" t="e">
        <f>IF(ISNA(MATCH(AF$2,Inputs!$K$4:$AJ$4,0)),NA(),IF(SUMPRODUCT((Inputs!$A$5:$A$130=$B44)*ISNUMBER(INDEX(Inputs!$K$5:$AJ$130,0,MATCH(AF$2,Inputs!$K$4:$AJ$4,0))))+SUMPRODUCT((Inputs!$C$5:$C$130=$B44)*ISNUMBER(INDEX(Inputs!$K$5:$AJ$130,0,MATCH(AF$2,Inputs!$K$4:$AJ$4,0))))+SUMPRODUCT((Inputs!$E$5:$E$130=$B44)*ISNUMBER(INDEX(Inputs!$K$5:$AJ$130,0,MATCH(AF$2,Inputs!$K$4:$AJ$4,0))))=0,NA(),SUMPRODUCT((Inputs!$A$5:$A$130=$B44)*Inputs!$B$5:$B$130*(((Inputs!$G$5:$G$130="moeda")+(Inputs!$G$5:$G$130="acoes"))*Inputs!$B$1+((Inputs!$G$5:$G$130&lt;&gt;"moeda")*(Inputs!$G$5:$G$130&lt;&gt;"acoes")))*INDEX(Inputs!$K$5:$AJ$130,0,MATCH(AF$2,Inputs!$K$4:$AJ$4,0)))+SUMPRODUCT((Inputs!$C$5:$C$130=$B44)*Inputs!$D$5:$D$130*(((Inputs!$G$5:$G$130="moeda")+(Inputs!$G$5:$G$130="acoes"))*Inputs!$B$1+((Inputs!$G$5:$G$130&lt;&gt;"moeda")*(Inputs!$G$5:$G$130&lt;&gt;"acoes")))*INDEX(Inputs!$K$5:$AJ$130,0,MATCH(AF$2,Inputs!$K$4:$AJ$4,0)))+SUMPRODUCT((Inputs!$E$5:$E$130=$B44)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4" s="3" t="e">
        <f>AF44</f>
        <v>#N/A</v>
      </c>
      <c r="AH44" s="6">
        <f>IF(ISNA(MATCH(AH$2,Inputs!$K$4:$AJ$4,0)),NA(),IF(SUMPRODUCT((Inputs!$A$5:$A$130=$B44)*ISNUMBER(INDEX(Inputs!$K$5:$AJ$130,0,MATCH(AH$2,Inputs!$K$4:$AJ$4,0))))+SUMPRODUCT((Inputs!$C$5:$C$130=$B44)*ISNUMBER(INDEX(Inputs!$K$5:$AJ$130,0,MATCH(AH$2,Inputs!$K$4:$AJ$4,0))))+SUMPRODUCT((Inputs!$E$5:$E$130=$B44)*ISNUMBER(INDEX(Inputs!$K$5:$AJ$130,0,MATCH(AH$2,Inputs!$K$4:$AJ$4,0))))=0,NA(),SUMPRODUCT((Inputs!$A$5:$A$130=$B44)*Inputs!$B$5:$B$130*(((Inputs!$G$5:$G$130="moeda")+(Inputs!$G$5:$G$130="acoes"))*Inputs!$B$1+((Inputs!$G$5:$G$130&lt;&gt;"moeda")*(Inputs!$G$5:$G$130&lt;&gt;"acoes")))*INDEX(Inputs!$K$5:$AJ$130,0,MATCH(AH$2,Inputs!$K$4:$AJ$4,0)))+SUMPRODUCT((Inputs!$C$5:$C$130=$B44)*Inputs!$D$5:$D$130*(((Inputs!$G$5:$G$130="moeda")+(Inputs!$G$5:$G$130="acoes"))*Inputs!$B$1+((Inputs!$G$5:$G$130&lt;&gt;"moeda")*(Inputs!$G$5:$G$130&lt;&gt;"acoes")))*INDEX(Inputs!$K$5:$AJ$130,0,MATCH(AH$2,Inputs!$K$4:$AJ$4,0)))+SUMPRODUCT((Inputs!$E$5:$E$130=$B44)*Inputs!$F$5:$F$130*(((Inputs!$G$5:$G$130="moeda")+(Inputs!$G$5:$G$130="acoes"))*Inputs!$B$1+((Inputs!$G$5:$G$130&lt;&gt;"moeda")*(Inputs!$G$5:$G$130&lt;&gt;"acoes")))*INDEX(Inputs!$K$5:$AJ$130,0,MATCH(AH$2,Inputs!$K$4:$AJ$4,0)))))</f>
        <v>-10036</v>
      </c>
      <c r="AI44" s="6">
        <f>IF(ISNA(MATCH(AI$2,Inputs!$K$4:$AJ$4,0)),NA(),IF(SUMPRODUCT((Inputs!$A$5:$A$130=$B44)*ISNUMBER(INDEX(Inputs!$K$5:$AJ$130,0,MATCH(AI$2,Inputs!$K$4:$AJ$4,0))))+SUMPRODUCT((Inputs!$C$5:$C$130=$B44)*ISNUMBER(INDEX(Inputs!$K$5:$AJ$130,0,MATCH(AI$2,Inputs!$K$4:$AJ$4,0))))+SUMPRODUCT((Inputs!$E$5:$E$130=$B44)*ISNUMBER(INDEX(Inputs!$K$5:$AJ$130,0,MATCH(AI$2,Inputs!$K$4:$AJ$4,0))))=0,NA(),SUMPRODUCT((Inputs!$A$5:$A$130=$B44)*Inputs!$B$5:$B$130*(((Inputs!$G$5:$G$130="moeda")+(Inputs!$G$5:$G$130="acoes"))*Inputs!$B$1+((Inputs!$G$5:$G$130&lt;&gt;"moeda")*(Inputs!$G$5:$G$130&lt;&gt;"acoes")))*INDEX(Inputs!$K$5:$AJ$130,0,MATCH(AI$2,Inputs!$K$4:$AJ$4,0)))+SUMPRODUCT((Inputs!$C$5:$C$130=$B44)*Inputs!$D$5:$D$130*(((Inputs!$G$5:$G$130="moeda")+(Inputs!$G$5:$G$130="acoes"))*Inputs!$B$1+((Inputs!$G$5:$G$130&lt;&gt;"moeda")*(Inputs!$G$5:$G$130&lt;&gt;"acoes")))*INDEX(Inputs!$K$5:$AJ$130,0,MATCH(AI$2,Inputs!$K$4:$AJ$4,0)))+SUMPRODUCT((Inputs!$E$5:$E$130=$B44)*Inputs!$F$5:$F$130*(((Inputs!$G$5:$G$130="moeda")+(Inputs!$G$5:$G$130="acoes"))*Inputs!$B$1+((Inputs!$G$5:$G$130&lt;&gt;"moeda")*(Inputs!$G$5:$G$130&lt;&gt;"acoes")))*INDEX(Inputs!$K$5:$AJ$130,0,MATCH(AI$2,Inputs!$K$4:$AJ$4,0)))))</f>
        <v>-10232</v>
      </c>
      <c r="AJ44" s="6">
        <f>IF(ISNA(MATCH(AJ$2,Inputs!$K$4:$AJ$4,0)),NA(),IF(SUMPRODUCT((Inputs!$A$5:$A$130=$B44)*ISNUMBER(INDEX(Inputs!$K$5:$AJ$130,0,MATCH(AJ$2,Inputs!$K$4:$AJ$4,0))))+SUMPRODUCT((Inputs!$C$5:$C$130=$B44)*ISNUMBER(INDEX(Inputs!$K$5:$AJ$130,0,MATCH(AJ$2,Inputs!$K$4:$AJ$4,0))))+SUMPRODUCT((Inputs!$E$5:$E$130=$B44)*ISNUMBER(INDEX(Inputs!$K$5:$AJ$130,0,MATCH(AJ$2,Inputs!$K$4:$AJ$4,0))))=0,NA(),SUMPRODUCT((Inputs!$A$5:$A$130=$B44)*Inputs!$B$5:$B$130*(((Inputs!$G$5:$G$130="moeda")+(Inputs!$G$5:$G$130="acoes"))*Inputs!$B$1+((Inputs!$G$5:$G$130&lt;&gt;"moeda")*(Inputs!$G$5:$G$130&lt;&gt;"acoes")))*INDEX(Inputs!$K$5:$AJ$130,0,MATCH(AJ$2,Inputs!$K$4:$AJ$4,0)))+SUMPRODUCT((Inputs!$C$5:$C$130=$B44)*Inputs!$D$5:$D$130*(((Inputs!$G$5:$G$130="moeda")+(Inputs!$G$5:$G$130="acoes"))*Inputs!$B$1+((Inputs!$G$5:$G$130&lt;&gt;"moeda")*(Inputs!$G$5:$G$130&lt;&gt;"acoes")))*INDEX(Inputs!$K$5:$AJ$130,0,MATCH(AJ$2,Inputs!$K$4:$AJ$4,0)))+SUMPRODUCT((Inputs!$E$5:$E$130=$B44)*Inputs!$F$5:$F$130*(((Inputs!$G$5:$G$130="moeda")+(Inputs!$G$5:$G$130="acoes"))*Inputs!$B$1+((Inputs!$G$5:$G$130&lt;&gt;"moeda")*(Inputs!$G$5:$G$130&lt;&gt;"acoes")))*INDEX(Inputs!$K$5:$AJ$130,0,MATCH(AJ$2,Inputs!$K$4:$AJ$4,0)))))</f>
        <v>-10530</v>
      </c>
      <c r="AK44" s="6">
        <f>IF(ISNA(MATCH(AK$2,Inputs!$K$4:$AJ$4,0)),NA(),IF(SUMPRODUCT((Inputs!$A$5:$A$130=$B44)*ISNUMBER(INDEX(Inputs!$K$5:$AJ$130,0,MATCH(AK$2,Inputs!$K$4:$AJ$4,0))))+SUMPRODUCT((Inputs!$C$5:$C$130=$B44)*ISNUMBER(INDEX(Inputs!$K$5:$AJ$130,0,MATCH(AK$2,Inputs!$K$4:$AJ$4,0))))+SUMPRODUCT((Inputs!$E$5:$E$130=$B44)*ISNUMBER(INDEX(Inputs!$K$5:$AJ$130,0,MATCH(AK$2,Inputs!$K$4:$AJ$4,0))))=0,NA(),SUMPRODUCT((Inputs!$A$5:$A$130=$B44)*Inputs!$B$5:$B$130*(((Inputs!$G$5:$G$130="moeda")+(Inputs!$G$5:$G$130="acoes"))*Inputs!$B$1+((Inputs!$G$5:$G$130&lt;&gt;"moeda")*(Inputs!$G$5:$G$130&lt;&gt;"acoes")))*INDEX(Inputs!$K$5:$AJ$130,0,MATCH(AK$2,Inputs!$K$4:$AJ$4,0)))+SUMPRODUCT((Inputs!$C$5:$C$130=$B44)*Inputs!$D$5:$D$130*(((Inputs!$G$5:$G$130="moeda")+(Inputs!$G$5:$G$130="acoes"))*Inputs!$B$1+((Inputs!$G$5:$G$130&lt;&gt;"moeda")*(Inputs!$G$5:$G$130&lt;&gt;"acoes")))*INDEX(Inputs!$K$5:$AJ$130,0,MATCH(AK$2,Inputs!$K$4:$AJ$4,0)))+SUMPRODUCT((Inputs!$E$5:$E$130=$B44)*Inputs!$F$5:$F$130*(((Inputs!$G$5:$G$130="moeda")+(Inputs!$G$5:$G$130="acoes"))*Inputs!$B$1+((Inputs!$G$5:$G$130&lt;&gt;"moeda")*(Inputs!$G$5:$G$130&lt;&gt;"acoes")))*INDEX(Inputs!$K$5:$AJ$130,0,MATCH(AK$2,Inputs!$K$4:$AJ$4,0)))))</f>
        <v>-10756</v>
      </c>
      <c r="AL44" s="3">
        <f>AK44</f>
        <v>-10756</v>
      </c>
    </row>
    <row r="45">
      <c r="B45" s="46" t="n">
        <v>39</v>
      </c>
      <c r="C45" s="26" t="inlineStr">
        <is>
          <t>Comprehensive (accumulated) loss</t>
        </is>
      </c>
      <c r="D45" s="6">
        <f>IF(ISNA(MATCH(D$2,Inputs!$K$4:$AJ$4,0)),NA(),IF(SUMPRODUCT((Inputs!$A$5:$A$130=$B45)*ISNUMBER(INDEX(Inputs!$K$5:$AJ$130,0,MATCH(D$2,Inputs!$K$4:$AJ$4,0))))+SUMPRODUCT((Inputs!$C$5:$C$130=$B45)*ISNUMBER(INDEX(Inputs!$K$5:$AJ$130,0,MATCH(D$2,Inputs!$K$4:$AJ$4,0))))+SUMPRODUCT((Inputs!$E$5:$E$130=$B45)*ISNUMBER(INDEX(Inputs!$K$5:$AJ$130,0,MATCH(D$2,Inputs!$K$4:$AJ$4,0))))=0,NA(),SUMPRODUCT((Inputs!$A$5:$A$130=$B45)*Inputs!$B$5:$B$130*(((Inputs!$G$5:$G$130="moeda")+(Inputs!$G$5:$G$130="acoes"))*Inputs!$B$1+((Inputs!$G$5:$G$130&lt;&gt;"moeda")*(Inputs!$G$5:$G$130&lt;&gt;"acoes")))*INDEX(Inputs!$K$5:$AJ$130,0,MATCH(D$2,Inputs!$K$4:$AJ$4,0)))+SUMPRODUCT((Inputs!$C$5:$C$130=$B45)*Inputs!$D$5:$D$130*(((Inputs!$G$5:$G$130="moeda")+(Inputs!$G$5:$G$130="acoes"))*Inputs!$B$1+((Inputs!$G$5:$G$130&lt;&gt;"moeda")*(Inputs!$G$5:$G$130&lt;&gt;"acoes")))*INDEX(Inputs!$K$5:$AJ$130,0,MATCH(D$2,Inputs!$K$4:$AJ$4,0)))+SUMPRODUCT((Inputs!$E$5:$E$130=$B45)*Inputs!$F$5:$F$130*(((Inputs!$G$5:$G$130="moeda")+(Inputs!$G$5:$G$130="acoes"))*Inputs!$B$1+((Inputs!$G$5:$G$130&lt;&gt;"moeda")*(Inputs!$G$5:$G$130&lt;&gt;"acoes")))*INDEX(Inputs!$K$5:$AJ$130,0,MATCH(D$2,Inputs!$K$4:$AJ$4,0)))))</f>
        <v>14</v>
      </c>
      <c r="E45" s="6">
        <f>IF(ISNA(MATCH(E$2,Inputs!$K$4:$AJ$4,0)),NA(),IF(SUMPRODUCT((Inputs!$A$5:$A$130=$B45)*ISNUMBER(INDEX(Inputs!$K$5:$AJ$130,0,MATCH(E$2,Inputs!$K$4:$AJ$4,0))))+SUMPRODUCT((Inputs!$C$5:$C$130=$B45)*ISNUMBER(INDEX(Inputs!$K$5:$AJ$130,0,MATCH(E$2,Inputs!$K$4:$AJ$4,0))))+SUMPRODUCT((Inputs!$E$5:$E$130=$B45)*ISNUMBER(INDEX(Inputs!$K$5:$AJ$130,0,MATCH(E$2,Inputs!$K$4:$AJ$4,0))))=0,NA(),SUMPRODUCT((Inputs!$A$5:$A$130=$B45)*Inputs!$B$5:$B$130*(((Inputs!$G$5:$G$130="moeda")+(Inputs!$G$5:$G$130="acoes"))*Inputs!$B$1+((Inputs!$G$5:$G$130&lt;&gt;"moeda")*(Inputs!$G$5:$G$130&lt;&gt;"acoes")))*INDEX(Inputs!$K$5:$AJ$130,0,MATCH(E$2,Inputs!$K$4:$AJ$4,0)))+SUMPRODUCT((Inputs!$C$5:$C$130=$B45)*Inputs!$D$5:$D$130*(((Inputs!$G$5:$G$130="moeda")+(Inputs!$G$5:$G$130="acoes"))*Inputs!$B$1+((Inputs!$G$5:$G$130&lt;&gt;"moeda")*(Inputs!$G$5:$G$130&lt;&gt;"acoes")))*INDEX(Inputs!$K$5:$AJ$130,0,MATCH(E$2,Inputs!$K$4:$AJ$4,0)))+SUMPRODUCT((Inputs!$E$5:$E$130=$B45)*Inputs!$F$5:$F$130*(((Inputs!$G$5:$G$130="moeda")+(Inputs!$G$5:$G$130="acoes"))*Inputs!$B$1+((Inputs!$G$5:$G$130&lt;&gt;"moeda")*(Inputs!$G$5:$G$130&lt;&gt;"acoes")))*INDEX(Inputs!$K$5:$AJ$130,0,MATCH(E$2,Inputs!$K$4:$AJ$4,0)))))</f>
        <v>8</v>
      </c>
      <c r="F45" s="6">
        <f>IF(ISNA(MATCH(F$2,Inputs!$K$4:$AJ$4,0)),NA(),IF(SUMPRODUCT((Inputs!$A$5:$A$130=$B45)*ISNUMBER(INDEX(Inputs!$K$5:$AJ$130,0,MATCH(F$2,Inputs!$K$4:$AJ$4,0))))+SUMPRODUCT((Inputs!$C$5:$C$130=$B45)*ISNUMBER(INDEX(Inputs!$K$5:$AJ$130,0,MATCH(F$2,Inputs!$K$4:$AJ$4,0))))+SUMPRODUCT((Inputs!$E$5:$E$130=$B45)*ISNUMBER(INDEX(Inputs!$K$5:$AJ$130,0,MATCH(F$2,Inputs!$K$4:$AJ$4,0))))=0,NA(),SUMPRODUCT((Inputs!$A$5:$A$130=$B45)*Inputs!$B$5:$B$130*(((Inputs!$G$5:$G$130="moeda")+(Inputs!$G$5:$G$130="acoes"))*Inputs!$B$1+((Inputs!$G$5:$G$130&lt;&gt;"moeda")*(Inputs!$G$5:$G$130&lt;&gt;"acoes")))*INDEX(Inputs!$K$5:$AJ$130,0,MATCH(F$2,Inputs!$K$4:$AJ$4,0)))+SUMPRODUCT((Inputs!$C$5:$C$130=$B45)*Inputs!$D$5:$D$130*(((Inputs!$G$5:$G$130="moeda")+(Inputs!$G$5:$G$130="acoes"))*Inputs!$B$1+((Inputs!$G$5:$G$130&lt;&gt;"moeda")*(Inputs!$G$5:$G$130&lt;&gt;"acoes")))*INDEX(Inputs!$K$5:$AJ$130,0,MATCH(F$2,Inputs!$K$4:$AJ$4,0)))+SUMPRODUCT((Inputs!$E$5:$E$130=$B45)*Inputs!$F$5:$F$130*(((Inputs!$G$5:$G$130="moeda")+(Inputs!$G$5:$G$130="acoes"))*Inputs!$B$1+((Inputs!$G$5:$G$130&lt;&gt;"moeda")*(Inputs!$G$5:$G$130&lt;&gt;"acoes")))*INDEX(Inputs!$K$5:$AJ$130,0,MATCH(F$2,Inputs!$K$4:$AJ$4,0)))))</f>
        <v>9</v>
      </c>
      <c r="G45" s="6">
        <f>IF(ISNA(MATCH(G$2,Inputs!$K$4:$AJ$4,0)),NA(),IF(SUMPRODUCT((Inputs!$A$5:$A$130=$B45)*ISNUMBER(INDEX(Inputs!$K$5:$AJ$130,0,MATCH(G$2,Inputs!$K$4:$AJ$4,0))))+SUMPRODUCT((Inputs!$C$5:$C$130=$B45)*ISNUMBER(INDEX(Inputs!$K$5:$AJ$130,0,MATCH(G$2,Inputs!$K$4:$AJ$4,0))))+SUMPRODUCT((Inputs!$E$5:$E$130=$B45)*ISNUMBER(INDEX(Inputs!$K$5:$AJ$130,0,MATCH(G$2,Inputs!$K$4:$AJ$4,0))))=0,NA(),SUMPRODUCT((Inputs!$A$5:$A$130=$B45)*Inputs!$B$5:$B$130*(((Inputs!$G$5:$G$130="moeda")+(Inputs!$G$5:$G$130="acoes"))*Inputs!$B$1+((Inputs!$G$5:$G$130&lt;&gt;"moeda")*(Inputs!$G$5:$G$130&lt;&gt;"acoes")))*INDEX(Inputs!$K$5:$AJ$130,0,MATCH(G$2,Inputs!$K$4:$AJ$4,0)))+SUMPRODUCT((Inputs!$C$5:$C$130=$B45)*Inputs!$D$5:$D$130*(((Inputs!$G$5:$G$130="moeda")+(Inputs!$G$5:$G$130="acoes"))*Inputs!$B$1+((Inputs!$G$5:$G$130&lt;&gt;"moeda")*(Inputs!$G$5:$G$130&lt;&gt;"acoes")))*INDEX(Inputs!$K$5:$AJ$130,0,MATCH(G$2,Inputs!$K$4:$AJ$4,0)))+SUMPRODUCT((Inputs!$E$5:$E$130=$B45)*Inputs!$F$5:$F$130*(((Inputs!$G$5:$G$130="moeda")+(Inputs!$G$5:$G$130="acoes"))*Inputs!$B$1+((Inputs!$G$5:$G$130&lt;&gt;"moeda")*(Inputs!$G$5:$G$130&lt;&gt;"acoes")))*INDEX(Inputs!$K$5:$AJ$130,0,MATCH(G$2,Inputs!$K$4:$AJ$4,0)))))</f>
        <v>-11</v>
      </c>
      <c r="H45" s="3">
        <f>G45</f>
        <v>-11</v>
      </c>
      <c r="I45" s="6">
        <f>IF(ISNA(MATCH(I$2,Inputs!$K$4:$AJ$4,0)),NA(),IF(SUMPRODUCT((Inputs!$A$5:$A$130=$B45)*ISNUMBER(INDEX(Inputs!$K$5:$AJ$130,0,MATCH(I$2,Inputs!$K$4:$AJ$4,0))))+SUMPRODUCT((Inputs!$C$5:$C$130=$B45)*ISNUMBER(INDEX(Inputs!$K$5:$AJ$130,0,MATCH(I$2,Inputs!$K$4:$AJ$4,0))))+SUMPRODUCT((Inputs!$E$5:$E$130=$B45)*ISNUMBER(INDEX(Inputs!$K$5:$AJ$130,0,MATCH(I$2,Inputs!$K$4:$AJ$4,0))))=0,NA(),SUMPRODUCT((Inputs!$A$5:$A$130=$B45)*Inputs!$B$5:$B$130*(((Inputs!$G$5:$G$130="moeda")+(Inputs!$G$5:$G$130="acoes"))*Inputs!$B$1+((Inputs!$G$5:$G$130&lt;&gt;"moeda")*(Inputs!$G$5:$G$130&lt;&gt;"acoes")))*INDEX(Inputs!$K$5:$AJ$130,0,MATCH(I$2,Inputs!$K$4:$AJ$4,0)))+SUMPRODUCT((Inputs!$C$5:$C$130=$B45)*Inputs!$D$5:$D$130*(((Inputs!$G$5:$G$130="moeda")+(Inputs!$G$5:$G$130="acoes"))*Inputs!$B$1+((Inputs!$G$5:$G$130&lt;&gt;"moeda")*(Inputs!$G$5:$G$130&lt;&gt;"acoes")))*INDEX(Inputs!$K$5:$AJ$130,0,MATCH(I$2,Inputs!$K$4:$AJ$4,0)))+SUMPRODUCT((Inputs!$E$5:$E$130=$B45)*Inputs!$F$5:$F$130*(((Inputs!$G$5:$G$130="moeda")+(Inputs!$G$5:$G$130="acoes"))*Inputs!$B$1+((Inputs!$G$5:$G$130&lt;&gt;"moeda")*(Inputs!$G$5:$G$130&lt;&gt;"acoes")))*INDEX(Inputs!$K$5:$AJ$130,0,MATCH(I$2,Inputs!$K$4:$AJ$4,0)))))</f>
        <v>-64</v>
      </c>
      <c r="J45" s="6">
        <f>IF(ISNA(MATCH(J$2,Inputs!$K$4:$AJ$4,0)),NA(),IF(SUMPRODUCT((Inputs!$A$5:$A$130=$B45)*ISNUMBER(INDEX(Inputs!$K$5:$AJ$130,0,MATCH(J$2,Inputs!$K$4:$AJ$4,0))))+SUMPRODUCT((Inputs!$C$5:$C$130=$B45)*ISNUMBER(INDEX(Inputs!$K$5:$AJ$130,0,MATCH(J$2,Inputs!$K$4:$AJ$4,0))))+SUMPRODUCT((Inputs!$E$5:$E$130=$B45)*ISNUMBER(INDEX(Inputs!$K$5:$AJ$130,0,MATCH(J$2,Inputs!$K$4:$AJ$4,0))))=0,NA(),SUMPRODUCT((Inputs!$A$5:$A$130=$B45)*Inputs!$B$5:$B$130*(((Inputs!$G$5:$G$130="moeda")+(Inputs!$G$5:$G$130="acoes"))*Inputs!$B$1+((Inputs!$G$5:$G$130&lt;&gt;"moeda")*(Inputs!$G$5:$G$130&lt;&gt;"acoes")))*INDEX(Inputs!$K$5:$AJ$130,0,MATCH(J$2,Inputs!$K$4:$AJ$4,0)))+SUMPRODUCT((Inputs!$C$5:$C$130=$B45)*Inputs!$D$5:$D$130*(((Inputs!$G$5:$G$130="moeda")+(Inputs!$G$5:$G$130="acoes"))*Inputs!$B$1+((Inputs!$G$5:$G$130&lt;&gt;"moeda")*(Inputs!$G$5:$G$130&lt;&gt;"acoes")))*INDEX(Inputs!$K$5:$AJ$130,0,MATCH(J$2,Inputs!$K$4:$AJ$4,0)))+SUMPRODUCT((Inputs!$E$5:$E$130=$B45)*Inputs!$F$5:$F$130*(((Inputs!$G$5:$G$130="moeda")+(Inputs!$G$5:$G$130="acoes"))*Inputs!$B$1+((Inputs!$G$5:$G$130&lt;&gt;"moeda")*(Inputs!$G$5:$G$130&lt;&gt;"acoes")))*INDEX(Inputs!$K$5:$AJ$130,0,MATCH(J$2,Inputs!$K$4:$AJ$4,0)))))</f>
        <v>-90</v>
      </c>
      <c r="K45" s="6">
        <f>IF(ISNA(MATCH(K$2,Inputs!$K$4:$AJ$4,0)),NA(),IF(SUMPRODUCT((Inputs!$A$5:$A$130=$B45)*ISNUMBER(INDEX(Inputs!$K$5:$AJ$130,0,MATCH(K$2,Inputs!$K$4:$AJ$4,0))))+SUMPRODUCT((Inputs!$C$5:$C$130=$B45)*ISNUMBER(INDEX(Inputs!$K$5:$AJ$130,0,MATCH(K$2,Inputs!$K$4:$AJ$4,0))))+SUMPRODUCT((Inputs!$E$5:$E$130=$B45)*ISNUMBER(INDEX(Inputs!$K$5:$AJ$130,0,MATCH(K$2,Inputs!$K$4:$AJ$4,0))))=0,NA(),SUMPRODUCT((Inputs!$A$5:$A$130=$B45)*Inputs!$B$5:$B$130*(((Inputs!$G$5:$G$130="moeda")+(Inputs!$G$5:$G$130="acoes"))*Inputs!$B$1+((Inputs!$G$5:$G$130&lt;&gt;"moeda")*(Inputs!$G$5:$G$130&lt;&gt;"acoes")))*INDEX(Inputs!$K$5:$AJ$130,0,MATCH(K$2,Inputs!$K$4:$AJ$4,0)))+SUMPRODUCT((Inputs!$C$5:$C$130=$B45)*Inputs!$D$5:$D$130*(((Inputs!$G$5:$G$130="moeda")+(Inputs!$G$5:$G$130="acoes"))*Inputs!$B$1+((Inputs!$G$5:$G$130&lt;&gt;"moeda")*(Inputs!$G$5:$G$130&lt;&gt;"acoes")))*INDEX(Inputs!$K$5:$AJ$130,0,MATCH(K$2,Inputs!$K$4:$AJ$4,0)))+SUMPRODUCT((Inputs!$E$5:$E$130=$B45)*Inputs!$F$5:$F$130*(((Inputs!$G$5:$G$130="moeda")+(Inputs!$G$5:$G$130="acoes"))*Inputs!$B$1+((Inputs!$G$5:$G$130&lt;&gt;"moeda")*(Inputs!$G$5:$G$130&lt;&gt;"acoes")))*INDEX(Inputs!$K$5:$AJ$130,0,MATCH(K$2,Inputs!$K$4:$AJ$4,0)))))</f>
        <v>-123</v>
      </c>
      <c r="L45" s="6">
        <f>IF(ISNA(MATCH(L$2,Inputs!$K$4:$AJ$4,0)),NA(),IF(SUMPRODUCT((Inputs!$A$5:$A$130=$B45)*ISNUMBER(INDEX(Inputs!$K$5:$AJ$130,0,MATCH(L$2,Inputs!$K$4:$AJ$4,0))))+SUMPRODUCT((Inputs!$C$5:$C$130=$B45)*ISNUMBER(INDEX(Inputs!$K$5:$AJ$130,0,MATCH(L$2,Inputs!$K$4:$AJ$4,0))))+SUMPRODUCT((Inputs!$E$5:$E$130=$B45)*ISNUMBER(INDEX(Inputs!$K$5:$AJ$130,0,MATCH(L$2,Inputs!$K$4:$AJ$4,0))))=0,NA(),SUMPRODUCT((Inputs!$A$5:$A$130=$B45)*Inputs!$B$5:$B$130*(((Inputs!$G$5:$G$130="moeda")+(Inputs!$G$5:$G$130="acoes"))*Inputs!$B$1+((Inputs!$G$5:$G$130&lt;&gt;"moeda")*(Inputs!$G$5:$G$130&lt;&gt;"acoes")))*INDEX(Inputs!$K$5:$AJ$130,0,MATCH(L$2,Inputs!$K$4:$AJ$4,0)))+SUMPRODUCT((Inputs!$C$5:$C$130=$B45)*Inputs!$D$5:$D$130*(((Inputs!$G$5:$G$130="moeda")+(Inputs!$G$5:$G$130="acoes"))*Inputs!$B$1+((Inputs!$G$5:$G$130&lt;&gt;"moeda")*(Inputs!$G$5:$G$130&lt;&gt;"acoes")))*INDEX(Inputs!$K$5:$AJ$130,0,MATCH(L$2,Inputs!$K$4:$AJ$4,0)))+SUMPRODUCT((Inputs!$E$5:$E$130=$B45)*Inputs!$F$5:$F$130*(((Inputs!$G$5:$G$130="moeda")+(Inputs!$G$5:$G$130="acoes"))*Inputs!$B$1+((Inputs!$G$5:$G$130&lt;&gt;"moeda")*(Inputs!$G$5:$G$130&lt;&gt;"acoes")))*INDEX(Inputs!$K$5:$AJ$130,0,MATCH(L$2,Inputs!$K$4:$AJ$4,0)))))</f>
        <v>-43</v>
      </c>
      <c r="M45" s="3">
        <f>L45</f>
        <v>-43</v>
      </c>
      <c r="N45" s="6">
        <f>IF(ISNA(MATCH(N$2,Inputs!$K$4:$AJ$4,0)),NA(),IF(SUMPRODUCT((Inputs!$A$5:$A$130=$B45)*ISNUMBER(INDEX(Inputs!$K$5:$AJ$130,0,MATCH(N$2,Inputs!$K$4:$AJ$4,0))))+SUMPRODUCT((Inputs!$C$5:$C$130=$B45)*ISNUMBER(INDEX(Inputs!$K$5:$AJ$130,0,MATCH(N$2,Inputs!$K$4:$AJ$4,0))))+SUMPRODUCT((Inputs!$E$5:$E$130=$B45)*ISNUMBER(INDEX(Inputs!$K$5:$AJ$130,0,MATCH(N$2,Inputs!$K$4:$AJ$4,0))))=0,NA(),SUMPRODUCT((Inputs!$A$5:$A$130=$B45)*Inputs!$B$5:$B$130*(((Inputs!$G$5:$G$130="moeda")+(Inputs!$G$5:$G$130="acoes"))*Inputs!$B$1+((Inputs!$G$5:$G$130&lt;&gt;"moeda")*(Inputs!$G$5:$G$130&lt;&gt;"acoes")))*INDEX(Inputs!$K$5:$AJ$130,0,MATCH(N$2,Inputs!$K$4:$AJ$4,0)))+SUMPRODUCT((Inputs!$C$5:$C$130=$B45)*Inputs!$D$5:$D$130*(((Inputs!$G$5:$G$130="moeda")+(Inputs!$G$5:$G$130="acoes"))*Inputs!$B$1+((Inputs!$G$5:$G$130&lt;&gt;"moeda")*(Inputs!$G$5:$G$130&lt;&gt;"acoes")))*INDEX(Inputs!$K$5:$AJ$130,0,MATCH(N$2,Inputs!$K$4:$AJ$4,0)))+SUMPRODUCT((Inputs!$E$5:$E$130=$B45)*Inputs!$F$5:$F$130*(((Inputs!$G$5:$G$130="moeda")+(Inputs!$G$5:$G$130="acoes"))*Inputs!$B$1+((Inputs!$G$5:$G$130&lt;&gt;"moeda")*(Inputs!$G$5:$G$130&lt;&gt;"acoes")))*INDEX(Inputs!$K$5:$AJ$130,0,MATCH(N$2,Inputs!$K$4:$AJ$4,0)))))</f>
        <v>-50</v>
      </c>
      <c r="O45" s="6">
        <f>IF(ISNA(MATCH(O$2,Inputs!$K$4:$AJ$4,0)),NA(),IF(SUMPRODUCT((Inputs!$A$5:$A$130=$B45)*ISNUMBER(INDEX(Inputs!$K$5:$AJ$130,0,MATCH(O$2,Inputs!$K$4:$AJ$4,0))))+SUMPRODUCT((Inputs!$C$5:$C$130=$B45)*ISNUMBER(INDEX(Inputs!$K$5:$AJ$130,0,MATCH(O$2,Inputs!$K$4:$AJ$4,0))))+SUMPRODUCT((Inputs!$E$5:$E$130=$B45)*ISNUMBER(INDEX(Inputs!$K$5:$AJ$130,0,MATCH(O$2,Inputs!$K$4:$AJ$4,0))))=0,NA(),SUMPRODUCT((Inputs!$A$5:$A$130=$B45)*Inputs!$B$5:$B$130*(((Inputs!$G$5:$G$130="moeda")+(Inputs!$G$5:$G$130="acoes"))*Inputs!$B$1+((Inputs!$G$5:$G$130&lt;&gt;"moeda")*(Inputs!$G$5:$G$130&lt;&gt;"acoes")))*INDEX(Inputs!$K$5:$AJ$130,0,MATCH(O$2,Inputs!$K$4:$AJ$4,0)))+SUMPRODUCT((Inputs!$C$5:$C$130=$B45)*Inputs!$D$5:$D$130*(((Inputs!$G$5:$G$130="moeda")+(Inputs!$G$5:$G$130="acoes"))*Inputs!$B$1+((Inputs!$G$5:$G$130&lt;&gt;"moeda")*(Inputs!$G$5:$G$130&lt;&gt;"acoes")))*INDEX(Inputs!$K$5:$AJ$130,0,MATCH(O$2,Inputs!$K$4:$AJ$4,0)))+SUMPRODUCT((Inputs!$E$5:$E$130=$B45)*Inputs!$F$5:$F$130*(((Inputs!$G$5:$G$130="moeda")+(Inputs!$G$5:$G$130="acoes"))*Inputs!$B$1+((Inputs!$G$5:$G$130&lt;&gt;"moeda")*(Inputs!$G$5:$G$130&lt;&gt;"acoes")))*INDEX(Inputs!$K$5:$AJ$130,0,MATCH(O$2,Inputs!$K$4:$AJ$4,0)))))</f>
        <v>-51</v>
      </c>
      <c r="P45" s="6">
        <f>IF(ISNA(MATCH(P$2,Inputs!$K$4:$AJ$4,0)),NA(),IF(SUMPRODUCT((Inputs!$A$5:$A$130=$B45)*ISNUMBER(INDEX(Inputs!$K$5:$AJ$130,0,MATCH(P$2,Inputs!$K$4:$AJ$4,0))))+SUMPRODUCT((Inputs!$C$5:$C$130=$B45)*ISNUMBER(INDEX(Inputs!$K$5:$AJ$130,0,MATCH(P$2,Inputs!$K$4:$AJ$4,0))))+SUMPRODUCT((Inputs!$E$5:$E$130=$B45)*ISNUMBER(INDEX(Inputs!$K$5:$AJ$130,0,MATCH(P$2,Inputs!$K$4:$AJ$4,0))))=0,NA(),SUMPRODUCT((Inputs!$A$5:$A$130=$B45)*Inputs!$B$5:$B$130*(((Inputs!$G$5:$G$130="moeda")+(Inputs!$G$5:$G$130="acoes"))*Inputs!$B$1+((Inputs!$G$5:$G$130&lt;&gt;"moeda")*(Inputs!$G$5:$G$130&lt;&gt;"acoes")))*INDEX(Inputs!$K$5:$AJ$130,0,MATCH(P$2,Inputs!$K$4:$AJ$4,0)))+SUMPRODUCT((Inputs!$C$5:$C$130=$B45)*Inputs!$D$5:$D$130*(((Inputs!$G$5:$G$130="moeda")+(Inputs!$G$5:$G$130="acoes"))*Inputs!$B$1+((Inputs!$G$5:$G$130&lt;&gt;"moeda")*(Inputs!$G$5:$G$130&lt;&gt;"acoes")))*INDEX(Inputs!$K$5:$AJ$130,0,MATCH(P$2,Inputs!$K$4:$AJ$4,0)))+SUMPRODUCT((Inputs!$E$5:$E$130=$B45)*Inputs!$F$5:$F$130*(((Inputs!$G$5:$G$130="moeda")+(Inputs!$G$5:$G$130="acoes"))*Inputs!$B$1+((Inputs!$G$5:$G$130&lt;&gt;"moeda")*(Inputs!$G$5:$G$130&lt;&gt;"acoes")))*INDEX(Inputs!$K$5:$AJ$130,0,MATCH(P$2,Inputs!$K$4:$AJ$4,0)))))</f>
        <v>-88</v>
      </c>
      <c r="Q45" s="6">
        <f>IF(ISNA(MATCH(Q$2,Inputs!$K$4:$AJ$4,0)),NA(),IF(SUMPRODUCT((Inputs!$A$5:$A$130=$B45)*ISNUMBER(INDEX(Inputs!$K$5:$AJ$130,0,MATCH(Q$2,Inputs!$K$4:$AJ$4,0))))+SUMPRODUCT((Inputs!$C$5:$C$130=$B45)*ISNUMBER(INDEX(Inputs!$K$5:$AJ$130,0,MATCH(Q$2,Inputs!$K$4:$AJ$4,0))))+SUMPRODUCT((Inputs!$E$5:$E$130=$B45)*ISNUMBER(INDEX(Inputs!$K$5:$AJ$130,0,MATCH(Q$2,Inputs!$K$4:$AJ$4,0))))=0,NA(),SUMPRODUCT((Inputs!$A$5:$A$130=$B45)*Inputs!$B$5:$B$130*(((Inputs!$G$5:$G$130="moeda")+(Inputs!$G$5:$G$130="acoes"))*Inputs!$B$1+((Inputs!$G$5:$G$130&lt;&gt;"moeda")*(Inputs!$G$5:$G$130&lt;&gt;"acoes")))*INDEX(Inputs!$K$5:$AJ$130,0,MATCH(Q$2,Inputs!$K$4:$AJ$4,0)))+SUMPRODUCT((Inputs!$C$5:$C$130=$B45)*Inputs!$D$5:$D$130*(((Inputs!$G$5:$G$130="moeda")+(Inputs!$G$5:$G$130="acoes"))*Inputs!$B$1+((Inputs!$G$5:$G$130&lt;&gt;"moeda")*(Inputs!$G$5:$G$130&lt;&gt;"acoes")))*INDEX(Inputs!$K$5:$AJ$130,0,MATCH(Q$2,Inputs!$K$4:$AJ$4,0)))+SUMPRODUCT((Inputs!$E$5:$E$130=$B45)*Inputs!$F$5:$F$130*(((Inputs!$G$5:$G$130="moeda")+(Inputs!$G$5:$G$130="acoes"))*Inputs!$B$1+((Inputs!$G$5:$G$130&lt;&gt;"moeda")*(Inputs!$G$5:$G$130&lt;&gt;"acoes")))*INDEX(Inputs!$K$5:$AJ$130,0,MATCH(Q$2,Inputs!$K$4:$AJ$4,0)))))</f>
        <v>27</v>
      </c>
      <c r="R45" s="3">
        <f>Q45</f>
        <v>27</v>
      </c>
      <c r="S45" s="6">
        <f>IF(ISNA(MATCH(S$2,Inputs!$K$4:$AJ$4,0)),NA(),IF(SUMPRODUCT((Inputs!$A$5:$A$130=$B45)*ISNUMBER(INDEX(Inputs!$K$5:$AJ$130,0,MATCH(S$2,Inputs!$K$4:$AJ$4,0))))+SUMPRODUCT((Inputs!$C$5:$C$130=$B45)*ISNUMBER(INDEX(Inputs!$K$5:$AJ$130,0,MATCH(S$2,Inputs!$K$4:$AJ$4,0))))+SUMPRODUCT((Inputs!$E$5:$E$130=$B45)*ISNUMBER(INDEX(Inputs!$K$5:$AJ$130,0,MATCH(S$2,Inputs!$K$4:$AJ$4,0))))=0,NA(),SUMPRODUCT((Inputs!$A$5:$A$130=$B45)*Inputs!$B$5:$B$130*(((Inputs!$G$5:$G$130="moeda")+(Inputs!$G$5:$G$130="acoes"))*Inputs!$B$1+((Inputs!$G$5:$G$130&lt;&gt;"moeda")*(Inputs!$G$5:$G$130&lt;&gt;"acoes")))*INDEX(Inputs!$K$5:$AJ$130,0,MATCH(S$2,Inputs!$K$4:$AJ$4,0)))+SUMPRODUCT((Inputs!$C$5:$C$130=$B45)*Inputs!$D$5:$D$130*(((Inputs!$G$5:$G$130="moeda")+(Inputs!$G$5:$G$130="acoes"))*Inputs!$B$1+((Inputs!$G$5:$G$130&lt;&gt;"moeda")*(Inputs!$G$5:$G$130&lt;&gt;"acoes")))*INDEX(Inputs!$K$5:$AJ$130,0,MATCH(S$2,Inputs!$K$4:$AJ$4,0)))+SUMPRODUCT((Inputs!$E$5:$E$130=$B45)*Inputs!$F$5:$F$130*(((Inputs!$G$5:$G$130="moeda")+(Inputs!$G$5:$G$130="acoes"))*Inputs!$B$1+((Inputs!$G$5:$G$130&lt;&gt;"moeda")*(Inputs!$G$5:$G$130&lt;&gt;"acoes")))*INDEX(Inputs!$K$5:$AJ$130,0,MATCH(S$2,Inputs!$K$4:$AJ$4,0)))))</f>
        <v>-109</v>
      </c>
      <c r="T45" s="6">
        <f>IF(ISNA(MATCH(T$2,Inputs!$K$4:$AJ$4,0)),NA(),IF(SUMPRODUCT((Inputs!$A$5:$A$130=$B45)*ISNUMBER(INDEX(Inputs!$K$5:$AJ$130,0,MATCH(T$2,Inputs!$K$4:$AJ$4,0))))+SUMPRODUCT((Inputs!$C$5:$C$130=$B45)*ISNUMBER(INDEX(Inputs!$K$5:$AJ$130,0,MATCH(T$2,Inputs!$K$4:$AJ$4,0))))+SUMPRODUCT((Inputs!$E$5:$E$130=$B45)*ISNUMBER(INDEX(Inputs!$K$5:$AJ$130,0,MATCH(T$2,Inputs!$K$4:$AJ$4,0))))=0,NA(),SUMPRODUCT((Inputs!$A$5:$A$130=$B45)*Inputs!$B$5:$B$130*(((Inputs!$G$5:$G$130="moeda")+(Inputs!$G$5:$G$130="acoes"))*Inputs!$B$1+((Inputs!$G$5:$G$130&lt;&gt;"moeda")*(Inputs!$G$5:$G$130&lt;&gt;"acoes")))*INDEX(Inputs!$K$5:$AJ$130,0,MATCH(T$2,Inputs!$K$4:$AJ$4,0)))+SUMPRODUCT((Inputs!$C$5:$C$130=$B45)*Inputs!$D$5:$D$130*(((Inputs!$G$5:$G$130="moeda")+(Inputs!$G$5:$G$130="acoes"))*Inputs!$B$1+((Inputs!$G$5:$G$130&lt;&gt;"moeda")*(Inputs!$G$5:$G$130&lt;&gt;"acoes")))*INDEX(Inputs!$K$5:$AJ$130,0,MATCH(T$2,Inputs!$K$4:$AJ$4,0)))+SUMPRODUCT((Inputs!$E$5:$E$130=$B45)*Inputs!$F$5:$F$130*(((Inputs!$G$5:$G$130="moeda")+(Inputs!$G$5:$G$130="acoes"))*Inputs!$B$1+((Inputs!$G$5:$G$130&lt;&gt;"moeda")*(Inputs!$G$5:$G$130&lt;&gt;"acoes")))*INDEX(Inputs!$K$5:$AJ$130,0,MATCH(T$2,Inputs!$K$4:$AJ$4,0)))))</f>
        <v>56</v>
      </c>
      <c r="U45" s="6">
        <f>IF(ISNA(MATCH(U$2,Inputs!$K$4:$AJ$4,0)),NA(),IF(SUMPRODUCT((Inputs!$A$5:$A$130=$B45)*ISNUMBER(INDEX(Inputs!$K$5:$AJ$130,0,MATCH(U$2,Inputs!$K$4:$AJ$4,0))))+SUMPRODUCT((Inputs!$C$5:$C$130=$B45)*ISNUMBER(INDEX(Inputs!$K$5:$AJ$130,0,MATCH(U$2,Inputs!$K$4:$AJ$4,0))))+SUMPRODUCT((Inputs!$E$5:$E$130=$B45)*ISNUMBER(INDEX(Inputs!$K$5:$AJ$130,0,MATCH(U$2,Inputs!$K$4:$AJ$4,0))))=0,NA(),SUMPRODUCT((Inputs!$A$5:$A$130=$B45)*Inputs!$B$5:$B$130*(((Inputs!$G$5:$G$130="moeda")+(Inputs!$G$5:$G$130="acoes"))*Inputs!$B$1+((Inputs!$G$5:$G$130&lt;&gt;"moeda")*(Inputs!$G$5:$G$130&lt;&gt;"acoes")))*INDEX(Inputs!$K$5:$AJ$130,0,MATCH(U$2,Inputs!$K$4:$AJ$4,0)))+SUMPRODUCT((Inputs!$C$5:$C$130=$B45)*Inputs!$D$5:$D$130*(((Inputs!$G$5:$G$130="moeda")+(Inputs!$G$5:$G$130="acoes"))*Inputs!$B$1+((Inputs!$G$5:$G$130&lt;&gt;"moeda")*(Inputs!$G$5:$G$130&lt;&gt;"acoes")))*INDEX(Inputs!$K$5:$AJ$130,0,MATCH(U$2,Inputs!$K$4:$AJ$4,0)))+SUMPRODUCT((Inputs!$E$5:$E$130=$B45)*Inputs!$F$5:$F$130*(((Inputs!$G$5:$G$130="moeda")+(Inputs!$G$5:$G$130="acoes"))*Inputs!$B$1+((Inputs!$G$5:$G$130&lt;&gt;"moeda")*(Inputs!$G$5:$G$130&lt;&gt;"acoes")))*INDEX(Inputs!$K$5:$AJ$130,0,MATCH(U$2,Inputs!$K$4:$AJ$4,0)))))</f>
        <v>103</v>
      </c>
      <c r="V45" s="6">
        <f>IF(ISNA(MATCH(V$2,Inputs!$K$4:$AJ$4,0)),NA(),IF(SUMPRODUCT((Inputs!$A$5:$A$130=$B45)*ISNUMBER(INDEX(Inputs!$K$5:$AJ$130,0,MATCH(V$2,Inputs!$K$4:$AJ$4,0))))+SUMPRODUCT((Inputs!$C$5:$C$130=$B45)*ISNUMBER(INDEX(Inputs!$K$5:$AJ$130,0,MATCH(V$2,Inputs!$K$4:$AJ$4,0))))+SUMPRODUCT((Inputs!$E$5:$E$130=$B45)*ISNUMBER(INDEX(Inputs!$K$5:$AJ$130,0,MATCH(V$2,Inputs!$K$4:$AJ$4,0))))=0,NA(),SUMPRODUCT((Inputs!$A$5:$A$130=$B45)*Inputs!$B$5:$B$130*(((Inputs!$G$5:$G$130="moeda")+(Inputs!$G$5:$G$130="acoes"))*Inputs!$B$1+((Inputs!$G$5:$G$130&lt;&gt;"moeda")*(Inputs!$G$5:$G$130&lt;&gt;"acoes")))*INDEX(Inputs!$K$5:$AJ$130,0,MATCH(V$2,Inputs!$K$4:$AJ$4,0)))+SUMPRODUCT((Inputs!$C$5:$C$130=$B45)*Inputs!$D$5:$D$130*(((Inputs!$G$5:$G$130="moeda")+(Inputs!$G$5:$G$130="acoes"))*Inputs!$B$1+((Inputs!$G$5:$G$130&lt;&gt;"moeda")*(Inputs!$G$5:$G$130&lt;&gt;"acoes")))*INDEX(Inputs!$K$5:$AJ$130,0,MATCH(V$2,Inputs!$K$4:$AJ$4,0)))+SUMPRODUCT((Inputs!$E$5:$E$130=$B45)*Inputs!$F$5:$F$130*(((Inputs!$G$5:$G$130="moeda")+(Inputs!$G$5:$G$130="acoes"))*Inputs!$B$1+((Inputs!$G$5:$G$130&lt;&gt;"moeda")*(Inputs!$G$5:$G$130&lt;&gt;"acoes")))*INDEX(Inputs!$K$5:$AJ$130,0,MATCH(V$2,Inputs!$K$4:$AJ$4,0)))))</f>
        <v>28</v>
      </c>
      <c r="W45" s="3">
        <f>V45</f>
        <v>28</v>
      </c>
      <c r="X45" s="6">
        <f>IF(ISNA(MATCH(X$2,Inputs!$K$4:$AJ$4,0)),NA(),IF(SUMPRODUCT((Inputs!$A$5:$A$130=$B45)*ISNUMBER(INDEX(Inputs!$K$5:$AJ$130,0,MATCH(X$2,Inputs!$K$4:$AJ$4,0))))+SUMPRODUCT((Inputs!$C$5:$C$130=$B45)*ISNUMBER(INDEX(Inputs!$K$5:$AJ$130,0,MATCH(X$2,Inputs!$K$4:$AJ$4,0))))+SUMPRODUCT((Inputs!$E$5:$E$130=$B45)*ISNUMBER(INDEX(Inputs!$K$5:$AJ$130,0,MATCH(X$2,Inputs!$K$4:$AJ$4,0))))=0,NA(),SUMPRODUCT((Inputs!$A$5:$A$130=$B45)*Inputs!$B$5:$B$130*(((Inputs!$G$5:$G$130="moeda")+(Inputs!$G$5:$G$130="acoes"))*Inputs!$B$1+((Inputs!$G$5:$G$130&lt;&gt;"moeda")*(Inputs!$G$5:$G$130&lt;&gt;"acoes")))*INDEX(Inputs!$K$5:$AJ$130,0,MATCH(X$2,Inputs!$K$4:$AJ$4,0)))+SUMPRODUCT((Inputs!$C$5:$C$130=$B45)*Inputs!$D$5:$D$130*(((Inputs!$G$5:$G$130="moeda")+(Inputs!$G$5:$G$130="acoes"))*Inputs!$B$1+((Inputs!$G$5:$G$130&lt;&gt;"moeda")*(Inputs!$G$5:$G$130&lt;&gt;"acoes")))*INDEX(Inputs!$K$5:$AJ$130,0,MATCH(X$2,Inputs!$K$4:$AJ$4,0)))+SUMPRODUCT((Inputs!$E$5:$E$130=$B45)*Inputs!$F$5:$F$130*(((Inputs!$G$5:$G$130="moeda")+(Inputs!$G$5:$G$130="acoes"))*Inputs!$B$1+((Inputs!$G$5:$G$130&lt;&gt;"moeda")*(Inputs!$G$5:$G$130&lt;&gt;"acoes")))*INDEX(Inputs!$K$5:$AJ$130,0,MATCH(X$2,Inputs!$K$4:$AJ$4,0)))))</f>
        <v>186</v>
      </c>
      <c r="Y45" s="6">
        <f>IF(ISNA(MATCH(Y$2,Inputs!$K$4:$AJ$4,0)),NA(),IF(SUMPRODUCT((Inputs!$A$5:$A$130=$B45)*ISNUMBER(INDEX(Inputs!$K$5:$AJ$130,0,MATCH(Y$2,Inputs!$K$4:$AJ$4,0))))+SUMPRODUCT((Inputs!$C$5:$C$130=$B45)*ISNUMBER(INDEX(Inputs!$K$5:$AJ$130,0,MATCH(Y$2,Inputs!$K$4:$AJ$4,0))))+SUMPRODUCT((Inputs!$E$5:$E$130=$B45)*ISNUMBER(INDEX(Inputs!$K$5:$AJ$130,0,MATCH(Y$2,Inputs!$K$4:$AJ$4,0))))=0,NA(),SUMPRODUCT((Inputs!$A$5:$A$130=$B45)*Inputs!$B$5:$B$130*(((Inputs!$G$5:$G$130="moeda")+(Inputs!$G$5:$G$130="acoes"))*Inputs!$B$1+((Inputs!$G$5:$G$130&lt;&gt;"moeda")*(Inputs!$G$5:$G$130&lt;&gt;"acoes")))*INDEX(Inputs!$K$5:$AJ$130,0,MATCH(Y$2,Inputs!$K$4:$AJ$4,0)))+SUMPRODUCT((Inputs!$C$5:$C$130=$B45)*Inputs!$D$5:$D$130*(((Inputs!$G$5:$G$130="moeda")+(Inputs!$G$5:$G$130="acoes"))*Inputs!$B$1+((Inputs!$G$5:$G$130&lt;&gt;"moeda")*(Inputs!$G$5:$G$130&lt;&gt;"acoes")))*INDEX(Inputs!$K$5:$AJ$130,0,MATCH(Y$2,Inputs!$K$4:$AJ$4,0)))+SUMPRODUCT((Inputs!$E$5:$E$130=$B45)*Inputs!$F$5:$F$130*(((Inputs!$G$5:$G$130="moeda")+(Inputs!$G$5:$G$130="acoes"))*Inputs!$B$1+((Inputs!$G$5:$G$130&lt;&gt;"moeda")*(Inputs!$G$5:$G$130&lt;&gt;"acoes")))*INDEX(Inputs!$K$5:$AJ$130,0,MATCH(Y$2,Inputs!$K$4:$AJ$4,0)))))</f>
        <v>170</v>
      </c>
      <c r="Z45" s="6">
        <f>IF(ISNA(MATCH(Z$2,Inputs!$K$4:$AJ$4,0)),NA(),IF(SUMPRODUCT((Inputs!$A$5:$A$130=$B45)*ISNUMBER(INDEX(Inputs!$K$5:$AJ$130,0,MATCH(Z$2,Inputs!$K$4:$AJ$4,0))))+SUMPRODUCT((Inputs!$C$5:$C$130=$B45)*ISNUMBER(INDEX(Inputs!$K$5:$AJ$130,0,MATCH(Z$2,Inputs!$K$4:$AJ$4,0))))+SUMPRODUCT((Inputs!$E$5:$E$130=$B45)*ISNUMBER(INDEX(Inputs!$K$5:$AJ$130,0,MATCH(Z$2,Inputs!$K$4:$AJ$4,0))))=0,NA(),SUMPRODUCT((Inputs!$A$5:$A$130=$B45)*Inputs!$B$5:$B$130*(((Inputs!$G$5:$G$130="moeda")+(Inputs!$G$5:$G$130="acoes"))*Inputs!$B$1+((Inputs!$G$5:$G$130&lt;&gt;"moeda")*(Inputs!$G$5:$G$130&lt;&gt;"acoes")))*INDEX(Inputs!$K$5:$AJ$130,0,MATCH(Z$2,Inputs!$K$4:$AJ$4,0)))+SUMPRODUCT((Inputs!$C$5:$C$130=$B45)*Inputs!$D$5:$D$130*(((Inputs!$G$5:$G$130="moeda")+(Inputs!$G$5:$G$130="acoes"))*Inputs!$B$1+((Inputs!$G$5:$G$130&lt;&gt;"moeda")*(Inputs!$G$5:$G$130&lt;&gt;"acoes")))*INDEX(Inputs!$K$5:$AJ$130,0,MATCH(Z$2,Inputs!$K$4:$AJ$4,0)))+SUMPRODUCT((Inputs!$E$5:$E$130=$B45)*Inputs!$F$5:$F$130*(((Inputs!$G$5:$G$130="moeda")+(Inputs!$G$5:$G$130="acoes"))*Inputs!$B$1+((Inputs!$G$5:$G$130&lt;&gt;"moeda")*(Inputs!$G$5:$G$130&lt;&gt;"acoes")))*INDEX(Inputs!$K$5:$AJ$130,0,MATCH(Z$2,Inputs!$K$4:$AJ$4,0)))))</f>
        <v>339</v>
      </c>
      <c r="AA45" s="6">
        <f>IF(ISNA(MATCH(AA$2,Inputs!$K$4:$AJ$4,0)),NA(),IF(SUMPRODUCT((Inputs!$A$5:$A$130=$B45)*ISNUMBER(INDEX(Inputs!$K$5:$AJ$130,0,MATCH(AA$2,Inputs!$K$4:$AJ$4,0))))+SUMPRODUCT((Inputs!$C$5:$C$130=$B45)*ISNUMBER(INDEX(Inputs!$K$5:$AJ$130,0,MATCH(AA$2,Inputs!$K$4:$AJ$4,0))))+SUMPRODUCT((Inputs!$E$5:$E$130=$B45)*ISNUMBER(INDEX(Inputs!$K$5:$AJ$130,0,MATCH(AA$2,Inputs!$K$4:$AJ$4,0))))=0,NA(),SUMPRODUCT((Inputs!$A$5:$A$130=$B45)*Inputs!$B$5:$B$130*(((Inputs!$G$5:$G$130="moeda")+(Inputs!$G$5:$G$130="acoes"))*Inputs!$B$1+((Inputs!$G$5:$G$130&lt;&gt;"moeda")*(Inputs!$G$5:$G$130&lt;&gt;"acoes")))*INDEX(Inputs!$K$5:$AJ$130,0,MATCH(AA$2,Inputs!$K$4:$AJ$4,0)))+SUMPRODUCT((Inputs!$C$5:$C$130=$B45)*Inputs!$D$5:$D$130*(((Inputs!$G$5:$G$130="moeda")+(Inputs!$G$5:$G$130="acoes"))*Inputs!$B$1+((Inputs!$G$5:$G$130&lt;&gt;"moeda")*(Inputs!$G$5:$G$130&lt;&gt;"acoes")))*INDEX(Inputs!$K$5:$AJ$130,0,MATCH(AA$2,Inputs!$K$4:$AJ$4,0)))+SUMPRODUCT((Inputs!$E$5:$E$130=$B45)*Inputs!$F$5:$F$130*(((Inputs!$G$5:$G$130="moeda")+(Inputs!$G$5:$G$130="acoes"))*Inputs!$B$1+((Inputs!$G$5:$G$130&lt;&gt;"moeda")*(Inputs!$G$5:$G$130&lt;&gt;"acoes")))*INDEX(Inputs!$K$5:$AJ$130,0,MATCH(AA$2,Inputs!$K$4:$AJ$4,0)))))</f>
        <v>178</v>
      </c>
      <c r="AB45" s="3">
        <f>AA45</f>
        <v>178</v>
      </c>
      <c r="AC45" s="6">
        <f>IF(ISNA(MATCH(AC$2,Inputs!$K$4:$AJ$4,0)),NA(),IF(SUMPRODUCT((Inputs!$A$5:$A$130=$B45)*ISNUMBER(INDEX(Inputs!$K$5:$AJ$130,0,MATCH(AC$2,Inputs!$K$4:$AJ$4,0))))+SUMPRODUCT((Inputs!$C$5:$C$130=$B45)*ISNUMBER(INDEX(Inputs!$K$5:$AJ$130,0,MATCH(AC$2,Inputs!$K$4:$AJ$4,0))))+SUMPRODUCT((Inputs!$E$5:$E$130=$B45)*ISNUMBER(INDEX(Inputs!$K$5:$AJ$130,0,MATCH(AC$2,Inputs!$K$4:$AJ$4,0))))=0,NA(),SUMPRODUCT((Inputs!$A$5:$A$130=$B45)*Inputs!$B$5:$B$130*(((Inputs!$G$5:$G$130="moeda")+(Inputs!$G$5:$G$130="acoes"))*Inputs!$B$1+((Inputs!$G$5:$G$130&lt;&gt;"moeda")*(Inputs!$G$5:$G$130&lt;&gt;"acoes")))*INDEX(Inputs!$K$5:$AJ$130,0,MATCH(AC$2,Inputs!$K$4:$AJ$4,0)))+SUMPRODUCT((Inputs!$C$5:$C$130=$B45)*Inputs!$D$5:$D$130*(((Inputs!$G$5:$G$130="moeda")+(Inputs!$G$5:$G$130="acoes"))*Inputs!$B$1+((Inputs!$G$5:$G$130&lt;&gt;"moeda")*(Inputs!$G$5:$G$130&lt;&gt;"acoes")))*INDEX(Inputs!$K$5:$AJ$130,0,MATCH(AC$2,Inputs!$K$4:$AJ$4,0)))+SUMPRODUCT((Inputs!$E$5:$E$130=$B45)*Inputs!$F$5:$F$130*(((Inputs!$G$5:$G$130="moeda")+(Inputs!$G$5:$G$130="acoes"))*Inputs!$B$1+((Inputs!$G$5:$G$130&lt;&gt;"moeda")*(Inputs!$G$5:$G$130&lt;&gt;"acoes")))*INDEX(Inputs!$K$5:$AJ$130,0,MATCH(AC$2,Inputs!$K$4:$AJ$4,0)))))</f>
        <v>137</v>
      </c>
      <c r="AD45" s="6">
        <f>IF(ISNA(MATCH(AD$2,Inputs!$K$4:$AJ$4,0)),NA(),IF(SUMPRODUCT((Inputs!$A$5:$A$130=$B45)*ISNUMBER(INDEX(Inputs!$K$5:$AJ$130,0,MATCH(AD$2,Inputs!$K$4:$AJ$4,0))))+SUMPRODUCT((Inputs!$C$5:$C$130=$B45)*ISNUMBER(INDEX(Inputs!$K$5:$AJ$130,0,MATCH(AD$2,Inputs!$K$4:$AJ$4,0))))+SUMPRODUCT((Inputs!$E$5:$E$130=$B45)*ISNUMBER(INDEX(Inputs!$K$5:$AJ$130,0,MATCH(AD$2,Inputs!$K$4:$AJ$4,0))))=0,NA(),SUMPRODUCT((Inputs!$A$5:$A$130=$B45)*Inputs!$B$5:$B$130*(((Inputs!$G$5:$G$130="moeda")+(Inputs!$G$5:$G$130="acoes"))*Inputs!$B$1+((Inputs!$G$5:$G$130&lt;&gt;"moeda")*(Inputs!$G$5:$G$130&lt;&gt;"acoes")))*INDEX(Inputs!$K$5:$AJ$130,0,MATCH(AD$2,Inputs!$K$4:$AJ$4,0)))+SUMPRODUCT((Inputs!$C$5:$C$130=$B45)*Inputs!$D$5:$D$130*(((Inputs!$G$5:$G$130="moeda")+(Inputs!$G$5:$G$130="acoes"))*Inputs!$B$1+((Inputs!$G$5:$G$130&lt;&gt;"moeda")*(Inputs!$G$5:$G$130&lt;&gt;"acoes")))*INDEX(Inputs!$K$5:$AJ$130,0,MATCH(AD$2,Inputs!$K$4:$AJ$4,0)))+SUMPRODUCT((Inputs!$E$5:$E$130=$B45)*Inputs!$F$5:$F$130*(((Inputs!$G$5:$G$130="moeda")+(Inputs!$G$5:$G$130="acoes"))*Inputs!$B$1+((Inputs!$G$5:$G$130&lt;&gt;"moeda")*(Inputs!$G$5:$G$130&lt;&gt;"acoes")))*INDEX(Inputs!$K$5:$AJ$130,0,MATCH(AD$2,Inputs!$K$4:$AJ$4,0)))))</f>
        <v>-25</v>
      </c>
      <c r="AE45" s="6" t="e">
        <f>IF(ISNA(MATCH(AE$2,Inputs!$K$4:$AJ$4,0)),NA(),IF(SUMPRODUCT((Inputs!$A$5:$A$130=$B45)*ISNUMBER(INDEX(Inputs!$K$5:$AJ$130,0,MATCH(AE$2,Inputs!$K$4:$AJ$4,0))))+SUMPRODUCT((Inputs!$C$5:$C$130=$B45)*ISNUMBER(INDEX(Inputs!$K$5:$AJ$130,0,MATCH(AE$2,Inputs!$K$4:$AJ$4,0))))+SUMPRODUCT((Inputs!$E$5:$E$130=$B45)*ISNUMBER(INDEX(Inputs!$K$5:$AJ$130,0,MATCH(AE$2,Inputs!$K$4:$AJ$4,0))))=0,NA(),SUMPRODUCT((Inputs!$A$5:$A$130=$B45)*Inputs!$B$5:$B$130*(((Inputs!$G$5:$G$130="moeda")+(Inputs!$G$5:$G$130="acoes"))*Inputs!$B$1+((Inputs!$G$5:$G$130&lt;&gt;"moeda")*(Inputs!$G$5:$G$130&lt;&gt;"acoes")))*INDEX(Inputs!$K$5:$AJ$130,0,MATCH(AE$2,Inputs!$K$4:$AJ$4,0)))+SUMPRODUCT((Inputs!$C$5:$C$130=$B45)*Inputs!$D$5:$D$130*(((Inputs!$G$5:$G$130="moeda")+(Inputs!$G$5:$G$130="acoes"))*Inputs!$B$1+((Inputs!$G$5:$G$130&lt;&gt;"moeda")*(Inputs!$G$5:$G$130&lt;&gt;"acoes")))*INDEX(Inputs!$K$5:$AJ$130,0,MATCH(AE$2,Inputs!$K$4:$AJ$4,0)))+SUMPRODUCT((Inputs!$E$5:$E$130=$B45)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5" s="6" t="e">
        <f>IF(ISNA(MATCH(AF$2,Inputs!$K$4:$AJ$4,0)),NA(),IF(SUMPRODUCT((Inputs!$A$5:$A$130=$B45)*ISNUMBER(INDEX(Inputs!$K$5:$AJ$130,0,MATCH(AF$2,Inputs!$K$4:$AJ$4,0))))+SUMPRODUCT((Inputs!$C$5:$C$130=$B45)*ISNUMBER(INDEX(Inputs!$K$5:$AJ$130,0,MATCH(AF$2,Inputs!$K$4:$AJ$4,0))))+SUMPRODUCT((Inputs!$E$5:$E$130=$B45)*ISNUMBER(INDEX(Inputs!$K$5:$AJ$130,0,MATCH(AF$2,Inputs!$K$4:$AJ$4,0))))=0,NA(),SUMPRODUCT((Inputs!$A$5:$A$130=$B45)*Inputs!$B$5:$B$130*(((Inputs!$G$5:$G$130="moeda")+(Inputs!$G$5:$G$130="acoes"))*Inputs!$B$1+((Inputs!$G$5:$G$130&lt;&gt;"moeda")*(Inputs!$G$5:$G$130&lt;&gt;"acoes")))*INDEX(Inputs!$K$5:$AJ$130,0,MATCH(AF$2,Inputs!$K$4:$AJ$4,0)))+SUMPRODUCT((Inputs!$C$5:$C$130=$B45)*Inputs!$D$5:$D$130*(((Inputs!$G$5:$G$130="moeda")+(Inputs!$G$5:$G$130="acoes"))*Inputs!$B$1+((Inputs!$G$5:$G$130&lt;&gt;"moeda")*(Inputs!$G$5:$G$130&lt;&gt;"acoes")))*INDEX(Inputs!$K$5:$AJ$130,0,MATCH(AF$2,Inputs!$K$4:$AJ$4,0)))+SUMPRODUCT((Inputs!$E$5:$E$130=$B45)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5" s="3" t="e">
        <f>AF45</f>
        <v>#N/A</v>
      </c>
      <c r="AH45" s="6">
        <f>IF(ISNA(MATCH(AH$2,Inputs!$K$4:$AJ$4,0)),NA(),IF(SUMPRODUCT((Inputs!$A$5:$A$130=$B45)*ISNUMBER(INDEX(Inputs!$K$5:$AJ$130,0,MATCH(AH$2,Inputs!$K$4:$AJ$4,0))))+SUMPRODUCT((Inputs!$C$5:$C$130=$B45)*ISNUMBER(INDEX(Inputs!$K$5:$AJ$130,0,MATCH(AH$2,Inputs!$K$4:$AJ$4,0))))+SUMPRODUCT((Inputs!$E$5:$E$130=$B45)*ISNUMBER(INDEX(Inputs!$K$5:$AJ$130,0,MATCH(AH$2,Inputs!$K$4:$AJ$4,0))))=0,NA(),SUMPRODUCT((Inputs!$A$5:$A$130=$B45)*Inputs!$B$5:$B$130*(((Inputs!$G$5:$G$130="moeda")+(Inputs!$G$5:$G$130="acoes"))*Inputs!$B$1+((Inputs!$G$5:$G$130&lt;&gt;"moeda")*(Inputs!$G$5:$G$130&lt;&gt;"acoes")))*INDEX(Inputs!$K$5:$AJ$130,0,MATCH(AH$2,Inputs!$K$4:$AJ$4,0)))+SUMPRODUCT((Inputs!$C$5:$C$130=$B45)*Inputs!$D$5:$D$130*(((Inputs!$G$5:$G$130="moeda")+(Inputs!$G$5:$G$130="acoes"))*Inputs!$B$1+((Inputs!$G$5:$G$130&lt;&gt;"moeda")*(Inputs!$G$5:$G$130&lt;&gt;"acoes")))*INDEX(Inputs!$K$5:$AJ$130,0,MATCH(AH$2,Inputs!$K$4:$AJ$4,0)))+SUMPRODUCT((Inputs!$E$5:$E$130=$B45)*Inputs!$F$5:$F$130*(((Inputs!$G$5:$G$130="moeda")+(Inputs!$G$5:$G$130="acoes"))*Inputs!$B$1+((Inputs!$G$5:$G$130&lt;&gt;"moeda")*(Inputs!$G$5:$G$130&lt;&gt;"acoes")))*INDEX(Inputs!$K$5:$AJ$130,0,MATCH(AH$2,Inputs!$K$4:$AJ$4,0)))))</f>
        <v>-10</v>
      </c>
      <c r="AI45" s="6">
        <f>IF(ISNA(MATCH(AI$2,Inputs!$K$4:$AJ$4,0)),NA(),IF(SUMPRODUCT((Inputs!$A$5:$A$130=$B45)*ISNUMBER(INDEX(Inputs!$K$5:$AJ$130,0,MATCH(AI$2,Inputs!$K$4:$AJ$4,0))))+SUMPRODUCT((Inputs!$C$5:$C$130=$B45)*ISNUMBER(INDEX(Inputs!$K$5:$AJ$130,0,MATCH(AI$2,Inputs!$K$4:$AJ$4,0))))+SUMPRODUCT((Inputs!$E$5:$E$130=$B45)*ISNUMBER(INDEX(Inputs!$K$5:$AJ$130,0,MATCH(AI$2,Inputs!$K$4:$AJ$4,0))))=0,NA(),SUMPRODUCT((Inputs!$A$5:$A$130=$B45)*Inputs!$B$5:$B$130*(((Inputs!$G$5:$G$130="moeda")+(Inputs!$G$5:$G$130="acoes"))*Inputs!$B$1+((Inputs!$G$5:$G$130&lt;&gt;"moeda")*(Inputs!$G$5:$G$130&lt;&gt;"acoes")))*INDEX(Inputs!$K$5:$AJ$130,0,MATCH(AI$2,Inputs!$K$4:$AJ$4,0)))+SUMPRODUCT((Inputs!$C$5:$C$130=$B45)*Inputs!$D$5:$D$130*(((Inputs!$G$5:$G$130="moeda")+(Inputs!$G$5:$G$130="acoes"))*Inputs!$B$1+((Inputs!$G$5:$G$130&lt;&gt;"moeda")*(Inputs!$G$5:$G$130&lt;&gt;"acoes")))*INDEX(Inputs!$K$5:$AJ$130,0,MATCH(AI$2,Inputs!$K$4:$AJ$4,0)))+SUMPRODUCT((Inputs!$E$5:$E$130=$B45)*Inputs!$F$5:$F$130*(((Inputs!$G$5:$G$130="moeda")+(Inputs!$G$5:$G$130="acoes"))*Inputs!$B$1+((Inputs!$G$5:$G$130&lt;&gt;"moeda")*(Inputs!$G$5:$G$130&lt;&gt;"acoes")))*INDEX(Inputs!$K$5:$AJ$130,0,MATCH(AI$2,Inputs!$K$4:$AJ$4,0)))))</f>
        <v>4</v>
      </c>
      <c r="AJ45" s="6">
        <f>IF(ISNA(MATCH(AJ$2,Inputs!$K$4:$AJ$4,0)),NA(),IF(SUMPRODUCT((Inputs!$A$5:$A$130=$B45)*ISNUMBER(INDEX(Inputs!$K$5:$AJ$130,0,MATCH(AJ$2,Inputs!$K$4:$AJ$4,0))))+SUMPRODUCT((Inputs!$C$5:$C$130=$B45)*ISNUMBER(INDEX(Inputs!$K$5:$AJ$130,0,MATCH(AJ$2,Inputs!$K$4:$AJ$4,0))))+SUMPRODUCT((Inputs!$E$5:$E$130=$B45)*ISNUMBER(INDEX(Inputs!$K$5:$AJ$130,0,MATCH(AJ$2,Inputs!$K$4:$AJ$4,0))))=0,NA(),SUMPRODUCT((Inputs!$A$5:$A$130=$B45)*Inputs!$B$5:$B$130*(((Inputs!$G$5:$G$130="moeda")+(Inputs!$G$5:$G$130="acoes"))*Inputs!$B$1+((Inputs!$G$5:$G$130&lt;&gt;"moeda")*(Inputs!$G$5:$G$130&lt;&gt;"acoes")))*INDEX(Inputs!$K$5:$AJ$130,0,MATCH(AJ$2,Inputs!$K$4:$AJ$4,0)))+SUMPRODUCT((Inputs!$C$5:$C$130=$B45)*Inputs!$D$5:$D$130*(((Inputs!$G$5:$G$130="moeda")+(Inputs!$G$5:$G$130="acoes"))*Inputs!$B$1+((Inputs!$G$5:$G$130&lt;&gt;"moeda")*(Inputs!$G$5:$G$130&lt;&gt;"acoes")))*INDEX(Inputs!$K$5:$AJ$130,0,MATCH(AJ$2,Inputs!$K$4:$AJ$4,0)))+SUMPRODUCT((Inputs!$E$5:$E$130=$B45)*Inputs!$F$5:$F$130*(((Inputs!$G$5:$G$130="moeda")+(Inputs!$G$5:$G$130="acoes"))*Inputs!$B$1+((Inputs!$G$5:$G$130&lt;&gt;"moeda")*(Inputs!$G$5:$G$130&lt;&gt;"acoes")))*INDEX(Inputs!$K$5:$AJ$130,0,MATCH(AJ$2,Inputs!$K$4:$AJ$4,0)))))</f>
        <v>12</v>
      </c>
      <c r="AK45" s="6">
        <f>IF(ISNA(MATCH(AK$2,Inputs!$K$4:$AJ$4,0)),NA(),IF(SUMPRODUCT((Inputs!$A$5:$A$130=$B45)*ISNUMBER(INDEX(Inputs!$K$5:$AJ$130,0,MATCH(AK$2,Inputs!$K$4:$AJ$4,0))))+SUMPRODUCT((Inputs!$C$5:$C$130=$B45)*ISNUMBER(INDEX(Inputs!$K$5:$AJ$130,0,MATCH(AK$2,Inputs!$K$4:$AJ$4,0))))+SUMPRODUCT((Inputs!$E$5:$E$130=$B45)*ISNUMBER(INDEX(Inputs!$K$5:$AJ$130,0,MATCH(AK$2,Inputs!$K$4:$AJ$4,0))))=0,NA(),SUMPRODUCT((Inputs!$A$5:$A$130=$B45)*Inputs!$B$5:$B$130*(((Inputs!$G$5:$G$130="moeda")+(Inputs!$G$5:$G$130="acoes"))*Inputs!$B$1+((Inputs!$G$5:$G$130&lt;&gt;"moeda")*(Inputs!$G$5:$G$130&lt;&gt;"acoes")))*INDEX(Inputs!$K$5:$AJ$130,0,MATCH(AK$2,Inputs!$K$4:$AJ$4,0)))+SUMPRODUCT((Inputs!$C$5:$C$130=$B45)*Inputs!$D$5:$D$130*(((Inputs!$G$5:$G$130="moeda")+(Inputs!$G$5:$G$130="acoes"))*Inputs!$B$1+((Inputs!$G$5:$G$130&lt;&gt;"moeda")*(Inputs!$G$5:$G$130&lt;&gt;"acoes")))*INDEX(Inputs!$K$5:$AJ$130,0,MATCH(AK$2,Inputs!$K$4:$AJ$4,0)))+SUMPRODUCT((Inputs!$E$5:$E$130=$B45)*Inputs!$F$5:$F$130*(((Inputs!$G$5:$G$130="moeda")+(Inputs!$G$5:$G$130="acoes"))*Inputs!$B$1+((Inputs!$G$5:$G$130&lt;&gt;"moeda")*(Inputs!$G$5:$G$130&lt;&gt;"acoes")))*INDEX(Inputs!$K$5:$AJ$130,0,MATCH(AK$2,Inputs!$K$4:$AJ$4,0)))))</f>
        <v>19</v>
      </c>
      <c r="AL45" s="3">
        <f>AK45</f>
        <v>19</v>
      </c>
    </row>
    <row r="46">
      <c r="B46" s="46" t="n">
        <v>40</v>
      </c>
      <c r="C46" s="26" t="inlineStr">
        <is>
          <t>Other equity account</t>
        </is>
      </c>
      <c r="D46" s="6" t="e">
        <f>IF(ISNA(MATCH(D$2,Inputs!$K$4:$AJ$4,0)),NA(),IF(SUMPRODUCT((Inputs!$A$5:$A$130=$B46)*ISNUMBER(INDEX(Inputs!$K$5:$AJ$130,0,MATCH(D$2,Inputs!$K$4:$AJ$4,0))))+SUMPRODUCT((Inputs!$C$5:$C$130=$B46)*ISNUMBER(INDEX(Inputs!$K$5:$AJ$130,0,MATCH(D$2,Inputs!$K$4:$AJ$4,0))))+SUMPRODUCT((Inputs!$E$5:$E$130=$B46)*ISNUMBER(INDEX(Inputs!$K$5:$AJ$130,0,MATCH(D$2,Inputs!$K$4:$AJ$4,0))))=0,NA(),SUMPRODUCT((Inputs!$A$5:$A$130=$B46)*Inputs!$B$5:$B$130*(((Inputs!$G$5:$G$130="moeda")+(Inputs!$G$5:$G$130="acoes"))*Inputs!$B$1+((Inputs!$G$5:$G$130&lt;&gt;"moeda")*(Inputs!$G$5:$G$130&lt;&gt;"acoes")))*INDEX(Inputs!$K$5:$AJ$130,0,MATCH(D$2,Inputs!$K$4:$AJ$4,0)))+SUMPRODUCT((Inputs!$C$5:$C$130=$B46)*Inputs!$D$5:$D$130*(((Inputs!$G$5:$G$130="moeda")+(Inputs!$G$5:$G$130="acoes"))*Inputs!$B$1+((Inputs!$G$5:$G$130&lt;&gt;"moeda")*(Inputs!$G$5:$G$130&lt;&gt;"acoes")))*INDEX(Inputs!$K$5:$AJ$130,0,MATCH(D$2,Inputs!$K$4:$AJ$4,0)))+SUMPRODUCT((Inputs!$E$5:$E$130=$B46)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46" s="6" t="e">
        <f>IF(ISNA(MATCH(E$2,Inputs!$K$4:$AJ$4,0)),NA(),IF(SUMPRODUCT((Inputs!$A$5:$A$130=$B46)*ISNUMBER(INDEX(Inputs!$K$5:$AJ$130,0,MATCH(E$2,Inputs!$K$4:$AJ$4,0))))+SUMPRODUCT((Inputs!$C$5:$C$130=$B46)*ISNUMBER(INDEX(Inputs!$K$5:$AJ$130,0,MATCH(E$2,Inputs!$K$4:$AJ$4,0))))+SUMPRODUCT((Inputs!$E$5:$E$130=$B46)*ISNUMBER(INDEX(Inputs!$K$5:$AJ$130,0,MATCH(E$2,Inputs!$K$4:$AJ$4,0))))=0,NA(),SUMPRODUCT((Inputs!$A$5:$A$130=$B46)*Inputs!$B$5:$B$130*(((Inputs!$G$5:$G$130="moeda")+(Inputs!$G$5:$G$130="acoes"))*Inputs!$B$1+((Inputs!$G$5:$G$130&lt;&gt;"moeda")*(Inputs!$G$5:$G$130&lt;&gt;"acoes")))*INDEX(Inputs!$K$5:$AJ$130,0,MATCH(E$2,Inputs!$K$4:$AJ$4,0)))+SUMPRODUCT((Inputs!$C$5:$C$130=$B46)*Inputs!$D$5:$D$130*(((Inputs!$G$5:$G$130="moeda")+(Inputs!$G$5:$G$130="acoes"))*Inputs!$B$1+((Inputs!$G$5:$G$130&lt;&gt;"moeda")*(Inputs!$G$5:$G$130&lt;&gt;"acoes")))*INDEX(Inputs!$K$5:$AJ$130,0,MATCH(E$2,Inputs!$K$4:$AJ$4,0)))+SUMPRODUCT((Inputs!$E$5:$E$130=$B46)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46" s="6" t="e">
        <f>IF(ISNA(MATCH(F$2,Inputs!$K$4:$AJ$4,0)),NA(),IF(SUMPRODUCT((Inputs!$A$5:$A$130=$B46)*ISNUMBER(INDEX(Inputs!$K$5:$AJ$130,0,MATCH(F$2,Inputs!$K$4:$AJ$4,0))))+SUMPRODUCT((Inputs!$C$5:$C$130=$B46)*ISNUMBER(INDEX(Inputs!$K$5:$AJ$130,0,MATCH(F$2,Inputs!$K$4:$AJ$4,0))))+SUMPRODUCT((Inputs!$E$5:$E$130=$B46)*ISNUMBER(INDEX(Inputs!$K$5:$AJ$130,0,MATCH(F$2,Inputs!$K$4:$AJ$4,0))))=0,NA(),SUMPRODUCT((Inputs!$A$5:$A$130=$B46)*Inputs!$B$5:$B$130*(((Inputs!$G$5:$G$130="moeda")+(Inputs!$G$5:$G$130="acoes"))*Inputs!$B$1+((Inputs!$G$5:$G$130&lt;&gt;"moeda")*(Inputs!$G$5:$G$130&lt;&gt;"acoes")))*INDEX(Inputs!$K$5:$AJ$130,0,MATCH(F$2,Inputs!$K$4:$AJ$4,0)))+SUMPRODUCT((Inputs!$C$5:$C$130=$B46)*Inputs!$D$5:$D$130*(((Inputs!$G$5:$G$130="moeda")+(Inputs!$G$5:$G$130="acoes"))*Inputs!$B$1+((Inputs!$G$5:$G$130&lt;&gt;"moeda")*(Inputs!$G$5:$G$130&lt;&gt;"acoes")))*INDEX(Inputs!$K$5:$AJ$130,0,MATCH(F$2,Inputs!$K$4:$AJ$4,0)))+SUMPRODUCT((Inputs!$E$5:$E$130=$B46)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46" s="6" t="e">
        <f>IF(ISNA(MATCH(G$2,Inputs!$K$4:$AJ$4,0)),NA(),IF(SUMPRODUCT((Inputs!$A$5:$A$130=$B46)*ISNUMBER(INDEX(Inputs!$K$5:$AJ$130,0,MATCH(G$2,Inputs!$K$4:$AJ$4,0))))+SUMPRODUCT((Inputs!$C$5:$C$130=$B46)*ISNUMBER(INDEX(Inputs!$K$5:$AJ$130,0,MATCH(G$2,Inputs!$K$4:$AJ$4,0))))+SUMPRODUCT((Inputs!$E$5:$E$130=$B46)*ISNUMBER(INDEX(Inputs!$K$5:$AJ$130,0,MATCH(G$2,Inputs!$K$4:$AJ$4,0))))=0,NA(),SUMPRODUCT((Inputs!$A$5:$A$130=$B46)*Inputs!$B$5:$B$130*(((Inputs!$G$5:$G$130="moeda")+(Inputs!$G$5:$G$130="acoes"))*Inputs!$B$1+((Inputs!$G$5:$G$130&lt;&gt;"moeda")*(Inputs!$G$5:$G$130&lt;&gt;"acoes")))*INDEX(Inputs!$K$5:$AJ$130,0,MATCH(G$2,Inputs!$K$4:$AJ$4,0)))+SUMPRODUCT((Inputs!$C$5:$C$130=$B46)*Inputs!$D$5:$D$130*(((Inputs!$G$5:$G$130="moeda")+(Inputs!$G$5:$G$130="acoes"))*Inputs!$B$1+((Inputs!$G$5:$G$130&lt;&gt;"moeda")*(Inputs!$G$5:$G$130&lt;&gt;"acoes")))*INDEX(Inputs!$K$5:$AJ$130,0,MATCH(G$2,Inputs!$K$4:$AJ$4,0)))+SUMPRODUCT((Inputs!$E$5:$E$130=$B46)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46" s="3" t="e">
        <f>G46</f>
        <v>#N/A</v>
      </c>
      <c r="I46" s="6" t="e">
        <f>IF(ISNA(MATCH(I$2,Inputs!$K$4:$AJ$4,0)),NA(),IF(SUMPRODUCT((Inputs!$A$5:$A$130=$B46)*ISNUMBER(INDEX(Inputs!$K$5:$AJ$130,0,MATCH(I$2,Inputs!$K$4:$AJ$4,0))))+SUMPRODUCT((Inputs!$C$5:$C$130=$B46)*ISNUMBER(INDEX(Inputs!$K$5:$AJ$130,0,MATCH(I$2,Inputs!$K$4:$AJ$4,0))))+SUMPRODUCT((Inputs!$E$5:$E$130=$B46)*ISNUMBER(INDEX(Inputs!$K$5:$AJ$130,0,MATCH(I$2,Inputs!$K$4:$AJ$4,0))))=0,NA(),SUMPRODUCT((Inputs!$A$5:$A$130=$B46)*Inputs!$B$5:$B$130*(((Inputs!$G$5:$G$130="moeda")+(Inputs!$G$5:$G$130="acoes"))*Inputs!$B$1+((Inputs!$G$5:$G$130&lt;&gt;"moeda")*(Inputs!$G$5:$G$130&lt;&gt;"acoes")))*INDEX(Inputs!$K$5:$AJ$130,0,MATCH(I$2,Inputs!$K$4:$AJ$4,0)))+SUMPRODUCT((Inputs!$C$5:$C$130=$B46)*Inputs!$D$5:$D$130*(((Inputs!$G$5:$G$130="moeda")+(Inputs!$G$5:$G$130="acoes"))*Inputs!$B$1+((Inputs!$G$5:$G$130&lt;&gt;"moeda")*(Inputs!$G$5:$G$130&lt;&gt;"acoes")))*INDEX(Inputs!$K$5:$AJ$130,0,MATCH(I$2,Inputs!$K$4:$AJ$4,0)))+SUMPRODUCT((Inputs!$E$5:$E$130=$B46)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46" s="6" t="e">
        <f>IF(ISNA(MATCH(J$2,Inputs!$K$4:$AJ$4,0)),NA(),IF(SUMPRODUCT((Inputs!$A$5:$A$130=$B46)*ISNUMBER(INDEX(Inputs!$K$5:$AJ$130,0,MATCH(J$2,Inputs!$K$4:$AJ$4,0))))+SUMPRODUCT((Inputs!$C$5:$C$130=$B46)*ISNUMBER(INDEX(Inputs!$K$5:$AJ$130,0,MATCH(J$2,Inputs!$K$4:$AJ$4,0))))+SUMPRODUCT((Inputs!$E$5:$E$130=$B46)*ISNUMBER(INDEX(Inputs!$K$5:$AJ$130,0,MATCH(J$2,Inputs!$K$4:$AJ$4,0))))=0,NA(),SUMPRODUCT((Inputs!$A$5:$A$130=$B46)*Inputs!$B$5:$B$130*(((Inputs!$G$5:$G$130="moeda")+(Inputs!$G$5:$G$130="acoes"))*Inputs!$B$1+((Inputs!$G$5:$G$130&lt;&gt;"moeda")*(Inputs!$G$5:$G$130&lt;&gt;"acoes")))*INDEX(Inputs!$K$5:$AJ$130,0,MATCH(J$2,Inputs!$K$4:$AJ$4,0)))+SUMPRODUCT((Inputs!$C$5:$C$130=$B46)*Inputs!$D$5:$D$130*(((Inputs!$G$5:$G$130="moeda")+(Inputs!$G$5:$G$130="acoes"))*Inputs!$B$1+((Inputs!$G$5:$G$130&lt;&gt;"moeda")*(Inputs!$G$5:$G$130&lt;&gt;"acoes")))*INDEX(Inputs!$K$5:$AJ$130,0,MATCH(J$2,Inputs!$K$4:$AJ$4,0)))+SUMPRODUCT((Inputs!$E$5:$E$130=$B46)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46" s="6" t="e">
        <f>IF(ISNA(MATCH(K$2,Inputs!$K$4:$AJ$4,0)),NA(),IF(SUMPRODUCT((Inputs!$A$5:$A$130=$B46)*ISNUMBER(INDEX(Inputs!$K$5:$AJ$130,0,MATCH(K$2,Inputs!$K$4:$AJ$4,0))))+SUMPRODUCT((Inputs!$C$5:$C$130=$B46)*ISNUMBER(INDEX(Inputs!$K$5:$AJ$130,0,MATCH(K$2,Inputs!$K$4:$AJ$4,0))))+SUMPRODUCT((Inputs!$E$5:$E$130=$B46)*ISNUMBER(INDEX(Inputs!$K$5:$AJ$130,0,MATCH(K$2,Inputs!$K$4:$AJ$4,0))))=0,NA(),SUMPRODUCT((Inputs!$A$5:$A$130=$B46)*Inputs!$B$5:$B$130*(((Inputs!$G$5:$G$130="moeda")+(Inputs!$G$5:$G$130="acoes"))*Inputs!$B$1+((Inputs!$G$5:$G$130&lt;&gt;"moeda")*(Inputs!$G$5:$G$130&lt;&gt;"acoes")))*INDEX(Inputs!$K$5:$AJ$130,0,MATCH(K$2,Inputs!$K$4:$AJ$4,0)))+SUMPRODUCT((Inputs!$C$5:$C$130=$B46)*Inputs!$D$5:$D$130*(((Inputs!$G$5:$G$130="moeda")+(Inputs!$G$5:$G$130="acoes"))*Inputs!$B$1+((Inputs!$G$5:$G$130&lt;&gt;"moeda")*(Inputs!$G$5:$G$130&lt;&gt;"acoes")))*INDEX(Inputs!$K$5:$AJ$130,0,MATCH(K$2,Inputs!$K$4:$AJ$4,0)))+SUMPRODUCT((Inputs!$E$5:$E$130=$B46)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46" s="6" t="e">
        <f>IF(ISNA(MATCH(L$2,Inputs!$K$4:$AJ$4,0)),NA(),IF(SUMPRODUCT((Inputs!$A$5:$A$130=$B46)*ISNUMBER(INDEX(Inputs!$K$5:$AJ$130,0,MATCH(L$2,Inputs!$K$4:$AJ$4,0))))+SUMPRODUCT((Inputs!$C$5:$C$130=$B46)*ISNUMBER(INDEX(Inputs!$K$5:$AJ$130,0,MATCH(L$2,Inputs!$K$4:$AJ$4,0))))+SUMPRODUCT((Inputs!$E$5:$E$130=$B46)*ISNUMBER(INDEX(Inputs!$K$5:$AJ$130,0,MATCH(L$2,Inputs!$K$4:$AJ$4,0))))=0,NA(),SUMPRODUCT((Inputs!$A$5:$A$130=$B46)*Inputs!$B$5:$B$130*(((Inputs!$G$5:$G$130="moeda")+(Inputs!$G$5:$G$130="acoes"))*Inputs!$B$1+((Inputs!$G$5:$G$130&lt;&gt;"moeda")*(Inputs!$G$5:$G$130&lt;&gt;"acoes")))*INDEX(Inputs!$K$5:$AJ$130,0,MATCH(L$2,Inputs!$K$4:$AJ$4,0)))+SUMPRODUCT((Inputs!$C$5:$C$130=$B46)*Inputs!$D$5:$D$130*(((Inputs!$G$5:$G$130="moeda")+(Inputs!$G$5:$G$130="acoes"))*Inputs!$B$1+((Inputs!$G$5:$G$130&lt;&gt;"moeda")*(Inputs!$G$5:$G$130&lt;&gt;"acoes")))*INDEX(Inputs!$K$5:$AJ$130,0,MATCH(L$2,Inputs!$K$4:$AJ$4,0)))+SUMPRODUCT((Inputs!$E$5:$E$130=$B46)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46" s="3" t="e">
        <f>L46</f>
        <v>#N/A</v>
      </c>
      <c r="N46" s="6" t="e">
        <f>IF(ISNA(MATCH(N$2,Inputs!$K$4:$AJ$4,0)),NA(),IF(SUMPRODUCT((Inputs!$A$5:$A$130=$B46)*ISNUMBER(INDEX(Inputs!$K$5:$AJ$130,0,MATCH(N$2,Inputs!$K$4:$AJ$4,0))))+SUMPRODUCT((Inputs!$C$5:$C$130=$B46)*ISNUMBER(INDEX(Inputs!$K$5:$AJ$130,0,MATCH(N$2,Inputs!$K$4:$AJ$4,0))))+SUMPRODUCT((Inputs!$E$5:$E$130=$B46)*ISNUMBER(INDEX(Inputs!$K$5:$AJ$130,0,MATCH(N$2,Inputs!$K$4:$AJ$4,0))))=0,NA(),SUMPRODUCT((Inputs!$A$5:$A$130=$B46)*Inputs!$B$5:$B$130*(((Inputs!$G$5:$G$130="moeda")+(Inputs!$G$5:$G$130="acoes"))*Inputs!$B$1+((Inputs!$G$5:$G$130&lt;&gt;"moeda")*(Inputs!$G$5:$G$130&lt;&gt;"acoes")))*INDEX(Inputs!$K$5:$AJ$130,0,MATCH(N$2,Inputs!$K$4:$AJ$4,0)))+SUMPRODUCT((Inputs!$C$5:$C$130=$B46)*Inputs!$D$5:$D$130*(((Inputs!$G$5:$G$130="moeda")+(Inputs!$G$5:$G$130="acoes"))*Inputs!$B$1+((Inputs!$G$5:$G$130&lt;&gt;"moeda")*(Inputs!$G$5:$G$130&lt;&gt;"acoes")))*INDEX(Inputs!$K$5:$AJ$130,0,MATCH(N$2,Inputs!$K$4:$AJ$4,0)))+SUMPRODUCT((Inputs!$E$5:$E$130=$B46)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46" s="6" t="e">
        <f>IF(ISNA(MATCH(O$2,Inputs!$K$4:$AJ$4,0)),NA(),IF(SUMPRODUCT((Inputs!$A$5:$A$130=$B46)*ISNUMBER(INDEX(Inputs!$K$5:$AJ$130,0,MATCH(O$2,Inputs!$K$4:$AJ$4,0))))+SUMPRODUCT((Inputs!$C$5:$C$130=$B46)*ISNUMBER(INDEX(Inputs!$K$5:$AJ$130,0,MATCH(O$2,Inputs!$K$4:$AJ$4,0))))+SUMPRODUCT((Inputs!$E$5:$E$130=$B46)*ISNUMBER(INDEX(Inputs!$K$5:$AJ$130,0,MATCH(O$2,Inputs!$K$4:$AJ$4,0))))=0,NA(),SUMPRODUCT((Inputs!$A$5:$A$130=$B46)*Inputs!$B$5:$B$130*(((Inputs!$G$5:$G$130="moeda")+(Inputs!$G$5:$G$130="acoes"))*Inputs!$B$1+((Inputs!$G$5:$G$130&lt;&gt;"moeda")*(Inputs!$G$5:$G$130&lt;&gt;"acoes")))*INDEX(Inputs!$K$5:$AJ$130,0,MATCH(O$2,Inputs!$K$4:$AJ$4,0)))+SUMPRODUCT((Inputs!$C$5:$C$130=$B46)*Inputs!$D$5:$D$130*(((Inputs!$G$5:$G$130="moeda")+(Inputs!$G$5:$G$130="acoes"))*Inputs!$B$1+((Inputs!$G$5:$G$130&lt;&gt;"moeda")*(Inputs!$G$5:$G$130&lt;&gt;"acoes")))*INDEX(Inputs!$K$5:$AJ$130,0,MATCH(O$2,Inputs!$K$4:$AJ$4,0)))+SUMPRODUCT((Inputs!$E$5:$E$130=$B46)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46" s="6" t="e">
        <f>IF(ISNA(MATCH(P$2,Inputs!$K$4:$AJ$4,0)),NA(),IF(SUMPRODUCT((Inputs!$A$5:$A$130=$B46)*ISNUMBER(INDEX(Inputs!$K$5:$AJ$130,0,MATCH(P$2,Inputs!$K$4:$AJ$4,0))))+SUMPRODUCT((Inputs!$C$5:$C$130=$B46)*ISNUMBER(INDEX(Inputs!$K$5:$AJ$130,0,MATCH(P$2,Inputs!$K$4:$AJ$4,0))))+SUMPRODUCT((Inputs!$E$5:$E$130=$B46)*ISNUMBER(INDEX(Inputs!$K$5:$AJ$130,0,MATCH(P$2,Inputs!$K$4:$AJ$4,0))))=0,NA(),SUMPRODUCT((Inputs!$A$5:$A$130=$B46)*Inputs!$B$5:$B$130*(((Inputs!$G$5:$G$130="moeda")+(Inputs!$G$5:$G$130="acoes"))*Inputs!$B$1+((Inputs!$G$5:$G$130&lt;&gt;"moeda")*(Inputs!$G$5:$G$130&lt;&gt;"acoes")))*INDEX(Inputs!$K$5:$AJ$130,0,MATCH(P$2,Inputs!$K$4:$AJ$4,0)))+SUMPRODUCT((Inputs!$C$5:$C$130=$B46)*Inputs!$D$5:$D$130*(((Inputs!$G$5:$G$130="moeda")+(Inputs!$G$5:$G$130="acoes"))*Inputs!$B$1+((Inputs!$G$5:$G$130&lt;&gt;"moeda")*(Inputs!$G$5:$G$130&lt;&gt;"acoes")))*INDEX(Inputs!$K$5:$AJ$130,0,MATCH(P$2,Inputs!$K$4:$AJ$4,0)))+SUMPRODUCT((Inputs!$E$5:$E$130=$B46)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46" s="6" t="e">
        <f>IF(ISNA(MATCH(Q$2,Inputs!$K$4:$AJ$4,0)),NA(),IF(SUMPRODUCT((Inputs!$A$5:$A$130=$B46)*ISNUMBER(INDEX(Inputs!$K$5:$AJ$130,0,MATCH(Q$2,Inputs!$K$4:$AJ$4,0))))+SUMPRODUCT((Inputs!$C$5:$C$130=$B46)*ISNUMBER(INDEX(Inputs!$K$5:$AJ$130,0,MATCH(Q$2,Inputs!$K$4:$AJ$4,0))))+SUMPRODUCT((Inputs!$E$5:$E$130=$B46)*ISNUMBER(INDEX(Inputs!$K$5:$AJ$130,0,MATCH(Q$2,Inputs!$K$4:$AJ$4,0))))=0,NA(),SUMPRODUCT((Inputs!$A$5:$A$130=$B46)*Inputs!$B$5:$B$130*(((Inputs!$G$5:$G$130="moeda")+(Inputs!$G$5:$G$130="acoes"))*Inputs!$B$1+((Inputs!$G$5:$G$130&lt;&gt;"moeda")*(Inputs!$G$5:$G$130&lt;&gt;"acoes")))*INDEX(Inputs!$K$5:$AJ$130,0,MATCH(Q$2,Inputs!$K$4:$AJ$4,0)))+SUMPRODUCT((Inputs!$C$5:$C$130=$B46)*Inputs!$D$5:$D$130*(((Inputs!$G$5:$G$130="moeda")+(Inputs!$G$5:$G$130="acoes"))*Inputs!$B$1+((Inputs!$G$5:$G$130&lt;&gt;"moeda")*(Inputs!$G$5:$G$130&lt;&gt;"acoes")))*INDEX(Inputs!$K$5:$AJ$130,0,MATCH(Q$2,Inputs!$K$4:$AJ$4,0)))+SUMPRODUCT((Inputs!$E$5:$E$130=$B46)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46" s="3" t="e">
        <f>Q46</f>
        <v>#N/A</v>
      </c>
      <c r="S46" s="6" t="e">
        <f>IF(ISNA(MATCH(S$2,Inputs!$K$4:$AJ$4,0)),NA(),IF(SUMPRODUCT((Inputs!$A$5:$A$130=$B46)*ISNUMBER(INDEX(Inputs!$K$5:$AJ$130,0,MATCH(S$2,Inputs!$K$4:$AJ$4,0))))+SUMPRODUCT((Inputs!$C$5:$C$130=$B46)*ISNUMBER(INDEX(Inputs!$K$5:$AJ$130,0,MATCH(S$2,Inputs!$K$4:$AJ$4,0))))+SUMPRODUCT((Inputs!$E$5:$E$130=$B46)*ISNUMBER(INDEX(Inputs!$K$5:$AJ$130,0,MATCH(S$2,Inputs!$K$4:$AJ$4,0))))=0,NA(),SUMPRODUCT((Inputs!$A$5:$A$130=$B46)*Inputs!$B$5:$B$130*(((Inputs!$G$5:$G$130="moeda")+(Inputs!$G$5:$G$130="acoes"))*Inputs!$B$1+((Inputs!$G$5:$G$130&lt;&gt;"moeda")*(Inputs!$G$5:$G$130&lt;&gt;"acoes")))*INDEX(Inputs!$K$5:$AJ$130,0,MATCH(S$2,Inputs!$K$4:$AJ$4,0)))+SUMPRODUCT((Inputs!$C$5:$C$130=$B46)*Inputs!$D$5:$D$130*(((Inputs!$G$5:$G$130="moeda")+(Inputs!$G$5:$G$130="acoes"))*Inputs!$B$1+((Inputs!$G$5:$G$130&lt;&gt;"moeda")*(Inputs!$G$5:$G$130&lt;&gt;"acoes")))*INDEX(Inputs!$K$5:$AJ$130,0,MATCH(S$2,Inputs!$K$4:$AJ$4,0)))+SUMPRODUCT((Inputs!$E$5:$E$130=$B46)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46" s="6" t="e">
        <f>IF(ISNA(MATCH(T$2,Inputs!$K$4:$AJ$4,0)),NA(),IF(SUMPRODUCT((Inputs!$A$5:$A$130=$B46)*ISNUMBER(INDEX(Inputs!$K$5:$AJ$130,0,MATCH(T$2,Inputs!$K$4:$AJ$4,0))))+SUMPRODUCT((Inputs!$C$5:$C$130=$B46)*ISNUMBER(INDEX(Inputs!$K$5:$AJ$130,0,MATCH(T$2,Inputs!$K$4:$AJ$4,0))))+SUMPRODUCT((Inputs!$E$5:$E$130=$B46)*ISNUMBER(INDEX(Inputs!$K$5:$AJ$130,0,MATCH(T$2,Inputs!$K$4:$AJ$4,0))))=0,NA(),SUMPRODUCT((Inputs!$A$5:$A$130=$B46)*Inputs!$B$5:$B$130*(((Inputs!$G$5:$G$130="moeda")+(Inputs!$G$5:$G$130="acoes"))*Inputs!$B$1+((Inputs!$G$5:$G$130&lt;&gt;"moeda")*(Inputs!$G$5:$G$130&lt;&gt;"acoes")))*INDEX(Inputs!$K$5:$AJ$130,0,MATCH(T$2,Inputs!$K$4:$AJ$4,0)))+SUMPRODUCT((Inputs!$C$5:$C$130=$B46)*Inputs!$D$5:$D$130*(((Inputs!$G$5:$G$130="moeda")+(Inputs!$G$5:$G$130="acoes"))*Inputs!$B$1+((Inputs!$G$5:$G$130&lt;&gt;"moeda")*(Inputs!$G$5:$G$130&lt;&gt;"acoes")))*INDEX(Inputs!$K$5:$AJ$130,0,MATCH(T$2,Inputs!$K$4:$AJ$4,0)))+SUMPRODUCT((Inputs!$E$5:$E$130=$B46)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46" s="6" t="e">
        <f>IF(ISNA(MATCH(U$2,Inputs!$K$4:$AJ$4,0)),NA(),IF(SUMPRODUCT((Inputs!$A$5:$A$130=$B46)*ISNUMBER(INDEX(Inputs!$K$5:$AJ$130,0,MATCH(U$2,Inputs!$K$4:$AJ$4,0))))+SUMPRODUCT((Inputs!$C$5:$C$130=$B46)*ISNUMBER(INDEX(Inputs!$K$5:$AJ$130,0,MATCH(U$2,Inputs!$K$4:$AJ$4,0))))+SUMPRODUCT((Inputs!$E$5:$E$130=$B46)*ISNUMBER(INDEX(Inputs!$K$5:$AJ$130,0,MATCH(U$2,Inputs!$K$4:$AJ$4,0))))=0,NA(),SUMPRODUCT((Inputs!$A$5:$A$130=$B46)*Inputs!$B$5:$B$130*(((Inputs!$G$5:$G$130="moeda")+(Inputs!$G$5:$G$130="acoes"))*Inputs!$B$1+((Inputs!$G$5:$G$130&lt;&gt;"moeda")*(Inputs!$G$5:$G$130&lt;&gt;"acoes")))*INDEX(Inputs!$K$5:$AJ$130,0,MATCH(U$2,Inputs!$K$4:$AJ$4,0)))+SUMPRODUCT((Inputs!$C$5:$C$130=$B46)*Inputs!$D$5:$D$130*(((Inputs!$G$5:$G$130="moeda")+(Inputs!$G$5:$G$130="acoes"))*Inputs!$B$1+((Inputs!$G$5:$G$130&lt;&gt;"moeda")*(Inputs!$G$5:$G$130&lt;&gt;"acoes")))*INDEX(Inputs!$K$5:$AJ$130,0,MATCH(U$2,Inputs!$K$4:$AJ$4,0)))+SUMPRODUCT((Inputs!$E$5:$E$130=$B46)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46" s="6" t="e">
        <f>IF(ISNA(MATCH(V$2,Inputs!$K$4:$AJ$4,0)),NA(),IF(SUMPRODUCT((Inputs!$A$5:$A$130=$B46)*ISNUMBER(INDEX(Inputs!$K$5:$AJ$130,0,MATCH(V$2,Inputs!$K$4:$AJ$4,0))))+SUMPRODUCT((Inputs!$C$5:$C$130=$B46)*ISNUMBER(INDEX(Inputs!$K$5:$AJ$130,0,MATCH(V$2,Inputs!$K$4:$AJ$4,0))))+SUMPRODUCT((Inputs!$E$5:$E$130=$B46)*ISNUMBER(INDEX(Inputs!$K$5:$AJ$130,0,MATCH(V$2,Inputs!$K$4:$AJ$4,0))))=0,NA(),SUMPRODUCT((Inputs!$A$5:$A$130=$B46)*Inputs!$B$5:$B$130*(((Inputs!$G$5:$G$130="moeda")+(Inputs!$G$5:$G$130="acoes"))*Inputs!$B$1+((Inputs!$G$5:$G$130&lt;&gt;"moeda")*(Inputs!$G$5:$G$130&lt;&gt;"acoes")))*INDEX(Inputs!$K$5:$AJ$130,0,MATCH(V$2,Inputs!$K$4:$AJ$4,0)))+SUMPRODUCT((Inputs!$C$5:$C$130=$B46)*Inputs!$D$5:$D$130*(((Inputs!$G$5:$G$130="moeda")+(Inputs!$G$5:$G$130="acoes"))*Inputs!$B$1+((Inputs!$G$5:$G$130&lt;&gt;"moeda")*(Inputs!$G$5:$G$130&lt;&gt;"acoes")))*INDEX(Inputs!$K$5:$AJ$130,0,MATCH(V$2,Inputs!$K$4:$AJ$4,0)))+SUMPRODUCT((Inputs!$E$5:$E$130=$B46)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46" s="3" t="e">
        <f>V46</f>
        <v>#N/A</v>
      </c>
      <c r="X46" s="6" t="e">
        <f>IF(ISNA(MATCH(X$2,Inputs!$K$4:$AJ$4,0)),NA(),IF(SUMPRODUCT((Inputs!$A$5:$A$130=$B46)*ISNUMBER(INDEX(Inputs!$K$5:$AJ$130,0,MATCH(X$2,Inputs!$K$4:$AJ$4,0))))+SUMPRODUCT((Inputs!$C$5:$C$130=$B46)*ISNUMBER(INDEX(Inputs!$K$5:$AJ$130,0,MATCH(X$2,Inputs!$K$4:$AJ$4,0))))+SUMPRODUCT((Inputs!$E$5:$E$130=$B46)*ISNUMBER(INDEX(Inputs!$K$5:$AJ$130,0,MATCH(X$2,Inputs!$K$4:$AJ$4,0))))=0,NA(),SUMPRODUCT((Inputs!$A$5:$A$130=$B46)*Inputs!$B$5:$B$130*(((Inputs!$G$5:$G$130="moeda")+(Inputs!$G$5:$G$130="acoes"))*Inputs!$B$1+((Inputs!$G$5:$G$130&lt;&gt;"moeda")*(Inputs!$G$5:$G$130&lt;&gt;"acoes")))*INDEX(Inputs!$K$5:$AJ$130,0,MATCH(X$2,Inputs!$K$4:$AJ$4,0)))+SUMPRODUCT((Inputs!$C$5:$C$130=$B46)*Inputs!$D$5:$D$130*(((Inputs!$G$5:$G$130="moeda")+(Inputs!$G$5:$G$130="acoes"))*Inputs!$B$1+((Inputs!$G$5:$G$130&lt;&gt;"moeda")*(Inputs!$G$5:$G$130&lt;&gt;"acoes")))*INDEX(Inputs!$K$5:$AJ$130,0,MATCH(X$2,Inputs!$K$4:$AJ$4,0)))+SUMPRODUCT((Inputs!$E$5:$E$130=$B46)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46" s="6" t="e">
        <f>IF(ISNA(MATCH(Y$2,Inputs!$K$4:$AJ$4,0)),NA(),IF(SUMPRODUCT((Inputs!$A$5:$A$130=$B46)*ISNUMBER(INDEX(Inputs!$K$5:$AJ$130,0,MATCH(Y$2,Inputs!$K$4:$AJ$4,0))))+SUMPRODUCT((Inputs!$C$5:$C$130=$B46)*ISNUMBER(INDEX(Inputs!$K$5:$AJ$130,0,MATCH(Y$2,Inputs!$K$4:$AJ$4,0))))+SUMPRODUCT((Inputs!$E$5:$E$130=$B46)*ISNUMBER(INDEX(Inputs!$K$5:$AJ$130,0,MATCH(Y$2,Inputs!$K$4:$AJ$4,0))))=0,NA(),SUMPRODUCT((Inputs!$A$5:$A$130=$B46)*Inputs!$B$5:$B$130*(((Inputs!$G$5:$G$130="moeda")+(Inputs!$G$5:$G$130="acoes"))*Inputs!$B$1+((Inputs!$G$5:$G$130&lt;&gt;"moeda")*(Inputs!$G$5:$G$130&lt;&gt;"acoes")))*INDEX(Inputs!$K$5:$AJ$130,0,MATCH(Y$2,Inputs!$K$4:$AJ$4,0)))+SUMPRODUCT((Inputs!$C$5:$C$130=$B46)*Inputs!$D$5:$D$130*(((Inputs!$G$5:$G$130="moeda")+(Inputs!$G$5:$G$130="acoes"))*Inputs!$B$1+((Inputs!$G$5:$G$130&lt;&gt;"moeda")*(Inputs!$G$5:$G$130&lt;&gt;"acoes")))*INDEX(Inputs!$K$5:$AJ$130,0,MATCH(Y$2,Inputs!$K$4:$AJ$4,0)))+SUMPRODUCT((Inputs!$E$5:$E$130=$B46)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46" s="6" t="e">
        <f>IF(ISNA(MATCH(Z$2,Inputs!$K$4:$AJ$4,0)),NA(),IF(SUMPRODUCT((Inputs!$A$5:$A$130=$B46)*ISNUMBER(INDEX(Inputs!$K$5:$AJ$130,0,MATCH(Z$2,Inputs!$K$4:$AJ$4,0))))+SUMPRODUCT((Inputs!$C$5:$C$130=$B46)*ISNUMBER(INDEX(Inputs!$K$5:$AJ$130,0,MATCH(Z$2,Inputs!$K$4:$AJ$4,0))))+SUMPRODUCT((Inputs!$E$5:$E$130=$B46)*ISNUMBER(INDEX(Inputs!$K$5:$AJ$130,0,MATCH(Z$2,Inputs!$K$4:$AJ$4,0))))=0,NA(),SUMPRODUCT((Inputs!$A$5:$A$130=$B46)*Inputs!$B$5:$B$130*(((Inputs!$G$5:$G$130="moeda")+(Inputs!$G$5:$G$130="acoes"))*Inputs!$B$1+((Inputs!$G$5:$G$130&lt;&gt;"moeda")*(Inputs!$G$5:$G$130&lt;&gt;"acoes")))*INDEX(Inputs!$K$5:$AJ$130,0,MATCH(Z$2,Inputs!$K$4:$AJ$4,0)))+SUMPRODUCT((Inputs!$C$5:$C$130=$B46)*Inputs!$D$5:$D$130*(((Inputs!$G$5:$G$130="moeda")+(Inputs!$G$5:$G$130="acoes"))*Inputs!$B$1+((Inputs!$G$5:$G$130&lt;&gt;"moeda")*(Inputs!$G$5:$G$130&lt;&gt;"acoes")))*INDEX(Inputs!$K$5:$AJ$130,0,MATCH(Z$2,Inputs!$K$4:$AJ$4,0)))+SUMPRODUCT((Inputs!$E$5:$E$130=$B46)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46" s="6" t="e">
        <f>IF(ISNA(MATCH(AA$2,Inputs!$K$4:$AJ$4,0)),NA(),IF(SUMPRODUCT((Inputs!$A$5:$A$130=$B46)*ISNUMBER(INDEX(Inputs!$K$5:$AJ$130,0,MATCH(AA$2,Inputs!$K$4:$AJ$4,0))))+SUMPRODUCT((Inputs!$C$5:$C$130=$B46)*ISNUMBER(INDEX(Inputs!$K$5:$AJ$130,0,MATCH(AA$2,Inputs!$K$4:$AJ$4,0))))+SUMPRODUCT((Inputs!$E$5:$E$130=$B46)*ISNUMBER(INDEX(Inputs!$K$5:$AJ$130,0,MATCH(AA$2,Inputs!$K$4:$AJ$4,0))))=0,NA(),SUMPRODUCT((Inputs!$A$5:$A$130=$B46)*Inputs!$B$5:$B$130*(((Inputs!$G$5:$G$130="moeda")+(Inputs!$G$5:$G$130="acoes"))*Inputs!$B$1+((Inputs!$G$5:$G$130&lt;&gt;"moeda")*(Inputs!$G$5:$G$130&lt;&gt;"acoes")))*INDEX(Inputs!$K$5:$AJ$130,0,MATCH(AA$2,Inputs!$K$4:$AJ$4,0)))+SUMPRODUCT((Inputs!$C$5:$C$130=$B46)*Inputs!$D$5:$D$130*(((Inputs!$G$5:$G$130="moeda")+(Inputs!$G$5:$G$130="acoes"))*Inputs!$B$1+((Inputs!$G$5:$G$130&lt;&gt;"moeda")*(Inputs!$G$5:$G$130&lt;&gt;"acoes")))*INDEX(Inputs!$K$5:$AJ$130,0,MATCH(AA$2,Inputs!$K$4:$AJ$4,0)))+SUMPRODUCT((Inputs!$E$5:$E$130=$B46)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46" s="3" t="e">
        <f>AA46</f>
        <v>#N/A</v>
      </c>
      <c r="AC46" s="6" t="e">
        <f>IF(ISNA(MATCH(AC$2,Inputs!$K$4:$AJ$4,0)),NA(),IF(SUMPRODUCT((Inputs!$A$5:$A$130=$B46)*ISNUMBER(INDEX(Inputs!$K$5:$AJ$130,0,MATCH(AC$2,Inputs!$K$4:$AJ$4,0))))+SUMPRODUCT((Inputs!$C$5:$C$130=$B46)*ISNUMBER(INDEX(Inputs!$K$5:$AJ$130,0,MATCH(AC$2,Inputs!$K$4:$AJ$4,0))))+SUMPRODUCT((Inputs!$E$5:$E$130=$B46)*ISNUMBER(INDEX(Inputs!$K$5:$AJ$130,0,MATCH(AC$2,Inputs!$K$4:$AJ$4,0))))=0,NA(),SUMPRODUCT((Inputs!$A$5:$A$130=$B46)*Inputs!$B$5:$B$130*(((Inputs!$G$5:$G$130="moeda")+(Inputs!$G$5:$G$130="acoes"))*Inputs!$B$1+((Inputs!$G$5:$G$130&lt;&gt;"moeda")*(Inputs!$G$5:$G$130&lt;&gt;"acoes")))*INDEX(Inputs!$K$5:$AJ$130,0,MATCH(AC$2,Inputs!$K$4:$AJ$4,0)))+SUMPRODUCT((Inputs!$C$5:$C$130=$B46)*Inputs!$D$5:$D$130*(((Inputs!$G$5:$G$130="moeda")+(Inputs!$G$5:$G$130="acoes"))*Inputs!$B$1+((Inputs!$G$5:$G$130&lt;&gt;"moeda")*(Inputs!$G$5:$G$130&lt;&gt;"acoes")))*INDEX(Inputs!$K$5:$AJ$130,0,MATCH(AC$2,Inputs!$K$4:$AJ$4,0)))+SUMPRODUCT((Inputs!$E$5:$E$130=$B46)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46" s="6" t="e">
        <f>IF(ISNA(MATCH(AD$2,Inputs!$K$4:$AJ$4,0)),NA(),IF(SUMPRODUCT((Inputs!$A$5:$A$130=$B46)*ISNUMBER(INDEX(Inputs!$K$5:$AJ$130,0,MATCH(AD$2,Inputs!$K$4:$AJ$4,0))))+SUMPRODUCT((Inputs!$C$5:$C$130=$B46)*ISNUMBER(INDEX(Inputs!$K$5:$AJ$130,0,MATCH(AD$2,Inputs!$K$4:$AJ$4,0))))+SUMPRODUCT((Inputs!$E$5:$E$130=$B46)*ISNUMBER(INDEX(Inputs!$K$5:$AJ$130,0,MATCH(AD$2,Inputs!$K$4:$AJ$4,0))))=0,NA(),SUMPRODUCT((Inputs!$A$5:$A$130=$B46)*Inputs!$B$5:$B$130*(((Inputs!$G$5:$G$130="moeda")+(Inputs!$G$5:$G$130="acoes"))*Inputs!$B$1+((Inputs!$G$5:$G$130&lt;&gt;"moeda")*(Inputs!$G$5:$G$130&lt;&gt;"acoes")))*INDEX(Inputs!$K$5:$AJ$130,0,MATCH(AD$2,Inputs!$K$4:$AJ$4,0)))+SUMPRODUCT((Inputs!$C$5:$C$130=$B46)*Inputs!$D$5:$D$130*(((Inputs!$G$5:$G$130="moeda")+(Inputs!$G$5:$G$130="acoes"))*Inputs!$B$1+((Inputs!$G$5:$G$130&lt;&gt;"moeda")*(Inputs!$G$5:$G$130&lt;&gt;"acoes")))*INDEX(Inputs!$K$5:$AJ$130,0,MATCH(AD$2,Inputs!$K$4:$AJ$4,0)))+SUMPRODUCT((Inputs!$E$5:$E$130=$B46)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46" s="6" t="e">
        <f>IF(ISNA(MATCH(AE$2,Inputs!$K$4:$AJ$4,0)),NA(),IF(SUMPRODUCT((Inputs!$A$5:$A$130=$B46)*ISNUMBER(INDEX(Inputs!$K$5:$AJ$130,0,MATCH(AE$2,Inputs!$K$4:$AJ$4,0))))+SUMPRODUCT((Inputs!$C$5:$C$130=$B46)*ISNUMBER(INDEX(Inputs!$K$5:$AJ$130,0,MATCH(AE$2,Inputs!$K$4:$AJ$4,0))))+SUMPRODUCT((Inputs!$E$5:$E$130=$B46)*ISNUMBER(INDEX(Inputs!$K$5:$AJ$130,0,MATCH(AE$2,Inputs!$K$4:$AJ$4,0))))=0,NA(),SUMPRODUCT((Inputs!$A$5:$A$130=$B46)*Inputs!$B$5:$B$130*(((Inputs!$G$5:$G$130="moeda")+(Inputs!$G$5:$G$130="acoes"))*Inputs!$B$1+((Inputs!$G$5:$G$130&lt;&gt;"moeda")*(Inputs!$G$5:$G$130&lt;&gt;"acoes")))*INDEX(Inputs!$K$5:$AJ$130,0,MATCH(AE$2,Inputs!$K$4:$AJ$4,0)))+SUMPRODUCT((Inputs!$C$5:$C$130=$B46)*Inputs!$D$5:$D$130*(((Inputs!$G$5:$G$130="moeda")+(Inputs!$G$5:$G$130="acoes"))*Inputs!$B$1+((Inputs!$G$5:$G$130&lt;&gt;"moeda")*(Inputs!$G$5:$G$130&lt;&gt;"acoes")))*INDEX(Inputs!$K$5:$AJ$130,0,MATCH(AE$2,Inputs!$K$4:$AJ$4,0)))+SUMPRODUCT((Inputs!$E$5:$E$130=$B46)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6" s="6" t="e">
        <f>IF(ISNA(MATCH(AF$2,Inputs!$K$4:$AJ$4,0)),NA(),IF(SUMPRODUCT((Inputs!$A$5:$A$130=$B46)*ISNUMBER(INDEX(Inputs!$K$5:$AJ$130,0,MATCH(AF$2,Inputs!$K$4:$AJ$4,0))))+SUMPRODUCT((Inputs!$C$5:$C$130=$B46)*ISNUMBER(INDEX(Inputs!$K$5:$AJ$130,0,MATCH(AF$2,Inputs!$K$4:$AJ$4,0))))+SUMPRODUCT((Inputs!$E$5:$E$130=$B46)*ISNUMBER(INDEX(Inputs!$K$5:$AJ$130,0,MATCH(AF$2,Inputs!$K$4:$AJ$4,0))))=0,NA(),SUMPRODUCT((Inputs!$A$5:$A$130=$B46)*Inputs!$B$5:$B$130*(((Inputs!$G$5:$G$130="moeda")+(Inputs!$G$5:$G$130="acoes"))*Inputs!$B$1+((Inputs!$G$5:$G$130&lt;&gt;"moeda")*(Inputs!$G$5:$G$130&lt;&gt;"acoes")))*INDEX(Inputs!$K$5:$AJ$130,0,MATCH(AF$2,Inputs!$K$4:$AJ$4,0)))+SUMPRODUCT((Inputs!$C$5:$C$130=$B46)*Inputs!$D$5:$D$130*(((Inputs!$G$5:$G$130="moeda")+(Inputs!$G$5:$G$130="acoes"))*Inputs!$B$1+((Inputs!$G$5:$G$130&lt;&gt;"moeda")*(Inputs!$G$5:$G$130&lt;&gt;"acoes")))*INDEX(Inputs!$K$5:$AJ$130,0,MATCH(AF$2,Inputs!$K$4:$AJ$4,0)))+SUMPRODUCT((Inputs!$E$5:$E$130=$B46)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6" s="3" t="e">
        <f>AF46</f>
        <v>#N/A</v>
      </c>
      <c r="AH46" s="6" t="e">
        <f>IF(ISNA(MATCH(AH$2,Inputs!$K$4:$AJ$4,0)),NA(),IF(SUMPRODUCT((Inputs!$A$5:$A$130=$B46)*ISNUMBER(INDEX(Inputs!$K$5:$AJ$130,0,MATCH(AH$2,Inputs!$K$4:$AJ$4,0))))+SUMPRODUCT((Inputs!$C$5:$C$130=$B46)*ISNUMBER(INDEX(Inputs!$K$5:$AJ$130,0,MATCH(AH$2,Inputs!$K$4:$AJ$4,0))))+SUMPRODUCT((Inputs!$E$5:$E$130=$B46)*ISNUMBER(INDEX(Inputs!$K$5:$AJ$130,0,MATCH(AH$2,Inputs!$K$4:$AJ$4,0))))=0,NA(),SUMPRODUCT((Inputs!$A$5:$A$130=$B46)*Inputs!$B$5:$B$130*(((Inputs!$G$5:$G$130="moeda")+(Inputs!$G$5:$G$130="acoes"))*Inputs!$B$1+((Inputs!$G$5:$G$130&lt;&gt;"moeda")*(Inputs!$G$5:$G$130&lt;&gt;"acoes")))*INDEX(Inputs!$K$5:$AJ$130,0,MATCH(AH$2,Inputs!$K$4:$AJ$4,0)))+SUMPRODUCT((Inputs!$C$5:$C$130=$B46)*Inputs!$D$5:$D$130*(((Inputs!$G$5:$G$130="moeda")+(Inputs!$G$5:$G$130="acoes"))*Inputs!$B$1+((Inputs!$G$5:$G$130&lt;&gt;"moeda")*(Inputs!$G$5:$G$130&lt;&gt;"acoes")))*INDEX(Inputs!$K$5:$AJ$130,0,MATCH(AH$2,Inputs!$K$4:$AJ$4,0)))+SUMPRODUCT((Inputs!$E$5:$E$130=$B46)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46" s="6" t="e">
        <f>IF(ISNA(MATCH(AI$2,Inputs!$K$4:$AJ$4,0)),NA(),IF(SUMPRODUCT((Inputs!$A$5:$A$130=$B46)*ISNUMBER(INDEX(Inputs!$K$5:$AJ$130,0,MATCH(AI$2,Inputs!$K$4:$AJ$4,0))))+SUMPRODUCT((Inputs!$C$5:$C$130=$B46)*ISNUMBER(INDEX(Inputs!$K$5:$AJ$130,0,MATCH(AI$2,Inputs!$K$4:$AJ$4,0))))+SUMPRODUCT((Inputs!$E$5:$E$130=$B46)*ISNUMBER(INDEX(Inputs!$K$5:$AJ$130,0,MATCH(AI$2,Inputs!$K$4:$AJ$4,0))))=0,NA(),SUMPRODUCT((Inputs!$A$5:$A$130=$B46)*Inputs!$B$5:$B$130*(((Inputs!$G$5:$G$130="moeda")+(Inputs!$G$5:$G$130="acoes"))*Inputs!$B$1+((Inputs!$G$5:$G$130&lt;&gt;"moeda")*(Inputs!$G$5:$G$130&lt;&gt;"acoes")))*INDEX(Inputs!$K$5:$AJ$130,0,MATCH(AI$2,Inputs!$K$4:$AJ$4,0)))+SUMPRODUCT((Inputs!$C$5:$C$130=$B46)*Inputs!$D$5:$D$130*(((Inputs!$G$5:$G$130="moeda")+(Inputs!$G$5:$G$130="acoes"))*Inputs!$B$1+((Inputs!$G$5:$G$130&lt;&gt;"moeda")*(Inputs!$G$5:$G$130&lt;&gt;"acoes")))*INDEX(Inputs!$K$5:$AJ$130,0,MATCH(AI$2,Inputs!$K$4:$AJ$4,0)))+SUMPRODUCT((Inputs!$E$5:$E$130=$B46)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46" s="6" t="e">
        <f>IF(ISNA(MATCH(AJ$2,Inputs!$K$4:$AJ$4,0)),NA(),IF(SUMPRODUCT((Inputs!$A$5:$A$130=$B46)*ISNUMBER(INDEX(Inputs!$K$5:$AJ$130,0,MATCH(AJ$2,Inputs!$K$4:$AJ$4,0))))+SUMPRODUCT((Inputs!$C$5:$C$130=$B46)*ISNUMBER(INDEX(Inputs!$K$5:$AJ$130,0,MATCH(AJ$2,Inputs!$K$4:$AJ$4,0))))+SUMPRODUCT((Inputs!$E$5:$E$130=$B46)*ISNUMBER(INDEX(Inputs!$K$5:$AJ$130,0,MATCH(AJ$2,Inputs!$K$4:$AJ$4,0))))=0,NA(),SUMPRODUCT((Inputs!$A$5:$A$130=$B46)*Inputs!$B$5:$B$130*(((Inputs!$G$5:$G$130="moeda")+(Inputs!$G$5:$G$130="acoes"))*Inputs!$B$1+((Inputs!$G$5:$G$130&lt;&gt;"moeda")*(Inputs!$G$5:$G$130&lt;&gt;"acoes")))*INDEX(Inputs!$K$5:$AJ$130,0,MATCH(AJ$2,Inputs!$K$4:$AJ$4,0)))+SUMPRODUCT((Inputs!$C$5:$C$130=$B46)*Inputs!$D$5:$D$130*(((Inputs!$G$5:$G$130="moeda")+(Inputs!$G$5:$G$130="acoes"))*Inputs!$B$1+((Inputs!$G$5:$G$130&lt;&gt;"moeda")*(Inputs!$G$5:$G$130&lt;&gt;"acoes")))*INDEX(Inputs!$K$5:$AJ$130,0,MATCH(AJ$2,Inputs!$K$4:$AJ$4,0)))+SUMPRODUCT((Inputs!$E$5:$E$130=$B46)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46" s="6" t="e">
        <f>IF(ISNA(MATCH(AK$2,Inputs!$K$4:$AJ$4,0)),NA(),IF(SUMPRODUCT((Inputs!$A$5:$A$130=$B46)*ISNUMBER(INDEX(Inputs!$K$5:$AJ$130,0,MATCH(AK$2,Inputs!$K$4:$AJ$4,0))))+SUMPRODUCT((Inputs!$C$5:$C$130=$B46)*ISNUMBER(INDEX(Inputs!$K$5:$AJ$130,0,MATCH(AK$2,Inputs!$K$4:$AJ$4,0))))+SUMPRODUCT((Inputs!$E$5:$E$130=$B46)*ISNUMBER(INDEX(Inputs!$K$5:$AJ$130,0,MATCH(AK$2,Inputs!$K$4:$AJ$4,0))))=0,NA(),SUMPRODUCT((Inputs!$A$5:$A$130=$B46)*Inputs!$B$5:$B$130*(((Inputs!$G$5:$G$130="moeda")+(Inputs!$G$5:$G$130="acoes"))*Inputs!$B$1+((Inputs!$G$5:$G$130&lt;&gt;"moeda")*(Inputs!$G$5:$G$130&lt;&gt;"acoes")))*INDEX(Inputs!$K$5:$AJ$130,0,MATCH(AK$2,Inputs!$K$4:$AJ$4,0)))+SUMPRODUCT((Inputs!$C$5:$C$130=$B46)*Inputs!$D$5:$D$130*(((Inputs!$G$5:$G$130="moeda")+(Inputs!$G$5:$G$130="acoes"))*Inputs!$B$1+((Inputs!$G$5:$G$130&lt;&gt;"moeda")*(Inputs!$G$5:$G$130&lt;&gt;"acoes")))*INDEX(Inputs!$K$5:$AJ$130,0,MATCH(AK$2,Inputs!$K$4:$AJ$4,0)))+SUMPRODUCT((Inputs!$E$5:$E$130=$B46)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46" s="3" t="e">
        <f>AK46</f>
        <v>#N/A</v>
      </c>
    </row>
    <row r="47">
      <c r="B47" s="46" t="n">
        <v>41</v>
      </c>
      <c r="C47" s="28" t="inlineStr">
        <is>
          <t>Retained earnings</t>
        </is>
      </c>
      <c r="D47" s="6">
        <f>IF(ISNA(MATCH(D$2,Inputs!$K$4:$AJ$4,0)),NA(),IF(SUMPRODUCT((Inputs!$A$5:$A$130=$B47)*ISNUMBER(INDEX(Inputs!$K$5:$AJ$130,0,MATCH(D$2,Inputs!$K$4:$AJ$4,0))))+SUMPRODUCT((Inputs!$C$5:$C$130=$B47)*ISNUMBER(INDEX(Inputs!$K$5:$AJ$130,0,MATCH(D$2,Inputs!$K$4:$AJ$4,0))))+SUMPRODUCT((Inputs!$E$5:$E$130=$B47)*ISNUMBER(INDEX(Inputs!$K$5:$AJ$130,0,MATCH(D$2,Inputs!$K$4:$AJ$4,0))))=0,NA(),SUMPRODUCT((Inputs!$A$5:$A$130=$B47)*Inputs!$B$5:$B$130*(((Inputs!$G$5:$G$130="moeda")+(Inputs!$G$5:$G$130="acoes"))*Inputs!$B$1+((Inputs!$G$5:$G$130&lt;&gt;"moeda")*(Inputs!$G$5:$G$130&lt;&gt;"acoes")))*INDEX(Inputs!$K$5:$AJ$130,0,MATCH(D$2,Inputs!$K$4:$AJ$4,0)))+SUMPRODUCT((Inputs!$C$5:$C$130=$B47)*Inputs!$D$5:$D$130*(((Inputs!$G$5:$G$130="moeda")+(Inputs!$G$5:$G$130="acoes"))*Inputs!$B$1+((Inputs!$G$5:$G$130&lt;&gt;"moeda")*(Inputs!$G$5:$G$130&lt;&gt;"acoes")))*INDEX(Inputs!$K$5:$AJ$130,0,MATCH(D$2,Inputs!$K$4:$AJ$4,0)))+SUMPRODUCT((Inputs!$E$5:$E$130=$B47)*Inputs!$F$5:$F$130*(((Inputs!$G$5:$G$130="moeda")+(Inputs!$G$5:$G$130="acoes"))*Inputs!$B$1+((Inputs!$G$5:$G$130&lt;&gt;"moeda")*(Inputs!$G$5:$G$130&lt;&gt;"acoes")))*INDEX(Inputs!$K$5:$AJ$130,0,MATCH(D$2,Inputs!$K$4:$AJ$4,0)))))</f>
        <v>20721</v>
      </c>
      <c r="E47" s="6">
        <f>IF(ISNA(MATCH(E$2,Inputs!$K$4:$AJ$4,0)),NA(),IF(SUMPRODUCT((Inputs!$A$5:$A$130=$B47)*ISNUMBER(INDEX(Inputs!$K$5:$AJ$130,0,MATCH(E$2,Inputs!$K$4:$AJ$4,0))))+SUMPRODUCT((Inputs!$C$5:$C$130=$B47)*ISNUMBER(INDEX(Inputs!$K$5:$AJ$130,0,MATCH(E$2,Inputs!$K$4:$AJ$4,0))))+SUMPRODUCT((Inputs!$E$5:$E$130=$B47)*ISNUMBER(INDEX(Inputs!$K$5:$AJ$130,0,MATCH(E$2,Inputs!$K$4:$AJ$4,0))))=0,NA(),SUMPRODUCT((Inputs!$A$5:$A$130=$B47)*Inputs!$B$5:$B$130*(((Inputs!$G$5:$G$130="moeda")+(Inputs!$G$5:$G$130="acoes"))*Inputs!$B$1+((Inputs!$G$5:$G$130&lt;&gt;"moeda")*(Inputs!$G$5:$G$130&lt;&gt;"acoes")))*INDEX(Inputs!$K$5:$AJ$130,0,MATCH(E$2,Inputs!$K$4:$AJ$4,0)))+SUMPRODUCT((Inputs!$C$5:$C$130=$B47)*Inputs!$D$5:$D$130*(((Inputs!$G$5:$G$130="moeda")+(Inputs!$G$5:$G$130="acoes"))*Inputs!$B$1+((Inputs!$G$5:$G$130&lt;&gt;"moeda")*(Inputs!$G$5:$G$130&lt;&gt;"acoes")))*INDEX(Inputs!$K$5:$AJ$130,0,MATCH(E$2,Inputs!$K$4:$AJ$4,0)))+SUMPRODUCT((Inputs!$E$5:$E$130=$B47)*Inputs!$F$5:$F$130*(((Inputs!$G$5:$G$130="moeda")+(Inputs!$G$5:$G$130="acoes"))*Inputs!$B$1+((Inputs!$G$5:$G$130&lt;&gt;"moeda")*(Inputs!$G$5:$G$130&lt;&gt;"acoes")))*INDEX(Inputs!$K$5:$AJ$130,0,MATCH(E$2,Inputs!$K$4:$AJ$4,0)))))</f>
        <v>22995</v>
      </c>
      <c r="F47" s="6">
        <f>IF(ISNA(MATCH(F$2,Inputs!$K$4:$AJ$4,0)),NA(),IF(SUMPRODUCT((Inputs!$A$5:$A$130=$B47)*ISNUMBER(INDEX(Inputs!$K$5:$AJ$130,0,MATCH(F$2,Inputs!$K$4:$AJ$4,0))))+SUMPRODUCT((Inputs!$C$5:$C$130=$B47)*ISNUMBER(INDEX(Inputs!$K$5:$AJ$130,0,MATCH(F$2,Inputs!$K$4:$AJ$4,0))))+SUMPRODUCT((Inputs!$E$5:$E$130=$B47)*ISNUMBER(INDEX(Inputs!$K$5:$AJ$130,0,MATCH(F$2,Inputs!$K$4:$AJ$4,0))))=0,NA(),SUMPRODUCT((Inputs!$A$5:$A$130=$B47)*Inputs!$B$5:$B$130*(((Inputs!$G$5:$G$130="moeda")+(Inputs!$G$5:$G$130="acoes"))*Inputs!$B$1+((Inputs!$G$5:$G$130&lt;&gt;"moeda")*(Inputs!$G$5:$G$130&lt;&gt;"acoes")))*INDEX(Inputs!$K$5:$AJ$130,0,MATCH(F$2,Inputs!$K$4:$AJ$4,0)))+SUMPRODUCT((Inputs!$C$5:$C$130=$B47)*Inputs!$D$5:$D$130*(((Inputs!$G$5:$G$130="moeda")+(Inputs!$G$5:$G$130="acoes"))*Inputs!$B$1+((Inputs!$G$5:$G$130&lt;&gt;"moeda")*(Inputs!$G$5:$G$130&lt;&gt;"acoes")))*INDEX(Inputs!$K$5:$AJ$130,0,MATCH(F$2,Inputs!$K$4:$AJ$4,0)))+SUMPRODUCT((Inputs!$E$5:$E$130=$B47)*Inputs!$F$5:$F$130*(((Inputs!$G$5:$G$130="moeda")+(Inputs!$G$5:$G$130="acoes"))*Inputs!$B$1+((Inputs!$G$5:$G$130&lt;&gt;"moeda")*(Inputs!$G$5:$G$130&lt;&gt;"acoes")))*INDEX(Inputs!$K$5:$AJ$130,0,MATCH(F$2,Inputs!$K$4:$AJ$4,0)))))</f>
        <v>25359</v>
      </c>
      <c r="G47" s="6">
        <f>IF(ISNA(MATCH(G$2,Inputs!$K$4:$AJ$4,0)),NA(),IF(SUMPRODUCT((Inputs!$A$5:$A$130=$B47)*ISNUMBER(INDEX(Inputs!$K$5:$AJ$130,0,MATCH(G$2,Inputs!$K$4:$AJ$4,0))))+SUMPRODUCT((Inputs!$C$5:$C$130=$B47)*ISNUMBER(INDEX(Inputs!$K$5:$AJ$130,0,MATCH(G$2,Inputs!$K$4:$AJ$4,0))))+SUMPRODUCT((Inputs!$E$5:$E$130=$B47)*ISNUMBER(INDEX(Inputs!$K$5:$AJ$130,0,MATCH(G$2,Inputs!$K$4:$AJ$4,0))))=0,NA(),SUMPRODUCT((Inputs!$A$5:$A$130=$B47)*Inputs!$B$5:$B$130*(((Inputs!$G$5:$G$130="moeda")+(Inputs!$G$5:$G$130="acoes"))*Inputs!$B$1+((Inputs!$G$5:$G$130&lt;&gt;"moeda")*(Inputs!$G$5:$G$130&lt;&gt;"acoes")))*INDEX(Inputs!$K$5:$AJ$130,0,MATCH(G$2,Inputs!$K$4:$AJ$4,0)))+SUMPRODUCT((Inputs!$C$5:$C$130=$B47)*Inputs!$D$5:$D$130*(((Inputs!$G$5:$G$130="moeda")+(Inputs!$G$5:$G$130="acoes"))*Inputs!$B$1+((Inputs!$G$5:$G$130&lt;&gt;"moeda")*(Inputs!$G$5:$G$130&lt;&gt;"acoes")))*INDEX(Inputs!$K$5:$AJ$130,0,MATCH(G$2,Inputs!$K$4:$AJ$4,0)))+SUMPRODUCT((Inputs!$E$5:$E$130=$B47)*Inputs!$F$5:$F$130*(((Inputs!$G$5:$G$130="moeda")+(Inputs!$G$5:$G$130="acoes"))*Inputs!$B$1+((Inputs!$G$5:$G$130&lt;&gt;"moeda")*(Inputs!$G$5:$G$130&lt;&gt;"acoes")))*INDEX(Inputs!$K$5:$AJ$130,0,MATCH(G$2,Inputs!$K$4:$AJ$4,0)))))</f>
        <v>16235</v>
      </c>
      <c r="H47" s="3">
        <f>G47</f>
        <v>16235</v>
      </c>
      <c r="I47" s="6">
        <f>IF(ISNA(MATCH(I$2,Inputs!$K$4:$AJ$4,0)),NA(),IF(SUMPRODUCT((Inputs!$A$5:$A$130=$B47)*ISNUMBER(INDEX(Inputs!$K$5:$AJ$130,0,MATCH(I$2,Inputs!$K$4:$AJ$4,0))))+SUMPRODUCT((Inputs!$C$5:$C$130=$B47)*ISNUMBER(INDEX(Inputs!$K$5:$AJ$130,0,MATCH(I$2,Inputs!$K$4:$AJ$4,0))))+SUMPRODUCT((Inputs!$E$5:$E$130=$B47)*ISNUMBER(INDEX(Inputs!$K$5:$AJ$130,0,MATCH(I$2,Inputs!$K$4:$AJ$4,0))))=0,NA(),SUMPRODUCT((Inputs!$A$5:$A$130=$B47)*Inputs!$B$5:$B$130*(((Inputs!$G$5:$G$130="moeda")+(Inputs!$G$5:$G$130="acoes"))*Inputs!$B$1+((Inputs!$G$5:$G$130&lt;&gt;"moeda")*(Inputs!$G$5:$G$130&lt;&gt;"acoes")))*INDEX(Inputs!$K$5:$AJ$130,0,MATCH(I$2,Inputs!$K$4:$AJ$4,0)))+SUMPRODUCT((Inputs!$C$5:$C$130=$B47)*Inputs!$D$5:$D$130*(((Inputs!$G$5:$G$130="moeda")+(Inputs!$G$5:$G$130="acoes"))*Inputs!$B$1+((Inputs!$G$5:$G$130&lt;&gt;"moeda")*(Inputs!$G$5:$G$130&lt;&gt;"acoes")))*INDEX(Inputs!$K$5:$AJ$130,0,MATCH(I$2,Inputs!$K$4:$AJ$4,0)))+SUMPRODUCT((Inputs!$E$5:$E$130=$B47)*Inputs!$F$5:$F$130*(((Inputs!$G$5:$G$130="moeda")+(Inputs!$G$5:$G$130="acoes"))*Inputs!$B$1+((Inputs!$G$5:$G$130&lt;&gt;"moeda")*(Inputs!$G$5:$G$130&lt;&gt;"acoes")))*INDEX(Inputs!$K$5:$AJ$130,0,MATCH(I$2,Inputs!$K$4:$AJ$4,0)))))</f>
        <v>15758</v>
      </c>
      <c r="J47" s="6">
        <f>IF(ISNA(MATCH(J$2,Inputs!$K$4:$AJ$4,0)),NA(),IF(SUMPRODUCT((Inputs!$A$5:$A$130=$B47)*ISNUMBER(INDEX(Inputs!$K$5:$AJ$130,0,MATCH(J$2,Inputs!$K$4:$AJ$4,0))))+SUMPRODUCT((Inputs!$C$5:$C$130=$B47)*ISNUMBER(INDEX(Inputs!$K$5:$AJ$130,0,MATCH(J$2,Inputs!$K$4:$AJ$4,0))))+SUMPRODUCT((Inputs!$E$5:$E$130=$B47)*ISNUMBER(INDEX(Inputs!$K$5:$AJ$130,0,MATCH(J$2,Inputs!$K$4:$AJ$4,0))))=0,NA(),SUMPRODUCT((Inputs!$A$5:$A$130=$B47)*Inputs!$B$5:$B$130*(((Inputs!$G$5:$G$130="moeda")+(Inputs!$G$5:$G$130="acoes"))*Inputs!$B$1+((Inputs!$G$5:$G$130&lt;&gt;"moeda")*(Inputs!$G$5:$G$130&lt;&gt;"acoes")))*INDEX(Inputs!$K$5:$AJ$130,0,MATCH(J$2,Inputs!$K$4:$AJ$4,0)))+SUMPRODUCT((Inputs!$C$5:$C$130=$B47)*Inputs!$D$5:$D$130*(((Inputs!$G$5:$G$130="moeda")+(Inputs!$G$5:$G$130="acoes"))*Inputs!$B$1+((Inputs!$G$5:$G$130&lt;&gt;"moeda")*(Inputs!$G$5:$G$130&lt;&gt;"acoes")))*INDEX(Inputs!$K$5:$AJ$130,0,MATCH(J$2,Inputs!$K$4:$AJ$4,0)))+SUMPRODUCT((Inputs!$E$5:$E$130=$B47)*Inputs!$F$5:$F$130*(((Inputs!$G$5:$G$130="moeda")+(Inputs!$G$5:$G$130="acoes"))*Inputs!$B$1+((Inputs!$G$5:$G$130&lt;&gt;"moeda")*(Inputs!$G$5:$G$130&lt;&gt;"acoes")))*INDEX(Inputs!$K$5:$AJ$130,0,MATCH(J$2,Inputs!$K$4:$AJ$4,0)))))</f>
        <v>12971</v>
      </c>
      <c r="K47" s="6">
        <f>IF(ISNA(MATCH(K$2,Inputs!$K$4:$AJ$4,0)),NA(),IF(SUMPRODUCT((Inputs!$A$5:$A$130=$B47)*ISNUMBER(INDEX(Inputs!$K$5:$AJ$130,0,MATCH(K$2,Inputs!$K$4:$AJ$4,0))))+SUMPRODUCT((Inputs!$C$5:$C$130=$B47)*ISNUMBER(INDEX(Inputs!$K$5:$AJ$130,0,MATCH(K$2,Inputs!$K$4:$AJ$4,0))))+SUMPRODUCT((Inputs!$E$5:$E$130=$B47)*ISNUMBER(INDEX(Inputs!$K$5:$AJ$130,0,MATCH(K$2,Inputs!$K$4:$AJ$4,0))))=0,NA(),SUMPRODUCT((Inputs!$A$5:$A$130=$B47)*Inputs!$B$5:$B$130*(((Inputs!$G$5:$G$130="moeda")+(Inputs!$G$5:$G$130="acoes"))*Inputs!$B$1+((Inputs!$G$5:$G$130&lt;&gt;"moeda")*(Inputs!$G$5:$G$130&lt;&gt;"acoes")))*INDEX(Inputs!$K$5:$AJ$130,0,MATCH(K$2,Inputs!$K$4:$AJ$4,0)))+SUMPRODUCT((Inputs!$C$5:$C$130=$B47)*Inputs!$D$5:$D$130*(((Inputs!$G$5:$G$130="moeda")+(Inputs!$G$5:$G$130="acoes"))*Inputs!$B$1+((Inputs!$G$5:$G$130&lt;&gt;"moeda")*(Inputs!$G$5:$G$130&lt;&gt;"acoes")))*INDEX(Inputs!$K$5:$AJ$130,0,MATCH(K$2,Inputs!$K$4:$AJ$4,0)))+SUMPRODUCT((Inputs!$E$5:$E$130=$B47)*Inputs!$F$5:$F$130*(((Inputs!$G$5:$G$130="moeda")+(Inputs!$G$5:$G$130="acoes"))*Inputs!$B$1+((Inputs!$G$5:$G$130&lt;&gt;"moeda")*(Inputs!$G$5:$G$130&lt;&gt;"acoes")))*INDEX(Inputs!$K$5:$AJ$130,0,MATCH(K$2,Inputs!$K$4:$AJ$4,0)))))</f>
        <v>9905</v>
      </c>
      <c r="L47" s="6">
        <f>IF(ISNA(MATCH(L$2,Inputs!$K$4:$AJ$4,0)),NA(),IF(SUMPRODUCT((Inputs!$A$5:$A$130=$B47)*ISNUMBER(INDEX(Inputs!$K$5:$AJ$130,0,MATCH(L$2,Inputs!$K$4:$AJ$4,0))))+SUMPRODUCT((Inputs!$C$5:$C$130=$B47)*ISNUMBER(INDEX(Inputs!$K$5:$AJ$130,0,MATCH(L$2,Inputs!$K$4:$AJ$4,0))))+SUMPRODUCT((Inputs!$E$5:$E$130=$B47)*ISNUMBER(INDEX(Inputs!$K$5:$AJ$130,0,MATCH(L$2,Inputs!$K$4:$AJ$4,0))))=0,NA(),SUMPRODUCT((Inputs!$A$5:$A$130=$B47)*Inputs!$B$5:$B$130*(((Inputs!$G$5:$G$130="moeda")+(Inputs!$G$5:$G$130="acoes"))*Inputs!$B$1+((Inputs!$G$5:$G$130&lt;&gt;"moeda")*(Inputs!$G$5:$G$130&lt;&gt;"acoes")))*INDEX(Inputs!$K$5:$AJ$130,0,MATCH(L$2,Inputs!$K$4:$AJ$4,0)))+SUMPRODUCT((Inputs!$C$5:$C$130=$B47)*Inputs!$D$5:$D$130*(((Inputs!$G$5:$G$130="moeda")+(Inputs!$G$5:$G$130="acoes"))*Inputs!$B$1+((Inputs!$G$5:$G$130&lt;&gt;"moeda")*(Inputs!$G$5:$G$130&lt;&gt;"acoes")))*INDEX(Inputs!$K$5:$AJ$130,0,MATCH(L$2,Inputs!$K$4:$AJ$4,0)))+SUMPRODUCT((Inputs!$E$5:$E$130=$B47)*Inputs!$F$5:$F$130*(((Inputs!$G$5:$G$130="moeda")+(Inputs!$G$5:$G$130="acoes"))*Inputs!$B$1+((Inputs!$G$5:$G$130&lt;&gt;"moeda")*(Inputs!$G$5:$G$130&lt;&gt;"acoes")))*INDEX(Inputs!$K$5:$AJ$130,0,MATCH(L$2,Inputs!$K$4:$AJ$4,0)))))</f>
        <v>10171</v>
      </c>
      <c r="M47" s="3">
        <f>L47</f>
        <v>10171</v>
      </c>
      <c r="N47" s="6">
        <f>IF(ISNA(MATCH(N$2,Inputs!$K$4:$AJ$4,0)),NA(),IF(SUMPRODUCT((Inputs!$A$5:$A$130=$B47)*ISNUMBER(INDEX(Inputs!$K$5:$AJ$130,0,MATCH(N$2,Inputs!$K$4:$AJ$4,0))))+SUMPRODUCT((Inputs!$C$5:$C$130=$B47)*ISNUMBER(INDEX(Inputs!$K$5:$AJ$130,0,MATCH(N$2,Inputs!$K$4:$AJ$4,0))))+SUMPRODUCT((Inputs!$E$5:$E$130=$B47)*ISNUMBER(INDEX(Inputs!$K$5:$AJ$130,0,MATCH(N$2,Inputs!$K$4:$AJ$4,0))))=0,NA(),SUMPRODUCT((Inputs!$A$5:$A$130=$B47)*Inputs!$B$5:$B$130*(((Inputs!$G$5:$G$130="moeda")+(Inputs!$G$5:$G$130="acoes"))*Inputs!$B$1+((Inputs!$G$5:$G$130&lt;&gt;"moeda")*(Inputs!$G$5:$G$130&lt;&gt;"acoes")))*INDEX(Inputs!$K$5:$AJ$130,0,MATCH(N$2,Inputs!$K$4:$AJ$4,0)))+SUMPRODUCT((Inputs!$C$5:$C$130=$B47)*Inputs!$D$5:$D$130*(((Inputs!$G$5:$G$130="moeda")+(Inputs!$G$5:$G$130="acoes"))*Inputs!$B$1+((Inputs!$G$5:$G$130&lt;&gt;"moeda")*(Inputs!$G$5:$G$130&lt;&gt;"acoes")))*INDEX(Inputs!$K$5:$AJ$130,0,MATCH(N$2,Inputs!$K$4:$AJ$4,0)))+SUMPRODUCT((Inputs!$E$5:$E$130=$B47)*Inputs!$F$5:$F$130*(((Inputs!$G$5:$G$130="moeda")+(Inputs!$G$5:$G$130="acoes"))*Inputs!$B$1+((Inputs!$G$5:$G$130&lt;&gt;"moeda")*(Inputs!$G$5:$G$130&lt;&gt;"acoes")))*INDEX(Inputs!$K$5:$AJ$130,0,MATCH(N$2,Inputs!$K$4:$AJ$4,0)))))</f>
        <v>12115</v>
      </c>
      <c r="O47" s="6">
        <f>IF(ISNA(MATCH(O$2,Inputs!$K$4:$AJ$4,0)),NA(),IF(SUMPRODUCT((Inputs!$A$5:$A$130=$B47)*ISNUMBER(INDEX(Inputs!$K$5:$AJ$130,0,MATCH(O$2,Inputs!$K$4:$AJ$4,0))))+SUMPRODUCT((Inputs!$C$5:$C$130=$B47)*ISNUMBER(INDEX(Inputs!$K$5:$AJ$130,0,MATCH(O$2,Inputs!$K$4:$AJ$4,0))))+SUMPRODUCT((Inputs!$E$5:$E$130=$B47)*ISNUMBER(INDEX(Inputs!$K$5:$AJ$130,0,MATCH(O$2,Inputs!$K$4:$AJ$4,0))))=0,NA(),SUMPRODUCT((Inputs!$A$5:$A$130=$B47)*Inputs!$B$5:$B$130*(((Inputs!$G$5:$G$130="moeda")+(Inputs!$G$5:$G$130="acoes"))*Inputs!$B$1+((Inputs!$G$5:$G$130&lt;&gt;"moeda")*(Inputs!$G$5:$G$130&lt;&gt;"acoes")))*INDEX(Inputs!$K$5:$AJ$130,0,MATCH(O$2,Inputs!$K$4:$AJ$4,0)))+SUMPRODUCT((Inputs!$C$5:$C$130=$B47)*Inputs!$D$5:$D$130*(((Inputs!$G$5:$G$130="moeda")+(Inputs!$G$5:$G$130="acoes"))*Inputs!$B$1+((Inputs!$G$5:$G$130&lt;&gt;"moeda")*(Inputs!$G$5:$G$130&lt;&gt;"acoes")))*INDEX(Inputs!$K$5:$AJ$130,0,MATCH(O$2,Inputs!$K$4:$AJ$4,0)))+SUMPRODUCT((Inputs!$E$5:$E$130=$B47)*Inputs!$F$5:$F$130*(((Inputs!$G$5:$G$130="moeda")+(Inputs!$G$5:$G$130="acoes"))*Inputs!$B$1+((Inputs!$G$5:$G$130&lt;&gt;"moeda")*(Inputs!$G$5:$G$130&lt;&gt;"acoes")))*INDEX(Inputs!$K$5:$AJ$130,0,MATCH(O$2,Inputs!$K$4:$AJ$4,0)))))</f>
        <v>14921</v>
      </c>
      <c r="P47" s="6">
        <f>IF(ISNA(MATCH(P$2,Inputs!$K$4:$AJ$4,0)),NA(),IF(SUMPRODUCT((Inputs!$A$5:$A$130=$B47)*ISNUMBER(INDEX(Inputs!$K$5:$AJ$130,0,MATCH(P$2,Inputs!$K$4:$AJ$4,0))))+SUMPRODUCT((Inputs!$C$5:$C$130=$B47)*ISNUMBER(INDEX(Inputs!$K$5:$AJ$130,0,MATCH(P$2,Inputs!$K$4:$AJ$4,0))))+SUMPRODUCT((Inputs!$E$5:$E$130=$B47)*ISNUMBER(INDEX(Inputs!$K$5:$AJ$130,0,MATCH(P$2,Inputs!$K$4:$AJ$4,0))))=0,NA(),SUMPRODUCT((Inputs!$A$5:$A$130=$B47)*Inputs!$B$5:$B$130*(((Inputs!$G$5:$G$130="moeda")+(Inputs!$G$5:$G$130="acoes"))*Inputs!$B$1+((Inputs!$G$5:$G$130&lt;&gt;"moeda")*(Inputs!$G$5:$G$130&lt;&gt;"acoes")))*INDEX(Inputs!$K$5:$AJ$130,0,MATCH(P$2,Inputs!$K$4:$AJ$4,0)))+SUMPRODUCT((Inputs!$C$5:$C$130=$B47)*Inputs!$D$5:$D$130*(((Inputs!$G$5:$G$130="moeda")+(Inputs!$G$5:$G$130="acoes"))*Inputs!$B$1+((Inputs!$G$5:$G$130&lt;&gt;"moeda")*(Inputs!$G$5:$G$130&lt;&gt;"acoes")))*INDEX(Inputs!$K$5:$AJ$130,0,MATCH(P$2,Inputs!$K$4:$AJ$4,0)))+SUMPRODUCT((Inputs!$E$5:$E$130=$B47)*Inputs!$F$5:$F$130*(((Inputs!$G$5:$G$130="moeda")+(Inputs!$G$5:$G$130="acoes"))*Inputs!$B$1+((Inputs!$G$5:$G$130&lt;&gt;"moeda")*(Inputs!$G$5:$G$130&lt;&gt;"acoes")))*INDEX(Inputs!$K$5:$AJ$130,0,MATCH(P$2,Inputs!$K$4:$AJ$4,0)))))</f>
        <v>20360</v>
      </c>
      <c r="Q47" s="6">
        <f>IF(ISNA(MATCH(Q$2,Inputs!$K$4:$AJ$4,0)),NA(),IF(SUMPRODUCT((Inputs!$A$5:$A$130=$B47)*ISNUMBER(INDEX(Inputs!$K$5:$AJ$130,0,MATCH(Q$2,Inputs!$K$4:$AJ$4,0))))+SUMPRODUCT((Inputs!$C$5:$C$130=$B47)*ISNUMBER(INDEX(Inputs!$K$5:$AJ$130,0,MATCH(Q$2,Inputs!$K$4:$AJ$4,0))))+SUMPRODUCT((Inputs!$E$5:$E$130=$B47)*ISNUMBER(INDEX(Inputs!$K$5:$AJ$130,0,MATCH(Q$2,Inputs!$K$4:$AJ$4,0))))=0,NA(),SUMPRODUCT((Inputs!$A$5:$A$130=$B47)*Inputs!$B$5:$B$130*(((Inputs!$G$5:$G$130="moeda")+(Inputs!$G$5:$G$130="acoes"))*Inputs!$B$1+((Inputs!$G$5:$G$130&lt;&gt;"moeda")*(Inputs!$G$5:$G$130&lt;&gt;"acoes")))*INDEX(Inputs!$K$5:$AJ$130,0,MATCH(Q$2,Inputs!$K$4:$AJ$4,0)))+SUMPRODUCT((Inputs!$C$5:$C$130=$B47)*Inputs!$D$5:$D$130*(((Inputs!$G$5:$G$130="moeda")+(Inputs!$G$5:$G$130="acoes"))*Inputs!$B$1+((Inputs!$G$5:$G$130&lt;&gt;"moeda")*(Inputs!$G$5:$G$130&lt;&gt;"acoes")))*INDEX(Inputs!$K$5:$AJ$130,0,MATCH(Q$2,Inputs!$K$4:$AJ$4,0)))+SUMPRODUCT((Inputs!$E$5:$E$130=$B47)*Inputs!$F$5:$F$130*(((Inputs!$G$5:$G$130="moeda")+(Inputs!$G$5:$G$130="acoes"))*Inputs!$B$1+((Inputs!$G$5:$G$130&lt;&gt;"moeda")*(Inputs!$G$5:$G$130&lt;&gt;"acoes")))*INDEX(Inputs!$K$5:$AJ$130,0,MATCH(Q$2,Inputs!$K$4:$AJ$4,0)))))</f>
        <v>29817</v>
      </c>
      <c r="R47" s="3">
        <f>Q47</f>
        <v>29817</v>
      </c>
      <c r="S47" s="6">
        <f>IF(ISNA(MATCH(S$2,Inputs!$K$4:$AJ$4,0)),NA(),IF(SUMPRODUCT((Inputs!$A$5:$A$130=$B47)*ISNUMBER(INDEX(Inputs!$K$5:$AJ$130,0,MATCH(S$2,Inputs!$K$4:$AJ$4,0))))+SUMPRODUCT((Inputs!$C$5:$C$130=$B47)*ISNUMBER(INDEX(Inputs!$K$5:$AJ$130,0,MATCH(S$2,Inputs!$K$4:$AJ$4,0))))+SUMPRODUCT((Inputs!$E$5:$E$130=$B47)*ISNUMBER(INDEX(Inputs!$K$5:$AJ$130,0,MATCH(S$2,Inputs!$K$4:$AJ$4,0))))=0,NA(),SUMPRODUCT((Inputs!$A$5:$A$130=$B47)*Inputs!$B$5:$B$130*(((Inputs!$G$5:$G$130="moeda")+(Inputs!$G$5:$G$130="acoes"))*Inputs!$B$1+((Inputs!$G$5:$G$130&lt;&gt;"moeda")*(Inputs!$G$5:$G$130&lt;&gt;"acoes")))*INDEX(Inputs!$K$5:$AJ$130,0,MATCH(S$2,Inputs!$K$4:$AJ$4,0)))+SUMPRODUCT((Inputs!$C$5:$C$130=$B47)*Inputs!$D$5:$D$130*(((Inputs!$G$5:$G$130="moeda")+(Inputs!$G$5:$G$130="acoes"))*Inputs!$B$1+((Inputs!$G$5:$G$130&lt;&gt;"moeda")*(Inputs!$G$5:$G$130&lt;&gt;"acoes")))*INDEX(Inputs!$K$5:$AJ$130,0,MATCH(S$2,Inputs!$K$4:$AJ$4,0)))+SUMPRODUCT((Inputs!$E$5:$E$130=$B47)*Inputs!$F$5:$F$130*(((Inputs!$G$5:$G$130="moeda")+(Inputs!$G$5:$G$130="acoes"))*Inputs!$B$1+((Inputs!$G$5:$G$130&lt;&gt;"moeda")*(Inputs!$G$5:$G$130&lt;&gt;"acoes")))*INDEX(Inputs!$K$5:$AJ$130,0,MATCH(S$2,Inputs!$K$4:$AJ$4,0)))))</f>
        <v>36598</v>
      </c>
      <c r="T47" s="6">
        <f>IF(ISNA(MATCH(T$2,Inputs!$K$4:$AJ$4,0)),NA(),IF(SUMPRODUCT((Inputs!$A$5:$A$130=$B47)*ISNUMBER(INDEX(Inputs!$K$5:$AJ$130,0,MATCH(T$2,Inputs!$K$4:$AJ$4,0))))+SUMPRODUCT((Inputs!$C$5:$C$130=$B47)*ISNUMBER(INDEX(Inputs!$K$5:$AJ$130,0,MATCH(T$2,Inputs!$K$4:$AJ$4,0))))+SUMPRODUCT((Inputs!$E$5:$E$130=$B47)*ISNUMBER(INDEX(Inputs!$K$5:$AJ$130,0,MATCH(T$2,Inputs!$K$4:$AJ$4,0))))=0,NA(),SUMPRODUCT((Inputs!$A$5:$A$130=$B47)*Inputs!$B$5:$B$130*(((Inputs!$G$5:$G$130="moeda")+(Inputs!$G$5:$G$130="acoes"))*Inputs!$B$1+((Inputs!$G$5:$G$130&lt;&gt;"moeda")*(Inputs!$G$5:$G$130&lt;&gt;"acoes")))*INDEX(Inputs!$K$5:$AJ$130,0,MATCH(T$2,Inputs!$K$4:$AJ$4,0)))+SUMPRODUCT((Inputs!$C$5:$C$130=$B47)*Inputs!$D$5:$D$130*(((Inputs!$G$5:$G$130="moeda")+(Inputs!$G$5:$G$130="acoes"))*Inputs!$B$1+((Inputs!$G$5:$G$130&lt;&gt;"moeda")*(Inputs!$G$5:$G$130&lt;&gt;"acoes")))*INDEX(Inputs!$K$5:$AJ$130,0,MATCH(T$2,Inputs!$K$4:$AJ$4,0)))+SUMPRODUCT((Inputs!$E$5:$E$130=$B47)*Inputs!$F$5:$F$130*(((Inputs!$G$5:$G$130="moeda")+(Inputs!$G$5:$G$130="acoes"))*Inputs!$B$1+((Inputs!$G$5:$G$130&lt;&gt;"moeda")*(Inputs!$G$5:$G$130&lt;&gt;"acoes")))*INDEX(Inputs!$K$5:$AJ$130,0,MATCH(T$2,Inputs!$K$4:$AJ$4,0)))))</f>
        <v>45961</v>
      </c>
      <c r="U47" s="6">
        <f>IF(ISNA(MATCH(U$2,Inputs!$K$4:$AJ$4,0)),NA(),IF(SUMPRODUCT((Inputs!$A$5:$A$130=$B47)*ISNUMBER(INDEX(Inputs!$K$5:$AJ$130,0,MATCH(U$2,Inputs!$K$4:$AJ$4,0))))+SUMPRODUCT((Inputs!$C$5:$C$130=$B47)*ISNUMBER(INDEX(Inputs!$K$5:$AJ$130,0,MATCH(U$2,Inputs!$K$4:$AJ$4,0))))+SUMPRODUCT((Inputs!$E$5:$E$130=$B47)*ISNUMBER(INDEX(Inputs!$K$5:$AJ$130,0,MATCH(U$2,Inputs!$K$4:$AJ$4,0))))=0,NA(),SUMPRODUCT((Inputs!$A$5:$A$130=$B47)*Inputs!$B$5:$B$130*(((Inputs!$G$5:$G$130="moeda")+(Inputs!$G$5:$G$130="acoes"))*Inputs!$B$1+((Inputs!$G$5:$G$130&lt;&gt;"moeda")*(Inputs!$G$5:$G$130&lt;&gt;"acoes")))*INDEX(Inputs!$K$5:$AJ$130,0,MATCH(U$2,Inputs!$K$4:$AJ$4,0)))+SUMPRODUCT((Inputs!$C$5:$C$130=$B47)*Inputs!$D$5:$D$130*(((Inputs!$G$5:$G$130="moeda")+(Inputs!$G$5:$G$130="acoes"))*Inputs!$B$1+((Inputs!$G$5:$G$130&lt;&gt;"moeda")*(Inputs!$G$5:$G$130&lt;&gt;"acoes")))*INDEX(Inputs!$K$5:$AJ$130,0,MATCH(U$2,Inputs!$K$4:$AJ$4,0)))+SUMPRODUCT((Inputs!$E$5:$E$130=$B47)*Inputs!$F$5:$F$130*(((Inputs!$G$5:$G$130="moeda")+(Inputs!$G$5:$G$130="acoes"))*Inputs!$B$1+((Inputs!$G$5:$G$130&lt;&gt;"moeda")*(Inputs!$G$5:$G$130&lt;&gt;"acoes")))*INDEX(Inputs!$K$5:$AJ$130,0,MATCH(U$2,Inputs!$K$4:$AJ$4,0)))))</f>
        <v>53950</v>
      </c>
      <c r="V47" s="6">
        <f>IF(ISNA(MATCH(V$2,Inputs!$K$4:$AJ$4,0)),NA(),IF(SUMPRODUCT((Inputs!$A$5:$A$130=$B47)*ISNUMBER(INDEX(Inputs!$K$5:$AJ$130,0,MATCH(V$2,Inputs!$K$4:$AJ$4,0))))+SUMPRODUCT((Inputs!$C$5:$C$130=$B47)*ISNUMBER(INDEX(Inputs!$K$5:$AJ$130,0,MATCH(V$2,Inputs!$K$4:$AJ$4,0))))+SUMPRODUCT((Inputs!$E$5:$E$130=$B47)*ISNUMBER(INDEX(Inputs!$K$5:$AJ$130,0,MATCH(V$2,Inputs!$K$4:$AJ$4,0))))=0,NA(),SUMPRODUCT((Inputs!$A$5:$A$130=$B47)*Inputs!$B$5:$B$130*(((Inputs!$G$5:$G$130="moeda")+(Inputs!$G$5:$G$130="acoes"))*Inputs!$B$1+((Inputs!$G$5:$G$130&lt;&gt;"moeda")*(Inputs!$G$5:$G$130&lt;&gt;"acoes")))*INDEX(Inputs!$K$5:$AJ$130,0,MATCH(V$2,Inputs!$K$4:$AJ$4,0)))+SUMPRODUCT((Inputs!$C$5:$C$130=$B47)*Inputs!$D$5:$D$130*(((Inputs!$G$5:$G$130="moeda")+(Inputs!$G$5:$G$130="acoes"))*Inputs!$B$1+((Inputs!$G$5:$G$130&lt;&gt;"moeda")*(Inputs!$G$5:$G$130&lt;&gt;"acoes")))*INDEX(Inputs!$K$5:$AJ$130,0,MATCH(V$2,Inputs!$K$4:$AJ$4,0)))+SUMPRODUCT((Inputs!$E$5:$E$130=$B47)*Inputs!$F$5:$F$130*(((Inputs!$G$5:$G$130="moeda")+(Inputs!$G$5:$G$130="acoes"))*Inputs!$B$1+((Inputs!$G$5:$G$130&lt;&gt;"moeda")*(Inputs!$G$5:$G$130&lt;&gt;"acoes")))*INDEX(Inputs!$K$5:$AJ$130,0,MATCH(V$2,Inputs!$K$4:$AJ$4,0)))))</f>
        <v>68038</v>
      </c>
      <c r="W47" s="3">
        <f>V47</f>
        <v>68038</v>
      </c>
      <c r="X47" s="6">
        <f>IF(ISNA(MATCH(X$2,Inputs!$K$4:$AJ$4,0)),NA(),IF(SUMPRODUCT((Inputs!$A$5:$A$130=$B47)*ISNUMBER(INDEX(Inputs!$K$5:$AJ$130,0,MATCH(X$2,Inputs!$K$4:$AJ$4,0))))+SUMPRODUCT((Inputs!$C$5:$C$130=$B47)*ISNUMBER(INDEX(Inputs!$K$5:$AJ$130,0,MATCH(X$2,Inputs!$K$4:$AJ$4,0))))+SUMPRODUCT((Inputs!$E$5:$E$130=$B47)*ISNUMBER(INDEX(Inputs!$K$5:$AJ$130,0,MATCH(X$2,Inputs!$K$4:$AJ$4,0))))=0,NA(),SUMPRODUCT((Inputs!$A$5:$A$130=$B47)*Inputs!$B$5:$B$130*(((Inputs!$G$5:$G$130="moeda")+(Inputs!$G$5:$G$130="acoes"))*Inputs!$B$1+((Inputs!$G$5:$G$130&lt;&gt;"moeda")*(Inputs!$G$5:$G$130&lt;&gt;"acoes")))*INDEX(Inputs!$K$5:$AJ$130,0,MATCH(X$2,Inputs!$K$4:$AJ$4,0)))+SUMPRODUCT((Inputs!$C$5:$C$130=$B47)*Inputs!$D$5:$D$130*(((Inputs!$G$5:$G$130="moeda")+(Inputs!$G$5:$G$130="acoes"))*Inputs!$B$1+((Inputs!$G$5:$G$130&lt;&gt;"moeda")*(Inputs!$G$5:$G$130&lt;&gt;"acoes")))*INDEX(Inputs!$K$5:$AJ$130,0,MATCH(X$2,Inputs!$K$4:$AJ$4,0)))+SUMPRODUCT((Inputs!$E$5:$E$130=$B47)*Inputs!$F$5:$F$130*(((Inputs!$G$5:$G$130="moeda")+(Inputs!$G$5:$G$130="acoes"))*Inputs!$B$1+((Inputs!$G$5:$G$130&lt;&gt;"moeda")*(Inputs!$G$5:$G$130&lt;&gt;"acoes")))*INDEX(Inputs!$K$5:$AJ$130,0,MATCH(X$2,Inputs!$K$4:$AJ$4,0)))))</f>
        <v>72158</v>
      </c>
      <c r="Y47" s="6">
        <f>IF(ISNA(MATCH(Y$2,Inputs!$K$4:$AJ$4,0)),NA(),IF(SUMPRODUCT((Inputs!$A$5:$A$130=$B47)*ISNUMBER(INDEX(Inputs!$K$5:$AJ$130,0,MATCH(Y$2,Inputs!$K$4:$AJ$4,0))))+SUMPRODUCT((Inputs!$C$5:$C$130=$B47)*ISNUMBER(INDEX(Inputs!$K$5:$AJ$130,0,MATCH(Y$2,Inputs!$K$4:$AJ$4,0))))+SUMPRODUCT((Inputs!$E$5:$E$130=$B47)*ISNUMBER(INDEX(Inputs!$K$5:$AJ$130,0,MATCH(Y$2,Inputs!$K$4:$AJ$4,0))))=0,NA(),SUMPRODUCT((Inputs!$A$5:$A$130=$B47)*Inputs!$B$5:$B$130*(((Inputs!$G$5:$G$130="moeda")+(Inputs!$G$5:$G$130="acoes"))*Inputs!$B$1+((Inputs!$G$5:$G$130&lt;&gt;"moeda")*(Inputs!$G$5:$G$130&lt;&gt;"acoes")))*INDEX(Inputs!$K$5:$AJ$130,0,MATCH(Y$2,Inputs!$K$4:$AJ$4,0)))+SUMPRODUCT((Inputs!$C$5:$C$130=$B47)*Inputs!$D$5:$D$130*(((Inputs!$G$5:$G$130="moeda")+(Inputs!$G$5:$G$130="acoes"))*Inputs!$B$1+((Inputs!$G$5:$G$130&lt;&gt;"moeda")*(Inputs!$G$5:$G$130&lt;&gt;"acoes")))*INDEX(Inputs!$K$5:$AJ$130,0,MATCH(Y$2,Inputs!$K$4:$AJ$4,0)))+SUMPRODUCT((Inputs!$E$5:$E$130=$B47)*Inputs!$F$5:$F$130*(((Inputs!$G$5:$G$130="moeda")+(Inputs!$G$5:$G$130="acoes"))*Inputs!$B$1+((Inputs!$G$5:$G$130&lt;&gt;"moeda")*(Inputs!$G$5:$G$130&lt;&gt;"acoes")))*INDEX(Inputs!$K$5:$AJ$130,0,MATCH(Y$2,Inputs!$K$4:$AJ$4,0)))))</f>
        <v>88737</v>
      </c>
      <c r="Z47" s="6">
        <f>IF(ISNA(MATCH(Z$2,Inputs!$K$4:$AJ$4,0)),NA(),IF(SUMPRODUCT((Inputs!$A$5:$A$130=$B47)*ISNUMBER(INDEX(Inputs!$K$5:$AJ$130,0,MATCH(Z$2,Inputs!$K$4:$AJ$4,0))))+SUMPRODUCT((Inputs!$C$5:$C$130=$B47)*ISNUMBER(INDEX(Inputs!$K$5:$AJ$130,0,MATCH(Z$2,Inputs!$K$4:$AJ$4,0))))+SUMPRODUCT((Inputs!$E$5:$E$130=$B47)*ISNUMBER(INDEX(Inputs!$K$5:$AJ$130,0,MATCH(Z$2,Inputs!$K$4:$AJ$4,0))))=0,NA(),SUMPRODUCT((Inputs!$A$5:$A$130=$B47)*Inputs!$B$5:$B$130*(((Inputs!$G$5:$G$130="moeda")+(Inputs!$G$5:$G$130="acoes"))*Inputs!$B$1+((Inputs!$G$5:$G$130&lt;&gt;"moeda")*(Inputs!$G$5:$G$130&lt;&gt;"acoes")))*INDEX(Inputs!$K$5:$AJ$130,0,MATCH(Z$2,Inputs!$K$4:$AJ$4,0)))+SUMPRODUCT((Inputs!$C$5:$C$130=$B47)*Inputs!$D$5:$D$130*(((Inputs!$G$5:$G$130="moeda")+(Inputs!$G$5:$G$130="acoes"))*Inputs!$B$1+((Inputs!$G$5:$G$130&lt;&gt;"moeda")*(Inputs!$G$5:$G$130&lt;&gt;"acoes")))*INDEX(Inputs!$K$5:$AJ$130,0,MATCH(Z$2,Inputs!$K$4:$AJ$4,0)))+SUMPRODUCT((Inputs!$E$5:$E$130=$B47)*Inputs!$F$5:$F$130*(((Inputs!$G$5:$G$130="moeda")+(Inputs!$G$5:$G$130="acoes"))*Inputs!$B$1+((Inputs!$G$5:$G$130&lt;&gt;"moeda")*(Inputs!$G$5:$G$130&lt;&gt;"acoes")))*INDEX(Inputs!$K$5:$AJ$130,0,MATCH(Z$2,Inputs!$K$4:$AJ$4,0)))))</f>
        <v>107908</v>
      </c>
      <c r="AA47" s="6">
        <f>IF(ISNA(MATCH(AA$2,Inputs!$K$4:$AJ$4,0)),NA(),IF(SUMPRODUCT((Inputs!$A$5:$A$130=$B47)*ISNUMBER(INDEX(Inputs!$K$5:$AJ$130,0,MATCH(AA$2,Inputs!$K$4:$AJ$4,0))))+SUMPRODUCT((Inputs!$C$5:$C$130=$B47)*ISNUMBER(INDEX(Inputs!$K$5:$AJ$130,0,MATCH(AA$2,Inputs!$K$4:$AJ$4,0))))+SUMPRODUCT((Inputs!$E$5:$E$130=$B47)*ISNUMBER(INDEX(Inputs!$K$5:$AJ$130,0,MATCH(AA$2,Inputs!$K$4:$AJ$4,0))))=0,NA(),SUMPRODUCT((Inputs!$A$5:$A$130=$B47)*Inputs!$B$5:$B$130*(((Inputs!$G$5:$G$130="moeda")+(Inputs!$G$5:$G$130="acoes"))*Inputs!$B$1+((Inputs!$G$5:$G$130&lt;&gt;"moeda")*(Inputs!$G$5:$G$130&lt;&gt;"acoes")))*INDEX(Inputs!$K$5:$AJ$130,0,MATCH(AA$2,Inputs!$K$4:$AJ$4,0)))+SUMPRODUCT((Inputs!$C$5:$C$130=$B47)*Inputs!$D$5:$D$130*(((Inputs!$G$5:$G$130="moeda")+(Inputs!$G$5:$G$130="acoes"))*Inputs!$B$1+((Inputs!$G$5:$G$130&lt;&gt;"moeda")*(Inputs!$G$5:$G$130&lt;&gt;"acoes")))*INDEX(Inputs!$K$5:$AJ$130,0,MATCH(AA$2,Inputs!$K$4:$AJ$4,0)))+SUMPRODUCT((Inputs!$E$5:$E$130=$B47)*Inputs!$F$5:$F$130*(((Inputs!$G$5:$G$130="moeda")+(Inputs!$G$5:$G$130="acoes"))*Inputs!$B$1+((Inputs!$G$5:$G$130&lt;&gt;"moeda")*(Inputs!$G$5:$G$130&lt;&gt;"acoes")))*INDEX(Inputs!$K$5:$AJ$130,0,MATCH(AA$2,Inputs!$K$4:$AJ$4,0)))))</f>
        <v>146973</v>
      </c>
      <c r="AB47" s="3">
        <f>AA47</f>
        <v>146973</v>
      </c>
      <c r="AC47" s="6">
        <f>IF(ISNA(MATCH(AC$2,Inputs!$K$4:$AJ$4,0)),NA(),IF(SUMPRODUCT((Inputs!$A$5:$A$130=$B47)*ISNUMBER(INDEX(Inputs!$K$5:$AJ$130,0,MATCH(AC$2,Inputs!$K$4:$AJ$4,0))))+SUMPRODUCT((Inputs!$C$5:$C$130=$B47)*ISNUMBER(INDEX(Inputs!$K$5:$AJ$130,0,MATCH(AC$2,Inputs!$K$4:$AJ$4,0))))+SUMPRODUCT((Inputs!$E$5:$E$130=$B47)*ISNUMBER(INDEX(Inputs!$K$5:$AJ$130,0,MATCH(AC$2,Inputs!$K$4:$AJ$4,0))))=0,NA(),SUMPRODUCT((Inputs!$A$5:$A$130=$B47)*Inputs!$B$5:$B$130*(((Inputs!$G$5:$G$130="moeda")+(Inputs!$G$5:$G$130="acoes"))*Inputs!$B$1+((Inputs!$G$5:$G$130&lt;&gt;"moeda")*(Inputs!$G$5:$G$130&lt;&gt;"acoes")))*INDEX(Inputs!$K$5:$AJ$130,0,MATCH(AC$2,Inputs!$K$4:$AJ$4,0)))+SUMPRODUCT((Inputs!$C$5:$C$130=$B47)*Inputs!$D$5:$D$130*(((Inputs!$G$5:$G$130="moeda")+(Inputs!$G$5:$G$130="acoes"))*Inputs!$B$1+((Inputs!$G$5:$G$130&lt;&gt;"moeda")*(Inputs!$G$5:$G$130&lt;&gt;"acoes")))*INDEX(Inputs!$K$5:$AJ$130,0,MATCH(AC$2,Inputs!$K$4:$AJ$4,0)))+SUMPRODUCT((Inputs!$E$5:$E$130=$B47)*Inputs!$F$5:$F$130*(((Inputs!$G$5:$G$130="moeda")+(Inputs!$G$5:$G$130="acoes"))*Inputs!$B$1+((Inputs!$G$5:$G$130&lt;&gt;"moeda")*(Inputs!$G$5:$G$130&lt;&gt;"acoes")))*INDEX(Inputs!$K$5:$AJ$130,0,MATCH(AC$2,Inputs!$K$4:$AJ$4,0)))))</f>
        <v>185038</v>
      </c>
      <c r="AD47" s="6">
        <f>IF(ISNA(MATCH(AD$2,Inputs!$K$4:$AJ$4,0)),NA(),IF(SUMPRODUCT((Inputs!$A$5:$A$130=$B47)*ISNUMBER(INDEX(Inputs!$K$5:$AJ$130,0,MATCH(AD$2,Inputs!$K$4:$AJ$4,0))))+SUMPRODUCT((Inputs!$C$5:$C$130=$B47)*ISNUMBER(INDEX(Inputs!$K$5:$AJ$130,0,MATCH(AD$2,Inputs!$K$4:$AJ$4,0))))+SUMPRODUCT((Inputs!$E$5:$E$130=$B47)*ISNUMBER(INDEX(Inputs!$K$5:$AJ$130,0,MATCH(AD$2,Inputs!$K$4:$AJ$4,0))))=0,NA(),SUMPRODUCT((Inputs!$A$5:$A$130=$B47)*Inputs!$B$5:$B$130*(((Inputs!$G$5:$G$130="moeda")+(Inputs!$G$5:$G$130="acoes"))*Inputs!$B$1+((Inputs!$G$5:$G$130&lt;&gt;"moeda")*(Inputs!$G$5:$G$130&lt;&gt;"acoes")))*INDEX(Inputs!$K$5:$AJ$130,0,MATCH(AD$2,Inputs!$K$4:$AJ$4,0)))+SUMPRODUCT((Inputs!$C$5:$C$130=$B47)*Inputs!$D$5:$D$130*(((Inputs!$G$5:$G$130="moeda")+(Inputs!$G$5:$G$130="acoes"))*Inputs!$B$1+((Inputs!$G$5:$G$130&lt;&gt;"moeda")*(Inputs!$G$5:$G$130&lt;&gt;"acoes")))*INDEX(Inputs!$K$5:$AJ$130,0,MATCH(AD$2,Inputs!$K$4:$AJ$4,0)))+SUMPRODUCT((Inputs!$E$5:$E$130=$B47)*Inputs!$F$5:$F$130*(((Inputs!$G$5:$G$130="moeda")+(Inputs!$G$5:$G$130="acoes"))*Inputs!$B$1+((Inputs!$G$5:$G$130&lt;&gt;"moeda")*(Inputs!$G$5:$G$130&lt;&gt;"acoes")))*INDEX(Inputs!$K$5:$AJ$130,0,MATCH(AD$2,Inputs!$K$4:$AJ$4,0)))))</f>
        <v>219157</v>
      </c>
      <c r="AE47" s="6" t="e">
        <f>IF(ISNA(MATCH(AE$2,Inputs!$K$4:$AJ$4,0)),NA(),IF(SUMPRODUCT((Inputs!$A$5:$A$130=$B47)*ISNUMBER(INDEX(Inputs!$K$5:$AJ$130,0,MATCH(AE$2,Inputs!$K$4:$AJ$4,0))))+SUMPRODUCT((Inputs!$C$5:$C$130=$B47)*ISNUMBER(INDEX(Inputs!$K$5:$AJ$130,0,MATCH(AE$2,Inputs!$K$4:$AJ$4,0))))+SUMPRODUCT((Inputs!$E$5:$E$130=$B47)*ISNUMBER(INDEX(Inputs!$K$5:$AJ$130,0,MATCH(AE$2,Inputs!$K$4:$AJ$4,0))))=0,NA(),SUMPRODUCT((Inputs!$A$5:$A$130=$B47)*Inputs!$B$5:$B$130*(((Inputs!$G$5:$G$130="moeda")+(Inputs!$G$5:$G$130="acoes"))*Inputs!$B$1+((Inputs!$G$5:$G$130&lt;&gt;"moeda")*(Inputs!$G$5:$G$130&lt;&gt;"acoes")))*INDEX(Inputs!$K$5:$AJ$130,0,MATCH(AE$2,Inputs!$K$4:$AJ$4,0)))+SUMPRODUCT((Inputs!$C$5:$C$130=$B47)*Inputs!$D$5:$D$130*(((Inputs!$G$5:$G$130="moeda")+(Inputs!$G$5:$G$130="acoes"))*Inputs!$B$1+((Inputs!$G$5:$G$130&lt;&gt;"moeda")*(Inputs!$G$5:$G$130&lt;&gt;"acoes")))*INDEX(Inputs!$K$5:$AJ$130,0,MATCH(AE$2,Inputs!$K$4:$AJ$4,0)))+SUMPRODUCT((Inputs!$E$5:$E$130=$B47)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7" s="6" t="e">
        <f>IF(ISNA(MATCH(AF$2,Inputs!$K$4:$AJ$4,0)),NA(),IF(SUMPRODUCT((Inputs!$A$5:$A$130=$B47)*ISNUMBER(INDEX(Inputs!$K$5:$AJ$130,0,MATCH(AF$2,Inputs!$K$4:$AJ$4,0))))+SUMPRODUCT((Inputs!$C$5:$C$130=$B47)*ISNUMBER(INDEX(Inputs!$K$5:$AJ$130,0,MATCH(AF$2,Inputs!$K$4:$AJ$4,0))))+SUMPRODUCT((Inputs!$E$5:$E$130=$B47)*ISNUMBER(INDEX(Inputs!$K$5:$AJ$130,0,MATCH(AF$2,Inputs!$K$4:$AJ$4,0))))=0,NA(),SUMPRODUCT((Inputs!$A$5:$A$130=$B47)*Inputs!$B$5:$B$130*(((Inputs!$G$5:$G$130="moeda")+(Inputs!$G$5:$G$130="acoes"))*Inputs!$B$1+((Inputs!$G$5:$G$130&lt;&gt;"moeda")*(Inputs!$G$5:$G$130&lt;&gt;"acoes")))*INDEX(Inputs!$K$5:$AJ$130,0,MATCH(AF$2,Inputs!$K$4:$AJ$4,0)))+SUMPRODUCT((Inputs!$C$5:$C$130=$B47)*Inputs!$D$5:$D$130*(((Inputs!$G$5:$G$130="moeda")+(Inputs!$G$5:$G$130="acoes"))*Inputs!$B$1+((Inputs!$G$5:$G$130&lt;&gt;"moeda")*(Inputs!$G$5:$G$130&lt;&gt;"acoes")))*INDEX(Inputs!$K$5:$AJ$130,0,MATCH(AF$2,Inputs!$K$4:$AJ$4,0)))+SUMPRODUCT((Inputs!$E$5:$E$130=$B47)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7" s="3" t="e">
        <f>AF47</f>
        <v>#N/A</v>
      </c>
      <c r="AH47" s="6">
        <f>IF(ISNA(MATCH(AH$2,Inputs!$K$4:$AJ$4,0)),NA(),IF(SUMPRODUCT((Inputs!$A$5:$A$130=$B47)*ISNUMBER(INDEX(Inputs!$K$5:$AJ$130,0,MATCH(AH$2,Inputs!$K$4:$AJ$4,0))))+SUMPRODUCT((Inputs!$C$5:$C$130=$B47)*ISNUMBER(INDEX(Inputs!$K$5:$AJ$130,0,MATCH(AH$2,Inputs!$K$4:$AJ$4,0))))+SUMPRODUCT((Inputs!$E$5:$E$130=$B47)*ISNUMBER(INDEX(Inputs!$K$5:$AJ$130,0,MATCH(AH$2,Inputs!$K$4:$AJ$4,0))))=0,NA(),SUMPRODUCT((Inputs!$A$5:$A$130=$B47)*Inputs!$B$5:$B$130*(((Inputs!$G$5:$G$130="moeda")+(Inputs!$G$5:$G$130="acoes"))*Inputs!$B$1+((Inputs!$G$5:$G$130&lt;&gt;"moeda")*(Inputs!$G$5:$G$130&lt;&gt;"acoes")))*INDEX(Inputs!$K$5:$AJ$130,0,MATCH(AH$2,Inputs!$K$4:$AJ$4,0)))+SUMPRODUCT((Inputs!$C$5:$C$130=$B47)*Inputs!$D$5:$D$130*(((Inputs!$G$5:$G$130="moeda")+(Inputs!$G$5:$G$130="acoes"))*Inputs!$B$1+((Inputs!$G$5:$G$130&lt;&gt;"moeda")*(Inputs!$G$5:$G$130&lt;&gt;"acoes")))*INDEX(Inputs!$K$5:$AJ$130,0,MATCH(AH$2,Inputs!$K$4:$AJ$4,0)))+SUMPRODUCT((Inputs!$E$5:$E$130=$B47)*Inputs!$F$5:$F$130*(((Inputs!$G$5:$G$130="moeda")+(Inputs!$G$5:$G$130="acoes"))*Inputs!$B$1+((Inputs!$G$5:$G$130&lt;&gt;"moeda")*(Inputs!$G$5:$G$130&lt;&gt;"acoes")))*INDEX(Inputs!$K$5:$AJ$130,0,MATCH(AH$2,Inputs!$K$4:$AJ$4,0)))))</f>
        <v>15790</v>
      </c>
      <c r="AI47" s="6">
        <f>IF(ISNA(MATCH(AI$2,Inputs!$K$4:$AJ$4,0)),NA(),IF(SUMPRODUCT((Inputs!$A$5:$A$130=$B47)*ISNUMBER(INDEX(Inputs!$K$5:$AJ$130,0,MATCH(AI$2,Inputs!$K$4:$AJ$4,0))))+SUMPRODUCT((Inputs!$C$5:$C$130=$B47)*ISNUMBER(INDEX(Inputs!$K$5:$AJ$130,0,MATCH(AI$2,Inputs!$K$4:$AJ$4,0))))+SUMPRODUCT((Inputs!$E$5:$E$130=$B47)*ISNUMBER(INDEX(Inputs!$K$5:$AJ$130,0,MATCH(AI$2,Inputs!$K$4:$AJ$4,0))))=0,NA(),SUMPRODUCT((Inputs!$A$5:$A$130=$B47)*Inputs!$B$5:$B$130*(((Inputs!$G$5:$G$130="moeda")+(Inputs!$G$5:$G$130="acoes"))*Inputs!$B$1+((Inputs!$G$5:$G$130&lt;&gt;"moeda")*(Inputs!$G$5:$G$130&lt;&gt;"acoes")))*INDEX(Inputs!$K$5:$AJ$130,0,MATCH(AI$2,Inputs!$K$4:$AJ$4,0)))+SUMPRODUCT((Inputs!$C$5:$C$130=$B47)*Inputs!$D$5:$D$130*(((Inputs!$G$5:$G$130="moeda")+(Inputs!$G$5:$G$130="acoes"))*Inputs!$B$1+((Inputs!$G$5:$G$130&lt;&gt;"moeda")*(Inputs!$G$5:$G$130&lt;&gt;"acoes")))*INDEX(Inputs!$K$5:$AJ$130,0,MATCH(AI$2,Inputs!$K$4:$AJ$4,0)))+SUMPRODUCT((Inputs!$E$5:$E$130=$B47)*Inputs!$F$5:$F$130*(((Inputs!$G$5:$G$130="moeda")+(Inputs!$G$5:$G$130="acoes"))*Inputs!$B$1+((Inputs!$G$5:$G$130&lt;&gt;"moeda")*(Inputs!$G$5:$G$130&lt;&gt;"acoes")))*INDEX(Inputs!$K$5:$AJ$130,0,MATCH(AI$2,Inputs!$K$4:$AJ$4,0)))))</f>
        <v>16313</v>
      </c>
      <c r="AJ47" s="6">
        <f>IF(ISNA(MATCH(AJ$2,Inputs!$K$4:$AJ$4,0)),NA(),IF(SUMPRODUCT((Inputs!$A$5:$A$130=$B47)*ISNUMBER(INDEX(Inputs!$K$5:$AJ$130,0,MATCH(AJ$2,Inputs!$K$4:$AJ$4,0))))+SUMPRODUCT((Inputs!$C$5:$C$130=$B47)*ISNUMBER(INDEX(Inputs!$K$5:$AJ$130,0,MATCH(AJ$2,Inputs!$K$4:$AJ$4,0))))+SUMPRODUCT((Inputs!$E$5:$E$130=$B47)*ISNUMBER(INDEX(Inputs!$K$5:$AJ$130,0,MATCH(AJ$2,Inputs!$K$4:$AJ$4,0))))=0,NA(),SUMPRODUCT((Inputs!$A$5:$A$130=$B47)*Inputs!$B$5:$B$130*(((Inputs!$G$5:$G$130="moeda")+(Inputs!$G$5:$G$130="acoes"))*Inputs!$B$1+((Inputs!$G$5:$G$130&lt;&gt;"moeda")*(Inputs!$G$5:$G$130&lt;&gt;"acoes")))*INDEX(Inputs!$K$5:$AJ$130,0,MATCH(AJ$2,Inputs!$K$4:$AJ$4,0)))+SUMPRODUCT((Inputs!$C$5:$C$130=$B47)*Inputs!$D$5:$D$130*(((Inputs!$G$5:$G$130="moeda")+(Inputs!$G$5:$G$130="acoes"))*Inputs!$B$1+((Inputs!$G$5:$G$130&lt;&gt;"moeda")*(Inputs!$G$5:$G$130&lt;&gt;"acoes")))*INDEX(Inputs!$K$5:$AJ$130,0,MATCH(AJ$2,Inputs!$K$4:$AJ$4,0)))+SUMPRODUCT((Inputs!$E$5:$E$130=$B47)*Inputs!$F$5:$F$130*(((Inputs!$G$5:$G$130="moeda")+(Inputs!$G$5:$G$130="acoes"))*Inputs!$B$1+((Inputs!$G$5:$G$130&lt;&gt;"moeda")*(Inputs!$G$5:$G$130&lt;&gt;"acoes")))*INDEX(Inputs!$K$5:$AJ$130,0,MATCH(AJ$2,Inputs!$K$4:$AJ$4,0)))))</f>
        <v>17550</v>
      </c>
      <c r="AK47" s="6">
        <f>IF(ISNA(MATCH(AK$2,Inputs!$K$4:$AJ$4,0)),NA(),IF(SUMPRODUCT((Inputs!$A$5:$A$130=$B47)*ISNUMBER(INDEX(Inputs!$K$5:$AJ$130,0,MATCH(AK$2,Inputs!$K$4:$AJ$4,0))))+SUMPRODUCT((Inputs!$C$5:$C$130=$B47)*ISNUMBER(INDEX(Inputs!$K$5:$AJ$130,0,MATCH(AK$2,Inputs!$K$4:$AJ$4,0))))+SUMPRODUCT((Inputs!$E$5:$E$130=$B47)*ISNUMBER(INDEX(Inputs!$K$5:$AJ$130,0,MATCH(AK$2,Inputs!$K$4:$AJ$4,0))))=0,NA(),SUMPRODUCT((Inputs!$A$5:$A$130=$B47)*Inputs!$B$5:$B$130*(((Inputs!$G$5:$G$130="moeda")+(Inputs!$G$5:$G$130="acoes"))*Inputs!$B$1+((Inputs!$G$5:$G$130&lt;&gt;"moeda")*(Inputs!$G$5:$G$130&lt;&gt;"acoes")))*INDEX(Inputs!$K$5:$AJ$130,0,MATCH(AK$2,Inputs!$K$4:$AJ$4,0)))+SUMPRODUCT((Inputs!$C$5:$C$130=$B47)*Inputs!$D$5:$D$130*(((Inputs!$G$5:$G$130="moeda")+(Inputs!$G$5:$G$130="acoes"))*Inputs!$B$1+((Inputs!$G$5:$G$130&lt;&gt;"moeda")*(Inputs!$G$5:$G$130&lt;&gt;"acoes")))*INDEX(Inputs!$K$5:$AJ$130,0,MATCH(AK$2,Inputs!$K$4:$AJ$4,0)))+SUMPRODUCT((Inputs!$E$5:$E$130=$B47)*Inputs!$F$5:$F$130*(((Inputs!$G$5:$G$130="moeda")+(Inputs!$G$5:$G$130="acoes"))*Inputs!$B$1+((Inputs!$G$5:$G$130&lt;&gt;"moeda")*(Inputs!$G$5:$G$130&lt;&gt;"acoes")))*INDEX(Inputs!$K$5:$AJ$130,0,MATCH(AK$2,Inputs!$K$4:$AJ$4,0)))))</f>
        <v>18908</v>
      </c>
      <c r="AL47" s="3">
        <f>AK47</f>
        <v>18908</v>
      </c>
    </row>
    <row r="48">
      <c r="B48" s="46" t="n">
        <v>42</v>
      </c>
      <c r="C48" s="28" t="inlineStr">
        <is>
          <t>Diluted Shares outstanding (weighted avg, mm) [Model linha 222]</t>
        </is>
      </c>
      <c r="D48" s="258">
        <f>IF(ISNA(MATCH(D$2,Inputs!$K$4:$AJ$4,0)),NA(),IF(SUMPRODUCT((Inputs!$A$5:$A$130=$B48)*ISNUMBER(INDEX(Inputs!$K$5:$AJ$130,0,MATCH(D$2,Inputs!$K$4:$AJ$4,0))))+SUMPRODUCT((Inputs!$C$5:$C$130=$B48)*ISNUMBER(INDEX(Inputs!$K$5:$AJ$130,0,MATCH(D$2,Inputs!$K$4:$AJ$4,0))))+SUMPRODUCT((Inputs!$E$5:$E$130=$B48)*ISNUMBER(INDEX(Inputs!$K$5:$AJ$130,0,MATCH(D$2,Inputs!$K$4:$AJ$4,0))))=0,NA(),SUMPRODUCT((Inputs!$A$5:$A$130=$B48)*Inputs!$B$5:$B$130*(((Inputs!$G$5:$G$130="moeda")+(Inputs!$G$5:$G$130="acoes"))*Inputs!$B$1+((Inputs!$G$5:$G$130&lt;&gt;"moeda")*(Inputs!$G$5:$G$130&lt;&gt;"acoes")))*INDEX(Inputs!$K$5:$AJ$130,0,MATCH(D$2,Inputs!$K$4:$AJ$4,0)))+SUMPRODUCT((Inputs!$C$5:$C$130=$B48)*Inputs!$D$5:$D$130*(((Inputs!$G$5:$G$130="moeda")+(Inputs!$G$5:$G$130="acoes"))*Inputs!$B$1+((Inputs!$G$5:$G$130&lt;&gt;"moeda")*(Inputs!$G$5:$G$130&lt;&gt;"acoes")))*INDEX(Inputs!$K$5:$AJ$130,0,MATCH(D$2,Inputs!$K$4:$AJ$4,0)))+SUMPRODUCT((Inputs!$E$5:$E$130=$B48)*Inputs!$F$5:$F$130*(((Inputs!$G$5:$G$130="moeda")+(Inputs!$G$5:$G$130="acoes"))*Inputs!$B$1+((Inputs!$G$5:$G$130&lt;&gt;"moeda")*(Inputs!$G$5:$G$130&lt;&gt;"acoes")))*INDEX(Inputs!$K$5:$AJ$130,0,MATCH(D$2,Inputs!$K$4:$AJ$4,0)))))</f>
        <v>25280</v>
      </c>
      <c r="E48" s="258">
        <f>IF(ISNA(MATCH(E$2,Inputs!$K$4:$AJ$4,0)),NA(),IF(SUMPRODUCT((Inputs!$A$5:$A$130=$B48)*ISNUMBER(INDEX(Inputs!$K$5:$AJ$130,0,MATCH(E$2,Inputs!$K$4:$AJ$4,0))))+SUMPRODUCT((Inputs!$C$5:$C$130=$B48)*ISNUMBER(INDEX(Inputs!$K$5:$AJ$130,0,MATCH(E$2,Inputs!$K$4:$AJ$4,0))))+SUMPRODUCT((Inputs!$E$5:$E$130=$B48)*ISNUMBER(INDEX(Inputs!$K$5:$AJ$130,0,MATCH(E$2,Inputs!$K$4:$AJ$4,0))))=0,NA(),SUMPRODUCT((Inputs!$A$5:$A$130=$B48)*Inputs!$B$5:$B$130*(((Inputs!$G$5:$G$130="moeda")+(Inputs!$G$5:$G$130="acoes"))*Inputs!$B$1+((Inputs!$G$5:$G$130&lt;&gt;"moeda")*(Inputs!$G$5:$G$130&lt;&gt;"acoes")))*INDEX(Inputs!$K$5:$AJ$130,0,MATCH(E$2,Inputs!$K$4:$AJ$4,0)))+SUMPRODUCT((Inputs!$C$5:$C$130=$B48)*Inputs!$D$5:$D$130*(((Inputs!$G$5:$G$130="moeda")+(Inputs!$G$5:$G$130="acoes"))*Inputs!$B$1+((Inputs!$G$5:$G$130&lt;&gt;"moeda")*(Inputs!$G$5:$G$130&lt;&gt;"acoes")))*INDEX(Inputs!$K$5:$AJ$130,0,MATCH(E$2,Inputs!$K$4:$AJ$4,0)))+SUMPRODUCT((Inputs!$E$5:$E$130=$B48)*Inputs!$F$5:$F$130*(((Inputs!$G$5:$G$130="moeda")+(Inputs!$G$5:$G$130="acoes"))*Inputs!$B$1+((Inputs!$G$5:$G$130&lt;&gt;"moeda")*(Inputs!$G$5:$G$130&lt;&gt;"acoes")))*INDEX(Inputs!$K$5:$AJ$130,0,MATCH(E$2,Inputs!$K$4:$AJ$4,0)))))</f>
        <v>25320</v>
      </c>
      <c r="F48" s="258">
        <f>IF(ISNA(MATCH(F$2,Inputs!$K$4:$AJ$4,0)),NA(),IF(SUMPRODUCT((Inputs!$A$5:$A$130=$B48)*ISNUMBER(INDEX(Inputs!$K$5:$AJ$130,0,MATCH(F$2,Inputs!$K$4:$AJ$4,0))))+SUMPRODUCT((Inputs!$C$5:$C$130=$B48)*ISNUMBER(INDEX(Inputs!$K$5:$AJ$130,0,MATCH(F$2,Inputs!$K$4:$AJ$4,0))))+SUMPRODUCT((Inputs!$E$5:$E$130=$B48)*ISNUMBER(INDEX(Inputs!$K$5:$AJ$130,0,MATCH(F$2,Inputs!$K$4:$AJ$4,0))))=0,NA(),SUMPRODUCT((Inputs!$A$5:$A$130=$B48)*Inputs!$B$5:$B$130*(((Inputs!$G$5:$G$130="moeda")+(Inputs!$G$5:$G$130="acoes"))*Inputs!$B$1+((Inputs!$G$5:$G$130&lt;&gt;"moeda")*(Inputs!$G$5:$G$130&lt;&gt;"acoes")))*INDEX(Inputs!$K$5:$AJ$130,0,MATCH(F$2,Inputs!$K$4:$AJ$4,0)))+SUMPRODUCT((Inputs!$C$5:$C$130=$B48)*Inputs!$D$5:$D$130*(((Inputs!$G$5:$G$130="moeda")+(Inputs!$G$5:$G$130="acoes"))*Inputs!$B$1+((Inputs!$G$5:$G$130&lt;&gt;"moeda")*(Inputs!$G$5:$G$130&lt;&gt;"acoes")))*INDEX(Inputs!$K$5:$AJ$130,0,MATCH(F$2,Inputs!$K$4:$AJ$4,0)))+SUMPRODUCT((Inputs!$E$5:$E$130=$B48)*Inputs!$F$5:$F$130*(((Inputs!$G$5:$G$130="moeda")+(Inputs!$G$5:$G$130="acoes"))*Inputs!$B$1+((Inputs!$G$5:$G$130&lt;&gt;"moeda")*(Inputs!$G$5:$G$130&lt;&gt;"acoes")))*INDEX(Inputs!$K$5:$AJ$130,0,MATCH(F$2,Inputs!$K$4:$AJ$4,0)))))</f>
        <v>25380</v>
      </c>
      <c r="G48" s="258" t="e">
        <f>IF(ISNA(MATCH(G$2,Inputs!$K$4:$AJ$4,0)),NA(),IF(SUMPRODUCT((Inputs!$A$5:$A$130=$B48)*ISNUMBER(INDEX(Inputs!$K$5:$AJ$130,0,MATCH(G$2,Inputs!$K$4:$AJ$4,0))))+SUMPRODUCT((Inputs!$C$5:$C$130=$B48)*ISNUMBER(INDEX(Inputs!$K$5:$AJ$130,0,MATCH(G$2,Inputs!$K$4:$AJ$4,0))))+SUMPRODUCT((Inputs!$E$5:$E$130=$B48)*ISNUMBER(INDEX(Inputs!$K$5:$AJ$130,0,MATCH(G$2,Inputs!$K$4:$AJ$4,0))))=0,NA(),SUMPRODUCT((Inputs!$A$5:$A$130=$B48)*Inputs!$B$5:$B$130*(((Inputs!$G$5:$G$130="moeda")+(Inputs!$G$5:$G$130="acoes"))*Inputs!$B$1+((Inputs!$G$5:$G$130&lt;&gt;"moeda")*(Inputs!$G$5:$G$130&lt;&gt;"acoes")))*INDEX(Inputs!$K$5:$AJ$130,0,MATCH(G$2,Inputs!$K$4:$AJ$4,0)))+SUMPRODUCT((Inputs!$C$5:$C$130=$B48)*Inputs!$D$5:$D$130*(((Inputs!$G$5:$G$130="moeda")+(Inputs!$G$5:$G$130="acoes"))*Inputs!$B$1+((Inputs!$G$5:$G$130&lt;&gt;"moeda")*(Inputs!$G$5:$G$130&lt;&gt;"acoes")))*INDEX(Inputs!$K$5:$AJ$130,0,MATCH(G$2,Inputs!$K$4:$AJ$4,0)))+SUMPRODUCT((Inputs!$E$5:$E$130=$B48)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48" s="259" t="n"/>
      <c r="I48" s="258">
        <f>IF(ISNA(MATCH(I$2,Inputs!$K$4:$AJ$4,0)),NA(),IF(SUMPRODUCT((Inputs!$A$5:$A$130=$B48)*ISNUMBER(INDEX(Inputs!$K$5:$AJ$130,0,MATCH(I$2,Inputs!$K$4:$AJ$4,0))))+SUMPRODUCT((Inputs!$C$5:$C$130=$B48)*ISNUMBER(INDEX(Inputs!$K$5:$AJ$130,0,MATCH(I$2,Inputs!$K$4:$AJ$4,0))))+SUMPRODUCT((Inputs!$E$5:$E$130=$B48)*ISNUMBER(INDEX(Inputs!$K$5:$AJ$130,0,MATCH(I$2,Inputs!$K$4:$AJ$4,0))))=0,NA(),SUMPRODUCT((Inputs!$A$5:$A$130=$B48)*Inputs!$B$5:$B$130*(((Inputs!$G$5:$G$130="moeda")+(Inputs!$G$5:$G$130="acoes"))*Inputs!$B$1+((Inputs!$G$5:$G$130&lt;&gt;"moeda")*(Inputs!$G$5:$G$130&lt;&gt;"acoes")))*INDEX(Inputs!$K$5:$AJ$130,0,MATCH(I$2,Inputs!$K$4:$AJ$4,0)))+SUMPRODUCT((Inputs!$C$5:$C$130=$B48)*Inputs!$D$5:$D$130*(((Inputs!$G$5:$G$130="moeda")+(Inputs!$G$5:$G$130="acoes"))*Inputs!$B$1+((Inputs!$G$5:$G$130&lt;&gt;"moeda")*(Inputs!$G$5:$G$130&lt;&gt;"acoes")))*INDEX(Inputs!$K$5:$AJ$130,0,MATCH(I$2,Inputs!$K$4:$AJ$4,0)))+SUMPRODUCT((Inputs!$E$5:$E$130=$B48)*Inputs!$F$5:$F$130*(((Inputs!$G$5:$G$130="moeda")+(Inputs!$G$5:$G$130="acoes"))*Inputs!$B$1+((Inputs!$G$5:$G$130&lt;&gt;"moeda")*(Inputs!$G$5:$G$130&lt;&gt;"acoes")))*INDEX(Inputs!$K$5:$AJ$130,0,MATCH(I$2,Inputs!$K$4:$AJ$4,0)))))</f>
        <v>25370</v>
      </c>
      <c r="J48" s="258">
        <f>IF(ISNA(MATCH(J$2,Inputs!$K$4:$AJ$4,0)),NA(),IF(SUMPRODUCT((Inputs!$A$5:$A$130=$B48)*ISNUMBER(INDEX(Inputs!$K$5:$AJ$130,0,MATCH(J$2,Inputs!$K$4:$AJ$4,0))))+SUMPRODUCT((Inputs!$C$5:$C$130=$B48)*ISNUMBER(INDEX(Inputs!$K$5:$AJ$130,0,MATCH(J$2,Inputs!$K$4:$AJ$4,0))))+SUMPRODUCT((Inputs!$E$5:$E$130=$B48)*ISNUMBER(INDEX(Inputs!$K$5:$AJ$130,0,MATCH(J$2,Inputs!$K$4:$AJ$4,0))))=0,NA(),SUMPRODUCT((Inputs!$A$5:$A$130=$B48)*Inputs!$B$5:$B$130*(((Inputs!$G$5:$G$130="moeda")+(Inputs!$G$5:$G$130="acoes"))*Inputs!$B$1+((Inputs!$G$5:$G$130&lt;&gt;"moeda")*(Inputs!$G$5:$G$130&lt;&gt;"acoes")))*INDEX(Inputs!$K$5:$AJ$130,0,MATCH(J$2,Inputs!$K$4:$AJ$4,0)))+SUMPRODUCT((Inputs!$C$5:$C$130=$B48)*Inputs!$D$5:$D$130*(((Inputs!$G$5:$G$130="moeda")+(Inputs!$G$5:$G$130="acoes"))*Inputs!$B$1+((Inputs!$G$5:$G$130&lt;&gt;"moeda")*(Inputs!$G$5:$G$130&lt;&gt;"acoes")))*INDEX(Inputs!$K$5:$AJ$130,0,MATCH(J$2,Inputs!$K$4:$AJ$4,0)))+SUMPRODUCT((Inputs!$E$5:$E$130=$B48)*Inputs!$F$5:$F$130*(((Inputs!$G$5:$G$130="moeda")+(Inputs!$G$5:$G$130="acoes"))*Inputs!$B$1+((Inputs!$G$5:$G$130&lt;&gt;"moeda")*(Inputs!$G$5:$G$130&lt;&gt;"acoes")))*INDEX(Inputs!$K$5:$AJ$130,0,MATCH(J$2,Inputs!$K$4:$AJ$4,0)))))</f>
        <v>25160</v>
      </c>
      <c r="K48" s="258">
        <f>IF(ISNA(MATCH(K$2,Inputs!$K$4:$AJ$4,0)),NA(),IF(SUMPRODUCT((Inputs!$A$5:$A$130=$B48)*ISNUMBER(INDEX(Inputs!$K$5:$AJ$130,0,MATCH(K$2,Inputs!$K$4:$AJ$4,0))))+SUMPRODUCT((Inputs!$C$5:$C$130=$B48)*ISNUMBER(INDEX(Inputs!$K$5:$AJ$130,0,MATCH(K$2,Inputs!$K$4:$AJ$4,0))))+SUMPRODUCT((Inputs!$E$5:$E$130=$B48)*ISNUMBER(INDEX(Inputs!$K$5:$AJ$130,0,MATCH(K$2,Inputs!$K$4:$AJ$4,0))))=0,NA(),SUMPRODUCT((Inputs!$A$5:$A$130=$B48)*Inputs!$B$5:$B$130*(((Inputs!$G$5:$G$130="moeda")+(Inputs!$G$5:$G$130="acoes"))*Inputs!$B$1+((Inputs!$G$5:$G$130&lt;&gt;"moeda")*(Inputs!$G$5:$G$130&lt;&gt;"acoes")))*INDEX(Inputs!$K$5:$AJ$130,0,MATCH(K$2,Inputs!$K$4:$AJ$4,0)))+SUMPRODUCT((Inputs!$C$5:$C$130=$B48)*Inputs!$D$5:$D$130*(((Inputs!$G$5:$G$130="moeda")+(Inputs!$G$5:$G$130="acoes"))*Inputs!$B$1+((Inputs!$G$5:$G$130&lt;&gt;"moeda")*(Inputs!$G$5:$G$130&lt;&gt;"acoes")))*INDEX(Inputs!$K$5:$AJ$130,0,MATCH(K$2,Inputs!$K$4:$AJ$4,0)))+SUMPRODUCT((Inputs!$E$5:$E$130=$B48)*Inputs!$F$5:$F$130*(((Inputs!$G$5:$G$130="moeda")+(Inputs!$G$5:$G$130="acoes"))*Inputs!$B$1+((Inputs!$G$5:$G$130&lt;&gt;"moeda")*(Inputs!$G$5:$G$130&lt;&gt;"acoes")))*INDEX(Inputs!$K$5:$AJ$130,0,MATCH(K$2,Inputs!$K$4:$AJ$4,0)))))</f>
        <v>24990</v>
      </c>
      <c r="L48" s="258" t="e">
        <f>IF(ISNA(MATCH(L$2,Inputs!$K$4:$AJ$4,0)),NA(),IF(SUMPRODUCT((Inputs!$A$5:$A$130=$B48)*ISNUMBER(INDEX(Inputs!$K$5:$AJ$130,0,MATCH(L$2,Inputs!$K$4:$AJ$4,0))))+SUMPRODUCT((Inputs!$C$5:$C$130=$B48)*ISNUMBER(INDEX(Inputs!$K$5:$AJ$130,0,MATCH(L$2,Inputs!$K$4:$AJ$4,0))))+SUMPRODUCT((Inputs!$E$5:$E$130=$B48)*ISNUMBER(INDEX(Inputs!$K$5:$AJ$130,0,MATCH(L$2,Inputs!$K$4:$AJ$4,0))))=0,NA(),SUMPRODUCT((Inputs!$A$5:$A$130=$B48)*Inputs!$B$5:$B$130*(((Inputs!$G$5:$G$130="moeda")+(Inputs!$G$5:$G$130="acoes"))*Inputs!$B$1+((Inputs!$G$5:$G$130&lt;&gt;"moeda")*(Inputs!$G$5:$G$130&lt;&gt;"acoes")))*INDEX(Inputs!$K$5:$AJ$130,0,MATCH(L$2,Inputs!$K$4:$AJ$4,0)))+SUMPRODUCT((Inputs!$C$5:$C$130=$B48)*Inputs!$D$5:$D$130*(((Inputs!$G$5:$G$130="moeda")+(Inputs!$G$5:$G$130="acoes"))*Inputs!$B$1+((Inputs!$G$5:$G$130&lt;&gt;"moeda")*(Inputs!$G$5:$G$130&lt;&gt;"acoes")))*INDEX(Inputs!$K$5:$AJ$130,0,MATCH(L$2,Inputs!$K$4:$AJ$4,0)))+SUMPRODUCT((Inputs!$E$5:$E$130=$B48)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48" s="259" t="n"/>
      <c r="N48" s="258">
        <f>IF(ISNA(MATCH(N$2,Inputs!$K$4:$AJ$4,0)),NA(),IF(SUMPRODUCT((Inputs!$A$5:$A$130=$B48)*ISNUMBER(INDEX(Inputs!$K$5:$AJ$130,0,MATCH(N$2,Inputs!$K$4:$AJ$4,0))))+SUMPRODUCT((Inputs!$C$5:$C$130=$B48)*ISNUMBER(INDEX(Inputs!$K$5:$AJ$130,0,MATCH(N$2,Inputs!$K$4:$AJ$4,0))))+SUMPRODUCT((Inputs!$E$5:$E$130=$B48)*ISNUMBER(INDEX(Inputs!$K$5:$AJ$130,0,MATCH(N$2,Inputs!$K$4:$AJ$4,0))))=0,NA(),SUMPRODUCT((Inputs!$A$5:$A$130=$B48)*Inputs!$B$5:$B$130*(((Inputs!$G$5:$G$130="moeda")+(Inputs!$G$5:$G$130="acoes"))*Inputs!$B$1+((Inputs!$G$5:$G$130&lt;&gt;"moeda")*(Inputs!$G$5:$G$130&lt;&gt;"acoes")))*INDEX(Inputs!$K$5:$AJ$130,0,MATCH(N$2,Inputs!$K$4:$AJ$4,0)))+SUMPRODUCT((Inputs!$C$5:$C$130=$B48)*Inputs!$D$5:$D$130*(((Inputs!$G$5:$G$130="moeda")+(Inputs!$G$5:$G$130="acoes"))*Inputs!$B$1+((Inputs!$G$5:$G$130&lt;&gt;"moeda")*(Inputs!$G$5:$G$130&lt;&gt;"acoes")))*INDEX(Inputs!$K$5:$AJ$130,0,MATCH(N$2,Inputs!$K$4:$AJ$4,0)))+SUMPRODUCT((Inputs!$E$5:$E$130=$B48)*Inputs!$F$5:$F$130*(((Inputs!$G$5:$G$130="moeda")+(Inputs!$G$5:$G$130="acoes"))*Inputs!$B$1+((Inputs!$G$5:$G$130&lt;&gt;"moeda")*(Inputs!$G$5:$G$130&lt;&gt;"acoes")))*INDEX(Inputs!$K$5:$AJ$130,0,MATCH(N$2,Inputs!$K$4:$AJ$4,0)))))</f>
        <v>24900</v>
      </c>
      <c r="O48" s="258">
        <f>IF(ISNA(MATCH(O$2,Inputs!$K$4:$AJ$4,0)),NA(),IF(SUMPRODUCT((Inputs!$A$5:$A$130=$B48)*ISNUMBER(INDEX(Inputs!$K$5:$AJ$130,0,MATCH(O$2,Inputs!$K$4:$AJ$4,0))))+SUMPRODUCT((Inputs!$C$5:$C$130=$B48)*ISNUMBER(INDEX(Inputs!$K$5:$AJ$130,0,MATCH(O$2,Inputs!$K$4:$AJ$4,0))))+SUMPRODUCT((Inputs!$E$5:$E$130=$B48)*ISNUMBER(INDEX(Inputs!$K$5:$AJ$130,0,MATCH(O$2,Inputs!$K$4:$AJ$4,0))))=0,NA(),SUMPRODUCT((Inputs!$A$5:$A$130=$B48)*Inputs!$B$5:$B$130*(((Inputs!$G$5:$G$130="moeda")+(Inputs!$G$5:$G$130="acoes"))*Inputs!$B$1+((Inputs!$G$5:$G$130&lt;&gt;"moeda")*(Inputs!$G$5:$G$130&lt;&gt;"acoes")))*INDEX(Inputs!$K$5:$AJ$130,0,MATCH(O$2,Inputs!$K$4:$AJ$4,0)))+SUMPRODUCT((Inputs!$C$5:$C$130=$B48)*Inputs!$D$5:$D$130*(((Inputs!$G$5:$G$130="moeda")+(Inputs!$G$5:$G$130="acoes"))*Inputs!$B$1+((Inputs!$G$5:$G$130&lt;&gt;"moeda")*(Inputs!$G$5:$G$130&lt;&gt;"acoes")))*INDEX(Inputs!$K$5:$AJ$130,0,MATCH(O$2,Inputs!$K$4:$AJ$4,0)))+SUMPRODUCT((Inputs!$E$5:$E$130=$B48)*Inputs!$F$5:$F$130*(((Inputs!$G$5:$G$130="moeda")+(Inputs!$G$5:$G$130="acoes"))*Inputs!$B$1+((Inputs!$G$5:$G$130&lt;&gt;"moeda")*(Inputs!$G$5:$G$130&lt;&gt;"acoes")))*INDEX(Inputs!$K$5:$AJ$130,0,MATCH(O$2,Inputs!$K$4:$AJ$4,0)))))</f>
        <v>24994</v>
      </c>
      <c r="P48" s="258">
        <f>IF(ISNA(MATCH(P$2,Inputs!$K$4:$AJ$4,0)),NA(),IF(SUMPRODUCT((Inputs!$A$5:$A$130=$B48)*ISNUMBER(INDEX(Inputs!$K$5:$AJ$130,0,MATCH(P$2,Inputs!$K$4:$AJ$4,0))))+SUMPRODUCT((Inputs!$C$5:$C$130=$B48)*ISNUMBER(INDEX(Inputs!$K$5:$AJ$130,0,MATCH(P$2,Inputs!$K$4:$AJ$4,0))))+SUMPRODUCT((Inputs!$E$5:$E$130=$B48)*ISNUMBER(INDEX(Inputs!$K$5:$AJ$130,0,MATCH(P$2,Inputs!$K$4:$AJ$4,0))))=0,NA(),SUMPRODUCT((Inputs!$A$5:$A$130=$B48)*Inputs!$B$5:$B$130*(((Inputs!$G$5:$G$130="moeda")+(Inputs!$G$5:$G$130="acoes"))*Inputs!$B$1+((Inputs!$G$5:$G$130&lt;&gt;"moeda")*(Inputs!$G$5:$G$130&lt;&gt;"acoes")))*INDEX(Inputs!$K$5:$AJ$130,0,MATCH(P$2,Inputs!$K$4:$AJ$4,0)))+SUMPRODUCT((Inputs!$C$5:$C$130=$B48)*Inputs!$D$5:$D$130*(((Inputs!$G$5:$G$130="moeda")+(Inputs!$G$5:$G$130="acoes"))*Inputs!$B$1+((Inputs!$G$5:$G$130&lt;&gt;"moeda")*(Inputs!$G$5:$G$130&lt;&gt;"acoes")))*INDEX(Inputs!$K$5:$AJ$130,0,MATCH(P$2,Inputs!$K$4:$AJ$4,0)))+SUMPRODUCT((Inputs!$E$5:$E$130=$B48)*Inputs!$F$5:$F$130*(((Inputs!$G$5:$G$130="moeda")+(Inputs!$G$5:$G$130="acoes"))*Inputs!$B$1+((Inputs!$G$5:$G$130&lt;&gt;"moeda")*(Inputs!$G$5:$G$130&lt;&gt;"acoes")))*INDEX(Inputs!$K$5:$AJ$130,0,MATCH(P$2,Inputs!$K$4:$AJ$4,0)))))</f>
        <v>24940</v>
      </c>
      <c r="Q48" s="258" t="e">
        <f>IF(ISNA(MATCH(Q$2,Inputs!$K$4:$AJ$4,0)),NA(),IF(SUMPRODUCT((Inputs!$A$5:$A$130=$B48)*ISNUMBER(INDEX(Inputs!$K$5:$AJ$130,0,MATCH(Q$2,Inputs!$K$4:$AJ$4,0))))+SUMPRODUCT((Inputs!$C$5:$C$130=$B48)*ISNUMBER(INDEX(Inputs!$K$5:$AJ$130,0,MATCH(Q$2,Inputs!$K$4:$AJ$4,0))))+SUMPRODUCT((Inputs!$E$5:$E$130=$B48)*ISNUMBER(INDEX(Inputs!$K$5:$AJ$130,0,MATCH(Q$2,Inputs!$K$4:$AJ$4,0))))=0,NA(),SUMPRODUCT((Inputs!$A$5:$A$130=$B48)*Inputs!$B$5:$B$130*(((Inputs!$G$5:$G$130="moeda")+(Inputs!$G$5:$G$130="acoes"))*Inputs!$B$1+((Inputs!$G$5:$G$130&lt;&gt;"moeda")*(Inputs!$G$5:$G$130&lt;&gt;"acoes")))*INDEX(Inputs!$K$5:$AJ$130,0,MATCH(Q$2,Inputs!$K$4:$AJ$4,0)))+SUMPRODUCT((Inputs!$C$5:$C$130=$B48)*Inputs!$D$5:$D$130*(((Inputs!$G$5:$G$130="moeda")+(Inputs!$G$5:$G$130="acoes"))*Inputs!$B$1+((Inputs!$G$5:$G$130&lt;&gt;"moeda")*(Inputs!$G$5:$G$130&lt;&gt;"acoes")))*INDEX(Inputs!$K$5:$AJ$130,0,MATCH(Q$2,Inputs!$K$4:$AJ$4,0)))+SUMPRODUCT((Inputs!$E$5:$E$130=$B48)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48" s="259" t="n"/>
      <c r="S48" s="258">
        <f>IF(ISNA(MATCH(S$2,Inputs!$K$4:$AJ$4,0)),NA(),IF(SUMPRODUCT((Inputs!$A$5:$A$130=$B48)*ISNUMBER(INDEX(Inputs!$K$5:$AJ$130,0,MATCH(S$2,Inputs!$K$4:$AJ$4,0))))+SUMPRODUCT((Inputs!$C$5:$C$130=$B48)*ISNUMBER(INDEX(Inputs!$K$5:$AJ$130,0,MATCH(S$2,Inputs!$K$4:$AJ$4,0))))+SUMPRODUCT((Inputs!$E$5:$E$130=$B48)*ISNUMBER(INDEX(Inputs!$K$5:$AJ$130,0,MATCH(S$2,Inputs!$K$4:$AJ$4,0))))=0,NA(),SUMPRODUCT((Inputs!$A$5:$A$130=$B48)*Inputs!$B$5:$B$130*(((Inputs!$G$5:$G$130="moeda")+(Inputs!$G$5:$G$130="acoes"))*Inputs!$B$1+((Inputs!$G$5:$G$130&lt;&gt;"moeda")*(Inputs!$G$5:$G$130&lt;&gt;"acoes")))*INDEX(Inputs!$K$5:$AJ$130,0,MATCH(S$2,Inputs!$K$4:$AJ$4,0)))+SUMPRODUCT((Inputs!$C$5:$C$130=$B48)*Inputs!$D$5:$D$130*(((Inputs!$G$5:$G$130="moeda")+(Inputs!$G$5:$G$130="acoes"))*Inputs!$B$1+((Inputs!$G$5:$G$130&lt;&gt;"moeda")*(Inputs!$G$5:$G$130&lt;&gt;"acoes")))*INDEX(Inputs!$K$5:$AJ$130,0,MATCH(S$2,Inputs!$K$4:$AJ$4,0)))+SUMPRODUCT((Inputs!$E$5:$E$130=$B48)*Inputs!$F$5:$F$130*(((Inputs!$G$5:$G$130="moeda")+(Inputs!$G$5:$G$130="acoes"))*Inputs!$B$1+((Inputs!$G$5:$G$130&lt;&gt;"moeda")*(Inputs!$G$5:$G$130&lt;&gt;"acoes")))*INDEX(Inputs!$K$5:$AJ$130,0,MATCH(S$2,Inputs!$K$4:$AJ$4,0)))))</f>
        <v>24890</v>
      </c>
      <c r="T48" s="258">
        <f>IF(ISNA(MATCH(T$2,Inputs!$K$4:$AJ$4,0)),NA(),IF(SUMPRODUCT((Inputs!$A$5:$A$130=$B48)*ISNUMBER(INDEX(Inputs!$K$5:$AJ$130,0,MATCH(T$2,Inputs!$K$4:$AJ$4,0))))+SUMPRODUCT((Inputs!$C$5:$C$130=$B48)*ISNUMBER(INDEX(Inputs!$K$5:$AJ$130,0,MATCH(T$2,Inputs!$K$4:$AJ$4,0))))+SUMPRODUCT((Inputs!$E$5:$E$130=$B48)*ISNUMBER(INDEX(Inputs!$K$5:$AJ$130,0,MATCH(T$2,Inputs!$K$4:$AJ$4,0))))=0,NA(),SUMPRODUCT((Inputs!$A$5:$A$130=$B48)*Inputs!$B$5:$B$130*(((Inputs!$G$5:$G$130="moeda")+(Inputs!$G$5:$G$130="acoes"))*Inputs!$B$1+((Inputs!$G$5:$G$130&lt;&gt;"moeda")*(Inputs!$G$5:$G$130&lt;&gt;"acoes")))*INDEX(Inputs!$K$5:$AJ$130,0,MATCH(T$2,Inputs!$K$4:$AJ$4,0)))+SUMPRODUCT((Inputs!$C$5:$C$130=$B48)*Inputs!$D$5:$D$130*(((Inputs!$G$5:$G$130="moeda")+(Inputs!$G$5:$G$130="acoes"))*Inputs!$B$1+((Inputs!$G$5:$G$130&lt;&gt;"moeda")*(Inputs!$G$5:$G$130&lt;&gt;"acoes")))*INDEX(Inputs!$K$5:$AJ$130,0,MATCH(T$2,Inputs!$K$4:$AJ$4,0)))+SUMPRODUCT((Inputs!$E$5:$E$130=$B48)*Inputs!$F$5:$F$130*(((Inputs!$G$5:$G$130="moeda")+(Inputs!$G$5:$G$130="acoes"))*Inputs!$B$1+((Inputs!$G$5:$G$130&lt;&gt;"moeda")*(Inputs!$G$5:$G$130&lt;&gt;"acoes")))*INDEX(Inputs!$K$5:$AJ$130,0,MATCH(T$2,Inputs!$K$4:$AJ$4,0)))))</f>
        <v>24848</v>
      </c>
      <c r="U48" s="258">
        <f>IF(ISNA(MATCH(U$2,Inputs!$K$4:$AJ$4,0)),NA(),IF(SUMPRODUCT((Inputs!$A$5:$A$130=$B48)*ISNUMBER(INDEX(Inputs!$K$5:$AJ$130,0,MATCH(U$2,Inputs!$K$4:$AJ$4,0))))+SUMPRODUCT((Inputs!$C$5:$C$130=$B48)*ISNUMBER(INDEX(Inputs!$K$5:$AJ$130,0,MATCH(U$2,Inputs!$K$4:$AJ$4,0))))+SUMPRODUCT((Inputs!$E$5:$E$130=$B48)*ISNUMBER(INDEX(Inputs!$K$5:$AJ$130,0,MATCH(U$2,Inputs!$K$4:$AJ$4,0))))=0,NA(),SUMPRODUCT((Inputs!$A$5:$A$130=$B48)*Inputs!$B$5:$B$130*(((Inputs!$G$5:$G$130="moeda")+(Inputs!$G$5:$G$130="acoes"))*Inputs!$B$1+((Inputs!$G$5:$G$130&lt;&gt;"moeda")*(Inputs!$G$5:$G$130&lt;&gt;"acoes")))*INDEX(Inputs!$K$5:$AJ$130,0,MATCH(U$2,Inputs!$K$4:$AJ$4,0)))+SUMPRODUCT((Inputs!$C$5:$C$130=$B48)*Inputs!$D$5:$D$130*(((Inputs!$G$5:$G$130="moeda")+(Inputs!$G$5:$G$130="acoes"))*Inputs!$B$1+((Inputs!$G$5:$G$130&lt;&gt;"moeda")*(Inputs!$G$5:$G$130&lt;&gt;"acoes")))*INDEX(Inputs!$K$5:$AJ$130,0,MATCH(U$2,Inputs!$K$4:$AJ$4,0)))+SUMPRODUCT((Inputs!$E$5:$E$130=$B48)*Inputs!$F$5:$F$130*(((Inputs!$G$5:$G$130="moeda")+(Inputs!$G$5:$G$130="acoes"))*Inputs!$B$1+((Inputs!$G$5:$G$130&lt;&gt;"moeda")*(Inputs!$G$5:$G$130&lt;&gt;"acoes")))*INDEX(Inputs!$K$5:$AJ$130,0,MATCH(U$2,Inputs!$K$4:$AJ$4,0)))))</f>
        <v>24774</v>
      </c>
      <c r="V48" s="258" t="e">
        <f>IF(ISNA(MATCH(V$2,Inputs!$K$4:$AJ$4,0)),NA(),IF(SUMPRODUCT((Inputs!$A$5:$A$130=$B48)*ISNUMBER(INDEX(Inputs!$K$5:$AJ$130,0,MATCH(V$2,Inputs!$K$4:$AJ$4,0))))+SUMPRODUCT((Inputs!$C$5:$C$130=$B48)*ISNUMBER(INDEX(Inputs!$K$5:$AJ$130,0,MATCH(V$2,Inputs!$K$4:$AJ$4,0))))+SUMPRODUCT((Inputs!$E$5:$E$130=$B48)*ISNUMBER(INDEX(Inputs!$K$5:$AJ$130,0,MATCH(V$2,Inputs!$K$4:$AJ$4,0))))=0,NA(),SUMPRODUCT((Inputs!$A$5:$A$130=$B48)*Inputs!$B$5:$B$130*(((Inputs!$G$5:$G$130="moeda")+(Inputs!$G$5:$G$130="acoes"))*Inputs!$B$1+((Inputs!$G$5:$G$130&lt;&gt;"moeda")*(Inputs!$G$5:$G$130&lt;&gt;"acoes")))*INDEX(Inputs!$K$5:$AJ$130,0,MATCH(V$2,Inputs!$K$4:$AJ$4,0)))+SUMPRODUCT((Inputs!$C$5:$C$130=$B48)*Inputs!$D$5:$D$130*(((Inputs!$G$5:$G$130="moeda")+(Inputs!$G$5:$G$130="acoes"))*Inputs!$B$1+((Inputs!$G$5:$G$130&lt;&gt;"moeda")*(Inputs!$G$5:$G$130&lt;&gt;"acoes")))*INDEX(Inputs!$K$5:$AJ$130,0,MATCH(V$2,Inputs!$K$4:$AJ$4,0)))+SUMPRODUCT((Inputs!$E$5:$E$130=$B48)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48" s="259" t="n"/>
      <c r="X48" s="258">
        <f>IF(ISNA(MATCH(X$2,Inputs!$K$4:$AJ$4,0)),NA(),IF(SUMPRODUCT((Inputs!$A$5:$A$130=$B48)*ISNUMBER(INDEX(Inputs!$K$5:$AJ$130,0,MATCH(X$2,Inputs!$K$4:$AJ$4,0))))+SUMPRODUCT((Inputs!$C$5:$C$130=$B48)*ISNUMBER(INDEX(Inputs!$K$5:$AJ$130,0,MATCH(X$2,Inputs!$K$4:$AJ$4,0))))+SUMPRODUCT((Inputs!$E$5:$E$130=$B48)*ISNUMBER(INDEX(Inputs!$K$5:$AJ$130,0,MATCH(X$2,Inputs!$K$4:$AJ$4,0))))=0,NA(),SUMPRODUCT((Inputs!$A$5:$A$130=$B48)*Inputs!$B$5:$B$130*(((Inputs!$G$5:$G$130="moeda")+(Inputs!$G$5:$G$130="acoes"))*Inputs!$B$1+((Inputs!$G$5:$G$130&lt;&gt;"moeda")*(Inputs!$G$5:$G$130&lt;&gt;"acoes")))*INDEX(Inputs!$K$5:$AJ$130,0,MATCH(X$2,Inputs!$K$4:$AJ$4,0)))+SUMPRODUCT((Inputs!$C$5:$C$130=$B48)*Inputs!$D$5:$D$130*(((Inputs!$G$5:$G$130="moeda")+(Inputs!$G$5:$G$130="acoes"))*Inputs!$B$1+((Inputs!$G$5:$G$130&lt;&gt;"moeda")*(Inputs!$G$5:$G$130&lt;&gt;"acoes")))*INDEX(Inputs!$K$5:$AJ$130,0,MATCH(X$2,Inputs!$K$4:$AJ$4,0)))+SUMPRODUCT((Inputs!$E$5:$E$130=$B48)*Inputs!$F$5:$F$130*(((Inputs!$G$5:$G$130="moeda")+(Inputs!$G$5:$G$130="acoes"))*Inputs!$B$1+((Inputs!$G$5:$G$130&lt;&gt;"moeda")*(Inputs!$G$5:$G$130&lt;&gt;"acoes")))*INDEX(Inputs!$K$5:$AJ$130,0,MATCH(X$2,Inputs!$K$4:$AJ$4,0)))))</f>
        <v>24611</v>
      </c>
      <c r="Y48" s="258">
        <f>IF(ISNA(MATCH(Y$2,Inputs!$K$4:$AJ$4,0)),NA(),IF(SUMPRODUCT((Inputs!$A$5:$A$130=$B48)*ISNUMBER(INDEX(Inputs!$K$5:$AJ$130,0,MATCH(Y$2,Inputs!$K$4:$AJ$4,0))))+SUMPRODUCT((Inputs!$C$5:$C$130=$B48)*ISNUMBER(INDEX(Inputs!$K$5:$AJ$130,0,MATCH(Y$2,Inputs!$K$4:$AJ$4,0))))+SUMPRODUCT((Inputs!$E$5:$E$130=$B48)*ISNUMBER(INDEX(Inputs!$K$5:$AJ$130,0,MATCH(Y$2,Inputs!$K$4:$AJ$4,0))))=0,NA(),SUMPRODUCT((Inputs!$A$5:$A$130=$B48)*Inputs!$B$5:$B$130*(((Inputs!$G$5:$G$130="moeda")+(Inputs!$G$5:$G$130="acoes"))*Inputs!$B$1+((Inputs!$G$5:$G$130&lt;&gt;"moeda")*(Inputs!$G$5:$G$130&lt;&gt;"acoes")))*INDEX(Inputs!$K$5:$AJ$130,0,MATCH(Y$2,Inputs!$K$4:$AJ$4,0)))+SUMPRODUCT((Inputs!$C$5:$C$130=$B48)*Inputs!$D$5:$D$130*(((Inputs!$G$5:$G$130="moeda")+(Inputs!$G$5:$G$130="acoes"))*Inputs!$B$1+((Inputs!$G$5:$G$130&lt;&gt;"moeda")*(Inputs!$G$5:$G$130&lt;&gt;"acoes")))*INDEX(Inputs!$K$5:$AJ$130,0,MATCH(Y$2,Inputs!$K$4:$AJ$4,0)))+SUMPRODUCT((Inputs!$E$5:$E$130=$B48)*Inputs!$F$5:$F$130*(((Inputs!$G$5:$G$130="moeda")+(Inputs!$G$5:$G$130="acoes"))*Inputs!$B$1+((Inputs!$G$5:$G$130&lt;&gt;"moeda")*(Inputs!$G$5:$G$130&lt;&gt;"acoes")))*INDEX(Inputs!$K$5:$AJ$130,0,MATCH(Y$2,Inputs!$K$4:$AJ$4,0)))))</f>
        <v>24532</v>
      </c>
      <c r="Z48" s="258">
        <f>IF(ISNA(MATCH(Z$2,Inputs!$K$4:$AJ$4,0)),NA(),IF(SUMPRODUCT((Inputs!$A$5:$A$130=$B48)*ISNUMBER(INDEX(Inputs!$K$5:$AJ$130,0,MATCH(Z$2,Inputs!$K$4:$AJ$4,0))))+SUMPRODUCT((Inputs!$C$5:$C$130=$B48)*ISNUMBER(INDEX(Inputs!$K$5:$AJ$130,0,MATCH(Z$2,Inputs!$K$4:$AJ$4,0))))+SUMPRODUCT((Inputs!$E$5:$E$130=$B48)*ISNUMBER(INDEX(Inputs!$K$5:$AJ$130,0,MATCH(Z$2,Inputs!$K$4:$AJ$4,0))))=0,NA(),SUMPRODUCT((Inputs!$A$5:$A$130=$B48)*Inputs!$B$5:$B$130*(((Inputs!$G$5:$G$130="moeda")+(Inputs!$G$5:$G$130="acoes"))*Inputs!$B$1+((Inputs!$G$5:$G$130&lt;&gt;"moeda")*(Inputs!$G$5:$G$130&lt;&gt;"acoes")))*INDEX(Inputs!$K$5:$AJ$130,0,MATCH(Z$2,Inputs!$K$4:$AJ$4,0)))+SUMPRODUCT((Inputs!$C$5:$C$130=$B48)*Inputs!$D$5:$D$130*(((Inputs!$G$5:$G$130="moeda")+(Inputs!$G$5:$G$130="acoes"))*Inputs!$B$1+((Inputs!$G$5:$G$130&lt;&gt;"moeda")*(Inputs!$G$5:$G$130&lt;&gt;"acoes")))*INDEX(Inputs!$K$5:$AJ$130,0,MATCH(Z$2,Inputs!$K$4:$AJ$4,0)))+SUMPRODUCT((Inputs!$E$5:$E$130=$B48)*Inputs!$F$5:$F$130*(((Inputs!$G$5:$G$130="moeda")+(Inputs!$G$5:$G$130="acoes"))*Inputs!$B$1+((Inputs!$G$5:$G$130&lt;&gt;"moeda")*(Inputs!$G$5:$G$130&lt;&gt;"acoes")))*INDEX(Inputs!$K$5:$AJ$130,0,MATCH(Z$2,Inputs!$K$4:$AJ$4,0)))))</f>
        <v>24483</v>
      </c>
      <c r="AA48" s="258" t="e">
        <f>IF(ISNA(MATCH(AA$2,Inputs!$K$4:$AJ$4,0)),NA(),IF(SUMPRODUCT((Inputs!$A$5:$A$130=$B48)*ISNUMBER(INDEX(Inputs!$K$5:$AJ$130,0,MATCH(AA$2,Inputs!$K$4:$AJ$4,0))))+SUMPRODUCT((Inputs!$C$5:$C$130=$B48)*ISNUMBER(INDEX(Inputs!$K$5:$AJ$130,0,MATCH(AA$2,Inputs!$K$4:$AJ$4,0))))+SUMPRODUCT((Inputs!$E$5:$E$130=$B48)*ISNUMBER(INDEX(Inputs!$K$5:$AJ$130,0,MATCH(AA$2,Inputs!$K$4:$AJ$4,0))))=0,NA(),SUMPRODUCT((Inputs!$A$5:$A$130=$B48)*Inputs!$B$5:$B$130*(((Inputs!$G$5:$G$130="moeda")+(Inputs!$G$5:$G$130="acoes"))*Inputs!$B$1+((Inputs!$G$5:$G$130&lt;&gt;"moeda")*(Inputs!$G$5:$G$130&lt;&gt;"acoes")))*INDEX(Inputs!$K$5:$AJ$130,0,MATCH(AA$2,Inputs!$K$4:$AJ$4,0)))+SUMPRODUCT((Inputs!$C$5:$C$130=$B48)*Inputs!$D$5:$D$130*(((Inputs!$G$5:$G$130="moeda")+(Inputs!$G$5:$G$130="acoes"))*Inputs!$B$1+((Inputs!$G$5:$G$130&lt;&gt;"moeda")*(Inputs!$G$5:$G$130&lt;&gt;"acoes")))*INDEX(Inputs!$K$5:$AJ$130,0,MATCH(AA$2,Inputs!$K$4:$AJ$4,0)))+SUMPRODUCT((Inputs!$E$5:$E$130=$B48)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48" s="259" t="n"/>
      <c r="AC48" s="258">
        <f>IF(ISNA(MATCH(AC$2,Inputs!$K$4:$AJ$4,0)),NA(),IF(SUMPRODUCT((Inputs!$A$5:$A$130=$B48)*ISNUMBER(INDEX(Inputs!$K$5:$AJ$130,0,MATCH(AC$2,Inputs!$K$4:$AJ$4,0))))+SUMPRODUCT((Inputs!$C$5:$C$130=$B48)*ISNUMBER(INDEX(Inputs!$K$5:$AJ$130,0,MATCH(AC$2,Inputs!$K$4:$AJ$4,0))))+SUMPRODUCT((Inputs!$E$5:$E$130=$B48)*ISNUMBER(INDEX(Inputs!$K$5:$AJ$130,0,MATCH(AC$2,Inputs!$K$4:$AJ$4,0))))=0,NA(),SUMPRODUCT((Inputs!$A$5:$A$130=$B48)*Inputs!$B$5:$B$130*(((Inputs!$G$5:$G$130="moeda")+(Inputs!$G$5:$G$130="acoes"))*Inputs!$B$1+((Inputs!$G$5:$G$130&lt;&gt;"moeda")*(Inputs!$G$5:$G$130&lt;&gt;"acoes")))*INDEX(Inputs!$K$5:$AJ$130,0,MATCH(AC$2,Inputs!$K$4:$AJ$4,0)))+SUMPRODUCT((Inputs!$C$5:$C$130=$B48)*Inputs!$D$5:$D$130*(((Inputs!$G$5:$G$130="moeda")+(Inputs!$G$5:$G$130="acoes"))*Inputs!$B$1+((Inputs!$G$5:$G$130&lt;&gt;"moeda")*(Inputs!$G$5:$G$130&lt;&gt;"acoes")))*INDEX(Inputs!$K$5:$AJ$130,0,MATCH(AC$2,Inputs!$K$4:$AJ$4,0)))+SUMPRODUCT((Inputs!$E$5:$E$130=$B48)*Inputs!$F$5:$F$130*(((Inputs!$G$5:$G$130="moeda")+(Inputs!$G$5:$G$130="acoes"))*Inputs!$B$1+((Inputs!$G$5:$G$130&lt;&gt;"moeda")*(Inputs!$G$5:$G$130&lt;&gt;"acoes")))*INDEX(Inputs!$K$5:$AJ$130,0,MATCH(AC$2,Inputs!$K$4:$AJ$4,0)))))</f>
        <v>24391</v>
      </c>
      <c r="AD48" s="258">
        <f>IF(ISNA(MATCH(AD$2,Inputs!$K$4:$AJ$4,0)),NA(),IF(SUMPRODUCT((Inputs!$A$5:$A$130=$B48)*ISNUMBER(INDEX(Inputs!$K$5:$AJ$130,0,MATCH(AD$2,Inputs!$K$4:$AJ$4,0))))+SUMPRODUCT((Inputs!$C$5:$C$130=$B48)*ISNUMBER(INDEX(Inputs!$K$5:$AJ$130,0,MATCH(AD$2,Inputs!$K$4:$AJ$4,0))))+SUMPRODUCT((Inputs!$E$5:$E$130=$B48)*ISNUMBER(INDEX(Inputs!$K$5:$AJ$130,0,MATCH(AD$2,Inputs!$K$4:$AJ$4,0))))=0,NA(),SUMPRODUCT((Inputs!$A$5:$A$130=$B48)*Inputs!$B$5:$B$130*(((Inputs!$G$5:$G$130="moeda")+(Inputs!$G$5:$G$130="acoes"))*Inputs!$B$1+((Inputs!$G$5:$G$130&lt;&gt;"moeda")*(Inputs!$G$5:$G$130&lt;&gt;"acoes")))*INDEX(Inputs!$K$5:$AJ$130,0,MATCH(AD$2,Inputs!$K$4:$AJ$4,0)))+SUMPRODUCT((Inputs!$C$5:$C$130=$B48)*Inputs!$D$5:$D$130*(((Inputs!$G$5:$G$130="moeda")+(Inputs!$G$5:$G$130="acoes"))*Inputs!$B$1+((Inputs!$G$5:$G$130&lt;&gt;"moeda")*(Inputs!$G$5:$G$130&lt;&gt;"acoes")))*INDEX(Inputs!$K$5:$AJ$130,0,MATCH(AD$2,Inputs!$K$4:$AJ$4,0)))+SUMPRODUCT((Inputs!$E$5:$E$130=$B48)*Inputs!$F$5:$F$130*(((Inputs!$G$5:$G$130="moeda")+(Inputs!$G$5:$G$130="acoes"))*Inputs!$B$1+((Inputs!$G$5:$G$130&lt;&gt;"moeda")*(Inputs!$G$5:$G$130&lt;&gt;"acoes")))*INDEX(Inputs!$K$5:$AJ$130,0,MATCH(AD$2,Inputs!$K$4:$AJ$4,0)))))</f>
        <v>24285</v>
      </c>
      <c r="AE48" s="258" t="e">
        <f>IF(ISNA(MATCH(AE$2,Inputs!$K$4:$AJ$4,0)),NA(),IF(SUMPRODUCT((Inputs!$A$5:$A$130=$B48)*ISNUMBER(INDEX(Inputs!$K$5:$AJ$130,0,MATCH(AE$2,Inputs!$K$4:$AJ$4,0))))+SUMPRODUCT((Inputs!$C$5:$C$130=$B48)*ISNUMBER(INDEX(Inputs!$K$5:$AJ$130,0,MATCH(AE$2,Inputs!$K$4:$AJ$4,0))))+SUMPRODUCT((Inputs!$E$5:$E$130=$B48)*ISNUMBER(INDEX(Inputs!$K$5:$AJ$130,0,MATCH(AE$2,Inputs!$K$4:$AJ$4,0))))=0,NA(),SUMPRODUCT((Inputs!$A$5:$A$130=$B48)*Inputs!$B$5:$B$130*(((Inputs!$G$5:$G$130="moeda")+(Inputs!$G$5:$G$130="acoes"))*Inputs!$B$1+((Inputs!$G$5:$G$130&lt;&gt;"moeda")*(Inputs!$G$5:$G$130&lt;&gt;"acoes")))*INDEX(Inputs!$K$5:$AJ$130,0,MATCH(AE$2,Inputs!$K$4:$AJ$4,0)))+SUMPRODUCT((Inputs!$C$5:$C$130=$B48)*Inputs!$D$5:$D$130*(((Inputs!$G$5:$G$130="moeda")+(Inputs!$G$5:$G$130="acoes"))*Inputs!$B$1+((Inputs!$G$5:$G$130&lt;&gt;"moeda")*(Inputs!$G$5:$G$130&lt;&gt;"acoes")))*INDEX(Inputs!$K$5:$AJ$130,0,MATCH(AE$2,Inputs!$K$4:$AJ$4,0)))+SUMPRODUCT((Inputs!$E$5:$E$130=$B48)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8" s="258" t="e">
        <f>IF(ISNA(MATCH(AF$2,Inputs!$K$4:$AJ$4,0)),NA(),IF(SUMPRODUCT((Inputs!$A$5:$A$130=$B48)*ISNUMBER(INDEX(Inputs!$K$5:$AJ$130,0,MATCH(AF$2,Inputs!$K$4:$AJ$4,0))))+SUMPRODUCT((Inputs!$C$5:$C$130=$B48)*ISNUMBER(INDEX(Inputs!$K$5:$AJ$130,0,MATCH(AF$2,Inputs!$K$4:$AJ$4,0))))+SUMPRODUCT((Inputs!$E$5:$E$130=$B48)*ISNUMBER(INDEX(Inputs!$K$5:$AJ$130,0,MATCH(AF$2,Inputs!$K$4:$AJ$4,0))))=0,NA(),SUMPRODUCT((Inputs!$A$5:$A$130=$B48)*Inputs!$B$5:$B$130*(((Inputs!$G$5:$G$130="moeda")+(Inputs!$G$5:$G$130="acoes"))*Inputs!$B$1+((Inputs!$G$5:$G$130&lt;&gt;"moeda")*(Inputs!$G$5:$G$130&lt;&gt;"acoes")))*INDEX(Inputs!$K$5:$AJ$130,0,MATCH(AF$2,Inputs!$K$4:$AJ$4,0)))+SUMPRODUCT((Inputs!$C$5:$C$130=$B48)*Inputs!$D$5:$D$130*(((Inputs!$G$5:$G$130="moeda")+(Inputs!$G$5:$G$130="acoes"))*Inputs!$B$1+((Inputs!$G$5:$G$130&lt;&gt;"moeda")*(Inputs!$G$5:$G$130&lt;&gt;"acoes")))*INDEX(Inputs!$K$5:$AJ$130,0,MATCH(AF$2,Inputs!$K$4:$AJ$4,0)))+SUMPRODUCT((Inputs!$E$5:$E$130=$B48)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8" s="259" t="n"/>
      <c r="AH48" s="253">
        <f>IF(ISNA(MATCH(AH$2,Inputs!$K$4:$AJ$4,0)),NA(),IF(SUMPRODUCT((Inputs!$A$5:$A$130=$B48)*ISNUMBER(INDEX(Inputs!$K$5:$AJ$130,0,MATCH(AH$2,Inputs!$K$4:$AJ$4,0))))+SUMPRODUCT((Inputs!$C$5:$C$130=$B48)*ISNUMBER(INDEX(Inputs!$K$5:$AJ$130,0,MATCH(AH$2,Inputs!$K$4:$AJ$4,0))))+SUMPRODUCT((Inputs!$E$5:$E$130=$B48)*ISNUMBER(INDEX(Inputs!$K$5:$AJ$130,0,MATCH(AH$2,Inputs!$K$4:$AJ$4,0))))=0,NA(),SUMPRODUCT((Inputs!$A$5:$A$130=$B48)*Inputs!$B$5:$B$130*(((Inputs!$G$5:$G$130="moeda")+(Inputs!$G$5:$G$130="acoes"))*Inputs!$B$1+((Inputs!$G$5:$G$130&lt;&gt;"moeda")*(Inputs!$G$5:$G$130&lt;&gt;"acoes")))*INDEX(Inputs!$K$5:$AJ$130,0,MATCH(AH$2,Inputs!$K$4:$AJ$4,0)))+SUMPRODUCT((Inputs!$C$5:$C$130=$B48)*Inputs!$D$5:$D$130*(((Inputs!$G$5:$G$130="moeda")+(Inputs!$G$5:$G$130="acoes"))*Inputs!$B$1+((Inputs!$G$5:$G$130&lt;&gt;"moeda")*(Inputs!$G$5:$G$130&lt;&gt;"acoes")))*INDEX(Inputs!$K$5:$AJ$130,0,MATCH(AH$2,Inputs!$K$4:$AJ$4,0)))+SUMPRODUCT((Inputs!$E$5:$E$130=$B48)*Inputs!$F$5:$F$130*(((Inputs!$G$5:$G$130="moeda")+(Inputs!$G$5:$G$130="acoes"))*Inputs!$B$1+((Inputs!$G$5:$G$130&lt;&gt;"moeda")*(Inputs!$G$5:$G$130&lt;&gt;"acoes")))*INDEX(Inputs!$K$5:$AJ$130,0,MATCH(AH$2,Inputs!$K$4:$AJ$4,0)))))</f>
        <v>24880</v>
      </c>
      <c r="AI48" s="253">
        <f>IF(ISNA(MATCH(AI$2,Inputs!$K$4:$AJ$4,0)),NA(),IF(SUMPRODUCT((Inputs!$A$5:$A$130=$B48)*ISNUMBER(INDEX(Inputs!$K$5:$AJ$130,0,MATCH(AI$2,Inputs!$K$4:$AJ$4,0))))+SUMPRODUCT((Inputs!$C$5:$C$130=$B48)*ISNUMBER(INDEX(Inputs!$K$5:$AJ$130,0,MATCH(AI$2,Inputs!$K$4:$AJ$4,0))))+SUMPRODUCT((Inputs!$E$5:$E$130=$B48)*ISNUMBER(INDEX(Inputs!$K$5:$AJ$130,0,MATCH(AI$2,Inputs!$K$4:$AJ$4,0))))=0,NA(),SUMPRODUCT((Inputs!$A$5:$A$130=$B48)*Inputs!$B$5:$B$130*(((Inputs!$G$5:$G$130="moeda")+(Inputs!$G$5:$G$130="acoes"))*Inputs!$B$1+((Inputs!$G$5:$G$130&lt;&gt;"moeda")*(Inputs!$G$5:$G$130&lt;&gt;"acoes")))*INDEX(Inputs!$K$5:$AJ$130,0,MATCH(AI$2,Inputs!$K$4:$AJ$4,0)))+SUMPRODUCT((Inputs!$C$5:$C$130=$B48)*Inputs!$D$5:$D$130*(((Inputs!$G$5:$G$130="moeda")+(Inputs!$G$5:$G$130="acoes"))*Inputs!$B$1+((Inputs!$G$5:$G$130&lt;&gt;"moeda")*(Inputs!$G$5:$G$130&lt;&gt;"acoes")))*INDEX(Inputs!$K$5:$AJ$130,0,MATCH(AI$2,Inputs!$K$4:$AJ$4,0)))+SUMPRODUCT((Inputs!$E$5:$E$130=$B48)*Inputs!$F$5:$F$130*(((Inputs!$G$5:$G$130="moeda")+(Inputs!$G$5:$G$130="acoes"))*Inputs!$B$1+((Inputs!$G$5:$G$130&lt;&gt;"moeda")*(Inputs!$G$5:$G$130&lt;&gt;"acoes")))*INDEX(Inputs!$K$5:$AJ$130,0,MATCH(AI$2,Inputs!$K$4:$AJ$4,0)))))</f>
        <v>25040</v>
      </c>
      <c r="AJ48" s="253">
        <f>IF(ISNA(MATCH(AJ$2,Inputs!$K$4:$AJ$4,0)),NA(),IF(SUMPRODUCT((Inputs!$A$5:$A$130=$B48)*ISNUMBER(INDEX(Inputs!$K$5:$AJ$130,0,MATCH(AJ$2,Inputs!$K$4:$AJ$4,0))))+SUMPRODUCT((Inputs!$C$5:$C$130=$B48)*ISNUMBER(INDEX(Inputs!$K$5:$AJ$130,0,MATCH(AJ$2,Inputs!$K$4:$AJ$4,0))))+SUMPRODUCT((Inputs!$E$5:$E$130=$B48)*ISNUMBER(INDEX(Inputs!$K$5:$AJ$130,0,MATCH(AJ$2,Inputs!$K$4:$AJ$4,0))))=0,NA(),SUMPRODUCT((Inputs!$A$5:$A$130=$B48)*Inputs!$B$5:$B$130*(((Inputs!$G$5:$G$130="moeda")+(Inputs!$G$5:$G$130="acoes"))*Inputs!$B$1+((Inputs!$G$5:$G$130&lt;&gt;"moeda")*(Inputs!$G$5:$G$130&lt;&gt;"acoes")))*INDEX(Inputs!$K$5:$AJ$130,0,MATCH(AJ$2,Inputs!$K$4:$AJ$4,0)))+SUMPRODUCT((Inputs!$C$5:$C$130=$B48)*Inputs!$D$5:$D$130*(((Inputs!$G$5:$G$130="moeda")+(Inputs!$G$5:$G$130="acoes"))*Inputs!$B$1+((Inputs!$G$5:$G$130&lt;&gt;"moeda")*(Inputs!$G$5:$G$130&lt;&gt;"acoes")))*INDEX(Inputs!$K$5:$AJ$130,0,MATCH(AJ$2,Inputs!$K$4:$AJ$4,0)))+SUMPRODUCT((Inputs!$E$5:$E$130=$B48)*Inputs!$F$5:$F$130*(((Inputs!$G$5:$G$130="moeda")+(Inputs!$G$5:$G$130="acoes"))*Inputs!$B$1+((Inputs!$G$5:$G$130&lt;&gt;"moeda")*(Inputs!$G$5:$G$130&lt;&gt;"acoes")))*INDEX(Inputs!$K$5:$AJ$130,0,MATCH(AJ$2,Inputs!$K$4:$AJ$4,0)))))</f>
        <v>25200</v>
      </c>
      <c r="AK48" s="253" t="e">
        <f>IF(ISNA(MATCH(AK$2,Inputs!$K$4:$AJ$4,0)),NA(),IF(SUMPRODUCT((Inputs!$A$5:$A$130=$B48)*ISNUMBER(INDEX(Inputs!$K$5:$AJ$130,0,MATCH(AK$2,Inputs!$K$4:$AJ$4,0))))+SUMPRODUCT((Inputs!$C$5:$C$130=$B48)*ISNUMBER(INDEX(Inputs!$K$5:$AJ$130,0,MATCH(AK$2,Inputs!$K$4:$AJ$4,0))))+SUMPRODUCT((Inputs!$E$5:$E$130=$B48)*ISNUMBER(INDEX(Inputs!$K$5:$AJ$130,0,MATCH(AK$2,Inputs!$K$4:$AJ$4,0))))=0,NA(),SUMPRODUCT((Inputs!$A$5:$A$130=$B48)*Inputs!$B$5:$B$130*(((Inputs!$G$5:$G$130="moeda")+(Inputs!$G$5:$G$130="acoes"))*Inputs!$B$1+((Inputs!$G$5:$G$130&lt;&gt;"moeda")*(Inputs!$G$5:$G$130&lt;&gt;"acoes")))*INDEX(Inputs!$K$5:$AJ$130,0,MATCH(AK$2,Inputs!$K$4:$AJ$4,0)))+SUMPRODUCT((Inputs!$C$5:$C$130=$B48)*Inputs!$D$5:$D$130*(((Inputs!$G$5:$G$130="moeda")+(Inputs!$G$5:$G$130="acoes"))*Inputs!$B$1+((Inputs!$G$5:$G$130&lt;&gt;"moeda")*(Inputs!$G$5:$G$130&lt;&gt;"acoes")))*INDEX(Inputs!$K$5:$AJ$130,0,MATCH(AK$2,Inputs!$K$4:$AJ$4,0)))+SUMPRODUCT((Inputs!$E$5:$E$130=$B48)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48" s="253" t="n"/>
    </row>
    <row r="49" customFormat="1" s="1">
      <c r="B49" s="46" t="n">
        <v>43</v>
      </c>
      <c r="C49" s="28" t="inlineStr">
        <is>
          <t>Weighted average basic shares outstanding (mm) [Model linha 231]</t>
        </is>
      </c>
      <c r="D49" s="258">
        <f>IF(ISNA(MATCH(D$2,Inputs!$K$4:$AJ$4,0)),NA(),IF(SUMPRODUCT((Inputs!$A$5:$A$130=$B49)*ISNUMBER(INDEX(Inputs!$K$5:$AJ$130,0,MATCH(D$2,Inputs!$K$4:$AJ$4,0))))+SUMPRODUCT((Inputs!$C$5:$C$130=$B49)*ISNUMBER(INDEX(Inputs!$K$5:$AJ$130,0,MATCH(D$2,Inputs!$K$4:$AJ$4,0))))+SUMPRODUCT((Inputs!$E$5:$E$130=$B49)*ISNUMBER(INDEX(Inputs!$K$5:$AJ$130,0,MATCH(D$2,Inputs!$K$4:$AJ$4,0))))=0,NA(),SUMPRODUCT((Inputs!$A$5:$A$130=$B49)*Inputs!$B$5:$B$130*(((Inputs!$G$5:$G$130="moeda")+(Inputs!$G$5:$G$130="acoes"))*Inputs!$B$1+((Inputs!$G$5:$G$130&lt;&gt;"moeda")*(Inputs!$G$5:$G$130&lt;&gt;"acoes")))*INDEX(Inputs!$K$5:$AJ$130,0,MATCH(D$2,Inputs!$K$4:$AJ$4,0)))+SUMPRODUCT((Inputs!$C$5:$C$130=$B49)*Inputs!$D$5:$D$130*(((Inputs!$G$5:$G$130="moeda")+(Inputs!$G$5:$G$130="acoes"))*Inputs!$B$1+((Inputs!$G$5:$G$130&lt;&gt;"moeda")*(Inputs!$G$5:$G$130&lt;&gt;"acoes")))*INDEX(Inputs!$K$5:$AJ$130,0,MATCH(D$2,Inputs!$K$4:$AJ$4,0)))+SUMPRODUCT((Inputs!$E$5:$E$130=$B49)*Inputs!$F$5:$F$130*(((Inputs!$G$5:$G$130="moeda")+(Inputs!$G$5:$G$130="acoes"))*Inputs!$B$1+((Inputs!$G$5:$G$130&lt;&gt;"moeda")*(Inputs!$G$5:$G$130&lt;&gt;"acoes")))*INDEX(Inputs!$K$5:$AJ$130,0,MATCH(D$2,Inputs!$K$4:$AJ$4,0)))))</f>
        <v>24840</v>
      </c>
      <c r="E49" s="258">
        <f>IF(ISNA(MATCH(E$2,Inputs!$K$4:$AJ$4,0)),NA(),IF(SUMPRODUCT((Inputs!$A$5:$A$130=$B49)*ISNUMBER(INDEX(Inputs!$K$5:$AJ$130,0,MATCH(E$2,Inputs!$K$4:$AJ$4,0))))+SUMPRODUCT((Inputs!$C$5:$C$130=$B49)*ISNUMBER(INDEX(Inputs!$K$5:$AJ$130,0,MATCH(E$2,Inputs!$K$4:$AJ$4,0))))+SUMPRODUCT((Inputs!$E$5:$E$130=$B49)*ISNUMBER(INDEX(Inputs!$K$5:$AJ$130,0,MATCH(E$2,Inputs!$K$4:$AJ$4,0))))=0,NA(),SUMPRODUCT((Inputs!$A$5:$A$130=$B49)*Inputs!$B$5:$B$130*(((Inputs!$G$5:$G$130="moeda")+(Inputs!$G$5:$G$130="acoes"))*Inputs!$B$1+((Inputs!$G$5:$G$130&lt;&gt;"moeda")*(Inputs!$G$5:$G$130&lt;&gt;"acoes")))*INDEX(Inputs!$K$5:$AJ$130,0,MATCH(E$2,Inputs!$K$4:$AJ$4,0)))+SUMPRODUCT((Inputs!$C$5:$C$130=$B49)*Inputs!$D$5:$D$130*(((Inputs!$G$5:$G$130="moeda")+(Inputs!$G$5:$G$130="acoes"))*Inputs!$B$1+((Inputs!$G$5:$G$130&lt;&gt;"moeda")*(Inputs!$G$5:$G$130&lt;&gt;"acoes")))*INDEX(Inputs!$K$5:$AJ$130,0,MATCH(E$2,Inputs!$K$4:$AJ$4,0)))+SUMPRODUCT((Inputs!$E$5:$E$130=$B49)*Inputs!$F$5:$F$130*(((Inputs!$G$5:$G$130="moeda")+(Inputs!$G$5:$G$130="acoes"))*Inputs!$B$1+((Inputs!$G$5:$G$130&lt;&gt;"moeda")*(Inputs!$G$5:$G$130&lt;&gt;"acoes")))*INDEX(Inputs!$K$5:$AJ$130,0,MATCH(E$2,Inputs!$K$4:$AJ$4,0)))))</f>
        <v>24930</v>
      </c>
      <c r="F49" s="258">
        <f>IF(ISNA(MATCH(F$2,Inputs!$K$4:$AJ$4,0)),NA(),IF(SUMPRODUCT((Inputs!$A$5:$A$130=$B49)*ISNUMBER(INDEX(Inputs!$K$5:$AJ$130,0,MATCH(F$2,Inputs!$K$4:$AJ$4,0))))+SUMPRODUCT((Inputs!$C$5:$C$130=$B49)*ISNUMBER(INDEX(Inputs!$K$5:$AJ$130,0,MATCH(F$2,Inputs!$K$4:$AJ$4,0))))+SUMPRODUCT((Inputs!$E$5:$E$130=$B49)*ISNUMBER(INDEX(Inputs!$K$5:$AJ$130,0,MATCH(F$2,Inputs!$K$4:$AJ$4,0))))=0,NA(),SUMPRODUCT((Inputs!$A$5:$A$130=$B49)*Inputs!$B$5:$B$130*(((Inputs!$G$5:$G$130="moeda")+(Inputs!$G$5:$G$130="acoes"))*Inputs!$B$1+((Inputs!$G$5:$G$130&lt;&gt;"moeda")*(Inputs!$G$5:$G$130&lt;&gt;"acoes")))*INDEX(Inputs!$K$5:$AJ$130,0,MATCH(F$2,Inputs!$K$4:$AJ$4,0)))+SUMPRODUCT((Inputs!$C$5:$C$130=$B49)*Inputs!$D$5:$D$130*(((Inputs!$G$5:$G$130="moeda")+(Inputs!$G$5:$G$130="acoes"))*Inputs!$B$1+((Inputs!$G$5:$G$130&lt;&gt;"moeda")*(Inputs!$G$5:$G$130&lt;&gt;"acoes")))*INDEX(Inputs!$K$5:$AJ$130,0,MATCH(F$2,Inputs!$K$4:$AJ$4,0)))+SUMPRODUCT((Inputs!$E$5:$E$130=$B49)*Inputs!$F$5:$F$130*(((Inputs!$G$5:$G$130="moeda")+(Inputs!$G$5:$G$130="acoes"))*Inputs!$B$1+((Inputs!$G$5:$G$130&lt;&gt;"moeda")*(Inputs!$G$5:$G$130&lt;&gt;"acoes")))*INDEX(Inputs!$K$5:$AJ$130,0,MATCH(F$2,Inputs!$K$4:$AJ$4,0)))))</f>
        <v>24990</v>
      </c>
      <c r="G49" s="258" t="e">
        <f>IF(ISNA(MATCH(G$2,Inputs!$K$4:$AJ$4,0)),NA(),IF(SUMPRODUCT((Inputs!$A$5:$A$130=$B49)*ISNUMBER(INDEX(Inputs!$K$5:$AJ$130,0,MATCH(G$2,Inputs!$K$4:$AJ$4,0))))+SUMPRODUCT((Inputs!$C$5:$C$130=$B49)*ISNUMBER(INDEX(Inputs!$K$5:$AJ$130,0,MATCH(G$2,Inputs!$K$4:$AJ$4,0))))+SUMPRODUCT((Inputs!$E$5:$E$130=$B49)*ISNUMBER(INDEX(Inputs!$K$5:$AJ$130,0,MATCH(G$2,Inputs!$K$4:$AJ$4,0))))=0,NA(),SUMPRODUCT((Inputs!$A$5:$A$130=$B49)*Inputs!$B$5:$B$130*(((Inputs!$G$5:$G$130="moeda")+(Inputs!$G$5:$G$130="acoes"))*Inputs!$B$1+((Inputs!$G$5:$G$130&lt;&gt;"moeda")*(Inputs!$G$5:$G$130&lt;&gt;"acoes")))*INDEX(Inputs!$K$5:$AJ$130,0,MATCH(G$2,Inputs!$K$4:$AJ$4,0)))+SUMPRODUCT((Inputs!$C$5:$C$130=$B49)*Inputs!$D$5:$D$130*(((Inputs!$G$5:$G$130="moeda")+(Inputs!$G$5:$G$130="acoes"))*Inputs!$B$1+((Inputs!$G$5:$G$130&lt;&gt;"moeda")*(Inputs!$G$5:$G$130&lt;&gt;"acoes")))*INDEX(Inputs!$K$5:$AJ$130,0,MATCH(G$2,Inputs!$K$4:$AJ$4,0)))+SUMPRODUCT((Inputs!$E$5:$E$130=$B49)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49" s="259" t="n"/>
      <c r="I49" s="258">
        <f>IF(ISNA(MATCH(I$2,Inputs!$K$4:$AJ$4,0)),NA(),IF(SUMPRODUCT((Inputs!$A$5:$A$130=$B49)*ISNUMBER(INDEX(Inputs!$K$5:$AJ$130,0,MATCH(I$2,Inputs!$K$4:$AJ$4,0))))+SUMPRODUCT((Inputs!$C$5:$C$130=$B49)*ISNUMBER(INDEX(Inputs!$K$5:$AJ$130,0,MATCH(I$2,Inputs!$K$4:$AJ$4,0))))+SUMPRODUCT((Inputs!$E$5:$E$130=$B49)*ISNUMBER(INDEX(Inputs!$K$5:$AJ$130,0,MATCH(I$2,Inputs!$K$4:$AJ$4,0))))=0,NA(),SUMPRODUCT((Inputs!$A$5:$A$130=$B49)*Inputs!$B$5:$B$130*(((Inputs!$G$5:$G$130="moeda")+(Inputs!$G$5:$G$130="acoes"))*Inputs!$B$1+((Inputs!$G$5:$G$130&lt;&gt;"moeda")*(Inputs!$G$5:$G$130&lt;&gt;"acoes")))*INDEX(Inputs!$K$5:$AJ$130,0,MATCH(I$2,Inputs!$K$4:$AJ$4,0)))+SUMPRODUCT((Inputs!$C$5:$C$130=$B49)*Inputs!$D$5:$D$130*(((Inputs!$G$5:$G$130="moeda")+(Inputs!$G$5:$G$130="acoes"))*Inputs!$B$1+((Inputs!$G$5:$G$130&lt;&gt;"moeda")*(Inputs!$G$5:$G$130&lt;&gt;"acoes")))*INDEX(Inputs!$K$5:$AJ$130,0,MATCH(I$2,Inputs!$K$4:$AJ$4,0)))+SUMPRODUCT((Inputs!$E$5:$E$130=$B49)*Inputs!$F$5:$F$130*(((Inputs!$G$5:$G$130="moeda")+(Inputs!$G$5:$G$130="acoes"))*Inputs!$B$1+((Inputs!$G$5:$G$130&lt;&gt;"moeda")*(Inputs!$G$5:$G$130&lt;&gt;"acoes")))*INDEX(Inputs!$K$5:$AJ$130,0,MATCH(I$2,Inputs!$K$4:$AJ$4,0)))))</f>
        <v>25060</v>
      </c>
      <c r="J49" s="258">
        <f>IF(ISNA(MATCH(J$2,Inputs!$K$4:$AJ$4,0)),NA(),IF(SUMPRODUCT((Inputs!$A$5:$A$130=$B49)*ISNUMBER(INDEX(Inputs!$K$5:$AJ$130,0,MATCH(J$2,Inputs!$K$4:$AJ$4,0))))+SUMPRODUCT((Inputs!$C$5:$C$130=$B49)*ISNUMBER(INDEX(Inputs!$K$5:$AJ$130,0,MATCH(J$2,Inputs!$K$4:$AJ$4,0))))+SUMPRODUCT((Inputs!$E$5:$E$130=$B49)*ISNUMBER(INDEX(Inputs!$K$5:$AJ$130,0,MATCH(J$2,Inputs!$K$4:$AJ$4,0))))=0,NA(),SUMPRODUCT((Inputs!$A$5:$A$130=$B49)*Inputs!$B$5:$B$130*(((Inputs!$G$5:$G$130="moeda")+(Inputs!$G$5:$G$130="acoes"))*Inputs!$B$1+((Inputs!$G$5:$G$130&lt;&gt;"moeda")*(Inputs!$G$5:$G$130&lt;&gt;"acoes")))*INDEX(Inputs!$K$5:$AJ$130,0,MATCH(J$2,Inputs!$K$4:$AJ$4,0)))+SUMPRODUCT((Inputs!$C$5:$C$130=$B49)*Inputs!$D$5:$D$130*(((Inputs!$G$5:$G$130="moeda")+(Inputs!$G$5:$G$130="acoes"))*Inputs!$B$1+((Inputs!$G$5:$G$130&lt;&gt;"moeda")*(Inputs!$G$5:$G$130&lt;&gt;"acoes")))*INDEX(Inputs!$K$5:$AJ$130,0,MATCH(J$2,Inputs!$K$4:$AJ$4,0)))+SUMPRODUCT((Inputs!$E$5:$E$130=$B49)*Inputs!$F$5:$F$130*(((Inputs!$G$5:$G$130="moeda")+(Inputs!$G$5:$G$130="acoes"))*Inputs!$B$1+((Inputs!$G$5:$G$130&lt;&gt;"moeda")*(Inputs!$G$5:$G$130&lt;&gt;"acoes")))*INDEX(Inputs!$K$5:$AJ$130,0,MATCH(J$2,Inputs!$K$4:$AJ$4,0)))))</f>
        <v>24950</v>
      </c>
      <c r="K49" s="258">
        <f>IF(ISNA(MATCH(K$2,Inputs!$K$4:$AJ$4,0)),NA(),IF(SUMPRODUCT((Inputs!$A$5:$A$130=$B49)*ISNUMBER(INDEX(Inputs!$K$5:$AJ$130,0,MATCH(K$2,Inputs!$K$4:$AJ$4,0))))+SUMPRODUCT((Inputs!$C$5:$C$130=$B49)*ISNUMBER(INDEX(Inputs!$K$5:$AJ$130,0,MATCH(K$2,Inputs!$K$4:$AJ$4,0))))+SUMPRODUCT((Inputs!$E$5:$E$130=$B49)*ISNUMBER(INDEX(Inputs!$K$5:$AJ$130,0,MATCH(K$2,Inputs!$K$4:$AJ$4,0))))=0,NA(),SUMPRODUCT((Inputs!$A$5:$A$130=$B49)*Inputs!$B$5:$B$130*(((Inputs!$G$5:$G$130="moeda")+(Inputs!$G$5:$G$130="acoes"))*Inputs!$B$1+((Inputs!$G$5:$G$130&lt;&gt;"moeda")*(Inputs!$G$5:$G$130&lt;&gt;"acoes")))*INDEX(Inputs!$K$5:$AJ$130,0,MATCH(K$2,Inputs!$K$4:$AJ$4,0)))+SUMPRODUCT((Inputs!$C$5:$C$130=$B49)*Inputs!$D$5:$D$130*(((Inputs!$G$5:$G$130="moeda")+(Inputs!$G$5:$G$130="acoes"))*Inputs!$B$1+((Inputs!$G$5:$G$130&lt;&gt;"moeda")*(Inputs!$G$5:$G$130&lt;&gt;"acoes")))*INDEX(Inputs!$K$5:$AJ$130,0,MATCH(K$2,Inputs!$K$4:$AJ$4,0)))+SUMPRODUCT((Inputs!$E$5:$E$130=$B49)*Inputs!$F$5:$F$130*(((Inputs!$G$5:$G$130="moeda")+(Inputs!$G$5:$G$130="acoes"))*Inputs!$B$1+((Inputs!$G$5:$G$130&lt;&gt;"moeda")*(Inputs!$G$5:$G$130&lt;&gt;"acoes")))*INDEX(Inputs!$K$5:$AJ$130,0,MATCH(K$2,Inputs!$K$4:$AJ$4,0)))))</f>
        <v>24830</v>
      </c>
      <c r="L49" s="258" t="e">
        <f>IF(ISNA(MATCH(L$2,Inputs!$K$4:$AJ$4,0)),NA(),IF(SUMPRODUCT((Inputs!$A$5:$A$130=$B49)*ISNUMBER(INDEX(Inputs!$K$5:$AJ$130,0,MATCH(L$2,Inputs!$K$4:$AJ$4,0))))+SUMPRODUCT((Inputs!$C$5:$C$130=$B49)*ISNUMBER(INDEX(Inputs!$K$5:$AJ$130,0,MATCH(L$2,Inputs!$K$4:$AJ$4,0))))+SUMPRODUCT((Inputs!$E$5:$E$130=$B49)*ISNUMBER(INDEX(Inputs!$K$5:$AJ$130,0,MATCH(L$2,Inputs!$K$4:$AJ$4,0))))=0,NA(),SUMPRODUCT((Inputs!$A$5:$A$130=$B49)*Inputs!$B$5:$B$130*(((Inputs!$G$5:$G$130="moeda")+(Inputs!$G$5:$G$130="acoes"))*Inputs!$B$1+((Inputs!$G$5:$G$130&lt;&gt;"moeda")*(Inputs!$G$5:$G$130&lt;&gt;"acoes")))*INDEX(Inputs!$K$5:$AJ$130,0,MATCH(L$2,Inputs!$K$4:$AJ$4,0)))+SUMPRODUCT((Inputs!$C$5:$C$130=$B49)*Inputs!$D$5:$D$130*(((Inputs!$G$5:$G$130="moeda")+(Inputs!$G$5:$G$130="acoes"))*Inputs!$B$1+((Inputs!$G$5:$G$130&lt;&gt;"moeda")*(Inputs!$G$5:$G$130&lt;&gt;"acoes")))*INDEX(Inputs!$K$5:$AJ$130,0,MATCH(L$2,Inputs!$K$4:$AJ$4,0)))+SUMPRODUCT((Inputs!$E$5:$E$130=$B49)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49" s="259" t="n"/>
      <c r="N49" s="258">
        <f>IF(ISNA(MATCH(N$2,Inputs!$K$4:$AJ$4,0)),NA(),IF(SUMPRODUCT((Inputs!$A$5:$A$130=$B49)*ISNUMBER(INDEX(Inputs!$K$5:$AJ$130,0,MATCH(N$2,Inputs!$K$4:$AJ$4,0))))+SUMPRODUCT((Inputs!$C$5:$C$130=$B49)*ISNUMBER(INDEX(Inputs!$K$5:$AJ$130,0,MATCH(N$2,Inputs!$K$4:$AJ$4,0))))+SUMPRODUCT((Inputs!$E$5:$E$130=$B49)*ISNUMBER(INDEX(Inputs!$K$5:$AJ$130,0,MATCH(N$2,Inputs!$K$4:$AJ$4,0))))=0,NA(),SUMPRODUCT((Inputs!$A$5:$A$130=$B49)*Inputs!$B$5:$B$130*(((Inputs!$G$5:$G$130="moeda")+(Inputs!$G$5:$G$130="acoes"))*Inputs!$B$1+((Inputs!$G$5:$G$130&lt;&gt;"moeda")*(Inputs!$G$5:$G$130&lt;&gt;"acoes")))*INDEX(Inputs!$K$5:$AJ$130,0,MATCH(N$2,Inputs!$K$4:$AJ$4,0)))+SUMPRODUCT((Inputs!$C$5:$C$130=$B49)*Inputs!$D$5:$D$130*(((Inputs!$G$5:$G$130="moeda")+(Inputs!$G$5:$G$130="acoes"))*Inputs!$B$1+((Inputs!$G$5:$G$130&lt;&gt;"moeda")*(Inputs!$G$5:$G$130&lt;&gt;"acoes")))*INDEX(Inputs!$K$5:$AJ$130,0,MATCH(N$2,Inputs!$K$4:$AJ$4,0)))+SUMPRODUCT((Inputs!$E$5:$E$130=$B49)*Inputs!$F$5:$F$130*(((Inputs!$G$5:$G$130="moeda")+(Inputs!$G$5:$G$130="acoes"))*Inputs!$B$1+((Inputs!$G$5:$G$130&lt;&gt;"moeda")*(Inputs!$G$5:$G$130&lt;&gt;"acoes")))*INDEX(Inputs!$K$5:$AJ$130,0,MATCH(N$2,Inputs!$K$4:$AJ$4,0)))))</f>
        <v>24700</v>
      </c>
      <c r="O49" s="258">
        <f>IF(ISNA(MATCH(O$2,Inputs!$K$4:$AJ$4,0)),NA(),IF(SUMPRODUCT((Inputs!$A$5:$A$130=$B49)*ISNUMBER(INDEX(Inputs!$K$5:$AJ$130,0,MATCH(O$2,Inputs!$K$4:$AJ$4,0))))+SUMPRODUCT((Inputs!$C$5:$C$130=$B49)*ISNUMBER(INDEX(Inputs!$K$5:$AJ$130,0,MATCH(O$2,Inputs!$K$4:$AJ$4,0))))+SUMPRODUCT((Inputs!$E$5:$E$130=$B49)*ISNUMBER(INDEX(Inputs!$K$5:$AJ$130,0,MATCH(O$2,Inputs!$K$4:$AJ$4,0))))=0,NA(),SUMPRODUCT((Inputs!$A$5:$A$130=$B49)*Inputs!$B$5:$B$130*(((Inputs!$G$5:$G$130="moeda")+(Inputs!$G$5:$G$130="acoes"))*Inputs!$B$1+((Inputs!$G$5:$G$130&lt;&gt;"moeda")*(Inputs!$G$5:$G$130&lt;&gt;"acoes")))*INDEX(Inputs!$K$5:$AJ$130,0,MATCH(O$2,Inputs!$K$4:$AJ$4,0)))+SUMPRODUCT((Inputs!$C$5:$C$130=$B49)*Inputs!$D$5:$D$130*(((Inputs!$G$5:$G$130="moeda")+(Inputs!$G$5:$G$130="acoes"))*Inputs!$B$1+((Inputs!$G$5:$G$130&lt;&gt;"moeda")*(Inputs!$G$5:$G$130&lt;&gt;"acoes")))*INDEX(Inputs!$K$5:$AJ$130,0,MATCH(O$2,Inputs!$K$4:$AJ$4,0)))+SUMPRODUCT((Inputs!$E$5:$E$130=$B49)*Inputs!$F$5:$F$130*(((Inputs!$G$5:$G$130="moeda")+(Inputs!$G$5:$G$130="acoes"))*Inputs!$B$1+((Inputs!$G$5:$G$130&lt;&gt;"moeda")*(Inputs!$G$5:$G$130&lt;&gt;"acoes")))*INDEX(Inputs!$K$5:$AJ$130,0,MATCH(O$2,Inputs!$K$4:$AJ$4,0)))))</f>
        <v>24729</v>
      </c>
      <c r="P49" s="258">
        <f>IF(ISNA(MATCH(P$2,Inputs!$K$4:$AJ$4,0)),NA(),IF(SUMPRODUCT((Inputs!$A$5:$A$130=$B49)*ISNUMBER(INDEX(Inputs!$K$5:$AJ$130,0,MATCH(P$2,Inputs!$K$4:$AJ$4,0))))+SUMPRODUCT((Inputs!$C$5:$C$130=$B49)*ISNUMBER(INDEX(Inputs!$K$5:$AJ$130,0,MATCH(P$2,Inputs!$K$4:$AJ$4,0))))+SUMPRODUCT((Inputs!$E$5:$E$130=$B49)*ISNUMBER(INDEX(Inputs!$K$5:$AJ$130,0,MATCH(P$2,Inputs!$K$4:$AJ$4,0))))=0,NA(),SUMPRODUCT((Inputs!$A$5:$A$130=$B49)*Inputs!$B$5:$B$130*(((Inputs!$G$5:$G$130="moeda")+(Inputs!$G$5:$G$130="acoes"))*Inputs!$B$1+((Inputs!$G$5:$G$130&lt;&gt;"moeda")*(Inputs!$G$5:$G$130&lt;&gt;"acoes")))*INDEX(Inputs!$K$5:$AJ$130,0,MATCH(P$2,Inputs!$K$4:$AJ$4,0)))+SUMPRODUCT((Inputs!$C$5:$C$130=$B49)*Inputs!$D$5:$D$130*(((Inputs!$G$5:$G$130="moeda")+(Inputs!$G$5:$G$130="acoes"))*Inputs!$B$1+((Inputs!$G$5:$G$130&lt;&gt;"moeda")*(Inputs!$G$5:$G$130&lt;&gt;"acoes")))*INDEX(Inputs!$K$5:$AJ$130,0,MATCH(P$2,Inputs!$K$4:$AJ$4,0)))+SUMPRODUCT((Inputs!$E$5:$E$130=$B49)*Inputs!$F$5:$F$130*(((Inputs!$G$5:$G$130="moeda")+(Inputs!$G$5:$G$130="acoes"))*Inputs!$B$1+((Inputs!$G$5:$G$130&lt;&gt;"moeda")*(Inputs!$G$5:$G$130&lt;&gt;"acoes")))*INDEX(Inputs!$K$5:$AJ$130,0,MATCH(P$2,Inputs!$K$4:$AJ$4,0)))))</f>
        <v>24680</v>
      </c>
      <c r="Q49" s="258" t="e">
        <f>IF(ISNA(MATCH(Q$2,Inputs!$K$4:$AJ$4,0)),NA(),IF(SUMPRODUCT((Inputs!$A$5:$A$130=$B49)*ISNUMBER(INDEX(Inputs!$K$5:$AJ$130,0,MATCH(Q$2,Inputs!$K$4:$AJ$4,0))))+SUMPRODUCT((Inputs!$C$5:$C$130=$B49)*ISNUMBER(INDEX(Inputs!$K$5:$AJ$130,0,MATCH(Q$2,Inputs!$K$4:$AJ$4,0))))+SUMPRODUCT((Inputs!$E$5:$E$130=$B49)*ISNUMBER(INDEX(Inputs!$K$5:$AJ$130,0,MATCH(Q$2,Inputs!$K$4:$AJ$4,0))))=0,NA(),SUMPRODUCT((Inputs!$A$5:$A$130=$B49)*Inputs!$B$5:$B$130*(((Inputs!$G$5:$G$130="moeda")+(Inputs!$G$5:$G$130="acoes"))*Inputs!$B$1+((Inputs!$G$5:$G$130&lt;&gt;"moeda")*(Inputs!$G$5:$G$130&lt;&gt;"acoes")))*INDEX(Inputs!$K$5:$AJ$130,0,MATCH(Q$2,Inputs!$K$4:$AJ$4,0)))+SUMPRODUCT((Inputs!$C$5:$C$130=$B49)*Inputs!$D$5:$D$130*(((Inputs!$G$5:$G$130="moeda")+(Inputs!$G$5:$G$130="acoes"))*Inputs!$B$1+((Inputs!$G$5:$G$130&lt;&gt;"moeda")*(Inputs!$G$5:$G$130&lt;&gt;"acoes")))*INDEX(Inputs!$K$5:$AJ$130,0,MATCH(Q$2,Inputs!$K$4:$AJ$4,0)))+SUMPRODUCT((Inputs!$E$5:$E$130=$B49)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49" s="259" t="n"/>
      <c r="S49" s="258">
        <f>IF(ISNA(MATCH(S$2,Inputs!$K$4:$AJ$4,0)),NA(),IF(SUMPRODUCT((Inputs!$A$5:$A$130=$B49)*ISNUMBER(INDEX(Inputs!$K$5:$AJ$130,0,MATCH(S$2,Inputs!$K$4:$AJ$4,0))))+SUMPRODUCT((Inputs!$C$5:$C$130=$B49)*ISNUMBER(INDEX(Inputs!$K$5:$AJ$130,0,MATCH(S$2,Inputs!$K$4:$AJ$4,0))))+SUMPRODUCT((Inputs!$E$5:$E$130=$B49)*ISNUMBER(INDEX(Inputs!$K$5:$AJ$130,0,MATCH(S$2,Inputs!$K$4:$AJ$4,0))))=0,NA(),SUMPRODUCT((Inputs!$A$5:$A$130=$B49)*Inputs!$B$5:$B$130*(((Inputs!$G$5:$G$130="moeda")+(Inputs!$G$5:$G$130="acoes"))*Inputs!$B$1+((Inputs!$G$5:$G$130&lt;&gt;"moeda")*(Inputs!$G$5:$G$130&lt;&gt;"acoes")))*INDEX(Inputs!$K$5:$AJ$130,0,MATCH(S$2,Inputs!$K$4:$AJ$4,0)))+SUMPRODUCT((Inputs!$C$5:$C$130=$B49)*Inputs!$D$5:$D$130*(((Inputs!$G$5:$G$130="moeda")+(Inputs!$G$5:$G$130="acoes"))*Inputs!$B$1+((Inputs!$G$5:$G$130&lt;&gt;"moeda")*(Inputs!$G$5:$G$130&lt;&gt;"acoes")))*INDEX(Inputs!$K$5:$AJ$130,0,MATCH(S$2,Inputs!$K$4:$AJ$4,0)))+SUMPRODUCT((Inputs!$E$5:$E$130=$B49)*Inputs!$F$5:$F$130*(((Inputs!$G$5:$G$130="moeda")+(Inputs!$G$5:$G$130="acoes"))*Inputs!$B$1+((Inputs!$G$5:$G$130&lt;&gt;"moeda")*(Inputs!$G$5:$G$130&lt;&gt;"acoes")))*INDEX(Inputs!$K$5:$AJ$130,0,MATCH(S$2,Inputs!$K$4:$AJ$4,0)))))</f>
        <v>24620</v>
      </c>
      <c r="T49" s="258">
        <f>IF(ISNA(MATCH(T$2,Inputs!$K$4:$AJ$4,0)),NA(),IF(SUMPRODUCT((Inputs!$A$5:$A$130=$B49)*ISNUMBER(INDEX(Inputs!$K$5:$AJ$130,0,MATCH(T$2,Inputs!$K$4:$AJ$4,0))))+SUMPRODUCT((Inputs!$C$5:$C$130=$B49)*ISNUMBER(INDEX(Inputs!$K$5:$AJ$130,0,MATCH(T$2,Inputs!$K$4:$AJ$4,0))))+SUMPRODUCT((Inputs!$E$5:$E$130=$B49)*ISNUMBER(INDEX(Inputs!$K$5:$AJ$130,0,MATCH(T$2,Inputs!$K$4:$AJ$4,0))))=0,NA(),SUMPRODUCT((Inputs!$A$5:$A$130=$B49)*Inputs!$B$5:$B$130*(((Inputs!$G$5:$G$130="moeda")+(Inputs!$G$5:$G$130="acoes"))*Inputs!$B$1+((Inputs!$G$5:$G$130&lt;&gt;"moeda")*(Inputs!$G$5:$G$130&lt;&gt;"acoes")))*INDEX(Inputs!$K$5:$AJ$130,0,MATCH(T$2,Inputs!$K$4:$AJ$4,0)))+SUMPRODUCT((Inputs!$C$5:$C$130=$B49)*Inputs!$D$5:$D$130*(((Inputs!$G$5:$G$130="moeda")+(Inputs!$G$5:$G$130="acoes"))*Inputs!$B$1+((Inputs!$G$5:$G$130&lt;&gt;"moeda")*(Inputs!$G$5:$G$130&lt;&gt;"acoes")))*INDEX(Inputs!$K$5:$AJ$130,0,MATCH(T$2,Inputs!$K$4:$AJ$4,0)))+SUMPRODUCT((Inputs!$E$5:$E$130=$B49)*Inputs!$F$5:$F$130*(((Inputs!$G$5:$G$130="moeda")+(Inputs!$G$5:$G$130="acoes"))*Inputs!$B$1+((Inputs!$G$5:$G$130&lt;&gt;"moeda")*(Inputs!$G$5:$G$130&lt;&gt;"acoes")))*INDEX(Inputs!$K$5:$AJ$130,0,MATCH(T$2,Inputs!$K$4:$AJ$4,0)))))</f>
        <v>24578</v>
      </c>
      <c r="U49" s="258">
        <f>IF(ISNA(MATCH(U$2,Inputs!$K$4:$AJ$4,0)),NA(),IF(SUMPRODUCT((Inputs!$A$5:$A$130=$B49)*ISNUMBER(INDEX(Inputs!$K$5:$AJ$130,0,MATCH(U$2,Inputs!$K$4:$AJ$4,0))))+SUMPRODUCT((Inputs!$C$5:$C$130=$B49)*ISNUMBER(INDEX(Inputs!$K$5:$AJ$130,0,MATCH(U$2,Inputs!$K$4:$AJ$4,0))))+SUMPRODUCT((Inputs!$E$5:$E$130=$B49)*ISNUMBER(INDEX(Inputs!$K$5:$AJ$130,0,MATCH(U$2,Inputs!$K$4:$AJ$4,0))))=0,NA(),SUMPRODUCT((Inputs!$A$5:$A$130=$B49)*Inputs!$B$5:$B$130*(((Inputs!$G$5:$G$130="moeda")+(Inputs!$G$5:$G$130="acoes"))*Inputs!$B$1+((Inputs!$G$5:$G$130&lt;&gt;"moeda")*(Inputs!$G$5:$G$130&lt;&gt;"acoes")))*INDEX(Inputs!$K$5:$AJ$130,0,MATCH(U$2,Inputs!$K$4:$AJ$4,0)))+SUMPRODUCT((Inputs!$C$5:$C$130=$B49)*Inputs!$D$5:$D$130*(((Inputs!$G$5:$G$130="moeda")+(Inputs!$G$5:$G$130="acoes"))*Inputs!$B$1+((Inputs!$G$5:$G$130&lt;&gt;"moeda")*(Inputs!$G$5:$G$130&lt;&gt;"acoes")))*INDEX(Inputs!$K$5:$AJ$130,0,MATCH(U$2,Inputs!$K$4:$AJ$4,0)))+SUMPRODUCT((Inputs!$E$5:$E$130=$B49)*Inputs!$F$5:$F$130*(((Inputs!$G$5:$G$130="moeda")+(Inputs!$G$5:$G$130="acoes"))*Inputs!$B$1+((Inputs!$G$5:$G$130&lt;&gt;"moeda")*(Inputs!$G$5:$G$130&lt;&gt;"acoes")))*INDEX(Inputs!$K$5:$AJ$130,0,MATCH(U$2,Inputs!$K$4:$AJ$4,0)))))</f>
        <v>24533</v>
      </c>
      <c r="V49" s="258" t="e">
        <f>IF(ISNA(MATCH(V$2,Inputs!$K$4:$AJ$4,0)),NA(),IF(SUMPRODUCT((Inputs!$A$5:$A$130=$B49)*ISNUMBER(INDEX(Inputs!$K$5:$AJ$130,0,MATCH(V$2,Inputs!$K$4:$AJ$4,0))))+SUMPRODUCT((Inputs!$C$5:$C$130=$B49)*ISNUMBER(INDEX(Inputs!$K$5:$AJ$130,0,MATCH(V$2,Inputs!$K$4:$AJ$4,0))))+SUMPRODUCT((Inputs!$E$5:$E$130=$B49)*ISNUMBER(INDEX(Inputs!$K$5:$AJ$130,0,MATCH(V$2,Inputs!$K$4:$AJ$4,0))))=0,NA(),SUMPRODUCT((Inputs!$A$5:$A$130=$B49)*Inputs!$B$5:$B$130*(((Inputs!$G$5:$G$130="moeda")+(Inputs!$G$5:$G$130="acoes"))*Inputs!$B$1+((Inputs!$G$5:$G$130&lt;&gt;"moeda")*(Inputs!$G$5:$G$130&lt;&gt;"acoes")))*INDEX(Inputs!$K$5:$AJ$130,0,MATCH(V$2,Inputs!$K$4:$AJ$4,0)))+SUMPRODUCT((Inputs!$C$5:$C$130=$B49)*Inputs!$D$5:$D$130*(((Inputs!$G$5:$G$130="moeda")+(Inputs!$G$5:$G$130="acoes"))*Inputs!$B$1+((Inputs!$G$5:$G$130&lt;&gt;"moeda")*(Inputs!$G$5:$G$130&lt;&gt;"acoes")))*INDEX(Inputs!$K$5:$AJ$130,0,MATCH(V$2,Inputs!$K$4:$AJ$4,0)))+SUMPRODUCT((Inputs!$E$5:$E$130=$B49)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49" s="259" t="n"/>
      <c r="X49" s="258">
        <f>IF(ISNA(MATCH(X$2,Inputs!$K$4:$AJ$4,0)),NA(),IF(SUMPRODUCT((Inputs!$A$5:$A$130=$B49)*ISNUMBER(INDEX(Inputs!$K$5:$AJ$130,0,MATCH(X$2,Inputs!$K$4:$AJ$4,0))))+SUMPRODUCT((Inputs!$C$5:$C$130=$B49)*ISNUMBER(INDEX(Inputs!$K$5:$AJ$130,0,MATCH(X$2,Inputs!$K$4:$AJ$4,0))))+SUMPRODUCT((Inputs!$E$5:$E$130=$B49)*ISNUMBER(INDEX(Inputs!$K$5:$AJ$130,0,MATCH(X$2,Inputs!$K$4:$AJ$4,0))))=0,NA(),SUMPRODUCT((Inputs!$A$5:$A$130=$B49)*Inputs!$B$5:$B$130*(((Inputs!$G$5:$G$130="moeda")+(Inputs!$G$5:$G$130="acoes"))*Inputs!$B$1+((Inputs!$G$5:$G$130&lt;&gt;"moeda")*(Inputs!$G$5:$G$130&lt;&gt;"acoes")))*INDEX(Inputs!$K$5:$AJ$130,0,MATCH(X$2,Inputs!$K$4:$AJ$4,0)))+SUMPRODUCT((Inputs!$C$5:$C$130=$B49)*Inputs!$D$5:$D$130*(((Inputs!$G$5:$G$130="moeda")+(Inputs!$G$5:$G$130="acoes"))*Inputs!$B$1+((Inputs!$G$5:$G$130&lt;&gt;"moeda")*(Inputs!$G$5:$G$130&lt;&gt;"acoes")))*INDEX(Inputs!$K$5:$AJ$130,0,MATCH(X$2,Inputs!$K$4:$AJ$4,0)))+SUMPRODUCT((Inputs!$E$5:$E$130=$B49)*Inputs!$F$5:$F$130*(((Inputs!$G$5:$G$130="moeda")+(Inputs!$G$5:$G$130="acoes"))*Inputs!$B$1+((Inputs!$G$5:$G$130&lt;&gt;"moeda")*(Inputs!$G$5:$G$130&lt;&gt;"acoes")))*INDEX(Inputs!$K$5:$AJ$130,0,MATCH(X$2,Inputs!$K$4:$AJ$4,0)))))</f>
        <v>24441</v>
      </c>
      <c r="Y49" s="258">
        <f>IF(ISNA(MATCH(Y$2,Inputs!$K$4:$AJ$4,0)),NA(),IF(SUMPRODUCT((Inputs!$A$5:$A$130=$B49)*ISNUMBER(INDEX(Inputs!$K$5:$AJ$130,0,MATCH(Y$2,Inputs!$K$4:$AJ$4,0))))+SUMPRODUCT((Inputs!$C$5:$C$130=$B49)*ISNUMBER(INDEX(Inputs!$K$5:$AJ$130,0,MATCH(Y$2,Inputs!$K$4:$AJ$4,0))))+SUMPRODUCT((Inputs!$E$5:$E$130=$B49)*ISNUMBER(INDEX(Inputs!$K$5:$AJ$130,0,MATCH(Y$2,Inputs!$K$4:$AJ$4,0))))=0,NA(),SUMPRODUCT((Inputs!$A$5:$A$130=$B49)*Inputs!$B$5:$B$130*(((Inputs!$G$5:$G$130="moeda")+(Inputs!$G$5:$G$130="acoes"))*Inputs!$B$1+((Inputs!$G$5:$G$130&lt;&gt;"moeda")*(Inputs!$G$5:$G$130&lt;&gt;"acoes")))*INDEX(Inputs!$K$5:$AJ$130,0,MATCH(Y$2,Inputs!$K$4:$AJ$4,0)))+SUMPRODUCT((Inputs!$C$5:$C$130=$B49)*Inputs!$D$5:$D$130*(((Inputs!$G$5:$G$130="moeda")+(Inputs!$G$5:$G$130="acoes"))*Inputs!$B$1+((Inputs!$G$5:$G$130&lt;&gt;"moeda")*(Inputs!$G$5:$G$130&lt;&gt;"acoes")))*INDEX(Inputs!$K$5:$AJ$130,0,MATCH(Y$2,Inputs!$K$4:$AJ$4,0)))+SUMPRODUCT((Inputs!$E$5:$E$130=$B49)*Inputs!$F$5:$F$130*(((Inputs!$G$5:$G$130="moeda")+(Inputs!$G$5:$G$130="acoes"))*Inputs!$B$1+((Inputs!$G$5:$G$130&lt;&gt;"moeda")*(Inputs!$G$5:$G$130&lt;&gt;"acoes")))*INDEX(Inputs!$K$5:$AJ$130,0,MATCH(Y$2,Inputs!$K$4:$AJ$4,0)))))</f>
        <v>24366</v>
      </c>
      <c r="Z49" s="258">
        <f>IF(ISNA(MATCH(Z$2,Inputs!$K$4:$AJ$4,0)),NA(),IF(SUMPRODUCT((Inputs!$A$5:$A$130=$B49)*ISNUMBER(INDEX(Inputs!$K$5:$AJ$130,0,MATCH(Z$2,Inputs!$K$4:$AJ$4,0))))+SUMPRODUCT((Inputs!$C$5:$C$130=$B49)*ISNUMBER(INDEX(Inputs!$K$5:$AJ$130,0,MATCH(Z$2,Inputs!$K$4:$AJ$4,0))))+SUMPRODUCT((Inputs!$E$5:$E$130=$B49)*ISNUMBER(INDEX(Inputs!$K$5:$AJ$130,0,MATCH(Z$2,Inputs!$K$4:$AJ$4,0))))=0,NA(),SUMPRODUCT((Inputs!$A$5:$A$130=$B49)*Inputs!$B$5:$B$130*(((Inputs!$G$5:$G$130="moeda")+(Inputs!$G$5:$G$130="acoes"))*Inputs!$B$1+((Inputs!$G$5:$G$130&lt;&gt;"moeda")*(Inputs!$G$5:$G$130&lt;&gt;"acoes")))*INDEX(Inputs!$K$5:$AJ$130,0,MATCH(Z$2,Inputs!$K$4:$AJ$4,0)))+SUMPRODUCT((Inputs!$C$5:$C$130=$B49)*Inputs!$D$5:$D$130*(((Inputs!$G$5:$G$130="moeda")+(Inputs!$G$5:$G$130="acoes"))*Inputs!$B$1+((Inputs!$G$5:$G$130&lt;&gt;"moeda")*(Inputs!$G$5:$G$130&lt;&gt;"acoes")))*INDEX(Inputs!$K$5:$AJ$130,0,MATCH(Z$2,Inputs!$K$4:$AJ$4,0)))+SUMPRODUCT((Inputs!$E$5:$E$130=$B49)*Inputs!$F$5:$F$130*(((Inputs!$G$5:$G$130="moeda")+(Inputs!$G$5:$G$130="acoes"))*Inputs!$B$1+((Inputs!$G$5:$G$130&lt;&gt;"moeda")*(Inputs!$G$5:$G$130&lt;&gt;"acoes")))*INDEX(Inputs!$K$5:$AJ$130,0,MATCH(Z$2,Inputs!$K$4:$AJ$4,0)))))</f>
        <v>24327</v>
      </c>
      <c r="AA49" s="258" t="e">
        <f>IF(ISNA(MATCH(AA$2,Inputs!$K$4:$AJ$4,0)),NA(),IF(SUMPRODUCT((Inputs!$A$5:$A$130=$B49)*ISNUMBER(INDEX(Inputs!$K$5:$AJ$130,0,MATCH(AA$2,Inputs!$K$4:$AJ$4,0))))+SUMPRODUCT((Inputs!$C$5:$C$130=$B49)*ISNUMBER(INDEX(Inputs!$K$5:$AJ$130,0,MATCH(AA$2,Inputs!$K$4:$AJ$4,0))))+SUMPRODUCT((Inputs!$E$5:$E$130=$B49)*ISNUMBER(INDEX(Inputs!$K$5:$AJ$130,0,MATCH(AA$2,Inputs!$K$4:$AJ$4,0))))=0,NA(),SUMPRODUCT((Inputs!$A$5:$A$130=$B49)*Inputs!$B$5:$B$130*(((Inputs!$G$5:$G$130="moeda")+(Inputs!$G$5:$G$130="acoes"))*Inputs!$B$1+((Inputs!$G$5:$G$130&lt;&gt;"moeda")*(Inputs!$G$5:$G$130&lt;&gt;"acoes")))*INDEX(Inputs!$K$5:$AJ$130,0,MATCH(AA$2,Inputs!$K$4:$AJ$4,0)))+SUMPRODUCT((Inputs!$C$5:$C$130=$B49)*Inputs!$D$5:$D$130*(((Inputs!$G$5:$G$130="moeda")+(Inputs!$G$5:$G$130="acoes"))*Inputs!$B$1+((Inputs!$G$5:$G$130&lt;&gt;"moeda")*(Inputs!$G$5:$G$130&lt;&gt;"acoes")))*INDEX(Inputs!$K$5:$AJ$130,0,MATCH(AA$2,Inputs!$K$4:$AJ$4,0)))+SUMPRODUCT((Inputs!$E$5:$E$130=$B49)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49" s="259" t="n"/>
      <c r="AC49" s="258">
        <f>IF(ISNA(MATCH(AC$2,Inputs!$K$4:$AJ$4,0)),NA(),IF(SUMPRODUCT((Inputs!$A$5:$A$130=$B49)*ISNUMBER(INDEX(Inputs!$K$5:$AJ$130,0,MATCH(AC$2,Inputs!$K$4:$AJ$4,0))))+SUMPRODUCT((Inputs!$C$5:$C$130=$B49)*ISNUMBER(INDEX(Inputs!$K$5:$AJ$130,0,MATCH(AC$2,Inputs!$K$4:$AJ$4,0))))+SUMPRODUCT((Inputs!$E$5:$E$130=$B49)*ISNUMBER(INDEX(Inputs!$K$5:$AJ$130,0,MATCH(AC$2,Inputs!$K$4:$AJ$4,0))))=0,NA(),SUMPRODUCT((Inputs!$A$5:$A$130=$B49)*Inputs!$B$5:$B$130*(((Inputs!$G$5:$G$130="moeda")+(Inputs!$G$5:$G$130="acoes"))*Inputs!$B$1+((Inputs!$G$5:$G$130&lt;&gt;"moeda")*(Inputs!$G$5:$G$130&lt;&gt;"acoes")))*INDEX(Inputs!$K$5:$AJ$130,0,MATCH(AC$2,Inputs!$K$4:$AJ$4,0)))+SUMPRODUCT((Inputs!$C$5:$C$130=$B49)*Inputs!$D$5:$D$130*(((Inputs!$G$5:$G$130="moeda")+(Inputs!$G$5:$G$130="acoes"))*Inputs!$B$1+((Inputs!$G$5:$G$130&lt;&gt;"moeda")*(Inputs!$G$5:$G$130&lt;&gt;"acoes")))*INDEX(Inputs!$K$5:$AJ$130,0,MATCH(AC$2,Inputs!$K$4:$AJ$4,0)))+SUMPRODUCT((Inputs!$E$5:$E$130=$B49)*Inputs!$F$5:$F$130*(((Inputs!$G$5:$G$130="moeda")+(Inputs!$G$5:$G$130="acoes"))*Inputs!$B$1+((Inputs!$G$5:$G$130&lt;&gt;"moeda")*(Inputs!$G$5:$G$130&lt;&gt;"acoes")))*INDEX(Inputs!$K$5:$AJ$130,0,MATCH(AC$2,Inputs!$K$4:$AJ$4,0)))))</f>
        <v>24286</v>
      </c>
      <c r="AD49" s="258">
        <f>IF(ISNA(MATCH(AD$2,Inputs!$K$4:$AJ$4,0)),NA(),IF(SUMPRODUCT((Inputs!$A$5:$A$130=$B49)*ISNUMBER(INDEX(Inputs!$K$5:$AJ$130,0,MATCH(AD$2,Inputs!$K$4:$AJ$4,0))))+SUMPRODUCT((Inputs!$C$5:$C$130=$B49)*ISNUMBER(INDEX(Inputs!$K$5:$AJ$130,0,MATCH(AD$2,Inputs!$K$4:$AJ$4,0))))+SUMPRODUCT((Inputs!$E$5:$E$130=$B49)*ISNUMBER(INDEX(Inputs!$K$5:$AJ$130,0,MATCH(AD$2,Inputs!$K$4:$AJ$4,0))))=0,NA(),SUMPRODUCT((Inputs!$A$5:$A$130=$B49)*Inputs!$B$5:$B$130*(((Inputs!$G$5:$G$130="moeda")+(Inputs!$G$5:$G$130="acoes"))*Inputs!$B$1+((Inputs!$G$5:$G$130&lt;&gt;"moeda")*(Inputs!$G$5:$G$130&lt;&gt;"acoes")))*INDEX(Inputs!$K$5:$AJ$130,0,MATCH(AD$2,Inputs!$K$4:$AJ$4,0)))+SUMPRODUCT((Inputs!$C$5:$C$130=$B49)*Inputs!$D$5:$D$130*(((Inputs!$G$5:$G$130="moeda")+(Inputs!$G$5:$G$130="acoes"))*Inputs!$B$1+((Inputs!$G$5:$G$130&lt;&gt;"moeda")*(Inputs!$G$5:$G$130&lt;&gt;"acoes")))*INDEX(Inputs!$K$5:$AJ$130,0,MATCH(AD$2,Inputs!$K$4:$AJ$4,0)))+SUMPRODUCT((Inputs!$E$5:$E$130=$B49)*Inputs!$F$5:$F$130*(((Inputs!$G$5:$G$130="moeda")+(Inputs!$G$5:$G$130="acoes"))*Inputs!$B$1+((Inputs!$G$5:$G$130&lt;&gt;"moeda")*(Inputs!$G$5:$G$130&lt;&gt;"acoes")))*INDEX(Inputs!$K$5:$AJ$130,0,MATCH(AD$2,Inputs!$K$4:$AJ$4,0)))))</f>
        <v>24190</v>
      </c>
      <c r="AE49" s="258" t="e">
        <f>IF(ISNA(MATCH(AE$2,Inputs!$K$4:$AJ$4,0)),NA(),IF(SUMPRODUCT((Inputs!$A$5:$A$130=$B49)*ISNUMBER(INDEX(Inputs!$K$5:$AJ$130,0,MATCH(AE$2,Inputs!$K$4:$AJ$4,0))))+SUMPRODUCT((Inputs!$C$5:$C$130=$B49)*ISNUMBER(INDEX(Inputs!$K$5:$AJ$130,0,MATCH(AE$2,Inputs!$K$4:$AJ$4,0))))+SUMPRODUCT((Inputs!$E$5:$E$130=$B49)*ISNUMBER(INDEX(Inputs!$K$5:$AJ$130,0,MATCH(AE$2,Inputs!$K$4:$AJ$4,0))))=0,NA(),SUMPRODUCT((Inputs!$A$5:$A$130=$B49)*Inputs!$B$5:$B$130*(((Inputs!$G$5:$G$130="moeda")+(Inputs!$G$5:$G$130="acoes"))*Inputs!$B$1+((Inputs!$G$5:$G$130&lt;&gt;"moeda")*(Inputs!$G$5:$G$130&lt;&gt;"acoes")))*INDEX(Inputs!$K$5:$AJ$130,0,MATCH(AE$2,Inputs!$K$4:$AJ$4,0)))+SUMPRODUCT((Inputs!$C$5:$C$130=$B49)*Inputs!$D$5:$D$130*(((Inputs!$G$5:$G$130="moeda")+(Inputs!$G$5:$G$130="acoes"))*Inputs!$B$1+((Inputs!$G$5:$G$130&lt;&gt;"moeda")*(Inputs!$G$5:$G$130&lt;&gt;"acoes")))*INDEX(Inputs!$K$5:$AJ$130,0,MATCH(AE$2,Inputs!$K$4:$AJ$4,0)))+SUMPRODUCT((Inputs!$E$5:$E$130=$B49)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9" s="258" t="e">
        <f>IF(ISNA(MATCH(AF$2,Inputs!$K$4:$AJ$4,0)),NA(),IF(SUMPRODUCT((Inputs!$A$5:$A$130=$B49)*ISNUMBER(INDEX(Inputs!$K$5:$AJ$130,0,MATCH(AF$2,Inputs!$K$4:$AJ$4,0))))+SUMPRODUCT((Inputs!$C$5:$C$130=$B49)*ISNUMBER(INDEX(Inputs!$K$5:$AJ$130,0,MATCH(AF$2,Inputs!$K$4:$AJ$4,0))))+SUMPRODUCT((Inputs!$E$5:$E$130=$B49)*ISNUMBER(INDEX(Inputs!$K$5:$AJ$130,0,MATCH(AF$2,Inputs!$K$4:$AJ$4,0))))=0,NA(),SUMPRODUCT((Inputs!$A$5:$A$130=$B49)*Inputs!$B$5:$B$130*(((Inputs!$G$5:$G$130="moeda")+(Inputs!$G$5:$G$130="acoes"))*Inputs!$B$1+((Inputs!$G$5:$G$130&lt;&gt;"moeda")*(Inputs!$G$5:$G$130&lt;&gt;"acoes")))*INDEX(Inputs!$K$5:$AJ$130,0,MATCH(AF$2,Inputs!$K$4:$AJ$4,0)))+SUMPRODUCT((Inputs!$C$5:$C$130=$B49)*Inputs!$D$5:$D$130*(((Inputs!$G$5:$G$130="moeda")+(Inputs!$G$5:$G$130="acoes"))*Inputs!$B$1+((Inputs!$G$5:$G$130&lt;&gt;"moeda")*(Inputs!$G$5:$G$130&lt;&gt;"acoes")))*INDEX(Inputs!$K$5:$AJ$130,0,MATCH(AF$2,Inputs!$K$4:$AJ$4,0)))+SUMPRODUCT((Inputs!$E$5:$E$130=$B49)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9" s="259" t="n"/>
      <c r="AH49" s="253">
        <f>IF(ISNA(MATCH(AH$2,Inputs!$K$4:$AJ$4,0)),NA(),IF(SUMPRODUCT((Inputs!$A$5:$A$130=$B49)*ISNUMBER(INDEX(Inputs!$K$5:$AJ$130,0,MATCH(AH$2,Inputs!$K$4:$AJ$4,0))))+SUMPRODUCT((Inputs!$C$5:$C$130=$B49)*ISNUMBER(INDEX(Inputs!$K$5:$AJ$130,0,MATCH(AH$2,Inputs!$K$4:$AJ$4,0))))+SUMPRODUCT((Inputs!$E$5:$E$130=$B49)*ISNUMBER(INDEX(Inputs!$K$5:$AJ$130,0,MATCH(AH$2,Inputs!$K$4:$AJ$4,0))))=0,NA(),SUMPRODUCT((Inputs!$A$5:$A$130=$B49)*Inputs!$B$5:$B$130*(((Inputs!$G$5:$G$130="moeda")+(Inputs!$G$5:$G$130="acoes"))*Inputs!$B$1+((Inputs!$G$5:$G$130&lt;&gt;"moeda")*(Inputs!$G$5:$G$130&lt;&gt;"acoes")))*INDEX(Inputs!$K$5:$AJ$130,0,MATCH(AH$2,Inputs!$K$4:$AJ$4,0)))+SUMPRODUCT((Inputs!$C$5:$C$130=$B49)*Inputs!$D$5:$D$130*(((Inputs!$G$5:$G$130="moeda")+(Inputs!$G$5:$G$130="acoes"))*Inputs!$B$1+((Inputs!$G$5:$G$130&lt;&gt;"moeda")*(Inputs!$G$5:$G$130&lt;&gt;"acoes")))*INDEX(Inputs!$K$5:$AJ$130,0,MATCH(AH$2,Inputs!$K$4:$AJ$4,0)))+SUMPRODUCT((Inputs!$E$5:$E$130=$B49)*Inputs!$F$5:$F$130*(((Inputs!$G$5:$G$130="moeda")+(Inputs!$G$5:$G$130="acoes"))*Inputs!$B$1+((Inputs!$G$5:$G$130&lt;&gt;"moeda")*(Inputs!$G$5:$G$130&lt;&gt;"acoes")))*INDEX(Inputs!$K$5:$AJ$130,0,MATCH(AH$2,Inputs!$K$4:$AJ$4,0)))))</f>
        <v>24560</v>
      </c>
      <c r="AI49" s="253">
        <f>IF(ISNA(MATCH(AI$2,Inputs!$K$4:$AJ$4,0)),NA(),IF(SUMPRODUCT((Inputs!$A$5:$A$130=$B49)*ISNUMBER(INDEX(Inputs!$K$5:$AJ$130,0,MATCH(AI$2,Inputs!$K$4:$AJ$4,0))))+SUMPRODUCT((Inputs!$C$5:$C$130=$B49)*ISNUMBER(INDEX(Inputs!$K$5:$AJ$130,0,MATCH(AI$2,Inputs!$K$4:$AJ$4,0))))+SUMPRODUCT((Inputs!$E$5:$E$130=$B49)*ISNUMBER(INDEX(Inputs!$K$5:$AJ$130,0,MATCH(AI$2,Inputs!$K$4:$AJ$4,0))))=0,NA(),SUMPRODUCT((Inputs!$A$5:$A$130=$B49)*Inputs!$B$5:$B$130*(((Inputs!$G$5:$G$130="moeda")+(Inputs!$G$5:$G$130="acoes"))*Inputs!$B$1+((Inputs!$G$5:$G$130&lt;&gt;"moeda")*(Inputs!$G$5:$G$130&lt;&gt;"acoes")))*INDEX(Inputs!$K$5:$AJ$130,0,MATCH(AI$2,Inputs!$K$4:$AJ$4,0)))+SUMPRODUCT((Inputs!$C$5:$C$130=$B49)*Inputs!$D$5:$D$130*(((Inputs!$G$5:$G$130="moeda")+(Inputs!$G$5:$G$130="acoes"))*Inputs!$B$1+((Inputs!$G$5:$G$130&lt;&gt;"moeda")*(Inputs!$G$5:$G$130&lt;&gt;"acoes")))*INDEX(Inputs!$K$5:$AJ$130,0,MATCH(AI$2,Inputs!$K$4:$AJ$4,0)))+SUMPRODUCT((Inputs!$E$5:$E$130=$B49)*Inputs!$F$5:$F$130*(((Inputs!$G$5:$G$130="moeda")+(Inputs!$G$5:$G$130="acoes"))*Inputs!$B$1+((Inputs!$G$5:$G$130&lt;&gt;"moeda")*(Inputs!$G$5:$G$130&lt;&gt;"acoes")))*INDEX(Inputs!$K$5:$AJ$130,0,MATCH(AI$2,Inputs!$K$4:$AJ$4,0)))))</f>
        <v>24640</v>
      </c>
      <c r="AJ49" s="253">
        <f>IF(ISNA(MATCH(AJ$2,Inputs!$K$4:$AJ$4,0)),NA(),IF(SUMPRODUCT((Inputs!$A$5:$A$130=$B49)*ISNUMBER(INDEX(Inputs!$K$5:$AJ$130,0,MATCH(AJ$2,Inputs!$K$4:$AJ$4,0))))+SUMPRODUCT((Inputs!$C$5:$C$130=$B49)*ISNUMBER(INDEX(Inputs!$K$5:$AJ$130,0,MATCH(AJ$2,Inputs!$K$4:$AJ$4,0))))+SUMPRODUCT((Inputs!$E$5:$E$130=$B49)*ISNUMBER(INDEX(Inputs!$K$5:$AJ$130,0,MATCH(AJ$2,Inputs!$K$4:$AJ$4,0))))=0,NA(),SUMPRODUCT((Inputs!$A$5:$A$130=$B49)*Inputs!$B$5:$B$130*(((Inputs!$G$5:$G$130="moeda")+(Inputs!$G$5:$G$130="acoes"))*Inputs!$B$1+((Inputs!$G$5:$G$130&lt;&gt;"moeda")*(Inputs!$G$5:$G$130&lt;&gt;"acoes")))*INDEX(Inputs!$K$5:$AJ$130,0,MATCH(AJ$2,Inputs!$K$4:$AJ$4,0)))+SUMPRODUCT((Inputs!$C$5:$C$130=$B49)*Inputs!$D$5:$D$130*(((Inputs!$G$5:$G$130="moeda")+(Inputs!$G$5:$G$130="acoes"))*Inputs!$B$1+((Inputs!$G$5:$G$130&lt;&gt;"moeda")*(Inputs!$G$5:$G$130&lt;&gt;"acoes")))*INDEX(Inputs!$K$5:$AJ$130,0,MATCH(AJ$2,Inputs!$K$4:$AJ$4,0)))+SUMPRODUCT((Inputs!$E$5:$E$130=$B49)*Inputs!$F$5:$F$130*(((Inputs!$G$5:$G$130="moeda")+(Inputs!$G$5:$G$130="acoes"))*Inputs!$B$1+((Inputs!$G$5:$G$130&lt;&gt;"moeda")*(Inputs!$G$5:$G$130&lt;&gt;"acoes")))*INDEX(Inputs!$K$5:$AJ$130,0,MATCH(AJ$2,Inputs!$K$4:$AJ$4,0)))))</f>
        <v>24720</v>
      </c>
      <c r="AK49" s="253" t="e">
        <f>IF(ISNA(MATCH(AK$2,Inputs!$K$4:$AJ$4,0)),NA(),IF(SUMPRODUCT((Inputs!$A$5:$A$130=$B49)*ISNUMBER(INDEX(Inputs!$K$5:$AJ$130,0,MATCH(AK$2,Inputs!$K$4:$AJ$4,0))))+SUMPRODUCT((Inputs!$C$5:$C$130=$B49)*ISNUMBER(INDEX(Inputs!$K$5:$AJ$130,0,MATCH(AK$2,Inputs!$K$4:$AJ$4,0))))+SUMPRODUCT((Inputs!$E$5:$E$130=$B49)*ISNUMBER(INDEX(Inputs!$K$5:$AJ$130,0,MATCH(AK$2,Inputs!$K$4:$AJ$4,0))))=0,NA(),SUMPRODUCT((Inputs!$A$5:$A$130=$B49)*Inputs!$B$5:$B$130*(((Inputs!$G$5:$G$130="moeda")+(Inputs!$G$5:$G$130="acoes"))*Inputs!$B$1+((Inputs!$G$5:$G$130&lt;&gt;"moeda")*(Inputs!$G$5:$G$130&lt;&gt;"acoes")))*INDEX(Inputs!$K$5:$AJ$130,0,MATCH(AK$2,Inputs!$K$4:$AJ$4,0)))+SUMPRODUCT((Inputs!$C$5:$C$130=$B49)*Inputs!$D$5:$D$130*(((Inputs!$G$5:$G$130="moeda")+(Inputs!$G$5:$G$130="acoes"))*Inputs!$B$1+((Inputs!$G$5:$G$130&lt;&gt;"moeda")*(Inputs!$G$5:$G$130&lt;&gt;"acoes")))*INDEX(Inputs!$K$5:$AJ$130,0,MATCH(AK$2,Inputs!$K$4:$AJ$4,0)))+SUMPRODUCT((Inputs!$E$5:$E$130=$B49)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49" s="253" t="n"/>
    </row>
    <row r="50">
      <c r="B50" s="46" t="n">
        <v>44</v>
      </c>
      <c r="C50" s="24" t="inlineStr">
        <is>
          <t>Net income reported (SEC) - memo p/ check IS [Model linha 4]</t>
        </is>
      </c>
      <c r="D50" s="6">
        <f>IF(ISNA(MATCH(D$2,Inputs!$K$4:$AJ$4,0)),NA(),IF(SUMPRODUCT((Inputs!$A$5:$A$130=$B50)*ISNUMBER(INDEX(Inputs!$K$5:$AJ$130,0,MATCH(D$2,Inputs!$K$4:$AJ$4,0))))+SUMPRODUCT((Inputs!$C$5:$C$130=$B50)*ISNUMBER(INDEX(Inputs!$K$5:$AJ$130,0,MATCH(D$2,Inputs!$K$4:$AJ$4,0))))+SUMPRODUCT((Inputs!$E$5:$E$130=$B50)*ISNUMBER(INDEX(Inputs!$K$5:$AJ$130,0,MATCH(D$2,Inputs!$K$4:$AJ$4,0))))=0,NA(),SUMPRODUCT((Inputs!$A$5:$A$130=$B50)*Inputs!$B$5:$B$130*(((Inputs!$G$5:$G$130="moeda")+(Inputs!$G$5:$G$130="acoes"))*Inputs!$B$1+((Inputs!$G$5:$G$130&lt;&gt;"moeda")*(Inputs!$G$5:$G$130&lt;&gt;"acoes")))*INDEX(Inputs!$K$5:$AJ$130,0,MATCH(D$2,Inputs!$K$4:$AJ$4,0)))+SUMPRODUCT((Inputs!$C$5:$C$130=$B50)*Inputs!$D$5:$D$130*(((Inputs!$G$5:$G$130="moeda")+(Inputs!$G$5:$G$130="acoes"))*Inputs!$B$1+((Inputs!$G$5:$G$130&lt;&gt;"moeda")*(Inputs!$G$5:$G$130&lt;&gt;"acoes")))*INDEX(Inputs!$K$5:$AJ$130,0,MATCH(D$2,Inputs!$K$4:$AJ$4,0)))+SUMPRODUCT((Inputs!$E$5:$E$130=$B50)*Inputs!$F$5:$F$130*(((Inputs!$G$5:$G$130="moeda")+(Inputs!$G$5:$G$130="acoes"))*Inputs!$B$1+((Inputs!$G$5:$G$130&lt;&gt;"moeda")*(Inputs!$G$5:$G$130&lt;&gt;"acoes")))*INDEX(Inputs!$K$5:$AJ$130,0,MATCH(D$2,Inputs!$K$4:$AJ$4,0)))))</f>
        <v>1912</v>
      </c>
      <c r="E50" s="6">
        <f>IF(ISNA(MATCH(E$2,Inputs!$K$4:$AJ$4,0)),NA(),IF(SUMPRODUCT((Inputs!$A$5:$A$130=$B50)*ISNUMBER(INDEX(Inputs!$K$5:$AJ$130,0,MATCH(E$2,Inputs!$K$4:$AJ$4,0))))+SUMPRODUCT((Inputs!$C$5:$C$130=$B50)*ISNUMBER(INDEX(Inputs!$K$5:$AJ$130,0,MATCH(E$2,Inputs!$K$4:$AJ$4,0))))+SUMPRODUCT((Inputs!$E$5:$E$130=$B50)*ISNUMBER(INDEX(Inputs!$K$5:$AJ$130,0,MATCH(E$2,Inputs!$K$4:$AJ$4,0))))=0,NA(),SUMPRODUCT((Inputs!$A$5:$A$130=$B50)*Inputs!$B$5:$B$130*(((Inputs!$G$5:$G$130="moeda")+(Inputs!$G$5:$G$130="acoes"))*Inputs!$B$1+((Inputs!$G$5:$G$130&lt;&gt;"moeda")*(Inputs!$G$5:$G$130&lt;&gt;"acoes")))*INDEX(Inputs!$K$5:$AJ$130,0,MATCH(E$2,Inputs!$K$4:$AJ$4,0)))+SUMPRODUCT((Inputs!$C$5:$C$130=$B50)*Inputs!$D$5:$D$130*(((Inputs!$G$5:$G$130="moeda")+(Inputs!$G$5:$G$130="acoes"))*Inputs!$B$1+((Inputs!$G$5:$G$130&lt;&gt;"moeda")*(Inputs!$G$5:$G$130&lt;&gt;"acoes")))*INDEX(Inputs!$K$5:$AJ$130,0,MATCH(E$2,Inputs!$K$4:$AJ$4,0)))+SUMPRODUCT((Inputs!$E$5:$E$130=$B50)*Inputs!$F$5:$F$130*(((Inputs!$G$5:$G$130="moeda")+(Inputs!$G$5:$G$130="acoes"))*Inputs!$B$1+((Inputs!$G$5:$G$130&lt;&gt;"moeda")*(Inputs!$G$5:$G$130&lt;&gt;"acoes")))*INDEX(Inputs!$K$5:$AJ$130,0,MATCH(E$2,Inputs!$K$4:$AJ$4,0)))))</f>
        <v>2374</v>
      </c>
      <c r="F50" s="6">
        <f>IF(ISNA(MATCH(F$2,Inputs!$K$4:$AJ$4,0)),NA(),IF(SUMPRODUCT((Inputs!$A$5:$A$130=$B50)*ISNUMBER(INDEX(Inputs!$K$5:$AJ$130,0,MATCH(F$2,Inputs!$K$4:$AJ$4,0))))+SUMPRODUCT((Inputs!$C$5:$C$130=$B50)*ISNUMBER(INDEX(Inputs!$K$5:$AJ$130,0,MATCH(F$2,Inputs!$K$4:$AJ$4,0))))+SUMPRODUCT((Inputs!$E$5:$E$130=$B50)*ISNUMBER(INDEX(Inputs!$K$5:$AJ$130,0,MATCH(F$2,Inputs!$K$4:$AJ$4,0))))=0,NA(),SUMPRODUCT((Inputs!$A$5:$A$130=$B50)*Inputs!$B$5:$B$130*(((Inputs!$G$5:$G$130="moeda")+(Inputs!$G$5:$G$130="acoes"))*Inputs!$B$1+((Inputs!$G$5:$G$130&lt;&gt;"moeda")*(Inputs!$G$5:$G$130&lt;&gt;"acoes")))*INDEX(Inputs!$K$5:$AJ$130,0,MATCH(F$2,Inputs!$K$4:$AJ$4,0)))+SUMPRODUCT((Inputs!$C$5:$C$130=$B50)*Inputs!$D$5:$D$130*(((Inputs!$G$5:$G$130="moeda")+(Inputs!$G$5:$G$130="acoes"))*Inputs!$B$1+((Inputs!$G$5:$G$130&lt;&gt;"moeda")*(Inputs!$G$5:$G$130&lt;&gt;"acoes")))*INDEX(Inputs!$K$5:$AJ$130,0,MATCH(F$2,Inputs!$K$4:$AJ$4,0)))+SUMPRODUCT((Inputs!$E$5:$E$130=$B50)*Inputs!$F$5:$F$130*(((Inputs!$G$5:$G$130="moeda")+(Inputs!$G$5:$G$130="acoes"))*Inputs!$B$1+((Inputs!$G$5:$G$130&lt;&gt;"moeda")*(Inputs!$G$5:$G$130&lt;&gt;"acoes")))*INDEX(Inputs!$K$5:$AJ$130,0,MATCH(F$2,Inputs!$K$4:$AJ$4,0)))))</f>
        <v>2464</v>
      </c>
      <c r="G50" s="6">
        <f>IF(ISNA(MATCH(G$2,Inputs!$K$4:$AJ$4,0)),NA(),IF(SUMPRODUCT((Inputs!$A$5:$A$130=$B50)*ISNUMBER(INDEX(Inputs!$K$5:$AJ$130,0,MATCH(G$2,Inputs!$K$4:$AJ$4,0))))+SUMPRODUCT((Inputs!$C$5:$C$130=$B50)*ISNUMBER(INDEX(Inputs!$K$5:$AJ$130,0,MATCH(G$2,Inputs!$K$4:$AJ$4,0))))+SUMPRODUCT((Inputs!$E$5:$E$130=$B50)*ISNUMBER(INDEX(Inputs!$K$5:$AJ$130,0,MATCH(G$2,Inputs!$K$4:$AJ$4,0))))=0,NA(),SUMPRODUCT((Inputs!$A$5:$A$130=$B50)*Inputs!$B$5:$B$130*(((Inputs!$G$5:$G$130="moeda")+(Inputs!$G$5:$G$130="acoes"))*Inputs!$B$1+((Inputs!$G$5:$G$130&lt;&gt;"moeda")*(Inputs!$G$5:$G$130&lt;&gt;"acoes")))*INDEX(Inputs!$K$5:$AJ$130,0,MATCH(G$2,Inputs!$K$4:$AJ$4,0)))+SUMPRODUCT((Inputs!$C$5:$C$130=$B50)*Inputs!$D$5:$D$130*(((Inputs!$G$5:$G$130="moeda")+(Inputs!$G$5:$G$130="acoes"))*Inputs!$B$1+((Inputs!$G$5:$G$130&lt;&gt;"moeda")*(Inputs!$G$5:$G$130&lt;&gt;"acoes")))*INDEX(Inputs!$K$5:$AJ$130,0,MATCH(G$2,Inputs!$K$4:$AJ$4,0)))+SUMPRODUCT((Inputs!$E$5:$E$130=$B50)*Inputs!$F$5:$F$130*(((Inputs!$G$5:$G$130="moeda")+(Inputs!$G$5:$G$130="acoes"))*Inputs!$B$1+((Inputs!$G$5:$G$130&lt;&gt;"moeda")*(Inputs!$G$5:$G$130&lt;&gt;"acoes")))*INDEX(Inputs!$K$5:$AJ$130,0,MATCH(G$2,Inputs!$K$4:$AJ$4,0)))))</f>
        <v>3002</v>
      </c>
      <c r="H50" s="3">
        <f>SUM(D50:G50)</f>
        <v>9752</v>
      </c>
      <c r="I50" s="6">
        <f>IF(ISNA(MATCH(I$2,Inputs!$K$4:$AJ$4,0)),NA(),IF(SUMPRODUCT((Inputs!$A$5:$A$130=$B50)*ISNUMBER(INDEX(Inputs!$K$5:$AJ$130,0,MATCH(I$2,Inputs!$K$4:$AJ$4,0))))+SUMPRODUCT((Inputs!$C$5:$C$130=$B50)*ISNUMBER(INDEX(Inputs!$K$5:$AJ$130,0,MATCH(I$2,Inputs!$K$4:$AJ$4,0))))+SUMPRODUCT((Inputs!$E$5:$E$130=$B50)*ISNUMBER(INDEX(Inputs!$K$5:$AJ$130,0,MATCH(I$2,Inputs!$K$4:$AJ$4,0))))=0,NA(),SUMPRODUCT((Inputs!$A$5:$A$130=$B50)*Inputs!$B$5:$B$130*(((Inputs!$G$5:$G$130="moeda")+(Inputs!$G$5:$G$130="acoes"))*Inputs!$B$1+((Inputs!$G$5:$G$130&lt;&gt;"moeda")*(Inputs!$G$5:$G$130&lt;&gt;"acoes")))*INDEX(Inputs!$K$5:$AJ$130,0,MATCH(I$2,Inputs!$K$4:$AJ$4,0)))+SUMPRODUCT((Inputs!$C$5:$C$130=$B50)*Inputs!$D$5:$D$130*(((Inputs!$G$5:$G$130="moeda")+(Inputs!$G$5:$G$130="acoes"))*Inputs!$B$1+((Inputs!$G$5:$G$130&lt;&gt;"moeda")*(Inputs!$G$5:$G$130&lt;&gt;"acoes")))*INDEX(Inputs!$K$5:$AJ$130,0,MATCH(I$2,Inputs!$K$4:$AJ$4,0)))+SUMPRODUCT((Inputs!$E$5:$E$130=$B50)*Inputs!$F$5:$F$130*(((Inputs!$G$5:$G$130="moeda")+(Inputs!$G$5:$G$130="acoes"))*Inputs!$B$1+((Inputs!$G$5:$G$130&lt;&gt;"moeda")*(Inputs!$G$5:$G$130&lt;&gt;"acoes")))*INDEX(Inputs!$K$5:$AJ$130,0,MATCH(I$2,Inputs!$K$4:$AJ$4,0)))))</f>
        <v>1618</v>
      </c>
      <c r="J50" s="6">
        <f>IF(ISNA(MATCH(J$2,Inputs!$K$4:$AJ$4,0)),NA(),IF(SUMPRODUCT((Inputs!$A$5:$A$130=$B50)*ISNUMBER(INDEX(Inputs!$K$5:$AJ$130,0,MATCH(J$2,Inputs!$K$4:$AJ$4,0))))+SUMPRODUCT((Inputs!$C$5:$C$130=$B50)*ISNUMBER(INDEX(Inputs!$K$5:$AJ$130,0,MATCH(J$2,Inputs!$K$4:$AJ$4,0))))+SUMPRODUCT((Inputs!$E$5:$E$130=$B50)*ISNUMBER(INDEX(Inputs!$K$5:$AJ$130,0,MATCH(J$2,Inputs!$K$4:$AJ$4,0))))=0,NA(),SUMPRODUCT((Inputs!$A$5:$A$130=$B50)*Inputs!$B$5:$B$130*(((Inputs!$G$5:$G$130="moeda")+(Inputs!$G$5:$G$130="acoes"))*Inputs!$B$1+((Inputs!$G$5:$G$130&lt;&gt;"moeda")*(Inputs!$G$5:$G$130&lt;&gt;"acoes")))*INDEX(Inputs!$K$5:$AJ$130,0,MATCH(J$2,Inputs!$K$4:$AJ$4,0)))+SUMPRODUCT((Inputs!$C$5:$C$130=$B50)*Inputs!$D$5:$D$130*(((Inputs!$G$5:$G$130="moeda")+(Inputs!$G$5:$G$130="acoes"))*Inputs!$B$1+((Inputs!$G$5:$G$130&lt;&gt;"moeda")*(Inputs!$G$5:$G$130&lt;&gt;"acoes")))*INDEX(Inputs!$K$5:$AJ$130,0,MATCH(J$2,Inputs!$K$4:$AJ$4,0)))+SUMPRODUCT((Inputs!$E$5:$E$130=$B50)*Inputs!$F$5:$F$130*(((Inputs!$G$5:$G$130="moeda")+(Inputs!$G$5:$G$130="acoes"))*Inputs!$B$1+((Inputs!$G$5:$G$130&lt;&gt;"moeda")*(Inputs!$G$5:$G$130&lt;&gt;"acoes")))*INDEX(Inputs!$K$5:$AJ$130,0,MATCH(J$2,Inputs!$K$4:$AJ$4,0)))))</f>
        <v>656</v>
      </c>
      <c r="K50" s="6">
        <f>IF(ISNA(MATCH(K$2,Inputs!$K$4:$AJ$4,0)),NA(),IF(SUMPRODUCT((Inputs!$A$5:$A$130=$B50)*ISNUMBER(INDEX(Inputs!$K$5:$AJ$130,0,MATCH(K$2,Inputs!$K$4:$AJ$4,0))))+SUMPRODUCT((Inputs!$C$5:$C$130=$B50)*ISNUMBER(INDEX(Inputs!$K$5:$AJ$130,0,MATCH(K$2,Inputs!$K$4:$AJ$4,0))))+SUMPRODUCT((Inputs!$E$5:$E$130=$B50)*ISNUMBER(INDEX(Inputs!$K$5:$AJ$130,0,MATCH(K$2,Inputs!$K$4:$AJ$4,0))))=0,NA(),SUMPRODUCT((Inputs!$A$5:$A$130=$B50)*Inputs!$B$5:$B$130*(((Inputs!$G$5:$G$130="moeda")+(Inputs!$G$5:$G$130="acoes"))*Inputs!$B$1+((Inputs!$G$5:$G$130&lt;&gt;"moeda")*(Inputs!$G$5:$G$130&lt;&gt;"acoes")))*INDEX(Inputs!$K$5:$AJ$130,0,MATCH(K$2,Inputs!$K$4:$AJ$4,0)))+SUMPRODUCT((Inputs!$C$5:$C$130=$B50)*Inputs!$D$5:$D$130*(((Inputs!$G$5:$G$130="moeda")+(Inputs!$G$5:$G$130="acoes"))*Inputs!$B$1+((Inputs!$G$5:$G$130&lt;&gt;"moeda")*(Inputs!$G$5:$G$130&lt;&gt;"acoes")))*INDEX(Inputs!$K$5:$AJ$130,0,MATCH(K$2,Inputs!$K$4:$AJ$4,0)))+SUMPRODUCT((Inputs!$E$5:$E$130=$B50)*Inputs!$F$5:$F$130*(((Inputs!$G$5:$G$130="moeda")+(Inputs!$G$5:$G$130="acoes"))*Inputs!$B$1+((Inputs!$G$5:$G$130&lt;&gt;"moeda")*(Inputs!$G$5:$G$130&lt;&gt;"acoes")))*INDEX(Inputs!$K$5:$AJ$130,0,MATCH(K$2,Inputs!$K$4:$AJ$4,0)))))</f>
        <v>680</v>
      </c>
      <c r="L50" s="6">
        <f>IF(ISNA(MATCH(L$2,Inputs!$K$4:$AJ$4,0)),NA(),IF(SUMPRODUCT((Inputs!$A$5:$A$130=$B50)*ISNUMBER(INDEX(Inputs!$K$5:$AJ$130,0,MATCH(L$2,Inputs!$K$4:$AJ$4,0))))+SUMPRODUCT((Inputs!$C$5:$C$130=$B50)*ISNUMBER(INDEX(Inputs!$K$5:$AJ$130,0,MATCH(L$2,Inputs!$K$4:$AJ$4,0))))+SUMPRODUCT((Inputs!$E$5:$E$130=$B50)*ISNUMBER(INDEX(Inputs!$K$5:$AJ$130,0,MATCH(L$2,Inputs!$K$4:$AJ$4,0))))=0,NA(),SUMPRODUCT((Inputs!$A$5:$A$130=$B50)*Inputs!$B$5:$B$130*(((Inputs!$G$5:$G$130="moeda")+(Inputs!$G$5:$G$130="acoes"))*Inputs!$B$1+((Inputs!$G$5:$G$130&lt;&gt;"moeda")*(Inputs!$G$5:$G$130&lt;&gt;"acoes")))*INDEX(Inputs!$K$5:$AJ$130,0,MATCH(L$2,Inputs!$K$4:$AJ$4,0)))+SUMPRODUCT((Inputs!$C$5:$C$130=$B50)*Inputs!$D$5:$D$130*(((Inputs!$G$5:$G$130="moeda")+(Inputs!$G$5:$G$130="acoes"))*Inputs!$B$1+((Inputs!$G$5:$G$130&lt;&gt;"moeda")*(Inputs!$G$5:$G$130&lt;&gt;"acoes")))*INDEX(Inputs!$K$5:$AJ$130,0,MATCH(L$2,Inputs!$K$4:$AJ$4,0)))+SUMPRODUCT((Inputs!$E$5:$E$130=$B50)*Inputs!$F$5:$F$130*(((Inputs!$G$5:$G$130="moeda")+(Inputs!$G$5:$G$130="acoes"))*Inputs!$B$1+((Inputs!$G$5:$G$130&lt;&gt;"moeda")*(Inputs!$G$5:$G$130&lt;&gt;"acoes")))*INDEX(Inputs!$K$5:$AJ$130,0,MATCH(L$2,Inputs!$K$4:$AJ$4,0)))))</f>
        <v>1414</v>
      </c>
      <c r="M50" s="3">
        <f>SUM(I50:L50)</f>
        <v>4368</v>
      </c>
      <c r="N50" s="6">
        <f>IF(ISNA(MATCH(N$2,Inputs!$K$4:$AJ$4,0)),NA(),IF(SUMPRODUCT((Inputs!$A$5:$A$130=$B50)*ISNUMBER(INDEX(Inputs!$K$5:$AJ$130,0,MATCH(N$2,Inputs!$K$4:$AJ$4,0))))+SUMPRODUCT((Inputs!$C$5:$C$130=$B50)*ISNUMBER(INDEX(Inputs!$K$5:$AJ$130,0,MATCH(N$2,Inputs!$K$4:$AJ$4,0))))+SUMPRODUCT((Inputs!$E$5:$E$130=$B50)*ISNUMBER(INDEX(Inputs!$K$5:$AJ$130,0,MATCH(N$2,Inputs!$K$4:$AJ$4,0))))=0,NA(),SUMPRODUCT((Inputs!$A$5:$A$130=$B50)*Inputs!$B$5:$B$130*(((Inputs!$G$5:$G$130="moeda")+(Inputs!$G$5:$G$130="acoes"))*Inputs!$B$1+((Inputs!$G$5:$G$130&lt;&gt;"moeda")*(Inputs!$G$5:$G$130&lt;&gt;"acoes")))*INDEX(Inputs!$K$5:$AJ$130,0,MATCH(N$2,Inputs!$K$4:$AJ$4,0)))+SUMPRODUCT((Inputs!$C$5:$C$130=$B50)*Inputs!$D$5:$D$130*(((Inputs!$G$5:$G$130="moeda")+(Inputs!$G$5:$G$130="acoes"))*Inputs!$B$1+((Inputs!$G$5:$G$130&lt;&gt;"moeda")*(Inputs!$G$5:$G$130&lt;&gt;"acoes")))*INDEX(Inputs!$K$5:$AJ$130,0,MATCH(N$2,Inputs!$K$4:$AJ$4,0)))+SUMPRODUCT((Inputs!$E$5:$E$130=$B50)*Inputs!$F$5:$F$130*(((Inputs!$G$5:$G$130="moeda")+(Inputs!$G$5:$G$130="acoes"))*Inputs!$B$1+((Inputs!$G$5:$G$130&lt;&gt;"moeda")*(Inputs!$G$5:$G$130&lt;&gt;"acoes")))*INDEX(Inputs!$K$5:$AJ$130,0,MATCH(N$2,Inputs!$K$4:$AJ$4,0)))))</f>
        <v>2043</v>
      </c>
      <c r="O50" s="6">
        <f>IF(ISNA(MATCH(O$2,Inputs!$K$4:$AJ$4,0)),NA(),IF(SUMPRODUCT((Inputs!$A$5:$A$130=$B50)*ISNUMBER(INDEX(Inputs!$K$5:$AJ$130,0,MATCH(O$2,Inputs!$K$4:$AJ$4,0))))+SUMPRODUCT((Inputs!$C$5:$C$130=$B50)*ISNUMBER(INDEX(Inputs!$K$5:$AJ$130,0,MATCH(O$2,Inputs!$K$4:$AJ$4,0))))+SUMPRODUCT((Inputs!$E$5:$E$130=$B50)*ISNUMBER(INDEX(Inputs!$K$5:$AJ$130,0,MATCH(O$2,Inputs!$K$4:$AJ$4,0))))=0,NA(),SUMPRODUCT((Inputs!$A$5:$A$130=$B50)*Inputs!$B$5:$B$130*(((Inputs!$G$5:$G$130="moeda")+(Inputs!$G$5:$G$130="acoes"))*Inputs!$B$1+((Inputs!$G$5:$G$130&lt;&gt;"moeda")*(Inputs!$G$5:$G$130&lt;&gt;"acoes")))*INDEX(Inputs!$K$5:$AJ$130,0,MATCH(O$2,Inputs!$K$4:$AJ$4,0)))+SUMPRODUCT((Inputs!$C$5:$C$130=$B50)*Inputs!$D$5:$D$130*(((Inputs!$G$5:$G$130="moeda")+(Inputs!$G$5:$G$130="acoes"))*Inputs!$B$1+((Inputs!$G$5:$G$130&lt;&gt;"moeda")*(Inputs!$G$5:$G$130&lt;&gt;"acoes")))*INDEX(Inputs!$K$5:$AJ$130,0,MATCH(O$2,Inputs!$K$4:$AJ$4,0)))+SUMPRODUCT((Inputs!$E$5:$E$130=$B50)*Inputs!$F$5:$F$130*(((Inputs!$G$5:$G$130="moeda")+(Inputs!$G$5:$G$130="acoes"))*Inputs!$B$1+((Inputs!$G$5:$G$130&lt;&gt;"moeda")*(Inputs!$G$5:$G$130&lt;&gt;"acoes")))*INDEX(Inputs!$K$5:$AJ$130,0,MATCH(O$2,Inputs!$K$4:$AJ$4,0)))))</f>
        <v>6188</v>
      </c>
      <c r="P50" s="6">
        <f>IF(ISNA(MATCH(P$2,Inputs!$K$4:$AJ$4,0)),NA(),IF(SUMPRODUCT((Inputs!$A$5:$A$130=$B50)*ISNUMBER(INDEX(Inputs!$K$5:$AJ$130,0,MATCH(P$2,Inputs!$K$4:$AJ$4,0))))+SUMPRODUCT((Inputs!$C$5:$C$130=$B50)*ISNUMBER(INDEX(Inputs!$K$5:$AJ$130,0,MATCH(P$2,Inputs!$K$4:$AJ$4,0))))+SUMPRODUCT((Inputs!$E$5:$E$130=$B50)*ISNUMBER(INDEX(Inputs!$K$5:$AJ$130,0,MATCH(P$2,Inputs!$K$4:$AJ$4,0))))=0,NA(),SUMPRODUCT((Inputs!$A$5:$A$130=$B50)*Inputs!$B$5:$B$130*(((Inputs!$G$5:$G$130="moeda")+(Inputs!$G$5:$G$130="acoes"))*Inputs!$B$1+((Inputs!$G$5:$G$130&lt;&gt;"moeda")*(Inputs!$G$5:$G$130&lt;&gt;"acoes")))*INDEX(Inputs!$K$5:$AJ$130,0,MATCH(P$2,Inputs!$K$4:$AJ$4,0)))+SUMPRODUCT((Inputs!$C$5:$C$130=$B50)*Inputs!$D$5:$D$130*(((Inputs!$G$5:$G$130="moeda")+(Inputs!$G$5:$G$130="acoes"))*Inputs!$B$1+((Inputs!$G$5:$G$130&lt;&gt;"moeda")*(Inputs!$G$5:$G$130&lt;&gt;"acoes")))*INDEX(Inputs!$K$5:$AJ$130,0,MATCH(P$2,Inputs!$K$4:$AJ$4,0)))+SUMPRODUCT((Inputs!$E$5:$E$130=$B50)*Inputs!$F$5:$F$130*(((Inputs!$G$5:$G$130="moeda")+(Inputs!$G$5:$G$130="acoes"))*Inputs!$B$1+((Inputs!$G$5:$G$130&lt;&gt;"moeda")*(Inputs!$G$5:$G$130&lt;&gt;"acoes")))*INDEX(Inputs!$K$5:$AJ$130,0,MATCH(P$2,Inputs!$K$4:$AJ$4,0)))))</f>
        <v>9243</v>
      </c>
      <c r="Q50" s="6">
        <f>IF(ISNA(MATCH(Q$2,Inputs!$K$4:$AJ$4,0)),NA(),IF(SUMPRODUCT((Inputs!$A$5:$A$130=$B50)*ISNUMBER(INDEX(Inputs!$K$5:$AJ$130,0,MATCH(Q$2,Inputs!$K$4:$AJ$4,0))))+SUMPRODUCT((Inputs!$C$5:$C$130=$B50)*ISNUMBER(INDEX(Inputs!$K$5:$AJ$130,0,MATCH(Q$2,Inputs!$K$4:$AJ$4,0))))+SUMPRODUCT((Inputs!$E$5:$E$130=$B50)*ISNUMBER(INDEX(Inputs!$K$5:$AJ$130,0,MATCH(Q$2,Inputs!$K$4:$AJ$4,0))))=0,NA(),SUMPRODUCT((Inputs!$A$5:$A$130=$B50)*Inputs!$B$5:$B$130*(((Inputs!$G$5:$G$130="moeda")+(Inputs!$G$5:$G$130="acoes"))*Inputs!$B$1+((Inputs!$G$5:$G$130&lt;&gt;"moeda")*(Inputs!$G$5:$G$130&lt;&gt;"acoes")))*INDEX(Inputs!$K$5:$AJ$130,0,MATCH(Q$2,Inputs!$K$4:$AJ$4,0)))+SUMPRODUCT((Inputs!$C$5:$C$130=$B50)*Inputs!$D$5:$D$130*(((Inputs!$G$5:$G$130="moeda")+(Inputs!$G$5:$G$130="acoes"))*Inputs!$B$1+((Inputs!$G$5:$G$130&lt;&gt;"moeda")*(Inputs!$G$5:$G$130&lt;&gt;"acoes")))*INDEX(Inputs!$K$5:$AJ$130,0,MATCH(Q$2,Inputs!$K$4:$AJ$4,0)))+SUMPRODUCT((Inputs!$E$5:$E$130=$B50)*Inputs!$F$5:$F$130*(((Inputs!$G$5:$G$130="moeda")+(Inputs!$G$5:$G$130="acoes"))*Inputs!$B$1+((Inputs!$G$5:$G$130&lt;&gt;"moeda")*(Inputs!$G$5:$G$130&lt;&gt;"acoes")))*INDEX(Inputs!$K$5:$AJ$130,0,MATCH(Q$2,Inputs!$K$4:$AJ$4,0)))))</f>
        <v>12286</v>
      </c>
      <c r="R50" s="3">
        <f>SUM(N50:Q50)</f>
        <v>29760</v>
      </c>
      <c r="S50" s="6">
        <f>IF(ISNA(MATCH(S$2,Inputs!$K$4:$AJ$4,0)),NA(),IF(SUMPRODUCT((Inputs!$A$5:$A$130=$B50)*ISNUMBER(INDEX(Inputs!$K$5:$AJ$130,0,MATCH(S$2,Inputs!$K$4:$AJ$4,0))))+SUMPRODUCT((Inputs!$C$5:$C$130=$B50)*ISNUMBER(INDEX(Inputs!$K$5:$AJ$130,0,MATCH(S$2,Inputs!$K$4:$AJ$4,0))))+SUMPRODUCT((Inputs!$E$5:$E$130=$B50)*ISNUMBER(INDEX(Inputs!$K$5:$AJ$130,0,MATCH(S$2,Inputs!$K$4:$AJ$4,0))))=0,NA(),SUMPRODUCT((Inputs!$A$5:$A$130=$B50)*Inputs!$B$5:$B$130*(((Inputs!$G$5:$G$130="moeda")+(Inputs!$G$5:$G$130="acoes"))*Inputs!$B$1+((Inputs!$G$5:$G$130&lt;&gt;"moeda")*(Inputs!$G$5:$G$130&lt;&gt;"acoes")))*INDEX(Inputs!$K$5:$AJ$130,0,MATCH(S$2,Inputs!$K$4:$AJ$4,0)))+SUMPRODUCT((Inputs!$C$5:$C$130=$B50)*Inputs!$D$5:$D$130*(((Inputs!$G$5:$G$130="moeda")+(Inputs!$G$5:$G$130="acoes"))*Inputs!$B$1+((Inputs!$G$5:$G$130&lt;&gt;"moeda")*(Inputs!$G$5:$G$130&lt;&gt;"acoes")))*INDEX(Inputs!$K$5:$AJ$130,0,MATCH(S$2,Inputs!$K$4:$AJ$4,0)))+SUMPRODUCT((Inputs!$E$5:$E$130=$B50)*Inputs!$F$5:$F$130*(((Inputs!$G$5:$G$130="moeda")+(Inputs!$G$5:$G$130="acoes"))*Inputs!$B$1+((Inputs!$G$5:$G$130&lt;&gt;"moeda")*(Inputs!$G$5:$G$130&lt;&gt;"acoes")))*INDEX(Inputs!$K$5:$AJ$130,0,MATCH(S$2,Inputs!$K$4:$AJ$4,0)))))</f>
        <v>14881</v>
      </c>
      <c r="T50" s="6">
        <f>IF(ISNA(MATCH(T$2,Inputs!$K$4:$AJ$4,0)),NA(),IF(SUMPRODUCT((Inputs!$A$5:$A$130=$B50)*ISNUMBER(INDEX(Inputs!$K$5:$AJ$130,0,MATCH(T$2,Inputs!$K$4:$AJ$4,0))))+SUMPRODUCT((Inputs!$C$5:$C$130=$B50)*ISNUMBER(INDEX(Inputs!$K$5:$AJ$130,0,MATCH(T$2,Inputs!$K$4:$AJ$4,0))))+SUMPRODUCT((Inputs!$E$5:$E$130=$B50)*ISNUMBER(INDEX(Inputs!$K$5:$AJ$130,0,MATCH(T$2,Inputs!$K$4:$AJ$4,0))))=0,NA(),SUMPRODUCT((Inputs!$A$5:$A$130=$B50)*Inputs!$B$5:$B$130*(((Inputs!$G$5:$G$130="moeda")+(Inputs!$G$5:$G$130="acoes"))*Inputs!$B$1+((Inputs!$G$5:$G$130&lt;&gt;"moeda")*(Inputs!$G$5:$G$130&lt;&gt;"acoes")))*INDEX(Inputs!$K$5:$AJ$130,0,MATCH(T$2,Inputs!$K$4:$AJ$4,0)))+SUMPRODUCT((Inputs!$C$5:$C$130=$B50)*Inputs!$D$5:$D$130*(((Inputs!$G$5:$G$130="moeda")+(Inputs!$G$5:$G$130="acoes"))*Inputs!$B$1+((Inputs!$G$5:$G$130&lt;&gt;"moeda")*(Inputs!$G$5:$G$130&lt;&gt;"acoes")))*INDEX(Inputs!$K$5:$AJ$130,0,MATCH(T$2,Inputs!$K$4:$AJ$4,0)))+SUMPRODUCT((Inputs!$E$5:$E$130=$B50)*Inputs!$F$5:$F$130*(((Inputs!$G$5:$G$130="moeda")+(Inputs!$G$5:$G$130="acoes"))*Inputs!$B$1+((Inputs!$G$5:$G$130&lt;&gt;"moeda")*(Inputs!$G$5:$G$130&lt;&gt;"acoes")))*INDEX(Inputs!$K$5:$AJ$130,0,MATCH(T$2,Inputs!$K$4:$AJ$4,0)))))</f>
        <v>16599</v>
      </c>
      <c r="U50" s="6">
        <f>IF(ISNA(MATCH(U$2,Inputs!$K$4:$AJ$4,0)),NA(),IF(SUMPRODUCT((Inputs!$A$5:$A$130=$B50)*ISNUMBER(INDEX(Inputs!$K$5:$AJ$130,0,MATCH(U$2,Inputs!$K$4:$AJ$4,0))))+SUMPRODUCT((Inputs!$C$5:$C$130=$B50)*ISNUMBER(INDEX(Inputs!$K$5:$AJ$130,0,MATCH(U$2,Inputs!$K$4:$AJ$4,0))))+SUMPRODUCT((Inputs!$E$5:$E$130=$B50)*ISNUMBER(INDEX(Inputs!$K$5:$AJ$130,0,MATCH(U$2,Inputs!$K$4:$AJ$4,0))))=0,NA(),SUMPRODUCT((Inputs!$A$5:$A$130=$B50)*Inputs!$B$5:$B$130*(((Inputs!$G$5:$G$130="moeda")+(Inputs!$G$5:$G$130="acoes"))*Inputs!$B$1+((Inputs!$G$5:$G$130&lt;&gt;"moeda")*(Inputs!$G$5:$G$130&lt;&gt;"acoes")))*INDEX(Inputs!$K$5:$AJ$130,0,MATCH(U$2,Inputs!$K$4:$AJ$4,0)))+SUMPRODUCT((Inputs!$C$5:$C$130=$B50)*Inputs!$D$5:$D$130*(((Inputs!$G$5:$G$130="moeda")+(Inputs!$G$5:$G$130="acoes"))*Inputs!$B$1+((Inputs!$G$5:$G$130&lt;&gt;"moeda")*(Inputs!$G$5:$G$130&lt;&gt;"acoes")))*INDEX(Inputs!$K$5:$AJ$130,0,MATCH(U$2,Inputs!$K$4:$AJ$4,0)))+SUMPRODUCT((Inputs!$E$5:$E$130=$B50)*Inputs!$F$5:$F$130*(((Inputs!$G$5:$G$130="moeda")+(Inputs!$G$5:$G$130="acoes"))*Inputs!$B$1+((Inputs!$G$5:$G$130&lt;&gt;"moeda")*(Inputs!$G$5:$G$130&lt;&gt;"acoes")))*INDEX(Inputs!$K$5:$AJ$130,0,MATCH(U$2,Inputs!$K$4:$AJ$4,0)))))</f>
        <v>19309</v>
      </c>
      <c r="V50" s="6">
        <f>IF(ISNA(MATCH(V$2,Inputs!$K$4:$AJ$4,0)),NA(),IF(SUMPRODUCT((Inputs!$A$5:$A$130=$B50)*ISNUMBER(INDEX(Inputs!$K$5:$AJ$130,0,MATCH(V$2,Inputs!$K$4:$AJ$4,0))))+SUMPRODUCT((Inputs!$C$5:$C$130=$B50)*ISNUMBER(INDEX(Inputs!$K$5:$AJ$130,0,MATCH(V$2,Inputs!$K$4:$AJ$4,0))))+SUMPRODUCT((Inputs!$E$5:$E$130=$B50)*ISNUMBER(INDEX(Inputs!$K$5:$AJ$130,0,MATCH(V$2,Inputs!$K$4:$AJ$4,0))))=0,NA(),SUMPRODUCT((Inputs!$A$5:$A$130=$B50)*Inputs!$B$5:$B$130*(((Inputs!$G$5:$G$130="moeda")+(Inputs!$G$5:$G$130="acoes"))*Inputs!$B$1+((Inputs!$G$5:$G$130&lt;&gt;"moeda")*(Inputs!$G$5:$G$130&lt;&gt;"acoes")))*INDEX(Inputs!$K$5:$AJ$130,0,MATCH(V$2,Inputs!$K$4:$AJ$4,0)))+SUMPRODUCT((Inputs!$C$5:$C$130=$B50)*Inputs!$D$5:$D$130*(((Inputs!$G$5:$G$130="moeda")+(Inputs!$G$5:$G$130="acoes"))*Inputs!$B$1+((Inputs!$G$5:$G$130&lt;&gt;"moeda")*(Inputs!$G$5:$G$130&lt;&gt;"acoes")))*INDEX(Inputs!$K$5:$AJ$130,0,MATCH(V$2,Inputs!$K$4:$AJ$4,0)))+SUMPRODUCT((Inputs!$E$5:$E$130=$B50)*Inputs!$F$5:$F$130*(((Inputs!$G$5:$G$130="moeda")+(Inputs!$G$5:$G$130="acoes"))*Inputs!$B$1+((Inputs!$G$5:$G$130&lt;&gt;"moeda")*(Inputs!$G$5:$G$130&lt;&gt;"acoes")))*INDEX(Inputs!$K$5:$AJ$130,0,MATCH(V$2,Inputs!$K$4:$AJ$4,0)))))</f>
        <v>22091</v>
      </c>
      <c r="W50" s="3">
        <f>SUM(S50:V50)</f>
        <v>72880</v>
      </c>
      <c r="X50" s="6">
        <f>IF(ISNA(MATCH(X$2,Inputs!$K$4:$AJ$4,0)),NA(),IF(SUMPRODUCT((Inputs!$A$5:$A$130=$B50)*ISNUMBER(INDEX(Inputs!$K$5:$AJ$130,0,MATCH(X$2,Inputs!$K$4:$AJ$4,0))))+SUMPRODUCT((Inputs!$C$5:$C$130=$B50)*ISNUMBER(INDEX(Inputs!$K$5:$AJ$130,0,MATCH(X$2,Inputs!$K$4:$AJ$4,0))))+SUMPRODUCT((Inputs!$E$5:$E$130=$B50)*ISNUMBER(INDEX(Inputs!$K$5:$AJ$130,0,MATCH(X$2,Inputs!$K$4:$AJ$4,0))))=0,NA(),SUMPRODUCT((Inputs!$A$5:$A$130=$B50)*Inputs!$B$5:$B$130*(((Inputs!$G$5:$G$130="moeda")+(Inputs!$G$5:$G$130="acoes"))*Inputs!$B$1+((Inputs!$G$5:$G$130&lt;&gt;"moeda")*(Inputs!$G$5:$G$130&lt;&gt;"acoes")))*INDEX(Inputs!$K$5:$AJ$130,0,MATCH(X$2,Inputs!$K$4:$AJ$4,0)))+SUMPRODUCT((Inputs!$C$5:$C$130=$B50)*Inputs!$D$5:$D$130*(((Inputs!$G$5:$G$130="moeda")+(Inputs!$G$5:$G$130="acoes"))*Inputs!$B$1+((Inputs!$G$5:$G$130&lt;&gt;"moeda")*(Inputs!$G$5:$G$130&lt;&gt;"acoes")))*INDEX(Inputs!$K$5:$AJ$130,0,MATCH(X$2,Inputs!$K$4:$AJ$4,0)))+SUMPRODUCT((Inputs!$E$5:$E$130=$B50)*Inputs!$F$5:$F$130*(((Inputs!$G$5:$G$130="moeda")+(Inputs!$G$5:$G$130="acoes"))*Inputs!$B$1+((Inputs!$G$5:$G$130&lt;&gt;"moeda")*(Inputs!$G$5:$G$130&lt;&gt;"acoes")))*INDEX(Inputs!$K$5:$AJ$130,0,MATCH(X$2,Inputs!$K$4:$AJ$4,0)))))</f>
        <v>18775</v>
      </c>
      <c r="Y50" s="6">
        <f>IF(ISNA(MATCH(Y$2,Inputs!$K$4:$AJ$4,0)),NA(),IF(SUMPRODUCT((Inputs!$A$5:$A$130=$B50)*ISNUMBER(INDEX(Inputs!$K$5:$AJ$130,0,MATCH(Y$2,Inputs!$K$4:$AJ$4,0))))+SUMPRODUCT((Inputs!$C$5:$C$130=$B50)*ISNUMBER(INDEX(Inputs!$K$5:$AJ$130,0,MATCH(Y$2,Inputs!$K$4:$AJ$4,0))))+SUMPRODUCT((Inputs!$E$5:$E$130=$B50)*ISNUMBER(INDEX(Inputs!$K$5:$AJ$130,0,MATCH(Y$2,Inputs!$K$4:$AJ$4,0))))=0,NA(),SUMPRODUCT((Inputs!$A$5:$A$130=$B50)*Inputs!$B$5:$B$130*(((Inputs!$G$5:$G$130="moeda")+(Inputs!$G$5:$G$130="acoes"))*Inputs!$B$1+((Inputs!$G$5:$G$130&lt;&gt;"moeda")*(Inputs!$G$5:$G$130&lt;&gt;"acoes")))*INDEX(Inputs!$K$5:$AJ$130,0,MATCH(Y$2,Inputs!$K$4:$AJ$4,0)))+SUMPRODUCT((Inputs!$C$5:$C$130=$B50)*Inputs!$D$5:$D$130*(((Inputs!$G$5:$G$130="moeda")+(Inputs!$G$5:$G$130="acoes"))*Inputs!$B$1+((Inputs!$G$5:$G$130&lt;&gt;"moeda")*(Inputs!$G$5:$G$130&lt;&gt;"acoes")))*INDEX(Inputs!$K$5:$AJ$130,0,MATCH(Y$2,Inputs!$K$4:$AJ$4,0)))+SUMPRODUCT((Inputs!$E$5:$E$130=$B50)*Inputs!$F$5:$F$130*(((Inputs!$G$5:$G$130="moeda")+(Inputs!$G$5:$G$130="acoes"))*Inputs!$B$1+((Inputs!$G$5:$G$130&lt;&gt;"moeda")*(Inputs!$G$5:$G$130&lt;&gt;"acoes")))*INDEX(Inputs!$K$5:$AJ$130,0,MATCH(Y$2,Inputs!$K$4:$AJ$4,0)))))</f>
        <v>26422</v>
      </c>
      <c r="Z50" s="6">
        <f>IF(ISNA(MATCH(Z$2,Inputs!$K$4:$AJ$4,0)),NA(),IF(SUMPRODUCT((Inputs!$A$5:$A$130=$B50)*ISNUMBER(INDEX(Inputs!$K$5:$AJ$130,0,MATCH(Z$2,Inputs!$K$4:$AJ$4,0))))+SUMPRODUCT((Inputs!$C$5:$C$130=$B50)*ISNUMBER(INDEX(Inputs!$K$5:$AJ$130,0,MATCH(Z$2,Inputs!$K$4:$AJ$4,0))))+SUMPRODUCT((Inputs!$E$5:$E$130=$B50)*ISNUMBER(INDEX(Inputs!$K$5:$AJ$130,0,MATCH(Z$2,Inputs!$K$4:$AJ$4,0))))=0,NA(),SUMPRODUCT((Inputs!$A$5:$A$130=$B50)*Inputs!$B$5:$B$130*(((Inputs!$G$5:$G$130="moeda")+(Inputs!$G$5:$G$130="acoes"))*Inputs!$B$1+((Inputs!$G$5:$G$130&lt;&gt;"moeda")*(Inputs!$G$5:$G$130&lt;&gt;"acoes")))*INDEX(Inputs!$K$5:$AJ$130,0,MATCH(Z$2,Inputs!$K$4:$AJ$4,0)))+SUMPRODUCT((Inputs!$C$5:$C$130=$B50)*Inputs!$D$5:$D$130*(((Inputs!$G$5:$G$130="moeda")+(Inputs!$G$5:$G$130="acoes"))*Inputs!$B$1+((Inputs!$G$5:$G$130&lt;&gt;"moeda")*(Inputs!$G$5:$G$130&lt;&gt;"acoes")))*INDEX(Inputs!$K$5:$AJ$130,0,MATCH(Z$2,Inputs!$K$4:$AJ$4,0)))+SUMPRODUCT((Inputs!$E$5:$E$130=$B50)*Inputs!$F$5:$F$130*(((Inputs!$G$5:$G$130="moeda")+(Inputs!$G$5:$G$130="acoes"))*Inputs!$B$1+((Inputs!$G$5:$G$130&lt;&gt;"moeda")*(Inputs!$G$5:$G$130&lt;&gt;"acoes")))*INDEX(Inputs!$K$5:$AJ$130,0,MATCH(Z$2,Inputs!$K$4:$AJ$4,0)))))</f>
        <v>31910</v>
      </c>
      <c r="AA50" s="6">
        <f>IF(ISNA(MATCH(AA$2,Inputs!$K$4:$AJ$4,0)),NA(),IF(SUMPRODUCT((Inputs!$A$5:$A$130=$B50)*ISNUMBER(INDEX(Inputs!$K$5:$AJ$130,0,MATCH(AA$2,Inputs!$K$4:$AJ$4,0))))+SUMPRODUCT((Inputs!$C$5:$C$130=$B50)*ISNUMBER(INDEX(Inputs!$K$5:$AJ$130,0,MATCH(AA$2,Inputs!$K$4:$AJ$4,0))))+SUMPRODUCT((Inputs!$E$5:$E$130=$B50)*ISNUMBER(INDEX(Inputs!$K$5:$AJ$130,0,MATCH(AA$2,Inputs!$K$4:$AJ$4,0))))=0,NA(),SUMPRODUCT((Inputs!$A$5:$A$130=$B50)*Inputs!$B$5:$B$130*(((Inputs!$G$5:$G$130="moeda")+(Inputs!$G$5:$G$130="acoes"))*Inputs!$B$1+((Inputs!$G$5:$G$130&lt;&gt;"moeda")*(Inputs!$G$5:$G$130&lt;&gt;"acoes")))*INDEX(Inputs!$K$5:$AJ$130,0,MATCH(AA$2,Inputs!$K$4:$AJ$4,0)))+SUMPRODUCT((Inputs!$C$5:$C$130=$B50)*Inputs!$D$5:$D$130*(((Inputs!$G$5:$G$130="moeda")+(Inputs!$G$5:$G$130="acoes"))*Inputs!$B$1+((Inputs!$G$5:$G$130&lt;&gt;"moeda")*(Inputs!$G$5:$G$130&lt;&gt;"acoes")))*INDEX(Inputs!$K$5:$AJ$130,0,MATCH(AA$2,Inputs!$K$4:$AJ$4,0)))+SUMPRODUCT((Inputs!$E$5:$E$130=$B50)*Inputs!$F$5:$F$130*(((Inputs!$G$5:$G$130="moeda")+(Inputs!$G$5:$G$130="acoes"))*Inputs!$B$1+((Inputs!$G$5:$G$130&lt;&gt;"moeda")*(Inputs!$G$5:$G$130&lt;&gt;"acoes")))*INDEX(Inputs!$K$5:$AJ$130,0,MATCH(AA$2,Inputs!$K$4:$AJ$4,0)))))</f>
        <v>42960</v>
      </c>
      <c r="AB50" s="3">
        <f>SUM(X50:AA50)</f>
        <v>120067</v>
      </c>
      <c r="AC50" s="6">
        <f>IF(ISNA(MATCH(AC$2,Inputs!$K$4:$AJ$4,0)),NA(),IF(SUMPRODUCT((Inputs!$A$5:$A$130=$B50)*ISNUMBER(INDEX(Inputs!$K$5:$AJ$130,0,MATCH(AC$2,Inputs!$K$4:$AJ$4,0))))+SUMPRODUCT((Inputs!$C$5:$C$130=$B50)*ISNUMBER(INDEX(Inputs!$K$5:$AJ$130,0,MATCH(AC$2,Inputs!$K$4:$AJ$4,0))))+SUMPRODUCT((Inputs!$E$5:$E$130=$B50)*ISNUMBER(INDEX(Inputs!$K$5:$AJ$130,0,MATCH(AC$2,Inputs!$K$4:$AJ$4,0))))=0,NA(),SUMPRODUCT((Inputs!$A$5:$A$130=$B50)*Inputs!$B$5:$B$130*(((Inputs!$G$5:$G$130="moeda")+(Inputs!$G$5:$G$130="acoes"))*Inputs!$B$1+((Inputs!$G$5:$G$130&lt;&gt;"moeda")*(Inputs!$G$5:$G$130&lt;&gt;"acoes")))*INDEX(Inputs!$K$5:$AJ$130,0,MATCH(AC$2,Inputs!$K$4:$AJ$4,0)))+SUMPRODUCT((Inputs!$C$5:$C$130=$B50)*Inputs!$D$5:$D$130*(((Inputs!$G$5:$G$130="moeda")+(Inputs!$G$5:$G$130="acoes"))*Inputs!$B$1+((Inputs!$G$5:$G$130&lt;&gt;"moeda")*(Inputs!$G$5:$G$130&lt;&gt;"acoes")))*INDEX(Inputs!$K$5:$AJ$130,0,MATCH(AC$2,Inputs!$K$4:$AJ$4,0)))+SUMPRODUCT((Inputs!$E$5:$E$130=$B50)*Inputs!$F$5:$F$130*(((Inputs!$G$5:$G$130="moeda")+(Inputs!$G$5:$G$130="acoes"))*Inputs!$B$1+((Inputs!$G$5:$G$130&lt;&gt;"moeda")*(Inputs!$G$5:$G$130&lt;&gt;"acoes")))*INDEX(Inputs!$K$5:$AJ$130,0,MATCH(AC$2,Inputs!$K$4:$AJ$4,0)))))</f>
        <v>58321</v>
      </c>
      <c r="AD50" s="6">
        <f>IF(ISNA(MATCH(AD$2,Inputs!$K$4:$AJ$4,0)),NA(),IF(SUMPRODUCT((Inputs!$A$5:$A$130=$B50)*ISNUMBER(INDEX(Inputs!$K$5:$AJ$130,0,MATCH(AD$2,Inputs!$K$4:$AJ$4,0))))+SUMPRODUCT((Inputs!$C$5:$C$130=$B50)*ISNUMBER(INDEX(Inputs!$K$5:$AJ$130,0,MATCH(AD$2,Inputs!$K$4:$AJ$4,0))))+SUMPRODUCT((Inputs!$E$5:$E$130=$B50)*ISNUMBER(INDEX(Inputs!$K$5:$AJ$130,0,MATCH(AD$2,Inputs!$K$4:$AJ$4,0))))=0,NA(),SUMPRODUCT((Inputs!$A$5:$A$130=$B50)*Inputs!$B$5:$B$130*(((Inputs!$G$5:$G$130="moeda")+(Inputs!$G$5:$G$130="acoes"))*Inputs!$B$1+((Inputs!$G$5:$G$130&lt;&gt;"moeda")*(Inputs!$G$5:$G$130&lt;&gt;"acoes")))*INDEX(Inputs!$K$5:$AJ$130,0,MATCH(AD$2,Inputs!$K$4:$AJ$4,0)))+SUMPRODUCT((Inputs!$C$5:$C$130=$B50)*Inputs!$D$5:$D$130*(((Inputs!$G$5:$G$130="moeda")+(Inputs!$G$5:$G$130="acoes"))*Inputs!$B$1+((Inputs!$G$5:$G$130&lt;&gt;"moeda")*(Inputs!$G$5:$G$130&lt;&gt;"acoes")))*INDEX(Inputs!$K$5:$AJ$130,0,MATCH(AD$2,Inputs!$K$4:$AJ$4,0)))+SUMPRODUCT((Inputs!$E$5:$E$130=$B50)*Inputs!$F$5:$F$130*(((Inputs!$G$5:$G$130="moeda")+(Inputs!$G$5:$G$130="acoes"))*Inputs!$B$1+((Inputs!$G$5:$G$130&lt;&gt;"moeda")*(Inputs!$G$5:$G$130&lt;&gt;"acoes")))*INDEX(Inputs!$K$5:$AJ$130,0,MATCH(AD$2,Inputs!$K$4:$AJ$4,0)))))</f>
        <v>59688</v>
      </c>
      <c r="AE50" s="6" t="e">
        <f>IF(ISNA(MATCH(AE$2,Inputs!$K$4:$AJ$4,0)),NA(),IF(SUMPRODUCT((Inputs!$A$5:$A$130=$B50)*ISNUMBER(INDEX(Inputs!$K$5:$AJ$130,0,MATCH(AE$2,Inputs!$K$4:$AJ$4,0))))+SUMPRODUCT((Inputs!$C$5:$C$130=$B50)*ISNUMBER(INDEX(Inputs!$K$5:$AJ$130,0,MATCH(AE$2,Inputs!$K$4:$AJ$4,0))))+SUMPRODUCT((Inputs!$E$5:$E$130=$B50)*ISNUMBER(INDEX(Inputs!$K$5:$AJ$130,0,MATCH(AE$2,Inputs!$K$4:$AJ$4,0))))=0,NA(),SUMPRODUCT((Inputs!$A$5:$A$130=$B50)*Inputs!$B$5:$B$130*(((Inputs!$G$5:$G$130="moeda")+(Inputs!$G$5:$G$130="acoes"))*Inputs!$B$1+((Inputs!$G$5:$G$130&lt;&gt;"moeda")*(Inputs!$G$5:$G$130&lt;&gt;"acoes")))*INDEX(Inputs!$K$5:$AJ$130,0,MATCH(AE$2,Inputs!$K$4:$AJ$4,0)))+SUMPRODUCT((Inputs!$C$5:$C$130=$B50)*Inputs!$D$5:$D$130*(((Inputs!$G$5:$G$130="moeda")+(Inputs!$G$5:$G$130="acoes"))*Inputs!$B$1+((Inputs!$G$5:$G$130&lt;&gt;"moeda")*(Inputs!$G$5:$G$130&lt;&gt;"acoes")))*INDEX(Inputs!$K$5:$AJ$130,0,MATCH(AE$2,Inputs!$K$4:$AJ$4,0)))+SUMPRODUCT((Inputs!$E$5:$E$130=$B50)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0" s="6" t="e">
        <f>IF(ISNA(MATCH(AF$2,Inputs!$K$4:$AJ$4,0)),NA(),IF(SUMPRODUCT((Inputs!$A$5:$A$130=$B50)*ISNUMBER(INDEX(Inputs!$K$5:$AJ$130,0,MATCH(AF$2,Inputs!$K$4:$AJ$4,0))))+SUMPRODUCT((Inputs!$C$5:$C$130=$B50)*ISNUMBER(INDEX(Inputs!$K$5:$AJ$130,0,MATCH(AF$2,Inputs!$K$4:$AJ$4,0))))+SUMPRODUCT((Inputs!$E$5:$E$130=$B50)*ISNUMBER(INDEX(Inputs!$K$5:$AJ$130,0,MATCH(AF$2,Inputs!$K$4:$AJ$4,0))))=0,NA(),SUMPRODUCT((Inputs!$A$5:$A$130=$B50)*Inputs!$B$5:$B$130*(((Inputs!$G$5:$G$130="moeda")+(Inputs!$G$5:$G$130="acoes"))*Inputs!$B$1+((Inputs!$G$5:$G$130&lt;&gt;"moeda")*(Inputs!$G$5:$G$130&lt;&gt;"acoes")))*INDEX(Inputs!$K$5:$AJ$130,0,MATCH(AF$2,Inputs!$K$4:$AJ$4,0)))+SUMPRODUCT((Inputs!$C$5:$C$130=$B50)*Inputs!$D$5:$D$130*(((Inputs!$G$5:$G$130="moeda")+(Inputs!$G$5:$G$130="acoes"))*Inputs!$B$1+((Inputs!$G$5:$G$130&lt;&gt;"moeda")*(Inputs!$G$5:$G$130&lt;&gt;"acoes")))*INDEX(Inputs!$K$5:$AJ$130,0,MATCH(AF$2,Inputs!$K$4:$AJ$4,0)))+SUMPRODUCT((Inputs!$E$5:$E$130=$B50)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0" s="3" t="e">
        <f>SUM(AC50:AF50)</f>
        <v>#N/A</v>
      </c>
      <c r="AH50" s="6">
        <f>IF(ISNA(MATCH(AH$2,Inputs!$K$4:$AJ$4,0)),NA(),IF(SUMPRODUCT((Inputs!$A$5:$A$130=$B50)*ISNUMBER(INDEX(Inputs!$K$5:$AJ$130,0,MATCH(AH$2,Inputs!$K$4:$AJ$4,0))))+SUMPRODUCT((Inputs!$C$5:$C$130=$B50)*ISNUMBER(INDEX(Inputs!$K$5:$AJ$130,0,MATCH(AH$2,Inputs!$K$4:$AJ$4,0))))+SUMPRODUCT((Inputs!$E$5:$E$130=$B50)*ISNUMBER(INDEX(Inputs!$K$5:$AJ$130,0,MATCH(AH$2,Inputs!$K$4:$AJ$4,0))))=0,NA(),SUMPRODUCT((Inputs!$A$5:$A$130=$B50)*Inputs!$B$5:$B$130*(((Inputs!$G$5:$G$130="moeda")+(Inputs!$G$5:$G$130="acoes"))*Inputs!$B$1+((Inputs!$G$5:$G$130&lt;&gt;"moeda")*(Inputs!$G$5:$G$130&lt;&gt;"acoes")))*INDEX(Inputs!$K$5:$AJ$130,0,MATCH(AH$2,Inputs!$K$4:$AJ$4,0)))+SUMPRODUCT((Inputs!$C$5:$C$130=$B50)*Inputs!$D$5:$D$130*(((Inputs!$G$5:$G$130="moeda")+(Inputs!$G$5:$G$130="acoes"))*Inputs!$B$1+((Inputs!$G$5:$G$130&lt;&gt;"moeda")*(Inputs!$G$5:$G$130&lt;&gt;"acoes")))*INDEX(Inputs!$K$5:$AJ$130,0,MATCH(AH$2,Inputs!$K$4:$AJ$4,0)))+SUMPRODUCT((Inputs!$E$5:$E$130=$B50)*Inputs!$F$5:$F$130*(((Inputs!$G$5:$G$130="moeda")+(Inputs!$G$5:$G$130="acoes"))*Inputs!$B$1+((Inputs!$G$5:$G$130&lt;&gt;"moeda")*(Inputs!$G$5:$G$130&lt;&gt;"acoes")))*INDEX(Inputs!$K$5:$AJ$130,0,MATCH(AH$2,Inputs!$K$4:$AJ$4,0)))))</f>
        <v>917</v>
      </c>
      <c r="AI50" s="6">
        <f>IF(ISNA(MATCH(AI$2,Inputs!$K$4:$AJ$4,0)),NA(),IF(SUMPRODUCT((Inputs!$A$5:$A$130=$B50)*ISNUMBER(INDEX(Inputs!$K$5:$AJ$130,0,MATCH(AI$2,Inputs!$K$4:$AJ$4,0))))+SUMPRODUCT((Inputs!$C$5:$C$130=$B50)*ISNUMBER(INDEX(Inputs!$K$5:$AJ$130,0,MATCH(AI$2,Inputs!$K$4:$AJ$4,0))))+SUMPRODUCT((Inputs!$E$5:$E$130=$B50)*ISNUMBER(INDEX(Inputs!$K$5:$AJ$130,0,MATCH(AI$2,Inputs!$K$4:$AJ$4,0))))=0,NA(),SUMPRODUCT((Inputs!$A$5:$A$130=$B50)*Inputs!$B$5:$B$130*(((Inputs!$G$5:$G$130="moeda")+(Inputs!$G$5:$G$130="acoes"))*Inputs!$B$1+((Inputs!$G$5:$G$130&lt;&gt;"moeda")*(Inputs!$G$5:$G$130&lt;&gt;"acoes")))*INDEX(Inputs!$K$5:$AJ$130,0,MATCH(AI$2,Inputs!$K$4:$AJ$4,0)))+SUMPRODUCT((Inputs!$C$5:$C$130=$B50)*Inputs!$D$5:$D$130*(((Inputs!$G$5:$G$130="moeda")+(Inputs!$G$5:$G$130="acoes"))*Inputs!$B$1+((Inputs!$G$5:$G$130&lt;&gt;"moeda")*(Inputs!$G$5:$G$130&lt;&gt;"acoes")))*INDEX(Inputs!$K$5:$AJ$130,0,MATCH(AI$2,Inputs!$K$4:$AJ$4,0)))+SUMPRODUCT((Inputs!$E$5:$E$130=$B50)*Inputs!$F$5:$F$130*(((Inputs!$G$5:$G$130="moeda")+(Inputs!$G$5:$G$130="acoes"))*Inputs!$B$1+((Inputs!$G$5:$G$130&lt;&gt;"moeda")*(Inputs!$G$5:$G$130&lt;&gt;"acoes")))*INDEX(Inputs!$K$5:$AJ$130,0,MATCH(AI$2,Inputs!$K$4:$AJ$4,0)))))</f>
        <v>622</v>
      </c>
      <c r="AJ50" s="6">
        <f>IF(ISNA(MATCH(AJ$2,Inputs!$K$4:$AJ$4,0)),NA(),IF(SUMPRODUCT((Inputs!$A$5:$A$130=$B50)*ISNUMBER(INDEX(Inputs!$K$5:$AJ$130,0,MATCH(AJ$2,Inputs!$K$4:$AJ$4,0))))+SUMPRODUCT((Inputs!$C$5:$C$130=$B50)*ISNUMBER(INDEX(Inputs!$K$5:$AJ$130,0,MATCH(AJ$2,Inputs!$K$4:$AJ$4,0))))+SUMPRODUCT((Inputs!$E$5:$E$130=$B50)*ISNUMBER(INDEX(Inputs!$K$5:$AJ$130,0,MATCH(AJ$2,Inputs!$K$4:$AJ$4,0))))=0,NA(),SUMPRODUCT((Inputs!$A$5:$A$130=$B50)*Inputs!$B$5:$B$130*(((Inputs!$G$5:$G$130="moeda")+(Inputs!$G$5:$G$130="acoes"))*Inputs!$B$1+((Inputs!$G$5:$G$130&lt;&gt;"moeda")*(Inputs!$G$5:$G$130&lt;&gt;"acoes")))*INDEX(Inputs!$K$5:$AJ$130,0,MATCH(AJ$2,Inputs!$K$4:$AJ$4,0)))+SUMPRODUCT((Inputs!$C$5:$C$130=$B50)*Inputs!$D$5:$D$130*(((Inputs!$G$5:$G$130="moeda")+(Inputs!$G$5:$G$130="acoes"))*Inputs!$B$1+((Inputs!$G$5:$G$130&lt;&gt;"moeda")*(Inputs!$G$5:$G$130&lt;&gt;"acoes")))*INDEX(Inputs!$K$5:$AJ$130,0,MATCH(AJ$2,Inputs!$K$4:$AJ$4,0)))+SUMPRODUCT((Inputs!$E$5:$E$130=$B50)*Inputs!$F$5:$F$130*(((Inputs!$G$5:$G$130="moeda")+(Inputs!$G$5:$G$130="acoes"))*Inputs!$B$1+((Inputs!$G$5:$G$130&lt;&gt;"moeda")*(Inputs!$G$5:$G$130&lt;&gt;"acoes")))*INDEX(Inputs!$K$5:$AJ$130,0,MATCH(AJ$2,Inputs!$K$4:$AJ$4,0)))))</f>
        <v>1336</v>
      </c>
      <c r="AK50" s="6">
        <f>IF(ISNA(MATCH(AK$2,Inputs!$K$4:$AJ$4,0)),NA(),IF(SUMPRODUCT((Inputs!$A$5:$A$130=$B50)*ISNUMBER(INDEX(Inputs!$K$5:$AJ$130,0,MATCH(AK$2,Inputs!$K$4:$AJ$4,0))))+SUMPRODUCT((Inputs!$C$5:$C$130=$B50)*ISNUMBER(INDEX(Inputs!$K$5:$AJ$130,0,MATCH(AK$2,Inputs!$K$4:$AJ$4,0))))+SUMPRODUCT((Inputs!$E$5:$E$130=$B50)*ISNUMBER(INDEX(Inputs!$K$5:$AJ$130,0,MATCH(AK$2,Inputs!$K$4:$AJ$4,0))))=0,NA(),SUMPRODUCT((Inputs!$A$5:$A$130=$B50)*Inputs!$B$5:$B$130*(((Inputs!$G$5:$G$130="moeda")+(Inputs!$G$5:$G$130="acoes"))*Inputs!$B$1+((Inputs!$G$5:$G$130&lt;&gt;"moeda")*(Inputs!$G$5:$G$130&lt;&gt;"acoes")))*INDEX(Inputs!$K$5:$AJ$130,0,MATCH(AK$2,Inputs!$K$4:$AJ$4,0)))+SUMPRODUCT((Inputs!$C$5:$C$130=$B50)*Inputs!$D$5:$D$130*(((Inputs!$G$5:$G$130="moeda")+(Inputs!$G$5:$G$130="acoes"))*Inputs!$B$1+((Inputs!$G$5:$G$130&lt;&gt;"moeda")*(Inputs!$G$5:$G$130&lt;&gt;"acoes")))*INDEX(Inputs!$K$5:$AJ$130,0,MATCH(AK$2,Inputs!$K$4:$AJ$4,0)))+SUMPRODUCT((Inputs!$E$5:$E$130=$B50)*Inputs!$F$5:$F$130*(((Inputs!$G$5:$G$130="moeda")+(Inputs!$G$5:$G$130="acoes"))*Inputs!$B$1+((Inputs!$G$5:$G$130&lt;&gt;"moeda")*(Inputs!$G$5:$G$130&lt;&gt;"acoes")))*INDEX(Inputs!$K$5:$AJ$130,0,MATCH(AK$2,Inputs!$K$4:$AJ$4,0)))))</f>
        <v>1457</v>
      </c>
      <c r="AL50" s="3">
        <f>SUM(AH50:AK50)</f>
        <v>4332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58"/>
  <sheetViews>
    <sheetView showGridLines="0" tabSelected="1" zoomScale="85" zoomScaleNormal="85" workbookViewId="0">
      <pane xSplit="3" ySplit="11" topLeftCell="D336" activePane="bottomRight" state="frozen"/>
      <selection pane="topRight" activeCell="D1" sqref="D1"/>
      <selection pane="bottomLeft" activeCell="A10" sqref="A10"/>
      <selection pane="bottomRight" activeCell="D298" sqref="D298"/>
    </sheetView>
  </sheetViews>
  <sheetFormatPr baseColWidth="8" defaultRowHeight="12.75" outlineLevelRow="1"/>
  <cols>
    <col width="1.7109375" bestFit="1" customWidth="1" style="1" min="1" max="1"/>
    <col outlineLevel="1" width="7.85546875" customWidth="1" style="1" min="2" max="2"/>
    <col width="84.7109375" customWidth="1" style="4" min="3" max="3"/>
    <col outlineLevel="1" width="11.42578125" customWidth="1" style="4" min="4" max="7"/>
    <col width="11.42578125" bestFit="1" customWidth="1" style="4" min="8" max="8"/>
    <col outlineLevel="1" width="11.42578125" customWidth="1" style="4" min="9" max="12"/>
    <col width="11.42578125" bestFit="1" customWidth="1" style="4" min="13" max="13"/>
    <col outlineLevel="1" width="11.42578125" customWidth="1" style="4" min="14" max="17"/>
    <col width="11.42578125" bestFit="1" customWidth="1" style="4" min="18" max="18"/>
    <col outlineLevel="1" width="11.42578125" customWidth="1" style="4" min="19" max="22"/>
    <col width="11.42578125" bestFit="1" customWidth="1" style="4" min="23" max="23"/>
    <col outlineLevel="1" width="11.42578125" customWidth="1" style="4" min="24" max="24"/>
    <col outlineLevel="1" width="11.140625" customWidth="1" style="4" min="25" max="25"/>
    <col outlineLevel="1" width="11.42578125" customWidth="1" style="4" min="26" max="27"/>
    <col width="11.140625" bestFit="1" customWidth="1" style="4" min="28" max="28"/>
    <col outlineLevel="1" width="12.28515625" customWidth="1" style="4" min="29" max="29"/>
    <col outlineLevel="1" width="13.28515625" customWidth="1" style="4" min="30" max="30"/>
    <col outlineLevel="1" width="11" customWidth="1" style="4" min="31" max="31"/>
    <col outlineLevel="1" width="10.140625" customWidth="1" style="4" min="32" max="32"/>
    <col width="11" bestFit="1" customWidth="1" style="4" min="33" max="33"/>
    <col outlineLevel="1" width="10.140625" customWidth="1" style="4" min="34" max="34"/>
    <col outlineLevel="1" width="11.140625" customWidth="1" style="4" min="35" max="35"/>
    <col outlineLevel="1" width="10.140625" customWidth="1" style="4" min="36" max="37"/>
    <col width="10" bestFit="1" customWidth="1" style="4" min="38" max="38"/>
    <col outlineLevel="1" width="10.140625" customWidth="1" style="4" min="39" max="39"/>
    <col outlineLevel="1" width="11.140625" customWidth="1" style="4" min="40" max="40"/>
    <col outlineLevel="1" width="10.140625" customWidth="1" style="4" min="41" max="42"/>
    <col width="10" bestFit="1" customWidth="1" style="4" min="43" max="43"/>
    <col outlineLevel="1" width="10.140625" customWidth="1" style="4" min="44" max="44"/>
    <col outlineLevel="1" width="11.140625" customWidth="1" style="4" min="45" max="45"/>
    <col outlineLevel="1" width="10.140625" customWidth="1" style="4" min="46" max="47"/>
    <col width="10" bestFit="1" customWidth="1" style="4" min="48" max="48"/>
    <col outlineLevel="1" width="10.140625" customWidth="1" style="4" min="49" max="49"/>
    <col outlineLevel="1" width="11.140625" customWidth="1" style="4" min="50" max="50"/>
    <col outlineLevel="1" width="10.140625" customWidth="1" style="4" min="51" max="52"/>
    <col width="10" bestFit="1" customWidth="1" style="4" min="53" max="53"/>
    <col outlineLevel="1" width="10.140625" customWidth="1" style="4" min="54" max="54"/>
    <col outlineLevel="1" width="11.140625" customWidth="1" style="4" min="55" max="55"/>
    <col outlineLevel="1" width="10.140625" customWidth="1" style="4" min="56" max="57"/>
    <col width="10" bestFit="1" customWidth="1" style="4" min="58" max="58"/>
    <col outlineLevel="1" width="10.140625" customWidth="1" style="4" min="59" max="59"/>
    <col outlineLevel="1" width="11.140625" customWidth="1" style="4" min="60" max="60"/>
    <col outlineLevel="1" width="10.140625" customWidth="1" style="4" min="61" max="62"/>
    <col width="10" bestFit="1" customWidth="1" style="4" min="63" max="63"/>
    <col outlineLevel="1" width="10.140625" customWidth="1" style="4" min="64" max="64"/>
    <col outlineLevel="1" width="11.140625" customWidth="1" style="4" min="65" max="65"/>
    <col outlineLevel="1" width="10.140625" customWidth="1" style="4" min="66" max="67"/>
    <col width="10" bestFit="1" customWidth="1" style="4" min="68" max="68"/>
    <col outlineLevel="1" width="10.140625" customWidth="1" style="4" min="69" max="69"/>
    <col outlineLevel="1" width="11.140625" customWidth="1" style="4" min="70" max="70"/>
    <col outlineLevel="1" width="10.140625" customWidth="1" style="4" min="71" max="72"/>
    <col width="10" bestFit="1" customWidth="1" style="4" min="73" max="73"/>
    <col outlineLevel="1" width="10.140625" customWidth="1" style="4" min="74" max="74"/>
    <col outlineLevel="1" width="11.140625" customWidth="1" style="4" min="75" max="75"/>
    <col outlineLevel="1" width="10.140625" customWidth="1" style="4" min="76" max="77"/>
    <col width="10" bestFit="1" customWidth="1" style="4" min="78" max="78"/>
    <col outlineLevel="1" width="10.140625" customWidth="1" style="4" min="79" max="79"/>
    <col outlineLevel="1" width="11.140625" customWidth="1" style="4" min="80" max="80"/>
    <col outlineLevel="1" width="10.140625" customWidth="1" style="4" min="81" max="82"/>
    <col width="10" bestFit="1" customWidth="1" style="4" min="83" max="83"/>
    <col outlineLevel="1" width="10.140625" customWidth="1" style="4" min="84" max="84"/>
    <col outlineLevel="1" width="11.140625" customWidth="1" style="4" min="85" max="85"/>
    <col outlineLevel="1" width="10.140625" customWidth="1" style="4" min="86" max="87"/>
    <col width="10" bestFit="1" customWidth="1" style="4" min="88" max="88"/>
    <col outlineLevel="1" width="10.140625" customWidth="1" style="4" min="89" max="89"/>
    <col outlineLevel="1" width="11.140625" customWidth="1" style="4" min="90" max="90"/>
    <col outlineLevel="1" width="10.140625" customWidth="1" style="4" min="91" max="92"/>
    <col width="10" bestFit="1" customWidth="1" style="4" min="93" max="93"/>
    <col outlineLevel="1" width="10.140625" customWidth="1" style="4" min="94" max="94"/>
    <col outlineLevel="1" width="11.140625" customWidth="1" style="4" min="95" max="95"/>
    <col outlineLevel="1" width="10.140625" customWidth="1" style="4" min="96" max="97"/>
    <col width="10" bestFit="1" customWidth="1" style="4" min="98" max="98"/>
    <col outlineLevel="1" width="10.140625" customWidth="1" style="4" min="99" max="99"/>
    <col outlineLevel="1" width="11.140625" customWidth="1" style="4" min="100" max="100"/>
    <col outlineLevel="1" width="10.140625" customWidth="1" style="4" min="101" max="102"/>
    <col width="10" bestFit="1" customWidth="1" style="4" min="103" max="103"/>
    <col width="9.140625" customWidth="1" style="4" min="104" max="104"/>
    <col width="9.140625" customWidth="1" style="4" min="105" max="16384"/>
  </cols>
  <sheetData>
    <row r="1">
      <c r="A1" s="243" t="n"/>
      <c r="C1" s="2" t="inlineStr">
        <is>
          <t>CHECKS</t>
        </is>
      </c>
      <c r="D1" s="3">
        <f>SUM(D2,D3)</f>
        <v>0</v>
      </c>
      <c r="E1" s="3">
        <f>SUM(E2,E3)</f>
        <v>0</v>
      </c>
      <c r="F1" s="3">
        <f>SUM(F2,F3)</f>
        <v>0</v>
      </c>
      <c r="G1" s="3">
        <f>SUM(G2,G3)</f>
        <v>0</v>
      </c>
      <c r="H1" s="3">
        <f>SUM(H2,H3)</f>
        <v>0</v>
      </c>
      <c r="I1" s="3">
        <f>SUM(I2,I3)</f>
        <v>0</v>
      </c>
      <c r="J1" s="3">
        <f>SUM(J2,J3)</f>
        <v>0</v>
      </c>
      <c r="K1" s="3">
        <f>SUM(K2,K3)</f>
        <v>0</v>
      </c>
      <c r="L1" s="3">
        <f>SUM(L2,L3)</f>
        <v>0</v>
      </c>
      <c r="M1" s="3">
        <f>SUM(M2,M3)</f>
        <v>0</v>
      </c>
      <c r="N1" s="3">
        <f>SUM(N2,N3)</f>
        <v>0</v>
      </c>
      <c r="O1" s="3">
        <f>SUM(O2,O3)</f>
        <v>0</v>
      </c>
      <c r="P1" s="3">
        <f>SUM(P2,P3)</f>
        <v>0</v>
      </c>
      <c r="Q1" s="3">
        <f>SUM(Q2,Q3)</f>
        <v>0</v>
      </c>
      <c r="R1" s="3">
        <f>SUM(R2,R3)</f>
        <v>0</v>
      </c>
      <c r="S1" s="3">
        <f>SUM(S2,S3)</f>
        <v>0</v>
      </c>
      <c r="T1" s="3">
        <f>SUM(T2,T3)</f>
        <v>0</v>
      </c>
      <c r="U1" s="3">
        <f>SUM(U2,U3)</f>
        <v>0</v>
      </c>
      <c r="V1" s="3">
        <f>SUM(V2,V3)</f>
        <v>0</v>
      </c>
      <c r="W1" s="3">
        <f>SUM(W2,W3)</f>
        <v>0</v>
      </c>
      <c r="X1" s="3">
        <f>SUM(X2,X3)</f>
        <v>0</v>
      </c>
      <c r="Y1" s="3">
        <f>SUM(Y2,Y3)</f>
        <v>0</v>
      </c>
      <c r="Z1" s="3">
        <f>SUM(Z2,Z3)</f>
        <v>0</v>
      </c>
      <c r="AA1" s="3">
        <f>SUM(AA2,AA3)</f>
        <v>0</v>
      </c>
      <c r="AB1" s="3">
        <f>SUM(AB2,AB3)</f>
        <v>0</v>
      </c>
      <c r="AC1" s="3">
        <f>SUM(AC2,AC3)</f>
        <v>0</v>
      </c>
      <c r="AD1" s="3">
        <f>SUM(AD2,AD3)</f>
        <v>0</v>
      </c>
      <c r="AE1" s="3">
        <f>SUM(AE2,AE3)</f>
        <v>0</v>
      </c>
      <c r="AF1" s="3">
        <f>SUM(AF2,AF3)</f>
        <v>0</v>
      </c>
      <c r="AG1" s="3">
        <f>SUM(AG2,AG3)</f>
        <v>0</v>
      </c>
      <c r="AH1" s="3" t="e">
        <f>SUM(AH2,AH3)</f>
        <v>#REF!</v>
      </c>
      <c r="AI1" s="3">
        <f>SUM(AI2,AI3)</f>
        <v>10383</v>
      </c>
      <c r="AJ1" s="3" t="e">
        <f>SUM(AJ2,AJ3)</f>
        <v>#DIV/0!</v>
      </c>
      <c r="AK1" s="3" t="e">
        <f>SUM(AK2,AK3)</f>
        <v>#DIV/0!</v>
      </c>
      <c r="AL1" s="3" t="e">
        <f>SUM(AL2,AL3)</f>
        <v>#DIV/0!</v>
      </c>
      <c r="AM1" s="3" t="e">
        <f>SUM(AM2,AM3)</f>
        <v>#DIV/0!</v>
      </c>
      <c r="AN1" s="3" t="e">
        <f>SUM(AN2,AN3)</f>
        <v>#DIV/0!</v>
      </c>
      <c r="AO1" s="3" t="e">
        <f>SUM(AO2,AO3)</f>
        <v>#DIV/0!</v>
      </c>
      <c r="AP1" s="3" t="e">
        <f>SUM(AP2,AP3)</f>
        <v>#DIV/0!</v>
      </c>
      <c r="AQ1" s="3" t="e">
        <f>SUM(AQ2,AQ3)</f>
        <v>#DIV/0!</v>
      </c>
      <c r="AR1" s="3" t="e">
        <f>SUM(AR2,AR3)</f>
        <v>#DIV/0!</v>
      </c>
      <c r="AS1" s="3" t="e">
        <f>SUM(AS2,AS3)</f>
        <v>#DIV/0!</v>
      </c>
      <c r="AT1" s="3" t="e">
        <f>SUM(AT2,AT3)</f>
        <v>#DIV/0!</v>
      </c>
      <c r="AU1" s="3" t="e">
        <f>SUM(AU2,AU3)</f>
        <v>#DIV/0!</v>
      </c>
      <c r="AV1" s="3" t="e">
        <f>SUM(AV2,AV3)</f>
        <v>#DIV/0!</v>
      </c>
      <c r="AW1" s="3" t="e">
        <f>SUM(AW2,AW3)</f>
        <v>#DIV/0!</v>
      </c>
      <c r="AX1" s="3" t="e">
        <f>SUM(AX2,AX3)</f>
        <v>#DIV/0!</v>
      </c>
      <c r="AY1" s="3" t="e">
        <f>SUM(AY2,AY3)</f>
        <v>#DIV/0!</v>
      </c>
      <c r="AZ1" s="3" t="e">
        <f>SUM(AZ2,AZ3)</f>
        <v>#DIV/0!</v>
      </c>
      <c r="BA1" s="3" t="e">
        <f>SUM(BA2,BA3)</f>
        <v>#DIV/0!</v>
      </c>
      <c r="BB1" s="3" t="e">
        <f>SUM(BB2,BB3)</f>
        <v>#DIV/0!</v>
      </c>
      <c r="BC1" s="3" t="e">
        <f>SUM(BC2,BC3)</f>
        <v>#DIV/0!</v>
      </c>
      <c r="BD1" s="3" t="e">
        <f>SUM(BD2,BD3)</f>
        <v>#DIV/0!</v>
      </c>
      <c r="BE1" s="3" t="e">
        <f>SUM(BE2,BE3)</f>
        <v>#DIV/0!</v>
      </c>
      <c r="BF1" s="3" t="e">
        <f>SUM(BF2,BF3)</f>
        <v>#DIV/0!</v>
      </c>
      <c r="BG1" s="3" t="e">
        <f>SUM(BG2,BG3)</f>
        <v>#DIV/0!</v>
      </c>
      <c r="BH1" s="3" t="e">
        <f>SUM(BH2,BH3)</f>
        <v>#DIV/0!</v>
      </c>
      <c r="BI1" s="3" t="e">
        <f>SUM(BI2,BI3)</f>
        <v>#DIV/0!</v>
      </c>
      <c r="BJ1" s="3" t="e">
        <f>SUM(BJ2,BJ3)</f>
        <v>#DIV/0!</v>
      </c>
      <c r="BK1" s="3" t="e">
        <f>SUM(BK2,BK3)</f>
        <v>#DIV/0!</v>
      </c>
      <c r="BL1" s="3" t="e">
        <f>SUM(BL2,BL3)</f>
        <v>#DIV/0!</v>
      </c>
      <c r="BM1" s="3" t="e">
        <f>SUM(BM2,BM3)</f>
        <v>#DIV/0!</v>
      </c>
      <c r="BN1" s="3" t="e">
        <f>SUM(BN2,BN3)</f>
        <v>#DIV/0!</v>
      </c>
      <c r="BO1" s="3" t="e">
        <f>SUM(BO2,BO3)</f>
        <v>#DIV/0!</v>
      </c>
      <c r="BP1" s="3" t="e">
        <f>SUM(BP2,BP3)</f>
        <v>#DIV/0!</v>
      </c>
      <c r="BQ1" s="3" t="e">
        <f>SUM(BQ2,BQ3)</f>
        <v>#DIV/0!</v>
      </c>
      <c r="BR1" s="3" t="e">
        <f>SUM(BR2,BR3)</f>
        <v>#DIV/0!</v>
      </c>
      <c r="BS1" s="3" t="e">
        <f>SUM(BS2,BS3)</f>
        <v>#DIV/0!</v>
      </c>
      <c r="BT1" s="3" t="e">
        <f>SUM(BT2,BT3)</f>
        <v>#DIV/0!</v>
      </c>
      <c r="BU1" s="3" t="e">
        <f>SUM(BU2,BU3)</f>
        <v>#DIV/0!</v>
      </c>
      <c r="BV1" s="3" t="e">
        <f>SUM(BV2,BV3)</f>
        <v>#DIV/0!</v>
      </c>
      <c r="BW1" s="3" t="e">
        <f>SUM(BW2,BW3)</f>
        <v>#DIV/0!</v>
      </c>
      <c r="BX1" s="3" t="e">
        <f>SUM(BX2,BX3)</f>
        <v>#DIV/0!</v>
      </c>
      <c r="BY1" s="3" t="e">
        <f>SUM(BY2,BY3)</f>
        <v>#DIV/0!</v>
      </c>
      <c r="BZ1" s="3" t="e">
        <f>SUM(BZ2,BZ3)</f>
        <v>#DIV/0!</v>
      </c>
      <c r="CA1" s="3" t="e">
        <f>SUM(CA2,CA3)</f>
        <v>#DIV/0!</v>
      </c>
      <c r="CB1" s="3" t="e">
        <f>SUM(CB2,CB3)</f>
        <v>#DIV/0!</v>
      </c>
      <c r="CC1" s="3" t="e">
        <f>SUM(CC2,CC3)</f>
        <v>#DIV/0!</v>
      </c>
      <c r="CD1" s="3" t="e">
        <f>SUM(CD2,CD3)</f>
        <v>#DIV/0!</v>
      </c>
      <c r="CE1" s="3" t="e">
        <f>SUM(CE2,CE3)</f>
        <v>#DIV/0!</v>
      </c>
      <c r="CF1" s="3" t="e">
        <f>SUM(CF2,CF3)</f>
        <v>#DIV/0!</v>
      </c>
      <c r="CG1" s="3" t="e">
        <f>SUM(CG2,CG3)</f>
        <v>#DIV/0!</v>
      </c>
      <c r="CH1" s="3" t="e">
        <f>SUM(CH2,CH3)</f>
        <v>#DIV/0!</v>
      </c>
      <c r="CI1" s="3" t="e">
        <f>SUM(CI2,CI3)</f>
        <v>#DIV/0!</v>
      </c>
      <c r="CJ1" s="3" t="e">
        <f>SUM(CJ2,CJ3)</f>
        <v>#DIV/0!</v>
      </c>
      <c r="CK1" s="3" t="e">
        <f>SUM(CK2,CK3)</f>
        <v>#DIV/0!</v>
      </c>
      <c r="CL1" s="3" t="e">
        <f>SUM(CL2,CL3)</f>
        <v>#DIV/0!</v>
      </c>
      <c r="CM1" s="3" t="e">
        <f>SUM(CM2,CM3)</f>
        <v>#DIV/0!</v>
      </c>
      <c r="CN1" s="3" t="e">
        <f>SUM(CN2,CN3)</f>
        <v>#DIV/0!</v>
      </c>
      <c r="CO1" s="3" t="e">
        <f>SUM(CO2,CO3)</f>
        <v>#DIV/0!</v>
      </c>
      <c r="CP1" s="3" t="e">
        <f>SUM(CP2,CP3)</f>
        <v>#DIV/0!</v>
      </c>
      <c r="CQ1" s="3" t="e">
        <f>SUM(CQ2,CQ3)</f>
        <v>#DIV/0!</v>
      </c>
      <c r="CR1" s="3" t="e">
        <f>SUM(CR2,CR3)</f>
        <v>#DIV/0!</v>
      </c>
      <c r="CS1" s="3" t="e">
        <f>SUM(CS2,CS3)</f>
        <v>#DIV/0!</v>
      </c>
      <c r="CT1" s="3" t="e">
        <f>SUM(CT2,CT3)</f>
        <v>#DIV/0!</v>
      </c>
      <c r="CU1" s="3" t="e">
        <f>SUM(CU2,CU3)</f>
        <v>#DIV/0!</v>
      </c>
      <c r="CV1" s="3" t="e">
        <f>SUM(CV2,CV3)</f>
        <v>#DIV/0!</v>
      </c>
      <c r="CW1" s="3" t="e">
        <f>SUM(CW2,CW3)</f>
        <v>#DIV/0!</v>
      </c>
      <c r="CX1" s="3" t="e">
        <f>SUM(CX2,CX3)</f>
        <v>#DIV/0!</v>
      </c>
      <c r="CY1" s="3" t="e">
        <f>SUM(CY2,CY3)</f>
        <v>#DIV/0!</v>
      </c>
    </row>
    <row r="2" outlineLevel="1">
      <c r="C2" s="5" t="inlineStr">
        <is>
          <t>BS</t>
        </is>
      </c>
      <c r="D2" s="3">
        <f>ABS(D163-D239)</f>
        <v>0</v>
      </c>
      <c r="E2" s="3">
        <f>ABS(E163-E239)</f>
        <v>0</v>
      </c>
      <c r="F2" s="3">
        <f>ABS(F163-F239)</f>
        <v>0</v>
      </c>
      <c r="G2" s="3">
        <f>ABS(G163-G239)</f>
        <v>0</v>
      </c>
      <c r="H2" s="3">
        <f>ABS(H163-H239)</f>
        <v>0</v>
      </c>
      <c r="I2" s="3">
        <f>ABS(I163-I239)</f>
        <v>0</v>
      </c>
      <c r="J2" s="3">
        <f>ABS(J163-J239)</f>
        <v>0</v>
      </c>
      <c r="K2" s="3">
        <f>ABS(K163-K239)</f>
        <v>0</v>
      </c>
      <c r="L2" s="3">
        <f>ABS(L163-L239)</f>
        <v>0</v>
      </c>
      <c r="M2" s="3">
        <f>ABS(M163-M239)</f>
        <v>0</v>
      </c>
      <c r="N2" s="3">
        <f>ABS(N163-N239)</f>
        <v>0</v>
      </c>
      <c r="O2" s="3">
        <f>ABS(O163-O239)</f>
        <v>0</v>
      </c>
      <c r="P2" s="3">
        <f>ABS(P163-P239)</f>
        <v>0</v>
      </c>
      <c r="Q2" s="3">
        <f>ABS(Q163-Q239)</f>
        <v>0</v>
      </c>
      <c r="R2" s="3">
        <f>ABS(R163-R239)</f>
        <v>0</v>
      </c>
      <c r="S2" s="3">
        <f>ABS(S163-S239)</f>
        <v>0</v>
      </c>
      <c r="T2" s="3">
        <f>ABS(T163-T239)</f>
        <v>0</v>
      </c>
      <c r="U2" s="3">
        <f>ABS(U163-U239)</f>
        <v>0</v>
      </c>
      <c r="V2" s="3">
        <f>ABS(V163-V239)</f>
        <v>0</v>
      </c>
      <c r="W2" s="3">
        <f>ABS(W163-W239)</f>
        <v>0</v>
      </c>
      <c r="X2" s="3">
        <f>ABS(X163-X239)</f>
        <v>0</v>
      </c>
      <c r="Y2" s="3">
        <f>ABS(Y163-Y239)</f>
        <v>0</v>
      </c>
      <c r="Z2" s="3">
        <f>ABS(Z163-Z239)</f>
        <v>0</v>
      </c>
      <c r="AA2" s="3">
        <f>ABS(AA163-AA239)</f>
        <v>0</v>
      </c>
      <c r="AB2" s="3">
        <f>ABS(AB163-AB239)</f>
        <v>0</v>
      </c>
      <c r="AC2" s="3">
        <f>ABS(AC163-AC239)</f>
        <v>0</v>
      </c>
      <c r="AD2" s="3">
        <f>ABS(AD163-AD239)</f>
        <v>0</v>
      </c>
      <c r="AE2" s="3">
        <f>ABS(AE163-AE239)</f>
        <v>0</v>
      </c>
      <c r="AF2" s="3">
        <f>ABS(AF163-AF239)</f>
        <v>0</v>
      </c>
      <c r="AG2" s="3">
        <f>ABS(AG163-AG239)</f>
        <v>0</v>
      </c>
      <c r="AH2" s="3" t="e">
        <f>ABS(AH163-AH239)</f>
        <v>#REF!</v>
      </c>
      <c r="AI2" s="3">
        <f>ABS(AI163-AI239)</f>
        <v>10383</v>
      </c>
      <c r="AJ2" s="3" t="e">
        <f>ABS(AJ163-AJ239)</f>
        <v>#DIV/0!</v>
      </c>
      <c r="AK2" s="3" t="e">
        <f>ABS(AK163-AK239)</f>
        <v>#DIV/0!</v>
      </c>
      <c r="AL2" s="3" t="e">
        <f>ABS(AL163-AL239)</f>
        <v>#DIV/0!</v>
      </c>
      <c r="AM2" s="3" t="e">
        <f>ABS(AM163-AM239)</f>
        <v>#DIV/0!</v>
      </c>
      <c r="AN2" s="3" t="e">
        <f>ABS(AN163-AN239)</f>
        <v>#DIV/0!</v>
      </c>
      <c r="AO2" s="3" t="e">
        <f>ABS(AO163-AO239)</f>
        <v>#DIV/0!</v>
      </c>
      <c r="AP2" s="3" t="e">
        <f>ABS(AP163-AP239)</f>
        <v>#DIV/0!</v>
      </c>
      <c r="AQ2" s="3" t="e">
        <f>ABS(AQ163-AQ239)</f>
        <v>#DIV/0!</v>
      </c>
      <c r="AR2" s="3" t="e">
        <f>ABS(AR163-AR239)</f>
        <v>#DIV/0!</v>
      </c>
      <c r="AS2" s="3" t="e">
        <f>ABS(AS163-AS239)</f>
        <v>#DIV/0!</v>
      </c>
      <c r="AT2" s="3" t="e">
        <f>ABS(AT163-AT239)</f>
        <v>#DIV/0!</v>
      </c>
      <c r="AU2" s="3" t="e">
        <f>ABS(AU163-AU239)</f>
        <v>#DIV/0!</v>
      </c>
      <c r="AV2" s="3" t="e">
        <f>ABS(AV163-AV239)</f>
        <v>#DIV/0!</v>
      </c>
      <c r="AW2" s="3" t="e">
        <f>ABS(AW163-AW239)</f>
        <v>#DIV/0!</v>
      </c>
      <c r="AX2" s="3" t="e">
        <f>ABS(AX163-AX239)</f>
        <v>#DIV/0!</v>
      </c>
      <c r="AY2" s="3" t="e">
        <f>ABS(AY163-AY239)</f>
        <v>#DIV/0!</v>
      </c>
      <c r="AZ2" s="3" t="e">
        <f>ABS(AZ163-AZ239)</f>
        <v>#DIV/0!</v>
      </c>
      <c r="BA2" s="3" t="e">
        <f>ABS(BA163-BA239)</f>
        <v>#DIV/0!</v>
      </c>
      <c r="BB2" s="3" t="e">
        <f>ABS(BB163-BB239)</f>
        <v>#DIV/0!</v>
      </c>
      <c r="BC2" s="3" t="e">
        <f>ABS(BC163-BC239)</f>
        <v>#DIV/0!</v>
      </c>
      <c r="BD2" s="3" t="e">
        <f>ABS(BD163-BD239)</f>
        <v>#DIV/0!</v>
      </c>
      <c r="BE2" s="3" t="e">
        <f>ABS(BE163-BE239)</f>
        <v>#DIV/0!</v>
      </c>
      <c r="BF2" s="3" t="e">
        <f>ABS(BF163-BF239)</f>
        <v>#DIV/0!</v>
      </c>
      <c r="BG2" s="3" t="e">
        <f>ABS(BG163-BG239)</f>
        <v>#DIV/0!</v>
      </c>
      <c r="BH2" s="3" t="e">
        <f>ABS(BH163-BH239)</f>
        <v>#DIV/0!</v>
      </c>
      <c r="BI2" s="3" t="e">
        <f>ABS(BI163-BI239)</f>
        <v>#DIV/0!</v>
      </c>
      <c r="BJ2" s="3" t="e">
        <f>ABS(BJ163-BJ239)</f>
        <v>#DIV/0!</v>
      </c>
      <c r="BK2" s="3" t="e">
        <f>ABS(BK163-BK239)</f>
        <v>#DIV/0!</v>
      </c>
      <c r="BL2" s="3" t="e">
        <f>ABS(BL163-BL239)</f>
        <v>#DIV/0!</v>
      </c>
      <c r="BM2" s="3" t="e">
        <f>ABS(BM163-BM239)</f>
        <v>#DIV/0!</v>
      </c>
      <c r="BN2" s="3" t="e">
        <f>ABS(BN163-BN239)</f>
        <v>#DIV/0!</v>
      </c>
      <c r="BO2" s="3" t="e">
        <f>ABS(BO163-BO239)</f>
        <v>#DIV/0!</v>
      </c>
      <c r="BP2" s="3" t="e">
        <f>ABS(BP163-BP239)</f>
        <v>#DIV/0!</v>
      </c>
      <c r="BQ2" s="3" t="e">
        <f>ABS(BQ163-BQ239)</f>
        <v>#DIV/0!</v>
      </c>
      <c r="BR2" s="3" t="e">
        <f>ABS(BR163-BR239)</f>
        <v>#DIV/0!</v>
      </c>
      <c r="BS2" s="3" t="e">
        <f>ABS(BS163-BS239)</f>
        <v>#DIV/0!</v>
      </c>
      <c r="BT2" s="3" t="e">
        <f>ABS(BT163-BT239)</f>
        <v>#DIV/0!</v>
      </c>
      <c r="BU2" s="3" t="e">
        <f>ABS(BU163-BU239)</f>
        <v>#DIV/0!</v>
      </c>
      <c r="BV2" s="3" t="e">
        <f>ABS(BV163-BV239)</f>
        <v>#DIV/0!</v>
      </c>
      <c r="BW2" s="3" t="e">
        <f>ABS(BW163-BW239)</f>
        <v>#DIV/0!</v>
      </c>
      <c r="BX2" s="3" t="e">
        <f>ABS(BX163-BX239)</f>
        <v>#DIV/0!</v>
      </c>
      <c r="BY2" s="3" t="e">
        <f>ABS(BY163-BY239)</f>
        <v>#DIV/0!</v>
      </c>
      <c r="BZ2" s="3" t="e">
        <f>ABS(BZ163-BZ239)</f>
        <v>#DIV/0!</v>
      </c>
      <c r="CA2" s="3" t="e">
        <f>ABS(CA163-CA239)</f>
        <v>#DIV/0!</v>
      </c>
      <c r="CB2" s="3" t="e">
        <f>ABS(CB163-CB239)</f>
        <v>#DIV/0!</v>
      </c>
      <c r="CC2" s="3" t="e">
        <f>ABS(CC163-CC239)</f>
        <v>#DIV/0!</v>
      </c>
      <c r="CD2" s="3" t="e">
        <f>ABS(CD163-CD239)</f>
        <v>#DIV/0!</v>
      </c>
      <c r="CE2" s="3" t="e">
        <f>ABS(CE163-CE239)</f>
        <v>#DIV/0!</v>
      </c>
      <c r="CF2" s="3" t="e">
        <f>ABS(CF163-CF239)</f>
        <v>#DIV/0!</v>
      </c>
      <c r="CG2" s="3" t="e">
        <f>ABS(CG163-CG239)</f>
        <v>#DIV/0!</v>
      </c>
      <c r="CH2" s="3" t="e">
        <f>ABS(CH163-CH239)</f>
        <v>#DIV/0!</v>
      </c>
      <c r="CI2" s="3" t="e">
        <f>ABS(CI163-CI239)</f>
        <v>#DIV/0!</v>
      </c>
      <c r="CJ2" s="3" t="e">
        <f>ABS(CJ163-CJ239)</f>
        <v>#DIV/0!</v>
      </c>
      <c r="CK2" s="3" t="e">
        <f>ABS(CK163-CK239)</f>
        <v>#DIV/0!</v>
      </c>
      <c r="CL2" s="3" t="e">
        <f>ABS(CL163-CL239)</f>
        <v>#DIV/0!</v>
      </c>
      <c r="CM2" s="3" t="e">
        <f>ABS(CM163-CM239)</f>
        <v>#DIV/0!</v>
      </c>
      <c r="CN2" s="3" t="e">
        <f>ABS(CN163-CN239)</f>
        <v>#DIV/0!</v>
      </c>
      <c r="CO2" s="3" t="e">
        <f>ABS(CO163-CO239)</f>
        <v>#DIV/0!</v>
      </c>
      <c r="CP2" s="3" t="e">
        <f>ABS(CP163-CP239)</f>
        <v>#DIV/0!</v>
      </c>
      <c r="CQ2" s="3" t="e">
        <f>ABS(CQ163-CQ239)</f>
        <v>#DIV/0!</v>
      </c>
      <c r="CR2" s="3" t="e">
        <f>ABS(CR163-CR239)</f>
        <v>#DIV/0!</v>
      </c>
      <c r="CS2" s="3" t="e">
        <f>ABS(CS163-CS239)</f>
        <v>#DIV/0!</v>
      </c>
      <c r="CT2" s="3" t="e">
        <f>ABS(CT163-CT239)</f>
        <v>#DIV/0!</v>
      </c>
      <c r="CU2" s="3" t="e">
        <f>ABS(CU163-CU239)</f>
        <v>#DIV/0!</v>
      </c>
      <c r="CV2" s="3" t="e">
        <f>ABS(CV163-CV239)</f>
        <v>#DIV/0!</v>
      </c>
      <c r="CW2" s="3" t="e">
        <f>ABS(CW163-CW239)</f>
        <v>#DIV/0!</v>
      </c>
      <c r="CX2" s="3" t="e">
        <f>ABS(CX163-CX239)</f>
        <v>#DIV/0!</v>
      </c>
      <c r="CY2" s="3" t="e">
        <f>ABS(CY163-CY239)</f>
        <v>#DIV/0!</v>
      </c>
    </row>
    <row r="3" outlineLevel="1">
      <c r="C3" s="5" t="inlineStr">
        <is>
          <t>IS</t>
        </is>
      </c>
      <c r="D3" s="3">
        <f>IF(COUNT(D4)=0,"",ABS(D103-D4))</f>
        <v>0</v>
      </c>
      <c r="E3" s="3">
        <f>IF(COUNT(E4)=0,"",ABS(E103-E4))</f>
        <v>0</v>
      </c>
      <c r="F3" s="3">
        <f>IF(COUNT(F4)=0,"",ABS(F103-F4))</f>
        <v>0</v>
      </c>
      <c r="G3" s="3">
        <f>IF(COUNT(G4)=0,"",ABS(G103-G4))</f>
        <v>0</v>
      </c>
      <c r="H3" s="3">
        <f>IF(COUNT(H4)=0,"",ABS(H103-H4))</f>
        <v>0</v>
      </c>
      <c r="I3" s="3">
        <f>IF(COUNT(I4)=0,"",ABS(I103-I4))</f>
        <v>0</v>
      </c>
      <c r="J3" s="3">
        <f>IF(COUNT(J4)=0,"",ABS(J103-J4))</f>
        <v>0</v>
      </c>
      <c r="K3" s="3">
        <f>IF(COUNT(K4)=0,"",ABS(K103-K4))</f>
        <v>0</v>
      </c>
      <c r="L3" s="3">
        <f>IF(COUNT(L4)=0,"",ABS(L103-L4))</f>
        <v>0</v>
      </c>
      <c r="M3" s="3">
        <f>IF(COUNT(M4)=0,"",ABS(M103-M4))</f>
        <v>0</v>
      </c>
      <c r="N3" s="3">
        <f>IF(COUNT(N4)=0,"",ABS(N103-N4))</f>
        <v>0</v>
      </c>
      <c r="O3" s="3">
        <f>IF(COUNT(O4)=0,"",ABS(O103-O4))</f>
        <v>0</v>
      </c>
      <c r="P3" s="3">
        <f>IF(COUNT(P4)=0,"",ABS(P103-P4))</f>
        <v>0</v>
      </c>
      <c r="Q3" s="3">
        <f>IF(COUNT(Q4)=0,"",ABS(Q103-Q4))</f>
        <v>0</v>
      </c>
      <c r="R3" s="3">
        <f>IF(COUNT(R4)=0,"",ABS(R103-R4))</f>
        <v>0</v>
      </c>
      <c r="S3" s="3">
        <f>IF(COUNT(S4)=0,"",ABS(S103-S4))</f>
        <v>0</v>
      </c>
      <c r="T3" s="3">
        <f>IF(COUNT(T4)=0,"",ABS(T103-T4))</f>
        <v>0</v>
      </c>
      <c r="U3" s="3">
        <f>IF(COUNT(U4)=0,"",ABS(U103-U4))</f>
        <v>0</v>
      </c>
      <c r="V3" s="3">
        <f>IF(COUNT(V4)=0,"",ABS(V103-V4))</f>
        <v>0</v>
      </c>
      <c r="W3" s="3">
        <f>IF(COUNT(W4)=0,"",ABS(W103-W4))</f>
        <v>0</v>
      </c>
      <c r="X3" s="3">
        <f>IF(COUNT(X4)=0,"",ABS(X103-X4))</f>
        <v>0</v>
      </c>
      <c r="Y3" s="3">
        <f>IF(COUNT(Y4)=0,"",ABS(Y103-Y4))</f>
        <v>0</v>
      </c>
      <c r="Z3" s="3">
        <f>IF(COUNT(Z4)=0,"",ABS(Z103-Z4))</f>
        <v>0</v>
      </c>
      <c r="AA3" s="3">
        <f>IF(COUNT(AA4)=0,"",ABS(AA103-AA4))</f>
        <v>0</v>
      </c>
      <c r="AB3" s="3">
        <f>IF(COUNT(AB4)=0,"",ABS(AB103-AB4))</f>
        <v>0</v>
      </c>
      <c r="AC3" s="3">
        <f>IF(COUNT(AC4)=0,"",ABS(AC103-AC4))</f>
        <v>0</v>
      </c>
      <c r="AD3" s="3">
        <f>IF(COUNT(AD4)=0,"",ABS(AD103-AD4))</f>
        <v>0</v>
      </c>
      <c r="AE3" s="3">
        <f>IF(COUNT(AE4)=0,"",ABS(AE103-AE4))</f>
        <v>0</v>
      </c>
      <c r="AF3" s="3">
        <f>IF(COUNT(AF4)=0,"",ABS(AF103-AF4))</f>
        <v>0</v>
      </c>
      <c r="AG3" s="3">
        <f>IF(COUNT(AG4)=0,"",ABS(AG103-AG4))</f>
        <v>0</v>
      </c>
      <c r="AH3" s="3" t="str">
        <f>IF(COUNT(AH4)=0,"",ABS(AH103-AH4))</f>
        <v/>
      </c>
      <c r="AI3" s="3" t="str">
        <f>IF(COUNT(AI4)=0,"",ABS(AI103-AI4))</f>
        <v/>
      </c>
      <c r="AJ3" s="3" t="str">
        <f>IF(COUNT(AJ4)=0,"",ABS(AJ103-AJ4))</f>
        <v/>
      </c>
      <c r="AK3" s="3" t="str">
        <f>IF(COUNT(AK4)=0,"",ABS(AK103-AK4))</f>
        <v/>
      </c>
      <c r="AL3" s="3" t="str">
        <f>IF(COUNT(AL4)=0,"",ABS(AL103-AL4))</f>
        <v/>
      </c>
      <c r="AM3" s="3" t="str">
        <f>IF(COUNT(AM4)=0,"",ABS(AM103-AM4))</f>
        <v/>
      </c>
      <c r="AN3" s="3" t="str">
        <f>IF(COUNT(AN4)=0,"",ABS(AN103-AN4))</f>
        <v/>
      </c>
      <c r="AO3" s="3" t="str">
        <f>IF(COUNT(AO4)=0,"",ABS(AO103-AO4))</f>
        <v/>
      </c>
      <c r="AP3" s="3" t="str">
        <f>IF(COUNT(AP4)=0,"",ABS(AP103-AP4))</f>
        <v/>
      </c>
      <c r="AQ3" s="3" t="str">
        <f>IF(COUNT(AQ4)=0,"",ABS(AQ103-AQ4))</f>
        <v/>
      </c>
      <c r="AR3" s="3" t="str">
        <f>IF(COUNT(AR4)=0,"",ABS(AR103-AR4))</f>
        <v/>
      </c>
      <c r="AS3" s="3" t="str">
        <f>IF(COUNT(AS4)=0,"",ABS(AS103-AS4))</f>
        <v/>
      </c>
      <c r="AT3" s="3" t="str">
        <f>IF(COUNT(AT4)=0,"",ABS(AT103-AT4))</f>
        <v/>
      </c>
      <c r="AU3" s="3" t="str">
        <f>IF(COUNT(AU4)=0,"",ABS(AU103-AU4))</f>
        <v/>
      </c>
      <c r="AV3" s="3" t="str">
        <f>IF(COUNT(AV4)=0,"",ABS(AV103-AV4))</f>
        <v/>
      </c>
      <c r="AW3" s="3" t="str">
        <f>IF(COUNT(AW4)=0,"",ABS(AW103-AW4))</f>
        <v/>
      </c>
      <c r="AX3" s="3" t="str">
        <f>IF(COUNT(AX4)=0,"",ABS(AX103-AX4))</f>
        <v/>
      </c>
      <c r="AY3" s="3" t="str">
        <f>IF(COUNT(AY4)=0,"",ABS(AY103-AY4))</f>
        <v/>
      </c>
      <c r="AZ3" s="3" t="str">
        <f>IF(COUNT(AZ4)=0,"",ABS(AZ103-AZ4))</f>
        <v/>
      </c>
      <c r="BA3" s="3" t="str">
        <f>IF(COUNT(BA4)=0,"",ABS(BA103-BA4))</f>
        <v/>
      </c>
      <c r="BB3" s="3" t="str">
        <f>IF(COUNT(BB4)=0,"",ABS(BB103-BB4))</f>
        <v/>
      </c>
      <c r="BC3" s="3" t="str">
        <f>IF(COUNT(BC4)=0,"",ABS(BC103-BC4))</f>
        <v/>
      </c>
      <c r="BD3" s="3" t="str">
        <f>IF(COUNT(BD4)=0,"",ABS(BD103-BD4))</f>
        <v/>
      </c>
      <c r="BE3" s="3" t="str">
        <f>IF(COUNT(BE4)=0,"",ABS(BE103-BE4))</f>
        <v/>
      </c>
      <c r="BF3" s="3" t="str">
        <f>IF(COUNT(BF4)=0,"",ABS(BF103-BF4))</f>
        <v/>
      </c>
      <c r="BG3" s="3" t="str">
        <f>IF(COUNT(BG4)=0,"",ABS(BG103-BG4))</f>
        <v/>
      </c>
      <c r="BH3" s="3" t="str">
        <f>IF(COUNT(BH4)=0,"",ABS(BH103-BH4))</f>
        <v/>
      </c>
      <c r="BI3" s="3" t="str">
        <f>IF(COUNT(BI4)=0,"",ABS(BI103-BI4))</f>
        <v/>
      </c>
      <c r="BJ3" s="3" t="str">
        <f>IF(COUNT(BJ4)=0,"",ABS(BJ103-BJ4))</f>
        <v/>
      </c>
      <c r="BK3" s="3" t="str">
        <f>IF(COUNT(BK4)=0,"",ABS(BK103-BK4))</f>
        <v/>
      </c>
      <c r="BL3" s="3" t="str">
        <f>IF(COUNT(BL4)=0,"",ABS(BL103-BL4))</f>
        <v/>
      </c>
      <c r="BM3" s="3" t="str">
        <f>IF(COUNT(BM4)=0,"",ABS(BM103-BM4))</f>
        <v/>
      </c>
      <c r="BN3" s="3" t="str">
        <f>IF(COUNT(BN4)=0,"",ABS(BN103-BN4))</f>
        <v/>
      </c>
      <c r="BO3" s="3" t="str">
        <f>IF(COUNT(BO4)=0,"",ABS(BO103-BO4))</f>
        <v/>
      </c>
      <c r="BP3" s="3" t="str">
        <f>IF(COUNT(BP4)=0,"",ABS(BP103-BP4))</f>
        <v/>
      </c>
      <c r="BQ3" s="3" t="str">
        <f>IF(COUNT(BQ4)=0,"",ABS(BQ103-BQ4))</f>
        <v/>
      </c>
      <c r="BR3" s="3" t="str">
        <f>IF(COUNT(BR4)=0,"",ABS(BR103-BR4))</f>
        <v/>
      </c>
      <c r="BS3" s="3" t="str">
        <f>IF(COUNT(BS4)=0,"",ABS(BS103-BS4))</f>
        <v/>
      </c>
      <c r="BT3" s="3" t="str">
        <f>IF(COUNT(BT4)=0,"",ABS(BT103-BT4))</f>
        <v/>
      </c>
      <c r="BU3" s="3" t="str">
        <f>IF(COUNT(BU4)=0,"",ABS(BU103-BU4))</f>
        <v/>
      </c>
      <c r="BV3" s="3" t="str">
        <f>IF(COUNT(BV4)=0,"",ABS(BV103-BV4))</f>
        <v/>
      </c>
      <c r="BW3" s="3" t="str">
        <f>IF(COUNT(BW4)=0,"",ABS(BW103-BW4))</f>
        <v/>
      </c>
      <c r="BX3" s="3" t="str">
        <f>IF(COUNT(BX4)=0,"",ABS(BX103-BX4))</f>
        <v/>
      </c>
      <c r="BY3" s="3" t="str">
        <f>IF(COUNT(BY4)=0,"",ABS(BY103-BY4))</f>
        <v/>
      </c>
      <c r="BZ3" s="3" t="str">
        <f>IF(COUNT(BZ4)=0,"",ABS(BZ103-BZ4))</f>
        <v/>
      </c>
      <c r="CA3" s="3" t="str">
        <f>IF(COUNT(CA4)=0,"",ABS(CA103-CA4))</f>
        <v/>
      </c>
      <c r="CB3" s="3" t="str">
        <f>IF(COUNT(CB4)=0,"",ABS(CB103-CB4))</f>
        <v/>
      </c>
      <c r="CC3" s="3" t="str">
        <f>IF(COUNT(CC4)=0,"",ABS(CC103-CC4))</f>
        <v/>
      </c>
      <c r="CD3" s="3" t="str">
        <f>IF(COUNT(CD4)=0,"",ABS(CD103-CD4))</f>
        <v/>
      </c>
      <c r="CE3" s="3" t="str">
        <f>IF(COUNT(CE4)=0,"",ABS(CE103-CE4))</f>
        <v/>
      </c>
      <c r="CF3" s="3" t="str">
        <f>IF(COUNT(CF4)=0,"",ABS(CF103-CF4))</f>
        <v/>
      </c>
      <c r="CG3" s="3" t="str">
        <f>IF(COUNT(CG4)=0,"",ABS(CG103-CG4))</f>
        <v/>
      </c>
      <c r="CH3" s="3" t="str">
        <f>IF(COUNT(CH4)=0,"",ABS(CH103-CH4))</f>
        <v/>
      </c>
      <c r="CI3" s="3" t="str">
        <f>IF(COUNT(CI4)=0,"",ABS(CI103-CI4))</f>
        <v/>
      </c>
      <c r="CJ3" s="3" t="str">
        <f>IF(COUNT(CJ4)=0,"",ABS(CJ103-CJ4))</f>
        <v/>
      </c>
      <c r="CK3" s="3" t="str">
        <f>IF(COUNT(CK4)=0,"",ABS(CK103-CK4))</f>
        <v/>
      </c>
      <c r="CL3" s="3" t="str">
        <f>IF(COUNT(CL4)=0,"",ABS(CL103-CL4))</f>
        <v/>
      </c>
      <c r="CM3" s="3" t="str">
        <f>IF(COUNT(CM4)=0,"",ABS(CM103-CM4))</f>
        <v/>
      </c>
      <c r="CN3" s="3" t="str">
        <f>IF(COUNT(CN4)=0,"",ABS(CN103-CN4))</f>
        <v/>
      </c>
      <c r="CO3" s="3" t="str">
        <f>IF(COUNT(CO4)=0,"",ABS(CO103-CO4))</f>
        <v/>
      </c>
      <c r="CP3" s="3" t="str">
        <f>IF(COUNT(CP4)=0,"",ABS(CP103-CP4))</f>
        <v/>
      </c>
      <c r="CQ3" s="3" t="str">
        <f>IF(COUNT(CQ4)=0,"",ABS(CQ103-CQ4))</f>
        <v/>
      </c>
      <c r="CR3" s="3" t="str">
        <f>IF(COUNT(CR4)=0,"",ABS(CR103-CR4))</f>
        <v/>
      </c>
      <c r="CS3" s="3" t="str">
        <f>IF(COUNT(CS4)=0,"",ABS(CS103-CS4))</f>
        <v/>
      </c>
      <c r="CT3" s="3" t="str">
        <f>IF(COUNT(CT4)=0,"",ABS(CT103-CT4))</f>
        <v/>
      </c>
      <c r="CU3" s="3" t="str">
        <f>IF(COUNT(CU4)=0,"",ABS(CU103-CU4))</f>
        <v/>
      </c>
      <c r="CV3" s="3" t="str">
        <f>IF(COUNT(CV4)=0,"",ABS(CV103-CV4))</f>
        <v/>
      </c>
      <c r="CW3" s="3" t="str">
        <f>IF(COUNT(CW4)=0,"",ABS(CW103-CW4))</f>
        <v/>
      </c>
      <c r="CX3" s="3" t="str">
        <f>IF(COUNT(CX4)=0,"",ABS(CX103-CX4))</f>
        <v/>
      </c>
      <c r="CY3" s="3" t="str">
        <f>IF(COUNT(CY4)=0,"",ABS(CY103-CY4))</f>
        <v/>
      </c>
    </row>
    <row r="4" outlineLevel="1">
      <c r="C4" s="14" t="inlineStr">
        <is>
          <t>Net Income reportado (SEC) - base do check IS</t>
        </is>
      </c>
      <c r="D4" s="16">
        <f>INDEX('Inputs (2)'!$D$50:$AL$50,MATCH(D$7,'Inputs (2)'!$D$2:$AL$2,0))</f>
        <v>917</v>
      </c>
      <c r="E4" s="16">
        <f>INDEX('Inputs (2)'!$D$50:$AL$50,MATCH(E$7,'Inputs (2)'!$D$2:$AL$2,0))</f>
        <v>622</v>
      </c>
      <c r="F4" s="16">
        <f>INDEX('Inputs (2)'!$D$50:$AL$50,MATCH(F$7,'Inputs (2)'!$D$2:$AL$2,0))</f>
        <v>1336</v>
      </c>
      <c r="G4" s="16">
        <f>INDEX('Inputs (2)'!$D$50:$AL$50,MATCH(G$7,'Inputs (2)'!$D$2:$AL$2,0))</f>
        <v>1457</v>
      </c>
      <c r="H4" s="16">
        <f>SUM(D4:G4)</f>
        <v>4332</v>
      </c>
      <c r="I4" s="16">
        <f>INDEX('Inputs (2)'!$D$50:$AL$50,MATCH(I$7,'Inputs (2)'!$D$2:$AL$2,0))</f>
        <v>1912</v>
      </c>
      <c r="J4" s="16">
        <f>INDEX('Inputs (2)'!$D$50:$AL$50,MATCH(J$7,'Inputs (2)'!$D$2:$AL$2,0))</f>
        <v>2374</v>
      </c>
      <c r="K4" s="16">
        <f>INDEX('Inputs (2)'!$D$50:$AL$50,MATCH(K$7,'Inputs (2)'!$D$2:$AL$2,0))</f>
        <v>2464</v>
      </c>
      <c r="L4" s="16">
        <f>INDEX('Inputs (2)'!$D$50:$AL$50,MATCH(L$7,'Inputs (2)'!$D$2:$AL$2,0))</f>
        <v>3002</v>
      </c>
      <c r="M4" s="16">
        <f>SUM(I4:L4)</f>
        <v>9752</v>
      </c>
      <c r="N4" s="16">
        <f>INDEX('Inputs (2)'!$D$50:$AL$50,MATCH(N$7,'Inputs (2)'!$D$2:$AL$2,0))</f>
        <v>1618</v>
      </c>
      <c r="O4" s="16">
        <f>INDEX('Inputs (2)'!$D$50:$AL$50,MATCH(O$7,'Inputs (2)'!$D$2:$AL$2,0))</f>
        <v>656</v>
      </c>
      <c r="P4" s="16">
        <f>INDEX('Inputs (2)'!$D$50:$AL$50,MATCH(P$7,'Inputs (2)'!$D$2:$AL$2,0))</f>
        <v>680</v>
      </c>
      <c r="Q4" s="16">
        <f>INDEX('Inputs (2)'!$D$50:$AL$50,MATCH(Q$7,'Inputs (2)'!$D$2:$AL$2,0))</f>
        <v>1414</v>
      </c>
      <c r="R4" s="16">
        <f>SUM(N4:Q4)</f>
        <v>4368</v>
      </c>
      <c r="S4" s="16">
        <f>INDEX('Inputs (2)'!$D$50:$AL$50,MATCH(S$7,'Inputs (2)'!$D$2:$AL$2,0))</f>
        <v>2043</v>
      </c>
      <c r="T4" s="16">
        <f>INDEX('Inputs (2)'!$D$50:$AL$50,MATCH(T$7,'Inputs (2)'!$D$2:$AL$2,0))</f>
        <v>6188</v>
      </c>
      <c r="U4" s="16">
        <f>INDEX('Inputs (2)'!$D$50:$AL$50,MATCH(U$7,'Inputs (2)'!$D$2:$AL$2,0))</f>
        <v>9243</v>
      </c>
      <c r="V4" s="16">
        <f>INDEX('Inputs (2)'!$D$50:$AL$50,MATCH(V$7,'Inputs (2)'!$D$2:$AL$2,0))</f>
        <v>12286</v>
      </c>
      <c r="W4" s="16">
        <f>SUM(S4:V4)</f>
        <v>29760</v>
      </c>
      <c r="X4" s="16">
        <f>INDEX('Inputs (2)'!$D$50:$AL$50,MATCH(X$7,'Inputs (2)'!$D$2:$AL$2,0))</f>
        <v>14881</v>
      </c>
      <c r="Y4" s="16">
        <f>INDEX('Inputs (2)'!$D$50:$AL$50,MATCH(Y$7,'Inputs (2)'!$D$2:$AL$2,0))</f>
        <v>16599</v>
      </c>
      <c r="Z4" s="16">
        <f>INDEX('Inputs (2)'!$D$50:$AL$50,MATCH(Z$7,'Inputs (2)'!$D$2:$AL$2,0))</f>
        <v>19309</v>
      </c>
      <c r="AA4" s="16">
        <f>INDEX('Inputs (2)'!$D$50:$AL$50,MATCH(AA$7,'Inputs (2)'!$D$2:$AL$2,0))</f>
        <v>22091</v>
      </c>
      <c r="AB4" s="16">
        <f>SUM(X4:AA4)</f>
        <v>72880</v>
      </c>
      <c r="AC4" s="16">
        <f>INDEX('Inputs (2)'!$D$50:$AL$50,MATCH(AC$7,'Inputs (2)'!$D$2:$AL$2,0))</f>
        <v>18775</v>
      </c>
      <c r="AD4" s="16">
        <f>INDEX('Inputs (2)'!$D$50:$AL$50,MATCH(AD$7,'Inputs (2)'!$D$2:$AL$2,0))</f>
        <v>26422</v>
      </c>
      <c r="AE4" s="16">
        <f>INDEX('Inputs (2)'!$D$50:$AL$50,MATCH(AE$7,'Inputs (2)'!$D$2:$AL$2,0))</f>
        <v>31910</v>
      </c>
      <c r="AF4" s="16">
        <f>INDEX('Inputs (2)'!$D$50:$AL$50,MATCH(AF$7,'Inputs (2)'!$D$2:$AL$2,0))</f>
        <v>42960</v>
      </c>
      <c r="AG4" s="16">
        <f>SUM(AC4:AF4)</f>
        <v>120067</v>
      </c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>
      <c r="B5" s="7" t="n">
        <v>45930</v>
      </c>
      <c r="D5" s="9" t="n">
        <v>43921</v>
      </c>
      <c r="E5" s="10">
        <f>DATE(YEAR(D5),MONTH(D5)+3,DAY(D5)-1)</f>
        <v>44012.0</v>
      </c>
      <c r="F5" s="10">
        <f>DATE(YEAR(E5),MONTH(E5)+3,DAY(E5))</f>
        <v>44104.0</v>
      </c>
      <c r="G5" s="10">
        <f>DATE(YEAR(F5),MONTH(F5)+3,DAY(F5)+1)</f>
        <v>44196.0</v>
      </c>
      <c r="H5" s="8">
        <f>G5</f>
        <v>44196.0</v>
      </c>
      <c r="I5" s="9" t="n">
        <v>44286</v>
      </c>
      <c r="J5" s="10">
        <f>DATE(YEAR(I5),MONTH(I5)+3,DAY(I5)-1)</f>
        <v>44377.0</v>
      </c>
      <c r="K5" s="10">
        <f>DATE(YEAR(J5),MONTH(J5)+3,DAY(J5))</f>
        <v>44469.0</v>
      </c>
      <c r="L5" s="10">
        <f>DATE(YEAR(K5),MONTH(K5)+3,DAY(K5)+1)</f>
        <v>44561.0</v>
      </c>
      <c r="M5" s="8">
        <f>L5</f>
        <v>44561.0</v>
      </c>
      <c r="N5" s="10">
        <f>DATE(YEAR(M5),MONTH(M5)+3,DAY(M5))</f>
        <v>44651.0</v>
      </c>
      <c r="O5" s="10">
        <f>DATE(YEAR(N5),MONTH(N5)+3,DAY(N5)-1)</f>
        <v>44742.0</v>
      </c>
      <c r="P5" s="10">
        <f>DATE(YEAR(O5),MONTH(O5)+3,DAY(O5))</f>
        <v>44834.0</v>
      </c>
      <c r="Q5" s="10">
        <f>DATE(YEAR(P5),MONTH(P5)+3,DAY(P5)+1)</f>
        <v>44926.0</v>
      </c>
      <c r="R5" s="8">
        <f>Q5</f>
        <v>44926.0</v>
      </c>
      <c r="S5" s="10">
        <f>DATE(YEAR(R5),MONTH(R5)+3,DAY(R5))</f>
        <v>45016.0</v>
      </c>
      <c r="T5" s="10">
        <f>DATE(YEAR(S5),MONTH(S5)+3,DAY(S5))-1</f>
        <v>45107.0</v>
      </c>
      <c r="U5" s="10">
        <f>DATE(YEAR(T5),MONTH(T5)+3,DAY(T5))</f>
        <v>45199.0</v>
      </c>
      <c r="V5" s="10">
        <f>DATE(YEAR(U5),MONTH(U5)+3,DAY(U5))+1</f>
        <v>45291.0</v>
      </c>
      <c r="W5" s="8">
        <f>V5</f>
        <v>45291.0</v>
      </c>
      <c r="X5" s="10">
        <f>DATE(YEAR(W5),MONTH(W5)+3,DAY(W5))</f>
        <v>45382.0</v>
      </c>
      <c r="Y5" s="10">
        <f>DATE(YEAR(X5),MONTH(X5)+3,DAY(X5))-1</f>
        <v>45473.0</v>
      </c>
      <c r="Z5" s="10">
        <f>DATE(YEAR(Y5),MONTH(Y5)+3,DAY(Y5))</f>
        <v>45565.0</v>
      </c>
      <c r="AA5" s="10">
        <f>DATE(YEAR(Z5),MONTH(Z5)+3,DAY(Z5))+1</f>
        <v>45657.0</v>
      </c>
      <c r="AB5" s="8">
        <f>AA5</f>
        <v>45657.0</v>
      </c>
      <c r="AC5" s="10">
        <f>DATE(YEAR(AB5),MONTH(AB5)+3,DAY(AB5))</f>
        <v>45747.0</v>
      </c>
      <c r="AD5" s="10">
        <f>DATE(YEAR(AC5),MONTH(AC5)+3,DAY(AC5))-1</f>
        <v>45838.0</v>
      </c>
      <c r="AE5" s="10">
        <f>DATE(YEAR(AD5),MONTH(AD5)+3,DAY(AD5))</f>
        <v>45930.0</v>
      </c>
      <c r="AF5" s="10">
        <f>DATE(YEAR(AE5),MONTH(AE5)+3,DAY(AE5))+1</f>
        <v>46022.0</v>
      </c>
      <c r="AG5" s="8">
        <f>AF5</f>
        <v>46022.0</v>
      </c>
      <c r="AH5" s="10">
        <f>DATE(YEAR(AG5),MONTH(AG5)+3,DAY(AG5))</f>
        <v>46112.0</v>
      </c>
      <c r="AI5" s="10">
        <f>DATE(YEAR(AH5),MONTH(AH5)+3,DAY(AH5))-1</f>
        <v>46203.0</v>
      </c>
      <c r="AJ5" s="10">
        <f>DATE(YEAR(AI5),MONTH(AI5)+3,DAY(AI5))</f>
        <v>46295.0</v>
      </c>
      <c r="AK5" s="10">
        <f>DATE(YEAR(AJ5),MONTH(AJ5)+3,DAY(AJ5))+1</f>
        <v>46387.0</v>
      </c>
      <c r="AL5" s="8">
        <f>AK5</f>
        <v>46387.0</v>
      </c>
      <c r="AM5" s="10">
        <f>DATE(YEAR(AL5),MONTH(AL5)+3,DAY(AL5))</f>
        <v>46477.0</v>
      </c>
      <c r="AN5" s="10">
        <f>DATE(YEAR(AM5),MONTH(AM5)+3,DAY(AM5))-1</f>
        <v>46568.0</v>
      </c>
      <c r="AO5" s="10">
        <f>DATE(YEAR(AN5),MONTH(AN5)+3,DAY(AN5))</f>
        <v>46660.0</v>
      </c>
      <c r="AP5" s="10">
        <f>DATE(YEAR(AO5),MONTH(AO5)+3,DAY(AO5))+1</f>
        <v>46752.0</v>
      </c>
      <c r="AQ5" s="8">
        <f>AP5</f>
        <v>46752.0</v>
      </c>
      <c r="AR5" s="10">
        <f>DATE(YEAR(AQ5),MONTH(AQ5)+3,DAY(AQ5))</f>
        <v>46843.0</v>
      </c>
      <c r="AS5" s="10">
        <f>DATE(YEAR(AR5),MONTH(AR5)+3,DAY(AR5))-1</f>
        <v>46934.0</v>
      </c>
      <c r="AT5" s="10">
        <f>DATE(YEAR(AS5),MONTH(AS5)+3,DAY(AS5))</f>
        <v>47026.0</v>
      </c>
      <c r="AU5" s="10">
        <f>DATE(YEAR(AT5),MONTH(AT5)+3,DAY(AT5))+1</f>
        <v>47118.0</v>
      </c>
      <c r="AV5" s="8">
        <f>AU5</f>
        <v>47118.0</v>
      </c>
      <c r="AW5" s="10">
        <f>DATE(YEAR(AV5),MONTH(AV5)+3,DAY(AV5))</f>
        <v>47208.0</v>
      </c>
      <c r="AX5" s="10">
        <f>DATE(YEAR(AW5),MONTH(AW5)+3,DAY(AW5))-1</f>
        <v>47299.0</v>
      </c>
      <c r="AY5" s="10">
        <f>DATE(YEAR(AX5),MONTH(AX5)+3,DAY(AX5))</f>
        <v>47391.0</v>
      </c>
      <c r="AZ5" s="10">
        <f>DATE(YEAR(AY5),MONTH(AY5)+3,DAY(AY5))+1</f>
        <v>47483.0</v>
      </c>
      <c r="BA5" s="8">
        <f>AZ5</f>
        <v>47483.0</v>
      </c>
      <c r="BB5" s="10">
        <f>DATE(YEAR(BA5),MONTH(BA5)+3,DAY(BA5))</f>
        <v>47573.0</v>
      </c>
      <c r="BC5" s="10">
        <f>DATE(YEAR(BB5),MONTH(BB5)+3,DAY(BB5))-1</f>
        <v>47664.0</v>
      </c>
      <c r="BD5" s="10">
        <f>DATE(YEAR(BC5),MONTH(BC5)+3,DAY(BC5))</f>
        <v>47756.0</v>
      </c>
      <c r="BE5" s="10">
        <f>DATE(YEAR(BD5),MONTH(BD5)+3,DAY(BD5))+1</f>
        <v>47848.0</v>
      </c>
      <c r="BF5" s="8">
        <f>BE5</f>
        <v>47848.0</v>
      </c>
      <c r="BG5" s="10">
        <f>DATE(YEAR(BF5),MONTH(BF5)+3,DAY(BF5))</f>
        <v>47938.0</v>
      </c>
      <c r="BH5" s="10">
        <f>DATE(YEAR(BG5),MONTH(BG5)+3,DAY(BG5))-1</f>
        <v>48029.0</v>
      </c>
      <c r="BI5" s="10">
        <f>DATE(YEAR(BH5),MONTH(BH5)+3,DAY(BH5))</f>
        <v>48121.0</v>
      </c>
      <c r="BJ5" s="10">
        <f>DATE(YEAR(BI5),MONTH(BI5)+3,DAY(BI5))+1</f>
        <v>48213.0</v>
      </c>
      <c r="BK5" s="8">
        <f>BJ5</f>
        <v>48213.0</v>
      </c>
      <c r="BL5" s="10">
        <f>DATE(YEAR(BK5),MONTH(BK5)+3,DAY(BK5))</f>
        <v>48304.0</v>
      </c>
      <c r="BM5" s="10">
        <f>DATE(YEAR(BL5),MONTH(BL5)+3,DAY(BL5))-1</f>
        <v>48395.0</v>
      </c>
      <c r="BN5" s="10">
        <f>DATE(YEAR(BM5),MONTH(BM5)+3,DAY(BM5))</f>
        <v>48487.0</v>
      </c>
      <c r="BO5" s="10">
        <f>DATE(YEAR(BN5),MONTH(BN5)+3,DAY(BN5))+1</f>
        <v>48579.0</v>
      </c>
      <c r="BP5" s="8">
        <f>BO5</f>
        <v>48579.0</v>
      </c>
      <c r="BQ5" s="10">
        <f>DATE(YEAR(BP5),MONTH(BP5)+3,DAY(BP5))</f>
        <v>48669.0</v>
      </c>
      <c r="BR5" s="10">
        <f>DATE(YEAR(BQ5),MONTH(BQ5)+3,DAY(BQ5))-1</f>
        <v>48760.0</v>
      </c>
      <c r="BS5" s="10">
        <f>DATE(YEAR(BR5),MONTH(BR5)+3,DAY(BR5))</f>
        <v>48852.0</v>
      </c>
      <c r="BT5" s="10">
        <f>DATE(YEAR(BS5),MONTH(BS5)+3,DAY(BS5))+1</f>
        <v>48944.0</v>
      </c>
      <c r="BU5" s="8">
        <f>BT5</f>
        <v>48944.0</v>
      </c>
      <c r="BV5" s="10">
        <f>DATE(YEAR(BU5),MONTH(BU5)+3,DAY(BU5))</f>
        <v>49034.0</v>
      </c>
      <c r="BW5" s="10">
        <f>DATE(YEAR(BV5),MONTH(BV5)+3,DAY(BV5))-1</f>
        <v>49125.0</v>
      </c>
      <c r="BX5" s="10">
        <f>DATE(YEAR(BW5),MONTH(BW5)+3,DAY(BW5))</f>
        <v>49217.0</v>
      </c>
      <c r="BY5" s="10">
        <f>DATE(YEAR(BX5),MONTH(BX5)+3,DAY(BX5))+1</f>
        <v>49309.0</v>
      </c>
      <c r="BZ5" s="8">
        <f>BY5</f>
        <v>49309.0</v>
      </c>
      <c r="CA5" s="10">
        <f>DATE(YEAR(BZ5),MONTH(BZ5)+3,DAY(BZ5))</f>
        <v>49399.0</v>
      </c>
      <c r="CB5" s="10">
        <f>DATE(YEAR(CA5),MONTH(CA5)+3,DAY(CA5))-1</f>
        <v>49490.0</v>
      </c>
      <c r="CC5" s="10">
        <f>DATE(YEAR(CB5),MONTH(CB5)+3,DAY(CB5))</f>
        <v>49582.0</v>
      </c>
      <c r="CD5" s="10">
        <f>DATE(YEAR(CC5),MONTH(CC5)+3,DAY(CC5))+1</f>
        <v>49674.0</v>
      </c>
      <c r="CE5" s="8">
        <f>CD5</f>
        <v>49674.0</v>
      </c>
      <c r="CF5" s="10">
        <f>DATE(YEAR(CE5),MONTH(CE5)+3,DAY(CE5))</f>
        <v>49765.0</v>
      </c>
      <c r="CG5" s="10">
        <f>DATE(YEAR(CF5),MONTH(CF5)+3,DAY(CF5))-1</f>
        <v>49856.0</v>
      </c>
      <c r="CH5" s="10">
        <f>DATE(YEAR(CG5),MONTH(CG5)+3,DAY(CG5))</f>
        <v>49948.0</v>
      </c>
      <c r="CI5" s="10">
        <f>DATE(YEAR(CH5),MONTH(CH5)+3,DAY(CH5))+1</f>
        <v>50040.0</v>
      </c>
      <c r="CJ5" s="8">
        <f>CI5</f>
        <v>50040.0</v>
      </c>
      <c r="CK5" s="10">
        <f>DATE(YEAR(CJ5),MONTH(CJ5)+3,DAY(CJ5))</f>
        <v>50130.0</v>
      </c>
      <c r="CL5" s="10">
        <f>DATE(YEAR(CK5),MONTH(CK5)+3,DAY(CK5))-1</f>
        <v>50221.0</v>
      </c>
      <c r="CM5" s="10">
        <f>DATE(YEAR(CL5),MONTH(CL5)+3,DAY(CL5))</f>
        <v>50313.0</v>
      </c>
      <c r="CN5" s="10">
        <f>DATE(YEAR(CM5),MONTH(CM5)+3,DAY(CM5))+1</f>
        <v>50405.0</v>
      </c>
      <c r="CO5" s="8">
        <f>CN5</f>
        <v>50405.0</v>
      </c>
      <c r="CP5" s="10">
        <f>DATE(YEAR(CO5),MONTH(CO5)+3,DAY(CO5))</f>
        <v>50495.0</v>
      </c>
      <c r="CQ5" s="10">
        <f>DATE(YEAR(CP5),MONTH(CP5)+3,DAY(CP5))-1</f>
        <v>50586.0</v>
      </c>
      <c r="CR5" s="10">
        <f>DATE(YEAR(CQ5),MONTH(CQ5)+3,DAY(CQ5))</f>
        <v>50678.0</v>
      </c>
      <c r="CS5" s="10">
        <f>DATE(YEAR(CR5),MONTH(CR5)+3,DAY(CR5))+1</f>
        <v>50770.0</v>
      </c>
      <c r="CT5" s="8">
        <f>CS5</f>
        <v>50770.0</v>
      </c>
      <c r="CU5" s="10">
        <f>DATE(YEAR(CT5),MONTH(CT5)+3,DAY(CT5))</f>
        <v>50860.0</v>
      </c>
      <c r="CV5" s="10">
        <f>DATE(YEAR(CU5),MONTH(CU5)+3,DAY(CU5))-1</f>
        <v>50951.0</v>
      </c>
      <c r="CW5" s="10">
        <f>DATE(YEAR(CV5),MONTH(CV5)+3,DAY(CV5))</f>
        <v>51043.0</v>
      </c>
      <c r="CX5" s="10">
        <f>DATE(YEAR(CW5),MONTH(CW5)+3,DAY(CW5))+1</f>
        <v>51135.0</v>
      </c>
      <c r="CY5" s="8">
        <f>CX5</f>
        <v>51135.0</v>
      </c>
    </row>
    <row r="6">
      <c r="B6" s="49" t="n"/>
      <c r="D6" s="11">
        <f>YEAR(D5)</f>
        <v>2020</v>
      </c>
      <c r="E6" s="11">
        <f>YEAR(E5)</f>
        <v>2020</v>
      </c>
      <c r="F6" s="11">
        <f>YEAR(F5)</f>
        <v>2020</v>
      </c>
      <c r="G6" s="11">
        <f>YEAR(G5)</f>
        <v>2020</v>
      </c>
      <c r="H6" s="11">
        <f>YEAR(H5)</f>
        <v>2020</v>
      </c>
      <c r="I6" s="11">
        <f>YEAR(I5)</f>
        <v>2021</v>
      </c>
      <c r="J6" s="11">
        <f>YEAR(J5)</f>
        <v>2021</v>
      </c>
      <c r="K6" s="11">
        <f>YEAR(K5)</f>
        <v>2021</v>
      </c>
      <c r="L6" s="11">
        <f>YEAR(L5)</f>
        <v>2021</v>
      </c>
      <c r="M6" s="11">
        <f>YEAR(M5)</f>
        <v>2021</v>
      </c>
      <c r="N6" s="11">
        <f>YEAR(N5)</f>
        <v>2022</v>
      </c>
      <c r="O6" s="11">
        <f>YEAR(O5)</f>
        <v>2022</v>
      </c>
      <c r="P6" s="11">
        <f>YEAR(P5)</f>
        <v>2022</v>
      </c>
      <c r="Q6" s="11">
        <f>YEAR(Q5)</f>
        <v>2022</v>
      </c>
      <c r="R6" s="11">
        <f>YEAR(R5)</f>
        <v>2022</v>
      </c>
      <c r="S6" s="11">
        <f>YEAR(S5)</f>
        <v>2023</v>
      </c>
      <c r="T6" s="11">
        <f>YEAR(T5)</f>
        <v>2023</v>
      </c>
      <c r="U6" s="11">
        <f>YEAR(U5)</f>
        <v>2023</v>
      </c>
      <c r="V6" s="11">
        <f>YEAR(V5)</f>
        <v>2023</v>
      </c>
      <c r="W6" s="11">
        <f>YEAR(W5)</f>
        <v>2023</v>
      </c>
      <c r="X6" s="11">
        <f>YEAR(X5)</f>
        <v>2024</v>
      </c>
      <c r="Y6" s="11">
        <f>YEAR(Y5)</f>
        <v>2024</v>
      </c>
      <c r="Z6" s="11">
        <f>YEAR(Z5)</f>
        <v>2024</v>
      </c>
      <c r="AA6" s="11">
        <f>YEAR(AA5)</f>
        <v>2024</v>
      </c>
      <c r="AB6" s="11">
        <f>YEAR(AB5)</f>
        <v>2024</v>
      </c>
      <c r="AC6" s="11">
        <f>YEAR(AC5)</f>
        <v>2025</v>
      </c>
      <c r="AD6" s="11">
        <f>YEAR(AD5)</f>
        <v>2025</v>
      </c>
      <c r="AE6" s="11">
        <f>YEAR(AE5)</f>
        <v>2025</v>
      </c>
      <c r="AF6" s="11">
        <f>YEAR(AF5)</f>
        <v>2025</v>
      </c>
      <c r="AG6" s="11">
        <f>YEAR(AG5)</f>
        <v>2025</v>
      </c>
      <c r="AH6" s="11">
        <f>YEAR(AH5)</f>
        <v>2026</v>
      </c>
      <c r="AI6" s="11">
        <f>YEAR(AI5)</f>
        <v>2026</v>
      </c>
      <c r="AJ6" s="11">
        <f>YEAR(AJ5)</f>
        <v>2026</v>
      </c>
      <c r="AK6" s="11">
        <f>YEAR(AK5)</f>
        <v>2026</v>
      </c>
      <c r="AL6" s="11">
        <f>YEAR(AL5)</f>
        <v>2026</v>
      </c>
      <c r="AM6" s="11">
        <f>YEAR(AM5)</f>
        <v>2027</v>
      </c>
      <c r="AN6" s="11">
        <f>YEAR(AN5)</f>
        <v>2027</v>
      </c>
      <c r="AO6" s="11">
        <f>YEAR(AO5)</f>
        <v>2027</v>
      </c>
      <c r="AP6" s="11">
        <f>YEAR(AP5)</f>
        <v>2027</v>
      </c>
      <c r="AQ6" s="11">
        <f>YEAR(AQ5)</f>
        <v>2027</v>
      </c>
      <c r="AR6" s="11">
        <f>YEAR(AR5)</f>
        <v>2028</v>
      </c>
      <c r="AS6" s="11">
        <f>YEAR(AS5)</f>
        <v>2028</v>
      </c>
      <c r="AT6" s="11">
        <f>YEAR(AT5)</f>
        <v>2028</v>
      </c>
      <c r="AU6" s="11">
        <f>YEAR(AU5)</f>
        <v>2028</v>
      </c>
      <c r="AV6" s="11">
        <f>YEAR(AV5)</f>
        <v>2028</v>
      </c>
      <c r="AW6" s="11">
        <f>YEAR(AW5)</f>
        <v>2029</v>
      </c>
      <c r="AX6" s="11">
        <f>YEAR(AX5)</f>
        <v>2029</v>
      </c>
      <c r="AY6" s="11">
        <f>YEAR(AY5)</f>
        <v>2029</v>
      </c>
      <c r="AZ6" s="11">
        <f>YEAR(AZ5)</f>
        <v>2029</v>
      </c>
      <c r="BA6" s="11">
        <f>YEAR(BA5)</f>
        <v>2029</v>
      </c>
      <c r="BB6" s="11">
        <f>YEAR(BB5)</f>
        <v>2030</v>
      </c>
      <c r="BC6" s="11">
        <f>YEAR(BC5)</f>
        <v>2030</v>
      </c>
      <c r="BD6" s="11">
        <f>YEAR(BD5)</f>
        <v>2030</v>
      </c>
      <c r="BE6" s="11">
        <f>YEAR(BE5)</f>
        <v>2030</v>
      </c>
      <c r="BF6" s="11">
        <f>YEAR(BF5)</f>
        <v>2030</v>
      </c>
      <c r="BG6" s="11">
        <f>YEAR(BG5)</f>
        <v>2031</v>
      </c>
      <c r="BH6" s="11">
        <f>YEAR(BH5)</f>
        <v>2031</v>
      </c>
      <c r="BI6" s="11">
        <f>YEAR(BI5)</f>
        <v>2031</v>
      </c>
      <c r="BJ6" s="11">
        <f>YEAR(BJ5)</f>
        <v>2031</v>
      </c>
      <c r="BK6" s="11">
        <f>YEAR(BK5)</f>
        <v>2031</v>
      </c>
      <c r="BL6" s="11">
        <f>YEAR(BL5)</f>
        <v>2032</v>
      </c>
      <c r="BM6" s="11">
        <f>YEAR(BM5)</f>
        <v>2032</v>
      </c>
      <c r="BN6" s="11">
        <f>YEAR(BN5)</f>
        <v>2032</v>
      </c>
      <c r="BO6" s="11">
        <f>YEAR(BO5)</f>
        <v>2032</v>
      </c>
      <c r="BP6" s="11">
        <f>YEAR(BP5)</f>
        <v>2032</v>
      </c>
      <c r="BQ6" s="11">
        <f>YEAR(BQ5)</f>
        <v>2033</v>
      </c>
      <c r="BR6" s="11">
        <f>YEAR(BR5)</f>
        <v>2033</v>
      </c>
      <c r="BS6" s="11">
        <f>YEAR(BS5)</f>
        <v>2033</v>
      </c>
      <c r="BT6" s="11">
        <f>YEAR(BT5)</f>
        <v>2033</v>
      </c>
      <c r="BU6" s="11">
        <f>YEAR(BU5)</f>
        <v>2033</v>
      </c>
      <c r="BV6" s="11">
        <f>YEAR(BV5)</f>
        <v>2034</v>
      </c>
      <c r="BW6" s="11">
        <f>YEAR(BW5)</f>
        <v>2034</v>
      </c>
      <c r="BX6" s="11">
        <f>YEAR(BX5)</f>
        <v>2034</v>
      </c>
      <c r="BY6" s="11">
        <f>YEAR(BY5)</f>
        <v>2034</v>
      </c>
      <c r="BZ6" s="11">
        <f>YEAR(BZ5)</f>
        <v>2034</v>
      </c>
      <c r="CA6" s="11">
        <f>YEAR(CA5)</f>
        <v>2035</v>
      </c>
      <c r="CB6" s="11">
        <f>YEAR(CB5)</f>
        <v>2035</v>
      </c>
      <c r="CC6" s="11">
        <f>YEAR(CC5)</f>
        <v>2035</v>
      </c>
      <c r="CD6" s="11">
        <f>YEAR(CD5)</f>
        <v>2035</v>
      </c>
      <c r="CE6" s="11">
        <f>YEAR(CE5)</f>
        <v>2035</v>
      </c>
      <c r="CF6" s="11">
        <f>YEAR(CF5)</f>
        <v>2036</v>
      </c>
      <c r="CG6" s="11">
        <f>YEAR(CG5)</f>
        <v>2036</v>
      </c>
      <c r="CH6" s="11">
        <f>YEAR(CH5)</f>
        <v>2036</v>
      </c>
      <c r="CI6" s="11">
        <f>YEAR(CI5)</f>
        <v>2036</v>
      </c>
      <c r="CJ6" s="11">
        <f>YEAR(CJ5)</f>
        <v>2036</v>
      </c>
      <c r="CK6" s="11">
        <f>YEAR(CK5)</f>
        <v>2037</v>
      </c>
      <c r="CL6" s="11">
        <f>YEAR(CL5)</f>
        <v>2037</v>
      </c>
      <c r="CM6" s="11">
        <f>YEAR(CM5)</f>
        <v>2037</v>
      </c>
      <c r="CN6" s="11">
        <f>YEAR(CN5)</f>
        <v>2037</v>
      </c>
      <c r="CO6" s="11">
        <f>YEAR(CO5)</f>
        <v>2037</v>
      </c>
      <c r="CP6" s="11">
        <f>YEAR(CP5)</f>
        <v>2038</v>
      </c>
      <c r="CQ6" s="11">
        <f>YEAR(CQ5)</f>
        <v>2038</v>
      </c>
      <c r="CR6" s="11">
        <f>YEAR(CR5)</f>
        <v>2038</v>
      </c>
      <c r="CS6" s="11">
        <f>YEAR(CS5)</f>
        <v>2038</v>
      </c>
      <c r="CT6" s="11">
        <f>YEAR(CT5)</f>
        <v>2038</v>
      </c>
      <c r="CU6" s="11">
        <f>YEAR(CU5)</f>
        <v>2039</v>
      </c>
      <c r="CV6" s="11">
        <f>YEAR(CV5)</f>
        <v>2039</v>
      </c>
      <c r="CW6" s="11">
        <f>YEAR(CW5)</f>
        <v>2039</v>
      </c>
      <c r="CX6" s="11">
        <f>YEAR(CX5)</f>
        <v>2039</v>
      </c>
      <c r="CY6" s="11">
        <f>YEAR(CY5)</f>
        <v>2039</v>
      </c>
    </row>
    <row r="7">
      <c r="B7" s="4" t="n"/>
      <c r="D7" s="50" t="str">
        <f>"1Q"&amp;RIGHT(D6,2)</f>
        <v>1Q20</v>
      </c>
      <c r="E7" s="50" t="str">
        <f>"2Q"&amp;RIGHT(E6,2)</f>
        <v>2Q20</v>
      </c>
      <c r="F7" s="50" t="str">
        <f>"3Q"&amp;RIGHT(F6,2)</f>
        <v>3Q20</v>
      </c>
      <c r="G7" s="50" t="str">
        <f>"4Q"&amp;RIGHT(G6,2)</f>
        <v>4Q20</v>
      </c>
      <c r="H7" s="31" t="n">
        <v>2020</v>
      </c>
      <c r="I7" s="50" t="str">
        <f>"1Q"&amp;RIGHT(I6,2)</f>
        <v>1Q21</v>
      </c>
      <c r="J7" s="50" t="str">
        <f>"2Q"&amp;RIGHT(J6,2)</f>
        <v>2Q21</v>
      </c>
      <c r="K7" s="50" t="str">
        <f>"3Q"&amp;RIGHT(K6,2)</f>
        <v>3Q21</v>
      </c>
      <c r="L7" s="50" t="str">
        <f>"4Q"&amp;RIGHT(L6,2)</f>
        <v>4Q21</v>
      </c>
      <c r="M7" s="31">
        <f>H7+1</f>
        <v>2021</v>
      </c>
      <c r="N7" s="50" t="str">
        <f>"1Q"&amp;RIGHT(N6,2)</f>
        <v>1Q22</v>
      </c>
      <c r="O7" s="50" t="str">
        <f>"2Q"&amp;RIGHT(O6,2)</f>
        <v>2Q22</v>
      </c>
      <c r="P7" s="50" t="str">
        <f>"3Q"&amp;RIGHT(P6,2)</f>
        <v>3Q22</v>
      </c>
      <c r="Q7" s="50" t="str">
        <f>"4Q"&amp;RIGHT(Q6,2)</f>
        <v>4Q22</v>
      </c>
      <c r="R7" s="31">
        <f>M7+1</f>
        <v>2022</v>
      </c>
      <c r="S7" s="50" t="str">
        <f>"1Q"&amp;RIGHT(S6,2)</f>
        <v>1Q23</v>
      </c>
      <c r="T7" s="50" t="str">
        <f>"2Q"&amp;RIGHT(T6,2)</f>
        <v>2Q23</v>
      </c>
      <c r="U7" s="50" t="str">
        <f>"3Q"&amp;RIGHT(U6,2)</f>
        <v>3Q23</v>
      </c>
      <c r="V7" s="50" t="str">
        <f>"4Q"&amp;RIGHT(V6,2)</f>
        <v>4Q23</v>
      </c>
      <c r="W7" s="31">
        <f>R7+1</f>
        <v>2023</v>
      </c>
      <c r="X7" s="50" t="str">
        <f>"1Q"&amp;RIGHT(X6,2)</f>
        <v>1Q24</v>
      </c>
      <c r="Y7" s="50" t="str">
        <f>"2Q"&amp;RIGHT(Y6,2)</f>
        <v>2Q24</v>
      </c>
      <c r="Z7" s="50" t="str">
        <f>"3Q"&amp;RIGHT(Z6,2)</f>
        <v>3Q24</v>
      </c>
      <c r="AA7" s="50" t="str">
        <f>"4Q"&amp;RIGHT(AA6,2)</f>
        <v>4Q24</v>
      </c>
      <c r="AB7" s="31">
        <f>W7+1</f>
        <v>2024</v>
      </c>
      <c r="AC7" s="50" t="str">
        <f>"1Q"&amp;RIGHT(AC6,2)</f>
        <v>1Q25</v>
      </c>
      <c r="AD7" s="50" t="str">
        <f>"2Q"&amp;RIGHT(AD6,2)</f>
        <v>2Q25</v>
      </c>
      <c r="AE7" s="50" t="str">
        <f>"3Q"&amp;RIGHT(AE6,2)</f>
        <v>3Q25</v>
      </c>
      <c r="AF7" s="50" t="str">
        <f>"4Q"&amp;RIGHT(AF6,2)</f>
        <v>4Q25</v>
      </c>
      <c r="AG7" s="31">
        <f>AB7+1</f>
        <v>2025</v>
      </c>
      <c r="AH7" s="50" t="str">
        <f>"1Q"&amp;RIGHT(AH6,2)</f>
        <v>1Q26</v>
      </c>
      <c r="AI7" s="50" t="str">
        <f>"2Q"&amp;RIGHT(AI6,2)</f>
        <v>2Q26</v>
      </c>
      <c r="AJ7" s="50" t="str">
        <f>"3Q"&amp;RIGHT(AJ6,2)</f>
        <v>3Q26</v>
      </c>
      <c r="AK7" s="50" t="str">
        <f>"4Q"&amp;RIGHT(AK6,2)</f>
        <v>4Q26</v>
      </c>
      <c r="AL7" s="31">
        <f>AG7+1</f>
        <v>2026</v>
      </c>
      <c r="AM7" s="50" t="str">
        <f>"1Q"&amp;RIGHT(AM6,2)</f>
        <v>1Q27</v>
      </c>
      <c r="AN7" s="50" t="str">
        <f>"2Q"&amp;RIGHT(AN6,2)</f>
        <v>2Q27</v>
      </c>
      <c r="AO7" s="50" t="str">
        <f>"3Q"&amp;RIGHT(AO6,2)</f>
        <v>3Q27</v>
      </c>
      <c r="AP7" s="50" t="str">
        <f>"4Q"&amp;RIGHT(AP6,2)</f>
        <v>4Q27</v>
      </c>
      <c r="AQ7" s="31">
        <f>AL7+1</f>
        <v>2027</v>
      </c>
      <c r="AR7" s="50" t="str">
        <f>"1Q"&amp;RIGHT(AR6,2)</f>
        <v>1Q28</v>
      </c>
      <c r="AS7" s="50" t="str">
        <f>"2Q"&amp;RIGHT(AS6,2)</f>
        <v>2Q28</v>
      </c>
      <c r="AT7" s="50" t="str">
        <f>"3Q"&amp;RIGHT(AT6,2)</f>
        <v>3Q28</v>
      </c>
      <c r="AU7" s="50" t="str">
        <f>"4Q"&amp;RIGHT(AU6,2)</f>
        <v>4Q28</v>
      </c>
      <c r="AV7" s="31">
        <f>AQ7+1</f>
        <v>2028</v>
      </c>
      <c r="AW7" s="50" t="str">
        <f>"1Q"&amp;RIGHT(AW6,2)</f>
        <v>1Q29</v>
      </c>
      <c r="AX7" s="50" t="str">
        <f>"2Q"&amp;RIGHT(AX6,2)</f>
        <v>2Q29</v>
      </c>
      <c r="AY7" s="50" t="str">
        <f>"3Q"&amp;RIGHT(AY6,2)</f>
        <v>3Q29</v>
      </c>
      <c r="AZ7" s="50" t="str">
        <f>"4Q"&amp;RIGHT(AZ6,2)</f>
        <v>4Q29</v>
      </c>
      <c r="BA7" s="31">
        <f>AV7+1</f>
        <v>2029</v>
      </c>
      <c r="BB7" s="50" t="str">
        <f>"1Q"&amp;RIGHT(BB6,2)</f>
        <v>1Q30</v>
      </c>
      <c r="BC7" s="50" t="str">
        <f>"2Q"&amp;RIGHT(BC6,2)</f>
        <v>2Q30</v>
      </c>
      <c r="BD7" s="50" t="str">
        <f>"3Q"&amp;RIGHT(BD6,2)</f>
        <v>3Q30</v>
      </c>
      <c r="BE7" s="50" t="str">
        <f>"4Q"&amp;RIGHT(BE6,2)</f>
        <v>4Q30</v>
      </c>
      <c r="BF7" s="31">
        <f>BA7+1</f>
        <v>2030</v>
      </c>
      <c r="BG7" s="50" t="str">
        <f>"1Q"&amp;RIGHT(BG6,2)</f>
        <v>1Q31</v>
      </c>
      <c r="BH7" s="50" t="str">
        <f>"2Q"&amp;RIGHT(BH6,2)</f>
        <v>2Q31</v>
      </c>
      <c r="BI7" s="50" t="str">
        <f>"3Q"&amp;RIGHT(BI6,2)</f>
        <v>3Q31</v>
      </c>
      <c r="BJ7" s="50" t="str">
        <f>"4Q"&amp;RIGHT(BJ6,2)</f>
        <v>4Q31</v>
      </c>
      <c r="BK7" s="31">
        <f>BF7+1</f>
        <v>2031</v>
      </c>
      <c r="BL7" s="50" t="str">
        <f>"1Q"&amp;RIGHT(BL6,2)</f>
        <v>1Q32</v>
      </c>
      <c r="BM7" s="50" t="str">
        <f>"2Q"&amp;RIGHT(BM6,2)</f>
        <v>2Q32</v>
      </c>
      <c r="BN7" s="50" t="str">
        <f>"3Q"&amp;RIGHT(BN6,2)</f>
        <v>3Q32</v>
      </c>
      <c r="BO7" s="50" t="str">
        <f>"4Q"&amp;RIGHT(BO6,2)</f>
        <v>4Q32</v>
      </c>
      <c r="BP7" s="31">
        <f>BK7+1</f>
        <v>2032</v>
      </c>
      <c r="BQ7" s="50" t="str">
        <f>"1Q"&amp;RIGHT(BQ6,2)</f>
        <v>1Q33</v>
      </c>
      <c r="BR7" s="50" t="str">
        <f>"2Q"&amp;RIGHT(BR6,2)</f>
        <v>2Q33</v>
      </c>
      <c r="BS7" s="50" t="str">
        <f>"3Q"&amp;RIGHT(BS6,2)</f>
        <v>3Q33</v>
      </c>
      <c r="BT7" s="50" t="str">
        <f>"4Q"&amp;RIGHT(BT6,2)</f>
        <v>4Q33</v>
      </c>
      <c r="BU7" s="31">
        <f>BP7+1</f>
        <v>2033</v>
      </c>
      <c r="BV7" s="50" t="str">
        <f>"1Q"&amp;RIGHT(BV6,2)</f>
        <v>1Q34</v>
      </c>
      <c r="BW7" s="50" t="str">
        <f>"2Q"&amp;RIGHT(BW6,2)</f>
        <v>2Q34</v>
      </c>
      <c r="BX7" s="50" t="str">
        <f>"3Q"&amp;RIGHT(BX6,2)</f>
        <v>3Q34</v>
      </c>
      <c r="BY7" s="50" t="str">
        <f>"4Q"&amp;RIGHT(BY6,2)</f>
        <v>4Q34</v>
      </c>
      <c r="BZ7" s="31">
        <f>BU7+1</f>
        <v>2034</v>
      </c>
      <c r="CA7" s="50" t="str">
        <f>"1Q"&amp;RIGHT(CA6,2)</f>
        <v>1Q35</v>
      </c>
      <c r="CB7" s="50" t="str">
        <f>"2Q"&amp;RIGHT(CB6,2)</f>
        <v>2Q35</v>
      </c>
      <c r="CC7" s="50" t="str">
        <f>"3Q"&amp;RIGHT(CC6,2)</f>
        <v>3Q35</v>
      </c>
      <c r="CD7" s="50" t="str">
        <f>"4Q"&amp;RIGHT(CD6,2)</f>
        <v>4Q35</v>
      </c>
      <c r="CE7" s="31">
        <f>BZ7+1</f>
        <v>2035</v>
      </c>
      <c r="CF7" s="50" t="str">
        <f>"1Q"&amp;RIGHT(CF6,2)</f>
        <v>1Q36</v>
      </c>
      <c r="CG7" s="50" t="str">
        <f>"2Q"&amp;RIGHT(CG6,2)</f>
        <v>2Q36</v>
      </c>
      <c r="CH7" s="50" t="str">
        <f>"3Q"&amp;RIGHT(CH6,2)</f>
        <v>3Q36</v>
      </c>
      <c r="CI7" s="50" t="str">
        <f>"4Q"&amp;RIGHT(CI6,2)</f>
        <v>4Q36</v>
      </c>
      <c r="CJ7" s="31">
        <f>CE7+1</f>
        <v>2036</v>
      </c>
      <c r="CK7" s="50" t="str">
        <f>"1Q"&amp;RIGHT(CK6,2)</f>
        <v>1Q37</v>
      </c>
      <c r="CL7" s="50" t="str">
        <f>"2Q"&amp;RIGHT(CL6,2)</f>
        <v>2Q37</v>
      </c>
      <c r="CM7" s="50" t="str">
        <f>"3Q"&amp;RIGHT(CM6,2)</f>
        <v>3Q37</v>
      </c>
      <c r="CN7" s="50" t="str">
        <f>"4Q"&amp;RIGHT(CN6,2)</f>
        <v>4Q37</v>
      </c>
      <c r="CO7" s="31">
        <f>CJ7+1</f>
        <v>2037</v>
      </c>
      <c r="CP7" s="50" t="str">
        <f>"1Q"&amp;RIGHT(CP6,2)</f>
        <v>1Q38</v>
      </c>
      <c r="CQ7" s="50" t="str">
        <f>"2Q"&amp;RIGHT(CQ6,2)</f>
        <v>2Q38</v>
      </c>
      <c r="CR7" s="50" t="str">
        <f>"3Q"&amp;RIGHT(CR6,2)</f>
        <v>3Q38</v>
      </c>
      <c r="CS7" s="50" t="str">
        <f>"4Q"&amp;RIGHT(CS6,2)</f>
        <v>4Q38</v>
      </c>
      <c r="CT7" s="31">
        <f>CO7+1</f>
        <v>2038</v>
      </c>
      <c r="CU7" s="50" t="str">
        <f>"1Q"&amp;RIGHT(CU6,2)</f>
        <v>1Q39</v>
      </c>
      <c r="CV7" s="50" t="str">
        <f>"2Q"&amp;RIGHT(CV6,2)</f>
        <v>2Q39</v>
      </c>
      <c r="CW7" s="50" t="str">
        <f>"3Q"&amp;RIGHT(CW6,2)</f>
        <v>3Q39</v>
      </c>
      <c r="CX7" s="50" t="str">
        <f>"4Q"&amp;RIGHT(CX6,2)</f>
        <v>4Q39</v>
      </c>
      <c r="CY7" s="31">
        <f>CT7+1</f>
        <v>2039</v>
      </c>
    </row>
    <row r="8">
      <c r="B8" s="4" t="n"/>
      <c r="C8" s="4" t="inlineStr">
        <is>
          <t>CPI EUA (dez/dez) - FRED CPIAUCNS</t>
        </is>
      </c>
      <c r="D8" s="50" t="n"/>
      <c r="E8" s="50" t="n"/>
      <c r="F8" s="50" t="n"/>
      <c r="G8" s="50" t="n"/>
      <c r="H8" s="227" t="n">
        <v>0.0136</v>
      </c>
      <c r="I8" s="50" t="n"/>
      <c r="J8" s="50" t="n"/>
      <c r="K8" s="50" t="n"/>
      <c r="L8" s="50" t="n"/>
      <c r="M8" s="227" t="n">
        <v>0.0704</v>
      </c>
      <c r="N8" s="50" t="n"/>
      <c r="O8" s="50" t="n"/>
      <c r="P8" s="50" t="n"/>
      <c r="Q8" s="50" t="n"/>
      <c r="R8" s="227" t="n">
        <v>0.0645</v>
      </c>
      <c r="S8" s="50" t="n"/>
      <c r="T8" s="50" t="n"/>
      <c r="U8" s="50" t="n"/>
      <c r="V8" s="50" t="n"/>
      <c r="W8" s="227" t="n">
        <v>0.0335</v>
      </c>
      <c r="X8" s="50" t="n"/>
      <c r="Y8" s="50" t="n"/>
      <c r="Z8" s="50" t="n"/>
      <c r="AA8" s="50" t="n"/>
      <c r="AB8" s="227" t="n">
        <v>0.0289</v>
      </c>
      <c r="AC8" s="50" t="n"/>
      <c r="AD8" s="50" t="n"/>
      <c r="AE8" s="50" t="n"/>
      <c r="AF8" s="50" t="n"/>
      <c r="AG8" s="227" t="n">
        <v>0.0268</v>
      </c>
      <c r="AH8" s="50" t="n"/>
      <c r="AI8" s="50" t="n"/>
      <c r="AJ8" s="50" t="n"/>
      <c r="AK8" s="50" t="n"/>
      <c r="AL8" s="217" t="n"/>
      <c r="AM8" s="50" t="n"/>
      <c r="AN8" s="50" t="n"/>
      <c r="AO8" s="50" t="n"/>
      <c r="AP8" s="50" t="n"/>
      <c r="AQ8" s="217" t="n"/>
      <c r="AR8" s="50" t="n"/>
      <c r="AS8" s="50" t="n"/>
      <c r="AT8" s="50" t="n"/>
      <c r="AU8" s="50" t="n"/>
      <c r="AV8" s="217" t="n"/>
      <c r="AW8" s="50" t="n"/>
      <c r="AX8" s="50" t="n"/>
      <c r="AY8" s="50" t="n"/>
      <c r="AZ8" s="50" t="n"/>
      <c r="BA8" s="217" t="n"/>
      <c r="BB8" s="50" t="n"/>
      <c r="BC8" s="50" t="n"/>
      <c r="BD8" s="50" t="n"/>
      <c r="BE8" s="50" t="n"/>
      <c r="BF8" s="217" t="n"/>
      <c r="BG8" s="50" t="n"/>
      <c r="BH8" s="50" t="n"/>
      <c r="BI8" s="50" t="n"/>
      <c r="BJ8" s="50" t="n"/>
      <c r="BK8" s="217" t="n"/>
      <c r="BL8" s="50" t="n"/>
      <c r="BM8" s="50" t="n"/>
      <c r="BN8" s="50" t="n"/>
      <c r="BO8" s="50" t="n"/>
      <c r="BP8" s="217" t="n"/>
      <c r="BQ8" s="50" t="n"/>
      <c r="BR8" s="50" t="n"/>
      <c r="BS8" s="50" t="n"/>
      <c r="BT8" s="50" t="n"/>
      <c r="BU8" s="217" t="n"/>
      <c r="BV8" s="50" t="n"/>
      <c r="BW8" s="50" t="n"/>
      <c r="BX8" s="50" t="n"/>
      <c r="BY8" s="50" t="n"/>
      <c r="BZ8" s="217" t="n"/>
      <c r="CA8" s="50" t="n"/>
      <c r="CB8" s="50" t="n"/>
      <c r="CC8" s="50" t="n"/>
      <c r="CD8" s="50" t="n"/>
      <c r="CE8" s="217" t="n"/>
      <c r="CF8" s="50" t="n"/>
      <c r="CG8" s="50" t="n"/>
      <c r="CH8" s="50" t="n"/>
      <c r="CI8" s="50" t="n"/>
      <c r="CJ8" s="217" t="n"/>
      <c r="CK8" s="50" t="n"/>
      <c r="CL8" s="50" t="n"/>
      <c r="CM8" s="50" t="n"/>
      <c r="CN8" s="50" t="n"/>
      <c r="CO8" s="217" t="n"/>
      <c r="CP8" s="50" t="n"/>
      <c r="CQ8" s="50" t="n"/>
      <c r="CR8" s="50" t="n"/>
      <c r="CS8" s="50" t="n"/>
      <c r="CT8" s="217" t="n"/>
      <c r="CU8" s="50" t="n"/>
      <c r="CV8" s="50" t="n"/>
      <c r="CW8" s="50" t="n"/>
      <c r="CX8" s="50" t="n"/>
      <c r="CY8" s="217" t="n"/>
    </row>
    <row r="9">
      <c r="B9" s="4" t="n"/>
      <c r="C9" s="4" t="inlineStr">
        <is>
          <t>PIB real EUA (var. anual) - FRED GDPC1</t>
        </is>
      </c>
      <c r="D9" s="50" t="n"/>
      <c r="E9" s="50" t="n"/>
      <c r="F9" s="50" t="n"/>
      <c r="G9" s="50" t="n"/>
      <c r="H9" s="228" t="n">
        <v>-0.0208</v>
      </c>
      <c r="I9" s="50" t="n"/>
      <c r="J9" s="50" t="n"/>
      <c r="K9" s="50" t="n"/>
      <c r="L9" s="50" t="n"/>
      <c r="M9" s="228" t="n">
        <v>0.06270000000000001</v>
      </c>
      <c r="N9" s="50" t="n"/>
      <c r="O9" s="50" t="n"/>
      <c r="P9" s="50" t="n"/>
      <c r="Q9" s="50" t="n"/>
      <c r="R9" s="228" t="n">
        <v>0.0243</v>
      </c>
      <c r="S9" s="50" t="n"/>
      <c r="T9" s="50" t="n"/>
      <c r="U9" s="50" t="n"/>
      <c r="V9" s="50" t="n"/>
      <c r="W9" s="228" t="n">
        <v>0.0292</v>
      </c>
      <c r="X9" s="50" t="n"/>
      <c r="Y9" s="50" t="n"/>
      <c r="Z9" s="50" t="n"/>
      <c r="AA9" s="50" t="n"/>
      <c r="AB9" s="228" t="n">
        <v>0.0295</v>
      </c>
      <c r="AC9" s="50" t="n"/>
      <c r="AD9" s="50" t="n"/>
      <c r="AE9" s="50" t="n"/>
      <c r="AF9" s="50" t="n"/>
      <c r="AG9" s="228" t="n">
        <v>0.0234</v>
      </c>
      <c r="AH9" s="50" t="n"/>
      <c r="AI9" s="50" t="n"/>
      <c r="AJ9" s="50" t="n"/>
      <c r="AK9" s="50" t="n"/>
      <c r="AL9" s="217" t="n"/>
      <c r="AM9" s="50" t="n"/>
      <c r="AN9" s="50" t="n"/>
      <c r="AO9" s="50" t="n"/>
      <c r="AP9" s="50" t="n"/>
      <c r="AQ9" s="217" t="n"/>
      <c r="AR9" s="50" t="n"/>
      <c r="AS9" s="50" t="n"/>
      <c r="AT9" s="50" t="n"/>
      <c r="AU9" s="50" t="n"/>
      <c r="AV9" s="217" t="n"/>
      <c r="AW9" s="50" t="n"/>
      <c r="AX9" s="50" t="n"/>
      <c r="AY9" s="50" t="n"/>
      <c r="AZ9" s="50" t="n"/>
      <c r="BA9" s="217" t="n"/>
      <c r="BB9" s="50" t="n"/>
      <c r="BC9" s="50" t="n"/>
      <c r="BD9" s="50" t="n"/>
      <c r="BE9" s="50" t="n"/>
      <c r="BF9" s="217" t="n"/>
      <c r="BG9" s="50" t="n"/>
      <c r="BH9" s="50" t="n"/>
      <c r="BI9" s="50" t="n"/>
      <c r="BJ9" s="50" t="n"/>
      <c r="BK9" s="217" t="n"/>
      <c r="BL9" s="50" t="n"/>
      <c r="BM9" s="50" t="n"/>
      <c r="BN9" s="50" t="n"/>
      <c r="BO9" s="50" t="n"/>
      <c r="BP9" s="217" t="n"/>
      <c r="BQ9" s="50" t="n"/>
      <c r="BR9" s="50" t="n"/>
      <c r="BS9" s="50" t="n"/>
      <c r="BT9" s="50" t="n"/>
      <c r="BU9" s="217" t="n"/>
      <c r="BV9" s="50" t="n"/>
      <c r="BW9" s="50" t="n"/>
      <c r="BX9" s="50" t="n"/>
      <c r="BY9" s="50" t="n"/>
      <c r="BZ9" s="217" t="n"/>
      <c r="CA9" s="50" t="n"/>
      <c r="CB9" s="50" t="n"/>
      <c r="CC9" s="50" t="n"/>
      <c r="CD9" s="50" t="n"/>
      <c r="CE9" s="217" t="n"/>
      <c r="CF9" s="50" t="n"/>
      <c r="CG9" s="50" t="n"/>
      <c r="CH9" s="50" t="n"/>
      <c r="CI9" s="50" t="n"/>
      <c r="CJ9" s="217" t="n"/>
      <c r="CK9" s="50" t="n"/>
      <c r="CL9" s="50" t="n"/>
      <c r="CM9" s="50" t="n"/>
      <c r="CN9" s="50" t="n"/>
      <c r="CO9" s="217" t="n"/>
      <c r="CP9" s="50" t="n"/>
      <c r="CQ9" s="50" t="n"/>
      <c r="CR9" s="50" t="n"/>
      <c r="CS9" s="50" t="n"/>
      <c r="CT9" s="217" t="n"/>
      <c r="CU9" s="50" t="n"/>
      <c r="CV9" s="50" t="n"/>
      <c r="CW9" s="50" t="n"/>
      <c r="CX9" s="50" t="n"/>
      <c r="CY9" s="217" t="n"/>
    </row>
    <row r="10">
      <c r="C10" s="4" t="inlineStr">
        <is>
          <t>Fed Funds efetiva (media anual) - FRED FEDFUNDS</t>
        </is>
      </c>
      <c r="H10" s="228" t="n">
        <v>0.0038</v>
      </c>
      <c r="M10" s="228" t="n">
        <v>0.0008</v>
      </c>
      <c r="R10" s="228" t="n">
        <v>0.0168</v>
      </c>
      <c r="W10" s="228" t="n">
        <v>0.0502</v>
      </c>
      <c r="AB10" s="228" t="n">
        <v>0.0514</v>
      </c>
      <c r="AG10" s="228" t="n">
        <v>0.0421</v>
      </c>
    </row>
    <row r="13" customFormat="1" s="17">
      <c r="A13" s="13" t="n"/>
      <c r="B13" s="13" t="n"/>
      <c r="C13" s="12" t="inlineStr">
        <is>
          <t>Income Statement</t>
        </is>
      </c>
      <c r="D13" s="12" t="str">
        <f>D7</f>
        <v>1Q20</v>
      </c>
      <c r="E13" s="12" t="str">
        <f>E7</f>
        <v>2Q20</v>
      </c>
      <c r="F13" s="12" t="str">
        <f>F7</f>
        <v>3Q20</v>
      </c>
      <c r="G13" s="12" t="str">
        <f>G7</f>
        <v>4Q20</v>
      </c>
      <c r="H13" s="12">
        <f>H7</f>
        <v>2020</v>
      </c>
      <c r="I13" s="12" t="str">
        <f>I7</f>
        <v>1Q21</v>
      </c>
      <c r="J13" s="12" t="str">
        <f>J7</f>
        <v>2Q21</v>
      </c>
      <c r="K13" s="12" t="str">
        <f>K7</f>
        <v>3Q21</v>
      </c>
      <c r="L13" s="12" t="str">
        <f>L7</f>
        <v>4Q21</v>
      </c>
      <c r="M13" s="12">
        <f>M7</f>
        <v>2021</v>
      </c>
      <c r="N13" s="12" t="str">
        <f>N7</f>
        <v>1Q22</v>
      </c>
      <c r="O13" s="12" t="str">
        <f>O7</f>
        <v>2Q22</v>
      </c>
      <c r="P13" s="12" t="str">
        <f>P7</f>
        <v>3Q22</v>
      </c>
      <c r="Q13" s="12" t="str">
        <f>Q7</f>
        <v>4Q22</v>
      </c>
      <c r="R13" s="12">
        <f>R7</f>
        <v>2022</v>
      </c>
      <c r="S13" s="12" t="str">
        <f>S7</f>
        <v>1Q23</v>
      </c>
      <c r="T13" s="12" t="str">
        <f>T7</f>
        <v>2Q23</v>
      </c>
      <c r="U13" s="12" t="str">
        <f>U7</f>
        <v>3Q23</v>
      </c>
      <c r="V13" s="12" t="str">
        <f>V7</f>
        <v>4Q23</v>
      </c>
      <c r="W13" s="12">
        <f>W7</f>
        <v>2023</v>
      </c>
      <c r="X13" s="12" t="str">
        <f>X7</f>
        <v>1Q24</v>
      </c>
      <c r="Y13" s="12" t="str">
        <f>Y7</f>
        <v>2Q24</v>
      </c>
      <c r="Z13" s="12" t="str">
        <f>Z7</f>
        <v>3Q24</v>
      </c>
      <c r="AA13" s="12" t="str">
        <f>AA7</f>
        <v>4Q24</v>
      </c>
      <c r="AB13" s="12">
        <f>AB7</f>
        <v>2024</v>
      </c>
      <c r="AC13" s="12" t="str">
        <f>AC7</f>
        <v>1Q25</v>
      </c>
      <c r="AD13" s="12" t="str">
        <f>AD7</f>
        <v>2Q25</v>
      </c>
      <c r="AE13" s="12" t="str">
        <f>AE7</f>
        <v>3Q25</v>
      </c>
      <c r="AF13" s="12" t="str">
        <f>AF7</f>
        <v>4Q25</v>
      </c>
      <c r="AG13" s="12">
        <f>AG7</f>
        <v>2025</v>
      </c>
      <c r="AH13" s="12" t="str">
        <f>AH7</f>
        <v>1Q26</v>
      </c>
      <c r="AI13" s="12" t="str">
        <f>AI7</f>
        <v>2Q26</v>
      </c>
      <c r="AJ13" s="12" t="str">
        <f>AJ7</f>
        <v>3Q26</v>
      </c>
      <c r="AK13" s="12" t="str">
        <f>AK7</f>
        <v>4Q26</v>
      </c>
      <c r="AL13" s="12">
        <f>AL7</f>
        <v>2026</v>
      </c>
      <c r="AM13" s="12" t="str">
        <f>AM7</f>
        <v>1Q27</v>
      </c>
      <c r="AN13" s="12" t="str">
        <f>AN7</f>
        <v>2Q27</v>
      </c>
      <c r="AO13" s="12" t="str">
        <f>AO7</f>
        <v>3Q27</v>
      </c>
      <c r="AP13" s="12" t="str">
        <f>AP7</f>
        <v>4Q27</v>
      </c>
      <c r="AQ13" s="12">
        <f>AQ7</f>
        <v>2027</v>
      </c>
      <c r="AR13" s="12" t="str">
        <f>AR7</f>
        <v>1Q28</v>
      </c>
      <c r="AS13" s="12" t="str">
        <f>AS7</f>
        <v>2Q28</v>
      </c>
      <c r="AT13" s="12" t="str">
        <f>AT7</f>
        <v>3Q28</v>
      </c>
      <c r="AU13" s="12" t="str">
        <f>AU7</f>
        <v>4Q28</v>
      </c>
      <c r="AV13" s="12">
        <f>AV7</f>
        <v>2028</v>
      </c>
      <c r="AW13" s="12" t="str">
        <f>AW7</f>
        <v>1Q29</v>
      </c>
      <c r="AX13" s="12" t="str">
        <f>AX7</f>
        <v>2Q29</v>
      </c>
      <c r="AY13" s="12" t="str">
        <f>AY7</f>
        <v>3Q29</v>
      </c>
      <c r="AZ13" s="12" t="str">
        <f>AZ7</f>
        <v>4Q29</v>
      </c>
      <c r="BA13" s="12">
        <f>BA7</f>
        <v>2029</v>
      </c>
      <c r="BB13" s="12" t="str">
        <f>BB7</f>
        <v>1Q30</v>
      </c>
      <c r="BC13" s="12" t="str">
        <f>BC7</f>
        <v>2Q30</v>
      </c>
      <c r="BD13" s="12" t="str">
        <f>BD7</f>
        <v>3Q30</v>
      </c>
      <c r="BE13" s="12" t="str">
        <f>BE7</f>
        <v>4Q30</v>
      </c>
      <c r="BF13" s="12">
        <f>BF7</f>
        <v>2030</v>
      </c>
      <c r="BG13" s="12" t="str">
        <f>BG7</f>
        <v>1Q31</v>
      </c>
      <c r="BH13" s="12" t="str">
        <f>BH7</f>
        <v>2Q31</v>
      </c>
      <c r="BI13" s="12" t="str">
        <f>BI7</f>
        <v>3Q31</v>
      </c>
      <c r="BJ13" s="12" t="str">
        <f>BJ7</f>
        <v>4Q31</v>
      </c>
      <c r="BK13" s="12">
        <f>BK7</f>
        <v>2031</v>
      </c>
      <c r="BL13" s="12" t="str">
        <f>BL7</f>
        <v>1Q32</v>
      </c>
      <c r="BM13" s="12" t="str">
        <f>BM7</f>
        <v>2Q32</v>
      </c>
      <c r="BN13" s="12" t="str">
        <f>BN7</f>
        <v>3Q32</v>
      </c>
      <c r="BO13" s="12" t="str">
        <f>BO7</f>
        <v>4Q32</v>
      </c>
      <c r="BP13" s="12">
        <f>BP7</f>
        <v>2032</v>
      </c>
      <c r="BQ13" s="12" t="str">
        <f>BQ7</f>
        <v>1Q33</v>
      </c>
      <c r="BR13" s="12" t="str">
        <f>BR7</f>
        <v>2Q33</v>
      </c>
      <c r="BS13" s="12" t="str">
        <f>BS7</f>
        <v>3Q33</v>
      </c>
      <c r="BT13" s="12" t="str">
        <f>BT7</f>
        <v>4Q33</v>
      </c>
      <c r="BU13" s="12">
        <f>BU7</f>
        <v>2033</v>
      </c>
      <c r="BV13" s="12" t="str">
        <f>BV7</f>
        <v>1Q34</v>
      </c>
      <c r="BW13" s="12" t="str">
        <f>BW7</f>
        <v>2Q34</v>
      </c>
      <c r="BX13" s="12" t="str">
        <f>BX7</f>
        <v>3Q34</v>
      </c>
      <c r="BY13" s="12" t="str">
        <f>BY7</f>
        <v>4Q34</v>
      </c>
      <c r="BZ13" s="12">
        <f>BZ7</f>
        <v>2034</v>
      </c>
      <c r="CA13" s="12" t="str">
        <f>CA7</f>
        <v>1Q35</v>
      </c>
      <c r="CB13" s="12" t="str">
        <f>CB7</f>
        <v>2Q35</v>
      </c>
      <c r="CC13" s="12" t="str">
        <f>CC7</f>
        <v>3Q35</v>
      </c>
      <c r="CD13" s="12" t="str">
        <f>CD7</f>
        <v>4Q35</v>
      </c>
      <c r="CE13" s="12">
        <f>CE7</f>
        <v>2035</v>
      </c>
      <c r="CF13" s="12" t="str">
        <f>CF7</f>
        <v>1Q36</v>
      </c>
      <c r="CG13" s="12" t="str">
        <f>CG7</f>
        <v>2Q36</v>
      </c>
      <c r="CH13" s="12" t="str">
        <f>CH7</f>
        <v>3Q36</v>
      </c>
      <c r="CI13" s="12" t="str">
        <f>CI7</f>
        <v>4Q36</v>
      </c>
      <c r="CJ13" s="12">
        <f>CJ7</f>
        <v>2036</v>
      </c>
      <c r="CK13" s="12" t="str">
        <f>CK7</f>
        <v>1Q37</v>
      </c>
      <c r="CL13" s="12" t="str">
        <f>CL7</f>
        <v>2Q37</v>
      </c>
      <c r="CM13" s="12" t="str">
        <f>CM7</f>
        <v>3Q37</v>
      </c>
      <c r="CN13" s="12" t="str">
        <f>CN7</f>
        <v>4Q37</v>
      </c>
      <c r="CO13" s="12">
        <f>CO7</f>
        <v>2037</v>
      </c>
      <c r="CP13" s="12" t="str">
        <f>CP7</f>
        <v>1Q38</v>
      </c>
      <c r="CQ13" s="12" t="str">
        <f>CQ7</f>
        <v>2Q38</v>
      </c>
      <c r="CR13" s="12" t="str">
        <f>CR7</f>
        <v>3Q38</v>
      </c>
      <c r="CS13" s="12" t="str">
        <f>CS7</f>
        <v>4Q38</v>
      </c>
      <c r="CT13" s="12">
        <f>CT7</f>
        <v>2038</v>
      </c>
      <c r="CU13" s="12" t="str">
        <f>CU7</f>
        <v>1Q39</v>
      </c>
      <c r="CV13" s="12" t="str">
        <f>CV7</f>
        <v>2Q39</v>
      </c>
      <c r="CW13" s="12" t="str">
        <f>CW7</f>
        <v>3Q39</v>
      </c>
      <c r="CX13" s="12" t="str">
        <f>CX7</f>
        <v>4Q39</v>
      </c>
      <c r="CY13" s="12">
        <f>CY7</f>
        <v>2039</v>
      </c>
    </row>
    <row r="14">
      <c r="C14" s="2" t="n"/>
    </row>
    <row r="15" customFormat="1" s="17">
      <c r="A15" s="13" t="n"/>
      <c r="B15" s="1" t="n"/>
      <c r="C15" s="14" t="inlineStr">
        <is>
          <t>Net Revenues</t>
        </is>
      </c>
      <c r="D15" s="15">
        <f>INDEX('Inputs (2)'!$D$4:$AL$4,MATCH(D$7,'Inputs (2)'!$D$2:$AL$2,0))</f>
        <v>3080</v>
      </c>
      <c r="E15" s="15">
        <f>INDEX('Inputs (2)'!$D$4:$AL$4,MATCH(E$7,'Inputs (2)'!$D$2:$AL$2,0))</f>
        <v>3866</v>
      </c>
      <c r="F15" s="15">
        <f>INDEX('Inputs (2)'!$D$4:$AL$4,MATCH(F$7,'Inputs (2)'!$D$2:$AL$2,0))</f>
        <v>4726</v>
      </c>
      <c r="G15" s="15">
        <f>INDEX('Inputs (2)'!$D$4:$AL$4,MATCH(G$7,'Inputs (2)'!$D$2:$AL$2,0))</f>
        <v>5003</v>
      </c>
      <c r="H15" s="16">
        <f>SUM(D15:G15)</f>
        <v>16675</v>
      </c>
      <c r="I15" s="15">
        <f>INDEX('Inputs (2)'!$D$4:$AL$4,MATCH(I$7,'Inputs (2)'!$D$2:$AL$2,0))</f>
        <v>5661</v>
      </c>
      <c r="J15" s="15">
        <f>INDEX('Inputs (2)'!$D$4:$AL$4,MATCH(J$7,'Inputs (2)'!$D$2:$AL$2,0))</f>
        <v>6507</v>
      </c>
      <c r="K15" s="15">
        <f>INDEX('Inputs (2)'!$D$4:$AL$4,MATCH(K$7,'Inputs (2)'!$D$2:$AL$2,0))</f>
        <v>7103</v>
      </c>
      <c r="L15" s="15">
        <f>INDEX('Inputs (2)'!$D$4:$AL$4,MATCH(L$7,'Inputs (2)'!$D$2:$AL$2,0))</f>
        <v>7643</v>
      </c>
      <c r="M15" s="16">
        <f>SUM(I15:L15)</f>
        <v>26914</v>
      </c>
      <c r="N15" s="15">
        <f>INDEX('Inputs (2)'!$D$4:$AL$4,MATCH(N$7,'Inputs (2)'!$D$2:$AL$2,0))</f>
        <v>8288</v>
      </c>
      <c r="O15" s="15">
        <f>INDEX('Inputs (2)'!$D$4:$AL$4,MATCH(O$7,'Inputs (2)'!$D$2:$AL$2,0))</f>
        <v>6704</v>
      </c>
      <c r="P15" s="15">
        <f>INDEX('Inputs (2)'!$D$4:$AL$4,MATCH(P$7,'Inputs (2)'!$D$2:$AL$2,0))</f>
        <v>5931</v>
      </c>
      <c r="Q15" s="15">
        <f>INDEX('Inputs (2)'!$D$4:$AL$4,MATCH(Q$7,'Inputs (2)'!$D$2:$AL$2,0))</f>
        <v>6051</v>
      </c>
      <c r="R15" s="16">
        <f>SUM(N15:Q15)</f>
        <v>26974</v>
      </c>
      <c r="S15" s="15">
        <f>INDEX('Inputs (2)'!$D$4:$AL$4,MATCH(S$7,'Inputs (2)'!$D$2:$AL$2,0))</f>
        <v>7192</v>
      </c>
      <c r="T15" s="15">
        <f>INDEX('Inputs (2)'!$D$4:$AL$4,MATCH(T$7,'Inputs (2)'!$D$2:$AL$2,0))</f>
        <v>13507</v>
      </c>
      <c r="U15" s="15">
        <f>INDEX('Inputs (2)'!$D$4:$AL$4,MATCH(U$7,'Inputs (2)'!$D$2:$AL$2,0))</f>
        <v>18120</v>
      </c>
      <c r="V15" s="15">
        <f>INDEX('Inputs (2)'!$D$4:$AL$4,MATCH(V$7,'Inputs (2)'!$D$2:$AL$2,0))</f>
        <v>22103</v>
      </c>
      <c r="W15" s="16">
        <f>SUM(S15:V15)</f>
        <v>60922</v>
      </c>
      <c r="X15" s="15">
        <f>INDEX('Inputs (2)'!$D$4:$AL$4,MATCH(X$7,'Inputs (2)'!$D$2:$AL$2,0))</f>
        <v>26044</v>
      </c>
      <c r="Y15" s="15">
        <f>INDEX('Inputs (2)'!$D$4:$AL$4,MATCH(Y$7,'Inputs (2)'!$D$2:$AL$2,0))</f>
        <v>30040</v>
      </c>
      <c r="Z15" s="15">
        <f>INDEX('Inputs (2)'!$D$4:$AL$4,MATCH(Z$7,'Inputs (2)'!$D$2:$AL$2,0))</f>
        <v>35082</v>
      </c>
      <c r="AA15" s="15">
        <f>INDEX('Inputs (2)'!$D$4:$AL$4,MATCH(AA$7,'Inputs (2)'!$D$2:$AL$2,0))</f>
        <v>39331</v>
      </c>
      <c r="AB15" s="16">
        <f>SUM(X15:AA15)</f>
        <v>130497</v>
      </c>
      <c r="AC15" s="15">
        <f>INDEX('Inputs (2)'!$D$4:$AL$4,MATCH(AC$7,'Inputs (2)'!$D$2:$AL$2,0))</f>
        <v>44062</v>
      </c>
      <c r="AD15" s="15">
        <f>INDEX('Inputs (2)'!$D$4:$AL$4,MATCH(AD$7,'Inputs (2)'!$D$2:$AL$2,0))</f>
        <v>46743</v>
      </c>
      <c r="AE15" s="15">
        <f>INDEX('Inputs (2)'!$D$4:$AL$4,MATCH(AE$7,'Inputs (2)'!$D$2:$AL$2,0))</f>
        <v>57006</v>
      </c>
      <c r="AF15" s="15">
        <f>INDEX('Inputs (2)'!$D$4:$AL$4,MATCH(AF$7,'Inputs (2)'!$D$2:$AL$2,0))</f>
        <v>68127</v>
      </c>
      <c r="AG15" s="16">
        <f>SUM(AC15:AF15)</f>
        <v>215938</v>
      </c>
      <c r="AH15" s="16">
        <f>AC15*(1+AH16)</f>
        <v>44062</v>
      </c>
      <c r="AI15" s="16">
        <f>AD15*(1+AI16)</f>
        <v>46743</v>
      </c>
      <c r="AJ15" s="16">
        <f>AE15*(1+AJ16)</f>
        <v>57006</v>
      </c>
      <c r="AK15" s="16">
        <f>AF15*(1+AK16)</f>
        <v>68127</v>
      </c>
      <c r="AL15" s="16">
        <f>SUM(AH15:AK15)</f>
        <v>215938</v>
      </c>
      <c r="AM15" s="16">
        <f>AH15*(1+AM16)</f>
        <v>44062</v>
      </c>
      <c r="AN15" s="16">
        <f>AI15*(1+AN16)</f>
        <v>46743</v>
      </c>
      <c r="AO15" s="16">
        <f>AJ15*(1+AO16)</f>
        <v>57006</v>
      </c>
      <c r="AP15" s="16">
        <f>AK15*(1+AP16)</f>
        <v>68127</v>
      </c>
      <c r="AQ15" s="16">
        <f>SUM(AM15:AP15)</f>
        <v>215938</v>
      </c>
      <c r="AR15" s="16">
        <f>AM15*(1+AR16)</f>
        <v>44062</v>
      </c>
      <c r="AS15" s="16">
        <f>AN15*(1+AS16)</f>
        <v>46743</v>
      </c>
      <c r="AT15" s="16">
        <f>AO15*(1+AT16)</f>
        <v>57006</v>
      </c>
      <c r="AU15" s="16">
        <f>AP15*(1+AU16)</f>
        <v>68127</v>
      </c>
      <c r="AV15" s="16">
        <f>SUM(AR15:AU15)</f>
        <v>215938</v>
      </c>
      <c r="AW15" s="16">
        <f>AR15*(1+AW16)</f>
        <v>44062</v>
      </c>
      <c r="AX15" s="16">
        <f>AS15*(1+AX16)</f>
        <v>46743</v>
      </c>
      <c r="AY15" s="16">
        <f>AT15*(1+AY16)</f>
        <v>57006</v>
      </c>
      <c r="AZ15" s="16">
        <f>AU15*(1+AZ16)</f>
        <v>68127</v>
      </c>
      <c r="BA15" s="16">
        <f>SUM(AW15:AZ15)</f>
        <v>215938</v>
      </c>
      <c r="BB15" s="16">
        <f>AW15*(1+BB16)</f>
        <v>44062</v>
      </c>
      <c r="BC15" s="16">
        <f>AX15*(1+BC16)</f>
        <v>46743</v>
      </c>
      <c r="BD15" s="16">
        <f>AY15*(1+BD16)</f>
        <v>57006</v>
      </c>
      <c r="BE15" s="16">
        <f>AZ15*(1+BE16)</f>
        <v>68127</v>
      </c>
      <c r="BF15" s="16">
        <f>SUM(BB15:BE15)</f>
        <v>215938</v>
      </c>
      <c r="BG15" s="16">
        <f>BB15*(1+BG16)</f>
        <v>44062</v>
      </c>
      <c r="BH15" s="16">
        <f>BC15*(1+BH16)</f>
        <v>46743</v>
      </c>
      <c r="BI15" s="16">
        <f>BD15*(1+BI16)</f>
        <v>57006</v>
      </c>
      <c r="BJ15" s="16">
        <f>BE15*(1+BJ16)</f>
        <v>68127</v>
      </c>
      <c r="BK15" s="16">
        <f>SUM(BG15:BJ15)</f>
        <v>215938</v>
      </c>
      <c r="BL15" s="16">
        <f>BG15*(1+BL16)</f>
        <v>44062</v>
      </c>
      <c r="BM15" s="16">
        <f>BH15*(1+BM16)</f>
        <v>46743</v>
      </c>
      <c r="BN15" s="16">
        <f>BI15*(1+BN16)</f>
        <v>57006</v>
      </c>
      <c r="BO15" s="16">
        <f>BJ15*(1+BO16)</f>
        <v>68127</v>
      </c>
      <c r="BP15" s="16">
        <f>SUM(BL15:BO15)</f>
        <v>215938</v>
      </c>
      <c r="BQ15" s="16">
        <f>BL15*(1+BQ16)</f>
        <v>44062</v>
      </c>
      <c r="BR15" s="16">
        <f>BM15*(1+BR16)</f>
        <v>46743</v>
      </c>
      <c r="BS15" s="16">
        <f>BN15*(1+BS16)</f>
        <v>57006</v>
      </c>
      <c r="BT15" s="16">
        <f>BO15*(1+BT16)</f>
        <v>68127</v>
      </c>
      <c r="BU15" s="16">
        <f>SUM(BQ15:BT15)</f>
        <v>215938</v>
      </c>
      <c r="BV15" s="16">
        <f>BQ15*(1+BV16)</f>
        <v>44062</v>
      </c>
      <c r="BW15" s="16">
        <f>BR15*(1+BW16)</f>
        <v>46743</v>
      </c>
      <c r="BX15" s="16">
        <f>BS15*(1+BX16)</f>
        <v>57006</v>
      </c>
      <c r="BY15" s="16">
        <f>BT15*(1+BY16)</f>
        <v>68127</v>
      </c>
      <c r="BZ15" s="16">
        <f>SUM(BV15:BY15)</f>
        <v>215938</v>
      </c>
      <c r="CA15" s="16">
        <f>BV15*(1+CA16)</f>
        <v>44062</v>
      </c>
      <c r="CB15" s="16">
        <f>BW15*(1+CB16)</f>
        <v>46743</v>
      </c>
      <c r="CC15" s="16">
        <f>BX15*(1+CC16)</f>
        <v>57006</v>
      </c>
      <c r="CD15" s="16">
        <f>BY15*(1+CD16)</f>
        <v>68127</v>
      </c>
      <c r="CE15" s="16">
        <f>SUM(CA15:CD15)</f>
        <v>215938</v>
      </c>
      <c r="CF15" s="16">
        <f>CA15*(1+CF16)</f>
        <v>44062</v>
      </c>
      <c r="CG15" s="16">
        <f>CB15*(1+CG16)</f>
        <v>46743</v>
      </c>
      <c r="CH15" s="16">
        <f>CC15*(1+CH16)</f>
        <v>57006</v>
      </c>
      <c r="CI15" s="16">
        <f>CD15*(1+CI16)</f>
        <v>68127</v>
      </c>
      <c r="CJ15" s="16">
        <f>SUM(CF15:CI15)</f>
        <v>215938</v>
      </c>
      <c r="CK15" s="16">
        <f>CF15*(1+CK16)</f>
        <v>44062</v>
      </c>
      <c r="CL15" s="16">
        <f>CG15*(1+CL16)</f>
        <v>46743</v>
      </c>
      <c r="CM15" s="16">
        <f>CH15*(1+CM16)</f>
        <v>57006</v>
      </c>
      <c r="CN15" s="16">
        <f>CI15*(1+CN16)</f>
        <v>68127</v>
      </c>
      <c r="CO15" s="16">
        <f>SUM(CK15:CN15)</f>
        <v>215938</v>
      </c>
      <c r="CP15" s="16">
        <f>CK15*(1+CP16)</f>
        <v>44062</v>
      </c>
      <c r="CQ15" s="16">
        <f>CL15*(1+CQ16)</f>
        <v>46743</v>
      </c>
      <c r="CR15" s="16">
        <f>CM15*(1+CR16)</f>
        <v>57006</v>
      </c>
      <c r="CS15" s="16">
        <f>CN15*(1+CS16)</f>
        <v>68127</v>
      </c>
      <c r="CT15" s="16">
        <f>SUM(CP15:CS15)</f>
        <v>215938</v>
      </c>
      <c r="CU15" s="16">
        <f>CP15*(1+CU16)</f>
        <v>44062</v>
      </c>
      <c r="CV15" s="16">
        <f>CQ15*(1+CV16)</f>
        <v>46743</v>
      </c>
      <c r="CW15" s="16">
        <f>CR15*(1+CW16)</f>
        <v>57006</v>
      </c>
      <c r="CX15" s="16">
        <f>CS15*(1+CX16)</f>
        <v>68127</v>
      </c>
      <c r="CY15" s="16">
        <f>SUM(CU15:CX15)</f>
        <v>215938</v>
      </c>
    </row>
    <row r="16" hidden="1" outlineLevel="1" customFormat="1" s="23">
      <c r="A16" s="18" t="n"/>
      <c r="B16" s="19" t="n"/>
      <c r="C16" s="33" t="inlineStr">
        <is>
          <t>% YoY</t>
        </is>
      </c>
      <c r="D16" s="21" t="n"/>
      <c r="E16" s="47" t="n"/>
      <c r="F16" s="47" t="n"/>
      <c r="G16" s="47" t="n"/>
      <c r="H16" s="21" t="n"/>
      <c r="I16" s="21" t="n"/>
      <c r="J16" s="47" t="n"/>
      <c r="K16" s="47" t="n"/>
      <c r="L16" s="47" t="n"/>
      <c r="M16" s="21" t="n"/>
      <c r="N16" s="47">
        <f>N15/I15-1</f>
        <v>0.464052287581699</v>
      </c>
      <c r="O16" s="47">
        <f>O15/J15-1</f>
        <v>0.0302750883663747</v>
      </c>
      <c r="P16" s="47">
        <f>P15/K15-1</f>
        <v>-0.165000703927918</v>
      </c>
      <c r="Q16" s="47">
        <f>Q15/L15-1</f>
        <v>-0.208295172052859</v>
      </c>
      <c r="R16" s="47">
        <f>R15/M15-1</f>
        <v>0.00222932302890699</v>
      </c>
      <c r="S16" s="47">
        <f>S15/N15-1</f>
        <v>-0.132239382239382</v>
      </c>
      <c r="T16" s="47">
        <f>T15/O15-1</f>
        <v>1.01476730310263</v>
      </c>
      <c r="U16" s="47">
        <f>U15/P15-1</f>
        <v>2.05513404147699</v>
      </c>
      <c r="V16" s="47">
        <f>V15/Q15-1</f>
        <v>2.65278466369195</v>
      </c>
      <c r="W16" s="47">
        <f>W15/R15-1</f>
        <v>1.25854526581152</v>
      </c>
      <c r="X16" s="47">
        <f>X15/S15-1</f>
        <v>2.62124582869855</v>
      </c>
      <c r="Y16" s="47">
        <f>Y15/T15-1</f>
        <v>1.22403198341601</v>
      </c>
      <c r="Z16" s="47">
        <f>Z15/U15-1</f>
        <v>0.936092715231788</v>
      </c>
      <c r="AA16" s="47">
        <f>AA15/V15-1</f>
        <v>0.779441704745962</v>
      </c>
      <c r="AB16" s="47">
        <f>AB15/W15-1</f>
        <v>1.14203407635994</v>
      </c>
      <c r="AC16" s="47">
        <f>AC15/X15-1</f>
        <v>0.691829212102596</v>
      </c>
      <c r="AD16" s="47">
        <f>AD15/Y15-1</f>
        <v>0.556025299600533</v>
      </c>
      <c r="AE16" s="47">
        <f>AE15/Z15-1</f>
        <v>0.624935864545921</v>
      </c>
      <c r="AF16" s="44">
        <f>AF15/AA15-1</f>
        <v>0.732145127253312</v>
      </c>
      <c r="AG16" s="47">
        <f>AG15/AB15-1</f>
        <v>0.654735357900948</v>
      </c>
      <c r="AH16" s="44" t="n"/>
      <c r="AI16" s="44" t="n"/>
      <c r="AJ16" s="44" t="n"/>
      <c r="AK16" s="44" t="n"/>
      <c r="AL16" s="22">
        <f>AL15/AG15-1</f>
        <v>0</v>
      </c>
      <c r="AM16" s="44" t="n"/>
      <c r="AN16" s="44" t="n"/>
      <c r="AO16" s="44" t="n"/>
      <c r="AP16" s="44" t="n"/>
      <c r="AQ16" s="22">
        <f>AQ15/AL15-1</f>
        <v>0</v>
      </c>
      <c r="AR16" s="44" t="n"/>
      <c r="AS16" s="44" t="n"/>
      <c r="AT16" s="44" t="n"/>
      <c r="AU16" s="44" t="n"/>
      <c r="AV16" s="22">
        <f>AV15/AQ15-1</f>
        <v>0</v>
      </c>
      <c r="AW16" s="44" t="n"/>
      <c r="AX16" s="44" t="n"/>
      <c r="AY16" s="44" t="n"/>
      <c r="AZ16" s="44" t="n"/>
      <c r="BA16" s="22">
        <f>BA15/AV15-1</f>
        <v>0</v>
      </c>
      <c r="BB16" s="44" t="n"/>
      <c r="BC16" s="44" t="n"/>
      <c r="BD16" s="44" t="n"/>
      <c r="BE16" s="44" t="n"/>
      <c r="BF16" s="22">
        <f>BF15/BA15-1</f>
        <v>0</v>
      </c>
      <c r="BG16" s="44" t="n"/>
      <c r="BH16" s="44" t="n"/>
      <c r="BI16" s="44" t="n"/>
      <c r="BJ16" s="44" t="n"/>
      <c r="BK16" s="22">
        <f>BK15/BF15-1</f>
        <v>0</v>
      </c>
      <c r="BL16" s="44" t="n"/>
      <c r="BM16" s="44" t="n"/>
      <c r="BN16" s="44" t="n"/>
      <c r="BO16" s="44" t="n"/>
      <c r="BP16" s="22">
        <f>BP15/BK15-1</f>
        <v>0</v>
      </c>
      <c r="BQ16" s="44" t="n"/>
      <c r="BR16" s="44" t="n"/>
      <c r="BS16" s="44" t="n"/>
      <c r="BT16" s="44" t="n"/>
      <c r="BU16" s="22">
        <f>BU15/BP15-1</f>
        <v>0</v>
      </c>
      <c r="BV16" s="44" t="n"/>
      <c r="BW16" s="44" t="n"/>
      <c r="BX16" s="44" t="n"/>
      <c r="BY16" s="44" t="n"/>
      <c r="BZ16" s="22">
        <f>BZ15/BU15-1</f>
        <v>0</v>
      </c>
      <c r="CA16" s="44" t="n"/>
      <c r="CB16" s="44" t="n"/>
      <c r="CC16" s="44" t="n"/>
      <c r="CD16" s="44" t="n"/>
      <c r="CE16" s="22">
        <f>CE15/BZ15-1</f>
        <v>0</v>
      </c>
      <c r="CF16" s="44" t="n"/>
      <c r="CG16" s="44" t="n"/>
      <c r="CH16" s="44" t="n"/>
      <c r="CI16" s="44" t="n"/>
      <c r="CJ16" s="22">
        <f>CJ15/CE15-1</f>
        <v>0</v>
      </c>
      <c r="CK16" s="44" t="n"/>
      <c r="CL16" s="44" t="n"/>
      <c r="CM16" s="44" t="n"/>
      <c r="CN16" s="44" t="n"/>
      <c r="CO16" s="22">
        <f>CO15/CJ15-1</f>
        <v>0</v>
      </c>
      <c r="CP16" s="44" t="n"/>
      <c r="CQ16" s="44" t="n"/>
      <c r="CR16" s="44" t="n"/>
      <c r="CS16" s="44" t="n"/>
      <c r="CT16" s="22">
        <f>CT15/CO15-1</f>
        <v>0</v>
      </c>
      <c r="CU16" s="44" t="n"/>
      <c r="CV16" s="44" t="n"/>
      <c r="CW16" s="44" t="n"/>
      <c r="CX16" s="44" t="n"/>
      <c r="CY16" s="22">
        <f>CY15/CT15-1</f>
        <v>0</v>
      </c>
    </row>
    <row r="17" hidden="1" outlineLevel="1" customFormat="1" s="23">
      <c r="A17" s="18" t="n"/>
      <c r="B17" s="19" t="n"/>
      <c r="C17" s="229" t="inlineStr">
        <is>
          <t>Check Receita</t>
        </is>
      </c>
      <c r="D17" s="21" t="n"/>
      <c r="E17" s="47" t="n"/>
      <c r="F17" s="47" t="n"/>
      <c r="G17" s="47" t="n"/>
      <c r="H17" s="21" t="n"/>
      <c r="I17" s="21" t="n"/>
      <c r="J17" s="47" t="n"/>
      <c r="K17" s="47" t="n"/>
      <c r="L17" s="47" t="n"/>
      <c r="M17" s="21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  <c r="AA17" s="47" t="n"/>
      <c r="AB17" s="47" t="n"/>
      <c r="AC17" s="47" t="n"/>
      <c r="AD17" s="47" t="n"/>
      <c r="AE17" s="47" t="n"/>
      <c r="AF17" s="47" t="n"/>
      <c r="AG17" s="47" t="n"/>
      <c r="AH17" s="44" t="n"/>
      <c r="AI17" s="44" t="n"/>
      <c r="AJ17" s="44" t="n"/>
      <c r="AK17" s="44" t="n"/>
      <c r="AL17" s="22" t="n"/>
      <c r="AM17" s="44" t="n"/>
      <c r="AN17" s="44" t="n"/>
      <c r="AO17" s="44" t="n"/>
      <c r="AP17" s="44" t="n"/>
      <c r="AQ17" s="22" t="n"/>
      <c r="AR17" s="44" t="n"/>
      <c r="AS17" s="44" t="n"/>
      <c r="AT17" s="44" t="n"/>
      <c r="AU17" s="44" t="n"/>
      <c r="AV17" s="22" t="n"/>
      <c r="AW17" s="44" t="n"/>
      <c r="AX17" s="44" t="n"/>
      <c r="AY17" s="44" t="n"/>
      <c r="AZ17" s="44" t="n"/>
      <c r="BA17" s="22" t="n"/>
      <c r="BB17" s="44" t="n"/>
      <c r="BC17" s="44" t="n"/>
      <c r="BD17" s="44" t="n"/>
      <c r="BE17" s="44" t="n"/>
      <c r="BF17" s="22" t="n"/>
      <c r="BG17" s="44" t="n"/>
      <c r="BH17" s="44" t="n"/>
      <c r="BI17" s="44" t="n"/>
      <c r="BJ17" s="44" t="n"/>
      <c r="BK17" s="22" t="n"/>
      <c r="BL17" s="44" t="n"/>
      <c r="BM17" s="44" t="n"/>
      <c r="BN17" s="44" t="n"/>
      <c r="BO17" s="44" t="n"/>
      <c r="BP17" s="22" t="n"/>
      <c r="BQ17" s="44" t="n"/>
      <c r="BR17" s="44" t="n"/>
      <c r="BS17" s="44" t="n"/>
      <c r="BT17" s="44" t="n"/>
      <c r="BU17" s="22" t="n"/>
      <c r="BV17" s="44" t="n"/>
      <c r="BW17" s="44" t="n"/>
      <c r="BX17" s="44" t="n"/>
      <c r="BY17" s="44" t="n"/>
      <c r="BZ17" s="22" t="n"/>
      <c r="CA17" s="44" t="n"/>
      <c r="CB17" s="44" t="n"/>
      <c r="CC17" s="44" t="n"/>
      <c r="CD17" s="44" t="n"/>
      <c r="CE17" s="22" t="n"/>
      <c r="CF17" s="44" t="n"/>
      <c r="CG17" s="44" t="n"/>
      <c r="CH17" s="44" t="n"/>
      <c r="CI17" s="44" t="n"/>
      <c r="CJ17" s="22" t="n"/>
      <c r="CK17" s="44" t="n"/>
      <c r="CL17" s="44" t="n"/>
      <c r="CM17" s="44" t="n"/>
      <c r="CN17" s="44" t="n"/>
      <c r="CO17" s="22" t="n"/>
      <c r="CP17" s="44" t="n"/>
      <c r="CQ17" s="44" t="n"/>
      <c r="CR17" s="44" t="n"/>
      <c r="CS17" s="44" t="n"/>
      <c r="CT17" s="22" t="n"/>
      <c r="CU17" s="44" t="n"/>
      <c r="CV17" s="44" t="n"/>
      <c r="CW17" s="44" t="n"/>
      <c r="CX17" s="44" t="n"/>
      <c r="CY17" s="22" t="n"/>
    </row>
    <row r="18" hidden="1" outlineLevel="1" customFormat="1" s="23">
      <c r="A18" s="18" t="n"/>
      <c r="B18" s="19" t="n"/>
      <c r="C18" s="20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1" t="n"/>
      <c r="BK18" s="21" t="n"/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21" t="n"/>
      <c r="BZ18" s="21" t="n"/>
      <c r="CA18" s="21" t="n"/>
      <c r="CB18" s="21" t="n"/>
      <c r="CC18" s="21" t="n"/>
      <c r="CD18" s="21" t="n"/>
      <c r="CE18" s="21" t="n"/>
      <c r="CF18" s="21" t="n"/>
      <c r="CG18" s="21" t="n"/>
      <c r="CH18" s="21" t="n"/>
      <c r="CI18" s="21" t="n"/>
      <c r="CJ18" s="21" t="n"/>
      <c r="CK18" s="21" t="n"/>
      <c r="CL18" s="21" t="n"/>
      <c r="CM18" s="21" t="n"/>
      <c r="CN18" s="21" t="n"/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</row>
    <row r="19" hidden="1" outlineLevel="1" customFormat="1" s="23">
      <c r="A19" s="18" t="n"/>
      <c r="B19" s="19" t="n"/>
      <c r="C19" s="20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/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21" t="n"/>
      <c r="BZ19" s="21" t="n"/>
      <c r="CA19" s="21" t="n"/>
      <c r="CB19" s="21" t="n"/>
      <c r="CC19" s="21" t="n"/>
      <c r="CD19" s="21" t="n"/>
      <c r="CE19" s="21" t="n"/>
      <c r="CF19" s="21" t="n"/>
      <c r="CG19" s="21" t="n"/>
      <c r="CH19" s="21" t="n"/>
      <c r="CI19" s="21" t="n"/>
      <c r="CJ19" s="21" t="n"/>
      <c r="CK19" s="21" t="n"/>
      <c r="CL19" s="21" t="n"/>
      <c r="CM19" s="21" t="n"/>
      <c r="CN19" s="21" t="n"/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</row>
    <row r="20" collapsed="1">
      <c r="C20" s="24" t="inlineStr">
        <is>
          <t>COGS (cash)</t>
        </is>
      </c>
      <c r="D20" s="25">
        <f>INDEX('Inputs (2)'!$D$5:$AL$5,MATCH(D$7,'Inputs (2)'!$D$2:$AL$2,0))</f>
        <v>-1076</v>
      </c>
      <c r="E20" s="25">
        <f>INDEX('Inputs (2)'!$D$5:$AL$5,MATCH(E$7,'Inputs (2)'!$D$2:$AL$2,0))</f>
        <v>-1591</v>
      </c>
      <c r="F20" s="25">
        <f>INDEX('Inputs (2)'!$D$5:$AL$5,MATCH(F$7,'Inputs (2)'!$D$2:$AL$2,0))</f>
        <v>-1766</v>
      </c>
      <c r="G20" s="25">
        <f>INDEX('Inputs (2)'!$D$5:$AL$5,MATCH(G$7,'Inputs (2)'!$D$2:$AL$2,0))</f>
        <v>-1846</v>
      </c>
      <c r="H20" s="3">
        <f>SUM(D20:G20)</f>
        <v>-6279</v>
      </c>
      <c r="I20" s="25">
        <f>INDEX('Inputs (2)'!$D$5:$AL$5,MATCH(I$7,'Inputs (2)'!$D$2:$AL$2,0))</f>
        <v>-2032</v>
      </c>
      <c r="J20" s="25">
        <f>INDEX('Inputs (2)'!$D$5:$AL$5,MATCH(J$7,'Inputs (2)'!$D$2:$AL$2,0))</f>
        <v>-2292</v>
      </c>
      <c r="K20" s="25">
        <f>INDEX('Inputs (2)'!$D$5:$AL$5,MATCH(K$7,'Inputs (2)'!$D$2:$AL$2,0))</f>
        <v>-2472</v>
      </c>
      <c r="L20" s="25">
        <f>INDEX('Inputs (2)'!$D$5:$AL$5,MATCH(L$7,'Inputs (2)'!$D$2:$AL$2,0))</f>
        <v>-2643</v>
      </c>
      <c r="M20" s="3">
        <f>SUM(I20:L20)</f>
        <v>-9439</v>
      </c>
      <c r="N20" s="25">
        <f>INDEX('Inputs (2)'!$D$5:$AL$5,MATCH(N$7,'Inputs (2)'!$D$2:$AL$2,0))</f>
        <v>-2857</v>
      </c>
      <c r="O20" s="25">
        <f>INDEX('Inputs (2)'!$D$5:$AL$5,MATCH(O$7,'Inputs (2)'!$D$2:$AL$2,0))</f>
        <v>-3789</v>
      </c>
      <c r="P20" s="25">
        <f>INDEX('Inputs (2)'!$D$5:$AL$5,MATCH(P$7,'Inputs (2)'!$D$2:$AL$2,0))</f>
        <v>-2754</v>
      </c>
      <c r="Q20" s="25">
        <f>INDEX('Inputs (2)'!$D$5:$AL$5,MATCH(Q$7,'Inputs (2)'!$D$2:$AL$2,0))</f>
        <v>-2218</v>
      </c>
      <c r="R20" s="3">
        <f>SUM(N20:Q20)</f>
        <v>-11618</v>
      </c>
      <c r="S20" s="25">
        <f>INDEX('Inputs (2)'!$D$5:$AL$5,MATCH(S$7,'Inputs (2)'!$D$2:$AL$2,0))</f>
        <v>-2544</v>
      </c>
      <c r="T20" s="25">
        <f>INDEX('Inputs (2)'!$D$5:$AL$5,MATCH(T$7,'Inputs (2)'!$D$2:$AL$2,0))</f>
        <v>-4045</v>
      </c>
      <c r="U20" s="25">
        <f>INDEX('Inputs (2)'!$D$5:$AL$5,MATCH(U$7,'Inputs (2)'!$D$2:$AL$2,0))</f>
        <v>-4720</v>
      </c>
      <c r="V20" s="25">
        <f>INDEX('Inputs (2)'!$D$5:$AL$5,MATCH(V$7,'Inputs (2)'!$D$2:$AL$2,0))</f>
        <v>-5312</v>
      </c>
      <c r="W20" s="3">
        <f>SUM(S20:V20)</f>
        <v>-16621</v>
      </c>
      <c r="X20" s="25">
        <f>INDEX('Inputs (2)'!$D$5:$AL$5,MATCH(X$7,'Inputs (2)'!$D$2:$AL$2,0))</f>
        <v>-5638</v>
      </c>
      <c r="Y20" s="25">
        <f>INDEX('Inputs (2)'!$D$5:$AL$5,MATCH(Y$7,'Inputs (2)'!$D$2:$AL$2,0))</f>
        <v>-7466</v>
      </c>
      <c r="Z20" s="25">
        <f>INDEX('Inputs (2)'!$D$5:$AL$5,MATCH(Z$7,'Inputs (2)'!$D$2:$AL$2,0))</f>
        <v>-8926</v>
      </c>
      <c r="AA20" s="25">
        <f>INDEX('Inputs (2)'!$D$5:$AL$5,MATCH(AA$7,'Inputs (2)'!$D$2:$AL$2,0))</f>
        <v>-10609</v>
      </c>
      <c r="AB20" s="3">
        <f>SUM(X20:AA20)</f>
        <v>-32639</v>
      </c>
      <c r="AC20" s="25">
        <f>INDEX('Inputs (2)'!$D$5:$AL$5,MATCH(AC$7,'Inputs (2)'!$D$2:$AL$2,0))</f>
        <v>-17394</v>
      </c>
      <c r="AD20" s="25">
        <f>INDEX('Inputs (2)'!$D$5:$AL$5,MATCH(AD$7,'Inputs (2)'!$D$2:$AL$2,0))</f>
        <v>-12890</v>
      </c>
      <c r="AE20" s="25">
        <f>INDEX('Inputs (2)'!$D$5:$AL$5,MATCH(AE$7,'Inputs (2)'!$D$2:$AL$2,0))</f>
        <v>-15157</v>
      </c>
      <c r="AF20" s="25">
        <f>INDEX('Inputs (2)'!$D$5:$AL$5,MATCH(AF$7,'Inputs (2)'!$D$2:$AL$2,0))</f>
        <v>-17034</v>
      </c>
      <c r="AG20" s="3">
        <f>SUM(AC20:AF20)</f>
        <v>-62475</v>
      </c>
      <c r="AH20" s="3">
        <f>(100%-AH21)*-AH15</f>
        <v>-44062</v>
      </c>
      <c r="AI20" s="3">
        <f>(100%-AI21)*-AI15</f>
        <v>-46743</v>
      </c>
      <c r="AJ20" s="3">
        <f>(100%-AJ21)*-AJ15</f>
        <v>-57006</v>
      </c>
      <c r="AK20" s="3">
        <f>(100%-AK21)*-AK15</f>
        <v>-68127</v>
      </c>
      <c r="AL20" s="3">
        <f>SUM(AH20:AK20)</f>
        <v>-215938</v>
      </c>
      <c r="AM20" s="3">
        <f>(100%-AM21)*-AM15</f>
        <v>-44062</v>
      </c>
      <c r="AN20" s="3">
        <f>(100%-AN21)*-AN15</f>
        <v>-46743</v>
      </c>
      <c r="AO20" s="3">
        <f>(100%-AO21)*-AO15</f>
        <v>-57006</v>
      </c>
      <c r="AP20" s="3">
        <f>(100%-AP21)*-AP15</f>
        <v>-68127</v>
      </c>
      <c r="AQ20" s="3">
        <f>SUM(AM20:AP20)</f>
        <v>-215938</v>
      </c>
      <c r="AR20" s="3">
        <f>(100%-AR21)*-AR15</f>
        <v>-44062</v>
      </c>
      <c r="AS20" s="3">
        <f>(100%-AS21)*-AS15</f>
        <v>-46743</v>
      </c>
      <c r="AT20" s="3">
        <f>(100%-AT21)*-AT15</f>
        <v>-57006</v>
      </c>
      <c r="AU20" s="3">
        <f>(100%-AU21)*-AU15</f>
        <v>-68127</v>
      </c>
      <c r="AV20" s="3">
        <f>SUM(AR20:AU20)</f>
        <v>-215938</v>
      </c>
      <c r="AW20" s="3">
        <f>(100%-AW21)*-AW15</f>
        <v>-44062</v>
      </c>
      <c r="AX20" s="3">
        <f>(100%-AX21)*-AX15</f>
        <v>-46743</v>
      </c>
      <c r="AY20" s="3">
        <f>(100%-AY21)*-AY15</f>
        <v>-57006</v>
      </c>
      <c r="AZ20" s="3">
        <f>(100%-AZ21)*-AZ15</f>
        <v>-68127</v>
      </c>
      <c r="BA20" s="3">
        <f>SUM(AW20:AZ20)</f>
        <v>-215938</v>
      </c>
      <c r="BB20" s="3">
        <f>(100%-BB21)*-BB15</f>
        <v>-44062</v>
      </c>
      <c r="BC20" s="3">
        <f>(100%-BC21)*-BC15</f>
        <v>-46743</v>
      </c>
      <c r="BD20" s="3">
        <f>(100%-BD21)*-BD15</f>
        <v>-57006</v>
      </c>
      <c r="BE20" s="3">
        <f>(100%-BE21)*-BE15</f>
        <v>-68127</v>
      </c>
      <c r="BF20" s="3">
        <f>SUM(BB20:BE20)</f>
        <v>-215938</v>
      </c>
      <c r="BG20" s="3">
        <f>(100%-BG21)*-BG15</f>
        <v>-44062</v>
      </c>
      <c r="BH20" s="3">
        <f>(100%-BH21)*-BH15</f>
        <v>-46743</v>
      </c>
      <c r="BI20" s="3">
        <f>(100%-BI21)*-BI15</f>
        <v>-57006</v>
      </c>
      <c r="BJ20" s="3">
        <f>(100%-BJ21)*-BJ15</f>
        <v>-68127</v>
      </c>
      <c r="BK20" s="3">
        <f>SUM(BG20:BJ20)</f>
        <v>-215938</v>
      </c>
      <c r="BL20" s="3">
        <f>(100%-BL21)*-BL15</f>
        <v>-44062</v>
      </c>
      <c r="BM20" s="3">
        <f>(100%-BM21)*-BM15</f>
        <v>-46743</v>
      </c>
      <c r="BN20" s="3">
        <f>(100%-BN21)*-BN15</f>
        <v>-57006</v>
      </c>
      <c r="BO20" s="3">
        <f>(100%-BO21)*-BO15</f>
        <v>-68127</v>
      </c>
      <c r="BP20" s="3">
        <f>SUM(BL20:BO20)</f>
        <v>-215938</v>
      </c>
      <c r="BQ20" s="3">
        <f>(100%-BQ21)*-BQ15</f>
        <v>-44062</v>
      </c>
      <c r="BR20" s="3">
        <f>(100%-BR21)*-BR15</f>
        <v>-46743</v>
      </c>
      <c r="BS20" s="3">
        <f>(100%-BS21)*-BS15</f>
        <v>-57006</v>
      </c>
      <c r="BT20" s="3">
        <f>(100%-BT21)*-BT15</f>
        <v>-68127</v>
      </c>
      <c r="BU20" s="3">
        <f>SUM(BQ20:BT20)</f>
        <v>-215938</v>
      </c>
      <c r="BV20" s="3">
        <f>(100%-BV21)*-BV15</f>
        <v>-44062</v>
      </c>
      <c r="BW20" s="3">
        <f>(100%-BW21)*-BW15</f>
        <v>-46743</v>
      </c>
      <c r="BX20" s="3">
        <f>(100%-BX21)*-BX15</f>
        <v>-57006</v>
      </c>
      <c r="BY20" s="3">
        <f>(100%-BY21)*-BY15</f>
        <v>-68127</v>
      </c>
      <c r="BZ20" s="3">
        <f>SUM(BV20:BY20)</f>
        <v>-215938</v>
      </c>
      <c r="CA20" s="3">
        <f>(100%-CA21)*-CA15</f>
        <v>-44062</v>
      </c>
      <c r="CB20" s="3">
        <f>(100%-CB21)*-CB15</f>
        <v>-46743</v>
      </c>
      <c r="CC20" s="3">
        <f>(100%-CC21)*-CC15</f>
        <v>-57006</v>
      </c>
      <c r="CD20" s="3">
        <f>(100%-CD21)*-CD15</f>
        <v>-68127</v>
      </c>
      <c r="CE20" s="3">
        <f>SUM(CA20:CD20)</f>
        <v>-215938</v>
      </c>
      <c r="CF20" s="3">
        <f>(100%-CF21)*-CF15</f>
        <v>-44062</v>
      </c>
      <c r="CG20" s="3">
        <f>(100%-CG21)*-CG15</f>
        <v>-46743</v>
      </c>
      <c r="CH20" s="3">
        <f>(100%-CH21)*-CH15</f>
        <v>-57006</v>
      </c>
      <c r="CI20" s="3">
        <f>(100%-CI21)*-CI15</f>
        <v>-68127</v>
      </c>
      <c r="CJ20" s="3">
        <f>SUM(CF20:CI20)</f>
        <v>-215938</v>
      </c>
      <c r="CK20" s="3">
        <f>(100%-CK21)*-CK15</f>
        <v>-44062</v>
      </c>
      <c r="CL20" s="3">
        <f>(100%-CL21)*-CL15</f>
        <v>-46743</v>
      </c>
      <c r="CM20" s="3">
        <f>(100%-CM21)*-CM15</f>
        <v>-57006</v>
      </c>
      <c r="CN20" s="3">
        <f>(100%-CN21)*-CN15</f>
        <v>-68127</v>
      </c>
      <c r="CO20" s="3">
        <f>SUM(CK20:CN20)</f>
        <v>-215938</v>
      </c>
      <c r="CP20" s="3">
        <f>(100%-CP21)*-CP15</f>
        <v>-44062</v>
      </c>
      <c r="CQ20" s="3">
        <f>(100%-CQ21)*-CQ15</f>
        <v>-46743</v>
      </c>
      <c r="CR20" s="3">
        <f>(100%-CR21)*-CR15</f>
        <v>-57006</v>
      </c>
      <c r="CS20" s="3">
        <f>(100%-CS21)*-CS15</f>
        <v>-68127</v>
      </c>
      <c r="CT20" s="3">
        <f>SUM(CP20:CS20)</f>
        <v>-215938</v>
      </c>
      <c r="CU20" s="3">
        <f>(100%-CU21)*-CU15</f>
        <v>-44062</v>
      </c>
      <c r="CV20" s="3">
        <f>(100%-CV21)*-CV15</f>
        <v>-46743</v>
      </c>
      <c r="CW20" s="3">
        <f>(100%-CW21)*-CW15</f>
        <v>-57006</v>
      </c>
      <c r="CX20" s="3">
        <f>(100%-CX21)*-CX15</f>
        <v>-68127</v>
      </c>
      <c r="CY20" s="3">
        <f>SUM(CU20:CX20)</f>
        <v>-215938</v>
      </c>
    </row>
    <row r="21" hidden="1" outlineLevel="1" customFormat="1" s="1">
      <c r="C21" s="57" t="inlineStr">
        <is>
          <t>% Gross Margin</t>
        </is>
      </c>
      <c r="D21" s="54">
        <f>(D15+D20)/D$15</f>
        <v>0.650649350649351</v>
      </c>
      <c r="E21" s="54">
        <f>(E15+E20)/E$15</f>
        <v>0.588463528194516</v>
      </c>
      <c r="F21" s="54">
        <f>(F15+F20)/F$15</f>
        <v>0.626322471434617</v>
      </c>
      <c r="G21" s="54">
        <f>(G15+G20)/G$15</f>
        <v>0.631021387167699</v>
      </c>
      <c r="H21" s="54">
        <f>(H15+H20)/H$15</f>
        <v>0.623448275862069</v>
      </c>
      <c r="I21" s="54">
        <f>(I15+I20)/I$15</f>
        <v>0.641052817523406</v>
      </c>
      <c r="J21" s="54">
        <f>(J15+J20)/J$15</f>
        <v>0.647763946519133</v>
      </c>
      <c r="K21" s="54">
        <f>(K15+K20)/K$15</f>
        <v>0.651978037448965</v>
      </c>
      <c r="L21" s="54">
        <f>(L15+L20)/L$15</f>
        <v>0.654193379562999</v>
      </c>
      <c r="M21" s="54">
        <f>(M15+M20)/M$15</f>
        <v>0.649290332169131</v>
      </c>
      <c r="N21" s="54">
        <f>(N15+N20)/N$15</f>
        <v>0.655284749034749</v>
      </c>
      <c r="O21" s="54">
        <f>(O15+O20)/O$15</f>
        <v>0.434815035799523</v>
      </c>
      <c r="P21" s="54">
        <f>(P15+P20)/P$15</f>
        <v>0.535660091047041</v>
      </c>
      <c r="Q21" s="54">
        <f>(Q15+Q20)/Q$15</f>
        <v>0.633449016691456</v>
      </c>
      <c r="R21" s="54">
        <f>(R15+R20)/R$15</f>
        <v>0.569288944909913</v>
      </c>
      <c r="S21" s="54">
        <f>(S15+S20)/S$15</f>
        <v>0.646273637374861</v>
      </c>
      <c r="T21" s="54">
        <f>(T15+T20)/T$15</f>
        <v>0.700525653364922</v>
      </c>
      <c r="U21" s="54">
        <f>(U15+U20)/U$15</f>
        <v>0.739514348785872</v>
      </c>
      <c r="V21" s="54">
        <f>(V15+V20)/V$15</f>
        <v>0.759670632945754</v>
      </c>
      <c r="W21" s="54">
        <f>(W15+W20)/W$15</f>
        <v>0.72717573290437</v>
      </c>
      <c r="X21" s="54">
        <f>(X15+X20)/X$15</f>
        <v>0.783520196590386</v>
      </c>
      <c r="Y21" s="54">
        <f>(Y15+Y20)/Y$15</f>
        <v>0.751464713715047</v>
      </c>
      <c r="Z21" s="54">
        <f>(Z15+Z20)/Z$15</f>
        <v>0.745567527506984</v>
      </c>
      <c r="AA21" s="54">
        <f>(AA15+AA20)/AA$15</f>
        <v>0.730263659708627</v>
      </c>
      <c r="AB21" s="54">
        <f>(AB15+AB20)/AB$15</f>
        <v>0.749886970581699</v>
      </c>
      <c r="AC21" s="54">
        <f>(AC15+AC20)/AC$15</f>
        <v>0.60523807362353</v>
      </c>
      <c r="AD21" s="54">
        <f>(AD15+AD20)/AD$15</f>
        <v>0.724236784117408</v>
      </c>
      <c r="AE21" s="54">
        <f>(AE15+AE20)/AE$15</f>
        <v>0.734115707118549</v>
      </c>
      <c r="AF21" s="44">
        <f>(AF15+AF20)/AF$15</f>
        <v>0.749966973446651</v>
      </c>
      <c r="AG21" s="54">
        <f>(AG15+AG20)/AG$15</f>
        <v>0.710680843575471</v>
      </c>
      <c r="AH21" s="55" t="n"/>
      <c r="AI21" s="55" t="n"/>
      <c r="AJ21" s="55" t="n"/>
      <c r="AK21" s="55" t="n"/>
      <c r="AL21" s="54">
        <f>(AL15+AL20)/AL$15</f>
        <v>0</v>
      </c>
      <c r="AM21" s="55" t="n"/>
      <c r="AN21" s="55" t="n"/>
      <c r="AO21" s="55" t="n"/>
      <c r="AP21" s="55" t="n"/>
      <c r="AQ21" s="54">
        <f>(AQ15+AQ20)/AQ$15</f>
        <v>0</v>
      </c>
      <c r="AR21" s="55" t="n"/>
      <c r="AS21" s="55" t="n"/>
      <c r="AT21" s="55" t="n"/>
      <c r="AU21" s="55" t="n"/>
      <c r="AV21" s="54">
        <f>(AV15+AV20)/AV$15</f>
        <v>0</v>
      </c>
      <c r="AW21" s="55" t="n"/>
      <c r="AX21" s="55" t="n"/>
      <c r="AY21" s="55" t="n"/>
      <c r="AZ21" s="55" t="n"/>
      <c r="BA21" s="54">
        <f>(BA15+BA20)/BA$15</f>
        <v>0</v>
      </c>
      <c r="BB21" s="55" t="n"/>
      <c r="BC21" s="55" t="n"/>
      <c r="BD21" s="55" t="n"/>
      <c r="BE21" s="55" t="n"/>
      <c r="BF21" s="54">
        <f>(BF15+BF20)/BF$15</f>
        <v>0</v>
      </c>
      <c r="BG21" s="55" t="n"/>
      <c r="BH21" s="55" t="n"/>
      <c r="BI21" s="55" t="n"/>
      <c r="BJ21" s="55" t="n"/>
      <c r="BK21" s="54">
        <f>(BK15+BK20)/BK$15</f>
        <v>0</v>
      </c>
      <c r="BL21" s="55" t="n"/>
      <c r="BM21" s="55" t="n"/>
      <c r="BN21" s="55" t="n"/>
      <c r="BO21" s="55" t="n"/>
      <c r="BP21" s="54">
        <f>(BP15+BP20)/BP$15</f>
        <v>0</v>
      </c>
      <c r="BQ21" s="55" t="n"/>
      <c r="BR21" s="55" t="n"/>
      <c r="BS21" s="55" t="n"/>
      <c r="BT21" s="55" t="n"/>
      <c r="BU21" s="54">
        <f>(BU15+BU20)/BU$15</f>
        <v>0</v>
      </c>
      <c r="BV21" s="55" t="n"/>
      <c r="BW21" s="55" t="n"/>
      <c r="BX21" s="55" t="n"/>
      <c r="BY21" s="55" t="n"/>
      <c r="BZ21" s="54">
        <f>(BZ15+BZ20)/BZ$15</f>
        <v>0</v>
      </c>
      <c r="CA21" s="55" t="n"/>
      <c r="CB21" s="55" t="n"/>
      <c r="CC21" s="55" t="n"/>
      <c r="CD21" s="55" t="n"/>
      <c r="CE21" s="54">
        <f>(CE15+CE20)/CE$15</f>
        <v>0</v>
      </c>
      <c r="CF21" s="55" t="n"/>
      <c r="CG21" s="55" t="n"/>
      <c r="CH21" s="55" t="n"/>
      <c r="CI21" s="55" t="n"/>
      <c r="CJ21" s="54">
        <f>(CJ15+CJ20)/CJ$15</f>
        <v>0</v>
      </c>
      <c r="CK21" s="55" t="n"/>
      <c r="CL21" s="55" t="n"/>
      <c r="CM21" s="55" t="n"/>
      <c r="CN21" s="55" t="n"/>
      <c r="CO21" s="54">
        <f>(CO15+CO20)/CO$15</f>
        <v>0</v>
      </c>
      <c r="CP21" s="55" t="n"/>
      <c r="CQ21" s="55" t="n"/>
      <c r="CR21" s="55" t="n"/>
      <c r="CS21" s="55" t="n"/>
      <c r="CT21" s="54">
        <f>(CT15+CT20)/CT$15</f>
        <v>0</v>
      </c>
      <c r="CU21" s="55" t="n"/>
      <c r="CV21" s="55" t="n"/>
      <c r="CW21" s="55" t="n"/>
      <c r="CX21" s="55" t="n"/>
      <c r="CY21" s="54">
        <f>(CY15+CY20)/CY$15</f>
        <v>0</v>
      </c>
    </row>
    <row r="22" hidden="1" outlineLevel="1"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2" t="n"/>
      <c r="AD22" s="32" t="n"/>
      <c r="AE22" s="32" t="n"/>
      <c r="AF22" s="32" t="n"/>
      <c r="AG22" s="32" t="n"/>
      <c r="AH22" s="32" t="n"/>
      <c r="AI22" s="32" t="n"/>
      <c r="AJ22" s="32" t="n"/>
      <c r="AK22" s="32" t="n"/>
      <c r="AL22" s="32" t="n"/>
      <c r="AM22" s="32" t="n"/>
      <c r="AN22" s="32" t="n"/>
      <c r="AO22" s="32" t="n"/>
      <c r="AP22" s="32" t="n"/>
      <c r="AQ22" s="32" t="n"/>
      <c r="AR22" s="32" t="n"/>
      <c r="AS22" s="32" t="n"/>
      <c r="AT22" s="32" t="n"/>
      <c r="AU22" s="32" t="n"/>
      <c r="AV22" s="32" t="n"/>
      <c r="AW22" s="32" t="n"/>
      <c r="AX22" s="32" t="n"/>
      <c r="AY22" s="32" t="n"/>
      <c r="AZ22" s="32" t="n"/>
      <c r="BA22" s="32" t="n"/>
      <c r="BB22" s="32" t="n"/>
      <c r="BC22" s="32" t="n"/>
      <c r="BD22" s="32" t="n"/>
      <c r="BE22" s="32" t="n"/>
      <c r="BF22" s="32" t="n"/>
      <c r="BG22" s="32" t="n"/>
      <c r="BH22" s="32" t="n"/>
      <c r="BI22" s="32" t="n"/>
      <c r="BJ22" s="32" t="n"/>
      <c r="BK22" s="32" t="n"/>
      <c r="BL22" s="32" t="n"/>
      <c r="BM22" s="32" t="n"/>
      <c r="BN22" s="32" t="n"/>
      <c r="BO22" s="32" t="n"/>
      <c r="BP22" s="32" t="n"/>
      <c r="BQ22" s="32" t="n"/>
      <c r="BR22" s="32" t="n"/>
      <c r="BS22" s="32" t="n"/>
      <c r="BT22" s="32" t="n"/>
      <c r="BU22" s="32" t="n"/>
      <c r="BV22" s="32" t="n"/>
      <c r="BW22" s="32" t="n"/>
      <c r="BX22" s="32" t="n"/>
      <c r="BY22" s="32" t="n"/>
      <c r="BZ22" s="32" t="n"/>
      <c r="CA22" s="32" t="n"/>
      <c r="CB22" s="32" t="n"/>
      <c r="CC22" s="32" t="n"/>
      <c r="CD22" s="32" t="n"/>
      <c r="CE22" s="32" t="n"/>
      <c r="CF22" s="32" t="n"/>
      <c r="CG22" s="32" t="n"/>
      <c r="CH22" s="32" t="n"/>
      <c r="CI22" s="32" t="n"/>
      <c r="CJ22" s="32" t="n"/>
      <c r="CK22" s="32" t="n"/>
      <c r="CL22" s="32" t="n"/>
      <c r="CM22" s="32" t="n"/>
      <c r="CN22" s="32" t="n"/>
      <c r="CO22" s="32" t="n"/>
      <c r="CP22" s="32" t="n"/>
      <c r="CQ22" s="32" t="n"/>
      <c r="CR22" s="32" t="n"/>
      <c r="CS22" s="32" t="n"/>
      <c r="CT22" s="32" t="n"/>
      <c r="CU22" s="32" t="n"/>
      <c r="CV22" s="32" t="n"/>
      <c r="CW22" s="32" t="n"/>
      <c r="CX22" s="32" t="n"/>
      <c r="CY22" s="32" t="n"/>
    </row>
    <row r="23" hidden="1" outlineLevel="1"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2" t="n"/>
      <c r="AD23" s="32" t="n"/>
      <c r="AE23" s="32" t="n"/>
      <c r="AF23" s="32" t="n"/>
      <c r="AG23" s="32" t="n"/>
      <c r="AH23" s="32" t="n"/>
      <c r="AI23" s="32" t="n"/>
      <c r="AJ23" s="32" t="n"/>
      <c r="AK23" s="32" t="n"/>
      <c r="AL23" s="32" t="n"/>
      <c r="AM23" s="32" t="n"/>
      <c r="AN23" s="32" t="n"/>
      <c r="AO23" s="32" t="n"/>
      <c r="AP23" s="32" t="n"/>
      <c r="AQ23" s="32" t="n"/>
      <c r="AR23" s="32" t="n"/>
      <c r="AS23" s="32" t="n"/>
      <c r="AT23" s="32" t="n"/>
      <c r="AU23" s="32" t="n"/>
      <c r="AV23" s="32" t="n"/>
      <c r="AW23" s="32" t="n"/>
      <c r="AX23" s="32" t="n"/>
      <c r="AY23" s="32" t="n"/>
      <c r="AZ23" s="32" t="n"/>
      <c r="BA23" s="32" t="n"/>
      <c r="BB23" s="32" t="n"/>
      <c r="BC23" s="32" t="n"/>
      <c r="BD23" s="32" t="n"/>
      <c r="BE23" s="32" t="n"/>
      <c r="BF23" s="32" t="n"/>
      <c r="BG23" s="32" t="n"/>
      <c r="BH23" s="32" t="n"/>
      <c r="BI23" s="32" t="n"/>
      <c r="BJ23" s="32" t="n"/>
      <c r="BK23" s="32" t="n"/>
      <c r="BL23" s="32" t="n"/>
      <c r="BM23" s="32" t="n"/>
      <c r="BN23" s="32" t="n"/>
      <c r="BO23" s="32" t="n"/>
      <c r="BP23" s="32" t="n"/>
      <c r="BQ23" s="32" t="n"/>
      <c r="BR23" s="32" t="n"/>
      <c r="BS23" s="32" t="n"/>
      <c r="BT23" s="32" t="n"/>
      <c r="BU23" s="32" t="n"/>
      <c r="BV23" s="32" t="n"/>
      <c r="BW23" s="32" t="n"/>
      <c r="BX23" s="32" t="n"/>
      <c r="BY23" s="32" t="n"/>
      <c r="BZ23" s="32" t="n"/>
      <c r="CA23" s="32" t="n"/>
      <c r="CB23" s="32" t="n"/>
      <c r="CC23" s="32" t="n"/>
      <c r="CD23" s="32" t="n"/>
      <c r="CE23" s="32" t="n"/>
      <c r="CF23" s="32" t="n"/>
      <c r="CG23" s="32" t="n"/>
      <c r="CH23" s="32" t="n"/>
      <c r="CI23" s="32" t="n"/>
      <c r="CJ23" s="32" t="n"/>
      <c r="CK23" s="32" t="n"/>
      <c r="CL23" s="32" t="n"/>
      <c r="CM23" s="32" t="n"/>
      <c r="CN23" s="32" t="n"/>
      <c r="CO23" s="32" t="n"/>
      <c r="CP23" s="32" t="n"/>
      <c r="CQ23" s="32" t="n"/>
      <c r="CR23" s="32" t="n"/>
      <c r="CS23" s="32" t="n"/>
      <c r="CT23" s="32" t="n"/>
      <c r="CU23" s="32" t="n"/>
      <c r="CV23" s="32" t="n"/>
      <c r="CW23" s="32" t="n"/>
      <c r="CX23" s="32" t="n"/>
      <c r="CY23" s="32" t="n"/>
    </row>
    <row r="24" collapsed="1">
      <c r="C24" s="24" t="inlineStr">
        <is>
          <t>SG&amp;A and Other (cash)</t>
        </is>
      </c>
      <c r="D24" s="25">
        <f>INDEX('Inputs (2)'!$D$6:$AL$6,MATCH(D$7,'Inputs (2)'!$D$2:$AL$2,0))</f>
        <v>-921</v>
      </c>
      <c r="E24" s="25">
        <f>INDEX('Inputs (2)'!$D$6:$AL$6,MATCH(E$7,'Inputs (2)'!$D$2:$AL$2,0))</f>
        <v>-1220</v>
      </c>
      <c r="F24" s="25">
        <f>INDEX('Inputs (2)'!$D$6:$AL$6,MATCH(F$7,'Inputs (2)'!$D$2:$AL$2,0))</f>
        <v>-1263</v>
      </c>
      <c r="G24" s="25">
        <f>INDEX('Inputs (2)'!$D$6:$AL$6,MATCH(G$7,'Inputs (2)'!$D$2:$AL$2,0))</f>
        <v>-1362</v>
      </c>
      <c r="H24" s="3">
        <f>SUM(D24:G24)</f>
        <v>-4766</v>
      </c>
      <c r="I24" s="25">
        <f>INDEX('Inputs (2)'!$D$6:$AL$6,MATCH(I$7,'Inputs (2)'!$D$2:$AL$2,0))</f>
        <v>-1392</v>
      </c>
      <c r="J24" s="25">
        <f>INDEX('Inputs (2)'!$D$6:$AL$6,MATCH(J$7,'Inputs (2)'!$D$2:$AL$2,0))</f>
        <v>-1485</v>
      </c>
      <c r="K24" s="25">
        <f>INDEX('Inputs (2)'!$D$6:$AL$6,MATCH(K$7,'Inputs (2)'!$D$2:$AL$2,0))</f>
        <v>-1662</v>
      </c>
      <c r="L24" s="25">
        <f>INDEX('Inputs (2)'!$D$6:$AL$6,MATCH(L$7,'Inputs (2)'!$D$2:$AL$2,0))</f>
        <v>-1721</v>
      </c>
      <c r="M24" s="3">
        <f>SUM(I24:L24)</f>
        <v>-6260</v>
      </c>
      <c r="N24" s="25">
        <f>INDEX('Inputs (2)'!$D$6:$AL$6,MATCH(N$7,'Inputs (2)'!$D$2:$AL$2,0))</f>
        <v>-3229</v>
      </c>
      <c r="O24" s="25">
        <f>INDEX('Inputs (2)'!$D$6:$AL$6,MATCH(O$7,'Inputs (2)'!$D$2:$AL$2,0))</f>
        <v>-2038</v>
      </c>
      <c r="P24" s="25">
        <f>INDEX('Inputs (2)'!$D$6:$AL$6,MATCH(P$7,'Inputs (2)'!$D$2:$AL$2,0))</f>
        <v>-2170</v>
      </c>
      <c r="Q24" s="25">
        <f>INDEX('Inputs (2)'!$D$6:$AL$6,MATCH(Q$7,'Inputs (2)'!$D$2:$AL$2,0))</f>
        <v>-2151</v>
      </c>
      <c r="R24" s="3">
        <f>SUM(N24:Q24)</f>
        <v>-9588</v>
      </c>
      <c r="S24" s="25">
        <f>INDEX('Inputs (2)'!$D$6:$AL$6,MATCH(S$7,'Inputs (2)'!$D$2:$AL$2,0))</f>
        <v>-2124</v>
      </c>
      <c r="T24" s="25">
        <f>INDEX('Inputs (2)'!$D$6:$AL$6,MATCH(T$7,'Inputs (2)'!$D$2:$AL$2,0))</f>
        <v>-2297</v>
      </c>
      <c r="U24" s="25">
        <f>INDEX('Inputs (2)'!$D$6:$AL$6,MATCH(U$7,'Inputs (2)'!$D$2:$AL$2,0))</f>
        <v>-2611</v>
      </c>
      <c r="V24" s="25">
        <f>INDEX('Inputs (2)'!$D$6:$AL$6,MATCH(V$7,'Inputs (2)'!$D$2:$AL$2,0))</f>
        <v>-2789</v>
      </c>
      <c r="W24" s="3">
        <f>SUM(S24:V24)</f>
        <v>-9821</v>
      </c>
      <c r="X24" s="25">
        <f>INDEX('Inputs (2)'!$D$6:$AL$6,MATCH(X$7,'Inputs (2)'!$D$2:$AL$2,0))</f>
        <v>-3087</v>
      </c>
      <c r="Y24" s="25">
        <f>INDEX('Inputs (2)'!$D$6:$AL$6,MATCH(Y$7,'Inputs (2)'!$D$2:$AL$2,0))</f>
        <v>-3499</v>
      </c>
      <c r="Z24" s="25">
        <f>INDEX('Inputs (2)'!$D$6:$AL$6,MATCH(Z$7,'Inputs (2)'!$D$2:$AL$2,0))</f>
        <v>-3809</v>
      </c>
      <c r="AA24" s="25">
        <f>INDEX('Inputs (2)'!$D$6:$AL$6,MATCH(AA$7,'Inputs (2)'!$D$2:$AL$2,0))</f>
        <v>-4146</v>
      </c>
      <c r="AB24" s="3">
        <f>SUM(X24:AA24)</f>
        <v>-14541</v>
      </c>
      <c r="AC24" s="25">
        <f>INDEX('Inputs (2)'!$D$6:$AL$6,MATCH(AC$7,'Inputs (2)'!$D$2:$AL$2,0))</f>
        <v>-4419</v>
      </c>
      <c r="AD24" s="25">
        <f>INDEX('Inputs (2)'!$D$6:$AL$6,MATCH(AD$7,'Inputs (2)'!$D$2:$AL$2,0))</f>
        <v>-4744</v>
      </c>
      <c r="AE24" s="25">
        <f>INDEX('Inputs (2)'!$D$6:$AL$6,MATCH(AE$7,'Inputs (2)'!$D$2:$AL$2,0))</f>
        <v>-5088</v>
      </c>
      <c r="AF24" s="25">
        <f>INDEX('Inputs (2)'!$D$6:$AL$6,MATCH(AF$7,'Inputs (2)'!$D$2:$AL$2,0))</f>
        <v>-5982</v>
      </c>
      <c r="AG24" s="3">
        <f>SUM(AC24:AF24)</f>
        <v>-20233</v>
      </c>
      <c r="AH24" s="3">
        <f>-AH15*AH25</f>
        <v>0</v>
      </c>
      <c r="AI24" s="3">
        <f>-AI15*AI25</f>
        <v>0</v>
      </c>
      <c r="AJ24" s="3">
        <f>-AJ15*AJ25</f>
        <v>0</v>
      </c>
      <c r="AK24" s="3">
        <f>-AK15*AK25</f>
        <v>0</v>
      </c>
      <c r="AL24" s="3">
        <f>SUM(AH24:AK24)</f>
        <v>0</v>
      </c>
      <c r="AM24" s="3">
        <f>-AM15*AM25</f>
        <v>0</v>
      </c>
      <c r="AN24" s="3">
        <f>-AN15*AN25</f>
        <v>0</v>
      </c>
      <c r="AO24" s="3">
        <f>-AO15*AO25</f>
        <v>0</v>
      </c>
      <c r="AP24" s="3">
        <f>-AP15*AP25</f>
        <v>0</v>
      </c>
      <c r="AQ24" s="3">
        <f>SUM(AM24:AP24)</f>
        <v>0</v>
      </c>
      <c r="AR24" s="3">
        <f>-AR15*AR25</f>
        <v>0</v>
      </c>
      <c r="AS24" s="3">
        <f>-AS15*AS25</f>
        <v>0</v>
      </c>
      <c r="AT24" s="3">
        <f>-AT15*AT25</f>
        <v>0</v>
      </c>
      <c r="AU24" s="3">
        <f>-AU15*AU25</f>
        <v>0</v>
      </c>
      <c r="AV24" s="3">
        <f>SUM(AR24:AU24)</f>
        <v>0</v>
      </c>
      <c r="AW24" s="3">
        <f>-AW15*AW25</f>
        <v>0</v>
      </c>
      <c r="AX24" s="3">
        <f>-AX15*AX25</f>
        <v>0</v>
      </c>
      <c r="AY24" s="3">
        <f>-AY15*AY25</f>
        <v>0</v>
      </c>
      <c r="AZ24" s="3">
        <f>-AZ15*AZ25</f>
        <v>0</v>
      </c>
      <c r="BA24" s="3">
        <f>SUM(AW24:AZ24)</f>
        <v>0</v>
      </c>
      <c r="BB24" s="3">
        <f>-BB15*BB25</f>
        <v>0</v>
      </c>
      <c r="BC24" s="3">
        <f>-BC15*BC25</f>
        <v>0</v>
      </c>
      <c r="BD24" s="3">
        <f>-BD15*BD25</f>
        <v>0</v>
      </c>
      <c r="BE24" s="3">
        <f>-BE15*BE25</f>
        <v>0</v>
      </c>
      <c r="BF24" s="3">
        <f>SUM(BB24:BE24)</f>
        <v>0</v>
      </c>
      <c r="BG24" s="3">
        <f>-BG15*BG25</f>
        <v>0</v>
      </c>
      <c r="BH24" s="3">
        <f>-BH15*BH25</f>
        <v>0</v>
      </c>
      <c r="BI24" s="3">
        <f>-BI15*BI25</f>
        <v>0</v>
      </c>
      <c r="BJ24" s="3">
        <f>-BJ15*BJ25</f>
        <v>0</v>
      </c>
      <c r="BK24" s="3">
        <f>SUM(BG24:BJ24)</f>
        <v>0</v>
      </c>
      <c r="BL24" s="3">
        <f>-BL15*BL25</f>
        <v>0</v>
      </c>
      <c r="BM24" s="3">
        <f>-BM15*BM25</f>
        <v>0</v>
      </c>
      <c r="BN24" s="3">
        <f>-BN15*BN25</f>
        <v>0</v>
      </c>
      <c r="BO24" s="3">
        <f>-BO15*BO25</f>
        <v>0</v>
      </c>
      <c r="BP24" s="3">
        <f>SUM(BL24:BO24)</f>
        <v>0</v>
      </c>
      <c r="BQ24" s="3">
        <f>-BQ15*BQ25</f>
        <v>0</v>
      </c>
      <c r="BR24" s="3">
        <f>-BR15*BR25</f>
        <v>0</v>
      </c>
      <c r="BS24" s="3">
        <f>-BS15*BS25</f>
        <v>0</v>
      </c>
      <c r="BT24" s="3">
        <f>-BT15*BT25</f>
        <v>0</v>
      </c>
      <c r="BU24" s="3">
        <f>SUM(BQ24:BT24)</f>
        <v>0</v>
      </c>
      <c r="BV24" s="3">
        <f>-BV15*BV25</f>
        <v>0</v>
      </c>
      <c r="BW24" s="3">
        <f>-BW15*BW25</f>
        <v>0</v>
      </c>
      <c r="BX24" s="3">
        <f>-BX15*BX25</f>
        <v>0</v>
      </c>
      <c r="BY24" s="3">
        <f>-BY15*BY25</f>
        <v>0</v>
      </c>
      <c r="BZ24" s="3">
        <f>SUM(BV24:BY24)</f>
        <v>0</v>
      </c>
      <c r="CA24" s="3">
        <f>-CA15*CA25</f>
        <v>0</v>
      </c>
      <c r="CB24" s="3">
        <f>-CB15*CB25</f>
        <v>0</v>
      </c>
      <c r="CC24" s="3">
        <f>-CC15*CC25</f>
        <v>0</v>
      </c>
      <c r="CD24" s="3">
        <f>-CD15*CD25</f>
        <v>0</v>
      </c>
      <c r="CE24" s="3">
        <f>SUM(CA24:CD24)</f>
        <v>0</v>
      </c>
      <c r="CF24" s="3">
        <f>-CF15*CF25</f>
        <v>0</v>
      </c>
      <c r="CG24" s="3">
        <f>-CG15*CG25</f>
        <v>0</v>
      </c>
      <c r="CH24" s="3">
        <f>-CH15*CH25</f>
        <v>0</v>
      </c>
      <c r="CI24" s="3">
        <f>-CI15*CI25</f>
        <v>0</v>
      </c>
      <c r="CJ24" s="3">
        <f>SUM(CF24:CI24)</f>
        <v>0</v>
      </c>
      <c r="CK24" s="3">
        <f>-CK15*CK25</f>
        <v>0</v>
      </c>
      <c r="CL24" s="3">
        <f>-CL15*CL25</f>
        <v>0</v>
      </c>
      <c r="CM24" s="3">
        <f>-CM15*CM25</f>
        <v>0</v>
      </c>
      <c r="CN24" s="3">
        <f>-CN15*CN25</f>
        <v>0</v>
      </c>
      <c r="CO24" s="3">
        <f>SUM(CK24:CN24)</f>
        <v>0</v>
      </c>
      <c r="CP24" s="3">
        <f>-CP15*CP25</f>
        <v>0</v>
      </c>
      <c r="CQ24" s="3">
        <f>-CQ15*CQ25</f>
        <v>0</v>
      </c>
      <c r="CR24" s="3">
        <f>-CR15*CR25</f>
        <v>0</v>
      </c>
      <c r="CS24" s="3">
        <f>-CS15*CS25</f>
        <v>0</v>
      </c>
      <c r="CT24" s="3">
        <f>SUM(CP24:CS24)</f>
        <v>0</v>
      </c>
      <c r="CU24" s="3">
        <f>-CU15*CU25</f>
        <v>0</v>
      </c>
      <c r="CV24" s="3">
        <f>-CV15*CV25</f>
        <v>0</v>
      </c>
      <c r="CW24" s="3">
        <f>-CW15*CW25</f>
        <v>0</v>
      </c>
      <c r="CX24" s="3">
        <f>-CX15*CX25</f>
        <v>0</v>
      </c>
      <c r="CY24" s="3">
        <f>SUM(CU24:CX24)</f>
        <v>0</v>
      </c>
    </row>
    <row r="25" hidden="1" outlineLevel="1">
      <c r="C25" s="33" t="inlineStr">
        <is>
          <t>% SG&amp;A and Other Margin</t>
        </is>
      </c>
      <c r="D25" s="56">
        <f>-(D24/D$15)</f>
        <v>0.299025974025974</v>
      </c>
      <c r="E25" s="56">
        <f>-(E24/E$15)</f>
        <v>0.315571650284532</v>
      </c>
      <c r="F25" s="56">
        <f>-(F24/F$15)</f>
        <v>0.267245027507406</v>
      </c>
      <c r="G25" s="56">
        <f>-(G24/G$15)</f>
        <v>0.272236658005197</v>
      </c>
      <c r="H25" s="56">
        <f>-(H24/H$15)</f>
        <v>0.285817091454273</v>
      </c>
      <c r="I25" s="56">
        <f>-(I24/I$15)</f>
        <v>0.245892951775305</v>
      </c>
      <c r="J25" s="56">
        <f>-(J24/J$15)</f>
        <v>0.228215767634855</v>
      </c>
      <c r="K25" s="56">
        <f>-(K24/K$15)</f>
        <v>0.233985639870477</v>
      </c>
      <c r="L25" s="56">
        <f>-(L24/L$15)</f>
        <v>0.225173361245584</v>
      </c>
      <c r="M25" s="56">
        <f>-(M24/M$15)</f>
        <v>0.232592702682619</v>
      </c>
      <c r="N25" s="56">
        <f>-(N24/N$15)</f>
        <v>0.389599420849421</v>
      </c>
      <c r="O25" s="56">
        <f>-(O24/O$15)</f>
        <v>0.303997613365155</v>
      </c>
      <c r="P25" s="56">
        <f>-(P24/P$15)</f>
        <v>0.365874220198955</v>
      </c>
      <c r="Q25" s="56">
        <f>-(Q24/Q$15)</f>
        <v>0.355478433316807</v>
      </c>
      <c r="R25" s="56">
        <f>-(R24/R$15)</f>
        <v>0.355453399569956</v>
      </c>
      <c r="S25" s="56">
        <f>-(S24/S$15)</f>
        <v>0.295328142380423</v>
      </c>
      <c r="T25" s="56">
        <f>-(T24/T$15)</f>
        <v>0.170059968905012</v>
      </c>
      <c r="U25" s="56">
        <f>-(U24/U$15)</f>
        <v>0.144094922737307</v>
      </c>
      <c r="V25" s="56">
        <f>-(V24/V$15)</f>
        <v>0.126181966248926</v>
      </c>
      <c r="W25" s="56">
        <f>-(W24/W$15)</f>
        <v>0.161206132431634</v>
      </c>
      <c r="X25" s="56">
        <f>-(X24/X$15)</f>
        <v>0.118530179695899</v>
      </c>
      <c r="Y25" s="56">
        <f>-(Y24/Y$15)</f>
        <v>0.116478029294274</v>
      </c>
      <c r="Z25" s="56">
        <f>-(Z24/Z$15)</f>
        <v>0.108574197594208</v>
      </c>
      <c r="AA25" s="56">
        <f>-(AA24/AA$15)</f>
        <v>0.105413032976533</v>
      </c>
      <c r="AB25" s="56">
        <f>-(AB24/AB$15)</f>
        <v>0.111427848916067</v>
      </c>
      <c r="AC25" s="56">
        <f>-(AC24/AC$15)</f>
        <v>0.100290499750352</v>
      </c>
      <c r="AD25" s="56">
        <f>-(AD24/AD$15)</f>
        <v>0.101491132362065</v>
      </c>
      <c r="AE25" s="56">
        <f>-(AE24/AE$15)</f>
        <v>0.0892537627618145</v>
      </c>
      <c r="AF25" s="44">
        <f>-(AF24/AF$15)</f>
        <v>0.0878065965035889</v>
      </c>
      <c r="AG25" s="56">
        <f>-(AG24/AG$15)</f>
        <v>0.093698191147459</v>
      </c>
      <c r="AH25" s="45" t="n"/>
      <c r="AI25" s="45" t="n"/>
      <c r="AJ25" s="45" t="n"/>
      <c r="AK25" s="45" t="n"/>
      <c r="AL25" s="56">
        <f>-(AL24/AL$15)</f>
        <v>0</v>
      </c>
      <c r="AM25" s="45" t="n"/>
      <c r="AN25" s="45" t="n"/>
      <c r="AO25" s="45" t="n"/>
      <c r="AP25" s="45" t="n"/>
      <c r="AQ25" s="56">
        <f>-(AQ24/AQ$15)</f>
        <v>0</v>
      </c>
      <c r="AR25" s="45" t="n"/>
      <c r="AS25" s="45" t="n"/>
      <c r="AT25" s="45" t="n"/>
      <c r="AU25" s="45" t="n"/>
      <c r="AV25" s="56">
        <f>-(AV24/AV$15)</f>
        <v>0</v>
      </c>
      <c r="AW25" s="45" t="n"/>
      <c r="AX25" s="45" t="n"/>
      <c r="AY25" s="45" t="n"/>
      <c r="AZ25" s="45" t="n"/>
      <c r="BA25" s="56">
        <f>-(BA24/BA$15)</f>
        <v>0</v>
      </c>
      <c r="BB25" s="45" t="n"/>
      <c r="BC25" s="45" t="n"/>
      <c r="BD25" s="45" t="n"/>
      <c r="BE25" s="45" t="n"/>
      <c r="BF25" s="56">
        <f>-(BF24/BF$15)</f>
        <v>0</v>
      </c>
      <c r="BG25" s="45" t="n"/>
      <c r="BH25" s="45" t="n"/>
      <c r="BI25" s="45" t="n"/>
      <c r="BJ25" s="45" t="n"/>
      <c r="BK25" s="56">
        <f>-(BK24/BK$15)</f>
        <v>0</v>
      </c>
      <c r="BL25" s="45" t="n"/>
      <c r="BM25" s="45" t="n"/>
      <c r="BN25" s="45" t="n"/>
      <c r="BO25" s="45" t="n"/>
      <c r="BP25" s="56">
        <f>-(BP24/BP$15)</f>
        <v>0</v>
      </c>
      <c r="BQ25" s="45" t="n"/>
      <c r="BR25" s="45" t="n"/>
      <c r="BS25" s="45" t="n"/>
      <c r="BT25" s="45" t="n"/>
      <c r="BU25" s="56">
        <f>-(BU24/BU$15)</f>
        <v>0</v>
      </c>
      <c r="BV25" s="45" t="n"/>
      <c r="BW25" s="45" t="n"/>
      <c r="BX25" s="45" t="n"/>
      <c r="BY25" s="45" t="n"/>
      <c r="BZ25" s="56">
        <f>-(BZ24/BZ$15)</f>
        <v>0</v>
      </c>
      <c r="CA25" s="45" t="n"/>
      <c r="CB25" s="45" t="n"/>
      <c r="CC25" s="45" t="n"/>
      <c r="CD25" s="45" t="n"/>
      <c r="CE25" s="56">
        <f>-(CE24/CE$15)</f>
        <v>0</v>
      </c>
      <c r="CF25" s="45" t="n"/>
      <c r="CG25" s="45" t="n"/>
      <c r="CH25" s="45" t="n"/>
      <c r="CI25" s="45" t="n"/>
      <c r="CJ25" s="56">
        <f>-(CJ24/CJ$15)</f>
        <v>0</v>
      </c>
      <c r="CK25" s="45" t="n"/>
      <c r="CL25" s="45" t="n"/>
      <c r="CM25" s="45" t="n"/>
      <c r="CN25" s="45" t="n"/>
      <c r="CO25" s="56">
        <f>-(CO24/CO$15)</f>
        <v>0</v>
      </c>
      <c r="CP25" s="45" t="n"/>
      <c r="CQ25" s="45" t="n"/>
      <c r="CR25" s="45" t="n"/>
      <c r="CS25" s="45" t="n"/>
      <c r="CT25" s="56">
        <f>-(CT24/CT$15)</f>
        <v>0</v>
      </c>
      <c r="CU25" s="45" t="n"/>
      <c r="CV25" s="45" t="n"/>
      <c r="CW25" s="45" t="n"/>
      <c r="CX25" s="45" t="n"/>
      <c r="CY25" s="56">
        <f>-(CY24/CY$15)</f>
        <v>0</v>
      </c>
    </row>
    <row r="26" hidden="1" outlineLevel="1"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2" t="n"/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2" t="n"/>
      <c r="BQ26" s="32" t="n"/>
      <c r="BR26" s="32" t="n"/>
      <c r="BS26" s="32" t="n"/>
      <c r="BT26" s="32" t="n"/>
      <c r="BU26" s="32" t="n"/>
      <c r="BV26" s="32" t="n"/>
      <c r="BW26" s="32" t="n"/>
      <c r="BX26" s="32" t="n"/>
      <c r="BY26" s="32" t="n"/>
      <c r="BZ26" s="32" t="n"/>
      <c r="CA26" s="32" t="n"/>
      <c r="CB26" s="32" t="n"/>
      <c r="CC26" s="32" t="n"/>
      <c r="CD26" s="32" t="n"/>
      <c r="CE26" s="32" t="n"/>
      <c r="CF26" s="32" t="n"/>
      <c r="CG26" s="32" t="n"/>
      <c r="CH26" s="32" t="n"/>
      <c r="CI26" s="32" t="n"/>
      <c r="CJ26" s="32" t="n"/>
      <c r="CK26" s="32" t="n"/>
      <c r="CL26" s="32" t="n"/>
      <c r="CM26" s="32" t="n"/>
      <c r="CN26" s="32" t="n"/>
      <c r="CO26" s="32" t="n"/>
      <c r="CP26" s="32" t="n"/>
      <c r="CQ26" s="32" t="n"/>
      <c r="CR26" s="32" t="n"/>
      <c r="CS26" s="32" t="n"/>
      <c r="CT26" s="32" t="n"/>
      <c r="CU26" s="32" t="n"/>
      <c r="CV26" s="32" t="n"/>
      <c r="CW26" s="32" t="n"/>
      <c r="CX26" s="32" t="n"/>
      <c r="CY26" s="32" t="n"/>
    </row>
    <row r="27" hidden="1" outlineLevel="1">
      <c r="C27" s="32" t="inlineStr">
        <is>
          <t>Com Vendas</t>
        </is>
      </c>
      <c r="D27" s="6" t="n"/>
      <c r="E27" s="6" t="n"/>
      <c r="F27" s="6" t="n"/>
      <c r="G27" s="6" t="n"/>
      <c r="H27" s="32" t="n"/>
      <c r="I27" s="6" t="n"/>
      <c r="J27" s="6" t="n"/>
      <c r="K27" s="6" t="n"/>
      <c r="L27" s="6" t="n"/>
      <c r="M27" s="32" t="n"/>
      <c r="N27" s="6" t="n"/>
      <c r="O27" s="6" t="n"/>
      <c r="P27" s="6" t="n"/>
      <c r="Q27" s="6" t="n"/>
      <c r="R27" s="32" t="n"/>
      <c r="S27" s="6" t="n"/>
      <c r="T27" s="6" t="n"/>
      <c r="U27" s="6" t="n"/>
      <c r="V27" s="6" t="n"/>
      <c r="W27" s="32" t="n"/>
      <c r="X27" s="6" t="n"/>
      <c r="Y27" s="6" t="n"/>
      <c r="Z27" s="6" t="n"/>
      <c r="AA27" s="6" t="n"/>
      <c r="AB27" s="32" t="n"/>
      <c r="AC27" s="6" t="n"/>
      <c r="AD27" s="6" t="n"/>
      <c r="AE27" s="6" t="n"/>
      <c r="AF27" s="6" t="n"/>
      <c r="AG27" s="32" t="n"/>
      <c r="AH27" s="32" t="n"/>
      <c r="AI27" s="32" t="n"/>
      <c r="AJ27" s="32" t="n"/>
      <c r="AK27" s="32" t="n"/>
      <c r="AL27" s="32" t="n"/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  <c r="AV27" s="32" t="n"/>
      <c r="AW27" s="32" t="n"/>
      <c r="AX27" s="32" t="n"/>
      <c r="AY27" s="32" t="n"/>
      <c r="AZ27" s="32" t="n"/>
      <c r="BA27" s="32" t="n"/>
      <c r="BB27" s="32" t="n"/>
      <c r="BC27" s="32" t="n"/>
      <c r="BD27" s="32" t="n"/>
      <c r="BE27" s="32" t="n"/>
      <c r="BF27" s="32" t="n"/>
      <c r="BG27" s="32" t="n"/>
      <c r="BH27" s="32" t="n"/>
      <c r="BI27" s="32" t="n"/>
      <c r="BJ27" s="32" t="n"/>
      <c r="BK27" s="32" t="n"/>
      <c r="BL27" s="32" t="n"/>
      <c r="BM27" s="32" t="n"/>
      <c r="BN27" s="32" t="n"/>
      <c r="BO27" s="32" t="n"/>
      <c r="BP27" s="32" t="n"/>
      <c r="BQ27" s="32" t="n"/>
      <c r="BR27" s="32" t="n"/>
      <c r="BS27" s="32" t="n"/>
      <c r="BT27" s="32" t="n"/>
      <c r="BU27" s="32" t="n"/>
      <c r="BV27" s="32" t="n"/>
      <c r="BW27" s="32" t="n"/>
      <c r="BX27" s="32" t="n"/>
      <c r="BY27" s="32" t="n"/>
      <c r="BZ27" s="32" t="n"/>
      <c r="CA27" s="32" t="n"/>
      <c r="CB27" s="32" t="n"/>
      <c r="CC27" s="32" t="n"/>
      <c r="CD27" s="32" t="n"/>
      <c r="CE27" s="32" t="n"/>
      <c r="CF27" s="32" t="n"/>
      <c r="CG27" s="32" t="n"/>
      <c r="CH27" s="32" t="n"/>
      <c r="CI27" s="32" t="n"/>
      <c r="CJ27" s="32" t="n"/>
      <c r="CK27" s="32" t="n"/>
      <c r="CL27" s="32" t="n"/>
      <c r="CM27" s="32" t="n"/>
      <c r="CN27" s="32" t="n"/>
      <c r="CO27" s="32" t="n"/>
      <c r="CP27" s="32" t="n"/>
      <c r="CQ27" s="32" t="n"/>
      <c r="CR27" s="32" t="n"/>
      <c r="CS27" s="32" t="n"/>
      <c r="CT27" s="32" t="n"/>
      <c r="CU27" s="32" t="n"/>
      <c r="CV27" s="32" t="n"/>
      <c r="CW27" s="32" t="n"/>
      <c r="CX27" s="32" t="n"/>
      <c r="CY27" s="32" t="n"/>
    </row>
    <row r="28" hidden="1" outlineLevel="1">
      <c r="C28" s="32" t="inlineStr">
        <is>
          <t>Gerais &amp; Administrativas</t>
        </is>
      </c>
      <c r="D28" s="6" t="n"/>
      <c r="E28" s="6" t="n"/>
      <c r="F28" s="6" t="n"/>
      <c r="G28" s="6" t="n"/>
      <c r="H28" s="32" t="n"/>
      <c r="I28" s="6" t="n"/>
      <c r="J28" s="6" t="n"/>
      <c r="K28" s="6" t="n"/>
      <c r="L28" s="6" t="n"/>
      <c r="M28" s="32" t="n"/>
      <c r="N28" s="6" t="n"/>
      <c r="O28" s="6" t="n"/>
      <c r="P28" s="6" t="n"/>
      <c r="Q28" s="6" t="n"/>
      <c r="R28" s="32" t="n"/>
      <c r="S28" s="6" t="n"/>
      <c r="T28" s="6" t="n"/>
      <c r="U28" s="6" t="n"/>
      <c r="V28" s="6" t="n"/>
      <c r="W28" s="32" t="n"/>
      <c r="X28" s="6" t="n"/>
      <c r="Y28" s="6" t="n"/>
      <c r="Z28" s="6" t="n"/>
      <c r="AA28" s="6" t="n"/>
      <c r="AB28" s="32" t="n"/>
      <c r="AC28" s="6" t="n"/>
      <c r="AD28" s="6" t="n"/>
      <c r="AE28" s="6" t="n"/>
      <c r="AF28" s="6" t="n"/>
      <c r="AG28" s="32" t="n"/>
      <c r="AH28" s="32" t="n"/>
      <c r="AI28" s="32" t="n"/>
      <c r="AJ28" s="32" t="n"/>
      <c r="AK28" s="32" t="n"/>
      <c r="AL28" s="32" t="n"/>
      <c r="AM28" s="32" t="n"/>
      <c r="AN28" s="32" t="n"/>
      <c r="AO28" s="32" t="n"/>
      <c r="AP28" s="32" t="n"/>
      <c r="AQ28" s="32" t="n"/>
      <c r="AR28" s="32" t="n"/>
      <c r="AS28" s="32" t="n"/>
      <c r="AT28" s="32" t="n"/>
      <c r="AU28" s="32" t="n"/>
      <c r="AV28" s="32" t="n"/>
      <c r="AW28" s="32" t="n"/>
      <c r="AX28" s="32" t="n"/>
      <c r="AY28" s="32" t="n"/>
      <c r="AZ28" s="32" t="n"/>
      <c r="BA28" s="32" t="n"/>
      <c r="BB28" s="32" t="n"/>
      <c r="BC28" s="32" t="n"/>
      <c r="BD28" s="32" t="n"/>
      <c r="BE28" s="32" t="n"/>
      <c r="BF28" s="32" t="n"/>
      <c r="BG28" s="32" t="n"/>
      <c r="BH28" s="32" t="n"/>
      <c r="BI28" s="32" t="n"/>
      <c r="BJ28" s="32" t="n"/>
      <c r="BK28" s="32" t="n"/>
      <c r="BL28" s="32" t="n"/>
      <c r="BM28" s="32" t="n"/>
      <c r="BN28" s="32" t="n"/>
      <c r="BO28" s="32" t="n"/>
      <c r="BP28" s="32" t="n"/>
      <c r="BQ28" s="32" t="n"/>
      <c r="BR28" s="32" t="n"/>
      <c r="BS28" s="32" t="n"/>
      <c r="BT28" s="32" t="n"/>
      <c r="BU28" s="32" t="n"/>
      <c r="BV28" s="32" t="n"/>
      <c r="BW28" s="32" t="n"/>
      <c r="BX28" s="32" t="n"/>
      <c r="BY28" s="32" t="n"/>
      <c r="BZ28" s="32" t="n"/>
      <c r="CA28" s="32" t="n"/>
      <c r="CB28" s="32" t="n"/>
      <c r="CC28" s="32" t="n"/>
      <c r="CD28" s="32" t="n"/>
      <c r="CE28" s="32" t="n"/>
      <c r="CF28" s="32" t="n"/>
      <c r="CG28" s="32" t="n"/>
      <c r="CH28" s="32" t="n"/>
      <c r="CI28" s="32" t="n"/>
      <c r="CJ28" s="32" t="n"/>
      <c r="CK28" s="32" t="n"/>
      <c r="CL28" s="32" t="n"/>
      <c r="CM28" s="32" t="n"/>
      <c r="CN28" s="32" t="n"/>
      <c r="CO28" s="32" t="n"/>
      <c r="CP28" s="32" t="n"/>
      <c r="CQ28" s="32" t="n"/>
      <c r="CR28" s="32" t="n"/>
      <c r="CS28" s="32" t="n"/>
      <c r="CT28" s="32" t="n"/>
      <c r="CU28" s="32" t="n"/>
      <c r="CV28" s="32" t="n"/>
      <c r="CW28" s="32" t="n"/>
      <c r="CX28" s="32" t="n"/>
      <c r="CY28" s="32" t="n"/>
    </row>
    <row r="29" hidden="1" outlineLevel="1">
      <c r="C29" s="32" t="inlineStr">
        <is>
          <t>Outras Receitas (Despesas) Operacionais, Líquidas</t>
        </is>
      </c>
      <c r="D29" s="6" t="n"/>
      <c r="E29" s="6" t="n"/>
      <c r="F29" s="6" t="n"/>
      <c r="G29" s="6" t="n"/>
      <c r="H29" s="32" t="n"/>
      <c r="I29" s="6" t="n"/>
      <c r="J29" s="6" t="n"/>
      <c r="K29" s="6" t="n"/>
      <c r="L29" s="6" t="n"/>
      <c r="M29" s="32" t="n"/>
      <c r="N29" s="6" t="n"/>
      <c r="O29" s="6" t="n"/>
      <c r="P29" s="6" t="n"/>
      <c r="Q29" s="6" t="n"/>
      <c r="R29" s="32" t="n"/>
      <c r="S29" s="6" t="n"/>
      <c r="T29" s="6" t="n"/>
      <c r="U29" s="6" t="n"/>
      <c r="V29" s="6" t="n"/>
      <c r="W29" s="32" t="n"/>
      <c r="X29" s="6" t="n"/>
      <c r="Y29" s="6" t="n"/>
      <c r="Z29" s="6" t="n"/>
      <c r="AA29" s="6" t="n"/>
      <c r="AB29" s="32" t="n"/>
      <c r="AC29" s="6" t="n"/>
      <c r="AD29" s="6" t="n"/>
      <c r="AE29" s="6" t="n"/>
      <c r="AF29" s="6" t="n"/>
      <c r="AG29" s="32" t="n"/>
      <c r="AH29" s="32" t="n"/>
      <c r="AI29" s="32" t="n"/>
      <c r="AJ29" s="32" t="n"/>
      <c r="AK29" s="32" t="n"/>
      <c r="AL29" s="32" t="n"/>
      <c r="AM29" s="32" t="n"/>
      <c r="AN29" s="32" t="n"/>
      <c r="AO29" s="32" t="n"/>
      <c r="AP29" s="32" t="n"/>
      <c r="AQ29" s="32" t="n"/>
      <c r="AR29" s="32" t="n"/>
      <c r="AS29" s="32" t="n"/>
      <c r="AT29" s="32" t="n"/>
      <c r="AU29" s="32" t="n"/>
      <c r="AV29" s="32" t="n"/>
      <c r="AW29" s="32" t="n"/>
      <c r="AX29" s="32" t="n"/>
      <c r="AY29" s="32" t="n"/>
      <c r="AZ29" s="32" t="n"/>
      <c r="BA29" s="32" t="n"/>
      <c r="BB29" s="32" t="n"/>
      <c r="BC29" s="32" t="n"/>
      <c r="BD29" s="32" t="n"/>
      <c r="BE29" s="32" t="n"/>
      <c r="BF29" s="32" t="n"/>
      <c r="BG29" s="32" t="n"/>
      <c r="BH29" s="32" t="n"/>
      <c r="BI29" s="32" t="n"/>
      <c r="BJ29" s="32" t="n"/>
      <c r="BK29" s="32" t="n"/>
      <c r="BL29" s="32" t="n"/>
      <c r="BM29" s="32" t="n"/>
      <c r="BN29" s="32" t="n"/>
      <c r="BO29" s="32" t="n"/>
      <c r="BP29" s="32" t="n"/>
      <c r="BQ29" s="32" t="n"/>
      <c r="BR29" s="32" t="n"/>
      <c r="BS29" s="32" t="n"/>
      <c r="BT29" s="32" t="n"/>
      <c r="BU29" s="32" t="n"/>
      <c r="BV29" s="32" t="n"/>
      <c r="BW29" s="32" t="n"/>
      <c r="BX29" s="32" t="n"/>
      <c r="BY29" s="32" t="n"/>
      <c r="BZ29" s="32" t="n"/>
      <c r="CA29" s="32" t="n"/>
      <c r="CB29" s="32" t="n"/>
      <c r="CC29" s="32" t="n"/>
      <c r="CD29" s="32" t="n"/>
      <c r="CE29" s="32" t="n"/>
      <c r="CF29" s="32" t="n"/>
      <c r="CG29" s="32" t="n"/>
      <c r="CH29" s="32" t="n"/>
      <c r="CI29" s="32" t="n"/>
      <c r="CJ29" s="32" t="n"/>
      <c r="CK29" s="32" t="n"/>
      <c r="CL29" s="32" t="n"/>
      <c r="CM29" s="32" t="n"/>
      <c r="CN29" s="32" t="n"/>
      <c r="CO29" s="32" t="n"/>
      <c r="CP29" s="32" t="n"/>
      <c r="CQ29" s="32" t="n"/>
      <c r="CR29" s="32" t="n"/>
      <c r="CS29" s="32" t="n"/>
      <c r="CT29" s="32" t="n"/>
      <c r="CU29" s="32" t="n"/>
      <c r="CV29" s="32" t="n"/>
      <c r="CW29" s="32" t="n"/>
      <c r="CX29" s="32" t="n"/>
      <c r="CY29" s="32" t="n"/>
    </row>
    <row r="30" hidden="1" outlineLevel="1"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A30" s="32" t="n"/>
      <c r="AB30" s="32" t="n"/>
      <c r="AC30" s="32" t="n"/>
      <c r="AD30" s="32" t="n"/>
      <c r="AE30" s="32" t="n"/>
      <c r="AF30" s="32" t="n"/>
      <c r="AG30" s="32" t="n"/>
      <c r="AH30" s="32" t="n"/>
      <c r="AI30" s="32" t="n"/>
      <c r="AJ30" s="32" t="n"/>
      <c r="AK30" s="32" t="n"/>
      <c r="AL30" s="32" t="n"/>
      <c r="AM30" s="32" t="n"/>
      <c r="AN30" s="32" t="n"/>
      <c r="AO30" s="32" t="n"/>
      <c r="AP30" s="32" t="n"/>
      <c r="AQ30" s="32" t="n"/>
      <c r="AR30" s="32" t="n"/>
      <c r="AS30" s="32" t="n"/>
      <c r="AT30" s="32" t="n"/>
      <c r="AU30" s="32" t="n"/>
      <c r="AV30" s="32" t="n"/>
      <c r="AW30" s="32" t="n"/>
      <c r="AX30" s="32" t="n"/>
      <c r="AY30" s="32" t="n"/>
      <c r="AZ30" s="32" t="n"/>
      <c r="BA30" s="32" t="n"/>
      <c r="BB30" s="32" t="n"/>
      <c r="BC30" s="32" t="n"/>
      <c r="BD30" s="32" t="n"/>
      <c r="BE30" s="32" t="n"/>
      <c r="BF30" s="32" t="n"/>
      <c r="BG30" s="32" t="n"/>
      <c r="BH30" s="32" t="n"/>
      <c r="BI30" s="32" t="n"/>
      <c r="BJ30" s="32" t="n"/>
      <c r="BK30" s="32" t="n"/>
      <c r="BL30" s="32" t="n"/>
      <c r="BM30" s="32" t="n"/>
      <c r="BN30" s="32" t="n"/>
      <c r="BO30" s="32" t="n"/>
      <c r="BP30" s="32" t="n"/>
      <c r="BQ30" s="32" t="n"/>
      <c r="BR30" s="32" t="n"/>
      <c r="BS30" s="32" t="n"/>
      <c r="BT30" s="32" t="n"/>
      <c r="BU30" s="32" t="n"/>
      <c r="BV30" s="32" t="n"/>
      <c r="BW30" s="32" t="n"/>
      <c r="BX30" s="32" t="n"/>
      <c r="BY30" s="32" t="n"/>
      <c r="BZ30" s="32" t="n"/>
      <c r="CA30" s="32" t="n"/>
      <c r="CB30" s="32" t="n"/>
      <c r="CC30" s="32" t="n"/>
      <c r="CD30" s="32" t="n"/>
      <c r="CE30" s="32" t="n"/>
      <c r="CF30" s="32" t="n"/>
      <c r="CG30" s="32" t="n"/>
      <c r="CH30" s="32" t="n"/>
      <c r="CI30" s="32" t="n"/>
      <c r="CJ30" s="32" t="n"/>
      <c r="CK30" s="32" t="n"/>
      <c r="CL30" s="32" t="n"/>
      <c r="CM30" s="32" t="n"/>
      <c r="CN30" s="32" t="n"/>
      <c r="CO30" s="32" t="n"/>
      <c r="CP30" s="32" t="n"/>
      <c r="CQ30" s="32" t="n"/>
      <c r="CR30" s="32" t="n"/>
      <c r="CS30" s="32" t="n"/>
      <c r="CT30" s="32" t="n"/>
      <c r="CU30" s="32" t="n"/>
      <c r="CV30" s="32" t="n"/>
      <c r="CW30" s="32" t="n"/>
      <c r="CX30" s="32" t="n"/>
      <c r="CY30" s="32" t="n"/>
    </row>
    <row r="31" hidden="1" outlineLevel="1">
      <c r="C31" s="32" t="inlineStr">
        <is>
          <t>Com Vendas (%)</t>
        </is>
      </c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2" t="n"/>
      <c r="AD31" s="32" t="n"/>
      <c r="AE31" s="32" t="n"/>
      <c r="AF31" s="32" t="n"/>
      <c r="AG31" s="32" t="n"/>
      <c r="AH31" s="32" t="n"/>
      <c r="AI31" s="32" t="n"/>
      <c r="AJ31" s="32" t="n"/>
      <c r="AK31" s="32" t="n"/>
      <c r="AL31" s="32" t="n"/>
      <c r="AM31" s="32" t="n"/>
      <c r="AN31" s="32" t="n"/>
      <c r="AO31" s="32" t="n"/>
      <c r="AP31" s="32" t="n"/>
      <c r="AQ31" s="32" t="n"/>
      <c r="AR31" s="32" t="n"/>
      <c r="AS31" s="32" t="n"/>
      <c r="AT31" s="32" t="n"/>
      <c r="AU31" s="32" t="n"/>
      <c r="AV31" s="32" t="n"/>
      <c r="AW31" s="32" t="n"/>
      <c r="AX31" s="32" t="n"/>
      <c r="AY31" s="32" t="n"/>
      <c r="AZ31" s="32" t="n"/>
      <c r="BA31" s="32" t="n"/>
      <c r="BB31" s="32" t="n"/>
      <c r="BC31" s="32" t="n"/>
      <c r="BD31" s="32" t="n"/>
      <c r="BE31" s="32" t="n"/>
      <c r="BF31" s="32" t="n"/>
      <c r="BG31" s="32" t="n"/>
      <c r="BH31" s="32" t="n"/>
      <c r="BI31" s="32" t="n"/>
      <c r="BJ31" s="32" t="n"/>
      <c r="BK31" s="32" t="n"/>
      <c r="BL31" s="32" t="n"/>
      <c r="BM31" s="32" t="n"/>
      <c r="BN31" s="32" t="n"/>
      <c r="BO31" s="32" t="n"/>
      <c r="BP31" s="32" t="n"/>
      <c r="BQ31" s="32" t="n"/>
      <c r="BR31" s="32" t="n"/>
      <c r="BS31" s="32" t="n"/>
      <c r="BT31" s="32" t="n"/>
      <c r="BU31" s="32" t="n"/>
      <c r="BV31" s="32" t="n"/>
      <c r="BW31" s="32" t="n"/>
      <c r="BX31" s="32" t="n"/>
      <c r="BY31" s="32" t="n"/>
      <c r="BZ31" s="32" t="n"/>
      <c r="CA31" s="32" t="n"/>
      <c r="CB31" s="32" t="n"/>
      <c r="CC31" s="32" t="n"/>
      <c r="CD31" s="32" t="n"/>
      <c r="CE31" s="32" t="n"/>
      <c r="CF31" s="32" t="n"/>
      <c r="CG31" s="32" t="n"/>
      <c r="CH31" s="32" t="n"/>
      <c r="CI31" s="32" t="n"/>
      <c r="CJ31" s="32" t="n"/>
      <c r="CK31" s="32" t="n"/>
      <c r="CL31" s="32" t="n"/>
      <c r="CM31" s="32" t="n"/>
      <c r="CN31" s="32" t="n"/>
      <c r="CO31" s="32" t="n"/>
      <c r="CP31" s="32" t="n"/>
      <c r="CQ31" s="32" t="n"/>
      <c r="CR31" s="32" t="n"/>
      <c r="CS31" s="32" t="n"/>
      <c r="CT31" s="32" t="n"/>
      <c r="CU31" s="32" t="n"/>
      <c r="CV31" s="32" t="n"/>
      <c r="CW31" s="32" t="n"/>
      <c r="CX31" s="32" t="n"/>
      <c r="CY31" s="32" t="n"/>
    </row>
    <row r="32" hidden="1" outlineLevel="1">
      <c r="C32" s="32" t="inlineStr">
        <is>
          <t>Gerais &amp; Administrativas (%)</t>
        </is>
      </c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  <c r="AV32" s="32" t="n"/>
      <c r="AW32" s="32" t="n"/>
      <c r="AX32" s="32" t="n"/>
      <c r="AY32" s="32" t="n"/>
      <c r="AZ32" s="32" t="n"/>
      <c r="BA32" s="32" t="n"/>
      <c r="BB32" s="32" t="n"/>
      <c r="BC32" s="32" t="n"/>
      <c r="BD32" s="32" t="n"/>
      <c r="BE32" s="32" t="n"/>
      <c r="BF32" s="32" t="n"/>
      <c r="BG32" s="32" t="n"/>
      <c r="BH32" s="32" t="n"/>
      <c r="BI32" s="32" t="n"/>
      <c r="BJ32" s="32" t="n"/>
      <c r="BK32" s="32" t="n"/>
      <c r="BL32" s="32" t="n"/>
      <c r="BM32" s="32" t="n"/>
      <c r="BN32" s="32" t="n"/>
      <c r="BO32" s="32" t="n"/>
      <c r="BP32" s="32" t="n"/>
      <c r="BQ32" s="32" t="n"/>
      <c r="BR32" s="32" t="n"/>
      <c r="BS32" s="32" t="n"/>
      <c r="BT32" s="32" t="n"/>
      <c r="BU32" s="32" t="n"/>
      <c r="BV32" s="32" t="n"/>
      <c r="BW32" s="32" t="n"/>
      <c r="BX32" s="32" t="n"/>
      <c r="BY32" s="32" t="n"/>
      <c r="BZ32" s="32" t="n"/>
      <c r="CA32" s="32" t="n"/>
      <c r="CB32" s="32" t="n"/>
      <c r="CC32" s="32" t="n"/>
      <c r="CD32" s="32" t="n"/>
      <c r="CE32" s="32" t="n"/>
      <c r="CF32" s="32" t="n"/>
      <c r="CG32" s="32" t="n"/>
      <c r="CH32" s="32" t="n"/>
      <c r="CI32" s="32" t="n"/>
      <c r="CJ32" s="32" t="n"/>
      <c r="CK32" s="32" t="n"/>
      <c r="CL32" s="32" t="n"/>
      <c r="CM32" s="32" t="n"/>
      <c r="CN32" s="32" t="n"/>
      <c r="CO32" s="32" t="n"/>
      <c r="CP32" s="32" t="n"/>
      <c r="CQ32" s="32" t="n"/>
      <c r="CR32" s="32" t="n"/>
      <c r="CS32" s="32" t="n"/>
      <c r="CT32" s="32" t="n"/>
      <c r="CU32" s="32" t="n"/>
      <c r="CV32" s="32" t="n"/>
      <c r="CW32" s="32" t="n"/>
      <c r="CX32" s="32" t="n"/>
      <c r="CY32" s="32" t="n"/>
    </row>
    <row r="33" hidden="1" outlineLevel="1">
      <c r="C33" s="32" t="inlineStr">
        <is>
          <t>Outras Receitas (Despesas) Operacionais, Líquidas (%)</t>
        </is>
      </c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  <c r="AA33" s="32" t="n"/>
      <c r="AB33" s="32" t="n"/>
      <c r="AC33" s="32" t="n"/>
      <c r="AD33" s="32" t="n"/>
      <c r="AE33" s="32" t="n"/>
      <c r="AF33" s="32" t="n"/>
      <c r="AG33" s="32" t="n"/>
      <c r="AH33" s="32" t="n"/>
      <c r="AI33" s="32" t="n"/>
      <c r="AJ33" s="32" t="n"/>
      <c r="AK33" s="32" t="n"/>
      <c r="AL33" s="32" t="n"/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  <c r="AV33" s="32" t="n"/>
      <c r="AW33" s="32" t="n"/>
      <c r="AX33" s="32" t="n"/>
      <c r="AY33" s="32" t="n"/>
      <c r="AZ33" s="32" t="n"/>
      <c r="BA33" s="32" t="n"/>
      <c r="BB33" s="32" t="n"/>
      <c r="BC33" s="32" t="n"/>
      <c r="BD33" s="32" t="n"/>
      <c r="BE33" s="32" t="n"/>
      <c r="BF33" s="32" t="n"/>
      <c r="BG33" s="32" t="n"/>
      <c r="BH33" s="32" t="n"/>
      <c r="BI33" s="32" t="n"/>
      <c r="BJ33" s="32" t="n"/>
      <c r="BK33" s="32" t="n"/>
      <c r="BL33" s="32" t="n"/>
      <c r="BM33" s="32" t="n"/>
      <c r="BN33" s="32" t="n"/>
      <c r="BO33" s="32" t="n"/>
      <c r="BP33" s="32" t="n"/>
      <c r="BQ33" s="32" t="n"/>
      <c r="BR33" s="32" t="n"/>
      <c r="BS33" s="32" t="n"/>
      <c r="BT33" s="32" t="n"/>
      <c r="BU33" s="32" t="n"/>
      <c r="BV33" s="32" t="n"/>
      <c r="BW33" s="32" t="n"/>
      <c r="BX33" s="32" t="n"/>
      <c r="BY33" s="32" t="n"/>
      <c r="BZ33" s="32" t="n"/>
      <c r="CA33" s="32" t="n"/>
      <c r="CB33" s="32" t="n"/>
      <c r="CC33" s="32" t="n"/>
      <c r="CD33" s="32" t="n"/>
      <c r="CE33" s="32" t="n"/>
      <c r="CF33" s="32" t="n"/>
      <c r="CG33" s="32" t="n"/>
      <c r="CH33" s="32" t="n"/>
      <c r="CI33" s="32" t="n"/>
      <c r="CJ33" s="32" t="n"/>
      <c r="CK33" s="32" t="n"/>
      <c r="CL33" s="32" t="n"/>
      <c r="CM33" s="32" t="n"/>
      <c r="CN33" s="32" t="n"/>
      <c r="CO33" s="32" t="n"/>
      <c r="CP33" s="32" t="n"/>
      <c r="CQ33" s="32" t="n"/>
      <c r="CR33" s="32" t="n"/>
      <c r="CS33" s="32" t="n"/>
      <c r="CT33" s="32" t="n"/>
      <c r="CU33" s="32" t="n"/>
      <c r="CV33" s="32" t="n"/>
      <c r="CW33" s="32" t="n"/>
      <c r="CX33" s="32" t="n"/>
      <c r="CY33" s="32" t="n"/>
    </row>
    <row r="34" hidden="1" outlineLevel="1"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2" t="n"/>
      <c r="AD34" s="32" t="n"/>
      <c r="AE34" s="32" t="n"/>
      <c r="AF34" s="32" t="n"/>
      <c r="AG34" s="32" t="n"/>
      <c r="AH34" s="32" t="n"/>
      <c r="AI34" s="32" t="n"/>
      <c r="AJ34" s="32" t="n"/>
      <c r="AK34" s="32" t="n"/>
      <c r="AL34" s="32" t="n"/>
      <c r="AM34" s="32" t="n"/>
      <c r="AN34" s="32" t="n"/>
      <c r="AO34" s="32" t="n"/>
      <c r="AP34" s="32" t="n"/>
      <c r="AQ34" s="32" t="n"/>
      <c r="AR34" s="32" t="n"/>
      <c r="AS34" s="32" t="n"/>
      <c r="AT34" s="32" t="n"/>
      <c r="AU34" s="32" t="n"/>
      <c r="AV34" s="32" t="n"/>
      <c r="AW34" s="32" t="n"/>
      <c r="AX34" s="32" t="n"/>
      <c r="AY34" s="32" t="n"/>
      <c r="AZ34" s="32" t="n"/>
      <c r="BA34" s="32" t="n"/>
      <c r="BB34" s="32" t="n"/>
      <c r="BC34" s="32" t="n"/>
      <c r="BD34" s="32" t="n"/>
      <c r="BE34" s="32" t="n"/>
      <c r="BF34" s="32" t="n"/>
      <c r="BG34" s="32" t="n"/>
      <c r="BH34" s="32" t="n"/>
      <c r="BI34" s="32" t="n"/>
      <c r="BJ34" s="32" t="n"/>
      <c r="BK34" s="32" t="n"/>
      <c r="BL34" s="32" t="n"/>
      <c r="BM34" s="32" t="n"/>
      <c r="BN34" s="32" t="n"/>
      <c r="BO34" s="32" t="n"/>
      <c r="BP34" s="32" t="n"/>
      <c r="BQ34" s="32" t="n"/>
      <c r="BR34" s="32" t="n"/>
      <c r="BS34" s="32" t="n"/>
      <c r="BT34" s="32" t="n"/>
      <c r="BU34" s="32" t="n"/>
      <c r="BV34" s="32" t="n"/>
      <c r="BW34" s="32" t="n"/>
      <c r="BX34" s="32" t="n"/>
      <c r="BY34" s="32" t="n"/>
      <c r="BZ34" s="32" t="n"/>
      <c r="CA34" s="32" t="n"/>
      <c r="CB34" s="32" t="n"/>
      <c r="CC34" s="32" t="n"/>
      <c r="CD34" s="32" t="n"/>
      <c r="CE34" s="32" t="n"/>
      <c r="CF34" s="32" t="n"/>
      <c r="CG34" s="32" t="n"/>
      <c r="CH34" s="32" t="n"/>
      <c r="CI34" s="32" t="n"/>
      <c r="CJ34" s="32" t="n"/>
      <c r="CK34" s="32" t="n"/>
      <c r="CL34" s="32" t="n"/>
      <c r="CM34" s="32" t="n"/>
      <c r="CN34" s="32" t="n"/>
      <c r="CO34" s="32" t="n"/>
      <c r="CP34" s="32" t="n"/>
      <c r="CQ34" s="32" t="n"/>
      <c r="CR34" s="32" t="n"/>
      <c r="CS34" s="32" t="n"/>
      <c r="CT34" s="32" t="n"/>
      <c r="CU34" s="32" t="n"/>
      <c r="CV34" s="32" t="n"/>
      <c r="CW34" s="32" t="n"/>
      <c r="CX34" s="32" t="n"/>
      <c r="CY34" s="32" t="n"/>
    </row>
    <row r="35" collapsed="1" customFormat="1" s="17">
      <c r="A35" s="13" t="n"/>
      <c r="B35" s="1" t="n"/>
      <c r="C35" s="14" t="inlineStr">
        <is>
          <t>EBITDA</t>
        </is>
      </c>
      <c r="D35" s="16">
        <f>SUM(D15,D20,D24)</f>
        <v>1083</v>
      </c>
      <c r="E35" s="16">
        <f>SUM(E15,E20,E24)</f>
        <v>1055</v>
      </c>
      <c r="F35" s="16">
        <f>SUM(F15,F20,F24)</f>
        <v>1697</v>
      </c>
      <c r="G35" s="16">
        <f>SUM(G15,G20,G24)</f>
        <v>1795</v>
      </c>
      <c r="H35" s="16">
        <f>SUM(D35:G35)</f>
        <v>5630</v>
      </c>
      <c r="I35" s="16">
        <f>SUM(I15,I20,I24)</f>
        <v>2237</v>
      </c>
      <c r="J35" s="16">
        <f>SUM(J15,J20,J24)</f>
        <v>2730</v>
      </c>
      <c r="K35" s="16">
        <f>SUM(K15,K20,K24)</f>
        <v>2969</v>
      </c>
      <c r="L35" s="16">
        <f>SUM(L15,L20,L24)</f>
        <v>3279</v>
      </c>
      <c r="M35" s="16">
        <f>SUM(I35:L35)</f>
        <v>11215</v>
      </c>
      <c r="N35" s="16">
        <f>SUM(N15,N20,N24)</f>
        <v>2202</v>
      </c>
      <c r="O35" s="16">
        <f>SUM(O15,O20,O24)</f>
        <v>877</v>
      </c>
      <c r="P35" s="16">
        <f>SUM(P15,P20,P24)</f>
        <v>1007</v>
      </c>
      <c r="Q35" s="16">
        <f>SUM(Q15,Q20,Q24)</f>
        <v>1682</v>
      </c>
      <c r="R35" s="16">
        <f>SUM(N35:Q35)</f>
        <v>5768</v>
      </c>
      <c r="S35" s="16">
        <f>SUM(S15,S20,S24)</f>
        <v>2524</v>
      </c>
      <c r="T35" s="16">
        <f>SUM(T15,T20,T24)</f>
        <v>7165</v>
      </c>
      <c r="U35" s="16">
        <f>SUM(U15,U20,U24)</f>
        <v>10789</v>
      </c>
      <c r="V35" s="16">
        <f>SUM(V15,V20,V24)</f>
        <v>14002</v>
      </c>
      <c r="W35" s="16">
        <f>SUM(S35:V35)</f>
        <v>34480</v>
      </c>
      <c r="X35" s="16">
        <f>SUM(X15,X20,X24)</f>
        <v>17319</v>
      </c>
      <c r="Y35" s="16">
        <f>SUM(Y15,Y20,Y24)</f>
        <v>19075</v>
      </c>
      <c r="Z35" s="16">
        <f>SUM(Z15,Z20,Z24)</f>
        <v>22347</v>
      </c>
      <c r="AA35" s="16">
        <f>SUM(AA15,AA20,AA24)</f>
        <v>24576</v>
      </c>
      <c r="AB35" s="16">
        <f>SUM(X35:AA35)</f>
        <v>83317</v>
      </c>
      <c r="AC35" s="16">
        <f>SUM(AC15,AC20,AC24)</f>
        <v>22249</v>
      </c>
      <c r="AD35" s="16">
        <f>SUM(AD15,AD20,AD24)</f>
        <v>29109</v>
      </c>
      <c r="AE35" s="16">
        <f>SUM(AE15,AE20,AE24)</f>
        <v>36761</v>
      </c>
      <c r="AF35" s="16">
        <f>SUM(AF15,AF20,AF24)</f>
        <v>45111</v>
      </c>
      <c r="AG35" s="16">
        <f>SUM(AC35:AF35)</f>
        <v>133230</v>
      </c>
      <c r="AH35" s="16">
        <f>SUM(AH15,AH20,AH24)</f>
        <v>0</v>
      </c>
      <c r="AI35" s="16">
        <f>SUM(AI15,AI20,AI24)</f>
        <v>0</v>
      </c>
      <c r="AJ35" s="16">
        <f>SUM(AJ15,AJ20,AJ24)</f>
        <v>0</v>
      </c>
      <c r="AK35" s="16">
        <f>SUM(AK15,AK20,AK24)</f>
        <v>0</v>
      </c>
      <c r="AL35" s="16">
        <f>SUM(AH35:AK35)</f>
        <v>0</v>
      </c>
      <c r="AM35" s="16">
        <f>SUM(AM15,AM20,AM24)</f>
        <v>0</v>
      </c>
      <c r="AN35" s="16">
        <f>SUM(AN15,AN20,AN24)</f>
        <v>0</v>
      </c>
      <c r="AO35" s="16">
        <f>SUM(AO15,AO20,AO24)</f>
        <v>0</v>
      </c>
      <c r="AP35" s="16">
        <f>SUM(AP15,AP20,AP24)</f>
        <v>0</v>
      </c>
      <c r="AQ35" s="16">
        <f>SUM(AM35:AP35)</f>
        <v>0</v>
      </c>
      <c r="AR35" s="16">
        <f>SUM(AR15,AR20,AR24)</f>
        <v>0</v>
      </c>
      <c r="AS35" s="16">
        <f>SUM(AS15,AS20,AS24)</f>
        <v>0</v>
      </c>
      <c r="AT35" s="16">
        <f>SUM(AT15,AT20,AT24)</f>
        <v>0</v>
      </c>
      <c r="AU35" s="16">
        <f>SUM(AU15,AU20,AU24)</f>
        <v>0</v>
      </c>
      <c r="AV35" s="16">
        <f>SUM(AR35:AU35)</f>
        <v>0</v>
      </c>
      <c r="AW35" s="16">
        <f>SUM(AW15,AW20,AW24)</f>
        <v>0</v>
      </c>
      <c r="AX35" s="16">
        <f>SUM(AX15,AX20,AX24)</f>
        <v>0</v>
      </c>
      <c r="AY35" s="16">
        <f>SUM(AY15,AY20,AY24)</f>
        <v>0</v>
      </c>
      <c r="AZ35" s="16">
        <f>SUM(AZ15,AZ20,AZ24)</f>
        <v>0</v>
      </c>
      <c r="BA35" s="16">
        <f>SUM(AW35:AZ35)</f>
        <v>0</v>
      </c>
      <c r="BB35" s="16">
        <f>SUM(BB15,BB20,BB24)</f>
        <v>0</v>
      </c>
      <c r="BC35" s="16">
        <f>SUM(BC15,BC20,BC24)</f>
        <v>0</v>
      </c>
      <c r="BD35" s="16">
        <f>SUM(BD15,BD20,BD24)</f>
        <v>0</v>
      </c>
      <c r="BE35" s="16">
        <f>SUM(BE15,BE20,BE24)</f>
        <v>0</v>
      </c>
      <c r="BF35" s="16">
        <f>SUM(BB35:BE35)</f>
        <v>0</v>
      </c>
      <c r="BG35" s="16">
        <f>SUM(BG15,BG20,BG24)</f>
        <v>0</v>
      </c>
      <c r="BH35" s="16">
        <f>SUM(BH15,BH20,BH24)</f>
        <v>0</v>
      </c>
      <c r="BI35" s="16">
        <f>SUM(BI15,BI20,BI24)</f>
        <v>0</v>
      </c>
      <c r="BJ35" s="16">
        <f>SUM(BJ15,BJ20,BJ24)</f>
        <v>0</v>
      </c>
      <c r="BK35" s="16">
        <f>SUM(BG35:BJ35)</f>
        <v>0</v>
      </c>
      <c r="BL35" s="16">
        <f>SUM(BL15,BL20,BL24)</f>
        <v>0</v>
      </c>
      <c r="BM35" s="16">
        <f>SUM(BM15,BM20,BM24)</f>
        <v>0</v>
      </c>
      <c r="BN35" s="16">
        <f>SUM(BN15,BN20,BN24)</f>
        <v>0</v>
      </c>
      <c r="BO35" s="16">
        <f>SUM(BO15,BO20,BO24)</f>
        <v>0</v>
      </c>
      <c r="BP35" s="16">
        <f>SUM(BL35:BO35)</f>
        <v>0</v>
      </c>
      <c r="BQ35" s="16">
        <f>SUM(BQ15,BQ20,BQ24)</f>
        <v>0</v>
      </c>
      <c r="BR35" s="16">
        <f>SUM(BR15,BR20,BR24)</f>
        <v>0</v>
      </c>
      <c r="BS35" s="16">
        <f>SUM(BS15,BS20,BS24)</f>
        <v>0</v>
      </c>
      <c r="BT35" s="16">
        <f>SUM(BT15,BT20,BT24)</f>
        <v>0</v>
      </c>
      <c r="BU35" s="16">
        <f>SUM(BQ35:BT35)</f>
        <v>0</v>
      </c>
      <c r="BV35" s="16">
        <f>SUM(BV15,BV20,BV24)</f>
        <v>0</v>
      </c>
      <c r="BW35" s="16">
        <f>SUM(BW15,BW20,BW24)</f>
        <v>0</v>
      </c>
      <c r="BX35" s="16">
        <f>SUM(BX15,BX20,BX24)</f>
        <v>0</v>
      </c>
      <c r="BY35" s="16">
        <f>SUM(BY15,BY20,BY24)</f>
        <v>0</v>
      </c>
      <c r="BZ35" s="16">
        <f>SUM(BV35:BY35)</f>
        <v>0</v>
      </c>
      <c r="CA35" s="16">
        <f>SUM(CA15,CA20,CA24)</f>
        <v>0</v>
      </c>
      <c r="CB35" s="16">
        <f>SUM(CB15,CB20,CB24)</f>
        <v>0</v>
      </c>
      <c r="CC35" s="16">
        <f>SUM(CC15,CC20,CC24)</f>
        <v>0</v>
      </c>
      <c r="CD35" s="16">
        <f>SUM(CD15,CD20,CD24)</f>
        <v>0</v>
      </c>
      <c r="CE35" s="16">
        <f>SUM(CA35:CD35)</f>
        <v>0</v>
      </c>
      <c r="CF35" s="16">
        <f>SUM(CF15,CF20,CF24)</f>
        <v>0</v>
      </c>
      <c r="CG35" s="16">
        <f>SUM(CG15,CG20,CG24)</f>
        <v>0</v>
      </c>
      <c r="CH35" s="16">
        <f>SUM(CH15,CH20,CH24)</f>
        <v>0</v>
      </c>
      <c r="CI35" s="16">
        <f>SUM(CI15,CI20,CI24)</f>
        <v>0</v>
      </c>
      <c r="CJ35" s="16">
        <f>SUM(CF35:CI35)</f>
        <v>0</v>
      </c>
      <c r="CK35" s="16">
        <f>SUM(CK15,CK20,CK24)</f>
        <v>0</v>
      </c>
      <c r="CL35" s="16">
        <f>SUM(CL15,CL20,CL24)</f>
        <v>0</v>
      </c>
      <c r="CM35" s="16">
        <f>SUM(CM15,CM20,CM24)</f>
        <v>0</v>
      </c>
      <c r="CN35" s="16">
        <f>SUM(CN15,CN20,CN24)</f>
        <v>0</v>
      </c>
      <c r="CO35" s="16">
        <f>SUM(CK35:CN35)</f>
        <v>0</v>
      </c>
      <c r="CP35" s="16">
        <f>SUM(CP15,CP20,CP24)</f>
        <v>0</v>
      </c>
      <c r="CQ35" s="16">
        <f>SUM(CQ15,CQ20,CQ24)</f>
        <v>0</v>
      </c>
      <c r="CR35" s="16">
        <f>SUM(CR15,CR20,CR24)</f>
        <v>0</v>
      </c>
      <c r="CS35" s="16">
        <f>SUM(CS15,CS20,CS24)</f>
        <v>0</v>
      </c>
      <c r="CT35" s="16">
        <f>SUM(CP35:CS35)</f>
        <v>0</v>
      </c>
      <c r="CU35" s="16">
        <f>SUM(CU15,CU20,CU24)</f>
        <v>0</v>
      </c>
      <c r="CV35" s="16">
        <f>SUM(CV15,CV20,CV24)</f>
        <v>0</v>
      </c>
      <c r="CW35" s="16">
        <f>SUM(CW15,CW20,CW24)</f>
        <v>0</v>
      </c>
      <c r="CX35" s="16">
        <f>SUM(CX15,CX20,CX24)</f>
        <v>0</v>
      </c>
      <c r="CY35" s="16">
        <f>SUM(CU35:CX35)</f>
        <v>0</v>
      </c>
    </row>
    <row r="36" ht="13.5" customHeight="1">
      <c r="C36" s="24" t="inlineStr">
        <is>
          <t>D&amp;A</t>
        </is>
      </c>
      <c r="D36" s="25">
        <f>INDEX('Inputs (2)'!$D$7:$AL$7,MATCH(D$7,'Inputs (2)'!$D$2:$AL$2,0))</f>
        <v>-107</v>
      </c>
      <c r="E36" s="25">
        <f>INDEX('Inputs (2)'!$D$7:$AL$7,MATCH(E$7,'Inputs (2)'!$D$2:$AL$2,0))</f>
        <v>-404</v>
      </c>
      <c r="F36" s="25">
        <f>INDEX('Inputs (2)'!$D$7:$AL$7,MATCH(F$7,'Inputs (2)'!$D$2:$AL$2,0))</f>
        <v>-299</v>
      </c>
      <c r="G36" s="25">
        <f>INDEX('Inputs (2)'!$D$7:$AL$7,MATCH(G$7,'Inputs (2)'!$D$2:$AL$2,0))</f>
        <v>-288</v>
      </c>
      <c r="H36" s="3">
        <f>SUM(D36:G36)</f>
        <v>-1098</v>
      </c>
      <c r="I36" s="25">
        <f>INDEX('Inputs (2)'!$D$7:$AL$7,MATCH(I$7,'Inputs (2)'!$D$2:$AL$2,0))</f>
        <v>-281</v>
      </c>
      <c r="J36" s="25">
        <f>INDEX('Inputs (2)'!$D$7:$AL$7,MATCH(J$7,'Inputs (2)'!$D$2:$AL$2,0))</f>
        <v>-286</v>
      </c>
      <c r="K36" s="25">
        <f>INDEX('Inputs (2)'!$D$7:$AL$7,MATCH(K$7,'Inputs (2)'!$D$2:$AL$2,0))</f>
        <v>-298</v>
      </c>
      <c r="L36" s="25">
        <f>INDEX('Inputs (2)'!$D$7:$AL$7,MATCH(L$7,'Inputs (2)'!$D$2:$AL$2,0))</f>
        <v>-309</v>
      </c>
      <c r="M36" s="3">
        <f>SUM(I36:L36)</f>
        <v>-1174</v>
      </c>
      <c r="N36" s="25">
        <f>INDEX('Inputs (2)'!$D$7:$AL$7,MATCH(N$7,'Inputs (2)'!$D$2:$AL$2,0))</f>
        <v>-334</v>
      </c>
      <c r="O36" s="25">
        <f>INDEX('Inputs (2)'!$D$7:$AL$7,MATCH(O$7,'Inputs (2)'!$D$2:$AL$2,0))</f>
        <v>-378</v>
      </c>
      <c r="P36" s="25">
        <f>INDEX('Inputs (2)'!$D$7:$AL$7,MATCH(P$7,'Inputs (2)'!$D$2:$AL$2,0))</f>
        <v>-406</v>
      </c>
      <c r="Q36" s="25">
        <f>INDEX('Inputs (2)'!$D$7:$AL$7,MATCH(Q$7,'Inputs (2)'!$D$2:$AL$2,0))</f>
        <v>-426</v>
      </c>
      <c r="R36" s="3">
        <f>SUM(N36:Q36)</f>
        <v>-1544</v>
      </c>
      <c r="S36" s="25">
        <f>INDEX('Inputs (2)'!$D$7:$AL$7,MATCH(S$7,'Inputs (2)'!$D$2:$AL$2,0))</f>
        <v>-384</v>
      </c>
      <c r="T36" s="25">
        <f>INDEX('Inputs (2)'!$D$7:$AL$7,MATCH(T$7,'Inputs (2)'!$D$2:$AL$2,0))</f>
        <v>-365</v>
      </c>
      <c r="U36" s="25">
        <f>INDEX('Inputs (2)'!$D$7:$AL$7,MATCH(U$7,'Inputs (2)'!$D$2:$AL$2,0))</f>
        <v>-372</v>
      </c>
      <c r="V36" s="25">
        <f>INDEX('Inputs (2)'!$D$7:$AL$7,MATCH(V$7,'Inputs (2)'!$D$2:$AL$2,0))</f>
        <v>-387</v>
      </c>
      <c r="W36" s="3">
        <f>SUM(S36:V36)</f>
        <v>-1508</v>
      </c>
      <c r="X36" s="25">
        <f>INDEX('Inputs (2)'!$D$7:$AL$7,MATCH(X$7,'Inputs (2)'!$D$2:$AL$2,0))</f>
        <v>-410</v>
      </c>
      <c r="Y36" s="25">
        <f>INDEX('Inputs (2)'!$D$7:$AL$7,MATCH(Y$7,'Inputs (2)'!$D$2:$AL$2,0))</f>
        <v>-433</v>
      </c>
      <c r="Z36" s="25">
        <f>INDEX('Inputs (2)'!$D$7:$AL$7,MATCH(Z$7,'Inputs (2)'!$D$2:$AL$2,0))</f>
        <v>-478</v>
      </c>
      <c r="AA36" s="25">
        <f>INDEX('Inputs (2)'!$D$7:$AL$7,MATCH(AA$7,'Inputs (2)'!$D$2:$AL$2,0))</f>
        <v>-543</v>
      </c>
      <c r="AB36" s="3">
        <f>SUM(X36:AA36)</f>
        <v>-1864</v>
      </c>
      <c r="AC36" s="25">
        <f>INDEX('Inputs (2)'!$D$7:$AL$7,MATCH(AC$7,'Inputs (2)'!$D$2:$AL$2,0))</f>
        <v>-611</v>
      </c>
      <c r="AD36" s="25">
        <f>INDEX('Inputs (2)'!$D$7:$AL$7,MATCH(AD$7,'Inputs (2)'!$D$2:$AL$2,0))</f>
        <v>-669</v>
      </c>
      <c r="AE36" s="25">
        <f>INDEX('Inputs (2)'!$D$7:$AL$7,MATCH(AE$7,'Inputs (2)'!$D$2:$AL$2,0))</f>
        <v>-751</v>
      </c>
      <c r="AF36" s="25">
        <f>INDEX('Inputs (2)'!$D$7:$AL$7,MATCH(AF$7,'Inputs (2)'!$D$2:$AL$2,0))</f>
        <v>-812</v>
      </c>
      <c r="AG36" s="3">
        <f>SUM(AC36:AF36)</f>
        <v>-2843</v>
      </c>
      <c r="AH36" s="3">
        <f>-AH37*AH15</f>
        <v>0</v>
      </c>
      <c r="AI36" s="3">
        <f>-AI37*AI15</f>
        <v>0</v>
      </c>
      <c r="AJ36" s="3">
        <f>-AJ37*AJ15</f>
        <v>0</v>
      </c>
      <c r="AK36" s="3">
        <f>-AK37*AK15</f>
        <v>0</v>
      </c>
      <c r="AL36" s="3">
        <f>SUM(AH36:AK36)</f>
        <v>0</v>
      </c>
      <c r="AM36" s="3">
        <f>-AM37*AM15</f>
        <v>0</v>
      </c>
      <c r="AN36" s="3">
        <f>-AN37*AN15</f>
        <v>0</v>
      </c>
      <c r="AO36" s="3">
        <f>-AO37*AO15</f>
        <v>0</v>
      </c>
      <c r="AP36" s="3">
        <f>-AP37*AP15</f>
        <v>0</v>
      </c>
      <c r="AQ36" s="3">
        <f>SUM(AM36:AP36)</f>
        <v>0</v>
      </c>
      <c r="AR36" s="3">
        <f>-AR37*AR15</f>
        <v>0</v>
      </c>
      <c r="AS36" s="3">
        <f>-AS37*AS15</f>
        <v>0</v>
      </c>
      <c r="AT36" s="3">
        <f>-AT37*AT15</f>
        <v>0</v>
      </c>
      <c r="AU36" s="3">
        <f>-AU37*AU15</f>
        <v>0</v>
      </c>
      <c r="AV36" s="3">
        <f>SUM(AR36:AU36)</f>
        <v>0</v>
      </c>
      <c r="AW36" s="3">
        <f>-AW37*AW15</f>
        <v>0</v>
      </c>
      <c r="AX36" s="3">
        <f>-AX37*AX15</f>
        <v>0</v>
      </c>
      <c r="AY36" s="3">
        <f>-AY37*AY15</f>
        <v>0</v>
      </c>
      <c r="AZ36" s="3">
        <f>-AZ37*AZ15</f>
        <v>0</v>
      </c>
      <c r="BA36" s="3">
        <f>SUM(AW36:AZ36)</f>
        <v>0</v>
      </c>
      <c r="BB36" s="3">
        <f>-BB37*BB15</f>
        <v>0</v>
      </c>
      <c r="BC36" s="3">
        <f>-BC37*BC15</f>
        <v>0</v>
      </c>
      <c r="BD36" s="3">
        <f>-BD37*BD15</f>
        <v>0</v>
      </c>
      <c r="BE36" s="3">
        <f>-BE37*BE15</f>
        <v>0</v>
      </c>
      <c r="BF36" s="3">
        <f>SUM(BB36:BE36)</f>
        <v>0</v>
      </c>
      <c r="BG36" s="3">
        <f>-BG37*BG15</f>
        <v>0</v>
      </c>
      <c r="BH36" s="3">
        <f>-BH37*BH15</f>
        <v>0</v>
      </c>
      <c r="BI36" s="3">
        <f>-BI37*BI15</f>
        <v>0</v>
      </c>
      <c r="BJ36" s="3">
        <f>-BJ37*BJ15</f>
        <v>0</v>
      </c>
      <c r="BK36" s="3">
        <f>SUM(BG36:BJ36)</f>
        <v>0</v>
      </c>
      <c r="BL36" s="3">
        <f>-BL37*BL15</f>
        <v>0</v>
      </c>
      <c r="BM36" s="3">
        <f>-BM37*BM15</f>
        <v>0</v>
      </c>
      <c r="BN36" s="3">
        <f>-BN37*BN15</f>
        <v>0</v>
      </c>
      <c r="BO36" s="3">
        <f>-BO37*BO15</f>
        <v>0</v>
      </c>
      <c r="BP36" s="3">
        <f>SUM(BL36:BO36)</f>
        <v>0</v>
      </c>
      <c r="BQ36" s="3">
        <f>-BQ37*BQ15</f>
        <v>0</v>
      </c>
      <c r="BR36" s="3">
        <f>-BR37*BR15</f>
        <v>0</v>
      </c>
      <c r="BS36" s="3">
        <f>-BS37*BS15</f>
        <v>0</v>
      </c>
      <c r="BT36" s="3">
        <f>-BT37*BT15</f>
        <v>0</v>
      </c>
      <c r="BU36" s="3">
        <f>SUM(BQ36:BT36)</f>
        <v>0</v>
      </c>
      <c r="BV36" s="3">
        <f>-BV37*BV15</f>
        <v>0</v>
      </c>
      <c r="BW36" s="3">
        <f>-BW37*BW15</f>
        <v>0</v>
      </c>
      <c r="BX36" s="3">
        <f>-BX37*BX15</f>
        <v>0</v>
      </c>
      <c r="BY36" s="3">
        <f>-BY37*BY15</f>
        <v>0</v>
      </c>
      <c r="BZ36" s="3">
        <f>SUM(BV36:BY36)</f>
        <v>0</v>
      </c>
      <c r="CA36" s="3">
        <f>-CA37*CA15</f>
        <v>0</v>
      </c>
      <c r="CB36" s="3">
        <f>-CB37*CB15</f>
        <v>0</v>
      </c>
      <c r="CC36" s="3">
        <f>-CC37*CC15</f>
        <v>0</v>
      </c>
      <c r="CD36" s="3">
        <f>-CD37*CD15</f>
        <v>0</v>
      </c>
      <c r="CE36" s="3">
        <f>SUM(CA36:CD36)</f>
        <v>0</v>
      </c>
      <c r="CF36" s="3">
        <f>-CF37*CF15</f>
        <v>0</v>
      </c>
      <c r="CG36" s="3">
        <f>-CG37*CG15</f>
        <v>0</v>
      </c>
      <c r="CH36" s="3">
        <f>-CH37*CH15</f>
        <v>0</v>
      </c>
      <c r="CI36" s="3">
        <f>-CI37*CI15</f>
        <v>0</v>
      </c>
      <c r="CJ36" s="3">
        <f>SUM(CF36:CI36)</f>
        <v>0</v>
      </c>
      <c r="CK36" s="3">
        <f>-CK37*CK15</f>
        <v>0</v>
      </c>
      <c r="CL36" s="3">
        <f>-CL37*CL15</f>
        <v>0</v>
      </c>
      <c r="CM36" s="3">
        <f>-CM37*CM15</f>
        <v>0</v>
      </c>
      <c r="CN36" s="3">
        <f>-CN37*CN15</f>
        <v>0</v>
      </c>
      <c r="CO36" s="3">
        <f>SUM(CK36:CN36)</f>
        <v>0</v>
      </c>
      <c r="CP36" s="3">
        <f>-CP37*CP15</f>
        <v>0</v>
      </c>
      <c r="CQ36" s="3">
        <f>-CQ37*CQ15</f>
        <v>0</v>
      </c>
      <c r="CR36" s="3">
        <f>-CR37*CR15</f>
        <v>0</v>
      </c>
      <c r="CS36" s="3">
        <f>-CS37*CS15</f>
        <v>0</v>
      </c>
      <c r="CT36" s="3">
        <f>SUM(CP36:CS36)</f>
        <v>0</v>
      </c>
      <c r="CU36" s="3">
        <f>-CU37*CU15</f>
        <v>0</v>
      </c>
      <c r="CV36" s="3">
        <f>-CV37*CV15</f>
        <v>0</v>
      </c>
      <c r="CW36" s="3">
        <f>-CW37*CW15</f>
        <v>0</v>
      </c>
      <c r="CX36" s="3">
        <f>-CX37*CX15</f>
        <v>0</v>
      </c>
      <c r="CY36" s="3">
        <f>SUM(CU36:CX36)</f>
        <v>0</v>
      </c>
    </row>
    <row r="37" hidden="1" outlineLevel="1" customFormat="1" s="247">
      <c r="A37" s="48" t="n"/>
      <c r="B37" s="48" t="n"/>
      <c r="C37" s="246" t="inlineStr">
        <is>
          <t>% of Revenue</t>
        </is>
      </c>
      <c r="D37" s="48">
        <f>-D36/D15</f>
        <v>0.0347402597402597</v>
      </c>
      <c r="E37" s="48">
        <f>-E36/E15</f>
        <v>0.104500775995861</v>
      </c>
      <c r="F37" s="48">
        <f>-F36/F15</f>
        <v>0.0632670334320779</v>
      </c>
      <c r="G37" s="48">
        <f>-G36/G15</f>
        <v>0.0575654607235659</v>
      </c>
      <c r="H37" s="48" t="n"/>
      <c r="I37" s="48">
        <f>-I36/I15</f>
        <v>0.0496378731672849</v>
      </c>
      <c r="J37" s="48">
        <f>-J36/J15</f>
        <v>0.0439526663593054</v>
      </c>
      <c r="K37" s="48">
        <f>-K36/K15</f>
        <v>0.0419541038997607</v>
      </c>
      <c r="L37" s="48">
        <f>-L36/L15</f>
        <v>0.0404291508569933</v>
      </c>
      <c r="M37" s="48" t="n"/>
      <c r="N37" s="48">
        <f>-N36/N15</f>
        <v>0.0402992277992278</v>
      </c>
      <c r="O37" s="48">
        <f>-O36/O15</f>
        <v>0.0563842482100239</v>
      </c>
      <c r="P37" s="48">
        <f>-P36/P15</f>
        <v>0.0684538863598044</v>
      </c>
      <c r="Q37" s="48">
        <f>-Q36/Q15</f>
        <v>0.0704015865146257</v>
      </c>
      <c r="R37" s="48" t="n"/>
      <c r="S37" s="48">
        <f>-S36/S15</f>
        <v>0.053392658509455</v>
      </c>
      <c r="T37" s="48">
        <f>-T36/T15</f>
        <v>0.0270230250980973</v>
      </c>
      <c r="U37" s="48">
        <f>-U36/U15</f>
        <v>0.0205298013245033</v>
      </c>
      <c r="V37" s="48">
        <f>-V36/V15</f>
        <v>0.0175089354386282</v>
      </c>
      <c r="W37" s="48" t="n"/>
      <c r="X37" s="48">
        <f>-X36/X15</f>
        <v>0.015742589463984</v>
      </c>
      <c r="Y37" s="48">
        <f>-Y36/Y15</f>
        <v>0.0144141145139814</v>
      </c>
      <c r="Z37" s="48">
        <f>-Z36/Z15</f>
        <v>0.0136252209110085</v>
      </c>
      <c r="AA37" s="48">
        <f>-AA36/AA15</f>
        <v>0.0138059037400524</v>
      </c>
      <c r="AB37" s="48" t="n"/>
      <c r="AC37" s="48">
        <f>-AC36/AC15</f>
        <v>0.0138668240206981</v>
      </c>
      <c r="AD37" s="48">
        <f>-AD36/AD15</f>
        <v>0.0143123034465054</v>
      </c>
      <c r="AE37" s="48">
        <f>-AE36/AE15</f>
        <v>0.0131740518541908</v>
      </c>
      <c r="AF37" s="218">
        <f>-AF36/AF15</f>
        <v>0.0119189161419114</v>
      </c>
      <c r="AG37" s="48" t="n"/>
      <c r="AH37" s="218" t="n"/>
      <c r="AI37" s="218" t="n"/>
      <c r="AJ37" s="218" t="n"/>
      <c r="AK37" s="218" t="n"/>
      <c r="AL37" s="48" t="n"/>
      <c r="AM37" s="218" t="n"/>
      <c r="AN37" s="218" t="n"/>
      <c r="AO37" s="218" t="n"/>
      <c r="AP37" s="218" t="n"/>
      <c r="AQ37" s="48" t="n"/>
      <c r="AR37" s="218" t="n"/>
      <c r="AS37" s="218" t="n"/>
      <c r="AT37" s="218" t="n"/>
      <c r="AU37" s="218" t="n"/>
      <c r="AV37" s="48" t="n"/>
      <c r="AW37" s="218" t="n"/>
      <c r="AX37" s="218" t="n"/>
      <c r="AY37" s="218" t="n"/>
      <c r="AZ37" s="218" t="n"/>
      <c r="BA37" s="48" t="n"/>
      <c r="BB37" s="218" t="n"/>
      <c r="BC37" s="218" t="n"/>
      <c r="BD37" s="218" t="n"/>
      <c r="BE37" s="218" t="n"/>
      <c r="BF37" s="48" t="n"/>
      <c r="BG37" s="218" t="n"/>
      <c r="BH37" s="218" t="n"/>
      <c r="BI37" s="218" t="n"/>
      <c r="BJ37" s="218" t="n"/>
      <c r="BK37" s="48" t="n"/>
      <c r="BL37" s="218" t="n"/>
      <c r="BM37" s="218" t="n"/>
      <c r="BN37" s="218" t="n"/>
      <c r="BO37" s="218" t="n"/>
      <c r="BP37" s="48" t="n"/>
      <c r="BQ37" s="218" t="n"/>
      <c r="BR37" s="218" t="n"/>
      <c r="BS37" s="218" t="n"/>
      <c r="BT37" s="218" t="n"/>
      <c r="BU37" s="48" t="n"/>
      <c r="BV37" s="218" t="n"/>
      <c r="BW37" s="218" t="n"/>
      <c r="BX37" s="218" t="n"/>
      <c r="BY37" s="218" t="n"/>
      <c r="BZ37" s="48" t="n"/>
      <c r="CA37" s="218" t="n"/>
      <c r="CB37" s="218" t="n"/>
      <c r="CC37" s="218" t="n"/>
      <c r="CD37" s="218" t="n"/>
      <c r="CE37" s="48" t="n"/>
      <c r="CF37" s="218" t="n"/>
      <c r="CG37" s="218" t="n"/>
      <c r="CH37" s="218" t="n"/>
      <c r="CI37" s="218" t="n"/>
      <c r="CJ37" s="48" t="n"/>
      <c r="CK37" s="218" t="n"/>
      <c r="CL37" s="218" t="n"/>
      <c r="CM37" s="218" t="n"/>
      <c r="CN37" s="218" t="n"/>
      <c r="CO37" s="48" t="n"/>
      <c r="CP37" s="218" t="n"/>
      <c r="CQ37" s="218" t="n"/>
      <c r="CR37" s="218" t="n"/>
      <c r="CS37" s="218" t="n"/>
      <c r="CT37" s="48" t="n"/>
      <c r="CU37" s="218" t="n"/>
      <c r="CV37" s="218" t="n"/>
      <c r="CW37" s="218" t="n"/>
      <c r="CX37" s="218" t="n"/>
      <c r="CY37" s="48" t="n"/>
    </row>
    <row r="38" hidden="1" outlineLevel="1">
      <c r="C38" s="32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  <c r="CU38" s="3" t="n"/>
      <c r="CV38" s="3" t="n"/>
      <c r="CW38" s="3" t="n"/>
      <c r="CX38" s="3" t="n"/>
      <c r="CY38" s="3" t="n"/>
    </row>
    <row r="39" collapsed="1" customFormat="1" s="17">
      <c r="A39" s="13" t="n"/>
      <c r="B39" s="1" t="n"/>
      <c r="C39" s="14" t="inlineStr">
        <is>
          <t>Operating Profit - EBIT</t>
        </is>
      </c>
      <c r="D39" s="16">
        <f>SUM(D35,D36)</f>
        <v>976</v>
      </c>
      <c r="E39" s="16">
        <f>SUM(E35,E36)</f>
        <v>651</v>
      </c>
      <c r="F39" s="16">
        <f>SUM(F35,F36)</f>
        <v>1398</v>
      </c>
      <c r="G39" s="16">
        <f>SUM(G35,G36)</f>
        <v>1507</v>
      </c>
      <c r="H39" s="16">
        <f>SUM(D39:G39)</f>
        <v>4532</v>
      </c>
      <c r="I39" s="16">
        <f>SUM(I35,I36)</f>
        <v>1956</v>
      </c>
      <c r="J39" s="16">
        <f>SUM(J35,J36)</f>
        <v>2444</v>
      </c>
      <c r="K39" s="16">
        <f>SUM(K35,K36)</f>
        <v>2671</v>
      </c>
      <c r="L39" s="16">
        <f>SUM(L35,L36)</f>
        <v>2970</v>
      </c>
      <c r="M39" s="16">
        <f>SUM(I39:L39)</f>
        <v>10041</v>
      </c>
      <c r="N39" s="16">
        <f>SUM(N35,N36)</f>
        <v>1868</v>
      </c>
      <c r="O39" s="16">
        <f>SUM(O35,O36)</f>
        <v>499</v>
      </c>
      <c r="P39" s="16">
        <f>SUM(P35,P36)</f>
        <v>601</v>
      </c>
      <c r="Q39" s="16">
        <f>SUM(Q35,Q36)</f>
        <v>1256</v>
      </c>
      <c r="R39" s="16">
        <f>SUM(N39:Q39)</f>
        <v>4224</v>
      </c>
      <c r="S39" s="16">
        <f>SUM(S35,S36)</f>
        <v>2140</v>
      </c>
      <c r="T39" s="16">
        <f>SUM(T35,T36)</f>
        <v>6800</v>
      </c>
      <c r="U39" s="16">
        <f>SUM(U35,U36)</f>
        <v>10417</v>
      </c>
      <c r="V39" s="16">
        <f>SUM(V35,V36)</f>
        <v>13615</v>
      </c>
      <c r="W39" s="16">
        <f>SUM(S39:V39)</f>
        <v>32972</v>
      </c>
      <c r="X39" s="16">
        <f>SUM(X35,X36)</f>
        <v>16909</v>
      </c>
      <c r="Y39" s="16">
        <f>SUM(Y35,Y36)</f>
        <v>18642</v>
      </c>
      <c r="Z39" s="16">
        <f>SUM(Z35,Z36)</f>
        <v>21869</v>
      </c>
      <c r="AA39" s="16">
        <f>SUM(AA35,AA36)</f>
        <v>24033</v>
      </c>
      <c r="AB39" s="16">
        <f>SUM(X39:AA39)</f>
        <v>81453</v>
      </c>
      <c r="AC39" s="16">
        <f>SUM(AC35,AC36)</f>
        <v>21638</v>
      </c>
      <c r="AD39" s="16">
        <f>SUM(AD35,AD36)</f>
        <v>28440</v>
      </c>
      <c r="AE39" s="16">
        <f>SUM(AE35,AE36)</f>
        <v>36010</v>
      </c>
      <c r="AF39" s="16">
        <f>SUM(AF35,AF36)</f>
        <v>44299</v>
      </c>
      <c r="AG39" s="16">
        <f>SUM(AC39:AF39)</f>
        <v>130387</v>
      </c>
      <c r="AH39" s="16">
        <f>SUM(AH35,AH36)</f>
        <v>0</v>
      </c>
      <c r="AI39" s="16">
        <f>SUM(AI35,AI36)</f>
        <v>0</v>
      </c>
      <c r="AJ39" s="16">
        <f>SUM(AJ35,AJ36)</f>
        <v>0</v>
      </c>
      <c r="AK39" s="16">
        <f>SUM(AK35,AK36)</f>
        <v>0</v>
      </c>
      <c r="AL39" s="16">
        <f>SUM(AL35,AL36)</f>
        <v>0</v>
      </c>
      <c r="AM39" s="16">
        <f>SUM(AM35,AM36)</f>
        <v>0</v>
      </c>
      <c r="AN39" s="16">
        <f>SUM(AN35,AN36)</f>
        <v>0</v>
      </c>
      <c r="AO39" s="16">
        <f>SUM(AO35,AO36)</f>
        <v>0</v>
      </c>
      <c r="AP39" s="16">
        <f>SUM(AP35,AP36)</f>
        <v>0</v>
      </c>
      <c r="AQ39" s="16">
        <f>SUM(AQ35,AQ36)</f>
        <v>0</v>
      </c>
      <c r="AR39" s="16">
        <f>SUM(AR35,AR36)</f>
        <v>0</v>
      </c>
      <c r="AS39" s="16">
        <f>SUM(AS35,AS36)</f>
        <v>0</v>
      </c>
      <c r="AT39" s="16">
        <f>SUM(AT35,AT36)</f>
        <v>0</v>
      </c>
      <c r="AU39" s="16">
        <f>SUM(AU35,AU36)</f>
        <v>0</v>
      </c>
      <c r="AV39" s="16">
        <f>SUM(AV35,AV36)</f>
        <v>0</v>
      </c>
      <c r="AW39" s="16">
        <f>SUM(AW35,AW36)</f>
        <v>0</v>
      </c>
      <c r="AX39" s="16">
        <f>SUM(AX35,AX36)</f>
        <v>0</v>
      </c>
      <c r="AY39" s="16">
        <f>SUM(AY35,AY36)</f>
        <v>0</v>
      </c>
      <c r="AZ39" s="16">
        <f>SUM(AZ35,AZ36)</f>
        <v>0</v>
      </c>
      <c r="BA39" s="16">
        <f>SUM(BA35,BA36)</f>
        <v>0</v>
      </c>
      <c r="BB39" s="16">
        <f>SUM(BB35,BB36)</f>
        <v>0</v>
      </c>
      <c r="BC39" s="16">
        <f>SUM(BC35,BC36)</f>
        <v>0</v>
      </c>
      <c r="BD39" s="16">
        <f>SUM(BD35,BD36)</f>
        <v>0</v>
      </c>
      <c r="BE39" s="16">
        <f>SUM(BE35,BE36)</f>
        <v>0</v>
      </c>
      <c r="BF39" s="16">
        <f>SUM(BF35,BF36)</f>
        <v>0</v>
      </c>
      <c r="BG39" s="16">
        <f>SUM(BG35,BG36)</f>
        <v>0</v>
      </c>
      <c r="BH39" s="16">
        <f>SUM(BH35,BH36)</f>
        <v>0</v>
      </c>
      <c r="BI39" s="16">
        <f>SUM(BI35,BI36)</f>
        <v>0</v>
      </c>
      <c r="BJ39" s="16">
        <f>SUM(BJ35,BJ36)</f>
        <v>0</v>
      </c>
      <c r="BK39" s="16">
        <f>SUM(BK35,BK36)</f>
        <v>0</v>
      </c>
      <c r="BL39" s="16">
        <f>SUM(BL35,BL36)</f>
        <v>0</v>
      </c>
      <c r="BM39" s="16">
        <f>SUM(BM35,BM36)</f>
        <v>0</v>
      </c>
      <c r="BN39" s="16">
        <f>SUM(BN35,BN36)</f>
        <v>0</v>
      </c>
      <c r="BO39" s="16">
        <f>SUM(BO35,BO36)</f>
        <v>0</v>
      </c>
      <c r="BP39" s="16">
        <f>SUM(BP35,BP36)</f>
        <v>0</v>
      </c>
      <c r="BQ39" s="16">
        <f>SUM(BQ35,BQ36)</f>
        <v>0</v>
      </c>
      <c r="BR39" s="16">
        <f>SUM(BR35,BR36)</f>
        <v>0</v>
      </c>
      <c r="BS39" s="16">
        <f>SUM(BS35,BS36)</f>
        <v>0</v>
      </c>
      <c r="BT39" s="16">
        <f>SUM(BT35,BT36)</f>
        <v>0</v>
      </c>
      <c r="BU39" s="16">
        <f>SUM(BU35,BU36)</f>
        <v>0</v>
      </c>
      <c r="BV39" s="16">
        <f>SUM(BV35,BV36)</f>
        <v>0</v>
      </c>
      <c r="BW39" s="16">
        <f>SUM(BW35,BW36)</f>
        <v>0</v>
      </c>
      <c r="BX39" s="16">
        <f>SUM(BX35,BX36)</f>
        <v>0</v>
      </c>
      <c r="BY39" s="16">
        <f>SUM(BY35,BY36)</f>
        <v>0</v>
      </c>
      <c r="BZ39" s="16">
        <f>SUM(BZ35,BZ36)</f>
        <v>0</v>
      </c>
      <c r="CA39" s="16">
        <f>SUM(CA35,CA36)</f>
        <v>0</v>
      </c>
      <c r="CB39" s="16">
        <f>SUM(CB35,CB36)</f>
        <v>0</v>
      </c>
      <c r="CC39" s="16">
        <f>SUM(CC35,CC36)</f>
        <v>0</v>
      </c>
      <c r="CD39" s="16">
        <f>SUM(CD35,CD36)</f>
        <v>0</v>
      </c>
      <c r="CE39" s="16">
        <f>SUM(CE35,CE36)</f>
        <v>0</v>
      </c>
      <c r="CF39" s="16">
        <f>SUM(CF35,CF36)</f>
        <v>0</v>
      </c>
      <c r="CG39" s="16">
        <f>SUM(CG35,CG36)</f>
        <v>0</v>
      </c>
      <c r="CH39" s="16">
        <f>SUM(CH35,CH36)</f>
        <v>0</v>
      </c>
      <c r="CI39" s="16">
        <f>SUM(CI35,CI36)</f>
        <v>0</v>
      </c>
      <c r="CJ39" s="16">
        <f>SUM(CJ35,CJ36)</f>
        <v>0</v>
      </c>
      <c r="CK39" s="16">
        <f>SUM(CK35,CK36)</f>
        <v>0</v>
      </c>
      <c r="CL39" s="16">
        <f>SUM(CL35,CL36)</f>
        <v>0</v>
      </c>
      <c r="CM39" s="16">
        <f>SUM(CM35,CM36)</f>
        <v>0</v>
      </c>
      <c r="CN39" s="16">
        <f>SUM(CN35,CN36)</f>
        <v>0</v>
      </c>
      <c r="CO39" s="16">
        <f>SUM(CO35,CO36)</f>
        <v>0</v>
      </c>
      <c r="CP39" s="16">
        <f>SUM(CP35,CP36)</f>
        <v>0</v>
      </c>
      <c r="CQ39" s="16">
        <f>SUM(CQ35,CQ36)</f>
        <v>0</v>
      </c>
      <c r="CR39" s="16">
        <f>SUM(CR35,CR36)</f>
        <v>0</v>
      </c>
      <c r="CS39" s="16">
        <f>SUM(CS35,CS36)</f>
        <v>0</v>
      </c>
      <c r="CT39" s="16">
        <f>SUM(CT35,CT36)</f>
        <v>0</v>
      </c>
      <c r="CU39" s="16">
        <f>SUM(CU35,CU36)</f>
        <v>0</v>
      </c>
      <c r="CV39" s="16">
        <f>SUM(CV35,CV36)</f>
        <v>0</v>
      </c>
      <c r="CW39" s="16">
        <f>SUM(CW35,CW36)</f>
        <v>0</v>
      </c>
      <c r="CX39" s="16">
        <f>SUM(CX35,CX36)</f>
        <v>0</v>
      </c>
      <c r="CY39" s="16">
        <f>SUM(CY35,CY36)</f>
        <v>0</v>
      </c>
    </row>
    <row r="40">
      <c r="C40" s="26" t="inlineStr">
        <is>
          <t>Interest Expense</t>
        </is>
      </c>
      <c r="D40" s="25">
        <f>INDEX('Inputs (2)'!$D$8:$AL$8,MATCH(D$7,'Inputs (2)'!$D$2:$AL$2,0))</f>
        <v>-25</v>
      </c>
      <c r="E40" s="25">
        <f>INDEX('Inputs (2)'!$D$8:$AL$8,MATCH(E$7,'Inputs (2)'!$D$2:$AL$2,0))</f>
        <v>-54</v>
      </c>
      <c r="F40" s="25">
        <f>INDEX('Inputs (2)'!$D$8:$AL$8,MATCH(F$7,'Inputs (2)'!$D$2:$AL$2,0))</f>
        <v>-53</v>
      </c>
      <c r="G40" s="25">
        <f>INDEX('Inputs (2)'!$D$8:$AL$8,MATCH(G$7,'Inputs (2)'!$D$2:$AL$2,0))</f>
        <v>-52</v>
      </c>
      <c r="H40" s="3">
        <f>SUM(D40:G40)</f>
        <v>-184</v>
      </c>
      <c r="I40" s="25">
        <f>INDEX('Inputs (2)'!$D$8:$AL$8,MATCH(I$7,'Inputs (2)'!$D$2:$AL$2,0))</f>
        <v>-53</v>
      </c>
      <c r="J40" s="25">
        <f>INDEX('Inputs (2)'!$D$8:$AL$8,MATCH(J$7,'Inputs (2)'!$D$2:$AL$2,0))</f>
        <v>-60</v>
      </c>
      <c r="K40" s="25">
        <f>INDEX('Inputs (2)'!$D$8:$AL$8,MATCH(K$7,'Inputs (2)'!$D$2:$AL$2,0))</f>
        <v>-62</v>
      </c>
      <c r="L40" s="25">
        <f>INDEX('Inputs (2)'!$D$8:$AL$8,MATCH(L$7,'Inputs (2)'!$D$2:$AL$2,0))</f>
        <v>-61</v>
      </c>
      <c r="M40" s="3">
        <f>SUM(I40:L40)</f>
        <v>-236</v>
      </c>
      <c r="N40" s="25">
        <f>INDEX('Inputs (2)'!$D$8:$AL$8,MATCH(N$7,'Inputs (2)'!$D$2:$AL$2,0))</f>
        <v>-68</v>
      </c>
      <c r="O40" s="25">
        <f>INDEX('Inputs (2)'!$D$8:$AL$8,MATCH(O$7,'Inputs (2)'!$D$2:$AL$2,0))</f>
        <v>-65</v>
      </c>
      <c r="P40" s="25">
        <f>INDEX('Inputs (2)'!$D$8:$AL$8,MATCH(P$7,'Inputs (2)'!$D$2:$AL$2,0))</f>
        <v>-65</v>
      </c>
      <c r="Q40" s="25">
        <f>INDEX('Inputs (2)'!$D$8:$AL$8,MATCH(Q$7,'Inputs (2)'!$D$2:$AL$2,0))</f>
        <v>-64</v>
      </c>
      <c r="R40" s="3">
        <f>SUM(N40:Q40)</f>
        <v>-262</v>
      </c>
      <c r="S40" s="25">
        <f>INDEX('Inputs (2)'!$D$8:$AL$8,MATCH(S$7,'Inputs (2)'!$D$2:$AL$2,0))</f>
        <v>-66</v>
      </c>
      <c r="T40" s="25">
        <f>INDEX('Inputs (2)'!$D$8:$AL$8,MATCH(T$7,'Inputs (2)'!$D$2:$AL$2,0))</f>
        <v>-65</v>
      </c>
      <c r="U40" s="25">
        <f>INDEX('Inputs (2)'!$D$8:$AL$8,MATCH(U$7,'Inputs (2)'!$D$2:$AL$2,0))</f>
        <v>-63</v>
      </c>
      <c r="V40" s="25">
        <f>INDEX('Inputs (2)'!$D$8:$AL$8,MATCH(V$7,'Inputs (2)'!$D$2:$AL$2,0))</f>
        <v>-63</v>
      </c>
      <c r="W40" s="3">
        <f>SUM(S40:V40)</f>
        <v>-257</v>
      </c>
      <c r="X40" s="25">
        <f>INDEX('Inputs (2)'!$D$8:$AL$8,MATCH(X$7,'Inputs (2)'!$D$2:$AL$2,0))</f>
        <v>-64</v>
      </c>
      <c r="Y40" s="25">
        <f>INDEX('Inputs (2)'!$D$8:$AL$8,MATCH(Y$7,'Inputs (2)'!$D$2:$AL$2,0))</f>
        <v>-61</v>
      </c>
      <c r="Z40" s="25">
        <f>INDEX('Inputs (2)'!$D$8:$AL$8,MATCH(Z$7,'Inputs (2)'!$D$2:$AL$2,0))</f>
        <v>-61</v>
      </c>
      <c r="AA40" s="25">
        <f>INDEX('Inputs (2)'!$D$8:$AL$8,MATCH(AA$7,'Inputs (2)'!$D$2:$AL$2,0))</f>
        <v>-61</v>
      </c>
      <c r="AB40" s="3">
        <f>SUM(X40:AA40)</f>
        <v>-247</v>
      </c>
      <c r="AC40" s="25">
        <f>INDEX('Inputs (2)'!$D$8:$AL$8,MATCH(AC$7,'Inputs (2)'!$D$2:$AL$2,0))</f>
        <v>-63</v>
      </c>
      <c r="AD40" s="25">
        <f>INDEX('Inputs (2)'!$D$8:$AL$8,MATCH(AD$7,'Inputs (2)'!$D$2:$AL$2,0))</f>
        <v>-62</v>
      </c>
      <c r="AE40" s="25">
        <f>INDEX('Inputs (2)'!$D$8:$AL$8,MATCH(AE$7,'Inputs (2)'!$D$2:$AL$2,0))</f>
        <v>-61</v>
      </c>
      <c r="AF40" s="25">
        <f>INDEX('Inputs (2)'!$D$8:$AL$8,MATCH(AF$7,'Inputs (2)'!$D$2:$AL$2,0))</f>
        <v>-73</v>
      </c>
      <c r="AG40" s="3">
        <f>SUM(AC40:AF40)</f>
        <v>-259</v>
      </c>
      <c r="AH40" s="3" t="n"/>
      <c r="AI40" s="3" t="n"/>
      <c r="AJ40" s="3" t="n"/>
      <c r="AK40" s="3" t="n"/>
      <c r="AL40" s="3">
        <f>SUM(AH40:AK40)</f>
        <v>0</v>
      </c>
      <c r="AM40" s="3" t="n"/>
      <c r="AN40" s="3" t="n"/>
      <c r="AO40" s="3" t="n"/>
      <c r="AP40" s="3" t="n"/>
      <c r="AQ40" s="3">
        <f>SUM(AM40:AP40)</f>
        <v>0</v>
      </c>
      <c r="AR40" s="3" t="n"/>
      <c r="AS40" s="3" t="n"/>
      <c r="AT40" s="3" t="n"/>
      <c r="AU40" s="3" t="n"/>
      <c r="AV40" s="3">
        <f>SUM(AR40:AU40)</f>
        <v>0</v>
      </c>
      <c r="AW40" s="3" t="n"/>
      <c r="AX40" s="3" t="n"/>
      <c r="AY40" s="3" t="n"/>
      <c r="AZ40" s="3" t="n"/>
      <c r="BA40" s="3">
        <f>SUM(AW40:AZ40)</f>
        <v>0</v>
      </c>
      <c r="BB40" s="3" t="n"/>
      <c r="BC40" s="3" t="n"/>
      <c r="BD40" s="3" t="n"/>
      <c r="BE40" s="3" t="n"/>
      <c r="BF40" s="3">
        <f>SUM(BB40:BE40)</f>
        <v>0</v>
      </c>
      <c r="BG40" s="3" t="n"/>
      <c r="BH40" s="3" t="n"/>
      <c r="BI40" s="3" t="n"/>
      <c r="BJ40" s="3" t="n"/>
      <c r="BK40" s="3">
        <f>SUM(BG40:BJ40)</f>
        <v>0</v>
      </c>
      <c r="BL40" s="3" t="n"/>
      <c r="BM40" s="3" t="n"/>
      <c r="BN40" s="3" t="n"/>
      <c r="BO40" s="3" t="n"/>
      <c r="BP40" s="3">
        <f>SUM(BL40:BO40)</f>
        <v>0</v>
      </c>
      <c r="BQ40" s="3" t="n"/>
      <c r="BR40" s="3" t="n"/>
      <c r="BS40" s="3" t="n"/>
      <c r="BT40" s="3" t="n"/>
      <c r="BU40" s="3">
        <f>SUM(BQ40:BT40)</f>
        <v>0</v>
      </c>
      <c r="BV40" s="3" t="n"/>
      <c r="BW40" s="3" t="n"/>
      <c r="BX40" s="3" t="n"/>
      <c r="BY40" s="3" t="n"/>
      <c r="BZ40" s="3">
        <f>SUM(BV40:BY40)</f>
        <v>0</v>
      </c>
      <c r="CA40" s="3" t="n"/>
      <c r="CB40" s="3" t="n"/>
      <c r="CC40" s="3" t="n"/>
      <c r="CD40" s="3" t="n"/>
      <c r="CE40" s="3">
        <f>SUM(CA40:CD40)</f>
        <v>0</v>
      </c>
      <c r="CF40" s="3" t="n"/>
      <c r="CG40" s="3" t="n"/>
      <c r="CH40" s="3" t="n"/>
      <c r="CI40" s="3" t="n"/>
      <c r="CJ40" s="3">
        <f>SUM(CF40:CI40)</f>
        <v>0</v>
      </c>
      <c r="CK40" s="3" t="n"/>
      <c r="CL40" s="3" t="n"/>
      <c r="CM40" s="3" t="n"/>
      <c r="CN40" s="3" t="n"/>
      <c r="CO40" s="3">
        <f>SUM(CK40:CN40)</f>
        <v>0</v>
      </c>
      <c r="CP40" s="3" t="n"/>
      <c r="CQ40" s="3" t="n"/>
      <c r="CR40" s="3" t="n"/>
      <c r="CS40" s="3" t="n"/>
      <c r="CT40" s="3">
        <f>SUM(CP40:CS40)</f>
        <v>0</v>
      </c>
      <c r="CU40" s="3" t="n"/>
      <c r="CV40" s="3" t="n"/>
      <c r="CW40" s="3" t="n"/>
      <c r="CX40" s="3" t="n"/>
      <c r="CY40" s="3">
        <f>SUM(CU40:CX40)</f>
        <v>0</v>
      </c>
    </row>
    <row r="41" hidden="1" outlineLevel="1">
      <c r="C41" s="32" t="inlineStr">
        <is>
          <t>% of Debt</t>
        </is>
      </c>
      <c r="D41" s="48">
        <f>-D40/SUM(D178+D183)</f>
        <v>0.00359247018249749</v>
      </c>
      <c r="E41" s="48">
        <f>-E40/SUM(E178+E183)</f>
        <v>0.00775862068965517</v>
      </c>
      <c r="F41" s="48">
        <f>-F40/SUM(F178+F183)</f>
        <v>0.00761384858497342</v>
      </c>
      <c r="G41" s="48">
        <f>-G40/SUM(G178+G183)</f>
        <v>0.00746804538273733</v>
      </c>
      <c r="H41" s="3" t="n"/>
      <c r="I41" s="48">
        <f>-I40/SUM(I178+I183)</f>
        <v>0.00761166164009766</v>
      </c>
      <c r="J41" s="48">
        <f>-J40/SUM(J178+J183)</f>
        <v>0.00502386335091686</v>
      </c>
      <c r="K41" s="48">
        <f>-K40/SUM(K178+K183)</f>
        <v>0.00566520467836257</v>
      </c>
      <c r="L41" s="48">
        <f>-L40/SUM(L178+L183)</f>
        <v>0.00557281198611365</v>
      </c>
      <c r="M41" s="3" t="n"/>
      <c r="N41" s="48">
        <f>-N40/SUM(N178+N183)</f>
        <v>0.00621174751073353</v>
      </c>
      <c r="O41" s="48">
        <f>-O40/SUM(O178+O183)</f>
        <v>0.00593661521600146</v>
      </c>
      <c r="P41" s="48">
        <f>-P40/SUM(P178+P183)</f>
        <v>0.00593607305936073</v>
      </c>
      <c r="Q41" s="48">
        <f>-Q40/SUM(Q178+Q183)</f>
        <v>0.00584314799598284</v>
      </c>
      <c r="R41" s="3" t="n"/>
      <c r="S41" s="48">
        <f>-S40/SUM(S178+S183)</f>
        <v>0.00602519627533321</v>
      </c>
      <c r="T41" s="48">
        <f>-T40/SUM(T178+T183)</f>
        <v>0.00669757856774858</v>
      </c>
      <c r="U41" s="48">
        <f>-U40/SUM(U178+U183)</f>
        <v>0.0064908304141768</v>
      </c>
      <c r="V41" s="48">
        <f>-V40/SUM(V178+V183)</f>
        <v>0.00648882480173035</v>
      </c>
      <c r="W41" s="3" t="n"/>
      <c r="X41" s="48">
        <f>-X40/SUM(X178+X183)</f>
        <v>0.00659114315139032</v>
      </c>
      <c r="Y41" s="48">
        <f>-Y40/SUM(Y178+Y183)</f>
        <v>0.00720954969861719</v>
      </c>
      <c r="Z41" s="48">
        <f>-Z40/SUM(Z178+Z183)</f>
        <v>0.00720869770739778</v>
      </c>
      <c r="AA41" s="48">
        <f>-AA40/SUM(AA178+AA183)</f>
        <v>0.00720784591752334</v>
      </c>
      <c r="AB41" s="3" t="n"/>
      <c r="AC41" s="48">
        <f>-AC40/SUM(AC178+AC183)</f>
        <v>0.00744328922495274</v>
      </c>
      <c r="AD41" s="48">
        <f>-AD40/SUM(AD178+AD183)</f>
        <v>0.00732341129222773</v>
      </c>
      <c r="AE41" s="48">
        <f>-AE40/SUM(AE178+AE183)</f>
        <v>0.00720444077004842</v>
      </c>
      <c r="AF41" s="231">
        <f>-AF40/SUM(AF178+AF183)</f>
        <v>0.00862068965517241</v>
      </c>
      <c r="AG41" s="3" t="n"/>
      <c r="AH41" s="6" t="n"/>
      <c r="AI41" s="6" t="n"/>
      <c r="AJ41" s="6" t="n"/>
      <c r="AK41" s="6" t="n"/>
      <c r="AL41" s="3" t="n"/>
      <c r="AM41" s="6" t="n"/>
      <c r="AN41" s="6" t="n"/>
      <c r="AO41" s="6" t="n"/>
      <c r="AP41" s="6" t="n"/>
      <c r="AQ41" s="3" t="n"/>
      <c r="AR41" s="6" t="n"/>
      <c r="AS41" s="6" t="n"/>
      <c r="AT41" s="6" t="n"/>
      <c r="AU41" s="6" t="n"/>
      <c r="AV41" s="3" t="n"/>
      <c r="AW41" s="6" t="n"/>
      <c r="AX41" s="6" t="n"/>
      <c r="AY41" s="6" t="n"/>
      <c r="AZ41" s="6" t="n"/>
      <c r="BA41" s="3" t="n"/>
      <c r="BB41" s="6" t="n"/>
      <c r="BC41" s="6" t="n"/>
      <c r="BD41" s="6" t="n"/>
      <c r="BE41" s="6" t="n"/>
      <c r="BF41" s="3" t="n"/>
      <c r="BG41" s="6" t="n"/>
      <c r="BH41" s="6" t="n"/>
      <c r="BI41" s="6" t="n"/>
      <c r="BJ41" s="6" t="n"/>
      <c r="BK41" s="3" t="n"/>
      <c r="BL41" s="6" t="n"/>
      <c r="BM41" s="6" t="n"/>
      <c r="BN41" s="6" t="n"/>
      <c r="BO41" s="6" t="n"/>
      <c r="BP41" s="3" t="n"/>
      <c r="BQ41" s="6" t="n"/>
      <c r="BR41" s="6" t="n"/>
      <c r="BS41" s="6" t="n"/>
      <c r="BT41" s="6" t="n"/>
      <c r="BU41" s="3" t="n"/>
      <c r="BV41" s="6" t="n"/>
      <c r="BW41" s="6" t="n"/>
      <c r="BX41" s="6" t="n"/>
      <c r="BY41" s="6" t="n"/>
      <c r="BZ41" s="3" t="n"/>
      <c r="CA41" s="6" t="n"/>
      <c r="CB41" s="6" t="n"/>
      <c r="CC41" s="6" t="n"/>
      <c r="CD41" s="6" t="n"/>
      <c r="CE41" s="3" t="n"/>
      <c r="CF41" s="6" t="n"/>
      <c r="CG41" s="6" t="n"/>
      <c r="CH41" s="6" t="n"/>
      <c r="CI41" s="6" t="n"/>
      <c r="CJ41" s="3" t="n"/>
      <c r="CK41" s="6" t="n"/>
      <c r="CL41" s="6" t="n"/>
      <c r="CM41" s="6" t="n"/>
      <c r="CN41" s="6" t="n"/>
      <c r="CO41" s="3" t="n"/>
      <c r="CP41" s="6" t="n"/>
      <c r="CQ41" s="6" t="n"/>
      <c r="CR41" s="6" t="n"/>
      <c r="CS41" s="6" t="n"/>
      <c r="CT41" s="3" t="n"/>
      <c r="CU41" s="6" t="n"/>
      <c r="CV41" s="6" t="n"/>
      <c r="CW41" s="6" t="n"/>
      <c r="CX41" s="6" t="n"/>
      <c r="CY41" s="3" t="n"/>
    </row>
    <row r="42" hidden="1" outlineLevel="1">
      <c r="C42" s="32" t="inlineStr">
        <is>
          <t>%CDI</t>
        </is>
      </c>
      <c r="D42" s="6" t="n"/>
      <c r="E42" s="6" t="n"/>
      <c r="F42" s="6" t="n"/>
      <c r="G42" s="6" t="n"/>
      <c r="H42" s="3" t="n"/>
      <c r="I42" s="6" t="n"/>
      <c r="J42" s="6" t="n"/>
      <c r="K42" s="6" t="n"/>
      <c r="L42" s="6" t="n"/>
      <c r="M42" s="3" t="n"/>
      <c r="N42" s="6" t="n"/>
      <c r="O42" s="6" t="n"/>
      <c r="P42" s="6" t="n"/>
      <c r="Q42" s="6" t="n"/>
      <c r="R42" s="3" t="n"/>
      <c r="S42" s="6" t="n"/>
      <c r="T42" s="6" t="n"/>
      <c r="U42" s="6" t="n"/>
      <c r="V42" s="6" t="n"/>
      <c r="W42" s="3" t="n"/>
      <c r="X42" s="6" t="n"/>
      <c r="Y42" s="6" t="n"/>
      <c r="Z42" s="6" t="n"/>
      <c r="AA42" s="6" t="n"/>
      <c r="AB42" s="3" t="n"/>
      <c r="AC42" s="6" t="n"/>
      <c r="AD42" s="6" t="n"/>
      <c r="AE42" s="6" t="n"/>
      <c r="AF42" s="6" t="n"/>
      <c r="AG42" s="3" t="n"/>
      <c r="AH42" s="6" t="n"/>
      <c r="AI42" s="6" t="n"/>
      <c r="AJ42" s="6" t="n"/>
      <c r="AK42" s="6" t="n"/>
      <c r="AL42" s="3" t="n"/>
      <c r="AM42" s="6" t="n"/>
      <c r="AN42" s="6" t="n"/>
      <c r="AO42" s="6" t="n"/>
      <c r="AP42" s="6" t="n"/>
      <c r="AQ42" s="3" t="n"/>
      <c r="AR42" s="6" t="n"/>
      <c r="AS42" s="6" t="n"/>
      <c r="AT42" s="6" t="n"/>
      <c r="AU42" s="6" t="n"/>
      <c r="AV42" s="3" t="n"/>
      <c r="AW42" s="6" t="n"/>
      <c r="AX42" s="6" t="n"/>
      <c r="AY42" s="6" t="n"/>
      <c r="AZ42" s="6" t="n"/>
      <c r="BA42" s="3" t="n"/>
      <c r="BB42" s="6" t="n"/>
      <c r="BC42" s="6" t="n"/>
      <c r="BD42" s="6" t="n"/>
      <c r="BE42" s="6" t="n"/>
      <c r="BF42" s="3" t="n"/>
      <c r="BG42" s="6" t="n"/>
      <c r="BH42" s="6" t="n"/>
      <c r="BI42" s="6" t="n"/>
      <c r="BJ42" s="6" t="n"/>
      <c r="BK42" s="3" t="n"/>
      <c r="BL42" s="6" t="n"/>
      <c r="BM42" s="6" t="n"/>
      <c r="BN42" s="6" t="n"/>
      <c r="BO42" s="6" t="n"/>
      <c r="BP42" s="3" t="n"/>
      <c r="BQ42" s="6" t="n"/>
      <c r="BR42" s="6" t="n"/>
      <c r="BS42" s="6" t="n"/>
      <c r="BT42" s="6" t="n"/>
      <c r="BU42" s="3" t="n"/>
      <c r="BV42" s="6" t="n"/>
      <c r="BW42" s="6" t="n"/>
      <c r="BX42" s="6" t="n"/>
      <c r="BY42" s="6" t="n"/>
      <c r="BZ42" s="3" t="n"/>
      <c r="CA42" s="6" t="n"/>
      <c r="CB42" s="6" t="n"/>
      <c r="CC42" s="6" t="n"/>
      <c r="CD42" s="6" t="n"/>
      <c r="CE42" s="3" t="n"/>
      <c r="CF42" s="6" t="n"/>
      <c r="CG42" s="6" t="n"/>
      <c r="CH42" s="6" t="n"/>
      <c r="CI42" s="6" t="n"/>
      <c r="CJ42" s="3" t="n"/>
      <c r="CK42" s="6" t="n"/>
      <c r="CL42" s="6" t="n"/>
      <c r="CM42" s="6" t="n"/>
      <c r="CN42" s="6" t="n"/>
      <c r="CO42" s="3" t="n"/>
      <c r="CP42" s="6" t="n"/>
      <c r="CQ42" s="6" t="n"/>
      <c r="CR42" s="6" t="n"/>
      <c r="CS42" s="6" t="n"/>
      <c r="CT42" s="3" t="n"/>
      <c r="CU42" s="6" t="n"/>
      <c r="CV42" s="6" t="n"/>
      <c r="CW42" s="6" t="n"/>
      <c r="CX42" s="6" t="n"/>
      <c r="CY42" s="3" t="n"/>
    </row>
    <row r="43" hidden="1" outlineLevel="1">
      <c r="C43" s="34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  <c r="CU43" s="3" t="n"/>
      <c r="CV43" s="3" t="n"/>
      <c r="CW43" s="3" t="n"/>
      <c r="CX43" s="3" t="n"/>
      <c r="CY43" s="3" t="n"/>
    </row>
    <row r="44" hidden="1" outlineLevel="1">
      <c r="C44" s="34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  <c r="CU44" s="3" t="n"/>
      <c r="CV44" s="3" t="n"/>
      <c r="CW44" s="3" t="n"/>
      <c r="CX44" s="3" t="n"/>
      <c r="CY44" s="3" t="n"/>
    </row>
    <row r="45" hidden="1" outlineLevel="1">
      <c r="C45" s="34" t="inlineStr">
        <is>
          <t>RECEITA FINANCEIRA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  <c r="CU45" s="3" t="n"/>
      <c r="CV45" s="3" t="n"/>
      <c r="CW45" s="3" t="n"/>
      <c r="CX45" s="3" t="n"/>
      <c r="CY45" s="3" t="n"/>
    </row>
    <row r="46" hidden="1" outlineLevel="1">
      <c r="C46" s="34" t="inlineStr">
        <is>
          <t>DESPESA FINANCEIRA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  <c r="CU46" s="3" t="n"/>
      <c r="CV46" s="3" t="n"/>
      <c r="CW46" s="3" t="n"/>
      <c r="CX46" s="3" t="n"/>
      <c r="CY46" s="3" t="n"/>
    </row>
    <row r="47" hidden="1" outlineLevel="1">
      <c r="C47" s="34" t="inlineStr">
        <is>
          <t>OUTROS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  <c r="CU47" s="3" t="n"/>
      <c r="CV47" s="3" t="n"/>
      <c r="CW47" s="3" t="n"/>
      <c r="CX47" s="3" t="n"/>
      <c r="CY47" s="3" t="n"/>
    </row>
    <row r="48" hidden="1" outlineLevel="1">
      <c r="C48" s="34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  <c r="CU48" s="3" t="n"/>
      <c r="CV48" s="3" t="n"/>
      <c r="CW48" s="3" t="n"/>
      <c r="CX48" s="3" t="n"/>
      <c r="CY48" s="3" t="n"/>
    </row>
    <row r="49" hidden="1" outlineLevel="1">
      <c r="C49" s="34" t="inlineStr">
        <is>
          <t>Cash and equivalents (inc. investment securities)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  <c r="CU49" s="3" t="n"/>
      <c r="CV49" s="3" t="n"/>
      <c r="CW49" s="3" t="n"/>
      <c r="CX49" s="3" t="n"/>
      <c r="CY49" s="3" t="n"/>
    </row>
    <row r="50" hidden="1" outlineLevel="1">
      <c r="C50" s="34" t="inlineStr">
        <is>
          <t>Interest on cash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  <c r="CU50" s="3" t="n"/>
      <c r="CV50" s="3" t="n"/>
      <c r="CW50" s="3" t="n"/>
      <c r="CX50" s="3" t="n"/>
      <c r="CY50" s="3" t="n"/>
    </row>
    <row r="51" hidden="1" outlineLevel="1">
      <c r="C51" s="34" t="inlineStr">
        <is>
          <t>Average interest rate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  <c r="CU51" s="3" t="n"/>
      <c r="CV51" s="3" t="n"/>
      <c r="CW51" s="3" t="n"/>
      <c r="CX51" s="3" t="n"/>
      <c r="CY51" s="3" t="n"/>
    </row>
    <row r="52" hidden="1" outlineLevel="1">
      <c r="C52" s="34" t="inlineStr">
        <is>
          <t>% CDI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3" t="n"/>
      <c r="BW52" s="3" t="n"/>
      <c r="BX52" s="3" t="n"/>
      <c r="BY52" s="3" t="n"/>
      <c r="BZ52" s="3" t="n"/>
      <c r="CA52" s="3" t="n"/>
      <c r="CB52" s="3" t="n"/>
      <c r="CC52" s="3" t="n"/>
      <c r="CD52" s="3" t="n"/>
      <c r="CE52" s="3" t="n"/>
      <c r="CF52" s="3" t="n"/>
      <c r="CG52" s="3" t="n"/>
      <c r="CH52" s="3" t="n"/>
      <c r="CI52" s="3" t="n"/>
      <c r="CJ52" s="3" t="n"/>
      <c r="CK52" s="3" t="n"/>
      <c r="CL52" s="3" t="n"/>
      <c r="CM52" s="3" t="n"/>
      <c r="CN52" s="3" t="n"/>
      <c r="CO52" s="3" t="n"/>
      <c r="CP52" s="3" t="n"/>
      <c r="CQ52" s="3" t="n"/>
      <c r="CR52" s="3" t="n"/>
      <c r="CS52" s="3" t="n"/>
      <c r="CT52" s="3" t="n"/>
      <c r="CU52" s="3" t="n"/>
      <c r="CV52" s="3" t="n"/>
      <c r="CW52" s="3" t="n"/>
      <c r="CX52" s="3" t="n"/>
      <c r="CY52" s="3" t="n"/>
    </row>
    <row r="53" hidden="1" outlineLevel="1">
      <c r="C53" s="34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3" t="n"/>
      <c r="BT53" s="3" t="n"/>
      <c r="BU53" s="3" t="n"/>
      <c r="BV53" s="3" t="n"/>
      <c r="BW53" s="3" t="n"/>
      <c r="BX53" s="3" t="n"/>
      <c r="BY53" s="3" t="n"/>
      <c r="BZ53" s="3" t="n"/>
      <c r="CA53" s="3" t="n"/>
      <c r="CB53" s="3" t="n"/>
      <c r="CC53" s="3" t="n"/>
      <c r="CD53" s="3" t="n"/>
      <c r="CE53" s="3" t="n"/>
      <c r="CF53" s="3" t="n"/>
      <c r="CG53" s="3" t="n"/>
      <c r="CH53" s="3" t="n"/>
      <c r="CI53" s="3" t="n"/>
      <c r="CJ53" s="3" t="n"/>
      <c r="CK53" s="3" t="n"/>
      <c r="CL53" s="3" t="n"/>
      <c r="CM53" s="3" t="n"/>
      <c r="CN53" s="3" t="n"/>
      <c r="CO53" s="3" t="n"/>
      <c r="CP53" s="3" t="n"/>
      <c r="CQ53" s="3" t="n"/>
      <c r="CR53" s="3" t="n"/>
      <c r="CS53" s="3" t="n"/>
      <c r="CT53" s="3" t="n"/>
      <c r="CU53" s="3" t="n"/>
      <c r="CV53" s="3" t="n"/>
      <c r="CW53" s="3" t="n"/>
      <c r="CX53" s="3" t="n"/>
      <c r="CY53" s="3" t="n"/>
    </row>
    <row r="54" hidden="1" outlineLevel="1">
      <c r="C54" s="34" t="inlineStr">
        <is>
          <t>Current portion of long-term debt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  <c r="CU54" s="3" t="n"/>
      <c r="CV54" s="3" t="n"/>
      <c r="CW54" s="3" t="n"/>
      <c r="CX54" s="3" t="n"/>
      <c r="CY54" s="3" t="n"/>
    </row>
    <row r="55" hidden="1" outlineLevel="1">
      <c r="C55" s="34" t="inlineStr">
        <is>
          <t>Short term debt (Revolving credit facility)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  <c r="CU55" s="3" t="n"/>
      <c r="CV55" s="3" t="n"/>
      <c r="CW55" s="3" t="n"/>
      <c r="CX55" s="3" t="n"/>
      <c r="CY55" s="3" t="n"/>
    </row>
    <row r="56" hidden="1" outlineLevel="1">
      <c r="C56" s="34" t="inlineStr">
        <is>
          <t>Long term debt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  <c r="CU56" s="3" t="n"/>
      <c r="CV56" s="3" t="n"/>
      <c r="CW56" s="3" t="n"/>
      <c r="CX56" s="3" t="n"/>
      <c r="CY56" s="3" t="n"/>
    </row>
    <row r="57" hidden="1" outlineLevel="1">
      <c r="C57" s="34" t="inlineStr">
        <is>
          <t>Convertible debt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  <c r="CU57" s="3" t="n"/>
      <c r="CV57" s="3" t="n"/>
      <c r="CW57" s="3" t="n"/>
      <c r="CX57" s="3" t="n"/>
      <c r="CY57" s="3" t="n"/>
    </row>
    <row r="58" hidden="1" outlineLevel="1">
      <c r="C58" s="34" t="inlineStr">
        <is>
          <t>Total debt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  <c r="CU58" s="3" t="n"/>
      <c r="CV58" s="3" t="n"/>
      <c r="CW58" s="3" t="n"/>
      <c r="CX58" s="3" t="n"/>
      <c r="CY58" s="3" t="n"/>
    </row>
    <row r="59" hidden="1" outlineLevel="1">
      <c r="C59" s="34" t="inlineStr">
        <is>
          <t>Interest expense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  <c r="CU59" s="3" t="n"/>
      <c r="CV59" s="3" t="n"/>
      <c r="CW59" s="3" t="n"/>
      <c r="CX59" s="3" t="n"/>
      <c r="CY59" s="3" t="n"/>
    </row>
    <row r="60" hidden="1" outlineLevel="1">
      <c r="C60" s="34" t="inlineStr">
        <is>
          <t>Average interest rate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  <c r="CU60" s="3" t="n"/>
      <c r="CV60" s="3" t="n"/>
      <c r="CW60" s="3" t="n"/>
      <c r="CX60" s="3" t="n"/>
      <c r="CY60" s="3" t="n"/>
    </row>
    <row r="61" hidden="1" outlineLevel="1">
      <c r="C61" s="34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  <c r="CU61" s="3" t="n"/>
      <c r="CV61" s="3" t="n"/>
      <c r="CW61" s="3" t="n"/>
      <c r="CX61" s="3" t="n"/>
      <c r="CY61" s="3" t="n"/>
    </row>
    <row r="62" hidden="1" outlineLevel="1">
      <c r="C62" s="34" t="inlineStr">
        <is>
          <t>Stake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  <c r="CU62" s="3" t="n"/>
      <c r="CV62" s="3" t="n"/>
      <c r="CW62" s="3" t="n"/>
      <c r="CX62" s="3" t="n"/>
      <c r="CY62" s="3" t="n"/>
    </row>
    <row r="63" hidden="1" outlineLevel="1">
      <c r="C63" s="34" t="inlineStr">
        <is>
          <t>PRE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  <c r="CU63" s="3" t="n"/>
      <c r="CV63" s="3" t="n"/>
      <c r="CW63" s="3" t="n"/>
      <c r="CX63" s="3" t="n"/>
      <c r="CY63" s="3" t="n"/>
    </row>
    <row r="64" hidden="1" outlineLevel="1">
      <c r="C64" s="34" t="inlineStr">
        <is>
          <t>CDI+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  <c r="CU64" s="3" t="n"/>
      <c r="CV64" s="3" t="n"/>
      <c r="CW64" s="3" t="n"/>
      <c r="CX64" s="3" t="n"/>
      <c r="CY64" s="3" t="n"/>
    </row>
    <row r="65" hidden="1" outlineLevel="1">
      <c r="C65" s="34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  <c r="CU65" s="3" t="n"/>
      <c r="CV65" s="3" t="n"/>
      <c r="CW65" s="3" t="n"/>
      <c r="CX65" s="3" t="n"/>
      <c r="CY65" s="3" t="n"/>
    </row>
    <row r="66" hidden="1" outlineLevel="1">
      <c r="C66" s="34" t="inlineStr">
        <is>
          <t>Spread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  <c r="CU66" s="3" t="n"/>
      <c r="CV66" s="3" t="n"/>
      <c r="CW66" s="3" t="n"/>
      <c r="CX66" s="3" t="n"/>
      <c r="CY66" s="3" t="n"/>
    </row>
    <row r="67" hidden="1" outlineLevel="1">
      <c r="C67" s="34" t="inlineStr">
        <is>
          <t>PRE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  <c r="CU67" s="3" t="n"/>
      <c r="CV67" s="3" t="n"/>
      <c r="CW67" s="3" t="n"/>
      <c r="CX67" s="3" t="n"/>
      <c r="CY67" s="3" t="n"/>
    </row>
    <row r="68" hidden="1" outlineLevel="1">
      <c r="C68" s="34" t="inlineStr">
        <is>
          <t>CDI+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  <c r="CU68" s="3" t="n"/>
      <c r="CV68" s="3" t="n"/>
      <c r="CW68" s="3" t="n"/>
      <c r="CX68" s="3" t="n"/>
      <c r="CY68" s="3" t="n"/>
    </row>
    <row r="69" hidden="1" outlineLevel="1">
      <c r="C69" s="34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  <c r="CU69" s="3" t="n"/>
      <c r="CV69" s="3" t="n"/>
      <c r="CW69" s="3" t="n"/>
      <c r="CX69" s="3" t="n"/>
      <c r="CY69" s="3" t="n"/>
    </row>
    <row r="70" hidden="1" outlineLevel="1">
      <c r="C70" s="34" t="inlineStr">
        <is>
          <t>RECEITAS FINANCEIRAS - Rendimentos de aplicações financeiras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  <c r="CU70" s="3" t="n"/>
      <c r="CV70" s="3" t="n"/>
      <c r="CW70" s="3" t="n"/>
      <c r="CX70" s="3" t="n"/>
      <c r="CY70" s="3" t="n"/>
    </row>
    <row r="71" hidden="1" outlineLevel="1">
      <c r="C71" s="34" t="inlineStr">
        <is>
          <t>RECEITAS FINANCEIRAS - Variação cambial ativa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  <c r="CU71" s="3" t="n"/>
      <c r="CV71" s="3" t="n"/>
      <c r="CW71" s="3" t="n"/>
      <c r="CX71" s="3" t="n"/>
      <c r="CY71" s="3" t="n"/>
    </row>
    <row r="72" hidden="1" outlineLevel="1">
      <c r="C72" s="34" t="inlineStr">
        <is>
          <t>RECEITAS FINANCEIRAS - Atualização de contas a pagar por aquisição de empresas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  <c r="CU72" s="3" t="n"/>
      <c r="CV72" s="3" t="n"/>
      <c r="CW72" s="3" t="n"/>
      <c r="CX72" s="3" t="n"/>
      <c r="CY72" s="3" t="n"/>
    </row>
    <row r="73" hidden="1" outlineLevel="1">
      <c r="C73" s="34" t="inlineStr">
        <is>
          <t>RECEITAS FINANCEIRAS - Resultado positivo com instrumentos derivativos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  <c r="CU73" s="3" t="n"/>
      <c r="CV73" s="3" t="n"/>
      <c r="CW73" s="3" t="n"/>
      <c r="CX73" s="3" t="n"/>
      <c r="CY73" s="3" t="n"/>
    </row>
    <row r="74" hidden="1" outlineLevel="1">
      <c r="C74" s="34" t="inlineStr">
        <is>
          <t>RECEITAS FINANCEIRAS - Descontos obtidos de fornecedores por antecipação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  <c r="CU74" s="3" t="n"/>
      <c r="CV74" s="3" t="n"/>
      <c r="CW74" s="3" t="n"/>
      <c r="CX74" s="3" t="n"/>
      <c r="CY74" s="3" t="n"/>
    </row>
    <row r="75" hidden="1" outlineLevel="1">
      <c r="C75" s="34" t="inlineStr">
        <is>
          <t>RECEITAS FINANCEIRAS - Atualização monetária sobre Exclusão ICMS da base de PIS/COFINS (nota explicativa nº 7)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  <c r="CU75" s="3" t="n"/>
      <c r="CV75" s="3" t="n"/>
      <c r="CW75" s="3" t="n"/>
      <c r="CX75" s="3" t="n"/>
      <c r="CY75" s="3" t="n"/>
    </row>
    <row r="76" hidden="1" outlineLevel="1">
      <c r="C76" s="34" t="inlineStr">
        <is>
          <t>RECEITAS FINANCEIRAS - Outras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  <c r="CU76" s="3" t="n"/>
      <c r="CV76" s="3" t="n"/>
      <c r="CW76" s="3" t="n"/>
      <c r="CX76" s="3" t="n"/>
      <c r="CY76" s="3" t="n"/>
    </row>
    <row r="77" hidden="1" outlineLevel="1">
      <c r="C77" s="34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  <c r="CU77" s="3" t="n"/>
      <c r="CV77" s="3" t="n"/>
      <c r="CW77" s="3" t="n"/>
      <c r="CX77" s="3" t="n"/>
      <c r="CY77" s="3" t="n"/>
    </row>
    <row r="78" hidden="1" outlineLevel="1">
      <c r="C78" s="34" t="inlineStr">
        <is>
          <t>DESPESAS FINANCEIRAS - Encargos sobre empréstimos, financiamentos e debêntures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3" t="n"/>
      <c r="CF78" s="3" t="n"/>
      <c r="CG78" s="3" t="n"/>
      <c r="CH78" s="3" t="n"/>
      <c r="CI78" s="3" t="n"/>
      <c r="CJ78" s="3" t="n"/>
      <c r="CK78" s="3" t="n"/>
      <c r="CL78" s="3" t="n"/>
      <c r="CM78" s="3" t="n"/>
      <c r="CN78" s="3" t="n"/>
      <c r="CO78" s="3" t="n"/>
      <c r="CP78" s="3" t="n"/>
      <c r="CQ78" s="3" t="n"/>
      <c r="CR78" s="3" t="n"/>
      <c r="CS78" s="3" t="n"/>
      <c r="CT78" s="3" t="n"/>
      <c r="CU78" s="3" t="n"/>
      <c r="CV78" s="3" t="n"/>
      <c r="CW78" s="3" t="n"/>
      <c r="CX78" s="3" t="n"/>
      <c r="CY78" s="3" t="n"/>
    </row>
    <row r="79" hidden="1" outlineLevel="1">
      <c r="C79" s="34" t="inlineStr">
        <is>
          <t>DESPESAS FINANCEIRAS - Variação cambial passiva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  <c r="CI79" s="3" t="n"/>
      <c r="CJ79" s="3" t="n"/>
      <c r="CK79" s="3" t="n"/>
      <c r="CL79" s="3" t="n"/>
      <c r="CM79" s="3" t="n"/>
      <c r="CN79" s="3" t="n"/>
      <c r="CO79" s="3" t="n"/>
      <c r="CP79" s="3" t="n"/>
      <c r="CQ79" s="3" t="n"/>
      <c r="CR79" s="3" t="n"/>
      <c r="CS79" s="3" t="n"/>
      <c r="CT79" s="3" t="n"/>
      <c r="CU79" s="3" t="n"/>
      <c r="CV79" s="3" t="n"/>
      <c r="CW79" s="3" t="n"/>
      <c r="CX79" s="3" t="n"/>
      <c r="CY79" s="3" t="n"/>
    </row>
    <row r="80" hidden="1" outlineLevel="1">
      <c r="C80" s="34" t="inlineStr">
        <is>
          <t>DESPESAS FINANCEIRAS - Resultado negativo com instrumentos derivativos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  <c r="CU80" s="3" t="n"/>
      <c r="CV80" s="3" t="n"/>
      <c r="CW80" s="3" t="n"/>
      <c r="CX80" s="3" t="n"/>
      <c r="CY80" s="3" t="n"/>
    </row>
    <row r="81" hidden="1" outlineLevel="1">
      <c r="C81" s="34" t="inlineStr">
        <is>
          <t>DESPESAS FINANCEIRAS - Juros sobre arrendamento - IFRS16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  <c r="CU81" s="3" t="n"/>
      <c r="CV81" s="3" t="n"/>
      <c r="CW81" s="3" t="n"/>
      <c r="CX81" s="3" t="n"/>
      <c r="CY81" s="3" t="n"/>
    </row>
    <row r="82" hidden="1" outlineLevel="1">
      <c r="C82" s="34" t="inlineStr">
        <is>
          <t>DESPESAS FINANCEIRAS - Despesas bancárias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  <c r="CU82" s="3" t="n"/>
      <c r="CV82" s="3" t="n"/>
      <c r="CW82" s="3" t="n"/>
      <c r="CX82" s="3" t="n"/>
      <c r="CY82" s="3" t="n"/>
    </row>
    <row r="83" hidden="1" outlineLevel="1">
      <c r="C83" s="34" t="inlineStr">
        <is>
          <t>DESPESAS FINANCEIRAS - Despesas com obtenção de empréstimos e financiamentos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  <c r="CU83" s="3" t="n"/>
      <c r="CV83" s="3" t="n"/>
      <c r="CW83" s="3" t="n"/>
      <c r="CX83" s="3" t="n"/>
      <c r="CY83" s="3" t="n"/>
    </row>
    <row r="84" hidden="1" outlineLevel="1">
      <c r="C84" s="34" t="inlineStr">
        <is>
          <t>DESPESAS FINANCEIRAS - Atualização de contas a pagar por aquisição de empresas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  <c r="CU84" s="3" t="n"/>
      <c r="CV84" s="3" t="n"/>
      <c r="CW84" s="3" t="n"/>
      <c r="CX84" s="3" t="n"/>
      <c r="CY84" s="3" t="n"/>
    </row>
    <row r="85" hidden="1" outlineLevel="1">
      <c r="C85" s="34" t="inlineStr">
        <is>
          <t>DESPESAS FINANCEIRAS - Outras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  <c r="CU85" s="3" t="n"/>
      <c r="CV85" s="3" t="n"/>
      <c r="CW85" s="3" t="n"/>
      <c r="CX85" s="3" t="n"/>
      <c r="CY85" s="3" t="n"/>
    </row>
    <row r="86" hidden="1" outlineLevel="1">
      <c r="C86" s="34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  <c r="CU86" s="3" t="n"/>
      <c r="CV86" s="3" t="n"/>
      <c r="CW86" s="3" t="n"/>
      <c r="CX86" s="3" t="n"/>
      <c r="CY86" s="3" t="n"/>
    </row>
    <row r="87" hidden="1" outlineLevel="1">
      <c r="C87" s="34" t="inlineStr">
        <is>
          <t>CHECK [EX IFRS-16]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  <c r="CU87" s="3" t="n"/>
      <c r="CV87" s="3" t="n"/>
      <c r="CW87" s="3" t="n"/>
      <c r="CX87" s="3" t="n"/>
      <c r="CY87" s="3" t="n"/>
    </row>
    <row r="88" hidden="1" outlineLevel="1">
      <c r="C88" s="34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  <c r="CU88" s="3" t="n"/>
      <c r="CV88" s="3" t="n"/>
      <c r="CW88" s="3" t="n"/>
      <c r="CX88" s="3" t="n"/>
      <c r="CY88" s="3" t="n"/>
    </row>
    <row r="89" collapsed="1">
      <c r="C89" s="26" t="inlineStr">
        <is>
          <t>Nonoperating Income / (Loss)</t>
        </is>
      </c>
      <c r="D89" s="25">
        <f>INDEX('Inputs (2)'!$D$9:$AL$9,MATCH(D$7,'Inputs (2)'!$D$2:$AL$2,0))</f>
        <v>30</v>
      </c>
      <c r="E89" s="25">
        <f>INDEX('Inputs (2)'!$D$9:$AL$9,MATCH(E$7,'Inputs (2)'!$D$2:$AL$2,0))</f>
        <v>12</v>
      </c>
      <c r="F89" s="25">
        <f>INDEX('Inputs (2)'!$D$9:$AL$9,MATCH(F$7,'Inputs (2)'!$D$2:$AL$2,0))</f>
        <v>3</v>
      </c>
      <c r="G89" s="25">
        <f>INDEX('Inputs (2)'!$D$9:$AL$9,MATCH(G$7,'Inputs (2)'!$D$2:$AL$2,0))</f>
        <v>16</v>
      </c>
      <c r="H89" s="3">
        <f>SUM(D89:G89)</f>
        <v>61</v>
      </c>
      <c r="I89" s="25">
        <f>INDEX('Inputs (2)'!$D$9:$AL$9,MATCH(I$7,'Inputs (2)'!$D$2:$AL$2,0))</f>
        <v>141</v>
      </c>
      <c r="J89" s="25">
        <f>INDEX('Inputs (2)'!$D$9:$AL$9,MATCH(J$7,'Inputs (2)'!$D$2:$AL$2,0))</f>
        <v>10</v>
      </c>
      <c r="K89" s="25">
        <f>INDEX('Inputs (2)'!$D$9:$AL$9,MATCH(K$7,'Inputs (2)'!$D$2:$AL$2,0))</f>
        <v>29</v>
      </c>
      <c r="L89" s="25">
        <f>INDEX('Inputs (2)'!$D$9:$AL$9,MATCH(L$7,'Inputs (2)'!$D$2:$AL$2,0))</f>
        <v>-44</v>
      </c>
      <c r="M89" s="3">
        <f>SUM(I89:L89)</f>
        <v>136</v>
      </c>
      <c r="N89" s="25">
        <f>INDEX('Inputs (2)'!$D$9:$AL$9,MATCH(N$7,'Inputs (2)'!$D$2:$AL$2,0))</f>
        <v>5</v>
      </c>
      <c r="O89" s="25">
        <f>INDEX('Inputs (2)'!$D$9:$AL$9,MATCH(O$7,'Inputs (2)'!$D$2:$AL$2,0))</f>
        <v>41</v>
      </c>
      <c r="P89" s="25">
        <f>INDEX('Inputs (2)'!$D$9:$AL$9,MATCH(P$7,'Inputs (2)'!$D$2:$AL$2,0))</f>
        <v>77</v>
      </c>
      <c r="Q89" s="25">
        <f>INDEX('Inputs (2)'!$D$9:$AL$9,MATCH(Q$7,'Inputs (2)'!$D$2:$AL$2,0))</f>
        <v>96</v>
      </c>
      <c r="R89" s="3">
        <f>SUM(N89:Q89)</f>
        <v>219</v>
      </c>
      <c r="S89" s="25">
        <f>INDEX('Inputs (2)'!$D$9:$AL$9,MATCH(S$7,'Inputs (2)'!$D$2:$AL$2,0))</f>
        <v>135</v>
      </c>
      <c r="T89" s="25">
        <f>INDEX('Inputs (2)'!$D$9:$AL$9,MATCH(T$7,'Inputs (2)'!$D$2:$AL$2,0))</f>
        <v>246</v>
      </c>
      <c r="U89" s="25">
        <f>INDEX('Inputs (2)'!$D$9:$AL$9,MATCH(U$7,'Inputs (2)'!$D$2:$AL$2,0))</f>
        <v>168</v>
      </c>
      <c r="V89" s="25">
        <f>INDEX('Inputs (2)'!$D$9:$AL$9,MATCH(V$7,'Inputs (2)'!$D$2:$AL$2,0))</f>
        <v>554</v>
      </c>
      <c r="W89" s="3">
        <f>SUM(S89:V89)</f>
        <v>1103</v>
      </c>
      <c r="X89" s="25">
        <f>INDEX('Inputs (2)'!$D$9:$AL$9,MATCH(X$7,'Inputs (2)'!$D$2:$AL$2,0))</f>
        <v>434</v>
      </c>
      <c r="Y89" s="25">
        <f>INDEX('Inputs (2)'!$D$9:$AL$9,MATCH(Y$7,'Inputs (2)'!$D$2:$AL$2,0))</f>
        <v>633</v>
      </c>
      <c r="Z89" s="25">
        <f>INDEX('Inputs (2)'!$D$9:$AL$9,MATCH(Z$7,'Inputs (2)'!$D$2:$AL$2,0))</f>
        <v>508</v>
      </c>
      <c r="AA89" s="25">
        <f>INDEX('Inputs (2)'!$D$9:$AL$9,MATCH(AA$7,'Inputs (2)'!$D$2:$AL$2,0))</f>
        <v>1245</v>
      </c>
      <c r="AB89" s="3">
        <f>SUM(X89:AA89)</f>
        <v>2820</v>
      </c>
      <c r="AC89" s="25">
        <f>INDEX('Inputs (2)'!$D$9:$AL$9,MATCH(AC$7,'Inputs (2)'!$D$2:$AL$2,0))</f>
        <v>335</v>
      </c>
      <c r="AD89" s="25">
        <f>INDEX('Inputs (2)'!$D$9:$AL$9,MATCH(AD$7,'Inputs (2)'!$D$2:$AL$2,0))</f>
        <v>2828</v>
      </c>
      <c r="AE89" s="25">
        <f>INDEX('Inputs (2)'!$D$9:$AL$9,MATCH(AE$7,'Inputs (2)'!$D$2:$AL$2,0))</f>
        <v>1987</v>
      </c>
      <c r="AF89" s="25">
        <f>INDEX('Inputs (2)'!$D$9:$AL$9,MATCH(AF$7,'Inputs (2)'!$D$2:$AL$2,0))</f>
        <v>6172</v>
      </c>
      <c r="AG89" s="3">
        <f>SUM(AC89:AF89)</f>
        <v>11322</v>
      </c>
      <c r="AH89" s="3">
        <f>AF89</f>
        <v>6172</v>
      </c>
      <c r="AI89" s="3">
        <f>AG89</f>
        <v>11322</v>
      </c>
      <c r="AJ89" s="3">
        <f>AH89</f>
        <v>6172</v>
      </c>
      <c r="AK89" s="3">
        <f>AI89</f>
        <v>11322</v>
      </c>
      <c r="AL89" s="3">
        <f>SUM(AH89:AK89)</f>
        <v>34988</v>
      </c>
      <c r="AM89" s="3">
        <f>AK89</f>
        <v>11322</v>
      </c>
      <c r="AN89" s="3">
        <f>AL89</f>
        <v>34988</v>
      </c>
      <c r="AO89" s="3">
        <f>AM89</f>
        <v>11322</v>
      </c>
      <c r="AP89" s="3">
        <f>AN89</f>
        <v>34988</v>
      </c>
      <c r="AQ89" s="3">
        <f>SUM(AM89:AP89)</f>
        <v>92620</v>
      </c>
      <c r="AR89" s="3">
        <f>AP89</f>
        <v>34988</v>
      </c>
      <c r="AS89" s="3">
        <f>AQ89</f>
        <v>92620</v>
      </c>
      <c r="AT89" s="3">
        <f>AR89</f>
        <v>34988</v>
      </c>
      <c r="AU89" s="3">
        <f>AS89</f>
        <v>92620</v>
      </c>
      <c r="AV89" s="3">
        <f>SUM(AR89:AU89)</f>
        <v>255216</v>
      </c>
      <c r="AW89" s="3">
        <f>AU89</f>
        <v>92620</v>
      </c>
      <c r="AX89" s="3">
        <f>AV89</f>
        <v>255216</v>
      </c>
      <c r="AY89" s="3">
        <f>AW89</f>
        <v>92620</v>
      </c>
      <c r="AZ89" s="3">
        <f>AX89</f>
        <v>255216</v>
      </c>
      <c r="BA89" s="3">
        <f>SUM(AW89:AZ89)</f>
        <v>695672</v>
      </c>
      <c r="BB89" s="3">
        <f>AZ89</f>
        <v>255216</v>
      </c>
      <c r="BC89" s="3">
        <f>BA89</f>
        <v>695672</v>
      </c>
      <c r="BD89" s="3">
        <f>BB89</f>
        <v>255216</v>
      </c>
      <c r="BE89" s="3">
        <f>BC89</f>
        <v>695672</v>
      </c>
      <c r="BF89" s="3">
        <f>SUM(BB89:BE89)</f>
        <v>1901776</v>
      </c>
      <c r="BG89" s="3">
        <f>BE89</f>
        <v>695672</v>
      </c>
      <c r="BH89" s="3">
        <f>BF89</f>
        <v>1901776</v>
      </c>
      <c r="BI89" s="3">
        <f>BG89</f>
        <v>695672</v>
      </c>
      <c r="BJ89" s="3">
        <f>BH89</f>
        <v>1901776</v>
      </c>
      <c r="BK89" s="3">
        <f>SUM(BG89:BJ89)</f>
        <v>5194896</v>
      </c>
      <c r="BL89" s="3">
        <f>BJ89</f>
        <v>1901776</v>
      </c>
      <c r="BM89" s="3">
        <f>BK89</f>
        <v>5194896</v>
      </c>
      <c r="BN89" s="3">
        <f>BL89</f>
        <v>1901776</v>
      </c>
      <c r="BO89" s="3">
        <f>BM89</f>
        <v>5194896</v>
      </c>
      <c r="BP89" s="3">
        <f>SUM(BL89:BO89)</f>
        <v>14193344</v>
      </c>
      <c r="BQ89" s="3">
        <f>BO89</f>
        <v>5194896</v>
      </c>
      <c r="BR89" s="3">
        <f>BP89</f>
        <v>14193344</v>
      </c>
      <c r="BS89" s="3">
        <f>BQ89</f>
        <v>5194896</v>
      </c>
      <c r="BT89" s="3">
        <f>BR89</f>
        <v>14193344</v>
      </c>
      <c r="BU89" s="3">
        <f>SUM(BQ89:BT89)</f>
        <v>38776480</v>
      </c>
      <c r="BV89" s="3">
        <f>BT89</f>
        <v>14193344</v>
      </c>
      <c r="BW89" s="3">
        <f>BU89</f>
        <v>38776480</v>
      </c>
      <c r="BX89" s="3">
        <f>BV89</f>
        <v>14193344</v>
      </c>
      <c r="BY89" s="3">
        <f>BW89</f>
        <v>38776480</v>
      </c>
      <c r="BZ89" s="3">
        <f>SUM(BV89:BY89)</f>
        <v>105939648</v>
      </c>
      <c r="CA89" s="3">
        <f>BY89</f>
        <v>38776480</v>
      </c>
      <c r="CB89" s="3">
        <f>BZ89</f>
        <v>105939648</v>
      </c>
      <c r="CC89" s="3">
        <f>CA89</f>
        <v>38776480</v>
      </c>
      <c r="CD89" s="3">
        <f>CB89</f>
        <v>105939648</v>
      </c>
      <c r="CE89" s="3">
        <f>SUM(CA89:CD89)</f>
        <v>289432256</v>
      </c>
      <c r="CF89" s="3">
        <f>CD89</f>
        <v>105939648</v>
      </c>
      <c r="CG89" s="3">
        <f>CE89</f>
        <v>289432256</v>
      </c>
      <c r="CH89" s="3">
        <f>CF89</f>
        <v>105939648</v>
      </c>
      <c r="CI89" s="3">
        <f>CG89</f>
        <v>289432256</v>
      </c>
      <c r="CJ89" s="3">
        <f>SUM(CF89:CI89)</f>
        <v>790743808</v>
      </c>
      <c r="CK89" s="3">
        <f>CI89</f>
        <v>289432256</v>
      </c>
      <c r="CL89" s="3">
        <f>CJ89</f>
        <v>790743808</v>
      </c>
      <c r="CM89" s="3">
        <f>CK89</f>
        <v>289432256</v>
      </c>
      <c r="CN89" s="3">
        <f>CL89</f>
        <v>790743808</v>
      </c>
      <c r="CO89" s="3">
        <f>SUM(CK89:CN89)</f>
        <v>2160352128</v>
      </c>
      <c r="CP89" s="3">
        <f>CN89</f>
        <v>790743808</v>
      </c>
      <c r="CQ89" s="3">
        <f>CO89</f>
        <v>2160352128</v>
      </c>
      <c r="CR89" s="3">
        <f>CP89</f>
        <v>790743808</v>
      </c>
      <c r="CS89" s="3">
        <f>CQ89</f>
        <v>2160352128</v>
      </c>
      <c r="CT89" s="3">
        <f>SUM(CP89:CS89)</f>
        <v>5902191872</v>
      </c>
      <c r="CU89" s="3">
        <f>CS89</f>
        <v>2160352128</v>
      </c>
      <c r="CV89" s="3">
        <f>CT89</f>
        <v>5902191872</v>
      </c>
      <c r="CW89" s="3">
        <f>CU89</f>
        <v>2160352128</v>
      </c>
      <c r="CX89" s="3">
        <f>CV89</f>
        <v>5902191872</v>
      </c>
      <c r="CY89" s="3">
        <f>SUM(CU89:CX89)</f>
        <v>16125088000</v>
      </c>
    </row>
    <row r="90" hidden="1" outlineLevel="1">
      <c r="C90" s="34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  <c r="CU90" s="3" t="n"/>
      <c r="CV90" s="3" t="n"/>
      <c r="CW90" s="3" t="n"/>
      <c r="CX90" s="3" t="n"/>
      <c r="CY90" s="3" t="n"/>
    </row>
    <row r="91" hidden="1" outlineLevel="1">
      <c r="C91" s="32" t="inlineStr">
        <is>
          <t>Resultado Não Recorrente</t>
        </is>
      </c>
      <c r="D91" s="6" t="n"/>
      <c r="E91" s="6" t="n"/>
      <c r="F91" s="6" t="n"/>
      <c r="G91" s="6" t="n"/>
      <c r="H91" s="3" t="n"/>
      <c r="I91" s="6" t="n"/>
      <c r="J91" s="6" t="n"/>
      <c r="K91" s="6" t="n"/>
      <c r="L91" s="6" t="n"/>
      <c r="M91" s="3" t="n"/>
      <c r="N91" s="6" t="n"/>
      <c r="O91" s="6" t="n"/>
      <c r="P91" s="6" t="n"/>
      <c r="Q91" s="6" t="n"/>
      <c r="R91" s="3" t="n"/>
      <c r="S91" s="6" t="n"/>
      <c r="T91" s="6" t="n"/>
      <c r="U91" s="6" t="n"/>
      <c r="V91" s="6" t="n"/>
      <c r="W91" s="3" t="n"/>
      <c r="X91" s="6" t="n"/>
      <c r="Y91" s="6" t="n"/>
      <c r="Z91" s="6" t="n"/>
      <c r="AA91" s="6" t="n"/>
      <c r="AB91" s="3" t="n"/>
      <c r="AC91" s="6" t="n"/>
      <c r="AD91" s="6" t="n"/>
      <c r="AE91" s="6" t="n"/>
      <c r="AF91" s="6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  <c r="CU91" s="3" t="n"/>
      <c r="CV91" s="3" t="n"/>
      <c r="CW91" s="3" t="n"/>
      <c r="CX91" s="3" t="n"/>
      <c r="CY91" s="3" t="n"/>
    </row>
    <row r="92" hidden="1" outlineLevel="1">
      <c r="C92" s="32" t="inlineStr">
        <is>
          <t>Plano de Opção de Compra de Ações</t>
        </is>
      </c>
      <c r="D92" s="6" t="n"/>
      <c r="E92" s="6" t="n"/>
      <c r="F92" s="6" t="n"/>
      <c r="G92" s="6" t="n"/>
      <c r="H92" s="3" t="n"/>
      <c r="I92" s="6" t="n"/>
      <c r="J92" s="6" t="n"/>
      <c r="K92" s="6" t="n"/>
      <c r="L92" s="6" t="n"/>
      <c r="M92" s="3" t="n"/>
      <c r="N92" s="6" t="n"/>
      <c r="O92" s="6" t="n"/>
      <c r="P92" s="6" t="n"/>
      <c r="Q92" s="6" t="n"/>
      <c r="R92" s="3" t="n"/>
      <c r="S92" s="6" t="n"/>
      <c r="T92" s="6" t="n"/>
      <c r="U92" s="6" t="n"/>
      <c r="V92" s="6" t="n"/>
      <c r="W92" s="3" t="n"/>
      <c r="X92" s="6" t="n"/>
      <c r="Y92" s="6" t="n"/>
      <c r="Z92" s="6" t="n"/>
      <c r="AA92" s="6" t="n"/>
      <c r="AB92" s="3" t="n"/>
      <c r="AC92" s="6" t="n"/>
      <c r="AD92" s="6" t="n"/>
      <c r="AE92" s="6" t="n"/>
      <c r="AF92" s="6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</row>
    <row r="93" hidden="1" outlineLevel="1">
      <c r="C93" s="32" t="inlineStr">
        <is>
          <t>Baixa Imobilizado</t>
        </is>
      </c>
      <c r="D93" s="6" t="n"/>
      <c r="E93" s="6" t="n"/>
      <c r="F93" s="6" t="n"/>
      <c r="G93" s="6" t="n"/>
      <c r="H93" s="3" t="n"/>
      <c r="I93" s="6" t="n"/>
      <c r="J93" s="6" t="n"/>
      <c r="K93" s="6" t="n"/>
      <c r="L93" s="6" t="n"/>
      <c r="M93" s="3" t="n"/>
      <c r="N93" s="6" t="n"/>
      <c r="O93" s="6" t="n"/>
      <c r="P93" s="6" t="n"/>
      <c r="Q93" s="6" t="n"/>
      <c r="R93" s="3" t="n"/>
      <c r="S93" s="6" t="n"/>
      <c r="T93" s="6" t="n"/>
      <c r="U93" s="6" t="n"/>
      <c r="V93" s="6" t="n"/>
      <c r="W93" s="3" t="n"/>
      <c r="X93" s="6" t="n"/>
      <c r="Y93" s="6" t="n"/>
      <c r="Z93" s="6" t="n"/>
      <c r="AA93" s="6" t="n"/>
      <c r="AB93" s="3" t="n"/>
      <c r="AC93" s="6" t="n"/>
      <c r="AD93" s="6" t="n"/>
      <c r="AE93" s="6" t="n"/>
      <c r="AF93" s="6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  <c r="CU93" s="3" t="n"/>
      <c r="CV93" s="3" t="n"/>
      <c r="CW93" s="3" t="n"/>
      <c r="CX93" s="3" t="n"/>
      <c r="CY93" s="3" t="n"/>
    </row>
    <row r="94" hidden="1" outlineLevel="1">
      <c r="C94" s="34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  <c r="CU94" s="3" t="n"/>
      <c r="CV94" s="3" t="n"/>
      <c r="CW94" s="3" t="n"/>
      <c r="CX94" s="3" t="n"/>
      <c r="CY94" s="3" t="n"/>
    </row>
    <row r="95" hidden="1" outlineLevel="1">
      <c r="C95" s="34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  <c r="CU95" s="3" t="n"/>
      <c r="CV95" s="3" t="n"/>
      <c r="CW95" s="3" t="n"/>
      <c r="CX95" s="3" t="n"/>
      <c r="CY95" s="3" t="n"/>
    </row>
    <row r="96" collapsed="1" customFormat="1" s="17">
      <c r="A96" s="13" t="n"/>
      <c r="B96" s="1" t="n"/>
      <c r="C96" s="14" t="inlineStr">
        <is>
          <t>Pretax Income - EBT</t>
        </is>
      </c>
      <c r="D96" s="16">
        <f>SUM(D39,D40,D89)</f>
        <v>981</v>
      </c>
      <c r="E96" s="16">
        <f>SUM(E39,E40,E89)</f>
        <v>609</v>
      </c>
      <c r="F96" s="16">
        <f>SUM(F39,F40,F89)</f>
        <v>1348</v>
      </c>
      <c r="G96" s="16">
        <f>SUM(G39,G40,G89)</f>
        <v>1471</v>
      </c>
      <c r="H96" s="16">
        <f>SUM(D96:G96)</f>
        <v>4409</v>
      </c>
      <c r="I96" s="16">
        <f>SUM(I39,I40,I89)</f>
        <v>2044</v>
      </c>
      <c r="J96" s="16">
        <f>SUM(J39,J40,J89)</f>
        <v>2394</v>
      </c>
      <c r="K96" s="16">
        <f>SUM(K39,K40,K89)</f>
        <v>2638</v>
      </c>
      <c r="L96" s="16">
        <f>SUM(L39,L40,L89)</f>
        <v>2865</v>
      </c>
      <c r="M96" s="16">
        <f>SUM(I96:L96)</f>
        <v>9941</v>
      </c>
      <c r="N96" s="16">
        <f>SUM(N39,N40,N89)</f>
        <v>1805</v>
      </c>
      <c r="O96" s="16">
        <f>SUM(O39,O40,O89)</f>
        <v>475</v>
      </c>
      <c r="P96" s="16">
        <f>SUM(P39,P40,P89)</f>
        <v>613</v>
      </c>
      <c r="Q96" s="16">
        <f>SUM(Q39,Q40,Q89)</f>
        <v>1288</v>
      </c>
      <c r="R96" s="16">
        <f>SUM(N96:Q96)</f>
        <v>4181</v>
      </c>
      <c r="S96" s="16">
        <f>SUM(S39,S40,S89)</f>
        <v>2209</v>
      </c>
      <c r="T96" s="16">
        <f>SUM(T39,T40,T89)</f>
        <v>6981</v>
      </c>
      <c r="U96" s="16">
        <f>SUM(U39,U40,U89)</f>
        <v>10522</v>
      </c>
      <c r="V96" s="16">
        <f>SUM(V39,V40,V89)</f>
        <v>14106</v>
      </c>
      <c r="W96" s="16">
        <f>SUM(S96:V96)</f>
        <v>33818</v>
      </c>
      <c r="X96" s="16">
        <f>SUM(X39,X40,X89)</f>
        <v>17279</v>
      </c>
      <c r="Y96" s="16">
        <f>SUM(Y39,Y40,Y89)</f>
        <v>19214</v>
      </c>
      <c r="Z96" s="16">
        <f>SUM(Z39,Z40,Z89)</f>
        <v>22316</v>
      </c>
      <c r="AA96" s="16">
        <f>SUM(AA39,AA40,AA89)</f>
        <v>25217</v>
      </c>
      <c r="AB96" s="16">
        <f>SUM(X96:AA96)</f>
        <v>84026</v>
      </c>
      <c r="AC96" s="16">
        <f>SUM(AC39,AC40,AC89)</f>
        <v>21910</v>
      </c>
      <c r="AD96" s="16">
        <f>SUM(AD39,AD40,AD89)</f>
        <v>31206</v>
      </c>
      <c r="AE96" s="16">
        <f>SUM(AE39,AE40,AE89)</f>
        <v>37936</v>
      </c>
      <c r="AF96" s="16">
        <f>SUM(AF39,AF40,AF89)</f>
        <v>50398</v>
      </c>
      <c r="AG96" s="16">
        <f>SUM(AC96:AF96)</f>
        <v>141450</v>
      </c>
      <c r="AH96" s="16">
        <f>SUM(AH39,AH40,AH89)</f>
        <v>6172</v>
      </c>
      <c r="AI96" s="16">
        <f>SUM(AI39,AI40,AI89)</f>
        <v>11322</v>
      </c>
      <c r="AJ96" s="16">
        <f>SUM(AJ39,AJ40,AJ89)</f>
        <v>6172</v>
      </c>
      <c r="AK96" s="16">
        <f>SUM(AK39,AK40,AK89)</f>
        <v>11322</v>
      </c>
      <c r="AL96" s="16">
        <f>SUM(AH96:AK96)</f>
        <v>34988</v>
      </c>
      <c r="AM96" s="16">
        <f>SUM(AM39,AM40,AM89)</f>
        <v>11322</v>
      </c>
      <c r="AN96" s="16">
        <f>SUM(AN39,AN40,AN89)</f>
        <v>34988</v>
      </c>
      <c r="AO96" s="16">
        <f>SUM(AO39,AO40,AO89)</f>
        <v>11322</v>
      </c>
      <c r="AP96" s="16">
        <f>SUM(AP39,AP40,AP89)</f>
        <v>34988</v>
      </c>
      <c r="AQ96" s="16">
        <f>SUM(AM96:AP96)</f>
        <v>92620</v>
      </c>
      <c r="AR96" s="16">
        <f>SUM(AR39,AR40,AR89)</f>
        <v>34988</v>
      </c>
      <c r="AS96" s="16">
        <f>SUM(AS39,AS40,AS89)</f>
        <v>92620</v>
      </c>
      <c r="AT96" s="16">
        <f>SUM(AT39,AT40,AT89)</f>
        <v>34988</v>
      </c>
      <c r="AU96" s="16">
        <f>SUM(AU39,AU40,AU89)</f>
        <v>92620</v>
      </c>
      <c r="AV96" s="16">
        <f>SUM(AR96:AU96)</f>
        <v>255216</v>
      </c>
      <c r="AW96" s="16">
        <f>SUM(AW39,AW40,AW89)</f>
        <v>92620</v>
      </c>
      <c r="AX96" s="16">
        <f>SUM(AX39,AX40,AX89)</f>
        <v>255216</v>
      </c>
      <c r="AY96" s="16">
        <f>SUM(AY39,AY40,AY89)</f>
        <v>92620</v>
      </c>
      <c r="AZ96" s="16">
        <f>SUM(AZ39,AZ40,AZ89)</f>
        <v>255216</v>
      </c>
      <c r="BA96" s="16">
        <f>SUM(AW96:AZ96)</f>
        <v>695672</v>
      </c>
      <c r="BB96" s="16">
        <f>SUM(BB39,BB40,BB89)</f>
        <v>255216</v>
      </c>
      <c r="BC96" s="16">
        <f>SUM(BC39,BC40,BC89)</f>
        <v>695672</v>
      </c>
      <c r="BD96" s="16">
        <f>SUM(BD39,BD40,BD89)</f>
        <v>255216</v>
      </c>
      <c r="BE96" s="16">
        <f>SUM(BE39,BE40,BE89)</f>
        <v>695672</v>
      </c>
      <c r="BF96" s="16">
        <f>SUM(BB96:BE96)</f>
        <v>1901776</v>
      </c>
      <c r="BG96" s="16">
        <f>SUM(BG39,BG40,BG89)</f>
        <v>695672</v>
      </c>
      <c r="BH96" s="16">
        <f>SUM(BH39,BH40,BH89)</f>
        <v>1901776</v>
      </c>
      <c r="BI96" s="16">
        <f>SUM(BI39,BI40,BI89)</f>
        <v>695672</v>
      </c>
      <c r="BJ96" s="16">
        <f>SUM(BJ39,BJ40,BJ89)</f>
        <v>1901776</v>
      </c>
      <c r="BK96" s="16">
        <f>SUM(BG96:BJ96)</f>
        <v>5194896</v>
      </c>
      <c r="BL96" s="16">
        <f>SUM(BL39,BL40,BL89)</f>
        <v>1901776</v>
      </c>
      <c r="BM96" s="16">
        <f>SUM(BM39,BM40,BM89)</f>
        <v>5194896</v>
      </c>
      <c r="BN96" s="16">
        <f>SUM(BN39,BN40,BN89)</f>
        <v>1901776</v>
      </c>
      <c r="BO96" s="16">
        <f>SUM(BO39,BO40,BO89)</f>
        <v>5194896</v>
      </c>
      <c r="BP96" s="16">
        <f>SUM(BL96:BO96)</f>
        <v>14193344</v>
      </c>
      <c r="BQ96" s="16">
        <f>SUM(BQ39,BQ40,BQ89)</f>
        <v>5194896</v>
      </c>
      <c r="BR96" s="16">
        <f>SUM(BR39,BR40,BR89)</f>
        <v>14193344</v>
      </c>
      <c r="BS96" s="16">
        <f>SUM(BS39,BS40,BS89)</f>
        <v>5194896</v>
      </c>
      <c r="BT96" s="16">
        <f>SUM(BT39,BT40,BT89)</f>
        <v>14193344</v>
      </c>
      <c r="BU96" s="16">
        <f>SUM(BQ96:BT96)</f>
        <v>38776480</v>
      </c>
      <c r="BV96" s="16">
        <f>SUM(BV39,BV40,BV89)</f>
        <v>14193344</v>
      </c>
      <c r="BW96" s="16">
        <f>SUM(BW39,BW40,BW89)</f>
        <v>38776480</v>
      </c>
      <c r="BX96" s="16">
        <f>SUM(BX39,BX40,BX89)</f>
        <v>14193344</v>
      </c>
      <c r="BY96" s="16">
        <f>SUM(BY39,BY40,BY89)</f>
        <v>38776480</v>
      </c>
      <c r="BZ96" s="16">
        <f>SUM(BV96:BY96)</f>
        <v>105939648</v>
      </c>
      <c r="CA96" s="16">
        <f>SUM(CA39,CA40,CA89)</f>
        <v>38776480</v>
      </c>
      <c r="CB96" s="16">
        <f>SUM(CB39,CB40,CB89)</f>
        <v>105939648</v>
      </c>
      <c r="CC96" s="16">
        <f>SUM(CC39,CC40,CC89)</f>
        <v>38776480</v>
      </c>
      <c r="CD96" s="16">
        <f>SUM(CD39,CD40,CD89)</f>
        <v>105939648</v>
      </c>
      <c r="CE96" s="16">
        <f>SUM(CA96:CD96)</f>
        <v>289432256</v>
      </c>
      <c r="CF96" s="16">
        <f>SUM(CF39,CF40,CF89)</f>
        <v>105939648</v>
      </c>
      <c r="CG96" s="16">
        <f>SUM(CG39,CG40,CG89)</f>
        <v>289432256</v>
      </c>
      <c r="CH96" s="16">
        <f>SUM(CH39,CH40,CH89)</f>
        <v>105939648</v>
      </c>
      <c r="CI96" s="16">
        <f>SUM(CI39,CI40,CI89)</f>
        <v>289432256</v>
      </c>
      <c r="CJ96" s="16">
        <f>SUM(CF96:CI96)</f>
        <v>790743808</v>
      </c>
      <c r="CK96" s="16">
        <f>SUM(CK39,CK40,CK89)</f>
        <v>289432256</v>
      </c>
      <c r="CL96" s="16">
        <f>SUM(CL39,CL40,CL89)</f>
        <v>790743808</v>
      </c>
      <c r="CM96" s="16">
        <f>SUM(CM39,CM40,CM89)</f>
        <v>289432256</v>
      </c>
      <c r="CN96" s="16">
        <f>SUM(CN39,CN40,CN89)</f>
        <v>790743808</v>
      </c>
      <c r="CO96" s="16">
        <f>SUM(CK96:CN96)</f>
        <v>2160352128</v>
      </c>
      <c r="CP96" s="16">
        <f>SUM(CP39,CP40,CP89)</f>
        <v>790743808</v>
      </c>
      <c r="CQ96" s="16">
        <f>SUM(CQ39,CQ40,CQ89)</f>
        <v>2160352128</v>
      </c>
      <c r="CR96" s="16">
        <f>SUM(CR39,CR40,CR89)</f>
        <v>790743808</v>
      </c>
      <c r="CS96" s="16">
        <f>SUM(CS39,CS40,CS89)</f>
        <v>2160352128</v>
      </c>
      <c r="CT96" s="16">
        <f>SUM(CP96:CS96)</f>
        <v>5902191872</v>
      </c>
      <c r="CU96" s="16">
        <f>SUM(CU39,CU40,CU89)</f>
        <v>2160352128</v>
      </c>
      <c r="CV96" s="16">
        <f>SUM(CV39,CV40,CV89)</f>
        <v>5902191872</v>
      </c>
      <c r="CW96" s="16">
        <f>SUM(CW39,CW40,CW89)</f>
        <v>2160352128</v>
      </c>
      <c r="CX96" s="16">
        <f>SUM(CX39,CX40,CX89)</f>
        <v>5902191872</v>
      </c>
      <c r="CY96" s="16">
        <f>SUM(CU96:CX96)</f>
        <v>16125088000</v>
      </c>
    </row>
    <row r="97">
      <c r="C97" s="26" t="inlineStr">
        <is>
          <t>Taxes</t>
        </is>
      </c>
      <c r="D97" s="25">
        <f>INDEX('Inputs (2)'!$D$10:$AL$10,MATCH(D$7,'Inputs (2)'!$D$2:$AL$2,0))</f>
        <v>-64</v>
      </c>
      <c r="E97" s="25">
        <f>INDEX('Inputs (2)'!$D$10:$AL$10,MATCH(E$7,'Inputs (2)'!$D$2:$AL$2,0))</f>
        <v>13</v>
      </c>
      <c r="F97" s="25">
        <f>INDEX('Inputs (2)'!$D$10:$AL$10,MATCH(F$7,'Inputs (2)'!$D$2:$AL$2,0))</f>
        <v>-12</v>
      </c>
      <c r="G97" s="25">
        <f>INDEX('Inputs (2)'!$D$10:$AL$10,MATCH(G$7,'Inputs (2)'!$D$2:$AL$2,0))</f>
        <v>-14</v>
      </c>
      <c r="H97" s="3">
        <f>SUM(D97:G97)</f>
        <v>-77</v>
      </c>
      <c r="I97" s="25">
        <f>INDEX('Inputs (2)'!$D$10:$AL$10,MATCH(I$7,'Inputs (2)'!$D$2:$AL$2,0))</f>
        <v>-132</v>
      </c>
      <c r="J97" s="25">
        <f>INDEX('Inputs (2)'!$D$10:$AL$10,MATCH(J$7,'Inputs (2)'!$D$2:$AL$2,0))</f>
        <v>-20</v>
      </c>
      <c r="K97" s="25">
        <f>INDEX('Inputs (2)'!$D$10:$AL$10,MATCH(K$7,'Inputs (2)'!$D$2:$AL$2,0))</f>
        <v>-174</v>
      </c>
      <c r="L97" s="25">
        <f>INDEX('Inputs (2)'!$D$10:$AL$10,MATCH(L$7,'Inputs (2)'!$D$2:$AL$2,0))</f>
        <v>137</v>
      </c>
      <c r="M97" s="3">
        <f>SUM(I97:L97)</f>
        <v>-189</v>
      </c>
      <c r="N97" s="25">
        <f>INDEX('Inputs (2)'!$D$10:$AL$10,MATCH(N$7,'Inputs (2)'!$D$2:$AL$2,0))</f>
        <v>-187</v>
      </c>
      <c r="O97" s="25">
        <f>INDEX('Inputs (2)'!$D$10:$AL$10,MATCH(O$7,'Inputs (2)'!$D$2:$AL$2,0))</f>
        <v>181</v>
      </c>
      <c r="P97" s="25">
        <f>INDEX('Inputs (2)'!$D$10:$AL$10,MATCH(P$7,'Inputs (2)'!$D$2:$AL$2,0))</f>
        <v>67</v>
      </c>
      <c r="Q97" s="25">
        <f>INDEX('Inputs (2)'!$D$10:$AL$10,MATCH(Q$7,'Inputs (2)'!$D$2:$AL$2,0))</f>
        <v>126</v>
      </c>
      <c r="R97" s="3">
        <f>SUM(N97:Q97)</f>
        <v>187</v>
      </c>
      <c r="S97" s="25">
        <f>INDEX('Inputs (2)'!$D$10:$AL$10,MATCH(S$7,'Inputs (2)'!$D$2:$AL$2,0))</f>
        <v>-166</v>
      </c>
      <c r="T97" s="25">
        <f>INDEX('Inputs (2)'!$D$10:$AL$10,MATCH(T$7,'Inputs (2)'!$D$2:$AL$2,0))</f>
        <v>-793</v>
      </c>
      <c r="U97" s="25">
        <f>INDEX('Inputs (2)'!$D$10:$AL$10,MATCH(U$7,'Inputs (2)'!$D$2:$AL$2,0))</f>
        <v>-1279</v>
      </c>
      <c r="V97" s="25">
        <f>INDEX('Inputs (2)'!$D$10:$AL$10,MATCH(V$7,'Inputs (2)'!$D$2:$AL$2,0))</f>
        <v>-1820</v>
      </c>
      <c r="W97" s="3">
        <f>SUM(S97:V97)</f>
        <v>-4058</v>
      </c>
      <c r="X97" s="25">
        <f>INDEX('Inputs (2)'!$D$10:$AL$10,MATCH(X$7,'Inputs (2)'!$D$2:$AL$2,0))</f>
        <v>-2398</v>
      </c>
      <c r="Y97" s="25">
        <f>INDEX('Inputs (2)'!$D$10:$AL$10,MATCH(Y$7,'Inputs (2)'!$D$2:$AL$2,0))</f>
        <v>-2615</v>
      </c>
      <c r="Z97" s="25">
        <f>INDEX('Inputs (2)'!$D$10:$AL$10,MATCH(Z$7,'Inputs (2)'!$D$2:$AL$2,0))</f>
        <v>-3007</v>
      </c>
      <c r="AA97" s="25">
        <f>INDEX('Inputs (2)'!$D$10:$AL$10,MATCH(AA$7,'Inputs (2)'!$D$2:$AL$2,0))</f>
        <v>-3126</v>
      </c>
      <c r="AB97" s="3">
        <f>SUM(X97:AA97)</f>
        <v>-11146</v>
      </c>
      <c r="AC97" s="25">
        <f>INDEX('Inputs (2)'!$D$10:$AL$10,MATCH(AC$7,'Inputs (2)'!$D$2:$AL$2,0))</f>
        <v>-3135</v>
      </c>
      <c r="AD97" s="25">
        <f>INDEX('Inputs (2)'!$D$10:$AL$10,MATCH(AD$7,'Inputs (2)'!$D$2:$AL$2,0))</f>
        <v>-4784</v>
      </c>
      <c r="AE97" s="25">
        <f>INDEX('Inputs (2)'!$D$10:$AL$10,MATCH(AE$7,'Inputs (2)'!$D$2:$AL$2,0))</f>
        <v>-6026</v>
      </c>
      <c r="AF97" s="25">
        <f>INDEX('Inputs (2)'!$D$10:$AL$10,MATCH(AF$7,'Inputs (2)'!$D$2:$AL$2,0))</f>
        <v>-7438</v>
      </c>
      <c r="AG97" s="3">
        <f>SUM(AC97:AF97)</f>
        <v>-21383</v>
      </c>
      <c r="AH97" s="3">
        <f>AH98*-AH96</f>
        <v>0</v>
      </c>
      <c r="AI97" s="3">
        <f>AI98*-AI96</f>
        <v>0</v>
      </c>
      <c r="AJ97" s="3">
        <f>AJ98*-AJ96</f>
        <v>0</v>
      </c>
      <c r="AK97" s="3">
        <f>AK98*-AK96</f>
        <v>0</v>
      </c>
      <c r="AL97" s="3">
        <f>SUM(AH97:AK97)</f>
        <v>0</v>
      </c>
      <c r="AM97" s="3">
        <f>AM98*-AM96</f>
        <v>0</v>
      </c>
      <c r="AN97" s="3">
        <f>AN98*-AN96</f>
        <v>0</v>
      </c>
      <c r="AO97" s="3">
        <f>AO98*-AO96</f>
        <v>0</v>
      </c>
      <c r="AP97" s="3">
        <f>AP98*-AP96</f>
        <v>0</v>
      </c>
      <c r="AQ97" s="3">
        <f>SUM(AM97:AP97)</f>
        <v>0</v>
      </c>
      <c r="AR97" s="3">
        <f>AR98*-AR96</f>
        <v>0</v>
      </c>
      <c r="AS97" s="3">
        <f>AS98*-AS96</f>
        <v>0</v>
      </c>
      <c r="AT97" s="3">
        <f>AT98*-AT96</f>
        <v>0</v>
      </c>
      <c r="AU97" s="3">
        <f>AU98*-AU96</f>
        <v>0</v>
      </c>
      <c r="AV97" s="3">
        <f>SUM(AR97:AU97)</f>
        <v>0</v>
      </c>
      <c r="AW97" s="3">
        <f>AW98*-AW96</f>
        <v>0</v>
      </c>
      <c r="AX97" s="3">
        <f>AX98*-AX96</f>
        <v>0</v>
      </c>
      <c r="AY97" s="3">
        <f>AY98*-AY96</f>
        <v>0</v>
      </c>
      <c r="AZ97" s="3">
        <f>AZ98*-AZ96</f>
        <v>0</v>
      </c>
      <c r="BA97" s="3">
        <f>SUM(AW97:AZ97)</f>
        <v>0</v>
      </c>
      <c r="BB97" s="3">
        <f>BB98*-BB96</f>
        <v>0</v>
      </c>
      <c r="BC97" s="3">
        <f>BC98*-BC96</f>
        <v>0</v>
      </c>
      <c r="BD97" s="3">
        <f>BD98*-BD96</f>
        <v>0</v>
      </c>
      <c r="BE97" s="3">
        <f>BE98*-BE96</f>
        <v>0</v>
      </c>
      <c r="BF97" s="3">
        <f>SUM(BB97:BE97)</f>
        <v>0</v>
      </c>
      <c r="BG97" s="3">
        <f>BG98*-BG96</f>
        <v>0</v>
      </c>
      <c r="BH97" s="3">
        <f>BH98*-BH96</f>
        <v>0</v>
      </c>
      <c r="BI97" s="3">
        <f>BI98*-BI96</f>
        <v>0</v>
      </c>
      <c r="BJ97" s="3">
        <f>BJ98*-BJ96</f>
        <v>0</v>
      </c>
      <c r="BK97" s="3">
        <f>SUM(BG97:BJ97)</f>
        <v>0</v>
      </c>
      <c r="BL97" s="3">
        <f>BL98*-BL96</f>
        <v>0</v>
      </c>
      <c r="BM97" s="3">
        <f>BM98*-BM96</f>
        <v>0</v>
      </c>
      <c r="BN97" s="3">
        <f>BN98*-BN96</f>
        <v>0</v>
      </c>
      <c r="BO97" s="3">
        <f>BO98*-BO96</f>
        <v>0</v>
      </c>
      <c r="BP97" s="3">
        <f>SUM(BL97:BO97)</f>
        <v>0</v>
      </c>
      <c r="BQ97" s="3">
        <f>BQ98*-BQ96</f>
        <v>0</v>
      </c>
      <c r="BR97" s="3">
        <f>BR98*-BR96</f>
        <v>0</v>
      </c>
      <c r="BS97" s="3">
        <f>BS98*-BS96</f>
        <v>0</v>
      </c>
      <c r="BT97" s="3">
        <f>BT98*-BT96</f>
        <v>0</v>
      </c>
      <c r="BU97" s="3">
        <f>SUM(BQ97:BT97)</f>
        <v>0</v>
      </c>
      <c r="BV97" s="3">
        <f>BV98*-BV96</f>
        <v>0</v>
      </c>
      <c r="BW97" s="3">
        <f>BW98*-BW96</f>
        <v>0</v>
      </c>
      <c r="BX97" s="3">
        <f>BX98*-BX96</f>
        <v>0</v>
      </c>
      <c r="BY97" s="3">
        <f>BY98*-BY96</f>
        <v>0</v>
      </c>
      <c r="BZ97" s="3">
        <f>SUM(BV97:BY97)</f>
        <v>0</v>
      </c>
      <c r="CA97" s="3">
        <f>CA98*-CA96</f>
        <v>0</v>
      </c>
      <c r="CB97" s="3">
        <f>CB98*-CB96</f>
        <v>0</v>
      </c>
      <c r="CC97" s="3">
        <f>CC98*-CC96</f>
        <v>0</v>
      </c>
      <c r="CD97" s="3">
        <f>CD98*-CD96</f>
        <v>0</v>
      </c>
      <c r="CE97" s="3">
        <f>SUM(CA97:CD97)</f>
        <v>0</v>
      </c>
      <c r="CF97" s="3">
        <f>CF98*-CF96</f>
        <v>0</v>
      </c>
      <c r="CG97" s="3">
        <f>CG98*-CG96</f>
        <v>0</v>
      </c>
      <c r="CH97" s="3">
        <f>CH98*-CH96</f>
        <v>0</v>
      </c>
      <c r="CI97" s="3">
        <f>CI98*-CI96</f>
        <v>0</v>
      </c>
      <c r="CJ97" s="3">
        <f>SUM(CF97:CI97)</f>
        <v>0</v>
      </c>
      <c r="CK97" s="3">
        <f>CK98*-CK96</f>
        <v>0</v>
      </c>
      <c r="CL97" s="3">
        <f>CL98*-CL96</f>
        <v>0</v>
      </c>
      <c r="CM97" s="3">
        <f>CM98*-CM96</f>
        <v>0</v>
      </c>
      <c r="CN97" s="3">
        <f>CN98*-CN96</f>
        <v>0</v>
      </c>
      <c r="CO97" s="3">
        <f>SUM(CK97:CN97)</f>
        <v>0</v>
      </c>
      <c r="CP97" s="3">
        <f>CP98*-CP96</f>
        <v>0</v>
      </c>
      <c r="CQ97" s="3">
        <f>CQ98*-CQ96</f>
        <v>0</v>
      </c>
      <c r="CR97" s="3">
        <f>CR98*-CR96</f>
        <v>0</v>
      </c>
      <c r="CS97" s="3">
        <f>CS98*-CS96</f>
        <v>0</v>
      </c>
      <c r="CT97" s="3">
        <f>SUM(CP97:CS97)</f>
        <v>0</v>
      </c>
      <c r="CU97" s="3">
        <f>CU98*-CU96</f>
        <v>0</v>
      </c>
      <c r="CV97" s="3">
        <f>CV98*-CV96</f>
        <v>0</v>
      </c>
      <c r="CW97" s="3">
        <f>CW98*-CW96</f>
        <v>0</v>
      </c>
      <c r="CX97" s="3">
        <f>CX98*-CX96</f>
        <v>0</v>
      </c>
      <c r="CY97" s="3">
        <f>SUM(CU97:CX97)</f>
        <v>0</v>
      </c>
    </row>
    <row r="98" hidden="1" outlineLevel="1">
      <c r="C98" s="34" t="inlineStr">
        <is>
          <t>% ETR</t>
        </is>
      </c>
      <c r="D98" s="48">
        <f>-D97/D96</f>
        <v>0.0652395514780836</v>
      </c>
      <c r="E98" s="48">
        <f>-E97/E96</f>
        <v>-0.0213464696223317</v>
      </c>
      <c r="F98" s="48">
        <f>-F97/F96</f>
        <v>0.00890207715133531</v>
      </c>
      <c r="G98" s="48">
        <f>-G97/G96</f>
        <v>0.00951733514615908</v>
      </c>
      <c r="H98" s="48">
        <f>-H97/H96</f>
        <v>0.0174642776139714</v>
      </c>
      <c r="I98" s="48">
        <f>-I97/I96</f>
        <v>0.0645792563600783</v>
      </c>
      <c r="J98" s="48">
        <f>-J97/J96</f>
        <v>0.00835421888053467</v>
      </c>
      <c r="K98" s="48">
        <f>-K97/K96</f>
        <v>0.065959059893859</v>
      </c>
      <c r="L98" s="48">
        <f>-L97/L96</f>
        <v>-0.0478184991273997</v>
      </c>
      <c r="M98" s="48">
        <f>-M97/M96</f>
        <v>0.0190121718137008</v>
      </c>
      <c r="N98" s="48">
        <f>-N97/N96</f>
        <v>0.103601108033241</v>
      </c>
      <c r="O98" s="48">
        <f>-O97/O96</f>
        <v>-0.381052631578947</v>
      </c>
      <c r="P98" s="48">
        <f>-P97/P96</f>
        <v>-0.109298531810767</v>
      </c>
      <c r="Q98" s="48">
        <f>-Q97/Q96</f>
        <v>-0.0978260869565217</v>
      </c>
      <c r="R98" s="48">
        <f>-R97/R96</f>
        <v>-0.0447261420712748</v>
      </c>
      <c r="S98" s="48">
        <f>-S97/S96</f>
        <v>0.0751471253961068</v>
      </c>
      <c r="T98" s="48">
        <f>-T97/T96</f>
        <v>0.113594040968343</v>
      </c>
      <c r="U98" s="48">
        <f>-U97/U96</f>
        <v>0.121554837483368</v>
      </c>
      <c r="V98" s="48">
        <f>-V97/V96</f>
        <v>0.129023110733021</v>
      </c>
      <c r="W98" s="48">
        <f>-W97/W96</f>
        <v>0.119995268791768</v>
      </c>
      <c r="X98" s="48">
        <f>-X97/X96</f>
        <v>0.138781179466404</v>
      </c>
      <c r="Y98" s="48">
        <f>-Y97/Y96</f>
        <v>0.136098678047257</v>
      </c>
      <c r="Z98" s="48">
        <f>-Z97/Z96</f>
        <v>0.134746370317261</v>
      </c>
      <c r="AA98" s="48">
        <f>-AA97/AA96</f>
        <v>0.123963992544712</v>
      </c>
      <c r="AB98" s="48">
        <f>-AB97/AB96</f>
        <v>0.132649418037274</v>
      </c>
      <c r="AC98" s="48">
        <f>-AC97/AC96</f>
        <v>0.143085349155637</v>
      </c>
      <c r="AD98" s="48">
        <f>-AD97/AD96</f>
        <v>0.153303851823367</v>
      </c>
      <c r="AE98" s="48">
        <f>-AE97/AE96</f>
        <v>0.158846478279207</v>
      </c>
      <c r="AF98" s="44">
        <f>-AF97/AF96</f>
        <v>0.147585221635779</v>
      </c>
      <c r="AG98" s="48">
        <f>-AG97/AG96</f>
        <v>0.151170024743726</v>
      </c>
      <c r="AH98" s="44" t="n"/>
      <c r="AI98" s="44" t="n"/>
      <c r="AJ98" s="44" t="n"/>
      <c r="AK98" s="44" t="n"/>
      <c r="AL98" s="48">
        <f>-AL97/AL96</f>
        <v>0</v>
      </c>
      <c r="AM98" s="44" t="n"/>
      <c r="AN98" s="44" t="n"/>
      <c r="AO98" s="44" t="n"/>
      <c r="AP98" s="44" t="n"/>
      <c r="AQ98" s="48">
        <f>-AQ97/AQ96</f>
        <v>0</v>
      </c>
      <c r="AR98" s="44" t="n"/>
      <c r="AS98" s="44" t="n"/>
      <c r="AT98" s="44" t="n"/>
      <c r="AU98" s="44" t="n"/>
      <c r="AV98" s="48">
        <f>-AV97/AV96</f>
        <v>0</v>
      </c>
      <c r="AW98" s="44" t="n"/>
      <c r="AX98" s="44" t="n"/>
      <c r="AY98" s="44" t="n"/>
      <c r="AZ98" s="44" t="n"/>
      <c r="BA98" s="48">
        <f>-BA97/BA96</f>
        <v>0</v>
      </c>
      <c r="BB98" s="44" t="n"/>
      <c r="BC98" s="44" t="n"/>
      <c r="BD98" s="44" t="n"/>
      <c r="BE98" s="44" t="n"/>
      <c r="BF98" s="48">
        <f>-BF97/BF96</f>
        <v>0</v>
      </c>
      <c r="BG98" s="44" t="n"/>
      <c r="BH98" s="44" t="n"/>
      <c r="BI98" s="44" t="n"/>
      <c r="BJ98" s="44" t="n"/>
      <c r="BK98" s="48">
        <f>-BK97/BK96</f>
        <v>0</v>
      </c>
      <c r="BL98" s="44" t="n"/>
      <c r="BM98" s="44" t="n"/>
      <c r="BN98" s="44" t="n"/>
      <c r="BO98" s="44" t="n"/>
      <c r="BP98" s="48">
        <f>-BP97/BP96</f>
        <v>0</v>
      </c>
      <c r="BQ98" s="44" t="n"/>
      <c r="BR98" s="44" t="n"/>
      <c r="BS98" s="44" t="n"/>
      <c r="BT98" s="44" t="n"/>
      <c r="BU98" s="48">
        <f>-BU97/BU96</f>
        <v>0</v>
      </c>
      <c r="BV98" s="44" t="n"/>
      <c r="BW98" s="44" t="n"/>
      <c r="BX98" s="44" t="n"/>
      <c r="BY98" s="44" t="n"/>
      <c r="BZ98" s="48">
        <f>-BZ97/BZ96</f>
        <v>0</v>
      </c>
      <c r="CA98" s="44" t="n"/>
      <c r="CB98" s="44" t="n"/>
      <c r="CC98" s="44" t="n"/>
      <c r="CD98" s="44" t="n"/>
      <c r="CE98" s="48">
        <f>-CE97/CE96</f>
        <v>0</v>
      </c>
      <c r="CF98" s="44" t="n"/>
      <c r="CG98" s="44" t="n"/>
      <c r="CH98" s="44" t="n"/>
      <c r="CI98" s="44" t="n"/>
      <c r="CJ98" s="48">
        <f>-CJ97/CJ96</f>
        <v>0</v>
      </c>
      <c r="CK98" s="44" t="n"/>
      <c r="CL98" s="44" t="n"/>
      <c r="CM98" s="44" t="n"/>
      <c r="CN98" s="44" t="n"/>
      <c r="CO98" s="48">
        <f>-CO97/CO96</f>
        <v>0</v>
      </c>
      <c r="CP98" s="44" t="n"/>
      <c r="CQ98" s="44" t="n"/>
      <c r="CR98" s="44" t="n"/>
      <c r="CS98" s="44" t="n"/>
      <c r="CT98" s="48">
        <f>-CT97/CT96</f>
        <v>0</v>
      </c>
      <c r="CU98" s="44" t="n"/>
      <c r="CV98" s="44" t="n"/>
      <c r="CW98" s="44" t="n"/>
      <c r="CX98" s="44" t="n"/>
      <c r="CY98" s="48">
        <f>-CY97/CY96</f>
        <v>0</v>
      </c>
    </row>
    <row r="99" hidden="1" outlineLevel="1">
      <c r="C99" s="34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  <c r="CU99" s="3" t="n"/>
      <c r="CV99" s="3" t="n"/>
      <c r="CW99" s="3" t="n"/>
      <c r="CX99" s="3" t="n"/>
      <c r="CY99" s="3" t="n"/>
    </row>
    <row r="100" hidden="1" outlineLevel="1">
      <c r="C100" s="34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  <c r="CU100" s="3" t="n"/>
      <c r="CV100" s="3" t="n"/>
      <c r="CW100" s="3" t="n"/>
      <c r="CX100" s="3" t="n"/>
      <c r="CY100" s="3" t="n"/>
    </row>
    <row r="101" collapsed="1">
      <c r="C101" s="26" t="inlineStr">
        <is>
          <t>Equity in Income of Affiliates, after tax (enter as +)</t>
        </is>
      </c>
      <c r="D101" s="25" t="n"/>
      <c r="E101" s="25" t="n"/>
      <c r="F101" s="25" t="n"/>
      <c r="G101" s="25" t="n"/>
      <c r="H101" s="3">
        <f>SUM(D101:G101)</f>
        <v>0</v>
      </c>
      <c r="I101" s="25" t="n"/>
      <c r="J101" s="25" t="n"/>
      <c r="K101" s="25" t="n"/>
      <c r="L101" s="25" t="n"/>
      <c r="M101" s="3">
        <f>SUM(I101:L101)</f>
        <v>0</v>
      </c>
      <c r="N101" s="25" t="n"/>
      <c r="O101" s="25" t="n"/>
      <c r="P101" s="25" t="n"/>
      <c r="Q101" s="25" t="n"/>
      <c r="R101" s="3">
        <f>SUM(N101:Q101)</f>
        <v>0</v>
      </c>
      <c r="S101" s="25" t="n"/>
      <c r="T101" s="25" t="n"/>
      <c r="U101" s="25" t="n"/>
      <c r="V101" s="25" t="n"/>
      <c r="W101" s="3">
        <f>SUM(S101:V101)</f>
        <v>0</v>
      </c>
      <c r="X101" s="25" t="n"/>
      <c r="Y101" s="25" t="n"/>
      <c r="Z101" s="25" t="n"/>
      <c r="AA101" s="25" t="n"/>
      <c r="AB101" s="3">
        <f>SUM(X101:AA101)</f>
        <v>0</v>
      </c>
      <c r="AC101" s="25" t="n"/>
      <c r="AD101" s="25" t="n"/>
      <c r="AE101" s="25" t="n"/>
      <c r="AF101" s="25" t="n"/>
      <c r="AG101" s="3">
        <f>SUM(AC101:AF101)</f>
        <v>0</v>
      </c>
      <c r="AH101" s="3">
        <f>AC101*(1+AH129)</f>
        <v>0</v>
      </c>
      <c r="AI101" s="3">
        <f>AD101*(1+AI129)</f>
        <v>0</v>
      </c>
      <c r="AJ101" s="3">
        <f>AE101*(1+AJ129)</f>
        <v>0</v>
      </c>
      <c r="AK101" s="3">
        <f>AF101*(1+AK129)</f>
        <v>0</v>
      </c>
      <c r="AL101" s="3">
        <f>SUM(AH101:AK101)</f>
        <v>0</v>
      </c>
      <c r="AM101" s="3">
        <f>AH101*(1+AM129)</f>
        <v>0</v>
      </c>
      <c r="AN101" s="3">
        <f>AI101*(1+AN129)</f>
        <v>0</v>
      </c>
      <c r="AO101" s="3">
        <f>AJ101*(1+AO129)</f>
        <v>0</v>
      </c>
      <c r="AP101" s="3">
        <f>AK101*(1+AP129)</f>
        <v>0</v>
      </c>
      <c r="AQ101" s="3">
        <f>SUM(AM101:AP101)</f>
        <v>0</v>
      </c>
      <c r="AR101" s="3">
        <f>AM101*(1+AR129)</f>
        <v>0</v>
      </c>
      <c r="AS101" s="3">
        <f>AN101*(1+AS129)</f>
        <v>0</v>
      </c>
      <c r="AT101" s="3">
        <f>AO101*(1+AT129)</f>
        <v>0</v>
      </c>
      <c r="AU101" s="3">
        <f>AP101*(1+AU129)</f>
        <v>0</v>
      </c>
      <c r="AV101" s="3">
        <f>SUM(AR101:AU101)</f>
        <v>0</v>
      </c>
      <c r="AW101" s="3">
        <f>AR101*(1+AW129)</f>
        <v>0</v>
      </c>
      <c r="AX101" s="3">
        <f>AS101*(1+AX129)</f>
        <v>0</v>
      </c>
      <c r="AY101" s="3">
        <f>AT101*(1+AY129)</f>
        <v>0</v>
      </c>
      <c r="AZ101" s="3">
        <f>AU101*(1+AZ129)</f>
        <v>0</v>
      </c>
      <c r="BA101" s="3">
        <f>SUM(AW101:AZ101)</f>
        <v>0</v>
      </c>
      <c r="BB101" s="3">
        <f>AW101*(1+BB129)</f>
        <v>0</v>
      </c>
      <c r="BC101" s="3">
        <f>AX101*(1+BC129)</f>
        <v>0</v>
      </c>
      <c r="BD101" s="3">
        <f>AY101*(1+BD129)</f>
        <v>0</v>
      </c>
      <c r="BE101" s="3">
        <f>AZ101*(1+BE129)</f>
        <v>0</v>
      </c>
      <c r="BF101" s="3">
        <f>SUM(BB101:BE101)</f>
        <v>0</v>
      </c>
      <c r="BG101" s="3">
        <f>BB101*(1+BG129)</f>
        <v>0</v>
      </c>
      <c r="BH101" s="3">
        <f>BC101*(1+BH129)</f>
        <v>0</v>
      </c>
      <c r="BI101" s="3">
        <f>BD101*(1+BI129)</f>
        <v>0</v>
      </c>
      <c r="BJ101" s="3">
        <f>BE101*(1+BJ129)</f>
        <v>0</v>
      </c>
      <c r="BK101" s="3">
        <f>SUM(BG101:BJ101)</f>
        <v>0</v>
      </c>
      <c r="BL101" s="3">
        <f>BG101*(1+BL129)</f>
        <v>0</v>
      </c>
      <c r="BM101" s="3">
        <f>BH101*(1+BM129)</f>
        <v>0</v>
      </c>
      <c r="BN101" s="3">
        <f>BI101*(1+BN129)</f>
        <v>0</v>
      </c>
      <c r="BO101" s="3">
        <f>BJ101*(1+BO129)</f>
        <v>0</v>
      </c>
      <c r="BP101" s="3">
        <f>SUM(BL101:BO101)</f>
        <v>0</v>
      </c>
      <c r="BQ101" s="3">
        <f>BL101*(1+BQ129)</f>
        <v>0</v>
      </c>
      <c r="BR101" s="3">
        <f>BM101*(1+BR129)</f>
        <v>0</v>
      </c>
      <c r="BS101" s="3">
        <f>BN101*(1+BS129)</f>
        <v>0</v>
      </c>
      <c r="BT101" s="3">
        <f>BO101*(1+BT129)</f>
        <v>0</v>
      </c>
      <c r="BU101" s="3">
        <f>SUM(BQ101:BT101)</f>
        <v>0</v>
      </c>
      <c r="BV101" s="3">
        <f>BQ101*(1+BV129)</f>
        <v>0</v>
      </c>
      <c r="BW101" s="3">
        <f>BR101*(1+BW129)</f>
        <v>0</v>
      </c>
      <c r="BX101" s="3">
        <f>BS101*(1+BX129)</f>
        <v>0</v>
      </c>
      <c r="BY101" s="3">
        <f>BT101*(1+BY129)</f>
        <v>0</v>
      </c>
      <c r="BZ101" s="3">
        <f>SUM(BV101:BY101)</f>
        <v>0</v>
      </c>
      <c r="CA101" s="3">
        <f>BV101*(1+CA129)</f>
        <v>0</v>
      </c>
      <c r="CB101" s="3">
        <f>BW101*(1+CB129)</f>
        <v>0</v>
      </c>
      <c r="CC101" s="3">
        <f>BX101*(1+CC129)</f>
        <v>0</v>
      </c>
      <c r="CD101" s="3">
        <f>BY101*(1+CD129)</f>
        <v>0</v>
      </c>
      <c r="CE101" s="3">
        <f>SUM(CA101:CD101)</f>
        <v>0</v>
      </c>
      <c r="CF101" s="3">
        <f>CA101*(1+CF129)</f>
        <v>0</v>
      </c>
      <c r="CG101" s="3">
        <f>CB101*(1+CG129)</f>
        <v>0</v>
      </c>
      <c r="CH101" s="3">
        <f>CC101*(1+CH129)</f>
        <v>0</v>
      </c>
      <c r="CI101" s="3">
        <f>CD101*(1+CI129)</f>
        <v>0</v>
      </c>
      <c r="CJ101" s="3">
        <f>SUM(CF101:CI101)</f>
        <v>0</v>
      </c>
      <c r="CK101" s="3">
        <f>CF101*(1+CK129)</f>
        <v>0</v>
      </c>
      <c r="CL101" s="3">
        <f>CG101*(1+CL129)</f>
        <v>0</v>
      </c>
      <c r="CM101" s="3">
        <f>CH101*(1+CM129)</f>
        <v>0</v>
      </c>
      <c r="CN101" s="3">
        <f>CI101*(1+CN129)</f>
        <v>0</v>
      </c>
      <c r="CO101" s="3">
        <f>SUM(CK101:CN101)</f>
        <v>0</v>
      </c>
      <c r="CP101" s="3">
        <f>CK101*(1+CP129)</f>
        <v>0</v>
      </c>
      <c r="CQ101" s="3">
        <f>CL101*(1+CQ129)</f>
        <v>0</v>
      </c>
      <c r="CR101" s="3">
        <f>CM101*(1+CR129)</f>
        <v>0</v>
      </c>
      <c r="CS101" s="3">
        <f>CN101*(1+CS129)</f>
        <v>0</v>
      </c>
      <c r="CT101" s="3">
        <f>SUM(CP101:CS101)</f>
        <v>0</v>
      </c>
      <c r="CU101" s="3">
        <f>CP101*(1+CU129)</f>
        <v>0</v>
      </c>
      <c r="CV101" s="3">
        <f>CQ101*(1+CV129)</f>
        <v>0</v>
      </c>
      <c r="CW101" s="3">
        <f>CR101*(1+CW129)</f>
        <v>0</v>
      </c>
      <c r="CX101" s="3">
        <f>CS101*(1+CX129)</f>
        <v>0</v>
      </c>
      <c r="CY101" s="3">
        <f>SUM(CU101:CX101)</f>
        <v>0</v>
      </c>
    </row>
    <row r="102">
      <c r="C102" s="26" t="inlineStr">
        <is>
          <t>Minority Interest Expense, after tax (enter as - )</t>
        </is>
      </c>
      <c r="D102" s="25" t="n"/>
      <c r="E102" s="25" t="n"/>
      <c r="F102" s="25" t="n"/>
      <c r="G102" s="25" t="n"/>
      <c r="H102" s="3">
        <f>SUM(D102:G102)</f>
        <v>0</v>
      </c>
      <c r="I102" s="25" t="n"/>
      <c r="J102" s="25" t="n"/>
      <c r="K102" s="25" t="n"/>
      <c r="L102" s="25" t="n"/>
      <c r="M102" s="3">
        <f>SUM(I102:L102)</f>
        <v>0</v>
      </c>
      <c r="N102" s="25" t="n"/>
      <c r="O102" s="25" t="n"/>
      <c r="P102" s="25" t="n"/>
      <c r="Q102" s="25" t="n"/>
      <c r="R102" s="3">
        <f>SUM(N102:Q102)</f>
        <v>0</v>
      </c>
      <c r="S102" s="25" t="n"/>
      <c r="T102" s="25" t="n"/>
      <c r="U102" s="25" t="n"/>
      <c r="V102" s="25" t="n"/>
      <c r="W102" s="3">
        <f>SUM(S102:V102)</f>
        <v>0</v>
      </c>
      <c r="X102" s="25" t="n"/>
      <c r="Y102" s="25" t="n"/>
      <c r="Z102" s="25" t="n"/>
      <c r="AA102" s="25" t="n"/>
      <c r="AB102" s="3">
        <f>SUM(X102:AA102)</f>
        <v>0</v>
      </c>
      <c r="AC102" s="25" t="n"/>
      <c r="AD102" s="25" t="n"/>
      <c r="AE102" s="25" t="n"/>
      <c r="AF102" s="25" t="n"/>
      <c r="AG102" s="3">
        <f>SUM(AC102:AF102)</f>
        <v>0</v>
      </c>
      <c r="AH102" s="3">
        <f>AC102*(1+AH216)</f>
        <v>0</v>
      </c>
      <c r="AI102" s="3">
        <f>AD102*(1+AI216)</f>
        <v>0</v>
      </c>
      <c r="AJ102" s="3">
        <f>AE102*(1+AJ216)</f>
        <v>0</v>
      </c>
      <c r="AK102" s="3">
        <f>AF102*(1+AK216)</f>
        <v>0</v>
      </c>
      <c r="AL102" s="3">
        <f>SUM(AH102:AK102)</f>
        <v>0</v>
      </c>
      <c r="AM102" s="3">
        <f>AH102*(1+AM216)</f>
        <v>0</v>
      </c>
      <c r="AN102" s="3">
        <f>AI102*(1+AN216)</f>
        <v>0</v>
      </c>
      <c r="AO102" s="3">
        <f>AJ102*(1+AO216)</f>
        <v>0</v>
      </c>
      <c r="AP102" s="3">
        <f>AK102*(1+AP216)</f>
        <v>0</v>
      </c>
      <c r="AQ102" s="3">
        <f>SUM(AM102:AP102)</f>
        <v>0</v>
      </c>
      <c r="AR102" s="3">
        <f>AM102*(1+AR216)</f>
        <v>0</v>
      </c>
      <c r="AS102" s="3">
        <f>AN102*(1+AS216)</f>
        <v>0</v>
      </c>
      <c r="AT102" s="3">
        <f>AO102*(1+AT216)</f>
        <v>0</v>
      </c>
      <c r="AU102" s="3">
        <f>AP102*(1+AU216)</f>
        <v>0</v>
      </c>
      <c r="AV102" s="3">
        <f>SUM(AR102:AU102)</f>
        <v>0</v>
      </c>
      <c r="AW102" s="3">
        <f>AR102*(1+AW216)</f>
        <v>0</v>
      </c>
      <c r="AX102" s="3">
        <f>AS102*(1+AX216)</f>
        <v>0</v>
      </c>
      <c r="AY102" s="3">
        <f>AT102*(1+AY216)</f>
        <v>0</v>
      </c>
      <c r="AZ102" s="3">
        <f>AU102*(1+AZ216)</f>
        <v>0</v>
      </c>
      <c r="BA102" s="3">
        <f>SUM(AW102:AZ102)</f>
        <v>0</v>
      </c>
      <c r="BB102" s="3">
        <f>AW102*(1+BB216)</f>
        <v>0</v>
      </c>
      <c r="BC102" s="3">
        <f>AX102*(1+BC216)</f>
        <v>0</v>
      </c>
      <c r="BD102" s="3">
        <f>AY102*(1+BD216)</f>
        <v>0</v>
      </c>
      <c r="BE102" s="3">
        <f>AZ102*(1+BE216)</f>
        <v>0</v>
      </c>
      <c r="BF102" s="3">
        <f>SUM(BB102:BE102)</f>
        <v>0</v>
      </c>
      <c r="BG102" s="3">
        <f>BB102*(1+BG216)</f>
        <v>0</v>
      </c>
      <c r="BH102" s="3">
        <f>BC102*(1+BH216)</f>
        <v>0</v>
      </c>
      <c r="BI102" s="3">
        <f>BD102*(1+BI216)</f>
        <v>0</v>
      </c>
      <c r="BJ102" s="3">
        <f>BE102*(1+BJ216)</f>
        <v>0</v>
      </c>
      <c r="BK102" s="3">
        <f>SUM(BG102:BJ102)</f>
        <v>0</v>
      </c>
      <c r="BL102" s="3">
        <f>BG102*(1+BL216)</f>
        <v>0</v>
      </c>
      <c r="BM102" s="3">
        <f>BH102*(1+BM216)</f>
        <v>0</v>
      </c>
      <c r="BN102" s="3">
        <f>BI102*(1+BN216)</f>
        <v>0</v>
      </c>
      <c r="BO102" s="3">
        <f>BJ102*(1+BO216)</f>
        <v>0</v>
      </c>
      <c r="BP102" s="3">
        <f>SUM(BL102:BO102)</f>
        <v>0</v>
      </c>
      <c r="BQ102" s="3">
        <f>BL102*(1+BQ216)</f>
        <v>0</v>
      </c>
      <c r="BR102" s="3">
        <f>BM102*(1+BR216)</f>
        <v>0</v>
      </c>
      <c r="BS102" s="3">
        <f>BN102*(1+BS216)</f>
        <v>0</v>
      </c>
      <c r="BT102" s="3">
        <f>BO102*(1+BT216)</f>
        <v>0</v>
      </c>
      <c r="BU102" s="3">
        <f>SUM(BQ102:BT102)</f>
        <v>0</v>
      </c>
      <c r="BV102" s="3">
        <f>BQ102*(1+BV216)</f>
        <v>0</v>
      </c>
      <c r="BW102" s="3">
        <f>BR102*(1+BW216)</f>
        <v>0</v>
      </c>
      <c r="BX102" s="3">
        <f>BS102*(1+BX216)</f>
        <v>0</v>
      </c>
      <c r="BY102" s="3">
        <f>BT102*(1+BY216)</f>
        <v>0</v>
      </c>
      <c r="BZ102" s="3">
        <f>SUM(BV102:BY102)</f>
        <v>0</v>
      </c>
      <c r="CA102" s="3">
        <f>BV102*(1+CA216)</f>
        <v>0</v>
      </c>
      <c r="CB102" s="3">
        <f>BW102*(1+CB216)</f>
        <v>0</v>
      </c>
      <c r="CC102" s="3">
        <f>BX102*(1+CC216)</f>
        <v>0</v>
      </c>
      <c r="CD102" s="3">
        <f>BY102*(1+CD216)</f>
        <v>0</v>
      </c>
      <c r="CE102" s="3">
        <f>SUM(CA102:CD102)</f>
        <v>0</v>
      </c>
      <c r="CF102" s="3">
        <f>CA102*(1+CF216)</f>
        <v>0</v>
      </c>
      <c r="CG102" s="3">
        <f>CB102*(1+CG216)</f>
        <v>0</v>
      </c>
      <c r="CH102" s="3">
        <f>CC102*(1+CH216)</f>
        <v>0</v>
      </c>
      <c r="CI102" s="3">
        <f>CD102*(1+CI216)</f>
        <v>0</v>
      </c>
      <c r="CJ102" s="3">
        <f>SUM(CF102:CI102)</f>
        <v>0</v>
      </c>
      <c r="CK102" s="3">
        <f>CF102*(1+CK216)</f>
        <v>0</v>
      </c>
      <c r="CL102" s="3">
        <f>CG102*(1+CL216)</f>
        <v>0</v>
      </c>
      <c r="CM102" s="3">
        <f>CH102*(1+CM216)</f>
        <v>0</v>
      </c>
      <c r="CN102" s="3">
        <f>CI102*(1+CN216)</f>
        <v>0</v>
      </c>
      <c r="CO102" s="3">
        <f>SUM(CK102:CN102)</f>
        <v>0</v>
      </c>
      <c r="CP102" s="3">
        <f>CK102*(1+CP216)</f>
        <v>0</v>
      </c>
      <c r="CQ102" s="3">
        <f>CL102*(1+CQ216)</f>
        <v>0</v>
      </c>
      <c r="CR102" s="3">
        <f>CM102*(1+CR216)</f>
        <v>0</v>
      </c>
      <c r="CS102" s="3">
        <f>CN102*(1+CS216)</f>
        <v>0</v>
      </c>
      <c r="CT102" s="3">
        <f>SUM(CP102:CS102)</f>
        <v>0</v>
      </c>
      <c r="CU102" s="3">
        <f>CP102*(1+CU216)</f>
        <v>0</v>
      </c>
      <c r="CV102" s="3">
        <f>CQ102*(1+CV216)</f>
        <v>0</v>
      </c>
      <c r="CW102" s="3">
        <f>CR102*(1+CW216)</f>
        <v>0</v>
      </c>
      <c r="CX102" s="3">
        <f>CS102*(1+CX216)</f>
        <v>0</v>
      </c>
      <c r="CY102" s="3">
        <f>SUM(CU102:CX102)</f>
        <v>0</v>
      </c>
    </row>
    <row r="103" customFormat="1" s="17">
      <c r="A103" s="13" t="n"/>
      <c r="B103" s="1" t="n"/>
      <c r="C103" s="14" t="inlineStr">
        <is>
          <t>Net Income</t>
        </is>
      </c>
      <c r="D103" s="16">
        <f>SUM(D96,D97,D101,D102)</f>
        <v>917</v>
      </c>
      <c r="E103" s="16">
        <f>SUM(E96,E97,E101,E102)</f>
        <v>622</v>
      </c>
      <c r="F103" s="16">
        <f>SUM(F96,F97,F101,F102)</f>
        <v>1336</v>
      </c>
      <c r="G103" s="16">
        <f>SUM(G96,G97,G101,G102)</f>
        <v>1457</v>
      </c>
      <c r="H103" s="16">
        <f>SUM(D103:G103)</f>
        <v>4332</v>
      </c>
      <c r="I103" s="16">
        <f>SUM(I96,I97,I101,I102)</f>
        <v>1912</v>
      </c>
      <c r="J103" s="16">
        <f>SUM(J96,J97,J101,J102)</f>
        <v>2374</v>
      </c>
      <c r="K103" s="16">
        <f>SUM(K96,K97,K101,K102)</f>
        <v>2464</v>
      </c>
      <c r="L103" s="16">
        <f>SUM(L96,L97,L101,L102)</f>
        <v>3002</v>
      </c>
      <c r="M103" s="16">
        <f>SUM(I103:L103)</f>
        <v>9752</v>
      </c>
      <c r="N103" s="16">
        <f>SUM(N96,N97,N101,N102)</f>
        <v>1618</v>
      </c>
      <c r="O103" s="16">
        <f>SUM(O96,O97,O101,O102)</f>
        <v>656</v>
      </c>
      <c r="P103" s="16">
        <f>SUM(P96,P97,P101,P102)</f>
        <v>680</v>
      </c>
      <c r="Q103" s="16">
        <f>SUM(Q96,Q97,Q101,Q102)</f>
        <v>1414</v>
      </c>
      <c r="R103" s="16">
        <f>SUM(N103:Q103)</f>
        <v>4368</v>
      </c>
      <c r="S103" s="16">
        <f>SUM(S96,S97,S101,S102)</f>
        <v>2043</v>
      </c>
      <c r="T103" s="16">
        <f>SUM(T96,T97,T101,T102)</f>
        <v>6188</v>
      </c>
      <c r="U103" s="16">
        <f>SUM(U96,U97,U101,U102)</f>
        <v>9243</v>
      </c>
      <c r="V103" s="16">
        <f>SUM(V96,V97,V101,V102)</f>
        <v>12286</v>
      </c>
      <c r="W103" s="16">
        <f>SUM(S103:V103)</f>
        <v>29760</v>
      </c>
      <c r="X103" s="16">
        <f>SUM(X96,X97,X101,X102)</f>
        <v>14881</v>
      </c>
      <c r="Y103" s="16">
        <f>SUM(Y96,Y97,Y101,Y102)</f>
        <v>16599</v>
      </c>
      <c r="Z103" s="16">
        <f>SUM(Z96,Z97,Z101,Z102)</f>
        <v>19309</v>
      </c>
      <c r="AA103" s="16">
        <f>SUM(AA96,AA97,AA101,AA102)</f>
        <v>22091</v>
      </c>
      <c r="AB103" s="16">
        <f>SUM(X103:AA103)</f>
        <v>72880</v>
      </c>
      <c r="AC103" s="16">
        <f>SUM(AC96,AC97,AC101,AC102)</f>
        <v>18775</v>
      </c>
      <c r="AD103" s="16">
        <f>SUM(AD96,AD97,AD101,AD102)</f>
        <v>26422</v>
      </c>
      <c r="AE103" s="16">
        <f>SUM(AE96,AE97,AE101,AE102)</f>
        <v>31910</v>
      </c>
      <c r="AF103" s="16">
        <f>SUM(AF96,AF97,AF101,AF102)</f>
        <v>42960</v>
      </c>
      <c r="AG103" s="16">
        <f>SUM(AC103:AF103)</f>
        <v>120067</v>
      </c>
      <c r="AH103" s="16">
        <f>SUM(AH96,AH97,AH101,AH102)</f>
        <v>6172</v>
      </c>
      <c r="AI103" s="16">
        <f>SUM(AI96,AI97,AI101,AI102)</f>
        <v>11322</v>
      </c>
      <c r="AJ103" s="16">
        <f>SUM(AJ96,AJ97,AJ101,AJ102)</f>
        <v>6172</v>
      </c>
      <c r="AK103" s="16">
        <f>SUM(AK96,AK97,AK101,AK102)</f>
        <v>11322</v>
      </c>
      <c r="AL103" s="16">
        <f>SUM(AH103:AK103)</f>
        <v>34988</v>
      </c>
      <c r="AM103" s="16">
        <f>SUM(AM96,AM97,AM101,AM102)</f>
        <v>11322</v>
      </c>
      <c r="AN103" s="16">
        <f>SUM(AN96,AN97,AN101,AN102)</f>
        <v>34988</v>
      </c>
      <c r="AO103" s="16">
        <f>SUM(AO96,AO97,AO101,AO102)</f>
        <v>11322</v>
      </c>
      <c r="AP103" s="16">
        <f>SUM(AP96,AP97,AP101,AP102)</f>
        <v>34988</v>
      </c>
      <c r="AQ103" s="16">
        <f>SUM(AM103:AP103)</f>
        <v>92620</v>
      </c>
      <c r="AR103" s="16">
        <f>SUM(AR96,AR97,AR101,AR102)</f>
        <v>34988</v>
      </c>
      <c r="AS103" s="16">
        <f>SUM(AS96,AS97,AS101,AS102)</f>
        <v>92620</v>
      </c>
      <c r="AT103" s="16">
        <f>SUM(AT96,AT97,AT101,AT102)</f>
        <v>34988</v>
      </c>
      <c r="AU103" s="16">
        <f>SUM(AU96,AU97,AU101,AU102)</f>
        <v>92620</v>
      </c>
      <c r="AV103" s="16">
        <f>SUM(AR103:AU103)</f>
        <v>255216</v>
      </c>
      <c r="AW103" s="16">
        <f>SUM(AW96,AW97,AW101,AW102)</f>
        <v>92620</v>
      </c>
      <c r="AX103" s="16">
        <f>SUM(AX96,AX97,AX101,AX102)</f>
        <v>255216</v>
      </c>
      <c r="AY103" s="16">
        <f>SUM(AY96,AY97,AY101,AY102)</f>
        <v>92620</v>
      </c>
      <c r="AZ103" s="16">
        <f>SUM(AZ96,AZ97,AZ101,AZ102)</f>
        <v>255216</v>
      </c>
      <c r="BA103" s="16">
        <f>SUM(AW103:AZ103)</f>
        <v>695672</v>
      </c>
      <c r="BB103" s="16">
        <f>SUM(BB96,BB97,BB101,BB102)</f>
        <v>255216</v>
      </c>
      <c r="BC103" s="16">
        <f>SUM(BC96,BC97,BC101,BC102)</f>
        <v>695672</v>
      </c>
      <c r="BD103" s="16">
        <f>SUM(BD96,BD97,BD101,BD102)</f>
        <v>255216</v>
      </c>
      <c r="BE103" s="16">
        <f>SUM(BE96,BE97,BE101,BE102)</f>
        <v>695672</v>
      </c>
      <c r="BF103" s="16">
        <f>SUM(BB103:BE103)</f>
        <v>1901776</v>
      </c>
      <c r="BG103" s="16">
        <f>SUM(BG96,BG97,BG101,BG102)</f>
        <v>695672</v>
      </c>
      <c r="BH103" s="16">
        <f>SUM(BH96,BH97,BH101,BH102)</f>
        <v>1901776</v>
      </c>
      <c r="BI103" s="16">
        <f>SUM(BI96,BI97,BI101,BI102)</f>
        <v>695672</v>
      </c>
      <c r="BJ103" s="16">
        <f>SUM(BJ96,BJ97,BJ101,BJ102)</f>
        <v>1901776</v>
      </c>
      <c r="BK103" s="16">
        <f>SUM(BG103:BJ103)</f>
        <v>5194896</v>
      </c>
      <c r="BL103" s="16">
        <f>SUM(BL96,BL97,BL101,BL102)</f>
        <v>1901776</v>
      </c>
      <c r="BM103" s="16">
        <f>SUM(BM96,BM97,BM101,BM102)</f>
        <v>5194896</v>
      </c>
      <c r="BN103" s="16">
        <f>SUM(BN96,BN97,BN101,BN102)</f>
        <v>1901776</v>
      </c>
      <c r="BO103" s="16">
        <f>SUM(BO96,BO97,BO101,BO102)</f>
        <v>5194896</v>
      </c>
      <c r="BP103" s="16">
        <f>SUM(BL103:BO103)</f>
        <v>14193344</v>
      </c>
      <c r="BQ103" s="16">
        <f>SUM(BQ96,BQ97,BQ101,BQ102)</f>
        <v>5194896</v>
      </c>
      <c r="BR103" s="16">
        <f>SUM(BR96,BR97,BR101,BR102)</f>
        <v>14193344</v>
      </c>
      <c r="BS103" s="16">
        <f>SUM(BS96,BS97,BS101,BS102)</f>
        <v>5194896</v>
      </c>
      <c r="BT103" s="16">
        <f>SUM(BT96,BT97,BT101,BT102)</f>
        <v>14193344</v>
      </c>
      <c r="BU103" s="16">
        <f>SUM(BQ103:BT103)</f>
        <v>38776480</v>
      </c>
      <c r="BV103" s="16">
        <f>SUM(BV96,BV97,BV101,BV102)</f>
        <v>14193344</v>
      </c>
      <c r="BW103" s="16">
        <f>SUM(BW96,BW97,BW101,BW102)</f>
        <v>38776480</v>
      </c>
      <c r="BX103" s="16">
        <f>SUM(BX96,BX97,BX101,BX102)</f>
        <v>14193344</v>
      </c>
      <c r="BY103" s="16">
        <f>SUM(BY96,BY97,BY101,BY102)</f>
        <v>38776480</v>
      </c>
      <c r="BZ103" s="16">
        <f>SUM(BV103:BY103)</f>
        <v>105939648</v>
      </c>
      <c r="CA103" s="16">
        <f>SUM(CA96,CA97,CA101,CA102)</f>
        <v>38776480</v>
      </c>
      <c r="CB103" s="16">
        <f>SUM(CB96,CB97,CB101,CB102)</f>
        <v>105939648</v>
      </c>
      <c r="CC103" s="16">
        <f>SUM(CC96,CC97,CC101,CC102)</f>
        <v>38776480</v>
      </c>
      <c r="CD103" s="16">
        <f>SUM(CD96,CD97,CD101,CD102)</f>
        <v>105939648</v>
      </c>
      <c r="CE103" s="16">
        <f>SUM(CA103:CD103)</f>
        <v>289432256</v>
      </c>
      <c r="CF103" s="16">
        <f>SUM(CF96,CF97,CF101,CF102)</f>
        <v>105939648</v>
      </c>
      <c r="CG103" s="16">
        <f>SUM(CG96,CG97,CG101,CG102)</f>
        <v>289432256</v>
      </c>
      <c r="CH103" s="16">
        <f>SUM(CH96,CH97,CH101,CH102)</f>
        <v>105939648</v>
      </c>
      <c r="CI103" s="16">
        <f>SUM(CI96,CI97,CI101,CI102)</f>
        <v>289432256</v>
      </c>
      <c r="CJ103" s="16">
        <f>SUM(CF103:CI103)</f>
        <v>790743808</v>
      </c>
      <c r="CK103" s="16">
        <f>SUM(CK96,CK97,CK101,CK102)</f>
        <v>289432256</v>
      </c>
      <c r="CL103" s="16">
        <f>SUM(CL96,CL97,CL101,CL102)</f>
        <v>790743808</v>
      </c>
      <c r="CM103" s="16">
        <f>SUM(CM96,CM97,CM101,CM102)</f>
        <v>289432256</v>
      </c>
      <c r="CN103" s="16">
        <f>SUM(CN96,CN97,CN101,CN102)</f>
        <v>790743808</v>
      </c>
      <c r="CO103" s="16">
        <f>SUM(CK103:CN103)</f>
        <v>2160352128</v>
      </c>
      <c r="CP103" s="16">
        <f>SUM(CP96,CP97,CP101,CP102)</f>
        <v>790743808</v>
      </c>
      <c r="CQ103" s="16">
        <f>SUM(CQ96,CQ97,CQ101,CQ102)</f>
        <v>2160352128</v>
      </c>
      <c r="CR103" s="16">
        <f>SUM(CR96,CR97,CR101,CR102)</f>
        <v>790743808</v>
      </c>
      <c r="CS103" s="16">
        <f>SUM(CS96,CS97,CS101,CS102)</f>
        <v>2160352128</v>
      </c>
      <c r="CT103" s="16">
        <f>SUM(CP103:CS103)</f>
        <v>5902191872</v>
      </c>
      <c r="CU103" s="16">
        <f>SUM(CU96,CU97,CU101,CU102)</f>
        <v>2160352128</v>
      </c>
      <c r="CV103" s="16">
        <f>SUM(CV96,CV97,CV101,CV102)</f>
        <v>5902191872</v>
      </c>
      <c r="CW103" s="16">
        <f>SUM(CW96,CW97,CW101,CW102)</f>
        <v>2160352128</v>
      </c>
      <c r="CX103" s="16">
        <f>SUM(CX96,CX97,CX101,CX102)</f>
        <v>5902191872</v>
      </c>
      <c r="CY103" s="16">
        <f>SUM(CU103:CX103)</f>
        <v>16125088000</v>
      </c>
    </row>
    <row r="104">
      <c r="C104" s="24" t="inlineStr">
        <is>
          <t>Common Dividends</t>
        </is>
      </c>
      <c r="D104" s="25">
        <f>INDEX('Inputs (2)'!$D$13:$AL$13,MATCH(D$7,'Inputs (2)'!$D$2:$AL$2,0))</f>
        <v>-98</v>
      </c>
      <c r="E104" s="25">
        <f>INDEX('Inputs (2)'!$D$13:$AL$13,MATCH(E$7,'Inputs (2)'!$D$2:$AL$2,0))</f>
        <v>-99</v>
      </c>
      <c r="F104" s="25">
        <f>INDEX('Inputs (2)'!$D$13:$AL$13,MATCH(F$7,'Inputs (2)'!$D$2:$AL$2,0))</f>
        <v>-99</v>
      </c>
      <c r="G104" s="25">
        <f>INDEX('Inputs (2)'!$D$13:$AL$13,MATCH(G$7,'Inputs (2)'!$D$2:$AL$2,0))</f>
        <v>-99</v>
      </c>
      <c r="H104" s="3">
        <f>SUM(D104:G104)</f>
        <v>-395</v>
      </c>
      <c r="I104" s="25">
        <f>INDEX('Inputs (2)'!$D$13:$AL$13,MATCH(I$7,'Inputs (2)'!$D$2:$AL$2,0))</f>
        <v>-99</v>
      </c>
      <c r="J104" s="25">
        <f>INDEX('Inputs (2)'!$D$13:$AL$13,MATCH(J$7,'Inputs (2)'!$D$2:$AL$2,0))</f>
        <v>-99</v>
      </c>
      <c r="K104" s="25">
        <f>INDEX('Inputs (2)'!$D$13:$AL$13,MATCH(K$7,'Inputs (2)'!$D$2:$AL$2,0))</f>
        <v>-100</v>
      </c>
      <c r="L104" s="25">
        <f>INDEX('Inputs (2)'!$D$13:$AL$13,MATCH(L$7,'Inputs (2)'!$D$2:$AL$2,0))</f>
        <v>-101</v>
      </c>
      <c r="M104" s="3">
        <f>SUM(I104:L104)</f>
        <v>-399</v>
      </c>
      <c r="N104" s="25">
        <f>INDEX('Inputs (2)'!$D$13:$AL$13,MATCH(N$7,'Inputs (2)'!$D$2:$AL$2,0))</f>
        <v>-100</v>
      </c>
      <c r="O104" s="25">
        <f>INDEX('Inputs (2)'!$D$13:$AL$13,MATCH(O$7,'Inputs (2)'!$D$2:$AL$2,0))</f>
        <v>-100</v>
      </c>
      <c r="P104" s="25">
        <f>INDEX('Inputs (2)'!$D$13:$AL$13,MATCH(P$7,'Inputs (2)'!$D$2:$AL$2,0))</f>
        <v>-100</v>
      </c>
      <c r="Q104" s="25">
        <f>INDEX('Inputs (2)'!$D$13:$AL$13,MATCH(Q$7,'Inputs (2)'!$D$2:$AL$2,0))</f>
        <v>-98</v>
      </c>
      <c r="R104" s="3">
        <f>SUM(N104:Q104)</f>
        <v>-398</v>
      </c>
      <c r="S104" s="25">
        <f>INDEX('Inputs (2)'!$D$13:$AL$13,MATCH(S$7,'Inputs (2)'!$D$2:$AL$2,0))</f>
        <v>-99</v>
      </c>
      <c r="T104" s="25">
        <f>INDEX('Inputs (2)'!$D$13:$AL$13,MATCH(T$7,'Inputs (2)'!$D$2:$AL$2,0))</f>
        <v>-100</v>
      </c>
      <c r="U104" s="25">
        <f>INDEX('Inputs (2)'!$D$13:$AL$13,MATCH(U$7,'Inputs (2)'!$D$2:$AL$2,0))</f>
        <v>-97</v>
      </c>
      <c r="V104" s="25">
        <f>INDEX('Inputs (2)'!$D$13:$AL$13,MATCH(V$7,'Inputs (2)'!$D$2:$AL$2,0))</f>
        <v>-99</v>
      </c>
      <c r="W104" s="3">
        <f>SUM(S104:V104)</f>
        <v>-395</v>
      </c>
      <c r="X104" s="25">
        <f>INDEX('Inputs (2)'!$D$13:$AL$13,MATCH(X$7,'Inputs (2)'!$D$2:$AL$2,0))</f>
        <v>-98</v>
      </c>
      <c r="Y104" s="25">
        <f>INDEX('Inputs (2)'!$D$13:$AL$13,MATCH(Y$7,'Inputs (2)'!$D$2:$AL$2,0))</f>
        <v>-246</v>
      </c>
      <c r="Z104" s="25">
        <f>INDEX('Inputs (2)'!$D$13:$AL$13,MATCH(Z$7,'Inputs (2)'!$D$2:$AL$2,0))</f>
        <v>-245</v>
      </c>
      <c r="AA104" s="25">
        <f>INDEX('Inputs (2)'!$D$13:$AL$13,MATCH(AA$7,'Inputs (2)'!$D$2:$AL$2,0))</f>
        <v>-245</v>
      </c>
      <c r="AB104" s="3">
        <f>SUM(X104:AA104)</f>
        <v>-834</v>
      </c>
      <c r="AC104" s="25">
        <f>INDEX('Inputs (2)'!$D$13:$AL$13,MATCH(AC$7,'Inputs (2)'!$D$2:$AL$2,0))</f>
        <v>-244</v>
      </c>
      <c r="AD104" s="25">
        <f>INDEX('Inputs (2)'!$D$13:$AL$13,MATCH(AD$7,'Inputs (2)'!$D$2:$AL$2,0))</f>
        <v>-244</v>
      </c>
      <c r="AE104" s="25">
        <f>INDEX('Inputs (2)'!$D$13:$AL$13,MATCH(AE$7,'Inputs (2)'!$D$2:$AL$2,0))</f>
        <v>-244</v>
      </c>
      <c r="AF104" s="25">
        <f>INDEX('Inputs (2)'!$D$13:$AL$13,MATCH(AF$7,'Inputs (2)'!$D$2:$AL$2,0))</f>
        <v>-242</v>
      </c>
      <c r="AG104" s="3">
        <f>SUM(AC104:AF104)</f>
        <v>-974</v>
      </c>
      <c r="AH104" s="3" t="n"/>
      <c r="AI104" s="3" t="n"/>
      <c r="AJ104" s="3" t="n"/>
      <c r="AK104" s="3" t="n"/>
      <c r="AL104" s="3">
        <f>SUM(AH104:AK104)</f>
        <v>0</v>
      </c>
      <c r="AM104" s="3" t="n"/>
      <c r="AN104" s="3" t="n"/>
      <c r="AO104" s="3" t="n"/>
      <c r="AP104" s="3" t="n"/>
      <c r="AQ104" s="3">
        <f>SUM(AM104:AP104)</f>
        <v>0</v>
      </c>
      <c r="AR104" s="3" t="n"/>
      <c r="AS104" s="3" t="n"/>
      <c r="AT104" s="3" t="n"/>
      <c r="AU104" s="3" t="n"/>
      <c r="AV104" s="3">
        <f>SUM(AR104:AU104)</f>
        <v>0</v>
      </c>
      <c r="AW104" s="3" t="n"/>
      <c r="AX104" s="3" t="n"/>
      <c r="AY104" s="3" t="n"/>
      <c r="AZ104" s="3" t="n"/>
      <c r="BA104" s="3">
        <f>SUM(AW104:AZ104)</f>
        <v>0</v>
      </c>
      <c r="BB104" s="3" t="n"/>
      <c r="BC104" s="3" t="n"/>
      <c r="BD104" s="3" t="n"/>
      <c r="BE104" s="3" t="n"/>
      <c r="BF104" s="3">
        <f>SUM(BB104:BE104)</f>
        <v>0</v>
      </c>
      <c r="BG104" s="3" t="n"/>
      <c r="BH104" s="3" t="n"/>
      <c r="BI104" s="3" t="n"/>
      <c r="BJ104" s="3" t="n"/>
      <c r="BK104" s="3">
        <f>SUM(BG104:BJ104)</f>
        <v>0</v>
      </c>
      <c r="BL104" s="3" t="n"/>
      <c r="BM104" s="3" t="n"/>
      <c r="BN104" s="3" t="n"/>
      <c r="BO104" s="3" t="n"/>
      <c r="BP104" s="3">
        <f>SUM(BL104:BO104)</f>
        <v>0</v>
      </c>
      <c r="BQ104" s="3" t="n"/>
      <c r="BR104" s="3" t="n"/>
      <c r="BS104" s="3" t="n"/>
      <c r="BT104" s="3" t="n"/>
      <c r="BU104" s="3">
        <f>SUM(BQ104:BT104)</f>
        <v>0</v>
      </c>
      <c r="BV104" s="3" t="n"/>
      <c r="BW104" s="3" t="n"/>
      <c r="BX104" s="3" t="n"/>
      <c r="BY104" s="3" t="n"/>
      <c r="BZ104" s="3">
        <f>SUM(BV104:BY104)</f>
        <v>0</v>
      </c>
      <c r="CA104" s="3" t="n"/>
      <c r="CB104" s="3" t="n"/>
      <c r="CC104" s="3" t="n"/>
      <c r="CD104" s="3" t="n"/>
      <c r="CE104" s="3">
        <f>SUM(CA104:CD104)</f>
        <v>0</v>
      </c>
      <c r="CF104" s="3" t="n"/>
      <c r="CG104" s="3" t="n"/>
      <c r="CH104" s="3" t="n"/>
      <c r="CI104" s="3" t="n"/>
      <c r="CJ104" s="3">
        <f>SUM(CF104:CI104)</f>
        <v>0</v>
      </c>
      <c r="CK104" s="3" t="n"/>
      <c r="CL104" s="3" t="n"/>
      <c r="CM104" s="3" t="n"/>
      <c r="CN104" s="3" t="n"/>
      <c r="CO104" s="3">
        <f>SUM(CK104:CN104)</f>
        <v>0</v>
      </c>
      <c r="CP104" s="3" t="n"/>
      <c r="CQ104" s="3" t="n"/>
      <c r="CR104" s="3" t="n"/>
      <c r="CS104" s="3" t="n"/>
      <c r="CT104" s="3">
        <f>SUM(CP104:CS104)</f>
        <v>0</v>
      </c>
      <c r="CU104" s="3" t="n"/>
      <c r="CV104" s="3" t="n"/>
      <c r="CW104" s="3" t="n"/>
      <c r="CX104" s="3" t="n"/>
      <c r="CY104" s="3">
        <f>SUM(CU104:CX104)</f>
        <v>0</v>
      </c>
    </row>
    <row r="105" hidden="1" outlineLevel="1">
      <c r="C105" s="32" t="inlineStr">
        <is>
          <t>% DVD Payout</t>
        </is>
      </c>
      <c r="D105" s="40">
        <f>-D104/D103</f>
        <v>0.106870229007634</v>
      </c>
      <c r="E105" s="40">
        <f>-E104/E103</f>
        <v>0.159163987138264</v>
      </c>
      <c r="F105" s="40">
        <f>-F104/F103</f>
        <v>0.0741017964071856</v>
      </c>
      <c r="G105" s="40">
        <f>-G104/G103</f>
        <v>0.0679478380233356</v>
      </c>
      <c r="H105" s="40">
        <f>-H104/H103</f>
        <v>0.0911819021237304</v>
      </c>
      <c r="I105" s="40">
        <f>-I104/I103</f>
        <v>0.0517782426778243</v>
      </c>
      <c r="J105" s="40">
        <f>-J104/J103</f>
        <v>0.0417017691659646</v>
      </c>
      <c r="K105" s="40">
        <f>-K104/K103</f>
        <v>0.0405844155844156</v>
      </c>
      <c r="L105" s="40">
        <f>-L104/L103</f>
        <v>0.0336442371752165</v>
      </c>
      <c r="M105" s="40">
        <f>-M104/M103</f>
        <v>0.0409146841673503</v>
      </c>
      <c r="N105" s="40">
        <f>-N104/N103</f>
        <v>0.0618046971569839</v>
      </c>
      <c r="O105" s="40">
        <f>-O104/O103</f>
        <v>0.152439024390244</v>
      </c>
      <c r="P105" s="40">
        <f>-P104/P103</f>
        <v>0.147058823529412</v>
      </c>
      <c r="Q105" s="40">
        <f>-Q104/Q103</f>
        <v>0.0693069306930693</v>
      </c>
      <c r="R105" s="40">
        <f>-R104/R103</f>
        <v>0.0911172161172161</v>
      </c>
      <c r="S105" s="40">
        <f>-S104/S103</f>
        <v>0.0484581497797357</v>
      </c>
      <c r="T105" s="40">
        <f>-T104/T103</f>
        <v>0.0161603102779573</v>
      </c>
      <c r="U105" s="40">
        <f>-U104/U103</f>
        <v>0.0104944282159472</v>
      </c>
      <c r="V105" s="40">
        <f>-V104/V103</f>
        <v>0.00805795214064789</v>
      </c>
      <c r="W105" s="40">
        <f>-W104/W103</f>
        <v>0.0132728494623656</v>
      </c>
      <c r="X105" s="40">
        <f>-X104/X103</f>
        <v>0.00658557892614744</v>
      </c>
      <c r="Y105" s="40">
        <f>-Y104/Y103</f>
        <v>0.0148201698897524</v>
      </c>
      <c r="Z105" s="40">
        <f>-Z104/Z103</f>
        <v>0.0126883836552903</v>
      </c>
      <c r="AA105" s="40">
        <f>-AA104/AA103</f>
        <v>0.01109048933955</v>
      </c>
      <c r="AB105" s="40">
        <f>-AB104/AB103</f>
        <v>0.011443468715697</v>
      </c>
      <c r="AC105" s="40">
        <f>-AC104/AC103</f>
        <v>0.0129960053262317</v>
      </c>
      <c r="AD105" s="40">
        <f>-AD104/AD103</f>
        <v>0.00923472863522822</v>
      </c>
      <c r="AE105" s="40">
        <f>-AE104/AE103</f>
        <v>0.00764650579755563</v>
      </c>
      <c r="AF105" s="44">
        <f>-AF104/AF103</f>
        <v>0.00563314711359404</v>
      </c>
      <c r="AG105" s="3" t="n"/>
      <c r="AH105" s="44" t="n"/>
      <c r="AI105" s="44" t="n"/>
      <c r="AJ105" s="44" t="n"/>
      <c r="AK105" s="44" t="n"/>
      <c r="AL105" s="3">
        <f>-AL104/AL103</f>
        <v>0</v>
      </c>
      <c r="AM105" s="44" t="n"/>
      <c r="AN105" s="44" t="n"/>
      <c r="AO105" s="44" t="n"/>
      <c r="AP105" s="44" t="n"/>
      <c r="AQ105" s="3">
        <f>-AQ104/AQ103</f>
        <v>0</v>
      </c>
      <c r="AR105" s="44" t="n"/>
      <c r="AS105" s="44" t="n"/>
      <c r="AT105" s="44" t="n"/>
      <c r="AU105" s="44" t="n"/>
      <c r="AV105" s="3">
        <f>-AV104/AV103</f>
        <v>0</v>
      </c>
      <c r="AW105" s="44" t="n"/>
      <c r="AX105" s="44" t="n"/>
      <c r="AY105" s="44" t="n"/>
      <c r="AZ105" s="44" t="n"/>
      <c r="BA105" s="3">
        <f>-BA104/BA103</f>
        <v>0</v>
      </c>
      <c r="BB105" s="44" t="n"/>
      <c r="BC105" s="44" t="n"/>
      <c r="BD105" s="44" t="n"/>
      <c r="BE105" s="44" t="n"/>
      <c r="BF105" s="3">
        <f>-BF104/BF103</f>
        <v>0</v>
      </c>
      <c r="BG105" s="44" t="n"/>
      <c r="BH105" s="44" t="n"/>
      <c r="BI105" s="44" t="n"/>
      <c r="BJ105" s="44" t="n"/>
      <c r="BK105" s="3">
        <f>-BK104/BK103</f>
        <v>0</v>
      </c>
      <c r="BL105" s="44" t="n"/>
      <c r="BM105" s="44" t="n"/>
      <c r="BN105" s="44" t="n"/>
      <c r="BO105" s="44" t="n"/>
      <c r="BP105" s="3">
        <f>-BP104/BP103</f>
        <v>0</v>
      </c>
      <c r="BQ105" s="44" t="n"/>
      <c r="BR105" s="44" t="n"/>
      <c r="BS105" s="44" t="n"/>
      <c r="BT105" s="44" t="n"/>
      <c r="BU105" s="3">
        <f>-BU104/BU103</f>
        <v>0</v>
      </c>
      <c r="BV105" s="44" t="n"/>
      <c r="BW105" s="44" t="n"/>
      <c r="BX105" s="44" t="n"/>
      <c r="BY105" s="44" t="n"/>
      <c r="BZ105" s="3">
        <f>-BZ104/BZ103</f>
        <v>0</v>
      </c>
      <c r="CA105" s="44" t="n"/>
      <c r="CB105" s="44" t="n"/>
      <c r="CC105" s="44" t="n"/>
      <c r="CD105" s="44" t="n"/>
      <c r="CE105" s="3">
        <f>-CE104/CE103</f>
        <v>0</v>
      </c>
      <c r="CF105" s="44" t="n"/>
      <c r="CG105" s="44" t="n"/>
      <c r="CH105" s="44" t="n"/>
      <c r="CI105" s="44" t="n"/>
      <c r="CJ105" s="3">
        <f>-CJ104/CJ103</f>
        <v>0</v>
      </c>
      <c r="CK105" s="44" t="n"/>
      <c r="CL105" s="44" t="n"/>
      <c r="CM105" s="44" t="n"/>
      <c r="CN105" s="44" t="n"/>
      <c r="CO105" s="3">
        <f>-CO104/CO103</f>
        <v>0</v>
      </c>
      <c r="CP105" s="44" t="n"/>
      <c r="CQ105" s="44" t="n"/>
      <c r="CR105" s="44" t="n"/>
      <c r="CS105" s="44" t="n"/>
      <c r="CT105" s="3">
        <f>-CT104/CT103</f>
        <v>0</v>
      </c>
      <c r="CU105" s="44" t="n"/>
      <c r="CV105" s="44" t="n"/>
      <c r="CW105" s="44" t="n"/>
      <c r="CX105" s="44" t="n"/>
      <c r="CY105" s="3">
        <f>-CY104/CY103</f>
        <v>0</v>
      </c>
    </row>
    <row r="106" hidden="1" outlineLevel="1">
      <c r="C106" s="5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  <c r="BI106" s="1" t="n"/>
      <c r="BJ106" s="1" t="n"/>
      <c r="BK106" s="1" t="n"/>
      <c r="BL106" s="1" t="n"/>
      <c r="BM106" s="1" t="n"/>
      <c r="BN106" s="1" t="n"/>
      <c r="BO106" s="1" t="n"/>
      <c r="BP106" s="1" t="n"/>
      <c r="BQ106" s="1" t="n"/>
      <c r="BR106" s="1" t="n"/>
      <c r="BS106" s="1" t="n"/>
      <c r="BT106" s="1" t="n"/>
      <c r="BU106" s="1" t="n"/>
      <c r="BV106" s="1" t="n"/>
      <c r="BW106" s="1" t="n"/>
      <c r="BX106" s="1" t="n"/>
      <c r="BY106" s="1" t="n"/>
      <c r="BZ106" s="1" t="n"/>
      <c r="CA106" s="1" t="n"/>
      <c r="CB106" s="1" t="n"/>
      <c r="CC106" s="1" t="n"/>
      <c r="CD106" s="1" t="n"/>
      <c r="CE106" s="1" t="n"/>
      <c r="CF106" s="1" t="n"/>
      <c r="CG106" s="1" t="n"/>
      <c r="CH106" s="1" t="n"/>
      <c r="CI106" s="1" t="n"/>
      <c r="CJ106" s="1" t="n"/>
      <c r="CK106" s="1" t="n"/>
      <c r="CL106" s="1" t="n"/>
      <c r="CM106" s="1" t="n"/>
      <c r="CN106" s="1" t="n"/>
      <c r="CO106" s="1" t="n"/>
      <c r="CP106" s="1" t="n"/>
      <c r="CQ106" s="1" t="n"/>
      <c r="CR106" s="1" t="n"/>
      <c r="CS106" s="1" t="n"/>
      <c r="CT106" s="1" t="n"/>
      <c r="CU106" s="1" t="n"/>
      <c r="CV106" s="1" t="n"/>
      <c r="CW106" s="1" t="n"/>
      <c r="CX106" s="1" t="n"/>
      <c r="CY106" s="1" t="n"/>
    </row>
    <row r="107" hidden="1" outlineLevel="1">
      <c r="C107" s="5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  <c r="BI107" s="1" t="n"/>
      <c r="BJ107" s="1" t="n"/>
      <c r="BK107" s="1" t="n"/>
      <c r="BL107" s="1" t="n"/>
      <c r="BM107" s="1" t="n"/>
      <c r="BN107" s="1" t="n"/>
      <c r="BO107" s="1" t="n"/>
      <c r="BP107" s="1" t="n"/>
      <c r="BQ107" s="1" t="n"/>
      <c r="BR107" s="1" t="n"/>
      <c r="BS107" s="1" t="n"/>
      <c r="BT107" s="1" t="n"/>
      <c r="BU107" s="1" t="n"/>
      <c r="BV107" s="1" t="n"/>
      <c r="BW107" s="1" t="n"/>
      <c r="BX107" s="1" t="n"/>
      <c r="BY107" s="1" t="n"/>
      <c r="BZ107" s="1" t="n"/>
      <c r="CA107" s="1" t="n"/>
      <c r="CB107" s="1" t="n"/>
      <c r="CC107" s="1" t="n"/>
      <c r="CD107" s="1" t="n"/>
      <c r="CE107" s="1" t="n"/>
      <c r="CF107" s="1" t="n"/>
      <c r="CG107" s="1" t="n"/>
      <c r="CH107" s="1" t="n"/>
      <c r="CI107" s="1" t="n"/>
      <c r="CJ107" s="1" t="n"/>
      <c r="CK107" s="1" t="n"/>
      <c r="CL107" s="1" t="n"/>
      <c r="CM107" s="1" t="n"/>
      <c r="CN107" s="1" t="n"/>
      <c r="CO107" s="1" t="n"/>
      <c r="CP107" s="1" t="n"/>
      <c r="CQ107" s="1" t="n"/>
      <c r="CR107" s="1" t="n"/>
      <c r="CS107" s="1" t="n"/>
      <c r="CT107" s="1" t="n"/>
      <c r="CU107" s="1" t="n"/>
      <c r="CV107" s="1" t="n"/>
      <c r="CW107" s="1" t="n"/>
      <c r="CX107" s="1" t="n"/>
      <c r="CY107" s="1" t="n"/>
    </row>
    <row r="108" collapsed="1" ht="11.25" customHeight="1">
      <c r="C108" s="12" t="inlineStr">
        <is>
          <t>Balance Sheet</t>
        </is>
      </c>
      <c r="D108" s="12" t="str">
        <f>D13</f>
        <v>1Q20</v>
      </c>
      <c r="E108" s="12" t="str">
        <f>E13</f>
        <v>2Q20</v>
      </c>
      <c r="F108" s="12" t="str">
        <f>F13</f>
        <v>3Q20</v>
      </c>
      <c r="G108" s="12" t="str">
        <f>G13</f>
        <v>4Q20</v>
      </c>
      <c r="H108" s="12">
        <f>H13</f>
        <v>2020</v>
      </c>
      <c r="I108" s="12" t="str">
        <f>I13</f>
        <v>1Q21</v>
      </c>
      <c r="J108" s="12" t="str">
        <f>J13</f>
        <v>2Q21</v>
      </c>
      <c r="K108" s="12" t="str">
        <f>K13</f>
        <v>3Q21</v>
      </c>
      <c r="L108" s="12" t="str">
        <f>L13</f>
        <v>4Q21</v>
      </c>
      <c r="M108" s="12">
        <f>M13</f>
        <v>2021</v>
      </c>
      <c r="N108" s="12" t="str">
        <f>N13</f>
        <v>1Q22</v>
      </c>
      <c r="O108" s="12" t="str">
        <f>O13</f>
        <v>2Q22</v>
      </c>
      <c r="P108" s="12" t="str">
        <f>P13</f>
        <v>3Q22</v>
      </c>
      <c r="Q108" s="12" t="str">
        <f>Q13</f>
        <v>4Q22</v>
      </c>
      <c r="R108" s="12">
        <f>R13</f>
        <v>2022</v>
      </c>
      <c r="S108" s="12" t="str">
        <f>S13</f>
        <v>1Q23</v>
      </c>
      <c r="T108" s="12" t="str">
        <f>T13</f>
        <v>2Q23</v>
      </c>
      <c r="U108" s="12" t="str">
        <f>U13</f>
        <v>3Q23</v>
      </c>
      <c r="V108" s="12" t="str">
        <f>V13</f>
        <v>4Q23</v>
      </c>
      <c r="W108" s="12">
        <f>W13</f>
        <v>2023</v>
      </c>
      <c r="X108" s="12" t="str">
        <f>X13</f>
        <v>1Q24</v>
      </c>
      <c r="Y108" s="12" t="str">
        <f>Y13</f>
        <v>2Q24</v>
      </c>
      <c r="Z108" s="12" t="str">
        <f>Z13</f>
        <v>3Q24</v>
      </c>
      <c r="AA108" s="12" t="str">
        <f>AA13</f>
        <v>4Q24</v>
      </c>
      <c r="AB108" s="12">
        <f>AB13</f>
        <v>2024</v>
      </c>
      <c r="AC108" s="12" t="str">
        <f>AC13</f>
        <v>1Q25</v>
      </c>
      <c r="AD108" s="12" t="str">
        <f>AD13</f>
        <v>2Q25</v>
      </c>
      <c r="AE108" s="12" t="str">
        <f>AE13</f>
        <v>3Q25</v>
      </c>
      <c r="AF108" s="12" t="str">
        <f>AF13</f>
        <v>4Q25</v>
      </c>
      <c r="AG108" s="12">
        <f>AG13</f>
        <v>2025</v>
      </c>
      <c r="AH108" s="12" t="str">
        <f>AH13</f>
        <v>1Q26</v>
      </c>
      <c r="AI108" s="12" t="str">
        <f>AI13</f>
        <v>2Q26</v>
      </c>
      <c r="AJ108" s="12" t="str">
        <f>AJ13</f>
        <v>3Q26</v>
      </c>
      <c r="AK108" s="12" t="str">
        <f>AK13</f>
        <v>4Q26</v>
      </c>
      <c r="AL108" s="12">
        <f>AL13</f>
        <v>2026</v>
      </c>
      <c r="AM108" s="12" t="str">
        <f>AM13</f>
        <v>1Q27</v>
      </c>
      <c r="AN108" s="12" t="str">
        <f>AN13</f>
        <v>2Q27</v>
      </c>
      <c r="AO108" s="12" t="str">
        <f>AO13</f>
        <v>3Q27</v>
      </c>
      <c r="AP108" s="12" t="str">
        <f>AP13</f>
        <v>4Q27</v>
      </c>
      <c r="AQ108" s="12">
        <f>AQ13</f>
        <v>2027</v>
      </c>
      <c r="AR108" s="12" t="str">
        <f>AR13</f>
        <v>1Q28</v>
      </c>
      <c r="AS108" s="12" t="str">
        <f>AS13</f>
        <v>2Q28</v>
      </c>
      <c r="AT108" s="12" t="str">
        <f>AT13</f>
        <v>3Q28</v>
      </c>
      <c r="AU108" s="12" t="str">
        <f>AU13</f>
        <v>4Q28</v>
      </c>
      <c r="AV108" s="12">
        <f>AV13</f>
        <v>2028</v>
      </c>
      <c r="AW108" s="12" t="str">
        <f>AW13</f>
        <v>1Q29</v>
      </c>
      <c r="AX108" s="12" t="str">
        <f>AX13</f>
        <v>2Q29</v>
      </c>
      <c r="AY108" s="12" t="str">
        <f>AY13</f>
        <v>3Q29</v>
      </c>
      <c r="AZ108" s="12" t="str">
        <f>AZ13</f>
        <v>4Q29</v>
      </c>
      <c r="BA108" s="12">
        <f>BA13</f>
        <v>2029</v>
      </c>
      <c r="BB108" s="12" t="str">
        <f>BB13</f>
        <v>1Q30</v>
      </c>
      <c r="BC108" s="12" t="str">
        <f>BC13</f>
        <v>2Q30</v>
      </c>
      <c r="BD108" s="12" t="str">
        <f>BD13</f>
        <v>3Q30</v>
      </c>
      <c r="BE108" s="12" t="str">
        <f>BE13</f>
        <v>4Q30</v>
      </c>
      <c r="BF108" s="12">
        <f>BF13</f>
        <v>2030</v>
      </c>
      <c r="BG108" s="12" t="str">
        <f>BG13</f>
        <v>1Q31</v>
      </c>
      <c r="BH108" s="12" t="str">
        <f>BH13</f>
        <v>2Q31</v>
      </c>
      <c r="BI108" s="12" t="str">
        <f>BI13</f>
        <v>3Q31</v>
      </c>
      <c r="BJ108" s="12" t="str">
        <f>BJ13</f>
        <v>4Q31</v>
      </c>
      <c r="BK108" s="12">
        <f>BK13</f>
        <v>2031</v>
      </c>
      <c r="BL108" s="12" t="str">
        <f>BL13</f>
        <v>1Q32</v>
      </c>
      <c r="BM108" s="12" t="str">
        <f>BM13</f>
        <v>2Q32</v>
      </c>
      <c r="BN108" s="12" t="str">
        <f>BN13</f>
        <v>3Q32</v>
      </c>
      <c r="BO108" s="12" t="str">
        <f>BO13</f>
        <v>4Q32</v>
      </c>
      <c r="BP108" s="12">
        <f>BP13</f>
        <v>2032</v>
      </c>
      <c r="BQ108" s="12" t="str">
        <f>BQ13</f>
        <v>1Q33</v>
      </c>
      <c r="BR108" s="12" t="str">
        <f>BR13</f>
        <v>2Q33</v>
      </c>
      <c r="BS108" s="12" t="str">
        <f>BS13</f>
        <v>3Q33</v>
      </c>
      <c r="BT108" s="12" t="str">
        <f>BT13</f>
        <v>4Q33</v>
      </c>
      <c r="BU108" s="12">
        <f>BU13</f>
        <v>2033</v>
      </c>
      <c r="BV108" s="12" t="str">
        <f>BV13</f>
        <v>1Q34</v>
      </c>
      <c r="BW108" s="12" t="str">
        <f>BW13</f>
        <v>2Q34</v>
      </c>
      <c r="BX108" s="12" t="str">
        <f>BX13</f>
        <v>3Q34</v>
      </c>
      <c r="BY108" s="12" t="str">
        <f>BY13</f>
        <v>4Q34</v>
      </c>
      <c r="BZ108" s="12">
        <f>BZ13</f>
        <v>2034</v>
      </c>
      <c r="CA108" s="12" t="str">
        <f>CA13</f>
        <v>1Q35</v>
      </c>
      <c r="CB108" s="12" t="str">
        <f>CB13</f>
        <v>2Q35</v>
      </c>
      <c r="CC108" s="12" t="str">
        <f>CC13</f>
        <v>3Q35</v>
      </c>
      <c r="CD108" s="12" t="str">
        <f>CD13</f>
        <v>4Q35</v>
      </c>
      <c r="CE108" s="12">
        <f>CE13</f>
        <v>2035</v>
      </c>
      <c r="CF108" s="12" t="str">
        <f>CF13</f>
        <v>1Q36</v>
      </c>
      <c r="CG108" s="12" t="str">
        <f>CG13</f>
        <v>2Q36</v>
      </c>
      <c r="CH108" s="12" t="str">
        <f>CH13</f>
        <v>3Q36</v>
      </c>
      <c r="CI108" s="12" t="str">
        <f>CI13</f>
        <v>4Q36</v>
      </c>
      <c r="CJ108" s="12">
        <f>CJ13</f>
        <v>2036</v>
      </c>
      <c r="CK108" s="12" t="str">
        <f>CK13</f>
        <v>1Q37</v>
      </c>
      <c r="CL108" s="12" t="str">
        <f>CL13</f>
        <v>2Q37</v>
      </c>
      <c r="CM108" s="12" t="str">
        <f>CM13</f>
        <v>3Q37</v>
      </c>
      <c r="CN108" s="12" t="str">
        <f>CN13</f>
        <v>4Q37</v>
      </c>
      <c r="CO108" s="12">
        <f>CO13</f>
        <v>2037</v>
      </c>
      <c r="CP108" s="12" t="str">
        <f>CP13</f>
        <v>1Q38</v>
      </c>
      <c r="CQ108" s="12" t="str">
        <f>CQ13</f>
        <v>2Q38</v>
      </c>
      <c r="CR108" s="12" t="str">
        <f>CR13</f>
        <v>3Q38</v>
      </c>
      <c r="CS108" s="12" t="str">
        <f>CS13</f>
        <v>4Q38</v>
      </c>
      <c r="CT108" s="12">
        <f>CT13</f>
        <v>2038</v>
      </c>
      <c r="CU108" s="12" t="str">
        <f>CU13</f>
        <v>1Q39</v>
      </c>
      <c r="CV108" s="12" t="str">
        <f>CV13</f>
        <v>2Q39</v>
      </c>
      <c r="CW108" s="12" t="str">
        <f>CW13</f>
        <v>3Q39</v>
      </c>
      <c r="CX108" s="12" t="str">
        <f>CX13</f>
        <v>4Q39</v>
      </c>
      <c r="CY108" s="12">
        <f>CY13</f>
        <v>2039</v>
      </c>
    </row>
    <row r="109">
      <c r="C109" s="5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  <c r="BI109" s="1" t="n"/>
      <c r="BJ109" s="1" t="n"/>
      <c r="BK109" s="1" t="n"/>
      <c r="BL109" s="1" t="n"/>
      <c r="BM109" s="1" t="n"/>
      <c r="BN109" s="1" t="n"/>
      <c r="BO109" s="1" t="n"/>
      <c r="BP109" s="1" t="n"/>
      <c r="BQ109" s="1" t="n"/>
      <c r="BR109" s="1" t="n"/>
      <c r="BS109" s="1" t="n"/>
      <c r="BT109" s="1" t="n"/>
      <c r="BU109" s="1" t="n"/>
      <c r="BV109" s="1" t="n"/>
      <c r="BW109" s="1" t="n"/>
      <c r="BX109" s="1" t="n"/>
      <c r="BY109" s="1" t="n"/>
      <c r="BZ109" s="1" t="n"/>
      <c r="CA109" s="1" t="n"/>
      <c r="CB109" s="1" t="n"/>
      <c r="CC109" s="1" t="n"/>
      <c r="CD109" s="1" t="n"/>
      <c r="CE109" s="1" t="n"/>
      <c r="CF109" s="1" t="n"/>
      <c r="CG109" s="1" t="n"/>
      <c r="CH109" s="1" t="n"/>
      <c r="CI109" s="1" t="n"/>
      <c r="CJ109" s="1" t="n"/>
      <c r="CK109" s="1" t="n"/>
      <c r="CL109" s="1" t="n"/>
      <c r="CM109" s="1" t="n"/>
      <c r="CN109" s="1" t="n"/>
      <c r="CO109" s="1" t="n"/>
      <c r="CP109" s="1" t="n"/>
      <c r="CQ109" s="1" t="n"/>
      <c r="CR109" s="1" t="n"/>
      <c r="CS109" s="1" t="n"/>
      <c r="CT109" s="1" t="n"/>
      <c r="CU109" s="1" t="n"/>
      <c r="CV109" s="1" t="n"/>
      <c r="CW109" s="1" t="n"/>
      <c r="CX109" s="1" t="n"/>
      <c r="CY109" s="1" t="n"/>
    </row>
    <row r="110">
      <c r="C110" s="24" t="inlineStr">
        <is>
          <t>Cash and equivalents (inc. investment securities)</t>
        </is>
      </c>
      <c r="D110" s="25">
        <f>INDEX('Inputs (2)'!$D$15:$AL$15,MATCH(D$7,'Inputs (2)'!$D$2:$AL$2,0))</f>
        <v>16354</v>
      </c>
      <c r="E110" s="25">
        <f>INDEX('Inputs (2)'!$D$15:$AL$15,MATCH(E$7,'Inputs (2)'!$D$2:$AL$2,0))</f>
        <v>10981</v>
      </c>
      <c r="F110" s="25">
        <f>INDEX('Inputs (2)'!$D$15:$AL$15,MATCH(F$7,'Inputs (2)'!$D$2:$AL$2,0))</f>
        <v>10139</v>
      </c>
      <c r="G110" s="25">
        <f>INDEX('Inputs (2)'!$D$15:$AL$15,MATCH(G$7,'Inputs (2)'!$D$2:$AL$2,0))</f>
        <v>11561</v>
      </c>
      <c r="H110" s="3">
        <f>G110</f>
        <v>11561</v>
      </c>
      <c r="I110" s="25">
        <f>INDEX('Inputs (2)'!$D$15:$AL$15,MATCH(I$7,'Inputs (2)'!$D$2:$AL$2,0))</f>
        <v>12667</v>
      </c>
      <c r="J110" s="25">
        <f>INDEX('Inputs (2)'!$D$15:$AL$15,MATCH(J$7,'Inputs (2)'!$D$2:$AL$2,0))</f>
        <v>19654</v>
      </c>
      <c r="K110" s="25">
        <f>INDEX('Inputs (2)'!$D$15:$AL$15,MATCH(K$7,'Inputs (2)'!$D$2:$AL$2,0))</f>
        <v>19298</v>
      </c>
      <c r="L110" s="25">
        <f>INDEX('Inputs (2)'!$D$15:$AL$15,MATCH(L$7,'Inputs (2)'!$D$2:$AL$2,0))</f>
        <v>21208</v>
      </c>
      <c r="M110" s="3">
        <f>L110</f>
        <v>21208</v>
      </c>
      <c r="N110" s="25">
        <f>INDEX('Inputs (2)'!$D$15:$AL$15,MATCH(N$7,'Inputs (2)'!$D$2:$AL$2,0))</f>
        <v>20338</v>
      </c>
      <c r="O110" s="25">
        <f>INDEX('Inputs (2)'!$D$15:$AL$15,MATCH(O$7,'Inputs (2)'!$D$2:$AL$2,0))</f>
        <v>17037</v>
      </c>
      <c r="P110" s="25">
        <f>INDEX('Inputs (2)'!$D$15:$AL$15,MATCH(P$7,'Inputs (2)'!$D$2:$AL$2,0))</f>
        <v>13143</v>
      </c>
      <c r="Q110" s="25">
        <f>INDEX('Inputs (2)'!$D$15:$AL$15,MATCH(Q$7,'Inputs (2)'!$D$2:$AL$2,0))</f>
        <v>13296</v>
      </c>
      <c r="R110" s="3">
        <f>Q110</f>
        <v>13296</v>
      </c>
      <c r="S110" s="25">
        <f>INDEX('Inputs (2)'!$D$15:$AL$15,MATCH(S$7,'Inputs (2)'!$D$2:$AL$2,0))</f>
        <v>15320</v>
      </c>
      <c r="T110" s="25">
        <f>INDEX('Inputs (2)'!$D$15:$AL$15,MATCH(T$7,'Inputs (2)'!$D$2:$AL$2,0))</f>
        <v>16023</v>
      </c>
      <c r="U110" s="25">
        <f>INDEX('Inputs (2)'!$D$15:$AL$15,MATCH(U$7,'Inputs (2)'!$D$2:$AL$2,0))</f>
        <v>18281</v>
      </c>
      <c r="V110" s="25">
        <f>INDEX('Inputs (2)'!$D$15:$AL$15,MATCH(V$7,'Inputs (2)'!$D$2:$AL$2,0))</f>
        <v>25984</v>
      </c>
      <c r="W110" s="3">
        <f>V110</f>
        <v>25984</v>
      </c>
      <c r="X110" s="25">
        <f>INDEX('Inputs (2)'!$D$15:$AL$15,MATCH(X$7,'Inputs (2)'!$D$2:$AL$2,0))</f>
        <v>31438</v>
      </c>
      <c r="Y110" s="25">
        <f>INDEX('Inputs (2)'!$D$15:$AL$15,MATCH(Y$7,'Inputs (2)'!$D$2:$AL$2,0))</f>
        <v>34800</v>
      </c>
      <c r="Z110" s="25">
        <f>INDEX('Inputs (2)'!$D$15:$AL$15,MATCH(Z$7,'Inputs (2)'!$D$2:$AL$2,0))</f>
        <v>38487</v>
      </c>
      <c r="AA110" s="25">
        <f>INDEX('Inputs (2)'!$D$15:$AL$15,MATCH(AA$7,'Inputs (2)'!$D$2:$AL$2,0))</f>
        <v>43210</v>
      </c>
      <c r="AB110" s="3">
        <f>AA110</f>
        <v>43210</v>
      </c>
      <c r="AC110" s="25">
        <f>INDEX('Inputs (2)'!$D$15:$AL$15,MATCH(AC$7,'Inputs (2)'!$D$2:$AL$2,0))</f>
        <v>53691</v>
      </c>
      <c r="AD110" s="25">
        <f>INDEX('Inputs (2)'!$D$15:$AL$15,MATCH(AD$7,'Inputs (2)'!$D$2:$AL$2,0))</f>
        <v>56791</v>
      </c>
      <c r="AE110" s="25">
        <f>INDEX('Inputs (2)'!$D$15:$AL$15,MATCH(AE$7,'Inputs (2)'!$D$2:$AL$2,0))</f>
        <v>60608</v>
      </c>
      <c r="AF110" s="25">
        <f>INDEX('Inputs (2)'!$D$15:$AL$15,MATCH(AF$7,'Inputs (2)'!$D$2:$AL$2,0))</f>
        <v>62556</v>
      </c>
      <c r="AG110" s="3">
        <f>AF110</f>
        <v>62556</v>
      </c>
      <c r="AH110" s="3">
        <f>AG110+AH280</f>
        <v>93642</v>
      </c>
      <c r="AI110" s="3">
        <f>AH110+AI280</f>
        <v>104964</v>
      </c>
      <c r="AJ110" s="3" t="e">
        <f>AI110+AJ280</f>
        <v>#DIV/0!</v>
      </c>
      <c r="AK110" s="3" t="e">
        <f>AJ110+AK280</f>
        <v>#DIV/0!</v>
      </c>
      <c r="AL110" s="3" t="e">
        <f>AK110</f>
        <v>#DIV/0!</v>
      </c>
      <c r="AM110" s="3" t="e">
        <f>AL110+AM280</f>
        <v>#DIV/0!</v>
      </c>
      <c r="AN110" s="3" t="e">
        <f>AM110+AN280</f>
        <v>#DIV/0!</v>
      </c>
      <c r="AO110" s="3" t="e">
        <f>AN110+AO280</f>
        <v>#DIV/0!</v>
      </c>
      <c r="AP110" s="3" t="e">
        <f>AO110+AP280</f>
        <v>#DIV/0!</v>
      </c>
      <c r="AQ110" s="3" t="e">
        <f>AP110</f>
        <v>#DIV/0!</v>
      </c>
      <c r="AR110" s="3" t="e">
        <f>AQ110+AR280</f>
        <v>#DIV/0!</v>
      </c>
      <c r="AS110" s="3" t="e">
        <f>AR110+AS280</f>
        <v>#DIV/0!</v>
      </c>
      <c r="AT110" s="3" t="e">
        <f>AS110+AT280</f>
        <v>#DIV/0!</v>
      </c>
      <c r="AU110" s="3" t="e">
        <f>AT110+AU280</f>
        <v>#DIV/0!</v>
      </c>
      <c r="AV110" s="3" t="e">
        <f>AU110</f>
        <v>#DIV/0!</v>
      </c>
      <c r="AW110" s="3" t="e">
        <f>AV110+AW280</f>
        <v>#DIV/0!</v>
      </c>
      <c r="AX110" s="3" t="e">
        <f>AW110+AX280</f>
        <v>#DIV/0!</v>
      </c>
      <c r="AY110" s="3" t="e">
        <f>AX110+AY280</f>
        <v>#DIV/0!</v>
      </c>
      <c r="AZ110" s="3" t="e">
        <f>AY110+AZ280</f>
        <v>#DIV/0!</v>
      </c>
      <c r="BA110" s="3" t="e">
        <f>AZ110</f>
        <v>#DIV/0!</v>
      </c>
      <c r="BB110" s="3" t="e">
        <f>BA110+BB280</f>
        <v>#DIV/0!</v>
      </c>
      <c r="BC110" s="3" t="e">
        <f>BB110+BC280</f>
        <v>#DIV/0!</v>
      </c>
      <c r="BD110" s="3" t="e">
        <f>BC110+BD280</f>
        <v>#DIV/0!</v>
      </c>
      <c r="BE110" s="3" t="e">
        <f>BD110+BE280</f>
        <v>#DIV/0!</v>
      </c>
      <c r="BF110" s="3" t="e">
        <f>BE110</f>
        <v>#DIV/0!</v>
      </c>
      <c r="BG110" s="3" t="e">
        <f>BF110+BG280</f>
        <v>#DIV/0!</v>
      </c>
      <c r="BH110" s="3" t="e">
        <f>BG110+BH280</f>
        <v>#DIV/0!</v>
      </c>
      <c r="BI110" s="3" t="e">
        <f>BH110+BI280</f>
        <v>#DIV/0!</v>
      </c>
      <c r="BJ110" s="3" t="e">
        <f>BI110+BJ280</f>
        <v>#DIV/0!</v>
      </c>
      <c r="BK110" s="3" t="e">
        <f>BJ110</f>
        <v>#DIV/0!</v>
      </c>
      <c r="BL110" s="3" t="e">
        <f>BK110+BL280</f>
        <v>#DIV/0!</v>
      </c>
      <c r="BM110" s="3" t="e">
        <f>BL110+BM280</f>
        <v>#DIV/0!</v>
      </c>
      <c r="BN110" s="3" t="e">
        <f>BM110+BN280</f>
        <v>#DIV/0!</v>
      </c>
      <c r="BO110" s="3" t="e">
        <f>BN110+BO280</f>
        <v>#DIV/0!</v>
      </c>
      <c r="BP110" s="3" t="e">
        <f>BO110</f>
        <v>#DIV/0!</v>
      </c>
      <c r="BQ110" s="3" t="e">
        <f>BP110+BQ280</f>
        <v>#DIV/0!</v>
      </c>
      <c r="BR110" s="3" t="e">
        <f>BQ110+BR280</f>
        <v>#DIV/0!</v>
      </c>
      <c r="BS110" s="3" t="e">
        <f>BR110+BS280</f>
        <v>#DIV/0!</v>
      </c>
      <c r="BT110" s="3" t="e">
        <f>BS110+BT280</f>
        <v>#DIV/0!</v>
      </c>
      <c r="BU110" s="3" t="e">
        <f>BT110</f>
        <v>#DIV/0!</v>
      </c>
      <c r="BV110" s="3" t="e">
        <f>BU110+BV280</f>
        <v>#DIV/0!</v>
      </c>
      <c r="BW110" s="3" t="e">
        <f>BV110+BW280</f>
        <v>#DIV/0!</v>
      </c>
      <c r="BX110" s="3" t="e">
        <f>BW110+BX280</f>
        <v>#DIV/0!</v>
      </c>
      <c r="BY110" s="3" t="e">
        <f>BX110+BY280</f>
        <v>#DIV/0!</v>
      </c>
      <c r="BZ110" s="3" t="e">
        <f>BY110</f>
        <v>#DIV/0!</v>
      </c>
      <c r="CA110" s="3" t="e">
        <f>BZ110+CA280</f>
        <v>#DIV/0!</v>
      </c>
      <c r="CB110" s="3" t="e">
        <f>CA110+CB280</f>
        <v>#DIV/0!</v>
      </c>
      <c r="CC110" s="3" t="e">
        <f>CB110+CC280</f>
        <v>#DIV/0!</v>
      </c>
      <c r="CD110" s="3" t="e">
        <f>CC110+CD280</f>
        <v>#DIV/0!</v>
      </c>
      <c r="CE110" s="3" t="e">
        <f>CD110</f>
        <v>#DIV/0!</v>
      </c>
      <c r="CF110" s="3" t="e">
        <f>CE110+CF280</f>
        <v>#DIV/0!</v>
      </c>
      <c r="CG110" s="3" t="e">
        <f>CF110+CG280</f>
        <v>#DIV/0!</v>
      </c>
      <c r="CH110" s="3" t="e">
        <f>CG110+CH280</f>
        <v>#DIV/0!</v>
      </c>
      <c r="CI110" s="3" t="e">
        <f>CH110+CI280</f>
        <v>#DIV/0!</v>
      </c>
      <c r="CJ110" s="3" t="e">
        <f>CI110</f>
        <v>#DIV/0!</v>
      </c>
      <c r="CK110" s="3" t="e">
        <f>CJ110+CK280</f>
        <v>#DIV/0!</v>
      </c>
      <c r="CL110" s="3" t="e">
        <f>CK110+CL280</f>
        <v>#DIV/0!</v>
      </c>
      <c r="CM110" s="3" t="e">
        <f>CL110+CM280</f>
        <v>#DIV/0!</v>
      </c>
      <c r="CN110" s="3" t="e">
        <f>CM110+CN280</f>
        <v>#DIV/0!</v>
      </c>
      <c r="CO110" s="3" t="e">
        <f>CN110</f>
        <v>#DIV/0!</v>
      </c>
      <c r="CP110" s="3" t="e">
        <f>CO110+CP280</f>
        <v>#DIV/0!</v>
      </c>
      <c r="CQ110" s="3" t="e">
        <f>CP110+CQ280</f>
        <v>#DIV/0!</v>
      </c>
      <c r="CR110" s="3" t="e">
        <f>CQ110+CR280</f>
        <v>#DIV/0!</v>
      </c>
      <c r="CS110" s="3" t="e">
        <f>CR110+CS280</f>
        <v>#DIV/0!</v>
      </c>
      <c r="CT110" s="3" t="e">
        <f>CS110</f>
        <v>#DIV/0!</v>
      </c>
      <c r="CU110" s="3" t="e">
        <f>CT110+CU280</f>
        <v>#DIV/0!</v>
      </c>
      <c r="CV110" s="3" t="e">
        <f>CU110+CV280</f>
        <v>#DIV/0!</v>
      </c>
      <c r="CW110" s="3" t="e">
        <f>CV110+CW280</f>
        <v>#DIV/0!</v>
      </c>
      <c r="CX110" s="3" t="e">
        <f>CW110+CX280</f>
        <v>#DIV/0!</v>
      </c>
      <c r="CY110" s="3" t="e">
        <f>CX110</f>
        <v>#DIV/0!</v>
      </c>
    </row>
    <row r="111">
      <c r="C111" s="26" t="inlineStr">
        <is>
          <t>Accounts receivable</t>
        </is>
      </c>
      <c r="D111" s="25">
        <f>INDEX('Inputs (2)'!$D$16:$AL$16,MATCH(D$7,'Inputs (2)'!$D$2:$AL$2,0))</f>
        <v>1907</v>
      </c>
      <c r="E111" s="25">
        <f>INDEX('Inputs (2)'!$D$16:$AL$16,MATCH(E$7,'Inputs (2)'!$D$2:$AL$2,0))</f>
        <v>2084</v>
      </c>
      <c r="F111" s="25">
        <f>INDEX('Inputs (2)'!$D$16:$AL$16,MATCH(F$7,'Inputs (2)'!$D$2:$AL$2,0))</f>
        <v>2546</v>
      </c>
      <c r="G111" s="25">
        <f>INDEX('Inputs (2)'!$D$16:$AL$16,MATCH(G$7,'Inputs (2)'!$D$2:$AL$2,0))</f>
        <v>2429</v>
      </c>
      <c r="H111" s="3">
        <f>G111</f>
        <v>2429</v>
      </c>
      <c r="I111" s="25">
        <f>INDEX('Inputs (2)'!$D$16:$AL$16,MATCH(I$7,'Inputs (2)'!$D$2:$AL$2,0))</f>
        <v>3024</v>
      </c>
      <c r="J111" s="25">
        <f>INDEX('Inputs (2)'!$D$16:$AL$16,MATCH(J$7,'Inputs (2)'!$D$2:$AL$2,0))</f>
        <v>3586</v>
      </c>
      <c r="K111" s="25">
        <f>INDEX('Inputs (2)'!$D$16:$AL$16,MATCH(K$7,'Inputs (2)'!$D$2:$AL$2,0))</f>
        <v>3954</v>
      </c>
      <c r="L111" s="25">
        <f>INDEX('Inputs (2)'!$D$16:$AL$16,MATCH(L$7,'Inputs (2)'!$D$2:$AL$2,0))</f>
        <v>4650</v>
      </c>
      <c r="M111" s="3">
        <f>L111</f>
        <v>4650</v>
      </c>
      <c r="N111" s="25">
        <f>INDEX('Inputs (2)'!$D$16:$AL$16,MATCH(N$7,'Inputs (2)'!$D$2:$AL$2,0))</f>
        <v>5438</v>
      </c>
      <c r="O111" s="25">
        <f>INDEX('Inputs (2)'!$D$16:$AL$16,MATCH(O$7,'Inputs (2)'!$D$2:$AL$2,0))</f>
        <v>5317</v>
      </c>
      <c r="P111" s="25">
        <f>INDEX('Inputs (2)'!$D$16:$AL$16,MATCH(P$7,'Inputs (2)'!$D$2:$AL$2,0))</f>
        <v>4908</v>
      </c>
      <c r="Q111" s="25">
        <f>INDEX('Inputs (2)'!$D$16:$AL$16,MATCH(Q$7,'Inputs (2)'!$D$2:$AL$2,0))</f>
        <v>3827</v>
      </c>
      <c r="R111" s="3">
        <f>Q111</f>
        <v>3827</v>
      </c>
      <c r="S111" s="25">
        <f>INDEX('Inputs (2)'!$D$16:$AL$16,MATCH(S$7,'Inputs (2)'!$D$2:$AL$2,0))</f>
        <v>4080</v>
      </c>
      <c r="T111" s="25">
        <f>INDEX('Inputs (2)'!$D$16:$AL$16,MATCH(T$7,'Inputs (2)'!$D$2:$AL$2,0))</f>
        <v>7066</v>
      </c>
      <c r="U111" s="25">
        <f>INDEX('Inputs (2)'!$D$16:$AL$16,MATCH(U$7,'Inputs (2)'!$D$2:$AL$2,0))</f>
        <v>8309</v>
      </c>
      <c r="V111" s="25">
        <f>INDEX('Inputs (2)'!$D$16:$AL$16,MATCH(V$7,'Inputs (2)'!$D$2:$AL$2,0))</f>
        <v>9999</v>
      </c>
      <c r="W111" s="3">
        <f>V111</f>
        <v>9999</v>
      </c>
      <c r="X111" s="25">
        <f>INDEX('Inputs (2)'!$D$16:$AL$16,MATCH(X$7,'Inputs (2)'!$D$2:$AL$2,0))</f>
        <v>12365</v>
      </c>
      <c r="Y111" s="25">
        <f>INDEX('Inputs (2)'!$D$16:$AL$16,MATCH(Y$7,'Inputs (2)'!$D$2:$AL$2,0))</f>
        <v>14132</v>
      </c>
      <c r="Z111" s="25">
        <f>INDEX('Inputs (2)'!$D$16:$AL$16,MATCH(Z$7,'Inputs (2)'!$D$2:$AL$2,0))</f>
        <v>17693</v>
      </c>
      <c r="AA111" s="25">
        <f>INDEX('Inputs (2)'!$D$16:$AL$16,MATCH(AA$7,'Inputs (2)'!$D$2:$AL$2,0))</f>
        <v>23065</v>
      </c>
      <c r="AB111" s="3">
        <f>AA111</f>
        <v>23065</v>
      </c>
      <c r="AC111" s="25">
        <f>INDEX('Inputs (2)'!$D$16:$AL$16,MATCH(AC$7,'Inputs (2)'!$D$2:$AL$2,0))</f>
        <v>22132</v>
      </c>
      <c r="AD111" s="25">
        <f>INDEX('Inputs (2)'!$D$16:$AL$16,MATCH(AD$7,'Inputs (2)'!$D$2:$AL$2,0))</f>
        <v>27808</v>
      </c>
      <c r="AE111" s="25">
        <f>INDEX('Inputs (2)'!$D$16:$AL$16,MATCH(AE$7,'Inputs (2)'!$D$2:$AL$2,0))</f>
        <v>33391</v>
      </c>
      <c r="AF111" s="25">
        <f>INDEX('Inputs (2)'!$D$16:$AL$16,MATCH(AF$7,'Inputs (2)'!$D$2:$AL$2,0))</f>
        <v>38466</v>
      </c>
      <c r="AG111" s="3">
        <f>AF111</f>
        <v>38466</v>
      </c>
      <c r="AH111" s="3">
        <f>(AH112/(AH$5-AG$5))*AH$15</f>
        <v>0</v>
      </c>
      <c r="AI111" s="3">
        <f>(AI112/(AI$5-AH$5))*AI$15</f>
        <v>0</v>
      </c>
      <c r="AJ111" s="3">
        <f>(AJ112/(AJ$5-AI$5))*AJ$15</f>
        <v>0</v>
      </c>
      <c r="AK111" s="3">
        <f>(AK112/(AK$5-AJ$5))*AK$15</f>
        <v>0</v>
      </c>
      <c r="AL111" s="3">
        <f>AK111</f>
        <v>0</v>
      </c>
      <c r="AM111" s="3">
        <f>(AM112/(AM$5-AL$5))*AM$15</f>
        <v>0</v>
      </c>
      <c r="AN111" s="3">
        <f>(AN112/(AN$5-AM$5))*AN$15</f>
        <v>0</v>
      </c>
      <c r="AO111" s="3">
        <f>(AO112/(AO$5-AN$5))*AO$15</f>
        <v>0</v>
      </c>
      <c r="AP111" s="3">
        <f>(AP112/(AP$5-AO$5))*AP$15</f>
        <v>0</v>
      </c>
      <c r="AQ111" s="3">
        <f>AP111</f>
        <v>0</v>
      </c>
      <c r="AR111" s="3">
        <f>(AR112/(AR$5-AQ$5))*AR$15</f>
        <v>0</v>
      </c>
      <c r="AS111" s="3">
        <f>(AS112/(AS$5-AR$5))*AS$15</f>
        <v>0</v>
      </c>
      <c r="AT111" s="3">
        <f>(AT112/(AT$5-AS$5))*AT$15</f>
        <v>0</v>
      </c>
      <c r="AU111" s="3">
        <f>(AU112/(AU$5-AT$5))*AU$15</f>
        <v>0</v>
      </c>
      <c r="AV111" s="3">
        <f>AU111</f>
        <v>0</v>
      </c>
      <c r="AW111" s="3">
        <f>(AW112/(AW$5-AV$5))*AW$15</f>
        <v>0</v>
      </c>
      <c r="AX111" s="3">
        <f>(AX112/(AX$5-AW$5))*AX$15</f>
        <v>0</v>
      </c>
      <c r="AY111" s="3">
        <f>(AY112/(AY$5-AX$5))*AY$15</f>
        <v>0</v>
      </c>
      <c r="AZ111" s="3">
        <f>(AZ112/(AZ$5-AY$5))*AZ$15</f>
        <v>0</v>
      </c>
      <c r="BA111" s="3">
        <f>AZ111</f>
        <v>0</v>
      </c>
      <c r="BB111" s="3">
        <f>(BB112/(BB$5-BA$5))*BB$15</f>
        <v>0</v>
      </c>
      <c r="BC111" s="3">
        <f>(BC112/(BC$5-BB$5))*BC$15</f>
        <v>0</v>
      </c>
      <c r="BD111" s="3">
        <f>(BD112/(BD$5-BC$5))*BD$15</f>
        <v>0</v>
      </c>
      <c r="BE111" s="3">
        <f>(BE112/(BE$5-BD$5))*BE$15</f>
        <v>0</v>
      </c>
      <c r="BF111" s="3">
        <f>BE111</f>
        <v>0</v>
      </c>
      <c r="BG111" s="3">
        <f>(BG112/(BG$5-BF$5))*BG$15</f>
        <v>0</v>
      </c>
      <c r="BH111" s="3">
        <f>(BH112/(BH$5-BG$5))*BH$15</f>
        <v>0</v>
      </c>
      <c r="BI111" s="3">
        <f>(BI112/(BI$5-BH$5))*BI$15</f>
        <v>0</v>
      </c>
      <c r="BJ111" s="3">
        <f>(BJ112/(BJ$5-BI$5))*BJ$15</f>
        <v>0</v>
      </c>
      <c r="BK111" s="3">
        <f>BJ111</f>
        <v>0</v>
      </c>
      <c r="BL111" s="3">
        <f>(BL112/(BL$5-BK$5))*BL$15</f>
        <v>0</v>
      </c>
      <c r="BM111" s="3">
        <f>(BM112/(BM$5-BL$5))*BM$15</f>
        <v>0</v>
      </c>
      <c r="BN111" s="3">
        <f>(BN112/(BN$5-BM$5))*BN$15</f>
        <v>0</v>
      </c>
      <c r="BO111" s="3">
        <f>(BO112/(BO$5-BN$5))*BO$15</f>
        <v>0</v>
      </c>
      <c r="BP111" s="3">
        <f>BO111</f>
        <v>0</v>
      </c>
      <c r="BQ111" s="3">
        <f>(BQ112/(BQ$5-BP$5))*BQ$15</f>
        <v>0</v>
      </c>
      <c r="BR111" s="3">
        <f>(BR112/(BR$5-BQ$5))*BR$15</f>
        <v>0</v>
      </c>
      <c r="BS111" s="3">
        <f>(BS112/(BS$5-BR$5))*BS$15</f>
        <v>0</v>
      </c>
      <c r="BT111" s="3">
        <f>(BT112/(BT$5-BS$5))*BT$15</f>
        <v>0</v>
      </c>
      <c r="BU111" s="3">
        <f>BT111</f>
        <v>0</v>
      </c>
      <c r="BV111" s="3">
        <f>(BV112/(BV$5-BU$5))*BV$15</f>
        <v>0</v>
      </c>
      <c r="BW111" s="3">
        <f>(BW112/(BW$5-BV$5))*BW$15</f>
        <v>0</v>
      </c>
      <c r="BX111" s="3">
        <f>(BX112/(BX$5-BW$5))*BX$15</f>
        <v>0</v>
      </c>
      <c r="BY111" s="3">
        <f>(BY112/(BY$5-BX$5))*BY$15</f>
        <v>0</v>
      </c>
      <c r="BZ111" s="3">
        <f>BY111</f>
        <v>0</v>
      </c>
      <c r="CA111" s="3">
        <f>(CA112/(CA$5-BZ$5))*CA$15</f>
        <v>0</v>
      </c>
      <c r="CB111" s="3">
        <f>(CB112/(CB$5-CA$5))*CB$15</f>
        <v>0</v>
      </c>
      <c r="CC111" s="3">
        <f>(CC112/(CC$5-CB$5))*CC$15</f>
        <v>0</v>
      </c>
      <c r="CD111" s="3">
        <f>(CD112/(CD$5-CC$5))*CD$15</f>
        <v>0</v>
      </c>
      <c r="CE111" s="3">
        <f>CD111</f>
        <v>0</v>
      </c>
      <c r="CF111" s="3">
        <f>(CF112/(CF$5-CE$5))*CF$15</f>
        <v>0</v>
      </c>
      <c r="CG111" s="3">
        <f>(CG112/(CG$5-CF$5))*CG$15</f>
        <v>0</v>
      </c>
      <c r="CH111" s="3">
        <f>(CH112/(CH$5-CG$5))*CH$15</f>
        <v>0</v>
      </c>
      <c r="CI111" s="3">
        <f>(CI112/(CI$5-CH$5))*CI$15</f>
        <v>0</v>
      </c>
      <c r="CJ111" s="3">
        <f>CI111</f>
        <v>0</v>
      </c>
      <c r="CK111" s="3">
        <f>(CK112/(CK$5-CJ$5))*CK$15</f>
        <v>0</v>
      </c>
      <c r="CL111" s="3">
        <f>(CL112/(CL$5-CK$5))*CL$15</f>
        <v>0</v>
      </c>
      <c r="CM111" s="3">
        <f>(CM112/(CM$5-CL$5))*CM$15</f>
        <v>0</v>
      </c>
      <c r="CN111" s="3">
        <f>(CN112/(CN$5-CM$5))*CN$15</f>
        <v>0</v>
      </c>
      <c r="CO111" s="3">
        <f>CN111</f>
        <v>0</v>
      </c>
      <c r="CP111" s="3">
        <f>(CP112/(CP$5-CO$5))*CP$15</f>
        <v>0</v>
      </c>
      <c r="CQ111" s="3">
        <f>(CQ112/(CQ$5-CP$5))*CQ$15</f>
        <v>0</v>
      </c>
      <c r="CR111" s="3">
        <f>(CR112/(CR$5-CQ$5))*CR$15</f>
        <v>0</v>
      </c>
      <c r="CS111" s="3">
        <f>(CS112/(CS$5-CR$5))*CS$15</f>
        <v>0</v>
      </c>
      <c r="CT111" s="3">
        <f>CS111</f>
        <v>0</v>
      </c>
      <c r="CU111" s="3">
        <f>(CU112/(CU$5-CT$5))*CU$15</f>
        <v>0</v>
      </c>
      <c r="CV111" s="3">
        <f>(CV112/(CV$5-CU$5))*CV$15</f>
        <v>0</v>
      </c>
      <c r="CW111" s="3">
        <f>(CW112/(CW$5-CV$5))*CW$15</f>
        <v>0</v>
      </c>
      <c r="CX111" s="3">
        <f>(CX112/(CX$5-CW$5))*CX$15</f>
        <v>0</v>
      </c>
      <c r="CY111" s="3">
        <f>CX111</f>
        <v>0</v>
      </c>
    </row>
    <row r="112" hidden="1" outlineLevel="1">
      <c r="C112" s="34" t="inlineStr">
        <is>
          <t>DSO</t>
        </is>
      </c>
      <c r="D112" s="3" t="n"/>
      <c r="E112" s="3">
        <f>(E111/E$15)*(E$5-D$5)</f>
        <v>49.0543197102949</v>
      </c>
      <c r="F112" s="3">
        <f>(F111/F$15)*(F$5-E$5)</f>
        <v>49.5624206517139</v>
      </c>
      <c r="G112" s="3">
        <f>(G111/G$15)*(G$5-F$5)</f>
        <v>44.666799920048</v>
      </c>
      <c r="H112" s="3" t="n"/>
      <c r="I112" s="3">
        <f>(I111/I$15)*(I$5-H$5)</f>
        <v>48.0763116057234</v>
      </c>
      <c r="J112" s="3">
        <f>(J111/J$15)*(J$5-I$5)</f>
        <v>50.1499923159674</v>
      </c>
      <c r="K112" s="3">
        <f>(K111/K$15)*(K$5-J$5)</f>
        <v>51.2132901590877</v>
      </c>
      <c r="L112" s="3">
        <f>(L111/L$15)*(L$5-K$5)</f>
        <v>55.9727855554102</v>
      </c>
      <c r="M112" s="3" t="n"/>
      <c r="N112" s="3">
        <f>(N111/N$15)*(N$5-M$5)</f>
        <v>59.0516409266409</v>
      </c>
      <c r="O112" s="3">
        <f>(O111/O$15)*(O$5-N$5)</f>
        <v>72.1728818615752</v>
      </c>
      <c r="P112" s="3">
        <f>(P111/P$15)*(P$5-O$5)</f>
        <v>76.1315123925139</v>
      </c>
      <c r="Q112" s="3">
        <f>(Q111/Q$15)*(Q$5-P$5)</f>
        <v>58.1860849446373</v>
      </c>
      <c r="R112" s="3" t="n"/>
      <c r="S112" s="3">
        <f>(S111/S$15)*(S$5-R$5)</f>
        <v>51.0567296996663</v>
      </c>
      <c r="T112" s="3">
        <f>(T111/T$15)*(T$5-S$5)</f>
        <v>47.6053897978826</v>
      </c>
      <c r="U112" s="3">
        <f>(U111/U$15)*(U$5-T$5)</f>
        <v>42.1869757174393</v>
      </c>
      <c r="V112" s="3">
        <f>(V111/V$15)*(V$5-U$5)</f>
        <v>41.6191467221644</v>
      </c>
      <c r="W112" s="3" t="n"/>
      <c r="X112" s="3">
        <f>(X111/X$15)*(X$5-W$5)</f>
        <v>43.2043848871141</v>
      </c>
      <c r="Y112" s="3">
        <f>(Y111/Y$15)*(Y$5-X$5)</f>
        <v>42.8099866844208</v>
      </c>
      <c r="Z112" s="3">
        <f>(Z111/Z$15)*(Z$5-Y$5)</f>
        <v>46.3986089732627</v>
      </c>
      <c r="AA112" s="3">
        <f>(AA111/AA$15)*(AA$5-Z$5)</f>
        <v>53.9518446009509</v>
      </c>
      <c r="AB112" s="3" t="n"/>
      <c r="AC112" s="3">
        <f>(AC111/AC$15)*(AC$5-AB$5)</f>
        <v>45.2063002133358</v>
      </c>
      <c r="AD112" s="3">
        <f>(AD111/AD$15)*(AD$5-AC$5)</f>
        <v>54.137047258413</v>
      </c>
      <c r="AE112" s="3">
        <f>(AE111/AE$15)*(AE$5-AD$5)</f>
        <v>53.8885731326527</v>
      </c>
      <c r="AF112" s="6">
        <f>(AF111/AF$15)*(AF$5-AE$5)</f>
        <v>51.9452199568453</v>
      </c>
      <c r="AG112" s="3" t="n"/>
      <c r="AH112" s="6" t="n"/>
      <c r="AI112" s="6" t="n"/>
      <c r="AJ112" s="6" t="n"/>
      <c r="AK112" s="6" t="n"/>
      <c r="AL112" s="3" t="n"/>
      <c r="AM112" s="6" t="n"/>
      <c r="AN112" s="6" t="n"/>
      <c r="AO112" s="6" t="n"/>
      <c r="AP112" s="6" t="n"/>
      <c r="AQ112" s="3" t="n"/>
      <c r="AR112" s="6" t="n"/>
      <c r="AS112" s="6" t="n"/>
      <c r="AT112" s="6" t="n"/>
      <c r="AU112" s="6" t="n"/>
      <c r="AV112" s="3" t="n"/>
      <c r="AW112" s="6" t="n"/>
      <c r="AX112" s="6" t="n"/>
      <c r="AY112" s="6" t="n"/>
      <c r="AZ112" s="6" t="n"/>
      <c r="BA112" s="3" t="n"/>
      <c r="BB112" s="6" t="n"/>
      <c r="BC112" s="6" t="n"/>
      <c r="BD112" s="6" t="n"/>
      <c r="BE112" s="6" t="n"/>
      <c r="BF112" s="3" t="n"/>
      <c r="BG112" s="6" t="n"/>
      <c r="BH112" s="6" t="n"/>
      <c r="BI112" s="6" t="n"/>
      <c r="BJ112" s="6" t="n"/>
      <c r="BK112" s="3" t="n"/>
      <c r="BL112" s="6" t="n"/>
      <c r="BM112" s="6" t="n"/>
      <c r="BN112" s="6" t="n"/>
      <c r="BO112" s="6" t="n"/>
      <c r="BP112" s="3" t="n"/>
      <c r="BQ112" s="6" t="n"/>
      <c r="BR112" s="6" t="n"/>
      <c r="BS112" s="6" t="n"/>
      <c r="BT112" s="6" t="n"/>
      <c r="BU112" s="3" t="n"/>
      <c r="BV112" s="6" t="n"/>
      <c r="BW112" s="6" t="n"/>
      <c r="BX112" s="6" t="n"/>
      <c r="BY112" s="6" t="n"/>
      <c r="BZ112" s="3" t="n"/>
      <c r="CA112" s="6" t="n"/>
      <c r="CB112" s="6" t="n"/>
      <c r="CC112" s="6" t="n"/>
      <c r="CD112" s="6" t="n"/>
      <c r="CE112" s="3" t="n"/>
      <c r="CF112" s="6" t="n"/>
      <c r="CG112" s="6" t="n"/>
      <c r="CH112" s="6" t="n"/>
      <c r="CI112" s="6" t="n"/>
      <c r="CJ112" s="3" t="n"/>
      <c r="CK112" s="6" t="n"/>
      <c r="CL112" s="6" t="n"/>
      <c r="CM112" s="6" t="n"/>
      <c r="CN112" s="6" t="n"/>
      <c r="CO112" s="3" t="n"/>
      <c r="CP112" s="6" t="n"/>
      <c r="CQ112" s="6" t="n"/>
      <c r="CR112" s="6" t="n"/>
      <c r="CS112" s="6" t="n"/>
      <c r="CT112" s="3" t="n"/>
      <c r="CU112" s="6" t="n"/>
      <c r="CV112" s="6" t="n"/>
      <c r="CW112" s="6" t="n"/>
      <c r="CX112" s="6" t="n"/>
      <c r="CY112" s="3" t="n"/>
    </row>
    <row r="113" hidden="1" outlineLevel="1">
      <c r="C113" s="34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  <c r="CU113" s="3" t="n"/>
      <c r="CV113" s="3" t="n"/>
      <c r="CW113" s="3" t="n"/>
      <c r="CX113" s="3" t="n"/>
      <c r="CY113" s="3" t="n"/>
    </row>
    <row r="114" hidden="1" outlineLevel="1">
      <c r="C114" s="34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  <c r="CU114" s="3" t="n"/>
      <c r="CV114" s="3" t="n"/>
      <c r="CW114" s="3" t="n"/>
      <c r="CX114" s="3" t="n"/>
      <c r="CY114" s="3" t="n"/>
    </row>
    <row r="115" collapsed="1">
      <c r="C115" s="26" t="inlineStr">
        <is>
          <t>Inventories</t>
        </is>
      </c>
      <c r="D115" s="25">
        <f>INDEX('Inputs (2)'!$D$17:$AL$17,MATCH(D$7,'Inputs (2)'!$D$2:$AL$2,0))</f>
        <v>1128</v>
      </c>
      <c r="E115" s="25">
        <f>INDEX('Inputs (2)'!$D$17:$AL$17,MATCH(E$7,'Inputs (2)'!$D$2:$AL$2,0))</f>
        <v>1401</v>
      </c>
      <c r="F115" s="25">
        <f>INDEX('Inputs (2)'!$D$17:$AL$17,MATCH(F$7,'Inputs (2)'!$D$2:$AL$2,0))</f>
        <v>1495</v>
      </c>
      <c r="G115" s="25">
        <f>INDEX('Inputs (2)'!$D$17:$AL$17,MATCH(G$7,'Inputs (2)'!$D$2:$AL$2,0))</f>
        <v>1826</v>
      </c>
      <c r="H115" s="3">
        <f>G115</f>
        <v>1826</v>
      </c>
      <c r="I115" s="25">
        <f>INDEX('Inputs (2)'!$D$17:$AL$17,MATCH(I$7,'Inputs (2)'!$D$2:$AL$2,0))</f>
        <v>1992</v>
      </c>
      <c r="J115" s="25">
        <f>INDEX('Inputs (2)'!$D$17:$AL$17,MATCH(J$7,'Inputs (2)'!$D$2:$AL$2,0))</f>
        <v>2114</v>
      </c>
      <c r="K115" s="25">
        <f>INDEX('Inputs (2)'!$D$17:$AL$17,MATCH(K$7,'Inputs (2)'!$D$2:$AL$2,0))</f>
        <v>2233</v>
      </c>
      <c r="L115" s="25">
        <f>INDEX('Inputs (2)'!$D$17:$AL$17,MATCH(L$7,'Inputs (2)'!$D$2:$AL$2,0))</f>
        <v>2605</v>
      </c>
      <c r="M115" s="3">
        <f>L115</f>
        <v>2605</v>
      </c>
      <c r="N115" s="25">
        <f>INDEX('Inputs (2)'!$D$17:$AL$17,MATCH(N$7,'Inputs (2)'!$D$2:$AL$2,0))</f>
        <v>3163</v>
      </c>
      <c r="O115" s="25">
        <f>INDEX('Inputs (2)'!$D$17:$AL$17,MATCH(O$7,'Inputs (2)'!$D$2:$AL$2,0))</f>
        <v>3889</v>
      </c>
      <c r="P115" s="25">
        <f>INDEX('Inputs (2)'!$D$17:$AL$17,MATCH(P$7,'Inputs (2)'!$D$2:$AL$2,0))</f>
        <v>4454</v>
      </c>
      <c r="Q115" s="25">
        <f>INDEX('Inputs (2)'!$D$17:$AL$17,MATCH(Q$7,'Inputs (2)'!$D$2:$AL$2,0))</f>
        <v>5159</v>
      </c>
      <c r="R115" s="3">
        <f>Q115</f>
        <v>5159</v>
      </c>
      <c r="S115" s="25">
        <f>INDEX('Inputs (2)'!$D$17:$AL$17,MATCH(S$7,'Inputs (2)'!$D$2:$AL$2,0))</f>
        <v>4611</v>
      </c>
      <c r="T115" s="25">
        <f>INDEX('Inputs (2)'!$D$17:$AL$17,MATCH(T$7,'Inputs (2)'!$D$2:$AL$2,0))</f>
        <v>4319</v>
      </c>
      <c r="U115" s="25">
        <f>INDEX('Inputs (2)'!$D$17:$AL$17,MATCH(U$7,'Inputs (2)'!$D$2:$AL$2,0))</f>
        <v>4779</v>
      </c>
      <c r="V115" s="25">
        <f>INDEX('Inputs (2)'!$D$17:$AL$17,MATCH(V$7,'Inputs (2)'!$D$2:$AL$2,0))</f>
        <v>5282</v>
      </c>
      <c r="W115" s="3">
        <f>V115</f>
        <v>5282</v>
      </c>
      <c r="X115" s="25">
        <f>INDEX('Inputs (2)'!$D$17:$AL$17,MATCH(X$7,'Inputs (2)'!$D$2:$AL$2,0))</f>
        <v>5864</v>
      </c>
      <c r="Y115" s="25">
        <f>INDEX('Inputs (2)'!$D$17:$AL$17,MATCH(Y$7,'Inputs (2)'!$D$2:$AL$2,0))</f>
        <v>6675</v>
      </c>
      <c r="Z115" s="25">
        <f>INDEX('Inputs (2)'!$D$17:$AL$17,MATCH(Z$7,'Inputs (2)'!$D$2:$AL$2,0))</f>
        <v>7654</v>
      </c>
      <c r="AA115" s="25">
        <f>INDEX('Inputs (2)'!$D$17:$AL$17,MATCH(AA$7,'Inputs (2)'!$D$2:$AL$2,0))</f>
        <v>10080</v>
      </c>
      <c r="AB115" s="3">
        <f>AA115</f>
        <v>10080</v>
      </c>
      <c r="AC115" s="25">
        <f>INDEX('Inputs (2)'!$D$17:$AL$17,MATCH(AC$7,'Inputs (2)'!$D$2:$AL$2,0))</f>
        <v>11333</v>
      </c>
      <c r="AD115" s="25">
        <f>INDEX('Inputs (2)'!$D$17:$AL$17,MATCH(AD$7,'Inputs (2)'!$D$2:$AL$2,0))</f>
        <v>14962</v>
      </c>
      <c r="AE115" s="25">
        <f>INDEX('Inputs (2)'!$D$17:$AL$17,MATCH(AE$7,'Inputs (2)'!$D$2:$AL$2,0))</f>
        <v>19784</v>
      </c>
      <c r="AF115" s="25">
        <f>INDEX('Inputs (2)'!$D$17:$AL$17,MATCH(AF$7,'Inputs (2)'!$D$2:$AL$2,0))</f>
        <v>21403</v>
      </c>
      <c r="AG115" s="3">
        <f>AF115</f>
        <v>21403</v>
      </c>
      <c r="AH115" s="3">
        <f>(AH116/(AH$5-AG$5))*-AH$20</f>
        <v>0</v>
      </c>
      <c r="AI115" s="3">
        <f>(AI116/(AI$5-AH$5))*-AI$20</f>
        <v>0</v>
      </c>
      <c r="AJ115" s="3">
        <f>(AJ116/(AJ$5-AI$5))*-AJ$20</f>
        <v>0</v>
      </c>
      <c r="AK115" s="3">
        <f>(AK116/(AK$5-AJ$5))*-AK$20</f>
        <v>0</v>
      </c>
      <c r="AL115" s="3">
        <f>AK115</f>
        <v>0</v>
      </c>
      <c r="AM115" s="3">
        <f>(AM116/(AM$5-AL$5))*-AM$20</f>
        <v>0</v>
      </c>
      <c r="AN115" s="3">
        <f>(AN116/(AN$5-AM$5))*-AN$20</f>
        <v>0</v>
      </c>
      <c r="AO115" s="3">
        <f>(AO116/(AO$5-AN$5))*-AO$20</f>
        <v>0</v>
      </c>
      <c r="AP115" s="3">
        <f>(AP116/(AP$5-AO$5))*-AP$20</f>
        <v>0</v>
      </c>
      <c r="AQ115" s="3">
        <f>AP115</f>
        <v>0</v>
      </c>
      <c r="AR115" s="3">
        <f>(AR116/(AR$5-AQ$5))*-AR$20</f>
        <v>0</v>
      </c>
      <c r="AS115" s="3">
        <f>(AS116/(AS$5-AR$5))*-AS$20</f>
        <v>0</v>
      </c>
      <c r="AT115" s="3">
        <f>(AT116/(AT$5-AS$5))*-AT$20</f>
        <v>0</v>
      </c>
      <c r="AU115" s="3">
        <f>(AU116/(AU$5-AT$5))*-AU$20</f>
        <v>0</v>
      </c>
      <c r="AV115" s="3">
        <f>AU115</f>
        <v>0</v>
      </c>
      <c r="AW115" s="3">
        <f>(AW116/(AW$5-AV$5))*-AW$20</f>
        <v>0</v>
      </c>
      <c r="AX115" s="3">
        <f>(AX116/(AX$5-AW$5))*-AX$20</f>
        <v>0</v>
      </c>
      <c r="AY115" s="3">
        <f>(AY116/(AY$5-AX$5))*-AY$20</f>
        <v>0</v>
      </c>
      <c r="AZ115" s="3">
        <f>(AZ116/(AZ$5-AY$5))*-AZ$20</f>
        <v>0</v>
      </c>
      <c r="BA115" s="3">
        <f>AZ115</f>
        <v>0</v>
      </c>
      <c r="BB115" s="3">
        <f>(BB116/(BB$5-BA$5))*-BB$20</f>
        <v>0</v>
      </c>
      <c r="BC115" s="3">
        <f>(BC116/(BC$5-BB$5))*-BC$20</f>
        <v>0</v>
      </c>
      <c r="BD115" s="3">
        <f>(BD116/(BD$5-BC$5))*-BD$20</f>
        <v>0</v>
      </c>
      <c r="BE115" s="3">
        <f>(BE116/(BE$5-BD$5))*-BE$20</f>
        <v>0</v>
      </c>
      <c r="BF115" s="3">
        <f>BE115</f>
        <v>0</v>
      </c>
      <c r="BG115" s="3">
        <f>(BG116/(BG$5-BF$5))*-BG$20</f>
        <v>0</v>
      </c>
      <c r="BH115" s="3">
        <f>(BH116/(BH$5-BG$5))*-BH$20</f>
        <v>0</v>
      </c>
      <c r="BI115" s="3">
        <f>(BI116/(BI$5-BH$5))*-BI$20</f>
        <v>0</v>
      </c>
      <c r="BJ115" s="3">
        <f>(BJ116/(BJ$5-BI$5))*-BJ$20</f>
        <v>0</v>
      </c>
      <c r="BK115" s="3">
        <f>BJ115</f>
        <v>0</v>
      </c>
      <c r="BL115" s="3">
        <f>(BL116/(BL$5-BK$5))*-BL$20</f>
        <v>0</v>
      </c>
      <c r="BM115" s="3">
        <f>(BM116/(BM$5-BL$5))*-BM$20</f>
        <v>0</v>
      </c>
      <c r="BN115" s="3">
        <f>(BN116/(BN$5-BM$5))*-BN$20</f>
        <v>0</v>
      </c>
      <c r="BO115" s="3">
        <f>(BO116/(BO$5-BN$5))*-BO$20</f>
        <v>0</v>
      </c>
      <c r="BP115" s="3">
        <f>BO115</f>
        <v>0</v>
      </c>
      <c r="BQ115" s="3">
        <f>(BQ116/(BQ$5-BP$5))*-BQ$20</f>
        <v>0</v>
      </c>
      <c r="BR115" s="3">
        <f>(BR116/(BR$5-BQ$5))*-BR$20</f>
        <v>0</v>
      </c>
      <c r="BS115" s="3">
        <f>(BS116/(BS$5-BR$5))*-BS$20</f>
        <v>0</v>
      </c>
      <c r="BT115" s="3">
        <f>(BT116/(BT$5-BS$5))*-BT$20</f>
        <v>0</v>
      </c>
      <c r="BU115" s="3">
        <f>BT115</f>
        <v>0</v>
      </c>
      <c r="BV115" s="3">
        <f>(BV116/(BV$5-BU$5))*-BV$20</f>
        <v>0</v>
      </c>
      <c r="BW115" s="3">
        <f>(BW116/(BW$5-BV$5))*-BW$20</f>
        <v>0</v>
      </c>
      <c r="BX115" s="3">
        <f>(BX116/(BX$5-BW$5))*-BX$20</f>
        <v>0</v>
      </c>
      <c r="BY115" s="3">
        <f>(BY116/(BY$5-BX$5))*-BY$20</f>
        <v>0</v>
      </c>
      <c r="BZ115" s="3">
        <f>BY115</f>
        <v>0</v>
      </c>
      <c r="CA115" s="3">
        <f>(CA116/(CA$5-BZ$5))*-CA$20</f>
        <v>0</v>
      </c>
      <c r="CB115" s="3">
        <f>(CB116/(CB$5-CA$5))*-CB$20</f>
        <v>0</v>
      </c>
      <c r="CC115" s="3">
        <f>(CC116/(CC$5-CB$5))*-CC$20</f>
        <v>0</v>
      </c>
      <c r="CD115" s="3">
        <f>(CD116/(CD$5-CC$5))*-CD$20</f>
        <v>0</v>
      </c>
      <c r="CE115" s="3">
        <f>CD115</f>
        <v>0</v>
      </c>
      <c r="CF115" s="3">
        <f>(CF116/(CF$5-CE$5))*-CF$20</f>
        <v>0</v>
      </c>
      <c r="CG115" s="3">
        <f>(CG116/(CG$5-CF$5))*-CG$20</f>
        <v>0</v>
      </c>
      <c r="CH115" s="3">
        <f>(CH116/(CH$5-CG$5))*-CH$20</f>
        <v>0</v>
      </c>
      <c r="CI115" s="3">
        <f>(CI116/(CI$5-CH$5))*-CI$20</f>
        <v>0</v>
      </c>
      <c r="CJ115" s="3">
        <f>CI115</f>
        <v>0</v>
      </c>
      <c r="CK115" s="3">
        <f>(CK116/(CK$5-CJ$5))*-CK$20</f>
        <v>0</v>
      </c>
      <c r="CL115" s="3">
        <f>(CL116/(CL$5-CK$5))*-CL$20</f>
        <v>0</v>
      </c>
      <c r="CM115" s="3">
        <f>(CM116/(CM$5-CL$5))*-CM$20</f>
        <v>0</v>
      </c>
      <c r="CN115" s="3">
        <f>(CN116/(CN$5-CM$5))*-CN$20</f>
        <v>0</v>
      </c>
      <c r="CO115" s="3">
        <f>CN115</f>
        <v>0</v>
      </c>
      <c r="CP115" s="3">
        <f>(CP116/(CP$5-CO$5))*-CP$20</f>
        <v>0</v>
      </c>
      <c r="CQ115" s="3">
        <f>(CQ116/(CQ$5-CP$5))*-CQ$20</f>
        <v>0</v>
      </c>
      <c r="CR115" s="3">
        <f>(CR116/(CR$5-CQ$5))*-CR$20</f>
        <v>0</v>
      </c>
      <c r="CS115" s="3">
        <f>(CS116/(CS$5-CR$5))*-CS$20</f>
        <v>0</v>
      </c>
      <c r="CT115" s="3">
        <f>CS115</f>
        <v>0</v>
      </c>
      <c r="CU115" s="3">
        <f>(CU116/(CU$5-CT$5))*-CU$20</f>
        <v>0</v>
      </c>
      <c r="CV115" s="3">
        <f>(CV116/(CV$5-CU$5))*-CV$20</f>
        <v>0</v>
      </c>
      <c r="CW115" s="3">
        <f>(CW116/(CW$5-CV$5))*-CW$20</f>
        <v>0</v>
      </c>
      <c r="CX115" s="3">
        <f>(CX116/(CX$5-CW$5))*-CX$20</f>
        <v>0</v>
      </c>
      <c r="CY115" s="3">
        <f>CX115</f>
        <v>0</v>
      </c>
    </row>
    <row r="116" hidden="1" outlineLevel="1">
      <c r="C116" s="34" t="inlineStr">
        <is>
          <t>DIO</t>
        </is>
      </c>
      <c r="D116" s="3" t="n"/>
      <c r="E116" s="3">
        <f>((E115/E$20)*(E$5-D$5))*-1</f>
        <v>80.1326209930861</v>
      </c>
      <c r="F116" s="3">
        <f>((F115/F$20)*(F$5-E$5))*-1</f>
        <v>77.8822197055493</v>
      </c>
      <c r="G116" s="3">
        <f>((G115/G$20)*(G$5-F$5))*-1</f>
        <v>91.0032502708559</v>
      </c>
      <c r="H116" s="3" t="n"/>
      <c r="I116" s="3">
        <f>((I115/I$20)*(I$5-H$5))*-1</f>
        <v>88.2283464566929</v>
      </c>
      <c r="J116" s="3">
        <f>((J115/J$20)*(J$5-I$5))*-1</f>
        <v>83.9328097731239</v>
      </c>
      <c r="K116" s="3">
        <f>((K115/K$20)*(K$5-J$5))*-1</f>
        <v>83.1051779935275</v>
      </c>
      <c r="L116" s="3">
        <f>((L115/L$20)*(L$5-K$5))*-1</f>
        <v>90.6772606886114</v>
      </c>
      <c r="M116" s="3" t="n"/>
      <c r="N116" s="3">
        <f>((N115/N$20)*(N$5-M$5))*-1</f>
        <v>99.6394819740987</v>
      </c>
      <c r="O116" s="3">
        <f>((O115/O$20)*(O$5-N$5))*-1</f>
        <v>93.4016891000264</v>
      </c>
      <c r="P116" s="3">
        <f>((P115/P$20)*(P$5-O$5))*-1</f>
        <v>148.79012345679</v>
      </c>
      <c r="Q116" s="3">
        <f>((Q115/Q$20)*(Q$5-P$5))*-1</f>
        <v>213.989179440938</v>
      </c>
      <c r="R116" s="3" t="n"/>
      <c r="S116" s="3">
        <f>((S115/S$20)*(S$5-R$5))*-1</f>
        <v>163.125</v>
      </c>
      <c r="T116" s="3">
        <f>((T115/T$20)*(T$5-S$5))*-1</f>
        <v>97.1641532756489</v>
      </c>
      <c r="U116" s="3">
        <f>((U115/U$20)*(U$5-T$5))*-1</f>
        <v>93.15</v>
      </c>
      <c r="V116" s="3">
        <f>((V115/V$20)*(V$5-U$5))*-1</f>
        <v>91.480421686747</v>
      </c>
      <c r="W116" s="3" t="n"/>
      <c r="X116" s="3">
        <f>((X115/X$20)*(X$5-W$5))*-1</f>
        <v>94.647747428166</v>
      </c>
      <c r="Y116" s="3">
        <f>((Y115/Y$20)*(Y$5-X$5))*-1</f>
        <v>81.3588266809537</v>
      </c>
      <c r="Z116" s="3">
        <f>((Z115/Z$20)*(Z$5-Y$5))*-1</f>
        <v>78.8895361864217</v>
      </c>
      <c r="AA116" s="3">
        <f>((AA115/AA$20)*(AA$5-Z$5))*-1</f>
        <v>87.4125742294279</v>
      </c>
      <c r="AB116" s="3" t="n"/>
      <c r="AC116" s="3">
        <f>((AC115/AC$20)*(AC$5-AB$5))*-1</f>
        <v>58.6391859261815</v>
      </c>
      <c r="AD116" s="3">
        <f>((AD115/AD$20)*(AD$5-AC$5))*-1</f>
        <v>105.627773467805</v>
      </c>
      <c r="AE116" s="3">
        <f>((AE115/AE$20)*(AE$5-AD$5))*-1</f>
        <v>120.08497723824</v>
      </c>
      <c r="AF116" s="6">
        <f>((AF115/AF$20)*(AF$5-AE$5))*-1</f>
        <v>115.596806387226</v>
      </c>
      <c r="AG116" s="3" t="n"/>
      <c r="AH116" s="6" t="n"/>
      <c r="AI116" s="6" t="n"/>
      <c r="AJ116" s="6" t="n"/>
      <c r="AK116" s="6" t="n"/>
      <c r="AL116" s="3" t="n"/>
      <c r="AM116" s="6" t="n"/>
      <c r="AN116" s="6" t="n"/>
      <c r="AO116" s="6" t="n"/>
      <c r="AP116" s="6" t="n"/>
      <c r="AQ116" s="3" t="n"/>
      <c r="AR116" s="6" t="n"/>
      <c r="AS116" s="6" t="n"/>
      <c r="AT116" s="6" t="n"/>
      <c r="AU116" s="6" t="n"/>
      <c r="AV116" s="3" t="n"/>
      <c r="AW116" s="6" t="n"/>
      <c r="AX116" s="6" t="n"/>
      <c r="AY116" s="6" t="n"/>
      <c r="AZ116" s="6" t="n"/>
      <c r="BA116" s="3" t="n"/>
      <c r="BB116" s="6" t="n"/>
      <c r="BC116" s="6" t="n"/>
      <c r="BD116" s="6" t="n"/>
      <c r="BE116" s="6" t="n"/>
      <c r="BF116" s="3" t="n"/>
      <c r="BG116" s="6" t="n"/>
      <c r="BH116" s="6" t="n"/>
      <c r="BI116" s="6" t="n"/>
      <c r="BJ116" s="6" t="n"/>
      <c r="BK116" s="3" t="n"/>
      <c r="BL116" s="6" t="n"/>
      <c r="BM116" s="6" t="n"/>
      <c r="BN116" s="6" t="n"/>
      <c r="BO116" s="6" t="n"/>
      <c r="BP116" s="3" t="n"/>
      <c r="BQ116" s="6" t="n"/>
      <c r="BR116" s="6" t="n"/>
      <c r="BS116" s="6" t="n"/>
      <c r="BT116" s="6" t="n"/>
      <c r="BU116" s="3" t="n"/>
      <c r="BV116" s="6" t="n"/>
      <c r="BW116" s="6" t="n"/>
      <c r="BX116" s="6" t="n"/>
      <c r="BY116" s="6" t="n"/>
      <c r="BZ116" s="3" t="n"/>
      <c r="CA116" s="6" t="n"/>
      <c r="CB116" s="6" t="n"/>
      <c r="CC116" s="6" t="n"/>
      <c r="CD116" s="6" t="n"/>
      <c r="CE116" s="3" t="n"/>
      <c r="CF116" s="6" t="n"/>
      <c r="CG116" s="6" t="n"/>
      <c r="CH116" s="6" t="n"/>
      <c r="CI116" s="6" t="n"/>
      <c r="CJ116" s="3" t="n"/>
      <c r="CK116" s="6" t="n"/>
      <c r="CL116" s="6" t="n"/>
      <c r="CM116" s="6" t="n"/>
      <c r="CN116" s="6" t="n"/>
      <c r="CO116" s="3" t="n"/>
      <c r="CP116" s="6" t="n"/>
      <c r="CQ116" s="6" t="n"/>
      <c r="CR116" s="6" t="n"/>
      <c r="CS116" s="6" t="n"/>
      <c r="CT116" s="3" t="n"/>
      <c r="CU116" s="6" t="n"/>
      <c r="CV116" s="6" t="n"/>
      <c r="CW116" s="6" t="n"/>
      <c r="CX116" s="6" t="n"/>
      <c r="CY116" s="3" t="n"/>
    </row>
    <row r="117" hidden="1" outlineLevel="1">
      <c r="C117" s="34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  <c r="CU117" s="3" t="n"/>
      <c r="CV117" s="3" t="n"/>
      <c r="CW117" s="3" t="n"/>
      <c r="CX117" s="3" t="n"/>
      <c r="CY117" s="3" t="n"/>
    </row>
    <row r="118" hidden="1" outlineLevel="1">
      <c r="C118" s="34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  <c r="CU118" s="3" t="n"/>
      <c r="CV118" s="3" t="n"/>
      <c r="CW118" s="3" t="n"/>
      <c r="CX118" s="3" t="n"/>
      <c r="CY118" s="3" t="n"/>
    </row>
    <row r="119" collapsed="1">
      <c r="C119" s="26" t="inlineStr">
        <is>
          <t>Deferred income taxes</t>
        </is>
      </c>
      <c r="D119" s="25">
        <f>INDEX('Inputs (2)'!$D$18:$AL$18,MATCH(D$7,'Inputs (2)'!$D$2:$AL$2,0))</f>
        <v>533</v>
      </c>
      <c r="E119" s="25">
        <f>INDEX('Inputs (2)'!$D$18:$AL$18,MATCH(E$7,'Inputs (2)'!$D$2:$AL$2,0))</f>
        <v>630</v>
      </c>
      <c r="F119" s="25">
        <f>INDEX('Inputs (2)'!$D$18:$AL$18,MATCH(F$7,'Inputs (2)'!$D$2:$AL$2,0))</f>
        <v>666</v>
      </c>
      <c r="G119" s="25">
        <f>INDEX('Inputs (2)'!$D$18:$AL$18,MATCH(G$7,'Inputs (2)'!$D$2:$AL$2,0))</f>
        <v>806</v>
      </c>
      <c r="H119" s="3">
        <f>G119</f>
        <v>806</v>
      </c>
      <c r="I119" s="25">
        <f>INDEX('Inputs (2)'!$D$18:$AL$18,MATCH(I$7,'Inputs (2)'!$D$2:$AL$2,0))</f>
        <v>778</v>
      </c>
      <c r="J119" s="25">
        <f>INDEX('Inputs (2)'!$D$18:$AL$18,MATCH(J$7,'Inputs (2)'!$D$2:$AL$2,0))</f>
        <v>958</v>
      </c>
      <c r="K119" s="25">
        <f>INDEX('Inputs (2)'!$D$18:$AL$18,MATCH(K$7,'Inputs (2)'!$D$2:$AL$2,0))</f>
        <v>970</v>
      </c>
      <c r="L119" s="25">
        <f>INDEX('Inputs (2)'!$D$18:$AL$18,MATCH(L$7,'Inputs (2)'!$D$2:$AL$2,0))</f>
        <v>1222</v>
      </c>
      <c r="M119" s="3">
        <f>L119</f>
        <v>1222</v>
      </c>
      <c r="N119" s="25">
        <f>INDEX('Inputs (2)'!$D$18:$AL$18,MATCH(N$7,'Inputs (2)'!$D$2:$AL$2,0))</f>
        <v>1784</v>
      </c>
      <c r="O119" s="25">
        <f>INDEX('Inputs (2)'!$D$18:$AL$18,MATCH(O$7,'Inputs (2)'!$D$2:$AL$2,0))</f>
        <v>2225</v>
      </c>
      <c r="P119" s="25">
        <f>INDEX('Inputs (2)'!$D$18:$AL$18,MATCH(P$7,'Inputs (2)'!$D$2:$AL$2,0))</f>
        <v>2762</v>
      </c>
      <c r="Q119" s="25">
        <f>INDEX('Inputs (2)'!$D$18:$AL$18,MATCH(Q$7,'Inputs (2)'!$D$2:$AL$2,0))</f>
        <v>3396</v>
      </c>
      <c r="R119" s="3">
        <f>Q119</f>
        <v>3396</v>
      </c>
      <c r="S119" s="25">
        <f>INDEX('Inputs (2)'!$D$18:$AL$18,MATCH(S$7,'Inputs (2)'!$D$2:$AL$2,0))</f>
        <v>4568</v>
      </c>
      <c r="T119" s="25">
        <f>INDEX('Inputs (2)'!$D$18:$AL$18,MATCH(T$7,'Inputs (2)'!$D$2:$AL$2,0))</f>
        <v>5398</v>
      </c>
      <c r="U119" s="25">
        <f>INDEX('Inputs (2)'!$D$18:$AL$18,MATCH(U$7,'Inputs (2)'!$D$2:$AL$2,0))</f>
        <v>5982</v>
      </c>
      <c r="V119" s="25">
        <f>INDEX('Inputs (2)'!$D$18:$AL$18,MATCH(V$7,'Inputs (2)'!$D$2:$AL$2,0))</f>
        <v>6081</v>
      </c>
      <c r="W119" s="3">
        <f>V119</f>
        <v>6081</v>
      </c>
      <c r="X119" s="25">
        <f>INDEX('Inputs (2)'!$D$18:$AL$18,MATCH(X$7,'Inputs (2)'!$D$2:$AL$2,0))</f>
        <v>7798</v>
      </c>
      <c r="Y119" s="25">
        <f>INDEX('Inputs (2)'!$D$18:$AL$18,MATCH(Y$7,'Inputs (2)'!$D$2:$AL$2,0))</f>
        <v>9578</v>
      </c>
      <c r="Z119" s="25">
        <f>INDEX('Inputs (2)'!$D$18:$AL$18,MATCH(Z$7,'Inputs (2)'!$D$2:$AL$2,0))</f>
        <v>10276</v>
      </c>
      <c r="AA119" s="25">
        <f>INDEX('Inputs (2)'!$D$18:$AL$18,MATCH(AA$7,'Inputs (2)'!$D$2:$AL$2,0))</f>
        <v>10979</v>
      </c>
      <c r="AB119" s="3">
        <f>AA119</f>
        <v>10979</v>
      </c>
      <c r="AC119" s="25">
        <f>INDEX('Inputs (2)'!$D$18:$AL$18,MATCH(AC$7,'Inputs (2)'!$D$2:$AL$2,0))</f>
        <v>13318</v>
      </c>
      <c r="AD119" s="25">
        <f>INDEX('Inputs (2)'!$D$18:$AL$18,MATCH(AD$7,'Inputs (2)'!$D$2:$AL$2,0))</f>
        <v>13570</v>
      </c>
      <c r="AE119" s="25">
        <f>INDEX('Inputs (2)'!$D$18:$AL$18,MATCH(AE$7,'Inputs (2)'!$D$2:$AL$2,0))</f>
        <v>13674</v>
      </c>
      <c r="AF119" s="25">
        <f>INDEX('Inputs (2)'!$D$18:$AL$18,MATCH(AF$7,'Inputs (2)'!$D$2:$AL$2,0))</f>
        <v>13258</v>
      </c>
      <c r="AG119" s="3">
        <f>AF119</f>
        <v>13258</v>
      </c>
      <c r="AH119" s="3">
        <f>AG119</f>
        <v>13258</v>
      </c>
      <c r="AI119" s="3">
        <f>AH119</f>
        <v>13258</v>
      </c>
      <c r="AJ119" s="3">
        <f>AI119</f>
        <v>13258</v>
      </c>
      <c r="AK119" s="3">
        <f>AJ119</f>
        <v>13258</v>
      </c>
      <c r="AL119" s="3">
        <f>AK119</f>
        <v>13258</v>
      </c>
      <c r="AM119" s="3">
        <f>AL119</f>
        <v>13258</v>
      </c>
      <c r="AN119" s="3">
        <f>AM119</f>
        <v>13258</v>
      </c>
      <c r="AO119" s="3">
        <f>AN119</f>
        <v>13258</v>
      </c>
      <c r="AP119" s="3">
        <f>AO119</f>
        <v>13258</v>
      </c>
      <c r="AQ119" s="3">
        <f>AP119</f>
        <v>13258</v>
      </c>
      <c r="AR119" s="3">
        <f>AQ119</f>
        <v>13258</v>
      </c>
      <c r="AS119" s="3">
        <f>AR119</f>
        <v>13258</v>
      </c>
      <c r="AT119" s="3">
        <f>AS119</f>
        <v>13258</v>
      </c>
      <c r="AU119" s="3">
        <f>AT119</f>
        <v>13258</v>
      </c>
      <c r="AV119" s="3">
        <f>AU119</f>
        <v>13258</v>
      </c>
      <c r="AW119" s="3">
        <f>AV119</f>
        <v>13258</v>
      </c>
      <c r="AX119" s="3">
        <f>AW119</f>
        <v>13258</v>
      </c>
      <c r="AY119" s="3">
        <f>AX119</f>
        <v>13258</v>
      </c>
      <c r="AZ119" s="3">
        <f>AY119</f>
        <v>13258</v>
      </c>
      <c r="BA119" s="3">
        <f>AZ119</f>
        <v>13258</v>
      </c>
      <c r="BB119" s="3">
        <f>BA119</f>
        <v>13258</v>
      </c>
      <c r="BC119" s="3">
        <f>BB119</f>
        <v>13258</v>
      </c>
      <c r="BD119" s="3">
        <f>BC119</f>
        <v>13258</v>
      </c>
      <c r="BE119" s="3">
        <f>BD119</f>
        <v>13258</v>
      </c>
      <c r="BF119" s="3">
        <f>BE119</f>
        <v>13258</v>
      </c>
      <c r="BG119" s="3">
        <f>BF119</f>
        <v>13258</v>
      </c>
      <c r="BH119" s="3">
        <f>BG119</f>
        <v>13258</v>
      </c>
      <c r="BI119" s="3">
        <f>BH119</f>
        <v>13258</v>
      </c>
      <c r="BJ119" s="3">
        <f>BI119</f>
        <v>13258</v>
      </c>
      <c r="BK119" s="3">
        <f>BJ119</f>
        <v>13258</v>
      </c>
      <c r="BL119" s="3">
        <f>BK119</f>
        <v>13258</v>
      </c>
      <c r="BM119" s="3">
        <f>BL119</f>
        <v>13258</v>
      </c>
      <c r="BN119" s="3">
        <f>BM119</f>
        <v>13258</v>
      </c>
      <c r="BO119" s="3">
        <f>BN119</f>
        <v>13258</v>
      </c>
      <c r="BP119" s="3">
        <f>BO119</f>
        <v>13258</v>
      </c>
      <c r="BQ119" s="3">
        <f>BP119</f>
        <v>13258</v>
      </c>
      <c r="BR119" s="3">
        <f>BQ119</f>
        <v>13258</v>
      </c>
      <c r="BS119" s="3">
        <f>BR119</f>
        <v>13258</v>
      </c>
      <c r="BT119" s="3">
        <f>BS119</f>
        <v>13258</v>
      </c>
      <c r="BU119" s="3">
        <f>BT119</f>
        <v>13258</v>
      </c>
      <c r="BV119" s="3">
        <f>BU119</f>
        <v>13258</v>
      </c>
      <c r="BW119" s="3">
        <f>BV119</f>
        <v>13258</v>
      </c>
      <c r="BX119" s="3">
        <f>BW119</f>
        <v>13258</v>
      </c>
      <c r="BY119" s="3">
        <f>BX119</f>
        <v>13258</v>
      </c>
      <c r="BZ119" s="3">
        <f>BY119</f>
        <v>13258</v>
      </c>
      <c r="CA119" s="3">
        <f>BZ119</f>
        <v>13258</v>
      </c>
      <c r="CB119" s="3">
        <f>CA119</f>
        <v>13258</v>
      </c>
      <c r="CC119" s="3">
        <f>CB119</f>
        <v>13258</v>
      </c>
      <c r="CD119" s="3">
        <f>CC119</f>
        <v>13258</v>
      </c>
      <c r="CE119" s="3">
        <f>CD119</f>
        <v>13258</v>
      </c>
      <c r="CF119" s="3">
        <f>CE119</f>
        <v>13258</v>
      </c>
      <c r="CG119" s="3">
        <f>CF119</f>
        <v>13258</v>
      </c>
      <c r="CH119" s="3">
        <f>CG119</f>
        <v>13258</v>
      </c>
      <c r="CI119" s="3">
        <f>CH119</f>
        <v>13258</v>
      </c>
      <c r="CJ119" s="3">
        <f>CI119</f>
        <v>13258</v>
      </c>
      <c r="CK119" s="3">
        <f>CJ119</f>
        <v>13258</v>
      </c>
      <c r="CL119" s="3">
        <f>CK119</f>
        <v>13258</v>
      </c>
      <c r="CM119" s="3">
        <f>CL119</f>
        <v>13258</v>
      </c>
      <c r="CN119" s="3">
        <f>CM119</f>
        <v>13258</v>
      </c>
      <c r="CO119" s="3">
        <f>CN119</f>
        <v>13258</v>
      </c>
      <c r="CP119" s="3">
        <f>CO119</f>
        <v>13258</v>
      </c>
      <c r="CQ119" s="3">
        <f>CP119</f>
        <v>13258</v>
      </c>
      <c r="CR119" s="3">
        <f>CQ119</f>
        <v>13258</v>
      </c>
      <c r="CS119" s="3">
        <f>CR119</f>
        <v>13258</v>
      </c>
      <c r="CT119" s="3">
        <f>CS119</f>
        <v>13258</v>
      </c>
      <c r="CU119" s="3">
        <f>CT119</f>
        <v>13258</v>
      </c>
      <c r="CV119" s="3">
        <f>CU119</f>
        <v>13258</v>
      </c>
      <c r="CW119" s="3">
        <f>CV119</f>
        <v>13258</v>
      </c>
      <c r="CX119" s="3">
        <f>CW119</f>
        <v>13258</v>
      </c>
      <c r="CY119" s="3">
        <f>CX119</f>
        <v>13258</v>
      </c>
    </row>
    <row r="120">
      <c r="C120" s="26" t="inlineStr">
        <is>
          <t>Prepaid expenses</t>
        </is>
      </c>
      <c r="D120" s="25" t="n"/>
      <c r="E120" s="25" t="n"/>
      <c r="F120" s="25" t="n"/>
      <c r="G120" s="25" t="n"/>
      <c r="H120" s="3">
        <f>G120</f>
        <v>0</v>
      </c>
      <c r="I120" s="25" t="n"/>
      <c r="J120" s="25" t="n"/>
      <c r="K120" s="25" t="n"/>
      <c r="L120" s="25" t="n"/>
      <c r="M120" s="3">
        <f>L120</f>
        <v>0</v>
      </c>
      <c r="N120" s="25" t="n"/>
      <c r="O120" s="25" t="n"/>
      <c r="P120" s="25" t="n"/>
      <c r="Q120" s="25" t="n"/>
      <c r="R120" s="3">
        <f>Q120</f>
        <v>0</v>
      </c>
      <c r="S120" s="25" t="n"/>
      <c r="T120" s="25" t="n"/>
      <c r="U120" s="25" t="n"/>
      <c r="V120" s="25" t="n"/>
      <c r="W120" s="3">
        <f>V120</f>
        <v>0</v>
      </c>
      <c r="X120" s="25" t="n"/>
      <c r="Y120" s="25" t="n"/>
      <c r="Z120" s="25" t="n"/>
      <c r="AA120" s="25" t="n"/>
      <c r="AB120" s="3">
        <f>AA120</f>
        <v>0</v>
      </c>
      <c r="AC120" s="25" t="n"/>
      <c r="AD120" s="25" t="n"/>
      <c r="AE120" s="25" t="n"/>
      <c r="AF120" s="25" t="n"/>
      <c r="AG120" s="3">
        <f>AF120</f>
        <v>0</v>
      </c>
      <c r="AH120" s="3">
        <f>AG120</f>
        <v>0</v>
      </c>
      <c r="AI120" s="3">
        <f>AH120</f>
        <v>0</v>
      </c>
      <c r="AJ120" s="3">
        <f>AI120</f>
        <v>0</v>
      </c>
      <c r="AK120" s="3">
        <f>AJ120</f>
        <v>0</v>
      </c>
      <c r="AL120" s="3">
        <f>AK120</f>
        <v>0</v>
      </c>
      <c r="AM120" s="3">
        <f>AL120</f>
        <v>0</v>
      </c>
      <c r="AN120" s="3">
        <f>AM120</f>
        <v>0</v>
      </c>
      <c r="AO120" s="3">
        <f>AN120</f>
        <v>0</v>
      </c>
      <c r="AP120" s="3">
        <f>AO120</f>
        <v>0</v>
      </c>
      <c r="AQ120" s="3">
        <f>AP120</f>
        <v>0</v>
      </c>
      <c r="AR120" s="3">
        <f>AQ120</f>
        <v>0</v>
      </c>
      <c r="AS120" s="3">
        <f>AR120</f>
        <v>0</v>
      </c>
      <c r="AT120" s="3">
        <f>AS120</f>
        <v>0</v>
      </c>
      <c r="AU120" s="3">
        <f>AT120</f>
        <v>0</v>
      </c>
      <c r="AV120" s="3">
        <f>AU120</f>
        <v>0</v>
      </c>
      <c r="AW120" s="3">
        <f>AV120</f>
        <v>0</v>
      </c>
      <c r="AX120" s="3">
        <f>AW120</f>
        <v>0</v>
      </c>
      <c r="AY120" s="3">
        <f>AX120</f>
        <v>0</v>
      </c>
      <c r="AZ120" s="3">
        <f>AY120</f>
        <v>0</v>
      </c>
      <c r="BA120" s="3">
        <f>AZ120</f>
        <v>0</v>
      </c>
      <c r="BB120" s="3">
        <f>BA120</f>
        <v>0</v>
      </c>
      <c r="BC120" s="3">
        <f>BB120</f>
        <v>0</v>
      </c>
      <c r="BD120" s="3">
        <f>BC120</f>
        <v>0</v>
      </c>
      <c r="BE120" s="3">
        <f>BD120</f>
        <v>0</v>
      </c>
      <c r="BF120" s="3">
        <f>BE120</f>
        <v>0</v>
      </c>
      <c r="BG120" s="3">
        <f>BF120</f>
        <v>0</v>
      </c>
      <c r="BH120" s="3">
        <f>BG120</f>
        <v>0</v>
      </c>
      <c r="BI120" s="3">
        <f>BH120</f>
        <v>0</v>
      </c>
      <c r="BJ120" s="3">
        <f>BI120</f>
        <v>0</v>
      </c>
      <c r="BK120" s="3">
        <f>BJ120</f>
        <v>0</v>
      </c>
      <c r="BL120" s="3">
        <f>BK120</f>
        <v>0</v>
      </c>
      <c r="BM120" s="3">
        <f>BL120</f>
        <v>0</v>
      </c>
      <c r="BN120" s="3">
        <f>BM120</f>
        <v>0</v>
      </c>
      <c r="BO120" s="3">
        <f>BN120</f>
        <v>0</v>
      </c>
      <c r="BP120" s="3">
        <f>BO120</f>
        <v>0</v>
      </c>
      <c r="BQ120" s="3">
        <f>BP120</f>
        <v>0</v>
      </c>
      <c r="BR120" s="3">
        <f>BQ120</f>
        <v>0</v>
      </c>
      <c r="BS120" s="3">
        <f>BR120</f>
        <v>0</v>
      </c>
      <c r="BT120" s="3">
        <f>BS120</f>
        <v>0</v>
      </c>
      <c r="BU120" s="3">
        <f>BT120</f>
        <v>0</v>
      </c>
      <c r="BV120" s="3">
        <f>BU120</f>
        <v>0</v>
      </c>
      <c r="BW120" s="3">
        <f>BV120</f>
        <v>0</v>
      </c>
      <c r="BX120" s="3">
        <f>BW120</f>
        <v>0</v>
      </c>
      <c r="BY120" s="3">
        <f>BX120</f>
        <v>0</v>
      </c>
      <c r="BZ120" s="3">
        <f>BY120</f>
        <v>0</v>
      </c>
      <c r="CA120" s="3">
        <f>BZ120</f>
        <v>0</v>
      </c>
      <c r="CB120" s="3">
        <f>CA120</f>
        <v>0</v>
      </c>
      <c r="CC120" s="3">
        <f>CB120</f>
        <v>0</v>
      </c>
      <c r="CD120" s="3">
        <f>CC120</f>
        <v>0</v>
      </c>
      <c r="CE120" s="3">
        <f>CD120</f>
        <v>0</v>
      </c>
      <c r="CF120" s="3">
        <f>CE120</f>
        <v>0</v>
      </c>
      <c r="CG120" s="3">
        <f>CF120</f>
        <v>0</v>
      </c>
      <c r="CH120" s="3">
        <f>CG120</f>
        <v>0</v>
      </c>
      <c r="CI120" s="3">
        <f>CH120</f>
        <v>0</v>
      </c>
      <c r="CJ120" s="3">
        <f>CI120</f>
        <v>0</v>
      </c>
      <c r="CK120" s="3">
        <f>CJ120</f>
        <v>0</v>
      </c>
      <c r="CL120" s="3">
        <f>CK120</f>
        <v>0</v>
      </c>
      <c r="CM120" s="3">
        <f>CL120</f>
        <v>0</v>
      </c>
      <c r="CN120" s="3">
        <f>CM120</f>
        <v>0</v>
      </c>
      <c r="CO120" s="3">
        <f>CN120</f>
        <v>0</v>
      </c>
      <c r="CP120" s="3">
        <f>CO120</f>
        <v>0</v>
      </c>
      <c r="CQ120" s="3">
        <f>CP120</f>
        <v>0</v>
      </c>
      <c r="CR120" s="3">
        <f>CQ120</f>
        <v>0</v>
      </c>
      <c r="CS120" s="3">
        <f>CR120</f>
        <v>0</v>
      </c>
      <c r="CT120" s="3">
        <f>CS120</f>
        <v>0</v>
      </c>
      <c r="CU120" s="3">
        <f>CT120</f>
        <v>0</v>
      </c>
      <c r="CV120" s="3">
        <f>CU120</f>
        <v>0</v>
      </c>
      <c r="CW120" s="3">
        <f>CV120</f>
        <v>0</v>
      </c>
      <c r="CX120" s="3">
        <f>CW120</f>
        <v>0</v>
      </c>
      <c r="CY120" s="3">
        <f>CX120</f>
        <v>0</v>
      </c>
    </row>
    <row r="121">
      <c r="C121" s="26" t="inlineStr">
        <is>
          <t>Other current assets</t>
        </is>
      </c>
      <c r="D121" s="25">
        <f>INDEX('Inputs (2)'!$D$20:$AL$20,MATCH(D$7,'Inputs (2)'!$D$2:$AL$2,0))</f>
        <v>195</v>
      </c>
      <c r="E121" s="25">
        <f>INDEX('Inputs (2)'!$D$20:$AL$20,MATCH(E$7,'Inputs (2)'!$D$2:$AL$2,0))</f>
        <v>215</v>
      </c>
      <c r="F121" s="25">
        <f>INDEX('Inputs (2)'!$D$20:$AL$20,MATCH(F$7,'Inputs (2)'!$D$2:$AL$2,0))</f>
        <v>213</v>
      </c>
      <c r="G121" s="25">
        <f>INDEX('Inputs (2)'!$D$20:$AL$20,MATCH(G$7,'Inputs (2)'!$D$2:$AL$2,0))</f>
        <v>239</v>
      </c>
      <c r="H121" s="3">
        <f>G121</f>
        <v>239</v>
      </c>
      <c r="I121" s="25">
        <f>INDEX('Inputs (2)'!$D$20:$AL$20,MATCH(I$7,'Inputs (2)'!$D$2:$AL$2,0))</f>
        <v>444</v>
      </c>
      <c r="J121" s="25">
        <f>INDEX('Inputs (2)'!$D$20:$AL$20,MATCH(J$7,'Inputs (2)'!$D$2:$AL$2,0))</f>
        <v>452</v>
      </c>
      <c r="K121" s="25">
        <f>INDEX('Inputs (2)'!$D$20:$AL$20,MATCH(K$7,'Inputs (2)'!$D$2:$AL$2,0))</f>
        <v>321</v>
      </c>
      <c r="L121" s="25">
        <f>INDEX('Inputs (2)'!$D$20:$AL$20,MATCH(L$7,'Inputs (2)'!$D$2:$AL$2,0))</f>
        <v>366</v>
      </c>
      <c r="M121" s="3">
        <f>L121</f>
        <v>366</v>
      </c>
      <c r="N121" s="25">
        <f>INDEX('Inputs (2)'!$D$20:$AL$20,MATCH(N$7,'Inputs (2)'!$D$2:$AL$2,0))</f>
        <v>636</v>
      </c>
      <c r="O121" s="25">
        <f>INDEX('Inputs (2)'!$D$20:$AL$20,MATCH(O$7,'Inputs (2)'!$D$2:$AL$2,0))</f>
        <v>1175</v>
      </c>
      <c r="P121" s="25">
        <f>INDEX('Inputs (2)'!$D$20:$AL$20,MATCH(P$7,'Inputs (2)'!$D$2:$AL$2,0))</f>
        <v>718</v>
      </c>
      <c r="Q121" s="25">
        <f>INDEX('Inputs (2)'!$D$20:$AL$20,MATCH(Q$7,'Inputs (2)'!$D$2:$AL$2,0))</f>
        <v>791</v>
      </c>
      <c r="R121" s="3">
        <f>Q121</f>
        <v>791</v>
      </c>
      <c r="S121" s="25">
        <f>INDEX('Inputs (2)'!$D$20:$AL$20,MATCH(S$7,'Inputs (2)'!$D$2:$AL$2,0))</f>
        <v>872</v>
      </c>
      <c r="T121" s="25">
        <f>INDEX('Inputs (2)'!$D$20:$AL$20,MATCH(T$7,'Inputs (2)'!$D$2:$AL$2,0))</f>
        <v>1389</v>
      </c>
      <c r="U121" s="25">
        <f>INDEX('Inputs (2)'!$D$20:$AL$20,MATCH(U$7,'Inputs (2)'!$D$2:$AL$2,0))</f>
        <v>1289</v>
      </c>
      <c r="V121" s="25">
        <f>INDEX('Inputs (2)'!$D$20:$AL$20,MATCH(V$7,'Inputs (2)'!$D$2:$AL$2,0))</f>
        <v>3080</v>
      </c>
      <c r="W121" s="3">
        <f>V121</f>
        <v>3080</v>
      </c>
      <c r="X121" s="25">
        <f>INDEX('Inputs (2)'!$D$20:$AL$20,MATCH(X$7,'Inputs (2)'!$D$2:$AL$2,0))</f>
        <v>4062</v>
      </c>
      <c r="Y121" s="25">
        <f>INDEX('Inputs (2)'!$D$20:$AL$20,MATCH(Y$7,'Inputs (2)'!$D$2:$AL$2,0))</f>
        <v>4026</v>
      </c>
      <c r="Z121" s="25">
        <f>INDEX('Inputs (2)'!$D$20:$AL$20,MATCH(Z$7,'Inputs (2)'!$D$2:$AL$2,0))</f>
        <v>3806</v>
      </c>
      <c r="AA121" s="25">
        <f>INDEX('Inputs (2)'!$D$20:$AL$20,MATCH(AA$7,'Inputs (2)'!$D$2:$AL$2,0))</f>
        <v>3771</v>
      </c>
      <c r="AB121" s="3">
        <f>AA121</f>
        <v>3771</v>
      </c>
      <c r="AC121" s="25">
        <f>INDEX('Inputs (2)'!$D$20:$AL$20,MATCH(AC$7,'Inputs (2)'!$D$2:$AL$2,0))</f>
        <v>2779</v>
      </c>
      <c r="AD121" s="25">
        <f>INDEX('Inputs (2)'!$D$20:$AL$20,MATCH(AD$7,'Inputs (2)'!$D$2:$AL$2,0))</f>
        <v>2658</v>
      </c>
      <c r="AE121" s="25">
        <f>INDEX('Inputs (2)'!$D$20:$AL$20,MATCH(AE$7,'Inputs (2)'!$D$2:$AL$2,0))</f>
        <v>2709</v>
      </c>
      <c r="AF121" s="25">
        <f>INDEX('Inputs (2)'!$D$20:$AL$20,MATCH(AF$7,'Inputs (2)'!$D$2:$AL$2,0))</f>
        <v>3180</v>
      </c>
      <c r="AG121" s="3">
        <f>AF121</f>
        <v>3180</v>
      </c>
      <c r="AH121" s="3">
        <f>AG121</f>
        <v>3180</v>
      </c>
      <c r="AI121" s="3">
        <f>AH121</f>
        <v>3180</v>
      </c>
      <c r="AJ121" s="3">
        <f>AI121</f>
        <v>3180</v>
      </c>
      <c r="AK121" s="3">
        <f>AJ121</f>
        <v>3180</v>
      </c>
      <c r="AL121" s="3">
        <f>AK121</f>
        <v>3180</v>
      </c>
      <c r="AM121" s="3">
        <f>AL121</f>
        <v>3180</v>
      </c>
      <c r="AN121" s="3">
        <f>AM121</f>
        <v>3180</v>
      </c>
      <c r="AO121" s="3">
        <f>AN121</f>
        <v>3180</v>
      </c>
      <c r="AP121" s="3">
        <f>AO121</f>
        <v>3180</v>
      </c>
      <c r="AQ121" s="3">
        <f>AP121</f>
        <v>3180</v>
      </c>
      <c r="AR121" s="3">
        <f>AQ121</f>
        <v>3180</v>
      </c>
      <c r="AS121" s="3">
        <f>AR121</f>
        <v>3180</v>
      </c>
      <c r="AT121" s="3">
        <f>AS121</f>
        <v>3180</v>
      </c>
      <c r="AU121" s="3">
        <f>AT121</f>
        <v>3180</v>
      </c>
      <c r="AV121" s="3">
        <f>AU121</f>
        <v>3180</v>
      </c>
      <c r="AW121" s="3">
        <f>AV121</f>
        <v>3180</v>
      </c>
      <c r="AX121" s="3">
        <f>AW121</f>
        <v>3180</v>
      </c>
      <c r="AY121" s="3">
        <f>AX121</f>
        <v>3180</v>
      </c>
      <c r="AZ121" s="3">
        <f>AY121</f>
        <v>3180</v>
      </c>
      <c r="BA121" s="3">
        <f>AZ121</f>
        <v>3180</v>
      </c>
      <c r="BB121" s="3">
        <f>BA121</f>
        <v>3180</v>
      </c>
      <c r="BC121" s="3">
        <f>BB121</f>
        <v>3180</v>
      </c>
      <c r="BD121" s="3">
        <f>BC121</f>
        <v>3180</v>
      </c>
      <c r="BE121" s="3">
        <f>BD121</f>
        <v>3180</v>
      </c>
      <c r="BF121" s="3">
        <f>BE121</f>
        <v>3180</v>
      </c>
      <c r="BG121" s="3">
        <f>BF121</f>
        <v>3180</v>
      </c>
      <c r="BH121" s="3">
        <f>BG121</f>
        <v>3180</v>
      </c>
      <c r="BI121" s="3">
        <f>BH121</f>
        <v>3180</v>
      </c>
      <c r="BJ121" s="3">
        <f>BI121</f>
        <v>3180</v>
      </c>
      <c r="BK121" s="3">
        <f>BJ121</f>
        <v>3180</v>
      </c>
      <c r="BL121" s="3">
        <f>BK121</f>
        <v>3180</v>
      </c>
      <c r="BM121" s="3">
        <f>BL121</f>
        <v>3180</v>
      </c>
      <c r="BN121" s="3">
        <f>BM121</f>
        <v>3180</v>
      </c>
      <c r="BO121" s="3">
        <f>BN121</f>
        <v>3180</v>
      </c>
      <c r="BP121" s="3">
        <f>BO121</f>
        <v>3180</v>
      </c>
      <c r="BQ121" s="3">
        <f>BP121</f>
        <v>3180</v>
      </c>
      <c r="BR121" s="3">
        <f>BQ121</f>
        <v>3180</v>
      </c>
      <c r="BS121" s="3">
        <f>BR121</f>
        <v>3180</v>
      </c>
      <c r="BT121" s="3">
        <f>BS121</f>
        <v>3180</v>
      </c>
      <c r="BU121" s="3">
        <f>BT121</f>
        <v>3180</v>
      </c>
      <c r="BV121" s="3">
        <f>BU121</f>
        <v>3180</v>
      </c>
      <c r="BW121" s="3">
        <f>BV121</f>
        <v>3180</v>
      </c>
      <c r="BX121" s="3">
        <f>BW121</f>
        <v>3180</v>
      </c>
      <c r="BY121" s="3">
        <f>BX121</f>
        <v>3180</v>
      </c>
      <c r="BZ121" s="3">
        <f>BY121</f>
        <v>3180</v>
      </c>
      <c r="CA121" s="3">
        <f>BZ121</f>
        <v>3180</v>
      </c>
      <c r="CB121" s="3">
        <f>CA121</f>
        <v>3180</v>
      </c>
      <c r="CC121" s="3">
        <f>CB121</f>
        <v>3180</v>
      </c>
      <c r="CD121" s="3">
        <f>CC121</f>
        <v>3180</v>
      </c>
      <c r="CE121" s="3">
        <f>CD121</f>
        <v>3180</v>
      </c>
      <c r="CF121" s="3">
        <f>CE121</f>
        <v>3180</v>
      </c>
      <c r="CG121" s="3">
        <f>CF121</f>
        <v>3180</v>
      </c>
      <c r="CH121" s="3">
        <f>CG121</f>
        <v>3180</v>
      </c>
      <c r="CI121" s="3">
        <f>CH121</f>
        <v>3180</v>
      </c>
      <c r="CJ121" s="3">
        <f>CI121</f>
        <v>3180</v>
      </c>
      <c r="CK121" s="3">
        <f>CJ121</f>
        <v>3180</v>
      </c>
      <c r="CL121" s="3">
        <f>CK121</f>
        <v>3180</v>
      </c>
      <c r="CM121" s="3">
        <f>CL121</f>
        <v>3180</v>
      </c>
      <c r="CN121" s="3">
        <f>CM121</f>
        <v>3180</v>
      </c>
      <c r="CO121" s="3">
        <f>CN121</f>
        <v>3180</v>
      </c>
      <c r="CP121" s="3">
        <f>CO121</f>
        <v>3180</v>
      </c>
      <c r="CQ121" s="3">
        <f>CP121</f>
        <v>3180</v>
      </c>
      <c r="CR121" s="3">
        <f>CQ121</f>
        <v>3180</v>
      </c>
      <c r="CS121" s="3">
        <f>CR121</f>
        <v>3180</v>
      </c>
      <c r="CT121" s="3">
        <f>CS121</f>
        <v>3180</v>
      </c>
      <c r="CU121" s="3">
        <f>CT121</f>
        <v>3180</v>
      </c>
      <c r="CV121" s="3">
        <f>CU121</f>
        <v>3180</v>
      </c>
      <c r="CW121" s="3">
        <f>CV121</f>
        <v>3180</v>
      </c>
      <c r="CX121" s="3">
        <f>CW121</f>
        <v>3180</v>
      </c>
      <c r="CY121" s="3">
        <f>CX121</f>
        <v>3180</v>
      </c>
    </row>
    <row r="122" hidden="1" outlineLevel="1">
      <c r="C122" s="38" t="inlineStr">
        <is>
          <t>%(Var.)</t>
        </is>
      </c>
      <c r="D122" s="3" t="n"/>
      <c r="E122" s="47">
        <f>(E121-D121)/D121</f>
        <v>0.102564102564103</v>
      </c>
      <c r="F122" s="47">
        <f>(F121-E121)/E121</f>
        <v>-0.00930232558139535</v>
      </c>
      <c r="G122" s="47">
        <f>(G121-F121)/F121</f>
        <v>0.122065727699531</v>
      </c>
      <c r="H122" s="3" t="n"/>
      <c r="I122" s="47">
        <f>(I121-H121)/H121</f>
        <v>0.857740585774059</v>
      </c>
      <c r="J122" s="47">
        <f>(J121-I121)/I121</f>
        <v>0.018018018018018</v>
      </c>
      <c r="K122" s="47">
        <f>(K121-J121)/J121</f>
        <v>-0.289823008849558</v>
      </c>
      <c r="L122" s="47">
        <f>(L121-K121)/K121</f>
        <v>0.14018691588785</v>
      </c>
      <c r="M122" s="3" t="n"/>
      <c r="N122" s="47">
        <f>(N121-M121)/M121</f>
        <v>0.737704918032787</v>
      </c>
      <c r="O122" s="47">
        <f>(O121-N121)/N121</f>
        <v>0.84748427672956</v>
      </c>
      <c r="P122" s="47">
        <f>(P121-O121)/O121</f>
        <v>-0.388936170212766</v>
      </c>
      <c r="Q122" s="47">
        <f>(Q121-P121)/P121</f>
        <v>0.101671309192201</v>
      </c>
      <c r="R122" s="3" t="n"/>
      <c r="S122" s="47">
        <f>(S121-R121)/R121</f>
        <v>0.102402022756005</v>
      </c>
      <c r="T122" s="47">
        <f>(T121-S121)/S121</f>
        <v>0.592889908256881</v>
      </c>
      <c r="U122" s="47">
        <f>(U121-T121)/T121</f>
        <v>-0.0719942404607631</v>
      </c>
      <c r="V122" s="47">
        <f>(V121-U121)/U121</f>
        <v>1.38944918541505</v>
      </c>
      <c r="W122" s="3" t="n"/>
      <c r="X122" s="47">
        <f>(X121-W121)/W121</f>
        <v>0.318831168831169</v>
      </c>
      <c r="Y122" s="47">
        <f>(Y121-X121)/X121</f>
        <v>-0.00886262924667652</v>
      </c>
      <c r="Z122" s="47">
        <f>(Z121-Y121)/Y121</f>
        <v>-0.0546448087431694</v>
      </c>
      <c r="AA122" s="47">
        <f>(AA121-Z121)/Z121</f>
        <v>-0.0091960063058329</v>
      </c>
      <c r="AB122" s="3" t="n"/>
      <c r="AC122" s="47">
        <f>(AC121-AB121)/AB121</f>
        <v>-0.263060196234421</v>
      </c>
      <c r="AD122" s="47">
        <f>(AD121-AC121)/AC121</f>
        <v>-0.043540842029507</v>
      </c>
      <c r="AE122" s="47">
        <f>(AE121-AD121)/AD121</f>
        <v>0.0191873589164786</v>
      </c>
      <c r="AF122" s="218">
        <f>(AF121-AE121)/AE121</f>
        <v>0.173864894795127</v>
      </c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  <c r="CU122" s="3" t="n"/>
      <c r="CV122" s="3" t="n"/>
      <c r="CW122" s="3" t="n"/>
      <c r="CX122" s="3" t="n"/>
      <c r="CY122" s="3" t="n"/>
    </row>
    <row r="123" hidden="1" outlineLevel="1">
      <c r="C123" s="34" t="n"/>
      <c r="D123" s="3" t="n"/>
      <c r="E123" s="47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  <c r="CU123" s="3" t="n"/>
      <c r="CV123" s="3" t="n"/>
      <c r="CW123" s="3" t="n"/>
      <c r="CX123" s="3" t="n"/>
      <c r="CY123" s="3" t="n"/>
    </row>
    <row r="124" hidden="1" outlineLevel="1">
      <c r="C124" s="52" t="inlineStr">
        <is>
          <t xml:space="preserve">Impostos e Contribuições a Recuperar </t>
        </is>
      </c>
      <c r="D124" s="6" t="n"/>
      <c r="E124" s="6" t="n"/>
      <c r="F124" s="6" t="n"/>
      <c r="G124" s="6" t="n"/>
      <c r="H124" s="3" t="n"/>
      <c r="I124" s="6" t="n"/>
      <c r="J124" s="6" t="n"/>
      <c r="K124" s="6" t="n"/>
      <c r="L124" s="6" t="n"/>
      <c r="M124" s="3" t="n"/>
      <c r="N124" s="6" t="n"/>
      <c r="O124" s="6" t="n"/>
      <c r="P124" s="6" t="n"/>
      <c r="Q124" s="6" t="n"/>
      <c r="R124" s="3" t="n"/>
      <c r="S124" s="6" t="n"/>
      <c r="T124" s="6" t="n"/>
      <c r="U124" s="6" t="n"/>
      <c r="V124" s="6" t="n"/>
      <c r="W124" s="3" t="n"/>
      <c r="X124" s="6" t="n"/>
      <c r="Y124" s="6" t="n"/>
      <c r="Z124" s="6" t="n"/>
      <c r="AA124" s="6" t="n"/>
      <c r="AB124" s="3" t="n"/>
      <c r="AC124" s="6" t="n"/>
      <c r="AD124" s="6" t="n"/>
      <c r="AE124" s="6" t="n"/>
      <c r="AF124" s="6" t="n"/>
      <c r="AG124" s="3">
        <f>AF124</f>
        <v>0</v>
      </c>
      <c r="AH124" s="216">
        <f>AG124*AH15/AG15</f>
        <v>0</v>
      </c>
      <c r="AI124" s="216">
        <f>AH124*AI15/AH15</f>
        <v>0</v>
      </c>
      <c r="AJ124" s="216">
        <f>AI124*AJ15/AI15</f>
        <v>0</v>
      </c>
      <c r="AK124" s="216">
        <f>AJ124*AK15/AJ15</f>
        <v>0</v>
      </c>
      <c r="AL124" s="3">
        <f>AK124</f>
        <v>0</v>
      </c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  <c r="CU124" s="3" t="n"/>
      <c r="CV124" s="3" t="n"/>
      <c r="CW124" s="3" t="n"/>
      <c r="CX124" s="3" t="n"/>
      <c r="CY124" s="3" t="n"/>
    </row>
    <row r="125" hidden="1" outlineLevel="1">
      <c r="C125" s="52" t="inlineStr">
        <is>
          <t>Outros Créditos</t>
        </is>
      </c>
      <c r="D125" s="6" t="n"/>
      <c r="E125" s="6" t="n"/>
      <c r="F125" s="6" t="n"/>
      <c r="G125" s="6" t="n"/>
      <c r="H125" s="3" t="n"/>
      <c r="I125" s="6" t="n"/>
      <c r="J125" s="6" t="n"/>
      <c r="K125" s="6" t="n"/>
      <c r="L125" s="6" t="n"/>
      <c r="M125" s="3" t="n"/>
      <c r="N125" s="6" t="n"/>
      <c r="O125" s="6" t="n"/>
      <c r="P125" s="6" t="n"/>
      <c r="Q125" s="6" t="n"/>
      <c r="R125" s="3" t="n"/>
      <c r="S125" s="6" t="n"/>
      <c r="T125" s="6" t="n"/>
      <c r="U125" s="6" t="n"/>
      <c r="V125" s="6" t="n"/>
      <c r="W125" s="3" t="n"/>
      <c r="X125" s="6" t="n"/>
      <c r="Y125" s="6" t="n"/>
      <c r="Z125" s="6" t="n"/>
      <c r="AA125" s="6" t="n"/>
      <c r="AB125" s="3" t="n"/>
      <c r="AC125" s="6" t="n"/>
      <c r="AD125" s="6" t="n"/>
      <c r="AE125" s="6" t="n"/>
      <c r="AF125" s="6" t="n"/>
      <c r="AG125" s="3">
        <f>AF125</f>
        <v>0</v>
      </c>
      <c r="AH125" s="3">
        <f>AG125</f>
        <v>0</v>
      </c>
      <c r="AI125" s="3">
        <f>AH125</f>
        <v>0</v>
      </c>
      <c r="AJ125" s="3">
        <f>AI125</f>
        <v>0</v>
      </c>
      <c r="AK125" s="3">
        <f>AJ125</f>
        <v>0</v>
      </c>
      <c r="AL125" s="3">
        <f>AK125</f>
        <v>0</v>
      </c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  <c r="CU125" s="3" t="n"/>
      <c r="CV125" s="3" t="n"/>
      <c r="CW125" s="3" t="n"/>
      <c r="CX125" s="3" t="n"/>
      <c r="CY125" s="3" t="n"/>
    </row>
    <row r="126" hidden="1" outlineLevel="1">
      <c r="C126" s="34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  <c r="CU126" s="3" t="n"/>
      <c r="CV126" s="3" t="n"/>
      <c r="CW126" s="3" t="n"/>
      <c r="CX126" s="3" t="n"/>
      <c r="CY126" s="3" t="n"/>
    </row>
    <row r="127" collapsed="1">
      <c r="C127" s="26" t="inlineStr">
        <is>
          <t>Equity in affiliates</t>
        </is>
      </c>
      <c r="D127" s="25" t="n"/>
      <c r="E127" s="25" t="n"/>
      <c r="F127" s="25" t="n"/>
      <c r="G127" s="25" t="n"/>
      <c r="H127" s="3">
        <f>G127</f>
        <v>0</v>
      </c>
      <c r="I127" s="25" t="n">
        <v>0</v>
      </c>
      <c r="J127" s="25" t="n">
        <v>0</v>
      </c>
      <c r="K127" s="25" t="n">
        <v>0</v>
      </c>
      <c r="L127" s="25" t="n">
        <v>0</v>
      </c>
      <c r="M127" s="3">
        <f>L127</f>
        <v>0</v>
      </c>
      <c r="N127" s="25" t="n"/>
      <c r="O127" s="25" t="n"/>
      <c r="P127" s="25" t="n"/>
      <c r="Q127" s="25" t="n"/>
      <c r="R127" s="3">
        <f>Q127</f>
        <v>0</v>
      </c>
      <c r="S127" s="25" t="n"/>
      <c r="T127" s="25" t="n"/>
      <c r="U127" s="25" t="n"/>
      <c r="V127" s="25" t="n"/>
      <c r="W127" s="3">
        <f>V127</f>
        <v>0</v>
      </c>
      <c r="X127" s="25" t="n"/>
      <c r="Y127" s="25" t="n"/>
      <c r="Z127" s="25" t="n"/>
      <c r="AA127" s="25" t="n"/>
      <c r="AB127" s="3">
        <f>AA127</f>
        <v>0</v>
      </c>
      <c r="AC127" s="25" t="n"/>
      <c r="AD127" s="25" t="n"/>
      <c r="AE127" s="25" t="n"/>
      <c r="AF127" s="25" t="n"/>
      <c r="AG127" s="3">
        <f>AF127</f>
        <v>0</v>
      </c>
      <c r="AH127" s="3">
        <f>AG127+AH101+AH130</f>
        <v>0</v>
      </c>
      <c r="AI127" s="3">
        <f>AH127+AI101+AI130</f>
        <v>0</v>
      </c>
      <c r="AJ127" s="3">
        <f>AI127+AJ101+AJ130</f>
        <v>0</v>
      </c>
      <c r="AK127" s="3">
        <f>AJ127+AK101+AK130</f>
        <v>0</v>
      </c>
      <c r="AL127" s="3">
        <f>AK127</f>
        <v>0</v>
      </c>
      <c r="AM127" s="3">
        <f>AL127+AM101+AM130</f>
        <v>0</v>
      </c>
      <c r="AN127" s="3">
        <f>AM127+AN101+AN130</f>
        <v>0</v>
      </c>
      <c r="AO127" s="3">
        <f>AN127+AO101+AO130</f>
        <v>0</v>
      </c>
      <c r="AP127" s="3">
        <f>AO127+AP101+AP130</f>
        <v>0</v>
      </c>
      <c r="AQ127" s="3">
        <f>AP127</f>
        <v>0</v>
      </c>
      <c r="AR127" s="3">
        <f>AQ127+AR101+AR130</f>
        <v>0</v>
      </c>
      <c r="AS127" s="3">
        <f>AR127+AS101+AS130</f>
        <v>0</v>
      </c>
      <c r="AT127" s="3">
        <f>AS127+AT101+AT130</f>
        <v>0</v>
      </c>
      <c r="AU127" s="3">
        <f>AT127+AU101+AU130</f>
        <v>0</v>
      </c>
      <c r="AV127" s="3">
        <f>AU127</f>
        <v>0</v>
      </c>
      <c r="AW127" s="3">
        <f>AV127+AW101+AW130</f>
        <v>0</v>
      </c>
      <c r="AX127" s="3">
        <f>AW127+AX101+AX130</f>
        <v>0</v>
      </c>
      <c r="AY127" s="3">
        <f>AX127+AY101+AY130</f>
        <v>0</v>
      </c>
      <c r="AZ127" s="3">
        <f>AY127+AZ101+AZ130</f>
        <v>0</v>
      </c>
      <c r="BA127" s="3">
        <f>AZ127</f>
        <v>0</v>
      </c>
      <c r="BB127" s="3">
        <f>BA127+BB101+BB130</f>
        <v>0</v>
      </c>
      <c r="BC127" s="3">
        <f>BB127+BC101+BC130</f>
        <v>0</v>
      </c>
      <c r="BD127" s="3">
        <f>BC127+BD101+BD130</f>
        <v>0</v>
      </c>
      <c r="BE127" s="3">
        <f>BD127+BE101+BE130</f>
        <v>0</v>
      </c>
      <c r="BF127" s="3">
        <f>BE127</f>
        <v>0</v>
      </c>
      <c r="BG127" s="3">
        <f>BF127+BG101+BG130</f>
        <v>0</v>
      </c>
      <c r="BH127" s="3">
        <f>BG127+BH101+BH130</f>
        <v>0</v>
      </c>
      <c r="BI127" s="3">
        <f>BH127+BI101+BI130</f>
        <v>0</v>
      </c>
      <c r="BJ127" s="3">
        <f>BI127+BJ101+BJ130</f>
        <v>0</v>
      </c>
      <c r="BK127" s="3">
        <f>BJ127</f>
        <v>0</v>
      </c>
      <c r="BL127" s="3">
        <f>BK127+BL101+BL130</f>
        <v>0</v>
      </c>
      <c r="BM127" s="3">
        <f>BL127+BM101+BM130</f>
        <v>0</v>
      </c>
      <c r="BN127" s="3">
        <f>BM127+BN101+BN130</f>
        <v>0</v>
      </c>
      <c r="BO127" s="3">
        <f>BN127+BO101+BO130</f>
        <v>0</v>
      </c>
      <c r="BP127" s="3">
        <f>BO127</f>
        <v>0</v>
      </c>
      <c r="BQ127" s="3">
        <f>BP127+BQ101+BQ130</f>
        <v>0</v>
      </c>
      <c r="BR127" s="3">
        <f>BQ127+BR101+BR130</f>
        <v>0</v>
      </c>
      <c r="BS127" s="3">
        <f>BR127+BS101+BS130</f>
        <v>0</v>
      </c>
      <c r="BT127" s="3">
        <f>BS127+BT101+BT130</f>
        <v>0</v>
      </c>
      <c r="BU127" s="3">
        <f>BT127</f>
        <v>0</v>
      </c>
      <c r="BV127" s="3">
        <f>BU127+BV101+BV130</f>
        <v>0</v>
      </c>
      <c r="BW127" s="3">
        <f>BV127+BW101+BW130</f>
        <v>0</v>
      </c>
      <c r="BX127" s="3">
        <f>BW127+BX101+BX130</f>
        <v>0</v>
      </c>
      <c r="BY127" s="3">
        <f>BX127+BY101+BY130</f>
        <v>0</v>
      </c>
      <c r="BZ127" s="3">
        <f>BY127</f>
        <v>0</v>
      </c>
      <c r="CA127" s="3">
        <f>BZ127+CA101+CA130</f>
        <v>0</v>
      </c>
      <c r="CB127" s="3">
        <f>CA127+CB101+CB130</f>
        <v>0</v>
      </c>
      <c r="CC127" s="3">
        <f>CB127+CC101+CC130</f>
        <v>0</v>
      </c>
      <c r="CD127" s="3">
        <f>CC127+CD101+CD130</f>
        <v>0</v>
      </c>
      <c r="CE127" s="3">
        <f>CD127</f>
        <v>0</v>
      </c>
      <c r="CF127" s="3">
        <f>CE127+CF101+CF130</f>
        <v>0</v>
      </c>
      <c r="CG127" s="3">
        <f>CF127+CG101+CG130</f>
        <v>0</v>
      </c>
      <c r="CH127" s="3">
        <f>CG127+CH101+CH130</f>
        <v>0</v>
      </c>
      <c r="CI127" s="3">
        <f>CH127+CI101+CI130</f>
        <v>0</v>
      </c>
      <c r="CJ127" s="3">
        <f>CI127</f>
        <v>0</v>
      </c>
      <c r="CK127" s="3">
        <f>CJ127+CK101+CK130</f>
        <v>0</v>
      </c>
      <c r="CL127" s="3">
        <f>CK127+CL101+CL130</f>
        <v>0</v>
      </c>
      <c r="CM127" s="3">
        <f>CL127+CM101+CM130</f>
        <v>0</v>
      </c>
      <c r="CN127" s="3">
        <f>CM127+CN101+CN130</f>
        <v>0</v>
      </c>
      <c r="CO127" s="3">
        <f>CN127</f>
        <v>0</v>
      </c>
      <c r="CP127" s="3">
        <f>CO127+CP101+CP130</f>
        <v>0</v>
      </c>
      <c r="CQ127" s="3">
        <f>CP127+CQ101+CQ130</f>
        <v>0</v>
      </c>
      <c r="CR127" s="3">
        <f>CQ127+CR101+CR130</f>
        <v>0</v>
      </c>
      <c r="CS127" s="3">
        <f>CR127+CS101+CS130</f>
        <v>0</v>
      </c>
      <c r="CT127" s="3">
        <f>CS127</f>
        <v>0</v>
      </c>
      <c r="CU127" s="3">
        <f>CT127+CU101+CU130</f>
        <v>0</v>
      </c>
      <c r="CV127" s="3">
        <f>CU127+CV101+CV130</f>
        <v>0</v>
      </c>
      <c r="CW127" s="3">
        <f>CV127+CW101+CW130</f>
        <v>0</v>
      </c>
      <c r="CX127" s="3">
        <f>CW127+CX101+CX130</f>
        <v>0</v>
      </c>
      <c r="CY127" s="3">
        <f>CX127</f>
        <v>0</v>
      </c>
    </row>
    <row r="128" hidden="1" outlineLevel="1">
      <c r="C128" s="34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  <c r="CU128" s="3" t="n"/>
      <c r="CV128" s="3" t="n"/>
      <c r="CW128" s="3" t="n"/>
      <c r="CX128" s="3" t="n"/>
      <c r="CY128" s="3" t="n"/>
    </row>
    <row r="129" hidden="1" outlineLevel="1">
      <c r="C129" s="34" t="inlineStr">
        <is>
          <t>Equity in Income - % YoY</t>
        </is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>
        <f>IF(I101=0,0,N101/I101-1)</f>
        <v>0</v>
      </c>
      <c r="O129" s="3">
        <f>IF(J101=0,0,O101/J101-1)</f>
        <v>0</v>
      </c>
      <c r="P129" s="3">
        <f>IF(K101=0,0,P101/K101-1)</f>
        <v>0</v>
      </c>
      <c r="Q129" s="3">
        <f>IF(L101=0,0,Q101/L101-1)</f>
        <v>0</v>
      </c>
      <c r="R129" s="3" t="n"/>
      <c r="S129" s="3">
        <f>IF(N101=0,0,S101/N101-1)</f>
        <v>0</v>
      </c>
      <c r="T129" s="3">
        <f>IF(O101=0,0,T101/O101-1)</f>
        <v>0</v>
      </c>
      <c r="U129" s="3">
        <f>IF(P101=0,0,U101/P101-1)</f>
        <v>0</v>
      </c>
      <c r="V129" s="3">
        <f>IF(Q101=0,0,V101/Q101-1)</f>
        <v>0</v>
      </c>
      <c r="W129" s="3" t="n"/>
      <c r="X129" s="3">
        <f>IF(S101=0,0,X101/S101-1)</f>
        <v>0</v>
      </c>
      <c r="Y129" s="3">
        <f>IF(T101=0,0,Y101/T101-1)</f>
        <v>0</v>
      </c>
      <c r="Z129" s="3">
        <f>IF(U101=0,0,Z101/U101-1)</f>
        <v>0</v>
      </c>
      <c r="AA129" s="3">
        <f>IF(V101=0,0,AA101/V101-1)</f>
        <v>0</v>
      </c>
      <c r="AB129" s="3" t="n"/>
      <c r="AC129" s="3">
        <f>IF(X101=0,0,AC101/X101-1)</f>
        <v>0</v>
      </c>
      <c r="AD129" s="3">
        <f>IF(Y101=0,0,AD101/Y101-1)</f>
        <v>0</v>
      </c>
      <c r="AE129" s="3">
        <f>IF(Z101=0,0,AE101/Z101-1)</f>
        <v>0</v>
      </c>
      <c r="AF129" s="3">
        <f>IF(AA101=0,0,AF101/AA101-1)</f>
        <v>0</v>
      </c>
      <c r="AG129" s="3" t="n"/>
      <c r="AH129" s="6" t="n"/>
      <c r="AI129" s="6" t="n"/>
      <c r="AJ129" s="6" t="n"/>
      <c r="AK129" s="6" t="n"/>
      <c r="AL129" s="3" t="n"/>
      <c r="AM129" s="6" t="n"/>
      <c r="AN129" s="6" t="n"/>
      <c r="AO129" s="6" t="n"/>
      <c r="AP129" s="6" t="n"/>
      <c r="AQ129" s="3" t="n"/>
      <c r="AR129" s="6" t="n"/>
      <c r="AS129" s="6" t="n"/>
      <c r="AT129" s="6" t="n"/>
      <c r="AU129" s="6" t="n"/>
      <c r="AV129" s="3" t="n"/>
      <c r="AW129" s="6" t="n"/>
      <c r="AX129" s="6" t="n"/>
      <c r="AY129" s="6" t="n"/>
      <c r="AZ129" s="6" t="n"/>
      <c r="BA129" s="3" t="n"/>
      <c r="BB129" s="6" t="n"/>
      <c r="BC129" s="6" t="n"/>
      <c r="BD129" s="6" t="n"/>
      <c r="BE129" s="6" t="n"/>
      <c r="BF129" s="3" t="n"/>
      <c r="BG129" s="6" t="n"/>
      <c r="BH129" s="6" t="n"/>
      <c r="BI129" s="6" t="n"/>
      <c r="BJ129" s="6" t="n"/>
      <c r="BK129" s="3" t="n"/>
      <c r="BL129" s="6" t="n"/>
      <c r="BM129" s="6" t="n"/>
      <c r="BN129" s="6" t="n"/>
      <c r="BO129" s="6" t="n"/>
      <c r="BP129" s="3" t="n"/>
      <c r="BQ129" s="6" t="n"/>
      <c r="BR129" s="6" t="n"/>
      <c r="BS129" s="6" t="n"/>
      <c r="BT129" s="6" t="n"/>
      <c r="BU129" s="3" t="n"/>
      <c r="BV129" s="6" t="n"/>
      <c r="BW129" s="6" t="n"/>
      <c r="BX129" s="6" t="n"/>
      <c r="BY129" s="6" t="n"/>
      <c r="BZ129" s="3" t="n"/>
      <c r="CA129" s="6" t="n"/>
      <c r="CB129" s="6" t="n"/>
      <c r="CC129" s="6" t="n"/>
      <c r="CD129" s="6" t="n"/>
      <c r="CE129" s="3" t="n"/>
      <c r="CF129" s="6" t="n"/>
      <c r="CG129" s="6" t="n"/>
      <c r="CH129" s="6" t="n"/>
      <c r="CI129" s="6" t="n"/>
      <c r="CJ129" s="3" t="n"/>
      <c r="CK129" s="6" t="n"/>
      <c r="CL129" s="6" t="n"/>
      <c r="CM129" s="6" t="n"/>
      <c r="CN129" s="6" t="n"/>
      <c r="CO129" s="3" t="n"/>
      <c r="CP129" s="6" t="n"/>
      <c r="CQ129" s="6" t="n"/>
      <c r="CR129" s="6" t="n"/>
      <c r="CS129" s="6" t="n"/>
      <c r="CT129" s="3" t="n"/>
      <c r="CU129" s="6" t="n"/>
      <c r="CV129" s="6" t="n"/>
      <c r="CW129" s="6" t="n"/>
      <c r="CX129" s="6" t="n"/>
      <c r="CY129" s="3" t="n"/>
    </row>
    <row r="130" hidden="1" outlineLevel="1">
      <c r="C130" s="34" t="inlineStr">
        <is>
          <t>Dividends (enter as -)</t>
        </is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6" t="n"/>
      <c r="AI130" s="6" t="n"/>
      <c r="AJ130" s="6" t="n"/>
      <c r="AK130" s="6" t="n"/>
      <c r="AL130" s="3" t="n"/>
      <c r="AM130" s="6" t="n"/>
      <c r="AN130" s="6" t="n"/>
      <c r="AO130" s="6" t="n"/>
      <c r="AP130" s="6" t="n"/>
      <c r="AQ130" s="3" t="n"/>
      <c r="AR130" s="6" t="n"/>
      <c r="AS130" s="6" t="n"/>
      <c r="AT130" s="6" t="n"/>
      <c r="AU130" s="6" t="n"/>
      <c r="AV130" s="3" t="n"/>
      <c r="AW130" s="6" t="n"/>
      <c r="AX130" s="6" t="n"/>
      <c r="AY130" s="6" t="n"/>
      <c r="AZ130" s="6" t="n"/>
      <c r="BA130" s="3" t="n"/>
      <c r="BB130" s="6" t="n"/>
      <c r="BC130" s="6" t="n"/>
      <c r="BD130" s="6" t="n"/>
      <c r="BE130" s="6" t="n"/>
      <c r="BF130" s="3" t="n"/>
      <c r="BG130" s="6" t="n"/>
      <c r="BH130" s="6" t="n"/>
      <c r="BI130" s="6" t="n"/>
      <c r="BJ130" s="6" t="n"/>
      <c r="BK130" s="3" t="n"/>
      <c r="BL130" s="6" t="n"/>
      <c r="BM130" s="6" t="n"/>
      <c r="BN130" s="6" t="n"/>
      <c r="BO130" s="6" t="n"/>
      <c r="BP130" s="3" t="n"/>
      <c r="BQ130" s="6" t="n"/>
      <c r="BR130" s="6" t="n"/>
      <c r="BS130" s="6" t="n"/>
      <c r="BT130" s="6" t="n"/>
      <c r="BU130" s="3" t="n"/>
      <c r="BV130" s="6" t="n"/>
      <c r="BW130" s="6" t="n"/>
      <c r="BX130" s="6" t="n"/>
      <c r="BY130" s="6" t="n"/>
      <c r="BZ130" s="3" t="n"/>
      <c r="CA130" s="6" t="n"/>
      <c r="CB130" s="6" t="n"/>
      <c r="CC130" s="6" t="n"/>
      <c r="CD130" s="6" t="n"/>
      <c r="CE130" s="3" t="n"/>
      <c r="CF130" s="6" t="n"/>
      <c r="CG130" s="6" t="n"/>
      <c r="CH130" s="6" t="n"/>
      <c r="CI130" s="6" t="n"/>
      <c r="CJ130" s="3" t="n"/>
      <c r="CK130" s="6" t="n"/>
      <c r="CL130" s="6" t="n"/>
      <c r="CM130" s="6" t="n"/>
      <c r="CN130" s="6" t="n"/>
      <c r="CO130" s="3" t="n"/>
      <c r="CP130" s="6" t="n"/>
      <c r="CQ130" s="6" t="n"/>
      <c r="CR130" s="6" t="n"/>
      <c r="CS130" s="6" t="n"/>
      <c r="CT130" s="3" t="n"/>
      <c r="CU130" s="6" t="n"/>
      <c r="CV130" s="6" t="n"/>
      <c r="CW130" s="6" t="n"/>
      <c r="CX130" s="6" t="n"/>
      <c r="CY130" s="3" t="n"/>
    </row>
    <row r="131" hidden="1" outlineLevel="1">
      <c r="C131" s="34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n"/>
      <c r="CC131" s="3" t="n"/>
      <c r="CD131" s="3" t="n"/>
      <c r="CE131" s="3" t="n"/>
      <c r="CF131" s="3" t="n"/>
      <c r="CG131" s="3" t="n"/>
      <c r="CH131" s="3" t="n"/>
      <c r="CI131" s="3" t="n"/>
      <c r="CJ131" s="3" t="n"/>
      <c r="CK131" s="3" t="n"/>
      <c r="CL131" s="3" t="n"/>
      <c r="CM131" s="3" t="n"/>
      <c r="CN131" s="3" t="n"/>
      <c r="CO131" s="3" t="n"/>
      <c r="CP131" s="3" t="n"/>
      <c r="CQ131" s="3" t="n"/>
      <c r="CR131" s="3" t="n"/>
      <c r="CS131" s="3" t="n"/>
      <c r="CT131" s="3" t="n"/>
      <c r="CU131" s="3" t="n"/>
      <c r="CV131" s="3" t="n"/>
      <c r="CW131" s="3" t="n"/>
      <c r="CX131" s="3" t="n"/>
      <c r="CY131" s="3" t="n"/>
    </row>
    <row r="132" collapsed="1">
      <c r="C132" s="26" t="inlineStr">
        <is>
          <t>PP&amp;E</t>
        </is>
      </c>
      <c r="D132" s="25">
        <f>INDEX('Inputs (2)'!$D$22:$AL$22,MATCH(D$7,'Inputs (2)'!$D$2:$AL$2,0))</f>
        <v>1715</v>
      </c>
      <c r="E132" s="25">
        <f>INDEX('Inputs (2)'!$D$22:$AL$22,MATCH(E$7,'Inputs (2)'!$D$2:$AL$2,0))</f>
        <v>1964</v>
      </c>
      <c r="F132" s="25">
        <f>INDEX('Inputs (2)'!$D$22:$AL$22,MATCH(F$7,'Inputs (2)'!$D$2:$AL$2,0))</f>
        <v>2059</v>
      </c>
      <c r="G132" s="25">
        <f>INDEX('Inputs (2)'!$D$22:$AL$22,MATCH(G$7,'Inputs (2)'!$D$2:$AL$2,0))</f>
        <v>2149</v>
      </c>
      <c r="H132" s="3">
        <f>G132</f>
        <v>2149</v>
      </c>
      <c r="I132" s="25">
        <f>INDEX('Inputs (2)'!$D$22:$AL$22,MATCH(I$7,'Inputs (2)'!$D$2:$AL$2,0))</f>
        <v>2268</v>
      </c>
      <c r="J132" s="25">
        <f>INDEX('Inputs (2)'!$D$22:$AL$22,MATCH(J$7,'Inputs (2)'!$D$2:$AL$2,0))</f>
        <v>2364</v>
      </c>
      <c r="K132" s="25">
        <f>INDEX('Inputs (2)'!$D$22:$AL$22,MATCH(K$7,'Inputs (2)'!$D$2:$AL$2,0))</f>
        <v>2509</v>
      </c>
      <c r="L132" s="25">
        <f>INDEX('Inputs (2)'!$D$22:$AL$22,MATCH(L$7,'Inputs (2)'!$D$2:$AL$2,0))</f>
        <v>2778</v>
      </c>
      <c r="M132" s="3">
        <f>L132</f>
        <v>2778</v>
      </c>
      <c r="N132" s="25">
        <f>INDEX('Inputs (2)'!$D$22:$AL$22,MATCH(N$7,'Inputs (2)'!$D$2:$AL$2,0))</f>
        <v>2916</v>
      </c>
      <c r="O132" s="25">
        <f>INDEX('Inputs (2)'!$D$22:$AL$22,MATCH(O$7,'Inputs (2)'!$D$2:$AL$2,0))</f>
        <v>3233</v>
      </c>
      <c r="P132" s="25">
        <f>INDEX('Inputs (2)'!$D$22:$AL$22,MATCH(P$7,'Inputs (2)'!$D$2:$AL$2,0))</f>
        <v>3774</v>
      </c>
      <c r="Q132" s="25">
        <f>INDEX('Inputs (2)'!$D$22:$AL$22,MATCH(Q$7,'Inputs (2)'!$D$2:$AL$2,0))</f>
        <v>3807</v>
      </c>
      <c r="R132" s="3">
        <f>Q132</f>
        <v>3807</v>
      </c>
      <c r="S132" s="25">
        <f>INDEX('Inputs (2)'!$D$22:$AL$22,MATCH(S$7,'Inputs (2)'!$D$2:$AL$2,0))</f>
        <v>3740</v>
      </c>
      <c r="T132" s="25">
        <f>INDEX('Inputs (2)'!$D$22:$AL$22,MATCH(T$7,'Inputs (2)'!$D$2:$AL$2,0))</f>
        <v>3799</v>
      </c>
      <c r="U132" s="25">
        <f>INDEX('Inputs (2)'!$D$22:$AL$22,MATCH(U$7,'Inputs (2)'!$D$2:$AL$2,0))</f>
        <v>3844</v>
      </c>
      <c r="V132" s="25">
        <f>INDEX('Inputs (2)'!$D$22:$AL$22,MATCH(V$7,'Inputs (2)'!$D$2:$AL$2,0))</f>
        <v>3914</v>
      </c>
      <c r="W132" s="3">
        <f>V132</f>
        <v>3914</v>
      </c>
      <c r="X132" s="25">
        <f>INDEX('Inputs (2)'!$D$22:$AL$22,MATCH(X$7,'Inputs (2)'!$D$2:$AL$2,0))</f>
        <v>4006</v>
      </c>
      <c r="Y132" s="25">
        <f>INDEX('Inputs (2)'!$D$22:$AL$22,MATCH(Y$7,'Inputs (2)'!$D$2:$AL$2,0))</f>
        <v>4885</v>
      </c>
      <c r="Z132" s="25">
        <f>INDEX('Inputs (2)'!$D$22:$AL$22,MATCH(Z$7,'Inputs (2)'!$D$2:$AL$2,0))</f>
        <v>5343</v>
      </c>
      <c r="AA132" s="25">
        <f>INDEX('Inputs (2)'!$D$22:$AL$22,MATCH(AA$7,'Inputs (2)'!$D$2:$AL$2,0))</f>
        <v>6283</v>
      </c>
      <c r="AB132" s="3">
        <f>AA132</f>
        <v>6283</v>
      </c>
      <c r="AC132" s="25">
        <f>INDEX('Inputs (2)'!$D$22:$AL$22,MATCH(AC$7,'Inputs (2)'!$D$2:$AL$2,0))</f>
        <v>7136</v>
      </c>
      <c r="AD132" s="25">
        <f>INDEX('Inputs (2)'!$D$22:$AL$22,MATCH(AD$7,'Inputs (2)'!$D$2:$AL$2,0))</f>
        <v>9141</v>
      </c>
      <c r="AE132" s="25">
        <f>INDEX('Inputs (2)'!$D$22:$AL$22,MATCH(AE$7,'Inputs (2)'!$D$2:$AL$2,0))</f>
        <v>9780</v>
      </c>
      <c r="AF132" s="25">
        <f>INDEX('Inputs (2)'!$D$22:$AL$22,MATCH(AF$7,'Inputs (2)'!$D$2:$AL$2,0))</f>
        <v>10383</v>
      </c>
      <c r="AG132" s="3">
        <f>AF132</f>
        <v>10383</v>
      </c>
      <c r="AH132" s="3">
        <f>AH137</f>
        <v>0</v>
      </c>
      <c r="AI132" s="3">
        <f>AI137</f>
        <v>0</v>
      </c>
      <c r="AJ132" s="3">
        <f>AJ137</f>
        <v>0</v>
      </c>
      <c r="AK132" s="3">
        <f>AK137</f>
        <v>0</v>
      </c>
      <c r="AL132" s="3">
        <f>AK132</f>
        <v>0</v>
      </c>
      <c r="AM132" s="3">
        <f>AM137</f>
        <v>0</v>
      </c>
      <c r="AN132" s="3">
        <f>AN137</f>
        <v>0</v>
      </c>
      <c r="AO132" s="3">
        <f>AO137</f>
        <v>0</v>
      </c>
      <c r="AP132" s="3">
        <f>AP137</f>
        <v>0</v>
      </c>
      <c r="AQ132" s="3">
        <f>AP132</f>
        <v>0</v>
      </c>
      <c r="AR132" s="3">
        <f>AR137</f>
        <v>0</v>
      </c>
      <c r="AS132" s="3">
        <f>AS137</f>
        <v>0</v>
      </c>
      <c r="AT132" s="3">
        <f>AT137</f>
        <v>0</v>
      </c>
      <c r="AU132" s="3">
        <f>AU137</f>
        <v>0</v>
      </c>
      <c r="AV132" s="3">
        <f>AU132</f>
        <v>0</v>
      </c>
      <c r="AW132" s="3">
        <f>AW137</f>
        <v>0</v>
      </c>
      <c r="AX132" s="3">
        <f>AX137</f>
        <v>0</v>
      </c>
      <c r="AY132" s="3">
        <f>AY137</f>
        <v>0</v>
      </c>
      <c r="AZ132" s="3">
        <f>AZ137</f>
        <v>0</v>
      </c>
      <c r="BA132" s="3">
        <f>AZ132</f>
        <v>0</v>
      </c>
      <c r="BB132" s="3">
        <f>BB137</f>
        <v>0</v>
      </c>
      <c r="BC132" s="3">
        <f>BC137</f>
        <v>0</v>
      </c>
      <c r="BD132" s="3">
        <f>BD137</f>
        <v>0</v>
      </c>
      <c r="BE132" s="3">
        <f>BE137</f>
        <v>0</v>
      </c>
      <c r="BF132" s="3">
        <f>BE132</f>
        <v>0</v>
      </c>
      <c r="BG132" s="3">
        <f>BG137</f>
        <v>0</v>
      </c>
      <c r="BH132" s="3">
        <f>BH137</f>
        <v>0</v>
      </c>
      <c r="BI132" s="3">
        <f>BI137</f>
        <v>0</v>
      </c>
      <c r="BJ132" s="3">
        <f>BJ137</f>
        <v>0</v>
      </c>
      <c r="BK132" s="3">
        <f>BJ132</f>
        <v>0</v>
      </c>
      <c r="BL132" s="3">
        <f>BL137</f>
        <v>0</v>
      </c>
      <c r="BM132" s="3">
        <f>BM137</f>
        <v>0</v>
      </c>
      <c r="BN132" s="3">
        <f>BN137</f>
        <v>0</v>
      </c>
      <c r="BO132" s="3">
        <f>BO137</f>
        <v>0</v>
      </c>
      <c r="BP132" s="3">
        <f>BO132</f>
        <v>0</v>
      </c>
      <c r="BQ132" s="3">
        <f>BQ137</f>
        <v>0</v>
      </c>
      <c r="BR132" s="3">
        <f>BR137</f>
        <v>0</v>
      </c>
      <c r="BS132" s="3">
        <f>BS137</f>
        <v>0</v>
      </c>
      <c r="BT132" s="3">
        <f>BT137</f>
        <v>0</v>
      </c>
      <c r="BU132" s="3">
        <f>BT132</f>
        <v>0</v>
      </c>
      <c r="BV132" s="3">
        <f>BV137</f>
        <v>0</v>
      </c>
      <c r="BW132" s="3">
        <f>BW137</f>
        <v>0</v>
      </c>
      <c r="BX132" s="3">
        <f>BX137</f>
        <v>0</v>
      </c>
      <c r="BY132" s="3">
        <f>BY137</f>
        <v>0</v>
      </c>
      <c r="BZ132" s="3">
        <f>BY132</f>
        <v>0</v>
      </c>
      <c r="CA132" s="3">
        <f>CA137</f>
        <v>0</v>
      </c>
      <c r="CB132" s="3">
        <f>CB137</f>
        <v>0</v>
      </c>
      <c r="CC132" s="3">
        <f>CC137</f>
        <v>0</v>
      </c>
      <c r="CD132" s="3">
        <f>CD137</f>
        <v>0</v>
      </c>
      <c r="CE132" s="3">
        <f>CD132</f>
        <v>0</v>
      </c>
      <c r="CF132" s="3">
        <f>CF137</f>
        <v>0</v>
      </c>
      <c r="CG132" s="3">
        <f>CG137</f>
        <v>0</v>
      </c>
      <c r="CH132" s="3">
        <f>CH137</f>
        <v>0</v>
      </c>
      <c r="CI132" s="3">
        <f>CI137</f>
        <v>0</v>
      </c>
      <c r="CJ132" s="3">
        <f>CI132</f>
        <v>0</v>
      </c>
      <c r="CK132" s="3">
        <f>CK137</f>
        <v>0</v>
      </c>
      <c r="CL132" s="3">
        <f>CL137</f>
        <v>0</v>
      </c>
      <c r="CM132" s="3">
        <f>CM137</f>
        <v>0</v>
      </c>
      <c r="CN132" s="3">
        <f>CN137</f>
        <v>0</v>
      </c>
      <c r="CO132" s="3">
        <f>CN132</f>
        <v>0</v>
      </c>
      <c r="CP132" s="3">
        <f>CP137</f>
        <v>0</v>
      </c>
      <c r="CQ132" s="3">
        <f>CQ137</f>
        <v>0</v>
      </c>
      <c r="CR132" s="3">
        <f>CR137</f>
        <v>0</v>
      </c>
      <c r="CS132" s="3">
        <f>CS137</f>
        <v>0</v>
      </c>
      <c r="CT132" s="3">
        <f>CS132</f>
        <v>0</v>
      </c>
      <c r="CU132" s="3">
        <f>CU137</f>
        <v>0</v>
      </c>
      <c r="CV132" s="3">
        <f>CV137</f>
        <v>0</v>
      </c>
      <c r="CW132" s="3">
        <f>CW137</f>
        <v>0</v>
      </c>
      <c r="CX132" s="3">
        <f>CX137</f>
        <v>0</v>
      </c>
      <c r="CY132" s="3">
        <f>CX132</f>
        <v>0</v>
      </c>
    </row>
    <row r="133" hidden="1" outlineLevel="1">
      <c r="C133" s="34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  <c r="CI133" s="3" t="n"/>
      <c r="CJ133" s="3" t="n"/>
      <c r="CK133" s="3" t="n"/>
      <c r="CL133" s="3" t="n"/>
      <c r="CM133" s="3" t="n"/>
      <c r="CN133" s="3" t="n"/>
      <c r="CO133" s="3" t="n"/>
      <c r="CP133" s="3" t="n"/>
      <c r="CQ133" s="3" t="n"/>
      <c r="CR133" s="3" t="n"/>
      <c r="CS133" s="3" t="n"/>
      <c r="CT133" s="3" t="n"/>
      <c r="CU133" s="3" t="n"/>
      <c r="CV133" s="3" t="n"/>
      <c r="CW133" s="3" t="n"/>
      <c r="CX133" s="3" t="n"/>
      <c r="CY133" s="3" t="n"/>
    </row>
    <row r="134" hidden="1" outlineLevel="1">
      <c r="C134" s="34" t="inlineStr">
        <is>
          <t>Capital expenditures</t>
        </is>
      </c>
      <c r="D134" s="3" t="n"/>
      <c r="E134" s="3">
        <f>E132-D132-E36</f>
        <v>653</v>
      </c>
      <c r="F134" s="3">
        <f>F132-E132-F36</f>
        <v>394</v>
      </c>
      <c r="G134" s="3">
        <f>G132-F132-G36</f>
        <v>378</v>
      </c>
      <c r="H134" s="3" t="n"/>
      <c r="I134" s="3">
        <f>I132-H132-I36</f>
        <v>400</v>
      </c>
      <c r="J134" s="3">
        <f>J132-I132-J36</f>
        <v>382</v>
      </c>
      <c r="K134" s="3">
        <f>K132-J132-K36</f>
        <v>443</v>
      </c>
      <c r="L134" s="3">
        <f>L132-K132-L36</f>
        <v>578</v>
      </c>
      <c r="M134" s="3" t="n"/>
      <c r="N134" s="3">
        <f>N132-M132-N36</f>
        <v>472</v>
      </c>
      <c r="O134" s="3">
        <f>O132-N132-O36</f>
        <v>695</v>
      </c>
      <c r="P134" s="3">
        <f>P132-O132-P36</f>
        <v>947</v>
      </c>
      <c r="Q134" s="3">
        <f>Q132-P132-Q36</f>
        <v>459</v>
      </c>
      <c r="R134" s="3" t="n"/>
      <c r="S134" s="3">
        <f>S132-R132-S36</f>
        <v>317</v>
      </c>
      <c r="T134" s="3">
        <f>T132-S132-T36</f>
        <v>424</v>
      </c>
      <c r="U134" s="3">
        <f>U132-T132-U36</f>
        <v>417</v>
      </c>
      <c r="V134" s="3">
        <f>V132-U132-V36</f>
        <v>457</v>
      </c>
      <c r="W134" s="3" t="n"/>
      <c r="X134" s="3">
        <f>X132-W132-X36</f>
        <v>502</v>
      </c>
      <c r="Y134" s="3">
        <f>Y132-X132-Y36</f>
        <v>1312</v>
      </c>
      <c r="Z134" s="3">
        <f>Z132-Y132-Z36</f>
        <v>936</v>
      </c>
      <c r="AA134" s="3">
        <f>AA132-Z132-AA36</f>
        <v>1483</v>
      </c>
      <c r="AB134" s="3" t="n"/>
      <c r="AC134" s="3">
        <f>AC132-AB132-AC36</f>
        <v>1464</v>
      </c>
      <c r="AD134" s="3">
        <f>AD132-AC132-AD36</f>
        <v>2674</v>
      </c>
      <c r="AE134" s="3">
        <f>AE132-AD132-AE36</f>
        <v>1390</v>
      </c>
      <c r="AF134" s="6">
        <f>AF132-AE132-AF36</f>
        <v>1415</v>
      </c>
      <c r="AG134" s="3">
        <f>SUM(AC134:AF134)</f>
        <v>6943</v>
      </c>
      <c r="AH134" s="6" t="n"/>
      <c r="AI134" s="6" t="n"/>
      <c r="AJ134" s="6" t="n"/>
      <c r="AK134" s="6" t="n"/>
      <c r="AL134" s="3" t="n"/>
      <c r="AM134" s="6" t="n"/>
      <c r="AN134" s="6" t="n"/>
      <c r="AO134" s="6" t="n"/>
      <c r="AP134" s="6" t="n"/>
      <c r="AQ134" s="3" t="n"/>
      <c r="AR134" s="6" t="n"/>
      <c r="AS134" s="6" t="n"/>
      <c r="AT134" s="6" t="n"/>
      <c r="AU134" s="6" t="n"/>
      <c r="AV134" s="3" t="n"/>
      <c r="AW134" s="6" t="n"/>
      <c r="AX134" s="6" t="n"/>
      <c r="AY134" s="6" t="n"/>
      <c r="AZ134" s="6" t="n"/>
      <c r="BA134" s="3" t="n"/>
      <c r="BB134" s="6" t="n"/>
      <c r="BC134" s="6" t="n"/>
      <c r="BD134" s="6" t="n"/>
      <c r="BE134" s="6" t="n"/>
      <c r="BF134" s="3" t="n"/>
      <c r="BG134" s="6" t="n"/>
      <c r="BH134" s="6" t="n"/>
      <c r="BI134" s="6" t="n"/>
      <c r="BJ134" s="6" t="n"/>
      <c r="BK134" s="3" t="n"/>
      <c r="BL134" s="6" t="n"/>
      <c r="BM134" s="6" t="n"/>
      <c r="BN134" s="6" t="n"/>
      <c r="BO134" s="6" t="n"/>
      <c r="BP134" s="3" t="n"/>
      <c r="BQ134" s="6" t="n"/>
      <c r="BR134" s="6" t="n"/>
      <c r="BS134" s="6" t="n"/>
      <c r="BT134" s="6" t="n"/>
      <c r="BU134" s="3" t="n"/>
      <c r="BV134" s="6" t="n"/>
      <c r="BW134" s="6" t="n"/>
      <c r="BX134" s="6" t="n"/>
      <c r="BY134" s="6" t="n"/>
      <c r="BZ134" s="3" t="n"/>
      <c r="CA134" s="6" t="n"/>
      <c r="CB134" s="6" t="n"/>
      <c r="CC134" s="6" t="n"/>
      <c r="CD134" s="6" t="n"/>
      <c r="CE134" s="3" t="n"/>
      <c r="CF134" s="6" t="n"/>
      <c r="CG134" s="6" t="n"/>
      <c r="CH134" s="6" t="n"/>
      <c r="CI134" s="6" t="n"/>
      <c r="CJ134" s="3" t="n"/>
      <c r="CK134" s="6" t="n"/>
      <c r="CL134" s="6" t="n"/>
      <c r="CM134" s="6" t="n"/>
      <c r="CN134" s="6" t="n"/>
      <c r="CO134" s="3" t="n"/>
      <c r="CP134" s="6" t="n"/>
      <c r="CQ134" s="6" t="n"/>
      <c r="CR134" s="6" t="n"/>
      <c r="CS134" s="6" t="n"/>
      <c r="CT134" s="3" t="n"/>
      <c r="CU134" s="6" t="n"/>
      <c r="CV134" s="6" t="n"/>
      <c r="CW134" s="6" t="n"/>
      <c r="CX134" s="6" t="n"/>
      <c r="CY134" s="3" t="n"/>
    </row>
    <row r="135" hidden="1" outlineLevel="1">
      <c r="C135" s="34" t="inlineStr">
        <is>
          <t>Recurring asset sales (enter as -)</t>
        </is>
      </c>
      <c r="D135" s="3" t="n"/>
      <c r="E135" s="3" t="n"/>
      <c r="F135" s="3" t="n"/>
      <c r="G135" s="3" t="n"/>
      <c r="H135" s="3">
        <f>SUM(D135:G135)</f>
        <v>0</v>
      </c>
      <c r="I135" s="3" t="n"/>
      <c r="J135" s="3" t="n"/>
      <c r="K135" s="3" t="n"/>
      <c r="L135" s="3" t="n"/>
      <c r="M135" s="3">
        <f>SUM(I135:L135)</f>
        <v>0</v>
      </c>
      <c r="N135" s="3" t="n"/>
      <c r="O135" s="3" t="n"/>
      <c r="P135" s="3" t="n"/>
      <c r="Q135" s="3" t="n"/>
      <c r="R135" s="3">
        <f>SUM(N135:Q135)</f>
        <v>0</v>
      </c>
      <c r="S135" s="3" t="n"/>
      <c r="T135" s="3" t="n"/>
      <c r="U135" s="3" t="n"/>
      <c r="V135" s="3" t="n"/>
      <c r="W135" s="3">
        <f>SUM(S135:V135)</f>
        <v>0</v>
      </c>
      <c r="X135" s="3" t="n"/>
      <c r="Y135" s="3" t="n"/>
      <c r="Z135" s="3" t="n"/>
      <c r="AA135" s="3" t="n"/>
      <c r="AB135" s="3">
        <f>SUM(X135:AA135)</f>
        <v>0</v>
      </c>
      <c r="AC135" s="3" t="n"/>
      <c r="AD135" s="3" t="n"/>
      <c r="AE135" s="3" t="n"/>
      <c r="AF135" s="6" t="n"/>
      <c r="AG135" s="3" t="n"/>
      <c r="AH135" s="6" t="n"/>
      <c r="AI135" s="6" t="n"/>
      <c r="AJ135" s="6" t="n"/>
      <c r="AK135" s="6" t="n"/>
      <c r="AL135" s="3" t="n"/>
      <c r="AM135" s="6" t="n"/>
      <c r="AN135" s="6" t="n"/>
      <c r="AO135" s="6" t="n"/>
      <c r="AP135" s="6" t="n"/>
      <c r="AQ135" s="3" t="n"/>
      <c r="AR135" s="6" t="n"/>
      <c r="AS135" s="6" t="n"/>
      <c r="AT135" s="6" t="n"/>
      <c r="AU135" s="6" t="n"/>
      <c r="AV135" s="3" t="n"/>
      <c r="AW135" s="6" t="n"/>
      <c r="AX135" s="6" t="n"/>
      <c r="AY135" s="6" t="n"/>
      <c r="AZ135" s="6" t="n"/>
      <c r="BA135" s="3" t="n"/>
      <c r="BB135" s="6" t="n"/>
      <c r="BC135" s="6" t="n"/>
      <c r="BD135" s="6" t="n"/>
      <c r="BE135" s="6" t="n"/>
      <c r="BF135" s="3" t="n"/>
      <c r="BG135" s="6" t="n"/>
      <c r="BH135" s="6" t="n"/>
      <c r="BI135" s="6" t="n"/>
      <c r="BJ135" s="6" t="n"/>
      <c r="BK135" s="3" t="n"/>
      <c r="BL135" s="6" t="n"/>
      <c r="BM135" s="6" t="n"/>
      <c r="BN135" s="6" t="n"/>
      <c r="BO135" s="6" t="n"/>
      <c r="BP135" s="3" t="n"/>
      <c r="BQ135" s="6" t="n"/>
      <c r="BR135" s="6" t="n"/>
      <c r="BS135" s="6" t="n"/>
      <c r="BT135" s="6" t="n"/>
      <c r="BU135" s="3" t="n"/>
      <c r="BV135" s="6" t="n"/>
      <c r="BW135" s="6" t="n"/>
      <c r="BX135" s="6" t="n"/>
      <c r="BY135" s="6" t="n"/>
      <c r="BZ135" s="3" t="n"/>
      <c r="CA135" s="6" t="n"/>
      <c r="CB135" s="6" t="n"/>
      <c r="CC135" s="6" t="n"/>
      <c r="CD135" s="6" t="n"/>
      <c r="CE135" s="3" t="n"/>
      <c r="CF135" s="6" t="n"/>
      <c r="CG135" s="6" t="n"/>
      <c r="CH135" s="6" t="n"/>
      <c r="CI135" s="6" t="n"/>
      <c r="CJ135" s="3" t="n"/>
      <c r="CK135" s="6" t="n"/>
      <c r="CL135" s="6" t="n"/>
      <c r="CM135" s="6" t="n"/>
      <c r="CN135" s="6" t="n"/>
      <c r="CO135" s="3" t="n"/>
      <c r="CP135" s="6" t="n"/>
      <c r="CQ135" s="6" t="n"/>
      <c r="CR135" s="6" t="n"/>
      <c r="CS135" s="6" t="n"/>
      <c r="CT135" s="3" t="n"/>
      <c r="CU135" s="6" t="n"/>
      <c r="CV135" s="6" t="n"/>
      <c r="CW135" s="6" t="n"/>
      <c r="CX135" s="6" t="n"/>
      <c r="CY135" s="3" t="n"/>
    </row>
    <row r="136" hidden="1" outlineLevel="1">
      <c r="C136" s="34" t="inlineStr">
        <is>
          <t>Depreciation</t>
        </is>
      </c>
      <c r="D136" s="3">
        <f>D36</f>
        <v>-107</v>
      </c>
      <c r="E136" s="3">
        <f>E36</f>
        <v>-404</v>
      </c>
      <c r="F136" s="3">
        <f>F36</f>
        <v>-299</v>
      </c>
      <c r="G136" s="3">
        <f>G36</f>
        <v>-288</v>
      </c>
      <c r="H136" s="3" t="n"/>
      <c r="I136" s="3">
        <f>I36</f>
        <v>-281</v>
      </c>
      <c r="J136" s="3">
        <f>J36</f>
        <v>-286</v>
      </c>
      <c r="K136" s="3">
        <f>K36</f>
        <v>-298</v>
      </c>
      <c r="L136" s="3">
        <f>L36</f>
        <v>-309</v>
      </c>
      <c r="M136" s="3" t="n"/>
      <c r="N136" s="3">
        <f>N36</f>
        <v>-334</v>
      </c>
      <c r="O136" s="3">
        <f>O36</f>
        <v>-378</v>
      </c>
      <c r="P136" s="3">
        <f>P36</f>
        <v>-406</v>
      </c>
      <c r="Q136" s="3">
        <f>Q36</f>
        <v>-426</v>
      </c>
      <c r="R136" s="3" t="n"/>
      <c r="S136" s="3">
        <f>S36</f>
        <v>-384</v>
      </c>
      <c r="T136" s="3">
        <f>T36</f>
        <v>-365</v>
      </c>
      <c r="U136" s="3">
        <f>U36</f>
        <v>-372</v>
      </c>
      <c r="V136" s="3">
        <f>V36</f>
        <v>-387</v>
      </c>
      <c r="W136" s="3" t="n"/>
      <c r="X136" s="3">
        <f>X36</f>
        <v>-410</v>
      </c>
      <c r="Y136" s="3">
        <f>Y36</f>
        <v>-433</v>
      </c>
      <c r="Z136" s="3">
        <f>Z36</f>
        <v>-478</v>
      </c>
      <c r="AA136" s="3">
        <f>AA36</f>
        <v>-543</v>
      </c>
      <c r="AB136" s="3" t="n"/>
      <c r="AC136" s="3">
        <f>AC36</f>
        <v>-611</v>
      </c>
      <c r="AD136" s="3">
        <f>AD36</f>
        <v>-669</v>
      </c>
      <c r="AE136" s="3">
        <f>AE36</f>
        <v>-751</v>
      </c>
      <c r="AF136" s="3">
        <f>AF36</f>
        <v>-812</v>
      </c>
      <c r="AG136" s="3" t="n"/>
      <c r="AH136" s="3">
        <f>AH36</f>
        <v>0</v>
      </c>
      <c r="AI136" s="3">
        <f>AI36</f>
        <v>0</v>
      </c>
      <c r="AJ136" s="3">
        <f>AJ36</f>
        <v>0</v>
      </c>
      <c r="AK136" s="3">
        <f>AK36</f>
        <v>0</v>
      </c>
      <c r="AL136" s="3" t="n"/>
      <c r="AM136" s="3">
        <f>AM36</f>
        <v>0</v>
      </c>
      <c r="AN136" s="3">
        <f>AN36</f>
        <v>0</v>
      </c>
      <c r="AO136" s="3">
        <f>AO36</f>
        <v>0</v>
      </c>
      <c r="AP136" s="3">
        <f>AP36</f>
        <v>0</v>
      </c>
      <c r="AQ136" s="3" t="n"/>
      <c r="AR136" s="3">
        <f>AR36</f>
        <v>0</v>
      </c>
      <c r="AS136" s="3">
        <f>AS36</f>
        <v>0</v>
      </c>
      <c r="AT136" s="3">
        <f>AT36</f>
        <v>0</v>
      </c>
      <c r="AU136" s="3">
        <f>AU36</f>
        <v>0</v>
      </c>
      <c r="AV136" s="3" t="n"/>
      <c r="AW136" s="3">
        <f>AW36</f>
        <v>0</v>
      </c>
      <c r="AX136" s="3">
        <f>AX36</f>
        <v>0</v>
      </c>
      <c r="AY136" s="3">
        <f>AY36</f>
        <v>0</v>
      </c>
      <c r="AZ136" s="3">
        <f>AZ36</f>
        <v>0</v>
      </c>
      <c r="BA136" s="3" t="n"/>
      <c r="BB136" s="3">
        <f>BB36</f>
        <v>0</v>
      </c>
      <c r="BC136" s="3">
        <f>BC36</f>
        <v>0</v>
      </c>
      <c r="BD136" s="3">
        <f>BD36</f>
        <v>0</v>
      </c>
      <c r="BE136" s="3">
        <f>BE36</f>
        <v>0</v>
      </c>
      <c r="BF136" s="3" t="n"/>
      <c r="BG136" s="3">
        <f>BG36</f>
        <v>0</v>
      </c>
      <c r="BH136" s="3">
        <f>BH36</f>
        <v>0</v>
      </c>
      <c r="BI136" s="3">
        <f>BI36</f>
        <v>0</v>
      </c>
      <c r="BJ136" s="3">
        <f>BJ36</f>
        <v>0</v>
      </c>
      <c r="BK136" s="3" t="n"/>
      <c r="BL136" s="3">
        <f>BL36</f>
        <v>0</v>
      </c>
      <c r="BM136" s="3">
        <f>BM36</f>
        <v>0</v>
      </c>
      <c r="BN136" s="3">
        <f>BN36</f>
        <v>0</v>
      </c>
      <c r="BO136" s="3">
        <f>BO36</f>
        <v>0</v>
      </c>
      <c r="BP136" s="3" t="n"/>
      <c r="BQ136" s="3">
        <f>BQ36</f>
        <v>0</v>
      </c>
      <c r="BR136" s="3">
        <f>BR36</f>
        <v>0</v>
      </c>
      <c r="BS136" s="3">
        <f>BS36</f>
        <v>0</v>
      </c>
      <c r="BT136" s="3">
        <f>BT36</f>
        <v>0</v>
      </c>
      <c r="BU136" s="3" t="n"/>
      <c r="BV136" s="3">
        <f>BV36</f>
        <v>0</v>
      </c>
      <c r="BW136" s="3">
        <f>BW36</f>
        <v>0</v>
      </c>
      <c r="BX136" s="3">
        <f>BX36</f>
        <v>0</v>
      </c>
      <c r="BY136" s="3">
        <f>BY36</f>
        <v>0</v>
      </c>
      <c r="BZ136" s="3" t="n"/>
      <c r="CA136" s="3">
        <f>CA36</f>
        <v>0</v>
      </c>
      <c r="CB136" s="3">
        <f>CB36</f>
        <v>0</v>
      </c>
      <c r="CC136" s="3">
        <f>CC36</f>
        <v>0</v>
      </c>
      <c r="CD136" s="3">
        <f>CD36</f>
        <v>0</v>
      </c>
      <c r="CE136" s="3" t="n"/>
      <c r="CF136" s="3">
        <f>CF36</f>
        <v>0</v>
      </c>
      <c r="CG136" s="3">
        <f>CG36</f>
        <v>0</v>
      </c>
      <c r="CH136" s="3">
        <f>CH36</f>
        <v>0</v>
      </c>
      <c r="CI136" s="3">
        <f>CI36</f>
        <v>0</v>
      </c>
      <c r="CJ136" s="3" t="n"/>
      <c r="CK136" s="3">
        <f>CK36</f>
        <v>0</v>
      </c>
      <c r="CL136" s="3">
        <f>CL36</f>
        <v>0</v>
      </c>
      <c r="CM136" s="3">
        <f>CM36</f>
        <v>0</v>
      </c>
      <c r="CN136" s="3">
        <f>CN36</f>
        <v>0</v>
      </c>
      <c r="CO136" s="3" t="n"/>
      <c r="CP136" s="3">
        <f>CP36</f>
        <v>0</v>
      </c>
      <c r="CQ136" s="3">
        <f>CQ36</f>
        <v>0</v>
      </c>
      <c r="CR136" s="3">
        <f>CR36</f>
        <v>0</v>
      </c>
      <c r="CS136" s="3">
        <f>CS36</f>
        <v>0</v>
      </c>
      <c r="CT136" s="3" t="n"/>
      <c r="CU136" s="3">
        <f>CU36</f>
        <v>0</v>
      </c>
      <c r="CV136" s="3">
        <f>CV36</f>
        <v>0</v>
      </c>
      <c r="CW136" s="3">
        <f>CW36</f>
        <v>0</v>
      </c>
      <c r="CX136" s="3">
        <f>CX36</f>
        <v>0</v>
      </c>
      <c r="CY136" s="3" t="n"/>
    </row>
    <row r="137" hidden="1" outlineLevel="1">
      <c r="C137" s="34" t="inlineStr">
        <is>
          <t>PP&amp;E</t>
        </is>
      </c>
      <c r="D137" s="3">
        <f>D132</f>
        <v>1715</v>
      </c>
      <c r="E137" s="3">
        <f>E132</f>
        <v>1964</v>
      </c>
      <c r="F137" s="3">
        <f>F132</f>
        <v>2059</v>
      </c>
      <c r="G137" s="3">
        <f>G132</f>
        <v>2149</v>
      </c>
      <c r="H137" s="3" t="n"/>
      <c r="I137" s="3">
        <f>I132</f>
        <v>2268</v>
      </c>
      <c r="J137" s="3">
        <f>J132</f>
        <v>2364</v>
      </c>
      <c r="K137" s="3">
        <f>K132</f>
        <v>2509</v>
      </c>
      <c r="L137" s="3">
        <f>L132</f>
        <v>2778</v>
      </c>
      <c r="M137" s="3" t="n"/>
      <c r="N137" s="3">
        <f>N132</f>
        <v>2916</v>
      </c>
      <c r="O137" s="3">
        <f>O132</f>
        <v>3233</v>
      </c>
      <c r="P137" s="3">
        <f>P132</f>
        <v>3774</v>
      </c>
      <c r="Q137" s="3">
        <f>Q132</f>
        <v>3807</v>
      </c>
      <c r="R137" s="3" t="n"/>
      <c r="S137" s="3">
        <f>S132</f>
        <v>3740</v>
      </c>
      <c r="T137" s="3">
        <f>T132</f>
        <v>3799</v>
      </c>
      <c r="U137" s="3">
        <f>U132</f>
        <v>3844</v>
      </c>
      <c r="V137" s="3">
        <f>V132</f>
        <v>3914</v>
      </c>
      <c r="W137" s="3" t="n"/>
      <c r="X137" s="3">
        <f>X132</f>
        <v>4006</v>
      </c>
      <c r="Y137" s="3">
        <f>Y132</f>
        <v>4885</v>
      </c>
      <c r="Z137" s="3">
        <f>Z132</f>
        <v>5343</v>
      </c>
      <c r="AA137" s="3">
        <f>Y137+SUM(AA134:AA136)</f>
        <v>5825</v>
      </c>
      <c r="AB137" s="3" t="n"/>
      <c r="AC137" s="3">
        <f>AC132</f>
        <v>7136</v>
      </c>
      <c r="AD137" s="3">
        <f>AD132</f>
        <v>9141</v>
      </c>
      <c r="AE137" s="3">
        <f>AE132</f>
        <v>9780</v>
      </c>
      <c r="AF137" s="3">
        <f>AE137+SUM(AF134:AF136)</f>
        <v>10383</v>
      </c>
      <c r="AG137" s="3" t="n"/>
      <c r="AH137" s="3">
        <f>AG137+SUM(AH134:AH136)</f>
        <v>0</v>
      </c>
      <c r="AI137" s="3">
        <f>AH137+SUM(AI134:AI136)</f>
        <v>0</v>
      </c>
      <c r="AJ137" s="3">
        <f>AI137+SUM(AJ134:AJ136)</f>
        <v>0</v>
      </c>
      <c r="AK137" s="3">
        <f>AJ137+SUM(AK134:AK136)</f>
        <v>0</v>
      </c>
      <c r="AL137" s="3" t="n"/>
      <c r="AM137" s="3">
        <f>AK137+SUM(AM134:AM136)</f>
        <v>0</v>
      </c>
      <c r="AN137" s="3">
        <f>AL137+SUM(AN134:AN136)</f>
        <v>0</v>
      </c>
      <c r="AO137" s="3">
        <f>AM137+SUM(AO134:AO136)</f>
        <v>0</v>
      </c>
      <c r="AP137" s="3">
        <f>AN137+SUM(AP134:AP136)</f>
        <v>0</v>
      </c>
      <c r="AQ137" s="3" t="n"/>
      <c r="AR137" s="3">
        <f>AP137+SUM(AR134:AR136)</f>
        <v>0</v>
      </c>
      <c r="AS137" s="3">
        <f>AQ137+SUM(AS134:AS136)</f>
        <v>0</v>
      </c>
      <c r="AT137" s="3">
        <f>AR137+SUM(AT134:AT136)</f>
        <v>0</v>
      </c>
      <c r="AU137" s="3">
        <f>AS137+SUM(AU134:AU136)</f>
        <v>0</v>
      </c>
      <c r="AV137" s="3" t="n"/>
      <c r="AW137" s="3">
        <f>AU137+SUM(AW134:AW136)</f>
        <v>0</v>
      </c>
      <c r="AX137" s="3">
        <f>AV137+SUM(AX134:AX136)</f>
        <v>0</v>
      </c>
      <c r="AY137" s="3">
        <f>AW137+SUM(AY134:AY136)</f>
        <v>0</v>
      </c>
      <c r="AZ137" s="3">
        <f>AX137+SUM(AZ134:AZ136)</f>
        <v>0</v>
      </c>
      <c r="BA137" s="3" t="n"/>
      <c r="BB137" s="3">
        <f>AZ137+SUM(BB134:BB136)</f>
        <v>0</v>
      </c>
      <c r="BC137" s="3">
        <f>BA137+SUM(BC134:BC136)</f>
        <v>0</v>
      </c>
      <c r="BD137" s="3">
        <f>BB137+SUM(BD134:BD136)</f>
        <v>0</v>
      </c>
      <c r="BE137" s="3">
        <f>BC137+SUM(BE134:BE136)</f>
        <v>0</v>
      </c>
      <c r="BF137" s="3" t="n"/>
      <c r="BG137" s="3">
        <f>BE137+SUM(BG134:BG136)</f>
        <v>0</v>
      </c>
      <c r="BH137" s="3">
        <f>BF137+SUM(BH134:BH136)</f>
        <v>0</v>
      </c>
      <c r="BI137" s="3">
        <f>BG137+SUM(BI134:BI136)</f>
        <v>0</v>
      </c>
      <c r="BJ137" s="3">
        <f>BH137+SUM(BJ134:BJ136)</f>
        <v>0</v>
      </c>
      <c r="BK137" s="3" t="n"/>
      <c r="BL137" s="3">
        <f>BJ137+SUM(BL134:BL136)</f>
        <v>0</v>
      </c>
      <c r="BM137" s="3">
        <f>BK137+SUM(BM134:BM136)</f>
        <v>0</v>
      </c>
      <c r="BN137" s="3">
        <f>BL137+SUM(BN134:BN136)</f>
        <v>0</v>
      </c>
      <c r="BO137" s="3">
        <f>BM137+SUM(BO134:BO136)</f>
        <v>0</v>
      </c>
      <c r="BP137" s="3" t="n"/>
      <c r="BQ137" s="3">
        <f>BO137+SUM(BQ134:BQ136)</f>
        <v>0</v>
      </c>
      <c r="BR137" s="3">
        <f>BP137+SUM(BR134:BR136)</f>
        <v>0</v>
      </c>
      <c r="BS137" s="3">
        <f>BQ137+SUM(BS134:BS136)</f>
        <v>0</v>
      </c>
      <c r="BT137" s="3">
        <f>BR137+SUM(BT134:BT136)</f>
        <v>0</v>
      </c>
      <c r="BU137" s="3" t="n"/>
      <c r="BV137" s="3">
        <f>BT137+SUM(BV134:BV136)</f>
        <v>0</v>
      </c>
      <c r="BW137" s="3">
        <f>BU137+SUM(BW134:BW136)</f>
        <v>0</v>
      </c>
      <c r="BX137" s="3">
        <f>BV137+SUM(BX134:BX136)</f>
        <v>0</v>
      </c>
      <c r="BY137" s="3">
        <f>BW137+SUM(BY134:BY136)</f>
        <v>0</v>
      </c>
      <c r="BZ137" s="3" t="n"/>
      <c r="CA137" s="3">
        <f>BY137+SUM(CA134:CA136)</f>
        <v>0</v>
      </c>
      <c r="CB137" s="3">
        <f>BZ137+SUM(CB134:CB136)</f>
        <v>0</v>
      </c>
      <c r="CC137" s="3">
        <f>CA137+SUM(CC134:CC136)</f>
        <v>0</v>
      </c>
      <c r="CD137" s="3">
        <f>CB137+SUM(CD134:CD136)</f>
        <v>0</v>
      </c>
      <c r="CE137" s="3" t="n"/>
      <c r="CF137" s="3">
        <f>CD137+SUM(CF134:CF136)</f>
        <v>0</v>
      </c>
      <c r="CG137" s="3">
        <f>CE137+SUM(CG134:CG136)</f>
        <v>0</v>
      </c>
      <c r="CH137" s="3">
        <f>CF137+SUM(CH134:CH136)</f>
        <v>0</v>
      </c>
      <c r="CI137" s="3">
        <f>CG137+SUM(CI134:CI136)</f>
        <v>0</v>
      </c>
      <c r="CJ137" s="3" t="n"/>
      <c r="CK137" s="3">
        <f>CI137+SUM(CK134:CK136)</f>
        <v>0</v>
      </c>
      <c r="CL137" s="3">
        <f>CJ137+SUM(CL134:CL136)</f>
        <v>0</v>
      </c>
      <c r="CM137" s="3">
        <f>CK137+SUM(CM134:CM136)</f>
        <v>0</v>
      </c>
      <c r="CN137" s="3">
        <f>CL137+SUM(CN134:CN136)</f>
        <v>0</v>
      </c>
      <c r="CO137" s="3" t="n"/>
      <c r="CP137" s="3">
        <f>CN137+SUM(CP134:CP136)</f>
        <v>0</v>
      </c>
      <c r="CQ137" s="3">
        <f>CO137+SUM(CQ134:CQ136)</f>
        <v>0</v>
      </c>
      <c r="CR137" s="3">
        <f>CP137+SUM(CR134:CR136)</f>
        <v>0</v>
      </c>
      <c r="CS137" s="3">
        <f>CQ137+SUM(CS134:CS136)</f>
        <v>0</v>
      </c>
      <c r="CT137" s="3" t="n"/>
      <c r="CU137" s="3">
        <f>CS137+SUM(CU134:CU136)</f>
        <v>0</v>
      </c>
      <c r="CV137" s="3">
        <f>CT137+SUM(CV134:CV136)</f>
        <v>0</v>
      </c>
      <c r="CW137" s="3">
        <f>CU137+SUM(CW134:CW136)</f>
        <v>0</v>
      </c>
      <c r="CX137" s="3">
        <f>CV137+SUM(CX134:CX136)</f>
        <v>0</v>
      </c>
      <c r="CY137" s="3" t="n"/>
    </row>
    <row r="138" hidden="1" outlineLevel="1">
      <c r="C138" s="34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  <c r="CU138" s="3" t="n"/>
      <c r="CV138" s="3" t="n"/>
      <c r="CW138" s="3" t="n"/>
      <c r="CX138" s="3" t="n"/>
      <c r="CY138" s="3" t="n"/>
    </row>
    <row r="139" hidden="1" outlineLevel="1">
      <c r="C139" s="34" t="inlineStr">
        <is>
          <t>Capital expenditures (% Net Revenues)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40">
        <f>AF134/AF15</f>
        <v>0.0207700324394146</v>
      </c>
      <c r="AG139" s="40">
        <f>AG134/AG15</f>
        <v>0.0321527475479073</v>
      </c>
      <c r="AH139" s="40">
        <f>AH134/AH15</f>
        <v>0</v>
      </c>
      <c r="AI139" s="40">
        <f>AI134/AI15</f>
        <v>0</v>
      </c>
      <c r="AJ139" s="40">
        <f>AJ134/AJ15</f>
        <v>0</v>
      </c>
      <c r="AK139" s="40">
        <f>AK134/AK15</f>
        <v>0</v>
      </c>
      <c r="AL139" s="40">
        <f>AL134/AL15</f>
        <v>0</v>
      </c>
      <c r="AM139" s="40">
        <f>AM134/AM15</f>
        <v>0</v>
      </c>
      <c r="AN139" s="40">
        <f>AN134/AN15</f>
        <v>0</v>
      </c>
      <c r="AO139" s="40">
        <f>AO134/AO15</f>
        <v>0</v>
      </c>
      <c r="AP139" s="40">
        <f>AP134/AP15</f>
        <v>0</v>
      </c>
      <c r="AQ139" s="40">
        <f>AQ134/AQ15</f>
        <v>0</v>
      </c>
      <c r="AR139" s="40">
        <f>AR134/AR15</f>
        <v>0</v>
      </c>
      <c r="AS139" s="40">
        <f>AS134/AS15</f>
        <v>0</v>
      </c>
      <c r="AT139" s="40">
        <f>AT134/AT15</f>
        <v>0</v>
      </c>
      <c r="AU139" s="40">
        <f>AU134/AU15</f>
        <v>0</v>
      </c>
      <c r="AV139" s="40">
        <f>AV134/AV15</f>
        <v>0</v>
      </c>
      <c r="AW139" s="40">
        <f>AW134/AW15</f>
        <v>0</v>
      </c>
      <c r="AX139" s="40">
        <f>AX134/AX15</f>
        <v>0</v>
      </c>
      <c r="AY139" s="40">
        <f>AY134/AY15</f>
        <v>0</v>
      </c>
      <c r="AZ139" s="40">
        <f>AZ134/AZ15</f>
        <v>0</v>
      </c>
      <c r="BA139" s="40">
        <f>BA134/BA15</f>
        <v>0</v>
      </c>
      <c r="BB139" s="40">
        <f>BB134/BB15</f>
        <v>0</v>
      </c>
      <c r="BC139" s="40">
        <f>BC134/BC15</f>
        <v>0</v>
      </c>
      <c r="BD139" s="40">
        <f>BD134/BD15</f>
        <v>0</v>
      </c>
      <c r="BE139" s="40">
        <f>BE134/BE15</f>
        <v>0</v>
      </c>
      <c r="BF139" s="40">
        <f>BF134/BF15</f>
        <v>0</v>
      </c>
      <c r="BG139" s="40">
        <f>BG134/BG15</f>
        <v>0</v>
      </c>
      <c r="BH139" s="40">
        <f>BH134/BH15</f>
        <v>0</v>
      </c>
      <c r="BI139" s="40">
        <f>BI134/BI15</f>
        <v>0</v>
      </c>
      <c r="BJ139" s="40">
        <f>BJ134/BJ15</f>
        <v>0</v>
      </c>
      <c r="BK139" s="40">
        <f>BK134/BK15</f>
        <v>0</v>
      </c>
      <c r="BL139" s="40">
        <f>BL134/BL15</f>
        <v>0</v>
      </c>
      <c r="BM139" s="40">
        <f>BM134/BM15</f>
        <v>0</v>
      </c>
      <c r="BN139" s="40">
        <f>BN134/BN15</f>
        <v>0</v>
      </c>
      <c r="BO139" s="40">
        <f>BO134/BO15</f>
        <v>0</v>
      </c>
      <c r="BP139" s="40">
        <f>BP134/BP15</f>
        <v>0</v>
      </c>
      <c r="BQ139" s="40">
        <f>BQ134/BQ15</f>
        <v>0</v>
      </c>
      <c r="BR139" s="40">
        <f>BR134/BR15</f>
        <v>0</v>
      </c>
      <c r="BS139" s="40">
        <f>BS134/BS15</f>
        <v>0</v>
      </c>
      <c r="BT139" s="40">
        <f>BT134/BT15</f>
        <v>0</v>
      </c>
      <c r="BU139" s="40">
        <f>BU134/BU15</f>
        <v>0</v>
      </c>
      <c r="BV139" s="40">
        <f>BV134/BV15</f>
        <v>0</v>
      </c>
      <c r="BW139" s="40">
        <f>BW134/BW15</f>
        <v>0</v>
      </c>
      <c r="BX139" s="40">
        <f>BX134/BX15</f>
        <v>0</v>
      </c>
      <c r="BY139" s="40">
        <f>BY134/BY15</f>
        <v>0</v>
      </c>
      <c r="BZ139" s="40">
        <f>BZ134/BZ15</f>
        <v>0</v>
      </c>
      <c r="CA139" s="40">
        <f>CA134/CA15</f>
        <v>0</v>
      </c>
      <c r="CB139" s="40">
        <f>CB134/CB15</f>
        <v>0</v>
      </c>
      <c r="CC139" s="40">
        <f>CC134/CC15</f>
        <v>0</v>
      </c>
      <c r="CD139" s="40">
        <f>CD134/CD15</f>
        <v>0</v>
      </c>
      <c r="CE139" s="40">
        <f>CE134/CE15</f>
        <v>0</v>
      </c>
      <c r="CF139" s="40">
        <f>CF134/CF15</f>
        <v>0</v>
      </c>
      <c r="CG139" s="40">
        <f>CG134/CG15</f>
        <v>0</v>
      </c>
      <c r="CH139" s="40">
        <f>CH134/CH15</f>
        <v>0</v>
      </c>
      <c r="CI139" s="40">
        <f>CI134/CI15</f>
        <v>0</v>
      </c>
      <c r="CJ139" s="40">
        <f>CJ134/CJ15</f>
        <v>0</v>
      </c>
      <c r="CK139" s="40">
        <f>CK134/CK15</f>
        <v>0</v>
      </c>
      <c r="CL139" s="40">
        <f>CL134/CL15</f>
        <v>0</v>
      </c>
      <c r="CM139" s="40">
        <f>CM134/CM15</f>
        <v>0</v>
      </c>
      <c r="CN139" s="40">
        <f>CN134/CN15</f>
        <v>0</v>
      </c>
      <c r="CO139" s="40">
        <f>CO134/CO15</f>
        <v>0</v>
      </c>
      <c r="CP139" s="40">
        <f>CP134/CP15</f>
        <v>0</v>
      </c>
      <c r="CQ139" s="40">
        <f>CQ134/CQ15</f>
        <v>0</v>
      </c>
      <c r="CR139" s="40">
        <f>CR134/CR15</f>
        <v>0</v>
      </c>
      <c r="CS139" s="40">
        <f>CS134/CS15</f>
        <v>0</v>
      </c>
      <c r="CT139" s="40">
        <f>CT134/CT15</f>
        <v>0</v>
      </c>
      <c r="CU139" s="40">
        <f>CU134/CU15</f>
        <v>0</v>
      </c>
      <c r="CV139" s="40">
        <f>CV134/CV15</f>
        <v>0</v>
      </c>
      <c r="CW139" s="40">
        <f>CW134/CW15</f>
        <v>0</v>
      </c>
      <c r="CX139" s="40">
        <f>CX134/CX15</f>
        <v>0</v>
      </c>
      <c r="CY139" s="40">
        <f>CY134/CY15</f>
        <v>0</v>
      </c>
    </row>
    <row r="140" hidden="1" outlineLevel="1">
      <c r="C140" s="34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  <c r="CU140" s="3" t="n"/>
      <c r="CV140" s="3" t="n"/>
      <c r="CW140" s="3" t="n"/>
      <c r="CX140" s="3" t="n"/>
      <c r="CY140" s="3" t="n"/>
    </row>
    <row r="141" hidden="1" outlineLevel="1">
      <c r="C141" s="34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  <c r="CU141" s="3" t="n"/>
      <c r="CV141" s="3" t="n"/>
      <c r="CW141" s="3" t="n"/>
      <c r="CX141" s="3" t="n"/>
      <c r="CY141" s="3" t="n"/>
    </row>
    <row r="142" collapsed="1">
      <c r="C142" s="26" t="inlineStr">
        <is>
          <t>Right-of-use-assets</t>
        </is>
      </c>
      <c r="D142" s="25">
        <f>INDEX('Inputs (2)'!$D$23:$AL$23,MATCH(D$7,'Inputs (2)'!$D$2:$AL$2,0))</f>
        <v>595</v>
      </c>
      <c r="E142" s="25">
        <f>INDEX('Inputs (2)'!$D$23:$AL$23,MATCH(E$7,'Inputs (2)'!$D$2:$AL$2,0))</f>
        <v>701</v>
      </c>
      <c r="F142" s="25">
        <f>INDEX('Inputs (2)'!$D$23:$AL$23,MATCH(F$7,'Inputs (2)'!$D$2:$AL$2,0))</f>
        <v>681</v>
      </c>
      <c r="G142" s="25">
        <f>INDEX('Inputs (2)'!$D$23:$AL$23,MATCH(G$7,'Inputs (2)'!$D$2:$AL$2,0))</f>
        <v>707</v>
      </c>
      <c r="H142" s="3">
        <f>G142</f>
        <v>707</v>
      </c>
      <c r="I142" s="25">
        <f>INDEX('Inputs (2)'!$D$23:$AL$23,MATCH(I$7,'Inputs (2)'!$D$2:$AL$2,0))</f>
        <v>727</v>
      </c>
      <c r="J142" s="25">
        <f>INDEX('Inputs (2)'!$D$23:$AL$23,MATCH(J$7,'Inputs (2)'!$D$2:$AL$2,0))</f>
        <v>801</v>
      </c>
      <c r="K142" s="25">
        <f>INDEX('Inputs (2)'!$D$23:$AL$23,MATCH(K$7,'Inputs (2)'!$D$2:$AL$2,0))</f>
        <v>830</v>
      </c>
      <c r="L142" s="25">
        <f>INDEX('Inputs (2)'!$D$23:$AL$23,MATCH(L$7,'Inputs (2)'!$D$2:$AL$2,0))</f>
        <v>829</v>
      </c>
      <c r="M142" s="3">
        <f>L142</f>
        <v>829</v>
      </c>
      <c r="N142" s="25">
        <f>INDEX('Inputs (2)'!$D$23:$AL$23,MATCH(N$7,'Inputs (2)'!$D$2:$AL$2,0))</f>
        <v>856</v>
      </c>
      <c r="O142" s="25">
        <f>INDEX('Inputs (2)'!$D$23:$AL$23,MATCH(O$7,'Inputs (2)'!$D$2:$AL$2,0))</f>
        <v>852</v>
      </c>
      <c r="P142" s="25">
        <f>INDEX('Inputs (2)'!$D$23:$AL$23,MATCH(P$7,'Inputs (2)'!$D$2:$AL$2,0))</f>
        <v>927</v>
      </c>
      <c r="Q142" s="25">
        <f>INDEX('Inputs (2)'!$D$23:$AL$23,MATCH(Q$7,'Inputs (2)'!$D$2:$AL$2,0))</f>
        <v>1038</v>
      </c>
      <c r="R142" s="3">
        <f>Q142</f>
        <v>1038</v>
      </c>
      <c r="S142" s="25">
        <f>INDEX('Inputs (2)'!$D$23:$AL$23,MATCH(S$7,'Inputs (2)'!$D$2:$AL$2,0))</f>
        <v>1094</v>
      </c>
      <c r="T142" s="25">
        <f>INDEX('Inputs (2)'!$D$23:$AL$23,MATCH(T$7,'Inputs (2)'!$D$2:$AL$2,0))</f>
        <v>1235</v>
      </c>
      <c r="U142" s="25">
        <f>INDEX('Inputs (2)'!$D$23:$AL$23,MATCH(U$7,'Inputs (2)'!$D$2:$AL$2,0))</f>
        <v>1316</v>
      </c>
      <c r="V142" s="25">
        <f>INDEX('Inputs (2)'!$D$23:$AL$23,MATCH(V$7,'Inputs (2)'!$D$2:$AL$2,0))</f>
        <v>1346</v>
      </c>
      <c r="W142" s="3">
        <f>V142</f>
        <v>1346</v>
      </c>
      <c r="X142" s="25">
        <f>INDEX('Inputs (2)'!$D$23:$AL$23,MATCH(X$7,'Inputs (2)'!$D$2:$AL$2,0))</f>
        <v>1532</v>
      </c>
      <c r="Y142" s="25">
        <f>INDEX('Inputs (2)'!$D$23:$AL$23,MATCH(Y$7,'Inputs (2)'!$D$2:$AL$2,0))</f>
        <v>1556</v>
      </c>
      <c r="Z142" s="25">
        <f>INDEX('Inputs (2)'!$D$23:$AL$23,MATCH(Z$7,'Inputs (2)'!$D$2:$AL$2,0))</f>
        <v>1755</v>
      </c>
      <c r="AA142" s="25">
        <f>INDEX('Inputs (2)'!$D$23:$AL$23,MATCH(AA$7,'Inputs (2)'!$D$2:$AL$2,0))</f>
        <v>1793</v>
      </c>
      <c r="AB142" s="3">
        <f>AA142</f>
        <v>1793</v>
      </c>
      <c r="AC142" s="25">
        <f>INDEX('Inputs (2)'!$D$23:$AL$23,MATCH(AC$7,'Inputs (2)'!$D$2:$AL$2,0))</f>
        <v>1810</v>
      </c>
      <c r="AD142" s="25">
        <f>INDEX('Inputs (2)'!$D$23:$AL$23,MATCH(AD$7,'Inputs (2)'!$D$2:$AL$2,0))</f>
        <v>2084</v>
      </c>
      <c r="AE142" s="25">
        <f>INDEX('Inputs (2)'!$D$23:$AL$23,MATCH(AE$7,'Inputs (2)'!$D$2:$AL$2,0))</f>
        <v>2281</v>
      </c>
      <c r="AF142" s="25">
        <f>INDEX('Inputs (2)'!$D$23:$AL$23,MATCH(AF$7,'Inputs (2)'!$D$2:$AL$2,0))</f>
        <v>2867</v>
      </c>
      <c r="AG142" s="3">
        <f>AF142</f>
        <v>2867</v>
      </c>
      <c r="AH142" s="3">
        <f>AG142</f>
        <v>2867</v>
      </c>
      <c r="AI142" s="3">
        <f>AH142</f>
        <v>2867</v>
      </c>
      <c r="AJ142" s="3">
        <f>AI142</f>
        <v>2867</v>
      </c>
      <c r="AK142" s="3">
        <f>AJ142</f>
        <v>2867</v>
      </c>
      <c r="AL142" s="3">
        <f>AK142</f>
        <v>2867</v>
      </c>
      <c r="AM142" s="3">
        <f>AL142</f>
        <v>2867</v>
      </c>
      <c r="AN142" s="3">
        <f>AM142</f>
        <v>2867</v>
      </c>
      <c r="AO142" s="3">
        <f>AN142</f>
        <v>2867</v>
      </c>
      <c r="AP142" s="3">
        <f>AO142</f>
        <v>2867</v>
      </c>
      <c r="AQ142" s="3">
        <f>AP142</f>
        <v>2867</v>
      </c>
      <c r="AR142" s="3">
        <f>AQ142</f>
        <v>2867</v>
      </c>
      <c r="AS142" s="3">
        <f>AR142</f>
        <v>2867</v>
      </c>
      <c r="AT142" s="3">
        <f>AS142</f>
        <v>2867</v>
      </c>
      <c r="AU142" s="3">
        <f>AT142</f>
        <v>2867</v>
      </c>
      <c r="AV142" s="3">
        <f>AU142</f>
        <v>2867</v>
      </c>
      <c r="AW142" s="3">
        <f>AV142</f>
        <v>2867</v>
      </c>
      <c r="AX142" s="3">
        <f>AW142</f>
        <v>2867</v>
      </c>
      <c r="AY142" s="3">
        <f>AX142</f>
        <v>2867</v>
      </c>
      <c r="AZ142" s="3">
        <f>AY142</f>
        <v>2867</v>
      </c>
      <c r="BA142" s="3">
        <f>AZ142</f>
        <v>2867</v>
      </c>
      <c r="BB142" s="3">
        <f>BA142</f>
        <v>2867</v>
      </c>
      <c r="BC142" s="3">
        <f>BB142</f>
        <v>2867</v>
      </c>
      <c r="BD142" s="3">
        <f>BC142</f>
        <v>2867</v>
      </c>
      <c r="BE142" s="3">
        <f>BD142</f>
        <v>2867</v>
      </c>
      <c r="BF142" s="3">
        <f>BE142</f>
        <v>2867</v>
      </c>
      <c r="BG142" s="3">
        <f>BF142</f>
        <v>2867</v>
      </c>
      <c r="BH142" s="3">
        <f>BG142</f>
        <v>2867</v>
      </c>
      <c r="BI142" s="3">
        <f>BH142</f>
        <v>2867</v>
      </c>
      <c r="BJ142" s="3">
        <f>BI142</f>
        <v>2867</v>
      </c>
      <c r="BK142" s="3">
        <f>BJ142</f>
        <v>2867</v>
      </c>
      <c r="BL142" s="3">
        <f>BK142</f>
        <v>2867</v>
      </c>
      <c r="BM142" s="3">
        <f>BL142</f>
        <v>2867</v>
      </c>
      <c r="BN142" s="3">
        <f>BM142</f>
        <v>2867</v>
      </c>
      <c r="BO142" s="3">
        <f>BN142</f>
        <v>2867</v>
      </c>
      <c r="BP142" s="3">
        <f>BO142</f>
        <v>2867</v>
      </c>
      <c r="BQ142" s="3">
        <f>BP142</f>
        <v>2867</v>
      </c>
      <c r="BR142" s="3">
        <f>BQ142</f>
        <v>2867</v>
      </c>
      <c r="BS142" s="3">
        <f>BR142</f>
        <v>2867</v>
      </c>
      <c r="BT142" s="3">
        <f>BS142</f>
        <v>2867</v>
      </c>
      <c r="BU142" s="3">
        <f>BT142</f>
        <v>2867</v>
      </c>
      <c r="BV142" s="3">
        <f>BU142</f>
        <v>2867</v>
      </c>
      <c r="BW142" s="3">
        <f>BV142</f>
        <v>2867</v>
      </c>
      <c r="BX142" s="3">
        <f>BW142</f>
        <v>2867</v>
      </c>
      <c r="BY142" s="3">
        <f>BX142</f>
        <v>2867</v>
      </c>
      <c r="BZ142" s="3">
        <f>BY142</f>
        <v>2867</v>
      </c>
      <c r="CA142" s="3">
        <f>BZ142</f>
        <v>2867</v>
      </c>
      <c r="CB142" s="3">
        <f>CA142</f>
        <v>2867</v>
      </c>
      <c r="CC142" s="3">
        <f>CB142</f>
        <v>2867</v>
      </c>
      <c r="CD142" s="3">
        <f>CC142</f>
        <v>2867</v>
      </c>
      <c r="CE142" s="3">
        <f>CD142</f>
        <v>2867</v>
      </c>
      <c r="CF142" s="3">
        <f>CE142</f>
        <v>2867</v>
      </c>
      <c r="CG142" s="3">
        <f>CF142</f>
        <v>2867</v>
      </c>
      <c r="CH142" s="3">
        <f>CG142</f>
        <v>2867</v>
      </c>
      <c r="CI142" s="3">
        <f>CH142</f>
        <v>2867</v>
      </c>
      <c r="CJ142" s="3">
        <f>CI142</f>
        <v>2867</v>
      </c>
      <c r="CK142" s="3">
        <f>CJ142</f>
        <v>2867</v>
      </c>
      <c r="CL142" s="3">
        <f>CK142</f>
        <v>2867</v>
      </c>
      <c r="CM142" s="3">
        <f>CL142</f>
        <v>2867</v>
      </c>
      <c r="CN142" s="3">
        <f>CM142</f>
        <v>2867</v>
      </c>
      <c r="CO142" s="3">
        <f>CN142</f>
        <v>2867</v>
      </c>
      <c r="CP142" s="3">
        <f>CO142</f>
        <v>2867</v>
      </c>
      <c r="CQ142" s="3">
        <f>CP142</f>
        <v>2867</v>
      </c>
      <c r="CR142" s="3">
        <f>CQ142</f>
        <v>2867</v>
      </c>
      <c r="CS142" s="3">
        <f>CR142</f>
        <v>2867</v>
      </c>
      <c r="CT142" s="3">
        <f>CS142</f>
        <v>2867</v>
      </c>
      <c r="CU142" s="3">
        <f>CT142</f>
        <v>2867</v>
      </c>
      <c r="CV142" s="3">
        <f>CU142</f>
        <v>2867</v>
      </c>
      <c r="CW142" s="3">
        <f>CV142</f>
        <v>2867</v>
      </c>
      <c r="CX142" s="3">
        <f>CW142</f>
        <v>2867</v>
      </c>
      <c r="CY142" s="3">
        <f>CX142</f>
        <v>2867</v>
      </c>
    </row>
    <row r="143" hidden="1" outlineLevel="1">
      <c r="C143" s="38" t="inlineStr">
        <is>
          <t>%(Var.)</t>
        </is>
      </c>
      <c r="D143" s="3" t="n"/>
      <c r="E143" s="47">
        <f>(E142-D142)/D142</f>
        <v>0.178151260504202</v>
      </c>
      <c r="F143" s="47">
        <f>(F142-E142)/E142</f>
        <v>-0.0285306704707561</v>
      </c>
      <c r="G143" s="47">
        <f>(G142-F142)/F142</f>
        <v>0.0381791483113069</v>
      </c>
      <c r="H143" s="3" t="n"/>
      <c r="I143" s="47">
        <f>(I142-H142)/H142</f>
        <v>0.0282885431400283</v>
      </c>
      <c r="J143" s="47">
        <f>(J142-I142)/I142</f>
        <v>0.101788170563961</v>
      </c>
      <c r="K143" s="47">
        <f>(K142-J142)/J142</f>
        <v>0.0362047440699126</v>
      </c>
      <c r="L143" s="47">
        <f>(L142-K142)/K142</f>
        <v>-0.00120481927710843</v>
      </c>
      <c r="M143" s="3" t="n"/>
      <c r="N143" s="47">
        <f>(N142-M142)/M142</f>
        <v>0.0325693606755127</v>
      </c>
      <c r="O143" s="47">
        <f>(O142-N142)/N142</f>
        <v>-0.00467289719626168</v>
      </c>
      <c r="P143" s="47">
        <f>(P142-O142)/O142</f>
        <v>0.0880281690140845</v>
      </c>
      <c r="Q143" s="47">
        <f>(Q142-P142)/P142</f>
        <v>0.119741100323625</v>
      </c>
      <c r="R143" s="3" t="n"/>
      <c r="S143" s="47">
        <f>(S142-R142)/R142</f>
        <v>0.0539499036608863</v>
      </c>
      <c r="T143" s="47">
        <f>(T142-S142)/S142</f>
        <v>0.128884826325411</v>
      </c>
      <c r="U143" s="47">
        <f>(U142-T142)/T142</f>
        <v>0.065587044534413</v>
      </c>
      <c r="V143" s="47">
        <f>(V142-U142)/U142</f>
        <v>0.0227963525835866</v>
      </c>
      <c r="W143" s="3" t="n"/>
      <c r="X143" s="47">
        <f>(X142-W142)/W142</f>
        <v>0.138187221396731</v>
      </c>
      <c r="Y143" s="47">
        <f>(Y142-X142)/X142</f>
        <v>0.0156657963446475</v>
      </c>
      <c r="Z143" s="47">
        <f>(Z142-Y142)/Y142</f>
        <v>0.127892030848329</v>
      </c>
      <c r="AA143" s="47">
        <f>(AA142-Z142)/Z142</f>
        <v>0.0216524216524217</v>
      </c>
      <c r="AB143" s="3" t="n"/>
      <c r="AC143" s="47">
        <f>(AC142-AB142)/AB142</f>
        <v>0.00948131622978249</v>
      </c>
      <c r="AD143" s="47">
        <f>(AD142-AC142)/AC142</f>
        <v>0.151381215469613</v>
      </c>
      <c r="AE143" s="47">
        <f>(AE142-AD142)/AD142</f>
        <v>0.0945297504798465</v>
      </c>
      <c r="AF143" s="218">
        <f>(AF142-AE142)/AE142</f>
        <v>0.256904866286716</v>
      </c>
      <c r="AG143" s="3" t="n"/>
      <c r="AH143" s="218" t="n"/>
      <c r="AI143" s="218" t="n"/>
      <c r="AJ143" s="218" t="n"/>
      <c r="AK143" s="218" t="n"/>
      <c r="AL143" s="3" t="n"/>
      <c r="AM143" s="218" t="n"/>
      <c r="AN143" s="218" t="n"/>
      <c r="AO143" s="218" t="n"/>
      <c r="AP143" s="218" t="n"/>
      <c r="AQ143" s="3" t="n"/>
      <c r="AR143" s="218" t="n"/>
      <c r="AS143" s="218" t="n"/>
      <c r="AT143" s="218" t="n"/>
      <c r="AU143" s="218" t="n"/>
      <c r="AV143" s="3" t="n"/>
      <c r="AW143" s="218" t="n"/>
      <c r="AX143" s="218" t="n"/>
      <c r="AY143" s="218" t="n"/>
      <c r="AZ143" s="218" t="n"/>
      <c r="BA143" s="3" t="n"/>
      <c r="BB143" s="218" t="n"/>
      <c r="BC143" s="218" t="n"/>
      <c r="BD143" s="218" t="n"/>
      <c r="BE143" s="218" t="n"/>
      <c r="BF143" s="3" t="n"/>
      <c r="BG143" s="218" t="n"/>
      <c r="BH143" s="218" t="n"/>
      <c r="BI143" s="218" t="n"/>
      <c r="BJ143" s="218" t="n"/>
      <c r="BK143" s="3" t="n"/>
      <c r="BL143" s="218" t="n"/>
      <c r="BM143" s="218" t="n"/>
      <c r="BN143" s="218" t="n"/>
      <c r="BO143" s="218" t="n"/>
      <c r="BP143" s="3" t="n"/>
      <c r="BQ143" s="218" t="n"/>
      <c r="BR143" s="218" t="n"/>
      <c r="BS143" s="218" t="n"/>
      <c r="BT143" s="218" t="n"/>
      <c r="BU143" s="3" t="n"/>
      <c r="BV143" s="218" t="n"/>
      <c r="BW143" s="218" t="n"/>
      <c r="BX143" s="218" t="n"/>
      <c r="BY143" s="218" t="n"/>
      <c r="BZ143" s="3" t="n"/>
      <c r="CA143" s="218" t="n"/>
      <c r="CB143" s="218" t="n"/>
      <c r="CC143" s="218" t="n"/>
      <c r="CD143" s="218" t="n"/>
      <c r="CE143" s="3" t="n"/>
      <c r="CF143" s="218" t="n"/>
      <c r="CG143" s="218" t="n"/>
      <c r="CH143" s="218" t="n"/>
      <c r="CI143" s="218" t="n"/>
      <c r="CJ143" s="3" t="n"/>
      <c r="CK143" s="218" t="n"/>
      <c r="CL143" s="218" t="n"/>
      <c r="CM143" s="218" t="n"/>
      <c r="CN143" s="218" t="n"/>
      <c r="CO143" s="3" t="n"/>
      <c r="CP143" s="218" t="n"/>
      <c r="CQ143" s="218" t="n"/>
      <c r="CR143" s="218" t="n"/>
      <c r="CS143" s="218" t="n"/>
      <c r="CT143" s="3" t="n"/>
      <c r="CU143" s="218" t="n"/>
      <c r="CV143" s="218" t="n"/>
      <c r="CW143" s="218" t="n"/>
      <c r="CX143" s="218" t="n"/>
      <c r="CY143" s="3" t="n"/>
    </row>
    <row r="144" hidden="1" outlineLevel="1">
      <c r="C144" s="34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  <c r="CU144" s="3" t="n"/>
      <c r="CV144" s="3" t="n"/>
      <c r="CW144" s="3" t="n"/>
      <c r="CX144" s="3" t="n"/>
      <c r="CY144" s="3" t="n"/>
    </row>
    <row r="145" collapsed="1">
      <c r="C145" s="26" t="inlineStr">
        <is>
          <t>Goodwill</t>
        </is>
      </c>
      <c r="D145" s="25">
        <f>INDEX('Inputs (2)'!$D$24:$AL$24,MATCH(D$7,'Inputs (2)'!$D$2:$AL$2,0))</f>
        <v>628</v>
      </c>
      <c r="E145" s="25">
        <f>INDEX('Inputs (2)'!$D$24:$AL$24,MATCH(E$7,'Inputs (2)'!$D$2:$AL$2,0))</f>
        <v>4193</v>
      </c>
      <c r="F145" s="25">
        <f>INDEX('Inputs (2)'!$D$24:$AL$24,MATCH(F$7,'Inputs (2)'!$D$2:$AL$2,0))</f>
        <v>4193</v>
      </c>
      <c r="G145" s="25">
        <f>INDEX('Inputs (2)'!$D$24:$AL$24,MATCH(G$7,'Inputs (2)'!$D$2:$AL$2,0))</f>
        <v>4193</v>
      </c>
      <c r="H145" s="3">
        <f>G145</f>
        <v>4193</v>
      </c>
      <c r="I145" s="25">
        <f>INDEX('Inputs (2)'!$D$24:$AL$24,MATCH(I$7,'Inputs (2)'!$D$2:$AL$2,0))</f>
        <v>4193</v>
      </c>
      <c r="J145" s="25">
        <f>INDEX('Inputs (2)'!$D$24:$AL$24,MATCH(J$7,'Inputs (2)'!$D$2:$AL$2,0))</f>
        <v>4193</v>
      </c>
      <c r="K145" s="25">
        <f>INDEX('Inputs (2)'!$D$24:$AL$24,MATCH(K$7,'Inputs (2)'!$D$2:$AL$2,0))</f>
        <v>4302</v>
      </c>
      <c r="L145" s="25">
        <f>INDEX('Inputs (2)'!$D$24:$AL$24,MATCH(L$7,'Inputs (2)'!$D$2:$AL$2,0))</f>
        <v>4349</v>
      </c>
      <c r="M145" s="3">
        <f>L145</f>
        <v>4349</v>
      </c>
      <c r="N145" s="25">
        <f>INDEX('Inputs (2)'!$D$24:$AL$24,MATCH(N$7,'Inputs (2)'!$D$2:$AL$2,0))</f>
        <v>4365</v>
      </c>
      <c r="O145" s="25">
        <f>INDEX('Inputs (2)'!$D$24:$AL$24,MATCH(O$7,'Inputs (2)'!$D$2:$AL$2,0))</f>
        <v>4372</v>
      </c>
      <c r="P145" s="25">
        <f>INDEX('Inputs (2)'!$D$24:$AL$24,MATCH(P$7,'Inputs (2)'!$D$2:$AL$2,0))</f>
        <v>4372</v>
      </c>
      <c r="Q145" s="25">
        <f>INDEX('Inputs (2)'!$D$24:$AL$24,MATCH(Q$7,'Inputs (2)'!$D$2:$AL$2,0))</f>
        <v>4372</v>
      </c>
      <c r="R145" s="3">
        <f>Q145</f>
        <v>4372</v>
      </c>
      <c r="S145" s="25">
        <f>INDEX('Inputs (2)'!$D$24:$AL$24,MATCH(S$7,'Inputs (2)'!$D$2:$AL$2,0))</f>
        <v>4430</v>
      </c>
      <c r="T145" s="25">
        <f>INDEX('Inputs (2)'!$D$24:$AL$24,MATCH(T$7,'Inputs (2)'!$D$2:$AL$2,0))</f>
        <v>4430</v>
      </c>
      <c r="U145" s="25">
        <f>INDEX('Inputs (2)'!$D$24:$AL$24,MATCH(U$7,'Inputs (2)'!$D$2:$AL$2,0))</f>
        <v>4430</v>
      </c>
      <c r="V145" s="25">
        <f>INDEX('Inputs (2)'!$D$24:$AL$24,MATCH(V$7,'Inputs (2)'!$D$2:$AL$2,0))</f>
        <v>4430</v>
      </c>
      <c r="W145" s="3">
        <f>V145</f>
        <v>4430</v>
      </c>
      <c r="X145" s="25">
        <f>INDEX('Inputs (2)'!$D$24:$AL$24,MATCH(X$7,'Inputs (2)'!$D$2:$AL$2,0))</f>
        <v>4453</v>
      </c>
      <c r="Y145" s="25">
        <f>INDEX('Inputs (2)'!$D$24:$AL$24,MATCH(Y$7,'Inputs (2)'!$D$2:$AL$2,0))</f>
        <v>4622</v>
      </c>
      <c r="Z145" s="25">
        <f>INDEX('Inputs (2)'!$D$24:$AL$24,MATCH(Z$7,'Inputs (2)'!$D$2:$AL$2,0))</f>
        <v>4724</v>
      </c>
      <c r="AA145" s="25">
        <f>INDEX('Inputs (2)'!$D$24:$AL$24,MATCH(AA$7,'Inputs (2)'!$D$2:$AL$2,0))</f>
        <v>5188</v>
      </c>
      <c r="AB145" s="3">
        <f>AA145</f>
        <v>5188</v>
      </c>
      <c r="AC145" s="25">
        <f>INDEX('Inputs (2)'!$D$24:$AL$24,MATCH(AC$7,'Inputs (2)'!$D$2:$AL$2,0))</f>
        <v>5498</v>
      </c>
      <c r="AD145" s="25">
        <f>INDEX('Inputs (2)'!$D$24:$AL$24,MATCH(AD$7,'Inputs (2)'!$D$2:$AL$2,0))</f>
        <v>5755</v>
      </c>
      <c r="AE145" s="25">
        <f>INDEX('Inputs (2)'!$D$24:$AL$24,MATCH(AE$7,'Inputs (2)'!$D$2:$AL$2,0))</f>
        <v>6261</v>
      </c>
      <c r="AF145" s="25">
        <f>INDEX('Inputs (2)'!$D$24:$AL$24,MATCH(AF$7,'Inputs (2)'!$D$2:$AL$2,0))</f>
        <v>20832</v>
      </c>
      <c r="AG145" s="3">
        <f>AF145</f>
        <v>20832</v>
      </c>
      <c r="AH145" s="3">
        <f>AG145</f>
        <v>20832</v>
      </c>
      <c r="AI145" s="3">
        <f>AH145</f>
        <v>20832</v>
      </c>
      <c r="AJ145" s="3">
        <f>AI145</f>
        <v>20832</v>
      </c>
      <c r="AK145" s="3">
        <f>AJ145</f>
        <v>20832</v>
      </c>
      <c r="AL145" s="3">
        <f>AK145</f>
        <v>20832</v>
      </c>
      <c r="AM145" s="3">
        <f>AL145</f>
        <v>20832</v>
      </c>
      <c r="AN145" s="3">
        <f>AM145</f>
        <v>20832</v>
      </c>
      <c r="AO145" s="3">
        <f>AN145</f>
        <v>20832</v>
      </c>
      <c r="AP145" s="3">
        <f>AO145</f>
        <v>20832</v>
      </c>
      <c r="AQ145" s="3">
        <f>AP145</f>
        <v>20832</v>
      </c>
      <c r="AR145" s="3">
        <f>AQ145</f>
        <v>20832</v>
      </c>
      <c r="AS145" s="3">
        <f>AR145</f>
        <v>20832</v>
      </c>
      <c r="AT145" s="3">
        <f>AS145</f>
        <v>20832</v>
      </c>
      <c r="AU145" s="3">
        <f>AT145</f>
        <v>20832</v>
      </c>
      <c r="AV145" s="3">
        <f>AU145</f>
        <v>20832</v>
      </c>
      <c r="AW145" s="3">
        <f>AV145</f>
        <v>20832</v>
      </c>
      <c r="AX145" s="3">
        <f>AW145</f>
        <v>20832</v>
      </c>
      <c r="AY145" s="3">
        <f>AX145</f>
        <v>20832</v>
      </c>
      <c r="AZ145" s="3">
        <f>AY145</f>
        <v>20832</v>
      </c>
      <c r="BA145" s="3">
        <f>AZ145</f>
        <v>20832</v>
      </c>
      <c r="BB145" s="3">
        <f>BA145</f>
        <v>20832</v>
      </c>
      <c r="BC145" s="3">
        <f>BB145</f>
        <v>20832</v>
      </c>
      <c r="BD145" s="3">
        <f>BC145</f>
        <v>20832</v>
      </c>
      <c r="BE145" s="3">
        <f>BD145</f>
        <v>20832</v>
      </c>
      <c r="BF145" s="3">
        <f>BE145</f>
        <v>20832</v>
      </c>
      <c r="BG145" s="3">
        <f>BF145</f>
        <v>20832</v>
      </c>
      <c r="BH145" s="3">
        <f>BG145</f>
        <v>20832</v>
      </c>
      <c r="BI145" s="3">
        <f>BH145</f>
        <v>20832</v>
      </c>
      <c r="BJ145" s="3">
        <f>BI145</f>
        <v>20832</v>
      </c>
      <c r="BK145" s="3">
        <f>BJ145</f>
        <v>20832</v>
      </c>
      <c r="BL145" s="3">
        <f>BK145</f>
        <v>20832</v>
      </c>
      <c r="BM145" s="3">
        <f>BL145</f>
        <v>20832</v>
      </c>
      <c r="BN145" s="3">
        <f>BM145</f>
        <v>20832</v>
      </c>
      <c r="BO145" s="3">
        <f>BN145</f>
        <v>20832</v>
      </c>
      <c r="BP145" s="3">
        <f>BO145</f>
        <v>20832</v>
      </c>
      <c r="BQ145" s="3">
        <f>BP145</f>
        <v>20832</v>
      </c>
      <c r="BR145" s="3">
        <f>BQ145</f>
        <v>20832</v>
      </c>
      <c r="BS145" s="3">
        <f>BR145</f>
        <v>20832</v>
      </c>
      <c r="BT145" s="3">
        <f>BS145</f>
        <v>20832</v>
      </c>
      <c r="BU145" s="3">
        <f>BT145</f>
        <v>20832</v>
      </c>
      <c r="BV145" s="3">
        <f>BU145</f>
        <v>20832</v>
      </c>
      <c r="BW145" s="3">
        <f>BV145</f>
        <v>20832</v>
      </c>
      <c r="BX145" s="3">
        <f>BW145</f>
        <v>20832</v>
      </c>
      <c r="BY145" s="3">
        <f>BX145</f>
        <v>20832</v>
      </c>
      <c r="BZ145" s="3">
        <f>BY145</f>
        <v>20832</v>
      </c>
      <c r="CA145" s="3">
        <f>BZ145</f>
        <v>20832</v>
      </c>
      <c r="CB145" s="3">
        <f>CA145</f>
        <v>20832</v>
      </c>
      <c r="CC145" s="3">
        <f>CB145</f>
        <v>20832</v>
      </c>
      <c r="CD145" s="3">
        <f>CC145</f>
        <v>20832</v>
      </c>
      <c r="CE145" s="3">
        <f>CD145</f>
        <v>20832</v>
      </c>
      <c r="CF145" s="3">
        <f>CE145</f>
        <v>20832</v>
      </c>
      <c r="CG145" s="3">
        <f>CF145</f>
        <v>20832</v>
      </c>
      <c r="CH145" s="3">
        <f>CG145</f>
        <v>20832</v>
      </c>
      <c r="CI145" s="3">
        <f>CH145</f>
        <v>20832</v>
      </c>
      <c r="CJ145" s="3">
        <f>CI145</f>
        <v>20832</v>
      </c>
      <c r="CK145" s="3">
        <f>CJ145</f>
        <v>20832</v>
      </c>
      <c r="CL145" s="3">
        <f>CK145</f>
        <v>20832</v>
      </c>
      <c r="CM145" s="3">
        <f>CL145</f>
        <v>20832</v>
      </c>
      <c r="CN145" s="3">
        <f>CM145</f>
        <v>20832</v>
      </c>
      <c r="CO145" s="3">
        <f>CN145</f>
        <v>20832</v>
      </c>
      <c r="CP145" s="3">
        <f>CO145</f>
        <v>20832</v>
      </c>
      <c r="CQ145" s="3">
        <f>CP145</f>
        <v>20832</v>
      </c>
      <c r="CR145" s="3">
        <f>CQ145</f>
        <v>20832</v>
      </c>
      <c r="CS145" s="3">
        <f>CR145</f>
        <v>20832</v>
      </c>
      <c r="CT145" s="3">
        <f>CS145</f>
        <v>20832</v>
      </c>
      <c r="CU145" s="3">
        <f>CT145</f>
        <v>20832</v>
      </c>
      <c r="CV145" s="3">
        <f>CU145</f>
        <v>20832</v>
      </c>
      <c r="CW145" s="3">
        <f>CV145</f>
        <v>20832</v>
      </c>
      <c r="CX145" s="3">
        <f>CW145</f>
        <v>20832</v>
      </c>
      <c r="CY145" s="3">
        <f>CX145</f>
        <v>20832</v>
      </c>
    </row>
    <row r="146">
      <c r="C146" s="26" t="inlineStr">
        <is>
          <t>Intangibles</t>
        </is>
      </c>
      <c r="D146" s="25">
        <f>INDEX('Inputs (2)'!$D$25:$AL$25,MATCH(D$7,'Inputs (2)'!$D$2:$AL$2,0))</f>
        <v>80</v>
      </c>
      <c r="E146" s="25">
        <f>INDEX('Inputs (2)'!$D$25:$AL$25,MATCH(E$7,'Inputs (2)'!$D$2:$AL$2,0))</f>
        <v>2854</v>
      </c>
      <c r="F146" s="25">
        <f>INDEX('Inputs (2)'!$D$25:$AL$25,MATCH(F$7,'Inputs (2)'!$D$2:$AL$2,0))</f>
        <v>2861</v>
      </c>
      <c r="G146" s="25">
        <f>INDEX('Inputs (2)'!$D$25:$AL$25,MATCH(G$7,'Inputs (2)'!$D$2:$AL$2,0))</f>
        <v>2737</v>
      </c>
      <c r="H146" s="3">
        <f>G146</f>
        <v>2737</v>
      </c>
      <c r="I146" s="25">
        <f>INDEX('Inputs (2)'!$D$25:$AL$25,MATCH(I$7,'Inputs (2)'!$D$2:$AL$2,0))</f>
        <v>2613</v>
      </c>
      <c r="J146" s="25">
        <f>INDEX('Inputs (2)'!$D$25:$AL$25,MATCH(J$7,'Inputs (2)'!$D$2:$AL$2,0))</f>
        <v>2478</v>
      </c>
      <c r="K146" s="25">
        <f>INDEX('Inputs (2)'!$D$25:$AL$25,MATCH(K$7,'Inputs (2)'!$D$2:$AL$2,0))</f>
        <v>2454</v>
      </c>
      <c r="L146" s="25">
        <f>INDEX('Inputs (2)'!$D$25:$AL$25,MATCH(L$7,'Inputs (2)'!$D$2:$AL$2,0))</f>
        <v>2339</v>
      </c>
      <c r="M146" s="3">
        <f>L146</f>
        <v>2339</v>
      </c>
      <c r="N146" s="25">
        <f>INDEX('Inputs (2)'!$D$25:$AL$25,MATCH(N$7,'Inputs (2)'!$D$2:$AL$2,0))</f>
        <v>2211</v>
      </c>
      <c r="O146" s="25">
        <f>INDEX('Inputs (2)'!$D$25:$AL$25,MATCH(O$7,'Inputs (2)'!$D$2:$AL$2,0))</f>
        <v>2036</v>
      </c>
      <c r="P146" s="25">
        <f>INDEX('Inputs (2)'!$D$25:$AL$25,MATCH(P$7,'Inputs (2)'!$D$2:$AL$2,0))</f>
        <v>1850</v>
      </c>
      <c r="Q146" s="25">
        <f>INDEX('Inputs (2)'!$D$25:$AL$25,MATCH(Q$7,'Inputs (2)'!$D$2:$AL$2,0))</f>
        <v>1676</v>
      </c>
      <c r="R146" s="3">
        <f>Q146</f>
        <v>1676</v>
      </c>
      <c r="S146" s="25">
        <f>INDEX('Inputs (2)'!$D$25:$AL$25,MATCH(S$7,'Inputs (2)'!$D$2:$AL$2,0))</f>
        <v>1541</v>
      </c>
      <c r="T146" s="25">
        <f>INDEX('Inputs (2)'!$D$25:$AL$25,MATCH(T$7,'Inputs (2)'!$D$2:$AL$2,0))</f>
        <v>1395</v>
      </c>
      <c r="U146" s="25">
        <f>INDEX('Inputs (2)'!$D$25:$AL$25,MATCH(U$7,'Inputs (2)'!$D$2:$AL$2,0))</f>
        <v>1251</v>
      </c>
      <c r="V146" s="25">
        <f>INDEX('Inputs (2)'!$D$25:$AL$25,MATCH(V$7,'Inputs (2)'!$D$2:$AL$2,0))</f>
        <v>1112</v>
      </c>
      <c r="W146" s="3">
        <f>V146</f>
        <v>1112</v>
      </c>
      <c r="X146" s="25">
        <f>INDEX('Inputs (2)'!$D$25:$AL$25,MATCH(X$7,'Inputs (2)'!$D$2:$AL$2,0))</f>
        <v>986</v>
      </c>
      <c r="Y146" s="25">
        <f>INDEX('Inputs (2)'!$D$25:$AL$25,MATCH(Y$7,'Inputs (2)'!$D$2:$AL$2,0))</f>
        <v>952</v>
      </c>
      <c r="Z146" s="25">
        <f>INDEX('Inputs (2)'!$D$25:$AL$25,MATCH(Z$7,'Inputs (2)'!$D$2:$AL$2,0))</f>
        <v>838</v>
      </c>
      <c r="AA146" s="25">
        <f>INDEX('Inputs (2)'!$D$25:$AL$25,MATCH(AA$7,'Inputs (2)'!$D$2:$AL$2,0))</f>
        <v>807</v>
      </c>
      <c r="AB146" s="3">
        <f>AA146</f>
        <v>807</v>
      </c>
      <c r="AC146" s="25">
        <f>INDEX('Inputs (2)'!$D$25:$AL$25,MATCH(AC$7,'Inputs (2)'!$D$2:$AL$2,0))</f>
        <v>769</v>
      </c>
      <c r="AD146" s="25">
        <f>INDEX('Inputs (2)'!$D$25:$AL$25,MATCH(AD$7,'Inputs (2)'!$D$2:$AL$2,0))</f>
        <v>755</v>
      </c>
      <c r="AE146" s="25">
        <f>INDEX('Inputs (2)'!$D$25:$AL$25,MATCH(AE$7,'Inputs (2)'!$D$2:$AL$2,0))</f>
        <v>936</v>
      </c>
      <c r="AF146" s="25">
        <f>INDEX('Inputs (2)'!$D$25:$AL$25,MATCH(AF$7,'Inputs (2)'!$D$2:$AL$2,0))</f>
        <v>3306</v>
      </c>
      <c r="AG146" s="3">
        <f>AF146</f>
        <v>3306</v>
      </c>
      <c r="AH146" s="3">
        <f>AH150</f>
        <v>0</v>
      </c>
      <c r="AI146" s="3" t="n"/>
      <c r="AJ146" s="3" t="n"/>
      <c r="AK146" s="3" t="n"/>
      <c r="AL146" s="3">
        <f>AK146</f>
        <v>0</v>
      </c>
      <c r="AN146" s="3" t="n"/>
      <c r="AO146" s="3" t="n"/>
      <c r="AP146" s="3" t="n"/>
      <c r="AQ146" s="3">
        <f>AP146</f>
        <v>0</v>
      </c>
      <c r="AS146" s="3" t="n"/>
      <c r="AT146" s="3" t="n"/>
      <c r="AU146" s="3" t="n"/>
      <c r="AV146" s="3">
        <f>AU146</f>
        <v>0</v>
      </c>
      <c r="AX146" s="3" t="n"/>
      <c r="AY146" s="3" t="n"/>
      <c r="AZ146" s="3" t="n"/>
      <c r="BA146" s="3">
        <f>AZ146</f>
        <v>0</v>
      </c>
      <c r="BC146" s="3" t="n"/>
      <c r="BD146" s="3" t="n"/>
      <c r="BE146" s="3" t="n"/>
      <c r="BF146" s="3">
        <f>BE146</f>
        <v>0</v>
      </c>
      <c r="BH146" s="3" t="n"/>
      <c r="BI146" s="3" t="n"/>
      <c r="BJ146" s="3" t="n"/>
      <c r="BK146" s="3">
        <f>BJ146</f>
        <v>0</v>
      </c>
      <c r="BM146" s="3" t="n"/>
      <c r="BN146" s="3" t="n"/>
      <c r="BO146" s="3" t="n"/>
      <c r="BP146" s="3">
        <f>BO146</f>
        <v>0</v>
      </c>
      <c r="BR146" s="3" t="n"/>
      <c r="BS146" s="3" t="n"/>
      <c r="BT146" s="3" t="n"/>
      <c r="BU146" s="3">
        <f>BT146</f>
        <v>0</v>
      </c>
      <c r="BW146" s="3" t="n"/>
      <c r="BX146" s="3" t="n"/>
      <c r="BY146" s="3" t="n"/>
      <c r="BZ146" s="3">
        <f>BY146</f>
        <v>0</v>
      </c>
      <c r="CB146" s="3" t="n"/>
      <c r="CC146" s="3" t="n"/>
      <c r="CD146" s="3" t="n"/>
      <c r="CE146" s="3">
        <f>CD146</f>
        <v>0</v>
      </c>
      <c r="CG146" s="3" t="n"/>
      <c r="CH146" s="3" t="n"/>
      <c r="CI146" s="3" t="n"/>
      <c r="CJ146" s="3">
        <f>CI146</f>
        <v>0</v>
      </c>
      <c r="CL146" s="3" t="n"/>
      <c r="CM146" s="3" t="n"/>
      <c r="CN146" s="3" t="n"/>
      <c r="CO146" s="3">
        <f>CN146</f>
        <v>0</v>
      </c>
      <c r="CQ146" s="3" t="n"/>
      <c r="CR146" s="3" t="n"/>
      <c r="CS146" s="3" t="n"/>
      <c r="CT146" s="3">
        <f>CS146</f>
        <v>0</v>
      </c>
      <c r="CV146" s="3" t="n"/>
      <c r="CW146" s="3" t="n"/>
      <c r="CX146" s="3" t="n"/>
      <c r="CY146" s="3">
        <f>CX146</f>
        <v>0</v>
      </c>
    </row>
    <row r="147" hidden="1" outlineLevel="1">
      <c r="C147" s="34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  <c r="CU147" s="3" t="n"/>
      <c r="CV147" s="3" t="n"/>
      <c r="CW147" s="3" t="n"/>
      <c r="CX147" s="3" t="n"/>
      <c r="CY147" s="3" t="n"/>
    </row>
    <row r="148" hidden="1" outlineLevel="1">
      <c r="C148" s="34" t="inlineStr">
        <is>
          <t>Purchase of intangible assets</t>
        </is>
      </c>
      <c r="D148" s="3" t="n"/>
      <c r="E148" s="3">
        <f>E146-D146-E50</f>
        <v>2774</v>
      </c>
      <c r="F148" s="3">
        <f>F146-E146-F50</f>
        <v>7</v>
      </c>
      <c r="G148" s="3">
        <f>G146-F146-G50</f>
        <v>-124</v>
      </c>
      <c r="H148" s="3" t="n"/>
      <c r="I148" s="3">
        <f>I146-H146-I50</f>
        <v>-124</v>
      </c>
      <c r="J148" s="3">
        <f>J146-I146-J50</f>
        <v>-135</v>
      </c>
      <c r="K148" s="3">
        <f>K146-J146-K50</f>
        <v>-24</v>
      </c>
      <c r="L148" s="3">
        <f>L146-K146-L50</f>
        <v>-115</v>
      </c>
      <c r="M148" s="3" t="n"/>
      <c r="N148" s="3">
        <f>N146-M146-N50</f>
        <v>-128</v>
      </c>
      <c r="O148" s="3">
        <f>O146-N146-O50</f>
        <v>-175</v>
      </c>
      <c r="P148" s="3">
        <f>P146-O146-P50</f>
        <v>-186</v>
      </c>
      <c r="Q148" s="3">
        <f>Q146-P146-Q50</f>
        <v>-174</v>
      </c>
      <c r="R148" s="3" t="n"/>
      <c r="S148" s="3">
        <f>S146-R146-S50</f>
        <v>-135</v>
      </c>
      <c r="T148" s="3">
        <f>T146-S146-T50</f>
        <v>-146</v>
      </c>
      <c r="U148" s="3">
        <f>U146-T146-U50</f>
        <v>-144</v>
      </c>
      <c r="V148" s="3">
        <f>V146-U146-V50</f>
        <v>-139</v>
      </c>
      <c r="W148" s="3" t="n"/>
      <c r="X148" s="3">
        <f>X146-W146-X50</f>
        <v>-126</v>
      </c>
      <c r="Y148" s="3">
        <f>Y146-X146-Y50</f>
        <v>-34</v>
      </c>
      <c r="Z148" s="3">
        <f>Z146-Y146-Z50</f>
        <v>-114</v>
      </c>
      <c r="AA148" s="3">
        <f>AA146-Z146-AA50</f>
        <v>-31</v>
      </c>
      <c r="AB148" s="3" t="n"/>
      <c r="AC148" s="3">
        <f>AC146-AB146-AC50</f>
        <v>-38</v>
      </c>
      <c r="AD148" s="3">
        <f>AD146-AC146-AD50</f>
        <v>-14</v>
      </c>
      <c r="AE148" s="3">
        <f>AE146-AD146-AE50</f>
        <v>181</v>
      </c>
      <c r="AF148" s="3" t="n"/>
      <c r="AG148" s="3" t="n"/>
      <c r="AH148" s="6" t="n"/>
      <c r="AI148" s="6" t="n"/>
      <c r="AJ148" s="6" t="n"/>
      <c r="AK148" s="6" t="n"/>
      <c r="AL148" s="3" t="n"/>
      <c r="AM148" s="6" t="n"/>
      <c r="AN148" s="6" t="n"/>
      <c r="AO148" s="6" t="n"/>
      <c r="AP148" s="6" t="n"/>
      <c r="AQ148" s="3" t="n"/>
      <c r="AR148" s="6" t="n"/>
      <c r="AS148" s="6" t="n"/>
      <c r="AT148" s="6" t="n"/>
      <c r="AU148" s="6" t="n"/>
      <c r="AV148" s="3" t="n"/>
      <c r="AW148" s="6" t="n"/>
      <c r="AX148" s="6" t="n"/>
      <c r="AY148" s="6" t="n"/>
      <c r="AZ148" s="6" t="n"/>
      <c r="BA148" s="3" t="n"/>
      <c r="BB148" s="6" t="n"/>
      <c r="BC148" s="6" t="n"/>
      <c r="BD148" s="6" t="n"/>
      <c r="BE148" s="6" t="n"/>
      <c r="BF148" s="3" t="n"/>
      <c r="BG148" s="6" t="n"/>
      <c r="BH148" s="6" t="n"/>
      <c r="BI148" s="6" t="n"/>
      <c r="BJ148" s="6" t="n"/>
      <c r="BK148" s="3" t="n"/>
      <c r="BL148" s="6" t="n"/>
      <c r="BM148" s="6" t="n"/>
      <c r="BN148" s="6" t="n"/>
      <c r="BO148" s="6" t="n"/>
      <c r="BP148" s="3" t="n"/>
      <c r="BQ148" s="6" t="n"/>
      <c r="BR148" s="6" t="n"/>
      <c r="BS148" s="6" t="n"/>
      <c r="BT148" s="6" t="n"/>
      <c r="BU148" s="3" t="n"/>
      <c r="BV148" s="6" t="n"/>
      <c r="BW148" s="6" t="n"/>
      <c r="BX148" s="6" t="n"/>
      <c r="BY148" s="6" t="n"/>
      <c r="BZ148" s="3" t="n"/>
      <c r="CA148" s="6" t="n"/>
      <c r="CB148" s="6" t="n"/>
      <c r="CC148" s="6" t="n"/>
      <c r="CD148" s="6" t="n"/>
      <c r="CE148" s="3" t="n"/>
      <c r="CF148" s="6" t="n"/>
      <c r="CG148" s="6" t="n"/>
      <c r="CH148" s="6" t="n"/>
      <c r="CI148" s="6" t="n"/>
      <c r="CJ148" s="3" t="n"/>
      <c r="CK148" s="6" t="n"/>
      <c r="CL148" s="6" t="n"/>
      <c r="CM148" s="6" t="n"/>
      <c r="CN148" s="6" t="n"/>
      <c r="CO148" s="3" t="n"/>
      <c r="CP148" s="6" t="n"/>
      <c r="CQ148" s="6" t="n"/>
      <c r="CR148" s="6" t="n"/>
      <c r="CS148" s="6" t="n"/>
      <c r="CT148" s="3" t="n"/>
      <c r="CU148" s="6" t="n"/>
      <c r="CV148" s="6" t="n"/>
      <c r="CW148" s="6" t="n"/>
      <c r="CX148" s="6" t="n"/>
      <c r="CY148" s="3" t="n"/>
    </row>
    <row r="149" hidden="1" outlineLevel="1">
      <c r="C149" s="34" t="inlineStr">
        <is>
          <t>Amortization (enter as -)</t>
        </is>
      </c>
      <c r="D149" s="3" t="n"/>
      <c r="E149" s="3">
        <f>E49</f>
        <v>0</v>
      </c>
      <c r="F149" s="3">
        <f>F49</f>
        <v>0</v>
      </c>
      <c r="G149" s="3">
        <f>G49</f>
        <v>0</v>
      </c>
      <c r="H149" s="3" t="n"/>
      <c r="I149" s="3">
        <f>I49</f>
        <v>0</v>
      </c>
      <c r="J149" s="3">
        <f>J49</f>
        <v>0</v>
      </c>
      <c r="K149" s="3">
        <f>K49</f>
        <v>0</v>
      </c>
      <c r="L149" s="3">
        <f>L49</f>
        <v>0</v>
      </c>
      <c r="M149" s="3" t="n"/>
      <c r="N149" s="3">
        <f>N49</f>
        <v>0</v>
      </c>
      <c r="O149" s="3">
        <f>O49</f>
        <v>0</v>
      </c>
      <c r="P149" s="3">
        <f>P49</f>
        <v>0</v>
      </c>
      <c r="Q149" s="3">
        <f>Q49</f>
        <v>0</v>
      </c>
      <c r="R149" s="3" t="n"/>
      <c r="S149" s="3">
        <f>S49</f>
        <v>0</v>
      </c>
      <c r="T149" s="3">
        <f>T49</f>
        <v>0</v>
      </c>
      <c r="U149" s="3">
        <f>U49</f>
        <v>0</v>
      </c>
      <c r="V149" s="3">
        <f>V49</f>
        <v>0</v>
      </c>
      <c r="W149" s="3" t="n"/>
      <c r="X149" s="3">
        <f>X49</f>
        <v>0</v>
      </c>
      <c r="Y149" s="3">
        <f>Y49</f>
        <v>0</v>
      </c>
      <c r="Z149" s="3">
        <f>Z49</f>
        <v>0</v>
      </c>
      <c r="AA149" s="3">
        <f>AA49</f>
        <v>0</v>
      </c>
      <c r="AB149" s="3" t="n"/>
      <c r="AC149" s="3">
        <f>AC49</f>
        <v>0</v>
      </c>
      <c r="AD149" s="3">
        <f>AD49</f>
        <v>0</v>
      </c>
      <c r="AE149" s="3">
        <f>AE49</f>
        <v>0</v>
      </c>
      <c r="AF149" s="3" t="n"/>
      <c r="AG149" s="3" t="n"/>
      <c r="AH149" s="3">
        <f>AH49</f>
        <v>0</v>
      </c>
      <c r="AI149" s="6" t="n"/>
      <c r="AJ149" s="6" t="n"/>
      <c r="AK149" s="6" t="n"/>
      <c r="AL149" s="3" t="n"/>
      <c r="AM149" s="6" t="n"/>
      <c r="AN149" s="6" t="n"/>
      <c r="AO149" s="6" t="n"/>
      <c r="AP149" s="6" t="n"/>
      <c r="AQ149" s="3" t="n"/>
      <c r="AR149" s="6" t="n"/>
      <c r="AS149" s="6" t="n"/>
      <c r="AT149" s="6" t="n"/>
      <c r="AU149" s="6" t="n"/>
      <c r="AV149" s="3" t="n"/>
      <c r="AW149" s="6" t="n"/>
      <c r="AX149" s="6" t="n"/>
      <c r="AY149" s="6" t="n"/>
      <c r="AZ149" s="6" t="n"/>
      <c r="BA149" s="3" t="n"/>
      <c r="BB149" s="6" t="n"/>
      <c r="BC149" s="6" t="n"/>
      <c r="BD149" s="6" t="n"/>
      <c r="BE149" s="6" t="n"/>
      <c r="BF149" s="3" t="n"/>
      <c r="BG149" s="6" t="n"/>
      <c r="BH149" s="6" t="n"/>
      <c r="BI149" s="6" t="n"/>
      <c r="BJ149" s="6" t="n"/>
      <c r="BK149" s="3" t="n"/>
      <c r="BL149" s="6" t="n"/>
      <c r="BM149" s="6" t="n"/>
      <c r="BN149" s="6" t="n"/>
      <c r="BO149" s="6" t="n"/>
      <c r="BP149" s="3" t="n"/>
      <c r="BQ149" s="6" t="n"/>
      <c r="BR149" s="6" t="n"/>
      <c r="BS149" s="6" t="n"/>
      <c r="BT149" s="6" t="n"/>
      <c r="BU149" s="3" t="n"/>
      <c r="BV149" s="6" t="n"/>
      <c r="BW149" s="6" t="n"/>
      <c r="BX149" s="6" t="n"/>
      <c r="BY149" s="6" t="n"/>
      <c r="BZ149" s="3" t="n"/>
      <c r="CA149" s="6" t="n"/>
      <c r="CB149" s="6" t="n"/>
      <c r="CC149" s="6" t="n"/>
      <c r="CD149" s="6" t="n"/>
      <c r="CE149" s="3" t="n"/>
      <c r="CF149" s="6" t="n"/>
      <c r="CG149" s="6" t="n"/>
      <c r="CH149" s="6" t="n"/>
      <c r="CI149" s="6" t="n"/>
      <c r="CJ149" s="3" t="n"/>
      <c r="CK149" s="6" t="n"/>
      <c r="CL149" s="6" t="n"/>
      <c r="CM149" s="6" t="n"/>
      <c r="CN149" s="6" t="n"/>
      <c r="CO149" s="3" t="n"/>
      <c r="CP149" s="6" t="n"/>
      <c r="CQ149" s="6" t="n"/>
      <c r="CR149" s="6" t="n"/>
      <c r="CS149" s="6" t="n"/>
      <c r="CT149" s="3" t="n"/>
      <c r="CU149" s="6" t="n"/>
      <c r="CV149" s="6" t="n"/>
      <c r="CW149" s="6" t="n"/>
      <c r="CX149" s="6" t="n"/>
      <c r="CY149" s="3" t="n"/>
    </row>
    <row r="150" hidden="1" outlineLevel="1">
      <c r="C150" s="34" t="inlineStr">
        <is>
          <t>Intangibles</t>
        </is>
      </c>
      <c r="D150" s="3" t="n"/>
      <c r="E150" s="3">
        <f>E145</f>
        <v>4193</v>
      </c>
      <c r="F150" s="3">
        <f>F145</f>
        <v>4193</v>
      </c>
      <c r="G150" s="3">
        <f>G145</f>
        <v>4193</v>
      </c>
      <c r="H150" s="3" t="n"/>
      <c r="I150" s="3">
        <f>I145</f>
        <v>4193</v>
      </c>
      <c r="J150" s="3">
        <f>J145</f>
        <v>4193</v>
      </c>
      <c r="K150" s="3">
        <f>K145</f>
        <v>4302</v>
      </c>
      <c r="L150" s="3">
        <f>L145</f>
        <v>4349</v>
      </c>
      <c r="M150" s="3" t="n"/>
      <c r="N150" s="3">
        <f>N145</f>
        <v>4365</v>
      </c>
      <c r="O150" s="3">
        <f>O145</f>
        <v>4372</v>
      </c>
      <c r="P150" s="3">
        <f>P145</f>
        <v>4372</v>
      </c>
      <c r="Q150" s="3">
        <f>Q145</f>
        <v>4372</v>
      </c>
      <c r="R150" s="3" t="n"/>
      <c r="S150" s="3">
        <f>S145</f>
        <v>4430</v>
      </c>
      <c r="T150" s="3">
        <f>T145</f>
        <v>4430</v>
      </c>
      <c r="U150" s="3">
        <f>U145</f>
        <v>4430</v>
      </c>
      <c r="V150" s="3">
        <f>V145</f>
        <v>4430</v>
      </c>
      <c r="W150" s="3" t="n"/>
      <c r="X150" s="3">
        <f>X145</f>
        <v>4453</v>
      </c>
      <c r="Y150" s="3">
        <f>Y145</f>
        <v>4622</v>
      </c>
      <c r="Z150" s="3">
        <f>Z145</f>
        <v>4724</v>
      </c>
      <c r="AA150" s="3">
        <f>AA145</f>
        <v>5188</v>
      </c>
      <c r="AB150" s="3" t="n"/>
      <c r="AC150" s="3">
        <f>AC145</f>
        <v>5498</v>
      </c>
      <c r="AD150" s="3">
        <f>AD145</f>
        <v>5755</v>
      </c>
      <c r="AE150" s="3">
        <f>AE145</f>
        <v>6261</v>
      </c>
      <c r="AF150" s="3" t="n"/>
      <c r="AG150" s="3" t="n"/>
      <c r="AH150" s="3">
        <f>AG150+SUM(AH147:AH149)</f>
        <v>0</v>
      </c>
      <c r="AI150" s="3">
        <f>AG150+SUM(AI148:AI149)</f>
        <v>0</v>
      </c>
      <c r="AJ150" s="3">
        <f>AH150+SUM(AJ148:AJ149)</f>
        <v>0</v>
      </c>
      <c r="AK150" s="3">
        <f>AI150+SUM(AK148:AK149)</f>
        <v>0</v>
      </c>
      <c r="AL150" s="3" t="n"/>
      <c r="AM150" s="3">
        <f>AK150+SUM(AM148:AM149)</f>
        <v>0</v>
      </c>
      <c r="AN150" s="3">
        <f>AL150+SUM(AN148:AN149)</f>
        <v>0</v>
      </c>
      <c r="AO150" s="3">
        <f>AM150+SUM(AO148:AO149)</f>
        <v>0</v>
      </c>
      <c r="AP150" s="3">
        <f>AN150+SUM(AP148:AP149)</f>
        <v>0</v>
      </c>
      <c r="AQ150" s="3" t="n"/>
      <c r="AR150" s="3">
        <f>AP150+SUM(AR148:AR149)</f>
        <v>0</v>
      </c>
      <c r="AS150" s="3">
        <f>AQ150+SUM(AS148:AS149)</f>
        <v>0</v>
      </c>
      <c r="AT150" s="3">
        <f>AR150+SUM(AT148:AT149)</f>
        <v>0</v>
      </c>
      <c r="AU150" s="3">
        <f>AS150+SUM(AU148:AU149)</f>
        <v>0</v>
      </c>
      <c r="AV150" s="3" t="n"/>
      <c r="AW150" s="3">
        <f>AU150+SUM(AW148:AW149)</f>
        <v>0</v>
      </c>
      <c r="AX150" s="3">
        <f>AV150+SUM(AX148:AX149)</f>
        <v>0</v>
      </c>
      <c r="AY150" s="3">
        <f>AW150+SUM(AY148:AY149)</f>
        <v>0</v>
      </c>
      <c r="AZ150" s="3">
        <f>AX150+SUM(AZ148:AZ149)</f>
        <v>0</v>
      </c>
      <c r="BA150" s="3" t="n"/>
      <c r="BB150" s="3">
        <f>AZ150+SUM(BB148:BB149)</f>
        <v>0</v>
      </c>
      <c r="BC150" s="3">
        <f>BA150+SUM(BC148:BC149)</f>
        <v>0</v>
      </c>
      <c r="BD150" s="3">
        <f>BB150+SUM(BD148:BD149)</f>
        <v>0</v>
      </c>
      <c r="BE150" s="3">
        <f>BC150+SUM(BE148:BE149)</f>
        <v>0</v>
      </c>
      <c r="BF150" s="3" t="n"/>
      <c r="BG150" s="3">
        <f>BE150+SUM(BG148:BG149)</f>
        <v>0</v>
      </c>
      <c r="BH150" s="3">
        <f>BF150+SUM(BH148:BH149)</f>
        <v>0</v>
      </c>
      <c r="BI150" s="3">
        <f>BG150+SUM(BI148:BI149)</f>
        <v>0</v>
      </c>
      <c r="BJ150" s="3">
        <f>BH150+SUM(BJ148:BJ149)</f>
        <v>0</v>
      </c>
      <c r="BK150" s="3" t="n"/>
      <c r="BL150" s="3">
        <f>BJ150+SUM(BL148:BL149)</f>
        <v>0</v>
      </c>
      <c r="BM150" s="3">
        <f>BK150+SUM(BM148:BM149)</f>
        <v>0</v>
      </c>
      <c r="BN150" s="3">
        <f>BL150+SUM(BN148:BN149)</f>
        <v>0</v>
      </c>
      <c r="BO150" s="3">
        <f>BM150+SUM(BO148:BO149)</f>
        <v>0</v>
      </c>
      <c r="BP150" s="3" t="n"/>
      <c r="BQ150" s="3">
        <f>BO150+SUM(BQ148:BQ149)</f>
        <v>0</v>
      </c>
      <c r="BR150" s="3">
        <f>BP150+SUM(BR148:BR149)</f>
        <v>0</v>
      </c>
      <c r="BS150" s="3">
        <f>BQ150+SUM(BS148:BS149)</f>
        <v>0</v>
      </c>
      <c r="BT150" s="3">
        <f>BR150+SUM(BT148:BT149)</f>
        <v>0</v>
      </c>
      <c r="BU150" s="3" t="n"/>
      <c r="BV150" s="3">
        <f>BT150+SUM(BV148:BV149)</f>
        <v>0</v>
      </c>
      <c r="BW150" s="3">
        <f>BU150+SUM(BW148:BW149)</f>
        <v>0</v>
      </c>
      <c r="BX150" s="3">
        <f>BV150+SUM(BX148:BX149)</f>
        <v>0</v>
      </c>
      <c r="BY150" s="3">
        <f>BW150+SUM(BY148:BY149)</f>
        <v>0</v>
      </c>
      <c r="BZ150" s="3" t="n"/>
      <c r="CA150" s="3">
        <f>BY150+SUM(CA148:CA149)</f>
        <v>0</v>
      </c>
      <c r="CB150" s="3">
        <f>BZ150+SUM(CB148:CB149)</f>
        <v>0</v>
      </c>
      <c r="CC150" s="3">
        <f>CA150+SUM(CC148:CC149)</f>
        <v>0</v>
      </c>
      <c r="CD150" s="3">
        <f>CB150+SUM(CD148:CD149)</f>
        <v>0</v>
      </c>
      <c r="CE150" s="3" t="n"/>
      <c r="CF150" s="3">
        <f>CD150+SUM(CF148:CF149)</f>
        <v>0</v>
      </c>
      <c r="CG150" s="3">
        <f>CE150+SUM(CG148:CG149)</f>
        <v>0</v>
      </c>
      <c r="CH150" s="3">
        <f>CF150+SUM(CH148:CH149)</f>
        <v>0</v>
      </c>
      <c r="CI150" s="3">
        <f>CG150+SUM(CI148:CI149)</f>
        <v>0</v>
      </c>
      <c r="CJ150" s="3" t="n"/>
      <c r="CK150" s="3">
        <f>CI150+SUM(CK148:CK149)</f>
        <v>0</v>
      </c>
      <c r="CL150" s="3">
        <f>CJ150+SUM(CL148:CL149)</f>
        <v>0</v>
      </c>
      <c r="CM150" s="3">
        <f>CK150+SUM(CM148:CM149)</f>
        <v>0</v>
      </c>
      <c r="CN150" s="3">
        <f>CL150+SUM(CN148:CN149)</f>
        <v>0</v>
      </c>
      <c r="CO150" s="3" t="n"/>
      <c r="CP150" s="3">
        <f>CN150+SUM(CP148:CP149)</f>
        <v>0</v>
      </c>
      <c r="CQ150" s="3">
        <f>CO150+SUM(CQ148:CQ149)</f>
        <v>0</v>
      </c>
      <c r="CR150" s="3">
        <f>CP150+SUM(CR148:CR149)</f>
        <v>0</v>
      </c>
      <c r="CS150" s="3">
        <f>CQ150+SUM(CS148:CS149)</f>
        <v>0</v>
      </c>
      <c r="CT150" s="3" t="n"/>
      <c r="CU150" s="3">
        <f>CS150+SUM(CU148:CU149)</f>
        <v>0</v>
      </c>
      <c r="CV150" s="3">
        <f>CT150+SUM(CV148:CV149)</f>
        <v>0</v>
      </c>
      <c r="CW150" s="3">
        <f>CU150+SUM(CW148:CW149)</f>
        <v>0</v>
      </c>
      <c r="CX150" s="3">
        <f>CV150+SUM(CX148:CX149)</f>
        <v>0</v>
      </c>
      <c r="CY150" s="3" t="n"/>
    </row>
    <row r="151" hidden="1" outlineLevel="1">
      <c r="C151" s="34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  <c r="CU151" s="3" t="n"/>
      <c r="CV151" s="3" t="n"/>
      <c r="CW151" s="3" t="n"/>
      <c r="CX151" s="3" t="n"/>
      <c r="CY151" s="3" t="n"/>
    </row>
    <row r="152" hidden="1" outlineLevel="1">
      <c r="C152" s="34" t="inlineStr">
        <is>
          <t>Definir % do D&amp;A No PPE and Intagibles</t>
        </is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  <c r="CU152" s="3" t="n"/>
      <c r="CV152" s="3" t="n"/>
      <c r="CW152" s="3" t="n"/>
      <c r="CX152" s="3" t="n"/>
      <c r="CY152" s="3" t="n"/>
    </row>
    <row r="153" hidden="1" outlineLevel="1">
      <c r="C153" s="34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  <c r="CU153" s="3" t="n"/>
      <c r="CV153" s="3" t="n"/>
      <c r="CW153" s="3" t="n"/>
      <c r="CX153" s="3" t="n"/>
      <c r="CY153" s="3" t="n"/>
    </row>
    <row r="154" hidden="1" outlineLevel="1">
      <c r="C154" s="34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  <c r="CU154" s="3" t="n"/>
      <c r="CV154" s="3" t="n"/>
      <c r="CW154" s="3" t="n"/>
      <c r="CX154" s="3" t="n"/>
      <c r="CY154" s="3" t="n"/>
    </row>
    <row r="155" collapsed="1">
      <c r="C155" s="26" t="inlineStr">
        <is>
          <t>Other non-current assets</t>
        </is>
      </c>
      <c r="D155" s="25">
        <f>INDEX('Inputs (2)'!$D$26:$AL$26,MATCH(D$7,'Inputs (2)'!$D$2:$AL$2,0))</f>
        <v>119</v>
      </c>
      <c r="E155" s="25">
        <f>INDEX('Inputs (2)'!$D$26:$AL$26,MATCH(E$7,'Inputs (2)'!$D$2:$AL$2,0))</f>
        <v>157</v>
      </c>
      <c r="F155" s="25">
        <f>INDEX('Inputs (2)'!$D$26:$AL$26,MATCH(F$7,'Inputs (2)'!$D$2:$AL$2,0))</f>
        <v>2028</v>
      </c>
      <c r="G155" s="25">
        <f>INDEX('Inputs (2)'!$D$26:$AL$26,MATCH(G$7,'Inputs (2)'!$D$2:$AL$2,0))</f>
        <v>2144</v>
      </c>
      <c r="H155" s="3">
        <f>G155</f>
        <v>2144</v>
      </c>
      <c r="I155" s="25">
        <f>INDEX('Inputs (2)'!$D$26:$AL$26,MATCH(I$7,'Inputs (2)'!$D$2:$AL$2,0))</f>
        <v>2090</v>
      </c>
      <c r="J155" s="25">
        <f>INDEX('Inputs (2)'!$D$26:$AL$26,MATCH(J$7,'Inputs (2)'!$D$2:$AL$2,0))</f>
        <v>2050</v>
      </c>
      <c r="K155" s="25">
        <f>INDEX('Inputs (2)'!$D$26:$AL$26,MATCH(K$7,'Inputs (2)'!$D$2:$AL$2,0))</f>
        <v>3761</v>
      </c>
      <c r="L155" s="25">
        <f>INDEX('Inputs (2)'!$D$26:$AL$26,MATCH(L$7,'Inputs (2)'!$D$2:$AL$2,0))</f>
        <v>3841</v>
      </c>
      <c r="M155" s="3">
        <f>L155</f>
        <v>3841</v>
      </c>
      <c r="N155" s="25">
        <f>INDEX('Inputs (2)'!$D$26:$AL$26,MATCH(N$7,'Inputs (2)'!$D$2:$AL$2,0))</f>
        <v>3505</v>
      </c>
      <c r="O155" s="25">
        <f>INDEX('Inputs (2)'!$D$26:$AL$26,MATCH(O$7,'Inputs (2)'!$D$2:$AL$2,0))</f>
        <v>3340</v>
      </c>
      <c r="P155" s="25">
        <f>INDEX('Inputs (2)'!$D$26:$AL$26,MATCH(P$7,'Inputs (2)'!$D$2:$AL$2,0))</f>
        <v>3580</v>
      </c>
      <c r="Q155" s="25">
        <f>INDEX('Inputs (2)'!$D$26:$AL$26,MATCH(Q$7,'Inputs (2)'!$D$2:$AL$2,0))</f>
        <v>3820</v>
      </c>
      <c r="R155" s="3">
        <f>Q155</f>
        <v>3820</v>
      </c>
      <c r="S155" s="25">
        <f>INDEX('Inputs (2)'!$D$26:$AL$26,MATCH(S$7,'Inputs (2)'!$D$2:$AL$2,0))</f>
        <v>4204</v>
      </c>
      <c r="T155" s="25">
        <f>INDEX('Inputs (2)'!$D$26:$AL$26,MATCH(T$7,'Inputs (2)'!$D$2:$AL$2,0))</f>
        <v>4501</v>
      </c>
      <c r="U155" s="25">
        <f>INDEX('Inputs (2)'!$D$26:$AL$26,MATCH(U$7,'Inputs (2)'!$D$2:$AL$2,0))</f>
        <v>4667</v>
      </c>
      <c r="V155" s="25">
        <f>INDEX('Inputs (2)'!$D$26:$AL$26,MATCH(V$7,'Inputs (2)'!$D$2:$AL$2,0))</f>
        <v>4500</v>
      </c>
      <c r="W155" s="3">
        <f>V155</f>
        <v>4500</v>
      </c>
      <c r="X155" s="25">
        <f>INDEX('Inputs (2)'!$D$26:$AL$26,MATCH(X$7,'Inputs (2)'!$D$2:$AL$2,0))</f>
        <v>4568</v>
      </c>
      <c r="Y155" s="25">
        <f>INDEX('Inputs (2)'!$D$26:$AL$26,MATCH(Y$7,'Inputs (2)'!$D$2:$AL$2,0))</f>
        <v>4001</v>
      </c>
      <c r="Z155" s="25">
        <f>INDEX('Inputs (2)'!$D$26:$AL$26,MATCH(Z$7,'Inputs (2)'!$D$2:$AL$2,0))</f>
        <v>5437</v>
      </c>
      <c r="AA155" s="25">
        <f>INDEX('Inputs (2)'!$D$26:$AL$26,MATCH(AA$7,'Inputs (2)'!$D$2:$AL$2,0))</f>
        <v>6425</v>
      </c>
      <c r="AB155" s="3">
        <f>AA155</f>
        <v>6425</v>
      </c>
      <c r="AC155" s="25">
        <f>INDEX('Inputs (2)'!$D$26:$AL$26,MATCH(AC$7,'Inputs (2)'!$D$2:$AL$2,0))</f>
        <v>6788</v>
      </c>
      <c r="AD155" s="25">
        <f>INDEX('Inputs (2)'!$D$26:$AL$26,MATCH(AD$7,'Inputs (2)'!$D$2:$AL$2,0))</f>
        <v>7216</v>
      </c>
      <c r="AE155" s="25">
        <f>INDEX('Inputs (2)'!$D$26:$AL$26,MATCH(AE$7,'Inputs (2)'!$D$2:$AL$2,0))</f>
        <v>11724</v>
      </c>
      <c r="AF155" s="25">
        <f>INDEX('Inputs (2)'!$D$26:$AL$26,MATCH(AF$7,'Inputs (2)'!$D$2:$AL$2,0))</f>
        <v>30552</v>
      </c>
      <c r="AG155" s="3">
        <f>AF155</f>
        <v>30552</v>
      </c>
      <c r="AH155" s="3">
        <f>AG155</f>
        <v>30552</v>
      </c>
      <c r="AI155" s="3">
        <f>AH155</f>
        <v>30552</v>
      </c>
      <c r="AJ155" s="3">
        <f>AI155</f>
        <v>30552</v>
      </c>
      <c r="AK155" s="3">
        <f>AJ155</f>
        <v>30552</v>
      </c>
      <c r="AL155" s="3">
        <f>AK155</f>
        <v>30552</v>
      </c>
      <c r="AM155" s="3">
        <f>AL155</f>
        <v>30552</v>
      </c>
      <c r="AN155" s="3">
        <f>AM155</f>
        <v>30552</v>
      </c>
      <c r="AO155" s="3">
        <f>AN155</f>
        <v>30552</v>
      </c>
      <c r="AP155" s="3">
        <f>AO155</f>
        <v>30552</v>
      </c>
      <c r="AQ155" s="3">
        <f>AP155</f>
        <v>30552</v>
      </c>
      <c r="AR155" s="3">
        <f>AQ155</f>
        <v>30552</v>
      </c>
      <c r="AS155" s="3">
        <f>AR155</f>
        <v>30552</v>
      </c>
      <c r="AT155" s="3">
        <f>AS155</f>
        <v>30552</v>
      </c>
      <c r="AU155" s="3">
        <f>AT155</f>
        <v>30552</v>
      </c>
      <c r="AV155" s="3">
        <f>AU155</f>
        <v>30552</v>
      </c>
      <c r="AW155" s="3">
        <f>AV155</f>
        <v>30552</v>
      </c>
      <c r="AX155" s="3">
        <f>AW155</f>
        <v>30552</v>
      </c>
      <c r="AY155" s="3">
        <f>AX155</f>
        <v>30552</v>
      </c>
      <c r="AZ155" s="3">
        <f>AY155</f>
        <v>30552</v>
      </c>
      <c r="BA155" s="3">
        <f>AZ155</f>
        <v>30552</v>
      </c>
      <c r="BB155" s="3">
        <f>BA155</f>
        <v>30552</v>
      </c>
      <c r="BC155" s="3">
        <f>BB155</f>
        <v>30552</v>
      </c>
      <c r="BD155" s="3">
        <f>BC155</f>
        <v>30552</v>
      </c>
      <c r="BE155" s="3">
        <f>BD155</f>
        <v>30552</v>
      </c>
      <c r="BF155" s="3">
        <f>BE155</f>
        <v>30552</v>
      </c>
      <c r="BG155" s="3">
        <f>BF155</f>
        <v>30552</v>
      </c>
      <c r="BH155" s="3">
        <f>BG155</f>
        <v>30552</v>
      </c>
      <c r="BI155" s="3">
        <f>BH155</f>
        <v>30552</v>
      </c>
      <c r="BJ155" s="3">
        <f>BI155</f>
        <v>30552</v>
      </c>
      <c r="BK155" s="3">
        <f>BJ155</f>
        <v>30552</v>
      </c>
      <c r="BL155" s="3">
        <f>BK155</f>
        <v>30552</v>
      </c>
      <c r="BM155" s="3">
        <f>BL155</f>
        <v>30552</v>
      </c>
      <c r="BN155" s="3">
        <f>BM155</f>
        <v>30552</v>
      </c>
      <c r="BO155" s="3">
        <f>BN155</f>
        <v>30552</v>
      </c>
      <c r="BP155" s="3">
        <f>BO155</f>
        <v>30552</v>
      </c>
      <c r="BQ155" s="3">
        <f>BP155</f>
        <v>30552</v>
      </c>
      <c r="BR155" s="3">
        <f>BQ155</f>
        <v>30552</v>
      </c>
      <c r="BS155" s="3">
        <f>BR155</f>
        <v>30552</v>
      </c>
      <c r="BT155" s="3">
        <f>BS155</f>
        <v>30552</v>
      </c>
      <c r="BU155" s="3">
        <f>BT155</f>
        <v>30552</v>
      </c>
      <c r="BV155" s="3">
        <f>BU155</f>
        <v>30552</v>
      </c>
      <c r="BW155" s="3">
        <f>BV155</f>
        <v>30552</v>
      </c>
      <c r="BX155" s="3">
        <f>BW155</f>
        <v>30552</v>
      </c>
      <c r="BY155" s="3">
        <f>BX155</f>
        <v>30552</v>
      </c>
      <c r="BZ155" s="3">
        <f>BY155</f>
        <v>30552</v>
      </c>
      <c r="CA155" s="3">
        <f>BZ155</f>
        <v>30552</v>
      </c>
      <c r="CB155" s="3">
        <f>CA155</f>
        <v>30552</v>
      </c>
      <c r="CC155" s="3">
        <f>CB155</f>
        <v>30552</v>
      </c>
      <c r="CD155" s="3">
        <f>CC155</f>
        <v>30552</v>
      </c>
      <c r="CE155" s="3">
        <f>CD155</f>
        <v>30552</v>
      </c>
      <c r="CF155" s="3">
        <f>CE155</f>
        <v>30552</v>
      </c>
      <c r="CG155" s="3">
        <f>CF155</f>
        <v>30552</v>
      </c>
      <c r="CH155" s="3">
        <f>CG155</f>
        <v>30552</v>
      </c>
      <c r="CI155" s="3">
        <f>CH155</f>
        <v>30552</v>
      </c>
      <c r="CJ155" s="3">
        <f>CI155</f>
        <v>30552</v>
      </c>
      <c r="CK155" s="3">
        <f>CJ155</f>
        <v>30552</v>
      </c>
      <c r="CL155" s="3">
        <f>CK155</f>
        <v>30552</v>
      </c>
      <c r="CM155" s="3">
        <f>CL155</f>
        <v>30552</v>
      </c>
      <c r="CN155" s="3">
        <f>CM155</f>
        <v>30552</v>
      </c>
      <c r="CO155" s="3">
        <f>CN155</f>
        <v>30552</v>
      </c>
      <c r="CP155" s="3">
        <f>CO155</f>
        <v>30552</v>
      </c>
      <c r="CQ155" s="3">
        <f>CP155</f>
        <v>30552</v>
      </c>
      <c r="CR155" s="3">
        <f>CQ155</f>
        <v>30552</v>
      </c>
      <c r="CS155" s="3">
        <f>CR155</f>
        <v>30552</v>
      </c>
      <c r="CT155" s="3">
        <f>CS155</f>
        <v>30552</v>
      </c>
      <c r="CU155" s="3">
        <f>CT155</f>
        <v>30552</v>
      </c>
      <c r="CV155" s="3">
        <f>CU155</f>
        <v>30552</v>
      </c>
      <c r="CW155" s="3">
        <f>CV155</f>
        <v>30552</v>
      </c>
      <c r="CX155" s="3">
        <f>CW155</f>
        <v>30552</v>
      </c>
      <c r="CY155" s="3">
        <f>CX155</f>
        <v>30552</v>
      </c>
    </row>
    <row r="156" hidden="1" outlineLevel="1">
      <c r="C156" s="38" t="inlineStr">
        <is>
          <t>%(Var.)</t>
        </is>
      </c>
      <c r="D156" s="3" t="n"/>
      <c r="E156" s="47">
        <f>(E155-D155)/D155</f>
        <v>0.319327731092437</v>
      </c>
      <c r="F156" s="47">
        <f>(F155-E155)/E155</f>
        <v>11.9171974522293</v>
      </c>
      <c r="G156" s="47">
        <f>(G155-F155)/F155</f>
        <v>0.0571992110453649</v>
      </c>
      <c r="H156" s="3" t="n"/>
      <c r="I156" s="47">
        <f>(I155-H155)/H155</f>
        <v>-0.0251865671641791</v>
      </c>
      <c r="J156" s="47">
        <f>(J155-I155)/I155</f>
        <v>-0.0191387559808612</v>
      </c>
      <c r="K156" s="47">
        <f>(K155-J155)/J155</f>
        <v>0.834634146341463</v>
      </c>
      <c r="L156" s="47">
        <f>(L155-K155)/K155</f>
        <v>0.0212709385801649</v>
      </c>
      <c r="M156" s="3" t="n"/>
      <c r="N156" s="47">
        <f>(N155-M155)/M155</f>
        <v>-0.0874772194740953</v>
      </c>
      <c r="O156" s="47">
        <f>(O155-N155)/N155</f>
        <v>-0.0470756062767475</v>
      </c>
      <c r="P156" s="47">
        <f>(P155-O155)/O155</f>
        <v>0.0718562874251497</v>
      </c>
      <c r="Q156" s="47">
        <f>(Q155-P155)/P155</f>
        <v>0.0670391061452514</v>
      </c>
      <c r="R156" s="3" t="n"/>
      <c r="S156" s="47">
        <f>(S155-R155)/R155</f>
        <v>0.100523560209424</v>
      </c>
      <c r="T156" s="47">
        <f>(T155-S155)/S155</f>
        <v>0.0706470028544244</v>
      </c>
      <c r="U156" s="47">
        <f>(U155-T155)/T155</f>
        <v>0.0368806931792935</v>
      </c>
      <c r="V156" s="47">
        <f>(V155-U155)/U155</f>
        <v>-0.0357831583458324</v>
      </c>
      <c r="W156" s="3" t="n"/>
      <c r="X156" s="47">
        <f>(X155-W155)/W155</f>
        <v>0.0151111111111111</v>
      </c>
      <c r="Y156" s="47">
        <f>(Y155-X155)/X155</f>
        <v>-0.124124343257443</v>
      </c>
      <c r="Z156" s="47">
        <f>(Z155-Y155)/Y155</f>
        <v>0.358910272431892</v>
      </c>
      <c r="AA156" s="47">
        <f>(AA155-Z155)/Z155</f>
        <v>0.181717859113482</v>
      </c>
      <c r="AB156" s="3" t="n"/>
      <c r="AC156" s="47">
        <f>(AC155-AB155)/AB155</f>
        <v>0.0564980544747082</v>
      </c>
      <c r="AD156" s="47">
        <f>(AD155-AC155)/AC155</f>
        <v>0.0630524454920448</v>
      </c>
      <c r="AE156" s="47">
        <f>(AE155-AD155)/AD155</f>
        <v>0.624722838137472</v>
      </c>
      <c r="AF156" s="218">
        <f>(AF155-AE155)/AE155</f>
        <v>1.60593654042989</v>
      </c>
      <c r="AG156" s="3" t="n"/>
      <c r="AH156" s="218" t="n"/>
      <c r="AI156" s="218" t="n"/>
      <c r="AJ156" s="218" t="n"/>
      <c r="AK156" s="218" t="n"/>
      <c r="AL156" s="3" t="n"/>
      <c r="AM156" s="218" t="n"/>
      <c r="AN156" s="218" t="n"/>
      <c r="AO156" s="218" t="n"/>
      <c r="AP156" s="218" t="n"/>
      <c r="AQ156" s="3" t="n"/>
      <c r="AR156" s="218" t="n"/>
      <c r="AS156" s="218" t="n"/>
      <c r="AT156" s="218" t="n"/>
      <c r="AU156" s="218" t="n"/>
      <c r="AV156" s="3" t="n"/>
      <c r="AW156" s="218" t="n"/>
      <c r="AX156" s="218" t="n"/>
      <c r="AY156" s="218" t="n"/>
      <c r="AZ156" s="218" t="n"/>
      <c r="BA156" s="3" t="n"/>
      <c r="BB156" s="218" t="n"/>
      <c r="BC156" s="218" t="n"/>
      <c r="BD156" s="218" t="n"/>
      <c r="BE156" s="218" t="n"/>
      <c r="BF156" s="3" t="n"/>
      <c r="BG156" s="218" t="n"/>
      <c r="BH156" s="218" t="n"/>
      <c r="BI156" s="218" t="n"/>
      <c r="BJ156" s="218" t="n"/>
      <c r="BK156" s="3" t="n"/>
      <c r="BL156" s="218" t="n"/>
      <c r="BM156" s="218" t="n"/>
      <c r="BN156" s="218" t="n"/>
      <c r="BO156" s="218" t="n"/>
      <c r="BP156" s="3" t="n"/>
      <c r="BQ156" s="218" t="n"/>
      <c r="BR156" s="218" t="n"/>
      <c r="BS156" s="218" t="n"/>
      <c r="BT156" s="218" t="n"/>
      <c r="BU156" s="3" t="n"/>
      <c r="BV156" s="218" t="n"/>
      <c r="BW156" s="218" t="n"/>
      <c r="BX156" s="218" t="n"/>
      <c r="BY156" s="218" t="n"/>
      <c r="BZ156" s="3" t="n"/>
      <c r="CA156" s="218" t="n"/>
      <c r="CB156" s="218" t="n"/>
      <c r="CC156" s="218" t="n"/>
      <c r="CD156" s="218" t="n"/>
      <c r="CE156" s="3" t="n"/>
      <c r="CF156" s="218" t="n"/>
      <c r="CG156" s="218" t="n"/>
      <c r="CH156" s="218" t="n"/>
      <c r="CI156" s="218" t="n"/>
      <c r="CJ156" s="3" t="n"/>
      <c r="CK156" s="218" t="n"/>
      <c r="CL156" s="218" t="n"/>
      <c r="CM156" s="218" t="n"/>
      <c r="CN156" s="218" t="n"/>
      <c r="CO156" s="3" t="n"/>
      <c r="CP156" s="218" t="n"/>
      <c r="CQ156" s="218" t="n"/>
      <c r="CR156" s="218" t="n"/>
      <c r="CS156" s="218" t="n"/>
      <c r="CT156" s="3" t="n"/>
      <c r="CU156" s="218" t="n"/>
      <c r="CV156" s="218" t="n"/>
      <c r="CW156" s="218" t="n"/>
      <c r="CX156" s="218" t="n"/>
      <c r="CY156" s="3" t="n"/>
    </row>
    <row r="157" hidden="1" outlineLevel="1">
      <c r="C157" s="34" t="n"/>
      <c r="D157" s="3" t="n"/>
      <c r="E157" s="47" t="n"/>
      <c r="F157" s="47" t="n"/>
      <c r="G157" s="47" t="n"/>
      <c r="H157" s="3" t="n"/>
      <c r="I157" s="47" t="n"/>
      <c r="J157" s="47" t="n"/>
      <c r="K157" s="47" t="n"/>
      <c r="L157" s="47" t="n"/>
      <c r="M157" s="3" t="n"/>
      <c r="N157" s="47" t="n"/>
      <c r="O157" s="47" t="n"/>
      <c r="P157" s="47" t="n"/>
      <c r="Q157" s="47" t="n"/>
      <c r="R157" s="3" t="n"/>
      <c r="S157" s="47" t="n"/>
      <c r="T157" s="47" t="n"/>
      <c r="U157" s="47" t="n"/>
      <c r="V157" s="47" t="n"/>
      <c r="W157" s="3" t="n"/>
      <c r="X157" s="47" t="n"/>
      <c r="Y157" s="47" t="n"/>
      <c r="Z157" s="47" t="n"/>
      <c r="AA157" s="47" t="n"/>
      <c r="AB157" s="3" t="n"/>
      <c r="AC157" s="47" t="n"/>
      <c r="AD157" s="47" t="n"/>
      <c r="AE157" s="47" t="n"/>
      <c r="AF157" s="218" t="n"/>
      <c r="AG157" s="3" t="n"/>
      <c r="AH157" s="218" t="n"/>
      <c r="AI157" s="218" t="n"/>
      <c r="AJ157" s="218" t="n"/>
      <c r="AK157" s="218" t="n"/>
      <c r="AL157" s="3" t="n"/>
      <c r="AM157" s="218" t="n"/>
      <c r="AN157" s="218" t="n"/>
      <c r="AO157" s="218" t="n"/>
      <c r="AP157" s="218" t="n"/>
      <c r="AQ157" s="3" t="n"/>
      <c r="AR157" s="218" t="n"/>
      <c r="AS157" s="218" t="n"/>
      <c r="AT157" s="218" t="n"/>
      <c r="AU157" s="218" t="n"/>
      <c r="AV157" s="3" t="n"/>
      <c r="AW157" s="218" t="n"/>
      <c r="AX157" s="218" t="n"/>
      <c r="AY157" s="218" t="n"/>
      <c r="AZ157" s="218" t="n"/>
      <c r="BA157" s="3" t="n"/>
      <c r="BB157" s="218" t="n"/>
      <c r="BC157" s="218" t="n"/>
      <c r="BD157" s="218" t="n"/>
      <c r="BE157" s="218" t="n"/>
      <c r="BF157" s="3" t="n"/>
      <c r="BG157" s="218" t="n"/>
      <c r="BH157" s="218" t="n"/>
      <c r="BI157" s="218" t="n"/>
      <c r="BJ157" s="218" t="n"/>
      <c r="BK157" s="3" t="n"/>
      <c r="BL157" s="218" t="n"/>
      <c r="BM157" s="218" t="n"/>
      <c r="BN157" s="218" t="n"/>
      <c r="BO157" s="218" t="n"/>
      <c r="BP157" s="3" t="n"/>
      <c r="BQ157" s="218" t="n"/>
      <c r="BR157" s="218" t="n"/>
      <c r="BS157" s="218" t="n"/>
      <c r="BT157" s="218" t="n"/>
      <c r="BU157" s="3" t="n"/>
      <c r="BV157" s="218" t="n"/>
      <c r="BW157" s="218" t="n"/>
      <c r="BX157" s="218" t="n"/>
      <c r="BY157" s="218" t="n"/>
      <c r="BZ157" s="3" t="n"/>
      <c r="CA157" s="218" t="n"/>
      <c r="CB157" s="218" t="n"/>
      <c r="CC157" s="218" t="n"/>
      <c r="CD157" s="218" t="n"/>
      <c r="CE157" s="3" t="n"/>
      <c r="CF157" s="218" t="n"/>
      <c r="CG157" s="218" t="n"/>
      <c r="CH157" s="218" t="n"/>
      <c r="CI157" s="218" t="n"/>
      <c r="CJ157" s="3" t="n"/>
      <c r="CK157" s="218" t="n"/>
      <c r="CL157" s="218" t="n"/>
      <c r="CM157" s="218" t="n"/>
      <c r="CN157" s="218" t="n"/>
      <c r="CO157" s="3" t="n"/>
      <c r="CP157" s="218" t="n"/>
      <c r="CQ157" s="218" t="n"/>
      <c r="CR157" s="218" t="n"/>
      <c r="CS157" s="218" t="n"/>
      <c r="CT157" s="3" t="n"/>
      <c r="CU157" s="218" t="n"/>
      <c r="CV157" s="218" t="n"/>
      <c r="CW157" s="218" t="n"/>
      <c r="CX157" s="218" t="n"/>
      <c r="CY157" s="3" t="n"/>
    </row>
    <row r="158" hidden="1" outlineLevel="1">
      <c r="C158" s="52" t="inlineStr">
        <is>
          <t>Outros Créditos - LP</t>
        </is>
      </c>
      <c r="D158" s="6" t="n"/>
      <c r="E158" s="6" t="n"/>
      <c r="F158" s="6" t="n"/>
      <c r="G158" s="6" t="n"/>
      <c r="H158" s="3" t="n"/>
      <c r="I158" s="6" t="n"/>
      <c r="J158" s="6" t="n"/>
      <c r="K158" s="6" t="n"/>
      <c r="L158" s="6" t="n"/>
      <c r="M158" s="3" t="n"/>
      <c r="N158" s="6" t="n"/>
      <c r="O158" s="6" t="n"/>
      <c r="P158" s="6" t="n"/>
      <c r="Q158" s="6" t="n"/>
      <c r="R158" s="3" t="n"/>
      <c r="S158" s="6" t="n"/>
      <c r="T158" s="6" t="n"/>
      <c r="U158" s="6" t="n"/>
      <c r="V158" s="6" t="n"/>
      <c r="W158" s="3" t="n"/>
      <c r="X158" s="6" t="n"/>
      <c r="Y158" s="6" t="n"/>
      <c r="Z158" s="6" t="n"/>
      <c r="AA158" s="6" t="n"/>
      <c r="AB158" s="3" t="n"/>
      <c r="AC158" s="6" t="n"/>
      <c r="AD158" s="6" t="n"/>
      <c r="AE158" s="6" t="n"/>
      <c r="AF158" s="6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  <c r="CU158" s="3" t="n"/>
      <c r="CV158" s="3" t="n"/>
      <c r="CW158" s="3" t="n"/>
      <c r="CX158" s="3" t="n"/>
      <c r="CY158" s="3" t="n"/>
    </row>
    <row r="159" hidden="1" outlineLevel="1">
      <c r="C159" s="52" t="inlineStr">
        <is>
          <t xml:space="preserve">Impostos e Contribuições a Recuperar </t>
        </is>
      </c>
      <c r="D159" s="6" t="n"/>
      <c r="E159" s="6" t="n"/>
      <c r="F159" s="6" t="n"/>
      <c r="G159" s="6" t="n"/>
      <c r="H159" s="3" t="n"/>
      <c r="I159" s="6" t="n"/>
      <c r="J159" s="6" t="n"/>
      <c r="K159" s="6" t="n"/>
      <c r="L159" s="6" t="n"/>
      <c r="M159" s="3" t="n"/>
      <c r="N159" s="6" t="n"/>
      <c r="O159" s="6" t="n"/>
      <c r="P159" s="6" t="n"/>
      <c r="Q159" s="6" t="n"/>
      <c r="R159" s="3" t="n"/>
      <c r="S159" s="6" t="n"/>
      <c r="T159" s="6" t="n"/>
      <c r="U159" s="6" t="n"/>
      <c r="V159" s="6" t="n"/>
      <c r="W159" s="3" t="n"/>
      <c r="X159" s="6" t="n"/>
      <c r="Y159" s="6" t="n"/>
      <c r="Z159" s="6" t="n"/>
      <c r="AA159" s="6" t="n"/>
      <c r="AB159" s="3" t="n"/>
      <c r="AC159" s="6" t="n"/>
      <c r="AD159" s="6" t="n"/>
      <c r="AE159" s="6" t="n"/>
      <c r="AF159" s="6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  <c r="CU159" s="3" t="n"/>
      <c r="CV159" s="3" t="n"/>
      <c r="CW159" s="3" t="n"/>
      <c r="CX159" s="3" t="n"/>
      <c r="CY159" s="3" t="n"/>
    </row>
    <row r="160" hidden="1" outlineLevel="1">
      <c r="C160" s="52" t="inlineStr">
        <is>
          <t xml:space="preserve">Imposto de Renda e Contribuição Social Diferidos </t>
        </is>
      </c>
      <c r="D160" s="6" t="n"/>
      <c r="E160" s="6" t="n"/>
      <c r="F160" s="6" t="n"/>
      <c r="G160" s="6" t="n"/>
      <c r="H160" s="3" t="n"/>
      <c r="I160" s="6" t="n"/>
      <c r="J160" s="6" t="n"/>
      <c r="K160" s="6" t="n"/>
      <c r="L160" s="6" t="n"/>
      <c r="M160" s="3" t="n"/>
      <c r="N160" s="6" t="n"/>
      <c r="O160" s="6" t="n"/>
      <c r="P160" s="6" t="n"/>
      <c r="Q160" s="6" t="n"/>
      <c r="R160" s="3" t="n"/>
      <c r="S160" s="6" t="n"/>
      <c r="T160" s="6" t="n"/>
      <c r="U160" s="6" t="n"/>
      <c r="V160" s="6" t="n"/>
      <c r="W160" s="3" t="n"/>
      <c r="X160" s="6" t="n"/>
      <c r="Y160" s="6" t="n"/>
      <c r="Z160" s="6" t="n"/>
      <c r="AA160" s="6" t="n"/>
      <c r="AB160" s="3" t="n"/>
      <c r="AC160" s="6" t="n"/>
      <c r="AD160" s="6" t="n"/>
      <c r="AE160" s="6" t="n"/>
      <c r="AF160" s="6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  <c r="CU160" s="3" t="n"/>
      <c r="CV160" s="3" t="n"/>
      <c r="CW160" s="3" t="n"/>
      <c r="CX160" s="3" t="n"/>
      <c r="CY160" s="3" t="n"/>
    </row>
    <row r="161" hidden="1" outlineLevel="1">
      <c r="C161" s="52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  <c r="CU161" s="3" t="n"/>
      <c r="CV161" s="3" t="n"/>
      <c r="CW161" s="3" t="n"/>
      <c r="CX161" s="3" t="n"/>
      <c r="CY161" s="3" t="n"/>
    </row>
    <row r="162" hidden="1" outlineLevel="1">
      <c r="C162" s="34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  <c r="CU162" s="3" t="n"/>
      <c r="CV162" s="3" t="n"/>
      <c r="CW162" s="3" t="n"/>
      <c r="CX162" s="3" t="n"/>
      <c r="CY162" s="3" t="n"/>
    </row>
    <row r="163" collapsed="1" customFormat="1" s="17">
      <c r="A163" s="13" t="n"/>
      <c r="B163" s="1" t="n"/>
      <c r="C163" s="14" t="inlineStr">
        <is>
          <t>Total Assets</t>
        </is>
      </c>
      <c r="D163" s="16">
        <f>(D110+D111+D115+D119+D120+D121+D127+D132+D142+D145+D146+D155)</f>
        <v>23254</v>
      </c>
      <c r="E163" s="16">
        <f>(E110+E111+E115+E119+E120+E121+E127+E132+E142+E145+E146+E155)</f>
        <v>25180</v>
      </c>
      <c r="F163" s="16">
        <f>(F110+F111+F115+F119+F120+F121+F127+F132+F142+F145+F146+F155)</f>
        <v>26881</v>
      </c>
      <c r="G163" s="16">
        <f>(G110+G111+G115+G119+G120+G121+G127+G132+G142+G145+G146+G155)</f>
        <v>28791</v>
      </c>
      <c r="H163" s="16">
        <f>SUM(H110,H111,H115,H119,H120,H121,H127,H142,H145,H146,H155,H132)</f>
        <v>28791</v>
      </c>
      <c r="I163" s="16">
        <f>(I110+I111+I115+I119+I120+I121+I127+I132+I142+I145+I146+I155)</f>
        <v>30796</v>
      </c>
      <c r="J163" s="16">
        <f>(J110+J111+J115+J119+J120+J121+J127+J132+J142+J145+J146+J155)</f>
        <v>38650</v>
      </c>
      <c r="K163" s="16">
        <f>(K110+K111+K115+K119+K120+K121+K127+K132+K142+K145+K146+K155)</f>
        <v>40632</v>
      </c>
      <c r="L163" s="16">
        <f>(L110+L111+L115+L119+L120+L121+L127+L132+L142+L145+L146+L155)</f>
        <v>44187</v>
      </c>
      <c r="M163" s="16">
        <f>SUM(M110,M111,M115,M119,M120,M121,M127,M142,M145,M146,M155,M132)</f>
        <v>44187</v>
      </c>
      <c r="N163" s="16">
        <f>(N110+N111+N115+N119+N120+N121+N127+N132+N142+N145+N146+N155)</f>
        <v>45212</v>
      </c>
      <c r="O163" s="16">
        <f>(O110+O111+O115+O119+O120+O121+O127+O132+O142+O145+O146+O155)</f>
        <v>43476</v>
      </c>
      <c r="P163" s="16">
        <f>(P110+P111+P115+P119+P120+P121+P127+P132+P142+P145+P146+P155)</f>
        <v>40488</v>
      </c>
      <c r="Q163" s="16">
        <f>(Q110+Q111+Q115+Q119+Q120+Q121+Q127+Q132+Q142+Q145+Q146+Q155)</f>
        <v>41182</v>
      </c>
      <c r="R163" s="16">
        <f>SUM(R110,R111,R115,R119,R120,R121,R127,R142,R145,R146,R155,R132)</f>
        <v>41182</v>
      </c>
      <c r="S163" s="16">
        <f>(S110+S111+S115+S119+S120+S121+S127+S132+S142+S145+S146+S155)</f>
        <v>44460</v>
      </c>
      <c r="T163" s="16">
        <f>(T110+T111+T115+T119+T120+T121+T127+T132+T142+T145+T146+T155)</f>
        <v>49555</v>
      </c>
      <c r="U163" s="16">
        <f>(U110+U111+U115+U119+U120+U121+U127+U132+U142+U145+U146+U155)</f>
        <v>54148</v>
      </c>
      <c r="V163" s="16">
        <f>(V110+V111+V115+V119+V120+V121+V127+V132+V142+V145+V146+V155)</f>
        <v>65728</v>
      </c>
      <c r="W163" s="16">
        <f>SUM(W110,W111,W115,W119,W120,W121,W127,W142,W145,W146,W155,W132)</f>
        <v>65728</v>
      </c>
      <c r="X163" s="16">
        <f>(X110+X111+X115+X119+X120+X121+X127+X132+X142+X145+X146+X155)</f>
        <v>77072</v>
      </c>
      <c r="Y163" s="16">
        <f>(Y110+Y111+Y115+Y119+Y120+Y121+Y127+Y132+Y142+Y145+Y146+Y155)</f>
        <v>85227</v>
      </c>
      <c r="Z163" s="16">
        <f>(Z110+Z111+Z115+Z119+Z120+Z121+Z127+Z132+Z142+Z145+Z146+Z155)</f>
        <v>96013</v>
      </c>
      <c r="AA163" s="16">
        <f>(AA110+AA111+AA115+AA119+AA120+AA121+AA127+AA132+AA142+AA145+AA146+AA155)</f>
        <v>111601</v>
      </c>
      <c r="AB163" s="16">
        <f>SUM(AB110,AB111,AB115,AB119,AB120,AB121,AB127,AB142,AB145,AB146,AB155,AB132)</f>
        <v>111601</v>
      </c>
      <c r="AC163" s="16">
        <f>(AC110+AC111+AC115+AC119+AC120+AC121+AC127+AC132+AC142+AC145+AC146+AC155)</f>
        <v>125254</v>
      </c>
      <c r="AD163" s="16">
        <f>(AD110+AD111+AD115+AD119+AD120+AD121+AD127+AD132+AD142+AD145+AD146+AD155)</f>
        <v>140740</v>
      </c>
      <c r="AE163" s="16">
        <f>(AE110+AE111+AE115+AE119+AE120+AE121+AE127+AE132+AE142+AE145+AE146+AE155)</f>
        <v>161148</v>
      </c>
      <c r="AF163" s="16">
        <f>(AF110+AF111+AF115+AF119+AF120+AF121+AF127+AF132+AF142+AF145+AF146+AF155)</f>
        <v>206803</v>
      </c>
      <c r="AG163" s="16">
        <f>SUM(AG110,AG111,AG115,AG119,AG120,AG121,AG127,AG142,AG145,AG146,AG155,AG132)</f>
        <v>206803</v>
      </c>
      <c r="AH163" s="16" t="e">
        <f>(AH110+AH111+AH115+AH119+AH120+AH121+AH127+AH132+AH142+#REF!+AH145+AH155)</f>
        <v>#REF!</v>
      </c>
      <c r="AI163" s="16">
        <f>(AI110+AI111+AI115+AI119+AI120+AI121+AI127+AI132+AI142+AI145+AI146+AI155)</f>
        <v>175653</v>
      </c>
      <c r="AJ163" s="16" t="e">
        <f>(AJ110+AJ111+AJ115+AJ119+AJ120+AJ121+AJ127+AJ132+AJ142+AJ145+AJ146+AJ155)</f>
        <v>#DIV/0!</v>
      </c>
      <c r="AK163" s="16" t="e">
        <f>(AK110+AK111+AK115+AK119+AK120+AK121+AK127+AK132+AK142+AK145+AK146+AK155)</f>
        <v>#DIV/0!</v>
      </c>
      <c r="AL163" s="16" t="e">
        <f>SUM(AL110,AL111,AL115,AL119,AL120,AL121,AL127,AL142,AL145,AL146,AL155,AL132)</f>
        <v>#DIV/0!</v>
      </c>
      <c r="AM163" s="16" t="e">
        <f>(AM110+AM111+AM115+AM119+AM120+AM121+AM127+AM132+AM142+#REF!+AM145+AM155)</f>
        <v>#DIV/0!</v>
      </c>
      <c r="AN163" s="16" t="e">
        <f>(AN110+AN111+AN115+AN119+AN120+AN121+AN127+AN132+AN142+AN145+AN146+AN155)</f>
        <v>#DIV/0!</v>
      </c>
      <c r="AO163" s="16" t="e">
        <f>(AO110+AO111+AO115+AO119+AO120+AO121+AO127+AO132+AO142+AO145+AO146+AO155)</f>
        <v>#DIV/0!</v>
      </c>
      <c r="AP163" s="16" t="e">
        <f>(AP110+AP111+AP115+AP119+AP120+AP121+AP127+AP132+AP142+AP145+AP146+AP155)</f>
        <v>#DIV/0!</v>
      </c>
      <c r="AQ163" s="16" t="e">
        <f>SUM(AQ110,AQ111,AQ115,AQ119,AQ120,AQ121,AQ127,AQ142,AQ145,AQ146,AQ155,AQ132)</f>
        <v>#DIV/0!</v>
      </c>
      <c r="AR163" s="16" t="e">
        <f>(AR110+AR111+AR115+AR119+AR120+AR121+AR127+AR132+AR142+#REF!+AR145+AR155)</f>
        <v>#DIV/0!</v>
      </c>
      <c r="AS163" s="16" t="e">
        <f>(AS110+AS111+AS115+AS119+AS120+AS121+AS127+AS132+AS142+AS145+AS146+AS155)</f>
        <v>#DIV/0!</v>
      </c>
      <c r="AT163" s="16" t="e">
        <f>(AT110+AT111+AT115+AT119+AT120+AT121+AT127+AT132+AT142+AT145+AT146+AT155)</f>
        <v>#DIV/0!</v>
      </c>
      <c r="AU163" s="16" t="e">
        <f>(AU110+AU111+AU115+AU119+AU120+AU121+AU127+AU132+AU142+AU145+AU146+AU155)</f>
        <v>#DIV/0!</v>
      </c>
      <c r="AV163" s="16" t="e">
        <f>SUM(AV110,AV111,AV115,AV119,AV120,AV121,AV127,AV142,AV145,AV146,AV155,AV132)</f>
        <v>#DIV/0!</v>
      </c>
      <c r="AW163" s="16" t="e">
        <f>(AW110+AW111+AW115+AW119+AW120+AW121+AW127+AW132+AW142+#REF!+AW145+AW155)</f>
        <v>#DIV/0!</v>
      </c>
      <c r="AX163" s="16" t="e">
        <f>(AX110+AX111+AX115+AX119+AX120+AX121+AX127+AX132+AX142+AX145+AX146+AX155)</f>
        <v>#DIV/0!</v>
      </c>
      <c r="AY163" s="16" t="e">
        <f>(AY110+AY111+AY115+AY119+AY120+AY121+AY127+AY132+AY142+AY145+AY146+AY155)</f>
        <v>#DIV/0!</v>
      </c>
      <c r="AZ163" s="16" t="e">
        <f>(AZ110+AZ111+AZ115+AZ119+AZ120+AZ121+AZ127+AZ132+AZ142+AZ145+AZ146+AZ155)</f>
        <v>#DIV/0!</v>
      </c>
      <c r="BA163" s="16" t="e">
        <f>SUM(BA110,BA111,BA115,BA119,BA120,BA121,BA127,BA142,BA145,BA146,BA155,BA132)</f>
        <v>#DIV/0!</v>
      </c>
      <c r="BB163" s="16" t="e">
        <f>(BB110+BB111+BB115+BB119+BB120+BB121+BB127+BB132+BB142+#REF!+BB145+BB155)</f>
        <v>#DIV/0!</v>
      </c>
      <c r="BC163" s="16" t="e">
        <f>(BC110+BC111+BC115+BC119+BC120+BC121+BC127+BC132+BC142+BC145+BC146+BC155)</f>
        <v>#DIV/0!</v>
      </c>
      <c r="BD163" s="16" t="e">
        <f>(BD110+BD111+BD115+BD119+BD120+BD121+BD127+BD132+BD142+BD145+BD146+BD155)</f>
        <v>#DIV/0!</v>
      </c>
      <c r="BE163" s="16" t="e">
        <f>(BE110+BE111+BE115+BE119+BE120+BE121+BE127+BE132+BE142+BE145+BE146+BE155)</f>
        <v>#DIV/0!</v>
      </c>
      <c r="BF163" s="16" t="e">
        <f>SUM(BF110,BF111,BF115,BF119,BF120,BF121,BF127,BF142,BF145,BF146,BF155,BF132)</f>
        <v>#DIV/0!</v>
      </c>
      <c r="BG163" s="16" t="e">
        <f>(BG110+BG111+BG115+BG119+BG120+BG121+BG127+BG132+BG142+#REF!+BG145+BG155)</f>
        <v>#DIV/0!</v>
      </c>
      <c r="BH163" s="16" t="e">
        <f>(BH110+BH111+BH115+BH119+BH120+BH121+BH127+BH132+BH142+BH145+BH146+BH155)</f>
        <v>#DIV/0!</v>
      </c>
      <c r="BI163" s="16" t="e">
        <f>(BI110+BI111+BI115+BI119+BI120+BI121+BI127+BI132+BI142+BI145+BI146+BI155)</f>
        <v>#DIV/0!</v>
      </c>
      <c r="BJ163" s="16" t="e">
        <f>(BJ110+BJ111+BJ115+BJ119+BJ120+BJ121+BJ127+BJ132+BJ142+BJ145+BJ146+BJ155)</f>
        <v>#DIV/0!</v>
      </c>
      <c r="BK163" s="16" t="e">
        <f>SUM(BK110,BK111,BK115,BK119,BK120,BK121,BK127,BK142,BK145,BK146,BK155,BK132)</f>
        <v>#DIV/0!</v>
      </c>
      <c r="BL163" s="16" t="e">
        <f>(BL110+BL111+BL115+BL119+BL120+BL121+BL127+BL132+BL142+#REF!+BL145+BL155)</f>
        <v>#DIV/0!</v>
      </c>
      <c r="BM163" s="16" t="e">
        <f>(BM110+BM111+BM115+BM119+BM120+BM121+BM127+BM132+BM142+BM145+BM146+BM155)</f>
        <v>#DIV/0!</v>
      </c>
      <c r="BN163" s="16" t="e">
        <f>(BN110+BN111+BN115+BN119+BN120+BN121+BN127+BN132+BN142+BN145+BN146+BN155)</f>
        <v>#DIV/0!</v>
      </c>
      <c r="BO163" s="16" t="e">
        <f>(BO110+BO111+BO115+BO119+BO120+BO121+BO127+BO132+BO142+BO145+BO146+BO155)</f>
        <v>#DIV/0!</v>
      </c>
      <c r="BP163" s="16" t="e">
        <f>SUM(BP110,BP111,BP115,BP119,BP120,BP121,BP127,BP142,BP145,BP146,BP155,BP132)</f>
        <v>#DIV/0!</v>
      </c>
      <c r="BQ163" s="16" t="e">
        <f>(BQ110+BQ111+BQ115+BQ119+BQ120+BQ121+BQ127+BQ132+BQ142+#REF!+BQ145+BQ155)</f>
        <v>#DIV/0!</v>
      </c>
      <c r="BR163" s="16" t="e">
        <f>(BR110+BR111+BR115+BR119+BR120+BR121+BR127+BR132+BR142+BR145+BR146+BR155)</f>
        <v>#DIV/0!</v>
      </c>
      <c r="BS163" s="16" t="e">
        <f>(BS110+BS111+BS115+BS119+BS120+BS121+BS127+BS132+BS142+BS145+BS146+BS155)</f>
        <v>#DIV/0!</v>
      </c>
      <c r="BT163" s="16" t="e">
        <f>(BT110+BT111+BT115+BT119+BT120+BT121+BT127+BT132+BT142+BT145+BT146+BT155)</f>
        <v>#DIV/0!</v>
      </c>
      <c r="BU163" s="16" t="e">
        <f>SUM(BU110,BU111,BU115,BU119,BU120,BU121,BU127,BU142,BU145,BU146,BU155,BU132)</f>
        <v>#DIV/0!</v>
      </c>
      <c r="BV163" s="16" t="e">
        <f>(BV110+BV111+BV115+BV119+BV120+BV121+BV127+BV132+BV142+#REF!+BV145+BV155)</f>
        <v>#DIV/0!</v>
      </c>
      <c r="BW163" s="16" t="e">
        <f>(BW110+BW111+BW115+BW119+BW120+BW121+BW127+BW132+BW142+BW145+BW146+BW155)</f>
        <v>#DIV/0!</v>
      </c>
      <c r="BX163" s="16" t="e">
        <f>(BX110+BX111+BX115+BX119+BX120+BX121+BX127+BX132+BX142+BX145+BX146+BX155)</f>
        <v>#DIV/0!</v>
      </c>
      <c r="BY163" s="16" t="e">
        <f>(BY110+BY111+BY115+BY119+BY120+BY121+BY127+BY132+BY142+BY145+BY146+BY155)</f>
        <v>#DIV/0!</v>
      </c>
      <c r="BZ163" s="16" t="e">
        <f>SUM(BZ110,BZ111,BZ115,BZ119,BZ120,BZ121,BZ127,BZ142,BZ145,BZ146,BZ155,BZ132)</f>
        <v>#DIV/0!</v>
      </c>
      <c r="CA163" s="16" t="e">
        <f>(CA110+CA111+CA115+CA119+CA120+CA121+CA127+CA132+CA142+#REF!+CA145+CA155)</f>
        <v>#DIV/0!</v>
      </c>
      <c r="CB163" s="16" t="e">
        <f>(CB110+CB111+CB115+CB119+CB120+CB121+CB127+CB132+CB142+CB145+CB146+CB155)</f>
        <v>#DIV/0!</v>
      </c>
      <c r="CC163" s="16" t="e">
        <f>(CC110+CC111+CC115+CC119+CC120+CC121+CC127+CC132+CC142+CC145+CC146+CC155)</f>
        <v>#DIV/0!</v>
      </c>
      <c r="CD163" s="16" t="e">
        <f>(CD110+CD111+CD115+CD119+CD120+CD121+CD127+CD132+CD142+CD145+CD146+CD155)</f>
        <v>#DIV/0!</v>
      </c>
      <c r="CE163" s="16" t="e">
        <f>SUM(CE110,CE111,CE115,CE119,CE120,CE121,CE127,CE142,CE145,CE146,CE155,CE132)</f>
        <v>#DIV/0!</v>
      </c>
      <c r="CF163" s="16" t="e">
        <f>(CF110+CF111+CF115+CF119+CF120+CF121+CF127+CF132+CF142+#REF!+CF145+CF155)</f>
        <v>#DIV/0!</v>
      </c>
      <c r="CG163" s="16" t="e">
        <f>(CG110+CG111+CG115+CG119+CG120+CG121+CG127+CG132+CG142+CG145+CG146+CG155)</f>
        <v>#DIV/0!</v>
      </c>
      <c r="CH163" s="16" t="e">
        <f>(CH110+CH111+CH115+CH119+CH120+CH121+CH127+CH132+CH142+CH145+CH146+CH155)</f>
        <v>#DIV/0!</v>
      </c>
      <c r="CI163" s="16" t="e">
        <f>(CI110+CI111+CI115+CI119+CI120+CI121+CI127+CI132+CI142+CI145+CI146+CI155)</f>
        <v>#DIV/0!</v>
      </c>
      <c r="CJ163" s="16" t="e">
        <f>SUM(CJ110,CJ111,CJ115,CJ119,CJ120,CJ121,CJ127,CJ142,CJ145,CJ146,CJ155,CJ132)</f>
        <v>#DIV/0!</v>
      </c>
      <c r="CK163" s="16" t="e">
        <f>(CK110+CK111+CK115+CK119+CK120+CK121+CK127+CK132+CK142+#REF!+CK145+CK155)</f>
        <v>#DIV/0!</v>
      </c>
      <c r="CL163" s="16" t="e">
        <f>(CL110+CL111+CL115+CL119+CL120+CL121+CL127+CL132+CL142+CL145+CL146+CL155)</f>
        <v>#DIV/0!</v>
      </c>
      <c r="CM163" s="16" t="e">
        <f>(CM110+CM111+CM115+CM119+CM120+CM121+CM127+CM132+CM142+CM145+CM146+CM155)</f>
        <v>#DIV/0!</v>
      </c>
      <c r="CN163" s="16" t="e">
        <f>(CN110+CN111+CN115+CN119+CN120+CN121+CN127+CN132+CN142+CN145+CN146+CN155)</f>
        <v>#DIV/0!</v>
      </c>
      <c r="CO163" s="16" t="e">
        <f>SUM(CO110,CO111,CO115,CO119,CO120,CO121,CO127,CO142,CO145,CO146,CO155,CO132)</f>
        <v>#DIV/0!</v>
      </c>
      <c r="CP163" s="16" t="e">
        <f>(CP110+CP111+CP115+CP119+CP120+CP121+CP127+CP132+CP142+#REF!+CP145+CP155)</f>
        <v>#DIV/0!</v>
      </c>
      <c r="CQ163" s="16" t="e">
        <f>(CQ110+CQ111+CQ115+CQ119+CQ120+CQ121+CQ127+CQ132+CQ142+CQ145+CQ146+CQ155)</f>
        <v>#DIV/0!</v>
      </c>
      <c r="CR163" s="16" t="e">
        <f>(CR110+CR111+CR115+CR119+CR120+CR121+CR127+CR132+CR142+CR145+CR146+CR155)</f>
        <v>#DIV/0!</v>
      </c>
      <c r="CS163" s="16" t="e">
        <f>(CS110+CS111+CS115+CS119+CS120+CS121+CS127+CS132+CS142+CS145+CS146+CS155)</f>
        <v>#DIV/0!</v>
      </c>
      <c r="CT163" s="16" t="e">
        <f>SUM(CT110,CT111,CT115,CT119,CT120,CT121,CT127,CT142,CT145,CT146,CT155,CT132)</f>
        <v>#DIV/0!</v>
      </c>
      <c r="CU163" s="16" t="e">
        <f>(CU110+CU111+CU115+CU119+CU120+CU121+CU127+CU132+CU142+#REF!+CU145+CU155)</f>
        <v>#DIV/0!</v>
      </c>
      <c r="CV163" s="16" t="e">
        <f>(CV110+CV111+CV115+CV119+CV120+CV121+CV127+CV132+CV142+CV145+CV146+CV155)</f>
        <v>#DIV/0!</v>
      </c>
      <c r="CW163" s="16" t="e">
        <f>(CW110+CW111+CW115+CW119+CW120+CW121+CW127+CW132+CW142+CW145+CW146+CW155)</f>
        <v>#DIV/0!</v>
      </c>
      <c r="CX163" s="16" t="e">
        <f>(CX110+CX111+CX115+CX119+CX120+CX121+CX127+CX132+CX142+CX145+CX146+CX155)</f>
        <v>#DIV/0!</v>
      </c>
      <c r="CY163" s="16" t="e">
        <f>SUM(CY110,CY111,CY115,CY119,CY120,CY121,CY127,CY142,CY145,CY146,CY155,CY132)</f>
        <v>#DIV/0!</v>
      </c>
    </row>
    <row r="164">
      <c r="C164" s="26" t="inlineStr">
        <is>
          <t>Accounts payable</t>
        </is>
      </c>
      <c r="D164" s="25">
        <f>INDEX('Inputs (2)'!$D$28:$AL$28,MATCH(D$7,'Inputs (2)'!$D$2:$AL$2,0))</f>
        <v>761</v>
      </c>
      <c r="E164" s="25">
        <f>INDEX('Inputs (2)'!$D$28:$AL$28,MATCH(E$7,'Inputs (2)'!$D$2:$AL$2,0))</f>
        <v>893</v>
      </c>
      <c r="F164" s="25">
        <f>INDEX('Inputs (2)'!$D$28:$AL$28,MATCH(F$7,'Inputs (2)'!$D$2:$AL$2,0))</f>
        <v>1097</v>
      </c>
      <c r="G164" s="25">
        <f>INDEX('Inputs (2)'!$D$28:$AL$28,MATCH(G$7,'Inputs (2)'!$D$2:$AL$2,0))</f>
        <v>1149</v>
      </c>
      <c r="H164" s="3">
        <f>G164</f>
        <v>1149</v>
      </c>
      <c r="I164" s="25">
        <f>INDEX('Inputs (2)'!$D$28:$AL$28,MATCH(I$7,'Inputs (2)'!$D$2:$AL$2,0))</f>
        <v>1218</v>
      </c>
      <c r="J164" s="25">
        <f>INDEX('Inputs (2)'!$D$28:$AL$28,MATCH(J$7,'Inputs (2)'!$D$2:$AL$2,0))</f>
        <v>1474</v>
      </c>
      <c r="K164" s="25">
        <f>INDEX('Inputs (2)'!$D$28:$AL$28,MATCH(K$7,'Inputs (2)'!$D$2:$AL$2,0))</f>
        <v>1664</v>
      </c>
      <c r="L164" s="25">
        <f>INDEX('Inputs (2)'!$D$28:$AL$28,MATCH(L$7,'Inputs (2)'!$D$2:$AL$2,0))</f>
        <v>1783</v>
      </c>
      <c r="M164" s="3">
        <f>L164</f>
        <v>1783</v>
      </c>
      <c r="N164" s="25">
        <f>INDEX('Inputs (2)'!$D$28:$AL$28,MATCH(N$7,'Inputs (2)'!$D$2:$AL$2,0))</f>
        <v>1999</v>
      </c>
      <c r="O164" s="25">
        <f>INDEX('Inputs (2)'!$D$28:$AL$28,MATCH(O$7,'Inputs (2)'!$D$2:$AL$2,0))</f>
        <v>2421</v>
      </c>
      <c r="P164" s="25">
        <f>INDEX('Inputs (2)'!$D$28:$AL$28,MATCH(P$7,'Inputs (2)'!$D$2:$AL$2,0))</f>
        <v>1491</v>
      </c>
      <c r="Q164" s="25">
        <f>INDEX('Inputs (2)'!$D$28:$AL$28,MATCH(Q$7,'Inputs (2)'!$D$2:$AL$2,0))</f>
        <v>1193</v>
      </c>
      <c r="R164" s="3">
        <f>Q164</f>
        <v>1193</v>
      </c>
      <c r="S164" s="25">
        <f>INDEX('Inputs (2)'!$D$28:$AL$28,MATCH(S$7,'Inputs (2)'!$D$2:$AL$2,0))</f>
        <v>1141</v>
      </c>
      <c r="T164" s="25">
        <f>INDEX('Inputs (2)'!$D$28:$AL$28,MATCH(T$7,'Inputs (2)'!$D$2:$AL$2,0))</f>
        <v>1929</v>
      </c>
      <c r="U164" s="25">
        <f>INDEX('Inputs (2)'!$D$28:$AL$28,MATCH(U$7,'Inputs (2)'!$D$2:$AL$2,0))</f>
        <v>2380</v>
      </c>
      <c r="V164" s="25">
        <f>INDEX('Inputs (2)'!$D$28:$AL$28,MATCH(V$7,'Inputs (2)'!$D$2:$AL$2,0))</f>
        <v>2699</v>
      </c>
      <c r="W164" s="3">
        <f>V164</f>
        <v>2699</v>
      </c>
      <c r="X164" s="25">
        <f>INDEX('Inputs (2)'!$D$28:$AL$28,MATCH(X$7,'Inputs (2)'!$D$2:$AL$2,0))</f>
        <v>2715</v>
      </c>
      <c r="Y164" s="25">
        <f>INDEX('Inputs (2)'!$D$28:$AL$28,MATCH(Y$7,'Inputs (2)'!$D$2:$AL$2,0))</f>
        <v>3680</v>
      </c>
      <c r="Z164" s="25">
        <f>INDEX('Inputs (2)'!$D$28:$AL$28,MATCH(Z$7,'Inputs (2)'!$D$2:$AL$2,0))</f>
        <v>5353</v>
      </c>
      <c r="AA164" s="25">
        <f>INDEX('Inputs (2)'!$D$28:$AL$28,MATCH(AA$7,'Inputs (2)'!$D$2:$AL$2,0))</f>
        <v>6310</v>
      </c>
      <c r="AB164" s="3">
        <f>AA164</f>
        <v>6310</v>
      </c>
      <c r="AC164" s="25">
        <f>INDEX('Inputs (2)'!$D$28:$AL$28,MATCH(AC$7,'Inputs (2)'!$D$2:$AL$2,0))</f>
        <v>7331</v>
      </c>
      <c r="AD164" s="25">
        <f>INDEX('Inputs (2)'!$D$28:$AL$28,MATCH(AD$7,'Inputs (2)'!$D$2:$AL$2,0))</f>
        <v>9064</v>
      </c>
      <c r="AE164" s="25">
        <f>INDEX('Inputs (2)'!$D$28:$AL$28,MATCH(AE$7,'Inputs (2)'!$D$2:$AL$2,0))</f>
        <v>8624</v>
      </c>
      <c r="AF164" s="25">
        <f>INDEX('Inputs (2)'!$D$28:$AL$28,MATCH(AF$7,'Inputs (2)'!$D$2:$AL$2,0))</f>
        <v>9812</v>
      </c>
      <c r="AG164" s="3">
        <f>AF164</f>
        <v>9812</v>
      </c>
      <c r="AH164" s="3">
        <f>(AH165/(AH$5-AG$5))*-AH20</f>
        <v>0</v>
      </c>
      <c r="AI164" s="3">
        <f>(AI165/(AI$5-AH$5))*-AI20</f>
        <v>0</v>
      </c>
      <c r="AJ164" s="3">
        <f>(AJ165/(AJ$5-AI$5))*-AJ20</f>
        <v>0</v>
      </c>
      <c r="AK164" s="3">
        <f>(AK165/(AK$5-AJ$5))*-AK20</f>
        <v>0</v>
      </c>
      <c r="AL164" s="3">
        <f>AK164</f>
        <v>0</v>
      </c>
      <c r="AM164" s="3">
        <f>(AM165/(AM$5-AL$5))*-AM20</f>
        <v>0</v>
      </c>
      <c r="AN164" s="3">
        <f>(AN165/(AN$5-AM$5))*-AN20</f>
        <v>0</v>
      </c>
      <c r="AO164" s="3">
        <f>(AO165/(AO$5-AN$5))*-AO20</f>
        <v>0</v>
      </c>
      <c r="AP164" s="3">
        <f>(AP165/(AP$5-AO$5))*-AP20</f>
        <v>0</v>
      </c>
      <c r="AQ164" s="3">
        <f>AP164</f>
        <v>0</v>
      </c>
      <c r="AR164" s="3">
        <f>(AR165/(AR$5-AQ$5))*-AR20</f>
        <v>0</v>
      </c>
      <c r="AS164" s="3">
        <f>(AS165/(AS$5-AR$5))*-AS20</f>
        <v>0</v>
      </c>
      <c r="AT164" s="3">
        <f>(AT165/(AT$5-AS$5))*-AT20</f>
        <v>0</v>
      </c>
      <c r="AU164" s="3">
        <f>(AU165/(AU$5-AT$5))*-AU20</f>
        <v>0</v>
      </c>
      <c r="AV164" s="3">
        <f>AU164</f>
        <v>0</v>
      </c>
      <c r="AW164" s="3">
        <f>(AW165/(AW$5-AV$5))*-AW20</f>
        <v>0</v>
      </c>
      <c r="AX164" s="3">
        <f>(AX165/(AX$5-AW$5))*-AX20</f>
        <v>0</v>
      </c>
      <c r="AY164" s="3">
        <f>(AY165/(AY$5-AX$5))*-AY20</f>
        <v>0</v>
      </c>
      <c r="AZ164" s="3">
        <f>(AZ165/(AZ$5-AY$5))*-AZ20</f>
        <v>0</v>
      </c>
      <c r="BA164" s="3">
        <f>AZ164</f>
        <v>0</v>
      </c>
      <c r="BB164" s="3">
        <f>(BB165/(BB$5-BA$5))*-BB20</f>
        <v>0</v>
      </c>
      <c r="BC164" s="3">
        <f>(BC165/(BC$5-BB$5))*-BC20</f>
        <v>0</v>
      </c>
      <c r="BD164" s="3">
        <f>(BD165/(BD$5-BC$5))*-BD20</f>
        <v>0</v>
      </c>
      <c r="BE164" s="3">
        <f>(BE165/(BE$5-BD$5))*-BE20</f>
        <v>0</v>
      </c>
      <c r="BF164" s="3">
        <f>BE164</f>
        <v>0</v>
      </c>
      <c r="BG164" s="3">
        <f>(BG165/(BG$5-BF$5))*-BG20</f>
        <v>0</v>
      </c>
      <c r="BH164" s="3">
        <f>(BH165/(BH$5-BG$5))*-BH20</f>
        <v>0</v>
      </c>
      <c r="BI164" s="3">
        <f>(BI165/(BI$5-BH$5))*-BI20</f>
        <v>0</v>
      </c>
      <c r="BJ164" s="3">
        <f>(BJ165/(BJ$5-BI$5))*-BJ20</f>
        <v>0</v>
      </c>
      <c r="BK164" s="3">
        <f>BJ164</f>
        <v>0</v>
      </c>
      <c r="BL164" s="3">
        <f>(BL165/(BL$5-BK$5))*-BL20</f>
        <v>0</v>
      </c>
      <c r="BM164" s="3">
        <f>(BM165/(BM$5-BL$5))*-BM20</f>
        <v>0</v>
      </c>
      <c r="BN164" s="3">
        <f>(BN165/(BN$5-BM$5))*-BN20</f>
        <v>0</v>
      </c>
      <c r="BO164" s="3">
        <f>(BO165/(BO$5-BN$5))*-BO20</f>
        <v>0</v>
      </c>
      <c r="BP164" s="3">
        <f>BO164</f>
        <v>0</v>
      </c>
      <c r="BQ164" s="3">
        <f>(BQ165/(BQ$5-BP$5))*-BQ20</f>
        <v>0</v>
      </c>
      <c r="BR164" s="3">
        <f>(BR165/(BR$5-BQ$5))*-BR20</f>
        <v>0</v>
      </c>
      <c r="BS164" s="3">
        <f>(BS165/(BS$5-BR$5))*-BS20</f>
        <v>0</v>
      </c>
      <c r="BT164" s="3">
        <f>(BT165/(BT$5-BS$5))*-BT20</f>
        <v>0</v>
      </c>
      <c r="BU164" s="3">
        <f>BT164</f>
        <v>0</v>
      </c>
      <c r="BV164" s="3">
        <f>(BV165/(BV$5-BU$5))*-BV20</f>
        <v>0</v>
      </c>
      <c r="BW164" s="3">
        <f>(BW165/(BW$5-BV$5))*-BW20</f>
        <v>0</v>
      </c>
      <c r="BX164" s="3">
        <f>(BX165/(BX$5-BW$5))*-BX20</f>
        <v>0</v>
      </c>
      <c r="BY164" s="3">
        <f>(BY165/(BY$5-BX$5))*-BY20</f>
        <v>0</v>
      </c>
      <c r="BZ164" s="3">
        <f>BY164</f>
        <v>0</v>
      </c>
      <c r="CA164" s="3">
        <f>(CA165/(CA$5-BZ$5))*-CA20</f>
        <v>0</v>
      </c>
      <c r="CB164" s="3">
        <f>(CB165/(CB$5-CA$5))*-CB20</f>
        <v>0</v>
      </c>
      <c r="CC164" s="3">
        <f>(CC165/(CC$5-CB$5))*-CC20</f>
        <v>0</v>
      </c>
      <c r="CD164" s="3">
        <f>(CD165/(CD$5-CC$5))*-CD20</f>
        <v>0</v>
      </c>
      <c r="CE164" s="3">
        <f>CD164</f>
        <v>0</v>
      </c>
      <c r="CF164" s="3">
        <f>(CF165/(CF$5-CE$5))*-CF20</f>
        <v>0</v>
      </c>
      <c r="CG164" s="3">
        <f>(CG165/(CG$5-CF$5))*-CG20</f>
        <v>0</v>
      </c>
      <c r="CH164" s="3">
        <f>(CH165/(CH$5-CG$5))*-CH20</f>
        <v>0</v>
      </c>
      <c r="CI164" s="3">
        <f>(CI165/(CI$5-CH$5))*-CI20</f>
        <v>0</v>
      </c>
      <c r="CJ164" s="3">
        <f>CI164</f>
        <v>0</v>
      </c>
      <c r="CK164" s="3">
        <f>(CK165/(CK$5-CJ$5))*-CK20</f>
        <v>0</v>
      </c>
      <c r="CL164" s="3">
        <f>(CL165/(CL$5-CK$5))*-CL20</f>
        <v>0</v>
      </c>
      <c r="CM164" s="3">
        <f>(CM165/(CM$5-CL$5))*-CM20</f>
        <v>0</v>
      </c>
      <c r="CN164" s="3">
        <f>(CN165/(CN$5-CM$5))*-CN20</f>
        <v>0</v>
      </c>
      <c r="CO164" s="3">
        <f>CN164</f>
        <v>0</v>
      </c>
      <c r="CP164" s="3">
        <f>(CP165/(CP$5-CO$5))*-CP20</f>
        <v>0</v>
      </c>
      <c r="CQ164" s="3">
        <f>(CQ165/(CQ$5-CP$5))*-CQ20</f>
        <v>0</v>
      </c>
      <c r="CR164" s="3">
        <f>(CR165/(CR$5-CQ$5))*-CR20</f>
        <v>0</v>
      </c>
      <c r="CS164" s="3">
        <f>(CS165/(CS$5-CR$5))*-CS20</f>
        <v>0</v>
      </c>
      <c r="CT164" s="3">
        <f>CS164</f>
        <v>0</v>
      </c>
      <c r="CU164" s="3">
        <f>(CU165/(CU$5-CT$5))*-CU20</f>
        <v>0</v>
      </c>
      <c r="CV164" s="3">
        <f>(CV165/(CV$5-CU$5))*-CV20</f>
        <v>0</v>
      </c>
      <c r="CW164" s="3">
        <f>(CW165/(CW$5-CV$5))*-CW20</f>
        <v>0</v>
      </c>
      <c r="CX164" s="3">
        <f>(CX165/(CX$5-CW$5))*-CX20</f>
        <v>0</v>
      </c>
      <c r="CY164" s="3">
        <f>CX164</f>
        <v>0</v>
      </c>
    </row>
    <row r="165" hidden="1" outlineLevel="1">
      <c r="C165" s="34" t="inlineStr">
        <is>
          <t>DPO</t>
        </is>
      </c>
      <c r="D165" s="3" t="n"/>
      <c r="E165" s="3">
        <f>-(E164/E$20)*(E$5-D$5)</f>
        <v>51.0766813324953</v>
      </c>
      <c r="F165" s="3">
        <f>-(F164/F$20)*(F$5-E$5)</f>
        <v>57.1483578708947</v>
      </c>
      <c r="G165" s="3">
        <f>-(G164/G$20)*(G$5-F$5)</f>
        <v>57.2632719393283</v>
      </c>
      <c r="H165" s="3" t="n"/>
      <c r="I165" s="3">
        <f>-(I164/I$20)*(I$5-H$5)</f>
        <v>53.9468503937008</v>
      </c>
      <c r="J165" s="3">
        <f>-(J164/J$20)*(J$5-I$5)</f>
        <v>58.522687609075</v>
      </c>
      <c r="K165" s="3">
        <f>-(K164/K$20)*(K$5-J$5)</f>
        <v>61.9288025889968</v>
      </c>
      <c r="L165" s="3">
        <f>-(L164/L$20)*(L$5-K$5)</f>
        <v>62.0643208475218</v>
      </c>
      <c r="M165" s="3" t="n"/>
      <c r="N165" s="3">
        <f>-(N164/N$20)*(N$5-M$5)</f>
        <v>62.9716485824291</v>
      </c>
      <c r="O165" s="3">
        <f>-(O164/O$20)*(O$5-N$5)</f>
        <v>58.144893111639</v>
      </c>
      <c r="P165" s="3">
        <f>-(P164/P$20)*(P$5-O$5)</f>
        <v>49.8082788671024</v>
      </c>
      <c r="Q165" s="3">
        <f>-(Q164/Q$20)*(Q$5-P$5)</f>
        <v>49.4842200180343</v>
      </c>
      <c r="R165" s="3" t="n"/>
      <c r="S165" s="3">
        <f>-(S164/S$20)*(S$5-R$5)</f>
        <v>40.3655660377358</v>
      </c>
      <c r="T165" s="3">
        <f>-(T164/T$20)*(T$5-S$5)</f>
        <v>43.3965389369592</v>
      </c>
      <c r="U165" s="3">
        <f>-(U164/U$20)*(U$5-T$5)</f>
        <v>46.3898305084746</v>
      </c>
      <c r="V165" s="3">
        <f>-(V164/V$20)*(V$5-U$5)</f>
        <v>46.7447289156627</v>
      </c>
      <c r="W165" s="3" t="n"/>
      <c r="X165" s="3">
        <f>-(X164/X$20)*(X$5-W$5)</f>
        <v>43.8213905640298</v>
      </c>
      <c r="Y165" s="3">
        <f>-(Y164/Y$20)*(Y$5-X$5)</f>
        <v>44.8540048218591</v>
      </c>
      <c r="Z165" s="3">
        <f>-(Z164/Z$20)*(Z$5-Y$5)</f>
        <v>55.1732018821421</v>
      </c>
      <c r="AA165" s="3">
        <f>-(AA164/AA$20)*(AA$5-Z$5)</f>
        <v>54.7195777170327</v>
      </c>
      <c r="AB165" s="3" t="n"/>
      <c r="AC165" s="3">
        <f>-(AC164/AC$20)*(AC$5-AB$5)</f>
        <v>37.9320455329424</v>
      </c>
      <c r="AD165" s="3">
        <f>-(AD164/AD$20)*(AD$5-AC$5)</f>
        <v>63.9894491854151</v>
      </c>
      <c r="AE165" s="3">
        <f>-(AE164/AE$20)*(AE$5-AD$5)</f>
        <v>52.3459787556904</v>
      </c>
      <c r="AF165" s="6">
        <f>-(AF164/AF$20)*(AF$5-AE$5)</f>
        <v>52.9942468005166</v>
      </c>
      <c r="AG165" s="3" t="n"/>
      <c r="AH165" s="6" t="n"/>
      <c r="AI165" s="6" t="n"/>
      <c r="AJ165" s="6" t="n"/>
      <c r="AK165" s="6" t="n"/>
      <c r="AL165" s="3" t="n"/>
      <c r="AM165" s="6" t="n"/>
      <c r="AN165" s="6" t="n"/>
      <c r="AO165" s="6" t="n"/>
      <c r="AP165" s="6" t="n"/>
      <c r="AQ165" s="3" t="n"/>
      <c r="AR165" s="6" t="n"/>
      <c r="AS165" s="6" t="n"/>
      <c r="AT165" s="6" t="n"/>
      <c r="AU165" s="6" t="n"/>
      <c r="AV165" s="3" t="n"/>
      <c r="AW165" s="6" t="n"/>
      <c r="AX165" s="6" t="n"/>
      <c r="AY165" s="6" t="n"/>
      <c r="AZ165" s="6" t="n"/>
      <c r="BA165" s="3" t="n"/>
      <c r="BB165" s="6" t="n"/>
      <c r="BC165" s="6" t="n"/>
      <c r="BD165" s="6" t="n"/>
      <c r="BE165" s="6" t="n"/>
      <c r="BF165" s="3" t="n"/>
      <c r="BG165" s="6" t="n"/>
      <c r="BH165" s="6" t="n"/>
      <c r="BI165" s="6" t="n"/>
      <c r="BJ165" s="6" t="n"/>
      <c r="BK165" s="3" t="n"/>
      <c r="BL165" s="6" t="n"/>
      <c r="BM165" s="6" t="n"/>
      <c r="BN165" s="6" t="n"/>
      <c r="BO165" s="6" t="n"/>
      <c r="BP165" s="3" t="n"/>
      <c r="BQ165" s="6" t="n"/>
      <c r="BR165" s="6" t="n"/>
      <c r="BS165" s="6" t="n"/>
      <c r="BT165" s="6" t="n"/>
      <c r="BU165" s="3" t="n"/>
      <c r="BV165" s="6" t="n"/>
      <c r="BW165" s="6" t="n"/>
      <c r="BX165" s="6" t="n"/>
      <c r="BY165" s="6" t="n"/>
      <c r="BZ165" s="3" t="n"/>
      <c r="CA165" s="6" t="n"/>
      <c r="CB165" s="6" t="n"/>
      <c r="CC165" s="6" t="n"/>
      <c r="CD165" s="6" t="n"/>
      <c r="CE165" s="3" t="n"/>
      <c r="CF165" s="6" t="n"/>
      <c r="CG165" s="6" t="n"/>
      <c r="CH165" s="6" t="n"/>
      <c r="CI165" s="6" t="n"/>
      <c r="CJ165" s="3" t="n"/>
      <c r="CK165" s="6" t="n"/>
      <c r="CL165" s="6" t="n"/>
      <c r="CM165" s="6" t="n"/>
      <c r="CN165" s="6" t="n"/>
      <c r="CO165" s="3" t="n"/>
      <c r="CP165" s="6" t="n"/>
      <c r="CQ165" s="6" t="n"/>
      <c r="CR165" s="6" t="n"/>
      <c r="CS165" s="6" t="n"/>
      <c r="CT165" s="3" t="n"/>
      <c r="CU165" s="6" t="n"/>
      <c r="CV165" s="6" t="n"/>
      <c r="CW165" s="6" t="n"/>
      <c r="CX165" s="6" t="n"/>
      <c r="CY165" s="3" t="n"/>
    </row>
    <row r="166" hidden="1" outlineLevel="1">
      <c r="C166" s="34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  <c r="CU166" s="3" t="n"/>
      <c r="CV166" s="3" t="n"/>
      <c r="CW166" s="3" t="n"/>
      <c r="CX166" s="3" t="n"/>
      <c r="CY166" s="3" t="n"/>
    </row>
    <row r="167" hidden="1" outlineLevel="1">
      <c r="C167" s="34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  <c r="CT167" s="3" t="n"/>
      <c r="CU167" s="3" t="n"/>
      <c r="CV167" s="3" t="n"/>
      <c r="CW167" s="3" t="n"/>
      <c r="CX167" s="3" t="n"/>
      <c r="CY167" s="3" t="n"/>
    </row>
    <row r="168" collapsed="1">
      <c r="C168" s="26" t="inlineStr">
        <is>
          <t>Accrued expenses</t>
        </is>
      </c>
      <c r="D168" s="25">
        <f>INDEX('Inputs (2)'!$D$29:$AL$29,MATCH(D$7,'Inputs (2)'!$D$2:$AL$2,0))</f>
        <v>968</v>
      </c>
      <c r="E168" s="25">
        <f>INDEX('Inputs (2)'!$D$29:$AL$29,MATCH(E$7,'Inputs (2)'!$D$2:$AL$2,0))</f>
        <v>1341</v>
      </c>
      <c r="F168" s="25">
        <f>INDEX('Inputs (2)'!$D$29:$AL$29,MATCH(F$7,'Inputs (2)'!$D$2:$AL$2,0))</f>
        <v>1388</v>
      </c>
      <c r="G168" s="25">
        <f>INDEX('Inputs (2)'!$D$29:$AL$29,MATCH(G$7,'Inputs (2)'!$D$2:$AL$2,0))</f>
        <v>1595</v>
      </c>
      <c r="H168" s="3">
        <f>G168</f>
        <v>1595</v>
      </c>
      <c r="I168" s="25">
        <f>INDEX('Inputs (2)'!$D$29:$AL$29,MATCH(I$7,'Inputs (2)'!$D$2:$AL$2,0))</f>
        <v>1556</v>
      </c>
      <c r="J168" s="25">
        <f>INDEX('Inputs (2)'!$D$29:$AL$29,MATCH(J$7,'Inputs (2)'!$D$2:$AL$2,0))</f>
        <v>1778</v>
      </c>
      <c r="K168" s="25">
        <f>INDEX('Inputs (2)'!$D$29:$AL$29,MATCH(K$7,'Inputs (2)'!$D$2:$AL$2,0))</f>
        <v>1772</v>
      </c>
      <c r="L168" s="25">
        <f>INDEX('Inputs (2)'!$D$29:$AL$29,MATCH(L$7,'Inputs (2)'!$D$2:$AL$2,0))</f>
        <v>2276</v>
      </c>
      <c r="M168" s="3">
        <f>L168</f>
        <v>2276</v>
      </c>
      <c r="N168" s="25">
        <f>INDEX('Inputs (2)'!$D$29:$AL$29,MATCH(N$7,'Inputs (2)'!$D$2:$AL$2,0))</f>
        <v>2680</v>
      </c>
      <c r="O168" s="25">
        <f>INDEX('Inputs (2)'!$D$29:$AL$29,MATCH(O$7,'Inputs (2)'!$D$2:$AL$2,0))</f>
        <v>3600</v>
      </c>
      <c r="P168" s="25">
        <f>INDEX('Inputs (2)'!$D$29:$AL$29,MATCH(P$7,'Inputs (2)'!$D$2:$AL$2,0))</f>
        <v>3851</v>
      </c>
      <c r="Q168" s="25">
        <f>INDEX('Inputs (2)'!$D$29:$AL$29,MATCH(Q$7,'Inputs (2)'!$D$2:$AL$2,0))</f>
        <v>3477</v>
      </c>
      <c r="R168" s="3">
        <f>Q168</f>
        <v>3477</v>
      </c>
      <c r="S168" s="25">
        <f>INDEX('Inputs (2)'!$D$29:$AL$29,MATCH(S$7,'Inputs (2)'!$D$2:$AL$2,0))</f>
        <v>3138</v>
      </c>
      <c r="T168" s="25">
        <f>INDEX('Inputs (2)'!$D$29:$AL$29,MATCH(T$7,'Inputs (2)'!$D$2:$AL$2,0))</f>
        <v>4145</v>
      </c>
      <c r="U168" s="25">
        <f>INDEX('Inputs (2)'!$D$29:$AL$29,MATCH(U$7,'Inputs (2)'!$D$2:$AL$2,0))</f>
        <v>4822</v>
      </c>
      <c r="V168" s="25">
        <f>INDEX('Inputs (2)'!$D$29:$AL$29,MATCH(V$7,'Inputs (2)'!$D$2:$AL$2,0))</f>
        <v>6158</v>
      </c>
      <c r="W168" s="3">
        <f>V168</f>
        <v>6158</v>
      </c>
      <c r="X168" s="25">
        <f>INDEX('Inputs (2)'!$D$29:$AL$29,MATCH(X$7,'Inputs (2)'!$D$2:$AL$2,0))</f>
        <v>7131</v>
      </c>
      <c r="Y168" s="25">
        <f>INDEX('Inputs (2)'!$D$29:$AL$29,MATCH(Y$7,'Inputs (2)'!$D$2:$AL$2,0))</f>
        <v>8866</v>
      </c>
      <c r="Z168" s="25">
        <f>INDEX('Inputs (2)'!$D$29:$AL$29,MATCH(Z$7,'Inputs (2)'!$D$2:$AL$2,0))</f>
        <v>9497</v>
      </c>
      <c r="AA168" s="25">
        <f>INDEX('Inputs (2)'!$D$29:$AL$29,MATCH(AA$7,'Inputs (2)'!$D$2:$AL$2,0))</f>
        <v>10568</v>
      </c>
      <c r="AB168" s="3">
        <f>AA168</f>
        <v>10568</v>
      </c>
      <c r="AC168" s="25">
        <f>INDEX('Inputs (2)'!$D$29:$AL$29,MATCH(AC$7,'Inputs (2)'!$D$2:$AL$2,0))</f>
        <v>13239</v>
      </c>
      <c r="AD168" s="25">
        <f>INDEX('Inputs (2)'!$D$29:$AL$29,MATCH(AD$7,'Inputs (2)'!$D$2:$AL$2,0))</f>
        <v>12982</v>
      </c>
      <c r="AE168" s="25">
        <f>INDEX('Inputs (2)'!$D$29:$AL$29,MATCH(AE$7,'Inputs (2)'!$D$2:$AL$2,0))</f>
        <v>13196</v>
      </c>
      <c r="AF168" s="25">
        <f>INDEX('Inputs (2)'!$D$29:$AL$29,MATCH(AF$7,'Inputs (2)'!$D$2:$AL$2,0))</f>
        <v>18311</v>
      </c>
      <c r="AG168" s="3">
        <f>AF168</f>
        <v>18311</v>
      </c>
      <c r="AH168" s="3">
        <f>AF168*AH24/AF24</f>
        <v>0</v>
      </c>
      <c r="AI168" s="3">
        <f>AG168*AI24/AG24</f>
        <v>0</v>
      </c>
      <c r="AJ168" s="3" t="e">
        <f>AH168*AJ24/AH24</f>
        <v>#DIV/0!</v>
      </c>
      <c r="AK168" s="3" t="e">
        <f>AI168*AK24/AI24</f>
        <v>#DIV/0!</v>
      </c>
      <c r="AL168" s="3" t="e">
        <f>AK168</f>
        <v>#DIV/0!</v>
      </c>
      <c r="AM168" s="3" t="e">
        <f>AK168*AM24/AK24</f>
        <v>#DIV/0!</v>
      </c>
      <c r="AN168" s="3" t="e">
        <f>AL168*AN24/AL24</f>
        <v>#DIV/0!</v>
      </c>
      <c r="AO168" s="3" t="e">
        <f>AM168*AO24/AM24</f>
        <v>#DIV/0!</v>
      </c>
      <c r="AP168" s="3" t="e">
        <f>AN168*AP24/AN24</f>
        <v>#DIV/0!</v>
      </c>
      <c r="AQ168" s="3" t="e">
        <f>AP168</f>
        <v>#DIV/0!</v>
      </c>
      <c r="AR168" s="3" t="e">
        <f>AP168*AR24/AP24</f>
        <v>#DIV/0!</v>
      </c>
      <c r="AS168" s="3" t="e">
        <f>AQ168*AS24/AQ24</f>
        <v>#DIV/0!</v>
      </c>
      <c r="AT168" s="3" t="e">
        <f>AR168*AT24/AR24</f>
        <v>#DIV/0!</v>
      </c>
      <c r="AU168" s="3" t="e">
        <f>AS168*AU24/AS24</f>
        <v>#DIV/0!</v>
      </c>
      <c r="AV168" s="3" t="e">
        <f>AU168</f>
        <v>#DIV/0!</v>
      </c>
      <c r="AW168" s="3" t="e">
        <f>AU168*AW24/AU24</f>
        <v>#DIV/0!</v>
      </c>
      <c r="AX168" s="3" t="e">
        <f>AV168*AX24/AV24</f>
        <v>#DIV/0!</v>
      </c>
      <c r="AY168" s="3" t="e">
        <f>AW168*AY24/AW24</f>
        <v>#DIV/0!</v>
      </c>
      <c r="AZ168" s="3" t="e">
        <f>AX168*AZ24/AX24</f>
        <v>#DIV/0!</v>
      </c>
      <c r="BA168" s="3" t="e">
        <f>AZ168</f>
        <v>#DIV/0!</v>
      </c>
      <c r="BB168" s="3" t="e">
        <f>AZ168*BB24/AZ24</f>
        <v>#DIV/0!</v>
      </c>
      <c r="BC168" s="3" t="e">
        <f>BA168*BC24/BA24</f>
        <v>#DIV/0!</v>
      </c>
      <c r="BD168" s="3" t="e">
        <f>BB168*BD24/BB24</f>
        <v>#DIV/0!</v>
      </c>
      <c r="BE168" s="3" t="e">
        <f>BC168*BE24/BC24</f>
        <v>#DIV/0!</v>
      </c>
      <c r="BF168" s="3" t="e">
        <f>BE168</f>
        <v>#DIV/0!</v>
      </c>
      <c r="BG168" s="3" t="e">
        <f>BE168*BG24/BE24</f>
        <v>#DIV/0!</v>
      </c>
      <c r="BH168" s="3" t="e">
        <f>BF168*BH24/BF24</f>
        <v>#DIV/0!</v>
      </c>
      <c r="BI168" s="3" t="e">
        <f>BG168*BI24/BG24</f>
        <v>#DIV/0!</v>
      </c>
      <c r="BJ168" s="3" t="e">
        <f>BH168*BJ24/BH24</f>
        <v>#DIV/0!</v>
      </c>
      <c r="BK168" s="3" t="e">
        <f>BJ168</f>
        <v>#DIV/0!</v>
      </c>
      <c r="BL168" s="3" t="e">
        <f>BJ168*BL24/BJ24</f>
        <v>#DIV/0!</v>
      </c>
      <c r="BM168" s="3" t="e">
        <f>BK168*BM24/BK24</f>
        <v>#DIV/0!</v>
      </c>
      <c r="BN168" s="3" t="e">
        <f>BL168*BN24/BL24</f>
        <v>#DIV/0!</v>
      </c>
      <c r="BO168" s="3" t="e">
        <f>BM168*BO24/BM24</f>
        <v>#DIV/0!</v>
      </c>
      <c r="BP168" s="3" t="e">
        <f>BO168</f>
        <v>#DIV/0!</v>
      </c>
      <c r="BQ168" s="3" t="e">
        <f>BO168*BQ24/BO24</f>
        <v>#DIV/0!</v>
      </c>
      <c r="BR168" s="3" t="e">
        <f>BP168*BR24/BP24</f>
        <v>#DIV/0!</v>
      </c>
      <c r="BS168" s="3" t="e">
        <f>BQ168*BS24/BQ24</f>
        <v>#DIV/0!</v>
      </c>
      <c r="BT168" s="3" t="e">
        <f>BR168*BT24/BR24</f>
        <v>#DIV/0!</v>
      </c>
      <c r="BU168" s="3" t="e">
        <f>BT168</f>
        <v>#DIV/0!</v>
      </c>
      <c r="BV168" s="3" t="e">
        <f>BT168*BV24/BT24</f>
        <v>#DIV/0!</v>
      </c>
      <c r="BW168" s="3" t="e">
        <f>BU168*BW24/BU24</f>
        <v>#DIV/0!</v>
      </c>
      <c r="BX168" s="3" t="e">
        <f>BV168*BX24/BV24</f>
        <v>#DIV/0!</v>
      </c>
      <c r="BY168" s="3" t="e">
        <f>BW168*BY24/BW24</f>
        <v>#DIV/0!</v>
      </c>
      <c r="BZ168" s="3" t="e">
        <f>BY168</f>
        <v>#DIV/0!</v>
      </c>
      <c r="CA168" s="3" t="e">
        <f>BY168*CA24/BY24</f>
        <v>#DIV/0!</v>
      </c>
      <c r="CB168" s="3" t="e">
        <f>BZ168*CB24/BZ24</f>
        <v>#DIV/0!</v>
      </c>
      <c r="CC168" s="3" t="e">
        <f>CA168*CC24/CA24</f>
        <v>#DIV/0!</v>
      </c>
      <c r="CD168" s="3" t="e">
        <f>CB168*CD24/CB24</f>
        <v>#DIV/0!</v>
      </c>
      <c r="CE168" s="3" t="e">
        <f>CD168</f>
        <v>#DIV/0!</v>
      </c>
      <c r="CF168" s="3" t="e">
        <f>CD168*CF24/CD24</f>
        <v>#DIV/0!</v>
      </c>
      <c r="CG168" s="3" t="e">
        <f>CE168*CG24/CE24</f>
        <v>#DIV/0!</v>
      </c>
      <c r="CH168" s="3" t="e">
        <f>CF168*CH24/CF24</f>
        <v>#DIV/0!</v>
      </c>
      <c r="CI168" s="3" t="e">
        <f>CG168*CI24/CG24</f>
        <v>#DIV/0!</v>
      </c>
      <c r="CJ168" s="3" t="e">
        <f>CI168</f>
        <v>#DIV/0!</v>
      </c>
      <c r="CK168" s="3" t="e">
        <f>CI168*CK24/CI24</f>
        <v>#DIV/0!</v>
      </c>
      <c r="CL168" s="3" t="e">
        <f>CJ168*CL24/CJ24</f>
        <v>#DIV/0!</v>
      </c>
      <c r="CM168" s="3" t="e">
        <f>CK168*CM24/CK24</f>
        <v>#DIV/0!</v>
      </c>
      <c r="CN168" s="3" t="e">
        <f>CL168*CN24/CL24</f>
        <v>#DIV/0!</v>
      </c>
      <c r="CO168" s="3" t="e">
        <f>CN168</f>
        <v>#DIV/0!</v>
      </c>
      <c r="CP168" s="3" t="e">
        <f>CN168*CP24/CN24</f>
        <v>#DIV/0!</v>
      </c>
      <c r="CQ168" s="3" t="e">
        <f>CO168*CQ24/CO24</f>
        <v>#DIV/0!</v>
      </c>
      <c r="CR168" s="3" t="e">
        <f>CP168*CR24/CP24</f>
        <v>#DIV/0!</v>
      </c>
      <c r="CS168" s="3" t="e">
        <f>CQ168*CS24/CQ24</f>
        <v>#DIV/0!</v>
      </c>
      <c r="CT168" s="3" t="e">
        <f>CS168</f>
        <v>#DIV/0!</v>
      </c>
      <c r="CU168" s="3" t="e">
        <f>CS168*CU24/CS24</f>
        <v>#DIV/0!</v>
      </c>
      <c r="CV168" s="3" t="e">
        <f>CT168*CV24/CT24</f>
        <v>#DIV/0!</v>
      </c>
      <c r="CW168" s="3" t="e">
        <f>CU168*CW24/CU24</f>
        <v>#DIV/0!</v>
      </c>
      <c r="CX168" s="3" t="e">
        <f>CV168*CX24/CV24</f>
        <v>#DIV/0!</v>
      </c>
      <c r="CY168" s="3" t="e">
        <f>CX168</f>
        <v>#DIV/0!</v>
      </c>
    </row>
    <row r="169" hidden="1" outlineLevel="1">
      <c r="C169" s="38" t="inlineStr">
        <is>
          <t>%(Var.)</t>
        </is>
      </c>
      <c r="D169" s="3" t="n"/>
      <c r="E169" s="47">
        <f>(E168-D168)/D168</f>
        <v>0.385330578512397</v>
      </c>
      <c r="F169" s="47">
        <f>(F168-E168)/E168</f>
        <v>0.035048471290082</v>
      </c>
      <c r="G169" s="47">
        <f>(G168-F168)/F168</f>
        <v>0.149135446685879</v>
      </c>
      <c r="H169" s="3" t="n"/>
      <c r="I169" s="47">
        <f>(I168-H168)/H168</f>
        <v>-0.0244514106583072</v>
      </c>
      <c r="J169" s="47">
        <f>(J168-I168)/I168</f>
        <v>0.1426735218509</v>
      </c>
      <c r="K169" s="47">
        <f>(K168-J168)/J168</f>
        <v>-0.00337457817772778</v>
      </c>
      <c r="L169" s="47">
        <f>(L168-K168)/K168</f>
        <v>0.284424379232506</v>
      </c>
      <c r="M169" s="3" t="n"/>
      <c r="N169" s="47">
        <f>(N168-M168)/M168</f>
        <v>0.177504393673111</v>
      </c>
      <c r="O169" s="47">
        <f>(O168-N168)/N168</f>
        <v>0.343283582089552</v>
      </c>
      <c r="P169" s="47">
        <f>(P168-O168)/O168</f>
        <v>0.0697222222222222</v>
      </c>
      <c r="Q169" s="47">
        <f>(Q168-P168)/P168</f>
        <v>-0.0971176317839522</v>
      </c>
      <c r="R169" s="3" t="n"/>
      <c r="S169" s="47">
        <f>(S168-R168)/R168</f>
        <v>-0.0974978429680759</v>
      </c>
      <c r="T169" s="47">
        <f>(T168-S168)/S168</f>
        <v>0.320905035054175</v>
      </c>
      <c r="U169" s="47">
        <f>(U168-T168)/T168</f>
        <v>0.163329312424608</v>
      </c>
      <c r="V169" s="47">
        <f>(V168-U168)/U168</f>
        <v>0.277063459145583</v>
      </c>
      <c r="W169" s="3" t="n"/>
      <c r="X169" s="47">
        <f>(X168-W168)/W168</f>
        <v>0.158005846053914</v>
      </c>
      <c r="Y169" s="47">
        <f>(Y168-X168)/X168</f>
        <v>0.243303884448184</v>
      </c>
      <c r="Z169" s="47">
        <f>(Z168-Y168)/Y168</f>
        <v>0.0711707647191518</v>
      </c>
      <c r="AA169" s="47">
        <f>(AA168-Z168)/Z168</f>
        <v>0.112772454459303</v>
      </c>
      <c r="AB169" s="3" t="n"/>
      <c r="AC169" s="47">
        <f>(AC168-AB168)/AB168</f>
        <v>0.2527441332324</v>
      </c>
      <c r="AD169" s="47">
        <f>(AD168-AC168)/AC168</f>
        <v>-0.0194123423219276</v>
      </c>
      <c r="AE169" s="47">
        <f>(AE168-AD168)/AD168</f>
        <v>0.0164843629641041</v>
      </c>
      <c r="AF169" s="218">
        <f>(AF168-AE168)/AE168</f>
        <v>0.387617459836314</v>
      </c>
      <c r="AG169" s="3" t="n"/>
      <c r="AH169" s="218" t="n"/>
      <c r="AI169" s="218" t="n"/>
      <c r="AJ169" s="218" t="n"/>
      <c r="AK169" s="218" t="n"/>
      <c r="AL169" s="3" t="n"/>
      <c r="AM169" s="218" t="n"/>
      <c r="AN169" s="218" t="n"/>
      <c r="AO169" s="218" t="n"/>
      <c r="AP169" s="218" t="n"/>
      <c r="AQ169" s="3" t="n"/>
      <c r="AR169" s="218" t="n"/>
      <c r="AS169" s="218" t="n"/>
      <c r="AT169" s="218" t="n"/>
      <c r="AU169" s="218" t="n"/>
      <c r="AV169" s="3" t="n"/>
      <c r="AW169" s="218" t="n"/>
      <c r="AX169" s="218" t="n"/>
      <c r="AY169" s="218" t="n"/>
      <c r="AZ169" s="218" t="n"/>
      <c r="BA169" s="3" t="n"/>
      <c r="BB169" s="218" t="n"/>
      <c r="BC169" s="218" t="n"/>
      <c r="BD169" s="218" t="n"/>
      <c r="BE169" s="218" t="n"/>
      <c r="BF169" s="3" t="n"/>
      <c r="BG169" s="218" t="n"/>
      <c r="BH169" s="218" t="n"/>
      <c r="BI169" s="218" t="n"/>
      <c r="BJ169" s="218" t="n"/>
      <c r="BK169" s="3" t="n"/>
      <c r="BL169" s="218" t="n"/>
      <c r="BM169" s="218" t="n"/>
      <c r="BN169" s="218" t="n"/>
      <c r="BO169" s="218" t="n"/>
      <c r="BP169" s="3" t="n"/>
      <c r="BQ169" s="218" t="n"/>
      <c r="BR169" s="218" t="n"/>
      <c r="BS169" s="218" t="n"/>
      <c r="BT169" s="218" t="n"/>
      <c r="BU169" s="3" t="n"/>
      <c r="BV169" s="218" t="n"/>
      <c r="BW169" s="218" t="n"/>
      <c r="BX169" s="218" t="n"/>
      <c r="BY169" s="218" t="n"/>
      <c r="BZ169" s="3" t="n"/>
      <c r="CA169" s="218" t="n"/>
      <c r="CB169" s="218" t="n"/>
      <c r="CC169" s="218" t="n"/>
      <c r="CD169" s="218" t="n"/>
      <c r="CE169" s="3" t="n"/>
      <c r="CF169" s="218" t="n"/>
      <c r="CG169" s="218" t="n"/>
      <c r="CH169" s="218" t="n"/>
      <c r="CI169" s="218" t="n"/>
      <c r="CJ169" s="3" t="n"/>
      <c r="CK169" s="218" t="n"/>
      <c r="CL169" s="218" t="n"/>
      <c r="CM169" s="218" t="n"/>
      <c r="CN169" s="218" t="n"/>
      <c r="CO169" s="3" t="n"/>
      <c r="CP169" s="218" t="n"/>
      <c r="CQ169" s="218" t="n"/>
      <c r="CR169" s="218" t="n"/>
      <c r="CS169" s="218" t="n"/>
      <c r="CT169" s="3" t="n"/>
      <c r="CU169" s="218" t="n"/>
      <c r="CV169" s="218" t="n"/>
      <c r="CW169" s="218" t="n"/>
      <c r="CX169" s="218" t="n"/>
      <c r="CY169" s="3" t="n"/>
    </row>
    <row r="170" collapsed="1">
      <c r="C170" s="26" t="inlineStr">
        <is>
          <t>Taxes payable</t>
        </is>
      </c>
      <c r="D170" s="25">
        <f>INDEX('Inputs (2)'!$D$30:$AL$30,MATCH(D$7,'Inputs (2)'!$D$2:$AL$2,0))</f>
        <v>74</v>
      </c>
      <c r="E170" s="25">
        <f>INDEX('Inputs (2)'!$D$30:$AL$30,MATCH(E$7,'Inputs (2)'!$D$2:$AL$2,0))</f>
        <v>52</v>
      </c>
      <c r="F170" s="25">
        <f>INDEX('Inputs (2)'!$D$30:$AL$30,MATCH(F$7,'Inputs (2)'!$D$2:$AL$2,0))</f>
        <v>70</v>
      </c>
      <c r="G170" s="25">
        <f>INDEX('Inputs (2)'!$D$30:$AL$30,MATCH(G$7,'Inputs (2)'!$D$2:$AL$2,0))</f>
        <v>61</v>
      </c>
      <c r="H170" s="3">
        <f>G170</f>
        <v>61</v>
      </c>
      <c r="I170" s="25">
        <f>INDEX('Inputs (2)'!$D$30:$AL$30,MATCH(I$7,'Inputs (2)'!$D$2:$AL$2,0))</f>
        <v>96</v>
      </c>
      <c r="J170" s="25">
        <f>INDEX('Inputs (2)'!$D$30:$AL$30,MATCH(J$7,'Inputs (2)'!$D$2:$AL$2,0))</f>
        <v>64</v>
      </c>
      <c r="K170" s="25">
        <f>INDEX('Inputs (2)'!$D$30:$AL$30,MATCH(K$7,'Inputs (2)'!$D$2:$AL$2,0))</f>
        <v>36</v>
      </c>
      <c r="L170" s="25">
        <f>INDEX('Inputs (2)'!$D$30:$AL$30,MATCH(L$7,'Inputs (2)'!$D$2:$AL$2,0))</f>
        <v>132</v>
      </c>
      <c r="M170" s="3">
        <f>L170</f>
        <v>132</v>
      </c>
      <c r="N170" s="25">
        <f>INDEX('Inputs (2)'!$D$30:$AL$30,MATCH(N$7,'Inputs (2)'!$D$2:$AL$2,0))</f>
        <v>736</v>
      </c>
      <c r="O170" s="25">
        <f>INDEX('Inputs (2)'!$D$30:$AL$30,MATCH(O$7,'Inputs (2)'!$D$2:$AL$2,0))</f>
        <v>158</v>
      </c>
      <c r="P170" s="25">
        <f>INDEX('Inputs (2)'!$D$30:$AL$30,MATCH(P$7,'Inputs (2)'!$D$2:$AL$2,0))</f>
        <v>108</v>
      </c>
      <c r="Q170" s="25">
        <f>INDEX('Inputs (2)'!$D$30:$AL$30,MATCH(Q$7,'Inputs (2)'!$D$2:$AL$2,0))</f>
        <v>467</v>
      </c>
      <c r="R170" s="3">
        <f>Q170</f>
        <v>467</v>
      </c>
      <c r="S170" s="25">
        <f>INDEX('Inputs (2)'!$D$30:$AL$30,MATCH(S$7,'Inputs (2)'!$D$2:$AL$2,0))</f>
        <v>1544</v>
      </c>
      <c r="T170" s="25">
        <f>INDEX('Inputs (2)'!$D$30:$AL$30,MATCH(T$7,'Inputs (2)'!$D$2:$AL$2,0))</f>
        <v>2803</v>
      </c>
      <c r="U170" s="25">
        <f>INDEX('Inputs (2)'!$D$30:$AL$30,MATCH(U$7,'Inputs (2)'!$D$2:$AL$2,0))</f>
        <v>420</v>
      </c>
      <c r="V170" s="25">
        <f>INDEX('Inputs (2)'!$D$30:$AL$30,MATCH(V$7,'Inputs (2)'!$D$2:$AL$2,0))</f>
        <v>296</v>
      </c>
      <c r="W170" s="3">
        <f>V170</f>
        <v>296</v>
      </c>
      <c r="X170" s="25">
        <f>INDEX('Inputs (2)'!$D$30:$AL$30,MATCH(X$7,'Inputs (2)'!$D$2:$AL$2,0))</f>
        <v>3881</v>
      </c>
      <c r="Y170" s="25">
        <f>INDEX('Inputs (2)'!$D$30:$AL$30,MATCH(Y$7,'Inputs (2)'!$D$2:$AL$2,0))</f>
        <v>1173</v>
      </c>
      <c r="Z170" s="25">
        <f>INDEX('Inputs (2)'!$D$30:$AL$30,MATCH(Z$7,'Inputs (2)'!$D$2:$AL$2,0))</f>
        <v>1356</v>
      </c>
      <c r="AA170" s="25">
        <f>INDEX('Inputs (2)'!$D$30:$AL$30,MATCH(AA$7,'Inputs (2)'!$D$2:$AL$2,0))</f>
        <v>881</v>
      </c>
      <c r="AB170" s="3">
        <f>AA170</f>
        <v>881</v>
      </c>
      <c r="AC170" s="25">
        <f>INDEX('Inputs (2)'!$D$30:$AL$30,MATCH(AC$7,'Inputs (2)'!$D$2:$AL$2,0))</f>
        <v>5672</v>
      </c>
      <c r="AD170" s="25">
        <f>INDEX('Inputs (2)'!$D$30:$AL$30,MATCH(AD$7,'Inputs (2)'!$D$2:$AL$2,0))</f>
        <v>1910</v>
      </c>
      <c r="AE170" s="25">
        <f>INDEX('Inputs (2)'!$D$30:$AL$30,MATCH(AE$7,'Inputs (2)'!$D$2:$AL$2,0))</f>
        <v>2915</v>
      </c>
      <c r="AF170" s="25">
        <f>INDEX('Inputs (2)'!$D$30:$AL$30,MATCH(AF$7,'Inputs (2)'!$D$2:$AL$2,0))</f>
        <v>2669</v>
      </c>
      <c r="AG170" s="3">
        <f>AF170</f>
        <v>2669</v>
      </c>
      <c r="AH170" s="3">
        <f>AF170*AH97/AF97</f>
        <v>0</v>
      </c>
      <c r="AI170" s="3">
        <f>AG170*AI97/AG97</f>
        <v>0</v>
      </c>
      <c r="AJ170" s="3" t="e">
        <f>AH170*AJ97/AH97</f>
        <v>#DIV/0!</v>
      </c>
      <c r="AK170" s="3" t="e">
        <f>AI170*AK97/AI97</f>
        <v>#DIV/0!</v>
      </c>
      <c r="AL170" s="3" t="e">
        <f>AK170</f>
        <v>#DIV/0!</v>
      </c>
      <c r="AM170" s="3" t="e">
        <f>AK170*AM97/AK97</f>
        <v>#DIV/0!</v>
      </c>
      <c r="AN170" s="3" t="e">
        <f>AL170*AN97/AL97</f>
        <v>#DIV/0!</v>
      </c>
      <c r="AO170" s="3" t="e">
        <f>AM170*AO97/AM97</f>
        <v>#DIV/0!</v>
      </c>
      <c r="AP170" s="3" t="e">
        <f>AN170*AP97/AN97</f>
        <v>#DIV/0!</v>
      </c>
      <c r="AQ170" s="3" t="e">
        <f>AP170</f>
        <v>#DIV/0!</v>
      </c>
      <c r="AR170" s="3" t="e">
        <f>AP170*AR97/AP97</f>
        <v>#DIV/0!</v>
      </c>
      <c r="AS170" s="3" t="e">
        <f>AQ170*AS97/AQ97</f>
        <v>#DIV/0!</v>
      </c>
      <c r="AT170" s="3" t="e">
        <f>AR170*AT97/AR97</f>
        <v>#DIV/0!</v>
      </c>
      <c r="AU170" s="3" t="e">
        <f>AS170*AU97/AS97</f>
        <v>#DIV/0!</v>
      </c>
      <c r="AV170" s="3" t="e">
        <f>AU170</f>
        <v>#DIV/0!</v>
      </c>
      <c r="AW170" s="3" t="e">
        <f>AU170*AW97/AU97</f>
        <v>#DIV/0!</v>
      </c>
      <c r="AX170" s="3" t="e">
        <f>AV170*AX97/AV97</f>
        <v>#DIV/0!</v>
      </c>
      <c r="AY170" s="3" t="e">
        <f>AW170*AY97/AW97</f>
        <v>#DIV/0!</v>
      </c>
      <c r="AZ170" s="3" t="e">
        <f>AX170*AZ97/AX97</f>
        <v>#DIV/0!</v>
      </c>
      <c r="BA170" s="3" t="e">
        <f>AZ170</f>
        <v>#DIV/0!</v>
      </c>
      <c r="BB170" s="3" t="e">
        <f>AZ170*BB97/AZ97</f>
        <v>#DIV/0!</v>
      </c>
      <c r="BC170" s="3" t="e">
        <f>BA170*BC97/BA97</f>
        <v>#DIV/0!</v>
      </c>
      <c r="BD170" s="3" t="e">
        <f>BB170*BD97/BB97</f>
        <v>#DIV/0!</v>
      </c>
      <c r="BE170" s="3" t="e">
        <f>BC170*BE97/BC97</f>
        <v>#DIV/0!</v>
      </c>
      <c r="BF170" s="3" t="e">
        <f>BE170</f>
        <v>#DIV/0!</v>
      </c>
      <c r="BG170" s="3" t="e">
        <f>BE170*BG97/BE97</f>
        <v>#DIV/0!</v>
      </c>
      <c r="BH170" s="3" t="e">
        <f>BF170*BH97/BF97</f>
        <v>#DIV/0!</v>
      </c>
      <c r="BI170" s="3" t="e">
        <f>BG170*BI97/BG97</f>
        <v>#DIV/0!</v>
      </c>
      <c r="BJ170" s="3" t="e">
        <f>BH170*BJ97/BH97</f>
        <v>#DIV/0!</v>
      </c>
      <c r="BK170" s="3" t="e">
        <f>BJ170</f>
        <v>#DIV/0!</v>
      </c>
      <c r="BL170" s="3" t="e">
        <f>BJ170*BL97/BJ97</f>
        <v>#DIV/0!</v>
      </c>
      <c r="BM170" s="3" t="e">
        <f>BK170*BM97/BK97</f>
        <v>#DIV/0!</v>
      </c>
      <c r="BN170" s="3" t="e">
        <f>BL170*BN97/BL97</f>
        <v>#DIV/0!</v>
      </c>
      <c r="BO170" s="3" t="e">
        <f>BM170*BO97/BM97</f>
        <v>#DIV/0!</v>
      </c>
      <c r="BP170" s="3" t="e">
        <f>BO170</f>
        <v>#DIV/0!</v>
      </c>
      <c r="BQ170" s="3" t="e">
        <f>BO170*BQ97/BO97</f>
        <v>#DIV/0!</v>
      </c>
      <c r="BR170" s="3" t="e">
        <f>BP170*BR97/BP97</f>
        <v>#DIV/0!</v>
      </c>
      <c r="BS170" s="3" t="e">
        <f>BQ170*BS97/BQ97</f>
        <v>#DIV/0!</v>
      </c>
      <c r="BT170" s="3" t="e">
        <f>BR170*BT97/BR97</f>
        <v>#DIV/0!</v>
      </c>
      <c r="BU170" s="3" t="e">
        <f>BT170</f>
        <v>#DIV/0!</v>
      </c>
      <c r="BV170" s="3" t="e">
        <f>BT170*BV97/BT97</f>
        <v>#DIV/0!</v>
      </c>
      <c r="BW170" s="3" t="e">
        <f>BU170*BW97/BU97</f>
        <v>#DIV/0!</v>
      </c>
      <c r="BX170" s="3" t="e">
        <f>BV170*BX97/BV97</f>
        <v>#DIV/0!</v>
      </c>
      <c r="BY170" s="3" t="e">
        <f>BW170*BY97/BW97</f>
        <v>#DIV/0!</v>
      </c>
      <c r="BZ170" s="3" t="e">
        <f>BY170</f>
        <v>#DIV/0!</v>
      </c>
      <c r="CA170" s="3" t="e">
        <f>BY170*CA97/BY97</f>
        <v>#DIV/0!</v>
      </c>
      <c r="CB170" s="3" t="e">
        <f>BZ170*CB97/BZ97</f>
        <v>#DIV/0!</v>
      </c>
      <c r="CC170" s="3" t="e">
        <f>CA170*CC97/CA97</f>
        <v>#DIV/0!</v>
      </c>
      <c r="CD170" s="3" t="e">
        <f>CB170*CD97/CB97</f>
        <v>#DIV/0!</v>
      </c>
      <c r="CE170" s="3" t="e">
        <f>CD170</f>
        <v>#DIV/0!</v>
      </c>
      <c r="CF170" s="3" t="e">
        <f>CD170*CF97/CD97</f>
        <v>#DIV/0!</v>
      </c>
      <c r="CG170" s="3" t="e">
        <f>CE170*CG97/CE97</f>
        <v>#DIV/0!</v>
      </c>
      <c r="CH170" s="3" t="e">
        <f>CF170*CH97/CF97</f>
        <v>#DIV/0!</v>
      </c>
      <c r="CI170" s="3" t="e">
        <f>CG170*CI97/CG97</f>
        <v>#DIV/0!</v>
      </c>
      <c r="CJ170" s="3" t="e">
        <f>CI170</f>
        <v>#DIV/0!</v>
      </c>
      <c r="CK170" s="3" t="e">
        <f>CI170*CK97/CI97</f>
        <v>#DIV/0!</v>
      </c>
      <c r="CL170" s="3" t="e">
        <f>CJ170*CL97/CJ97</f>
        <v>#DIV/0!</v>
      </c>
      <c r="CM170" s="3" t="e">
        <f>CK170*CM97/CK97</f>
        <v>#DIV/0!</v>
      </c>
      <c r="CN170" s="3" t="e">
        <f>CL170*CN97/CL97</f>
        <v>#DIV/0!</v>
      </c>
      <c r="CO170" s="3" t="e">
        <f>CN170</f>
        <v>#DIV/0!</v>
      </c>
      <c r="CP170" s="3" t="e">
        <f>CN170*CP97/CN97</f>
        <v>#DIV/0!</v>
      </c>
      <c r="CQ170" s="3" t="e">
        <f>CO170*CQ97/CO97</f>
        <v>#DIV/0!</v>
      </c>
      <c r="CR170" s="3" t="e">
        <f>CP170*CR97/CP97</f>
        <v>#DIV/0!</v>
      </c>
      <c r="CS170" s="3" t="e">
        <f>CQ170*CS97/CQ97</f>
        <v>#DIV/0!</v>
      </c>
      <c r="CT170" s="3" t="e">
        <f>CS170</f>
        <v>#DIV/0!</v>
      </c>
      <c r="CU170" s="3" t="e">
        <f>CS170*CU97/CS97</f>
        <v>#DIV/0!</v>
      </c>
      <c r="CV170" s="3" t="e">
        <f>CT170*CV97/CT97</f>
        <v>#DIV/0!</v>
      </c>
      <c r="CW170" s="3" t="e">
        <f>CU170*CW97/CU97</f>
        <v>#DIV/0!</v>
      </c>
      <c r="CX170" s="3" t="e">
        <f>CV170*CX97/CV97</f>
        <v>#DIV/0!</v>
      </c>
      <c r="CY170" s="3" t="e">
        <f>CX170</f>
        <v>#DIV/0!</v>
      </c>
    </row>
    <row r="171">
      <c r="C171" s="26" t="inlineStr">
        <is>
          <t>Other current liabilities (non-debt)</t>
        </is>
      </c>
      <c r="D171" s="25" t="n"/>
      <c r="E171" s="25" t="n"/>
      <c r="F171" s="25" t="n"/>
      <c r="G171" s="25" t="n"/>
      <c r="H171" s="3">
        <f>G171</f>
        <v>0</v>
      </c>
      <c r="I171" s="25" t="n"/>
      <c r="J171" s="25" t="n"/>
      <c r="K171" s="25" t="n"/>
      <c r="L171" s="25" t="n"/>
      <c r="M171" s="3">
        <f>L171</f>
        <v>0</v>
      </c>
      <c r="N171" s="25" t="n"/>
      <c r="O171" s="25" t="n"/>
      <c r="P171" s="25" t="n"/>
      <c r="Q171" s="25" t="n"/>
      <c r="R171" s="3">
        <f>Q171</f>
        <v>0</v>
      </c>
      <c r="S171" s="25" t="n"/>
      <c r="T171" s="25" t="n"/>
      <c r="U171" s="25" t="n"/>
      <c r="V171" s="25" t="n"/>
      <c r="W171" s="3">
        <f>V171</f>
        <v>0</v>
      </c>
      <c r="X171" s="25" t="n"/>
      <c r="Y171" s="25" t="n"/>
      <c r="Z171" s="25" t="n"/>
      <c r="AA171" s="25" t="n"/>
      <c r="AB171" s="3">
        <f>AA171</f>
        <v>0</v>
      </c>
      <c r="AC171" s="25" t="n"/>
      <c r="AD171" s="25" t="n"/>
      <c r="AE171" s="25" t="n"/>
      <c r="AF171" s="25" t="n"/>
      <c r="AG171" s="3">
        <f>AF171</f>
        <v>0</v>
      </c>
      <c r="AH171" s="3">
        <f>AG171</f>
        <v>0</v>
      </c>
      <c r="AI171" s="3">
        <f>AH171</f>
        <v>0</v>
      </c>
      <c r="AJ171" s="3">
        <f>AI171</f>
        <v>0</v>
      </c>
      <c r="AK171" s="3">
        <f>AJ171</f>
        <v>0</v>
      </c>
      <c r="AL171" s="3">
        <f>AK171</f>
        <v>0</v>
      </c>
      <c r="AM171" s="3">
        <f>AL171</f>
        <v>0</v>
      </c>
      <c r="AN171" s="3">
        <f>AM171</f>
        <v>0</v>
      </c>
      <c r="AO171" s="3">
        <f>AN171</f>
        <v>0</v>
      </c>
      <c r="AP171" s="3">
        <f>AO171</f>
        <v>0</v>
      </c>
      <c r="AQ171" s="3">
        <f>AP171</f>
        <v>0</v>
      </c>
      <c r="AR171" s="3">
        <f>AQ171</f>
        <v>0</v>
      </c>
      <c r="AS171" s="3">
        <f>AR171</f>
        <v>0</v>
      </c>
      <c r="AT171" s="3">
        <f>AS171</f>
        <v>0</v>
      </c>
      <c r="AU171" s="3">
        <f>AT171</f>
        <v>0</v>
      </c>
      <c r="AV171" s="3">
        <f>AU171</f>
        <v>0</v>
      </c>
      <c r="AW171" s="3">
        <f>AV171</f>
        <v>0</v>
      </c>
      <c r="AX171" s="3">
        <f>AW171</f>
        <v>0</v>
      </c>
      <c r="AY171" s="3">
        <f>AX171</f>
        <v>0</v>
      </c>
      <c r="AZ171" s="3">
        <f>AY171</f>
        <v>0</v>
      </c>
      <c r="BA171" s="3">
        <f>AZ171</f>
        <v>0</v>
      </c>
      <c r="BB171" s="3">
        <f>BA171</f>
        <v>0</v>
      </c>
      <c r="BC171" s="3">
        <f>BB171</f>
        <v>0</v>
      </c>
      <c r="BD171" s="3">
        <f>BC171</f>
        <v>0</v>
      </c>
      <c r="BE171" s="3">
        <f>BD171</f>
        <v>0</v>
      </c>
      <c r="BF171" s="3">
        <f>BE171</f>
        <v>0</v>
      </c>
      <c r="BG171" s="3">
        <f>BF171</f>
        <v>0</v>
      </c>
      <c r="BH171" s="3">
        <f>BG171</f>
        <v>0</v>
      </c>
      <c r="BI171" s="3">
        <f>BH171</f>
        <v>0</v>
      </c>
      <c r="BJ171" s="3">
        <f>BI171</f>
        <v>0</v>
      </c>
      <c r="BK171" s="3">
        <f>BJ171</f>
        <v>0</v>
      </c>
      <c r="BL171" s="3">
        <f>BK171</f>
        <v>0</v>
      </c>
      <c r="BM171" s="3">
        <f>BL171</f>
        <v>0</v>
      </c>
      <c r="BN171" s="3">
        <f>BM171</f>
        <v>0</v>
      </c>
      <c r="BO171" s="3">
        <f>BN171</f>
        <v>0</v>
      </c>
      <c r="BP171" s="3">
        <f>BO171</f>
        <v>0</v>
      </c>
      <c r="BQ171" s="3">
        <f>BP171</f>
        <v>0</v>
      </c>
      <c r="BR171" s="3">
        <f>BQ171</f>
        <v>0</v>
      </c>
      <c r="BS171" s="3">
        <f>BR171</f>
        <v>0</v>
      </c>
      <c r="BT171" s="3">
        <f>BS171</f>
        <v>0</v>
      </c>
      <c r="BU171" s="3">
        <f>BT171</f>
        <v>0</v>
      </c>
      <c r="BV171" s="3">
        <f>BU171</f>
        <v>0</v>
      </c>
      <c r="BW171" s="3">
        <f>BV171</f>
        <v>0</v>
      </c>
      <c r="BX171" s="3">
        <f>BW171</f>
        <v>0</v>
      </c>
      <c r="BY171" s="3">
        <f>BX171</f>
        <v>0</v>
      </c>
      <c r="BZ171" s="3">
        <f>BY171</f>
        <v>0</v>
      </c>
      <c r="CA171" s="3">
        <f>BZ171</f>
        <v>0</v>
      </c>
      <c r="CB171" s="3">
        <f>CA171</f>
        <v>0</v>
      </c>
      <c r="CC171" s="3">
        <f>CB171</f>
        <v>0</v>
      </c>
      <c r="CD171" s="3">
        <f>CC171</f>
        <v>0</v>
      </c>
      <c r="CE171" s="3">
        <f>CD171</f>
        <v>0</v>
      </c>
      <c r="CF171" s="3">
        <f>CE171</f>
        <v>0</v>
      </c>
      <c r="CG171" s="3">
        <f>CF171</f>
        <v>0</v>
      </c>
      <c r="CH171" s="3">
        <f>CG171</f>
        <v>0</v>
      </c>
      <c r="CI171" s="3">
        <f>CH171</f>
        <v>0</v>
      </c>
      <c r="CJ171" s="3">
        <f>CI171</f>
        <v>0</v>
      </c>
      <c r="CK171" s="3">
        <f>CJ171</f>
        <v>0</v>
      </c>
      <c r="CL171" s="3">
        <f>CK171</f>
        <v>0</v>
      </c>
      <c r="CM171" s="3">
        <f>CL171</f>
        <v>0</v>
      </c>
      <c r="CN171" s="3">
        <f>CM171</f>
        <v>0</v>
      </c>
      <c r="CO171" s="3">
        <f>CN171</f>
        <v>0</v>
      </c>
      <c r="CP171" s="3">
        <f>CO171</f>
        <v>0</v>
      </c>
      <c r="CQ171" s="3">
        <f>CP171</f>
        <v>0</v>
      </c>
      <c r="CR171" s="3">
        <f>CQ171</f>
        <v>0</v>
      </c>
      <c r="CS171" s="3">
        <f>CR171</f>
        <v>0</v>
      </c>
      <c r="CT171" s="3">
        <f>CS171</f>
        <v>0</v>
      </c>
      <c r="CU171" s="3">
        <f>CT171</f>
        <v>0</v>
      </c>
      <c r="CV171" s="3">
        <f>CU171</f>
        <v>0</v>
      </c>
      <c r="CW171" s="3">
        <f>CV171</f>
        <v>0</v>
      </c>
      <c r="CX171" s="3">
        <f>CW171</f>
        <v>0</v>
      </c>
      <c r="CY171" s="3">
        <f>CX171</f>
        <v>0</v>
      </c>
    </row>
    <row r="172" hidden="1" outlineLevel="1">
      <c r="C172" s="38" t="inlineStr">
        <is>
          <t>%(Var.)</t>
        </is>
      </c>
      <c r="D172" s="3" t="n"/>
      <c r="E172" s="47" t="e">
        <f>(E171-D171)/D171</f>
        <v>#DIV/0!</v>
      </c>
      <c r="F172" s="47" t="e">
        <f>(F171-E171)/E171</f>
        <v>#DIV/0!</v>
      </c>
      <c r="G172" s="47" t="e">
        <f>(G171-F171)/F171</f>
        <v>#DIV/0!</v>
      </c>
      <c r="H172" s="3" t="n"/>
      <c r="I172" s="47" t="e">
        <f>(I171-H171)/H171</f>
        <v>#DIV/0!</v>
      </c>
      <c r="J172" s="47" t="e">
        <f>(J171-I171)/I171</f>
        <v>#DIV/0!</v>
      </c>
      <c r="K172" s="47" t="e">
        <f>(K171-J171)/J171</f>
        <v>#DIV/0!</v>
      </c>
      <c r="L172" s="47" t="e">
        <f>(L171-K171)/K171</f>
        <v>#DIV/0!</v>
      </c>
      <c r="M172" s="3" t="n"/>
      <c r="N172" s="47" t="e">
        <f>(N171-M171)/M171</f>
        <v>#DIV/0!</v>
      </c>
      <c r="O172" s="47" t="e">
        <f>(O171-N171)/N171</f>
        <v>#DIV/0!</v>
      </c>
      <c r="P172" s="47" t="e">
        <f>(P171-O171)/O171</f>
        <v>#DIV/0!</v>
      </c>
      <c r="Q172" s="47" t="e">
        <f>(Q171-P171)/P171</f>
        <v>#DIV/0!</v>
      </c>
      <c r="R172" s="3" t="n"/>
      <c r="S172" s="47" t="e">
        <f>(S171-R171)/R171</f>
        <v>#DIV/0!</v>
      </c>
      <c r="T172" s="47" t="e">
        <f>(T171-S171)/S171</f>
        <v>#DIV/0!</v>
      </c>
      <c r="U172" s="47" t="e">
        <f>(U171-T171)/T171</f>
        <v>#DIV/0!</v>
      </c>
      <c r="V172" s="47" t="e">
        <f>(V171-U171)/U171</f>
        <v>#DIV/0!</v>
      </c>
      <c r="W172" s="3" t="n"/>
      <c r="X172" s="47" t="e">
        <f>(X171-W171)/W171</f>
        <v>#DIV/0!</v>
      </c>
      <c r="Y172" s="47" t="e">
        <f>(Y171-X171)/X171</f>
        <v>#DIV/0!</v>
      </c>
      <c r="Z172" s="47" t="e">
        <f>(Z171-Y171)/Y171</f>
        <v>#DIV/0!</v>
      </c>
      <c r="AA172" s="47" t="e">
        <f>(AA171-Z171)/Z171</f>
        <v>#DIV/0!</v>
      </c>
      <c r="AB172" s="3" t="n"/>
      <c r="AC172" s="47" t="e">
        <f>(AC171-AB171)/AB171</f>
        <v>#DIV/0!</v>
      </c>
      <c r="AD172" s="47" t="e">
        <f>(AD171-AC171)/AC171</f>
        <v>#DIV/0!</v>
      </c>
      <c r="AE172" s="47" t="e">
        <f>(AE171-AD171)/AD171</f>
        <v>#DIV/0!</v>
      </c>
      <c r="AF172" s="218" t="e">
        <f>(AF171-AE171)/AE171</f>
        <v>#DIV/0!</v>
      </c>
      <c r="AG172" s="3" t="n"/>
      <c r="AH172" s="218" t="n"/>
      <c r="AI172" s="218" t="n"/>
      <c r="AJ172" s="218" t="n"/>
      <c r="AK172" s="218" t="n"/>
      <c r="AL172" s="3" t="n"/>
      <c r="AM172" s="218" t="n"/>
      <c r="AN172" s="218" t="n"/>
      <c r="AO172" s="218" t="n"/>
      <c r="AP172" s="218" t="n"/>
      <c r="AQ172" s="3" t="n"/>
      <c r="AR172" s="218" t="n"/>
      <c r="AS172" s="218" t="n"/>
      <c r="AT172" s="218" t="n"/>
      <c r="AU172" s="218" t="n"/>
      <c r="AV172" s="3" t="n"/>
      <c r="AW172" s="218" t="n"/>
      <c r="AX172" s="218" t="n"/>
      <c r="AY172" s="218" t="n"/>
      <c r="AZ172" s="218" t="n"/>
      <c r="BA172" s="3" t="n"/>
      <c r="BB172" s="218" t="n"/>
      <c r="BC172" s="218" t="n"/>
      <c r="BD172" s="218" t="n"/>
      <c r="BE172" s="218" t="n"/>
      <c r="BF172" s="3" t="n"/>
      <c r="BG172" s="218" t="n"/>
      <c r="BH172" s="218" t="n"/>
      <c r="BI172" s="218" t="n"/>
      <c r="BJ172" s="218" t="n"/>
      <c r="BK172" s="3" t="n"/>
      <c r="BL172" s="218" t="n"/>
      <c r="BM172" s="218" t="n"/>
      <c r="BN172" s="218" t="n"/>
      <c r="BO172" s="218" t="n"/>
      <c r="BP172" s="3" t="n"/>
      <c r="BQ172" s="218" t="n"/>
      <c r="BR172" s="218" t="n"/>
      <c r="BS172" s="218" t="n"/>
      <c r="BT172" s="218" t="n"/>
      <c r="BU172" s="3" t="n"/>
      <c r="BV172" s="218" t="n"/>
      <c r="BW172" s="218" t="n"/>
      <c r="BX172" s="218" t="n"/>
      <c r="BY172" s="218" t="n"/>
      <c r="BZ172" s="3" t="n"/>
      <c r="CA172" s="218" t="n"/>
      <c r="CB172" s="218" t="n"/>
      <c r="CC172" s="218" t="n"/>
      <c r="CD172" s="218" t="n"/>
      <c r="CE172" s="3" t="n"/>
      <c r="CF172" s="218" t="n"/>
      <c r="CG172" s="218" t="n"/>
      <c r="CH172" s="218" t="n"/>
      <c r="CI172" s="218" t="n"/>
      <c r="CJ172" s="3" t="n"/>
      <c r="CK172" s="218" t="n"/>
      <c r="CL172" s="218" t="n"/>
      <c r="CM172" s="218" t="n"/>
      <c r="CN172" s="218" t="n"/>
      <c r="CO172" s="3" t="n"/>
      <c r="CP172" s="218" t="n"/>
      <c r="CQ172" s="218" t="n"/>
      <c r="CR172" s="218" t="n"/>
      <c r="CS172" s="218" t="n"/>
      <c r="CT172" s="3" t="n"/>
      <c r="CU172" s="218" t="n"/>
      <c r="CV172" s="218" t="n"/>
      <c r="CW172" s="218" t="n"/>
      <c r="CX172" s="218" t="n"/>
      <c r="CY172" s="3" t="n"/>
    </row>
    <row r="173" hidden="1" outlineLevel="1">
      <c r="C173" s="34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  <c r="CI173" s="3" t="n"/>
      <c r="CJ173" s="3" t="n"/>
      <c r="CK173" s="3" t="n"/>
      <c r="CL173" s="3" t="n"/>
      <c r="CM173" s="3" t="n"/>
      <c r="CN173" s="3" t="n"/>
      <c r="CO173" s="3" t="n"/>
      <c r="CP173" s="3" t="n"/>
      <c r="CQ173" s="3" t="n"/>
      <c r="CR173" s="3" t="n"/>
      <c r="CS173" s="3" t="n"/>
      <c r="CT173" s="3" t="n"/>
      <c r="CU173" s="3" t="n"/>
      <c r="CV173" s="3" t="n"/>
      <c r="CW173" s="3" t="n"/>
      <c r="CX173" s="3" t="n"/>
      <c r="CY173" s="3" t="n"/>
    </row>
    <row r="174" hidden="1" outlineLevel="1">
      <c r="C174" s="34" t="inlineStr">
        <is>
          <t xml:space="preserve">Dividendos a Pagar </t>
        </is>
      </c>
      <c r="D174" s="6" t="n"/>
      <c r="E174" s="6" t="n"/>
      <c r="F174" s="6" t="n"/>
      <c r="G174" s="6" t="n"/>
      <c r="H174" s="3" t="n"/>
      <c r="I174" s="6" t="n"/>
      <c r="J174" s="6" t="n"/>
      <c r="K174" s="6" t="n"/>
      <c r="L174" s="6" t="n"/>
      <c r="M174" s="3" t="n"/>
      <c r="N174" s="6" t="n"/>
      <c r="O174" s="6" t="n"/>
      <c r="P174" s="6" t="n"/>
      <c r="Q174" s="6" t="n"/>
      <c r="R174" s="3" t="n"/>
      <c r="S174" s="6" t="n"/>
      <c r="T174" s="6" t="n"/>
      <c r="U174" s="6" t="n"/>
      <c r="V174" s="6" t="n"/>
      <c r="W174" s="3" t="n"/>
      <c r="X174" s="6" t="n"/>
      <c r="Y174" s="6" t="n"/>
      <c r="Z174" s="6" t="n"/>
      <c r="AA174" s="6" t="n"/>
      <c r="AB174" s="3" t="n"/>
      <c r="AC174" s="6" t="n"/>
      <c r="AD174" s="6" t="n"/>
      <c r="AE174" s="6" t="n"/>
      <c r="AF174" s="6" t="n"/>
      <c r="AG174" s="3" t="n"/>
      <c r="AH174" s="6" t="n"/>
      <c r="AI174" s="6" t="n"/>
      <c r="AJ174" s="6" t="n"/>
      <c r="AK174" s="6" t="n"/>
      <c r="AL174" s="3" t="n"/>
      <c r="AM174" s="6" t="n"/>
      <c r="AN174" s="6" t="n"/>
      <c r="AO174" s="6" t="n"/>
      <c r="AP174" s="6" t="n"/>
      <c r="AQ174" s="3" t="n"/>
      <c r="AR174" s="6" t="n"/>
      <c r="AS174" s="6" t="n"/>
      <c r="AT174" s="6" t="n"/>
      <c r="AU174" s="6" t="n"/>
      <c r="AV174" s="3" t="n"/>
      <c r="AW174" s="6" t="n"/>
      <c r="AX174" s="6" t="n"/>
      <c r="AY174" s="6" t="n"/>
      <c r="AZ174" s="6" t="n"/>
      <c r="BA174" s="3" t="n"/>
      <c r="BB174" s="6" t="n"/>
      <c r="BC174" s="6" t="n"/>
      <c r="BD174" s="6" t="n"/>
      <c r="BE174" s="6" t="n"/>
      <c r="BF174" s="3" t="n"/>
      <c r="BG174" s="6" t="n"/>
      <c r="BH174" s="6" t="n"/>
      <c r="BI174" s="6" t="n"/>
      <c r="BJ174" s="6" t="n"/>
      <c r="BK174" s="3" t="n"/>
      <c r="BL174" s="6" t="n"/>
      <c r="BM174" s="6" t="n"/>
      <c r="BN174" s="6" t="n"/>
      <c r="BO174" s="6" t="n"/>
      <c r="BP174" s="3" t="n"/>
      <c r="BQ174" s="6" t="n"/>
      <c r="BR174" s="6" t="n"/>
      <c r="BS174" s="6" t="n"/>
      <c r="BT174" s="6" t="n"/>
      <c r="BU174" s="3" t="n"/>
      <c r="BV174" s="6" t="n"/>
      <c r="BW174" s="6" t="n"/>
      <c r="BX174" s="6" t="n"/>
      <c r="BY174" s="6" t="n"/>
      <c r="BZ174" s="3" t="n"/>
      <c r="CA174" s="6" t="n"/>
      <c r="CB174" s="6" t="n"/>
      <c r="CC174" s="6" t="n"/>
      <c r="CD174" s="6" t="n"/>
      <c r="CE174" s="3" t="n"/>
      <c r="CF174" s="6" t="n"/>
      <c r="CG174" s="6" t="n"/>
      <c r="CH174" s="6" t="n"/>
      <c r="CI174" s="6" t="n"/>
      <c r="CJ174" s="3" t="n"/>
      <c r="CK174" s="6" t="n"/>
      <c r="CL174" s="6" t="n"/>
      <c r="CM174" s="6" t="n"/>
      <c r="CN174" s="6" t="n"/>
      <c r="CO174" s="3" t="n"/>
      <c r="CP174" s="6" t="n"/>
      <c r="CQ174" s="6" t="n"/>
      <c r="CR174" s="6" t="n"/>
      <c r="CS174" s="6" t="n"/>
      <c r="CT174" s="3" t="n"/>
      <c r="CU174" s="6" t="n"/>
      <c r="CV174" s="6" t="n"/>
      <c r="CW174" s="6" t="n"/>
      <c r="CX174" s="6" t="n"/>
      <c r="CY174" s="3" t="n"/>
    </row>
    <row r="175" hidden="1" outlineLevel="1">
      <c r="C175" s="34" t="inlineStr">
        <is>
          <t>Contas a pagar pela aquisição de controladas</t>
        </is>
      </c>
      <c r="D175" s="6" t="n"/>
      <c r="E175" s="6" t="n"/>
      <c r="F175" s="6" t="n"/>
      <c r="G175" s="6" t="n"/>
      <c r="H175" s="3" t="n"/>
      <c r="I175" s="6" t="n"/>
      <c r="J175" s="6" t="n"/>
      <c r="K175" s="6" t="n"/>
      <c r="L175" s="6" t="n"/>
      <c r="M175" s="3" t="n"/>
      <c r="N175" s="6" t="n"/>
      <c r="O175" s="6" t="n"/>
      <c r="P175" s="6" t="n"/>
      <c r="Q175" s="6" t="n"/>
      <c r="R175" s="3" t="n"/>
      <c r="S175" s="6" t="n"/>
      <c r="T175" s="6" t="n"/>
      <c r="U175" s="6" t="n"/>
      <c r="V175" s="6" t="n"/>
      <c r="W175" s="3" t="n"/>
      <c r="X175" s="6" t="n"/>
      <c r="Y175" s="6" t="n"/>
      <c r="Z175" s="6" t="n"/>
      <c r="AA175" s="6" t="n"/>
      <c r="AB175" s="3" t="n"/>
      <c r="AC175" s="6" t="n"/>
      <c r="AD175" s="6" t="n"/>
      <c r="AE175" s="6" t="n"/>
      <c r="AF175" s="6" t="n"/>
      <c r="AG175" s="3" t="n"/>
      <c r="AH175" s="6" t="n"/>
      <c r="AI175" s="6" t="n"/>
      <c r="AJ175" s="6" t="n"/>
      <c r="AK175" s="6" t="n"/>
      <c r="AL175" s="3" t="n"/>
      <c r="AM175" s="6" t="n"/>
      <c r="AN175" s="6" t="n"/>
      <c r="AO175" s="6" t="n"/>
      <c r="AP175" s="6" t="n"/>
      <c r="AQ175" s="3" t="n"/>
      <c r="AR175" s="6" t="n"/>
      <c r="AS175" s="6" t="n"/>
      <c r="AT175" s="6" t="n"/>
      <c r="AU175" s="6" t="n"/>
      <c r="AV175" s="3" t="n"/>
      <c r="AW175" s="6" t="n"/>
      <c r="AX175" s="6" t="n"/>
      <c r="AY175" s="6" t="n"/>
      <c r="AZ175" s="6" t="n"/>
      <c r="BA175" s="3" t="n"/>
      <c r="BB175" s="6" t="n"/>
      <c r="BC175" s="6" t="n"/>
      <c r="BD175" s="6" t="n"/>
      <c r="BE175" s="6" t="n"/>
      <c r="BF175" s="3" t="n"/>
      <c r="BG175" s="6" t="n"/>
      <c r="BH175" s="6" t="n"/>
      <c r="BI175" s="6" t="n"/>
      <c r="BJ175" s="6" t="n"/>
      <c r="BK175" s="3" t="n"/>
      <c r="BL175" s="6" t="n"/>
      <c r="BM175" s="6" t="n"/>
      <c r="BN175" s="6" t="n"/>
      <c r="BO175" s="6" t="n"/>
      <c r="BP175" s="3" t="n"/>
      <c r="BQ175" s="6" t="n"/>
      <c r="BR175" s="6" t="n"/>
      <c r="BS175" s="6" t="n"/>
      <c r="BT175" s="6" t="n"/>
      <c r="BU175" s="3" t="n"/>
      <c r="BV175" s="6" t="n"/>
      <c r="BW175" s="6" t="n"/>
      <c r="BX175" s="6" t="n"/>
      <c r="BY175" s="6" t="n"/>
      <c r="BZ175" s="3" t="n"/>
      <c r="CA175" s="6" t="n"/>
      <c r="CB175" s="6" t="n"/>
      <c r="CC175" s="6" t="n"/>
      <c r="CD175" s="6" t="n"/>
      <c r="CE175" s="3" t="n"/>
      <c r="CF175" s="6" t="n"/>
      <c r="CG175" s="6" t="n"/>
      <c r="CH175" s="6" t="n"/>
      <c r="CI175" s="6" t="n"/>
      <c r="CJ175" s="3" t="n"/>
      <c r="CK175" s="6" t="n"/>
      <c r="CL175" s="6" t="n"/>
      <c r="CM175" s="6" t="n"/>
      <c r="CN175" s="6" t="n"/>
      <c r="CO175" s="3" t="n"/>
      <c r="CP175" s="6" t="n"/>
      <c r="CQ175" s="6" t="n"/>
      <c r="CR175" s="6" t="n"/>
      <c r="CS175" s="6" t="n"/>
      <c r="CT175" s="3" t="n"/>
      <c r="CU175" s="6" t="n"/>
      <c r="CV175" s="6" t="n"/>
      <c r="CW175" s="6" t="n"/>
      <c r="CX175" s="6" t="n"/>
      <c r="CY175" s="3" t="n"/>
    </row>
    <row r="176" hidden="1" outlineLevel="1">
      <c r="C176" s="34" t="inlineStr">
        <is>
          <t>Outros</t>
        </is>
      </c>
      <c r="D176" s="6" t="n"/>
      <c r="E176" s="6" t="n"/>
      <c r="F176" s="6" t="n"/>
      <c r="G176" s="6" t="n"/>
      <c r="H176" s="3" t="n"/>
      <c r="I176" s="6" t="n"/>
      <c r="J176" s="6" t="n"/>
      <c r="K176" s="6" t="n"/>
      <c r="L176" s="6" t="n"/>
      <c r="M176" s="3" t="n"/>
      <c r="N176" s="6" t="n"/>
      <c r="O176" s="6" t="n"/>
      <c r="P176" s="6" t="n"/>
      <c r="Q176" s="6" t="n"/>
      <c r="R176" s="3" t="n"/>
      <c r="S176" s="6" t="n"/>
      <c r="T176" s="6" t="n"/>
      <c r="U176" s="6" t="n"/>
      <c r="V176" s="6" t="n"/>
      <c r="W176" s="3" t="n"/>
      <c r="X176" s="6" t="n"/>
      <c r="Y176" s="6" t="n"/>
      <c r="Z176" s="6" t="n"/>
      <c r="AA176" s="6" t="n"/>
      <c r="AB176" s="3" t="n"/>
      <c r="AC176" s="6" t="n"/>
      <c r="AD176" s="6" t="n"/>
      <c r="AE176" s="6" t="n"/>
      <c r="AF176" s="6" t="n"/>
      <c r="AG176" s="3" t="n"/>
      <c r="AH176" s="6" t="n"/>
      <c r="AI176" s="6" t="n"/>
      <c r="AJ176" s="6" t="n"/>
      <c r="AK176" s="6" t="n"/>
      <c r="AL176" s="3" t="n"/>
      <c r="AM176" s="6" t="n"/>
      <c r="AN176" s="6" t="n"/>
      <c r="AO176" s="6" t="n"/>
      <c r="AP176" s="6" t="n"/>
      <c r="AQ176" s="3" t="n"/>
      <c r="AR176" s="6" t="n"/>
      <c r="AS176" s="6" t="n"/>
      <c r="AT176" s="6" t="n"/>
      <c r="AU176" s="6" t="n"/>
      <c r="AV176" s="3" t="n"/>
      <c r="AW176" s="6" t="n"/>
      <c r="AX176" s="6" t="n"/>
      <c r="AY176" s="6" t="n"/>
      <c r="AZ176" s="6" t="n"/>
      <c r="BA176" s="3" t="n"/>
      <c r="BB176" s="6" t="n"/>
      <c r="BC176" s="6" t="n"/>
      <c r="BD176" s="6" t="n"/>
      <c r="BE176" s="6" t="n"/>
      <c r="BF176" s="3" t="n"/>
      <c r="BG176" s="6" t="n"/>
      <c r="BH176" s="6" t="n"/>
      <c r="BI176" s="6" t="n"/>
      <c r="BJ176" s="6" t="n"/>
      <c r="BK176" s="3" t="n"/>
      <c r="BL176" s="6" t="n"/>
      <c r="BM176" s="6" t="n"/>
      <c r="BN176" s="6" t="n"/>
      <c r="BO176" s="6" t="n"/>
      <c r="BP176" s="3" t="n"/>
      <c r="BQ176" s="6" t="n"/>
      <c r="BR176" s="6" t="n"/>
      <c r="BS176" s="6" t="n"/>
      <c r="BT176" s="6" t="n"/>
      <c r="BU176" s="3" t="n"/>
      <c r="BV176" s="6" t="n"/>
      <c r="BW176" s="6" t="n"/>
      <c r="BX176" s="6" t="n"/>
      <c r="BY176" s="6" t="n"/>
      <c r="BZ176" s="3" t="n"/>
      <c r="CA176" s="6" t="n"/>
      <c r="CB176" s="6" t="n"/>
      <c r="CC176" s="6" t="n"/>
      <c r="CD176" s="6" t="n"/>
      <c r="CE176" s="3" t="n"/>
      <c r="CF176" s="6" t="n"/>
      <c r="CG176" s="6" t="n"/>
      <c r="CH176" s="6" t="n"/>
      <c r="CI176" s="6" t="n"/>
      <c r="CJ176" s="3" t="n"/>
      <c r="CK176" s="6" t="n"/>
      <c r="CL176" s="6" t="n"/>
      <c r="CM176" s="6" t="n"/>
      <c r="CN176" s="6" t="n"/>
      <c r="CO176" s="3" t="n"/>
      <c r="CP176" s="6" t="n"/>
      <c r="CQ176" s="6" t="n"/>
      <c r="CR176" s="6" t="n"/>
      <c r="CS176" s="6" t="n"/>
      <c r="CT176" s="3" t="n"/>
      <c r="CU176" s="6" t="n"/>
      <c r="CV176" s="6" t="n"/>
      <c r="CW176" s="6" t="n"/>
      <c r="CX176" s="6" t="n"/>
      <c r="CY176" s="3" t="n"/>
    </row>
    <row r="177" hidden="1" outlineLevel="1">
      <c r="C177" s="34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  <c r="CU177" s="3" t="n"/>
      <c r="CV177" s="3" t="n"/>
      <c r="CW177" s="3" t="n"/>
      <c r="CX177" s="3" t="n"/>
      <c r="CY177" s="3" t="n"/>
    </row>
    <row r="178" collapsed="1">
      <c r="C178" s="26" t="inlineStr">
        <is>
          <t>Current portion of long-term debt</t>
        </is>
      </c>
      <c r="D178" s="25">
        <f>INDEX('Inputs (2)'!$D$32:$AL$32,MATCH(D$7,'Inputs (2)'!$D$2:$AL$2,0))</f>
        <v>0</v>
      </c>
      <c r="E178" s="25">
        <f>INDEX('Inputs (2)'!$D$32:$AL$32,MATCH(E$7,'Inputs (2)'!$D$2:$AL$2,0))</f>
        <v>0</v>
      </c>
      <c r="F178" s="25">
        <f>INDEX('Inputs (2)'!$D$32:$AL$32,MATCH(F$7,'Inputs (2)'!$D$2:$AL$2,0))</f>
        <v>998</v>
      </c>
      <c r="G178" s="25">
        <f>INDEX('Inputs (2)'!$D$32:$AL$32,MATCH(G$7,'Inputs (2)'!$D$2:$AL$2,0))</f>
        <v>999</v>
      </c>
      <c r="H178" s="3">
        <f>G178</f>
        <v>999</v>
      </c>
      <c r="I178" s="25">
        <f>INDEX('Inputs (2)'!$D$32:$AL$32,MATCH(I$7,'Inputs (2)'!$D$2:$AL$2,0))</f>
        <v>999</v>
      </c>
      <c r="J178" s="25">
        <f>INDEX('Inputs (2)'!$D$32:$AL$32,MATCH(J$7,'Inputs (2)'!$D$2:$AL$2,0))</f>
        <v>1000</v>
      </c>
      <c r="K178" s="25">
        <f>INDEX('Inputs (2)'!$D$32:$AL$32,MATCH(K$7,'Inputs (2)'!$D$2:$AL$2,0))</f>
        <v>0</v>
      </c>
      <c r="L178" s="25">
        <f>INDEX('Inputs (2)'!$D$32:$AL$32,MATCH(L$7,'Inputs (2)'!$D$2:$AL$2,0))</f>
        <v>0</v>
      </c>
      <c r="M178" s="3">
        <f>L178</f>
        <v>0</v>
      </c>
      <c r="N178" s="25">
        <f>INDEX('Inputs (2)'!$D$32:$AL$32,MATCH(N$7,'Inputs (2)'!$D$2:$AL$2,0))</f>
        <v>0</v>
      </c>
      <c r="O178" s="25">
        <f>INDEX('Inputs (2)'!$D$32:$AL$32,MATCH(O$7,'Inputs (2)'!$D$2:$AL$2,0))</f>
        <v>1249</v>
      </c>
      <c r="P178" s="25">
        <f>INDEX('Inputs (2)'!$D$32:$AL$32,MATCH(P$7,'Inputs (2)'!$D$2:$AL$2,0))</f>
        <v>1249</v>
      </c>
      <c r="Q178" s="25">
        <f>INDEX('Inputs (2)'!$D$32:$AL$32,MATCH(Q$7,'Inputs (2)'!$D$2:$AL$2,0))</f>
        <v>1250</v>
      </c>
      <c r="R178" s="3">
        <f>Q178</f>
        <v>1250</v>
      </c>
      <c r="S178" s="25">
        <f>INDEX('Inputs (2)'!$D$32:$AL$32,MATCH(S$7,'Inputs (2)'!$D$2:$AL$2,0))</f>
        <v>1250</v>
      </c>
      <c r="T178" s="25">
        <f>INDEX('Inputs (2)'!$D$32:$AL$32,MATCH(T$7,'Inputs (2)'!$D$2:$AL$2,0))</f>
        <v>1249</v>
      </c>
      <c r="U178" s="25">
        <f>INDEX('Inputs (2)'!$D$32:$AL$32,MATCH(U$7,'Inputs (2)'!$D$2:$AL$2,0))</f>
        <v>1249</v>
      </c>
      <c r="V178" s="25">
        <f>INDEX('Inputs (2)'!$D$32:$AL$32,MATCH(V$7,'Inputs (2)'!$D$2:$AL$2,0))</f>
        <v>1250</v>
      </c>
      <c r="W178" s="3">
        <f>V178</f>
        <v>1250</v>
      </c>
      <c r="X178" s="25">
        <f>INDEX('Inputs (2)'!$D$32:$AL$32,MATCH(X$7,'Inputs (2)'!$D$2:$AL$2,0))</f>
        <v>1250</v>
      </c>
      <c r="Y178" s="25">
        <f>INDEX('Inputs (2)'!$D$32:$AL$32,MATCH(Y$7,'Inputs (2)'!$D$2:$AL$2,0))</f>
        <v>0</v>
      </c>
      <c r="Z178" s="25">
        <f>INDEX('Inputs (2)'!$D$32:$AL$32,MATCH(Z$7,'Inputs (2)'!$D$2:$AL$2,0))</f>
        <v>0</v>
      </c>
      <c r="AA178" s="25">
        <f>INDEX('Inputs (2)'!$D$32:$AL$32,MATCH(AA$7,'Inputs (2)'!$D$2:$AL$2,0))</f>
        <v>0</v>
      </c>
      <c r="AB178" s="3">
        <f>AA178</f>
        <v>0</v>
      </c>
      <c r="AC178" s="25">
        <f>INDEX('Inputs (2)'!$D$32:$AL$32,MATCH(AC$7,'Inputs (2)'!$D$2:$AL$2,0))</f>
        <v>0</v>
      </c>
      <c r="AD178" s="25">
        <f>INDEX('Inputs (2)'!$D$32:$AL$32,MATCH(AD$7,'Inputs (2)'!$D$2:$AL$2,0))</f>
        <v>0</v>
      </c>
      <c r="AE178" s="25">
        <f>INDEX('Inputs (2)'!$D$32:$AL$32,MATCH(AE$7,'Inputs (2)'!$D$2:$AL$2,0))</f>
        <v>999</v>
      </c>
      <c r="AF178" s="25">
        <f>INDEX('Inputs (2)'!$D$32:$AL$32,MATCH(AF$7,'Inputs (2)'!$D$2:$AL$2,0))</f>
        <v>999</v>
      </c>
      <c r="AG178" s="3">
        <f>AF178</f>
        <v>999</v>
      </c>
      <c r="AH178" s="3">
        <f>AG178</f>
        <v>999</v>
      </c>
      <c r="AI178" s="3">
        <f>AH178</f>
        <v>999</v>
      </c>
      <c r="AJ178" s="3">
        <f>AI178</f>
        <v>999</v>
      </c>
      <c r="AK178" s="3">
        <f>AJ178</f>
        <v>999</v>
      </c>
      <c r="AL178" s="3">
        <f>AK178</f>
        <v>999</v>
      </c>
      <c r="AM178" s="3">
        <f>AL178</f>
        <v>999</v>
      </c>
      <c r="AN178" s="3">
        <f>AM178</f>
        <v>999</v>
      </c>
      <c r="AO178" s="3">
        <f>AN178</f>
        <v>999</v>
      </c>
      <c r="AP178" s="3">
        <f>AO178</f>
        <v>999</v>
      </c>
      <c r="AQ178" s="3">
        <f>AP178</f>
        <v>999</v>
      </c>
      <c r="AR178" s="3">
        <f>AQ178</f>
        <v>999</v>
      </c>
      <c r="AS178" s="3">
        <f>AR178</f>
        <v>999</v>
      </c>
      <c r="AT178" s="3">
        <f>AS178</f>
        <v>999</v>
      </c>
      <c r="AU178" s="3">
        <f>AT178</f>
        <v>999</v>
      </c>
      <c r="AV178" s="3">
        <f>AU178</f>
        <v>999</v>
      </c>
      <c r="AW178" s="3">
        <f>AV178</f>
        <v>999</v>
      </c>
      <c r="AX178" s="3">
        <f>AW178</f>
        <v>999</v>
      </c>
      <c r="AY178" s="3">
        <f>AX178</f>
        <v>999</v>
      </c>
      <c r="AZ178" s="3">
        <f>AY178</f>
        <v>999</v>
      </c>
      <c r="BA178" s="3">
        <f>AZ178</f>
        <v>999</v>
      </c>
      <c r="BB178" s="3">
        <f>BA178</f>
        <v>999</v>
      </c>
      <c r="BC178" s="3">
        <f>BB178</f>
        <v>999</v>
      </c>
      <c r="BD178" s="3">
        <f>BC178</f>
        <v>999</v>
      </c>
      <c r="BE178" s="3">
        <f>BD178</f>
        <v>999</v>
      </c>
      <c r="BF178" s="3">
        <f>BE178</f>
        <v>999</v>
      </c>
      <c r="BG178" s="3">
        <f>BF178</f>
        <v>999</v>
      </c>
      <c r="BH178" s="3">
        <f>BG178</f>
        <v>999</v>
      </c>
      <c r="BI178" s="3">
        <f>BH178</f>
        <v>999</v>
      </c>
      <c r="BJ178" s="3">
        <f>BI178</f>
        <v>999</v>
      </c>
      <c r="BK178" s="3">
        <f>BJ178</f>
        <v>999</v>
      </c>
      <c r="BL178" s="3">
        <f>BK178</f>
        <v>999</v>
      </c>
      <c r="BM178" s="3">
        <f>BL178</f>
        <v>999</v>
      </c>
      <c r="BN178" s="3">
        <f>BM178</f>
        <v>999</v>
      </c>
      <c r="BO178" s="3">
        <f>BN178</f>
        <v>999</v>
      </c>
      <c r="BP178" s="3">
        <f>BO178</f>
        <v>999</v>
      </c>
      <c r="BQ178" s="3">
        <f>BP178</f>
        <v>999</v>
      </c>
      <c r="BR178" s="3">
        <f>BQ178</f>
        <v>999</v>
      </c>
      <c r="BS178" s="3">
        <f>BR178</f>
        <v>999</v>
      </c>
      <c r="BT178" s="3">
        <f>BS178</f>
        <v>999</v>
      </c>
      <c r="BU178" s="3">
        <f>BT178</f>
        <v>999</v>
      </c>
      <c r="BV178" s="3">
        <f>BU178</f>
        <v>999</v>
      </c>
      <c r="BW178" s="3">
        <f>BV178</f>
        <v>999</v>
      </c>
      <c r="BX178" s="3">
        <f>BW178</f>
        <v>999</v>
      </c>
      <c r="BY178" s="3">
        <f>BX178</f>
        <v>999</v>
      </c>
      <c r="BZ178" s="3">
        <f>BY178</f>
        <v>999</v>
      </c>
      <c r="CA178" s="3">
        <f>BZ178</f>
        <v>999</v>
      </c>
      <c r="CB178" s="3">
        <f>CA178</f>
        <v>999</v>
      </c>
      <c r="CC178" s="3">
        <f>CB178</f>
        <v>999</v>
      </c>
      <c r="CD178" s="3">
        <f>CC178</f>
        <v>999</v>
      </c>
      <c r="CE178" s="3">
        <f>CD178</f>
        <v>999</v>
      </c>
      <c r="CF178" s="3">
        <f>CE178</f>
        <v>999</v>
      </c>
      <c r="CG178" s="3">
        <f>CF178</f>
        <v>999</v>
      </c>
      <c r="CH178" s="3">
        <f>CG178</f>
        <v>999</v>
      </c>
      <c r="CI178" s="3">
        <f>CH178</f>
        <v>999</v>
      </c>
      <c r="CJ178" s="3">
        <f>CI178</f>
        <v>999</v>
      </c>
      <c r="CK178" s="3">
        <f>CJ178</f>
        <v>999</v>
      </c>
      <c r="CL178" s="3">
        <f>CK178</f>
        <v>999</v>
      </c>
      <c r="CM178" s="3">
        <f>CL178</f>
        <v>999</v>
      </c>
      <c r="CN178" s="3">
        <f>CM178</f>
        <v>999</v>
      </c>
      <c r="CO178" s="3">
        <f>CN178</f>
        <v>999</v>
      </c>
      <c r="CP178" s="3">
        <f>CO178</f>
        <v>999</v>
      </c>
      <c r="CQ178" s="3">
        <f>CP178</f>
        <v>999</v>
      </c>
      <c r="CR178" s="3">
        <f>CQ178</f>
        <v>999</v>
      </c>
      <c r="CS178" s="3">
        <f>CR178</f>
        <v>999</v>
      </c>
      <c r="CT178" s="3">
        <f>CS178</f>
        <v>999</v>
      </c>
      <c r="CU178" s="3">
        <f>CT178</f>
        <v>999</v>
      </c>
      <c r="CV178" s="3">
        <f>CU178</f>
        <v>999</v>
      </c>
      <c r="CW178" s="3">
        <f>CV178</f>
        <v>999</v>
      </c>
      <c r="CX178" s="3">
        <f>CW178</f>
        <v>999</v>
      </c>
      <c r="CY178" s="3">
        <f>CX178</f>
        <v>999</v>
      </c>
    </row>
    <row r="179">
      <c r="C179" s="26" t="inlineStr">
        <is>
          <t>Short term debt (Revolving credit facility)</t>
        </is>
      </c>
      <c r="D179" s="25" t="n"/>
      <c r="E179" s="25" t="n"/>
      <c r="F179" s="25" t="n"/>
      <c r="G179" s="25" t="n"/>
      <c r="H179" s="3">
        <f>G179</f>
        <v>0</v>
      </c>
      <c r="I179" s="25" t="n"/>
      <c r="J179" s="25" t="n"/>
      <c r="K179" s="25" t="n"/>
      <c r="L179" s="25" t="n"/>
      <c r="M179" s="3">
        <f>L179</f>
        <v>0</v>
      </c>
      <c r="N179" s="25" t="n"/>
      <c r="O179" s="25" t="n"/>
      <c r="P179" s="25" t="n"/>
      <c r="Q179" s="25" t="n"/>
      <c r="R179" s="3">
        <f>Q179</f>
        <v>0</v>
      </c>
      <c r="S179" s="25" t="n"/>
      <c r="T179" s="25" t="n"/>
      <c r="U179" s="25" t="n"/>
      <c r="V179" s="25" t="n"/>
      <c r="W179" s="3">
        <f>V179</f>
        <v>0</v>
      </c>
      <c r="X179" s="25" t="n"/>
      <c r="Y179" s="25" t="n"/>
      <c r="Z179" s="25" t="n"/>
      <c r="AA179" s="25" t="n"/>
      <c r="AB179" s="3">
        <f>AA179</f>
        <v>0</v>
      </c>
      <c r="AC179" s="25" t="n"/>
      <c r="AD179" s="25" t="n"/>
      <c r="AE179" s="25" t="n"/>
      <c r="AF179" s="25" t="n"/>
      <c r="AG179" s="3">
        <f>AF179</f>
        <v>0</v>
      </c>
      <c r="AH179" s="3">
        <f>AG179</f>
        <v>0</v>
      </c>
      <c r="AI179" s="3">
        <f>AH179</f>
        <v>0</v>
      </c>
      <c r="AJ179" s="3">
        <f>AI179</f>
        <v>0</v>
      </c>
      <c r="AK179" s="3">
        <f>AJ179</f>
        <v>0</v>
      </c>
      <c r="AL179" s="3">
        <f>AK179</f>
        <v>0</v>
      </c>
      <c r="AM179" s="3">
        <f>AL179</f>
        <v>0</v>
      </c>
      <c r="AN179" s="3">
        <f>AM179</f>
        <v>0</v>
      </c>
      <c r="AO179" s="3">
        <f>AN179</f>
        <v>0</v>
      </c>
      <c r="AP179" s="3">
        <f>AO179</f>
        <v>0</v>
      </c>
      <c r="AQ179" s="3">
        <f>AP179</f>
        <v>0</v>
      </c>
      <c r="AR179" s="3">
        <f>AQ179</f>
        <v>0</v>
      </c>
      <c r="AS179" s="3">
        <f>AR179</f>
        <v>0</v>
      </c>
      <c r="AT179" s="3">
        <f>AS179</f>
        <v>0</v>
      </c>
      <c r="AU179" s="3">
        <f>AT179</f>
        <v>0</v>
      </c>
      <c r="AV179" s="3">
        <f>AU179</f>
        <v>0</v>
      </c>
      <c r="AW179" s="3">
        <f>AV179</f>
        <v>0</v>
      </c>
      <c r="AX179" s="3">
        <f>AW179</f>
        <v>0</v>
      </c>
      <c r="AY179" s="3">
        <f>AX179</f>
        <v>0</v>
      </c>
      <c r="AZ179" s="3">
        <f>AY179</f>
        <v>0</v>
      </c>
      <c r="BA179" s="3">
        <f>AZ179</f>
        <v>0</v>
      </c>
      <c r="BB179" s="3">
        <f>BA179</f>
        <v>0</v>
      </c>
      <c r="BC179" s="3">
        <f>BB179</f>
        <v>0</v>
      </c>
      <c r="BD179" s="3">
        <f>BC179</f>
        <v>0</v>
      </c>
      <c r="BE179" s="3">
        <f>BD179</f>
        <v>0</v>
      </c>
      <c r="BF179" s="3">
        <f>BE179</f>
        <v>0</v>
      </c>
      <c r="BG179" s="3">
        <f>BF179</f>
        <v>0</v>
      </c>
      <c r="BH179" s="3">
        <f>BG179</f>
        <v>0</v>
      </c>
      <c r="BI179" s="3">
        <f>BH179</f>
        <v>0</v>
      </c>
      <c r="BJ179" s="3">
        <f>BI179</f>
        <v>0</v>
      </c>
      <c r="BK179" s="3">
        <f>BJ179</f>
        <v>0</v>
      </c>
      <c r="BL179" s="3">
        <f>BK179</f>
        <v>0</v>
      </c>
      <c r="BM179" s="3">
        <f>BL179</f>
        <v>0</v>
      </c>
      <c r="BN179" s="3">
        <f>BM179</f>
        <v>0</v>
      </c>
      <c r="BO179" s="3">
        <f>BN179</f>
        <v>0</v>
      </c>
      <c r="BP179" s="3">
        <f>BO179</f>
        <v>0</v>
      </c>
      <c r="BQ179" s="3">
        <f>BP179</f>
        <v>0</v>
      </c>
      <c r="BR179" s="3">
        <f>BQ179</f>
        <v>0</v>
      </c>
      <c r="BS179" s="3">
        <f>BR179</f>
        <v>0</v>
      </c>
      <c r="BT179" s="3">
        <f>BS179</f>
        <v>0</v>
      </c>
      <c r="BU179" s="3">
        <f>BT179</f>
        <v>0</v>
      </c>
      <c r="BV179" s="3">
        <f>BU179</f>
        <v>0</v>
      </c>
      <c r="BW179" s="3">
        <f>BV179</f>
        <v>0</v>
      </c>
      <c r="BX179" s="3">
        <f>BW179</f>
        <v>0</v>
      </c>
      <c r="BY179" s="3">
        <f>BX179</f>
        <v>0</v>
      </c>
      <c r="BZ179" s="3">
        <f>BY179</f>
        <v>0</v>
      </c>
      <c r="CA179" s="3">
        <f>BZ179</f>
        <v>0</v>
      </c>
      <c r="CB179" s="3">
        <f>CA179</f>
        <v>0</v>
      </c>
      <c r="CC179" s="3">
        <f>CB179</f>
        <v>0</v>
      </c>
      <c r="CD179" s="3">
        <f>CC179</f>
        <v>0</v>
      </c>
      <c r="CE179" s="3">
        <f>CD179</f>
        <v>0</v>
      </c>
      <c r="CF179" s="3">
        <f>CE179</f>
        <v>0</v>
      </c>
      <c r="CG179" s="3">
        <f>CF179</f>
        <v>0</v>
      </c>
      <c r="CH179" s="3">
        <f>CG179</f>
        <v>0</v>
      </c>
      <c r="CI179" s="3">
        <f>CH179</f>
        <v>0</v>
      </c>
      <c r="CJ179" s="3">
        <f>CI179</f>
        <v>0</v>
      </c>
      <c r="CK179" s="3">
        <f>CJ179</f>
        <v>0</v>
      </c>
      <c r="CL179" s="3">
        <f>CK179</f>
        <v>0</v>
      </c>
      <c r="CM179" s="3">
        <f>CL179</f>
        <v>0</v>
      </c>
      <c r="CN179" s="3">
        <f>CM179</f>
        <v>0</v>
      </c>
      <c r="CO179" s="3">
        <f>CN179</f>
        <v>0</v>
      </c>
      <c r="CP179" s="3">
        <f>CO179</f>
        <v>0</v>
      </c>
      <c r="CQ179" s="3">
        <f>CP179</f>
        <v>0</v>
      </c>
      <c r="CR179" s="3">
        <f>CQ179</f>
        <v>0</v>
      </c>
      <c r="CS179" s="3">
        <f>CR179</f>
        <v>0</v>
      </c>
      <c r="CT179" s="3">
        <f>CS179</f>
        <v>0</v>
      </c>
      <c r="CU179" s="3">
        <f>CT179</f>
        <v>0</v>
      </c>
      <c r="CV179" s="3">
        <f>CU179</f>
        <v>0</v>
      </c>
      <c r="CW179" s="3">
        <f>CV179</f>
        <v>0</v>
      </c>
      <c r="CX179" s="3">
        <f>CW179</f>
        <v>0</v>
      </c>
      <c r="CY179" s="3">
        <f>CX179</f>
        <v>0</v>
      </c>
    </row>
    <row r="180">
      <c r="C180" s="26" t="inlineStr">
        <is>
          <t>Short term operating leases</t>
        </is>
      </c>
      <c r="D180" s="25">
        <f>INDEX('Inputs (2)'!$D$34:$AL$34,MATCH(D$7,'Inputs (2)'!$D$2:$AL$2,0))</f>
        <v>100</v>
      </c>
      <c r="E180" s="25">
        <f>INDEX('Inputs (2)'!$D$34:$AL$34,MATCH(E$7,'Inputs (2)'!$D$2:$AL$2,0))</f>
        <v>124</v>
      </c>
      <c r="F180" s="25">
        <f>INDEX('Inputs (2)'!$D$34:$AL$34,MATCH(F$7,'Inputs (2)'!$D$2:$AL$2,0))</f>
        <v>116</v>
      </c>
      <c r="G180" s="25">
        <f>INDEX('Inputs (2)'!$D$34:$AL$34,MATCH(G$7,'Inputs (2)'!$D$2:$AL$2,0))</f>
        <v>121</v>
      </c>
      <c r="H180" s="3">
        <f>G180</f>
        <v>121</v>
      </c>
      <c r="I180" s="25">
        <f>INDEX('Inputs (2)'!$D$34:$AL$34,MATCH(I$7,'Inputs (2)'!$D$2:$AL$2,0))</f>
        <v>135</v>
      </c>
      <c r="J180" s="25">
        <f>INDEX('Inputs (2)'!$D$34:$AL$34,MATCH(J$7,'Inputs (2)'!$D$2:$AL$2,0))</f>
        <v>132</v>
      </c>
      <c r="K180" s="25">
        <f>INDEX('Inputs (2)'!$D$34:$AL$34,MATCH(K$7,'Inputs (2)'!$D$2:$AL$2,0))</f>
        <v>140</v>
      </c>
      <c r="L180" s="25">
        <f>INDEX('Inputs (2)'!$D$34:$AL$34,MATCH(L$7,'Inputs (2)'!$D$2:$AL$2,0))</f>
        <v>144</v>
      </c>
      <c r="M180" s="3">
        <f>L180</f>
        <v>144</v>
      </c>
      <c r="N180" s="25">
        <f>INDEX('Inputs (2)'!$D$34:$AL$34,MATCH(N$7,'Inputs (2)'!$D$2:$AL$2,0))</f>
        <v>147</v>
      </c>
      <c r="O180" s="25">
        <f>INDEX('Inputs (2)'!$D$34:$AL$34,MATCH(O$7,'Inputs (2)'!$D$2:$AL$2,0))</f>
        <v>145</v>
      </c>
      <c r="P180" s="25">
        <f>INDEX('Inputs (2)'!$D$34:$AL$34,MATCH(P$7,'Inputs (2)'!$D$2:$AL$2,0))</f>
        <v>156</v>
      </c>
      <c r="Q180" s="25">
        <f>INDEX('Inputs (2)'!$D$34:$AL$34,MATCH(Q$7,'Inputs (2)'!$D$2:$AL$2,0))</f>
        <v>176</v>
      </c>
      <c r="R180" s="3">
        <f>Q180</f>
        <v>176</v>
      </c>
      <c r="S180" s="25">
        <f>INDEX('Inputs (2)'!$D$34:$AL$34,MATCH(S$7,'Inputs (2)'!$D$2:$AL$2,0))</f>
        <v>187</v>
      </c>
      <c r="T180" s="25">
        <f>INDEX('Inputs (2)'!$D$34:$AL$34,MATCH(T$7,'Inputs (2)'!$D$2:$AL$2,0))</f>
        <v>208</v>
      </c>
      <c r="U180" s="25">
        <f>INDEX('Inputs (2)'!$D$34:$AL$34,MATCH(U$7,'Inputs (2)'!$D$2:$AL$2,0))</f>
        <v>230</v>
      </c>
      <c r="V180" s="25">
        <f>INDEX('Inputs (2)'!$D$34:$AL$34,MATCH(V$7,'Inputs (2)'!$D$2:$AL$2,0))</f>
        <v>228</v>
      </c>
      <c r="W180" s="3">
        <f>V180</f>
        <v>228</v>
      </c>
      <c r="X180" s="25">
        <f>INDEX('Inputs (2)'!$D$34:$AL$34,MATCH(X$7,'Inputs (2)'!$D$2:$AL$2,0))</f>
        <v>246</v>
      </c>
      <c r="Y180" s="25">
        <f>INDEX('Inputs (2)'!$D$34:$AL$34,MATCH(Y$7,'Inputs (2)'!$D$2:$AL$2,0))</f>
        <v>250</v>
      </c>
      <c r="Z180" s="25">
        <f>INDEX('Inputs (2)'!$D$34:$AL$34,MATCH(Z$7,'Inputs (2)'!$D$2:$AL$2,0))</f>
        <v>273</v>
      </c>
      <c r="AA180" s="25">
        <f>INDEX('Inputs (2)'!$D$34:$AL$34,MATCH(AA$7,'Inputs (2)'!$D$2:$AL$2,0))</f>
        <v>288</v>
      </c>
      <c r="AB180" s="3">
        <f>AA180</f>
        <v>288</v>
      </c>
      <c r="AC180" s="25">
        <f>INDEX('Inputs (2)'!$D$34:$AL$34,MATCH(AC$7,'Inputs (2)'!$D$2:$AL$2,0))</f>
        <v>300</v>
      </c>
      <c r="AD180" s="25">
        <f>INDEX('Inputs (2)'!$D$34:$AL$34,MATCH(AD$7,'Inputs (2)'!$D$2:$AL$2,0))</f>
        <v>301</v>
      </c>
      <c r="AE180" s="25">
        <f>INDEX('Inputs (2)'!$D$34:$AL$34,MATCH(AE$7,'Inputs (2)'!$D$2:$AL$2,0))</f>
        <v>341</v>
      </c>
      <c r="AF180" s="25">
        <f>INDEX('Inputs (2)'!$D$34:$AL$34,MATCH(AF$7,'Inputs (2)'!$D$2:$AL$2,0))</f>
        <v>372</v>
      </c>
      <c r="AG180" s="3">
        <f>AF180</f>
        <v>372</v>
      </c>
      <c r="AH180" s="3">
        <f>AG180</f>
        <v>372</v>
      </c>
      <c r="AI180" s="3">
        <f>AH180</f>
        <v>372</v>
      </c>
      <c r="AJ180" s="3">
        <f>AI180</f>
        <v>372</v>
      </c>
      <c r="AK180" s="3">
        <f>AJ180</f>
        <v>372</v>
      </c>
      <c r="AL180" s="3">
        <f>AK180</f>
        <v>372</v>
      </c>
      <c r="AM180" s="3">
        <f>AL180</f>
        <v>372</v>
      </c>
      <c r="AN180" s="3">
        <f>AM180</f>
        <v>372</v>
      </c>
      <c r="AO180" s="3">
        <f>AN180</f>
        <v>372</v>
      </c>
      <c r="AP180" s="3">
        <f>AO180</f>
        <v>372</v>
      </c>
      <c r="AQ180" s="3">
        <f>AP180</f>
        <v>372</v>
      </c>
      <c r="AR180" s="3">
        <f>AQ180</f>
        <v>372</v>
      </c>
      <c r="AS180" s="3">
        <f>AR180</f>
        <v>372</v>
      </c>
      <c r="AT180" s="3">
        <f>AS180</f>
        <v>372</v>
      </c>
      <c r="AU180" s="3">
        <f>AT180</f>
        <v>372</v>
      </c>
      <c r="AV180" s="3">
        <f>AU180</f>
        <v>372</v>
      </c>
      <c r="AW180" s="3">
        <f>AV180</f>
        <v>372</v>
      </c>
      <c r="AX180" s="3">
        <f>AW180</f>
        <v>372</v>
      </c>
      <c r="AY180" s="3">
        <f>AX180</f>
        <v>372</v>
      </c>
      <c r="AZ180" s="3">
        <f>AY180</f>
        <v>372</v>
      </c>
      <c r="BA180" s="3">
        <f>AZ180</f>
        <v>372</v>
      </c>
      <c r="BB180" s="3">
        <f>BA180</f>
        <v>372</v>
      </c>
      <c r="BC180" s="3">
        <f>BB180</f>
        <v>372</v>
      </c>
      <c r="BD180" s="3">
        <f>BC180</f>
        <v>372</v>
      </c>
      <c r="BE180" s="3">
        <f>BD180</f>
        <v>372</v>
      </c>
      <c r="BF180" s="3">
        <f>BE180</f>
        <v>372</v>
      </c>
      <c r="BG180" s="3">
        <f>BF180</f>
        <v>372</v>
      </c>
      <c r="BH180" s="3">
        <f>BG180</f>
        <v>372</v>
      </c>
      <c r="BI180" s="3">
        <f>BH180</f>
        <v>372</v>
      </c>
      <c r="BJ180" s="3">
        <f>BI180</f>
        <v>372</v>
      </c>
      <c r="BK180" s="3">
        <f>BJ180</f>
        <v>372</v>
      </c>
      <c r="BL180" s="3">
        <f>BK180</f>
        <v>372</v>
      </c>
      <c r="BM180" s="3">
        <f>BL180</f>
        <v>372</v>
      </c>
      <c r="BN180" s="3">
        <f>BM180</f>
        <v>372</v>
      </c>
      <c r="BO180" s="3">
        <f>BN180</f>
        <v>372</v>
      </c>
      <c r="BP180" s="3">
        <f>BO180</f>
        <v>372</v>
      </c>
      <c r="BQ180" s="3">
        <f>BP180</f>
        <v>372</v>
      </c>
      <c r="BR180" s="3">
        <f>BQ180</f>
        <v>372</v>
      </c>
      <c r="BS180" s="3">
        <f>BR180</f>
        <v>372</v>
      </c>
      <c r="BT180" s="3">
        <f>BS180</f>
        <v>372</v>
      </c>
      <c r="BU180" s="3">
        <f>BT180</f>
        <v>372</v>
      </c>
      <c r="BV180" s="3">
        <f>BU180</f>
        <v>372</v>
      </c>
      <c r="BW180" s="3">
        <f>BV180</f>
        <v>372</v>
      </c>
      <c r="BX180" s="3">
        <f>BW180</f>
        <v>372</v>
      </c>
      <c r="BY180" s="3">
        <f>BX180</f>
        <v>372</v>
      </c>
      <c r="BZ180" s="3">
        <f>BY180</f>
        <v>372</v>
      </c>
      <c r="CA180" s="3">
        <f>BZ180</f>
        <v>372</v>
      </c>
      <c r="CB180" s="3">
        <f>CA180</f>
        <v>372</v>
      </c>
      <c r="CC180" s="3">
        <f>CB180</f>
        <v>372</v>
      </c>
      <c r="CD180" s="3">
        <f>CC180</f>
        <v>372</v>
      </c>
      <c r="CE180" s="3">
        <f>CD180</f>
        <v>372</v>
      </c>
      <c r="CF180" s="3">
        <f>CE180</f>
        <v>372</v>
      </c>
      <c r="CG180" s="3">
        <f>CF180</f>
        <v>372</v>
      </c>
      <c r="CH180" s="3">
        <f>CG180</f>
        <v>372</v>
      </c>
      <c r="CI180" s="3">
        <f>CH180</f>
        <v>372</v>
      </c>
      <c r="CJ180" s="3">
        <f>CI180</f>
        <v>372</v>
      </c>
      <c r="CK180" s="3">
        <f>CJ180</f>
        <v>372</v>
      </c>
      <c r="CL180" s="3">
        <f>CK180</f>
        <v>372</v>
      </c>
      <c r="CM180" s="3">
        <f>CL180</f>
        <v>372</v>
      </c>
      <c r="CN180" s="3">
        <f>CM180</f>
        <v>372</v>
      </c>
      <c r="CO180" s="3">
        <f>CN180</f>
        <v>372</v>
      </c>
      <c r="CP180" s="3">
        <f>CO180</f>
        <v>372</v>
      </c>
      <c r="CQ180" s="3">
        <f>CP180</f>
        <v>372</v>
      </c>
      <c r="CR180" s="3">
        <f>CQ180</f>
        <v>372</v>
      </c>
      <c r="CS180" s="3">
        <f>CR180</f>
        <v>372</v>
      </c>
      <c r="CT180" s="3">
        <f>CS180</f>
        <v>372</v>
      </c>
      <c r="CU180" s="3">
        <f>CT180</f>
        <v>372</v>
      </c>
      <c r="CV180" s="3">
        <f>CU180</f>
        <v>372</v>
      </c>
      <c r="CW180" s="3">
        <f>CV180</f>
        <v>372</v>
      </c>
      <c r="CX180" s="3">
        <f>CW180</f>
        <v>372</v>
      </c>
      <c r="CY180" s="3">
        <f>CX180</f>
        <v>372</v>
      </c>
    </row>
    <row r="181" hidden="1" outlineLevel="1">
      <c r="C181" s="38" t="inlineStr">
        <is>
          <t>%(Var.)</t>
        </is>
      </c>
      <c r="D181" s="3" t="n"/>
      <c r="E181" s="47">
        <f>(E180-D180)/D180</f>
        <v>0.24</v>
      </c>
      <c r="F181" s="47">
        <f>(F180-E180)/E180</f>
        <v>-0.0645161290322581</v>
      </c>
      <c r="G181" s="47">
        <f>(G180-F180)/F180</f>
        <v>0.0431034482758621</v>
      </c>
      <c r="H181" s="3" t="n"/>
      <c r="I181" s="47">
        <f>(I180-H180)/H180</f>
        <v>0.115702479338843</v>
      </c>
      <c r="J181" s="47">
        <f>(J180-I180)/I180</f>
        <v>-0.0222222222222222</v>
      </c>
      <c r="K181" s="47">
        <f>(K180-J180)/J180</f>
        <v>0.0606060606060606</v>
      </c>
      <c r="L181" s="47">
        <f>(L180-K180)/K180</f>
        <v>0.0285714285714286</v>
      </c>
      <c r="M181" s="3" t="n"/>
      <c r="N181" s="47">
        <f>(N180-M180)/M180</f>
        <v>0.0208333333333333</v>
      </c>
      <c r="O181" s="47">
        <f>(O180-N180)/N180</f>
        <v>-0.0136054421768707</v>
      </c>
      <c r="P181" s="47">
        <f>(P180-O180)/O180</f>
        <v>0.0758620689655172</v>
      </c>
      <c r="Q181" s="47">
        <f>(Q180-P180)/P180</f>
        <v>0.128205128205128</v>
      </c>
      <c r="R181" s="3" t="n"/>
      <c r="S181" s="47">
        <f>(S180-R180)/R180</f>
        <v>0.0625</v>
      </c>
      <c r="T181" s="47">
        <f>(T180-S180)/S180</f>
        <v>0.112299465240642</v>
      </c>
      <c r="U181" s="47">
        <f>(U180-T180)/T180</f>
        <v>0.105769230769231</v>
      </c>
      <c r="V181" s="47">
        <f>(V180-U180)/U180</f>
        <v>-0.00869565217391304</v>
      </c>
      <c r="W181" s="3" t="n"/>
      <c r="X181" s="47">
        <f>(X180-W180)/W180</f>
        <v>0.0789473684210526</v>
      </c>
      <c r="Y181" s="47">
        <f>(Y180-X180)/X180</f>
        <v>0.016260162601626</v>
      </c>
      <c r="Z181" s="47">
        <f>(Z180-Y180)/Y180</f>
        <v>0.092</v>
      </c>
      <c r="AA181" s="47">
        <f>(AA180-Z180)/Z180</f>
        <v>0.0549450549450549</v>
      </c>
      <c r="AB181" s="3" t="n"/>
      <c r="AC181" s="47">
        <f>(AC180-AB180)/AB180</f>
        <v>0.0416666666666667</v>
      </c>
      <c r="AD181" s="47">
        <f>(AD180-AC180)/AC180</f>
        <v>0.00333333333333333</v>
      </c>
      <c r="AE181" s="47">
        <f>(AE180-AD180)/AD180</f>
        <v>0.132890365448505</v>
      </c>
      <c r="AF181" s="6">
        <f>(AF180-AE180)/AE180</f>
        <v>0.0909090909090909</v>
      </c>
      <c r="AG181" s="3" t="n"/>
      <c r="AH181" s="6" t="n"/>
      <c r="AI181" s="6" t="n"/>
      <c r="AJ181" s="6" t="n"/>
      <c r="AK181" s="6" t="n"/>
      <c r="AL181" s="3" t="n"/>
      <c r="AM181" s="6" t="n"/>
      <c r="AN181" s="6" t="n"/>
      <c r="AO181" s="6" t="n"/>
      <c r="AP181" s="6" t="n"/>
      <c r="AQ181" s="3" t="n"/>
      <c r="AR181" s="6" t="n"/>
      <c r="AS181" s="6" t="n"/>
      <c r="AT181" s="6" t="n"/>
      <c r="AU181" s="6" t="n"/>
      <c r="AV181" s="3" t="n"/>
      <c r="AW181" s="6" t="n"/>
      <c r="AX181" s="6" t="n"/>
      <c r="AY181" s="6" t="n"/>
      <c r="AZ181" s="6" t="n"/>
      <c r="BA181" s="3" t="n"/>
      <c r="BB181" s="6" t="n"/>
      <c r="BC181" s="6" t="n"/>
      <c r="BD181" s="6" t="n"/>
      <c r="BE181" s="6" t="n"/>
      <c r="BF181" s="3" t="n"/>
      <c r="BG181" s="6" t="n"/>
      <c r="BH181" s="6" t="n"/>
      <c r="BI181" s="6" t="n"/>
      <c r="BJ181" s="6" t="n"/>
      <c r="BK181" s="3" t="n"/>
      <c r="BL181" s="6" t="n"/>
      <c r="BM181" s="6" t="n"/>
      <c r="BN181" s="6" t="n"/>
      <c r="BO181" s="6" t="n"/>
      <c r="BP181" s="3" t="n"/>
      <c r="BQ181" s="6" t="n"/>
      <c r="BR181" s="6" t="n"/>
      <c r="BS181" s="6" t="n"/>
      <c r="BT181" s="6" t="n"/>
      <c r="BU181" s="3" t="n"/>
      <c r="BV181" s="6" t="n"/>
      <c r="BW181" s="6" t="n"/>
      <c r="BX181" s="6" t="n"/>
      <c r="BY181" s="6" t="n"/>
      <c r="BZ181" s="3" t="n"/>
      <c r="CA181" s="6" t="n"/>
      <c r="CB181" s="6" t="n"/>
      <c r="CC181" s="6" t="n"/>
      <c r="CD181" s="6" t="n"/>
      <c r="CE181" s="3" t="n"/>
      <c r="CF181" s="6" t="n"/>
      <c r="CG181" s="6" t="n"/>
      <c r="CH181" s="6" t="n"/>
      <c r="CI181" s="6" t="n"/>
      <c r="CJ181" s="3" t="n"/>
      <c r="CK181" s="6" t="n"/>
      <c r="CL181" s="6" t="n"/>
      <c r="CM181" s="6" t="n"/>
      <c r="CN181" s="6" t="n"/>
      <c r="CO181" s="3" t="n"/>
      <c r="CP181" s="6" t="n"/>
      <c r="CQ181" s="6" t="n"/>
      <c r="CR181" s="6" t="n"/>
      <c r="CS181" s="6" t="n"/>
      <c r="CT181" s="3" t="n"/>
      <c r="CU181" s="6" t="n"/>
      <c r="CV181" s="6" t="n"/>
      <c r="CW181" s="6" t="n"/>
      <c r="CX181" s="6" t="n"/>
      <c r="CY181" s="3" t="n"/>
    </row>
    <row r="182" hidden="1" outlineLevel="1">
      <c r="C182" s="34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  <c r="BO182" s="3" t="n"/>
      <c r="BP182" s="3" t="n"/>
      <c r="BQ182" s="3" t="n"/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  <c r="CA182" s="3" t="n"/>
      <c r="CB182" s="3" t="n"/>
      <c r="CC182" s="3" t="n"/>
      <c r="CD182" s="3" t="n"/>
      <c r="CE182" s="3" t="n"/>
      <c r="CF182" s="3" t="n"/>
      <c r="CG182" s="3" t="n"/>
      <c r="CH182" s="3" t="n"/>
      <c r="CI182" s="3" t="n"/>
      <c r="CJ182" s="3" t="n"/>
      <c r="CK182" s="3" t="n"/>
      <c r="CL182" s="3" t="n"/>
      <c r="CM182" s="3" t="n"/>
      <c r="CN182" s="3" t="n"/>
      <c r="CO182" s="3" t="n"/>
      <c r="CP182" s="3" t="n"/>
      <c r="CQ182" s="3" t="n"/>
      <c r="CR182" s="3" t="n"/>
      <c r="CS182" s="3" t="n"/>
      <c r="CT182" s="3" t="n"/>
      <c r="CU182" s="3" t="n"/>
      <c r="CV182" s="3" t="n"/>
      <c r="CW182" s="3" t="n"/>
      <c r="CX182" s="3" t="n"/>
      <c r="CY182" s="3" t="n"/>
    </row>
    <row r="183" collapsed="1">
      <c r="C183" s="26" t="inlineStr">
        <is>
          <t>Long term debt</t>
        </is>
      </c>
      <c r="D183" s="25">
        <f>INDEX('Inputs (2)'!$D$35:$AL$35,MATCH(D$7,'Inputs (2)'!$D$2:$AL$2,0))</f>
        <v>6959</v>
      </c>
      <c r="E183" s="25">
        <f>INDEX('Inputs (2)'!$D$35:$AL$35,MATCH(E$7,'Inputs (2)'!$D$2:$AL$2,0))</f>
        <v>6960</v>
      </c>
      <c r="F183" s="25">
        <f>INDEX('Inputs (2)'!$D$35:$AL$35,MATCH(F$7,'Inputs (2)'!$D$2:$AL$2,0))</f>
        <v>5963</v>
      </c>
      <c r="G183" s="25">
        <f>INDEX('Inputs (2)'!$D$35:$AL$35,MATCH(G$7,'Inputs (2)'!$D$2:$AL$2,0))</f>
        <v>5964</v>
      </c>
      <c r="H183" s="3">
        <f>G183</f>
        <v>5964</v>
      </c>
      <c r="I183" s="25">
        <f>INDEX('Inputs (2)'!$D$35:$AL$35,MATCH(I$7,'Inputs (2)'!$D$2:$AL$2,0))</f>
        <v>5964</v>
      </c>
      <c r="J183" s="25">
        <f>INDEX('Inputs (2)'!$D$35:$AL$35,MATCH(J$7,'Inputs (2)'!$D$2:$AL$2,0))</f>
        <v>10943</v>
      </c>
      <c r="K183" s="25">
        <f>INDEX('Inputs (2)'!$D$35:$AL$35,MATCH(K$7,'Inputs (2)'!$D$2:$AL$2,0))</f>
        <v>10944</v>
      </c>
      <c r="L183" s="25">
        <f>INDEX('Inputs (2)'!$D$35:$AL$35,MATCH(L$7,'Inputs (2)'!$D$2:$AL$2,0))</f>
        <v>10946</v>
      </c>
      <c r="M183" s="3">
        <f>L183</f>
        <v>10946</v>
      </c>
      <c r="N183" s="25">
        <f>INDEX('Inputs (2)'!$D$35:$AL$35,MATCH(N$7,'Inputs (2)'!$D$2:$AL$2,0))</f>
        <v>10947</v>
      </c>
      <c r="O183" s="25">
        <f>INDEX('Inputs (2)'!$D$35:$AL$35,MATCH(O$7,'Inputs (2)'!$D$2:$AL$2,0))</f>
        <v>9700</v>
      </c>
      <c r="P183" s="25">
        <f>INDEX('Inputs (2)'!$D$35:$AL$35,MATCH(P$7,'Inputs (2)'!$D$2:$AL$2,0))</f>
        <v>9701</v>
      </c>
      <c r="Q183" s="25">
        <f>INDEX('Inputs (2)'!$D$35:$AL$35,MATCH(Q$7,'Inputs (2)'!$D$2:$AL$2,0))</f>
        <v>9703</v>
      </c>
      <c r="R183" s="3">
        <f>Q183</f>
        <v>9703</v>
      </c>
      <c r="S183" s="25">
        <f>INDEX('Inputs (2)'!$D$35:$AL$35,MATCH(S$7,'Inputs (2)'!$D$2:$AL$2,0))</f>
        <v>9704</v>
      </c>
      <c r="T183" s="25">
        <f>INDEX('Inputs (2)'!$D$35:$AL$35,MATCH(T$7,'Inputs (2)'!$D$2:$AL$2,0))</f>
        <v>8456</v>
      </c>
      <c r="U183" s="25">
        <f>INDEX('Inputs (2)'!$D$35:$AL$35,MATCH(U$7,'Inputs (2)'!$D$2:$AL$2,0))</f>
        <v>8457</v>
      </c>
      <c r="V183" s="25">
        <f>INDEX('Inputs (2)'!$D$35:$AL$35,MATCH(V$7,'Inputs (2)'!$D$2:$AL$2,0))</f>
        <v>8459</v>
      </c>
      <c r="W183" s="3">
        <f>V183</f>
        <v>8459</v>
      </c>
      <c r="X183" s="25">
        <f>INDEX('Inputs (2)'!$D$35:$AL$35,MATCH(X$7,'Inputs (2)'!$D$2:$AL$2,0))</f>
        <v>8460</v>
      </c>
      <c r="Y183" s="25">
        <f>INDEX('Inputs (2)'!$D$35:$AL$35,MATCH(Y$7,'Inputs (2)'!$D$2:$AL$2,0))</f>
        <v>8461</v>
      </c>
      <c r="Z183" s="25">
        <f>INDEX('Inputs (2)'!$D$35:$AL$35,MATCH(Z$7,'Inputs (2)'!$D$2:$AL$2,0))</f>
        <v>8462</v>
      </c>
      <c r="AA183" s="25">
        <f>INDEX('Inputs (2)'!$D$35:$AL$35,MATCH(AA$7,'Inputs (2)'!$D$2:$AL$2,0))</f>
        <v>8463</v>
      </c>
      <c r="AB183" s="3">
        <f>AA183</f>
        <v>8463</v>
      </c>
      <c r="AC183" s="25">
        <f>INDEX('Inputs (2)'!$D$35:$AL$35,MATCH(AC$7,'Inputs (2)'!$D$2:$AL$2,0))</f>
        <v>8464</v>
      </c>
      <c r="AD183" s="25">
        <f>INDEX('Inputs (2)'!$D$35:$AL$35,MATCH(AD$7,'Inputs (2)'!$D$2:$AL$2,0))</f>
        <v>8466</v>
      </c>
      <c r="AE183" s="25">
        <f>INDEX('Inputs (2)'!$D$35:$AL$35,MATCH(AE$7,'Inputs (2)'!$D$2:$AL$2,0))</f>
        <v>7468</v>
      </c>
      <c r="AF183" s="25">
        <f>INDEX('Inputs (2)'!$D$35:$AL$35,MATCH(AF$7,'Inputs (2)'!$D$2:$AL$2,0))</f>
        <v>7469</v>
      </c>
      <c r="AG183" s="3">
        <f>AF183</f>
        <v>7469</v>
      </c>
      <c r="AH183" s="3">
        <f>AH189</f>
        <v>0</v>
      </c>
      <c r="AI183" s="3">
        <f>AI189</f>
        <v>0</v>
      </c>
      <c r="AJ183" s="3">
        <f>AJ189</f>
        <v>0</v>
      </c>
      <c r="AK183" s="3">
        <f>AK189</f>
        <v>0</v>
      </c>
      <c r="AL183" s="3">
        <f>AK183</f>
        <v>0</v>
      </c>
      <c r="AM183" s="3">
        <f>AM189</f>
        <v>0</v>
      </c>
      <c r="AN183" s="3">
        <f>AN189</f>
        <v>0</v>
      </c>
      <c r="AO183" s="3">
        <f>AO189</f>
        <v>0</v>
      </c>
      <c r="AP183" s="3">
        <f>AP189</f>
        <v>0</v>
      </c>
      <c r="AQ183" s="3">
        <f>AP183</f>
        <v>0</v>
      </c>
      <c r="AR183" s="3">
        <f>AR189</f>
        <v>0</v>
      </c>
      <c r="AS183" s="3">
        <f>AS189</f>
        <v>0</v>
      </c>
      <c r="AT183" s="3">
        <f>AT189</f>
        <v>0</v>
      </c>
      <c r="AU183" s="3">
        <f>AU189</f>
        <v>0</v>
      </c>
      <c r="AV183" s="3">
        <f>AU183</f>
        <v>0</v>
      </c>
      <c r="AW183" s="3">
        <f>AW189</f>
        <v>0</v>
      </c>
      <c r="AX183" s="3">
        <f>AX189</f>
        <v>0</v>
      </c>
      <c r="AY183" s="3">
        <f>AY189</f>
        <v>0</v>
      </c>
      <c r="AZ183" s="3">
        <f>AZ189</f>
        <v>0</v>
      </c>
      <c r="BA183" s="3">
        <f>AZ183</f>
        <v>0</v>
      </c>
      <c r="BB183" s="3">
        <f>BB189</f>
        <v>0</v>
      </c>
      <c r="BC183" s="3">
        <f>BC189</f>
        <v>0</v>
      </c>
      <c r="BD183" s="3">
        <f>BD189</f>
        <v>0</v>
      </c>
      <c r="BE183" s="3">
        <f>BE189</f>
        <v>0</v>
      </c>
      <c r="BF183" s="3">
        <f>BE183</f>
        <v>0</v>
      </c>
      <c r="BG183" s="3">
        <f>BG189</f>
        <v>0</v>
      </c>
      <c r="BH183" s="3">
        <f>BH189</f>
        <v>0</v>
      </c>
      <c r="BI183" s="3">
        <f>BI189</f>
        <v>0</v>
      </c>
      <c r="BJ183" s="3">
        <f>BJ189</f>
        <v>0</v>
      </c>
      <c r="BK183" s="3">
        <f>BJ183</f>
        <v>0</v>
      </c>
      <c r="BL183" s="3">
        <f>BL189</f>
        <v>0</v>
      </c>
      <c r="BM183" s="3">
        <f>BM189</f>
        <v>0</v>
      </c>
      <c r="BN183" s="3">
        <f>BN189</f>
        <v>0</v>
      </c>
      <c r="BO183" s="3">
        <f>BO189</f>
        <v>0</v>
      </c>
      <c r="BP183" s="3">
        <f>BO183</f>
        <v>0</v>
      </c>
      <c r="BQ183" s="3">
        <f>BQ189</f>
        <v>0</v>
      </c>
      <c r="BR183" s="3">
        <f>BR189</f>
        <v>0</v>
      </c>
      <c r="BS183" s="3">
        <f>BS189</f>
        <v>0</v>
      </c>
      <c r="BT183" s="3">
        <f>BT189</f>
        <v>0</v>
      </c>
      <c r="BU183" s="3">
        <f>BT183</f>
        <v>0</v>
      </c>
      <c r="BV183" s="3">
        <f>BV189</f>
        <v>0</v>
      </c>
      <c r="BW183" s="3">
        <f>BW189</f>
        <v>0</v>
      </c>
      <c r="BX183" s="3">
        <f>BX189</f>
        <v>0</v>
      </c>
      <c r="BY183" s="3">
        <f>BY189</f>
        <v>0</v>
      </c>
      <c r="BZ183" s="3">
        <f>BY183</f>
        <v>0</v>
      </c>
      <c r="CA183" s="3">
        <f>CA189</f>
        <v>0</v>
      </c>
      <c r="CB183" s="3">
        <f>CB189</f>
        <v>0</v>
      </c>
      <c r="CC183" s="3">
        <f>CC189</f>
        <v>0</v>
      </c>
      <c r="CD183" s="3">
        <f>CD189</f>
        <v>0</v>
      </c>
      <c r="CE183" s="3">
        <f>CD183</f>
        <v>0</v>
      </c>
      <c r="CF183" s="3">
        <f>CF189</f>
        <v>0</v>
      </c>
      <c r="CG183" s="3">
        <f>CG189</f>
        <v>0</v>
      </c>
      <c r="CH183" s="3">
        <f>CH189</f>
        <v>0</v>
      </c>
      <c r="CI183" s="3">
        <f>CI189</f>
        <v>0</v>
      </c>
      <c r="CJ183" s="3">
        <f>CI183</f>
        <v>0</v>
      </c>
      <c r="CK183" s="3">
        <f>CK189</f>
        <v>0</v>
      </c>
      <c r="CL183" s="3">
        <f>CL189</f>
        <v>0</v>
      </c>
      <c r="CM183" s="3">
        <f>CM189</f>
        <v>0</v>
      </c>
      <c r="CN183" s="3">
        <f>CN189</f>
        <v>0</v>
      </c>
      <c r="CO183" s="3">
        <f>CN183</f>
        <v>0</v>
      </c>
      <c r="CP183" s="3">
        <f>CP189</f>
        <v>0</v>
      </c>
      <c r="CQ183" s="3">
        <f>CQ189</f>
        <v>0</v>
      </c>
      <c r="CR183" s="3">
        <f>CR189</f>
        <v>0</v>
      </c>
      <c r="CS183" s="3">
        <f>CS189</f>
        <v>0</v>
      </c>
      <c r="CT183" s="3">
        <f>CS183</f>
        <v>0</v>
      </c>
      <c r="CU183" s="3">
        <f>CU189</f>
        <v>0</v>
      </c>
      <c r="CV183" s="3">
        <f>CV189</f>
        <v>0</v>
      </c>
      <c r="CW183" s="3">
        <f>CW189</f>
        <v>0</v>
      </c>
      <c r="CX183" s="3">
        <f>CX189</f>
        <v>0</v>
      </c>
      <c r="CY183" s="3">
        <f>CX183</f>
        <v>0</v>
      </c>
    </row>
    <row r="184" hidden="1" outlineLevel="1">
      <c r="C184" s="34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  <c r="CU184" s="3" t="n"/>
      <c r="CV184" s="3" t="n"/>
      <c r="CW184" s="3" t="n"/>
      <c r="CX184" s="3" t="n"/>
      <c r="CY184" s="3" t="n"/>
    </row>
    <row r="185" hidden="1" outlineLevel="1">
      <c r="C185" s="34" t="inlineStr">
        <is>
          <t>Current portion of LTD</t>
        </is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>
        <f>AF178</f>
        <v>999</v>
      </c>
      <c r="AI185" s="35" t="n"/>
      <c r="AJ185" s="35" t="n"/>
      <c r="AK185" s="35" t="n"/>
      <c r="AL185" s="3" t="n"/>
      <c r="AM185" s="3">
        <f>AK178</f>
        <v>999</v>
      </c>
      <c r="AN185" s="35" t="n"/>
      <c r="AO185" s="35" t="n"/>
      <c r="AP185" s="35" t="n"/>
      <c r="AQ185" s="3" t="n"/>
      <c r="AR185" s="3">
        <f>AP178</f>
        <v>999</v>
      </c>
      <c r="AS185" s="35" t="n"/>
      <c r="AT185" s="35" t="n"/>
      <c r="AU185" s="35" t="n"/>
      <c r="AV185" s="3" t="n"/>
      <c r="AW185" s="3">
        <f>AU178</f>
        <v>999</v>
      </c>
      <c r="AX185" s="35" t="n"/>
      <c r="AY185" s="35" t="n"/>
      <c r="AZ185" s="35" t="n"/>
      <c r="BA185" s="3" t="n"/>
      <c r="BB185" s="3">
        <f>AZ178</f>
        <v>999</v>
      </c>
      <c r="BC185" s="35" t="n"/>
      <c r="BD185" s="35" t="n"/>
      <c r="BE185" s="35" t="n"/>
      <c r="BF185" s="3" t="n"/>
      <c r="BG185" s="3">
        <f>BE178</f>
        <v>999</v>
      </c>
      <c r="BH185" s="35" t="n"/>
      <c r="BI185" s="35" t="n"/>
      <c r="BJ185" s="35" t="n"/>
      <c r="BK185" s="3" t="n"/>
      <c r="BL185" s="3">
        <f>BJ178</f>
        <v>999</v>
      </c>
      <c r="BM185" s="35" t="n"/>
      <c r="BN185" s="35" t="n"/>
      <c r="BO185" s="35" t="n"/>
      <c r="BP185" s="3" t="n"/>
      <c r="BQ185" s="3">
        <f>BO178</f>
        <v>999</v>
      </c>
      <c r="BR185" s="35" t="n"/>
      <c r="BS185" s="35" t="n"/>
      <c r="BT185" s="35" t="n"/>
      <c r="BU185" s="3" t="n"/>
      <c r="BV185" s="3">
        <f>BT178</f>
        <v>999</v>
      </c>
      <c r="BW185" s="35" t="n"/>
      <c r="BX185" s="35" t="n"/>
      <c r="BY185" s="35" t="n"/>
      <c r="BZ185" s="3" t="n"/>
      <c r="CA185" s="3">
        <f>BY178</f>
        <v>999</v>
      </c>
      <c r="CB185" s="35" t="n"/>
      <c r="CC185" s="35" t="n"/>
      <c r="CD185" s="35" t="n"/>
      <c r="CE185" s="3" t="n"/>
      <c r="CF185" s="3">
        <f>CD178</f>
        <v>999</v>
      </c>
      <c r="CG185" s="35" t="n"/>
      <c r="CH185" s="35" t="n"/>
      <c r="CI185" s="35" t="n"/>
      <c r="CJ185" s="3" t="n"/>
      <c r="CK185" s="3">
        <f>CI178</f>
        <v>999</v>
      </c>
      <c r="CL185" s="35" t="n"/>
      <c r="CM185" s="35" t="n"/>
      <c r="CN185" s="35" t="n"/>
      <c r="CO185" s="3" t="n"/>
      <c r="CP185" s="3">
        <f>CN178</f>
        <v>999</v>
      </c>
      <c r="CQ185" s="35" t="n"/>
      <c r="CR185" s="35" t="n"/>
      <c r="CS185" s="35" t="n"/>
      <c r="CT185" s="3" t="n"/>
      <c r="CU185" s="3">
        <f>CS178</f>
        <v>999</v>
      </c>
      <c r="CV185" s="35" t="n"/>
      <c r="CW185" s="35" t="n"/>
      <c r="CX185" s="35" t="n"/>
      <c r="CY185" s="3" t="n"/>
    </row>
    <row r="186" hidden="1" outlineLevel="1">
      <c r="C186" s="34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  <c r="CU186" s="3" t="n"/>
      <c r="CV186" s="3" t="n"/>
      <c r="CW186" s="3" t="n"/>
      <c r="CX186" s="3" t="n"/>
      <c r="CY186" s="3" t="n"/>
    </row>
    <row r="187" hidden="1" outlineLevel="1">
      <c r="C187" s="34" t="inlineStr">
        <is>
          <t>Reclassification of LTD to CP of LTD</t>
        </is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>
        <f>-AI185</f>
        <v>0</v>
      </c>
      <c r="AJ187" s="3">
        <f>-AJ185</f>
        <v>0</v>
      </c>
      <c r="AK187" s="3">
        <f>-AK185</f>
        <v>0</v>
      </c>
      <c r="AL187" s="3" t="n"/>
      <c r="AM187" s="3" t="n"/>
      <c r="AN187" s="3">
        <f>-AN185</f>
        <v>0</v>
      </c>
      <c r="AO187" s="3">
        <f>-AO185</f>
        <v>0</v>
      </c>
      <c r="AP187" s="3">
        <f>-AP185</f>
        <v>0</v>
      </c>
      <c r="AQ187" s="3" t="n"/>
      <c r="AR187" s="3" t="n"/>
      <c r="AS187" s="3">
        <f>-AS185</f>
        <v>0</v>
      </c>
      <c r="AT187" s="3">
        <f>-AT185</f>
        <v>0</v>
      </c>
      <c r="AU187" s="3">
        <f>-AU185</f>
        <v>0</v>
      </c>
      <c r="AV187" s="3" t="n"/>
      <c r="AW187" s="3" t="n"/>
      <c r="AX187" s="3">
        <f>-AX185</f>
        <v>0</v>
      </c>
      <c r="AY187" s="3">
        <f>-AY185</f>
        <v>0</v>
      </c>
      <c r="AZ187" s="3">
        <f>-AZ185</f>
        <v>0</v>
      </c>
      <c r="BA187" s="3" t="n"/>
      <c r="BB187" s="3" t="n"/>
      <c r="BC187" s="3">
        <f>-BC185</f>
        <v>0</v>
      </c>
      <c r="BD187" s="3">
        <f>-BD185</f>
        <v>0</v>
      </c>
      <c r="BE187" s="3">
        <f>-BE185</f>
        <v>0</v>
      </c>
      <c r="BF187" s="3" t="n"/>
      <c r="BG187" s="3" t="n"/>
      <c r="BH187" s="3">
        <f>-BH185</f>
        <v>0</v>
      </c>
      <c r="BI187" s="3">
        <f>-BI185</f>
        <v>0</v>
      </c>
      <c r="BJ187" s="3">
        <f>-BJ185</f>
        <v>0</v>
      </c>
      <c r="BK187" s="3" t="n"/>
      <c r="BL187" s="3" t="n"/>
      <c r="BM187" s="3">
        <f>-BM185</f>
        <v>0</v>
      </c>
      <c r="BN187" s="3">
        <f>-BN185</f>
        <v>0</v>
      </c>
      <c r="BO187" s="3">
        <f>-BO185</f>
        <v>0</v>
      </c>
      <c r="BP187" s="3" t="n"/>
      <c r="BQ187" s="3" t="n"/>
      <c r="BR187" s="3">
        <f>-BR185</f>
        <v>0</v>
      </c>
      <c r="BS187" s="3">
        <f>-BS185</f>
        <v>0</v>
      </c>
      <c r="BT187" s="3">
        <f>-BT185</f>
        <v>0</v>
      </c>
      <c r="BU187" s="3" t="n"/>
      <c r="BV187" s="3" t="n"/>
      <c r="BW187" s="3">
        <f>-BW185</f>
        <v>0</v>
      </c>
      <c r="BX187" s="3">
        <f>-BX185</f>
        <v>0</v>
      </c>
      <c r="BY187" s="3">
        <f>-BY185</f>
        <v>0</v>
      </c>
      <c r="BZ187" s="3" t="n"/>
      <c r="CA187" s="3" t="n"/>
      <c r="CB187" s="3">
        <f>-CB185</f>
        <v>0</v>
      </c>
      <c r="CC187" s="3">
        <f>-CC185</f>
        <v>0</v>
      </c>
      <c r="CD187" s="3">
        <f>-CD185</f>
        <v>0</v>
      </c>
      <c r="CE187" s="3" t="n"/>
      <c r="CF187" s="3" t="n"/>
      <c r="CG187" s="3">
        <f>-CG185</f>
        <v>0</v>
      </c>
      <c r="CH187" s="3">
        <f>-CH185</f>
        <v>0</v>
      </c>
      <c r="CI187" s="3">
        <f>-CI185</f>
        <v>0</v>
      </c>
      <c r="CJ187" s="3" t="n"/>
      <c r="CK187" s="3" t="n"/>
      <c r="CL187" s="3">
        <f>-CL185</f>
        <v>0</v>
      </c>
      <c r="CM187" s="3">
        <f>-CM185</f>
        <v>0</v>
      </c>
      <c r="CN187" s="3">
        <f>-CN185</f>
        <v>0</v>
      </c>
      <c r="CO187" s="3" t="n"/>
      <c r="CP187" s="3" t="n"/>
      <c r="CQ187" s="3">
        <f>-CQ185</f>
        <v>0</v>
      </c>
      <c r="CR187" s="3">
        <f>-CR185</f>
        <v>0</v>
      </c>
      <c r="CS187" s="3">
        <f>-CS185</f>
        <v>0</v>
      </c>
      <c r="CT187" s="3" t="n"/>
      <c r="CU187" s="3" t="n"/>
      <c r="CV187" s="3">
        <f>-CV185</f>
        <v>0</v>
      </c>
      <c r="CW187" s="3">
        <f>-CW185</f>
        <v>0</v>
      </c>
      <c r="CX187" s="3">
        <f>-CX185</f>
        <v>0</v>
      </c>
      <c r="CY187" s="3" t="n"/>
    </row>
    <row r="188" hidden="1" outlineLevel="1">
      <c r="C188" s="34" t="inlineStr">
        <is>
          <t>Discretionary (paydown)/borrowing of long term debt</t>
        </is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5" t="n"/>
      <c r="AI188" s="35" t="n"/>
      <c r="AJ188" s="35" t="n"/>
      <c r="AK188" s="35" t="n"/>
      <c r="AL188" s="3" t="n"/>
      <c r="AM188" s="35" t="n"/>
      <c r="AN188" s="35" t="n"/>
      <c r="AO188" s="35" t="n"/>
      <c r="AP188" s="35" t="n"/>
      <c r="AQ188" s="3" t="n"/>
      <c r="AR188" s="35" t="n"/>
      <c r="AS188" s="35" t="n"/>
      <c r="AT188" s="35" t="n"/>
      <c r="AU188" s="35" t="n"/>
      <c r="AV188" s="3" t="n"/>
      <c r="AW188" s="35" t="n"/>
      <c r="AX188" s="35" t="n"/>
      <c r="AY188" s="35" t="n"/>
      <c r="AZ188" s="35" t="n"/>
      <c r="BA188" s="3" t="n"/>
      <c r="BB188" s="35" t="n"/>
      <c r="BC188" s="35" t="n"/>
      <c r="BD188" s="35" t="n"/>
      <c r="BE188" s="35" t="n"/>
      <c r="BF188" s="3" t="n"/>
      <c r="BG188" s="35" t="n"/>
      <c r="BH188" s="35" t="n"/>
      <c r="BI188" s="35" t="n"/>
      <c r="BJ188" s="35" t="n"/>
      <c r="BK188" s="3" t="n"/>
      <c r="BL188" s="35" t="n"/>
      <c r="BM188" s="35" t="n"/>
      <c r="BN188" s="35" t="n"/>
      <c r="BO188" s="35" t="n"/>
      <c r="BP188" s="3" t="n"/>
      <c r="BQ188" s="35" t="n"/>
      <c r="BR188" s="35" t="n"/>
      <c r="BS188" s="35" t="n"/>
      <c r="BT188" s="35" t="n"/>
      <c r="BU188" s="3" t="n"/>
      <c r="BV188" s="35" t="n"/>
      <c r="BW188" s="35" t="n"/>
      <c r="BX188" s="35" t="n"/>
      <c r="BY188" s="35" t="n"/>
      <c r="BZ188" s="3" t="n"/>
      <c r="CA188" s="35" t="n"/>
      <c r="CB188" s="35" t="n"/>
      <c r="CC188" s="35" t="n"/>
      <c r="CD188" s="35" t="n"/>
      <c r="CE188" s="3" t="n"/>
      <c r="CF188" s="35" t="n"/>
      <c r="CG188" s="35" t="n"/>
      <c r="CH188" s="35" t="n"/>
      <c r="CI188" s="35" t="n"/>
      <c r="CJ188" s="3" t="n"/>
      <c r="CK188" s="35" t="n"/>
      <c r="CL188" s="35" t="n"/>
      <c r="CM188" s="35" t="n"/>
      <c r="CN188" s="35" t="n"/>
      <c r="CO188" s="3" t="n"/>
      <c r="CP188" s="35" t="n"/>
      <c r="CQ188" s="35" t="n"/>
      <c r="CR188" s="35" t="n"/>
      <c r="CS188" s="35" t="n"/>
      <c r="CT188" s="3" t="n"/>
      <c r="CU188" s="35" t="n"/>
      <c r="CV188" s="35" t="n"/>
      <c r="CW188" s="35" t="n"/>
      <c r="CX188" s="35" t="n"/>
      <c r="CY188" s="3" t="n"/>
    </row>
    <row r="189" hidden="1" outlineLevel="1">
      <c r="C189" s="34" t="inlineStr">
        <is>
          <t>Long term debt</t>
        </is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>
        <f>AG189+SUM(AH187:AH188)</f>
        <v>0</v>
      </c>
      <c r="AI189" s="3" t="n">
        <v>0</v>
      </c>
      <c r="AJ189" s="3" t="n">
        <v>0</v>
      </c>
      <c r="AK189" s="3" t="n">
        <v>0</v>
      </c>
      <c r="AL189" s="3" t="n"/>
      <c r="AM189" s="3">
        <f>AL189+SUM(AM187:AM188)</f>
        <v>0</v>
      </c>
      <c r="AN189" s="3" t="n">
        <v>0</v>
      </c>
      <c r="AO189" s="3" t="n">
        <v>0</v>
      </c>
      <c r="AP189" s="3" t="n">
        <v>0</v>
      </c>
      <c r="AQ189" s="3" t="n"/>
      <c r="AR189" s="3">
        <f>AQ189+SUM(AR187:AR188)</f>
        <v>0</v>
      </c>
      <c r="AS189" s="3" t="n">
        <v>0</v>
      </c>
      <c r="AT189" s="3" t="n">
        <v>0</v>
      </c>
      <c r="AU189" s="3" t="n">
        <v>0</v>
      </c>
      <c r="AV189" s="3" t="n"/>
      <c r="AW189" s="3">
        <f>AV189+SUM(AW187:AW188)</f>
        <v>0</v>
      </c>
      <c r="AX189" s="3" t="n">
        <v>0</v>
      </c>
      <c r="AY189" s="3" t="n">
        <v>0</v>
      </c>
      <c r="AZ189" s="3" t="n">
        <v>0</v>
      </c>
      <c r="BA189" s="3" t="n"/>
      <c r="BB189" s="3">
        <f>BA189+SUM(BB187:BB188)</f>
        <v>0</v>
      </c>
      <c r="BC189" s="3" t="n">
        <v>0</v>
      </c>
      <c r="BD189" s="3" t="n">
        <v>0</v>
      </c>
      <c r="BE189" s="3" t="n">
        <v>0</v>
      </c>
      <c r="BF189" s="3" t="n"/>
      <c r="BG189" s="3">
        <f>BF189+SUM(BG187:BG188)</f>
        <v>0</v>
      </c>
      <c r="BH189" s="3" t="n">
        <v>0</v>
      </c>
      <c r="BI189" s="3" t="n">
        <v>0</v>
      </c>
      <c r="BJ189" s="3" t="n">
        <v>0</v>
      </c>
      <c r="BK189" s="3" t="n"/>
      <c r="BL189" s="3">
        <f>BK189+SUM(BL187:BL188)</f>
        <v>0</v>
      </c>
      <c r="BM189" s="3" t="n">
        <v>0</v>
      </c>
      <c r="BN189" s="3" t="n">
        <v>0</v>
      </c>
      <c r="BO189" s="3" t="n">
        <v>0</v>
      </c>
      <c r="BP189" s="3" t="n"/>
      <c r="BQ189" s="3">
        <f>BP189+SUM(BQ187:BQ188)</f>
        <v>0</v>
      </c>
      <c r="BR189" s="3" t="n">
        <v>0</v>
      </c>
      <c r="BS189" s="3" t="n">
        <v>0</v>
      </c>
      <c r="BT189" s="3" t="n">
        <v>0</v>
      </c>
      <c r="BU189" s="3" t="n"/>
      <c r="BV189" s="3">
        <f>BU189+SUM(BV187:BV188)</f>
        <v>0</v>
      </c>
      <c r="BW189" s="3" t="n">
        <v>0</v>
      </c>
      <c r="BX189" s="3" t="n">
        <v>0</v>
      </c>
      <c r="BY189" s="3" t="n">
        <v>0</v>
      </c>
      <c r="BZ189" s="3" t="n"/>
      <c r="CA189" s="3">
        <f>BZ189+SUM(CA187:CA188)</f>
        <v>0</v>
      </c>
      <c r="CB189" s="3" t="n">
        <v>0</v>
      </c>
      <c r="CC189" s="3" t="n">
        <v>0</v>
      </c>
      <c r="CD189" s="3" t="n">
        <v>0</v>
      </c>
      <c r="CE189" s="3" t="n"/>
      <c r="CF189" s="3">
        <f>CE189+SUM(CF187:CF188)</f>
        <v>0</v>
      </c>
      <c r="CG189" s="3" t="n">
        <v>0</v>
      </c>
      <c r="CH189" s="3" t="n">
        <v>0</v>
      </c>
      <c r="CI189" s="3" t="n">
        <v>0</v>
      </c>
      <c r="CJ189" s="3" t="n"/>
      <c r="CK189" s="3">
        <f>CJ189+SUM(CK187:CK188)</f>
        <v>0</v>
      </c>
      <c r="CL189" s="3" t="n">
        <v>0</v>
      </c>
      <c r="CM189" s="3" t="n">
        <v>0</v>
      </c>
      <c r="CN189" s="3" t="n">
        <v>0</v>
      </c>
      <c r="CO189" s="3" t="n"/>
      <c r="CP189" s="3">
        <f>CO189+SUM(CP187:CP188)</f>
        <v>0</v>
      </c>
      <c r="CQ189" s="3" t="n">
        <v>0</v>
      </c>
      <c r="CR189" s="3" t="n">
        <v>0</v>
      </c>
      <c r="CS189" s="3" t="n">
        <v>0</v>
      </c>
      <c r="CT189" s="3" t="n"/>
      <c r="CU189" s="3">
        <f>CT189+SUM(CU187:CU188)</f>
        <v>0</v>
      </c>
      <c r="CV189" s="3" t="n">
        <v>0</v>
      </c>
      <c r="CW189" s="3" t="n">
        <v>0</v>
      </c>
      <c r="CX189" s="3" t="n">
        <v>0</v>
      </c>
      <c r="CY189" s="3" t="n"/>
    </row>
    <row r="190" hidden="1" outlineLevel="1">
      <c r="C190" s="34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  <c r="CU190" s="3" t="n"/>
      <c r="CV190" s="3" t="n"/>
      <c r="CW190" s="3" t="n"/>
      <c r="CX190" s="3" t="n"/>
      <c r="CY190" s="3" t="n"/>
    </row>
    <row r="191" hidden="1" outlineLevel="1">
      <c r="C191" s="34" t="inlineStr">
        <is>
          <t>Discretionary (paydown)/borrowing of convertible debt</t>
        </is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5" t="n"/>
      <c r="AI191" s="35" t="n"/>
      <c r="AJ191" s="35" t="n"/>
      <c r="AK191" s="35" t="n"/>
      <c r="AL191" s="3" t="n"/>
      <c r="AM191" s="35" t="n"/>
      <c r="AN191" s="35" t="n"/>
      <c r="AO191" s="35" t="n"/>
      <c r="AP191" s="35" t="n"/>
      <c r="AQ191" s="3" t="n"/>
      <c r="AR191" s="35" t="n"/>
      <c r="AS191" s="35" t="n"/>
      <c r="AT191" s="35" t="n"/>
      <c r="AU191" s="35" t="n"/>
      <c r="AV191" s="3" t="n"/>
      <c r="AW191" s="35" t="n"/>
      <c r="AX191" s="35" t="n"/>
      <c r="AY191" s="35" t="n"/>
      <c r="AZ191" s="35" t="n"/>
      <c r="BA191" s="3" t="n"/>
      <c r="BB191" s="35" t="n"/>
      <c r="BC191" s="35" t="n"/>
      <c r="BD191" s="35" t="n"/>
      <c r="BE191" s="35" t="n"/>
      <c r="BF191" s="3" t="n"/>
      <c r="BG191" s="35" t="n"/>
      <c r="BH191" s="35" t="n"/>
      <c r="BI191" s="35" t="n"/>
      <c r="BJ191" s="35" t="n"/>
      <c r="BK191" s="3" t="n"/>
      <c r="BL191" s="35" t="n"/>
      <c r="BM191" s="35" t="n"/>
      <c r="BN191" s="35" t="n"/>
      <c r="BO191" s="35" t="n"/>
      <c r="BP191" s="3" t="n"/>
      <c r="BQ191" s="35" t="n"/>
      <c r="BR191" s="35" t="n"/>
      <c r="BS191" s="35" t="n"/>
      <c r="BT191" s="35" t="n"/>
      <c r="BU191" s="3" t="n"/>
      <c r="BV191" s="35" t="n"/>
      <c r="BW191" s="35" t="n"/>
      <c r="BX191" s="35" t="n"/>
      <c r="BY191" s="35" t="n"/>
      <c r="BZ191" s="3" t="n"/>
      <c r="CA191" s="35" t="n"/>
      <c r="CB191" s="35" t="n"/>
      <c r="CC191" s="35" t="n"/>
      <c r="CD191" s="35" t="n"/>
      <c r="CE191" s="3" t="n"/>
      <c r="CF191" s="35" t="n"/>
      <c r="CG191" s="35" t="n"/>
      <c r="CH191" s="35" t="n"/>
      <c r="CI191" s="35" t="n"/>
      <c r="CJ191" s="3" t="n"/>
      <c r="CK191" s="35" t="n"/>
      <c r="CL191" s="35" t="n"/>
      <c r="CM191" s="35" t="n"/>
      <c r="CN191" s="35" t="n"/>
      <c r="CO191" s="3" t="n"/>
      <c r="CP191" s="35" t="n"/>
      <c r="CQ191" s="35" t="n"/>
      <c r="CR191" s="35" t="n"/>
      <c r="CS191" s="35" t="n"/>
      <c r="CT191" s="3" t="n"/>
      <c r="CU191" s="35" t="n"/>
      <c r="CV191" s="35" t="n"/>
      <c r="CW191" s="35" t="n"/>
      <c r="CX191" s="35" t="n"/>
      <c r="CY191" s="3" t="n"/>
    </row>
    <row r="192" hidden="1" outlineLevel="1">
      <c r="C192" s="34" t="inlineStr">
        <is>
          <t>Convertible debt</t>
        </is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>
        <f>AH204</f>
        <v>0</v>
      </c>
      <c r="AI192" s="3">
        <f>AH192+SUM(AI191)</f>
        <v>0</v>
      </c>
      <c r="AJ192" s="3">
        <f>AI192+SUM(AJ191)</f>
        <v>0</v>
      </c>
      <c r="AK192" s="3">
        <f>AJ192+SUM(AK191)</f>
        <v>0</v>
      </c>
      <c r="AL192" s="3" t="n"/>
      <c r="AM192" s="3">
        <f>AM204</f>
        <v>0</v>
      </c>
      <c r="AN192" s="3">
        <f>AM192+SUM(AN191)</f>
        <v>0</v>
      </c>
      <c r="AO192" s="3">
        <f>AN192+SUM(AO191)</f>
        <v>0</v>
      </c>
      <c r="AP192" s="3">
        <f>AO192+SUM(AP191)</f>
        <v>0</v>
      </c>
      <c r="AQ192" s="3" t="n"/>
      <c r="AR192" s="3">
        <f>AR204</f>
        <v>0</v>
      </c>
      <c r="AS192" s="3">
        <f>AR192+SUM(AS191)</f>
        <v>0</v>
      </c>
      <c r="AT192" s="3">
        <f>AS192+SUM(AT191)</f>
        <v>0</v>
      </c>
      <c r="AU192" s="3">
        <f>AT192+SUM(AU191)</f>
        <v>0</v>
      </c>
      <c r="AV192" s="3" t="n"/>
      <c r="AW192" s="3">
        <f>AW204</f>
        <v>0</v>
      </c>
      <c r="AX192" s="3">
        <f>AW192+SUM(AX191)</f>
        <v>0</v>
      </c>
      <c r="AY192" s="3">
        <f>AX192+SUM(AY191)</f>
        <v>0</v>
      </c>
      <c r="AZ192" s="3">
        <f>AY192+SUM(AZ191)</f>
        <v>0</v>
      </c>
      <c r="BA192" s="3" t="n"/>
      <c r="BB192" s="3">
        <f>BB204</f>
        <v>0</v>
      </c>
      <c r="BC192" s="3">
        <f>BB192+SUM(BC191)</f>
        <v>0</v>
      </c>
      <c r="BD192" s="3">
        <f>BC192+SUM(BD191)</f>
        <v>0</v>
      </c>
      <c r="BE192" s="3">
        <f>BD192+SUM(BE191)</f>
        <v>0</v>
      </c>
      <c r="BF192" s="3" t="n"/>
      <c r="BG192" s="3">
        <f>BG204</f>
        <v>0</v>
      </c>
      <c r="BH192" s="3">
        <f>BG192+SUM(BH191)</f>
        <v>0</v>
      </c>
      <c r="BI192" s="3">
        <f>BH192+SUM(BI191)</f>
        <v>0</v>
      </c>
      <c r="BJ192" s="3">
        <f>BI192+SUM(BJ191)</f>
        <v>0</v>
      </c>
      <c r="BK192" s="3" t="n"/>
      <c r="BL192" s="3">
        <f>BL204</f>
        <v>0</v>
      </c>
      <c r="BM192" s="3">
        <f>BL192+SUM(BM191)</f>
        <v>0</v>
      </c>
      <c r="BN192" s="3">
        <f>BM192+SUM(BN191)</f>
        <v>0</v>
      </c>
      <c r="BO192" s="3">
        <f>BN192+SUM(BO191)</f>
        <v>0</v>
      </c>
      <c r="BP192" s="3" t="n"/>
      <c r="BQ192" s="3">
        <f>BQ204</f>
        <v>0</v>
      </c>
      <c r="BR192" s="3">
        <f>BQ192+SUM(BR191)</f>
        <v>0</v>
      </c>
      <c r="BS192" s="3">
        <f>BR192+SUM(BS191)</f>
        <v>0</v>
      </c>
      <c r="BT192" s="3">
        <f>BS192+SUM(BT191)</f>
        <v>0</v>
      </c>
      <c r="BU192" s="3" t="n"/>
      <c r="BV192" s="3">
        <f>BV204</f>
        <v>0</v>
      </c>
      <c r="BW192" s="3">
        <f>BV192+SUM(BW191)</f>
        <v>0</v>
      </c>
      <c r="BX192" s="3">
        <f>BW192+SUM(BX191)</f>
        <v>0</v>
      </c>
      <c r="BY192" s="3">
        <f>BX192+SUM(BY191)</f>
        <v>0</v>
      </c>
      <c r="BZ192" s="3" t="n"/>
      <c r="CA192" s="3">
        <f>CA204</f>
        <v>0</v>
      </c>
      <c r="CB192" s="3">
        <f>CA192+SUM(CB191)</f>
        <v>0</v>
      </c>
      <c r="CC192" s="3">
        <f>CB192+SUM(CC191)</f>
        <v>0</v>
      </c>
      <c r="CD192" s="3">
        <f>CC192+SUM(CD191)</f>
        <v>0</v>
      </c>
      <c r="CE192" s="3" t="n"/>
      <c r="CF192" s="3">
        <f>CF204</f>
        <v>0</v>
      </c>
      <c r="CG192" s="3">
        <f>CF192+SUM(CG191)</f>
        <v>0</v>
      </c>
      <c r="CH192" s="3">
        <f>CG192+SUM(CH191)</f>
        <v>0</v>
      </c>
      <c r="CI192" s="3">
        <f>CH192+SUM(CI191)</f>
        <v>0</v>
      </c>
      <c r="CJ192" s="3" t="n"/>
      <c r="CK192" s="3">
        <f>CK204</f>
        <v>0</v>
      </c>
      <c r="CL192" s="3">
        <f>CK192+SUM(CL191)</f>
        <v>0</v>
      </c>
      <c r="CM192" s="3">
        <f>CL192+SUM(CM191)</f>
        <v>0</v>
      </c>
      <c r="CN192" s="3">
        <f>CM192+SUM(CN191)</f>
        <v>0</v>
      </c>
      <c r="CO192" s="3" t="n"/>
      <c r="CP192" s="3">
        <f>CP204</f>
        <v>0</v>
      </c>
      <c r="CQ192" s="3">
        <f>CP192+SUM(CQ191)</f>
        <v>0</v>
      </c>
      <c r="CR192" s="3">
        <f>CQ192+SUM(CR191)</f>
        <v>0</v>
      </c>
      <c r="CS192" s="3">
        <f>CR192+SUM(CS191)</f>
        <v>0</v>
      </c>
      <c r="CT192" s="3" t="n"/>
      <c r="CU192" s="3">
        <f>CU204</f>
        <v>0</v>
      </c>
      <c r="CV192" s="3">
        <f>CU192+SUM(CV191)</f>
        <v>0</v>
      </c>
      <c r="CW192" s="3">
        <f>CV192+SUM(CW191)</f>
        <v>0</v>
      </c>
      <c r="CX192" s="3">
        <f>CW192+SUM(CX191)</f>
        <v>0</v>
      </c>
      <c r="CY192" s="3" t="n"/>
    </row>
    <row r="193" hidden="1" outlineLevel="1">
      <c r="C193" s="34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I193" s="3" t="n"/>
      <c r="AJ193" s="3" t="n"/>
      <c r="AK193" s="3" t="n"/>
      <c r="AL193" s="3" t="n"/>
      <c r="AN193" s="3" t="n"/>
      <c r="AO193" s="3" t="n"/>
      <c r="AP193" s="3" t="n"/>
      <c r="AQ193" s="3" t="n"/>
      <c r="AS193" s="3" t="n"/>
      <c r="AT193" s="3" t="n"/>
      <c r="AU193" s="3" t="n"/>
      <c r="AV193" s="3" t="n"/>
      <c r="AX193" s="3" t="n"/>
      <c r="AY193" s="3" t="n"/>
      <c r="AZ193" s="3" t="n"/>
      <c r="BA193" s="3" t="n"/>
      <c r="BC193" s="3" t="n"/>
      <c r="BD193" s="3" t="n"/>
      <c r="BE193" s="3" t="n"/>
      <c r="BF193" s="3" t="n"/>
      <c r="BH193" s="3" t="n"/>
      <c r="BI193" s="3" t="n"/>
      <c r="BJ193" s="3" t="n"/>
      <c r="BK193" s="3" t="n"/>
      <c r="BM193" s="3" t="n"/>
      <c r="BN193" s="3" t="n"/>
      <c r="BO193" s="3" t="n"/>
      <c r="BP193" s="3" t="n"/>
      <c r="BR193" s="3" t="n"/>
      <c r="BS193" s="3" t="n"/>
      <c r="BT193" s="3" t="n"/>
      <c r="BU193" s="3" t="n"/>
      <c r="BW193" s="3" t="n"/>
      <c r="BX193" s="3" t="n"/>
      <c r="BY193" s="3" t="n"/>
      <c r="BZ193" s="3" t="n"/>
      <c r="CB193" s="3" t="n"/>
      <c r="CC193" s="3" t="n"/>
      <c r="CD193" s="3" t="n"/>
      <c r="CE193" s="3" t="n"/>
      <c r="CG193" s="3" t="n"/>
      <c r="CH193" s="3" t="n"/>
      <c r="CI193" s="3" t="n"/>
      <c r="CJ193" s="3" t="n"/>
      <c r="CL193" s="3" t="n"/>
      <c r="CM193" s="3" t="n"/>
      <c r="CN193" s="3" t="n"/>
      <c r="CO193" s="3" t="n"/>
      <c r="CQ193" s="3" t="n"/>
      <c r="CR193" s="3" t="n"/>
      <c r="CS193" s="3" t="n"/>
      <c r="CT193" s="3" t="n"/>
      <c r="CV193" s="3" t="n"/>
      <c r="CW193" s="3" t="n"/>
      <c r="CX193" s="3" t="n"/>
      <c r="CY193" s="3" t="n"/>
    </row>
    <row r="194" hidden="1" outlineLevel="1">
      <c r="C194" s="34" t="inlineStr">
        <is>
          <t>Calculation of short term debt</t>
        </is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  <c r="CU194" s="3" t="n"/>
      <c r="CV194" s="3" t="n"/>
      <c r="CW194" s="3" t="n"/>
      <c r="CX194" s="3" t="n"/>
      <c r="CY194" s="3" t="n"/>
    </row>
    <row r="195" hidden="1" outlineLevel="1">
      <c r="C195" s="34" t="inlineStr">
        <is>
          <t>Cash @ beginning of the period (end of last period)</t>
        </is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6">
        <f>AG110</f>
        <v>62556</v>
      </c>
      <c r="AI195" s="3" t="n"/>
      <c r="AJ195" s="3" t="n"/>
      <c r="AK195" s="3" t="n"/>
      <c r="AL195" s="3" t="n"/>
      <c r="AM195" s="36" t="e">
        <f>AL110</f>
        <v>#DIV/0!</v>
      </c>
      <c r="AN195" s="3" t="n"/>
      <c r="AO195" s="3" t="n"/>
      <c r="AP195" s="3" t="n"/>
      <c r="AQ195" s="3" t="n"/>
      <c r="AR195" s="36" t="e">
        <f>AQ110</f>
        <v>#DIV/0!</v>
      </c>
      <c r="AS195" s="3" t="n"/>
      <c r="AT195" s="3" t="n"/>
      <c r="AU195" s="3" t="n"/>
      <c r="AV195" s="3" t="n"/>
      <c r="AW195" s="36" t="e">
        <f>AV110</f>
        <v>#DIV/0!</v>
      </c>
      <c r="AX195" s="3" t="n"/>
      <c r="AY195" s="3" t="n"/>
      <c r="AZ195" s="3" t="n"/>
      <c r="BA195" s="3" t="n"/>
      <c r="BB195" s="36" t="e">
        <f>BA110</f>
        <v>#DIV/0!</v>
      </c>
      <c r="BC195" s="3" t="n"/>
      <c r="BD195" s="3" t="n"/>
      <c r="BE195" s="3" t="n"/>
      <c r="BF195" s="3" t="n"/>
      <c r="BG195" s="36" t="e">
        <f>BF110</f>
        <v>#DIV/0!</v>
      </c>
      <c r="BH195" s="3" t="n"/>
      <c r="BI195" s="3" t="n"/>
      <c r="BJ195" s="3" t="n"/>
      <c r="BK195" s="3" t="n"/>
      <c r="BL195" s="36" t="e">
        <f>BK110</f>
        <v>#DIV/0!</v>
      </c>
      <c r="BM195" s="3" t="n"/>
      <c r="BN195" s="3" t="n"/>
      <c r="BO195" s="3" t="n"/>
      <c r="BP195" s="3" t="n"/>
      <c r="BQ195" s="36" t="e">
        <f>BP110</f>
        <v>#DIV/0!</v>
      </c>
      <c r="BR195" s="3" t="n"/>
      <c r="BS195" s="3" t="n"/>
      <c r="BT195" s="3" t="n"/>
      <c r="BU195" s="3" t="n"/>
      <c r="BV195" s="36" t="e">
        <f>BU110</f>
        <v>#DIV/0!</v>
      </c>
      <c r="BW195" s="3" t="n"/>
      <c r="BX195" s="3" t="n"/>
      <c r="BY195" s="3" t="n"/>
      <c r="BZ195" s="3" t="n"/>
      <c r="CA195" s="36" t="e">
        <f>BZ110</f>
        <v>#DIV/0!</v>
      </c>
      <c r="CB195" s="3" t="n"/>
      <c r="CC195" s="3" t="n"/>
      <c r="CD195" s="3" t="n"/>
      <c r="CE195" s="3" t="n"/>
      <c r="CF195" s="36" t="e">
        <f>CE110</f>
        <v>#DIV/0!</v>
      </c>
      <c r="CG195" s="3" t="n"/>
      <c r="CH195" s="3" t="n"/>
      <c r="CI195" s="3" t="n"/>
      <c r="CJ195" s="3" t="n"/>
      <c r="CK195" s="36" t="e">
        <f>CJ110</f>
        <v>#DIV/0!</v>
      </c>
      <c r="CL195" s="3" t="n"/>
      <c r="CM195" s="3" t="n"/>
      <c r="CN195" s="3" t="n"/>
      <c r="CO195" s="3" t="n"/>
      <c r="CP195" s="36" t="e">
        <f>CO110</f>
        <v>#DIV/0!</v>
      </c>
      <c r="CQ195" s="3" t="n"/>
      <c r="CR195" s="3" t="n"/>
      <c r="CS195" s="3" t="n"/>
      <c r="CT195" s="3" t="n"/>
      <c r="CU195" s="36" t="e">
        <f>CT110</f>
        <v>#DIV/0!</v>
      </c>
      <c r="CV195" s="3" t="n"/>
      <c r="CW195" s="3" t="n"/>
      <c r="CX195" s="3" t="n"/>
      <c r="CY195" s="3" t="n"/>
    </row>
    <row r="196" hidden="1" outlineLevel="1">
      <c r="C196" s="34" t="inlineStr">
        <is>
          <t>Plus: Free cash flows prior to debt during period</t>
        </is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inlineStr">
        <is>
          <t>% of sales</t>
        </is>
      </c>
      <c r="AH196" s="37" t="e">
        <f>(AH258,AH265)+SUM(AH268:AH274)</f>
        <v>#VALUE!</v>
      </c>
      <c r="AI196" s="37" t="e">
        <f>(AI258,AI265)+SUM(AI268:AI274)</f>
        <v>#VALUE!</v>
      </c>
      <c r="AJ196" s="37" t="e">
        <f>(AJ258,AJ265)+SUM(AJ268:AJ274)</f>
        <v>#VALUE!</v>
      </c>
      <c r="AK196" s="37" t="e">
        <f>(AK258,AK265)+SUM(AK268:AK274)</f>
        <v>#VALUE!</v>
      </c>
      <c r="AL196" s="3" t="n"/>
      <c r="AM196" s="37" t="e">
        <f>(AM258,AM265)+SUM(AM268:AM274)</f>
        <v>#VALUE!</v>
      </c>
      <c r="AN196" s="37" t="e">
        <f>(AN258,AN265)+SUM(AN268:AN274)</f>
        <v>#VALUE!</v>
      </c>
      <c r="AO196" s="37" t="e">
        <f>(AO258,AO265)+SUM(AO268:AO274)</f>
        <v>#VALUE!</v>
      </c>
      <c r="AP196" s="37" t="e">
        <f>(AP258,AP265)+SUM(AP268:AP274)</f>
        <v>#VALUE!</v>
      </c>
      <c r="AQ196" s="3" t="n"/>
      <c r="AR196" s="37" t="e">
        <f>(AR258,AR265)+SUM(AR268:AR274)</f>
        <v>#VALUE!</v>
      </c>
      <c r="AS196" s="37" t="e">
        <f>(AS258,AS265)+SUM(AS268:AS274)</f>
        <v>#VALUE!</v>
      </c>
      <c r="AT196" s="37" t="e">
        <f>(AT258,AT265)+SUM(AT268:AT274)</f>
        <v>#VALUE!</v>
      </c>
      <c r="AU196" s="37" t="e">
        <f>(AU258,AU265)+SUM(AU268:AU274)</f>
        <v>#VALUE!</v>
      </c>
      <c r="AV196" s="3" t="n"/>
      <c r="AW196" s="37" t="e">
        <f>(AW258,AW265)+SUM(AW268:AW274)</f>
        <v>#VALUE!</v>
      </c>
      <c r="AX196" s="37" t="e">
        <f>(AX258,AX265)+SUM(AX268:AX274)</f>
        <v>#VALUE!</v>
      </c>
      <c r="AY196" s="37" t="e">
        <f>(AY258,AY265)+SUM(AY268:AY274)</f>
        <v>#VALUE!</v>
      </c>
      <c r="AZ196" s="37" t="e">
        <f>(AZ258,AZ265)+SUM(AZ268:AZ274)</f>
        <v>#VALUE!</v>
      </c>
      <c r="BA196" s="3" t="n"/>
      <c r="BB196" s="37" t="e">
        <f>(BB258,BB265)+SUM(BB268:BB274)</f>
        <v>#VALUE!</v>
      </c>
      <c r="BC196" s="37" t="e">
        <f>(BC258,BC265)+SUM(BC268:BC274)</f>
        <v>#VALUE!</v>
      </c>
      <c r="BD196" s="37" t="e">
        <f>(BD258,BD265)+SUM(BD268:BD274)</f>
        <v>#VALUE!</v>
      </c>
      <c r="BE196" s="37" t="e">
        <f>(BE258,BE265)+SUM(BE268:BE274)</f>
        <v>#VALUE!</v>
      </c>
      <c r="BF196" s="3" t="n"/>
      <c r="BG196" s="37" t="e">
        <f>(BG258,BG265)+SUM(BG268:BG274)</f>
        <v>#VALUE!</v>
      </c>
      <c r="BH196" s="37" t="e">
        <f>(BH258,BH265)+SUM(BH268:BH274)</f>
        <v>#VALUE!</v>
      </c>
      <c r="BI196" s="37" t="e">
        <f>(BI258,BI265)+SUM(BI268:BI274)</f>
        <v>#VALUE!</v>
      </c>
      <c r="BJ196" s="37" t="e">
        <f>(BJ258,BJ265)+SUM(BJ268:BJ274)</f>
        <v>#VALUE!</v>
      </c>
      <c r="BK196" s="3" t="n"/>
      <c r="BL196" s="37" t="e">
        <f>(BL258,BL265)+SUM(BL268:BL274)</f>
        <v>#VALUE!</v>
      </c>
      <c r="BM196" s="37" t="e">
        <f>(BM258,BM265)+SUM(BM268:BM274)</f>
        <v>#VALUE!</v>
      </c>
      <c r="BN196" s="37" t="e">
        <f>(BN258,BN265)+SUM(BN268:BN274)</f>
        <v>#VALUE!</v>
      </c>
      <c r="BO196" s="37" t="e">
        <f>(BO258,BO265)+SUM(BO268:BO274)</f>
        <v>#VALUE!</v>
      </c>
      <c r="BP196" s="3" t="n"/>
      <c r="BQ196" s="37" t="e">
        <f>(BQ258,BQ265)+SUM(BQ268:BQ274)</f>
        <v>#VALUE!</v>
      </c>
      <c r="BR196" s="37" t="e">
        <f>(BR258,BR265)+SUM(BR268:BR274)</f>
        <v>#VALUE!</v>
      </c>
      <c r="BS196" s="37" t="e">
        <f>(BS258,BS265)+SUM(BS268:BS274)</f>
        <v>#VALUE!</v>
      </c>
      <c r="BT196" s="37" t="e">
        <f>(BT258,BT265)+SUM(BT268:BT274)</f>
        <v>#VALUE!</v>
      </c>
      <c r="BU196" s="3" t="n"/>
      <c r="BV196" s="37" t="e">
        <f>(BV258,BV265)+SUM(BV268:BV274)</f>
        <v>#VALUE!</v>
      </c>
      <c r="BW196" s="37" t="e">
        <f>(BW258,BW265)+SUM(BW268:BW274)</f>
        <v>#VALUE!</v>
      </c>
      <c r="BX196" s="37" t="e">
        <f>(BX258,BX265)+SUM(BX268:BX274)</f>
        <v>#VALUE!</v>
      </c>
      <c r="BY196" s="37" t="e">
        <f>(BY258,BY265)+SUM(BY268:BY274)</f>
        <v>#VALUE!</v>
      </c>
      <c r="BZ196" s="3" t="n"/>
      <c r="CA196" s="37" t="e">
        <f>(CA258,CA265)+SUM(CA268:CA274)</f>
        <v>#VALUE!</v>
      </c>
      <c r="CB196" s="37" t="e">
        <f>(CB258,CB265)+SUM(CB268:CB274)</f>
        <v>#VALUE!</v>
      </c>
      <c r="CC196" s="37" t="e">
        <f>(CC258,CC265)+SUM(CC268:CC274)</f>
        <v>#VALUE!</v>
      </c>
      <c r="CD196" s="37" t="e">
        <f>(CD258,CD265)+SUM(CD268:CD274)</f>
        <v>#VALUE!</v>
      </c>
      <c r="CE196" s="3" t="n"/>
      <c r="CF196" s="37" t="e">
        <f>(CF258,CF265)+SUM(CF268:CF274)</f>
        <v>#VALUE!</v>
      </c>
      <c r="CG196" s="37" t="e">
        <f>(CG258,CG265)+SUM(CG268:CG274)</f>
        <v>#VALUE!</v>
      </c>
      <c r="CH196" s="37" t="e">
        <f>(CH258,CH265)+SUM(CH268:CH274)</f>
        <v>#VALUE!</v>
      </c>
      <c r="CI196" s="37" t="e">
        <f>(CI258,CI265)+SUM(CI268:CI274)</f>
        <v>#VALUE!</v>
      </c>
      <c r="CJ196" s="3" t="n"/>
      <c r="CK196" s="37" t="e">
        <f>(CK258,CK265)+SUM(CK268:CK274)</f>
        <v>#VALUE!</v>
      </c>
      <c r="CL196" s="37" t="e">
        <f>(CL258,CL265)+SUM(CL268:CL274)</f>
        <v>#VALUE!</v>
      </c>
      <c r="CM196" s="37" t="e">
        <f>(CM258,CM265)+SUM(CM268:CM274)</f>
        <v>#VALUE!</v>
      </c>
      <c r="CN196" s="37" t="e">
        <f>(CN258,CN265)+SUM(CN268:CN274)</f>
        <v>#VALUE!</v>
      </c>
      <c r="CO196" s="3" t="n"/>
      <c r="CP196" s="37" t="e">
        <f>(CP258,CP265)+SUM(CP268:CP274)</f>
        <v>#VALUE!</v>
      </c>
      <c r="CQ196" s="37" t="e">
        <f>(CQ258,CQ265)+SUM(CQ268:CQ274)</f>
        <v>#VALUE!</v>
      </c>
      <c r="CR196" s="37" t="e">
        <f>(CR258,CR265)+SUM(CR268:CR274)</f>
        <v>#VALUE!</v>
      </c>
      <c r="CS196" s="37" t="e">
        <f>(CS258,CS265)+SUM(CS268:CS274)</f>
        <v>#VALUE!</v>
      </c>
      <c r="CT196" s="3" t="n"/>
      <c r="CU196" s="37" t="e">
        <f>(CU258,CU265)+SUM(CU268:CU274)</f>
        <v>#VALUE!</v>
      </c>
      <c r="CV196" s="37" t="e">
        <f>(CV258,CV265)+SUM(CV268:CV274)</f>
        <v>#VALUE!</v>
      </c>
      <c r="CW196" s="37" t="e">
        <f>(CW258,CW265)+SUM(CW268:CW274)</f>
        <v>#VALUE!</v>
      </c>
      <c r="CX196" s="37" t="e">
        <f>(CX258,CX265)+SUM(CX268:CX274)</f>
        <v>#VALUE!</v>
      </c>
      <c r="CY196" s="3" t="n"/>
    </row>
    <row r="197" hidden="1" outlineLevel="1">
      <c r="C197" s="34" t="inlineStr">
        <is>
          <t>Less: Minimum cash balance</t>
        </is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45" t="n"/>
      <c r="AH197" s="3">
        <f>($AG$197*AH15)</f>
        <v>0</v>
      </c>
      <c r="AI197" s="3">
        <f>($AG$197*AI15)</f>
        <v>0</v>
      </c>
      <c r="AJ197" s="3">
        <f>($AG$197*AJ15)</f>
        <v>0</v>
      </c>
      <c r="AK197" s="3">
        <f>($AG$197*AK15)</f>
        <v>0</v>
      </c>
      <c r="AL197" s="3" t="n"/>
      <c r="AM197" s="3">
        <f>($AG$197*AM15)</f>
        <v>0</v>
      </c>
      <c r="AN197" s="3">
        <f>($AG$197*AN15)</f>
        <v>0</v>
      </c>
      <c r="AO197" s="3">
        <f>($AG$197*AO15)</f>
        <v>0</v>
      </c>
      <c r="AP197" s="3">
        <f>($AG$197*AP15)</f>
        <v>0</v>
      </c>
      <c r="AQ197" s="3" t="n"/>
      <c r="AR197" s="3">
        <f>($AG$197*AR15)</f>
        <v>0</v>
      </c>
      <c r="AS197" s="3">
        <f>($AG$197*AS15)</f>
        <v>0</v>
      </c>
      <c r="AT197" s="3">
        <f>($AG$197*AT15)</f>
        <v>0</v>
      </c>
      <c r="AU197" s="3">
        <f>($AG$197*AU15)</f>
        <v>0</v>
      </c>
      <c r="AV197" s="3" t="n"/>
      <c r="AW197" s="3">
        <f>($AG$197*AW15)</f>
        <v>0</v>
      </c>
      <c r="AX197" s="3">
        <f>($AG$197*AX15)</f>
        <v>0</v>
      </c>
      <c r="AY197" s="3">
        <f>($AG$197*AY15)</f>
        <v>0</v>
      </c>
      <c r="AZ197" s="3">
        <f>($AG$197*AZ15)</f>
        <v>0</v>
      </c>
      <c r="BA197" s="3" t="n"/>
      <c r="BB197" s="3">
        <f>($AG$197*BB15)</f>
        <v>0</v>
      </c>
      <c r="BC197" s="3">
        <f>($AG$197*BC15)</f>
        <v>0</v>
      </c>
      <c r="BD197" s="3">
        <f>($AG$197*BD15)</f>
        <v>0</v>
      </c>
      <c r="BE197" s="3">
        <f>($AG$197*BE15)</f>
        <v>0</v>
      </c>
      <c r="BF197" s="3" t="n"/>
      <c r="BG197" s="3">
        <f>($AG$197*BG15)</f>
        <v>0</v>
      </c>
      <c r="BH197" s="3">
        <f>($AG$197*BH15)</f>
        <v>0</v>
      </c>
      <c r="BI197" s="3">
        <f>($AG$197*BI15)</f>
        <v>0</v>
      </c>
      <c r="BJ197" s="3">
        <f>($AG$197*BJ15)</f>
        <v>0</v>
      </c>
      <c r="BK197" s="3" t="n"/>
      <c r="BL197" s="3">
        <f>($AG$197*BL15)</f>
        <v>0</v>
      </c>
      <c r="BM197" s="3">
        <f>($AG$197*BM15)</f>
        <v>0</v>
      </c>
      <c r="BN197" s="3">
        <f>($AG$197*BN15)</f>
        <v>0</v>
      </c>
      <c r="BO197" s="3">
        <f>($AG$197*BO15)</f>
        <v>0</v>
      </c>
      <c r="BP197" s="3" t="n"/>
      <c r="BQ197" s="3">
        <f>($AG$197*BQ15)</f>
        <v>0</v>
      </c>
      <c r="BR197" s="3">
        <f>($AG$197*BR15)</f>
        <v>0</v>
      </c>
      <c r="BS197" s="3">
        <f>($AG$197*BS15)</f>
        <v>0</v>
      </c>
      <c r="BT197" s="3">
        <f>($AG$197*BT15)</f>
        <v>0</v>
      </c>
      <c r="BU197" s="3" t="n"/>
      <c r="BV197" s="3">
        <f>($AG$197*BV15)</f>
        <v>0</v>
      </c>
      <c r="BW197" s="3">
        <f>($AG$197*BW15)</f>
        <v>0</v>
      </c>
      <c r="BX197" s="3">
        <f>($AG$197*BX15)</f>
        <v>0</v>
      </c>
      <c r="BY197" s="3">
        <f>($AG$197*BY15)</f>
        <v>0</v>
      </c>
      <c r="BZ197" s="3" t="n"/>
      <c r="CA197" s="3">
        <f>($AG$197*CA15)</f>
        <v>0</v>
      </c>
      <c r="CB197" s="3">
        <f>($AG$197*CB15)</f>
        <v>0</v>
      </c>
      <c r="CC197" s="3">
        <f>($AG$197*CC15)</f>
        <v>0</v>
      </c>
      <c r="CD197" s="3">
        <f>($AG$197*CD15)</f>
        <v>0</v>
      </c>
      <c r="CE197" s="3" t="n"/>
      <c r="CF197" s="3">
        <f>($AG$197*CF15)</f>
        <v>0</v>
      </c>
      <c r="CG197" s="3">
        <f>($AG$197*CG15)</f>
        <v>0</v>
      </c>
      <c r="CH197" s="3">
        <f>($AG$197*CH15)</f>
        <v>0</v>
      </c>
      <c r="CI197" s="3">
        <f>($AG$197*CI15)</f>
        <v>0</v>
      </c>
      <c r="CJ197" s="3" t="n"/>
      <c r="CK197" s="3">
        <f>($AG$197*CK15)</f>
        <v>0</v>
      </c>
      <c r="CL197" s="3">
        <f>($AG$197*CL15)</f>
        <v>0</v>
      </c>
      <c r="CM197" s="3">
        <f>($AG$197*CM15)</f>
        <v>0</v>
      </c>
      <c r="CN197" s="3">
        <f>($AG$197*CN15)</f>
        <v>0</v>
      </c>
      <c r="CO197" s="3" t="n"/>
      <c r="CP197" s="3">
        <f>($AG$197*CP15)</f>
        <v>0</v>
      </c>
      <c r="CQ197" s="3">
        <f>($AG$197*CQ15)</f>
        <v>0</v>
      </c>
      <c r="CR197" s="3">
        <f>($AG$197*CR15)</f>
        <v>0</v>
      </c>
      <c r="CS197" s="3">
        <f>($AG$197*CS15)</f>
        <v>0</v>
      </c>
      <c r="CT197" s="3" t="n"/>
      <c r="CU197" s="3">
        <f>($AG$197*CU15)</f>
        <v>0</v>
      </c>
      <c r="CV197" s="3">
        <f>($AG$197*CV15)</f>
        <v>0</v>
      </c>
      <c r="CW197" s="3">
        <f>($AG$197*CW15)</f>
        <v>0</v>
      </c>
      <c r="CX197" s="3">
        <f>($AG$197*CX15)</f>
        <v>0</v>
      </c>
      <c r="CY197" s="3" t="n"/>
    </row>
    <row r="198" hidden="1" outlineLevel="1">
      <c r="C198" s="34" t="inlineStr">
        <is>
          <t>Total cash available / (debt required) for short term debt paydown</t>
        </is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1" t="e">
        <f>AH195+AH196-AH197-AF185+AH187+AH191</f>
        <v>#VALUE!</v>
      </c>
      <c r="AI198" s="1" t="e">
        <f>AI195+AI196-AI197-AG185+AI187+AI191</f>
        <v>#VALUE!</v>
      </c>
      <c r="AJ198" s="1" t="e">
        <f>AJ195+AJ196-AJ197-AH185+AJ187+AJ191</f>
        <v>#VALUE!</v>
      </c>
      <c r="AK198" s="1" t="e">
        <f>AK195+AK196-AK197-AI185+AK187+AK191</f>
        <v>#VALUE!</v>
      </c>
      <c r="AL198" s="3" t="n"/>
      <c r="AM198" s="1" t="e">
        <f>AM195+AM196-AM197-AK185+AM187+AM191</f>
        <v>#VALUE!</v>
      </c>
      <c r="AN198" s="1" t="e">
        <f>AN195+AN196-AN197-AL185+AN187+AN191</f>
        <v>#VALUE!</v>
      </c>
      <c r="AO198" s="1" t="e">
        <f>AO195+AO196-AO197-AM185+AO187+AO191</f>
        <v>#VALUE!</v>
      </c>
      <c r="AP198" s="1" t="e">
        <f>AP195+AP196-AP197-AN185+AP187+AP191</f>
        <v>#VALUE!</v>
      </c>
      <c r="AQ198" s="3" t="n"/>
      <c r="AR198" s="1" t="e">
        <f>AR195+AR196-AR197-AP185+AR187+AR191</f>
        <v>#VALUE!</v>
      </c>
      <c r="AS198" s="1" t="e">
        <f>AS195+AS196-AS197-AQ185+AS187+AS191</f>
        <v>#VALUE!</v>
      </c>
      <c r="AT198" s="1" t="e">
        <f>AT195+AT196-AT197-AR185+AT187+AT191</f>
        <v>#VALUE!</v>
      </c>
      <c r="AU198" s="1" t="e">
        <f>AU195+AU196-AU197-AS185+AU187+AU191</f>
        <v>#VALUE!</v>
      </c>
      <c r="AV198" s="3" t="n"/>
      <c r="AW198" s="1" t="e">
        <f>AW195+AW196-AW197-AU185+AW187+AW191</f>
        <v>#VALUE!</v>
      </c>
      <c r="AX198" s="1" t="e">
        <f>AX195+AX196-AX197-AV185+AX187+AX191</f>
        <v>#VALUE!</v>
      </c>
      <c r="AY198" s="1" t="e">
        <f>AY195+AY196-AY197-AW185+AY187+AY191</f>
        <v>#VALUE!</v>
      </c>
      <c r="AZ198" s="1" t="e">
        <f>AZ195+AZ196-AZ197-AX185+AZ187+AZ191</f>
        <v>#VALUE!</v>
      </c>
      <c r="BA198" s="3" t="n"/>
      <c r="BB198" s="1" t="e">
        <f>BB195+BB196-BB197-AZ185+BB187+BB191</f>
        <v>#VALUE!</v>
      </c>
      <c r="BC198" s="1" t="e">
        <f>BC195+BC196-BC197-BA185+BC187+BC191</f>
        <v>#VALUE!</v>
      </c>
      <c r="BD198" s="1" t="e">
        <f>BD195+BD196-BD197-BB185+BD187+BD191</f>
        <v>#VALUE!</v>
      </c>
      <c r="BE198" s="1" t="e">
        <f>BE195+BE196-BE197-BC185+BE187+BE191</f>
        <v>#VALUE!</v>
      </c>
      <c r="BF198" s="3" t="n"/>
      <c r="BG198" s="1" t="e">
        <f>BG195+BG196-BG197-BE185+BG187+BG191</f>
        <v>#VALUE!</v>
      </c>
      <c r="BH198" s="1" t="e">
        <f>BH195+BH196-BH197-BF185+BH187+BH191</f>
        <v>#VALUE!</v>
      </c>
      <c r="BI198" s="1" t="e">
        <f>BI195+BI196-BI197-BG185+BI187+BI191</f>
        <v>#VALUE!</v>
      </c>
      <c r="BJ198" s="1" t="e">
        <f>BJ195+BJ196-BJ197-BH185+BJ187+BJ191</f>
        <v>#VALUE!</v>
      </c>
      <c r="BK198" s="3" t="n"/>
      <c r="BL198" s="1" t="e">
        <f>BL195+BL196-BL197-BJ185+BL187+BL191</f>
        <v>#VALUE!</v>
      </c>
      <c r="BM198" s="1" t="e">
        <f>BM195+BM196-BM197-BK185+BM187+BM191</f>
        <v>#VALUE!</v>
      </c>
      <c r="BN198" s="1" t="e">
        <f>BN195+BN196-BN197-BL185+BN187+BN191</f>
        <v>#VALUE!</v>
      </c>
      <c r="BO198" s="1" t="e">
        <f>BO195+BO196-BO197-BM185+BO187+BO191</f>
        <v>#VALUE!</v>
      </c>
      <c r="BP198" s="3" t="n"/>
      <c r="BQ198" s="1" t="e">
        <f>BQ195+BQ196-BQ197-BO185+BQ187+BQ191</f>
        <v>#VALUE!</v>
      </c>
      <c r="BR198" s="1" t="e">
        <f>BR195+BR196-BR197-BP185+BR187+BR191</f>
        <v>#VALUE!</v>
      </c>
      <c r="BS198" s="1" t="e">
        <f>BS195+BS196-BS197-BQ185+BS187+BS191</f>
        <v>#VALUE!</v>
      </c>
      <c r="BT198" s="1" t="e">
        <f>BT195+BT196-BT197-BR185+BT187+BT191</f>
        <v>#VALUE!</v>
      </c>
      <c r="BU198" s="3" t="n"/>
      <c r="BV198" s="1" t="e">
        <f>BV195+BV196-BV197-BT185+BV187+BV191</f>
        <v>#VALUE!</v>
      </c>
      <c r="BW198" s="1" t="e">
        <f>BW195+BW196-BW197-BU185+BW187+BW191</f>
        <v>#VALUE!</v>
      </c>
      <c r="BX198" s="1" t="e">
        <f>BX195+BX196-BX197-BV185+BX187+BX191</f>
        <v>#VALUE!</v>
      </c>
      <c r="BY198" s="1" t="e">
        <f>BY195+BY196-BY197-BW185+BY187+BY191</f>
        <v>#VALUE!</v>
      </c>
      <c r="BZ198" s="3" t="n"/>
      <c r="CA198" s="1" t="e">
        <f>CA195+CA196-CA197-BY185+CA187+CA191</f>
        <v>#VALUE!</v>
      </c>
      <c r="CB198" s="1" t="e">
        <f>CB195+CB196-CB197-BZ185+CB187+CB191</f>
        <v>#VALUE!</v>
      </c>
      <c r="CC198" s="1" t="e">
        <f>CC195+CC196-CC197-CA185+CC187+CC191</f>
        <v>#VALUE!</v>
      </c>
      <c r="CD198" s="1" t="e">
        <f>CD195+CD196-CD197-CB185+CD187+CD191</f>
        <v>#VALUE!</v>
      </c>
      <c r="CE198" s="3" t="n"/>
      <c r="CF198" s="1" t="e">
        <f>CF195+CF196-CF197-CD185+CF187+CF191</f>
        <v>#VALUE!</v>
      </c>
      <c r="CG198" s="1" t="e">
        <f>CG195+CG196-CG197-CE185+CG187+CG191</f>
        <v>#VALUE!</v>
      </c>
      <c r="CH198" s="1" t="e">
        <f>CH195+CH196-CH197-CF185+CH187+CH191</f>
        <v>#VALUE!</v>
      </c>
      <c r="CI198" s="1" t="e">
        <f>CI195+CI196-CI197-CG185+CI187+CI191</f>
        <v>#VALUE!</v>
      </c>
      <c r="CJ198" s="3" t="n"/>
      <c r="CK198" s="1" t="e">
        <f>CK195+CK196-CK197-CI185+CK187+CK191</f>
        <v>#VALUE!</v>
      </c>
      <c r="CL198" s="1" t="e">
        <f>CL195+CL196-CL197-CJ185+CL187+CL191</f>
        <v>#VALUE!</v>
      </c>
      <c r="CM198" s="1" t="e">
        <f>CM195+CM196-CM197-CK185+CM187+CM191</f>
        <v>#VALUE!</v>
      </c>
      <c r="CN198" s="1" t="e">
        <f>CN195+CN196-CN197-CL185+CN187+CN191</f>
        <v>#VALUE!</v>
      </c>
      <c r="CO198" s="3" t="n"/>
      <c r="CP198" s="1" t="e">
        <f>CP195+CP196-CP197-CN185+CP187+CP191</f>
        <v>#VALUE!</v>
      </c>
      <c r="CQ198" s="1" t="e">
        <f>CQ195+CQ196-CQ197-CO185+CQ187+CQ191</f>
        <v>#VALUE!</v>
      </c>
      <c r="CR198" s="1" t="e">
        <f>CR195+CR196-CR197-CP185+CR187+CR191</f>
        <v>#VALUE!</v>
      </c>
      <c r="CS198" s="1" t="e">
        <f>CS195+CS196-CS197-CQ185+CS187+CS191</f>
        <v>#VALUE!</v>
      </c>
      <c r="CT198" s="3" t="n"/>
      <c r="CU198" s="1" t="e">
        <f>CU195+CU196-CU197-CS185+CU187+CU191</f>
        <v>#VALUE!</v>
      </c>
      <c r="CV198" s="1" t="e">
        <f>CV195+CV196-CV197-CT185+CV187+CV191</f>
        <v>#VALUE!</v>
      </c>
      <c r="CW198" s="1" t="e">
        <f>CW195+CW196-CW197-CU185+CW187+CW191</f>
        <v>#VALUE!</v>
      </c>
      <c r="CX198" s="1" t="e">
        <f>CX195+CX196-CX197-CV185+CX187+CX191</f>
        <v>#VALUE!</v>
      </c>
      <c r="CY198" s="3" t="n"/>
    </row>
    <row r="199" hidden="1" outlineLevel="1">
      <c r="C199" s="34" t="inlineStr">
        <is>
          <t>Short term debt</t>
        </is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>
        <f>AH179</f>
        <v>0</v>
      </c>
      <c r="AI199" s="3" t="e">
        <f>MAX(0,AH199-AI198)</f>
        <v>#VALUE!</v>
      </c>
      <c r="AJ199" s="3" t="e">
        <f>MAX(0,AI199-AJ198)</f>
        <v>#VALUE!</v>
      </c>
      <c r="AK199" s="3" t="e">
        <f>MAX(0,AJ199-AK198)</f>
        <v>#VALUE!</v>
      </c>
      <c r="AL199" s="3" t="n"/>
      <c r="AM199" s="3">
        <f>AM179</f>
        <v>0</v>
      </c>
      <c r="AN199" s="3" t="e">
        <f>MAX(0,AM199-AN198)</f>
        <v>#VALUE!</v>
      </c>
      <c r="AO199" s="3" t="e">
        <f>MAX(0,AN199-AO198)</f>
        <v>#VALUE!</v>
      </c>
      <c r="AP199" s="3" t="e">
        <f>MAX(0,AO199-AP198)</f>
        <v>#VALUE!</v>
      </c>
      <c r="AQ199" s="3" t="n"/>
      <c r="AR199" s="3">
        <f>AR179</f>
        <v>0</v>
      </c>
      <c r="AS199" s="3" t="e">
        <f>MAX(0,AR199-AS198)</f>
        <v>#VALUE!</v>
      </c>
      <c r="AT199" s="3" t="e">
        <f>MAX(0,AS199-AT198)</f>
        <v>#VALUE!</v>
      </c>
      <c r="AU199" s="3" t="e">
        <f>MAX(0,AT199-AU198)</f>
        <v>#VALUE!</v>
      </c>
      <c r="AV199" s="3" t="n"/>
      <c r="AW199" s="3">
        <f>AW179</f>
        <v>0</v>
      </c>
      <c r="AX199" s="3" t="e">
        <f>MAX(0,AW199-AX198)</f>
        <v>#VALUE!</v>
      </c>
      <c r="AY199" s="3" t="e">
        <f>MAX(0,AX199-AY198)</f>
        <v>#VALUE!</v>
      </c>
      <c r="AZ199" s="3" t="e">
        <f>MAX(0,AY199-AZ198)</f>
        <v>#VALUE!</v>
      </c>
      <c r="BA199" s="3" t="n"/>
      <c r="BB199" s="3">
        <f>BB179</f>
        <v>0</v>
      </c>
      <c r="BC199" s="3" t="e">
        <f>MAX(0,BB199-BC198)</f>
        <v>#VALUE!</v>
      </c>
      <c r="BD199" s="3" t="e">
        <f>MAX(0,BC199-BD198)</f>
        <v>#VALUE!</v>
      </c>
      <c r="BE199" s="3" t="e">
        <f>MAX(0,BD199-BE198)</f>
        <v>#VALUE!</v>
      </c>
      <c r="BF199" s="3" t="n"/>
      <c r="BG199" s="3">
        <f>BG179</f>
        <v>0</v>
      </c>
      <c r="BH199" s="3" t="e">
        <f>MAX(0,BG199-BH198)</f>
        <v>#VALUE!</v>
      </c>
      <c r="BI199" s="3" t="e">
        <f>MAX(0,BH199-BI198)</f>
        <v>#VALUE!</v>
      </c>
      <c r="BJ199" s="3" t="e">
        <f>MAX(0,BI199-BJ198)</f>
        <v>#VALUE!</v>
      </c>
      <c r="BK199" s="3" t="n"/>
      <c r="BL199" s="3">
        <f>BL179</f>
        <v>0</v>
      </c>
      <c r="BM199" s="3" t="e">
        <f>MAX(0,BL199-BM198)</f>
        <v>#VALUE!</v>
      </c>
      <c r="BN199" s="3" t="e">
        <f>MAX(0,BM199-BN198)</f>
        <v>#VALUE!</v>
      </c>
      <c r="BO199" s="3" t="e">
        <f>MAX(0,BN199-BO198)</f>
        <v>#VALUE!</v>
      </c>
      <c r="BP199" s="3" t="n"/>
      <c r="BQ199" s="3">
        <f>BQ179</f>
        <v>0</v>
      </c>
      <c r="BR199" s="3" t="e">
        <f>MAX(0,BQ199-BR198)</f>
        <v>#VALUE!</v>
      </c>
      <c r="BS199" s="3" t="e">
        <f>MAX(0,BR199-BS198)</f>
        <v>#VALUE!</v>
      </c>
      <c r="BT199" s="3" t="e">
        <f>MAX(0,BS199-BT198)</f>
        <v>#VALUE!</v>
      </c>
      <c r="BU199" s="3" t="n"/>
      <c r="BV199" s="3">
        <f>BV179</f>
        <v>0</v>
      </c>
      <c r="BW199" s="3" t="e">
        <f>MAX(0,BV199-BW198)</f>
        <v>#VALUE!</v>
      </c>
      <c r="BX199" s="3" t="e">
        <f>MAX(0,BW199-BX198)</f>
        <v>#VALUE!</v>
      </c>
      <c r="BY199" s="3" t="e">
        <f>MAX(0,BX199-BY198)</f>
        <v>#VALUE!</v>
      </c>
      <c r="BZ199" s="3" t="n"/>
      <c r="CA199" s="3">
        <f>CA179</f>
        <v>0</v>
      </c>
      <c r="CB199" s="3" t="e">
        <f>MAX(0,CA199-CB198)</f>
        <v>#VALUE!</v>
      </c>
      <c r="CC199" s="3" t="e">
        <f>MAX(0,CB199-CC198)</f>
        <v>#VALUE!</v>
      </c>
      <c r="CD199" s="3" t="e">
        <f>MAX(0,CC199-CD198)</f>
        <v>#VALUE!</v>
      </c>
      <c r="CE199" s="3" t="n"/>
      <c r="CF199" s="3">
        <f>CF179</f>
        <v>0</v>
      </c>
      <c r="CG199" s="3" t="e">
        <f>MAX(0,CF199-CG198)</f>
        <v>#VALUE!</v>
      </c>
      <c r="CH199" s="3" t="e">
        <f>MAX(0,CG199-CH198)</f>
        <v>#VALUE!</v>
      </c>
      <c r="CI199" s="3" t="e">
        <f>MAX(0,CH199-CI198)</f>
        <v>#VALUE!</v>
      </c>
      <c r="CJ199" s="3" t="n"/>
      <c r="CK199" s="3">
        <f>CK179</f>
        <v>0</v>
      </c>
      <c r="CL199" s="3" t="e">
        <f>MAX(0,CK199-CL198)</f>
        <v>#VALUE!</v>
      </c>
      <c r="CM199" s="3" t="e">
        <f>MAX(0,CL199-CM198)</f>
        <v>#VALUE!</v>
      </c>
      <c r="CN199" s="3" t="e">
        <f>MAX(0,CM199-CN198)</f>
        <v>#VALUE!</v>
      </c>
      <c r="CO199" s="3" t="n"/>
      <c r="CP199" s="3">
        <f>CP179</f>
        <v>0</v>
      </c>
      <c r="CQ199" s="3" t="e">
        <f>MAX(0,CP199-CQ198)</f>
        <v>#VALUE!</v>
      </c>
      <c r="CR199" s="3" t="e">
        <f>MAX(0,CQ199-CR198)</f>
        <v>#VALUE!</v>
      </c>
      <c r="CS199" s="3" t="e">
        <f>MAX(0,CR199-CS198)</f>
        <v>#VALUE!</v>
      </c>
      <c r="CT199" s="3" t="n"/>
      <c r="CU199" s="3">
        <f>CU179</f>
        <v>0</v>
      </c>
      <c r="CV199" s="3" t="e">
        <f>MAX(0,CU199-CV198)</f>
        <v>#VALUE!</v>
      </c>
      <c r="CW199" s="3" t="e">
        <f>MAX(0,CV199-CW198)</f>
        <v>#VALUE!</v>
      </c>
      <c r="CX199" s="3" t="e">
        <f>MAX(0,CW199-CX198)</f>
        <v>#VALUE!</v>
      </c>
      <c r="CY199" s="3" t="n"/>
    </row>
    <row r="200" hidden="1" outlineLevel="1">
      <c r="C200" s="34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  <c r="CI200" s="3" t="n"/>
      <c r="CJ200" s="3" t="n"/>
      <c r="CK200" s="3" t="n"/>
      <c r="CL200" s="3" t="n"/>
      <c r="CM200" s="3" t="n"/>
      <c r="CN200" s="3" t="n"/>
      <c r="CO200" s="3" t="n"/>
      <c r="CP200" s="3" t="n"/>
      <c r="CQ200" s="3" t="n"/>
      <c r="CR200" s="3" t="n"/>
      <c r="CS200" s="3" t="n"/>
      <c r="CT200" s="3" t="n"/>
      <c r="CU200" s="3" t="n"/>
      <c r="CV200" s="3" t="n"/>
      <c r="CW200" s="3" t="n"/>
      <c r="CX200" s="3" t="n"/>
      <c r="CY200" s="3" t="n"/>
    </row>
    <row r="201" collapsed="1">
      <c r="C201" s="26" t="inlineStr">
        <is>
          <t>Long term operating leases</t>
        </is>
      </c>
      <c r="D201" s="25">
        <f>INDEX('Inputs (2)'!$D$36:$AL$36,MATCH(D$7,'Inputs (2)'!$D$2:$AL$2,0))</f>
        <v>519</v>
      </c>
      <c r="E201" s="25">
        <f>INDEX('Inputs (2)'!$D$36:$AL$36,MATCH(E$7,'Inputs (2)'!$D$2:$AL$2,0))</f>
        <v>611</v>
      </c>
      <c r="F201" s="25">
        <f>INDEX('Inputs (2)'!$D$36:$AL$36,MATCH(F$7,'Inputs (2)'!$D$2:$AL$2,0))</f>
        <v>604</v>
      </c>
      <c r="G201" s="25">
        <f>INDEX('Inputs (2)'!$D$36:$AL$36,MATCH(G$7,'Inputs (2)'!$D$2:$AL$2,0))</f>
        <v>634</v>
      </c>
      <c r="H201" s="3">
        <f>G201</f>
        <v>634</v>
      </c>
      <c r="I201" s="25">
        <f>INDEX('Inputs (2)'!$D$36:$AL$36,MATCH(I$7,'Inputs (2)'!$D$2:$AL$2,0))</f>
        <v>640</v>
      </c>
      <c r="J201" s="25">
        <f>INDEX('Inputs (2)'!$D$36:$AL$36,MATCH(J$7,'Inputs (2)'!$D$2:$AL$2,0))</f>
        <v>716</v>
      </c>
      <c r="K201" s="25">
        <f>INDEX('Inputs (2)'!$D$36:$AL$36,MATCH(K$7,'Inputs (2)'!$D$2:$AL$2,0))</f>
        <v>743</v>
      </c>
      <c r="L201" s="25">
        <f>INDEX('Inputs (2)'!$D$36:$AL$36,MATCH(L$7,'Inputs (2)'!$D$2:$AL$2,0))</f>
        <v>741</v>
      </c>
      <c r="M201" s="3">
        <f>L201</f>
        <v>741</v>
      </c>
      <c r="N201" s="25">
        <f>INDEX('Inputs (2)'!$D$36:$AL$36,MATCH(N$7,'Inputs (2)'!$D$2:$AL$2,0))</f>
        <v>752</v>
      </c>
      <c r="O201" s="25">
        <f>INDEX('Inputs (2)'!$D$36:$AL$36,MATCH(O$7,'Inputs (2)'!$D$2:$AL$2,0))</f>
        <v>743</v>
      </c>
      <c r="P201" s="25">
        <f>INDEX('Inputs (2)'!$D$36:$AL$36,MATCH(P$7,'Inputs (2)'!$D$2:$AL$2,0))</f>
        <v>798</v>
      </c>
      <c r="Q201" s="25">
        <f>INDEX('Inputs (2)'!$D$36:$AL$36,MATCH(Q$7,'Inputs (2)'!$D$2:$AL$2,0))</f>
        <v>902</v>
      </c>
      <c r="R201" s="3">
        <f>Q201</f>
        <v>902</v>
      </c>
      <c r="S201" s="25">
        <f>INDEX('Inputs (2)'!$D$36:$AL$36,MATCH(S$7,'Inputs (2)'!$D$2:$AL$2,0))</f>
        <v>939</v>
      </c>
      <c r="T201" s="25">
        <f>INDEX('Inputs (2)'!$D$36:$AL$36,MATCH(T$7,'Inputs (2)'!$D$2:$AL$2,0))</f>
        <v>1041</v>
      </c>
      <c r="U201" s="25">
        <f>INDEX('Inputs (2)'!$D$36:$AL$36,MATCH(U$7,'Inputs (2)'!$D$2:$AL$2,0))</f>
        <v>1091</v>
      </c>
      <c r="V201" s="25">
        <f>INDEX('Inputs (2)'!$D$36:$AL$36,MATCH(V$7,'Inputs (2)'!$D$2:$AL$2,0))</f>
        <v>1119</v>
      </c>
      <c r="W201" s="3">
        <f>V201</f>
        <v>1119</v>
      </c>
      <c r="X201" s="25">
        <f>INDEX('Inputs (2)'!$D$36:$AL$36,MATCH(X$7,'Inputs (2)'!$D$2:$AL$2,0))</f>
        <v>1281</v>
      </c>
      <c r="Y201" s="25">
        <f>INDEX('Inputs (2)'!$D$36:$AL$36,MATCH(Y$7,'Inputs (2)'!$D$2:$AL$2,0))</f>
        <v>1304</v>
      </c>
      <c r="Z201" s="25">
        <f>INDEX('Inputs (2)'!$D$36:$AL$36,MATCH(Z$7,'Inputs (2)'!$D$2:$AL$2,0))</f>
        <v>1490</v>
      </c>
      <c r="AA201" s="25">
        <f>INDEX('Inputs (2)'!$D$36:$AL$36,MATCH(AA$7,'Inputs (2)'!$D$2:$AL$2,0))</f>
        <v>1519</v>
      </c>
      <c r="AB201" s="3">
        <f>AA201</f>
        <v>1519</v>
      </c>
      <c r="AC201" s="25">
        <f>INDEX('Inputs (2)'!$D$36:$AL$36,MATCH(AC$7,'Inputs (2)'!$D$2:$AL$2,0))</f>
        <v>1521</v>
      </c>
      <c r="AD201" s="25">
        <f>INDEX('Inputs (2)'!$D$36:$AL$36,MATCH(AD$7,'Inputs (2)'!$D$2:$AL$2,0))</f>
        <v>1831</v>
      </c>
      <c r="AE201" s="25">
        <f>INDEX('Inputs (2)'!$D$36:$AL$36,MATCH(AE$7,'Inputs (2)'!$D$2:$AL$2,0))</f>
        <v>2014</v>
      </c>
      <c r="AF201" s="25">
        <f>INDEX('Inputs (2)'!$D$36:$AL$36,MATCH(AF$7,'Inputs (2)'!$D$2:$AL$2,0))</f>
        <v>2572</v>
      </c>
      <c r="AG201" s="3">
        <f>AF201</f>
        <v>2572</v>
      </c>
      <c r="AH201" s="3">
        <f>AG201</f>
        <v>2572</v>
      </c>
      <c r="AI201" s="3">
        <f>AH201</f>
        <v>2572</v>
      </c>
      <c r="AJ201" s="3">
        <f>AI201</f>
        <v>2572</v>
      </c>
      <c r="AK201" s="3">
        <f>AJ201</f>
        <v>2572</v>
      </c>
      <c r="AL201" s="3">
        <f>AK201</f>
        <v>2572</v>
      </c>
      <c r="AM201" s="3">
        <f>AL201</f>
        <v>2572</v>
      </c>
      <c r="AN201" s="3">
        <f>AM201</f>
        <v>2572</v>
      </c>
      <c r="AO201" s="3">
        <f>AN201</f>
        <v>2572</v>
      </c>
      <c r="AP201" s="3">
        <f>AO201</f>
        <v>2572</v>
      </c>
      <c r="AQ201" s="3">
        <f>AP201</f>
        <v>2572</v>
      </c>
      <c r="AR201" s="3">
        <f>AQ201</f>
        <v>2572</v>
      </c>
      <c r="AS201" s="3">
        <f>AR201</f>
        <v>2572</v>
      </c>
      <c r="AT201" s="3">
        <f>AS201</f>
        <v>2572</v>
      </c>
      <c r="AU201" s="3">
        <f>AT201</f>
        <v>2572</v>
      </c>
      <c r="AV201" s="3">
        <f>AU201</f>
        <v>2572</v>
      </c>
      <c r="AW201" s="3">
        <f>AV201</f>
        <v>2572</v>
      </c>
      <c r="AX201" s="3">
        <f>AW201</f>
        <v>2572</v>
      </c>
      <c r="AY201" s="3">
        <f>AX201</f>
        <v>2572</v>
      </c>
      <c r="AZ201" s="3">
        <f>AY201</f>
        <v>2572</v>
      </c>
      <c r="BA201" s="3">
        <f>AZ201</f>
        <v>2572</v>
      </c>
      <c r="BB201" s="3">
        <f>BA201</f>
        <v>2572</v>
      </c>
      <c r="BC201" s="3">
        <f>BB201</f>
        <v>2572</v>
      </c>
      <c r="BD201" s="3">
        <f>BC201</f>
        <v>2572</v>
      </c>
      <c r="BE201" s="3">
        <f>BD201</f>
        <v>2572</v>
      </c>
      <c r="BF201" s="3">
        <f>BE201</f>
        <v>2572</v>
      </c>
      <c r="BG201" s="3">
        <f>BF201</f>
        <v>2572</v>
      </c>
      <c r="BH201" s="3">
        <f>BG201</f>
        <v>2572</v>
      </c>
      <c r="BI201" s="3">
        <f>BH201</f>
        <v>2572</v>
      </c>
      <c r="BJ201" s="3">
        <f>BI201</f>
        <v>2572</v>
      </c>
      <c r="BK201" s="3">
        <f>BJ201</f>
        <v>2572</v>
      </c>
      <c r="BL201" s="3">
        <f>BK201</f>
        <v>2572</v>
      </c>
      <c r="BM201" s="3">
        <f>BL201</f>
        <v>2572</v>
      </c>
      <c r="BN201" s="3">
        <f>BM201</f>
        <v>2572</v>
      </c>
      <c r="BO201" s="3">
        <f>BN201</f>
        <v>2572</v>
      </c>
      <c r="BP201" s="3">
        <f>BO201</f>
        <v>2572</v>
      </c>
      <c r="BQ201" s="3">
        <f>BP201</f>
        <v>2572</v>
      </c>
      <c r="BR201" s="3">
        <f>BQ201</f>
        <v>2572</v>
      </c>
      <c r="BS201" s="3">
        <f>BR201</f>
        <v>2572</v>
      </c>
      <c r="BT201" s="3">
        <f>BS201</f>
        <v>2572</v>
      </c>
      <c r="BU201" s="3">
        <f>BT201</f>
        <v>2572</v>
      </c>
      <c r="BV201" s="3">
        <f>BU201</f>
        <v>2572</v>
      </c>
      <c r="BW201" s="3">
        <f>BV201</f>
        <v>2572</v>
      </c>
      <c r="BX201" s="3">
        <f>BW201</f>
        <v>2572</v>
      </c>
      <c r="BY201" s="3">
        <f>BX201</f>
        <v>2572</v>
      </c>
      <c r="BZ201" s="3">
        <f>BY201</f>
        <v>2572</v>
      </c>
      <c r="CA201" s="3">
        <f>BZ201</f>
        <v>2572</v>
      </c>
      <c r="CB201" s="3">
        <f>CA201</f>
        <v>2572</v>
      </c>
      <c r="CC201" s="3">
        <f>CB201</f>
        <v>2572</v>
      </c>
      <c r="CD201" s="3">
        <f>CC201</f>
        <v>2572</v>
      </c>
      <c r="CE201" s="3">
        <f>CD201</f>
        <v>2572</v>
      </c>
      <c r="CF201" s="3">
        <f>CE201</f>
        <v>2572</v>
      </c>
      <c r="CG201" s="3">
        <f>CF201</f>
        <v>2572</v>
      </c>
      <c r="CH201" s="3">
        <f>CG201</f>
        <v>2572</v>
      </c>
      <c r="CI201" s="3">
        <f>CH201</f>
        <v>2572</v>
      </c>
      <c r="CJ201" s="3">
        <f>CI201</f>
        <v>2572</v>
      </c>
      <c r="CK201" s="3">
        <f>CJ201</f>
        <v>2572</v>
      </c>
      <c r="CL201" s="3">
        <f>CK201</f>
        <v>2572</v>
      </c>
      <c r="CM201" s="3">
        <f>CL201</f>
        <v>2572</v>
      </c>
      <c r="CN201" s="3">
        <f>CM201</f>
        <v>2572</v>
      </c>
      <c r="CO201" s="3">
        <f>CN201</f>
        <v>2572</v>
      </c>
      <c r="CP201" s="3">
        <f>CO201</f>
        <v>2572</v>
      </c>
      <c r="CQ201" s="3">
        <f>CP201</f>
        <v>2572</v>
      </c>
      <c r="CR201" s="3">
        <f>CQ201</f>
        <v>2572</v>
      </c>
      <c r="CS201" s="3">
        <f>CR201</f>
        <v>2572</v>
      </c>
      <c r="CT201" s="3">
        <f>CS201</f>
        <v>2572</v>
      </c>
      <c r="CU201" s="3">
        <f>CT201</f>
        <v>2572</v>
      </c>
      <c r="CV201" s="3">
        <f>CU201</f>
        <v>2572</v>
      </c>
      <c r="CW201" s="3">
        <f>CV201</f>
        <v>2572</v>
      </c>
      <c r="CX201" s="3">
        <f>CW201</f>
        <v>2572</v>
      </c>
      <c r="CY201" s="3">
        <f>CX201</f>
        <v>2572</v>
      </c>
    </row>
    <row r="202" hidden="1" outlineLevel="1">
      <c r="C202" s="38" t="inlineStr">
        <is>
          <t>%(Var.)</t>
        </is>
      </c>
      <c r="D202" s="3" t="n"/>
      <c r="E202" s="47">
        <f>(E201-D201)/D201</f>
        <v>0.177263969171484</v>
      </c>
      <c r="F202" s="47">
        <f>(F201-E201)/E201</f>
        <v>-0.0114566284779051</v>
      </c>
      <c r="G202" s="47">
        <f>(G201-F201)/F201</f>
        <v>0.0496688741721854</v>
      </c>
      <c r="H202" s="3" t="n"/>
      <c r="I202" s="47">
        <f>(I201-H201)/H201</f>
        <v>0.00946372239747634</v>
      </c>
      <c r="J202" s="47">
        <f>(J201-I201)/I201</f>
        <v>0.11875</v>
      </c>
      <c r="K202" s="47">
        <f>(K201-J201)/J201</f>
        <v>0.0377094972067039</v>
      </c>
      <c r="L202" s="47">
        <f>(L201-K201)/K201</f>
        <v>-0.00269179004037685</v>
      </c>
      <c r="M202" s="3" t="n"/>
      <c r="N202" s="47">
        <f>(N201-M201)/M201</f>
        <v>0.0148448043184885</v>
      </c>
      <c r="O202" s="47">
        <f>(O201-N201)/N201</f>
        <v>-0.011968085106383</v>
      </c>
      <c r="P202" s="47">
        <f>(P201-O201)/O201</f>
        <v>0.0740242261103634</v>
      </c>
      <c r="Q202" s="47">
        <f>(Q201-P201)/P201</f>
        <v>0.130325814536341</v>
      </c>
      <c r="R202" s="3" t="n"/>
      <c r="S202" s="47">
        <f>(S201-R201)/R201</f>
        <v>0.041019955654102</v>
      </c>
      <c r="T202" s="47">
        <f>(T201-S201)/S201</f>
        <v>0.108626198083067</v>
      </c>
      <c r="U202" s="47">
        <f>(U201-T201)/T201</f>
        <v>0.048030739673391</v>
      </c>
      <c r="V202" s="47">
        <f>(V201-U201)/U201</f>
        <v>0.0256645279560037</v>
      </c>
      <c r="W202" s="3" t="n"/>
      <c r="X202" s="47">
        <f>(X201-W201)/W201</f>
        <v>0.144772117962467</v>
      </c>
      <c r="Y202" s="47">
        <f>(Y201-X201)/X201</f>
        <v>0.0179547228727557</v>
      </c>
      <c r="Z202" s="47">
        <f>(Z201-Y201)/Y201</f>
        <v>0.142638036809816</v>
      </c>
      <c r="AA202" s="47">
        <f>(AA201-Z201)/Z201</f>
        <v>0.0194630872483221</v>
      </c>
      <c r="AB202" s="3" t="n"/>
      <c r="AC202" s="47">
        <f>(AC201-AB201)/AB201</f>
        <v>0.00131665569453588</v>
      </c>
      <c r="AD202" s="47">
        <f>(AD201-AC201)/AC201</f>
        <v>0.203813280736358</v>
      </c>
      <c r="AE202" s="47">
        <f>(AE201-AD201)/AD201</f>
        <v>0.0999453850354997</v>
      </c>
      <c r="AF202" s="230">
        <f>(AF201-AE201)/AE201</f>
        <v>0.277060575968222</v>
      </c>
      <c r="AG202" s="3" t="n"/>
      <c r="AH202" s="6" t="n"/>
      <c r="AI202" s="6" t="n"/>
      <c r="AJ202" s="6" t="n"/>
      <c r="AK202" s="6" t="n"/>
      <c r="AL202" s="3" t="n"/>
      <c r="AM202" s="6" t="n"/>
      <c r="AN202" s="6" t="n"/>
      <c r="AO202" s="6" t="n"/>
      <c r="AP202" s="6" t="n"/>
      <c r="AQ202" s="3" t="n"/>
      <c r="AR202" s="6" t="n"/>
      <c r="AS202" s="6" t="n"/>
      <c r="AT202" s="6" t="n"/>
      <c r="AU202" s="6" t="n"/>
      <c r="AV202" s="3" t="n"/>
      <c r="AW202" s="6" t="n"/>
      <c r="AX202" s="6" t="n"/>
      <c r="AY202" s="6" t="n"/>
      <c r="AZ202" s="6" t="n"/>
      <c r="BA202" s="3" t="n"/>
      <c r="BB202" s="6" t="n"/>
      <c r="BC202" s="6" t="n"/>
      <c r="BD202" s="6" t="n"/>
      <c r="BE202" s="6" t="n"/>
      <c r="BF202" s="3" t="n"/>
      <c r="BG202" s="6" t="n"/>
      <c r="BH202" s="6" t="n"/>
      <c r="BI202" s="6" t="n"/>
      <c r="BJ202" s="6" t="n"/>
      <c r="BK202" s="3" t="n"/>
      <c r="BL202" s="6" t="n"/>
      <c r="BM202" s="6" t="n"/>
      <c r="BN202" s="6" t="n"/>
      <c r="BO202" s="6" t="n"/>
      <c r="BP202" s="3" t="n"/>
      <c r="BQ202" s="6" t="n"/>
      <c r="BR202" s="6" t="n"/>
      <c r="BS202" s="6" t="n"/>
      <c r="BT202" s="6" t="n"/>
      <c r="BU202" s="3" t="n"/>
      <c r="BV202" s="6" t="n"/>
      <c r="BW202" s="6" t="n"/>
      <c r="BX202" s="6" t="n"/>
      <c r="BY202" s="6" t="n"/>
      <c r="BZ202" s="3" t="n"/>
      <c r="CA202" s="6" t="n"/>
      <c r="CB202" s="6" t="n"/>
      <c r="CC202" s="6" t="n"/>
      <c r="CD202" s="6" t="n"/>
      <c r="CE202" s="3" t="n"/>
      <c r="CF202" s="6" t="n"/>
      <c r="CG202" s="6" t="n"/>
      <c r="CH202" s="6" t="n"/>
      <c r="CI202" s="6" t="n"/>
      <c r="CJ202" s="3" t="n"/>
      <c r="CK202" s="6" t="n"/>
      <c r="CL202" s="6" t="n"/>
      <c r="CM202" s="6" t="n"/>
      <c r="CN202" s="6" t="n"/>
      <c r="CO202" s="3" t="n"/>
      <c r="CP202" s="6" t="n"/>
      <c r="CQ202" s="6" t="n"/>
      <c r="CR202" s="6" t="n"/>
      <c r="CS202" s="6" t="n"/>
      <c r="CT202" s="3" t="n"/>
      <c r="CU202" s="6" t="n"/>
      <c r="CV202" s="6" t="n"/>
      <c r="CW202" s="6" t="n"/>
      <c r="CX202" s="6" t="n"/>
      <c r="CY202" s="3" t="n"/>
    </row>
    <row r="203" hidden="1" outlineLevel="1">
      <c r="C203" s="34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  <c r="CU203" s="3" t="n"/>
      <c r="CV203" s="3" t="n"/>
      <c r="CW203" s="3" t="n"/>
      <c r="CX203" s="3" t="n"/>
      <c r="CY203" s="3" t="n"/>
    </row>
    <row r="204" collapsed="1">
      <c r="C204" s="26" t="inlineStr">
        <is>
          <t>Convertible debt</t>
        </is>
      </c>
      <c r="D204" s="25" t="n"/>
      <c r="E204" s="25" t="n"/>
      <c r="F204" s="25" t="n"/>
      <c r="G204" s="25" t="n"/>
      <c r="H204" s="3">
        <f>G204</f>
        <v>0</v>
      </c>
      <c r="I204" s="25" t="n"/>
      <c r="J204" s="25" t="n"/>
      <c r="K204" s="25" t="n"/>
      <c r="L204" s="25" t="n"/>
      <c r="M204" s="3">
        <f>L204</f>
        <v>0</v>
      </c>
      <c r="N204" s="25" t="n"/>
      <c r="O204" s="25" t="n"/>
      <c r="P204" s="25" t="n"/>
      <c r="Q204" s="25" t="n"/>
      <c r="R204" s="3">
        <f>Q204</f>
        <v>0</v>
      </c>
      <c r="S204" s="25" t="n"/>
      <c r="T204" s="25" t="n"/>
      <c r="U204" s="25" t="n"/>
      <c r="V204" s="25" t="n"/>
      <c r="W204" s="3">
        <f>V204</f>
        <v>0</v>
      </c>
      <c r="X204" s="25" t="n"/>
      <c r="Y204" s="25" t="n"/>
      <c r="Z204" s="25" t="n"/>
      <c r="AA204" s="25" t="n"/>
      <c r="AB204" s="3">
        <f>AA204</f>
        <v>0</v>
      </c>
      <c r="AC204" s="25" t="n"/>
      <c r="AD204" s="25" t="n"/>
      <c r="AE204" s="25" t="n"/>
      <c r="AF204" s="25" t="n"/>
      <c r="AG204" s="3">
        <f>AF204</f>
        <v>0</v>
      </c>
      <c r="AH204" s="3">
        <f>AG204</f>
        <v>0</v>
      </c>
      <c r="AI204" s="3">
        <f>AH204</f>
        <v>0</v>
      </c>
      <c r="AJ204" s="3">
        <f>AI204</f>
        <v>0</v>
      </c>
      <c r="AK204" s="3">
        <f>AJ204</f>
        <v>0</v>
      </c>
      <c r="AL204" s="3">
        <f>AK204</f>
        <v>0</v>
      </c>
      <c r="AM204" s="3">
        <f>AL204</f>
        <v>0</v>
      </c>
      <c r="AN204" s="3">
        <f>AM204</f>
        <v>0</v>
      </c>
      <c r="AO204" s="3">
        <f>AN204</f>
        <v>0</v>
      </c>
      <c r="AP204" s="3">
        <f>AO204</f>
        <v>0</v>
      </c>
      <c r="AQ204" s="3">
        <f>AP204</f>
        <v>0</v>
      </c>
      <c r="AR204" s="3">
        <f>AQ204</f>
        <v>0</v>
      </c>
      <c r="AS204" s="3">
        <f>AR204</f>
        <v>0</v>
      </c>
      <c r="AT204" s="3">
        <f>AS204</f>
        <v>0</v>
      </c>
      <c r="AU204" s="3">
        <f>AT204</f>
        <v>0</v>
      </c>
      <c r="AV204" s="3">
        <f>AU204</f>
        <v>0</v>
      </c>
      <c r="AW204" s="3">
        <f>AV204</f>
        <v>0</v>
      </c>
      <c r="AX204" s="3">
        <f>AW204</f>
        <v>0</v>
      </c>
      <c r="AY204" s="3">
        <f>AX204</f>
        <v>0</v>
      </c>
      <c r="AZ204" s="3">
        <f>AY204</f>
        <v>0</v>
      </c>
      <c r="BA204" s="3">
        <f>AZ204</f>
        <v>0</v>
      </c>
      <c r="BB204" s="3">
        <f>BA204</f>
        <v>0</v>
      </c>
      <c r="BC204" s="3">
        <f>BB204</f>
        <v>0</v>
      </c>
      <c r="BD204" s="3">
        <f>BC204</f>
        <v>0</v>
      </c>
      <c r="BE204" s="3">
        <f>BD204</f>
        <v>0</v>
      </c>
      <c r="BF204" s="3">
        <f>BE204</f>
        <v>0</v>
      </c>
      <c r="BG204" s="3">
        <f>BF204</f>
        <v>0</v>
      </c>
      <c r="BH204" s="3">
        <f>BG204</f>
        <v>0</v>
      </c>
      <c r="BI204" s="3">
        <f>BH204</f>
        <v>0</v>
      </c>
      <c r="BJ204" s="3">
        <f>BI204</f>
        <v>0</v>
      </c>
      <c r="BK204" s="3">
        <f>BJ204</f>
        <v>0</v>
      </c>
      <c r="BL204" s="3">
        <f>BK204</f>
        <v>0</v>
      </c>
      <c r="BM204" s="3">
        <f>BL204</f>
        <v>0</v>
      </c>
      <c r="BN204" s="3">
        <f>BM204</f>
        <v>0</v>
      </c>
      <c r="BO204" s="3">
        <f>BN204</f>
        <v>0</v>
      </c>
      <c r="BP204" s="3">
        <f>BO204</f>
        <v>0</v>
      </c>
      <c r="BQ204" s="3">
        <f>BP204</f>
        <v>0</v>
      </c>
      <c r="BR204" s="3">
        <f>BQ204</f>
        <v>0</v>
      </c>
      <c r="BS204" s="3">
        <f>BR204</f>
        <v>0</v>
      </c>
      <c r="BT204" s="3">
        <f>BS204</f>
        <v>0</v>
      </c>
      <c r="BU204" s="3">
        <f>BT204</f>
        <v>0</v>
      </c>
      <c r="BV204" s="3">
        <f>BU204</f>
        <v>0</v>
      </c>
      <c r="BW204" s="3">
        <f>BV204</f>
        <v>0</v>
      </c>
      <c r="BX204" s="3">
        <f>BW204</f>
        <v>0</v>
      </c>
      <c r="BY204" s="3">
        <f>BX204</f>
        <v>0</v>
      </c>
      <c r="BZ204" s="3">
        <f>BY204</f>
        <v>0</v>
      </c>
      <c r="CA204" s="3">
        <f>BZ204</f>
        <v>0</v>
      </c>
      <c r="CB204" s="3">
        <f>CA204</f>
        <v>0</v>
      </c>
      <c r="CC204" s="3">
        <f>CB204</f>
        <v>0</v>
      </c>
      <c r="CD204" s="3">
        <f>CC204</f>
        <v>0</v>
      </c>
      <c r="CE204" s="3">
        <f>CD204</f>
        <v>0</v>
      </c>
      <c r="CF204" s="3">
        <f>CE204</f>
        <v>0</v>
      </c>
      <c r="CG204" s="3">
        <f>CF204</f>
        <v>0</v>
      </c>
      <c r="CH204" s="3">
        <f>CG204</f>
        <v>0</v>
      </c>
      <c r="CI204" s="3">
        <f>CH204</f>
        <v>0</v>
      </c>
      <c r="CJ204" s="3">
        <f>CI204</f>
        <v>0</v>
      </c>
      <c r="CK204" s="3">
        <f>CJ204</f>
        <v>0</v>
      </c>
      <c r="CL204" s="3">
        <f>CK204</f>
        <v>0</v>
      </c>
      <c r="CM204" s="3">
        <f>CL204</f>
        <v>0</v>
      </c>
      <c r="CN204" s="3">
        <f>CM204</f>
        <v>0</v>
      </c>
      <c r="CO204" s="3">
        <f>CN204</f>
        <v>0</v>
      </c>
      <c r="CP204" s="3">
        <f>CO204</f>
        <v>0</v>
      </c>
      <c r="CQ204" s="3">
        <f>CP204</f>
        <v>0</v>
      </c>
      <c r="CR204" s="3">
        <f>CQ204</f>
        <v>0</v>
      </c>
      <c r="CS204" s="3">
        <f>CR204</f>
        <v>0</v>
      </c>
      <c r="CT204" s="3">
        <f>CS204</f>
        <v>0</v>
      </c>
      <c r="CU204" s="3">
        <f>CT204</f>
        <v>0</v>
      </c>
      <c r="CV204" s="3">
        <f>CU204</f>
        <v>0</v>
      </c>
      <c r="CW204" s="3">
        <f>CV204</f>
        <v>0</v>
      </c>
      <c r="CX204" s="3">
        <f>CW204</f>
        <v>0</v>
      </c>
      <c r="CY204" s="3">
        <f>CX204</f>
        <v>0</v>
      </c>
    </row>
    <row r="205">
      <c r="C205" s="26" t="inlineStr">
        <is>
          <t>Deferred income taxes</t>
        </is>
      </c>
      <c r="D205" s="25">
        <f>INDEX('Inputs (2)'!$D$38:$AL$38,MATCH(D$7,'Inputs (2)'!$D$2:$AL$2,0))</f>
        <v>32</v>
      </c>
      <c r="E205" s="25">
        <f>INDEX('Inputs (2)'!$D$38:$AL$38,MATCH(E$7,'Inputs (2)'!$D$2:$AL$2,0))</f>
        <v>274</v>
      </c>
      <c r="F205" s="25">
        <f>INDEX('Inputs (2)'!$D$38:$AL$38,MATCH(F$7,'Inputs (2)'!$D$2:$AL$2,0))</f>
        <v>258</v>
      </c>
      <c r="G205" s="25">
        <f>INDEX('Inputs (2)'!$D$38:$AL$38,MATCH(G$7,'Inputs (2)'!$D$2:$AL$2,0))</f>
        <v>241</v>
      </c>
      <c r="H205" s="3">
        <f>G205</f>
        <v>241</v>
      </c>
      <c r="I205" s="25">
        <f>INDEX('Inputs (2)'!$D$38:$AL$38,MATCH(I$7,'Inputs (2)'!$D$2:$AL$2,0))</f>
        <v>234</v>
      </c>
      <c r="J205" s="25">
        <f>INDEX('Inputs (2)'!$D$38:$AL$38,MATCH(J$7,'Inputs (2)'!$D$2:$AL$2,0))</f>
        <v>229</v>
      </c>
      <c r="K205" s="25">
        <f>INDEX('Inputs (2)'!$D$38:$AL$38,MATCH(K$7,'Inputs (2)'!$D$2:$AL$2,0))</f>
        <v>225</v>
      </c>
      <c r="L205" s="25">
        <f>INDEX('Inputs (2)'!$D$38:$AL$38,MATCH(L$7,'Inputs (2)'!$D$2:$AL$2,0))</f>
        <v>245</v>
      </c>
      <c r="M205" s="3">
        <f>L205</f>
        <v>245</v>
      </c>
      <c r="N205" s="25">
        <f>INDEX('Inputs (2)'!$D$38:$AL$38,MATCH(N$7,'Inputs (2)'!$D$2:$AL$2,0))</f>
        <v>257</v>
      </c>
      <c r="O205" s="25">
        <f>INDEX('Inputs (2)'!$D$38:$AL$38,MATCH(O$7,'Inputs (2)'!$D$2:$AL$2,0))</f>
        <v>252</v>
      </c>
      <c r="P205" s="25">
        <f>INDEX('Inputs (2)'!$D$38:$AL$38,MATCH(P$7,'Inputs (2)'!$D$2:$AL$2,0))</f>
        <v>246</v>
      </c>
      <c r="Q205" s="25">
        <f>INDEX('Inputs (2)'!$D$38:$AL$38,MATCH(Q$7,'Inputs (2)'!$D$2:$AL$2,0))</f>
        <v>247</v>
      </c>
      <c r="R205" s="3">
        <f>Q205</f>
        <v>247</v>
      </c>
      <c r="S205" s="25">
        <f>INDEX('Inputs (2)'!$D$38:$AL$38,MATCH(S$7,'Inputs (2)'!$D$2:$AL$2,0))</f>
        <v>290</v>
      </c>
      <c r="T205" s="25">
        <f>INDEX('Inputs (2)'!$D$38:$AL$38,MATCH(T$7,'Inputs (2)'!$D$2:$AL$2,0))</f>
        <v>373</v>
      </c>
      <c r="U205" s="25">
        <f>INDEX('Inputs (2)'!$D$38:$AL$38,MATCH(U$7,'Inputs (2)'!$D$2:$AL$2,0))</f>
        <v>424</v>
      </c>
      <c r="V205" s="25">
        <f>INDEX('Inputs (2)'!$D$38:$AL$38,MATCH(V$7,'Inputs (2)'!$D$2:$AL$2,0))</f>
        <v>462</v>
      </c>
      <c r="W205" s="3">
        <f>V205</f>
        <v>462</v>
      </c>
      <c r="X205" s="25">
        <f>INDEX('Inputs (2)'!$D$38:$AL$38,MATCH(X$7,'Inputs (2)'!$D$2:$AL$2,0))</f>
        <v>583</v>
      </c>
      <c r="Y205" s="25">
        <f>INDEX('Inputs (2)'!$D$38:$AL$38,MATCH(Y$7,'Inputs (2)'!$D$2:$AL$2,0))</f>
        <v>697</v>
      </c>
      <c r="Z205" s="25">
        <f>INDEX('Inputs (2)'!$D$38:$AL$38,MATCH(Z$7,'Inputs (2)'!$D$2:$AL$2,0))</f>
        <v>790</v>
      </c>
      <c r="AA205" s="25">
        <f>INDEX('Inputs (2)'!$D$38:$AL$38,MATCH(AA$7,'Inputs (2)'!$D$2:$AL$2,0))</f>
        <v>886</v>
      </c>
      <c r="AB205" s="3">
        <f>AA205</f>
        <v>886</v>
      </c>
      <c r="AC205" s="25">
        <f>INDEX('Inputs (2)'!$D$38:$AL$38,MATCH(AC$7,'Inputs (2)'!$D$2:$AL$2,0))</f>
        <v>1082</v>
      </c>
      <c r="AD205" s="25">
        <f>INDEX('Inputs (2)'!$D$38:$AL$38,MATCH(AD$7,'Inputs (2)'!$D$2:$AL$2,0))</f>
        <v>1351</v>
      </c>
      <c r="AE205" s="25">
        <f>INDEX('Inputs (2)'!$D$38:$AL$38,MATCH(AE$7,'Inputs (2)'!$D$2:$AL$2,0))</f>
        <v>1621</v>
      </c>
      <c r="AF205" s="25">
        <f>INDEX('Inputs (2)'!$D$38:$AL$38,MATCH(AF$7,'Inputs (2)'!$D$2:$AL$2,0))</f>
        <v>1774</v>
      </c>
      <c r="AG205" s="3">
        <f>AF205</f>
        <v>1774</v>
      </c>
      <c r="AH205" s="3">
        <f>AG205</f>
        <v>1774</v>
      </c>
      <c r="AI205" s="3">
        <f>AH205</f>
        <v>1774</v>
      </c>
      <c r="AJ205" s="3">
        <f>AI205</f>
        <v>1774</v>
      </c>
      <c r="AK205" s="3">
        <f>AJ205</f>
        <v>1774</v>
      </c>
      <c r="AL205" s="3">
        <f>AK205</f>
        <v>1774</v>
      </c>
      <c r="AM205" s="3">
        <f>AL205</f>
        <v>1774</v>
      </c>
      <c r="AN205" s="3">
        <f>AM205</f>
        <v>1774</v>
      </c>
      <c r="AO205" s="3">
        <f>AN205</f>
        <v>1774</v>
      </c>
      <c r="AP205" s="3">
        <f>AO205</f>
        <v>1774</v>
      </c>
      <c r="AQ205" s="3">
        <f>AP205</f>
        <v>1774</v>
      </c>
      <c r="AR205" s="3">
        <f>AQ205</f>
        <v>1774</v>
      </c>
      <c r="AS205" s="3">
        <f>AR205</f>
        <v>1774</v>
      </c>
      <c r="AT205" s="3">
        <f>AS205</f>
        <v>1774</v>
      </c>
      <c r="AU205" s="3">
        <f>AT205</f>
        <v>1774</v>
      </c>
      <c r="AV205" s="3">
        <f>AU205</f>
        <v>1774</v>
      </c>
      <c r="AW205" s="3">
        <f>AV205</f>
        <v>1774</v>
      </c>
      <c r="AX205" s="3">
        <f>AW205</f>
        <v>1774</v>
      </c>
      <c r="AY205" s="3">
        <f>AX205</f>
        <v>1774</v>
      </c>
      <c r="AZ205" s="3">
        <f>AY205</f>
        <v>1774</v>
      </c>
      <c r="BA205" s="3">
        <f>AZ205</f>
        <v>1774</v>
      </c>
      <c r="BB205" s="3">
        <f>BA205</f>
        <v>1774</v>
      </c>
      <c r="BC205" s="3">
        <f>BB205</f>
        <v>1774</v>
      </c>
      <c r="BD205" s="3">
        <f>BC205</f>
        <v>1774</v>
      </c>
      <c r="BE205" s="3">
        <f>BD205</f>
        <v>1774</v>
      </c>
      <c r="BF205" s="3">
        <f>BE205</f>
        <v>1774</v>
      </c>
      <c r="BG205" s="3">
        <f>BF205</f>
        <v>1774</v>
      </c>
      <c r="BH205" s="3">
        <f>BG205</f>
        <v>1774</v>
      </c>
      <c r="BI205" s="3">
        <f>BH205</f>
        <v>1774</v>
      </c>
      <c r="BJ205" s="3">
        <f>BI205</f>
        <v>1774</v>
      </c>
      <c r="BK205" s="3">
        <f>BJ205</f>
        <v>1774</v>
      </c>
      <c r="BL205" s="3">
        <f>BK205</f>
        <v>1774</v>
      </c>
      <c r="BM205" s="3">
        <f>BL205</f>
        <v>1774</v>
      </c>
      <c r="BN205" s="3">
        <f>BM205</f>
        <v>1774</v>
      </c>
      <c r="BO205" s="3">
        <f>BN205</f>
        <v>1774</v>
      </c>
      <c r="BP205" s="3">
        <f>BO205</f>
        <v>1774</v>
      </c>
      <c r="BQ205" s="3">
        <f>BP205</f>
        <v>1774</v>
      </c>
      <c r="BR205" s="3">
        <f>BQ205</f>
        <v>1774</v>
      </c>
      <c r="BS205" s="3">
        <f>BR205</f>
        <v>1774</v>
      </c>
      <c r="BT205" s="3">
        <f>BS205</f>
        <v>1774</v>
      </c>
      <c r="BU205" s="3">
        <f>BT205</f>
        <v>1774</v>
      </c>
      <c r="BV205" s="3">
        <f>BU205</f>
        <v>1774</v>
      </c>
      <c r="BW205" s="3">
        <f>BV205</f>
        <v>1774</v>
      </c>
      <c r="BX205" s="3">
        <f>BW205</f>
        <v>1774</v>
      </c>
      <c r="BY205" s="3">
        <f>BX205</f>
        <v>1774</v>
      </c>
      <c r="BZ205" s="3">
        <f>BY205</f>
        <v>1774</v>
      </c>
      <c r="CA205" s="3">
        <f>BZ205</f>
        <v>1774</v>
      </c>
      <c r="CB205" s="3">
        <f>CA205</f>
        <v>1774</v>
      </c>
      <c r="CC205" s="3">
        <f>CB205</f>
        <v>1774</v>
      </c>
      <c r="CD205" s="3">
        <f>CC205</f>
        <v>1774</v>
      </c>
      <c r="CE205" s="3">
        <f>CD205</f>
        <v>1774</v>
      </c>
      <c r="CF205" s="3">
        <f>CE205</f>
        <v>1774</v>
      </c>
      <c r="CG205" s="3">
        <f>CF205</f>
        <v>1774</v>
      </c>
      <c r="CH205" s="3">
        <f>CG205</f>
        <v>1774</v>
      </c>
      <c r="CI205" s="3">
        <f>CH205</f>
        <v>1774</v>
      </c>
      <c r="CJ205" s="3">
        <f>CI205</f>
        <v>1774</v>
      </c>
      <c r="CK205" s="3">
        <f>CJ205</f>
        <v>1774</v>
      </c>
      <c r="CL205" s="3">
        <f>CK205</f>
        <v>1774</v>
      </c>
      <c r="CM205" s="3">
        <f>CL205</f>
        <v>1774</v>
      </c>
      <c r="CN205" s="3">
        <f>CM205</f>
        <v>1774</v>
      </c>
      <c r="CO205" s="3">
        <f>CN205</f>
        <v>1774</v>
      </c>
      <c r="CP205" s="3">
        <f>CO205</f>
        <v>1774</v>
      </c>
      <c r="CQ205" s="3">
        <f>CP205</f>
        <v>1774</v>
      </c>
      <c r="CR205" s="3">
        <f>CQ205</f>
        <v>1774</v>
      </c>
      <c r="CS205" s="3">
        <f>CR205</f>
        <v>1774</v>
      </c>
      <c r="CT205" s="3">
        <f>CS205</f>
        <v>1774</v>
      </c>
      <c r="CU205" s="3">
        <f>CT205</f>
        <v>1774</v>
      </c>
      <c r="CV205" s="3">
        <f>CU205</f>
        <v>1774</v>
      </c>
      <c r="CW205" s="3">
        <f>CV205</f>
        <v>1774</v>
      </c>
      <c r="CX205" s="3">
        <f>CW205</f>
        <v>1774</v>
      </c>
      <c r="CY205" s="3">
        <f>CX205</f>
        <v>1774</v>
      </c>
    </row>
    <row r="206">
      <c r="C206" s="26" t="inlineStr">
        <is>
          <t>Other non-current liabilities</t>
        </is>
      </c>
      <c r="D206" s="25">
        <f>INDEX('Inputs (2)'!$D$39:$AL$39,MATCH(D$7,'Inputs (2)'!$D$2:$AL$2,0))</f>
        <v>742</v>
      </c>
      <c r="E206" s="25">
        <f>INDEX('Inputs (2)'!$D$39:$AL$39,MATCH(E$7,'Inputs (2)'!$D$2:$AL$2,0))</f>
        <v>1011</v>
      </c>
      <c r="F206" s="25">
        <f>INDEX('Inputs (2)'!$D$39:$AL$39,MATCH(F$7,'Inputs (2)'!$D$2:$AL$2,0))</f>
        <v>1053</v>
      </c>
      <c r="G206" s="25">
        <f>INDEX('Inputs (2)'!$D$39:$AL$39,MATCH(G$7,'Inputs (2)'!$D$2:$AL$2,0))</f>
        <v>1134</v>
      </c>
      <c r="H206" s="3">
        <f>G206</f>
        <v>1134</v>
      </c>
      <c r="I206" s="25">
        <f>INDEX('Inputs (2)'!$D$39:$AL$39,MATCH(I$7,'Inputs (2)'!$D$2:$AL$2,0))</f>
        <v>1180</v>
      </c>
      <c r="J206" s="25">
        <f>INDEX('Inputs (2)'!$D$39:$AL$39,MATCH(J$7,'Inputs (2)'!$D$2:$AL$2,0))</f>
        <v>1167</v>
      </c>
      <c r="K206" s="25">
        <f>INDEX('Inputs (2)'!$D$39:$AL$39,MATCH(K$7,'Inputs (2)'!$D$2:$AL$2,0))</f>
        <v>1310</v>
      </c>
      <c r="L206" s="25">
        <f>INDEX('Inputs (2)'!$D$39:$AL$39,MATCH(L$7,'Inputs (2)'!$D$2:$AL$2,0))</f>
        <v>1308</v>
      </c>
      <c r="M206" s="3">
        <f>L206</f>
        <v>1308</v>
      </c>
      <c r="N206" s="25">
        <f>INDEX('Inputs (2)'!$D$39:$AL$39,MATCH(N$7,'Inputs (2)'!$D$2:$AL$2,0))</f>
        <v>1374</v>
      </c>
      <c r="O206" s="25">
        <f>INDEX('Inputs (2)'!$D$39:$AL$39,MATCH(O$7,'Inputs (2)'!$D$2:$AL$2,0))</f>
        <v>1357</v>
      </c>
      <c r="P206" s="25">
        <f>INDEX('Inputs (2)'!$D$39:$AL$39,MATCH(P$7,'Inputs (2)'!$D$2:$AL$2,0))</f>
        <v>1539</v>
      </c>
      <c r="Q206" s="25">
        <f>INDEX('Inputs (2)'!$D$39:$AL$39,MATCH(Q$7,'Inputs (2)'!$D$2:$AL$2,0))</f>
        <v>1666</v>
      </c>
      <c r="R206" s="3">
        <f>Q206</f>
        <v>1666</v>
      </c>
      <c r="S206" s="25">
        <f>INDEX('Inputs (2)'!$D$39:$AL$39,MATCH(S$7,'Inputs (2)'!$D$2:$AL$2,0))</f>
        <v>1747</v>
      </c>
      <c r="T206" s="25">
        <f>INDEX('Inputs (2)'!$D$39:$AL$39,MATCH(T$7,'Inputs (2)'!$D$2:$AL$2,0))</f>
        <v>1850</v>
      </c>
      <c r="U206" s="25">
        <f>INDEX('Inputs (2)'!$D$39:$AL$39,MATCH(U$7,'Inputs (2)'!$D$2:$AL$2,0))</f>
        <v>1810</v>
      </c>
      <c r="V206" s="25">
        <f>INDEX('Inputs (2)'!$D$39:$AL$39,MATCH(V$7,'Inputs (2)'!$D$2:$AL$2,0))</f>
        <v>2079</v>
      </c>
      <c r="W206" s="3">
        <f>V206</f>
        <v>2079</v>
      </c>
      <c r="X206" s="25">
        <f>INDEX('Inputs (2)'!$D$39:$AL$39,MATCH(X$7,'Inputs (2)'!$D$2:$AL$2,0))</f>
        <v>2383</v>
      </c>
      <c r="Y206" s="25">
        <f>INDEX('Inputs (2)'!$D$39:$AL$39,MATCH(Y$7,'Inputs (2)'!$D$2:$AL$2,0))</f>
        <v>2639</v>
      </c>
      <c r="Z206" s="25">
        <f>INDEX('Inputs (2)'!$D$39:$AL$39,MATCH(Z$7,'Inputs (2)'!$D$2:$AL$2,0))</f>
        <v>2893</v>
      </c>
      <c r="AA206" s="25">
        <f>INDEX('Inputs (2)'!$D$39:$AL$39,MATCH(AA$7,'Inputs (2)'!$D$2:$AL$2,0))</f>
        <v>3359</v>
      </c>
      <c r="AB206" s="3">
        <f>AA206</f>
        <v>3359</v>
      </c>
      <c r="AC206" s="25">
        <f>INDEX('Inputs (2)'!$D$39:$AL$39,MATCH(AC$7,'Inputs (2)'!$D$2:$AL$2,0))</f>
        <v>3802</v>
      </c>
      <c r="AD206" s="25">
        <f>INDEX('Inputs (2)'!$D$39:$AL$39,MATCH(AD$7,'Inputs (2)'!$D$2:$AL$2,0))</f>
        <v>4704</v>
      </c>
      <c r="AE206" s="25">
        <f>INDEX('Inputs (2)'!$D$39:$AL$39,MATCH(AE$7,'Inputs (2)'!$D$2:$AL$2,0))</f>
        <v>5073</v>
      </c>
      <c r="AF206" s="25">
        <f>INDEX('Inputs (2)'!$D$39:$AL$39,MATCH(AF$7,'Inputs (2)'!$D$2:$AL$2,0))</f>
        <v>5532</v>
      </c>
      <c r="AG206" s="3">
        <f>AF206</f>
        <v>5532</v>
      </c>
      <c r="AH206" s="3">
        <f>AG206</f>
        <v>5532</v>
      </c>
      <c r="AI206" s="3">
        <f>AH206</f>
        <v>5532</v>
      </c>
      <c r="AJ206" s="3">
        <f>AI206</f>
        <v>5532</v>
      </c>
      <c r="AK206" s="3">
        <f>AJ206</f>
        <v>5532</v>
      </c>
      <c r="AL206" s="3">
        <f>AK206</f>
        <v>5532</v>
      </c>
      <c r="AM206" s="3">
        <f>AL206</f>
        <v>5532</v>
      </c>
      <c r="AN206" s="3">
        <f>AM206</f>
        <v>5532</v>
      </c>
      <c r="AO206" s="3">
        <f>AN206</f>
        <v>5532</v>
      </c>
      <c r="AP206" s="3">
        <f>AO206</f>
        <v>5532</v>
      </c>
      <c r="AQ206" s="3">
        <f>AP206</f>
        <v>5532</v>
      </c>
      <c r="AR206" s="3">
        <f>AQ206</f>
        <v>5532</v>
      </c>
      <c r="AS206" s="3">
        <f>AR206</f>
        <v>5532</v>
      </c>
      <c r="AT206" s="3">
        <f>AS206</f>
        <v>5532</v>
      </c>
      <c r="AU206" s="3">
        <f>AT206</f>
        <v>5532</v>
      </c>
      <c r="AV206" s="3">
        <f>AU206</f>
        <v>5532</v>
      </c>
      <c r="AW206" s="3">
        <f>AV206</f>
        <v>5532</v>
      </c>
      <c r="AX206" s="3">
        <f>AW206</f>
        <v>5532</v>
      </c>
      <c r="AY206" s="3">
        <f>AX206</f>
        <v>5532</v>
      </c>
      <c r="AZ206" s="3">
        <f>AY206</f>
        <v>5532</v>
      </c>
      <c r="BA206" s="3">
        <f>AZ206</f>
        <v>5532</v>
      </c>
      <c r="BB206" s="3">
        <f>BA206</f>
        <v>5532</v>
      </c>
      <c r="BC206" s="3">
        <f>BB206</f>
        <v>5532</v>
      </c>
      <c r="BD206" s="3">
        <f>BC206</f>
        <v>5532</v>
      </c>
      <c r="BE206" s="3">
        <f>BD206</f>
        <v>5532</v>
      </c>
      <c r="BF206" s="3">
        <f>BE206</f>
        <v>5532</v>
      </c>
      <c r="BG206" s="3">
        <f>BF206</f>
        <v>5532</v>
      </c>
      <c r="BH206" s="3">
        <f>BG206</f>
        <v>5532</v>
      </c>
      <c r="BI206" s="3">
        <f>BH206</f>
        <v>5532</v>
      </c>
      <c r="BJ206" s="3">
        <f>BI206</f>
        <v>5532</v>
      </c>
      <c r="BK206" s="3">
        <f>BJ206</f>
        <v>5532</v>
      </c>
      <c r="BL206" s="3">
        <f>BK206</f>
        <v>5532</v>
      </c>
      <c r="BM206" s="3">
        <f>BL206</f>
        <v>5532</v>
      </c>
      <c r="BN206" s="3">
        <f>BM206</f>
        <v>5532</v>
      </c>
      <c r="BO206" s="3">
        <f>BN206</f>
        <v>5532</v>
      </c>
      <c r="BP206" s="3">
        <f>BO206</f>
        <v>5532</v>
      </c>
      <c r="BQ206" s="3">
        <f>BP206</f>
        <v>5532</v>
      </c>
      <c r="BR206" s="3">
        <f>BQ206</f>
        <v>5532</v>
      </c>
      <c r="BS206" s="3">
        <f>BR206</f>
        <v>5532</v>
      </c>
      <c r="BT206" s="3">
        <f>BS206</f>
        <v>5532</v>
      </c>
      <c r="BU206" s="3">
        <f>BT206</f>
        <v>5532</v>
      </c>
      <c r="BV206" s="3">
        <f>BU206</f>
        <v>5532</v>
      </c>
      <c r="BW206" s="3">
        <f>BV206</f>
        <v>5532</v>
      </c>
      <c r="BX206" s="3">
        <f>BW206</f>
        <v>5532</v>
      </c>
      <c r="BY206" s="3">
        <f>BX206</f>
        <v>5532</v>
      </c>
      <c r="BZ206" s="3">
        <f>BY206</f>
        <v>5532</v>
      </c>
      <c r="CA206" s="3">
        <f>BZ206</f>
        <v>5532</v>
      </c>
      <c r="CB206" s="3">
        <f>CA206</f>
        <v>5532</v>
      </c>
      <c r="CC206" s="3">
        <f>CB206</f>
        <v>5532</v>
      </c>
      <c r="CD206" s="3">
        <f>CC206</f>
        <v>5532</v>
      </c>
      <c r="CE206" s="3">
        <f>CD206</f>
        <v>5532</v>
      </c>
      <c r="CF206" s="3">
        <f>CE206</f>
        <v>5532</v>
      </c>
      <c r="CG206" s="3">
        <f>CF206</f>
        <v>5532</v>
      </c>
      <c r="CH206" s="3">
        <f>CG206</f>
        <v>5532</v>
      </c>
      <c r="CI206" s="3">
        <f>CH206</f>
        <v>5532</v>
      </c>
      <c r="CJ206" s="3">
        <f>CI206</f>
        <v>5532</v>
      </c>
      <c r="CK206" s="3">
        <f>CJ206</f>
        <v>5532</v>
      </c>
      <c r="CL206" s="3">
        <f>CK206</f>
        <v>5532</v>
      </c>
      <c r="CM206" s="3">
        <f>CL206</f>
        <v>5532</v>
      </c>
      <c r="CN206" s="3">
        <f>CM206</f>
        <v>5532</v>
      </c>
      <c r="CO206" s="3">
        <f>CN206</f>
        <v>5532</v>
      </c>
      <c r="CP206" s="3">
        <f>CO206</f>
        <v>5532</v>
      </c>
      <c r="CQ206" s="3">
        <f>CP206</f>
        <v>5532</v>
      </c>
      <c r="CR206" s="3">
        <f>CQ206</f>
        <v>5532</v>
      </c>
      <c r="CS206" s="3">
        <f>CR206</f>
        <v>5532</v>
      </c>
      <c r="CT206" s="3">
        <f>CS206</f>
        <v>5532</v>
      </c>
      <c r="CU206" s="3">
        <f>CT206</f>
        <v>5532</v>
      </c>
      <c r="CV206" s="3">
        <f>CU206</f>
        <v>5532</v>
      </c>
      <c r="CW206" s="3">
        <f>CV206</f>
        <v>5532</v>
      </c>
      <c r="CX206" s="3">
        <f>CW206</f>
        <v>5532</v>
      </c>
      <c r="CY206" s="3">
        <f>CX206</f>
        <v>5532</v>
      </c>
    </row>
    <row r="207" hidden="1" outlineLevel="1" ht="12" customHeight="1">
      <c r="C207" s="38" t="inlineStr">
        <is>
          <t>%(Var.)</t>
        </is>
      </c>
      <c r="D207" s="3" t="n"/>
      <c r="E207" s="47">
        <f>(E206-D206)/D206</f>
        <v>0.362533692722372</v>
      </c>
      <c r="F207" s="47">
        <f>(F206-E206)/E206</f>
        <v>0.0415430267062315</v>
      </c>
      <c r="G207" s="47">
        <f>(G206-F206)/F206</f>
        <v>0.0769230769230769</v>
      </c>
      <c r="H207" s="3" t="n"/>
      <c r="I207" s="47">
        <f>(I206-H206)/H206</f>
        <v>0.0405643738977072</v>
      </c>
      <c r="J207" s="47">
        <f>(J206-I206)/I206</f>
        <v>-0.0110169491525424</v>
      </c>
      <c r="K207" s="47">
        <f>(K206-J206)/J206</f>
        <v>0.122536418166238</v>
      </c>
      <c r="L207" s="47">
        <f>(L206-K206)/K206</f>
        <v>-0.00152671755725191</v>
      </c>
      <c r="M207" s="3" t="n"/>
      <c r="N207" s="47">
        <f>(N206-M206)/M206</f>
        <v>0.0504587155963303</v>
      </c>
      <c r="O207" s="47">
        <f>(O206-N206)/N206</f>
        <v>-0.012372634643377</v>
      </c>
      <c r="P207" s="47">
        <f>(P206-O206)/O206</f>
        <v>0.134119380987472</v>
      </c>
      <c r="Q207" s="47">
        <f>(Q206-P206)/P206</f>
        <v>0.0825211176088369</v>
      </c>
      <c r="R207" s="3" t="n"/>
      <c r="S207" s="47">
        <f>(S206-R206)/R206</f>
        <v>0.0486194477791116</v>
      </c>
      <c r="T207" s="47">
        <f>(T206-S206)/S206</f>
        <v>0.0589582140812822</v>
      </c>
      <c r="U207" s="47">
        <f>(U206-T206)/T206</f>
        <v>-0.0216216216216216</v>
      </c>
      <c r="V207" s="47">
        <f>(V206-U206)/U206</f>
        <v>0.148618784530387</v>
      </c>
      <c r="W207" s="3" t="n"/>
      <c r="X207" s="47">
        <f>(X206-W206)/W206</f>
        <v>0.146224146224146</v>
      </c>
      <c r="Y207" s="47">
        <f>(Y206-X206)/X206</f>
        <v>0.107427612253462</v>
      </c>
      <c r="Z207" s="47">
        <f>(Z206-Y206)/Y206</f>
        <v>0.0962485790071997</v>
      </c>
      <c r="AA207" s="47">
        <f>(AA206-Z206)/Z206</f>
        <v>0.161078465260975</v>
      </c>
      <c r="AB207" s="3" t="n"/>
      <c r="AC207" s="47">
        <f>(AC206-AB206)/AB206</f>
        <v>0.131884489431378</v>
      </c>
      <c r="AD207" s="47">
        <f>(AD206-AC206)/AC206</f>
        <v>0.237243556023146</v>
      </c>
      <c r="AE207" s="47">
        <f>(AE206-AD206)/AD206</f>
        <v>0.0784438775510204</v>
      </c>
      <c r="AF207" s="230">
        <f>(AF206-AE206)/AE206</f>
        <v>0.0904790065050266</v>
      </c>
      <c r="AG207" s="3" t="n"/>
      <c r="AH207" s="230" t="n"/>
      <c r="AI207" s="230" t="n"/>
      <c r="AJ207" s="230" t="n"/>
      <c r="AK207" s="230" t="n"/>
      <c r="AL207" s="3" t="n"/>
      <c r="AM207" s="230" t="n"/>
      <c r="AN207" s="230" t="n"/>
      <c r="AO207" s="230" t="n"/>
      <c r="AP207" s="230" t="n"/>
      <c r="AQ207" s="3" t="n"/>
      <c r="AR207" s="230" t="n"/>
      <c r="AS207" s="230" t="n"/>
      <c r="AT207" s="230" t="n"/>
      <c r="AU207" s="230" t="n"/>
      <c r="AV207" s="3" t="n"/>
      <c r="AW207" s="230" t="n"/>
      <c r="AX207" s="230" t="n"/>
      <c r="AY207" s="230" t="n"/>
      <c r="AZ207" s="230" t="n"/>
      <c r="BA207" s="3" t="n"/>
      <c r="BB207" s="230" t="n"/>
      <c r="BC207" s="230" t="n"/>
      <c r="BD207" s="230" t="n"/>
      <c r="BE207" s="230" t="n"/>
      <c r="BF207" s="3" t="n"/>
      <c r="BG207" s="230" t="n"/>
      <c r="BH207" s="230" t="n"/>
      <c r="BI207" s="230" t="n"/>
      <c r="BJ207" s="230" t="n"/>
      <c r="BK207" s="3" t="n"/>
      <c r="BL207" s="230" t="n"/>
      <c r="BM207" s="230" t="n"/>
      <c r="BN207" s="230" t="n"/>
      <c r="BO207" s="230" t="n"/>
      <c r="BP207" s="3" t="n"/>
      <c r="BQ207" s="230" t="n"/>
      <c r="BR207" s="230" t="n"/>
      <c r="BS207" s="230" t="n"/>
      <c r="BT207" s="230" t="n"/>
      <c r="BU207" s="3" t="n"/>
      <c r="BV207" s="230" t="n"/>
      <c r="BW207" s="230" t="n"/>
      <c r="BX207" s="230" t="n"/>
      <c r="BY207" s="230" t="n"/>
      <c r="BZ207" s="3" t="n"/>
      <c r="CA207" s="230" t="n"/>
      <c r="CB207" s="230" t="n"/>
      <c r="CC207" s="230" t="n"/>
      <c r="CD207" s="230" t="n"/>
      <c r="CE207" s="3" t="n"/>
      <c r="CF207" s="230" t="n"/>
      <c r="CG207" s="230" t="n"/>
      <c r="CH207" s="230" t="n"/>
      <c r="CI207" s="230" t="n"/>
      <c r="CJ207" s="3" t="n"/>
      <c r="CK207" s="230" t="n"/>
      <c r="CL207" s="230" t="n"/>
      <c r="CM207" s="230" t="n"/>
      <c r="CN207" s="230" t="n"/>
      <c r="CO207" s="3" t="n"/>
      <c r="CP207" s="230" t="n"/>
      <c r="CQ207" s="230" t="n"/>
      <c r="CR207" s="230" t="n"/>
      <c r="CS207" s="230" t="n"/>
      <c r="CT207" s="3" t="n"/>
      <c r="CU207" s="230" t="n"/>
      <c r="CV207" s="230" t="n"/>
      <c r="CW207" s="230" t="n"/>
      <c r="CX207" s="230" t="n"/>
      <c r="CY207" s="3" t="n"/>
    </row>
    <row r="208" hidden="1" outlineLevel="1" ht="12" customHeight="1">
      <c r="C208" s="38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  <c r="AM208" s="3" t="n"/>
      <c r="AN208" s="3" t="n"/>
      <c r="AO208" s="3" t="n"/>
      <c r="AP208" s="3" t="n"/>
      <c r="AQ208" s="3" t="n"/>
      <c r="AR208" s="3" t="n"/>
      <c r="AS208" s="3" t="n"/>
      <c r="AT208" s="3" t="n"/>
      <c r="AU208" s="3" t="n"/>
      <c r="AV208" s="3" t="n"/>
      <c r="AW208" s="3" t="n"/>
      <c r="AX208" s="3" t="n"/>
      <c r="AY208" s="3" t="n"/>
      <c r="AZ208" s="3" t="n"/>
      <c r="BA208" s="3" t="n"/>
      <c r="BB208" s="3" t="n"/>
      <c r="BC208" s="3" t="n"/>
      <c r="BD208" s="3" t="n"/>
      <c r="BE208" s="3" t="n"/>
      <c r="BF208" s="3" t="n"/>
      <c r="BG208" s="3" t="n"/>
      <c r="BH208" s="3" t="n"/>
      <c r="BI208" s="3" t="n"/>
      <c r="BJ208" s="3" t="n"/>
      <c r="BK208" s="3" t="n"/>
      <c r="BL208" s="3" t="n"/>
      <c r="BM208" s="3" t="n"/>
      <c r="BN208" s="3" t="n"/>
      <c r="BO208" s="3" t="n"/>
      <c r="BP208" s="3" t="n"/>
      <c r="BQ208" s="3" t="n"/>
      <c r="BR208" s="3" t="n"/>
      <c r="BS208" s="3" t="n"/>
      <c r="BT208" s="3" t="n"/>
      <c r="BU208" s="3" t="n"/>
      <c r="BV208" s="3" t="n"/>
      <c r="BW208" s="3" t="n"/>
      <c r="BX208" s="3" t="n"/>
      <c r="BY208" s="3" t="n"/>
      <c r="BZ208" s="3" t="n"/>
      <c r="CA208" s="3" t="n"/>
      <c r="CB208" s="3" t="n"/>
      <c r="CC208" s="3" t="n"/>
      <c r="CD208" s="3" t="n"/>
      <c r="CE208" s="3" t="n"/>
      <c r="CF208" s="3" t="n"/>
      <c r="CG208" s="3" t="n"/>
      <c r="CH208" s="3" t="n"/>
      <c r="CI208" s="3" t="n"/>
      <c r="CJ208" s="3" t="n"/>
      <c r="CK208" s="3" t="n"/>
      <c r="CL208" s="3" t="n"/>
      <c r="CM208" s="3" t="n"/>
      <c r="CN208" s="3" t="n"/>
      <c r="CO208" s="3" t="n"/>
      <c r="CP208" s="3" t="n"/>
      <c r="CQ208" s="3" t="n"/>
      <c r="CR208" s="3" t="n"/>
      <c r="CS208" s="3" t="n"/>
      <c r="CT208" s="3" t="n"/>
      <c r="CU208" s="3" t="n"/>
      <c r="CV208" s="3" t="n"/>
      <c r="CW208" s="3" t="n"/>
      <c r="CX208" s="3" t="n"/>
      <c r="CY208" s="3" t="n"/>
    </row>
    <row r="209" hidden="1" outlineLevel="1">
      <c r="C209" s="34" t="inlineStr">
        <is>
          <t>Contas a pagar pela aquisição de controladas</t>
        </is>
      </c>
      <c r="D209" s="6" t="n"/>
      <c r="E209" s="6" t="n"/>
      <c r="F209" s="6" t="n"/>
      <c r="G209" s="6" t="n"/>
      <c r="H209" s="3" t="n"/>
      <c r="I209" s="6" t="n"/>
      <c r="J209" s="6" t="n"/>
      <c r="K209" s="6" t="n"/>
      <c r="L209" s="6" t="n"/>
      <c r="M209" s="3" t="n"/>
      <c r="N209" s="6" t="n"/>
      <c r="O209" s="6" t="n"/>
      <c r="P209" s="6" t="n"/>
      <c r="Q209" s="6" t="n"/>
      <c r="R209" s="3" t="n"/>
      <c r="S209" s="6" t="n"/>
      <c r="T209" s="6" t="n"/>
      <c r="U209" s="6" t="n"/>
      <c r="V209" s="6" t="n"/>
      <c r="W209" s="3" t="n"/>
      <c r="X209" s="6" t="n"/>
      <c r="Y209" s="6" t="n"/>
      <c r="Z209" s="6" t="n"/>
      <c r="AA209" s="6" t="n"/>
      <c r="AB209" s="3" t="n"/>
      <c r="AC209" s="6" t="n"/>
      <c r="AD209" s="6" t="n"/>
      <c r="AE209" s="6" t="n"/>
      <c r="AF209" s="6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  <c r="AY209" s="3" t="n"/>
      <c r="AZ209" s="3" t="n"/>
      <c r="BA209" s="3" t="n"/>
      <c r="BB209" s="3" t="n"/>
      <c r="BC209" s="3" t="n"/>
      <c r="BD209" s="3" t="n"/>
      <c r="BE209" s="3" t="n"/>
      <c r="BF209" s="3" t="n"/>
      <c r="BG209" s="3" t="n"/>
      <c r="BH209" s="3" t="n"/>
      <c r="BI209" s="3" t="n"/>
      <c r="BJ209" s="3" t="n"/>
      <c r="BK209" s="3" t="n"/>
      <c r="BL209" s="3" t="n"/>
      <c r="BM209" s="3" t="n"/>
      <c r="BN209" s="3" t="n"/>
      <c r="BO209" s="3" t="n"/>
      <c r="BP209" s="3" t="n"/>
      <c r="BQ209" s="3" t="n"/>
      <c r="BR209" s="3" t="n"/>
      <c r="BS209" s="3" t="n"/>
      <c r="BT209" s="3" t="n"/>
      <c r="BU209" s="3" t="n"/>
      <c r="BV209" s="3" t="n"/>
      <c r="BW209" s="3" t="n"/>
      <c r="BX209" s="3" t="n"/>
      <c r="BY209" s="3" t="n"/>
      <c r="BZ209" s="3" t="n"/>
      <c r="CA209" s="3" t="n"/>
      <c r="CB209" s="3" t="n"/>
      <c r="CC209" s="3" t="n"/>
      <c r="CD209" s="3" t="n"/>
      <c r="CE209" s="3" t="n"/>
      <c r="CF209" s="3" t="n"/>
      <c r="CG209" s="3" t="n"/>
      <c r="CH209" s="3" t="n"/>
      <c r="CI209" s="3" t="n"/>
      <c r="CJ209" s="3" t="n"/>
      <c r="CK209" s="3" t="n"/>
      <c r="CL209" s="3" t="n"/>
      <c r="CM209" s="3" t="n"/>
      <c r="CN209" s="3" t="n"/>
      <c r="CO209" s="3" t="n"/>
      <c r="CP209" s="3" t="n"/>
      <c r="CQ209" s="3" t="n"/>
      <c r="CR209" s="3" t="n"/>
      <c r="CS209" s="3" t="n"/>
      <c r="CT209" s="3" t="n"/>
      <c r="CU209" s="3" t="n"/>
      <c r="CV209" s="3" t="n"/>
      <c r="CW209" s="3" t="n"/>
      <c r="CX209" s="3" t="n"/>
      <c r="CY209" s="3" t="n"/>
    </row>
    <row r="210" hidden="1" outlineLevel="1">
      <c r="C210" s="34" t="inlineStr">
        <is>
          <t xml:space="preserve">Outras Obrigações </t>
        </is>
      </c>
      <c r="D210" s="6" t="n"/>
      <c r="E210" s="6" t="n"/>
      <c r="F210" s="6" t="n"/>
      <c r="G210" s="6" t="n"/>
      <c r="H210" s="3" t="n"/>
      <c r="I210" s="6" t="n"/>
      <c r="J210" s="6" t="n"/>
      <c r="K210" s="6" t="n"/>
      <c r="L210" s="6" t="n"/>
      <c r="M210" s="3" t="n"/>
      <c r="N210" s="6" t="n"/>
      <c r="O210" s="6" t="n"/>
      <c r="P210" s="6" t="n"/>
      <c r="Q210" s="6" t="n"/>
      <c r="R210" s="3" t="n"/>
      <c r="S210" s="6" t="n"/>
      <c r="T210" s="6" t="n"/>
      <c r="U210" s="6" t="n"/>
      <c r="V210" s="6" t="n"/>
      <c r="W210" s="3" t="n"/>
      <c r="X210" s="6" t="n"/>
      <c r="Y210" s="6" t="n"/>
      <c r="Z210" s="6" t="n"/>
      <c r="AA210" s="6" t="n"/>
      <c r="AB210" s="3" t="n"/>
      <c r="AC210" s="6" t="n"/>
      <c r="AD210" s="6" t="n"/>
      <c r="AE210" s="6" t="n"/>
      <c r="AF210" s="6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3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  <c r="CT210" s="3" t="n"/>
      <c r="CU210" s="3" t="n"/>
      <c r="CV210" s="3" t="n"/>
      <c r="CW210" s="3" t="n"/>
      <c r="CX210" s="3" t="n"/>
      <c r="CY210" s="3" t="n"/>
    </row>
    <row r="211" hidden="1" outlineLevel="1">
      <c r="C211" s="34" t="inlineStr">
        <is>
          <t xml:space="preserve">Provisão de Risco Cíveis, Trabalhistas e Tributários </t>
        </is>
      </c>
      <c r="D211" s="6" t="n"/>
      <c r="E211" s="6" t="n"/>
      <c r="F211" s="6" t="n"/>
      <c r="G211" s="6" t="n"/>
      <c r="H211" s="3" t="n"/>
      <c r="I211" s="6" t="n"/>
      <c r="J211" s="6" t="n"/>
      <c r="K211" s="6" t="n"/>
      <c r="L211" s="6" t="n"/>
      <c r="M211" s="3" t="n"/>
      <c r="N211" s="6" t="n"/>
      <c r="O211" s="6" t="n"/>
      <c r="P211" s="6" t="n"/>
      <c r="Q211" s="6" t="n"/>
      <c r="R211" s="3" t="n"/>
      <c r="S211" s="6" t="n"/>
      <c r="T211" s="6" t="n"/>
      <c r="U211" s="6" t="n"/>
      <c r="V211" s="6" t="n"/>
      <c r="W211" s="3" t="n"/>
      <c r="X211" s="6" t="n"/>
      <c r="Y211" s="6" t="n"/>
      <c r="Z211" s="6" t="n"/>
      <c r="AA211" s="6" t="n"/>
      <c r="AB211" s="3" t="n"/>
      <c r="AC211" s="6" t="n"/>
      <c r="AD211" s="6" t="n"/>
      <c r="AE211" s="6" t="n"/>
      <c r="AF211" s="6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  <c r="CT211" s="3" t="n"/>
      <c r="CU211" s="3" t="n"/>
      <c r="CV211" s="3" t="n"/>
      <c r="CW211" s="3" t="n"/>
      <c r="CX211" s="3" t="n"/>
      <c r="CY211" s="3" t="n"/>
    </row>
    <row r="212" hidden="1" outlineLevel="1">
      <c r="C212" s="34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n"/>
      <c r="CC212" s="3" t="n"/>
      <c r="CD212" s="3" t="n"/>
      <c r="CE212" s="3" t="n"/>
      <c r="CF212" s="3" t="n"/>
      <c r="CG212" s="3" t="n"/>
      <c r="CH212" s="3" t="n"/>
      <c r="CI212" s="3" t="n"/>
      <c r="CJ212" s="3" t="n"/>
      <c r="CK212" s="3" t="n"/>
      <c r="CL212" s="3" t="n"/>
      <c r="CM212" s="3" t="n"/>
      <c r="CN212" s="3" t="n"/>
      <c r="CO212" s="3" t="n"/>
      <c r="CP212" s="3" t="n"/>
      <c r="CQ212" s="3" t="n"/>
      <c r="CR212" s="3" t="n"/>
      <c r="CS212" s="3" t="n"/>
      <c r="CT212" s="3" t="n"/>
      <c r="CU212" s="3" t="n"/>
      <c r="CV212" s="3" t="n"/>
      <c r="CW212" s="3" t="n"/>
      <c r="CX212" s="3" t="n"/>
      <c r="CY212" s="3" t="n"/>
    </row>
    <row r="213" collapsed="1" customFormat="1" s="17">
      <c r="A213" s="13" t="n"/>
      <c r="B213" s="13" t="n"/>
      <c r="C213" s="27" t="inlineStr">
        <is>
          <t>Total Liabilities</t>
        </is>
      </c>
      <c r="D213" s="16">
        <f>SUM(D164+D168+D170+D171+D178+D179+D180+D183+D201+D204+D205+D206)</f>
        <v>10155</v>
      </c>
      <c r="E213" s="16">
        <f>SUM(E164+E168+E170+E171+E178+E179+E180+E183+E201+E204+E205+E206)</f>
        <v>11266</v>
      </c>
      <c r="F213" s="16">
        <f>SUM(F164+F168+F170+F171+F178+F179+F180+F183+F201+F204+F205+F206)</f>
        <v>11547</v>
      </c>
      <c r="G213" s="16">
        <f>SUM(G164+G168+G170+G171+G178+G179+G180+G183+G201+G204+G205+G206)</f>
        <v>11898</v>
      </c>
      <c r="H213" s="16">
        <f>SUM(H164,H168,H170,H171,H178,H179,H183,H180,H201,H204,H205,H206)</f>
        <v>11898</v>
      </c>
      <c r="I213" s="16">
        <f>SUM(I164+I168+I170+I171+I178+I179+I180+I183+I201+I204+I205+I206)</f>
        <v>12022</v>
      </c>
      <c r="J213" s="16">
        <f>SUM(J164+J168+J170+J171+J178+J179+J180+J183+J201+J204+J205+J206)</f>
        <v>17503</v>
      </c>
      <c r="K213" s="16">
        <f>SUM(K164+K168+K170+K171+K178+K179+K180+K183+K201+K204+K205+K206)</f>
        <v>16834</v>
      </c>
      <c r="L213" s="16">
        <f>SUM(L164+L168+L170+L171+L178+L179+L180+L183+L201+L204+L205+L206)</f>
        <v>17575</v>
      </c>
      <c r="M213" s="16">
        <f>SUM(M164,M168,M170,M171,M178,M179,M183,M180,M201,M204,M205,M206)</f>
        <v>17575</v>
      </c>
      <c r="N213" s="16">
        <f>SUM(N164+N168+N170+N171+N178+N179+N180+N183+N201+N204+N205+N206)</f>
        <v>18892</v>
      </c>
      <c r="O213" s="16">
        <f>SUM(O164+O168+O170+O171+O178+O179+O180+O183+O201+O204+O205+O206)</f>
        <v>19625</v>
      </c>
      <c r="P213" s="16">
        <f>SUM(P164+P168+P170+P171+P178+P179+P180+P183+P201+P204+P205+P206)</f>
        <v>19139</v>
      </c>
      <c r="Q213" s="16">
        <f>SUM(Q164+Q168+Q170+Q171+Q178+Q179+Q180+Q183+Q201+Q204+Q205+Q206)</f>
        <v>19081</v>
      </c>
      <c r="R213" s="16">
        <f>SUM(R164,R168,R170,R171,R178,R179,R183,R180,R201,R204,R205,R206)</f>
        <v>19081</v>
      </c>
      <c r="S213" s="16">
        <f>SUM(S164+S168+S170+S171+S178+S179+S180+S183+S201+S204+S205+S206)</f>
        <v>19940</v>
      </c>
      <c r="T213" s="16">
        <f>SUM(T164+T168+T170+T171+T178+T179+T180+T183+T201+T204+T205+T206)</f>
        <v>22054</v>
      </c>
      <c r="U213" s="16">
        <f>SUM(U164+U168+U170+U171+U178+U179+U180+U183+U201+U204+U205+U206)</f>
        <v>20883</v>
      </c>
      <c r="V213" s="16">
        <f>SUM(V164+V168+V170+V171+V178+V179+V180+V183+V201+V204+V205+V206)</f>
        <v>22750</v>
      </c>
      <c r="W213" s="16">
        <f>SUM(W164,W168,W170,W171,W178,W179,W183,W180,W201,W204,W205,W206)</f>
        <v>22750</v>
      </c>
      <c r="X213" s="16">
        <f>SUM(X164+X168+X170+X171+X178+X179+X180+X183+X201+X204+X205+X206)</f>
        <v>27930</v>
      </c>
      <c r="Y213" s="16">
        <f>SUM(Y164+Y168+Y170+Y171+Y178+Y179+Y180+Y183+Y201+Y204+Y205+Y206)</f>
        <v>27070</v>
      </c>
      <c r="Z213" s="16">
        <f>SUM(Z164+Z168+Z170+Z171+Z178+Z179+Z180+Z183+Z201+Z204+Z205+Z206)</f>
        <v>30114</v>
      </c>
      <c r="AA213" s="16">
        <f>SUM(AA164+AA168+AA170+AA171+AA178+AA179+AA180+AA183+AA201+AA204+AA205+AA206)</f>
        <v>32274</v>
      </c>
      <c r="AB213" s="16">
        <f>SUM(AB164,AB168,AB170,AB171,AB178,AB179,AB183,AB180,AB201,AB204,AB205,AB206)</f>
        <v>32274</v>
      </c>
      <c r="AC213" s="16">
        <f>SUM(AC164+AC168+AC170+AC171+AC178+AC179+AC180+AC183+AC201+AC204+AC205+AC206)</f>
        <v>41411</v>
      </c>
      <c r="AD213" s="16">
        <f>SUM(AD164+AD168+AD170+AD171+AD178+AD179+AD180+AD183+AD201+AD204+AD205+AD206)</f>
        <v>40609</v>
      </c>
      <c r="AE213" s="16">
        <f>SUM(AE164+AE168+AE170+AE171+AE178+AE179+AE180+AE183+AE201+AE204+AE205+AE206)</f>
        <v>42251</v>
      </c>
      <c r="AF213" s="16">
        <f>SUM(AF164+AF168+AF170+AF171+AF178+AF179+AF180+AF183+AF201+AF204+AF205+AF206)</f>
        <v>49510</v>
      </c>
      <c r="AG213" s="16">
        <f>SUM(AG164,AG168,AG170,AG171,AG178,AG179,AG183,AG180,AG201,AG204,AG205,AG206)</f>
        <v>49510</v>
      </c>
      <c r="AH213" s="16">
        <f>SUM(AH164+AH168+AH170+AH171+AH178+AH179+AH180+AH183+AH201+AH204+AH205+AH206)</f>
        <v>11249</v>
      </c>
      <c r="AI213" s="16">
        <f>SUM(AI164+AI168+AI170+AI171+AI178+AI179+AI180+AI183+AI201+AI204+AI205+AI206)</f>
        <v>11249</v>
      </c>
      <c r="AJ213" s="16" t="e">
        <f>SUM(AJ164+AJ168+AJ170+AJ171+AJ178+AJ179+AJ180+AJ183+AJ201+AJ204+AJ205+AJ206)</f>
        <v>#DIV/0!</v>
      </c>
      <c r="AK213" s="16" t="e">
        <f>SUM(AK164+AK168+AK170+AK171+AK178+AK179+AK180+AK183+AK201+AK204+AK205+AK206)</f>
        <v>#DIV/0!</v>
      </c>
      <c r="AL213" s="16" t="e">
        <f>SUM(AL164,AL168,AL170,AL171,AL178,AL179,AL183,AL180,AL201,AL204,AL205,AL206)</f>
        <v>#DIV/0!</v>
      </c>
      <c r="AM213" s="16" t="e">
        <f>SUM(AM164+AM168+AM170+AM171+AM178+AM179+AM180+AM183+AM201+AM204+AM205+AM206)</f>
        <v>#DIV/0!</v>
      </c>
      <c r="AN213" s="16" t="e">
        <f>SUM(AN164+AN168+AN170+AN171+AN178+AN179+AN180+AN183+AN201+AN204+AN205+AN206)</f>
        <v>#DIV/0!</v>
      </c>
      <c r="AO213" s="16" t="e">
        <f>SUM(AO164+AO168+AO170+AO171+AO178+AO179+AO180+AO183+AO201+AO204+AO205+AO206)</f>
        <v>#DIV/0!</v>
      </c>
      <c r="AP213" s="16" t="e">
        <f>SUM(AP164+AP168+AP170+AP171+AP178+AP179+AP180+AP183+AP201+AP204+AP205+AP206)</f>
        <v>#DIV/0!</v>
      </c>
      <c r="AQ213" s="16" t="e">
        <f>SUM(AQ164,AQ168,AQ170,AQ171,AQ178,AQ179,AQ183,AQ180,AQ201,AQ204,AQ205,AQ206)</f>
        <v>#DIV/0!</v>
      </c>
      <c r="AR213" s="16" t="e">
        <f>SUM(AR164+AR168+AR170+AR171+AR178+AR179+AR180+AR183+AR201+AR204+AR205+AR206)</f>
        <v>#DIV/0!</v>
      </c>
      <c r="AS213" s="16" t="e">
        <f>SUM(AS164+AS168+AS170+AS171+AS178+AS179+AS180+AS183+AS201+AS204+AS205+AS206)</f>
        <v>#DIV/0!</v>
      </c>
      <c r="AT213" s="16" t="e">
        <f>SUM(AT164+AT168+AT170+AT171+AT178+AT179+AT180+AT183+AT201+AT204+AT205+AT206)</f>
        <v>#DIV/0!</v>
      </c>
      <c r="AU213" s="16" t="e">
        <f>SUM(AU164+AU168+AU170+AU171+AU178+AU179+AU180+AU183+AU201+AU204+AU205+AU206)</f>
        <v>#DIV/0!</v>
      </c>
      <c r="AV213" s="16" t="e">
        <f>SUM(AV164,AV168,AV170,AV171,AV178,AV179,AV183,AV180,AV201,AV204,AV205,AV206)</f>
        <v>#DIV/0!</v>
      </c>
      <c r="AW213" s="16" t="e">
        <f>SUM(AW164+AW168+AW170+AW171+AW178+AW179+AW180+AW183+AW201+AW204+AW205+AW206)</f>
        <v>#DIV/0!</v>
      </c>
      <c r="AX213" s="16" t="e">
        <f>SUM(AX164+AX168+AX170+AX171+AX178+AX179+AX180+AX183+AX201+AX204+AX205+AX206)</f>
        <v>#DIV/0!</v>
      </c>
      <c r="AY213" s="16" t="e">
        <f>SUM(AY164+AY168+AY170+AY171+AY178+AY179+AY180+AY183+AY201+AY204+AY205+AY206)</f>
        <v>#DIV/0!</v>
      </c>
      <c r="AZ213" s="16" t="e">
        <f>SUM(AZ164+AZ168+AZ170+AZ171+AZ178+AZ179+AZ180+AZ183+AZ201+AZ204+AZ205+AZ206)</f>
        <v>#DIV/0!</v>
      </c>
      <c r="BA213" s="16" t="e">
        <f>SUM(BA164,BA168,BA170,BA171,BA178,BA179,BA183,BA180,BA201,BA204,BA205,BA206)</f>
        <v>#DIV/0!</v>
      </c>
      <c r="BB213" s="16" t="e">
        <f>SUM(BB164+BB168+BB170+BB171+BB178+BB179+BB180+BB183+BB201+BB204+BB205+BB206)</f>
        <v>#DIV/0!</v>
      </c>
      <c r="BC213" s="16" t="e">
        <f>SUM(BC164+BC168+BC170+BC171+BC178+BC179+BC180+BC183+BC201+BC204+BC205+BC206)</f>
        <v>#DIV/0!</v>
      </c>
      <c r="BD213" s="16" t="e">
        <f>SUM(BD164+BD168+BD170+BD171+BD178+BD179+BD180+BD183+BD201+BD204+BD205+BD206)</f>
        <v>#DIV/0!</v>
      </c>
      <c r="BE213" s="16" t="e">
        <f>SUM(BE164+BE168+BE170+BE171+BE178+BE179+BE180+BE183+BE201+BE204+BE205+BE206)</f>
        <v>#DIV/0!</v>
      </c>
      <c r="BF213" s="16" t="e">
        <f>SUM(BF164,BF168,BF170,BF171,BF178,BF179,BF183,BF180,BF201,BF204,BF205,BF206)</f>
        <v>#DIV/0!</v>
      </c>
      <c r="BG213" s="16" t="e">
        <f>SUM(BG164+BG168+BG170+BG171+BG178+BG179+BG180+BG183+BG201+BG204+BG205+BG206)</f>
        <v>#DIV/0!</v>
      </c>
      <c r="BH213" s="16" t="e">
        <f>SUM(BH164+BH168+BH170+BH171+BH178+BH179+BH180+BH183+BH201+BH204+BH205+BH206)</f>
        <v>#DIV/0!</v>
      </c>
      <c r="BI213" s="16" t="e">
        <f>SUM(BI164+BI168+BI170+BI171+BI178+BI179+BI180+BI183+BI201+BI204+BI205+BI206)</f>
        <v>#DIV/0!</v>
      </c>
      <c r="BJ213" s="16" t="e">
        <f>SUM(BJ164+BJ168+BJ170+BJ171+BJ178+BJ179+BJ180+BJ183+BJ201+BJ204+BJ205+BJ206)</f>
        <v>#DIV/0!</v>
      </c>
      <c r="BK213" s="16" t="e">
        <f>SUM(BK164,BK168,BK170,BK171,BK178,BK179,BK183,BK180,BK201,BK204,BK205,BK206)</f>
        <v>#DIV/0!</v>
      </c>
      <c r="BL213" s="16" t="e">
        <f>SUM(BL164+BL168+BL170+BL171+BL178+BL179+BL180+BL183+BL201+BL204+BL205+BL206)</f>
        <v>#DIV/0!</v>
      </c>
      <c r="BM213" s="16" t="e">
        <f>SUM(BM164+BM168+BM170+BM171+BM178+BM179+BM180+BM183+BM201+BM204+BM205+BM206)</f>
        <v>#DIV/0!</v>
      </c>
      <c r="BN213" s="16" t="e">
        <f>SUM(BN164+BN168+BN170+BN171+BN178+BN179+BN180+BN183+BN201+BN204+BN205+BN206)</f>
        <v>#DIV/0!</v>
      </c>
      <c r="BO213" s="16" t="e">
        <f>SUM(BO164+BO168+BO170+BO171+BO178+BO179+BO180+BO183+BO201+BO204+BO205+BO206)</f>
        <v>#DIV/0!</v>
      </c>
      <c r="BP213" s="16" t="e">
        <f>SUM(BP164,BP168,BP170,BP171,BP178,BP179,BP183,BP180,BP201,BP204,BP205,BP206)</f>
        <v>#DIV/0!</v>
      </c>
      <c r="BQ213" s="16" t="e">
        <f>SUM(BQ164+BQ168+BQ170+BQ171+BQ178+BQ179+BQ180+BQ183+BQ201+BQ204+BQ205+BQ206)</f>
        <v>#DIV/0!</v>
      </c>
      <c r="BR213" s="16" t="e">
        <f>SUM(BR164+BR168+BR170+BR171+BR178+BR179+BR180+BR183+BR201+BR204+BR205+BR206)</f>
        <v>#DIV/0!</v>
      </c>
      <c r="BS213" s="16" t="e">
        <f>SUM(BS164+BS168+BS170+BS171+BS178+BS179+BS180+BS183+BS201+BS204+BS205+BS206)</f>
        <v>#DIV/0!</v>
      </c>
      <c r="BT213" s="16" t="e">
        <f>SUM(BT164+BT168+BT170+BT171+BT178+BT179+BT180+BT183+BT201+BT204+BT205+BT206)</f>
        <v>#DIV/0!</v>
      </c>
      <c r="BU213" s="16" t="e">
        <f>SUM(BU164,BU168,BU170,BU171,BU178,BU179,BU183,BU180,BU201,BU204,BU205,BU206)</f>
        <v>#DIV/0!</v>
      </c>
      <c r="BV213" s="16" t="e">
        <f>SUM(BV164+BV168+BV170+BV171+BV178+BV179+BV180+BV183+BV201+BV204+BV205+BV206)</f>
        <v>#DIV/0!</v>
      </c>
      <c r="BW213" s="16" t="e">
        <f>SUM(BW164+BW168+BW170+BW171+BW178+BW179+BW180+BW183+BW201+BW204+BW205+BW206)</f>
        <v>#DIV/0!</v>
      </c>
      <c r="BX213" s="16" t="e">
        <f>SUM(BX164+BX168+BX170+BX171+BX178+BX179+BX180+BX183+BX201+BX204+BX205+BX206)</f>
        <v>#DIV/0!</v>
      </c>
      <c r="BY213" s="16" t="e">
        <f>SUM(BY164+BY168+BY170+BY171+BY178+BY179+BY180+BY183+BY201+BY204+BY205+BY206)</f>
        <v>#DIV/0!</v>
      </c>
      <c r="BZ213" s="16" t="e">
        <f>SUM(BZ164,BZ168,BZ170,BZ171,BZ178,BZ179,BZ183,BZ180,BZ201,BZ204,BZ205,BZ206)</f>
        <v>#DIV/0!</v>
      </c>
      <c r="CA213" s="16" t="e">
        <f>SUM(CA164+CA168+CA170+CA171+CA178+CA179+CA180+CA183+CA201+CA204+CA205+CA206)</f>
        <v>#DIV/0!</v>
      </c>
      <c r="CB213" s="16" t="e">
        <f>SUM(CB164+CB168+CB170+CB171+CB178+CB179+CB180+CB183+CB201+CB204+CB205+CB206)</f>
        <v>#DIV/0!</v>
      </c>
      <c r="CC213" s="16" t="e">
        <f>SUM(CC164+CC168+CC170+CC171+CC178+CC179+CC180+CC183+CC201+CC204+CC205+CC206)</f>
        <v>#DIV/0!</v>
      </c>
      <c r="CD213" s="16" t="e">
        <f>SUM(CD164+CD168+CD170+CD171+CD178+CD179+CD180+CD183+CD201+CD204+CD205+CD206)</f>
        <v>#DIV/0!</v>
      </c>
      <c r="CE213" s="16" t="e">
        <f>SUM(CE164,CE168,CE170,CE171,CE178,CE179,CE183,CE180,CE201,CE204,CE205,CE206)</f>
        <v>#DIV/0!</v>
      </c>
      <c r="CF213" s="16" t="e">
        <f>SUM(CF164+CF168+CF170+CF171+CF178+CF179+CF180+CF183+CF201+CF204+CF205+CF206)</f>
        <v>#DIV/0!</v>
      </c>
      <c r="CG213" s="16" t="e">
        <f>SUM(CG164+CG168+CG170+CG171+CG178+CG179+CG180+CG183+CG201+CG204+CG205+CG206)</f>
        <v>#DIV/0!</v>
      </c>
      <c r="CH213" s="16" t="e">
        <f>SUM(CH164+CH168+CH170+CH171+CH178+CH179+CH180+CH183+CH201+CH204+CH205+CH206)</f>
        <v>#DIV/0!</v>
      </c>
      <c r="CI213" s="16" t="e">
        <f>SUM(CI164+CI168+CI170+CI171+CI178+CI179+CI180+CI183+CI201+CI204+CI205+CI206)</f>
        <v>#DIV/0!</v>
      </c>
      <c r="CJ213" s="16" t="e">
        <f>SUM(CJ164,CJ168,CJ170,CJ171,CJ178,CJ179,CJ183,CJ180,CJ201,CJ204,CJ205,CJ206)</f>
        <v>#DIV/0!</v>
      </c>
      <c r="CK213" s="16" t="e">
        <f>SUM(CK164+CK168+CK170+CK171+CK178+CK179+CK180+CK183+CK201+CK204+CK205+CK206)</f>
        <v>#DIV/0!</v>
      </c>
      <c r="CL213" s="16" t="e">
        <f>SUM(CL164+CL168+CL170+CL171+CL178+CL179+CL180+CL183+CL201+CL204+CL205+CL206)</f>
        <v>#DIV/0!</v>
      </c>
      <c r="CM213" s="16" t="e">
        <f>SUM(CM164+CM168+CM170+CM171+CM178+CM179+CM180+CM183+CM201+CM204+CM205+CM206)</f>
        <v>#DIV/0!</v>
      </c>
      <c r="CN213" s="16" t="e">
        <f>SUM(CN164+CN168+CN170+CN171+CN178+CN179+CN180+CN183+CN201+CN204+CN205+CN206)</f>
        <v>#DIV/0!</v>
      </c>
      <c r="CO213" s="16" t="e">
        <f>SUM(CO164,CO168,CO170,CO171,CO178,CO179,CO183,CO180,CO201,CO204,CO205,CO206)</f>
        <v>#DIV/0!</v>
      </c>
      <c r="CP213" s="16" t="e">
        <f>SUM(CP164+CP168+CP170+CP171+CP178+CP179+CP180+CP183+CP201+CP204+CP205+CP206)</f>
        <v>#DIV/0!</v>
      </c>
      <c r="CQ213" s="16" t="e">
        <f>SUM(CQ164+CQ168+CQ170+CQ171+CQ178+CQ179+CQ180+CQ183+CQ201+CQ204+CQ205+CQ206)</f>
        <v>#DIV/0!</v>
      </c>
      <c r="CR213" s="16" t="e">
        <f>SUM(CR164+CR168+CR170+CR171+CR178+CR179+CR180+CR183+CR201+CR204+CR205+CR206)</f>
        <v>#DIV/0!</v>
      </c>
      <c r="CS213" s="16" t="e">
        <f>SUM(CS164+CS168+CS170+CS171+CS178+CS179+CS180+CS183+CS201+CS204+CS205+CS206)</f>
        <v>#DIV/0!</v>
      </c>
      <c r="CT213" s="16" t="e">
        <f>SUM(CT164,CT168,CT170,CT171,CT178,CT179,CT183,CT180,CT201,CT204,CT205,CT206)</f>
        <v>#DIV/0!</v>
      </c>
      <c r="CU213" s="16" t="e">
        <f>SUM(CU164+CU168+CU170+CU171+CU178+CU179+CU180+CU183+CU201+CU204+CU205+CU206)</f>
        <v>#DIV/0!</v>
      </c>
      <c r="CV213" s="16" t="e">
        <f>SUM(CV164+CV168+CV170+CV171+CV178+CV179+CV180+CV183+CV201+CV204+CV205+CV206)</f>
        <v>#DIV/0!</v>
      </c>
      <c r="CW213" s="16" t="e">
        <f>SUM(CW164+CW168+CW170+CW171+CW178+CW179+CW180+CW183+CW201+CW204+CW205+CW206)</f>
        <v>#DIV/0!</v>
      </c>
      <c r="CX213" s="16" t="e">
        <f>SUM(CX164+CX168+CX170+CX171+CX178+CX179+CX180+CX183+CX201+CX204+CX205+CX206)</f>
        <v>#DIV/0!</v>
      </c>
      <c r="CY213" s="16" t="e">
        <f>SUM(CY164,CY168,CY170,CY171,CY178,CY179,CY183,CY180,CY201,CY204,CY205,CY206)</f>
        <v>#DIV/0!</v>
      </c>
    </row>
    <row r="214">
      <c r="C214" s="26" t="inlineStr">
        <is>
          <t>Minority interest</t>
        </is>
      </c>
      <c r="D214" s="25" t="n"/>
      <c r="E214" s="25" t="n"/>
      <c r="F214" s="25" t="n"/>
      <c r="G214" s="25" t="n"/>
      <c r="H214" s="3">
        <f>G214</f>
        <v>0</v>
      </c>
      <c r="I214" s="25" t="n"/>
      <c r="J214" s="25" t="n"/>
      <c r="K214" s="25" t="n"/>
      <c r="L214" s="25" t="n"/>
      <c r="M214" s="3">
        <f>L214</f>
        <v>0</v>
      </c>
      <c r="N214" s="25" t="n"/>
      <c r="O214" s="25" t="n"/>
      <c r="P214" s="25" t="n"/>
      <c r="Q214" s="25" t="n"/>
      <c r="R214" s="3">
        <f>Q214</f>
        <v>0</v>
      </c>
      <c r="S214" s="25" t="n"/>
      <c r="T214" s="25" t="n"/>
      <c r="U214" s="25" t="n"/>
      <c r="V214" s="25" t="n"/>
      <c r="W214" s="3">
        <f>V214</f>
        <v>0</v>
      </c>
      <c r="X214" s="25" t="n"/>
      <c r="Y214" s="25" t="n"/>
      <c r="Z214" s="25" t="n"/>
      <c r="AA214" s="25" t="n"/>
      <c r="AB214" s="3">
        <f>AA214</f>
        <v>0</v>
      </c>
      <c r="AC214" s="25" t="n"/>
      <c r="AD214" s="25" t="n"/>
      <c r="AE214" s="25" t="n"/>
      <c r="AF214" s="25" t="n"/>
      <c r="AG214" s="3">
        <f>AF214</f>
        <v>0</v>
      </c>
      <c r="AH214" s="3">
        <f>AG214-AH102+AH217</f>
        <v>0</v>
      </c>
      <c r="AI214" s="3">
        <f>AH214-AI102+AI217</f>
        <v>0</v>
      </c>
      <c r="AJ214" s="3">
        <f>AI214-AJ102+AJ217</f>
        <v>0</v>
      </c>
      <c r="AK214" s="3">
        <f>AJ214-AK102+AK217</f>
        <v>0</v>
      </c>
      <c r="AL214" s="3">
        <f>AK214</f>
        <v>0</v>
      </c>
      <c r="AM214" s="3">
        <f>AL214-AM102+AM217</f>
        <v>0</v>
      </c>
      <c r="AN214" s="3">
        <f>AM214-AN102+AN217</f>
        <v>0</v>
      </c>
      <c r="AO214" s="3">
        <f>AN214-AO102+AO217</f>
        <v>0</v>
      </c>
      <c r="AP214" s="3">
        <f>AO214-AP102+AP217</f>
        <v>0</v>
      </c>
      <c r="AQ214" s="3">
        <f>AP214</f>
        <v>0</v>
      </c>
      <c r="AR214" s="3">
        <f>AQ214-AR102+AR217</f>
        <v>0</v>
      </c>
      <c r="AS214" s="3">
        <f>AR214-AS102+AS217</f>
        <v>0</v>
      </c>
      <c r="AT214" s="3">
        <f>AS214-AT102+AT217</f>
        <v>0</v>
      </c>
      <c r="AU214" s="3">
        <f>AT214-AU102+AU217</f>
        <v>0</v>
      </c>
      <c r="AV214" s="3">
        <f>AU214</f>
        <v>0</v>
      </c>
      <c r="AW214" s="3">
        <f>AV214-AW102+AW217</f>
        <v>0</v>
      </c>
      <c r="AX214" s="3">
        <f>AW214-AX102+AX217</f>
        <v>0</v>
      </c>
      <c r="AY214" s="3">
        <f>AX214-AY102+AY217</f>
        <v>0</v>
      </c>
      <c r="AZ214" s="3">
        <f>AY214-AZ102+AZ217</f>
        <v>0</v>
      </c>
      <c r="BA214" s="3">
        <f>AZ214</f>
        <v>0</v>
      </c>
      <c r="BB214" s="3">
        <f>BA214-BB102+BB217</f>
        <v>0</v>
      </c>
      <c r="BC214" s="3">
        <f>BB214-BC102+BC217</f>
        <v>0</v>
      </c>
      <c r="BD214" s="3">
        <f>BC214-BD102+BD217</f>
        <v>0</v>
      </c>
      <c r="BE214" s="3">
        <f>BD214-BE102+BE217</f>
        <v>0</v>
      </c>
      <c r="BF214" s="3">
        <f>BE214</f>
        <v>0</v>
      </c>
      <c r="BG214" s="3">
        <f>BF214-BG102+BG217</f>
        <v>0</v>
      </c>
      <c r="BH214" s="3">
        <f>BG214-BH102+BH217</f>
        <v>0</v>
      </c>
      <c r="BI214" s="3">
        <f>BH214-BI102+BI217</f>
        <v>0</v>
      </c>
      <c r="BJ214" s="3">
        <f>BI214-BJ102+BJ217</f>
        <v>0</v>
      </c>
      <c r="BK214" s="3">
        <f>BJ214</f>
        <v>0</v>
      </c>
      <c r="BL214" s="3">
        <f>BK214-BL102+BL217</f>
        <v>0</v>
      </c>
      <c r="BM214" s="3">
        <f>BL214-BM102+BM217</f>
        <v>0</v>
      </c>
      <c r="BN214" s="3">
        <f>BM214-BN102+BN217</f>
        <v>0</v>
      </c>
      <c r="BO214" s="3">
        <f>BN214-BO102+BO217</f>
        <v>0</v>
      </c>
      <c r="BP214" s="3">
        <f>BO214</f>
        <v>0</v>
      </c>
      <c r="BQ214" s="3">
        <f>BP214-BQ102+BQ217</f>
        <v>0</v>
      </c>
      <c r="BR214" s="3">
        <f>BQ214-BR102+BR217</f>
        <v>0</v>
      </c>
      <c r="BS214" s="3">
        <f>BR214-BS102+BS217</f>
        <v>0</v>
      </c>
      <c r="BT214" s="3">
        <f>BS214-BT102+BT217</f>
        <v>0</v>
      </c>
      <c r="BU214" s="3">
        <f>BT214</f>
        <v>0</v>
      </c>
      <c r="BV214" s="3">
        <f>BU214-BV102+BV217</f>
        <v>0</v>
      </c>
      <c r="BW214" s="3">
        <f>BV214-BW102+BW217</f>
        <v>0</v>
      </c>
      <c r="BX214" s="3">
        <f>BW214-BX102+BX217</f>
        <v>0</v>
      </c>
      <c r="BY214" s="3">
        <f>BX214-BY102+BY217</f>
        <v>0</v>
      </c>
      <c r="BZ214" s="3">
        <f>BY214</f>
        <v>0</v>
      </c>
      <c r="CA214" s="3">
        <f>BZ214-CA102+CA217</f>
        <v>0</v>
      </c>
      <c r="CB214" s="3">
        <f>CA214-CB102+CB217</f>
        <v>0</v>
      </c>
      <c r="CC214" s="3">
        <f>CB214-CC102+CC217</f>
        <v>0</v>
      </c>
      <c r="CD214" s="3">
        <f>CC214-CD102+CD217</f>
        <v>0</v>
      </c>
      <c r="CE214" s="3">
        <f>CD214</f>
        <v>0</v>
      </c>
      <c r="CF214" s="3">
        <f>CE214-CF102+CF217</f>
        <v>0</v>
      </c>
      <c r="CG214" s="3">
        <f>CF214-CG102+CG217</f>
        <v>0</v>
      </c>
      <c r="CH214" s="3">
        <f>CG214-CH102+CH217</f>
        <v>0</v>
      </c>
      <c r="CI214" s="3">
        <f>CH214-CI102+CI217</f>
        <v>0</v>
      </c>
      <c r="CJ214" s="3">
        <f>CI214</f>
        <v>0</v>
      </c>
      <c r="CK214" s="3">
        <f>CJ214-CK102+CK217</f>
        <v>0</v>
      </c>
      <c r="CL214" s="3">
        <f>CK214-CL102+CL217</f>
        <v>0</v>
      </c>
      <c r="CM214" s="3">
        <f>CL214-CM102+CM217</f>
        <v>0</v>
      </c>
      <c r="CN214" s="3">
        <f>CM214-CN102+CN217</f>
        <v>0</v>
      </c>
      <c r="CO214" s="3">
        <f>CN214</f>
        <v>0</v>
      </c>
      <c r="CP214" s="3">
        <f>CO214-CP102+CP217</f>
        <v>0</v>
      </c>
      <c r="CQ214" s="3">
        <f>CP214-CQ102+CQ217</f>
        <v>0</v>
      </c>
      <c r="CR214" s="3">
        <f>CQ214-CR102+CR217</f>
        <v>0</v>
      </c>
      <c r="CS214" s="3">
        <f>CR214-CS102+CS217</f>
        <v>0</v>
      </c>
      <c r="CT214" s="3">
        <f>CS214</f>
        <v>0</v>
      </c>
      <c r="CU214" s="3">
        <f>CT214-CU102+CU217</f>
        <v>0</v>
      </c>
      <c r="CV214" s="3">
        <f>CU214-CV102+CV217</f>
        <v>0</v>
      </c>
      <c r="CW214" s="3">
        <f>CV214-CW102+CW217</f>
        <v>0</v>
      </c>
      <c r="CX214" s="3">
        <f>CW214-CX102+CX217</f>
        <v>0</v>
      </c>
      <c r="CY214" s="3">
        <f>CX214</f>
        <v>0</v>
      </c>
    </row>
    <row r="215" hidden="1" outlineLevel="1" customFormat="1" s="39">
      <c r="A215" s="19" t="n"/>
      <c r="B215" s="19" t="n"/>
      <c r="C215" s="38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</row>
    <row r="216" hidden="1" outlineLevel="1" customFormat="1" s="39">
      <c r="A216" s="19" t="n"/>
      <c r="B216" s="19" t="n"/>
      <c r="C216" s="34" t="inlineStr">
        <is>
          <t>Minority Interest Expense - % YoY</t>
        </is>
      </c>
      <c r="D216" s="22" t="n"/>
      <c r="E216" s="40">
        <f>IF(D101=0,0,E101/D101-1)</f>
        <v>0</v>
      </c>
      <c r="F216" s="22" t="n"/>
      <c r="G216" s="22" t="n"/>
      <c r="H216" s="40" t="n"/>
      <c r="I216" s="22" t="n"/>
      <c r="J216" s="40">
        <f>IF(I101=0,0,J101/I101-1)</f>
        <v>0</v>
      </c>
      <c r="K216" s="22" t="n"/>
      <c r="L216" s="22" t="n"/>
      <c r="M216" s="40" t="n"/>
      <c r="N216" s="40">
        <f>IF(I101=0,0,N101/I101-1)</f>
        <v>0</v>
      </c>
      <c r="O216" s="40">
        <f>IF(J101=0,0,O101/J101-1)</f>
        <v>0</v>
      </c>
      <c r="P216" s="40">
        <f>IF(K101=0,0,P101/K101-1)</f>
        <v>0</v>
      </c>
      <c r="Q216" s="40">
        <f>IF(L101=0,0,Q101/L101-1)</f>
        <v>0</v>
      </c>
      <c r="R216" s="40" t="n"/>
      <c r="S216" s="40">
        <f>IF(N101=0,0,S101/N101-1)</f>
        <v>0</v>
      </c>
      <c r="T216" s="40">
        <f>IF(O101=0,0,T101/O101-1)</f>
        <v>0</v>
      </c>
      <c r="U216" s="40">
        <f>IF(P101=0,0,U101/P101-1)</f>
        <v>0</v>
      </c>
      <c r="V216" s="40">
        <f>IF(Q101=0,0,V101/Q101-1)</f>
        <v>0</v>
      </c>
      <c r="W216" s="40">
        <f>IF(R102=0,0,W102/R102-1)</f>
        <v>0</v>
      </c>
      <c r="X216" s="40">
        <f>IF(S101=0,0,X101/S101-1)</f>
        <v>0</v>
      </c>
      <c r="Y216" s="40">
        <f>IF(T101=0,0,Y101/T101-1)</f>
        <v>0</v>
      </c>
      <c r="Z216" s="40">
        <f>IF(U101=0,0,Z101/U101-1)</f>
        <v>0</v>
      </c>
      <c r="AA216" s="40">
        <f>IF(V101=0,0,AA101/V101-1)</f>
        <v>0</v>
      </c>
      <c r="AB216" s="40">
        <f>IF(W102=0,0,AB102/W102-1)</f>
        <v>0</v>
      </c>
      <c r="AC216" s="40">
        <f>IF(X101=0,0,AC101/X101-1)</f>
        <v>0</v>
      </c>
      <c r="AD216" s="40">
        <f>IF(Y101=0,0,AD101/Y101-1)</f>
        <v>0</v>
      </c>
      <c r="AE216" s="40">
        <f>IF(Z101=0,0,AE101/Z101-1)</f>
        <v>0</v>
      </c>
      <c r="AF216" s="40">
        <f>IF(AA101=0,0,AF101/AA101-1)</f>
        <v>0</v>
      </c>
      <c r="AG216" s="40">
        <f>IF(AB102=0,0,AG102/AB102-1)</f>
        <v>0</v>
      </c>
      <c r="AH216" s="35" t="n"/>
      <c r="AI216" s="35" t="n"/>
      <c r="AJ216" s="35" t="n"/>
      <c r="AK216" s="35" t="n"/>
      <c r="AL216" s="40">
        <f>IF(AG102=0,0,AL102/AG102-1)</f>
        <v>0</v>
      </c>
      <c r="AM216" s="35" t="n"/>
      <c r="AN216" s="35" t="n"/>
      <c r="AO216" s="35" t="n"/>
      <c r="AP216" s="35" t="n"/>
      <c r="AQ216" s="40">
        <f>IF(AL102=0,0,AQ102/AL102-1)</f>
        <v>0</v>
      </c>
      <c r="AR216" s="35" t="n"/>
      <c r="AS216" s="35" t="n"/>
      <c r="AT216" s="35" t="n"/>
      <c r="AU216" s="35" t="n"/>
      <c r="AV216" s="40">
        <f>IF(AQ102=0,0,AV102/AQ102-1)</f>
        <v>0</v>
      </c>
      <c r="AW216" s="35" t="n"/>
      <c r="AX216" s="35" t="n"/>
      <c r="AY216" s="35" t="n"/>
      <c r="AZ216" s="35" t="n"/>
      <c r="BA216" s="40">
        <f>IF(AV102=0,0,BA102/AV102-1)</f>
        <v>0</v>
      </c>
      <c r="BB216" s="35" t="n"/>
      <c r="BC216" s="35" t="n"/>
      <c r="BD216" s="35" t="n"/>
      <c r="BE216" s="35" t="n"/>
      <c r="BF216" s="40">
        <f>IF(BA102=0,0,BF102/BA102-1)</f>
        <v>0</v>
      </c>
      <c r="BG216" s="35" t="n"/>
      <c r="BH216" s="35" t="n"/>
      <c r="BI216" s="35" t="n"/>
      <c r="BJ216" s="35" t="n"/>
      <c r="BK216" s="40">
        <f>IF(BF102=0,0,BK102/BF102-1)</f>
        <v>0</v>
      </c>
      <c r="BL216" s="35" t="n"/>
      <c r="BM216" s="35" t="n"/>
      <c r="BN216" s="35" t="n"/>
      <c r="BO216" s="35" t="n"/>
      <c r="BP216" s="40">
        <f>IF(BK102=0,0,BP102/BK102-1)</f>
        <v>0</v>
      </c>
      <c r="BQ216" s="35" t="n"/>
      <c r="BR216" s="35" t="n"/>
      <c r="BS216" s="35" t="n"/>
      <c r="BT216" s="35" t="n"/>
      <c r="BU216" s="40">
        <f>IF(BP102=0,0,BU102/BP102-1)</f>
        <v>0</v>
      </c>
      <c r="BV216" s="35" t="n"/>
      <c r="BW216" s="35" t="n"/>
      <c r="BX216" s="35" t="n"/>
      <c r="BY216" s="35" t="n"/>
      <c r="BZ216" s="40">
        <f>IF(BU102=0,0,BZ102/BU102-1)</f>
        <v>0</v>
      </c>
      <c r="CA216" s="35" t="n"/>
      <c r="CB216" s="35" t="n"/>
      <c r="CC216" s="35" t="n"/>
      <c r="CD216" s="35" t="n"/>
      <c r="CE216" s="40">
        <f>IF(BZ102=0,0,CE102/BZ102-1)</f>
        <v>0</v>
      </c>
      <c r="CF216" s="35" t="n"/>
      <c r="CG216" s="35" t="n"/>
      <c r="CH216" s="35" t="n"/>
      <c r="CI216" s="35" t="n"/>
      <c r="CJ216" s="40">
        <f>IF(CE102=0,0,CJ102/CE102-1)</f>
        <v>0</v>
      </c>
      <c r="CK216" s="35" t="n"/>
      <c r="CL216" s="35" t="n"/>
      <c r="CM216" s="35" t="n"/>
      <c r="CN216" s="35" t="n"/>
      <c r="CO216" s="40">
        <f>IF(CJ102=0,0,CO102/CJ102-1)</f>
        <v>0</v>
      </c>
      <c r="CP216" s="35" t="n"/>
      <c r="CQ216" s="35" t="n"/>
      <c r="CR216" s="35" t="n"/>
      <c r="CS216" s="35" t="n"/>
      <c r="CT216" s="40">
        <f>IF(CO102=0,0,CT102/CO102-1)</f>
        <v>0</v>
      </c>
      <c r="CU216" s="35" t="n"/>
      <c r="CV216" s="35" t="n"/>
      <c r="CW216" s="35" t="n"/>
      <c r="CX216" s="35" t="n"/>
      <c r="CY216" s="40">
        <f>IF(CT102=0,0,CY102/CT102-1)</f>
        <v>0</v>
      </c>
    </row>
    <row r="217" hidden="1" outlineLevel="1" customFormat="1" s="39">
      <c r="A217" s="19" t="n"/>
      <c r="B217" s="19" t="n"/>
      <c r="C217" s="34" t="inlineStr">
        <is>
          <t>Dividends (enter as -)</t>
        </is>
      </c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35" t="n"/>
      <c r="AI217" s="35" t="n"/>
      <c r="AJ217" s="35" t="n"/>
      <c r="AK217" s="35" t="n"/>
      <c r="AL217" s="22" t="n"/>
      <c r="AM217" s="35" t="n"/>
      <c r="AN217" s="35" t="n"/>
      <c r="AO217" s="35" t="n"/>
      <c r="AP217" s="35" t="n"/>
      <c r="AQ217" s="22" t="n"/>
      <c r="AR217" s="35" t="n"/>
      <c r="AS217" s="35" t="n"/>
      <c r="AT217" s="35" t="n"/>
      <c r="AU217" s="35" t="n"/>
      <c r="AV217" s="22" t="n"/>
      <c r="AW217" s="35" t="n"/>
      <c r="AX217" s="35" t="n"/>
      <c r="AY217" s="35" t="n"/>
      <c r="AZ217" s="35" t="n"/>
      <c r="BA217" s="22" t="n"/>
      <c r="BB217" s="35" t="n"/>
      <c r="BC217" s="35" t="n"/>
      <c r="BD217" s="35" t="n"/>
      <c r="BE217" s="35" t="n"/>
      <c r="BF217" s="22" t="n"/>
      <c r="BG217" s="35" t="n"/>
      <c r="BH217" s="35" t="n"/>
      <c r="BI217" s="35" t="n"/>
      <c r="BJ217" s="35" t="n"/>
      <c r="BK217" s="22" t="n"/>
      <c r="BL217" s="35" t="n"/>
      <c r="BM217" s="35" t="n"/>
      <c r="BN217" s="35" t="n"/>
      <c r="BO217" s="35" t="n"/>
      <c r="BP217" s="22" t="n"/>
      <c r="BQ217" s="35" t="n"/>
      <c r="BR217" s="35" t="n"/>
      <c r="BS217" s="35" t="n"/>
      <c r="BT217" s="35" t="n"/>
      <c r="BU217" s="22" t="n"/>
      <c r="BV217" s="35" t="n"/>
      <c r="BW217" s="35" t="n"/>
      <c r="BX217" s="35" t="n"/>
      <c r="BY217" s="35" t="n"/>
      <c r="BZ217" s="22" t="n"/>
      <c r="CA217" s="35" t="n"/>
      <c r="CB217" s="35" t="n"/>
      <c r="CC217" s="35" t="n"/>
      <c r="CD217" s="35" t="n"/>
      <c r="CE217" s="22" t="n"/>
      <c r="CF217" s="35" t="n"/>
      <c r="CG217" s="35" t="n"/>
      <c r="CH217" s="35" t="n"/>
      <c r="CI217" s="35" t="n"/>
      <c r="CJ217" s="22" t="n"/>
      <c r="CK217" s="35" t="n"/>
      <c r="CL217" s="35" t="n"/>
      <c r="CM217" s="35" t="n"/>
      <c r="CN217" s="35" t="n"/>
      <c r="CO217" s="22" t="n"/>
      <c r="CP217" s="35" t="n"/>
      <c r="CQ217" s="35" t="n"/>
      <c r="CR217" s="35" t="n"/>
      <c r="CS217" s="35" t="n"/>
      <c r="CT217" s="22" t="n"/>
      <c r="CU217" s="35" t="n"/>
      <c r="CV217" s="35" t="n"/>
      <c r="CW217" s="35" t="n"/>
      <c r="CX217" s="35" t="n"/>
      <c r="CY217" s="22" t="n"/>
    </row>
    <row r="218" hidden="1" outlineLevel="1" customFormat="1" s="39">
      <c r="A218" s="19" t="n"/>
      <c r="B218" s="19" t="n"/>
      <c r="C218" s="38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</row>
    <row r="219" collapsed="1">
      <c r="C219" s="26" t="inlineStr">
        <is>
          <t>Convertible Preferred Stock</t>
        </is>
      </c>
      <c r="D219" s="25" t="n"/>
      <c r="E219" s="25" t="n"/>
      <c r="F219" s="25" t="n"/>
      <c r="G219" s="25" t="n"/>
      <c r="H219" s="3">
        <f>G219</f>
        <v>0</v>
      </c>
      <c r="I219" s="25" t="n"/>
      <c r="J219" s="25" t="n"/>
      <c r="K219" s="25" t="n"/>
      <c r="L219" s="25" t="n"/>
      <c r="M219" s="3">
        <f>L219</f>
        <v>0</v>
      </c>
      <c r="N219" s="25" t="n"/>
      <c r="O219" s="25" t="n"/>
      <c r="P219" s="25" t="n"/>
      <c r="Q219" s="25" t="n"/>
      <c r="R219" s="3">
        <f>Q219</f>
        <v>0</v>
      </c>
      <c r="S219" s="25" t="n"/>
      <c r="T219" s="25" t="n"/>
      <c r="U219" s="25" t="n"/>
      <c r="V219" s="25" t="n"/>
      <c r="W219" s="3">
        <f>V219</f>
        <v>0</v>
      </c>
      <c r="X219" s="25" t="n"/>
      <c r="Y219" s="25" t="n"/>
      <c r="Z219" s="25" t="n"/>
      <c r="AA219" s="25" t="n"/>
      <c r="AB219" s="3">
        <f>AA219</f>
        <v>0</v>
      </c>
      <c r="AC219" s="25" t="n"/>
      <c r="AD219" s="25" t="n"/>
      <c r="AE219" s="25" t="n"/>
      <c r="AF219" s="25" t="n"/>
      <c r="AG219" s="3">
        <f>AF219</f>
        <v>0</v>
      </c>
      <c r="AH219" s="3">
        <f>AG219</f>
        <v>0</v>
      </c>
      <c r="AI219" s="3">
        <f>AH219</f>
        <v>0</v>
      </c>
      <c r="AJ219" s="3">
        <f>AI219</f>
        <v>0</v>
      </c>
      <c r="AK219" s="3">
        <f>AJ219</f>
        <v>0</v>
      </c>
      <c r="AL219" s="3">
        <f>AK219</f>
        <v>0</v>
      </c>
      <c r="AM219" s="3">
        <f>AL219</f>
        <v>0</v>
      </c>
      <c r="AN219" s="3">
        <f>AM219</f>
        <v>0</v>
      </c>
      <c r="AO219" s="3">
        <f>AN219</f>
        <v>0</v>
      </c>
      <c r="AP219" s="3">
        <f>AO219</f>
        <v>0</v>
      </c>
      <c r="AQ219" s="3">
        <f>AP219</f>
        <v>0</v>
      </c>
      <c r="AR219" s="3">
        <f>AQ219</f>
        <v>0</v>
      </c>
      <c r="AS219" s="3">
        <f>AR219</f>
        <v>0</v>
      </c>
      <c r="AT219" s="3">
        <f>AS219</f>
        <v>0</v>
      </c>
      <c r="AU219" s="3">
        <f>AT219</f>
        <v>0</v>
      </c>
      <c r="AV219" s="3">
        <f>AU219</f>
        <v>0</v>
      </c>
      <c r="AW219" s="3">
        <f>AV219</f>
        <v>0</v>
      </c>
      <c r="AX219" s="3">
        <f>AW219</f>
        <v>0</v>
      </c>
      <c r="AY219" s="3">
        <f>AX219</f>
        <v>0</v>
      </c>
      <c r="AZ219" s="3">
        <f>AY219</f>
        <v>0</v>
      </c>
      <c r="BA219" s="3">
        <f>AZ219</f>
        <v>0</v>
      </c>
      <c r="BB219" s="3">
        <f>BA219</f>
        <v>0</v>
      </c>
      <c r="BC219" s="3">
        <f>BB219</f>
        <v>0</v>
      </c>
      <c r="BD219" s="3">
        <f>BC219</f>
        <v>0</v>
      </c>
      <c r="BE219" s="3">
        <f>BD219</f>
        <v>0</v>
      </c>
      <c r="BF219" s="3">
        <f>BE219</f>
        <v>0</v>
      </c>
      <c r="BG219" s="3">
        <f>BF219</f>
        <v>0</v>
      </c>
      <c r="BH219" s="3">
        <f>BG219</f>
        <v>0</v>
      </c>
      <c r="BI219" s="3">
        <f>BH219</f>
        <v>0</v>
      </c>
      <c r="BJ219" s="3">
        <f>BI219</f>
        <v>0</v>
      </c>
      <c r="BK219" s="3">
        <f>BJ219</f>
        <v>0</v>
      </c>
      <c r="BL219" s="3">
        <f>BK219</f>
        <v>0</v>
      </c>
      <c r="BM219" s="3">
        <f>BL219</f>
        <v>0</v>
      </c>
      <c r="BN219" s="3">
        <f>BM219</f>
        <v>0</v>
      </c>
      <c r="BO219" s="3">
        <f>BN219</f>
        <v>0</v>
      </c>
      <c r="BP219" s="3">
        <f>BO219</f>
        <v>0</v>
      </c>
      <c r="BQ219" s="3">
        <f>BP219</f>
        <v>0</v>
      </c>
      <c r="BR219" s="3">
        <f>BQ219</f>
        <v>0</v>
      </c>
      <c r="BS219" s="3">
        <f>BR219</f>
        <v>0</v>
      </c>
      <c r="BT219" s="3">
        <f>BS219</f>
        <v>0</v>
      </c>
      <c r="BU219" s="3">
        <f>BT219</f>
        <v>0</v>
      </c>
      <c r="BV219" s="3">
        <f>BU219</f>
        <v>0</v>
      </c>
      <c r="BW219" s="3">
        <f>BV219</f>
        <v>0</v>
      </c>
      <c r="BX219" s="3">
        <f>BW219</f>
        <v>0</v>
      </c>
      <c r="BY219" s="3">
        <f>BX219</f>
        <v>0</v>
      </c>
      <c r="BZ219" s="3">
        <f>BY219</f>
        <v>0</v>
      </c>
      <c r="CA219" s="3">
        <f>BZ219</f>
        <v>0</v>
      </c>
      <c r="CB219" s="3">
        <f>CA219</f>
        <v>0</v>
      </c>
      <c r="CC219" s="3">
        <f>CB219</f>
        <v>0</v>
      </c>
      <c r="CD219" s="3">
        <f>CC219</f>
        <v>0</v>
      </c>
      <c r="CE219" s="3">
        <f>CD219</f>
        <v>0</v>
      </c>
      <c r="CF219" s="3">
        <f>CE219</f>
        <v>0</v>
      </c>
      <c r="CG219" s="3">
        <f>CF219</f>
        <v>0</v>
      </c>
      <c r="CH219" s="3">
        <f>CG219</f>
        <v>0</v>
      </c>
      <c r="CI219" s="3">
        <f>CH219</f>
        <v>0</v>
      </c>
      <c r="CJ219" s="3">
        <f>CI219</f>
        <v>0</v>
      </c>
      <c r="CK219" s="3">
        <f>CJ219</f>
        <v>0</v>
      </c>
      <c r="CL219" s="3">
        <f>CK219</f>
        <v>0</v>
      </c>
      <c r="CM219" s="3">
        <f>CL219</f>
        <v>0</v>
      </c>
      <c r="CN219" s="3">
        <f>CM219</f>
        <v>0</v>
      </c>
      <c r="CO219" s="3">
        <f>CN219</f>
        <v>0</v>
      </c>
      <c r="CP219" s="3">
        <f>CO219</f>
        <v>0</v>
      </c>
      <c r="CQ219" s="3">
        <f>CP219</f>
        <v>0</v>
      </c>
      <c r="CR219" s="3">
        <f>CQ219</f>
        <v>0</v>
      </c>
      <c r="CS219" s="3">
        <f>CR219</f>
        <v>0</v>
      </c>
      <c r="CT219" s="3">
        <f>CS219</f>
        <v>0</v>
      </c>
      <c r="CU219" s="3">
        <f>CT219</f>
        <v>0</v>
      </c>
      <c r="CV219" s="3">
        <f>CU219</f>
        <v>0</v>
      </c>
      <c r="CW219" s="3">
        <f>CV219</f>
        <v>0</v>
      </c>
      <c r="CX219" s="3">
        <f>CW219</f>
        <v>0</v>
      </c>
      <c r="CY219" s="3">
        <f>CX219</f>
        <v>0</v>
      </c>
    </row>
    <row r="220">
      <c r="C220" s="24" t="inlineStr">
        <is>
          <t>Common Stock and APIC</t>
        </is>
      </c>
      <c r="D220" s="25">
        <f>INDEX('Inputs (2)'!$D$43:$AL$43,MATCH(D$7,'Inputs (2)'!$D$2:$AL$2,0))</f>
        <v>7355</v>
      </c>
      <c r="E220" s="25">
        <f>INDEX('Inputs (2)'!$D$43:$AL$43,MATCH(E$7,'Inputs (2)'!$D$2:$AL$2,0))</f>
        <v>7829</v>
      </c>
      <c r="F220" s="25">
        <f>INDEX('Inputs (2)'!$D$43:$AL$43,MATCH(F$7,'Inputs (2)'!$D$2:$AL$2,0))</f>
        <v>8302</v>
      </c>
      <c r="G220" s="25">
        <f>INDEX('Inputs (2)'!$D$43:$AL$43,MATCH(G$7,'Inputs (2)'!$D$2:$AL$2,0))</f>
        <v>8722</v>
      </c>
      <c r="H220" s="3">
        <f>G220</f>
        <v>8722</v>
      </c>
      <c r="I220" s="25">
        <f>INDEX('Inputs (2)'!$D$43:$AL$43,MATCH(I$7,'Inputs (2)'!$D$2:$AL$2,0))</f>
        <v>9281</v>
      </c>
      <c r="J220" s="25">
        <f>INDEX('Inputs (2)'!$D$43:$AL$43,MATCH(J$7,'Inputs (2)'!$D$2:$AL$2,0))</f>
        <v>9748</v>
      </c>
      <c r="K220" s="25">
        <f>INDEX('Inputs (2)'!$D$43:$AL$43,MATCH(K$7,'Inputs (2)'!$D$2:$AL$2,0))</f>
        <v>10468</v>
      </c>
      <c r="L220" s="25">
        <f>INDEX('Inputs (2)'!$D$43:$AL$43,MATCH(L$7,'Inputs (2)'!$D$2:$AL$2,0))</f>
        <v>10388</v>
      </c>
      <c r="M220" s="3">
        <f>L220</f>
        <v>10388</v>
      </c>
      <c r="N220" s="25">
        <f>INDEX('Inputs (2)'!$D$43:$AL$43,MATCH(N$7,'Inputs (2)'!$D$2:$AL$2,0))</f>
        <v>10626</v>
      </c>
      <c r="O220" s="25">
        <f>INDEX('Inputs (2)'!$D$43:$AL$43,MATCH(O$7,'Inputs (2)'!$D$2:$AL$2,0))</f>
        <v>10970</v>
      </c>
      <c r="P220" s="25">
        <f>INDEX('Inputs (2)'!$D$43:$AL$43,MATCH(P$7,'Inputs (2)'!$D$2:$AL$2,0))</f>
        <v>11567</v>
      </c>
      <c r="Q220" s="25">
        <f>INDEX('Inputs (2)'!$D$43:$AL$43,MATCH(Q$7,'Inputs (2)'!$D$2:$AL$2,0))</f>
        <v>11973</v>
      </c>
      <c r="R220" s="3">
        <f>Q220</f>
        <v>11973</v>
      </c>
      <c r="S220" s="25">
        <f>INDEX('Inputs (2)'!$D$43:$AL$43,MATCH(S$7,'Inputs (2)'!$D$2:$AL$2,0))</f>
        <v>12455</v>
      </c>
      <c r="T220" s="25">
        <f>INDEX('Inputs (2)'!$D$43:$AL$43,MATCH(T$7,'Inputs (2)'!$D$2:$AL$2,0))</f>
        <v>12631</v>
      </c>
      <c r="U220" s="25">
        <f>INDEX('Inputs (2)'!$D$43:$AL$43,MATCH(U$7,'Inputs (2)'!$D$2:$AL$2,0))</f>
        <v>12993</v>
      </c>
      <c r="V220" s="25">
        <f>INDEX('Inputs (2)'!$D$43:$AL$43,MATCH(V$7,'Inputs (2)'!$D$2:$AL$2,0))</f>
        <v>13134</v>
      </c>
      <c r="W220" s="3">
        <f>V220</f>
        <v>13134</v>
      </c>
      <c r="X220" s="25">
        <f>INDEX('Inputs (2)'!$D$43:$AL$43,MATCH(X$7,'Inputs (2)'!$D$2:$AL$2,0))</f>
        <v>12653</v>
      </c>
      <c r="Y220" s="25">
        <f>INDEX('Inputs (2)'!$D$43:$AL$43,MATCH(Y$7,'Inputs (2)'!$D$2:$AL$2,0))</f>
        <v>12140</v>
      </c>
      <c r="Z220" s="25">
        <f>INDEX('Inputs (2)'!$D$43:$AL$43,MATCH(Z$7,'Inputs (2)'!$D$2:$AL$2,0))</f>
        <v>11846</v>
      </c>
      <c r="AA220" s="25">
        <f>INDEX('Inputs (2)'!$D$43:$AL$43,MATCH(AA$7,'Inputs (2)'!$D$2:$AL$2,0))</f>
        <v>11261</v>
      </c>
      <c r="AB220" s="3">
        <f>AA220</f>
        <v>11261</v>
      </c>
      <c r="AC220" s="25">
        <f>INDEX('Inputs (2)'!$D$43:$AL$43,MATCH(AC$7,'Inputs (2)'!$D$2:$AL$2,0))</f>
        <v>11499</v>
      </c>
      <c r="AD220" s="25">
        <f>INDEX('Inputs (2)'!$D$43:$AL$43,MATCH(AD$7,'Inputs (2)'!$D$2:$AL$2,0))</f>
        <v>11224</v>
      </c>
      <c r="AE220" s="25">
        <f>INDEX('Inputs (2)'!$D$43:$AL$43,MATCH(AE$7,'Inputs (2)'!$D$2:$AL$2,0))</f>
        <v>10650</v>
      </c>
      <c r="AF220" s="25">
        <f>INDEX('Inputs (2)'!$D$43:$AL$43,MATCH(AF$7,'Inputs (2)'!$D$2:$AL$2,0))</f>
        <v>10142</v>
      </c>
      <c r="AG220" s="3">
        <f>AF220</f>
        <v>10142</v>
      </c>
      <c r="AH220" s="3">
        <f>AG220+AH224</f>
        <v>10142</v>
      </c>
      <c r="AI220" s="3">
        <f>AH220+AI224</f>
        <v>10142</v>
      </c>
      <c r="AJ220" s="3">
        <f>AI220+AJ224</f>
        <v>10142</v>
      </c>
      <c r="AK220" s="3">
        <f>AJ220+AK224</f>
        <v>10142</v>
      </c>
      <c r="AL220" s="3">
        <f>AK220</f>
        <v>10142</v>
      </c>
      <c r="AM220" s="3">
        <f>AL220+AM224</f>
        <v>10142</v>
      </c>
      <c r="AN220" s="3">
        <f>AM220+AN224</f>
        <v>10142</v>
      </c>
      <c r="AO220" s="3">
        <f>AN220+AO224</f>
        <v>10142</v>
      </c>
      <c r="AP220" s="3">
        <f>AO220+AP224</f>
        <v>10142</v>
      </c>
      <c r="AQ220" s="3">
        <f>AP220</f>
        <v>10142</v>
      </c>
      <c r="AR220" s="3">
        <f>AQ220+AR224</f>
        <v>10142</v>
      </c>
      <c r="AS220" s="3">
        <f>AR220+AS224</f>
        <v>10142</v>
      </c>
      <c r="AT220" s="3">
        <f>AS220+AT224</f>
        <v>10142</v>
      </c>
      <c r="AU220" s="3">
        <f>AT220+AU224</f>
        <v>10142</v>
      </c>
      <c r="AV220" s="3">
        <f>AU220</f>
        <v>10142</v>
      </c>
      <c r="AW220" s="3">
        <f>AV220+AW224</f>
        <v>10142</v>
      </c>
      <c r="AX220" s="3">
        <f>AW220+AX224</f>
        <v>10142</v>
      </c>
      <c r="AY220" s="3">
        <f>AX220+AY224</f>
        <v>10142</v>
      </c>
      <c r="AZ220" s="3">
        <f>AY220+AZ224</f>
        <v>10142</v>
      </c>
      <c r="BA220" s="3">
        <f>AZ220</f>
        <v>10142</v>
      </c>
      <c r="BB220" s="3">
        <f>BA220+BB224</f>
        <v>10142</v>
      </c>
      <c r="BC220" s="3">
        <f>BB220+BC224</f>
        <v>10142</v>
      </c>
      <c r="BD220" s="3">
        <f>BC220+BD224</f>
        <v>10142</v>
      </c>
      <c r="BE220" s="3">
        <f>BD220+BE224</f>
        <v>10142</v>
      </c>
      <c r="BF220" s="3">
        <f>BE220</f>
        <v>10142</v>
      </c>
      <c r="BG220" s="3">
        <f>BF220+BG224</f>
        <v>10142</v>
      </c>
      <c r="BH220" s="3">
        <f>BG220+BH224</f>
        <v>10142</v>
      </c>
      <c r="BI220" s="3">
        <f>BH220+BI224</f>
        <v>10142</v>
      </c>
      <c r="BJ220" s="3">
        <f>BI220+BJ224</f>
        <v>10142</v>
      </c>
      <c r="BK220" s="3">
        <f>BJ220</f>
        <v>10142</v>
      </c>
      <c r="BL220" s="3">
        <f>BK220+BL224</f>
        <v>10142</v>
      </c>
      <c r="BM220" s="3">
        <f>BL220+BM224</f>
        <v>10142</v>
      </c>
      <c r="BN220" s="3">
        <f>BM220+BN224</f>
        <v>10142</v>
      </c>
      <c r="BO220" s="3">
        <f>BN220+BO224</f>
        <v>10142</v>
      </c>
      <c r="BP220" s="3">
        <f>BO220</f>
        <v>10142</v>
      </c>
      <c r="BQ220" s="3">
        <f>BP220+BQ224</f>
        <v>10142</v>
      </c>
      <c r="BR220" s="3">
        <f>BQ220+BR224</f>
        <v>10142</v>
      </c>
      <c r="BS220" s="3">
        <f>BR220+BS224</f>
        <v>10142</v>
      </c>
      <c r="BT220" s="3">
        <f>BS220+BT224</f>
        <v>10142</v>
      </c>
      <c r="BU220" s="3">
        <f>BT220</f>
        <v>10142</v>
      </c>
      <c r="BV220" s="3">
        <f>BU220+BV224</f>
        <v>10142</v>
      </c>
      <c r="BW220" s="3">
        <f>BV220+BW224</f>
        <v>10142</v>
      </c>
      <c r="BX220" s="3">
        <f>BW220+BX224</f>
        <v>10142</v>
      </c>
      <c r="BY220" s="3">
        <f>BX220+BY224</f>
        <v>10142</v>
      </c>
      <c r="BZ220" s="3">
        <f>BY220</f>
        <v>10142</v>
      </c>
      <c r="CA220" s="3">
        <f>BZ220+CA224</f>
        <v>10142</v>
      </c>
      <c r="CB220" s="3">
        <f>CA220+CB224</f>
        <v>10142</v>
      </c>
      <c r="CC220" s="3">
        <f>CB220+CC224</f>
        <v>10142</v>
      </c>
      <c r="CD220" s="3">
        <f>CC220+CD224</f>
        <v>10142</v>
      </c>
      <c r="CE220" s="3">
        <f>CD220</f>
        <v>10142</v>
      </c>
      <c r="CF220" s="3">
        <f>CE220+CF224</f>
        <v>10142</v>
      </c>
      <c r="CG220" s="3">
        <f>CF220+CG224</f>
        <v>10142</v>
      </c>
      <c r="CH220" s="3">
        <f>CG220+CH224</f>
        <v>10142</v>
      </c>
      <c r="CI220" s="3">
        <f>CH220+CI224</f>
        <v>10142</v>
      </c>
      <c r="CJ220" s="3">
        <f>CI220</f>
        <v>10142</v>
      </c>
      <c r="CK220" s="3">
        <f>CJ220+CK224</f>
        <v>10142</v>
      </c>
      <c r="CL220" s="3">
        <f>CK220+CL224</f>
        <v>10142</v>
      </c>
      <c r="CM220" s="3">
        <f>CL220+CM224</f>
        <v>10142</v>
      </c>
      <c r="CN220" s="3">
        <f>CM220+CN224</f>
        <v>10142</v>
      </c>
      <c r="CO220" s="3">
        <f>CN220</f>
        <v>10142</v>
      </c>
      <c r="CP220" s="3">
        <f>CO220+CP224</f>
        <v>10142</v>
      </c>
      <c r="CQ220" s="3">
        <f>CP220+CQ224</f>
        <v>10142</v>
      </c>
      <c r="CR220" s="3">
        <f>CQ220+CR224</f>
        <v>10142</v>
      </c>
      <c r="CS220" s="3">
        <f>CR220+CS224</f>
        <v>10142</v>
      </c>
      <c r="CT220" s="3">
        <f>CS220</f>
        <v>10142</v>
      </c>
      <c r="CU220" s="3">
        <f>CT220+CU224</f>
        <v>10142</v>
      </c>
      <c r="CV220" s="3">
        <f>CU220+CV224</f>
        <v>10142</v>
      </c>
      <c r="CW220" s="3">
        <f>CV220+CW224</f>
        <v>10142</v>
      </c>
      <c r="CX220" s="3">
        <f>CW220+CX224</f>
        <v>10142</v>
      </c>
      <c r="CY220" s="3">
        <f>CX220</f>
        <v>10142</v>
      </c>
    </row>
    <row r="221" hidden="1" outlineLevel="1" customFormat="1" s="39">
      <c r="A221" s="19" t="n"/>
      <c r="B221" s="19" t="n"/>
      <c r="C221" s="41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</row>
    <row r="222" hidden="1" outlineLevel="1" customFormat="1" s="39">
      <c r="A222" s="19" t="n"/>
      <c r="B222" s="19" t="n"/>
      <c r="C222" s="41" t="inlineStr">
        <is>
          <t>Diluted Shares outstanding</t>
        </is>
      </c>
      <c r="D222" s="22">
        <f>INDEX('Inputs (2)'!$D$48:$AL$48,MATCH(D$7,'Inputs (2)'!$D$2:$AL$2,0))</f>
        <v>24880</v>
      </c>
      <c r="E222" s="22">
        <f>INDEX('Inputs (2)'!$D$48:$AL$48,MATCH(E$7,'Inputs (2)'!$D$2:$AL$2,0))</f>
        <v>25040</v>
      </c>
      <c r="F222" s="22">
        <f>INDEX('Inputs (2)'!$D$48:$AL$48,MATCH(F$7,'Inputs (2)'!$D$2:$AL$2,0))</f>
        <v>25200</v>
      </c>
      <c r="G222" s="22" t="n"/>
      <c r="H222" s="22" t="n"/>
      <c r="I222" s="22">
        <f>INDEX('Inputs (2)'!$D$48:$AL$48,MATCH(I$7,'Inputs (2)'!$D$2:$AL$2,0))</f>
        <v>25280</v>
      </c>
      <c r="J222" s="22">
        <f>INDEX('Inputs (2)'!$D$48:$AL$48,MATCH(J$7,'Inputs (2)'!$D$2:$AL$2,0))</f>
        <v>25320</v>
      </c>
      <c r="K222" s="22">
        <f>INDEX('Inputs (2)'!$D$48:$AL$48,MATCH(K$7,'Inputs (2)'!$D$2:$AL$2,0))</f>
        <v>25380</v>
      </c>
      <c r="L222" s="22" t="n"/>
      <c r="M222" s="22" t="n"/>
      <c r="N222" s="22">
        <f>INDEX('Inputs (2)'!$D$48:$AL$48,MATCH(N$7,'Inputs (2)'!$D$2:$AL$2,0))</f>
        <v>25370</v>
      </c>
      <c r="O222" s="22">
        <f>INDEX('Inputs (2)'!$D$48:$AL$48,MATCH(O$7,'Inputs (2)'!$D$2:$AL$2,0))</f>
        <v>25160</v>
      </c>
      <c r="P222" s="22">
        <f>INDEX('Inputs (2)'!$D$48:$AL$48,MATCH(P$7,'Inputs (2)'!$D$2:$AL$2,0))</f>
        <v>24990</v>
      </c>
      <c r="Q222" s="22" t="n"/>
      <c r="R222" s="22" t="n"/>
      <c r="S222" s="22">
        <f>INDEX('Inputs (2)'!$D$48:$AL$48,MATCH(S$7,'Inputs (2)'!$D$2:$AL$2,0))</f>
        <v>24900</v>
      </c>
      <c r="T222" s="22">
        <f>INDEX('Inputs (2)'!$D$48:$AL$48,MATCH(T$7,'Inputs (2)'!$D$2:$AL$2,0))</f>
        <v>24994</v>
      </c>
      <c r="U222" s="22">
        <f>INDEX('Inputs (2)'!$D$48:$AL$48,MATCH(U$7,'Inputs (2)'!$D$2:$AL$2,0))</f>
        <v>24940</v>
      </c>
      <c r="V222" s="22" t="n"/>
      <c r="W222" s="22" t="n"/>
      <c r="X222" s="22">
        <f>INDEX('Inputs (2)'!$D$48:$AL$48,MATCH(X$7,'Inputs (2)'!$D$2:$AL$2,0))</f>
        <v>24890</v>
      </c>
      <c r="Y222" s="22">
        <f>INDEX('Inputs (2)'!$D$48:$AL$48,MATCH(Y$7,'Inputs (2)'!$D$2:$AL$2,0))</f>
        <v>24848</v>
      </c>
      <c r="Z222" s="22">
        <f>INDEX('Inputs (2)'!$D$48:$AL$48,MATCH(Z$7,'Inputs (2)'!$D$2:$AL$2,0))</f>
        <v>24774</v>
      </c>
      <c r="AA222" s="22" t="n"/>
      <c r="AB222" s="22" t="n"/>
      <c r="AC222" s="22">
        <f>INDEX('Inputs (2)'!$D$48:$AL$48,MATCH(AC$7,'Inputs (2)'!$D$2:$AL$2,0))</f>
        <v>24611</v>
      </c>
      <c r="AD222" s="22">
        <f>INDEX('Inputs (2)'!$D$48:$AL$48,MATCH(AD$7,'Inputs (2)'!$D$2:$AL$2,0))</f>
        <v>24532</v>
      </c>
      <c r="AE222" s="22">
        <f>INDEX('Inputs (2)'!$D$48:$AL$48,MATCH(AE$7,'Inputs (2)'!$D$2:$AL$2,0))</f>
        <v>24483</v>
      </c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</row>
    <row r="223" hidden="1" outlineLevel="1" customFormat="1" s="39">
      <c r="A223" s="19" t="n"/>
      <c r="B223" s="19" t="n"/>
      <c r="C223" s="41" t="inlineStr">
        <is>
          <t>Treasury share $ repurchases</t>
        </is>
      </c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6" t="n"/>
      <c r="AI223" s="6" t="n"/>
      <c r="AJ223" s="6" t="n"/>
      <c r="AK223" s="6" t="n"/>
      <c r="AL223" s="22" t="n"/>
      <c r="AM223" s="6" t="n"/>
      <c r="AN223" s="6" t="n"/>
      <c r="AO223" s="6" t="n"/>
      <c r="AP223" s="6" t="n"/>
      <c r="AQ223" s="22" t="n"/>
      <c r="AR223" s="6" t="n"/>
      <c r="AS223" s="6" t="n"/>
      <c r="AT223" s="6" t="n"/>
      <c r="AU223" s="6" t="n"/>
      <c r="AV223" s="22" t="n"/>
      <c r="AW223" s="6" t="n"/>
      <c r="AX223" s="6" t="n"/>
      <c r="AY223" s="6" t="n"/>
      <c r="AZ223" s="6" t="n"/>
      <c r="BA223" s="22" t="n"/>
      <c r="BB223" s="6" t="n"/>
      <c r="BC223" s="6" t="n"/>
      <c r="BD223" s="6" t="n"/>
      <c r="BE223" s="6" t="n"/>
      <c r="BF223" s="22" t="n"/>
      <c r="BG223" s="6" t="n"/>
      <c r="BH223" s="6" t="n"/>
      <c r="BI223" s="6" t="n"/>
      <c r="BJ223" s="6" t="n"/>
      <c r="BK223" s="22" t="n"/>
      <c r="BL223" s="6" t="n"/>
      <c r="BM223" s="6" t="n"/>
      <c r="BN223" s="6" t="n"/>
      <c r="BO223" s="6" t="n"/>
      <c r="BP223" s="22" t="n"/>
      <c r="BQ223" s="6" t="n"/>
      <c r="BR223" s="6" t="n"/>
      <c r="BS223" s="6" t="n"/>
      <c r="BT223" s="6" t="n"/>
      <c r="BU223" s="22" t="n"/>
      <c r="BV223" s="6" t="n"/>
      <c r="BW223" s="6" t="n"/>
      <c r="BX223" s="6" t="n"/>
      <c r="BY223" s="6" t="n"/>
      <c r="BZ223" s="22" t="n"/>
      <c r="CA223" s="6" t="n"/>
      <c r="CB223" s="6" t="n"/>
      <c r="CC223" s="6" t="n"/>
      <c r="CD223" s="6" t="n"/>
      <c r="CE223" s="22" t="n"/>
      <c r="CF223" s="6" t="n"/>
      <c r="CG223" s="6" t="n"/>
      <c r="CH223" s="6" t="n"/>
      <c r="CI223" s="6" t="n"/>
      <c r="CJ223" s="22" t="n"/>
      <c r="CK223" s="6" t="n"/>
      <c r="CL223" s="6" t="n"/>
      <c r="CM223" s="6" t="n"/>
      <c r="CN223" s="6" t="n"/>
      <c r="CO223" s="22" t="n"/>
      <c r="CP223" s="6" t="n"/>
      <c r="CQ223" s="6" t="n"/>
      <c r="CR223" s="6" t="n"/>
      <c r="CS223" s="6" t="n"/>
      <c r="CT223" s="22" t="n"/>
      <c r="CU223" s="6" t="n"/>
      <c r="CV223" s="6" t="n"/>
      <c r="CW223" s="6" t="n"/>
      <c r="CX223" s="6" t="n"/>
      <c r="CY223" s="22" t="n"/>
    </row>
    <row r="224" hidden="1" outlineLevel="1" customFormat="1" s="39">
      <c r="A224" s="19" t="n"/>
      <c r="B224" s="19" t="n"/>
      <c r="C224" s="41" t="inlineStr">
        <is>
          <t>Value of shares issued</t>
        </is>
      </c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6" t="n"/>
      <c r="AI224" s="6" t="n"/>
      <c r="AJ224" s="6" t="n"/>
      <c r="AK224" s="6" t="n"/>
      <c r="AL224" s="22" t="n"/>
      <c r="AM224" s="6" t="n"/>
      <c r="AN224" s="6" t="n"/>
      <c r="AO224" s="6" t="n"/>
      <c r="AP224" s="6" t="n"/>
      <c r="AQ224" s="22" t="n"/>
      <c r="AR224" s="6" t="n"/>
      <c r="AS224" s="6" t="n"/>
      <c r="AT224" s="6" t="n"/>
      <c r="AU224" s="6" t="n"/>
      <c r="AV224" s="22" t="n"/>
      <c r="AW224" s="6" t="n"/>
      <c r="AX224" s="6" t="n"/>
      <c r="AY224" s="6" t="n"/>
      <c r="AZ224" s="6" t="n"/>
      <c r="BA224" s="22" t="n"/>
      <c r="BB224" s="6" t="n"/>
      <c r="BC224" s="6" t="n"/>
      <c r="BD224" s="6" t="n"/>
      <c r="BE224" s="6" t="n"/>
      <c r="BF224" s="22" t="n"/>
      <c r="BG224" s="6" t="n"/>
      <c r="BH224" s="6" t="n"/>
      <c r="BI224" s="6" t="n"/>
      <c r="BJ224" s="6" t="n"/>
      <c r="BK224" s="22" t="n"/>
      <c r="BL224" s="6" t="n"/>
      <c r="BM224" s="6" t="n"/>
      <c r="BN224" s="6" t="n"/>
      <c r="BO224" s="6" t="n"/>
      <c r="BP224" s="22" t="n"/>
      <c r="BQ224" s="6" t="n"/>
      <c r="BR224" s="6" t="n"/>
      <c r="BS224" s="6" t="n"/>
      <c r="BT224" s="6" t="n"/>
      <c r="BU224" s="22" t="n"/>
      <c r="BV224" s="6" t="n"/>
      <c r="BW224" s="6" t="n"/>
      <c r="BX224" s="6" t="n"/>
      <c r="BY224" s="6" t="n"/>
      <c r="BZ224" s="22" t="n"/>
      <c r="CA224" s="6" t="n"/>
      <c r="CB224" s="6" t="n"/>
      <c r="CC224" s="6" t="n"/>
      <c r="CD224" s="6" t="n"/>
      <c r="CE224" s="22" t="n"/>
      <c r="CF224" s="6" t="n"/>
      <c r="CG224" s="6" t="n"/>
      <c r="CH224" s="6" t="n"/>
      <c r="CI224" s="6" t="n"/>
      <c r="CJ224" s="22" t="n"/>
      <c r="CK224" s="6" t="n"/>
      <c r="CL224" s="6" t="n"/>
      <c r="CM224" s="6" t="n"/>
      <c r="CN224" s="6" t="n"/>
      <c r="CO224" s="22" t="n"/>
      <c r="CP224" s="6" t="n"/>
      <c r="CQ224" s="6" t="n"/>
      <c r="CR224" s="6" t="n"/>
      <c r="CS224" s="6" t="n"/>
      <c r="CT224" s="22" t="n"/>
      <c r="CU224" s="6" t="n"/>
      <c r="CV224" s="6" t="n"/>
      <c r="CW224" s="6" t="n"/>
      <c r="CX224" s="6" t="n"/>
      <c r="CY224" s="22" t="n"/>
    </row>
    <row r="225" hidden="1" outlineLevel="1" customFormat="1" s="39">
      <c r="A225" s="19" t="n"/>
      <c r="B225" s="19" t="n"/>
      <c r="C225" s="41" t="inlineStr">
        <is>
          <t>Expected average share price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42">
        <f>AG225*(1+AH226)</f>
        <v>0</v>
      </c>
      <c r="AI225" s="42">
        <f>AH225*(1+AI226)</f>
        <v>0</v>
      </c>
      <c r="AJ225" s="42">
        <f>AH225*(1+AJ226)</f>
        <v>0</v>
      </c>
      <c r="AK225" s="42">
        <f>AJ225*(1+AK226)</f>
        <v>0</v>
      </c>
      <c r="AL225" s="22" t="n"/>
      <c r="AM225" s="42">
        <f>AL225*(1+AM226)</f>
        <v>0</v>
      </c>
      <c r="AN225" s="42">
        <f>AM225*(1+AN226)</f>
        <v>0</v>
      </c>
      <c r="AO225" s="42">
        <f>AM225*(1+AO226)</f>
        <v>0</v>
      </c>
      <c r="AP225" s="42">
        <f>AO225*(1+AP226)</f>
        <v>0</v>
      </c>
      <c r="AQ225" s="22" t="n"/>
      <c r="AR225" s="42">
        <f>AQ225*(1+AR226)</f>
        <v>0</v>
      </c>
      <c r="AS225" s="42">
        <f>AR225*(1+AS226)</f>
        <v>0</v>
      </c>
      <c r="AT225" s="42">
        <f>AR225*(1+AT226)</f>
        <v>0</v>
      </c>
      <c r="AU225" s="42">
        <f>AT225*(1+AU226)</f>
        <v>0</v>
      </c>
      <c r="AV225" s="22" t="n"/>
      <c r="AW225" s="42">
        <f>AV225*(1+AW226)</f>
        <v>0</v>
      </c>
      <c r="AX225" s="42">
        <f>AW225*(1+AX226)</f>
        <v>0</v>
      </c>
      <c r="AY225" s="42">
        <f>AW225*(1+AY226)</f>
        <v>0</v>
      </c>
      <c r="AZ225" s="42">
        <f>AY225*(1+AZ226)</f>
        <v>0</v>
      </c>
      <c r="BA225" s="22" t="n"/>
      <c r="BB225" s="42">
        <f>BA225*(1+BB226)</f>
        <v>0</v>
      </c>
      <c r="BC225" s="42">
        <f>BB225*(1+BC226)</f>
        <v>0</v>
      </c>
      <c r="BD225" s="42">
        <f>BB225*(1+BD226)</f>
        <v>0</v>
      </c>
      <c r="BE225" s="42">
        <f>BD225*(1+BE226)</f>
        <v>0</v>
      </c>
      <c r="BF225" s="22" t="n"/>
      <c r="BG225" s="42">
        <f>BF225*(1+BG226)</f>
        <v>0</v>
      </c>
      <c r="BH225" s="42">
        <f>BG225*(1+BH226)</f>
        <v>0</v>
      </c>
      <c r="BI225" s="42">
        <f>BG225*(1+BI226)</f>
        <v>0</v>
      </c>
      <c r="BJ225" s="42">
        <f>BI225*(1+BJ226)</f>
        <v>0</v>
      </c>
      <c r="BK225" s="22" t="n"/>
      <c r="BL225" s="42">
        <f>BK225*(1+BL226)</f>
        <v>0</v>
      </c>
      <c r="BM225" s="42">
        <f>BL225*(1+BM226)</f>
        <v>0</v>
      </c>
      <c r="BN225" s="42">
        <f>BL225*(1+BN226)</f>
        <v>0</v>
      </c>
      <c r="BO225" s="42">
        <f>BN225*(1+BO226)</f>
        <v>0</v>
      </c>
      <c r="BP225" s="22" t="n"/>
      <c r="BQ225" s="42">
        <f>BP225*(1+BQ226)</f>
        <v>0</v>
      </c>
      <c r="BR225" s="42">
        <f>BQ225*(1+BR226)</f>
        <v>0</v>
      </c>
      <c r="BS225" s="42">
        <f>BQ225*(1+BS226)</f>
        <v>0</v>
      </c>
      <c r="BT225" s="42">
        <f>BS225*(1+BT226)</f>
        <v>0</v>
      </c>
      <c r="BU225" s="22" t="n"/>
      <c r="BV225" s="42">
        <f>BU225*(1+BV226)</f>
        <v>0</v>
      </c>
      <c r="BW225" s="42">
        <f>BV225*(1+BW226)</f>
        <v>0</v>
      </c>
      <c r="BX225" s="42">
        <f>BV225*(1+BX226)</f>
        <v>0</v>
      </c>
      <c r="BY225" s="42">
        <f>BX225*(1+BY226)</f>
        <v>0</v>
      </c>
      <c r="BZ225" s="22" t="n"/>
      <c r="CA225" s="42">
        <f>BZ225*(1+CA226)</f>
        <v>0</v>
      </c>
      <c r="CB225" s="42">
        <f>CA225*(1+CB226)</f>
        <v>0</v>
      </c>
      <c r="CC225" s="42">
        <f>CA225*(1+CC226)</f>
        <v>0</v>
      </c>
      <c r="CD225" s="42">
        <f>CC225*(1+CD226)</f>
        <v>0</v>
      </c>
      <c r="CE225" s="22" t="n"/>
      <c r="CF225" s="42">
        <f>CE225*(1+CF226)</f>
        <v>0</v>
      </c>
      <c r="CG225" s="42">
        <f>CF225*(1+CG226)</f>
        <v>0</v>
      </c>
      <c r="CH225" s="42">
        <f>CF225*(1+CH226)</f>
        <v>0</v>
      </c>
      <c r="CI225" s="42">
        <f>CH225*(1+CI226)</f>
        <v>0</v>
      </c>
      <c r="CJ225" s="22" t="n"/>
      <c r="CK225" s="42">
        <f>CJ225*(1+CK226)</f>
        <v>0</v>
      </c>
      <c r="CL225" s="42">
        <f>CK225*(1+CL226)</f>
        <v>0</v>
      </c>
      <c r="CM225" s="42">
        <f>CK225*(1+CM226)</f>
        <v>0</v>
      </c>
      <c r="CN225" s="42">
        <f>CM225*(1+CN226)</f>
        <v>0</v>
      </c>
      <c r="CO225" s="22" t="n"/>
      <c r="CP225" s="42">
        <f>CO225*(1+CP226)</f>
        <v>0</v>
      </c>
      <c r="CQ225" s="42">
        <f>CP225*(1+CQ226)</f>
        <v>0</v>
      </c>
      <c r="CR225" s="42">
        <f>CP225*(1+CR226)</f>
        <v>0</v>
      </c>
      <c r="CS225" s="42">
        <f>CR225*(1+CS226)</f>
        <v>0</v>
      </c>
      <c r="CT225" s="22" t="n"/>
      <c r="CU225" s="42">
        <f>CT225*(1+CU226)</f>
        <v>0</v>
      </c>
      <c r="CV225" s="42">
        <f>CU225*(1+CV226)</f>
        <v>0</v>
      </c>
      <c r="CW225" s="42">
        <f>CU225*(1+CW226)</f>
        <v>0</v>
      </c>
      <c r="CX225" s="42">
        <f>CW225*(1+CX226)</f>
        <v>0</v>
      </c>
      <c r="CY225" s="22" t="n"/>
    </row>
    <row r="226" hidden="1" outlineLevel="1" customFormat="1" s="39">
      <c r="A226" s="19" t="n"/>
      <c r="B226" s="19" t="n"/>
      <c r="C226" s="41" t="inlineStr">
        <is>
          <t>Consensus EPS growth</t>
        </is>
      </c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40">
        <f>$AL$231</f>
        <v>0</v>
      </c>
      <c r="AI226" s="40">
        <f>$AL$231</f>
        <v>0</v>
      </c>
      <c r="AJ226" s="40">
        <f>$AL$231</f>
        <v>0</v>
      </c>
      <c r="AK226" s="40">
        <f>$AL$231</f>
        <v>0</v>
      </c>
      <c r="AL226" s="22" t="n"/>
      <c r="AM226" s="40">
        <f>$AL$231</f>
        <v>0</v>
      </c>
      <c r="AN226" s="40">
        <f>$AL$231</f>
        <v>0</v>
      </c>
      <c r="AO226" s="40">
        <f>$AL$231</f>
        <v>0</v>
      </c>
      <c r="AP226" s="40">
        <f>$AL$231</f>
        <v>0</v>
      </c>
      <c r="AQ226" s="22" t="n"/>
      <c r="AR226" s="40">
        <f>$AL$231</f>
        <v>0</v>
      </c>
      <c r="AS226" s="40">
        <f>$AL$231</f>
        <v>0</v>
      </c>
      <c r="AT226" s="40">
        <f>$AL$231</f>
        <v>0</v>
      </c>
      <c r="AU226" s="40">
        <f>$AL$231</f>
        <v>0</v>
      </c>
      <c r="AV226" s="22" t="n"/>
      <c r="AW226" s="40">
        <f>$AL$231</f>
        <v>0</v>
      </c>
      <c r="AX226" s="40">
        <f>$AL$231</f>
        <v>0</v>
      </c>
      <c r="AY226" s="40">
        <f>$AL$231</f>
        <v>0</v>
      </c>
      <c r="AZ226" s="40">
        <f>$AL$231</f>
        <v>0</v>
      </c>
      <c r="BA226" s="22" t="n"/>
      <c r="BB226" s="40">
        <f>$AL$231</f>
        <v>0</v>
      </c>
      <c r="BC226" s="40">
        <f>$AL$231</f>
        <v>0</v>
      </c>
      <c r="BD226" s="40">
        <f>$AL$231</f>
        <v>0</v>
      </c>
      <c r="BE226" s="40">
        <f>$AL$231</f>
        <v>0</v>
      </c>
      <c r="BF226" s="22" t="n"/>
      <c r="BG226" s="40">
        <f>$AL$231</f>
        <v>0</v>
      </c>
      <c r="BH226" s="40">
        <f>$AL$231</f>
        <v>0</v>
      </c>
      <c r="BI226" s="40">
        <f>$AL$231</f>
        <v>0</v>
      </c>
      <c r="BJ226" s="40">
        <f>$AL$231</f>
        <v>0</v>
      </c>
      <c r="BK226" s="22" t="n"/>
      <c r="BL226" s="40">
        <f>$AL$231</f>
        <v>0</v>
      </c>
      <c r="BM226" s="40">
        <f>$AL$231</f>
        <v>0</v>
      </c>
      <c r="BN226" s="40">
        <f>$AL$231</f>
        <v>0</v>
      </c>
      <c r="BO226" s="40">
        <f>$AL$231</f>
        <v>0</v>
      </c>
      <c r="BP226" s="22" t="n"/>
      <c r="BQ226" s="40">
        <f>$AL$231</f>
        <v>0</v>
      </c>
      <c r="BR226" s="40">
        <f>$AL$231</f>
        <v>0</v>
      </c>
      <c r="BS226" s="40">
        <f>$AL$231</f>
        <v>0</v>
      </c>
      <c r="BT226" s="40">
        <f>$AL$231</f>
        <v>0</v>
      </c>
      <c r="BU226" s="22" t="n"/>
      <c r="BV226" s="40">
        <f>$AL$231</f>
        <v>0</v>
      </c>
      <c r="BW226" s="40">
        <f>$AL$231</f>
        <v>0</v>
      </c>
      <c r="BX226" s="40">
        <f>$AL$231</f>
        <v>0</v>
      </c>
      <c r="BY226" s="40">
        <f>$AL$231</f>
        <v>0</v>
      </c>
      <c r="BZ226" s="22" t="n"/>
      <c r="CA226" s="40">
        <f>$AL$231</f>
        <v>0</v>
      </c>
      <c r="CB226" s="40">
        <f>$AL$231</f>
        <v>0</v>
      </c>
      <c r="CC226" s="40">
        <f>$AL$231</f>
        <v>0</v>
      </c>
      <c r="CD226" s="40">
        <f>$AL$231</f>
        <v>0</v>
      </c>
      <c r="CE226" s="22" t="n"/>
      <c r="CF226" s="40">
        <f>$AL$231</f>
        <v>0</v>
      </c>
      <c r="CG226" s="40">
        <f>$AL$231</f>
        <v>0</v>
      </c>
      <c r="CH226" s="40">
        <f>$AL$231</f>
        <v>0</v>
      </c>
      <c r="CI226" s="40">
        <f>$AL$231</f>
        <v>0</v>
      </c>
      <c r="CJ226" s="22" t="n"/>
      <c r="CK226" s="40">
        <f>$AL$231</f>
        <v>0</v>
      </c>
      <c r="CL226" s="40">
        <f>$AL$231</f>
        <v>0</v>
      </c>
      <c r="CM226" s="40">
        <f>$AL$231</f>
        <v>0</v>
      </c>
      <c r="CN226" s="40">
        <f>$AL$231</f>
        <v>0</v>
      </c>
      <c r="CO226" s="22" t="n"/>
      <c r="CP226" s="40">
        <f>$AL$231</f>
        <v>0</v>
      </c>
      <c r="CQ226" s="40">
        <f>$AL$231</f>
        <v>0</v>
      </c>
      <c r="CR226" s="40">
        <f>$AL$231</f>
        <v>0</v>
      </c>
      <c r="CS226" s="40">
        <f>$AL$231</f>
        <v>0</v>
      </c>
      <c r="CT226" s="22" t="n"/>
      <c r="CU226" s="40">
        <f>$AL$231</f>
        <v>0</v>
      </c>
      <c r="CV226" s="40">
        <f>$AL$231</f>
        <v>0</v>
      </c>
      <c r="CW226" s="40">
        <f>$AL$231</f>
        <v>0</v>
      </c>
      <c r="CX226" s="40">
        <f>$AL$231</f>
        <v>0</v>
      </c>
      <c r="CY226" s="22" t="n"/>
    </row>
    <row r="227" hidden="1" outlineLevel="1" customFormat="1" s="39">
      <c r="A227" s="19" t="n"/>
      <c r="B227" s="19" t="n"/>
      <c r="C227" s="41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3" t="n"/>
      <c r="AI227" s="3" t="n"/>
      <c r="AJ227" s="3" t="n"/>
      <c r="AK227" s="3" t="n"/>
      <c r="AL227" s="22" t="n"/>
      <c r="AM227" s="3" t="n"/>
      <c r="AN227" s="3" t="n"/>
      <c r="AO227" s="3" t="n"/>
      <c r="AP227" s="3" t="n"/>
      <c r="AQ227" s="22" t="n"/>
      <c r="AR227" s="3" t="n"/>
      <c r="AS227" s="3" t="n"/>
      <c r="AT227" s="3" t="n"/>
      <c r="AU227" s="3" t="n"/>
      <c r="AV227" s="22" t="n"/>
      <c r="AW227" s="3" t="n"/>
      <c r="AX227" s="3" t="n"/>
      <c r="AY227" s="3" t="n"/>
      <c r="AZ227" s="3" t="n"/>
      <c r="BA227" s="22" t="n"/>
      <c r="BB227" s="3" t="n"/>
      <c r="BC227" s="3" t="n"/>
      <c r="BD227" s="3" t="n"/>
      <c r="BE227" s="3" t="n"/>
      <c r="BF227" s="22" t="n"/>
      <c r="BG227" s="3" t="n"/>
      <c r="BH227" s="3" t="n"/>
      <c r="BI227" s="3" t="n"/>
      <c r="BJ227" s="3" t="n"/>
      <c r="BK227" s="22" t="n"/>
      <c r="BL227" s="3" t="n"/>
      <c r="BM227" s="3" t="n"/>
      <c r="BN227" s="3" t="n"/>
      <c r="BO227" s="3" t="n"/>
      <c r="BP227" s="22" t="n"/>
      <c r="BQ227" s="3" t="n"/>
      <c r="BR227" s="3" t="n"/>
      <c r="BS227" s="3" t="n"/>
      <c r="BT227" s="3" t="n"/>
      <c r="BU227" s="22" t="n"/>
      <c r="BV227" s="3" t="n"/>
      <c r="BW227" s="3" t="n"/>
      <c r="BX227" s="3" t="n"/>
      <c r="BY227" s="3" t="n"/>
      <c r="BZ227" s="22" t="n"/>
      <c r="CA227" s="3" t="n"/>
      <c r="CB227" s="3" t="n"/>
      <c r="CC227" s="3" t="n"/>
      <c r="CD227" s="3" t="n"/>
      <c r="CE227" s="22" t="n"/>
      <c r="CF227" s="3" t="n"/>
      <c r="CG227" s="3" t="n"/>
      <c r="CH227" s="3" t="n"/>
      <c r="CI227" s="3" t="n"/>
      <c r="CJ227" s="22" t="n"/>
      <c r="CK227" s="3" t="n"/>
      <c r="CL227" s="3" t="n"/>
      <c r="CM227" s="3" t="n"/>
      <c r="CN227" s="3" t="n"/>
      <c r="CO227" s="22" t="n"/>
      <c r="CP227" s="3" t="n"/>
      <c r="CQ227" s="3" t="n"/>
      <c r="CR227" s="3" t="n"/>
      <c r="CS227" s="3" t="n"/>
      <c r="CT227" s="22" t="n"/>
      <c r="CU227" s="3" t="n"/>
      <c r="CV227" s="3" t="n"/>
      <c r="CW227" s="3" t="n"/>
      <c r="CX227" s="3" t="n"/>
      <c r="CY227" s="22" t="n"/>
    </row>
    <row r="228" hidden="1" outlineLevel="1" customFormat="1" s="39">
      <c r="A228" s="19" t="n"/>
      <c r="B228" s="19" t="n"/>
      <c r="C228" s="41" t="inlineStr">
        <is>
          <t>Shares repurchased</t>
        </is>
      </c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43" t="e">
        <f>-AH223/AH225</f>
        <v>#DIV/0!</v>
      </c>
      <c r="AI228" s="43" t="e">
        <f>-AI223/AI225</f>
        <v>#DIV/0!</v>
      </c>
      <c r="AJ228" s="43" t="e">
        <f>-AJ223/AJ225</f>
        <v>#DIV/0!</v>
      </c>
      <c r="AK228" s="43" t="e">
        <f>-AK223/AK225</f>
        <v>#DIV/0!</v>
      </c>
      <c r="AL228" s="22" t="n"/>
      <c r="AM228" s="43" t="e">
        <f>-AM223/AM225</f>
        <v>#DIV/0!</v>
      </c>
      <c r="AN228" s="43" t="e">
        <f>-AN223/AN225</f>
        <v>#DIV/0!</v>
      </c>
      <c r="AO228" s="43" t="e">
        <f>-AO223/AO225</f>
        <v>#DIV/0!</v>
      </c>
      <c r="AP228" s="43" t="e">
        <f>-AP223/AP225</f>
        <v>#DIV/0!</v>
      </c>
      <c r="AQ228" s="22" t="n"/>
      <c r="AR228" s="43" t="e">
        <f>-AR223/AR225</f>
        <v>#DIV/0!</v>
      </c>
      <c r="AS228" s="43" t="e">
        <f>-AS223/AS225</f>
        <v>#DIV/0!</v>
      </c>
      <c r="AT228" s="43" t="e">
        <f>-AT223/AT225</f>
        <v>#DIV/0!</v>
      </c>
      <c r="AU228" s="43" t="e">
        <f>-AU223/AU225</f>
        <v>#DIV/0!</v>
      </c>
      <c r="AV228" s="22" t="n"/>
      <c r="AW228" s="43" t="e">
        <f>-AW223/AW225</f>
        <v>#DIV/0!</v>
      </c>
      <c r="AX228" s="43" t="e">
        <f>-AX223/AX225</f>
        <v>#DIV/0!</v>
      </c>
      <c r="AY228" s="43" t="e">
        <f>-AY223/AY225</f>
        <v>#DIV/0!</v>
      </c>
      <c r="AZ228" s="43" t="e">
        <f>-AZ223/AZ225</f>
        <v>#DIV/0!</v>
      </c>
      <c r="BA228" s="22" t="n"/>
      <c r="BB228" s="43" t="e">
        <f>-BB223/BB225</f>
        <v>#DIV/0!</v>
      </c>
      <c r="BC228" s="43" t="e">
        <f>-BC223/BC225</f>
        <v>#DIV/0!</v>
      </c>
      <c r="BD228" s="43" t="e">
        <f>-BD223/BD225</f>
        <v>#DIV/0!</v>
      </c>
      <c r="BE228" s="43" t="e">
        <f>-BE223/BE225</f>
        <v>#DIV/0!</v>
      </c>
      <c r="BF228" s="22" t="n"/>
      <c r="BG228" s="43" t="e">
        <f>-BG223/BG225</f>
        <v>#DIV/0!</v>
      </c>
      <c r="BH228" s="43" t="e">
        <f>-BH223/BH225</f>
        <v>#DIV/0!</v>
      </c>
      <c r="BI228" s="43" t="e">
        <f>-BI223/BI225</f>
        <v>#DIV/0!</v>
      </c>
      <c r="BJ228" s="43" t="e">
        <f>-BJ223/BJ225</f>
        <v>#DIV/0!</v>
      </c>
      <c r="BK228" s="22" t="n"/>
      <c r="BL228" s="43" t="e">
        <f>-BL223/BL225</f>
        <v>#DIV/0!</v>
      </c>
      <c r="BM228" s="43" t="e">
        <f>-BM223/BM225</f>
        <v>#DIV/0!</v>
      </c>
      <c r="BN228" s="43" t="e">
        <f>-BN223/BN225</f>
        <v>#DIV/0!</v>
      </c>
      <c r="BO228" s="43" t="e">
        <f>-BO223/BO225</f>
        <v>#DIV/0!</v>
      </c>
      <c r="BP228" s="22" t="n"/>
      <c r="BQ228" s="43" t="e">
        <f>-BQ223/BQ225</f>
        <v>#DIV/0!</v>
      </c>
      <c r="BR228" s="43" t="e">
        <f>-BR223/BR225</f>
        <v>#DIV/0!</v>
      </c>
      <c r="BS228" s="43" t="e">
        <f>-BS223/BS225</f>
        <v>#DIV/0!</v>
      </c>
      <c r="BT228" s="43" t="e">
        <f>-BT223/BT225</f>
        <v>#DIV/0!</v>
      </c>
      <c r="BU228" s="22" t="n"/>
      <c r="BV228" s="43" t="e">
        <f>-BV223/BV225</f>
        <v>#DIV/0!</v>
      </c>
      <c r="BW228" s="43" t="e">
        <f>-BW223/BW225</f>
        <v>#DIV/0!</v>
      </c>
      <c r="BX228" s="43" t="e">
        <f>-BX223/BX225</f>
        <v>#DIV/0!</v>
      </c>
      <c r="BY228" s="43" t="e">
        <f>-BY223/BY225</f>
        <v>#DIV/0!</v>
      </c>
      <c r="BZ228" s="22" t="n"/>
      <c r="CA228" s="43" t="e">
        <f>-CA223/CA225</f>
        <v>#DIV/0!</v>
      </c>
      <c r="CB228" s="43" t="e">
        <f>-CB223/CB225</f>
        <v>#DIV/0!</v>
      </c>
      <c r="CC228" s="43" t="e">
        <f>-CC223/CC225</f>
        <v>#DIV/0!</v>
      </c>
      <c r="CD228" s="43" t="e">
        <f>-CD223/CD225</f>
        <v>#DIV/0!</v>
      </c>
      <c r="CE228" s="22" t="n"/>
      <c r="CF228" s="43" t="e">
        <f>-CF223/CF225</f>
        <v>#DIV/0!</v>
      </c>
      <c r="CG228" s="43" t="e">
        <f>-CG223/CG225</f>
        <v>#DIV/0!</v>
      </c>
      <c r="CH228" s="43" t="e">
        <f>-CH223/CH225</f>
        <v>#DIV/0!</v>
      </c>
      <c r="CI228" s="43" t="e">
        <f>-CI223/CI225</f>
        <v>#DIV/0!</v>
      </c>
      <c r="CJ228" s="22" t="n"/>
      <c r="CK228" s="43" t="e">
        <f>-CK223/CK225</f>
        <v>#DIV/0!</v>
      </c>
      <c r="CL228" s="43" t="e">
        <f>-CL223/CL225</f>
        <v>#DIV/0!</v>
      </c>
      <c r="CM228" s="43" t="e">
        <f>-CM223/CM225</f>
        <v>#DIV/0!</v>
      </c>
      <c r="CN228" s="43" t="e">
        <f>-CN223/CN225</f>
        <v>#DIV/0!</v>
      </c>
      <c r="CO228" s="22" t="n"/>
      <c r="CP228" s="43" t="e">
        <f>-CP223/CP225</f>
        <v>#DIV/0!</v>
      </c>
      <c r="CQ228" s="43" t="e">
        <f>-CQ223/CQ225</f>
        <v>#DIV/0!</v>
      </c>
      <c r="CR228" s="43" t="e">
        <f>-CR223/CR225</f>
        <v>#DIV/0!</v>
      </c>
      <c r="CS228" s="43" t="e">
        <f>-CS223/CS225</f>
        <v>#DIV/0!</v>
      </c>
      <c r="CT228" s="22" t="n"/>
      <c r="CU228" s="43" t="e">
        <f>-CU223/CU225</f>
        <v>#DIV/0!</v>
      </c>
      <c r="CV228" s="43" t="e">
        <f>-CV223/CV225</f>
        <v>#DIV/0!</v>
      </c>
      <c r="CW228" s="43" t="e">
        <f>-CW223/CW225</f>
        <v>#DIV/0!</v>
      </c>
      <c r="CX228" s="43" t="e">
        <f>-CX223/CX225</f>
        <v>#DIV/0!</v>
      </c>
      <c r="CY228" s="22" t="n"/>
    </row>
    <row r="229" hidden="1" outlineLevel="1" customFormat="1" s="39">
      <c r="A229" s="19" t="n"/>
      <c r="B229" s="19" t="n"/>
      <c r="C229" s="41" t="inlineStr">
        <is>
          <t>Shares issued</t>
        </is>
      </c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46" t="n"/>
      <c r="AG229" s="22" t="n"/>
      <c r="AH229" s="43" t="e">
        <f>AH224/AH225</f>
        <v>#DIV/0!</v>
      </c>
      <c r="AI229" s="43" t="e">
        <f>AI224/AI225</f>
        <v>#DIV/0!</v>
      </c>
      <c r="AJ229" s="43" t="e">
        <f>AJ224/AJ225</f>
        <v>#DIV/0!</v>
      </c>
      <c r="AK229" s="43" t="e">
        <f>AK224/AK225</f>
        <v>#DIV/0!</v>
      </c>
      <c r="AL229" s="22" t="n"/>
      <c r="AM229" s="43" t="e">
        <f>AM224/AM225</f>
        <v>#DIV/0!</v>
      </c>
      <c r="AN229" s="43" t="e">
        <f>AN224/AN225</f>
        <v>#DIV/0!</v>
      </c>
      <c r="AO229" s="43" t="e">
        <f>AO224/AO225</f>
        <v>#DIV/0!</v>
      </c>
      <c r="AP229" s="43" t="e">
        <f>AP224/AP225</f>
        <v>#DIV/0!</v>
      </c>
      <c r="AQ229" s="22" t="n"/>
      <c r="AR229" s="43" t="e">
        <f>AR224/AR225</f>
        <v>#DIV/0!</v>
      </c>
      <c r="AS229" s="43" t="e">
        <f>AS224/AS225</f>
        <v>#DIV/0!</v>
      </c>
      <c r="AT229" s="43" t="e">
        <f>AT224/AT225</f>
        <v>#DIV/0!</v>
      </c>
      <c r="AU229" s="43" t="e">
        <f>AU224/AU225</f>
        <v>#DIV/0!</v>
      </c>
      <c r="AV229" s="22" t="n"/>
      <c r="AW229" s="43" t="e">
        <f>AW224/AW225</f>
        <v>#DIV/0!</v>
      </c>
      <c r="AX229" s="43" t="e">
        <f>AX224/AX225</f>
        <v>#DIV/0!</v>
      </c>
      <c r="AY229" s="43" t="e">
        <f>AY224/AY225</f>
        <v>#DIV/0!</v>
      </c>
      <c r="AZ229" s="43" t="e">
        <f>AZ224/AZ225</f>
        <v>#DIV/0!</v>
      </c>
      <c r="BA229" s="22" t="n"/>
      <c r="BB229" s="43" t="e">
        <f>BB224/BB225</f>
        <v>#DIV/0!</v>
      </c>
      <c r="BC229" s="43" t="e">
        <f>BC224/BC225</f>
        <v>#DIV/0!</v>
      </c>
      <c r="BD229" s="43" t="e">
        <f>BD224/BD225</f>
        <v>#DIV/0!</v>
      </c>
      <c r="BE229" s="43" t="e">
        <f>BE224/BE225</f>
        <v>#DIV/0!</v>
      </c>
      <c r="BF229" s="22" t="n"/>
      <c r="BG229" s="43" t="e">
        <f>BG224/BG225</f>
        <v>#DIV/0!</v>
      </c>
      <c r="BH229" s="43" t="e">
        <f>BH224/BH225</f>
        <v>#DIV/0!</v>
      </c>
      <c r="BI229" s="43" t="e">
        <f>BI224/BI225</f>
        <v>#DIV/0!</v>
      </c>
      <c r="BJ229" s="43" t="e">
        <f>BJ224/BJ225</f>
        <v>#DIV/0!</v>
      </c>
      <c r="BK229" s="22" t="n"/>
      <c r="BL229" s="43" t="e">
        <f>BL224/BL225</f>
        <v>#DIV/0!</v>
      </c>
      <c r="BM229" s="43" t="e">
        <f>BM224/BM225</f>
        <v>#DIV/0!</v>
      </c>
      <c r="BN229" s="43" t="e">
        <f>BN224/BN225</f>
        <v>#DIV/0!</v>
      </c>
      <c r="BO229" s="43" t="e">
        <f>BO224/BO225</f>
        <v>#DIV/0!</v>
      </c>
      <c r="BP229" s="22" t="n"/>
      <c r="BQ229" s="43" t="e">
        <f>BQ224/BQ225</f>
        <v>#DIV/0!</v>
      </c>
      <c r="BR229" s="43" t="e">
        <f>BR224/BR225</f>
        <v>#DIV/0!</v>
      </c>
      <c r="BS229" s="43" t="e">
        <f>BS224/BS225</f>
        <v>#DIV/0!</v>
      </c>
      <c r="BT229" s="43" t="e">
        <f>BT224/BT225</f>
        <v>#DIV/0!</v>
      </c>
      <c r="BU229" s="22" t="n"/>
      <c r="BV229" s="43" t="e">
        <f>BV224/BV225</f>
        <v>#DIV/0!</v>
      </c>
      <c r="BW229" s="43" t="e">
        <f>BW224/BW225</f>
        <v>#DIV/0!</v>
      </c>
      <c r="BX229" s="43" t="e">
        <f>BX224/BX225</f>
        <v>#DIV/0!</v>
      </c>
      <c r="BY229" s="43" t="e">
        <f>BY224/BY225</f>
        <v>#DIV/0!</v>
      </c>
      <c r="BZ229" s="22" t="n"/>
      <c r="CA229" s="43" t="e">
        <f>CA224/CA225</f>
        <v>#DIV/0!</v>
      </c>
      <c r="CB229" s="43" t="e">
        <f>CB224/CB225</f>
        <v>#DIV/0!</v>
      </c>
      <c r="CC229" s="43" t="e">
        <f>CC224/CC225</f>
        <v>#DIV/0!</v>
      </c>
      <c r="CD229" s="43" t="e">
        <f>CD224/CD225</f>
        <v>#DIV/0!</v>
      </c>
      <c r="CE229" s="22" t="n"/>
      <c r="CF229" s="43" t="e">
        <f>CF224/CF225</f>
        <v>#DIV/0!</v>
      </c>
      <c r="CG229" s="43" t="e">
        <f>CG224/CG225</f>
        <v>#DIV/0!</v>
      </c>
      <c r="CH229" s="43" t="e">
        <f>CH224/CH225</f>
        <v>#DIV/0!</v>
      </c>
      <c r="CI229" s="43" t="e">
        <f>CI224/CI225</f>
        <v>#DIV/0!</v>
      </c>
      <c r="CJ229" s="22" t="n"/>
      <c r="CK229" s="43" t="e">
        <f>CK224/CK225</f>
        <v>#DIV/0!</v>
      </c>
      <c r="CL229" s="43" t="e">
        <f>CL224/CL225</f>
        <v>#DIV/0!</v>
      </c>
      <c r="CM229" s="43" t="e">
        <f>CM224/CM225</f>
        <v>#DIV/0!</v>
      </c>
      <c r="CN229" s="43" t="e">
        <f>CN224/CN225</f>
        <v>#DIV/0!</v>
      </c>
      <c r="CO229" s="22" t="n"/>
      <c r="CP229" s="43" t="e">
        <f>CP224/CP225</f>
        <v>#DIV/0!</v>
      </c>
      <c r="CQ229" s="43" t="e">
        <f>CQ224/CQ225</f>
        <v>#DIV/0!</v>
      </c>
      <c r="CR229" s="43" t="e">
        <f>CR224/CR225</f>
        <v>#DIV/0!</v>
      </c>
      <c r="CS229" s="43" t="e">
        <f>CS224/CS225</f>
        <v>#DIV/0!</v>
      </c>
      <c r="CT229" s="22" t="n"/>
      <c r="CU229" s="43" t="e">
        <f>CU224/CU225</f>
        <v>#DIV/0!</v>
      </c>
      <c r="CV229" s="43" t="e">
        <f>CV224/CV225</f>
        <v>#DIV/0!</v>
      </c>
      <c r="CW229" s="43" t="e">
        <f>CW224/CW225</f>
        <v>#DIV/0!</v>
      </c>
      <c r="CX229" s="43" t="e">
        <f>CX224/CX225</f>
        <v>#DIV/0!</v>
      </c>
      <c r="CY229" s="22" t="n"/>
    </row>
    <row r="230" hidden="1" outlineLevel="1" customFormat="1" s="39">
      <c r="A230" s="19" t="n"/>
      <c r="B230" s="19" t="n"/>
      <c r="C230" s="41" t="inlineStr">
        <is>
          <t>End of period basic shares outstanding</t>
        </is>
      </c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1" t="e">
        <f>AG230+AH229-AH228</f>
        <v>#DIV/0!</v>
      </c>
      <c r="AI230" s="1" t="e">
        <f>AH230+AI229-AI228</f>
        <v>#DIV/0!</v>
      </c>
      <c r="AJ230" s="43" t="e">
        <f>AH230+AJ229-AJ228</f>
        <v>#DIV/0!</v>
      </c>
      <c r="AK230" s="43" t="e">
        <f>AJ230+AK229-AK228</f>
        <v>#DIV/0!</v>
      </c>
      <c r="AL230" s="22" t="n"/>
      <c r="AM230" s="1" t="e">
        <f>AL230+AM229-AM228</f>
        <v>#DIV/0!</v>
      </c>
      <c r="AN230" s="1" t="e">
        <f>AM230+AN229-AN228</f>
        <v>#DIV/0!</v>
      </c>
      <c r="AO230" s="43" t="e">
        <f>AM230+AO229-AO228</f>
        <v>#DIV/0!</v>
      </c>
      <c r="AP230" s="43" t="e">
        <f>AO230+AP229-AP228</f>
        <v>#DIV/0!</v>
      </c>
      <c r="AQ230" s="22" t="n"/>
      <c r="AR230" s="1" t="e">
        <f>AQ230+AR229-AR228</f>
        <v>#DIV/0!</v>
      </c>
      <c r="AS230" s="1" t="e">
        <f>AR230+AS229-AS228</f>
        <v>#DIV/0!</v>
      </c>
      <c r="AT230" s="43" t="e">
        <f>AR230+AT229-AT228</f>
        <v>#DIV/0!</v>
      </c>
      <c r="AU230" s="43" t="e">
        <f>AT230+AU229-AU228</f>
        <v>#DIV/0!</v>
      </c>
      <c r="AV230" s="22" t="n"/>
      <c r="AW230" s="1" t="e">
        <f>AV230+AW229-AW228</f>
        <v>#DIV/0!</v>
      </c>
      <c r="AX230" s="1" t="e">
        <f>AW230+AX229-AX228</f>
        <v>#DIV/0!</v>
      </c>
      <c r="AY230" s="43" t="e">
        <f>AW230+AY229-AY228</f>
        <v>#DIV/0!</v>
      </c>
      <c r="AZ230" s="43" t="e">
        <f>AY230+AZ229-AZ228</f>
        <v>#DIV/0!</v>
      </c>
      <c r="BA230" s="22" t="n"/>
      <c r="BB230" s="1" t="e">
        <f>BA230+BB229-BB228</f>
        <v>#DIV/0!</v>
      </c>
      <c r="BC230" s="1" t="e">
        <f>BB230+BC229-BC228</f>
        <v>#DIV/0!</v>
      </c>
      <c r="BD230" s="43" t="e">
        <f>BB230+BD229-BD228</f>
        <v>#DIV/0!</v>
      </c>
      <c r="BE230" s="43" t="e">
        <f>BD230+BE229-BE228</f>
        <v>#DIV/0!</v>
      </c>
      <c r="BF230" s="22" t="n"/>
      <c r="BG230" s="1" t="e">
        <f>BF230+BG229-BG228</f>
        <v>#DIV/0!</v>
      </c>
      <c r="BH230" s="1" t="e">
        <f>BG230+BH229-BH228</f>
        <v>#DIV/0!</v>
      </c>
      <c r="BI230" s="43" t="e">
        <f>BG230+BI229-BI228</f>
        <v>#DIV/0!</v>
      </c>
      <c r="BJ230" s="43" t="e">
        <f>BI230+BJ229-BJ228</f>
        <v>#DIV/0!</v>
      </c>
      <c r="BK230" s="22" t="n"/>
      <c r="BL230" s="1" t="e">
        <f>BK230+BL229-BL228</f>
        <v>#DIV/0!</v>
      </c>
      <c r="BM230" s="1" t="e">
        <f>BL230+BM229-BM228</f>
        <v>#DIV/0!</v>
      </c>
      <c r="BN230" s="43" t="e">
        <f>BL230+BN229-BN228</f>
        <v>#DIV/0!</v>
      </c>
      <c r="BO230" s="43" t="e">
        <f>BN230+BO229-BO228</f>
        <v>#DIV/0!</v>
      </c>
      <c r="BP230" s="22" t="n"/>
      <c r="BQ230" s="1" t="e">
        <f>BP230+BQ229-BQ228</f>
        <v>#DIV/0!</v>
      </c>
      <c r="BR230" s="1" t="e">
        <f>BQ230+BR229-BR228</f>
        <v>#DIV/0!</v>
      </c>
      <c r="BS230" s="43" t="e">
        <f>BQ230+BS229-BS228</f>
        <v>#DIV/0!</v>
      </c>
      <c r="BT230" s="43" t="e">
        <f>BS230+BT229-BT228</f>
        <v>#DIV/0!</v>
      </c>
      <c r="BU230" s="22" t="n"/>
      <c r="BV230" s="1" t="e">
        <f>BU230+BV229-BV228</f>
        <v>#DIV/0!</v>
      </c>
      <c r="BW230" s="1" t="e">
        <f>BV230+BW229-BW228</f>
        <v>#DIV/0!</v>
      </c>
      <c r="BX230" s="43" t="e">
        <f>BV230+BX229-BX228</f>
        <v>#DIV/0!</v>
      </c>
      <c r="BY230" s="43" t="e">
        <f>BX230+BY229-BY228</f>
        <v>#DIV/0!</v>
      </c>
      <c r="BZ230" s="22" t="n"/>
      <c r="CA230" s="1" t="e">
        <f>BZ230+CA229-CA228</f>
        <v>#DIV/0!</v>
      </c>
      <c r="CB230" s="1" t="e">
        <f>CA230+CB229-CB228</f>
        <v>#DIV/0!</v>
      </c>
      <c r="CC230" s="43" t="e">
        <f>CA230+CC229-CC228</f>
        <v>#DIV/0!</v>
      </c>
      <c r="CD230" s="43" t="e">
        <f>CC230+CD229-CD228</f>
        <v>#DIV/0!</v>
      </c>
      <c r="CE230" s="22" t="n"/>
      <c r="CF230" s="1" t="e">
        <f>CE230+CF229-CF228</f>
        <v>#DIV/0!</v>
      </c>
      <c r="CG230" s="1" t="e">
        <f>CF230+CG229-CG228</f>
        <v>#DIV/0!</v>
      </c>
      <c r="CH230" s="43" t="e">
        <f>CF230+CH229-CH228</f>
        <v>#DIV/0!</v>
      </c>
      <c r="CI230" s="43" t="e">
        <f>CH230+CI229-CI228</f>
        <v>#DIV/0!</v>
      </c>
      <c r="CJ230" s="22" t="n"/>
      <c r="CK230" s="1" t="e">
        <f>CJ230+CK229-CK228</f>
        <v>#DIV/0!</v>
      </c>
      <c r="CL230" s="1" t="e">
        <f>CK230+CL229-CL228</f>
        <v>#DIV/0!</v>
      </c>
      <c r="CM230" s="43" t="e">
        <f>CK230+CM229-CM228</f>
        <v>#DIV/0!</v>
      </c>
      <c r="CN230" s="43" t="e">
        <f>CM230+CN229-CN228</f>
        <v>#DIV/0!</v>
      </c>
      <c r="CO230" s="22" t="n"/>
      <c r="CP230" s="1" t="e">
        <f>CO230+CP229-CP228</f>
        <v>#DIV/0!</v>
      </c>
      <c r="CQ230" s="1" t="e">
        <f>CP230+CQ229-CQ228</f>
        <v>#DIV/0!</v>
      </c>
      <c r="CR230" s="43" t="e">
        <f>CP230+CR229-CR228</f>
        <v>#DIV/0!</v>
      </c>
      <c r="CS230" s="43" t="e">
        <f>CR230+CS229-CS228</f>
        <v>#DIV/0!</v>
      </c>
      <c r="CT230" s="22" t="n"/>
      <c r="CU230" s="1" t="e">
        <f>CT230+CU229-CU228</f>
        <v>#DIV/0!</v>
      </c>
      <c r="CV230" s="1" t="e">
        <f>CU230+CV229-CV228</f>
        <v>#DIV/0!</v>
      </c>
      <c r="CW230" s="43" t="e">
        <f>CU230+CW229-CW228</f>
        <v>#DIV/0!</v>
      </c>
      <c r="CX230" s="43" t="e">
        <f>CW230+CX229-CX228</f>
        <v>#DIV/0!</v>
      </c>
      <c r="CY230" s="22" t="n"/>
    </row>
    <row r="231" hidden="1" outlineLevel="1" customFormat="1" s="39">
      <c r="A231" s="19" t="n"/>
      <c r="B231" s="19" t="n"/>
      <c r="C231" s="41" t="inlineStr">
        <is>
          <t>Weighted average basic shares outstanding</t>
        </is>
      </c>
      <c r="D231" s="22">
        <f>INDEX('Inputs (2)'!$D$49:$AL$49,MATCH(D$7,'Inputs (2)'!$D$2:$AL$2,0))</f>
        <v>24560</v>
      </c>
      <c r="E231" s="22">
        <f>INDEX('Inputs (2)'!$D$49:$AL$49,MATCH(E$7,'Inputs (2)'!$D$2:$AL$2,0))</f>
        <v>24640</v>
      </c>
      <c r="F231" s="22">
        <f>INDEX('Inputs (2)'!$D$49:$AL$49,MATCH(F$7,'Inputs (2)'!$D$2:$AL$2,0))</f>
        <v>24720</v>
      </c>
      <c r="G231" s="22" t="n"/>
      <c r="H231" s="22" t="n"/>
      <c r="I231" s="22">
        <f>INDEX('Inputs (2)'!$D$49:$AL$49,MATCH(I$7,'Inputs (2)'!$D$2:$AL$2,0))</f>
        <v>24840</v>
      </c>
      <c r="J231" s="22">
        <f>INDEX('Inputs (2)'!$D$49:$AL$49,MATCH(J$7,'Inputs (2)'!$D$2:$AL$2,0))</f>
        <v>24930</v>
      </c>
      <c r="K231" s="22">
        <f>INDEX('Inputs (2)'!$D$49:$AL$49,MATCH(K$7,'Inputs (2)'!$D$2:$AL$2,0))</f>
        <v>24990</v>
      </c>
      <c r="L231" s="22" t="n"/>
      <c r="M231" s="22" t="n"/>
      <c r="N231" s="22">
        <f>INDEX('Inputs (2)'!$D$49:$AL$49,MATCH(N$7,'Inputs (2)'!$D$2:$AL$2,0))</f>
        <v>25060</v>
      </c>
      <c r="O231" s="22">
        <f>INDEX('Inputs (2)'!$D$49:$AL$49,MATCH(O$7,'Inputs (2)'!$D$2:$AL$2,0))</f>
        <v>24950</v>
      </c>
      <c r="P231" s="22">
        <f>INDEX('Inputs (2)'!$D$49:$AL$49,MATCH(P$7,'Inputs (2)'!$D$2:$AL$2,0))</f>
        <v>24830</v>
      </c>
      <c r="Q231" s="22" t="n"/>
      <c r="R231" s="22" t="n"/>
      <c r="S231" s="22">
        <f>INDEX('Inputs (2)'!$D$49:$AL$49,MATCH(S$7,'Inputs (2)'!$D$2:$AL$2,0))</f>
        <v>24700</v>
      </c>
      <c r="T231" s="22">
        <f>INDEX('Inputs (2)'!$D$49:$AL$49,MATCH(T$7,'Inputs (2)'!$D$2:$AL$2,0))</f>
        <v>24729</v>
      </c>
      <c r="U231" s="22">
        <f>INDEX('Inputs (2)'!$D$49:$AL$49,MATCH(U$7,'Inputs (2)'!$D$2:$AL$2,0))</f>
        <v>24680</v>
      </c>
      <c r="V231" s="22" t="n"/>
      <c r="W231" s="22" t="n"/>
      <c r="X231" s="22">
        <f>INDEX('Inputs (2)'!$D$49:$AL$49,MATCH(X$7,'Inputs (2)'!$D$2:$AL$2,0))</f>
        <v>24620</v>
      </c>
      <c r="Y231" s="22">
        <f>INDEX('Inputs (2)'!$D$49:$AL$49,MATCH(Y$7,'Inputs (2)'!$D$2:$AL$2,0))</f>
        <v>24578</v>
      </c>
      <c r="Z231" s="22">
        <f>INDEX('Inputs (2)'!$D$49:$AL$49,MATCH(Z$7,'Inputs (2)'!$D$2:$AL$2,0))</f>
        <v>24533</v>
      </c>
      <c r="AA231" s="22" t="n"/>
      <c r="AB231" s="22" t="n"/>
      <c r="AC231" s="22">
        <f>INDEX('Inputs (2)'!$D$49:$AL$49,MATCH(AC$7,'Inputs (2)'!$D$2:$AL$2,0))</f>
        <v>24441</v>
      </c>
      <c r="AD231" s="22">
        <f>INDEX('Inputs (2)'!$D$49:$AL$49,MATCH(AD$7,'Inputs (2)'!$D$2:$AL$2,0))</f>
        <v>24366</v>
      </c>
      <c r="AE231" s="22">
        <f>INDEX('Inputs (2)'!$D$49:$AL$49,MATCH(AE$7,'Inputs (2)'!$D$2:$AL$2,0))</f>
        <v>24327</v>
      </c>
      <c r="AF231" s="22" t="n"/>
      <c r="AG231" s="22" t="n"/>
      <c r="AH231" s="43" t="e">
        <f>AVERAGE(AG230,AH230)</f>
        <v>#DIV/0!</v>
      </c>
      <c r="AI231" s="43" t="e">
        <f>AVERAGE(AH230,AI230)</f>
        <v>#DIV/0!</v>
      </c>
      <c r="AJ231" s="43" t="e">
        <f>AVERAGE(AH230,AJ230)</f>
        <v>#DIV/0!</v>
      </c>
      <c r="AK231" s="43" t="e">
        <f>AVERAGE(AJ230,AK230)</f>
        <v>#DIV/0!</v>
      </c>
      <c r="AL231" s="22" t="n"/>
      <c r="AM231" s="43" t="e">
        <f>AVERAGE(AL230,AM230)</f>
        <v>#DIV/0!</v>
      </c>
      <c r="AN231" s="43" t="e">
        <f>AVERAGE(AM230,AN230)</f>
        <v>#DIV/0!</v>
      </c>
      <c r="AO231" s="43" t="e">
        <f>AVERAGE(AM230,AO230)</f>
        <v>#DIV/0!</v>
      </c>
      <c r="AP231" s="43" t="e">
        <f>AVERAGE(AO230,AP230)</f>
        <v>#DIV/0!</v>
      </c>
      <c r="AQ231" s="22" t="n"/>
      <c r="AR231" s="43" t="e">
        <f>AVERAGE(AQ230,AR230)</f>
        <v>#DIV/0!</v>
      </c>
      <c r="AS231" s="43" t="e">
        <f>AVERAGE(AR230,AS230)</f>
        <v>#DIV/0!</v>
      </c>
      <c r="AT231" s="43" t="e">
        <f>AVERAGE(AR230,AT230)</f>
        <v>#DIV/0!</v>
      </c>
      <c r="AU231" s="43" t="e">
        <f>AVERAGE(AT230,AU230)</f>
        <v>#DIV/0!</v>
      </c>
      <c r="AV231" s="22" t="n"/>
      <c r="AW231" s="43" t="e">
        <f>AVERAGE(AV230,AW230)</f>
        <v>#DIV/0!</v>
      </c>
      <c r="AX231" s="43" t="e">
        <f>AVERAGE(AW230,AX230)</f>
        <v>#DIV/0!</v>
      </c>
      <c r="AY231" s="43" t="e">
        <f>AVERAGE(AW230,AY230)</f>
        <v>#DIV/0!</v>
      </c>
      <c r="AZ231" s="43" t="e">
        <f>AVERAGE(AY230,AZ230)</f>
        <v>#DIV/0!</v>
      </c>
      <c r="BA231" s="22" t="n"/>
      <c r="BB231" s="43" t="e">
        <f>AVERAGE(BA230,BB230)</f>
        <v>#DIV/0!</v>
      </c>
      <c r="BC231" s="43" t="e">
        <f>AVERAGE(BB230,BC230)</f>
        <v>#DIV/0!</v>
      </c>
      <c r="BD231" s="43" t="e">
        <f>AVERAGE(BB230,BD230)</f>
        <v>#DIV/0!</v>
      </c>
      <c r="BE231" s="43" t="e">
        <f>AVERAGE(BD230,BE230)</f>
        <v>#DIV/0!</v>
      </c>
      <c r="BF231" s="22" t="n"/>
      <c r="BG231" s="43" t="e">
        <f>AVERAGE(BF230,BG230)</f>
        <v>#DIV/0!</v>
      </c>
      <c r="BH231" s="43" t="e">
        <f>AVERAGE(BG230,BH230)</f>
        <v>#DIV/0!</v>
      </c>
      <c r="BI231" s="43" t="e">
        <f>AVERAGE(BG230,BI230)</f>
        <v>#DIV/0!</v>
      </c>
      <c r="BJ231" s="43" t="e">
        <f>AVERAGE(BI230,BJ230)</f>
        <v>#DIV/0!</v>
      </c>
      <c r="BK231" s="22" t="n"/>
      <c r="BL231" s="43" t="e">
        <f>AVERAGE(BK230,BL230)</f>
        <v>#DIV/0!</v>
      </c>
      <c r="BM231" s="43" t="e">
        <f>AVERAGE(BL230,BM230)</f>
        <v>#DIV/0!</v>
      </c>
      <c r="BN231" s="43" t="e">
        <f>AVERAGE(BL230,BN230)</f>
        <v>#DIV/0!</v>
      </c>
      <c r="BO231" s="43" t="e">
        <f>AVERAGE(BN230,BO230)</f>
        <v>#DIV/0!</v>
      </c>
      <c r="BP231" s="22" t="n"/>
      <c r="BQ231" s="43" t="e">
        <f>AVERAGE(BP230,BQ230)</f>
        <v>#DIV/0!</v>
      </c>
      <c r="BR231" s="43" t="e">
        <f>AVERAGE(BQ230,BR230)</f>
        <v>#DIV/0!</v>
      </c>
      <c r="BS231" s="43" t="e">
        <f>AVERAGE(BQ230,BS230)</f>
        <v>#DIV/0!</v>
      </c>
      <c r="BT231" s="43" t="e">
        <f>AVERAGE(BS230,BT230)</f>
        <v>#DIV/0!</v>
      </c>
      <c r="BU231" s="22" t="n"/>
      <c r="BV231" s="43" t="e">
        <f>AVERAGE(BU230,BV230)</f>
        <v>#DIV/0!</v>
      </c>
      <c r="BW231" s="43" t="e">
        <f>AVERAGE(BV230,BW230)</f>
        <v>#DIV/0!</v>
      </c>
      <c r="BX231" s="43" t="e">
        <f>AVERAGE(BV230,BX230)</f>
        <v>#DIV/0!</v>
      </c>
      <c r="BY231" s="43" t="e">
        <f>AVERAGE(BX230,BY230)</f>
        <v>#DIV/0!</v>
      </c>
      <c r="BZ231" s="22" t="n"/>
      <c r="CA231" s="43" t="e">
        <f>AVERAGE(BZ230,CA230)</f>
        <v>#DIV/0!</v>
      </c>
      <c r="CB231" s="43" t="e">
        <f>AVERAGE(CA230,CB230)</f>
        <v>#DIV/0!</v>
      </c>
      <c r="CC231" s="43" t="e">
        <f>AVERAGE(CA230,CC230)</f>
        <v>#DIV/0!</v>
      </c>
      <c r="CD231" s="43" t="e">
        <f>AVERAGE(CC230,CD230)</f>
        <v>#DIV/0!</v>
      </c>
      <c r="CE231" s="22" t="n"/>
      <c r="CF231" s="43" t="e">
        <f>AVERAGE(CE230,CF230)</f>
        <v>#DIV/0!</v>
      </c>
      <c r="CG231" s="43" t="e">
        <f>AVERAGE(CF230,CG230)</f>
        <v>#DIV/0!</v>
      </c>
      <c r="CH231" s="43" t="e">
        <f>AVERAGE(CF230,CH230)</f>
        <v>#DIV/0!</v>
      </c>
      <c r="CI231" s="43" t="e">
        <f>AVERAGE(CH230,CI230)</f>
        <v>#DIV/0!</v>
      </c>
      <c r="CJ231" s="22" t="n"/>
      <c r="CK231" s="43" t="e">
        <f>AVERAGE(CJ230,CK230)</f>
        <v>#DIV/0!</v>
      </c>
      <c r="CL231" s="43" t="e">
        <f>AVERAGE(CK230,CL230)</f>
        <v>#DIV/0!</v>
      </c>
      <c r="CM231" s="43" t="e">
        <f>AVERAGE(CK230,CM230)</f>
        <v>#DIV/0!</v>
      </c>
      <c r="CN231" s="43" t="e">
        <f>AVERAGE(CM230,CN230)</f>
        <v>#DIV/0!</v>
      </c>
      <c r="CO231" s="22" t="n"/>
      <c r="CP231" s="43" t="e">
        <f>AVERAGE(CO230,CP230)</f>
        <v>#DIV/0!</v>
      </c>
      <c r="CQ231" s="43" t="e">
        <f>AVERAGE(CP230,CQ230)</f>
        <v>#DIV/0!</v>
      </c>
      <c r="CR231" s="43" t="e">
        <f>AVERAGE(CP230,CR230)</f>
        <v>#DIV/0!</v>
      </c>
      <c r="CS231" s="43" t="e">
        <f>AVERAGE(CR230,CS230)</f>
        <v>#DIV/0!</v>
      </c>
      <c r="CT231" s="22" t="n"/>
      <c r="CU231" s="43" t="e">
        <f>AVERAGE(CT230,CU230)</f>
        <v>#DIV/0!</v>
      </c>
      <c r="CV231" s="43" t="e">
        <f>AVERAGE(CU230,CV230)</f>
        <v>#DIV/0!</v>
      </c>
      <c r="CW231" s="43" t="e">
        <f>AVERAGE(CU230,CW230)</f>
        <v>#DIV/0!</v>
      </c>
      <c r="CX231" s="43" t="e">
        <f>AVERAGE(CW230,CX230)</f>
        <v>#DIV/0!</v>
      </c>
      <c r="CY231" s="22" t="n"/>
    </row>
    <row r="232" hidden="1" outlineLevel="1" customFormat="1" s="39">
      <c r="A232" s="19" t="n"/>
      <c r="B232" s="19" t="n"/>
      <c r="C232" s="41" t="n"/>
      <c r="D232" s="22" t="n"/>
      <c r="E232" s="22" t="n"/>
      <c r="F232" s="22" t="n"/>
      <c r="G232" s="22" t="n"/>
      <c r="H232" s="3" t="n"/>
      <c r="I232" s="22" t="n"/>
      <c r="J232" s="22" t="n"/>
      <c r="K232" s="22" t="n"/>
      <c r="L232" s="22" t="n"/>
      <c r="M232" s="3" t="n"/>
      <c r="N232" s="22" t="n"/>
      <c r="O232" s="22" t="n"/>
      <c r="P232" s="22" t="n"/>
      <c r="Q232" s="22" t="n"/>
      <c r="R232" s="3" t="n"/>
      <c r="S232" s="22" t="n"/>
      <c r="T232" s="22" t="n"/>
      <c r="U232" s="22" t="n"/>
      <c r="V232" s="22" t="n"/>
      <c r="W232" s="3" t="n"/>
      <c r="X232" s="22" t="n"/>
      <c r="Y232" s="22" t="n"/>
      <c r="Z232" s="22" t="n"/>
      <c r="AA232" s="22" t="n"/>
      <c r="AB232" s="3" t="n"/>
      <c r="AC232" s="22" t="n"/>
      <c r="AD232" s="22" t="n"/>
      <c r="AE232" s="22" t="n"/>
      <c r="AF232" s="22" t="n"/>
      <c r="AG232" s="3" t="n"/>
      <c r="AH232" s="22" t="n"/>
      <c r="AI232" s="22" t="n"/>
      <c r="AJ232" s="22" t="n"/>
      <c r="AK232" s="22" t="n"/>
      <c r="AL232" s="3" t="n"/>
      <c r="AM232" s="22" t="n"/>
      <c r="AN232" s="22" t="n"/>
      <c r="AO232" s="22" t="n"/>
      <c r="AP232" s="22" t="n"/>
      <c r="AQ232" s="3" t="n"/>
      <c r="AR232" s="22" t="n"/>
      <c r="AS232" s="22" t="n"/>
      <c r="AT232" s="22" t="n"/>
      <c r="AU232" s="22" t="n"/>
      <c r="AV232" s="3" t="n"/>
      <c r="AW232" s="22" t="n"/>
      <c r="AX232" s="22" t="n"/>
      <c r="AY232" s="22" t="n"/>
      <c r="AZ232" s="22" t="n"/>
      <c r="BA232" s="3" t="n"/>
      <c r="BB232" s="22" t="n"/>
      <c r="BC232" s="22" t="n"/>
      <c r="BD232" s="22" t="n"/>
      <c r="BE232" s="22" t="n"/>
      <c r="BF232" s="3" t="n"/>
      <c r="BG232" s="22" t="n"/>
      <c r="BH232" s="22" t="n"/>
      <c r="BI232" s="22" t="n"/>
      <c r="BJ232" s="22" t="n"/>
      <c r="BK232" s="3" t="n"/>
      <c r="BL232" s="22" t="n"/>
      <c r="BM232" s="22" t="n"/>
      <c r="BN232" s="22" t="n"/>
      <c r="BO232" s="22" t="n"/>
      <c r="BP232" s="3" t="n"/>
      <c r="BQ232" s="22" t="n"/>
      <c r="BR232" s="22" t="n"/>
      <c r="BS232" s="22" t="n"/>
      <c r="BT232" s="22" t="n"/>
      <c r="BU232" s="3" t="n"/>
      <c r="BV232" s="22" t="n"/>
      <c r="BW232" s="22" t="n"/>
      <c r="BX232" s="22" t="n"/>
      <c r="BY232" s="22" t="n"/>
      <c r="BZ232" s="3" t="n"/>
      <c r="CA232" s="22" t="n"/>
      <c r="CB232" s="22" t="n"/>
      <c r="CC232" s="22" t="n"/>
      <c r="CD232" s="22" t="n"/>
      <c r="CE232" s="3" t="n"/>
      <c r="CF232" s="22" t="n"/>
      <c r="CG232" s="22" t="n"/>
      <c r="CH232" s="22" t="n"/>
      <c r="CI232" s="22" t="n"/>
      <c r="CJ232" s="3" t="n"/>
      <c r="CK232" s="22" t="n"/>
      <c r="CL232" s="22" t="n"/>
      <c r="CM232" s="22" t="n"/>
      <c r="CN232" s="22" t="n"/>
      <c r="CO232" s="3" t="n"/>
      <c r="CP232" s="22" t="n"/>
      <c r="CQ232" s="22" t="n"/>
      <c r="CR232" s="22" t="n"/>
      <c r="CS232" s="22" t="n"/>
      <c r="CT232" s="3" t="n"/>
      <c r="CU232" s="22" t="n"/>
      <c r="CV232" s="22" t="n"/>
      <c r="CW232" s="22" t="n"/>
      <c r="CX232" s="22" t="n"/>
      <c r="CY232" s="3" t="n"/>
    </row>
    <row r="233" collapsed="1">
      <c r="C233" s="26" t="inlineStr">
        <is>
          <t>Treasury stock (contra account)</t>
        </is>
      </c>
      <c r="D233" s="25">
        <f>INDEX('Inputs (2)'!$D$44:$AL$44,MATCH(D$7,'Inputs (2)'!$D$2:$AL$2,0))</f>
        <v>-10036</v>
      </c>
      <c r="E233" s="25">
        <f>INDEX('Inputs (2)'!$D$44:$AL$44,MATCH(E$7,'Inputs (2)'!$D$2:$AL$2,0))</f>
        <v>-10232</v>
      </c>
      <c r="F233" s="25">
        <f>INDEX('Inputs (2)'!$D$44:$AL$44,MATCH(F$7,'Inputs (2)'!$D$2:$AL$2,0))</f>
        <v>-10530</v>
      </c>
      <c r="G233" s="25">
        <f>INDEX('Inputs (2)'!$D$44:$AL$44,MATCH(G$7,'Inputs (2)'!$D$2:$AL$2,0))</f>
        <v>-10756</v>
      </c>
      <c r="H233" s="3">
        <f>G233</f>
        <v>-10756</v>
      </c>
      <c r="I233" s="25">
        <f>INDEX('Inputs (2)'!$D$44:$AL$44,MATCH(I$7,'Inputs (2)'!$D$2:$AL$2,0))</f>
        <v>-11242</v>
      </c>
      <c r="J233" s="25">
        <f>INDEX('Inputs (2)'!$D$44:$AL$44,MATCH(J$7,'Inputs (2)'!$D$2:$AL$2,0))</f>
        <v>-11604</v>
      </c>
      <c r="K233" s="25">
        <f>INDEX('Inputs (2)'!$D$44:$AL$44,MATCH(K$7,'Inputs (2)'!$D$2:$AL$2,0))</f>
        <v>-12038</v>
      </c>
      <c r="L233" s="25">
        <f>INDEX('Inputs (2)'!$D$44:$AL$44,MATCH(L$7,'Inputs (2)'!$D$2:$AL$2,0))</f>
        <v>0</v>
      </c>
      <c r="M233" s="3">
        <f>L233</f>
        <v>0</v>
      </c>
      <c r="N233" s="25">
        <f>INDEX('Inputs (2)'!$D$44:$AL$44,MATCH(N$7,'Inputs (2)'!$D$2:$AL$2,0))</f>
        <v>0</v>
      </c>
      <c r="O233" s="25">
        <f>INDEX('Inputs (2)'!$D$44:$AL$44,MATCH(O$7,'Inputs (2)'!$D$2:$AL$2,0))</f>
        <v>0</v>
      </c>
      <c r="P233" s="25">
        <f>INDEX('Inputs (2)'!$D$44:$AL$44,MATCH(P$7,'Inputs (2)'!$D$2:$AL$2,0))</f>
        <v>0</v>
      </c>
      <c r="Q233" s="25">
        <f>INDEX('Inputs (2)'!$D$44:$AL$44,MATCH(Q$7,'Inputs (2)'!$D$2:$AL$2,0))</f>
        <v>0</v>
      </c>
      <c r="R233" s="3">
        <f>Q233</f>
        <v>0</v>
      </c>
      <c r="S233" s="25">
        <f>INDEX('Inputs (2)'!$D$44:$AL$44,MATCH(S$7,'Inputs (2)'!$D$2:$AL$2,0))</f>
        <v>0</v>
      </c>
      <c r="T233" s="25">
        <f>INDEX('Inputs (2)'!$D$44:$AL$44,MATCH(T$7,'Inputs (2)'!$D$2:$AL$2,0))</f>
        <v>0</v>
      </c>
      <c r="U233" s="25">
        <f>INDEX('Inputs (2)'!$D$44:$AL$44,MATCH(U$7,'Inputs (2)'!$D$2:$AL$2,0))</f>
        <v>0</v>
      </c>
      <c r="V233" s="25">
        <f>INDEX('Inputs (2)'!$D$44:$AL$44,MATCH(V$7,'Inputs (2)'!$D$2:$AL$2,0))</f>
        <v>0</v>
      </c>
      <c r="W233" s="3">
        <f>V233</f>
        <v>0</v>
      </c>
      <c r="X233" s="25">
        <f>INDEX('Inputs (2)'!$D$44:$AL$44,MATCH(X$7,'Inputs (2)'!$D$2:$AL$2,0))</f>
        <v>0</v>
      </c>
      <c r="Y233" s="25">
        <f>INDEX('Inputs (2)'!$D$44:$AL$44,MATCH(Y$7,'Inputs (2)'!$D$2:$AL$2,0))</f>
        <v>0</v>
      </c>
      <c r="Z233" s="25">
        <f>INDEX('Inputs (2)'!$D$44:$AL$44,MATCH(Z$7,'Inputs (2)'!$D$2:$AL$2,0))</f>
        <v>0</v>
      </c>
      <c r="AA233" s="25">
        <f>INDEX('Inputs (2)'!$D$44:$AL$44,MATCH(AA$7,'Inputs (2)'!$D$2:$AL$2,0))</f>
        <v>0</v>
      </c>
      <c r="AB233" s="3">
        <f>AA233</f>
        <v>0</v>
      </c>
      <c r="AC233" s="25">
        <f>INDEX('Inputs (2)'!$D$44:$AL$44,MATCH(AC$7,'Inputs (2)'!$D$2:$AL$2,0))</f>
        <v>0</v>
      </c>
      <c r="AD233" s="25">
        <f>INDEX('Inputs (2)'!$D$44:$AL$44,MATCH(AD$7,'Inputs (2)'!$D$2:$AL$2,0))</f>
        <v>0</v>
      </c>
      <c r="AE233" s="25">
        <f>INDEX('Inputs (2)'!$D$44:$AL$44,MATCH(AE$7,'Inputs (2)'!$D$2:$AL$2,0))</f>
        <v>0</v>
      </c>
      <c r="AF233" s="25">
        <f>INDEX('Inputs (2)'!$D$44:$AL$44,MATCH(AF$7,'Inputs (2)'!$D$2:$AL$2,0))</f>
        <v>0</v>
      </c>
      <c r="AG233" s="3">
        <f>AF233</f>
        <v>0</v>
      </c>
      <c r="AH233" s="3">
        <f>AG233+AH223</f>
        <v>0</v>
      </c>
      <c r="AI233" s="3">
        <f>AH233+AI223</f>
        <v>0</v>
      </c>
      <c r="AJ233" s="3">
        <f>AI233+AJ223</f>
        <v>0</v>
      </c>
      <c r="AK233" s="3">
        <f>AJ233+AK223</f>
        <v>0</v>
      </c>
      <c r="AL233" s="3">
        <f>AK233</f>
        <v>0</v>
      </c>
      <c r="AM233" s="3">
        <f>AL233+AM223</f>
        <v>0</v>
      </c>
      <c r="AN233" s="3">
        <f>AM233+AN223</f>
        <v>0</v>
      </c>
      <c r="AO233" s="3">
        <f>AN233+AO223</f>
        <v>0</v>
      </c>
      <c r="AP233" s="3">
        <f>AO233+AP223</f>
        <v>0</v>
      </c>
      <c r="AQ233" s="3">
        <f>AP233</f>
        <v>0</v>
      </c>
      <c r="AR233" s="3">
        <f>AQ233+AR223</f>
        <v>0</v>
      </c>
      <c r="AS233" s="3">
        <f>AR233+AS223</f>
        <v>0</v>
      </c>
      <c r="AT233" s="3">
        <f>AS233+AT223</f>
        <v>0</v>
      </c>
      <c r="AU233" s="3">
        <f>AT233+AU223</f>
        <v>0</v>
      </c>
      <c r="AV233" s="3">
        <f>AU233</f>
        <v>0</v>
      </c>
      <c r="AW233" s="3">
        <f>AV233+AW223</f>
        <v>0</v>
      </c>
      <c r="AX233" s="3">
        <f>AW233+AX223</f>
        <v>0</v>
      </c>
      <c r="AY233" s="3">
        <f>AX233+AY223</f>
        <v>0</v>
      </c>
      <c r="AZ233" s="3">
        <f>AY233+AZ223</f>
        <v>0</v>
      </c>
      <c r="BA233" s="3">
        <f>AZ233</f>
        <v>0</v>
      </c>
      <c r="BB233" s="3">
        <f>BA233+BB223</f>
        <v>0</v>
      </c>
      <c r="BC233" s="3">
        <f>BB233+BC223</f>
        <v>0</v>
      </c>
      <c r="BD233" s="3">
        <f>BC233+BD223</f>
        <v>0</v>
      </c>
      <c r="BE233" s="3">
        <f>BD233+BE223</f>
        <v>0</v>
      </c>
      <c r="BF233" s="3">
        <f>BE233</f>
        <v>0</v>
      </c>
      <c r="BG233" s="3">
        <f>BF233+BG223</f>
        <v>0</v>
      </c>
      <c r="BH233" s="3">
        <f>BG233+BH223</f>
        <v>0</v>
      </c>
      <c r="BI233" s="3">
        <f>BH233+BI223</f>
        <v>0</v>
      </c>
      <c r="BJ233" s="3">
        <f>BI233+BJ223</f>
        <v>0</v>
      </c>
      <c r="BK233" s="3">
        <f>BJ233</f>
        <v>0</v>
      </c>
      <c r="BL233" s="3">
        <f>BK233+BL223</f>
        <v>0</v>
      </c>
      <c r="BM233" s="3">
        <f>BL233+BM223</f>
        <v>0</v>
      </c>
      <c r="BN233" s="3">
        <f>BM233+BN223</f>
        <v>0</v>
      </c>
      <c r="BO233" s="3">
        <f>BN233+BO223</f>
        <v>0</v>
      </c>
      <c r="BP233" s="3">
        <f>BO233</f>
        <v>0</v>
      </c>
      <c r="BQ233" s="3">
        <f>BP233+BQ223</f>
        <v>0</v>
      </c>
      <c r="BR233" s="3">
        <f>BQ233+BR223</f>
        <v>0</v>
      </c>
      <c r="BS233" s="3">
        <f>BR233+BS223</f>
        <v>0</v>
      </c>
      <c r="BT233" s="3">
        <f>BS233+BT223</f>
        <v>0</v>
      </c>
      <c r="BU233" s="3">
        <f>BT233</f>
        <v>0</v>
      </c>
      <c r="BV233" s="3">
        <f>BU233+BV223</f>
        <v>0</v>
      </c>
      <c r="BW233" s="3">
        <f>BV233+BW223</f>
        <v>0</v>
      </c>
      <c r="BX233" s="3">
        <f>BW233+BX223</f>
        <v>0</v>
      </c>
      <c r="BY233" s="3">
        <f>BX233+BY223</f>
        <v>0</v>
      </c>
      <c r="BZ233" s="3">
        <f>BY233</f>
        <v>0</v>
      </c>
      <c r="CA233" s="3">
        <f>BZ233+CA223</f>
        <v>0</v>
      </c>
      <c r="CB233" s="3">
        <f>CA233+CB223</f>
        <v>0</v>
      </c>
      <c r="CC233" s="3">
        <f>CB233+CC223</f>
        <v>0</v>
      </c>
      <c r="CD233" s="3">
        <f>CC233+CD223</f>
        <v>0</v>
      </c>
      <c r="CE233" s="3">
        <f>CD233</f>
        <v>0</v>
      </c>
      <c r="CF233" s="3">
        <f>CE233+CF223</f>
        <v>0</v>
      </c>
      <c r="CG233" s="3">
        <f>CF233+CG223</f>
        <v>0</v>
      </c>
      <c r="CH233" s="3">
        <f>CG233+CH223</f>
        <v>0</v>
      </c>
      <c r="CI233" s="3">
        <f>CH233+CI223</f>
        <v>0</v>
      </c>
      <c r="CJ233" s="3">
        <f>CI233</f>
        <v>0</v>
      </c>
      <c r="CK233" s="3">
        <f>CJ233+CK223</f>
        <v>0</v>
      </c>
      <c r="CL233" s="3">
        <f>CK233+CL223</f>
        <v>0</v>
      </c>
      <c r="CM233" s="3">
        <f>CL233+CM223</f>
        <v>0</v>
      </c>
      <c r="CN233" s="3">
        <f>CM233+CN223</f>
        <v>0</v>
      </c>
      <c r="CO233" s="3">
        <f>CN233</f>
        <v>0</v>
      </c>
      <c r="CP233" s="3">
        <f>CO233+CP223</f>
        <v>0</v>
      </c>
      <c r="CQ233" s="3">
        <f>CP233+CQ223</f>
        <v>0</v>
      </c>
      <c r="CR233" s="3">
        <f>CQ233+CR223</f>
        <v>0</v>
      </c>
      <c r="CS233" s="3">
        <f>CR233+CS223</f>
        <v>0</v>
      </c>
      <c r="CT233" s="3">
        <f>CS233</f>
        <v>0</v>
      </c>
      <c r="CU233" s="3">
        <f>CT233+CU223</f>
        <v>0</v>
      </c>
      <c r="CV233" s="3">
        <f>CU233+CV223</f>
        <v>0</v>
      </c>
      <c r="CW233" s="3">
        <f>CV233+CW223</f>
        <v>0</v>
      </c>
      <c r="CX233" s="3">
        <f>CW233+CX223</f>
        <v>0</v>
      </c>
      <c r="CY233" s="3">
        <f>CX233</f>
        <v>0</v>
      </c>
    </row>
    <row r="234">
      <c r="C234" s="26" t="inlineStr">
        <is>
          <t>Comprehensive (accumulated) loss</t>
        </is>
      </c>
      <c r="D234" s="25">
        <f>INDEX('Inputs (2)'!$D$45:$AL$45,MATCH(D$7,'Inputs (2)'!$D$2:$AL$2,0))</f>
        <v>-10</v>
      </c>
      <c r="E234" s="25">
        <f>INDEX('Inputs (2)'!$D$45:$AL$45,MATCH(E$7,'Inputs (2)'!$D$2:$AL$2,0))</f>
        <v>4</v>
      </c>
      <c r="F234" s="25">
        <f>INDEX('Inputs (2)'!$D$45:$AL$45,MATCH(F$7,'Inputs (2)'!$D$2:$AL$2,0))</f>
        <v>12</v>
      </c>
      <c r="G234" s="25">
        <f>INDEX('Inputs (2)'!$D$45:$AL$45,MATCH(G$7,'Inputs (2)'!$D$2:$AL$2,0))</f>
        <v>19</v>
      </c>
      <c r="H234" s="3">
        <f>G234</f>
        <v>19</v>
      </c>
      <c r="I234" s="25">
        <f>INDEX('Inputs (2)'!$D$45:$AL$45,MATCH(I$7,'Inputs (2)'!$D$2:$AL$2,0))</f>
        <v>14</v>
      </c>
      <c r="J234" s="25">
        <f>INDEX('Inputs (2)'!$D$45:$AL$45,MATCH(J$7,'Inputs (2)'!$D$2:$AL$2,0))</f>
        <v>8</v>
      </c>
      <c r="K234" s="25">
        <f>INDEX('Inputs (2)'!$D$45:$AL$45,MATCH(K$7,'Inputs (2)'!$D$2:$AL$2,0))</f>
        <v>9</v>
      </c>
      <c r="L234" s="25">
        <f>INDEX('Inputs (2)'!$D$45:$AL$45,MATCH(L$7,'Inputs (2)'!$D$2:$AL$2,0))</f>
        <v>-11</v>
      </c>
      <c r="M234" s="3">
        <f>L234</f>
        <v>-11</v>
      </c>
      <c r="N234" s="25">
        <f>INDEX('Inputs (2)'!$D$45:$AL$45,MATCH(N$7,'Inputs (2)'!$D$2:$AL$2,0))</f>
        <v>-64</v>
      </c>
      <c r="O234" s="25">
        <f>INDEX('Inputs (2)'!$D$45:$AL$45,MATCH(O$7,'Inputs (2)'!$D$2:$AL$2,0))</f>
        <v>-90</v>
      </c>
      <c r="P234" s="25">
        <f>INDEX('Inputs (2)'!$D$45:$AL$45,MATCH(P$7,'Inputs (2)'!$D$2:$AL$2,0))</f>
        <v>-123</v>
      </c>
      <c r="Q234" s="25">
        <f>INDEX('Inputs (2)'!$D$45:$AL$45,MATCH(Q$7,'Inputs (2)'!$D$2:$AL$2,0))</f>
        <v>-43</v>
      </c>
      <c r="R234" s="3">
        <f>Q234</f>
        <v>-43</v>
      </c>
      <c r="S234" s="25">
        <f>INDEX('Inputs (2)'!$D$45:$AL$45,MATCH(S$7,'Inputs (2)'!$D$2:$AL$2,0))</f>
        <v>-50</v>
      </c>
      <c r="T234" s="25">
        <f>INDEX('Inputs (2)'!$D$45:$AL$45,MATCH(T$7,'Inputs (2)'!$D$2:$AL$2,0))</f>
        <v>-51</v>
      </c>
      <c r="U234" s="25">
        <f>INDEX('Inputs (2)'!$D$45:$AL$45,MATCH(U$7,'Inputs (2)'!$D$2:$AL$2,0))</f>
        <v>-88</v>
      </c>
      <c r="V234" s="25">
        <f>INDEX('Inputs (2)'!$D$45:$AL$45,MATCH(V$7,'Inputs (2)'!$D$2:$AL$2,0))</f>
        <v>27</v>
      </c>
      <c r="W234" s="3">
        <f>V234</f>
        <v>27</v>
      </c>
      <c r="X234" s="25">
        <f>INDEX('Inputs (2)'!$D$45:$AL$45,MATCH(X$7,'Inputs (2)'!$D$2:$AL$2,0))</f>
        <v>-109</v>
      </c>
      <c r="Y234" s="25">
        <f>INDEX('Inputs (2)'!$D$45:$AL$45,MATCH(Y$7,'Inputs (2)'!$D$2:$AL$2,0))</f>
        <v>56</v>
      </c>
      <c r="Z234" s="25">
        <f>INDEX('Inputs (2)'!$D$45:$AL$45,MATCH(Z$7,'Inputs (2)'!$D$2:$AL$2,0))</f>
        <v>103</v>
      </c>
      <c r="AA234" s="25">
        <f>INDEX('Inputs (2)'!$D$45:$AL$45,MATCH(AA$7,'Inputs (2)'!$D$2:$AL$2,0))</f>
        <v>28</v>
      </c>
      <c r="AB234" s="3">
        <f>AA234</f>
        <v>28</v>
      </c>
      <c r="AC234" s="25">
        <f>INDEX('Inputs (2)'!$D$45:$AL$45,MATCH(AC$7,'Inputs (2)'!$D$2:$AL$2,0))</f>
        <v>186</v>
      </c>
      <c r="AD234" s="25">
        <f>INDEX('Inputs (2)'!$D$45:$AL$45,MATCH(AD$7,'Inputs (2)'!$D$2:$AL$2,0))</f>
        <v>170</v>
      </c>
      <c r="AE234" s="25">
        <f>INDEX('Inputs (2)'!$D$45:$AL$45,MATCH(AE$7,'Inputs (2)'!$D$2:$AL$2,0))</f>
        <v>339</v>
      </c>
      <c r="AF234" s="25">
        <f>INDEX('Inputs (2)'!$D$45:$AL$45,MATCH(AF$7,'Inputs (2)'!$D$2:$AL$2,0))</f>
        <v>178</v>
      </c>
      <c r="AG234" s="3">
        <f>AF234</f>
        <v>178</v>
      </c>
      <c r="AH234" s="3">
        <f>AG234</f>
        <v>178</v>
      </c>
      <c r="AI234" s="3">
        <f>AH234</f>
        <v>178</v>
      </c>
      <c r="AJ234" s="3">
        <f>AI234</f>
        <v>178</v>
      </c>
      <c r="AK234" s="3">
        <f>AJ234</f>
        <v>178</v>
      </c>
      <c r="AL234" s="3">
        <f>AK234</f>
        <v>178</v>
      </c>
      <c r="AM234" s="3">
        <f>AL234</f>
        <v>178</v>
      </c>
      <c r="AN234" s="3">
        <f>AM234</f>
        <v>178</v>
      </c>
      <c r="AO234" s="3">
        <f>AN234</f>
        <v>178</v>
      </c>
      <c r="AP234" s="3">
        <f>AO234</f>
        <v>178</v>
      </c>
      <c r="AQ234" s="3">
        <f>AP234</f>
        <v>178</v>
      </c>
      <c r="AR234" s="3">
        <f>AQ234</f>
        <v>178</v>
      </c>
      <c r="AS234" s="3">
        <f>AR234</f>
        <v>178</v>
      </c>
      <c r="AT234" s="3">
        <f>AS234</f>
        <v>178</v>
      </c>
      <c r="AU234" s="3">
        <f>AT234</f>
        <v>178</v>
      </c>
      <c r="AV234" s="3">
        <f>AU234</f>
        <v>178</v>
      </c>
      <c r="AW234" s="3">
        <f>AV234</f>
        <v>178</v>
      </c>
      <c r="AX234" s="3">
        <f>AW234</f>
        <v>178</v>
      </c>
      <c r="AY234" s="3">
        <f>AX234</f>
        <v>178</v>
      </c>
      <c r="AZ234" s="3">
        <f>AY234</f>
        <v>178</v>
      </c>
      <c r="BA234" s="3">
        <f>AZ234</f>
        <v>178</v>
      </c>
      <c r="BB234" s="3">
        <f>BA234</f>
        <v>178</v>
      </c>
      <c r="BC234" s="3">
        <f>BB234</f>
        <v>178</v>
      </c>
      <c r="BD234" s="3">
        <f>BC234</f>
        <v>178</v>
      </c>
      <c r="BE234" s="3">
        <f>BD234</f>
        <v>178</v>
      </c>
      <c r="BF234" s="3">
        <f>BE234</f>
        <v>178</v>
      </c>
      <c r="BG234" s="3">
        <f>BF234</f>
        <v>178</v>
      </c>
      <c r="BH234" s="3">
        <f>BG234</f>
        <v>178</v>
      </c>
      <c r="BI234" s="3">
        <f>BH234</f>
        <v>178</v>
      </c>
      <c r="BJ234" s="3">
        <f>BI234</f>
        <v>178</v>
      </c>
      <c r="BK234" s="3">
        <f>BJ234</f>
        <v>178</v>
      </c>
      <c r="BL234" s="3">
        <f>BK234</f>
        <v>178</v>
      </c>
      <c r="BM234" s="3">
        <f>BL234</f>
        <v>178</v>
      </c>
      <c r="BN234" s="3">
        <f>BM234</f>
        <v>178</v>
      </c>
      <c r="BO234" s="3">
        <f>BN234</f>
        <v>178</v>
      </c>
      <c r="BP234" s="3">
        <f>BO234</f>
        <v>178</v>
      </c>
      <c r="BQ234" s="3">
        <f>BP234</f>
        <v>178</v>
      </c>
      <c r="BR234" s="3">
        <f>BQ234</f>
        <v>178</v>
      </c>
      <c r="BS234" s="3">
        <f>BR234</f>
        <v>178</v>
      </c>
      <c r="BT234" s="3">
        <f>BS234</f>
        <v>178</v>
      </c>
      <c r="BU234" s="3">
        <f>BT234</f>
        <v>178</v>
      </c>
      <c r="BV234" s="3">
        <f>BU234</f>
        <v>178</v>
      </c>
      <c r="BW234" s="3">
        <f>BV234</f>
        <v>178</v>
      </c>
      <c r="BX234" s="3">
        <f>BW234</f>
        <v>178</v>
      </c>
      <c r="BY234" s="3">
        <f>BX234</f>
        <v>178</v>
      </c>
      <c r="BZ234" s="3">
        <f>BY234</f>
        <v>178</v>
      </c>
      <c r="CA234" s="3">
        <f>BZ234</f>
        <v>178</v>
      </c>
      <c r="CB234" s="3">
        <f>CA234</f>
        <v>178</v>
      </c>
      <c r="CC234" s="3">
        <f>CB234</f>
        <v>178</v>
      </c>
      <c r="CD234" s="3">
        <f>CC234</f>
        <v>178</v>
      </c>
      <c r="CE234" s="3">
        <f>CD234</f>
        <v>178</v>
      </c>
      <c r="CF234" s="3">
        <f>CE234</f>
        <v>178</v>
      </c>
      <c r="CG234" s="3">
        <f>CF234</f>
        <v>178</v>
      </c>
      <c r="CH234" s="3">
        <f>CG234</f>
        <v>178</v>
      </c>
      <c r="CI234" s="3">
        <f>CH234</f>
        <v>178</v>
      </c>
      <c r="CJ234" s="3">
        <f>CI234</f>
        <v>178</v>
      </c>
      <c r="CK234" s="3">
        <f>CJ234</f>
        <v>178</v>
      </c>
      <c r="CL234" s="3">
        <f>CK234</f>
        <v>178</v>
      </c>
      <c r="CM234" s="3">
        <f>CL234</f>
        <v>178</v>
      </c>
      <c r="CN234" s="3">
        <f>CM234</f>
        <v>178</v>
      </c>
      <c r="CO234" s="3">
        <f>CN234</f>
        <v>178</v>
      </c>
      <c r="CP234" s="3">
        <f>CO234</f>
        <v>178</v>
      </c>
      <c r="CQ234" s="3">
        <f>CP234</f>
        <v>178</v>
      </c>
      <c r="CR234" s="3">
        <f>CQ234</f>
        <v>178</v>
      </c>
      <c r="CS234" s="3">
        <f>CR234</f>
        <v>178</v>
      </c>
      <c r="CT234" s="3">
        <f>CS234</f>
        <v>178</v>
      </c>
      <c r="CU234" s="3">
        <f>CT234</f>
        <v>178</v>
      </c>
      <c r="CV234" s="3">
        <f>CU234</f>
        <v>178</v>
      </c>
      <c r="CW234" s="3">
        <f>CV234</f>
        <v>178</v>
      </c>
      <c r="CX234" s="3">
        <f>CW234</f>
        <v>178</v>
      </c>
      <c r="CY234" s="3">
        <f>CX234</f>
        <v>178</v>
      </c>
    </row>
    <row r="235">
      <c r="C235" s="26" t="inlineStr">
        <is>
          <t>Other equity account</t>
        </is>
      </c>
      <c r="D235" s="25" t="n"/>
      <c r="E235" s="25" t="n"/>
      <c r="F235" s="25" t="n"/>
      <c r="G235" s="25" t="n"/>
      <c r="H235" s="3">
        <f>G235</f>
        <v>0</v>
      </c>
      <c r="I235" s="25" t="n"/>
      <c r="J235" s="25" t="n"/>
      <c r="K235" s="25" t="n"/>
      <c r="L235" s="25" t="n"/>
      <c r="M235" s="3">
        <f>L235</f>
        <v>0</v>
      </c>
      <c r="N235" s="25" t="n"/>
      <c r="O235" s="25" t="n"/>
      <c r="P235" s="25" t="n"/>
      <c r="Q235" s="25" t="n"/>
      <c r="R235" s="3">
        <f>Q235</f>
        <v>0</v>
      </c>
      <c r="S235" s="25" t="n"/>
      <c r="T235" s="25" t="n"/>
      <c r="U235" s="25" t="n"/>
      <c r="V235" s="25" t="n"/>
      <c r="W235" s="3">
        <f>V235</f>
        <v>0</v>
      </c>
      <c r="X235" s="25" t="n"/>
      <c r="Y235" s="25" t="n"/>
      <c r="Z235" s="25" t="n"/>
      <c r="AA235" s="25" t="n"/>
      <c r="AB235" s="3">
        <f>AA235</f>
        <v>0</v>
      </c>
      <c r="AC235" s="25" t="n"/>
      <c r="AD235" s="25" t="n"/>
      <c r="AE235" s="25" t="n"/>
      <c r="AF235" s="25" t="n"/>
      <c r="AG235" s="3">
        <f>AF235</f>
        <v>0</v>
      </c>
      <c r="AH235" s="3">
        <f>AG235</f>
        <v>0</v>
      </c>
      <c r="AI235" s="3">
        <f>AH235</f>
        <v>0</v>
      </c>
      <c r="AJ235" s="3">
        <f>AI235</f>
        <v>0</v>
      </c>
      <c r="AK235" s="3">
        <f>AJ235</f>
        <v>0</v>
      </c>
      <c r="AL235" s="3">
        <f>AK235</f>
        <v>0</v>
      </c>
      <c r="AM235" s="3">
        <f>AL235</f>
        <v>0</v>
      </c>
      <c r="AN235" s="3">
        <f>AM235</f>
        <v>0</v>
      </c>
      <c r="AO235" s="3">
        <f>AN235</f>
        <v>0</v>
      </c>
      <c r="AP235" s="3">
        <f>AO235</f>
        <v>0</v>
      </c>
      <c r="AQ235" s="3">
        <f>AP235</f>
        <v>0</v>
      </c>
      <c r="AR235" s="3">
        <f>AQ235</f>
        <v>0</v>
      </c>
      <c r="AS235" s="3">
        <f>AR235</f>
        <v>0</v>
      </c>
      <c r="AT235" s="3">
        <f>AS235</f>
        <v>0</v>
      </c>
      <c r="AU235" s="3">
        <f>AT235</f>
        <v>0</v>
      </c>
      <c r="AV235" s="3">
        <f>AU235</f>
        <v>0</v>
      </c>
      <c r="AW235" s="3">
        <f>AV235</f>
        <v>0</v>
      </c>
      <c r="AX235" s="3">
        <f>AW235</f>
        <v>0</v>
      </c>
      <c r="AY235" s="3">
        <f>AX235</f>
        <v>0</v>
      </c>
      <c r="AZ235" s="3">
        <f>AY235</f>
        <v>0</v>
      </c>
      <c r="BA235" s="3">
        <f>AZ235</f>
        <v>0</v>
      </c>
      <c r="BB235" s="3">
        <f>BA235</f>
        <v>0</v>
      </c>
      <c r="BC235" s="3">
        <f>BB235</f>
        <v>0</v>
      </c>
      <c r="BD235" s="3">
        <f>BC235</f>
        <v>0</v>
      </c>
      <c r="BE235" s="3">
        <f>BD235</f>
        <v>0</v>
      </c>
      <c r="BF235" s="3">
        <f>BE235</f>
        <v>0</v>
      </c>
      <c r="BG235" s="3">
        <f>BF235</f>
        <v>0</v>
      </c>
      <c r="BH235" s="3">
        <f>BG235</f>
        <v>0</v>
      </c>
      <c r="BI235" s="3">
        <f>BH235</f>
        <v>0</v>
      </c>
      <c r="BJ235" s="3">
        <f>BI235</f>
        <v>0</v>
      </c>
      <c r="BK235" s="3">
        <f>BJ235</f>
        <v>0</v>
      </c>
      <c r="BL235" s="3">
        <f>BK235</f>
        <v>0</v>
      </c>
      <c r="BM235" s="3">
        <f>BL235</f>
        <v>0</v>
      </c>
      <c r="BN235" s="3">
        <f>BM235</f>
        <v>0</v>
      </c>
      <c r="BO235" s="3">
        <f>BN235</f>
        <v>0</v>
      </c>
      <c r="BP235" s="3">
        <f>BO235</f>
        <v>0</v>
      </c>
      <c r="BQ235" s="3">
        <f>BP235</f>
        <v>0</v>
      </c>
      <c r="BR235" s="3">
        <f>BQ235</f>
        <v>0</v>
      </c>
      <c r="BS235" s="3">
        <f>BR235</f>
        <v>0</v>
      </c>
      <c r="BT235" s="3">
        <f>BS235</f>
        <v>0</v>
      </c>
      <c r="BU235" s="3">
        <f>BT235</f>
        <v>0</v>
      </c>
      <c r="BV235" s="3">
        <f>BU235</f>
        <v>0</v>
      </c>
      <c r="BW235" s="3">
        <f>BV235</f>
        <v>0</v>
      </c>
      <c r="BX235" s="3">
        <f>BW235</f>
        <v>0</v>
      </c>
      <c r="BY235" s="3">
        <f>BX235</f>
        <v>0</v>
      </c>
      <c r="BZ235" s="3">
        <f>BY235</f>
        <v>0</v>
      </c>
      <c r="CA235" s="3">
        <f>BZ235</f>
        <v>0</v>
      </c>
      <c r="CB235" s="3">
        <f>CA235</f>
        <v>0</v>
      </c>
      <c r="CC235" s="3">
        <f>CB235</f>
        <v>0</v>
      </c>
      <c r="CD235" s="3">
        <f>CC235</f>
        <v>0</v>
      </c>
      <c r="CE235" s="3">
        <f>CD235</f>
        <v>0</v>
      </c>
      <c r="CF235" s="3">
        <f>CE235</f>
        <v>0</v>
      </c>
      <c r="CG235" s="3">
        <f>CF235</f>
        <v>0</v>
      </c>
      <c r="CH235" s="3">
        <f>CG235</f>
        <v>0</v>
      </c>
      <c r="CI235" s="3">
        <f>CH235</f>
        <v>0</v>
      </c>
      <c r="CJ235" s="3">
        <f>CI235</f>
        <v>0</v>
      </c>
      <c r="CK235" s="3">
        <f>CJ235</f>
        <v>0</v>
      </c>
      <c r="CL235" s="3">
        <f>CK235</f>
        <v>0</v>
      </c>
      <c r="CM235" s="3">
        <f>CL235</f>
        <v>0</v>
      </c>
      <c r="CN235" s="3">
        <f>CM235</f>
        <v>0</v>
      </c>
      <c r="CO235" s="3">
        <f>CN235</f>
        <v>0</v>
      </c>
      <c r="CP235" s="3">
        <f>CO235</f>
        <v>0</v>
      </c>
      <c r="CQ235" s="3">
        <f>CP235</f>
        <v>0</v>
      </c>
      <c r="CR235" s="3">
        <f>CQ235</f>
        <v>0</v>
      </c>
      <c r="CS235" s="3">
        <f>CR235</f>
        <v>0</v>
      </c>
      <c r="CT235" s="3">
        <f>CS235</f>
        <v>0</v>
      </c>
      <c r="CU235" s="3">
        <f>CT235</f>
        <v>0</v>
      </c>
      <c r="CV235" s="3">
        <f>CU235</f>
        <v>0</v>
      </c>
      <c r="CW235" s="3">
        <f>CV235</f>
        <v>0</v>
      </c>
      <c r="CX235" s="3">
        <f>CW235</f>
        <v>0</v>
      </c>
      <c r="CY235" s="3">
        <f>CX235</f>
        <v>0</v>
      </c>
    </row>
    <row r="236">
      <c r="C236" s="28" t="inlineStr">
        <is>
          <t>Retained earnings</t>
        </is>
      </c>
      <c r="D236" s="25">
        <f>INDEX('Inputs (2)'!$D$47:$AL$47,MATCH(D$7,'Inputs (2)'!$D$2:$AL$2,0))</f>
        <v>15790</v>
      </c>
      <c r="E236" s="25">
        <f>INDEX('Inputs (2)'!$D$47:$AL$47,MATCH(E$7,'Inputs (2)'!$D$2:$AL$2,0))</f>
        <v>16313</v>
      </c>
      <c r="F236" s="25">
        <f>INDEX('Inputs (2)'!$D$47:$AL$47,MATCH(F$7,'Inputs (2)'!$D$2:$AL$2,0))</f>
        <v>17550</v>
      </c>
      <c r="G236" s="25">
        <f>INDEX('Inputs (2)'!$D$47:$AL$47,MATCH(G$7,'Inputs (2)'!$D$2:$AL$2,0))</f>
        <v>18908</v>
      </c>
      <c r="H236" s="3">
        <f>G236</f>
        <v>18908</v>
      </c>
      <c r="I236" s="25">
        <f>INDEX('Inputs (2)'!$D$47:$AL$47,MATCH(I$7,'Inputs (2)'!$D$2:$AL$2,0))</f>
        <v>20721</v>
      </c>
      <c r="J236" s="25">
        <f>INDEX('Inputs (2)'!$D$47:$AL$47,MATCH(J$7,'Inputs (2)'!$D$2:$AL$2,0))</f>
        <v>22995</v>
      </c>
      <c r="K236" s="25">
        <f>INDEX('Inputs (2)'!$D$47:$AL$47,MATCH(K$7,'Inputs (2)'!$D$2:$AL$2,0))</f>
        <v>25359</v>
      </c>
      <c r="L236" s="25">
        <f>INDEX('Inputs (2)'!$D$47:$AL$47,MATCH(L$7,'Inputs (2)'!$D$2:$AL$2,0))</f>
        <v>16235</v>
      </c>
      <c r="M236" s="3">
        <f>L236</f>
        <v>16235</v>
      </c>
      <c r="N236" s="25">
        <f>INDEX('Inputs (2)'!$D$47:$AL$47,MATCH(N$7,'Inputs (2)'!$D$2:$AL$2,0))</f>
        <v>15758</v>
      </c>
      <c r="O236" s="25">
        <f>INDEX('Inputs (2)'!$D$47:$AL$47,MATCH(O$7,'Inputs (2)'!$D$2:$AL$2,0))</f>
        <v>12971</v>
      </c>
      <c r="P236" s="25">
        <f>INDEX('Inputs (2)'!$D$47:$AL$47,MATCH(P$7,'Inputs (2)'!$D$2:$AL$2,0))</f>
        <v>9905</v>
      </c>
      <c r="Q236" s="25">
        <f>INDEX('Inputs (2)'!$D$47:$AL$47,MATCH(Q$7,'Inputs (2)'!$D$2:$AL$2,0))</f>
        <v>10171</v>
      </c>
      <c r="R236" s="3">
        <f>Q236</f>
        <v>10171</v>
      </c>
      <c r="S236" s="25">
        <f>INDEX('Inputs (2)'!$D$47:$AL$47,MATCH(S$7,'Inputs (2)'!$D$2:$AL$2,0))</f>
        <v>12115</v>
      </c>
      <c r="T236" s="25">
        <f>INDEX('Inputs (2)'!$D$47:$AL$47,MATCH(T$7,'Inputs (2)'!$D$2:$AL$2,0))</f>
        <v>14921</v>
      </c>
      <c r="U236" s="25">
        <f>INDEX('Inputs (2)'!$D$47:$AL$47,MATCH(U$7,'Inputs (2)'!$D$2:$AL$2,0))</f>
        <v>20360</v>
      </c>
      <c r="V236" s="25">
        <f>INDEX('Inputs (2)'!$D$47:$AL$47,MATCH(V$7,'Inputs (2)'!$D$2:$AL$2,0))</f>
        <v>29817</v>
      </c>
      <c r="W236" s="3">
        <f>V236</f>
        <v>29817</v>
      </c>
      <c r="X236" s="25">
        <f>INDEX('Inputs (2)'!$D$47:$AL$47,MATCH(X$7,'Inputs (2)'!$D$2:$AL$2,0))</f>
        <v>36598</v>
      </c>
      <c r="Y236" s="25">
        <f>INDEX('Inputs (2)'!$D$47:$AL$47,MATCH(Y$7,'Inputs (2)'!$D$2:$AL$2,0))</f>
        <v>45961</v>
      </c>
      <c r="Z236" s="25">
        <f>INDEX('Inputs (2)'!$D$47:$AL$47,MATCH(Z$7,'Inputs (2)'!$D$2:$AL$2,0))</f>
        <v>53950</v>
      </c>
      <c r="AA236" s="25">
        <f>INDEX('Inputs (2)'!$D$47:$AL$47,MATCH(AA$7,'Inputs (2)'!$D$2:$AL$2,0))</f>
        <v>68038</v>
      </c>
      <c r="AB236" s="3">
        <f>AA236</f>
        <v>68038</v>
      </c>
      <c r="AC236" s="25">
        <f>INDEX('Inputs (2)'!$D$47:$AL$47,MATCH(AC$7,'Inputs (2)'!$D$2:$AL$2,0))</f>
        <v>72158</v>
      </c>
      <c r="AD236" s="25">
        <f>INDEX('Inputs (2)'!$D$47:$AL$47,MATCH(AD$7,'Inputs (2)'!$D$2:$AL$2,0))</f>
        <v>88737</v>
      </c>
      <c r="AE236" s="25">
        <f>INDEX('Inputs (2)'!$D$47:$AL$47,MATCH(AE$7,'Inputs (2)'!$D$2:$AL$2,0))</f>
        <v>107908</v>
      </c>
      <c r="AF236" s="25">
        <f>INDEX('Inputs (2)'!$D$47:$AL$47,MATCH(AF$7,'Inputs (2)'!$D$2:$AL$2,0))</f>
        <v>146973</v>
      </c>
      <c r="AG236" s="3">
        <f>AF236</f>
        <v>146973</v>
      </c>
      <c r="AH236" s="3">
        <f>AG236+AH103+AH104</f>
        <v>153145</v>
      </c>
      <c r="AI236" s="3">
        <f>AH236+AI103+AI104</f>
        <v>164467</v>
      </c>
      <c r="AJ236" s="3">
        <f>AI236+AJ103+AJ104</f>
        <v>170639</v>
      </c>
      <c r="AK236" s="3">
        <f>AJ236+AK103+AK104</f>
        <v>181961</v>
      </c>
      <c r="AL236" s="3">
        <f>AK236</f>
        <v>181961</v>
      </c>
      <c r="AM236" s="3">
        <f>AL236+AM103+AM104</f>
        <v>193283</v>
      </c>
      <c r="AN236" s="3">
        <f>AM236+AN103+AN104</f>
        <v>228271</v>
      </c>
      <c r="AO236" s="3">
        <f>AN236+AO103+AO104</f>
        <v>239593</v>
      </c>
      <c r="AP236" s="3">
        <f>AO236+AP103+AP104</f>
        <v>274581</v>
      </c>
      <c r="AQ236" s="3">
        <f>AP236</f>
        <v>274581</v>
      </c>
      <c r="AR236" s="3">
        <f>AQ236+AR103+AR104</f>
        <v>309569</v>
      </c>
      <c r="AS236" s="3">
        <f>AR236+AS103+AS104</f>
        <v>402189</v>
      </c>
      <c r="AT236" s="3">
        <f>AS236+AT103+AT104</f>
        <v>437177</v>
      </c>
      <c r="AU236" s="3">
        <f>AT236+AU103+AU104</f>
        <v>529797</v>
      </c>
      <c r="AV236" s="3">
        <f>AU236</f>
        <v>529797</v>
      </c>
      <c r="AW236" s="3">
        <f>AV236+AW103+AW104</f>
        <v>622417</v>
      </c>
      <c r="AX236" s="3">
        <f>AW236+AX103+AX104</f>
        <v>877633</v>
      </c>
      <c r="AY236" s="3">
        <f>AX236+AY103+AY104</f>
        <v>970253</v>
      </c>
      <c r="AZ236" s="3">
        <f>AY236+AZ103+AZ104</f>
        <v>1225469</v>
      </c>
      <c r="BA236" s="3">
        <f>AZ236</f>
        <v>1225469</v>
      </c>
      <c r="BB236" s="3">
        <f>BA236+BB103+BB104</f>
        <v>1480685</v>
      </c>
      <c r="BC236" s="3">
        <f>BB236+BC103+BC104</f>
        <v>2176357</v>
      </c>
      <c r="BD236" s="3">
        <f>BC236+BD103+BD104</f>
        <v>2431573</v>
      </c>
      <c r="BE236" s="3">
        <f>BD236+BE103+BE104</f>
        <v>3127245</v>
      </c>
      <c r="BF236" s="3">
        <f>BE236</f>
        <v>3127245</v>
      </c>
      <c r="BG236" s="3">
        <f>BF236+BG103+BG104</f>
        <v>3822917</v>
      </c>
      <c r="BH236" s="3">
        <f>BG236+BH103+BH104</f>
        <v>5724693</v>
      </c>
      <c r="BI236" s="3">
        <f>BH236+BI103+BI104</f>
        <v>6420365</v>
      </c>
      <c r="BJ236" s="3">
        <f>BI236+BJ103+BJ104</f>
        <v>8322141</v>
      </c>
      <c r="BK236" s="3">
        <f>BJ236</f>
        <v>8322141</v>
      </c>
      <c r="BL236" s="3">
        <f>BK236+BL103+BL104</f>
        <v>10223917</v>
      </c>
      <c r="BM236" s="3">
        <f>BL236+BM103+BM104</f>
        <v>15418813</v>
      </c>
      <c r="BN236" s="3">
        <f>BM236+BN103+BN104</f>
        <v>17320589</v>
      </c>
      <c r="BO236" s="3">
        <f>BN236+BO103+BO104</f>
        <v>22515485</v>
      </c>
      <c r="BP236" s="3">
        <f>BO236</f>
        <v>22515485</v>
      </c>
      <c r="BQ236" s="3">
        <f>BP236+BQ103+BQ104</f>
        <v>27710381</v>
      </c>
      <c r="BR236" s="3">
        <f>BQ236+BR103+BR104</f>
        <v>41903725</v>
      </c>
      <c r="BS236" s="3">
        <f>BR236+BS103+BS104</f>
        <v>47098621</v>
      </c>
      <c r="BT236" s="3">
        <f>BS236+BT103+BT104</f>
        <v>61291965</v>
      </c>
      <c r="BU236" s="3">
        <f>BT236</f>
        <v>61291965</v>
      </c>
      <c r="BV236" s="3">
        <f>BU236+BV103+BV104</f>
        <v>75485309</v>
      </c>
      <c r="BW236" s="3">
        <f>BV236+BW103+BW104</f>
        <v>114261789</v>
      </c>
      <c r="BX236" s="3">
        <f>BW236+BX103+BX104</f>
        <v>128455133</v>
      </c>
      <c r="BY236" s="3">
        <f>BX236+BY103+BY104</f>
        <v>167231613</v>
      </c>
      <c r="BZ236" s="3">
        <f>BY236</f>
        <v>167231613</v>
      </c>
      <c r="CA236" s="3">
        <f>BZ236+CA103+CA104</f>
        <v>206008093</v>
      </c>
      <c r="CB236" s="3">
        <f>CA236+CB103+CB104</f>
        <v>311947741</v>
      </c>
      <c r="CC236" s="3">
        <f>CB236+CC103+CC104</f>
        <v>350724221</v>
      </c>
      <c r="CD236" s="3">
        <f>CC236+CD103+CD104</f>
        <v>456663869</v>
      </c>
      <c r="CE236" s="3">
        <f>CD236</f>
        <v>456663869</v>
      </c>
      <c r="CF236" s="3">
        <f>CE236+CF103+CF104</f>
        <v>562603517</v>
      </c>
      <c r="CG236" s="3">
        <f>CF236+CG103+CG104</f>
        <v>852035773</v>
      </c>
      <c r="CH236" s="3">
        <f>CG236+CH103+CH104</f>
        <v>957975421</v>
      </c>
      <c r="CI236" s="3">
        <f>CH236+CI103+CI104</f>
        <v>1247407677</v>
      </c>
      <c r="CJ236" s="3">
        <f>CI236</f>
        <v>1247407677</v>
      </c>
      <c r="CK236" s="3">
        <f>CJ236+CK103+CK104</f>
        <v>1536839933</v>
      </c>
      <c r="CL236" s="3">
        <f>CK236+CL103+CL104</f>
        <v>2327583741</v>
      </c>
      <c r="CM236" s="3">
        <f>CL236+CM103+CM104</f>
        <v>2617015997</v>
      </c>
      <c r="CN236" s="3">
        <f>CM236+CN103+CN104</f>
        <v>3407759805</v>
      </c>
      <c r="CO236" s="3">
        <f>CN236</f>
        <v>3407759805</v>
      </c>
      <c r="CP236" s="3">
        <f>CO236+CP103+CP104</f>
        <v>4198503613</v>
      </c>
      <c r="CQ236" s="3">
        <f>CP236+CQ103+CQ104</f>
        <v>6358855741</v>
      </c>
      <c r="CR236" s="3">
        <f>CQ236+CR103+CR104</f>
        <v>7149599549</v>
      </c>
      <c r="CS236" s="3">
        <f>CR236+CS103+CS104</f>
        <v>9309951677</v>
      </c>
      <c r="CT236" s="3">
        <f>CS236</f>
        <v>9309951677</v>
      </c>
      <c r="CU236" s="3">
        <f>CT236+CU103+CU104</f>
        <v>11470303805</v>
      </c>
      <c r="CV236" s="3">
        <f>CU236+CV103+CV104</f>
        <v>17372495677</v>
      </c>
      <c r="CW236" s="3">
        <f>CV236+CW103+CW104</f>
        <v>19532847805</v>
      </c>
      <c r="CX236" s="3">
        <f>CW236+CX103+CX104</f>
        <v>25435039677</v>
      </c>
      <c r="CY236" s="3">
        <f>CX236</f>
        <v>25435039677</v>
      </c>
    </row>
    <row r="237" customFormat="1" s="17">
      <c r="A237" s="13" t="inlineStr">
        <is>
          <t xml:space="preserve"> </t>
        </is>
      </c>
      <c r="B237" s="13" t="n"/>
      <c r="C237" s="27" t="inlineStr">
        <is>
          <t>Total Shareholders' Equity</t>
        </is>
      </c>
      <c r="D237" s="16">
        <f>SUM(D214+D219+D220+D233+D234+D235+D236)</f>
        <v>13099</v>
      </c>
      <c r="E237" s="16">
        <f>SUM(E214+E219+E220+E233+E234+E235+E236)</f>
        <v>13914</v>
      </c>
      <c r="F237" s="16">
        <f>SUM(F214+F219+F220+F233+F234+F235+F236)</f>
        <v>15334</v>
      </c>
      <c r="G237" s="16">
        <f>SUM(G214+G219+G220+G233+G234+G235+G236)</f>
        <v>16893</v>
      </c>
      <c r="H237" s="16">
        <f>SUM(H214,H219,H220,H233,H234,H235,H236)</f>
        <v>16893</v>
      </c>
      <c r="I237" s="16">
        <f>SUM(I214+I219+I220+I233+I234+I235+I236)</f>
        <v>18774</v>
      </c>
      <c r="J237" s="16">
        <f>SUM(J214+J219+J220+J233+J234+J235+J236)</f>
        <v>21147</v>
      </c>
      <c r="K237" s="16">
        <f>SUM(K214+K219+K220+K233+K234+K235+K236)</f>
        <v>23798</v>
      </c>
      <c r="L237" s="16">
        <f>SUM(L214+L219+L220+L233+L234+L235+L236)</f>
        <v>26612</v>
      </c>
      <c r="M237" s="16">
        <f>SUM(M214,M219,M220,M233,M234,M235,M236)</f>
        <v>26612</v>
      </c>
      <c r="N237" s="16">
        <f>SUM(N214+N219+N220+N233+N234+N235+N236)</f>
        <v>26320</v>
      </c>
      <c r="O237" s="16">
        <f>SUM(O214+O219+O220+O233+O234+O235+O236)</f>
        <v>23851</v>
      </c>
      <c r="P237" s="16">
        <f>SUM(P214+P219+P220+P233+P234+P235+P236)</f>
        <v>21349</v>
      </c>
      <c r="Q237" s="16">
        <f>SUM(Q214+Q219+Q220+Q233+Q234+Q235+Q236)</f>
        <v>22101</v>
      </c>
      <c r="R237" s="16">
        <f>SUM(R214,R219,R220,R233,R234,R235,R236)</f>
        <v>22101</v>
      </c>
      <c r="S237" s="16">
        <f>SUM(S214+S219+S220+S233+S234+S235+S236)</f>
        <v>24520</v>
      </c>
      <c r="T237" s="16">
        <f>SUM(T214+T219+T220+T233+T234+T235+T236)</f>
        <v>27501</v>
      </c>
      <c r="U237" s="16">
        <f>SUM(U214+U219+U220+U233+U234+U235+U236)</f>
        <v>33265</v>
      </c>
      <c r="V237" s="16">
        <f>SUM(V214+V219+V220+V233+V234+V235+V236)</f>
        <v>42978</v>
      </c>
      <c r="W237" s="16">
        <f>SUM(W214,W219,W220,W233,W234,W235,W236)</f>
        <v>42978</v>
      </c>
      <c r="X237" s="16">
        <f>SUM(X214+X219+X220+X233+X234+X235+X236)</f>
        <v>49142</v>
      </c>
      <c r="Y237" s="16">
        <f>SUM(Y214+Y219+Y220+Y233+Y234+Y235+Y236)</f>
        <v>58157</v>
      </c>
      <c r="Z237" s="16">
        <f>SUM(Z214+Z219+Z220+Z233+Z234+Z235+Z236)</f>
        <v>65899</v>
      </c>
      <c r="AA237" s="16">
        <f>SUM(AA214+AA219+AA220+AA233+AA234+AA235+AA236)</f>
        <v>79327</v>
      </c>
      <c r="AB237" s="16">
        <f>SUM(AB214,AB219,AB220,AB233,AB234,AB235,AB236)</f>
        <v>79327</v>
      </c>
      <c r="AC237" s="16">
        <f>SUM(AC214+AC219+AC220+AC233+AC234+AC235+AC236)</f>
        <v>83843</v>
      </c>
      <c r="AD237" s="16">
        <f>SUM(AD214+AD219+AD220+AD233+AD234+AD235+AD236)</f>
        <v>100131</v>
      </c>
      <c r="AE237" s="16">
        <f>SUM(AE214+AE219+AE220+AE233+AE234+AE235+AE236)</f>
        <v>118897</v>
      </c>
      <c r="AF237" s="16">
        <f>SUM(AF214+AF219+AF220+AF233+AF234+AF235+AF236)</f>
        <v>157293</v>
      </c>
      <c r="AG237" s="16">
        <f>SUM(AG214,AG219,AG220,AG233,AG234,AG235,AG236)</f>
        <v>157293</v>
      </c>
      <c r="AH237" s="16">
        <f>SUM(AH214+AH219+AH220+AH233+AH234+AH235+AH236)</f>
        <v>163465</v>
      </c>
      <c r="AI237" s="16">
        <f>SUM(AI214+AI219+AI220+AI233+AI234+AI235+AI236)</f>
        <v>174787</v>
      </c>
      <c r="AJ237" s="16">
        <f>SUM(AJ214+AJ219+AJ220+AJ233+AJ234+AJ235+AJ236)</f>
        <v>180959</v>
      </c>
      <c r="AK237" s="16">
        <f>SUM(AK214+AK219+AK220+AK233+AK234+AK235+AK236)</f>
        <v>192281</v>
      </c>
      <c r="AL237" s="16">
        <f>SUM(AL214,AL219,AL220,AL233,AL234,AL235,AL236)</f>
        <v>192281</v>
      </c>
      <c r="AM237" s="16">
        <f>SUM(AM214+AM219+AM220+AM233+AM234+AM235+AM236)</f>
        <v>203603</v>
      </c>
      <c r="AN237" s="16">
        <f>SUM(AN214+AN219+AN220+AN233+AN234+AN235+AN236)</f>
        <v>238591</v>
      </c>
      <c r="AO237" s="16">
        <f>SUM(AO214+AO219+AO220+AO233+AO234+AO235+AO236)</f>
        <v>249913</v>
      </c>
      <c r="AP237" s="16">
        <f>SUM(AP214+AP219+AP220+AP233+AP234+AP235+AP236)</f>
        <v>284901</v>
      </c>
      <c r="AQ237" s="16">
        <f>SUM(AQ214,AQ219,AQ220,AQ233,AQ234,AQ235,AQ236)</f>
        <v>284901</v>
      </c>
      <c r="AR237" s="16">
        <f>SUM(AR214+AR219+AR220+AR233+AR234+AR235+AR236)</f>
        <v>319889</v>
      </c>
      <c r="AS237" s="16">
        <f>SUM(AS214+AS219+AS220+AS233+AS234+AS235+AS236)</f>
        <v>412509</v>
      </c>
      <c r="AT237" s="16">
        <f>SUM(AT214+AT219+AT220+AT233+AT234+AT235+AT236)</f>
        <v>447497</v>
      </c>
      <c r="AU237" s="16">
        <f>SUM(AU214+AU219+AU220+AU233+AU234+AU235+AU236)</f>
        <v>540117</v>
      </c>
      <c r="AV237" s="16">
        <f>SUM(AV214,AV219,AV220,AV233,AV234,AV235,AV236)</f>
        <v>540117</v>
      </c>
      <c r="AW237" s="16">
        <f>SUM(AW214+AW219+AW220+AW233+AW234+AW235+AW236)</f>
        <v>632737</v>
      </c>
      <c r="AX237" s="16">
        <f>SUM(AX214+AX219+AX220+AX233+AX234+AX235+AX236)</f>
        <v>887953</v>
      </c>
      <c r="AY237" s="16">
        <f>SUM(AY214+AY219+AY220+AY233+AY234+AY235+AY236)</f>
        <v>980573</v>
      </c>
      <c r="AZ237" s="16">
        <f>SUM(AZ214+AZ219+AZ220+AZ233+AZ234+AZ235+AZ236)</f>
        <v>1235789</v>
      </c>
      <c r="BA237" s="16">
        <f>SUM(BA214,BA219,BA220,BA233,BA234,BA235,BA236)</f>
        <v>1235789</v>
      </c>
      <c r="BB237" s="16">
        <f>SUM(BB214+BB219+BB220+BB233+BB234+BB235+BB236)</f>
        <v>1491005</v>
      </c>
      <c r="BC237" s="16">
        <f>SUM(BC214+BC219+BC220+BC233+BC234+BC235+BC236)</f>
        <v>2186677</v>
      </c>
      <c r="BD237" s="16">
        <f>SUM(BD214+BD219+BD220+BD233+BD234+BD235+BD236)</f>
        <v>2441893</v>
      </c>
      <c r="BE237" s="16">
        <f>SUM(BE214+BE219+BE220+BE233+BE234+BE235+BE236)</f>
        <v>3137565</v>
      </c>
      <c r="BF237" s="16">
        <f>SUM(BF214,BF219,BF220,BF233,BF234,BF235,BF236)</f>
        <v>3137565</v>
      </c>
      <c r="BG237" s="16">
        <f>SUM(BG214+BG219+BG220+BG233+BG234+BG235+BG236)</f>
        <v>3833237</v>
      </c>
      <c r="BH237" s="16">
        <f>SUM(BH214+BH219+BH220+BH233+BH234+BH235+BH236)</f>
        <v>5735013</v>
      </c>
      <c r="BI237" s="16">
        <f>SUM(BI214+BI219+BI220+BI233+BI234+BI235+BI236)</f>
        <v>6430685</v>
      </c>
      <c r="BJ237" s="16">
        <f>SUM(BJ214+BJ219+BJ220+BJ233+BJ234+BJ235+BJ236)</f>
        <v>8332461</v>
      </c>
      <c r="BK237" s="16">
        <f>SUM(BK214,BK219,BK220,BK233,BK234,BK235,BK236)</f>
        <v>8332461</v>
      </c>
      <c r="BL237" s="16">
        <f>SUM(BL214+BL219+BL220+BL233+BL234+BL235+BL236)</f>
        <v>10234237</v>
      </c>
      <c r="BM237" s="16">
        <f>SUM(BM214+BM219+BM220+BM233+BM234+BM235+BM236)</f>
        <v>15429133</v>
      </c>
      <c r="BN237" s="16">
        <f>SUM(BN214+BN219+BN220+BN233+BN234+BN235+BN236)</f>
        <v>17330909</v>
      </c>
      <c r="BO237" s="16">
        <f>SUM(BO214+BO219+BO220+BO233+BO234+BO235+BO236)</f>
        <v>22525805</v>
      </c>
      <c r="BP237" s="16">
        <f>SUM(BP214,BP219,BP220,BP233,BP234,BP235,BP236)</f>
        <v>22525805</v>
      </c>
      <c r="BQ237" s="16">
        <f>SUM(BQ214+BQ219+BQ220+BQ233+BQ234+BQ235+BQ236)</f>
        <v>27720701</v>
      </c>
      <c r="BR237" s="16">
        <f>SUM(BR214+BR219+BR220+BR233+BR234+BR235+BR236)</f>
        <v>41914045</v>
      </c>
      <c r="BS237" s="16">
        <f>SUM(BS214+BS219+BS220+BS233+BS234+BS235+BS236)</f>
        <v>47108941</v>
      </c>
      <c r="BT237" s="16">
        <f>SUM(BT214+BT219+BT220+BT233+BT234+BT235+BT236)</f>
        <v>61302285</v>
      </c>
      <c r="BU237" s="16">
        <f>SUM(BU214,BU219,BU220,BU233,BU234,BU235,BU236)</f>
        <v>61302285</v>
      </c>
      <c r="BV237" s="16">
        <f>SUM(BV214+BV219+BV220+BV233+BV234+BV235+BV236)</f>
        <v>75495629</v>
      </c>
      <c r="BW237" s="16">
        <f>SUM(BW214+BW219+BW220+BW233+BW234+BW235+BW236)</f>
        <v>114272109</v>
      </c>
      <c r="BX237" s="16">
        <f>SUM(BX214+BX219+BX220+BX233+BX234+BX235+BX236)</f>
        <v>128465453</v>
      </c>
      <c r="BY237" s="16">
        <f>SUM(BY214+BY219+BY220+BY233+BY234+BY235+BY236)</f>
        <v>167241933</v>
      </c>
      <c r="BZ237" s="16">
        <f>SUM(BZ214,BZ219,BZ220,BZ233,BZ234,BZ235,BZ236)</f>
        <v>167241933</v>
      </c>
      <c r="CA237" s="16">
        <f>SUM(CA214+CA219+CA220+CA233+CA234+CA235+CA236)</f>
        <v>206018413</v>
      </c>
      <c r="CB237" s="16">
        <f>SUM(CB214+CB219+CB220+CB233+CB234+CB235+CB236)</f>
        <v>311958061</v>
      </c>
      <c r="CC237" s="16">
        <f>SUM(CC214+CC219+CC220+CC233+CC234+CC235+CC236)</f>
        <v>350734541</v>
      </c>
      <c r="CD237" s="16">
        <f>SUM(CD214+CD219+CD220+CD233+CD234+CD235+CD236)</f>
        <v>456674189</v>
      </c>
      <c r="CE237" s="16">
        <f>SUM(CE214,CE219,CE220,CE233,CE234,CE235,CE236)</f>
        <v>456674189</v>
      </c>
      <c r="CF237" s="16">
        <f>SUM(CF214+CF219+CF220+CF233+CF234+CF235+CF236)</f>
        <v>562613837</v>
      </c>
      <c r="CG237" s="16">
        <f>SUM(CG214+CG219+CG220+CG233+CG234+CG235+CG236)</f>
        <v>852046093</v>
      </c>
      <c r="CH237" s="16">
        <f>SUM(CH214+CH219+CH220+CH233+CH234+CH235+CH236)</f>
        <v>957985741</v>
      </c>
      <c r="CI237" s="16">
        <f>SUM(CI214+CI219+CI220+CI233+CI234+CI235+CI236)</f>
        <v>1247417997</v>
      </c>
      <c r="CJ237" s="16">
        <f>SUM(CJ214,CJ219,CJ220,CJ233,CJ234,CJ235,CJ236)</f>
        <v>1247417997</v>
      </c>
      <c r="CK237" s="16">
        <f>SUM(CK214+CK219+CK220+CK233+CK234+CK235+CK236)</f>
        <v>1536850253</v>
      </c>
      <c r="CL237" s="16">
        <f>SUM(CL214+CL219+CL220+CL233+CL234+CL235+CL236)</f>
        <v>2327594061</v>
      </c>
      <c r="CM237" s="16">
        <f>SUM(CM214+CM219+CM220+CM233+CM234+CM235+CM236)</f>
        <v>2617026317</v>
      </c>
      <c r="CN237" s="16">
        <f>SUM(CN214+CN219+CN220+CN233+CN234+CN235+CN236)</f>
        <v>3407770125</v>
      </c>
      <c r="CO237" s="16">
        <f>SUM(CO214,CO219,CO220,CO233,CO234,CO235,CO236)</f>
        <v>3407770125</v>
      </c>
      <c r="CP237" s="16">
        <f>SUM(CP214+CP219+CP220+CP233+CP234+CP235+CP236)</f>
        <v>4198513933</v>
      </c>
      <c r="CQ237" s="16">
        <f>SUM(CQ214+CQ219+CQ220+CQ233+CQ234+CQ235+CQ236)</f>
        <v>6358866061</v>
      </c>
      <c r="CR237" s="16">
        <f>SUM(CR214+CR219+CR220+CR233+CR234+CR235+CR236)</f>
        <v>7149609869</v>
      </c>
      <c r="CS237" s="16">
        <f>SUM(CS214+CS219+CS220+CS233+CS234+CS235+CS236)</f>
        <v>9309961997</v>
      </c>
      <c r="CT237" s="16">
        <f>SUM(CT214,CT219,CT220,CT233,CT234,CT235,CT236)</f>
        <v>9309961997</v>
      </c>
      <c r="CU237" s="16">
        <f>SUM(CU214+CU219+CU220+CU233+CU234+CU235+CU236)</f>
        <v>11470314125</v>
      </c>
      <c r="CV237" s="16">
        <f>SUM(CV214+CV219+CV220+CV233+CV234+CV235+CV236)</f>
        <v>17372505997</v>
      </c>
      <c r="CW237" s="16">
        <f>SUM(CW214+CW219+CW220+CW233+CW234+CW235+CW236)</f>
        <v>19532858125</v>
      </c>
      <c r="CX237" s="16">
        <f>SUM(CX214+CX219+CX220+CX233+CX234+CX235+CX236)</f>
        <v>25435049997</v>
      </c>
      <c r="CY237" s="16">
        <f>SUM(CY214,CY219,CY220,CY233,CY234,CY235,CY236)</f>
        <v>25435049997</v>
      </c>
    </row>
    <row r="238">
      <c r="C238" s="29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/>
      <c r="BV238" s="3" t="n"/>
      <c r="BW238" s="3" t="n"/>
      <c r="BX238" s="3" t="n"/>
      <c r="BY238" s="3" t="n"/>
      <c r="BZ238" s="3" t="n"/>
      <c r="CA238" s="3" t="n"/>
      <c r="CB238" s="3" t="n"/>
      <c r="CC238" s="3" t="n"/>
      <c r="CD238" s="3" t="n"/>
      <c r="CE238" s="3" t="n"/>
      <c r="CF238" s="3" t="n"/>
      <c r="CG238" s="3" t="n"/>
      <c r="CH238" s="3" t="n"/>
      <c r="CI238" s="3" t="n"/>
      <c r="CJ238" s="3" t="n"/>
      <c r="CK238" s="3" t="n"/>
      <c r="CL238" s="3" t="n"/>
      <c r="CM238" s="3" t="n"/>
      <c r="CN238" s="3" t="n"/>
      <c r="CO238" s="3" t="n"/>
      <c r="CP238" s="3" t="n"/>
      <c r="CQ238" s="3" t="n"/>
      <c r="CR238" s="3" t="n"/>
      <c r="CS238" s="3" t="n"/>
      <c r="CT238" s="3" t="n"/>
      <c r="CU238" s="3" t="n"/>
      <c r="CV238" s="3" t="n"/>
      <c r="CW238" s="3" t="n"/>
      <c r="CX238" s="3" t="n"/>
      <c r="CY238" s="3" t="n"/>
    </row>
    <row r="239" customFormat="1" s="17">
      <c r="A239" s="13" t="n"/>
      <c r="B239" s="1" t="n"/>
      <c r="C239" s="14" t="inlineStr">
        <is>
          <t>Total Liabilities + Shareholders' Equity</t>
        </is>
      </c>
      <c r="D239" s="16">
        <f>D237+D213</f>
        <v>23254</v>
      </c>
      <c r="E239" s="16">
        <f>E237+E213</f>
        <v>25180</v>
      </c>
      <c r="F239" s="16">
        <f>F237+F213</f>
        <v>26881</v>
      </c>
      <c r="G239" s="16">
        <f>G237+G213</f>
        <v>28791</v>
      </c>
      <c r="H239" s="16">
        <f>H237+H213</f>
        <v>28791</v>
      </c>
      <c r="I239" s="16">
        <f>I237+I213</f>
        <v>30796</v>
      </c>
      <c r="J239" s="16">
        <f>J237+J213</f>
        <v>38650</v>
      </c>
      <c r="K239" s="16">
        <f>K237+K213</f>
        <v>40632</v>
      </c>
      <c r="L239" s="16">
        <f>L237+L213</f>
        <v>44187</v>
      </c>
      <c r="M239" s="16">
        <f>M237+M213</f>
        <v>44187</v>
      </c>
      <c r="N239" s="16">
        <f>N237+N213</f>
        <v>45212</v>
      </c>
      <c r="O239" s="16">
        <f>O237+O213</f>
        <v>43476</v>
      </c>
      <c r="P239" s="16">
        <f>P237+P213</f>
        <v>40488</v>
      </c>
      <c r="Q239" s="16">
        <f>Q237+Q213</f>
        <v>41182</v>
      </c>
      <c r="R239" s="16">
        <f>R237+R213</f>
        <v>41182</v>
      </c>
      <c r="S239" s="16">
        <f>S237+S213</f>
        <v>44460</v>
      </c>
      <c r="T239" s="16">
        <f>T237+T213</f>
        <v>49555</v>
      </c>
      <c r="U239" s="16">
        <f>U237+U213</f>
        <v>54148</v>
      </c>
      <c r="V239" s="16">
        <f>V237+V213</f>
        <v>65728</v>
      </c>
      <c r="W239" s="16">
        <f>W237+W213</f>
        <v>65728</v>
      </c>
      <c r="X239" s="16">
        <f>X237+X213</f>
        <v>77072</v>
      </c>
      <c r="Y239" s="16">
        <f>Y237+Y213</f>
        <v>85227</v>
      </c>
      <c r="Z239" s="16">
        <f>Z237+Z213</f>
        <v>96013</v>
      </c>
      <c r="AA239" s="16">
        <f>AA237+AA213</f>
        <v>111601</v>
      </c>
      <c r="AB239" s="16">
        <f>AB237+AB213</f>
        <v>111601</v>
      </c>
      <c r="AC239" s="16">
        <f>AC237+AC213</f>
        <v>125254</v>
      </c>
      <c r="AD239" s="16">
        <f>AD237+AD213</f>
        <v>140740</v>
      </c>
      <c r="AE239" s="16">
        <f>AE237+AE213</f>
        <v>161148</v>
      </c>
      <c r="AF239" s="16">
        <f>AF237+AF213</f>
        <v>206803</v>
      </c>
      <c r="AG239" s="16">
        <f>AG237+AG213</f>
        <v>206803</v>
      </c>
      <c r="AH239" s="16">
        <f>AH237+AH213</f>
        <v>174714</v>
      </c>
      <c r="AI239" s="16">
        <f>AI237+AI213</f>
        <v>186036</v>
      </c>
      <c r="AJ239" s="16" t="e">
        <f>AJ237+AJ213</f>
        <v>#DIV/0!</v>
      </c>
      <c r="AK239" s="16" t="e">
        <f>AK237+AK213</f>
        <v>#DIV/0!</v>
      </c>
      <c r="AL239" s="16" t="e">
        <f>AL237+AL213</f>
        <v>#DIV/0!</v>
      </c>
      <c r="AM239" s="16" t="e">
        <f>AM237+AM213</f>
        <v>#DIV/0!</v>
      </c>
      <c r="AN239" s="16" t="e">
        <f>AN237+AN213</f>
        <v>#DIV/0!</v>
      </c>
      <c r="AO239" s="16" t="e">
        <f>AO237+AO213</f>
        <v>#DIV/0!</v>
      </c>
      <c r="AP239" s="16" t="e">
        <f>AP237+AP213</f>
        <v>#DIV/0!</v>
      </c>
      <c r="AQ239" s="16" t="e">
        <f>AQ237+AQ213</f>
        <v>#DIV/0!</v>
      </c>
      <c r="AR239" s="16" t="e">
        <f>AR237+AR213</f>
        <v>#DIV/0!</v>
      </c>
      <c r="AS239" s="16" t="e">
        <f>AS237+AS213</f>
        <v>#DIV/0!</v>
      </c>
      <c r="AT239" s="16" t="e">
        <f>AT237+AT213</f>
        <v>#DIV/0!</v>
      </c>
      <c r="AU239" s="16" t="e">
        <f>AU237+AU213</f>
        <v>#DIV/0!</v>
      </c>
      <c r="AV239" s="16" t="e">
        <f>AV237+AV213</f>
        <v>#DIV/0!</v>
      </c>
      <c r="AW239" s="16" t="e">
        <f>AW237+AW213</f>
        <v>#DIV/0!</v>
      </c>
      <c r="AX239" s="16" t="e">
        <f>AX237+AX213</f>
        <v>#DIV/0!</v>
      </c>
      <c r="AY239" s="16" t="e">
        <f>AY237+AY213</f>
        <v>#DIV/0!</v>
      </c>
      <c r="AZ239" s="16" t="e">
        <f>AZ237+AZ213</f>
        <v>#DIV/0!</v>
      </c>
      <c r="BA239" s="16" t="e">
        <f>BA237+BA213</f>
        <v>#DIV/0!</v>
      </c>
      <c r="BB239" s="16" t="e">
        <f>BB237+BB213</f>
        <v>#DIV/0!</v>
      </c>
      <c r="BC239" s="16" t="e">
        <f>BC237+BC213</f>
        <v>#DIV/0!</v>
      </c>
      <c r="BD239" s="16" t="e">
        <f>BD237+BD213</f>
        <v>#DIV/0!</v>
      </c>
      <c r="BE239" s="16" t="e">
        <f>BE237+BE213</f>
        <v>#DIV/0!</v>
      </c>
      <c r="BF239" s="16" t="e">
        <f>BF237+BF213</f>
        <v>#DIV/0!</v>
      </c>
      <c r="BG239" s="16" t="e">
        <f>BG237+BG213</f>
        <v>#DIV/0!</v>
      </c>
      <c r="BH239" s="16" t="e">
        <f>BH237+BH213</f>
        <v>#DIV/0!</v>
      </c>
      <c r="BI239" s="16" t="e">
        <f>BI237+BI213</f>
        <v>#DIV/0!</v>
      </c>
      <c r="BJ239" s="16" t="e">
        <f>BJ237+BJ213</f>
        <v>#DIV/0!</v>
      </c>
      <c r="BK239" s="16" t="e">
        <f>BK237+BK213</f>
        <v>#DIV/0!</v>
      </c>
      <c r="BL239" s="16" t="e">
        <f>BL237+BL213</f>
        <v>#DIV/0!</v>
      </c>
      <c r="BM239" s="16" t="e">
        <f>BM237+BM213</f>
        <v>#DIV/0!</v>
      </c>
      <c r="BN239" s="16" t="e">
        <f>BN237+BN213</f>
        <v>#DIV/0!</v>
      </c>
      <c r="BO239" s="16" t="e">
        <f>BO237+BO213</f>
        <v>#DIV/0!</v>
      </c>
      <c r="BP239" s="16" t="e">
        <f>BP237+BP213</f>
        <v>#DIV/0!</v>
      </c>
      <c r="BQ239" s="16" t="e">
        <f>BQ237+BQ213</f>
        <v>#DIV/0!</v>
      </c>
      <c r="BR239" s="16" t="e">
        <f>BR237+BR213</f>
        <v>#DIV/0!</v>
      </c>
      <c r="BS239" s="16" t="e">
        <f>BS237+BS213</f>
        <v>#DIV/0!</v>
      </c>
      <c r="BT239" s="16" t="e">
        <f>BT237+BT213</f>
        <v>#DIV/0!</v>
      </c>
      <c r="BU239" s="16" t="e">
        <f>BU237+BU213</f>
        <v>#DIV/0!</v>
      </c>
      <c r="BV239" s="16" t="e">
        <f>BV237+BV213</f>
        <v>#DIV/0!</v>
      </c>
      <c r="BW239" s="16" t="e">
        <f>BW237+BW213</f>
        <v>#DIV/0!</v>
      </c>
      <c r="BX239" s="16" t="e">
        <f>BX237+BX213</f>
        <v>#DIV/0!</v>
      </c>
      <c r="BY239" s="16" t="e">
        <f>BY237+BY213</f>
        <v>#DIV/0!</v>
      </c>
      <c r="BZ239" s="16" t="e">
        <f>BZ237+BZ213</f>
        <v>#DIV/0!</v>
      </c>
      <c r="CA239" s="16" t="e">
        <f>CA237+CA213</f>
        <v>#DIV/0!</v>
      </c>
      <c r="CB239" s="16" t="e">
        <f>CB237+CB213</f>
        <v>#DIV/0!</v>
      </c>
      <c r="CC239" s="16" t="e">
        <f>CC237+CC213</f>
        <v>#DIV/0!</v>
      </c>
      <c r="CD239" s="16" t="e">
        <f>CD237+CD213</f>
        <v>#DIV/0!</v>
      </c>
      <c r="CE239" s="16" t="e">
        <f>CE237+CE213</f>
        <v>#DIV/0!</v>
      </c>
      <c r="CF239" s="16" t="e">
        <f>CF237+CF213</f>
        <v>#DIV/0!</v>
      </c>
      <c r="CG239" s="16" t="e">
        <f>CG237+CG213</f>
        <v>#DIV/0!</v>
      </c>
      <c r="CH239" s="16" t="e">
        <f>CH237+CH213</f>
        <v>#DIV/0!</v>
      </c>
      <c r="CI239" s="16" t="e">
        <f>CI237+CI213</f>
        <v>#DIV/0!</v>
      </c>
      <c r="CJ239" s="16" t="e">
        <f>CJ237+CJ213</f>
        <v>#DIV/0!</v>
      </c>
      <c r="CK239" s="16" t="e">
        <f>CK237+CK213</f>
        <v>#DIV/0!</v>
      </c>
      <c r="CL239" s="16" t="e">
        <f>CL237+CL213</f>
        <v>#DIV/0!</v>
      </c>
      <c r="CM239" s="16" t="e">
        <f>CM237+CM213</f>
        <v>#DIV/0!</v>
      </c>
      <c r="CN239" s="16" t="e">
        <f>CN237+CN213</f>
        <v>#DIV/0!</v>
      </c>
      <c r="CO239" s="16" t="e">
        <f>CO237+CO213</f>
        <v>#DIV/0!</v>
      </c>
      <c r="CP239" s="16" t="e">
        <f>CP237+CP213</f>
        <v>#DIV/0!</v>
      </c>
      <c r="CQ239" s="16" t="e">
        <f>CQ237+CQ213</f>
        <v>#DIV/0!</v>
      </c>
      <c r="CR239" s="16" t="e">
        <f>CR237+CR213</f>
        <v>#DIV/0!</v>
      </c>
      <c r="CS239" s="16" t="e">
        <f>CS237+CS213</f>
        <v>#DIV/0!</v>
      </c>
      <c r="CT239" s="16" t="e">
        <f>CT237+CT213</f>
        <v>#DIV/0!</v>
      </c>
      <c r="CU239" s="16" t="e">
        <f>CU237+CU213</f>
        <v>#DIV/0!</v>
      </c>
      <c r="CV239" s="16" t="e">
        <f>CV237+CV213</f>
        <v>#DIV/0!</v>
      </c>
      <c r="CW239" s="16" t="e">
        <f>CW237+CW213</f>
        <v>#DIV/0!</v>
      </c>
      <c r="CX239" s="16" t="e">
        <f>CX237+CX213</f>
        <v>#DIV/0!</v>
      </c>
      <c r="CY239" s="16" t="e">
        <f>CY237+CY213</f>
        <v>#DIV/0!</v>
      </c>
    </row>
    <row r="240">
      <c r="C240" s="5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  <c r="BB240" s="1" t="n"/>
      <c r="BC240" s="1" t="n"/>
      <c r="BD240" s="1" t="n"/>
      <c r="BE240" s="1" t="n"/>
      <c r="BF240" s="1" t="n"/>
      <c r="BG240" s="1" t="n"/>
      <c r="BH240" s="1" t="n"/>
      <c r="BI240" s="1" t="n"/>
      <c r="BJ240" s="1" t="n"/>
      <c r="BK240" s="1" t="n"/>
      <c r="BL240" s="1" t="n"/>
      <c r="BM240" s="1" t="n"/>
      <c r="BN240" s="1" t="n"/>
      <c r="BO240" s="1" t="n"/>
      <c r="BP240" s="1" t="n"/>
      <c r="BQ240" s="1" t="n"/>
      <c r="BR240" s="1" t="n"/>
      <c r="BS240" s="1" t="n"/>
      <c r="BT240" s="1" t="n"/>
      <c r="BU240" s="1" t="n"/>
      <c r="BV240" s="1" t="n"/>
      <c r="BW240" s="1" t="n"/>
      <c r="BX240" s="1" t="n"/>
      <c r="BY240" s="1" t="n"/>
      <c r="BZ240" s="1" t="n"/>
      <c r="CA240" s="1" t="n"/>
      <c r="CB240" s="1" t="n"/>
      <c r="CC240" s="1" t="n"/>
      <c r="CD240" s="1" t="n"/>
      <c r="CE240" s="1" t="n"/>
      <c r="CF240" s="1" t="n"/>
      <c r="CG240" s="1" t="n"/>
      <c r="CH240" s="1" t="n"/>
      <c r="CI240" s="1" t="n"/>
      <c r="CJ240" s="1" t="n"/>
      <c r="CK240" s="1" t="n"/>
      <c r="CL240" s="1" t="n"/>
      <c r="CM240" s="1" t="n"/>
      <c r="CN240" s="1" t="n"/>
      <c r="CO240" s="1" t="n"/>
      <c r="CP240" s="1" t="n"/>
      <c r="CQ240" s="1" t="n"/>
      <c r="CR240" s="1" t="n"/>
      <c r="CS240" s="1" t="n"/>
      <c r="CT240" s="1" t="n"/>
      <c r="CU240" s="1" t="n"/>
      <c r="CV240" s="1" t="n"/>
      <c r="CW240" s="1" t="n"/>
      <c r="CX240" s="1" t="n"/>
      <c r="CY240" s="1" t="n"/>
    </row>
    <row r="241" customFormat="1" s="17">
      <c r="A241" s="13" t="n"/>
      <c r="B241" s="13" t="n"/>
      <c r="C241" s="12" t="inlineStr">
        <is>
          <t>Cash Flow Statement</t>
        </is>
      </c>
      <c r="D241" s="232" t="str">
        <f>D108</f>
        <v>1Q20</v>
      </c>
      <c r="E241" s="232" t="str">
        <f>E108</f>
        <v>2Q20</v>
      </c>
      <c r="F241" s="232" t="str">
        <f>F108</f>
        <v>3Q20</v>
      </c>
      <c r="G241" s="232" t="str">
        <f>G108</f>
        <v>4Q20</v>
      </c>
      <c r="H241" s="232">
        <f>H108</f>
        <v>2020</v>
      </c>
      <c r="I241" s="232" t="str">
        <f>I108</f>
        <v>1Q21</v>
      </c>
      <c r="J241" s="232" t="str">
        <f>J108</f>
        <v>2Q21</v>
      </c>
      <c r="K241" s="232" t="str">
        <f>K108</f>
        <v>3Q21</v>
      </c>
      <c r="L241" s="232" t="str">
        <f>L108</f>
        <v>4Q21</v>
      </c>
      <c r="M241" s="232">
        <f>M108</f>
        <v>2021</v>
      </c>
      <c r="N241" s="232" t="str">
        <f>N108</f>
        <v>1Q22</v>
      </c>
      <c r="O241" s="232" t="str">
        <f>O108</f>
        <v>2Q22</v>
      </c>
      <c r="P241" s="232" t="str">
        <f>P108</f>
        <v>3Q22</v>
      </c>
      <c r="Q241" s="232" t="str">
        <f>Q108</f>
        <v>4Q22</v>
      </c>
      <c r="R241" s="232">
        <f>R108</f>
        <v>2022</v>
      </c>
      <c r="S241" s="232" t="str">
        <f>S108</f>
        <v>1Q23</v>
      </c>
      <c r="T241" s="232" t="str">
        <f>T108</f>
        <v>2Q23</v>
      </c>
      <c r="U241" s="232" t="str">
        <f>U108</f>
        <v>3Q23</v>
      </c>
      <c r="V241" s="232" t="str">
        <f>V108</f>
        <v>4Q23</v>
      </c>
      <c r="W241" s="232">
        <f>W108</f>
        <v>2023</v>
      </c>
      <c r="X241" s="232" t="str">
        <f>X108</f>
        <v>1Q24</v>
      </c>
      <c r="Y241" s="232" t="str">
        <f>Y108</f>
        <v>2Q24</v>
      </c>
      <c r="Z241" s="232" t="str">
        <f>Z108</f>
        <v>3Q24</v>
      </c>
      <c r="AA241" s="232" t="str">
        <f>AA108</f>
        <v>4Q24</v>
      </c>
      <c r="AB241" s="232">
        <f>AB108</f>
        <v>2024</v>
      </c>
      <c r="AC241" s="232" t="str">
        <f>AC108</f>
        <v>1Q25</v>
      </c>
      <c r="AD241" s="232" t="str">
        <f>AD108</f>
        <v>2Q25</v>
      </c>
      <c r="AE241" s="232" t="str">
        <f>AE108</f>
        <v>3Q25</v>
      </c>
      <c r="AF241" s="232" t="str">
        <f>AF108</f>
        <v>4Q25</v>
      </c>
      <c r="AG241" s="232">
        <f>AG108</f>
        <v>2025</v>
      </c>
      <c r="AH241" s="232" t="str">
        <f>AH108</f>
        <v>1Q26</v>
      </c>
      <c r="AI241" s="232" t="str">
        <f>AI108</f>
        <v>2Q26</v>
      </c>
      <c r="AJ241" s="232" t="str">
        <f>AJ108</f>
        <v>3Q26</v>
      </c>
      <c r="AK241" s="232" t="str">
        <f>AK108</f>
        <v>4Q26</v>
      </c>
      <c r="AL241" s="232">
        <f>AL108</f>
        <v>2026</v>
      </c>
      <c r="AM241" s="232" t="str">
        <f>AM108</f>
        <v>1Q27</v>
      </c>
      <c r="AN241" s="232" t="str">
        <f>AN108</f>
        <v>2Q27</v>
      </c>
      <c r="AO241" s="232" t="str">
        <f>AO108</f>
        <v>3Q27</v>
      </c>
      <c r="AP241" s="232" t="str">
        <f>AP108</f>
        <v>4Q27</v>
      </c>
      <c r="AQ241" s="232">
        <f>AQ108</f>
        <v>2027</v>
      </c>
      <c r="AR241" s="232" t="str">
        <f>AR108</f>
        <v>1Q28</v>
      </c>
      <c r="AS241" s="232" t="str">
        <f>AS108</f>
        <v>2Q28</v>
      </c>
      <c r="AT241" s="232" t="str">
        <f>AT108</f>
        <v>3Q28</v>
      </c>
      <c r="AU241" s="232" t="str">
        <f>AU108</f>
        <v>4Q28</v>
      </c>
      <c r="AV241" s="232">
        <f>AV108</f>
        <v>2028</v>
      </c>
      <c r="AW241" s="232" t="str">
        <f>AW108</f>
        <v>1Q29</v>
      </c>
      <c r="AX241" s="232" t="str">
        <f>AX108</f>
        <v>2Q29</v>
      </c>
      <c r="AY241" s="232" t="str">
        <f>AY108</f>
        <v>3Q29</v>
      </c>
      <c r="AZ241" s="232" t="str">
        <f>AZ108</f>
        <v>4Q29</v>
      </c>
      <c r="BA241" s="232">
        <f>BA108</f>
        <v>2029</v>
      </c>
      <c r="BB241" s="232" t="str">
        <f>BB108</f>
        <v>1Q30</v>
      </c>
      <c r="BC241" s="232" t="str">
        <f>BC108</f>
        <v>2Q30</v>
      </c>
      <c r="BD241" s="232" t="str">
        <f>BD108</f>
        <v>3Q30</v>
      </c>
      <c r="BE241" s="232" t="str">
        <f>BE108</f>
        <v>4Q30</v>
      </c>
      <c r="BF241" s="232">
        <f>BF108</f>
        <v>2030</v>
      </c>
      <c r="BG241" s="232" t="str">
        <f>BG108</f>
        <v>1Q31</v>
      </c>
      <c r="BH241" s="232" t="str">
        <f>BH108</f>
        <v>2Q31</v>
      </c>
      <c r="BI241" s="232" t="str">
        <f>BI108</f>
        <v>3Q31</v>
      </c>
      <c r="BJ241" s="232" t="str">
        <f>BJ108</f>
        <v>4Q31</v>
      </c>
      <c r="BK241" s="232">
        <f>BK108</f>
        <v>2031</v>
      </c>
      <c r="BL241" s="232" t="str">
        <f>BL108</f>
        <v>1Q32</v>
      </c>
      <c r="BM241" s="232" t="str">
        <f>BM108</f>
        <v>2Q32</v>
      </c>
      <c r="BN241" s="232" t="str">
        <f>BN108</f>
        <v>3Q32</v>
      </c>
      <c r="BO241" s="232" t="str">
        <f>BO108</f>
        <v>4Q32</v>
      </c>
      <c r="BP241" s="232">
        <f>BP108</f>
        <v>2032</v>
      </c>
      <c r="BQ241" s="232" t="str">
        <f>BQ108</f>
        <v>1Q33</v>
      </c>
      <c r="BR241" s="232" t="str">
        <f>BR108</f>
        <v>2Q33</v>
      </c>
      <c r="BS241" s="232" t="str">
        <f>BS108</f>
        <v>3Q33</v>
      </c>
      <c r="BT241" s="232" t="str">
        <f>BT108</f>
        <v>4Q33</v>
      </c>
      <c r="BU241" s="232">
        <f>BU108</f>
        <v>2033</v>
      </c>
      <c r="BV241" s="232" t="str">
        <f>BV108</f>
        <v>1Q34</v>
      </c>
      <c r="BW241" s="232" t="str">
        <f>BW108</f>
        <v>2Q34</v>
      </c>
      <c r="BX241" s="232" t="str">
        <f>BX108</f>
        <v>3Q34</v>
      </c>
      <c r="BY241" s="232" t="str">
        <f>BY108</f>
        <v>4Q34</v>
      </c>
      <c r="BZ241" s="232">
        <f>BZ108</f>
        <v>2034</v>
      </c>
      <c r="CA241" s="232" t="str">
        <f>CA108</f>
        <v>1Q35</v>
      </c>
      <c r="CB241" s="232" t="str">
        <f>CB108</f>
        <v>2Q35</v>
      </c>
      <c r="CC241" s="232" t="str">
        <f>CC108</f>
        <v>3Q35</v>
      </c>
      <c r="CD241" s="232" t="str">
        <f>CD108</f>
        <v>4Q35</v>
      </c>
      <c r="CE241" s="232">
        <f>CE108</f>
        <v>2035</v>
      </c>
      <c r="CF241" s="232" t="str">
        <f>CF108</f>
        <v>1Q36</v>
      </c>
      <c r="CG241" s="232" t="str">
        <f>CG108</f>
        <v>2Q36</v>
      </c>
      <c r="CH241" s="232" t="str">
        <f>CH108</f>
        <v>3Q36</v>
      </c>
      <c r="CI241" s="232" t="str">
        <f>CI108</f>
        <v>4Q36</v>
      </c>
      <c r="CJ241" s="232">
        <f>CJ108</f>
        <v>2036</v>
      </c>
      <c r="CK241" s="232" t="str">
        <f>CK108</f>
        <v>1Q37</v>
      </c>
      <c r="CL241" s="232" t="str">
        <f>CL108</f>
        <v>2Q37</v>
      </c>
      <c r="CM241" s="232" t="str">
        <f>CM108</f>
        <v>3Q37</v>
      </c>
      <c r="CN241" s="232" t="str">
        <f>CN108</f>
        <v>4Q37</v>
      </c>
      <c r="CO241" s="232">
        <f>CO108</f>
        <v>2037</v>
      </c>
      <c r="CP241" s="232" t="str">
        <f>CP108</f>
        <v>1Q38</v>
      </c>
      <c r="CQ241" s="232" t="str">
        <f>CQ108</f>
        <v>2Q38</v>
      </c>
      <c r="CR241" s="232" t="str">
        <f>CR108</f>
        <v>3Q38</v>
      </c>
      <c r="CS241" s="232" t="str">
        <f>CS108</f>
        <v>4Q38</v>
      </c>
      <c r="CT241" s="232">
        <f>CT108</f>
        <v>2038</v>
      </c>
      <c r="CU241" s="232" t="str">
        <f>CU108</f>
        <v>1Q39</v>
      </c>
      <c r="CV241" s="232" t="str">
        <f>CV108</f>
        <v>2Q39</v>
      </c>
      <c r="CW241" s="232" t="str">
        <f>CW108</f>
        <v>3Q39</v>
      </c>
      <c r="CX241" s="232" t="str">
        <f>CX108</f>
        <v>4Q39</v>
      </c>
      <c r="CY241" s="232">
        <f>CY108</f>
        <v>2039</v>
      </c>
    </row>
    <row r="242">
      <c r="C242" s="5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  <c r="BB242" s="1" t="n"/>
      <c r="BC242" s="1" t="n"/>
      <c r="BD242" s="1" t="n"/>
      <c r="BE242" s="1" t="n"/>
      <c r="BF242" s="1" t="n"/>
      <c r="BG242" s="1" t="n"/>
      <c r="BH242" s="1" t="n"/>
      <c r="BI242" s="1" t="n"/>
      <c r="BJ242" s="1" t="n"/>
      <c r="BK242" s="1" t="n"/>
      <c r="BL242" s="1" t="n"/>
      <c r="BM242" s="1" t="n"/>
      <c r="BN242" s="1" t="n"/>
      <c r="BO242" s="1" t="n"/>
      <c r="BP242" s="1" t="n"/>
      <c r="BQ242" s="1" t="n"/>
      <c r="BR242" s="1" t="n"/>
      <c r="BS242" s="1" t="n"/>
      <c r="BT242" s="1" t="n"/>
      <c r="BU242" s="1" t="n"/>
      <c r="BV242" s="1" t="n"/>
      <c r="BW242" s="1" t="n"/>
      <c r="BX242" s="1" t="n"/>
      <c r="BY242" s="1" t="n"/>
      <c r="BZ242" s="1" t="n"/>
      <c r="CA242" s="1" t="n"/>
      <c r="CB242" s="1" t="n"/>
      <c r="CC242" s="1" t="n"/>
      <c r="CD242" s="1" t="n"/>
      <c r="CE242" s="1" t="n"/>
      <c r="CF242" s="1" t="n"/>
      <c r="CG242" s="1" t="n"/>
      <c r="CH242" s="1" t="n"/>
      <c r="CI242" s="1" t="n"/>
      <c r="CJ242" s="1" t="n"/>
      <c r="CK242" s="1" t="n"/>
      <c r="CL242" s="1" t="n"/>
      <c r="CM242" s="1" t="n"/>
      <c r="CN242" s="1" t="n"/>
      <c r="CO242" s="1" t="n"/>
      <c r="CP242" s="1" t="n"/>
      <c r="CQ242" s="1" t="n"/>
      <c r="CR242" s="1" t="n"/>
      <c r="CS242" s="1" t="n"/>
      <c r="CT242" s="1" t="n"/>
      <c r="CU242" s="1" t="n"/>
      <c r="CV242" s="1" t="n"/>
      <c r="CW242" s="1" t="n"/>
      <c r="CX242" s="1" t="n"/>
      <c r="CY242" s="1" t="n"/>
    </row>
    <row r="243">
      <c r="C243" s="29" t="inlineStr">
        <is>
          <t>Net Income</t>
        </is>
      </c>
      <c r="D243" s="3" t="n"/>
      <c r="E243" s="3">
        <f>E103</f>
        <v>622</v>
      </c>
      <c r="F243" s="3">
        <f>F103</f>
        <v>1336</v>
      </c>
      <c r="G243" s="3">
        <f>G103</f>
        <v>1457</v>
      </c>
      <c r="H243" s="3">
        <f>SUM(D243:G243)</f>
        <v>3415</v>
      </c>
      <c r="I243" s="3">
        <f>I103</f>
        <v>1912</v>
      </c>
      <c r="J243" s="3">
        <f>J103</f>
        <v>2374</v>
      </c>
      <c r="K243" s="3">
        <f>K103</f>
        <v>2464</v>
      </c>
      <c r="L243" s="3">
        <f>L103</f>
        <v>3002</v>
      </c>
      <c r="M243" s="3">
        <f>SUM(I243:L243)</f>
        <v>9752</v>
      </c>
      <c r="N243" s="3">
        <f>N103</f>
        <v>1618</v>
      </c>
      <c r="O243" s="3">
        <f>O103</f>
        <v>656</v>
      </c>
      <c r="P243" s="3">
        <f>P103</f>
        <v>680</v>
      </c>
      <c r="Q243" s="3">
        <f>Q103</f>
        <v>1414</v>
      </c>
      <c r="R243" s="3">
        <f>SUM(N243:Q243)</f>
        <v>4368</v>
      </c>
      <c r="S243" s="3">
        <f>S103</f>
        <v>2043</v>
      </c>
      <c r="T243" s="3">
        <f>T103</f>
        <v>6188</v>
      </c>
      <c r="U243" s="3">
        <f>U103</f>
        <v>9243</v>
      </c>
      <c r="V243" s="3">
        <f>V103</f>
        <v>12286</v>
      </c>
      <c r="W243" s="3">
        <f>SUM(S243:V243)</f>
        <v>29760</v>
      </c>
      <c r="X243" s="3">
        <f>X103</f>
        <v>14881</v>
      </c>
      <c r="Y243" s="3">
        <f>Y103</f>
        <v>16599</v>
      </c>
      <c r="Z243" s="3">
        <f>Z103</f>
        <v>19309</v>
      </c>
      <c r="AA243" s="3">
        <f>AA103</f>
        <v>22091</v>
      </c>
      <c r="AB243" s="3">
        <f>SUM(X243:AA243)</f>
        <v>72880</v>
      </c>
      <c r="AC243" s="3">
        <f>AC103</f>
        <v>18775</v>
      </c>
      <c r="AD243" s="3">
        <f>AD103</f>
        <v>26422</v>
      </c>
      <c r="AE243" s="3">
        <f>AE103</f>
        <v>31910</v>
      </c>
      <c r="AF243" s="3">
        <f>AF103</f>
        <v>42960</v>
      </c>
      <c r="AG243" s="3">
        <f>SUM(AC243:AF243)</f>
        <v>120067</v>
      </c>
      <c r="AH243" s="3">
        <f>AH103</f>
        <v>6172</v>
      </c>
      <c r="AI243" s="3">
        <f>AI103</f>
        <v>11322</v>
      </c>
      <c r="AJ243" s="3">
        <f>AJ103</f>
        <v>6172</v>
      </c>
      <c r="AK243" s="3">
        <f>AK103</f>
        <v>11322</v>
      </c>
      <c r="AL243" s="3">
        <f>SUM(AH243:AK243)</f>
        <v>34988</v>
      </c>
      <c r="AM243" s="3">
        <f>AM103</f>
        <v>11322</v>
      </c>
      <c r="AN243" s="3">
        <f>AN103</f>
        <v>34988</v>
      </c>
      <c r="AO243" s="3">
        <f>AO103</f>
        <v>11322</v>
      </c>
      <c r="AP243" s="3">
        <f>AP103</f>
        <v>34988</v>
      </c>
      <c r="AQ243" s="3">
        <f>SUM(AM243:AP243)</f>
        <v>92620</v>
      </c>
      <c r="AR243" s="3">
        <f>AR103</f>
        <v>34988</v>
      </c>
      <c r="AS243" s="3">
        <f>AS103</f>
        <v>92620</v>
      </c>
      <c r="AT243" s="3">
        <f>AT103</f>
        <v>34988</v>
      </c>
      <c r="AU243" s="3">
        <f>AU103</f>
        <v>92620</v>
      </c>
      <c r="AV243" s="3">
        <f>SUM(AR243:AU243)</f>
        <v>255216</v>
      </c>
      <c r="AW243" s="3">
        <f>AW103</f>
        <v>92620</v>
      </c>
      <c r="AX243" s="3">
        <f>AX103</f>
        <v>255216</v>
      </c>
      <c r="AY243" s="3">
        <f>AY103</f>
        <v>92620</v>
      </c>
      <c r="AZ243" s="3">
        <f>AZ103</f>
        <v>255216</v>
      </c>
      <c r="BA243" s="3">
        <f>SUM(AW243:AZ243)</f>
        <v>695672</v>
      </c>
      <c r="BB243" s="3">
        <f>BB103</f>
        <v>255216</v>
      </c>
      <c r="BC243" s="3">
        <f>BC103</f>
        <v>695672</v>
      </c>
      <c r="BD243" s="3">
        <f>BD103</f>
        <v>255216</v>
      </c>
      <c r="BE243" s="3">
        <f>BE103</f>
        <v>695672</v>
      </c>
      <c r="BF243" s="3">
        <f>SUM(BB243:BE243)</f>
        <v>1901776</v>
      </c>
      <c r="BG243" s="3">
        <f>BG103</f>
        <v>695672</v>
      </c>
      <c r="BH243" s="3">
        <f>BH103</f>
        <v>1901776</v>
      </c>
      <c r="BI243" s="3">
        <f>BI103</f>
        <v>695672</v>
      </c>
      <c r="BJ243" s="3">
        <f>BJ103</f>
        <v>1901776</v>
      </c>
      <c r="BK243" s="3">
        <f>SUM(BG243:BJ243)</f>
        <v>5194896</v>
      </c>
      <c r="BL243" s="3">
        <f>BL103</f>
        <v>1901776</v>
      </c>
      <c r="BM243" s="3">
        <f>BM103</f>
        <v>5194896</v>
      </c>
      <c r="BN243" s="3">
        <f>BN103</f>
        <v>1901776</v>
      </c>
      <c r="BO243" s="3">
        <f>BO103</f>
        <v>5194896</v>
      </c>
      <c r="BP243" s="3">
        <f>SUM(BL243:BO243)</f>
        <v>14193344</v>
      </c>
      <c r="BQ243" s="3">
        <f>BQ103</f>
        <v>5194896</v>
      </c>
      <c r="BR243" s="3">
        <f>BR103</f>
        <v>14193344</v>
      </c>
      <c r="BS243" s="3">
        <f>BS103</f>
        <v>5194896</v>
      </c>
      <c r="BT243" s="3">
        <f>BT103</f>
        <v>14193344</v>
      </c>
      <c r="BU243" s="3">
        <f>SUM(BQ243:BT243)</f>
        <v>38776480</v>
      </c>
      <c r="BV243" s="3">
        <f>BV103</f>
        <v>14193344</v>
      </c>
      <c r="BW243" s="3">
        <f>BW103</f>
        <v>38776480</v>
      </c>
      <c r="BX243" s="3">
        <f>BX103</f>
        <v>14193344</v>
      </c>
      <c r="BY243" s="3">
        <f>BY103</f>
        <v>38776480</v>
      </c>
      <c r="BZ243" s="3">
        <f>SUM(BV243:BY243)</f>
        <v>105939648</v>
      </c>
      <c r="CA243" s="3">
        <f>CA103</f>
        <v>38776480</v>
      </c>
      <c r="CB243" s="3">
        <f>CB103</f>
        <v>105939648</v>
      </c>
      <c r="CC243" s="3">
        <f>CC103</f>
        <v>38776480</v>
      </c>
      <c r="CD243" s="3">
        <f>CD103</f>
        <v>105939648</v>
      </c>
      <c r="CE243" s="3">
        <f>SUM(CA243:CD243)</f>
        <v>289432256</v>
      </c>
      <c r="CF243" s="3">
        <f>CF103</f>
        <v>105939648</v>
      </c>
      <c r="CG243" s="3">
        <f>CG103</f>
        <v>289432256</v>
      </c>
      <c r="CH243" s="3">
        <f>CH103</f>
        <v>105939648</v>
      </c>
      <c r="CI243" s="3">
        <f>CI103</f>
        <v>289432256</v>
      </c>
      <c r="CJ243" s="3">
        <f>SUM(CF243:CI243)</f>
        <v>790743808</v>
      </c>
      <c r="CK243" s="3">
        <f>CK103</f>
        <v>289432256</v>
      </c>
      <c r="CL243" s="3">
        <f>CL103</f>
        <v>790743808</v>
      </c>
      <c r="CM243" s="3">
        <f>CM103</f>
        <v>289432256</v>
      </c>
      <c r="CN243" s="3">
        <f>CN103</f>
        <v>790743808</v>
      </c>
      <c r="CO243" s="3">
        <f>SUM(CK243:CN243)</f>
        <v>2160352128</v>
      </c>
      <c r="CP243" s="3">
        <f>CP103</f>
        <v>790743808</v>
      </c>
      <c r="CQ243" s="3">
        <f>CQ103</f>
        <v>2160352128</v>
      </c>
      <c r="CR243" s="3">
        <f>CR103</f>
        <v>790743808</v>
      </c>
      <c r="CS243" s="3">
        <f>CS103</f>
        <v>2160352128</v>
      </c>
      <c r="CT243" s="3">
        <f>SUM(CP243:CS243)</f>
        <v>5902191872</v>
      </c>
      <c r="CU243" s="3">
        <f>CU103</f>
        <v>2160352128</v>
      </c>
      <c r="CV243" s="3">
        <f>CV103</f>
        <v>5902191872</v>
      </c>
      <c r="CW243" s="3">
        <f>CW103</f>
        <v>2160352128</v>
      </c>
      <c r="CX243" s="3">
        <f>CX103</f>
        <v>5902191872</v>
      </c>
      <c r="CY243" s="3">
        <f>SUM(CU243:CX243)</f>
        <v>16125088000</v>
      </c>
    </row>
    <row r="244">
      <c r="C244" s="29" t="inlineStr">
        <is>
          <t>Depreciation &amp; amortization</t>
        </is>
      </c>
      <c r="D244" s="3" t="n"/>
      <c r="E244" s="3">
        <f>-E36</f>
        <v>404</v>
      </c>
      <c r="F244" s="3">
        <f>-F36</f>
        <v>299</v>
      </c>
      <c r="G244" s="3">
        <f>-G36</f>
        <v>288</v>
      </c>
      <c r="H244" s="3">
        <f>SUM(D244:G244)</f>
        <v>991</v>
      </c>
      <c r="I244" s="3">
        <f>-I36</f>
        <v>281</v>
      </c>
      <c r="J244" s="3">
        <f>-J36</f>
        <v>286</v>
      </c>
      <c r="K244" s="3">
        <f>-K36</f>
        <v>298</v>
      </c>
      <c r="L244" s="3">
        <f>-L36</f>
        <v>309</v>
      </c>
      <c r="M244" s="3">
        <f>SUM(I244:L244)</f>
        <v>1174</v>
      </c>
      <c r="N244" s="3">
        <f>-N36</f>
        <v>334</v>
      </c>
      <c r="O244" s="3">
        <f>-O36</f>
        <v>378</v>
      </c>
      <c r="P244" s="3">
        <f>-P36</f>
        <v>406</v>
      </c>
      <c r="Q244" s="3">
        <f>-Q36</f>
        <v>426</v>
      </c>
      <c r="R244" s="3">
        <f>SUM(N244:Q244)</f>
        <v>1544</v>
      </c>
      <c r="S244" s="3">
        <f>-S36</f>
        <v>384</v>
      </c>
      <c r="T244" s="3">
        <f>-T36</f>
        <v>365</v>
      </c>
      <c r="U244" s="3">
        <f>-U36</f>
        <v>372</v>
      </c>
      <c r="V244" s="3">
        <f>-V36</f>
        <v>387</v>
      </c>
      <c r="W244" s="3">
        <f>SUM(S244:V244)</f>
        <v>1508</v>
      </c>
      <c r="X244" s="3">
        <f>-X36</f>
        <v>410</v>
      </c>
      <c r="Y244" s="3">
        <f>-Y36</f>
        <v>433</v>
      </c>
      <c r="Z244" s="3">
        <f>-Z36</f>
        <v>478</v>
      </c>
      <c r="AA244" s="3">
        <f>-AA36</f>
        <v>543</v>
      </c>
      <c r="AB244" s="3">
        <f>SUM(X244:AA244)</f>
        <v>1864</v>
      </c>
      <c r="AC244" s="3">
        <f>-AC36</f>
        <v>611</v>
      </c>
      <c r="AD244" s="3">
        <f>-AD36</f>
        <v>669</v>
      </c>
      <c r="AE244" s="3">
        <f>-AE36</f>
        <v>751</v>
      </c>
      <c r="AF244" s="3">
        <f>-AF36</f>
        <v>812</v>
      </c>
      <c r="AG244" s="3">
        <f>SUM(AC244:AF244)</f>
        <v>2843</v>
      </c>
      <c r="AH244" s="3">
        <f>-AH36</f>
        <v>0</v>
      </c>
      <c r="AI244" s="3">
        <f>-AI36</f>
        <v>0</v>
      </c>
      <c r="AJ244" s="3">
        <f>-AJ36</f>
        <v>0</v>
      </c>
      <c r="AK244" s="3">
        <f>-AK36</f>
        <v>0</v>
      </c>
      <c r="AL244" s="3">
        <f>SUM(AH244:AK244)</f>
        <v>0</v>
      </c>
      <c r="AM244" s="3">
        <f>-AM36</f>
        <v>0</v>
      </c>
      <c r="AN244" s="3">
        <f>-AN36</f>
        <v>0</v>
      </c>
      <c r="AO244" s="3">
        <f>-AO36</f>
        <v>0</v>
      </c>
      <c r="AP244" s="3">
        <f>-AP36</f>
        <v>0</v>
      </c>
      <c r="AQ244" s="3">
        <f>SUM(AM244:AP244)</f>
        <v>0</v>
      </c>
      <c r="AR244" s="3">
        <f>-AR36</f>
        <v>0</v>
      </c>
      <c r="AS244" s="3">
        <f>-AS36</f>
        <v>0</v>
      </c>
      <c r="AT244" s="3">
        <f>-AT36</f>
        <v>0</v>
      </c>
      <c r="AU244" s="3">
        <f>-AU36</f>
        <v>0</v>
      </c>
      <c r="AV244" s="3">
        <f>SUM(AR244:AU244)</f>
        <v>0</v>
      </c>
      <c r="AW244" s="3">
        <f>-AW36</f>
        <v>0</v>
      </c>
      <c r="AX244" s="3">
        <f>-AX36</f>
        <v>0</v>
      </c>
      <c r="AY244" s="3">
        <f>-AY36</f>
        <v>0</v>
      </c>
      <c r="AZ244" s="3">
        <f>-AZ36</f>
        <v>0</v>
      </c>
      <c r="BA244" s="3">
        <f>SUM(AW244:AZ244)</f>
        <v>0</v>
      </c>
      <c r="BB244" s="3">
        <f>-BB36</f>
        <v>0</v>
      </c>
      <c r="BC244" s="3">
        <f>-BC36</f>
        <v>0</v>
      </c>
      <c r="BD244" s="3">
        <f>-BD36</f>
        <v>0</v>
      </c>
      <c r="BE244" s="3">
        <f>-BE36</f>
        <v>0</v>
      </c>
      <c r="BF244" s="3">
        <f>SUM(BB244:BE244)</f>
        <v>0</v>
      </c>
      <c r="BG244" s="3">
        <f>-BG36</f>
        <v>0</v>
      </c>
      <c r="BH244" s="3">
        <f>-BH36</f>
        <v>0</v>
      </c>
      <c r="BI244" s="3">
        <f>-BI36</f>
        <v>0</v>
      </c>
      <c r="BJ244" s="3">
        <f>-BJ36</f>
        <v>0</v>
      </c>
      <c r="BK244" s="3">
        <f>SUM(BG244:BJ244)</f>
        <v>0</v>
      </c>
      <c r="BL244" s="3">
        <f>-BL36</f>
        <v>0</v>
      </c>
      <c r="BM244" s="3">
        <f>-BM36</f>
        <v>0</v>
      </c>
      <c r="BN244" s="3">
        <f>-BN36</f>
        <v>0</v>
      </c>
      <c r="BO244" s="3">
        <f>-BO36</f>
        <v>0</v>
      </c>
      <c r="BP244" s="3">
        <f>SUM(BL244:BO244)</f>
        <v>0</v>
      </c>
      <c r="BQ244" s="3">
        <f>-BQ36</f>
        <v>0</v>
      </c>
      <c r="BR244" s="3">
        <f>-BR36</f>
        <v>0</v>
      </c>
      <c r="BS244" s="3">
        <f>-BS36</f>
        <v>0</v>
      </c>
      <c r="BT244" s="3">
        <f>-BT36</f>
        <v>0</v>
      </c>
      <c r="BU244" s="3">
        <f>SUM(BQ244:BT244)</f>
        <v>0</v>
      </c>
      <c r="BV244" s="3">
        <f>-BV36</f>
        <v>0</v>
      </c>
      <c r="BW244" s="3">
        <f>-BW36</f>
        <v>0</v>
      </c>
      <c r="BX244" s="3">
        <f>-BX36</f>
        <v>0</v>
      </c>
      <c r="BY244" s="3">
        <f>-BY36</f>
        <v>0</v>
      </c>
      <c r="BZ244" s="3">
        <f>SUM(BV244:BY244)</f>
        <v>0</v>
      </c>
      <c r="CA244" s="3">
        <f>-CA36</f>
        <v>0</v>
      </c>
      <c r="CB244" s="3">
        <f>-CB36</f>
        <v>0</v>
      </c>
      <c r="CC244" s="3">
        <f>-CC36</f>
        <v>0</v>
      </c>
      <c r="CD244" s="3">
        <f>-CD36</f>
        <v>0</v>
      </c>
      <c r="CE244" s="3">
        <f>SUM(CA244:CD244)</f>
        <v>0</v>
      </c>
      <c r="CF244" s="3">
        <f>-CF36</f>
        <v>0</v>
      </c>
      <c r="CG244" s="3">
        <f>-CG36</f>
        <v>0</v>
      </c>
      <c r="CH244" s="3">
        <f>-CH36</f>
        <v>0</v>
      </c>
      <c r="CI244" s="3">
        <f>-CI36</f>
        <v>0</v>
      </c>
      <c r="CJ244" s="3">
        <f>SUM(CF244:CI244)</f>
        <v>0</v>
      </c>
      <c r="CK244" s="3">
        <f>-CK36</f>
        <v>0</v>
      </c>
      <c r="CL244" s="3">
        <f>-CL36</f>
        <v>0</v>
      </c>
      <c r="CM244" s="3">
        <f>-CM36</f>
        <v>0</v>
      </c>
      <c r="CN244" s="3">
        <f>-CN36</f>
        <v>0</v>
      </c>
      <c r="CO244" s="3">
        <f>SUM(CK244:CN244)</f>
        <v>0</v>
      </c>
      <c r="CP244" s="3">
        <f>-CP36</f>
        <v>0</v>
      </c>
      <c r="CQ244" s="3">
        <f>-CQ36</f>
        <v>0</v>
      </c>
      <c r="CR244" s="3">
        <f>-CR36</f>
        <v>0</v>
      </c>
      <c r="CS244" s="3">
        <f>-CS36</f>
        <v>0</v>
      </c>
      <c r="CT244" s="3">
        <f>SUM(CP244:CS244)</f>
        <v>0</v>
      </c>
      <c r="CU244" s="3">
        <f>-CU36</f>
        <v>0</v>
      </c>
      <c r="CV244" s="3">
        <f>-CV36</f>
        <v>0</v>
      </c>
      <c r="CW244" s="3">
        <f>-CW36</f>
        <v>0</v>
      </c>
      <c r="CX244" s="3">
        <f>-CX36</f>
        <v>0</v>
      </c>
      <c r="CY244" s="3">
        <f>SUM(CU244:CX244)</f>
        <v>0</v>
      </c>
    </row>
    <row r="245">
      <c r="C245" s="29" t="inlineStr">
        <is>
          <t xml:space="preserve">Changes in working capital </t>
        </is>
      </c>
      <c r="D245" s="3" t="n"/>
      <c r="E245" s="3">
        <f>SUM(E246:E255)</f>
        <v>158</v>
      </c>
      <c r="F245" s="3">
        <f>SUM(F246:F255)</f>
        <v>-337</v>
      </c>
      <c r="G245" s="3">
        <f>SUM(G246:G255)</f>
        <v>-147</v>
      </c>
      <c r="H245" s="3">
        <f>SUM(D245:G245)</f>
        <v>-326</v>
      </c>
      <c r="I245" s="3">
        <f>SUM(I246:I255)</f>
        <v>-880</v>
      </c>
      <c r="J245" s="3">
        <f>SUM(J246:J255)</f>
        <v>-431</v>
      </c>
      <c r="K245" s="3">
        <f>SUM(K246:K255)</f>
        <v>-216</v>
      </c>
      <c r="L245" s="3">
        <f>SUM(L246:L255)</f>
        <v>-626</v>
      </c>
      <c r="M245" s="3">
        <f>SUM(I245:L245)</f>
        <v>-2153</v>
      </c>
      <c r="N245" s="3">
        <f>SUM(N246:N255)</f>
        <v>-942</v>
      </c>
      <c r="O245" s="3">
        <f>SUM(O246:O255)</f>
        <v>-826</v>
      </c>
      <c r="P245" s="3">
        <f>SUM(P246:P255)</f>
        <v>-971</v>
      </c>
      <c r="Q245" s="3">
        <f>SUM(Q246:Q255)</f>
        <v>-643</v>
      </c>
      <c r="R245" s="3">
        <f>SUM(N245:Q245)</f>
        <v>-3382</v>
      </c>
      <c r="S245" s="3">
        <f>SUM(S246:S255)</f>
        <v>-229</v>
      </c>
      <c r="T245" s="3">
        <f>SUM(T246:T255)</f>
        <v>-904</v>
      </c>
      <c r="U245" s="3">
        <f>SUM(U246:U255)</f>
        <v>-3391</v>
      </c>
      <c r="V245" s="3">
        <f>SUM(V246:V255)</f>
        <v>-2514</v>
      </c>
      <c r="W245" s="3">
        <f>SUM(S245:V245)</f>
        <v>-7038</v>
      </c>
      <c r="X245" s="3">
        <f>SUM(X246:X255)</f>
        <v>-952</v>
      </c>
      <c r="Y245" s="3">
        <f>SUM(Y246:Y255)</f>
        <v>-4216</v>
      </c>
      <c r="Z245" s="3">
        <f>SUM(Z246:Z255)</f>
        <v>-2438</v>
      </c>
      <c r="AA245" s="3">
        <f>SUM(AA246:AA255)</f>
        <v>-6817</v>
      </c>
      <c r="AB245" s="3">
        <f>SUM(X245:AA245)</f>
        <v>-14423</v>
      </c>
      <c r="AC245" s="3">
        <f>SUM(AC246:AC255)</f>
        <v>7012</v>
      </c>
      <c r="AD245" s="3">
        <f>SUM(AD246:AD255)</f>
        <v>-11453</v>
      </c>
      <c r="AE245" s="3">
        <f>SUM(AE246:AE255)</f>
        <v>-9511</v>
      </c>
      <c r="AF245" s="3">
        <f>SUM(AF246:AF255)</f>
        <v>-539</v>
      </c>
      <c r="AG245" s="3">
        <f>SUM(AC245:AF245)</f>
        <v>-14491</v>
      </c>
      <c r="AH245" s="3">
        <f>SUM(AH246:AH255)</f>
        <v>29077</v>
      </c>
      <c r="AI245" s="3">
        <f>SUM(AI246:AI255)</f>
        <v>0</v>
      </c>
      <c r="AJ245" s="3" t="e">
        <f>SUM(AJ246:AJ255)</f>
        <v>#DIV/0!</v>
      </c>
      <c r="AK245" s="3" t="e">
        <f>SUM(AK246:AK255)</f>
        <v>#DIV/0!</v>
      </c>
      <c r="AL245" s="3" t="e">
        <f>SUM(AH245:AK245)</f>
        <v>#DIV/0!</v>
      </c>
      <c r="AM245" s="3" t="e">
        <f>SUM(AM246:AM255)</f>
        <v>#DIV/0!</v>
      </c>
      <c r="AN245" s="3" t="e">
        <f>SUM(AN246:AN255)</f>
        <v>#DIV/0!</v>
      </c>
      <c r="AO245" s="3" t="e">
        <f>SUM(AO246:AO255)</f>
        <v>#DIV/0!</v>
      </c>
      <c r="AP245" s="3" t="e">
        <f>SUM(AP246:AP255)</f>
        <v>#DIV/0!</v>
      </c>
      <c r="AQ245" s="3" t="e">
        <f>SUM(AM245:AP245)</f>
        <v>#DIV/0!</v>
      </c>
      <c r="AR245" s="3" t="e">
        <f>SUM(AR246:AR255)</f>
        <v>#DIV/0!</v>
      </c>
      <c r="AS245" s="3" t="e">
        <f>SUM(AS246:AS255)</f>
        <v>#DIV/0!</v>
      </c>
      <c r="AT245" s="3" t="e">
        <f>SUM(AT246:AT255)</f>
        <v>#DIV/0!</v>
      </c>
      <c r="AU245" s="3" t="e">
        <f>SUM(AU246:AU255)</f>
        <v>#DIV/0!</v>
      </c>
      <c r="AV245" s="3" t="e">
        <f>SUM(AR245:AU245)</f>
        <v>#DIV/0!</v>
      </c>
      <c r="AW245" s="3" t="e">
        <f>SUM(AW246:AW255)</f>
        <v>#DIV/0!</v>
      </c>
      <c r="AX245" s="3" t="e">
        <f>SUM(AX246:AX255)</f>
        <v>#DIV/0!</v>
      </c>
      <c r="AY245" s="3" t="e">
        <f>SUM(AY246:AY255)</f>
        <v>#DIV/0!</v>
      </c>
      <c r="AZ245" s="3" t="e">
        <f>SUM(AZ246:AZ255)</f>
        <v>#DIV/0!</v>
      </c>
      <c r="BA245" s="3" t="e">
        <f>SUM(AW245:AZ245)</f>
        <v>#DIV/0!</v>
      </c>
      <c r="BB245" s="3" t="e">
        <f>SUM(BB246:BB255)</f>
        <v>#DIV/0!</v>
      </c>
      <c r="BC245" s="3" t="e">
        <f>SUM(BC246:BC255)</f>
        <v>#DIV/0!</v>
      </c>
      <c r="BD245" s="3" t="e">
        <f>SUM(BD246:BD255)</f>
        <v>#DIV/0!</v>
      </c>
      <c r="BE245" s="3" t="e">
        <f>SUM(BE246:BE255)</f>
        <v>#DIV/0!</v>
      </c>
      <c r="BF245" s="3" t="e">
        <f>SUM(BB245:BE245)</f>
        <v>#DIV/0!</v>
      </c>
      <c r="BG245" s="3" t="e">
        <f>SUM(BG246:BG255)</f>
        <v>#DIV/0!</v>
      </c>
      <c r="BH245" s="3" t="e">
        <f>SUM(BH246:BH255)</f>
        <v>#DIV/0!</v>
      </c>
      <c r="BI245" s="3" t="e">
        <f>SUM(BI246:BI255)</f>
        <v>#DIV/0!</v>
      </c>
      <c r="BJ245" s="3" t="e">
        <f>SUM(BJ246:BJ255)</f>
        <v>#DIV/0!</v>
      </c>
      <c r="BK245" s="3" t="e">
        <f>SUM(BG245:BJ245)</f>
        <v>#DIV/0!</v>
      </c>
      <c r="BL245" s="3" t="e">
        <f>SUM(BL246:BL255)</f>
        <v>#DIV/0!</v>
      </c>
      <c r="BM245" s="3" t="e">
        <f>SUM(BM246:BM255)</f>
        <v>#DIV/0!</v>
      </c>
      <c r="BN245" s="3" t="e">
        <f>SUM(BN246:BN255)</f>
        <v>#DIV/0!</v>
      </c>
      <c r="BO245" s="3" t="e">
        <f>SUM(BO246:BO255)</f>
        <v>#DIV/0!</v>
      </c>
      <c r="BP245" s="3" t="e">
        <f>SUM(BL245:BO245)</f>
        <v>#DIV/0!</v>
      </c>
      <c r="BQ245" s="3" t="e">
        <f>SUM(BQ246:BQ255)</f>
        <v>#DIV/0!</v>
      </c>
      <c r="BR245" s="3" t="e">
        <f>SUM(BR246:BR255)</f>
        <v>#DIV/0!</v>
      </c>
      <c r="BS245" s="3" t="e">
        <f>SUM(BS246:BS255)</f>
        <v>#DIV/0!</v>
      </c>
      <c r="BT245" s="3" t="e">
        <f>SUM(BT246:BT255)</f>
        <v>#DIV/0!</v>
      </c>
      <c r="BU245" s="3" t="e">
        <f>SUM(BQ245:BT245)</f>
        <v>#DIV/0!</v>
      </c>
      <c r="BV245" s="3" t="e">
        <f>SUM(BV246:BV255)</f>
        <v>#DIV/0!</v>
      </c>
      <c r="BW245" s="3" t="e">
        <f>SUM(BW246:BW255)</f>
        <v>#DIV/0!</v>
      </c>
      <c r="BX245" s="3" t="e">
        <f>SUM(BX246:BX255)</f>
        <v>#DIV/0!</v>
      </c>
      <c r="BY245" s="3" t="e">
        <f>SUM(BY246:BY255)</f>
        <v>#DIV/0!</v>
      </c>
      <c r="BZ245" s="3" t="e">
        <f>SUM(BV245:BY245)</f>
        <v>#DIV/0!</v>
      </c>
      <c r="CA245" s="3" t="e">
        <f>SUM(CA246:CA255)</f>
        <v>#DIV/0!</v>
      </c>
      <c r="CB245" s="3" t="e">
        <f>SUM(CB246:CB255)</f>
        <v>#DIV/0!</v>
      </c>
      <c r="CC245" s="3" t="e">
        <f>SUM(CC246:CC255)</f>
        <v>#DIV/0!</v>
      </c>
      <c r="CD245" s="3" t="e">
        <f>SUM(CD246:CD255)</f>
        <v>#DIV/0!</v>
      </c>
      <c r="CE245" s="3" t="e">
        <f>SUM(CA245:CD245)</f>
        <v>#DIV/0!</v>
      </c>
      <c r="CF245" s="3" t="e">
        <f>SUM(CF246:CF255)</f>
        <v>#DIV/0!</v>
      </c>
      <c r="CG245" s="3" t="e">
        <f>SUM(CG246:CG255)</f>
        <v>#DIV/0!</v>
      </c>
      <c r="CH245" s="3" t="e">
        <f>SUM(CH246:CH255)</f>
        <v>#DIV/0!</v>
      </c>
      <c r="CI245" s="3" t="e">
        <f>SUM(CI246:CI255)</f>
        <v>#DIV/0!</v>
      </c>
      <c r="CJ245" s="3" t="e">
        <f>SUM(CF245:CI245)</f>
        <v>#DIV/0!</v>
      </c>
      <c r="CK245" s="3" t="e">
        <f>SUM(CK246:CK255)</f>
        <v>#DIV/0!</v>
      </c>
      <c r="CL245" s="3" t="e">
        <f>SUM(CL246:CL255)</f>
        <v>#DIV/0!</v>
      </c>
      <c r="CM245" s="3" t="e">
        <f>SUM(CM246:CM255)</f>
        <v>#DIV/0!</v>
      </c>
      <c r="CN245" s="3" t="e">
        <f>SUM(CN246:CN255)</f>
        <v>#DIV/0!</v>
      </c>
      <c r="CO245" s="3" t="e">
        <f>SUM(CK245:CN245)</f>
        <v>#DIV/0!</v>
      </c>
      <c r="CP245" s="3" t="e">
        <f>SUM(CP246:CP255)</f>
        <v>#DIV/0!</v>
      </c>
      <c r="CQ245" s="3" t="e">
        <f>SUM(CQ246:CQ255)</f>
        <v>#DIV/0!</v>
      </c>
      <c r="CR245" s="3" t="e">
        <f>SUM(CR246:CR255)</f>
        <v>#DIV/0!</v>
      </c>
      <c r="CS245" s="3" t="e">
        <f>SUM(CS246:CS255)</f>
        <v>#DIV/0!</v>
      </c>
      <c r="CT245" s="3" t="e">
        <f>SUM(CP245:CS245)</f>
        <v>#DIV/0!</v>
      </c>
      <c r="CU245" s="3" t="e">
        <f>SUM(CU246:CU255)</f>
        <v>#DIV/0!</v>
      </c>
      <c r="CV245" s="3" t="e">
        <f>SUM(CV246:CV255)</f>
        <v>#DIV/0!</v>
      </c>
      <c r="CW245" s="3" t="e">
        <f>SUM(CW246:CW255)</f>
        <v>#DIV/0!</v>
      </c>
      <c r="CX245" s="3" t="e">
        <f>SUM(CX246:CX255)</f>
        <v>#DIV/0!</v>
      </c>
      <c r="CY245" s="3" t="e">
        <f>SUM(CU245:CX245)</f>
        <v>#DIV/0!</v>
      </c>
    </row>
    <row r="246" hidden="1" outlineLevel="1">
      <c r="C246" s="29" t="inlineStr">
        <is>
          <t>Accounts receivable</t>
        </is>
      </c>
      <c r="D246" s="3" t="n"/>
      <c r="E246" s="3">
        <f>(E111-D111)*-1</f>
        <v>-177</v>
      </c>
      <c r="F246" s="3">
        <f>(F111-E111)*-1</f>
        <v>-462</v>
      </c>
      <c r="G246" s="3">
        <f>(G111-F111)*-1</f>
        <v>117</v>
      </c>
      <c r="H246" s="3">
        <f>SUM(D246:G246)</f>
        <v>-522</v>
      </c>
      <c r="I246" s="3">
        <f>(I111-H111)*-1</f>
        <v>-595</v>
      </c>
      <c r="J246" s="3">
        <f>(J111-I111)*-1</f>
        <v>-562</v>
      </c>
      <c r="K246" s="3">
        <f>(K111-J111)*-1</f>
        <v>-368</v>
      </c>
      <c r="L246" s="3">
        <f>(L111-K111)*-1</f>
        <v>-696</v>
      </c>
      <c r="M246" s="3">
        <f>SUM(I246:L246)</f>
        <v>-2221</v>
      </c>
      <c r="N246" s="3">
        <f>(N111-M111)*-1</f>
        <v>-788</v>
      </c>
      <c r="O246" s="3">
        <f>(O111-N111)*-1</f>
        <v>121</v>
      </c>
      <c r="P246" s="3">
        <f>(P111-O111)*-1</f>
        <v>409</v>
      </c>
      <c r="Q246" s="3">
        <f>(Q111-P111)*-1</f>
        <v>1081</v>
      </c>
      <c r="R246" s="3">
        <f>SUM(N246:Q246)</f>
        <v>823</v>
      </c>
      <c r="S246" s="3">
        <f>(S111-R111)*-1</f>
        <v>-253</v>
      </c>
      <c r="T246" s="3">
        <f>(T111-S111)*-1</f>
        <v>-2986</v>
      </c>
      <c r="U246" s="3">
        <f>(U111-T111)*-1</f>
        <v>-1243</v>
      </c>
      <c r="V246" s="3">
        <f>(V111-U111)*-1</f>
        <v>-1690</v>
      </c>
      <c r="W246" s="3">
        <f>SUM(S246:V246)</f>
        <v>-6172</v>
      </c>
      <c r="X246" s="3">
        <f>(X111-W111)*-1</f>
        <v>-2366</v>
      </c>
      <c r="Y246" s="3">
        <f>(Y111-X111)*-1</f>
        <v>-1767</v>
      </c>
      <c r="Z246" s="3">
        <f>(Z111-Y111)*-1</f>
        <v>-3561</v>
      </c>
      <c r="AA246" s="3">
        <f>(AA111-Z111)*-1</f>
        <v>-5372</v>
      </c>
      <c r="AB246" s="3">
        <f>SUM(X246:AA246)</f>
        <v>-13066</v>
      </c>
      <c r="AC246" s="3">
        <f>(AC111-AB111)*-1</f>
        <v>933</v>
      </c>
      <c r="AD246" s="3">
        <f>(AD111-AC111)*-1</f>
        <v>-5676</v>
      </c>
      <c r="AE246" s="3">
        <f>(AE111-AD111)*-1</f>
        <v>-5583</v>
      </c>
      <c r="AF246" s="3">
        <f>(AF111-AE111)*-1</f>
        <v>-5075</v>
      </c>
      <c r="AG246" s="3">
        <f>SUM(AC246:AF246)</f>
        <v>-15401</v>
      </c>
      <c r="AH246" s="3">
        <f>(AH111-AG111)*-1</f>
        <v>38466</v>
      </c>
      <c r="AI246" s="3">
        <f>(AI111-AH111)*-1</f>
        <v>0</v>
      </c>
      <c r="AJ246" s="3">
        <f>(AJ111-AI111)*-1</f>
        <v>0</v>
      </c>
      <c r="AK246" s="3">
        <f>(AK111-AJ111)*-1</f>
        <v>0</v>
      </c>
      <c r="AL246" s="3">
        <f>SUM(AH246:AK246)</f>
        <v>38466</v>
      </c>
      <c r="AM246" s="3">
        <f>(AM111-AL111)*-1</f>
        <v>0</v>
      </c>
      <c r="AN246" s="3">
        <f>(AN111-AM111)*-1</f>
        <v>0</v>
      </c>
      <c r="AO246" s="3">
        <f>(AO111-AN111)*-1</f>
        <v>0</v>
      </c>
      <c r="AP246" s="3">
        <f>(AP111-AO111)*-1</f>
        <v>0</v>
      </c>
      <c r="AQ246" s="3">
        <f>SUM(AM246:AP246)</f>
        <v>0</v>
      </c>
      <c r="AR246" s="3">
        <f>(AR111-AQ111)*-1</f>
        <v>0</v>
      </c>
      <c r="AS246" s="3">
        <f>(AS111-AR111)*-1</f>
        <v>0</v>
      </c>
      <c r="AT246" s="3">
        <f>(AT111-AS111)*-1</f>
        <v>0</v>
      </c>
      <c r="AU246" s="3">
        <f>(AU111-AT111)*-1</f>
        <v>0</v>
      </c>
      <c r="AV246" s="3">
        <f>SUM(AR246:AU246)</f>
        <v>0</v>
      </c>
      <c r="AW246" s="3">
        <f>(AW111-AV111)*-1</f>
        <v>0</v>
      </c>
      <c r="AX246" s="3">
        <f>(AX111-AW111)*-1</f>
        <v>0</v>
      </c>
      <c r="AY246" s="3">
        <f>(AY111-AX111)*-1</f>
        <v>0</v>
      </c>
      <c r="AZ246" s="3">
        <f>(AZ111-AY111)*-1</f>
        <v>0</v>
      </c>
      <c r="BA246" s="3">
        <f>SUM(AW246:AZ246)</f>
        <v>0</v>
      </c>
      <c r="BB246" s="3">
        <f>(BB111-BA111)*-1</f>
        <v>0</v>
      </c>
      <c r="BC246" s="3">
        <f>(BC111-BB111)*-1</f>
        <v>0</v>
      </c>
      <c r="BD246" s="3">
        <f>(BD111-BC111)*-1</f>
        <v>0</v>
      </c>
      <c r="BE246" s="3">
        <f>(BE111-BD111)*-1</f>
        <v>0</v>
      </c>
      <c r="BF246" s="3">
        <f>SUM(BB246:BE246)</f>
        <v>0</v>
      </c>
      <c r="BG246" s="3">
        <f>(BG111-BF111)*-1</f>
        <v>0</v>
      </c>
      <c r="BH246" s="3">
        <f>(BH111-BG111)*-1</f>
        <v>0</v>
      </c>
      <c r="BI246" s="3">
        <f>(BI111-BH111)*-1</f>
        <v>0</v>
      </c>
      <c r="BJ246" s="3">
        <f>(BJ111-BI111)*-1</f>
        <v>0</v>
      </c>
      <c r="BK246" s="3">
        <f>SUM(BG246:BJ246)</f>
        <v>0</v>
      </c>
      <c r="BL246" s="3">
        <f>(BL111-BK111)*-1</f>
        <v>0</v>
      </c>
      <c r="BM246" s="3">
        <f>(BM111-BL111)*-1</f>
        <v>0</v>
      </c>
      <c r="BN246" s="3">
        <f>(BN111-BM111)*-1</f>
        <v>0</v>
      </c>
      <c r="BO246" s="3">
        <f>(BO111-BN111)*-1</f>
        <v>0</v>
      </c>
      <c r="BP246" s="3">
        <f>SUM(BL246:BO246)</f>
        <v>0</v>
      </c>
      <c r="BQ246" s="3">
        <f>(BQ111-BP111)*-1</f>
        <v>0</v>
      </c>
      <c r="BR246" s="3">
        <f>(BR111-BQ111)*-1</f>
        <v>0</v>
      </c>
      <c r="BS246" s="3">
        <f>(BS111-BR111)*-1</f>
        <v>0</v>
      </c>
      <c r="BT246" s="3">
        <f>(BT111-BS111)*-1</f>
        <v>0</v>
      </c>
      <c r="BU246" s="3">
        <f>SUM(BQ246:BT246)</f>
        <v>0</v>
      </c>
      <c r="BV246" s="3">
        <f>(BV111-BU111)*-1</f>
        <v>0</v>
      </c>
      <c r="BW246" s="3">
        <f>(BW111-BV111)*-1</f>
        <v>0</v>
      </c>
      <c r="BX246" s="3">
        <f>(BX111-BW111)*-1</f>
        <v>0</v>
      </c>
      <c r="BY246" s="3">
        <f>(BY111-BX111)*-1</f>
        <v>0</v>
      </c>
      <c r="BZ246" s="3">
        <f>SUM(BV246:BY246)</f>
        <v>0</v>
      </c>
      <c r="CA246" s="3">
        <f>(CA111-BZ111)*-1</f>
        <v>0</v>
      </c>
      <c r="CB246" s="3">
        <f>(CB111-CA111)*-1</f>
        <v>0</v>
      </c>
      <c r="CC246" s="3">
        <f>(CC111-CB111)*-1</f>
        <v>0</v>
      </c>
      <c r="CD246" s="3">
        <f>(CD111-CC111)*-1</f>
        <v>0</v>
      </c>
      <c r="CE246" s="3">
        <f>SUM(CA246:CD246)</f>
        <v>0</v>
      </c>
      <c r="CF246" s="3">
        <f>(CF111-CE111)*-1</f>
        <v>0</v>
      </c>
      <c r="CG246" s="3">
        <f>(CG111-CF111)*-1</f>
        <v>0</v>
      </c>
      <c r="CH246" s="3">
        <f>(CH111-CG111)*-1</f>
        <v>0</v>
      </c>
      <c r="CI246" s="3">
        <f>(CI111-CH111)*-1</f>
        <v>0</v>
      </c>
      <c r="CJ246" s="3">
        <f>SUM(CF246:CI246)</f>
        <v>0</v>
      </c>
      <c r="CK246" s="3">
        <f>(CK111-CJ111)*-1</f>
        <v>0</v>
      </c>
      <c r="CL246" s="3">
        <f>(CL111-CK111)*-1</f>
        <v>0</v>
      </c>
      <c r="CM246" s="3">
        <f>(CM111-CL111)*-1</f>
        <v>0</v>
      </c>
      <c r="CN246" s="3">
        <f>(CN111-CM111)*-1</f>
        <v>0</v>
      </c>
      <c r="CO246" s="3">
        <f>SUM(CK246:CN246)</f>
        <v>0</v>
      </c>
      <c r="CP246" s="3">
        <f>(CP111-CO111)*-1</f>
        <v>0</v>
      </c>
      <c r="CQ246" s="3">
        <f>(CQ111-CP111)*-1</f>
        <v>0</v>
      </c>
      <c r="CR246" s="3">
        <f>(CR111-CQ111)*-1</f>
        <v>0</v>
      </c>
      <c r="CS246" s="3">
        <f>(CS111-CR111)*-1</f>
        <v>0</v>
      </c>
      <c r="CT246" s="3">
        <f>SUM(CP246:CS246)</f>
        <v>0</v>
      </c>
      <c r="CU246" s="3">
        <f>(CU111-CT111)*-1</f>
        <v>0</v>
      </c>
      <c r="CV246" s="3">
        <f>(CV111-CU111)*-1</f>
        <v>0</v>
      </c>
      <c r="CW246" s="3">
        <f>(CW111-CV111)*-1</f>
        <v>0</v>
      </c>
      <c r="CX246" s="3">
        <f>(CX111-CW111)*-1</f>
        <v>0</v>
      </c>
      <c r="CY246" s="3">
        <f>SUM(CU246:CX246)</f>
        <v>0</v>
      </c>
    </row>
    <row r="247" hidden="1" outlineLevel="1">
      <c r="C247" s="29" t="inlineStr">
        <is>
          <t>Inventories</t>
        </is>
      </c>
      <c r="D247" s="3" t="n"/>
      <c r="E247" s="3">
        <f>(E115-D115)*-1</f>
        <v>-273</v>
      </c>
      <c r="F247" s="3">
        <f>(F115-E115)*-1</f>
        <v>-94</v>
      </c>
      <c r="G247" s="3">
        <f>(G115-F115)*-1</f>
        <v>-331</v>
      </c>
      <c r="H247" s="3">
        <f>SUM(D247:G247)</f>
        <v>-698</v>
      </c>
      <c r="I247" s="3">
        <f>(I115-H115)*-1</f>
        <v>-166</v>
      </c>
      <c r="J247" s="3">
        <f>(J115-I115)*-1</f>
        <v>-122</v>
      </c>
      <c r="K247" s="3">
        <f>(K115-J115)*-1</f>
        <v>-119</v>
      </c>
      <c r="L247" s="3">
        <f>(L115-K115)*-1</f>
        <v>-372</v>
      </c>
      <c r="M247" s="3">
        <f>SUM(I247:L247)</f>
        <v>-779</v>
      </c>
      <c r="N247" s="3">
        <f>(N115-M115)*-1</f>
        <v>-558</v>
      </c>
      <c r="O247" s="3">
        <f>(O115-N115)*-1</f>
        <v>-726</v>
      </c>
      <c r="P247" s="3">
        <f>(P115-O115)*-1</f>
        <v>-565</v>
      </c>
      <c r="Q247" s="3">
        <f>(Q115-P115)*-1</f>
        <v>-705</v>
      </c>
      <c r="R247" s="3">
        <f>SUM(N247:Q247)</f>
        <v>-2554</v>
      </c>
      <c r="S247" s="3">
        <f>(S115-R115)*-1</f>
        <v>548</v>
      </c>
      <c r="T247" s="3">
        <f>(T115-S115)*-1</f>
        <v>292</v>
      </c>
      <c r="U247" s="3">
        <f>(U115-T115)*-1</f>
        <v>-460</v>
      </c>
      <c r="V247" s="3">
        <f>(V115-U115)*-1</f>
        <v>-503</v>
      </c>
      <c r="W247" s="3">
        <f>SUM(S247:V247)</f>
        <v>-123</v>
      </c>
      <c r="X247" s="3">
        <f>(X115-W115)*-1</f>
        <v>-582</v>
      </c>
      <c r="Y247" s="3">
        <f>(Y115-X115)*-1</f>
        <v>-811</v>
      </c>
      <c r="Z247" s="3">
        <f>(Z115-Y115)*-1</f>
        <v>-979</v>
      </c>
      <c r="AA247" s="3">
        <f>(AA115-Z115)*-1</f>
        <v>-2426</v>
      </c>
      <c r="AB247" s="3">
        <f>SUM(X247:AA247)</f>
        <v>-4798</v>
      </c>
      <c r="AC247" s="3">
        <f>(AC115-AB115)*-1</f>
        <v>-1253</v>
      </c>
      <c r="AD247" s="3">
        <f>(AD115-AC115)*-1</f>
        <v>-3629</v>
      </c>
      <c r="AE247" s="3">
        <f>(AE115-AD115)*-1</f>
        <v>-4822</v>
      </c>
      <c r="AF247" s="3">
        <f>(AF115-AE115)*-1</f>
        <v>-1619</v>
      </c>
      <c r="AG247" s="3">
        <f>SUM(AC247:AF247)</f>
        <v>-11323</v>
      </c>
      <c r="AH247" s="3">
        <f>(AH115-AG115)*-1</f>
        <v>21403</v>
      </c>
      <c r="AI247" s="3">
        <f>(AI115-AH115)*-1</f>
        <v>0</v>
      </c>
      <c r="AJ247" s="3">
        <f>(AJ115-AI115)*-1</f>
        <v>0</v>
      </c>
      <c r="AK247" s="3">
        <f>(AK115-AJ115)*-1</f>
        <v>0</v>
      </c>
      <c r="AL247" s="3">
        <f>SUM(AH247:AK247)</f>
        <v>21403</v>
      </c>
      <c r="AM247" s="3">
        <f>(AM115-AL115)*-1</f>
        <v>0</v>
      </c>
      <c r="AN247" s="3">
        <f>(AN115-AM115)*-1</f>
        <v>0</v>
      </c>
      <c r="AO247" s="3">
        <f>(AO115-AN115)*-1</f>
        <v>0</v>
      </c>
      <c r="AP247" s="3">
        <f>(AP115-AO115)*-1</f>
        <v>0</v>
      </c>
      <c r="AQ247" s="3">
        <f>SUM(AM247:AP247)</f>
        <v>0</v>
      </c>
      <c r="AR247" s="3">
        <f>(AR115-AQ115)*-1</f>
        <v>0</v>
      </c>
      <c r="AS247" s="3">
        <f>(AS115-AR115)*-1</f>
        <v>0</v>
      </c>
      <c r="AT247" s="3">
        <f>(AT115-AS115)*-1</f>
        <v>0</v>
      </c>
      <c r="AU247" s="3">
        <f>(AU115-AT115)*-1</f>
        <v>0</v>
      </c>
      <c r="AV247" s="3">
        <f>SUM(AR247:AU247)</f>
        <v>0</v>
      </c>
      <c r="AW247" s="3">
        <f>(AW115-AV115)*-1</f>
        <v>0</v>
      </c>
      <c r="AX247" s="3">
        <f>(AX115-AW115)*-1</f>
        <v>0</v>
      </c>
      <c r="AY247" s="3">
        <f>(AY115-AX115)*-1</f>
        <v>0</v>
      </c>
      <c r="AZ247" s="3">
        <f>(AZ115-AY115)*-1</f>
        <v>0</v>
      </c>
      <c r="BA247" s="3">
        <f>SUM(AW247:AZ247)</f>
        <v>0</v>
      </c>
      <c r="BB247" s="3">
        <f>(BB115-BA115)*-1</f>
        <v>0</v>
      </c>
      <c r="BC247" s="3">
        <f>(BC115-BB115)*-1</f>
        <v>0</v>
      </c>
      <c r="BD247" s="3">
        <f>(BD115-BC115)*-1</f>
        <v>0</v>
      </c>
      <c r="BE247" s="3">
        <f>(BE115-BD115)*-1</f>
        <v>0</v>
      </c>
      <c r="BF247" s="3">
        <f>SUM(BB247:BE247)</f>
        <v>0</v>
      </c>
      <c r="BG247" s="3">
        <f>(BG115-BF115)*-1</f>
        <v>0</v>
      </c>
      <c r="BH247" s="3">
        <f>(BH115-BG115)*-1</f>
        <v>0</v>
      </c>
      <c r="BI247" s="3">
        <f>(BI115-BH115)*-1</f>
        <v>0</v>
      </c>
      <c r="BJ247" s="3">
        <f>(BJ115-BI115)*-1</f>
        <v>0</v>
      </c>
      <c r="BK247" s="3">
        <f>SUM(BG247:BJ247)</f>
        <v>0</v>
      </c>
      <c r="BL247" s="3">
        <f>(BL115-BK115)*-1</f>
        <v>0</v>
      </c>
      <c r="BM247" s="3">
        <f>(BM115-BL115)*-1</f>
        <v>0</v>
      </c>
      <c r="BN247" s="3">
        <f>(BN115-BM115)*-1</f>
        <v>0</v>
      </c>
      <c r="BO247" s="3">
        <f>(BO115-BN115)*-1</f>
        <v>0</v>
      </c>
      <c r="BP247" s="3">
        <f>SUM(BL247:BO247)</f>
        <v>0</v>
      </c>
      <c r="BQ247" s="3">
        <f>(BQ115-BP115)*-1</f>
        <v>0</v>
      </c>
      <c r="BR247" s="3">
        <f>(BR115-BQ115)*-1</f>
        <v>0</v>
      </c>
      <c r="BS247" s="3">
        <f>(BS115-BR115)*-1</f>
        <v>0</v>
      </c>
      <c r="BT247" s="3">
        <f>(BT115-BS115)*-1</f>
        <v>0</v>
      </c>
      <c r="BU247" s="3">
        <f>SUM(BQ247:BT247)</f>
        <v>0</v>
      </c>
      <c r="BV247" s="3">
        <f>(BV115-BU115)*-1</f>
        <v>0</v>
      </c>
      <c r="BW247" s="3">
        <f>(BW115-BV115)*-1</f>
        <v>0</v>
      </c>
      <c r="BX247" s="3">
        <f>(BX115-BW115)*-1</f>
        <v>0</v>
      </c>
      <c r="BY247" s="3">
        <f>(BY115-BX115)*-1</f>
        <v>0</v>
      </c>
      <c r="BZ247" s="3">
        <f>SUM(BV247:BY247)</f>
        <v>0</v>
      </c>
      <c r="CA247" s="3">
        <f>(CA115-BZ115)*-1</f>
        <v>0</v>
      </c>
      <c r="CB247" s="3">
        <f>(CB115-CA115)*-1</f>
        <v>0</v>
      </c>
      <c r="CC247" s="3">
        <f>(CC115-CB115)*-1</f>
        <v>0</v>
      </c>
      <c r="CD247" s="3">
        <f>(CD115-CC115)*-1</f>
        <v>0</v>
      </c>
      <c r="CE247" s="3">
        <f>SUM(CA247:CD247)</f>
        <v>0</v>
      </c>
      <c r="CF247" s="3">
        <f>(CF115-CE115)*-1</f>
        <v>0</v>
      </c>
      <c r="CG247" s="3">
        <f>(CG115-CF115)*-1</f>
        <v>0</v>
      </c>
      <c r="CH247" s="3">
        <f>(CH115-CG115)*-1</f>
        <v>0</v>
      </c>
      <c r="CI247" s="3">
        <f>(CI115-CH115)*-1</f>
        <v>0</v>
      </c>
      <c r="CJ247" s="3">
        <f>SUM(CF247:CI247)</f>
        <v>0</v>
      </c>
      <c r="CK247" s="3">
        <f>(CK115-CJ115)*-1</f>
        <v>0</v>
      </c>
      <c r="CL247" s="3">
        <f>(CL115-CK115)*-1</f>
        <v>0</v>
      </c>
      <c r="CM247" s="3">
        <f>(CM115-CL115)*-1</f>
        <v>0</v>
      </c>
      <c r="CN247" s="3">
        <f>(CN115-CM115)*-1</f>
        <v>0</v>
      </c>
      <c r="CO247" s="3">
        <f>SUM(CK247:CN247)</f>
        <v>0</v>
      </c>
      <c r="CP247" s="3">
        <f>(CP115-CO115)*-1</f>
        <v>0</v>
      </c>
      <c r="CQ247" s="3">
        <f>(CQ115-CP115)*-1</f>
        <v>0</v>
      </c>
      <c r="CR247" s="3">
        <f>(CR115-CQ115)*-1</f>
        <v>0</v>
      </c>
      <c r="CS247" s="3">
        <f>(CS115-CR115)*-1</f>
        <v>0</v>
      </c>
      <c r="CT247" s="3">
        <f>SUM(CP247:CS247)</f>
        <v>0</v>
      </c>
      <c r="CU247" s="3">
        <f>(CU115-CT115)*-1</f>
        <v>0</v>
      </c>
      <c r="CV247" s="3">
        <f>(CV115-CU115)*-1</f>
        <v>0</v>
      </c>
      <c r="CW247" s="3">
        <f>(CW115-CV115)*-1</f>
        <v>0</v>
      </c>
      <c r="CX247" s="3">
        <f>(CX115-CW115)*-1</f>
        <v>0</v>
      </c>
      <c r="CY247" s="3">
        <f>SUM(CU247:CX247)</f>
        <v>0</v>
      </c>
    </row>
    <row r="248" hidden="1" outlineLevel="1">
      <c r="C248" s="29" t="inlineStr">
        <is>
          <t>Deferred income taxes</t>
        </is>
      </c>
      <c r="D248" s="3" t="n"/>
      <c r="E248" s="3">
        <f>(E119-D119)*-1</f>
        <v>-97</v>
      </c>
      <c r="F248" s="3">
        <f>(F119-E119)*-1</f>
        <v>-36</v>
      </c>
      <c r="G248" s="3">
        <f>(G119-F119)*-1</f>
        <v>-140</v>
      </c>
      <c r="H248" s="3">
        <f>SUM(D248:G248)</f>
        <v>-273</v>
      </c>
      <c r="I248" s="3">
        <f>(I119-H119)*-1</f>
        <v>28</v>
      </c>
      <c r="J248" s="3">
        <f>(J119-I119)*-1</f>
        <v>-180</v>
      </c>
      <c r="K248" s="3">
        <f>(K119-J119)*-1</f>
        <v>-12</v>
      </c>
      <c r="L248" s="3">
        <f>(L119-K119)*-1</f>
        <v>-252</v>
      </c>
      <c r="M248" s="3">
        <f>SUM(I248:L248)</f>
        <v>-416</v>
      </c>
      <c r="N248" s="3">
        <f>(N119-M119)*-1</f>
        <v>-562</v>
      </c>
      <c r="O248" s="3">
        <f>(O119-N119)*-1</f>
        <v>-441</v>
      </c>
      <c r="P248" s="3">
        <f>(P119-O119)*-1</f>
        <v>-537</v>
      </c>
      <c r="Q248" s="3">
        <f>(Q119-P119)*-1</f>
        <v>-634</v>
      </c>
      <c r="R248" s="3">
        <f>SUM(N248:Q248)</f>
        <v>-2174</v>
      </c>
      <c r="S248" s="3">
        <f>(S119-R119)*-1</f>
        <v>-1172</v>
      </c>
      <c r="T248" s="3">
        <f>(T119-S119)*-1</f>
        <v>-830</v>
      </c>
      <c r="U248" s="3">
        <f>(U119-T119)*-1</f>
        <v>-584</v>
      </c>
      <c r="V248" s="3">
        <f>(V119-U119)*-1</f>
        <v>-99</v>
      </c>
      <c r="W248" s="3">
        <f>SUM(S248:V248)</f>
        <v>-2685</v>
      </c>
      <c r="X248" s="3">
        <f>(X119-W119)*-1</f>
        <v>-1717</v>
      </c>
      <c r="Y248" s="3">
        <f>(Y119-X119)*-1</f>
        <v>-1780</v>
      </c>
      <c r="Z248" s="3">
        <f>(Z119-Y119)*-1</f>
        <v>-698</v>
      </c>
      <c r="AA248" s="3">
        <f>(AA119-Z119)*-1</f>
        <v>-703</v>
      </c>
      <c r="AB248" s="3">
        <f>SUM(X248:AA248)</f>
        <v>-4898</v>
      </c>
      <c r="AC248" s="3">
        <f>(AC119-AB119)*-1</f>
        <v>-2339</v>
      </c>
      <c r="AD248" s="3">
        <f>(AD119-AC119)*-1</f>
        <v>-252</v>
      </c>
      <c r="AE248" s="3">
        <f>(AE119-AD119)*-1</f>
        <v>-104</v>
      </c>
      <c r="AF248" s="3">
        <f>(AF119-AE119)*-1</f>
        <v>416</v>
      </c>
      <c r="AG248" s="3">
        <f>SUM(AC248:AF248)</f>
        <v>-2279</v>
      </c>
      <c r="AH248" s="3">
        <f>(AH119-AG119)*-1</f>
        <v>0</v>
      </c>
      <c r="AI248" s="3">
        <f>(AI119-AH119)*-1</f>
        <v>0</v>
      </c>
      <c r="AJ248" s="3">
        <f>(AJ119-AI119)*-1</f>
        <v>0</v>
      </c>
      <c r="AK248" s="3">
        <f>(AK119-AJ119)*-1</f>
        <v>0</v>
      </c>
      <c r="AL248" s="3">
        <f>SUM(AH248:AK248)</f>
        <v>0</v>
      </c>
      <c r="AM248" s="3">
        <f>(AM119-AL119)*-1</f>
        <v>0</v>
      </c>
      <c r="AN248" s="3">
        <f>(AN119-AM119)*-1</f>
        <v>0</v>
      </c>
      <c r="AO248" s="3">
        <f>(AO119-AN119)*-1</f>
        <v>0</v>
      </c>
      <c r="AP248" s="3">
        <f>(AP119-AO119)*-1</f>
        <v>0</v>
      </c>
      <c r="AQ248" s="3">
        <f>SUM(AM248:AP248)</f>
        <v>0</v>
      </c>
      <c r="AR248" s="3">
        <f>(AR119-AQ119)*-1</f>
        <v>0</v>
      </c>
      <c r="AS248" s="3">
        <f>(AS119-AR119)*-1</f>
        <v>0</v>
      </c>
      <c r="AT248" s="3">
        <f>(AT119-AS119)*-1</f>
        <v>0</v>
      </c>
      <c r="AU248" s="3">
        <f>(AU119-AT119)*-1</f>
        <v>0</v>
      </c>
      <c r="AV248" s="3">
        <f>SUM(AR248:AU248)</f>
        <v>0</v>
      </c>
      <c r="AW248" s="3">
        <f>(AW119-AV119)*-1</f>
        <v>0</v>
      </c>
      <c r="AX248" s="3">
        <f>(AX119-AW119)*-1</f>
        <v>0</v>
      </c>
      <c r="AY248" s="3">
        <f>(AY119-AX119)*-1</f>
        <v>0</v>
      </c>
      <c r="AZ248" s="3">
        <f>(AZ119-AY119)*-1</f>
        <v>0</v>
      </c>
      <c r="BA248" s="3">
        <f>SUM(AW248:AZ248)</f>
        <v>0</v>
      </c>
      <c r="BB248" s="3">
        <f>(BB119-BA119)*-1</f>
        <v>0</v>
      </c>
      <c r="BC248" s="3">
        <f>(BC119-BB119)*-1</f>
        <v>0</v>
      </c>
      <c r="BD248" s="3">
        <f>(BD119-BC119)*-1</f>
        <v>0</v>
      </c>
      <c r="BE248" s="3">
        <f>(BE119-BD119)*-1</f>
        <v>0</v>
      </c>
      <c r="BF248" s="3">
        <f>SUM(BB248:BE248)</f>
        <v>0</v>
      </c>
      <c r="BG248" s="3">
        <f>(BG119-BF119)*-1</f>
        <v>0</v>
      </c>
      <c r="BH248" s="3">
        <f>(BH119-BG119)*-1</f>
        <v>0</v>
      </c>
      <c r="BI248" s="3">
        <f>(BI119-BH119)*-1</f>
        <v>0</v>
      </c>
      <c r="BJ248" s="3">
        <f>(BJ119-BI119)*-1</f>
        <v>0</v>
      </c>
      <c r="BK248" s="3">
        <f>SUM(BG248:BJ248)</f>
        <v>0</v>
      </c>
      <c r="BL248" s="3">
        <f>(BL119-BK119)*-1</f>
        <v>0</v>
      </c>
      <c r="BM248" s="3">
        <f>(BM119-BL119)*-1</f>
        <v>0</v>
      </c>
      <c r="BN248" s="3">
        <f>(BN119-BM119)*-1</f>
        <v>0</v>
      </c>
      <c r="BO248" s="3">
        <f>(BO119-BN119)*-1</f>
        <v>0</v>
      </c>
      <c r="BP248" s="3">
        <f>SUM(BL248:BO248)</f>
        <v>0</v>
      </c>
      <c r="BQ248" s="3">
        <f>(BQ119-BP119)*-1</f>
        <v>0</v>
      </c>
      <c r="BR248" s="3">
        <f>(BR119-BQ119)*-1</f>
        <v>0</v>
      </c>
      <c r="BS248" s="3">
        <f>(BS119-BR119)*-1</f>
        <v>0</v>
      </c>
      <c r="BT248" s="3">
        <f>(BT119-BS119)*-1</f>
        <v>0</v>
      </c>
      <c r="BU248" s="3">
        <f>SUM(BQ248:BT248)</f>
        <v>0</v>
      </c>
      <c r="BV248" s="3">
        <f>(BV119-BU119)*-1</f>
        <v>0</v>
      </c>
      <c r="BW248" s="3">
        <f>(BW119-BV119)*-1</f>
        <v>0</v>
      </c>
      <c r="BX248" s="3">
        <f>(BX119-BW119)*-1</f>
        <v>0</v>
      </c>
      <c r="BY248" s="3">
        <f>(BY119-BX119)*-1</f>
        <v>0</v>
      </c>
      <c r="BZ248" s="3">
        <f>SUM(BV248:BY248)</f>
        <v>0</v>
      </c>
      <c r="CA248" s="3">
        <f>(CA119-BZ119)*-1</f>
        <v>0</v>
      </c>
      <c r="CB248" s="3">
        <f>(CB119-CA119)*-1</f>
        <v>0</v>
      </c>
      <c r="CC248" s="3">
        <f>(CC119-CB119)*-1</f>
        <v>0</v>
      </c>
      <c r="CD248" s="3">
        <f>(CD119-CC119)*-1</f>
        <v>0</v>
      </c>
      <c r="CE248" s="3">
        <f>SUM(CA248:CD248)</f>
        <v>0</v>
      </c>
      <c r="CF248" s="3">
        <f>(CF119-CE119)*-1</f>
        <v>0</v>
      </c>
      <c r="CG248" s="3">
        <f>(CG119-CF119)*-1</f>
        <v>0</v>
      </c>
      <c r="CH248" s="3">
        <f>(CH119-CG119)*-1</f>
        <v>0</v>
      </c>
      <c r="CI248" s="3">
        <f>(CI119-CH119)*-1</f>
        <v>0</v>
      </c>
      <c r="CJ248" s="3">
        <f>SUM(CF248:CI248)</f>
        <v>0</v>
      </c>
      <c r="CK248" s="3">
        <f>(CK119-CJ119)*-1</f>
        <v>0</v>
      </c>
      <c r="CL248" s="3">
        <f>(CL119-CK119)*-1</f>
        <v>0</v>
      </c>
      <c r="CM248" s="3">
        <f>(CM119-CL119)*-1</f>
        <v>0</v>
      </c>
      <c r="CN248" s="3">
        <f>(CN119-CM119)*-1</f>
        <v>0</v>
      </c>
      <c r="CO248" s="3">
        <f>SUM(CK248:CN248)</f>
        <v>0</v>
      </c>
      <c r="CP248" s="3">
        <f>(CP119-CO119)*-1</f>
        <v>0</v>
      </c>
      <c r="CQ248" s="3">
        <f>(CQ119-CP119)*-1</f>
        <v>0</v>
      </c>
      <c r="CR248" s="3">
        <f>(CR119-CQ119)*-1</f>
        <v>0</v>
      </c>
      <c r="CS248" s="3">
        <f>(CS119-CR119)*-1</f>
        <v>0</v>
      </c>
      <c r="CT248" s="3">
        <f>SUM(CP248:CS248)</f>
        <v>0</v>
      </c>
      <c r="CU248" s="3">
        <f>(CU119-CT119)*-1</f>
        <v>0</v>
      </c>
      <c r="CV248" s="3">
        <f>(CV119-CU119)*-1</f>
        <v>0</v>
      </c>
      <c r="CW248" s="3">
        <f>(CW119-CV119)*-1</f>
        <v>0</v>
      </c>
      <c r="CX248" s="3">
        <f>(CX119-CW119)*-1</f>
        <v>0</v>
      </c>
      <c r="CY248" s="3">
        <f>SUM(CU248:CX248)</f>
        <v>0</v>
      </c>
    </row>
    <row r="249" hidden="1" outlineLevel="1">
      <c r="C249" s="29" t="inlineStr">
        <is>
          <t>Prepaid expenses</t>
        </is>
      </c>
      <c r="D249" s="3" t="n"/>
      <c r="E249" s="3">
        <f>(E120-D120)*-1</f>
        <v>0</v>
      </c>
      <c r="F249" s="3">
        <f>(F120-E120)*-1</f>
        <v>0</v>
      </c>
      <c r="G249" s="3">
        <f>(G120-F120)*-1</f>
        <v>0</v>
      </c>
      <c r="H249" s="3">
        <f>SUM(D249:G249)</f>
        <v>0</v>
      </c>
      <c r="I249" s="3">
        <f>(I120-H120)*-1</f>
        <v>0</v>
      </c>
      <c r="J249" s="3">
        <f>(J120-I120)*-1</f>
        <v>0</v>
      </c>
      <c r="K249" s="3">
        <f>(K120-J120)*-1</f>
        <v>0</v>
      </c>
      <c r="L249" s="3">
        <f>(L120-K120)*-1</f>
        <v>0</v>
      </c>
      <c r="M249" s="3">
        <f>SUM(I249:L249)</f>
        <v>0</v>
      </c>
      <c r="N249" s="3">
        <f>(N120-M120)*-1</f>
        <v>0</v>
      </c>
      <c r="O249" s="3">
        <f>(O120-N120)*-1</f>
        <v>0</v>
      </c>
      <c r="P249" s="3">
        <f>(P120-O120)*-1</f>
        <v>0</v>
      </c>
      <c r="Q249" s="3">
        <f>(Q120-P120)*-1</f>
        <v>0</v>
      </c>
      <c r="R249" s="3">
        <f>SUM(N249:Q249)</f>
        <v>0</v>
      </c>
      <c r="S249" s="3">
        <f>(S120-R120)*-1</f>
        <v>0</v>
      </c>
      <c r="T249" s="3">
        <f>(T120-S120)*-1</f>
        <v>0</v>
      </c>
      <c r="U249" s="3">
        <f>(U120-T120)*-1</f>
        <v>0</v>
      </c>
      <c r="V249" s="3">
        <f>(V120-U120)*-1</f>
        <v>0</v>
      </c>
      <c r="W249" s="3">
        <f>SUM(S249:V249)</f>
        <v>0</v>
      </c>
      <c r="X249" s="3">
        <f>(X120-W120)*-1</f>
        <v>0</v>
      </c>
      <c r="Y249" s="3">
        <f>(Y120-X120)*-1</f>
        <v>0</v>
      </c>
      <c r="Z249" s="3">
        <f>(Z120-Y120)*-1</f>
        <v>0</v>
      </c>
      <c r="AA249" s="3">
        <f>(AA120-Z120)*-1</f>
        <v>0</v>
      </c>
      <c r="AB249" s="3">
        <f>SUM(X249:AA249)</f>
        <v>0</v>
      </c>
      <c r="AC249" s="3">
        <f>(AC120-AB120)*-1</f>
        <v>0</v>
      </c>
      <c r="AD249" s="3">
        <f>(AD120-AC120)*-1</f>
        <v>0</v>
      </c>
      <c r="AE249" s="3">
        <f>(AE120-AD120)*-1</f>
        <v>0</v>
      </c>
      <c r="AF249" s="3">
        <f>(AF120-AE120)*-1</f>
        <v>0</v>
      </c>
      <c r="AG249" s="3">
        <f>SUM(AC249:AF249)</f>
        <v>0</v>
      </c>
      <c r="AH249" s="3">
        <f>(AH120-AG120)*-1</f>
        <v>0</v>
      </c>
      <c r="AI249" s="3">
        <f>(AI120-AH120)*-1</f>
        <v>0</v>
      </c>
      <c r="AJ249" s="3">
        <f>(AJ120-AI120)*-1</f>
        <v>0</v>
      </c>
      <c r="AK249" s="3">
        <f>(AK120-AJ120)*-1</f>
        <v>0</v>
      </c>
      <c r="AL249" s="3">
        <f>SUM(AH249:AK249)</f>
        <v>0</v>
      </c>
      <c r="AM249" s="3">
        <f>(AM120-AL120)*-1</f>
        <v>0</v>
      </c>
      <c r="AN249" s="3">
        <f>(AN120-AM120)*-1</f>
        <v>0</v>
      </c>
      <c r="AO249" s="3">
        <f>(AO120-AN120)*-1</f>
        <v>0</v>
      </c>
      <c r="AP249" s="3">
        <f>(AP120-AO120)*-1</f>
        <v>0</v>
      </c>
      <c r="AQ249" s="3">
        <f>SUM(AM249:AP249)</f>
        <v>0</v>
      </c>
      <c r="AR249" s="3">
        <f>(AR120-AQ120)*-1</f>
        <v>0</v>
      </c>
      <c r="AS249" s="3">
        <f>(AS120-AR120)*-1</f>
        <v>0</v>
      </c>
      <c r="AT249" s="3">
        <f>(AT120-AS120)*-1</f>
        <v>0</v>
      </c>
      <c r="AU249" s="3">
        <f>(AU120-AT120)*-1</f>
        <v>0</v>
      </c>
      <c r="AV249" s="3">
        <f>SUM(AR249:AU249)</f>
        <v>0</v>
      </c>
      <c r="AW249" s="3">
        <f>(AW120-AV120)*-1</f>
        <v>0</v>
      </c>
      <c r="AX249" s="3">
        <f>(AX120-AW120)*-1</f>
        <v>0</v>
      </c>
      <c r="AY249" s="3">
        <f>(AY120-AX120)*-1</f>
        <v>0</v>
      </c>
      <c r="AZ249" s="3">
        <f>(AZ120-AY120)*-1</f>
        <v>0</v>
      </c>
      <c r="BA249" s="3">
        <f>SUM(AW249:AZ249)</f>
        <v>0</v>
      </c>
      <c r="BB249" s="3">
        <f>(BB120-BA120)*-1</f>
        <v>0</v>
      </c>
      <c r="BC249" s="3">
        <f>(BC120-BB120)*-1</f>
        <v>0</v>
      </c>
      <c r="BD249" s="3">
        <f>(BD120-BC120)*-1</f>
        <v>0</v>
      </c>
      <c r="BE249" s="3">
        <f>(BE120-BD120)*-1</f>
        <v>0</v>
      </c>
      <c r="BF249" s="3">
        <f>SUM(BB249:BE249)</f>
        <v>0</v>
      </c>
      <c r="BG249" s="3">
        <f>(BG120-BF120)*-1</f>
        <v>0</v>
      </c>
      <c r="BH249" s="3">
        <f>(BH120-BG120)*-1</f>
        <v>0</v>
      </c>
      <c r="BI249" s="3">
        <f>(BI120-BH120)*-1</f>
        <v>0</v>
      </c>
      <c r="BJ249" s="3">
        <f>(BJ120-BI120)*-1</f>
        <v>0</v>
      </c>
      <c r="BK249" s="3">
        <f>SUM(BG249:BJ249)</f>
        <v>0</v>
      </c>
      <c r="BL249" s="3">
        <f>(BL120-BK120)*-1</f>
        <v>0</v>
      </c>
      <c r="BM249" s="3">
        <f>(BM120-BL120)*-1</f>
        <v>0</v>
      </c>
      <c r="BN249" s="3">
        <f>(BN120-BM120)*-1</f>
        <v>0</v>
      </c>
      <c r="BO249" s="3">
        <f>(BO120-BN120)*-1</f>
        <v>0</v>
      </c>
      <c r="BP249" s="3">
        <f>SUM(BL249:BO249)</f>
        <v>0</v>
      </c>
      <c r="BQ249" s="3">
        <f>(BQ120-BP120)*-1</f>
        <v>0</v>
      </c>
      <c r="BR249" s="3">
        <f>(BR120-BQ120)*-1</f>
        <v>0</v>
      </c>
      <c r="BS249" s="3">
        <f>(BS120-BR120)*-1</f>
        <v>0</v>
      </c>
      <c r="BT249" s="3">
        <f>(BT120-BS120)*-1</f>
        <v>0</v>
      </c>
      <c r="BU249" s="3">
        <f>SUM(BQ249:BT249)</f>
        <v>0</v>
      </c>
      <c r="BV249" s="3">
        <f>(BV120-BU120)*-1</f>
        <v>0</v>
      </c>
      <c r="BW249" s="3">
        <f>(BW120-BV120)*-1</f>
        <v>0</v>
      </c>
      <c r="BX249" s="3">
        <f>(BX120-BW120)*-1</f>
        <v>0</v>
      </c>
      <c r="BY249" s="3">
        <f>(BY120-BX120)*-1</f>
        <v>0</v>
      </c>
      <c r="BZ249" s="3">
        <f>SUM(BV249:BY249)</f>
        <v>0</v>
      </c>
      <c r="CA249" s="3">
        <f>(CA120-BZ120)*-1</f>
        <v>0</v>
      </c>
      <c r="CB249" s="3">
        <f>(CB120-CA120)*-1</f>
        <v>0</v>
      </c>
      <c r="CC249" s="3">
        <f>(CC120-CB120)*-1</f>
        <v>0</v>
      </c>
      <c r="CD249" s="3">
        <f>(CD120-CC120)*-1</f>
        <v>0</v>
      </c>
      <c r="CE249" s="3">
        <f>SUM(CA249:CD249)</f>
        <v>0</v>
      </c>
      <c r="CF249" s="3">
        <f>(CF120-CE120)*-1</f>
        <v>0</v>
      </c>
      <c r="CG249" s="3">
        <f>(CG120-CF120)*-1</f>
        <v>0</v>
      </c>
      <c r="CH249" s="3">
        <f>(CH120-CG120)*-1</f>
        <v>0</v>
      </c>
      <c r="CI249" s="3">
        <f>(CI120-CH120)*-1</f>
        <v>0</v>
      </c>
      <c r="CJ249" s="3">
        <f>SUM(CF249:CI249)</f>
        <v>0</v>
      </c>
      <c r="CK249" s="3">
        <f>(CK120-CJ120)*-1</f>
        <v>0</v>
      </c>
      <c r="CL249" s="3">
        <f>(CL120-CK120)*-1</f>
        <v>0</v>
      </c>
      <c r="CM249" s="3">
        <f>(CM120-CL120)*-1</f>
        <v>0</v>
      </c>
      <c r="CN249" s="3">
        <f>(CN120-CM120)*-1</f>
        <v>0</v>
      </c>
      <c r="CO249" s="3">
        <f>SUM(CK249:CN249)</f>
        <v>0</v>
      </c>
      <c r="CP249" s="3">
        <f>(CP120-CO120)*-1</f>
        <v>0</v>
      </c>
      <c r="CQ249" s="3">
        <f>(CQ120-CP120)*-1</f>
        <v>0</v>
      </c>
      <c r="CR249" s="3">
        <f>(CR120-CQ120)*-1</f>
        <v>0</v>
      </c>
      <c r="CS249" s="3">
        <f>(CS120-CR120)*-1</f>
        <v>0</v>
      </c>
      <c r="CT249" s="3">
        <f>SUM(CP249:CS249)</f>
        <v>0</v>
      </c>
      <c r="CU249" s="3">
        <f>(CU120-CT120)*-1</f>
        <v>0</v>
      </c>
      <c r="CV249" s="3">
        <f>(CV120-CU120)*-1</f>
        <v>0</v>
      </c>
      <c r="CW249" s="3">
        <f>(CW120-CV120)*-1</f>
        <v>0</v>
      </c>
      <c r="CX249" s="3">
        <f>(CX120-CW120)*-1</f>
        <v>0</v>
      </c>
      <c r="CY249" s="3">
        <f>SUM(CU249:CX249)</f>
        <v>0</v>
      </c>
    </row>
    <row r="250" hidden="1" outlineLevel="1">
      <c r="C250" s="29" t="inlineStr">
        <is>
          <t>Other current assets</t>
        </is>
      </c>
      <c r="D250" s="3" t="n"/>
      <c r="E250" s="3">
        <f>(E121-D121)*-1</f>
        <v>-20</v>
      </c>
      <c r="F250" s="3">
        <f>(F121-E121)*-1</f>
        <v>2</v>
      </c>
      <c r="G250" s="3">
        <f>(G121-F121)*-1</f>
        <v>-26</v>
      </c>
      <c r="H250" s="3">
        <f>SUM(D250:G250)</f>
        <v>-44</v>
      </c>
      <c r="I250" s="3">
        <f>(I121-H121)*-1</f>
        <v>-205</v>
      </c>
      <c r="J250" s="3">
        <f>(J121-I121)*-1</f>
        <v>-8</v>
      </c>
      <c r="K250" s="3">
        <f>(K121-J121)*-1</f>
        <v>131</v>
      </c>
      <c r="L250" s="3">
        <f>(L121-K121)*-1</f>
        <v>-45</v>
      </c>
      <c r="M250" s="3">
        <f>SUM(I250:L250)</f>
        <v>-127</v>
      </c>
      <c r="N250" s="3">
        <f>(N121-M121)*-1</f>
        <v>-270</v>
      </c>
      <c r="O250" s="3">
        <f>(O121-N121)*-1</f>
        <v>-539</v>
      </c>
      <c r="P250" s="3">
        <f>(P121-O121)*-1</f>
        <v>457</v>
      </c>
      <c r="Q250" s="3">
        <f>(Q121-P121)*-1</f>
        <v>-73</v>
      </c>
      <c r="R250" s="3">
        <f>SUM(N250:Q250)</f>
        <v>-425</v>
      </c>
      <c r="S250" s="3">
        <f>(S121-R121)*-1</f>
        <v>-81</v>
      </c>
      <c r="T250" s="3">
        <f>(T121-S121)*-1</f>
        <v>-517</v>
      </c>
      <c r="U250" s="3">
        <f>(U121-T121)*-1</f>
        <v>100</v>
      </c>
      <c r="V250" s="3">
        <f>(V121-U121)*-1</f>
        <v>-1791</v>
      </c>
      <c r="W250" s="3">
        <f>SUM(S250:V250)</f>
        <v>-2289</v>
      </c>
      <c r="X250" s="3">
        <f>(X121-W121)*-1</f>
        <v>-982</v>
      </c>
      <c r="Y250" s="3">
        <f>(Y121-X121)*-1</f>
        <v>36</v>
      </c>
      <c r="Z250" s="3">
        <f>(Z121-Y121)*-1</f>
        <v>220</v>
      </c>
      <c r="AA250" s="3">
        <f>(AA121-Z121)*-1</f>
        <v>35</v>
      </c>
      <c r="AB250" s="3">
        <f>SUM(X250:AA250)</f>
        <v>-691</v>
      </c>
      <c r="AC250" s="3">
        <f>(AC121-AB121)*-1</f>
        <v>992</v>
      </c>
      <c r="AD250" s="3">
        <f>(AD121-AC121)*-1</f>
        <v>121</v>
      </c>
      <c r="AE250" s="3">
        <f>(AE121-AD121)*-1</f>
        <v>-51</v>
      </c>
      <c r="AF250" s="3">
        <f>(AF121-AE121)*-1</f>
        <v>-471</v>
      </c>
      <c r="AG250" s="3">
        <f>SUM(AC250:AF250)</f>
        <v>591</v>
      </c>
      <c r="AH250" s="3">
        <f>(AH121-AG121)*-1</f>
        <v>0</v>
      </c>
      <c r="AI250" s="3">
        <f>(AI121-AH121)*-1</f>
        <v>0</v>
      </c>
      <c r="AJ250" s="3">
        <f>(AJ121-AI121)*-1</f>
        <v>0</v>
      </c>
      <c r="AK250" s="3">
        <f>(AK121-AJ121)*-1</f>
        <v>0</v>
      </c>
      <c r="AL250" s="3">
        <f>SUM(AH250:AK250)</f>
        <v>0</v>
      </c>
      <c r="AM250" s="3">
        <f>(AM121-AL121)*-1</f>
        <v>0</v>
      </c>
      <c r="AN250" s="3">
        <f>(AN121-AM121)*-1</f>
        <v>0</v>
      </c>
      <c r="AO250" s="3">
        <f>(AO121-AN121)*-1</f>
        <v>0</v>
      </c>
      <c r="AP250" s="3">
        <f>(AP121-AO121)*-1</f>
        <v>0</v>
      </c>
      <c r="AQ250" s="3">
        <f>SUM(AM250:AP250)</f>
        <v>0</v>
      </c>
      <c r="AR250" s="3">
        <f>(AR121-AQ121)*-1</f>
        <v>0</v>
      </c>
      <c r="AS250" s="3">
        <f>(AS121-AR121)*-1</f>
        <v>0</v>
      </c>
      <c r="AT250" s="3">
        <f>(AT121-AS121)*-1</f>
        <v>0</v>
      </c>
      <c r="AU250" s="3">
        <f>(AU121-AT121)*-1</f>
        <v>0</v>
      </c>
      <c r="AV250" s="3">
        <f>SUM(AR250:AU250)</f>
        <v>0</v>
      </c>
      <c r="AW250" s="3">
        <f>(AW121-AV121)*-1</f>
        <v>0</v>
      </c>
      <c r="AX250" s="3">
        <f>(AX121-AW121)*-1</f>
        <v>0</v>
      </c>
      <c r="AY250" s="3">
        <f>(AY121-AX121)*-1</f>
        <v>0</v>
      </c>
      <c r="AZ250" s="3">
        <f>(AZ121-AY121)*-1</f>
        <v>0</v>
      </c>
      <c r="BA250" s="3">
        <f>SUM(AW250:AZ250)</f>
        <v>0</v>
      </c>
      <c r="BB250" s="3">
        <f>(BB121-BA121)*-1</f>
        <v>0</v>
      </c>
      <c r="BC250" s="3">
        <f>(BC121-BB121)*-1</f>
        <v>0</v>
      </c>
      <c r="BD250" s="3">
        <f>(BD121-BC121)*-1</f>
        <v>0</v>
      </c>
      <c r="BE250" s="3">
        <f>(BE121-BD121)*-1</f>
        <v>0</v>
      </c>
      <c r="BF250" s="3">
        <f>SUM(BB250:BE250)</f>
        <v>0</v>
      </c>
      <c r="BG250" s="3">
        <f>(BG121-BF121)*-1</f>
        <v>0</v>
      </c>
      <c r="BH250" s="3">
        <f>(BH121-BG121)*-1</f>
        <v>0</v>
      </c>
      <c r="BI250" s="3">
        <f>(BI121-BH121)*-1</f>
        <v>0</v>
      </c>
      <c r="BJ250" s="3">
        <f>(BJ121-BI121)*-1</f>
        <v>0</v>
      </c>
      <c r="BK250" s="3">
        <f>SUM(BG250:BJ250)</f>
        <v>0</v>
      </c>
      <c r="BL250" s="3">
        <f>(BL121-BK121)*-1</f>
        <v>0</v>
      </c>
      <c r="BM250" s="3">
        <f>(BM121-BL121)*-1</f>
        <v>0</v>
      </c>
      <c r="BN250" s="3">
        <f>(BN121-BM121)*-1</f>
        <v>0</v>
      </c>
      <c r="BO250" s="3">
        <f>(BO121-BN121)*-1</f>
        <v>0</v>
      </c>
      <c r="BP250" s="3">
        <f>SUM(BL250:BO250)</f>
        <v>0</v>
      </c>
      <c r="BQ250" s="3">
        <f>(BQ121-BP121)*-1</f>
        <v>0</v>
      </c>
      <c r="BR250" s="3">
        <f>(BR121-BQ121)*-1</f>
        <v>0</v>
      </c>
      <c r="BS250" s="3">
        <f>(BS121-BR121)*-1</f>
        <v>0</v>
      </c>
      <c r="BT250" s="3">
        <f>(BT121-BS121)*-1</f>
        <v>0</v>
      </c>
      <c r="BU250" s="3">
        <f>SUM(BQ250:BT250)</f>
        <v>0</v>
      </c>
      <c r="BV250" s="3">
        <f>(BV121-BU121)*-1</f>
        <v>0</v>
      </c>
      <c r="BW250" s="3">
        <f>(BW121-BV121)*-1</f>
        <v>0</v>
      </c>
      <c r="BX250" s="3">
        <f>(BX121-BW121)*-1</f>
        <v>0</v>
      </c>
      <c r="BY250" s="3">
        <f>(BY121-BX121)*-1</f>
        <v>0</v>
      </c>
      <c r="BZ250" s="3">
        <f>SUM(BV250:BY250)</f>
        <v>0</v>
      </c>
      <c r="CA250" s="3">
        <f>(CA121-BZ121)*-1</f>
        <v>0</v>
      </c>
      <c r="CB250" s="3">
        <f>(CB121-CA121)*-1</f>
        <v>0</v>
      </c>
      <c r="CC250" s="3">
        <f>(CC121-CB121)*-1</f>
        <v>0</v>
      </c>
      <c r="CD250" s="3">
        <f>(CD121-CC121)*-1</f>
        <v>0</v>
      </c>
      <c r="CE250" s="3">
        <f>SUM(CA250:CD250)</f>
        <v>0</v>
      </c>
      <c r="CF250" s="3">
        <f>(CF121-CE121)*-1</f>
        <v>0</v>
      </c>
      <c r="CG250" s="3">
        <f>(CG121-CF121)*-1</f>
        <v>0</v>
      </c>
      <c r="CH250" s="3">
        <f>(CH121-CG121)*-1</f>
        <v>0</v>
      </c>
      <c r="CI250" s="3">
        <f>(CI121-CH121)*-1</f>
        <v>0</v>
      </c>
      <c r="CJ250" s="3">
        <f>SUM(CF250:CI250)</f>
        <v>0</v>
      </c>
      <c r="CK250" s="3">
        <f>(CK121-CJ121)*-1</f>
        <v>0</v>
      </c>
      <c r="CL250" s="3">
        <f>(CL121-CK121)*-1</f>
        <v>0</v>
      </c>
      <c r="CM250" s="3">
        <f>(CM121-CL121)*-1</f>
        <v>0</v>
      </c>
      <c r="CN250" s="3">
        <f>(CN121-CM121)*-1</f>
        <v>0</v>
      </c>
      <c r="CO250" s="3">
        <f>SUM(CK250:CN250)</f>
        <v>0</v>
      </c>
      <c r="CP250" s="3">
        <f>(CP121-CO121)*-1</f>
        <v>0</v>
      </c>
      <c r="CQ250" s="3">
        <f>(CQ121-CP121)*-1</f>
        <v>0</v>
      </c>
      <c r="CR250" s="3">
        <f>(CR121-CQ121)*-1</f>
        <v>0</v>
      </c>
      <c r="CS250" s="3">
        <f>(CS121-CR121)*-1</f>
        <v>0</v>
      </c>
      <c r="CT250" s="3">
        <f>SUM(CP250:CS250)</f>
        <v>0</v>
      </c>
      <c r="CU250" s="3">
        <f>(CU121-CT121)*-1</f>
        <v>0</v>
      </c>
      <c r="CV250" s="3">
        <f>(CV121-CU121)*-1</f>
        <v>0</v>
      </c>
      <c r="CW250" s="3">
        <f>(CW121-CV121)*-1</f>
        <v>0</v>
      </c>
      <c r="CX250" s="3">
        <f>(CX121-CW121)*-1</f>
        <v>0</v>
      </c>
      <c r="CY250" s="3">
        <f>SUM(CU250:CX250)</f>
        <v>0</v>
      </c>
    </row>
    <row r="251" hidden="1" outlineLevel="1">
      <c r="C251" s="29" t="inlineStr">
        <is>
          <t>Accounts payable</t>
        </is>
      </c>
      <c r="D251" s="3" t="n"/>
      <c r="E251" s="3">
        <f>E164-D164</f>
        <v>132</v>
      </c>
      <c r="F251" s="3">
        <f>F164-E164</f>
        <v>204</v>
      </c>
      <c r="G251" s="3">
        <f>G164-F164</f>
        <v>52</v>
      </c>
      <c r="H251" s="3">
        <f>SUM(D251:G251)</f>
        <v>388</v>
      </c>
      <c r="I251" s="3">
        <f>I164-H164</f>
        <v>69</v>
      </c>
      <c r="J251" s="3">
        <f>J164-I164</f>
        <v>256</v>
      </c>
      <c r="K251" s="3">
        <f>K164-J164</f>
        <v>190</v>
      </c>
      <c r="L251" s="3">
        <f>L164-K164</f>
        <v>119</v>
      </c>
      <c r="M251" s="3">
        <f>SUM(I251:L251)</f>
        <v>634</v>
      </c>
      <c r="N251" s="3">
        <f>N164-M164</f>
        <v>216</v>
      </c>
      <c r="O251" s="3">
        <f>O164-N164</f>
        <v>422</v>
      </c>
      <c r="P251" s="3">
        <f>P164-O164</f>
        <v>-930</v>
      </c>
      <c r="Q251" s="3">
        <f>Q164-P164</f>
        <v>-298</v>
      </c>
      <c r="R251" s="3">
        <f>SUM(N251:Q251)</f>
        <v>-590</v>
      </c>
      <c r="S251" s="3">
        <f>S164-R164</f>
        <v>-52</v>
      </c>
      <c r="T251" s="3">
        <f>T164-S164</f>
        <v>788</v>
      </c>
      <c r="U251" s="3">
        <f>U164-T164</f>
        <v>451</v>
      </c>
      <c r="V251" s="3">
        <f>V164-U164</f>
        <v>319</v>
      </c>
      <c r="W251" s="3">
        <f>SUM(S251:V251)</f>
        <v>1506</v>
      </c>
      <c r="X251" s="3">
        <f>X164-W164</f>
        <v>16</v>
      </c>
      <c r="Y251" s="3">
        <f>Y164-X164</f>
        <v>965</v>
      </c>
      <c r="Z251" s="3">
        <f>Z164-Y164</f>
        <v>1673</v>
      </c>
      <c r="AA251" s="3">
        <f>AA164-Z164</f>
        <v>957</v>
      </c>
      <c r="AB251" s="3">
        <f>SUM(X251:AA251)</f>
        <v>3611</v>
      </c>
      <c r="AC251" s="3">
        <f>AC164-AB164</f>
        <v>1021</v>
      </c>
      <c r="AD251" s="3">
        <f>AD164-AC164</f>
        <v>1733</v>
      </c>
      <c r="AE251" s="3">
        <f>AE164-AD164</f>
        <v>-440</v>
      </c>
      <c r="AF251" s="3">
        <f>AF164-AE164</f>
        <v>1188</v>
      </c>
      <c r="AG251" s="3">
        <f>SUM(AC251:AF251)</f>
        <v>3502</v>
      </c>
      <c r="AH251" s="3">
        <f>AH164-AG164</f>
        <v>-9812</v>
      </c>
      <c r="AI251" s="3">
        <f>AI164-AH164</f>
        <v>0</v>
      </c>
      <c r="AJ251" s="3">
        <f>AJ164-AI164</f>
        <v>0</v>
      </c>
      <c r="AK251" s="3">
        <f>AK164-AJ164</f>
        <v>0</v>
      </c>
      <c r="AL251" s="3">
        <f>SUM(AH251:AK251)</f>
        <v>-9812</v>
      </c>
      <c r="AM251" s="3">
        <f>AM164-AL164</f>
        <v>0</v>
      </c>
      <c r="AN251" s="3">
        <f>AN164-AM164</f>
        <v>0</v>
      </c>
      <c r="AO251" s="3">
        <f>AO164-AN164</f>
        <v>0</v>
      </c>
      <c r="AP251" s="3">
        <f>AP164-AO164</f>
        <v>0</v>
      </c>
      <c r="AQ251" s="3">
        <f>SUM(AM251:AP251)</f>
        <v>0</v>
      </c>
      <c r="AR251" s="3">
        <f>AR164-AQ164</f>
        <v>0</v>
      </c>
      <c r="AS251" s="3">
        <f>AS164-AR164</f>
        <v>0</v>
      </c>
      <c r="AT251" s="3">
        <f>AT164-AS164</f>
        <v>0</v>
      </c>
      <c r="AU251" s="3">
        <f>AU164-AT164</f>
        <v>0</v>
      </c>
      <c r="AV251" s="3">
        <f>SUM(AR251:AU251)</f>
        <v>0</v>
      </c>
      <c r="AW251" s="3">
        <f>AW164-AV164</f>
        <v>0</v>
      </c>
      <c r="AX251" s="3">
        <f>AX164-AW164</f>
        <v>0</v>
      </c>
      <c r="AY251" s="3">
        <f>AY164-AX164</f>
        <v>0</v>
      </c>
      <c r="AZ251" s="3">
        <f>AZ164-AY164</f>
        <v>0</v>
      </c>
      <c r="BA251" s="3">
        <f>SUM(AW251:AZ251)</f>
        <v>0</v>
      </c>
      <c r="BB251" s="3">
        <f>BB164-BA164</f>
        <v>0</v>
      </c>
      <c r="BC251" s="3">
        <f>BC164-BB164</f>
        <v>0</v>
      </c>
      <c r="BD251" s="3">
        <f>BD164-BC164</f>
        <v>0</v>
      </c>
      <c r="BE251" s="3">
        <f>BE164-BD164</f>
        <v>0</v>
      </c>
      <c r="BF251" s="3">
        <f>SUM(BB251:BE251)</f>
        <v>0</v>
      </c>
      <c r="BG251" s="3">
        <f>BG164-BF164</f>
        <v>0</v>
      </c>
      <c r="BH251" s="3">
        <f>BH164-BG164</f>
        <v>0</v>
      </c>
      <c r="BI251" s="3">
        <f>BI164-BH164</f>
        <v>0</v>
      </c>
      <c r="BJ251" s="3">
        <f>BJ164-BI164</f>
        <v>0</v>
      </c>
      <c r="BK251" s="3">
        <f>SUM(BG251:BJ251)</f>
        <v>0</v>
      </c>
      <c r="BL251" s="3">
        <f>BL164-BK164</f>
        <v>0</v>
      </c>
      <c r="BM251" s="3">
        <f>BM164-BL164</f>
        <v>0</v>
      </c>
      <c r="BN251" s="3">
        <f>BN164-BM164</f>
        <v>0</v>
      </c>
      <c r="BO251" s="3">
        <f>BO164-BN164</f>
        <v>0</v>
      </c>
      <c r="BP251" s="3">
        <f>SUM(BL251:BO251)</f>
        <v>0</v>
      </c>
      <c r="BQ251" s="3">
        <f>BQ164-BP164</f>
        <v>0</v>
      </c>
      <c r="BR251" s="3">
        <f>BR164-BQ164</f>
        <v>0</v>
      </c>
      <c r="BS251" s="3">
        <f>BS164-BR164</f>
        <v>0</v>
      </c>
      <c r="BT251" s="3">
        <f>BT164-BS164</f>
        <v>0</v>
      </c>
      <c r="BU251" s="3">
        <f>SUM(BQ251:BT251)</f>
        <v>0</v>
      </c>
      <c r="BV251" s="3">
        <f>BV164-BU164</f>
        <v>0</v>
      </c>
      <c r="BW251" s="3">
        <f>BW164-BV164</f>
        <v>0</v>
      </c>
      <c r="BX251" s="3">
        <f>BX164-BW164</f>
        <v>0</v>
      </c>
      <c r="BY251" s="3">
        <f>BY164-BX164</f>
        <v>0</v>
      </c>
      <c r="BZ251" s="3">
        <f>SUM(BV251:BY251)</f>
        <v>0</v>
      </c>
      <c r="CA251" s="3">
        <f>CA164-BZ164</f>
        <v>0</v>
      </c>
      <c r="CB251" s="3">
        <f>CB164-CA164</f>
        <v>0</v>
      </c>
      <c r="CC251" s="3">
        <f>CC164-CB164</f>
        <v>0</v>
      </c>
      <c r="CD251" s="3">
        <f>CD164-CC164</f>
        <v>0</v>
      </c>
      <c r="CE251" s="3">
        <f>SUM(CA251:CD251)</f>
        <v>0</v>
      </c>
      <c r="CF251" s="3">
        <f>CF164-CE164</f>
        <v>0</v>
      </c>
      <c r="CG251" s="3">
        <f>CG164-CF164</f>
        <v>0</v>
      </c>
      <c r="CH251" s="3">
        <f>CH164-CG164</f>
        <v>0</v>
      </c>
      <c r="CI251" s="3">
        <f>CI164-CH164</f>
        <v>0</v>
      </c>
      <c r="CJ251" s="3">
        <f>SUM(CF251:CI251)</f>
        <v>0</v>
      </c>
      <c r="CK251" s="3">
        <f>CK164-CJ164</f>
        <v>0</v>
      </c>
      <c r="CL251" s="3">
        <f>CL164-CK164</f>
        <v>0</v>
      </c>
      <c r="CM251" s="3">
        <f>CM164-CL164</f>
        <v>0</v>
      </c>
      <c r="CN251" s="3">
        <f>CN164-CM164</f>
        <v>0</v>
      </c>
      <c r="CO251" s="3">
        <f>SUM(CK251:CN251)</f>
        <v>0</v>
      </c>
      <c r="CP251" s="3">
        <f>CP164-CO164</f>
        <v>0</v>
      </c>
      <c r="CQ251" s="3">
        <f>CQ164-CP164</f>
        <v>0</v>
      </c>
      <c r="CR251" s="3">
        <f>CR164-CQ164</f>
        <v>0</v>
      </c>
      <c r="CS251" s="3">
        <f>CS164-CR164</f>
        <v>0</v>
      </c>
      <c r="CT251" s="3">
        <f>SUM(CP251:CS251)</f>
        <v>0</v>
      </c>
      <c r="CU251" s="3">
        <f>CU164-CT164</f>
        <v>0</v>
      </c>
      <c r="CV251" s="3">
        <f>CV164-CU164</f>
        <v>0</v>
      </c>
      <c r="CW251" s="3">
        <f>CW164-CV164</f>
        <v>0</v>
      </c>
      <c r="CX251" s="3">
        <f>CX164-CW164</f>
        <v>0</v>
      </c>
      <c r="CY251" s="3">
        <f>SUM(CU251:CX251)</f>
        <v>0</v>
      </c>
    </row>
    <row r="252" hidden="1" outlineLevel="1">
      <c r="C252" s="29" t="inlineStr">
        <is>
          <t>Accrued expenses</t>
        </is>
      </c>
      <c r="D252" s="3" t="n"/>
      <c r="E252" s="3">
        <f>E168-D168</f>
        <v>373</v>
      </c>
      <c r="F252" s="3">
        <f>F168-E168</f>
        <v>47</v>
      </c>
      <c r="G252" s="3">
        <f>G168-F168</f>
        <v>207</v>
      </c>
      <c r="H252" s="3">
        <f>SUM(D252:G252)</f>
        <v>627</v>
      </c>
      <c r="I252" s="3">
        <f>I168-H168</f>
        <v>-39</v>
      </c>
      <c r="J252" s="3">
        <f>J168-I168</f>
        <v>222</v>
      </c>
      <c r="K252" s="3">
        <f>K168-J168</f>
        <v>-6</v>
      </c>
      <c r="L252" s="3">
        <f>L168-K168</f>
        <v>504</v>
      </c>
      <c r="M252" s="3">
        <f>SUM(I252:L252)</f>
        <v>681</v>
      </c>
      <c r="N252" s="3">
        <f>N168-M168</f>
        <v>404</v>
      </c>
      <c r="O252" s="3">
        <f>O168-N168</f>
        <v>920</v>
      </c>
      <c r="P252" s="3">
        <f>P168-O168</f>
        <v>251</v>
      </c>
      <c r="Q252" s="3">
        <f>Q168-P168</f>
        <v>-374</v>
      </c>
      <c r="R252" s="3">
        <f>SUM(N252:Q252)</f>
        <v>1201</v>
      </c>
      <c r="S252" s="3">
        <f>S168-R168</f>
        <v>-339</v>
      </c>
      <c r="T252" s="3">
        <f>T168-S168</f>
        <v>1007</v>
      </c>
      <c r="U252" s="3">
        <f>U168-T168</f>
        <v>677</v>
      </c>
      <c r="V252" s="3">
        <f>V168-U168</f>
        <v>1336</v>
      </c>
      <c r="W252" s="3">
        <f>SUM(S252:V252)</f>
        <v>2681</v>
      </c>
      <c r="X252" s="3">
        <f>X168-W168</f>
        <v>973</v>
      </c>
      <c r="Y252" s="3">
        <f>Y168-X168</f>
        <v>1735</v>
      </c>
      <c r="Z252" s="3">
        <f>Z168-Y168</f>
        <v>631</v>
      </c>
      <c r="AA252" s="3">
        <f>AA168-Z168</f>
        <v>1071</v>
      </c>
      <c r="AB252" s="3">
        <f>SUM(X252:AA252)</f>
        <v>4410</v>
      </c>
      <c r="AC252" s="3">
        <f>AC168-AB168</f>
        <v>2671</v>
      </c>
      <c r="AD252" s="3">
        <f>AD168-AC168</f>
        <v>-257</v>
      </c>
      <c r="AE252" s="3">
        <f>AE168-AD168</f>
        <v>214</v>
      </c>
      <c r="AF252" s="3">
        <f>AF168-AE168</f>
        <v>5115</v>
      </c>
      <c r="AG252" s="3">
        <f>SUM(AC252:AF252)</f>
        <v>7743</v>
      </c>
      <c r="AH252" s="3">
        <f>AH168-AG168</f>
        <v>-18311</v>
      </c>
      <c r="AI252" s="3">
        <f>AI168-AH168</f>
        <v>0</v>
      </c>
      <c r="AJ252" s="3" t="e">
        <f>AJ168-AI168</f>
        <v>#DIV/0!</v>
      </c>
      <c r="AK252" s="3" t="e">
        <f>AK168-AJ168</f>
        <v>#DIV/0!</v>
      </c>
      <c r="AL252" s="3" t="e">
        <f>SUM(AH252:AK252)</f>
        <v>#DIV/0!</v>
      </c>
      <c r="AM252" s="3" t="e">
        <f>AM168-AL168</f>
        <v>#DIV/0!</v>
      </c>
      <c r="AN252" s="3" t="e">
        <f>AN168-AM168</f>
        <v>#DIV/0!</v>
      </c>
      <c r="AO252" s="3" t="e">
        <f>AO168-AN168</f>
        <v>#DIV/0!</v>
      </c>
      <c r="AP252" s="3" t="e">
        <f>AP168-AO168</f>
        <v>#DIV/0!</v>
      </c>
      <c r="AQ252" s="3" t="e">
        <f>SUM(AM252:AP252)</f>
        <v>#DIV/0!</v>
      </c>
      <c r="AR252" s="3" t="e">
        <f>AR168-AQ168</f>
        <v>#DIV/0!</v>
      </c>
      <c r="AS252" s="3" t="e">
        <f>AS168-AR168</f>
        <v>#DIV/0!</v>
      </c>
      <c r="AT252" s="3" t="e">
        <f>AT168-AS168</f>
        <v>#DIV/0!</v>
      </c>
      <c r="AU252" s="3" t="e">
        <f>AU168-AT168</f>
        <v>#DIV/0!</v>
      </c>
      <c r="AV252" s="3" t="e">
        <f>SUM(AR252:AU252)</f>
        <v>#DIV/0!</v>
      </c>
      <c r="AW252" s="3" t="e">
        <f>AW168-AV168</f>
        <v>#DIV/0!</v>
      </c>
      <c r="AX252" s="3" t="e">
        <f>AX168-AW168</f>
        <v>#DIV/0!</v>
      </c>
      <c r="AY252" s="3" t="e">
        <f>AY168-AX168</f>
        <v>#DIV/0!</v>
      </c>
      <c r="AZ252" s="3" t="e">
        <f>AZ168-AY168</f>
        <v>#DIV/0!</v>
      </c>
      <c r="BA252" s="3" t="e">
        <f>SUM(AW252:AZ252)</f>
        <v>#DIV/0!</v>
      </c>
      <c r="BB252" s="3" t="e">
        <f>BB168-BA168</f>
        <v>#DIV/0!</v>
      </c>
      <c r="BC252" s="3" t="e">
        <f>BC168-BB168</f>
        <v>#DIV/0!</v>
      </c>
      <c r="BD252" s="3" t="e">
        <f>BD168-BC168</f>
        <v>#DIV/0!</v>
      </c>
      <c r="BE252" s="3" t="e">
        <f>BE168-BD168</f>
        <v>#DIV/0!</v>
      </c>
      <c r="BF252" s="3" t="e">
        <f>SUM(BB252:BE252)</f>
        <v>#DIV/0!</v>
      </c>
      <c r="BG252" s="3" t="e">
        <f>BG168-BF168</f>
        <v>#DIV/0!</v>
      </c>
      <c r="BH252" s="3" t="e">
        <f>BH168-BG168</f>
        <v>#DIV/0!</v>
      </c>
      <c r="BI252" s="3" t="e">
        <f>BI168-BH168</f>
        <v>#DIV/0!</v>
      </c>
      <c r="BJ252" s="3" t="e">
        <f>BJ168-BI168</f>
        <v>#DIV/0!</v>
      </c>
      <c r="BK252" s="3" t="e">
        <f>SUM(BG252:BJ252)</f>
        <v>#DIV/0!</v>
      </c>
      <c r="BL252" s="3" t="e">
        <f>BL168-BK168</f>
        <v>#DIV/0!</v>
      </c>
      <c r="BM252" s="3" t="e">
        <f>BM168-BL168</f>
        <v>#DIV/0!</v>
      </c>
      <c r="BN252" s="3" t="e">
        <f>BN168-BM168</f>
        <v>#DIV/0!</v>
      </c>
      <c r="BO252" s="3" t="e">
        <f>BO168-BN168</f>
        <v>#DIV/0!</v>
      </c>
      <c r="BP252" s="3" t="e">
        <f>SUM(BL252:BO252)</f>
        <v>#DIV/0!</v>
      </c>
      <c r="BQ252" s="3" t="e">
        <f>BQ168-BP168</f>
        <v>#DIV/0!</v>
      </c>
      <c r="BR252" s="3" t="e">
        <f>BR168-BQ168</f>
        <v>#DIV/0!</v>
      </c>
      <c r="BS252" s="3" t="e">
        <f>BS168-BR168</f>
        <v>#DIV/0!</v>
      </c>
      <c r="BT252" s="3" t="e">
        <f>BT168-BS168</f>
        <v>#DIV/0!</v>
      </c>
      <c r="BU252" s="3" t="e">
        <f>SUM(BQ252:BT252)</f>
        <v>#DIV/0!</v>
      </c>
      <c r="BV252" s="3" t="e">
        <f>BV168-BU168</f>
        <v>#DIV/0!</v>
      </c>
      <c r="BW252" s="3" t="e">
        <f>BW168-BV168</f>
        <v>#DIV/0!</v>
      </c>
      <c r="BX252" s="3" t="e">
        <f>BX168-BW168</f>
        <v>#DIV/0!</v>
      </c>
      <c r="BY252" s="3" t="e">
        <f>BY168-BX168</f>
        <v>#DIV/0!</v>
      </c>
      <c r="BZ252" s="3" t="e">
        <f>SUM(BV252:BY252)</f>
        <v>#DIV/0!</v>
      </c>
      <c r="CA252" s="3" t="e">
        <f>CA168-BZ168</f>
        <v>#DIV/0!</v>
      </c>
      <c r="CB252" s="3" t="e">
        <f>CB168-CA168</f>
        <v>#DIV/0!</v>
      </c>
      <c r="CC252" s="3" t="e">
        <f>CC168-CB168</f>
        <v>#DIV/0!</v>
      </c>
      <c r="CD252" s="3" t="e">
        <f>CD168-CC168</f>
        <v>#DIV/0!</v>
      </c>
      <c r="CE252" s="3" t="e">
        <f>SUM(CA252:CD252)</f>
        <v>#DIV/0!</v>
      </c>
      <c r="CF252" s="3" t="e">
        <f>CF168-CE168</f>
        <v>#DIV/0!</v>
      </c>
      <c r="CG252" s="3" t="e">
        <f>CG168-CF168</f>
        <v>#DIV/0!</v>
      </c>
      <c r="CH252" s="3" t="e">
        <f>CH168-CG168</f>
        <v>#DIV/0!</v>
      </c>
      <c r="CI252" s="3" t="e">
        <f>CI168-CH168</f>
        <v>#DIV/0!</v>
      </c>
      <c r="CJ252" s="3" t="e">
        <f>SUM(CF252:CI252)</f>
        <v>#DIV/0!</v>
      </c>
      <c r="CK252" s="3" t="e">
        <f>CK168-CJ168</f>
        <v>#DIV/0!</v>
      </c>
      <c r="CL252" s="3" t="e">
        <f>CL168-CK168</f>
        <v>#DIV/0!</v>
      </c>
      <c r="CM252" s="3" t="e">
        <f>CM168-CL168</f>
        <v>#DIV/0!</v>
      </c>
      <c r="CN252" s="3" t="e">
        <f>CN168-CM168</f>
        <v>#DIV/0!</v>
      </c>
      <c r="CO252" s="3" t="e">
        <f>SUM(CK252:CN252)</f>
        <v>#DIV/0!</v>
      </c>
      <c r="CP252" s="3" t="e">
        <f>CP168-CO168</f>
        <v>#DIV/0!</v>
      </c>
      <c r="CQ252" s="3" t="e">
        <f>CQ168-CP168</f>
        <v>#DIV/0!</v>
      </c>
      <c r="CR252" s="3" t="e">
        <f>CR168-CQ168</f>
        <v>#DIV/0!</v>
      </c>
      <c r="CS252" s="3" t="e">
        <f>CS168-CR168</f>
        <v>#DIV/0!</v>
      </c>
      <c r="CT252" s="3" t="e">
        <f>SUM(CP252:CS252)</f>
        <v>#DIV/0!</v>
      </c>
      <c r="CU252" s="3" t="e">
        <f>CU168-CT168</f>
        <v>#DIV/0!</v>
      </c>
      <c r="CV252" s="3" t="e">
        <f>CV168-CU168</f>
        <v>#DIV/0!</v>
      </c>
      <c r="CW252" s="3" t="e">
        <f>CW168-CV168</f>
        <v>#DIV/0!</v>
      </c>
      <c r="CX252" s="3" t="e">
        <f>CX168-CW168</f>
        <v>#DIV/0!</v>
      </c>
      <c r="CY252" s="3" t="e">
        <f>SUM(CU252:CX252)</f>
        <v>#DIV/0!</v>
      </c>
    </row>
    <row r="253" hidden="1" outlineLevel="1">
      <c r="C253" s="29" t="inlineStr">
        <is>
          <t>Taxes payable</t>
        </is>
      </c>
      <c r="D253" s="3" t="n"/>
      <c r="E253" s="3">
        <f>E170-D170</f>
        <v>-22</v>
      </c>
      <c r="F253" s="3">
        <f>F170-E170</f>
        <v>18</v>
      </c>
      <c r="G253" s="3">
        <f>G170-F170</f>
        <v>-9</v>
      </c>
      <c r="H253" s="3">
        <f>SUM(D253:G253)</f>
        <v>-13</v>
      </c>
      <c r="I253" s="3">
        <f>I170-H170</f>
        <v>35</v>
      </c>
      <c r="J253" s="3">
        <f>J170-I170</f>
        <v>-32</v>
      </c>
      <c r="K253" s="3">
        <f>K170-J170</f>
        <v>-28</v>
      </c>
      <c r="L253" s="3">
        <f>L170-K170</f>
        <v>96</v>
      </c>
      <c r="M253" s="3">
        <f>SUM(I253:L253)</f>
        <v>71</v>
      </c>
      <c r="N253" s="3">
        <f>N170-M170</f>
        <v>604</v>
      </c>
      <c r="O253" s="3">
        <f>O170-N170</f>
        <v>-578</v>
      </c>
      <c r="P253" s="3">
        <f>P170-O170</f>
        <v>-50</v>
      </c>
      <c r="Q253" s="3">
        <f>Q170-P170</f>
        <v>359</v>
      </c>
      <c r="R253" s="3">
        <f>SUM(N253:Q253)</f>
        <v>335</v>
      </c>
      <c r="S253" s="3">
        <f>S170-R170</f>
        <v>1077</v>
      </c>
      <c r="T253" s="3">
        <f>T170-S170</f>
        <v>1259</v>
      </c>
      <c r="U253" s="3">
        <f>U170-T170</f>
        <v>-2383</v>
      </c>
      <c r="V253" s="3">
        <f>V170-U170</f>
        <v>-124</v>
      </c>
      <c r="W253" s="3">
        <f>SUM(S253:V253)</f>
        <v>-171</v>
      </c>
      <c r="X253" s="3">
        <f>X170-W170</f>
        <v>3585</v>
      </c>
      <c r="Y253" s="3">
        <f>Y170-X170</f>
        <v>-2708</v>
      </c>
      <c r="Z253" s="3">
        <f>Z170-Y170</f>
        <v>183</v>
      </c>
      <c r="AA253" s="3">
        <f>AA170-Z170</f>
        <v>-475</v>
      </c>
      <c r="AB253" s="3">
        <f>SUM(X253:AA253)</f>
        <v>585</v>
      </c>
      <c r="AC253" s="3">
        <f>AC170-AB170</f>
        <v>4791</v>
      </c>
      <c r="AD253" s="3">
        <f>AD170-AC170</f>
        <v>-3762</v>
      </c>
      <c r="AE253" s="3">
        <f>AE170-AD170</f>
        <v>1005</v>
      </c>
      <c r="AF253" s="3">
        <f>AF170-AE170</f>
        <v>-246</v>
      </c>
      <c r="AG253" s="3">
        <f>SUM(AC253:AF253)</f>
        <v>1788</v>
      </c>
      <c r="AH253" s="3">
        <f>AH170-AG170</f>
        <v>-2669</v>
      </c>
      <c r="AI253" s="3">
        <f>AI170-AH170</f>
        <v>0</v>
      </c>
      <c r="AJ253" s="3" t="e">
        <f>AJ170-AI170</f>
        <v>#DIV/0!</v>
      </c>
      <c r="AK253" s="3" t="e">
        <f>AK170-AJ170</f>
        <v>#DIV/0!</v>
      </c>
      <c r="AL253" s="3" t="e">
        <f>SUM(AH253:AK253)</f>
        <v>#DIV/0!</v>
      </c>
      <c r="AM253" s="3" t="e">
        <f>AM170-AL170</f>
        <v>#DIV/0!</v>
      </c>
      <c r="AN253" s="3" t="e">
        <f>AN170-AM170</f>
        <v>#DIV/0!</v>
      </c>
      <c r="AO253" s="3" t="e">
        <f>AO170-AN170</f>
        <v>#DIV/0!</v>
      </c>
      <c r="AP253" s="3" t="e">
        <f>AP170-AO170</f>
        <v>#DIV/0!</v>
      </c>
      <c r="AQ253" s="3" t="e">
        <f>SUM(AM253:AP253)</f>
        <v>#DIV/0!</v>
      </c>
      <c r="AR253" s="3" t="e">
        <f>AR170-AQ170</f>
        <v>#DIV/0!</v>
      </c>
      <c r="AS253" s="3" t="e">
        <f>AS170-AR170</f>
        <v>#DIV/0!</v>
      </c>
      <c r="AT253" s="3" t="e">
        <f>AT170-AS170</f>
        <v>#DIV/0!</v>
      </c>
      <c r="AU253" s="3" t="e">
        <f>AU170-AT170</f>
        <v>#DIV/0!</v>
      </c>
      <c r="AV253" s="3" t="e">
        <f>SUM(AR253:AU253)</f>
        <v>#DIV/0!</v>
      </c>
      <c r="AW253" s="3" t="e">
        <f>AW170-AV170</f>
        <v>#DIV/0!</v>
      </c>
      <c r="AX253" s="3" t="e">
        <f>AX170-AW170</f>
        <v>#DIV/0!</v>
      </c>
      <c r="AY253" s="3" t="e">
        <f>AY170-AX170</f>
        <v>#DIV/0!</v>
      </c>
      <c r="AZ253" s="3" t="e">
        <f>AZ170-AY170</f>
        <v>#DIV/0!</v>
      </c>
      <c r="BA253" s="3" t="e">
        <f>SUM(AW253:AZ253)</f>
        <v>#DIV/0!</v>
      </c>
      <c r="BB253" s="3" t="e">
        <f>BB170-BA170</f>
        <v>#DIV/0!</v>
      </c>
      <c r="BC253" s="3" t="e">
        <f>BC170-BB170</f>
        <v>#DIV/0!</v>
      </c>
      <c r="BD253" s="3" t="e">
        <f>BD170-BC170</f>
        <v>#DIV/0!</v>
      </c>
      <c r="BE253" s="3" t="e">
        <f>BE170-BD170</f>
        <v>#DIV/0!</v>
      </c>
      <c r="BF253" s="3" t="e">
        <f>SUM(BB253:BE253)</f>
        <v>#DIV/0!</v>
      </c>
      <c r="BG253" s="3" t="e">
        <f>BG170-BF170</f>
        <v>#DIV/0!</v>
      </c>
      <c r="BH253" s="3" t="e">
        <f>BH170-BG170</f>
        <v>#DIV/0!</v>
      </c>
      <c r="BI253" s="3" t="e">
        <f>BI170-BH170</f>
        <v>#DIV/0!</v>
      </c>
      <c r="BJ253" s="3" t="e">
        <f>BJ170-BI170</f>
        <v>#DIV/0!</v>
      </c>
      <c r="BK253" s="3" t="e">
        <f>SUM(BG253:BJ253)</f>
        <v>#DIV/0!</v>
      </c>
      <c r="BL253" s="3" t="e">
        <f>BL170-BK170</f>
        <v>#DIV/0!</v>
      </c>
      <c r="BM253" s="3" t="e">
        <f>BM170-BL170</f>
        <v>#DIV/0!</v>
      </c>
      <c r="BN253" s="3" t="e">
        <f>BN170-BM170</f>
        <v>#DIV/0!</v>
      </c>
      <c r="BO253" s="3" t="e">
        <f>BO170-BN170</f>
        <v>#DIV/0!</v>
      </c>
      <c r="BP253" s="3" t="e">
        <f>SUM(BL253:BO253)</f>
        <v>#DIV/0!</v>
      </c>
      <c r="BQ253" s="3" t="e">
        <f>BQ170-BP170</f>
        <v>#DIV/0!</v>
      </c>
      <c r="BR253" s="3" t="e">
        <f>BR170-BQ170</f>
        <v>#DIV/0!</v>
      </c>
      <c r="BS253" s="3" t="e">
        <f>BS170-BR170</f>
        <v>#DIV/0!</v>
      </c>
      <c r="BT253" s="3" t="e">
        <f>BT170-BS170</f>
        <v>#DIV/0!</v>
      </c>
      <c r="BU253" s="3" t="e">
        <f>SUM(BQ253:BT253)</f>
        <v>#DIV/0!</v>
      </c>
      <c r="BV253" s="3" t="e">
        <f>BV170-BU170</f>
        <v>#DIV/0!</v>
      </c>
      <c r="BW253" s="3" t="e">
        <f>BW170-BV170</f>
        <v>#DIV/0!</v>
      </c>
      <c r="BX253" s="3" t="e">
        <f>BX170-BW170</f>
        <v>#DIV/0!</v>
      </c>
      <c r="BY253" s="3" t="e">
        <f>BY170-BX170</f>
        <v>#DIV/0!</v>
      </c>
      <c r="BZ253" s="3" t="e">
        <f>SUM(BV253:BY253)</f>
        <v>#DIV/0!</v>
      </c>
      <c r="CA253" s="3" t="e">
        <f>CA170-BZ170</f>
        <v>#DIV/0!</v>
      </c>
      <c r="CB253" s="3" t="e">
        <f>CB170-CA170</f>
        <v>#DIV/0!</v>
      </c>
      <c r="CC253" s="3" t="e">
        <f>CC170-CB170</f>
        <v>#DIV/0!</v>
      </c>
      <c r="CD253" s="3" t="e">
        <f>CD170-CC170</f>
        <v>#DIV/0!</v>
      </c>
      <c r="CE253" s="3" t="e">
        <f>SUM(CA253:CD253)</f>
        <v>#DIV/0!</v>
      </c>
      <c r="CF253" s="3" t="e">
        <f>CF170-CE170</f>
        <v>#DIV/0!</v>
      </c>
      <c r="CG253" s="3" t="e">
        <f>CG170-CF170</f>
        <v>#DIV/0!</v>
      </c>
      <c r="CH253" s="3" t="e">
        <f>CH170-CG170</f>
        <v>#DIV/0!</v>
      </c>
      <c r="CI253" s="3" t="e">
        <f>CI170-CH170</f>
        <v>#DIV/0!</v>
      </c>
      <c r="CJ253" s="3" t="e">
        <f>SUM(CF253:CI253)</f>
        <v>#DIV/0!</v>
      </c>
      <c r="CK253" s="3" t="e">
        <f>CK170-CJ170</f>
        <v>#DIV/0!</v>
      </c>
      <c r="CL253" s="3" t="e">
        <f>CL170-CK170</f>
        <v>#DIV/0!</v>
      </c>
      <c r="CM253" s="3" t="e">
        <f>CM170-CL170</f>
        <v>#DIV/0!</v>
      </c>
      <c r="CN253" s="3" t="e">
        <f>CN170-CM170</f>
        <v>#DIV/0!</v>
      </c>
      <c r="CO253" s="3" t="e">
        <f>SUM(CK253:CN253)</f>
        <v>#DIV/0!</v>
      </c>
      <c r="CP253" s="3" t="e">
        <f>CP170-CO170</f>
        <v>#DIV/0!</v>
      </c>
      <c r="CQ253" s="3" t="e">
        <f>CQ170-CP170</f>
        <v>#DIV/0!</v>
      </c>
      <c r="CR253" s="3" t="e">
        <f>CR170-CQ170</f>
        <v>#DIV/0!</v>
      </c>
      <c r="CS253" s="3" t="e">
        <f>CS170-CR170</f>
        <v>#DIV/0!</v>
      </c>
      <c r="CT253" s="3" t="e">
        <f>SUM(CP253:CS253)</f>
        <v>#DIV/0!</v>
      </c>
      <c r="CU253" s="3" t="e">
        <f>CU170-CT170</f>
        <v>#DIV/0!</v>
      </c>
      <c r="CV253" s="3" t="e">
        <f>CV170-CU170</f>
        <v>#DIV/0!</v>
      </c>
      <c r="CW253" s="3" t="e">
        <f>CW170-CV170</f>
        <v>#DIV/0!</v>
      </c>
      <c r="CX253" s="3" t="e">
        <f>CX170-CW170</f>
        <v>#DIV/0!</v>
      </c>
      <c r="CY253" s="3" t="e">
        <f>SUM(CU253:CX253)</f>
        <v>#DIV/0!</v>
      </c>
    </row>
    <row r="254" hidden="1" outlineLevel="1">
      <c r="C254" s="29" t="inlineStr">
        <is>
          <t>Other current liabilities (non-debt)</t>
        </is>
      </c>
      <c r="D254" s="3" t="n"/>
      <c r="E254" s="3">
        <f>E171-D171</f>
        <v>0</v>
      </c>
      <c r="F254" s="3">
        <f>F171-E171</f>
        <v>0</v>
      </c>
      <c r="G254" s="3">
        <f>G171-F171</f>
        <v>0</v>
      </c>
      <c r="H254" s="3">
        <f>SUM(D254:G254)</f>
        <v>0</v>
      </c>
      <c r="I254" s="3">
        <f>I171-H171</f>
        <v>0</v>
      </c>
      <c r="J254" s="3">
        <f>J171-I171</f>
        <v>0</v>
      </c>
      <c r="K254" s="3">
        <f>K171-J171</f>
        <v>0</v>
      </c>
      <c r="L254" s="3">
        <f>L171-K171</f>
        <v>0</v>
      </c>
      <c r="M254" s="3">
        <f>SUM(I254:L254)</f>
        <v>0</v>
      </c>
      <c r="N254" s="3">
        <f>N171-M171</f>
        <v>0</v>
      </c>
      <c r="O254" s="3">
        <f>O171-N171</f>
        <v>0</v>
      </c>
      <c r="P254" s="3">
        <f>P171-O171</f>
        <v>0</v>
      </c>
      <c r="Q254" s="3">
        <f>Q171-P171</f>
        <v>0</v>
      </c>
      <c r="R254" s="3">
        <f>SUM(N254:Q254)</f>
        <v>0</v>
      </c>
      <c r="S254" s="3">
        <f>S171-R171</f>
        <v>0</v>
      </c>
      <c r="T254" s="3">
        <f>T171-S171</f>
        <v>0</v>
      </c>
      <c r="U254" s="3">
        <f>U171-T171</f>
        <v>0</v>
      </c>
      <c r="V254" s="3">
        <f>V171-U171</f>
        <v>0</v>
      </c>
      <c r="W254" s="3">
        <f>SUM(S254:V254)</f>
        <v>0</v>
      </c>
      <c r="X254" s="3">
        <f>X171-W171</f>
        <v>0</v>
      </c>
      <c r="Y254" s="3">
        <f>Y171-X171</f>
        <v>0</v>
      </c>
      <c r="Z254" s="3">
        <f>Z171-Y171</f>
        <v>0</v>
      </c>
      <c r="AA254" s="3">
        <f>AA171-Z171</f>
        <v>0</v>
      </c>
      <c r="AB254" s="3">
        <f>SUM(X254:AA254)</f>
        <v>0</v>
      </c>
      <c r="AC254" s="3">
        <f>AC171-AB171</f>
        <v>0</v>
      </c>
      <c r="AD254" s="3">
        <f>AD171-AC171</f>
        <v>0</v>
      </c>
      <c r="AE254" s="3">
        <f>AE171-AD171</f>
        <v>0</v>
      </c>
      <c r="AF254" s="3">
        <f>AF171-AE171</f>
        <v>0</v>
      </c>
      <c r="AG254" s="3">
        <f>SUM(AC254:AF254)</f>
        <v>0</v>
      </c>
      <c r="AH254" s="3">
        <f>AH171-AG171</f>
        <v>0</v>
      </c>
      <c r="AI254" s="3">
        <f>AI171-AH171</f>
        <v>0</v>
      </c>
      <c r="AJ254" s="3">
        <f>AJ171-AI171</f>
        <v>0</v>
      </c>
      <c r="AK254" s="3">
        <f>AK171-AJ171</f>
        <v>0</v>
      </c>
      <c r="AL254" s="3">
        <f>SUM(AH254:AK254)</f>
        <v>0</v>
      </c>
      <c r="AM254" s="3">
        <f>AM171-AL171</f>
        <v>0</v>
      </c>
      <c r="AN254" s="3">
        <f>AN171-AM171</f>
        <v>0</v>
      </c>
      <c r="AO254" s="3">
        <f>AO171-AN171</f>
        <v>0</v>
      </c>
      <c r="AP254" s="3">
        <f>AP171-AO171</f>
        <v>0</v>
      </c>
      <c r="AQ254" s="3">
        <f>SUM(AM254:AP254)</f>
        <v>0</v>
      </c>
      <c r="AR254" s="3">
        <f>AR171-AQ171</f>
        <v>0</v>
      </c>
      <c r="AS254" s="3">
        <f>AS171-AR171</f>
        <v>0</v>
      </c>
      <c r="AT254" s="3">
        <f>AT171-AS171</f>
        <v>0</v>
      </c>
      <c r="AU254" s="3">
        <f>AU171-AT171</f>
        <v>0</v>
      </c>
      <c r="AV254" s="3">
        <f>SUM(AR254:AU254)</f>
        <v>0</v>
      </c>
      <c r="AW254" s="3">
        <f>AW171-AV171</f>
        <v>0</v>
      </c>
      <c r="AX254" s="3">
        <f>AX171-AW171</f>
        <v>0</v>
      </c>
      <c r="AY254" s="3">
        <f>AY171-AX171</f>
        <v>0</v>
      </c>
      <c r="AZ254" s="3">
        <f>AZ171-AY171</f>
        <v>0</v>
      </c>
      <c r="BA254" s="3">
        <f>SUM(AW254:AZ254)</f>
        <v>0</v>
      </c>
      <c r="BB254" s="3">
        <f>BB171-BA171</f>
        <v>0</v>
      </c>
      <c r="BC254" s="3">
        <f>BC171-BB171</f>
        <v>0</v>
      </c>
      <c r="BD254" s="3">
        <f>BD171-BC171</f>
        <v>0</v>
      </c>
      <c r="BE254" s="3">
        <f>BE171-BD171</f>
        <v>0</v>
      </c>
      <c r="BF254" s="3">
        <f>SUM(BB254:BE254)</f>
        <v>0</v>
      </c>
      <c r="BG254" s="3">
        <f>BG171-BF171</f>
        <v>0</v>
      </c>
      <c r="BH254" s="3">
        <f>BH171-BG171</f>
        <v>0</v>
      </c>
      <c r="BI254" s="3">
        <f>BI171-BH171</f>
        <v>0</v>
      </c>
      <c r="BJ254" s="3">
        <f>BJ171-BI171</f>
        <v>0</v>
      </c>
      <c r="BK254" s="3">
        <f>SUM(BG254:BJ254)</f>
        <v>0</v>
      </c>
      <c r="BL254" s="3">
        <f>BL171-BK171</f>
        <v>0</v>
      </c>
      <c r="BM254" s="3">
        <f>BM171-BL171</f>
        <v>0</v>
      </c>
      <c r="BN254" s="3">
        <f>BN171-BM171</f>
        <v>0</v>
      </c>
      <c r="BO254" s="3">
        <f>BO171-BN171</f>
        <v>0</v>
      </c>
      <c r="BP254" s="3">
        <f>SUM(BL254:BO254)</f>
        <v>0</v>
      </c>
      <c r="BQ254" s="3">
        <f>BQ171-BP171</f>
        <v>0</v>
      </c>
      <c r="BR254" s="3">
        <f>BR171-BQ171</f>
        <v>0</v>
      </c>
      <c r="BS254" s="3">
        <f>BS171-BR171</f>
        <v>0</v>
      </c>
      <c r="BT254" s="3">
        <f>BT171-BS171</f>
        <v>0</v>
      </c>
      <c r="BU254" s="3">
        <f>SUM(BQ254:BT254)</f>
        <v>0</v>
      </c>
      <c r="BV254" s="3">
        <f>BV171-BU171</f>
        <v>0</v>
      </c>
      <c r="BW254" s="3">
        <f>BW171-BV171</f>
        <v>0</v>
      </c>
      <c r="BX254" s="3">
        <f>BX171-BW171</f>
        <v>0</v>
      </c>
      <c r="BY254" s="3">
        <f>BY171-BX171</f>
        <v>0</v>
      </c>
      <c r="BZ254" s="3">
        <f>SUM(BV254:BY254)</f>
        <v>0</v>
      </c>
      <c r="CA254" s="3">
        <f>CA171-BZ171</f>
        <v>0</v>
      </c>
      <c r="CB254" s="3">
        <f>CB171-CA171</f>
        <v>0</v>
      </c>
      <c r="CC254" s="3">
        <f>CC171-CB171</f>
        <v>0</v>
      </c>
      <c r="CD254" s="3">
        <f>CD171-CC171</f>
        <v>0</v>
      </c>
      <c r="CE254" s="3">
        <f>SUM(CA254:CD254)</f>
        <v>0</v>
      </c>
      <c r="CF254" s="3">
        <f>CF171-CE171</f>
        <v>0</v>
      </c>
      <c r="CG254" s="3">
        <f>CG171-CF171</f>
        <v>0</v>
      </c>
      <c r="CH254" s="3">
        <f>CH171-CG171</f>
        <v>0</v>
      </c>
      <c r="CI254" s="3">
        <f>CI171-CH171</f>
        <v>0</v>
      </c>
      <c r="CJ254" s="3">
        <f>SUM(CF254:CI254)</f>
        <v>0</v>
      </c>
      <c r="CK254" s="3">
        <f>CK171-CJ171</f>
        <v>0</v>
      </c>
      <c r="CL254" s="3">
        <f>CL171-CK171</f>
        <v>0</v>
      </c>
      <c r="CM254" s="3">
        <f>CM171-CL171</f>
        <v>0</v>
      </c>
      <c r="CN254" s="3">
        <f>CN171-CM171</f>
        <v>0</v>
      </c>
      <c r="CO254" s="3">
        <f>SUM(CK254:CN254)</f>
        <v>0</v>
      </c>
      <c r="CP254" s="3">
        <f>CP171-CO171</f>
        <v>0</v>
      </c>
      <c r="CQ254" s="3">
        <f>CQ171-CP171</f>
        <v>0</v>
      </c>
      <c r="CR254" s="3">
        <f>CR171-CQ171</f>
        <v>0</v>
      </c>
      <c r="CS254" s="3">
        <f>CS171-CR171</f>
        <v>0</v>
      </c>
      <c r="CT254" s="3">
        <f>SUM(CP254:CS254)</f>
        <v>0</v>
      </c>
      <c r="CU254" s="3">
        <f>CU171-CT171</f>
        <v>0</v>
      </c>
      <c r="CV254" s="3">
        <f>CV171-CU171</f>
        <v>0</v>
      </c>
      <c r="CW254" s="3">
        <f>CW171-CV171</f>
        <v>0</v>
      </c>
      <c r="CX254" s="3">
        <f>CX171-CW171</f>
        <v>0</v>
      </c>
      <c r="CY254" s="3">
        <f>SUM(CU254:CX254)</f>
        <v>0</v>
      </c>
    </row>
    <row r="255" hidden="1" outlineLevel="1">
      <c r="C255" s="29" t="inlineStr">
        <is>
          <t>Deferred income taxes</t>
        </is>
      </c>
      <c r="D255" s="3" t="n"/>
      <c r="E255" s="3">
        <f>E205-D205</f>
        <v>242</v>
      </c>
      <c r="F255" s="3">
        <f>F205-E205</f>
        <v>-16</v>
      </c>
      <c r="G255" s="3">
        <f>G205-F205</f>
        <v>-17</v>
      </c>
      <c r="H255" s="3">
        <f>SUM(D255:G255)</f>
        <v>209</v>
      </c>
      <c r="I255" s="3">
        <f>I205-H205</f>
        <v>-7</v>
      </c>
      <c r="J255" s="3">
        <f>J205-I205</f>
        <v>-5</v>
      </c>
      <c r="K255" s="3">
        <f>K205-J205</f>
        <v>-4</v>
      </c>
      <c r="L255" s="3">
        <f>L205-K205</f>
        <v>20</v>
      </c>
      <c r="M255" s="3">
        <f>SUM(I255:L255)</f>
        <v>4</v>
      </c>
      <c r="N255" s="3">
        <f>N205-M205</f>
        <v>12</v>
      </c>
      <c r="O255" s="3">
        <f>O205-N205</f>
        <v>-5</v>
      </c>
      <c r="P255" s="3">
        <f>P205-O205</f>
        <v>-6</v>
      </c>
      <c r="Q255" s="3">
        <f>Q205-P205</f>
        <v>1</v>
      </c>
      <c r="R255" s="3">
        <f>SUM(N255:Q255)</f>
        <v>2</v>
      </c>
      <c r="S255" s="3">
        <f>S205-R205</f>
        <v>43</v>
      </c>
      <c r="T255" s="3">
        <f>T205-S205</f>
        <v>83</v>
      </c>
      <c r="U255" s="3">
        <f>U205-T205</f>
        <v>51</v>
      </c>
      <c r="V255" s="3">
        <f>V205-U205</f>
        <v>38</v>
      </c>
      <c r="W255" s="3">
        <f>SUM(S255:V255)</f>
        <v>215</v>
      </c>
      <c r="X255" s="3">
        <f>X205-W205</f>
        <v>121</v>
      </c>
      <c r="Y255" s="3">
        <f>Y205-X205</f>
        <v>114</v>
      </c>
      <c r="Z255" s="3">
        <f>Z205-Y205</f>
        <v>93</v>
      </c>
      <c r="AA255" s="3">
        <f>AA205-Z205</f>
        <v>96</v>
      </c>
      <c r="AB255" s="3">
        <f>SUM(X255:AA255)</f>
        <v>424</v>
      </c>
      <c r="AC255" s="3">
        <f>AC205-AB205</f>
        <v>196</v>
      </c>
      <c r="AD255" s="3">
        <f>AD205-AC205</f>
        <v>269</v>
      </c>
      <c r="AE255" s="3">
        <f>AE205-AD205</f>
        <v>270</v>
      </c>
      <c r="AF255" s="3">
        <f>AF205-AE205</f>
        <v>153</v>
      </c>
      <c r="AG255" s="3">
        <f>SUM(AC255:AF255)</f>
        <v>888</v>
      </c>
      <c r="AH255" s="3">
        <f>AH205-AG205</f>
        <v>0</v>
      </c>
      <c r="AI255" s="3">
        <f>AI205-AH205</f>
        <v>0</v>
      </c>
      <c r="AJ255" s="3">
        <f>AJ205-AI205</f>
        <v>0</v>
      </c>
      <c r="AK255" s="3">
        <f>AK205-AJ205</f>
        <v>0</v>
      </c>
      <c r="AL255" s="3">
        <f>SUM(AH255:AK255)</f>
        <v>0</v>
      </c>
      <c r="AM255" s="3">
        <f>AM205-AL205</f>
        <v>0</v>
      </c>
      <c r="AN255" s="3">
        <f>AN205-AM205</f>
        <v>0</v>
      </c>
      <c r="AO255" s="3">
        <f>AO205-AN205</f>
        <v>0</v>
      </c>
      <c r="AP255" s="3">
        <f>AP205-AO205</f>
        <v>0</v>
      </c>
      <c r="AQ255" s="3">
        <f>SUM(AM255:AP255)</f>
        <v>0</v>
      </c>
      <c r="AR255" s="3">
        <f>AR205-AQ205</f>
        <v>0</v>
      </c>
      <c r="AS255" s="3">
        <f>AS205-AR205</f>
        <v>0</v>
      </c>
      <c r="AT255" s="3">
        <f>AT205-AS205</f>
        <v>0</v>
      </c>
      <c r="AU255" s="3">
        <f>AU205-AT205</f>
        <v>0</v>
      </c>
      <c r="AV255" s="3">
        <f>SUM(AR255:AU255)</f>
        <v>0</v>
      </c>
      <c r="AW255" s="3">
        <f>AW205-AV205</f>
        <v>0</v>
      </c>
      <c r="AX255" s="3">
        <f>AX205-AW205</f>
        <v>0</v>
      </c>
      <c r="AY255" s="3">
        <f>AY205-AX205</f>
        <v>0</v>
      </c>
      <c r="AZ255" s="3">
        <f>AZ205-AY205</f>
        <v>0</v>
      </c>
      <c r="BA255" s="3">
        <f>SUM(AW255:AZ255)</f>
        <v>0</v>
      </c>
      <c r="BB255" s="3">
        <f>BB205-BA205</f>
        <v>0</v>
      </c>
      <c r="BC255" s="3">
        <f>BC205-BB205</f>
        <v>0</v>
      </c>
      <c r="BD255" s="3">
        <f>BD205-BC205</f>
        <v>0</v>
      </c>
      <c r="BE255" s="3">
        <f>BE205-BD205</f>
        <v>0</v>
      </c>
      <c r="BF255" s="3">
        <f>SUM(BB255:BE255)</f>
        <v>0</v>
      </c>
      <c r="BG255" s="3">
        <f>BG205-BF205</f>
        <v>0</v>
      </c>
      <c r="BH255" s="3">
        <f>BH205-BG205</f>
        <v>0</v>
      </c>
      <c r="BI255" s="3">
        <f>BI205-BH205</f>
        <v>0</v>
      </c>
      <c r="BJ255" s="3">
        <f>BJ205-BI205</f>
        <v>0</v>
      </c>
      <c r="BK255" s="3">
        <f>SUM(BG255:BJ255)</f>
        <v>0</v>
      </c>
      <c r="BL255" s="3">
        <f>BL205-BK205</f>
        <v>0</v>
      </c>
      <c r="BM255" s="3">
        <f>BM205-BL205</f>
        <v>0</v>
      </c>
      <c r="BN255" s="3">
        <f>BN205-BM205</f>
        <v>0</v>
      </c>
      <c r="BO255" s="3">
        <f>BO205-BN205</f>
        <v>0</v>
      </c>
      <c r="BP255" s="3">
        <f>SUM(BL255:BO255)</f>
        <v>0</v>
      </c>
      <c r="BQ255" s="3">
        <f>BQ205-BP205</f>
        <v>0</v>
      </c>
      <c r="BR255" s="3">
        <f>BR205-BQ205</f>
        <v>0</v>
      </c>
      <c r="BS255" s="3">
        <f>BS205-BR205</f>
        <v>0</v>
      </c>
      <c r="BT255" s="3">
        <f>BT205-BS205</f>
        <v>0</v>
      </c>
      <c r="BU255" s="3">
        <f>SUM(BQ255:BT255)</f>
        <v>0</v>
      </c>
      <c r="BV255" s="3">
        <f>BV205-BU205</f>
        <v>0</v>
      </c>
      <c r="BW255" s="3">
        <f>BW205-BV205</f>
        <v>0</v>
      </c>
      <c r="BX255" s="3">
        <f>BX205-BW205</f>
        <v>0</v>
      </c>
      <c r="BY255" s="3">
        <f>BY205-BX205</f>
        <v>0</v>
      </c>
      <c r="BZ255" s="3">
        <f>SUM(BV255:BY255)</f>
        <v>0</v>
      </c>
      <c r="CA255" s="3">
        <f>CA205-BZ205</f>
        <v>0</v>
      </c>
      <c r="CB255" s="3">
        <f>CB205-CA205</f>
        <v>0</v>
      </c>
      <c r="CC255" s="3">
        <f>CC205-CB205</f>
        <v>0</v>
      </c>
      <c r="CD255" s="3">
        <f>CD205-CC205</f>
        <v>0</v>
      </c>
      <c r="CE255" s="3">
        <f>SUM(CA255:CD255)</f>
        <v>0</v>
      </c>
      <c r="CF255" s="3">
        <f>CF205-CE205</f>
        <v>0</v>
      </c>
      <c r="CG255" s="3">
        <f>CG205-CF205</f>
        <v>0</v>
      </c>
      <c r="CH255" s="3">
        <f>CH205-CG205</f>
        <v>0</v>
      </c>
      <c r="CI255" s="3">
        <f>CI205-CH205</f>
        <v>0</v>
      </c>
      <c r="CJ255" s="3">
        <f>SUM(CF255:CI255)</f>
        <v>0</v>
      </c>
      <c r="CK255" s="3">
        <f>CK205-CJ205</f>
        <v>0</v>
      </c>
      <c r="CL255" s="3">
        <f>CL205-CK205</f>
        <v>0</v>
      </c>
      <c r="CM255" s="3">
        <f>CM205-CL205</f>
        <v>0</v>
      </c>
      <c r="CN255" s="3">
        <f>CN205-CM205</f>
        <v>0</v>
      </c>
      <c r="CO255" s="3">
        <f>SUM(CK255:CN255)</f>
        <v>0</v>
      </c>
      <c r="CP255" s="3">
        <f>CP205-CO205</f>
        <v>0</v>
      </c>
      <c r="CQ255" s="3">
        <f>CQ205-CP205</f>
        <v>0</v>
      </c>
      <c r="CR255" s="3">
        <f>CR205-CQ205</f>
        <v>0</v>
      </c>
      <c r="CS255" s="3">
        <f>CS205-CR205</f>
        <v>0</v>
      </c>
      <c r="CT255" s="3">
        <f>SUM(CP255:CS255)</f>
        <v>0</v>
      </c>
      <c r="CU255" s="3">
        <f>CU205-CT205</f>
        <v>0</v>
      </c>
      <c r="CV255" s="3">
        <f>CV205-CU205</f>
        <v>0</v>
      </c>
      <c r="CW255" s="3">
        <f>CW205-CV205</f>
        <v>0</v>
      </c>
      <c r="CX255" s="3">
        <f>CX205-CW205</f>
        <v>0</v>
      </c>
      <c r="CY255" s="3">
        <f>SUM(CU255:CX255)</f>
        <v>0</v>
      </c>
    </row>
    <row r="256" collapsed="1">
      <c r="C256" s="29" t="inlineStr">
        <is>
          <t>Equity income in affiliates</t>
        </is>
      </c>
      <c r="D256" s="3" t="n"/>
      <c r="E256" s="3">
        <f>(E127-D127)*-1</f>
        <v>0</v>
      </c>
      <c r="F256" s="3">
        <f>(F127-E127)*-1</f>
        <v>0</v>
      </c>
      <c r="G256" s="3">
        <f>(G127-F127)*-1</f>
        <v>0</v>
      </c>
      <c r="H256" s="3">
        <f>SUM(D256:G256)</f>
        <v>0</v>
      </c>
      <c r="I256" s="3">
        <f>(I127-H127)*-1</f>
        <v>0</v>
      </c>
      <c r="J256" s="3">
        <f>(J127-I127)*-1</f>
        <v>0</v>
      </c>
      <c r="K256" s="3">
        <f>(K127-J127)*-1</f>
        <v>0</v>
      </c>
      <c r="L256" s="3">
        <f>(L127-K127)*-1</f>
        <v>0</v>
      </c>
      <c r="M256" s="3">
        <f>SUM(I256:L256)</f>
        <v>0</v>
      </c>
      <c r="N256" s="3">
        <f>(N127-M127)*-1</f>
        <v>0</v>
      </c>
      <c r="O256" s="3">
        <f>(O127-N127)*-1</f>
        <v>0</v>
      </c>
      <c r="P256" s="3">
        <f>(P127-O127)*-1</f>
        <v>0</v>
      </c>
      <c r="Q256" s="3">
        <f>(Q127-P127)*-1</f>
        <v>0</v>
      </c>
      <c r="R256" s="3">
        <f>SUM(N256:Q256)</f>
        <v>0</v>
      </c>
      <c r="S256" s="3">
        <f>(S127-R127)*-1</f>
        <v>0</v>
      </c>
      <c r="T256" s="3">
        <f>(T127-S127)*-1</f>
        <v>0</v>
      </c>
      <c r="U256" s="3">
        <f>(U127-T127)*-1</f>
        <v>0</v>
      </c>
      <c r="V256" s="3">
        <f>(V127-U127)*-1</f>
        <v>0</v>
      </c>
      <c r="W256" s="3">
        <f>SUM(S256:V256)</f>
        <v>0</v>
      </c>
      <c r="X256" s="3">
        <f>(X127-W127)*-1</f>
        <v>0</v>
      </c>
      <c r="Y256" s="3">
        <f>(Y127-X127)*-1</f>
        <v>0</v>
      </c>
      <c r="Z256" s="3">
        <f>(Z127-Y127)*-1</f>
        <v>0</v>
      </c>
      <c r="AA256" s="3">
        <f>(AA127-Z127)*-1</f>
        <v>0</v>
      </c>
      <c r="AB256" s="3">
        <f>SUM(X256:AA256)</f>
        <v>0</v>
      </c>
      <c r="AC256" s="3">
        <f>(AC127-AB127)*-1</f>
        <v>0</v>
      </c>
      <c r="AD256" s="3">
        <f>(AD127-AC127)*-1</f>
        <v>0</v>
      </c>
      <c r="AE256" s="3">
        <f>(AE127-AD127)*-1</f>
        <v>0</v>
      </c>
      <c r="AF256" s="3">
        <f>(AF127-AE127)*-1</f>
        <v>0</v>
      </c>
      <c r="AG256" s="3">
        <f>SUM(AC256:AF256)</f>
        <v>0</v>
      </c>
      <c r="AH256" s="3">
        <f>(AH127-AG127)*-1</f>
        <v>0</v>
      </c>
      <c r="AI256" s="3">
        <f>(AI127-AH127)*-1</f>
        <v>0</v>
      </c>
      <c r="AJ256" s="3">
        <f>(AJ127-AI127)*-1</f>
        <v>0</v>
      </c>
      <c r="AK256" s="3">
        <f>(AK127-AJ127)*-1</f>
        <v>0</v>
      </c>
      <c r="AL256" s="3">
        <f>SUM(AH256:AK256)</f>
        <v>0</v>
      </c>
      <c r="AM256" s="3">
        <f>(AM127-AL127)*-1</f>
        <v>0</v>
      </c>
      <c r="AN256" s="3">
        <f>(AN127-AM127)*-1</f>
        <v>0</v>
      </c>
      <c r="AO256" s="3">
        <f>(AO127-AN127)*-1</f>
        <v>0</v>
      </c>
      <c r="AP256" s="3">
        <f>(AP127-AO127)*-1</f>
        <v>0</v>
      </c>
      <c r="AQ256" s="3">
        <f>SUM(AM256:AP256)</f>
        <v>0</v>
      </c>
      <c r="AR256" s="3">
        <f>(AR127-AQ127)*-1</f>
        <v>0</v>
      </c>
      <c r="AS256" s="3">
        <f>(AS127-AR127)*-1</f>
        <v>0</v>
      </c>
      <c r="AT256" s="3">
        <f>(AT127-AS127)*-1</f>
        <v>0</v>
      </c>
      <c r="AU256" s="3">
        <f>(AU127-AT127)*-1</f>
        <v>0</v>
      </c>
      <c r="AV256" s="3">
        <f>SUM(AR256:AU256)</f>
        <v>0</v>
      </c>
      <c r="AW256" s="3">
        <f>(AW127-AV127)*-1</f>
        <v>0</v>
      </c>
      <c r="AX256" s="3">
        <f>(AX127-AW127)*-1</f>
        <v>0</v>
      </c>
      <c r="AY256" s="3">
        <f>(AY127-AX127)*-1</f>
        <v>0</v>
      </c>
      <c r="AZ256" s="3">
        <f>(AZ127-AY127)*-1</f>
        <v>0</v>
      </c>
      <c r="BA256" s="3">
        <f>SUM(AW256:AZ256)</f>
        <v>0</v>
      </c>
      <c r="BB256" s="3">
        <f>(BB127-BA127)*-1</f>
        <v>0</v>
      </c>
      <c r="BC256" s="3">
        <f>(BC127-BB127)*-1</f>
        <v>0</v>
      </c>
      <c r="BD256" s="3">
        <f>(BD127-BC127)*-1</f>
        <v>0</v>
      </c>
      <c r="BE256" s="3">
        <f>(BE127-BD127)*-1</f>
        <v>0</v>
      </c>
      <c r="BF256" s="3">
        <f>SUM(BB256:BE256)</f>
        <v>0</v>
      </c>
      <c r="BG256" s="3">
        <f>(BG127-BF127)*-1</f>
        <v>0</v>
      </c>
      <c r="BH256" s="3">
        <f>(BH127-BG127)*-1</f>
        <v>0</v>
      </c>
      <c r="BI256" s="3">
        <f>(BI127-BH127)*-1</f>
        <v>0</v>
      </c>
      <c r="BJ256" s="3">
        <f>(BJ127-BI127)*-1</f>
        <v>0</v>
      </c>
      <c r="BK256" s="3">
        <f>SUM(BG256:BJ256)</f>
        <v>0</v>
      </c>
      <c r="BL256" s="3">
        <f>(BL127-BK127)*-1</f>
        <v>0</v>
      </c>
      <c r="BM256" s="3">
        <f>(BM127-BL127)*-1</f>
        <v>0</v>
      </c>
      <c r="BN256" s="3">
        <f>(BN127-BM127)*-1</f>
        <v>0</v>
      </c>
      <c r="BO256" s="3">
        <f>(BO127-BN127)*-1</f>
        <v>0</v>
      </c>
      <c r="BP256" s="3">
        <f>SUM(BL256:BO256)</f>
        <v>0</v>
      </c>
      <c r="BQ256" s="3">
        <f>(BQ127-BP127)*-1</f>
        <v>0</v>
      </c>
      <c r="BR256" s="3">
        <f>(BR127-BQ127)*-1</f>
        <v>0</v>
      </c>
      <c r="BS256" s="3">
        <f>(BS127-BR127)*-1</f>
        <v>0</v>
      </c>
      <c r="BT256" s="3">
        <f>(BT127-BS127)*-1</f>
        <v>0</v>
      </c>
      <c r="BU256" s="3">
        <f>SUM(BQ256:BT256)</f>
        <v>0</v>
      </c>
      <c r="BV256" s="3">
        <f>(BV127-BU127)*-1</f>
        <v>0</v>
      </c>
      <c r="BW256" s="3">
        <f>(BW127-BV127)*-1</f>
        <v>0</v>
      </c>
      <c r="BX256" s="3">
        <f>(BX127-BW127)*-1</f>
        <v>0</v>
      </c>
      <c r="BY256" s="3">
        <f>(BY127-BX127)*-1</f>
        <v>0</v>
      </c>
      <c r="BZ256" s="3">
        <f>SUM(BV256:BY256)</f>
        <v>0</v>
      </c>
      <c r="CA256" s="3">
        <f>(CA127-BZ127)*-1</f>
        <v>0</v>
      </c>
      <c r="CB256" s="3">
        <f>(CB127-CA127)*-1</f>
        <v>0</v>
      </c>
      <c r="CC256" s="3">
        <f>(CC127-CB127)*-1</f>
        <v>0</v>
      </c>
      <c r="CD256" s="3">
        <f>(CD127-CC127)*-1</f>
        <v>0</v>
      </c>
      <c r="CE256" s="3">
        <f>SUM(CA256:CD256)</f>
        <v>0</v>
      </c>
      <c r="CF256" s="3">
        <f>(CF127-CE127)*-1</f>
        <v>0</v>
      </c>
      <c r="CG256" s="3">
        <f>(CG127-CF127)*-1</f>
        <v>0</v>
      </c>
      <c r="CH256" s="3">
        <f>(CH127-CG127)*-1</f>
        <v>0</v>
      </c>
      <c r="CI256" s="3">
        <f>(CI127-CH127)*-1</f>
        <v>0</v>
      </c>
      <c r="CJ256" s="3">
        <f>SUM(CF256:CI256)</f>
        <v>0</v>
      </c>
      <c r="CK256" s="3">
        <f>(CK127-CJ127)*-1</f>
        <v>0</v>
      </c>
      <c r="CL256" s="3">
        <f>(CL127-CK127)*-1</f>
        <v>0</v>
      </c>
      <c r="CM256" s="3">
        <f>(CM127-CL127)*-1</f>
        <v>0</v>
      </c>
      <c r="CN256" s="3">
        <f>(CN127-CM127)*-1</f>
        <v>0</v>
      </c>
      <c r="CO256" s="3">
        <f>SUM(CK256:CN256)</f>
        <v>0</v>
      </c>
      <c r="CP256" s="3">
        <f>(CP127-CO127)*-1</f>
        <v>0</v>
      </c>
      <c r="CQ256" s="3">
        <f>(CQ127-CP127)*-1</f>
        <v>0</v>
      </c>
      <c r="CR256" s="3">
        <f>(CR127-CQ127)*-1</f>
        <v>0</v>
      </c>
      <c r="CS256" s="3">
        <f>(CS127-CR127)*-1</f>
        <v>0</v>
      </c>
      <c r="CT256" s="3">
        <f>SUM(CP256:CS256)</f>
        <v>0</v>
      </c>
      <c r="CU256" s="3">
        <f>(CU127-CT127)*-1</f>
        <v>0</v>
      </c>
      <c r="CV256" s="3">
        <f>(CV127-CU127)*-1</f>
        <v>0</v>
      </c>
      <c r="CW256" s="3">
        <f>(CW127-CV127)*-1</f>
        <v>0</v>
      </c>
      <c r="CX256" s="3">
        <f>(CX127-CW127)*-1</f>
        <v>0</v>
      </c>
      <c r="CY256" s="3">
        <f>SUM(CU256:CX256)</f>
        <v>0</v>
      </c>
    </row>
    <row r="257">
      <c r="C257" s="29" t="inlineStr">
        <is>
          <t>Dividends received from affiliates</t>
        </is>
      </c>
      <c r="D257" s="3" t="n"/>
      <c r="E257" s="3">
        <f>-E130</f>
        <v>0</v>
      </c>
      <c r="F257" s="3">
        <f>-F130</f>
        <v>0</v>
      </c>
      <c r="G257" s="3">
        <f>-G130</f>
        <v>0</v>
      </c>
      <c r="H257" s="3">
        <f>SUM(D257:G257)</f>
        <v>0</v>
      </c>
      <c r="I257" s="3">
        <f>-I130</f>
        <v>0</v>
      </c>
      <c r="J257" s="3">
        <f>-J130</f>
        <v>0</v>
      </c>
      <c r="K257" s="3">
        <f>-K130</f>
        <v>0</v>
      </c>
      <c r="L257" s="3">
        <f>-L130</f>
        <v>0</v>
      </c>
      <c r="M257" s="3">
        <f>SUM(I257:L257)</f>
        <v>0</v>
      </c>
      <c r="N257" s="3">
        <f>-N130</f>
        <v>0</v>
      </c>
      <c r="O257" s="3">
        <f>-O130</f>
        <v>0</v>
      </c>
      <c r="P257" s="3">
        <f>-P130</f>
        <v>0</v>
      </c>
      <c r="Q257" s="3">
        <f>-Q130</f>
        <v>0</v>
      </c>
      <c r="R257" s="3">
        <f>SUM(N257:Q257)</f>
        <v>0</v>
      </c>
      <c r="S257" s="3">
        <f>-S130</f>
        <v>0</v>
      </c>
      <c r="T257" s="3">
        <f>-T130</f>
        <v>0</v>
      </c>
      <c r="U257" s="3">
        <f>-U130</f>
        <v>0</v>
      </c>
      <c r="V257" s="3">
        <f>-V130</f>
        <v>0</v>
      </c>
      <c r="W257" s="3">
        <f>SUM(S257:V257)</f>
        <v>0</v>
      </c>
      <c r="X257" s="3">
        <f>-X130</f>
        <v>0</v>
      </c>
      <c r="Y257" s="3">
        <f>-Y130</f>
        <v>0</v>
      </c>
      <c r="Z257" s="3">
        <f>-Z130</f>
        <v>0</v>
      </c>
      <c r="AA257" s="3">
        <f>-AA130</f>
        <v>0</v>
      </c>
      <c r="AB257" s="3">
        <f>SUM(X257:AA257)</f>
        <v>0</v>
      </c>
      <c r="AC257" s="3">
        <f>-AC130</f>
        <v>0</v>
      </c>
      <c r="AD257" s="3">
        <f>-AD130</f>
        <v>0</v>
      </c>
      <c r="AE257" s="3">
        <f>-AE130</f>
        <v>0</v>
      </c>
      <c r="AF257" s="3">
        <f>-AF130</f>
        <v>0</v>
      </c>
      <c r="AG257" s="3">
        <f>SUM(AC257:AF257)</f>
        <v>0</v>
      </c>
      <c r="AH257" s="3">
        <f>-AH130</f>
        <v>0</v>
      </c>
      <c r="AI257" s="3">
        <f>-AI130</f>
        <v>0</v>
      </c>
      <c r="AJ257" s="3">
        <f>-AJ130</f>
        <v>0</v>
      </c>
      <c r="AK257" s="3">
        <f>-AK130</f>
        <v>0</v>
      </c>
      <c r="AL257" s="3">
        <f>SUM(AH257:AK257)</f>
        <v>0</v>
      </c>
      <c r="AM257" s="3">
        <f>-AM130</f>
        <v>0</v>
      </c>
      <c r="AN257" s="3">
        <f>-AN130</f>
        <v>0</v>
      </c>
      <c r="AO257" s="3">
        <f>-AO130</f>
        <v>0</v>
      </c>
      <c r="AP257" s="3">
        <f>-AP130</f>
        <v>0</v>
      </c>
      <c r="AQ257" s="3">
        <f>SUM(AM257:AP257)</f>
        <v>0</v>
      </c>
      <c r="AR257" s="3">
        <f>-AR130</f>
        <v>0</v>
      </c>
      <c r="AS257" s="3">
        <f>-AS130</f>
        <v>0</v>
      </c>
      <c r="AT257" s="3">
        <f>-AT130</f>
        <v>0</v>
      </c>
      <c r="AU257" s="3">
        <f>-AU130</f>
        <v>0</v>
      </c>
      <c r="AV257" s="3">
        <f>SUM(AR257:AU257)</f>
        <v>0</v>
      </c>
      <c r="AW257" s="3">
        <f>-AW130</f>
        <v>0</v>
      </c>
      <c r="AX257" s="3">
        <f>-AX130</f>
        <v>0</v>
      </c>
      <c r="AY257" s="3">
        <f>-AY130</f>
        <v>0</v>
      </c>
      <c r="AZ257" s="3">
        <f>-AZ130</f>
        <v>0</v>
      </c>
      <c r="BA257" s="3">
        <f>SUM(AW257:AZ257)</f>
        <v>0</v>
      </c>
      <c r="BB257" s="3">
        <f>-BB130</f>
        <v>0</v>
      </c>
      <c r="BC257" s="3">
        <f>-BC130</f>
        <v>0</v>
      </c>
      <c r="BD257" s="3">
        <f>-BD130</f>
        <v>0</v>
      </c>
      <c r="BE257" s="3">
        <f>-BE130</f>
        <v>0</v>
      </c>
      <c r="BF257" s="3">
        <f>SUM(BB257:BE257)</f>
        <v>0</v>
      </c>
      <c r="BG257" s="3">
        <f>-BG130</f>
        <v>0</v>
      </c>
      <c r="BH257" s="3">
        <f>-BH130</f>
        <v>0</v>
      </c>
      <c r="BI257" s="3">
        <f>-BI130</f>
        <v>0</v>
      </c>
      <c r="BJ257" s="3">
        <f>-BJ130</f>
        <v>0</v>
      </c>
      <c r="BK257" s="3">
        <f>SUM(BG257:BJ257)</f>
        <v>0</v>
      </c>
      <c r="BL257" s="3">
        <f>-BL130</f>
        <v>0</v>
      </c>
      <c r="BM257" s="3">
        <f>-BM130</f>
        <v>0</v>
      </c>
      <c r="BN257" s="3">
        <f>-BN130</f>
        <v>0</v>
      </c>
      <c r="BO257" s="3">
        <f>-BO130</f>
        <v>0</v>
      </c>
      <c r="BP257" s="3">
        <f>SUM(BL257:BO257)</f>
        <v>0</v>
      </c>
      <c r="BQ257" s="3">
        <f>-BQ130</f>
        <v>0</v>
      </c>
      <c r="BR257" s="3">
        <f>-BR130</f>
        <v>0</v>
      </c>
      <c r="BS257" s="3">
        <f>-BS130</f>
        <v>0</v>
      </c>
      <c r="BT257" s="3">
        <f>-BT130</f>
        <v>0</v>
      </c>
      <c r="BU257" s="3">
        <f>SUM(BQ257:BT257)</f>
        <v>0</v>
      </c>
      <c r="BV257" s="3">
        <f>-BV130</f>
        <v>0</v>
      </c>
      <c r="BW257" s="3">
        <f>-BW130</f>
        <v>0</v>
      </c>
      <c r="BX257" s="3">
        <f>-BX130</f>
        <v>0</v>
      </c>
      <c r="BY257" s="3">
        <f>-BY130</f>
        <v>0</v>
      </c>
      <c r="BZ257" s="3">
        <f>SUM(BV257:BY257)</f>
        <v>0</v>
      </c>
      <c r="CA257" s="3">
        <f>-CA130</f>
        <v>0</v>
      </c>
      <c r="CB257" s="3">
        <f>-CB130</f>
        <v>0</v>
      </c>
      <c r="CC257" s="3">
        <f>-CC130</f>
        <v>0</v>
      </c>
      <c r="CD257" s="3">
        <f>-CD130</f>
        <v>0</v>
      </c>
      <c r="CE257" s="3">
        <f>SUM(CA257:CD257)</f>
        <v>0</v>
      </c>
      <c r="CF257" s="3">
        <f>-CF130</f>
        <v>0</v>
      </c>
      <c r="CG257" s="3">
        <f>-CG130</f>
        <v>0</v>
      </c>
      <c r="CH257" s="3">
        <f>-CH130</f>
        <v>0</v>
      </c>
      <c r="CI257" s="3">
        <f>-CI130</f>
        <v>0</v>
      </c>
      <c r="CJ257" s="3">
        <f>SUM(CF257:CI257)</f>
        <v>0</v>
      </c>
      <c r="CK257" s="3">
        <f>-CK130</f>
        <v>0</v>
      </c>
      <c r="CL257" s="3">
        <f>-CL130</f>
        <v>0</v>
      </c>
      <c r="CM257" s="3">
        <f>-CM130</f>
        <v>0</v>
      </c>
      <c r="CN257" s="3">
        <f>-CN130</f>
        <v>0</v>
      </c>
      <c r="CO257" s="3">
        <f>SUM(CK257:CN257)</f>
        <v>0</v>
      </c>
      <c r="CP257" s="3">
        <f>-CP130</f>
        <v>0</v>
      </c>
      <c r="CQ257" s="3">
        <f>-CQ130</f>
        <v>0</v>
      </c>
      <c r="CR257" s="3">
        <f>-CR130</f>
        <v>0</v>
      </c>
      <c r="CS257" s="3">
        <f>-CS130</f>
        <v>0</v>
      </c>
      <c r="CT257" s="3">
        <f>SUM(CP257:CS257)</f>
        <v>0</v>
      </c>
      <c r="CU257" s="3">
        <f>-CU130</f>
        <v>0</v>
      </c>
      <c r="CV257" s="3">
        <f>-CV130</f>
        <v>0</v>
      </c>
      <c r="CW257" s="3">
        <f>-CW130</f>
        <v>0</v>
      </c>
      <c r="CX257" s="3">
        <f>-CX130</f>
        <v>0</v>
      </c>
      <c r="CY257" s="3">
        <f>SUM(CU257:CX257)</f>
        <v>0</v>
      </c>
    </row>
    <row r="258">
      <c r="C258" s="30" t="inlineStr">
        <is>
          <t>Minority interest expense</t>
        </is>
      </c>
      <c r="D258" s="3" t="n"/>
      <c r="E258" s="3">
        <f>-E102</f>
        <v>0</v>
      </c>
      <c r="F258" s="3">
        <f>-F102</f>
        <v>0</v>
      </c>
      <c r="G258" s="3">
        <f>-G102</f>
        <v>0</v>
      </c>
      <c r="H258" s="3">
        <f>SUM(D258:G258)</f>
        <v>0</v>
      </c>
      <c r="I258" s="3">
        <f>-I102</f>
        <v>0</v>
      </c>
      <c r="J258" s="3">
        <f>-J102</f>
        <v>0</v>
      </c>
      <c r="K258" s="3">
        <f>-K102</f>
        <v>0</v>
      </c>
      <c r="L258" s="3">
        <f>-L102</f>
        <v>0</v>
      </c>
      <c r="M258" s="3">
        <f>SUM(I258:L258)</f>
        <v>0</v>
      </c>
      <c r="N258" s="3">
        <f>-N102</f>
        <v>0</v>
      </c>
      <c r="O258" s="3">
        <f>-O102</f>
        <v>0</v>
      </c>
      <c r="P258" s="3">
        <f>-P102</f>
        <v>0</v>
      </c>
      <c r="Q258" s="3">
        <f>-Q102</f>
        <v>0</v>
      </c>
      <c r="R258" s="3">
        <f>SUM(N258:Q258)</f>
        <v>0</v>
      </c>
      <c r="S258" s="3">
        <f>-S102</f>
        <v>0</v>
      </c>
      <c r="T258" s="3">
        <f>-T102</f>
        <v>0</v>
      </c>
      <c r="U258" s="3">
        <f>-U102</f>
        <v>0</v>
      </c>
      <c r="V258" s="3">
        <f>-V102</f>
        <v>0</v>
      </c>
      <c r="W258" s="3">
        <f>SUM(S258:V258)</f>
        <v>0</v>
      </c>
      <c r="X258" s="3">
        <f>-X102</f>
        <v>0</v>
      </c>
      <c r="Y258" s="3">
        <f>-Y102</f>
        <v>0</v>
      </c>
      <c r="Z258" s="3">
        <f>-Z102</f>
        <v>0</v>
      </c>
      <c r="AA258" s="3">
        <f>-AA102</f>
        <v>0</v>
      </c>
      <c r="AB258" s="3">
        <f>SUM(X258:AA258)</f>
        <v>0</v>
      </c>
      <c r="AC258" s="3">
        <f>-AC102</f>
        <v>0</v>
      </c>
      <c r="AD258" s="3">
        <f>-AD102</f>
        <v>0</v>
      </c>
      <c r="AE258" s="3">
        <f>-AE102</f>
        <v>0</v>
      </c>
      <c r="AF258" s="3">
        <f>-AF102</f>
        <v>0</v>
      </c>
      <c r="AG258" s="3">
        <f>SUM(AC258:AF258)</f>
        <v>0</v>
      </c>
      <c r="AH258" s="3">
        <f>-AH102</f>
        <v>0</v>
      </c>
      <c r="AI258" s="3">
        <f>-AI102</f>
        <v>0</v>
      </c>
      <c r="AJ258" s="3">
        <f>-AJ102</f>
        <v>0</v>
      </c>
      <c r="AK258" s="3">
        <f>-AK102</f>
        <v>0</v>
      </c>
      <c r="AL258" s="3">
        <f>SUM(AH258:AK258)</f>
        <v>0</v>
      </c>
      <c r="AM258" s="3">
        <f>-AM102</f>
        <v>0</v>
      </c>
      <c r="AN258" s="3">
        <f>-AN102</f>
        <v>0</v>
      </c>
      <c r="AO258" s="3">
        <f>-AO102</f>
        <v>0</v>
      </c>
      <c r="AP258" s="3">
        <f>-AP102</f>
        <v>0</v>
      </c>
      <c r="AQ258" s="3">
        <f>SUM(AM258:AP258)</f>
        <v>0</v>
      </c>
      <c r="AR258" s="3">
        <f>-AR102</f>
        <v>0</v>
      </c>
      <c r="AS258" s="3">
        <f>-AS102</f>
        <v>0</v>
      </c>
      <c r="AT258" s="3">
        <f>-AT102</f>
        <v>0</v>
      </c>
      <c r="AU258" s="3">
        <f>-AU102</f>
        <v>0</v>
      </c>
      <c r="AV258" s="3">
        <f>SUM(AR258:AU258)</f>
        <v>0</v>
      </c>
      <c r="AW258" s="3">
        <f>-AW102</f>
        <v>0</v>
      </c>
      <c r="AX258" s="3">
        <f>-AX102</f>
        <v>0</v>
      </c>
      <c r="AY258" s="3">
        <f>-AY102</f>
        <v>0</v>
      </c>
      <c r="AZ258" s="3">
        <f>-AZ102</f>
        <v>0</v>
      </c>
      <c r="BA258" s="3">
        <f>SUM(AW258:AZ258)</f>
        <v>0</v>
      </c>
      <c r="BB258" s="3">
        <f>-BB102</f>
        <v>0</v>
      </c>
      <c r="BC258" s="3">
        <f>-BC102</f>
        <v>0</v>
      </c>
      <c r="BD258" s="3">
        <f>-BD102</f>
        <v>0</v>
      </c>
      <c r="BE258" s="3">
        <f>-BE102</f>
        <v>0</v>
      </c>
      <c r="BF258" s="3">
        <f>SUM(BB258:BE258)</f>
        <v>0</v>
      </c>
      <c r="BG258" s="3">
        <f>-BG102</f>
        <v>0</v>
      </c>
      <c r="BH258" s="3">
        <f>-BH102</f>
        <v>0</v>
      </c>
      <c r="BI258" s="3">
        <f>-BI102</f>
        <v>0</v>
      </c>
      <c r="BJ258" s="3">
        <f>-BJ102</f>
        <v>0</v>
      </c>
      <c r="BK258" s="3">
        <f>SUM(BG258:BJ258)</f>
        <v>0</v>
      </c>
      <c r="BL258" s="3">
        <f>-BL102</f>
        <v>0</v>
      </c>
      <c r="BM258" s="3">
        <f>-BM102</f>
        <v>0</v>
      </c>
      <c r="BN258" s="3">
        <f>-BN102</f>
        <v>0</v>
      </c>
      <c r="BO258" s="3">
        <f>-BO102</f>
        <v>0</v>
      </c>
      <c r="BP258" s="3">
        <f>SUM(BL258:BO258)</f>
        <v>0</v>
      </c>
      <c r="BQ258" s="3">
        <f>-BQ102</f>
        <v>0</v>
      </c>
      <c r="BR258" s="3">
        <f>-BR102</f>
        <v>0</v>
      </c>
      <c r="BS258" s="3">
        <f>-BS102</f>
        <v>0</v>
      </c>
      <c r="BT258" s="3">
        <f>-BT102</f>
        <v>0</v>
      </c>
      <c r="BU258" s="3">
        <f>SUM(BQ258:BT258)</f>
        <v>0</v>
      </c>
      <c r="BV258" s="3">
        <f>-BV102</f>
        <v>0</v>
      </c>
      <c r="BW258" s="3">
        <f>-BW102</f>
        <v>0</v>
      </c>
      <c r="BX258" s="3">
        <f>-BX102</f>
        <v>0</v>
      </c>
      <c r="BY258" s="3">
        <f>-BY102</f>
        <v>0</v>
      </c>
      <c r="BZ258" s="3">
        <f>SUM(BV258:BY258)</f>
        <v>0</v>
      </c>
      <c r="CA258" s="3">
        <f>-CA102</f>
        <v>0</v>
      </c>
      <c r="CB258" s="3">
        <f>-CB102</f>
        <v>0</v>
      </c>
      <c r="CC258" s="3">
        <f>-CC102</f>
        <v>0</v>
      </c>
      <c r="CD258" s="3">
        <f>-CD102</f>
        <v>0</v>
      </c>
      <c r="CE258" s="3">
        <f>SUM(CA258:CD258)</f>
        <v>0</v>
      </c>
      <c r="CF258" s="3">
        <f>-CF102</f>
        <v>0</v>
      </c>
      <c r="CG258" s="3">
        <f>-CG102</f>
        <v>0</v>
      </c>
      <c r="CH258" s="3">
        <f>-CH102</f>
        <v>0</v>
      </c>
      <c r="CI258" s="3">
        <f>-CI102</f>
        <v>0</v>
      </c>
      <c r="CJ258" s="3">
        <f>SUM(CF258:CI258)</f>
        <v>0</v>
      </c>
      <c r="CK258" s="3">
        <f>-CK102</f>
        <v>0</v>
      </c>
      <c r="CL258" s="3">
        <f>-CL102</f>
        <v>0</v>
      </c>
      <c r="CM258" s="3">
        <f>-CM102</f>
        <v>0</v>
      </c>
      <c r="CN258" s="3">
        <f>-CN102</f>
        <v>0</v>
      </c>
      <c r="CO258" s="3">
        <f>SUM(CK258:CN258)</f>
        <v>0</v>
      </c>
      <c r="CP258" s="3">
        <f>-CP102</f>
        <v>0</v>
      </c>
      <c r="CQ258" s="3">
        <f>-CQ102</f>
        <v>0</v>
      </c>
      <c r="CR258" s="3">
        <f>-CR102</f>
        <v>0</v>
      </c>
      <c r="CS258" s="3">
        <f>-CS102</f>
        <v>0</v>
      </c>
      <c r="CT258" s="3">
        <f>SUM(CP258:CS258)</f>
        <v>0</v>
      </c>
      <c r="CU258" s="3">
        <f>-CU102</f>
        <v>0</v>
      </c>
      <c r="CV258" s="3">
        <f>-CV102</f>
        <v>0</v>
      </c>
      <c r="CW258" s="3">
        <f>-CW102</f>
        <v>0</v>
      </c>
      <c r="CX258" s="3">
        <f>-CX102</f>
        <v>0</v>
      </c>
      <c r="CY258" s="3">
        <f>SUM(CU258:CX258)</f>
        <v>0</v>
      </c>
    </row>
    <row r="259">
      <c r="C259" s="26" t="inlineStr">
        <is>
          <t>Cash from operations</t>
        </is>
      </c>
      <c r="D259" s="3" t="n"/>
      <c r="E259" s="3">
        <f>SUM(E243,E244,E245,E256,E257,E258)</f>
        <v>1184</v>
      </c>
      <c r="F259" s="3">
        <f>SUM(F243,F244,F245,F256,F257,F258)</f>
        <v>1298</v>
      </c>
      <c r="G259" s="3">
        <f>SUM(G243,G244,G245,G256,G257,G258)</f>
        <v>1598</v>
      </c>
      <c r="H259" s="3">
        <f>SUM(H243,H244,H245,H256,H257,H258)</f>
        <v>4080</v>
      </c>
      <c r="I259" s="3">
        <f>SUM(I243,I244,I245,I256,I257,I258)</f>
        <v>1313</v>
      </c>
      <c r="J259" s="3">
        <f>SUM(J243,J244,J245,J256,J257,J258)</f>
        <v>2229</v>
      </c>
      <c r="K259" s="3">
        <f>SUM(K243,K244,K245,K256,K257,K258)</f>
        <v>2546</v>
      </c>
      <c r="L259" s="3">
        <f>SUM(L243,L244,L245,L256,L257,L258)</f>
        <v>2685</v>
      </c>
      <c r="M259" s="3">
        <f>SUM(M243,M244,M245,M256,M257,M258)</f>
        <v>8773</v>
      </c>
      <c r="N259" s="3">
        <f>SUM(N243,N244,N245,N256,N257,N258)</f>
        <v>1010</v>
      </c>
      <c r="O259" s="3">
        <f>SUM(O243,O244,O245,O256,O257,O258)</f>
        <v>208</v>
      </c>
      <c r="P259" s="3">
        <f>SUM(P243,P244,P245,P256,P257,P258)</f>
        <v>115</v>
      </c>
      <c r="Q259" s="3">
        <f>SUM(Q243,Q244,Q245,Q256,Q257,Q258)</f>
        <v>1197</v>
      </c>
      <c r="R259" s="3">
        <f>SUM(R243,R244,R245,R256,R257,R258)</f>
        <v>2530</v>
      </c>
      <c r="S259" s="3">
        <f>SUM(S243,S244,S245,S256,S257,S258)</f>
        <v>2198</v>
      </c>
      <c r="T259" s="3">
        <f>SUM(T243,T244,T245,T256,T257,T258)</f>
        <v>5649</v>
      </c>
      <c r="U259" s="3">
        <f>SUM(U243,U244,U245,U256,U257,U258)</f>
        <v>6224</v>
      </c>
      <c r="V259" s="3">
        <f>SUM(V243,V244,V245,V256,V257,V258)</f>
        <v>10159</v>
      </c>
      <c r="W259" s="3">
        <f>SUM(W243,W244,W245,W256,W257,W258)</f>
        <v>24230</v>
      </c>
      <c r="X259" s="3">
        <f>SUM(X243,X244,X245,X256,X257,X258)</f>
        <v>14339</v>
      </c>
      <c r="Y259" s="3">
        <f>SUM(Y243,Y244,Y245,Y256,Y257,Y258)</f>
        <v>12816</v>
      </c>
      <c r="Z259" s="3">
        <f>SUM(Z243,Z244,Z245,Z256,Z257,Z258)</f>
        <v>17349</v>
      </c>
      <c r="AA259" s="3">
        <f>SUM(AA243,AA244,AA245,AA256,AA257,AA258)</f>
        <v>15817</v>
      </c>
      <c r="AB259" s="3">
        <f>SUM(AB243,AB244,AB245,AB256,AB257,AB258)</f>
        <v>60321</v>
      </c>
      <c r="AC259" s="3">
        <f>SUM(AC243,AC244,AC245,AC256,AC257,AC258)</f>
        <v>26398</v>
      </c>
      <c r="AD259" s="3">
        <f>SUM(AD243,AD244,AD245,AD256,AD257,AD258)</f>
        <v>15638</v>
      </c>
      <c r="AE259" s="3">
        <f>SUM(AE243,AE244,AE245,AE256,AE257,AE258)</f>
        <v>23150</v>
      </c>
      <c r="AF259" s="3">
        <f>SUM(AF243,AF244,AF245,AF256,AF257,AF258)</f>
        <v>43233</v>
      </c>
      <c r="AG259" s="3">
        <f>SUM(AG243,AG244,AG245,AG256,AG257,AG258)</f>
        <v>108419</v>
      </c>
      <c r="AH259" s="3">
        <f>SUM(AH243,AH244,AH245,AH256,AH257,AH258)</f>
        <v>35249</v>
      </c>
      <c r="AI259" s="3">
        <f>SUM(AI243,AI244,AI245,AI256,AI257,AI258)</f>
        <v>11322</v>
      </c>
      <c r="AJ259" s="3" t="e">
        <f>SUM(AJ243,AJ244,AJ245,AJ256,AJ257,AJ258)</f>
        <v>#DIV/0!</v>
      </c>
      <c r="AK259" s="3" t="e">
        <f>SUM(AK243,AK244,AK245,AK256,AK257,AK258)</f>
        <v>#DIV/0!</v>
      </c>
      <c r="AL259" s="3" t="e">
        <f>SUM(AL243,AL244,AL245,AL256,AL257,AL258)</f>
        <v>#DIV/0!</v>
      </c>
      <c r="AM259" s="3" t="e">
        <f>SUM(AM243,AM244,AM245,AM256,AM257,AM258)</f>
        <v>#DIV/0!</v>
      </c>
      <c r="AN259" s="3" t="e">
        <f>SUM(AN243,AN244,AN245,AN256,AN257,AN258)</f>
        <v>#DIV/0!</v>
      </c>
      <c r="AO259" s="3" t="e">
        <f>SUM(AO243,AO244,AO245,AO256,AO257,AO258)</f>
        <v>#DIV/0!</v>
      </c>
      <c r="AP259" s="3" t="e">
        <f>SUM(AP243,AP244,AP245,AP256,AP257,AP258)</f>
        <v>#DIV/0!</v>
      </c>
      <c r="AQ259" s="3" t="e">
        <f>SUM(AQ243,AQ244,AQ245,AQ256,AQ257,AQ258)</f>
        <v>#DIV/0!</v>
      </c>
      <c r="AR259" s="3" t="e">
        <f>SUM(AR243,AR244,AR245,AR256,AR257,AR258)</f>
        <v>#DIV/0!</v>
      </c>
      <c r="AS259" s="3" t="e">
        <f>SUM(AS243,AS244,AS245,AS256,AS257,AS258)</f>
        <v>#DIV/0!</v>
      </c>
      <c r="AT259" s="3" t="e">
        <f>SUM(AT243,AT244,AT245,AT256,AT257,AT258)</f>
        <v>#DIV/0!</v>
      </c>
      <c r="AU259" s="3" t="e">
        <f>SUM(AU243,AU244,AU245,AU256,AU257,AU258)</f>
        <v>#DIV/0!</v>
      </c>
      <c r="AV259" s="3" t="e">
        <f>SUM(AV243,AV244,AV245,AV256,AV257,AV258)</f>
        <v>#DIV/0!</v>
      </c>
      <c r="AW259" s="3" t="e">
        <f>SUM(AW243,AW244,AW245,AW256,AW257,AW258)</f>
        <v>#DIV/0!</v>
      </c>
      <c r="AX259" s="3" t="e">
        <f>SUM(AX243,AX244,AX245,AX256,AX257,AX258)</f>
        <v>#DIV/0!</v>
      </c>
      <c r="AY259" s="3" t="e">
        <f>SUM(AY243,AY244,AY245,AY256,AY257,AY258)</f>
        <v>#DIV/0!</v>
      </c>
      <c r="AZ259" s="3" t="e">
        <f>SUM(AZ243,AZ244,AZ245,AZ256,AZ257,AZ258)</f>
        <v>#DIV/0!</v>
      </c>
      <c r="BA259" s="3" t="e">
        <f>SUM(BA243,BA244,BA245,BA256,BA257,BA258)</f>
        <v>#DIV/0!</v>
      </c>
      <c r="BB259" s="3" t="e">
        <f>SUM(BB243,BB244,BB245,BB256,BB257,BB258)</f>
        <v>#DIV/0!</v>
      </c>
      <c r="BC259" s="3" t="e">
        <f>SUM(BC243,BC244,BC245,BC256,BC257,BC258)</f>
        <v>#DIV/0!</v>
      </c>
      <c r="BD259" s="3" t="e">
        <f>SUM(BD243,BD244,BD245,BD256,BD257,BD258)</f>
        <v>#DIV/0!</v>
      </c>
      <c r="BE259" s="3" t="e">
        <f>SUM(BE243,BE244,BE245,BE256,BE257,BE258)</f>
        <v>#DIV/0!</v>
      </c>
      <c r="BF259" s="3" t="e">
        <f>SUM(BF243,BF244,BF245,BF256,BF257,BF258)</f>
        <v>#DIV/0!</v>
      </c>
      <c r="BG259" s="3" t="e">
        <f>SUM(BG243,BG244,BG245,BG256,BG257,BG258)</f>
        <v>#DIV/0!</v>
      </c>
      <c r="BH259" s="3" t="e">
        <f>SUM(BH243,BH244,BH245,BH256,BH257,BH258)</f>
        <v>#DIV/0!</v>
      </c>
      <c r="BI259" s="3" t="e">
        <f>SUM(BI243,BI244,BI245,BI256,BI257,BI258)</f>
        <v>#DIV/0!</v>
      </c>
      <c r="BJ259" s="3" t="e">
        <f>SUM(BJ243,BJ244,BJ245,BJ256,BJ257,BJ258)</f>
        <v>#DIV/0!</v>
      </c>
      <c r="BK259" s="3" t="e">
        <f>SUM(BK243,BK244,BK245,BK256,BK257,BK258)</f>
        <v>#DIV/0!</v>
      </c>
      <c r="BL259" s="3" t="e">
        <f>SUM(BL243,BL244,BL245,BL256,BL257,BL258)</f>
        <v>#DIV/0!</v>
      </c>
      <c r="BM259" s="3" t="e">
        <f>SUM(BM243,BM244,BM245,BM256,BM257,BM258)</f>
        <v>#DIV/0!</v>
      </c>
      <c r="BN259" s="3" t="e">
        <f>SUM(BN243,BN244,BN245,BN256,BN257,BN258)</f>
        <v>#DIV/0!</v>
      </c>
      <c r="BO259" s="3" t="e">
        <f>SUM(BO243,BO244,BO245,BO256,BO257,BO258)</f>
        <v>#DIV/0!</v>
      </c>
      <c r="BP259" s="3" t="e">
        <f>SUM(BP243,BP244,BP245,BP256,BP257,BP258)</f>
        <v>#DIV/0!</v>
      </c>
      <c r="BQ259" s="3" t="e">
        <f>SUM(BQ243,BQ244,BQ245,BQ256,BQ257,BQ258)</f>
        <v>#DIV/0!</v>
      </c>
      <c r="BR259" s="3" t="e">
        <f>SUM(BR243,BR244,BR245,BR256,BR257,BR258)</f>
        <v>#DIV/0!</v>
      </c>
      <c r="BS259" s="3" t="e">
        <f>SUM(BS243,BS244,BS245,BS256,BS257,BS258)</f>
        <v>#DIV/0!</v>
      </c>
      <c r="BT259" s="3" t="e">
        <f>SUM(BT243,BT244,BT245,BT256,BT257,BT258)</f>
        <v>#DIV/0!</v>
      </c>
      <c r="BU259" s="3" t="e">
        <f>SUM(BU243,BU244,BU245,BU256,BU257,BU258)</f>
        <v>#DIV/0!</v>
      </c>
      <c r="BV259" s="3" t="e">
        <f>SUM(BV243,BV244,BV245,BV256,BV257,BV258)</f>
        <v>#DIV/0!</v>
      </c>
      <c r="BW259" s="3" t="e">
        <f>SUM(BW243,BW244,BW245,BW256,BW257,BW258)</f>
        <v>#DIV/0!</v>
      </c>
      <c r="BX259" s="3" t="e">
        <f>SUM(BX243,BX244,BX245,BX256,BX257,BX258)</f>
        <v>#DIV/0!</v>
      </c>
      <c r="BY259" s="3" t="e">
        <f>SUM(BY243,BY244,BY245,BY256,BY257,BY258)</f>
        <v>#DIV/0!</v>
      </c>
      <c r="BZ259" s="3" t="e">
        <f>SUM(BZ243,BZ244,BZ245,BZ256,BZ257,BZ258)</f>
        <v>#DIV/0!</v>
      </c>
      <c r="CA259" s="3" t="e">
        <f>SUM(CA243,CA244,CA245,CA256,CA257,CA258)</f>
        <v>#DIV/0!</v>
      </c>
      <c r="CB259" s="3" t="e">
        <f>SUM(CB243,CB244,CB245,CB256,CB257,CB258)</f>
        <v>#DIV/0!</v>
      </c>
      <c r="CC259" s="3" t="e">
        <f>SUM(CC243,CC244,CC245,CC256,CC257,CC258)</f>
        <v>#DIV/0!</v>
      </c>
      <c r="CD259" s="3" t="e">
        <f>SUM(CD243,CD244,CD245,CD256,CD257,CD258)</f>
        <v>#DIV/0!</v>
      </c>
      <c r="CE259" s="3" t="e">
        <f>SUM(CE243,CE244,CE245,CE256,CE257,CE258)</f>
        <v>#DIV/0!</v>
      </c>
      <c r="CF259" s="3" t="e">
        <f>SUM(CF243,CF244,CF245,CF256,CF257,CF258)</f>
        <v>#DIV/0!</v>
      </c>
      <c r="CG259" s="3" t="e">
        <f>SUM(CG243,CG244,CG245,CG256,CG257,CG258)</f>
        <v>#DIV/0!</v>
      </c>
      <c r="CH259" s="3" t="e">
        <f>SUM(CH243,CH244,CH245,CH256,CH257,CH258)</f>
        <v>#DIV/0!</v>
      </c>
      <c r="CI259" s="3" t="e">
        <f>SUM(CI243,CI244,CI245,CI256,CI257,CI258)</f>
        <v>#DIV/0!</v>
      </c>
      <c r="CJ259" s="3" t="e">
        <f>SUM(CJ243,CJ244,CJ245,CJ256,CJ257,CJ258)</f>
        <v>#DIV/0!</v>
      </c>
      <c r="CK259" s="3" t="e">
        <f>SUM(CK243,CK244,CK245,CK256,CK257,CK258)</f>
        <v>#DIV/0!</v>
      </c>
      <c r="CL259" s="3" t="e">
        <f>SUM(CL243,CL244,CL245,CL256,CL257,CL258)</f>
        <v>#DIV/0!</v>
      </c>
      <c r="CM259" s="3" t="e">
        <f>SUM(CM243,CM244,CM245,CM256,CM257,CM258)</f>
        <v>#DIV/0!</v>
      </c>
      <c r="CN259" s="3" t="e">
        <f>SUM(CN243,CN244,CN245,CN256,CN257,CN258)</f>
        <v>#DIV/0!</v>
      </c>
      <c r="CO259" s="3" t="e">
        <f>SUM(CO243,CO244,CO245,CO256,CO257,CO258)</f>
        <v>#DIV/0!</v>
      </c>
      <c r="CP259" s="3" t="e">
        <f>SUM(CP243,CP244,CP245,CP256,CP257,CP258)</f>
        <v>#DIV/0!</v>
      </c>
      <c r="CQ259" s="3" t="e">
        <f>SUM(CQ243,CQ244,CQ245,CQ256,CQ257,CQ258)</f>
        <v>#DIV/0!</v>
      </c>
      <c r="CR259" s="3" t="e">
        <f>SUM(CR243,CR244,CR245,CR256,CR257,CR258)</f>
        <v>#DIV/0!</v>
      </c>
      <c r="CS259" s="3" t="e">
        <f>SUM(CS243,CS244,CS245,CS256,CS257,CS258)</f>
        <v>#DIV/0!</v>
      </c>
      <c r="CT259" s="3" t="e">
        <f>SUM(CT243,CT244,CT245,CT256,CT257,CT258)</f>
        <v>#DIV/0!</v>
      </c>
      <c r="CU259" s="3" t="e">
        <f>SUM(CU243,CU244,CU245,CU256,CU257,CU258)</f>
        <v>#DIV/0!</v>
      </c>
      <c r="CV259" s="3" t="e">
        <f>SUM(CV243,CV244,CV245,CV256,CV257,CV258)</f>
        <v>#DIV/0!</v>
      </c>
      <c r="CW259" s="3" t="e">
        <f>SUM(CW243,CW244,CW245,CW256,CW257,CW258)</f>
        <v>#DIV/0!</v>
      </c>
      <c r="CX259" s="3" t="e">
        <f>SUM(CX243,CX244,CX245,CX256,CX257,CX258)</f>
        <v>#DIV/0!</v>
      </c>
      <c r="CY259" s="3" t="e">
        <f>SUM(CY243,CY244,CY245,CY256,CY257,CY258)</f>
        <v>#DIV/0!</v>
      </c>
    </row>
    <row r="260">
      <c r="C260" s="26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/>
      <c r="AY260" s="3" t="n"/>
      <c r="AZ260" s="3" t="n"/>
      <c r="BA260" s="3" t="n"/>
      <c r="BB260" s="3" t="n"/>
      <c r="BC260" s="3" t="n"/>
      <c r="BD260" s="3" t="n"/>
      <c r="BE260" s="3" t="n"/>
      <c r="BF260" s="3" t="n"/>
      <c r="BG260" s="3" t="n"/>
      <c r="BH260" s="3" t="n"/>
      <c r="BI260" s="3" t="n"/>
      <c r="BJ260" s="3" t="n"/>
      <c r="BK260" s="3" t="n"/>
      <c r="BL260" s="3" t="n"/>
      <c r="BM260" s="3" t="n"/>
      <c r="BN260" s="3" t="n"/>
      <c r="BO260" s="3" t="n"/>
      <c r="BP260" s="3" t="n"/>
      <c r="BQ260" s="3" t="n"/>
      <c r="BR260" s="3" t="n"/>
      <c r="BS260" s="3" t="n"/>
      <c r="BT260" s="3" t="n"/>
      <c r="BU260" s="3" t="n"/>
      <c r="BV260" s="3" t="n"/>
      <c r="BW260" s="3" t="n"/>
      <c r="BX260" s="3" t="n"/>
      <c r="BY260" s="3" t="n"/>
      <c r="BZ260" s="3" t="n"/>
      <c r="CA260" s="3" t="n"/>
      <c r="CB260" s="3" t="n"/>
      <c r="CC260" s="3" t="n"/>
      <c r="CD260" s="3" t="n"/>
      <c r="CE260" s="3" t="n"/>
      <c r="CF260" s="3" t="n"/>
      <c r="CG260" s="3" t="n"/>
      <c r="CH260" s="3" t="n"/>
      <c r="CI260" s="3" t="n"/>
      <c r="CJ260" s="3" t="n"/>
      <c r="CK260" s="3" t="n"/>
      <c r="CL260" s="3" t="n"/>
      <c r="CM260" s="3" t="n"/>
      <c r="CN260" s="3" t="n"/>
      <c r="CO260" s="3" t="n"/>
      <c r="CP260" s="3" t="n"/>
      <c r="CQ260" s="3" t="n"/>
      <c r="CR260" s="3" t="n"/>
      <c r="CS260" s="3" t="n"/>
      <c r="CT260" s="3" t="n"/>
      <c r="CU260" s="3" t="n"/>
      <c r="CV260" s="3" t="n"/>
      <c r="CW260" s="3" t="n"/>
      <c r="CX260" s="3" t="n"/>
      <c r="CY260" s="3" t="n"/>
    </row>
    <row r="261">
      <c r="C261" s="29" t="inlineStr">
        <is>
          <t>Purchase of fixed assets (capital expenditures)</t>
        </is>
      </c>
      <c r="D261" s="3" t="n"/>
      <c r="E261" s="3">
        <f>-E134</f>
        <v>-653</v>
      </c>
      <c r="F261" s="3">
        <f>-F134</f>
        <v>-394</v>
      </c>
      <c r="G261" s="3">
        <f>-G134</f>
        <v>-378</v>
      </c>
      <c r="H261" s="3">
        <f>SUM(D261:G261)</f>
        <v>-1425</v>
      </c>
      <c r="I261" s="3">
        <f>-I134</f>
        <v>-400</v>
      </c>
      <c r="J261" s="3">
        <f>-J134</f>
        <v>-382</v>
      </c>
      <c r="K261" s="3">
        <f>-K134</f>
        <v>-443</v>
      </c>
      <c r="L261" s="3">
        <f>-L134</f>
        <v>-578</v>
      </c>
      <c r="M261" s="3">
        <f>SUM(I261:L261)</f>
        <v>-1803</v>
      </c>
      <c r="N261" s="3">
        <f>-N134</f>
        <v>-472</v>
      </c>
      <c r="O261" s="3">
        <f>-O134</f>
        <v>-695</v>
      </c>
      <c r="P261" s="3">
        <f>-P134</f>
        <v>-947</v>
      </c>
      <c r="Q261" s="3">
        <f>-Q134</f>
        <v>-459</v>
      </c>
      <c r="R261" s="3">
        <f>SUM(N261:Q261)</f>
        <v>-2573</v>
      </c>
      <c r="S261" s="3">
        <f>-S134</f>
        <v>-317</v>
      </c>
      <c r="T261" s="3">
        <f>-T134</f>
        <v>-424</v>
      </c>
      <c r="U261" s="3">
        <f>-U134</f>
        <v>-417</v>
      </c>
      <c r="V261" s="3">
        <f>-V134</f>
        <v>-457</v>
      </c>
      <c r="W261" s="3">
        <f>SUM(S261:V261)</f>
        <v>-1615</v>
      </c>
      <c r="X261" s="3">
        <f>-X134</f>
        <v>-502</v>
      </c>
      <c r="Y261" s="3">
        <f>-Y134</f>
        <v>-1312</v>
      </c>
      <c r="Z261" s="3">
        <f>-Z134</f>
        <v>-936</v>
      </c>
      <c r="AA261" s="3">
        <f>-AA134</f>
        <v>-1483</v>
      </c>
      <c r="AB261" s="3">
        <f>SUM(X261:AA261)</f>
        <v>-4233</v>
      </c>
      <c r="AC261" s="3">
        <f>-AC134</f>
        <v>-1464</v>
      </c>
      <c r="AD261" s="3">
        <f>-AD134</f>
        <v>-2674</v>
      </c>
      <c r="AE261" s="3">
        <f>-AE134</f>
        <v>-1390</v>
      </c>
      <c r="AF261" s="3">
        <f>-AF134</f>
        <v>-1415</v>
      </c>
      <c r="AG261" s="3">
        <f>SUM(AC261:AF261)</f>
        <v>-6943</v>
      </c>
      <c r="AH261" s="3">
        <f>-AH134</f>
        <v>0</v>
      </c>
      <c r="AI261" s="3">
        <f>-AI134</f>
        <v>0</v>
      </c>
      <c r="AJ261" s="3">
        <f>-AJ134</f>
        <v>0</v>
      </c>
      <c r="AK261" s="3">
        <f>-AK134</f>
        <v>0</v>
      </c>
      <c r="AL261" s="3">
        <f>SUM(AH261:AK261)</f>
        <v>0</v>
      </c>
      <c r="AM261" s="3">
        <f>-AM134</f>
        <v>0</v>
      </c>
      <c r="AN261" s="3">
        <f>-AN134</f>
        <v>0</v>
      </c>
      <c r="AO261" s="3">
        <f>-AO134</f>
        <v>0</v>
      </c>
      <c r="AP261" s="3">
        <f>-AP134</f>
        <v>0</v>
      </c>
      <c r="AQ261" s="3">
        <f>SUM(AM261:AP261)</f>
        <v>0</v>
      </c>
      <c r="AR261" s="3">
        <f>-AR134</f>
        <v>0</v>
      </c>
      <c r="AS261" s="3">
        <f>-AS134</f>
        <v>0</v>
      </c>
      <c r="AT261" s="3">
        <f>-AT134</f>
        <v>0</v>
      </c>
      <c r="AU261" s="3">
        <f>-AU134</f>
        <v>0</v>
      </c>
      <c r="AV261" s="3">
        <f>SUM(AR261:AU261)</f>
        <v>0</v>
      </c>
      <c r="AW261" s="3">
        <f>-AW134</f>
        <v>0</v>
      </c>
      <c r="AX261" s="3">
        <f>-AX134</f>
        <v>0</v>
      </c>
      <c r="AY261" s="3">
        <f>-AY134</f>
        <v>0</v>
      </c>
      <c r="AZ261" s="3">
        <f>-AZ134</f>
        <v>0</v>
      </c>
      <c r="BA261" s="3">
        <f>SUM(AW261:AZ261)</f>
        <v>0</v>
      </c>
      <c r="BB261" s="3">
        <f>-BB134</f>
        <v>0</v>
      </c>
      <c r="BC261" s="3">
        <f>-BC134</f>
        <v>0</v>
      </c>
      <c r="BD261" s="3">
        <f>-BD134</f>
        <v>0</v>
      </c>
      <c r="BE261" s="3">
        <f>-BE134</f>
        <v>0</v>
      </c>
      <c r="BF261" s="3">
        <f>SUM(BB261:BE261)</f>
        <v>0</v>
      </c>
      <c r="BG261" s="3">
        <f>-BG134</f>
        <v>0</v>
      </c>
      <c r="BH261" s="3">
        <f>-BH134</f>
        <v>0</v>
      </c>
      <c r="BI261" s="3">
        <f>-BI134</f>
        <v>0</v>
      </c>
      <c r="BJ261" s="3">
        <f>-BJ134</f>
        <v>0</v>
      </c>
      <c r="BK261" s="3">
        <f>SUM(BG261:BJ261)</f>
        <v>0</v>
      </c>
      <c r="BL261" s="3">
        <f>-BL134</f>
        <v>0</v>
      </c>
      <c r="BM261" s="3">
        <f>-BM134</f>
        <v>0</v>
      </c>
      <c r="BN261" s="3">
        <f>-BN134</f>
        <v>0</v>
      </c>
      <c r="BO261" s="3">
        <f>-BO134</f>
        <v>0</v>
      </c>
      <c r="BP261" s="3">
        <f>SUM(BL261:BO261)</f>
        <v>0</v>
      </c>
      <c r="BQ261" s="3">
        <f>-BQ134</f>
        <v>0</v>
      </c>
      <c r="BR261" s="3">
        <f>-BR134</f>
        <v>0</v>
      </c>
      <c r="BS261" s="3">
        <f>-BS134</f>
        <v>0</v>
      </c>
      <c r="BT261" s="3">
        <f>-BT134</f>
        <v>0</v>
      </c>
      <c r="BU261" s="3">
        <f>SUM(BQ261:BT261)</f>
        <v>0</v>
      </c>
      <c r="BV261" s="3">
        <f>-BV134</f>
        <v>0</v>
      </c>
      <c r="BW261" s="3">
        <f>-BW134</f>
        <v>0</v>
      </c>
      <c r="BX261" s="3">
        <f>-BX134</f>
        <v>0</v>
      </c>
      <c r="BY261" s="3">
        <f>-BY134</f>
        <v>0</v>
      </c>
      <c r="BZ261" s="3">
        <f>SUM(BV261:BY261)</f>
        <v>0</v>
      </c>
      <c r="CA261" s="3">
        <f>-CA134</f>
        <v>0</v>
      </c>
      <c r="CB261" s="3">
        <f>-CB134</f>
        <v>0</v>
      </c>
      <c r="CC261" s="3">
        <f>-CC134</f>
        <v>0</v>
      </c>
      <c r="CD261" s="3">
        <f>-CD134</f>
        <v>0</v>
      </c>
      <c r="CE261" s="3">
        <f>SUM(CA261:CD261)</f>
        <v>0</v>
      </c>
      <c r="CF261" s="3">
        <f>-CF134</f>
        <v>0</v>
      </c>
      <c r="CG261" s="3">
        <f>-CG134</f>
        <v>0</v>
      </c>
      <c r="CH261" s="3">
        <f>-CH134</f>
        <v>0</v>
      </c>
      <c r="CI261" s="3">
        <f>-CI134</f>
        <v>0</v>
      </c>
      <c r="CJ261" s="3">
        <f>SUM(CF261:CI261)</f>
        <v>0</v>
      </c>
      <c r="CK261" s="3">
        <f>-CK134</f>
        <v>0</v>
      </c>
      <c r="CL261" s="3">
        <f>-CL134</f>
        <v>0</v>
      </c>
      <c r="CM261" s="3">
        <f>-CM134</f>
        <v>0</v>
      </c>
      <c r="CN261" s="3">
        <f>-CN134</f>
        <v>0</v>
      </c>
      <c r="CO261" s="3">
        <f>SUM(CK261:CN261)</f>
        <v>0</v>
      </c>
      <c r="CP261" s="3">
        <f>-CP134</f>
        <v>0</v>
      </c>
      <c r="CQ261" s="3">
        <f>-CQ134</f>
        <v>0</v>
      </c>
      <c r="CR261" s="3">
        <f>-CR134</f>
        <v>0</v>
      </c>
      <c r="CS261" s="3">
        <f>-CS134</f>
        <v>0</v>
      </c>
      <c r="CT261" s="3">
        <f>SUM(CP261:CS261)</f>
        <v>0</v>
      </c>
      <c r="CU261" s="3">
        <f>-CU134</f>
        <v>0</v>
      </c>
      <c r="CV261" s="3">
        <f>-CV134</f>
        <v>0</v>
      </c>
      <c r="CW261" s="3">
        <f>-CW134</f>
        <v>0</v>
      </c>
      <c r="CX261" s="3">
        <f>-CX134</f>
        <v>0</v>
      </c>
      <c r="CY261" s="3">
        <f>SUM(CU261:CX261)</f>
        <v>0</v>
      </c>
    </row>
    <row r="262">
      <c r="C262" s="29" t="inlineStr">
        <is>
          <t>Proceeds from sale of fixed assets</t>
        </is>
      </c>
      <c r="D262" s="3" t="n"/>
      <c r="E262" s="3">
        <f>-E135</f>
        <v>0</v>
      </c>
      <c r="F262" s="3">
        <f>-F135</f>
        <v>0</v>
      </c>
      <c r="G262" s="3">
        <f>-G135</f>
        <v>0</v>
      </c>
      <c r="H262" s="3">
        <f>SUM(D262:G262)</f>
        <v>0</v>
      </c>
      <c r="I262" s="3">
        <f>-I135</f>
        <v>0</v>
      </c>
      <c r="J262" s="3">
        <f>-J135</f>
        <v>0</v>
      </c>
      <c r="K262" s="3">
        <f>-K135</f>
        <v>0</v>
      </c>
      <c r="L262" s="3">
        <f>-L135</f>
        <v>0</v>
      </c>
      <c r="M262" s="3">
        <f>SUM(I262:L262)</f>
        <v>0</v>
      </c>
      <c r="N262" s="3">
        <f>-N135</f>
        <v>0</v>
      </c>
      <c r="O262" s="3">
        <f>-O135</f>
        <v>0</v>
      </c>
      <c r="P262" s="3">
        <f>-P135</f>
        <v>0</v>
      </c>
      <c r="Q262" s="3">
        <f>-Q135</f>
        <v>0</v>
      </c>
      <c r="R262" s="3">
        <f>SUM(N262:Q262)</f>
        <v>0</v>
      </c>
      <c r="S262" s="3">
        <f>-S135</f>
        <v>0</v>
      </c>
      <c r="T262" s="3">
        <f>-T135</f>
        <v>0</v>
      </c>
      <c r="U262" s="3">
        <f>-U135</f>
        <v>0</v>
      </c>
      <c r="V262" s="3">
        <f>-V135</f>
        <v>0</v>
      </c>
      <c r="W262" s="3">
        <f>SUM(S262:V262)</f>
        <v>0</v>
      </c>
      <c r="X262" s="3">
        <f>-X135</f>
        <v>0</v>
      </c>
      <c r="Y262" s="3">
        <f>-Y135</f>
        <v>0</v>
      </c>
      <c r="Z262" s="3">
        <f>-Z135</f>
        <v>0</v>
      </c>
      <c r="AA262" s="3">
        <f>-AA135</f>
        <v>0</v>
      </c>
      <c r="AB262" s="3">
        <f>SUM(X262:AA262)</f>
        <v>0</v>
      </c>
      <c r="AC262" s="3">
        <f>-AC135</f>
        <v>0</v>
      </c>
      <c r="AD262" s="3">
        <f>-AD135</f>
        <v>0</v>
      </c>
      <c r="AE262" s="3">
        <f>-AE135</f>
        <v>0</v>
      </c>
      <c r="AF262" s="3">
        <f>-AF135</f>
        <v>0</v>
      </c>
      <c r="AG262" s="3">
        <f>SUM(AC262:AF262)</f>
        <v>0</v>
      </c>
      <c r="AH262" s="3">
        <f>-AH135</f>
        <v>0</v>
      </c>
      <c r="AI262" s="3">
        <f>-AI135</f>
        <v>0</v>
      </c>
      <c r="AJ262" s="3">
        <f>-AJ135</f>
        <v>0</v>
      </c>
      <c r="AK262" s="3">
        <f>-AK135</f>
        <v>0</v>
      </c>
      <c r="AL262" s="3">
        <f>SUM(AH262:AK262)</f>
        <v>0</v>
      </c>
      <c r="AM262" s="3">
        <f>-AM135</f>
        <v>0</v>
      </c>
      <c r="AN262" s="3">
        <f>-AN135</f>
        <v>0</v>
      </c>
      <c r="AO262" s="3">
        <f>-AO135</f>
        <v>0</v>
      </c>
      <c r="AP262" s="3">
        <f>-AP135</f>
        <v>0</v>
      </c>
      <c r="AQ262" s="3">
        <f>SUM(AM262:AP262)</f>
        <v>0</v>
      </c>
      <c r="AR262" s="3">
        <f>-AR135</f>
        <v>0</v>
      </c>
      <c r="AS262" s="3">
        <f>-AS135</f>
        <v>0</v>
      </c>
      <c r="AT262" s="3">
        <f>-AT135</f>
        <v>0</v>
      </c>
      <c r="AU262" s="3">
        <f>-AU135</f>
        <v>0</v>
      </c>
      <c r="AV262" s="3">
        <f>SUM(AR262:AU262)</f>
        <v>0</v>
      </c>
      <c r="AW262" s="3">
        <f>-AW135</f>
        <v>0</v>
      </c>
      <c r="AX262" s="3">
        <f>-AX135</f>
        <v>0</v>
      </c>
      <c r="AY262" s="3">
        <f>-AY135</f>
        <v>0</v>
      </c>
      <c r="AZ262" s="3">
        <f>-AZ135</f>
        <v>0</v>
      </c>
      <c r="BA262" s="3">
        <f>SUM(AW262:AZ262)</f>
        <v>0</v>
      </c>
      <c r="BB262" s="3">
        <f>-BB135</f>
        <v>0</v>
      </c>
      <c r="BC262" s="3">
        <f>-BC135</f>
        <v>0</v>
      </c>
      <c r="BD262" s="3">
        <f>-BD135</f>
        <v>0</v>
      </c>
      <c r="BE262" s="3">
        <f>-BE135</f>
        <v>0</v>
      </c>
      <c r="BF262" s="3">
        <f>SUM(BB262:BE262)</f>
        <v>0</v>
      </c>
      <c r="BG262" s="3">
        <f>-BG135</f>
        <v>0</v>
      </c>
      <c r="BH262" s="3">
        <f>-BH135</f>
        <v>0</v>
      </c>
      <c r="BI262" s="3">
        <f>-BI135</f>
        <v>0</v>
      </c>
      <c r="BJ262" s="3">
        <f>-BJ135</f>
        <v>0</v>
      </c>
      <c r="BK262" s="3">
        <f>SUM(BG262:BJ262)</f>
        <v>0</v>
      </c>
      <c r="BL262" s="3">
        <f>-BL135</f>
        <v>0</v>
      </c>
      <c r="BM262" s="3">
        <f>-BM135</f>
        <v>0</v>
      </c>
      <c r="BN262" s="3">
        <f>-BN135</f>
        <v>0</v>
      </c>
      <c r="BO262" s="3">
        <f>-BO135</f>
        <v>0</v>
      </c>
      <c r="BP262" s="3">
        <f>SUM(BL262:BO262)</f>
        <v>0</v>
      </c>
      <c r="BQ262" s="3">
        <f>-BQ135</f>
        <v>0</v>
      </c>
      <c r="BR262" s="3">
        <f>-BR135</f>
        <v>0</v>
      </c>
      <c r="BS262" s="3">
        <f>-BS135</f>
        <v>0</v>
      </c>
      <c r="BT262" s="3">
        <f>-BT135</f>
        <v>0</v>
      </c>
      <c r="BU262" s="3">
        <f>SUM(BQ262:BT262)</f>
        <v>0</v>
      </c>
      <c r="BV262" s="3">
        <f>-BV135</f>
        <v>0</v>
      </c>
      <c r="BW262" s="3">
        <f>-BW135</f>
        <v>0</v>
      </c>
      <c r="BX262" s="3">
        <f>-BX135</f>
        <v>0</v>
      </c>
      <c r="BY262" s="3">
        <f>-BY135</f>
        <v>0</v>
      </c>
      <c r="BZ262" s="3">
        <f>SUM(BV262:BY262)</f>
        <v>0</v>
      </c>
      <c r="CA262" s="3">
        <f>-CA135</f>
        <v>0</v>
      </c>
      <c r="CB262" s="3">
        <f>-CB135</f>
        <v>0</v>
      </c>
      <c r="CC262" s="3">
        <f>-CC135</f>
        <v>0</v>
      </c>
      <c r="CD262" s="3">
        <f>-CD135</f>
        <v>0</v>
      </c>
      <c r="CE262" s="3">
        <f>SUM(CA262:CD262)</f>
        <v>0</v>
      </c>
      <c r="CF262" s="3">
        <f>-CF135</f>
        <v>0</v>
      </c>
      <c r="CG262" s="3">
        <f>-CG135</f>
        <v>0</v>
      </c>
      <c r="CH262" s="3">
        <f>-CH135</f>
        <v>0</v>
      </c>
      <c r="CI262" s="3">
        <f>-CI135</f>
        <v>0</v>
      </c>
      <c r="CJ262" s="3">
        <f>SUM(CF262:CI262)</f>
        <v>0</v>
      </c>
      <c r="CK262" s="3">
        <f>-CK135</f>
        <v>0</v>
      </c>
      <c r="CL262" s="3">
        <f>-CL135</f>
        <v>0</v>
      </c>
      <c r="CM262" s="3">
        <f>-CM135</f>
        <v>0</v>
      </c>
      <c r="CN262" s="3">
        <f>-CN135</f>
        <v>0</v>
      </c>
      <c r="CO262" s="3">
        <f>SUM(CK262:CN262)</f>
        <v>0</v>
      </c>
      <c r="CP262" s="3">
        <f>-CP135</f>
        <v>0</v>
      </c>
      <c r="CQ262" s="3">
        <f>-CQ135</f>
        <v>0</v>
      </c>
      <c r="CR262" s="3">
        <f>-CR135</f>
        <v>0</v>
      </c>
      <c r="CS262" s="3">
        <f>-CS135</f>
        <v>0</v>
      </c>
      <c r="CT262" s="3">
        <f>SUM(CP262:CS262)</f>
        <v>0</v>
      </c>
      <c r="CU262" s="3">
        <f>-CU135</f>
        <v>0</v>
      </c>
      <c r="CV262" s="3">
        <f>-CV135</f>
        <v>0</v>
      </c>
      <c r="CW262" s="3">
        <f>-CW135</f>
        <v>0</v>
      </c>
      <c r="CX262" s="3">
        <f>-CX135</f>
        <v>0</v>
      </c>
      <c r="CY262" s="3">
        <f>SUM(CU262:CX262)</f>
        <v>0</v>
      </c>
    </row>
    <row r="263">
      <c r="C263" s="29" t="inlineStr">
        <is>
          <t>Var.Right-of-use-assets</t>
        </is>
      </c>
      <c r="D263" s="3" t="n"/>
      <c r="E263" s="3">
        <f>(E142-D142)*-1</f>
        <v>-106</v>
      </c>
      <c r="F263" s="3">
        <f>(F142-E142)*-1</f>
        <v>20</v>
      </c>
      <c r="G263" s="3">
        <f>(G142-F142)*-1</f>
        <v>-26</v>
      </c>
      <c r="H263" s="3">
        <f>SUM(D263:G263)</f>
        <v>-112</v>
      </c>
      <c r="I263" s="3">
        <f>(I142-H142)*-1</f>
        <v>-20</v>
      </c>
      <c r="J263" s="3">
        <f>(J142-I142)*-1</f>
        <v>-74</v>
      </c>
      <c r="K263" s="3">
        <f>(K142-J142)*-1</f>
        <v>-29</v>
      </c>
      <c r="L263" s="3">
        <f>(L142-K142)*-1</f>
        <v>1</v>
      </c>
      <c r="M263" s="3">
        <f>SUM(I263:L263)</f>
        <v>-122</v>
      </c>
      <c r="N263" s="3">
        <f>(N142-M142)*-1</f>
        <v>-27</v>
      </c>
      <c r="O263" s="3">
        <f>(O142-N142)*-1</f>
        <v>4</v>
      </c>
      <c r="P263" s="3">
        <f>(P142-O142)*-1</f>
        <v>-75</v>
      </c>
      <c r="Q263" s="3">
        <f>(Q142-P142)*-1</f>
        <v>-111</v>
      </c>
      <c r="R263" s="3">
        <f>SUM(N263:Q263)</f>
        <v>-209</v>
      </c>
      <c r="S263" s="3">
        <f>(S142-R142)*-1</f>
        <v>-56</v>
      </c>
      <c r="T263" s="3">
        <f>(T142-S142)*-1</f>
        <v>-141</v>
      </c>
      <c r="U263" s="3">
        <f>(U142-T142)*-1</f>
        <v>-81</v>
      </c>
      <c r="V263" s="3">
        <f>(V142-U142)*-1</f>
        <v>-30</v>
      </c>
      <c r="W263" s="3">
        <f>SUM(S263:V263)</f>
        <v>-308</v>
      </c>
      <c r="X263" s="3">
        <f>(X142-W142)*-1</f>
        <v>-186</v>
      </c>
      <c r="Y263" s="3">
        <f>(Y142-X142)*-1</f>
        <v>-24</v>
      </c>
      <c r="Z263" s="3">
        <f>(Z142-Y142)*-1</f>
        <v>-199</v>
      </c>
      <c r="AA263" s="3">
        <f>(AA142-Z142)*-1</f>
        <v>-38</v>
      </c>
      <c r="AB263" s="3">
        <f>SUM(X263:AA263)</f>
        <v>-447</v>
      </c>
      <c r="AC263" s="3">
        <f>(AC142-AB142)*-1</f>
        <v>-17</v>
      </c>
      <c r="AD263" s="3">
        <f>(AD142-AC142)*-1</f>
        <v>-274</v>
      </c>
      <c r="AE263" s="3">
        <f>(AE142-AD142)*-1</f>
        <v>-197</v>
      </c>
      <c r="AF263" s="3">
        <f>(AF142-AE142)*-1</f>
        <v>-586</v>
      </c>
      <c r="AG263" s="3">
        <f>SUM(AC263:AF263)</f>
        <v>-1074</v>
      </c>
      <c r="AH263" s="3">
        <f>(AH142-AG142)*-1</f>
        <v>0</v>
      </c>
      <c r="AI263" s="3">
        <f>(AI142-AH142)*-1</f>
        <v>0</v>
      </c>
      <c r="AJ263" s="3">
        <f>(AJ142-AI142)*-1</f>
        <v>0</v>
      </c>
      <c r="AK263" s="3">
        <f>(AK142-AJ142)*-1</f>
        <v>0</v>
      </c>
      <c r="AL263" s="3">
        <f>SUM(AH263:AK263)</f>
        <v>0</v>
      </c>
      <c r="AM263" s="3">
        <f>(AM142-AL142)*-1</f>
        <v>0</v>
      </c>
      <c r="AN263" s="3">
        <f>(AN142-AM142)*-1</f>
        <v>0</v>
      </c>
      <c r="AO263" s="3">
        <f>(AO142-AN142)*-1</f>
        <v>0</v>
      </c>
      <c r="AP263" s="3">
        <f>(AP142-AO142)*-1</f>
        <v>0</v>
      </c>
      <c r="AQ263" s="3">
        <f>SUM(AM263:AP263)</f>
        <v>0</v>
      </c>
      <c r="AR263" s="3">
        <f>(AR142-AQ142)*-1</f>
        <v>0</v>
      </c>
      <c r="AS263" s="3">
        <f>(AS142-AR142)*-1</f>
        <v>0</v>
      </c>
      <c r="AT263" s="3">
        <f>(AT142-AS142)*-1</f>
        <v>0</v>
      </c>
      <c r="AU263" s="3">
        <f>(AU142-AT142)*-1</f>
        <v>0</v>
      </c>
      <c r="AV263" s="3">
        <f>SUM(AR263:AU263)</f>
        <v>0</v>
      </c>
      <c r="AW263" s="3">
        <f>(AW142-AV142)*-1</f>
        <v>0</v>
      </c>
      <c r="AX263" s="3">
        <f>(AX142-AW142)*-1</f>
        <v>0</v>
      </c>
      <c r="AY263" s="3">
        <f>(AY142-AX142)*-1</f>
        <v>0</v>
      </c>
      <c r="AZ263" s="3">
        <f>(AZ142-AY142)*-1</f>
        <v>0</v>
      </c>
      <c r="BA263" s="3">
        <f>SUM(AW263:AZ263)</f>
        <v>0</v>
      </c>
      <c r="BB263" s="3">
        <f>(BB142-BA142)*-1</f>
        <v>0</v>
      </c>
      <c r="BC263" s="3">
        <f>(BC142-BB142)*-1</f>
        <v>0</v>
      </c>
      <c r="BD263" s="3">
        <f>(BD142-BC142)*-1</f>
        <v>0</v>
      </c>
      <c r="BE263" s="3">
        <f>(BE142-BD142)*-1</f>
        <v>0</v>
      </c>
      <c r="BF263" s="3">
        <f>SUM(BB263:BE263)</f>
        <v>0</v>
      </c>
      <c r="BG263" s="3">
        <f>(BG142-BF142)*-1</f>
        <v>0</v>
      </c>
      <c r="BH263" s="3">
        <f>(BH142-BG142)*-1</f>
        <v>0</v>
      </c>
      <c r="BI263" s="3">
        <f>(BI142-BH142)*-1</f>
        <v>0</v>
      </c>
      <c r="BJ263" s="3">
        <f>(BJ142-BI142)*-1</f>
        <v>0</v>
      </c>
      <c r="BK263" s="3">
        <f>SUM(BG263:BJ263)</f>
        <v>0</v>
      </c>
      <c r="BL263" s="3">
        <f>(BL142-BK142)*-1</f>
        <v>0</v>
      </c>
      <c r="BM263" s="3">
        <f>(BM142-BL142)*-1</f>
        <v>0</v>
      </c>
      <c r="BN263" s="3">
        <f>(BN142-BM142)*-1</f>
        <v>0</v>
      </c>
      <c r="BO263" s="3">
        <f>(BO142-BN142)*-1</f>
        <v>0</v>
      </c>
      <c r="BP263" s="3">
        <f>SUM(BL263:BO263)</f>
        <v>0</v>
      </c>
      <c r="BQ263" s="3">
        <f>(BQ142-BP142)*-1</f>
        <v>0</v>
      </c>
      <c r="BR263" s="3">
        <f>(BR142-BQ142)*-1</f>
        <v>0</v>
      </c>
      <c r="BS263" s="3">
        <f>(BS142-BR142)*-1</f>
        <v>0</v>
      </c>
      <c r="BT263" s="3">
        <f>(BT142-BS142)*-1</f>
        <v>0</v>
      </c>
      <c r="BU263" s="3">
        <f>SUM(BQ263:BT263)</f>
        <v>0</v>
      </c>
      <c r="BV263" s="3">
        <f>(BV142-BU142)*-1</f>
        <v>0</v>
      </c>
      <c r="BW263" s="3">
        <f>(BW142-BV142)*-1</f>
        <v>0</v>
      </c>
      <c r="BX263" s="3">
        <f>(BX142-BW142)*-1</f>
        <v>0</v>
      </c>
      <c r="BY263" s="3">
        <f>(BY142-BX142)*-1</f>
        <v>0</v>
      </c>
      <c r="BZ263" s="3">
        <f>SUM(BV263:BY263)</f>
        <v>0</v>
      </c>
      <c r="CA263" s="3">
        <f>(CA142-BZ142)*-1</f>
        <v>0</v>
      </c>
      <c r="CB263" s="3">
        <f>(CB142-CA142)*-1</f>
        <v>0</v>
      </c>
      <c r="CC263" s="3">
        <f>(CC142-CB142)*-1</f>
        <v>0</v>
      </c>
      <c r="CD263" s="3">
        <f>(CD142-CC142)*-1</f>
        <v>0</v>
      </c>
      <c r="CE263" s="3">
        <f>SUM(CA263:CD263)</f>
        <v>0</v>
      </c>
      <c r="CF263" s="3">
        <f>(CF142-CE142)*-1</f>
        <v>0</v>
      </c>
      <c r="CG263" s="3">
        <f>(CG142-CF142)*-1</f>
        <v>0</v>
      </c>
      <c r="CH263" s="3">
        <f>(CH142-CG142)*-1</f>
        <v>0</v>
      </c>
      <c r="CI263" s="3">
        <f>(CI142-CH142)*-1</f>
        <v>0</v>
      </c>
      <c r="CJ263" s="3">
        <f>SUM(CF263:CI263)</f>
        <v>0</v>
      </c>
      <c r="CK263" s="3">
        <f>(CK142-CJ142)*-1</f>
        <v>0</v>
      </c>
      <c r="CL263" s="3">
        <f>(CL142-CK142)*-1</f>
        <v>0</v>
      </c>
      <c r="CM263" s="3">
        <f>(CM142-CL142)*-1</f>
        <v>0</v>
      </c>
      <c r="CN263" s="3">
        <f>(CN142-CM142)*-1</f>
        <v>0</v>
      </c>
      <c r="CO263" s="3">
        <f>SUM(CK263:CN263)</f>
        <v>0</v>
      </c>
      <c r="CP263" s="3">
        <f>(CP142-CO142)*-1</f>
        <v>0</v>
      </c>
      <c r="CQ263" s="3">
        <f>(CQ142-CP142)*-1</f>
        <v>0</v>
      </c>
      <c r="CR263" s="3">
        <f>(CR142-CQ142)*-1</f>
        <v>0</v>
      </c>
      <c r="CS263" s="3">
        <f>(CS142-CR142)*-1</f>
        <v>0</v>
      </c>
      <c r="CT263" s="3">
        <f>SUM(CP263:CS263)</f>
        <v>0</v>
      </c>
      <c r="CU263" s="3">
        <f>(CU142-CT142)*-1</f>
        <v>0</v>
      </c>
      <c r="CV263" s="3">
        <f>(CV142-CU142)*-1</f>
        <v>0</v>
      </c>
      <c r="CW263" s="3">
        <f>(CW142-CV142)*-1</f>
        <v>0</v>
      </c>
      <c r="CX263" s="3">
        <f>(CX142-CW142)*-1</f>
        <v>0</v>
      </c>
      <c r="CY263" s="3">
        <f>SUM(CU263:CX263)</f>
        <v>0</v>
      </c>
      <c r="CZ263" s="3" t="n"/>
      <c r="DA263" s="3" t="n"/>
      <c r="DB263" s="3" t="n"/>
      <c r="DC263" s="3" t="n"/>
    </row>
    <row r="264">
      <c r="C264" s="29" t="inlineStr">
        <is>
          <t>Purchases of intangible assets</t>
        </is>
      </c>
      <c r="D264" s="3" t="n"/>
      <c r="E264" s="3">
        <f>((E146-D146)*-1)+((E145-D145)*-1)</f>
        <v>-6339</v>
      </c>
      <c r="F264" s="3">
        <f>((F146-E146)*-1)+((F145-E145)*-1)</f>
        <v>-7</v>
      </c>
      <c r="G264" s="3">
        <f>((G146-F146)*-1)+((G145-F145)*-1)</f>
        <v>124</v>
      </c>
      <c r="H264" s="3">
        <f>SUM(D264:G264)</f>
        <v>-6222</v>
      </c>
      <c r="I264" s="3">
        <f>((I146-H146)*-1)+((I145-H145)*-1)</f>
        <v>124</v>
      </c>
      <c r="J264" s="3">
        <f>((J146-I146)*-1)+((J145-I145)*-1)</f>
        <v>135</v>
      </c>
      <c r="K264" s="3">
        <f>((K146-J146)*-1)+((K145-J145)*-1)</f>
        <v>-85</v>
      </c>
      <c r="L264" s="3">
        <f>((L146-K146)*-1)+((L145-K145)*-1)</f>
        <v>68</v>
      </c>
      <c r="M264" s="3">
        <f>SUM(I264:L264)</f>
        <v>242</v>
      </c>
      <c r="N264" s="3">
        <f>((N146-M146)*-1)+((N145-M145)*-1)</f>
        <v>112</v>
      </c>
      <c r="O264" s="3">
        <f>((O146-N146)*-1)+((O145-N145)*-1)</f>
        <v>168</v>
      </c>
      <c r="P264" s="3">
        <f>((P146-O146)*-1)+((P145-O145)*-1)</f>
        <v>186</v>
      </c>
      <c r="Q264" s="3">
        <f>((Q146-P146)*-1)+((Q145-P145)*-1)</f>
        <v>174</v>
      </c>
      <c r="R264" s="3">
        <f>SUM(N264:Q264)</f>
        <v>640</v>
      </c>
      <c r="S264" s="3">
        <f>((S146-R146)*-1)+((S145-R145)*-1)</f>
        <v>77</v>
      </c>
      <c r="T264" s="3">
        <f>((T146-S146)*-1)+((T145-S145)*-1)</f>
        <v>146</v>
      </c>
      <c r="U264" s="3">
        <f>((U146-T146)*-1)+((U145-T145)*-1)</f>
        <v>144</v>
      </c>
      <c r="V264" s="3">
        <f>((V146-U146)*-1)+((V145-U145)*-1)</f>
        <v>139</v>
      </c>
      <c r="W264" s="3">
        <f>SUM(S264:V264)</f>
        <v>506</v>
      </c>
      <c r="X264" s="3">
        <f>((X146-W146)*-1)+((X145-W145)*-1)</f>
        <v>103</v>
      </c>
      <c r="Y264" s="3">
        <f>((Y146-X146)*-1)+((Y145-X145)*-1)</f>
        <v>-135</v>
      </c>
      <c r="Z264" s="3">
        <f>((Z146-Y146)*-1)+((Z145-Y145)*-1)</f>
        <v>12</v>
      </c>
      <c r="AA264" s="3">
        <f>((AA146-Z146)*-1)+((AA145-Z145)*-1)</f>
        <v>-433</v>
      </c>
      <c r="AB264" s="3">
        <f>SUM(X264:AA264)</f>
        <v>-453</v>
      </c>
      <c r="AC264" s="3">
        <f>((AC146-AB146)*-1)+((AC145-AB145)*-1)</f>
        <v>-272</v>
      </c>
      <c r="AD264" s="3">
        <f>((AD146-AC146)*-1)+((AD145-AC145)*-1)</f>
        <v>-243</v>
      </c>
      <c r="AE264" s="3">
        <f>((AE146-AD146)*-1)+((AE145-AD145)*-1)</f>
        <v>-687</v>
      </c>
      <c r="AF264" s="3">
        <f>((AF146-AE146)*-1)+((AF145-AE145)*-1)</f>
        <v>-16941</v>
      </c>
      <c r="AG264" s="3">
        <f>SUM(AC264:AF264)</f>
        <v>-18143</v>
      </c>
      <c r="AH264" s="3">
        <f>((AH146-AG146)*-1)+((AH145-AG145)*-1)</f>
        <v>3306</v>
      </c>
      <c r="AI264" s="3">
        <f>((AI146-AH146)*-1)+((AI145-AH145)*-1)</f>
        <v>0</v>
      </c>
      <c r="AJ264" s="3">
        <f>((AJ146-AI146)*-1)+((AJ145-AI145)*-1)</f>
        <v>0</v>
      </c>
      <c r="AK264" s="3">
        <f>((AK146-AJ146)*-1)+((AK145-AJ145)*-1)</f>
        <v>0</v>
      </c>
      <c r="AL264" s="3">
        <f>SUM(AH264:AK264)</f>
        <v>3306</v>
      </c>
      <c r="AM264" s="3">
        <f>((AM146-AL146)*-1)+((AM145-AL145)*-1)</f>
        <v>0</v>
      </c>
      <c r="AN264" s="3">
        <f>((AN146-AM146)*-1)+((AN145-AM145)*-1)</f>
        <v>0</v>
      </c>
      <c r="AO264" s="3">
        <f>((AO146-AN146)*-1)+((AO145-AN145)*-1)</f>
        <v>0</v>
      </c>
      <c r="AP264" s="3">
        <f>((AP146-AO146)*-1)+((AP145-AO145)*-1)</f>
        <v>0</v>
      </c>
      <c r="AQ264" s="3">
        <f>SUM(AM264:AP264)</f>
        <v>0</v>
      </c>
      <c r="AR264" s="3">
        <f>((AR146-AQ146)*-1)+((AR145-AQ145)*-1)</f>
        <v>0</v>
      </c>
      <c r="AS264" s="3">
        <f>((AS146-AR146)*-1)+((AS145-AR145)*-1)</f>
        <v>0</v>
      </c>
      <c r="AT264" s="3">
        <f>((AT146-AS146)*-1)+((AT145-AS145)*-1)</f>
        <v>0</v>
      </c>
      <c r="AU264" s="3">
        <f>((AU146-AT146)*-1)+((AU145-AT145)*-1)</f>
        <v>0</v>
      </c>
      <c r="AV264" s="3">
        <f>SUM(AR264:AU264)</f>
        <v>0</v>
      </c>
      <c r="AW264" s="3">
        <f>((AW146-AV146)*-1)+((AW145-AV145)*-1)</f>
        <v>0</v>
      </c>
      <c r="AX264" s="3">
        <f>((AX146-AW146)*-1)+((AX145-AW145)*-1)</f>
        <v>0</v>
      </c>
      <c r="AY264" s="3">
        <f>((AY146-AX146)*-1)+((AY145-AX145)*-1)</f>
        <v>0</v>
      </c>
      <c r="AZ264" s="3">
        <f>((AZ146-AY146)*-1)+((AZ145-AY145)*-1)</f>
        <v>0</v>
      </c>
      <c r="BA264" s="3">
        <f>SUM(AW264:AZ264)</f>
        <v>0</v>
      </c>
      <c r="BB264" s="3">
        <f>((BB146-BA146)*-1)+((BB145-BA145)*-1)</f>
        <v>0</v>
      </c>
      <c r="BC264" s="3">
        <f>((BC146-BB146)*-1)+((BC145-BB145)*-1)</f>
        <v>0</v>
      </c>
      <c r="BD264" s="3">
        <f>((BD146-BC146)*-1)+((BD145-BC145)*-1)</f>
        <v>0</v>
      </c>
      <c r="BE264" s="3">
        <f>((BE146-BD146)*-1)+((BE145-BD145)*-1)</f>
        <v>0</v>
      </c>
      <c r="BF264" s="3">
        <f>SUM(BB264:BE264)</f>
        <v>0</v>
      </c>
      <c r="BG264" s="3">
        <f>((BG146-BF146)*-1)+((BG145-BF145)*-1)</f>
        <v>0</v>
      </c>
      <c r="BH264" s="3">
        <f>((BH146-BG146)*-1)+((BH145-BG145)*-1)</f>
        <v>0</v>
      </c>
      <c r="BI264" s="3">
        <f>((BI146-BH146)*-1)+((BI145-BH145)*-1)</f>
        <v>0</v>
      </c>
      <c r="BJ264" s="3">
        <f>((BJ146-BI146)*-1)+((BJ145-BI145)*-1)</f>
        <v>0</v>
      </c>
      <c r="BK264" s="3">
        <f>SUM(BG264:BJ264)</f>
        <v>0</v>
      </c>
      <c r="BL264" s="3">
        <f>((BL146-BK146)*-1)+((BL145-BK145)*-1)</f>
        <v>0</v>
      </c>
      <c r="BM264" s="3">
        <f>((BM146-BL146)*-1)+((BM145-BL145)*-1)</f>
        <v>0</v>
      </c>
      <c r="BN264" s="3">
        <f>((BN146-BM146)*-1)+((BN145-BM145)*-1)</f>
        <v>0</v>
      </c>
      <c r="BO264" s="3">
        <f>((BO146-BN146)*-1)+((BO145-BN145)*-1)</f>
        <v>0</v>
      </c>
      <c r="BP264" s="3">
        <f>SUM(BL264:BO264)</f>
        <v>0</v>
      </c>
      <c r="BQ264" s="3">
        <f>((BQ146-BP146)*-1)+((BQ145-BP145)*-1)</f>
        <v>0</v>
      </c>
      <c r="BR264" s="3">
        <f>((BR146-BQ146)*-1)+((BR145-BQ145)*-1)</f>
        <v>0</v>
      </c>
      <c r="BS264" s="3">
        <f>((BS146-BR146)*-1)+((BS145-BR145)*-1)</f>
        <v>0</v>
      </c>
      <c r="BT264" s="3">
        <f>((BT146-BS146)*-1)+((BT145-BS145)*-1)</f>
        <v>0</v>
      </c>
      <c r="BU264" s="3">
        <f>SUM(BQ264:BT264)</f>
        <v>0</v>
      </c>
      <c r="BV264" s="3">
        <f>((BV146-BU146)*-1)+((BV145-BU145)*-1)</f>
        <v>0</v>
      </c>
      <c r="BW264" s="3">
        <f>((BW146-BV146)*-1)+((BW145-BV145)*-1)</f>
        <v>0</v>
      </c>
      <c r="BX264" s="3">
        <f>((BX146-BW146)*-1)+((BX145-BW145)*-1)</f>
        <v>0</v>
      </c>
      <c r="BY264" s="3">
        <f>((BY146-BX146)*-1)+((BY145-BX145)*-1)</f>
        <v>0</v>
      </c>
      <c r="BZ264" s="3">
        <f>SUM(BV264:BY264)</f>
        <v>0</v>
      </c>
      <c r="CA264" s="3">
        <f>((CA146-BZ146)*-1)+((CA145-BZ145)*-1)</f>
        <v>0</v>
      </c>
      <c r="CB264" s="3">
        <f>((CB146-CA146)*-1)+((CB145-CA145)*-1)</f>
        <v>0</v>
      </c>
      <c r="CC264" s="3">
        <f>((CC146-CB146)*-1)+((CC145-CB145)*-1)</f>
        <v>0</v>
      </c>
      <c r="CD264" s="3">
        <f>((CD146-CC146)*-1)+((CD145-CC145)*-1)</f>
        <v>0</v>
      </c>
      <c r="CE264" s="3">
        <f>SUM(CA264:CD264)</f>
        <v>0</v>
      </c>
      <c r="CF264" s="3">
        <f>((CF146-CE146)*-1)+((CF145-CE145)*-1)</f>
        <v>0</v>
      </c>
      <c r="CG264" s="3">
        <f>((CG146-CF146)*-1)+((CG145-CF145)*-1)</f>
        <v>0</v>
      </c>
      <c r="CH264" s="3">
        <f>((CH146-CG146)*-1)+((CH145-CG145)*-1)</f>
        <v>0</v>
      </c>
      <c r="CI264" s="3">
        <f>((CI146-CH146)*-1)+((CI145-CH145)*-1)</f>
        <v>0</v>
      </c>
      <c r="CJ264" s="3">
        <f>SUM(CF264:CI264)</f>
        <v>0</v>
      </c>
      <c r="CK264" s="3">
        <f>((CK146-CJ146)*-1)+((CK145-CJ145)*-1)</f>
        <v>0</v>
      </c>
      <c r="CL264" s="3">
        <f>((CL146-CK146)*-1)+((CL145-CK145)*-1)</f>
        <v>0</v>
      </c>
      <c r="CM264" s="3">
        <f>((CM146-CL146)*-1)+((CM145-CL145)*-1)</f>
        <v>0</v>
      </c>
      <c r="CN264" s="3">
        <f>((CN146-CM146)*-1)+((CN145-CM145)*-1)</f>
        <v>0</v>
      </c>
      <c r="CO264" s="3">
        <f>SUM(CK264:CN264)</f>
        <v>0</v>
      </c>
      <c r="CP264" s="3">
        <f>((CP146-CO146)*-1)+((CP145-CO145)*-1)</f>
        <v>0</v>
      </c>
      <c r="CQ264" s="3">
        <f>((CQ146-CP146)*-1)+((CQ145-CP145)*-1)</f>
        <v>0</v>
      </c>
      <c r="CR264" s="3">
        <f>((CR146-CQ146)*-1)+((CR145-CQ145)*-1)</f>
        <v>0</v>
      </c>
      <c r="CS264" s="3">
        <f>((CS146-CR146)*-1)+((CS145-CR145)*-1)</f>
        <v>0</v>
      </c>
      <c r="CT264" s="3">
        <f>SUM(CP264:CS264)</f>
        <v>0</v>
      </c>
      <c r="CU264" s="3">
        <f>((CU146-CT146)*-1)+((CU145-CT145)*-1)</f>
        <v>0</v>
      </c>
      <c r="CV264" s="3">
        <f>((CV146-CU146)*-1)+((CV145-CU145)*-1)</f>
        <v>0</v>
      </c>
      <c r="CW264" s="3">
        <f>((CW146-CV146)*-1)+((CW145-CV145)*-1)</f>
        <v>0</v>
      </c>
      <c r="CX264" s="3">
        <f>((CX146-CW146)*-1)+((CX145-CW145)*-1)</f>
        <v>0</v>
      </c>
      <c r="CY264" s="3">
        <f>SUM(CU264:CX264)</f>
        <v>0</v>
      </c>
      <c r="CZ264" s="3" t="n"/>
      <c r="DA264" s="3" t="n"/>
      <c r="DB264" s="3" t="n"/>
      <c r="DC264" s="3" t="n"/>
    </row>
    <row r="265">
      <c r="C265" s="30" t="inlineStr">
        <is>
          <t>Purchases/Proceeds from other long-term assets</t>
        </is>
      </c>
      <c r="D265" s="3" t="n"/>
      <c r="E265" s="3">
        <f>((E155-D155)*-1)+(E206-D206)</f>
        <v>231</v>
      </c>
      <c r="F265" s="3">
        <f>((F155-E155)*-1)+(F206-E206)</f>
        <v>-1829</v>
      </c>
      <c r="G265" s="3">
        <f>((G155-F155)*-1)+(G206-F206)</f>
        <v>-35</v>
      </c>
      <c r="H265" s="3">
        <f>SUM(D265:G265)</f>
        <v>-1633</v>
      </c>
      <c r="I265" s="3">
        <f>((I155-H155)*-1)+(I206-H206)</f>
        <v>100</v>
      </c>
      <c r="J265" s="3">
        <f>((J155-I155)*-1)+(J206-I206)</f>
        <v>27</v>
      </c>
      <c r="K265" s="3">
        <f>((K155-J155)*-1)+(K206-J206)</f>
        <v>-1568</v>
      </c>
      <c r="L265" s="3">
        <f>((L155-K155)*-1)+(L206-K206)</f>
        <v>-82</v>
      </c>
      <c r="M265" s="3">
        <f>SUM(I265:L265)</f>
        <v>-1523</v>
      </c>
      <c r="N265" s="3">
        <f>((N155-M155)*-1)+(N206-M206)</f>
        <v>402</v>
      </c>
      <c r="O265" s="3">
        <f>((O155-N155)*-1)+(O206-N206)</f>
        <v>148</v>
      </c>
      <c r="P265" s="3">
        <f>((P155-O155)*-1)+(P206-O206)</f>
        <v>-58</v>
      </c>
      <c r="Q265" s="3">
        <f>((Q155-P155)*-1)+(Q206-P206)</f>
        <v>-113</v>
      </c>
      <c r="R265" s="3">
        <f>SUM(N265:Q265)</f>
        <v>379</v>
      </c>
      <c r="S265" s="3">
        <f>((S155-R155)*-1)+(S206-R206)</f>
        <v>-303</v>
      </c>
      <c r="T265" s="3">
        <f>((T155-S155)*-1)+(T206-S206)</f>
        <v>-194</v>
      </c>
      <c r="U265" s="3">
        <f>((U155-T155)*-1)+(U206-T206)</f>
        <v>-206</v>
      </c>
      <c r="V265" s="3">
        <f>((V155-U155)*-1)+(V206-U206)</f>
        <v>436</v>
      </c>
      <c r="W265" s="3">
        <f>SUM(S265:V265)</f>
        <v>-267</v>
      </c>
      <c r="X265" s="3">
        <f>((X155-W155)*-1)+(X206-W206)</f>
        <v>236</v>
      </c>
      <c r="Y265" s="3">
        <f>((Y155-X155)*-1)+(Y206-X206)</f>
        <v>823</v>
      </c>
      <c r="Z265" s="3">
        <f>((Z155-Y155)*-1)+(Z206-Y206)</f>
        <v>-1182</v>
      </c>
      <c r="AA265" s="3">
        <f>((AA155-Z155)*-1)+(AA206-Z206)</f>
        <v>-522</v>
      </c>
      <c r="AB265" s="3">
        <f>SUM(X265:AA265)</f>
        <v>-645</v>
      </c>
      <c r="AC265" s="3">
        <f>((AC155-AB155)*-1)+(AC206-AB206)</f>
        <v>80</v>
      </c>
      <c r="AD265" s="3">
        <f>((AD155-AC155)*-1)+(AD206-AC206)</f>
        <v>474</v>
      </c>
      <c r="AE265" s="3">
        <f>((AE155-AD155)*-1)+(AE206-AD206)</f>
        <v>-4139</v>
      </c>
      <c r="AF265" s="3">
        <f>((AF155-AE155)*-1)+(AF206-AE206)</f>
        <v>-18369</v>
      </c>
      <c r="AG265" s="3">
        <f>SUM(AC265:AF265)</f>
        <v>-21954</v>
      </c>
      <c r="AH265" s="3">
        <f>((AH155-AG155)*-1)+(AH206-AG206)</f>
        <v>0</v>
      </c>
      <c r="AI265" s="3">
        <f>((AI155-AH155)*-1)+(AI206-AH206)</f>
        <v>0</v>
      </c>
      <c r="AJ265" s="3">
        <f>((AJ155-AI155)*-1)+(AJ206-AI206)</f>
        <v>0</v>
      </c>
      <c r="AK265" s="3">
        <f>((AK155-AJ155)*-1)+(AK206-AJ206)</f>
        <v>0</v>
      </c>
      <c r="AL265" s="3">
        <f>SUM(AH265:AK265)</f>
        <v>0</v>
      </c>
      <c r="AM265" s="3">
        <f>((AM155-AL155)*-1)+(AM206-AL206)</f>
        <v>0</v>
      </c>
      <c r="AN265" s="3">
        <f>((AN155-AM155)*-1)+(AN206-AM206)</f>
        <v>0</v>
      </c>
      <c r="AO265" s="3">
        <f>((AO155-AN155)*-1)+(AO206-AN206)</f>
        <v>0</v>
      </c>
      <c r="AP265" s="3">
        <f>((AP155-AO155)*-1)+(AP206-AO206)</f>
        <v>0</v>
      </c>
      <c r="AQ265" s="3">
        <f>SUM(AM265:AP265)</f>
        <v>0</v>
      </c>
      <c r="AR265" s="3">
        <f>((AR155-AQ155)*-1)+(AR206-AQ206)</f>
        <v>0</v>
      </c>
      <c r="AS265" s="3">
        <f>((AS155-AR155)*-1)+(AS206-AR206)</f>
        <v>0</v>
      </c>
      <c r="AT265" s="3">
        <f>((AT155-AS155)*-1)+(AT206-AS206)</f>
        <v>0</v>
      </c>
      <c r="AU265" s="3">
        <f>((AU155-AT155)*-1)+(AU206-AT206)</f>
        <v>0</v>
      </c>
      <c r="AV265" s="3">
        <f>SUM(AR265:AU265)</f>
        <v>0</v>
      </c>
      <c r="AW265" s="3">
        <f>((AW155-AV155)*-1)+(AW206-AV206)</f>
        <v>0</v>
      </c>
      <c r="AX265" s="3">
        <f>((AX155-AW155)*-1)+(AX206-AW206)</f>
        <v>0</v>
      </c>
      <c r="AY265" s="3">
        <f>((AY155-AX155)*-1)+(AY206-AX206)</f>
        <v>0</v>
      </c>
      <c r="AZ265" s="3">
        <f>((AZ155-AY155)*-1)+(AZ206-AY206)</f>
        <v>0</v>
      </c>
      <c r="BA265" s="3">
        <f>SUM(AW265:AZ265)</f>
        <v>0</v>
      </c>
      <c r="BB265" s="3">
        <f>((BB155-BA155)*-1)+(BB206-BA206)</f>
        <v>0</v>
      </c>
      <c r="BC265" s="3">
        <f>((BC155-BB155)*-1)+(BC206-BB206)</f>
        <v>0</v>
      </c>
      <c r="BD265" s="3">
        <f>((BD155-BC155)*-1)+(BD206-BC206)</f>
        <v>0</v>
      </c>
      <c r="BE265" s="3">
        <f>((BE155-BD155)*-1)+(BE206-BD206)</f>
        <v>0</v>
      </c>
      <c r="BF265" s="3">
        <f>SUM(BB265:BE265)</f>
        <v>0</v>
      </c>
      <c r="BG265" s="3">
        <f>((BG155-BF155)*-1)+(BG206-BF206)</f>
        <v>0</v>
      </c>
      <c r="BH265" s="3">
        <f>((BH155-BG155)*-1)+(BH206-BG206)</f>
        <v>0</v>
      </c>
      <c r="BI265" s="3">
        <f>((BI155-BH155)*-1)+(BI206-BH206)</f>
        <v>0</v>
      </c>
      <c r="BJ265" s="3">
        <f>((BJ155-BI155)*-1)+(BJ206-BI206)</f>
        <v>0</v>
      </c>
      <c r="BK265" s="3">
        <f>SUM(BG265:BJ265)</f>
        <v>0</v>
      </c>
      <c r="BL265" s="3">
        <f>((BL155-BK155)*-1)+(BL206-BK206)</f>
        <v>0</v>
      </c>
      <c r="BM265" s="3">
        <f>((BM155-BL155)*-1)+(BM206-BL206)</f>
        <v>0</v>
      </c>
      <c r="BN265" s="3">
        <f>((BN155-BM155)*-1)+(BN206-BM206)</f>
        <v>0</v>
      </c>
      <c r="BO265" s="3">
        <f>((BO155-BN155)*-1)+(BO206-BN206)</f>
        <v>0</v>
      </c>
      <c r="BP265" s="3">
        <f>SUM(BL265:BO265)</f>
        <v>0</v>
      </c>
      <c r="BQ265" s="3">
        <f>((BQ155-BP155)*-1)+(BQ206-BP206)</f>
        <v>0</v>
      </c>
      <c r="BR265" s="3">
        <f>((BR155-BQ155)*-1)+(BR206-BQ206)</f>
        <v>0</v>
      </c>
      <c r="BS265" s="3">
        <f>((BS155-BR155)*-1)+(BS206-BR206)</f>
        <v>0</v>
      </c>
      <c r="BT265" s="3">
        <f>((BT155-BS155)*-1)+(BT206-BS206)</f>
        <v>0</v>
      </c>
      <c r="BU265" s="3">
        <f>SUM(BQ265:BT265)</f>
        <v>0</v>
      </c>
      <c r="BV265" s="3">
        <f>((BV155-BU155)*-1)+(BV206-BU206)</f>
        <v>0</v>
      </c>
      <c r="BW265" s="3">
        <f>((BW155-BV155)*-1)+(BW206-BV206)</f>
        <v>0</v>
      </c>
      <c r="BX265" s="3">
        <f>((BX155-BW155)*-1)+(BX206-BW206)</f>
        <v>0</v>
      </c>
      <c r="BY265" s="3">
        <f>((BY155-BX155)*-1)+(BY206-BX206)</f>
        <v>0</v>
      </c>
      <c r="BZ265" s="3">
        <f>SUM(BV265:BY265)</f>
        <v>0</v>
      </c>
      <c r="CA265" s="3">
        <f>((CA155-BZ155)*-1)+(CA206-BZ206)</f>
        <v>0</v>
      </c>
      <c r="CB265" s="3">
        <f>((CB155-CA155)*-1)+(CB206-CA206)</f>
        <v>0</v>
      </c>
      <c r="CC265" s="3">
        <f>((CC155-CB155)*-1)+(CC206-CB206)</f>
        <v>0</v>
      </c>
      <c r="CD265" s="3">
        <f>((CD155-CC155)*-1)+(CD206-CC206)</f>
        <v>0</v>
      </c>
      <c r="CE265" s="3">
        <f>SUM(CA265:CD265)</f>
        <v>0</v>
      </c>
      <c r="CF265" s="3">
        <f>((CF155-CE155)*-1)+(CF206-CE206)</f>
        <v>0</v>
      </c>
      <c r="CG265" s="3">
        <f>((CG155-CF155)*-1)+(CG206-CF206)</f>
        <v>0</v>
      </c>
      <c r="CH265" s="3">
        <f>((CH155-CG155)*-1)+(CH206-CG206)</f>
        <v>0</v>
      </c>
      <c r="CI265" s="3">
        <f>((CI155-CH155)*-1)+(CI206-CH206)</f>
        <v>0</v>
      </c>
      <c r="CJ265" s="3">
        <f>SUM(CF265:CI265)</f>
        <v>0</v>
      </c>
      <c r="CK265" s="3">
        <f>((CK155-CJ155)*-1)+(CK206-CJ206)</f>
        <v>0</v>
      </c>
      <c r="CL265" s="3">
        <f>((CL155-CK155)*-1)+(CL206-CK206)</f>
        <v>0</v>
      </c>
      <c r="CM265" s="3">
        <f>((CM155-CL155)*-1)+(CM206-CL206)</f>
        <v>0</v>
      </c>
      <c r="CN265" s="3">
        <f>((CN155-CM155)*-1)+(CN206-CM206)</f>
        <v>0</v>
      </c>
      <c r="CO265" s="3">
        <f>SUM(CK265:CN265)</f>
        <v>0</v>
      </c>
      <c r="CP265" s="3">
        <f>((CP155-CO155)*-1)+(CP206-CO206)</f>
        <v>0</v>
      </c>
      <c r="CQ265" s="3">
        <f>((CQ155-CP155)*-1)+(CQ206-CP206)</f>
        <v>0</v>
      </c>
      <c r="CR265" s="3">
        <f>((CR155-CQ155)*-1)+(CR206-CQ206)</f>
        <v>0</v>
      </c>
      <c r="CS265" s="3">
        <f>((CS155-CR155)*-1)+(CS206-CR206)</f>
        <v>0</v>
      </c>
      <c r="CT265" s="3">
        <f>SUM(CP265:CS265)</f>
        <v>0</v>
      </c>
      <c r="CU265" s="3">
        <f>((CU155-CT155)*-1)+(CU206-CT206)</f>
        <v>0</v>
      </c>
      <c r="CV265" s="3">
        <f>((CV155-CU155)*-1)+(CV206-CU206)</f>
        <v>0</v>
      </c>
      <c r="CW265" s="3">
        <f>((CW155-CV155)*-1)+(CW206-CV206)</f>
        <v>0</v>
      </c>
      <c r="CX265" s="3">
        <f>((CX155-CW155)*-1)+(CX206-CW206)</f>
        <v>0</v>
      </c>
      <c r="CY265" s="3">
        <f>SUM(CU265:CX265)</f>
        <v>0</v>
      </c>
    </row>
    <row r="266">
      <c r="C266" s="26" t="inlineStr">
        <is>
          <t>Cash from investing</t>
        </is>
      </c>
      <c r="D266" s="3" t="n"/>
      <c r="E266" s="3">
        <f>SUM(E261,E262,E264,E265,E263)</f>
        <v>-6867</v>
      </c>
      <c r="F266" s="3">
        <f>SUM(F261,F262,F264,F265,F263)</f>
        <v>-2210</v>
      </c>
      <c r="G266" s="3">
        <f>SUM(G261,G262,G264,G265,G263)</f>
        <v>-315</v>
      </c>
      <c r="H266" s="3">
        <f>SUM(H261,H262,H264,H265)</f>
        <v>-9280</v>
      </c>
      <c r="I266" s="3">
        <f>SUM(I261,I262,I264,I265,I263)</f>
        <v>-196</v>
      </c>
      <c r="J266" s="3">
        <f>SUM(J261,J262,J264,J265,J263)</f>
        <v>-294</v>
      </c>
      <c r="K266" s="3">
        <f>SUM(K261,K262,K264,K265,K263)</f>
        <v>-2125</v>
      </c>
      <c r="L266" s="3">
        <f>SUM(L261,L262,L264,L265,L263)</f>
        <v>-591</v>
      </c>
      <c r="M266" s="3">
        <f>SUM(M261,M262,M264,M265)</f>
        <v>-3084</v>
      </c>
      <c r="N266" s="3">
        <f>SUM(N261,N262,N264,N265,N263)</f>
        <v>15</v>
      </c>
      <c r="O266" s="3">
        <f>SUM(O261,O262,O264,O265,O263)</f>
        <v>-375</v>
      </c>
      <c r="P266" s="3">
        <f>SUM(P261,P262,P264,P265,P263)</f>
        <v>-894</v>
      </c>
      <c r="Q266" s="3">
        <f>SUM(Q261,Q262,Q264,Q265,Q263)</f>
        <v>-509</v>
      </c>
      <c r="R266" s="3">
        <f>SUM(R261,R262,R264,R265)</f>
        <v>-1554</v>
      </c>
      <c r="S266" s="3">
        <f>SUM(S261,S262,S264,S265,S263)</f>
        <v>-599</v>
      </c>
      <c r="T266" s="3">
        <f>SUM(T261,T262,T264,T265,T263)</f>
        <v>-613</v>
      </c>
      <c r="U266" s="3">
        <f>SUM(U261,U262,U264,U265,U263)</f>
        <v>-560</v>
      </c>
      <c r="V266" s="3">
        <f>SUM(V261,V262,V264,V265,V263)</f>
        <v>88</v>
      </c>
      <c r="W266" s="3">
        <f>SUM(W261,W262,W264,W265)</f>
        <v>-1376</v>
      </c>
      <c r="X266" s="3">
        <f>SUM(X261,X262,X264,X265,X263)</f>
        <v>-349</v>
      </c>
      <c r="Y266" s="3">
        <f>SUM(Y261,Y262,Y264,Y265,Y263)</f>
        <v>-648</v>
      </c>
      <c r="Z266" s="3">
        <f>SUM(Z261,Z262,Z264,Z265,Z263)</f>
        <v>-2305</v>
      </c>
      <c r="AA266" s="3">
        <f>SUM(AA261,AA262,AA264,AA265,AA263)</f>
        <v>-2476</v>
      </c>
      <c r="AB266" s="3">
        <f>SUM(AB261,AB262,AB264,AB265)</f>
        <v>-5331</v>
      </c>
      <c r="AC266" s="3">
        <f>SUM(AC261,AC262,AC264,AC265,AC263)</f>
        <v>-1673</v>
      </c>
      <c r="AD266" s="3">
        <f>SUM(AD261,AD262,AD264,AD265,AD263)</f>
        <v>-2717</v>
      </c>
      <c r="AE266" s="3">
        <f>SUM(AE261,AE262,AE264,AE265,AE263)</f>
        <v>-6413</v>
      </c>
      <c r="AF266" s="3">
        <f>SUM(AF261,AF262,AF264,AF265,AF263)</f>
        <v>-37311</v>
      </c>
      <c r="AG266" s="3">
        <f>SUM(AG261,AG262,AG264,AG265)</f>
        <v>-47040</v>
      </c>
      <c r="AH266" s="3">
        <f>SUM(AH261,AH262,AH264,AH265,AH263)</f>
        <v>3306</v>
      </c>
      <c r="AI266" s="3">
        <f>SUM(AI261,AI262,AI264,AI265,AI263)</f>
        <v>0</v>
      </c>
      <c r="AJ266" s="3">
        <f>SUM(AJ261,AJ262,AJ264,AJ265,AJ263)</f>
        <v>0</v>
      </c>
      <c r="AK266" s="3">
        <f>SUM(AK261,AK262,AK264,AK265,AK263)</f>
        <v>0</v>
      </c>
      <c r="AL266" s="3">
        <f>SUM(AL261,AL262,AL264,AL265)</f>
        <v>3306</v>
      </c>
      <c r="AM266" s="3">
        <f>SUM(AM261,AM262,AM264,AM265,AM263)</f>
        <v>0</v>
      </c>
      <c r="AN266" s="3">
        <f>SUM(AN261,AN262,AN264,AN265,AN263)</f>
        <v>0</v>
      </c>
      <c r="AO266" s="3">
        <f>SUM(AO261,AO262,AO264,AO265,AO263)</f>
        <v>0</v>
      </c>
      <c r="AP266" s="3">
        <f>SUM(AP261,AP262,AP264,AP265,AP263)</f>
        <v>0</v>
      </c>
      <c r="AQ266" s="3">
        <f>SUM(AQ261,AQ262,AQ264,AQ265)</f>
        <v>0</v>
      </c>
      <c r="AR266" s="3">
        <f>SUM(AR261,AR262,AR264,AR265,AR263)</f>
        <v>0</v>
      </c>
      <c r="AS266" s="3">
        <f>SUM(AS261,AS262,AS264,AS265,AS263)</f>
        <v>0</v>
      </c>
      <c r="AT266" s="3">
        <f>SUM(AT261,AT262,AT264,AT265,AT263)</f>
        <v>0</v>
      </c>
      <c r="AU266" s="3">
        <f>SUM(AU261,AU262,AU264,AU265,AU263)</f>
        <v>0</v>
      </c>
      <c r="AV266" s="3">
        <f>SUM(AV261,AV262,AV264,AV265)</f>
        <v>0</v>
      </c>
      <c r="AW266" s="3">
        <f>SUM(AW261,AW262,AW264,AW265,AW263)</f>
        <v>0</v>
      </c>
      <c r="AX266" s="3">
        <f>SUM(AX261,AX262,AX264,AX265,AX263)</f>
        <v>0</v>
      </c>
      <c r="AY266" s="3">
        <f>SUM(AY261,AY262,AY264,AY265,AY263)</f>
        <v>0</v>
      </c>
      <c r="AZ266" s="3">
        <f>SUM(AZ261,AZ262,AZ264,AZ265,AZ263)</f>
        <v>0</v>
      </c>
      <c r="BA266" s="3">
        <f>SUM(BA261,BA262,BA264,BA265)</f>
        <v>0</v>
      </c>
      <c r="BB266" s="3">
        <f>SUM(BB261,BB262,BB264,BB265,BB263)</f>
        <v>0</v>
      </c>
      <c r="BC266" s="3">
        <f>SUM(BC261,BC262,BC264,BC265,BC263)</f>
        <v>0</v>
      </c>
      <c r="BD266" s="3">
        <f>SUM(BD261,BD262,BD264,BD265,BD263)</f>
        <v>0</v>
      </c>
      <c r="BE266" s="3">
        <f>SUM(BE261,BE262,BE264,BE265,BE263)</f>
        <v>0</v>
      </c>
      <c r="BF266" s="3">
        <f>SUM(BF261,BF262,BF264,BF265)</f>
        <v>0</v>
      </c>
      <c r="BG266" s="3">
        <f>SUM(BG261,BG262,BG264,BG265,BG263)</f>
        <v>0</v>
      </c>
      <c r="BH266" s="3">
        <f>SUM(BH261,BH262,BH264,BH265,BH263)</f>
        <v>0</v>
      </c>
      <c r="BI266" s="3">
        <f>SUM(BI261,BI262,BI264,BI265,BI263)</f>
        <v>0</v>
      </c>
      <c r="BJ266" s="3">
        <f>SUM(BJ261,BJ262,BJ264,BJ265,BJ263)</f>
        <v>0</v>
      </c>
      <c r="BK266" s="3">
        <f>SUM(BK261,BK262,BK264,BK265)</f>
        <v>0</v>
      </c>
      <c r="BL266" s="3">
        <f>SUM(BL261,BL262,BL264,BL265,BL263)</f>
        <v>0</v>
      </c>
      <c r="BM266" s="3">
        <f>SUM(BM261,BM262,BM264,BM265,BM263)</f>
        <v>0</v>
      </c>
      <c r="BN266" s="3">
        <f>SUM(BN261,BN262,BN264,BN265,BN263)</f>
        <v>0</v>
      </c>
      <c r="BO266" s="3">
        <f>SUM(BO261,BO262,BO264,BO265,BO263)</f>
        <v>0</v>
      </c>
      <c r="BP266" s="3">
        <f>SUM(BP261,BP262,BP264,BP265)</f>
        <v>0</v>
      </c>
      <c r="BQ266" s="3">
        <f>SUM(BQ261,BQ262,BQ264,BQ265,BQ263)</f>
        <v>0</v>
      </c>
      <c r="BR266" s="3">
        <f>SUM(BR261,BR262,BR264,BR265,BR263)</f>
        <v>0</v>
      </c>
      <c r="BS266" s="3">
        <f>SUM(BS261,BS262,BS264,BS265,BS263)</f>
        <v>0</v>
      </c>
      <c r="BT266" s="3">
        <f>SUM(BT261,BT262,BT264,BT265,BT263)</f>
        <v>0</v>
      </c>
      <c r="BU266" s="3">
        <f>SUM(BU261,BU262,BU264,BU265)</f>
        <v>0</v>
      </c>
      <c r="BV266" s="3">
        <f>SUM(BV261,BV262,BV264,BV265,BV263)</f>
        <v>0</v>
      </c>
      <c r="BW266" s="3">
        <f>SUM(BW261,BW262,BW264,BW265,BW263)</f>
        <v>0</v>
      </c>
      <c r="BX266" s="3">
        <f>SUM(BX261,BX262,BX264,BX265,BX263)</f>
        <v>0</v>
      </c>
      <c r="BY266" s="3">
        <f>SUM(BY261,BY262,BY264,BY265,BY263)</f>
        <v>0</v>
      </c>
      <c r="BZ266" s="3">
        <f>SUM(BZ261,BZ262,BZ264,BZ265)</f>
        <v>0</v>
      </c>
      <c r="CA266" s="3">
        <f>SUM(CA261,CA262,CA264,CA265,CA263)</f>
        <v>0</v>
      </c>
      <c r="CB266" s="3">
        <f>SUM(CB261,CB262,CB264,CB265,CB263)</f>
        <v>0</v>
      </c>
      <c r="CC266" s="3">
        <f>SUM(CC261,CC262,CC264,CC265,CC263)</f>
        <v>0</v>
      </c>
      <c r="CD266" s="3">
        <f>SUM(CD261,CD262,CD264,CD265,CD263)</f>
        <v>0</v>
      </c>
      <c r="CE266" s="3">
        <f>SUM(CE261,CE262,CE264,CE265)</f>
        <v>0</v>
      </c>
      <c r="CF266" s="3">
        <f>SUM(CF261,CF262,CF264,CF265,CF263)</f>
        <v>0</v>
      </c>
      <c r="CG266" s="3">
        <f>SUM(CG261,CG262,CG264,CG265,CG263)</f>
        <v>0</v>
      </c>
      <c r="CH266" s="3">
        <f>SUM(CH261,CH262,CH264,CH265,CH263)</f>
        <v>0</v>
      </c>
      <c r="CI266" s="3">
        <f>SUM(CI261,CI262,CI264,CI265,CI263)</f>
        <v>0</v>
      </c>
      <c r="CJ266" s="3">
        <f>SUM(CJ261,CJ262,CJ264,CJ265)</f>
        <v>0</v>
      </c>
      <c r="CK266" s="3">
        <f>SUM(CK261,CK262,CK264,CK265,CK263)</f>
        <v>0</v>
      </c>
      <c r="CL266" s="3">
        <f>SUM(CL261,CL262,CL264,CL265,CL263)</f>
        <v>0</v>
      </c>
      <c r="CM266" s="3">
        <f>SUM(CM261,CM262,CM264,CM265,CM263)</f>
        <v>0</v>
      </c>
      <c r="CN266" s="3">
        <f>SUM(CN261,CN262,CN264,CN265,CN263)</f>
        <v>0</v>
      </c>
      <c r="CO266" s="3">
        <f>SUM(CO261,CO262,CO264,CO265)</f>
        <v>0</v>
      </c>
      <c r="CP266" s="3">
        <f>SUM(CP261,CP262,CP264,CP265,CP263)</f>
        <v>0</v>
      </c>
      <c r="CQ266" s="3">
        <f>SUM(CQ261,CQ262,CQ264,CQ265,CQ263)</f>
        <v>0</v>
      </c>
      <c r="CR266" s="3">
        <f>SUM(CR261,CR262,CR264,CR265,CR263)</f>
        <v>0</v>
      </c>
      <c r="CS266" s="3">
        <f>SUM(CS261,CS262,CS264,CS265,CS263)</f>
        <v>0</v>
      </c>
      <c r="CT266" s="3">
        <f>SUM(CT261,CT262,CT264,CT265)</f>
        <v>0</v>
      </c>
      <c r="CU266" s="3">
        <f>SUM(CU261,CU262,CU264,CU265,CU263)</f>
        <v>0</v>
      </c>
      <c r="CV266" s="3">
        <f>SUM(CV261,CV262,CV264,CV265,CV263)</f>
        <v>0</v>
      </c>
      <c r="CW266" s="3">
        <f>SUM(CW261,CW262,CW264,CW265,CW263)</f>
        <v>0</v>
      </c>
      <c r="CX266" s="3">
        <f>SUM(CX261,CX262,CX264,CX265,CX263)</f>
        <v>0</v>
      </c>
      <c r="CY266" s="3">
        <f>SUM(CY261,CY262,CY264,CY265)</f>
        <v>0</v>
      </c>
    </row>
    <row r="267">
      <c r="C267" s="26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/>
      <c r="BL267" s="3" t="n"/>
      <c r="BM267" s="3" t="n"/>
      <c r="BN267" s="3" t="n"/>
      <c r="BO267" s="3" t="n"/>
      <c r="BP267" s="3" t="n"/>
      <c r="BQ267" s="3" t="n"/>
      <c r="BR267" s="3" t="n"/>
      <c r="BS267" s="3" t="n"/>
      <c r="BT267" s="3" t="n"/>
      <c r="BU267" s="3" t="n"/>
      <c r="BV267" s="3" t="n"/>
      <c r="BW267" s="3" t="n"/>
      <c r="BX267" s="3" t="n"/>
      <c r="BY267" s="3" t="n"/>
      <c r="BZ267" s="3" t="n"/>
      <c r="CA267" s="3" t="n"/>
      <c r="CB267" s="3" t="n"/>
      <c r="CC267" s="3" t="n"/>
      <c r="CD267" s="3" t="n"/>
      <c r="CE267" s="3" t="n"/>
      <c r="CF267" s="3" t="n"/>
      <c r="CG267" s="3" t="n"/>
      <c r="CH267" s="3" t="n"/>
      <c r="CI267" s="3" t="n"/>
      <c r="CJ267" s="3" t="n"/>
      <c r="CK267" s="3" t="n"/>
      <c r="CL267" s="3" t="n"/>
      <c r="CM267" s="3" t="n"/>
      <c r="CN267" s="3" t="n"/>
      <c r="CO267" s="3" t="n"/>
      <c r="CP267" s="3" t="n"/>
      <c r="CQ267" s="3" t="n"/>
      <c r="CR267" s="3" t="n"/>
      <c r="CS267" s="3" t="n"/>
      <c r="CT267" s="3" t="n"/>
      <c r="CU267" s="3" t="n"/>
      <c r="CV267" s="3" t="n"/>
      <c r="CW267" s="3" t="n"/>
      <c r="CX267" s="3" t="n"/>
      <c r="CY267" s="3" t="n"/>
    </row>
    <row r="268">
      <c r="C268" s="26" t="inlineStr">
        <is>
          <t>Convertible preferred stock</t>
        </is>
      </c>
      <c r="D268" s="3" t="n"/>
      <c r="E268" s="3">
        <f>E219-D219</f>
        <v>0</v>
      </c>
      <c r="F268" s="3">
        <f>F219-E219</f>
        <v>0</v>
      </c>
      <c r="G268" s="3">
        <f>G219-F219</f>
        <v>0</v>
      </c>
      <c r="H268" s="3">
        <f>SUM(D268:G268)</f>
        <v>0</v>
      </c>
      <c r="I268" s="3">
        <f>I219-H219</f>
        <v>0</v>
      </c>
      <c r="J268" s="3">
        <f>J219-I219</f>
        <v>0</v>
      </c>
      <c r="K268" s="3">
        <f>K219-J219</f>
        <v>0</v>
      </c>
      <c r="L268" s="3">
        <f>L219-K219</f>
        <v>0</v>
      </c>
      <c r="M268" s="3">
        <f>SUM(I268:L268)</f>
        <v>0</v>
      </c>
      <c r="N268" s="3">
        <f>N219-M219</f>
        <v>0</v>
      </c>
      <c r="O268" s="3">
        <f>O219-N219</f>
        <v>0</v>
      </c>
      <c r="P268" s="3">
        <f>P219-O219</f>
        <v>0</v>
      </c>
      <c r="Q268" s="3">
        <f>Q219-P219</f>
        <v>0</v>
      </c>
      <c r="R268" s="3">
        <f>SUM(N268:Q268)</f>
        <v>0</v>
      </c>
      <c r="S268" s="3">
        <f>S219-R219</f>
        <v>0</v>
      </c>
      <c r="T268" s="3">
        <f>T219-S219</f>
        <v>0</v>
      </c>
      <c r="U268" s="3">
        <f>U219-T219</f>
        <v>0</v>
      </c>
      <c r="V268" s="3">
        <f>V219-U219</f>
        <v>0</v>
      </c>
      <c r="W268" s="3">
        <f>SUM(S268:V268)</f>
        <v>0</v>
      </c>
      <c r="X268" s="3">
        <f>X219-W219</f>
        <v>0</v>
      </c>
      <c r="Y268" s="3">
        <f>Y219-X219</f>
        <v>0</v>
      </c>
      <c r="Z268" s="3">
        <f>Z219-Y219</f>
        <v>0</v>
      </c>
      <c r="AA268" s="3">
        <f>AA219-Z219</f>
        <v>0</v>
      </c>
      <c r="AB268" s="3">
        <f>SUM(X268:AA268)</f>
        <v>0</v>
      </c>
      <c r="AC268" s="3">
        <f>AC219-AB219</f>
        <v>0</v>
      </c>
      <c r="AD268" s="3">
        <f>AD219-AC219</f>
        <v>0</v>
      </c>
      <c r="AE268" s="3">
        <f>AE219-AD219</f>
        <v>0</v>
      </c>
      <c r="AF268" s="3">
        <f>AF219-AE219</f>
        <v>0</v>
      </c>
      <c r="AG268" s="3">
        <f>SUM(AC268:AF268)</f>
        <v>0</v>
      </c>
      <c r="AH268" s="3">
        <f>AH219-AG219</f>
        <v>0</v>
      </c>
      <c r="AI268" s="3">
        <f>AI219-AH219</f>
        <v>0</v>
      </c>
      <c r="AJ268" s="3">
        <f>AJ219-AI219</f>
        <v>0</v>
      </c>
      <c r="AK268" s="3">
        <f>AK219-AJ219</f>
        <v>0</v>
      </c>
      <c r="AL268" s="3">
        <f>SUM(AH268:AK268)</f>
        <v>0</v>
      </c>
      <c r="AM268" s="3">
        <f>AM219-AL219</f>
        <v>0</v>
      </c>
      <c r="AN268" s="3">
        <f>AN219-AM219</f>
        <v>0</v>
      </c>
      <c r="AO268" s="3">
        <f>AO219-AN219</f>
        <v>0</v>
      </c>
      <c r="AP268" s="3">
        <f>AP219-AO219</f>
        <v>0</v>
      </c>
      <c r="AQ268" s="3">
        <f>SUM(AM268:AP268)</f>
        <v>0</v>
      </c>
      <c r="AR268" s="3">
        <f>AR219-AQ219</f>
        <v>0</v>
      </c>
      <c r="AS268" s="3">
        <f>AS219-AR219</f>
        <v>0</v>
      </c>
      <c r="AT268" s="3">
        <f>AT219-AS219</f>
        <v>0</v>
      </c>
      <c r="AU268" s="3">
        <f>AU219-AT219</f>
        <v>0</v>
      </c>
      <c r="AV268" s="3">
        <f>SUM(AR268:AU268)</f>
        <v>0</v>
      </c>
      <c r="AW268" s="3">
        <f>AW219-AV219</f>
        <v>0</v>
      </c>
      <c r="AX268" s="3">
        <f>AX219-AW219</f>
        <v>0</v>
      </c>
      <c r="AY268" s="3">
        <f>AY219-AX219</f>
        <v>0</v>
      </c>
      <c r="AZ268" s="3">
        <f>AZ219-AY219</f>
        <v>0</v>
      </c>
      <c r="BA268" s="3">
        <f>SUM(AW268:AZ268)</f>
        <v>0</v>
      </c>
      <c r="BB268" s="3">
        <f>BB219-BA219</f>
        <v>0</v>
      </c>
      <c r="BC268" s="3">
        <f>BC219-BB219</f>
        <v>0</v>
      </c>
      <c r="BD268" s="3">
        <f>BD219-BC219</f>
        <v>0</v>
      </c>
      <c r="BE268" s="3">
        <f>BE219-BD219</f>
        <v>0</v>
      </c>
      <c r="BF268" s="3">
        <f>SUM(BB268:BE268)</f>
        <v>0</v>
      </c>
      <c r="BG268" s="3">
        <f>BG219-BF219</f>
        <v>0</v>
      </c>
      <c r="BH268" s="3">
        <f>BH219-BG219</f>
        <v>0</v>
      </c>
      <c r="BI268" s="3">
        <f>BI219-BH219</f>
        <v>0</v>
      </c>
      <c r="BJ268" s="3">
        <f>BJ219-BI219</f>
        <v>0</v>
      </c>
      <c r="BK268" s="3">
        <f>SUM(BG268:BJ268)</f>
        <v>0</v>
      </c>
      <c r="BL268" s="3">
        <f>BL219-BK219</f>
        <v>0</v>
      </c>
      <c r="BM268" s="3">
        <f>BM219-BL219</f>
        <v>0</v>
      </c>
      <c r="BN268" s="3">
        <f>BN219-BM219</f>
        <v>0</v>
      </c>
      <c r="BO268" s="3">
        <f>BO219-BN219</f>
        <v>0</v>
      </c>
      <c r="BP268" s="3">
        <f>SUM(BL268:BO268)</f>
        <v>0</v>
      </c>
      <c r="BQ268" s="3">
        <f>BQ219-BP219</f>
        <v>0</v>
      </c>
      <c r="BR268" s="3">
        <f>BR219-BQ219</f>
        <v>0</v>
      </c>
      <c r="BS268" s="3">
        <f>BS219-BR219</f>
        <v>0</v>
      </c>
      <c r="BT268" s="3">
        <f>BT219-BS219</f>
        <v>0</v>
      </c>
      <c r="BU268" s="3">
        <f>SUM(BQ268:BT268)</f>
        <v>0</v>
      </c>
      <c r="BV268" s="3">
        <f>BV219-BU219</f>
        <v>0</v>
      </c>
      <c r="BW268" s="3">
        <f>BW219-BV219</f>
        <v>0</v>
      </c>
      <c r="BX268" s="3">
        <f>BX219-BW219</f>
        <v>0</v>
      </c>
      <c r="BY268" s="3">
        <f>BY219-BX219</f>
        <v>0</v>
      </c>
      <c r="BZ268" s="3">
        <f>SUM(BV268:BY268)</f>
        <v>0</v>
      </c>
      <c r="CA268" s="3">
        <f>CA219-BZ219</f>
        <v>0</v>
      </c>
      <c r="CB268" s="3">
        <f>CB219-CA219</f>
        <v>0</v>
      </c>
      <c r="CC268" s="3">
        <f>CC219-CB219</f>
        <v>0</v>
      </c>
      <c r="CD268" s="3">
        <f>CD219-CC219</f>
        <v>0</v>
      </c>
      <c r="CE268" s="3">
        <f>SUM(CA268:CD268)</f>
        <v>0</v>
      </c>
      <c r="CF268" s="3">
        <f>CF219-CE219</f>
        <v>0</v>
      </c>
      <c r="CG268" s="3">
        <f>CG219-CF219</f>
        <v>0</v>
      </c>
      <c r="CH268" s="3">
        <f>CH219-CG219</f>
        <v>0</v>
      </c>
      <c r="CI268" s="3">
        <f>CI219-CH219</f>
        <v>0</v>
      </c>
      <c r="CJ268" s="3">
        <f>SUM(CF268:CI268)</f>
        <v>0</v>
      </c>
      <c r="CK268" s="3">
        <f>CK219-CJ219</f>
        <v>0</v>
      </c>
      <c r="CL268" s="3">
        <f>CL219-CK219</f>
        <v>0</v>
      </c>
      <c r="CM268" s="3">
        <f>CM219-CL219</f>
        <v>0</v>
      </c>
      <c r="CN268" s="3">
        <f>CN219-CM219</f>
        <v>0</v>
      </c>
      <c r="CO268" s="3">
        <f>SUM(CK268:CN268)</f>
        <v>0</v>
      </c>
      <c r="CP268" s="3">
        <f>CP219-CO219</f>
        <v>0</v>
      </c>
      <c r="CQ268" s="3">
        <f>CQ219-CP219</f>
        <v>0</v>
      </c>
      <c r="CR268" s="3">
        <f>CR219-CQ219</f>
        <v>0</v>
      </c>
      <c r="CS268" s="3">
        <f>CS219-CR219</f>
        <v>0</v>
      </c>
      <c r="CT268" s="3">
        <f>SUM(CP268:CS268)</f>
        <v>0</v>
      </c>
      <c r="CU268" s="3">
        <f>CU219-CT219</f>
        <v>0</v>
      </c>
      <c r="CV268" s="3">
        <f>CV219-CU219</f>
        <v>0</v>
      </c>
      <c r="CW268" s="3">
        <f>CW219-CV219</f>
        <v>0</v>
      </c>
      <c r="CX268" s="3">
        <f>CX219-CW219</f>
        <v>0</v>
      </c>
      <c r="CY268" s="3">
        <f>SUM(CU268:CX268)</f>
        <v>0</v>
      </c>
    </row>
    <row r="269">
      <c r="C269" s="26" t="inlineStr">
        <is>
          <t>Common stock and APIC</t>
        </is>
      </c>
      <c r="D269" s="3" t="n"/>
      <c r="E269" s="3">
        <f>E220-D220</f>
        <v>474</v>
      </c>
      <c r="F269" s="3">
        <f>F220-E220</f>
        <v>473</v>
      </c>
      <c r="G269" s="3">
        <f>G220-F220</f>
        <v>420</v>
      </c>
      <c r="H269" s="3">
        <f>SUM(D269:G269)</f>
        <v>1367</v>
      </c>
      <c r="I269" s="3">
        <f>I220-H220</f>
        <v>559</v>
      </c>
      <c r="J269" s="3">
        <f>J220-I220</f>
        <v>467</v>
      </c>
      <c r="K269" s="3">
        <f>K220-J220</f>
        <v>720</v>
      </c>
      <c r="L269" s="3">
        <f>L220-K220</f>
        <v>-80</v>
      </c>
      <c r="M269" s="3">
        <f>SUM(I269:L269)</f>
        <v>1666</v>
      </c>
      <c r="N269" s="3">
        <f>N220-M220</f>
        <v>238</v>
      </c>
      <c r="O269" s="3">
        <f>O220-N220</f>
        <v>344</v>
      </c>
      <c r="P269" s="3">
        <f>P220-O220</f>
        <v>597</v>
      </c>
      <c r="Q269" s="3">
        <f>Q220-P220</f>
        <v>406</v>
      </c>
      <c r="R269" s="3">
        <f>SUM(N269:Q269)</f>
        <v>1585</v>
      </c>
      <c r="S269" s="3">
        <f>S220-R220</f>
        <v>482</v>
      </c>
      <c r="T269" s="3">
        <f>T220-S220</f>
        <v>176</v>
      </c>
      <c r="U269" s="3">
        <f>U220-T220</f>
        <v>362</v>
      </c>
      <c r="V269" s="3">
        <f>V220-U220</f>
        <v>141</v>
      </c>
      <c r="W269" s="3">
        <f>SUM(S269:V269)</f>
        <v>1161</v>
      </c>
      <c r="X269" s="3">
        <f>X220-W220</f>
        <v>-481</v>
      </c>
      <c r="Y269" s="3">
        <f>Y220-X220</f>
        <v>-513</v>
      </c>
      <c r="Z269" s="3">
        <f>Z220-Y220</f>
        <v>-294</v>
      </c>
      <c r="AA269" s="3">
        <f>AA220-Z220</f>
        <v>-585</v>
      </c>
      <c r="AB269" s="3">
        <f>SUM(X269:AA269)</f>
        <v>-1873</v>
      </c>
      <c r="AC269" s="3">
        <f>AC220-AB220</f>
        <v>238</v>
      </c>
      <c r="AD269" s="3">
        <f>AD220-AC220</f>
        <v>-275</v>
      </c>
      <c r="AE269" s="3">
        <f>AE220-AD220</f>
        <v>-574</v>
      </c>
      <c r="AF269" s="3">
        <f>AF220-AE220</f>
        <v>-508</v>
      </c>
      <c r="AG269" s="3">
        <f>SUM(AC269:AF269)</f>
        <v>-1119</v>
      </c>
      <c r="AH269" s="3">
        <f>AH220-AG220</f>
        <v>0</v>
      </c>
      <c r="AI269" s="3">
        <f>AI220-AH220</f>
        <v>0</v>
      </c>
      <c r="AJ269" s="3">
        <f>AJ220-AI220</f>
        <v>0</v>
      </c>
      <c r="AK269" s="3">
        <f>AK220-AJ220</f>
        <v>0</v>
      </c>
      <c r="AL269" s="3">
        <f>SUM(AH269:AK269)</f>
        <v>0</v>
      </c>
      <c r="AM269" s="3">
        <f>AM220-AL220</f>
        <v>0</v>
      </c>
      <c r="AN269" s="3">
        <f>AN220-AM220</f>
        <v>0</v>
      </c>
      <c r="AO269" s="3">
        <f>AO220-AN220</f>
        <v>0</v>
      </c>
      <c r="AP269" s="3">
        <f>AP220-AO220</f>
        <v>0</v>
      </c>
      <c r="AQ269" s="3">
        <f>SUM(AM269:AP269)</f>
        <v>0</v>
      </c>
      <c r="AR269" s="3">
        <f>AR220-AQ220</f>
        <v>0</v>
      </c>
      <c r="AS269" s="3">
        <f>AS220-AR220</f>
        <v>0</v>
      </c>
      <c r="AT269" s="3">
        <f>AT220-AS220</f>
        <v>0</v>
      </c>
      <c r="AU269" s="3">
        <f>AU220-AT220</f>
        <v>0</v>
      </c>
      <c r="AV269" s="3">
        <f>SUM(AR269:AU269)</f>
        <v>0</v>
      </c>
      <c r="AW269" s="3">
        <f>AW220-AV220</f>
        <v>0</v>
      </c>
      <c r="AX269" s="3">
        <f>AX220-AW220</f>
        <v>0</v>
      </c>
      <c r="AY269" s="3">
        <f>AY220-AX220</f>
        <v>0</v>
      </c>
      <c r="AZ269" s="3">
        <f>AZ220-AY220</f>
        <v>0</v>
      </c>
      <c r="BA269" s="3">
        <f>SUM(AW269:AZ269)</f>
        <v>0</v>
      </c>
      <c r="BB269" s="3">
        <f>BB220-BA220</f>
        <v>0</v>
      </c>
      <c r="BC269" s="3">
        <f>BC220-BB220</f>
        <v>0</v>
      </c>
      <c r="BD269" s="3">
        <f>BD220-BC220</f>
        <v>0</v>
      </c>
      <c r="BE269" s="3">
        <f>BE220-BD220</f>
        <v>0</v>
      </c>
      <c r="BF269" s="3">
        <f>SUM(BB269:BE269)</f>
        <v>0</v>
      </c>
      <c r="BG269" s="3">
        <f>BG220-BF220</f>
        <v>0</v>
      </c>
      <c r="BH269" s="3">
        <f>BH220-BG220</f>
        <v>0</v>
      </c>
      <c r="BI269" s="3">
        <f>BI220-BH220</f>
        <v>0</v>
      </c>
      <c r="BJ269" s="3">
        <f>BJ220-BI220</f>
        <v>0</v>
      </c>
      <c r="BK269" s="3">
        <f>SUM(BG269:BJ269)</f>
        <v>0</v>
      </c>
      <c r="BL269" s="3">
        <f>BL220-BK220</f>
        <v>0</v>
      </c>
      <c r="BM269" s="3">
        <f>BM220-BL220</f>
        <v>0</v>
      </c>
      <c r="BN269" s="3">
        <f>BN220-BM220</f>
        <v>0</v>
      </c>
      <c r="BO269" s="3">
        <f>BO220-BN220</f>
        <v>0</v>
      </c>
      <c r="BP269" s="3">
        <f>SUM(BL269:BO269)</f>
        <v>0</v>
      </c>
      <c r="BQ269" s="3">
        <f>BQ220-BP220</f>
        <v>0</v>
      </c>
      <c r="BR269" s="3">
        <f>BR220-BQ220</f>
        <v>0</v>
      </c>
      <c r="BS269" s="3">
        <f>BS220-BR220</f>
        <v>0</v>
      </c>
      <c r="BT269" s="3">
        <f>BT220-BS220</f>
        <v>0</v>
      </c>
      <c r="BU269" s="3">
        <f>SUM(BQ269:BT269)</f>
        <v>0</v>
      </c>
      <c r="BV269" s="3">
        <f>BV220-BU220</f>
        <v>0</v>
      </c>
      <c r="BW269" s="3">
        <f>BW220-BV220</f>
        <v>0</v>
      </c>
      <c r="BX269" s="3">
        <f>BX220-BW220</f>
        <v>0</v>
      </c>
      <c r="BY269" s="3">
        <f>BY220-BX220</f>
        <v>0</v>
      </c>
      <c r="BZ269" s="3">
        <f>SUM(BV269:BY269)</f>
        <v>0</v>
      </c>
      <c r="CA269" s="3">
        <f>CA220-BZ220</f>
        <v>0</v>
      </c>
      <c r="CB269" s="3">
        <f>CB220-CA220</f>
        <v>0</v>
      </c>
      <c r="CC269" s="3">
        <f>CC220-CB220</f>
        <v>0</v>
      </c>
      <c r="CD269" s="3">
        <f>CD220-CC220</f>
        <v>0</v>
      </c>
      <c r="CE269" s="3">
        <f>SUM(CA269:CD269)</f>
        <v>0</v>
      </c>
      <c r="CF269" s="3">
        <f>CF220-CE220</f>
        <v>0</v>
      </c>
      <c r="CG269" s="3">
        <f>CG220-CF220</f>
        <v>0</v>
      </c>
      <c r="CH269" s="3">
        <f>CH220-CG220</f>
        <v>0</v>
      </c>
      <c r="CI269" s="3">
        <f>CI220-CH220</f>
        <v>0</v>
      </c>
      <c r="CJ269" s="3">
        <f>SUM(CF269:CI269)</f>
        <v>0</v>
      </c>
      <c r="CK269" s="3">
        <f>CK220-CJ220</f>
        <v>0</v>
      </c>
      <c r="CL269" s="3">
        <f>CL220-CK220</f>
        <v>0</v>
      </c>
      <c r="CM269" s="3">
        <f>CM220-CL220</f>
        <v>0</v>
      </c>
      <c r="CN269" s="3">
        <f>CN220-CM220</f>
        <v>0</v>
      </c>
      <c r="CO269" s="3">
        <f>SUM(CK269:CN269)</f>
        <v>0</v>
      </c>
      <c r="CP269" s="3">
        <f>CP220-CO220</f>
        <v>0</v>
      </c>
      <c r="CQ269" s="3">
        <f>CQ220-CP220</f>
        <v>0</v>
      </c>
      <c r="CR269" s="3">
        <f>CR220-CQ220</f>
        <v>0</v>
      </c>
      <c r="CS269" s="3">
        <f>CS220-CR220</f>
        <v>0</v>
      </c>
      <c r="CT269" s="3">
        <f>SUM(CP269:CS269)</f>
        <v>0</v>
      </c>
      <c r="CU269" s="3">
        <f>CU220-CT220</f>
        <v>0</v>
      </c>
      <c r="CV269" s="3">
        <f>CV220-CU220</f>
        <v>0</v>
      </c>
      <c r="CW269" s="3">
        <f>CW220-CV220</f>
        <v>0</v>
      </c>
      <c r="CX269" s="3">
        <f>CX220-CW220</f>
        <v>0</v>
      </c>
      <c r="CY269" s="3">
        <f>SUM(CU269:CX269)</f>
        <v>0</v>
      </c>
    </row>
    <row r="270">
      <c r="C270" s="26" t="inlineStr">
        <is>
          <t>Treasury stock repurchases</t>
        </is>
      </c>
      <c r="D270" s="3" t="n"/>
      <c r="E270" s="3">
        <f>E233-D233</f>
        <v>-196</v>
      </c>
      <c r="F270" s="3">
        <f>F233-E233</f>
        <v>-298</v>
      </c>
      <c r="G270" s="3">
        <f>G233-F233</f>
        <v>-226</v>
      </c>
      <c r="H270" s="3">
        <f>SUM(D270:G270)</f>
        <v>-720</v>
      </c>
      <c r="I270" s="3">
        <f>I233-H233</f>
        <v>-486</v>
      </c>
      <c r="J270" s="3">
        <f>J233-I233</f>
        <v>-362</v>
      </c>
      <c r="K270" s="3">
        <f>K233-J233</f>
        <v>-434</v>
      </c>
      <c r="L270" s="3">
        <f>L233-K233</f>
        <v>12038</v>
      </c>
      <c r="M270" s="3">
        <f>SUM(I270:L270)</f>
        <v>10756</v>
      </c>
      <c r="N270" s="3">
        <f>N233-M233</f>
        <v>0</v>
      </c>
      <c r="O270" s="3">
        <f>O233-N233</f>
        <v>0</v>
      </c>
      <c r="P270" s="3">
        <f>P233-O233</f>
        <v>0</v>
      </c>
      <c r="Q270" s="3">
        <f>Q233-P233</f>
        <v>0</v>
      </c>
      <c r="R270" s="3">
        <f>SUM(N270:Q270)</f>
        <v>0</v>
      </c>
      <c r="S270" s="3">
        <f>S233-R233</f>
        <v>0</v>
      </c>
      <c r="T270" s="3">
        <f>T233-S233</f>
        <v>0</v>
      </c>
      <c r="U270" s="3">
        <f>U233-T233</f>
        <v>0</v>
      </c>
      <c r="V270" s="3">
        <f>V233-U233</f>
        <v>0</v>
      </c>
      <c r="W270" s="3">
        <f>SUM(S270:V270)</f>
        <v>0</v>
      </c>
      <c r="X270" s="3">
        <f>X233-W233</f>
        <v>0</v>
      </c>
      <c r="Y270" s="3">
        <f>Y233-X233</f>
        <v>0</v>
      </c>
      <c r="Z270" s="3">
        <f>Z233-Y233</f>
        <v>0</v>
      </c>
      <c r="AA270" s="3">
        <f>AA233-Z233</f>
        <v>0</v>
      </c>
      <c r="AB270" s="3">
        <f>SUM(X270:AA270)</f>
        <v>0</v>
      </c>
      <c r="AC270" s="3">
        <f>AC233-AB233</f>
        <v>0</v>
      </c>
      <c r="AD270" s="3">
        <f>AD233-AC233</f>
        <v>0</v>
      </c>
      <c r="AE270" s="3">
        <f>AE233-AD233</f>
        <v>0</v>
      </c>
      <c r="AF270" s="3">
        <f>AF233-AE233</f>
        <v>0</v>
      </c>
      <c r="AG270" s="3">
        <f>SUM(AC270:AF270)</f>
        <v>0</v>
      </c>
      <c r="AH270" s="3">
        <f>AH233-AG233</f>
        <v>0</v>
      </c>
      <c r="AI270" s="3">
        <f>AI233-AH233</f>
        <v>0</v>
      </c>
      <c r="AJ270" s="3">
        <f>AJ233-AI233</f>
        <v>0</v>
      </c>
      <c r="AK270" s="3">
        <f>AK233-AJ233</f>
        <v>0</v>
      </c>
      <c r="AL270" s="3">
        <f>SUM(AH270:AK270)</f>
        <v>0</v>
      </c>
      <c r="AM270" s="3">
        <f>AM233-AL233</f>
        <v>0</v>
      </c>
      <c r="AN270" s="3">
        <f>AN233-AM233</f>
        <v>0</v>
      </c>
      <c r="AO270" s="3">
        <f>AO233-AN233</f>
        <v>0</v>
      </c>
      <c r="AP270" s="3">
        <f>AP233-AO233</f>
        <v>0</v>
      </c>
      <c r="AQ270" s="3">
        <f>SUM(AM270:AP270)</f>
        <v>0</v>
      </c>
      <c r="AR270" s="3">
        <f>AR233-AQ233</f>
        <v>0</v>
      </c>
      <c r="AS270" s="3">
        <f>AS233-AR233</f>
        <v>0</v>
      </c>
      <c r="AT270" s="3">
        <f>AT233-AS233</f>
        <v>0</v>
      </c>
      <c r="AU270" s="3">
        <f>AU233-AT233</f>
        <v>0</v>
      </c>
      <c r="AV270" s="3">
        <f>SUM(AR270:AU270)</f>
        <v>0</v>
      </c>
      <c r="AW270" s="3">
        <f>AW233-AV233</f>
        <v>0</v>
      </c>
      <c r="AX270" s="3">
        <f>AX233-AW233</f>
        <v>0</v>
      </c>
      <c r="AY270" s="3">
        <f>AY233-AX233</f>
        <v>0</v>
      </c>
      <c r="AZ270" s="3">
        <f>AZ233-AY233</f>
        <v>0</v>
      </c>
      <c r="BA270" s="3">
        <f>SUM(AW270:AZ270)</f>
        <v>0</v>
      </c>
      <c r="BB270" s="3">
        <f>BB233-BA233</f>
        <v>0</v>
      </c>
      <c r="BC270" s="3">
        <f>BC233-BB233</f>
        <v>0</v>
      </c>
      <c r="BD270" s="3">
        <f>BD233-BC233</f>
        <v>0</v>
      </c>
      <c r="BE270" s="3">
        <f>BE233-BD233</f>
        <v>0</v>
      </c>
      <c r="BF270" s="3">
        <f>SUM(BB270:BE270)</f>
        <v>0</v>
      </c>
      <c r="BG270" s="3">
        <f>BG233-BF233</f>
        <v>0</v>
      </c>
      <c r="BH270" s="3">
        <f>BH233-BG233</f>
        <v>0</v>
      </c>
      <c r="BI270" s="3">
        <f>BI233-BH233</f>
        <v>0</v>
      </c>
      <c r="BJ270" s="3">
        <f>BJ233-BI233</f>
        <v>0</v>
      </c>
      <c r="BK270" s="3">
        <f>SUM(BG270:BJ270)</f>
        <v>0</v>
      </c>
      <c r="BL270" s="3">
        <f>BL233-BK233</f>
        <v>0</v>
      </c>
      <c r="BM270" s="3">
        <f>BM233-BL233</f>
        <v>0</v>
      </c>
      <c r="BN270" s="3">
        <f>BN233-BM233</f>
        <v>0</v>
      </c>
      <c r="BO270" s="3">
        <f>BO233-BN233</f>
        <v>0</v>
      </c>
      <c r="BP270" s="3">
        <f>SUM(BL270:BO270)</f>
        <v>0</v>
      </c>
      <c r="BQ270" s="3">
        <f>BQ233-BP233</f>
        <v>0</v>
      </c>
      <c r="BR270" s="3">
        <f>BR233-BQ233</f>
        <v>0</v>
      </c>
      <c r="BS270" s="3">
        <f>BS233-BR233</f>
        <v>0</v>
      </c>
      <c r="BT270" s="3">
        <f>BT233-BS233</f>
        <v>0</v>
      </c>
      <c r="BU270" s="3">
        <f>SUM(BQ270:BT270)</f>
        <v>0</v>
      </c>
      <c r="BV270" s="3">
        <f>BV233-BU233</f>
        <v>0</v>
      </c>
      <c r="BW270" s="3">
        <f>BW233-BV233</f>
        <v>0</v>
      </c>
      <c r="BX270" s="3">
        <f>BX233-BW233</f>
        <v>0</v>
      </c>
      <c r="BY270" s="3">
        <f>BY233-BX233</f>
        <v>0</v>
      </c>
      <c r="BZ270" s="3">
        <f>SUM(BV270:BY270)</f>
        <v>0</v>
      </c>
      <c r="CA270" s="3">
        <f>CA233-BZ233</f>
        <v>0</v>
      </c>
      <c r="CB270" s="3">
        <f>CB233-CA233</f>
        <v>0</v>
      </c>
      <c r="CC270" s="3">
        <f>CC233-CB233</f>
        <v>0</v>
      </c>
      <c r="CD270" s="3">
        <f>CD233-CC233</f>
        <v>0</v>
      </c>
      <c r="CE270" s="3">
        <f>SUM(CA270:CD270)</f>
        <v>0</v>
      </c>
      <c r="CF270" s="3">
        <f>CF233-CE233</f>
        <v>0</v>
      </c>
      <c r="CG270" s="3">
        <f>CG233-CF233</f>
        <v>0</v>
      </c>
      <c r="CH270" s="3">
        <f>CH233-CG233</f>
        <v>0</v>
      </c>
      <c r="CI270" s="3">
        <f>CI233-CH233</f>
        <v>0</v>
      </c>
      <c r="CJ270" s="3">
        <f>SUM(CF270:CI270)</f>
        <v>0</v>
      </c>
      <c r="CK270" s="3">
        <f>CK233-CJ233</f>
        <v>0</v>
      </c>
      <c r="CL270" s="3">
        <f>CL233-CK233</f>
        <v>0</v>
      </c>
      <c r="CM270" s="3">
        <f>CM233-CL233</f>
        <v>0</v>
      </c>
      <c r="CN270" s="3">
        <f>CN233-CM233</f>
        <v>0</v>
      </c>
      <c r="CO270" s="3">
        <f>SUM(CK270:CN270)</f>
        <v>0</v>
      </c>
      <c r="CP270" s="3">
        <f>CP233-CO233</f>
        <v>0</v>
      </c>
      <c r="CQ270" s="3">
        <f>CQ233-CP233</f>
        <v>0</v>
      </c>
      <c r="CR270" s="3">
        <f>CR233-CQ233</f>
        <v>0</v>
      </c>
      <c r="CS270" s="3">
        <f>CS233-CR233</f>
        <v>0</v>
      </c>
      <c r="CT270" s="3">
        <f>SUM(CP270:CS270)</f>
        <v>0</v>
      </c>
      <c r="CU270" s="3">
        <f>CU233-CT233</f>
        <v>0</v>
      </c>
      <c r="CV270" s="3">
        <f>CV233-CU233</f>
        <v>0</v>
      </c>
      <c r="CW270" s="3">
        <f>CW233-CV233</f>
        <v>0</v>
      </c>
      <c r="CX270" s="3">
        <f>CX233-CW233</f>
        <v>0</v>
      </c>
      <c r="CY270" s="3">
        <f>SUM(CU270:CX270)</f>
        <v>0</v>
      </c>
    </row>
    <row r="271">
      <c r="C271" s="26" t="inlineStr">
        <is>
          <t>Comprehensive accumulated loss</t>
        </is>
      </c>
      <c r="D271" s="3" t="n"/>
      <c r="E271" s="3">
        <f>E234-D234</f>
        <v>14</v>
      </c>
      <c r="F271" s="3">
        <f>F234-E234</f>
        <v>8</v>
      </c>
      <c r="G271" s="3">
        <f>G234-F234</f>
        <v>7</v>
      </c>
      <c r="H271" s="3">
        <f>SUM(D271:G271)</f>
        <v>29</v>
      </c>
      <c r="I271" s="3">
        <f>I234-H234</f>
        <v>-5</v>
      </c>
      <c r="J271" s="3">
        <f>J234-I234</f>
        <v>-6</v>
      </c>
      <c r="K271" s="3">
        <f>K234-J234</f>
        <v>1</v>
      </c>
      <c r="L271" s="3">
        <f>L234-K234</f>
        <v>-20</v>
      </c>
      <c r="M271" s="3">
        <f>SUM(I271:L271)</f>
        <v>-30</v>
      </c>
      <c r="N271" s="3">
        <f>N234-M234</f>
        <v>-53</v>
      </c>
      <c r="O271" s="3">
        <f>O234-N234</f>
        <v>-26</v>
      </c>
      <c r="P271" s="3">
        <f>P234-O234</f>
        <v>-33</v>
      </c>
      <c r="Q271" s="3">
        <f>Q234-P234</f>
        <v>80</v>
      </c>
      <c r="R271" s="3">
        <f>SUM(N271:Q271)</f>
        <v>-32</v>
      </c>
      <c r="S271" s="3">
        <f>S234-R234</f>
        <v>-7</v>
      </c>
      <c r="T271" s="3">
        <f>T234-S234</f>
        <v>-1</v>
      </c>
      <c r="U271" s="3">
        <f>U234-T234</f>
        <v>-37</v>
      </c>
      <c r="V271" s="3">
        <f>V234-U234</f>
        <v>115</v>
      </c>
      <c r="W271" s="3">
        <f>SUM(S271:V271)</f>
        <v>70</v>
      </c>
      <c r="X271" s="3">
        <f>X234-W234</f>
        <v>-136</v>
      </c>
      <c r="Y271" s="3">
        <f>Y234-X234</f>
        <v>165</v>
      </c>
      <c r="Z271" s="3">
        <f>Z234-Y234</f>
        <v>47</v>
      </c>
      <c r="AA271" s="3">
        <f>AA234-Z234</f>
        <v>-75</v>
      </c>
      <c r="AB271" s="3">
        <f>SUM(X271:AA271)</f>
        <v>1</v>
      </c>
      <c r="AC271" s="3">
        <f>AC234-AB234</f>
        <v>158</v>
      </c>
      <c r="AD271" s="3">
        <f>AD234-AC234</f>
        <v>-16</v>
      </c>
      <c r="AE271" s="3">
        <f>AE234-AD234</f>
        <v>169</v>
      </c>
      <c r="AF271" s="3">
        <f>AF234-AE234</f>
        <v>-161</v>
      </c>
      <c r="AG271" s="3">
        <f>SUM(AC271:AF271)</f>
        <v>150</v>
      </c>
      <c r="AH271" s="3">
        <f>AH234-AG234</f>
        <v>0</v>
      </c>
      <c r="AI271" s="3">
        <f>AI234-AH234</f>
        <v>0</v>
      </c>
      <c r="AJ271" s="3">
        <f>AJ234-AI234</f>
        <v>0</v>
      </c>
      <c r="AK271" s="3">
        <f>AK234-AJ234</f>
        <v>0</v>
      </c>
      <c r="AL271" s="3">
        <f>SUM(AH271:AK271)</f>
        <v>0</v>
      </c>
      <c r="AM271" s="3">
        <f>AM234-AL234</f>
        <v>0</v>
      </c>
      <c r="AN271" s="3">
        <f>AN234-AM234</f>
        <v>0</v>
      </c>
      <c r="AO271" s="3">
        <f>AO234-AN234</f>
        <v>0</v>
      </c>
      <c r="AP271" s="3">
        <f>AP234-AO234</f>
        <v>0</v>
      </c>
      <c r="AQ271" s="3">
        <f>SUM(AM271:AP271)</f>
        <v>0</v>
      </c>
      <c r="AR271" s="3">
        <f>AR234-AQ234</f>
        <v>0</v>
      </c>
      <c r="AS271" s="3">
        <f>AS234-AR234</f>
        <v>0</v>
      </c>
      <c r="AT271" s="3">
        <f>AT234-AS234</f>
        <v>0</v>
      </c>
      <c r="AU271" s="3">
        <f>AU234-AT234</f>
        <v>0</v>
      </c>
      <c r="AV271" s="3">
        <f>SUM(AR271:AU271)</f>
        <v>0</v>
      </c>
      <c r="AW271" s="3">
        <f>AW234-AV234</f>
        <v>0</v>
      </c>
      <c r="AX271" s="3">
        <f>AX234-AW234</f>
        <v>0</v>
      </c>
      <c r="AY271" s="3">
        <f>AY234-AX234</f>
        <v>0</v>
      </c>
      <c r="AZ271" s="3">
        <f>AZ234-AY234</f>
        <v>0</v>
      </c>
      <c r="BA271" s="3">
        <f>SUM(AW271:AZ271)</f>
        <v>0</v>
      </c>
      <c r="BB271" s="3">
        <f>BB234-BA234</f>
        <v>0</v>
      </c>
      <c r="BC271" s="3">
        <f>BC234-BB234</f>
        <v>0</v>
      </c>
      <c r="BD271" s="3">
        <f>BD234-BC234</f>
        <v>0</v>
      </c>
      <c r="BE271" s="3">
        <f>BE234-BD234</f>
        <v>0</v>
      </c>
      <c r="BF271" s="3">
        <f>SUM(BB271:BE271)</f>
        <v>0</v>
      </c>
      <c r="BG271" s="3">
        <f>BG234-BF234</f>
        <v>0</v>
      </c>
      <c r="BH271" s="3">
        <f>BH234-BG234</f>
        <v>0</v>
      </c>
      <c r="BI271" s="3">
        <f>BI234-BH234</f>
        <v>0</v>
      </c>
      <c r="BJ271" s="3">
        <f>BJ234-BI234</f>
        <v>0</v>
      </c>
      <c r="BK271" s="3">
        <f>SUM(BG271:BJ271)</f>
        <v>0</v>
      </c>
      <c r="BL271" s="3">
        <f>BL234-BK234</f>
        <v>0</v>
      </c>
      <c r="BM271" s="3">
        <f>BM234-BL234</f>
        <v>0</v>
      </c>
      <c r="BN271" s="3">
        <f>BN234-BM234</f>
        <v>0</v>
      </c>
      <c r="BO271" s="3">
        <f>BO234-BN234</f>
        <v>0</v>
      </c>
      <c r="BP271" s="3">
        <f>SUM(BL271:BO271)</f>
        <v>0</v>
      </c>
      <c r="BQ271" s="3">
        <f>BQ234-BP234</f>
        <v>0</v>
      </c>
      <c r="BR271" s="3">
        <f>BR234-BQ234</f>
        <v>0</v>
      </c>
      <c r="BS271" s="3">
        <f>BS234-BR234</f>
        <v>0</v>
      </c>
      <c r="BT271" s="3">
        <f>BT234-BS234</f>
        <v>0</v>
      </c>
      <c r="BU271" s="3">
        <f>SUM(BQ271:BT271)</f>
        <v>0</v>
      </c>
      <c r="BV271" s="3">
        <f>BV234-BU234</f>
        <v>0</v>
      </c>
      <c r="BW271" s="3">
        <f>BW234-BV234</f>
        <v>0</v>
      </c>
      <c r="BX271" s="3">
        <f>BX234-BW234</f>
        <v>0</v>
      </c>
      <c r="BY271" s="3">
        <f>BY234-BX234</f>
        <v>0</v>
      </c>
      <c r="BZ271" s="3">
        <f>SUM(BV271:BY271)</f>
        <v>0</v>
      </c>
      <c r="CA271" s="3">
        <f>CA234-BZ234</f>
        <v>0</v>
      </c>
      <c r="CB271" s="3">
        <f>CB234-CA234</f>
        <v>0</v>
      </c>
      <c r="CC271" s="3">
        <f>CC234-CB234</f>
        <v>0</v>
      </c>
      <c r="CD271" s="3">
        <f>CD234-CC234</f>
        <v>0</v>
      </c>
      <c r="CE271" s="3">
        <f>SUM(CA271:CD271)</f>
        <v>0</v>
      </c>
      <c r="CF271" s="3">
        <f>CF234-CE234</f>
        <v>0</v>
      </c>
      <c r="CG271" s="3">
        <f>CG234-CF234</f>
        <v>0</v>
      </c>
      <c r="CH271" s="3">
        <f>CH234-CG234</f>
        <v>0</v>
      </c>
      <c r="CI271" s="3">
        <f>CI234-CH234</f>
        <v>0</v>
      </c>
      <c r="CJ271" s="3">
        <f>SUM(CF271:CI271)</f>
        <v>0</v>
      </c>
      <c r="CK271" s="3">
        <f>CK234-CJ234</f>
        <v>0</v>
      </c>
      <c r="CL271" s="3">
        <f>CL234-CK234</f>
        <v>0</v>
      </c>
      <c r="CM271" s="3">
        <f>CM234-CL234</f>
        <v>0</v>
      </c>
      <c r="CN271" s="3">
        <f>CN234-CM234</f>
        <v>0</v>
      </c>
      <c r="CO271" s="3">
        <f>SUM(CK271:CN271)</f>
        <v>0</v>
      </c>
      <c r="CP271" s="3">
        <f>CP234-CO234</f>
        <v>0</v>
      </c>
      <c r="CQ271" s="3">
        <f>CQ234-CP234</f>
        <v>0</v>
      </c>
      <c r="CR271" s="3">
        <f>CR234-CQ234</f>
        <v>0</v>
      </c>
      <c r="CS271" s="3">
        <f>CS234-CR234</f>
        <v>0</v>
      </c>
      <c r="CT271" s="3">
        <f>SUM(CP271:CS271)</f>
        <v>0</v>
      </c>
      <c r="CU271" s="3">
        <f>CU234-CT234</f>
        <v>0</v>
      </c>
      <c r="CV271" s="3">
        <f>CV234-CU234</f>
        <v>0</v>
      </c>
      <c r="CW271" s="3">
        <f>CW234-CV234</f>
        <v>0</v>
      </c>
      <c r="CX271" s="3">
        <f>CX234-CW234</f>
        <v>0</v>
      </c>
      <c r="CY271" s="3">
        <f>SUM(CU271:CX271)</f>
        <v>0</v>
      </c>
    </row>
    <row r="272">
      <c r="C272" s="26" t="inlineStr">
        <is>
          <t>Other equity account</t>
        </is>
      </c>
      <c r="D272" s="3" t="n"/>
      <c r="E272" s="3">
        <f>E235-D235</f>
        <v>0</v>
      </c>
      <c r="F272" s="3">
        <f>F235-E235</f>
        <v>0</v>
      </c>
      <c r="G272" s="3">
        <f>G235-F235</f>
        <v>0</v>
      </c>
      <c r="H272" s="3">
        <f>SUM(D272:G272)</f>
        <v>0</v>
      </c>
      <c r="I272" s="3">
        <f>I235-H235</f>
        <v>0</v>
      </c>
      <c r="J272" s="3">
        <f>J235-I235</f>
        <v>0</v>
      </c>
      <c r="K272" s="3">
        <f>K235-J235</f>
        <v>0</v>
      </c>
      <c r="L272" s="3">
        <f>L235-K235</f>
        <v>0</v>
      </c>
      <c r="M272" s="3">
        <f>SUM(I272:L272)</f>
        <v>0</v>
      </c>
      <c r="N272" s="3">
        <f>N235-M235</f>
        <v>0</v>
      </c>
      <c r="O272" s="3">
        <f>O235-N235</f>
        <v>0</v>
      </c>
      <c r="P272" s="3">
        <f>P235-O235</f>
        <v>0</v>
      </c>
      <c r="Q272" s="3">
        <f>Q235-P235</f>
        <v>0</v>
      </c>
      <c r="R272" s="3">
        <f>SUM(N272:Q272)</f>
        <v>0</v>
      </c>
      <c r="S272" s="3">
        <f>S235-R235</f>
        <v>0</v>
      </c>
      <c r="T272" s="3">
        <f>T235-S235</f>
        <v>0</v>
      </c>
      <c r="U272" s="3">
        <f>U235-T235</f>
        <v>0</v>
      </c>
      <c r="V272" s="3">
        <f>V235-U235</f>
        <v>0</v>
      </c>
      <c r="W272" s="3">
        <f>SUM(S272:V272)</f>
        <v>0</v>
      </c>
      <c r="X272" s="3">
        <f>X235-W235</f>
        <v>0</v>
      </c>
      <c r="Y272" s="3">
        <f>Y235-X235</f>
        <v>0</v>
      </c>
      <c r="Z272" s="3">
        <f>Z235-Y235</f>
        <v>0</v>
      </c>
      <c r="AA272" s="3">
        <f>AA235-Z235</f>
        <v>0</v>
      </c>
      <c r="AB272" s="3">
        <f>SUM(X272:AA272)</f>
        <v>0</v>
      </c>
      <c r="AC272" s="3">
        <f>AC235-AB235</f>
        <v>0</v>
      </c>
      <c r="AD272" s="3">
        <f>AD235-AC235</f>
        <v>0</v>
      </c>
      <c r="AE272" s="3">
        <f>AE235-AD235</f>
        <v>0</v>
      </c>
      <c r="AF272" s="3">
        <f>AF235-AE235</f>
        <v>0</v>
      </c>
      <c r="AG272" s="3">
        <f>SUM(AC272:AF272)</f>
        <v>0</v>
      </c>
      <c r="AH272" s="3">
        <f>AH235-AG235</f>
        <v>0</v>
      </c>
      <c r="AI272" s="3">
        <f>AI235-AH235</f>
        <v>0</v>
      </c>
      <c r="AJ272" s="3">
        <f>AJ235-AI235</f>
        <v>0</v>
      </c>
      <c r="AK272" s="3">
        <f>AK235-AJ235</f>
        <v>0</v>
      </c>
      <c r="AL272" s="3">
        <f>SUM(AH272:AK272)</f>
        <v>0</v>
      </c>
      <c r="AM272" s="3">
        <f>AM235-AL235</f>
        <v>0</v>
      </c>
      <c r="AN272" s="3">
        <f>AN235-AM235</f>
        <v>0</v>
      </c>
      <c r="AO272" s="3">
        <f>AO235-AN235</f>
        <v>0</v>
      </c>
      <c r="AP272" s="3">
        <f>AP235-AO235</f>
        <v>0</v>
      </c>
      <c r="AQ272" s="3">
        <f>SUM(AM272:AP272)</f>
        <v>0</v>
      </c>
      <c r="AR272" s="3">
        <f>AR235-AQ235</f>
        <v>0</v>
      </c>
      <c r="AS272" s="3">
        <f>AS235-AR235</f>
        <v>0</v>
      </c>
      <c r="AT272" s="3">
        <f>AT235-AS235</f>
        <v>0</v>
      </c>
      <c r="AU272" s="3">
        <f>AU235-AT235</f>
        <v>0</v>
      </c>
      <c r="AV272" s="3">
        <f>SUM(AR272:AU272)</f>
        <v>0</v>
      </c>
      <c r="AW272" s="3">
        <f>AW235-AV235</f>
        <v>0</v>
      </c>
      <c r="AX272" s="3">
        <f>AX235-AW235</f>
        <v>0</v>
      </c>
      <c r="AY272" s="3">
        <f>AY235-AX235</f>
        <v>0</v>
      </c>
      <c r="AZ272" s="3">
        <f>AZ235-AY235</f>
        <v>0</v>
      </c>
      <c r="BA272" s="3">
        <f>SUM(AW272:AZ272)</f>
        <v>0</v>
      </c>
      <c r="BB272" s="3">
        <f>BB235-BA235</f>
        <v>0</v>
      </c>
      <c r="BC272" s="3">
        <f>BC235-BB235</f>
        <v>0</v>
      </c>
      <c r="BD272" s="3">
        <f>BD235-BC235</f>
        <v>0</v>
      </c>
      <c r="BE272" s="3">
        <f>BE235-BD235</f>
        <v>0</v>
      </c>
      <c r="BF272" s="3">
        <f>SUM(BB272:BE272)</f>
        <v>0</v>
      </c>
      <c r="BG272" s="3">
        <f>BG235-BF235</f>
        <v>0</v>
      </c>
      <c r="BH272" s="3">
        <f>BH235-BG235</f>
        <v>0</v>
      </c>
      <c r="BI272" s="3">
        <f>BI235-BH235</f>
        <v>0</v>
      </c>
      <c r="BJ272" s="3">
        <f>BJ235-BI235</f>
        <v>0</v>
      </c>
      <c r="BK272" s="3">
        <f>SUM(BG272:BJ272)</f>
        <v>0</v>
      </c>
      <c r="BL272" s="3">
        <f>BL235-BK235</f>
        <v>0</v>
      </c>
      <c r="BM272" s="3">
        <f>BM235-BL235</f>
        <v>0</v>
      </c>
      <c r="BN272" s="3">
        <f>BN235-BM235</f>
        <v>0</v>
      </c>
      <c r="BO272" s="3">
        <f>BO235-BN235</f>
        <v>0</v>
      </c>
      <c r="BP272" s="3">
        <f>SUM(BL272:BO272)</f>
        <v>0</v>
      </c>
      <c r="BQ272" s="3">
        <f>BQ235-BP235</f>
        <v>0</v>
      </c>
      <c r="BR272" s="3">
        <f>BR235-BQ235</f>
        <v>0</v>
      </c>
      <c r="BS272" s="3">
        <f>BS235-BR235</f>
        <v>0</v>
      </c>
      <c r="BT272" s="3">
        <f>BT235-BS235</f>
        <v>0</v>
      </c>
      <c r="BU272" s="3">
        <f>SUM(BQ272:BT272)</f>
        <v>0</v>
      </c>
      <c r="BV272" s="3">
        <f>BV235-BU235</f>
        <v>0</v>
      </c>
      <c r="BW272" s="3">
        <f>BW235-BV235</f>
        <v>0</v>
      </c>
      <c r="BX272" s="3">
        <f>BX235-BW235</f>
        <v>0</v>
      </c>
      <c r="BY272" s="3">
        <f>BY235-BX235</f>
        <v>0</v>
      </c>
      <c r="BZ272" s="3">
        <f>SUM(BV272:BY272)</f>
        <v>0</v>
      </c>
      <c r="CA272" s="3">
        <f>CA235-BZ235</f>
        <v>0</v>
      </c>
      <c r="CB272" s="3">
        <f>CB235-CA235</f>
        <v>0</v>
      </c>
      <c r="CC272" s="3">
        <f>CC235-CB235</f>
        <v>0</v>
      </c>
      <c r="CD272" s="3">
        <f>CD235-CC235</f>
        <v>0</v>
      </c>
      <c r="CE272" s="3">
        <f>SUM(CA272:CD272)</f>
        <v>0</v>
      </c>
      <c r="CF272" s="3">
        <f>CF235-CE235</f>
        <v>0</v>
      </c>
      <c r="CG272" s="3">
        <f>CG235-CF235</f>
        <v>0</v>
      </c>
      <c r="CH272" s="3">
        <f>CH235-CG235</f>
        <v>0</v>
      </c>
      <c r="CI272" s="3">
        <f>CI235-CH235</f>
        <v>0</v>
      </c>
      <c r="CJ272" s="3">
        <f>SUM(CF272:CI272)</f>
        <v>0</v>
      </c>
      <c r="CK272" s="3">
        <f>CK235-CJ235</f>
        <v>0</v>
      </c>
      <c r="CL272" s="3">
        <f>CL235-CK235</f>
        <v>0</v>
      </c>
      <c r="CM272" s="3">
        <f>CM235-CL235</f>
        <v>0</v>
      </c>
      <c r="CN272" s="3">
        <f>CN235-CM235</f>
        <v>0</v>
      </c>
      <c r="CO272" s="3">
        <f>SUM(CK272:CN272)</f>
        <v>0</v>
      </c>
      <c r="CP272" s="3">
        <f>CP235-CO235</f>
        <v>0</v>
      </c>
      <c r="CQ272" s="3">
        <f>CQ235-CP235</f>
        <v>0</v>
      </c>
      <c r="CR272" s="3">
        <f>CR235-CQ235</f>
        <v>0</v>
      </c>
      <c r="CS272" s="3">
        <f>CS235-CR235</f>
        <v>0</v>
      </c>
      <c r="CT272" s="3">
        <f>SUM(CP272:CS272)</f>
        <v>0</v>
      </c>
      <c r="CU272" s="3">
        <f>CU235-CT235</f>
        <v>0</v>
      </c>
      <c r="CV272" s="3">
        <f>CV235-CU235</f>
        <v>0</v>
      </c>
      <c r="CW272" s="3">
        <f>CW235-CV235</f>
        <v>0</v>
      </c>
      <c r="CX272" s="3">
        <f>CX235-CW235</f>
        <v>0</v>
      </c>
      <c r="CY272" s="3">
        <f>SUM(CU272:CX272)</f>
        <v>0</v>
      </c>
    </row>
    <row r="273">
      <c r="C273" s="29" t="inlineStr">
        <is>
          <t>Common and preferred dividends</t>
        </is>
      </c>
      <c r="D273" s="3" t="n"/>
      <c r="E273" s="3">
        <f>(E236-D236)-E243</f>
        <v>-99</v>
      </c>
      <c r="F273" s="3">
        <f>(F236-E236)-F243</f>
        <v>-99</v>
      </c>
      <c r="G273" s="3">
        <f>(G236-F236)-G243</f>
        <v>-99</v>
      </c>
      <c r="H273" s="3">
        <f>SUM(D273:G273)</f>
        <v>-297</v>
      </c>
      <c r="I273" s="3">
        <f>(I236-H236)-I243</f>
        <v>-99</v>
      </c>
      <c r="J273" s="3">
        <f>(J236-I236)-J243</f>
        <v>-100</v>
      </c>
      <c r="K273" s="3">
        <f>(K236-J236)-K243</f>
        <v>-100</v>
      </c>
      <c r="L273" s="3">
        <f>(L236-K236)-L243</f>
        <v>-12126</v>
      </c>
      <c r="M273" s="3">
        <f>SUM(I273:L273)</f>
        <v>-12425</v>
      </c>
      <c r="N273" s="3">
        <f>(N236-M236)-N243</f>
        <v>-2095</v>
      </c>
      <c r="O273" s="3">
        <f>(O236-N236)-O243</f>
        <v>-3443</v>
      </c>
      <c r="P273" s="3">
        <f>(P236-O236)-P243</f>
        <v>-3746</v>
      </c>
      <c r="Q273" s="3">
        <f>(Q236-P236)-Q243</f>
        <v>-1148</v>
      </c>
      <c r="R273" s="3">
        <f>SUM(N273:Q273)</f>
        <v>-10432</v>
      </c>
      <c r="S273" s="3">
        <f>(S236-R236)-S243</f>
        <v>-99</v>
      </c>
      <c r="T273" s="3">
        <f>(T236-S236)-T243</f>
        <v>-3382</v>
      </c>
      <c r="U273" s="3">
        <f>(U236-T236)-U243</f>
        <v>-3804</v>
      </c>
      <c r="V273" s="3">
        <f>(V236-U236)-V243</f>
        <v>-2829</v>
      </c>
      <c r="W273" s="3">
        <f>SUM(S273:V273)</f>
        <v>-10114</v>
      </c>
      <c r="X273" s="3">
        <f>(X236-W236)-X243</f>
        <v>-8100</v>
      </c>
      <c r="Y273" s="3">
        <f>(Y236-X236)-Y243</f>
        <v>-7236</v>
      </c>
      <c r="Z273" s="3">
        <f>(Z236-Y236)-Z243</f>
        <v>-11320</v>
      </c>
      <c r="AA273" s="3">
        <f>(AA236-Z236)-AA243</f>
        <v>-8003</v>
      </c>
      <c r="AB273" s="3">
        <f>SUM(X273:AA273)</f>
        <v>-34659</v>
      </c>
      <c r="AC273" s="3">
        <f>(AC236-AB236)-AC243</f>
        <v>-14655</v>
      </c>
      <c r="AD273" s="3">
        <f>(AD236-AC236)-AD243</f>
        <v>-9843</v>
      </c>
      <c r="AE273" s="3">
        <f>(AE236-AD236)-AE243</f>
        <v>-12739</v>
      </c>
      <c r="AF273" s="3">
        <f>(AF236-AE236)-AF243</f>
        <v>-3895</v>
      </c>
      <c r="AG273" s="3">
        <f>SUM(AC273:AF273)</f>
        <v>-41132</v>
      </c>
      <c r="AH273" s="3">
        <f>(AH236-AG236)-AH243</f>
        <v>0</v>
      </c>
      <c r="AI273" s="3">
        <f>(AI236-AH236)-AI243</f>
        <v>0</v>
      </c>
      <c r="AJ273" s="3">
        <f>(AJ236-AI236)-AJ243</f>
        <v>0</v>
      </c>
      <c r="AK273" s="3">
        <f>(AK236-AJ236)-AK243</f>
        <v>0</v>
      </c>
      <c r="AL273" s="3">
        <f>SUM(AH273:AK273)</f>
        <v>0</v>
      </c>
      <c r="AM273" s="3">
        <f>(AM236-AL236)-AM243</f>
        <v>0</v>
      </c>
      <c r="AN273" s="3">
        <f>(AN236-AM236)-AN243</f>
        <v>0</v>
      </c>
      <c r="AO273" s="3">
        <f>(AO236-AN236)-AO243</f>
        <v>0</v>
      </c>
      <c r="AP273" s="3">
        <f>(AP236-AO236)-AP243</f>
        <v>0</v>
      </c>
      <c r="AQ273" s="3">
        <f>SUM(AM273:AP273)</f>
        <v>0</v>
      </c>
      <c r="AR273" s="3">
        <f>(AR236-AQ236)-AR243</f>
        <v>0</v>
      </c>
      <c r="AS273" s="3">
        <f>(AS236-AR236)-AS243</f>
        <v>0</v>
      </c>
      <c r="AT273" s="3">
        <f>(AT236-AS236)-AT243</f>
        <v>0</v>
      </c>
      <c r="AU273" s="3">
        <f>(AU236-AT236)-AU243</f>
        <v>0</v>
      </c>
      <c r="AV273" s="3">
        <f>SUM(AR273:AU273)</f>
        <v>0</v>
      </c>
      <c r="AW273" s="3">
        <f>(AW236-AV236)-AW243</f>
        <v>0</v>
      </c>
      <c r="AX273" s="3">
        <f>(AX236-AW236)-AX243</f>
        <v>0</v>
      </c>
      <c r="AY273" s="3">
        <f>(AY236-AX236)-AY243</f>
        <v>0</v>
      </c>
      <c r="AZ273" s="3">
        <f>(AZ236-AY236)-AZ243</f>
        <v>0</v>
      </c>
      <c r="BA273" s="3">
        <f>SUM(AW273:AZ273)</f>
        <v>0</v>
      </c>
      <c r="BB273" s="3">
        <f>(BB236-BA236)-BB243</f>
        <v>0</v>
      </c>
      <c r="BC273" s="3">
        <f>(BC236-BB236)-BC243</f>
        <v>0</v>
      </c>
      <c r="BD273" s="3">
        <f>(BD236-BC236)-BD243</f>
        <v>0</v>
      </c>
      <c r="BE273" s="3">
        <f>(BE236-BD236)-BE243</f>
        <v>0</v>
      </c>
      <c r="BF273" s="3">
        <f>SUM(BB273:BE273)</f>
        <v>0</v>
      </c>
      <c r="BG273" s="3">
        <f>(BG236-BF236)-BG243</f>
        <v>0</v>
      </c>
      <c r="BH273" s="3">
        <f>(BH236-BG236)-BH243</f>
        <v>0</v>
      </c>
      <c r="BI273" s="3">
        <f>(BI236-BH236)-BI243</f>
        <v>0</v>
      </c>
      <c r="BJ273" s="3">
        <f>(BJ236-BI236)-BJ243</f>
        <v>0</v>
      </c>
      <c r="BK273" s="3">
        <f>SUM(BG273:BJ273)</f>
        <v>0</v>
      </c>
      <c r="BL273" s="3">
        <f>(BL236-BK236)-BL243</f>
        <v>0</v>
      </c>
      <c r="BM273" s="3">
        <f>(BM236-BL236)-BM243</f>
        <v>0</v>
      </c>
      <c r="BN273" s="3">
        <f>(BN236-BM236)-BN243</f>
        <v>0</v>
      </c>
      <c r="BO273" s="3">
        <f>(BO236-BN236)-BO243</f>
        <v>0</v>
      </c>
      <c r="BP273" s="3">
        <f>SUM(BL273:BO273)</f>
        <v>0</v>
      </c>
      <c r="BQ273" s="3">
        <f>(BQ236-BP236)-BQ243</f>
        <v>0</v>
      </c>
      <c r="BR273" s="3">
        <f>(BR236-BQ236)-BR243</f>
        <v>0</v>
      </c>
      <c r="BS273" s="3">
        <f>(BS236-BR236)-BS243</f>
        <v>0</v>
      </c>
      <c r="BT273" s="3">
        <f>(BT236-BS236)-BT243</f>
        <v>0</v>
      </c>
      <c r="BU273" s="3">
        <f>SUM(BQ273:BT273)</f>
        <v>0</v>
      </c>
      <c r="BV273" s="3">
        <f>(BV236-BU236)-BV243</f>
        <v>0</v>
      </c>
      <c r="BW273" s="3">
        <f>(BW236-BV236)-BW243</f>
        <v>0</v>
      </c>
      <c r="BX273" s="3">
        <f>(BX236-BW236)-BX243</f>
        <v>0</v>
      </c>
      <c r="BY273" s="3">
        <f>(BY236-BX236)-BY243</f>
        <v>0</v>
      </c>
      <c r="BZ273" s="3">
        <f>SUM(BV273:BY273)</f>
        <v>0</v>
      </c>
      <c r="CA273" s="3">
        <f>(CA236-BZ236)-CA243</f>
        <v>0</v>
      </c>
      <c r="CB273" s="3">
        <f>(CB236-CA236)-CB243</f>
        <v>0</v>
      </c>
      <c r="CC273" s="3">
        <f>(CC236-CB236)-CC243</f>
        <v>0</v>
      </c>
      <c r="CD273" s="3">
        <f>(CD236-CC236)-CD243</f>
        <v>0</v>
      </c>
      <c r="CE273" s="3">
        <f>SUM(CA273:CD273)</f>
        <v>0</v>
      </c>
      <c r="CF273" s="3">
        <f>(CF236-CE236)-CF243</f>
        <v>0</v>
      </c>
      <c r="CG273" s="3">
        <f>(CG236-CF236)-CG243</f>
        <v>0</v>
      </c>
      <c r="CH273" s="3">
        <f>(CH236-CG236)-CH243</f>
        <v>0</v>
      </c>
      <c r="CI273" s="3">
        <f>(CI236-CH236)-CI243</f>
        <v>0</v>
      </c>
      <c r="CJ273" s="3">
        <f>SUM(CF273:CI273)</f>
        <v>0</v>
      </c>
      <c r="CK273" s="3">
        <f>(CK236-CJ236)-CK243</f>
        <v>0</v>
      </c>
      <c r="CL273" s="3">
        <f>(CL236-CK236)-CL243</f>
        <v>0</v>
      </c>
      <c r="CM273" s="3">
        <f>(CM236-CL236)-CM243</f>
        <v>0</v>
      </c>
      <c r="CN273" s="3">
        <f>(CN236-CM236)-CN243</f>
        <v>0</v>
      </c>
      <c r="CO273" s="3">
        <f>SUM(CK273:CN273)</f>
        <v>0</v>
      </c>
      <c r="CP273" s="3">
        <f>(CP236-CO236)-CP243</f>
        <v>0</v>
      </c>
      <c r="CQ273" s="3">
        <f>(CQ236-CP236)-CQ243</f>
        <v>0</v>
      </c>
      <c r="CR273" s="3">
        <f>(CR236-CQ236)-CR243</f>
        <v>0</v>
      </c>
      <c r="CS273" s="3">
        <f>(CS236-CR236)-CS243</f>
        <v>0</v>
      </c>
      <c r="CT273" s="3">
        <f>SUM(CP273:CS273)</f>
        <v>0</v>
      </c>
      <c r="CU273" s="3">
        <f>(CU236-CT236)-CU243</f>
        <v>0</v>
      </c>
      <c r="CV273" s="3">
        <f>(CV236-CU236)-CV243</f>
        <v>0</v>
      </c>
      <c r="CW273" s="3">
        <f>(CW236-CV236)-CW243</f>
        <v>0</v>
      </c>
      <c r="CX273" s="3">
        <f>(CX236-CW236)-CX243</f>
        <v>0</v>
      </c>
      <c r="CY273" s="3">
        <f>SUM(CU273:CX273)</f>
        <v>0</v>
      </c>
    </row>
    <row r="274">
      <c r="C274" s="26" t="inlineStr">
        <is>
          <t>Dividends to minority interests</t>
        </is>
      </c>
      <c r="D274" s="3" t="n"/>
      <c r="E274" s="3">
        <f>(E214-D214)+E102</f>
        <v>0</v>
      </c>
      <c r="F274" s="3">
        <f>(F214-E214)+F102</f>
        <v>0</v>
      </c>
      <c r="G274" s="3">
        <f>(G214-F214)+G102</f>
        <v>0</v>
      </c>
      <c r="H274" s="3">
        <f>SUM(D274:G274)</f>
        <v>0</v>
      </c>
      <c r="I274" s="3">
        <f>(I214-H214)+I102</f>
        <v>0</v>
      </c>
      <c r="J274" s="3">
        <f>(J214-I214)+J102</f>
        <v>0</v>
      </c>
      <c r="K274" s="3">
        <f>(K214-J214)+K102</f>
        <v>0</v>
      </c>
      <c r="L274" s="3">
        <f>(L214-K214)+L102</f>
        <v>0</v>
      </c>
      <c r="M274" s="3">
        <f>SUM(I274:L274)</f>
        <v>0</v>
      </c>
      <c r="N274" s="3">
        <f>(N214-M214)+N102</f>
        <v>0</v>
      </c>
      <c r="O274" s="3">
        <f>(O214-N214)+O102</f>
        <v>0</v>
      </c>
      <c r="P274" s="3">
        <f>(P214-O214)+P102</f>
        <v>0</v>
      </c>
      <c r="Q274" s="3">
        <f>(Q214-P214)+Q102</f>
        <v>0</v>
      </c>
      <c r="R274" s="3">
        <f>SUM(N274:Q274)</f>
        <v>0</v>
      </c>
      <c r="S274" s="3">
        <f>(S214-R214)+S102</f>
        <v>0</v>
      </c>
      <c r="T274" s="3">
        <f>(T214-S214)+T102</f>
        <v>0</v>
      </c>
      <c r="U274" s="3">
        <f>(U214-T214)+U102</f>
        <v>0</v>
      </c>
      <c r="V274" s="3">
        <f>(V214-U214)+V102</f>
        <v>0</v>
      </c>
      <c r="W274" s="3">
        <f>SUM(S274:V274)</f>
        <v>0</v>
      </c>
      <c r="X274" s="3">
        <f>(X214-W214)+X102</f>
        <v>0</v>
      </c>
      <c r="Y274" s="3">
        <f>(Y214-X214)+Y102</f>
        <v>0</v>
      </c>
      <c r="Z274" s="3">
        <f>(Z214-Y214)+Z102</f>
        <v>0</v>
      </c>
      <c r="AA274" s="3">
        <f>(AA214-Z214)+AA102</f>
        <v>0</v>
      </c>
      <c r="AB274" s="3">
        <f>SUM(X274:AA274)</f>
        <v>0</v>
      </c>
      <c r="AC274" s="3">
        <f>(AC214-AB214)+AC102</f>
        <v>0</v>
      </c>
      <c r="AD274" s="3">
        <f>(AD214-AC214)+AD102</f>
        <v>0</v>
      </c>
      <c r="AE274" s="3">
        <f>(AE214-AD214)+AE102</f>
        <v>0</v>
      </c>
      <c r="AF274" s="3">
        <f>(AF214-AE214)+AF102</f>
        <v>0</v>
      </c>
      <c r="AG274" s="3">
        <f>SUM(AC274:AF274)</f>
        <v>0</v>
      </c>
      <c r="AH274" s="3">
        <f>(AH214-AG214)+AH102</f>
        <v>0</v>
      </c>
      <c r="AI274" s="3">
        <f>(AI214-AH214)+AI102</f>
        <v>0</v>
      </c>
      <c r="AJ274" s="3">
        <f>(AJ214-AI214)+AJ102</f>
        <v>0</v>
      </c>
      <c r="AK274" s="3">
        <f>(AK214-AJ214)+AK102</f>
        <v>0</v>
      </c>
      <c r="AL274" s="3">
        <f>SUM(AH274:AK274)</f>
        <v>0</v>
      </c>
      <c r="AM274" s="3">
        <f>(AM214-AL214)+AM102</f>
        <v>0</v>
      </c>
      <c r="AN274" s="3">
        <f>(AN214-AM214)+AN102</f>
        <v>0</v>
      </c>
      <c r="AO274" s="3">
        <f>(AO214-AN214)+AO102</f>
        <v>0</v>
      </c>
      <c r="AP274" s="3">
        <f>(AP214-AO214)+AP102</f>
        <v>0</v>
      </c>
      <c r="AQ274" s="3">
        <f>SUM(AM274:AP274)</f>
        <v>0</v>
      </c>
      <c r="AR274" s="3">
        <f>(AR214-AQ214)+AR102</f>
        <v>0</v>
      </c>
      <c r="AS274" s="3">
        <f>(AS214-AR214)+AS102</f>
        <v>0</v>
      </c>
      <c r="AT274" s="3">
        <f>(AT214-AS214)+AT102</f>
        <v>0</v>
      </c>
      <c r="AU274" s="3">
        <f>(AU214-AT214)+AU102</f>
        <v>0</v>
      </c>
      <c r="AV274" s="3">
        <f>SUM(AR274:AU274)</f>
        <v>0</v>
      </c>
      <c r="AW274" s="3">
        <f>(AW214-AV214)+AW102</f>
        <v>0</v>
      </c>
      <c r="AX274" s="3">
        <f>(AX214-AW214)+AX102</f>
        <v>0</v>
      </c>
      <c r="AY274" s="3">
        <f>(AY214-AX214)+AY102</f>
        <v>0</v>
      </c>
      <c r="AZ274" s="3">
        <f>(AZ214-AY214)+AZ102</f>
        <v>0</v>
      </c>
      <c r="BA274" s="3">
        <f>SUM(AW274:AZ274)</f>
        <v>0</v>
      </c>
      <c r="BB274" s="3">
        <f>(BB214-BA214)+BB102</f>
        <v>0</v>
      </c>
      <c r="BC274" s="3">
        <f>(BC214-BB214)+BC102</f>
        <v>0</v>
      </c>
      <c r="BD274" s="3">
        <f>(BD214-BC214)+BD102</f>
        <v>0</v>
      </c>
      <c r="BE274" s="3">
        <f>(BE214-BD214)+BE102</f>
        <v>0</v>
      </c>
      <c r="BF274" s="3">
        <f>SUM(BB274:BE274)</f>
        <v>0</v>
      </c>
      <c r="BG274" s="3">
        <f>(BG214-BF214)+BG102</f>
        <v>0</v>
      </c>
      <c r="BH274" s="3">
        <f>(BH214-BG214)+BH102</f>
        <v>0</v>
      </c>
      <c r="BI274" s="3">
        <f>(BI214-BH214)+BI102</f>
        <v>0</v>
      </c>
      <c r="BJ274" s="3">
        <f>(BJ214-BI214)+BJ102</f>
        <v>0</v>
      </c>
      <c r="BK274" s="3">
        <f>SUM(BG274:BJ274)</f>
        <v>0</v>
      </c>
      <c r="BL274" s="3">
        <f>(BL214-BK214)+BL102</f>
        <v>0</v>
      </c>
      <c r="BM274" s="3">
        <f>(BM214-BL214)+BM102</f>
        <v>0</v>
      </c>
      <c r="BN274" s="3">
        <f>(BN214-BM214)+BN102</f>
        <v>0</v>
      </c>
      <c r="BO274" s="3">
        <f>(BO214-BN214)+BO102</f>
        <v>0</v>
      </c>
      <c r="BP274" s="3">
        <f>SUM(BL274:BO274)</f>
        <v>0</v>
      </c>
      <c r="BQ274" s="3">
        <f>(BQ214-BP214)+BQ102</f>
        <v>0</v>
      </c>
      <c r="BR274" s="3">
        <f>(BR214-BQ214)+BR102</f>
        <v>0</v>
      </c>
      <c r="BS274" s="3">
        <f>(BS214-BR214)+BS102</f>
        <v>0</v>
      </c>
      <c r="BT274" s="3">
        <f>(BT214-BS214)+BT102</f>
        <v>0</v>
      </c>
      <c r="BU274" s="3">
        <f>SUM(BQ274:BT274)</f>
        <v>0</v>
      </c>
      <c r="BV274" s="3">
        <f>(BV214-BU214)+BV102</f>
        <v>0</v>
      </c>
      <c r="BW274" s="3">
        <f>(BW214-BV214)+BW102</f>
        <v>0</v>
      </c>
      <c r="BX274" s="3">
        <f>(BX214-BW214)+BX102</f>
        <v>0</v>
      </c>
      <c r="BY274" s="3">
        <f>(BY214-BX214)+BY102</f>
        <v>0</v>
      </c>
      <c r="BZ274" s="3">
        <f>SUM(BV274:BY274)</f>
        <v>0</v>
      </c>
      <c r="CA274" s="3">
        <f>(CA214-BZ214)+CA102</f>
        <v>0</v>
      </c>
      <c r="CB274" s="3">
        <f>(CB214-CA214)+CB102</f>
        <v>0</v>
      </c>
      <c r="CC274" s="3">
        <f>(CC214-CB214)+CC102</f>
        <v>0</v>
      </c>
      <c r="CD274" s="3">
        <f>(CD214-CC214)+CD102</f>
        <v>0</v>
      </c>
      <c r="CE274" s="3">
        <f>SUM(CA274:CD274)</f>
        <v>0</v>
      </c>
      <c r="CF274" s="3">
        <f>(CF214-CE214)+CF102</f>
        <v>0</v>
      </c>
      <c r="CG274" s="3">
        <f>(CG214-CF214)+CG102</f>
        <v>0</v>
      </c>
      <c r="CH274" s="3">
        <f>(CH214-CG214)+CH102</f>
        <v>0</v>
      </c>
      <c r="CI274" s="3">
        <f>(CI214-CH214)+CI102</f>
        <v>0</v>
      </c>
      <c r="CJ274" s="3">
        <f>SUM(CF274:CI274)</f>
        <v>0</v>
      </c>
      <c r="CK274" s="3">
        <f>(CK214-CJ214)+CK102</f>
        <v>0</v>
      </c>
      <c r="CL274" s="3">
        <f>(CL214-CK214)+CL102</f>
        <v>0</v>
      </c>
      <c r="CM274" s="3">
        <f>(CM214-CL214)+CM102</f>
        <v>0</v>
      </c>
      <c r="CN274" s="3">
        <f>(CN214-CM214)+CN102</f>
        <v>0</v>
      </c>
      <c r="CO274" s="3">
        <f>SUM(CK274:CN274)</f>
        <v>0</v>
      </c>
      <c r="CP274" s="3">
        <f>(CP214-CO214)+CP102</f>
        <v>0</v>
      </c>
      <c r="CQ274" s="3">
        <f>(CQ214-CP214)+CQ102</f>
        <v>0</v>
      </c>
      <c r="CR274" s="3">
        <f>(CR214-CQ214)+CR102</f>
        <v>0</v>
      </c>
      <c r="CS274" s="3">
        <f>(CS214-CR214)+CS102</f>
        <v>0</v>
      </c>
      <c r="CT274" s="3">
        <f>SUM(CP274:CS274)</f>
        <v>0</v>
      </c>
      <c r="CU274" s="3">
        <f>(CU214-CT214)+CU102</f>
        <v>0</v>
      </c>
      <c r="CV274" s="3">
        <f>(CV214-CU214)+CV102</f>
        <v>0</v>
      </c>
      <c r="CW274" s="3">
        <f>(CW214-CV214)+CW102</f>
        <v>0</v>
      </c>
      <c r="CX274" s="3">
        <f>(CX214-CW214)+CX102</f>
        <v>0</v>
      </c>
      <c r="CY274" s="3">
        <f>SUM(CU274:CX274)</f>
        <v>0</v>
      </c>
    </row>
    <row r="275">
      <c r="C275" s="28" t="inlineStr">
        <is>
          <t>Increases / (decreases) in debt</t>
        </is>
      </c>
      <c r="D275" s="3" t="n"/>
      <c r="E275" s="3">
        <f>SUM(E178:E180,E183,E204,E201)-SUM(D178:D180,D183,D204,D201)</f>
        <v>117</v>
      </c>
      <c r="F275" s="3">
        <f>SUM(F178:F180,F183,F204,F201)-SUM(E178:E180,E183,E204,E201)</f>
        <v>-14</v>
      </c>
      <c r="G275" s="3">
        <f>SUM(G178:G180,G183,G204,G201)-SUM(F178:F180,F183,F204,F201)</f>
        <v>37</v>
      </c>
      <c r="H275" s="3">
        <f>SUM(D275:G275)</f>
        <v>140</v>
      </c>
      <c r="I275" s="3">
        <f>SUM(I178:I180,I183,I204,I201)-SUM(H178:H180,H183,H204,H201)</f>
        <v>20</v>
      </c>
      <c r="J275" s="3">
        <f>SUM(J178:J180,J183,J204,J201)-SUM(I178:I180,I183,I204,I201)</f>
        <v>5053</v>
      </c>
      <c r="K275" s="3">
        <f>SUM(K178:K180,K183,K204,K201)-SUM(J178:J180,J183,J204,J201)</f>
        <v>-964</v>
      </c>
      <c r="L275" s="3">
        <f>SUM(L178:L180,L183,L204,L201)-SUM(K178:K180,K183,K204,K201)</f>
        <v>4</v>
      </c>
      <c r="M275" s="3">
        <f>SUM(I275:L275)</f>
        <v>4113</v>
      </c>
      <c r="N275" s="3">
        <f>SUM(N178:N180,N183,N204,N201)-SUM(M178:M180,M183,M204,M201)</f>
        <v>15</v>
      </c>
      <c r="O275" s="3">
        <f>SUM(O178:O180,O183,O204,O201)-SUM(N178:N180,N183,N204,N201)</f>
        <v>-9</v>
      </c>
      <c r="P275" s="3">
        <f>SUM(P178:P180,P183,P204,P201)-SUM(O178:O180,O183,O204,O201)</f>
        <v>67</v>
      </c>
      <c r="Q275" s="3">
        <f>SUM(Q178:Q180,Q183,Q204,Q201)-SUM(P178:P180,P183,P204,P201)</f>
        <v>127</v>
      </c>
      <c r="R275" s="3">
        <f>SUM(N275:Q275)</f>
        <v>200</v>
      </c>
      <c r="S275" s="3">
        <f>SUM(S178:S180,S183,S204,S201)-SUM(R178:R180,R183,R204,R201)</f>
        <v>49</v>
      </c>
      <c r="T275" s="3">
        <f>SUM(T178:T180,T183,T204,T201)-SUM(S178:S180,S183,S204,S201)</f>
        <v>-1126</v>
      </c>
      <c r="U275" s="3">
        <f>SUM(U178:U180,U183,U204,U201)-SUM(T178:T180,T183,T204,T201)</f>
        <v>73</v>
      </c>
      <c r="V275" s="3">
        <f>SUM(V178:V180,V183,V204,V201)-SUM(U178:U180,U183,U204,U201)</f>
        <v>29</v>
      </c>
      <c r="W275" s="3">
        <f>SUM(S275:V275)</f>
        <v>-975</v>
      </c>
      <c r="X275" s="3">
        <f>SUM(X178:X180,X183,X204,X201)-SUM(W178:W180,W183,W204,W201)</f>
        <v>181</v>
      </c>
      <c r="Y275" s="3">
        <f>SUM(Y178:Y180,Y183,Y204,Y201)-SUM(X178:X180,X183,X204,X201)</f>
        <v>-1222</v>
      </c>
      <c r="Z275" s="3">
        <f>SUM(Z178:Z180,Z183,Z204,Z201)-SUM(Y178:Y180,Y183,Y204,Y201)</f>
        <v>210</v>
      </c>
      <c r="AA275" s="3">
        <f>SUM(AA178:AA180,AA183,AA204,AA201)-SUM(Z178:Z180,Z183,Z204,Z201)</f>
        <v>45</v>
      </c>
      <c r="AB275" s="3">
        <f>SUM(X275:AA275)</f>
        <v>-786</v>
      </c>
      <c r="AC275" s="3">
        <f>SUM(AC178:AC180,AC183,AC204,AC201)-SUM(AB178:AB180,AB183,AB204,AB201)</f>
        <v>15</v>
      </c>
      <c r="AD275" s="3">
        <f>SUM(AD178:AD180,AD183,AD204,AD201)-SUM(AC178:AC180,AC183,AC204,AC201)</f>
        <v>313</v>
      </c>
      <c r="AE275" s="3">
        <f>SUM(AE178:AE180,AE183,AE204,AE201)-SUM(AD178:AD180,AD183,AD204,AD201)</f>
        <v>224</v>
      </c>
      <c r="AF275" s="3">
        <f>SUM(AF178:AF180,AF183,AF204,AF201)-SUM(AE178:AE180,AE183,AE204,AE201)</f>
        <v>590</v>
      </c>
      <c r="AG275" s="3">
        <f>SUM(AC275:AF275)</f>
        <v>1142</v>
      </c>
      <c r="AH275" s="3">
        <f>SUM(AH178:AH180,AH183,AH204,AH201)-SUM(AG178:AG180,AG183,AG204,AG201)</f>
        <v>-7469</v>
      </c>
      <c r="AI275" s="3">
        <f>SUM(AI178:AI180,AI183,AI204,AI201)-SUM(AH178:AH180,AH183,AH204,AH201)</f>
        <v>0</v>
      </c>
      <c r="AJ275" s="3">
        <f>SUM(AJ178:AJ180,AJ183,AJ204,AJ201)-SUM(AI178:AI180,AI183,AI204,AI201)</f>
        <v>0</v>
      </c>
      <c r="AK275" s="3">
        <f>SUM(AK178:AK180,AK183,AK204,AK201)-SUM(AJ178:AJ180,AJ183,AJ204,AJ201)</f>
        <v>0</v>
      </c>
      <c r="AL275" s="3">
        <f>SUM(AH275:AK275)</f>
        <v>-7469</v>
      </c>
      <c r="AM275" s="3">
        <f>SUM(AM178:AM180,AM183,AM204,AM201)-SUM(AL178:AL180,AL183,AL204,AL201)</f>
        <v>0</v>
      </c>
      <c r="AN275" s="3">
        <f>SUM(AN178:AN180,AN183,AN204,AN201)-SUM(AM178:AM180,AM183,AM204,AM201)</f>
        <v>0</v>
      </c>
      <c r="AO275" s="3">
        <f>SUM(AO178:AO180,AO183,AO204,AO201)-SUM(AN178:AN180,AN183,AN204,AN201)</f>
        <v>0</v>
      </c>
      <c r="AP275" s="3">
        <f>SUM(AP178:AP180,AP183,AP204,AP201)-SUM(AO178:AO180,AO183,AO204,AO201)</f>
        <v>0</v>
      </c>
      <c r="AQ275" s="3">
        <f>SUM(AM275:AP275)</f>
        <v>0</v>
      </c>
      <c r="AR275" s="3">
        <f>SUM(AR178:AR180,AR183,AR204,AR201)-SUM(AQ178:AQ180,AQ183,AQ204,AQ201)</f>
        <v>0</v>
      </c>
      <c r="AS275" s="3">
        <f>SUM(AS178:AS180,AS183,AS204,AS201)-SUM(AR178:AR180,AR183,AR204,AR201)</f>
        <v>0</v>
      </c>
      <c r="AT275" s="3">
        <f>SUM(AT178:AT180,AT183,AT204,AT201)-SUM(AS178:AS180,AS183,AS204,AS201)</f>
        <v>0</v>
      </c>
      <c r="AU275" s="3">
        <f>SUM(AU178:AU180,AU183,AU204,AU201)-SUM(AT178:AT180,AT183,AT204,AT201)</f>
        <v>0</v>
      </c>
      <c r="AV275" s="3">
        <f>SUM(AR275:AU275)</f>
        <v>0</v>
      </c>
      <c r="AW275" s="3">
        <f>SUM(AW178:AW180,AW183,AW204,AW201)-SUM(AV178:AV180,AV183,AV204,AV201)</f>
        <v>0</v>
      </c>
      <c r="AX275" s="3">
        <f>SUM(AX178:AX180,AX183,AX204,AX201)-SUM(AW178:AW180,AW183,AW204,AW201)</f>
        <v>0</v>
      </c>
      <c r="AY275" s="3">
        <f>SUM(AY178:AY180,AY183,AY204,AY201)-SUM(AX178:AX180,AX183,AX204,AX201)</f>
        <v>0</v>
      </c>
      <c r="AZ275" s="3">
        <f>SUM(AZ178:AZ180,AZ183,AZ204,AZ201)-SUM(AY178:AY180,AY183,AY204,AY201)</f>
        <v>0</v>
      </c>
      <c r="BA275" s="3">
        <f>SUM(AW275:AZ275)</f>
        <v>0</v>
      </c>
      <c r="BB275" s="3">
        <f>SUM(BB178:BB180,BB183,BB204,BB201)-SUM(BA178:BA180,BA183,BA204,BA201)</f>
        <v>0</v>
      </c>
      <c r="BC275" s="3">
        <f>SUM(BC178:BC180,BC183,BC204,BC201)-SUM(BB178:BB180,BB183,BB204,BB201)</f>
        <v>0</v>
      </c>
      <c r="BD275" s="3">
        <f>SUM(BD178:BD180,BD183,BD204,BD201)-SUM(BC178:BC180,BC183,BC204,BC201)</f>
        <v>0</v>
      </c>
      <c r="BE275" s="3">
        <f>SUM(BE178:BE180,BE183,BE204,BE201)-SUM(BD178:BD180,BD183,BD204,BD201)</f>
        <v>0</v>
      </c>
      <c r="BF275" s="3">
        <f>SUM(BB275:BE275)</f>
        <v>0</v>
      </c>
      <c r="BG275" s="3">
        <f>SUM(BG178:BG180,BG183,BG204,BG201)-SUM(BF178:BF180,BF183,BF204,BF201)</f>
        <v>0</v>
      </c>
      <c r="BH275" s="3">
        <f>SUM(BH178:BH180,BH183,BH204,BH201)-SUM(BG178:BG180,BG183,BG204,BG201)</f>
        <v>0</v>
      </c>
      <c r="BI275" s="3">
        <f>SUM(BI178:BI180,BI183,BI204,BI201)-SUM(BH178:BH180,BH183,BH204,BH201)</f>
        <v>0</v>
      </c>
      <c r="BJ275" s="3">
        <f>SUM(BJ178:BJ180,BJ183,BJ204,BJ201)-SUM(BI178:BI180,BI183,BI204,BI201)</f>
        <v>0</v>
      </c>
      <c r="BK275" s="3">
        <f>SUM(BG275:BJ275)</f>
        <v>0</v>
      </c>
      <c r="BL275" s="3">
        <f>SUM(BL178:BL180,BL183,BL204,BL201)-SUM(BK178:BK180,BK183,BK204,BK201)</f>
        <v>0</v>
      </c>
      <c r="BM275" s="3">
        <f>SUM(BM178:BM180,BM183,BM204,BM201)-SUM(BL178:BL180,BL183,BL204,BL201)</f>
        <v>0</v>
      </c>
      <c r="BN275" s="3">
        <f>SUM(BN178:BN180,BN183,BN204,BN201)-SUM(BM178:BM180,BM183,BM204,BM201)</f>
        <v>0</v>
      </c>
      <c r="BO275" s="3">
        <f>SUM(BO178:BO180,BO183,BO204,BO201)-SUM(BN178:BN180,BN183,BN204,BN201)</f>
        <v>0</v>
      </c>
      <c r="BP275" s="3">
        <f>SUM(BL275:BO275)</f>
        <v>0</v>
      </c>
      <c r="BQ275" s="3">
        <f>SUM(BQ178:BQ180,BQ183,BQ204,BQ201)-SUM(BP178:BP180,BP183,BP204,BP201)</f>
        <v>0</v>
      </c>
      <c r="BR275" s="3">
        <f>SUM(BR178:BR180,BR183,BR204,BR201)-SUM(BQ178:BQ180,BQ183,BQ204,BQ201)</f>
        <v>0</v>
      </c>
      <c r="BS275" s="3">
        <f>SUM(BS178:BS180,BS183,BS204,BS201)-SUM(BR178:BR180,BR183,BR204,BR201)</f>
        <v>0</v>
      </c>
      <c r="BT275" s="3">
        <f>SUM(BT178:BT180,BT183,BT204,BT201)-SUM(BS178:BS180,BS183,BS204,BS201)</f>
        <v>0</v>
      </c>
      <c r="BU275" s="3">
        <f>SUM(BQ275:BT275)</f>
        <v>0</v>
      </c>
      <c r="BV275" s="3">
        <f>SUM(BV178:BV180,BV183,BV204,BV201)-SUM(BU178:BU180,BU183,BU204,BU201)</f>
        <v>0</v>
      </c>
      <c r="BW275" s="3">
        <f>SUM(BW178:BW180,BW183,BW204,BW201)-SUM(BV178:BV180,BV183,BV204,BV201)</f>
        <v>0</v>
      </c>
      <c r="BX275" s="3">
        <f>SUM(BX178:BX180,BX183,BX204,BX201)-SUM(BW178:BW180,BW183,BW204,BW201)</f>
        <v>0</v>
      </c>
      <c r="BY275" s="3">
        <f>SUM(BY178:BY180,BY183,BY204,BY201)-SUM(BX178:BX180,BX183,BX204,BX201)</f>
        <v>0</v>
      </c>
      <c r="BZ275" s="3">
        <f>SUM(BV275:BY275)</f>
        <v>0</v>
      </c>
      <c r="CA275" s="3">
        <f>SUM(CA178:CA180,CA183,CA204,CA201)-SUM(BZ178:BZ180,BZ183,BZ204,BZ201)</f>
        <v>0</v>
      </c>
      <c r="CB275" s="3">
        <f>SUM(CB178:CB180,CB183,CB204,CB201)-SUM(CA178:CA180,CA183,CA204,CA201)</f>
        <v>0</v>
      </c>
      <c r="CC275" s="3">
        <f>SUM(CC178:CC180,CC183,CC204,CC201)-SUM(CB178:CB180,CB183,CB204,CB201)</f>
        <v>0</v>
      </c>
      <c r="CD275" s="3">
        <f>SUM(CD178:CD180,CD183,CD204,CD201)-SUM(CC178:CC180,CC183,CC204,CC201)</f>
        <v>0</v>
      </c>
      <c r="CE275" s="3">
        <f>SUM(CA275:CD275)</f>
        <v>0</v>
      </c>
      <c r="CF275" s="3">
        <f>SUM(CF178:CF180,CF183,CF204,CF201)-SUM(CE178:CE180,CE183,CE204,CE201)</f>
        <v>0</v>
      </c>
      <c r="CG275" s="3">
        <f>SUM(CG178:CG180,CG183,CG204,CG201)-SUM(CF178:CF180,CF183,CF204,CF201)</f>
        <v>0</v>
      </c>
      <c r="CH275" s="3">
        <f>SUM(CH178:CH180,CH183,CH204,CH201)-SUM(CG178:CG180,CG183,CG204,CG201)</f>
        <v>0</v>
      </c>
      <c r="CI275" s="3">
        <f>SUM(CI178:CI180,CI183,CI204,CI201)-SUM(CH178:CH180,CH183,CH204,CH201)</f>
        <v>0</v>
      </c>
      <c r="CJ275" s="3">
        <f>SUM(CF275:CI275)</f>
        <v>0</v>
      </c>
      <c r="CK275" s="3">
        <f>SUM(CK178:CK180,CK183,CK204,CK201)-SUM(CJ178:CJ180,CJ183,CJ204,CJ201)</f>
        <v>0</v>
      </c>
      <c r="CL275" s="3">
        <f>SUM(CL178:CL180,CL183,CL204,CL201)-SUM(CK178:CK180,CK183,CK204,CK201)</f>
        <v>0</v>
      </c>
      <c r="CM275" s="3">
        <f>SUM(CM178:CM180,CM183,CM204,CM201)-SUM(CL178:CL180,CL183,CL204,CL201)</f>
        <v>0</v>
      </c>
      <c r="CN275" s="3">
        <f>SUM(CN178:CN180,CN183,CN204,CN201)-SUM(CM178:CM180,CM183,CM204,CM201)</f>
        <v>0</v>
      </c>
      <c r="CO275" s="3">
        <f>SUM(CK275:CN275)</f>
        <v>0</v>
      </c>
      <c r="CP275" s="3">
        <f>SUM(CP178:CP180,CP183,CP204,CP201)-SUM(CO178:CO180,CO183,CO204,CO201)</f>
        <v>0</v>
      </c>
      <c r="CQ275" s="3">
        <f>SUM(CQ178:CQ180,CQ183,CQ204,CQ201)-SUM(CP178:CP180,CP183,CP204,CP201)</f>
        <v>0</v>
      </c>
      <c r="CR275" s="3">
        <f>SUM(CR178:CR180,CR183,CR204,CR201)-SUM(CQ178:CQ180,CQ183,CQ204,CQ201)</f>
        <v>0</v>
      </c>
      <c r="CS275" s="3">
        <f>SUM(CS178:CS180,CS183,CS204,CS201)-SUM(CR178:CR180,CR183,CR204,CR201)</f>
        <v>0</v>
      </c>
      <c r="CT275" s="3">
        <f>SUM(CP275:CS275)</f>
        <v>0</v>
      </c>
      <c r="CU275" s="3">
        <f>SUM(CU178:CU180,CU183,CU204,CU201)-SUM(CT178:CT180,CT183,CT204,CT201)</f>
        <v>0</v>
      </c>
      <c r="CV275" s="3">
        <f>SUM(CV178:CV180,CV183,CV204,CV201)-SUM(CU178:CU180,CU183,CU204,CU201)</f>
        <v>0</v>
      </c>
      <c r="CW275" s="3">
        <f>SUM(CW178:CW180,CW183,CW204,CW201)-SUM(CV178:CV180,CV183,CV204,CV201)</f>
        <v>0</v>
      </c>
      <c r="CX275" s="3">
        <f>SUM(CX178:CX180,CX183,CX204,CX201)-SUM(CW178:CW180,CW183,CW204,CW201)</f>
        <v>0</v>
      </c>
      <c r="CY275" s="3">
        <f>SUM(CU275:CX275)</f>
        <v>0</v>
      </c>
      <c r="CZ275" s="3" t="n"/>
      <c r="DA275" s="3" t="n"/>
      <c r="DB275" s="3" t="n"/>
      <c r="DC275" s="3" t="n"/>
    </row>
    <row r="276">
      <c r="C276" s="26" t="inlineStr">
        <is>
          <t>Cash from financing</t>
        </is>
      </c>
      <c r="D276" s="3" t="n"/>
      <c r="E276" s="3">
        <f>SUM(E268,E269,E270,E271,E272,E273,E274,E275)</f>
        <v>310</v>
      </c>
      <c r="F276" s="3">
        <f>SUM(F268,F269,F270,F271,F272,F273,F274,F275)</f>
        <v>70</v>
      </c>
      <c r="G276" s="3">
        <f>SUM(G268,G269,G270,G271,G272,G273,G274,G275)</f>
        <v>139</v>
      </c>
      <c r="H276" s="3">
        <f>SUM(H268,H269,H270,H271,H272,H273,H274,H275)</f>
        <v>519</v>
      </c>
      <c r="I276" s="3">
        <f>SUM(I268,I269,I270,I271,I272,I273,I274,I275)</f>
        <v>-11</v>
      </c>
      <c r="J276" s="3">
        <f>SUM(J268,J269,J270,J271,J272,J273,J274,J275)</f>
        <v>5052</v>
      </c>
      <c r="K276" s="3">
        <f>SUM(K268,K269,K270,K271,K272,K273,K274,K275)</f>
        <v>-777</v>
      </c>
      <c r="L276" s="3">
        <f>SUM(L268,L269,L270,L271,L272,L273,L274,L275)</f>
        <v>-184</v>
      </c>
      <c r="M276" s="3">
        <f>SUM(M268,M269,M270,M271,M272,M273,M274,M275)</f>
        <v>4080</v>
      </c>
      <c r="N276" s="3">
        <f>SUM(N268,N269,N270,N271,N272,N273,N274,N275)</f>
        <v>-1895</v>
      </c>
      <c r="O276" s="3">
        <f>SUM(O268,O269,O270,O271,O272,O273,O274,O275)</f>
        <v>-3134</v>
      </c>
      <c r="P276" s="3">
        <f>SUM(P268,P269,P270,P271,P272,P273,P274,P275)</f>
        <v>-3115</v>
      </c>
      <c r="Q276" s="3">
        <f>SUM(Q268,Q269,Q270,Q271,Q272,Q273,Q274,Q275)</f>
        <v>-535</v>
      </c>
      <c r="R276" s="3">
        <f>SUM(R268,R269,R270,R271,R272,R273,R274,R275)</f>
        <v>-8679</v>
      </c>
      <c r="S276" s="3">
        <f>SUM(S268,S269,S270,S271,S272,S273,S274,S275)</f>
        <v>425</v>
      </c>
      <c r="T276" s="3">
        <f>SUM(T268,T269,T270,T271,T272,T273,T274,T275)</f>
        <v>-4333</v>
      </c>
      <c r="U276" s="3">
        <f>SUM(U268,U269,U270,U271,U272,U273,U274,U275)</f>
        <v>-3406</v>
      </c>
      <c r="V276" s="3">
        <f>SUM(V268,V269,V270,V271,V272,V273,V274,V275)</f>
        <v>-2544</v>
      </c>
      <c r="W276" s="3">
        <f>SUM(W268,W269,W270,W271,W272,W273,W274,W275)</f>
        <v>-9858</v>
      </c>
      <c r="X276" s="3">
        <f>SUM(X268,X269,X270,X271,X272,X273,X274,X275)</f>
        <v>-8536</v>
      </c>
      <c r="Y276" s="3">
        <f>SUM(Y268,Y269,Y270,Y271,Y272,Y273,Y274,Y275)</f>
        <v>-8806</v>
      </c>
      <c r="Z276" s="3">
        <f>SUM(Z268,Z269,Z270,Z271,Z272,Z273,Z274,Z275)</f>
        <v>-11357</v>
      </c>
      <c r="AA276" s="3">
        <f>SUM(AA268,AA269,AA270,AA271,AA272,AA273,AA274,AA275)</f>
        <v>-8618</v>
      </c>
      <c r="AB276" s="3">
        <f>SUM(AB268,AB269,AB270,AB271,AB272,AB273,AB274,AB275)</f>
        <v>-37317</v>
      </c>
      <c r="AC276" s="3">
        <f>SUM(AC268,AC269,AC270,AC271,AC272,AC273,AC274,AC275)</f>
        <v>-14244</v>
      </c>
      <c r="AD276" s="3">
        <f>SUM(AD268,AD269,AD270,AD271,AD272,AD273,AD274,AD275)</f>
        <v>-9821</v>
      </c>
      <c r="AE276" s="3">
        <f>SUM(AE268,AE269,AE270,AE271,AE272,AE273,AE274,AE275)</f>
        <v>-12920</v>
      </c>
      <c r="AF276" s="3">
        <f>SUM(AF268,AF269,AF270,AF271,AF272,AF273,AF274,AF275)</f>
        <v>-3974</v>
      </c>
      <c r="AG276" s="3">
        <f>SUM(AG268,AG269,AG270,AG271,AG272,AG273,AG274,AG275)</f>
        <v>-40959</v>
      </c>
      <c r="AH276" s="3">
        <f>SUM(AH268,AH269,AH270,AH271,AH272,AH273,AH274,AH275)</f>
        <v>-7469</v>
      </c>
      <c r="AI276" s="3">
        <f>SUM(AI268,AI269,AI270,AI271,AI272,AI273,AI274,AI275)</f>
        <v>0</v>
      </c>
      <c r="AJ276" s="3">
        <f>SUM(AJ268,AJ269,AJ270,AJ271,AJ272,AJ273,AJ274,AJ275)</f>
        <v>0</v>
      </c>
      <c r="AK276" s="3">
        <f>SUM(AK268,AK269,AK270,AK271,AK272,AK273,AK274,AK275)</f>
        <v>0</v>
      </c>
      <c r="AL276" s="3">
        <f>SUM(AL268,AL269,AL270,AL271,AL272,AL273,AL274,AL275)</f>
        <v>-7469</v>
      </c>
      <c r="AM276" s="3">
        <f>SUM(AM268,AM269,AM270,AM271,AM272,AM273,AM274,AM275)</f>
        <v>0</v>
      </c>
      <c r="AN276" s="3">
        <f>SUM(AN268,AN269,AN270,AN271,AN272,AN273,AN274,AN275)</f>
        <v>0</v>
      </c>
      <c r="AO276" s="3">
        <f>SUM(AO268,AO269,AO270,AO271,AO272,AO273,AO274,AO275)</f>
        <v>0</v>
      </c>
      <c r="AP276" s="3">
        <f>SUM(AP268,AP269,AP270,AP271,AP272,AP273,AP274,AP275)</f>
        <v>0</v>
      </c>
      <c r="AQ276" s="3">
        <f>SUM(AQ268,AQ269,AQ270,AQ271,AQ272,AQ273,AQ274,AQ275)</f>
        <v>0</v>
      </c>
      <c r="AR276" s="3">
        <f>SUM(AR268,AR269,AR270,AR271,AR272,AR273,AR274,AR275)</f>
        <v>0</v>
      </c>
      <c r="AS276" s="3">
        <f>SUM(AS268,AS269,AS270,AS271,AS272,AS273,AS274,AS275)</f>
        <v>0</v>
      </c>
      <c r="AT276" s="3">
        <f>SUM(AT268,AT269,AT270,AT271,AT272,AT273,AT274,AT275)</f>
        <v>0</v>
      </c>
      <c r="AU276" s="3">
        <f>SUM(AU268,AU269,AU270,AU271,AU272,AU273,AU274,AU275)</f>
        <v>0</v>
      </c>
      <c r="AV276" s="3">
        <f>SUM(AV268,AV269,AV270,AV271,AV272,AV273,AV274,AV275)</f>
        <v>0</v>
      </c>
      <c r="AW276" s="3">
        <f>SUM(AW268,AW269,AW270,AW271,AW272,AW273,AW274,AW275)</f>
        <v>0</v>
      </c>
      <c r="AX276" s="3">
        <f>SUM(AX268,AX269,AX270,AX271,AX272,AX273,AX274,AX275)</f>
        <v>0</v>
      </c>
      <c r="AY276" s="3">
        <f>SUM(AY268,AY269,AY270,AY271,AY272,AY273,AY274,AY275)</f>
        <v>0</v>
      </c>
      <c r="AZ276" s="3">
        <f>SUM(AZ268,AZ269,AZ270,AZ271,AZ272,AZ273,AZ274,AZ275)</f>
        <v>0</v>
      </c>
      <c r="BA276" s="3">
        <f>SUM(BA268,BA269,BA270,BA271,BA272,BA273,BA274,BA275)</f>
        <v>0</v>
      </c>
      <c r="BB276" s="3">
        <f>SUM(BB268,BB269,BB270,BB271,BB272,BB273,BB274,BB275)</f>
        <v>0</v>
      </c>
      <c r="BC276" s="3">
        <f>SUM(BC268,BC269,BC270,BC271,BC272,BC273,BC274,BC275)</f>
        <v>0</v>
      </c>
      <c r="BD276" s="3">
        <f>SUM(BD268,BD269,BD270,BD271,BD272,BD273,BD274,BD275)</f>
        <v>0</v>
      </c>
      <c r="BE276" s="3">
        <f>SUM(BE268,BE269,BE270,BE271,BE272,BE273,BE274,BE275)</f>
        <v>0</v>
      </c>
      <c r="BF276" s="3">
        <f>SUM(BF268,BF269,BF270,BF271,BF272,BF273,BF274,BF275)</f>
        <v>0</v>
      </c>
      <c r="BG276" s="3">
        <f>SUM(BG268,BG269,BG270,BG271,BG272,BG273,BG274,BG275)</f>
        <v>0</v>
      </c>
      <c r="BH276" s="3">
        <f>SUM(BH268,BH269,BH270,BH271,BH272,BH273,BH274,BH275)</f>
        <v>0</v>
      </c>
      <c r="BI276" s="3">
        <f>SUM(BI268,BI269,BI270,BI271,BI272,BI273,BI274,BI275)</f>
        <v>0</v>
      </c>
      <c r="BJ276" s="3">
        <f>SUM(BJ268,BJ269,BJ270,BJ271,BJ272,BJ273,BJ274,BJ275)</f>
        <v>0</v>
      </c>
      <c r="BK276" s="3">
        <f>SUM(BK268,BK269,BK270,BK271,BK272,BK273,BK274,BK275)</f>
        <v>0</v>
      </c>
      <c r="BL276" s="3">
        <f>SUM(BL268,BL269,BL270,BL271,BL272,BL273,BL274,BL275)</f>
        <v>0</v>
      </c>
      <c r="BM276" s="3">
        <f>SUM(BM268,BM269,BM270,BM271,BM272,BM273,BM274,BM275)</f>
        <v>0</v>
      </c>
      <c r="BN276" s="3">
        <f>SUM(BN268,BN269,BN270,BN271,BN272,BN273,BN274,BN275)</f>
        <v>0</v>
      </c>
      <c r="BO276" s="3">
        <f>SUM(BO268,BO269,BO270,BO271,BO272,BO273,BO274,BO275)</f>
        <v>0</v>
      </c>
      <c r="BP276" s="3">
        <f>SUM(BP268,BP269,BP270,BP271,BP272,BP273,BP274,BP275)</f>
        <v>0</v>
      </c>
      <c r="BQ276" s="3">
        <f>SUM(BQ268,BQ269,BQ270,BQ271,BQ272,BQ273,BQ274,BQ275)</f>
        <v>0</v>
      </c>
      <c r="BR276" s="3">
        <f>SUM(BR268,BR269,BR270,BR271,BR272,BR273,BR274,BR275)</f>
        <v>0</v>
      </c>
      <c r="BS276" s="3">
        <f>SUM(BS268,BS269,BS270,BS271,BS272,BS273,BS274,BS275)</f>
        <v>0</v>
      </c>
      <c r="BT276" s="3">
        <f>SUM(BT268,BT269,BT270,BT271,BT272,BT273,BT274,BT275)</f>
        <v>0</v>
      </c>
      <c r="BU276" s="3">
        <f>SUM(BU268,BU269,BU270,BU271,BU272,BU273,BU274,BU275)</f>
        <v>0</v>
      </c>
      <c r="BV276" s="3">
        <f>SUM(BV268,BV269,BV270,BV271,BV272,BV273,BV274,BV275)</f>
        <v>0</v>
      </c>
      <c r="BW276" s="3">
        <f>SUM(BW268,BW269,BW270,BW271,BW272,BW273,BW274,BW275)</f>
        <v>0</v>
      </c>
      <c r="BX276" s="3">
        <f>SUM(BX268,BX269,BX270,BX271,BX272,BX273,BX274,BX275)</f>
        <v>0</v>
      </c>
      <c r="BY276" s="3">
        <f>SUM(BY268,BY269,BY270,BY271,BY272,BY273,BY274,BY275)</f>
        <v>0</v>
      </c>
      <c r="BZ276" s="3">
        <f>SUM(BZ268,BZ269,BZ270,BZ271,BZ272,BZ273,BZ274,BZ275)</f>
        <v>0</v>
      </c>
      <c r="CA276" s="3">
        <f>SUM(CA268,CA269,CA270,CA271,CA272,CA273,CA274,CA275)</f>
        <v>0</v>
      </c>
      <c r="CB276" s="3">
        <f>SUM(CB268,CB269,CB270,CB271,CB272,CB273,CB274,CB275)</f>
        <v>0</v>
      </c>
      <c r="CC276" s="3">
        <f>SUM(CC268,CC269,CC270,CC271,CC272,CC273,CC274,CC275)</f>
        <v>0</v>
      </c>
      <c r="CD276" s="3">
        <f>SUM(CD268,CD269,CD270,CD271,CD272,CD273,CD274,CD275)</f>
        <v>0</v>
      </c>
      <c r="CE276" s="3">
        <f>SUM(CE268,CE269,CE270,CE271,CE272,CE273,CE274,CE275)</f>
        <v>0</v>
      </c>
      <c r="CF276" s="3">
        <f>SUM(CF268,CF269,CF270,CF271,CF272,CF273,CF274,CF275)</f>
        <v>0</v>
      </c>
      <c r="CG276" s="3">
        <f>SUM(CG268,CG269,CG270,CG271,CG272,CG273,CG274,CG275)</f>
        <v>0</v>
      </c>
      <c r="CH276" s="3">
        <f>SUM(CH268,CH269,CH270,CH271,CH272,CH273,CH274,CH275)</f>
        <v>0</v>
      </c>
      <c r="CI276" s="3">
        <f>SUM(CI268,CI269,CI270,CI271,CI272,CI273,CI274,CI275)</f>
        <v>0</v>
      </c>
      <c r="CJ276" s="3">
        <f>SUM(CJ268,CJ269,CJ270,CJ271,CJ272,CJ273,CJ274,CJ275)</f>
        <v>0</v>
      </c>
      <c r="CK276" s="3">
        <f>SUM(CK268,CK269,CK270,CK271,CK272,CK273,CK274,CK275)</f>
        <v>0</v>
      </c>
      <c r="CL276" s="3">
        <f>SUM(CL268,CL269,CL270,CL271,CL272,CL273,CL274,CL275)</f>
        <v>0</v>
      </c>
      <c r="CM276" s="3">
        <f>SUM(CM268,CM269,CM270,CM271,CM272,CM273,CM274,CM275)</f>
        <v>0</v>
      </c>
      <c r="CN276" s="3">
        <f>SUM(CN268,CN269,CN270,CN271,CN272,CN273,CN274,CN275)</f>
        <v>0</v>
      </c>
      <c r="CO276" s="3">
        <f>SUM(CO268,CO269,CO270,CO271,CO272,CO273,CO274,CO275)</f>
        <v>0</v>
      </c>
      <c r="CP276" s="3">
        <f>SUM(CP268,CP269,CP270,CP271,CP272,CP273,CP274,CP275)</f>
        <v>0</v>
      </c>
      <c r="CQ276" s="3">
        <f>SUM(CQ268,CQ269,CQ270,CQ271,CQ272,CQ273,CQ274,CQ275)</f>
        <v>0</v>
      </c>
      <c r="CR276" s="3">
        <f>SUM(CR268,CR269,CR270,CR271,CR272,CR273,CR274,CR275)</f>
        <v>0</v>
      </c>
      <c r="CS276" s="3">
        <f>SUM(CS268,CS269,CS270,CS271,CS272,CS273,CS274,CS275)</f>
        <v>0</v>
      </c>
      <c r="CT276" s="3">
        <f>SUM(CT268,CT269,CT270,CT271,CT272,CT273,CT274,CT275)</f>
        <v>0</v>
      </c>
      <c r="CU276" s="3">
        <f>SUM(CU268,CU269,CU270,CU271,CU272,CU273,CU274,CU275)</f>
        <v>0</v>
      </c>
      <c r="CV276" s="3">
        <f>SUM(CV268,CV269,CV270,CV271,CV272,CV273,CV274,CV275)</f>
        <v>0</v>
      </c>
      <c r="CW276" s="3">
        <f>SUM(CW268,CW269,CW270,CW271,CW272,CW273,CW274,CW275)</f>
        <v>0</v>
      </c>
      <c r="CX276" s="3">
        <f>SUM(CX268,CX269,CX270,CX271,CX272,CX273,CX274,CX275)</f>
        <v>0</v>
      </c>
      <c r="CY276" s="3">
        <f>SUM(CY268,CY269,CY270,CY271,CY272,CY273,CY274,CY275)</f>
        <v>0</v>
      </c>
    </row>
    <row r="277">
      <c r="C277" s="26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/>
      <c r="BL277" s="3" t="n"/>
      <c r="BM277" s="3" t="n"/>
      <c r="BN277" s="3" t="n"/>
      <c r="BO277" s="3" t="n"/>
      <c r="BP277" s="3" t="n"/>
      <c r="BQ277" s="3" t="n"/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n"/>
      <c r="CC277" s="3" t="n"/>
      <c r="CD277" s="3" t="n"/>
      <c r="CE277" s="3" t="n"/>
      <c r="CF277" s="3" t="n"/>
      <c r="CG277" s="3" t="n"/>
      <c r="CH277" s="3" t="n"/>
      <c r="CI277" s="3" t="n"/>
      <c r="CJ277" s="3" t="n"/>
      <c r="CK277" s="3" t="n"/>
      <c r="CL277" s="3" t="n"/>
      <c r="CM277" s="3" t="n"/>
      <c r="CN277" s="3" t="n"/>
      <c r="CO277" s="3" t="n"/>
      <c r="CP277" s="3" t="n"/>
      <c r="CQ277" s="3" t="n"/>
      <c r="CR277" s="3" t="n"/>
      <c r="CS277" s="3" t="n"/>
      <c r="CT277" s="3" t="n"/>
      <c r="CU277" s="3" t="n"/>
      <c r="CV277" s="3" t="n"/>
      <c r="CW277" s="3" t="n"/>
      <c r="CX277" s="3" t="n"/>
      <c r="CY277" s="3" t="n"/>
    </row>
    <row r="278">
      <c r="C278" s="26" t="inlineStr">
        <is>
          <t>Others</t>
        </is>
      </c>
      <c r="D278" s="3" t="n"/>
      <c r="E278" s="3" t="n"/>
      <c r="F278" s="3" t="n"/>
      <c r="G278" s="3" t="n"/>
      <c r="H278" s="3">
        <f>SUM(D278:G278)</f>
        <v>0</v>
      </c>
      <c r="I278" s="3" t="n"/>
      <c r="J278" s="3" t="n"/>
      <c r="K278" s="3" t="n"/>
      <c r="L278" s="3" t="n"/>
      <c r="M278" s="3">
        <f>SUM(I278:L278)</f>
        <v>0</v>
      </c>
      <c r="N278" s="3" t="n"/>
      <c r="O278" s="3" t="n"/>
      <c r="P278" s="3" t="n"/>
      <c r="Q278" s="3" t="n"/>
      <c r="R278" s="3">
        <f>SUM(N278:Q278)</f>
        <v>0</v>
      </c>
      <c r="S278" s="3" t="n"/>
      <c r="T278" s="3" t="n"/>
      <c r="U278" s="3" t="n"/>
      <c r="V278" s="3" t="n"/>
      <c r="W278" s="3">
        <f>SUM(S278:V278)</f>
        <v>0</v>
      </c>
      <c r="X278" s="3" t="n"/>
      <c r="Y278" s="3" t="n"/>
      <c r="Z278" s="3" t="n"/>
      <c r="AA278" s="3" t="n"/>
      <c r="AB278" s="3">
        <f>SUM(X278:AA278)</f>
        <v>0</v>
      </c>
      <c r="AC278" s="3" t="n"/>
      <c r="AD278" s="3" t="n"/>
      <c r="AE278" s="3" t="n"/>
      <c r="AF278" s="3" t="n"/>
      <c r="AG278" s="3">
        <f>SUM(AC278:AF278)</f>
        <v>0</v>
      </c>
      <c r="AH278" s="3" t="n"/>
      <c r="AI278" s="3" t="n"/>
      <c r="AJ278" s="3" t="n"/>
      <c r="AK278" s="3" t="n"/>
      <c r="AL278" s="3">
        <f>SUM(AH278:AK278)</f>
        <v>0</v>
      </c>
      <c r="AM278" s="3" t="n"/>
      <c r="AN278" s="3" t="n"/>
      <c r="AO278" s="3" t="n"/>
      <c r="AP278" s="3" t="n"/>
      <c r="AQ278" s="3">
        <f>SUM(AM278:AP278)</f>
        <v>0</v>
      </c>
      <c r="AR278" s="3" t="n"/>
      <c r="AS278" s="3" t="n"/>
      <c r="AT278" s="3" t="n"/>
      <c r="AU278" s="3" t="n"/>
      <c r="AV278" s="3">
        <f>SUM(AR278:AU278)</f>
        <v>0</v>
      </c>
      <c r="AW278" s="3" t="n"/>
      <c r="AX278" s="3" t="n"/>
      <c r="AY278" s="3" t="n"/>
      <c r="AZ278" s="3" t="n"/>
      <c r="BA278" s="3">
        <f>SUM(AW278:AZ278)</f>
        <v>0</v>
      </c>
      <c r="BB278" s="3" t="n"/>
      <c r="BC278" s="3" t="n"/>
      <c r="BD278" s="3" t="n"/>
      <c r="BE278" s="3" t="n"/>
      <c r="BF278" s="3">
        <f>SUM(BB278:BE278)</f>
        <v>0</v>
      </c>
      <c r="BG278" s="3" t="n"/>
      <c r="BH278" s="3" t="n"/>
      <c r="BI278" s="3" t="n"/>
      <c r="BJ278" s="3" t="n"/>
      <c r="BK278" s="3">
        <f>SUM(BG278:BJ278)</f>
        <v>0</v>
      </c>
      <c r="BL278" s="3" t="n"/>
      <c r="BM278" s="3" t="n"/>
      <c r="BN278" s="3" t="n"/>
      <c r="BO278" s="3" t="n"/>
      <c r="BP278" s="3">
        <f>SUM(BL278:BO278)</f>
        <v>0</v>
      </c>
      <c r="BQ278" s="3" t="n"/>
      <c r="BR278" s="3" t="n"/>
      <c r="BS278" s="3" t="n"/>
      <c r="BT278" s="3" t="n"/>
      <c r="BU278" s="3">
        <f>SUM(BQ278:BT278)</f>
        <v>0</v>
      </c>
      <c r="BV278" s="3" t="n"/>
      <c r="BW278" s="3" t="n"/>
      <c r="BX278" s="3" t="n"/>
      <c r="BY278" s="3" t="n"/>
      <c r="BZ278" s="3">
        <f>SUM(BV278:BY278)</f>
        <v>0</v>
      </c>
      <c r="CA278" s="3" t="n"/>
      <c r="CB278" s="3" t="n"/>
      <c r="CC278" s="3" t="n"/>
      <c r="CD278" s="3" t="n"/>
      <c r="CE278" s="3">
        <f>SUM(CA278:CD278)</f>
        <v>0</v>
      </c>
      <c r="CF278" s="3" t="n"/>
      <c r="CG278" s="3" t="n"/>
      <c r="CH278" s="3" t="n"/>
      <c r="CI278" s="3" t="n"/>
      <c r="CJ278" s="3">
        <f>SUM(CF278:CI278)</f>
        <v>0</v>
      </c>
      <c r="CK278" s="3" t="n"/>
      <c r="CL278" s="3" t="n"/>
      <c r="CM278" s="3" t="n"/>
      <c r="CN278" s="3" t="n"/>
      <c r="CO278" s="3">
        <f>SUM(CK278:CN278)</f>
        <v>0</v>
      </c>
      <c r="CP278" s="3" t="n"/>
      <c r="CQ278" s="3" t="n"/>
      <c r="CR278" s="3" t="n"/>
      <c r="CS278" s="3" t="n"/>
      <c r="CT278" s="3">
        <f>SUM(CP278:CS278)</f>
        <v>0</v>
      </c>
      <c r="CU278" s="3" t="n"/>
      <c r="CV278" s="3" t="n"/>
      <c r="CW278" s="3" t="n"/>
      <c r="CX278" s="3" t="n"/>
      <c r="CY278" s="3">
        <f>SUM(CU278:CX278)</f>
        <v>0</v>
      </c>
    </row>
    <row r="279">
      <c r="C279" s="26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/>
      <c r="BK279" s="3" t="n"/>
      <c r="BL279" s="3" t="n"/>
      <c r="BM279" s="3" t="n"/>
      <c r="BN279" s="3" t="n"/>
      <c r="BO279" s="3" t="n"/>
      <c r="BP279" s="3" t="n"/>
      <c r="BQ279" s="3" t="n"/>
      <c r="BR279" s="3" t="n"/>
      <c r="BS279" s="3" t="n"/>
      <c r="BT279" s="3" t="n"/>
      <c r="BU279" s="3" t="n"/>
      <c r="BV279" s="3" t="n"/>
      <c r="BW279" s="3" t="n"/>
      <c r="BX279" s="3" t="n"/>
      <c r="BY279" s="3" t="n"/>
      <c r="BZ279" s="3" t="n"/>
      <c r="CA279" s="3" t="n"/>
      <c r="CB279" s="3" t="n"/>
      <c r="CC279" s="3" t="n"/>
      <c r="CD279" s="3" t="n"/>
      <c r="CE279" s="3" t="n"/>
      <c r="CF279" s="3" t="n"/>
      <c r="CG279" s="3" t="n"/>
      <c r="CH279" s="3" t="n"/>
      <c r="CI279" s="3" t="n"/>
      <c r="CJ279" s="3" t="n"/>
      <c r="CK279" s="3" t="n"/>
      <c r="CL279" s="3" t="n"/>
      <c r="CM279" s="3" t="n"/>
      <c r="CN279" s="3" t="n"/>
      <c r="CO279" s="3" t="n"/>
      <c r="CP279" s="3" t="n"/>
      <c r="CQ279" s="3" t="n"/>
      <c r="CR279" s="3" t="n"/>
      <c r="CS279" s="3" t="n"/>
      <c r="CT279" s="3" t="n"/>
      <c r="CU279" s="3" t="n"/>
      <c r="CV279" s="3" t="n"/>
      <c r="CW279" s="3" t="n"/>
      <c r="CX279" s="3" t="n"/>
      <c r="CY279" s="3" t="n"/>
    </row>
    <row r="280">
      <c r="C280" s="26" t="inlineStr">
        <is>
          <t>Total increase/decrease of cash</t>
        </is>
      </c>
      <c r="D280" s="3" t="n"/>
      <c r="E280" s="3">
        <f>SUM(E259,E266,E276,E278)</f>
        <v>-5373</v>
      </c>
      <c r="F280" s="3">
        <f>SUM(F259,F266,F276,F278)</f>
        <v>-842</v>
      </c>
      <c r="G280" s="3">
        <f>SUM(G259,G266,G276,G278)</f>
        <v>1422</v>
      </c>
      <c r="H280" s="3">
        <f>SUM(D280:G280)</f>
        <v>-4793</v>
      </c>
      <c r="I280" s="3">
        <f>SUM(I259,I266,I276,I278)</f>
        <v>1106</v>
      </c>
      <c r="J280" s="3">
        <f>SUM(J259,J266,J276,J278)</f>
        <v>6987</v>
      </c>
      <c r="K280" s="3">
        <f>SUM(K259,K266,K276,K278)</f>
        <v>-356</v>
      </c>
      <c r="L280" s="3">
        <f>SUM(L259,L266,L276,L278)</f>
        <v>1910</v>
      </c>
      <c r="M280" s="3">
        <f>SUM(I280:L280)</f>
        <v>9647</v>
      </c>
      <c r="N280" s="3">
        <f>SUM(N259,N266,N276,N278)</f>
        <v>-870</v>
      </c>
      <c r="O280" s="3">
        <f>SUM(O259,O266,O276,O278)</f>
        <v>-3301</v>
      </c>
      <c r="P280" s="3">
        <f>SUM(P259,P266,P276,P278)</f>
        <v>-3894</v>
      </c>
      <c r="Q280" s="3">
        <f>SUM(Q259,Q266,Q276,Q278)</f>
        <v>153</v>
      </c>
      <c r="R280" s="3">
        <f>SUM(N280:Q280)</f>
        <v>-7912</v>
      </c>
      <c r="S280" s="3">
        <f>SUM(S259,S266,S276,S278)</f>
        <v>2024</v>
      </c>
      <c r="T280" s="3">
        <f>SUM(T259,T266,T276,T278)</f>
        <v>703</v>
      </c>
      <c r="U280" s="3">
        <f>SUM(U259,U266,U276,U278)</f>
        <v>2258</v>
      </c>
      <c r="V280" s="3">
        <f>SUM(V259,V266,V276,V278)</f>
        <v>7703</v>
      </c>
      <c r="W280" s="3">
        <f>SUM(S280:V280)</f>
        <v>12688</v>
      </c>
      <c r="X280" s="3">
        <f>SUM(X259,X266,X276,X278)</f>
        <v>5454</v>
      </c>
      <c r="Y280" s="3">
        <f>SUM(Y259,Y266,Y276,Y278)</f>
        <v>3362</v>
      </c>
      <c r="Z280" s="3">
        <f>SUM(Z259,Z266,Z276,Z278)</f>
        <v>3687</v>
      </c>
      <c r="AA280" s="3">
        <f>SUM(AA259,AA266,AA276,AA278)</f>
        <v>4723</v>
      </c>
      <c r="AB280" s="3">
        <f>SUM(X280:AA280)</f>
        <v>17226</v>
      </c>
      <c r="AC280" s="3">
        <f>SUM(AC259,AC266,AC276,AC278)</f>
        <v>10481</v>
      </c>
      <c r="AD280" s="3">
        <f>SUM(AD259,AD266,AD276,AD278)</f>
        <v>3100</v>
      </c>
      <c r="AE280" s="3">
        <f>SUM(AE259,AE266,AE276,AE278)</f>
        <v>3817</v>
      </c>
      <c r="AF280" s="3">
        <f>SUM(AF259,AF266,AF276,AF278)</f>
        <v>1948</v>
      </c>
      <c r="AG280" s="3">
        <f>SUM(AC280:AF280)</f>
        <v>19346</v>
      </c>
      <c r="AH280" s="3">
        <f>SUM(AH259,AH266,AH276,AH278)</f>
        <v>31086</v>
      </c>
      <c r="AI280" s="3">
        <f>SUM(AI259,AI266,AI276,AI278)</f>
        <v>11322</v>
      </c>
      <c r="AJ280" s="3" t="e">
        <f>SUM(AJ259,AJ266,AJ276,AJ278)</f>
        <v>#DIV/0!</v>
      </c>
      <c r="AK280" s="3" t="e">
        <f>SUM(AK259,AK266,AK276,AK278)</f>
        <v>#DIV/0!</v>
      </c>
      <c r="AL280" s="3" t="e">
        <f>SUM(AH280:AK280)</f>
        <v>#DIV/0!</v>
      </c>
      <c r="AM280" s="3" t="e">
        <f>SUM(AM259,AM266,AM276,AM278)</f>
        <v>#DIV/0!</v>
      </c>
      <c r="AN280" s="3" t="e">
        <f>SUM(AN259,AN266,AN276,AN278)</f>
        <v>#DIV/0!</v>
      </c>
      <c r="AO280" s="3" t="e">
        <f>SUM(AO259,AO266,AO276,AO278)</f>
        <v>#DIV/0!</v>
      </c>
      <c r="AP280" s="3" t="e">
        <f>SUM(AP259,AP266,AP276,AP278)</f>
        <v>#DIV/0!</v>
      </c>
      <c r="AQ280" s="3" t="e">
        <f>SUM(AM280:AP280)</f>
        <v>#DIV/0!</v>
      </c>
      <c r="AR280" s="3" t="e">
        <f>SUM(AR259,AR266,AR276,AR278)</f>
        <v>#DIV/0!</v>
      </c>
      <c r="AS280" s="3" t="e">
        <f>SUM(AS259,AS266,AS276,AS278)</f>
        <v>#DIV/0!</v>
      </c>
      <c r="AT280" s="3" t="e">
        <f>SUM(AT259,AT266,AT276,AT278)</f>
        <v>#DIV/0!</v>
      </c>
      <c r="AU280" s="3" t="e">
        <f>SUM(AU259,AU266,AU276,AU278)</f>
        <v>#DIV/0!</v>
      </c>
      <c r="AV280" s="3" t="e">
        <f>SUM(AR280:AU280)</f>
        <v>#DIV/0!</v>
      </c>
      <c r="AW280" s="3" t="e">
        <f>SUM(AW259,AW266,AW276,AW278)</f>
        <v>#DIV/0!</v>
      </c>
      <c r="AX280" s="3" t="e">
        <f>SUM(AX259,AX266,AX276,AX278)</f>
        <v>#DIV/0!</v>
      </c>
      <c r="AY280" s="3" t="e">
        <f>SUM(AY259,AY266,AY276,AY278)</f>
        <v>#DIV/0!</v>
      </c>
      <c r="AZ280" s="3" t="e">
        <f>SUM(AZ259,AZ266,AZ276,AZ278)</f>
        <v>#DIV/0!</v>
      </c>
      <c r="BA280" s="3" t="e">
        <f>SUM(AW280:AZ280)</f>
        <v>#DIV/0!</v>
      </c>
      <c r="BB280" s="3" t="e">
        <f>SUM(BB259,BB266,BB276,BB278)</f>
        <v>#DIV/0!</v>
      </c>
      <c r="BC280" s="3" t="e">
        <f>SUM(BC259,BC266,BC276,BC278)</f>
        <v>#DIV/0!</v>
      </c>
      <c r="BD280" s="3" t="e">
        <f>SUM(BD259,BD266,BD276,BD278)</f>
        <v>#DIV/0!</v>
      </c>
      <c r="BE280" s="3" t="e">
        <f>SUM(BE259,BE266,BE276,BE278)</f>
        <v>#DIV/0!</v>
      </c>
      <c r="BF280" s="3" t="e">
        <f>SUM(BB280:BE280)</f>
        <v>#DIV/0!</v>
      </c>
      <c r="BG280" s="3" t="e">
        <f>SUM(BG259,BG266,BG276,BG278)</f>
        <v>#DIV/0!</v>
      </c>
      <c r="BH280" s="3" t="e">
        <f>SUM(BH259,BH266,BH276,BH278)</f>
        <v>#DIV/0!</v>
      </c>
      <c r="BI280" s="3" t="e">
        <f>SUM(BI259,BI266,BI276,BI278)</f>
        <v>#DIV/0!</v>
      </c>
      <c r="BJ280" s="3" t="e">
        <f>SUM(BJ259,BJ266,BJ276,BJ278)</f>
        <v>#DIV/0!</v>
      </c>
      <c r="BK280" s="3" t="e">
        <f>SUM(BG280:BJ280)</f>
        <v>#DIV/0!</v>
      </c>
      <c r="BL280" s="3" t="e">
        <f>SUM(BL259,BL266,BL276,BL278)</f>
        <v>#DIV/0!</v>
      </c>
      <c r="BM280" s="3" t="e">
        <f>SUM(BM259,BM266,BM276,BM278)</f>
        <v>#DIV/0!</v>
      </c>
      <c r="BN280" s="3" t="e">
        <f>SUM(BN259,BN266,BN276,BN278)</f>
        <v>#DIV/0!</v>
      </c>
      <c r="BO280" s="3" t="e">
        <f>SUM(BO259,BO266,BO276,BO278)</f>
        <v>#DIV/0!</v>
      </c>
      <c r="BP280" s="3" t="e">
        <f>SUM(BL280:BO280)</f>
        <v>#DIV/0!</v>
      </c>
      <c r="BQ280" s="3" t="e">
        <f>SUM(BQ259,BQ266,BQ276,BQ278)</f>
        <v>#DIV/0!</v>
      </c>
      <c r="BR280" s="3" t="e">
        <f>SUM(BR259,BR266,BR276,BR278)</f>
        <v>#DIV/0!</v>
      </c>
      <c r="BS280" s="3" t="e">
        <f>SUM(BS259,BS266,BS276,BS278)</f>
        <v>#DIV/0!</v>
      </c>
      <c r="BT280" s="3" t="e">
        <f>SUM(BT259,BT266,BT276,BT278)</f>
        <v>#DIV/0!</v>
      </c>
      <c r="BU280" s="3" t="e">
        <f>SUM(BQ280:BT280)</f>
        <v>#DIV/0!</v>
      </c>
      <c r="BV280" s="3" t="e">
        <f>SUM(BV259,BV266,BV276,BV278)</f>
        <v>#DIV/0!</v>
      </c>
      <c r="BW280" s="3" t="e">
        <f>SUM(BW259,BW266,BW276,BW278)</f>
        <v>#DIV/0!</v>
      </c>
      <c r="BX280" s="3" t="e">
        <f>SUM(BX259,BX266,BX276,BX278)</f>
        <v>#DIV/0!</v>
      </c>
      <c r="BY280" s="3" t="e">
        <f>SUM(BY259,BY266,BY276,BY278)</f>
        <v>#DIV/0!</v>
      </c>
      <c r="BZ280" s="3" t="e">
        <f>SUM(BV280:BY280)</f>
        <v>#DIV/0!</v>
      </c>
      <c r="CA280" s="3" t="e">
        <f>SUM(CA259,CA266,CA276,CA278)</f>
        <v>#DIV/0!</v>
      </c>
      <c r="CB280" s="3" t="e">
        <f>SUM(CB259,CB266,CB276,CB278)</f>
        <v>#DIV/0!</v>
      </c>
      <c r="CC280" s="3" t="e">
        <f>SUM(CC259,CC266,CC276,CC278)</f>
        <v>#DIV/0!</v>
      </c>
      <c r="CD280" s="3" t="e">
        <f>SUM(CD259,CD266,CD276,CD278)</f>
        <v>#DIV/0!</v>
      </c>
      <c r="CE280" s="3" t="e">
        <f>SUM(CA280:CD280)</f>
        <v>#DIV/0!</v>
      </c>
      <c r="CF280" s="3" t="e">
        <f>SUM(CF259,CF266,CF276,CF278)</f>
        <v>#DIV/0!</v>
      </c>
      <c r="CG280" s="3" t="e">
        <f>SUM(CG259,CG266,CG276,CG278)</f>
        <v>#DIV/0!</v>
      </c>
      <c r="CH280" s="3" t="e">
        <f>SUM(CH259,CH266,CH276,CH278)</f>
        <v>#DIV/0!</v>
      </c>
      <c r="CI280" s="3" t="e">
        <f>SUM(CI259,CI266,CI276,CI278)</f>
        <v>#DIV/0!</v>
      </c>
      <c r="CJ280" s="3" t="e">
        <f>SUM(CF280:CI280)</f>
        <v>#DIV/0!</v>
      </c>
      <c r="CK280" s="3" t="e">
        <f>SUM(CK259,CK266,CK276,CK278)</f>
        <v>#DIV/0!</v>
      </c>
      <c r="CL280" s="3" t="e">
        <f>SUM(CL259,CL266,CL276,CL278)</f>
        <v>#DIV/0!</v>
      </c>
      <c r="CM280" s="3" t="e">
        <f>SUM(CM259,CM266,CM276,CM278)</f>
        <v>#DIV/0!</v>
      </c>
      <c r="CN280" s="3" t="e">
        <f>SUM(CN259,CN266,CN276,CN278)</f>
        <v>#DIV/0!</v>
      </c>
      <c r="CO280" s="3" t="e">
        <f>SUM(CK280:CN280)</f>
        <v>#DIV/0!</v>
      </c>
      <c r="CP280" s="3" t="e">
        <f>SUM(CP259,CP266,CP276,CP278)</f>
        <v>#DIV/0!</v>
      </c>
      <c r="CQ280" s="3" t="e">
        <f>SUM(CQ259,CQ266,CQ276,CQ278)</f>
        <v>#DIV/0!</v>
      </c>
      <c r="CR280" s="3" t="e">
        <f>SUM(CR259,CR266,CR276,CR278)</f>
        <v>#DIV/0!</v>
      </c>
      <c r="CS280" s="3" t="e">
        <f>SUM(CS259,CS266,CS276,CS278)</f>
        <v>#DIV/0!</v>
      </c>
      <c r="CT280" s="3" t="e">
        <f>SUM(CP280:CS280)</f>
        <v>#DIV/0!</v>
      </c>
      <c r="CU280" s="3" t="e">
        <f>SUM(CU259,CU266,CU276,CU278)</f>
        <v>#DIV/0!</v>
      </c>
      <c r="CV280" s="3" t="e">
        <f>SUM(CV259,CV266,CV276,CV278)</f>
        <v>#DIV/0!</v>
      </c>
      <c r="CW280" s="3" t="e">
        <f>SUM(CW259,CW266,CW276,CW278)</f>
        <v>#DIV/0!</v>
      </c>
      <c r="CX280" s="3" t="e">
        <f>SUM(CX259,CX266,CX276,CX278)</f>
        <v>#DIV/0!</v>
      </c>
      <c r="CY280" s="3" t="e">
        <f>SUM(CU280:CX280)</f>
        <v>#DIV/0!</v>
      </c>
    </row>
    <row r="281">
      <c r="C281" s="4" t="inlineStr">
        <is>
          <t>Check</t>
        </is>
      </c>
      <c r="E281" s="51">
        <f>(E280)-(E110-D110)</f>
        <v>0</v>
      </c>
      <c r="F281" s="51">
        <f>(F280)-(F110-E110)</f>
        <v>0</v>
      </c>
      <c r="G281" s="51">
        <f>(G280)-(G110-F110)</f>
        <v>0</v>
      </c>
      <c r="I281" s="51">
        <f>(I280)-(I110-H110)</f>
        <v>0</v>
      </c>
      <c r="J281" s="51">
        <f>(J280)-(J110-I110)</f>
        <v>0</v>
      </c>
      <c r="K281" s="51">
        <f>(K280)-(K110-J110)</f>
        <v>0</v>
      </c>
      <c r="L281" s="51">
        <f>(L280)-(L110-K110)</f>
        <v>0</v>
      </c>
      <c r="N281" s="51">
        <f>(N280)-(N110-M110)</f>
        <v>0</v>
      </c>
      <c r="O281" s="51">
        <f>(O280)-(O110-N110)</f>
        <v>0</v>
      </c>
      <c r="P281" s="51">
        <f>(P280)-(P110-O110)</f>
        <v>0</v>
      </c>
      <c r="Q281" s="51">
        <f>(Q280)-(Q110-P110)</f>
        <v>0</v>
      </c>
      <c r="S281" s="51">
        <f>(S280)-(S110-R110)</f>
        <v>0</v>
      </c>
      <c r="T281" s="51">
        <f>(T280)-(T110-S110)</f>
        <v>0</v>
      </c>
      <c r="U281" s="51">
        <f>(U280)-(U110-T110)</f>
        <v>0</v>
      </c>
      <c r="V281" s="51">
        <f>(V280)-(V110-U110)</f>
        <v>0</v>
      </c>
      <c r="X281" s="51">
        <f>(X280)-(X110-W110)</f>
        <v>0</v>
      </c>
      <c r="Y281" s="51">
        <f>(Y280)-(Y110-X110)</f>
        <v>0</v>
      </c>
      <c r="Z281" s="51">
        <f>(Z280)-(Z110-Y110)</f>
        <v>0</v>
      </c>
      <c r="AA281" s="51">
        <f>(AA280)-(AA110-Z110)</f>
        <v>0</v>
      </c>
      <c r="AC281" s="51">
        <f>(AC280)-(AC110-AB110)</f>
        <v>0</v>
      </c>
      <c r="AD281" s="51">
        <f>(AD280)-(AD110-AC110)</f>
        <v>0</v>
      </c>
      <c r="AE281" s="51">
        <f>(AE280)-(AE110-AD110)</f>
        <v>0</v>
      </c>
      <c r="AF281" s="51">
        <f>(AF280)-(AF110-AE110)</f>
        <v>0</v>
      </c>
      <c r="AH281" s="51">
        <f>(AH280)-(AH110-AG110)</f>
        <v>0</v>
      </c>
      <c r="AI281" s="51">
        <f>(AI280)-(AI110-AH110)</f>
        <v>0</v>
      </c>
      <c r="AJ281" s="51" t="e">
        <f>(AJ280)-(AJ110-AI110)</f>
        <v>#DIV/0!</v>
      </c>
      <c r="AK281" s="51" t="e">
        <f>(AK280)-(AK110-AJ110)</f>
        <v>#DIV/0!</v>
      </c>
      <c r="AM281" s="51" t="e">
        <f>(AM280)-(AM110-AL110)</f>
        <v>#DIV/0!</v>
      </c>
      <c r="AN281" s="51" t="e">
        <f>(AN280)-(AN110-AM110)</f>
        <v>#DIV/0!</v>
      </c>
      <c r="AO281" s="51" t="e">
        <f>(AO280)-(AO110-AN110)</f>
        <v>#DIV/0!</v>
      </c>
      <c r="AP281" s="51" t="e">
        <f>(AP280)-(AP110-AO110)</f>
        <v>#DIV/0!</v>
      </c>
      <c r="AR281" s="51" t="e">
        <f>(AR280)-(AR110-AQ110)</f>
        <v>#DIV/0!</v>
      </c>
      <c r="AS281" s="51" t="e">
        <f>(AS280)-(AS110-AR110)</f>
        <v>#DIV/0!</v>
      </c>
      <c r="AT281" s="51" t="e">
        <f>(AT280)-(AT110-AS110)</f>
        <v>#DIV/0!</v>
      </c>
      <c r="AU281" s="51" t="e">
        <f>(AU280)-(AU110-AT110)</f>
        <v>#DIV/0!</v>
      </c>
      <c r="AW281" s="51" t="e">
        <f>(AW280)-(AW110-AV110)</f>
        <v>#DIV/0!</v>
      </c>
      <c r="AX281" s="51" t="e">
        <f>(AX280)-(AX110-AW110)</f>
        <v>#DIV/0!</v>
      </c>
      <c r="AY281" s="51" t="e">
        <f>(AY280)-(AY110-AX110)</f>
        <v>#DIV/0!</v>
      </c>
      <c r="AZ281" s="51" t="e">
        <f>(AZ280)-(AZ110-AY110)</f>
        <v>#DIV/0!</v>
      </c>
      <c r="BB281" s="51" t="e">
        <f>(BB280)-(BB110-BA110)</f>
        <v>#DIV/0!</v>
      </c>
      <c r="BC281" s="51" t="e">
        <f>(BC280)-(BC110-BB110)</f>
        <v>#DIV/0!</v>
      </c>
      <c r="BD281" s="51" t="e">
        <f>(BD280)-(BD110-BC110)</f>
        <v>#DIV/0!</v>
      </c>
      <c r="BE281" s="51" t="e">
        <f>(BE280)-(BE110-BD110)</f>
        <v>#DIV/0!</v>
      </c>
      <c r="BG281" s="51" t="e">
        <f>(BG280)-(BG110-BF110)</f>
        <v>#DIV/0!</v>
      </c>
      <c r="BH281" s="51" t="e">
        <f>(BH280)-(BH110-BG110)</f>
        <v>#DIV/0!</v>
      </c>
      <c r="BI281" s="51" t="e">
        <f>(BI280)-(BI110-BH110)</f>
        <v>#DIV/0!</v>
      </c>
      <c r="BJ281" s="51" t="e">
        <f>(BJ280)-(BJ110-BI110)</f>
        <v>#DIV/0!</v>
      </c>
      <c r="BL281" s="51" t="e">
        <f>(BL280)-(BL110-BK110)</f>
        <v>#DIV/0!</v>
      </c>
      <c r="BM281" s="51" t="e">
        <f>(BM280)-(BM110-BL110)</f>
        <v>#DIV/0!</v>
      </c>
      <c r="BN281" s="51" t="e">
        <f>(BN280)-(BN110-BM110)</f>
        <v>#DIV/0!</v>
      </c>
      <c r="BO281" s="51" t="e">
        <f>(BO280)-(BO110-BN110)</f>
        <v>#DIV/0!</v>
      </c>
      <c r="BQ281" s="51" t="e">
        <f>(BQ280)-(BQ110-BP110)</f>
        <v>#DIV/0!</v>
      </c>
      <c r="BR281" s="51" t="e">
        <f>(BR280)-(BR110-BQ110)</f>
        <v>#DIV/0!</v>
      </c>
      <c r="BS281" s="51" t="e">
        <f>(BS280)-(BS110-BR110)</f>
        <v>#DIV/0!</v>
      </c>
      <c r="BT281" s="51" t="e">
        <f>(BT280)-(BT110-BS110)</f>
        <v>#DIV/0!</v>
      </c>
      <c r="BV281" s="51" t="e">
        <f>(BV280)-(BV110-BU110)</f>
        <v>#DIV/0!</v>
      </c>
      <c r="BW281" s="51" t="e">
        <f>(BW280)-(BW110-BV110)</f>
        <v>#DIV/0!</v>
      </c>
      <c r="BX281" s="51" t="e">
        <f>(BX280)-(BX110-BW110)</f>
        <v>#DIV/0!</v>
      </c>
      <c r="BY281" s="51" t="e">
        <f>(BY280)-(BY110-BX110)</f>
        <v>#DIV/0!</v>
      </c>
      <c r="CA281" s="51" t="e">
        <f>(CA280)-(CA110-BZ110)</f>
        <v>#DIV/0!</v>
      </c>
      <c r="CB281" s="51" t="e">
        <f>(CB280)-(CB110-CA110)</f>
        <v>#DIV/0!</v>
      </c>
      <c r="CC281" s="51" t="e">
        <f>(CC280)-(CC110-CB110)</f>
        <v>#DIV/0!</v>
      </c>
      <c r="CD281" s="51" t="e">
        <f>(CD280)-(CD110-CC110)</f>
        <v>#DIV/0!</v>
      </c>
      <c r="CF281" s="51" t="e">
        <f>(CF280)-(CF110-CE110)</f>
        <v>#DIV/0!</v>
      </c>
      <c r="CG281" s="51" t="e">
        <f>(CG280)-(CG110-CF110)</f>
        <v>#DIV/0!</v>
      </c>
      <c r="CH281" s="51" t="e">
        <f>(CH280)-(CH110-CG110)</f>
        <v>#DIV/0!</v>
      </c>
      <c r="CI281" s="51" t="e">
        <f>(CI280)-(CI110-CH110)</f>
        <v>#DIV/0!</v>
      </c>
      <c r="CK281" s="51" t="e">
        <f>(CK280)-(CK110-CJ110)</f>
        <v>#DIV/0!</v>
      </c>
      <c r="CL281" s="51" t="e">
        <f>(CL280)-(CL110-CK110)</f>
        <v>#DIV/0!</v>
      </c>
      <c r="CM281" s="51" t="e">
        <f>(CM280)-(CM110-CL110)</f>
        <v>#DIV/0!</v>
      </c>
      <c r="CN281" s="51" t="e">
        <f>(CN280)-(CN110-CM110)</f>
        <v>#DIV/0!</v>
      </c>
      <c r="CP281" s="51" t="e">
        <f>(CP280)-(CP110-CO110)</f>
        <v>#DIV/0!</v>
      </c>
      <c r="CQ281" s="51" t="e">
        <f>(CQ280)-(CQ110-CP110)</f>
        <v>#DIV/0!</v>
      </c>
      <c r="CR281" s="51" t="e">
        <f>(CR280)-(CR110-CQ110)</f>
        <v>#DIV/0!</v>
      </c>
      <c r="CS281" s="51" t="e">
        <f>(CS280)-(CS110-CR110)</f>
        <v>#DIV/0!</v>
      </c>
      <c r="CU281" s="51" t="e">
        <f>(CU280)-(CU110-CT110)</f>
        <v>#DIV/0!</v>
      </c>
      <c r="CV281" s="51" t="e">
        <f>(CV280)-(CV110-CU110)</f>
        <v>#DIV/0!</v>
      </c>
      <c r="CW281" s="51" t="e">
        <f>(CW280)-(CW110-CV110)</f>
        <v>#DIV/0!</v>
      </c>
      <c r="CX281" s="51" t="e">
        <f>(CX280)-(CX110-CW110)</f>
        <v>#DIV/0!</v>
      </c>
    </row>
    <row r="283">
      <c r="C283" s="53" t="inlineStr">
        <is>
          <t>Ratio Analysis</t>
        </is>
      </c>
      <c r="D283" s="5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  <c r="CO283" s="53" t="n"/>
      <c r="CP283" s="53" t="n"/>
      <c r="CQ283" s="53" t="n"/>
      <c r="CR283" s="53" t="n"/>
      <c r="CS283" s="53" t="n"/>
      <c r="CT283" s="53" t="n"/>
      <c r="CU283" s="53" t="n"/>
      <c r="CV283" s="53" t="n"/>
      <c r="CW283" s="53" t="n"/>
      <c r="CX283" s="53" t="n"/>
      <c r="CY283" s="53" t="n"/>
    </row>
    <row r="285" customFormat="1" s="234">
      <c r="C285" s="234" t="inlineStr">
        <is>
          <t>YEAR</t>
        </is>
      </c>
      <c r="D285" s="234" t="str">
        <f>D241</f>
        <v>1Q20</v>
      </c>
      <c r="E285" s="235" t="str">
        <f>E241</f>
        <v>2Q20</v>
      </c>
      <c r="F285" s="235" t="str">
        <f>F241</f>
        <v>3Q20</v>
      </c>
      <c r="G285" s="235" t="str">
        <f>G241</f>
        <v>4Q20</v>
      </c>
      <c r="H285" s="235">
        <f>H241</f>
        <v>2020</v>
      </c>
      <c r="I285" s="235" t="str">
        <f>I241</f>
        <v>1Q21</v>
      </c>
      <c r="J285" s="235" t="str">
        <f>J241</f>
        <v>2Q21</v>
      </c>
      <c r="K285" s="235" t="str">
        <f>K241</f>
        <v>3Q21</v>
      </c>
      <c r="L285" s="235" t="str">
        <f>L241</f>
        <v>4Q21</v>
      </c>
      <c r="M285" s="235">
        <f>M241</f>
        <v>2021</v>
      </c>
      <c r="N285" s="235" t="str">
        <f>N241</f>
        <v>1Q22</v>
      </c>
      <c r="O285" s="235" t="str">
        <f>O241</f>
        <v>2Q22</v>
      </c>
      <c r="P285" s="235" t="str">
        <f>P241</f>
        <v>3Q22</v>
      </c>
      <c r="Q285" s="235" t="str">
        <f>Q241</f>
        <v>4Q22</v>
      </c>
      <c r="R285" s="235">
        <f>R241</f>
        <v>2022</v>
      </c>
      <c r="S285" s="235" t="str">
        <f>S241</f>
        <v>1Q23</v>
      </c>
      <c r="T285" s="235" t="str">
        <f>T241</f>
        <v>2Q23</v>
      </c>
      <c r="U285" s="235" t="str">
        <f>U241</f>
        <v>3Q23</v>
      </c>
      <c r="V285" s="235" t="str">
        <f>V241</f>
        <v>4Q23</v>
      </c>
      <c r="W285" s="235">
        <f>W241</f>
        <v>2023</v>
      </c>
      <c r="X285" s="235" t="str">
        <f>X241</f>
        <v>1Q24</v>
      </c>
      <c r="Y285" s="235" t="str">
        <f>Y241</f>
        <v>2Q24</v>
      </c>
      <c r="Z285" s="235" t="str">
        <f>Z241</f>
        <v>3Q24</v>
      </c>
      <c r="AA285" s="235" t="str">
        <f>AA241</f>
        <v>4Q24</v>
      </c>
      <c r="AB285" s="235">
        <f>AB241</f>
        <v>2024</v>
      </c>
      <c r="AC285" s="235" t="str">
        <f>AC241</f>
        <v>1Q25</v>
      </c>
      <c r="AD285" s="235" t="str">
        <f>AD241</f>
        <v>2Q25</v>
      </c>
      <c r="AE285" s="235" t="str">
        <f>AE241</f>
        <v>3Q25</v>
      </c>
      <c r="AF285" s="235" t="str">
        <f>AF241</f>
        <v>4Q25</v>
      </c>
      <c r="AG285" s="235">
        <f>AG241</f>
        <v>2025</v>
      </c>
      <c r="AH285" s="235" t="str">
        <f>AH241</f>
        <v>1Q26</v>
      </c>
      <c r="AI285" s="235" t="str">
        <f>AI241</f>
        <v>2Q26</v>
      </c>
      <c r="AJ285" s="235" t="str">
        <f>AJ241</f>
        <v>3Q26</v>
      </c>
      <c r="AK285" s="235" t="str">
        <f>AK241</f>
        <v>4Q26</v>
      </c>
      <c r="AL285" s="235">
        <f>AL241</f>
        <v>2026</v>
      </c>
      <c r="AM285" s="235" t="str">
        <f>AM241</f>
        <v>1Q27</v>
      </c>
      <c r="AN285" s="235" t="str">
        <f>AN241</f>
        <v>2Q27</v>
      </c>
      <c r="AO285" s="235" t="str">
        <f>AO241</f>
        <v>3Q27</v>
      </c>
      <c r="AP285" s="235" t="str">
        <f>AP241</f>
        <v>4Q27</v>
      </c>
      <c r="AQ285" s="235">
        <f>AQ241</f>
        <v>2027</v>
      </c>
      <c r="AR285" s="235" t="str">
        <f>AR241</f>
        <v>1Q28</v>
      </c>
      <c r="AS285" s="235" t="str">
        <f>AS241</f>
        <v>2Q28</v>
      </c>
      <c r="AT285" s="235" t="str">
        <f>AT241</f>
        <v>3Q28</v>
      </c>
      <c r="AU285" s="235" t="str">
        <f>AU241</f>
        <v>4Q28</v>
      </c>
      <c r="AV285" s="235">
        <f>AV241</f>
        <v>2028</v>
      </c>
      <c r="AW285" s="235" t="str">
        <f>AW241</f>
        <v>1Q29</v>
      </c>
      <c r="AX285" s="235" t="str">
        <f>AX241</f>
        <v>2Q29</v>
      </c>
      <c r="AY285" s="235" t="str">
        <f>AY241</f>
        <v>3Q29</v>
      </c>
      <c r="AZ285" s="235" t="str">
        <f>AZ241</f>
        <v>4Q29</v>
      </c>
      <c r="BA285" s="235">
        <f>BA241</f>
        <v>2029</v>
      </c>
      <c r="BB285" s="235" t="str">
        <f>BB241</f>
        <v>1Q30</v>
      </c>
      <c r="BC285" s="235" t="str">
        <f>BC241</f>
        <v>2Q30</v>
      </c>
      <c r="BD285" s="235" t="str">
        <f>BD241</f>
        <v>3Q30</v>
      </c>
      <c r="BE285" s="235" t="str">
        <f>BE241</f>
        <v>4Q30</v>
      </c>
      <c r="BF285" s="235">
        <f>BF241</f>
        <v>2030</v>
      </c>
      <c r="BG285" s="235" t="str">
        <f>BG241</f>
        <v>1Q31</v>
      </c>
      <c r="BH285" s="235" t="str">
        <f>BH241</f>
        <v>2Q31</v>
      </c>
      <c r="BI285" s="235" t="str">
        <f>BI241</f>
        <v>3Q31</v>
      </c>
      <c r="BJ285" s="235" t="str">
        <f>BJ241</f>
        <v>4Q31</v>
      </c>
      <c r="BK285" s="235">
        <f>BK241</f>
        <v>2031</v>
      </c>
      <c r="BL285" s="235" t="str">
        <f>BL241</f>
        <v>1Q32</v>
      </c>
      <c r="BM285" s="235" t="str">
        <f>BM241</f>
        <v>2Q32</v>
      </c>
      <c r="BN285" s="235" t="str">
        <f>BN241</f>
        <v>3Q32</v>
      </c>
      <c r="BO285" s="235" t="str">
        <f>BO241</f>
        <v>4Q32</v>
      </c>
      <c r="BP285" s="235">
        <f>BP241</f>
        <v>2032</v>
      </c>
      <c r="BQ285" s="235" t="str">
        <f>BQ241</f>
        <v>1Q33</v>
      </c>
      <c r="BR285" s="235" t="str">
        <f>BR241</f>
        <v>2Q33</v>
      </c>
      <c r="BS285" s="235" t="str">
        <f>BS241</f>
        <v>3Q33</v>
      </c>
      <c r="BT285" s="235" t="str">
        <f>BT241</f>
        <v>4Q33</v>
      </c>
      <c r="BU285" s="235">
        <f>BU241</f>
        <v>2033</v>
      </c>
      <c r="BV285" s="235" t="str">
        <f>BV241</f>
        <v>1Q34</v>
      </c>
      <c r="BW285" s="235" t="str">
        <f>BW241</f>
        <v>2Q34</v>
      </c>
      <c r="BX285" s="235" t="str">
        <f>BX241</f>
        <v>3Q34</v>
      </c>
      <c r="BY285" s="235" t="str">
        <f>BY241</f>
        <v>4Q34</v>
      </c>
      <c r="BZ285" s="235">
        <f>BZ241</f>
        <v>2034</v>
      </c>
      <c r="CA285" s="235" t="str">
        <f>CA241</f>
        <v>1Q35</v>
      </c>
      <c r="CB285" s="235" t="str">
        <f>CB241</f>
        <v>2Q35</v>
      </c>
      <c r="CC285" s="235" t="str">
        <f>CC241</f>
        <v>3Q35</v>
      </c>
      <c r="CD285" s="235" t="str">
        <f>CD241</f>
        <v>4Q35</v>
      </c>
      <c r="CE285" s="235">
        <f>CE241</f>
        <v>2035</v>
      </c>
      <c r="CF285" s="235" t="str">
        <f>CF241</f>
        <v>1Q36</v>
      </c>
      <c r="CG285" s="235" t="str">
        <f>CG241</f>
        <v>2Q36</v>
      </c>
      <c r="CH285" s="235" t="str">
        <f>CH241</f>
        <v>3Q36</v>
      </c>
      <c r="CI285" s="235" t="str">
        <f>CI241</f>
        <v>4Q36</v>
      </c>
      <c r="CJ285" s="235">
        <f>CJ241</f>
        <v>2036</v>
      </c>
      <c r="CK285" s="235" t="str">
        <f>CK241</f>
        <v>1Q37</v>
      </c>
      <c r="CL285" s="235" t="str">
        <f>CL241</f>
        <v>2Q37</v>
      </c>
      <c r="CM285" s="235" t="str">
        <f>CM241</f>
        <v>3Q37</v>
      </c>
      <c r="CN285" s="235" t="str">
        <f>CN241</f>
        <v>4Q37</v>
      </c>
      <c r="CO285" s="235">
        <f>CO241</f>
        <v>2037</v>
      </c>
      <c r="CP285" s="235" t="str">
        <f>CP241</f>
        <v>1Q38</v>
      </c>
      <c r="CQ285" s="235" t="str">
        <f>CQ241</f>
        <v>2Q38</v>
      </c>
      <c r="CR285" s="235" t="str">
        <f>CR241</f>
        <v>3Q38</v>
      </c>
      <c r="CS285" s="235" t="str">
        <f>CS241</f>
        <v>4Q38</v>
      </c>
      <c r="CT285" s="235">
        <f>CT241</f>
        <v>2038</v>
      </c>
      <c r="CU285" s="235" t="str">
        <f>CU241</f>
        <v>1Q39</v>
      </c>
      <c r="CV285" s="235" t="str">
        <f>CV241</f>
        <v>2Q39</v>
      </c>
      <c r="CW285" s="235" t="str">
        <f>CW241</f>
        <v>3Q39</v>
      </c>
      <c r="CX285" s="235" t="str">
        <f>CX241</f>
        <v>4Q39</v>
      </c>
      <c r="CY285" s="235">
        <f>CY241</f>
        <v>2039</v>
      </c>
    </row>
    <row r="286" customFormat="1" s="233">
      <c r="A286" s="224" t="n"/>
      <c r="B286" s="224" t="n"/>
      <c r="C286" s="234" t="inlineStr">
        <is>
          <t>GROWTH &amp; MARGINS</t>
        </is>
      </c>
    </row>
    <row r="287" customFormat="1" s="233">
      <c r="A287" s="224" t="n"/>
      <c r="B287" s="224" t="n"/>
      <c r="C287" s="233" t="inlineStr">
        <is>
          <t>NET REVENUE GROWTH</t>
        </is>
      </c>
      <c r="E287" s="236">
        <f>E15/D15-1</f>
        <v>0.255194805194805</v>
      </c>
      <c r="F287" s="236">
        <f>F15/E15-1</f>
        <v>0.222452146921883</v>
      </c>
      <c r="G287" s="236">
        <f>G15/F15-1</f>
        <v>0.058611933982226</v>
      </c>
      <c r="H287" s="236" t="n"/>
      <c r="I287" s="220">
        <f>I15/H15-1</f>
        <v>-0.660509745127436</v>
      </c>
      <c r="J287" s="220">
        <f>J15/I15-1</f>
        <v>0.149443561208267</v>
      </c>
      <c r="K287" s="220">
        <f>K15/J15-1</f>
        <v>0.0915936683571539</v>
      </c>
      <c r="L287" s="220">
        <f>L15/K15-1</f>
        <v>0.0760242151203716</v>
      </c>
      <c r="M287" s="236" t="n"/>
      <c r="N287" s="220">
        <f>N15/M15-1</f>
        <v>-0.692056178940328</v>
      </c>
      <c r="O287" s="220">
        <f>O15/N15-1</f>
        <v>-0.191119691119691</v>
      </c>
      <c r="P287" s="220">
        <f>P15/O15-1</f>
        <v>-0.115304295942721</v>
      </c>
      <c r="Q287" s="220">
        <f>Q15/P15-1</f>
        <v>0.0202326757713707</v>
      </c>
      <c r="R287" s="236" t="n"/>
      <c r="S287" s="220">
        <f>S15/R15-1</f>
        <v>-0.733372877585823</v>
      </c>
      <c r="T287" s="220">
        <f>T15/S15-1</f>
        <v>0.878058954393771</v>
      </c>
      <c r="U287" s="220">
        <f>U15/T15-1</f>
        <v>0.34152661582883</v>
      </c>
      <c r="V287" s="220">
        <f>V15/U15-1</f>
        <v>0.219812362030905</v>
      </c>
      <c r="W287" s="236" t="n"/>
      <c r="X287" s="220">
        <f>X15/W15-1</f>
        <v>-0.572502544236893</v>
      </c>
      <c r="Y287" s="220">
        <f>Y15/X15-1</f>
        <v>0.153432652434342</v>
      </c>
      <c r="Z287" s="220">
        <f>Z15/Y15-1</f>
        <v>0.167842876165113</v>
      </c>
      <c r="AA287" s="220">
        <f>AA15/Z15-1</f>
        <v>0.121116241947437</v>
      </c>
      <c r="AB287" s="236" t="n"/>
      <c r="AC287" s="220">
        <f>AC15/AB15-1</f>
        <v>-0.662352391242711</v>
      </c>
      <c r="AD287" s="220">
        <f>AD15/AC15-1</f>
        <v>0.0608460805228996</v>
      </c>
      <c r="AE287" s="220">
        <f>AE15/AD15-1</f>
        <v>0.219562287401322</v>
      </c>
      <c r="AF287" s="220">
        <f>AF15/AE15-1</f>
        <v>0.195084727923377</v>
      </c>
      <c r="AG287" s="236" t="n"/>
      <c r="AH287" s="220">
        <f>AH15/AG15-1</f>
        <v>-0.795950689549778</v>
      </c>
      <c r="AI287" s="220">
        <f>AI15/AH15-1</f>
        <v>0.0608460805228996</v>
      </c>
      <c r="AJ287" s="220">
        <f>AJ15/AI15-1</f>
        <v>0.219562287401322</v>
      </c>
      <c r="AK287" s="220">
        <f>AK15/AJ15-1</f>
        <v>0.195084727923377</v>
      </c>
      <c r="AL287" s="236" t="n"/>
      <c r="AM287" s="220">
        <f>AM15/AL15-1</f>
        <v>-0.795950689549778</v>
      </c>
      <c r="AN287" s="220">
        <f>AN15/AM15-1</f>
        <v>0.0608460805228996</v>
      </c>
      <c r="AO287" s="220">
        <f>AO15/AN15-1</f>
        <v>0.219562287401322</v>
      </c>
      <c r="AP287" s="220">
        <f>AP15/AO15-1</f>
        <v>0.195084727923377</v>
      </c>
      <c r="AQ287" s="236" t="n"/>
      <c r="AR287" s="220">
        <f>AR15/AQ15-1</f>
        <v>-0.795950689549778</v>
      </c>
      <c r="AS287" s="220">
        <f>AS15/AR15-1</f>
        <v>0.0608460805228996</v>
      </c>
      <c r="AT287" s="220">
        <f>AT15/AS15-1</f>
        <v>0.219562287401322</v>
      </c>
      <c r="AU287" s="220">
        <f>AU15/AT15-1</f>
        <v>0.195084727923377</v>
      </c>
      <c r="AV287" s="236" t="n"/>
      <c r="AW287" s="220">
        <f>AW15/AV15-1</f>
        <v>-0.795950689549778</v>
      </c>
      <c r="AX287" s="220">
        <f>AX15/AW15-1</f>
        <v>0.0608460805228996</v>
      </c>
      <c r="AY287" s="220">
        <f>AY15/AX15-1</f>
        <v>0.219562287401322</v>
      </c>
      <c r="AZ287" s="220">
        <f>AZ15/AY15-1</f>
        <v>0.195084727923377</v>
      </c>
      <c r="BA287" s="236" t="n"/>
      <c r="BB287" s="220">
        <f>BB15/BA15-1</f>
        <v>-0.795950689549778</v>
      </c>
      <c r="BC287" s="220">
        <f>BC15/BB15-1</f>
        <v>0.0608460805228996</v>
      </c>
      <c r="BD287" s="220">
        <f>BD15/BC15-1</f>
        <v>0.219562287401322</v>
      </c>
      <c r="BE287" s="220">
        <f>BE15/BD15-1</f>
        <v>0.195084727923377</v>
      </c>
      <c r="BF287" s="236" t="n"/>
      <c r="BG287" s="220">
        <f>BG15/BF15-1</f>
        <v>-0.795950689549778</v>
      </c>
      <c r="BH287" s="220">
        <f>BH15/BG15-1</f>
        <v>0.0608460805228996</v>
      </c>
      <c r="BI287" s="220">
        <f>BI15/BH15-1</f>
        <v>0.219562287401322</v>
      </c>
      <c r="BJ287" s="220">
        <f>BJ15/BI15-1</f>
        <v>0.195084727923377</v>
      </c>
      <c r="BK287" s="236" t="n"/>
      <c r="BL287" s="220">
        <f>BL15/BK15-1</f>
        <v>-0.795950689549778</v>
      </c>
      <c r="BM287" s="220">
        <f>BM15/BL15-1</f>
        <v>0.0608460805228996</v>
      </c>
      <c r="BN287" s="220">
        <f>BN15/BM15-1</f>
        <v>0.219562287401322</v>
      </c>
      <c r="BO287" s="220">
        <f>BO15/BN15-1</f>
        <v>0.195084727923377</v>
      </c>
      <c r="BP287" s="236" t="n"/>
      <c r="BQ287" s="220">
        <f>BQ15/BP15-1</f>
        <v>-0.795950689549778</v>
      </c>
      <c r="BR287" s="220">
        <f>BR15/BQ15-1</f>
        <v>0.0608460805228996</v>
      </c>
      <c r="BS287" s="220">
        <f>BS15/BR15-1</f>
        <v>0.219562287401322</v>
      </c>
      <c r="BT287" s="220">
        <f>BT15/BS15-1</f>
        <v>0.195084727923377</v>
      </c>
      <c r="BU287" s="236" t="n"/>
      <c r="BV287" s="220">
        <f>BV15/BU15-1</f>
        <v>-0.795950689549778</v>
      </c>
      <c r="BW287" s="220">
        <f>BW15/BV15-1</f>
        <v>0.0608460805228996</v>
      </c>
      <c r="BX287" s="220">
        <f>BX15/BW15-1</f>
        <v>0.219562287401322</v>
      </c>
      <c r="BY287" s="220">
        <f>BY15/BX15-1</f>
        <v>0.195084727923377</v>
      </c>
      <c r="BZ287" s="236" t="n"/>
      <c r="CA287" s="220">
        <f>CA15/BZ15-1</f>
        <v>-0.795950689549778</v>
      </c>
      <c r="CB287" s="220">
        <f>CB15/CA15-1</f>
        <v>0.0608460805228996</v>
      </c>
      <c r="CC287" s="220">
        <f>CC15/CB15-1</f>
        <v>0.219562287401322</v>
      </c>
      <c r="CD287" s="220">
        <f>CD15/CC15-1</f>
        <v>0.195084727923377</v>
      </c>
      <c r="CE287" s="236" t="n"/>
      <c r="CF287" s="220">
        <f>CF15/CE15-1</f>
        <v>-0.795950689549778</v>
      </c>
      <c r="CG287" s="220">
        <f>CG15/CF15-1</f>
        <v>0.0608460805228996</v>
      </c>
      <c r="CH287" s="220">
        <f>CH15/CG15-1</f>
        <v>0.219562287401322</v>
      </c>
      <c r="CI287" s="220">
        <f>CI15/CH15-1</f>
        <v>0.195084727923377</v>
      </c>
      <c r="CJ287" s="236" t="n"/>
      <c r="CK287" s="220">
        <f>CK15/CJ15-1</f>
        <v>-0.795950689549778</v>
      </c>
      <c r="CL287" s="220">
        <f>CL15/CK15-1</f>
        <v>0.0608460805228996</v>
      </c>
      <c r="CM287" s="220">
        <f>CM15/CL15-1</f>
        <v>0.219562287401322</v>
      </c>
      <c r="CN287" s="220">
        <f>CN15/CM15-1</f>
        <v>0.195084727923377</v>
      </c>
      <c r="CO287" s="236" t="n"/>
      <c r="CP287" s="220">
        <f>CP15/CO15-1</f>
        <v>-0.795950689549778</v>
      </c>
      <c r="CQ287" s="220">
        <f>CQ15/CP15-1</f>
        <v>0.0608460805228996</v>
      </c>
      <c r="CR287" s="220">
        <f>CR15/CQ15-1</f>
        <v>0.219562287401322</v>
      </c>
      <c r="CS287" s="220">
        <f>CS15/CR15-1</f>
        <v>0.195084727923377</v>
      </c>
      <c r="CT287" s="236" t="n"/>
      <c r="CU287" s="220">
        <f>CU15/CT15-1</f>
        <v>-0.795950689549778</v>
      </c>
      <c r="CV287" s="220">
        <f>CV15/CU15-1</f>
        <v>0.0608460805228996</v>
      </c>
      <c r="CW287" s="220">
        <f>CW15/CV15-1</f>
        <v>0.219562287401322</v>
      </c>
      <c r="CX287" s="220">
        <f>CX15/CW15-1</f>
        <v>0.195084727923377</v>
      </c>
      <c r="CY287" s="236" t="n"/>
    </row>
    <row r="288" customFormat="1" s="233">
      <c r="A288" s="224" t="n"/>
      <c r="B288" s="224" t="n"/>
      <c r="C288" s="233" t="inlineStr">
        <is>
          <t>GROSS MARGIN</t>
        </is>
      </c>
      <c r="D288" s="220">
        <f>SUM(D15,D20)/D15</f>
        <v>0.650649350649351</v>
      </c>
      <c r="E288" s="220">
        <f>SUM(E15,E20)/E15</f>
        <v>0.588463528194516</v>
      </c>
      <c r="F288" s="220">
        <f>SUM(F15,F20)/F15</f>
        <v>0.626322471434617</v>
      </c>
      <c r="G288" s="220">
        <f>SUM(G15,G20)/G15</f>
        <v>0.631021387167699</v>
      </c>
      <c r="I288" s="221">
        <f>SUM(I15,I20)/I15</f>
        <v>0.641052817523406</v>
      </c>
      <c r="J288" s="221">
        <f>SUM(J15,J20)/J15</f>
        <v>0.647763946519133</v>
      </c>
      <c r="K288" s="221">
        <f>SUM(K15,K20)/K15</f>
        <v>0.651978037448965</v>
      </c>
      <c r="L288" s="221">
        <f>SUM(L15,L20)/L15</f>
        <v>0.654193379562999</v>
      </c>
      <c r="N288" s="221">
        <f>SUM(N15,N20)/N15</f>
        <v>0.655284749034749</v>
      </c>
      <c r="O288" s="221">
        <f>SUM(O15,O20)/O15</f>
        <v>0.434815035799523</v>
      </c>
      <c r="P288" s="221">
        <f>SUM(P15,P20)/P15</f>
        <v>0.535660091047041</v>
      </c>
      <c r="Q288" s="221">
        <f>SUM(Q15,Q20)/Q15</f>
        <v>0.633449016691456</v>
      </c>
      <c r="S288" s="221">
        <f>SUM(S15,S20)/S15</f>
        <v>0.646273637374861</v>
      </c>
      <c r="T288" s="221">
        <f>SUM(T15,T20)/T15</f>
        <v>0.700525653364922</v>
      </c>
      <c r="U288" s="221">
        <f>SUM(U15,U20)/U15</f>
        <v>0.739514348785872</v>
      </c>
      <c r="V288" s="221">
        <f>SUM(V15,V20)/V15</f>
        <v>0.759670632945754</v>
      </c>
      <c r="X288" s="221">
        <f>SUM(X15,X20)/X15</f>
        <v>0.783520196590386</v>
      </c>
      <c r="Y288" s="221">
        <f>SUM(Y15,Y20)/Y15</f>
        <v>0.751464713715047</v>
      </c>
      <c r="Z288" s="221">
        <f>SUM(Z15,Z20)/Z15</f>
        <v>0.745567527506984</v>
      </c>
      <c r="AA288" s="221">
        <f>SUM(AA15,AA20)/AA15</f>
        <v>0.730263659708627</v>
      </c>
      <c r="AC288" s="221">
        <f>SUM(AC15,AC20)/AC15</f>
        <v>0.60523807362353</v>
      </c>
      <c r="AD288" s="221">
        <f>SUM(AD15,AD20)/AD15</f>
        <v>0.724236784117408</v>
      </c>
      <c r="AE288" s="221">
        <f>SUM(AE15,AE20)/AE15</f>
        <v>0.734115707118549</v>
      </c>
      <c r="AF288" s="221">
        <f>SUM(AF15,AF20)/AF15</f>
        <v>0.749966973446651</v>
      </c>
      <c r="AH288" s="221">
        <f>SUM(AH15,AH20)/AH15</f>
        <v>0</v>
      </c>
      <c r="AI288" s="221">
        <f>SUM(AI15,AI20)/AI15</f>
        <v>0</v>
      </c>
      <c r="AJ288" s="221">
        <f>SUM(AJ15,AJ20)/AJ15</f>
        <v>0</v>
      </c>
      <c r="AK288" s="221">
        <f>SUM(AK15,AK20)/AK15</f>
        <v>0</v>
      </c>
      <c r="AM288" s="221">
        <f>SUM(AM15,AM20)/AM15</f>
        <v>0</v>
      </c>
      <c r="AN288" s="221">
        <f>SUM(AN15,AN20)/AN15</f>
        <v>0</v>
      </c>
      <c r="AO288" s="221">
        <f>SUM(AO15,AO20)/AO15</f>
        <v>0</v>
      </c>
      <c r="AP288" s="221">
        <f>SUM(AP15,AP20)/AP15</f>
        <v>0</v>
      </c>
      <c r="AR288" s="221">
        <f>SUM(AR15,AR20)/AR15</f>
        <v>0</v>
      </c>
      <c r="AS288" s="221">
        <f>SUM(AS15,AS20)/AS15</f>
        <v>0</v>
      </c>
      <c r="AT288" s="221">
        <f>SUM(AT15,AT20)/AT15</f>
        <v>0</v>
      </c>
      <c r="AU288" s="221">
        <f>SUM(AU15,AU20)/AU15</f>
        <v>0</v>
      </c>
      <c r="AW288" s="221">
        <f>SUM(AW15,AW20)/AW15</f>
        <v>0</v>
      </c>
      <c r="AX288" s="221">
        <f>SUM(AX15,AX20)/AX15</f>
        <v>0</v>
      </c>
      <c r="AY288" s="221">
        <f>SUM(AY15,AY20)/AY15</f>
        <v>0</v>
      </c>
      <c r="AZ288" s="221">
        <f>SUM(AZ15,AZ20)/AZ15</f>
        <v>0</v>
      </c>
      <c r="BB288" s="221">
        <f>SUM(BB15,BB20)/BB15</f>
        <v>0</v>
      </c>
      <c r="BC288" s="221">
        <f>SUM(BC15,BC20)/BC15</f>
        <v>0</v>
      </c>
      <c r="BD288" s="221">
        <f>SUM(BD15,BD20)/BD15</f>
        <v>0</v>
      </c>
      <c r="BE288" s="221">
        <f>SUM(BE15,BE20)/BE15</f>
        <v>0</v>
      </c>
      <c r="BG288" s="221">
        <f>SUM(BG15,BG20)/BG15</f>
        <v>0</v>
      </c>
      <c r="BH288" s="221">
        <f>SUM(BH15,BH20)/BH15</f>
        <v>0</v>
      </c>
      <c r="BI288" s="221">
        <f>SUM(BI15,BI20)/BI15</f>
        <v>0</v>
      </c>
      <c r="BJ288" s="221">
        <f>SUM(BJ15,BJ20)/BJ15</f>
        <v>0</v>
      </c>
      <c r="BL288" s="221">
        <f>SUM(BL15,BL20)/BL15</f>
        <v>0</v>
      </c>
      <c r="BM288" s="221">
        <f>SUM(BM15,BM20)/BM15</f>
        <v>0</v>
      </c>
      <c r="BN288" s="221">
        <f>SUM(BN15,BN20)/BN15</f>
        <v>0</v>
      </c>
      <c r="BO288" s="221">
        <f>SUM(BO15,BO20)/BO15</f>
        <v>0</v>
      </c>
      <c r="BQ288" s="221">
        <f>SUM(BQ15,BQ20)/BQ15</f>
        <v>0</v>
      </c>
      <c r="BR288" s="221">
        <f>SUM(BR15,BR20)/BR15</f>
        <v>0</v>
      </c>
      <c r="BS288" s="221">
        <f>SUM(BS15,BS20)/BS15</f>
        <v>0</v>
      </c>
      <c r="BT288" s="221">
        <f>SUM(BT15,BT20)/BT15</f>
        <v>0</v>
      </c>
      <c r="BV288" s="221">
        <f>SUM(BV15,BV20)/BV15</f>
        <v>0</v>
      </c>
      <c r="BW288" s="221">
        <f>SUM(BW15,BW20)/BW15</f>
        <v>0</v>
      </c>
      <c r="BX288" s="221">
        <f>SUM(BX15,BX20)/BX15</f>
        <v>0</v>
      </c>
      <c r="BY288" s="221">
        <f>SUM(BY15,BY20)/BY15</f>
        <v>0</v>
      </c>
      <c r="CA288" s="221">
        <f>SUM(CA15,CA20)/CA15</f>
        <v>0</v>
      </c>
      <c r="CB288" s="221">
        <f>SUM(CB15,CB20)/CB15</f>
        <v>0</v>
      </c>
      <c r="CC288" s="221">
        <f>SUM(CC15,CC20)/CC15</f>
        <v>0</v>
      </c>
      <c r="CD288" s="221">
        <f>SUM(CD15,CD20)/CD15</f>
        <v>0</v>
      </c>
      <c r="CF288" s="221">
        <f>SUM(CF15,CF20)/CF15</f>
        <v>0</v>
      </c>
      <c r="CG288" s="221">
        <f>SUM(CG15,CG20)/CG15</f>
        <v>0</v>
      </c>
      <c r="CH288" s="221">
        <f>SUM(CH15,CH20)/CH15</f>
        <v>0</v>
      </c>
      <c r="CI288" s="221">
        <f>SUM(CI15,CI20)/CI15</f>
        <v>0</v>
      </c>
      <c r="CK288" s="221">
        <f>SUM(CK15,CK20)/CK15</f>
        <v>0</v>
      </c>
      <c r="CL288" s="221">
        <f>SUM(CL15,CL20)/CL15</f>
        <v>0</v>
      </c>
      <c r="CM288" s="221">
        <f>SUM(CM15,CM20)/CM15</f>
        <v>0</v>
      </c>
      <c r="CN288" s="221">
        <f>SUM(CN15,CN20)/CN15</f>
        <v>0</v>
      </c>
      <c r="CP288" s="221">
        <f>SUM(CP15,CP20)/CP15</f>
        <v>0</v>
      </c>
      <c r="CQ288" s="221">
        <f>SUM(CQ15,CQ20)/CQ15</f>
        <v>0</v>
      </c>
      <c r="CR288" s="221">
        <f>SUM(CR15,CR20)/CR15</f>
        <v>0</v>
      </c>
      <c r="CS288" s="221">
        <f>SUM(CS15,CS20)/CS15</f>
        <v>0</v>
      </c>
      <c r="CU288" s="221">
        <f>SUM(CU15,CU20)/CU15</f>
        <v>0</v>
      </c>
      <c r="CV288" s="221">
        <f>SUM(CV15,CV20)/CV15</f>
        <v>0</v>
      </c>
      <c r="CW288" s="221">
        <f>SUM(CW15,CW20)/CW15</f>
        <v>0</v>
      </c>
      <c r="CX288" s="221">
        <f>SUM(CX15,CX20)/CX15</f>
        <v>0</v>
      </c>
    </row>
    <row r="289" customFormat="1" s="233">
      <c r="A289" s="224" t="n"/>
      <c r="B289" s="224" t="n"/>
      <c r="C289" s="233" t="inlineStr">
        <is>
          <t>EBIT MARGIN</t>
        </is>
      </c>
      <c r="D289" s="236">
        <f>(D39/D15)</f>
        <v>0.316883116883117</v>
      </c>
      <c r="E289" s="236">
        <f>(E39/E15)</f>
        <v>0.168391101914123</v>
      </c>
      <c r="F289" s="236">
        <f>(F39/F15)</f>
        <v>0.295810410495133</v>
      </c>
      <c r="G289" s="236">
        <f>(G39/G15)</f>
        <v>0.301219268438937</v>
      </c>
      <c r="I289" s="222">
        <f>(I39/I15)</f>
        <v>0.345521992580816</v>
      </c>
      <c r="J289" s="222">
        <f>(J39/J15)</f>
        <v>0.375595512524973</v>
      </c>
      <c r="K289" s="222">
        <f>(K39/K15)</f>
        <v>0.376038293678727</v>
      </c>
      <c r="L289" s="222">
        <f>(L39/L15)</f>
        <v>0.388590867460421</v>
      </c>
      <c r="N289" s="222">
        <f>(N39/N15)</f>
        <v>0.2253861003861</v>
      </c>
      <c r="O289" s="222">
        <f>(O39/O15)</f>
        <v>0.0744331742243437</v>
      </c>
      <c r="P289" s="222">
        <f>(P39/P15)</f>
        <v>0.101331984488282</v>
      </c>
      <c r="Q289" s="222">
        <f>(Q39/Q15)</f>
        <v>0.207568996860023</v>
      </c>
      <c r="S289" s="222">
        <f>(S39/S15)</f>
        <v>0.297552836484983</v>
      </c>
      <c r="T289" s="222">
        <f>(T39/T15)</f>
        <v>0.503442659361812</v>
      </c>
      <c r="U289" s="222">
        <f>(U39/U15)</f>
        <v>0.574889624724062</v>
      </c>
      <c r="V289" s="222">
        <f>(V39/V15)</f>
        <v>0.6159797312582</v>
      </c>
      <c r="X289" s="222">
        <f>(X39/X15)</f>
        <v>0.649247427430502</v>
      </c>
      <c r="Y289" s="222">
        <f>(Y39/Y15)</f>
        <v>0.620572569906791</v>
      </c>
      <c r="Z289" s="222">
        <f>(Z39/Z15)</f>
        <v>0.623368109001767</v>
      </c>
      <c r="AA289" s="222">
        <f>(AA39/AA15)</f>
        <v>0.611044722992042</v>
      </c>
      <c r="AC289" s="222">
        <f>(AC39/AC15)</f>
        <v>0.491080749852481</v>
      </c>
      <c r="AD289" s="222">
        <f>(AD39/AD15)</f>
        <v>0.608433348308838</v>
      </c>
      <c r="AE289" s="222">
        <f>(AE39/AE15)</f>
        <v>0.631687892502544</v>
      </c>
      <c r="AF289" s="222">
        <f>(AF39/AF15)</f>
        <v>0.650241460801151</v>
      </c>
      <c r="AH289" s="222">
        <f>(AH39/AH15)</f>
        <v>0</v>
      </c>
      <c r="AI289" s="222">
        <f>(AI39/AI15)</f>
        <v>0</v>
      </c>
      <c r="AJ289" s="222">
        <f>(AJ39/AJ15)</f>
        <v>0</v>
      </c>
      <c r="AK289" s="222">
        <f>(AK39/AK15)</f>
        <v>0</v>
      </c>
      <c r="AM289" s="222">
        <f>(AM39/AM15)</f>
        <v>0</v>
      </c>
      <c r="AN289" s="222">
        <f>(AN39/AN15)</f>
        <v>0</v>
      </c>
      <c r="AO289" s="222">
        <f>(AO39/AO15)</f>
        <v>0</v>
      </c>
      <c r="AP289" s="222">
        <f>(AP39/AP15)</f>
        <v>0</v>
      </c>
      <c r="AR289" s="222">
        <f>(AR39/AR15)</f>
        <v>0</v>
      </c>
      <c r="AS289" s="222">
        <f>(AS39/AS15)</f>
        <v>0</v>
      </c>
      <c r="AT289" s="222">
        <f>(AT39/AT15)</f>
        <v>0</v>
      </c>
      <c r="AU289" s="222">
        <f>(AU39/AU15)</f>
        <v>0</v>
      </c>
      <c r="AW289" s="222">
        <f>(AW39/AW15)</f>
        <v>0</v>
      </c>
      <c r="AX289" s="222">
        <f>(AX39/AX15)</f>
        <v>0</v>
      </c>
      <c r="AY289" s="222">
        <f>(AY39/AY15)</f>
        <v>0</v>
      </c>
      <c r="AZ289" s="222">
        <f>(AZ39/AZ15)</f>
        <v>0</v>
      </c>
      <c r="BB289" s="222">
        <f>(BB39/BB15)</f>
        <v>0</v>
      </c>
      <c r="BC289" s="222">
        <f>(BC39/BC15)</f>
        <v>0</v>
      </c>
      <c r="BD289" s="222">
        <f>(BD39/BD15)</f>
        <v>0</v>
      </c>
      <c r="BE289" s="222">
        <f>(BE39/BE15)</f>
        <v>0</v>
      </c>
      <c r="BG289" s="222">
        <f>(BG39/BG15)</f>
        <v>0</v>
      </c>
      <c r="BH289" s="222">
        <f>(BH39/BH15)</f>
        <v>0</v>
      </c>
      <c r="BI289" s="222">
        <f>(BI39/BI15)</f>
        <v>0</v>
      </c>
      <c r="BJ289" s="222">
        <f>(BJ39/BJ15)</f>
        <v>0</v>
      </c>
      <c r="BL289" s="222">
        <f>(BL39/BL15)</f>
        <v>0</v>
      </c>
      <c r="BM289" s="222">
        <f>(BM39/BM15)</f>
        <v>0</v>
      </c>
      <c r="BN289" s="222">
        <f>(BN39/BN15)</f>
        <v>0</v>
      </c>
      <c r="BO289" s="222">
        <f>(BO39/BO15)</f>
        <v>0</v>
      </c>
      <c r="BQ289" s="222">
        <f>(BQ39/BQ15)</f>
        <v>0</v>
      </c>
      <c r="BR289" s="222">
        <f>(BR39/BR15)</f>
        <v>0</v>
      </c>
      <c r="BS289" s="222">
        <f>(BS39/BS15)</f>
        <v>0</v>
      </c>
      <c r="BT289" s="222">
        <f>(BT39/BT15)</f>
        <v>0</v>
      </c>
      <c r="BV289" s="222">
        <f>(BV39/BV15)</f>
        <v>0</v>
      </c>
      <c r="BW289" s="222">
        <f>(BW39/BW15)</f>
        <v>0</v>
      </c>
      <c r="BX289" s="222">
        <f>(BX39/BX15)</f>
        <v>0</v>
      </c>
      <c r="BY289" s="222">
        <f>(BY39/BY15)</f>
        <v>0</v>
      </c>
      <c r="CA289" s="222">
        <f>(CA39/CA15)</f>
        <v>0</v>
      </c>
      <c r="CB289" s="222">
        <f>(CB39/CB15)</f>
        <v>0</v>
      </c>
      <c r="CC289" s="222">
        <f>(CC39/CC15)</f>
        <v>0</v>
      </c>
      <c r="CD289" s="222">
        <f>(CD39/CD15)</f>
        <v>0</v>
      </c>
      <c r="CF289" s="222">
        <f>(CF39/CF15)</f>
        <v>0</v>
      </c>
      <c r="CG289" s="222">
        <f>(CG39/CG15)</f>
        <v>0</v>
      </c>
      <c r="CH289" s="222">
        <f>(CH39/CH15)</f>
        <v>0</v>
      </c>
      <c r="CI289" s="222">
        <f>(CI39/CI15)</f>
        <v>0</v>
      </c>
      <c r="CK289" s="222">
        <f>(CK39/CK15)</f>
        <v>0</v>
      </c>
      <c r="CL289" s="222">
        <f>(CL39/CL15)</f>
        <v>0</v>
      </c>
      <c r="CM289" s="222">
        <f>(CM39/CM15)</f>
        <v>0</v>
      </c>
      <c r="CN289" s="222">
        <f>(CN39/CN15)</f>
        <v>0</v>
      </c>
      <c r="CP289" s="222">
        <f>(CP39/CP15)</f>
        <v>0</v>
      </c>
      <c r="CQ289" s="222">
        <f>(CQ39/CQ15)</f>
        <v>0</v>
      </c>
      <c r="CR289" s="222">
        <f>(CR39/CR15)</f>
        <v>0</v>
      </c>
      <c r="CS289" s="222">
        <f>(CS39/CS15)</f>
        <v>0</v>
      </c>
      <c r="CU289" s="222">
        <f>(CU39/CU15)</f>
        <v>0</v>
      </c>
      <c r="CV289" s="222">
        <f>(CV39/CV15)</f>
        <v>0</v>
      </c>
      <c r="CW289" s="222">
        <f>(CW39/CW15)</f>
        <v>0</v>
      </c>
      <c r="CX289" s="222">
        <f>(CX39/CX15)</f>
        <v>0</v>
      </c>
    </row>
    <row r="290" customFormat="1" s="233">
      <c r="A290" s="224" t="n"/>
      <c r="B290" s="224" t="n"/>
      <c r="C290" s="233" t="inlineStr">
        <is>
          <t>EBITDA MARTGIN</t>
        </is>
      </c>
      <c r="D290" s="236">
        <f>D35/D15</f>
        <v>0.351623376623377</v>
      </c>
      <c r="E290" s="236">
        <f>E35/E15</f>
        <v>0.272891877909985</v>
      </c>
      <c r="F290" s="236">
        <f>F35/F15</f>
        <v>0.359077443927211</v>
      </c>
      <c r="G290" s="236">
        <f>G35/G15</f>
        <v>0.358784729162503</v>
      </c>
      <c r="I290" s="222">
        <f>I35/I15</f>
        <v>0.395159865748101</v>
      </c>
      <c r="J290" s="222">
        <f>J35/J15</f>
        <v>0.419548178884279</v>
      </c>
      <c r="K290" s="222">
        <f>K35/K15</f>
        <v>0.417992397578488</v>
      </c>
      <c r="L290" s="222">
        <f>L35/L15</f>
        <v>0.429020018317415</v>
      </c>
      <c r="N290" s="222">
        <f>N35/N15</f>
        <v>0.265685328185328</v>
      </c>
      <c r="O290" s="222">
        <f>O35/O15</f>
        <v>0.130817422434368</v>
      </c>
      <c r="P290" s="222">
        <f>P35/P15</f>
        <v>0.169785870848086</v>
      </c>
      <c r="Q290" s="222">
        <f>Q35/Q15</f>
        <v>0.277970583374649</v>
      </c>
      <c r="S290" s="222">
        <f>S35/S15</f>
        <v>0.350945494994438</v>
      </c>
      <c r="T290" s="222">
        <f>T35/T15</f>
        <v>0.53046568445991</v>
      </c>
      <c r="U290" s="222">
        <f>U35/U15</f>
        <v>0.595419426048565</v>
      </c>
      <c r="V290" s="222">
        <f>V35/V15</f>
        <v>0.633488666696829</v>
      </c>
      <c r="X290" s="222">
        <f>X35/X15</f>
        <v>0.664990016894486</v>
      </c>
      <c r="Y290" s="222">
        <f>Y35/Y15</f>
        <v>0.634986684420772</v>
      </c>
      <c r="Z290" s="222">
        <f>Z35/Z15</f>
        <v>0.636993329912776</v>
      </c>
      <c r="AA290" s="222">
        <f>AA35/AA15</f>
        <v>0.624850626732094</v>
      </c>
      <c r="AC290" s="222">
        <f>AC35/AC15</f>
        <v>0.504947573873179</v>
      </c>
      <c r="AD290" s="222">
        <f>AD35/AD15</f>
        <v>0.622745651755343</v>
      </c>
      <c r="AE290" s="222">
        <f>AE35/AE15</f>
        <v>0.644861944356734</v>
      </c>
      <c r="AF290" s="222">
        <f>AF35/AF15</f>
        <v>0.662160376943062</v>
      </c>
      <c r="AH290" s="222">
        <f>AH35/AH15</f>
        <v>0</v>
      </c>
      <c r="AI290" s="222">
        <f>AI35/AI15</f>
        <v>0</v>
      </c>
      <c r="AJ290" s="222">
        <f>AJ35/AJ15</f>
        <v>0</v>
      </c>
      <c r="AK290" s="222">
        <f>AK35/AK15</f>
        <v>0</v>
      </c>
      <c r="AM290" s="222">
        <f>AM35/AM15</f>
        <v>0</v>
      </c>
      <c r="AN290" s="222">
        <f>AN35/AN15</f>
        <v>0</v>
      </c>
      <c r="AO290" s="222">
        <f>AO35/AO15</f>
        <v>0</v>
      </c>
      <c r="AP290" s="222">
        <f>AP35/AP15</f>
        <v>0</v>
      </c>
      <c r="AR290" s="222">
        <f>AR35/AR15</f>
        <v>0</v>
      </c>
      <c r="AS290" s="222">
        <f>AS35/AS15</f>
        <v>0</v>
      </c>
      <c r="AT290" s="222">
        <f>AT35/AT15</f>
        <v>0</v>
      </c>
      <c r="AU290" s="222">
        <f>AU35/AU15</f>
        <v>0</v>
      </c>
      <c r="AW290" s="222">
        <f>AW35/AW15</f>
        <v>0</v>
      </c>
      <c r="AX290" s="222">
        <f>AX35/AX15</f>
        <v>0</v>
      </c>
      <c r="AY290" s="222">
        <f>AY35/AY15</f>
        <v>0</v>
      </c>
      <c r="AZ290" s="222">
        <f>AZ35/AZ15</f>
        <v>0</v>
      </c>
      <c r="BB290" s="222">
        <f>BB35/BB15</f>
        <v>0</v>
      </c>
      <c r="BC290" s="222">
        <f>BC35/BC15</f>
        <v>0</v>
      </c>
      <c r="BD290" s="222">
        <f>BD35/BD15</f>
        <v>0</v>
      </c>
      <c r="BE290" s="222">
        <f>BE35/BE15</f>
        <v>0</v>
      </c>
      <c r="BG290" s="222">
        <f>BG35/BG15</f>
        <v>0</v>
      </c>
      <c r="BH290" s="222">
        <f>BH35/BH15</f>
        <v>0</v>
      </c>
      <c r="BI290" s="222">
        <f>BI35/BI15</f>
        <v>0</v>
      </c>
      <c r="BJ290" s="222">
        <f>BJ35/BJ15</f>
        <v>0</v>
      </c>
      <c r="BL290" s="222">
        <f>BL35/BL15</f>
        <v>0</v>
      </c>
      <c r="BM290" s="222">
        <f>BM35/BM15</f>
        <v>0</v>
      </c>
      <c r="BN290" s="222">
        <f>BN35/BN15</f>
        <v>0</v>
      </c>
      <c r="BO290" s="222">
        <f>BO35/BO15</f>
        <v>0</v>
      </c>
      <c r="BQ290" s="222">
        <f>BQ35/BQ15</f>
        <v>0</v>
      </c>
      <c r="BR290" s="222">
        <f>BR35/BR15</f>
        <v>0</v>
      </c>
      <c r="BS290" s="222">
        <f>BS35/BS15</f>
        <v>0</v>
      </c>
      <c r="BT290" s="222">
        <f>BT35/BT15</f>
        <v>0</v>
      </c>
      <c r="BV290" s="222">
        <f>BV35/BV15</f>
        <v>0</v>
      </c>
      <c r="BW290" s="222">
        <f>BW35/BW15</f>
        <v>0</v>
      </c>
      <c r="BX290" s="222">
        <f>BX35/BX15</f>
        <v>0</v>
      </c>
      <c r="BY290" s="222">
        <f>BY35/BY15</f>
        <v>0</v>
      </c>
      <c r="CA290" s="222">
        <f>CA35/CA15</f>
        <v>0</v>
      </c>
      <c r="CB290" s="222">
        <f>CB35/CB15</f>
        <v>0</v>
      </c>
      <c r="CC290" s="222">
        <f>CC35/CC15</f>
        <v>0</v>
      </c>
      <c r="CD290" s="222">
        <f>CD35/CD15</f>
        <v>0</v>
      </c>
      <c r="CF290" s="222">
        <f>CF35/CF15</f>
        <v>0</v>
      </c>
      <c r="CG290" s="222">
        <f>CG35/CG15</f>
        <v>0</v>
      </c>
      <c r="CH290" s="222">
        <f>CH35/CH15</f>
        <v>0</v>
      </c>
      <c r="CI290" s="222">
        <f>CI35/CI15</f>
        <v>0</v>
      </c>
      <c r="CK290" s="222">
        <f>CK35/CK15</f>
        <v>0</v>
      </c>
      <c r="CL290" s="222">
        <f>CL35/CL15</f>
        <v>0</v>
      </c>
      <c r="CM290" s="222">
        <f>CM35/CM15</f>
        <v>0</v>
      </c>
      <c r="CN290" s="222">
        <f>CN35/CN15</f>
        <v>0</v>
      </c>
      <c r="CP290" s="222">
        <f>CP35/CP15</f>
        <v>0</v>
      </c>
      <c r="CQ290" s="222">
        <f>CQ35/CQ15</f>
        <v>0</v>
      </c>
      <c r="CR290" s="222">
        <f>CR35/CR15</f>
        <v>0</v>
      </c>
      <c r="CS290" s="222">
        <f>CS35/CS15</f>
        <v>0</v>
      </c>
      <c r="CU290" s="222">
        <f>CU35/CU15</f>
        <v>0</v>
      </c>
      <c r="CV290" s="222">
        <f>CV35/CV15</f>
        <v>0</v>
      </c>
      <c r="CW290" s="222">
        <f>CW35/CW15</f>
        <v>0</v>
      </c>
      <c r="CX290" s="222">
        <f>CX35/CX15</f>
        <v>0</v>
      </c>
    </row>
    <row r="291" customFormat="1" s="233">
      <c r="A291" s="224" t="n"/>
      <c r="B291" s="224" t="n"/>
      <c r="C291" s="233" t="inlineStr">
        <is>
          <t>ETR</t>
        </is>
      </c>
      <c r="D291" s="236">
        <f>-D97/D96</f>
        <v>0.0652395514780836</v>
      </c>
      <c r="E291" s="236">
        <f>-E97/E96</f>
        <v>-0.0213464696223317</v>
      </c>
      <c r="F291" s="236">
        <f>-F97/F96</f>
        <v>0.00890207715133531</v>
      </c>
      <c r="G291" s="236">
        <f>-G97/G96</f>
        <v>0.00951733514615908</v>
      </c>
      <c r="I291" s="222">
        <f>-I97/I96</f>
        <v>0.0645792563600783</v>
      </c>
      <c r="J291" s="222">
        <f>-J97/J96</f>
        <v>0.00835421888053467</v>
      </c>
      <c r="K291" s="222">
        <f>-K97/K96</f>
        <v>0.065959059893859</v>
      </c>
      <c r="L291" s="222">
        <f>-L97/L96</f>
        <v>-0.0478184991273997</v>
      </c>
      <c r="N291" s="222">
        <f>-N97/N96</f>
        <v>0.103601108033241</v>
      </c>
      <c r="O291" s="222">
        <f>-O97/O96</f>
        <v>-0.381052631578947</v>
      </c>
      <c r="P291" s="222">
        <f>-P97/P96</f>
        <v>-0.109298531810767</v>
      </c>
      <c r="Q291" s="222">
        <f>-Q97/Q96</f>
        <v>-0.0978260869565217</v>
      </c>
      <c r="S291" s="222">
        <f>-S97/S96</f>
        <v>0.0751471253961068</v>
      </c>
      <c r="T291" s="222">
        <f>-T97/T96</f>
        <v>0.113594040968343</v>
      </c>
      <c r="U291" s="222">
        <f>-U97/U96</f>
        <v>0.121554837483368</v>
      </c>
      <c r="V291" s="222">
        <f>-V97/V96</f>
        <v>0.129023110733021</v>
      </c>
      <c r="X291" s="222">
        <f>-X97/X96</f>
        <v>0.138781179466404</v>
      </c>
      <c r="Y291" s="222">
        <f>-Y97/Y96</f>
        <v>0.136098678047257</v>
      </c>
      <c r="Z291" s="222">
        <f>-Z97/Z96</f>
        <v>0.134746370317261</v>
      </c>
      <c r="AA291" s="222">
        <f>-AA97/AA96</f>
        <v>0.123963992544712</v>
      </c>
      <c r="AC291" s="222">
        <f>-AC97/AC96</f>
        <v>0.143085349155637</v>
      </c>
      <c r="AD291" s="222">
        <f>-AD97/AD96</f>
        <v>0.153303851823367</v>
      </c>
      <c r="AE291" s="222">
        <f>-AE97/AE96</f>
        <v>0.158846478279207</v>
      </c>
      <c r="AF291" s="222">
        <f>-AF97/AF96</f>
        <v>0.147585221635779</v>
      </c>
      <c r="AH291" s="222">
        <f>-AH97/AH96</f>
        <v>0</v>
      </c>
      <c r="AI291" s="222">
        <f>-AI97/AI96</f>
        <v>0</v>
      </c>
      <c r="AJ291" s="222">
        <f>-AJ97/AJ96</f>
        <v>0</v>
      </c>
      <c r="AK291" s="222">
        <f>-AK97/AK96</f>
        <v>0</v>
      </c>
      <c r="AM291" s="222">
        <f>-AM97/AM96</f>
        <v>0</v>
      </c>
      <c r="AN291" s="222">
        <f>-AN97/AN96</f>
        <v>0</v>
      </c>
      <c r="AO291" s="222">
        <f>-AO97/AO96</f>
        <v>0</v>
      </c>
      <c r="AP291" s="222">
        <f>-AP97/AP96</f>
        <v>0</v>
      </c>
      <c r="AR291" s="222">
        <f>-AR97/AR96</f>
        <v>0</v>
      </c>
      <c r="AS291" s="222">
        <f>-AS97/AS96</f>
        <v>0</v>
      </c>
      <c r="AT291" s="222">
        <f>-AT97/AT96</f>
        <v>0</v>
      </c>
      <c r="AU291" s="222">
        <f>-AU97/AU96</f>
        <v>0</v>
      </c>
      <c r="AW291" s="222">
        <f>-AW97/AW96</f>
        <v>0</v>
      </c>
      <c r="AX291" s="222">
        <f>-AX97/AX96</f>
        <v>0</v>
      </c>
      <c r="AY291" s="222">
        <f>-AY97/AY96</f>
        <v>0</v>
      </c>
      <c r="AZ291" s="222">
        <f>-AZ97/AZ96</f>
        <v>0</v>
      </c>
      <c r="BB291" s="222">
        <f>-BB97/BB96</f>
        <v>0</v>
      </c>
      <c r="BC291" s="222">
        <f>-BC97/BC96</f>
        <v>0</v>
      </c>
      <c r="BD291" s="222">
        <f>-BD97/BD96</f>
        <v>0</v>
      </c>
      <c r="BE291" s="222">
        <f>-BE97/BE96</f>
        <v>0</v>
      </c>
      <c r="BG291" s="222">
        <f>-BG97/BG96</f>
        <v>0</v>
      </c>
      <c r="BH291" s="222">
        <f>-BH97/BH96</f>
        <v>0</v>
      </c>
      <c r="BI291" s="222">
        <f>-BI97/BI96</f>
        <v>0</v>
      </c>
      <c r="BJ291" s="222">
        <f>-BJ97/BJ96</f>
        <v>0</v>
      </c>
      <c r="BL291" s="222">
        <f>-BL97/BL96</f>
        <v>0</v>
      </c>
      <c r="BM291" s="222">
        <f>-BM97/BM96</f>
        <v>0</v>
      </c>
      <c r="BN291" s="222">
        <f>-BN97/BN96</f>
        <v>0</v>
      </c>
      <c r="BO291" s="222">
        <f>-BO97/BO96</f>
        <v>0</v>
      </c>
      <c r="BQ291" s="222">
        <f>-BQ97/BQ96</f>
        <v>0</v>
      </c>
      <c r="BR291" s="222">
        <f>-BR97/BR96</f>
        <v>0</v>
      </c>
      <c r="BS291" s="222">
        <f>-BS97/BS96</f>
        <v>0</v>
      </c>
      <c r="BT291" s="222">
        <f>-BT97/BT96</f>
        <v>0</v>
      </c>
      <c r="BV291" s="222">
        <f>-BV97/BV96</f>
        <v>0</v>
      </c>
      <c r="BW291" s="222">
        <f>-BW97/BW96</f>
        <v>0</v>
      </c>
      <c r="BX291" s="222">
        <f>-BX97/BX96</f>
        <v>0</v>
      </c>
      <c r="BY291" s="222">
        <f>-BY97/BY96</f>
        <v>0</v>
      </c>
      <c r="CA291" s="222">
        <f>-CA97/CA96</f>
        <v>0</v>
      </c>
      <c r="CB291" s="222">
        <f>-CB97/CB96</f>
        <v>0</v>
      </c>
      <c r="CC291" s="222">
        <f>-CC97/CC96</f>
        <v>0</v>
      </c>
      <c r="CD291" s="222">
        <f>-CD97/CD96</f>
        <v>0</v>
      </c>
      <c r="CF291" s="222">
        <f>-CF97/CF96</f>
        <v>0</v>
      </c>
      <c r="CG291" s="222">
        <f>-CG97/CG96</f>
        <v>0</v>
      </c>
      <c r="CH291" s="222">
        <f>-CH97/CH96</f>
        <v>0</v>
      </c>
      <c r="CI291" s="222">
        <f>-CI97/CI96</f>
        <v>0</v>
      </c>
      <c r="CK291" s="222">
        <f>-CK97/CK96</f>
        <v>0</v>
      </c>
      <c r="CL291" s="222">
        <f>-CL97/CL96</f>
        <v>0</v>
      </c>
      <c r="CM291" s="222">
        <f>-CM97/CM96</f>
        <v>0</v>
      </c>
      <c r="CN291" s="222">
        <f>-CN97/CN96</f>
        <v>0</v>
      </c>
      <c r="CP291" s="222">
        <f>-CP97/CP96</f>
        <v>0</v>
      </c>
      <c r="CQ291" s="222">
        <f>-CQ97/CQ96</f>
        <v>0</v>
      </c>
      <c r="CR291" s="222">
        <f>-CR97/CR96</f>
        <v>0</v>
      </c>
      <c r="CS291" s="222">
        <f>-CS97/CS96</f>
        <v>0</v>
      </c>
      <c r="CU291" s="222">
        <f>-CU97/CU96</f>
        <v>0</v>
      </c>
      <c r="CV291" s="222">
        <f>-CV97/CV96</f>
        <v>0</v>
      </c>
      <c r="CW291" s="222">
        <f>-CW97/CW96</f>
        <v>0</v>
      </c>
      <c r="CX291" s="222">
        <f>-CX97/CX96</f>
        <v>0</v>
      </c>
    </row>
    <row r="292" customFormat="1" s="233">
      <c r="A292" s="224" t="n"/>
      <c r="B292" s="224" t="n"/>
    </row>
    <row r="293" customFormat="1" s="233">
      <c r="A293" s="224" t="n"/>
      <c r="B293" s="224" t="n"/>
      <c r="C293" s="234" t="inlineStr">
        <is>
          <t>CAPITAL STRUCTURE</t>
        </is>
      </c>
    </row>
    <row r="294" customFormat="1" s="233">
      <c r="A294" s="224" t="n"/>
      <c r="B294" s="224" t="n"/>
      <c r="C294" s="233" t="inlineStr">
        <is>
          <t>MARKET DEBT / EQUITY</t>
        </is>
      </c>
    </row>
    <row r="295" customFormat="1" s="233">
      <c r="A295" s="224" t="n"/>
      <c r="B295" s="224" t="n"/>
      <c r="C295" s="233" t="inlineStr">
        <is>
          <t>NET DEBT / (NET DEBT + MARKET CAP)</t>
        </is>
      </c>
    </row>
    <row r="296" customFormat="1" s="233">
      <c r="A296" s="224" t="n"/>
      <c r="B296" s="224" t="n"/>
    </row>
    <row r="297" customFormat="1" s="233">
      <c r="A297" s="224" t="n"/>
      <c r="B297" s="224" t="n"/>
      <c r="C297" s="234" t="inlineStr">
        <is>
          <t>FINANCIAL RISK RATIOS</t>
        </is>
      </c>
    </row>
    <row r="298" customFormat="1" s="233">
      <c r="A298" s="224" t="n"/>
      <c r="B298" s="224" t="n"/>
      <c r="C298" s="233" t="inlineStr">
        <is>
          <t>EBITDA / TOTAL INTEREST</t>
        </is>
      </c>
      <c r="D298" s="219">
        <f>D35/-D40</f>
        <v>43.32</v>
      </c>
      <c r="E298" s="219">
        <f>E35/-E40</f>
        <v>19.537037037037</v>
      </c>
      <c r="F298" s="219">
        <f>F35/-F40</f>
        <v>32.0188679245283</v>
      </c>
      <c r="G298" s="219">
        <f>G35/-G40</f>
        <v>34.5192307692308</v>
      </c>
      <c r="I298" s="219">
        <f>I35/-I40</f>
        <v>42.2075471698113</v>
      </c>
      <c r="J298" s="219">
        <f>J35/-J40</f>
        <v>45.5</v>
      </c>
      <c r="K298" s="219">
        <f>K35/-K40</f>
        <v>47.8870967741936</v>
      </c>
      <c r="L298" s="219">
        <f>L35/-L40</f>
        <v>53.7540983606557</v>
      </c>
      <c r="N298" s="219">
        <f>N35/-N40</f>
        <v>32.3823529411765</v>
      </c>
      <c r="O298" s="219">
        <f>O35/-O40</f>
        <v>13.4923076923077</v>
      </c>
      <c r="P298" s="219">
        <f>P35/-P40</f>
        <v>15.4923076923077</v>
      </c>
      <c r="Q298" s="219">
        <f>Q35/-Q40</f>
        <v>26.28125</v>
      </c>
      <c r="S298" s="219">
        <f>S35/-S40</f>
        <v>38.2424242424242</v>
      </c>
      <c r="T298" s="219">
        <f>T35/-T40</f>
        <v>110.230769230769</v>
      </c>
      <c r="U298" s="219">
        <f>U35/-U40</f>
        <v>171.253968253968</v>
      </c>
      <c r="V298" s="219">
        <f>V35/-V40</f>
        <v>222.253968253968</v>
      </c>
      <c r="X298" s="219">
        <f>X35/-X40</f>
        <v>270.609375</v>
      </c>
      <c r="Y298" s="219">
        <f>Y35/-Y40</f>
        <v>312.704918032787</v>
      </c>
      <c r="Z298" s="219">
        <f>Z35/-Z40</f>
        <v>366.344262295082</v>
      </c>
      <c r="AA298" s="219">
        <f>AA35/-AA40</f>
        <v>402.885245901639</v>
      </c>
      <c r="AC298" s="219">
        <f>AC35/-AC40</f>
        <v>353.15873015873</v>
      </c>
      <c r="AD298" s="219">
        <f>AD35/-AD40</f>
        <v>469.5</v>
      </c>
      <c r="AE298" s="219">
        <f>AE35/-AE40</f>
        <v>602.639344262295</v>
      </c>
      <c r="AF298" s="219">
        <f>AF35/-AF40</f>
        <v>617.958904109589</v>
      </c>
      <c r="AH298" s="219" t="e">
        <f>AH35/-AH40</f>
        <v>#DIV/0!</v>
      </c>
      <c r="AI298" s="219" t="e">
        <f>AI35/-AI40</f>
        <v>#DIV/0!</v>
      </c>
      <c r="AJ298" s="219" t="e">
        <f>AJ35/-AJ40</f>
        <v>#DIV/0!</v>
      </c>
      <c r="AK298" s="219" t="e">
        <f>AK35/-AK40</f>
        <v>#DIV/0!</v>
      </c>
      <c r="AM298" s="219" t="e">
        <f>AM35/-AM40</f>
        <v>#DIV/0!</v>
      </c>
      <c r="AN298" s="219" t="e">
        <f>AN35/-AN40</f>
        <v>#DIV/0!</v>
      </c>
      <c r="AO298" s="219" t="e">
        <f>AO35/-AO40</f>
        <v>#DIV/0!</v>
      </c>
      <c r="AP298" s="219" t="e">
        <f>AP35/-AP40</f>
        <v>#DIV/0!</v>
      </c>
      <c r="AR298" s="219" t="e">
        <f>AR35/-AR40</f>
        <v>#DIV/0!</v>
      </c>
      <c r="AS298" s="219" t="e">
        <f>AS35/-AS40</f>
        <v>#DIV/0!</v>
      </c>
      <c r="AT298" s="219" t="e">
        <f>AT35/-AT40</f>
        <v>#DIV/0!</v>
      </c>
      <c r="AU298" s="219" t="e">
        <f>AU35/-AU40</f>
        <v>#DIV/0!</v>
      </c>
      <c r="AW298" s="219" t="e">
        <f>AW35/-AW40</f>
        <v>#DIV/0!</v>
      </c>
      <c r="AX298" s="219" t="e">
        <f>AX35/-AX40</f>
        <v>#DIV/0!</v>
      </c>
      <c r="AY298" s="219" t="e">
        <f>AY35/-AY40</f>
        <v>#DIV/0!</v>
      </c>
      <c r="AZ298" s="219" t="e">
        <f>AZ35/-AZ40</f>
        <v>#DIV/0!</v>
      </c>
      <c r="BB298" s="219" t="e">
        <f>BB35/-BB40</f>
        <v>#DIV/0!</v>
      </c>
      <c r="BC298" s="219" t="e">
        <f>BC35/-BC40</f>
        <v>#DIV/0!</v>
      </c>
      <c r="BD298" s="219" t="e">
        <f>BD35/-BD40</f>
        <v>#DIV/0!</v>
      </c>
      <c r="BE298" s="219" t="e">
        <f>BE35/-BE40</f>
        <v>#DIV/0!</v>
      </c>
      <c r="BG298" s="219" t="e">
        <f>BG35/-BG40</f>
        <v>#DIV/0!</v>
      </c>
      <c r="BH298" s="219" t="e">
        <f>BH35/-BH40</f>
        <v>#DIV/0!</v>
      </c>
      <c r="BI298" s="219" t="e">
        <f>BI35/-BI40</f>
        <v>#DIV/0!</v>
      </c>
      <c r="BJ298" s="219" t="e">
        <f>BJ35/-BJ40</f>
        <v>#DIV/0!</v>
      </c>
      <c r="BL298" s="219" t="e">
        <f>BL35/-BL40</f>
        <v>#DIV/0!</v>
      </c>
      <c r="BM298" s="219" t="e">
        <f>BM35/-BM40</f>
        <v>#DIV/0!</v>
      </c>
      <c r="BN298" s="219" t="e">
        <f>BN35/-BN40</f>
        <v>#DIV/0!</v>
      </c>
      <c r="BO298" s="219" t="e">
        <f>BO35/-BO40</f>
        <v>#DIV/0!</v>
      </c>
      <c r="BQ298" s="219" t="e">
        <f>BQ35/-BQ40</f>
        <v>#DIV/0!</v>
      </c>
      <c r="BR298" s="219" t="e">
        <f>BR35/-BR40</f>
        <v>#DIV/0!</v>
      </c>
      <c r="BS298" s="219" t="e">
        <f>BS35/-BS40</f>
        <v>#DIV/0!</v>
      </c>
      <c r="BT298" s="219" t="e">
        <f>BT35/-BT40</f>
        <v>#DIV/0!</v>
      </c>
      <c r="BV298" s="219" t="e">
        <f>BV35/-BV40</f>
        <v>#DIV/0!</v>
      </c>
      <c r="BW298" s="219" t="e">
        <f>BW35/-BW40</f>
        <v>#DIV/0!</v>
      </c>
      <c r="BX298" s="219" t="e">
        <f>BX35/-BX40</f>
        <v>#DIV/0!</v>
      </c>
      <c r="BY298" s="219" t="e">
        <f>BY35/-BY40</f>
        <v>#DIV/0!</v>
      </c>
      <c r="CA298" s="219" t="e">
        <f>CA35/-CA40</f>
        <v>#DIV/0!</v>
      </c>
      <c r="CB298" s="219" t="e">
        <f>CB35/-CB40</f>
        <v>#DIV/0!</v>
      </c>
      <c r="CC298" s="219" t="e">
        <f>CC35/-CC40</f>
        <v>#DIV/0!</v>
      </c>
      <c r="CD298" s="219" t="e">
        <f>CD35/-CD40</f>
        <v>#DIV/0!</v>
      </c>
      <c r="CF298" s="219" t="e">
        <f>CF35/-CF40</f>
        <v>#DIV/0!</v>
      </c>
      <c r="CG298" s="219" t="e">
        <f>CG35/-CG40</f>
        <v>#DIV/0!</v>
      </c>
      <c r="CH298" s="219" t="e">
        <f>CH35/-CH40</f>
        <v>#DIV/0!</v>
      </c>
      <c r="CI298" s="219" t="e">
        <f>CI35/-CI40</f>
        <v>#DIV/0!</v>
      </c>
      <c r="CK298" s="219" t="e">
        <f>CK35/-CK40</f>
        <v>#DIV/0!</v>
      </c>
      <c r="CL298" s="219" t="e">
        <f>CL35/-CL40</f>
        <v>#DIV/0!</v>
      </c>
      <c r="CM298" s="219" t="e">
        <f>CM35/-CM40</f>
        <v>#DIV/0!</v>
      </c>
      <c r="CN298" s="219" t="e">
        <f>CN35/-CN40</f>
        <v>#DIV/0!</v>
      </c>
      <c r="CP298" s="219" t="e">
        <f>CP35/-CP40</f>
        <v>#DIV/0!</v>
      </c>
      <c r="CQ298" s="219" t="e">
        <f>CQ35/-CQ40</f>
        <v>#DIV/0!</v>
      </c>
      <c r="CR298" s="219" t="e">
        <f>CR35/-CR40</f>
        <v>#DIV/0!</v>
      </c>
      <c r="CS298" s="219" t="e">
        <f>CS35/-CS40</f>
        <v>#DIV/0!</v>
      </c>
      <c r="CU298" s="219" t="e">
        <f>CU35/-CU40</f>
        <v>#DIV/0!</v>
      </c>
      <c r="CV298" s="219" t="e">
        <f>CV35/-CV40</f>
        <v>#DIV/0!</v>
      </c>
      <c r="CW298" s="219" t="e">
        <f>CW35/-CW40</f>
        <v>#DIV/0!</v>
      </c>
      <c r="CX298" s="219" t="e">
        <f>CX35/-CX40</f>
        <v>#DIV/0!</v>
      </c>
    </row>
    <row r="299" customFormat="1" s="233">
      <c r="A299" s="224" t="n"/>
      <c r="B299" s="224" t="n"/>
      <c r="C299" s="233" t="inlineStr">
        <is>
          <t>(EBITDA - CAPEX) / TOTAL INTEREST</t>
        </is>
      </c>
      <c r="D299" s="219">
        <f>(D35-D134)/-D40</f>
        <v>43.32</v>
      </c>
      <c r="E299" s="219">
        <f>(E35-E134)/-E40</f>
        <v>7.44444444444445</v>
      </c>
      <c r="F299" s="219">
        <f>(F35-F134)/-F40</f>
        <v>24.5849056603774</v>
      </c>
      <c r="G299" s="219">
        <f>(G35-G134)/-G40</f>
        <v>27.25</v>
      </c>
      <c r="I299" s="219">
        <f>(I35-I134)/-I40</f>
        <v>34.6603773584906</v>
      </c>
      <c r="J299" s="219">
        <f>(J35-J134)/-J40</f>
        <v>39.1333333333333</v>
      </c>
      <c r="K299" s="219">
        <f>(K35-K134)/-K40</f>
        <v>40.741935483871</v>
      </c>
      <c r="L299" s="219">
        <f>(L35-L134)/-L40</f>
        <v>44.2786885245902</v>
      </c>
      <c r="N299" s="219">
        <f>(N35-N134)/-N40</f>
        <v>25.4411764705882</v>
      </c>
      <c r="O299" s="219">
        <f>(O35-O134)/-O40</f>
        <v>2.8</v>
      </c>
      <c r="P299" s="219">
        <f>(P35-P134)/-P40</f>
        <v>0.923076923076923</v>
      </c>
      <c r="Q299" s="219">
        <f>(Q35-Q134)/-Q40</f>
        <v>19.109375</v>
      </c>
      <c r="S299" s="219">
        <f>(S35-S134)/-S40</f>
        <v>33.4393939393939</v>
      </c>
      <c r="T299" s="219">
        <f>(T35-T134)/-T40</f>
        <v>103.707692307692</v>
      </c>
      <c r="U299" s="219">
        <f>(U35-U134)/-U40</f>
        <v>164.634920634921</v>
      </c>
      <c r="V299" s="219">
        <f>(V35-V134)/-V40</f>
        <v>215</v>
      </c>
      <c r="X299" s="219">
        <f>(X35-X134)/-X40</f>
        <v>262.765625</v>
      </c>
      <c r="Y299" s="219">
        <f>(Y35-Y134)/-Y40</f>
        <v>291.196721311475</v>
      </c>
      <c r="Z299" s="219">
        <f>(Z35-Z134)/-Z40</f>
        <v>351</v>
      </c>
      <c r="AA299" s="219">
        <f>(AA35-AA134)/-AA40</f>
        <v>378.573770491803</v>
      </c>
      <c r="AC299" s="219">
        <f>(AC35-AC134)/-AC40</f>
        <v>329.920634920635</v>
      </c>
      <c r="AD299" s="219">
        <f>(AD35-AD134)/-AD40</f>
        <v>426.370967741936</v>
      </c>
      <c r="AE299" s="219">
        <f>(AE35-AE134)/-AE40</f>
        <v>579.852459016394</v>
      </c>
      <c r="AF299" s="219">
        <f>(AF35-AF134)/-AF40</f>
        <v>598.575342465754</v>
      </c>
      <c r="AH299" s="219" t="e">
        <f>(AH35-AH134)/-AH40</f>
        <v>#DIV/0!</v>
      </c>
      <c r="AI299" s="219" t="e">
        <f>(AI35-AI134)/-AI40</f>
        <v>#DIV/0!</v>
      </c>
      <c r="AJ299" s="219" t="e">
        <f>(AJ35-AJ134)/-AJ40</f>
        <v>#DIV/0!</v>
      </c>
      <c r="AK299" s="219" t="e">
        <f>(AK35-AK134)/-AK40</f>
        <v>#DIV/0!</v>
      </c>
      <c r="AM299" s="219" t="e">
        <f>(AM35-AM134)/-AM40</f>
        <v>#DIV/0!</v>
      </c>
      <c r="AN299" s="219" t="e">
        <f>(AN35-AN134)/-AN40</f>
        <v>#DIV/0!</v>
      </c>
      <c r="AO299" s="219" t="e">
        <f>(AO35-AO134)/-AO40</f>
        <v>#DIV/0!</v>
      </c>
      <c r="AP299" s="219" t="e">
        <f>(AP35-AP134)/-AP40</f>
        <v>#DIV/0!</v>
      </c>
      <c r="AR299" s="219" t="e">
        <f>(AR35-AR134)/-AR40</f>
        <v>#DIV/0!</v>
      </c>
      <c r="AS299" s="219" t="e">
        <f>(AS35-AS134)/-AS40</f>
        <v>#DIV/0!</v>
      </c>
      <c r="AT299" s="219" t="e">
        <f>(AT35-AT134)/-AT40</f>
        <v>#DIV/0!</v>
      </c>
      <c r="AU299" s="219" t="e">
        <f>(AU35-AU134)/-AU40</f>
        <v>#DIV/0!</v>
      </c>
      <c r="AW299" s="219" t="e">
        <f>(AW35-AW134)/-AW40</f>
        <v>#DIV/0!</v>
      </c>
      <c r="AX299" s="219" t="e">
        <f>(AX35-AX134)/-AX40</f>
        <v>#DIV/0!</v>
      </c>
      <c r="AY299" s="219" t="e">
        <f>(AY35-AY134)/-AY40</f>
        <v>#DIV/0!</v>
      </c>
      <c r="AZ299" s="219" t="e">
        <f>(AZ35-AZ134)/-AZ40</f>
        <v>#DIV/0!</v>
      </c>
      <c r="BB299" s="219" t="e">
        <f>(BB35-BB134)/-BB40</f>
        <v>#DIV/0!</v>
      </c>
      <c r="BC299" s="219" t="e">
        <f>(BC35-BC134)/-BC40</f>
        <v>#DIV/0!</v>
      </c>
      <c r="BD299" s="219" t="e">
        <f>(BD35-BD134)/-BD40</f>
        <v>#DIV/0!</v>
      </c>
      <c r="BE299" s="219" t="e">
        <f>(BE35-BE134)/-BE40</f>
        <v>#DIV/0!</v>
      </c>
      <c r="BG299" s="219" t="e">
        <f>(BG35-BG134)/-BG40</f>
        <v>#DIV/0!</v>
      </c>
      <c r="BH299" s="219" t="e">
        <f>(BH35-BH134)/-BH40</f>
        <v>#DIV/0!</v>
      </c>
      <c r="BI299" s="219" t="e">
        <f>(BI35-BI134)/-BI40</f>
        <v>#DIV/0!</v>
      </c>
      <c r="BJ299" s="219" t="e">
        <f>(BJ35-BJ134)/-BJ40</f>
        <v>#DIV/0!</v>
      </c>
      <c r="BL299" s="219" t="e">
        <f>(BL35-BL134)/-BL40</f>
        <v>#DIV/0!</v>
      </c>
      <c r="BM299" s="219" t="e">
        <f>(BM35-BM134)/-BM40</f>
        <v>#DIV/0!</v>
      </c>
      <c r="BN299" s="219" t="e">
        <f>(BN35-BN134)/-BN40</f>
        <v>#DIV/0!</v>
      </c>
      <c r="BO299" s="219" t="e">
        <f>(BO35-BO134)/-BO40</f>
        <v>#DIV/0!</v>
      </c>
      <c r="BQ299" s="219" t="e">
        <f>(BQ35-BQ134)/-BQ40</f>
        <v>#DIV/0!</v>
      </c>
      <c r="BR299" s="219" t="e">
        <f>(BR35-BR134)/-BR40</f>
        <v>#DIV/0!</v>
      </c>
      <c r="BS299" s="219" t="e">
        <f>(BS35-BS134)/-BS40</f>
        <v>#DIV/0!</v>
      </c>
      <c r="BT299" s="219" t="e">
        <f>(BT35-BT134)/-BT40</f>
        <v>#DIV/0!</v>
      </c>
      <c r="BV299" s="219" t="e">
        <f>(BV35-BV134)/-BV40</f>
        <v>#DIV/0!</v>
      </c>
      <c r="BW299" s="219" t="e">
        <f>(BW35-BW134)/-BW40</f>
        <v>#DIV/0!</v>
      </c>
      <c r="BX299" s="219" t="e">
        <f>(BX35-BX134)/-BX40</f>
        <v>#DIV/0!</v>
      </c>
      <c r="BY299" s="219" t="e">
        <f>(BY35-BY134)/-BY40</f>
        <v>#DIV/0!</v>
      </c>
      <c r="CA299" s="219" t="e">
        <f>(CA35-CA134)/-CA40</f>
        <v>#DIV/0!</v>
      </c>
      <c r="CB299" s="219" t="e">
        <f>(CB35-CB134)/-CB40</f>
        <v>#DIV/0!</v>
      </c>
      <c r="CC299" s="219" t="e">
        <f>(CC35-CC134)/-CC40</f>
        <v>#DIV/0!</v>
      </c>
      <c r="CD299" s="219" t="e">
        <f>(CD35-CD134)/-CD40</f>
        <v>#DIV/0!</v>
      </c>
      <c r="CF299" s="219" t="e">
        <f>(CF35-CF134)/-CF40</f>
        <v>#DIV/0!</v>
      </c>
      <c r="CG299" s="219" t="e">
        <f>(CG35-CG134)/-CG40</f>
        <v>#DIV/0!</v>
      </c>
      <c r="CH299" s="219" t="e">
        <f>(CH35-CH134)/-CH40</f>
        <v>#DIV/0!</v>
      </c>
      <c r="CI299" s="219" t="e">
        <f>(CI35-CI134)/-CI40</f>
        <v>#DIV/0!</v>
      </c>
      <c r="CK299" s="219" t="e">
        <f>(CK35-CK134)/-CK40</f>
        <v>#DIV/0!</v>
      </c>
      <c r="CL299" s="219" t="e">
        <f>(CL35-CL134)/-CL40</f>
        <v>#DIV/0!</v>
      </c>
      <c r="CM299" s="219" t="e">
        <f>(CM35-CM134)/-CM40</f>
        <v>#DIV/0!</v>
      </c>
      <c r="CN299" s="219" t="e">
        <f>(CN35-CN134)/-CN40</f>
        <v>#DIV/0!</v>
      </c>
      <c r="CP299" s="219" t="e">
        <f>(CP35-CP134)/-CP40</f>
        <v>#DIV/0!</v>
      </c>
      <c r="CQ299" s="219" t="e">
        <f>(CQ35-CQ134)/-CQ40</f>
        <v>#DIV/0!</v>
      </c>
      <c r="CR299" s="219" t="e">
        <f>(CR35-CR134)/-CR40</f>
        <v>#DIV/0!</v>
      </c>
      <c r="CS299" s="219" t="e">
        <f>(CS35-CS134)/-CS40</f>
        <v>#DIV/0!</v>
      </c>
      <c r="CU299" s="219" t="e">
        <f>(CU35-CU134)/-CU40</f>
        <v>#DIV/0!</v>
      </c>
      <c r="CV299" s="219" t="e">
        <f>(CV35-CV134)/-CV40</f>
        <v>#DIV/0!</v>
      </c>
      <c r="CW299" s="219" t="e">
        <f>(CW35-CW134)/-CW40</f>
        <v>#DIV/0!</v>
      </c>
      <c r="CX299" s="219" t="e">
        <f>(CX35-CX134)/-CX40</f>
        <v>#DIV/0!</v>
      </c>
    </row>
    <row r="300" customFormat="1" s="233">
      <c r="A300" s="224" t="n"/>
      <c r="B300" s="224" t="n"/>
      <c r="C300" s="233" t="inlineStr">
        <is>
          <t>TOTAL DEBT / EBITDA</t>
        </is>
      </c>
      <c r="D300" s="219" t="e">
        <f>SUM(D178,D179,D180,D183,D201,D204)/D16</f>
        <v>#DIV/0!</v>
      </c>
      <c r="E300" s="219" t="e">
        <f>SUM(E178,E179,E180,E183,E201,E204)/E16</f>
        <v>#DIV/0!</v>
      </c>
      <c r="F300" s="219" t="e">
        <f>SUM(F178,F179,F180,F183,F201,F204)/F16</f>
        <v>#DIV/0!</v>
      </c>
      <c r="G300" s="219" t="e">
        <f>SUM(G178,G179,G180,G183,G201,G204)/G16</f>
        <v>#DIV/0!</v>
      </c>
      <c r="I300" s="219" t="e">
        <f>SUM(I178,I179,I180,I183,I201,I204)/I16</f>
        <v>#DIV/0!</v>
      </c>
      <c r="J300" s="219" t="e">
        <f>SUM(J178,J179,J180,J183,J201,J204)/J16</f>
        <v>#DIV/0!</v>
      </c>
      <c r="K300" s="219" t="e">
        <f>SUM(K178,K179,K180,K183,K201,K204)/K16</f>
        <v>#DIV/0!</v>
      </c>
      <c r="L300" s="219" t="e">
        <f>SUM(L178,L179,L180,L183,L201,L204)/L16</f>
        <v>#DIV/0!</v>
      </c>
      <c r="N300" s="219">
        <f>SUM(N178,N179,N180,N183,N201,N204)/N16</f>
        <v>25527.2957746479</v>
      </c>
      <c r="O300" s="219">
        <f>SUM(O178,O179,O180,O183,O201,O204)/O16</f>
        <v>390981.517766497</v>
      </c>
      <c r="P300" s="219">
        <f>SUM(P178,P179,P180,P183,P201,P204)/P16</f>
        <v>-72145.1467576792</v>
      </c>
      <c r="Q300" s="219">
        <f>SUM(Q178,Q179,Q180,Q183,Q201,Q204)/Q16</f>
        <v>-57759.3800251256</v>
      </c>
      <c r="S300" s="219">
        <f>SUM(S178,S179,S180,S183,S201,S204)/S16</f>
        <v>-91349.4890510949</v>
      </c>
      <c r="T300" s="219">
        <f>SUM(T178,T179,T180,T183,T201,T204)/T16</f>
        <v>10794.5929736881</v>
      </c>
      <c r="U300" s="219">
        <f>SUM(U178,U179,U180,U183,U201,U204)/U16</f>
        <v>5365.58675855279</v>
      </c>
      <c r="V300" s="219">
        <f>SUM(V178,V179,V180,V183,V201,V204)/V16</f>
        <v>4167.69598803887</v>
      </c>
      <c r="X300" s="219">
        <f>SUM(X178,X179,X180,X183,X201,X204)/X16</f>
        <v>4286.89284956503</v>
      </c>
      <c r="Y300" s="219">
        <f>SUM(Y178,Y179,Y180,Y183,Y201,Y204)/Y16</f>
        <v>8181.97574547874</v>
      </c>
      <c r="Z300" s="219">
        <f>SUM(Z178,Z179,Z180,Z183,Z201,Z204)/Z16</f>
        <v>10923.063318005</v>
      </c>
      <c r="AA300" s="219">
        <f>SUM(AA178,AA179,AA180,AA183,AA201,AA204)/AA16</f>
        <v>13176.0976317622</v>
      </c>
      <c r="AC300" s="219">
        <f>SUM(AC178,AC179,AC180,AC183,AC201,AC204)/AC16</f>
        <v>14866.3858363858</v>
      </c>
      <c r="AD300" s="219">
        <f>SUM(AD178,AD179,AD180,AD183,AD201,AD204)/AD16</f>
        <v>19060.2837813566</v>
      </c>
      <c r="AE300" s="219">
        <f>SUM(AE178,AE179,AE180,AE183,AE201,AE204)/AE16</f>
        <v>17316.9770114943</v>
      </c>
      <c r="AF300" s="219">
        <f>SUM(AF178,AF179,AF180,AF183,AF201,AF204)/AF16</f>
        <v>15587.0736213363</v>
      </c>
      <c r="AH300" s="219" t="e">
        <f>SUM(AH178,AH179,AH180,AH183,AH201,AH204)/AH16</f>
        <v>#DIV/0!</v>
      </c>
      <c r="AI300" s="219" t="e">
        <f>SUM(AI178,AI179,AI180,AI183,AI201,AI204)/AI16</f>
        <v>#DIV/0!</v>
      </c>
      <c r="AJ300" s="219" t="e">
        <f>SUM(AJ178,AJ179,AJ180,AJ183,AJ201,AJ204)/AJ16</f>
        <v>#DIV/0!</v>
      </c>
      <c r="AK300" s="219" t="e">
        <f>SUM(AK178,AK179,AK180,AK183,AK201,AK204)/AK16</f>
        <v>#DIV/0!</v>
      </c>
      <c r="AM300" s="219" t="e">
        <f>SUM(AM178,AM179,AM180,AM183,AM201,AM204)/AM16</f>
        <v>#DIV/0!</v>
      </c>
      <c r="AN300" s="219" t="e">
        <f>SUM(AN178,AN179,AN180,AN183,AN201,AN204)/AN16</f>
        <v>#DIV/0!</v>
      </c>
      <c r="AO300" s="219" t="e">
        <f>SUM(AO178,AO179,AO180,AO183,AO201,AO204)/AO16</f>
        <v>#DIV/0!</v>
      </c>
      <c r="AP300" s="219" t="e">
        <f>SUM(AP178,AP179,AP180,AP183,AP201,AP204)/AP16</f>
        <v>#DIV/0!</v>
      </c>
      <c r="AR300" s="219" t="e">
        <f>SUM(AR178,AR179,AR180,AR183,AR201,AR204)/AR16</f>
        <v>#DIV/0!</v>
      </c>
      <c r="AS300" s="219" t="e">
        <f>SUM(AS178,AS179,AS180,AS183,AS201,AS204)/AS16</f>
        <v>#DIV/0!</v>
      </c>
      <c r="AT300" s="219" t="e">
        <f>SUM(AT178,AT179,AT180,AT183,AT201,AT204)/AT16</f>
        <v>#DIV/0!</v>
      </c>
      <c r="AU300" s="219" t="e">
        <f>SUM(AU178,AU179,AU180,AU183,AU201,AU204)/AU16</f>
        <v>#DIV/0!</v>
      </c>
      <c r="AW300" s="219" t="e">
        <f>SUM(AW178,AW179,AW180,AW183,AW201,AW204)/AW16</f>
        <v>#DIV/0!</v>
      </c>
      <c r="AX300" s="219" t="e">
        <f>SUM(AX178,AX179,AX180,AX183,AX201,AX204)/AX16</f>
        <v>#DIV/0!</v>
      </c>
      <c r="AY300" s="219" t="e">
        <f>SUM(AY178,AY179,AY180,AY183,AY201,AY204)/AY16</f>
        <v>#DIV/0!</v>
      </c>
      <c r="AZ300" s="219" t="e">
        <f>SUM(AZ178,AZ179,AZ180,AZ183,AZ201,AZ204)/AZ16</f>
        <v>#DIV/0!</v>
      </c>
      <c r="BB300" s="219" t="e">
        <f>SUM(BB178,BB179,BB180,BB183,BB201,BB204)/BB16</f>
        <v>#DIV/0!</v>
      </c>
      <c r="BC300" s="219" t="e">
        <f>SUM(BC178,BC179,BC180,BC183,BC201,BC204)/BC16</f>
        <v>#DIV/0!</v>
      </c>
      <c r="BD300" s="219" t="e">
        <f>SUM(BD178,BD179,BD180,BD183,BD201,BD204)/BD16</f>
        <v>#DIV/0!</v>
      </c>
      <c r="BE300" s="219" t="e">
        <f>SUM(BE178,BE179,BE180,BE183,BE201,BE204)/BE16</f>
        <v>#DIV/0!</v>
      </c>
      <c r="BG300" s="219" t="e">
        <f>SUM(BG178,BG179,BG180,BG183,BG201,BG204)/BG16</f>
        <v>#DIV/0!</v>
      </c>
      <c r="BH300" s="219" t="e">
        <f>SUM(BH178,BH179,BH180,BH183,BH201,BH204)/BH16</f>
        <v>#DIV/0!</v>
      </c>
      <c r="BI300" s="219" t="e">
        <f>SUM(BI178,BI179,BI180,BI183,BI201,BI204)/BI16</f>
        <v>#DIV/0!</v>
      </c>
      <c r="BJ300" s="219" t="e">
        <f>SUM(BJ178,BJ179,BJ180,BJ183,BJ201,BJ204)/BJ16</f>
        <v>#DIV/0!</v>
      </c>
      <c r="BL300" s="219" t="e">
        <f>SUM(BL178,BL179,BL180,BL183,BL201,BL204)/BL16</f>
        <v>#DIV/0!</v>
      </c>
      <c r="BM300" s="219" t="e">
        <f>SUM(BM178,BM179,BM180,BM183,BM201,BM204)/BM16</f>
        <v>#DIV/0!</v>
      </c>
      <c r="BN300" s="219" t="e">
        <f>SUM(BN178,BN179,BN180,BN183,BN201,BN204)/BN16</f>
        <v>#DIV/0!</v>
      </c>
      <c r="BO300" s="219" t="e">
        <f>SUM(BO178,BO179,BO180,BO183,BO201,BO204)/BO16</f>
        <v>#DIV/0!</v>
      </c>
      <c r="BQ300" s="219" t="e">
        <f>SUM(BQ178,BQ179,BQ180,BQ183,BQ201,BQ204)/BQ16</f>
        <v>#DIV/0!</v>
      </c>
      <c r="BR300" s="219" t="e">
        <f>SUM(BR178,BR179,BR180,BR183,BR201,BR204)/BR16</f>
        <v>#DIV/0!</v>
      </c>
      <c r="BS300" s="219" t="e">
        <f>SUM(BS178,BS179,BS180,BS183,BS201,BS204)/BS16</f>
        <v>#DIV/0!</v>
      </c>
      <c r="BT300" s="219" t="e">
        <f>SUM(BT178,BT179,BT180,BT183,BT201,BT204)/BT16</f>
        <v>#DIV/0!</v>
      </c>
      <c r="BV300" s="219" t="e">
        <f>SUM(BV178,BV179,BV180,BV183,BV201,BV204)/BV16</f>
        <v>#DIV/0!</v>
      </c>
      <c r="BW300" s="219" t="e">
        <f>SUM(BW178,BW179,BW180,BW183,BW201,BW204)/BW16</f>
        <v>#DIV/0!</v>
      </c>
      <c r="BX300" s="219" t="e">
        <f>SUM(BX178,BX179,BX180,BX183,BX201,BX204)/BX16</f>
        <v>#DIV/0!</v>
      </c>
      <c r="BY300" s="219" t="e">
        <f>SUM(BY178,BY179,BY180,BY183,BY201,BY204)/BY16</f>
        <v>#DIV/0!</v>
      </c>
      <c r="CA300" s="219" t="e">
        <f>SUM(CA178,CA179,CA180,CA183,CA201,CA204)/CA16</f>
        <v>#DIV/0!</v>
      </c>
      <c r="CB300" s="219" t="e">
        <f>SUM(CB178,CB179,CB180,CB183,CB201,CB204)/CB16</f>
        <v>#DIV/0!</v>
      </c>
      <c r="CC300" s="219" t="e">
        <f>SUM(CC178,CC179,CC180,CC183,CC201,CC204)/CC16</f>
        <v>#DIV/0!</v>
      </c>
      <c r="CD300" s="219" t="e">
        <f>SUM(CD178,CD179,CD180,CD183,CD201,CD204)/CD16</f>
        <v>#DIV/0!</v>
      </c>
      <c r="CF300" s="219" t="e">
        <f>SUM(CF178,CF179,CF180,CF183,CF201,CF204)/CF16</f>
        <v>#DIV/0!</v>
      </c>
      <c r="CG300" s="219" t="e">
        <f>SUM(CG178,CG179,CG180,CG183,CG201,CG204)/CG16</f>
        <v>#DIV/0!</v>
      </c>
      <c r="CH300" s="219" t="e">
        <f>SUM(CH178,CH179,CH180,CH183,CH201,CH204)/CH16</f>
        <v>#DIV/0!</v>
      </c>
      <c r="CI300" s="219" t="e">
        <f>SUM(CI178,CI179,CI180,CI183,CI201,CI204)/CI16</f>
        <v>#DIV/0!</v>
      </c>
      <c r="CK300" s="219" t="e">
        <f>SUM(CK178,CK179,CK180,CK183,CK201,CK204)/CK16</f>
        <v>#DIV/0!</v>
      </c>
      <c r="CL300" s="219" t="e">
        <f>SUM(CL178,CL179,CL180,CL183,CL201,CL204)/CL16</f>
        <v>#DIV/0!</v>
      </c>
      <c r="CM300" s="219" t="e">
        <f>SUM(CM178,CM179,CM180,CM183,CM201,CM204)/CM16</f>
        <v>#DIV/0!</v>
      </c>
      <c r="CN300" s="219" t="e">
        <f>SUM(CN178,CN179,CN180,CN183,CN201,CN204)/CN16</f>
        <v>#DIV/0!</v>
      </c>
      <c r="CP300" s="219" t="e">
        <f>SUM(CP178,CP179,CP180,CP183,CP201,CP204)/CP16</f>
        <v>#DIV/0!</v>
      </c>
      <c r="CQ300" s="219" t="e">
        <f>SUM(CQ178,CQ179,CQ180,CQ183,CQ201,CQ204)/CQ16</f>
        <v>#DIV/0!</v>
      </c>
      <c r="CR300" s="219" t="e">
        <f>SUM(CR178,CR179,CR180,CR183,CR201,CR204)/CR16</f>
        <v>#DIV/0!</v>
      </c>
      <c r="CS300" s="219" t="e">
        <f>SUM(CS178,CS179,CS180,CS183,CS201,CS204)/CS16</f>
        <v>#DIV/0!</v>
      </c>
      <c r="CU300" s="219" t="e">
        <f>SUM(CU178,CU179,CU180,CU183,CU201,CU204)/CU16</f>
        <v>#DIV/0!</v>
      </c>
      <c r="CV300" s="219" t="e">
        <f>SUM(CV178,CV179,CV180,CV183,CV201,CV204)/CV16</f>
        <v>#DIV/0!</v>
      </c>
      <c r="CW300" s="219" t="e">
        <f>SUM(CW178,CW179,CW180,CW183,CW201,CW204)/CW16</f>
        <v>#DIV/0!</v>
      </c>
      <c r="CX300" s="219" t="e">
        <f>SUM(CX178,CX179,CX180,CX183,CX201,CX204)/CX16</f>
        <v>#DIV/0!</v>
      </c>
    </row>
    <row r="301" customFormat="1" s="233">
      <c r="A301" s="224" t="n"/>
      <c r="B301" s="224" t="n"/>
      <c r="C301" s="233" t="inlineStr">
        <is>
          <t>TOTAL DEBT / TOTAL CAPITALIZATION</t>
        </is>
      </c>
      <c r="D301" s="221">
        <f>SUM(D178+D179+D180+D183+D201+D204)/(SUM(D178+D179+D180+D183+D201+D204)+D237)</f>
        <v>0.366494172268704</v>
      </c>
      <c r="E301" s="221">
        <f>SUM(E178+E179+E180+E183+E201+E204)/(SUM(E178+E179+E180+E183+E201+E204)+E237)</f>
        <v>0.356101624323199</v>
      </c>
      <c r="F301" s="221">
        <f>SUM(F178+F179+F180+F183+F201+F204)/(SUM(F178+F179+F180+F183+F201+F204)+F237)</f>
        <v>0.333738865956985</v>
      </c>
      <c r="G301" s="221">
        <f>SUM(G178+G179+G180+G183+G201+G204)/(SUM(G178+G179+G180+G183+G201+G204)+G237)</f>
        <v>0.313599609930519</v>
      </c>
      <c r="I301" s="221">
        <f>SUM(I178+I179+I180+I183+I201+I204)/(SUM(I178+I179+I180+I183+I201+I204)+I237)</f>
        <v>0.291867833433917</v>
      </c>
      <c r="J301" s="221">
        <f>SUM(J178+J179+J180+J183+J201+J204)/(SUM(J178+J179+J180+J183+J201+J204)+J237)</f>
        <v>0.376893158111851</v>
      </c>
      <c r="K301" s="221">
        <f>SUM(K178+K179+K180+K183+K201+K204)/(SUM(K178+K179+K180+K183+K201+K204)+K237)</f>
        <v>0.331985964912281</v>
      </c>
      <c r="L301" s="221">
        <f>SUM(L178+L179+L180+L183+L201+L204)/(SUM(L178+L179+L180+L183+L201+L204)+L237)</f>
        <v>0.307754337590719</v>
      </c>
      <c r="N301" s="221">
        <f>SUM(N178+N179+N180+N183+N201+N204)/(SUM(N178+N179+N180+N183+N201+N204)+N237)</f>
        <v>0.310380967353142</v>
      </c>
      <c r="O301" s="221">
        <f>SUM(O178+O179+O180+O183+O201+O204)/(SUM(O178+O179+O180+O183+O201+O204)+O237)</f>
        <v>0.331680116565792</v>
      </c>
      <c r="P301" s="221">
        <f>SUM(P178+P179+P180+P183+P201+P204)/(SUM(P178+P179+P180+P183+P201+P204)+P237)</f>
        <v>0.357982738399543</v>
      </c>
      <c r="Q301" s="221">
        <f>SUM(Q178+Q179+Q180+Q183+Q201+Q204)/(SUM(Q178+Q179+Q180+Q183+Q201+Q204)+Q237)</f>
        <v>0.352484472049689</v>
      </c>
      <c r="S301" s="221">
        <f>SUM(S178+S179+S180+S183+S201+S204)/(SUM(S178+S179+S180+S183+S201+S204)+S237)</f>
        <v>0.330054644808743</v>
      </c>
      <c r="T301" s="221">
        <f>SUM(T178+T179+T180+T183+T201+T204)/(SUM(T178+T179+T180+T183+T201+T204)+T237)</f>
        <v>0.284852424912235</v>
      </c>
      <c r="U301" s="221">
        <f>SUM(U178+U179+U180+U183+U201+U204)/(SUM(U178+U179+U180+U183+U201+U204)+U237)</f>
        <v>0.248961437731419</v>
      </c>
      <c r="V301" s="221">
        <f>SUM(V178+V179+V180+V183+V201+V204)/(SUM(V178+V179+V180+V183+V201+V204)+V237)</f>
        <v>0.204611911018988</v>
      </c>
      <c r="X301" s="221">
        <f>SUM(X178+X179+X180+X183+X201+X204)/(SUM(X178+X179+X180+X183+X201+X204)+X237)</f>
        <v>0.186107752695474</v>
      </c>
      <c r="Y301" s="221">
        <f>SUM(Y178+Y179+Y180+Y183+Y201+Y204)/(SUM(Y178+Y179+Y180+Y183+Y201+Y204)+Y237)</f>
        <v>0.146907821392947</v>
      </c>
      <c r="Z301" s="221">
        <f>SUM(Z178+Z179+Z180+Z183+Z201+Z204)/(SUM(Z178+Z179+Z180+Z183+Z201+Z204)+Z237)</f>
        <v>0.134320319478745</v>
      </c>
      <c r="AA301" s="221">
        <f>SUM(AA178+AA179+AA180+AA183+AA201+AA204)/(SUM(AA178+AA179+AA180+AA183+AA201+AA204)+AA237)</f>
        <v>0.114624373583937</v>
      </c>
      <c r="AC301" s="221">
        <f>SUM(AC178+AC179+AC180+AC183+AC201+AC204)/(SUM(AC178+AC179+AC180+AC183+AC201+AC204)+AC237)</f>
        <v>0.10926610572837</v>
      </c>
      <c r="AD301" s="221">
        <f>SUM(AD178+AD179+AD180+AD183+AD201+AD204)/(SUM(AD178+AD179+AD180+AD183+AD201+AD204)+AD237)</f>
        <v>0.0957111506470753</v>
      </c>
      <c r="AE301" s="221">
        <f>SUM(AE178+AE179+AE180+AE183+AE201+AE204)/(SUM(AE178+AE179+AE180+AE183+AE201+AE204)+AE237)</f>
        <v>0.0834264833987311</v>
      </c>
      <c r="AF301" s="221">
        <f>SUM(AF178+AF179+AF180+AF183+AF201+AF204)/(SUM(AF178+AF179+AF180+AF183+AF201+AF204)+AF237)</f>
        <v>0.0676447052547346</v>
      </c>
      <c r="AH301" s="221">
        <f>SUM(AH178+AH179+AH180+AH183+AH201+AH204)/(SUM(AH178+AH179+AH180+AH183+AH201+AH204)+AH237)</f>
        <v>0.0235532352097869</v>
      </c>
      <c r="AI301" s="221">
        <f>SUM(AI178+AI179+AI180+AI183+AI201+AI204)/(SUM(AI178+AI179+AI180+AI183+AI201+AI204)+AI237)</f>
        <v>0.0220612096458345</v>
      </c>
      <c r="AJ301" s="221">
        <f>SUM(AJ178+AJ179+AJ180+AJ183+AJ201+AJ204)/(SUM(AJ178+AJ179+AJ180+AJ183+AJ201+AJ204)+AJ237)</f>
        <v>0.021324809899298</v>
      </c>
      <c r="AK301" s="221">
        <f>SUM(AK178+AK179+AK180+AK183+AK201+AK204)/(SUM(AK178+AK179+AK180+AK183+AK201+AK204)+AK237)</f>
        <v>0.0200943819308545</v>
      </c>
      <c r="AM301" s="221">
        <f>SUM(AM178+AM179+AM180+AM183+AM201+AM204)/(SUM(AM178+AM179+AM180+AM183+AM201+AM204)+AM237)</f>
        <v>0.0189981979898432</v>
      </c>
      <c r="AN301" s="221">
        <f>SUM(AN178+AN179+AN180+AN183+AN201+AN204)/(SUM(AN178+AN179+AN180+AN183+AN201+AN204)+AN237)</f>
        <v>0.0162575144103507</v>
      </c>
      <c r="AO301" s="221">
        <f>SUM(AO178+AO179+AO180+AO183+AO201+AO204)/(SUM(AO178+AO179+AO180+AO183+AO201+AO204)+AO237)</f>
        <v>0.0155324278331022</v>
      </c>
      <c r="AP301" s="221">
        <f>SUM(AP178+AP179+AP180+AP183+AP201+AP204)/(SUM(AP178+AP179+AP180+AP183+AP201+AP204)+AP237)</f>
        <v>0.0136509673041503</v>
      </c>
      <c r="AR301" s="221">
        <f>SUM(AR178+AR179+AR180+AR183+AR201+AR204)/(SUM(AR178+AR179+AR180+AR183+AR201+AR204)+AR237)</f>
        <v>0.0121760666024358</v>
      </c>
      <c r="AS301" s="221">
        <f>SUM(AS178+AS179+AS180+AS183+AS201+AS204)/(SUM(AS178+AS179+AS180+AS183+AS201+AS204)+AS237)</f>
        <v>0.00946807795376178</v>
      </c>
      <c r="AT301" s="221">
        <f>SUM(AT178+AT179+AT180+AT183+AT201+AT204)/(SUM(AT178+AT179+AT180+AT183+AT201+AT204)+AT237)</f>
        <v>0.00873427255006202</v>
      </c>
      <c r="AU301" s="221">
        <f>SUM(AU178+AU179+AU180+AU183+AU201+AU204)/(SUM(AU178+AU179+AU180+AU183+AU201+AU204)+AU237)</f>
        <v>0.00724736242326214</v>
      </c>
      <c r="AW301" s="221">
        <f>SUM(AW178+AW179+AW180+AW183+AW201+AW204)/(SUM(AW178+AW179+AW180+AW183+AW201+AW204)+AW237)</f>
        <v>0.00619306401960168</v>
      </c>
      <c r="AX301" s="221">
        <f>SUM(AX178+AX179+AX180+AX183+AX201+AX204)/(SUM(AX178+AX179+AX180+AX183+AX201+AX204)+AX237)</f>
        <v>0.0044209190309184</v>
      </c>
      <c r="AY301" s="221">
        <f>SUM(AY178+AY179+AY180+AY183+AY201+AY204)/(SUM(AY178+AY179+AY180+AY183+AY201+AY204)+AY237)</f>
        <v>0.00400501363106339</v>
      </c>
      <c r="AZ301" s="221">
        <f>SUM(AZ178+AZ179+AZ180+AZ183+AZ201+AZ204)/(SUM(AZ178+AZ179+AZ180+AZ183+AZ201+AZ204)+AZ237)</f>
        <v>0.00318052611370845</v>
      </c>
      <c r="BB301" s="221">
        <f>SUM(BB178+BB179+BB180+BB183+BB201+BB204)/(SUM(BB178+BB179+BB180+BB183+BB201+BB204)+BB237)</f>
        <v>0.00263754993484723</v>
      </c>
      <c r="BC301" s="221">
        <f>SUM(BC178+BC179+BC180+BC183+BC201+BC204)/(SUM(BC178+BC179+BC180+BC183+BC201+BC204)+BC237)</f>
        <v>0.00179994704695474</v>
      </c>
      <c r="BD301" s="221">
        <f>SUM(BD178+BD179+BD180+BD183+BD201+BD204)/(SUM(BD178+BD179+BD180+BD183+BD201+BD204)+BD237)</f>
        <v>0.00161212771420488</v>
      </c>
      <c r="BE301" s="221">
        <f>SUM(BE178+BE179+BE180+BE183+BE201+BE204)/(SUM(BE178+BE179+BE180+BE183+BE201+BE204)+BE237)</f>
        <v>0.00125512970204119</v>
      </c>
      <c r="BG301" s="221">
        <f>SUM(BG178+BG179+BG180+BG183+BG201+BG204)/(SUM(BG178+BG179+BG180+BG183+BG201+BG204)+BG237)</f>
        <v>0.00102757754392549</v>
      </c>
      <c r="BH301" s="221">
        <f>SUM(BH178+BH179+BH180+BH183+BH201+BH204)/(SUM(BH178+BH179+BH180+BH183+BH201+BH204)+BH237)</f>
        <v>0.000687058761210227</v>
      </c>
      <c r="BI301" s="221">
        <f>SUM(BI178+BI179+BI180+BI183+BI201+BI204)/(SUM(BI178+BI179+BI180+BI183+BI201+BI204)+BI237)</f>
        <v>0.00061277823675277</v>
      </c>
      <c r="BJ301" s="221">
        <f>SUM(BJ178+BJ179+BJ180+BJ183+BJ201+BJ204)/(SUM(BJ178+BJ179+BJ180+BJ183+BJ201+BJ204)+BJ237)</f>
        <v>0.000472985714224023</v>
      </c>
      <c r="BL301" s="221">
        <f>SUM(BL178+BL179+BL180+BL183+BL201+BL204)/(SUM(BL178+BL179+BL180+BL183+BL201+BL204)+BL237)</f>
        <v>0.000385127044064472</v>
      </c>
      <c r="BM301" s="221">
        <f>SUM(BM178+BM179+BM180+BM183+BM201+BM204)/(SUM(BM178+BM179+BM180+BM183+BM201+BM204)+BM237)</f>
        <v>0.000255490221132845</v>
      </c>
      <c r="BN301" s="221">
        <f>SUM(BN178+BN179+BN180+BN183+BN201+BN204)/(SUM(BN178+BN179+BN180+BN183+BN201+BN204)+BN237)</f>
        <v>0.000227460840161774</v>
      </c>
      <c r="BO301" s="221">
        <f>SUM(BO178+BO179+BO180+BO183+BO201+BO204)/(SUM(BO178+BO179+BO180+BO183+BO201+BO204)+BO237)</f>
        <v>0.000175013053852178</v>
      </c>
      <c r="BQ301" s="221">
        <f>SUM(BQ178+BQ179+BQ180+BQ183+BQ201+BQ204)/(SUM(BQ178+BQ179+BQ180+BQ183+BQ201+BQ204)+BQ237)</f>
        <v>0.000142220040769505</v>
      </c>
      <c r="BR301" s="221">
        <f>SUM(BR178+BR179+BR180+BR183+BR201+BR204)/(SUM(BR178+BR179+BR180+BR183+BR201+BR204)+BR237)</f>
        <v>9.40646292469953e-05</v>
      </c>
      <c r="BS301" s="221">
        <f>SUM(BS178+BS179+BS180+BS183+BS201+BS204)/(SUM(BS178+BS179+BS180+BS183+BS201+BS204)+BS237)</f>
        <v>8.36926051905462e-05</v>
      </c>
      <c r="BT301" s="221">
        <f>SUM(BT178+BT179+BT180+BT183+BT201+BT204)/(SUM(BT178+BT179+BT180+BT183+BT201+BT204)+BT237)</f>
        <v>6.43164671621944e-05</v>
      </c>
      <c r="BV301" s="221">
        <f>SUM(BV178+BV179+BV180+BV183+BV201+BV204)/(SUM(BV178+BV179+BV180+BV183+BV201+BV204)+BV237)</f>
        <v>5.22254616224844e-05</v>
      </c>
      <c r="BW301" s="221">
        <f>SUM(BW178+BW179+BW180+BW183+BW201+BW204)/(SUM(BW178+BW179+BW180+BW183+BW201+BW204)+BW237)</f>
        <v>3.45041671548121e-05</v>
      </c>
      <c r="BX301" s="221">
        <f>SUM(BX178+BX179+BX180+BX183+BX201+BX204)/(SUM(BX178+BX179+BX180+BX183+BX201+BX204)+BX237)</f>
        <v>3.06921346466049e-05</v>
      </c>
      <c r="BY301" s="221">
        <f>SUM(BY178+BY179+BY180+BY183+BY201+BY204)/(SUM(BY178+BY179+BY180+BY183+BY201+BY204)+BY237)</f>
        <v>2.35760671312457e-05</v>
      </c>
      <c r="CA301" s="221">
        <f>SUM(CA178+CA179+CA180+CA183+CA201+CA204)/(SUM(CA178+CA179+CA180+CA183+CA201+CA204)+CA237)</f>
        <v>1.91386996855817e-05</v>
      </c>
      <c r="CB301" s="221">
        <f>SUM(CB178+CB179+CB180+CB183+CB201+CB204)/(SUM(CB178+CB179+CB180+CB183+CB201+CB204)+CB237)</f>
        <v>1.2639359759979e-05</v>
      </c>
      <c r="CC301" s="221">
        <f>SUM(CC178+CC179+CC180+CC183+CC201+CC204)/(SUM(CC178+CC179+CC180+CC183+CC201+CC204)+CC237)</f>
        <v>1.12419941918891e-05</v>
      </c>
      <c r="CD301" s="221">
        <f>SUM(CD178+CD179+CD180+CD183+CD201+CD204)/(SUM(CD178+CD179+CD180+CD183+CD201+CD204)+CD237)</f>
        <v>8.63408979696886e-06</v>
      </c>
      <c r="CF301" s="221">
        <f>SUM(CF178+CF179+CF180+CF183+CF201+CF204)/(SUM(CF178+CF179+CF180+CF183+CF201+CF204)+CF237)</f>
        <v>7.0083103310386e-06</v>
      </c>
      <c r="CG301" s="221">
        <f>SUM(CG178+CG179+CG180+CG183+CG201+CG204)/(SUM(CG178+CG179+CG180+CG183+CG201+CG204)+CG237)</f>
        <v>4.62766250032762e-06</v>
      </c>
      <c r="CH301" s="221">
        <f>SUM(CH178+CH179+CH180+CH183+CH201+CH204)/(SUM(CH178+CH179+CH180+CH183+CH201+CH204)+CH237)</f>
        <v>4.11591070953537e-06</v>
      </c>
      <c r="CI301" s="221">
        <f>SUM(CI178+CI179+CI180+CI183+CI201+CI204)/(SUM(CI178+CI179+CI180+CI183+CI201+CI204)+CI237)</f>
        <v>3.16091923154727e-06</v>
      </c>
      <c r="CK301" s="221">
        <f>SUM(CK178+CK179+CK180+CK183+CK201+CK204)/(SUM(CK178+CK179+CK180+CK183+CK201+CK204)+CK237)</f>
        <v>2.56563050044859e-06</v>
      </c>
      <c r="CL301" s="221">
        <f>SUM(CL178+CL179+CL180+CL183+CL201+CL204)/(SUM(CL178+CL179+CL180+CL183+CL201+CL204)+CL237)</f>
        <v>1.69402104367847e-06</v>
      </c>
      <c r="CM301" s="221">
        <f>SUM(CM178+CM179+CM180+CM183+CM201+CM204)/(SUM(CM178+CM179+CM180+CM183+CM201+CM204)+CM237)</f>
        <v>1.50666962482887e-06</v>
      </c>
      <c r="CN301" s="221">
        <f>SUM(CN178+CN179+CN180+CN183+CN201+CN204)/(SUM(CN178+CN179+CN180+CN183+CN201+CN204)+CN237)</f>
        <v>1.15706027492431e-06</v>
      </c>
      <c r="CP301" s="221">
        <f>SUM(CP178+CP179+CP180+CP183+CP201+CP204)/(SUM(CP178+CP179+CP180+CP183+CP201+CP204)+CP237)</f>
        <v>9.39140934123297e-07</v>
      </c>
      <c r="CQ301" s="221">
        <f>SUM(CQ178+CQ179+CQ180+CQ183+CQ201+CQ204)/(SUM(CQ178+CQ179+CQ180+CQ183+CQ201+CQ204)+CQ237)</f>
        <v>6.20078724289014e-07</v>
      </c>
      <c r="CR301" s="221">
        <f>SUM(CR178+CR179+CR180+CR183+CR201+CR204)/(SUM(CR178+CR179+CR180+CR183+CR201+CR204)+CR237)</f>
        <v>5.51498319165438e-07</v>
      </c>
      <c r="CS301" s="221">
        <f>SUM(CS178+CS179+CS180+CS183+CS201+CS204)/(SUM(CS178+CS179+CS180+CS183+CS201+CS204)+CS237)</f>
        <v>4.23524642883924e-07</v>
      </c>
      <c r="CU301" s="221">
        <f>SUM(CU178+CU179+CU180+CU183+CU201+CU204)/(SUM(CU178+CU179+CU180+CU183+CU201+CU204)+CU237)</f>
        <v>3.43756814468835e-07</v>
      </c>
      <c r="CV301" s="221">
        <f>SUM(CV178+CV179+CV180+CV183+CV201+CV204)/(SUM(CV178+CV179+CV180+CV183+CV201+CV204)+CV237)</f>
        <v>2.26967779187813e-07</v>
      </c>
      <c r="CW301" s="221">
        <f>SUM(CW178+CW179+CW180+CW183+CW201+CW204)/(SUM(CW178+CW179+CW180+CW183+CW201+CW204)+CW237)</f>
        <v>2.01864938495607e-07</v>
      </c>
      <c r="CX301" s="221">
        <f>SUM(CX178+CX179+CX180+CX183+CX201+CX204)/(SUM(CX178+CX179+CX180+CX183+CX201+CX204)+CX237)</f>
        <v>1.5502227788867e-07</v>
      </c>
    </row>
    <row r="302" customFormat="1" s="233">
      <c r="A302" s="224" t="n"/>
      <c r="B302" s="224" t="n"/>
      <c r="C302" s="233" t="inlineStr">
        <is>
          <t>NET DEBT / EBITDA</t>
        </is>
      </c>
      <c r="D302" s="219">
        <f>SUM((D178+D179+D180+D183+D201)-D110)/(D35*4)</f>
        <v>-2.0258541089566</v>
      </c>
      <c r="E302" s="219">
        <f>SUM((E178+E179+E180+E183+E201)-E110)/(E35*4)</f>
        <v>-0.778672985781991</v>
      </c>
      <c r="F302" s="219">
        <f>SUM((F178+F179+F180+F183+F201)-F110)/(F35*4)</f>
        <v>-0.362109605185622</v>
      </c>
      <c r="G302" s="219">
        <f>SUM((G178+G179+G180+G183+G201)-G110)/(G35*4)</f>
        <v>-0.535236768802228</v>
      </c>
      <c r="I302" s="219">
        <f>SUM((I178+I179+I180+I183+I201)-I110)/(I35*4)</f>
        <v>-0.550849351810461</v>
      </c>
      <c r="J302" s="219">
        <f>SUM((J178+J179+J180+J183+J201)-J110)/(J35*4)</f>
        <v>-0.628479853479854</v>
      </c>
      <c r="K302" s="219">
        <f>SUM((K178+K179+K180+K183+K201)-K110)/(K35*4)</f>
        <v>-0.629083866621758</v>
      </c>
      <c r="L302" s="219">
        <f>SUM((L178+L179+L180+L183+L201)-L110)/(L35*4)</f>
        <v>-0.714928331808478</v>
      </c>
      <c r="N302" s="219">
        <f>SUM((N178+N179+N180+N183+N201)-N110)/(N35*4)</f>
        <v>-0.964123524069028</v>
      </c>
      <c r="O302" s="219">
        <f>SUM((O178+O179+O180+O183+O201)-O110)/(O35*4)</f>
        <v>-1.48232611174458</v>
      </c>
      <c r="P302" s="219">
        <f>SUM((P178+P179+P180+P183+P201)-P110)/(P35*4)</f>
        <v>-0.30759682224429</v>
      </c>
      <c r="Q302" s="219">
        <f>SUM((Q178+Q179+Q180+Q183+Q201)-Q110)/(Q35*4)</f>
        <v>-0.188020214030916</v>
      </c>
      <c r="S302" s="219">
        <f>SUM((S178+S179+S180+S183+S201)-S110)/(S35*4)</f>
        <v>-0.320919175911252</v>
      </c>
      <c r="T302" s="219">
        <f>SUM((T178+T179+T180+T183+T201)-T110)/(T35*4)</f>
        <v>-0.176866713189114</v>
      </c>
      <c r="U302" s="219">
        <f>SUM((U178+U179+U180+U183+U201)-U110)/(U35*4)</f>
        <v>-0.168087867272222</v>
      </c>
      <c r="V302" s="219">
        <f>SUM((V178+V179+V180+V183+V201)-V110)/(V35*4)</f>
        <v>-0.266533352378232</v>
      </c>
      <c r="X302" s="219">
        <f>SUM((X179+X180+X183+X184+X204+X205)-X110)/(X35*4)</f>
        <v>-0.319721115537849</v>
      </c>
      <c r="Y302" s="219">
        <f>SUM((Y179+Y180+Y183+Y184+Y204+Y205)-Y110)/(Y35*4)</f>
        <v>-0.332791612057667</v>
      </c>
      <c r="Z302" s="219">
        <f>SUM((Z179+Z180+Z183+Z184+Z204+Z205)-Z110)/(Z35*4)</f>
        <v>-0.324003221908981</v>
      </c>
      <c r="AA302" s="219">
        <f>SUM((AA179+AA180+AA183+AA184+AA204+AA205)-AA110)/(AA35*4)</f>
        <v>-0.341522216796875</v>
      </c>
      <c r="AC302" s="219">
        <f>SUM((AC179+AC180+AC183+AC184+AC204+AC205)-AC110)/(AC35*4)</f>
        <v>-0.49266259157715</v>
      </c>
      <c r="AD302" s="219">
        <f>SUM((AD179+AD180+AD183+AD184+AD204+AD205)-AD110)/(AD35*4)</f>
        <v>-0.400846817135594</v>
      </c>
      <c r="AE302" s="219">
        <f>SUM((AE179+AE180+AE183+AE184+AE204+AE205)-AE110)/(AE35*4)</f>
        <v>-0.348045482984685</v>
      </c>
      <c r="AF302" s="219">
        <f>SUM((AF179+AF180+AF183+AF184+AF204+AF205)-AF110)/(AF35*4)</f>
        <v>-0.293392964022079</v>
      </c>
      <c r="AH302" s="219" t="e">
        <f>SUM((AH179+AH180+AH183+AH184+AH204+AH205)-AH110)/(AH35*4)</f>
        <v>#DIV/0!</v>
      </c>
      <c r="AI302" s="219" t="e">
        <f>SUM((AI179+AI180+AI183+AI184+AI204+AI205)-AI110)/(AI35*4)</f>
        <v>#DIV/0!</v>
      </c>
      <c r="AJ302" s="219" t="e">
        <f>SUM((AJ179+AJ180+AJ183+AJ184+AJ204+AJ205)-AJ110)/(AJ35*4)</f>
        <v>#DIV/0!</v>
      </c>
      <c r="AK302" s="219" t="e">
        <f>SUM((AK179+AK180+AK183+AK184+AK204+AK205)-AK110)/(AK35*4)</f>
        <v>#DIV/0!</v>
      </c>
      <c r="AM302" s="219" t="e">
        <f>SUM((AM179+AM180+AM183+AM184+AM204+AM205)-AM110)/(AM35*4)</f>
        <v>#DIV/0!</v>
      </c>
      <c r="AN302" s="219" t="e">
        <f>SUM((AN179+AN180+AN183+AN184+AN204+AN205)-AN110)/(AN35*4)</f>
        <v>#DIV/0!</v>
      </c>
      <c r="AO302" s="219" t="e">
        <f>SUM((AO179+AO180+AO183+AO184+AO204+AO205)-AO110)/(AO35*4)</f>
        <v>#DIV/0!</v>
      </c>
      <c r="AP302" s="219" t="e">
        <f>SUM((AP179+AP180+AP183+AP184+AP204+AP205)-AP110)/(AP35*4)</f>
        <v>#DIV/0!</v>
      </c>
      <c r="AR302" s="219" t="e">
        <f>SUM((AR179+AR180+AR183+AR184+AR204+AR205)-AR110)/(AR35*4)</f>
        <v>#DIV/0!</v>
      </c>
      <c r="AS302" s="219" t="e">
        <f>SUM((AS179+AS180+AS183+AS184+AS204+AS205)-AS110)/(AS35*4)</f>
        <v>#DIV/0!</v>
      </c>
      <c r="AT302" s="219" t="e">
        <f>SUM((AT179+AT180+AT183+AT184+AT204+AT205)-AT110)/(AT35*4)</f>
        <v>#DIV/0!</v>
      </c>
      <c r="AU302" s="219" t="e">
        <f>SUM((AU179+AU180+AU183+AU184+AU204+AU205)-AU110)/(AU35*4)</f>
        <v>#DIV/0!</v>
      </c>
      <c r="AW302" s="219" t="e">
        <f>SUM((AW179+AW180+AW183+AW184+AW204+AW205)-AW110)/(AW35*4)</f>
        <v>#DIV/0!</v>
      </c>
      <c r="AX302" s="219" t="e">
        <f>SUM((AX179+AX180+AX183+AX184+AX204+AX205)-AX110)/(AX35*4)</f>
        <v>#DIV/0!</v>
      </c>
      <c r="AY302" s="219" t="e">
        <f>SUM((AY179+AY180+AY183+AY184+AY204+AY205)-AY110)/(AY35*4)</f>
        <v>#DIV/0!</v>
      </c>
      <c r="AZ302" s="219" t="e">
        <f>SUM((AZ179+AZ180+AZ183+AZ184+AZ204+AZ205)-AZ110)/(AZ35*4)</f>
        <v>#DIV/0!</v>
      </c>
      <c r="BB302" s="219" t="e">
        <f>SUM((BB179+BB180+BB183+BB184+BB204+BB205)-BB110)/(BB35*4)</f>
        <v>#DIV/0!</v>
      </c>
      <c r="BC302" s="219" t="e">
        <f>SUM((BC179+BC180+BC183+BC184+BC204+BC205)-BC110)/(BC35*4)</f>
        <v>#DIV/0!</v>
      </c>
      <c r="BD302" s="219" t="e">
        <f>SUM((BD179+BD180+BD183+BD184+BD204+BD205)-BD110)/(BD35*4)</f>
        <v>#DIV/0!</v>
      </c>
      <c r="BE302" s="219" t="e">
        <f>SUM((BE179+BE180+BE183+BE184+BE204+BE205)-BE110)/(BE35*4)</f>
        <v>#DIV/0!</v>
      </c>
      <c r="BG302" s="219" t="e">
        <f>SUM((BG179+BG180+BG183+BG184+BG204+BG205)-BG110)/(BG35*4)</f>
        <v>#DIV/0!</v>
      </c>
      <c r="BH302" s="219" t="e">
        <f>SUM((BH179+BH180+BH183+BH184+BH204+BH205)-BH110)/(BH35*4)</f>
        <v>#DIV/0!</v>
      </c>
      <c r="BI302" s="219" t="e">
        <f>SUM((BI179+BI180+BI183+BI184+BI204+BI205)-BI110)/(BI35*4)</f>
        <v>#DIV/0!</v>
      </c>
      <c r="BJ302" s="219" t="e">
        <f>SUM((BJ179+BJ180+BJ183+BJ184+BJ204+BJ205)-BJ110)/(BJ35*4)</f>
        <v>#DIV/0!</v>
      </c>
      <c r="BL302" s="219" t="e">
        <f>SUM((BL179+BL180+BL183+BL184+BL204+BL205)-BL110)/(BL35*4)</f>
        <v>#DIV/0!</v>
      </c>
      <c r="BM302" s="219" t="e">
        <f>SUM((BM179+BM180+BM183+BM184+BM204+BM205)-BM110)/(BM35*4)</f>
        <v>#DIV/0!</v>
      </c>
      <c r="BN302" s="219" t="e">
        <f>SUM((BN179+BN180+BN183+BN184+BN204+BN205)-BN110)/(BN35*4)</f>
        <v>#DIV/0!</v>
      </c>
      <c r="BO302" s="219" t="e">
        <f>SUM((BO179+BO180+BO183+BO184+BO204+BO205)-BO110)/(BO35*4)</f>
        <v>#DIV/0!</v>
      </c>
      <c r="BQ302" s="219" t="e">
        <f>SUM((BQ179+BQ180+BQ183+BQ184+BQ204+BQ205)-BQ110)/(BQ35*4)</f>
        <v>#DIV/0!</v>
      </c>
      <c r="BR302" s="219" t="e">
        <f>SUM((BR179+BR180+BR183+BR184+BR204+BR205)-BR110)/(BR35*4)</f>
        <v>#DIV/0!</v>
      </c>
      <c r="BS302" s="219" t="e">
        <f>SUM((BS179+BS180+BS183+BS184+BS204+BS205)-BS110)/(BS35*4)</f>
        <v>#DIV/0!</v>
      </c>
      <c r="BT302" s="219" t="e">
        <f>SUM((BT179+BT180+BT183+BT184+BT204+BT205)-BT110)/(BT35*4)</f>
        <v>#DIV/0!</v>
      </c>
      <c r="BV302" s="219" t="e">
        <f>SUM((BV179+BV180+BV183+BV184+BV204+BV205)-BV110)/(BV35*4)</f>
        <v>#DIV/0!</v>
      </c>
      <c r="BW302" s="219" t="e">
        <f>SUM((BW179+BW180+BW183+BW184+BW204+BW205)-BW110)/(BW35*4)</f>
        <v>#DIV/0!</v>
      </c>
      <c r="BX302" s="219" t="e">
        <f>SUM((BX179+BX180+BX183+BX184+BX204+BX205)-BX110)/(BX35*4)</f>
        <v>#DIV/0!</v>
      </c>
      <c r="BY302" s="219" t="e">
        <f>SUM((BY179+BY180+BY183+BY184+BY204+BY205)-BY110)/(BY35*4)</f>
        <v>#DIV/0!</v>
      </c>
      <c r="CA302" s="219" t="e">
        <f>SUM((CA179+CA180+CA183+CA184+CA204+CA205)-CA110)/(CA35*4)</f>
        <v>#DIV/0!</v>
      </c>
      <c r="CB302" s="219" t="e">
        <f>SUM((CB179+CB180+CB183+CB184+CB204+CB205)-CB110)/(CB35*4)</f>
        <v>#DIV/0!</v>
      </c>
      <c r="CC302" s="219" t="e">
        <f>SUM((CC179+CC180+CC183+CC184+CC204+CC205)-CC110)/(CC35*4)</f>
        <v>#DIV/0!</v>
      </c>
      <c r="CD302" s="219" t="e">
        <f>SUM((CD179+CD180+CD183+CD184+CD204+CD205)-CD110)/(CD35*4)</f>
        <v>#DIV/0!</v>
      </c>
      <c r="CF302" s="219" t="e">
        <f>SUM((CF179+CF180+CF183+CF184+CF204+CF205)-CF110)/(CF35*4)</f>
        <v>#DIV/0!</v>
      </c>
      <c r="CG302" s="219" t="e">
        <f>SUM((CG179+CG180+CG183+CG184+CG204+CG205)-CG110)/(CG35*4)</f>
        <v>#DIV/0!</v>
      </c>
      <c r="CH302" s="219" t="e">
        <f>SUM((CH179+CH180+CH183+CH184+CH204+CH205)-CH110)/(CH35*4)</f>
        <v>#DIV/0!</v>
      </c>
      <c r="CI302" s="219" t="e">
        <f>SUM((CI179+CI180+CI183+CI184+CI204+CI205)-CI110)/(CI35*4)</f>
        <v>#DIV/0!</v>
      </c>
      <c r="CK302" s="219" t="e">
        <f>SUM((CK179+CK180+CK183+CK184+CK204+CK205)-CK110)/(CK35*4)</f>
        <v>#DIV/0!</v>
      </c>
      <c r="CL302" s="219" t="e">
        <f>SUM((CL179+CL180+CL183+CL184+CL204+CL205)-CL110)/(CL35*4)</f>
        <v>#DIV/0!</v>
      </c>
      <c r="CM302" s="219" t="e">
        <f>SUM((CM179+CM180+CM183+CM184+CM204+CM205)-CM110)/(CM35*4)</f>
        <v>#DIV/0!</v>
      </c>
      <c r="CN302" s="219" t="e">
        <f>SUM((CN179+CN180+CN183+CN184+CN204+CN205)-CN110)/(CN35*4)</f>
        <v>#DIV/0!</v>
      </c>
      <c r="CP302" s="219" t="e">
        <f>SUM((CP179+CP180+CP183+CP184+CP204+CP205)-CP110)/(CP35*4)</f>
        <v>#DIV/0!</v>
      </c>
      <c r="CQ302" s="219" t="e">
        <f>SUM((CQ179+CQ180+CQ183+CQ184+CQ204+CQ205)-CQ110)/(CQ35*4)</f>
        <v>#DIV/0!</v>
      </c>
      <c r="CR302" s="219" t="e">
        <f>SUM((CR179+CR180+CR183+CR184+CR204+CR205)-CR110)/(CR35*4)</f>
        <v>#DIV/0!</v>
      </c>
      <c r="CS302" s="219" t="e">
        <f>SUM((CS179+CS180+CS183+CS184+CS204+CS205)-CS110)/(CS35*4)</f>
        <v>#DIV/0!</v>
      </c>
      <c r="CU302" s="219" t="e">
        <f>SUM((CU179+CU180+CU183+CU184+CU204+CU205)-CU110)/(CU35*4)</f>
        <v>#DIV/0!</v>
      </c>
      <c r="CV302" s="219" t="e">
        <f>SUM((CV179+CV180+CV183+CV184+CV204+CV205)-CV110)/(CV35*4)</f>
        <v>#DIV/0!</v>
      </c>
      <c r="CW302" s="219" t="e">
        <f>SUM((CW179+CW180+CW183+CW184+CW204+CW205)-CW110)/(CW35*4)</f>
        <v>#DIV/0!</v>
      </c>
      <c r="CX302" s="219" t="e">
        <f>SUM((CX179+CX180+CX183+CX184+CX204+CX205)-CX110)/(CX35*4)</f>
        <v>#DIV/0!</v>
      </c>
    </row>
    <row r="303" customFormat="1" s="233">
      <c r="A303" s="224" t="n"/>
      <c r="B303" s="224" t="n"/>
      <c r="C303" s="237" t="inlineStr">
        <is>
          <t>NET DEBT (EX IFRS 16.) / EBITDA</t>
        </is>
      </c>
      <c r="D303" s="219">
        <f>SUM((D178+D179+D183)-D110)/(D35*4)</f>
        <v>-2.16874422899354</v>
      </c>
      <c r="E303" s="219">
        <f>SUM((E178+E179+E183)-E110)/(E35*4)</f>
        <v>-0.952843601895735</v>
      </c>
      <c r="F303" s="219">
        <f>SUM((F178+F179+F183)-F110)/(F35*4)</f>
        <v>-0.46817913965822</v>
      </c>
      <c r="G303" s="219">
        <f>SUM((G178+G179+G183)-G110)/(G35*4)</f>
        <v>-0.640389972144847</v>
      </c>
      <c r="I303" s="219">
        <f>SUM((I178+I179+I183)-I110)/(I35*4)</f>
        <v>-0.637460885113992</v>
      </c>
      <c r="J303" s="219">
        <f>SUM((J178+J179+J183)-J110)/(J35*4)</f>
        <v>-0.706135531135531</v>
      </c>
      <c r="K303" s="219">
        <f>SUM((K178+K179+K183)-K110)/(K35*4)</f>
        <v>-0.703435500168407</v>
      </c>
      <c r="L303" s="219">
        <f>SUM((L178+L179+L183)-L110)/(L35*4)</f>
        <v>-0.782403171698689</v>
      </c>
      <c r="N303" s="219">
        <f>SUM((N178+N179+N183)-N110)/(N35*4)</f>
        <v>-1.06618982742961</v>
      </c>
      <c r="O303" s="219">
        <f>SUM((O178+O179+O183)-O110)/(O35*4)</f>
        <v>-1.73546180159635</v>
      </c>
      <c r="P303" s="219">
        <f>SUM((P178+P179+P183)-P110)/(P35*4)</f>
        <v>-0.544438927507448</v>
      </c>
      <c r="Q303" s="219">
        <f>SUM((Q178+Q179+Q183)-Q110)/(Q35*4)</f>
        <v>-0.348246135552913</v>
      </c>
      <c r="S303" s="219">
        <f>SUM((S178+S179+S183)-S110)/(S35*4)</f>
        <v>-0.432448494453249</v>
      </c>
      <c r="T303" s="219">
        <f>SUM((T178+T179+T183)-T110)/(T35*4)</f>
        <v>-0.220446615491975</v>
      </c>
      <c r="U303" s="219">
        <f>SUM((U178+U179+U183)-U110)/(U35*4)</f>
        <v>-0.198697747705997</v>
      </c>
      <c r="V303" s="219">
        <f>SUM((V178+V179+V183)-V110)/(V35*4)</f>
        <v>-0.290583488073132</v>
      </c>
      <c r="X303" s="219">
        <f>SUM((X178+X179+X183)-X110)/(X35*4)</f>
        <v>-0.313643974825336</v>
      </c>
      <c r="Y303" s="219">
        <f>SUM((Y178+Y179+Y183)-Y110)/(Y35*4)</f>
        <v>-0.345203145478375</v>
      </c>
      <c r="Z303" s="219">
        <f>SUM((Z178+Z179+Z183)-Z110)/(Z35*4)</f>
        <v>-0.335895198460644</v>
      </c>
      <c r="AA303" s="219">
        <f>SUM((AA178+AA179+AA183)-AA110)/(AA35*4)</f>
        <v>-0.353464762369792</v>
      </c>
      <c r="AC303" s="219" t="e">
        <f>SUM((AC175+AC176+AC181+AC202)-AC106)/(AC28*4)</f>
        <v>#DIV/0!</v>
      </c>
      <c r="AD303" s="219" t="e">
        <f>SUM((AD175+AD176+AD181+AD202)-AD106)/(AD28*4)</f>
        <v>#DIV/0!</v>
      </c>
      <c r="AE303" s="219" t="e">
        <f>SUM((AE175+AE176+AE181+AE202)-AE106)/(AE28*4)</f>
        <v>#DIV/0!</v>
      </c>
      <c r="AF303" s="219" t="e">
        <f>SUM((AF175+AF176+AF181+AF202)-AF106)/(AF28*4)</f>
        <v>#DIV/0!</v>
      </c>
      <c r="AH303" s="219" t="e">
        <f>SUM((AH175+AH176+AH181+AH202)-AH106)/(AH28*4)</f>
        <v>#DIV/0!</v>
      </c>
      <c r="AI303" s="219" t="e">
        <f>SUM((AI175+AI176+AI181+AI202)-AI106)/(AI28*4)</f>
        <v>#DIV/0!</v>
      </c>
      <c r="AJ303" s="219" t="e">
        <f>SUM((AJ175+AJ176+AJ181+AJ202)-AJ106)/(AJ28*4)</f>
        <v>#DIV/0!</v>
      </c>
      <c r="AK303" s="219" t="e">
        <f>SUM((AK175+AK176+AK181+AK202)-AK106)/(AK28*4)</f>
        <v>#DIV/0!</v>
      </c>
      <c r="AM303" s="219" t="e">
        <f>SUM((AM175+AM176+AM181+AM202)-AM106)/(AM28*4)</f>
        <v>#DIV/0!</v>
      </c>
      <c r="AN303" s="219" t="e">
        <f>SUM((AN175+AN176+AN181+AN202)-AN106)/(AN28*4)</f>
        <v>#DIV/0!</v>
      </c>
      <c r="AO303" s="219" t="e">
        <f>SUM((AO175+AO176+AO181+AO202)-AO106)/(AO28*4)</f>
        <v>#DIV/0!</v>
      </c>
      <c r="AP303" s="219" t="e">
        <f>SUM((AP175+AP176+AP181+AP202)-AP106)/(AP28*4)</f>
        <v>#DIV/0!</v>
      </c>
      <c r="AR303" s="219" t="e">
        <f>SUM((AR175+AR176+AR181+AR202)-AR106)/(AR28*4)</f>
        <v>#DIV/0!</v>
      </c>
      <c r="AS303" s="219" t="e">
        <f>SUM((AS175+AS176+AS181+AS202)-AS106)/(AS28*4)</f>
        <v>#DIV/0!</v>
      </c>
      <c r="AT303" s="219" t="e">
        <f>SUM((AT175+AT176+AT181+AT202)-AT106)/(AT28*4)</f>
        <v>#DIV/0!</v>
      </c>
      <c r="AU303" s="219" t="e">
        <f>SUM((AU175+AU176+AU181+AU202)-AU106)/(AU28*4)</f>
        <v>#DIV/0!</v>
      </c>
      <c r="AW303" s="219" t="e">
        <f>SUM((AW175+AW176+AW181+AW202)-AW106)/(AW28*4)</f>
        <v>#DIV/0!</v>
      </c>
      <c r="AX303" s="219" t="e">
        <f>SUM((AX175+AX176+AX181+AX202)-AX106)/(AX28*4)</f>
        <v>#DIV/0!</v>
      </c>
      <c r="AY303" s="219" t="e">
        <f>SUM((AY175+AY176+AY181+AY202)-AY106)/(AY28*4)</f>
        <v>#DIV/0!</v>
      </c>
      <c r="AZ303" s="219" t="e">
        <f>SUM((AZ175+AZ176+AZ181+AZ202)-AZ106)/(AZ28*4)</f>
        <v>#DIV/0!</v>
      </c>
      <c r="BB303" s="219" t="e">
        <f>SUM((BB175+BB176+BB181+BB202)-BB106)/(BB28*4)</f>
        <v>#DIV/0!</v>
      </c>
      <c r="BC303" s="219" t="e">
        <f>SUM((BC175+BC176+BC181+BC202)-BC106)/(BC28*4)</f>
        <v>#DIV/0!</v>
      </c>
      <c r="BD303" s="219" t="e">
        <f>SUM((BD175+BD176+BD181+BD202)-BD106)/(BD28*4)</f>
        <v>#DIV/0!</v>
      </c>
      <c r="BE303" s="219" t="e">
        <f>SUM((BE175+BE176+BE181+BE202)-BE106)/(BE28*4)</f>
        <v>#DIV/0!</v>
      </c>
      <c r="BG303" s="219" t="e">
        <f>SUM((BG175+BG176+BG181+BG202)-BG106)/(BG28*4)</f>
        <v>#DIV/0!</v>
      </c>
      <c r="BH303" s="219" t="e">
        <f>SUM((BH175+BH176+BH181+BH202)-BH106)/(BH28*4)</f>
        <v>#DIV/0!</v>
      </c>
      <c r="BI303" s="219" t="e">
        <f>SUM((BI175+BI176+BI181+BI202)-BI106)/(BI28*4)</f>
        <v>#DIV/0!</v>
      </c>
      <c r="BJ303" s="219" t="e">
        <f>SUM((BJ175+BJ176+BJ181+BJ202)-BJ106)/(BJ28*4)</f>
        <v>#DIV/0!</v>
      </c>
      <c r="BL303" s="219" t="e">
        <f>SUM((BL175+BL176+BL181+BL202)-BL106)/(BL28*4)</f>
        <v>#DIV/0!</v>
      </c>
      <c r="BM303" s="219" t="e">
        <f>SUM((BM175+BM176+BM181+BM202)-BM106)/(BM28*4)</f>
        <v>#DIV/0!</v>
      </c>
      <c r="BN303" s="219" t="e">
        <f>SUM((BN175+BN176+BN181+BN202)-BN106)/(BN28*4)</f>
        <v>#DIV/0!</v>
      </c>
      <c r="BO303" s="219" t="e">
        <f>SUM((BO175+BO176+BO181+BO202)-BO106)/(BO28*4)</f>
        <v>#DIV/0!</v>
      </c>
      <c r="BQ303" s="219" t="e">
        <f>SUM((BQ175+BQ176+BQ181+BQ202)-BQ106)/(BQ28*4)</f>
        <v>#DIV/0!</v>
      </c>
      <c r="BR303" s="219" t="e">
        <f>SUM((BR175+BR176+BR181+BR202)-BR106)/(BR28*4)</f>
        <v>#DIV/0!</v>
      </c>
      <c r="BS303" s="219" t="e">
        <f>SUM((BS175+BS176+BS181+BS202)-BS106)/(BS28*4)</f>
        <v>#DIV/0!</v>
      </c>
      <c r="BT303" s="219" t="e">
        <f>SUM((BT175+BT176+BT181+BT202)-BT106)/(BT28*4)</f>
        <v>#DIV/0!</v>
      </c>
      <c r="BV303" s="219" t="e">
        <f>SUM((BV175+BV176+BV181+BV202)-BV106)/(BV28*4)</f>
        <v>#DIV/0!</v>
      </c>
      <c r="BW303" s="219" t="e">
        <f>SUM((BW175+BW176+BW181+BW202)-BW106)/(BW28*4)</f>
        <v>#DIV/0!</v>
      </c>
      <c r="BX303" s="219" t="e">
        <f>SUM((BX175+BX176+BX181+BX202)-BX106)/(BX28*4)</f>
        <v>#DIV/0!</v>
      </c>
      <c r="BY303" s="219" t="e">
        <f>SUM((BY175+BY176+BY181+BY202)-BY106)/(BY28*4)</f>
        <v>#DIV/0!</v>
      </c>
      <c r="CA303" s="219" t="e">
        <f>SUM((CA175+CA176+CA181+CA202)-CA106)/(CA28*4)</f>
        <v>#DIV/0!</v>
      </c>
      <c r="CB303" s="219" t="e">
        <f>SUM((CB175+CB176+CB181+CB202)-CB106)/(CB28*4)</f>
        <v>#DIV/0!</v>
      </c>
      <c r="CC303" s="219" t="e">
        <f>SUM((CC175+CC176+CC181+CC202)-CC106)/(CC28*4)</f>
        <v>#DIV/0!</v>
      </c>
      <c r="CD303" s="219" t="e">
        <f>SUM((CD175+CD176+CD181+CD202)-CD106)/(CD28*4)</f>
        <v>#DIV/0!</v>
      </c>
      <c r="CF303" s="219" t="e">
        <f>SUM((CF175+CF176+CF181+CF202)-CF106)/(CF28*4)</f>
        <v>#DIV/0!</v>
      </c>
      <c r="CG303" s="219" t="e">
        <f>SUM((CG175+CG176+CG181+CG202)-CG106)/(CG28*4)</f>
        <v>#DIV/0!</v>
      </c>
      <c r="CH303" s="219" t="e">
        <f>SUM((CH175+CH176+CH181+CH202)-CH106)/(CH28*4)</f>
        <v>#DIV/0!</v>
      </c>
      <c r="CI303" s="219" t="e">
        <f>SUM((CI175+CI176+CI181+CI202)-CI106)/(CI28*4)</f>
        <v>#DIV/0!</v>
      </c>
      <c r="CK303" s="219" t="e">
        <f>SUM((CK175+CK176+CK181+CK202)-CK106)/(CK28*4)</f>
        <v>#DIV/0!</v>
      </c>
      <c r="CL303" s="219" t="e">
        <f>SUM((CL175+CL176+CL181+CL202)-CL106)/(CL28*4)</f>
        <v>#DIV/0!</v>
      </c>
      <c r="CM303" s="219" t="e">
        <f>SUM((CM175+CM176+CM181+CM202)-CM106)/(CM28*4)</f>
        <v>#DIV/0!</v>
      </c>
      <c r="CN303" s="219" t="e">
        <f>SUM((CN175+CN176+CN181+CN202)-CN106)/(CN28*4)</f>
        <v>#DIV/0!</v>
      </c>
      <c r="CP303" s="219" t="e">
        <f>SUM((CP175+CP176+CP181+CP202)-CP106)/(CP28*4)</f>
        <v>#DIV/0!</v>
      </c>
      <c r="CQ303" s="219" t="e">
        <f>SUM((CQ175+CQ176+CQ181+CQ202)-CQ106)/(CQ28*4)</f>
        <v>#DIV/0!</v>
      </c>
      <c r="CR303" s="219" t="e">
        <f>SUM((CR175+CR176+CR181+CR202)-CR106)/(CR28*4)</f>
        <v>#DIV/0!</v>
      </c>
      <c r="CS303" s="219" t="e">
        <f>SUM((CS175+CS176+CS181+CS202)-CS106)/(CS28*4)</f>
        <v>#DIV/0!</v>
      </c>
      <c r="CU303" s="219" t="e">
        <f>SUM((CU175+CU176+CU181+CU202)-CU106)/(CU28*4)</f>
        <v>#DIV/0!</v>
      </c>
      <c r="CV303" s="219" t="e">
        <f>SUM((CV175+CV176+CV181+CV202)-CV106)/(CV28*4)</f>
        <v>#DIV/0!</v>
      </c>
      <c r="CW303" s="219" t="e">
        <f>SUM((CW175+CW176+CW181+CW202)-CW106)/(CW28*4)</f>
        <v>#DIV/0!</v>
      </c>
      <c r="CX303" s="219" t="e">
        <f>SUM((CX175+CX176+CX181+CX202)-CX106)/(CX28*4)</f>
        <v>#DIV/0!</v>
      </c>
    </row>
    <row r="304" customFormat="1" s="233">
      <c r="A304" s="224" t="n"/>
      <c r="B304" s="224" t="n"/>
      <c r="C304" s="233" t="inlineStr">
        <is>
          <t>INTEREST COVERAGE</t>
        </is>
      </c>
      <c r="D304" s="219">
        <f>D39/-D40</f>
        <v>39.04</v>
      </c>
      <c r="E304" s="219">
        <f>E39/-E40</f>
        <v>12.0555555555556</v>
      </c>
      <c r="F304" s="219">
        <f>F39/-F40</f>
        <v>26.377358490566</v>
      </c>
      <c r="G304" s="219">
        <f>G39/-G40</f>
        <v>28.9807692307692</v>
      </c>
      <c r="I304" s="219">
        <f>I39/-I40</f>
        <v>36.9056603773585</v>
      </c>
      <c r="J304" s="219">
        <f>J39/-J40</f>
        <v>40.7333333333333</v>
      </c>
      <c r="K304" s="219">
        <f>K39/-K40</f>
        <v>43.0806451612903</v>
      </c>
      <c r="L304" s="219">
        <f>L39/-L40</f>
        <v>48.6885245901639</v>
      </c>
      <c r="N304" s="219">
        <f>N39/-N40</f>
        <v>27.4705882352941</v>
      </c>
      <c r="O304" s="219">
        <f>O39/-O40</f>
        <v>7.67692307692308</v>
      </c>
      <c r="P304" s="219">
        <f>P39/-P40</f>
        <v>9.24615384615385</v>
      </c>
      <c r="Q304" s="219">
        <f>Q39/-Q40</f>
        <v>19.625</v>
      </c>
      <c r="S304" s="219">
        <f>S39/-S40</f>
        <v>32.4242424242424</v>
      </c>
      <c r="T304" s="219">
        <f>T39/-T40</f>
        <v>104.615384615385</v>
      </c>
      <c r="U304" s="219">
        <f>U39/-U40</f>
        <v>165.349206349206</v>
      </c>
      <c r="V304" s="219">
        <f>V39/-V40</f>
        <v>216.111111111111</v>
      </c>
      <c r="X304" s="219">
        <f>X39/-X40</f>
        <v>264.203125</v>
      </c>
      <c r="Y304" s="219">
        <f>Y39/-Y40</f>
        <v>305.606557377049</v>
      </c>
      <c r="Z304" s="219">
        <f>Z39/-Z40</f>
        <v>358.508196721312</v>
      </c>
      <c r="AA304" s="219">
        <f>AA39/-AA40</f>
        <v>393.983606557377</v>
      </c>
      <c r="AC304" s="219">
        <f>AC39/-AC40</f>
        <v>343.460317460317</v>
      </c>
      <c r="AD304" s="219">
        <f>AD39/-AD40</f>
        <v>458.709677419355</v>
      </c>
      <c r="AE304" s="219">
        <f>AE39/-AE40</f>
        <v>590.327868852459</v>
      </c>
      <c r="AF304" s="219">
        <f>AF39/-AF40</f>
        <v>606.835616438356</v>
      </c>
      <c r="AH304" s="219" t="e">
        <f>AH39/-AH40</f>
        <v>#DIV/0!</v>
      </c>
      <c r="AI304" s="219" t="e">
        <f>AI39/-AI40</f>
        <v>#DIV/0!</v>
      </c>
      <c r="AJ304" s="219" t="e">
        <f>AJ39/-AJ40</f>
        <v>#DIV/0!</v>
      </c>
      <c r="AK304" s="219" t="e">
        <f>AK39/-AK40</f>
        <v>#DIV/0!</v>
      </c>
      <c r="AM304" s="219" t="e">
        <f>AM39/-AM40</f>
        <v>#DIV/0!</v>
      </c>
      <c r="AN304" s="219" t="e">
        <f>AN39/-AN40</f>
        <v>#DIV/0!</v>
      </c>
      <c r="AO304" s="219" t="e">
        <f>AO39/-AO40</f>
        <v>#DIV/0!</v>
      </c>
      <c r="AP304" s="219" t="e">
        <f>AP39/-AP40</f>
        <v>#DIV/0!</v>
      </c>
      <c r="AR304" s="219" t="e">
        <f>AR39/-AR40</f>
        <v>#DIV/0!</v>
      </c>
      <c r="AS304" s="219" t="e">
        <f>AS39/-AS40</f>
        <v>#DIV/0!</v>
      </c>
      <c r="AT304" s="219" t="e">
        <f>AT39/-AT40</f>
        <v>#DIV/0!</v>
      </c>
      <c r="AU304" s="219" t="e">
        <f>AU39/-AU40</f>
        <v>#DIV/0!</v>
      </c>
      <c r="AW304" s="219" t="e">
        <f>AW39/-AW40</f>
        <v>#DIV/0!</v>
      </c>
      <c r="AX304" s="219" t="e">
        <f>AX39/-AX40</f>
        <v>#DIV/0!</v>
      </c>
      <c r="AY304" s="219" t="e">
        <f>AY39/-AY40</f>
        <v>#DIV/0!</v>
      </c>
      <c r="AZ304" s="219" t="e">
        <f>AZ39/-AZ40</f>
        <v>#DIV/0!</v>
      </c>
      <c r="BB304" s="219" t="e">
        <f>BB39/-BB40</f>
        <v>#DIV/0!</v>
      </c>
      <c r="BC304" s="219" t="e">
        <f>BC39/-BC40</f>
        <v>#DIV/0!</v>
      </c>
      <c r="BD304" s="219" t="e">
        <f>BD39/-BD40</f>
        <v>#DIV/0!</v>
      </c>
      <c r="BE304" s="219" t="e">
        <f>BE39/-BE40</f>
        <v>#DIV/0!</v>
      </c>
      <c r="BG304" s="219" t="e">
        <f>BG39/-BG40</f>
        <v>#DIV/0!</v>
      </c>
      <c r="BH304" s="219" t="e">
        <f>BH39/-BH40</f>
        <v>#DIV/0!</v>
      </c>
      <c r="BI304" s="219" t="e">
        <f>BI39/-BI40</f>
        <v>#DIV/0!</v>
      </c>
      <c r="BJ304" s="219" t="e">
        <f>BJ39/-BJ40</f>
        <v>#DIV/0!</v>
      </c>
      <c r="BL304" s="219" t="e">
        <f>BL39/-BL40</f>
        <v>#DIV/0!</v>
      </c>
      <c r="BM304" s="219" t="e">
        <f>BM39/-BM40</f>
        <v>#DIV/0!</v>
      </c>
      <c r="BN304" s="219" t="e">
        <f>BN39/-BN40</f>
        <v>#DIV/0!</v>
      </c>
      <c r="BO304" s="219" t="e">
        <f>BO39/-BO40</f>
        <v>#DIV/0!</v>
      </c>
      <c r="BQ304" s="219" t="e">
        <f>BQ39/-BQ40</f>
        <v>#DIV/0!</v>
      </c>
      <c r="BR304" s="219" t="e">
        <f>BR39/-BR40</f>
        <v>#DIV/0!</v>
      </c>
      <c r="BS304" s="219" t="e">
        <f>BS39/-BS40</f>
        <v>#DIV/0!</v>
      </c>
      <c r="BT304" s="219" t="e">
        <f>BT39/-BT40</f>
        <v>#DIV/0!</v>
      </c>
      <c r="BV304" s="219" t="e">
        <f>BV39/-BV40</f>
        <v>#DIV/0!</v>
      </c>
      <c r="BW304" s="219" t="e">
        <f>BW39/-BW40</f>
        <v>#DIV/0!</v>
      </c>
      <c r="BX304" s="219" t="e">
        <f>BX39/-BX40</f>
        <v>#DIV/0!</v>
      </c>
      <c r="BY304" s="219" t="e">
        <f>BY39/-BY40</f>
        <v>#DIV/0!</v>
      </c>
      <c r="CA304" s="219" t="e">
        <f>CA39/-CA40</f>
        <v>#DIV/0!</v>
      </c>
      <c r="CB304" s="219" t="e">
        <f>CB39/-CB40</f>
        <v>#DIV/0!</v>
      </c>
      <c r="CC304" s="219" t="e">
        <f>CC39/-CC40</f>
        <v>#DIV/0!</v>
      </c>
      <c r="CD304" s="219" t="e">
        <f>CD39/-CD40</f>
        <v>#DIV/0!</v>
      </c>
      <c r="CF304" s="219" t="e">
        <f>CF39/-CF40</f>
        <v>#DIV/0!</v>
      </c>
      <c r="CG304" s="219" t="e">
        <f>CG39/-CG40</f>
        <v>#DIV/0!</v>
      </c>
      <c r="CH304" s="219" t="e">
        <f>CH39/-CH40</f>
        <v>#DIV/0!</v>
      </c>
      <c r="CI304" s="219" t="e">
        <f>CI39/-CI40</f>
        <v>#DIV/0!</v>
      </c>
      <c r="CK304" s="219" t="e">
        <f>CK39/-CK40</f>
        <v>#DIV/0!</v>
      </c>
      <c r="CL304" s="219" t="e">
        <f>CL39/-CL40</f>
        <v>#DIV/0!</v>
      </c>
      <c r="CM304" s="219" t="e">
        <f>CM39/-CM40</f>
        <v>#DIV/0!</v>
      </c>
      <c r="CN304" s="219" t="e">
        <f>CN39/-CN40</f>
        <v>#DIV/0!</v>
      </c>
      <c r="CP304" s="219" t="e">
        <f>CP39/-CP40</f>
        <v>#DIV/0!</v>
      </c>
      <c r="CQ304" s="219" t="e">
        <f>CQ39/-CQ40</f>
        <v>#DIV/0!</v>
      </c>
      <c r="CR304" s="219" t="e">
        <f>CR39/-CR40</f>
        <v>#DIV/0!</v>
      </c>
      <c r="CS304" s="219" t="e">
        <f>CS39/-CS40</f>
        <v>#DIV/0!</v>
      </c>
      <c r="CU304" s="219" t="e">
        <f>CU39/-CU40</f>
        <v>#DIV/0!</v>
      </c>
      <c r="CV304" s="219" t="e">
        <f>CV39/-CV40</f>
        <v>#DIV/0!</v>
      </c>
      <c r="CW304" s="219" t="e">
        <f>CW39/-CW40</f>
        <v>#DIV/0!</v>
      </c>
      <c r="CX304" s="219" t="e">
        <f>CX39/-CX40</f>
        <v>#DIV/0!</v>
      </c>
    </row>
    <row r="305" customFormat="1" s="233">
      <c r="A305" s="224" t="n"/>
      <c r="B305" s="224" t="n"/>
    </row>
    <row r="306" customFormat="1" s="233">
      <c r="A306" s="224" t="n"/>
      <c r="B306" s="224" t="n"/>
      <c r="C306" s="234" t="inlineStr">
        <is>
          <t>INTERNAL LIQUIDITY</t>
        </is>
      </c>
    </row>
    <row r="307" customFormat="1" s="233">
      <c r="A307" s="224" t="n"/>
      <c r="B307" s="224" t="n"/>
      <c r="C307" s="233" t="inlineStr">
        <is>
          <t>CURRENT RATIO</t>
        </is>
      </c>
      <c r="D307" s="219">
        <f>SUM(D110,D111,D115,D119,D120,D121)/SUM(D164,D168,D170,D171)</f>
        <v>11.1575152523572</v>
      </c>
      <c r="E307" s="219">
        <f>SUM(E110,E111,E115,E119,E120,E121)/SUM(E164,E168,E170,E171)</f>
        <v>6.69772528433946</v>
      </c>
      <c r="F307" s="219">
        <f>SUM(F110,F111,F115,F119,F120,F121)/SUM(F164,F168,F170,F171)</f>
        <v>5.89393346379648</v>
      </c>
      <c r="G307" s="219">
        <f>SUM(G110,G111,G115,G119,G120,G121)/SUM(G164,G168,G170,G171)</f>
        <v>6.01105169340463</v>
      </c>
      <c r="I307" s="219">
        <f>SUM(I110,I111,I115,I119,I120,I121)/SUM(I164,I168,I170,I171)</f>
        <v>6.58710801393728</v>
      </c>
      <c r="J307" s="219">
        <f>SUM(J110,J111,J115,J119,J120,J121)/SUM(J164,J168,J170,J171)</f>
        <v>8.07117008443908</v>
      </c>
      <c r="K307" s="219">
        <f>SUM(K110,K111,K115,K119,K120,K121)/SUM(K164,K168,K170,K171)</f>
        <v>7.71198156682028</v>
      </c>
      <c r="L307" s="219">
        <f>SUM(L110,L111,L115,L119,L120,L121)/SUM(L164,L168,L170,L171)</f>
        <v>7.17036506800286</v>
      </c>
      <c r="N307" s="219">
        <f>SUM(N110,N111,N115,N119,N120,N121)/SUM(N164,N168,N170,N171)</f>
        <v>5.79113573407202</v>
      </c>
      <c r="O307" s="219">
        <f>SUM(O110,O111,O115,O119,O120,O121)/SUM(O164,O168,O170,O171)</f>
        <v>4.79737821653989</v>
      </c>
      <c r="P307" s="219">
        <f>SUM(P110,P111,P115,P119,P120,P121)/SUM(P164,P168,P170,P171)</f>
        <v>4.76788990825688</v>
      </c>
      <c r="Q307" s="219">
        <f>SUM(Q110,Q111,Q115,Q119,Q120,Q121)/SUM(Q164,Q168,Q170,Q171)</f>
        <v>5.15261825968464</v>
      </c>
      <c r="S307" s="219">
        <f>SUM(S110,S111,S115,S119,S120,S121)/SUM(S164,S168,S170,S171)</f>
        <v>5.05770221535291</v>
      </c>
      <c r="T307" s="219">
        <f>SUM(T110,T111,T115,T119,T120,T121)/SUM(T164,T168,T170,T171)</f>
        <v>3.85208966993354</v>
      </c>
      <c r="U307" s="219">
        <f>SUM(U110,U111,U115,U119,U120,U121)/SUM(U164,U168,U170,U171)</f>
        <v>5.06953555497245</v>
      </c>
      <c r="V307" s="219">
        <f>SUM(V110,V111,V115,V119,V120,V121)/SUM(V164,V168,V170,V171)</f>
        <v>5.50923194581012</v>
      </c>
      <c r="X307" s="219">
        <f>SUM(X110,X111,X115,X119,X120,X121)/SUM(X164,X168,X170,X171)</f>
        <v>4.48218838784877</v>
      </c>
      <c r="Y307" s="219">
        <f>SUM(Y110,Y111,Y115,Y119,Y120,Y121)/SUM(Y164,Y168,Y170,Y171)</f>
        <v>5.04490123186821</v>
      </c>
      <c r="Z307" s="219">
        <f>SUM(Z110,Z111,Z115,Z119,Z120,Z121)/SUM(Z164,Z168,Z170,Z171)</f>
        <v>4.80784894483525</v>
      </c>
      <c r="AA307" s="219">
        <f>SUM(AA110,AA111,AA115,AA119,AA120,AA121)/SUM(AA164,AA168,AA170,AA171)</f>
        <v>5.13007489160426</v>
      </c>
      <c r="AC307" s="219">
        <f>SUM(AC110,AC111,AC115,AC119,AC120,AC121)/SUM(AC164,AC168,AC170,AC171)</f>
        <v>3.93464674948556</v>
      </c>
      <c r="AD307" s="219">
        <f>SUM(AD110,AD111,AD115,AD119,AD120,AD121)/SUM(AD164,AD168,AD170,AD171)</f>
        <v>4.83340290532643</v>
      </c>
      <c r="AE307" s="219">
        <f>SUM(AE110,AE111,AE115,AE119,AE120,AE121)/SUM(AE164,AE168,AE170,AE171)</f>
        <v>5.26242166969881</v>
      </c>
      <c r="AF307" s="219">
        <f>SUM(AF110,AF111,AF115,AF119,AF120,AF121)/SUM(AF164,AF168,AF170,AF171)</f>
        <v>4.50971031436737</v>
      </c>
      <c r="AH307" s="219" t="e">
        <f>SUM(AH110,AH111,AH115,AH119,AH120,AH121)/SUM(AH164,AH168,AH170,AH171)</f>
        <v>#DIV/0!</v>
      </c>
      <c r="AI307" s="219" t="e">
        <f>SUM(AI110,AI111,AI115,AI119,AI120,AI121)/SUM(AI164,AI168,AI170,AI171)</f>
        <v>#DIV/0!</v>
      </c>
      <c r="AJ307" s="219" t="e">
        <f>SUM(AJ110,AJ111,AJ115,AJ119,AJ120,AJ121)/SUM(AJ164,AJ168,AJ170,AJ171)</f>
        <v>#DIV/0!</v>
      </c>
      <c r="AK307" s="219" t="e">
        <f>SUM(AK110,AK111,AK115,AK119,AK120,AK121)/SUM(AK164,AK168,AK170,AK171)</f>
        <v>#DIV/0!</v>
      </c>
      <c r="AM307" s="219" t="e">
        <f>SUM(AM110,AM111,AM115,AM119,AM120,AM121)/SUM(AM164,AM168,AM170,AM171)</f>
        <v>#DIV/0!</v>
      </c>
      <c r="AN307" s="219" t="e">
        <f>SUM(AN110,AN111,AN115,AN119,AN120,AN121)/SUM(AN164,AN168,AN170,AN171)</f>
        <v>#DIV/0!</v>
      </c>
      <c r="AO307" s="219" t="e">
        <f>SUM(AO110,AO111,AO115,AO119,AO120,AO121)/SUM(AO164,AO168,AO170,AO171)</f>
        <v>#DIV/0!</v>
      </c>
      <c r="AP307" s="219" t="e">
        <f>SUM(AP110,AP111,AP115,AP119,AP120,AP121)/SUM(AP164,AP168,AP170,AP171)</f>
        <v>#DIV/0!</v>
      </c>
      <c r="AR307" s="219" t="e">
        <f>SUM(AR110,AR111,AR115,AR119,AR120,AR121)/SUM(AR164,AR168,AR170,AR171)</f>
        <v>#DIV/0!</v>
      </c>
      <c r="AS307" s="219" t="e">
        <f>SUM(AS110,AS111,AS115,AS119,AS120,AS121)/SUM(AS164,AS168,AS170,AS171)</f>
        <v>#DIV/0!</v>
      </c>
      <c r="AT307" s="219" t="e">
        <f>SUM(AT110,AT111,AT115,AT119,AT120,AT121)/SUM(AT164,AT168,AT170,AT171)</f>
        <v>#DIV/0!</v>
      </c>
      <c r="AU307" s="219" t="e">
        <f>SUM(AU110,AU111,AU115,AU119,AU120,AU121)/SUM(AU164,AU168,AU170,AU171)</f>
        <v>#DIV/0!</v>
      </c>
      <c r="AW307" s="219" t="e">
        <f>SUM(AW110,AW111,AW115,AW119,AW120,AW121)/SUM(AW164,AW168,AW170,AW171)</f>
        <v>#DIV/0!</v>
      </c>
      <c r="AX307" s="219" t="e">
        <f>SUM(AX110,AX111,AX115,AX119,AX120,AX121)/SUM(AX164,AX168,AX170,AX171)</f>
        <v>#DIV/0!</v>
      </c>
      <c r="AY307" s="219" t="e">
        <f>SUM(AY110,AY111,AY115,AY119,AY120,AY121)/SUM(AY164,AY168,AY170,AY171)</f>
        <v>#DIV/0!</v>
      </c>
      <c r="AZ307" s="219" t="e">
        <f>SUM(AZ110,AZ111,AZ115,AZ119,AZ120,AZ121)/SUM(AZ164,AZ168,AZ170,AZ171)</f>
        <v>#DIV/0!</v>
      </c>
      <c r="BB307" s="219" t="e">
        <f>SUM(BB110,BB111,BB115,BB119,BB120,BB121)/SUM(BB164,BB168,BB170,BB171)</f>
        <v>#DIV/0!</v>
      </c>
      <c r="BC307" s="219" t="e">
        <f>SUM(BC110,BC111,BC115,BC119,BC120,BC121)/SUM(BC164,BC168,BC170,BC171)</f>
        <v>#DIV/0!</v>
      </c>
      <c r="BD307" s="219" t="e">
        <f>SUM(BD110,BD111,BD115,BD119,BD120,BD121)/SUM(BD164,BD168,BD170,BD171)</f>
        <v>#DIV/0!</v>
      </c>
      <c r="BE307" s="219" t="e">
        <f>SUM(BE110,BE111,BE115,BE119,BE120,BE121)/SUM(BE164,BE168,BE170,BE171)</f>
        <v>#DIV/0!</v>
      </c>
      <c r="BG307" s="219" t="e">
        <f>SUM(BG110,BG111,BG115,BG119,BG120,BG121)/SUM(BG164,BG168,BG170,BG171)</f>
        <v>#DIV/0!</v>
      </c>
      <c r="BH307" s="219" t="e">
        <f>SUM(BH110,BH111,BH115,BH119,BH120,BH121)/SUM(BH164,BH168,BH170,BH171)</f>
        <v>#DIV/0!</v>
      </c>
      <c r="BI307" s="219" t="e">
        <f>SUM(BI110,BI111,BI115,BI119,BI120,BI121)/SUM(BI164,BI168,BI170,BI171)</f>
        <v>#DIV/0!</v>
      </c>
      <c r="BJ307" s="219" t="e">
        <f>SUM(BJ110,BJ111,BJ115,BJ119,BJ120,BJ121)/SUM(BJ164,BJ168,BJ170,BJ171)</f>
        <v>#DIV/0!</v>
      </c>
      <c r="BL307" s="219" t="e">
        <f>SUM(BL110,BL111,BL115,BL119,BL120,BL121)/SUM(BL164,BL168,BL170,BL171)</f>
        <v>#DIV/0!</v>
      </c>
      <c r="BM307" s="219" t="e">
        <f>SUM(BM110,BM111,BM115,BM119,BM120,BM121)/SUM(BM164,BM168,BM170,BM171)</f>
        <v>#DIV/0!</v>
      </c>
      <c r="BN307" s="219" t="e">
        <f>SUM(BN110,BN111,BN115,BN119,BN120,BN121)/SUM(BN164,BN168,BN170,BN171)</f>
        <v>#DIV/0!</v>
      </c>
      <c r="BO307" s="219" t="e">
        <f>SUM(BO110,BO111,BO115,BO119,BO120,BO121)/SUM(BO164,BO168,BO170,BO171)</f>
        <v>#DIV/0!</v>
      </c>
      <c r="BQ307" s="219" t="e">
        <f>SUM(BQ110,BQ111,BQ115,BQ119,BQ120,BQ121)/SUM(BQ164,BQ168,BQ170,BQ171)</f>
        <v>#DIV/0!</v>
      </c>
      <c r="BR307" s="219" t="e">
        <f>SUM(BR110,BR111,BR115,BR119,BR120,BR121)/SUM(BR164,BR168,BR170,BR171)</f>
        <v>#DIV/0!</v>
      </c>
      <c r="BS307" s="219" t="e">
        <f>SUM(BS110,BS111,BS115,BS119,BS120,BS121)/SUM(BS164,BS168,BS170,BS171)</f>
        <v>#DIV/0!</v>
      </c>
      <c r="BT307" s="219" t="e">
        <f>SUM(BT110,BT111,BT115,BT119,BT120,BT121)/SUM(BT164,BT168,BT170,BT171)</f>
        <v>#DIV/0!</v>
      </c>
      <c r="BV307" s="219" t="e">
        <f>SUM(BV110,BV111,BV115,BV119,BV120,BV121)/SUM(BV164,BV168,BV170,BV171)</f>
        <v>#DIV/0!</v>
      </c>
      <c r="BW307" s="219" t="e">
        <f>SUM(BW110,BW111,BW115,BW119,BW120,BW121)/SUM(BW164,BW168,BW170,BW171)</f>
        <v>#DIV/0!</v>
      </c>
      <c r="BX307" s="219" t="e">
        <f>SUM(BX110,BX111,BX115,BX119,BX120,BX121)/SUM(BX164,BX168,BX170,BX171)</f>
        <v>#DIV/0!</v>
      </c>
      <c r="BY307" s="219" t="e">
        <f>SUM(BY110,BY111,BY115,BY119,BY120,BY121)/SUM(BY164,BY168,BY170,BY171)</f>
        <v>#DIV/0!</v>
      </c>
      <c r="CA307" s="219" t="e">
        <f>SUM(CA110,CA111,CA115,CA119,CA120,CA121)/SUM(CA164,CA168,CA170,CA171)</f>
        <v>#DIV/0!</v>
      </c>
      <c r="CB307" s="219" t="e">
        <f>SUM(CB110,CB111,CB115,CB119,CB120,CB121)/SUM(CB164,CB168,CB170,CB171)</f>
        <v>#DIV/0!</v>
      </c>
      <c r="CC307" s="219" t="e">
        <f>SUM(CC110,CC111,CC115,CC119,CC120,CC121)/SUM(CC164,CC168,CC170,CC171)</f>
        <v>#DIV/0!</v>
      </c>
      <c r="CD307" s="219" t="e">
        <f>SUM(CD110,CD111,CD115,CD119,CD120,CD121)/SUM(CD164,CD168,CD170,CD171)</f>
        <v>#DIV/0!</v>
      </c>
      <c r="CF307" s="219" t="e">
        <f>SUM(CF110,CF111,CF115,CF119,CF120,CF121)/SUM(CF164,CF168,CF170,CF171)</f>
        <v>#DIV/0!</v>
      </c>
      <c r="CG307" s="219" t="e">
        <f>SUM(CG110,CG111,CG115,CG119,CG120,CG121)/SUM(CG164,CG168,CG170,CG171)</f>
        <v>#DIV/0!</v>
      </c>
      <c r="CH307" s="219" t="e">
        <f>SUM(CH110,CH111,CH115,CH119,CH120,CH121)/SUM(CH164,CH168,CH170,CH171)</f>
        <v>#DIV/0!</v>
      </c>
      <c r="CI307" s="219" t="e">
        <f>SUM(CI110,CI111,CI115,CI119,CI120,CI121)/SUM(CI164,CI168,CI170,CI171)</f>
        <v>#DIV/0!</v>
      </c>
      <c r="CK307" s="219" t="e">
        <f>SUM(CK110,CK111,CK115,CK119,CK120,CK121)/SUM(CK164,CK168,CK170,CK171)</f>
        <v>#DIV/0!</v>
      </c>
      <c r="CL307" s="219" t="e">
        <f>SUM(CL110,CL111,CL115,CL119,CL120,CL121)/SUM(CL164,CL168,CL170,CL171)</f>
        <v>#DIV/0!</v>
      </c>
      <c r="CM307" s="219" t="e">
        <f>SUM(CM110,CM111,CM115,CM119,CM120,CM121)/SUM(CM164,CM168,CM170,CM171)</f>
        <v>#DIV/0!</v>
      </c>
      <c r="CN307" s="219" t="e">
        <f>SUM(CN110,CN111,CN115,CN119,CN120,CN121)/SUM(CN164,CN168,CN170,CN171)</f>
        <v>#DIV/0!</v>
      </c>
      <c r="CP307" s="219" t="e">
        <f>SUM(CP110,CP111,CP115,CP119,CP120,CP121)/SUM(CP164,CP168,CP170,CP171)</f>
        <v>#DIV/0!</v>
      </c>
      <c r="CQ307" s="219" t="e">
        <f>SUM(CQ110,CQ111,CQ115,CQ119,CQ120,CQ121)/SUM(CQ164,CQ168,CQ170,CQ171)</f>
        <v>#DIV/0!</v>
      </c>
      <c r="CR307" s="219" t="e">
        <f>SUM(CR110,CR111,CR115,CR119,CR120,CR121)/SUM(CR164,CR168,CR170,CR171)</f>
        <v>#DIV/0!</v>
      </c>
      <c r="CS307" s="219" t="e">
        <f>SUM(CS110,CS111,CS115,CS119,CS120,CS121)/SUM(CS164,CS168,CS170,CS171)</f>
        <v>#DIV/0!</v>
      </c>
      <c r="CU307" s="219" t="e">
        <f>SUM(CU110,CU111,CU115,CU119,CU120,CU121)/SUM(CU164,CU168,CU170,CU171)</f>
        <v>#DIV/0!</v>
      </c>
      <c r="CV307" s="219" t="e">
        <f>SUM(CV110,CV111,CV115,CV119,CV120,CV121)/SUM(CV164,CV168,CV170,CV171)</f>
        <v>#DIV/0!</v>
      </c>
      <c r="CW307" s="219" t="e">
        <f>SUM(CW110,CW111,CW115,CW119,CW120,CW121)/SUM(CW164,CW168,CW170,CW171)</f>
        <v>#DIV/0!</v>
      </c>
      <c r="CX307" s="219" t="e">
        <f>SUM(CX110,CX111,CX115,CX119,CX120,CX121)/SUM(CX164,CX168,CX170,CX171)</f>
        <v>#DIV/0!</v>
      </c>
    </row>
    <row r="308" customFormat="1" s="233">
      <c r="A308" s="224" t="n"/>
      <c r="B308" s="224" t="n"/>
      <c r="C308" s="233" t="inlineStr">
        <is>
          <t>CASH RATIO</t>
        </is>
      </c>
      <c r="D308" s="219">
        <f>SUM(D110)/SUM(D164,D168,D170,D171)</f>
        <v>9.07043815862452</v>
      </c>
      <c r="E308" s="219">
        <f>SUM(E110)/SUM(E164,E168,E170,E171)</f>
        <v>4.80358705161855</v>
      </c>
      <c r="F308" s="219">
        <f>SUM(F110)/SUM(F164,F168,F170,F171)</f>
        <v>3.96829745596869</v>
      </c>
      <c r="G308" s="219">
        <f>SUM(G110)/SUM(G164,G168,G170,G171)</f>
        <v>4.12156862745098</v>
      </c>
      <c r="I308" s="219">
        <f>SUM(I110)/SUM(I164,I168,I170,I171)</f>
        <v>4.41358885017422</v>
      </c>
      <c r="J308" s="219">
        <f>SUM(J110)/SUM(J164,J168,J170,J171)</f>
        <v>5.9270205066345</v>
      </c>
      <c r="K308" s="219">
        <f>SUM(K110)/SUM(K164,K168,K170,K171)</f>
        <v>5.5581797235023</v>
      </c>
      <c r="L308" s="219">
        <f>SUM(L110)/SUM(L164,L168,L170,L171)</f>
        <v>5.06036745406824</v>
      </c>
      <c r="N308" s="219">
        <f>SUM(N110)/SUM(N164,N168,N170,N171)</f>
        <v>3.75586334256694</v>
      </c>
      <c r="O308" s="219">
        <f>SUM(O110)/SUM(O164,O168,O170,O171)</f>
        <v>2.75724227221233</v>
      </c>
      <c r="P308" s="219">
        <f>SUM(P110)/SUM(P164,P168,P170,P171)</f>
        <v>2.41155963302752</v>
      </c>
      <c r="Q308" s="219">
        <f>SUM(Q110)/SUM(Q164,Q168,Q170,Q171)</f>
        <v>2.58828109791707</v>
      </c>
      <c r="S308" s="219">
        <f>SUM(S110)/SUM(S164,S168,S170,S171)</f>
        <v>2.63094624763867</v>
      </c>
      <c r="T308" s="219">
        <f>SUM(T110)/SUM(T164,T168,T170,T171)</f>
        <v>1.80500168976005</v>
      </c>
      <c r="U308" s="219">
        <f>SUM(U110)/SUM(U164,U168,U170,U171)</f>
        <v>2.39845184990816</v>
      </c>
      <c r="V308" s="219">
        <f>SUM(V110)/SUM(V164,V168,V170,V171)</f>
        <v>2.83885065006009</v>
      </c>
      <c r="X308" s="219">
        <f>SUM(X110)/SUM(X164,X168,X170,X171)</f>
        <v>2.29023093174037</v>
      </c>
      <c r="Y308" s="219">
        <f>SUM(Y110)/SUM(Y164,Y168,Y170,Y171)</f>
        <v>2.53662803411327</v>
      </c>
      <c r="Z308" s="219">
        <f>SUM(Z110)/SUM(Z164,Z168,Z170,Z171)</f>
        <v>2.3748611625324</v>
      </c>
      <c r="AA308" s="219">
        <f>SUM(AA110)/SUM(AA164,AA168,AA170,AA171)</f>
        <v>2.43313249619911</v>
      </c>
      <c r="AC308" s="219">
        <f>SUM(AC110)/SUM(AC164,AC168,AC170,AC171)</f>
        <v>2.04599496989559</v>
      </c>
      <c r="AD308" s="219">
        <f>SUM(AD110)/SUM(AD164,AD168,AD170,AD171)</f>
        <v>2.37063783603273</v>
      </c>
      <c r="AE308" s="219">
        <f>SUM(AE110)/SUM(AE164,AE168,AE170,AE171)</f>
        <v>2.4502931069335</v>
      </c>
      <c r="AF308" s="219">
        <f>SUM(AF110)/SUM(AF164,AF168,AF170,AF171)</f>
        <v>2.03156664068589</v>
      </c>
      <c r="AH308" s="219" t="e">
        <f>SUM(AH110)/SUM(AH164,AH168,AH170,AH171)</f>
        <v>#DIV/0!</v>
      </c>
      <c r="AI308" s="219" t="e">
        <f>SUM(AI110)/SUM(AI164,AI168,AI170,AI171)</f>
        <v>#DIV/0!</v>
      </c>
      <c r="AJ308" s="219" t="e">
        <f>SUM(AJ110)/SUM(AJ164,AJ168,AJ170,AJ171)</f>
        <v>#DIV/0!</v>
      </c>
      <c r="AK308" s="219" t="e">
        <f>SUM(AK110)/SUM(AK164,AK168,AK170,AK171)</f>
        <v>#DIV/0!</v>
      </c>
      <c r="AM308" s="219" t="e">
        <f>SUM(AM110)/SUM(AM164,AM168,AM170,AM171)</f>
        <v>#DIV/0!</v>
      </c>
      <c r="AN308" s="219" t="e">
        <f>SUM(AN110)/SUM(AN164,AN168,AN170,AN171)</f>
        <v>#DIV/0!</v>
      </c>
      <c r="AO308" s="219" t="e">
        <f>SUM(AO110)/SUM(AO164,AO168,AO170,AO171)</f>
        <v>#DIV/0!</v>
      </c>
      <c r="AP308" s="219" t="e">
        <f>SUM(AP110)/SUM(AP164,AP168,AP170,AP171)</f>
        <v>#DIV/0!</v>
      </c>
      <c r="AR308" s="219" t="e">
        <f>SUM(AR110)/SUM(AR164,AR168,AR170,AR171)</f>
        <v>#DIV/0!</v>
      </c>
      <c r="AS308" s="219" t="e">
        <f>SUM(AS110)/SUM(AS164,AS168,AS170,AS171)</f>
        <v>#DIV/0!</v>
      </c>
      <c r="AT308" s="219" t="e">
        <f>SUM(AT110)/SUM(AT164,AT168,AT170,AT171)</f>
        <v>#DIV/0!</v>
      </c>
      <c r="AU308" s="219" t="e">
        <f>SUM(AU110)/SUM(AU164,AU168,AU170,AU171)</f>
        <v>#DIV/0!</v>
      </c>
      <c r="AW308" s="219" t="e">
        <f>SUM(AW110)/SUM(AW164,AW168,AW170,AW171)</f>
        <v>#DIV/0!</v>
      </c>
      <c r="AX308" s="219" t="e">
        <f>SUM(AX110)/SUM(AX164,AX168,AX170,AX171)</f>
        <v>#DIV/0!</v>
      </c>
      <c r="AY308" s="219" t="e">
        <f>SUM(AY110)/SUM(AY164,AY168,AY170,AY171)</f>
        <v>#DIV/0!</v>
      </c>
      <c r="AZ308" s="219" t="e">
        <f>SUM(AZ110)/SUM(AZ164,AZ168,AZ170,AZ171)</f>
        <v>#DIV/0!</v>
      </c>
      <c r="BB308" s="219" t="e">
        <f>SUM(BB110)/SUM(BB164,BB168,BB170,BB171)</f>
        <v>#DIV/0!</v>
      </c>
      <c r="BC308" s="219" t="e">
        <f>SUM(BC110)/SUM(BC164,BC168,BC170,BC171)</f>
        <v>#DIV/0!</v>
      </c>
      <c r="BD308" s="219" t="e">
        <f>SUM(BD110)/SUM(BD164,BD168,BD170,BD171)</f>
        <v>#DIV/0!</v>
      </c>
      <c r="BE308" s="219" t="e">
        <f>SUM(BE110)/SUM(BE164,BE168,BE170,BE171)</f>
        <v>#DIV/0!</v>
      </c>
      <c r="BG308" s="219" t="e">
        <f>SUM(BG110)/SUM(BG164,BG168,BG170,BG171)</f>
        <v>#DIV/0!</v>
      </c>
      <c r="BH308" s="219" t="e">
        <f>SUM(BH110)/SUM(BH164,BH168,BH170,BH171)</f>
        <v>#DIV/0!</v>
      </c>
      <c r="BI308" s="219" t="e">
        <f>SUM(BI110)/SUM(BI164,BI168,BI170,BI171)</f>
        <v>#DIV/0!</v>
      </c>
      <c r="BJ308" s="219" t="e">
        <f>SUM(BJ110)/SUM(BJ164,BJ168,BJ170,BJ171)</f>
        <v>#DIV/0!</v>
      </c>
      <c r="BL308" s="219" t="e">
        <f>SUM(BL110)/SUM(BL164,BL168,BL170,BL171)</f>
        <v>#DIV/0!</v>
      </c>
      <c r="BM308" s="219" t="e">
        <f>SUM(BM110)/SUM(BM164,BM168,BM170,BM171)</f>
        <v>#DIV/0!</v>
      </c>
      <c r="BN308" s="219" t="e">
        <f>SUM(BN110)/SUM(BN164,BN168,BN170,BN171)</f>
        <v>#DIV/0!</v>
      </c>
      <c r="BO308" s="219" t="e">
        <f>SUM(BO110)/SUM(BO164,BO168,BO170,BO171)</f>
        <v>#DIV/0!</v>
      </c>
      <c r="BQ308" s="219" t="e">
        <f>SUM(BQ110)/SUM(BQ164,BQ168,BQ170,BQ171)</f>
        <v>#DIV/0!</v>
      </c>
      <c r="BR308" s="219" t="e">
        <f>SUM(BR110)/SUM(BR164,BR168,BR170,BR171)</f>
        <v>#DIV/0!</v>
      </c>
      <c r="BS308" s="219" t="e">
        <f>SUM(BS110)/SUM(BS164,BS168,BS170,BS171)</f>
        <v>#DIV/0!</v>
      </c>
      <c r="BT308" s="219" t="e">
        <f>SUM(BT110)/SUM(BT164,BT168,BT170,BT171)</f>
        <v>#DIV/0!</v>
      </c>
      <c r="BV308" s="219" t="e">
        <f>SUM(BV110)/SUM(BV164,BV168,BV170,BV171)</f>
        <v>#DIV/0!</v>
      </c>
      <c r="BW308" s="219" t="e">
        <f>SUM(BW110)/SUM(BW164,BW168,BW170,BW171)</f>
        <v>#DIV/0!</v>
      </c>
      <c r="BX308" s="219" t="e">
        <f>SUM(BX110)/SUM(BX164,BX168,BX170,BX171)</f>
        <v>#DIV/0!</v>
      </c>
      <c r="BY308" s="219" t="e">
        <f>SUM(BY110)/SUM(BY164,BY168,BY170,BY171)</f>
        <v>#DIV/0!</v>
      </c>
      <c r="CA308" s="219" t="e">
        <f>SUM(CA110)/SUM(CA164,CA168,CA170,CA171)</f>
        <v>#DIV/0!</v>
      </c>
      <c r="CB308" s="219" t="e">
        <f>SUM(CB110)/SUM(CB164,CB168,CB170,CB171)</f>
        <v>#DIV/0!</v>
      </c>
      <c r="CC308" s="219" t="e">
        <f>SUM(CC110)/SUM(CC164,CC168,CC170,CC171)</f>
        <v>#DIV/0!</v>
      </c>
      <c r="CD308" s="219" t="e">
        <f>SUM(CD110)/SUM(CD164,CD168,CD170,CD171)</f>
        <v>#DIV/0!</v>
      </c>
      <c r="CF308" s="219" t="e">
        <f>SUM(CF110)/SUM(CF164,CF168,CF170,CF171)</f>
        <v>#DIV/0!</v>
      </c>
      <c r="CG308" s="219" t="e">
        <f>SUM(CG110)/SUM(CG164,CG168,CG170,CG171)</f>
        <v>#DIV/0!</v>
      </c>
      <c r="CH308" s="219" t="e">
        <f>SUM(CH110)/SUM(CH164,CH168,CH170,CH171)</f>
        <v>#DIV/0!</v>
      </c>
      <c r="CI308" s="219" t="e">
        <f>SUM(CI110)/SUM(CI164,CI168,CI170,CI171)</f>
        <v>#DIV/0!</v>
      </c>
      <c r="CK308" s="219" t="e">
        <f>SUM(CK110)/SUM(CK164,CK168,CK170,CK171)</f>
        <v>#DIV/0!</v>
      </c>
      <c r="CL308" s="219" t="e">
        <f>SUM(CL110)/SUM(CL164,CL168,CL170,CL171)</f>
        <v>#DIV/0!</v>
      </c>
      <c r="CM308" s="219" t="e">
        <f>SUM(CM110)/SUM(CM164,CM168,CM170,CM171)</f>
        <v>#DIV/0!</v>
      </c>
      <c r="CN308" s="219" t="e">
        <f>SUM(CN110)/SUM(CN164,CN168,CN170,CN171)</f>
        <v>#DIV/0!</v>
      </c>
      <c r="CP308" s="219" t="e">
        <f>SUM(CP110)/SUM(CP164,CP168,CP170,CP171)</f>
        <v>#DIV/0!</v>
      </c>
      <c r="CQ308" s="219" t="e">
        <f>SUM(CQ110)/SUM(CQ164,CQ168,CQ170,CQ171)</f>
        <v>#DIV/0!</v>
      </c>
      <c r="CR308" s="219" t="e">
        <f>SUM(CR110)/SUM(CR164,CR168,CR170,CR171)</f>
        <v>#DIV/0!</v>
      </c>
      <c r="CS308" s="219" t="e">
        <f>SUM(CS110)/SUM(CS164,CS168,CS170,CS171)</f>
        <v>#DIV/0!</v>
      </c>
      <c r="CU308" s="219" t="e">
        <f>SUM(CU110)/SUM(CU164,CU168,CU170,CU171)</f>
        <v>#DIV/0!</v>
      </c>
      <c r="CV308" s="219" t="e">
        <f>SUM(CV110)/SUM(CV164,CV168,CV170,CV171)</f>
        <v>#DIV/0!</v>
      </c>
      <c r="CW308" s="219" t="e">
        <f>SUM(CW110)/SUM(CW164,CW168,CW170,CW171)</f>
        <v>#DIV/0!</v>
      </c>
      <c r="CX308" s="219" t="e">
        <f>SUM(CX110)/SUM(CX164,CX168,CX170,CX171)</f>
        <v>#DIV/0!</v>
      </c>
    </row>
    <row r="309" customFormat="1" s="233">
      <c r="A309" s="224" t="n"/>
      <c r="B309" s="224" t="n"/>
    </row>
    <row r="310" customFormat="1" s="233">
      <c r="A310" s="224" t="n"/>
      <c r="B310" s="224" t="n"/>
      <c r="C310" s="234" t="inlineStr">
        <is>
          <t>OPERATING EFFICIENCY</t>
        </is>
      </c>
    </row>
    <row r="311" customFormat="1" s="238">
      <c r="A311" s="222" t="n"/>
      <c r="B311" s="222" t="n"/>
      <c r="C311" s="238" t="inlineStr">
        <is>
          <t>RETURN ON CAPITAL (ROIC)</t>
        </is>
      </c>
      <c r="D311" s="238">
        <f>D313/D316</f>
        <v>0.210562571756602</v>
      </c>
      <c r="E311" s="238">
        <f>E313/E316</f>
        <v>0.0570537516052101</v>
      </c>
      <c r="F311" s="238">
        <f>F313/F316</f>
        <v>0.101720724836303</v>
      </c>
      <c r="G311" s="238">
        <f>G313/G316</f>
        <v>0.109623053193891</v>
      </c>
      <c r="I311" s="222">
        <f>I313/I316</f>
        <v>0.135805099794019</v>
      </c>
      <c r="J311" s="222">
        <f>J313/J316</f>
        <v>0.163577482257287</v>
      </c>
      <c r="K311" s="222">
        <f>K313/K316</f>
        <v>0.148864185596907</v>
      </c>
      <c r="L311" s="222">
        <f>L313/L316</f>
        <v>0.171739130434783</v>
      </c>
      <c r="N311" s="222">
        <f>N313/N316</f>
        <v>0.0894664086259331</v>
      </c>
      <c r="O311" s="222">
        <f>O313/O316</f>
        <v>0.0347034862191187</v>
      </c>
      <c r="P311" s="222">
        <f>P313/P316</f>
        <v>0.0334053841619179</v>
      </c>
      <c r="Q311" s="222">
        <f>Q313/Q316</f>
        <v>0.0670682540435422</v>
      </c>
      <c r="S311" s="222">
        <f>S313/S316</f>
        <v>0.0947148817802504</v>
      </c>
      <c r="T311" s="222">
        <f>T313/T316</f>
        <v>0.271344003508003</v>
      </c>
      <c r="U311" s="222">
        <f>U313/U316</f>
        <v>0.349650085114432</v>
      </c>
      <c r="V311" s="222">
        <f>V313/V316</f>
        <v>0.430906285072952</v>
      </c>
      <c r="X311" s="222">
        <f>X313/X316</f>
        <v>0.504030619157296</v>
      </c>
      <c r="Y311" s="222">
        <f>Y313/Y316</f>
        <v>0.487217118201297</v>
      </c>
      <c r="Z311" s="222">
        <f>Z313/Z316</f>
        <v>0.502485231738101</v>
      </c>
      <c r="AA311" s="222">
        <f>AA313/AA316</f>
        <v>0.467306919383157</v>
      </c>
      <c r="AC311" s="222">
        <f>AC313/AC316</f>
        <v>0.452202606035791</v>
      </c>
      <c r="AD311" s="222">
        <f>AD313/AD316</f>
        <v>0.477888910994954</v>
      </c>
      <c r="AE311" s="222">
        <f>AE313/AE316</f>
        <v>0.451139512526155</v>
      </c>
      <c r="AF311" s="222">
        <f>AF313/AF316</f>
        <v>0.398061580941968</v>
      </c>
      <c r="AH311" s="222">
        <f>AH313/AH316</f>
        <v>0.0947250487284559</v>
      </c>
      <c r="AI311" s="222">
        <f>AI313/AI316</f>
        <v>0.173764906303237</v>
      </c>
      <c r="AJ311" s="222" t="e">
        <f>AJ313/AJ316</f>
        <v>#DIV/0!</v>
      </c>
      <c r="AK311" s="222" t="e">
        <f>AK313/AK316</f>
        <v>#DIV/0!</v>
      </c>
      <c r="AM311" s="222" t="e">
        <f>AM313/AM316</f>
        <v>#DIV/0!</v>
      </c>
      <c r="AN311" s="222" t="e">
        <f>AN313/AN316</f>
        <v>#DIV/0!</v>
      </c>
      <c r="AO311" s="222" t="e">
        <f>AO313/AO316</f>
        <v>#DIV/0!</v>
      </c>
      <c r="AP311" s="222" t="e">
        <f>AP313/AP316</f>
        <v>#DIV/0!</v>
      </c>
      <c r="AR311" s="222" t="e">
        <f>AR313/AR316</f>
        <v>#DIV/0!</v>
      </c>
      <c r="AS311" s="222" t="e">
        <f>AS313/AS316</f>
        <v>#DIV/0!</v>
      </c>
      <c r="AT311" s="222" t="e">
        <f>AT313/AT316</f>
        <v>#DIV/0!</v>
      </c>
      <c r="AU311" s="222" t="e">
        <f>AU313/AU316</f>
        <v>#DIV/0!</v>
      </c>
      <c r="AW311" s="222" t="e">
        <f>AW313/AW316</f>
        <v>#DIV/0!</v>
      </c>
      <c r="AX311" s="222" t="e">
        <f>AX313/AX316</f>
        <v>#DIV/0!</v>
      </c>
      <c r="AY311" s="222" t="e">
        <f>AY313/AY316</f>
        <v>#DIV/0!</v>
      </c>
      <c r="AZ311" s="222" t="e">
        <f>AZ313/AZ316</f>
        <v>#DIV/0!</v>
      </c>
      <c r="BB311" s="222" t="e">
        <f>BB313/BB316</f>
        <v>#DIV/0!</v>
      </c>
      <c r="BC311" s="222" t="e">
        <f>BC313/BC316</f>
        <v>#DIV/0!</v>
      </c>
      <c r="BD311" s="222" t="e">
        <f>BD313/BD316</f>
        <v>#DIV/0!</v>
      </c>
      <c r="BE311" s="222" t="e">
        <f>BE313/BE316</f>
        <v>#DIV/0!</v>
      </c>
      <c r="BG311" s="222" t="e">
        <f>BG313/BG316</f>
        <v>#DIV/0!</v>
      </c>
      <c r="BH311" s="222" t="e">
        <f>BH313/BH316</f>
        <v>#DIV/0!</v>
      </c>
      <c r="BI311" s="222" t="e">
        <f>BI313/BI316</f>
        <v>#DIV/0!</v>
      </c>
      <c r="BJ311" s="222" t="e">
        <f>BJ313/BJ316</f>
        <v>#DIV/0!</v>
      </c>
      <c r="BL311" s="222" t="e">
        <f>BL313/BL316</f>
        <v>#DIV/0!</v>
      </c>
      <c r="BM311" s="222" t="e">
        <f>BM313/BM316</f>
        <v>#DIV/0!</v>
      </c>
      <c r="BN311" s="222" t="e">
        <f>BN313/BN316</f>
        <v>#DIV/0!</v>
      </c>
      <c r="BO311" s="222" t="e">
        <f>BO313/BO316</f>
        <v>#DIV/0!</v>
      </c>
      <c r="BQ311" s="222" t="e">
        <f>BQ313/BQ316</f>
        <v>#DIV/0!</v>
      </c>
      <c r="BR311" s="222" t="e">
        <f>BR313/BR316</f>
        <v>#DIV/0!</v>
      </c>
      <c r="BS311" s="222" t="e">
        <f>BS313/BS316</f>
        <v>#DIV/0!</v>
      </c>
      <c r="BT311" s="222" t="e">
        <f>BT313/BT316</f>
        <v>#DIV/0!</v>
      </c>
      <c r="BV311" s="222" t="e">
        <f>BV313/BV316</f>
        <v>#DIV/0!</v>
      </c>
      <c r="BW311" s="222" t="e">
        <f>BW313/BW316</f>
        <v>#DIV/0!</v>
      </c>
      <c r="BX311" s="222" t="e">
        <f>BX313/BX316</f>
        <v>#DIV/0!</v>
      </c>
      <c r="BY311" s="222" t="e">
        <f>BY313/BY316</f>
        <v>#DIV/0!</v>
      </c>
      <c r="CA311" s="222" t="e">
        <f>CA313/CA316</f>
        <v>#DIV/0!</v>
      </c>
      <c r="CB311" s="222" t="e">
        <f>CB313/CB316</f>
        <v>#DIV/0!</v>
      </c>
      <c r="CC311" s="222" t="e">
        <f>CC313/CC316</f>
        <v>#DIV/0!</v>
      </c>
      <c r="CD311" s="222" t="e">
        <f>CD313/CD316</f>
        <v>#DIV/0!</v>
      </c>
      <c r="CF311" s="222" t="e">
        <f>CF313/CF316</f>
        <v>#DIV/0!</v>
      </c>
      <c r="CG311" s="222" t="e">
        <f>CG313/CG316</f>
        <v>#DIV/0!</v>
      </c>
      <c r="CH311" s="222" t="e">
        <f>CH313/CH316</f>
        <v>#DIV/0!</v>
      </c>
      <c r="CI311" s="222" t="e">
        <f>CI313/CI316</f>
        <v>#DIV/0!</v>
      </c>
      <c r="CK311" s="222" t="e">
        <f>CK313/CK316</f>
        <v>#DIV/0!</v>
      </c>
      <c r="CL311" s="222" t="e">
        <f>CL313/CL316</f>
        <v>#DIV/0!</v>
      </c>
      <c r="CM311" s="222" t="e">
        <f>CM313/CM316</f>
        <v>#DIV/0!</v>
      </c>
      <c r="CN311" s="222" t="e">
        <f>CN313/CN316</f>
        <v>#DIV/0!</v>
      </c>
      <c r="CP311" s="222" t="e">
        <f>CP313/CP316</f>
        <v>#DIV/0!</v>
      </c>
      <c r="CQ311" s="222" t="e">
        <f>CQ313/CQ316</f>
        <v>#DIV/0!</v>
      </c>
      <c r="CR311" s="222" t="e">
        <f>CR313/CR316</f>
        <v>#DIV/0!</v>
      </c>
      <c r="CS311" s="222" t="e">
        <f>CS313/CS316</f>
        <v>#DIV/0!</v>
      </c>
      <c r="CU311" s="222" t="e">
        <f>CU313/CU316</f>
        <v>#DIV/0!</v>
      </c>
      <c r="CV311" s="222" t="e">
        <f>CV313/CV316</f>
        <v>#DIV/0!</v>
      </c>
      <c r="CW311" s="222" t="e">
        <f>CW313/CW316</f>
        <v>#DIV/0!</v>
      </c>
      <c r="CX311" s="222" t="e">
        <f>CX313/CX316</f>
        <v>#DIV/0!</v>
      </c>
    </row>
    <row r="312" customFormat="1" s="238">
      <c r="A312" s="222" t="n"/>
      <c r="B312" s="222" t="n"/>
      <c r="C312" s="238" t="inlineStr">
        <is>
          <t>RETURN ON CAPITAL (ROIC) - EX GOODWILL</t>
        </is>
      </c>
      <c r="D312" s="238">
        <f>D313/D317</f>
        <v>0.246042393345855</v>
      </c>
      <c r="E312" s="238">
        <f>E313/E317</f>
        <v>0.0927112833507229</v>
      </c>
      <c r="F312" s="238">
        <f>F313/F317</f>
        <v>0.149424001789509</v>
      </c>
      <c r="G312" s="238">
        <f>G313/G317</f>
        <v>0.160145086832271</v>
      </c>
      <c r="I312" s="222">
        <f>I313/I317</f>
        <v>0.193404814889743</v>
      </c>
      <c r="J312" s="222">
        <f>J313/J317</f>
        <v>0.230038759689923</v>
      </c>
      <c r="K312" s="222">
        <f>K313/K317</f>
        <v>0.201142857142857</v>
      </c>
      <c r="L312" s="222">
        <f>L313/L317</f>
        <v>0.228619297844795</v>
      </c>
      <c r="N312" s="222">
        <f>N313/N317</f>
        <v>0.117930029154519</v>
      </c>
      <c r="O312" s="222">
        <f>O313/O317</f>
        <v>0.0451448627073154</v>
      </c>
      <c r="P312" s="222">
        <f>P313/P317</f>
        <v>0.0425425425425425</v>
      </c>
      <c r="Q312" s="222">
        <f>Q313/Q317</f>
        <v>0.0846149243013584</v>
      </c>
      <c r="S312" s="222">
        <f>S313/S317</f>
        <v>0.119194865810969</v>
      </c>
      <c r="T312" s="222">
        <f>T313/T317</f>
        <v>0.336761904761905</v>
      </c>
      <c r="U312" s="222">
        <f>U313/U317</f>
        <v>0.420040899795501</v>
      </c>
      <c r="V312" s="222">
        <f>V313/V317</f>
        <v>0.510173573623453</v>
      </c>
      <c r="X312" s="222">
        <f>X313/X317</f>
        <v>0.593554305771609</v>
      </c>
      <c r="Y312" s="222">
        <f>Y313/Y317</f>
        <v>0.563690698543145</v>
      </c>
      <c r="Z312" s="222">
        <f>Z313/Z317</f>
        <v>0.572916357594279</v>
      </c>
      <c r="AA312" s="222">
        <f>AA313/AA317</f>
        <v>0.524913864797434</v>
      </c>
      <c r="AC312" s="222">
        <f>AC313/AC317</f>
        <v>0.521223730601594</v>
      </c>
      <c r="AD312" s="222">
        <f>AD313/AD317</f>
        <v>0.533411394193887</v>
      </c>
      <c r="AE312" s="222">
        <f>AE313/AE317</f>
        <v>0.494951218377255</v>
      </c>
      <c r="AF312" s="222">
        <f>AF313/AF317</f>
        <v>0.493277146892331</v>
      </c>
      <c r="AH312" s="222">
        <f>AH313/AH317</f>
        <v>0.139244218838127</v>
      </c>
      <c r="AI312" s="222">
        <f>AI313/AI317</f>
        <v>0.255431472081218</v>
      </c>
      <c r="AJ312" s="222" t="e">
        <f>AJ313/AJ317</f>
        <v>#DIV/0!</v>
      </c>
      <c r="AK312" s="222" t="e">
        <f>AK313/AK317</f>
        <v>#DIV/0!</v>
      </c>
      <c r="AM312" s="222" t="e">
        <f>AM313/AM317</f>
        <v>#DIV/0!</v>
      </c>
      <c r="AN312" s="222" t="e">
        <f>AN313/AN317</f>
        <v>#DIV/0!</v>
      </c>
      <c r="AO312" s="222" t="e">
        <f>AO313/AO317</f>
        <v>#DIV/0!</v>
      </c>
      <c r="AP312" s="222" t="e">
        <f>AP313/AP317</f>
        <v>#DIV/0!</v>
      </c>
      <c r="AR312" s="222" t="e">
        <f>AR313/AR317</f>
        <v>#DIV/0!</v>
      </c>
      <c r="AS312" s="222" t="e">
        <f>AS313/AS317</f>
        <v>#DIV/0!</v>
      </c>
      <c r="AT312" s="222" t="e">
        <f>AT313/AT317</f>
        <v>#DIV/0!</v>
      </c>
      <c r="AU312" s="222" t="e">
        <f>AU313/AU317</f>
        <v>#DIV/0!</v>
      </c>
      <c r="AW312" s="222" t="e">
        <f>AW313/AW317</f>
        <v>#DIV/0!</v>
      </c>
      <c r="AX312" s="222" t="e">
        <f>AX313/AX317</f>
        <v>#DIV/0!</v>
      </c>
      <c r="AY312" s="222" t="e">
        <f>AY313/AY317</f>
        <v>#DIV/0!</v>
      </c>
      <c r="AZ312" s="222" t="e">
        <f>AZ313/AZ317</f>
        <v>#DIV/0!</v>
      </c>
      <c r="BB312" s="222" t="e">
        <f>BB313/BB317</f>
        <v>#DIV/0!</v>
      </c>
      <c r="BC312" s="222" t="e">
        <f>BC313/BC317</f>
        <v>#DIV/0!</v>
      </c>
      <c r="BD312" s="222" t="e">
        <f>BD313/BD317</f>
        <v>#DIV/0!</v>
      </c>
      <c r="BE312" s="222" t="e">
        <f>BE313/BE317</f>
        <v>#DIV/0!</v>
      </c>
      <c r="BG312" s="222" t="e">
        <f>BG313/BG317</f>
        <v>#DIV/0!</v>
      </c>
      <c r="BH312" s="222" t="e">
        <f>BH313/BH317</f>
        <v>#DIV/0!</v>
      </c>
      <c r="BI312" s="222" t="e">
        <f>BI313/BI317</f>
        <v>#DIV/0!</v>
      </c>
      <c r="BJ312" s="222" t="e">
        <f>BJ313/BJ317</f>
        <v>#DIV/0!</v>
      </c>
      <c r="BL312" s="222" t="e">
        <f>BL313/BL317</f>
        <v>#DIV/0!</v>
      </c>
      <c r="BM312" s="222" t="e">
        <f>BM313/BM317</f>
        <v>#DIV/0!</v>
      </c>
      <c r="BN312" s="222" t="e">
        <f>BN313/BN317</f>
        <v>#DIV/0!</v>
      </c>
      <c r="BO312" s="222" t="e">
        <f>BO313/BO317</f>
        <v>#DIV/0!</v>
      </c>
      <c r="BQ312" s="222" t="e">
        <f>BQ313/BQ317</f>
        <v>#DIV/0!</v>
      </c>
      <c r="BR312" s="222" t="e">
        <f>BR313/BR317</f>
        <v>#DIV/0!</v>
      </c>
      <c r="BS312" s="222" t="e">
        <f>BS313/BS317</f>
        <v>#DIV/0!</v>
      </c>
      <c r="BT312" s="222" t="e">
        <f>BT313/BT317</f>
        <v>#DIV/0!</v>
      </c>
      <c r="BV312" s="222" t="e">
        <f>BV313/BV317</f>
        <v>#DIV/0!</v>
      </c>
      <c r="BW312" s="222" t="e">
        <f>BW313/BW317</f>
        <v>#DIV/0!</v>
      </c>
      <c r="BX312" s="222" t="e">
        <f>BX313/BX317</f>
        <v>#DIV/0!</v>
      </c>
      <c r="BY312" s="222" t="e">
        <f>BY313/BY317</f>
        <v>#DIV/0!</v>
      </c>
      <c r="CA312" s="222" t="e">
        <f>CA313/CA317</f>
        <v>#DIV/0!</v>
      </c>
      <c r="CB312" s="222" t="e">
        <f>CB313/CB317</f>
        <v>#DIV/0!</v>
      </c>
      <c r="CC312" s="222" t="e">
        <f>CC313/CC317</f>
        <v>#DIV/0!</v>
      </c>
      <c r="CD312" s="222" t="e">
        <f>CD313/CD317</f>
        <v>#DIV/0!</v>
      </c>
      <c r="CF312" s="222" t="e">
        <f>CF313/CF317</f>
        <v>#DIV/0!</v>
      </c>
      <c r="CG312" s="222" t="e">
        <f>CG313/CG317</f>
        <v>#DIV/0!</v>
      </c>
      <c r="CH312" s="222" t="e">
        <f>CH313/CH317</f>
        <v>#DIV/0!</v>
      </c>
      <c r="CI312" s="222" t="e">
        <f>CI313/CI317</f>
        <v>#DIV/0!</v>
      </c>
      <c r="CK312" s="222" t="e">
        <f>CK313/CK317</f>
        <v>#DIV/0!</v>
      </c>
      <c r="CL312" s="222" t="e">
        <f>CL313/CL317</f>
        <v>#DIV/0!</v>
      </c>
      <c r="CM312" s="222" t="e">
        <f>CM313/CM317</f>
        <v>#DIV/0!</v>
      </c>
      <c r="CN312" s="222" t="e">
        <f>CN313/CN317</f>
        <v>#DIV/0!</v>
      </c>
      <c r="CP312" s="222" t="e">
        <f>CP313/CP317</f>
        <v>#DIV/0!</v>
      </c>
      <c r="CQ312" s="222" t="e">
        <f>CQ313/CQ317</f>
        <v>#DIV/0!</v>
      </c>
      <c r="CR312" s="222" t="e">
        <f>CR313/CR317</f>
        <v>#DIV/0!</v>
      </c>
      <c r="CS312" s="222" t="e">
        <f>CS313/CS317</f>
        <v>#DIV/0!</v>
      </c>
      <c r="CU312" s="222" t="e">
        <f>CU313/CU317</f>
        <v>#DIV/0!</v>
      </c>
      <c r="CV312" s="222" t="e">
        <f>CV313/CV317</f>
        <v>#DIV/0!</v>
      </c>
      <c r="CW312" s="222" t="e">
        <f>CW313/CW317</f>
        <v>#DIV/0!</v>
      </c>
      <c r="CX312" s="222" t="e">
        <f>CX313/CX317</f>
        <v>#DIV/0!</v>
      </c>
    </row>
    <row r="313" customFormat="1" s="233">
      <c r="A313" s="224" t="n"/>
      <c r="B313" s="224" t="n"/>
      <c r="C313" s="233" t="inlineStr">
        <is>
          <t>NOPLAT</t>
        </is>
      </c>
      <c r="D313" s="233">
        <f>D314*(1-D315)</f>
        <v>917</v>
      </c>
      <c r="E313" s="233">
        <f>E314*(1-E315)</f>
        <v>622</v>
      </c>
      <c r="F313" s="233">
        <f>F314*(1-F315)</f>
        <v>1336</v>
      </c>
      <c r="G313" s="233">
        <f>G314*(1-G315)</f>
        <v>1457</v>
      </c>
      <c r="I313" s="223">
        <f>I314*(1-I315)</f>
        <v>1912</v>
      </c>
      <c r="J313" s="224">
        <f>J314*(1-J315)</f>
        <v>2374</v>
      </c>
      <c r="K313" s="224">
        <f>K314*(1-K315)</f>
        <v>2464</v>
      </c>
      <c r="L313" s="224">
        <f>L314*(1-L315)</f>
        <v>3002</v>
      </c>
      <c r="N313" s="223">
        <f>N314*(1-N315)</f>
        <v>1618</v>
      </c>
      <c r="O313" s="224">
        <f>O314*(1-O315)</f>
        <v>656</v>
      </c>
      <c r="P313" s="224">
        <f>P314*(1-P315)</f>
        <v>680</v>
      </c>
      <c r="Q313" s="224">
        <f>Q314*(1-Q315)</f>
        <v>1414</v>
      </c>
      <c r="S313" s="223">
        <f>S314*(1-S315)</f>
        <v>2043</v>
      </c>
      <c r="T313" s="224">
        <f>T314*(1-T315)</f>
        <v>6188</v>
      </c>
      <c r="U313" s="224">
        <f>U314*(1-U315)</f>
        <v>9243</v>
      </c>
      <c r="V313" s="224">
        <f>V314*(1-V315)</f>
        <v>12286</v>
      </c>
      <c r="X313" s="223">
        <f>X314*(1-X315)</f>
        <v>14881</v>
      </c>
      <c r="Y313" s="224">
        <f>Y314*(1-Y315)</f>
        <v>16599</v>
      </c>
      <c r="Z313" s="224">
        <f>Z314*(1-Z315)</f>
        <v>19309</v>
      </c>
      <c r="AA313" s="224">
        <f>AA314*(1-AA315)</f>
        <v>22091</v>
      </c>
      <c r="AC313" s="223">
        <f>AC314*(1-AC315)</f>
        <v>18775</v>
      </c>
      <c r="AD313" s="224">
        <f>AD314*(1-AD315)</f>
        <v>26422</v>
      </c>
      <c r="AE313" s="224">
        <f>AE314*(1-AE315)</f>
        <v>31910</v>
      </c>
      <c r="AF313" s="224">
        <f>AF314*(1-AF315)</f>
        <v>42960</v>
      </c>
      <c r="AH313" s="223">
        <f>AH314*(1-AH315)</f>
        <v>6172</v>
      </c>
      <c r="AI313" s="224">
        <f>AI314*(1-AI315)</f>
        <v>11322</v>
      </c>
      <c r="AJ313" s="224">
        <f>AJ314*(1-AJ315)</f>
        <v>6172</v>
      </c>
      <c r="AK313" s="224">
        <f>AK314*(1-AK315)</f>
        <v>11322</v>
      </c>
      <c r="AM313" s="223">
        <f>AM314*(1-AM315)</f>
        <v>11322</v>
      </c>
      <c r="AN313" s="224">
        <f>AN314*(1-AN315)</f>
        <v>34988</v>
      </c>
      <c r="AO313" s="224">
        <f>AO314*(1-AO315)</f>
        <v>11322</v>
      </c>
      <c r="AP313" s="224">
        <f>AP314*(1-AP315)</f>
        <v>34988</v>
      </c>
      <c r="AR313" s="223">
        <f>AR314*(1-AR315)</f>
        <v>34988</v>
      </c>
      <c r="AS313" s="224">
        <f>AS314*(1-AS315)</f>
        <v>92620</v>
      </c>
      <c r="AT313" s="224">
        <f>AT314*(1-AT315)</f>
        <v>34988</v>
      </c>
      <c r="AU313" s="224">
        <f>AU314*(1-AU315)</f>
        <v>92620</v>
      </c>
      <c r="AW313" s="223">
        <f>AW314*(1-AW315)</f>
        <v>92620</v>
      </c>
      <c r="AX313" s="224">
        <f>AX314*(1-AX315)</f>
        <v>255216</v>
      </c>
      <c r="AY313" s="224">
        <f>AY314*(1-AY315)</f>
        <v>92620</v>
      </c>
      <c r="AZ313" s="224">
        <f>AZ314*(1-AZ315)</f>
        <v>255216</v>
      </c>
      <c r="BB313" s="223">
        <f>BB314*(1-BB315)</f>
        <v>255216</v>
      </c>
      <c r="BC313" s="224">
        <f>BC314*(1-BC315)</f>
        <v>695672</v>
      </c>
      <c r="BD313" s="224">
        <f>BD314*(1-BD315)</f>
        <v>255216</v>
      </c>
      <c r="BE313" s="224">
        <f>BE314*(1-BE315)</f>
        <v>695672</v>
      </c>
      <c r="BG313" s="223">
        <f>BG314*(1-BG315)</f>
        <v>695672</v>
      </c>
      <c r="BH313" s="224">
        <f>BH314*(1-BH315)</f>
        <v>1901776</v>
      </c>
      <c r="BI313" s="224">
        <f>BI314*(1-BI315)</f>
        <v>695672</v>
      </c>
      <c r="BJ313" s="224">
        <f>BJ314*(1-BJ315)</f>
        <v>1901776</v>
      </c>
      <c r="BL313" s="223">
        <f>BL314*(1-BL315)</f>
        <v>1901776</v>
      </c>
      <c r="BM313" s="224">
        <f>BM314*(1-BM315)</f>
        <v>5194896</v>
      </c>
      <c r="BN313" s="224">
        <f>BN314*(1-BN315)</f>
        <v>1901776</v>
      </c>
      <c r="BO313" s="224">
        <f>BO314*(1-BO315)</f>
        <v>5194896</v>
      </c>
      <c r="BQ313" s="223">
        <f>BQ314*(1-BQ315)</f>
        <v>5194896</v>
      </c>
      <c r="BR313" s="224">
        <f>BR314*(1-BR315)</f>
        <v>14193344</v>
      </c>
      <c r="BS313" s="224">
        <f>BS314*(1-BS315)</f>
        <v>5194896</v>
      </c>
      <c r="BT313" s="224">
        <f>BT314*(1-BT315)</f>
        <v>14193344</v>
      </c>
      <c r="BV313" s="223">
        <f>BV314*(1-BV315)</f>
        <v>14193344</v>
      </c>
      <c r="BW313" s="224">
        <f>BW314*(1-BW315)</f>
        <v>38776480</v>
      </c>
      <c r="BX313" s="224">
        <f>BX314*(1-BX315)</f>
        <v>14193344</v>
      </c>
      <c r="BY313" s="224">
        <f>BY314*(1-BY315)</f>
        <v>38776480</v>
      </c>
      <c r="CA313" s="223">
        <f>CA314*(1-CA315)</f>
        <v>38776480</v>
      </c>
      <c r="CB313" s="224">
        <f>CB314*(1-CB315)</f>
        <v>105939648</v>
      </c>
      <c r="CC313" s="224">
        <f>CC314*(1-CC315)</f>
        <v>38776480</v>
      </c>
      <c r="CD313" s="224">
        <f>CD314*(1-CD315)</f>
        <v>105939648</v>
      </c>
      <c r="CF313" s="223">
        <f>CF314*(1-CF315)</f>
        <v>105939648</v>
      </c>
      <c r="CG313" s="224">
        <f>CG314*(1-CG315)</f>
        <v>289432256</v>
      </c>
      <c r="CH313" s="224">
        <f>CH314*(1-CH315)</f>
        <v>105939648</v>
      </c>
      <c r="CI313" s="224">
        <f>CI314*(1-CI315)</f>
        <v>289432256</v>
      </c>
      <c r="CK313" s="223">
        <f>CK314*(1-CK315)</f>
        <v>289432256</v>
      </c>
      <c r="CL313" s="224">
        <f>CL314*(1-CL315)</f>
        <v>790743808</v>
      </c>
      <c r="CM313" s="224">
        <f>CM314*(1-CM315)</f>
        <v>289432256</v>
      </c>
      <c r="CN313" s="224">
        <f>CN314*(1-CN315)</f>
        <v>790743808</v>
      </c>
      <c r="CP313" s="223">
        <f>CP314*(1-CP315)</f>
        <v>790743808</v>
      </c>
      <c r="CQ313" s="224">
        <f>CQ314*(1-CQ315)</f>
        <v>2160352128</v>
      </c>
      <c r="CR313" s="224">
        <f>CR314*(1-CR315)</f>
        <v>790743808</v>
      </c>
      <c r="CS313" s="224">
        <f>CS314*(1-CS315)</f>
        <v>2160352128</v>
      </c>
      <c r="CU313" s="223">
        <f>CU314*(1-CU315)</f>
        <v>2160352128</v>
      </c>
      <c r="CV313" s="224">
        <f>CV314*(1-CV315)</f>
        <v>5902191872</v>
      </c>
      <c r="CW313" s="224">
        <f>CW314*(1-CW315)</f>
        <v>2160352128</v>
      </c>
      <c r="CX313" s="224">
        <f>CX314*(1-CX315)</f>
        <v>5902191872</v>
      </c>
    </row>
    <row r="314" customFormat="1" s="233">
      <c r="A314" s="224" t="n"/>
      <c r="B314" s="224" t="n"/>
      <c r="C314" s="233" t="inlineStr">
        <is>
          <t>EBIT</t>
        </is>
      </c>
      <c r="D314" s="239">
        <f>D96</f>
        <v>981</v>
      </c>
      <c r="E314" s="239">
        <f>E96</f>
        <v>609</v>
      </c>
      <c r="F314" s="239">
        <f>F96</f>
        <v>1348</v>
      </c>
      <c r="G314" s="239">
        <f>G96</f>
        <v>1471</v>
      </c>
      <c r="I314" s="36">
        <f>I96</f>
        <v>2044</v>
      </c>
      <c r="J314" s="36">
        <f>J96</f>
        <v>2394</v>
      </c>
      <c r="K314" s="36">
        <f>K96</f>
        <v>2638</v>
      </c>
      <c r="L314" s="36">
        <f>L96</f>
        <v>2865</v>
      </c>
      <c r="N314" s="36">
        <f>N96</f>
        <v>1805</v>
      </c>
      <c r="O314" s="36">
        <f>O96</f>
        <v>475</v>
      </c>
      <c r="P314" s="36">
        <f>P96</f>
        <v>613</v>
      </c>
      <c r="Q314" s="36">
        <f>Q96</f>
        <v>1288</v>
      </c>
      <c r="S314" s="36">
        <f>S96</f>
        <v>2209</v>
      </c>
      <c r="T314" s="36">
        <f>T96</f>
        <v>6981</v>
      </c>
      <c r="U314" s="36">
        <f>U96</f>
        <v>10522</v>
      </c>
      <c r="V314" s="36">
        <f>V96</f>
        <v>14106</v>
      </c>
      <c r="X314" s="36">
        <f>X96</f>
        <v>17279</v>
      </c>
      <c r="Y314" s="36">
        <f>Y96</f>
        <v>19214</v>
      </c>
      <c r="Z314" s="36">
        <f>Z96</f>
        <v>22316</v>
      </c>
      <c r="AA314" s="36">
        <f>AA96</f>
        <v>25217</v>
      </c>
      <c r="AC314" s="36">
        <f>AC96</f>
        <v>21910</v>
      </c>
      <c r="AD314" s="36">
        <f>AD96</f>
        <v>31206</v>
      </c>
      <c r="AE314" s="36">
        <f>AE96</f>
        <v>37936</v>
      </c>
      <c r="AF314" s="36">
        <f>AF96</f>
        <v>50398</v>
      </c>
      <c r="AH314" s="36">
        <f>AH96</f>
        <v>6172</v>
      </c>
      <c r="AI314" s="36">
        <f>AI96</f>
        <v>11322</v>
      </c>
      <c r="AJ314" s="36">
        <f>AJ96</f>
        <v>6172</v>
      </c>
      <c r="AK314" s="36">
        <f>AK96</f>
        <v>11322</v>
      </c>
      <c r="AM314" s="36">
        <f>AM96</f>
        <v>11322</v>
      </c>
      <c r="AN314" s="36">
        <f>AN96</f>
        <v>34988</v>
      </c>
      <c r="AO314" s="36">
        <f>AO96</f>
        <v>11322</v>
      </c>
      <c r="AP314" s="36">
        <f>AP96</f>
        <v>34988</v>
      </c>
      <c r="AR314" s="36">
        <f>AR96</f>
        <v>34988</v>
      </c>
      <c r="AS314" s="36">
        <f>AS96</f>
        <v>92620</v>
      </c>
      <c r="AT314" s="36">
        <f>AT96</f>
        <v>34988</v>
      </c>
      <c r="AU314" s="36">
        <f>AU96</f>
        <v>92620</v>
      </c>
      <c r="AW314" s="36">
        <f>AW96</f>
        <v>92620</v>
      </c>
      <c r="AX314" s="36">
        <f>AX96</f>
        <v>255216</v>
      </c>
      <c r="AY314" s="36">
        <f>AY96</f>
        <v>92620</v>
      </c>
      <c r="AZ314" s="36">
        <f>AZ96</f>
        <v>255216</v>
      </c>
      <c r="BB314" s="36">
        <f>BB96</f>
        <v>255216</v>
      </c>
      <c r="BC314" s="36">
        <f>BC96</f>
        <v>695672</v>
      </c>
      <c r="BD314" s="36">
        <f>BD96</f>
        <v>255216</v>
      </c>
      <c r="BE314" s="36">
        <f>BE96</f>
        <v>695672</v>
      </c>
      <c r="BG314" s="36">
        <f>BG96</f>
        <v>695672</v>
      </c>
      <c r="BH314" s="36">
        <f>BH96</f>
        <v>1901776</v>
      </c>
      <c r="BI314" s="36">
        <f>BI96</f>
        <v>695672</v>
      </c>
      <c r="BJ314" s="36">
        <f>BJ96</f>
        <v>1901776</v>
      </c>
      <c r="BL314" s="36">
        <f>BL96</f>
        <v>1901776</v>
      </c>
      <c r="BM314" s="36">
        <f>BM96</f>
        <v>5194896</v>
      </c>
      <c r="BN314" s="36">
        <f>BN96</f>
        <v>1901776</v>
      </c>
      <c r="BO314" s="36">
        <f>BO96</f>
        <v>5194896</v>
      </c>
      <c r="BQ314" s="36">
        <f>BQ96</f>
        <v>5194896</v>
      </c>
      <c r="BR314" s="36">
        <f>BR96</f>
        <v>14193344</v>
      </c>
      <c r="BS314" s="36">
        <f>BS96</f>
        <v>5194896</v>
      </c>
      <c r="BT314" s="36">
        <f>BT96</f>
        <v>14193344</v>
      </c>
      <c r="BV314" s="36">
        <f>BV96</f>
        <v>14193344</v>
      </c>
      <c r="BW314" s="36">
        <f>BW96</f>
        <v>38776480</v>
      </c>
      <c r="BX314" s="36">
        <f>BX96</f>
        <v>14193344</v>
      </c>
      <c r="BY314" s="36">
        <f>BY96</f>
        <v>38776480</v>
      </c>
      <c r="CA314" s="36">
        <f>CA96</f>
        <v>38776480</v>
      </c>
      <c r="CB314" s="36">
        <f>CB96</f>
        <v>105939648</v>
      </c>
      <c r="CC314" s="36">
        <f>CC96</f>
        <v>38776480</v>
      </c>
      <c r="CD314" s="36">
        <f>CD96</f>
        <v>105939648</v>
      </c>
      <c r="CF314" s="36">
        <f>CF96</f>
        <v>105939648</v>
      </c>
      <c r="CG314" s="36">
        <f>CG96</f>
        <v>289432256</v>
      </c>
      <c r="CH314" s="36">
        <f>CH96</f>
        <v>105939648</v>
      </c>
      <c r="CI314" s="36">
        <f>CI96</f>
        <v>289432256</v>
      </c>
      <c r="CK314" s="36">
        <f>CK96</f>
        <v>289432256</v>
      </c>
      <c r="CL314" s="36">
        <f>CL96</f>
        <v>790743808</v>
      </c>
      <c r="CM314" s="36">
        <f>CM96</f>
        <v>289432256</v>
      </c>
      <c r="CN314" s="36">
        <f>CN96</f>
        <v>790743808</v>
      </c>
      <c r="CP314" s="36">
        <f>CP96</f>
        <v>790743808</v>
      </c>
      <c r="CQ314" s="36">
        <f>CQ96</f>
        <v>2160352128</v>
      </c>
      <c r="CR314" s="36">
        <f>CR96</f>
        <v>790743808</v>
      </c>
      <c r="CS314" s="36">
        <f>CS96</f>
        <v>2160352128</v>
      </c>
      <c r="CU314" s="36">
        <f>CU96</f>
        <v>2160352128</v>
      </c>
      <c r="CV314" s="36">
        <f>CV96</f>
        <v>5902191872</v>
      </c>
      <c r="CW314" s="36">
        <f>CW96</f>
        <v>2160352128</v>
      </c>
      <c r="CX314" s="36">
        <f>CX96</f>
        <v>5902191872</v>
      </c>
    </row>
    <row r="315" customFormat="1" s="233">
      <c r="A315" s="224" t="n"/>
      <c r="B315" s="224" t="n"/>
      <c r="C315" s="233" t="inlineStr">
        <is>
          <t>ETR</t>
        </is>
      </c>
      <c r="D315" s="240">
        <f>D98</f>
        <v>0.0652395514780836</v>
      </c>
      <c r="E315" s="240">
        <f>E98</f>
        <v>-0.0213464696223317</v>
      </c>
      <c r="F315" s="240">
        <f>F98</f>
        <v>0.00890207715133531</v>
      </c>
      <c r="G315" s="240">
        <f>G98</f>
        <v>0.00951733514615908</v>
      </c>
      <c r="I315" s="225">
        <f>I98</f>
        <v>0.0645792563600783</v>
      </c>
      <c r="J315" s="225">
        <f>J98</f>
        <v>0.00835421888053467</v>
      </c>
      <c r="K315" s="225">
        <f>K98</f>
        <v>0.065959059893859</v>
      </c>
      <c r="L315" s="225">
        <f>L98</f>
        <v>-0.0478184991273997</v>
      </c>
      <c r="N315" s="225">
        <f>N98</f>
        <v>0.103601108033241</v>
      </c>
      <c r="O315" s="225">
        <f>O98</f>
        <v>-0.381052631578947</v>
      </c>
      <c r="P315" s="225">
        <f>P98</f>
        <v>-0.109298531810767</v>
      </c>
      <c r="Q315" s="225">
        <f>Q98</f>
        <v>-0.0978260869565217</v>
      </c>
      <c r="S315" s="225">
        <f>S98</f>
        <v>0.0751471253961068</v>
      </c>
      <c r="T315" s="225">
        <f>T98</f>
        <v>0.113594040968343</v>
      </c>
      <c r="U315" s="225">
        <f>U98</f>
        <v>0.121554837483368</v>
      </c>
      <c r="V315" s="225">
        <f>V98</f>
        <v>0.129023110733021</v>
      </c>
      <c r="X315" s="225">
        <f>X98</f>
        <v>0.138781179466404</v>
      </c>
      <c r="Y315" s="225">
        <f>Y98</f>
        <v>0.136098678047257</v>
      </c>
      <c r="Z315" s="225">
        <f>Z98</f>
        <v>0.134746370317261</v>
      </c>
      <c r="AA315" s="225">
        <f>AA98</f>
        <v>0.123963992544712</v>
      </c>
      <c r="AC315" s="225">
        <f>AC98</f>
        <v>0.143085349155637</v>
      </c>
      <c r="AD315" s="225">
        <f>AD98</f>
        <v>0.153303851823367</v>
      </c>
      <c r="AE315" s="225">
        <f>AE98</f>
        <v>0.158846478279207</v>
      </c>
      <c r="AF315" s="225">
        <f>AF98</f>
        <v>0.147585221635779</v>
      </c>
      <c r="AH315" s="225">
        <f>AH98</f>
        <v>0</v>
      </c>
      <c r="AI315" s="225">
        <f>AI98</f>
        <v>0</v>
      </c>
      <c r="AJ315" s="225">
        <f>AJ98</f>
        <v>0</v>
      </c>
      <c r="AK315" s="225">
        <f>AK98</f>
        <v>0</v>
      </c>
      <c r="AM315" s="225">
        <f>AM98</f>
        <v>0</v>
      </c>
      <c r="AN315" s="225">
        <f>AN98</f>
        <v>0</v>
      </c>
      <c r="AO315" s="225">
        <f>AO98</f>
        <v>0</v>
      </c>
      <c r="AP315" s="225">
        <f>AP98</f>
        <v>0</v>
      </c>
      <c r="AR315" s="225">
        <f>AR98</f>
        <v>0</v>
      </c>
      <c r="AS315" s="225">
        <f>AS98</f>
        <v>0</v>
      </c>
      <c r="AT315" s="225">
        <f>AT98</f>
        <v>0</v>
      </c>
      <c r="AU315" s="225">
        <f>AU98</f>
        <v>0</v>
      </c>
      <c r="AW315" s="225">
        <f>AW98</f>
        <v>0</v>
      </c>
      <c r="AX315" s="225">
        <f>AX98</f>
        <v>0</v>
      </c>
      <c r="AY315" s="225">
        <f>AY98</f>
        <v>0</v>
      </c>
      <c r="AZ315" s="225">
        <f>AZ98</f>
        <v>0</v>
      </c>
      <c r="BB315" s="225">
        <f>BB98</f>
        <v>0</v>
      </c>
      <c r="BC315" s="225">
        <f>BC98</f>
        <v>0</v>
      </c>
      <c r="BD315" s="225">
        <f>BD98</f>
        <v>0</v>
      </c>
      <c r="BE315" s="225">
        <f>BE98</f>
        <v>0</v>
      </c>
      <c r="BG315" s="225">
        <f>BG98</f>
        <v>0</v>
      </c>
      <c r="BH315" s="225">
        <f>BH98</f>
        <v>0</v>
      </c>
      <c r="BI315" s="225">
        <f>BI98</f>
        <v>0</v>
      </c>
      <c r="BJ315" s="225">
        <f>BJ98</f>
        <v>0</v>
      </c>
      <c r="BL315" s="225">
        <f>BL98</f>
        <v>0</v>
      </c>
      <c r="BM315" s="225">
        <f>BM98</f>
        <v>0</v>
      </c>
      <c r="BN315" s="225">
        <f>BN98</f>
        <v>0</v>
      </c>
      <c r="BO315" s="225">
        <f>BO98</f>
        <v>0</v>
      </c>
      <c r="BQ315" s="225">
        <f>BQ98</f>
        <v>0</v>
      </c>
      <c r="BR315" s="225">
        <f>BR98</f>
        <v>0</v>
      </c>
      <c r="BS315" s="225">
        <f>BS98</f>
        <v>0</v>
      </c>
      <c r="BT315" s="225">
        <f>BT98</f>
        <v>0</v>
      </c>
      <c r="BV315" s="225">
        <f>BV98</f>
        <v>0</v>
      </c>
      <c r="BW315" s="225">
        <f>BW98</f>
        <v>0</v>
      </c>
      <c r="BX315" s="225">
        <f>BX98</f>
        <v>0</v>
      </c>
      <c r="BY315" s="225">
        <f>BY98</f>
        <v>0</v>
      </c>
      <c r="CA315" s="225">
        <f>CA98</f>
        <v>0</v>
      </c>
      <c r="CB315" s="225">
        <f>CB98</f>
        <v>0</v>
      </c>
      <c r="CC315" s="225">
        <f>CC98</f>
        <v>0</v>
      </c>
      <c r="CD315" s="225">
        <f>CD98</f>
        <v>0</v>
      </c>
      <c r="CF315" s="225">
        <f>CF98</f>
        <v>0</v>
      </c>
      <c r="CG315" s="225">
        <f>CG98</f>
        <v>0</v>
      </c>
      <c r="CH315" s="225">
        <f>CH98</f>
        <v>0</v>
      </c>
      <c r="CI315" s="225">
        <f>CI98</f>
        <v>0</v>
      </c>
      <c r="CK315" s="225">
        <f>CK98</f>
        <v>0</v>
      </c>
      <c r="CL315" s="225">
        <f>CL98</f>
        <v>0</v>
      </c>
      <c r="CM315" s="225">
        <f>CM98</f>
        <v>0</v>
      </c>
      <c r="CN315" s="225">
        <f>CN98</f>
        <v>0</v>
      </c>
      <c r="CP315" s="225">
        <f>CP98</f>
        <v>0</v>
      </c>
      <c r="CQ315" s="225">
        <f>CQ98</f>
        <v>0</v>
      </c>
      <c r="CR315" s="225">
        <f>CR98</f>
        <v>0</v>
      </c>
      <c r="CS315" s="225">
        <f>CS98</f>
        <v>0</v>
      </c>
      <c r="CU315" s="225">
        <f>CU98</f>
        <v>0</v>
      </c>
      <c r="CV315" s="225">
        <f>CV98</f>
        <v>0</v>
      </c>
      <c r="CW315" s="225">
        <f>CW98</f>
        <v>0</v>
      </c>
      <c r="CX315" s="225">
        <f>CX98</f>
        <v>0</v>
      </c>
    </row>
    <row r="316" customFormat="1" s="233">
      <c r="A316" s="224" t="n"/>
      <c r="B316" s="224" t="n"/>
      <c r="C316" s="233" t="inlineStr">
        <is>
          <t>INVESTED CAPITAL</t>
        </is>
      </c>
      <c r="D316" s="239">
        <f>D319-D320+D321</f>
        <v>4355</v>
      </c>
      <c r="E316" s="239">
        <f>E319-E320+E321</f>
        <v>10902</v>
      </c>
      <c r="F316" s="239">
        <f>F319-F320+F321</f>
        <v>13134</v>
      </c>
      <c r="G316" s="239">
        <f>G319-G320+G321</f>
        <v>13291</v>
      </c>
      <c r="I316" s="36">
        <f>I319-I320+I321</f>
        <v>14079</v>
      </c>
      <c r="J316" s="36">
        <f>J319-J320+J321</f>
        <v>14513</v>
      </c>
      <c r="K316" s="36">
        <f>K319-K320+K321</f>
        <v>16552</v>
      </c>
      <c r="L316" s="36">
        <f>L319-L320+L321</f>
        <v>17480</v>
      </c>
      <c r="N316" s="36">
        <f>N319-N320+N321</f>
        <v>18085</v>
      </c>
      <c r="O316" s="36">
        <f>O319-O320+O321</f>
        <v>18903</v>
      </c>
      <c r="P316" s="36">
        <f>P319-P320+P321</f>
        <v>20356</v>
      </c>
      <c r="Q316" s="36">
        <f>Q319-Q320+Q321</f>
        <v>21083</v>
      </c>
      <c r="S316" s="36">
        <f>S319-S320+S321</f>
        <v>21570</v>
      </c>
      <c r="T316" s="36">
        <f>T319-T320+T321</f>
        <v>22805</v>
      </c>
      <c r="U316" s="36">
        <f>U319-U320+U321</f>
        <v>26435</v>
      </c>
      <c r="V316" s="36">
        <f>V319-V320+V321</f>
        <v>28512</v>
      </c>
      <c r="X316" s="36">
        <f>X319-X320+X321</f>
        <v>29524</v>
      </c>
      <c r="Y316" s="36">
        <f>Y319-Y320+Y321</f>
        <v>34069</v>
      </c>
      <c r="Z316" s="36">
        <f>Z319-Z320+Z321</f>
        <v>38427</v>
      </c>
      <c r="AA316" s="36">
        <f>AA319-AA320+AA321</f>
        <v>47273</v>
      </c>
      <c r="AC316" s="36">
        <f>AC319-AC320+AC321</f>
        <v>41519</v>
      </c>
      <c r="AD316" s="36">
        <f>AD319-AD320+AD321</f>
        <v>55289</v>
      </c>
      <c r="AE316" s="36">
        <f>AE319-AE320+AE321</f>
        <v>70732</v>
      </c>
      <c r="AF316" s="36">
        <f>AF319-AF320+AF321</f>
        <v>107923</v>
      </c>
      <c r="AH316" s="36">
        <f>AH319-AH320+AH321</f>
        <v>65157</v>
      </c>
      <c r="AI316" s="36">
        <f>AI319-AI320+AI321</f>
        <v>65157</v>
      </c>
      <c r="AJ316" s="36" t="e">
        <f>AJ319-AJ320+AJ321</f>
        <v>#DIV/0!</v>
      </c>
      <c r="AK316" s="36" t="e">
        <f>AK319-AK320+AK321</f>
        <v>#DIV/0!</v>
      </c>
      <c r="AM316" s="36" t="e">
        <f>AM319-AM320+AM321</f>
        <v>#DIV/0!</v>
      </c>
      <c r="AN316" s="36" t="e">
        <f>AN319-AN320+AN321</f>
        <v>#DIV/0!</v>
      </c>
      <c r="AO316" s="36" t="e">
        <f>AO319-AO320+AO321</f>
        <v>#DIV/0!</v>
      </c>
      <c r="AP316" s="36" t="e">
        <f>AP319-AP320+AP321</f>
        <v>#DIV/0!</v>
      </c>
      <c r="AR316" s="36" t="e">
        <f>AR319-AR320+AR321</f>
        <v>#DIV/0!</v>
      </c>
      <c r="AS316" s="36" t="e">
        <f>AS319-AS320+AS321</f>
        <v>#DIV/0!</v>
      </c>
      <c r="AT316" s="36" t="e">
        <f>AT319-AT320+AT321</f>
        <v>#DIV/0!</v>
      </c>
      <c r="AU316" s="36" t="e">
        <f>AU319-AU320+AU321</f>
        <v>#DIV/0!</v>
      </c>
      <c r="AW316" s="36" t="e">
        <f>AW319-AW320+AW321</f>
        <v>#DIV/0!</v>
      </c>
      <c r="AX316" s="36" t="e">
        <f>AX319-AX320+AX321</f>
        <v>#DIV/0!</v>
      </c>
      <c r="AY316" s="36" t="e">
        <f>AY319-AY320+AY321</f>
        <v>#DIV/0!</v>
      </c>
      <c r="AZ316" s="36" t="e">
        <f>AZ319-AZ320+AZ321</f>
        <v>#DIV/0!</v>
      </c>
      <c r="BB316" s="36" t="e">
        <f>BB319-BB320+BB321</f>
        <v>#DIV/0!</v>
      </c>
      <c r="BC316" s="36" t="e">
        <f>BC319-BC320+BC321</f>
        <v>#DIV/0!</v>
      </c>
      <c r="BD316" s="36" t="e">
        <f>BD319-BD320+BD321</f>
        <v>#DIV/0!</v>
      </c>
      <c r="BE316" s="36" t="e">
        <f>BE319-BE320+BE321</f>
        <v>#DIV/0!</v>
      </c>
      <c r="BG316" s="36" t="e">
        <f>BG319-BG320+BG321</f>
        <v>#DIV/0!</v>
      </c>
      <c r="BH316" s="36" t="e">
        <f>BH319-BH320+BH321</f>
        <v>#DIV/0!</v>
      </c>
      <c r="BI316" s="36" t="e">
        <f>BI319-BI320+BI321</f>
        <v>#DIV/0!</v>
      </c>
      <c r="BJ316" s="36" t="e">
        <f>BJ319-BJ320+BJ321</f>
        <v>#DIV/0!</v>
      </c>
      <c r="BL316" s="36" t="e">
        <f>BL319-BL320+BL321</f>
        <v>#DIV/0!</v>
      </c>
      <c r="BM316" s="36" t="e">
        <f>BM319-BM320+BM321</f>
        <v>#DIV/0!</v>
      </c>
      <c r="BN316" s="36" t="e">
        <f>BN319-BN320+BN321</f>
        <v>#DIV/0!</v>
      </c>
      <c r="BO316" s="36" t="e">
        <f>BO319-BO320+BO321</f>
        <v>#DIV/0!</v>
      </c>
      <c r="BQ316" s="36" t="e">
        <f>BQ319-BQ320+BQ321</f>
        <v>#DIV/0!</v>
      </c>
      <c r="BR316" s="36" t="e">
        <f>BR319-BR320+BR321</f>
        <v>#DIV/0!</v>
      </c>
      <c r="BS316" s="36" t="e">
        <f>BS319-BS320+BS321</f>
        <v>#DIV/0!</v>
      </c>
      <c r="BT316" s="36" t="e">
        <f>BT319-BT320+BT321</f>
        <v>#DIV/0!</v>
      </c>
      <c r="BV316" s="36" t="e">
        <f>BV319-BV320+BV321</f>
        <v>#DIV/0!</v>
      </c>
      <c r="BW316" s="36" t="e">
        <f>BW319-BW320+BW321</f>
        <v>#DIV/0!</v>
      </c>
      <c r="BX316" s="36" t="e">
        <f>BX319-BX320+BX321</f>
        <v>#DIV/0!</v>
      </c>
      <c r="BY316" s="36" t="e">
        <f>BY319-BY320+BY321</f>
        <v>#DIV/0!</v>
      </c>
      <c r="CA316" s="36" t="e">
        <f>CA319-CA320+CA321</f>
        <v>#DIV/0!</v>
      </c>
      <c r="CB316" s="36" t="e">
        <f>CB319-CB320+CB321</f>
        <v>#DIV/0!</v>
      </c>
      <c r="CC316" s="36" t="e">
        <f>CC319-CC320+CC321</f>
        <v>#DIV/0!</v>
      </c>
      <c r="CD316" s="36" t="e">
        <f>CD319-CD320+CD321</f>
        <v>#DIV/0!</v>
      </c>
      <c r="CF316" s="36" t="e">
        <f>CF319-CF320+CF321</f>
        <v>#DIV/0!</v>
      </c>
      <c r="CG316" s="36" t="e">
        <f>CG319-CG320+CG321</f>
        <v>#DIV/0!</v>
      </c>
      <c r="CH316" s="36" t="e">
        <f>CH319-CH320+CH321</f>
        <v>#DIV/0!</v>
      </c>
      <c r="CI316" s="36" t="e">
        <f>CI319-CI320+CI321</f>
        <v>#DIV/0!</v>
      </c>
      <c r="CK316" s="36" t="e">
        <f>CK319-CK320+CK321</f>
        <v>#DIV/0!</v>
      </c>
      <c r="CL316" s="36" t="e">
        <f>CL319-CL320+CL321</f>
        <v>#DIV/0!</v>
      </c>
      <c r="CM316" s="36" t="e">
        <f>CM319-CM320+CM321</f>
        <v>#DIV/0!</v>
      </c>
      <c r="CN316" s="36" t="e">
        <f>CN319-CN320+CN321</f>
        <v>#DIV/0!</v>
      </c>
      <c r="CP316" s="36" t="e">
        <f>CP319-CP320+CP321</f>
        <v>#DIV/0!</v>
      </c>
      <c r="CQ316" s="36" t="e">
        <f>CQ319-CQ320+CQ321</f>
        <v>#DIV/0!</v>
      </c>
      <c r="CR316" s="36" t="e">
        <f>CR319-CR320+CR321</f>
        <v>#DIV/0!</v>
      </c>
      <c r="CS316" s="36" t="e">
        <f>CS319-CS320+CS321</f>
        <v>#DIV/0!</v>
      </c>
      <c r="CU316" s="36" t="e">
        <f>CU319-CU320+CU321</f>
        <v>#DIV/0!</v>
      </c>
      <c r="CV316" s="36" t="e">
        <f>CV319-CV320+CV321</f>
        <v>#DIV/0!</v>
      </c>
      <c r="CW316" s="36" t="e">
        <f>CW319-CW320+CW321</f>
        <v>#DIV/0!</v>
      </c>
      <c r="CX316" s="36" t="e">
        <f>CX319-CX320+CX321</f>
        <v>#DIV/0!</v>
      </c>
    </row>
    <row r="317" customFormat="1" s="233">
      <c r="A317" s="224" t="n"/>
      <c r="B317" s="224" t="n"/>
      <c r="C317" s="233" t="inlineStr">
        <is>
          <t>INVESTED CAPITAL - EX GOODWILL</t>
        </is>
      </c>
      <c r="D317" s="241">
        <f>D316-D145</f>
        <v>3727</v>
      </c>
      <c r="E317" s="241">
        <f>E316-E145</f>
        <v>6709</v>
      </c>
      <c r="F317" s="241">
        <f>F316-F145</f>
        <v>8941</v>
      </c>
      <c r="G317" s="241">
        <f>G316-G145</f>
        <v>9098</v>
      </c>
      <c r="I317" s="226">
        <f>I316-I145</f>
        <v>9886</v>
      </c>
      <c r="J317" s="226">
        <f>J316-J145</f>
        <v>10320</v>
      </c>
      <c r="K317" s="226">
        <f>K316-K145</f>
        <v>12250</v>
      </c>
      <c r="L317" s="226">
        <f>L316-L145</f>
        <v>13131</v>
      </c>
      <c r="N317" s="226">
        <f>N316-N145</f>
        <v>13720</v>
      </c>
      <c r="O317" s="226">
        <f>O316-O145</f>
        <v>14531</v>
      </c>
      <c r="P317" s="226">
        <f>P316-P145</f>
        <v>15984</v>
      </c>
      <c r="Q317" s="226">
        <f>Q316-Q145</f>
        <v>16711</v>
      </c>
      <c r="S317" s="226">
        <f>S316-S145</f>
        <v>17140</v>
      </c>
      <c r="T317" s="226">
        <f>T316-T145</f>
        <v>18375</v>
      </c>
      <c r="U317" s="226">
        <f>U316-U145</f>
        <v>22005</v>
      </c>
      <c r="V317" s="226">
        <f>V316-V145</f>
        <v>24082</v>
      </c>
      <c r="X317" s="226">
        <f>X316-X145</f>
        <v>25071</v>
      </c>
      <c r="Y317" s="226">
        <f>Y316-Y145</f>
        <v>29447</v>
      </c>
      <c r="Z317" s="226">
        <f>Z316-Z145</f>
        <v>33703</v>
      </c>
      <c r="AA317" s="226">
        <f>AA316-AA145</f>
        <v>42085</v>
      </c>
      <c r="AC317" s="226">
        <f>AC316-AC145</f>
        <v>36021</v>
      </c>
      <c r="AD317" s="226">
        <f>AD316-AD145</f>
        <v>49534</v>
      </c>
      <c r="AE317" s="226">
        <f>AE316-AE145</f>
        <v>64471</v>
      </c>
      <c r="AF317" s="226">
        <f>AF316-AF145</f>
        <v>87091</v>
      </c>
      <c r="AH317" s="226">
        <f>AH316-AH145</f>
        <v>44325</v>
      </c>
      <c r="AI317" s="226">
        <f>AI316-AI145</f>
        <v>44325</v>
      </c>
      <c r="AJ317" s="226" t="e">
        <f>AJ316-AJ145</f>
        <v>#DIV/0!</v>
      </c>
      <c r="AK317" s="226" t="e">
        <f>AK316-AK145</f>
        <v>#DIV/0!</v>
      </c>
      <c r="AM317" s="226" t="e">
        <f>AM316-AM145</f>
        <v>#DIV/0!</v>
      </c>
      <c r="AN317" s="226" t="e">
        <f>AN316-AN145</f>
        <v>#DIV/0!</v>
      </c>
      <c r="AO317" s="226" t="e">
        <f>AO316-AO145</f>
        <v>#DIV/0!</v>
      </c>
      <c r="AP317" s="226" t="e">
        <f>AP316-AP145</f>
        <v>#DIV/0!</v>
      </c>
      <c r="AR317" s="226" t="e">
        <f>AR316-AR145</f>
        <v>#DIV/0!</v>
      </c>
      <c r="AS317" s="226" t="e">
        <f>AS316-AS145</f>
        <v>#DIV/0!</v>
      </c>
      <c r="AT317" s="226" t="e">
        <f>AT316-AT145</f>
        <v>#DIV/0!</v>
      </c>
      <c r="AU317" s="226" t="e">
        <f>AU316-AU145</f>
        <v>#DIV/0!</v>
      </c>
      <c r="AW317" s="226" t="e">
        <f>AW316-AW145</f>
        <v>#DIV/0!</v>
      </c>
      <c r="AX317" s="226" t="e">
        <f>AX316-AX145</f>
        <v>#DIV/0!</v>
      </c>
      <c r="AY317" s="226" t="e">
        <f>AY316-AY145</f>
        <v>#DIV/0!</v>
      </c>
      <c r="AZ317" s="226" t="e">
        <f>AZ316-AZ145</f>
        <v>#DIV/0!</v>
      </c>
      <c r="BB317" s="226" t="e">
        <f>BB316-BB145</f>
        <v>#DIV/0!</v>
      </c>
      <c r="BC317" s="226" t="e">
        <f>BC316-BC145</f>
        <v>#DIV/0!</v>
      </c>
      <c r="BD317" s="226" t="e">
        <f>BD316-BD145</f>
        <v>#DIV/0!</v>
      </c>
      <c r="BE317" s="226" t="e">
        <f>BE316-BE145</f>
        <v>#DIV/0!</v>
      </c>
      <c r="BG317" s="226" t="e">
        <f>BG316-BG145</f>
        <v>#DIV/0!</v>
      </c>
      <c r="BH317" s="226" t="e">
        <f>BH316-BH145</f>
        <v>#DIV/0!</v>
      </c>
      <c r="BI317" s="226" t="e">
        <f>BI316-BI145</f>
        <v>#DIV/0!</v>
      </c>
      <c r="BJ317" s="226" t="e">
        <f>BJ316-BJ145</f>
        <v>#DIV/0!</v>
      </c>
      <c r="BL317" s="226" t="e">
        <f>BL316-BL145</f>
        <v>#DIV/0!</v>
      </c>
      <c r="BM317" s="226" t="e">
        <f>BM316-BM145</f>
        <v>#DIV/0!</v>
      </c>
      <c r="BN317" s="226" t="e">
        <f>BN316-BN145</f>
        <v>#DIV/0!</v>
      </c>
      <c r="BO317" s="226" t="e">
        <f>BO316-BO145</f>
        <v>#DIV/0!</v>
      </c>
      <c r="BQ317" s="226" t="e">
        <f>BQ316-BQ145</f>
        <v>#DIV/0!</v>
      </c>
      <c r="BR317" s="226" t="e">
        <f>BR316-BR145</f>
        <v>#DIV/0!</v>
      </c>
      <c r="BS317" s="226" t="e">
        <f>BS316-BS145</f>
        <v>#DIV/0!</v>
      </c>
      <c r="BT317" s="226" t="e">
        <f>BT316-BT145</f>
        <v>#DIV/0!</v>
      </c>
      <c r="BV317" s="226" t="e">
        <f>BV316-BV145</f>
        <v>#DIV/0!</v>
      </c>
      <c r="BW317" s="226" t="e">
        <f>BW316-BW145</f>
        <v>#DIV/0!</v>
      </c>
      <c r="BX317" s="226" t="e">
        <f>BX316-BX145</f>
        <v>#DIV/0!</v>
      </c>
      <c r="BY317" s="226" t="e">
        <f>BY316-BY145</f>
        <v>#DIV/0!</v>
      </c>
      <c r="CA317" s="226" t="e">
        <f>CA316-CA145</f>
        <v>#DIV/0!</v>
      </c>
      <c r="CB317" s="226" t="e">
        <f>CB316-CB145</f>
        <v>#DIV/0!</v>
      </c>
      <c r="CC317" s="226" t="e">
        <f>CC316-CC145</f>
        <v>#DIV/0!</v>
      </c>
      <c r="CD317" s="226" t="e">
        <f>CD316-CD145</f>
        <v>#DIV/0!</v>
      </c>
      <c r="CF317" s="226" t="e">
        <f>CF316-CF145</f>
        <v>#DIV/0!</v>
      </c>
      <c r="CG317" s="226" t="e">
        <f>CG316-CG145</f>
        <v>#DIV/0!</v>
      </c>
      <c r="CH317" s="226" t="e">
        <f>CH316-CH145</f>
        <v>#DIV/0!</v>
      </c>
      <c r="CI317" s="226" t="e">
        <f>CI316-CI145</f>
        <v>#DIV/0!</v>
      </c>
      <c r="CK317" s="226" t="e">
        <f>CK316-CK145</f>
        <v>#DIV/0!</v>
      </c>
      <c r="CL317" s="226" t="e">
        <f>CL316-CL145</f>
        <v>#DIV/0!</v>
      </c>
      <c r="CM317" s="226" t="e">
        <f>CM316-CM145</f>
        <v>#DIV/0!</v>
      </c>
      <c r="CN317" s="226" t="e">
        <f>CN316-CN145</f>
        <v>#DIV/0!</v>
      </c>
      <c r="CP317" s="226" t="e">
        <f>CP316-CP145</f>
        <v>#DIV/0!</v>
      </c>
      <c r="CQ317" s="226" t="e">
        <f>CQ316-CQ145</f>
        <v>#DIV/0!</v>
      </c>
      <c r="CR317" s="226" t="e">
        <f>CR316-CR145</f>
        <v>#DIV/0!</v>
      </c>
      <c r="CS317" s="226" t="e">
        <f>CS316-CS145</f>
        <v>#DIV/0!</v>
      </c>
      <c r="CU317" s="226" t="e">
        <f>CU316-CU145</f>
        <v>#DIV/0!</v>
      </c>
      <c r="CV317" s="226" t="e">
        <f>CV316-CV145</f>
        <v>#DIV/0!</v>
      </c>
      <c r="CW317" s="226" t="e">
        <f>CW316-CW145</f>
        <v>#DIV/0!</v>
      </c>
      <c r="CX317" s="226" t="e">
        <f>CX316-CX145</f>
        <v>#DIV/0!</v>
      </c>
    </row>
    <row r="318" customFormat="1" s="233">
      <c r="A318" s="224" t="n"/>
      <c r="B318" s="224" t="n"/>
      <c r="C318" s="233" t="inlineStr">
        <is>
          <t>OPERATING WORKING CAPITAL</t>
        </is>
      </c>
      <c r="D318" s="242">
        <f>D319-D320</f>
        <v>1960</v>
      </c>
      <c r="E318" s="242">
        <f>E319-E320</f>
        <v>2044</v>
      </c>
      <c r="F318" s="242">
        <f>F319-F320</f>
        <v>2365</v>
      </c>
      <c r="G318" s="242">
        <f>G319-G320</f>
        <v>2495</v>
      </c>
      <c r="I318" s="36">
        <f>I319-I320</f>
        <v>3368</v>
      </c>
      <c r="J318" s="36">
        <f>J319-J320</f>
        <v>3794</v>
      </c>
      <c r="K318" s="36">
        <f>K319-K320</f>
        <v>4006</v>
      </c>
      <c r="L318" s="36">
        <f>L319-L320</f>
        <v>4652</v>
      </c>
      <c r="N318" s="36">
        <f>N319-N320</f>
        <v>5606</v>
      </c>
      <c r="O318" s="36">
        <f>O319-O320</f>
        <v>6427</v>
      </c>
      <c r="P318" s="36">
        <f>P319-P320</f>
        <v>7392</v>
      </c>
      <c r="Q318" s="36">
        <f>Q319-Q320</f>
        <v>8036</v>
      </c>
      <c r="S318" s="36">
        <f>S319-S320</f>
        <v>8308</v>
      </c>
      <c r="T318" s="36">
        <f>T319-T320</f>
        <v>9295</v>
      </c>
      <c r="U318" s="36">
        <f>U319-U320</f>
        <v>12737</v>
      </c>
      <c r="V318" s="36">
        <f>V319-V320</f>
        <v>15289</v>
      </c>
      <c r="X318" s="36">
        <f>X319-X320</f>
        <v>16362</v>
      </c>
      <c r="Y318" s="36">
        <f>Y319-Y320</f>
        <v>20692</v>
      </c>
      <c r="Z318" s="36">
        <f>Z319-Z320</f>
        <v>23223</v>
      </c>
      <c r="AA318" s="36">
        <f>AA319-AA320</f>
        <v>30136</v>
      </c>
      <c r="AC318" s="36">
        <f>AC319-AC320</f>
        <v>23320</v>
      </c>
      <c r="AD318" s="36">
        <f>AD319-AD320</f>
        <v>35042</v>
      </c>
      <c r="AE318" s="36">
        <f>AE319-AE320</f>
        <v>44823</v>
      </c>
      <c r="AF318" s="36">
        <f>AF319-AF320</f>
        <v>45515</v>
      </c>
      <c r="AH318" s="36">
        <f>AH319-AH320</f>
        <v>16438</v>
      </c>
      <c r="AI318" s="36">
        <f>AI319-AI320</f>
        <v>16438</v>
      </c>
      <c r="AJ318" s="36" t="e">
        <f>AJ319-AJ320</f>
        <v>#DIV/0!</v>
      </c>
      <c r="AK318" s="36" t="e">
        <f>AK319-AK320</f>
        <v>#DIV/0!</v>
      </c>
      <c r="AM318" s="36" t="e">
        <f>AM319-AM320</f>
        <v>#DIV/0!</v>
      </c>
      <c r="AN318" s="36" t="e">
        <f>AN319-AN320</f>
        <v>#DIV/0!</v>
      </c>
      <c r="AO318" s="36" t="e">
        <f>AO319-AO320</f>
        <v>#DIV/0!</v>
      </c>
      <c r="AP318" s="36" t="e">
        <f>AP319-AP320</f>
        <v>#DIV/0!</v>
      </c>
      <c r="AR318" s="36" t="e">
        <f>AR319-AR320</f>
        <v>#DIV/0!</v>
      </c>
      <c r="AS318" s="36" t="e">
        <f>AS319-AS320</f>
        <v>#DIV/0!</v>
      </c>
      <c r="AT318" s="36" t="e">
        <f>AT319-AT320</f>
        <v>#DIV/0!</v>
      </c>
      <c r="AU318" s="36" t="e">
        <f>AU319-AU320</f>
        <v>#DIV/0!</v>
      </c>
      <c r="AW318" s="36" t="e">
        <f>AW319-AW320</f>
        <v>#DIV/0!</v>
      </c>
      <c r="AX318" s="36" t="e">
        <f>AX319-AX320</f>
        <v>#DIV/0!</v>
      </c>
      <c r="AY318" s="36" t="e">
        <f>AY319-AY320</f>
        <v>#DIV/0!</v>
      </c>
      <c r="AZ318" s="36" t="e">
        <f>AZ319-AZ320</f>
        <v>#DIV/0!</v>
      </c>
      <c r="BB318" s="36" t="e">
        <f>BB319-BB320</f>
        <v>#DIV/0!</v>
      </c>
      <c r="BC318" s="36" t="e">
        <f>BC319-BC320</f>
        <v>#DIV/0!</v>
      </c>
      <c r="BD318" s="36" t="e">
        <f>BD319-BD320</f>
        <v>#DIV/0!</v>
      </c>
      <c r="BE318" s="36" t="e">
        <f>BE319-BE320</f>
        <v>#DIV/0!</v>
      </c>
      <c r="BG318" s="36" t="e">
        <f>BG319-BG320</f>
        <v>#DIV/0!</v>
      </c>
      <c r="BH318" s="36" t="e">
        <f>BH319-BH320</f>
        <v>#DIV/0!</v>
      </c>
      <c r="BI318" s="36" t="e">
        <f>BI319-BI320</f>
        <v>#DIV/0!</v>
      </c>
      <c r="BJ318" s="36" t="e">
        <f>BJ319-BJ320</f>
        <v>#DIV/0!</v>
      </c>
      <c r="BL318" s="36" t="e">
        <f>BL319-BL320</f>
        <v>#DIV/0!</v>
      </c>
      <c r="BM318" s="36" t="e">
        <f>BM319-BM320</f>
        <v>#DIV/0!</v>
      </c>
      <c r="BN318" s="36" t="e">
        <f>BN319-BN320</f>
        <v>#DIV/0!</v>
      </c>
      <c r="BO318" s="36" t="e">
        <f>BO319-BO320</f>
        <v>#DIV/0!</v>
      </c>
      <c r="BQ318" s="36" t="e">
        <f>BQ319-BQ320</f>
        <v>#DIV/0!</v>
      </c>
      <c r="BR318" s="36" t="e">
        <f>BR319-BR320</f>
        <v>#DIV/0!</v>
      </c>
      <c r="BS318" s="36" t="e">
        <f>BS319-BS320</f>
        <v>#DIV/0!</v>
      </c>
      <c r="BT318" s="36" t="e">
        <f>BT319-BT320</f>
        <v>#DIV/0!</v>
      </c>
      <c r="BV318" s="36" t="e">
        <f>BV319-BV320</f>
        <v>#DIV/0!</v>
      </c>
      <c r="BW318" s="36" t="e">
        <f>BW319-BW320</f>
        <v>#DIV/0!</v>
      </c>
      <c r="BX318" s="36" t="e">
        <f>BX319-BX320</f>
        <v>#DIV/0!</v>
      </c>
      <c r="BY318" s="36" t="e">
        <f>BY319-BY320</f>
        <v>#DIV/0!</v>
      </c>
      <c r="CA318" s="36" t="e">
        <f>CA319-CA320</f>
        <v>#DIV/0!</v>
      </c>
      <c r="CB318" s="36" t="e">
        <f>CB319-CB320</f>
        <v>#DIV/0!</v>
      </c>
      <c r="CC318" s="36" t="e">
        <f>CC319-CC320</f>
        <v>#DIV/0!</v>
      </c>
      <c r="CD318" s="36" t="e">
        <f>CD319-CD320</f>
        <v>#DIV/0!</v>
      </c>
      <c r="CF318" s="36" t="e">
        <f>CF319-CF320</f>
        <v>#DIV/0!</v>
      </c>
      <c r="CG318" s="36" t="e">
        <f>CG319-CG320</f>
        <v>#DIV/0!</v>
      </c>
      <c r="CH318" s="36" t="e">
        <f>CH319-CH320</f>
        <v>#DIV/0!</v>
      </c>
      <c r="CI318" s="36" t="e">
        <f>CI319-CI320</f>
        <v>#DIV/0!</v>
      </c>
      <c r="CK318" s="36" t="e">
        <f>CK319-CK320</f>
        <v>#DIV/0!</v>
      </c>
      <c r="CL318" s="36" t="e">
        <f>CL319-CL320</f>
        <v>#DIV/0!</v>
      </c>
      <c r="CM318" s="36" t="e">
        <f>CM319-CM320</f>
        <v>#DIV/0!</v>
      </c>
      <c r="CN318" s="36" t="e">
        <f>CN319-CN320</f>
        <v>#DIV/0!</v>
      </c>
      <c r="CP318" s="36" t="e">
        <f>CP319-CP320</f>
        <v>#DIV/0!</v>
      </c>
      <c r="CQ318" s="36" t="e">
        <f>CQ319-CQ320</f>
        <v>#DIV/0!</v>
      </c>
      <c r="CR318" s="36" t="e">
        <f>CR319-CR320</f>
        <v>#DIV/0!</v>
      </c>
      <c r="CS318" s="36" t="e">
        <f>CS319-CS320</f>
        <v>#DIV/0!</v>
      </c>
      <c r="CU318" s="36" t="e">
        <f>CU319-CU320</f>
        <v>#DIV/0!</v>
      </c>
      <c r="CV318" s="36" t="e">
        <f>CV319-CV320</f>
        <v>#DIV/0!</v>
      </c>
      <c r="CW318" s="36" t="e">
        <f>CW319-CW320</f>
        <v>#DIV/0!</v>
      </c>
      <c r="CX318" s="36" t="e">
        <f>CX319-CX320</f>
        <v>#DIV/0!</v>
      </c>
    </row>
    <row r="319" customFormat="1" s="233">
      <c r="A319" s="224" t="n"/>
      <c r="B319" s="224" t="n"/>
      <c r="C319" s="233" t="inlineStr">
        <is>
          <t>CURRENT ASSETS</t>
        </is>
      </c>
      <c r="D319" s="241">
        <f>D111+D115+D119+D120+D121</f>
        <v>3763</v>
      </c>
      <c r="E319" s="241">
        <f>E111+E115+E119+E120+E121</f>
        <v>4330</v>
      </c>
      <c r="F319" s="241">
        <f>F111+F115+F119+F120+F121</f>
        <v>4920</v>
      </c>
      <c r="G319" s="241">
        <f>G111+G115+G119+G120+G121</f>
        <v>5300</v>
      </c>
      <c r="I319" s="226">
        <f>I111+I115+I119+I120+I121</f>
        <v>6238</v>
      </c>
      <c r="J319" s="226">
        <f>J111+J115+J119+J120+J121</f>
        <v>7110</v>
      </c>
      <c r="K319" s="226">
        <f>K111+K115+K119+K120+K121</f>
        <v>7478</v>
      </c>
      <c r="L319" s="226">
        <f>L111+L115+L119+L120+L121</f>
        <v>8843</v>
      </c>
      <c r="N319" s="226">
        <f>N111+N115+N119+N120+N121</f>
        <v>11021</v>
      </c>
      <c r="O319" s="226">
        <f>O111+O115+O119+O120+O121</f>
        <v>12606</v>
      </c>
      <c r="P319" s="226">
        <f>P111+P115+P119+P120+P121</f>
        <v>12842</v>
      </c>
      <c r="Q319" s="226">
        <f>Q111+Q115+Q119+Q120+Q121</f>
        <v>13173</v>
      </c>
      <c r="S319" s="226">
        <f>S111+S115+S119+S120+S121</f>
        <v>14131</v>
      </c>
      <c r="T319" s="226">
        <f>T111+T115+T119+T120+T121</f>
        <v>18172</v>
      </c>
      <c r="U319" s="226">
        <f>U111+U115+U119+U120+U121</f>
        <v>20359</v>
      </c>
      <c r="V319" s="226">
        <f>V111+V115+V119+V120+V121</f>
        <v>24442</v>
      </c>
      <c r="X319" s="226">
        <f>X111+X115+X119+X120+X121</f>
        <v>30089</v>
      </c>
      <c r="Y319" s="226">
        <f>Y111+Y115+Y119+Y120+Y121</f>
        <v>34411</v>
      </c>
      <c r="Z319" s="226">
        <f>Z111+Z115+Z119+Z120+Z121</f>
        <v>39429</v>
      </c>
      <c r="AA319" s="226">
        <f>AA111+AA115+AA119+AA120+AA121</f>
        <v>47895</v>
      </c>
      <c r="AC319" s="226">
        <f>AC111+AC115+AC119+AC120+AC121</f>
        <v>49562</v>
      </c>
      <c r="AD319" s="226">
        <f>AD111+AD115+AD119+AD120+AD121</f>
        <v>58998</v>
      </c>
      <c r="AE319" s="226">
        <f>AE111+AE115+AE119+AE120+AE121</f>
        <v>69558</v>
      </c>
      <c r="AF319" s="226">
        <f>AF111+AF115+AF119+AF120+AF121</f>
        <v>76307</v>
      </c>
      <c r="AH319" s="226">
        <f>AH111+AH115+AH119+AH120+AH121</f>
        <v>16438</v>
      </c>
      <c r="AI319" s="226">
        <f>AI111+AI115+AI119+AI120+AI121</f>
        <v>16438</v>
      </c>
      <c r="AJ319" s="226">
        <f>AJ111+AJ115+AJ119+AJ120+AJ121</f>
        <v>16438</v>
      </c>
      <c r="AK319" s="226">
        <f>AK111+AK115+AK119+AK120+AK121</f>
        <v>16438</v>
      </c>
      <c r="AM319" s="226">
        <f>AM111+AM115+AM119+AM120+AM121</f>
        <v>16438</v>
      </c>
      <c r="AN319" s="226">
        <f>AN111+AN115+AN119+AN120+AN121</f>
        <v>16438</v>
      </c>
      <c r="AO319" s="226">
        <f>AO111+AO115+AO119+AO120+AO121</f>
        <v>16438</v>
      </c>
      <c r="AP319" s="226">
        <f>AP111+AP115+AP119+AP120+AP121</f>
        <v>16438</v>
      </c>
      <c r="AR319" s="226">
        <f>AR111+AR115+AR119+AR120+AR121</f>
        <v>16438</v>
      </c>
      <c r="AS319" s="226">
        <f>AS111+AS115+AS119+AS120+AS121</f>
        <v>16438</v>
      </c>
      <c r="AT319" s="226">
        <f>AT111+AT115+AT119+AT120+AT121</f>
        <v>16438</v>
      </c>
      <c r="AU319" s="226">
        <f>AU111+AU115+AU119+AU120+AU121</f>
        <v>16438</v>
      </c>
      <c r="AW319" s="226">
        <f>AW111+AW115+AW119+AW120+AW121</f>
        <v>16438</v>
      </c>
      <c r="AX319" s="226">
        <f>AX111+AX115+AX119+AX120+AX121</f>
        <v>16438</v>
      </c>
      <c r="AY319" s="226">
        <f>AY111+AY115+AY119+AY120+AY121</f>
        <v>16438</v>
      </c>
      <c r="AZ319" s="226">
        <f>AZ111+AZ115+AZ119+AZ120+AZ121</f>
        <v>16438</v>
      </c>
      <c r="BB319" s="226">
        <f>BB111+BB115+BB119+BB120+BB121</f>
        <v>16438</v>
      </c>
      <c r="BC319" s="226">
        <f>BC111+BC115+BC119+BC120+BC121</f>
        <v>16438</v>
      </c>
      <c r="BD319" s="226">
        <f>BD111+BD115+BD119+BD120+BD121</f>
        <v>16438</v>
      </c>
      <c r="BE319" s="226">
        <f>BE111+BE115+BE119+BE120+BE121</f>
        <v>16438</v>
      </c>
      <c r="BG319" s="226">
        <f>BG111+BG115+BG119+BG120+BG121</f>
        <v>16438</v>
      </c>
      <c r="BH319" s="226">
        <f>BH111+BH115+BH119+BH120+BH121</f>
        <v>16438</v>
      </c>
      <c r="BI319" s="226">
        <f>BI111+BI115+BI119+BI120+BI121</f>
        <v>16438</v>
      </c>
      <c r="BJ319" s="226">
        <f>BJ111+BJ115+BJ119+BJ120+BJ121</f>
        <v>16438</v>
      </c>
      <c r="BL319" s="226">
        <f>BL111+BL115+BL119+BL120+BL121</f>
        <v>16438</v>
      </c>
      <c r="BM319" s="226">
        <f>BM111+BM115+BM119+BM120+BM121</f>
        <v>16438</v>
      </c>
      <c r="BN319" s="226">
        <f>BN111+BN115+BN119+BN120+BN121</f>
        <v>16438</v>
      </c>
      <c r="BO319" s="226">
        <f>BO111+BO115+BO119+BO120+BO121</f>
        <v>16438</v>
      </c>
      <c r="BQ319" s="226">
        <f>BQ111+BQ115+BQ119+BQ120+BQ121</f>
        <v>16438</v>
      </c>
      <c r="BR319" s="226">
        <f>BR111+BR115+BR119+BR120+BR121</f>
        <v>16438</v>
      </c>
      <c r="BS319" s="226">
        <f>BS111+BS115+BS119+BS120+BS121</f>
        <v>16438</v>
      </c>
      <c r="BT319" s="226">
        <f>BT111+BT115+BT119+BT120+BT121</f>
        <v>16438</v>
      </c>
      <c r="BV319" s="226">
        <f>BV111+BV115+BV119+BV120+BV121</f>
        <v>16438</v>
      </c>
      <c r="BW319" s="226">
        <f>BW111+BW115+BW119+BW120+BW121</f>
        <v>16438</v>
      </c>
      <c r="BX319" s="226">
        <f>BX111+BX115+BX119+BX120+BX121</f>
        <v>16438</v>
      </c>
      <c r="BY319" s="226">
        <f>BY111+BY115+BY119+BY120+BY121</f>
        <v>16438</v>
      </c>
      <c r="CA319" s="226">
        <f>CA111+CA115+CA119+CA120+CA121</f>
        <v>16438</v>
      </c>
      <c r="CB319" s="226">
        <f>CB111+CB115+CB119+CB120+CB121</f>
        <v>16438</v>
      </c>
      <c r="CC319" s="226">
        <f>CC111+CC115+CC119+CC120+CC121</f>
        <v>16438</v>
      </c>
      <c r="CD319" s="226">
        <f>CD111+CD115+CD119+CD120+CD121</f>
        <v>16438</v>
      </c>
      <c r="CF319" s="226">
        <f>CF111+CF115+CF119+CF120+CF121</f>
        <v>16438</v>
      </c>
      <c r="CG319" s="226">
        <f>CG111+CG115+CG119+CG120+CG121</f>
        <v>16438</v>
      </c>
      <c r="CH319" s="226">
        <f>CH111+CH115+CH119+CH120+CH121</f>
        <v>16438</v>
      </c>
      <c r="CI319" s="226">
        <f>CI111+CI115+CI119+CI120+CI121</f>
        <v>16438</v>
      </c>
      <c r="CK319" s="226">
        <f>CK111+CK115+CK119+CK120+CK121</f>
        <v>16438</v>
      </c>
      <c r="CL319" s="226">
        <f>CL111+CL115+CL119+CL120+CL121</f>
        <v>16438</v>
      </c>
      <c r="CM319" s="226">
        <f>CM111+CM115+CM119+CM120+CM121</f>
        <v>16438</v>
      </c>
      <c r="CN319" s="226">
        <f>CN111+CN115+CN119+CN120+CN121</f>
        <v>16438</v>
      </c>
      <c r="CP319" s="226">
        <f>CP111+CP115+CP119+CP120+CP121</f>
        <v>16438</v>
      </c>
      <c r="CQ319" s="226">
        <f>CQ111+CQ115+CQ119+CQ120+CQ121</f>
        <v>16438</v>
      </c>
      <c r="CR319" s="226">
        <f>CR111+CR115+CR119+CR120+CR121</f>
        <v>16438</v>
      </c>
      <c r="CS319" s="226">
        <f>CS111+CS115+CS119+CS120+CS121</f>
        <v>16438</v>
      </c>
      <c r="CU319" s="226">
        <f>CU111+CU115+CU119+CU120+CU121</f>
        <v>16438</v>
      </c>
      <c r="CV319" s="226">
        <f>CV111+CV115+CV119+CV120+CV121</f>
        <v>16438</v>
      </c>
      <c r="CW319" s="226">
        <f>CW111+CW115+CW119+CW120+CW121</f>
        <v>16438</v>
      </c>
      <c r="CX319" s="226">
        <f>CX111+CX115+CX119+CX120+CX121</f>
        <v>16438</v>
      </c>
    </row>
    <row r="320" customFormat="1" s="233">
      <c r="A320" s="224" t="n"/>
      <c r="B320" s="224" t="n"/>
      <c r="C320" s="233" t="inlineStr">
        <is>
          <t>CURRENT LIABILITIES</t>
        </is>
      </c>
      <c r="D320" s="241">
        <f>D164+D168+D170+D171</f>
        <v>1803</v>
      </c>
      <c r="E320" s="241">
        <f>E164+E168+E170+E171</f>
        <v>2286</v>
      </c>
      <c r="F320" s="241">
        <f>F164+F168+F170+F171</f>
        <v>2555</v>
      </c>
      <c r="G320" s="241">
        <f>G164+G168+G170+G171</f>
        <v>2805</v>
      </c>
      <c r="I320" s="226">
        <f>I164+I168+I170+I171</f>
        <v>2870</v>
      </c>
      <c r="J320" s="226">
        <f>J164+J168+J170+J171</f>
        <v>3316</v>
      </c>
      <c r="K320" s="226">
        <f>K164+K168+K170+K171</f>
        <v>3472</v>
      </c>
      <c r="L320" s="226">
        <f>L164+L168+L170+L171</f>
        <v>4191</v>
      </c>
      <c r="N320" s="226">
        <f>N164+N168+N170+N171</f>
        <v>5415</v>
      </c>
      <c r="O320" s="226">
        <f>O164+O168+O170+O171</f>
        <v>6179</v>
      </c>
      <c r="P320" s="226">
        <f>P164+P168+P170+P171</f>
        <v>5450</v>
      </c>
      <c r="Q320" s="226">
        <f>Q164+Q168+Q170+Q171</f>
        <v>5137</v>
      </c>
      <c r="S320" s="226">
        <f>S164+S168+S170+S171</f>
        <v>5823</v>
      </c>
      <c r="T320" s="226">
        <f>T164+T168+T170+T171</f>
        <v>8877</v>
      </c>
      <c r="U320" s="226">
        <f>U164+U168+U170+U171</f>
        <v>7622</v>
      </c>
      <c r="V320" s="226">
        <f>V164+V168+V170+V171</f>
        <v>9153</v>
      </c>
      <c r="X320" s="226">
        <f>X164+X168+X170+X171</f>
        <v>13727</v>
      </c>
      <c r="Y320" s="226">
        <f>Y164+Y168+Y170+Y171</f>
        <v>13719</v>
      </c>
      <c r="Z320" s="226">
        <f>Z164+Z168+Z170+Z171</f>
        <v>16206</v>
      </c>
      <c r="AA320" s="226">
        <f>AA164+AA168+AA170+AA171</f>
        <v>17759</v>
      </c>
      <c r="AC320" s="226">
        <f>AC164+AC168+AC170+AC171</f>
        <v>26242</v>
      </c>
      <c r="AD320" s="226">
        <f>AD164+AD168+AD170+AD171</f>
        <v>23956</v>
      </c>
      <c r="AE320" s="226">
        <f>AE164+AE168+AE170+AE171</f>
        <v>24735</v>
      </c>
      <c r="AF320" s="226">
        <f>AF164+AF168+AF170+AF171</f>
        <v>30792</v>
      </c>
      <c r="AH320" s="226">
        <f>AH164+AH168+AH170+AH171</f>
        <v>0</v>
      </c>
      <c r="AI320" s="226">
        <f>AI164+AI168+AI170+AI171</f>
        <v>0</v>
      </c>
      <c r="AJ320" s="226" t="e">
        <f>AJ164+AJ168+AJ170+AJ171</f>
        <v>#DIV/0!</v>
      </c>
      <c r="AK320" s="226" t="e">
        <f>AK164+AK168+AK170+AK171</f>
        <v>#DIV/0!</v>
      </c>
      <c r="AM320" s="226" t="e">
        <f>AM164+AM168+AM170+AM171</f>
        <v>#DIV/0!</v>
      </c>
      <c r="AN320" s="226" t="e">
        <f>AN164+AN168+AN170+AN171</f>
        <v>#DIV/0!</v>
      </c>
      <c r="AO320" s="226" t="e">
        <f>AO164+AO168+AO170+AO171</f>
        <v>#DIV/0!</v>
      </c>
      <c r="AP320" s="226" t="e">
        <f>AP164+AP168+AP170+AP171</f>
        <v>#DIV/0!</v>
      </c>
      <c r="AR320" s="226" t="e">
        <f>AR164+AR168+AR170+AR171</f>
        <v>#DIV/0!</v>
      </c>
      <c r="AS320" s="226" t="e">
        <f>AS164+AS168+AS170+AS171</f>
        <v>#DIV/0!</v>
      </c>
      <c r="AT320" s="226" t="e">
        <f>AT164+AT168+AT170+AT171</f>
        <v>#DIV/0!</v>
      </c>
      <c r="AU320" s="226" t="e">
        <f>AU164+AU168+AU170+AU171</f>
        <v>#DIV/0!</v>
      </c>
      <c r="AW320" s="226" t="e">
        <f>AW164+AW168+AW170+AW171</f>
        <v>#DIV/0!</v>
      </c>
      <c r="AX320" s="226" t="e">
        <f>AX164+AX168+AX170+AX171</f>
        <v>#DIV/0!</v>
      </c>
      <c r="AY320" s="226" t="e">
        <f>AY164+AY168+AY170+AY171</f>
        <v>#DIV/0!</v>
      </c>
      <c r="AZ320" s="226" t="e">
        <f>AZ164+AZ168+AZ170+AZ171</f>
        <v>#DIV/0!</v>
      </c>
      <c r="BB320" s="226" t="e">
        <f>BB164+BB168+BB170+BB171</f>
        <v>#DIV/0!</v>
      </c>
      <c r="BC320" s="226" t="e">
        <f>BC164+BC168+BC170+BC171</f>
        <v>#DIV/0!</v>
      </c>
      <c r="BD320" s="226" t="e">
        <f>BD164+BD168+BD170+BD171</f>
        <v>#DIV/0!</v>
      </c>
      <c r="BE320" s="226" t="e">
        <f>BE164+BE168+BE170+BE171</f>
        <v>#DIV/0!</v>
      </c>
      <c r="BG320" s="226" t="e">
        <f>BG164+BG168+BG170+BG171</f>
        <v>#DIV/0!</v>
      </c>
      <c r="BH320" s="226" t="e">
        <f>BH164+BH168+BH170+BH171</f>
        <v>#DIV/0!</v>
      </c>
      <c r="BI320" s="226" t="e">
        <f>BI164+BI168+BI170+BI171</f>
        <v>#DIV/0!</v>
      </c>
      <c r="BJ320" s="226" t="e">
        <f>BJ164+BJ168+BJ170+BJ171</f>
        <v>#DIV/0!</v>
      </c>
      <c r="BL320" s="226" t="e">
        <f>BL164+BL168+BL170+BL171</f>
        <v>#DIV/0!</v>
      </c>
      <c r="BM320" s="226" t="e">
        <f>BM164+BM168+BM170+BM171</f>
        <v>#DIV/0!</v>
      </c>
      <c r="BN320" s="226" t="e">
        <f>BN164+BN168+BN170+BN171</f>
        <v>#DIV/0!</v>
      </c>
      <c r="BO320" s="226" t="e">
        <f>BO164+BO168+BO170+BO171</f>
        <v>#DIV/0!</v>
      </c>
      <c r="BQ320" s="226" t="e">
        <f>BQ164+BQ168+BQ170+BQ171</f>
        <v>#DIV/0!</v>
      </c>
      <c r="BR320" s="226" t="e">
        <f>BR164+BR168+BR170+BR171</f>
        <v>#DIV/0!</v>
      </c>
      <c r="BS320" s="226" t="e">
        <f>BS164+BS168+BS170+BS171</f>
        <v>#DIV/0!</v>
      </c>
      <c r="BT320" s="226" t="e">
        <f>BT164+BT168+BT170+BT171</f>
        <v>#DIV/0!</v>
      </c>
      <c r="BV320" s="226" t="e">
        <f>BV164+BV168+BV170+BV171</f>
        <v>#DIV/0!</v>
      </c>
      <c r="BW320" s="226" t="e">
        <f>BW164+BW168+BW170+BW171</f>
        <v>#DIV/0!</v>
      </c>
      <c r="BX320" s="226" t="e">
        <f>BX164+BX168+BX170+BX171</f>
        <v>#DIV/0!</v>
      </c>
      <c r="BY320" s="226" t="e">
        <f>BY164+BY168+BY170+BY171</f>
        <v>#DIV/0!</v>
      </c>
      <c r="CA320" s="226" t="e">
        <f>CA164+CA168+CA170+CA171</f>
        <v>#DIV/0!</v>
      </c>
      <c r="CB320" s="226" t="e">
        <f>CB164+CB168+CB170+CB171</f>
        <v>#DIV/0!</v>
      </c>
      <c r="CC320" s="226" t="e">
        <f>CC164+CC168+CC170+CC171</f>
        <v>#DIV/0!</v>
      </c>
      <c r="CD320" s="226" t="e">
        <f>CD164+CD168+CD170+CD171</f>
        <v>#DIV/0!</v>
      </c>
      <c r="CF320" s="226" t="e">
        <f>CF164+CF168+CF170+CF171</f>
        <v>#DIV/0!</v>
      </c>
      <c r="CG320" s="226" t="e">
        <f>CG164+CG168+CG170+CG171</f>
        <v>#DIV/0!</v>
      </c>
      <c r="CH320" s="226" t="e">
        <f>CH164+CH168+CH170+CH171</f>
        <v>#DIV/0!</v>
      </c>
      <c r="CI320" s="226" t="e">
        <f>CI164+CI168+CI170+CI171</f>
        <v>#DIV/0!</v>
      </c>
      <c r="CK320" s="226" t="e">
        <f>CK164+CK168+CK170+CK171</f>
        <v>#DIV/0!</v>
      </c>
      <c r="CL320" s="226" t="e">
        <f>CL164+CL168+CL170+CL171</f>
        <v>#DIV/0!</v>
      </c>
      <c r="CM320" s="226" t="e">
        <f>CM164+CM168+CM170+CM171</f>
        <v>#DIV/0!</v>
      </c>
      <c r="CN320" s="226" t="e">
        <f>CN164+CN168+CN170+CN171</f>
        <v>#DIV/0!</v>
      </c>
      <c r="CP320" s="226" t="e">
        <f>CP164+CP168+CP170+CP171</f>
        <v>#DIV/0!</v>
      </c>
      <c r="CQ320" s="226" t="e">
        <f>CQ164+CQ168+CQ170+CQ171</f>
        <v>#DIV/0!</v>
      </c>
      <c r="CR320" s="226" t="e">
        <f>CR164+CR168+CR170+CR171</f>
        <v>#DIV/0!</v>
      </c>
      <c r="CS320" s="226" t="e">
        <f>CS164+CS168+CS170+CS171</f>
        <v>#DIV/0!</v>
      </c>
      <c r="CU320" s="226" t="e">
        <f>CU164+CU168+CU170+CU171</f>
        <v>#DIV/0!</v>
      </c>
      <c r="CV320" s="226" t="e">
        <f>CV164+CV168+CV170+CV171</f>
        <v>#DIV/0!</v>
      </c>
      <c r="CW320" s="226" t="e">
        <f>CW164+CW168+CW170+CW171</f>
        <v>#DIV/0!</v>
      </c>
      <c r="CX320" s="226" t="e">
        <f>CX164+CX168+CX170+CX171</f>
        <v>#DIV/0!</v>
      </c>
    </row>
    <row r="321" customFormat="1" s="233">
      <c r="A321" s="224" t="n"/>
      <c r="B321" s="224" t="n"/>
      <c r="C321" s="233" t="inlineStr">
        <is>
          <t>FIXED ASSETS</t>
        </is>
      </c>
      <c r="D321" s="241">
        <f>D132+D142+D145+D146+D155-D206</f>
        <v>2395</v>
      </c>
      <c r="E321" s="241">
        <f>E132+E142+E145+E146+E155-E206</f>
        <v>8858</v>
      </c>
      <c r="F321" s="241">
        <f>F132+F142+F145+F146+F155-F206</f>
        <v>10769</v>
      </c>
      <c r="G321" s="241">
        <f>G132+G142+G145+G146+G155-G206</f>
        <v>10796</v>
      </c>
      <c r="I321" s="226">
        <f>I132+I142+I145+I146+I155-I206</f>
        <v>10711</v>
      </c>
      <c r="J321" s="226">
        <f>J132+J142+J145+J146+J155-J206</f>
        <v>10719</v>
      </c>
      <c r="K321" s="226">
        <f>K132+K142+K145+K146+K155-K206</f>
        <v>12546</v>
      </c>
      <c r="L321" s="226">
        <f>L132+L142+L145+L146+L155-L206</f>
        <v>12828</v>
      </c>
      <c r="N321" s="226">
        <f>N132+N142+N145+N146+N155-N206</f>
        <v>12479</v>
      </c>
      <c r="O321" s="226">
        <f>O132+O142+O145+O146+O155-O206</f>
        <v>12476</v>
      </c>
      <c r="P321" s="226">
        <f>P132+P142+P145+P146+P155-P206</f>
        <v>12964</v>
      </c>
      <c r="Q321" s="226">
        <f>Q132+Q142+Q145+Q146+Q155-Q206</f>
        <v>13047</v>
      </c>
      <c r="S321" s="226">
        <f>S132+S142+S145+S146+S155-S206</f>
        <v>13262</v>
      </c>
      <c r="T321" s="226">
        <f>T132+T142+T145+T146+T155-T206</f>
        <v>13510</v>
      </c>
      <c r="U321" s="226">
        <f>U132+U142+U145+U146+U155-U206</f>
        <v>13698</v>
      </c>
      <c r="V321" s="226">
        <f>V132+V142+V145+V146+V155-V206</f>
        <v>13223</v>
      </c>
      <c r="X321" s="226">
        <f>X132+X142+X145+X146+X155-X206</f>
        <v>13162</v>
      </c>
      <c r="Y321" s="226">
        <f>Y132+Y142+Y145+Y146+Y155-Y206</f>
        <v>13377</v>
      </c>
      <c r="Z321" s="226">
        <f>Z132+Z142+Z145+Z146+Z155-Z206</f>
        <v>15204</v>
      </c>
      <c r="AA321" s="226">
        <f>AA132+AA142+AA145+AA146+AA155-AA206</f>
        <v>17137</v>
      </c>
      <c r="AC321" s="226">
        <f>AC132+AC142+AC145+AC146+AC155-AC206</f>
        <v>18199</v>
      </c>
      <c r="AD321" s="226">
        <f>AD132+AD142+AD145+AD146+AD155-AD206</f>
        <v>20247</v>
      </c>
      <c r="AE321" s="226">
        <f>AE132+AE142+AE145+AE146+AE155-AE206</f>
        <v>25909</v>
      </c>
      <c r="AF321" s="226">
        <f>AF132+AF142+AF145+AF146+AF155-AF206</f>
        <v>62408</v>
      </c>
      <c r="AH321" s="226">
        <f>AH132+AH142+AH145+AH146+AH155-AH206</f>
        <v>48719</v>
      </c>
      <c r="AI321" s="226">
        <f>AI132+AI142+AI145+AI146+AI155-AI206</f>
        <v>48719</v>
      </c>
      <c r="AJ321" s="226">
        <f>AJ132+AJ142+AJ145+AJ146+AJ155-AJ206</f>
        <v>48719</v>
      </c>
      <c r="AK321" s="226">
        <f>AK132+AK142+AK145+AK146+AK155-AK206</f>
        <v>48719</v>
      </c>
      <c r="AM321" s="226">
        <f>AM132+AM142+AM145+AM146+AM155-AM206</f>
        <v>48719</v>
      </c>
      <c r="AN321" s="226">
        <f>AN132+AN142+AN145+AN146+AN155-AN206</f>
        <v>48719</v>
      </c>
      <c r="AO321" s="226">
        <f>AO132+AO142+AO145+AO146+AO155-AO206</f>
        <v>48719</v>
      </c>
      <c r="AP321" s="226">
        <f>AP132+AP142+AP145+AP146+AP155-AP206</f>
        <v>48719</v>
      </c>
      <c r="AR321" s="226">
        <f>AR132+AR142+AR145+AR146+AR155-AR206</f>
        <v>48719</v>
      </c>
      <c r="AS321" s="226">
        <f>AS132+AS142+AS145+AS146+AS155-AS206</f>
        <v>48719</v>
      </c>
      <c r="AT321" s="226">
        <f>AT132+AT142+AT145+AT146+AT155-AT206</f>
        <v>48719</v>
      </c>
      <c r="AU321" s="226">
        <f>AU132+AU142+AU145+AU146+AU155-AU206</f>
        <v>48719</v>
      </c>
      <c r="AW321" s="226">
        <f>AW132+AW142+AW145+AW146+AW155-AW206</f>
        <v>48719</v>
      </c>
      <c r="AX321" s="226">
        <f>AX132+AX142+AX145+AX146+AX155-AX206</f>
        <v>48719</v>
      </c>
      <c r="AY321" s="226">
        <f>AY132+AY142+AY145+AY146+AY155-AY206</f>
        <v>48719</v>
      </c>
      <c r="AZ321" s="226">
        <f>AZ132+AZ142+AZ145+AZ146+AZ155-AZ206</f>
        <v>48719</v>
      </c>
      <c r="BB321" s="226">
        <f>BB132+BB142+BB145+BB146+BB155-BB206</f>
        <v>48719</v>
      </c>
      <c r="BC321" s="226">
        <f>BC132+BC142+BC145+BC146+BC155-BC206</f>
        <v>48719</v>
      </c>
      <c r="BD321" s="226">
        <f>BD132+BD142+BD145+BD146+BD155-BD206</f>
        <v>48719</v>
      </c>
      <c r="BE321" s="226">
        <f>BE132+BE142+BE145+BE146+BE155-BE206</f>
        <v>48719</v>
      </c>
      <c r="BG321" s="226">
        <f>BG132+BG142+BG145+BG146+BG155-BG206</f>
        <v>48719</v>
      </c>
      <c r="BH321" s="226">
        <f>BH132+BH142+BH145+BH146+BH155-BH206</f>
        <v>48719</v>
      </c>
      <c r="BI321" s="226">
        <f>BI132+BI142+BI145+BI146+BI155-BI206</f>
        <v>48719</v>
      </c>
      <c r="BJ321" s="226">
        <f>BJ132+BJ142+BJ145+BJ146+BJ155-BJ206</f>
        <v>48719</v>
      </c>
      <c r="BL321" s="226">
        <f>BL132+BL142+BL145+BL146+BL155-BL206</f>
        <v>48719</v>
      </c>
      <c r="BM321" s="226">
        <f>BM132+BM142+BM145+BM146+BM155-BM206</f>
        <v>48719</v>
      </c>
      <c r="BN321" s="226">
        <f>BN132+BN142+BN145+BN146+BN155-BN206</f>
        <v>48719</v>
      </c>
      <c r="BO321" s="226">
        <f>BO132+BO142+BO145+BO146+BO155-BO206</f>
        <v>48719</v>
      </c>
      <c r="BQ321" s="226">
        <f>BQ132+BQ142+BQ145+BQ146+BQ155-BQ206</f>
        <v>48719</v>
      </c>
      <c r="BR321" s="226">
        <f>BR132+BR142+BR145+BR146+BR155-BR206</f>
        <v>48719</v>
      </c>
      <c r="BS321" s="226">
        <f>BS132+BS142+BS145+BS146+BS155-BS206</f>
        <v>48719</v>
      </c>
      <c r="BT321" s="226">
        <f>BT132+BT142+BT145+BT146+BT155-BT206</f>
        <v>48719</v>
      </c>
      <c r="BV321" s="226">
        <f>BV132+BV142+BV145+BV146+BV155-BV206</f>
        <v>48719</v>
      </c>
      <c r="BW321" s="226">
        <f>BW132+BW142+BW145+BW146+BW155-BW206</f>
        <v>48719</v>
      </c>
      <c r="BX321" s="226">
        <f>BX132+BX142+BX145+BX146+BX155-BX206</f>
        <v>48719</v>
      </c>
      <c r="BY321" s="226">
        <f>BY132+BY142+BY145+BY146+BY155-BY206</f>
        <v>48719</v>
      </c>
      <c r="CA321" s="226">
        <f>CA132+CA142+CA145+CA146+CA155-CA206</f>
        <v>48719</v>
      </c>
      <c r="CB321" s="226">
        <f>CB132+CB142+CB145+CB146+CB155-CB206</f>
        <v>48719</v>
      </c>
      <c r="CC321" s="226">
        <f>CC132+CC142+CC145+CC146+CC155-CC206</f>
        <v>48719</v>
      </c>
      <c r="CD321" s="226">
        <f>CD132+CD142+CD145+CD146+CD155-CD206</f>
        <v>48719</v>
      </c>
      <c r="CF321" s="226">
        <f>CF132+CF142+CF145+CF146+CF155-CF206</f>
        <v>48719</v>
      </c>
      <c r="CG321" s="226">
        <f>CG132+CG142+CG145+CG146+CG155-CG206</f>
        <v>48719</v>
      </c>
      <c r="CH321" s="226">
        <f>CH132+CH142+CH145+CH146+CH155-CH206</f>
        <v>48719</v>
      </c>
      <c r="CI321" s="226">
        <f>CI132+CI142+CI145+CI146+CI155-CI206</f>
        <v>48719</v>
      </c>
      <c r="CK321" s="226">
        <f>CK132+CK142+CK145+CK146+CK155-CK206</f>
        <v>48719</v>
      </c>
      <c r="CL321" s="226">
        <f>CL132+CL142+CL145+CL146+CL155-CL206</f>
        <v>48719</v>
      </c>
      <c r="CM321" s="226">
        <f>CM132+CM142+CM145+CM146+CM155-CM206</f>
        <v>48719</v>
      </c>
      <c r="CN321" s="226">
        <f>CN132+CN142+CN145+CN146+CN155-CN206</f>
        <v>48719</v>
      </c>
      <c r="CP321" s="226">
        <f>CP132+CP142+CP145+CP146+CP155-CP206</f>
        <v>48719</v>
      </c>
      <c r="CQ321" s="226">
        <f>CQ132+CQ142+CQ145+CQ146+CQ155-CQ206</f>
        <v>48719</v>
      </c>
      <c r="CR321" s="226">
        <f>CR132+CR142+CR145+CR146+CR155-CR206</f>
        <v>48719</v>
      </c>
      <c r="CS321" s="226">
        <f>CS132+CS142+CS145+CS146+CS155-CS206</f>
        <v>48719</v>
      </c>
      <c r="CU321" s="226">
        <f>CU132+CU142+CU145+CU146+CU155-CU206</f>
        <v>48719</v>
      </c>
      <c r="CV321" s="226">
        <f>CV132+CV142+CV145+CV146+CV155-CV206</f>
        <v>48719</v>
      </c>
      <c r="CW321" s="226">
        <f>CW132+CW142+CW145+CW146+CW155-CW206</f>
        <v>48719</v>
      </c>
      <c r="CX321" s="226">
        <f>CX132+CX142+CX145+CX146+CX155-CX206</f>
        <v>48719</v>
      </c>
    </row>
    <row r="322" customFormat="1" s="233">
      <c r="A322" s="224" t="n"/>
      <c r="B322" s="224" t="n"/>
    </row>
    <row r="323" customFormat="1" s="233">
      <c r="A323" s="224" t="n"/>
      <c r="B323" s="224" t="n"/>
    </row>
    <row r="324" customFormat="1" s="233">
      <c r="A324" s="224" t="n"/>
      <c r="B324" s="224" t="n"/>
    </row>
    <row r="325" customFormat="1" s="233">
      <c r="A325" s="224" t="n"/>
      <c r="B325" s="224" t="n"/>
    </row>
    <row r="326" customFormat="1" s="233">
      <c r="A326" s="224" t="n"/>
      <c r="B326" s="224" t="n"/>
    </row>
    <row r="327" customFormat="1" s="233">
      <c r="A327" s="224" t="n"/>
      <c r="B327" s="224" t="n"/>
    </row>
    <row r="328" customFormat="1" s="233">
      <c r="A328" s="224" t="n"/>
      <c r="B328" s="224" t="n"/>
    </row>
    <row r="329" customFormat="1" s="233">
      <c r="A329" s="224" t="n"/>
      <c r="B329" s="224" t="n"/>
      <c r="C329" s="234" t="inlineStr">
        <is>
          <t>DUPONT ANALYSIS</t>
        </is>
      </c>
    </row>
    <row r="330" customFormat="1" s="233">
      <c r="A330" s="224" t="n"/>
      <c r="B330" s="224" t="n"/>
      <c r="C330" s="233" t="inlineStr">
        <is>
          <t>NET PROFIT MARGIN</t>
        </is>
      </c>
      <c r="D330" s="238">
        <f>D103/D15</f>
        <v>0.297727272727273</v>
      </c>
      <c r="E330" s="238">
        <f>E103/E15</f>
        <v>0.160889808587688</v>
      </c>
      <c r="F330" s="238">
        <f>F103/F15</f>
        <v>0.282691493863733</v>
      </c>
      <c r="G330" s="238">
        <f>G103/G15</f>
        <v>0.291225264841095</v>
      </c>
      <c r="I330" s="222">
        <f>I103/I15</f>
        <v>0.337749514220102</v>
      </c>
      <c r="J330" s="222">
        <f>J103/J15</f>
        <v>0.364837866912556</v>
      </c>
      <c r="K330" s="222">
        <f>K103/K15</f>
        <v>0.346895677882585</v>
      </c>
      <c r="L330" s="222">
        <f>L103/L15</f>
        <v>0.392777705089625</v>
      </c>
      <c r="N330" s="222">
        <f>N103/N15</f>
        <v>0.195222007722008</v>
      </c>
      <c r="O330" s="222">
        <f>O103/O15</f>
        <v>0.0978520286396181</v>
      </c>
      <c r="P330" s="222">
        <f>P103/P15</f>
        <v>0.114651829371101</v>
      </c>
      <c r="Q330" s="222">
        <f>Q103/Q15</f>
        <v>0.233680383407701</v>
      </c>
      <c r="S330" s="222">
        <f>S103/S15</f>
        <v>0.284065628476085</v>
      </c>
      <c r="T330" s="222">
        <f>T103/T15</f>
        <v>0.458132820019249</v>
      </c>
      <c r="U330" s="222">
        <f>U103/U15</f>
        <v>0.510099337748344</v>
      </c>
      <c r="V330" s="222">
        <f>V103/V15</f>
        <v>0.555852146767407</v>
      </c>
      <c r="X330" s="222">
        <f>X103/X15</f>
        <v>0.571379204423284</v>
      </c>
      <c r="Y330" s="222">
        <f>Y103/Y15</f>
        <v>0.552563249001332</v>
      </c>
      <c r="Z330" s="222">
        <f>Z103/Z15</f>
        <v>0.550396214582977</v>
      </c>
      <c r="AA330" s="222">
        <f>AA103/AA15</f>
        <v>0.56166891256261</v>
      </c>
      <c r="AC330" s="222">
        <f>AC103/AC15</f>
        <v>0.426104126004267</v>
      </c>
      <c r="AD330" s="222">
        <f>AD103/AD15</f>
        <v>0.565261108615194</v>
      </c>
      <c r="AE330" s="222">
        <f>AE103/AE15</f>
        <v>0.559765638704698</v>
      </c>
      <c r="AF330" s="222">
        <f>AF103/AF15</f>
        <v>0.630586991941521</v>
      </c>
      <c r="AH330" s="222">
        <f>AH103/AH15</f>
        <v>0.140075348372748</v>
      </c>
      <c r="AI330" s="222">
        <f>AI103/AI15</f>
        <v>0.242218086130544</v>
      </c>
      <c r="AJ330" s="222">
        <f>AJ103/AJ15</f>
        <v>0.10826930498544</v>
      </c>
      <c r="AK330" s="222">
        <f>AK103/AK15</f>
        <v>0.166189616451627</v>
      </c>
      <c r="AM330" s="222">
        <f>AM103/AM15</f>
        <v>0.256956107303345</v>
      </c>
      <c r="AN330" s="222">
        <f>AN103/AN15</f>
        <v>0.748518494747877</v>
      </c>
      <c r="AO330" s="222">
        <f>AO103/AO15</f>
        <v>0.198610672560783</v>
      </c>
      <c r="AP330" s="222">
        <f>AP103/AP15</f>
        <v>0.513570243809356</v>
      </c>
      <c r="AR330" s="222">
        <f>AR103/AR15</f>
        <v>0.794062911352186</v>
      </c>
      <c r="AS330" s="222">
        <f>AS103/AS15</f>
        <v>1.98147316175684</v>
      </c>
      <c r="AT330" s="222">
        <f>AT103/AT15</f>
        <v>0.613759955092446</v>
      </c>
      <c r="AU330" s="222">
        <f>AU103/AU15</f>
        <v>1.35951972052197</v>
      </c>
      <c r="AW330" s="222">
        <f>AW103/AW15</f>
        <v>2.10203803731106</v>
      </c>
      <c r="AX330" s="222">
        <f>AX103/AX15</f>
        <v>5.45998331300944</v>
      </c>
      <c r="AY330" s="222">
        <f>AY103/AY15</f>
        <v>1.62474125530646</v>
      </c>
      <c r="AZ330" s="222">
        <f>AZ103/AZ15</f>
        <v>3.74617992866264</v>
      </c>
      <c r="BB330" s="222">
        <f>BB103/BB15</f>
        <v>5.79220189732649</v>
      </c>
      <c r="BC330" s="222">
        <f>BC103/BC15</f>
        <v>14.8829129495326</v>
      </c>
      <c r="BD330" s="222">
        <f>BD103/BD15</f>
        <v>4.47700242079781</v>
      </c>
      <c r="BE330" s="222">
        <f>BE103/BE15</f>
        <v>10.2113992983692</v>
      </c>
      <c r="BG330" s="222">
        <f>BG103/BG15</f>
        <v>15.7884798692751</v>
      </c>
      <c r="BH330" s="222">
        <f>BH103/BH15</f>
        <v>40.685792525084</v>
      </c>
      <c r="BI330" s="222">
        <f>BI103/BI15</f>
        <v>12.2034873522085</v>
      </c>
      <c r="BJ330" s="222">
        <f>BJ103/BJ15</f>
        <v>27.9151584540637</v>
      </c>
      <c r="BL330" s="222">
        <f>BL103/BL15</f>
        <v>43.1613635332032</v>
      </c>
      <c r="BM330" s="222">
        <f>BM103/BM15</f>
        <v>111.137410949233</v>
      </c>
      <c r="BN330" s="222">
        <f>BN103/BN15</f>
        <v>33.3609795460127</v>
      </c>
      <c r="BO330" s="222">
        <f>BO103/BO15</f>
        <v>76.2531155048659</v>
      </c>
      <c r="BQ330" s="222">
        <f>BQ103/BQ15</f>
        <v>117.899686804957</v>
      </c>
      <c r="BR330" s="222">
        <f>BR103/BR15</f>
        <v>303.646406948634</v>
      </c>
      <c r="BS330" s="222">
        <f>BS103/BS15</f>
        <v>91.1289337964425</v>
      </c>
      <c r="BT330" s="222">
        <f>BT103/BT15</f>
        <v>208.336547917859</v>
      </c>
      <c r="BV330" s="222">
        <f>BV103/BV15</f>
        <v>322.12210067632</v>
      </c>
      <c r="BW330" s="222">
        <f>BW103/BW15</f>
        <v>829.567635795734</v>
      </c>
      <c r="BX330" s="222">
        <f>BX103/BX15</f>
        <v>248.97982668491</v>
      </c>
      <c r="BY330" s="222">
        <f>BY103/BY15</f>
        <v>569.17932684545</v>
      </c>
      <c r="CA330" s="222">
        <f>CA103/CA15</f>
        <v>880.043574962553</v>
      </c>
      <c r="CB330" s="222">
        <f>CB103/CB15</f>
        <v>2266.42808548874</v>
      </c>
      <c r="CC330" s="222">
        <f>CC103/CC15</f>
        <v>680.217520962706</v>
      </c>
      <c r="CD330" s="222">
        <f>CD103/CD15</f>
        <v>1555.03174952662</v>
      </c>
      <c r="CF330" s="222">
        <f>CF103/CF15</f>
        <v>2404.33135127775</v>
      </c>
      <c r="CG330" s="222">
        <f>CG103/CG15</f>
        <v>6191.99144256894</v>
      </c>
      <c r="CH330" s="222">
        <f>CH103/CH15</f>
        <v>1858.39469529523</v>
      </c>
      <c r="CI330" s="222">
        <f>CI103/CI15</f>
        <v>4248.42215274414</v>
      </c>
      <c r="CK330" s="222">
        <f>CK103/CK15</f>
        <v>6568.7498524806</v>
      </c>
      <c r="CL330" s="222">
        <f>CL103/CL15</f>
        <v>16916.8390561154</v>
      </c>
      <c r="CM330" s="222">
        <f>CM103/CM15</f>
        <v>5077.22443251588</v>
      </c>
      <c r="CN330" s="222">
        <f>CN103/CN15</f>
        <v>11606.9078045415</v>
      </c>
      <c r="CP330" s="222">
        <f>CP103/CP15</f>
        <v>17946.1624075167</v>
      </c>
      <c r="CQ330" s="222">
        <f>CQ103/CQ15</f>
        <v>46217.6609973686</v>
      </c>
      <c r="CR330" s="222">
        <f>CR103/CR15</f>
        <v>13871.2382556222</v>
      </c>
      <c r="CS330" s="222">
        <f>CS103/CS15</f>
        <v>31710.6599145713</v>
      </c>
      <c r="CU330" s="222">
        <f>CU103/CU15</f>
        <v>49029.8245199946</v>
      </c>
      <c r="CV330" s="222">
        <f>CV103/CV15</f>
        <v>126269.000106968</v>
      </c>
      <c r="CW330" s="222">
        <f>CW103/CW15</f>
        <v>37896.9253762762</v>
      </c>
      <c r="CX330" s="222">
        <f>CX103/CX15</f>
        <v>86635.1354382257</v>
      </c>
    </row>
    <row r="331" customFormat="1" s="233">
      <c r="A331" s="224" t="n"/>
      <c r="B331" s="224" t="n"/>
      <c r="C331" s="233" t="inlineStr">
        <is>
          <t>ASSET TURNOVER</t>
        </is>
      </c>
      <c r="D331" s="238">
        <f>D103/D163</f>
        <v>0.0394340758579169</v>
      </c>
      <c r="E331" s="238">
        <f>E103/E163</f>
        <v>0.024702144559174</v>
      </c>
      <c r="F331" s="238">
        <f>F103/F163</f>
        <v>0.0497005319742569</v>
      </c>
      <c r="G331" s="238">
        <f>G103/G163</f>
        <v>0.0506060921815845</v>
      </c>
      <c r="I331" s="222">
        <f>I103/I163</f>
        <v>0.0620859851928822</v>
      </c>
      <c r="J331" s="222">
        <f>J103/J163</f>
        <v>0.0614230271668823</v>
      </c>
      <c r="K331" s="222">
        <f>K103/K163</f>
        <v>0.0606418586335893</v>
      </c>
      <c r="L331" s="222">
        <f>L103/L163</f>
        <v>0.0679385339579514</v>
      </c>
      <c r="N331" s="222">
        <f>N103/N163</f>
        <v>0.0357869592143679</v>
      </c>
      <c r="O331" s="222">
        <f>O103/O163</f>
        <v>0.0150887846168001</v>
      </c>
      <c r="P331" s="222">
        <f>P103/P163</f>
        <v>0.0167950997826517</v>
      </c>
      <c r="Q331" s="222">
        <f>Q103/Q163</f>
        <v>0.0343353892477296</v>
      </c>
      <c r="S331" s="222">
        <f>S103/S163</f>
        <v>0.0459514170040486</v>
      </c>
      <c r="T331" s="222">
        <f>T103/T163</f>
        <v>0.124871355060034</v>
      </c>
      <c r="U331" s="222">
        <f>U103/U163</f>
        <v>0.170698825441383</v>
      </c>
      <c r="V331" s="222">
        <f>V103/V163</f>
        <v>0.186921859785784</v>
      </c>
      <c r="X331" s="222">
        <f>X103/X163</f>
        <v>0.193079198671372</v>
      </c>
      <c r="Y331" s="222">
        <f>Y103/Y163</f>
        <v>0.194762223239114</v>
      </c>
      <c r="Z331" s="222">
        <f>Z103/Z163</f>
        <v>0.201108183266849</v>
      </c>
      <c r="AA331" s="222">
        <f>AA103/AA163</f>
        <v>0.197946254961873</v>
      </c>
      <c r="AC331" s="222">
        <f>AC103/AC163</f>
        <v>0.149895412521756</v>
      </c>
      <c r="AD331" s="222">
        <f>AD103/AD163</f>
        <v>0.187736251243428</v>
      </c>
      <c r="AE331" s="222">
        <f>AE103/AE163</f>
        <v>0.198016729962519</v>
      </c>
      <c r="AF331" s="222">
        <f>AF103/AF163</f>
        <v>0.207733930358844</v>
      </c>
      <c r="AH331" s="222" t="e">
        <f>AH103/AH163</f>
        <v>#REF!</v>
      </c>
      <c r="AI331" s="222">
        <f>AI103/AI163</f>
        <v>0.0644566275554645</v>
      </c>
      <c r="AJ331" s="222" t="e">
        <f>AJ103/AJ163</f>
        <v>#DIV/0!</v>
      </c>
      <c r="AK331" s="222" t="e">
        <f>AK103/AK163</f>
        <v>#DIV/0!</v>
      </c>
      <c r="AM331" s="222" t="e">
        <f>AM103/AM163</f>
        <v>#DIV/0!</v>
      </c>
      <c r="AN331" s="222" t="e">
        <f>AN103/AN163</f>
        <v>#DIV/0!</v>
      </c>
      <c r="AO331" s="222" t="e">
        <f>AO103/AO163</f>
        <v>#DIV/0!</v>
      </c>
      <c r="AP331" s="222" t="e">
        <f>AP103/AP163</f>
        <v>#DIV/0!</v>
      </c>
      <c r="AR331" s="222" t="e">
        <f>AR103/AR163</f>
        <v>#DIV/0!</v>
      </c>
      <c r="AS331" s="222" t="e">
        <f>AS103/AS163</f>
        <v>#DIV/0!</v>
      </c>
      <c r="AT331" s="222" t="e">
        <f>AT103/AT163</f>
        <v>#DIV/0!</v>
      </c>
      <c r="AU331" s="222" t="e">
        <f>AU103/AU163</f>
        <v>#DIV/0!</v>
      </c>
      <c r="AW331" s="222" t="e">
        <f>AW103/AW163</f>
        <v>#DIV/0!</v>
      </c>
      <c r="AX331" s="222" t="e">
        <f>AX103/AX163</f>
        <v>#DIV/0!</v>
      </c>
      <c r="AY331" s="222" t="e">
        <f>AY103/AY163</f>
        <v>#DIV/0!</v>
      </c>
      <c r="AZ331" s="222" t="e">
        <f>AZ103/AZ163</f>
        <v>#DIV/0!</v>
      </c>
      <c r="BB331" s="222" t="e">
        <f>BB103/BB163</f>
        <v>#DIV/0!</v>
      </c>
      <c r="BC331" s="222" t="e">
        <f>BC103/BC163</f>
        <v>#DIV/0!</v>
      </c>
      <c r="BD331" s="222" t="e">
        <f>BD103/BD163</f>
        <v>#DIV/0!</v>
      </c>
      <c r="BE331" s="222" t="e">
        <f>BE103/BE163</f>
        <v>#DIV/0!</v>
      </c>
      <c r="BG331" s="222" t="e">
        <f>BG103/BG163</f>
        <v>#DIV/0!</v>
      </c>
      <c r="BH331" s="222" t="e">
        <f>BH103/BH163</f>
        <v>#DIV/0!</v>
      </c>
      <c r="BI331" s="222" t="e">
        <f>BI103/BI163</f>
        <v>#DIV/0!</v>
      </c>
      <c r="BJ331" s="222" t="e">
        <f>BJ103/BJ163</f>
        <v>#DIV/0!</v>
      </c>
      <c r="BL331" s="222" t="e">
        <f>BL103/BL163</f>
        <v>#DIV/0!</v>
      </c>
      <c r="BM331" s="222" t="e">
        <f>BM103/BM163</f>
        <v>#DIV/0!</v>
      </c>
      <c r="BN331" s="222" t="e">
        <f>BN103/BN163</f>
        <v>#DIV/0!</v>
      </c>
      <c r="BO331" s="222" t="e">
        <f>BO103/BO163</f>
        <v>#DIV/0!</v>
      </c>
      <c r="BQ331" s="222" t="e">
        <f>BQ103/BQ163</f>
        <v>#DIV/0!</v>
      </c>
      <c r="BR331" s="222" t="e">
        <f>BR103/BR163</f>
        <v>#DIV/0!</v>
      </c>
      <c r="BS331" s="222" t="e">
        <f>BS103/BS163</f>
        <v>#DIV/0!</v>
      </c>
      <c r="BT331" s="222" t="e">
        <f>BT103/BT163</f>
        <v>#DIV/0!</v>
      </c>
      <c r="BV331" s="222" t="e">
        <f>BV103/BV163</f>
        <v>#DIV/0!</v>
      </c>
      <c r="BW331" s="222" t="e">
        <f>BW103/BW163</f>
        <v>#DIV/0!</v>
      </c>
      <c r="BX331" s="222" t="e">
        <f>BX103/BX163</f>
        <v>#DIV/0!</v>
      </c>
      <c r="BY331" s="222" t="e">
        <f>BY103/BY163</f>
        <v>#DIV/0!</v>
      </c>
      <c r="CA331" s="222" t="e">
        <f>CA103/CA163</f>
        <v>#DIV/0!</v>
      </c>
      <c r="CB331" s="222" t="e">
        <f>CB103/CB163</f>
        <v>#DIV/0!</v>
      </c>
      <c r="CC331" s="222" t="e">
        <f>CC103/CC163</f>
        <v>#DIV/0!</v>
      </c>
      <c r="CD331" s="222" t="e">
        <f>CD103/CD163</f>
        <v>#DIV/0!</v>
      </c>
      <c r="CF331" s="222" t="e">
        <f>CF103/CF163</f>
        <v>#DIV/0!</v>
      </c>
      <c r="CG331" s="222" t="e">
        <f>CG103/CG163</f>
        <v>#DIV/0!</v>
      </c>
      <c r="CH331" s="222" t="e">
        <f>CH103/CH163</f>
        <v>#DIV/0!</v>
      </c>
      <c r="CI331" s="222" t="e">
        <f>CI103/CI163</f>
        <v>#DIV/0!</v>
      </c>
      <c r="CK331" s="222" t="e">
        <f>CK103/CK163</f>
        <v>#DIV/0!</v>
      </c>
      <c r="CL331" s="222" t="e">
        <f>CL103/CL163</f>
        <v>#DIV/0!</v>
      </c>
      <c r="CM331" s="222" t="e">
        <f>CM103/CM163</f>
        <v>#DIV/0!</v>
      </c>
      <c r="CN331" s="222" t="e">
        <f>CN103/CN163</f>
        <v>#DIV/0!</v>
      </c>
      <c r="CP331" s="222" t="e">
        <f>CP103/CP163</f>
        <v>#DIV/0!</v>
      </c>
      <c r="CQ331" s="222" t="e">
        <f>CQ103/CQ163</f>
        <v>#DIV/0!</v>
      </c>
      <c r="CR331" s="222" t="e">
        <f>CR103/CR163</f>
        <v>#DIV/0!</v>
      </c>
      <c r="CS331" s="222" t="e">
        <f>CS103/CS163</f>
        <v>#DIV/0!</v>
      </c>
      <c r="CU331" s="222" t="e">
        <f>CU103/CU163</f>
        <v>#DIV/0!</v>
      </c>
      <c r="CV331" s="222" t="e">
        <f>CV103/CV163</f>
        <v>#DIV/0!</v>
      </c>
      <c r="CW331" s="222" t="e">
        <f>CW103/CW163</f>
        <v>#DIV/0!</v>
      </c>
      <c r="CX331" s="222" t="e">
        <f>CX103/CX163</f>
        <v>#DIV/0!</v>
      </c>
    </row>
    <row r="332" customFormat="1" s="233">
      <c r="A332" s="224" t="n"/>
      <c r="B332" s="224" t="n"/>
      <c r="C332" s="233" t="inlineStr">
        <is>
          <t>EQUITY MULTIPLIER</t>
        </is>
      </c>
      <c r="D332" s="238">
        <f>D163/D237</f>
        <v>1.77525001908543</v>
      </c>
      <c r="E332" s="238">
        <f>E163/E237</f>
        <v>1.80968808394423</v>
      </c>
      <c r="F332" s="238">
        <f>F163/F237</f>
        <v>1.75303247684883</v>
      </c>
      <c r="G332" s="238">
        <f>G163/G237</f>
        <v>1.70431539690996</v>
      </c>
      <c r="I332" s="222">
        <f>I163/I237</f>
        <v>1.64035368062214</v>
      </c>
      <c r="J332" s="222">
        <f>J163/J237</f>
        <v>1.82768241358112</v>
      </c>
      <c r="K332" s="222">
        <f>K163/K237</f>
        <v>1.70737036725775</v>
      </c>
      <c r="L332" s="222">
        <f>L163/L237</f>
        <v>1.66041635352473</v>
      </c>
      <c r="N332" s="222">
        <f>N163/N237</f>
        <v>1.7177811550152</v>
      </c>
      <c r="O332" s="222">
        <f>O163/O237</f>
        <v>1.8228166533898</v>
      </c>
      <c r="P332" s="222">
        <f>P163/P237</f>
        <v>1.89648227083236</v>
      </c>
      <c r="Q332" s="222">
        <f>Q163/Q237</f>
        <v>1.8633545993394</v>
      </c>
      <c r="S332" s="222">
        <f>S163/S237</f>
        <v>1.81321370309951</v>
      </c>
      <c r="T332" s="222">
        <f>T163/T237</f>
        <v>1.80193447511</v>
      </c>
      <c r="U332" s="222">
        <f>U163/U237</f>
        <v>1.6277769427326</v>
      </c>
      <c r="V332" s="222">
        <f>V163/V237</f>
        <v>1.52934059286146</v>
      </c>
      <c r="X332" s="222">
        <f>X163/X237</f>
        <v>1.56835293638843</v>
      </c>
      <c r="Y332" s="222">
        <f>Y163/Y237</f>
        <v>1.46546417456196</v>
      </c>
      <c r="Z332" s="222">
        <f>Z163/Z237</f>
        <v>1.45697203295953</v>
      </c>
      <c r="AA332" s="222">
        <f>AA163/AA237</f>
        <v>1.40684760548111</v>
      </c>
      <c r="AC332" s="222">
        <f>AC163/AC237</f>
        <v>1.49391123886311</v>
      </c>
      <c r="AD332" s="222">
        <f>AD163/AD237</f>
        <v>1.40555871807932</v>
      </c>
      <c r="AE332" s="222">
        <f>AE163/AE237</f>
        <v>1.35535799894026</v>
      </c>
      <c r="AF332" s="222">
        <f>AF163/AF237</f>
        <v>1.31476289472513</v>
      </c>
      <c r="AH332" s="222" t="e">
        <f>AH163/AH237</f>
        <v>#REF!</v>
      </c>
      <c r="AI332" s="222">
        <f>AI163/AI237</f>
        <v>1.00495460188687</v>
      </c>
      <c r="AJ332" s="222" t="e">
        <f>AJ163/AJ237</f>
        <v>#DIV/0!</v>
      </c>
      <c r="AK332" s="222" t="e">
        <f>AK163/AK237</f>
        <v>#DIV/0!</v>
      </c>
      <c r="AM332" s="222" t="e">
        <f>AM163/AM237</f>
        <v>#DIV/0!</v>
      </c>
      <c r="AN332" s="222" t="e">
        <f>AN163/AN237</f>
        <v>#DIV/0!</v>
      </c>
      <c r="AO332" s="222" t="e">
        <f>AO163/AO237</f>
        <v>#DIV/0!</v>
      </c>
      <c r="AP332" s="222" t="e">
        <f>AP163/AP237</f>
        <v>#DIV/0!</v>
      </c>
      <c r="AR332" s="222" t="e">
        <f>AR163/AR237</f>
        <v>#DIV/0!</v>
      </c>
      <c r="AS332" s="222" t="e">
        <f>AS163/AS237</f>
        <v>#DIV/0!</v>
      </c>
      <c r="AT332" s="222" t="e">
        <f>AT163/AT237</f>
        <v>#DIV/0!</v>
      </c>
      <c r="AU332" s="222" t="e">
        <f>AU163/AU237</f>
        <v>#DIV/0!</v>
      </c>
      <c r="AW332" s="222" t="e">
        <f>AW163/AW237</f>
        <v>#DIV/0!</v>
      </c>
      <c r="AX332" s="222" t="e">
        <f>AX163/AX237</f>
        <v>#DIV/0!</v>
      </c>
      <c r="AY332" s="222" t="e">
        <f>AY163/AY237</f>
        <v>#DIV/0!</v>
      </c>
      <c r="AZ332" s="222" t="e">
        <f>AZ163/AZ237</f>
        <v>#DIV/0!</v>
      </c>
      <c r="BB332" s="222" t="e">
        <f>BB163/BB237</f>
        <v>#DIV/0!</v>
      </c>
      <c r="BC332" s="222" t="e">
        <f>BC163/BC237</f>
        <v>#DIV/0!</v>
      </c>
      <c r="BD332" s="222" t="e">
        <f>BD163/BD237</f>
        <v>#DIV/0!</v>
      </c>
      <c r="BE332" s="222" t="e">
        <f>BE163/BE237</f>
        <v>#DIV/0!</v>
      </c>
      <c r="BG332" s="222" t="e">
        <f>BG163/BG237</f>
        <v>#DIV/0!</v>
      </c>
      <c r="BH332" s="222" t="e">
        <f>BH163/BH237</f>
        <v>#DIV/0!</v>
      </c>
      <c r="BI332" s="222" t="e">
        <f>BI163/BI237</f>
        <v>#DIV/0!</v>
      </c>
      <c r="BJ332" s="222" t="e">
        <f>BJ163/BJ237</f>
        <v>#DIV/0!</v>
      </c>
      <c r="BL332" s="222" t="e">
        <f>BL163/BL237</f>
        <v>#DIV/0!</v>
      </c>
      <c r="BM332" s="222" t="e">
        <f>BM163/BM237</f>
        <v>#DIV/0!</v>
      </c>
      <c r="BN332" s="222" t="e">
        <f>BN163/BN237</f>
        <v>#DIV/0!</v>
      </c>
      <c r="BO332" s="222" t="e">
        <f>BO163/BO237</f>
        <v>#DIV/0!</v>
      </c>
      <c r="BQ332" s="222" t="e">
        <f>BQ163/BQ237</f>
        <v>#DIV/0!</v>
      </c>
      <c r="BR332" s="222" t="e">
        <f>BR163/BR237</f>
        <v>#DIV/0!</v>
      </c>
      <c r="BS332" s="222" t="e">
        <f>BS163/BS237</f>
        <v>#DIV/0!</v>
      </c>
      <c r="BT332" s="222" t="e">
        <f>BT163/BT237</f>
        <v>#DIV/0!</v>
      </c>
      <c r="BV332" s="222" t="e">
        <f>BV163/BV237</f>
        <v>#DIV/0!</v>
      </c>
      <c r="BW332" s="222" t="e">
        <f>BW163/BW237</f>
        <v>#DIV/0!</v>
      </c>
      <c r="BX332" s="222" t="e">
        <f>BX163/BX237</f>
        <v>#DIV/0!</v>
      </c>
      <c r="BY332" s="222" t="e">
        <f>BY163/BY237</f>
        <v>#DIV/0!</v>
      </c>
      <c r="CA332" s="222" t="e">
        <f>CA163/CA237</f>
        <v>#DIV/0!</v>
      </c>
      <c r="CB332" s="222" t="e">
        <f>CB163/CB237</f>
        <v>#DIV/0!</v>
      </c>
      <c r="CC332" s="222" t="e">
        <f>CC163/CC237</f>
        <v>#DIV/0!</v>
      </c>
      <c r="CD332" s="222" t="e">
        <f>CD163/CD237</f>
        <v>#DIV/0!</v>
      </c>
      <c r="CF332" s="222" t="e">
        <f>CF163/CF237</f>
        <v>#DIV/0!</v>
      </c>
      <c r="CG332" s="222" t="e">
        <f>CG163/CG237</f>
        <v>#DIV/0!</v>
      </c>
      <c r="CH332" s="222" t="e">
        <f>CH163/CH237</f>
        <v>#DIV/0!</v>
      </c>
      <c r="CI332" s="222" t="e">
        <f>CI163/CI237</f>
        <v>#DIV/0!</v>
      </c>
      <c r="CK332" s="222" t="e">
        <f>CK163/CK237</f>
        <v>#DIV/0!</v>
      </c>
      <c r="CL332" s="222" t="e">
        <f>CL163/CL237</f>
        <v>#DIV/0!</v>
      </c>
      <c r="CM332" s="222" t="e">
        <f>CM163/CM237</f>
        <v>#DIV/0!</v>
      </c>
      <c r="CN332" s="222" t="e">
        <f>CN163/CN237</f>
        <v>#DIV/0!</v>
      </c>
      <c r="CP332" s="222" t="e">
        <f>CP163/CP237</f>
        <v>#DIV/0!</v>
      </c>
      <c r="CQ332" s="222" t="e">
        <f>CQ163/CQ237</f>
        <v>#DIV/0!</v>
      </c>
      <c r="CR332" s="222" t="e">
        <f>CR163/CR237</f>
        <v>#DIV/0!</v>
      </c>
      <c r="CS332" s="222" t="e">
        <f>CS163/CS237</f>
        <v>#DIV/0!</v>
      </c>
      <c r="CU332" s="222" t="e">
        <f>CU163/CU237</f>
        <v>#DIV/0!</v>
      </c>
      <c r="CV332" s="222" t="e">
        <f>CV163/CV237</f>
        <v>#DIV/0!</v>
      </c>
      <c r="CW332" s="222" t="e">
        <f>CW163/CW237</f>
        <v>#DIV/0!</v>
      </c>
      <c r="CX332" s="222" t="e">
        <f>CX163/CX237</f>
        <v>#DIV/0!</v>
      </c>
    </row>
    <row r="333" customFormat="1" s="233">
      <c r="A333" s="224" t="n"/>
      <c r="B333" s="224" t="n"/>
      <c r="C333" s="233" t="inlineStr">
        <is>
          <t>ROE - DUPONT</t>
        </is>
      </c>
      <c r="D333" s="238">
        <f>PRODUCT(D330:D332)</f>
        <v>0.0208425001214527</v>
      </c>
      <c r="E333" s="238">
        <f>PRODUCT(E330:E332)</f>
        <v>0.00719228553554274</v>
      </c>
      <c r="F333" s="238">
        <f>PRODUCT(F330:F332)</f>
        <v>0.0246299619017834</v>
      </c>
      <c r="G333" s="238">
        <f>PRODUCT(G330:G332)</f>
        <v>0.025117812755193</v>
      </c>
      <c r="I333" s="222">
        <f>PRODUCT(I330:I332)</f>
        <v>0.034397415105403</v>
      </c>
      <c r="J333" s="222">
        <f>PRODUCT(J330:J332)</f>
        <v>0.0409573507377126</v>
      </c>
      <c r="K333" s="222">
        <f>PRODUCT(K330:K332)</f>
        <v>0.0359169237037856</v>
      </c>
      <c r="L333" s="222">
        <f>PRODUCT(L330:L332)</f>
        <v>0.044307781101723</v>
      </c>
      <c r="N333" s="222">
        <f>PRODUCT(N330:N332)</f>
        <v>0.0120011097452207</v>
      </c>
      <c r="O333" s="222">
        <f>PRODUCT(O330:O332)</f>
        <v>0.00269133079483416</v>
      </c>
      <c r="P333" s="222">
        <f>PRODUCT(P330:P332)</f>
        <v>0.00365184523735766</v>
      </c>
      <c r="Q333" s="222">
        <f>PRODUCT(Q330:Q332)</f>
        <v>0.01495063852941</v>
      </c>
      <c r="S333" s="222">
        <f>PRODUCT(S330:S332)</f>
        <v>0.0236682740202545</v>
      </c>
      <c r="T333" s="222">
        <f>PRODUCT(T330:T332)</f>
        <v>0.103084465665944</v>
      </c>
      <c r="U333" s="222">
        <f>PRODUCT(U330:U332)</f>
        <v>0.141736004172793</v>
      </c>
      <c r="V333" s="222">
        <f>PRODUCT(V330:V332)</f>
        <v>0.15889989006432</v>
      </c>
      <c r="X333" s="222">
        <f>PRODUCT(X330:X332)</f>
        <v>0.173022952688594</v>
      </c>
      <c r="Y333" s="222">
        <f>PRODUCT(Y330:Y332)</f>
        <v>0.157710978389069</v>
      </c>
      <c r="Z333" s="222">
        <f>PRODUCT(Z330:Z332)</f>
        <v>0.161271043678701</v>
      </c>
      <c r="AA333" s="222">
        <f>PRODUCT(AA330:AA332)</f>
        <v>0.156413679420886</v>
      </c>
      <c r="AC333" s="222">
        <f>PRODUCT(AC330:AC332)</f>
        <v>0.0954176850271353</v>
      </c>
      <c r="AD333" s="222">
        <f>PRODUCT(AD330:AD332)</f>
        <v>0.149157893278112</v>
      </c>
      <c r="AE333" s="222">
        <f>PRODUCT(AE330:AE332)</f>
        <v>0.150231894253572</v>
      </c>
      <c r="AF333" s="222">
        <f>PRODUCT(AF330:AF332)</f>
        <v>0.172226463821071</v>
      </c>
      <c r="AH333" s="222" t="e">
        <f>PRODUCT(AH330:AH332)</f>
        <v>#REF!</v>
      </c>
      <c r="AI333" s="222">
        <f>PRODUCT(AI330:AI332)</f>
        <v>0.0156899149889295</v>
      </c>
      <c r="AJ333" s="222" t="e">
        <f>PRODUCT(AJ330:AJ332)</f>
        <v>#DIV/0!</v>
      </c>
      <c r="AK333" s="222" t="e">
        <f>PRODUCT(AK330:AK332)</f>
        <v>#DIV/0!</v>
      </c>
      <c r="AM333" s="222" t="e">
        <f>PRODUCT(AM330:AM332)</f>
        <v>#DIV/0!</v>
      </c>
      <c r="AN333" s="222" t="e">
        <f>PRODUCT(AN330:AN332)</f>
        <v>#DIV/0!</v>
      </c>
      <c r="AO333" s="222" t="e">
        <f>PRODUCT(AO330:AO332)</f>
        <v>#DIV/0!</v>
      </c>
      <c r="AP333" s="222" t="e">
        <f>PRODUCT(AP330:AP332)</f>
        <v>#DIV/0!</v>
      </c>
      <c r="AR333" s="222" t="e">
        <f>PRODUCT(AR330:AR332)</f>
        <v>#DIV/0!</v>
      </c>
      <c r="AS333" s="222" t="e">
        <f>PRODUCT(AS330:AS332)</f>
        <v>#DIV/0!</v>
      </c>
      <c r="AT333" s="222" t="e">
        <f>PRODUCT(AT330:AT332)</f>
        <v>#DIV/0!</v>
      </c>
      <c r="AU333" s="222" t="e">
        <f>PRODUCT(AU330:AU332)</f>
        <v>#DIV/0!</v>
      </c>
      <c r="AW333" s="222" t="e">
        <f>PRODUCT(AW330:AW332)</f>
        <v>#DIV/0!</v>
      </c>
      <c r="AX333" s="222" t="e">
        <f>PRODUCT(AX330:AX332)</f>
        <v>#DIV/0!</v>
      </c>
      <c r="AY333" s="222" t="e">
        <f>PRODUCT(AY330:AY332)</f>
        <v>#DIV/0!</v>
      </c>
      <c r="AZ333" s="222" t="e">
        <f>PRODUCT(AZ330:AZ332)</f>
        <v>#DIV/0!</v>
      </c>
      <c r="BB333" s="222" t="e">
        <f>PRODUCT(BB330:BB332)</f>
        <v>#DIV/0!</v>
      </c>
      <c r="BC333" s="222" t="e">
        <f>PRODUCT(BC330:BC332)</f>
        <v>#DIV/0!</v>
      </c>
      <c r="BD333" s="222" t="e">
        <f>PRODUCT(BD330:BD332)</f>
        <v>#DIV/0!</v>
      </c>
      <c r="BE333" s="222" t="e">
        <f>PRODUCT(BE330:BE332)</f>
        <v>#DIV/0!</v>
      </c>
      <c r="BG333" s="222" t="e">
        <f>PRODUCT(BG330:BG332)</f>
        <v>#DIV/0!</v>
      </c>
      <c r="BH333" s="222" t="e">
        <f>PRODUCT(BH330:BH332)</f>
        <v>#DIV/0!</v>
      </c>
      <c r="BI333" s="222" t="e">
        <f>PRODUCT(BI330:BI332)</f>
        <v>#DIV/0!</v>
      </c>
      <c r="BJ333" s="222" t="e">
        <f>PRODUCT(BJ330:BJ332)</f>
        <v>#DIV/0!</v>
      </c>
      <c r="BL333" s="222" t="e">
        <f>PRODUCT(BL330:BL332)</f>
        <v>#DIV/0!</v>
      </c>
      <c r="BM333" s="222" t="e">
        <f>PRODUCT(BM330:BM332)</f>
        <v>#DIV/0!</v>
      </c>
      <c r="BN333" s="222" t="e">
        <f>PRODUCT(BN330:BN332)</f>
        <v>#DIV/0!</v>
      </c>
      <c r="BO333" s="222" t="e">
        <f>PRODUCT(BO330:BO332)</f>
        <v>#DIV/0!</v>
      </c>
      <c r="BQ333" s="222" t="e">
        <f>PRODUCT(BQ330:BQ332)</f>
        <v>#DIV/0!</v>
      </c>
      <c r="BR333" s="222" t="e">
        <f>PRODUCT(BR330:BR332)</f>
        <v>#DIV/0!</v>
      </c>
      <c r="BS333" s="222" t="e">
        <f>PRODUCT(BS330:BS332)</f>
        <v>#DIV/0!</v>
      </c>
      <c r="BT333" s="222" t="e">
        <f>PRODUCT(BT330:BT332)</f>
        <v>#DIV/0!</v>
      </c>
      <c r="BV333" s="222" t="e">
        <f>PRODUCT(BV330:BV332)</f>
        <v>#DIV/0!</v>
      </c>
      <c r="BW333" s="222" t="e">
        <f>PRODUCT(BW330:BW332)</f>
        <v>#DIV/0!</v>
      </c>
      <c r="BX333" s="222" t="e">
        <f>PRODUCT(BX330:BX332)</f>
        <v>#DIV/0!</v>
      </c>
      <c r="BY333" s="222" t="e">
        <f>PRODUCT(BY330:BY332)</f>
        <v>#DIV/0!</v>
      </c>
      <c r="CA333" s="222" t="e">
        <f>PRODUCT(CA330:CA332)</f>
        <v>#DIV/0!</v>
      </c>
      <c r="CB333" s="222" t="e">
        <f>PRODUCT(CB330:CB332)</f>
        <v>#DIV/0!</v>
      </c>
      <c r="CC333" s="222" t="e">
        <f>PRODUCT(CC330:CC332)</f>
        <v>#DIV/0!</v>
      </c>
      <c r="CD333" s="222" t="e">
        <f>PRODUCT(CD330:CD332)</f>
        <v>#DIV/0!</v>
      </c>
      <c r="CF333" s="222" t="e">
        <f>PRODUCT(CF330:CF332)</f>
        <v>#DIV/0!</v>
      </c>
      <c r="CG333" s="222" t="e">
        <f>PRODUCT(CG330:CG332)</f>
        <v>#DIV/0!</v>
      </c>
      <c r="CH333" s="222" t="e">
        <f>PRODUCT(CH330:CH332)</f>
        <v>#DIV/0!</v>
      </c>
      <c r="CI333" s="222" t="e">
        <f>PRODUCT(CI330:CI332)</f>
        <v>#DIV/0!</v>
      </c>
      <c r="CK333" s="222" t="e">
        <f>PRODUCT(CK330:CK332)</f>
        <v>#DIV/0!</v>
      </c>
      <c r="CL333" s="222" t="e">
        <f>PRODUCT(CL330:CL332)</f>
        <v>#DIV/0!</v>
      </c>
      <c r="CM333" s="222" t="e">
        <f>PRODUCT(CM330:CM332)</f>
        <v>#DIV/0!</v>
      </c>
      <c r="CN333" s="222" t="e">
        <f>PRODUCT(CN330:CN332)</f>
        <v>#DIV/0!</v>
      </c>
      <c r="CP333" s="222" t="e">
        <f>PRODUCT(CP330:CP332)</f>
        <v>#DIV/0!</v>
      </c>
      <c r="CQ333" s="222" t="e">
        <f>PRODUCT(CQ330:CQ332)</f>
        <v>#DIV/0!</v>
      </c>
      <c r="CR333" s="222" t="e">
        <f>PRODUCT(CR330:CR332)</f>
        <v>#DIV/0!</v>
      </c>
      <c r="CS333" s="222" t="e">
        <f>PRODUCT(CS330:CS332)</f>
        <v>#DIV/0!</v>
      </c>
      <c r="CU333" s="222" t="e">
        <f>PRODUCT(CU330:CU332)</f>
        <v>#DIV/0!</v>
      </c>
      <c r="CV333" s="222" t="e">
        <f>PRODUCT(CV330:CV332)</f>
        <v>#DIV/0!</v>
      </c>
      <c r="CW333" s="222" t="e">
        <f>PRODUCT(CW330:CW332)</f>
        <v>#DIV/0!</v>
      </c>
      <c r="CX333" s="222" t="e">
        <f>PRODUCT(CX330:CX332)</f>
        <v>#DIV/0!</v>
      </c>
    </row>
    <row r="334" customFormat="1" s="233">
      <c r="A334" s="224" t="n"/>
      <c r="B334" s="224" t="n"/>
      <c r="C334" s="233" t="inlineStr">
        <is>
          <t>ROE</t>
        </is>
      </c>
      <c r="D334" s="238">
        <f>D103/D237</f>
        <v>0.0700053439193832</v>
      </c>
      <c r="E334" s="238">
        <f>E103/E237</f>
        <v>0.0447031766566049</v>
      </c>
      <c r="F334" s="238">
        <f>F103/F237</f>
        <v>0.0871266466675362</v>
      </c>
      <c r="G334" s="238">
        <f>G103/G237</f>
        <v>0.0862487420825194</v>
      </c>
      <c r="I334" s="222">
        <f>I103/I237</f>
        <v>0.101842974326196</v>
      </c>
      <c r="J334" s="222">
        <f>J103/J237</f>
        <v>0.112261786541826</v>
      </c>
      <c r="K334" s="222">
        <f>K103/K237</f>
        <v>0.103538112446424</v>
      </c>
      <c r="L334" s="222">
        <f>L103/L237</f>
        <v>0.112806252818277</v>
      </c>
      <c r="N334" s="222">
        <f>N103/N237</f>
        <v>0.0614741641337386</v>
      </c>
      <c r="O334" s="222">
        <f>O103/O237</f>
        <v>0.0275040878789149</v>
      </c>
      <c r="P334" s="222">
        <f>P103/P237</f>
        <v>0.0318516089746592</v>
      </c>
      <c r="Q334" s="222">
        <f>Q103/Q237</f>
        <v>0.0639790054748654</v>
      </c>
      <c r="S334" s="222">
        <f>S103/S237</f>
        <v>0.0833197389885808</v>
      </c>
      <c r="T334" s="222">
        <f>T103/T237</f>
        <v>0.225009999636377</v>
      </c>
      <c r="U334" s="222">
        <f>U103/U237</f>
        <v>0.27785961220502</v>
      </c>
      <c r="V334" s="222">
        <f>V103/V237</f>
        <v>0.285867187863558</v>
      </c>
      <c r="X334" s="222">
        <f>X103/X237</f>
        <v>0.302816328191771</v>
      </c>
      <c r="Y334" s="222">
        <f>Y103/Y237</f>
        <v>0.285417060714961</v>
      </c>
      <c r="Z334" s="222">
        <f>Z103/Z237</f>
        <v>0.293008998619099</v>
      </c>
      <c r="AA334" s="222">
        <f>AA103/AA237</f>
        <v>0.278480214807064</v>
      </c>
      <c r="AC334" s="222">
        <f>AC103/AC237</f>
        <v>0.223930441420274</v>
      </c>
      <c r="AD334" s="222">
        <f>AD103/AD237</f>
        <v>0.263874324634729</v>
      </c>
      <c r="AE334" s="222">
        <f>AE103/AE237</f>
        <v>0.268383558878693</v>
      </c>
      <c r="AF334" s="222">
        <f>AF103/AF237</f>
        <v>0.273120863611222</v>
      </c>
      <c r="AH334" s="222">
        <f>AH103/AH237</f>
        <v>0.037757318080323</v>
      </c>
      <c r="AI334" s="222">
        <f>AI103/AI237</f>
        <v>0.0647759844839719</v>
      </c>
      <c r="AJ334" s="222">
        <f>AJ103/AJ237</f>
        <v>0.0341071734481291</v>
      </c>
      <c r="AK334" s="222">
        <f>AK103/AK237</f>
        <v>0.0588825729011187</v>
      </c>
      <c r="AM334" s="222">
        <f>AM103/AM237</f>
        <v>0.0556082179535665</v>
      </c>
      <c r="AN334" s="222">
        <f>AN103/AN237</f>
        <v>0.146644257327393</v>
      </c>
      <c r="AO334" s="222">
        <f>AO103/AO237</f>
        <v>0.0453037657104672</v>
      </c>
      <c r="AP334" s="222">
        <f>AP103/AP237</f>
        <v>0.122807571752995</v>
      </c>
      <c r="AR334" s="222">
        <f>AR103/AR237</f>
        <v>0.109375439605613</v>
      </c>
      <c r="AS334" s="222">
        <f>AS103/AS237</f>
        <v>0.224528434531125</v>
      </c>
      <c r="AT334" s="222">
        <f>AT103/AT237</f>
        <v>0.0781859990122839</v>
      </c>
      <c r="AU334" s="222">
        <f>AU103/AU237</f>
        <v>0.171481364222937</v>
      </c>
      <c r="AW334" s="222">
        <f>AW103/AW237</f>
        <v>0.146379933526884</v>
      </c>
      <c r="AX334" s="222">
        <f>AX103/AX237</f>
        <v>0.287420617983159</v>
      </c>
      <c r="AY334" s="222">
        <f>AY103/AY237</f>
        <v>0.094454976834973</v>
      </c>
      <c r="AZ334" s="222">
        <f>AZ103/AZ237</f>
        <v>0.206520692448306</v>
      </c>
      <c r="BB334" s="222">
        <f>BB103/BB237</f>
        <v>0.171170452144694</v>
      </c>
      <c r="BC334" s="222">
        <f>BC103/BC237</f>
        <v>0.318141179515768</v>
      </c>
      <c r="BD334" s="222">
        <f>BD103/BD237</f>
        <v>0.104515636025002</v>
      </c>
      <c r="BE334" s="222">
        <f>BE103/BE237</f>
        <v>0.221723534014435</v>
      </c>
      <c r="BG334" s="222">
        <f>BG103/BG237</f>
        <v>0.181484212951091</v>
      </c>
      <c r="BH334" s="222">
        <f>BH103/BH237</f>
        <v>0.331607966712543</v>
      </c>
      <c r="BI334" s="222">
        <f>BI103/BI237</f>
        <v>0.10818007723905</v>
      </c>
      <c r="BJ334" s="222">
        <f>BJ103/BJ237</f>
        <v>0.228237011850401</v>
      </c>
      <c r="BL334" s="222">
        <f>BL103/BL237</f>
        <v>0.185824893443449</v>
      </c>
      <c r="BM334" s="222">
        <f>BM103/BM237</f>
        <v>0.336693967185324</v>
      </c>
      <c r="BN334" s="222">
        <f>BN103/BN237</f>
        <v>0.109733194029234</v>
      </c>
      <c r="BO334" s="222">
        <f>BO103/BO237</f>
        <v>0.230619771413275</v>
      </c>
      <c r="BQ334" s="222">
        <f>BQ103/BQ237</f>
        <v>0.187401321488948</v>
      </c>
      <c r="BR334" s="222">
        <f>BR103/BR237</f>
        <v>0.338629783882706</v>
      </c>
      <c r="BS334" s="222">
        <f>BS103/BS237</f>
        <v>0.110274098498627</v>
      </c>
      <c r="BT334" s="222">
        <f>BT103/BT237</f>
        <v>0.231530423376551</v>
      </c>
      <c r="BV334" s="222">
        <f>BV103/BV237</f>
        <v>0.188002195464853</v>
      </c>
      <c r="BW334" s="222">
        <f>BW103/BW237</f>
        <v>0.33933459651121</v>
      </c>
      <c r="BX334" s="222">
        <f>BX103/BX237</f>
        <v>0.110483742271161</v>
      </c>
      <c r="BY334" s="222">
        <f>BY103/BY237</f>
        <v>0.231858597329176</v>
      </c>
      <c r="CA334" s="222">
        <f>CA103/CA237</f>
        <v>0.188218516176998</v>
      </c>
      <c r="CB334" s="222">
        <f>CB103/CB237</f>
        <v>0.339595802270357</v>
      </c>
      <c r="CC334" s="222">
        <f>CC103/CC237</f>
        <v>0.110557916221887</v>
      </c>
      <c r="CD334" s="222">
        <f>CD103/CD237</f>
        <v>0.231980809408083</v>
      </c>
      <c r="CF334" s="222">
        <f>CF103/CF237</f>
        <v>0.188299044625168</v>
      </c>
      <c r="CG334" s="222">
        <f>CG103/CG237</f>
        <v>0.339690843462385</v>
      </c>
      <c r="CH334" s="222">
        <f>CH103/CH237</f>
        <v>0.11058582969034</v>
      </c>
      <c r="CI334" s="222">
        <f>CI103/CI237</f>
        <v>0.232025076354578</v>
      </c>
      <c r="CK334" s="222">
        <f>CK103/CK237</f>
        <v>0.188328209228593</v>
      </c>
      <c r="CL334" s="222">
        <f>CL103/CL237</f>
        <v>0.339725823007245</v>
      </c>
      <c r="CM334" s="222">
        <f>CM103/CM237</f>
        <v>0.110595852292302</v>
      </c>
      <c r="CN334" s="222">
        <f>CN103/CN237</f>
        <v>0.232041416819452</v>
      </c>
      <c r="CP334" s="222">
        <f>CP103/CP237</f>
        <v>0.188338974365385</v>
      </c>
      <c r="CQ334" s="222">
        <f>CQ103/CQ237</f>
        <v>0.339738580318558</v>
      </c>
      <c r="CR334" s="222">
        <f>CR103/CR237</f>
        <v>0.110599574310843</v>
      </c>
      <c r="CS334" s="222">
        <f>CS103/CS237</f>
        <v>0.232047362674106</v>
      </c>
      <c r="CU334" s="222">
        <f>CU103/CU237</f>
        <v>0.188342891437596</v>
      </c>
      <c r="CV334" s="222">
        <f>CV103/CV237</f>
        <v>0.33974326289018</v>
      </c>
      <c r="CW334" s="222">
        <f>CW103/CW237</f>
        <v>0.110600922516044</v>
      </c>
      <c r="CX334" s="222">
        <f>CX103/CX237</f>
        <v>0.232049548662029</v>
      </c>
    </row>
    <row r="336">
      <c r="C336" s="53" t="inlineStr">
        <is>
          <t>Scenario Analysis</t>
        </is>
      </c>
      <c r="D336" s="5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  <c r="CO336" s="53" t="n"/>
      <c r="CP336" s="53" t="n"/>
      <c r="CQ336" s="53" t="n"/>
      <c r="CR336" s="53" t="n"/>
      <c r="CS336" s="53" t="n"/>
      <c r="CT336" s="53" t="n"/>
      <c r="CU336" s="53" t="n"/>
      <c r="CV336" s="53" t="n"/>
      <c r="CW336" s="53" t="n"/>
      <c r="CX336" s="53" t="n"/>
      <c r="CY336" s="53" t="n"/>
    </row>
    <row r="339">
      <c r="C339" s="4" t="inlineStr">
        <is>
          <t>Bull case</t>
        </is>
      </c>
    </row>
    <row r="340">
      <c r="C340" s="4" t="inlineStr">
        <is>
          <t>Base case</t>
        </is>
      </c>
    </row>
    <row r="341">
      <c r="C341" s="4" t="inlineStr">
        <is>
          <t>Bear case</t>
        </is>
      </c>
    </row>
    <row r="344">
      <c r="C344" s="4" t="inlineStr">
        <is>
          <t>Bull case</t>
        </is>
      </c>
    </row>
    <row r="345">
      <c r="C345" s="4" t="inlineStr">
        <is>
          <t>Base case</t>
        </is>
      </c>
    </row>
    <row r="346">
      <c r="C346" s="4" t="inlineStr">
        <is>
          <t>Bear case</t>
        </is>
      </c>
    </row>
    <row r="349">
      <c r="C349" s="4" t="inlineStr">
        <is>
          <t>% Gross Margin</t>
        </is>
      </c>
    </row>
    <row r="350">
      <c r="C350" s="4" t="inlineStr">
        <is>
          <t>Bull case</t>
        </is>
      </c>
    </row>
    <row r="351">
      <c r="C351" s="4" t="inlineStr">
        <is>
          <t>Base case</t>
        </is>
      </c>
    </row>
    <row r="352">
      <c r="C352" s="4" t="inlineStr">
        <is>
          <t>Bear case</t>
        </is>
      </c>
    </row>
    <row r="355">
      <c r="C355" s="4" t="inlineStr">
        <is>
          <t>Capital expenditures</t>
        </is>
      </c>
    </row>
    <row r="356">
      <c r="C356" s="4" t="inlineStr">
        <is>
          <t>Bull case</t>
        </is>
      </c>
    </row>
    <row r="357">
      <c r="C357" s="4" t="inlineStr">
        <is>
          <t>Base case</t>
        </is>
      </c>
    </row>
    <row r="358">
      <c r="C358" s="4" t="inlineStr">
        <is>
          <t>Bear case</t>
        </is>
      </c>
    </row>
  </sheetData>
  <conditionalFormatting sqref="B1:B4 B13:B1048576">
    <cfRule type="expression" priority="59" dxfId="23">
      <formula>B1&lt;&gt;""</formula>
    </cfRule>
  </conditionalFormatting>
  <conditionalFormatting sqref="D1:CY3">
    <cfRule type="cellIs" priority="17" operator="greaterThan" dxfId="22">
      <formula>1</formula>
    </cfRule>
  </conditionalFormatting>
  <conditionalFormatting sqref="E281:G281">
    <cfRule type="cellIs" priority="15" operator="notEqual" dxfId="0">
      <formula>0</formula>
    </cfRule>
  </conditionalFormatting>
  <conditionalFormatting sqref="E5:H5">
    <cfRule type="cellIs" priority="16" operator="greaterThan" dxfId="18">
      <formula>$B$5</formula>
    </cfRule>
  </conditionalFormatting>
  <conditionalFormatting sqref="I281:L281">
    <cfRule type="cellIs" priority="45" operator="notEqual" dxfId="0">
      <formula>0</formula>
    </cfRule>
  </conditionalFormatting>
  <conditionalFormatting sqref="J5:CY5">
    <cfRule type="cellIs" priority="46" operator="greaterThan" dxfId="18">
      <formula>$B$5</formula>
    </cfRule>
  </conditionalFormatting>
  <conditionalFormatting sqref="N281:Q281">
    <cfRule type="cellIs" priority="44" operator="notEqual" dxfId="0">
      <formula>0</formula>
    </cfRule>
  </conditionalFormatting>
  <conditionalFormatting sqref="S281:V281">
    <cfRule type="cellIs" priority="43" operator="notEqual" dxfId="0">
      <formula>0</formula>
    </cfRule>
  </conditionalFormatting>
  <conditionalFormatting sqref="X281:AA281">
    <cfRule type="cellIs" priority="42" operator="notEqual" dxfId="0">
      <formula>0</formula>
    </cfRule>
  </conditionalFormatting>
  <conditionalFormatting sqref="AC281:AF281">
    <cfRule type="cellIs" priority="41" operator="notEqual" dxfId="0">
      <formula>0</formula>
    </cfRule>
  </conditionalFormatting>
  <conditionalFormatting sqref="AH281:AK281">
    <cfRule type="cellIs" priority="14" operator="notEqual" dxfId="0">
      <formula>0</formula>
    </cfRule>
  </conditionalFormatting>
  <conditionalFormatting sqref="AM281:AP281">
    <cfRule type="cellIs" priority="13" operator="notEqual" dxfId="0">
      <formula>0</formula>
    </cfRule>
  </conditionalFormatting>
  <conditionalFormatting sqref="AR281:AU281">
    <cfRule type="cellIs" priority="12" operator="notEqual" dxfId="0">
      <formula>0</formula>
    </cfRule>
  </conditionalFormatting>
  <conditionalFormatting sqref="AW281:AZ281">
    <cfRule type="cellIs" priority="11" operator="notEqual" dxfId="0">
      <formula>0</formula>
    </cfRule>
  </conditionalFormatting>
  <conditionalFormatting sqref="BB281:BE281">
    <cfRule type="cellIs" priority="10" operator="notEqual" dxfId="0">
      <formula>0</formula>
    </cfRule>
  </conditionalFormatting>
  <conditionalFormatting sqref="BG281:BJ281">
    <cfRule type="cellIs" priority="9" operator="notEqual" dxfId="0">
      <formula>0</formula>
    </cfRule>
  </conditionalFormatting>
  <conditionalFormatting sqref="BL281:BO281">
    <cfRule type="cellIs" priority="8" operator="notEqual" dxfId="0">
      <formula>0</formula>
    </cfRule>
  </conditionalFormatting>
  <conditionalFormatting sqref="BQ281:BT281">
    <cfRule type="cellIs" priority="7" operator="notEqual" dxfId="0">
      <formula>0</formula>
    </cfRule>
  </conditionalFormatting>
  <conditionalFormatting sqref="BV281:BY281">
    <cfRule type="cellIs" priority="6" operator="notEqual" dxfId="0">
      <formula>0</formula>
    </cfRule>
  </conditionalFormatting>
  <conditionalFormatting sqref="CA281:CD281">
    <cfRule type="cellIs" priority="5" operator="notEqual" dxfId="0">
      <formula>0</formula>
    </cfRule>
  </conditionalFormatting>
  <conditionalFormatting sqref="CF281:CI281">
    <cfRule type="cellIs" priority="4" operator="notEqual" dxfId="0">
      <formula>0</formula>
    </cfRule>
  </conditionalFormatting>
  <conditionalFormatting sqref="CK281:CN281">
    <cfRule type="cellIs" priority="3" operator="notEqual" dxfId="0">
      <formula>0</formula>
    </cfRule>
  </conditionalFormatting>
  <conditionalFormatting sqref="CP281:CS281">
    <cfRule type="cellIs" priority="2" operator="notEqual" dxfId="0">
      <formula>0</formula>
    </cfRule>
  </conditionalFormatting>
  <conditionalFormatting sqref="CU281:CX281">
    <cfRule type="cellIs" priority="1" operator="not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topLeftCell="A9" workbookViewId="0">
      <selection activeCell="D9" sqref="D9"/>
    </sheetView>
  </sheetViews>
  <sheetFormatPr baseColWidth="8" defaultRowHeight="12.75" outlineLevelRow="1"/>
  <cols>
    <col width="2" customWidth="1" style="249" min="1" max="1"/>
    <col outlineLevel="1" width="4.28515625" customWidth="1" style="249" min="2" max="2"/>
    <col width="54.5703125" bestFit="1" customWidth="1" style="249" min="3" max="3"/>
    <col outlineLevel="1" width="12.85546875" customWidth="1" style="249" min="4" max="4"/>
    <col outlineLevel="1" width="11.28515625" customWidth="1" style="249" min="5" max="6"/>
    <col width="11.85546875" customWidth="1" style="249" min="7" max="7"/>
    <col width="14.140625" customWidth="1" style="249" min="8" max="8"/>
    <col width="13.7109375" customWidth="1" style="249" min="9" max="9"/>
    <col width="11.28515625" customWidth="1" style="249" min="10" max="12"/>
    <col width="11.7109375" customWidth="1" style="249" min="13" max="13"/>
    <col width="11.5703125" customWidth="1" style="249" min="14" max="14"/>
    <col width="11.7109375" bestFit="1" customWidth="1" style="249" min="15" max="15"/>
    <col width="10.85546875" customWidth="1" style="249" min="16" max="20"/>
    <col width="11.7109375" bestFit="1" customWidth="1" style="249" min="21" max="22"/>
    <col width="9.28515625" customWidth="1" style="249" min="23" max="23"/>
    <col width="11.42578125" bestFit="1" customWidth="1" style="249" min="24" max="25"/>
    <col width="10" customWidth="1" style="249" min="26" max="26"/>
    <col width="9.140625" customWidth="1" style="249" min="27" max="27"/>
    <col width="19" bestFit="1" customWidth="1" style="249" min="28" max="28"/>
    <col width="9.140625" customWidth="1" style="249" min="29" max="31"/>
    <col width="8" bestFit="1" customWidth="1" style="249" min="32" max="32"/>
    <col width="9.140625" customWidth="1" style="249" min="33" max="261"/>
    <col width="2" customWidth="1" style="249" min="262" max="263"/>
    <col width="31.28515625" customWidth="1" style="249" min="264" max="264"/>
    <col width="13" customWidth="1" style="249" min="265" max="265"/>
    <col width="11.28515625" customWidth="1" style="249" min="266" max="268"/>
    <col width="13.7109375" bestFit="1" customWidth="1" style="249" min="269" max="269"/>
    <col width="11.28515625" customWidth="1" style="249" min="270" max="273"/>
    <col width="9.140625" customWidth="1" style="249" min="274" max="275"/>
    <col width="10.85546875" bestFit="1" customWidth="1" style="249" min="276" max="276"/>
    <col width="9.140625" customWidth="1" style="249" min="277" max="517"/>
    <col width="2" customWidth="1" style="249" min="518" max="519"/>
    <col width="31.28515625" customWidth="1" style="249" min="520" max="520"/>
    <col width="13" customWidth="1" style="249" min="521" max="521"/>
    <col width="11.28515625" customWidth="1" style="249" min="522" max="524"/>
    <col width="13.7109375" bestFit="1" customWidth="1" style="249" min="525" max="525"/>
    <col width="11.28515625" customWidth="1" style="249" min="526" max="529"/>
    <col width="9.140625" customWidth="1" style="249" min="530" max="531"/>
    <col width="10.85546875" bestFit="1" customWidth="1" style="249" min="532" max="532"/>
    <col width="9.140625" customWidth="1" style="249" min="533" max="773"/>
    <col width="2" customWidth="1" style="249" min="774" max="775"/>
    <col width="31.28515625" customWidth="1" style="249" min="776" max="776"/>
    <col width="13" customWidth="1" style="249" min="777" max="777"/>
    <col width="11.28515625" customWidth="1" style="249" min="778" max="780"/>
    <col width="13.7109375" bestFit="1" customWidth="1" style="249" min="781" max="781"/>
    <col width="11.28515625" customWidth="1" style="249" min="782" max="785"/>
    <col width="9.140625" customWidth="1" style="249" min="786" max="787"/>
    <col width="10.85546875" bestFit="1" customWidth="1" style="249" min="788" max="788"/>
    <col width="9.140625" customWidth="1" style="249" min="789" max="1029"/>
    <col width="2" customWidth="1" style="249" min="1030" max="1031"/>
    <col width="31.28515625" customWidth="1" style="249" min="1032" max="1032"/>
    <col width="13" customWidth="1" style="249" min="1033" max="1033"/>
    <col width="11.28515625" customWidth="1" style="249" min="1034" max="1036"/>
    <col width="13.7109375" bestFit="1" customWidth="1" style="249" min="1037" max="1037"/>
    <col width="11.28515625" customWidth="1" style="249" min="1038" max="1041"/>
    <col width="9.140625" customWidth="1" style="249" min="1042" max="1043"/>
    <col width="10.85546875" bestFit="1" customWidth="1" style="249" min="1044" max="1044"/>
    <col width="9.140625" customWidth="1" style="249" min="1045" max="1285"/>
    <col width="2" customWidth="1" style="249" min="1286" max="1287"/>
    <col width="31.28515625" customWidth="1" style="249" min="1288" max="1288"/>
    <col width="13" customWidth="1" style="249" min="1289" max="1289"/>
    <col width="11.28515625" customWidth="1" style="249" min="1290" max="1292"/>
    <col width="13.7109375" bestFit="1" customWidth="1" style="249" min="1293" max="1293"/>
    <col width="11.28515625" customWidth="1" style="249" min="1294" max="1297"/>
    <col width="9.140625" customWidth="1" style="249" min="1298" max="1299"/>
    <col width="10.85546875" bestFit="1" customWidth="1" style="249" min="1300" max="1300"/>
    <col width="9.140625" customWidth="1" style="249" min="1301" max="1541"/>
    <col width="2" customWidth="1" style="249" min="1542" max="1543"/>
    <col width="31.28515625" customWidth="1" style="249" min="1544" max="1544"/>
    <col width="13" customWidth="1" style="249" min="1545" max="1545"/>
    <col width="11.28515625" customWidth="1" style="249" min="1546" max="1548"/>
    <col width="13.7109375" bestFit="1" customWidth="1" style="249" min="1549" max="1549"/>
    <col width="11.28515625" customWidth="1" style="249" min="1550" max="1553"/>
    <col width="9.140625" customWidth="1" style="249" min="1554" max="1555"/>
    <col width="10.85546875" bestFit="1" customWidth="1" style="249" min="1556" max="1556"/>
    <col width="9.140625" customWidth="1" style="249" min="1557" max="1797"/>
    <col width="2" customWidth="1" style="249" min="1798" max="1799"/>
    <col width="31.28515625" customWidth="1" style="249" min="1800" max="1800"/>
    <col width="13" customWidth="1" style="249" min="1801" max="1801"/>
    <col width="11.28515625" customWidth="1" style="249" min="1802" max="1804"/>
    <col width="13.7109375" bestFit="1" customWidth="1" style="249" min="1805" max="1805"/>
    <col width="11.28515625" customWidth="1" style="249" min="1806" max="1809"/>
    <col width="9.140625" customWidth="1" style="249" min="1810" max="1811"/>
    <col width="10.85546875" bestFit="1" customWidth="1" style="249" min="1812" max="1812"/>
    <col width="9.140625" customWidth="1" style="249" min="1813" max="2053"/>
    <col width="2" customWidth="1" style="249" min="2054" max="2055"/>
    <col width="31.28515625" customWidth="1" style="249" min="2056" max="2056"/>
    <col width="13" customWidth="1" style="249" min="2057" max="2057"/>
    <col width="11.28515625" customWidth="1" style="249" min="2058" max="2060"/>
    <col width="13.7109375" bestFit="1" customWidth="1" style="249" min="2061" max="2061"/>
    <col width="11.28515625" customWidth="1" style="249" min="2062" max="2065"/>
    <col width="9.140625" customWidth="1" style="249" min="2066" max="2067"/>
    <col width="10.85546875" bestFit="1" customWidth="1" style="249" min="2068" max="2068"/>
    <col width="9.140625" customWidth="1" style="249" min="2069" max="2309"/>
    <col width="2" customWidth="1" style="249" min="2310" max="2311"/>
    <col width="31.28515625" customWidth="1" style="249" min="2312" max="2312"/>
    <col width="13" customWidth="1" style="249" min="2313" max="2313"/>
    <col width="11.28515625" customWidth="1" style="249" min="2314" max="2316"/>
    <col width="13.7109375" bestFit="1" customWidth="1" style="249" min="2317" max="2317"/>
    <col width="11.28515625" customWidth="1" style="249" min="2318" max="2321"/>
    <col width="9.140625" customWidth="1" style="249" min="2322" max="2323"/>
    <col width="10.85546875" bestFit="1" customWidth="1" style="249" min="2324" max="2324"/>
    <col width="9.140625" customWidth="1" style="249" min="2325" max="2565"/>
    <col width="2" customWidth="1" style="249" min="2566" max="2567"/>
    <col width="31.28515625" customWidth="1" style="249" min="2568" max="2568"/>
    <col width="13" customWidth="1" style="249" min="2569" max="2569"/>
    <col width="11.28515625" customWidth="1" style="249" min="2570" max="2572"/>
    <col width="13.7109375" bestFit="1" customWidth="1" style="249" min="2573" max="2573"/>
    <col width="11.28515625" customWidth="1" style="249" min="2574" max="2577"/>
    <col width="9.140625" customWidth="1" style="249" min="2578" max="2579"/>
    <col width="10.85546875" bestFit="1" customWidth="1" style="249" min="2580" max="2580"/>
    <col width="9.140625" customWidth="1" style="249" min="2581" max="2821"/>
    <col width="2" customWidth="1" style="249" min="2822" max="2823"/>
    <col width="31.28515625" customWidth="1" style="249" min="2824" max="2824"/>
    <col width="13" customWidth="1" style="249" min="2825" max="2825"/>
    <col width="11.28515625" customWidth="1" style="249" min="2826" max="2828"/>
    <col width="13.7109375" bestFit="1" customWidth="1" style="249" min="2829" max="2829"/>
    <col width="11.28515625" customWidth="1" style="249" min="2830" max="2833"/>
    <col width="9.140625" customWidth="1" style="249" min="2834" max="2835"/>
    <col width="10.85546875" bestFit="1" customWidth="1" style="249" min="2836" max="2836"/>
    <col width="9.140625" customWidth="1" style="249" min="2837" max="3077"/>
    <col width="2" customWidth="1" style="249" min="3078" max="3079"/>
    <col width="31.28515625" customWidth="1" style="249" min="3080" max="3080"/>
    <col width="13" customWidth="1" style="249" min="3081" max="3081"/>
    <col width="11.28515625" customWidth="1" style="249" min="3082" max="3084"/>
    <col width="13.7109375" bestFit="1" customWidth="1" style="249" min="3085" max="3085"/>
    <col width="11.28515625" customWidth="1" style="249" min="3086" max="3089"/>
    <col width="9.140625" customWidth="1" style="249" min="3090" max="3091"/>
    <col width="10.85546875" bestFit="1" customWidth="1" style="249" min="3092" max="3092"/>
    <col width="9.140625" customWidth="1" style="249" min="3093" max="3333"/>
    <col width="2" customWidth="1" style="249" min="3334" max="3335"/>
    <col width="31.28515625" customWidth="1" style="249" min="3336" max="3336"/>
    <col width="13" customWidth="1" style="249" min="3337" max="3337"/>
    <col width="11.28515625" customWidth="1" style="249" min="3338" max="3340"/>
    <col width="13.7109375" bestFit="1" customWidth="1" style="249" min="3341" max="3341"/>
    <col width="11.28515625" customWidth="1" style="249" min="3342" max="3345"/>
    <col width="9.140625" customWidth="1" style="249" min="3346" max="3347"/>
    <col width="10.85546875" bestFit="1" customWidth="1" style="249" min="3348" max="3348"/>
    <col width="9.140625" customWidth="1" style="249" min="3349" max="3589"/>
    <col width="2" customWidth="1" style="249" min="3590" max="3591"/>
    <col width="31.28515625" customWidth="1" style="249" min="3592" max="3592"/>
    <col width="13" customWidth="1" style="249" min="3593" max="3593"/>
    <col width="11.28515625" customWidth="1" style="249" min="3594" max="3596"/>
    <col width="13.7109375" bestFit="1" customWidth="1" style="249" min="3597" max="3597"/>
    <col width="11.28515625" customWidth="1" style="249" min="3598" max="3601"/>
    <col width="9.140625" customWidth="1" style="249" min="3602" max="3603"/>
    <col width="10.85546875" bestFit="1" customWidth="1" style="249" min="3604" max="3604"/>
    <col width="9.140625" customWidth="1" style="249" min="3605" max="3845"/>
    <col width="2" customWidth="1" style="249" min="3846" max="3847"/>
    <col width="31.28515625" customWidth="1" style="249" min="3848" max="3848"/>
    <col width="13" customWidth="1" style="249" min="3849" max="3849"/>
    <col width="11.28515625" customWidth="1" style="249" min="3850" max="3852"/>
    <col width="13.7109375" bestFit="1" customWidth="1" style="249" min="3853" max="3853"/>
    <col width="11.28515625" customWidth="1" style="249" min="3854" max="3857"/>
    <col width="9.140625" customWidth="1" style="249" min="3858" max="3859"/>
    <col width="10.85546875" bestFit="1" customWidth="1" style="249" min="3860" max="3860"/>
    <col width="9.140625" customWidth="1" style="249" min="3861" max="4101"/>
    <col width="2" customWidth="1" style="249" min="4102" max="4103"/>
    <col width="31.28515625" customWidth="1" style="249" min="4104" max="4104"/>
    <col width="13" customWidth="1" style="249" min="4105" max="4105"/>
    <col width="11.28515625" customWidth="1" style="249" min="4106" max="4108"/>
    <col width="13.7109375" bestFit="1" customWidth="1" style="249" min="4109" max="4109"/>
    <col width="11.28515625" customWidth="1" style="249" min="4110" max="4113"/>
    <col width="9.140625" customWidth="1" style="249" min="4114" max="4115"/>
    <col width="10.85546875" bestFit="1" customWidth="1" style="249" min="4116" max="4116"/>
    <col width="9.140625" customWidth="1" style="249" min="4117" max="4357"/>
    <col width="2" customWidth="1" style="249" min="4358" max="4359"/>
    <col width="31.28515625" customWidth="1" style="249" min="4360" max="4360"/>
    <col width="13" customWidth="1" style="249" min="4361" max="4361"/>
    <col width="11.28515625" customWidth="1" style="249" min="4362" max="4364"/>
    <col width="13.7109375" bestFit="1" customWidth="1" style="249" min="4365" max="4365"/>
    <col width="11.28515625" customWidth="1" style="249" min="4366" max="4369"/>
    <col width="9.140625" customWidth="1" style="249" min="4370" max="4371"/>
    <col width="10.85546875" bestFit="1" customWidth="1" style="249" min="4372" max="4372"/>
    <col width="9.140625" customWidth="1" style="249" min="4373" max="4613"/>
    <col width="2" customWidth="1" style="249" min="4614" max="4615"/>
    <col width="31.28515625" customWidth="1" style="249" min="4616" max="4616"/>
    <col width="13" customWidth="1" style="249" min="4617" max="4617"/>
    <col width="11.28515625" customWidth="1" style="249" min="4618" max="4620"/>
    <col width="13.7109375" bestFit="1" customWidth="1" style="249" min="4621" max="4621"/>
    <col width="11.28515625" customWidth="1" style="249" min="4622" max="4625"/>
    <col width="9.140625" customWidth="1" style="249" min="4626" max="4627"/>
    <col width="10.85546875" bestFit="1" customWidth="1" style="249" min="4628" max="4628"/>
    <col width="9.140625" customWidth="1" style="249" min="4629" max="4869"/>
    <col width="2" customWidth="1" style="249" min="4870" max="4871"/>
    <col width="31.28515625" customWidth="1" style="249" min="4872" max="4872"/>
    <col width="13" customWidth="1" style="249" min="4873" max="4873"/>
    <col width="11.28515625" customWidth="1" style="249" min="4874" max="4876"/>
    <col width="13.7109375" bestFit="1" customWidth="1" style="249" min="4877" max="4877"/>
    <col width="11.28515625" customWidth="1" style="249" min="4878" max="4881"/>
    <col width="9.140625" customWidth="1" style="249" min="4882" max="4883"/>
    <col width="10.85546875" bestFit="1" customWidth="1" style="249" min="4884" max="4884"/>
    <col width="9.140625" customWidth="1" style="249" min="4885" max="5125"/>
    <col width="2" customWidth="1" style="249" min="5126" max="5127"/>
    <col width="31.28515625" customWidth="1" style="249" min="5128" max="5128"/>
    <col width="13" customWidth="1" style="249" min="5129" max="5129"/>
    <col width="11.28515625" customWidth="1" style="249" min="5130" max="5132"/>
    <col width="13.7109375" bestFit="1" customWidth="1" style="249" min="5133" max="5133"/>
    <col width="11.28515625" customWidth="1" style="249" min="5134" max="5137"/>
    <col width="9.140625" customWidth="1" style="249" min="5138" max="5139"/>
    <col width="10.85546875" bestFit="1" customWidth="1" style="249" min="5140" max="5140"/>
    <col width="9.140625" customWidth="1" style="249" min="5141" max="5381"/>
    <col width="2" customWidth="1" style="249" min="5382" max="5383"/>
    <col width="31.28515625" customWidth="1" style="249" min="5384" max="5384"/>
    <col width="13" customWidth="1" style="249" min="5385" max="5385"/>
    <col width="11.28515625" customWidth="1" style="249" min="5386" max="5388"/>
    <col width="13.7109375" bestFit="1" customWidth="1" style="249" min="5389" max="5389"/>
    <col width="11.28515625" customWidth="1" style="249" min="5390" max="5393"/>
    <col width="9.140625" customWidth="1" style="249" min="5394" max="5395"/>
    <col width="10.85546875" bestFit="1" customWidth="1" style="249" min="5396" max="5396"/>
    <col width="9.140625" customWidth="1" style="249" min="5397" max="5637"/>
    <col width="2" customWidth="1" style="249" min="5638" max="5639"/>
    <col width="31.28515625" customWidth="1" style="249" min="5640" max="5640"/>
    <col width="13" customWidth="1" style="249" min="5641" max="5641"/>
    <col width="11.28515625" customWidth="1" style="249" min="5642" max="5644"/>
    <col width="13.7109375" bestFit="1" customWidth="1" style="249" min="5645" max="5645"/>
    <col width="11.28515625" customWidth="1" style="249" min="5646" max="5649"/>
    <col width="9.140625" customWidth="1" style="249" min="5650" max="5651"/>
    <col width="10.85546875" bestFit="1" customWidth="1" style="249" min="5652" max="5652"/>
    <col width="9.140625" customWidth="1" style="249" min="5653" max="5893"/>
    <col width="2" customWidth="1" style="249" min="5894" max="5895"/>
    <col width="31.28515625" customWidth="1" style="249" min="5896" max="5896"/>
    <col width="13" customWidth="1" style="249" min="5897" max="5897"/>
    <col width="11.28515625" customWidth="1" style="249" min="5898" max="5900"/>
    <col width="13.7109375" bestFit="1" customWidth="1" style="249" min="5901" max="5901"/>
    <col width="11.28515625" customWidth="1" style="249" min="5902" max="5905"/>
    <col width="9.140625" customWidth="1" style="249" min="5906" max="5907"/>
    <col width="10.85546875" bestFit="1" customWidth="1" style="249" min="5908" max="5908"/>
    <col width="9.140625" customWidth="1" style="249" min="5909" max="6149"/>
    <col width="2" customWidth="1" style="249" min="6150" max="6151"/>
    <col width="31.28515625" customWidth="1" style="249" min="6152" max="6152"/>
    <col width="13" customWidth="1" style="249" min="6153" max="6153"/>
    <col width="11.28515625" customWidth="1" style="249" min="6154" max="6156"/>
    <col width="13.7109375" bestFit="1" customWidth="1" style="249" min="6157" max="6157"/>
    <col width="11.28515625" customWidth="1" style="249" min="6158" max="6161"/>
    <col width="9.140625" customWidth="1" style="249" min="6162" max="6163"/>
    <col width="10.85546875" bestFit="1" customWidth="1" style="249" min="6164" max="6164"/>
    <col width="9.140625" customWidth="1" style="249" min="6165" max="6405"/>
    <col width="2" customWidth="1" style="249" min="6406" max="6407"/>
    <col width="31.28515625" customWidth="1" style="249" min="6408" max="6408"/>
    <col width="13" customWidth="1" style="249" min="6409" max="6409"/>
    <col width="11.28515625" customWidth="1" style="249" min="6410" max="6412"/>
    <col width="13.7109375" bestFit="1" customWidth="1" style="249" min="6413" max="6413"/>
    <col width="11.28515625" customWidth="1" style="249" min="6414" max="6417"/>
    <col width="9.140625" customWidth="1" style="249" min="6418" max="6419"/>
    <col width="10.85546875" bestFit="1" customWidth="1" style="249" min="6420" max="6420"/>
    <col width="9.140625" customWidth="1" style="249" min="6421" max="6661"/>
    <col width="2" customWidth="1" style="249" min="6662" max="6663"/>
    <col width="31.28515625" customWidth="1" style="249" min="6664" max="6664"/>
    <col width="13" customWidth="1" style="249" min="6665" max="6665"/>
    <col width="11.28515625" customWidth="1" style="249" min="6666" max="6668"/>
    <col width="13.7109375" bestFit="1" customWidth="1" style="249" min="6669" max="6669"/>
    <col width="11.28515625" customWidth="1" style="249" min="6670" max="6673"/>
    <col width="9.140625" customWidth="1" style="249" min="6674" max="6675"/>
    <col width="10.85546875" bestFit="1" customWidth="1" style="249" min="6676" max="6676"/>
    <col width="9.140625" customWidth="1" style="249" min="6677" max="6917"/>
    <col width="2" customWidth="1" style="249" min="6918" max="6919"/>
    <col width="31.28515625" customWidth="1" style="249" min="6920" max="6920"/>
    <col width="13" customWidth="1" style="249" min="6921" max="6921"/>
    <col width="11.28515625" customWidth="1" style="249" min="6922" max="6924"/>
    <col width="13.7109375" bestFit="1" customWidth="1" style="249" min="6925" max="6925"/>
    <col width="11.28515625" customWidth="1" style="249" min="6926" max="6929"/>
    <col width="9.140625" customWidth="1" style="249" min="6930" max="6931"/>
    <col width="10.85546875" bestFit="1" customWidth="1" style="249" min="6932" max="6932"/>
    <col width="9.140625" customWidth="1" style="249" min="6933" max="7173"/>
    <col width="2" customWidth="1" style="249" min="7174" max="7175"/>
    <col width="31.28515625" customWidth="1" style="249" min="7176" max="7176"/>
    <col width="13" customWidth="1" style="249" min="7177" max="7177"/>
    <col width="11.28515625" customWidth="1" style="249" min="7178" max="7180"/>
    <col width="13.7109375" bestFit="1" customWidth="1" style="249" min="7181" max="7181"/>
    <col width="11.28515625" customWidth="1" style="249" min="7182" max="7185"/>
    <col width="9.140625" customWidth="1" style="249" min="7186" max="7187"/>
    <col width="10.85546875" bestFit="1" customWidth="1" style="249" min="7188" max="7188"/>
    <col width="9.140625" customWidth="1" style="249" min="7189" max="7429"/>
    <col width="2" customWidth="1" style="249" min="7430" max="7431"/>
    <col width="31.28515625" customWidth="1" style="249" min="7432" max="7432"/>
    <col width="13" customWidth="1" style="249" min="7433" max="7433"/>
    <col width="11.28515625" customWidth="1" style="249" min="7434" max="7436"/>
    <col width="13.7109375" bestFit="1" customWidth="1" style="249" min="7437" max="7437"/>
    <col width="11.28515625" customWidth="1" style="249" min="7438" max="7441"/>
    <col width="9.140625" customWidth="1" style="249" min="7442" max="7443"/>
    <col width="10.85546875" bestFit="1" customWidth="1" style="249" min="7444" max="7444"/>
    <col width="9.140625" customWidth="1" style="249" min="7445" max="7685"/>
    <col width="2" customWidth="1" style="249" min="7686" max="7687"/>
    <col width="31.28515625" customWidth="1" style="249" min="7688" max="7688"/>
    <col width="13" customWidth="1" style="249" min="7689" max="7689"/>
    <col width="11.28515625" customWidth="1" style="249" min="7690" max="7692"/>
    <col width="13.7109375" bestFit="1" customWidth="1" style="249" min="7693" max="7693"/>
    <col width="11.28515625" customWidth="1" style="249" min="7694" max="7697"/>
    <col width="9.140625" customWidth="1" style="249" min="7698" max="7699"/>
    <col width="10.85546875" bestFit="1" customWidth="1" style="249" min="7700" max="7700"/>
    <col width="9.140625" customWidth="1" style="249" min="7701" max="7941"/>
    <col width="2" customWidth="1" style="249" min="7942" max="7943"/>
    <col width="31.28515625" customWidth="1" style="249" min="7944" max="7944"/>
    <col width="13" customWidth="1" style="249" min="7945" max="7945"/>
    <col width="11.28515625" customWidth="1" style="249" min="7946" max="7948"/>
    <col width="13.7109375" bestFit="1" customWidth="1" style="249" min="7949" max="7949"/>
    <col width="11.28515625" customWidth="1" style="249" min="7950" max="7953"/>
    <col width="9.140625" customWidth="1" style="249" min="7954" max="7955"/>
    <col width="10.85546875" bestFit="1" customWidth="1" style="249" min="7956" max="7956"/>
    <col width="9.140625" customWidth="1" style="249" min="7957" max="8197"/>
    <col width="2" customWidth="1" style="249" min="8198" max="8199"/>
    <col width="31.28515625" customWidth="1" style="249" min="8200" max="8200"/>
    <col width="13" customWidth="1" style="249" min="8201" max="8201"/>
    <col width="11.28515625" customWidth="1" style="249" min="8202" max="8204"/>
    <col width="13.7109375" bestFit="1" customWidth="1" style="249" min="8205" max="8205"/>
    <col width="11.28515625" customWidth="1" style="249" min="8206" max="8209"/>
    <col width="9.140625" customWidth="1" style="249" min="8210" max="8211"/>
    <col width="10.85546875" bestFit="1" customWidth="1" style="249" min="8212" max="8212"/>
    <col width="9.140625" customWidth="1" style="249" min="8213" max="8453"/>
    <col width="2" customWidth="1" style="249" min="8454" max="8455"/>
    <col width="31.28515625" customWidth="1" style="249" min="8456" max="8456"/>
    <col width="13" customWidth="1" style="249" min="8457" max="8457"/>
    <col width="11.28515625" customWidth="1" style="249" min="8458" max="8460"/>
    <col width="13.7109375" bestFit="1" customWidth="1" style="249" min="8461" max="8461"/>
    <col width="11.28515625" customWidth="1" style="249" min="8462" max="8465"/>
    <col width="9.140625" customWidth="1" style="249" min="8466" max="8467"/>
    <col width="10.85546875" bestFit="1" customWidth="1" style="249" min="8468" max="8468"/>
    <col width="9.140625" customWidth="1" style="249" min="8469" max="8709"/>
    <col width="2" customWidth="1" style="249" min="8710" max="8711"/>
    <col width="31.28515625" customWidth="1" style="249" min="8712" max="8712"/>
    <col width="13" customWidth="1" style="249" min="8713" max="8713"/>
    <col width="11.28515625" customWidth="1" style="249" min="8714" max="8716"/>
    <col width="13.7109375" bestFit="1" customWidth="1" style="249" min="8717" max="8717"/>
    <col width="11.28515625" customWidth="1" style="249" min="8718" max="8721"/>
    <col width="9.140625" customWidth="1" style="249" min="8722" max="8723"/>
    <col width="10.85546875" bestFit="1" customWidth="1" style="249" min="8724" max="8724"/>
    <col width="9.140625" customWidth="1" style="249" min="8725" max="8965"/>
    <col width="2" customWidth="1" style="249" min="8966" max="8967"/>
    <col width="31.28515625" customWidth="1" style="249" min="8968" max="8968"/>
    <col width="13" customWidth="1" style="249" min="8969" max="8969"/>
    <col width="11.28515625" customWidth="1" style="249" min="8970" max="8972"/>
    <col width="13.7109375" bestFit="1" customWidth="1" style="249" min="8973" max="8973"/>
    <col width="11.28515625" customWidth="1" style="249" min="8974" max="8977"/>
    <col width="9.140625" customWidth="1" style="249" min="8978" max="8979"/>
    <col width="10.85546875" bestFit="1" customWidth="1" style="249" min="8980" max="8980"/>
    <col width="9.140625" customWidth="1" style="249" min="8981" max="9221"/>
    <col width="2" customWidth="1" style="249" min="9222" max="9223"/>
    <col width="31.28515625" customWidth="1" style="249" min="9224" max="9224"/>
    <col width="13" customWidth="1" style="249" min="9225" max="9225"/>
    <col width="11.28515625" customWidth="1" style="249" min="9226" max="9228"/>
    <col width="13.7109375" bestFit="1" customWidth="1" style="249" min="9229" max="9229"/>
    <col width="11.28515625" customWidth="1" style="249" min="9230" max="9233"/>
    <col width="9.140625" customWidth="1" style="249" min="9234" max="9235"/>
    <col width="10.85546875" bestFit="1" customWidth="1" style="249" min="9236" max="9236"/>
    <col width="9.140625" customWidth="1" style="249" min="9237" max="9477"/>
    <col width="2" customWidth="1" style="249" min="9478" max="9479"/>
    <col width="31.28515625" customWidth="1" style="249" min="9480" max="9480"/>
    <col width="13" customWidth="1" style="249" min="9481" max="9481"/>
    <col width="11.28515625" customWidth="1" style="249" min="9482" max="9484"/>
    <col width="13.7109375" bestFit="1" customWidth="1" style="249" min="9485" max="9485"/>
    <col width="11.28515625" customWidth="1" style="249" min="9486" max="9489"/>
    <col width="9.140625" customWidth="1" style="249" min="9490" max="9491"/>
    <col width="10.85546875" bestFit="1" customWidth="1" style="249" min="9492" max="9492"/>
    <col width="9.140625" customWidth="1" style="249" min="9493" max="9733"/>
    <col width="2" customWidth="1" style="249" min="9734" max="9735"/>
    <col width="31.28515625" customWidth="1" style="249" min="9736" max="9736"/>
    <col width="13" customWidth="1" style="249" min="9737" max="9737"/>
    <col width="11.28515625" customWidth="1" style="249" min="9738" max="9740"/>
    <col width="13.7109375" bestFit="1" customWidth="1" style="249" min="9741" max="9741"/>
    <col width="11.28515625" customWidth="1" style="249" min="9742" max="9745"/>
    <col width="9.140625" customWidth="1" style="249" min="9746" max="9747"/>
    <col width="10.85546875" bestFit="1" customWidth="1" style="249" min="9748" max="9748"/>
    <col width="9.140625" customWidth="1" style="249" min="9749" max="9989"/>
    <col width="2" customWidth="1" style="249" min="9990" max="9991"/>
    <col width="31.28515625" customWidth="1" style="249" min="9992" max="9992"/>
    <col width="13" customWidth="1" style="249" min="9993" max="9993"/>
    <col width="11.28515625" customWidth="1" style="249" min="9994" max="9996"/>
    <col width="13.7109375" bestFit="1" customWidth="1" style="249" min="9997" max="9997"/>
    <col width="11.28515625" customWidth="1" style="249" min="9998" max="10001"/>
    <col width="9.140625" customWidth="1" style="249" min="10002" max="10003"/>
    <col width="10.85546875" bestFit="1" customWidth="1" style="249" min="10004" max="10004"/>
    <col width="9.140625" customWidth="1" style="249" min="10005" max="10245"/>
    <col width="2" customWidth="1" style="249" min="10246" max="10247"/>
    <col width="31.28515625" customWidth="1" style="249" min="10248" max="10248"/>
    <col width="13" customWidth="1" style="249" min="10249" max="10249"/>
    <col width="11.28515625" customWidth="1" style="249" min="10250" max="10252"/>
    <col width="13.7109375" bestFit="1" customWidth="1" style="249" min="10253" max="10253"/>
    <col width="11.28515625" customWidth="1" style="249" min="10254" max="10257"/>
    <col width="9.140625" customWidth="1" style="249" min="10258" max="10259"/>
    <col width="10.85546875" bestFit="1" customWidth="1" style="249" min="10260" max="10260"/>
    <col width="9.140625" customWidth="1" style="249" min="10261" max="10501"/>
    <col width="2" customWidth="1" style="249" min="10502" max="10503"/>
    <col width="31.28515625" customWidth="1" style="249" min="10504" max="10504"/>
    <col width="13" customWidth="1" style="249" min="10505" max="10505"/>
    <col width="11.28515625" customWidth="1" style="249" min="10506" max="10508"/>
    <col width="13.7109375" bestFit="1" customWidth="1" style="249" min="10509" max="10509"/>
    <col width="11.28515625" customWidth="1" style="249" min="10510" max="10513"/>
    <col width="9.140625" customWidth="1" style="249" min="10514" max="10515"/>
    <col width="10.85546875" bestFit="1" customWidth="1" style="249" min="10516" max="10516"/>
    <col width="9.140625" customWidth="1" style="249" min="10517" max="10757"/>
    <col width="2" customWidth="1" style="249" min="10758" max="10759"/>
    <col width="31.28515625" customWidth="1" style="249" min="10760" max="10760"/>
    <col width="13" customWidth="1" style="249" min="10761" max="10761"/>
    <col width="11.28515625" customWidth="1" style="249" min="10762" max="10764"/>
    <col width="13.7109375" bestFit="1" customWidth="1" style="249" min="10765" max="10765"/>
    <col width="11.28515625" customWidth="1" style="249" min="10766" max="10769"/>
    <col width="9.140625" customWidth="1" style="249" min="10770" max="10771"/>
    <col width="10.85546875" bestFit="1" customWidth="1" style="249" min="10772" max="10772"/>
    <col width="9.140625" customWidth="1" style="249" min="10773" max="11013"/>
    <col width="2" customWidth="1" style="249" min="11014" max="11015"/>
    <col width="31.28515625" customWidth="1" style="249" min="11016" max="11016"/>
    <col width="13" customWidth="1" style="249" min="11017" max="11017"/>
    <col width="11.28515625" customWidth="1" style="249" min="11018" max="11020"/>
    <col width="13.7109375" bestFit="1" customWidth="1" style="249" min="11021" max="11021"/>
    <col width="11.28515625" customWidth="1" style="249" min="11022" max="11025"/>
    <col width="9.140625" customWidth="1" style="249" min="11026" max="11027"/>
    <col width="10.85546875" bestFit="1" customWidth="1" style="249" min="11028" max="11028"/>
    <col width="9.140625" customWidth="1" style="249" min="11029" max="11269"/>
    <col width="2" customWidth="1" style="249" min="11270" max="11271"/>
    <col width="31.28515625" customWidth="1" style="249" min="11272" max="11272"/>
    <col width="13" customWidth="1" style="249" min="11273" max="11273"/>
    <col width="11.28515625" customWidth="1" style="249" min="11274" max="11276"/>
    <col width="13.7109375" bestFit="1" customWidth="1" style="249" min="11277" max="11277"/>
    <col width="11.28515625" customWidth="1" style="249" min="11278" max="11281"/>
    <col width="9.140625" customWidth="1" style="249" min="11282" max="11283"/>
    <col width="10.85546875" bestFit="1" customWidth="1" style="249" min="11284" max="11284"/>
    <col width="9.140625" customWidth="1" style="249" min="11285" max="11525"/>
    <col width="2" customWidth="1" style="249" min="11526" max="11527"/>
    <col width="31.28515625" customWidth="1" style="249" min="11528" max="11528"/>
    <col width="13" customWidth="1" style="249" min="11529" max="11529"/>
    <col width="11.28515625" customWidth="1" style="249" min="11530" max="11532"/>
    <col width="13.7109375" bestFit="1" customWidth="1" style="249" min="11533" max="11533"/>
    <col width="11.28515625" customWidth="1" style="249" min="11534" max="11537"/>
    <col width="9.140625" customWidth="1" style="249" min="11538" max="11539"/>
    <col width="10.85546875" bestFit="1" customWidth="1" style="249" min="11540" max="11540"/>
    <col width="9.140625" customWidth="1" style="249" min="11541" max="11781"/>
    <col width="2" customWidth="1" style="249" min="11782" max="11783"/>
    <col width="31.28515625" customWidth="1" style="249" min="11784" max="11784"/>
    <col width="13" customWidth="1" style="249" min="11785" max="11785"/>
    <col width="11.28515625" customWidth="1" style="249" min="11786" max="11788"/>
    <col width="13.7109375" bestFit="1" customWidth="1" style="249" min="11789" max="11789"/>
    <col width="11.28515625" customWidth="1" style="249" min="11790" max="11793"/>
    <col width="9.140625" customWidth="1" style="249" min="11794" max="11795"/>
    <col width="10.85546875" bestFit="1" customWidth="1" style="249" min="11796" max="11796"/>
    <col width="9.140625" customWidth="1" style="249" min="11797" max="12037"/>
    <col width="2" customWidth="1" style="249" min="12038" max="12039"/>
    <col width="31.28515625" customWidth="1" style="249" min="12040" max="12040"/>
    <col width="13" customWidth="1" style="249" min="12041" max="12041"/>
    <col width="11.28515625" customWidth="1" style="249" min="12042" max="12044"/>
    <col width="13.7109375" bestFit="1" customWidth="1" style="249" min="12045" max="12045"/>
    <col width="11.28515625" customWidth="1" style="249" min="12046" max="12049"/>
    <col width="9.140625" customWidth="1" style="249" min="12050" max="12051"/>
    <col width="10.85546875" bestFit="1" customWidth="1" style="249" min="12052" max="12052"/>
    <col width="9.140625" customWidth="1" style="249" min="12053" max="12293"/>
    <col width="2" customWidth="1" style="249" min="12294" max="12295"/>
    <col width="31.28515625" customWidth="1" style="249" min="12296" max="12296"/>
    <col width="13" customWidth="1" style="249" min="12297" max="12297"/>
    <col width="11.28515625" customWidth="1" style="249" min="12298" max="12300"/>
    <col width="13.7109375" bestFit="1" customWidth="1" style="249" min="12301" max="12301"/>
    <col width="11.28515625" customWidth="1" style="249" min="12302" max="12305"/>
    <col width="9.140625" customWidth="1" style="249" min="12306" max="12307"/>
    <col width="10.85546875" bestFit="1" customWidth="1" style="249" min="12308" max="12308"/>
    <col width="9.140625" customWidth="1" style="249" min="12309" max="12549"/>
    <col width="2" customWidth="1" style="249" min="12550" max="12551"/>
    <col width="31.28515625" customWidth="1" style="249" min="12552" max="12552"/>
    <col width="13" customWidth="1" style="249" min="12553" max="12553"/>
    <col width="11.28515625" customWidth="1" style="249" min="12554" max="12556"/>
    <col width="13.7109375" bestFit="1" customWidth="1" style="249" min="12557" max="12557"/>
    <col width="11.28515625" customWidth="1" style="249" min="12558" max="12561"/>
    <col width="9.140625" customWidth="1" style="249" min="12562" max="12563"/>
    <col width="10.85546875" bestFit="1" customWidth="1" style="249" min="12564" max="12564"/>
    <col width="9.140625" customWidth="1" style="249" min="12565" max="12805"/>
    <col width="2" customWidth="1" style="249" min="12806" max="12807"/>
    <col width="31.28515625" customWidth="1" style="249" min="12808" max="12808"/>
    <col width="13" customWidth="1" style="249" min="12809" max="12809"/>
    <col width="11.28515625" customWidth="1" style="249" min="12810" max="12812"/>
    <col width="13.7109375" bestFit="1" customWidth="1" style="249" min="12813" max="12813"/>
    <col width="11.28515625" customWidth="1" style="249" min="12814" max="12817"/>
    <col width="9.140625" customWidth="1" style="249" min="12818" max="12819"/>
    <col width="10.85546875" bestFit="1" customWidth="1" style="249" min="12820" max="12820"/>
    <col width="9.140625" customWidth="1" style="249" min="12821" max="13061"/>
    <col width="2" customWidth="1" style="249" min="13062" max="13063"/>
    <col width="31.28515625" customWidth="1" style="249" min="13064" max="13064"/>
    <col width="13" customWidth="1" style="249" min="13065" max="13065"/>
    <col width="11.28515625" customWidth="1" style="249" min="13066" max="13068"/>
    <col width="13.7109375" bestFit="1" customWidth="1" style="249" min="13069" max="13069"/>
    <col width="11.28515625" customWidth="1" style="249" min="13070" max="13073"/>
    <col width="9.140625" customWidth="1" style="249" min="13074" max="13075"/>
    <col width="10.85546875" bestFit="1" customWidth="1" style="249" min="13076" max="13076"/>
    <col width="9.140625" customWidth="1" style="249" min="13077" max="13317"/>
    <col width="2" customWidth="1" style="249" min="13318" max="13319"/>
    <col width="31.28515625" customWidth="1" style="249" min="13320" max="13320"/>
    <col width="13" customWidth="1" style="249" min="13321" max="13321"/>
    <col width="11.28515625" customWidth="1" style="249" min="13322" max="13324"/>
    <col width="13.7109375" bestFit="1" customWidth="1" style="249" min="13325" max="13325"/>
    <col width="11.28515625" customWidth="1" style="249" min="13326" max="13329"/>
    <col width="9.140625" customWidth="1" style="249" min="13330" max="13331"/>
    <col width="10.85546875" bestFit="1" customWidth="1" style="249" min="13332" max="13332"/>
    <col width="9.140625" customWidth="1" style="249" min="13333" max="13573"/>
    <col width="2" customWidth="1" style="249" min="13574" max="13575"/>
    <col width="31.28515625" customWidth="1" style="249" min="13576" max="13576"/>
    <col width="13" customWidth="1" style="249" min="13577" max="13577"/>
    <col width="11.28515625" customWidth="1" style="249" min="13578" max="13580"/>
    <col width="13.7109375" bestFit="1" customWidth="1" style="249" min="13581" max="13581"/>
    <col width="11.28515625" customWidth="1" style="249" min="13582" max="13585"/>
    <col width="9.140625" customWidth="1" style="249" min="13586" max="13587"/>
    <col width="10.85546875" bestFit="1" customWidth="1" style="249" min="13588" max="13588"/>
    <col width="9.140625" customWidth="1" style="249" min="13589" max="13829"/>
    <col width="2" customWidth="1" style="249" min="13830" max="13831"/>
    <col width="31.28515625" customWidth="1" style="249" min="13832" max="13832"/>
    <col width="13" customWidth="1" style="249" min="13833" max="13833"/>
    <col width="11.28515625" customWidth="1" style="249" min="13834" max="13836"/>
    <col width="13.7109375" bestFit="1" customWidth="1" style="249" min="13837" max="13837"/>
    <col width="11.28515625" customWidth="1" style="249" min="13838" max="13841"/>
    <col width="9.140625" customWidth="1" style="249" min="13842" max="13843"/>
    <col width="10.85546875" bestFit="1" customWidth="1" style="249" min="13844" max="13844"/>
    <col width="9.140625" customWidth="1" style="249" min="13845" max="14085"/>
    <col width="2" customWidth="1" style="249" min="14086" max="14087"/>
    <col width="31.28515625" customWidth="1" style="249" min="14088" max="14088"/>
    <col width="13" customWidth="1" style="249" min="14089" max="14089"/>
    <col width="11.28515625" customWidth="1" style="249" min="14090" max="14092"/>
    <col width="13.7109375" bestFit="1" customWidth="1" style="249" min="14093" max="14093"/>
    <col width="11.28515625" customWidth="1" style="249" min="14094" max="14097"/>
    <col width="9.140625" customWidth="1" style="249" min="14098" max="14099"/>
    <col width="10.85546875" bestFit="1" customWidth="1" style="249" min="14100" max="14100"/>
    <col width="9.140625" customWidth="1" style="249" min="14101" max="14341"/>
    <col width="2" customWidth="1" style="249" min="14342" max="14343"/>
    <col width="31.28515625" customWidth="1" style="249" min="14344" max="14344"/>
    <col width="13" customWidth="1" style="249" min="14345" max="14345"/>
    <col width="11.28515625" customWidth="1" style="249" min="14346" max="14348"/>
    <col width="13.7109375" bestFit="1" customWidth="1" style="249" min="14349" max="14349"/>
    <col width="11.28515625" customWidth="1" style="249" min="14350" max="14353"/>
    <col width="9.140625" customWidth="1" style="249" min="14354" max="14355"/>
    <col width="10.85546875" bestFit="1" customWidth="1" style="249" min="14356" max="14356"/>
    <col width="9.140625" customWidth="1" style="249" min="14357" max="14597"/>
    <col width="2" customWidth="1" style="249" min="14598" max="14599"/>
    <col width="31.28515625" customWidth="1" style="249" min="14600" max="14600"/>
    <col width="13" customWidth="1" style="249" min="14601" max="14601"/>
    <col width="11.28515625" customWidth="1" style="249" min="14602" max="14604"/>
    <col width="13.7109375" bestFit="1" customWidth="1" style="249" min="14605" max="14605"/>
    <col width="11.28515625" customWidth="1" style="249" min="14606" max="14609"/>
    <col width="9.140625" customWidth="1" style="249" min="14610" max="14611"/>
    <col width="10.85546875" bestFit="1" customWidth="1" style="249" min="14612" max="14612"/>
    <col width="9.140625" customWidth="1" style="249" min="14613" max="14853"/>
    <col width="2" customWidth="1" style="249" min="14854" max="14855"/>
    <col width="31.28515625" customWidth="1" style="249" min="14856" max="14856"/>
    <col width="13" customWidth="1" style="249" min="14857" max="14857"/>
    <col width="11.28515625" customWidth="1" style="249" min="14858" max="14860"/>
    <col width="13.7109375" bestFit="1" customWidth="1" style="249" min="14861" max="14861"/>
    <col width="11.28515625" customWidth="1" style="249" min="14862" max="14865"/>
    <col width="9.140625" customWidth="1" style="249" min="14866" max="14867"/>
    <col width="10.85546875" bestFit="1" customWidth="1" style="249" min="14868" max="14868"/>
    <col width="9.140625" customWidth="1" style="249" min="14869" max="15109"/>
    <col width="2" customWidth="1" style="249" min="15110" max="15111"/>
    <col width="31.28515625" customWidth="1" style="249" min="15112" max="15112"/>
    <col width="13" customWidth="1" style="249" min="15113" max="15113"/>
    <col width="11.28515625" customWidth="1" style="249" min="15114" max="15116"/>
    <col width="13.7109375" bestFit="1" customWidth="1" style="249" min="15117" max="15117"/>
    <col width="11.28515625" customWidth="1" style="249" min="15118" max="15121"/>
    <col width="9.140625" customWidth="1" style="249" min="15122" max="15123"/>
    <col width="10.85546875" bestFit="1" customWidth="1" style="249" min="15124" max="15124"/>
    <col width="9.140625" customWidth="1" style="249" min="15125" max="15365"/>
    <col width="2" customWidth="1" style="249" min="15366" max="15367"/>
    <col width="31.28515625" customWidth="1" style="249" min="15368" max="15368"/>
    <col width="13" customWidth="1" style="249" min="15369" max="15369"/>
    <col width="11.28515625" customWidth="1" style="249" min="15370" max="15372"/>
    <col width="13.7109375" bestFit="1" customWidth="1" style="249" min="15373" max="15373"/>
    <col width="11.28515625" customWidth="1" style="249" min="15374" max="15377"/>
    <col width="9.140625" customWidth="1" style="249" min="15378" max="15379"/>
    <col width="10.85546875" bestFit="1" customWidth="1" style="249" min="15380" max="15380"/>
    <col width="9.140625" customWidth="1" style="249" min="15381" max="15621"/>
    <col width="2" customWidth="1" style="249" min="15622" max="15623"/>
    <col width="31.28515625" customWidth="1" style="249" min="15624" max="15624"/>
    <col width="13" customWidth="1" style="249" min="15625" max="15625"/>
    <col width="11.28515625" customWidth="1" style="249" min="15626" max="15628"/>
    <col width="13.7109375" bestFit="1" customWidth="1" style="249" min="15629" max="15629"/>
    <col width="11.28515625" customWidth="1" style="249" min="15630" max="15633"/>
    <col width="9.140625" customWidth="1" style="249" min="15634" max="15635"/>
    <col width="10.85546875" bestFit="1" customWidth="1" style="249" min="15636" max="15636"/>
    <col width="9.140625" customWidth="1" style="249" min="15637" max="15877"/>
    <col width="2" customWidth="1" style="249" min="15878" max="15879"/>
    <col width="31.28515625" customWidth="1" style="249" min="15880" max="15880"/>
    <col width="13" customWidth="1" style="249" min="15881" max="15881"/>
    <col width="11.28515625" customWidth="1" style="249" min="15882" max="15884"/>
    <col width="13.7109375" bestFit="1" customWidth="1" style="249" min="15885" max="15885"/>
    <col width="11.28515625" customWidth="1" style="249" min="15886" max="15889"/>
    <col width="9.140625" customWidth="1" style="249" min="15890" max="15891"/>
    <col width="10.85546875" bestFit="1" customWidth="1" style="249" min="15892" max="15892"/>
    <col width="9.140625" customWidth="1" style="249" min="15893" max="16133"/>
    <col width="2" customWidth="1" style="249" min="16134" max="16135"/>
    <col width="31.28515625" customWidth="1" style="249" min="16136" max="16136"/>
    <col width="13" customWidth="1" style="249" min="16137" max="16137"/>
    <col width="11.28515625" customWidth="1" style="249" min="16138" max="16140"/>
    <col width="13.7109375" bestFit="1" customWidth="1" style="249" min="16141" max="16141"/>
    <col width="11.28515625" customWidth="1" style="249" min="16142" max="16145"/>
    <col width="9.140625" customWidth="1" style="249" min="16146" max="16147"/>
    <col width="10.85546875" bestFit="1" customWidth="1" style="249" min="16148" max="16148"/>
    <col width="9.140625" customWidth="1" style="249" min="16149" max="16384"/>
  </cols>
  <sheetData>
    <row r="1" outlineLevel="1" ht="6.75" customFormat="1" customHeight="1" s="58"/>
    <row r="2" outlineLevel="1" ht="6.75" customFormat="1" customHeight="1" s="58"/>
    <row r="3" outlineLevel="1">
      <c r="C3" s="249" t="str">
        <f>"Discounted Cash Flow Model for "&amp;ticker</f>
        <v>Discounted Cash Flow Model for </v>
      </c>
    </row>
    <row r="4" outlineLevel="1" ht="13.5" customHeight="1" thickBot="1">
      <c r="C4" s="60" t="inlineStr">
        <is>
          <t>All figures in millions, except per share data</t>
        </is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</row>
    <row r="5" outlineLevel="1"/>
    <row r="6" outlineLevel="1"/>
    <row r="7" outlineLevel="1">
      <c r="C7" s="249" t="inlineStr">
        <is>
          <t>Ticker</t>
        </is>
      </c>
      <c r="D7" s="61" t="n"/>
      <c r="F7" s="249" t="inlineStr">
        <is>
          <t>Last close</t>
        </is>
      </c>
      <c r="G7" s="62" t="n"/>
    </row>
    <row r="8" outlineLevel="1">
      <c r="C8" s="249" t="inlineStr">
        <is>
          <t>Operating scenario:</t>
        </is>
      </c>
      <c r="D8" s="63" t="e">
        <f>IF(scenario=2,"Base Case",IF(scenario=1,"Bull Case","Bear Case"))</f>
        <v>#NAME?</v>
      </c>
    </row>
    <row r="9" outlineLevel="1">
      <c r="C9" s="249" t="inlineStr">
        <is>
          <t>Last fiscal year end date:</t>
        </is>
      </c>
      <c r="D9" s="64" t="n">
        <v>46022</v>
      </c>
    </row>
    <row r="10" outlineLevel="1">
      <c r="C10" s="249" t="inlineStr">
        <is>
          <t>Valuation / deal date:</t>
        </is>
      </c>
      <c r="D10" s="64" t="n">
        <v>46292</v>
      </c>
    </row>
    <row r="11" outlineLevel="1">
      <c r="C11" s="249" t="inlineStr">
        <is>
          <t>Stub year fraction:</t>
        </is>
      </c>
      <c r="D11" s="65">
        <f>1-(D10-D9)/365</f>
        <v>0.26027397260274</v>
      </c>
      <c r="E11" s="66" t="n"/>
      <c r="I11" s="67" t="n"/>
      <c r="O11" s="68" t="n"/>
      <c r="Z11" s="69" t="n"/>
    </row>
    <row r="12" outlineLevel="1">
      <c r="C12" s="249" t="inlineStr">
        <is>
          <t>Weighted average cost of capital:</t>
        </is>
      </c>
      <c r="D12" s="65" t="e">
        <f>J93</f>
        <v>#DIV/0!</v>
      </c>
      <c r="I12" s="67" t="n"/>
    </row>
    <row r="13" outlineLevel="1">
      <c r="D13" s="65" t="n"/>
      <c r="E13" s="65" t="n"/>
    </row>
    <row r="14">
      <c r="C14" s="70" t="inlineStr">
        <is>
          <t>Historicals</t>
        </is>
      </c>
      <c r="D14" s="70" t="n"/>
      <c r="E14" s="70" t="n"/>
      <c r="F14" s="70" t="n"/>
      <c r="G14" s="248" t="inlineStr">
        <is>
          <t>Projected Annual Forecast</t>
        </is>
      </c>
    </row>
    <row r="15">
      <c r="C15" s="71" t="n"/>
      <c r="D15" s="71" t="n"/>
      <c r="E15" s="71" t="n"/>
      <c r="F15" s="71" t="n"/>
      <c r="G15" s="72" t="inlineStr">
        <is>
          <t>Granular</t>
        </is>
      </c>
      <c r="H15" s="73" t="n"/>
      <c r="I15" s="73" t="n"/>
      <c r="J15" s="73" t="n"/>
      <c r="K15" s="73" t="n"/>
      <c r="L15" s="73" t="n"/>
      <c r="M15" s="74" t="inlineStr">
        <is>
          <t>Synthetic</t>
        </is>
      </c>
      <c r="N15" s="75" t="n"/>
      <c r="O15" s="75" t="n"/>
      <c r="P15" s="75" t="n"/>
      <c r="Q15" s="75" t="n"/>
      <c r="R15" s="75" t="n"/>
      <c r="S15" s="263" t="inlineStr">
        <is>
          <t>Fora do horizonte do Model (projecao vai ate 2037)</t>
        </is>
      </c>
      <c r="T15" s="75" t="n"/>
      <c r="U15" s="75" t="n"/>
      <c r="V15" s="75" t="n"/>
      <c r="X15" s="76" t="inlineStr">
        <is>
          <t>CAGR</t>
        </is>
      </c>
      <c r="Y15" s="77" t="n"/>
      <c r="Z15" s="77" t="n"/>
    </row>
    <row r="16">
      <c r="D16" s="78">
        <f>YEAR(D17)</f>
        <v>2023</v>
      </c>
      <c r="E16" s="78">
        <f>YEAR(E17)</f>
        <v>2024</v>
      </c>
      <c r="F16" s="78">
        <f>YEAR(F17)</f>
        <v>2025</v>
      </c>
      <c r="G16" s="78">
        <f>YEAR(G17)</f>
        <v>2026</v>
      </c>
      <c r="H16" s="78">
        <f>YEAR(H17)</f>
        <v>2027</v>
      </c>
      <c r="I16" s="78">
        <f>YEAR(I17)</f>
        <v>2028</v>
      </c>
      <c r="J16" s="78">
        <f>YEAR(J17)</f>
        <v>2029</v>
      </c>
      <c r="K16" s="78">
        <f>YEAR(K17)</f>
        <v>2030</v>
      </c>
      <c r="L16" s="78">
        <f>YEAR(L17)</f>
        <v>2031</v>
      </c>
      <c r="M16" s="78">
        <f>YEAR(M17)</f>
        <v>2032</v>
      </c>
      <c r="N16" s="78">
        <f>YEAR(N17)</f>
        <v>2033</v>
      </c>
      <c r="O16" s="78">
        <f>YEAR(O17)</f>
        <v>2034</v>
      </c>
      <c r="P16" s="78">
        <f>YEAR(P17)</f>
        <v>2035</v>
      </c>
      <c r="Q16" s="78">
        <f>YEAR(Q17)</f>
        <v>2036</v>
      </c>
      <c r="R16" s="78">
        <f>YEAR(R17)</f>
        <v>2037</v>
      </c>
      <c r="S16" s="264">
        <f>YEAR(S17)</f>
        <v>2038</v>
      </c>
      <c r="T16" s="264">
        <f>YEAR(T17)</f>
        <v>2039</v>
      </c>
      <c r="U16" s="264">
        <f>YEAR(U17)</f>
        <v>2040</v>
      </c>
      <c r="V16" s="264">
        <f>YEAR(V17)</f>
        <v>2041</v>
      </c>
      <c r="W16" s="78" t="n"/>
      <c r="X16" s="77" t="str">
        <f>F16&amp;"-"&amp;L16</f>
        <v>2025-2031</v>
      </c>
      <c r="Y16" s="77" t="str">
        <f>L16&amp;"-"&amp;R16</f>
        <v>2031-2037</v>
      </c>
      <c r="Z16" s="77" t="n"/>
    </row>
    <row r="17" outlineLevel="1">
      <c r="C17" s="79" t="n"/>
      <c r="D17" s="80">
        <f>DATE(YEAR(E17)-1,MONTH(E17),DAY(E17))</f>
        <v>45291.0</v>
      </c>
      <c r="E17" s="80">
        <f>DATE(YEAR(F17)-1,MONTH(F17),DAY(F17))</f>
        <v>45657.0</v>
      </c>
      <c r="F17" s="80">
        <f>DATE(YEAR(G17)-1,MONTH(G17),DAY(G17))</f>
        <v>46022.0</v>
      </c>
      <c r="G17" s="80">
        <f>DATE(YEAR(D9)+1,MONTH(D9),DAY(D9))</f>
        <v>46387.0</v>
      </c>
      <c r="H17" s="80">
        <f>DATE(YEAR(G17)+1,MONTH(G17),DAY(G17))</f>
        <v>46752.0</v>
      </c>
      <c r="I17" s="80">
        <f>DATE(YEAR(H17)+1,MONTH(H17),DAY(H17))</f>
        <v>47118.0</v>
      </c>
      <c r="J17" s="80">
        <f>DATE(YEAR(I17)+1,MONTH(I17),DAY(I17))</f>
        <v>47483.0</v>
      </c>
      <c r="K17" s="80">
        <f>DATE(YEAR(J17)+1,MONTH(J17),DAY(J17))</f>
        <v>47848.0</v>
      </c>
      <c r="L17" s="80">
        <f>DATE(YEAR(K17)+1,MONTH(K17),DAY(K17))</f>
        <v>48213.0</v>
      </c>
      <c r="M17" s="80">
        <f>DATE(YEAR(L17)+1,MONTH(L17),DAY(L17))</f>
        <v>48579.0</v>
      </c>
      <c r="N17" s="80">
        <f>DATE(YEAR(M17)+1,MONTH(M17),DAY(M17))</f>
        <v>48944.0</v>
      </c>
      <c r="O17" s="80">
        <f>DATE(YEAR(N17)+1,MONTH(N17),DAY(N17))</f>
        <v>49309.0</v>
      </c>
      <c r="P17" s="80">
        <f>DATE(YEAR(O17)+1,MONTH(O17),DAY(O17))</f>
        <v>49674.0</v>
      </c>
      <c r="Q17" s="80">
        <f>DATE(YEAR(P17)+1,MONTH(P17),DAY(P17))</f>
        <v>50040.0</v>
      </c>
      <c r="R17" s="80">
        <f>DATE(YEAR(Q17)+1,MONTH(Q17),DAY(Q17))</f>
        <v>50405.0</v>
      </c>
      <c r="S17" s="80">
        <f>DATE(YEAR(R17)+1,MONTH(R17),DAY(R17))</f>
        <v>50770.0</v>
      </c>
      <c r="T17" s="80">
        <f>DATE(YEAR(S17)+1,MONTH(S17),DAY(S17))</f>
        <v>51135.0</v>
      </c>
      <c r="U17" s="80">
        <f>DATE(YEAR(T17)+1,MONTH(T17),DAY(T17))</f>
        <v>51501.0</v>
      </c>
      <c r="V17" s="80">
        <f>DATE(YEAR(U17)+1,MONTH(U17),DAY(U17))</f>
        <v>51866.0</v>
      </c>
      <c r="W17" s="81" t="n"/>
      <c r="X17" s="77" t="n"/>
      <c r="Y17" s="77" t="n"/>
      <c r="Z17" s="77" t="n"/>
    </row>
    <row r="18">
      <c r="C18" s="82" t="inlineStr">
        <is>
          <t>Net Revenues</t>
        </is>
      </c>
      <c r="D18" s="83">
        <f>Model!W15</f>
        <v>60922</v>
      </c>
      <c r="E18" s="83">
        <f>Model!AB15</f>
        <v>130497</v>
      </c>
      <c r="F18" s="83">
        <f>Model!AG15</f>
        <v>215938</v>
      </c>
      <c r="G18" s="83">
        <f>Model!AL15</f>
        <v>215938</v>
      </c>
      <c r="H18" s="83">
        <f>Model!AQ15</f>
        <v>215938</v>
      </c>
      <c r="I18" s="83">
        <f>Model!AV15</f>
        <v>215938</v>
      </c>
      <c r="J18" s="83">
        <f>Model!BA15</f>
        <v>215938</v>
      </c>
      <c r="K18" s="83">
        <f>Model!BF15</f>
        <v>215938</v>
      </c>
      <c r="L18" s="83">
        <f>Model!BK15</f>
        <v>215938</v>
      </c>
      <c r="M18" s="83">
        <f>Model!BP15</f>
        <v>215938</v>
      </c>
      <c r="N18" s="83">
        <f>Model!BU15</f>
        <v>215938</v>
      </c>
      <c r="O18" s="83">
        <f>Model!BZ15</f>
        <v>215938</v>
      </c>
      <c r="P18" s="83">
        <f>Model!CE15</f>
        <v>215938</v>
      </c>
      <c r="Q18" s="83">
        <f>Model!CJ15</f>
        <v>215938</v>
      </c>
      <c r="R18" s="83">
        <f>Model!CO15</f>
        <v>215938</v>
      </c>
      <c r="S18" s="83" t="n"/>
      <c r="T18" s="83" t="n"/>
      <c r="U18" s="83" t="n"/>
      <c r="V18" s="84" t="n"/>
      <c r="X18" s="85">
        <f>((L18/F18)^(1/6))-1</f>
        <v>0</v>
      </c>
      <c r="Y18" s="85">
        <f>((R18/L18)^(1/6))-1</f>
        <v>0</v>
      </c>
      <c r="Z18" s="77" t="n"/>
    </row>
    <row r="19">
      <c r="C19" s="86" t="n"/>
      <c r="D19" s="79" t="n"/>
      <c r="E19" s="87">
        <f>E18/D18-1</f>
        <v>1.14203407635994</v>
      </c>
      <c r="F19" s="87">
        <f>F18/E18-1</f>
        <v>0.654735357900948</v>
      </c>
      <c r="G19" s="87">
        <f>G18/F18-1</f>
        <v>0</v>
      </c>
      <c r="H19" s="87">
        <f>H18/G18-1</f>
        <v>0</v>
      </c>
      <c r="I19" s="87">
        <f>I18/H18-1</f>
        <v>0</v>
      </c>
      <c r="J19" s="87">
        <f>J18/I18-1</f>
        <v>0</v>
      </c>
      <c r="K19" s="87">
        <f>K18/J18-1</f>
        <v>0</v>
      </c>
      <c r="L19" s="87">
        <f>L18/K18-1</f>
        <v>0</v>
      </c>
      <c r="M19" s="87">
        <f>M18/L18-1</f>
        <v>0</v>
      </c>
      <c r="N19" s="87">
        <f>N18/M18-1</f>
        <v>0</v>
      </c>
      <c r="O19" s="87">
        <f>O18/N18-1</f>
        <v>0</v>
      </c>
      <c r="P19" s="87">
        <f>P18/O18-1</f>
        <v>0</v>
      </c>
      <c r="Q19" s="87">
        <f>Q18/P18-1</f>
        <v>0</v>
      </c>
      <c r="R19" s="87">
        <f>R18/Q18-1</f>
        <v>0</v>
      </c>
      <c r="S19" s="87" t="n"/>
      <c r="T19" s="87" t="n"/>
      <c r="U19" s="87" t="n"/>
      <c r="V19" s="88" t="n"/>
      <c r="X19" s="77" t="n"/>
      <c r="Y19" s="77" t="n"/>
      <c r="Z19" s="77" t="n"/>
    </row>
    <row r="20" outlineLevel="1">
      <c r="C20" s="89" t="inlineStr">
        <is>
          <t>EBITDA</t>
        </is>
      </c>
      <c r="D20" s="83">
        <f>Model!W35</f>
        <v>34480</v>
      </c>
      <c r="E20" s="83">
        <f>Model!AB35</f>
        <v>83317</v>
      </c>
      <c r="F20" s="83">
        <f>Model!AG35</f>
        <v>133230</v>
      </c>
      <c r="G20" s="83">
        <f>Model!AL35</f>
        <v>0</v>
      </c>
      <c r="H20" s="83">
        <f>Model!AQ35</f>
        <v>0</v>
      </c>
      <c r="I20" s="83">
        <f>Model!BA35</f>
        <v>0</v>
      </c>
      <c r="J20" s="83">
        <f>Model!BA35</f>
        <v>0</v>
      </c>
      <c r="K20" s="83">
        <f>Model!BF35</f>
        <v>0</v>
      </c>
      <c r="L20" s="83">
        <f>Model!BK35</f>
        <v>0</v>
      </c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1" t="n"/>
      <c r="X20" s="77" t="n"/>
      <c r="Y20" s="77" t="n"/>
      <c r="Z20" s="77" t="n"/>
    </row>
    <row r="21" outlineLevel="1">
      <c r="C21" s="86" t="n"/>
      <c r="D21" s="92">
        <f>D20/D18</f>
        <v>0.565969600472736</v>
      </c>
      <c r="E21" s="92">
        <f>E20/E18</f>
        <v>0.638459121665632</v>
      </c>
      <c r="F21" s="92">
        <f>F20/F18</f>
        <v>0.616982652428012</v>
      </c>
      <c r="G21" s="92">
        <f>G20/G18</f>
        <v>0</v>
      </c>
      <c r="H21" s="92">
        <f>H20/H18</f>
        <v>0</v>
      </c>
      <c r="I21" s="92">
        <f>I20/I18</f>
        <v>0</v>
      </c>
      <c r="J21" s="92">
        <f>J20/J18</f>
        <v>0</v>
      </c>
      <c r="K21" s="92">
        <f>K20/K18</f>
        <v>0</v>
      </c>
      <c r="L21" s="92">
        <f>L20/L18</f>
        <v>0</v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93" t="n"/>
      <c r="X21" s="85" t="n"/>
      <c r="Y21" s="85" t="n"/>
      <c r="Z21" s="77" t="n"/>
    </row>
    <row r="22" outlineLevel="1">
      <c r="C22" s="82" t="inlineStr">
        <is>
          <t>EBIT</t>
        </is>
      </c>
      <c r="D22" s="83">
        <f>Model!W39</f>
        <v>32972</v>
      </c>
      <c r="E22" s="83">
        <f>Model!AB39</f>
        <v>81453</v>
      </c>
      <c r="F22" s="83">
        <f>Model!AG39</f>
        <v>130387</v>
      </c>
      <c r="G22" s="83">
        <f>Model!AL39</f>
        <v>0</v>
      </c>
      <c r="H22" s="83">
        <f>Model!AQ39</f>
        <v>0</v>
      </c>
      <c r="I22" s="83">
        <f>Model!AV39</f>
        <v>0</v>
      </c>
      <c r="J22" s="83">
        <f>Model!BA39</f>
        <v>0</v>
      </c>
      <c r="K22" s="83">
        <f>Model!BF39</f>
        <v>0</v>
      </c>
      <c r="L22" s="83">
        <f>Model!BK39</f>
        <v>0</v>
      </c>
      <c r="M22" s="83">
        <f>Model!BP39</f>
        <v>0</v>
      </c>
      <c r="N22" s="83">
        <f>Model!BU39</f>
        <v>0</v>
      </c>
      <c r="O22" s="83">
        <f>Model!BZ39</f>
        <v>0</v>
      </c>
      <c r="P22" s="83">
        <f>Model!CE39</f>
        <v>0</v>
      </c>
      <c r="Q22" s="83">
        <f>Model!CJ39</f>
        <v>0</v>
      </c>
      <c r="R22" s="83">
        <f>Model!CO39</f>
        <v>0</v>
      </c>
      <c r="S22" s="83" t="n"/>
      <c r="T22" s="83" t="n"/>
      <c r="U22" s="83" t="n"/>
      <c r="V22" s="84" t="n"/>
      <c r="X22" s="85">
        <f>((L22/F22)^(1/6))-1</f>
        <v>-1</v>
      </c>
      <c r="Y22" s="85" t="e">
        <f>((R22/L22)^(1/6))-1</f>
        <v>#DIV/0!</v>
      </c>
      <c r="Z22" s="77" t="n"/>
    </row>
    <row r="23" outlineLevel="1">
      <c r="C23" s="86" t="n"/>
      <c r="D23" s="92">
        <f>D22/D18</f>
        <v>0.541216637667838</v>
      </c>
      <c r="E23" s="92">
        <f>E22/E18</f>
        <v>0.624175268396975</v>
      </c>
      <c r="F23" s="92">
        <f>F22/F18</f>
        <v>0.603816836314127</v>
      </c>
      <c r="G23" s="92">
        <f>G22/G18</f>
        <v>0</v>
      </c>
      <c r="H23" s="92">
        <f>H22/H18</f>
        <v>0</v>
      </c>
      <c r="I23" s="92">
        <f>I22/I18</f>
        <v>0</v>
      </c>
      <c r="J23" s="92">
        <f>J22/J18</f>
        <v>0</v>
      </c>
      <c r="K23" s="92">
        <f>K22/K18</f>
        <v>0</v>
      </c>
      <c r="L23" s="92">
        <f>L22/L18</f>
        <v>0</v>
      </c>
      <c r="M23" s="92">
        <f>M22/M18</f>
        <v>0</v>
      </c>
      <c r="N23" s="92">
        <f>N22/N18</f>
        <v>0</v>
      </c>
      <c r="O23" s="92">
        <f>O22/O18</f>
        <v>0</v>
      </c>
      <c r="P23" s="92">
        <f>P22/P18</f>
        <v>0</v>
      </c>
      <c r="Q23" s="92">
        <f>Q22/Q18</f>
        <v>0</v>
      </c>
      <c r="R23" s="92">
        <f>R22/R18</f>
        <v>0</v>
      </c>
      <c r="S23" s="92" t="n"/>
      <c r="T23" s="92" t="n"/>
      <c r="U23" s="92" t="n"/>
      <c r="V23" s="94" t="n"/>
      <c r="X23" s="77" t="n"/>
      <c r="Y23" s="77" t="n"/>
      <c r="Z23" s="77" t="n"/>
    </row>
    <row r="24">
      <c r="C24" s="82" t="inlineStr">
        <is>
          <t>Tax rate</t>
        </is>
      </c>
      <c r="D24" s="95">
        <f>Model!W98</f>
        <v>0.119995268791768</v>
      </c>
      <c r="E24" s="95">
        <f>Model!AB98</f>
        <v>0.132649418037274</v>
      </c>
      <c r="F24" s="95">
        <f>Model!AG98</f>
        <v>0.151170024743726</v>
      </c>
      <c r="G24" s="95">
        <f>Model!AL98</f>
        <v>0</v>
      </c>
      <c r="H24" s="95">
        <f>Model!AQ98</f>
        <v>0</v>
      </c>
      <c r="I24" s="95">
        <f>Model!AV98</f>
        <v>0</v>
      </c>
      <c r="J24" s="95">
        <f>Model!BA98</f>
        <v>0</v>
      </c>
      <c r="K24" s="95">
        <f>Model!BF98</f>
        <v>0</v>
      </c>
      <c r="L24" s="95">
        <f>Model!BK98</f>
        <v>0</v>
      </c>
      <c r="M24" s="95">
        <f>Model!BP98</f>
        <v>0</v>
      </c>
      <c r="N24" s="95">
        <f>Model!BU98</f>
        <v>0</v>
      </c>
      <c r="O24" s="95">
        <f>Model!BZ98</f>
        <v>0</v>
      </c>
      <c r="P24" s="95">
        <f>Model!CE98</f>
        <v>0</v>
      </c>
      <c r="Q24" s="95">
        <f>Model!CJ98</f>
        <v>0</v>
      </c>
      <c r="R24" s="95">
        <f>Model!CO98</f>
        <v>0</v>
      </c>
      <c r="S24" s="95" t="n"/>
      <c r="T24" s="95" t="n"/>
      <c r="U24" s="95" t="n"/>
      <c r="V24" s="96" t="n"/>
      <c r="X24" s="77" t="n"/>
      <c r="Y24" s="77" t="n"/>
      <c r="Z24" s="77" t="n"/>
    </row>
    <row r="25">
      <c r="C25" s="86" t="inlineStr">
        <is>
          <t>NOPLAT</t>
        </is>
      </c>
      <c r="D25" s="97">
        <f>D22*(1-D24)</f>
        <v>29015.5159973978</v>
      </c>
      <c r="E25" s="97">
        <f>E22*(1-E24)</f>
        <v>70648.3069526099</v>
      </c>
      <c r="F25" s="97">
        <f>F22*(1-F24)</f>
        <v>110676.39398374</v>
      </c>
      <c r="G25" s="97">
        <f>G22*(1-G24)</f>
        <v>0</v>
      </c>
      <c r="H25" s="97">
        <f>H22*(1-H24)</f>
        <v>0</v>
      </c>
      <c r="I25" s="97">
        <f>I22*(1-I24)</f>
        <v>0</v>
      </c>
      <c r="J25" s="97">
        <f>J22*(1-J24)</f>
        <v>0</v>
      </c>
      <c r="K25" s="97">
        <f>K22*(1-K24)</f>
        <v>0</v>
      </c>
      <c r="L25" s="97">
        <f>L22*(1-L24)</f>
        <v>0</v>
      </c>
      <c r="M25" s="97">
        <f>M22*(1-M24)</f>
        <v>0</v>
      </c>
      <c r="N25" s="97">
        <f>N22*(1-N24)</f>
        <v>0</v>
      </c>
      <c r="O25" s="97">
        <f>O22*(1-O24)</f>
        <v>0</v>
      </c>
      <c r="P25" s="97">
        <f>P22*(1-P24)</f>
        <v>0</v>
      </c>
      <c r="Q25" s="97">
        <f>Q22*(1-Q24)</f>
        <v>0</v>
      </c>
      <c r="R25" s="97">
        <f>R22*(1-R24)</f>
        <v>0</v>
      </c>
      <c r="S25" s="97" t="n"/>
      <c r="T25" s="97" t="n"/>
      <c r="U25" s="97" t="n"/>
      <c r="V25" s="98" t="n"/>
      <c r="X25" s="85" t="n"/>
      <c r="Y25" s="85" t="n"/>
      <c r="Z25" s="77" t="n"/>
    </row>
    <row r="26">
      <c r="C26" s="99" t="inlineStr">
        <is>
          <t>Depreciation &amp; Amortization</t>
        </is>
      </c>
      <c r="D26" s="100">
        <f>Model!W36</f>
        <v>-1508</v>
      </c>
      <c r="E26" s="100">
        <f>Model!AB36</f>
        <v>-1864</v>
      </c>
      <c r="F26" s="100">
        <f>Model!AG36</f>
        <v>-2843</v>
      </c>
      <c r="G26" s="100">
        <f>Model!AL36</f>
        <v>0</v>
      </c>
      <c r="H26" s="100">
        <f>Model!AQ36</f>
        <v>0</v>
      </c>
      <c r="I26" s="100">
        <f>Model!AV36</f>
        <v>0</v>
      </c>
      <c r="J26" s="100">
        <f>Model!BA36</f>
        <v>0</v>
      </c>
      <c r="K26" s="100">
        <f>Model!BF36</f>
        <v>0</v>
      </c>
      <c r="L26" s="101">
        <f>Model!BK36</f>
        <v>0</v>
      </c>
      <c r="X26" s="77" t="n"/>
      <c r="Y26" s="77" t="n"/>
      <c r="Z26" s="77" t="n"/>
    </row>
    <row r="27">
      <c r="C27" s="102" t="inlineStr">
        <is>
          <t>Cash from working capital</t>
        </is>
      </c>
      <c r="D27" s="103">
        <f>SUM(D28:D39)</f>
        <v>-7305</v>
      </c>
      <c r="E27" s="103">
        <f>SUM(E28:E39)</f>
        <v>-15068</v>
      </c>
      <c r="F27" s="103">
        <f>SUM(F28:F39)</f>
        <v>-36445</v>
      </c>
      <c r="G27" s="103" t="e">
        <f>SUM(G28:G39)</f>
        <v>#DIV/0!</v>
      </c>
      <c r="H27" s="103" t="e">
        <f>SUM(H28:H39)</f>
        <v>#DIV/0!</v>
      </c>
      <c r="I27" s="103" t="e">
        <f>SUM(I28:I39)</f>
        <v>#DIV/0!</v>
      </c>
      <c r="J27" s="103" t="e">
        <f>SUM(J28:J39)</f>
        <v>#DIV/0!</v>
      </c>
      <c r="K27" s="103" t="e">
        <f>SUM(K28:K39)</f>
        <v>#DIV/0!</v>
      </c>
      <c r="L27" s="104" t="e">
        <f>SUM(L28:L39)</f>
        <v>#DIV/0!</v>
      </c>
      <c r="X27" s="77" t="n"/>
      <c r="Y27" s="77" t="n"/>
      <c r="Z27" s="77" t="n"/>
    </row>
    <row r="28" outlineLevel="1">
      <c r="C28" s="105" t="inlineStr">
        <is>
          <t>Accounts receivable</t>
        </is>
      </c>
      <c r="D28" s="106">
        <f>Model!W246</f>
        <v>-6172</v>
      </c>
      <c r="E28" s="106">
        <f>Model!AB246</f>
        <v>-13066</v>
      </c>
      <c r="F28" s="106">
        <f>Model!AG246</f>
        <v>-15401</v>
      </c>
      <c r="G28" s="106">
        <f>Model!AL246</f>
        <v>38466</v>
      </c>
      <c r="H28" s="106">
        <f>Model!AQ246</f>
        <v>0</v>
      </c>
      <c r="I28" s="106">
        <f>Model!AV246</f>
        <v>0</v>
      </c>
      <c r="J28" s="106">
        <f>Model!BA246</f>
        <v>0</v>
      </c>
      <c r="K28" s="106">
        <f>Model!BF246</f>
        <v>0</v>
      </c>
      <c r="L28" s="107">
        <f>Model!BK246</f>
        <v>0</v>
      </c>
      <c r="X28" s="77" t="n"/>
      <c r="Y28" s="77" t="n"/>
      <c r="Z28" s="77" t="n"/>
    </row>
    <row r="29" outlineLevel="1">
      <c r="C29" s="105" t="inlineStr">
        <is>
          <t>Inventories</t>
        </is>
      </c>
      <c r="D29" s="106">
        <f>Model!W247</f>
        <v>-123</v>
      </c>
      <c r="E29" s="106">
        <f>Model!AB247</f>
        <v>-4798</v>
      </c>
      <c r="F29" s="106">
        <f>Model!AG247</f>
        <v>-11323</v>
      </c>
      <c r="G29" s="106">
        <f>Model!AL247</f>
        <v>21403</v>
      </c>
      <c r="H29" s="106">
        <f>Model!AQ247</f>
        <v>0</v>
      </c>
      <c r="I29" s="106">
        <f>Model!AV247</f>
        <v>0</v>
      </c>
      <c r="J29" s="106">
        <f>Model!BA247</f>
        <v>0</v>
      </c>
      <c r="K29" s="106">
        <f>Model!BF247</f>
        <v>0</v>
      </c>
      <c r="L29" s="107">
        <f>Model!BK247</f>
        <v>0</v>
      </c>
      <c r="X29" s="77" t="n"/>
      <c r="Y29" s="77" t="n"/>
      <c r="Z29" s="77" t="n"/>
    </row>
    <row r="30" outlineLevel="1">
      <c r="C30" s="105" t="inlineStr">
        <is>
          <t>Deferred income taxes (assets)</t>
        </is>
      </c>
      <c r="D30" s="106">
        <f>Model!W248</f>
        <v>-2685</v>
      </c>
      <c r="E30" s="106">
        <f>Model!AB248</f>
        <v>-4898</v>
      </c>
      <c r="F30" s="106">
        <f>Model!AG248</f>
        <v>-2279</v>
      </c>
      <c r="G30" s="106">
        <f>Model!AL248</f>
        <v>0</v>
      </c>
      <c r="H30" s="106">
        <f>Model!AQ248</f>
        <v>0</v>
      </c>
      <c r="I30" s="106">
        <f>Model!AV248</f>
        <v>0</v>
      </c>
      <c r="J30" s="106">
        <f>Model!BA248</f>
        <v>0</v>
      </c>
      <c r="K30" s="106">
        <f>Model!BF248</f>
        <v>0</v>
      </c>
      <c r="L30" s="107">
        <f>Model!BK248</f>
        <v>0</v>
      </c>
      <c r="X30" s="77" t="n"/>
      <c r="Y30" s="77" t="n"/>
      <c r="Z30" s="77" t="n"/>
    </row>
    <row r="31" outlineLevel="1">
      <c r="C31" s="105" t="inlineStr">
        <is>
          <t>Prepaid expenses</t>
        </is>
      </c>
      <c r="D31" s="106">
        <f>Model!W249</f>
        <v>0</v>
      </c>
      <c r="E31" s="106">
        <f>Model!AB249</f>
        <v>0</v>
      </c>
      <c r="F31" s="106">
        <f>Model!AG249</f>
        <v>0</v>
      </c>
      <c r="G31" s="106">
        <f>Model!AL249</f>
        <v>0</v>
      </c>
      <c r="H31" s="106">
        <f>Model!AQ249</f>
        <v>0</v>
      </c>
      <c r="I31" s="106">
        <f>Model!AV249</f>
        <v>0</v>
      </c>
      <c r="J31" s="106">
        <f>Model!BA249</f>
        <v>0</v>
      </c>
      <c r="K31" s="106">
        <f>Model!BF249</f>
        <v>0</v>
      </c>
      <c r="L31" s="107">
        <f>Model!BK249</f>
        <v>0</v>
      </c>
      <c r="X31" s="77" t="n"/>
      <c r="Y31" s="77" t="n"/>
      <c r="Z31" s="77" t="n"/>
    </row>
    <row r="32" outlineLevel="1">
      <c r="C32" s="105" t="inlineStr">
        <is>
          <t>Other current assets</t>
        </is>
      </c>
      <c r="D32" s="106">
        <f>Model!W250</f>
        <v>-2289</v>
      </c>
      <c r="E32" s="106">
        <f>Model!AB250</f>
        <v>-691</v>
      </c>
      <c r="F32" s="106">
        <f>Model!AG250</f>
        <v>591</v>
      </c>
      <c r="G32" s="106">
        <f>Model!AL250</f>
        <v>0</v>
      </c>
      <c r="H32" s="106">
        <f>Model!AQ250</f>
        <v>0</v>
      </c>
      <c r="I32" s="106">
        <f>Model!AV250</f>
        <v>0</v>
      </c>
      <c r="J32" s="106">
        <f>Model!BA250</f>
        <v>0</v>
      </c>
      <c r="K32" s="106">
        <f>Model!BF250</f>
        <v>0</v>
      </c>
      <c r="L32" s="107">
        <f>Model!BK250</f>
        <v>0</v>
      </c>
      <c r="X32" s="77" t="n"/>
      <c r="Y32" s="77" t="n"/>
      <c r="Z32" s="77" t="n"/>
    </row>
    <row r="33" outlineLevel="1">
      <c r="C33" s="105" t="inlineStr">
        <is>
          <t>Accounts payable</t>
        </is>
      </c>
      <c r="D33" s="106">
        <f>Model!W251</f>
        <v>1506</v>
      </c>
      <c r="E33" s="106">
        <f>Model!AB251</f>
        <v>3611</v>
      </c>
      <c r="F33" s="106">
        <f>Model!AG251</f>
        <v>3502</v>
      </c>
      <c r="G33" s="106">
        <f>Model!AL251</f>
        <v>-9812</v>
      </c>
      <c r="H33" s="106">
        <f>Model!AQ251</f>
        <v>0</v>
      </c>
      <c r="I33" s="106">
        <f>Model!AV251</f>
        <v>0</v>
      </c>
      <c r="J33" s="106">
        <f>Model!BA251</f>
        <v>0</v>
      </c>
      <c r="K33" s="106">
        <f>Model!BF251</f>
        <v>0</v>
      </c>
      <c r="L33" s="107">
        <f>Model!BK251</f>
        <v>0</v>
      </c>
      <c r="X33" s="77" t="n"/>
      <c r="Y33" s="77" t="n"/>
      <c r="Z33" s="77" t="n"/>
    </row>
    <row r="34" outlineLevel="1">
      <c r="C34" s="105" t="inlineStr">
        <is>
          <t>Accrued expenses</t>
        </is>
      </c>
      <c r="D34" s="106">
        <f>Model!W252</f>
        <v>2681</v>
      </c>
      <c r="E34" s="106">
        <f>Model!AB252</f>
        <v>4410</v>
      </c>
      <c r="F34" s="106">
        <f>Model!AG252</f>
        <v>7743</v>
      </c>
      <c r="G34" s="106" t="e">
        <f>Model!AL252</f>
        <v>#DIV/0!</v>
      </c>
      <c r="H34" s="106" t="e">
        <f>Model!AQ252</f>
        <v>#DIV/0!</v>
      </c>
      <c r="I34" s="106" t="e">
        <f>Model!AV252</f>
        <v>#DIV/0!</v>
      </c>
      <c r="J34" s="106" t="e">
        <f>Model!BA252</f>
        <v>#DIV/0!</v>
      </c>
      <c r="K34" s="106" t="e">
        <f>Model!BF252</f>
        <v>#DIV/0!</v>
      </c>
      <c r="L34" s="107" t="e">
        <f>Model!BK252</f>
        <v>#DIV/0!</v>
      </c>
      <c r="X34" s="77" t="n"/>
      <c r="Y34" s="77" t="n"/>
      <c r="Z34" s="77" t="n"/>
    </row>
    <row r="35" outlineLevel="1">
      <c r="C35" s="105" t="inlineStr">
        <is>
          <t>Taxes payable</t>
        </is>
      </c>
      <c r="D35" s="106">
        <f>Model!W253</f>
        <v>-171</v>
      </c>
      <c r="E35" s="106">
        <f>Model!AB253</f>
        <v>585</v>
      </c>
      <c r="F35" s="106">
        <f>Model!AG253</f>
        <v>1788</v>
      </c>
      <c r="G35" s="106" t="e">
        <f>Model!AL253</f>
        <v>#DIV/0!</v>
      </c>
      <c r="H35" s="106" t="e">
        <f>Model!AQ253</f>
        <v>#DIV/0!</v>
      </c>
      <c r="I35" s="106" t="e">
        <f>Model!AV253</f>
        <v>#DIV/0!</v>
      </c>
      <c r="J35" s="106" t="e">
        <f>Model!BA253</f>
        <v>#DIV/0!</v>
      </c>
      <c r="K35" s="106" t="e">
        <f>Model!BF253</f>
        <v>#DIV/0!</v>
      </c>
      <c r="L35" s="107" t="e">
        <f>Model!BK253</f>
        <v>#DIV/0!</v>
      </c>
      <c r="X35" s="77" t="n"/>
      <c r="Y35" s="77" t="n"/>
      <c r="Z35" s="77" t="n"/>
    </row>
    <row r="36" outlineLevel="1">
      <c r="C36" s="105" t="inlineStr">
        <is>
          <t>Other current liabilities</t>
        </is>
      </c>
      <c r="D36" s="106">
        <f>Model!W254</f>
        <v>0</v>
      </c>
      <c r="E36" s="106">
        <f>Model!AB254</f>
        <v>0</v>
      </c>
      <c r="F36" s="106">
        <f>Model!AG254</f>
        <v>0</v>
      </c>
      <c r="G36" s="106">
        <f>Model!AL254</f>
        <v>0</v>
      </c>
      <c r="H36" s="106">
        <f>Model!AQ254</f>
        <v>0</v>
      </c>
      <c r="I36" s="106">
        <f>Model!AV254</f>
        <v>0</v>
      </c>
      <c r="J36" s="106">
        <f>Model!BA254</f>
        <v>0</v>
      </c>
      <c r="K36" s="106">
        <f>Model!BF254</f>
        <v>0</v>
      </c>
      <c r="L36" s="107">
        <f>Model!BK254</f>
        <v>0</v>
      </c>
      <c r="X36" s="77" t="n"/>
      <c r="Y36" s="77" t="n"/>
      <c r="Z36" s="77" t="n"/>
    </row>
    <row r="37" outlineLevel="1">
      <c r="C37" s="105" t="inlineStr">
        <is>
          <t>Deferred tax (liabilities)</t>
        </is>
      </c>
      <c r="D37" s="106">
        <f>Model!W255</f>
        <v>215</v>
      </c>
      <c r="E37" s="106">
        <f>Model!AB255</f>
        <v>424</v>
      </c>
      <c r="F37" s="106">
        <f>Model!AG255</f>
        <v>888</v>
      </c>
      <c r="G37" s="106">
        <f>Model!AL255</f>
        <v>0</v>
      </c>
      <c r="H37" s="106">
        <f>Model!AQ255</f>
        <v>0</v>
      </c>
      <c r="I37" s="106">
        <f>Model!AV255</f>
        <v>0</v>
      </c>
      <c r="J37" s="106">
        <f>Model!BA255</f>
        <v>0</v>
      </c>
      <c r="K37" s="106">
        <f>Model!BF255</f>
        <v>0</v>
      </c>
      <c r="L37" s="107">
        <f>Model!BK255</f>
        <v>0</v>
      </c>
      <c r="X37" s="77" t="n"/>
      <c r="Y37" s="77" t="n"/>
      <c r="Z37" s="77" t="n"/>
    </row>
    <row r="38" outlineLevel="1" ht="15" customHeight="1">
      <c r="C38" s="105" t="inlineStr">
        <is>
          <t>Other non-current assets</t>
        </is>
      </c>
      <c r="D38" s="106">
        <f>(Model!W155-Model!R155)*-1</f>
        <v>-680</v>
      </c>
      <c r="E38" s="106">
        <f>(Model!AB155-Model!W155)*-1</f>
        <v>-1925</v>
      </c>
      <c r="F38" s="106">
        <f>(Model!AG155-Model!AB155)*-1</f>
        <v>-24127</v>
      </c>
      <c r="G38" s="106">
        <f>(Model!AL155-Model!AG155)*-1</f>
        <v>0</v>
      </c>
      <c r="H38" s="106">
        <f>(Model!AQ155-Model!AL155)*-1</f>
        <v>0</v>
      </c>
      <c r="I38" s="106">
        <f>(Model!AV155-Model!AQ155)*-1</f>
        <v>0</v>
      </c>
      <c r="J38" s="106">
        <f>(Model!BA155-Model!AV155)*-1</f>
        <v>0</v>
      </c>
      <c r="K38" s="106">
        <f>(Model!BF155-Model!BA155)*-1</f>
        <v>0</v>
      </c>
      <c r="L38" s="107">
        <f>(Model!BK155-Model!BF155)*-1</f>
        <v>0</v>
      </c>
      <c r="M38">
        <f>(Model!BP155-Model!BK155)*-1</f>
        <v>0</v>
      </c>
      <c r="N38">
        <f>(Model!BU155-Model!BP155)*-1</f>
        <v>0</v>
      </c>
      <c r="O38">
        <f>(Model!BZ155-Model!BU155)*-1</f>
        <v>0</v>
      </c>
      <c r="P38">
        <f>(Model!CE155-Model!BZ155)*-1</f>
        <v>0</v>
      </c>
      <c r="Q38">
        <f>(Model!CJ155-Model!CE155)*-1</f>
        <v>0</v>
      </c>
      <c r="R38">
        <f>(Model!CO155-Model!CJ155)*-1</f>
        <v>0</v>
      </c>
      <c r="X38" s="77" t="n"/>
      <c r="Y38" s="77" t="n"/>
      <c r="Z38" s="77" t="n"/>
    </row>
    <row r="39" outlineLevel="1" ht="15" customHeight="1">
      <c r="C39" s="105" t="inlineStr">
        <is>
          <t>Other non-current liabilities</t>
        </is>
      </c>
      <c r="D39" s="106">
        <f>Model!W206-Model!R206</f>
        <v>413</v>
      </c>
      <c r="E39" s="106">
        <f>Model!AB206-Model!W206</f>
        <v>1280</v>
      </c>
      <c r="F39" s="106">
        <f>Model!AG206-Model!AB206</f>
        <v>2173</v>
      </c>
      <c r="G39" s="106">
        <f>Model!AL206-Model!AG206</f>
        <v>0</v>
      </c>
      <c r="H39" s="106">
        <f>Model!AQ206-Model!AL206</f>
        <v>0</v>
      </c>
      <c r="I39" s="106">
        <f>Model!AV206-Model!AQ206</f>
        <v>0</v>
      </c>
      <c r="J39" s="106">
        <f>Model!BA206-Model!AV206</f>
        <v>0</v>
      </c>
      <c r="K39" s="106">
        <f>Model!BF206-Model!BA206</f>
        <v>0</v>
      </c>
      <c r="L39" s="107">
        <f>Model!BK206-Model!BF206</f>
        <v>0</v>
      </c>
      <c r="M39">
        <f>Model!BP206-Model!BK206</f>
        <v>0</v>
      </c>
      <c r="N39">
        <f>Model!BU206-Model!BP206</f>
        <v>0</v>
      </c>
      <c r="O39">
        <f>Model!BZ206-Model!BU206</f>
        <v>0</v>
      </c>
      <c r="P39">
        <f>Model!CE206-Model!BZ206</f>
        <v>0</v>
      </c>
      <c r="Q39">
        <f>Model!CJ206-Model!CE206</f>
        <v>0</v>
      </c>
      <c r="R39">
        <f>Model!CO206-Model!CJ206</f>
        <v>0</v>
      </c>
      <c r="X39" s="77" t="n"/>
      <c r="Y39" s="77" t="n"/>
      <c r="Z39" s="77" t="n"/>
    </row>
    <row r="40">
      <c r="C40" s="105" t="inlineStr">
        <is>
          <t>Capital expenditures</t>
        </is>
      </c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7" t="n"/>
      <c r="X40" s="77" t="n"/>
      <c r="Y40" s="77" t="n"/>
      <c r="Z40" s="77" t="n"/>
    </row>
    <row r="41">
      <c r="C41" s="105" t="inlineStr">
        <is>
          <t>Capital expenditures [IFRS16 - implied lease payments]</t>
        </is>
      </c>
      <c r="F41" s="106" t="n"/>
      <c r="G41" s="106" t="n"/>
      <c r="H41" s="106" t="n"/>
      <c r="I41" s="106" t="n"/>
      <c r="J41" s="106" t="n"/>
      <c r="K41" s="106" t="n"/>
      <c r="L41" s="107" t="n"/>
      <c r="X41" s="77" t="n"/>
      <c r="Y41" s="77" t="n"/>
      <c r="Z41" s="77" t="n"/>
    </row>
    <row r="42">
      <c r="C42" s="108" t="inlineStr">
        <is>
          <t>Purchase of intangible assets</t>
        </is>
      </c>
      <c r="D42" s="109" t="n">
        <v>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0</v>
      </c>
      <c r="J42" s="109" t="n">
        <v>0</v>
      </c>
      <c r="K42" s="109" t="n">
        <v>0</v>
      </c>
      <c r="L42" s="110" t="n">
        <v>0</v>
      </c>
      <c r="M42" s="111" t="n"/>
      <c r="X42" s="77" t="n"/>
      <c r="Y42" s="77" t="n"/>
      <c r="Z42" s="77" t="n"/>
      <c r="AB42" s="68" t="n"/>
    </row>
    <row r="43">
      <c r="X43" s="77" t="n"/>
      <c r="Y43" s="77" t="n"/>
      <c r="Z43" s="77" t="n"/>
    </row>
    <row r="44">
      <c r="C44" s="82" t="inlineStr">
        <is>
          <t>Net Investments</t>
        </is>
      </c>
      <c r="D44" s="103">
        <f>SUM(D27+D40+D41+D42+D26)</f>
        <v>-8813</v>
      </c>
      <c r="E44" s="103">
        <f>SUM(E27+E40+E41+E42+E26)</f>
        <v>-16932</v>
      </c>
      <c r="F44" s="103">
        <f>SUM(F27+F40+F41+F42+F26)</f>
        <v>-39288</v>
      </c>
      <c r="G44" s="103" t="e">
        <f>SUM(G27+G40+G41+G42+G26)</f>
        <v>#DIV/0!</v>
      </c>
      <c r="H44" s="103" t="e">
        <f>SUM(H27+H40+H41+H42+H26)</f>
        <v>#DIV/0!</v>
      </c>
      <c r="I44" s="103" t="e">
        <f>SUM(I27+I40+I41+I42+I26)</f>
        <v>#DIV/0!</v>
      </c>
      <c r="J44" s="103" t="e">
        <f>SUM(J27+J40+J41+J42+J26)</f>
        <v>#DIV/0!</v>
      </c>
      <c r="K44" s="103" t="e">
        <f>SUM(K27+K40+K41+K42+K26)</f>
        <v>#DIV/0!</v>
      </c>
      <c r="L44" s="103" t="e">
        <f>SUM(L27+L40+L41+L42+L26)</f>
        <v>#DIV/0!</v>
      </c>
      <c r="M44" s="112">
        <f>+L46-M46</f>
        <v>0</v>
      </c>
      <c r="N44" s="103">
        <f>+M46-N46</f>
        <v>0</v>
      </c>
      <c r="O44" s="103">
        <f>+N46-O46</f>
        <v>0</v>
      </c>
      <c r="P44" s="103">
        <f>+O46-P46</f>
        <v>0</v>
      </c>
      <c r="Q44" s="103">
        <f>+P46-Q46</f>
        <v>0</v>
      </c>
      <c r="R44" s="103">
        <f>+Q46-R46</f>
        <v>0</v>
      </c>
      <c r="S44" s="103" t="n"/>
      <c r="T44" s="103" t="n"/>
      <c r="U44" s="103" t="n"/>
      <c r="V44" s="104" t="n"/>
      <c r="X44" s="77" t="n"/>
      <c r="Y44" s="111" t="n"/>
      <c r="Z44" s="77" t="n"/>
    </row>
    <row r="45">
      <c r="C45" s="113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V45" s="114" t="n"/>
      <c r="X45" s="77" t="n"/>
      <c r="Y45" s="77" t="n"/>
      <c r="Z45" s="77" t="n"/>
    </row>
    <row r="46">
      <c r="C46" s="113" t="inlineStr">
        <is>
          <t>Invested Capital</t>
        </is>
      </c>
      <c r="D46" s="106">
        <f>Model!W316</f>
        <v>0</v>
      </c>
      <c r="E46" s="106">
        <f>Model!AB316</f>
        <v>0</v>
      </c>
      <c r="F46" s="106">
        <f>Model!AG316</f>
        <v>0</v>
      </c>
      <c r="G46" s="106">
        <f>Model!AL316</f>
        <v>0</v>
      </c>
      <c r="H46" s="106">
        <f>Model!AQ316</f>
        <v>0</v>
      </c>
      <c r="I46" s="106">
        <f>Model!AV316</f>
        <v>0</v>
      </c>
      <c r="J46" s="106">
        <f>Model!BA316</f>
        <v>0</v>
      </c>
      <c r="K46" s="106">
        <f>Model!BF316</f>
        <v>0</v>
      </c>
      <c r="L46" s="106">
        <f>Model!BK316</f>
        <v>0</v>
      </c>
      <c r="M46" s="115">
        <f>Model!BP316</f>
        <v>0</v>
      </c>
      <c r="N46" s="115">
        <f>Model!BU316</f>
        <v>0</v>
      </c>
      <c r="O46" s="115">
        <f>Model!BZ316</f>
        <v>0</v>
      </c>
      <c r="P46" s="115">
        <f>Model!CE316</f>
        <v>0</v>
      </c>
      <c r="Q46" s="115">
        <f>Model!CJ316</f>
        <v>0</v>
      </c>
      <c r="R46" s="115">
        <f>Model!CO316</f>
        <v>0</v>
      </c>
      <c r="S46" s="115" t="n"/>
      <c r="T46" s="115" t="n"/>
      <c r="U46" s="115" t="n"/>
      <c r="V46" s="116" t="n"/>
      <c r="X46" s="111" t="n"/>
      <c r="Y46" s="111" t="n"/>
      <c r="Z46" s="77" t="n"/>
    </row>
    <row r="47" ht="15" customHeight="1">
      <c r="C47" s="113" t="inlineStr">
        <is>
          <t>Invested Capital (ex Goodwill)</t>
        </is>
      </c>
      <c r="D47" s="106">
        <f>Model!W317</f>
        <v>0</v>
      </c>
      <c r="E47" s="106">
        <f>Model!AB317</f>
        <v>0</v>
      </c>
      <c r="F47" s="106">
        <f>Model!AG317</f>
        <v>0</v>
      </c>
      <c r="G47" s="106">
        <f>Model!AL317</f>
        <v>0</v>
      </c>
      <c r="H47" s="106">
        <f>Model!AQ317</f>
        <v>0</v>
      </c>
      <c r="I47" s="106">
        <f>Model!AV317</f>
        <v>0</v>
      </c>
      <c r="J47" s="106">
        <f>Model!BA317</f>
        <v>0</v>
      </c>
      <c r="K47" s="106">
        <f>Model!BF317</f>
        <v>0</v>
      </c>
      <c r="L47" s="106">
        <f>Model!BK317</f>
        <v>0</v>
      </c>
      <c r="M47">
        <f>Model!BP317</f>
        <v>0</v>
      </c>
      <c r="N47">
        <f>Model!BU317</f>
        <v>0</v>
      </c>
      <c r="O47">
        <f>Model!BZ317</f>
        <v>0</v>
      </c>
      <c r="P47">
        <f>Model!CE317</f>
        <v>0</v>
      </c>
      <c r="Q47">
        <f>Model!CJ317</f>
        <v>0</v>
      </c>
      <c r="R47">
        <f>Model!CO317</f>
        <v>0</v>
      </c>
      <c r="V47" s="114" t="n"/>
      <c r="X47" s="77" t="n"/>
      <c r="Y47" s="77" t="n"/>
      <c r="Z47" s="77" t="n"/>
    </row>
    <row r="48">
      <c r="C48" s="86" t="inlineStr">
        <is>
          <t>Invested Capital / Net Revenues</t>
        </is>
      </c>
      <c r="D48" s="92">
        <f>D46/D18</f>
        <v>0</v>
      </c>
      <c r="E48" s="92">
        <f>E46/E18</f>
        <v>0</v>
      </c>
      <c r="F48" s="92">
        <f>F46/F18</f>
        <v>0</v>
      </c>
      <c r="G48" s="92">
        <f>G46/G18</f>
        <v>0</v>
      </c>
      <c r="H48" s="92">
        <f>H46/H18</f>
        <v>0</v>
      </c>
      <c r="I48" s="92">
        <f>I46/I18</f>
        <v>0</v>
      </c>
      <c r="J48" s="92">
        <f>J46/J18</f>
        <v>0</v>
      </c>
      <c r="K48" s="92">
        <f>K46/K18</f>
        <v>0</v>
      </c>
      <c r="L48" s="92">
        <f>L46/L18</f>
        <v>0</v>
      </c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8" t="n"/>
      <c r="X48" s="76" t="inlineStr">
        <is>
          <t>ROIC</t>
        </is>
      </c>
      <c r="Y48" s="77" t="n"/>
      <c r="Z48" s="77" t="n"/>
    </row>
    <row r="49">
      <c r="X49" s="77">
        <f>F16</f>
        <v>2025</v>
      </c>
      <c r="Y49" s="77">
        <f>L16</f>
        <v>2031</v>
      </c>
      <c r="Z49" s="77">
        <f>R16</f>
        <v>2037</v>
      </c>
    </row>
    <row r="50">
      <c r="C50" s="119" t="inlineStr">
        <is>
          <t>ROIC</t>
        </is>
      </c>
      <c r="D50" s="120" t="n"/>
      <c r="E50" s="120" t="n"/>
      <c r="F50" s="120" t="n"/>
      <c r="G50" s="120" t="e">
        <v>#VALUE!</v>
      </c>
      <c r="H50" s="120" t="e">
        <v>#VALUE!</v>
      </c>
      <c r="I50" s="120" t="e">
        <v>#VALUE!</v>
      </c>
      <c r="J50" s="120" t="e">
        <v>#VALUE!</v>
      </c>
      <c r="K50" s="120" t="e">
        <v>#VALUE!</v>
      </c>
      <c r="L50" s="120" t="e">
        <v>#VALUE!</v>
      </c>
      <c r="M50" s="121" t="e">
        <f>M25/AVERAGE(L46,M46)</f>
        <v>#DIV/0!</v>
      </c>
      <c r="N50" s="121" t="e">
        <f>N25/AVERAGE(M46,N46)</f>
        <v>#DIV/0!</v>
      </c>
      <c r="O50" s="121" t="e">
        <f>O25/AVERAGE(N46,O46)</f>
        <v>#DIV/0!</v>
      </c>
      <c r="P50" s="121" t="e">
        <f>P25/AVERAGE(O46,P46)</f>
        <v>#DIV/0!</v>
      </c>
      <c r="Q50" s="121" t="e">
        <f>Q25/AVERAGE(P46,Q46)</f>
        <v>#DIV/0!</v>
      </c>
      <c r="R50" s="121" t="e">
        <f>R25/AVERAGE(Q46,R46)</f>
        <v>#DIV/0!</v>
      </c>
      <c r="S50" s="121" t="n"/>
      <c r="T50" s="121" t="n"/>
      <c r="U50" s="121" t="n"/>
      <c r="V50" s="122" t="n"/>
      <c r="X50" s="85">
        <f>F50</f>
        <v>0</v>
      </c>
      <c r="Y50" s="85" t="e">
        <f>L50</f>
        <v>#VALUE!</v>
      </c>
      <c r="Z50" s="123" t="e">
        <f>R50</f>
        <v>#DIV/0!</v>
      </c>
    </row>
    <row r="51">
      <c r="C51" s="68" t="inlineStr">
        <is>
          <t>Capital Turnover</t>
        </is>
      </c>
      <c r="D51" s="124" t="e">
        <f>D18/D46</f>
        <v>#DIV/0!</v>
      </c>
      <c r="E51" s="124" t="e">
        <f>E18/E46</f>
        <v>#DIV/0!</v>
      </c>
      <c r="F51" s="124" t="e">
        <f>F18/F46</f>
        <v>#DIV/0!</v>
      </c>
      <c r="G51" s="124" t="e">
        <f>G18/G46</f>
        <v>#DIV/0!</v>
      </c>
      <c r="H51" s="124" t="e">
        <f>H18/H46</f>
        <v>#DIV/0!</v>
      </c>
      <c r="I51" s="124" t="e">
        <f>I18/I46</f>
        <v>#DIV/0!</v>
      </c>
      <c r="J51" s="124" t="e">
        <f>J18/J46</f>
        <v>#DIV/0!</v>
      </c>
      <c r="K51" s="124" t="e">
        <f>K18/K46</f>
        <v>#DIV/0!</v>
      </c>
      <c r="L51" s="124" t="e">
        <f>L18/L46</f>
        <v>#DIV/0!</v>
      </c>
      <c r="M51" s="124" t="e">
        <f>M18/M46</f>
        <v>#DIV/0!</v>
      </c>
      <c r="N51" s="124" t="e">
        <f>N18/N46</f>
        <v>#DIV/0!</v>
      </c>
      <c r="O51" s="124" t="e">
        <f>O18/O46</f>
        <v>#DIV/0!</v>
      </c>
      <c r="P51" s="124" t="e">
        <f>P18/P46</f>
        <v>#DIV/0!</v>
      </c>
      <c r="Q51" s="124" t="e">
        <f>Q18/Q46</f>
        <v>#DIV/0!</v>
      </c>
      <c r="R51" s="124" t="e">
        <f>R18/R46</f>
        <v>#DIV/0!</v>
      </c>
      <c r="S51" s="124" t="n"/>
      <c r="T51" s="124" t="n"/>
      <c r="U51" s="124" t="n"/>
      <c r="V51" s="124" t="n"/>
    </row>
    <row r="52"/>
    <row r="53" customFormat="1" s="68">
      <c r="A53" s="249" t="n"/>
      <c r="B53" s="249" t="n"/>
      <c r="C53" s="68" t="inlineStr">
        <is>
          <t>Unlevered free cash flows = FCFF</t>
        </is>
      </c>
      <c r="D53" s="125">
        <f>D25+D44</f>
        <v>20202.5159973978</v>
      </c>
      <c r="E53" s="125">
        <f>E25+E44</f>
        <v>53716.3069526099</v>
      </c>
      <c r="F53" s="125">
        <f>F25+F44</f>
        <v>71388.3939837398</v>
      </c>
      <c r="G53" s="126" t="e">
        <f>(G25+G44)*stub_year_fraction</f>
        <v>#DIV/0!</v>
      </c>
      <c r="H53" s="125" t="e">
        <f>H25+H44</f>
        <v>#DIV/0!</v>
      </c>
      <c r="I53" s="125" t="e">
        <f>I25+I44</f>
        <v>#DIV/0!</v>
      </c>
      <c r="J53" s="125" t="e">
        <f>J25+J44</f>
        <v>#DIV/0!</v>
      </c>
      <c r="K53" s="125" t="e">
        <f>K25+K44</f>
        <v>#DIV/0!</v>
      </c>
      <c r="L53" s="125" t="e">
        <f>L25+L44</f>
        <v>#DIV/0!</v>
      </c>
      <c r="M53" s="125">
        <f>M25+M44</f>
        <v>0</v>
      </c>
      <c r="N53" s="125">
        <f>N25+N44</f>
        <v>0</v>
      </c>
      <c r="O53" s="125">
        <f>O25+O44</f>
        <v>0</v>
      </c>
      <c r="P53" s="125">
        <f>P25+P44</f>
        <v>0</v>
      </c>
      <c r="Q53" s="125">
        <f>Q25+Q44</f>
        <v>0</v>
      </c>
      <c r="R53" s="125">
        <f>R25+R44</f>
        <v>0</v>
      </c>
      <c r="S53" s="125" t="n"/>
      <c r="T53" s="125" t="n"/>
      <c r="U53" s="125" t="n"/>
      <c r="V53" s="125" t="n"/>
    </row>
    <row r="54">
      <c r="C54" s="127" t="inlineStr">
        <is>
          <t>Discount factor</t>
        </is>
      </c>
      <c r="G54" s="128" t="e">
        <f>1/(1+wacc)^stub_year_fraction</f>
        <v>#DIV/0!</v>
      </c>
      <c r="H54" s="128" t="e">
        <f>1/(1+wacc)^(1+stub_year_fraction)</f>
        <v>#DIV/0!</v>
      </c>
      <c r="I54" s="128" t="e">
        <f>1/(1+wacc)^(2+stub_year_fraction)</f>
        <v>#DIV/0!</v>
      </c>
      <c r="J54" s="128" t="e">
        <f>1/(1+wacc)^(3+stub_year_fraction)</f>
        <v>#DIV/0!</v>
      </c>
      <c r="K54" s="128" t="e">
        <f>1/(1+wacc)^(4+stub_year_fraction)</f>
        <v>#DIV/0!</v>
      </c>
      <c r="L54" s="128" t="e">
        <f>1/(1+wacc)^(5+stub_year_fraction)</f>
        <v>#DIV/0!</v>
      </c>
      <c r="M54" s="128" t="e">
        <f>1/(1+wacc)^(6+stub_year_fraction)</f>
        <v>#DIV/0!</v>
      </c>
      <c r="N54" s="128" t="e">
        <f>1/(1+wacc)^(7+stub_year_fraction)</f>
        <v>#DIV/0!</v>
      </c>
      <c r="O54" s="128" t="e">
        <f>1/(1+wacc)^(8+stub_year_fraction)</f>
        <v>#DIV/0!</v>
      </c>
      <c r="P54" s="128" t="e">
        <f>1/(1+wacc)^(9+stub_year_fraction)</f>
        <v>#DIV/0!</v>
      </c>
      <c r="Q54" s="128" t="e">
        <f>1/(1+wacc)^(10+stub_year_fraction)</f>
        <v>#DIV/0!</v>
      </c>
      <c r="R54" s="128" t="e">
        <f>1/(1+wacc)^(11+stub_year_fraction)</f>
        <v>#DIV/0!</v>
      </c>
      <c r="S54" s="128" t="n"/>
      <c r="T54" s="128" t="n"/>
      <c r="U54" s="128" t="n"/>
      <c r="V54" s="128" t="n"/>
    </row>
    <row r="55">
      <c r="C55" s="127" t="inlineStr">
        <is>
          <t>Midyear adjustment factor</t>
        </is>
      </c>
      <c r="G55" s="129" t="e">
        <f>(1+wacc)^(stub_year_fraction/2)</f>
        <v>#DIV/0!</v>
      </c>
      <c r="H55" s="128" t="e">
        <f>(1+wacc)^0.5</f>
        <v>#DIV/0!</v>
      </c>
      <c r="I55" s="128" t="e">
        <f>(1+wacc)^0.5</f>
        <v>#DIV/0!</v>
      </c>
      <c r="J55" s="128" t="e">
        <f>(1+wacc)^0.5</f>
        <v>#DIV/0!</v>
      </c>
      <c r="K55" s="128" t="e">
        <f>(1+wacc)^0.5</f>
        <v>#DIV/0!</v>
      </c>
      <c r="L55" s="128" t="e">
        <f>(1+wacc)^0.5</f>
        <v>#DIV/0!</v>
      </c>
      <c r="M55" s="128" t="e">
        <f>(1+wacc)^0.5</f>
        <v>#DIV/0!</v>
      </c>
      <c r="N55" s="128" t="e">
        <f>(1+wacc)^0.5</f>
        <v>#DIV/0!</v>
      </c>
      <c r="O55" s="128" t="e">
        <f>(1+wacc)^0.5</f>
        <v>#DIV/0!</v>
      </c>
      <c r="P55" s="128" t="e">
        <f>(1+wacc)^0.5</f>
        <v>#DIV/0!</v>
      </c>
      <c r="Q55" s="128" t="e">
        <f>(1+wacc)^0.5</f>
        <v>#DIV/0!</v>
      </c>
      <c r="R55" s="128" t="e">
        <f>(1+wacc)^0.5</f>
        <v>#DIV/0!</v>
      </c>
      <c r="S55" s="128" t="n"/>
      <c r="T55" s="128" t="n"/>
      <c r="U55" s="128" t="n"/>
      <c r="V55" s="128" t="n"/>
    </row>
    <row r="56">
      <c r="C56" s="127" t="inlineStr">
        <is>
          <t>Present value of free cash flows</t>
        </is>
      </c>
      <c r="G56" s="111" t="e">
        <f>G54*G53*G55</f>
        <v>#DIV/0!</v>
      </c>
      <c r="H56" s="111" t="e">
        <f>H54*H53*H55</f>
        <v>#DIV/0!</v>
      </c>
      <c r="I56" s="111" t="e">
        <f>I54*I53*I55</f>
        <v>#DIV/0!</v>
      </c>
      <c r="J56" s="111" t="e">
        <f>J54*J53*J55</f>
        <v>#DIV/0!</v>
      </c>
      <c r="K56" s="111" t="e">
        <f>K54*K53*K55</f>
        <v>#DIV/0!</v>
      </c>
      <c r="L56" s="111" t="e">
        <f>L54*L53*L55</f>
        <v>#DIV/0!</v>
      </c>
      <c r="M56" s="111" t="e">
        <f>M54*M53*M55</f>
        <v>#DIV/0!</v>
      </c>
      <c r="N56" s="111" t="e">
        <f>N54*N53*N55</f>
        <v>#DIV/0!</v>
      </c>
      <c r="O56" s="111" t="e">
        <f>O54*O53*O55</f>
        <v>#DIV/0!</v>
      </c>
      <c r="P56" s="111" t="e">
        <f>P54*P53*P55</f>
        <v>#DIV/0!</v>
      </c>
      <c r="Q56" s="111" t="e">
        <f>Q54*Q53*Q55</f>
        <v>#DIV/0!</v>
      </c>
      <c r="R56" s="111" t="e">
        <f>R54*R53*R55</f>
        <v>#DIV/0!</v>
      </c>
      <c r="S56" s="111" t="n"/>
      <c r="T56" s="111" t="n"/>
      <c r="U56" s="111" t="n"/>
      <c r="V56" s="111" t="n"/>
    </row>
    <row r="57">
      <c r="C57" s="68" t="inlineStr">
        <is>
          <t>Sum of present values of FCFs</t>
        </is>
      </c>
      <c r="G57" s="125" t="e">
        <f>SUM(G56:R56)</f>
        <v>#DIV/0!</v>
      </c>
      <c r="H57" s="111" t="n"/>
      <c r="N57" s="130" t="n"/>
    </row>
    <row r="59">
      <c r="C59" s="68" t="n"/>
      <c r="D59" s="61" t="n">
        <v>50405</v>
      </c>
      <c r="E59" s="131" t="n"/>
      <c r="F59" s="132" t="n"/>
      <c r="G59" s="132" t="n"/>
      <c r="H59" s="61" t="n">
        <v>46022</v>
      </c>
      <c r="I59" s="132" t="n"/>
      <c r="J59" s="132" t="n"/>
      <c r="K59" s="132" t="n"/>
      <c r="L59" s="132" t="n"/>
    </row>
    <row r="60" ht="13.5" customHeight="1" thickBot="1">
      <c r="C60" s="133" t="inlineStr">
        <is>
          <t>Terminal value</t>
        </is>
      </c>
      <c r="D60" s="134" t="n"/>
      <c r="E60" s="135" t="inlineStr">
        <is>
          <t>Equity value calculations</t>
        </is>
      </c>
      <c r="F60" s="136" t="n"/>
      <c r="G60" s="136" t="n"/>
      <c r="H60" s="136" t="n"/>
      <c r="I60" s="137" t="inlineStr">
        <is>
          <t xml:space="preserve"> Shares Outstanding Worksheet</t>
        </is>
      </c>
      <c r="J60" s="138" t="n"/>
      <c r="K60" s="139" t="n"/>
      <c r="L60" s="140" t="n"/>
    </row>
    <row r="61">
      <c r="C61" s="113" t="n"/>
      <c r="D61" s="114" t="n"/>
      <c r="I61" s="113" t="n"/>
      <c r="L61" s="114" t="n"/>
    </row>
    <row r="62">
      <c r="C62" s="141" t="inlineStr">
        <is>
          <t>Key value driver method</t>
        </is>
      </c>
      <c r="D62" s="142" t="n"/>
      <c r="E62" s="143" t="inlineStr">
        <is>
          <t>Enterprise value</t>
        </is>
      </c>
      <c r="H62" s="125" t="e">
        <f>D80</f>
        <v>#DIV/0!</v>
      </c>
      <c r="I62" s="144" t="inlineStr">
        <is>
          <t>Basic Shares Outanding :</t>
        </is>
      </c>
      <c r="J62" s="63" t="n"/>
      <c r="L62" s="145" t="n"/>
    </row>
    <row r="63" ht="13.5" customHeight="1" thickBot="1">
      <c r="C63" s="141" t="inlineStr">
        <is>
          <t>g</t>
        </is>
      </c>
      <c r="D63" s="146" t="n"/>
      <c r="E63" s="147" t="inlineStr">
        <is>
          <t>Calculation of net debt:</t>
        </is>
      </c>
      <c r="H63" s="111" t="n"/>
      <c r="I63" s="144" t="inlineStr">
        <is>
          <t>Current Share Price:</t>
        </is>
      </c>
      <c r="L63" s="148" t="n"/>
    </row>
    <row r="64" ht="13.5" customHeight="1" thickBot="1">
      <c r="C64" s="141" t="inlineStr">
        <is>
          <t>RONIC</t>
        </is>
      </c>
      <c r="D64" s="149" t="e">
        <f>R50</f>
        <v>#DIV/0!</v>
      </c>
      <c r="E64" s="127" t="inlineStr">
        <is>
          <t>Current portion of long-term debt</t>
        </is>
      </c>
      <c r="H64" s="107" t="n"/>
      <c r="I64" s="150" t="inlineStr">
        <is>
          <t>Options / Warrants Data</t>
        </is>
      </c>
      <c r="J64" s="79" t="n"/>
      <c r="K64" s="79" t="n"/>
      <c r="L64" s="151" t="n"/>
    </row>
    <row r="65">
      <c r="C65" s="141" t="inlineStr">
        <is>
          <t>NOPLAT (t+1)</t>
        </is>
      </c>
      <c r="D65" s="152">
        <f>SUMIFS(INDEX($C$17:$AQ$42,,MATCH(D$59,$C$17:$AQ$17,0)),$C$17:$C$42,"NOPLAT")*(1+D63)</f>
        <v>0</v>
      </c>
      <c r="E65" s="127" t="inlineStr">
        <is>
          <t>Short term debt</t>
        </is>
      </c>
      <c r="H65" s="107" t="n"/>
      <c r="I65" s="150" t="n"/>
      <c r="J65" s="153" t="inlineStr">
        <is>
          <t># of options</t>
        </is>
      </c>
      <c r="K65" s="153" t="inlineStr">
        <is>
          <t xml:space="preserve">$ strike </t>
        </is>
      </c>
      <c r="L65" s="151" t="inlineStr">
        <is>
          <t># In-the-$</t>
        </is>
      </c>
    </row>
    <row r="66">
      <c r="C66" s="141" t="inlineStr">
        <is>
          <t>Terminal value</t>
        </is>
      </c>
      <c r="D66" s="152" t="e">
        <f>(noplat_t1*(1-(g/ronic)))/(wacc-g)</f>
        <v>#DIV/0!</v>
      </c>
      <c r="E66" s="127" t="inlineStr">
        <is>
          <t>Long term debt</t>
        </is>
      </c>
      <c r="H66" s="107" t="n"/>
      <c r="I66" s="127" t="inlineStr">
        <is>
          <t>Batch 1</t>
        </is>
      </c>
      <c r="J66" s="154" t="n"/>
      <c r="K66" s="155" t="n"/>
      <c r="L66" s="156">
        <f>IF($K66&lt;$L$62,J66,0)</f>
        <v>0</v>
      </c>
    </row>
    <row r="67">
      <c r="C67" s="141" t="inlineStr">
        <is>
          <t>Midyear adjusted terminal value</t>
        </is>
      </c>
      <c r="D67" s="152" t="e">
        <f>D66*R55</f>
        <v>#DIV/0!</v>
      </c>
      <c r="E67" s="127" t="inlineStr">
        <is>
          <t>Convertible debt</t>
        </is>
      </c>
      <c r="H67" s="107" t="n"/>
      <c r="I67" s="127" t="inlineStr">
        <is>
          <t>Batch 2</t>
        </is>
      </c>
      <c r="J67" s="157" t="n"/>
      <c r="K67" s="158" t="n"/>
      <c r="L67" s="156">
        <f>IF($K67&lt;$L$61,J67,0)</f>
        <v>0</v>
      </c>
    </row>
    <row r="68">
      <c r="C68" s="141" t="inlineStr">
        <is>
          <t>Present value of terminal value</t>
        </is>
      </c>
      <c r="D68" s="152" t="e">
        <f>D67*R54</f>
        <v>#DIV/0!</v>
      </c>
      <c r="E68" s="127" t="inlineStr">
        <is>
          <t>Minority interest</t>
        </is>
      </c>
      <c r="H68" s="107" t="n"/>
      <c r="I68" s="127" t="inlineStr">
        <is>
          <t>Batch 3</t>
        </is>
      </c>
      <c r="J68" s="157" t="n"/>
      <c r="K68" s="158" t="n"/>
      <c r="L68" s="156">
        <f>IF($K68&lt;$L$61,J68,0)</f>
        <v>0</v>
      </c>
    </row>
    <row r="69">
      <c r="C69" s="144" t="inlineStr">
        <is>
          <t>Enterprise value</t>
        </is>
      </c>
      <c r="D69" s="159" t="e">
        <f>D68+G57</f>
        <v>#DIV/0!</v>
      </c>
      <c r="E69" s="127" t="inlineStr">
        <is>
          <t>Convertible preferred stock</t>
        </is>
      </c>
      <c r="H69" s="107" t="n"/>
      <c r="I69" s="127" t="inlineStr">
        <is>
          <t>Batch 4</t>
        </is>
      </c>
      <c r="J69" s="157" t="n"/>
      <c r="K69" s="158" t="n"/>
      <c r="L69" s="156">
        <f>IF($K69&lt;$L$61,J69,0)</f>
        <v>0</v>
      </c>
    </row>
    <row r="70">
      <c r="C70" s="113" t="n"/>
      <c r="D70" s="114" t="n"/>
      <c r="E70" s="127" t="inlineStr">
        <is>
          <t>Short term operating leases</t>
        </is>
      </c>
      <c r="H70" s="107" t="n"/>
      <c r="I70" s="127" t="inlineStr">
        <is>
          <t>Batch 5</t>
        </is>
      </c>
      <c r="J70" s="157" t="n"/>
      <c r="K70" s="158" t="n"/>
      <c r="L70" s="156">
        <f>IF($K70&lt;$L$61,J70,0)</f>
        <v>0</v>
      </c>
    </row>
    <row r="71">
      <c r="C71" s="141" t="inlineStr">
        <is>
          <t>Exit multiple method</t>
        </is>
      </c>
      <c r="D71" s="142" t="n"/>
      <c r="E71" s="127" t="inlineStr">
        <is>
          <t>Long term operating leases</t>
        </is>
      </c>
      <c r="H71" s="107" t="n"/>
      <c r="I71" s="150" t="inlineStr">
        <is>
          <t>Batch 6</t>
        </is>
      </c>
      <c r="J71" s="160" t="n"/>
      <c r="K71" s="161" t="n"/>
      <c r="L71" s="162">
        <f>IF($K71&lt;$L$61,J71,0)</f>
        <v>0</v>
      </c>
    </row>
    <row r="72">
      <c r="C72" s="144" t="inlineStr">
        <is>
          <t>Exit EV / EBITDA multiple</t>
        </is>
      </c>
      <c r="D72" s="163" t="n"/>
      <c r="E72" s="147" t="inlineStr">
        <is>
          <t>Less: Excess cash</t>
        </is>
      </c>
      <c r="H72" s="107" t="n"/>
      <c r="J72" s="132" t="n"/>
      <c r="K72" s="164" t="inlineStr">
        <is>
          <t>Total in-the-$ options:</t>
        </is>
      </c>
      <c r="L72" s="156">
        <f>SUM(L66:L71)</f>
        <v>0</v>
      </c>
    </row>
    <row r="73">
      <c r="C73" s="144" t="inlineStr">
        <is>
          <t>LTM EBITDA at end of projection</t>
        </is>
      </c>
      <c r="D73" s="159">
        <f>L20</f>
        <v>0</v>
      </c>
      <c r="E73" s="147" t="inlineStr">
        <is>
          <t>Less: Equity investments</t>
        </is>
      </c>
      <c r="H73" s="107" t="n"/>
      <c r="J73" s="132" t="n"/>
      <c r="K73" s="164" t="inlineStr">
        <is>
          <t>Total $ proceeds:</t>
        </is>
      </c>
      <c r="L73" s="165">
        <f>SUMPRODUCT(K66:K71,L66:L71)</f>
        <v>0</v>
      </c>
    </row>
    <row r="74">
      <c r="C74" s="144" t="inlineStr">
        <is>
          <t>Terminal value</t>
        </is>
      </c>
      <c r="D74" s="159">
        <f>D73*D72</f>
        <v>0</v>
      </c>
      <c r="E74" s="127" t="inlineStr">
        <is>
          <t>Net debt</t>
        </is>
      </c>
      <c r="H74" s="159">
        <f>SUM(H64:H73)</f>
        <v>0</v>
      </c>
      <c r="J74" s="132" t="n"/>
      <c r="K74" s="164" t="inlineStr">
        <is>
          <t>Total shares repurchased:</t>
        </is>
      </c>
      <c r="L74" s="156" t="e">
        <f>L73/L63</f>
        <v>#DIV/0!</v>
      </c>
    </row>
    <row r="75">
      <c r="C75" s="144" t="inlineStr">
        <is>
          <t>Present value of terminal value</t>
        </is>
      </c>
      <c r="D75" s="159" t="e">
        <f>D74*L54</f>
        <v>#DIV/0!</v>
      </c>
      <c r="E75" s="143" t="inlineStr">
        <is>
          <t>Equity value</t>
        </is>
      </c>
      <c r="H75" s="152" t="e">
        <f>D80-H74</f>
        <v>#DIV/0!</v>
      </c>
      <c r="J75" s="132" t="n"/>
      <c r="K75" s="166" t="inlineStr">
        <is>
          <t>Basic shares outstanding</t>
        </is>
      </c>
      <c r="L75" s="142">
        <f>L62</f>
        <v>0</v>
      </c>
    </row>
    <row r="76" ht="13.5" customHeight="1" thickBot="1">
      <c r="C76" s="144" t="inlineStr">
        <is>
          <t>Enterprise value</t>
        </is>
      </c>
      <c r="D76" s="159" t="e">
        <f>G57+D75</f>
        <v>#DIV/0!</v>
      </c>
      <c r="E76" s="127" t="inlineStr">
        <is>
          <t>Shares outstanding</t>
        </is>
      </c>
      <c r="H76" s="159" t="e">
        <f>L79</f>
        <v>#DIV/0!</v>
      </c>
      <c r="J76" s="167" t="n"/>
      <c r="K76" s="166" t="inlineStr">
        <is>
          <t>New shares from options:</t>
        </is>
      </c>
      <c r="L76" s="142" t="e">
        <f>L72-L74</f>
        <v>#DIV/0!</v>
      </c>
    </row>
    <row r="77" ht="13.5" customHeight="1" thickBot="1">
      <c r="C77" s="113" t="n"/>
      <c r="D77" s="168" t="n"/>
      <c r="E77" s="143" t="inlineStr">
        <is>
          <t>Equity value / share</t>
        </is>
      </c>
      <c r="H77" s="169" t="e">
        <f>H75/H76</f>
        <v>#DIV/0!</v>
      </c>
      <c r="K77" s="166" t="inlineStr">
        <is>
          <t>New shares from convert. pref. stock:</t>
        </is>
      </c>
      <c r="L77" s="170" t="n"/>
    </row>
    <row r="78">
      <c r="C78" s="141" t="inlineStr">
        <is>
          <t>Select a terminal value method</t>
        </is>
      </c>
      <c r="D78" s="171" t="n"/>
      <c r="F78" s="130" t="n"/>
      <c r="H78" s="172" t="n"/>
      <c r="K78" s="166" t="inlineStr">
        <is>
          <t>New shares from convertible debt:</t>
        </is>
      </c>
      <c r="L78" s="173" t="n"/>
    </row>
    <row r="79">
      <c r="C79" s="144" t="inlineStr">
        <is>
          <t>Perpetual growth = 1 / Exit multiple = 2</t>
        </is>
      </c>
      <c r="D79" s="174" t="n"/>
      <c r="H79" s="172" t="n"/>
      <c r="K79" s="175" t="inlineStr">
        <is>
          <t>Total Shares Outstanding:</t>
        </is>
      </c>
      <c r="L79" s="176" t="e">
        <f>L62+SUM(L76:L78)</f>
        <v>#DIV/0!</v>
      </c>
    </row>
    <row r="80">
      <c r="C80" s="144" t="inlineStr">
        <is>
          <t>Enterprise value</t>
        </is>
      </c>
      <c r="D80" s="142" t="e">
        <f>IF(D79=1,D69,D76)</f>
        <v>#DIV/0!</v>
      </c>
      <c r="H80" s="114" t="n"/>
      <c r="K80" s="175" t="n"/>
      <c r="L80" s="176" t="n"/>
    </row>
    <row r="81">
      <c r="C81" s="177" t="inlineStr">
        <is>
          <t>Terminal value as percent of total value</t>
        </is>
      </c>
      <c r="D81" s="178" t="e">
        <f>IF(D79=1,D68/D69,D75/D76)</f>
        <v>#DIV/0!</v>
      </c>
      <c r="E81" s="79" t="n"/>
      <c r="F81" s="79" t="n"/>
      <c r="G81" s="79" t="n"/>
      <c r="H81" s="93" t="n"/>
      <c r="I81" s="79" t="n"/>
      <c r="J81" s="79" t="n"/>
      <c r="K81" s="79" t="n"/>
      <c r="L81" s="93" t="n"/>
    </row>
    <row r="83" ht="13.5" customHeight="1" thickBot="1">
      <c r="C83" s="179" t="inlineStr">
        <is>
          <t>Analysis of WACC</t>
        </is>
      </c>
      <c r="D83" s="180" t="n"/>
      <c r="E83" s="181" t="n"/>
      <c r="F83" s="181" t="n"/>
      <c r="G83" s="179" t="n"/>
      <c r="H83" s="180" t="n"/>
      <c r="I83" s="181" t="n"/>
      <c r="J83" s="181" t="n"/>
      <c r="K83" s="181" t="n"/>
      <c r="L83" s="181" t="n"/>
    </row>
    <row r="85">
      <c r="C85" s="182" t="inlineStr">
        <is>
          <t>Cost of debt</t>
        </is>
      </c>
      <c r="D85" s="79" t="n"/>
      <c r="F85" s="182" t="inlineStr">
        <is>
          <t>Capital structure</t>
        </is>
      </c>
      <c r="G85" s="182" t="n"/>
      <c r="H85" s="182" t="n"/>
      <c r="I85" s="182" t="n"/>
      <c r="J85" s="182" t="n"/>
    </row>
    <row r="86">
      <c r="C86" s="127" t="inlineStr">
        <is>
          <t>Cost of debt</t>
        </is>
      </c>
      <c r="D86" s="183" t="n"/>
      <c r="G86" s="184" t="inlineStr">
        <is>
          <t>Current capital structure</t>
        </is>
      </c>
      <c r="H86" s="184" t="n"/>
      <c r="I86" s="185" t="inlineStr">
        <is>
          <t>Target capital structure</t>
        </is>
      </c>
      <c r="J86" s="186" t="n"/>
    </row>
    <row r="87">
      <c r="C87" s="127" t="inlineStr">
        <is>
          <t>Marginal tax rate</t>
        </is>
      </c>
      <c r="D87" s="183" t="n"/>
      <c r="F87" s="79" t="n"/>
      <c r="G87" s="153" t="inlineStr">
        <is>
          <t>Market value</t>
        </is>
      </c>
      <c r="H87" s="153" t="inlineStr">
        <is>
          <t>% Weight</t>
        </is>
      </c>
      <c r="I87" s="153" t="inlineStr">
        <is>
          <t>override</t>
        </is>
      </c>
      <c r="J87" s="187" t="inlineStr">
        <is>
          <t>% Weight</t>
        </is>
      </c>
      <c r="K87" s="188" t="n"/>
      <c r="L87" s="189" t="n"/>
    </row>
    <row r="88">
      <c r="C88" s="249" t="inlineStr">
        <is>
          <t>Cost of debt after tax shield</t>
        </is>
      </c>
      <c r="D88" s="190">
        <f>costdebtfirm*(1-D87)</f>
        <v>0</v>
      </c>
      <c r="F88" s="249" t="inlineStr">
        <is>
          <t>Net debt</t>
        </is>
      </c>
      <c r="G88" s="191">
        <f>H74</f>
        <v>0</v>
      </c>
      <c r="H88" s="63" t="e">
        <f>debt/totalcap</f>
        <v>#DIV/0!</v>
      </c>
      <c r="I88" s="183" t="n"/>
      <c r="J88" s="63" t="e">
        <f>IF(I88,I88,H88)</f>
        <v>#DIV/0!</v>
      </c>
      <c r="L88" s="192" t="n"/>
    </row>
    <row r="89">
      <c r="F89" s="249" t="inlineStr">
        <is>
          <t>Equity</t>
        </is>
      </c>
      <c r="G89" s="193" t="e">
        <f>L63*L79</f>
        <v>#DIV/0!</v>
      </c>
      <c r="H89" s="63" t="e">
        <f>1-H88</f>
        <v>#DIV/0!</v>
      </c>
      <c r="J89" s="63" t="e">
        <f>1-debt_weight</f>
        <v>#DIV/0!</v>
      </c>
    </row>
    <row r="90">
      <c r="C90" s="182" t="inlineStr">
        <is>
          <t>Cost of equity</t>
        </is>
      </c>
      <c r="D90" s="79" t="n"/>
      <c r="F90" s="249" t="inlineStr">
        <is>
          <t>Total</t>
        </is>
      </c>
      <c r="G90" s="188" t="e">
        <f>SUM(G88:G89)</f>
        <v>#DIV/0!</v>
      </c>
    </row>
    <row r="91">
      <c r="C91" s="127" t="inlineStr">
        <is>
          <t>Risk-Free Rate (rf)</t>
        </is>
      </c>
      <c r="D91" s="183" t="n"/>
      <c r="E91" s="194" t="n"/>
    </row>
    <row r="92">
      <c r="C92" s="127" t="inlineStr">
        <is>
          <t>Market Risk Premium (rm-rf)</t>
        </is>
      </c>
      <c r="D92" s="183" t="n"/>
      <c r="F92" s="182" t="inlineStr">
        <is>
          <t>Weighted average cost of capital</t>
        </is>
      </c>
      <c r="G92" s="79" t="n"/>
      <c r="H92" s="79" t="n"/>
      <c r="I92" s="79" t="n"/>
      <c r="J92" s="79" t="n"/>
    </row>
    <row r="93">
      <c r="C93" s="127" t="inlineStr">
        <is>
          <t>Raw (observed) beta</t>
        </is>
      </c>
      <c r="D93" s="195" t="n"/>
      <c r="F93" s="249" t="inlineStr">
        <is>
          <t>Weighted average cost of capital:</t>
        </is>
      </c>
      <c r="J93" s="63" t="e">
        <f>debt_weight*D88+J89*costequity</f>
        <v>#DIV/0!</v>
      </c>
    </row>
    <row r="94">
      <c r="C94" s="127" t="inlineStr">
        <is>
          <t>Cost of equity using relevered industry beta</t>
        </is>
      </c>
      <c r="D94" s="190" t="e">
        <f>risk_free_rate+relevered_beta*risk_premium</f>
        <v>#DIV/0!</v>
      </c>
      <c r="E94" s="196" t="n"/>
    </row>
    <row r="95">
      <c r="C95" s="127" t="n"/>
      <c r="D95" s="190" t="n"/>
      <c r="E95" s="68" t="n"/>
      <c r="G95" s="188" t="n"/>
    </row>
    <row r="96">
      <c r="C96" s="182" t="inlineStr">
        <is>
          <t>Industry beta calculation</t>
        </is>
      </c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</row>
    <row r="97" ht="25.5" customHeight="1">
      <c r="C97" s="197" t="inlineStr">
        <is>
          <t xml:space="preserve">Comps </t>
        </is>
      </c>
      <c r="D97" s="198" t="inlineStr">
        <is>
          <t>Raw beta</t>
        </is>
      </c>
      <c r="E97" s="198" t="inlineStr">
        <is>
          <t>Share price</t>
        </is>
      </c>
      <c r="F97" s="198" t="inlineStr">
        <is>
          <t>Shares</t>
        </is>
      </c>
      <c r="G97" s="198" t="inlineStr">
        <is>
          <t>Market cap.</t>
        </is>
      </c>
      <c r="H97" s="198" t="inlineStr">
        <is>
          <t>Debt</t>
        </is>
      </c>
      <c r="I97" s="198" t="inlineStr">
        <is>
          <t>D / E</t>
        </is>
      </c>
      <c r="J97" s="198" t="inlineStr">
        <is>
          <t>Tax rate</t>
        </is>
      </c>
      <c r="K97" s="198" t="inlineStr">
        <is>
          <t>Unl. Beta</t>
        </is>
      </c>
      <c r="L97" s="198" t="inlineStr">
        <is>
          <t>Weigh. Beta</t>
        </is>
      </c>
      <c r="M97" s="198" t="inlineStr">
        <is>
          <t>Relev. Beta</t>
        </is>
      </c>
    </row>
    <row r="98">
      <c r="C98" s="249">
        <f>ticker</f>
        <v>0.0</v>
      </c>
      <c r="D98" s="199">
        <f>beta_observed</f>
        <v>0</v>
      </c>
      <c r="E98" s="200">
        <f>L63</f>
        <v>0</v>
      </c>
      <c r="F98" s="111" t="e">
        <f>L79</f>
        <v>#DIV/0!</v>
      </c>
      <c r="G98" s="111" t="e">
        <f>E98*F98</f>
        <v>#DIV/0!</v>
      </c>
      <c r="H98" s="111">
        <f>debt</f>
        <v>0</v>
      </c>
      <c r="I98" s="201" t="e">
        <f>debt/market_equity</f>
        <v>#DIV/0!</v>
      </c>
      <c r="J98" s="201">
        <f>F24</f>
        <v>0.151170024743726</v>
      </c>
      <c r="K98" s="199" t="e">
        <f>D98/(1+(I98)*(1-J98))</f>
        <v>#DIV/0!</v>
      </c>
      <c r="L98" s="202" t="e">
        <f>K98*G98/$G$102</f>
        <v>#DIV/0!</v>
      </c>
    </row>
    <row r="99">
      <c r="C99" s="203" t="inlineStr">
        <is>
          <t>TICKER 2</t>
        </is>
      </c>
      <c r="D99" s="195" t="n"/>
      <c r="E99" s="204" t="n"/>
      <c r="F99" s="205" t="n"/>
      <c r="G99" s="111">
        <f>E99*F99</f>
        <v>0</v>
      </c>
      <c r="H99" s="205" t="n"/>
      <c r="I99" s="201" t="e">
        <f>H99/(F99*E99)</f>
        <v>#DIV/0!</v>
      </c>
      <c r="J99" s="206" t="n"/>
      <c r="K99" s="199" t="e">
        <f>D99/(1+(I99)*(1-J99))</f>
        <v>#DIV/0!</v>
      </c>
      <c r="L99" s="202" t="e">
        <f>K99*G99/$G$102</f>
        <v>#DIV/0!</v>
      </c>
    </row>
    <row r="100">
      <c r="C100" s="203" t="inlineStr">
        <is>
          <t>TICKER 3</t>
        </is>
      </c>
      <c r="D100" s="195" t="n"/>
      <c r="E100" s="204" t="n"/>
      <c r="F100" s="205" t="n"/>
      <c r="G100" s="111">
        <f>E100*F100</f>
        <v>0</v>
      </c>
      <c r="H100" s="205" t="n"/>
      <c r="I100" s="201" t="e">
        <f>H100/(F100*E100)</f>
        <v>#DIV/0!</v>
      </c>
      <c r="J100" s="206" t="n"/>
      <c r="K100" s="199" t="e">
        <f>D100/(1+(I100)*(1-J100))</f>
        <v>#DIV/0!</v>
      </c>
      <c r="L100" s="202" t="e">
        <f>K100*G100/$G$102</f>
        <v>#DIV/0!</v>
      </c>
    </row>
    <row r="101">
      <c r="C101" s="207" t="inlineStr">
        <is>
          <t>TICKER 4</t>
        </is>
      </c>
      <c r="D101" s="208" t="n"/>
      <c r="E101" s="209" t="n"/>
      <c r="F101" s="210" t="n"/>
      <c r="G101" s="97">
        <f>E101*F101</f>
        <v>0</v>
      </c>
      <c r="H101" s="210" t="n"/>
      <c r="I101" s="211" t="e">
        <f>H101/(F101*E101)</f>
        <v>#DIV/0!</v>
      </c>
      <c r="J101" s="212" t="n"/>
      <c r="K101" s="213" t="e">
        <f>D101/(1+(I101)*(1-J101))</f>
        <v>#DIV/0!</v>
      </c>
      <c r="L101" s="202" t="e">
        <f>K101*G101/$G$102</f>
        <v>#DIV/0!</v>
      </c>
      <c r="M101" s="214" t="n"/>
    </row>
    <row r="102">
      <c r="D102" s="199" t="n"/>
      <c r="E102" s="175" t="n"/>
      <c r="F102" s="131" t="n"/>
      <c r="G102" s="111" t="e">
        <f>SUM(G98:G101)</f>
        <v>#DIV/0!</v>
      </c>
      <c r="I102" s="199" t="n"/>
      <c r="J102" s="214" t="inlineStr">
        <is>
          <t>Average:</t>
        </is>
      </c>
      <c r="K102" s="215" t="e">
        <f>AVERAGE(K98:K101)</f>
        <v>#DIV/0!</v>
      </c>
      <c r="L102" s="215" t="e">
        <f>SUM(L98:L101)</f>
        <v>#DIV/0!</v>
      </c>
      <c r="M102" s="215" t="e">
        <f>L102*(1+(debt/market_equity)*(1-D87))</f>
        <v>#DIV/0!</v>
      </c>
    </row>
  </sheetData>
  <mergeCells count="1">
    <mergeCell ref="G14:V14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2026-10-12T09:06:51Z</dcterms:modified>
  <cp:lastModifiedBy>Lucas Nascimento</cp:lastModifiedBy>
</cp:coreProperties>
</file>