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6610000</v>
      </c>
      <c r="E5" s="265" t="n">
        <v>6778000</v>
      </c>
      <c r="F5" s="265" t="n">
        <v>7407000</v>
      </c>
      <c r="G5" s="265" t="n">
        <v>7706000</v>
      </c>
      <c r="I5" s="265" t="n">
        <v>8103000</v>
      </c>
      <c r="J5" s="265" t="n">
        <v>8464000</v>
      </c>
      <c r="K5" s="265" t="n">
        <v>8930000</v>
      </c>
      <c r="L5" s="265" t="n">
        <v>8915000</v>
      </c>
      <c r="N5" s="265" t="n">
        <v>8733000</v>
      </c>
      <c r="O5" s="265" t="n">
        <v>8876000</v>
      </c>
      <c r="P5" s="265" t="n">
        <v>9295000</v>
      </c>
      <c r="Q5" s="265" t="n">
        <v>11961000</v>
      </c>
      <c r="S5" s="265" t="n">
        <v>12487000</v>
      </c>
      <c r="T5" s="265" t="n">
        <v>13072000</v>
      </c>
      <c r="U5" s="265" t="n">
        <v>14054000</v>
      </c>
      <c r="V5" s="265" t="n">
        <v>14916000</v>
      </c>
      <c r="X5" s="265" t="n">
        <v>15004000</v>
      </c>
      <c r="Y5" s="265" t="n">
        <v>15952000</v>
      </c>
      <c r="Z5" s="265" t="n">
        <v>18015000</v>
      </c>
      <c r="AA5" s="265" t="n">
        <v>19311000</v>
      </c>
      <c r="AC5" s="265" t="n">
        <v>22187000</v>
      </c>
      <c r="AD5" s="265" t="n">
        <v>29591000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2553000</v>
      </c>
      <c r="E6" s="265" t="n">
        <v>2581000</v>
      </c>
      <c r="F6" s="265" t="n">
        <v>2769000</v>
      </c>
      <c r="G6" s="265" t="n">
        <v>2657000</v>
      </c>
      <c r="I6" s="265" t="n">
        <v>2664000</v>
      </c>
      <c r="J6" s="265" t="n">
        <v>2783000</v>
      </c>
      <c r="K6" s="265" t="n">
        <v>3004000</v>
      </c>
      <c r="L6" s="265" t="n">
        <v>2911000</v>
      </c>
      <c r="N6" s="265" t="n">
        <v>2618000</v>
      </c>
      <c r="O6" s="265" t="n">
        <v>2712000</v>
      </c>
      <c r="P6" s="265" t="n">
        <v>2888000</v>
      </c>
      <c r="Q6" s="265" t="n">
        <v>4586000</v>
      </c>
      <c r="S6" s="265" t="n">
        <v>4711000</v>
      </c>
      <c r="T6" s="265" t="n">
        <v>4716000</v>
      </c>
      <c r="U6" s="265" t="n">
        <v>5052000</v>
      </c>
      <c r="V6" s="265" t="n">
        <v>4771000</v>
      </c>
      <c r="X6" s="265" t="n">
        <v>4807000</v>
      </c>
      <c r="Y6" s="265" t="n">
        <v>5249000</v>
      </c>
      <c r="Z6" s="265" t="n">
        <v>5766000</v>
      </c>
      <c r="AA6" s="265" t="n">
        <v>6154000</v>
      </c>
      <c r="AC6" s="265" t="n">
        <v>6772000</v>
      </c>
      <c r="AD6" s="265" t="n">
        <v>9135000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-2553000</v>
      </c>
      <c r="E7" s="265">
        <f>IF(E6="","",-1*E6)</f>
        <v>-2581000</v>
      </c>
      <c r="F7" s="265">
        <f>IF(F6="","",-1*F6)</f>
        <v>-2769000</v>
      </c>
      <c r="G7" s="265">
        <f>IF(G6="","",-1*G6)</f>
        <v>-2657000</v>
      </c>
      <c r="I7" s="265">
        <f>IF(I6="","",-1*I6)</f>
        <v>-2664000</v>
      </c>
      <c r="J7" s="265">
        <f>IF(J6="","",-1*J6)</f>
        <v>-2783000</v>
      </c>
      <c r="K7" s="265">
        <f>IF(K6="","",-1*K6)</f>
        <v>-3004000</v>
      </c>
      <c r="L7" s="265">
        <f>IF(L6="","",-1*L6)</f>
        <v>-2911000</v>
      </c>
      <c r="N7" s="265">
        <f>IF(N6="","",-1*N6)</f>
        <v>-2618000</v>
      </c>
      <c r="O7" s="265">
        <f>IF(O6="","",-1*O6)</f>
        <v>-2712000</v>
      </c>
      <c r="P7" s="265">
        <f>IF(P6="","",-1*P6)</f>
        <v>-2888000</v>
      </c>
      <c r="Q7" s="265">
        <f>IF(Q6="","",-1*Q6)</f>
        <v>-4586000</v>
      </c>
      <c r="S7" s="265">
        <f>IF(S6="","",-1*S6)</f>
        <v>-4711000</v>
      </c>
      <c r="T7" s="265">
        <f>IF(T6="","",-1*T6)</f>
        <v>-4716000</v>
      </c>
      <c r="U7" s="265">
        <f>IF(U6="","",-1*U6)</f>
        <v>-5052000</v>
      </c>
      <c r="V7" s="265">
        <f>IF(V6="","",-1*V6)</f>
        <v>-4771000</v>
      </c>
      <c r="X7" s="265">
        <f>IF(X6="","",-1*X6)</f>
        <v>-4807000</v>
      </c>
      <c r="Y7" s="265">
        <f>IF(Y6="","",-1*Y6)</f>
        <v>-5249000</v>
      </c>
      <c r="Z7" s="265">
        <f>IF(Z6="","",-1*Z6)</f>
        <v>-5766000</v>
      </c>
      <c r="AA7" s="265">
        <f>IF(AA6="","",-1*AA6)</f>
        <v>-6154000</v>
      </c>
      <c r="AC7" s="265">
        <f>IF(AC6="","",-1*AC6)</f>
        <v>-6772000</v>
      </c>
      <c r="AD7" s="265">
        <f>IF(AD6="","",-1*AD6)</f>
        <v>-9135000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1975000</v>
      </c>
      <c r="E8" s="265" t="n">
        <v>2126000</v>
      </c>
      <c r="F8" s="265" t="n">
        <v>2581000</v>
      </c>
      <c r="G8" s="265" t="n">
        <v>3108000</v>
      </c>
      <c r="I8" s="265" t="n">
        <v>3394000</v>
      </c>
      <c r="J8" s="265" t="n">
        <v>3737000</v>
      </c>
      <c r="K8" s="265" t="n">
        <v>3986000</v>
      </c>
      <c r="L8" s="265" t="n">
        <v>4103000</v>
      </c>
      <c r="N8" s="265" t="n">
        <v>4008000</v>
      </c>
      <c r="O8" s="265" t="n">
        <v>3856000</v>
      </c>
      <c r="P8" s="265" t="n">
        <v>4240000</v>
      </c>
      <c r="Q8" s="265" t="n">
        <v>2083000</v>
      </c>
      <c r="S8" s="265" t="n">
        <v>2965000</v>
      </c>
      <c r="T8" s="265" t="n">
        <v>3788000</v>
      </c>
      <c r="U8" s="265" t="n">
        <v>4627000</v>
      </c>
      <c r="V8" s="265" t="n">
        <v>6260000</v>
      </c>
      <c r="X8" s="265" t="n">
        <v>5829000</v>
      </c>
      <c r="Y8" s="265" t="n">
        <v>5887000</v>
      </c>
      <c r="Z8" s="265" t="n">
        <v>7508000</v>
      </c>
      <c r="AA8" s="265" t="n">
        <v>8563000</v>
      </c>
      <c r="AC8" s="265" t="n">
        <v>10788000</v>
      </c>
      <c r="AD8" s="265" t="n">
        <v>15955000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2082000</v>
      </c>
      <c r="E9" s="265">
        <f>N(E5)-N(E6)-N(E8)</f>
        <v>2071000</v>
      </c>
      <c r="F9" s="265">
        <f>N(F5)-N(F6)-N(F8)</f>
        <v>2057000</v>
      </c>
      <c r="G9" s="265">
        <f>N(G5)-N(G6)-N(G8)</f>
        <v>1941000</v>
      </c>
      <c r="I9" s="265">
        <f>N(I5)-N(I6)-N(I8)</f>
        <v>2045000</v>
      </c>
      <c r="J9" s="265">
        <f>N(J5)-N(J6)-N(J8)</f>
        <v>1944000</v>
      </c>
      <c r="K9" s="265">
        <f>N(K5)-N(K6)-N(K8)</f>
        <v>1940000</v>
      </c>
      <c r="L9" s="265">
        <f>N(L5)-N(L6)-N(L8)</f>
        <v>1901000</v>
      </c>
      <c r="N9" s="265">
        <f>N(N5)-N(N6)-N(N8)</f>
        <v>2107000</v>
      </c>
      <c r="O9" s="265">
        <f>N(O5)-N(O6)-N(O8)</f>
        <v>2308000</v>
      </c>
      <c r="P9" s="265">
        <f>N(P5)-N(P6)-N(P8)</f>
        <v>2167000</v>
      </c>
      <c r="Q9" s="265">
        <f>N(Q5)-N(Q6)-N(Q8)</f>
        <v>5292000</v>
      </c>
      <c r="S9" s="265">
        <f>N(S5)-N(S6)-N(S8)</f>
        <v>4811000</v>
      </c>
      <c r="T9" s="265">
        <f>N(T5)-N(T6)-N(T8)</f>
        <v>4568000</v>
      </c>
      <c r="U9" s="265">
        <f>N(U5)-N(U6)-N(U8)</f>
        <v>4375000</v>
      </c>
      <c r="V9" s="265">
        <f>N(V5)-N(V6)-N(V8)</f>
        <v>3885000</v>
      </c>
      <c r="X9" s="265">
        <f>N(X5)-N(X6)-N(X8)</f>
        <v>4368000</v>
      </c>
      <c r="Y9" s="265">
        <f>N(Y5)-N(Y6)-N(Y8)</f>
        <v>4816000</v>
      </c>
      <c r="Z9" s="265">
        <f>N(Z5)-N(Z6)-N(Z8)</f>
        <v>4741000</v>
      </c>
      <c r="AA9" s="265">
        <f>N(AA5)-N(AA6)-N(AA8)</f>
        <v>4594000</v>
      </c>
      <c r="AC9" s="265">
        <f>N(AC5)-N(AC6)-N(AC8)</f>
        <v>4627000</v>
      </c>
      <c r="AD9" s="265">
        <f>N(AD5)-N(AD6)-N(AD8)</f>
        <v>4501000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-2082000</v>
      </c>
      <c r="E10" s="265">
        <f>IF(E9="","",-1*E9)</f>
        <v>-2071000</v>
      </c>
      <c r="F10" s="265">
        <f>IF(F9="","",-1*F9)</f>
        <v>-2057000</v>
      </c>
      <c r="G10" s="265">
        <f>IF(G9="","",-1*G9)</f>
        <v>-1941000</v>
      </c>
      <c r="I10" s="265">
        <f>IF(I9="","",-1*I9)</f>
        <v>-2045000</v>
      </c>
      <c r="J10" s="265">
        <f>IF(J9="","",-1*J9)</f>
        <v>-1944000</v>
      </c>
      <c r="K10" s="265">
        <f>IF(K9="","",-1*K9)</f>
        <v>-1940000</v>
      </c>
      <c r="L10" s="265">
        <f>IF(L9="","",-1*L9)</f>
        <v>-1901000</v>
      </c>
      <c r="N10" s="265">
        <f>IF(N9="","",-1*N9)</f>
        <v>-2107000</v>
      </c>
      <c r="O10" s="265">
        <f>IF(O9="","",-1*O9)</f>
        <v>-2308000</v>
      </c>
      <c r="P10" s="265">
        <f>IF(P9="","",-1*P9)</f>
        <v>-2167000</v>
      </c>
      <c r="Q10" s="265">
        <f>IF(Q9="","",-1*Q9)</f>
        <v>-5292000</v>
      </c>
      <c r="S10" s="265">
        <f>IF(S9="","",-1*S9)</f>
        <v>-4811000</v>
      </c>
      <c r="T10" s="265">
        <f>IF(T9="","",-1*T9)</f>
        <v>-4568000</v>
      </c>
      <c r="U10" s="265">
        <f>IF(U9="","",-1*U9)</f>
        <v>-4375000</v>
      </c>
      <c r="V10" s="265">
        <f>IF(V9="","",-1*V9)</f>
        <v>-3885000</v>
      </c>
      <c r="X10" s="265">
        <f>IF(X9="","",-1*X9)</f>
        <v>-4368000</v>
      </c>
      <c r="Y10" s="265">
        <f>IF(Y9="","",-1*Y9)</f>
        <v>-4816000</v>
      </c>
      <c r="Z10" s="265">
        <f>IF(Z9="","",-1*Z9)</f>
        <v>-4741000</v>
      </c>
      <c r="AA10" s="265">
        <f>IF(AA9="","",-1*AA9)</f>
        <v>-4594000</v>
      </c>
      <c r="AC10" s="265">
        <f>IF(AC9="","",-1*AC9)</f>
        <v>-4627000</v>
      </c>
      <c r="AD10" s="265">
        <f>IF(AD9="","",-1*AD9)</f>
        <v>-4501000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1486000</v>
      </c>
      <c r="E11" s="265" t="n">
        <v>1726000</v>
      </c>
      <c r="F11" s="265" t="n">
        <v>2169000</v>
      </c>
      <c r="G11" s="265" t="n">
        <v>2687000</v>
      </c>
      <c r="I11" s="265" t="n">
        <v>2790000</v>
      </c>
      <c r="J11" s="265" t="n">
        <v>3337000</v>
      </c>
      <c r="K11" s="265" t="n">
        <v>3620000</v>
      </c>
      <c r="L11" s="265" t="n">
        <v>3840000</v>
      </c>
      <c r="N11" s="265" t="n">
        <v>3716000</v>
      </c>
      <c r="O11" s="265" t="n">
        <v>3574000</v>
      </c>
      <c r="P11" s="265" t="n">
        <v>3967000</v>
      </c>
      <c r="Q11" s="265" t="n">
        <v>1342000</v>
      </c>
      <c r="S11" s="265" t="n">
        <v>2005000</v>
      </c>
      <c r="T11" s="265" t="n">
        <v>2806000</v>
      </c>
      <c r="U11" s="265" t="n">
        <v>3763000</v>
      </c>
      <c r="V11" s="265" t="n">
        <v>5490000</v>
      </c>
      <c r="X11" s="265" t="n">
        <v>5085000</v>
      </c>
      <c r="Y11" s="265" t="n">
        <v>5285000</v>
      </c>
      <c r="Z11" s="265" t="n">
        <v>6869000</v>
      </c>
      <c r="AA11" s="265" t="n">
        <v>8195000</v>
      </c>
      <c r="AC11" s="265" t="n">
        <v>10130000</v>
      </c>
      <c r="AD11" s="265" t="n">
        <v>15275000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-489000</v>
      </c>
      <c r="E12" s="265">
        <f>N(E11)-N(E8)</f>
        <v>-400000</v>
      </c>
      <c r="F12" s="265">
        <f>N(F11)-N(F8)</f>
        <v>-412000</v>
      </c>
      <c r="G12" s="265">
        <f>N(G11)-N(G8)</f>
        <v>-421000</v>
      </c>
      <c r="I12" s="265">
        <f>N(I11)-N(I8)</f>
        <v>-604000</v>
      </c>
      <c r="J12" s="265">
        <f>N(J11)-N(J8)</f>
        <v>-400000</v>
      </c>
      <c r="K12" s="265">
        <f>N(K11)-N(K8)</f>
        <v>-366000</v>
      </c>
      <c r="L12" s="265">
        <f>N(L11)-N(L8)</f>
        <v>-263000</v>
      </c>
      <c r="N12" s="265">
        <f>N(N11)-N(N8)</f>
        <v>-292000</v>
      </c>
      <c r="O12" s="265">
        <f>N(O11)-N(O8)</f>
        <v>-282000</v>
      </c>
      <c r="P12" s="265">
        <f>N(P11)-N(P8)</f>
        <v>-273000</v>
      </c>
      <c r="Q12" s="265">
        <f>N(Q11)-N(Q8)</f>
        <v>-741000</v>
      </c>
      <c r="S12" s="265">
        <f>N(S11)-N(S8)</f>
        <v>-960000</v>
      </c>
      <c r="T12" s="265">
        <f>N(T11)-N(T8)</f>
        <v>-982000</v>
      </c>
      <c r="U12" s="265">
        <f>N(U11)-N(U8)</f>
        <v>-864000</v>
      </c>
      <c r="V12" s="265">
        <f>N(V11)-N(V8)</f>
        <v>-770000</v>
      </c>
      <c r="X12" s="265">
        <f>N(X11)-N(X8)</f>
        <v>-744000</v>
      </c>
      <c r="Y12" s="265">
        <f>N(Y11)-N(Y8)</f>
        <v>-602000</v>
      </c>
      <c r="Z12" s="265">
        <f>N(Z11)-N(Z8)</f>
        <v>-639000</v>
      </c>
      <c r="AA12" s="265">
        <f>N(AA11)-N(AA8)</f>
        <v>-368000</v>
      </c>
      <c r="AC12" s="265">
        <f>N(AC11)-N(AC8)</f>
        <v>-658000</v>
      </c>
      <c r="AD12" s="265">
        <f>N(AD11)-N(AD8)</f>
        <v>-680000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466000</v>
      </c>
      <c r="E13" s="265" t="n">
        <v>415000</v>
      </c>
      <c r="F13" s="265" t="n">
        <v>434000</v>
      </c>
      <c r="G13" s="265" t="n">
        <v>407000</v>
      </c>
      <c r="I13" s="265" t="n">
        <v>518000</v>
      </c>
      <c r="J13" s="265" t="n">
        <v>406000</v>
      </c>
      <c r="K13" s="265" t="n">
        <v>406000</v>
      </c>
      <c r="L13" s="265" t="n">
        <v>406000</v>
      </c>
      <c r="N13" s="265" t="n">
        <v>405000</v>
      </c>
      <c r="O13" s="265" t="n">
        <v>406000</v>
      </c>
      <c r="P13" s="265" t="n">
        <v>405000</v>
      </c>
      <c r="Q13" s="265" t="n">
        <v>926000</v>
      </c>
      <c r="S13" s="265" t="n">
        <v>1047000</v>
      </c>
      <c r="T13" s="265" t="n">
        <v>1064000</v>
      </c>
      <c r="U13" s="265" t="n">
        <v>916000</v>
      </c>
      <c r="V13" s="265" t="n">
        <v>873000</v>
      </c>
      <c r="X13" s="265" t="n">
        <v>769000</v>
      </c>
      <c r="Y13" s="265" t="n">
        <v>807000</v>
      </c>
      <c r="Z13" s="265" t="n">
        <v>761000</v>
      </c>
      <c r="AA13" s="265" t="n">
        <v>801000</v>
      </c>
      <c r="AC13" s="265" t="n">
        <v>776000</v>
      </c>
      <c r="AD13" s="265" t="n">
        <v>778000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-466000</v>
      </c>
      <c r="E14" s="265">
        <f>IF(E13="","",-1*E13)</f>
        <v>-415000</v>
      </c>
      <c r="F14" s="265">
        <f>IF(F13="","",-1*F13)</f>
        <v>-434000</v>
      </c>
      <c r="G14" s="265">
        <f>IF(G13="","",-1*G13)</f>
        <v>-407000</v>
      </c>
      <c r="I14" s="265">
        <f>IF(I13="","",-1*I13)</f>
        <v>-518000</v>
      </c>
      <c r="J14" s="265">
        <f>IF(J13="","",-1*J13)</f>
        <v>-406000</v>
      </c>
      <c r="K14" s="265">
        <f>IF(K13="","",-1*K13)</f>
        <v>-406000</v>
      </c>
      <c r="L14" s="265">
        <f>IF(L13="","",-1*L13)</f>
        <v>-406000</v>
      </c>
      <c r="N14" s="265">
        <f>IF(N13="","",-1*N13)</f>
        <v>-405000</v>
      </c>
      <c r="O14" s="265">
        <f>IF(O13="","",-1*O13)</f>
        <v>-406000</v>
      </c>
      <c r="P14" s="265">
        <f>IF(P13="","",-1*P13)</f>
        <v>-405000</v>
      </c>
      <c r="Q14" s="265">
        <f>IF(Q13="","",-1*Q13)</f>
        <v>-926000</v>
      </c>
      <c r="S14" s="265">
        <f>IF(S13="","",-1*S13)</f>
        <v>-1047000</v>
      </c>
      <c r="T14" s="265">
        <f>IF(T13="","",-1*T13)</f>
        <v>-1064000</v>
      </c>
      <c r="U14" s="265">
        <f>IF(U13="","",-1*U13)</f>
        <v>-916000</v>
      </c>
      <c r="V14" s="265">
        <f>IF(V13="","",-1*V13)</f>
        <v>-873000</v>
      </c>
      <c r="X14" s="265">
        <f>IF(X13="","",-1*X13)</f>
        <v>-769000</v>
      </c>
      <c r="Y14" s="265">
        <f>IF(Y13="","",-1*Y13)</f>
        <v>-807000</v>
      </c>
      <c r="Z14" s="265">
        <f>IF(Z13="","",-1*Z13)</f>
        <v>-761000</v>
      </c>
      <c r="AA14" s="265">
        <f>IF(AA13="","",-1*AA13)</f>
        <v>-801000</v>
      </c>
      <c r="AC14" s="265">
        <f>IF(AC13="","",-1*AC13)</f>
        <v>-776000</v>
      </c>
      <c r="AD14" s="265">
        <f>IF(AD13="","",-1*AD13)</f>
        <v>-778000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466000</v>
      </c>
      <c r="E15" s="265">
        <f>IF(E13="","",E13)</f>
        <v>415000</v>
      </c>
      <c r="F15" s="265">
        <f>IF(F13="","",F13)</f>
        <v>434000</v>
      </c>
      <c r="G15" s="265">
        <f>IF(G13="","",G13)</f>
        <v>407000</v>
      </c>
      <c r="I15" s="265">
        <f>IF(I13="","",I13)</f>
        <v>518000</v>
      </c>
      <c r="J15" s="265">
        <f>IF(J13="","",J13)</f>
        <v>406000</v>
      </c>
      <c r="K15" s="265">
        <f>IF(K13="","",K13)</f>
        <v>406000</v>
      </c>
      <c r="L15" s="265">
        <f>IF(L13="","",L13)</f>
        <v>406000</v>
      </c>
      <c r="N15" s="265">
        <f>IF(N13="","",N13)</f>
        <v>405000</v>
      </c>
      <c r="O15" s="265">
        <f>IF(O13="","",O13)</f>
        <v>406000</v>
      </c>
      <c r="P15" s="265">
        <f>IF(P13="","",P13)</f>
        <v>405000</v>
      </c>
      <c r="Q15" s="265">
        <f>IF(Q13="","",Q13)</f>
        <v>926000</v>
      </c>
      <c r="S15" s="265">
        <f>IF(S13="","",S13)</f>
        <v>1047000</v>
      </c>
      <c r="T15" s="265">
        <f>IF(T13="","",T13)</f>
        <v>1064000</v>
      </c>
      <c r="U15" s="265">
        <f>IF(U13="","",U13)</f>
        <v>916000</v>
      </c>
      <c r="V15" s="265">
        <f>IF(V13="","",V13)</f>
        <v>873000</v>
      </c>
      <c r="X15" s="265">
        <f>IF(X13="","",X13)</f>
        <v>769000</v>
      </c>
      <c r="Y15" s="265">
        <f>IF(Y13="","",Y13)</f>
        <v>807000</v>
      </c>
      <c r="Z15" s="265">
        <f>IF(Z13="","",Z13)</f>
        <v>761000</v>
      </c>
      <c r="AA15" s="265">
        <f>IF(AA13="","",AA13)</f>
        <v>801000</v>
      </c>
      <c r="AC15" s="265">
        <f>IF(AC13="","",AC13)</f>
        <v>776000</v>
      </c>
      <c r="AD15" s="265">
        <f>IF(AD13="","",AD13)</f>
        <v>778000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-7000</v>
      </c>
      <c r="E16" s="265" t="n">
        <v>-150000</v>
      </c>
      <c r="F16" s="265" t="n">
        <v>180000</v>
      </c>
      <c r="G16" s="265" t="n">
        <v>215000</v>
      </c>
      <c r="I16" s="265" t="n">
        <v>200000</v>
      </c>
      <c r="J16" s="265" t="n">
        <v>263000</v>
      </c>
      <c r="K16" s="265" t="n">
        <v>261000</v>
      </c>
      <c r="L16" s="265" t="n">
        <v>66000</v>
      </c>
      <c r="N16" s="265" t="n">
        <v>235000</v>
      </c>
      <c r="O16" s="265" t="n">
        <v>271000</v>
      </c>
      <c r="P16" s="265" t="n">
        <v>443000</v>
      </c>
      <c r="Q16" s="265" t="n">
        <v>68000</v>
      </c>
      <c r="S16" s="265" t="n">
        <v>-116000</v>
      </c>
      <c r="T16" s="265" t="n">
        <v>4238000</v>
      </c>
      <c r="U16" s="265" t="n">
        <v>-442000</v>
      </c>
      <c r="V16" s="265" t="n">
        <v>-13000</v>
      </c>
      <c r="X16" s="265" t="n">
        <v>120000</v>
      </c>
      <c r="Y16" s="265" t="n">
        <v>1145000</v>
      </c>
      <c r="Z16" s="265" t="n">
        <v>-1649000</v>
      </c>
      <c r="AA16" s="265" t="n">
        <v>846000</v>
      </c>
      <c r="AC16" s="265" t="n">
        <v>820000</v>
      </c>
      <c r="AD16" s="265" t="n">
        <v>2187000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7000</v>
      </c>
      <c r="E17" s="265">
        <f>IF(E16="","",-1*E16)</f>
        <v>150000</v>
      </c>
      <c r="F17" s="265">
        <f>IF(F16="","",-1*F16)</f>
        <v>-180000</v>
      </c>
      <c r="G17" s="265">
        <f>IF(G16="","",-1*G16)</f>
        <v>-215000</v>
      </c>
      <c r="I17" s="265">
        <f>IF(I16="","",-1*I16)</f>
        <v>-200000</v>
      </c>
      <c r="J17" s="265">
        <f>IF(J16="","",-1*J16)</f>
        <v>-263000</v>
      </c>
      <c r="K17" s="265">
        <f>IF(K16="","",-1*K16)</f>
        <v>-261000</v>
      </c>
      <c r="L17" s="265">
        <f>IF(L16="","",-1*L16)</f>
        <v>-66000</v>
      </c>
      <c r="N17" s="265">
        <f>IF(N16="","",-1*N16)</f>
        <v>-235000</v>
      </c>
      <c r="O17" s="265">
        <f>IF(O16="","",-1*O16)</f>
        <v>-271000</v>
      </c>
      <c r="P17" s="265">
        <f>IF(P16="","",-1*P16)</f>
        <v>-443000</v>
      </c>
      <c r="Q17" s="265">
        <f>IF(Q16="","",-1*Q16)</f>
        <v>-68000</v>
      </c>
      <c r="S17" s="265">
        <f>IF(S16="","",-1*S16)</f>
        <v>116000</v>
      </c>
      <c r="T17" s="265">
        <f>IF(T16="","",-1*T16)</f>
        <v>-4238000</v>
      </c>
      <c r="U17" s="265">
        <f>IF(U16="","",-1*U16)</f>
        <v>442000</v>
      </c>
      <c r="V17" s="265">
        <f>IF(V16="","",-1*V16)</f>
        <v>13000</v>
      </c>
      <c r="X17" s="265">
        <f>IF(X16="","",-1*X16)</f>
        <v>-120000</v>
      </c>
      <c r="Y17" s="265">
        <f>IF(Y16="","",-1*Y16)</f>
        <v>-1145000</v>
      </c>
      <c r="Z17" s="265">
        <f>IF(Z16="","",-1*Z16)</f>
        <v>1649000</v>
      </c>
      <c r="AA17" s="265">
        <f>IF(AA16="","",-1*AA16)</f>
        <v>-846000</v>
      </c>
      <c r="AC17" s="265">
        <f>IF(AC16="","",-1*AC16)</f>
        <v>-820000</v>
      </c>
      <c r="AD17" s="265">
        <f>IF(AD16="","",-1*AD16)</f>
        <v>-2187000</v>
      </c>
    </row>
    <row r="18">
      <c r="A18" t="inlineStr">
        <is>
          <t>Lucro líquido atribuído à companhia [us-gaap:NetIncomeLoss] · memoria · unid. moeda</t>
        </is>
      </c>
      <c r="C18" t="inlineStr">
        <is>
          <t>[linha bruta, sem código; lançada nas linhas abaixo]</t>
        </is>
      </c>
      <c r="D18" s="265" t="n">
        <v>1417000</v>
      </c>
      <c r="E18" s="265" t="n">
        <v>1802000</v>
      </c>
      <c r="F18" s="265" t="n">
        <v>1914000</v>
      </c>
      <c r="G18" s="265" t="n">
        <v>2398000</v>
      </c>
      <c r="I18" s="265" t="n">
        <v>2515000</v>
      </c>
      <c r="J18" s="265" t="n">
        <v>2999000</v>
      </c>
      <c r="K18" s="265" t="n">
        <v>3583000</v>
      </c>
      <c r="L18" s="265" t="n">
        <v>3774000</v>
      </c>
      <c r="N18" s="265" t="n">
        <v>3481000</v>
      </c>
      <c r="O18" s="265" t="n">
        <v>3303000</v>
      </c>
      <c r="P18" s="265" t="n">
        <v>3524000</v>
      </c>
      <c r="Q18" s="265" t="n">
        <v>1325000</v>
      </c>
      <c r="S18" s="265" t="n">
        <v>2121000</v>
      </c>
      <c r="T18" s="265" t="n">
        <v>-1875000</v>
      </c>
      <c r="U18" s="265" t="n">
        <v>4324000</v>
      </c>
      <c r="V18" s="265" t="n">
        <v>5503000</v>
      </c>
      <c r="X18" s="265" t="n">
        <v>4965000</v>
      </c>
      <c r="Y18" s="265" t="n">
        <v>4140000</v>
      </c>
      <c r="Z18" s="265" t="n">
        <v>8518000</v>
      </c>
      <c r="AA18" s="265" t="n">
        <v>7349000</v>
      </c>
      <c r="AC18" s="265" t="n">
        <v>9310000</v>
      </c>
      <c r="AD18" s="265" t="n">
        <v>13088000</v>
      </c>
    </row>
    <row r="19">
      <c r="A19" t="inlineStr">
        <is>
          <t>Resultado após IR não classificado acima (equivalência patrimonial, operações descontinuadas): lucro - (LAIR - IR - minoritários); zero quando não há · derivada · unid. moeda</t>
        </is>
      </c>
      <c r="B19" t="n">
        <v>8</v>
      </c>
      <c r="C19" t="inlineStr">
        <is>
          <t>Equity in Income of Affiliates, after tax (enter as +)</t>
        </is>
      </c>
      <c r="D19" s="265">
        <f>N(D18)-(N(D11)-N(D16)-0)</f>
        <v>-76000</v>
      </c>
      <c r="E19" s="265">
        <f>N(E18)-(N(E11)-N(E16)-0)</f>
        <v>-74000</v>
      </c>
      <c r="F19" s="265">
        <f>N(F18)-(N(F11)-N(F16)-0)</f>
        <v>-75000</v>
      </c>
      <c r="G19" s="265">
        <f>N(G18)-(N(G11)-N(G16)-0)</f>
        <v>-74000</v>
      </c>
      <c r="I19" s="265">
        <f>N(I18)-(N(I11)-N(I16)-0)</f>
        <v>-75000</v>
      </c>
      <c r="J19" s="265">
        <f>N(J18)-(N(J11)-N(J16)-0)</f>
        <v>-75000</v>
      </c>
      <c r="K19" s="265">
        <f>N(K18)-(N(K11)-N(K16)-0)</f>
        <v>224000</v>
      </c>
      <c r="L19" s="265">
        <f>N(L18)-(N(L11)-N(L16)-0)</f>
        <v>0</v>
      </c>
      <c r="N19" s="265">
        <f>N(N18)-(N(N11)-N(N16)-0)</f>
        <v>0</v>
      </c>
      <c r="O19" s="265">
        <f>N(O18)-(N(O11)-N(O16)-0)</f>
        <v>0</v>
      </c>
      <c r="P19" s="265">
        <f>N(P18)-(N(P11)-N(P16)-0)</f>
        <v>0</v>
      </c>
      <c r="Q19" s="265">
        <f>N(Q18)-(N(Q11)-N(Q16)-0)</f>
        <v>51000</v>
      </c>
      <c r="S19" s="265">
        <f>N(S18)-(N(S11)-N(S16)-0)</f>
        <v>0</v>
      </c>
      <c r="T19" s="265">
        <f>N(T18)-(N(T11)-N(T16)-0)</f>
        <v>-443000</v>
      </c>
      <c r="U19" s="265">
        <f>N(U18)-(N(U11)-N(U16)-0)</f>
        <v>119000</v>
      </c>
      <c r="V19" s="265">
        <f>N(V18)-(N(V11)-N(V16)-0)</f>
        <v>0</v>
      </c>
      <c r="X19" s="265">
        <f>N(X18)-(N(X11)-N(X16)-0)</f>
        <v>0</v>
      </c>
      <c r="Y19" s="265">
        <f>N(Y18)-(N(Y11)-N(Y16)-0)</f>
        <v>0</v>
      </c>
      <c r="Z19" s="265">
        <f>N(Z18)-(N(Z11)-N(Z16)-0)</f>
        <v>0</v>
      </c>
      <c r="AA19" s="265">
        <f>N(AA18)-(N(AA11)-N(AA16)-0)</f>
        <v>0</v>
      </c>
      <c r="AC19" s="265">
        <f>N(AC18)-(N(AC11)-N(AC16)-0)</f>
        <v>0</v>
      </c>
      <c r="AD19" s="265">
        <f>N(AD18)-(N(AD11)-N(AD16)-0)</f>
        <v>0</v>
      </c>
    </row>
    <row r="20">
      <c r="A20" t="inlineStr">
        <is>
          <t>Lucro líquido (check IS, código 44) · derivada · unid. moeda</t>
        </is>
      </c>
      <c r="B20" t="n">
        <v>44</v>
      </c>
      <c r="C20" t="inlineStr">
        <is>
          <t>Lucro líquido (check IS, código 44)</t>
        </is>
      </c>
      <c r="D20" s="265">
        <f>N(D18)</f>
        <v>1417000</v>
      </c>
      <c r="E20" s="265">
        <f>N(E18)</f>
        <v>1802000</v>
      </c>
      <c r="F20" s="265">
        <f>N(F18)</f>
        <v>1914000</v>
      </c>
      <c r="G20" s="265">
        <f>N(G18)</f>
        <v>2398000</v>
      </c>
      <c r="I20" s="265">
        <f>N(I18)</f>
        <v>2515000</v>
      </c>
      <c r="J20" s="265">
        <f>N(J18)</f>
        <v>2999000</v>
      </c>
      <c r="K20" s="265">
        <f>N(K18)</f>
        <v>3583000</v>
      </c>
      <c r="L20" s="265">
        <f>N(L18)</f>
        <v>3774000</v>
      </c>
      <c r="N20" s="265">
        <f>N(N18)</f>
        <v>3481000</v>
      </c>
      <c r="O20" s="265">
        <f>N(O18)</f>
        <v>3303000</v>
      </c>
      <c r="P20" s="265">
        <f>N(P18)</f>
        <v>3524000</v>
      </c>
      <c r="Q20" s="265">
        <f>N(Q18)</f>
        <v>1325000</v>
      </c>
      <c r="S20" s="265">
        <f>N(S18)</f>
        <v>2121000</v>
      </c>
      <c r="T20" s="265">
        <f>N(T18)</f>
        <v>-1875000</v>
      </c>
      <c r="U20" s="265">
        <f>N(U18)</f>
        <v>4324000</v>
      </c>
      <c r="V20" s="265">
        <f>N(V18)</f>
        <v>5503000</v>
      </c>
      <c r="X20" s="265">
        <f>N(X18)</f>
        <v>4965000</v>
      </c>
      <c r="Y20" s="265">
        <f>N(Y18)</f>
        <v>4140000</v>
      </c>
      <c r="Z20" s="265">
        <f>N(Z18)</f>
        <v>8518000</v>
      </c>
      <c r="AA20" s="265">
        <f>N(AA18)</f>
        <v>7349000</v>
      </c>
      <c r="AC20" s="265">
        <f>N(AC18)</f>
        <v>9310000</v>
      </c>
      <c r="AD20" s="265">
        <f>N(AD18)</f>
        <v>13088000</v>
      </c>
    </row>
    <row r="21">
      <c r="A21" t="inlineStr">
        <is>
          <t>DFC - trimestre isolado (desacumulado na extração)</t>
        </is>
      </c>
      <c r="C21" t="inlineStr">
        <is>
          <t>[linha bruta, sem código; lançada nas linhas abaixo]</t>
        </is>
      </c>
      <c r="D21" s="265" t="n"/>
      <c r="E21" s="265" t="n"/>
      <c r="F21" s="265" t="n"/>
      <c r="G21" s="265" t="n"/>
      <c r="I21" s="265" t="n"/>
      <c r="J21" s="265" t="n"/>
      <c r="K21" s="265" t="n"/>
      <c r="L21" s="265" t="n"/>
      <c r="N21" s="265" t="n"/>
      <c r="O21" s="265" t="n"/>
      <c r="P21" s="265" t="n"/>
      <c r="Q21" s="265" t="n"/>
      <c r="S21" s="265" t="n"/>
      <c r="T21" s="265" t="n"/>
      <c r="U21" s="265" t="n"/>
      <c r="V21" s="265" t="n"/>
      <c r="X21" s="265" t="n"/>
      <c r="Y21" s="265" t="n"/>
      <c r="Z21" s="265" t="n"/>
      <c r="AA21" s="265" t="n"/>
      <c r="AC21" s="265" t="n"/>
      <c r="AD21" s="265" t="n"/>
    </row>
    <row r="22">
      <c r="A22" t="inlineStr">
        <is>
          <t>D&amp;A (fluxo de caixa). COD1=4 lança (positivo -&gt; -1); COD2=3 devolve às despesas operacionais (a companhia não abre D&amp;A entre custo e despesa) [us-gaap:Depreciation+Amortizationofintangibleandrightofuseassets] · fonte · unid. moeda</t>
        </is>
      </c>
      <c r="C22" t="inlineStr">
        <is>
          <t>[linha bruta, sem código; lançada nas linhas abaixo]</t>
        </is>
      </c>
      <c r="D22" s="265" t="n">
        <v>1504000</v>
      </c>
      <c r="E22" s="265" t="n">
        <v>1503000</v>
      </c>
      <c r="F22" s="265" t="n">
        <v>1501000</v>
      </c>
      <c r="G22" s="265" t="n">
        <v>1287000</v>
      </c>
      <c r="I22" s="265" t="n">
        <v>1264000</v>
      </c>
      <c r="J22" s="265" t="n">
        <v>1217000</v>
      </c>
      <c r="K22" s="265" t="n">
        <v>1216000</v>
      </c>
      <c r="L22" s="265" t="n">
        <v>1032000</v>
      </c>
      <c r="N22" s="265" t="n">
        <v>939000</v>
      </c>
      <c r="O22" s="265" t="n">
        <v>932000</v>
      </c>
      <c r="P22" s="265" t="n">
        <v>932000</v>
      </c>
      <c r="Q22" s="265" t="n">
        <v>2345000</v>
      </c>
      <c r="S22" s="265" t="n">
        <v>2530000</v>
      </c>
      <c r="T22" s="265" t="n">
        <v>2524000</v>
      </c>
      <c r="U22" s="265" t="n">
        <v>2611000</v>
      </c>
      <c r="V22" s="265" t="n">
        <v>2174000</v>
      </c>
      <c r="X22" s="265" t="n">
        <v>2131000</v>
      </c>
      <c r="Y22" s="265" t="n">
        <v>2168000</v>
      </c>
      <c r="Z22" s="265" t="n">
        <v>2233000</v>
      </c>
      <c r="AA22" s="265" t="n">
        <v>2153000</v>
      </c>
      <c r="AC22" s="265" t="n">
        <v>2130000</v>
      </c>
      <c r="AD22" s="265" t="n">
        <v>2177000</v>
      </c>
    </row>
    <row r="23">
      <c r="A23" t="inlineStr">
        <is>
          <t>(lançamento) código 4, sinal -1 sobre a linha bruta 22: D&amp;A (fluxo de caixa). COD1=4 lança (positivo -&gt; -1); COD2=3 devolve às despesas operaciona</t>
        </is>
      </c>
      <c r="B23" t="n">
        <v>4</v>
      </c>
      <c r="C23" t="inlineStr">
        <is>
          <t>D&amp;A</t>
        </is>
      </c>
      <c r="D23" s="265">
        <f>IF(D22="","",-1*D22)</f>
        <v>-1504000</v>
      </c>
      <c r="E23" s="265">
        <f>IF(E22="","",-1*E22)</f>
        <v>-1503000</v>
      </c>
      <c r="F23" s="265">
        <f>IF(F22="","",-1*F22)</f>
        <v>-1501000</v>
      </c>
      <c r="G23" s="265">
        <f>IF(G22="","",-1*G22)</f>
        <v>-1287000</v>
      </c>
      <c r="I23" s="265">
        <f>IF(I22="","",-1*I22)</f>
        <v>-1264000</v>
      </c>
      <c r="J23" s="265">
        <f>IF(J22="","",-1*J22)</f>
        <v>-1217000</v>
      </c>
      <c r="K23" s="265">
        <f>IF(K22="","",-1*K22)</f>
        <v>-1216000</v>
      </c>
      <c r="L23" s="265">
        <f>IF(L22="","",-1*L22)</f>
        <v>-1032000</v>
      </c>
      <c r="N23" s="265">
        <f>IF(N22="","",-1*N22)</f>
        <v>-939000</v>
      </c>
      <c r="O23" s="265">
        <f>IF(O22="","",-1*O22)</f>
        <v>-932000</v>
      </c>
      <c r="P23" s="265">
        <f>IF(P22="","",-1*P22)</f>
        <v>-932000</v>
      </c>
      <c r="Q23" s="265">
        <f>IF(Q22="","",-1*Q22)</f>
        <v>-2345000</v>
      </c>
      <c r="S23" s="265">
        <f>IF(S22="","",-1*S22)</f>
        <v>-2530000</v>
      </c>
      <c r="T23" s="265">
        <f>IF(T22="","",-1*T22)</f>
        <v>-2524000</v>
      </c>
      <c r="U23" s="265">
        <f>IF(U22="","",-1*U22)</f>
        <v>-2611000</v>
      </c>
      <c r="V23" s="265">
        <f>IF(V22="","",-1*V22)</f>
        <v>-2174000</v>
      </c>
      <c r="X23" s="265">
        <f>IF(X22="","",-1*X22)</f>
        <v>-2131000</v>
      </c>
      <c r="Y23" s="265">
        <f>IF(Y22="","",-1*Y22)</f>
        <v>-2168000</v>
      </c>
      <c r="Z23" s="265">
        <f>IF(Z22="","",-1*Z22)</f>
        <v>-2233000</v>
      </c>
      <c r="AA23" s="265">
        <f>IF(AA22="","",-1*AA22)</f>
        <v>-2153000</v>
      </c>
      <c r="AC23" s="265">
        <f>IF(AC22="","",-1*AC22)</f>
        <v>-2130000</v>
      </c>
      <c r="AD23" s="265">
        <f>IF(AD22="","",-1*AD22)</f>
        <v>-2177000</v>
      </c>
    </row>
    <row r="24">
      <c r="A24" t="inlineStr">
        <is>
          <t>(lançamento) código 3, sinal +1 sobre a linha bruta 22: D&amp;A (fluxo de caixa). COD1=4 lança (positivo -&gt; -1); COD2=3 devolve às despesas operaciona</t>
        </is>
      </c>
      <c r="B24" t="n">
        <v>3</v>
      </c>
      <c r="C24" t="inlineStr">
        <is>
          <t>SG&amp;A and Other (cash)</t>
        </is>
      </c>
      <c r="D24" s="265">
        <f>IF(D22="","",D22)</f>
        <v>1504000</v>
      </c>
      <c r="E24" s="265">
        <f>IF(E22="","",E22)</f>
        <v>1503000</v>
      </c>
      <c r="F24" s="265">
        <f>IF(F22="","",F22)</f>
        <v>1501000</v>
      </c>
      <c r="G24" s="265">
        <f>IF(G22="","",G22)</f>
        <v>1287000</v>
      </c>
      <c r="I24" s="265">
        <f>IF(I22="","",I22)</f>
        <v>1264000</v>
      </c>
      <c r="J24" s="265">
        <f>IF(J22="","",J22)</f>
        <v>1217000</v>
      </c>
      <c r="K24" s="265">
        <f>IF(K22="","",K22)</f>
        <v>1216000</v>
      </c>
      <c r="L24" s="265">
        <f>IF(L22="","",L22)</f>
        <v>1032000</v>
      </c>
      <c r="N24" s="265">
        <f>IF(N22="","",N22)</f>
        <v>939000</v>
      </c>
      <c r="O24" s="265">
        <f>IF(O22="","",O22)</f>
        <v>932000</v>
      </c>
      <c r="P24" s="265">
        <f>IF(P22="","",P22)</f>
        <v>932000</v>
      </c>
      <c r="Q24" s="265">
        <f>IF(Q22="","",Q22)</f>
        <v>2345000</v>
      </c>
      <c r="S24" s="265">
        <f>IF(S22="","",S22)</f>
        <v>2530000</v>
      </c>
      <c r="T24" s="265">
        <f>IF(T22="","",T22)</f>
        <v>2524000</v>
      </c>
      <c r="U24" s="265">
        <f>IF(U22="","",U22)</f>
        <v>2611000</v>
      </c>
      <c r="V24" s="265">
        <f>IF(V22="","",V22)</f>
        <v>2174000</v>
      </c>
      <c r="X24" s="265">
        <f>IF(X22="","",X22)</f>
        <v>2131000</v>
      </c>
      <c r="Y24" s="265">
        <f>IF(Y22="","",Y22)</f>
        <v>2168000</v>
      </c>
      <c r="Z24" s="265">
        <f>IF(Z22="","",Z22)</f>
        <v>2233000</v>
      </c>
      <c r="AA24" s="265">
        <f>IF(AA22="","",AA22)</f>
        <v>2153000</v>
      </c>
      <c r="AC24" s="265">
        <f>IF(AC22="","",AC22)</f>
        <v>2130000</v>
      </c>
      <c r="AD24" s="265">
        <f>IF(AD22="","",AD22)</f>
        <v>2177000</v>
      </c>
    </row>
    <row r="25">
      <c r="A25" t="inlineStr">
        <is>
          <t>Dividendos pagos [us-gaap:PaymentsOfDividends] · fonte · unid. moeda</t>
        </is>
      </c>
      <c r="C25" t="inlineStr">
        <is>
          <t>[linha bruta, sem código; lançada nas linhas abaixo]</t>
        </is>
      </c>
      <c r="D25" s="265" t="n">
        <v>1477000</v>
      </c>
      <c r="E25" s="265" t="n">
        <v>1482000</v>
      </c>
      <c r="F25" s="265" t="n">
        <v>1561000</v>
      </c>
      <c r="G25" s="265" t="n">
        <v>1764000</v>
      </c>
      <c r="I25" s="265" t="n">
        <v>1676000</v>
      </c>
      <c r="J25" s="265" t="n">
        <v>1661000</v>
      </c>
      <c r="K25" s="265" t="n">
        <v>1782000</v>
      </c>
      <c r="L25" s="265" t="n">
        <v>1926000</v>
      </c>
      <c r="N25" s="265" t="n">
        <v>1914000</v>
      </c>
      <c r="O25" s="265" t="n">
        <v>1901000</v>
      </c>
      <c r="P25" s="265" t="n">
        <v>1904000</v>
      </c>
      <c r="Q25" s="265" t="n">
        <v>2435000</v>
      </c>
      <c r="S25" s="265" t="n">
        <v>2443000</v>
      </c>
      <c r="T25" s="265" t="n">
        <v>2452000</v>
      </c>
      <c r="U25" s="265" t="n">
        <v>2484000</v>
      </c>
      <c r="V25" s="265" t="n">
        <v>2774000</v>
      </c>
      <c r="X25" s="265" t="n">
        <v>2785000</v>
      </c>
      <c r="Y25" s="265" t="n">
        <v>2786000</v>
      </c>
      <c r="Z25" s="265" t="n">
        <v>2797000</v>
      </c>
      <c r="AA25" s="265" t="n">
        <v>3086000</v>
      </c>
      <c r="AC25" s="265" t="n">
        <v>3092000</v>
      </c>
      <c r="AD25" s="265" t="n">
        <v>3103000</v>
      </c>
    </row>
    <row r="26">
      <c r="A26" t="inlineStr">
        <is>
          <t>(lançamento) código 10, sinal -1 sobre a linha bruta 25: Dividendos pagos [us-gaap:PaymentsOfDividends]</t>
        </is>
      </c>
      <c r="B26" t="n">
        <v>10</v>
      </c>
      <c r="C26" t="inlineStr">
        <is>
          <t>Common Dividends</t>
        </is>
      </c>
      <c r="D26" s="265">
        <f>IF(D25="","",-1*D25)</f>
        <v>-1477000</v>
      </c>
      <c r="E26" s="265">
        <f>IF(E25="","",-1*E25)</f>
        <v>-1482000</v>
      </c>
      <c r="F26" s="265">
        <f>IF(F25="","",-1*F25)</f>
        <v>-1561000</v>
      </c>
      <c r="G26" s="265">
        <f>IF(G25="","",-1*G25)</f>
        <v>-1764000</v>
      </c>
      <c r="I26" s="265">
        <f>IF(I25="","",-1*I25)</f>
        <v>-1676000</v>
      </c>
      <c r="J26" s="265">
        <f>IF(J25="","",-1*J25)</f>
        <v>-1661000</v>
      </c>
      <c r="K26" s="265">
        <f>IF(K25="","",-1*K25)</f>
        <v>-1782000</v>
      </c>
      <c r="L26" s="265">
        <f>IF(L25="","",-1*L25)</f>
        <v>-1926000</v>
      </c>
      <c r="N26" s="265">
        <f>IF(N25="","",-1*N25)</f>
        <v>-1914000</v>
      </c>
      <c r="O26" s="265">
        <f>IF(O25="","",-1*O25)</f>
        <v>-1901000</v>
      </c>
      <c r="P26" s="265">
        <f>IF(P25="","",-1*P25)</f>
        <v>-1904000</v>
      </c>
      <c r="Q26" s="265">
        <f>IF(Q25="","",-1*Q25)</f>
        <v>-2435000</v>
      </c>
      <c r="S26" s="265">
        <f>IF(S25="","",-1*S25)</f>
        <v>-2443000</v>
      </c>
      <c r="T26" s="265">
        <f>IF(T25="","",-1*T25)</f>
        <v>-2452000</v>
      </c>
      <c r="U26" s="265">
        <f>IF(U25="","",-1*U25)</f>
        <v>-2484000</v>
      </c>
      <c r="V26" s="265">
        <f>IF(V25="","",-1*V25)</f>
        <v>-2774000</v>
      </c>
      <c r="X26" s="265">
        <f>IF(X25="","",-1*X25)</f>
        <v>-2785000</v>
      </c>
      <c r="Y26" s="265">
        <f>IF(Y25="","",-1*Y25)</f>
        <v>-2786000</v>
      </c>
      <c r="Z26" s="265">
        <f>IF(Z25="","",-1*Z25)</f>
        <v>-2797000</v>
      </c>
      <c r="AA26" s="265">
        <f>IF(AA25="","",-1*AA25)</f>
        <v>-3086000</v>
      </c>
      <c r="AC26" s="265">
        <f>IF(AC25="","",-1*AC25)</f>
        <v>-3092000</v>
      </c>
      <c r="AD26" s="265">
        <f>IF(AD25="","",-1*AD25)</f>
        <v>-3103000</v>
      </c>
    </row>
    <row r="27">
      <c r="A27" t="inlineStr">
        <is>
          <t>BALANÇO DE FACE (USD, saldo no fim do trimestre; cada trimestre lido da instância do próprio 10-Q/10-K)</t>
        </is>
      </c>
      <c r="C27" t="inlineStr">
        <is>
          <t>[linha bruta, sem código; lançada nas linhas abaixo]</t>
        </is>
      </c>
      <c r="D27" s="265" t="n"/>
      <c r="E27" s="265" t="n"/>
      <c r="F27" s="265" t="n"/>
      <c r="G27" s="265" t="n"/>
      <c r="I27" s="265" t="n"/>
      <c r="J27" s="265" t="n"/>
      <c r="K27" s="265" t="n"/>
      <c r="L27" s="265" t="n"/>
      <c r="N27" s="265" t="n"/>
      <c r="O27" s="265" t="n"/>
      <c r="P27" s="265" t="n"/>
      <c r="Q27" s="265" t="n"/>
      <c r="S27" s="265" t="n"/>
      <c r="T27" s="265" t="n"/>
      <c r="U27" s="265" t="n"/>
      <c r="V27" s="265" t="n"/>
      <c r="X27" s="265" t="n"/>
      <c r="Y27" s="265" t="n"/>
      <c r="Z27" s="265" t="n"/>
      <c r="AA27" s="265" t="n"/>
      <c r="AC27" s="265" t="n"/>
      <c r="AD27" s="265" t="n"/>
    </row>
    <row r="28">
      <c r="A28" t="inlineStr">
        <is>
          <t>CashAndCashEquivalentsAtCarryingValue · fonte · unid. moeda</t>
        </is>
      </c>
      <c r="B28" t="n">
        <v>11</v>
      </c>
      <c r="C28" t="inlineStr">
        <is>
          <t>Cash and equivalents (inc. investment securities)</t>
        </is>
      </c>
      <c r="D28" s="265" t="n">
        <v>9518000</v>
      </c>
      <c r="E28" s="265" t="n">
        <v>11105000</v>
      </c>
      <c r="F28" s="265" t="n">
        <v>12163000</v>
      </c>
      <c r="G28" s="265" t="n">
        <v>10219000</v>
      </c>
      <c r="I28" s="265" t="n">
        <v>9005000</v>
      </c>
      <c r="J28" s="265" t="n">
        <v>9977000</v>
      </c>
      <c r="K28" s="265" t="n">
        <v>12416000</v>
      </c>
      <c r="L28" s="265" t="n">
        <v>12647000</v>
      </c>
      <c r="N28" s="265" t="n">
        <v>11553000</v>
      </c>
      <c r="O28" s="265" t="n">
        <v>12055000</v>
      </c>
      <c r="P28" s="265" t="n">
        <v>14189000</v>
      </c>
      <c r="Q28" s="265" t="n">
        <v>11864000</v>
      </c>
      <c r="S28" s="265" t="n">
        <v>9809000</v>
      </c>
      <c r="T28" s="265" t="n">
        <v>9952000</v>
      </c>
      <c r="U28" s="265" t="n">
        <v>9348000</v>
      </c>
      <c r="V28" s="265" t="n">
        <v>9307000</v>
      </c>
      <c r="X28" s="265" t="n">
        <v>9472000</v>
      </c>
      <c r="Y28" s="265" t="n">
        <v>10718000</v>
      </c>
      <c r="Z28" s="265" t="n">
        <v>16178000</v>
      </c>
      <c r="AA28" s="265" t="n">
        <v>14174000</v>
      </c>
      <c r="AC28" s="265" t="n">
        <v>19628000</v>
      </c>
      <c r="AD28" s="265" t="n">
        <v>23975000</v>
      </c>
    </row>
    <row r="29">
      <c r="A29" t="inlineStr">
        <is>
          <t>AccountsReceivableNetCurrent · fonte · unid. moeda</t>
        </is>
      </c>
      <c r="B29" t="n">
        <v>12</v>
      </c>
      <c r="C29" t="inlineStr">
        <is>
          <t>Accounts receivable</t>
        </is>
      </c>
      <c r="D29" s="265" t="n">
        <v>2425000</v>
      </c>
      <c r="E29" s="265" t="n">
        <v>2234000</v>
      </c>
      <c r="F29" s="265" t="n">
        <v>2071000</v>
      </c>
      <c r="G29" s="265" t="n">
        <v>2539000</v>
      </c>
      <c r="I29" s="265" t="n">
        <v>3083000</v>
      </c>
      <c r="J29" s="265" t="n">
        <v>2708000</v>
      </c>
      <c r="K29" s="265" t="n">
        <v>2958000</v>
      </c>
      <c r="L29" s="265" t="n">
        <v>3234000</v>
      </c>
      <c r="N29" s="265" t="n">
        <v>3031000</v>
      </c>
      <c r="O29" s="265" t="n">
        <v>2914000</v>
      </c>
      <c r="P29" s="265" t="n">
        <v>3154000</v>
      </c>
      <c r="Q29" s="265" t="n">
        <v>4969000</v>
      </c>
      <c r="S29" s="265" t="n">
        <v>5500000</v>
      </c>
      <c r="T29" s="265" t="n">
        <v>4665000</v>
      </c>
      <c r="U29" s="265" t="n">
        <v>4416000</v>
      </c>
      <c r="V29" s="265" t="n">
        <v>4955000</v>
      </c>
      <c r="X29" s="265" t="n">
        <v>5563000</v>
      </c>
      <c r="Y29" s="265" t="n">
        <v>6494000</v>
      </c>
      <c r="Z29" s="265" t="n">
        <v>7145000</v>
      </c>
      <c r="AA29" s="265" t="n">
        <v>8460000</v>
      </c>
      <c r="AC29" s="265" t="n">
        <v>10830000</v>
      </c>
      <c r="AD29" s="265" t="n">
        <v>13707000</v>
      </c>
    </row>
    <row r="30">
      <c r="A30" t="inlineStr">
        <is>
          <t>InventoryNet · fonte · unid. moeda</t>
        </is>
      </c>
      <c r="B30" t="n">
        <v>13</v>
      </c>
      <c r="C30" t="inlineStr">
        <is>
          <t>Inventories</t>
        </is>
      </c>
      <c r="D30" s="265" t="n">
        <v>1004000</v>
      </c>
      <c r="E30" s="265" t="n">
        <v>1160000</v>
      </c>
      <c r="F30" s="265" t="n">
        <v>1297000</v>
      </c>
      <c r="G30" s="265" t="n">
        <v>1520000</v>
      </c>
      <c r="I30" s="265" t="n">
        <v>1668000</v>
      </c>
      <c r="J30" s="265" t="n">
        <v>1838000</v>
      </c>
      <c r="K30" s="265" t="n">
        <v>1925000</v>
      </c>
      <c r="L30" s="265" t="n">
        <v>1899000</v>
      </c>
      <c r="N30" s="265" t="n">
        <v>1886000</v>
      </c>
      <c r="O30" s="265" t="n">
        <v>1842000</v>
      </c>
      <c r="P30" s="265" t="n">
        <v>1898000</v>
      </c>
      <c r="Q30" s="265" t="n">
        <v>1920000</v>
      </c>
      <c r="S30" s="265" t="n">
        <v>1842000</v>
      </c>
      <c r="T30" s="265" t="n">
        <v>1894000</v>
      </c>
      <c r="U30" s="265" t="n">
        <v>1760000</v>
      </c>
      <c r="V30" s="265" t="n">
        <v>1908000</v>
      </c>
      <c r="X30" s="265" t="n">
        <v>2017000</v>
      </c>
      <c r="Y30" s="265" t="n">
        <v>2180000</v>
      </c>
      <c r="Z30" s="265" t="n">
        <v>2270000</v>
      </c>
      <c r="AA30" s="265" t="n">
        <v>2962000</v>
      </c>
      <c r="AC30" s="265" t="n">
        <v>4328000</v>
      </c>
      <c r="AD30" s="265" t="n">
        <v>4523000</v>
      </c>
    </row>
    <row r="31">
      <c r="A31" t="inlineStr">
        <is>
          <t>OtherAssetsCurrent · fonte · unid. moeda</t>
        </is>
      </c>
      <c r="B31" t="n">
        <v>16</v>
      </c>
      <c r="C31" t="inlineStr">
        <is>
          <t>Other current assets</t>
        </is>
      </c>
      <c r="D31" s="265" t="n">
        <v>1298000</v>
      </c>
      <c r="E31" s="265" t="n">
        <v>1137000</v>
      </c>
      <c r="F31" s="265" t="n">
        <v>1055000</v>
      </c>
      <c r="G31" s="265" t="n">
        <v>1063000</v>
      </c>
      <c r="I31" s="265" t="n">
        <v>1054000</v>
      </c>
      <c r="J31" s="265" t="n">
        <v>1038000</v>
      </c>
      <c r="K31" s="265" t="n">
        <v>1205000</v>
      </c>
      <c r="L31" s="265" t="n">
        <v>1056000</v>
      </c>
      <c r="N31" s="265" t="n">
        <v>1401000</v>
      </c>
      <c r="O31" s="265" t="n">
        <v>1522000</v>
      </c>
      <c r="P31" s="265" t="n">
        <v>1606000</v>
      </c>
      <c r="Q31" s="265" t="n">
        <v>8439000</v>
      </c>
      <c r="S31" s="265" t="n">
        <v>8151000</v>
      </c>
      <c r="T31" s="265" t="n">
        <v>3436000</v>
      </c>
      <c r="U31" s="265" t="n">
        <v>4071000</v>
      </c>
      <c r="V31" s="265" t="n">
        <v>4820000</v>
      </c>
      <c r="X31" s="265" t="n">
        <v>5129000</v>
      </c>
      <c r="Y31" s="265" t="n">
        <v>5606000</v>
      </c>
      <c r="Z31" s="265" t="n">
        <v>5980000</v>
      </c>
      <c r="AA31" s="265" t="n">
        <v>6466000</v>
      </c>
      <c r="AC31" s="265" t="n">
        <v>7427000</v>
      </c>
      <c r="AD31" s="265" t="n">
        <v>9968000</v>
      </c>
    </row>
    <row r="32">
      <c r="A32" t="inlineStr">
        <is>
          <t>PropertyPlantAndEquipmentNet · fonte · unid. moeda</t>
        </is>
      </c>
      <c r="B32" t="n">
        <v>18</v>
      </c>
      <c r="C32" t="inlineStr">
        <is>
          <t>PP&amp;E</t>
        </is>
      </c>
      <c r="D32" s="265" t="n">
        <v>2416000</v>
      </c>
      <c r="E32" s="265" t="n">
        <v>2370000</v>
      </c>
      <c r="F32" s="265" t="n">
        <v>2348000</v>
      </c>
      <c r="G32" s="265" t="n">
        <v>2303000</v>
      </c>
      <c r="I32" s="265" t="n">
        <v>2262000</v>
      </c>
      <c r="J32" s="265" t="n">
        <v>2250000</v>
      </c>
      <c r="K32" s="265" t="n">
        <v>2223000</v>
      </c>
      <c r="L32" s="265" t="n">
        <v>2201000</v>
      </c>
      <c r="N32" s="265" t="n">
        <v>2209000</v>
      </c>
      <c r="O32" s="265" t="n">
        <v>2180000</v>
      </c>
      <c r="P32" s="265" t="n">
        <v>2154000</v>
      </c>
      <c r="Q32" s="265" t="n">
        <v>2662000</v>
      </c>
      <c r="S32" s="265" t="n">
        <v>2668000</v>
      </c>
      <c r="T32" s="265" t="n">
        <v>2602000</v>
      </c>
      <c r="U32" s="265" t="n">
        <v>2521000</v>
      </c>
      <c r="V32" s="265" t="n">
        <v>2465000</v>
      </c>
      <c r="X32" s="265" t="n">
        <v>2462000</v>
      </c>
      <c r="Y32" s="265" t="n">
        <v>2451000</v>
      </c>
      <c r="Z32" s="265" t="n">
        <v>2530000</v>
      </c>
      <c r="AA32" s="265" t="n">
        <v>2599000</v>
      </c>
      <c r="AC32" s="265" t="n">
        <v>2788000</v>
      </c>
      <c r="AD32" s="265" t="n">
        <v>3144000</v>
      </c>
    </row>
    <row r="33">
      <c r="A33" t="inlineStr">
        <is>
          <t>Goodwill · fonte · unid. moeda</t>
        </is>
      </c>
      <c r="B33" t="n">
        <v>20</v>
      </c>
      <c r="C33" t="inlineStr">
        <is>
          <t>Goodwill</t>
        </is>
      </c>
      <c r="D33" s="265" t="n">
        <v>43457000</v>
      </c>
      <c r="E33" s="265" t="n">
        <v>43457000</v>
      </c>
      <c r="F33" s="265" t="n">
        <v>43450000</v>
      </c>
      <c r="G33" s="265" t="n">
        <v>43450000</v>
      </c>
      <c r="I33" s="265" t="n">
        <v>43603000</v>
      </c>
      <c r="J33" s="265" t="n">
        <v>43608000</v>
      </c>
      <c r="K33" s="265" t="n">
        <v>43614000</v>
      </c>
      <c r="L33" s="265" t="n">
        <v>43614000</v>
      </c>
      <c r="N33" s="265" t="n">
        <v>43614000</v>
      </c>
      <c r="O33" s="265" t="n">
        <v>43619000</v>
      </c>
      <c r="P33" s="265" t="n">
        <v>43653000</v>
      </c>
      <c r="Q33" s="265" t="n">
        <v>97586000</v>
      </c>
      <c r="S33" s="265" t="n">
        <v>97873000</v>
      </c>
      <c r="T33" s="265" t="n">
        <v>97873000</v>
      </c>
      <c r="U33" s="265" t="n">
        <v>97873000</v>
      </c>
      <c r="V33" s="265" t="n">
        <v>97871000</v>
      </c>
      <c r="X33" s="265" t="n">
        <v>97801000</v>
      </c>
      <c r="Y33" s="265" t="n">
        <v>97801000</v>
      </c>
      <c r="Z33" s="265" t="n">
        <v>97801000</v>
      </c>
      <c r="AA33" s="265" t="n">
        <v>97801000</v>
      </c>
      <c r="AC33" s="265" t="n">
        <v>97801000</v>
      </c>
      <c r="AD33" s="265" t="n">
        <v>97801000</v>
      </c>
    </row>
    <row r="34">
      <c r="A34" t="inlineStr">
        <is>
          <t>IntangibleAssetsNetExcludingGoodwill · fonte · unid. moeda</t>
        </is>
      </c>
      <c r="B34" t="n">
        <v>21</v>
      </c>
      <c r="C34" t="inlineStr">
        <is>
          <t>Intangibles</t>
        </is>
      </c>
      <c r="D34" s="265" t="n">
        <v>14068000</v>
      </c>
      <c r="E34" s="265" t="n">
        <v>12719000</v>
      </c>
      <c r="F34" s="265" t="n">
        <v>11374000</v>
      </c>
      <c r="G34" s="265" t="n">
        <v>10244000</v>
      </c>
      <c r="I34" s="265" t="n">
        <v>9241000</v>
      </c>
      <c r="J34" s="265" t="n">
        <v>8174000</v>
      </c>
      <c r="K34" s="265" t="n">
        <v>7111000</v>
      </c>
      <c r="L34" s="265" t="n">
        <v>6225000</v>
      </c>
      <c r="N34" s="265" t="n">
        <v>5434000</v>
      </c>
      <c r="O34" s="265" t="n">
        <v>4654000</v>
      </c>
      <c r="P34" s="265" t="n">
        <v>3867000</v>
      </c>
      <c r="Q34" s="265" t="n">
        <v>47185000</v>
      </c>
      <c r="S34" s="265" t="n">
        <v>45407000</v>
      </c>
      <c r="T34" s="265" t="n">
        <v>43034000</v>
      </c>
      <c r="U34" s="265" t="n">
        <v>40583000</v>
      </c>
      <c r="V34" s="265" t="n">
        <v>38583000</v>
      </c>
      <c r="X34" s="265" t="n">
        <v>36393000</v>
      </c>
      <c r="Y34" s="265" t="n">
        <v>34344000</v>
      </c>
      <c r="Z34" s="265" t="n">
        <v>32273000</v>
      </c>
      <c r="AA34" s="265" t="n">
        <v>30302000</v>
      </c>
      <c r="AC34" s="265" t="n">
        <v>28333000</v>
      </c>
      <c r="AD34" s="265" t="n">
        <v>26325000</v>
      </c>
    </row>
    <row r="35">
      <c r="A35" t="inlineStr">
        <is>
          <t>OtherAssetsNoncurrent · fonte · unid. moeda</t>
        </is>
      </c>
      <c r="B35" t="n">
        <v>22</v>
      </c>
      <c r="C35" t="inlineStr">
        <is>
          <t>Other non-current assets</t>
        </is>
      </c>
      <c r="D35" s="265" t="n">
        <v>1338000</v>
      </c>
      <c r="E35" s="265" t="n">
        <v>1698000</v>
      </c>
      <c r="F35" s="265" t="n">
        <v>1812000</v>
      </c>
      <c r="G35" s="265" t="n">
        <v>1886000</v>
      </c>
      <c r="I35" s="265" t="n">
        <v>1803000</v>
      </c>
      <c r="J35" s="265" t="n">
        <v>1733000</v>
      </c>
      <c r="K35" s="265" t="n">
        <v>1797000</v>
      </c>
      <c r="L35" s="265" t="n">
        <v>2100000</v>
      </c>
      <c r="N35" s="265" t="n">
        <v>2539000</v>
      </c>
      <c r="O35" s="265" t="n">
        <v>2809000</v>
      </c>
      <c r="P35" s="265" t="n">
        <v>2340000</v>
      </c>
      <c r="Q35" s="265" t="n">
        <v>3245000</v>
      </c>
      <c r="S35" s="265" t="n">
        <v>3961000</v>
      </c>
      <c r="T35" s="265" t="n">
        <v>4510000</v>
      </c>
      <c r="U35" s="265" t="n">
        <v>5073000</v>
      </c>
      <c r="V35" s="265" t="n">
        <v>5449000</v>
      </c>
      <c r="X35" s="265" t="n">
        <v>5793000</v>
      </c>
      <c r="Y35" s="265" t="n">
        <v>6027000</v>
      </c>
      <c r="Z35" s="265" t="n">
        <v>6915000</v>
      </c>
      <c r="AA35" s="265" t="n">
        <v>7139000</v>
      </c>
      <c r="AC35" s="265" t="n">
        <v>8023000</v>
      </c>
      <c r="AD35" s="265" t="n">
        <v>8705000</v>
      </c>
    </row>
    <row r="36">
      <c r="A36" t="inlineStr">
        <is>
          <t>AccountsPayableCurrent · fonte · unid. moeda</t>
        </is>
      </c>
      <c r="B36" t="n">
        <v>23</v>
      </c>
      <c r="C36" t="inlineStr">
        <is>
          <t>Accounts payable</t>
        </is>
      </c>
      <c r="D36" s="265" t="n">
        <v>830000</v>
      </c>
      <c r="E36" s="265" t="n">
        <v>968000</v>
      </c>
      <c r="F36" s="265" t="n">
        <v>1086000</v>
      </c>
      <c r="G36" s="265" t="n">
        <v>1078000</v>
      </c>
      <c r="I36" s="265" t="n">
        <v>1069000</v>
      </c>
      <c r="J36" s="265" t="n">
        <v>712000</v>
      </c>
      <c r="K36" s="265" t="n">
        <v>998000</v>
      </c>
      <c r="L36" s="265" t="n">
        <v>923000</v>
      </c>
      <c r="N36" s="265" t="n">
        <v>831000</v>
      </c>
      <c r="O36" s="265" t="n">
        <v>992000</v>
      </c>
      <c r="P36" s="265" t="n">
        <v>1210000</v>
      </c>
      <c r="Q36" s="265" t="n">
        <v>1496000</v>
      </c>
      <c r="S36" s="265" t="n">
        <v>1441000</v>
      </c>
      <c r="T36" s="265" t="n">
        <v>1757000</v>
      </c>
      <c r="U36" s="265" t="n">
        <v>1662000</v>
      </c>
      <c r="V36" s="265" t="n">
        <v>1905000</v>
      </c>
      <c r="X36" s="265" t="n">
        <v>1297000</v>
      </c>
      <c r="Y36" s="265" t="n">
        <v>1432000</v>
      </c>
      <c r="Z36" s="265" t="n">
        <v>1560000</v>
      </c>
      <c r="AA36" s="265" t="n">
        <v>2112000</v>
      </c>
      <c r="AC36" s="265" t="n">
        <v>2337000</v>
      </c>
      <c r="AD36" s="265" t="n">
        <v>4000000</v>
      </c>
    </row>
    <row r="37">
      <c r="A37" t="inlineStr">
        <is>
          <t>EmployeeRelatedLiabilitiesCurrent · fonte · unid. moeda</t>
        </is>
      </c>
      <c r="B37" t="n">
        <v>24</v>
      </c>
      <c r="C37" t="inlineStr">
        <is>
          <t>Accrued expenses</t>
        </is>
      </c>
      <c r="D37" s="265" t="n">
        <v>639000</v>
      </c>
      <c r="E37" s="265" t="n">
        <v>893000</v>
      </c>
      <c r="F37" s="265" t="n">
        <v>1066000</v>
      </c>
      <c r="G37" s="265" t="n">
        <v>531000</v>
      </c>
      <c r="I37" s="265" t="n">
        <v>751000</v>
      </c>
      <c r="J37" s="265" t="n">
        <v>1079000</v>
      </c>
      <c r="K37" s="265" t="n">
        <v>1202000</v>
      </c>
      <c r="L37" s="265" t="n">
        <v>536000</v>
      </c>
      <c r="N37" s="265" t="n">
        <v>634000</v>
      </c>
      <c r="O37" s="265" t="n">
        <v>831000</v>
      </c>
      <c r="P37" s="265" t="n">
        <v>935000</v>
      </c>
      <c r="Q37" s="265" t="n">
        <v>1128000</v>
      </c>
      <c r="S37" s="265" t="n">
        <v>1385000</v>
      </c>
      <c r="T37" s="265" t="n">
        <v>1725000</v>
      </c>
      <c r="U37" s="265" t="n">
        <v>1971000</v>
      </c>
      <c r="V37" s="265" t="n">
        <v>922000</v>
      </c>
      <c r="X37" s="265" t="n">
        <v>1266000</v>
      </c>
      <c r="Y37" s="265" t="n">
        <v>1719000</v>
      </c>
      <c r="Z37" s="265" t="n">
        <v>2129000</v>
      </c>
      <c r="AA37" s="265" t="n">
        <v>864000</v>
      </c>
      <c r="AC37" s="265" t="n">
        <v>1134000</v>
      </c>
      <c r="AD37" s="265" t="n">
        <v>1506000</v>
      </c>
    </row>
    <row r="38">
      <c r="A38" t="inlineStr">
        <is>
          <t>OtherLiabilitiesCurrent · fonte · unid. moeda</t>
        </is>
      </c>
      <c r="B38" t="n">
        <v>26</v>
      </c>
      <c r="C38" t="inlineStr">
        <is>
          <t>Other current liabilities (non-debt)</t>
        </is>
      </c>
      <c r="D38" s="265" t="n">
        <v>4689000</v>
      </c>
      <c r="E38" s="265" t="n">
        <v>4361000</v>
      </c>
      <c r="F38" s="265" t="n">
        <v>3839000</v>
      </c>
      <c r="G38" s="265" t="n">
        <v>4378000</v>
      </c>
      <c r="I38" s="265" t="n">
        <v>4788000</v>
      </c>
      <c r="J38" s="265" t="n">
        <v>4607000</v>
      </c>
      <c r="K38" s="265" t="n">
        <v>4412000</v>
      </c>
      <c r="L38" s="265" t="n">
        <v>4909000</v>
      </c>
      <c r="N38" s="265" t="n">
        <v>4929000</v>
      </c>
      <c r="O38" s="265" t="n">
        <v>4403000</v>
      </c>
      <c r="P38" s="265" t="n">
        <v>3652000</v>
      </c>
      <c r="Q38" s="265" t="n">
        <v>15312000</v>
      </c>
      <c r="S38" s="265" t="n">
        <v>14919000</v>
      </c>
      <c r="T38" s="265" t="n">
        <v>12578000</v>
      </c>
      <c r="U38" s="265" t="n">
        <v>11793000</v>
      </c>
      <c r="V38" s="265" t="n">
        <v>12430000</v>
      </c>
      <c r="X38" s="265" t="n">
        <v>12503000</v>
      </c>
      <c r="Y38" s="265" t="n">
        <v>12154000</v>
      </c>
      <c r="Z38" s="265" t="n">
        <v>11673000</v>
      </c>
      <c r="AA38" s="265" t="n">
        <v>11631000</v>
      </c>
      <c r="AC38" s="265" t="n">
        <v>13139000</v>
      </c>
      <c r="AD38" s="265" t="n">
        <v>13080000</v>
      </c>
    </row>
    <row r="39">
      <c r="A39" t="inlineStr">
        <is>
          <t>LongTermDebtCurrent · fonte · unid. moeda</t>
        </is>
      </c>
      <c r="B39" t="n">
        <v>27</v>
      </c>
      <c r="C39" t="inlineStr">
        <is>
          <t>Current portion of long-term debt</t>
        </is>
      </c>
      <c r="D39" s="265" t="n">
        <v>0</v>
      </c>
      <c r="E39" s="265" t="n">
        <v>279000</v>
      </c>
      <c r="F39" s="265" t="n">
        <v>290000</v>
      </c>
      <c r="G39" s="265" t="n">
        <v>300000</v>
      </c>
      <c r="I39" s="265" t="n">
        <v>0</v>
      </c>
      <c r="J39" s="265" t="n">
        <v>0</v>
      </c>
      <c r="K39" s="265" t="n">
        <v>0</v>
      </c>
      <c r="L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C39" s="265" t="n">
        <v>0</v>
      </c>
      <c r="AD39" s="265" t="n">
        <v>0</v>
      </c>
    </row>
    <row r="40">
      <c r="A40" t="inlineStr">
        <is>
          <t>LongTermDebtAndCapitalLeaseObligationsCurrent · fonte · unid. moeda</t>
        </is>
      </c>
      <c r="B40" t="n">
        <v>27</v>
      </c>
      <c r="C40" t="inlineStr">
        <is>
          <t>Current portion of long-term debt</t>
        </is>
      </c>
      <c r="D40" s="265" t="n">
        <v>278000</v>
      </c>
      <c r="E40" s="265" t="n">
        <v>0</v>
      </c>
      <c r="F40" s="265" t="n">
        <v>0</v>
      </c>
      <c r="G40" s="265" t="n">
        <v>0</v>
      </c>
      <c r="I40" s="265" t="n">
        <v>302000</v>
      </c>
      <c r="J40" s="265" t="n">
        <v>304000</v>
      </c>
      <c r="K40" s="265" t="n">
        <v>440000</v>
      </c>
      <c r="L40" s="265" t="n">
        <v>1115000</v>
      </c>
      <c r="N40" s="265" t="n">
        <v>1117000</v>
      </c>
      <c r="O40" s="265" t="n">
        <v>1119000</v>
      </c>
      <c r="P40" s="265" t="n">
        <v>1608000</v>
      </c>
      <c r="Q40" s="265" t="n">
        <v>2433000</v>
      </c>
      <c r="S40" s="265" t="n">
        <v>2426000</v>
      </c>
      <c r="T40" s="265" t="n">
        <v>3161000</v>
      </c>
      <c r="U40" s="265" t="n">
        <v>1271000</v>
      </c>
      <c r="V40" s="265" t="n">
        <v>0</v>
      </c>
      <c r="X40" s="265" t="n">
        <v>0</v>
      </c>
      <c r="Y40" s="265" t="n">
        <v>0</v>
      </c>
      <c r="Z40" s="265" t="n">
        <v>3152000</v>
      </c>
      <c r="AA40" s="265" t="n">
        <v>0</v>
      </c>
      <c r="AC40" s="265" t="n">
        <v>0</v>
      </c>
      <c r="AD40" s="265" t="n">
        <v>0</v>
      </c>
    </row>
    <row r="41">
      <c r="A41" t="inlineStr">
        <is>
          <t>DebtCurrent · fonte · unid. moeda</t>
        </is>
      </c>
      <c r="B41" t="n">
        <v>27</v>
      </c>
      <c r="C41" t="inlineStr">
        <is>
          <t>Current portion of long-term debt</t>
        </is>
      </c>
      <c r="D41" s="265" t="n">
        <v>0</v>
      </c>
      <c r="E41" s="265" t="n">
        <v>0</v>
      </c>
      <c r="F41" s="265" t="n">
        <v>0</v>
      </c>
      <c r="G41" s="265" t="n">
        <v>0</v>
      </c>
      <c r="I41" s="265" t="n">
        <v>0</v>
      </c>
      <c r="J41" s="265" t="n">
        <v>0</v>
      </c>
      <c r="K41" s="265" t="n">
        <v>0</v>
      </c>
      <c r="L41" s="265" t="n">
        <v>0</v>
      </c>
      <c r="N41" s="265" t="n">
        <v>0</v>
      </c>
      <c r="O41" s="265" t="n">
        <v>0</v>
      </c>
      <c r="P41" s="265" t="n">
        <v>0</v>
      </c>
      <c r="Q41" s="265" t="n">
        <v>0</v>
      </c>
      <c r="S41" s="265" t="n">
        <v>0</v>
      </c>
      <c r="T41" s="265" t="n">
        <v>0</v>
      </c>
      <c r="U41" s="265" t="n">
        <v>0</v>
      </c>
      <c r="V41" s="265" t="n">
        <v>5653000</v>
      </c>
      <c r="X41" s="265" t="n">
        <v>5531000</v>
      </c>
      <c r="Y41" s="265" t="n">
        <v>1399000</v>
      </c>
      <c r="Z41" s="265" t="n">
        <v>0</v>
      </c>
      <c r="AA41" s="265" t="n">
        <v>2252000</v>
      </c>
      <c r="AC41" s="265" t="n">
        <v>2252000</v>
      </c>
      <c r="AD41" s="265" t="n">
        <v>2252000</v>
      </c>
    </row>
    <row r="42">
      <c r="A42" t="inlineStr">
        <is>
          <t>LongTermDebtNoncurrent · fonte · unid. moeda</t>
        </is>
      </c>
      <c r="B42" t="n">
        <v>30</v>
      </c>
      <c r="C42" t="inlineStr">
        <is>
          <t>Long term debt</t>
        </is>
      </c>
      <c r="D42" s="265" t="n">
        <v>40160000</v>
      </c>
      <c r="E42" s="265" t="n">
        <v>40178000</v>
      </c>
      <c r="F42" s="265" t="n">
        <v>39440000</v>
      </c>
      <c r="G42" s="265" t="n">
        <v>39205000</v>
      </c>
      <c r="I42" s="265" t="n">
        <v>0</v>
      </c>
      <c r="J42" s="265" t="n">
        <v>0</v>
      </c>
      <c r="K42" s="265" t="n">
        <v>0</v>
      </c>
      <c r="L42" s="265" t="n">
        <v>0</v>
      </c>
      <c r="N42" s="265" t="n">
        <v>0</v>
      </c>
      <c r="O42" s="265" t="n">
        <v>0</v>
      </c>
      <c r="P42" s="265" t="n">
        <v>0</v>
      </c>
      <c r="Q42" s="265" t="n">
        <v>0</v>
      </c>
      <c r="S42" s="265" t="n">
        <v>0</v>
      </c>
      <c r="T42" s="265" t="n">
        <v>0</v>
      </c>
      <c r="U42" s="265" t="n">
        <v>0</v>
      </c>
      <c r="V42" s="265" t="n">
        <v>0</v>
      </c>
      <c r="X42" s="265" t="n">
        <v>0</v>
      </c>
      <c r="Y42" s="265" t="n">
        <v>0</v>
      </c>
      <c r="Z42" s="265" t="n">
        <v>0</v>
      </c>
      <c r="AA42" s="265" t="n">
        <v>0</v>
      </c>
      <c r="AC42" s="265" t="n">
        <v>0</v>
      </c>
      <c r="AD42" s="265" t="n">
        <v>0</v>
      </c>
    </row>
    <row r="43">
      <c r="A43" t="inlineStr">
        <is>
          <t>LongTermDebtAndCapitalLeaseObligations · fonte · unid. moeda</t>
        </is>
      </c>
      <c r="B43" t="n">
        <v>30</v>
      </c>
      <c r="C43" t="inlineStr">
        <is>
          <t>Long term debt</t>
        </is>
      </c>
      <c r="D43" s="265" t="n">
        <v>0</v>
      </c>
      <c r="E43" s="265" t="n">
        <v>0</v>
      </c>
      <c r="F43" s="265" t="n">
        <v>0</v>
      </c>
      <c r="G43" s="265" t="n">
        <v>0</v>
      </c>
      <c r="I43" s="265" t="n">
        <v>39164000</v>
      </c>
      <c r="J43" s="265" t="n">
        <v>39191000</v>
      </c>
      <c r="K43" s="265" t="n">
        <v>39075000</v>
      </c>
      <c r="L43" s="265" t="n">
        <v>38167000</v>
      </c>
      <c r="N43" s="265" t="n">
        <v>38194000</v>
      </c>
      <c r="O43" s="265" t="n">
        <v>38222000</v>
      </c>
      <c r="P43" s="265" t="n">
        <v>37621000</v>
      </c>
      <c r="Q43" s="265" t="n">
        <v>73468000</v>
      </c>
      <c r="S43" s="265" t="n">
        <v>71590000</v>
      </c>
      <c r="T43" s="265" t="n">
        <v>66798000</v>
      </c>
      <c r="U43" s="265" t="n">
        <v>66295000</v>
      </c>
      <c r="V43" s="265" t="n">
        <v>60926000</v>
      </c>
      <c r="X43" s="265" t="n">
        <v>61751000</v>
      </c>
      <c r="Y43" s="265" t="n">
        <v>62830000</v>
      </c>
      <c r="Z43" s="265" t="n">
        <v>61984000</v>
      </c>
      <c r="AA43" s="265" t="n">
        <v>63805000</v>
      </c>
      <c r="AC43" s="265" t="n">
        <v>62655000</v>
      </c>
      <c r="AD43" s="265" t="n">
        <v>57167000</v>
      </c>
    </row>
    <row r="44">
      <c r="A44" t="inlineStr">
        <is>
          <t>OtherLiabilitiesNoncurrent · fonte · unid. moeda</t>
        </is>
      </c>
      <c r="B44" t="n">
        <v>34</v>
      </c>
      <c r="C44" t="inlineStr">
        <is>
          <t>Other non-current liabilities</t>
        </is>
      </c>
      <c r="D44" s="265" t="n">
        <v>4962000</v>
      </c>
      <c r="E44" s="265" t="n">
        <v>4834000</v>
      </c>
      <c r="F44" s="265" t="n">
        <v>4860000</v>
      </c>
      <c r="G44" s="265" t="n">
        <v>4738000</v>
      </c>
      <c r="I44" s="265" t="n">
        <v>4655000</v>
      </c>
      <c r="J44" s="265" t="n">
        <v>4530000</v>
      </c>
      <c r="K44" s="265" t="n">
        <v>4413000</v>
      </c>
      <c r="L44" s="265" t="n">
        <v>4016000</v>
      </c>
      <c r="N44" s="265" t="n">
        <v>3955000</v>
      </c>
      <c r="O44" s="265" t="n">
        <v>3949000</v>
      </c>
      <c r="P44" s="265" t="n">
        <v>3847000</v>
      </c>
      <c r="Q44" s="265" t="n">
        <v>13749000</v>
      </c>
      <c r="S44" s="265" t="n">
        <v>13489000</v>
      </c>
      <c r="T44" s="265" t="n">
        <v>16296000</v>
      </c>
      <c r="U44" s="265" t="n">
        <v>14975000</v>
      </c>
      <c r="V44" s="265" t="n">
        <v>13733000</v>
      </c>
      <c r="X44" s="265" t="n">
        <v>12696000</v>
      </c>
      <c r="Y44" s="265" t="n">
        <v>12810000</v>
      </c>
      <c r="Z44" s="265" t="n">
        <v>9302000</v>
      </c>
      <c r="AA44" s="265" t="n">
        <v>9367000</v>
      </c>
      <c r="AC44" s="265" t="n">
        <v>9950000</v>
      </c>
      <c r="AD44" s="265" t="n">
        <v>10453000</v>
      </c>
    </row>
    <row r="45">
      <c r="A45" t="inlineStr">
        <is>
          <t>CommonStockValue · fonte · unid. moeda</t>
        </is>
      </c>
      <c r="B45" t="n">
        <v>37</v>
      </c>
      <c r="C45" t="inlineStr">
        <is>
          <t>Common Stock and APIC</t>
        </is>
      </c>
      <c r="D45" s="265" t="n">
        <v>0</v>
      </c>
      <c r="E45" s="265" t="n">
        <v>0</v>
      </c>
      <c r="F45" s="265" t="n">
        <v>0</v>
      </c>
      <c r="G45" s="265" t="n">
        <v>0</v>
      </c>
      <c r="I45" s="265" t="n">
        <v>0</v>
      </c>
      <c r="J45" s="265" t="n">
        <v>0</v>
      </c>
      <c r="K45" s="265" t="n">
        <v>0</v>
      </c>
      <c r="L45" s="265" t="n">
        <v>0</v>
      </c>
      <c r="N45" s="265" t="n">
        <v>0</v>
      </c>
      <c r="O45" s="265" t="n">
        <v>0</v>
      </c>
      <c r="P45" s="265" t="n">
        <v>0</v>
      </c>
      <c r="Q45" s="265" t="n">
        <v>0</v>
      </c>
      <c r="S45" s="265" t="n">
        <v>0</v>
      </c>
      <c r="T45" s="265" t="n">
        <v>5000</v>
      </c>
      <c r="U45" s="265" t="n">
        <v>5000</v>
      </c>
      <c r="V45" s="265" t="n">
        <v>5000</v>
      </c>
      <c r="X45" s="265" t="n">
        <v>5000</v>
      </c>
      <c r="Y45" s="265" t="n">
        <v>5000</v>
      </c>
      <c r="Z45" s="265" t="n">
        <v>5000</v>
      </c>
      <c r="AA45" s="265" t="n">
        <v>5000</v>
      </c>
      <c r="AC45" s="265" t="n">
        <v>5000</v>
      </c>
      <c r="AD45" s="265" t="n">
        <v>5000</v>
      </c>
    </row>
    <row r="46">
      <c r="A46" t="inlineStr">
        <is>
          <t>AdditionalPaidInCapital · fonte · unid. moeda</t>
        </is>
      </c>
      <c r="B46" t="n">
        <v>37</v>
      </c>
      <c r="C46" t="inlineStr">
        <is>
          <t>Common Stock and APIC</t>
        </is>
      </c>
      <c r="D46" s="265" t="n">
        <v>24045000</v>
      </c>
      <c r="E46" s="265" t="n">
        <v>24126000</v>
      </c>
      <c r="F46" s="265" t="n">
        <v>24330000</v>
      </c>
      <c r="G46" s="265" t="n">
        <v>23083000</v>
      </c>
      <c r="I46" s="265" t="n">
        <v>21078000</v>
      </c>
      <c r="J46" s="265" t="n">
        <v>20990000</v>
      </c>
      <c r="K46" s="265" t="n">
        <v>21159000</v>
      </c>
      <c r="L46" s="265" t="n">
        <v>21119000</v>
      </c>
      <c r="N46" s="265" t="n">
        <v>20826000</v>
      </c>
      <c r="O46" s="265" t="n">
        <v>20855000</v>
      </c>
      <c r="P46" s="265" t="n">
        <v>21099000</v>
      </c>
      <c r="Q46" s="265" t="n">
        <v>70077000</v>
      </c>
      <c r="S46" s="265" t="n">
        <v>69754000</v>
      </c>
      <c r="T46" s="265" t="n">
        <v>67313000</v>
      </c>
      <c r="U46" s="265" t="n">
        <v>67466000</v>
      </c>
      <c r="V46" s="265" t="n">
        <v>66848000</v>
      </c>
      <c r="X46" s="265" t="n">
        <v>66689000</v>
      </c>
      <c r="Y46" s="265" t="n">
        <v>69011000</v>
      </c>
      <c r="Z46" s="265" t="n">
        <v>71308000</v>
      </c>
      <c r="AA46" s="265" t="n">
        <v>73135000</v>
      </c>
      <c r="AC46" s="265" t="n">
        <v>75312000</v>
      </c>
      <c r="AD46" s="265" t="n">
        <v>77330000</v>
      </c>
    </row>
    <row r="47">
      <c r="A47" t="inlineStr">
        <is>
          <t>AccumulatedOtherComprehensiveIncomeLossNetOfTax · fonte · unid. moeda</t>
        </is>
      </c>
      <c r="B47" t="n">
        <v>39</v>
      </c>
      <c r="C47" t="inlineStr">
        <is>
          <t>Comprehensive (accumulated) loss</t>
        </is>
      </c>
      <c r="D47" s="265" t="n">
        <v>-106000</v>
      </c>
      <c r="E47" s="265" t="n">
        <v>-106000</v>
      </c>
      <c r="F47" s="265" t="n">
        <v>-116000</v>
      </c>
      <c r="G47" s="265" t="n">
        <v>-115000</v>
      </c>
      <c r="I47" s="265" t="n">
        <v>-115000</v>
      </c>
      <c r="J47" s="265" t="n">
        <v>-114000</v>
      </c>
      <c r="K47" s="265" t="n">
        <v>-54000</v>
      </c>
      <c r="L47" s="265" t="n">
        <v>-180000</v>
      </c>
      <c r="N47" s="265" t="n">
        <v>-182000</v>
      </c>
      <c r="O47" s="265" t="n">
        <v>46000</v>
      </c>
      <c r="P47" s="265" t="n">
        <v>207000</v>
      </c>
      <c r="Q47" s="265" t="n">
        <v>207000</v>
      </c>
      <c r="S47" s="265" t="n">
        <v>207000</v>
      </c>
      <c r="T47" s="265" t="n">
        <v>208000</v>
      </c>
      <c r="U47" s="265" t="n">
        <v>207000</v>
      </c>
      <c r="V47" s="265" t="n">
        <v>207000</v>
      </c>
      <c r="X47" s="265" t="n">
        <v>206000</v>
      </c>
      <c r="Y47" s="265" t="n">
        <v>221000</v>
      </c>
      <c r="Z47" s="265" t="n">
        <v>218000</v>
      </c>
      <c r="AA47" s="265" t="n">
        <v>212000</v>
      </c>
      <c r="AC47" s="265" t="n">
        <v>208000</v>
      </c>
      <c r="AD47" s="265" t="n">
        <v>204000</v>
      </c>
    </row>
    <row r="48">
      <c r="A48" t="inlineStr">
        <is>
          <t>TemporaryEquityPreferredStockDividendObligation · fonte · unid. moeda</t>
        </is>
      </c>
      <c r="B48" t="n">
        <v>40</v>
      </c>
      <c r="C48" t="inlineStr">
        <is>
          <t>Other equity account</t>
        </is>
      </c>
      <c r="D48" s="265" t="n">
        <v>27000</v>
      </c>
      <c r="E48" s="265" t="n">
        <v>27000</v>
      </c>
      <c r="F48" s="265" t="n">
        <v>27000</v>
      </c>
      <c r="G48" s="265" t="n">
        <v>26000</v>
      </c>
      <c r="I48" s="265" t="n">
        <v>27000</v>
      </c>
      <c r="J48" s="265" t="n">
        <v>27000</v>
      </c>
      <c r="K48" s="265" t="n">
        <v>0</v>
      </c>
      <c r="L48" s="265" t="n">
        <v>0</v>
      </c>
      <c r="N48" s="265" t="n">
        <v>0</v>
      </c>
      <c r="O48" s="265" t="n">
        <v>0</v>
      </c>
      <c r="P48" s="265" t="n">
        <v>0</v>
      </c>
      <c r="Q48" s="265" t="n">
        <v>0</v>
      </c>
      <c r="S48" s="265" t="n">
        <v>0</v>
      </c>
      <c r="T48" s="265" t="n">
        <v>0</v>
      </c>
      <c r="U48" s="265" t="n">
        <v>0</v>
      </c>
      <c r="V48" s="265" t="n">
        <v>0</v>
      </c>
      <c r="X48" s="265" t="n">
        <v>0</v>
      </c>
      <c r="Y48" s="265" t="n">
        <v>0</v>
      </c>
      <c r="Z48" s="265" t="n">
        <v>0</v>
      </c>
      <c r="AA48" s="265" t="n">
        <v>0</v>
      </c>
      <c r="AC48" s="265" t="n">
        <v>0</v>
      </c>
      <c r="AD48" s="265" t="n">
        <v>0</v>
      </c>
    </row>
    <row r="49">
      <c r="A49" t="inlineStr">
        <is>
          <t>RetainedEarningsAccumulatedDeficit · fonte · unid. moeda</t>
        </is>
      </c>
      <c r="B49" t="n">
        <v>41</v>
      </c>
      <c r="C49" t="inlineStr">
        <is>
          <t>Retained earnings</t>
        </is>
      </c>
      <c r="D49" s="265" t="n">
        <v>0</v>
      </c>
      <c r="E49" s="265" t="n">
        <v>320000</v>
      </c>
      <c r="F49" s="265" t="n">
        <v>748000</v>
      </c>
      <c r="G49" s="265" t="n">
        <v>0</v>
      </c>
      <c r="I49" s="265" t="n">
        <v>0</v>
      </c>
      <c r="J49" s="265" t="n">
        <v>0</v>
      </c>
      <c r="K49" s="265" t="n">
        <v>1604000</v>
      </c>
      <c r="L49" s="265" t="n">
        <v>2371000</v>
      </c>
      <c r="N49" s="265" t="n">
        <v>1363000</v>
      </c>
      <c r="O49" s="265" t="n">
        <v>1178000</v>
      </c>
      <c r="P49" s="265" t="n">
        <v>2682000</v>
      </c>
      <c r="Q49" s="265" t="n">
        <v>0</v>
      </c>
      <c r="S49" s="265" t="n">
        <v>0</v>
      </c>
      <c r="T49" s="265" t="n">
        <v>-1875000</v>
      </c>
      <c r="U49" s="265" t="n">
        <v>0</v>
      </c>
      <c r="V49" s="265" t="n">
        <v>2729000</v>
      </c>
      <c r="X49" s="265" t="n">
        <v>2686000</v>
      </c>
      <c r="Y49" s="265" t="n">
        <v>4040000</v>
      </c>
      <c r="Z49" s="265" t="n">
        <v>9761000</v>
      </c>
      <c r="AA49" s="265" t="n">
        <v>6520000</v>
      </c>
      <c r="AC49" s="265" t="n">
        <v>12166000</v>
      </c>
      <c r="AD49" s="265" t="n">
        <v>22151000</v>
      </c>
    </row>
    <row r="50">
      <c r="A50" t="inlineStr">
        <is>
          <t>[vazio] Minoritários (DRE): não aparece como linha própria nas demonstrações (zero) · derivada · unid. moeda</t>
        </is>
      </c>
      <c r="B50" t="n">
        <v>9</v>
      </c>
      <c r="C50" t="inlineStr">
        <is>
          <t>Minority Interest Expense, after tax (enter as - )</t>
        </is>
      </c>
      <c r="D50" s="265" t="n">
        <v>0</v>
      </c>
      <c r="E50" s="265" t="n">
        <v>0</v>
      </c>
      <c r="F50" s="265" t="n">
        <v>0</v>
      </c>
      <c r="G50" s="265" t="n">
        <v>0</v>
      </c>
      <c r="I50" s="265" t="n">
        <v>0</v>
      </c>
      <c r="J50" s="265" t="n">
        <v>0</v>
      </c>
      <c r="K50" s="265" t="n">
        <v>0</v>
      </c>
      <c r="L50" s="265" t="n">
        <v>0</v>
      </c>
      <c r="N50" s="265" t="n">
        <v>0</v>
      </c>
      <c r="O50" s="265" t="n">
        <v>0</v>
      </c>
      <c r="P50" s="265" t="n">
        <v>0</v>
      </c>
      <c r="Q50" s="265" t="n">
        <v>0</v>
      </c>
      <c r="S50" s="265" t="n">
        <v>0</v>
      </c>
      <c r="T50" s="265" t="n">
        <v>0</v>
      </c>
      <c r="U50" s="265" t="n">
        <v>0</v>
      </c>
      <c r="V50" s="265" t="n">
        <v>0</v>
      </c>
      <c r="X50" s="265" t="n">
        <v>0</v>
      </c>
      <c r="Y50" s="265" t="n">
        <v>0</v>
      </c>
      <c r="Z50" s="265" t="n">
        <v>0</v>
      </c>
      <c r="AA50" s="265" t="n">
        <v>0</v>
      </c>
      <c r="AC50" s="265" t="n">
        <v>0</v>
      </c>
      <c r="AD50" s="265" t="n">
        <v>0</v>
      </c>
    </row>
    <row r="51">
      <c r="A51" t="inlineStr">
        <is>
          <t>[vazio] IR diferido ativo: não aparece como linha própria nas demonstrações (zero) · derivada · unid. moeda</t>
        </is>
      </c>
      <c r="B51" t="n">
        <v>14</v>
      </c>
      <c r="C51" t="inlineStr">
        <is>
          <t>Deferred income taxes</t>
        </is>
      </c>
      <c r="D51" s="265" t="n">
        <v>0</v>
      </c>
      <c r="E51" s="265" t="n">
        <v>0</v>
      </c>
      <c r="F51" s="265" t="n">
        <v>0</v>
      </c>
      <c r="G51" s="265" t="n">
        <v>0</v>
      </c>
      <c r="I51" s="265" t="n">
        <v>0</v>
      </c>
      <c r="J51" s="265" t="n">
        <v>0</v>
      </c>
      <c r="K51" s="265" t="n">
        <v>0</v>
      </c>
      <c r="L51" s="265" t="n">
        <v>0</v>
      </c>
      <c r="N51" s="265" t="n">
        <v>0</v>
      </c>
      <c r="O51" s="265" t="n">
        <v>0</v>
      </c>
      <c r="P51" s="265" t="n">
        <v>0</v>
      </c>
      <c r="Q51" s="265" t="n">
        <v>0</v>
      </c>
      <c r="S51" s="265" t="n">
        <v>0</v>
      </c>
      <c r="T51" s="265" t="n">
        <v>0</v>
      </c>
      <c r="U51" s="265" t="n">
        <v>0</v>
      </c>
      <c r="V51" s="265" t="n">
        <v>0</v>
      </c>
      <c r="X51" s="265" t="n">
        <v>0</v>
      </c>
      <c r="Y51" s="265" t="n">
        <v>0</v>
      </c>
      <c r="Z51" s="265" t="n">
        <v>0</v>
      </c>
      <c r="AA51" s="265" t="n">
        <v>0</v>
      </c>
      <c r="AC51" s="265" t="n">
        <v>0</v>
      </c>
      <c r="AD51" s="265" t="n">
        <v>0</v>
      </c>
    </row>
    <row r="52">
      <c r="A52" t="inlineStr">
        <is>
          <t>[vazio] Despesas antecipadas: não aparece como linha própria nas demonstrações (zero) · derivada · unid. moeda</t>
        </is>
      </c>
      <c r="B52" t="n">
        <v>15</v>
      </c>
      <c r="C52" t="inlineStr">
        <is>
          <t>Prepaid expenses</t>
        </is>
      </c>
      <c r="D52" s="265" t="n">
        <v>0</v>
      </c>
      <c r="E52" s="265" t="n">
        <v>0</v>
      </c>
      <c r="F52" s="265" t="n">
        <v>0</v>
      </c>
      <c r="G52" s="265" t="n">
        <v>0</v>
      </c>
      <c r="I52" s="265" t="n">
        <v>0</v>
      </c>
      <c r="J52" s="265" t="n">
        <v>0</v>
      </c>
      <c r="K52" s="265" t="n">
        <v>0</v>
      </c>
      <c r="L52" s="265" t="n">
        <v>0</v>
      </c>
      <c r="N52" s="265" t="n">
        <v>0</v>
      </c>
      <c r="O52" s="265" t="n">
        <v>0</v>
      </c>
      <c r="P52" s="265" t="n">
        <v>0</v>
      </c>
      <c r="Q52" s="265" t="n">
        <v>0</v>
      </c>
      <c r="S52" s="265" t="n">
        <v>0</v>
      </c>
      <c r="T52" s="265" t="n">
        <v>0</v>
      </c>
      <c r="U52" s="265" t="n">
        <v>0</v>
      </c>
      <c r="V52" s="265" t="n">
        <v>0</v>
      </c>
      <c r="X52" s="265" t="n">
        <v>0</v>
      </c>
      <c r="Y52" s="265" t="n">
        <v>0</v>
      </c>
      <c r="Z52" s="265" t="n">
        <v>0</v>
      </c>
      <c r="AA52" s="265" t="n">
        <v>0</v>
      </c>
      <c r="AC52" s="265" t="n">
        <v>0</v>
      </c>
      <c r="AD52" s="265" t="n">
        <v>0</v>
      </c>
    </row>
    <row r="53">
      <c r="A53" t="inlineStr">
        <is>
          <t>[vazio] Investimentos em coligadas: não aparece como linha própria nas demonstrações (zero) · derivada · unid. moeda</t>
        </is>
      </c>
      <c r="B53" t="n">
        <v>17</v>
      </c>
      <c r="C53" t="inlineStr">
        <is>
          <t>Equity in affiliates</t>
        </is>
      </c>
      <c r="D53" s="265" t="n">
        <v>0</v>
      </c>
      <c r="E53" s="265" t="n">
        <v>0</v>
      </c>
      <c r="F53" s="265" t="n">
        <v>0</v>
      </c>
      <c r="G53" s="265" t="n">
        <v>0</v>
      </c>
      <c r="I53" s="265" t="n">
        <v>0</v>
      </c>
      <c r="J53" s="265" t="n">
        <v>0</v>
      </c>
      <c r="K53" s="265" t="n">
        <v>0</v>
      </c>
      <c r="L53" s="265" t="n">
        <v>0</v>
      </c>
      <c r="N53" s="265" t="n">
        <v>0</v>
      </c>
      <c r="O53" s="265" t="n">
        <v>0</v>
      </c>
      <c r="P53" s="265" t="n">
        <v>0</v>
      </c>
      <c r="Q53" s="265" t="n">
        <v>0</v>
      </c>
      <c r="S53" s="265" t="n">
        <v>0</v>
      </c>
      <c r="T53" s="265" t="n">
        <v>0</v>
      </c>
      <c r="U53" s="265" t="n">
        <v>0</v>
      </c>
      <c r="V53" s="265" t="n">
        <v>0</v>
      </c>
      <c r="X53" s="265" t="n">
        <v>0</v>
      </c>
      <c r="Y53" s="265" t="n">
        <v>0</v>
      </c>
      <c r="Z53" s="265" t="n">
        <v>0</v>
      </c>
      <c r="AA53" s="265" t="n">
        <v>0</v>
      </c>
      <c r="AC53" s="265" t="n">
        <v>0</v>
      </c>
      <c r="AD53" s="265" t="n">
        <v>0</v>
      </c>
    </row>
    <row r="54">
      <c r="A54" t="inlineStr">
        <is>
          <t>[vazio] Direito de uso: não aparece como linha própria nas demonstrações (zero) · derivada · unid. moeda</t>
        </is>
      </c>
      <c r="B54" t="n">
        <v>19</v>
      </c>
      <c r="C54" t="inlineStr">
        <is>
          <t>Right-of-use-assets</t>
        </is>
      </c>
      <c r="D54" s="265" t="n">
        <v>0</v>
      </c>
      <c r="E54" s="265" t="n">
        <v>0</v>
      </c>
      <c r="F54" s="265" t="n">
        <v>0</v>
      </c>
      <c r="G54" s="265" t="n">
        <v>0</v>
      </c>
      <c r="I54" s="265" t="n">
        <v>0</v>
      </c>
      <c r="J54" s="265" t="n">
        <v>0</v>
      </c>
      <c r="K54" s="265" t="n">
        <v>0</v>
      </c>
      <c r="L54" s="265" t="n">
        <v>0</v>
      </c>
      <c r="N54" s="265" t="n">
        <v>0</v>
      </c>
      <c r="O54" s="265" t="n">
        <v>0</v>
      </c>
      <c r="P54" s="265" t="n">
        <v>0</v>
      </c>
      <c r="Q54" s="265" t="n">
        <v>0</v>
      </c>
      <c r="S54" s="265" t="n">
        <v>0</v>
      </c>
      <c r="T54" s="265" t="n">
        <v>0</v>
      </c>
      <c r="U54" s="265" t="n">
        <v>0</v>
      </c>
      <c r="V54" s="265" t="n">
        <v>0</v>
      </c>
      <c r="X54" s="265" t="n">
        <v>0</v>
      </c>
      <c r="Y54" s="265" t="n">
        <v>0</v>
      </c>
      <c r="Z54" s="265" t="n">
        <v>0</v>
      </c>
      <c r="AA54" s="265" t="n">
        <v>0</v>
      </c>
      <c r="AC54" s="265" t="n">
        <v>0</v>
      </c>
      <c r="AD54" s="265" t="n">
        <v>0</v>
      </c>
    </row>
    <row r="55">
      <c r="A55" t="inlineStr">
        <is>
          <t>[vazio] Impostos a pagar: não aparece como linha própria nas demonstrações (zero) · derivada · unid. moeda</t>
        </is>
      </c>
      <c r="B55" t="n">
        <v>25</v>
      </c>
      <c r="C55" t="inlineStr">
        <is>
          <t>Taxes payable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0</v>
      </c>
      <c r="U55" s="265" t="n">
        <v>0</v>
      </c>
      <c r="V55" s="265" t="n">
        <v>0</v>
      </c>
      <c r="X55" s="265" t="n">
        <v>0</v>
      </c>
      <c r="Y55" s="265" t="n">
        <v>0</v>
      </c>
      <c r="Z55" s="265" t="n">
        <v>0</v>
      </c>
      <c r="AA55" s="265" t="n">
        <v>0</v>
      </c>
      <c r="AC55" s="265" t="n">
        <v>0</v>
      </c>
      <c r="AD55" s="265" t="n">
        <v>0</v>
      </c>
    </row>
    <row r="56">
      <c r="A56" t="inlineStr">
        <is>
          <t>[vazio] Revolving: não aparece como linha própria nas demonstrações (zero) · derivada · unid. moeda</t>
        </is>
      </c>
      <c r="B56" t="n">
        <v>28</v>
      </c>
      <c r="C56" t="inlineStr">
        <is>
          <t>Short term debt (Revolving credit facility)</t>
        </is>
      </c>
      <c r="D56" s="265" t="n">
        <v>0</v>
      </c>
      <c r="E56" s="265" t="n">
        <v>0</v>
      </c>
      <c r="F56" s="265" t="n">
        <v>0</v>
      </c>
      <c r="G56" s="265" t="n">
        <v>0</v>
      </c>
      <c r="I56" s="265" t="n">
        <v>0</v>
      </c>
      <c r="J56" s="265" t="n">
        <v>0</v>
      </c>
      <c r="K56" s="265" t="n">
        <v>0</v>
      </c>
      <c r="L56" s="265" t="n">
        <v>0</v>
      </c>
      <c r="N56" s="265" t="n">
        <v>0</v>
      </c>
      <c r="O56" s="265" t="n">
        <v>0</v>
      </c>
      <c r="P56" s="265" t="n">
        <v>0</v>
      </c>
      <c r="Q56" s="265" t="n">
        <v>0</v>
      </c>
      <c r="S56" s="265" t="n">
        <v>0</v>
      </c>
      <c r="T56" s="265" t="n">
        <v>0</v>
      </c>
      <c r="U56" s="265" t="n">
        <v>0</v>
      </c>
      <c r="V56" s="265" t="n">
        <v>0</v>
      </c>
      <c r="X56" s="265" t="n">
        <v>0</v>
      </c>
      <c r="Y56" s="265" t="n">
        <v>0</v>
      </c>
      <c r="Z56" s="265" t="n">
        <v>0</v>
      </c>
      <c r="AA56" s="265" t="n">
        <v>0</v>
      </c>
      <c r="AC56" s="265" t="n">
        <v>0</v>
      </c>
      <c r="AD56" s="265" t="n">
        <v>0</v>
      </c>
    </row>
    <row r="57">
      <c r="A57" t="inlineStr">
        <is>
          <t>[vazio] Arrendamento CP: não aparece como linha própria nas demonstrações (zero) · derivada · unid. moeda</t>
        </is>
      </c>
      <c r="B57" t="n">
        <v>29</v>
      </c>
      <c r="C57" t="inlineStr">
        <is>
          <t>Short term operating leases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[vazio] Arrendamento LP: não aparece como linha própria nas demonstrações (zero) · derivada · unid. moeda</t>
        </is>
      </c>
      <c r="B58" t="n">
        <v>31</v>
      </c>
      <c r="C58" t="inlineStr">
        <is>
          <t>Long term operating leases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[vazio] Dívida conversível: não aparece como linha própria nas demonstrações (zero) · derivada · unid. moeda</t>
        </is>
      </c>
      <c r="B59" t="n">
        <v>32</v>
      </c>
      <c r="C59" t="inlineStr">
        <is>
          <t>Convertible debt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[vazio] IR diferido passivo: não aparece como linha própria nas demonstrações (zero) · derivada · unid. moeda</t>
        </is>
      </c>
      <c r="B60" t="n">
        <v>33</v>
      </c>
      <c r="C60" t="inlineStr">
        <is>
          <t>Deferred income taxes</t>
        </is>
      </c>
      <c r="D60" s="265" t="n">
        <v>0</v>
      </c>
      <c r="E60" s="265" t="n">
        <v>0</v>
      </c>
      <c r="F60" s="265" t="n">
        <v>0</v>
      </c>
      <c r="G60" s="265" t="n">
        <v>0</v>
      </c>
      <c r="I60" s="265" t="n">
        <v>0</v>
      </c>
      <c r="J60" s="265" t="n">
        <v>0</v>
      </c>
      <c r="K60" s="265" t="n">
        <v>0</v>
      </c>
      <c r="L60" s="265" t="n">
        <v>0</v>
      </c>
      <c r="N60" s="265" t="n">
        <v>0</v>
      </c>
      <c r="O60" s="265" t="n">
        <v>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[vazio] Participação de minoritários (balanço): não aparece como linha própria nas demonstrações (zero) · derivada · unid. moeda</t>
        </is>
      </c>
      <c r="B61" t="n">
        <v>35</v>
      </c>
      <c r="C61" t="inlineStr">
        <is>
          <t>Minority interest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[vazio] Tesouraria: não aparece como linha própria nas demonstrações (zero) · derivada · unid. moeda</t>
        </is>
      </c>
      <c r="B62" t="n">
        <v>38</v>
      </c>
      <c r="C62" t="inlineStr">
        <is>
          <t>Treasury stock (contra account)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BALANÇO - totais divulgados (memória)</t>
        </is>
      </c>
      <c r="C63" t="inlineStr">
        <is>
          <t>[linha bruta, sem código; lançada nas linhas abaixo]</t>
        </is>
      </c>
      <c r="D63" s="265" t="n"/>
      <c r="E63" s="265" t="n"/>
      <c r="F63" s="265" t="n"/>
      <c r="G63" s="265" t="n"/>
      <c r="I63" s="265" t="n"/>
      <c r="J63" s="265" t="n"/>
      <c r="K63" s="265" t="n"/>
      <c r="L63" s="265" t="n"/>
      <c r="N63" s="265" t="n"/>
      <c r="O63" s="265" t="n"/>
      <c r="P63" s="265" t="n"/>
      <c r="Q63" s="265" t="n"/>
      <c r="S63" s="265" t="n"/>
      <c r="T63" s="265" t="n"/>
      <c r="U63" s="265" t="n"/>
      <c r="V63" s="265" t="n"/>
      <c r="X63" s="265" t="n"/>
      <c r="Y63" s="265" t="n"/>
      <c r="Z63" s="265" t="n"/>
      <c r="AA63" s="265" t="n"/>
      <c r="AC63" s="265" t="n"/>
      <c r="AD63" s="265" t="n"/>
    </row>
    <row r="64">
      <c r="A64" t="inlineStr">
        <is>
          <t>Total do ativo [us-gaap:Assets] · memoria · unid. moeda</t>
        </is>
      </c>
      <c r="C64" t="inlineStr">
        <is>
          <t>[linha bruta, sem código; lançada nas linhas abaixo]</t>
        </is>
      </c>
      <c r="D64" s="265" t="n">
        <v>75524000</v>
      </c>
      <c r="E64" s="265" t="n">
        <v>75880000</v>
      </c>
      <c r="F64" s="265" t="n">
        <v>75570000</v>
      </c>
      <c r="G64" s="265" t="n">
        <v>73224000</v>
      </c>
      <c r="I64" s="265" t="n">
        <v>71719000</v>
      </c>
      <c r="J64" s="265" t="n">
        <v>71326000</v>
      </c>
      <c r="K64" s="265" t="n">
        <v>73249000</v>
      </c>
      <c r="L64" s="265" t="n">
        <v>72976000</v>
      </c>
      <c r="N64" s="265" t="n">
        <v>71667000</v>
      </c>
      <c r="O64" s="265" t="n">
        <v>71595000</v>
      </c>
      <c r="P64" s="265" t="n">
        <v>72861000</v>
      </c>
      <c r="Q64" s="265" t="n">
        <v>177870000</v>
      </c>
      <c r="S64" s="265" t="n">
        <v>175211000</v>
      </c>
      <c r="T64" s="265" t="n">
        <v>167966000</v>
      </c>
      <c r="U64" s="265" t="n">
        <v>165645000</v>
      </c>
      <c r="V64" s="265" t="n">
        <v>165358000</v>
      </c>
      <c r="X64" s="265" t="n">
        <v>164630000</v>
      </c>
      <c r="Y64" s="265" t="n">
        <v>165621000</v>
      </c>
      <c r="Z64" s="265" t="n">
        <v>171092000</v>
      </c>
      <c r="AA64" s="265" t="n">
        <v>169903000</v>
      </c>
      <c r="AC64" s="265" t="n">
        <v>179158000</v>
      </c>
      <c r="AD64" s="265" t="n">
        <v>188148000</v>
      </c>
    </row>
    <row r="65">
      <c r="A65" t="inlineStr">
        <is>
          <t>Total do passivo + PL [us-gaap:LiabilitiesAndStockholdersEquity] · memoria · unid. moeda</t>
        </is>
      </c>
      <c r="C65" t="inlineStr">
        <is>
          <t>[linha bruta, sem código; lançada nas linhas abaixo]</t>
        </is>
      </c>
      <c r="D65" s="265" t="n">
        <v>75524000</v>
      </c>
      <c r="E65" s="265" t="n">
        <v>75880000</v>
      </c>
      <c r="F65" s="265" t="n">
        <v>75570000</v>
      </c>
      <c r="G65" s="265" t="n">
        <v>73224000</v>
      </c>
      <c r="I65" s="265" t="n">
        <v>71719000</v>
      </c>
      <c r="J65" s="265" t="n">
        <v>71326000</v>
      </c>
      <c r="K65" s="265" t="n">
        <v>73249000</v>
      </c>
      <c r="L65" s="265" t="n">
        <v>72976000</v>
      </c>
      <c r="N65" s="265" t="n">
        <v>71667000</v>
      </c>
      <c r="O65" s="265" t="n">
        <v>71595000</v>
      </c>
      <c r="P65" s="265" t="n">
        <v>72861000</v>
      </c>
      <c r="Q65" s="265" t="n">
        <v>177870000</v>
      </c>
      <c r="S65" s="265" t="n">
        <v>175211000</v>
      </c>
      <c r="T65" s="265" t="n">
        <v>167966000</v>
      </c>
      <c r="U65" s="265" t="n">
        <v>165645000</v>
      </c>
      <c r="V65" s="265" t="n">
        <v>165358000</v>
      </c>
      <c r="X65" s="265" t="n">
        <v>164630000</v>
      </c>
      <c r="Y65" s="265" t="n">
        <v>165621000</v>
      </c>
      <c r="Z65" s="265" t="n">
        <v>171092000</v>
      </c>
      <c r="AA65" s="265" t="n">
        <v>169903000</v>
      </c>
      <c r="AC65" s="265" t="n">
        <v>179158000</v>
      </c>
      <c r="AD65" s="265" t="n">
        <v>188148000</v>
      </c>
    </row>
    <row r="66">
      <c r="A66" t="inlineStr">
        <is>
          <t>CHECKS (devem ser 0)</t>
        </is>
      </c>
      <c r="C66" t="inlineStr">
        <is>
          <t>[linha bruta, sem código; lançada nas linhas abaixo]</t>
        </is>
      </c>
      <c r="D66" s="265" t="n"/>
      <c r="E66" s="265" t="n"/>
      <c r="F66" s="265" t="n"/>
      <c r="G66" s="265" t="n"/>
      <c r="I66" s="265" t="n"/>
      <c r="J66" s="265" t="n"/>
      <c r="K66" s="265" t="n"/>
      <c r="L66" s="265" t="n"/>
      <c r="N66" s="265" t="n"/>
      <c r="O66" s="265" t="n"/>
      <c r="P66" s="265" t="n"/>
      <c r="Q66" s="265" t="n"/>
      <c r="S66" s="265" t="n"/>
      <c r="T66" s="265" t="n"/>
      <c r="U66" s="265" t="n"/>
      <c r="V66" s="265" t="n"/>
      <c r="X66" s="265" t="n"/>
      <c r="Y66" s="265" t="n"/>
      <c r="Z66" s="265" t="n"/>
      <c r="AA66" s="265" t="n"/>
      <c r="AC66" s="265" t="n"/>
      <c r="AD66" s="265" t="n"/>
    </row>
    <row r="67">
      <c r="A67" t="inlineStr">
        <is>
          <t>CHECK: contas de ativo - ativo total (USD, arredondado a 100 mil) · derivada · unid. moeda</t>
        </is>
      </c>
      <c r="C67" t="inlineStr">
        <is>
          <t>[linha bruta, sem código; lançada nas linhas abaixo]</t>
        </is>
      </c>
      <c r="D67" s="265">
        <f>ROUND(N(D28)+N(D29)+N(D30)+N(D31)+N(D32)+N(D33)+N(D34)+N(D35)-N(D64),-2)</f>
        <v>0</v>
      </c>
      <c r="E67" s="265">
        <f>ROUND(N(E28)+N(E29)+N(E30)+N(E31)+N(E32)+N(E33)+N(E34)+N(E35)-N(E64),-2)</f>
        <v>0</v>
      </c>
      <c r="F67" s="265">
        <f>ROUND(N(F28)+N(F29)+N(F30)+N(F31)+N(F32)+N(F33)+N(F34)+N(F35)-N(F64),-2)</f>
        <v>0</v>
      </c>
      <c r="G67" s="265">
        <f>ROUND(N(G28)+N(G29)+N(G30)+N(G31)+N(G32)+N(G33)+N(G34)+N(G35)-N(G64),-2)</f>
        <v>0</v>
      </c>
      <c r="I67" s="265">
        <f>ROUND(N(I28)+N(I29)+N(I30)+N(I31)+N(I32)+N(I33)+N(I34)+N(I35)-N(I64),-2)</f>
        <v>0</v>
      </c>
      <c r="J67" s="265">
        <f>ROUND(N(J28)+N(J29)+N(J30)+N(J31)+N(J32)+N(J33)+N(J34)+N(J35)-N(J64),-2)</f>
        <v>0</v>
      </c>
      <c r="K67" s="265">
        <f>ROUND(N(K28)+N(K29)+N(K30)+N(K31)+N(K32)+N(K33)+N(K34)+N(K35)-N(K64),-2)</f>
        <v>0</v>
      </c>
      <c r="L67" s="265">
        <f>ROUND(N(L28)+N(L29)+N(L30)+N(L31)+N(L32)+N(L33)+N(L34)+N(L35)-N(L64),-2)</f>
        <v>0</v>
      </c>
      <c r="N67" s="265">
        <f>ROUND(N(N28)+N(N29)+N(N30)+N(N31)+N(N32)+N(N33)+N(N34)+N(N35)-N(N64),-2)</f>
        <v>0</v>
      </c>
      <c r="O67" s="265">
        <f>ROUND(N(O28)+N(O29)+N(O30)+N(O31)+N(O32)+N(O33)+N(O34)+N(O35)-N(O64),-2)</f>
        <v>0</v>
      </c>
      <c r="P67" s="265">
        <f>ROUND(N(P28)+N(P29)+N(P30)+N(P31)+N(P32)+N(P33)+N(P34)+N(P35)-N(P64),-2)</f>
        <v>0</v>
      </c>
      <c r="Q67" s="265">
        <f>ROUND(N(Q28)+N(Q29)+N(Q30)+N(Q31)+N(Q32)+N(Q33)+N(Q34)+N(Q35)-N(Q64),-2)</f>
        <v>0</v>
      </c>
      <c r="S67" s="265">
        <f>ROUND(N(S28)+N(S29)+N(S30)+N(S31)+N(S32)+N(S33)+N(S34)+N(S35)-N(S64),-2)</f>
        <v>0</v>
      </c>
      <c r="T67" s="265">
        <f>ROUND(N(T28)+N(T29)+N(T30)+N(T31)+N(T32)+N(T33)+N(T34)+N(T35)-N(T64),-2)</f>
        <v>0</v>
      </c>
      <c r="U67" s="265">
        <f>ROUND(N(U28)+N(U29)+N(U30)+N(U31)+N(U32)+N(U33)+N(U34)+N(U35)-N(U64),-2)</f>
        <v>0</v>
      </c>
      <c r="V67" s="265">
        <f>ROUND(N(V28)+N(V29)+N(V30)+N(V31)+N(V32)+N(V33)+N(V34)+N(V35)-N(V64),-2)</f>
        <v>0</v>
      </c>
      <c r="X67" s="265">
        <f>ROUND(N(X28)+N(X29)+N(X30)+N(X31)+N(X32)+N(X33)+N(X34)+N(X35)-N(X64),-2)</f>
        <v>0</v>
      </c>
      <c r="Y67" s="265">
        <f>ROUND(N(Y28)+N(Y29)+N(Y30)+N(Y31)+N(Y32)+N(Y33)+N(Y34)+N(Y35)-N(Y64),-2)</f>
        <v>0</v>
      </c>
      <c r="Z67" s="265">
        <f>ROUND(N(Z28)+N(Z29)+N(Z30)+N(Z31)+N(Z32)+N(Z33)+N(Z34)+N(Z35)-N(Z64),-2)</f>
        <v>0</v>
      </c>
      <c r="AA67" s="265">
        <f>ROUND(N(AA28)+N(AA29)+N(AA30)+N(AA31)+N(AA32)+N(AA33)+N(AA34)+N(AA35)-N(AA64),-2)</f>
        <v>0</v>
      </c>
      <c r="AC67" s="265">
        <f>ROUND(N(AC28)+N(AC29)+N(AC30)+N(AC31)+N(AC32)+N(AC33)+N(AC34)+N(AC35)-N(AC64),-2)</f>
        <v>0</v>
      </c>
      <c r="AD67" s="265">
        <f>ROUND(N(AD28)+N(AD29)+N(AD30)+N(AD31)+N(AD32)+N(AD33)+N(AD34)+N(AD35)-N(AD64),-2)</f>
        <v>0</v>
      </c>
    </row>
    <row r="68">
      <c r="A68" t="inlineStr">
        <is>
          <t>CHECK: passivo + PL (contas) - passivo + PL total · derivada · unid. moeda</t>
        </is>
      </c>
      <c r="C68" t="inlineStr">
        <is>
          <t>[linha bruta, sem código; lançada nas linhas abaixo]</t>
        </is>
      </c>
      <c r="D68" s="265">
        <f>ROUND(N(D36)+N(D37)+N(D38)+N(D39)+N(D40)+N(D41)+N(D42)+N(D43)+N(D44)+N(D45)+N(D46)+N(D47)+N(D48)+N(D49)-N(D65),-2)</f>
        <v>0</v>
      </c>
      <c r="E68" s="265">
        <f>ROUND(N(E36)+N(E37)+N(E38)+N(E39)+N(E40)+N(E41)+N(E42)+N(E43)+N(E44)+N(E45)+N(E46)+N(E47)+N(E48)+N(E49)-N(E65),-2)</f>
        <v>0</v>
      </c>
      <c r="F68" s="265">
        <f>ROUND(N(F36)+N(F37)+N(F38)+N(F39)+N(F40)+N(F41)+N(F42)+N(F43)+N(F44)+N(F45)+N(F46)+N(F47)+N(F48)+N(F49)-N(F65),-2)</f>
        <v>0</v>
      </c>
      <c r="G68" s="265">
        <f>ROUND(N(G36)+N(G37)+N(G38)+N(G39)+N(G40)+N(G41)+N(G42)+N(G43)+N(G44)+N(G45)+N(G46)+N(G47)+N(G48)+N(G49)-N(G65),-2)</f>
        <v>0</v>
      </c>
      <c r="I68" s="265">
        <f>ROUND(N(I36)+N(I37)+N(I38)+N(I39)+N(I40)+N(I41)+N(I42)+N(I43)+N(I44)+N(I45)+N(I46)+N(I47)+N(I48)+N(I49)-N(I65),-2)</f>
        <v>0</v>
      </c>
      <c r="J68" s="265">
        <f>ROUND(N(J36)+N(J37)+N(J38)+N(J39)+N(J40)+N(J41)+N(J42)+N(J43)+N(J44)+N(J45)+N(J46)+N(J47)+N(J48)+N(J49)-N(J65),-2)</f>
        <v>0</v>
      </c>
      <c r="K68" s="265">
        <f>ROUND(N(K36)+N(K37)+N(K38)+N(K39)+N(K40)+N(K41)+N(K42)+N(K43)+N(K44)+N(K45)+N(K46)+N(K47)+N(K48)+N(K49)-N(K65),-2)</f>
        <v>0</v>
      </c>
      <c r="L68" s="265">
        <f>ROUND(N(L36)+N(L37)+N(L38)+N(L39)+N(L40)+N(L41)+N(L42)+N(L43)+N(L44)+N(L45)+N(L46)+N(L47)+N(L48)+N(L49)-N(L65),-2)</f>
        <v>0</v>
      </c>
      <c r="N68" s="265">
        <f>ROUND(N(N36)+N(N37)+N(N38)+N(N39)+N(N40)+N(N41)+N(N42)+N(N43)+N(N44)+N(N45)+N(N46)+N(N47)+N(N48)+N(N49)-N(N65),-2)</f>
        <v>0</v>
      </c>
      <c r="O68" s="265">
        <f>ROUND(N(O36)+N(O37)+N(O38)+N(O39)+N(O40)+N(O41)+N(O42)+N(O43)+N(O44)+N(O45)+N(O46)+N(O47)+N(O48)+N(O49)-N(O65),-2)</f>
        <v>0</v>
      </c>
      <c r="P68" s="265">
        <f>ROUND(N(P36)+N(P37)+N(P38)+N(P39)+N(P40)+N(P41)+N(P42)+N(P43)+N(P44)+N(P45)+N(P46)+N(P47)+N(P48)+N(P49)-N(P65),-2)</f>
        <v>0</v>
      </c>
      <c r="Q68" s="265">
        <f>ROUND(N(Q36)+N(Q37)+N(Q38)+N(Q39)+N(Q40)+N(Q41)+N(Q42)+N(Q43)+N(Q44)+N(Q45)+N(Q46)+N(Q47)+N(Q48)+N(Q49)-N(Q65),-2)</f>
        <v>0</v>
      </c>
      <c r="S68" s="265">
        <f>ROUND(N(S36)+N(S37)+N(S38)+N(S39)+N(S40)+N(S41)+N(S42)+N(S43)+N(S44)+N(S45)+N(S46)+N(S47)+N(S48)+N(S49)-N(S65),-2)</f>
        <v>0</v>
      </c>
      <c r="T68" s="265">
        <f>ROUND(N(T36)+N(T37)+N(T38)+N(T39)+N(T40)+N(T41)+N(T42)+N(T43)+N(T44)+N(T45)+N(T46)+N(T47)+N(T48)+N(T49)-N(T65),-2)</f>
        <v>0</v>
      </c>
      <c r="U68" s="265">
        <f>ROUND(N(U36)+N(U37)+N(U38)+N(U39)+N(U40)+N(U41)+N(U42)+N(U43)+N(U44)+N(U45)+N(U46)+N(U47)+N(U48)+N(U49)-N(U65),-2)</f>
        <v>0</v>
      </c>
      <c r="V68" s="265">
        <f>ROUND(N(V36)+N(V37)+N(V38)+N(V39)+N(V40)+N(V41)+N(V42)+N(V43)+N(V44)+N(V45)+N(V46)+N(V47)+N(V48)+N(V49)-N(V65),-2)</f>
        <v>0</v>
      </c>
      <c r="X68" s="265">
        <f>ROUND(N(X36)+N(X37)+N(X38)+N(X39)+N(X40)+N(X41)+N(X42)+N(X43)+N(X44)+N(X45)+N(X46)+N(X47)+N(X48)+N(X49)-N(X65),-2)</f>
        <v>0</v>
      </c>
      <c r="Y68" s="265">
        <f>ROUND(N(Y36)+N(Y37)+N(Y38)+N(Y39)+N(Y40)+N(Y41)+N(Y42)+N(Y43)+N(Y44)+N(Y45)+N(Y46)+N(Y47)+N(Y48)+N(Y49)-N(Y65),-2)</f>
        <v>0</v>
      </c>
      <c r="Z68" s="265">
        <f>ROUND(N(Z36)+N(Z37)+N(Z38)+N(Z39)+N(Z40)+N(Z41)+N(Z42)+N(Z43)+N(Z44)+N(Z45)+N(Z46)+N(Z47)+N(Z48)+N(Z49)-N(Z65),-2)</f>
        <v>0</v>
      </c>
      <c r="AA68" s="265">
        <f>ROUND(N(AA36)+N(AA37)+N(AA38)+N(AA39)+N(AA40)+N(AA41)+N(AA42)+N(AA43)+N(AA44)+N(AA45)+N(AA46)+N(AA47)+N(AA48)+N(AA49)-N(AA65),-2)</f>
        <v>0</v>
      </c>
      <c r="AC68" s="265">
        <f>ROUND(N(AC36)+N(AC37)+N(AC38)+N(AC39)+N(AC40)+N(AC41)+N(AC42)+N(AC43)+N(AC44)+N(AC45)+N(AC46)+N(AC47)+N(AC48)+N(AC49)-N(AC65),-2)</f>
        <v>0</v>
      </c>
      <c r="AD68" s="265">
        <f>ROUND(N(AD36)+N(AD37)+N(AD38)+N(AD39)+N(AD40)+N(AD41)+N(AD42)+N(AD43)+N(AD44)+N(AD45)+N(AD46)+N(AD47)+N(AD48)+N(AD49)-N(AD65),-2)</f>
        <v>0</v>
      </c>
    </row>
    <row r="69">
      <c r="A69" t="inlineStr">
        <is>
          <t>CHECK: receita - custo - despesas + não operacional - IR - minoritários + outros após IR - lucro (deve ser 0) · derivada</t>
        </is>
      </c>
      <c r="C69" t="inlineStr">
        <is>
          <t>[linha bruta, sem código; lançada nas linhas abaixo]</t>
        </is>
      </c>
      <c r="D69" s="265">
        <f>ROUND(N(D5)-N(D6)-N(D9)+N(D12)-N(D16)+N(D19)-N(D20),-2)</f>
        <v>0</v>
      </c>
      <c r="E69" s="265">
        <f>ROUND(N(E5)-N(E6)-N(E9)+N(E12)-N(E16)+N(E19)-N(E20),-2)</f>
        <v>0</v>
      </c>
      <c r="F69" s="265">
        <f>ROUND(N(F5)-N(F6)-N(F9)+N(F12)-N(F16)+N(F19)-N(F20),-2)</f>
        <v>0</v>
      </c>
      <c r="G69" s="265">
        <f>ROUND(N(G5)-N(G6)-N(G9)+N(G12)-N(G16)+N(G19)-N(G20),-2)</f>
        <v>0</v>
      </c>
      <c r="I69" s="265">
        <f>ROUND(N(I5)-N(I6)-N(I9)+N(I12)-N(I16)+N(I19)-N(I20),-2)</f>
        <v>0</v>
      </c>
      <c r="J69" s="265">
        <f>ROUND(N(J5)-N(J6)-N(J9)+N(J12)-N(J16)+N(J19)-N(J20),-2)</f>
        <v>0</v>
      </c>
      <c r="K69" s="265">
        <f>ROUND(N(K5)-N(K6)-N(K9)+N(K12)-N(K16)+N(K19)-N(K20),-2)</f>
        <v>0</v>
      </c>
      <c r="L69" s="265">
        <f>ROUND(N(L5)-N(L6)-N(L9)+N(L12)-N(L16)+N(L19)-N(L20),-2)</f>
        <v>0</v>
      </c>
      <c r="N69" s="265">
        <f>ROUND(N(N5)-N(N6)-N(N9)+N(N12)-N(N16)+N(N19)-N(N20),-2)</f>
        <v>0</v>
      </c>
      <c r="O69" s="265">
        <f>ROUND(N(O5)-N(O6)-N(O9)+N(O12)-N(O16)+N(O19)-N(O20),-2)</f>
        <v>0</v>
      </c>
      <c r="P69" s="265">
        <f>ROUND(N(P5)-N(P6)-N(P9)+N(P12)-N(P16)+N(P19)-N(P20),-2)</f>
        <v>0</v>
      </c>
      <c r="Q69" s="265">
        <f>ROUND(N(Q5)-N(Q6)-N(Q9)+N(Q12)-N(Q16)+N(Q19)-N(Q20),-2)</f>
        <v>0</v>
      </c>
      <c r="S69" s="265">
        <f>ROUND(N(S5)-N(S6)-N(S9)+N(S12)-N(S16)+N(S19)-N(S20),-2)</f>
        <v>0</v>
      </c>
      <c r="T69" s="265">
        <f>ROUND(N(T5)-N(T6)-N(T9)+N(T12)-N(T16)+N(T19)-N(T20),-2)</f>
        <v>0</v>
      </c>
      <c r="U69" s="265">
        <f>ROUND(N(U5)-N(U6)-N(U9)+N(U12)-N(U16)+N(U19)-N(U20),-2)</f>
        <v>0</v>
      </c>
      <c r="V69" s="265">
        <f>ROUND(N(V5)-N(V6)-N(V9)+N(V12)-N(V16)+N(V19)-N(V20),-2)</f>
        <v>0</v>
      </c>
      <c r="X69" s="265">
        <f>ROUND(N(X5)-N(X6)-N(X9)+N(X12)-N(X16)+N(X19)-N(X20),-2)</f>
        <v>0</v>
      </c>
      <c r="Y69" s="265">
        <f>ROUND(N(Y5)-N(Y6)-N(Y9)+N(Y12)-N(Y16)+N(Y19)-N(Y20),-2)</f>
        <v>0</v>
      </c>
      <c r="Z69" s="265">
        <f>ROUND(N(Z5)-N(Z6)-N(Z9)+N(Z12)-N(Z16)+N(Z19)-N(Z20),-2)</f>
        <v>0</v>
      </c>
      <c r="AA69" s="265">
        <f>ROUND(N(AA5)-N(AA6)-N(AA9)+N(AA12)-N(AA16)+N(AA19)-N(AA20),-2)</f>
        <v>0</v>
      </c>
      <c r="AC69" s="265">
        <f>ROUND(N(AC5)-N(AC6)-N(AC9)+N(AC12)-N(AC16)+N(AC19)-N(AC20),-2)</f>
        <v>0</v>
      </c>
      <c r="AD69" s="265">
        <f>ROUND(N(AD5)-N(AD6)-N(AD9)+N(AD12)-N(AD16)+N(AD19)-N(AD20),-2)</f>
        <v>0</v>
      </c>
    </row>
    <row r="70">
      <c r="D70" s="265" t="n"/>
      <c r="E70" s="265" t="n"/>
      <c r="F70" s="265" t="n"/>
      <c r="G70" s="265" t="n"/>
      <c r="I70" s="265" t="n"/>
      <c r="J70" s="265" t="n"/>
      <c r="K70" s="265" t="n"/>
      <c r="L70" s="265" t="n"/>
      <c r="N70" s="265" t="n"/>
      <c r="O70" s="265" t="n"/>
      <c r="P70" s="265" t="n"/>
      <c r="Q70" s="265" t="n"/>
      <c r="S70" s="265" t="n"/>
      <c r="T70" s="265" t="n"/>
      <c r="U70" s="265" t="n"/>
      <c r="V70" s="265" t="n"/>
      <c r="X70" s="265" t="n"/>
      <c r="Y70" s="265" t="n"/>
      <c r="Z70" s="265" t="n"/>
      <c r="AA70" s="265" t="n"/>
      <c r="AC70" s="265" t="n"/>
      <c r="AD70" s="265" t="n"/>
    </row>
    <row r="71">
      <c r="A71" t="inlineStr">
        <is>
          <t>DRIVERS DE RECEITA (codigos 45+): segmentos Semicondutores x Software de Infraestrutura (receita e lucro operacional), produtos x assinaturas e regiões - SEC XBRL (USD, fator 0,000001).</t>
        </is>
      </c>
      <c r="C71" t="inlineStr">
        <is>
          <t>[linha bruta, sem código; lançada nas linhas abaixo]</t>
        </is>
      </c>
      <c r="D71" s="265" t="n"/>
      <c r="E71" s="265" t="n"/>
      <c r="F71" s="265" t="n"/>
      <c r="G71" s="265" t="n"/>
      <c r="I71" s="265" t="n"/>
      <c r="J71" s="265" t="n"/>
      <c r="K71" s="265" t="n"/>
      <c r="L71" s="265" t="n"/>
      <c r="N71" s="265" t="n"/>
      <c r="O71" s="265" t="n"/>
      <c r="P71" s="265" t="n"/>
      <c r="Q71" s="265" t="n"/>
      <c r="S71" s="265" t="n"/>
      <c r="T71" s="265" t="n"/>
      <c r="U71" s="265" t="n"/>
      <c r="V71" s="265" t="n"/>
      <c r="X71" s="265" t="n"/>
      <c r="Y71" s="265" t="n"/>
      <c r="Z71" s="265" t="n"/>
      <c r="AA71" s="265" t="n"/>
      <c r="AC71" s="265" t="n"/>
      <c r="AD71" s="265" t="n"/>
    </row>
    <row r="72">
      <c r="A72" t="inlineStr">
        <is>
          <t>Semiconductor Solutions - receita (USD) · fonte · unid. moeda</t>
        </is>
      </c>
      <c r="B72" t="n">
        <v>45</v>
      </c>
      <c r="C72" t="inlineStr">
        <is>
          <t>Semiconductor Solutions - receita (USD)</t>
        </is>
      </c>
      <c r="D72" s="265" t="n">
        <v>4820000</v>
      </c>
      <c r="E72" s="265" t="n">
        <v>5021000</v>
      </c>
      <c r="F72" s="265" t="n">
        <v>5634000</v>
      </c>
      <c r="G72" s="265" t="n">
        <v>5873000</v>
      </c>
      <c r="I72" s="265" t="n">
        <v>6229000</v>
      </c>
      <c r="J72" s="265" t="n">
        <v>6624000</v>
      </c>
      <c r="K72" s="265" t="n">
        <v>7092000</v>
      </c>
      <c r="L72" s="265" t="n">
        <v>7107000</v>
      </c>
      <c r="N72" s="265" t="n">
        <v>6808000</v>
      </c>
      <c r="O72" s="265" t="n">
        <v>6941000</v>
      </c>
      <c r="P72" s="265" t="n">
        <v>7326000</v>
      </c>
      <c r="Q72" s="265" t="n">
        <v>7390000</v>
      </c>
      <c r="S72" s="265" t="n">
        <v>7202000</v>
      </c>
      <c r="T72" s="265" t="n">
        <v>7274000</v>
      </c>
      <c r="U72" s="265" t="n">
        <v>8230000</v>
      </c>
      <c r="V72" s="265" t="n">
        <v>8212000</v>
      </c>
      <c r="X72" s="265" t="n">
        <v>8408000</v>
      </c>
      <c r="Y72" s="265" t="n">
        <v>9166000</v>
      </c>
      <c r="Z72" s="265" t="n">
        <v>11072000</v>
      </c>
      <c r="AA72" s="265" t="n">
        <v>12515000</v>
      </c>
      <c r="AC72" s="265" t="n">
        <v>15009000</v>
      </c>
      <c r="AD72" s="265" t="n">
        <v>20839000</v>
      </c>
    </row>
    <row r="73">
      <c r="A73" t="inlineStr">
        <is>
          <t>Infrastructure Software - receita (USD) · fonte · unid. moeda</t>
        </is>
      </c>
      <c r="B73" t="n">
        <v>46</v>
      </c>
      <c r="C73" t="inlineStr">
        <is>
          <t>Infrastructure Software - receita (USD)</t>
        </is>
      </c>
      <c r="D73" s="265" t="n">
        <v>1790000</v>
      </c>
      <c r="E73" s="265" t="n">
        <v>1757000</v>
      </c>
      <c r="F73" s="265" t="n">
        <v>1773000</v>
      </c>
      <c r="G73" s="265" t="n">
        <v>1833000</v>
      </c>
      <c r="I73" s="265" t="n">
        <v>1874000</v>
      </c>
      <c r="J73" s="265" t="n">
        <v>1840000</v>
      </c>
      <c r="K73" s="265" t="n">
        <v>1838000</v>
      </c>
      <c r="L73" s="265" t="n">
        <v>1808000</v>
      </c>
      <c r="N73" s="265" t="n">
        <v>1925000</v>
      </c>
      <c r="O73" s="265" t="n">
        <v>1935000</v>
      </c>
      <c r="P73" s="265" t="n">
        <v>1969000</v>
      </c>
      <c r="Q73" s="265" t="n">
        <v>4571000</v>
      </c>
      <c r="S73" s="265" t="n">
        <v>5285000</v>
      </c>
      <c r="T73" s="265" t="n">
        <v>5798000</v>
      </c>
      <c r="U73" s="265" t="n">
        <v>5824000</v>
      </c>
      <c r="V73" s="265" t="n">
        <v>6704000</v>
      </c>
      <c r="X73" s="265" t="n">
        <v>6596000</v>
      </c>
      <c r="Y73" s="265" t="n">
        <v>6786000</v>
      </c>
      <c r="Z73" s="265" t="n">
        <v>6943000</v>
      </c>
      <c r="AA73" s="265" t="n">
        <v>6796000</v>
      </c>
      <c r="AC73" s="265" t="n">
        <v>7178000</v>
      </c>
      <c r="AD73" s="265" t="n">
        <v>8752000</v>
      </c>
    </row>
    <row r="74">
      <c r="A74" t="inlineStr">
        <is>
          <t>Semiconductor Solutions - lucro operacional (USD) · fonte · unid. moeda</t>
        </is>
      </c>
      <c r="B74" t="n">
        <v>47</v>
      </c>
      <c r="C74" t="inlineStr">
        <is>
          <t>Semiconductor Solutions - lucro operacional (USD)</t>
        </is>
      </c>
      <c r="D74" s="265" t="n">
        <v>2547000</v>
      </c>
      <c r="E74" s="265" t="n">
        <v>2720000</v>
      </c>
      <c r="F74" s="265" t="n">
        <v>3148000</v>
      </c>
      <c r="G74" s="265" t="n">
        <v>3349000</v>
      </c>
      <c r="I74" s="265" t="n">
        <v>3626000</v>
      </c>
      <c r="J74" s="265" t="n">
        <v>3916000</v>
      </c>
      <c r="K74" s="265" t="n">
        <v>4184000</v>
      </c>
      <c r="L74" s="265" t="n">
        <v>4123000</v>
      </c>
      <c r="N74" s="265" t="n">
        <v>4000000</v>
      </c>
      <c r="O74" s="265" t="n">
        <v>4092000</v>
      </c>
      <c r="P74" s="265" t="n">
        <v>4271000</v>
      </c>
      <c r="Q74" s="265" t="n">
        <v>4116000</v>
      </c>
      <c r="S74" s="265" t="n">
        <v>3978000</v>
      </c>
      <c r="T74" s="265" t="n">
        <v>4042000</v>
      </c>
      <c r="U74" s="265" t="n">
        <v>4623000</v>
      </c>
      <c r="V74" s="265" t="n">
        <v>4706000</v>
      </c>
      <c r="X74" s="265" t="n">
        <v>4806000</v>
      </c>
      <c r="Y74" s="265" t="n">
        <v>5217000</v>
      </c>
      <c r="Z74" s="265" t="n">
        <v>6503000</v>
      </c>
      <c r="AA74" s="265" t="n">
        <v>7503000</v>
      </c>
      <c r="AC74" s="265" t="n">
        <v>9281000</v>
      </c>
      <c r="AD74" s="265" t="n">
        <v>12770000</v>
      </c>
    </row>
    <row r="75">
      <c r="A75" t="inlineStr">
        <is>
          <t>Infrastructure Software - lucro operacional (USD) · fonte · unid. moeda</t>
        </is>
      </c>
      <c r="B75" t="n">
        <v>48</v>
      </c>
      <c r="C75" t="inlineStr">
        <is>
          <t>Infrastructure Software - lucro operacional (USD)</t>
        </is>
      </c>
      <c r="D75" s="265" t="n">
        <v>1255000</v>
      </c>
      <c r="E75" s="265" t="n">
        <v>1226000</v>
      </c>
      <c r="F75" s="265" t="n">
        <v>1236000</v>
      </c>
      <c r="G75" s="265" t="n">
        <v>1307000</v>
      </c>
      <c r="I75" s="265" t="n">
        <v>1313000</v>
      </c>
      <c r="J75" s="265" t="n">
        <v>1283000</v>
      </c>
      <c r="K75" s="265" t="n">
        <v>1316000</v>
      </c>
      <c r="L75" s="265" t="n">
        <v>1307000</v>
      </c>
      <c r="N75" s="265" t="n">
        <v>1412000</v>
      </c>
      <c r="O75" s="265" t="n">
        <v>1444000</v>
      </c>
      <c r="P75" s="265" t="n">
        <v>1476000</v>
      </c>
      <c r="Q75" s="265" t="n">
        <v>2715000</v>
      </c>
      <c r="S75" s="265" t="n">
        <v>3168000</v>
      </c>
      <c r="T75" s="265" t="n">
        <v>3906000</v>
      </c>
      <c r="U75" s="265" t="n">
        <v>4188000</v>
      </c>
      <c r="V75" s="265" t="n">
        <v>5122000</v>
      </c>
      <c r="X75" s="265" t="n">
        <v>4987000</v>
      </c>
      <c r="Y75" s="265" t="n">
        <v>5238000</v>
      </c>
      <c r="Z75" s="265" t="n">
        <v>5418000</v>
      </c>
      <c r="AA75" s="265" t="n">
        <v>5323000</v>
      </c>
      <c r="AC75" s="265" t="n">
        <v>5647000</v>
      </c>
      <c r="AD75" s="265" t="n">
        <v>7325000</v>
      </c>
    </row>
    <row r="76">
      <c r="A76" t="inlineStr">
        <is>
          <t>Receita de produtos (USD) · fonte · unid. moeda</t>
        </is>
      </c>
      <c r="B76" t="n">
        <v>49</v>
      </c>
      <c r="C76" t="inlineStr">
        <is>
          <t>Receita de produtos (USD)</t>
        </is>
      </c>
      <c r="D76" s="265" t="n">
        <v>4983000</v>
      </c>
      <c r="E76" s="265" t="n">
        <v>5064000</v>
      </c>
      <c r="F76" s="265" t="n">
        <v>5758000</v>
      </c>
      <c r="G76" s="265" t="n">
        <v>6053000</v>
      </c>
      <c r="I76" s="265" t="n">
        <v>6417000</v>
      </c>
      <c r="J76" s="265" t="n">
        <v>6627000</v>
      </c>
      <c r="K76" s="265" t="n">
        <v>7180000</v>
      </c>
      <c r="L76" s="265" t="n">
        <v>7082000</v>
      </c>
      <c r="N76" s="265" t="n">
        <v>6741000</v>
      </c>
      <c r="O76" s="265" t="n">
        <v>6917000</v>
      </c>
      <c r="P76" s="265" t="n">
        <v>7151000</v>
      </c>
      <c r="Q76" s="265" t="n">
        <v>7412000</v>
      </c>
      <c r="S76" s="265" t="n">
        <v>7192000</v>
      </c>
      <c r="T76" s="265" t="n">
        <v>7439000</v>
      </c>
      <c r="U76" s="265" t="n">
        <v>8316000</v>
      </c>
      <c r="V76" s="265" t="n">
        <v>10143000</v>
      </c>
      <c r="X76" s="265" t="n">
        <v>10309000</v>
      </c>
      <c r="Y76" s="265" t="n">
        <v>11173000</v>
      </c>
      <c r="Z76" s="265" t="n">
        <v>13222000</v>
      </c>
      <c r="AA76" s="265" t="n">
        <v>14130000</v>
      </c>
      <c r="AC76" s="265" t="n">
        <v>16892000</v>
      </c>
      <c r="AD76" s="265" t="n">
        <v>24279000</v>
      </c>
    </row>
    <row r="77">
      <c r="A77" t="inlineStr">
        <is>
          <t>Receita de assinaturas e serviços (USD) · fonte · unid. moeda</t>
        </is>
      </c>
      <c r="B77" t="n">
        <v>50</v>
      </c>
      <c r="C77" t="inlineStr">
        <is>
          <t>Receita de assinaturas e serviços (USD)</t>
        </is>
      </c>
      <c r="D77" s="265" t="n">
        <v>1627000</v>
      </c>
      <c r="E77" s="265" t="n">
        <v>1714000</v>
      </c>
      <c r="F77" s="265" t="n">
        <v>1649000</v>
      </c>
      <c r="G77" s="265" t="n">
        <v>1653000</v>
      </c>
      <c r="I77" s="265" t="n">
        <v>1686000</v>
      </c>
      <c r="J77" s="265" t="n">
        <v>1837000</v>
      </c>
      <c r="K77" s="265" t="n">
        <v>1750000</v>
      </c>
      <c r="L77" s="265" t="n">
        <v>1833000</v>
      </c>
      <c r="N77" s="265" t="n">
        <v>1992000</v>
      </c>
      <c r="O77" s="265" t="n">
        <v>1959000</v>
      </c>
      <c r="P77" s="265" t="n">
        <v>2144000</v>
      </c>
      <c r="Q77" s="265" t="n">
        <v>4549000</v>
      </c>
      <c r="S77" s="265" t="n">
        <v>5295000</v>
      </c>
      <c r="T77" s="265" t="n">
        <v>5633000</v>
      </c>
      <c r="U77" s="265" t="n">
        <v>5738000</v>
      </c>
      <c r="V77" s="265" t="n">
        <v>4773000</v>
      </c>
      <c r="X77" s="265" t="n">
        <v>4695000</v>
      </c>
      <c r="Y77" s="265" t="n">
        <v>4779000</v>
      </c>
      <c r="Z77" s="265" t="n">
        <v>4793000</v>
      </c>
      <c r="AA77" s="265" t="n">
        <v>5181000</v>
      </c>
      <c r="AC77" s="265" t="n">
        <v>5295000</v>
      </c>
      <c r="AD77" s="265" t="n">
        <v>5312000</v>
      </c>
    </row>
    <row r="78">
      <c r="A78" t="inlineStr">
        <is>
          <t>Receita Américas (USD) · fonte · unid. moeda</t>
        </is>
      </c>
      <c r="B78" t="n">
        <v>51</v>
      </c>
      <c r="C78" t="inlineStr">
        <is>
          <t>Receita Américas (USD)</t>
        </is>
      </c>
      <c r="D78" s="265" t="n">
        <v>1521000</v>
      </c>
      <c r="E78" s="265" t="n">
        <v>1588000</v>
      </c>
      <c r="F78" s="265" t="n">
        <v>1596000</v>
      </c>
      <c r="G78" s="265" t="n">
        <v>1657000</v>
      </c>
      <c r="I78" s="265" t="n">
        <v>1812000</v>
      </c>
      <c r="J78" s="265" t="n">
        <v>1762000</v>
      </c>
      <c r="K78" s="265" t="n">
        <v>1713000</v>
      </c>
      <c r="L78" s="265" t="n">
        <v>1839000</v>
      </c>
      <c r="N78" s="265" t="n">
        <v>2234000</v>
      </c>
      <c r="O78" s="265" t="n">
        <v>2089000</v>
      </c>
      <c r="P78" s="265" t="n">
        <v>2117000</v>
      </c>
      <c r="Q78" s="265" t="n">
        <v>3085000</v>
      </c>
      <c r="S78" s="265" t="n">
        <v>3874000</v>
      </c>
      <c r="T78" s="265" t="n">
        <v>3991000</v>
      </c>
      <c r="U78" s="265" t="n">
        <v>4020000</v>
      </c>
      <c r="V78" s="265" t="n">
        <v>4632000</v>
      </c>
      <c r="X78" s="265" t="n">
        <v>4706000</v>
      </c>
      <c r="Y78" s="265" t="n">
        <v>4724000</v>
      </c>
      <c r="Z78" s="265" t="n">
        <v>4877000</v>
      </c>
      <c r="AA78" s="265" t="n">
        <v>5081000</v>
      </c>
      <c r="AC78" s="265" t="n">
        <v>5202000</v>
      </c>
      <c r="AD78" s="265" t="n">
        <v>5513000</v>
      </c>
    </row>
    <row r="79">
      <c r="A79" t="inlineStr">
        <is>
          <t>Receita Ásia-Pacífico (USD) · fonte · unid. moeda</t>
        </is>
      </c>
      <c r="B79" t="n">
        <v>52</v>
      </c>
      <c r="C79" t="inlineStr">
        <is>
          <t>Receita Ásia-Pacífico (USD)</t>
        </is>
      </c>
      <c r="D79" s="265" t="n">
        <v>4228000</v>
      </c>
      <c r="E79" s="265" t="n">
        <v>4321000</v>
      </c>
      <c r="F79" s="265" t="n">
        <v>4918000</v>
      </c>
      <c r="G79" s="265" t="n">
        <v>5112000</v>
      </c>
      <c r="I79" s="265" t="n">
        <v>5385000</v>
      </c>
      <c r="J79" s="265" t="n">
        <v>5845000</v>
      </c>
      <c r="K79" s="265" t="n">
        <v>6163000</v>
      </c>
      <c r="L79" s="265" t="n">
        <v>6137000</v>
      </c>
      <c r="N79" s="265" t="n">
        <v>5584000</v>
      </c>
      <c r="O79" s="265" t="n">
        <v>5947000</v>
      </c>
      <c r="P79" s="265" t="n">
        <v>6252000</v>
      </c>
      <c r="Q79" s="265" t="n">
        <v>6697000</v>
      </c>
      <c r="S79" s="265" t="n">
        <v>6754000</v>
      </c>
      <c r="T79" s="265" t="n">
        <v>7041000</v>
      </c>
      <c r="U79" s="265" t="n">
        <v>7930000</v>
      </c>
      <c r="V79" s="265" t="n">
        <v>8032000</v>
      </c>
      <c r="X79" s="265" t="n">
        <v>8100000</v>
      </c>
      <c r="Y79" s="265" t="n">
        <v>8960000</v>
      </c>
      <c r="Z79" s="265" t="n">
        <v>10804000</v>
      </c>
      <c r="AA79" s="265" t="n">
        <v>11615000</v>
      </c>
      <c r="AC79" s="265" t="n">
        <v>14535000</v>
      </c>
      <c r="AD79" s="265" t="n">
        <v>20944000</v>
      </c>
    </row>
    <row r="80">
      <c r="A80" t="inlineStr">
        <is>
          <t>Receita EMEA (USD) · fonte · unid. moeda</t>
        </is>
      </c>
      <c r="B80" t="n">
        <v>53</v>
      </c>
      <c r="C80" t="inlineStr">
        <is>
          <t>Receita EMEA (USD)</t>
        </is>
      </c>
      <c r="D80" s="265" t="n">
        <v>861000</v>
      </c>
      <c r="E80" s="265" t="n">
        <v>869000</v>
      </c>
      <c r="F80" s="265" t="n">
        <v>893000</v>
      </c>
      <c r="G80" s="265" t="n">
        <v>937000</v>
      </c>
      <c r="I80" s="265" t="n">
        <v>906000</v>
      </c>
      <c r="J80" s="265" t="n">
        <v>857000</v>
      </c>
      <c r="K80" s="265" t="n">
        <v>1054000</v>
      </c>
      <c r="L80" s="265" t="n">
        <v>939000</v>
      </c>
      <c r="N80" s="265" t="n">
        <v>915000</v>
      </c>
      <c r="O80" s="265" t="n">
        <v>840000</v>
      </c>
      <c r="P80" s="265" t="n">
        <v>926000</v>
      </c>
      <c r="Q80" s="265" t="n">
        <v>2179000</v>
      </c>
      <c r="S80" s="265" t="n">
        <v>1859000</v>
      </c>
      <c r="T80" s="265" t="n">
        <v>2040000</v>
      </c>
      <c r="U80" s="265" t="n">
        <v>2104000</v>
      </c>
      <c r="V80" s="265" t="n">
        <v>2252000</v>
      </c>
      <c r="X80" s="265" t="n">
        <v>2198000</v>
      </c>
      <c r="Y80" s="265" t="n">
        <v>2268000</v>
      </c>
      <c r="Z80" s="265" t="n">
        <v>2334000</v>
      </c>
      <c r="AA80" s="265" t="n">
        <v>2615000</v>
      </c>
      <c r="AC80" s="265" t="n">
        <v>2450000</v>
      </c>
      <c r="AD80" s="265" t="n">
        <v>3134000</v>
      </c>
    </row>
    <row r="81">
      <c r="A81" t="inlineStr">
        <is>
          <t>Notas: valores dimensionais das instâncias XBRL; ano fiscal termina no início de novembro (fechamento de fev -&gt; 4T, mai -&gt; 1T, ago -&gt; 2T, nov -&gt; 3T). VMware consolidada a partir de nov/23.</t>
        </is>
      </c>
      <c r="C81" t="inlineStr">
        <is>
          <t>[linha bruta, sem código; lançada nas linhas abaixo]</t>
        </is>
      </c>
      <c r="D81" s="265" t="n"/>
      <c r="E81" s="265" t="n"/>
      <c r="F81" s="265" t="n"/>
      <c r="G81" s="265" t="n"/>
      <c r="I81" s="265" t="n"/>
      <c r="J81" s="265" t="n"/>
      <c r="K81" s="265" t="n"/>
      <c r="L81" s="265" t="n"/>
      <c r="N81" s="265" t="n"/>
      <c r="O81" s="265" t="n"/>
      <c r="P81" s="265" t="n"/>
      <c r="Q81" s="265" t="n"/>
      <c r="S81" s="265" t="n"/>
      <c r="T81" s="265" t="n"/>
      <c r="U81" s="265" t="n"/>
      <c r="V81" s="265" t="n"/>
      <c r="X81" s="265" t="n"/>
      <c r="Y81" s="265" t="n"/>
      <c r="Z81" s="265" t="n"/>
      <c r="AA81" s="265" t="n"/>
      <c r="AC81" s="265" t="n"/>
      <c r="AD81" s="265" t="n"/>
    </row>
    <row r="83">
      <c r="A83" t="inlineStr">
        <is>
          <t>Linhas de origem: 4 a 81. A Inputs (2) varre as linhas 4 a 150; as linhas 82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1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Broadcom Inc.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6610</v>
      </c>
      <c r="E4" s="11">
        <f>IF(E$3=0,"",SUMIFS(INDEX(Inputs!$D$4:$AG$150,0,MATCH(E$2,Inputs!$D$2:$AG$2,0)),Inputs!$B$4:$B$150,$B4)/1000)</f>
        <v>6778</v>
      </c>
      <c r="F4" s="11">
        <f>IF(F$3=0,"",SUMIFS(INDEX(Inputs!$D$4:$AG$150,0,MATCH(F$2,Inputs!$D$2:$AG$2,0)),Inputs!$B$4:$B$150,$B4)/1000)</f>
        <v>7407</v>
      </c>
      <c r="G4" s="11">
        <f>IF(G$3=0,"",SUMIFS(INDEX(Inputs!$D$4:$AG$150,0,MATCH(G$2,Inputs!$D$2:$AG$2,0)),Inputs!$B$4:$B$150,$B4)/1000)</f>
        <v>7706</v>
      </c>
      <c r="H4" s="12">
        <f>IF(COUNT(D4:G4)=4,SUM(D4:G4),"")</f>
        <v>28501</v>
      </c>
      <c r="I4" s="11">
        <f>IF(I$3=0,"",SUMIFS(INDEX(Inputs!$D$4:$AG$150,0,MATCH(I$2,Inputs!$D$2:$AG$2,0)),Inputs!$B$4:$B$150,$B4)/1000)</f>
        <v>8103</v>
      </c>
      <c r="J4" s="11">
        <f>IF(J$3=0,"",SUMIFS(INDEX(Inputs!$D$4:$AG$150,0,MATCH(J$2,Inputs!$D$2:$AG$2,0)),Inputs!$B$4:$B$150,$B4)/1000)</f>
        <v>8464</v>
      </c>
      <c r="K4" s="11">
        <f>IF(K$3=0,"",SUMIFS(INDEX(Inputs!$D$4:$AG$150,0,MATCH(K$2,Inputs!$D$2:$AG$2,0)),Inputs!$B$4:$B$150,$B4)/1000)</f>
        <v>8930</v>
      </c>
      <c r="L4" s="11">
        <f>IF(L$3=0,"",SUMIFS(INDEX(Inputs!$D$4:$AG$150,0,MATCH(L$2,Inputs!$D$2:$AG$2,0)),Inputs!$B$4:$B$150,$B4)/1000)</f>
        <v>8915</v>
      </c>
      <c r="M4" s="12">
        <f>IF(COUNT(I4:L4)=4,SUM(I4:L4),"")</f>
        <v>34412</v>
      </c>
      <c r="N4" s="11">
        <f>IF(N$3=0,"",SUMIFS(INDEX(Inputs!$D$4:$AG$150,0,MATCH(N$2,Inputs!$D$2:$AG$2,0)),Inputs!$B$4:$B$150,$B4)/1000)</f>
        <v>8733</v>
      </c>
      <c r="O4" s="11">
        <f>IF(O$3=0,"",SUMIFS(INDEX(Inputs!$D$4:$AG$150,0,MATCH(O$2,Inputs!$D$2:$AG$2,0)),Inputs!$B$4:$B$150,$B4)/1000)</f>
        <v>8876</v>
      </c>
      <c r="P4" s="11">
        <f>IF(P$3=0,"",SUMIFS(INDEX(Inputs!$D$4:$AG$150,0,MATCH(P$2,Inputs!$D$2:$AG$2,0)),Inputs!$B$4:$B$150,$B4)/1000)</f>
        <v>9295</v>
      </c>
      <c r="Q4" s="11">
        <f>IF(Q$3=0,"",SUMIFS(INDEX(Inputs!$D$4:$AG$150,0,MATCH(Q$2,Inputs!$D$2:$AG$2,0)),Inputs!$B$4:$B$150,$B4)/1000)</f>
        <v>11961</v>
      </c>
      <c r="R4" s="12">
        <f>IF(COUNT(N4:Q4)=4,SUM(N4:Q4),"")</f>
        <v>38865</v>
      </c>
      <c r="S4" s="11">
        <f>IF(S$3=0,"",SUMIFS(INDEX(Inputs!$D$4:$AG$150,0,MATCH(S$2,Inputs!$D$2:$AG$2,0)),Inputs!$B$4:$B$150,$B4)/1000)</f>
        <v>12487</v>
      </c>
      <c r="T4" s="11">
        <f>IF(T$3=0,"",SUMIFS(INDEX(Inputs!$D$4:$AG$150,0,MATCH(T$2,Inputs!$D$2:$AG$2,0)),Inputs!$B$4:$B$150,$B4)/1000)</f>
        <v>13072</v>
      </c>
      <c r="U4" s="11">
        <f>IF(U$3=0,"",SUMIFS(INDEX(Inputs!$D$4:$AG$150,0,MATCH(U$2,Inputs!$D$2:$AG$2,0)),Inputs!$B$4:$B$150,$B4)/1000)</f>
        <v>14054</v>
      </c>
      <c r="V4" s="11">
        <f>IF(V$3=0,"",SUMIFS(INDEX(Inputs!$D$4:$AG$150,0,MATCH(V$2,Inputs!$D$2:$AG$2,0)),Inputs!$B$4:$B$150,$B4)/1000)</f>
        <v>14916</v>
      </c>
      <c r="W4" s="12">
        <f>IF(COUNT(S4:V4)=4,SUM(S4:V4),"")</f>
        <v>54529</v>
      </c>
      <c r="X4" s="11">
        <f>IF(X$3=0,"",SUMIFS(INDEX(Inputs!$D$4:$AG$150,0,MATCH(X$2,Inputs!$D$2:$AG$2,0)),Inputs!$B$4:$B$150,$B4)/1000)</f>
        <v>15004</v>
      </c>
      <c r="Y4" s="11">
        <f>IF(Y$3=0,"",SUMIFS(INDEX(Inputs!$D$4:$AG$150,0,MATCH(Y$2,Inputs!$D$2:$AG$2,0)),Inputs!$B$4:$B$150,$B4)/1000)</f>
        <v>15952</v>
      </c>
      <c r="Z4" s="11">
        <f>IF(Z$3=0,"",SUMIFS(INDEX(Inputs!$D$4:$AG$150,0,MATCH(Z$2,Inputs!$D$2:$AG$2,0)),Inputs!$B$4:$B$150,$B4)/1000)</f>
        <v>18015</v>
      </c>
      <c r="AA4" s="11">
        <f>IF(AA$3=0,"",SUMIFS(INDEX(Inputs!$D$4:$AG$150,0,MATCH(AA$2,Inputs!$D$2:$AG$2,0)),Inputs!$B$4:$B$150,$B4)/1000)</f>
        <v>19311</v>
      </c>
      <c r="AB4" s="12">
        <f>IF(COUNT(X4:AA4)=4,SUM(X4:AA4),"")</f>
        <v>68282</v>
      </c>
      <c r="AC4" s="11">
        <f>IF(AC$3=0,"",SUMIFS(INDEX(Inputs!$D$4:$AG$150,0,MATCH(AC$2,Inputs!$D$2:$AG$2,0)),Inputs!$B$4:$B$150,$B4)/1000)</f>
        <v>22187</v>
      </c>
      <c r="AD4" s="11">
        <f>IF(AD$3=0,"",SUMIFS(INDEX(Inputs!$D$4:$AG$150,0,MATCH(AD$2,Inputs!$D$2:$AG$2,0)),Inputs!$B$4:$B$150,$B4)/1000)</f>
        <v>29591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-2553</v>
      </c>
      <c r="E5" s="11">
        <f>IF(E$3=0,"",SUMIFS(INDEX(Inputs!$D$4:$AG$150,0,MATCH(E$2,Inputs!$D$2:$AG$2,0)),Inputs!$B$4:$B$150,$B5)/1000)</f>
        <v>-2581</v>
      </c>
      <c r="F5" s="11">
        <f>IF(F$3=0,"",SUMIFS(INDEX(Inputs!$D$4:$AG$150,0,MATCH(F$2,Inputs!$D$2:$AG$2,0)),Inputs!$B$4:$B$150,$B5)/1000)</f>
        <v>-2769</v>
      </c>
      <c r="G5" s="11">
        <f>IF(G$3=0,"",SUMIFS(INDEX(Inputs!$D$4:$AG$150,0,MATCH(G$2,Inputs!$D$2:$AG$2,0)),Inputs!$B$4:$B$150,$B5)/1000)</f>
        <v>-2657</v>
      </c>
      <c r="H5" s="12">
        <f>IF(COUNT(D5:G5)=4,SUM(D5:G5),"")</f>
        <v>-10560</v>
      </c>
      <c r="I5" s="11">
        <f>IF(I$3=0,"",SUMIFS(INDEX(Inputs!$D$4:$AG$150,0,MATCH(I$2,Inputs!$D$2:$AG$2,0)),Inputs!$B$4:$B$150,$B5)/1000)</f>
        <v>-2664</v>
      </c>
      <c r="J5" s="11">
        <f>IF(J$3=0,"",SUMIFS(INDEX(Inputs!$D$4:$AG$150,0,MATCH(J$2,Inputs!$D$2:$AG$2,0)),Inputs!$B$4:$B$150,$B5)/1000)</f>
        <v>-2783</v>
      </c>
      <c r="K5" s="11">
        <f>IF(K$3=0,"",SUMIFS(INDEX(Inputs!$D$4:$AG$150,0,MATCH(K$2,Inputs!$D$2:$AG$2,0)),Inputs!$B$4:$B$150,$B5)/1000)</f>
        <v>-3004</v>
      </c>
      <c r="L5" s="11">
        <f>IF(L$3=0,"",SUMIFS(INDEX(Inputs!$D$4:$AG$150,0,MATCH(L$2,Inputs!$D$2:$AG$2,0)),Inputs!$B$4:$B$150,$B5)/1000)</f>
        <v>-2911</v>
      </c>
      <c r="M5" s="12">
        <f>IF(COUNT(I5:L5)=4,SUM(I5:L5),"")</f>
        <v>-11362</v>
      </c>
      <c r="N5" s="11">
        <f>IF(N$3=0,"",SUMIFS(INDEX(Inputs!$D$4:$AG$150,0,MATCH(N$2,Inputs!$D$2:$AG$2,0)),Inputs!$B$4:$B$150,$B5)/1000)</f>
        <v>-2618</v>
      </c>
      <c r="O5" s="11">
        <f>IF(O$3=0,"",SUMIFS(INDEX(Inputs!$D$4:$AG$150,0,MATCH(O$2,Inputs!$D$2:$AG$2,0)),Inputs!$B$4:$B$150,$B5)/1000)</f>
        <v>-2712</v>
      </c>
      <c r="P5" s="11">
        <f>IF(P$3=0,"",SUMIFS(INDEX(Inputs!$D$4:$AG$150,0,MATCH(P$2,Inputs!$D$2:$AG$2,0)),Inputs!$B$4:$B$150,$B5)/1000)</f>
        <v>-2888</v>
      </c>
      <c r="Q5" s="11">
        <f>IF(Q$3=0,"",SUMIFS(INDEX(Inputs!$D$4:$AG$150,0,MATCH(Q$2,Inputs!$D$2:$AG$2,0)),Inputs!$B$4:$B$150,$B5)/1000)</f>
        <v>-4586</v>
      </c>
      <c r="R5" s="12">
        <f>IF(COUNT(N5:Q5)=4,SUM(N5:Q5),"")</f>
        <v>-12804</v>
      </c>
      <c r="S5" s="11">
        <f>IF(S$3=0,"",SUMIFS(INDEX(Inputs!$D$4:$AG$150,0,MATCH(S$2,Inputs!$D$2:$AG$2,0)),Inputs!$B$4:$B$150,$B5)/1000)</f>
        <v>-4711</v>
      </c>
      <c r="T5" s="11">
        <f>IF(T$3=0,"",SUMIFS(INDEX(Inputs!$D$4:$AG$150,0,MATCH(T$2,Inputs!$D$2:$AG$2,0)),Inputs!$B$4:$B$150,$B5)/1000)</f>
        <v>-4716</v>
      </c>
      <c r="U5" s="11">
        <f>IF(U$3=0,"",SUMIFS(INDEX(Inputs!$D$4:$AG$150,0,MATCH(U$2,Inputs!$D$2:$AG$2,0)),Inputs!$B$4:$B$150,$B5)/1000)</f>
        <v>-5052</v>
      </c>
      <c r="V5" s="11">
        <f>IF(V$3=0,"",SUMIFS(INDEX(Inputs!$D$4:$AG$150,0,MATCH(V$2,Inputs!$D$2:$AG$2,0)),Inputs!$B$4:$B$150,$B5)/1000)</f>
        <v>-4771</v>
      </c>
      <c r="W5" s="12">
        <f>IF(COUNT(S5:V5)=4,SUM(S5:V5),"")</f>
        <v>-19250</v>
      </c>
      <c r="X5" s="11">
        <f>IF(X$3=0,"",SUMIFS(INDEX(Inputs!$D$4:$AG$150,0,MATCH(X$2,Inputs!$D$2:$AG$2,0)),Inputs!$B$4:$B$150,$B5)/1000)</f>
        <v>-4807</v>
      </c>
      <c r="Y5" s="11">
        <f>IF(Y$3=0,"",SUMIFS(INDEX(Inputs!$D$4:$AG$150,0,MATCH(Y$2,Inputs!$D$2:$AG$2,0)),Inputs!$B$4:$B$150,$B5)/1000)</f>
        <v>-5249</v>
      </c>
      <c r="Z5" s="11">
        <f>IF(Z$3=0,"",SUMIFS(INDEX(Inputs!$D$4:$AG$150,0,MATCH(Z$2,Inputs!$D$2:$AG$2,0)),Inputs!$B$4:$B$150,$B5)/1000)</f>
        <v>-5766</v>
      </c>
      <c r="AA5" s="11">
        <f>IF(AA$3=0,"",SUMIFS(INDEX(Inputs!$D$4:$AG$150,0,MATCH(AA$2,Inputs!$D$2:$AG$2,0)),Inputs!$B$4:$B$150,$B5)/1000)</f>
        <v>-6154</v>
      </c>
      <c r="AB5" s="12">
        <f>IF(COUNT(X5:AA5)=4,SUM(X5:AA5),"")</f>
        <v>-21976</v>
      </c>
      <c r="AC5" s="11">
        <f>IF(AC$3=0,"",SUMIFS(INDEX(Inputs!$D$4:$AG$150,0,MATCH(AC$2,Inputs!$D$2:$AG$2,0)),Inputs!$B$4:$B$150,$B5)/1000)</f>
        <v>-6772</v>
      </c>
      <c r="AD5" s="11">
        <f>IF(AD$3=0,"",SUMIFS(INDEX(Inputs!$D$4:$AG$150,0,MATCH(AD$2,Inputs!$D$2:$AG$2,0)),Inputs!$B$4:$B$150,$B5)/1000)</f>
        <v>-9135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-578</v>
      </c>
      <c r="E6" s="11">
        <f>IF(E$3=0,"",SUMIFS(INDEX(Inputs!$D$4:$AG$150,0,MATCH(E$2,Inputs!$D$2:$AG$2,0)),Inputs!$B$4:$B$150,$B6)/1000)</f>
        <v>-568</v>
      </c>
      <c r="F6" s="11">
        <f>IF(F$3=0,"",SUMIFS(INDEX(Inputs!$D$4:$AG$150,0,MATCH(F$2,Inputs!$D$2:$AG$2,0)),Inputs!$B$4:$B$150,$B6)/1000)</f>
        <v>-556</v>
      </c>
      <c r="G6" s="11">
        <f>IF(G$3=0,"",SUMIFS(INDEX(Inputs!$D$4:$AG$150,0,MATCH(G$2,Inputs!$D$2:$AG$2,0)),Inputs!$B$4:$B$150,$B6)/1000)</f>
        <v>-654</v>
      </c>
      <c r="H6" s="12">
        <f>IF(COUNT(D6:G6)=4,SUM(D6:G6),"")</f>
        <v>-2356</v>
      </c>
      <c r="I6" s="11">
        <f>IF(I$3=0,"",SUMIFS(INDEX(Inputs!$D$4:$AG$150,0,MATCH(I$2,Inputs!$D$2:$AG$2,0)),Inputs!$B$4:$B$150,$B6)/1000)</f>
        <v>-781</v>
      </c>
      <c r="J6" s="11">
        <f>IF(J$3=0,"",SUMIFS(INDEX(Inputs!$D$4:$AG$150,0,MATCH(J$2,Inputs!$D$2:$AG$2,0)),Inputs!$B$4:$B$150,$B6)/1000)</f>
        <v>-727</v>
      </c>
      <c r="K6" s="11">
        <f>IF(K$3=0,"",SUMIFS(INDEX(Inputs!$D$4:$AG$150,0,MATCH(K$2,Inputs!$D$2:$AG$2,0)),Inputs!$B$4:$B$150,$B6)/1000)</f>
        <v>-724</v>
      </c>
      <c r="L6" s="11">
        <f>IF(L$3=0,"",SUMIFS(INDEX(Inputs!$D$4:$AG$150,0,MATCH(L$2,Inputs!$D$2:$AG$2,0)),Inputs!$B$4:$B$150,$B6)/1000)</f>
        <v>-869</v>
      </c>
      <c r="M6" s="12">
        <f>IF(COUNT(I6:L6)=4,SUM(I6:L6),"")</f>
        <v>-3101</v>
      </c>
      <c r="N6" s="11">
        <f>IF(N$3=0,"",SUMIFS(INDEX(Inputs!$D$4:$AG$150,0,MATCH(N$2,Inputs!$D$2:$AG$2,0)),Inputs!$B$4:$B$150,$B6)/1000)</f>
        <v>-1168</v>
      </c>
      <c r="O6" s="11">
        <f>IF(O$3=0,"",SUMIFS(INDEX(Inputs!$D$4:$AG$150,0,MATCH(O$2,Inputs!$D$2:$AG$2,0)),Inputs!$B$4:$B$150,$B6)/1000)</f>
        <v>-1376</v>
      </c>
      <c r="P6" s="11">
        <f>IF(P$3=0,"",SUMIFS(INDEX(Inputs!$D$4:$AG$150,0,MATCH(P$2,Inputs!$D$2:$AG$2,0)),Inputs!$B$4:$B$150,$B6)/1000)</f>
        <v>-1235</v>
      </c>
      <c r="Q6" s="11">
        <f>IF(Q$3=0,"",SUMIFS(INDEX(Inputs!$D$4:$AG$150,0,MATCH(Q$2,Inputs!$D$2:$AG$2,0)),Inputs!$B$4:$B$150,$B6)/1000)</f>
        <v>-2947</v>
      </c>
      <c r="R6" s="12">
        <f>IF(COUNT(N6:Q6)=4,SUM(N6:Q6),"")</f>
        <v>-6726</v>
      </c>
      <c r="S6" s="11">
        <f>IF(S$3=0,"",SUMIFS(INDEX(Inputs!$D$4:$AG$150,0,MATCH(S$2,Inputs!$D$2:$AG$2,0)),Inputs!$B$4:$B$150,$B6)/1000)</f>
        <v>-2281</v>
      </c>
      <c r="T6" s="11">
        <f>IF(T$3=0,"",SUMIFS(INDEX(Inputs!$D$4:$AG$150,0,MATCH(T$2,Inputs!$D$2:$AG$2,0)),Inputs!$B$4:$B$150,$B6)/1000)</f>
        <v>-2044</v>
      </c>
      <c r="U6" s="11">
        <f>IF(U$3=0,"",SUMIFS(INDEX(Inputs!$D$4:$AG$150,0,MATCH(U$2,Inputs!$D$2:$AG$2,0)),Inputs!$B$4:$B$150,$B6)/1000)</f>
        <v>-1764</v>
      </c>
      <c r="V6" s="11">
        <f>IF(V$3=0,"",SUMIFS(INDEX(Inputs!$D$4:$AG$150,0,MATCH(V$2,Inputs!$D$2:$AG$2,0)),Inputs!$B$4:$B$150,$B6)/1000)</f>
        <v>-1711</v>
      </c>
      <c r="W6" s="12">
        <f>IF(COUNT(S6:V6)=4,SUM(S6:V6),"")</f>
        <v>-7800</v>
      </c>
      <c r="X6" s="11">
        <f>IF(X$3=0,"",SUMIFS(INDEX(Inputs!$D$4:$AG$150,0,MATCH(X$2,Inputs!$D$2:$AG$2,0)),Inputs!$B$4:$B$150,$B6)/1000)</f>
        <v>-2237</v>
      </c>
      <c r="Y6" s="11">
        <f>IF(Y$3=0,"",SUMIFS(INDEX(Inputs!$D$4:$AG$150,0,MATCH(Y$2,Inputs!$D$2:$AG$2,0)),Inputs!$B$4:$B$150,$B6)/1000)</f>
        <v>-2648</v>
      </c>
      <c r="Z6" s="11">
        <f>IF(Z$3=0,"",SUMIFS(INDEX(Inputs!$D$4:$AG$150,0,MATCH(Z$2,Inputs!$D$2:$AG$2,0)),Inputs!$B$4:$B$150,$B6)/1000)</f>
        <v>-2508</v>
      </c>
      <c r="AA6" s="11">
        <f>IF(AA$3=0,"",SUMIFS(INDEX(Inputs!$D$4:$AG$150,0,MATCH(AA$2,Inputs!$D$2:$AG$2,0)),Inputs!$B$4:$B$150,$B6)/1000)</f>
        <v>-2441</v>
      </c>
      <c r="AB6" s="12">
        <f>IF(COUNT(X6:AA6)=4,SUM(X6:AA6),"")</f>
        <v>-9834</v>
      </c>
      <c r="AC6" s="11">
        <f>IF(AC$3=0,"",SUMIFS(INDEX(Inputs!$D$4:$AG$150,0,MATCH(AC$2,Inputs!$D$2:$AG$2,0)),Inputs!$B$4:$B$150,$B6)/1000)</f>
        <v>-2497</v>
      </c>
      <c r="AD6" s="11">
        <f>IF(AD$3=0,"",SUMIFS(INDEX(Inputs!$D$4:$AG$150,0,MATCH(AD$2,Inputs!$D$2:$AG$2,0)),Inputs!$B$4:$B$150,$B6)/1000)</f>
        <v>-2324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-1504</v>
      </c>
      <c r="E7" s="11">
        <f>IF(E$3=0,"",SUMIFS(INDEX(Inputs!$D$4:$AG$150,0,MATCH(E$2,Inputs!$D$2:$AG$2,0)),Inputs!$B$4:$B$150,$B7)/1000)</f>
        <v>-1503</v>
      </c>
      <c r="F7" s="11">
        <f>IF(F$3=0,"",SUMIFS(INDEX(Inputs!$D$4:$AG$150,0,MATCH(F$2,Inputs!$D$2:$AG$2,0)),Inputs!$B$4:$B$150,$B7)/1000)</f>
        <v>-1501</v>
      </c>
      <c r="G7" s="11">
        <f>IF(G$3=0,"",SUMIFS(INDEX(Inputs!$D$4:$AG$150,0,MATCH(G$2,Inputs!$D$2:$AG$2,0)),Inputs!$B$4:$B$150,$B7)/1000)</f>
        <v>-1287</v>
      </c>
      <c r="H7" s="12">
        <f>IF(COUNT(D7:G7)=4,SUM(D7:G7),"")</f>
        <v>-5795</v>
      </c>
      <c r="I7" s="11">
        <f>IF(I$3=0,"",SUMIFS(INDEX(Inputs!$D$4:$AG$150,0,MATCH(I$2,Inputs!$D$2:$AG$2,0)),Inputs!$B$4:$B$150,$B7)/1000)</f>
        <v>-1264</v>
      </c>
      <c r="J7" s="11">
        <f>IF(J$3=0,"",SUMIFS(INDEX(Inputs!$D$4:$AG$150,0,MATCH(J$2,Inputs!$D$2:$AG$2,0)),Inputs!$B$4:$B$150,$B7)/1000)</f>
        <v>-1217</v>
      </c>
      <c r="K7" s="11">
        <f>IF(K$3=0,"",SUMIFS(INDEX(Inputs!$D$4:$AG$150,0,MATCH(K$2,Inputs!$D$2:$AG$2,0)),Inputs!$B$4:$B$150,$B7)/1000)</f>
        <v>-1216</v>
      </c>
      <c r="L7" s="11">
        <f>IF(L$3=0,"",SUMIFS(INDEX(Inputs!$D$4:$AG$150,0,MATCH(L$2,Inputs!$D$2:$AG$2,0)),Inputs!$B$4:$B$150,$B7)/1000)</f>
        <v>-1032</v>
      </c>
      <c r="M7" s="12">
        <f>IF(COUNT(I7:L7)=4,SUM(I7:L7),"")</f>
        <v>-4729</v>
      </c>
      <c r="N7" s="11">
        <f>IF(N$3=0,"",SUMIFS(INDEX(Inputs!$D$4:$AG$150,0,MATCH(N$2,Inputs!$D$2:$AG$2,0)),Inputs!$B$4:$B$150,$B7)/1000)</f>
        <v>-939</v>
      </c>
      <c r="O7" s="11">
        <f>IF(O$3=0,"",SUMIFS(INDEX(Inputs!$D$4:$AG$150,0,MATCH(O$2,Inputs!$D$2:$AG$2,0)),Inputs!$B$4:$B$150,$B7)/1000)</f>
        <v>-932</v>
      </c>
      <c r="P7" s="11">
        <f>IF(P$3=0,"",SUMIFS(INDEX(Inputs!$D$4:$AG$150,0,MATCH(P$2,Inputs!$D$2:$AG$2,0)),Inputs!$B$4:$B$150,$B7)/1000)</f>
        <v>-932</v>
      </c>
      <c r="Q7" s="11">
        <f>IF(Q$3=0,"",SUMIFS(INDEX(Inputs!$D$4:$AG$150,0,MATCH(Q$2,Inputs!$D$2:$AG$2,0)),Inputs!$B$4:$B$150,$B7)/1000)</f>
        <v>-2345</v>
      </c>
      <c r="R7" s="12">
        <f>IF(COUNT(N7:Q7)=4,SUM(N7:Q7),"")</f>
        <v>-5148</v>
      </c>
      <c r="S7" s="11">
        <f>IF(S$3=0,"",SUMIFS(INDEX(Inputs!$D$4:$AG$150,0,MATCH(S$2,Inputs!$D$2:$AG$2,0)),Inputs!$B$4:$B$150,$B7)/1000)</f>
        <v>-2530</v>
      </c>
      <c r="T7" s="11">
        <f>IF(T$3=0,"",SUMIFS(INDEX(Inputs!$D$4:$AG$150,0,MATCH(T$2,Inputs!$D$2:$AG$2,0)),Inputs!$B$4:$B$150,$B7)/1000)</f>
        <v>-2524</v>
      </c>
      <c r="U7" s="11">
        <f>IF(U$3=0,"",SUMIFS(INDEX(Inputs!$D$4:$AG$150,0,MATCH(U$2,Inputs!$D$2:$AG$2,0)),Inputs!$B$4:$B$150,$B7)/1000)</f>
        <v>-2611</v>
      </c>
      <c r="V7" s="11">
        <f>IF(V$3=0,"",SUMIFS(INDEX(Inputs!$D$4:$AG$150,0,MATCH(V$2,Inputs!$D$2:$AG$2,0)),Inputs!$B$4:$B$150,$B7)/1000)</f>
        <v>-2174</v>
      </c>
      <c r="W7" s="12">
        <f>IF(COUNT(S7:V7)=4,SUM(S7:V7),"")</f>
        <v>-9839</v>
      </c>
      <c r="X7" s="11">
        <f>IF(X$3=0,"",SUMIFS(INDEX(Inputs!$D$4:$AG$150,0,MATCH(X$2,Inputs!$D$2:$AG$2,0)),Inputs!$B$4:$B$150,$B7)/1000)</f>
        <v>-2131</v>
      </c>
      <c r="Y7" s="11">
        <f>IF(Y$3=0,"",SUMIFS(INDEX(Inputs!$D$4:$AG$150,0,MATCH(Y$2,Inputs!$D$2:$AG$2,0)),Inputs!$B$4:$B$150,$B7)/1000)</f>
        <v>-2168</v>
      </c>
      <c r="Z7" s="11">
        <f>IF(Z$3=0,"",SUMIFS(INDEX(Inputs!$D$4:$AG$150,0,MATCH(Z$2,Inputs!$D$2:$AG$2,0)),Inputs!$B$4:$B$150,$B7)/1000)</f>
        <v>-2233</v>
      </c>
      <c r="AA7" s="11">
        <f>IF(AA$3=0,"",SUMIFS(INDEX(Inputs!$D$4:$AG$150,0,MATCH(AA$2,Inputs!$D$2:$AG$2,0)),Inputs!$B$4:$B$150,$B7)/1000)</f>
        <v>-2153</v>
      </c>
      <c r="AB7" s="12">
        <f>IF(COUNT(X7:AA7)=4,SUM(X7:AA7),"")</f>
        <v>-8685</v>
      </c>
      <c r="AC7" s="11">
        <f>IF(AC$3=0,"",SUMIFS(INDEX(Inputs!$D$4:$AG$150,0,MATCH(AC$2,Inputs!$D$2:$AG$2,0)),Inputs!$B$4:$B$150,$B7)/1000)</f>
        <v>-2130</v>
      </c>
      <c r="AD7" s="11">
        <f>IF(AD$3=0,"",SUMIFS(INDEX(Inputs!$D$4:$AG$150,0,MATCH(AD$2,Inputs!$D$2:$AG$2,0)),Inputs!$B$4:$B$150,$B7)/1000)</f>
        <v>-2177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-466</v>
      </c>
      <c r="E8" s="11">
        <f>IF(E$3=0,"",SUMIFS(INDEX(Inputs!$D$4:$AG$150,0,MATCH(E$2,Inputs!$D$2:$AG$2,0)),Inputs!$B$4:$B$150,$B8)/1000)</f>
        <v>-415</v>
      </c>
      <c r="F8" s="11">
        <f>IF(F$3=0,"",SUMIFS(INDEX(Inputs!$D$4:$AG$150,0,MATCH(F$2,Inputs!$D$2:$AG$2,0)),Inputs!$B$4:$B$150,$B8)/1000)</f>
        <v>-434</v>
      </c>
      <c r="G8" s="11">
        <f>IF(G$3=0,"",SUMIFS(INDEX(Inputs!$D$4:$AG$150,0,MATCH(G$2,Inputs!$D$2:$AG$2,0)),Inputs!$B$4:$B$150,$B8)/1000)</f>
        <v>-407</v>
      </c>
      <c r="H8" s="12">
        <f>IF(COUNT(D8:G8)=4,SUM(D8:G8),"")</f>
        <v>-1722</v>
      </c>
      <c r="I8" s="11">
        <f>IF(I$3=0,"",SUMIFS(INDEX(Inputs!$D$4:$AG$150,0,MATCH(I$2,Inputs!$D$2:$AG$2,0)),Inputs!$B$4:$B$150,$B8)/1000)</f>
        <v>-518</v>
      </c>
      <c r="J8" s="11">
        <f>IF(J$3=0,"",SUMIFS(INDEX(Inputs!$D$4:$AG$150,0,MATCH(J$2,Inputs!$D$2:$AG$2,0)),Inputs!$B$4:$B$150,$B8)/1000)</f>
        <v>-406</v>
      </c>
      <c r="K8" s="11">
        <f>IF(K$3=0,"",SUMIFS(INDEX(Inputs!$D$4:$AG$150,0,MATCH(K$2,Inputs!$D$2:$AG$2,0)),Inputs!$B$4:$B$150,$B8)/1000)</f>
        <v>-406</v>
      </c>
      <c r="L8" s="11">
        <f>IF(L$3=0,"",SUMIFS(INDEX(Inputs!$D$4:$AG$150,0,MATCH(L$2,Inputs!$D$2:$AG$2,0)),Inputs!$B$4:$B$150,$B8)/1000)</f>
        <v>-406</v>
      </c>
      <c r="M8" s="12">
        <f>IF(COUNT(I8:L8)=4,SUM(I8:L8),"")</f>
        <v>-1736</v>
      </c>
      <c r="N8" s="11">
        <f>IF(N$3=0,"",SUMIFS(INDEX(Inputs!$D$4:$AG$150,0,MATCH(N$2,Inputs!$D$2:$AG$2,0)),Inputs!$B$4:$B$150,$B8)/1000)</f>
        <v>-405</v>
      </c>
      <c r="O8" s="11">
        <f>IF(O$3=0,"",SUMIFS(INDEX(Inputs!$D$4:$AG$150,0,MATCH(O$2,Inputs!$D$2:$AG$2,0)),Inputs!$B$4:$B$150,$B8)/1000)</f>
        <v>-406</v>
      </c>
      <c r="P8" s="11">
        <f>IF(P$3=0,"",SUMIFS(INDEX(Inputs!$D$4:$AG$150,0,MATCH(P$2,Inputs!$D$2:$AG$2,0)),Inputs!$B$4:$B$150,$B8)/1000)</f>
        <v>-405</v>
      </c>
      <c r="Q8" s="11">
        <f>IF(Q$3=0,"",SUMIFS(INDEX(Inputs!$D$4:$AG$150,0,MATCH(Q$2,Inputs!$D$2:$AG$2,0)),Inputs!$B$4:$B$150,$B8)/1000)</f>
        <v>-926</v>
      </c>
      <c r="R8" s="12">
        <f>IF(COUNT(N8:Q8)=4,SUM(N8:Q8),"")</f>
        <v>-2142</v>
      </c>
      <c r="S8" s="11">
        <f>IF(S$3=0,"",SUMIFS(INDEX(Inputs!$D$4:$AG$150,0,MATCH(S$2,Inputs!$D$2:$AG$2,0)),Inputs!$B$4:$B$150,$B8)/1000)</f>
        <v>-1047</v>
      </c>
      <c r="T8" s="11">
        <f>IF(T$3=0,"",SUMIFS(INDEX(Inputs!$D$4:$AG$150,0,MATCH(T$2,Inputs!$D$2:$AG$2,0)),Inputs!$B$4:$B$150,$B8)/1000)</f>
        <v>-1064</v>
      </c>
      <c r="U8" s="11">
        <f>IF(U$3=0,"",SUMIFS(INDEX(Inputs!$D$4:$AG$150,0,MATCH(U$2,Inputs!$D$2:$AG$2,0)),Inputs!$B$4:$B$150,$B8)/1000)</f>
        <v>-916</v>
      </c>
      <c r="V8" s="11">
        <f>IF(V$3=0,"",SUMIFS(INDEX(Inputs!$D$4:$AG$150,0,MATCH(V$2,Inputs!$D$2:$AG$2,0)),Inputs!$B$4:$B$150,$B8)/1000)</f>
        <v>-873</v>
      </c>
      <c r="W8" s="12">
        <f>IF(COUNT(S8:V8)=4,SUM(S8:V8),"")</f>
        <v>-3900</v>
      </c>
      <c r="X8" s="11">
        <f>IF(X$3=0,"",SUMIFS(INDEX(Inputs!$D$4:$AG$150,0,MATCH(X$2,Inputs!$D$2:$AG$2,0)),Inputs!$B$4:$B$150,$B8)/1000)</f>
        <v>-769</v>
      </c>
      <c r="Y8" s="11">
        <f>IF(Y$3=0,"",SUMIFS(INDEX(Inputs!$D$4:$AG$150,0,MATCH(Y$2,Inputs!$D$2:$AG$2,0)),Inputs!$B$4:$B$150,$B8)/1000)</f>
        <v>-807</v>
      </c>
      <c r="Z8" s="11">
        <f>IF(Z$3=0,"",SUMIFS(INDEX(Inputs!$D$4:$AG$150,0,MATCH(Z$2,Inputs!$D$2:$AG$2,0)),Inputs!$B$4:$B$150,$B8)/1000)</f>
        <v>-761</v>
      </c>
      <c r="AA8" s="11">
        <f>IF(AA$3=0,"",SUMIFS(INDEX(Inputs!$D$4:$AG$150,0,MATCH(AA$2,Inputs!$D$2:$AG$2,0)),Inputs!$B$4:$B$150,$B8)/1000)</f>
        <v>-801</v>
      </c>
      <c r="AB8" s="12">
        <f>IF(COUNT(X8:AA8)=4,SUM(X8:AA8),"")</f>
        <v>-3138</v>
      </c>
      <c r="AC8" s="11">
        <f>IF(AC$3=0,"",SUMIFS(INDEX(Inputs!$D$4:$AG$150,0,MATCH(AC$2,Inputs!$D$2:$AG$2,0)),Inputs!$B$4:$B$150,$B8)/1000)</f>
        <v>-776</v>
      </c>
      <c r="AD8" s="11">
        <f>IF(AD$3=0,"",SUMIFS(INDEX(Inputs!$D$4:$AG$150,0,MATCH(AD$2,Inputs!$D$2:$AG$2,0)),Inputs!$B$4:$B$150,$B8)/1000)</f>
        <v>-778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-23</v>
      </c>
      <c r="E9" s="11">
        <f>IF(E$3=0,"",SUMIFS(INDEX(Inputs!$D$4:$AG$150,0,MATCH(E$2,Inputs!$D$2:$AG$2,0)),Inputs!$B$4:$B$150,$B9)/1000)</f>
        <v>15</v>
      </c>
      <c r="F9" s="11">
        <f>IF(F$3=0,"",SUMIFS(INDEX(Inputs!$D$4:$AG$150,0,MATCH(F$2,Inputs!$D$2:$AG$2,0)),Inputs!$B$4:$B$150,$B9)/1000)</f>
        <v>22</v>
      </c>
      <c r="G9" s="11">
        <f>IF(G$3=0,"",SUMIFS(INDEX(Inputs!$D$4:$AG$150,0,MATCH(G$2,Inputs!$D$2:$AG$2,0)),Inputs!$B$4:$B$150,$B9)/1000)</f>
        <v>-14</v>
      </c>
      <c r="H9" s="12">
        <f>IF(COUNT(D9:G9)=4,SUM(D9:G9),"")</f>
        <v>0</v>
      </c>
      <c r="I9" s="11">
        <f>IF(I$3=0,"",SUMIFS(INDEX(Inputs!$D$4:$AG$150,0,MATCH(I$2,Inputs!$D$2:$AG$2,0)),Inputs!$B$4:$B$150,$B9)/1000)</f>
        <v>-86</v>
      </c>
      <c r="J9" s="11">
        <f>IF(J$3=0,"",SUMIFS(INDEX(Inputs!$D$4:$AG$150,0,MATCH(J$2,Inputs!$D$2:$AG$2,0)),Inputs!$B$4:$B$150,$B9)/1000)</f>
        <v>6</v>
      </c>
      <c r="K9" s="11">
        <f>IF(K$3=0,"",SUMIFS(INDEX(Inputs!$D$4:$AG$150,0,MATCH(K$2,Inputs!$D$2:$AG$2,0)),Inputs!$B$4:$B$150,$B9)/1000)</f>
        <v>40</v>
      </c>
      <c r="L9" s="11">
        <f>IF(L$3=0,"",SUMIFS(INDEX(Inputs!$D$4:$AG$150,0,MATCH(L$2,Inputs!$D$2:$AG$2,0)),Inputs!$B$4:$B$150,$B9)/1000)</f>
        <v>143</v>
      </c>
      <c r="M9" s="12">
        <f>IF(COUNT(I9:L9)=4,SUM(I9:L9),"")</f>
        <v>103</v>
      </c>
      <c r="N9" s="11">
        <f>IF(N$3=0,"",SUMIFS(INDEX(Inputs!$D$4:$AG$150,0,MATCH(N$2,Inputs!$D$2:$AG$2,0)),Inputs!$B$4:$B$150,$B9)/1000)</f>
        <v>113</v>
      </c>
      <c r="O9" s="11">
        <f>IF(O$3=0,"",SUMIFS(INDEX(Inputs!$D$4:$AG$150,0,MATCH(O$2,Inputs!$D$2:$AG$2,0)),Inputs!$B$4:$B$150,$B9)/1000)</f>
        <v>124</v>
      </c>
      <c r="P9" s="11">
        <f>IF(P$3=0,"",SUMIFS(INDEX(Inputs!$D$4:$AG$150,0,MATCH(P$2,Inputs!$D$2:$AG$2,0)),Inputs!$B$4:$B$150,$B9)/1000)</f>
        <v>132</v>
      </c>
      <c r="Q9" s="11">
        <f>IF(Q$3=0,"",SUMIFS(INDEX(Inputs!$D$4:$AG$150,0,MATCH(Q$2,Inputs!$D$2:$AG$2,0)),Inputs!$B$4:$B$150,$B9)/1000)</f>
        <v>185</v>
      </c>
      <c r="R9" s="12">
        <f>IF(COUNT(N9:Q9)=4,SUM(N9:Q9),"")</f>
        <v>554</v>
      </c>
      <c r="S9" s="11">
        <f>IF(S$3=0,"",SUMIFS(INDEX(Inputs!$D$4:$AG$150,0,MATCH(S$2,Inputs!$D$2:$AG$2,0)),Inputs!$B$4:$B$150,$B9)/1000)</f>
        <v>87</v>
      </c>
      <c r="T9" s="11">
        <f>IF(T$3=0,"",SUMIFS(INDEX(Inputs!$D$4:$AG$150,0,MATCH(T$2,Inputs!$D$2:$AG$2,0)),Inputs!$B$4:$B$150,$B9)/1000)</f>
        <v>82</v>
      </c>
      <c r="U9" s="11">
        <f>IF(U$3=0,"",SUMIFS(INDEX(Inputs!$D$4:$AG$150,0,MATCH(U$2,Inputs!$D$2:$AG$2,0)),Inputs!$B$4:$B$150,$B9)/1000)</f>
        <v>52</v>
      </c>
      <c r="V9" s="11">
        <f>IF(V$3=0,"",SUMIFS(INDEX(Inputs!$D$4:$AG$150,0,MATCH(V$2,Inputs!$D$2:$AG$2,0)),Inputs!$B$4:$B$150,$B9)/1000)</f>
        <v>103</v>
      </c>
      <c r="W9" s="12">
        <f>IF(COUNT(S9:V9)=4,SUM(S9:V9),"")</f>
        <v>324</v>
      </c>
      <c r="X9" s="11">
        <f>IF(X$3=0,"",SUMIFS(INDEX(Inputs!$D$4:$AG$150,0,MATCH(X$2,Inputs!$D$2:$AG$2,0)),Inputs!$B$4:$B$150,$B9)/1000)</f>
        <v>25</v>
      </c>
      <c r="Y9" s="11">
        <f>IF(Y$3=0,"",SUMIFS(INDEX(Inputs!$D$4:$AG$150,0,MATCH(Y$2,Inputs!$D$2:$AG$2,0)),Inputs!$B$4:$B$150,$B9)/1000)</f>
        <v>205</v>
      </c>
      <c r="Z9" s="11">
        <f>IF(Z$3=0,"",SUMIFS(INDEX(Inputs!$D$4:$AG$150,0,MATCH(Z$2,Inputs!$D$2:$AG$2,0)),Inputs!$B$4:$B$150,$B9)/1000)</f>
        <v>122</v>
      </c>
      <c r="AA9" s="11">
        <f>IF(AA$3=0,"",SUMIFS(INDEX(Inputs!$D$4:$AG$150,0,MATCH(AA$2,Inputs!$D$2:$AG$2,0)),Inputs!$B$4:$B$150,$B9)/1000)</f>
        <v>433</v>
      </c>
      <c r="AB9" s="12">
        <f>IF(COUNT(X9:AA9)=4,SUM(X9:AA9),"")</f>
        <v>785</v>
      </c>
      <c r="AC9" s="11">
        <f>IF(AC$3=0,"",SUMIFS(INDEX(Inputs!$D$4:$AG$150,0,MATCH(AC$2,Inputs!$D$2:$AG$2,0)),Inputs!$B$4:$B$150,$B9)/1000)</f>
        <v>118</v>
      </c>
      <c r="AD9" s="11">
        <f>IF(AD$3=0,"",SUMIFS(INDEX(Inputs!$D$4:$AG$150,0,MATCH(AD$2,Inputs!$D$2:$AG$2,0)),Inputs!$B$4:$B$150,$B9)/1000)</f>
        <v>98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7</v>
      </c>
      <c r="E10" s="11">
        <f>IF(E$3=0,"",SUMIFS(INDEX(Inputs!$D$4:$AG$150,0,MATCH(E$2,Inputs!$D$2:$AG$2,0)),Inputs!$B$4:$B$150,$B10)/1000)</f>
        <v>150</v>
      </c>
      <c r="F10" s="11">
        <f>IF(F$3=0,"",SUMIFS(INDEX(Inputs!$D$4:$AG$150,0,MATCH(F$2,Inputs!$D$2:$AG$2,0)),Inputs!$B$4:$B$150,$B10)/1000)</f>
        <v>-180</v>
      </c>
      <c r="G10" s="11">
        <f>IF(G$3=0,"",SUMIFS(INDEX(Inputs!$D$4:$AG$150,0,MATCH(G$2,Inputs!$D$2:$AG$2,0)),Inputs!$B$4:$B$150,$B10)/1000)</f>
        <v>-215</v>
      </c>
      <c r="H10" s="12">
        <f>IF(COUNT(D10:G10)=4,SUM(D10:G10),"")</f>
        <v>-238</v>
      </c>
      <c r="I10" s="11">
        <f>IF(I$3=0,"",SUMIFS(INDEX(Inputs!$D$4:$AG$150,0,MATCH(I$2,Inputs!$D$2:$AG$2,0)),Inputs!$B$4:$B$150,$B10)/1000)</f>
        <v>-200</v>
      </c>
      <c r="J10" s="11">
        <f>IF(J$3=0,"",SUMIFS(INDEX(Inputs!$D$4:$AG$150,0,MATCH(J$2,Inputs!$D$2:$AG$2,0)),Inputs!$B$4:$B$150,$B10)/1000)</f>
        <v>-263</v>
      </c>
      <c r="K10" s="11">
        <f>IF(K$3=0,"",SUMIFS(INDEX(Inputs!$D$4:$AG$150,0,MATCH(K$2,Inputs!$D$2:$AG$2,0)),Inputs!$B$4:$B$150,$B10)/1000)</f>
        <v>-261</v>
      </c>
      <c r="L10" s="11">
        <f>IF(L$3=0,"",SUMIFS(INDEX(Inputs!$D$4:$AG$150,0,MATCH(L$2,Inputs!$D$2:$AG$2,0)),Inputs!$B$4:$B$150,$B10)/1000)</f>
        <v>-66</v>
      </c>
      <c r="M10" s="12">
        <f>IF(COUNT(I10:L10)=4,SUM(I10:L10),"")</f>
        <v>-790</v>
      </c>
      <c r="N10" s="11">
        <f>IF(N$3=0,"",SUMIFS(INDEX(Inputs!$D$4:$AG$150,0,MATCH(N$2,Inputs!$D$2:$AG$2,0)),Inputs!$B$4:$B$150,$B10)/1000)</f>
        <v>-235</v>
      </c>
      <c r="O10" s="11">
        <f>IF(O$3=0,"",SUMIFS(INDEX(Inputs!$D$4:$AG$150,0,MATCH(O$2,Inputs!$D$2:$AG$2,0)),Inputs!$B$4:$B$150,$B10)/1000)</f>
        <v>-271</v>
      </c>
      <c r="P10" s="11">
        <f>IF(P$3=0,"",SUMIFS(INDEX(Inputs!$D$4:$AG$150,0,MATCH(P$2,Inputs!$D$2:$AG$2,0)),Inputs!$B$4:$B$150,$B10)/1000)</f>
        <v>-443</v>
      </c>
      <c r="Q10" s="11">
        <f>IF(Q$3=0,"",SUMIFS(INDEX(Inputs!$D$4:$AG$150,0,MATCH(Q$2,Inputs!$D$2:$AG$2,0)),Inputs!$B$4:$B$150,$B10)/1000)</f>
        <v>-68</v>
      </c>
      <c r="R10" s="12">
        <f>IF(COUNT(N10:Q10)=4,SUM(N10:Q10),"")</f>
        <v>-1017</v>
      </c>
      <c r="S10" s="11">
        <f>IF(S$3=0,"",SUMIFS(INDEX(Inputs!$D$4:$AG$150,0,MATCH(S$2,Inputs!$D$2:$AG$2,0)),Inputs!$B$4:$B$150,$B10)/1000)</f>
        <v>116</v>
      </c>
      <c r="T10" s="11">
        <f>IF(T$3=0,"",SUMIFS(INDEX(Inputs!$D$4:$AG$150,0,MATCH(T$2,Inputs!$D$2:$AG$2,0)),Inputs!$B$4:$B$150,$B10)/1000)</f>
        <v>-4238</v>
      </c>
      <c r="U10" s="11">
        <f>IF(U$3=0,"",SUMIFS(INDEX(Inputs!$D$4:$AG$150,0,MATCH(U$2,Inputs!$D$2:$AG$2,0)),Inputs!$B$4:$B$150,$B10)/1000)</f>
        <v>442</v>
      </c>
      <c r="V10" s="11">
        <f>IF(V$3=0,"",SUMIFS(INDEX(Inputs!$D$4:$AG$150,0,MATCH(V$2,Inputs!$D$2:$AG$2,0)),Inputs!$B$4:$B$150,$B10)/1000)</f>
        <v>13</v>
      </c>
      <c r="W10" s="12">
        <f>IF(COUNT(S10:V10)=4,SUM(S10:V10),"")</f>
        <v>-3667</v>
      </c>
      <c r="X10" s="11">
        <f>IF(X$3=0,"",SUMIFS(INDEX(Inputs!$D$4:$AG$150,0,MATCH(X$2,Inputs!$D$2:$AG$2,0)),Inputs!$B$4:$B$150,$B10)/1000)</f>
        <v>-120</v>
      </c>
      <c r="Y10" s="11">
        <f>IF(Y$3=0,"",SUMIFS(INDEX(Inputs!$D$4:$AG$150,0,MATCH(Y$2,Inputs!$D$2:$AG$2,0)),Inputs!$B$4:$B$150,$B10)/1000)</f>
        <v>-1145</v>
      </c>
      <c r="Z10" s="11">
        <f>IF(Z$3=0,"",SUMIFS(INDEX(Inputs!$D$4:$AG$150,0,MATCH(Z$2,Inputs!$D$2:$AG$2,0)),Inputs!$B$4:$B$150,$B10)/1000)</f>
        <v>1649</v>
      </c>
      <c r="AA10" s="11">
        <f>IF(AA$3=0,"",SUMIFS(INDEX(Inputs!$D$4:$AG$150,0,MATCH(AA$2,Inputs!$D$2:$AG$2,0)),Inputs!$B$4:$B$150,$B10)/1000)</f>
        <v>-846</v>
      </c>
      <c r="AB10" s="12">
        <f>IF(COUNT(X10:AA10)=4,SUM(X10:AA10),"")</f>
        <v>-462</v>
      </c>
      <c r="AC10" s="11">
        <f>IF(AC$3=0,"",SUMIFS(INDEX(Inputs!$D$4:$AG$150,0,MATCH(AC$2,Inputs!$D$2:$AG$2,0)),Inputs!$B$4:$B$150,$B10)/1000)</f>
        <v>-820</v>
      </c>
      <c r="AD10" s="11">
        <f>IF(AD$3=0,"",SUMIFS(INDEX(Inputs!$D$4:$AG$150,0,MATCH(AD$2,Inputs!$D$2:$AG$2,0)),Inputs!$B$4:$B$150,$B10)/1000)</f>
        <v>-2187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-76</v>
      </c>
      <c r="E11" s="11">
        <f>IF(E$3=0,"",SUMIFS(INDEX(Inputs!$D$4:$AG$150,0,MATCH(E$2,Inputs!$D$2:$AG$2,0)),Inputs!$B$4:$B$150,$B11)/1000)</f>
        <v>-74</v>
      </c>
      <c r="F11" s="11">
        <f>IF(F$3=0,"",SUMIFS(INDEX(Inputs!$D$4:$AG$150,0,MATCH(F$2,Inputs!$D$2:$AG$2,0)),Inputs!$B$4:$B$150,$B11)/1000)</f>
        <v>-75</v>
      </c>
      <c r="G11" s="11">
        <f>IF(G$3=0,"",SUMIFS(INDEX(Inputs!$D$4:$AG$150,0,MATCH(G$2,Inputs!$D$2:$AG$2,0)),Inputs!$B$4:$B$150,$B11)/1000)</f>
        <v>-74</v>
      </c>
      <c r="H11" s="12">
        <f>IF(COUNT(D11:G11)=4,SUM(D11:G11),"")</f>
        <v>-299</v>
      </c>
      <c r="I11" s="11">
        <f>IF(I$3=0,"",SUMIFS(INDEX(Inputs!$D$4:$AG$150,0,MATCH(I$2,Inputs!$D$2:$AG$2,0)),Inputs!$B$4:$B$150,$B11)/1000)</f>
        <v>-75</v>
      </c>
      <c r="J11" s="11">
        <f>IF(J$3=0,"",SUMIFS(INDEX(Inputs!$D$4:$AG$150,0,MATCH(J$2,Inputs!$D$2:$AG$2,0)),Inputs!$B$4:$B$150,$B11)/1000)</f>
        <v>-75</v>
      </c>
      <c r="K11" s="11">
        <f>IF(K$3=0,"",SUMIFS(INDEX(Inputs!$D$4:$AG$150,0,MATCH(K$2,Inputs!$D$2:$AG$2,0)),Inputs!$B$4:$B$150,$B11)/1000)</f>
        <v>224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74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51</v>
      </c>
      <c r="R11" s="12">
        <f>IF(COUNT(N11:Q11)=4,SUM(N11:Q11),"")</f>
        <v>51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-443</v>
      </c>
      <c r="U11" s="11">
        <f>IF(U$3=0,"",SUMIFS(INDEX(Inputs!$D$4:$AG$150,0,MATCH(U$2,Inputs!$D$2:$AG$2,0)),Inputs!$B$4:$B$150,$B11)/1000)</f>
        <v>119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-324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</v>
      </c>
      <c r="E12" s="11">
        <f>IF(E$3=0,"",SUMIFS(INDEX(Inputs!$D$4:$AG$150,0,MATCH(E$2,Inputs!$D$2:$AG$2,0)),Inputs!$B$4:$B$150,$B12)/1000)</f>
        <v>0</v>
      </c>
      <c r="F12" s="11">
        <f>IF(F$3=0,"",SUMIFS(INDEX(Inputs!$D$4:$AG$150,0,MATCH(F$2,Inputs!$D$2:$AG$2,0)),Inputs!$B$4:$B$150,$B12)/1000)</f>
        <v>0</v>
      </c>
      <c r="G12" s="11">
        <f>IF(G$3=0,"",SUMIFS(INDEX(Inputs!$D$4:$AG$150,0,MATCH(G$2,Inputs!$D$2:$AG$2,0)),Inputs!$B$4:$B$150,$B12)/1000)</f>
        <v>0</v>
      </c>
      <c r="H12" s="12">
        <f>IF(COUNT(D12:G12)=4,SUM(D12:G12),"")</f>
        <v>0</v>
      </c>
      <c r="I12" s="11">
        <f>IF(I$3=0,"",SUMIFS(INDEX(Inputs!$D$4:$AG$150,0,MATCH(I$2,Inputs!$D$2:$AG$2,0)),Inputs!$B$4:$B$150,$B12)/1000)</f>
        <v>0</v>
      </c>
      <c r="J12" s="11">
        <f>IF(J$3=0,"",SUMIFS(INDEX(Inputs!$D$4:$AG$150,0,MATCH(J$2,Inputs!$D$2:$AG$2,0)),Inputs!$B$4:$B$150,$B12)/1000)</f>
        <v>0</v>
      </c>
      <c r="K12" s="11">
        <f>IF(K$3=0,"",SUMIFS(INDEX(Inputs!$D$4:$AG$150,0,MATCH(K$2,Inputs!$D$2:$AG$2,0)),Inputs!$B$4:$B$150,$B12)/1000)</f>
        <v>0</v>
      </c>
      <c r="L12" s="11">
        <f>IF(L$3=0,"",SUMIFS(INDEX(Inputs!$D$4:$AG$150,0,MATCH(L$2,Inputs!$D$2:$AG$2,0)),Inputs!$B$4:$B$150,$B12)/1000)</f>
        <v>0</v>
      </c>
      <c r="M12" s="12">
        <f>IF(COUNT(I12:L12)=4,SUM(I12:L12),"")</f>
        <v>0</v>
      </c>
      <c r="N12" s="11">
        <f>IF(N$3=0,"",SUMIFS(INDEX(Inputs!$D$4:$AG$150,0,MATCH(N$2,Inputs!$D$2:$AG$2,0)),Inputs!$B$4:$B$150,$B12)/1000)</f>
        <v>0</v>
      </c>
      <c r="O12" s="11">
        <f>IF(O$3=0,"",SUMIFS(INDEX(Inputs!$D$4:$AG$150,0,MATCH(O$2,Inputs!$D$2:$AG$2,0)),Inputs!$B$4:$B$150,$B12)/1000)</f>
        <v>0</v>
      </c>
      <c r="P12" s="11">
        <f>IF(P$3=0,"",SUMIFS(INDEX(Inputs!$D$4:$AG$150,0,MATCH(P$2,Inputs!$D$2:$AG$2,0)),Inputs!$B$4:$B$150,$B12)/1000)</f>
        <v>0</v>
      </c>
      <c r="Q12" s="11">
        <f>IF(Q$3=0,"",SUMIFS(INDEX(Inputs!$D$4:$AG$150,0,MATCH(Q$2,Inputs!$D$2:$AG$2,0)),Inputs!$B$4:$B$150,$B12)/1000)</f>
        <v>0</v>
      </c>
      <c r="R12" s="12">
        <f>IF(COUNT(N12:Q12)=4,SUM(N12:Q12),"")</f>
        <v>0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0</v>
      </c>
      <c r="U12" s="11">
        <f>IF(U$3=0,"",SUMIFS(INDEX(Inputs!$D$4:$AG$150,0,MATCH(U$2,Inputs!$D$2:$AG$2,0)),Inputs!$B$4:$B$150,$B12)/1000)</f>
        <v>0</v>
      </c>
      <c r="V12" s="11">
        <f>IF(V$3=0,"",SUMIFS(INDEX(Inputs!$D$4:$AG$150,0,MATCH(V$2,Inputs!$D$2:$AG$2,0)),Inputs!$B$4:$B$150,$B12)/1000)</f>
        <v>0</v>
      </c>
      <c r="W12" s="12">
        <f>IF(COUNT(S12:V12)=4,SUM(S12:V12),"")</f>
        <v>0</v>
      </c>
      <c r="X12" s="11">
        <f>IF(X$3=0,"",SUMIFS(INDEX(Inputs!$D$4:$AG$150,0,MATCH(X$2,Inputs!$D$2:$AG$2,0)),Inputs!$B$4:$B$150,$B12)/1000)</f>
        <v>0</v>
      </c>
      <c r="Y12" s="11">
        <f>IF(Y$3=0,"",SUMIFS(INDEX(Inputs!$D$4:$AG$150,0,MATCH(Y$2,Inputs!$D$2:$AG$2,0)),Inputs!$B$4:$B$150,$B12)/1000)</f>
        <v>0</v>
      </c>
      <c r="Z12" s="11">
        <f>IF(Z$3=0,"",SUMIFS(INDEX(Inputs!$D$4:$AG$150,0,MATCH(Z$2,Inputs!$D$2:$AG$2,0)),Inputs!$B$4:$B$150,$B12)/1000)</f>
        <v>0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0</v>
      </c>
      <c r="AC12" s="11">
        <f>IF(AC$3=0,"",SUMIFS(INDEX(Inputs!$D$4:$AG$150,0,MATCH(AC$2,Inputs!$D$2:$AG$2,0)),Inputs!$B$4:$B$150,$B12)/1000)</f>
        <v>0</v>
      </c>
      <c r="AD12" s="11">
        <f>IF(AD$3=0,"",SUMIFS(INDEX(Inputs!$D$4:$AG$150,0,MATCH(AD$2,Inputs!$D$2:$AG$2,0)),Inputs!$B$4:$B$150,$B12)/1000)</f>
        <v>0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-1477</v>
      </c>
      <c r="E13" s="11">
        <f>IF(E$3=0,"",SUMIFS(INDEX(Inputs!$D$4:$AG$150,0,MATCH(E$2,Inputs!$D$2:$AG$2,0)),Inputs!$B$4:$B$150,$B13)/1000)</f>
        <v>-1482</v>
      </c>
      <c r="F13" s="11">
        <f>IF(F$3=0,"",SUMIFS(INDEX(Inputs!$D$4:$AG$150,0,MATCH(F$2,Inputs!$D$2:$AG$2,0)),Inputs!$B$4:$B$150,$B13)/1000)</f>
        <v>-1561</v>
      </c>
      <c r="G13" s="11">
        <f>IF(G$3=0,"",SUMIFS(INDEX(Inputs!$D$4:$AG$150,0,MATCH(G$2,Inputs!$D$2:$AG$2,0)),Inputs!$B$4:$B$150,$B13)/1000)</f>
        <v>-1764</v>
      </c>
      <c r="H13" s="12">
        <f>IF(COUNT(D13:G13)=4,SUM(D13:G13),"")</f>
        <v>-6284</v>
      </c>
      <c r="I13" s="11">
        <f>IF(I$3=0,"",SUMIFS(INDEX(Inputs!$D$4:$AG$150,0,MATCH(I$2,Inputs!$D$2:$AG$2,0)),Inputs!$B$4:$B$150,$B13)/1000)</f>
        <v>-1676</v>
      </c>
      <c r="J13" s="11">
        <f>IF(J$3=0,"",SUMIFS(INDEX(Inputs!$D$4:$AG$150,0,MATCH(J$2,Inputs!$D$2:$AG$2,0)),Inputs!$B$4:$B$150,$B13)/1000)</f>
        <v>-1661</v>
      </c>
      <c r="K13" s="11">
        <f>IF(K$3=0,"",SUMIFS(INDEX(Inputs!$D$4:$AG$150,0,MATCH(K$2,Inputs!$D$2:$AG$2,0)),Inputs!$B$4:$B$150,$B13)/1000)</f>
        <v>-1782</v>
      </c>
      <c r="L13" s="11">
        <f>IF(L$3=0,"",SUMIFS(INDEX(Inputs!$D$4:$AG$150,0,MATCH(L$2,Inputs!$D$2:$AG$2,0)),Inputs!$B$4:$B$150,$B13)/1000)</f>
        <v>-1926</v>
      </c>
      <c r="M13" s="12">
        <f>IF(COUNT(I13:L13)=4,SUM(I13:L13),"")</f>
        <v>-7045</v>
      </c>
      <c r="N13" s="11">
        <f>IF(N$3=0,"",SUMIFS(INDEX(Inputs!$D$4:$AG$150,0,MATCH(N$2,Inputs!$D$2:$AG$2,0)),Inputs!$B$4:$B$150,$B13)/1000)</f>
        <v>-1914</v>
      </c>
      <c r="O13" s="11">
        <f>IF(O$3=0,"",SUMIFS(INDEX(Inputs!$D$4:$AG$150,0,MATCH(O$2,Inputs!$D$2:$AG$2,0)),Inputs!$B$4:$B$150,$B13)/1000)</f>
        <v>-1901</v>
      </c>
      <c r="P13" s="11">
        <f>IF(P$3=0,"",SUMIFS(INDEX(Inputs!$D$4:$AG$150,0,MATCH(P$2,Inputs!$D$2:$AG$2,0)),Inputs!$B$4:$B$150,$B13)/1000)</f>
        <v>-1904</v>
      </c>
      <c r="Q13" s="11">
        <f>IF(Q$3=0,"",SUMIFS(INDEX(Inputs!$D$4:$AG$150,0,MATCH(Q$2,Inputs!$D$2:$AG$2,0)),Inputs!$B$4:$B$150,$B13)/1000)</f>
        <v>-2435</v>
      </c>
      <c r="R13" s="12">
        <f>IF(COUNT(N13:Q13)=4,SUM(N13:Q13),"")</f>
        <v>-8154</v>
      </c>
      <c r="S13" s="11">
        <f>IF(S$3=0,"",SUMIFS(INDEX(Inputs!$D$4:$AG$150,0,MATCH(S$2,Inputs!$D$2:$AG$2,0)),Inputs!$B$4:$B$150,$B13)/1000)</f>
        <v>-2443</v>
      </c>
      <c r="T13" s="11">
        <f>IF(T$3=0,"",SUMIFS(INDEX(Inputs!$D$4:$AG$150,0,MATCH(T$2,Inputs!$D$2:$AG$2,0)),Inputs!$B$4:$B$150,$B13)/1000)</f>
        <v>-2452</v>
      </c>
      <c r="U13" s="11">
        <f>IF(U$3=0,"",SUMIFS(INDEX(Inputs!$D$4:$AG$150,0,MATCH(U$2,Inputs!$D$2:$AG$2,0)),Inputs!$B$4:$B$150,$B13)/1000)</f>
        <v>-2484</v>
      </c>
      <c r="V13" s="11">
        <f>IF(V$3=0,"",SUMIFS(INDEX(Inputs!$D$4:$AG$150,0,MATCH(V$2,Inputs!$D$2:$AG$2,0)),Inputs!$B$4:$B$150,$B13)/1000)</f>
        <v>-2774</v>
      </c>
      <c r="W13" s="12">
        <f>IF(COUNT(S13:V13)=4,SUM(S13:V13),"")</f>
        <v>-10153</v>
      </c>
      <c r="X13" s="11">
        <f>IF(X$3=0,"",SUMIFS(INDEX(Inputs!$D$4:$AG$150,0,MATCH(X$2,Inputs!$D$2:$AG$2,0)),Inputs!$B$4:$B$150,$B13)/1000)</f>
        <v>-2785</v>
      </c>
      <c r="Y13" s="11">
        <f>IF(Y$3=0,"",SUMIFS(INDEX(Inputs!$D$4:$AG$150,0,MATCH(Y$2,Inputs!$D$2:$AG$2,0)),Inputs!$B$4:$B$150,$B13)/1000)</f>
        <v>-2786</v>
      </c>
      <c r="Z13" s="11">
        <f>IF(Z$3=0,"",SUMIFS(INDEX(Inputs!$D$4:$AG$150,0,MATCH(Z$2,Inputs!$D$2:$AG$2,0)),Inputs!$B$4:$B$150,$B13)/1000)</f>
        <v>-2797</v>
      </c>
      <c r="AA13" s="11">
        <f>IF(AA$3=0,"",SUMIFS(INDEX(Inputs!$D$4:$AG$150,0,MATCH(AA$2,Inputs!$D$2:$AG$2,0)),Inputs!$B$4:$B$150,$B13)/1000)</f>
        <v>-3086</v>
      </c>
      <c r="AB13" s="12">
        <f>IF(COUNT(X13:AA13)=4,SUM(X13:AA13),"")</f>
        <v>-11454</v>
      </c>
      <c r="AC13" s="11">
        <f>IF(AC$3=0,"",SUMIFS(INDEX(Inputs!$D$4:$AG$150,0,MATCH(AC$2,Inputs!$D$2:$AG$2,0)),Inputs!$B$4:$B$150,$B13)/1000)</f>
        <v>-3092</v>
      </c>
      <c r="AD13" s="11">
        <f>IF(AD$3=0,"",SUMIFS(INDEX(Inputs!$D$4:$AG$150,0,MATCH(AD$2,Inputs!$D$2:$AG$2,0)),Inputs!$B$4:$B$150,$B13)/1000)</f>
        <v>-3103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9518</v>
      </c>
      <c r="E15" s="11">
        <f>IF(E$3=0,"",SUMIFS(INDEX(Inputs!$D$4:$AG$150,0,MATCH(E$2,Inputs!$D$2:$AG$2,0)),Inputs!$B$4:$B$150,$B15)/1000)</f>
        <v>11105</v>
      </c>
      <c r="F15" s="11">
        <f>IF(F$3=0,"",SUMIFS(INDEX(Inputs!$D$4:$AG$150,0,MATCH(F$2,Inputs!$D$2:$AG$2,0)),Inputs!$B$4:$B$150,$B15)/1000)</f>
        <v>12163</v>
      </c>
      <c r="G15" s="11">
        <f>IF(G$3=0,"",SUMIFS(INDEX(Inputs!$D$4:$AG$150,0,MATCH(G$2,Inputs!$D$2:$AG$2,0)),Inputs!$B$4:$B$150,$B15)/1000)</f>
        <v>10219</v>
      </c>
      <c r="H15" s="12">
        <f>IF(G15="","",G15)</f>
        <v>10219</v>
      </c>
      <c r="I15" s="11">
        <f>IF(I$3=0,"",SUMIFS(INDEX(Inputs!$D$4:$AG$150,0,MATCH(I$2,Inputs!$D$2:$AG$2,0)),Inputs!$B$4:$B$150,$B15)/1000)</f>
        <v>9005</v>
      </c>
      <c r="J15" s="11">
        <f>IF(J$3=0,"",SUMIFS(INDEX(Inputs!$D$4:$AG$150,0,MATCH(J$2,Inputs!$D$2:$AG$2,0)),Inputs!$B$4:$B$150,$B15)/1000)</f>
        <v>9977</v>
      </c>
      <c r="K15" s="11">
        <f>IF(K$3=0,"",SUMIFS(INDEX(Inputs!$D$4:$AG$150,0,MATCH(K$2,Inputs!$D$2:$AG$2,0)),Inputs!$B$4:$B$150,$B15)/1000)</f>
        <v>12416</v>
      </c>
      <c r="L15" s="11">
        <f>IF(L$3=0,"",SUMIFS(INDEX(Inputs!$D$4:$AG$150,0,MATCH(L$2,Inputs!$D$2:$AG$2,0)),Inputs!$B$4:$B$150,$B15)/1000)</f>
        <v>12647</v>
      </c>
      <c r="M15" s="12">
        <f>IF(L15="","",L15)</f>
        <v>12647</v>
      </c>
      <c r="N15" s="11">
        <f>IF(N$3=0,"",SUMIFS(INDEX(Inputs!$D$4:$AG$150,0,MATCH(N$2,Inputs!$D$2:$AG$2,0)),Inputs!$B$4:$B$150,$B15)/1000)</f>
        <v>11553</v>
      </c>
      <c r="O15" s="11">
        <f>IF(O$3=0,"",SUMIFS(INDEX(Inputs!$D$4:$AG$150,0,MATCH(O$2,Inputs!$D$2:$AG$2,0)),Inputs!$B$4:$B$150,$B15)/1000)</f>
        <v>12055</v>
      </c>
      <c r="P15" s="11">
        <f>IF(P$3=0,"",SUMIFS(INDEX(Inputs!$D$4:$AG$150,0,MATCH(P$2,Inputs!$D$2:$AG$2,0)),Inputs!$B$4:$B$150,$B15)/1000)</f>
        <v>14189</v>
      </c>
      <c r="Q15" s="11">
        <f>IF(Q$3=0,"",SUMIFS(INDEX(Inputs!$D$4:$AG$150,0,MATCH(Q$2,Inputs!$D$2:$AG$2,0)),Inputs!$B$4:$B$150,$B15)/1000)</f>
        <v>11864</v>
      </c>
      <c r="R15" s="12">
        <f>IF(Q15="","",Q15)</f>
        <v>11864</v>
      </c>
      <c r="S15" s="11">
        <f>IF(S$3=0,"",SUMIFS(INDEX(Inputs!$D$4:$AG$150,0,MATCH(S$2,Inputs!$D$2:$AG$2,0)),Inputs!$B$4:$B$150,$B15)/1000)</f>
        <v>9809</v>
      </c>
      <c r="T15" s="11">
        <f>IF(T$3=0,"",SUMIFS(INDEX(Inputs!$D$4:$AG$150,0,MATCH(T$2,Inputs!$D$2:$AG$2,0)),Inputs!$B$4:$B$150,$B15)/1000)</f>
        <v>9952</v>
      </c>
      <c r="U15" s="11">
        <f>IF(U$3=0,"",SUMIFS(INDEX(Inputs!$D$4:$AG$150,0,MATCH(U$2,Inputs!$D$2:$AG$2,0)),Inputs!$B$4:$B$150,$B15)/1000)</f>
        <v>9348</v>
      </c>
      <c r="V15" s="11">
        <f>IF(V$3=0,"",SUMIFS(INDEX(Inputs!$D$4:$AG$150,0,MATCH(V$2,Inputs!$D$2:$AG$2,0)),Inputs!$B$4:$B$150,$B15)/1000)</f>
        <v>9307</v>
      </c>
      <c r="W15" s="12">
        <f>IF(V15="","",V15)</f>
        <v>9307</v>
      </c>
      <c r="X15" s="11">
        <f>IF(X$3=0,"",SUMIFS(INDEX(Inputs!$D$4:$AG$150,0,MATCH(X$2,Inputs!$D$2:$AG$2,0)),Inputs!$B$4:$B$150,$B15)/1000)</f>
        <v>9472</v>
      </c>
      <c r="Y15" s="11">
        <f>IF(Y$3=0,"",SUMIFS(INDEX(Inputs!$D$4:$AG$150,0,MATCH(Y$2,Inputs!$D$2:$AG$2,0)),Inputs!$B$4:$B$150,$B15)/1000)</f>
        <v>10718</v>
      </c>
      <c r="Z15" s="11">
        <f>IF(Z$3=0,"",SUMIFS(INDEX(Inputs!$D$4:$AG$150,0,MATCH(Z$2,Inputs!$D$2:$AG$2,0)),Inputs!$B$4:$B$150,$B15)/1000)</f>
        <v>16178</v>
      </c>
      <c r="AA15" s="11">
        <f>IF(AA$3=0,"",SUMIFS(INDEX(Inputs!$D$4:$AG$150,0,MATCH(AA$2,Inputs!$D$2:$AG$2,0)),Inputs!$B$4:$B$150,$B15)/1000)</f>
        <v>14174</v>
      </c>
      <c r="AB15" s="12">
        <f>IF(AA15="","",AA15)</f>
        <v>14174</v>
      </c>
      <c r="AC15" s="11">
        <f>IF(AC$3=0,"",SUMIFS(INDEX(Inputs!$D$4:$AG$150,0,MATCH(AC$2,Inputs!$D$2:$AG$2,0)),Inputs!$B$4:$B$150,$B15)/1000)</f>
        <v>19628</v>
      </c>
      <c r="AD15" s="11">
        <f>IF(AD$3=0,"",SUMIFS(INDEX(Inputs!$D$4:$AG$150,0,MATCH(AD$2,Inputs!$D$2:$AG$2,0)),Inputs!$B$4:$B$150,$B15)/1000)</f>
        <v>23975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2425</v>
      </c>
      <c r="E16" s="11">
        <f>IF(E$3=0,"",SUMIFS(INDEX(Inputs!$D$4:$AG$150,0,MATCH(E$2,Inputs!$D$2:$AG$2,0)),Inputs!$B$4:$B$150,$B16)/1000)</f>
        <v>2234</v>
      </c>
      <c r="F16" s="11">
        <f>IF(F$3=0,"",SUMIFS(INDEX(Inputs!$D$4:$AG$150,0,MATCH(F$2,Inputs!$D$2:$AG$2,0)),Inputs!$B$4:$B$150,$B16)/1000)</f>
        <v>2071</v>
      </c>
      <c r="G16" s="11">
        <f>IF(G$3=0,"",SUMIFS(INDEX(Inputs!$D$4:$AG$150,0,MATCH(G$2,Inputs!$D$2:$AG$2,0)),Inputs!$B$4:$B$150,$B16)/1000)</f>
        <v>2539</v>
      </c>
      <c r="H16" s="12">
        <f>IF(G16="","",G16)</f>
        <v>2539</v>
      </c>
      <c r="I16" s="11">
        <f>IF(I$3=0,"",SUMIFS(INDEX(Inputs!$D$4:$AG$150,0,MATCH(I$2,Inputs!$D$2:$AG$2,0)),Inputs!$B$4:$B$150,$B16)/1000)</f>
        <v>3083</v>
      </c>
      <c r="J16" s="11">
        <f>IF(J$3=0,"",SUMIFS(INDEX(Inputs!$D$4:$AG$150,0,MATCH(J$2,Inputs!$D$2:$AG$2,0)),Inputs!$B$4:$B$150,$B16)/1000)</f>
        <v>2708</v>
      </c>
      <c r="K16" s="11">
        <f>IF(K$3=0,"",SUMIFS(INDEX(Inputs!$D$4:$AG$150,0,MATCH(K$2,Inputs!$D$2:$AG$2,0)),Inputs!$B$4:$B$150,$B16)/1000)</f>
        <v>2958</v>
      </c>
      <c r="L16" s="11">
        <f>IF(L$3=0,"",SUMIFS(INDEX(Inputs!$D$4:$AG$150,0,MATCH(L$2,Inputs!$D$2:$AG$2,0)),Inputs!$B$4:$B$150,$B16)/1000)</f>
        <v>3234</v>
      </c>
      <c r="M16" s="12">
        <f>IF(L16="","",L16)</f>
        <v>3234</v>
      </c>
      <c r="N16" s="11">
        <f>IF(N$3=0,"",SUMIFS(INDEX(Inputs!$D$4:$AG$150,0,MATCH(N$2,Inputs!$D$2:$AG$2,0)),Inputs!$B$4:$B$150,$B16)/1000)</f>
        <v>3031</v>
      </c>
      <c r="O16" s="11">
        <f>IF(O$3=0,"",SUMIFS(INDEX(Inputs!$D$4:$AG$150,0,MATCH(O$2,Inputs!$D$2:$AG$2,0)),Inputs!$B$4:$B$150,$B16)/1000)</f>
        <v>2914</v>
      </c>
      <c r="P16" s="11">
        <f>IF(P$3=0,"",SUMIFS(INDEX(Inputs!$D$4:$AG$150,0,MATCH(P$2,Inputs!$D$2:$AG$2,0)),Inputs!$B$4:$B$150,$B16)/1000)</f>
        <v>3154</v>
      </c>
      <c r="Q16" s="11">
        <f>IF(Q$3=0,"",SUMIFS(INDEX(Inputs!$D$4:$AG$150,0,MATCH(Q$2,Inputs!$D$2:$AG$2,0)),Inputs!$B$4:$B$150,$B16)/1000)</f>
        <v>4969</v>
      </c>
      <c r="R16" s="12">
        <f>IF(Q16="","",Q16)</f>
        <v>4969</v>
      </c>
      <c r="S16" s="11">
        <f>IF(S$3=0,"",SUMIFS(INDEX(Inputs!$D$4:$AG$150,0,MATCH(S$2,Inputs!$D$2:$AG$2,0)),Inputs!$B$4:$B$150,$B16)/1000)</f>
        <v>5500</v>
      </c>
      <c r="T16" s="11">
        <f>IF(T$3=0,"",SUMIFS(INDEX(Inputs!$D$4:$AG$150,0,MATCH(T$2,Inputs!$D$2:$AG$2,0)),Inputs!$B$4:$B$150,$B16)/1000)</f>
        <v>4665</v>
      </c>
      <c r="U16" s="11">
        <f>IF(U$3=0,"",SUMIFS(INDEX(Inputs!$D$4:$AG$150,0,MATCH(U$2,Inputs!$D$2:$AG$2,0)),Inputs!$B$4:$B$150,$B16)/1000)</f>
        <v>4416</v>
      </c>
      <c r="V16" s="11">
        <f>IF(V$3=0,"",SUMIFS(INDEX(Inputs!$D$4:$AG$150,0,MATCH(V$2,Inputs!$D$2:$AG$2,0)),Inputs!$B$4:$B$150,$B16)/1000)</f>
        <v>4955</v>
      </c>
      <c r="W16" s="12">
        <f>IF(V16="","",V16)</f>
        <v>4955</v>
      </c>
      <c r="X16" s="11">
        <f>IF(X$3=0,"",SUMIFS(INDEX(Inputs!$D$4:$AG$150,0,MATCH(X$2,Inputs!$D$2:$AG$2,0)),Inputs!$B$4:$B$150,$B16)/1000)</f>
        <v>5563</v>
      </c>
      <c r="Y16" s="11">
        <f>IF(Y$3=0,"",SUMIFS(INDEX(Inputs!$D$4:$AG$150,0,MATCH(Y$2,Inputs!$D$2:$AG$2,0)),Inputs!$B$4:$B$150,$B16)/1000)</f>
        <v>6494</v>
      </c>
      <c r="Z16" s="11">
        <f>IF(Z$3=0,"",SUMIFS(INDEX(Inputs!$D$4:$AG$150,0,MATCH(Z$2,Inputs!$D$2:$AG$2,0)),Inputs!$B$4:$B$150,$B16)/1000)</f>
        <v>7145</v>
      </c>
      <c r="AA16" s="11">
        <f>IF(AA$3=0,"",SUMIFS(INDEX(Inputs!$D$4:$AG$150,0,MATCH(AA$2,Inputs!$D$2:$AG$2,0)),Inputs!$B$4:$B$150,$B16)/1000)</f>
        <v>8460</v>
      </c>
      <c r="AB16" s="12">
        <f>IF(AA16="","",AA16)</f>
        <v>8460</v>
      </c>
      <c r="AC16" s="11">
        <f>IF(AC$3=0,"",SUMIFS(INDEX(Inputs!$D$4:$AG$150,0,MATCH(AC$2,Inputs!$D$2:$AG$2,0)),Inputs!$B$4:$B$150,$B16)/1000)</f>
        <v>10830</v>
      </c>
      <c r="AD16" s="11">
        <f>IF(AD$3=0,"",SUMIFS(INDEX(Inputs!$D$4:$AG$150,0,MATCH(AD$2,Inputs!$D$2:$AG$2,0)),Inputs!$B$4:$B$150,$B16)/1000)</f>
        <v>13707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1004</v>
      </c>
      <c r="E17" s="11">
        <f>IF(E$3=0,"",SUMIFS(INDEX(Inputs!$D$4:$AG$150,0,MATCH(E$2,Inputs!$D$2:$AG$2,0)),Inputs!$B$4:$B$150,$B17)/1000)</f>
        <v>1160</v>
      </c>
      <c r="F17" s="11">
        <f>IF(F$3=0,"",SUMIFS(INDEX(Inputs!$D$4:$AG$150,0,MATCH(F$2,Inputs!$D$2:$AG$2,0)),Inputs!$B$4:$B$150,$B17)/1000)</f>
        <v>1297</v>
      </c>
      <c r="G17" s="11">
        <f>IF(G$3=0,"",SUMIFS(INDEX(Inputs!$D$4:$AG$150,0,MATCH(G$2,Inputs!$D$2:$AG$2,0)),Inputs!$B$4:$B$150,$B17)/1000)</f>
        <v>1520</v>
      </c>
      <c r="H17" s="12">
        <f>IF(G17="","",G17)</f>
        <v>1520</v>
      </c>
      <c r="I17" s="11">
        <f>IF(I$3=0,"",SUMIFS(INDEX(Inputs!$D$4:$AG$150,0,MATCH(I$2,Inputs!$D$2:$AG$2,0)),Inputs!$B$4:$B$150,$B17)/1000)</f>
        <v>1668</v>
      </c>
      <c r="J17" s="11">
        <f>IF(J$3=0,"",SUMIFS(INDEX(Inputs!$D$4:$AG$150,0,MATCH(J$2,Inputs!$D$2:$AG$2,0)),Inputs!$B$4:$B$150,$B17)/1000)</f>
        <v>1838</v>
      </c>
      <c r="K17" s="11">
        <f>IF(K$3=0,"",SUMIFS(INDEX(Inputs!$D$4:$AG$150,0,MATCH(K$2,Inputs!$D$2:$AG$2,0)),Inputs!$B$4:$B$150,$B17)/1000)</f>
        <v>1925</v>
      </c>
      <c r="L17" s="11">
        <f>IF(L$3=0,"",SUMIFS(INDEX(Inputs!$D$4:$AG$150,0,MATCH(L$2,Inputs!$D$2:$AG$2,0)),Inputs!$B$4:$B$150,$B17)/1000)</f>
        <v>1899</v>
      </c>
      <c r="M17" s="12">
        <f>IF(L17="","",L17)</f>
        <v>1899</v>
      </c>
      <c r="N17" s="11">
        <f>IF(N$3=0,"",SUMIFS(INDEX(Inputs!$D$4:$AG$150,0,MATCH(N$2,Inputs!$D$2:$AG$2,0)),Inputs!$B$4:$B$150,$B17)/1000)</f>
        <v>1886</v>
      </c>
      <c r="O17" s="11">
        <f>IF(O$3=0,"",SUMIFS(INDEX(Inputs!$D$4:$AG$150,0,MATCH(O$2,Inputs!$D$2:$AG$2,0)),Inputs!$B$4:$B$150,$B17)/1000)</f>
        <v>1842</v>
      </c>
      <c r="P17" s="11">
        <f>IF(P$3=0,"",SUMIFS(INDEX(Inputs!$D$4:$AG$150,0,MATCH(P$2,Inputs!$D$2:$AG$2,0)),Inputs!$B$4:$B$150,$B17)/1000)</f>
        <v>1898</v>
      </c>
      <c r="Q17" s="11">
        <f>IF(Q$3=0,"",SUMIFS(INDEX(Inputs!$D$4:$AG$150,0,MATCH(Q$2,Inputs!$D$2:$AG$2,0)),Inputs!$B$4:$B$150,$B17)/1000)</f>
        <v>1920</v>
      </c>
      <c r="R17" s="12">
        <f>IF(Q17="","",Q17)</f>
        <v>1920</v>
      </c>
      <c r="S17" s="11">
        <f>IF(S$3=0,"",SUMIFS(INDEX(Inputs!$D$4:$AG$150,0,MATCH(S$2,Inputs!$D$2:$AG$2,0)),Inputs!$B$4:$B$150,$B17)/1000)</f>
        <v>1842</v>
      </c>
      <c r="T17" s="11">
        <f>IF(T$3=0,"",SUMIFS(INDEX(Inputs!$D$4:$AG$150,0,MATCH(T$2,Inputs!$D$2:$AG$2,0)),Inputs!$B$4:$B$150,$B17)/1000)</f>
        <v>1894</v>
      </c>
      <c r="U17" s="11">
        <f>IF(U$3=0,"",SUMIFS(INDEX(Inputs!$D$4:$AG$150,0,MATCH(U$2,Inputs!$D$2:$AG$2,0)),Inputs!$B$4:$B$150,$B17)/1000)</f>
        <v>1760</v>
      </c>
      <c r="V17" s="11">
        <f>IF(V$3=0,"",SUMIFS(INDEX(Inputs!$D$4:$AG$150,0,MATCH(V$2,Inputs!$D$2:$AG$2,0)),Inputs!$B$4:$B$150,$B17)/1000)</f>
        <v>1908</v>
      </c>
      <c r="W17" s="12">
        <f>IF(V17="","",V17)</f>
        <v>1908</v>
      </c>
      <c r="X17" s="11">
        <f>IF(X$3=0,"",SUMIFS(INDEX(Inputs!$D$4:$AG$150,0,MATCH(X$2,Inputs!$D$2:$AG$2,0)),Inputs!$B$4:$B$150,$B17)/1000)</f>
        <v>2017</v>
      </c>
      <c r="Y17" s="11">
        <f>IF(Y$3=0,"",SUMIFS(INDEX(Inputs!$D$4:$AG$150,0,MATCH(Y$2,Inputs!$D$2:$AG$2,0)),Inputs!$B$4:$B$150,$B17)/1000)</f>
        <v>2180</v>
      </c>
      <c r="Z17" s="11">
        <f>IF(Z$3=0,"",SUMIFS(INDEX(Inputs!$D$4:$AG$150,0,MATCH(Z$2,Inputs!$D$2:$AG$2,0)),Inputs!$B$4:$B$150,$B17)/1000)</f>
        <v>2270</v>
      </c>
      <c r="AA17" s="11">
        <f>IF(AA$3=0,"",SUMIFS(INDEX(Inputs!$D$4:$AG$150,0,MATCH(AA$2,Inputs!$D$2:$AG$2,0)),Inputs!$B$4:$B$150,$B17)/1000)</f>
        <v>2962</v>
      </c>
      <c r="AB17" s="12">
        <f>IF(AA17="","",AA17)</f>
        <v>2962</v>
      </c>
      <c r="AC17" s="11">
        <f>IF(AC$3=0,"",SUMIFS(INDEX(Inputs!$D$4:$AG$150,0,MATCH(AC$2,Inputs!$D$2:$AG$2,0)),Inputs!$B$4:$B$150,$B17)/1000)</f>
        <v>4328</v>
      </c>
      <c r="AD17" s="11">
        <f>IF(AD$3=0,"",SUMIFS(INDEX(Inputs!$D$4:$AG$150,0,MATCH(AD$2,Inputs!$D$2:$AG$2,0)),Inputs!$B$4:$B$150,$B17)/1000)</f>
        <v>4523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1298</v>
      </c>
      <c r="E20" s="11">
        <f>IF(E$3=0,"",SUMIFS(INDEX(Inputs!$D$4:$AG$150,0,MATCH(E$2,Inputs!$D$2:$AG$2,0)),Inputs!$B$4:$B$150,$B20)/1000)</f>
        <v>1137</v>
      </c>
      <c r="F20" s="11">
        <f>IF(F$3=0,"",SUMIFS(INDEX(Inputs!$D$4:$AG$150,0,MATCH(F$2,Inputs!$D$2:$AG$2,0)),Inputs!$B$4:$B$150,$B20)/1000)</f>
        <v>1055</v>
      </c>
      <c r="G20" s="11">
        <f>IF(G$3=0,"",SUMIFS(INDEX(Inputs!$D$4:$AG$150,0,MATCH(G$2,Inputs!$D$2:$AG$2,0)),Inputs!$B$4:$B$150,$B20)/1000)</f>
        <v>1063</v>
      </c>
      <c r="H20" s="12">
        <f>IF(G20="","",G20)</f>
        <v>1063</v>
      </c>
      <c r="I20" s="11">
        <f>IF(I$3=0,"",SUMIFS(INDEX(Inputs!$D$4:$AG$150,0,MATCH(I$2,Inputs!$D$2:$AG$2,0)),Inputs!$B$4:$B$150,$B20)/1000)</f>
        <v>1054</v>
      </c>
      <c r="J20" s="11">
        <f>IF(J$3=0,"",SUMIFS(INDEX(Inputs!$D$4:$AG$150,0,MATCH(J$2,Inputs!$D$2:$AG$2,0)),Inputs!$B$4:$B$150,$B20)/1000)</f>
        <v>1038</v>
      </c>
      <c r="K20" s="11">
        <f>IF(K$3=0,"",SUMIFS(INDEX(Inputs!$D$4:$AG$150,0,MATCH(K$2,Inputs!$D$2:$AG$2,0)),Inputs!$B$4:$B$150,$B20)/1000)</f>
        <v>1205</v>
      </c>
      <c r="L20" s="11">
        <f>IF(L$3=0,"",SUMIFS(INDEX(Inputs!$D$4:$AG$150,0,MATCH(L$2,Inputs!$D$2:$AG$2,0)),Inputs!$B$4:$B$150,$B20)/1000)</f>
        <v>1056</v>
      </c>
      <c r="M20" s="12">
        <f>IF(L20="","",L20)</f>
        <v>1056</v>
      </c>
      <c r="N20" s="11">
        <f>IF(N$3=0,"",SUMIFS(INDEX(Inputs!$D$4:$AG$150,0,MATCH(N$2,Inputs!$D$2:$AG$2,0)),Inputs!$B$4:$B$150,$B20)/1000)</f>
        <v>1401</v>
      </c>
      <c r="O20" s="11">
        <f>IF(O$3=0,"",SUMIFS(INDEX(Inputs!$D$4:$AG$150,0,MATCH(O$2,Inputs!$D$2:$AG$2,0)),Inputs!$B$4:$B$150,$B20)/1000)</f>
        <v>1522</v>
      </c>
      <c r="P20" s="11">
        <f>IF(P$3=0,"",SUMIFS(INDEX(Inputs!$D$4:$AG$150,0,MATCH(P$2,Inputs!$D$2:$AG$2,0)),Inputs!$B$4:$B$150,$B20)/1000)</f>
        <v>1606</v>
      </c>
      <c r="Q20" s="11">
        <f>IF(Q$3=0,"",SUMIFS(INDEX(Inputs!$D$4:$AG$150,0,MATCH(Q$2,Inputs!$D$2:$AG$2,0)),Inputs!$B$4:$B$150,$B20)/1000)</f>
        <v>8439</v>
      </c>
      <c r="R20" s="12">
        <f>IF(Q20="","",Q20)</f>
        <v>8439</v>
      </c>
      <c r="S20" s="11">
        <f>IF(S$3=0,"",SUMIFS(INDEX(Inputs!$D$4:$AG$150,0,MATCH(S$2,Inputs!$D$2:$AG$2,0)),Inputs!$B$4:$B$150,$B20)/1000)</f>
        <v>8151</v>
      </c>
      <c r="T20" s="11">
        <f>IF(T$3=0,"",SUMIFS(INDEX(Inputs!$D$4:$AG$150,0,MATCH(T$2,Inputs!$D$2:$AG$2,0)),Inputs!$B$4:$B$150,$B20)/1000)</f>
        <v>3436</v>
      </c>
      <c r="U20" s="11">
        <f>IF(U$3=0,"",SUMIFS(INDEX(Inputs!$D$4:$AG$150,0,MATCH(U$2,Inputs!$D$2:$AG$2,0)),Inputs!$B$4:$B$150,$B20)/1000)</f>
        <v>4071</v>
      </c>
      <c r="V20" s="11">
        <f>IF(V$3=0,"",SUMIFS(INDEX(Inputs!$D$4:$AG$150,0,MATCH(V$2,Inputs!$D$2:$AG$2,0)),Inputs!$B$4:$B$150,$B20)/1000)</f>
        <v>4820</v>
      </c>
      <c r="W20" s="12">
        <f>IF(V20="","",V20)</f>
        <v>4820</v>
      </c>
      <c r="X20" s="11">
        <f>IF(X$3=0,"",SUMIFS(INDEX(Inputs!$D$4:$AG$150,0,MATCH(X$2,Inputs!$D$2:$AG$2,0)),Inputs!$B$4:$B$150,$B20)/1000)</f>
        <v>5129</v>
      </c>
      <c r="Y20" s="11">
        <f>IF(Y$3=0,"",SUMIFS(INDEX(Inputs!$D$4:$AG$150,0,MATCH(Y$2,Inputs!$D$2:$AG$2,0)),Inputs!$B$4:$B$150,$B20)/1000)</f>
        <v>5606</v>
      </c>
      <c r="Z20" s="11">
        <f>IF(Z$3=0,"",SUMIFS(INDEX(Inputs!$D$4:$AG$150,0,MATCH(Z$2,Inputs!$D$2:$AG$2,0)),Inputs!$B$4:$B$150,$B20)/1000)</f>
        <v>5980</v>
      </c>
      <c r="AA20" s="11">
        <f>IF(AA$3=0,"",SUMIFS(INDEX(Inputs!$D$4:$AG$150,0,MATCH(AA$2,Inputs!$D$2:$AG$2,0)),Inputs!$B$4:$B$150,$B20)/1000)</f>
        <v>6466</v>
      </c>
      <c r="AB20" s="12">
        <f>IF(AA20="","",AA20)</f>
        <v>6466</v>
      </c>
      <c r="AC20" s="11">
        <f>IF(AC$3=0,"",SUMIFS(INDEX(Inputs!$D$4:$AG$150,0,MATCH(AC$2,Inputs!$D$2:$AG$2,0)),Inputs!$B$4:$B$150,$B20)/1000)</f>
        <v>7427</v>
      </c>
      <c r="AD20" s="11">
        <f>IF(AD$3=0,"",SUMIFS(INDEX(Inputs!$D$4:$AG$150,0,MATCH(AD$2,Inputs!$D$2:$AG$2,0)),Inputs!$B$4:$B$150,$B20)/1000)</f>
        <v>9968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2416</v>
      </c>
      <c r="E22" s="11">
        <f>IF(E$3=0,"",SUMIFS(INDEX(Inputs!$D$4:$AG$150,0,MATCH(E$2,Inputs!$D$2:$AG$2,0)),Inputs!$B$4:$B$150,$B22)/1000)</f>
        <v>2370</v>
      </c>
      <c r="F22" s="11">
        <f>IF(F$3=0,"",SUMIFS(INDEX(Inputs!$D$4:$AG$150,0,MATCH(F$2,Inputs!$D$2:$AG$2,0)),Inputs!$B$4:$B$150,$B22)/1000)</f>
        <v>2348</v>
      </c>
      <c r="G22" s="11">
        <f>IF(G$3=0,"",SUMIFS(INDEX(Inputs!$D$4:$AG$150,0,MATCH(G$2,Inputs!$D$2:$AG$2,0)),Inputs!$B$4:$B$150,$B22)/1000)</f>
        <v>2303</v>
      </c>
      <c r="H22" s="12">
        <f>IF(G22="","",G22)</f>
        <v>2303</v>
      </c>
      <c r="I22" s="11">
        <f>IF(I$3=0,"",SUMIFS(INDEX(Inputs!$D$4:$AG$150,0,MATCH(I$2,Inputs!$D$2:$AG$2,0)),Inputs!$B$4:$B$150,$B22)/1000)</f>
        <v>2262</v>
      </c>
      <c r="J22" s="11">
        <f>IF(J$3=0,"",SUMIFS(INDEX(Inputs!$D$4:$AG$150,0,MATCH(J$2,Inputs!$D$2:$AG$2,0)),Inputs!$B$4:$B$150,$B22)/1000)</f>
        <v>2250</v>
      </c>
      <c r="K22" s="11">
        <f>IF(K$3=0,"",SUMIFS(INDEX(Inputs!$D$4:$AG$150,0,MATCH(K$2,Inputs!$D$2:$AG$2,0)),Inputs!$B$4:$B$150,$B22)/1000)</f>
        <v>2223</v>
      </c>
      <c r="L22" s="11">
        <f>IF(L$3=0,"",SUMIFS(INDEX(Inputs!$D$4:$AG$150,0,MATCH(L$2,Inputs!$D$2:$AG$2,0)),Inputs!$B$4:$B$150,$B22)/1000)</f>
        <v>2201</v>
      </c>
      <c r="M22" s="12">
        <f>IF(L22="","",L22)</f>
        <v>2201</v>
      </c>
      <c r="N22" s="11">
        <f>IF(N$3=0,"",SUMIFS(INDEX(Inputs!$D$4:$AG$150,0,MATCH(N$2,Inputs!$D$2:$AG$2,0)),Inputs!$B$4:$B$150,$B22)/1000)</f>
        <v>2209</v>
      </c>
      <c r="O22" s="11">
        <f>IF(O$3=0,"",SUMIFS(INDEX(Inputs!$D$4:$AG$150,0,MATCH(O$2,Inputs!$D$2:$AG$2,0)),Inputs!$B$4:$B$150,$B22)/1000)</f>
        <v>2180</v>
      </c>
      <c r="P22" s="11">
        <f>IF(P$3=0,"",SUMIFS(INDEX(Inputs!$D$4:$AG$150,0,MATCH(P$2,Inputs!$D$2:$AG$2,0)),Inputs!$B$4:$B$150,$B22)/1000)</f>
        <v>2154</v>
      </c>
      <c r="Q22" s="11">
        <f>IF(Q$3=0,"",SUMIFS(INDEX(Inputs!$D$4:$AG$150,0,MATCH(Q$2,Inputs!$D$2:$AG$2,0)),Inputs!$B$4:$B$150,$B22)/1000)</f>
        <v>2662</v>
      </c>
      <c r="R22" s="12">
        <f>IF(Q22="","",Q22)</f>
        <v>2662</v>
      </c>
      <c r="S22" s="11">
        <f>IF(S$3=0,"",SUMIFS(INDEX(Inputs!$D$4:$AG$150,0,MATCH(S$2,Inputs!$D$2:$AG$2,0)),Inputs!$B$4:$B$150,$B22)/1000)</f>
        <v>2668</v>
      </c>
      <c r="T22" s="11">
        <f>IF(T$3=0,"",SUMIFS(INDEX(Inputs!$D$4:$AG$150,0,MATCH(T$2,Inputs!$D$2:$AG$2,0)),Inputs!$B$4:$B$150,$B22)/1000)</f>
        <v>2602</v>
      </c>
      <c r="U22" s="11">
        <f>IF(U$3=0,"",SUMIFS(INDEX(Inputs!$D$4:$AG$150,0,MATCH(U$2,Inputs!$D$2:$AG$2,0)),Inputs!$B$4:$B$150,$B22)/1000)</f>
        <v>2521</v>
      </c>
      <c r="V22" s="11">
        <f>IF(V$3=0,"",SUMIFS(INDEX(Inputs!$D$4:$AG$150,0,MATCH(V$2,Inputs!$D$2:$AG$2,0)),Inputs!$B$4:$B$150,$B22)/1000)</f>
        <v>2465</v>
      </c>
      <c r="W22" s="12">
        <f>IF(V22="","",V22)</f>
        <v>2465</v>
      </c>
      <c r="X22" s="11">
        <f>IF(X$3=0,"",SUMIFS(INDEX(Inputs!$D$4:$AG$150,0,MATCH(X$2,Inputs!$D$2:$AG$2,0)),Inputs!$B$4:$B$150,$B22)/1000)</f>
        <v>2462</v>
      </c>
      <c r="Y22" s="11">
        <f>IF(Y$3=0,"",SUMIFS(INDEX(Inputs!$D$4:$AG$150,0,MATCH(Y$2,Inputs!$D$2:$AG$2,0)),Inputs!$B$4:$B$150,$B22)/1000)</f>
        <v>2451</v>
      </c>
      <c r="Z22" s="11">
        <f>IF(Z$3=0,"",SUMIFS(INDEX(Inputs!$D$4:$AG$150,0,MATCH(Z$2,Inputs!$D$2:$AG$2,0)),Inputs!$B$4:$B$150,$B22)/1000)</f>
        <v>2530</v>
      </c>
      <c r="AA22" s="11">
        <f>IF(AA$3=0,"",SUMIFS(INDEX(Inputs!$D$4:$AG$150,0,MATCH(AA$2,Inputs!$D$2:$AG$2,0)),Inputs!$B$4:$B$150,$B22)/1000)</f>
        <v>2599</v>
      </c>
      <c r="AB22" s="12">
        <f>IF(AA22="","",AA22)</f>
        <v>2599</v>
      </c>
      <c r="AC22" s="11">
        <f>IF(AC$3=0,"",SUMIFS(INDEX(Inputs!$D$4:$AG$150,0,MATCH(AC$2,Inputs!$D$2:$AG$2,0)),Inputs!$B$4:$B$150,$B22)/1000)</f>
        <v>2788</v>
      </c>
      <c r="AD22" s="11">
        <f>IF(AD$3=0,"",SUMIFS(INDEX(Inputs!$D$4:$AG$150,0,MATCH(AD$2,Inputs!$D$2:$AG$2,0)),Inputs!$B$4:$B$150,$B22)/1000)</f>
        <v>3144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43457</v>
      </c>
      <c r="E24" s="11">
        <f>IF(E$3=0,"",SUMIFS(INDEX(Inputs!$D$4:$AG$150,0,MATCH(E$2,Inputs!$D$2:$AG$2,0)),Inputs!$B$4:$B$150,$B24)/1000)</f>
        <v>43457</v>
      </c>
      <c r="F24" s="11">
        <f>IF(F$3=0,"",SUMIFS(INDEX(Inputs!$D$4:$AG$150,0,MATCH(F$2,Inputs!$D$2:$AG$2,0)),Inputs!$B$4:$B$150,$B24)/1000)</f>
        <v>43450</v>
      </c>
      <c r="G24" s="11">
        <f>IF(G$3=0,"",SUMIFS(INDEX(Inputs!$D$4:$AG$150,0,MATCH(G$2,Inputs!$D$2:$AG$2,0)),Inputs!$B$4:$B$150,$B24)/1000)</f>
        <v>43450</v>
      </c>
      <c r="H24" s="12">
        <f>IF(G24="","",G24)</f>
        <v>43450</v>
      </c>
      <c r="I24" s="11">
        <f>IF(I$3=0,"",SUMIFS(INDEX(Inputs!$D$4:$AG$150,0,MATCH(I$2,Inputs!$D$2:$AG$2,0)),Inputs!$B$4:$B$150,$B24)/1000)</f>
        <v>43603</v>
      </c>
      <c r="J24" s="11">
        <f>IF(J$3=0,"",SUMIFS(INDEX(Inputs!$D$4:$AG$150,0,MATCH(J$2,Inputs!$D$2:$AG$2,0)),Inputs!$B$4:$B$150,$B24)/1000)</f>
        <v>43608</v>
      </c>
      <c r="K24" s="11">
        <f>IF(K$3=0,"",SUMIFS(INDEX(Inputs!$D$4:$AG$150,0,MATCH(K$2,Inputs!$D$2:$AG$2,0)),Inputs!$B$4:$B$150,$B24)/1000)</f>
        <v>43614</v>
      </c>
      <c r="L24" s="11">
        <f>IF(L$3=0,"",SUMIFS(INDEX(Inputs!$D$4:$AG$150,0,MATCH(L$2,Inputs!$D$2:$AG$2,0)),Inputs!$B$4:$B$150,$B24)/1000)</f>
        <v>43614</v>
      </c>
      <c r="M24" s="12">
        <f>IF(L24="","",L24)</f>
        <v>43614</v>
      </c>
      <c r="N24" s="11">
        <f>IF(N$3=0,"",SUMIFS(INDEX(Inputs!$D$4:$AG$150,0,MATCH(N$2,Inputs!$D$2:$AG$2,0)),Inputs!$B$4:$B$150,$B24)/1000)</f>
        <v>43614</v>
      </c>
      <c r="O24" s="11">
        <f>IF(O$3=0,"",SUMIFS(INDEX(Inputs!$D$4:$AG$150,0,MATCH(O$2,Inputs!$D$2:$AG$2,0)),Inputs!$B$4:$B$150,$B24)/1000)</f>
        <v>43619</v>
      </c>
      <c r="P24" s="11">
        <f>IF(P$3=0,"",SUMIFS(INDEX(Inputs!$D$4:$AG$150,0,MATCH(P$2,Inputs!$D$2:$AG$2,0)),Inputs!$B$4:$B$150,$B24)/1000)</f>
        <v>43653</v>
      </c>
      <c r="Q24" s="11">
        <f>IF(Q$3=0,"",SUMIFS(INDEX(Inputs!$D$4:$AG$150,0,MATCH(Q$2,Inputs!$D$2:$AG$2,0)),Inputs!$B$4:$B$150,$B24)/1000)</f>
        <v>97586</v>
      </c>
      <c r="R24" s="12">
        <f>IF(Q24="","",Q24)</f>
        <v>97586</v>
      </c>
      <c r="S24" s="11">
        <f>IF(S$3=0,"",SUMIFS(INDEX(Inputs!$D$4:$AG$150,0,MATCH(S$2,Inputs!$D$2:$AG$2,0)),Inputs!$B$4:$B$150,$B24)/1000)</f>
        <v>97873</v>
      </c>
      <c r="T24" s="11">
        <f>IF(T$3=0,"",SUMIFS(INDEX(Inputs!$D$4:$AG$150,0,MATCH(T$2,Inputs!$D$2:$AG$2,0)),Inputs!$B$4:$B$150,$B24)/1000)</f>
        <v>97873</v>
      </c>
      <c r="U24" s="11">
        <f>IF(U$3=0,"",SUMIFS(INDEX(Inputs!$D$4:$AG$150,0,MATCH(U$2,Inputs!$D$2:$AG$2,0)),Inputs!$B$4:$B$150,$B24)/1000)</f>
        <v>97873</v>
      </c>
      <c r="V24" s="11">
        <f>IF(V$3=0,"",SUMIFS(INDEX(Inputs!$D$4:$AG$150,0,MATCH(V$2,Inputs!$D$2:$AG$2,0)),Inputs!$B$4:$B$150,$B24)/1000)</f>
        <v>97871</v>
      </c>
      <c r="W24" s="12">
        <f>IF(V24="","",V24)</f>
        <v>97871</v>
      </c>
      <c r="X24" s="11">
        <f>IF(X$3=0,"",SUMIFS(INDEX(Inputs!$D$4:$AG$150,0,MATCH(X$2,Inputs!$D$2:$AG$2,0)),Inputs!$B$4:$B$150,$B24)/1000)</f>
        <v>97801</v>
      </c>
      <c r="Y24" s="11">
        <f>IF(Y$3=0,"",SUMIFS(INDEX(Inputs!$D$4:$AG$150,0,MATCH(Y$2,Inputs!$D$2:$AG$2,0)),Inputs!$B$4:$B$150,$B24)/1000)</f>
        <v>97801</v>
      </c>
      <c r="Z24" s="11">
        <f>IF(Z$3=0,"",SUMIFS(INDEX(Inputs!$D$4:$AG$150,0,MATCH(Z$2,Inputs!$D$2:$AG$2,0)),Inputs!$B$4:$B$150,$B24)/1000)</f>
        <v>97801</v>
      </c>
      <c r="AA24" s="11">
        <f>IF(AA$3=0,"",SUMIFS(INDEX(Inputs!$D$4:$AG$150,0,MATCH(AA$2,Inputs!$D$2:$AG$2,0)),Inputs!$B$4:$B$150,$B24)/1000)</f>
        <v>97801</v>
      </c>
      <c r="AB24" s="12">
        <f>IF(AA24="","",AA24)</f>
        <v>97801</v>
      </c>
      <c r="AC24" s="11">
        <f>IF(AC$3=0,"",SUMIFS(INDEX(Inputs!$D$4:$AG$150,0,MATCH(AC$2,Inputs!$D$2:$AG$2,0)),Inputs!$B$4:$B$150,$B24)/1000)</f>
        <v>97801</v>
      </c>
      <c r="AD24" s="11">
        <f>IF(AD$3=0,"",SUMIFS(INDEX(Inputs!$D$4:$AG$150,0,MATCH(AD$2,Inputs!$D$2:$AG$2,0)),Inputs!$B$4:$B$150,$B24)/1000)</f>
        <v>97801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14068</v>
      </c>
      <c r="E25" s="11">
        <f>IF(E$3=0,"",SUMIFS(INDEX(Inputs!$D$4:$AG$150,0,MATCH(E$2,Inputs!$D$2:$AG$2,0)),Inputs!$B$4:$B$150,$B25)/1000)</f>
        <v>12719</v>
      </c>
      <c r="F25" s="11">
        <f>IF(F$3=0,"",SUMIFS(INDEX(Inputs!$D$4:$AG$150,0,MATCH(F$2,Inputs!$D$2:$AG$2,0)),Inputs!$B$4:$B$150,$B25)/1000)</f>
        <v>11374</v>
      </c>
      <c r="G25" s="11">
        <f>IF(G$3=0,"",SUMIFS(INDEX(Inputs!$D$4:$AG$150,0,MATCH(G$2,Inputs!$D$2:$AG$2,0)),Inputs!$B$4:$B$150,$B25)/1000)</f>
        <v>10244</v>
      </c>
      <c r="H25" s="12">
        <f>IF(G25="","",G25)</f>
        <v>10244</v>
      </c>
      <c r="I25" s="11">
        <f>IF(I$3=0,"",SUMIFS(INDEX(Inputs!$D$4:$AG$150,0,MATCH(I$2,Inputs!$D$2:$AG$2,0)),Inputs!$B$4:$B$150,$B25)/1000)</f>
        <v>9241</v>
      </c>
      <c r="J25" s="11">
        <f>IF(J$3=0,"",SUMIFS(INDEX(Inputs!$D$4:$AG$150,0,MATCH(J$2,Inputs!$D$2:$AG$2,0)),Inputs!$B$4:$B$150,$B25)/1000)</f>
        <v>8174</v>
      </c>
      <c r="K25" s="11">
        <f>IF(K$3=0,"",SUMIFS(INDEX(Inputs!$D$4:$AG$150,0,MATCH(K$2,Inputs!$D$2:$AG$2,0)),Inputs!$B$4:$B$150,$B25)/1000)</f>
        <v>7111</v>
      </c>
      <c r="L25" s="11">
        <f>IF(L$3=0,"",SUMIFS(INDEX(Inputs!$D$4:$AG$150,0,MATCH(L$2,Inputs!$D$2:$AG$2,0)),Inputs!$B$4:$B$150,$B25)/1000)</f>
        <v>6225</v>
      </c>
      <c r="M25" s="12">
        <f>IF(L25="","",L25)</f>
        <v>6225</v>
      </c>
      <c r="N25" s="11">
        <f>IF(N$3=0,"",SUMIFS(INDEX(Inputs!$D$4:$AG$150,0,MATCH(N$2,Inputs!$D$2:$AG$2,0)),Inputs!$B$4:$B$150,$B25)/1000)</f>
        <v>5434</v>
      </c>
      <c r="O25" s="11">
        <f>IF(O$3=0,"",SUMIFS(INDEX(Inputs!$D$4:$AG$150,0,MATCH(O$2,Inputs!$D$2:$AG$2,0)),Inputs!$B$4:$B$150,$B25)/1000)</f>
        <v>4654</v>
      </c>
      <c r="P25" s="11">
        <f>IF(P$3=0,"",SUMIFS(INDEX(Inputs!$D$4:$AG$150,0,MATCH(P$2,Inputs!$D$2:$AG$2,0)),Inputs!$B$4:$B$150,$B25)/1000)</f>
        <v>3867</v>
      </c>
      <c r="Q25" s="11">
        <f>IF(Q$3=0,"",SUMIFS(INDEX(Inputs!$D$4:$AG$150,0,MATCH(Q$2,Inputs!$D$2:$AG$2,0)),Inputs!$B$4:$B$150,$B25)/1000)</f>
        <v>47185</v>
      </c>
      <c r="R25" s="12">
        <f>IF(Q25="","",Q25)</f>
        <v>47185</v>
      </c>
      <c r="S25" s="11">
        <f>IF(S$3=0,"",SUMIFS(INDEX(Inputs!$D$4:$AG$150,0,MATCH(S$2,Inputs!$D$2:$AG$2,0)),Inputs!$B$4:$B$150,$B25)/1000)</f>
        <v>45407</v>
      </c>
      <c r="T25" s="11">
        <f>IF(T$3=0,"",SUMIFS(INDEX(Inputs!$D$4:$AG$150,0,MATCH(T$2,Inputs!$D$2:$AG$2,0)),Inputs!$B$4:$B$150,$B25)/1000)</f>
        <v>43034</v>
      </c>
      <c r="U25" s="11">
        <f>IF(U$3=0,"",SUMIFS(INDEX(Inputs!$D$4:$AG$150,0,MATCH(U$2,Inputs!$D$2:$AG$2,0)),Inputs!$B$4:$B$150,$B25)/1000)</f>
        <v>40583</v>
      </c>
      <c r="V25" s="11">
        <f>IF(V$3=0,"",SUMIFS(INDEX(Inputs!$D$4:$AG$150,0,MATCH(V$2,Inputs!$D$2:$AG$2,0)),Inputs!$B$4:$B$150,$B25)/1000)</f>
        <v>38583</v>
      </c>
      <c r="W25" s="12">
        <f>IF(V25="","",V25)</f>
        <v>38583</v>
      </c>
      <c r="X25" s="11">
        <f>IF(X$3=0,"",SUMIFS(INDEX(Inputs!$D$4:$AG$150,0,MATCH(X$2,Inputs!$D$2:$AG$2,0)),Inputs!$B$4:$B$150,$B25)/1000)</f>
        <v>36393</v>
      </c>
      <c r="Y25" s="11">
        <f>IF(Y$3=0,"",SUMIFS(INDEX(Inputs!$D$4:$AG$150,0,MATCH(Y$2,Inputs!$D$2:$AG$2,0)),Inputs!$B$4:$B$150,$B25)/1000)</f>
        <v>34344</v>
      </c>
      <c r="Z25" s="11">
        <f>IF(Z$3=0,"",SUMIFS(INDEX(Inputs!$D$4:$AG$150,0,MATCH(Z$2,Inputs!$D$2:$AG$2,0)),Inputs!$B$4:$B$150,$B25)/1000)</f>
        <v>32273</v>
      </c>
      <c r="AA25" s="11">
        <f>IF(AA$3=0,"",SUMIFS(INDEX(Inputs!$D$4:$AG$150,0,MATCH(AA$2,Inputs!$D$2:$AG$2,0)),Inputs!$B$4:$B$150,$B25)/1000)</f>
        <v>30302</v>
      </c>
      <c r="AB25" s="12">
        <f>IF(AA25="","",AA25)</f>
        <v>30302</v>
      </c>
      <c r="AC25" s="11">
        <f>IF(AC$3=0,"",SUMIFS(INDEX(Inputs!$D$4:$AG$150,0,MATCH(AC$2,Inputs!$D$2:$AG$2,0)),Inputs!$B$4:$B$150,$B25)/1000)</f>
        <v>28333</v>
      </c>
      <c r="AD25" s="11">
        <f>IF(AD$3=0,"",SUMIFS(INDEX(Inputs!$D$4:$AG$150,0,MATCH(AD$2,Inputs!$D$2:$AG$2,0)),Inputs!$B$4:$B$150,$B25)/1000)</f>
        <v>26325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1338</v>
      </c>
      <c r="E26" s="11">
        <f>IF(E$3=0,"",SUMIFS(INDEX(Inputs!$D$4:$AG$150,0,MATCH(E$2,Inputs!$D$2:$AG$2,0)),Inputs!$B$4:$B$150,$B26)/1000)</f>
        <v>1698</v>
      </c>
      <c r="F26" s="11">
        <f>IF(F$3=0,"",SUMIFS(INDEX(Inputs!$D$4:$AG$150,0,MATCH(F$2,Inputs!$D$2:$AG$2,0)),Inputs!$B$4:$B$150,$B26)/1000)</f>
        <v>1812</v>
      </c>
      <c r="G26" s="11">
        <f>IF(G$3=0,"",SUMIFS(INDEX(Inputs!$D$4:$AG$150,0,MATCH(G$2,Inputs!$D$2:$AG$2,0)),Inputs!$B$4:$B$150,$B26)/1000)</f>
        <v>1886</v>
      </c>
      <c r="H26" s="12">
        <f>IF(G26="","",G26)</f>
        <v>1886</v>
      </c>
      <c r="I26" s="11">
        <f>IF(I$3=0,"",SUMIFS(INDEX(Inputs!$D$4:$AG$150,0,MATCH(I$2,Inputs!$D$2:$AG$2,0)),Inputs!$B$4:$B$150,$B26)/1000)</f>
        <v>1803</v>
      </c>
      <c r="J26" s="11">
        <f>IF(J$3=0,"",SUMIFS(INDEX(Inputs!$D$4:$AG$150,0,MATCH(J$2,Inputs!$D$2:$AG$2,0)),Inputs!$B$4:$B$150,$B26)/1000)</f>
        <v>1733</v>
      </c>
      <c r="K26" s="11">
        <f>IF(K$3=0,"",SUMIFS(INDEX(Inputs!$D$4:$AG$150,0,MATCH(K$2,Inputs!$D$2:$AG$2,0)),Inputs!$B$4:$B$150,$B26)/1000)</f>
        <v>1797</v>
      </c>
      <c r="L26" s="11">
        <f>IF(L$3=0,"",SUMIFS(INDEX(Inputs!$D$4:$AG$150,0,MATCH(L$2,Inputs!$D$2:$AG$2,0)),Inputs!$B$4:$B$150,$B26)/1000)</f>
        <v>2100</v>
      </c>
      <c r="M26" s="12">
        <f>IF(L26="","",L26)</f>
        <v>2100</v>
      </c>
      <c r="N26" s="11">
        <f>IF(N$3=0,"",SUMIFS(INDEX(Inputs!$D$4:$AG$150,0,MATCH(N$2,Inputs!$D$2:$AG$2,0)),Inputs!$B$4:$B$150,$B26)/1000)</f>
        <v>2539</v>
      </c>
      <c r="O26" s="11">
        <f>IF(O$3=0,"",SUMIFS(INDEX(Inputs!$D$4:$AG$150,0,MATCH(O$2,Inputs!$D$2:$AG$2,0)),Inputs!$B$4:$B$150,$B26)/1000)</f>
        <v>2809</v>
      </c>
      <c r="P26" s="11">
        <f>IF(P$3=0,"",SUMIFS(INDEX(Inputs!$D$4:$AG$150,0,MATCH(P$2,Inputs!$D$2:$AG$2,0)),Inputs!$B$4:$B$150,$B26)/1000)</f>
        <v>2340</v>
      </c>
      <c r="Q26" s="11">
        <f>IF(Q$3=0,"",SUMIFS(INDEX(Inputs!$D$4:$AG$150,0,MATCH(Q$2,Inputs!$D$2:$AG$2,0)),Inputs!$B$4:$B$150,$B26)/1000)</f>
        <v>3245</v>
      </c>
      <c r="R26" s="12">
        <f>IF(Q26="","",Q26)</f>
        <v>3245</v>
      </c>
      <c r="S26" s="11">
        <f>IF(S$3=0,"",SUMIFS(INDEX(Inputs!$D$4:$AG$150,0,MATCH(S$2,Inputs!$D$2:$AG$2,0)),Inputs!$B$4:$B$150,$B26)/1000)</f>
        <v>3961</v>
      </c>
      <c r="T26" s="11">
        <f>IF(T$3=0,"",SUMIFS(INDEX(Inputs!$D$4:$AG$150,0,MATCH(T$2,Inputs!$D$2:$AG$2,0)),Inputs!$B$4:$B$150,$B26)/1000)</f>
        <v>4510</v>
      </c>
      <c r="U26" s="11">
        <f>IF(U$3=0,"",SUMIFS(INDEX(Inputs!$D$4:$AG$150,0,MATCH(U$2,Inputs!$D$2:$AG$2,0)),Inputs!$B$4:$B$150,$B26)/1000)</f>
        <v>5073</v>
      </c>
      <c r="V26" s="11">
        <f>IF(V$3=0,"",SUMIFS(INDEX(Inputs!$D$4:$AG$150,0,MATCH(V$2,Inputs!$D$2:$AG$2,0)),Inputs!$B$4:$B$150,$B26)/1000)</f>
        <v>5449</v>
      </c>
      <c r="W26" s="12">
        <f>IF(V26="","",V26)</f>
        <v>5449</v>
      </c>
      <c r="X26" s="11">
        <f>IF(X$3=0,"",SUMIFS(INDEX(Inputs!$D$4:$AG$150,0,MATCH(X$2,Inputs!$D$2:$AG$2,0)),Inputs!$B$4:$B$150,$B26)/1000)</f>
        <v>5793</v>
      </c>
      <c r="Y26" s="11">
        <f>IF(Y$3=0,"",SUMIFS(INDEX(Inputs!$D$4:$AG$150,0,MATCH(Y$2,Inputs!$D$2:$AG$2,0)),Inputs!$B$4:$B$150,$B26)/1000)</f>
        <v>6027</v>
      </c>
      <c r="Z26" s="11">
        <f>IF(Z$3=0,"",SUMIFS(INDEX(Inputs!$D$4:$AG$150,0,MATCH(Z$2,Inputs!$D$2:$AG$2,0)),Inputs!$B$4:$B$150,$B26)/1000)</f>
        <v>6915</v>
      </c>
      <c r="AA26" s="11">
        <f>IF(AA$3=0,"",SUMIFS(INDEX(Inputs!$D$4:$AG$150,0,MATCH(AA$2,Inputs!$D$2:$AG$2,0)),Inputs!$B$4:$B$150,$B26)/1000)</f>
        <v>7139</v>
      </c>
      <c r="AB26" s="12">
        <f>IF(AA26="","",AA26)</f>
        <v>7139</v>
      </c>
      <c r="AC26" s="11">
        <f>IF(AC$3=0,"",SUMIFS(INDEX(Inputs!$D$4:$AG$150,0,MATCH(AC$2,Inputs!$D$2:$AG$2,0)),Inputs!$B$4:$B$150,$B26)/1000)</f>
        <v>8023</v>
      </c>
      <c r="AD26" s="11">
        <f>IF(AD$3=0,"",SUMIFS(INDEX(Inputs!$D$4:$AG$150,0,MATCH(AD$2,Inputs!$D$2:$AG$2,0)),Inputs!$B$4:$B$150,$B26)/1000)</f>
        <v>8705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830</v>
      </c>
      <c r="E28" s="11">
        <f>IF(E$3=0,"",SUMIFS(INDEX(Inputs!$D$4:$AG$150,0,MATCH(E$2,Inputs!$D$2:$AG$2,0)),Inputs!$B$4:$B$150,$B28)/1000)</f>
        <v>968</v>
      </c>
      <c r="F28" s="11">
        <f>IF(F$3=0,"",SUMIFS(INDEX(Inputs!$D$4:$AG$150,0,MATCH(F$2,Inputs!$D$2:$AG$2,0)),Inputs!$B$4:$B$150,$B28)/1000)</f>
        <v>1086</v>
      </c>
      <c r="G28" s="11">
        <f>IF(G$3=0,"",SUMIFS(INDEX(Inputs!$D$4:$AG$150,0,MATCH(G$2,Inputs!$D$2:$AG$2,0)),Inputs!$B$4:$B$150,$B28)/1000)</f>
        <v>1078</v>
      </c>
      <c r="H28" s="12">
        <f>IF(G28="","",G28)</f>
        <v>1078</v>
      </c>
      <c r="I28" s="11">
        <f>IF(I$3=0,"",SUMIFS(INDEX(Inputs!$D$4:$AG$150,0,MATCH(I$2,Inputs!$D$2:$AG$2,0)),Inputs!$B$4:$B$150,$B28)/1000)</f>
        <v>1069</v>
      </c>
      <c r="J28" s="11">
        <f>IF(J$3=0,"",SUMIFS(INDEX(Inputs!$D$4:$AG$150,0,MATCH(J$2,Inputs!$D$2:$AG$2,0)),Inputs!$B$4:$B$150,$B28)/1000)</f>
        <v>712</v>
      </c>
      <c r="K28" s="11">
        <f>IF(K$3=0,"",SUMIFS(INDEX(Inputs!$D$4:$AG$150,0,MATCH(K$2,Inputs!$D$2:$AG$2,0)),Inputs!$B$4:$B$150,$B28)/1000)</f>
        <v>998</v>
      </c>
      <c r="L28" s="11">
        <f>IF(L$3=0,"",SUMIFS(INDEX(Inputs!$D$4:$AG$150,0,MATCH(L$2,Inputs!$D$2:$AG$2,0)),Inputs!$B$4:$B$150,$B28)/1000)</f>
        <v>923</v>
      </c>
      <c r="M28" s="12">
        <f>IF(L28="","",L28)</f>
        <v>923</v>
      </c>
      <c r="N28" s="11">
        <f>IF(N$3=0,"",SUMIFS(INDEX(Inputs!$D$4:$AG$150,0,MATCH(N$2,Inputs!$D$2:$AG$2,0)),Inputs!$B$4:$B$150,$B28)/1000)</f>
        <v>831</v>
      </c>
      <c r="O28" s="11">
        <f>IF(O$3=0,"",SUMIFS(INDEX(Inputs!$D$4:$AG$150,0,MATCH(O$2,Inputs!$D$2:$AG$2,0)),Inputs!$B$4:$B$150,$B28)/1000)</f>
        <v>992</v>
      </c>
      <c r="P28" s="11">
        <f>IF(P$3=0,"",SUMIFS(INDEX(Inputs!$D$4:$AG$150,0,MATCH(P$2,Inputs!$D$2:$AG$2,0)),Inputs!$B$4:$B$150,$B28)/1000)</f>
        <v>1210</v>
      </c>
      <c r="Q28" s="11">
        <f>IF(Q$3=0,"",SUMIFS(INDEX(Inputs!$D$4:$AG$150,0,MATCH(Q$2,Inputs!$D$2:$AG$2,0)),Inputs!$B$4:$B$150,$B28)/1000)</f>
        <v>1496</v>
      </c>
      <c r="R28" s="12">
        <f>IF(Q28="","",Q28)</f>
        <v>1496</v>
      </c>
      <c r="S28" s="11">
        <f>IF(S$3=0,"",SUMIFS(INDEX(Inputs!$D$4:$AG$150,0,MATCH(S$2,Inputs!$D$2:$AG$2,0)),Inputs!$B$4:$B$150,$B28)/1000)</f>
        <v>1441</v>
      </c>
      <c r="T28" s="11">
        <f>IF(T$3=0,"",SUMIFS(INDEX(Inputs!$D$4:$AG$150,0,MATCH(T$2,Inputs!$D$2:$AG$2,0)),Inputs!$B$4:$B$150,$B28)/1000)</f>
        <v>1757</v>
      </c>
      <c r="U28" s="11">
        <f>IF(U$3=0,"",SUMIFS(INDEX(Inputs!$D$4:$AG$150,0,MATCH(U$2,Inputs!$D$2:$AG$2,0)),Inputs!$B$4:$B$150,$B28)/1000)</f>
        <v>1662</v>
      </c>
      <c r="V28" s="11">
        <f>IF(V$3=0,"",SUMIFS(INDEX(Inputs!$D$4:$AG$150,0,MATCH(V$2,Inputs!$D$2:$AG$2,0)),Inputs!$B$4:$B$150,$B28)/1000)</f>
        <v>1905</v>
      </c>
      <c r="W28" s="12">
        <f>IF(V28="","",V28)</f>
        <v>1905</v>
      </c>
      <c r="X28" s="11">
        <f>IF(X$3=0,"",SUMIFS(INDEX(Inputs!$D$4:$AG$150,0,MATCH(X$2,Inputs!$D$2:$AG$2,0)),Inputs!$B$4:$B$150,$B28)/1000)</f>
        <v>1297</v>
      </c>
      <c r="Y28" s="11">
        <f>IF(Y$3=0,"",SUMIFS(INDEX(Inputs!$D$4:$AG$150,0,MATCH(Y$2,Inputs!$D$2:$AG$2,0)),Inputs!$B$4:$B$150,$B28)/1000)</f>
        <v>1432</v>
      </c>
      <c r="Z28" s="11">
        <f>IF(Z$3=0,"",SUMIFS(INDEX(Inputs!$D$4:$AG$150,0,MATCH(Z$2,Inputs!$D$2:$AG$2,0)),Inputs!$B$4:$B$150,$B28)/1000)</f>
        <v>1560</v>
      </c>
      <c r="AA28" s="11">
        <f>IF(AA$3=0,"",SUMIFS(INDEX(Inputs!$D$4:$AG$150,0,MATCH(AA$2,Inputs!$D$2:$AG$2,0)),Inputs!$B$4:$B$150,$B28)/1000)</f>
        <v>2112</v>
      </c>
      <c r="AB28" s="12">
        <f>IF(AA28="","",AA28)</f>
        <v>2112</v>
      </c>
      <c r="AC28" s="11">
        <f>IF(AC$3=0,"",SUMIFS(INDEX(Inputs!$D$4:$AG$150,0,MATCH(AC$2,Inputs!$D$2:$AG$2,0)),Inputs!$B$4:$B$150,$B28)/1000)</f>
        <v>2337</v>
      </c>
      <c r="AD28" s="11">
        <f>IF(AD$3=0,"",SUMIFS(INDEX(Inputs!$D$4:$AG$150,0,MATCH(AD$2,Inputs!$D$2:$AG$2,0)),Inputs!$B$4:$B$150,$B28)/1000)</f>
        <v>4000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639</v>
      </c>
      <c r="E29" s="11">
        <f>IF(E$3=0,"",SUMIFS(INDEX(Inputs!$D$4:$AG$150,0,MATCH(E$2,Inputs!$D$2:$AG$2,0)),Inputs!$B$4:$B$150,$B29)/1000)</f>
        <v>893</v>
      </c>
      <c r="F29" s="11">
        <f>IF(F$3=0,"",SUMIFS(INDEX(Inputs!$D$4:$AG$150,0,MATCH(F$2,Inputs!$D$2:$AG$2,0)),Inputs!$B$4:$B$150,$B29)/1000)</f>
        <v>1066</v>
      </c>
      <c r="G29" s="11">
        <f>IF(G$3=0,"",SUMIFS(INDEX(Inputs!$D$4:$AG$150,0,MATCH(G$2,Inputs!$D$2:$AG$2,0)),Inputs!$B$4:$B$150,$B29)/1000)</f>
        <v>531</v>
      </c>
      <c r="H29" s="12">
        <f>IF(G29="","",G29)</f>
        <v>531</v>
      </c>
      <c r="I29" s="11">
        <f>IF(I$3=0,"",SUMIFS(INDEX(Inputs!$D$4:$AG$150,0,MATCH(I$2,Inputs!$D$2:$AG$2,0)),Inputs!$B$4:$B$150,$B29)/1000)</f>
        <v>751</v>
      </c>
      <c r="J29" s="11">
        <f>IF(J$3=0,"",SUMIFS(INDEX(Inputs!$D$4:$AG$150,0,MATCH(J$2,Inputs!$D$2:$AG$2,0)),Inputs!$B$4:$B$150,$B29)/1000)</f>
        <v>1079</v>
      </c>
      <c r="K29" s="11">
        <f>IF(K$3=0,"",SUMIFS(INDEX(Inputs!$D$4:$AG$150,0,MATCH(K$2,Inputs!$D$2:$AG$2,0)),Inputs!$B$4:$B$150,$B29)/1000)</f>
        <v>1202</v>
      </c>
      <c r="L29" s="11">
        <f>IF(L$3=0,"",SUMIFS(INDEX(Inputs!$D$4:$AG$150,0,MATCH(L$2,Inputs!$D$2:$AG$2,0)),Inputs!$B$4:$B$150,$B29)/1000)</f>
        <v>536</v>
      </c>
      <c r="M29" s="12">
        <f>IF(L29="","",L29)</f>
        <v>536</v>
      </c>
      <c r="N29" s="11">
        <f>IF(N$3=0,"",SUMIFS(INDEX(Inputs!$D$4:$AG$150,0,MATCH(N$2,Inputs!$D$2:$AG$2,0)),Inputs!$B$4:$B$150,$B29)/1000)</f>
        <v>634</v>
      </c>
      <c r="O29" s="11">
        <f>IF(O$3=0,"",SUMIFS(INDEX(Inputs!$D$4:$AG$150,0,MATCH(O$2,Inputs!$D$2:$AG$2,0)),Inputs!$B$4:$B$150,$B29)/1000)</f>
        <v>831</v>
      </c>
      <c r="P29" s="11">
        <f>IF(P$3=0,"",SUMIFS(INDEX(Inputs!$D$4:$AG$150,0,MATCH(P$2,Inputs!$D$2:$AG$2,0)),Inputs!$B$4:$B$150,$B29)/1000)</f>
        <v>935</v>
      </c>
      <c r="Q29" s="11">
        <f>IF(Q$3=0,"",SUMIFS(INDEX(Inputs!$D$4:$AG$150,0,MATCH(Q$2,Inputs!$D$2:$AG$2,0)),Inputs!$B$4:$B$150,$B29)/1000)</f>
        <v>1128</v>
      </c>
      <c r="R29" s="12">
        <f>IF(Q29="","",Q29)</f>
        <v>1128</v>
      </c>
      <c r="S29" s="11">
        <f>IF(S$3=0,"",SUMIFS(INDEX(Inputs!$D$4:$AG$150,0,MATCH(S$2,Inputs!$D$2:$AG$2,0)),Inputs!$B$4:$B$150,$B29)/1000)</f>
        <v>1385</v>
      </c>
      <c r="T29" s="11">
        <f>IF(T$3=0,"",SUMIFS(INDEX(Inputs!$D$4:$AG$150,0,MATCH(T$2,Inputs!$D$2:$AG$2,0)),Inputs!$B$4:$B$150,$B29)/1000)</f>
        <v>1725</v>
      </c>
      <c r="U29" s="11">
        <f>IF(U$3=0,"",SUMIFS(INDEX(Inputs!$D$4:$AG$150,0,MATCH(U$2,Inputs!$D$2:$AG$2,0)),Inputs!$B$4:$B$150,$B29)/1000)</f>
        <v>1971</v>
      </c>
      <c r="V29" s="11">
        <f>IF(V$3=0,"",SUMIFS(INDEX(Inputs!$D$4:$AG$150,0,MATCH(V$2,Inputs!$D$2:$AG$2,0)),Inputs!$B$4:$B$150,$B29)/1000)</f>
        <v>922</v>
      </c>
      <c r="W29" s="12">
        <f>IF(V29="","",V29)</f>
        <v>922</v>
      </c>
      <c r="X29" s="11">
        <f>IF(X$3=0,"",SUMIFS(INDEX(Inputs!$D$4:$AG$150,0,MATCH(X$2,Inputs!$D$2:$AG$2,0)),Inputs!$B$4:$B$150,$B29)/1000)</f>
        <v>1266</v>
      </c>
      <c r="Y29" s="11">
        <f>IF(Y$3=0,"",SUMIFS(INDEX(Inputs!$D$4:$AG$150,0,MATCH(Y$2,Inputs!$D$2:$AG$2,0)),Inputs!$B$4:$B$150,$B29)/1000)</f>
        <v>1719</v>
      </c>
      <c r="Z29" s="11">
        <f>IF(Z$3=0,"",SUMIFS(INDEX(Inputs!$D$4:$AG$150,0,MATCH(Z$2,Inputs!$D$2:$AG$2,0)),Inputs!$B$4:$B$150,$B29)/1000)</f>
        <v>2129</v>
      </c>
      <c r="AA29" s="11">
        <f>IF(AA$3=0,"",SUMIFS(INDEX(Inputs!$D$4:$AG$150,0,MATCH(AA$2,Inputs!$D$2:$AG$2,0)),Inputs!$B$4:$B$150,$B29)/1000)</f>
        <v>864</v>
      </c>
      <c r="AB29" s="12">
        <f>IF(AA29="","",AA29)</f>
        <v>864</v>
      </c>
      <c r="AC29" s="11">
        <f>IF(AC$3=0,"",SUMIFS(INDEX(Inputs!$D$4:$AG$150,0,MATCH(AC$2,Inputs!$D$2:$AG$2,0)),Inputs!$B$4:$B$150,$B29)/1000)</f>
        <v>1134</v>
      </c>
      <c r="AD29" s="11">
        <f>IF(AD$3=0,"",SUMIFS(INDEX(Inputs!$D$4:$AG$150,0,MATCH(AD$2,Inputs!$D$2:$AG$2,0)),Inputs!$B$4:$B$150,$B29)/1000)</f>
        <v>1506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4689</v>
      </c>
      <c r="E31" s="11">
        <f>IF(E$3=0,"",SUMIFS(INDEX(Inputs!$D$4:$AG$150,0,MATCH(E$2,Inputs!$D$2:$AG$2,0)),Inputs!$B$4:$B$150,$B31)/1000)</f>
        <v>4361</v>
      </c>
      <c r="F31" s="11">
        <f>IF(F$3=0,"",SUMIFS(INDEX(Inputs!$D$4:$AG$150,0,MATCH(F$2,Inputs!$D$2:$AG$2,0)),Inputs!$B$4:$B$150,$B31)/1000)</f>
        <v>3839</v>
      </c>
      <c r="G31" s="11">
        <f>IF(G$3=0,"",SUMIFS(INDEX(Inputs!$D$4:$AG$150,0,MATCH(G$2,Inputs!$D$2:$AG$2,0)),Inputs!$B$4:$B$150,$B31)/1000)</f>
        <v>4378</v>
      </c>
      <c r="H31" s="12">
        <f>IF(G31="","",G31)</f>
        <v>4378</v>
      </c>
      <c r="I31" s="11">
        <f>IF(I$3=0,"",SUMIFS(INDEX(Inputs!$D$4:$AG$150,0,MATCH(I$2,Inputs!$D$2:$AG$2,0)),Inputs!$B$4:$B$150,$B31)/1000)</f>
        <v>4788</v>
      </c>
      <c r="J31" s="11">
        <f>IF(J$3=0,"",SUMIFS(INDEX(Inputs!$D$4:$AG$150,0,MATCH(J$2,Inputs!$D$2:$AG$2,0)),Inputs!$B$4:$B$150,$B31)/1000)</f>
        <v>4607</v>
      </c>
      <c r="K31" s="11">
        <f>IF(K$3=0,"",SUMIFS(INDEX(Inputs!$D$4:$AG$150,0,MATCH(K$2,Inputs!$D$2:$AG$2,0)),Inputs!$B$4:$B$150,$B31)/1000)</f>
        <v>4412</v>
      </c>
      <c r="L31" s="11">
        <f>IF(L$3=0,"",SUMIFS(INDEX(Inputs!$D$4:$AG$150,0,MATCH(L$2,Inputs!$D$2:$AG$2,0)),Inputs!$B$4:$B$150,$B31)/1000)</f>
        <v>4909</v>
      </c>
      <c r="M31" s="12">
        <f>IF(L31="","",L31)</f>
        <v>4909</v>
      </c>
      <c r="N31" s="11">
        <f>IF(N$3=0,"",SUMIFS(INDEX(Inputs!$D$4:$AG$150,0,MATCH(N$2,Inputs!$D$2:$AG$2,0)),Inputs!$B$4:$B$150,$B31)/1000)</f>
        <v>4929</v>
      </c>
      <c r="O31" s="11">
        <f>IF(O$3=0,"",SUMIFS(INDEX(Inputs!$D$4:$AG$150,0,MATCH(O$2,Inputs!$D$2:$AG$2,0)),Inputs!$B$4:$B$150,$B31)/1000)</f>
        <v>4403</v>
      </c>
      <c r="P31" s="11">
        <f>IF(P$3=0,"",SUMIFS(INDEX(Inputs!$D$4:$AG$150,0,MATCH(P$2,Inputs!$D$2:$AG$2,0)),Inputs!$B$4:$B$150,$B31)/1000)</f>
        <v>3652</v>
      </c>
      <c r="Q31" s="11">
        <f>IF(Q$3=0,"",SUMIFS(INDEX(Inputs!$D$4:$AG$150,0,MATCH(Q$2,Inputs!$D$2:$AG$2,0)),Inputs!$B$4:$B$150,$B31)/1000)</f>
        <v>15312</v>
      </c>
      <c r="R31" s="12">
        <f>IF(Q31="","",Q31)</f>
        <v>15312</v>
      </c>
      <c r="S31" s="11">
        <f>IF(S$3=0,"",SUMIFS(INDEX(Inputs!$D$4:$AG$150,0,MATCH(S$2,Inputs!$D$2:$AG$2,0)),Inputs!$B$4:$B$150,$B31)/1000)</f>
        <v>14919</v>
      </c>
      <c r="T31" s="11">
        <f>IF(T$3=0,"",SUMIFS(INDEX(Inputs!$D$4:$AG$150,0,MATCH(T$2,Inputs!$D$2:$AG$2,0)),Inputs!$B$4:$B$150,$B31)/1000)</f>
        <v>12578</v>
      </c>
      <c r="U31" s="11">
        <f>IF(U$3=0,"",SUMIFS(INDEX(Inputs!$D$4:$AG$150,0,MATCH(U$2,Inputs!$D$2:$AG$2,0)),Inputs!$B$4:$B$150,$B31)/1000)</f>
        <v>11793</v>
      </c>
      <c r="V31" s="11">
        <f>IF(V$3=0,"",SUMIFS(INDEX(Inputs!$D$4:$AG$150,0,MATCH(V$2,Inputs!$D$2:$AG$2,0)),Inputs!$B$4:$B$150,$B31)/1000)</f>
        <v>12430</v>
      </c>
      <c r="W31" s="12">
        <f>IF(V31="","",V31)</f>
        <v>12430</v>
      </c>
      <c r="X31" s="11">
        <f>IF(X$3=0,"",SUMIFS(INDEX(Inputs!$D$4:$AG$150,0,MATCH(X$2,Inputs!$D$2:$AG$2,0)),Inputs!$B$4:$B$150,$B31)/1000)</f>
        <v>12503</v>
      </c>
      <c r="Y31" s="11">
        <f>IF(Y$3=0,"",SUMIFS(INDEX(Inputs!$D$4:$AG$150,0,MATCH(Y$2,Inputs!$D$2:$AG$2,0)),Inputs!$B$4:$B$150,$B31)/1000)</f>
        <v>12154</v>
      </c>
      <c r="Z31" s="11">
        <f>IF(Z$3=0,"",SUMIFS(INDEX(Inputs!$D$4:$AG$150,0,MATCH(Z$2,Inputs!$D$2:$AG$2,0)),Inputs!$B$4:$B$150,$B31)/1000)</f>
        <v>11673</v>
      </c>
      <c r="AA31" s="11">
        <f>IF(AA$3=0,"",SUMIFS(INDEX(Inputs!$D$4:$AG$150,0,MATCH(AA$2,Inputs!$D$2:$AG$2,0)),Inputs!$B$4:$B$150,$B31)/1000)</f>
        <v>11631</v>
      </c>
      <c r="AB31" s="12">
        <f>IF(AA31="","",AA31)</f>
        <v>11631</v>
      </c>
      <c r="AC31" s="11">
        <f>IF(AC$3=0,"",SUMIFS(INDEX(Inputs!$D$4:$AG$150,0,MATCH(AC$2,Inputs!$D$2:$AG$2,0)),Inputs!$B$4:$B$150,$B31)/1000)</f>
        <v>13139</v>
      </c>
      <c r="AD31" s="11">
        <f>IF(AD$3=0,"",SUMIFS(INDEX(Inputs!$D$4:$AG$150,0,MATCH(AD$2,Inputs!$D$2:$AG$2,0)),Inputs!$B$4:$B$150,$B31)/1000)</f>
        <v>13080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278</v>
      </c>
      <c r="E32" s="11">
        <f>IF(E$3=0,"",SUMIFS(INDEX(Inputs!$D$4:$AG$150,0,MATCH(E$2,Inputs!$D$2:$AG$2,0)),Inputs!$B$4:$B$150,$B32)/1000)</f>
        <v>279</v>
      </c>
      <c r="F32" s="11">
        <f>IF(F$3=0,"",SUMIFS(INDEX(Inputs!$D$4:$AG$150,0,MATCH(F$2,Inputs!$D$2:$AG$2,0)),Inputs!$B$4:$B$150,$B32)/1000)</f>
        <v>290</v>
      </c>
      <c r="G32" s="11">
        <f>IF(G$3=0,"",SUMIFS(INDEX(Inputs!$D$4:$AG$150,0,MATCH(G$2,Inputs!$D$2:$AG$2,0)),Inputs!$B$4:$B$150,$B32)/1000)</f>
        <v>300</v>
      </c>
      <c r="H32" s="12">
        <f>IF(G32="","",G32)</f>
        <v>300</v>
      </c>
      <c r="I32" s="11">
        <f>IF(I$3=0,"",SUMIFS(INDEX(Inputs!$D$4:$AG$150,0,MATCH(I$2,Inputs!$D$2:$AG$2,0)),Inputs!$B$4:$B$150,$B32)/1000)</f>
        <v>302</v>
      </c>
      <c r="J32" s="11">
        <f>IF(J$3=0,"",SUMIFS(INDEX(Inputs!$D$4:$AG$150,0,MATCH(J$2,Inputs!$D$2:$AG$2,0)),Inputs!$B$4:$B$150,$B32)/1000)</f>
        <v>304</v>
      </c>
      <c r="K32" s="11">
        <f>IF(K$3=0,"",SUMIFS(INDEX(Inputs!$D$4:$AG$150,0,MATCH(K$2,Inputs!$D$2:$AG$2,0)),Inputs!$B$4:$B$150,$B32)/1000)</f>
        <v>440</v>
      </c>
      <c r="L32" s="11">
        <f>IF(L$3=0,"",SUMIFS(INDEX(Inputs!$D$4:$AG$150,0,MATCH(L$2,Inputs!$D$2:$AG$2,0)),Inputs!$B$4:$B$150,$B32)/1000)</f>
        <v>1115</v>
      </c>
      <c r="M32" s="12">
        <f>IF(L32="","",L32)</f>
        <v>1115</v>
      </c>
      <c r="N32" s="11">
        <f>IF(N$3=0,"",SUMIFS(INDEX(Inputs!$D$4:$AG$150,0,MATCH(N$2,Inputs!$D$2:$AG$2,0)),Inputs!$B$4:$B$150,$B32)/1000)</f>
        <v>1117</v>
      </c>
      <c r="O32" s="11">
        <f>IF(O$3=0,"",SUMIFS(INDEX(Inputs!$D$4:$AG$150,0,MATCH(O$2,Inputs!$D$2:$AG$2,0)),Inputs!$B$4:$B$150,$B32)/1000)</f>
        <v>1119</v>
      </c>
      <c r="P32" s="11">
        <f>IF(P$3=0,"",SUMIFS(INDEX(Inputs!$D$4:$AG$150,0,MATCH(P$2,Inputs!$D$2:$AG$2,0)),Inputs!$B$4:$B$150,$B32)/1000)</f>
        <v>1608</v>
      </c>
      <c r="Q32" s="11">
        <f>IF(Q$3=0,"",SUMIFS(INDEX(Inputs!$D$4:$AG$150,0,MATCH(Q$2,Inputs!$D$2:$AG$2,0)),Inputs!$B$4:$B$150,$B32)/1000)</f>
        <v>2433</v>
      </c>
      <c r="R32" s="12">
        <f>IF(Q32="","",Q32)</f>
        <v>2433</v>
      </c>
      <c r="S32" s="11">
        <f>IF(S$3=0,"",SUMIFS(INDEX(Inputs!$D$4:$AG$150,0,MATCH(S$2,Inputs!$D$2:$AG$2,0)),Inputs!$B$4:$B$150,$B32)/1000)</f>
        <v>2426</v>
      </c>
      <c r="T32" s="11">
        <f>IF(T$3=0,"",SUMIFS(INDEX(Inputs!$D$4:$AG$150,0,MATCH(T$2,Inputs!$D$2:$AG$2,0)),Inputs!$B$4:$B$150,$B32)/1000)</f>
        <v>3161</v>
      </c>
      <c r="U32" s="11">
        <f>IF(U$3=0,"",SUMIFS(INDEX(Inputs!$D$4:$AG$150,0,MATCH(U$2,Inputs!$D$2:$AG$2,0)),Inputs!$B$4:$B$150,$B32)/1000)</f>
        <v>1271</v>
      </c>
      <c r="V32" s="11">
        <f>IF(V$3=0,"",SUMIFS(INDEX(Inputs!$D$4:$AG$150,0,MATCH(V$2,Inputs!$D$2:$AG$2,0)),Inputs!$B$4:$B$150,$B32)/1000)</f>
        <v>5653</v>
      </c>
      <c r="W32" s="12">
        <f>IF(V32="","",V32)</f>
        <v>5653</v>
      </c>
      <c r="X32" s="11">
        <f>IF(X$3=0,"",SUMIFS(INDEX(Inputs!$D$4:$AG$150,0,MATCH(X$2,Inputs!$D$2:$AG$2,0)),Inputs!$B$4:$B$150,$B32)/1000)</f>
        <v>5531</v>
      </c>
      <c r="Y32" s="11">
        <f>IF(Y$3=0,"",SUMIFS(INDEX(Inputs!$D$4:$AG$150,0,MATCH(Y$2,Inputs!$D$2:$AG$2,0)),Inputs!$B$4:$B$150,$B32)/1000)</f>
        <v>1399</v>
      </c>
      <c r="Z32" s="11">
        <f>IF(Z$3=0,"",SUMIFS(INDEX(Inputs!$D$4:$AG$150,0,MATCH(Z$2,Inputs!$D$2:$AG$2,0)),Inputs!$B$4:$B$150,$B32)/1000)</f>
        <v>3152</v>
      </c>
      <c r="AA32" s="11">
        <f>IF(AA$3=0,"",SUMIFS(INDEX(Inputs!$D$4:$AG$150,0,MATCH(AA$2,Inputs!$D$2:$AG$2,0)),Inputs!$B$4:$B$150,$B32)/1000)</f>
        <v>2252</v>
      </c>
      <c r="AB32" s="12">
        <f>IF(AA32="","",AA32)</f>
        <v>2252</v>
      </c>
      <c r="AC32" s="11">
        <f>IF(AC$3=0,"",SUMIFS(INDEX(Inputs!$D$4:$AG$150,0,MATCH(AC$2,Inputs!$D$2:$AG$2,0)),Inputs!$B$4:$B$150,$B32)/1000)</f>
        <v>2252</v>
      </c>
      <c r="AD32" s="11">
        <f>IF(AD$3=0,"",SUMIFS(INDEX(Inputs!$D$4:$AG$150,0,MATCH(AD$2,Inputs!$D$2:$AG$2,0)),Inputs!$B$4:$B$150,$B32)/1000)</f>
        <v>2252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40160</v>
      </c>
      <c r="E35" s="11">
        <f>IF(E$3=0,"",SUMIFS(INDEX(Inputs!$D$4:$AG$150,0,MATCH(E$2,Inputs!$D$2:$AG$2,0)),Inputs!$B$4:$B$150,$B35)/1000)</f>
        <v>40178</v>
      </c>
      <c r="F35" s="11">
        <f>IF(F$3=0,"",SUMIFS(INDEX(Inputs!$D$4:$AG$150,0,MATCH(F$2,Inputs!$D$2:$AG$2,0)),Inputs!$B$4:$B$150,$B35)/1000)</f>
        <v>39440</v>
      </c>
      <c r="G35" s="11">
        <f>IF(G$3=0,"",SUMIFS(INDEX(Inputs!$D$4:$AG$150,0,MATCH(G$2,Inputs!$D$2:$AG$2,0)),Inputs!$B$4:$B$150,$B35)/1000)</f>
        <v>39205</v>
      </c>
      <c r="H35" s="12">
        <f>IF(G35="","",G35)</f>
        <v>39205</v>
      </c>
      <c r="I35" s="11">
        <f>IF(I$3=0,"",SUMIFS(INDEX(Inputs!$D$4:$AG$150,0,MATCH(I$2,Inputs!$D$2:$AG$2,0)),Inputs!$B$4:$B$150,$B35)/1000)</f>
        <v>39164</v>
      </c>
      <c r="J35" s="11">
        <f>IF(J$3=0,"",SUMIFS(INDEX(Inputs!$D$4:$AG$150,0,MATCH(J$2,Inputs!$D$2:$AG$2,0)),Inputs!$B$4:$B$150,$B35)/1000)</f>
        <v>39191</v>
      </c>
      <c r="K35" s="11">
        <f>IF(K$3=0,"",SUMIFS(INDEX(Inputs!$D$4:$AG$150,0,MATCH(K$2,Inputs!$D$2:$AG$2,0)),Inputs!$B$4:$B$150,$B35)/1000)</f>
        <v>39075</v>
      </c>
      <c r="L35" s="11">
        <f>IF(L$3=0,"",SUMIFS(INDEX(Inputs!$D$4:$AG$150,0,MATCH(L$2,Inputs!$D$2:$AG$2,0)),Inputs!$B$4:$B$150,$B35)/1000)</f>
        <v>38167</v>
      </c>
      <c r="M35" s="12">
        <f>IF(L35="","",L35)</f>
        <v>38167</v>
      </c>
      <c r="N35" s="11">
        <f>IF(N$3=0,"",SUMIFS(INDEX(Inputs!$D$4:$AG$150,0,MATCH(N$2,Inputs!$D$2:$AG$2,0)),Inputs!$B$4:$B$150,$B35)/1000)</f>
        <v>38194</v>
      </c>
      <c r="O35" s="11">
        <f>IF(O$3=0,"",SUMIFS(INDEX(Inputs!$D$4:$AG$150,0,MATCH(O$2,Inputs!$D$2:$AG$2,0)),Inputs!$B$4:$B$150,$B35)/1000)</f>
        <v>38222</v>
      </c>
      <c r="P35" s="11">
        <f>IF(P$3=0,"",SUMIFS(INDEX(Inputs!$D$4:$AG$150,0,MATCH(P$2,Inputs!$D$2:$AG$2,0)),Inputs!$B$4:$B$150,$B35)/1000)</f>
        <v>37621</v>
      </c>
      <c r="Q35" s="11">
        <f>IF(Q$3=0,"",SUMIFS(INDEX(Inputs!$D$4:$AG$150,0,MATCH(Q$2,Inputs!$D$2:$AG$2,0)),Inputs!$B$4:$B$150,$B35)/1000)</f>
        <v>73468</v>
      </c>
      <c r="R35" s="12">
        <f>IF(Q35="","",Q35)</f>
        <v>73468</v>
      </c>
      <c r="S35" s="11">
        <f>IF(S$3=0,"",SUMIFS(INDEX(Inputs!$D$4:$AG$150,0,MATCH(S$2,Inputs!$D$2:$AG$2,0)),Inputs!$B$4:$B$150,$B35)/1000)</f>
        <v>71590</v>
      </c>
      <c r="T35" s="11">
        <f>IF(T$3=0,"",SUMIFS(INDEX(Inputs!$D$4:$AG$150,0,MATCH(T$2,Inputs!$D$2:$AG$2,0)),Inputs!$B$4:$B$150,$B35)/1000)</f>
        <v>66798</v>
      </c>
      <c r="U35" s="11">
        <f>IF(U$3=0,"",SUMIFS(INDEX(Inputs!$D$4:$AG$150,0,MATCH(U$2,Inputs!$D$2:$AG$2,0)),Inputs!$B$4:$B$150,$B35)/1000)</f>
        <v>66295</v>
      </c>
      <c r="V35" s="11">
        <f>IF(V$3=0,"",SUMIFS(INDEX(Inputs!$D$4:$AG$150,0,MATCH(V$2,Inputs!$D$2:$AG$2,0)),Inputs!$B$4:$B$150,$B35)/1000)</f>
        <v>60926</v>
      </c>
      <c r="W35" s="12">
        <f>IF(V35="","",V35)</f>
        <v>60926</v>
      </c>
      <c r="X35" s="11">
        <f>IF(X$3=0,"",SUMIFS(INDEX(Inputs!$D$4:$AG$150,0,MATCH(X$2,Inputs!$D$2:$AG$2,0)),Inputs!$B$4:$B$150,$B35)/1000)</f>
        <v>61751</v>
      </c>
      <c r="Y35" s="11">
        <f>IF(Y$3=0,"",SUMIFS(INDEX(Inputs!$D$4:$AG$150,0,MATCH(Y$2,Inputs!$D$2:$AG$2,0)),Inputs!$B$4:$B$150,$B35)/1000)</f>
        <v>62830</v>
      </c>
      <c r="Z35" s="11">
        <f>IF(Z$3=0,"",SUMIFS(INDEX(Inputs!$D$4:$AG$150,0,MATCH(Z$2,Inputs!$D$2:$AG$2,0)),Inputs!$B$4:$B$150,$B35)/1000)</f>
        <v>61984</v>
      </c>
      <c r="AA35" s="11">
        <f>IF(AA$3=0,"",SUMIFS(INDEX(Inputs!$D$4:$AG$150,0,MATCH(AA$2,Inputs!$D$2:$AG$2,0)),Inputs!$B$4:$B$150,$B35)/1000)</f>
        <v>63805</v>
      </c>
      <c r="AB35" s="12">
        <f>IF(AA35="","",AA35)</f>
        <v>63805</v>
      </c>
      <c r="AC35" s="11">
        <f>IF(AC$3=0,"",SUMIFS(INDEX(Inputs!$D$4:$AG$150,0,MATCH(AC$2,Inputs!$D$2:$AG$2,0)),Inputs!$B$4:$B$150,$B35)/1000)</f>
        <v>62655</v>
      </c>
      <c r="AD35" s="11">
        <f>IF(AD$3=0,"",SUMIFS(INDEX(Inputs!$D$4:$AG$150,0,MATCH(AD$2,Inputs!$D$2:$AG$2,0)),Inputs!$B$4:$B$150,$B35)/1000)</f>
        <v>57167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0</v>
      </c>
      <c r="E38" s="11">
        <f>IF(E$3=0,"",SUMIFS(INDEX(Inputs!$D$4:$AG$150,0,MATCH(E$2,Inputs!$D$2:$AG$2,0)),Inputs!$B$4:$B$150,$B38)/1000)</f>
        <v>0</v>
      </c>
      <c r="F38" s="11">
        <f>IF(F$3=0,"",SUMIFS(INDEX(Inputs!$D$4:$AG$150,0,MATCH(F$2,Inputs!$D$2:$AG$2,0)),Inputs!$B$4:$B$150,$B38)/1000)</f>
        <v>0</v>
      </c>
      <c r="G38" s="11">
        <f>IF(G$3=0,"",SUMIFS(INDEX(Inputs!$D$4:$AG$150,0,MATCH(G$2,Inputs!$D$2:$AG$2,0)),Inputs!$B$4:$B$150,$B38)/1000)</f>
        <v>0</v>
      </c>
      <c r="H38" s="12">
        <f>IF(G38="","",G38)</f>
        <v>0</v>
      </c>
      <c r="I38" s="11">
        <f>IF(I$3=0,"",SUMIFS(INDEX(Inputs!$D$4:$AG$150,0,MATCH(I$2,Inputs!$D$2:$AG$2,0)),Inputs!$B$4:$B$150,$B38)/1000)</f>
        <v>0</v>
      </c>
      <c r="J38" s="11">
        <f>IF(J$3=0,"",SUMIFS(INDEX(Inputs!$D$4:$AG$150,0,MATCH(J$2,Inputs!$D$2:$AG$2,0)),Inputs!$B$4:$B$150,$B38)/1000)</f>
        <v>0</v>
      </c>
      <c r="K38" s="11">
        <f>IF(K$3=0,"",SUMIFS(INDEX(Inputs!$D$4:$AG$150,0,MATCH(K$2,Inputs!$D$2:$AG$2,0)),Inputs!$B$4:$B$150,$B38)/1000)</f>
        <v>0</v>
      </c>
      <c r="L38" s="11">
        <f>IF(L$3=0,"",SUMIFS(INDEX(Inputs!$D$4:$AG$150,0,MATCH(L$2,Inputs!$D$2:$AG$2,0)),Inputs!$B$4:$B$150,$B38)/1000)</f>
        <v>0</v>
      </c>
      <c r="M38" s="12">
        <f>IF(L38="","",L38)</f>
        <v>0</v>
      </c>
      <c r="N38" s="11">
        <f>IF(N$3=0,"",SUMIFS(INDEX(Inputs!$D$4:$AG$150,0,MATCH(N$2,Inputs!$D$2:$AG$2,0)),Inputs!$B$4:$B$150,$B38)/1000)</f>
        <v>0</v>
      </c>
      <c r="O38" s="11">
        <f>IF(O$3=0,"",SUMIFS(INDEX(Inputs!$D$4:$AG$150,0,MATCH(O$2,Inputs!$D$2:$AG$2,0)),Inputs!$B$4:$B$150,$B38)/1000)</f>
        <v>0</v>
      </c>
      <c r="P38" s="11">
        <f>IF(P$3=0,"",SUMIFS(INDEX(Inputs!$D$4:$AG$150,0,MATCH(P$2,Inputs!$D$2:$AG$2,0)),Inputs!$B$4:$B$150,$B38)/1000)</f>
        <v>0</v>
      </c>
      <c r="Q38" s="11">
        <f>IF(Q$3=0,"",SUMIFS(INDEX(Inputs!$D$4:$AG$150,0,MATCH(Q$2,Inputs!$D$2:$AG$2,0)),Inputs!$B$4:$B$150,$B38)/1000)</f>
        <v>0</v>
      </c>
      <c r="R38" s="12">
        <f>IF(Q38="","",Q38)</f>
        <v>0</v>
      </c>
      <c r="S38" s="11">
        <f>IF(S$3=0,"",SUMIFS(INDEX(Inputs!$D$4:$AG$150,0,MATCH(S$2,Inputs!$D$2:$AG$2,0)),Inputs!$B$4:$B$150,$B38)/1000)</f>
        <v>0</v>
      </c>
      <c r="T38" s="11">
        <f>IF(T$3=0,"",SUMIFS(INDEX(Inputs!$D$4:$AG$150,0,MATCH(T$2,Inputs!$D$2:$AG$2,0)),Inputs!$B$4:$B$150,$B38)/1000)</f>
        <v>0</v>
      </c>
      <c r="U38" s="11">
        <f>IF(U$3=0,"",SUMIFS(INDEX(Inputs!$D$4:$AG$150,0,MATCH(U$2,Inputs!$D$2:$AG$2,0)),Inputs!$B$4:$B$150,$B38)/1000)</f>
        <v>0</v>
      </c>
      <c r="V38" s="11">
        <f>IF(V$3=0,"",SUMIFS(INDEX(Inputs!$D$4:$AG$150,0,MATCH(V$2,Inputs!$D$2:$AG$2,0)),Inputs!$B$4:$B$150,$B38)/1000)</f>
        <v>0</v>
      </c>
      <c r="W38" s="12">
        <f>IF(V38="","",V38)</f>
        <v>0</v>
      </c>
      <c r="X38" s="11">
        <f>IF(X$3=0,"",SUMIFS(INDEX(Inputs!$D$4:$AG$150,0,MATCH(X$2,Inputs!$D$2:$AG$2,0)),Inputs!$B$4:$B$150,$B38)/1000)</f>
        <v>0</v>
      </c>
      <c r="Y38" s="11">
        <f>IF(Y$3=0,"",SUMIFS(INDEX(Inputs!$D$4:$AG$150,0,MATCH(Y$2,Inputs!$D$2:$AG$2,0)),Inputs!$B$4:$B$150,$B38)/1000)</f>
        <v>0</v>
      </c>
      <c r="Z38" s="11">
        <f>IF(Z$3=0,"",SUMIFS(INDEX(Inputs!$D$4:$AG$150,0,MATCH(Z$2,Inputs!$D$2:$AG$2,0)),Inputs!$B$4:$B$150,$B38)/1000)</f>
        <v>0</v>
      </c>
      <c r="AA38" s="11">
        <f>IF(AA$3=0,"",SUMIFS(INDEX(Inputs!$D$4:$AG$150,0,MATCH(AA$2,Inputs!$D$2:$AG$2,0)),Inputs!$B$4:$B$150,$B38)/1000)</f>
        <v>0</v>
      </c>
      <c r="AB38" s="12">
        <f>IF(AA38="","",AA38)</f>
        <v>0</v>
      </c>
      <c r="AC38" s="11">
        <f>IF(AC$3=0,"",SUMIFS(INDEX(Inputs!$D$4:$AG$150,0,MATCH(AC$2,Inputs!$D$2:$AG$2,0)),Inputs!$B$4:$B$150,$B38)/1000)</f>
        <v>0</v>
      </c>
      <c r="AD38" s="11">
        <f>IF(AD$3=0,"",SUMIFS(INDEX(Inputs!$D$4:$AG$150,0,MATCH(AD$2,Inputs!$D$2:$AG$2,0)),Inputs!$B$4:$B$150,$B38)/1000)</f>
        <v>0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4962</v>
      </c>
      <c r="E39" s="11">
        <f>IF(E$3=0,"",SUMIFS(INDEX(Inputs!$D$4:$AG$150,0,MATCH(E$2,Inputs!$D$2:$AG$2,0)),Inputs!$B$4:$B$150,$B39)/1000)</f>
        <v>4834</v>
      </c>
      <c r="F39" s="11">
        <f>IF(F$3=0,"",SUMIFS(INDEX(Inputs!$D$4:$AG$150,0,MATCH(F$2,Inputs!$D$2:$AG$2,0)),Inputs!$B$4:$B$150,$B39)/1000)</f>
        <v>4860</v>
      </c>
      <c r="G39" s="11">
        <f>IF(G$3=0,"",SUMIFS(INDEX(Inputs!$D$4:$AG$150,0,MATCH(G$2,Inputs!$D$2:$AG$2,0)),Inputs!$B$4:$B$150,$B39)/1000)</f>
        <v>4738</v>
      </c>
      <c r="H39" s="12">
        <f>IF(G39="","",G39)</f>
        <v>4738</v>
      </c>
      <c r="I39" s="11">
        <f>IF(I$3=0,"",SUMIFS(INDEX(Inputs!$D$4:$AG$150,0,MATCH(I$2,Inputs!$D$2:$AG$2,0)),Inputs!$B$4:$B$150,$B39)/1000)</f>
        <v>4655</v>
      </c>
      <c r="J39" s="11">
        <f>IF(J$3=0,"",SUMIFS(INDEX(Inputs!$D$4:$AG$150,0,MATCH(J$2,Inputs!$D$2:$AG$2,0)),Inputs!$B$4:$B$150,$B39)/1000)</f>
        <v>4530</v>
      </c>
      <c r="K39" s="11">
        <f>IF(K$3=0,"",SUMIFS(INDEX(Inputs!$D$4:$AG$150,0,MATCH(K$2,Inputs!$D$2:$AG$2,0)),Inputs!$B$4:$B$150,$B39)/1000)</f>
        <v>4413</v>
      </c>
      <c r="L39" s="11">
        <f>IF(L$3=0,"",SUMIFS(INDEX(Inputs!$D$4:$AG$150,0,MATCH(L$2,Inputs!$D$2:$AG$2,0)),Inputs!$B$4:$B$150,$B39)/1000)</f>
        <v>4016</v>
      </c>
      <c r="M39" s="12">
        <f>IF(L39="","",L39)</f>
        <v>4016</v>
      </c>
      <c r="N39" s="11">
        <f>IF(N$3=0,"",SUMIFS(INDEX(Inputs!$D$4:$AG$150,0,MATCH(N$2,Inputs!$D$2:$AG$2,0)),Inputs!$B$4:$B$150,$B39)/1000)</f>
        <v>3955</v>
      </c>
      <c r="O39" s="11">
        <f>IF(O$3=0,"",SUMIFS(INDEX(Inputs!$D$4:$AG$150,0,MATCH(O$2,Inputs!$D$2:$AG$2,0)),Inputs!$B$4:$B$150,$B39)/1000)</f>
        <v>3949</v>
      </c>
      <c r="P39" s="11">
        <f>IF(P$3=0,"",SUMIFS(INDEX(Inputs!$D$4:$AG$150,0,MATCH(P$2,Inputs!$D$2:$AG$2,0)),Inputs!$B$4:$B$150,$B39)/1000)</f>
        <v>3847</v>
      </c>
      <c r="Q39" s="11">
        <f>IF(Q$3=0,"",SUMIFS(INDEX(Inputs!$D$4:$AG$150,0,MATCH(Q$2,Inputs!$D$2:$AG$2,0)),Inputs!$B$4:$B$150,$B39)/1000)</f>
        <v>13749</v>
      </c>
      <c r="R39" s="12">
        <f>IF(Q39="","",Q39)</f>
        <v>13749</v>
      </c>
      <c r="S39" s="11">
        <f>IF(S$3=0,"",SUMIFS(INDEX(Inputs!$D$4:$AG$150,0,MATCH(S$2,Inputs!$D$2:$AG$2,0)),Inputs!$B$4:$B$150,$B39)/1000)</f>
        <v>13489</v>
      </c>
      <c r="T39" s="11">
        <f>IF(T$3=0,"",SUMIFS(INDEX(Inputs!$D$4:$AG$150,0,MATCH(T$2,Inputs!$D$2:$AG$2,0)),Inputs!$B$4:$B$150,$B39)/1000)</f>
        <v>16296</v>
      </c>
      <c r="U39" s="11">
        <f>IF(U$3=0,"",SUMIFS(INDEX(Inputs!$D$4:$AG$150,0,MATCH(U$2,Inputs!$D$2:$AG$2,0)),Inputs!$B$4:$B$150,$B39)/1000)</f>
        <v>14975</v>
      </c>
      <c r="V39" s="11">
        <f>IF(V$3=0,"",SUMIFS(INDEX(Inputs!$D$4:$AG$150,0,MATCH(V$2,Inputs!$D$2:$AG$2,0)),Inputs!$B$4:$B$150,$B39)/1000)</f>
        <v>13733</v>
      </c>
      <c r="W39" s="12">
        <f>IF(V39="","",V39)</f>
        <v>13733</v>
      </c>
      <c r="X39" s="11">
        <f>IF(X$3=0,"",SUMIFS(INDEX(Inputs!$D$4:$AG$150,0,MATCH(X$2,Inputs!$D$2:$AG$2,0)),Inputs!$B$4:$B$150,$B39)/1000)</f>
        <v>12696</v>
      </c>
      <c r="Y39" s="11">
        <f>IF(Y$3=0,"",SUMIFS(INDEX(Inputs!$D$4:$AG$150,0,MATCH(Y$2,Inputs!$D$2:$AG$2,0)),Inputs!$B$4:$B$150,$B39)/1000)</f>
        <v>12810</v>
      </c>
      <c r="Z39" s="11">
        <f>IF(Z$3=0,"",SUMIFS(INDEX(Inputs!$D$4:$AG$150,0,MATCH(Z$2,Inputs!$D$2:$AG$2,0)),Inputs!$B$4:$B$150,$B39)/1000)</f>
        <v>9302</v>
      </c>
      <c r="AA39" s="11">
        <f>IF(AA$3=0,"",SUMIFS(INDEX(Inputs!$D$4:$AG$150,0,MATCH(AA$2,Inputs!$D$2:$AG$2,0)),Inputs!$B$4:$B$150,$B39)/1000)</f>
        <v>9367</v>
      </c>
      <c r="AB39" s="12">
        <f>IF(AA39="","",AA39)</f>
        <v>9367</v>
      </c>
      <c r="AC39" s="11">
        <f>IF(AC$3=0,"",SUMIFS(INDEX(Inputs!$D$4:$AG$150,0,MATCH(AC$2,Inputs!$D$2:$AG$2,0)),Inputs!$B$4:$B$150,$B39)/1000)</f>
        <v>9950</v>
      </c>
      <c r="AD39" s="11">
        <f>IF(AD$3=0,"",SUMIFS(INDEX(Inputs!$D$4:$AG$150,0,MATCH(AD$2,Inputs!$D$2:$AG$2,0)),Inputs!$B$4:$B$150,$B39)/1000)</f>
        <v>10453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0</v>
      </c>
      <c r="E41" s="11">
        <f>IF(E$3=0,"",SUMIFS(INDEX(Inputs!$D$4:$AG$150,0,MATCH(E$2,Inputs!$D$2:$AG$2,0)),Inputs!$B$4:$B$150,$B41)/1000)</f>
        <v>0</v>
      </c>
      <c r="F41" s="11">
        <f>IF(F$3=0,"",SUMIFS(INDEX(Inputs!$D$4:$AG$150,0,MATCH(F$2,Inputs!$D$2:$AG$2,0)),Inputs!$B$4:$B$150,$B41)/1000)</f>
        <v>0</v>
      </c>
      <c r="G41" s="11">
        <f>IF(G$3=0,"",SUMIFS(INDEX(Inputs!$D$4:$AG$150,0,MATCH(G$2,Inputs!$D$2:$AG$2,0)),Inputs!$B$4:$B$150,$B41)/1000)</f>
        <v>0</v>
      </c>
      <c r="H41" s="12">
        <f>IF(G41="","",G41)</f>
        <v>0</v>
      </c>
      <c r="I41" s="11">
        <f>IF(I$3=0,"",SUMIFS(INDEX(Inputs!$D$4:$AG$150,0,MATCH(I$2,Inputs!$D$2:$AG$2,0)),Inputs!$B$4:$B$150,$B41)/1000)</f>
        <v>0</v>
      </c>
      <c r="J41" s="11">
        <f>IF(J$3=0,"",SUMIFS(INDEX(Inputs!$D$4:$AG$150,0,MATCH(J$2,Inputs!$D$2:$AG$2,0)),Inputs!$B$4:$B$150,$B41)/1000)</f>
        <v>0</v>
      </c>
      <c r="K41" s="11">
        <f>IF(K$3=0,"",SUMIFS(INDEX(Inputs!$D$4:$AG$150,0,MATCH(K$2,Inputs!$D$2:$AG$2,0)),Inputs!$B$4:$B$150,$B41)/1000)</f>
        <v>0</v>
      </c>
      <c r="L41" s="11">
        <f>IF(L$3=0,"",SUMIFS(INDEX(Inputs!$D$4:$AG$150,0,MATCH(L$2,Inputs!$D$2:$AG$2,0)),Inputs!$B$4:$B$150,$B41)/1000)</f>
        <v>0</v>
      </c>
      <c r="M41" s="12">
        <f>IF(L41="","",L41)</f>
        <v>0</v>
      </c>
      <c r="N41" s="11">
        <f>IF(N$3=0,"",SUMIFS(INDEX(Inputs!$D$4:$AG$150,0,MATCH(N$2,Inputs!$D$2:$AG$2,0)),Inputs!$B$4:$B$150,$B41)/1000)</f>
        <v>0</v>
      </c>
      <c r="O41" s="11">
        <f>IF(O$3=0,"",SUMIFS(INDEX(Inputs!$D$4:$AG$150,0,MATCH(O$2,Inputs!$D$2:$AG$2,0)),Inputs!$B$4:$B$150,$B41)/1000)</f>
        <v>0</v>
      </c>
      <c r="P41" s="11">
        <f>IF(P$3=0,"",SUMIFS(INDEX(Inputs!$D$4:$AG$150,0,MATCH(P$2,Inputs!$D$2:$AG$2,0)),Inputs!$B$4:$B$150,$B41)/1000)</f>
        <v>0</v>
      </c>
      <c r="Q41" s="11">
        <f>IF(Q$3=0,"",SUMIFS(INDEX(Inputs!$D$4:$AG$150,0,MATCH(Q$2,Inputs!$D$2:$AG$2,0)),Inputs!$B$4:$B$150,$B41)/1000)</f>
        <v>0</v>
      </c>
      <c r="R41" s="12">
        <f>IF(Q41="","",Q41)</f>
        <v>0</v>
      </c>
      <c r="S41" s="11">
        <f>IF(S$3=0,"",SUMIFS(INDEX(Inputs!$D$4:$AG$150,0,MATCH(S$2,Inputs!$D$2:$AG$2,0)),Inputs!$B$4:$B$150,$B41)/1000)</f>
        <v>0</v>
      </c>
      <c r="T41" s="11">
        <f>IF(T$3=0,"",SUMIFS(INDEX(Inputs!$D$4:$AG$150,0,MATCH(T$2,Inputs!$D$2:$AG$2,0)),Inputs!$B$4:$B$150,$B41)/1000)</f>
        <v>0</v>
      </c>
      <c r="U41" s="11">
        <f>IF(U$3=0,"",SUMIFS(INDEX(Inputs!$D$4:$AG$150,0,MATCH(U$2,Inputs!$D$2:$AG$2,0)),Inputs!$B$4:$B$150,$B41)/1000)</f>
        <v>0</v>
      </c>
      <c r="V41" s="11">
        <f>IF(V$3=0,"",SUMIFS(INDEX(Inputs!$D$4:$AG$150,0,MATCH(V$2,Inputs!$D$2:$AG$2,0)),Inputs!$B$4:$B$150,$B41)/1000)</f>
        <v>0</v>
      </c>
      <c r="W41" s="12">
        <f>IF(V41="","",V41)</f>
        <v>0</v>
      </c>
      <c r="X41" s="11">
        <f>IF(X$3=0,"",SUMIFS(INDEX(Inputs!$D$4:$AG$150,0,MATCH(X$2,Inputs!$D$2:$AG$2,0)),Inputs!$B$4:$B$150,$B41)/1000)</f>
        <v>0</v>
      </c>
      <c r="Y41" s="11">
        <f>IF(Y$3=0,"",SUMIFS(INDEX(Inputs!$D$4:$AG$150,0,MATCH(Y$2,Inputs!$D$2:$AG$2,0)),Inputs!$B$4:$B$150,$B41)/1000)</f>
        <v>0</v>
      </c>
      <c r="Z41" s="11">
        <f>IF(Z$3=0,"",SUMIFS(INDEX(Inputs!$D$4:$AG$150,0,MATCH(Z$2,Inputs!$D$2:$AG$2,0)),Inputs!$B$4:$B$150,$B41)/1000)</f>
        <v>0</v>
      </c>
      <c r="AA41" s="11">
        <f>IF(AA$3=0,"",SUMIFS(INDEX(Inputs!$D$4:$AG$150,0,MATCH(AA$2,Inputs!$D$2:$AG$2,0)),Inputs!$B$4:$B$150,$B41)/1000)</f>
        <v>0</v>
      </c>
      <c r="AB41" s="12">
        <f>IF(AA41="","",AA41)</f>
        <v>0</v>
      </c>
      <c r="AC41" s="11">
        <f>IF(AC$3=0,"",SUMIFS(INDEX(Inputs!$D$4:$AG$150,0,MATCH(AC$2,Inputs!$D$2:$AG$2,0)),Inputs!$B$4:$B$150,$B41)/1000)</f>
        <v>0</v>
      </c>
      <c r="AD41" s="11">
        <f>IF(AD$3=0,"",SUMIFS(INDEX(Inputs!$D$4:$AG$150,0,MATCH(AD$2,Inputs!$D$2:$AG$2,0)),Inputs!$B$4:$B$150,$B41)/1000)</f>
        <v>0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24045</v>
      </c>
      <c r="E43" s="11">
        <f>IF(E$3=0,"",SUMIFS(INDEX(Inputs!$D$4:$AG$150,0,MATCH(E$2,Inputs!$D$2:$AG$2,0)),Inputs!$B$4:$B$150,$B43)/1000)</f>
        <v>24126</v>
      </c>
      <c r="F43" s="11">
        <f>IF(F$3=0,"",SUMIFS(INDEX(Inputs!$D$4:$AG$150,0,MATCH(F$2,Inputs!$D$2:$AG$2,0)),Inputs!$B$4:$B$150,$B43)/1000)</f>
        <v>24330</v>
      </c>
      <c r="G43" s="11">
        <f>IF(G$3=0,"",SUMIFS(INDEX(Inputs!$D$4:$AG$150,0,MATCH(G$2,Inputs!$D$2:$AG$2,0)),Inputs!$B$4:$B$150,$B43)/1000)</f>
        <v>23083</v>
      </c>
      <c r="H43" s="12">
        <f>IF(G43="","",G43)</f>
        <v>23083</v>
      </c>
      <c r="I43" s="11">
        <f>IF(I$3=0,"",SUMIFS(INDEX(Inputs!$D$4:$AG$150,0,MATCH(I$2,Inputs!$D$2:$AG$2,0)),Inputs!$B$4:$B$150,$B43)/1000)</f>
        <v>21078</v>
      </c>
      <c r="J43" s="11">
        <f>IF(J$3=0,"",SUMIFS(INDEX(Inputs!$D$4:$AG$150,0,MATCH(J$2,Inputs!$D$2:$AG$2,0)),Inputs!$B$4:$B$150,$B43)/1000)</f>
        <v>20990</v>
      </c>
      <c r="K43" s="11">
        <f>IF(K$3=0,"",SUMIFS(INDEX(Inputs!$D$4:$AG$150,0,MATCH(K$2,Inputs!$D$2:$AG$2,0)),Inputs!$B$4:$B$150,$B43)/1000)</f>
        <v>21159</v>
      </c>
      <c r="L43" s="11">
        <f>IF(L$3=0,"",SUMIFS(INDEX(Inputs!$D$4:$AG$150,0,MATCH(L$2,Inputs!$D$2:$AG$2,0)),Inputs!$B$4:$B$150,$B43)/1000)</f>
        <v>21119</v>
      </c>
      <c r="M43" s="12">
        <f>IF(L43="","",L43)</f>
        <v>21119</v>
      </c>
      <c r="N43" s="11">
        <f>IF(N$3=0,"",SUMIFS(INDEX(Inputs!$D$4:$AG$150,0,MATCH(N$2,Inputs!$D$2:$AG$2,0)),Inputs!$B$4:$B$150,$B43)/1000)</f>
        <v>20826</v>
      </c>
      <c r="O43" s="11">
        <f>IF(O$3=0,"",SUMIFS(INDEX(Inputs!$D$4:$AG$150,0,MATCH(O$2,Inputs!$D$2:$AG$2,0)),Inputs!$B$4:$B$150,$B43)/1000)</f>
        <v>20855</v>
      </c>
      <c r="P43" s="11">
        <f>IF(P$3=0,"",SUMIFS(INDEX(Inputs!$D$4:$AG$150,0,MATCH(P$2,Inputs!$D$2:$AG$2,0)),Inputs!$B$4:$B$150,$B43)/1000)</f>
        <v>21099</v>
      </c>
      <c r="Q43" s="11">
        <f>IF(Q$3=0,"",SUMIFS(INDEX(Inputs!$D$4:$AG$150,0,MATCH(Q$2,Inputs!$D$2:$AG$2,0)),Inputs!$B$4:$B$150,$B43)/1000)</f>
        <v>70077</v>
      </c>
      <c r="R43" s="12">
        <f>IF(Q43="","",Q43)</f>
        <v>70077</v>
      </c>
      <c r="S43" s="11">
        <f>IF(S$3=0,"",SUMIFS(INDEX(Inputs!$D$4:$AG$150,0,MATCH(S$2,Inputs!$D$2:$AG$2,0)),Inputs!$B$4:$B$150,$B43)/1000)</f>
        <v>69754</v>
      </c>
      <c r="T43" s="11">
        <f>IF(T$3=0,"",SUMIFS(INDEX(Inputs!$D$4:$AG$150,0,MATCH(T$2,Inputs!$D$2:$AG$2,0)),Inputs!$B$4:$B$150,$B43)/1000)</f>
        <v>67318</v>
      </c>
      <c r="U43" s="11">
        <f>IF(U$3=0,"",SUMIFS(INDEX(Inputs!$D$4:$AG$150,0,MATCH(U$2,Inputs!$D$2:$AG$2,0)),Inputs!$B$4:$B$150,$B43)/1000)</f>
        <v>67471</v>
      </c>
      <c r="V43" s="11">
        <f>IF(V$3=0,"",SUMIFS(INDEX(Inputs!$D$4:$AG$150,0,MATCH(V$2,Inputs!$D$2:$AG$2,0)),Inputs!$B$4:$B$150,$B43)/1000)</f>
        <v>66853</v>
      </c>
      <c r="W43" s="12">
        <f>IF(V43="","",V43)</f>
        <v>66853</v>
      </c>
      <c r="X43" s="11">
        <f>IF(X$3=0,"",SUMIFS(INDEX(Inputs!$D$4:$AG$150,0,MATCH(X$2,Inputs!$D$2:$AG$2,0)),Inputs!$B$4:$B$150,$B43)/1000)</f>
        <v>66694</v>
      </c>
      <c r="Y43" s="11">
        <f>IF(Y$3=0,"",SUMIFS(INDEX(Inputs!$D$4:$AG$150,0,MATCH(Y$2,Inputs!$D$2:$AG$2,0)),Inputs!$B$4:$B$150,$B43)/1000)</f>
        <v>69016</v>
      </c>
      <c r="Z43" s="11">
        <f>IF(Z$3=0,"",SUMIFS(INDEX(Inputs!$D$4:$AG$150,0,MATCH(Z$2,Inputs!$D$2:$AG$2,0)),Inputs!$B$4:$B$150,$B43)/1000)</f>
        <v>71313</v>
      </c>
      <c r="AA43" s="11">
        <f>IF(AA$3=0,"",SUMIFS(INDEX(Inputs!$D$4:$AG$150,0,MATCH(AA$2,Inputs!$D$2:$AG$2,0)),Inputs!$B$4:$B$150,$B43)/1000)</f>
        <v>73140</v>
      </c>
      <c r="AB43" s="12">
        <f>IF(AA43="","",AA43)</f>
        <v>73140</v>
      </c>
      <c r="AC43" s="11">
        <f>IF(AC$3=0,"",SUMIFS(INDEX(Inputs!$D$4:$AG$150,0,MATCH(AC$2,Inputs!$D$2:$AG$2,0)),Inputs!$B$4:$B$150,$B43)/1000)</f>
        <v>75317</v>
      </c>
      <c r="AD43" s="11">
        <f>IF(AD$3=0,"",SUMIFS(INDEX(Inputs!$D$4:$AG$150,0,MATCH(AD$2,Inputs!$D$2:$AG$2,0)),Inputs!$B$4:$B$150,$B43)/1000)</f>
        <v>77335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-106</v>
      </c>
      <c r="E45" s="11">
        <f>IF(E$3=0,"",SUMIFS(INDEX(Inputs!$D$4:$AG$150,0,MATCH(E$2,Inputs!$D$2:$AG$2,0)),Inputs!$B$4:$B$150,$B45)/1000)</f>
        <v>-106</v>
      </c>
      <c r="F45" s="11">
        <f>IF(F$3=0,"",SUMIFS(INDEX(Inputs!$D$4:$AG$150,0,MATCH(F$2,Inputs!$D$2:$AG$2,0)),Inputs!$B$4:$B$150,$B45)/1000)</f>
        <v>-116</v>
      </c>
      <c r="G45" s="11">
        <f>IF(G$3=0,"",SUMIFS(INDEX(Inputs!$D$4:$AG$150,0,MATCH(G$2,Inputs!$D$2:$AG$2,0)),Inputs!$B$4:$B$150,$B45)/1000)</f>
        <v>-115</v>
      </c>
      <c r="H45" s="12">
        <f>IF(G45="","",G45)</f>
        <v>-115</v>
      </c>
      <c r="I45" s="11">
        <f>IF(I$3=0,"",SUMIFS(INDEX(Inputs!$D$4:$AG$150,0,MATCH(I$2,Inputs!$D$2:$AG$2,0)),Inputs!$B$4:$B$150,$B45)/1000)</f>
        <v>-115</v>
      </c>
      <c r="J45" s="11">
        <f>IF(J$3=0,"",SUMIFS(INDEX(Inputs!$D$4:$AG$150,0,MATCH(J$2,Inputs!$D$2:$AG$2,0)),Inputs!$B$4:$B$150,$B45)/1000)</f>
        <v>-114</v>
      </c>
      <c r="K45" s="11">
        <f>IF(K$3=0,"",SUMIFS(INDEX(Inputs!$D$4:$AG$150,0,MATCH(K$2,Inputs!$D$2:$AG$2,0)),Inputs!$B$4:$B$150,$B45)/1000)</f>
        <v>-54</v>
      </c>
      <c r="L45" s="11">
        <f>IF(L$3=0,"",SUMIFS(INDEX(Inputs!$D$4:$AG$150,0,MATCH(L$2,Inputs!$D$2:$AG$2,0)),Inputs!$B$4:$B$150,$B45)/1000)</f>
        <v>-180</v>
      </c>
      <c r="M45" s="12">
        <f>IF(L45="","",L45)</f>
        <v>-180</v>
      </c>
      <c r="N45" s="11">
        <f>IF(N$3=0,"",SUMIFS(INDEX(Inputs!$D$4:$AG$150,0,MATCH(N$2,Inputs!$D$2:$AG$2,0)),Inputs!$B$4:$B$150,$B45)/1000)</f>
        <v>-182</v>
      </c>
      <c r="O45" s="11">
        <f>IF(O$3=0,"",SUMIFS(INDEX(Inputs!$D$4:$AG$150,0,MATCH(O$2,Inputs!$D$2:$AG$2,0)),Inputs!$B$4:$B$150,$B45)/1000)</f>
        <v>46</v>
      </c>
      <c r="P45" s="11">
        <f>IF(P$3=0,"",SUMIFS(INDEX(Inputs!$D$4:$AG$150,0,MATCH(P$2,Inputs!$D$2:$AG$2,0)),Inputs!$B$4:$B$150,$B45)/1000)</f>
        <v>207</v>
      </c>
      <c r="Q45" s="11">
        <f>IF(Q$3=0,"",SUMIFS(INDEX(Inputs!$D$4:$AG$150,0,MATCH(Q$2,Inputs!$D$2:$AG$2,0)),Inputs!$B$4:$B$150,$B45)/1000)</f>
        <v>207</v>
      </c>
      <c r="R45" s="12">
        <f>IF(Q45="","",Q45)</f>
        <v>207</v>
      </c>
      <c r="S45" s="11">
        <f>IF(S$3=0,"",SUMIFS(INDEX(Inputs!$D$4:$AG$150,0,MATCH(S$2,Inputs!$D$2:$AG$2,0)),Inputs!$B$4:$B$150,$B45)/1000)</f>
        <v>207</v>
      </c>
      <c r="T45" s="11">
        <f>IF(T$3=0,"",SUMIFS(INDEX(Inputs!$D$4:$AG$150,0,MATCH(T$2,Inputs!$D$2:$AG$2,0)),Inputs!$B$4:$B$150,$B45)/1000)</f>
        <v>208</v>
      </c>
      <c r="U45" s="11">
        <f>IF(U$3=0,"",SUMIFS(INDEX(Inputs!$D$4:$AG$150,0,MATCH(U$2,Inputs!$D$2:$AG$2,0)),Inputs!$B$4:$B$150,$B45)/1000)</f>
        <v>207</v>
      </c>
      <c r="V45" s="11">
        <f>IF(V$3=0,"",SUMIFS(INDEX(Inputs!$D$4:$AG$150,0,MATCH(V$2,Inputs!$D$2:$AG$2,0)),Inputs!$B$4:$B$150,$B45)/1000)</f>
        <v>207</v>
      </c>
      <c r="W45" s="12">
        <f>IF(V45="","",V45)</f>
        <v>207</v>
      </c>
      <c r="X45" s="11">
        <f>IF(X$3=0,"",SUMIFS(INDEX(Inputs!$D$4:$AG$150,0,MATCH(X$2,Inputs!$D$2:$AG$2,0)),Inputs!$B$4:$B$150,$B45)/1000)</f>
        <v>206</v>
      </c>
      <c r="Y45" s="11">
        <f>IF(Y$3=0,"",SUMIFS(INDEX(Inputs!$D$4:$AG$150,0,MATCH(Y$2,Inputs!$D$2:$AG$2,0)),Inputs!$B$4:$B$150,$B45)/1000)</f>
        <v>221</v>
      </c>
      <c r="Z45" s="11">
        <f>IF(Z$3=0,"",SUMIFS(INDEX(Inputs!$D$4:$AG$150,0,MATCH(Z$2,Inputs!$D$2:$AG$2,0)),Inputs!$B$4:$B$150,$B45)/1000)</f>
        <v>218</v>
      </c>
      <c r="AA45" s="11">
        <f>IF(AA$3=0,"",SUMIFS(INDEX(Inputs!$D$4:$AG$150,0,MATCH(AA$2,Inputs!$D$2:$AG$2,0)),Inputs!$B$4:$B$150,$B45)/1000)</f>
        <v>212</v>
      </c>
      <c r="AB45" s="12">
        <f>IF(AA45="","",AA45)</f>
        <v>212</v>
      </c>
      <c r="AC45" s="11">
        <f>IF(AC$3=0,"",SUMIFS(INDEX(Inputs!$D$4:$AG$150,0,MATCH(AC$2,Inputs!$D$2:$AG$2,0)),Inputs!$B$4:$B$150,$B45)/1000)</f>
        <v>208</v>
      </c>
      <c r="AD45" s="11">
        <f>IF(AD$3=0,"",SUMIFS(INDEX(Inputs!$D$4:$AG$150,0,MATCH(AD$2,Inputs!$D$2:$AG$2,0)),Inputs!$B$4:$B$150,$B45)/1000)</f>
        <v>204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27</v>
      </c>
      <c r="E46" s="11">
        <f>IF(E$3=0,"",SUMIFS(INDEX(Inputs!$D$4:$AG$150,0,MATCH(E$2,Inputs!$D$2:$AG$2,0)),Inputs!$B$4:$B$150,$B46)/1000)</f>
        <v>27</v>
      </c>
      <c r="F46" s="11">
        <f>IF(F$3=0,"",SUMIFS(INDEX(Inputs!$D$4:$AG$150,0,MATCH(F$2,Inputs!$D$2:$AG$2,0)),Inputs!$B$4:$B$150,$B46)/1000)</f>
        <v>27</v>
      </c>
      <c r="G46" s="11">
        <f>IF(G$3=0,"",SUMIFS(INDEX(Inputs!$D$4:$AG$150,0,MATCH(G$2,Inputs!$D$2:$AG$2,0)),Inputs!$B$4:$B$150,$B46)/1000)</f>
        <v>26</v>
      </c>
      <c r="H46" s="12">
        <f>IF(G46="","",G46)</f>
        <v>26</v>
      </c>
      <c r="I46" s="11">
        <f>IF(I$3=0,"",SUMIFS(INDEX(Inputs!$D$4:$AG$150,0,MATCH(I$2,Inputs!$D$2:$AG$2,0)),Inputs!$B$4:$B$150,$B46)/1000)</f>
        <v>27</v>
      </c>
      <c r="J46" s="11">
        <f>IF(J$3=0,"",SUMIFS(INDEX(Inputs!$D$4:$AG$150,0,MATCH(J$2,Inputs!$D$2:$AG$2,0)),Inputs!$B$4:$B$150,$B46)/1000)</f>
        <v>27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0</v>
      </c>
      <c r="E47" s="11">
        <f>IF(E$3=0,"",SUMIFS(INDEX(Inputs!$D$4:$AG$150,0,MATCH(E$2,Inputs!$D$2:$AG$2,0)),Inputs!$B$4:$B$150,$B47)/1000)</f>
        <v>320</v>
      </c>
      <c r="F47" s="11">
        <f>IF(F$3=0,"",SUMIFS(INDEX(Inputs!$D$4:$AG$150,0,MATCH(F$2,Inputs!$D$2:$AG$2,0)),Inputs!$B$4:$B$150,$B47)/1000)</f>
        <v>748</v>
      </c>
      <c r="G47" s="11">
        <f>IF(G$3=0,"",SUMIFS(INDEX(Inputs!$D$4:$AG$150,0,MATCH(G$2,Inputs!$D$2:$AG$2,0)),Inputs!$B$4:$B$150,$B47)/1000)</f>
        <v>0</v>
      </c>
      <c r="H47" s="12">
        <f>IF(G47="","",G47)</f>
        <v>0</v>
      </c>
      <c r="I47" s="11">
        <f>IF(I$3=0,"",SUMIFS(INDEX(Inputs!$D$4:$AG$150,0,MATCH(I$2,Inputs!$D$2:$AG$2,0)),Inputs!$B$4:$B$150,$B47)/1000)</f>
        <v>0</v>
      </c>
      <c r="J47" s="11">
        <f>IF(J$3=0,"",SUMIFS(INDEX(Inputs!$D$4:$AG$150,0,MATCH(J$2,Inputs!$D$2:$AG$2,0)),Inputs!$B$4:$B$150,$B47)/1000)</f>
        <v>0</v>
      </c>
      <c r="K47" s="11">
        <f>IF(K$3=0,"",SUMIFS(INDEX(Inputs!$D$4:$AG$150,0,MATCH(K$2,Inputs!$D$2:$AG$2,0)),Inputs!$B$4:$B$150,$B47)/1000)</f>
        <v>1604</v>
      </c>
      <c r="L47" s="11">
        <f>IF(L$3=0,"",SUMIFS(INDEX(Inputs!$D$4:$AG$150,0,MATCH(L$2,Inputs!$D$2:$AG$2,0)),Inputs!$B$4:$B$150,$B47)/1000)</f>
        <v>2371</v>
      </c>
      <c r="M47" s="12">
        <f>IF(L47="","",L47)</f>
        <v>2371</v>
      </c>
      <c r="N47" s="11">
        <f>IF(N$3=0,"",SUMIFS(INDEX(Inputs!$D$4:$AG$150,0,MATCH(N$2,Inputs!$D$2:$AG$2,0)),Inputs!$B$4:$B$150,$B47)/1000)</f>
        <v>1363</v>
      </c>
      <c r="O47" s="11">
        <f>IF(O$3=0,"",SUMIFS(INDEX(Inputs!$D$4:$AG$150,0,MATCH(O$2,Inputs!$D$2:$AG$2,0)),Inputs!$B$4:$B$150,$B47)/1000)</f>
        <v>1178</v>
      </c>
      <c r="P47" s="11">
        <f>IF(P$3=0,"",SUMIFS(INDEX(Inputs!$D$4:$AG$150,0,MATCH(P$2,Inputs!$D$2:$AG$2,0)),Inputs!$B$4:$B$150,$B47)/1000)</f>
        <v>2682</v>
      </c>
      <c r="Q47" s="11">
        <f>IF(Q$3=0,"",SUMIFS(INDEX(Inputs!$D$4:$AG$150,0,MATCH(Q$2,Inputs!$D$2:$AG$2,0)),Inputs!$B$4:$B$150,$B47)/1000)</f>
        <v>0</v>
      </c>
      <c r="R47" s="12">
        <f>IF(Q47="","",Q47)</f>
        <v>0</v>
      </c>
      <c r="S47" s="11">
        <f>IF(S$3=0,"",SUMIFS(INDEX(Inputs!$D$4:$AG$150,0,MATCH(S$2,Inputs!$D$2:$AG$2,0)),Inputs!$B$4:$B$150,$B47)/1000)</f>
        <v>0</v>
      </c>
      <c r="T47" s="11">
        <f>IF(T$3=0,"",SUMIFS(INDEX(Inputs!$D$4:$AG$150,0,MATCH(T$2,Inputs!$D$2:$AG$2,0)),Inputs!$B$4:$B$150,$B47)/1000)</f>
        <v>-1875</v>
      </c>
      <c r="U47" s="11">
        <f>IF(U$3=0,"",SUMIFS(INDEX(Inputs!$D$4:$AG$150,0,MATCH(U$2,Inputs!$D$2:$AG$2,0)),Inputs!$B$4:$B$150,$B47)/1000)</f>
        <v>0</v>
      </c>
      <c r="V47" s="11">
        <f>IF(V$3=0,"",SUMIFS(INDEX(Inputs!$D$4:$AG$150,0,MATCH(V$2,Inputs!$D$2:$AG$2,0)),Inputs!$B$4:$B$150,$B47)/1000)</f>
        <v>2729</v>
      </c>
      <c r="W47" s="12">
        <f>IF(V47="","",V47)</f>
        <v>2729</v>
      </c>
      <c r="X47" s="11">
        <f>IF(X$3=0,"",SUMIFS(INDEX(Inputs!$D$4:$AG$150,0,MATCH(X$2,Inputs!$D$2:$AG$2,0)),Inputs!$B$4:$B$150,$B47)/1000)</f>
        <v>2686</v>
      </c>
      <c r="Y47" s="11">
        <f>IF(Y$3=0,"",SUMIFS(INDEX(Inputs!$D$4:$AG$150,0,MATCH(Y$2,Inputs!$D$2:$AG$2,0)),Inputs!$B$4:$B$150,$B47)/1000)</f>
        <v>4040</v>
      </c>
      <c r="Z47" s="11">
        <f>IF(Z$3=0,"",SUMIFS(INDEX(Inputs!$D$4:$AG$150,0,MATCH(Z$2,Inputs!$D$2:$AG$2,0)),Inputs!$B$4:$B$150,$B47)/1000)</f>
        <v>9761</v>
      </c>
      <c r="AA47" s="11">
        <f>IF(AA$3=0,"",SUMIFS(INDEX(Inputs!$D$4:$AG$150,0,MATCH(AA$2,Inputs!$D$2:$AG$2,0)),Inputs!$B$4:$B$150,$B47)/1000)</f>
        <v>6520</v>
      </c>
      <c r="AB47" s="12">
        <f>IF(AA47="","",AA47)</f>
        <v>6520</v>
      </c>
      <c r="AC47" s="11">
        <f>IF(AC$3=0,"",SUMIFS(INDEX(Inputs!$D$4:$AG$150,0,MATCH(AC$2,Inputs!$D$2:$AG$2,0)),Inputs!$B$4:$B$150,$B47)/1000)</f>
        <v>12166</v>
      </c>
      <c r="AD47" s="11">
        <f>IF(AD$3=0,"",SUMIFS(INDEX(Inputs!$D$4:$AG$150,0,MATCH(AD$2,Inputs!$D$2:$AG$2,0)),Inputs!$B$4:$B$150,$B47)/1000)</f>
        <v>22151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1417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1802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1914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2398</v>
      </c>
      <c r="H50" s="12">
        <f>IF(COUNT(D50:G50)=4,SUM(D50:G50),"")</f>
        <v>7531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2515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2999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3583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3774</v>
      </c>
      <c r="M50" s="12">
        <f>IF(COUNT(I50:L50)=4,SUM(I50:L50),"")</f>
        <v>12871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3481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3303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3524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1325</v>
      </c>
      <c r="R50" s="12">
        <f>IF(COUNT(N50:Q50)=4,SUM(N50:Q50),"")</f>
        <v>11633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2121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-1875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4324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5503</v>
      </c>
      <c r="W50" s="12">
        <f>IF(COUNT(S50:V50)=4,SUM(S50:V50),"")</f>
        <v>10073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4965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4140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8518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7349</v>
      </c>
      <c r="AB50" s="12">
        <f>IF(COUNT(X50:AA50)=4,SUM(X50:AA50),"")</f>
        <v>24972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9310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13088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Semiconductor Solutions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4820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5021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5634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5873</v>
      </c>
      <c r="H53" s="12">
        <f>IF(COUNT(D53:G53)=4,SUM(D53:G53),"")</f>
        <v>21348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6229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6624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7092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7107</v>
      </c>
      <c r="M53" s="12">
        <f>IF(COUNT(I53:L53)=4,SUM(I53:L53),"")</f>
        <v>27052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6808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6941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7326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7390</v>
      </c>
      <c r="R53" s="12">
        <f>IF(COUNT(N53:Q53)=4,SUM(N53:Q53),"")</f>
        <v>28465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7202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7274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8230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8212</v>
      </c>
      <c r="W53" s="12">
        <f>IF(COUNT(S53:V53)=4,SUM(S53:V53),"")</f>
        <v>30918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8408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9166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11072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12515</v>
      </c>
      <c r="AB53" s="12">
        <f>IF(COUNT(X53:AA53)=4,SUM(X53:AA53),"")</f>
        <v>41161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15009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20839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Infrastructure Software - receita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1790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1757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1773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1833</v>
      </c>
      <c r="H54" s="12">
        <f>IF(COUNT(D54:G54)=4,SUM(D54:G54),"")</f>
        <v>7153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1874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1840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1838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1808</v>
      </c>
      <c r="M54" s="12">
        <f>IF(COUNT(I54:L54)=4,SUM(I54:L54),"")</f>
        <v>7360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1925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1935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1969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4571</v>
      </c>
      <c r="R54" s="12">
        <f>IF(COUNT(N54:Q54)=4,SUM(N54:Q54),"")</f>
        <v>10400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5285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5798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5824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6704</v>
      </c>
      <c r="W54" s="12">
        <f>IF(COUNT(S54:V54)=4,SUM(S54:V54),"")</f>
        <v>23611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6596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6786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6943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6796</v>
      </c>
      <c r="AB54" s="12">
        <f>IF(COUNT(X54:AA54)=4,SUM(X54:AA54),"")</f>
        <v>27121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7178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8752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Semiconductor Solutions - lucro operacional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2547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2720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3148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3349</v>
      </c>
      <c r="H55" s="12">
        <f>IF(COUNT(D55:G55)=4,SUM(D55:G55),"")</f>
        <v>11764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3626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3916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4184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4123</v>
      </c>
      <c r="M55" s="12">
        <f>IF(COUNT(I55:L55)=4,SUM(I55:L55),"")</f>
        <v>15849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4000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4092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4271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4116</v>
      </c>
      <c r="R55" s="12">
        <f>IF(COUNT(N55:Q55)=4,SUM(N55:Q55),"")</f>
        <v>16479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3978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4042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4623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4706</v>
      </c>
      <c r="W55" s="12">
        <f>IF(COUNT(S55:V55)=4,SUM(S55:V55),"")</f>
        <v>17349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4806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5217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6503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7503</v>
      </c>
      <c r="AB55" s="12">
        <f>IF(COUNT(X55:AA55)=4,SUM(X55:AA55),"")</f>
        <v>24029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9281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12770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Infrastructure Software - lucro operacional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1255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1226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1236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1307</v>
      </c>
      <c r="H56" s="12">
        <f>IF(COUNT(D56:G56)=4,SUM(D56:G56),"")</f>
        <v>5024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1313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1283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1316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1307</v>
      </c>
      <c r="M56" s="12">
        <f>IF(COUNT(I56:L56)=4,SUM(I56:L56),"")</f>
        <v>5219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1412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1444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1476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2715</v>
      </c>
      <c r="R56" s="12">
        <f>IF(COUNT(N56:Q56)=4,SUM(N56:Q56),"")</f>
        <v>7047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3168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3906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4188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5122</v>
      </c>
      <c r="W56" s="12">
        <f>IF(COUNT(S56:V56)=4,SUM(S56:V56),"")</f>
        <v>16384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4987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5238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5418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5323</v>
      </c>
      <c r="AB56" s="12">
        <f>IF(COUNT(X56:AA56)=4,SUM(X56:AA56),"")</f>
        <v>20966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5647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7325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Receita de produtos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4983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5064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5758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6053</v>
      </c>
      <c r="H57" s="12">
        <f>IF(COUNT(D57:G57)=4,SUM(D57:G57),"")</f>
        <v>21858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6417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6627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7180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7082</v>
      </c>
      <c r="M57" s="12">
        <f>IF(COUNT(I57:L57)=4,SUM(I57:L57),"")</f>
        <v>27306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6741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6917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7151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7412</v>
      </c>
      <c r="R57" s="12">
        <f>IF(COUNT(N57:Q57)=4,SUM(N57:Q57),"")</f>
        <v>28221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7192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7439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8316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10143</v>
      </c>
      <c r="W57" s="12">
        <f>IF(COUNT(S57:V57)=4,SUM(S57:V57),"")</f>
        <v>33090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10309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11173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13222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14130</v>
      </c>
      <c r="AB57" s="12">
        <f>IF(COUNT(X57:AA57)=4,SUM(X57:AA57),"")</f>
        <v>48834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16892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24279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Receita de assinaturas e serviços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1627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1714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1649</v>
      </c>
      <c r="G58" s="11">
        <f>IF(SUMPRODUCT((Inputs!$B$4:$B$150=$B58)*ISNUMBER(INDEX(Inputs!$D$4:$AG$150,0,MATCH(G$2,Inputs!$D$2:$AG$2,0))))=0,"",SUMIFS(INDEX(Inputs!$D$4:$AG$150,0,MATCH(G$2,Inputs!$D$2:$AG$2,0)),Inputs!$B$4:$B$150,$B58)/1000)</f>
        <v>1653</v>
      </c>
      <c r="H58" s="12">
        <f>IF(COUNT(D58:G58)=4,SUM(D58:G58),"")</f>
        <v>6643</v>
      </c>
      <c r="I58" s="11">
        <f>IF(SUMPRODUCT((Inputs!$B$4:$B$150=$B58)*ISNUMBER(INDEX(Inputs!$D$4:$AG$150,0,MATCH(I$2,Inputs!$D$2:$AG$2,0))))=0,"",SUMIFS(INDEX(Inputs!$D$4:$AG$150,0,MATCH(I$2,Inputs!$D$2:$AG$2,0)),Inputs!$B$4:$B$150,$B58)/1000)</f>
        <v>1686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1837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1750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1833</v>
      </c>
      <c r="M58" s="12">
        <f>IF(COUNT(I58:L58)=4,SUM(I58:L58),"")</f>
        <v>7106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1992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1959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2144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4549</v>
      </c>
      <c r="R58" s="12">
        <f>IF(COUNT(N58:Q58)=4,SUM(N58:Q58),"")</f>
        <v>10644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5295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5633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5738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4773</v>
      </c>
      <c r="W58" s="12">
        <f>IF(COUNT(S58:V58)=4,SUM(S58:V58),"")</f>
        <v>21439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4695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4779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4793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5181</v>
      </c>
      <c r="AB58" s="12">
        <f>IF(COUNT(X58:AA58)=4,SUM(X58:AA58),"")</f>
        <v>19448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5295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5312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Receita Américas (USD)</t>
        </is>
      </c>
      <c r="D59" s="11">
        <f>IF(SUMPRODUCT((Inputs!$B$4:$B$150=$B59)*ISNUMBER(INDEX(Inputs!$D$4:$AG$150,0,MATCH(D$2,Inputs!$D$2:$AG$2,0))))=0,"",SUMIFS(INDEX(Inputs!$D$4:$AG$150,0,MATCH(D$2,Inputs!$D$2:$AG$2,0)),Inputs!$B$4:$B$150,$B59)/1000)</f>
        <v>1521</v>
      </c>
      <c r="E59" s="11">
        <f>IF(SUMPRODUCT((Inputs!$B$4:$B$150=$B59)*ISNUMBER(INDEX(Inputs!$D$4:$AG$150,0,MATCH(E$2,Inputs!$D$2:$AG$2,0))))=0,"",SUMIFS(INDEX(Inputs!$D$4:$AG$150,0,MATCH(E$2,Inputs!$D$2:$AG$2,0)),Inputs!$B$4:$B$150,$B59)/1000)</f>
        <v>1588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1596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1657</v>
      </c>
      <c r="H59" s="12">
        <f>IF(COUNT(D59:G59)=4,SUM(D59:G59),"")</f>
        <v>6362</v>
      </c>
      <c r="I59" s="11">
        <f>IF(SUMPRODUCT((Inputs!$B$4:$B$150=$B59)*ISNUMBER(INDEX(Inputs!$D$4:$AG$150,0,MATCH(I$2,Inputs!$D$2:$AG$2,0))))=0,"",SUMIFS(INDEX(Inputs!$D$4:$AG$150,0,MATCH(I$2,Inputs!$D$2:$AG$2,0)),Inputs!$B$4:$B$150,$B59)/1000)</f>
        <v>1812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1762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1713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1839</v>
      </c>
      <c r="M59" s="12">
        <f>IF(COUNT(I59:L59)=4,SUM(I59:L59),"")</f>
        <v>7126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2234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2089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2117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3085</v>
      </c>
      <c r="R59" s="12">
        <f>IF(COUNT(N59:Q59)=4,SUM(N59:Q59),"")</f>
        <v>9525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3874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3991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4020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4632</v>
      </c>
      <c r="W59" s="12">
        <f>IF(COUNT(S59:V59)=4,SUM(S59:V59),"")</f>
        <v>16517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4706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4724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4877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5081</v>
      </c>
      <c r="AB59" s="12">
        <f>IF(COUNT(X59:AA59)=4,SUM(X59:AA59),"")</f>
        <v>19388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5202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5513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Receita Ásia-Pacífico (USD)</t>
        </is>
      </c>
      <c r="D60" s="11">
        <f>IF(SUMPRODUCT((Inputs!$B$4:$B$150=$B60)*ISNUMBER(INDEX(Inputs!$D$4:$AG$150,0,MATCH(D$2,Inputs!$D$2:$AG$2,0))))=0,"",SUMIFS(INDEX(Inputs!$D$4:$AG$150,0,MATCH(D$2,Inputs!$D$2:$AG$2,0)),Inputs!$B$4:$B$150,$B60)/1000)</f>
        <v>4228</v>
      </c>
      <c r="E60" s="11">
        <f>IF(SUMPRODUCT((Inputs!$B$4:$B$150=$B60)*ISNUMBER(INDEX(Inputs!$D$4:$AG$150,0,MATCH(E$2,Inputs!$D$2:$AG$2,0))))=0,"",SUMIFS(INDEX(Inputs!$D$4:$AG$150,0,MATCH(E$2,Inputs!$D$2:$AG$2,0)),Inputs!$B$4:$B$150,$B60)/1000)</f>
        <v>4321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4918</v>
      </c>
      <c r="G60" s="11">
        <f>IF(SUMPRODUCT((Inputs!$B$4:$B$150=$B60)*ISNUMBER(INDEX(Inputs!$D$4:$AG$150,0,MATCH(G$2,Inputs!$D$2:$AG$2,0))))=0,"",SUMIFS(INDEX(Inputs!$D$4:$AG$150,0,MATCH(G$2,Inputs!$D$2:$AG$2,0)),Inputs!$B$4:$B$150,$B60)/1000)</f>
        <v>5112</v>
      </c>
      <c r="H60" s="12">
        <f>IF(COUNT(D60:G60)=4,SUM(D60:G60),"")</f>
        <v>18579</v>
      </c>
      <c r="I60" s="11">
        <f>IF(SUMPRODUCT((Inputs!$B$4:$B$150=$B60)*ISNUMBER(INDEX(Inputs!$D$4:$AG$150,0,MATCH(I$2,Inputs!$D$2:$AG$2,0))))=0,"",SUMIFS(INDEX(Inputs!$D$4:$AG$150,0,MATCH(I$2,Inputs!$D$2:$AG$2,0)),Inputs!$B$4:$B$150,$B60)/1000)</f>
        <v>5385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5845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6163</v>
      </c>
      <c r="L60" s="11">
        <f>IF(SUMPRODUCT((Inputs!$B$4:$B$150=$B60)*ISNUMBER(INDEX(Inputs!$D$4:$AG$150,0,MATCH(L$2,Inputs!$D$2:$AG$2,0))))=0,"",SUMIFS(INDEX(Inputs!$D$4:$AG$150,0,MATCH(L$2,Inputs!$D$2:$AG$2,0)),Inputs!$B$4:$B$150,$B60)/1000)</f>
        <v>6137</v>
      </c>
      <c r="M60" s="12">
        <f>IF(COUNT(I60:L60)=4,SUM(I60:L60),"")</f>
        <v>23530</v>
      </c>
      <c r="N60" s="11">
        <f>IF(SUMPRODUCT((Inputs!$B$4:$B$150=$B60)*ISNUMBER(INDEX(Inputs!$D$4:$AG$150,0,MATCH(N$2,Inputs!$D$2:$AG$2,0))))=0,"",SUMIFS(INDEX(Inputs!$D$4:$AG$150,0,MATCH(N$2,Inputs!$D$2:$AG$2,0)),Inputs!$B$4:$B$150,$B60)/1000)</f>
        <v>5584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5947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6252</v>
      </c>
      <c r="Q60" s="11">
        <f>IF(SUMPRODUCT((Inputs!$B$4:$B$150=$B60)*ISNUMBER(INDEX(Inputs!$D$4:$AG$150,0,MATCH(Q$2,Inputs!$D$2:$AG$2,0))))=0,"",SUMIFS(INDEX(Inputs!$D$4:$AG$150,0,MATCH(Q$2,Inputs!$D$2:$AG$2,0)),Inputs!$B$4:$B$150,$B60)/1000)</f>
        <v>6697</v>
      </c>
      <c r="R60" s="12">
        <f>IF(COUNT(N60:Q60)=4,SUM(N60:Q60),"")</f>
        <v>24480</v>
      </c>
      <c r="S60" s="11">
        <f>IF(SUMPRODUCT((Inputs!$B$4:$B$150=$B60)*ISNUMBER(INDEX(Inputs!$D$4:$AG$150,0,MATCH(S$2,Inputs!$D$2:$AG$2,0))))=0,"",SUMIFS(INDEX(Inputs!$D$4:$AG$150,0,MATCH(S$2,Inputs!$D$2:$AG$2,0)),Inputs!$B$4:$B$150,$B60)/1000)</f>
        <v>6754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7041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7930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8032</v>
      </c>
      <c r="W60" s="12">
        <f>IF(COUNT(S60:V60)=4,SUM(S60:V60),"")</f>
        <v>29757</v>
      </c>
      <c r="X60" s="11">
        <f>IF(SUMPRODUCT((Inputs!$B$4:$B$150=$B60)*ISNUMBER(INDEX(Inputs!$D$4:$AG$150,0,MATCH(X$2,Inputs!$D$2:$AG$2,0))))=0,"",SUMIFS(INDEX(Inputs!$D$4:$AG$150,0,MATCH(X$2,Inputs!$D$2:$AG$2,0)),Inputs!$B$4:$B$150,$B60)/1000)</f>
        <v>8100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8960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10804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11615</v>
      </c>
      <c r="AB60" s="12">
        <f>IF(COUNT(X60:AA60)=4,SUM(X60:AA60),"")</f>
        <v>39479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14535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20944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Receita EMEA (USD)</t>
        </is>
      </c>
      <c r="D61" s="11">
        <f>IF(SUMPRODUCT((Inputs!$B$4:$B$150=$B61)*ISNUMBER(INDEX(Inputs!$D$4:$AG$150,0,MATCH(D$2,Inputs!$D$2:$AG$2,0))))=0,"",SUMIFS(INDEX(Inputs!$D$4:$AG$150,0,MATCH(D$2,Inputs!$D$2:$AG$2,0)),Inputs!$B$4:$B$150,$B61)/1000)</f>
        <v>861</v>
      </c>
      <c r="E61" s="11">
        <f>IF(SUMPRODUCT((Inputs!$B$4:$B$150=$B61)*ISNUMBER(INDEX(Inputs!$D$4:$AG$150,0,MATCH(E$2,Inputs!$D$2:$AG$2,0))))=0,"",SUMIFS(INDEX(Inputs!$D$4:$AG$150,0,MATCH(E$2,Inputs!$D$2:$AG$2,0)),Inputs!$B$4:$B$150,$B61)/1000)</f>
        <v>869</v>
      </c>
      <c r="F61" s="11">
        <f>IF(SUMPRODUCT((Inputs!$B$4:$B$150=$B61)*ISNUMBER(INDEX(Inputs!$D$4:$AG$150,0,MATCH(F$2,Inputs!$D$2:$AG$2,0))))=0,"",SUMIFS(INDEX(Inputs!$D$4:$AG$150,0,MATCH(F$2,Inputs!$D$2:$AG$2,0)),Inputs!$B$4:$B$150,$B61)/1000)</f>
        <v>893</v>
      </c>
      <c r="G61" s="11">
        <f>IF(SUMPRODUCT((Inputs!$B$4:$B$150=$B61)*ISNUMBER(INDEX(Inputs!$D$4:$AG$150,0,MATCH(G$2,Inputs!$D$2:$AG$2,0))))=0,"",SUMIFS(INDEX(Inputs!$D$4:$AG$150,0,MATCH(G$2,Inputs!$D$2:$AG$2,0)),Inputs!$B$4:$B$150,$B61)/1000)</f>
        <v>937</v>
      </c>
      <c r="H61" s="12">
        <f>IF(COUNT(D61:G61)=4,SUM(D61:G61),"")</f>
        <v>3560</v>
      </c>
      <c r="I61" s="11">
        <f>IF(SUMPRODUCT((Inputs!$B$4:$B$150=$B61)*ISNUMBER(INDEX(Inputs!$D$4:$AG$150,0,MATCH(I$2,Inputs!$D$2:$AG$2,0))))=0,"",SUMIFS(INDEX(Inputs!$D$4:$AG$150,0,MATCH(I$2,Inputs!$D$2:$AG$2,0)),Inputs!$B$4:$B$150,$B61)/1000)</f>
        <v>906</v>
      </c>
      <c r="J61" s="11">
        <f>IF(SUMPRODUCT((Inputs!$B$4:$B$150=$B61)*ISNUMBER(INDEX(Inputs!$D$4:$AG$150,0,MATCH(J$2,Inputs!$D$2:$AG$2,0))))=0,"",SUMIFS(INDEX(Inputs!$D$4:$AG$150,0,MATCH(J$2,Inputs!$D$2:$AG$2,0)),Inputs!$B$4:$B$150,$B61)/1000)</f>
        <v>857</v>
      </c>
      <c r="K61" s="11">
        <f>IF(SUMPRODUCT((Inputs!$B$4:$B$150=$B61)*ISNUMBER(INDEX(Inputs!$D$4:$AG$150,0,MATCH(K$2,Inputs!$D$2:$AG$2,0))))=0,"",SUMIFS(INDEX(Inputs!$D$4:$AG$150,0,MATCH(K$2,Inputs!$D$2:$AG$2,0)),Inputs!$B$4:$B$150,$B61)/1000)</f>
        <v>1054</v>
      </c>
      <c r="L61" s="11">
        <f>IF(SUMPRODUCT((Inputs!$B$4:$B$150=$B61)*ISNUMBER(INDEX(Inputs!$D$4:$AG$150,0,MATCH(L$2,Inputs!$D$2:$AG$2,0))))=0,"",SUMIFS(INDEX(Inputs!$D$4:$AG$150,0,MATCH(L$2,Inputs!$D$2:$AG$2,0)),Inputs!$B$4:$B$150,$B61)/1000)</f>
        <v>939</v>
      </c>
      <c r="M61" s="12">
        <f>IF(COUNT(I61:L61)=4,SUM(I61:L61),"")</f>
        <v>3756</v>
      </c>
      <c r="N61" s="11">
        <f>IF(SUMPRODUCT((Inputs!$B$4:$B$150=$B61)*ISNUMBER(INDEX(Inputs!$D$4:$AG$150,0,MATCH(N$2,Inputs!$D$2:$AG$2,0))))=0,"",SUMIFS(INDEX(Inputs!$D$4:$AG$150,0,MATCH(N$2,Inputs!$D$2:$AG$2,0)),Inputs!$B$4:$B$150,$B61)/1000)</f>
        <v>915</v>
      </c>
      <c r="O61" s="11">
        <f>IF(SUMPRODUCT((Inputs!$B$4:$B$150=$B61)*ISNUMBER(INDEX(Inputs!$D$4:$AG$150,0,MATCH(O$2,Inputs!$D$2:$AG$2,0))))=0,"",SUMIFS(INDEX(Inputs!$D$4:$AG$150,0,MATCH(O$2,Inputs!$D$2:$AG$2,0)),Inputs!$B$4:$B$150,$B61)/1000)</f>
        <v>840</v>
      </c>
      <c r="P61" s="11">
        <f>IF(SUMPRODUCT((Inputs!$B$4:$B$150=$B61)*ISNUMBER(INDEX(Inputs!$D$4:$AG$150,0,MATCH(P$2,Inputs!$D$2:$AG$2,0))))=0,"",SUMIFS(INDEX(Inputs!$D$4:$AG$150,0,MATCH(P$2,Inputs!$D$2:$AG$2,0)),Inputs!$B$4:$B$150,$B61)/1000)</f>
        <v>926</v>
      </c>
      <c r="Q61" s="11">
        <f>IF(SUMPRODUCT((Inputs!$B$4:$B$150=$B61)*ISNUMBER(INDEX(Inputs!$D$4:$AG$150,0,MATCH(Q$2,Inputs!$D$2:$AG$2,0))))=0,"",SUMIFS(INDEX(Inputs!$D$4:$AG$150,0,MATCH(Q$2,Inputs!$D$2:$AG$2,0)),Inputs!$B$4:$B$150,$B61)/1000)</f>
        <v>2179</v>
      </c>
      <c r="R61" s="12">
        <f>IF(COUNT(N61:Q61)=4,SUM(N61:Q61),"")</f>
        <v>4860</v>
      </c>
      <c r="S61" s="11">
        <f>IF(SUMPRODUCT((Inputs!$B$4:$B$150=$B61)*ISNUMBER(INDEX(Inputs!$D$4:$AG$150,0,MATCH(S$2,Inputs!$D$2:$AG$2,0))))=0,"",SUMIFS(INDEX(Inputs!$D$4:$AG$150,0,MATCH(S$2,Inputs!$D$2:$AG$2,0)),Inputs!$B$4:$B$150,$B61)/1000)</f>
        <v>1859</v>
      </c>
      <c r="T61" s="11">
        <f>IF(SUMPRODUCT((Inputs!$B$4:$B$150=$B61)*ISNUMBER(INDEX(Inputs!$D$4:$AG$150,0,MATCH(T$2,Inputs!$D$2:$AG$2,0))))=0,"",SUMIFS(INDEX(Inputs!$D$4:$AG$150,0,MATCH(T$2,Inputs!$D$2:$AG$2,0)),Inputs!$B$4:$B$150,$B61)/1000)</f>
        <v>2040</v>
      </c>
      <c r="U61" s="11">
        <f>IF(SUMPRODUCT((Inputs!$B$4:$B$150=$B61)*ISNUMBER(INDEX(Inputs!$D$4:$AG$150,0,MATCH(U$2,Inputs!$D$2:$AG$2,0))))=0,"",SUMIFS(INDEX(Inputs!$D$4:$AG$150,0,MATCH(U$2,Inputs!$D$2:$AG$2,0)),Inputs!$B$4:$B$150,$B61)/1000)</f>
        <v>2104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2252</v>
      </c>
      <c r="W61" s="12">
        <f>IF(COUNT(S61:V61)=4,SUM(S61:V61),"")</f>
        <v>8255</v>
      </c>
      <c r="X61" s="11">
        <f>IF(SUMPRODUCT((Inputs!$B$4:$B$150=$B61)*ISNUMBER(INDEX(Inputs!$D$4:$AG$150,0,MATCH(X$2,Inputs!$D$2:$AG$2,0))))=0,"",SUMIFS(INDEX(Inputs!$D$4:$AG$150,0,MATCH(X$2,Inputs!$D$2:$AG$2,0)),Inputs!$B$4:$B$150,$B61)/1000)</f>
        <v>2198</v>
      </c>
      <c r="Y61" s="11">
        <f>IF(SUMPRODUCT((Inputs!$B$4:$B$150=$B61)*ISNUMBER(INDEX(Inputs!$D$4:$AG$150,0,MATCH(Y$2,Inputs!$D$2:$AG$2,0))))=0,"",SUMIFS(INDEX(Inputs!$D$4:$AG$150,0,MATCH(Y$2,Inputs!$D$2:$AG$2,0)),Inputs!$B$4:$B$150,$B61)/1000)</f>
        <v>2268</v>
      </c>
      <c r="Z61" s="11">
        <f>IF(SUMPRODUCT((Inputs!$B$4:$B$150=$B61)*ISNUMBER(INDEX(Inputs!$D$4:$AG$150,0,MATCH(Z$2,Inputs!$D$2:$AG$2,0))))=0,"",SUMIFS(INDEX(Inputs!$D$4:$AG$150,0,MATCH(Z$2,Inputs!$D$2:$AG$2,0)),Inputs!$B$4:$B$150,$B61)/1000)</f>
        <v>2334</v>
      </c>
      <c r="AA61" s="11">
        <f>IF(SUMPRODUCT((Inputs!$B$4:$B$150=$B61)*ISNUMBER(INDEX(Inputs!$D$4:$AG$150,0,MATCH(AA$2,Inputs!$D$2:$AG$2,0))))=0,"",SUMIFS(INDEX(Inputs!$D$4:$AG$150,0,MATCH(AA$2,Inputs!$D$2:$AG$2,0)),Inputs!$B$4:$B$150,$B61)/1000)</f>
        <v>2615</v>
      </c>
      <c r="AB61" s="12">
        <f>IF(COUNT(X61:AA61)=4,SUM(X61:AA61),"")</f>
        <v>9415</v>
      </c>
      <c r="AC61" s="11">
        <f>IF(SUMPRODUCT((Inputs!$B$4:$B$150=$B61)*ISNUMBER(INDEX(Inputs!$D$4:$AG$150,0,MATCH(AC$2,Inputs!$D$2:$AG$2,0))))=0,"",SUMIFS(INDEX(Inputs!$D$4:$AG$150,0,MATCH(AC$2,Inputs!$D$2:$AG$2,0)),Inputs!$B$4:$B$150,$B61)/1000)</f>
        <v>2450</v>
      </c>
      <c r="AD61" s="11">
        <f>IF(SUMPRODUCT((Inputs!$B$4:$B$150=$B61)*ISNUMBER(INDEX(Inputs!$D$4:$AG$150,0,MATCH(AD$2,Inputs!$D$2:$AG$2,0))))=0,"",SUMIFS(INDEX(Inputs!$D$4:$AG$150,0,MATCH(AD$2,Inputs!$D$2:$AG$2,0)),Inputs!$B$4:$B$150,$B61)/1000)</f>
        <v>3134</v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0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10616.2526049774</v>
      </c>
      <c r="AK1" s="12">
        <f>IF(AK2="","",SUM(AK2,AK3))</f>
        <v>11379.9863477501</v>
      </c>
      <c r="AL1" s="12">
        <f>IF(AL2="","",SUM(AL2,AL3))</f>
        <v>44394.2389527276</v>
      </c>
      <c r="AM1" s="12">
        <f>IF(AM2="","",SUM(AM2,AM3))</f>
        <v>13074.8152398909</v>
      </c>
      <c r="AN1" s="12">
        <f>IF(AN2="","",SUM(AN2,AN3))</f>
        <v>17437.9978259165</v>
      </c>
      <c r="AO1" s="12">
        <f>IF(AO2="","",SUM(AO2,AO3))</f>
        <v>14742.6500157787</v>
      </c>
      <c r="AP1" s="12">
        <f>IF(AP2="","",SUM(AP2,AP3))</f>
        <v>15803.2369944325</v>
      </c>
      <c r="AQ1" s="12">
        <f>IF(AQ2="","",SUM(AQ2,AQ3))</f>
        <v>61058.7000760186</v>
      </c>
      <c r="AR1" s="12">
        <f>IF(AR2="","",SUM(AR2,AR3))</f>
        <v>18091.4494541964</v>
      </c>
      <c r="AS1" s="12">
        <f>IF(AS2="","",SUM(AS2,AS3))</f>
        <v>24128.7276693165</v>
      </c>
      <c r="AT1" s="12">
        <f>IF(AT2="","",SUM(AT2,AT3))</f>
        <v>20399.210442961</v>
      </c>
      <c r="AU1" s="12">
        <f>IF(AU2="","",SUM(AU2,AU3))</f>
        <v>21866.7306613389</v>
      </c>
      <c r="AV1" s="12">
        <f>IF(AV2="","",SUM(AV2,AV3))</f>
        <v>84486.1182278128</v>
      </c>
      <c r="AW1" s="12">
        <f>IF(AW2="","",SUM(AW2,AW3))</f>
        <v>24942.4428242466</v>
      </c>
      <c r="AX1" s="12">
        <f>IF(AX2="","",SUM(AX2,AX3))</f>
        <v>33265.9586970875</v>
      </c>
      <c r="AY1" s="12">
        <f>IF(AY2="","",SUM(AY2,AY3))</f>
        <v>28124.1224713097</v>
      </c>
      <c r="AZ1" s="12">
        <f>IF(AZ2="","",SUM(AZ2,AZ3))</f>
        <v>30147.373246931</v>
      </c>
      <c r="BA1" s="12">
        <f>IF(BA2="","",SUM(BA2,BA3))</f>
        <v>116479.897239575</v>
      </c>
      <c r="BB1" s="12">
        <f>IF(BB2="","",SUM(BB2,BB3))</f>
        <v>34263.104838122</v>
      </c>
      <c r="BC1" s="12">
        <f>IF(BC2="","",SUM(BC2,BC3))</f>
        <v>45697.0088459398</v>
      </c>
      <c r="BD1" s="12">
        <f>IF(BD2="","",SUM(BD2,BD3))</f>
        <v>38633.736218408</v>
      </c>
      <c r="BE1" s="12">
        <f>IF(BE2="","",SUM(BE2,BE3))</f>
        <v>41413.0491320387</v>
      </c>
      <c r="BF1" s="12">
        <f>IF(BF2="","",SUM(BF2,BF3))</f>
        <v>160006.899034509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IF(COUNT(I185,I261)&lt;2,"",ABS(I185-I261))</f>
        <v>0</v>
      </c>
      <c r="J2" s="12">
        <f>IF(COUNT(J185,J261)&lt;2,"",ABS(J185-J261))</f>
        <v>0</v>
      </c>
      <c r="K2" s="12">
        <f>IF(COUNT(K185,K261)&lt;2,"",ABS(K185-K261))</f>
        <v>0</v>
      </c>
      <c r="L2" s="12">
        <f>IF(COUNT(L185,L261)&lt;2,"",ABS(L185-L261))</f>
        <v>0</v>
      </c>
      <c r="M2" s="12">
        <f>IF(COUNT(M185,M261)&lt;2,"",ABS(M185-M261))</f>
        <v>0</v>
      </c>
      <c r="N2" s="12">
        <f>IF(COUNT(N185,N261)&lt;2,"",ABS(N185-N261))</f>
        <v>0</v>
      </c>
      <c r="O2" s="12">
        <f>IF(COUNT(O185,O261)&lt;2,"",ABS(O185-O261))</f>
        <v>0</v>
      </c>
      <c r="P2" s="12">
        <f>IF(COUNT(P185,P261)&lt;2,"",ABS(P185-P261))</f>
        <v>0</v>
      </c>
      <c r="Q2" s="12">
        <f>IF(COUNT(Q185,Q261)&lt;2,"",ABS(Q185-Q261))</f>
        <v>0</v>
      </c>
      <c r="R2" s="12">
        <f>IF(COUNT(R185,R261)&lt;2,"",ABS(R185-R261))</f>
        <v>0</v>
      </c>
      <c r="S2" s="12">
        <f>IF(COUNT(S185,S261)&lt;2,"",ABS(S185-S261))</f>
        <v>0</v>
      </c>
      <c r="T2" s="12">
        <f>IF(COUNT(T185,T261)&lt;2,"",ABS(T185-T261))</f>
        <v>0</v>
      </c>
      <c r="U2" s="12">
        <f>IF(COUNT(U185,U261)&lt;2,"",ABS(U185-U261))</f>
        <v>0</v>
      </c>
      <c r="V2" s="12">
        <f>IF(COUNT(V185,V261)&lt;2,"",ABS(V185-V261))</f>
        <v>0</v>
      </c>
      <c r="W2" s="12">
        <f>IF(COUNT(W185,W261)&lt;2,"",ABS(W185-W261))</f>
        <v>0</v>
      </c>
      <c r="X2" s="12">
        <f>IF(COUNT(X185,X261)&lt;2,"",ABS(X185-X261))</f>
        <v>0</v>
      </c>
      <c r="Y2" s="12">
        <f>IF(COUNT(Y185,Y261)&lt;2,"",ABS(Y185-Y261))</f>
        <v>0</v>
      </c>
      <c r="Z2" s="12">
        <f>IF(COUNT(Z185,Z261)&lt;2,"",ABS(Z185-Z261))</f>
        <v>0</v>
      </c>
      <c r="AA2" s="12">
        <f>IF(COUNT(AA185,AA261)&lt;2,"",ABS(AA185-AA261))</f>
        <v>0</v>
      </c>
      <c r="AB2" s="12">
        <f>IF(COUNT(AB185,AB261)&lt;2,"",ABS(AB185-AB261))</f>
        <v>0</v>
      </c>
      <c r="AC2" s="12">
        <f>IF(COUNT(AC185,AC261)&lt;2,"",ABS(AC185-AC261))</f>
        <v>0</v>
      </c>
      <c r="AD2" s="12">
        <f>IF(COUNT(AD185,AD261)&lt;2,"",ABS(AD185-AD261))</f>
        <v>0</v>
      </c>
      <c r="AE2" s="12">
        <f>IF(COUNT(AE185,AE261)&lt;2,"",ABS(AE185-AE261))</f>
        <v>0</v>
      </c>
      <c r="AF2" s="12">
        <f>IF(COUNT(AF185,AF261)&lt;2,"",ABS(AF185-AF261))</f>
        <v>0</v>
      </c>
      <c r="AG2" s="12">
        <f>IF(COUNT(AG185,AG261)&lt;2,"",ABS(AG185-AG261))</f>
        <v>0</v>
      </c>
      <c r="AH2" s="12">
        <f>IF(COUNT(AH185,AH261)&lt;2,"",ABS(AH185-AH261))</f>
        <v>0</v>
      </c>
      <c r="AI2" s="12">
        <f>IF(COUNT(AI185,AI261)&lt;2,"",ABS(AI185-AI261))</f>
        <v>0</v>
      </c>
      <c r="AJ2" s="12">
        <f>IF(COUNT(AJ185,AJ261)&lt;2,"",ABS(AJ185-AJ261))</f>
        <v>0</v>
      </c>
      <c r="AK2" s="12">
        <f>IF(COUNT(AK185,AK261)&lt;2,"",ABS(AK185-AK261))</f>
        <v>0</v>
      </c>
      <c r="AL2" s="12">
        <f>IF(COUNT(AL185,AL261)&lt;2,"",ABS(AL185-AL261))</f>
        <v>0</v>
      </c>
      <c r="AM2" s="12">
        <f>IF(COUNT(AM185,AM261)&lt;2,"",ABS(AM185-AM261))</f>
        <v>0</v>
      </c>
      <c r="AN2" s="12">
        <f>IF(COUNT(AN185,AN261)&lt;2,"",ABS(AN185-AN261))</f>
        <v>0</v>
      </c>
      <c r="AO2" s="12">
        <f>IF(COUNT(AO185,AO261)&lt;2,"",ABS(AO185-AO261))</f>
        <v>0</v>
      </c>
      <c r="AP2" s="12">
        <f>IF(COUNT(AP185,AP261)&lt;2,"",ABS(AP185-AP261))</f>
        <v>0</v>
      </c>
      <c r="AQ2" s="12">
        <f>IF(COUNT(AQ185,AQ261)&lt;2,"",ABS(AQ185-AQ261))</f>
        <v>0</v>
      </c>
      <c r="AR2" s="12">
        <f>IF(COUNT(AR185,AR261)&lt;2,"",ABS(AR185-AR261))</f>
        <v>0</v>
      </c>
      <c r="AS2" s="12">
        <f>IF(COUNT(AS185,AS261)&lt;2,"",ABS(AS185-AS261))</f>
        <v>0</v>
      </c>
      <c r="AT2" s="12">
        <f>IF(COUNT(AT185,AT261)&lt;2,"",ABS(AT185-AT261))</f>
        <v>0</v>
      </c>
      <c r="AU2" s="12">
        <f>IF(COUNT(AU185,AU261)&lt;2,"",ABS(AU185-AU261))</f>
        <v>0</v>
      </c>
      <c r="AV2" s="12">
        <f>IF(COUNT(AV185,AV261)&lt;2,"",ABS(AV185-AV261))</f>
        <v>0</v>
      </c>
      <c r="AW2" s="12">
        <f>IF(COUNT(AW185,AW261)&lt;2,"",ABS(AW185-AW261))</f>
        <v>0</v>
      </c>
      <c r="AX2" s="12">
        <f>IF(COUNT(AX185,AX261)&lt;2,"",ABS(AX185-AX261))</f>
        <v>0</v>
      </c>
      <c r="AY2" s="12">
        <f>IF(COUNT(AY185,AY261)&lt;2,"",ABS(AY185-AY261))</f>
        <v>0</v>
      </c>
      <c r="AZ2" s="12">
        <f>IF(COUNT(AZ185,AZ261)&lt;2,"",ABS(AZ185-AZ261))</f>
        <v>0</v>
      </c>
      <c r="BA2" s="12">
        <f>IF(COUNT(BA185,BA261)&lt;2,"",ABS(BA185-BA261))</f>
        <v>0</v>
      </c>
      <c r="BB2" s="12">
        <f>IF(COUNT(BB185,BB261)&lt;2,"",ABS(BB185-BB261))</f>
        <v>0</v>
      </c>
      <c r="BC2" s="12">
        <f>IF(COUNT(BC185,BC261)&lt;2,"",ABS(BC185-BC261))</f>
        <v>0</v>
      </c>
      <c r="BD2" s="12">
        <f>IF(COUNT(BD185,BD261)&lt;2,"",ABS(BD185-BD261))</f>
        <v>0</v>
      </c>
      <c r="BE2" s="12">
        <f>IF(COUNT(BE185,BE261)&lt;2,"",ABS(BE185-BE261))</f>
        <v>0</v>
      </c>
      <c r="BF2" s="12">
        <f>IF(COUNT(BF185,BF261)&lt;2,"",ABS(BF185-BF261))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IF(COUNT(I125,I4)&lt;2,"",ABS(I125-I4))</f>
        <v>0</v>
      </c>
      <c r="J3" s="12">
        <f>IF(COUNT(J125,J4)&lt;2,"",ABS(J125-J4))</f>
        <v>0</v>
      </c>
      <c r="K3" s="12">
        <f>IF(COUNT(K125,K4)&lt;2,"",ABS(K125-K4))</f>
        <v>0</v>
      </c>
      <c r="L3" s="12">
        <f>IF(COUNT(L125,L4)&lt;2,"",ABS(L125-L4))</f>
        <v>0</v>
      </c>
      <c r="M3" s="12">
        <f>IF(COUNT(M125,M4)&lt;2,"",ABS(M125-M4))</f>
        <v>0</v>
      </c>
      <c r="N3" s="12">
        <f>IF(COUNT(N125,N4)&lt;2,"",ABS(N125-N4))</f>
        <v>0</v>
      </c>
      <c r="O3" s="12">
        <f>IF(COUNT(O125,O4)&lt;2,"",ABS(O125-O4))</f>
        <v>0</v>
      </c>
      <c r="P3" s="12">
        <f>IF(COUNT(P125,P4)&lt;2,"",ABS(P125-P4))</f>
        <v>0</v>
      </c>
      <c r="Q3" s="12">
        <f>IF(COUNT(Q125,Q4)&lt;2,"",ABS(Q125-Q4))</f>
        <v>0</v>
      </c>
      <c r="R3" s="12">
        <f>IF(COUNT(R125,R4)&lt;2,"",ABS(R125-R4))</f>
        <v>0</v>
      </c>
      <c r="S3" s="12">
        <f>IF(COUNT(S125,S4)&lt;2,"",ABS(S125-S4))</f>
        <v>0</v>
      </c>
      <c r="T3" s="12">
        <f>IF(COUNT(T125,T4)&lt;2,"",ABS(T125-T4))</f>
        <v>0</v>
      </c>
      <c r="U3" s="12">
        <f>IF(COUNT(U125,U4)&lt;2,"",ABS(U125-U4))</f>
        <v>0</v>
      </c>
      <c r="V3" s="12">
        <f>IF(COUNT(V125,V4)&lt;2,"",ABS(V125-V4))</f>
        <v>0</v>
      </c>
      <c r="W3" s="12">
        <f>IF(COUNT(W125,W4)&lt;2,"",ABS(W125-W4))</f>
        <v>0</v>
      </c>
      <c r="X3" s="12">
        <f>IF(COUNT(X125,X4)&lt;2,"",ABS(X125-X4))</f>
        <v>0</v>
      </c>
      <c r="Y3" s="12">
        <f>IF(COUNT(Y125,Y4)&lt;2,"",ABS(Y125-Y4))</f>
        <v>0</v>
      </c>
      <c r="Z3" s="12">
        <f>IF(COUNT(Z125,Z4)&lt;2,"",ABS(Z125-Z4))</f>
        <v>0</v>
      </c>
      <c r="AA3" s="12">
        <f>IF(COUNT(AA125,AA4)&lt;2,"",ABS(AA125-AA4))</f>
        <v>0</v>
      </c>
      <c r="AB3" s="12">
        <f>IF(COUNT(AB125,AB4)&lt;2,"",ABS(AB125-AB4))</f>
        <v>0</v>
      </c>
      <c r="AC3" s="12">
        <f>IF(COUNT(AC125,AC4)&lt;2,"",ABS(AC125-AC4))</f>
        <v>0</v>
      </c>
      <c r="AD3" s="12">
        <f>IF(COUNT(AD125,AD4)&lt;2,"",ABS(AD125-AD4))</f>
        <v>0</v>
      </c>
      <c r="AE3" s="12">
        <f>IF(COUNT(AE125,AE4)&lt;2,"",ABS(AE125-AE4))</f>
        <v>0</v>
      </c>
      <c r="AF3" s="12">
        <f>IF(COUNT(AF125,AF4)&lt;2,"",ABS(AF125-AF4))</f>
        <v>0</v>
      </c>
      <c r="AG3" s="12">
        <f>IF(COUNT(AG125,AG4)&lt;2,"",ABS(AG125-AG4))</f>
        <v>0</v>
      </c>
      <c r="AH3" s="12">
        <f>IF(COUNT(AH125,AH4)&lt;2,"",ABS(AH125-AH4))</f>
        <v>0</v>
      </c>
      <c r="AI3" s="12">
        <f>IF(COUNT(AI125,AI4)&lt;2,"",ABS(AI125-AI4))</f>
        <v>0</v>
      </c>
      <c r="AJ3" s="12">
        <f>ABS(AJ125-AJ4)</f>
        <v>10616.2526049774</v>
      </c>
      <c r="AK3" s="12">
        <f>ABS(AK125-AK4)</f>
        <v>11379.9863477501</v>
      </c>
      <c r="AL3" s="12">
        <f>ABS(AL125-AL4)</f>
        <v>44394.2389527276</v>
      </c>
      <c r="AM3" s="12">
        <f>ABS(AM125-AM4)</f>
        <v>13074.8152398909</v>
      </c>
      <c r="AN3" s="12">
        <f>ABS(AN125-AN4)</f>
        <v>17437.9978259165</v>
      </c>
      <c r="AO3" s="12">
        <f>ABS(AO125-AO4)</f>
        <v>14742.6500157787</v>
      </c>
      <c r="AP3" s="12">
        <f>ABS(AP125-AP4)</f>
        <v>15803.2369944325</v>
      </c>
      <c r="AQ3" s="12">
        <f>ABS(AQ125-AQ4)</f>
        <v>61058.7000760186</v>
      </c>
      <c r="AR3" s="12">
        <f>ABS(AR125-AR4)</f>
        <v>18091.4494541964</v>
      </c>
      <c r="AS3" s="12">
        <f>ABS(AS125-AS4)</f>
        <v>24128.7276693165</v>
      </c>
      <c r="AT3" s="12">
        <f>ABS(AT125-AT4)</f>
        <v>20399.210442961</v>
      </c>
      <c r="AU3" s="12">
        <f>ABS(AU125-AU4)</f>
        <v>21866.7306613389</v>
      </c>
      <c r="AV3" s="12">
        <f>ABS(AV125-AV4)</f>
        <v>84486.1182278128</v>
      </c>
      <c r="AW3" s="12">
        <f>ABS(AW125-AW4)</f>
        <v>24942.4428242466</v>
      </c>
      <c r="AX3" s="12">
        <f>ABS(AX125-AX4)</f>
        <v>33265.9586970875</v>
      </c>
      <c r="AY3" s="12">
        <f>ABS(AY125-AY4)</f>
        <v>28124.1224713097</v>
      </c>
      <c r="AZ3" s="12">
        <f>ABS(AZ125-AZ4)</f>
        <v>30147.373246931</v>
      </c>
      <c r="BA3" s="12">
        <f>ABS(BA125-BA4)</f>
        <v>116479.897239575</v>
      </c>
      <c r="BB3" s="12">
        <f>ABS(BB125-BB4)</f>
        <v>34263.104838122</v>
      </c>
      <c r="BC3" s="12">
        <f>ABS(BC125-BC4)</f>
        <v>45697.0088459398</v>
      </c>
      <c r="BD3" s="12">
        <f>ABS(BD125-BD4)</f>
        <v>38633.736218408</v>
      </c>
      <c r="BE3" s="12">
        <f>ABS(BE125-BE4)</f>
        <v>41413.0491320387</v>
      </c>
      <c r="BF3" s="12">
        <f>ABS(BF125-BF4)</f>
        <v>160006.899034509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1417</v>
      </c>
      <c r="J4">
        <f>IF(ISNUMBER('Inputs (2)'!E50),'Inputs (2)'!E50,"")</f>
        <v>1802</v>
      </c>
      <c r="K4">
        <f>IF(ISNUMBER('Inputs (2)'!F50),'Inputs (2)'!F50,"")</f>
        <v>1914</v>
      </c>
      <c r="L4">
        <f>IF(ISNUMBER('Inputs (2)'!G50),'Inputs (2)'!G50,"")</f>
        <v>2398</v>
      </c>
      <c r="M4" s="11">
        <f>IF(COUNT(I4:L4)=4,SUM(I4:L4),"")</f>
        <v>7531</v>
      </c>
      <c r="N4">
        <f>IF(ISNUMBER('Inputs (2)'!I50),'Inputs (2)'!I50,"")</f>
        <v>2515</v>
      </c>
      <c r="O4">
        <f>IF(ISNUMBER('Inputs (2)'!J50),'Inputs (2)'!J50,"")</f>
        <v>2999</v>
      </c>
      <c r="P4">
        <f>IF(ISNUMBER('Inputs (2)'!K50),'Inputs (2)'!K50,"")</f>
        <v>3583</v>
      </c>
      <c r="Q4">
        <f>IF(ISNUMBER('Inputs (2)'!L50),'Inputs (2)'!L50,"")</f>
        <v>3774</v>
      </c>
      <c r="R4" s="11">
        <f>IF(COUNT(N4:Q4)=4,SUM(N4:Q4),"")</f>
        <v>12871</v>
      </c>
      <c r="S4">
        <f>IF(ISNUMBER('Inputs (2)'!N50),'Inputs (2)'!N50,"")</f>
        <v>3481</v>
      </c>
      <c r="T4">
        <f>IF(ISNUMBER('Inputs (2)'!O50),'Inputs (2)'!O50,"")</f>
        <v>3303</v>
      </c>
      <c r="U4">
        <f>IF(ISNUMBER('Inputs (2)'!P50),'Inputs (2)'!P50,"")</f>
        <v>3524</v>
      </c>
      <c r="V4">
        <f>IF(ISNUMBER('Inputs (2)'!Q50),'Inputs (2)'!Q50,"")</f>
        <v>1325</v>
      </c>
      <c r="W4" s="11">
        <f>IF(COUNT(S4:V4)=4,SUM(S4:V4),"")</f>
        <v>11633</v>
      </c>
      <c r="X4">
        <f>IF(ISNUMBER('Inputs (2)'!S50),'Inputs (2)'!S50,"")</f>
        <v>2121</v>
      </c>
      <c r="Y4">
        <f>IF(ISNUMBER('Inputs (2)'!T50),'Inputs (2)'!T50,"")</f>
        <v>-1875</v>
      </c>
      <c r="Z4">
        <f>IF(ISNUMBER('Inputs (2)'!U50),'Inputs (2)'!U50,"")</f>
        <v>4324</v>
      </c>
      <c r="AA4">
        <f>IF(ISNUMBER('Inputs (2)'!V50),'Inputs (2)'!V50,"")</f>
        <v>5503</v>
      </c>
      <c r="AB4" s="11">
        <f>IF(COUNT(X4:AA4)=4,SUM(X4:AA4),"")</f>
        <v>10073</v>
      </c>
      <c r="AC4">
        <f>IF(ISNUMBER('Inputs (2)'!X50),'Inputs (2)'!X50,"")</f>
        <v>4965</v>
      </c>
      <c r="AD4">
        <f>IF(ISNUMBER('Inputs (2)'!Y50),'Inputs (2)'!Y50,"")</f>
        <v>4140</v>
      </c>
      <c r="AE4">
        <f>IF(ISNUMBER('Inputs (2)'!Z50),'Inputs (2)'!Z50,"")</f>
        <v>8518</v>
      </c>
      <c r="AF4">
        <f>IF(ISNUMBER('Inputs (2)'!AA50),'Inputs (2)'!AA50,"")</f>
        <v>7349</v>
      </c>
      <c r="AG4" s="11">
        <f>IF(COUNT(AC4:AF4)=4,SUM(AC4:AF4),"")</f>
        <v>24972</v>
      </c>
      <c r="AH4" s="11">
        <f>IF(ISNUMBER('Inputs (2)'!AC50),'Inputs (2)'!AC50,"")</f>
        <v>9310</v>
      </c>
      <c r="AI4" s="11">
        <f>IF(ISNUMBER('Inputs (2)'!AD50),'Inputs (2)'!AD50,"")</f>
        <v>13088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6610</v>
      </c>
      <c r="J15" s="34">
        <f>'Inputs (2)'!E4</f>
        <v>6778</v>
      </c>
      <c r="K15" s="34">
        <f>'Inputs (2)'!F4</f>
        <v>7407</v>
      </c>
      <c r="L15" s="34">
        <f>'Inputs (2)'!G4</f>
        <v>7706</v>
      </c>
      <c r="M15" s="35">
        <f>'Inputs (2)'!H4</f>
        <v>28501</v>
      </c>
      <c r="N15" s="34">
        <f>'Inputs (2)'!I4</f>
        <v>8103</v>
      </c>
      <c r="O15" s="34">
        <f>'Inputs (2)'!J4</f>
        <v>8464</v>
      </c>
      <c r="P15" s="34">
        <f>'Inputs (2)'!K4</f>
        <v>8930</v>
      </c>
      <c r="Q15" s="34">
        <f>'Inputs (2)'!L4</f>
        <v>8915</v>
      </c>
      <c r="R15" s="35">
        <f>'Inputs (2)'!M4</f>
        <v>34412</v>
      </c>
      <c r="S15" s="34">
        <f>'Inputs (2)'!N4</f>
        <v>8733</v>
      </c>
      <c r="T15" s="34">
        <f>'Inputs (2)'!O4</f>
        <v>8876</v>
      </c>
      <c r="U15" s="34">
        <f>'Inputs (2)'!P4</f>
        <v>9295</v>
      </c>
      <c r="V15" s="34">
        <f>'Inputs (2)'!Q4</f>
        <v>11961</v>
      </c>
      <c r="W15" s="35">
        <f>'Inputs (2)'!R4</f>
        <v>38865</v>
      </c>
      <c r="X15" s="34">
        <f>'Inputs (2)'!S4</f>
        <v>12487</v>
      </c>
      <c r="Y15" s="34">
        <f>'Inputs (2)'!T4</f>
        <v>13072</v>
      </c>
      <c r="Z15" s="34">
        <f>'Inputs (2)'!U4</f>
        <v>14054</v>
      </c>
      <c r="AA15" s="34">
        <f>'Inputs (2)'!V4</f>
        <v>14916</v>
      </c>
      <c r="AB15" s="35">
        <f>'Inputs (2)'!W4</f>
        <v>54529</v>
      </c>
      <c r="AC15" s="34">
        <f>'Inputs (2)'!X4</f>
        <v>15004</v>
      </c>
      <c r="AD15" s="34">
        <f>'Inputs (2)'!Y4</f>
        <v>15952</v>
      </c>
      <c r="AE15" s="34">
        <f>'Inputs (2)'!Z4</f>
        <v>18015</v>
      </c>
      <c r="AF15" s="34">
        <f>'Inputs (2)'!AA4</f>
        <v>19311</v>
      </c>
      <c r="AG15" s="35">
        <f>'Inputs (2)'!AB4</f>
        <v>68282</v>
      </c>
      <c r="AH15" s="35">
        <f>'Inputs (2)'!AC4</f>
        <v>22187</v>
      </c>
      <c r="AI15" s="35">
        <f>'Inputs (2)'!AD4</f>
        <v>29591</v>
      </c>
      <c r="AJ15" s="35">
        <f>AE15*(1+AJ16)</f>
        <v>25017.1929697426</v>
      </c>
      <c r="AK15" s="35">
        <f>AF15*(1+AK16)</f>
        <v>26816.931081804</v>
      </c>
      <c r="AL15" s="35">
        <f>SUM(AH15:AK15)</f>
        <v>103612.124051547</v>
      </c>
      <c r="AM15" s="35">
        <f>AH15*(1+AM16)</f>
        <v>30810.7943613477</v>
      </c>
      <c r="AN15" s="35">
        <f>AI15*(1+AN16)</f>
        <v>41092.6315385875</v>
      </c>
      <c r="AO15" s="35">
        <f>AJ15*(1+AO16)</f>
        <v>34741.046021945</v>
      </c>
      <c r="AP15" s="35">
        <f>AK15*(1+AP16)</f>
        <v>37240.3186083697</v>
      </c>
      <c r="AQ15" s="35">
        <f>SUM(AM15:AP15)</f>
        <v>143884.79053025</v>
      </c>
      <c r="AR15" s="35">
        <f>AM15*(1+AR16)</f>
        <v>42632.4899132276</v>
      </c>
      <c r="AS15" s="35">
        <f>AN15*(1+AS16)</f>
        <v>56859.3324479343</v>
      </c>
      <c r="AT15" s="35">
        <f>AO15*(1+AT16)</f>
        <v>48070.7273150864</v>
      </c>
      <c r="AU15" s="35">
        <f>AP15*(1+AU16)</f>
        <v>51528.9378396688</v>
      </c>
      <c r="AV15" s="35">
        <f>SUM(AR15:AU15)</f>
        <v>199091.487515917</v>
      </c>
      <c r="AW15" s="35">
        <f>AR15*(1+AW16)</f>
        <v>58776.8517281129</v>
      </c>
      <c r="AX15" s="35">
        <f>AS15*(1+AX16)</f>
        <v>78391.2119478338</v>
      </c>
      <c r="AY15" s="35">
        <f>AT15*(1+AY16)</f>
        <v>66274.477930146</v>
      </c>
      <c r="AZ15" s="35">
        <f>AU15*(1+AZ16)</f>
        <v>71042.2671834055</v>
      </c>
      <c r="BA15" s="35">
        <f>SUM(AW15:AZ15)</f>
        <v>274484.808789498</v>
      </c>
      <c r="BB15" s="35">
        <f>AW15*(1+BB16)</f>
        <v>80740.9862380194</v>
      </c>
      <c r="BC15" s="35">
        <f>AX15*(1+BC16)</f>
        <v>107684.974253808</v>
      </c>
      <c r="BD15" s="35">
        <f>AY15*(1+BD16)</f>
        <v>91040.3764945177</v>
      </c>
      <c r="BE15" s="35">
        <f>AZ15*(1+BE16)</f>
        <v>97589.825727762</v>
      </c>
      <c r="BF15" s="35">
        <f>SUM(BB15:BE15)</f>
        <v>377056.162714107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0.225869894099849</v>
      </c>
      <c r="O16" s="40">
        <f>IFERROR(O15/J15-1,"")</f>
        <v>0.248745942755975</v>
      </c>
      <c r="P16" s="40">
        <f>IFERROR(P15/K15-1,"")</f>
        <v>0.205616308896989</v>
      </c>
      <c r="Q16" s="40">
        <f>IFERROR(Q15/L15-1,"")</f>
        <v>0.156890734492603</v>
      </c>
      <c r="R16" s="40">
        <f>IFERROR(R15/M15-1,"")</f>
        <v>0.207396231711168</v>
      </c>
      <c r="S16" s="40">
        <f>IFERROR(S15/N15-1,"")</f>
        <v>0.0777489818585708</v>
      </c>
      <c r="T16" s="40">
        <f>IFERROR(T15/O15-1,"")</f>
        <v>0.0486767485822306</v>
      </c>
      <c r="U16" s="40">
        <f>IFERROR(U15/P15-1,"")</f>
        <v>0.0408734602463605</v>
      </c>
      <c r="V16" s="40">
        <f>IFERROR(V15/Q15-1,"")</f>
        <v>0.341671340437465</v>
      </c>
      <c r="W16" s="40">
        <f>IFERROR(W15/R15-1,"")</f>
        <v>0.129402533999768</v>
      </c>
      <c r="X16" s="40">
        <f>IFERROR(X15/S15-1,"")</f>
        <v>0.429863735257071</v>
      </c>
      <c r="Y16" s="40">
        <f>IFERROR(Y15/T15-1,"")</f>
        <v>0.472735466426318</v>
      </c>
      <c r="Z16" s="40">
        <f>IFERROR(Z15/U15-1,"")</f>
        <v>0.511995696611081</v>
      </c>
      <c r="AA16" s="40">
        <f>IFERROR(AA15/V15-1,"")</f>
        <v>0.247052921996489</v>
      </c>
      <c r="AB16" s="40">
        <f>IFERROR(AB15/W15-1,"")</f>
        <v>0.403036150778335</v>
      </c>
      <c r="AC16" s="40">
        <f>IFERROR(AC15/X15-1,"")</f>
        <v>0.201569632417715</v>
      </c>
      <c r="AD16" s="40">
        <f>IFERROR(AD15/Y15-1,"")</f>
        <v>0.2203182374541</v>
      </c>
      <c r="AE16" s="40">
        <f>IFERROR(AE15/Z15-1,"")</f>
        <v>0.281841468621033</v>
      </c>
      <c r="AF16" s="41">
        <f>IFERROR(AF15/AA15-1,"")</f>
        <v>0.294650040225261</v>
      </c>
      <c r="AG16" s="40">
        <f>IFERROR(AG15/AB15-1,"")</f>
        <v>0.252214418016101</v>
      </c>
      <c r="AH16" s="41">
        <f>IFERROR(AH15/AC15-1,"")</f>
        <v>0.478739002932551</v>
      </c>
      <c r="AI16" s="41">
        <f>IFERROR(AI15/AD15-1,"")</f>
        <v>0.855002507522568</v>
      </c>
      <c r="AJ16" s="41">
        <f>Control!$B$18</f>
        <v>0.388686814862205</v>
      </c>
      <c r="AK16" s="41">
        <f>Control!$B$18</f>
        <v>0.388686814862205</v>
      </c>
      <c r="AL16" s="42">
        <f>IFERROR(AL15/AG15-1,"")</f>
        <v>0.517414897799517</v>
      </c>
      <c r="AM16" s="41">
        <f>Control!$C$18</f>
        <v>0.388686814862205</v>
      </c>
      <c r="AN16" s="41">
        <f>Control!$C$18</f>
        <v>0.388686814862205</v>
      </c>
      <c r="AO16" s="41">
        <f>Control!$C$18</f>
        <v>0.388686814862205</v>
      </c>
      <c r="AP16" s="41">
        <f>Control!$C$18</f>
        <v>0.388686814862205</v>
      </c>
      <c r="AQ16" s="42">
        <f>IFERROR(AQ15/AL15-1,"")</f>
        <v>0.388686814862205</v>
      </c>
      <c r="AR16" s="41">
        <f>Control!$D$18</f>
        <v>0.383686814862205</v>
      </c>
      <c r="AS16" s="41">
        <f>Control!$D$18</f>
        <v>0.383686814862205</v>
      </c>
      <c r="AT16" s="41">
        <f>Control!$D$18</f>
        <v>0.383686814862205</v>
      </c>
      <c r="AU16" s="41">
        <f>Control!$D$18</f>
        <v>0.383686814862205</v>
      </c>
      <c r="AV16" s="42">
        <f>IFERROR(AV15/AQ15-1,"")</f>
        <v>0.383686814862205</v>
      </c>
      <c r="AW16" s="41">
        <f>Control!$E$18</f>
        <v>0.378686814862205</v>
      </c>
      <c r="AX16" s="41">
        <f>Control!$E$18</f>
        <v>0.378686814862205</v>
      </c>
      <c r="AY16" s="41">
        <f>Control!$E$18</f>
        <v>0.378686814862205</v>
      </c>
      <c r="AZ16" s="41">
        <f>Control!$E$18</f>
        <v>0.378686814862205</v>
      </c>
      <c r="BA16" s="42">
        <f>IFERROR(BA15/AV15-1,"")</f>
        <v>0.378686814862204</v>
      </c>
      <c r="BB16" s="41">
        <f>Control!$F$18</f>
        <v>0.373686814862205</v>
      </c>
      <c r="BC16" s="41">
        <f>Control!$F$18</f>
        <v>0.373686814862205</v>
      </c>
      <c r="BD16" s="41">
        <f>Control!$F$18</f>
        <v>0.373686814862205</v>
      </c>
      <c r="BE16" s="41">
        <f>Control!$F$18</f>
        <v>0.373686814862205</v>
      </c>
      <c r="BF16" s="42">
        <f>IFERROR(BF15/BA15-1,"")</f>
        <v>0.373686814862205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IF(ISNUMBER(I22),I22,"")</f>
        <v>0</v>
      </c>
      <c r="J17" s="40">
        <f>IF(ISNUMBER(J22),J22,"")</f>
        <v>0</v>
      </c>
      <c r="K17" s="40">
        <f>IF(ISNUMBER(K22),K22,"")</f>
        <v>0</v>
      </c>
      <c r="L17" s="40">
        <f>IF(ISNUMBER(L22),L22,"")</f>
        <v>0</v>
      </c>
      <c r="M17" s="39">
        <f>IF(ISNUMBER(M22),M22,"")</f>
        <v>0</v>
      </c>
      <c r="N17" s="40">
        <f>IF(ISNUMBER(N22),N22,"")</f>
        <v>0</v>
      </c>
      <c r="O17" s="40">
        <f>IF(ISNUMBER(O22),O22,"")</f>
        <v>0</v>
      </c>
      <c r="P17" s="40">
        <f>IF(ISNUMBER(P22),P22,"")</f>
        <v>0</v>
      </c>
      <c r="Q17" s="40">
        <f>IF(ISNUMBER(Q22),Q22,"")</f>
        <v>0</v>
      </c>
      <c r="R17" s="40">
        <f>IF(ISNUMBER(R22),R22,"")</f>
        <v>0</v>
      </c>
      <c r="S17" s="40">
        <f>IF(ISNUMBER(S22),S22,"")</f>
        <v>0</v>
      </c>
      <c r="T17" s="40">
        <f>IF(ISNUMBER(T22),T22,"")</f>
        <v>0</v>
      </c>
      <c r="U17" s="40">
        <f>IF(ISNUMBER(U22),U22,"")</f>
        <v>0</v>
      </c>
      <c r="V17" s="40">
        <f>IF(ISNUMBER(V22),V22,"")</f>
        <v>0</v>
      </c>
      <c r="W17" s="40">
        <f>IF(ISNUMBER(W22),W22,"")</f>
        <v>0</v>
      </c>
      <c r="X17" s="40">
        <f>IF(ISNUMBER(X22),X22,"")</f>
        <v>0</v>
      </c>
      <c r="Y17" s="40">
        <f>IF(ISNUMBER(Y22),Y22,"")</f>
        <v>0</v>
      </c>
      <c r="Z17" s="40">
        <f>IF(ISNUMBER(Z22),Z22,"")</f>
        <v>0</v>
      </c>
      <c r="AA17" s="40">
        <f>IF(ISNUMBER(AA22),AA22,"")</f>
        <v>0</v>
      </c>
      <c r="AB17" s="40">
        <f>IF(ISNUMBER(AB22),AB22,"")</f>
        <v>0</v>
      </c>
      <c r="AC17" s="40">
        <f>IF(ISNUMBER(AC22),AC22,"")</f>
        <v>0</v>
      </c>
      <c r="AD17" s="40">
        <f>IF(ISNUMBER(AD22),AD22,"")</f>
        <v>0</v>
      </c>
      <c r="AE17" s="40">
        <f>IF(ISNUMBER(AE22),AE22,"")</f>
        <v>0</v>
      </c>
      <c r="AF17" s="40">
        <f>IF(ISNUMBER(AF22),AF22,"")</f>
        <v>0</v>
      </c>
      <c r="AG17" s="40">
        <f>IF(ISNUMBER(AG22),AG22,"")</f>
        <v>0</v>
      </c>
      <c r="AH17" s="41">
        <f>IF(ISNUMBER(AH22),AH22,"")</f>
        <v>0</v>
      </c>
      <c r="AI17" s="41">
        <f>IF(ISNUMBER(AI22),AI22,"")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Semiconductor Solutions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4820</v>
      </c>
      <c r="J19" s="269">
        <f>IFERROR(INDEX('Inputs (2)'!$D$53:$AL$53,MATCH(J$7&amp;"",'Inputs (2)'!$D$2:$AL$2,0)),"")</f>
        <v>5021</v>
      </c>
      <c r="K19" s="269">
        <f>IFERROR(INDEX('Inputs (2)'!$D$53:$AL$53,MATCH(K$7&amp;"",'Inputs (2)'!$D$2:$AL$2,0)),"")</f>
        <v>5634</v>
      </c>
      <c r="L19" s="269">
        <f>IFERROR(INDEX('Inputs (2)'!$D$53:$AL$53,MATCH(L$7&amp;"",'Inputs (2)'!$D$2:$AL$2,0)),"")</f>
        <v>5873</v>
      </c>
      <c r="M19" s="270">
        <f>IF(COUNT(I19:L19)=4,SUM(I19:L19),"")</f>
        <v>21348</v>
      </c>
      <c r="N19" s="269">
        <f>IFERROR(INDEX('Inputs (2)'!$D$53:$AL$53,MATCH(N$7&amp;"",'Inputs (2)'!$D$2:$AL$2,0)),"")</f>
        <v>6229</v>
      </c>
      <c r="O19" s="269">
        <f>IFERROR(INDEX('Inputs (2)'!$D$53:$AL$53,MATCH(O$7&amp;"",'Inputs (2)'!$D$2:$AL$2,0)),"")</f>
        <v>6624</v>
      </c>
      <c r="P19" s="269">
        <f>IFERROR(INDEX('Inputs (2)'!$D$53:$AL$53,MATCH(P$7&amp;"",'Inputs (2)'!$D$2:$AL$2,0)),"")</f>
        <v>7092</v>
      </c>
      <c r="Q19" s="269">
        <f>IFERROR(INDEX('Inputs (2)'!$D$53:$AL$53,MATCH(Q$7&amp;"",'Inputs (2)'!$D$2:$AL$2,0)),"")</f>
        <v>7107</v>
      </c>
      <c r="R19" s="270">
        <f>IF(COUNT(N19:Q19)=4,SUM(N19:Q19),"")</f>
        <v>27052</v>
      </c>
      <c r="S19" s="269">
        <f>IFERROR(INDEX('Inputs (2)'!$D$53:$AL$53,MATCH(S$7&amp;"",'Inputs (2)'!$D$2:$AL$2,0)),"")</f>
        <v>6808</v>
      </c>
      <c r="T19" s="269">
        <f>IFERROR(INDEX('Inputs (2)'!$D$53:$AL$53,MATCH(T$7&amp;"",'Inputs (2)'!$D$2:$AL$2,0)),"")</f>
        <v>6941</v>
      </c>
      <c r="U19" s="269">
        <f>IFERROR(INDEX('Inputs (2)'!$D$53:$AL$53,MATCH(U$7&amp;"",'Inputs (2)'!$D$2:$AL$2,0)),"")</f>
        <v>7326</v>
      </c>
      <c r="V19" s="269">
        <f>IFERROR(INDEX('Inputs (2)'!$D$53:$AL$53,MATCH(V$7&amp;"",'Inputs (2)'!$D$2:$AL$2,0)),"")</f>
        <v>7390</v>
      </c>
      <c r="W19" s="270">
        <f>IF(COUNT(S19:V19)=4,SUM(S19:V19),"")</f>
        <v>28465</v>
      </c>
      <c r="X19" s="269">
        <f>IFERROR(INDEX('Inputs (2)'!$D$53:$AL$53,MATCH(X$7&amp;"",'Inputs (2)'!$D$2:$AL$2,0)),"")</f>
        <v>7202</v>
      </c>
      <c r="Y19" s="269">
        <f>IFERROR(INDEX('Inputs (2)'!$D$53:$AL$53,MATCH(Y$7&amp;"",'Inputs (2)'!$D$2:$AL$2,0)),"")</f>
        <v>7274</v>
      </c>
      <c r="Z19" s="269">
        <f>IFERROR(INDEX('Inputs (2)'!$D$53:$AL$53,MATCH(Z$7&amp;"",'Inputs (2)'!$D$2:$AL$2,0)),"")</f>
        <v>8230</v>
      </c>
      <c r="AA19" s="269">
        <f>IFERROR(INDEX('Inputs (2)'!$D$53:$AL$53,MATCH(AA$7&amp;"",'Inputs (2)'!$D$2:$AL$2,0)),"")</f>
        <v>8212</v>
      </c>
      <c r="AB19" s="270">
        <f>IF(COUNT(X19:AA19)=4,SUM(X19:AA19),"")</f>
        <v>30918</v>
      </c>
      <c r="AC19" s="269">
        <f>IFERROR(INDEX('Inputs (2)'!$D$53:$AL$53,MATCH(AC$7&amp;"",'Inputs (2)'!$D$2:$AL$2,0)),"")</f>
        <v>8408</v>
      </c>
      <c r="AD19" s="269">
        <f>IFERROR(INDEX('Inputs (2)'!$D$53:$AL$53,MATCH(AD$7&amp;"",'Inputs (2)'!$D$2:$AL$2,0)),"")</f>
        <v>9166</v>
      </c>
      <c r="AE19" s="269">
        <f>IFERROR(INDEX('Inputs (2)'!$D$53:$AL$53,MATCH(AE$7&amp;"",'Inputs (2)'!$D$2:$AL$2,0)),"")</f>
        <v>11072</v>
      </c>
      <c r="AF19" s="269">
        <f>IFERROR(INDEX('Inputs (2)'!$D$53:$AL$53,MATCH(AF$7&amp;"",'Inputs (2)'!$D$2:$AL$2,0)),"")</f>
        <v>12515</v>
      </c>
      <c r="AG19" s="270">
        <f>IF(COUNT(AC19:AF19)=4,SUM(AC19:AF19),"")</f>
        <v>41161</v>
      </c>
      <c r="AH19" s="270">
        <f>IFERROR(INDEX('Inputs (2)'!$D$53:$AL$53,MATCH(AH$7&amp;"",'Inputs (2)'!$D$2:$AL$2,0)),"")</f>
        <v>15009</v>
      </c>
      <c r="AI19" s="270">
        <f>IFERROR(INDEX('Inputs (2)'!$D$53:$AL$53,MATCH(AI$7&amp;"",'Inputs (2)'!$D$2:$AL$2,0)),"")</f>
        <v>20839</v>
      </c>
    </row>
    <row r="20">
      <c r="C20" s="268" t="inlineStr">
        <is>
          <t xml:space="preserve">   Infrastructure Software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1790</v>
      </c>
      <c r="J20" s="269">
        <f>IFERROR(INDEX('Inputs (2)'!$D$54:$AL$54,MATCH(J$7&amp;"",'Inputs (2)'!$D$2:$AL$2,0)),"")</f>
        <v>1757</v>
      </c>
      <c r="K20" s="269">
        <f>IFERROR(INDEX('Inputs (2)'!$D$54:$AL$54,MATCH(K$7&amp;"",'Inputs (2)'!$D$2:$AL$2,0)),"")</f>
        <v>1773</v>
      </c>
      <c r="L20" s="269">
        <f>IFERROR(INDEX('Inputs (2)'!$D$54:$AL$54,MATCH(L$7&amp;"",'Inputs (2)'!$D$2:$AL$2,0)),"")</f>
        <v>1833</v>
      </c>
      <c r="M20" s="270">
        <f>IF(COUNT(I20:L20)=4,SUM(I20:L20),"")</f>
        <v>7153</v>
      </c>
      <c r="N20" s="269">
        <f>IFERROR(INDEX('Inputs (2)'!$D$54:$AL$54,MATCH(N$7&amp;"",'Inputs (2)'!$D$2:$AL$2,0)),"")</f>
        <v>1874</v>
      </c>
      <c r="O20" s="269">
        <f>IFERROR(INDEX('Inputs (2)'!$D$54:$AL$54,MATCH(O$7&amp;"",'Inputs (2)'!$D$2:$AL$2,0)),"")</f>
        <v>1840</v>
      </c>
      <c r="P20" s="269">
        <f>IFERROR(INDEX('Inputs (2)'!$D$54:$AL$54,MATCH(P$7&amp;"",'Inputs (2)'!$D$2:$AL$2,0)),"")</f>
        <v>1838</v>
      </c>
      <c r="Q20" s="269">
        <f>IFERROR(INDEX('Inputs (2)'!$D$54:$AL$54,MATCH(Q$7&amp;"",'Inputs (2)'!$D$2:$AL$2,0)),"")</f>
        <v>1808</v>
      </c>
      <c r="R20" s="270">
        <f>IF(COUNT(N20:Q20)=4,SUM(N20:Q20),"")</f>
        <v>7360</v>
      </c>
      <c r="S20" s="269">
        <f>IFERROR(INDEX('Inputs (2)'!$D$54:$AL$54,MATCH(S$7&amp;"",'Inputs (2)'!$D$2:$AL$2,0)),"")</f>
        <v>1925</v>
      </c>
      <c r="T20" s="269">
        <f>IFERROR(INDEX('Inputs (2)'!$D$54:$AL$54,MATCH(T$7&amp;"",'Inputs (2)'!$D$2:$AL$2,0)),"")</f>
        <v>1935</v>
      </c>
      <c r="U20" s="269">
        <f>IFERROR(INDEX('Inputs (2)'!$D$54:$AL$54,MATCH(U$7&amp;"",'Inputs (2)'!$D$2:$AL$2,0)),"")</f>
        <v>1969</v>
      </c>
      <c r="V20" s="269">
        <f>IFERROR(INDEX('Inputs (2)'!$D$54:$AL$54,MATCH(V$7&amp;"",'Inputs (2)'!$D$2:$AL$2,0)),"")</f>
        <v>4571</v>
      </c>
      <c r="W20" s="270">
        <f>IF(COUNT(S20:V20)=4,SUM(S20:V20),"")</f>
        <v>10400</v>
      </c>
      <c r="X20" s="269">
        <f>IFERROR(INDEX('Inputs (2)'!$D$54:$AL$54,MATCH(X$7&amp;"",'Inputs (2)'!$D$2:$AL$2,0)),"")</f>
        <v>5285</v>
      </c>
      <c r="Y20" s="269">
        <f>IFERROR(INDEX('Inputs (2)'!$D$54:$AL$54,MATCH(Y$7&amp;"",'Inputs (2)'!$D$2:$AL$2,0)),"")</f>
        <v>5798</v>
      </c>
      <c r="Z20" s="269">
        <f>IFERROR(INDEX('Inputs (2)'!$D$54:$AL$54,MATCH(Z$7&amp;"",'Inputs (2)'!$D$2:$AL$2,0)),"")</f>
        <v>5824</v>
      </c>
      <c r="AA20" s="269">
        <f>IFERROR(INDEX('Inputs (2)'!$D$54:$AL$54,MATCH(AA$7&amp;"",'Inputs (2)'!$D$2:$AL$2,0)),"")</f>
        <v>6704</v>
      </c>
      <c r="AB20" s="270">
        <f>IF(COUNT(X20:AA20)=4,SUM(X20:AA20),"")</f>
        <v>23611</v>
      </c>
      <c r="AC20" s="269">
        <f>IFERROR(INDEX('Inputs (2)'!$D$54:$AL$54,MATCH(AC$7&amp;"",'Inputs (2)'!$D$2:$AL$2,0)),"")</f>
        <v>6596</v>
      </c>
      <c r="AD20" s="269">
        <f>IFERROR(INDEX('Inputs (2)'!$D$54:$AL$54,MATCH(AD$7&amp;"",'Inputs (2)'!$D$2:$AL$2,0)),"")</f>
        <v>6786</v>
      </c>
      <c r="AE20" s="269">
        <f>IFERROR(INDEX('Inputs (2)'!$D$54:$AL$54,MATCH(AE$7&amp;"",'Inputs (2)'!$D$2:$AL$2,0)),"")</f>
        <v>6943</v>
      </c>
      <c r="AF20" s="269">
        <f>IFERROR(INDEX('Inputs (2)'!$D$54:$AL$54,MATCH(AF$7&amp;"",'Inputs (2)'!$D$2:$AL$2,0)),"")</f>
        <v>6796</v>
      </c>
      <c r="AG20" s="270">
        <f>IF(COUNT(AC20:AF20)=4,SUM(AC20:AF20),"")</f>
        <v>27121</v>
      </c>
      <c r="AH20" s="270">
        <f>IFERROR(INDEX('Inputs (2)'!$D$54:$AL$54,MATCH(AH$7&amp;"",'Inputs (2)'!$D$2:$AL$2,0)),"")</f>
        <v>7178</v>
      </c>
      <c r="AI20" s="270">
        <f>IFERROR(INDEX('Inputs (2)'!$D$54:$AL$54,MATCH(AI$7&amp;"",'Inputs (2)'!$D$2:$AL$2,0)),"")</f>
        <v>8752</v>
      </c>
    </row>
    <row r="21">
      <c r="C21" s="271" t="inlineStr">
        <is>
          <t>Receita (soma)</t>
        </is>
      </c>
      <c r="D21" s="269" t="str">
        <f>IF(COUNT(D19,D20)=0,"",N(D19)+N(D20))</f>
        <v/>
      </c>
      <c r="E21" s="269" t="str">
        <f>IF(COUNT(E19,E20)=0,"",N(E19)+N(E20))</f>
        <v/>
      </c>
      <c r="F21" s="269" t="str">
        <f>IF(COUNT(F19,F20)=0,"",N(F19)+N(F20))</f>
        <v/>
      </c>
      <c r="G21" s="269" t="str">
        <f>IF(COUNT(G19,G20)=0,"",N(G19)+N(G20))</f>
        <v/>
      </c>
      <c r="H21" s="270" t="str">
        <f>IF(COUNT(H19,H20)=0,"",N(H19)+N(H20))</f>
        <v/>
      </c>
      <c r="I21" s="269">
        <f>IF(COUNT(I19,I20)=0,"",N(I19)+N(I20))</f>
        <v>6610</v>
      </c>
      <c r="J21" s="269">
        <f>IF(COUNT(J19,J20)=0,"",N(J19)+N(J20))</f>
        <v>6778</v>
      </c>
      <c r="K21" s="269">
        <f>IF(COUNT(K19,K20)=0,"",N(K19)+N(K20))</f>
        <v>7407</v>
      </c>
      <c r="L21" s="269">
        <f>IF(COUNT(L19,L20)=0,"",N(L19)+N(L20))</f>
        <v>7706</v>
      </c>
      <c r="M21" s="270">
        <f>IF(COUNT(M19,M20)=0,"",N(M19)+N(M20))</f>
        <v>28501</v>
      </c>
      <c r="N21" s="269">
        <f>IF(COUNT(N19,N20)=0,"",N(N19)+N(N20))</f>
        <v>8103</v>
      </c>
      <c r="O21" s="269">
        <f>IF(COUNT(O19,O20)=0,"",N(O19)+N(O20))</f>
        <v>8464</v>
      </c>
      <c r="P21" s="269">
        <f>IF(COUNT(P19,P20)=0,"",N(P19)+N(P20))</f>
        <v>8930</v>
      </c>
      <c r="Q21" s="269">
        <f>IF(COUNT(Q19,Q20)=0,"",N(Q19)+N(Q20))</f>
        <v>8915</v>
      </c>
      <c r="R21" s="270">
        <f>IF(COUNT(R19,R20)=0,"",N(R19)+N(R20))</f>
        <v>34412</v>
      </c>
      <c r="S21" s="269">
        <f>IF(COUNT(S19,S20)=0,"",N(S19)+N(S20))</f>
        <v>8733</v>
      </c>
      <c r="T21" s="269">
        <f>IF(COUNT(T19,T20)=0,"",N(T19)+N(T20))</f>
        <v>8876</v>
      </c>
      <c r="U21" s="269">
        <f>IF(COUNT(U19,U20)=0,"",N(U19)+N(U20))</f>
        <v>9295</v>
      </c>
      <c r="V21" s="269">
        <f>IF(COUNT(V19,V20)=0,"",N(V19)+N(V20))</f>
        <v>11961</v>
      </c>
      <c r="W21" s="270">
        <f>IF(COUNT(W19,W20)=0,"",N(W19)+N(W20))</f>
        <v>38865</v>
      </c>
      <c r="X21" s="269">
        <f>IF(COUNT(X19,X20)=0,"",N(X19)+N(X20))</f>
        <v>12487</v>
      </c>
      <c r="Y21" s="269">
        <f>IF(COUNT(Y19,Y20)=0,"",N(Y19)+N(Y20))</f>
        <v>13072</v>
      </c>
      <c r="Z21" s="269">
        <f>IF(COUNT(Z19,Z20)=0,"",N(Z19)+N(Z20))</f>
        <v>14054</v>
      </c>
      <c r="AA21" s="269">
        <f>IF(COUNT(AA19,AA20)=0,"",N(AA19)+N(AA20))</f>
        <v>14916</v>
      </c>
      <c r="AB21" s="270">
        <f>IF(COUNT(AB19,AB20)=0,"",N(AB19)+N(AB20))</f>
        <v>54529</v>
      </c>
      <c r="AC21" s="269">
        <f>IF(COUNT(AC19,AC20)=0,"",N(AC19)+N(AC20))</f>
        <v>15004</v>
      </c>
      <c r="AD21" s="269">
        <f>IF(COUNT(AD19,AD20)=0,"",N(AD19)+N(AD20))</f>
        <v>15952</v>
      </c>
      <c r="AE21" s="269">
        <f>IF(COUNT(AE19,AE20)=0,"",N(AE19)+N(AE20))</f>
        <v>18015</v>
      </c>
      <c r="AF21" s="269">
        <f>IF(COUNT(AF19,AF20)=0,"",N(AF19)+N(AF20))</f>
        <v>19311</v>
      </c>
      <c r="AG21" s="270">
        <f>IF(COUNT(AG19,AG20)=0,"",N(AG19)+N(AG20))</f>
        <v>68282</v>
      </c>
      <c r="AH21" s="270">
        <f>IF(COUNT(AH19,AH20)=0,"",N(AH19)+N(AH20))</f>
        <v>22187</v>
      </c>
      <c r="AI21" s="270">
        <f>IF(COUNT(AI19,AI20)=0,"",N(AI19)+N(AI20))</f>
        <v>29591</v>
      </c>
    </row>
    <row r="22">
      <c r="C22" s="268" t="inlineStr">
        <is>
          <t>Check vs Net Revenues (linha 15)</t>
        </is>
      </c>
      <c r="D22" s="269" t="str">
        <f>IF(COUNT(D21)=0,"",ROUND(D15-D21,1))</f>
        <v/>
      </c>
      <c r="E22" s="269" t="str">
        <f>IF(COUNT(E21)=0,"",ROUND(E15-E21,1))</f>
        <v/>
      </c>
      <c r="F22" s="269" t="str">
        <f>IF(COUNT(F21)=0,"",ROUND(F15-F21,1))</f>
        <v/>
      </c>
      <c r="G22" s="269" t="str">
        <f>IF(COUNT(G21)=0,"",ROUND(G15-G21,1))</f>
        <v/>
      </c>
      <c r="H22" s="270" t="str">
        <f>IF(COUNT(H21)=0,"",ROUND(H15-H21,1))</f>
        <v/>
      </c>
      <c r="I22" s="269">
        <f>IF(COUNT(I21)=0,"",ROUND(I15-I21,1))</f>
        <v>0</v>
      </c>
      <c r="J22" s="269">
        <f>IF(COUNT(J21)=0,"",ROUND(J15-J21,1))</f>
        <v>0</v>
      </c>
      <c r="K22" s="269">
        <f>IF(COUNT(K21)=0,"",ROUND(K15-K21,1))</f>
        <v>0</v>
      </c>
      <c r="L22" s="269">
        <f>IF(COUNT(L21)=0,"",ROUND(L15-L21,1))</f>
        <v>0</v>
      </c>
      <c r="M22" s="270">
        <f>IF(COUNT(M21)=0,"",ROUND(M15-M21,1))</f>
        <v>0</v>
      </c>
      <c r="N22" s="269">
        <f>IF(COUNT(N21)=0,"",ROUND(N15-N21,1))</f>
        <v>0</v>
      </c>
      <c r="O22" s="269">
        <f>IF(COUNT(O21)=0,"",ROUND(O15-O21,1))</f>
        <v>0</v>
      </c>
      <c r="P22" s="269">
        <f>IF(COUNT(P21)=0,"",ROUND(P15-P21,1))</f>
        <v>0</v>
      </c>
      <c r="Q22" s="269">
        <f>IF(COUNT(Q21)=0,"",ROUND(Q15-Q21,1))</f>
        <v>0</v>
      </c>
      <c r="R22" s="270">
        <f>IF(COUNT(R21)=0,"",ROUND(R15-R21,1))</f>
        <v>0</v>
      </c>
      <c r="S22" s="269">
        <f>IF(COUNT(S21)=0,"",ROUND(S15-S21,1))</f>
        <v>0</v>
      </c>
      <c r="T22" s="269">
        <f>IF(COUNT(T21)=0,"",ROUND(T15-T21,1))</f>
        <v>0</v>
      </c>
      <c r="U22" s="269">
        <f>IF(COUNT(U21)=0,"",ROUND(U15-U21,1))</f>
        <v>0</v>
      </c>
      <c r="V22" s="269">
        <f>IF(COUNT(V21)=0,"",ROUND(V15-V21,1))</f>
        <v>0</v>
      </c>
      <c r="W22" s="270">
        <f>IF(COUNT(W21)=0,"",ROUND(W15-W21,1))</f>
        <v>0</v>
      </c>
      <c r="X22" s="269">
        <f>IF(COUNT(X21)=0,"",ROUND(X15-X21,1))</f>
        <v>0</v>
      </c>
      <c r="Y22" s="269">
        <f>IF(COUNT(Y21)=0,"",ROUND(Y15-Y21,1))</f>
        <v>0</v>
      </c>
      <c r="Z22" s="269">
        <f>IF(COUNT(Z21)=0,"",ROUND(Z15-Z21,1))</f>
        <v>0</v>
      </c>
      <c r="AA22" s="269">
        <f>IF(COUNT(AA21)=0,"",ROUND(AA15-AA21,1))</f>
        <v>0</v>
      </c>
      <c r="AB22" s="270">
        <f>IF(COUNT(AB21)=0,"",ROUND(AB15-AB21,1))</f>
        <v>0</v>
      </c>
      <c r="AC22" s="269">
        <f>IF(COUNT(AC21)=0,"",ROUND(AC15-AC21,1))</f>
        <v>0</v>
      </c>
      <c r="AD22" s="269">
        <f>IF(COUNT(AD21)=0,"",ROUND(AD15-AD21,1))</f>
        <v>0</v>
      </c>
      <c r="AE22" s="269">
        <f>IF(COUNT(AE21)=0,"",ROUND(AE15-AE21,1))</f>
        <v>0</v>
      </c>
      <c r="AF22" s="269">
        <f>IF(COUNT(AF21)=0,"",ROUND(AF15-AF21,1))</f>
        <v>0</v>
      </c>
      <c r="AG22" s="270">
        <f>IF(COUNT(AG21)=0,"",ROUND(AG15-AG21,1))</f>
        <v>0</v>
      </c>
      <c r="AH22" s="270">
        <f>IF(COUNT(AH21)=0,"",ROUND(AH15-AH21,1))</f>
        <v>0</v>
      </c>
      <c r="AI22" s="270">
        <f>IF(COUNT(AI21)=0,"",ROUND(AI15-AI21,1))</f>
        <v>0</v>
      </c>
    </row>
    <row r="23">
      <c r="C23" s="268" t="inlineStr">
        <is>
          <t xml:space="preserve">   % YoY semicondutores</t>
        </is>
      </c>
      <c r="D23" s="272" t="str">
        <f>""</f>
        <v/>
      </c>
      <c r="E23" s="272" t="str">
        <f>""</f>
        <v/>
      </c>
      <c r="F23" s="272" t="str">
        <f>""</f>
        <v/>
      </c>
      <c r="G23" s="272" t="str">
        <f>""</f>
        <v/>
      </c>
      <c r="H23" s="273" t="str">
        <f>""</f>
        <v/>
      </c>
      <c r="I23" s="272" t="str">
        <f>IFERROR(I19/D19-1,"")</f>
        <v/>
      </c>
      <c r="J23" s="272" t="str">
        <f>IFERROR(J19/E19-1,"")</f>
        <v/>
      </c>
      <c r="K23" s="272" t="str">
        <f>IFERROR(K19/F19-1,"")</f>
        <v/>
      </c>
      <c r="L23" s="272" t="str">
        <f>IFERROR(L19/G19-1,"")</f>
        <v/>
      </c>
      <c r="M23" s="273" t="str">
        <f>IFERROR(M19/H19-1,"")</f>
        <v/>
      </c>
      <c r="N23" s="272">
        <f>IFERROR(N19/I19-1,"")</f>
        <v>0.292323651452282</v>
      </c>
      <c r="O23" s="272">
        <f>IFERROR(O19/J19-1,"")</f>
        <v>0.319259111730731</v>
      </c>
      <c r="P23" s="272">
        <f>IFERROR(P19/K19-1,"")</f>
        <v>0.258785942492013</v>
      </c>
      <c r="Q23" s="272">
        <f>IFERROR(Q19/L19-1,"")</f>
        <v>0.210114081389409</v>
      </c>
      <c r="R23" s="273">
        <f>IFERROR(R19/M19-1,"")</f>
        <v>0.267191305977141</v>
      </c>
      <c r="S23" s="272">
        <f>IFERROR(S19/N19-1,"")</f>
        <v>0.0929523197945095</v>
      </c>
      <c r="T23" s="272">
        <f>IFERROR(T19/O19-1,"")</f>
        <v>0.0478562801932367</v>
      </c>
      <c r="U23" s="272">
        <f>IFERROR(U19/P19-1,"")</f>
        <v>0.032994923857868</v>
      </c>
      <c r="V23" s="272">
        <f>IFERROR(V19/Q19-1,"")</f>
        <v>0.0398198958773042</v>
      </c>
      <c r="W23" s="273">
        <f>IFERROR(W19/R19-1,"")</f>
        <v>0.0522327369510571</v>
      </c>
      <c r="X23" s="272">
        <f>IFERROR(X19/S19-1,"")</f>
        <v>0.0578730904817861</v>
      </c>
      <c r="Y23" s="272">
        <f>IFERROR(Y19/T19-1,"")</f>
        <v>0.0479757959948135</v>
      </c>
      <c r="Z23" s="272">
        <f>IFERROR(Z19/U19-1,"")</f>
        <v>0.123396123396123</v>
      </c>
      <c r="AA23" s="272">
        <f>IFERROR(AA19/V19-1,"")</f>
        <v>0.111231393775372</v>
      </c>
      <c r="AB23" s="273">
        <f>IFERROR(AB19/W19-1,"")</f>
        <v>0.086176005620938</v>
      </c>
      <c r="AC23" s="272">
        <f>IFERROR(AC19/X19-1,"")</f>
        <v>0.167453485143016</v>
      </c>
      <c r="AD23" s="272">
        <f>IFERROR(AD19/Y19-1,"")</f>
        <v>0.2601044817157</v>
      </c>
      <c r="AE23" s="272">
        <f>IFERROR(AE19/Z19-1,"")</f>
        <v>0.345321992709599</v>
      </c>
      <c r="AF23" s="272">
        <f>IFERROR(AF19/AA19-1,"")</f>
        <v>0.523989283974671</v>
      </c>
      <c r="AG23" s="273">
        <f>IFERROR(AG19/AB19-1,"")</f>
        <v>0.331295685361278</v>
      </c>
      <c r="AH23" s="273">
        <f>IFERROR(AH19/AC19-1,"")</f>
        <v>0.785085632730733</v>
      </c>
      <c r="AI23" s="273">
        <f>IFERROR(AI19/AD19-1,"")</f>
        <v>1.27351080078551</v>
      </c>
    </row>
    <row r="24">
      <c r="C24" s="268" t="inlineStr">
        <is>
          <t xml:space="preserve">   % YoY software</t>
        </is>
      </c>
      <c r="D24" s="272" t="str">
        <f>""</f>
        <v/>
      </c>
      <c r="E24" s="272" t="str">
        <f>""</f>
        <v/>
      </c>
      <c r="F24" s="272" t="str">
        <f>""</f>
        <v/>
      </c>
      <c r="G24" s="272" t="str">
        <f>""</f>
        <v/>
      </c>
      <c r="H24" s="273" t="str">
        <f>""</f>
        <v/>
      </c>
      <c r="I24" s="272" t="str">
        <f>IFERROR(I20/D20-1,"")</f>
        <v/>
      </c>
      <c r="J24" s="272" t="str">
        <f>IFERROR(J20/E20-1,"")</f>
        <v/>
      </c>
      <c r="K24" s="272" t="str">
        <f>IFERROR(K20/F20-1,"")</f>
        <v/>
      </c>
      <c r="L24" s="272" t="str">
        <f>IFERROR(L20/G20-1,"")</f>
        <v/>
      </c>
      <c r="M24" s="273" t="str">
        <f>IFERROR(M20/H20-1,"")</f>
        <v/>
      </c>
      <c r="N24" s="272">
        <f>IFERROR(N20/I20-1,"")</f>
        <v>0.046927374301676</v>
      </c>
      <c r="O24" s="272">
        <f>IFERROR(O20/J20-1,"")</f>
        <v>0.0472396129766648</v>
      </c>
      <c r="P24" s="272">
        <f>IFERROR(P20/K20-1,"")</f>
        <v>0.0366610265087421</v>
      </c>
      <c r="Q24" s="272">
        <f>IFERROR(Q20/L20-1,"")</f>
        <v>-0.0136388434260775</v>
      </c>
      <c r="R24" s="273">
        <f>IFERROR(R20/M20-1,"")</f>
        <v>0.0289389067524115</v>
      </c>
      <c r="S24" s="272">
        <f>IFERROR(S20/N20-1,"")</f>
        <v>0.0272145144076841</v>
      </c>
      <c r="T24" s="272">
        <f>IFERROR(T20/O20-1,"")</f>
        <v>0.0516304347826087</v>
      </c>
      <c r="U24" s="272">
        <f>IFERROR(U20/P20-1,"")</f>
        <v>0.0712731229597388</v>
      </c>
      <c r="V24" s="272">
        <f>IFERROR(V20/Q20-1,"")</f>
        <v>1.52820796460177</v>
      </c>
      <c r="W24" s="273">
        <f>IFERROR(W20/R20-1,"")</f>
        <v>0.41304347826087</v>
      </c>
      <c r="X24" s="272">
        <f>IFERROR(X20/S20-1,"")</f>
        <v>1.74545454545455</v>
      </c>
      <c r="Y24" s="272">
        <f>IFERROR(Y20/T20-1,"")</f>
        <v>1.99638242894057</v>
      </c>
      <c r="Z24" s="272">
        <f>IFERROR(Z20/U20-1,"")</f>
        <v>1.95784662265109</v>
      </c>
      <c r="AA24" s="272">
        <f>IFERROR(AA20/V20-1,"")</f>
        <v>0.466637497265369</v>
      </c>
      <c r="AB24" s="273">
        <f>IFERROR(AB20/W20-1,"")</f>
        <v>1.27028846153846</v>
      </c>
      <c r="AC24" s="272">
        <f>IFERROR(AC20/X20-1,"")</f>
        <v>0.2480605487228</v>
      </c>
      <c r="AD24" s="272">
        <f>IFERROR(AD20/Y20-1,"")</f>
        <v>0.170403587443946</v>
      </c>
      <c r="AE24" s="272">
        <f>IFERROR(AE20/Z20-1,"")</f>
        <v>0.192135989010989</v>
      </c>
      <c r="AF24" s="272">
        <f>IFERROR(AF20/AA20-1,"")</f>
        <v>0.0137231503579953</v>
      </c>
      <c r="AG24" s="273">
        <f>IFERROR(AG20/AB20-1,"")</f>
        <v>0.148659523103638</v>
      </c>
      <c r="AH24" s="273">
        <f>IFERROR(AH20/AC20-1,"")</f>
        <v>0.088235294117647</v>
      </c>
      <c r="AI24" s="273">
        <f>IFERROR(AI20/AD20-1,"")</f>
        <v>0.289714117300324</v>
      </c>
    </row>
    <row r="25">
      <c r="C25" s="268" t="inlineStr">
        <is>
          <t xml:space="preserve">   Lucro operacional semicondutores</t>
        </is>
      </c>
      <c r="D25" s="269" t="str">
        <f>IFERROR(INDEX('Inputs (2)'!$D$55:$AL$55,MATCH(D$7&amp;"",'Inputs (2)'!$D$2:$AL$2,0)),"")</f>
        <v/>
      </c>
      <c r="E25" s="269" t="str">
        <f>IFERROR(INDEX('Inputs (2)'!$D$55:$AL$55,MATCH(E$7&amp;"",'Inputs (2)'!$D$2:$AL$2,0)),"")</f>
        <v/>
      </c>
      <c r="F25" s="269" t="str">
        <f>IFERROR(INDEX('Inputs (2)'!$D$55:$AL$55,MATCH(F$7&amp;"",'Inputs (2)'!$D$2:$AL$2,0)),"")</f>
        <v/>
      </c>
      <c r="G25" s="269" t="str">
        <f>IFERROR(INDEX('Inputs (2)'!$D$55:$AL$55,MATCH(G$7&amp;"",'Inputs (2)'!$D$2:$AL$2,0)),"")</f>
        <v/>
      </c>
      <c r="H25" s="270" t="str">
        <f>IF(COUNT(D25:G25)=4,SUM(D25:G25),"")</f>
        <v/>
      </c>
      <c r="I25" s="269">
        <f>IFERROR(INDEX('Inputs (2)'!$D$55:$AL$55,MATCH(I$7&amp;"",'Inputs (2)'!$D$2:$AL$2,0)),"")</f>
        <v>2547</v>
      </c>
      <c r="J25" s="269">
        <f>IFERROR(INDEX('Inputs (2)'!$D$55:$AL$55,MATCH(J$7&amp;"",'Inputs (2)'!$D$2:$AL$2,0)),"")</f>
        <v>2720</v>
      </c>
      <c r="K25" s="269">
        <f>IFERROR(INDEX('Inputs (2)'!$D$55:$AL$55,MATCH(K$7&amp;"",'Inputs (2)'!$D$2:$AL$2,0)),"")</f>
        <v>3148</v>
      </c>
      <c r="L25" s="269">
        <f>IFERROR(INDEX('Inputs (2)'!$D$55:$AL$55,MATCH(L$7&amp;"",'Inputs (2)'!$D$2:$AL$2,0)),"")</f>
        <v>3349</v>
      </c>
      <c r="M25" s="270">
        <f>IF(COUNT(I25:L25)=4,SUM(I25:L25),"")</f>
        <v>11764</v>
      </c>
      <c r="N25" s="269">
        <f>IFERROR(INDEX('Inputs (2)'!$D$55:$AL$55,MATCH(N$7&amp;"",'Inputs (2)'!$D$2:$AL$2,0)),"")</f>
        <v>3626</v>
      </c>
      <c r="O25" s="269">
        <f>IFERROR(INDEX('Inputs (2)'!$D$55:$AL$55,MATCH(O$7&amp;"",'Inputs (2)'!$D$2:$AL$2,0)),"")</f>
        <v>3916</v>
      </c>
      <c r="P25" s="269">
        <f>IFERROR(INDEX('Inputs (2)'!$D$55:$AL$55,MATCH(P$7&amp;"",'Inputs (2)'!$D$2:$AL$2,0)),"")</f>
        <v>4184</v>
      </c>
      <c r="Q25" s="269">
        <f>IFERROR(INDEX('Inputs (2)'!$D$55:$AL$55,MATCH(Q$7&amp;"",'Inputs (2)'!$D$2:$AL$2,0)),"")</f>
        <v>4123</v>
      </c>
      <c r="R25" s="270">
        <f>IF(COUNT(N25:Q25)=4,SUM(N25:Q25),"")</f>
        <v>15849</v>
      </c>
      <c r="S25" s="269">
        <f>IFERROR(INDEX('Inputs (2)'!$D$55:$AL$55,MATCH(S$7&amp;"",'Inputs (2)'!$D$2:$AL$2,0)),"")</f>
        <v>4000</v>
      </c>
      <c r="T25" s="269">
        <f>IFERROR(INDEX('Inputs (2)'!$D$55:$AL$55,MATCH(T$7&amp;"",'Inputs (2)'!$D$2:$AL$2,0)),"")</f>
        <v>4092</v>
      </c>
      <c r="U25" s="269">
        <f>IFERROR(INDEX('Inputs (2)'!$D$55:$AL$55,MATCH(U$7&amp;"",'Inputs (2)'!$D$2:$AL$2,0)),"")</f>
        <v>4271</v>
      </c>
      <c r="V25" s="269">
        <f>IFERROR(INDEX('Inputs (2)'!$D$55:$AL$55,MATCH(V$7&amp;"",'Inputs (2)'!$D$2:$AL$2,0)),"")</f>
        <v>4116</v>
      </c>
      <c r="W25" s="270">
        <f>IF(COUNT(S25:V25)=4,SUM(S25:V25),"")</f>
        <v>16479</v>
      </c>
      <c r="X25" s="269">
        <f>IFERROR(INDEX('Inputs (2)'!$D$55:$AL$55,MATCH(X$7&amp;"",'Inputs (2)'!$D$2:$AL$2,0)),"")</f>
        <v>3978</v>
      </c>
      <c r="Y25" s="269">
        <f>IFERROR(INDEX('Inputs (2)'!$D$55:$AL$55,MATCH(Y$7&amp;"",'Inputs (2)'!$D$2:$AL$2,0)),"")</f>
        <v>4042</v>
      </c>
      <c r="Z25" s="269">
        <f>IFERROR(INDEX('Inputs (2)'!$D$55:$AL$55,MATCH(Z$7&amp;"",'Inputs (2)'!$D$2:$AL$2,0)),"")</f>
        <v>4623</v>
      </c>
      <c r="AA25" s="269">
        <f>IFERROR(INDEX('Inputs (2)'!$D$55:$AL$55,MATCH(AA$7&amp;"",'Inputs (2)'!$D$2:$AL$2,0)),"")</f>
        <v>4706</v>
      </c>
      <c r="AB25" s="270">
        <f>IF(COUNT(X25:AA25)=4,SUM(X25:AA25),"")</f>
        <v>17349</v>
      </c>
      <c r="AC25" s="269">
        <f>IFERROR(INDEX('Inputs (2)'!$D$55:$AL$55,MATCH(AC$7&amp;"",'Inputs (2)'!$D$2:$AL$2,0)),"")</f>
        <v>4806</v>
      </c>
      <c r="AD25" s="269">
        <f>IFERROR(INDEX('Inputs (2)'!$D$55:$AL$55,MATCH(AD$7&amp;"",'Inputs (2)'!$D$2:$AL$2,0)),"")</f>
        <v>5217</v>
      </c>
      <c r="AE25" s="269">
        <f>IFERROR(INDEX('Inputs (2)'!$D$55:$AL$55,MATCH(AE$7&amp;"",'Inputs (2)'!$D$2:$AL$2,0)),"")</f>
        <v>6503</v>
      </c>
      <c r="AF25" s="269">
        <f>IFERROR(INDEX('Inputs (2)'!$D$55:$AL$55,MATCH(AF$7&amp;"",'Inputs (2)'!$D$2:$AL$2,0)),"")</f>
        <v>7503</v>
      </c>
      <c r="AG25" s="270">
        <f>IF(COUNT(AC25:AF25)=4,SUM(AC25:AF25),"")</f>
        <v>24029</v>
      </c>
      <c r="AH25" s="270">
        <f>IFERROR(INDEX('Inputs (2)'!$D$55:$AL$55,MATCH(AH$7&amp;"",'Inputs (2)'!$D$2:$AL$2,0)),"")</f>
        <v>9281</v>
      </c>
      <c r="AI25" s="270">
        <f>IFERROR(INDEX('Inputs (2)'!$D$55:$AL$55,MATCH(AI$7&amp;"",'Inputs (2)'!$D$2:$AL$2,0)),"")</f>
        <v>12770</v>
      </c>
    </row>
    <row r="26">
      <c r="C26" s="268" t="inlineStr">
        <is>
          <t xml:space="preserve">   Lucro operacional software</t>
        </is>
      </c>
      <c r="D26" s="269" t="str">
        <f>IFERROR(INDEX('Inputs (2)'!$D$56:$AL$56,MATCH(D$7&amp;"",'Inputs (2)'!$D$2:$AL$2,0)),"")</f>
        <v/>
      </c>
      <c r="E26" s="269" t="str">
        <f>IFERROR(INDEX('Inputs (2)'!$D$56:$AL$56,MATCH(E$7&amp;"",'Inputs (2)'!$D$2:$AL$2,0)),"")</f>
        <v/>
      </c>
      <c r="F26" s="269" t="str">
        <f>IFERROR(INDEX('Inputs (2)'!$D$56:$AL$56,MATCH(F$7&amp;"",'Inputs (2)'!$D$2:$AL$2,0)),"")</f>
        <v/>
      </c>
      <c r="G26" s="269" t="str">
        <f>IFERROR(INDEX('Inputs (2)'!$D$56:$AL$56,MATCH(G$7&amp;"",'Inputs (2)'!$D$2:$AL$2,0)),"")</f>
        <v/>
      </c>
      <c r="H26" s="270" t="str">
        <f>IF(COUNT(D26:G26)=4,SUM(D26:G26),"")</f>
        <v/>
      </c>
      <c r="I26" s="269">
        <f>IFERROR(INDEX('Inputs (2)'!$D$56:$AL$56,MATCH(I$7&amp;"",'Inputs (2)'!$D$2:$AL$2,0)),"")</f>
        <v>1255</v>
      </c>
      <c r="J26" s="269">
        <f>IFERROR(INDEX('Inputs (2)'!$D$56:$AL$56,MATCH(J$7&amp;"",'Inputs (2)'!$D$2:$AL$2,0)),"")</f>
        <v>1226</v>
      </c>
      <c r="K26" s="269">
        <f>IFERROR(INDEX('Inputs (2)'!$D$56:$AL$56,MATCH(K$7&amp;"",'Inputs (2)'!$D$2:$AL$2,0)),"")</f>
        <v>1236</v>
      </c>
      <c r="L26" s="269">
        <f>IFERROR(INDEX('Inputs (2)'!$D$56:$AL$56,MATCH(L$7&amp;"",'Inputs (2)'!$D$2:$AL$2,0)),"")</f>
        <v>1307</v>
      </c>
      <c r="M26" s="270">
        <f>IF(COUNT(I26:L26)=4,SUM(I26:L26),"")</f>
        <v>5024</v>
      </c>
      <c r="N26" s="269">
        <f>IFERROR(INDEX('Inputs (2)'!$D$56:$AL$56,MATCH(N$7&amp;"",'Inputs (2)'!$D$2:$AL$2,0)),"")</f>
        <v>1313</v>
      </c>
      <c r="O26" s="269">
        <f>IFERROR(INDEX('Inputs (2)'!$D$56:$AL$56,MATCH(O$7&amp;"",'Inputs (2)'!$D$2:$AL$2,0)),"")</f>
        <v>1283</v>
      </c>
      <c r="P26" s="269">
        <f>IFERROR(INDEX('Inputs (2)'!$D$56:$AL$56,MATCH(P$7&amp;"",'Inputs (2)'!$D$2:$AL$2,0)),"")</f>
        <v>1316</v>
      </c>
      <c r="Q26" s="269">
        <f>IFERROR(INDEX('Inputs (2)'!$D$56:$AL$56,MATCH(Q$7&amp;"",'Inputs (2)'!$D$2:$AL$2,0)),"")</f>
        <v>1307</v>
      </c>
      <c r="R26" s="270">
        <f>IF(COUNT(N26:Q26)=4,SUM(N26:Q26),"")</f>
        <v>5219</v>
      </c>
      <c r="S26" s="269">
        <f>IFERROR(INDEX('Inputs (2)'!$D$56:$AL$56,MATCH(S$7&amp;"",'Inputs (2)'!$D$2:$AL$2,0)),"")</f>
        <v>1412</v>
      </c>
      <c r="T26" s="269">
        <f>IFERROR(INDEX('Inputs (2)'!$D$56:$AL$56,MATCH(T$7&amp;"",'Inputs (2)'!$D$2:$AL$2,0)),"")</f>
        <v>1444</v>
      </c>
      <c r="U26" s="269">
        <f>IFERROR(INDEX('Inputs (2)'!$D$56:$AL$56,MATCH(U$7&amp;"",'Inputs (2)'!$D$2:$AL$2,0)),"")</f>
        <v>1476</v>
      </c>
      <c r="V26" s="269">
        <f>IFERROR(INDEX('Inputs (2)'!$D$56:$AL$56,MATCH(V$7&amp;"",'Inputs (2)'!$D$2:$AL$2,0)),"")</f>
        <v>2715</v>
      </c>
      <c r="W26" s="270">
        <f>IF(COUNT(S26:V26)=4,SUM(S26:V26),"")</f>
        <v>7047</v>
      </c>
      <c r="X26" s="269">
        <f>IFERROR(INDEX('Inputs (2)'!$D$56:$AL$56,MATCH(X$7&amp;"",'Inputs (2)'!$D$2:$AL$2,0)),"")</f>
        <v>3168</v>
      </c>
      <c r="Y26" s="269">
        <f>IFERROR(INDEX('Inputs (2)'!$D$56:$AL$56,MATCH(Y$7&amp;"",'Inputs (2)'!$D$2:$AL$2,0)),"")</f>
        <v>3906</v>
      </c>
      <c r="Z26" s="269">
        <f>IFERROR(INDEX('Inputs (2)'!$D$56:$AL$56,MATCH(Z$7&amp;"",'Inputs (2)'!$D$2:$AL$2,0)),"")</f>
        <v>4188</v>
      </c>
      <c r="AA26" s="269">
        <f>IFERROR(INDEX('Inputs (2)'!$D$56:$AL$56,MATCH(AA$7&amp;"",'Inputs (2)'!$D$2:$AL$2,0)),"")</f>
        <v>5122</v>
      </c>
      <c r="AB26" s="270">
        <f>IF(COUNT(X26:AA26)=4,SUM(X26:AA26),"")</f>
        <v>16384</v>
      </c>
      <c r="AC26" s="269">
        <f>IFERROR(INDEX('Inputs (2)'!$D$56:$AL$56,MATCH(AC$7&amp;"",'Inputs (2)'!$D$2:$AL$2,0)),"")</f>
        <v>4987</v>
      </c>
      <c r="AD26" s="269">
        <f>IFERROR(INDEX('Inputs (2)'!$D$56:$AL$56,MATCH(AD$7&amp;"",'Inputs (2)'!$D$2:$AL$2,0)),"")</f>
        <v>5238</v>
      </c>
      <c r="AE26" s="269">
        <f>IFERROR(INDEX('Inputs (2)'!$D$56:$AL$56,MATCH(AE$7&amp;"",'Inputs (2)'!$D$2:$AL$2,0)),"")</f>
        <v>5418</v>
      </c>
      <c r="AF26" s="269">
        <f>IFERROR(INDEX('Inputs (2)'!$D$56:$AL$56,MATCH(AF$7&amp;"",'Inputs (2)'!$D$2:$AL$2,0)),"")</f>
        <v>5323</v>
      </c>
      <c r="AG26" s="270">
        <f>IF(COUNT(AC26:AF26)=4,SUM(AC26:AF26),"")</f>
        <v>20966</v>
      </c>
      <c r="AH26" s="270">
        <f>IFERROR(INDEX('Inputs (2)'!$D$56:$AL$56,MATCH(AH$7&amp;"",'Inputs (2)'!$D$2:$AL$2,0)),"")</f>
        <v>5647</v>
      </c>
      <c r="AI26" s="270">
        <f>IFERROR(INDEX('Inputs (2)'!$D$56:$AL$56,MATCH(AI$7&amp;"",'Inputs (2)'!$D$2:$AL$2,0)),"")</f>
        <v>7325</v>
      </c>
    </row>
    <row r="27">
      <c r="C27" s="268" t="inlineStr">
        <is>
          <t xml:space="preserve">   Margem operacional semicondutores</t>
        </is>
      </c>
      <c r="D27" s="272" t="str">
        <f>IFERROR(D25/D19,"")</f>
        <v/>
      </c>
      <c r="E27" s="272" t="str">
        <f>IFERROR(E25/E19,"")</f>
        <v/>
      </c>
      <c r="F27" s="272" t="str">
        <f>IFERROR(F25/F19,"")</f>
        <v/>
      </c>
      <c r="G27" s="272" t="str">
        <f>IFERROR(G25/G19,"")</f>
        <v/>
      </c>
      <c r="H27" s="273" t="str">
        <f>IFERROR(H25/H19,"")</f>
        <v/>
      </c>
      <c r="I27" s="272">
        <f>IFERROR(I25/I19,"")</f>
        <v>0.528423236514523</v>
      </c>
      <c r="J27" s="272">
        <f>IFERROR(J25/J19,"")</f>
        <v>0.541724756024696</v>
      </c>
      <c r="K27" s="272">
        <f>IFERROR(K25/K19,"")</f>
        <v>0.558750443734469</v>
      </c>
      <c r="L27" s="272">
        <f>IFERROR(L25/L19,"")</f>
        <v>0.570236676315341</v>
      </c>
      <c r="M27" s="273">
        <f>IFERROR(M25/M19,"")</f>
        <v>0.551058647180064</v>
      </c>
      <c r="N27" s="272">
        <f>IFERROR(N25/N19,"")</f>
        <v>0.582115909455771</v>
      </c>
      <c r="O27" s="272">
        <f>IFERROR(O25/O19,"")</f>
        <v>0.591183574879227</v>
      </c>
      <c r="P27" s="272">
        <f>IFERROR(P25/P19,"")</f>
        <v>0.589960518894529</v>
      </c>
      <c r="Q27" s="272">
        <f>IFERROR(Q25/Q19,"")</f>
        <v>0.580132263965105</v>
      </c>
      <c r="R27" s="273">
        <f>IFERROR(R25/R19,"")</f>
        <v>0.585871654591158</v>
      </c>
      <c r="S27" s="272">
        <f>IFERROR(S25/S19,"")</f>
        <v>0.587544065804935</v>
      </c>
      <c r="T27" s="272">
        <f>IFERROR(T25/T19,"")</f>
        <v>0.589540412044374</v>
      </c>
      <c r="U27" s="272">
        <f>IFERROR(U25/U19,"")</f>
        <v>0.582992082992083</v>
      </c>
      <c r="V27" s="272">
        <f>IFERROR(V25/V19,"")</f>
        <v>0.556968876860623</v>
      </c>
      <c r="W27" s="273">
        <f>IFERROR(W25/W19,"")</f>
        <v>0.578921482522396</v>
      </c>
      <c r="X27" s="272">
        <f>IFERROR(X25/X19,"")</f>
        <v>0.552346570397112</v>
      </c>
      <c r="Y27" s="272">
        <f>IFERROR(Y25/Y19,"")</f>
        <v>0.555677756392631</v>
      </c>
      <c r="Z27" s="272">
        <f>IFERROR(Z25/Z19,"")</f>
        <v>0.561725394896719</v>
      </c>
      <c r="AA27" s="272">
        <f>IFERROR(AA25/AA19,"")</f>
        <v>0.573063809059912</v>
      </c>
      <c r="AB27" s="273">
        <f>IFERROR(AB25/AB19,"")</f>
        <v>0.561129439161653</v>
      </c>
      <c r="AC27" s="272">
        <f>IFERROR(AC25/AC19,"")</f>
        <v>0.571598477640343</v>
      </c>
      <c r="AD27" s="272">
        <f>IFERROR(AD25/AD19,"")</f>
        <v>0.569168666812132</v>
      </c>
      <c r="AE27" s="272">
        <f>IFERROR(AE25/AE19,"")</f>
        <v>0.587337427745665</v>
      </c>
      <c r="AF27" s="272">
        <f>IFERROR(AF25/AF19,"")</f>
        <v>0.599520575309628</v>
      </c>
      <c r="AG27" s="273">
        <f>IFERROR(AG25/AG19,"")</f>
        <v>0.583780763343942</v>
      </c>
      <c r="AH27" s="273">
        <f>IFERROR(AH25/AH19,"")</f>
        <v>0.618362315943767</v>
      </c>
      <c r="AI27" s="273">
        <f>IFERROR(AI25/AI19,"")</f>
        <v>0.612793320216901</v>
      </c>
    </row>
    <row r="28">
      <c r="C28" s="268" t="inlineStr">
        <is>
          <t xml:space="preserve">   Margem operacional software</t>
        </is>
      </c>
      <c r="D28" s="272" t="str">
        <f>IFERROR(D26/D20,"")</f>
        <v/>
      </c>
      <c r="E28" s="272" t="str">
        <f>IFERROR(E26/E20,"")</f>
        <v/>
      </c>
      <c r="F28" s="272" t="str">
        <f>IFERROR(F26/F20,"")</f>
        <v/>
      </c>
      <c r="G28" s="272" t="str">
        <f>IFERROR(G26/G20,"")</f>
        <v/>
      </c>
      <c r="H28" s="273" t="str">
        <f>IFERROR(H26/H20,"")</f>
        <v/>
      </c>
      <c r="I28" s="272">
        <f>IFERROR(I26/I20,"")</f>
        <v>0.701117318435754</v>
      </c>
      <c r="J28" s="272">
        <f>IFERROR(J26/J20,"")</f>
        <v>0.69778030734206</v>
      </c>
      <c r="K28" s="272">
        <f>IFERROR(K26/K20,"")</f>
        <v>0.697123519458545</v>
      </c>
      <c r="L28" s="272">
        <f>IFERROR(L26/L20,"")</f>
        <v>0.71303873431533</v>
      </c>
      <c r="M28" s="273">
        <f>IFERROR(M26/M20,"")</f>
        <v>0.702362645044037</v>
      </c>
      <c r="N28" s="272">
        <f>IFERROR(N26/N20,"")</f>
        <v>0.700640341515475</v>
      </c>
      <c r="O28" s="272">
        <f>IFERROR(O26/O20,"")</f>
        <v>0.697282608695652</v>
      </c>
      <c r="P28" s="272">
        <f>IFERROR(P26/P20,"")</f>
        <v>0.715995647442873</v>
      </c>
      <c r="Q28" s="272">
        <f>IFERROR(Q26/Q20,"")</f>
        <v>0.722898230088496</v>
      </c>
      <c r="R28" s="273">
        <f>IFERROR(R26/R20,"")</f>
        <v>0.709103260869565</v>
      </c>
      <c r="S28" s="272">
        <f>IFERROR(S26/S20,"")</f>
        <v>0.733506493506494</v>
      </c>
      <c r="T28" s="272">
        <f>IFERROR(T26/T20,"")</f>
        <v>0.74625322997416</v>
      </c>
      <c r="U28" s="272">
        <f>IFERROR(U26/U20,"")</f>
        <v>0.749619095987811</v>
      </c>
      <c r="V28" s="272">
        <f>IFERROR(V26/V20,"")</f>
        <v>0.593961933931306</v>
      </c>
      <c r="W28" s="273">
        <f>IFERROR(W26/W20,"")</f>
        <v>0.677596153846154</v>
      </c>
      <c r="X28" s="272">
        <f>IFERROR(X26/X20,"")</f>
        <v>0.599432355723746</v>
      </c>
      <c r="Y28" s="272">
        <f>IFERROR(Y26/Y20,"")</f>
        <v>0.673680579510176</v>
      </c>
      <c r="Z28" s="272">
        <f>IFERROR(Z26/Z20,"")</f>
        <v>0.719093406593407</v>
      </c>
      <c r="AA28" s="272">
        <f>IFERROR(AA26/AA20,"")</f>
        <v>0.764021479713604</v>
      </c>
      <c r="AB28" s="273">
        <f>IFERROR(AB26/AB20,"")</f>
        <v>0.693913853712253</v>
      </c>
      <c r="AC28" s="272">
        <f>IFERROR(AC26/AC20,"")</f>
        <v>0.756064281382656</v>
      </c>
      <c r="AD28" s="272">
        <f>IFERROR(AD26/AD20,"")</f>
        <v>0.771883289124668</v>
      </c>
      <c r="AE28" s="272">
        <f>IFERROR(AE26/AE20,"")</f>
        <v>0.780354313697249</v>
      </c>
      <c r="AF28" s="272">
        <f>IFERROR(AF26/AF20,"")</f>
        <v>0.783254855797528</v>
      </c>
      <c r="AG28" s="273">
        <f>IFERROR(AG26/AG20,"")</f>
        <v>0.773054090925851</v>
      </c>
      <c r="AH28" s="273">
        <f>IFERROR(AH26/AH20,"")</f>
        <v>0.786709389802173</v>
      </c>
      <c r="AI28" s="273">
        <f>IFERROR(AI26/AI20,"")</f>
        <v>0.83695155393053</v>
      </c>
    </row>
    <row r="29"/>
    <row r="30">
      <c r="C30" s="267" t="inlineStr">
        <is>
          <t>Tipo e região (USD milhões)</t>
        </is>
      </c>
      <c r="D30" s="267">
        <f>D7</f>
        <v>0</v>
      </c>
      <c r="E30" s="267">
        <f>E7</f>
        <v>0</v>
      </c>
      <c r="F30" s="267">
        <f>F7</f>
        <v>0</v>
      </c>
      <c r="G30" s="267">
        <f>G7</f>
        <v>0</v>
      </c>
      <c r="H30" s="267">
        <f>H7</f>
        <v>2020</v>
      </c>
      <c r="I30" s="267" t="str">
        <f>I7</f>
        <v>1Q21</v>
      </c>
      <c r="J30" s="267" t="str">
        <f>J7</f>
        <v>2Q21</v>
      </c>
      <c r="K30" s="267" t="str">
        <f>K7</f>
        <v>3Q21</v>
      </c>
      <c r="L30" s="267" t="str">
        <f>L7</f>
        <v>4Q21</v>
      </c>
      <c r="M30" s="267">
        <f>M7</f>
        <v>2021</v>
      </c>
      <c r="N30" s="267" t="str">
        <f>N7</f>
        <v>1Q22</v>
      </c>
      <c r="O30" s="267" t="str">
        <f>O7</f>
        <v>2Q22</v>
      </c>
      <c r="P30" s="267" t="str">
        <f>P7</f>
        <v>3Q22</v>
      </c>
      <c r="Q30" s="267" t="str">
        <f>Q7</f>
        <v>4Q22</v>
      </c>
      <c r="R30" s="267">
        <f>R7</f>
        <v>2022</v>
      </c>
      <c r="S30" s="267" t="str">
        <f>S7</f>
        <v>1Q23</v>
      </c>
      <c r="T30" s="267" t="str">
        <f>T7</f>
        <v>2Q23</v>
      </c>
      <c r="U30" s="267" t="str">
        <f>U7</f>
        <v>3Q23</v>
      </c>
      <c r="V30" s="267" t="str">
        <f>V7</f>
        <v>4Q23</v>
      </c>
      <c r="W30" s="267">
        <f>W7</f>
        <v>2023</v>
      </c>
      <c r="X30" s="267" t="str">
        <f>X7</f>
        <v>1Q24</v>
      </c>
      <c r="Y30" s="267" t="str">
        <f>Y7</f>
        <v>2Q24</v>
      </c>
      <c r="Z30" s="267" t="str">
        <f>Z7</f>
        <v>3Q24</v>
      </c>
      <c r="AA30" s="267" t="str">
        <f>AA7</f>
        <v>4Q24</v>
      </c>
      <c r="AB30" s="267">
        <f>AB7</f>
        <v>2024</v>
      </c>
      <c r="AC30" s="267" t="str">
        <f>AC7</f>
        <v>1Q25</v>
      </c>
      <c r="AD30" s="267" t="str">
        <f>AD7</f>
        <v>2Q25</v>
      </c>
      <c r="AE30" s="267" t="str">
        <f>AE7</f>
        <v>3Q25</v>
      </c>
      <c r="AF30" s="267" t="str">
        <f>AF7</f>
        <v>4Q25</v>
      </c>
      <c r="AG30" s="267">
        <f>AG7</f>
        <v>2025</v>
      </c>
      <c r="AH30" s="267" t="str">
        <f>AH7</f>
        <v>1Q26</v>
      </c>
      <c r="AI30" s="267" t="str">
        <f>AI7</f>
        <v>2Q26</v>
      </c>
    </row>
    <row r="31">
      <c r="C31" s="268" t="inlineStr">
        <is>
          <t xml:space="preserve">   Produtos</t>
        </is>
      </c>
      <c r="D31" s="269" t="str">
        <f>IFERROR(INDEX('Inputs (2)'!$D$57:$AL$57,MATCH(D$7&amp;"",'Inputs (2)'!$D$2:$AL$2,0)),"")</f>
        <v/>
      </c>
      <c r="E31" s="269" t="str">
        <f>IFERROR(INDEX('Inputs (2)'!$D$57:$AL$57,MATCH(E$7&amp;"",'Inputs (2)'!$D$2:$AL$2,0)),"")</f>
        <v/>
      </c>
      <c r="F31" s="269" t="str">
        <f>IFERROR(INDEX('Inputs (2)'!$D$57:$AL$57,MATCH(F$7&amp;"",'Inputs (2)'!$D$2:$AL$2,0)),"")</f>
        <v/>
      </c>
      <c r="G31" s="269" t="str">
        <f>IFERROR(INDEX('Inputs (2)'!$D$57:$AL$57,MATCH(G$7&amp;"",'Inputs (2)'!$D$2:$AL$2,0)),"")</f>
        <v/>
      </c>
      <c r="H31" s="270" t="str">
        <f>IF(COUNT(D31:G31)=4,SUM(D31:G31),"")</f>
        <v/>
      </c>
      <c r="I31" s="269">
        <f>IFERROR(INDEX('Inputs (2)'!$D$57:$AL$57,MATCH(I$7&amp;"",'Inputs (2)'!$D$2:$AL$2,0)),"")</f>
        <v>4983</v>
      </c>
      <c r="J31" s="269">
        <f>IFERROR(INDEX('Inputs (2)'!$D$57:$AL$57,MATCH(J$7&amp;"",'Inputs (2)'!$D$2:$AL$2,0)),"")</f>
        <v>5064</v>
      </c>
      <c r="K31" s="269">
        <f>IFERROR(INDEX('Inputs (2)'!$D$57:$AL$57,MATCH(K$7&amp;"",'Inputs (2)'!$D$2:$AL$2,0)),"")</f>
        <v>5758</v>
      </c>
      <c r="L31" s="269">
        <f>IFERROR(INDEX('Inputs (2)'!$D$57:$AL$57,MATCH(L$7&amp;"",'Inputs (2)'!$D$2:$AL$2,0)),"")</f>
        <v>6053</v>
      </c>
      <c r="M31" s="270">
        <f>IF(COUNT(I31:L31)=4,SUM(I31:L31),"")</f>
        <v>21858</v>
      </c>
      <c r="N31" s="269">
        <f>IFERROR(INDEX('Inputs (2)'!$D$57:$AL$57,MATCH(N$7&amp;"",'Inputs (2)'!$D$2:$AL$2,0)),"")</f>
        <v>6417</v>
      </c>
      <c r="O31" s="269">
        <f>IFERROR(INDEX('Inputs (2)'!$D$57:$AL$57,MATCH(O$7&amp;"",'Inputs (2)'!$D$2:$AL$2,0)),"")</f>
        <v>6627</v>
      </c>
      <c r="P31" s="269">
        <f>IFERROR(INDEX('Inputs (2)'!$D$57:$AL$57,MATCH(P$7&amp;"",'Inputs (2)'!$D$2:$AL$2,0)),"")</f>
        <v>7180</v>
      </c>
      <c r="Q31" s="269">
        <f>IFERROR(INDEX('Inputs (2)'!$D$57:$AL$57,MATCH(Q$7&amp;"",'Inputs (2)'!$D$2:$AL$2,0)),"")</f>
        <v>7082</v>
      </c>
      <c r="R31" s="270">
        <f>IF(COUNT(N31:Q31)=4,SUM(N31:Q31),"")</f>
        <v>27306</v>
      </c>
      <c r="S31" s="269">
        <f>IFERROR(INDEX('Inputs (2)'!$D$57:$AL$57,MATCH(S$7&amp;"",'Inputs (2)'!$D$2:$AL$2,0)),"")</f>
        <v>6741</v>
      </c>
      <c r="T31" s="269">
        <f>IFERROR(INDEX('Inputs (2)'!$D$57:$AL$57,MATCH(T$7&amp;"",'Inputs (2)'!$D$2:$AL$2,0)),"")</f>
        <v>6917</v>
      </c>
      <c r="U31" s="269">
        <f>IFERROR(INDEX('Inputs (2)'!$D$57:$AL$57,MATCH(U$7&amp;"",'Inputs (2)'!$D$2:$AL$2,0)),"")</f>
        <v>7151</v>
      </c>
      <c r="V31" s="269">
        <f>IFERROR(INDEX('Inputs (2)'!$D$57:$AL$57,MATCH(V$7&amp;"",'Inputs (2)'!$D$2:$AL$2,0)),"")</f>
        <v>7412</v>
      </c>
      <c r="W31" s="270">
        <f>IF(COUNT(S31:V31)=4,SUM(S31:V31),"")</f>
        <v>28221</v>
      </c>
      <c r="X31" s="269">
        <f>IFERROR(INDEX('Inputs (2)'!$D$57:$AL$57,MATCH(X$7&amp;"",'Inputs (2)'!$D$2:$AL$2,0)),"")</f>
        <v>7192</v>
      </c>
      <c r="Y31" s="269">
        <f>IFERROR(INDEX('Inputs (2)'!$D$57:$AL$57,MATCH(Y$7&amp;"",'Inputs (2)'!$D$2:$AL$2,0)),"")</f>
        <v>7439</v>
      </c>
      <c r="Z31" s="269">
        <f>IFERROR(INDEX('Inputs (2)'!$D$57:$AL$57,MATCH(Z$7&amp;"",'Inputs (2)'!$D$2:$AL$2,0)),"")</f>
        <v>8316</v>
      </c>
      <c r="AA31" s="269">
        <f>IFERROR(INDEX('Inputs (2)'!$D$57:$AL$57,MATCH(AA$7&amp;"",'Inputs (2)'!$D$2:$AL$2,0)),"")</f>
        <v>10143</v>
      </c>
      <c r="AB31" s="270">
        <f>IF(COUNT(X31:AA31)=4,SUM(X31:AA31),"")</f>
        <v>33090</v>
      </c>
      <c r="AC31" s="269">
        <f>IFERROR(INDEX('Inputs (2)'!$D$57:$AL$57,MATCH(AC$7&amp;"",'Inputs (2)'!$D$2:$AL$2,0)),"")</f>
        <v>10309</v>
      </c>
      <c r="AD31" s="269">
        <f>IFERROR(INDEX('Inputs (2)'!$D$57:$AL$57,MATCH(AD$7&amp;"",'Inputs (2)'!$D$2:$AL$2,0)),"")</f>
        <v>11173</v>
      </c>
      <c r="AE31" s="269">
        <f>IFERROR(INDEX('Inputs (2)'!$D$57:$AL$57,MATCH(AE$7&amp;"",'Inputs (2)'!$D$2:$AL$2,0)),"")</f>
        <v>13222</v>
      </c>
      <c r="AF31" s="269">
        <f>IFERROR(INDEX('Inputs (2)'!$D$57:$AL$57,MATCH(AF$7&amp;"",'Inputs (2)'!$D$2:$AL$2,0)),"")</f>
        <v>14130</v>
      </c>
      <c r="AG31" s="270">
        <f>IF(COUNT(AC31:AF31)=4,SUM(AC31:AF31),"")</f>
        <v>48834</v>
      </c>
      <c r="AH31" s="270">
        <f>IFERROR(INDEX('Inputs (2)'!$D$57:$AL$57,MATCH(AH$7&amp;"",'Inputs (2)'!$D$2:$AL$2,0)),"")</f>
        <v>16892</v>
      </c>
      <c r="AI31" s="270">
        <f>IFERROR(INDEX('Inputs (2)'!$D$57:$AL$57,MATCH(AI$7&amp;"",'Inputs (2)'!$D$2:$AL$2,0)),"")</f>
        <v>24279</v>
      </c>
    </row>
    <row r="32">
      <c r="C32" s="268" t="inlineStr">
        <is>
          <t xml:space="preserve">   Assinaturas e serviços</t>
        </is>
      </c>
      <c r="D32" s="269" t="str">
        <f>IFERROR(INDEX('Inputs (2)'!$D$58:$AL$58,MATCH(D$7&amp;"",'Inputs (2)'!$D$2:$AL$2,0)),"")</f>
        <v/>
      </c>
      <c r="E32" s="269" t="str">
        <f>IFERROR(INDEX('Inputs (2)'!$D$58:$AL$58,MATCH(E$7&amp;"",'Inputs (2)'!$D$2:$AL$2,0)),"")</f>
        <v/>
      </c>
      <c r="F32" s="269" t="str">
        <f>IFERROR(INDEX('Inputs (2)'!$D$58:$AL$58,MATCH(F$7&amp;"",'Inputs (2)'!$D$2:$AL$2,0)),"")</f>
        <v/>
      </c>
      <c r="G32" s="269" t="str">
        <f>IFERROR(INDEX('Inputs (2)'!$D$58:$AL$58,MATCH(G$7&amp;"",'Inputs (2)'!$D$2:$AL$2,0)),"")</f>
        <v/>
      </c>
      <c r="H32" s="270" t="str">
        <f>IF(COUNT(D32:G32)=4,SUM(D32:G32),"")</f>
        <v/>
      </c>
      <c r="I32" s="269">
        <f>IFERROR(INDEX('Inputs (2)'!$D$58:$AL$58,MATCH(I$7&amp;"",'Inputs (2)'!$D$2:$AL$2,0)),"")</f>
        <v>1627</v>
      </c>
      <c r="J32" s="269">
        <f>IFERROR(INDEX('Inputs (2)'!$D$58:$AL$58,MATCH(J$7&amp;"",'Inputs (2)'!$D$2:$AL$2,0)),"")</f>
        <v>1714</v>
      </c>
      <c r="K32" s="269">
        <f>IFERROR(INDEX('Inputs (2)'!$D$58:$AL$58,MATCH(K$7&amp;"",'Inputs (2)'!$D$2:$AL$2,0)),"")</f>
        <v>1649</v>
      </c>
      <c r="L32" s="269">
        <f>IFERROR(INDEX('Inputs (2)'!$D$58:$AL$58,MATCH(L$7&amp;"",'Inputs (2)'!$D$2:$AL$2,0)),"")</f>
        <v>1653</v>
      </c>
      <c r="M32" s="270">
        <f>IF(COUNT(I32:L32)=4,SUM(I32:L32),"")</f>
        <v>6643</v>
      </c>
      <c r="N32" s="269">
        <f>IFERROR(INDEX('Inputs (2)'!$D$58:$AL$58,MATCH(N$7&amp;"",'Inputs (2)'!$D$2:$AL$2,0)),"")</f>
        <v>1686</v>
      </c>
      <c r="O32" s="269">
        <f>IFERROR(INDEX('Inputs (2)'!$D$58:$AL$58,MATCH(O$7&amp;"",'Inputs (2)'!$D$2:$AL$2,0)),"")</f>
        <v>1837</v>
      </c>
      <c r="P32" s="269">
        <f>IFERROR(INDEX('Inputs (2)'!$D$58:$AL$58,MATCH(P$7&amp;"",'Inputs (2)'!$D$2:$AL$2,0)),"")</f>
        <v>1750</v>
      </c>
      <c r="Q32" s="269">
        <f>IFERROR(INDEX('Inputs (2)'!$D$58:$AL$58,MATCH(Q$7&amp;"",'Inputs (2)'!$D$2:$AL$2,0)),"")</f>
        <v>1833</v>
      </c>
      <c r="R32" s="270">
        <f>IF(COUNT(N32:Q32)=4,SUM(N32:Q32),"")</f>
        <v>7106</v>
      </c>
      <c r="S32" s="269">
        <f>IFERROR(INDEX('Inputs (2)'!$D$58:$AL$58,MATCH(S$7&amp;"",'Inputs (2)'!$D$2:$AL$2,0)),"")</f>
        <v>1992</v>
      </c>
      <c r="T32" s="269">
        <f>IFERROR(INDEX('Inputs (2)'!$D$58:$AL$58,MATCH(T$7&amp;"",'Inputs (2)'!$D$2:$AL$2,0)),"")</f>
        <v>1959</v>
      </c>
      <c r="U32" s="269">
        <f>IFERROR(INDEX('Inputs (2)'!$D$58:$AL$58,MATCH(U$7&amp;"",'Inputs (2)'!$D$2:$AL$2,0)),"")</f>
        <v>2144</v>
      </c>
      <c r="V32" s="269">
        <f>IFERROR(INDEX('Inputs (2)'!$D$58:$AL$58,MATCH(V$7&amp;"",'Inputs (2)'!$D$2:$AL$2,0)),"")</f>
        <v>4549</v>
      </c>
      <c r="W32" s="270">
        <f>IF(COUNT(S32:V32)=4,SUM(S32:V32),"")</f>
        <v>10644</v>
      </c>
      <c r="X32" s="269">
        <f>IFERROR(INDEX('Inputs (2)'!$D$58:$AL$58,MATCH(X$7&amp;"",'Inputs (2)'!$D$2:$AL$2,0)),"")</f>
        <v>5295</v>
      </c>
      <c r="Y32" s="269">
        <f>IFERROR(INDEX('Inputs (2)'!$D$58:$AL$58,MATCH(Y$7&amp;"",'Inputs (2)'!$D$2:$AL$2,0)),"")</f>
        <v>5633</v>
      </c>
      <c r="Z32" s="269">
        <f>IFERROR(INDEX('Inputs (2)'!$D$58:$AL$58,MATCH(Z$7&amp;"",'Inputs (2)'!$D$2:$AL$2,0)),"")</f>
        <v>5738</v>
      </c>
      <c r="AA32" s="269">
        <f>IFERROR(INDEX('Inputs (2)'!$D$58:$AL$58,MATCH(AA$7&amp;"",'Inputs (2)'!$D$2:$AL$2,0)),"")</f>
        <v>4773</v>
      </c>
      <c r="AB32" s="270">
        <f>IF(COUNT(X32:AA32)=4,SUM(X32:AA32),"")</f>
        <v>21439</v>
      </c>
      <c r="AC32" s="269">
        <f>IFERROR(INDEX('Inputs (2)'!$D$58:$AL$58,MATCH(AC$7&amp;"",'Inputs (2)'!$D$2:$AL$2,0)),"")</f>
        <v>4695</v>
      </c>
      <c r="AD32" s="269">
        <f>IFERROR(INDEX('Inputs (2)'!$D$58:$AL$58,MATCH(AD$7&amp;"",'Inputs (2)'!$D$2:$AL$2,0)),"")</f>
        <v>4779</v>
      </c>
      <c r="AE32" s="269">
        <f>IFERROR(INDEX('Inputs (2)'!$D$58:$AL$58,MATCH(AE$7&amp;"",'Inputs (2)'!$D$2:$AL$2,0)),"")</f>
        <v>4793</v>
      </c>
      <c r="AF32" s="269">
        <f>IFERROR(INDEX('Inputs (2)'!$D$58:$AL$58,MATCH(AF$7&amp;"",'Inputs (2)'!$D$2:$AL$2,0)),"")</f>
        <v>5181</v>
      </c>
      <c r="AG32" s="270">
        <f>IF(COUNT(AC32:AF32)=4,SUM(AC32:AF32),"")</f>
        <v>19448</v>
      </c>
      <c r="AH32" s="270">
        <f>IFERROR(INDEX('Inputs (2)'!$D$58:$AL$58,MATCH(AH$7&amp;"",'Inputs (2)'!$D$2:$AL$2,0)),"")</f>
        <v>5295</v>
      </c>
      <c r="AI32" s="270">
        <f>IFERROR(INDEX('Inputs (2)'!$D$58:$AL$58,MATCH(AI$7&amp;"",'Inputs (2)'!$D$2:$AL$2,0)),"")</f>
        <v>5312</v>
      </c>
    </row>
    <row r="33">
      <c r="C33" s="268" t="inlineStr">
        <is>
          <t xml:space="preserve">   Américas</t>
        </is>
      </c>
      <c r="D33" s="269" t="str">
        <f>IFERROR(INDEX('Inputs (2)'!$D$59:$AL$59,MATCH(D$7&amp;"",'Inputs (2)'!$D$2:$AL$2,0)),"")</f>
        <v/>
      </c>
      <c r="E33" s="269" t="str">
        <f>IFERROR(INDEX('Inputs (2)'!$D$59:$AL$59,MATCH(E$7&amp;"",'Inputs (2)'!$D$2:$AL$2,0)),"")</f>
        <v/>
      </c>
      <c r="F33" s="269" t="str">
        <f>IFERROR(INDEX('Inputs (2)'!$D$59:$AL$59,MATCH(F$7&amp;"",'Inputs (2)'!$D$2:$AL$2,0)),"")</f>
        <v/>
      </c>
      <c r="G33" s="269" t="str">
        <f>IFERROR(INDEX('Inputs (2)'!$D$59:$AL$59,MATCH(G$7&amp;"",'Inputs (2)'!$D$2:$AL$2,0)),"")</f>
        <v/>
      </c>
      <c r="H33" s="270" t="str">
        <f>IF(COUNT(D33:G33)=4,SUM(D33:G33),"")</f>
        <v/>
      </c>
      <c r="I33" s="269">
        <f>IFERROR(INDEX('Inputs (2)'!$D$59:$AL$59,MATCH(I$7&amp;"",'Inputs (2)'!$D$2:$AL$2,0)),"")</f>
        <v>1521</v>
      </c>
      <c r="J33" s="269">
        <f>IFERROR(INDEX('Inputs (2)'!$D$59:$AL$59,MATCH(J$7&amp;"",'Inputs (2)'!$D$2:$AL$2,0)),"")</f>
        <v>1588</v>
      </c>
      <c r="K33" s="269">
        <f>IFERROR(INDEX('Inputs (2)'!$D$59:$AL$59,MATCH(K$7&amp;"",'Inputs (2)'!$D$2:$AL$2,0)),"")</f>
        <v>1596</v>
      </c>
      <c r="L33" s="269">
        <f>IFERROR(INDEX('Inputs (2)'!$D$59:$AL$59,MATCH(L$7&amp;"",'Inputs (2)'!$D$2:$AL$2,0)),"")</f>
        <v>1657</v>
      </c>
      <c r="M33" s="270">
        <f>IF(COUNT(I33:L33)=4,SUM(I33:L33),"")</f>
        <v>6362</v>
      </c>
      <c r="N33" s="269">
        <f>IFERROR(INDEX('Inputs (2)'!$D$59:$AL$59,MATCH(N$7&amp;"",'Inputs (2)'!$D$2:$AL$2,0)),"")</f>
        <v>1812</v>
      </c>
      <c r="O33" s="269">
        <f>IFERROR(INDEX('Inputs (2)'!$D$59:$AL$59,MATCH(O$7&amp;"",'Inputs (2)'!$D$2:$AL$2,0)),"")</f>
        <v>1762</v>
      </c>
      <c r="P33" s="269">
        <f>IFERROR(INDEX('Inputs (2)'!$D$59:$AL$59,MATCH(P$7&amp;"",'Inputs (2)'!$D$2:$AL$2,0)),"")</f>
        <v>1713</v>
      </c>
      <c r="Q33" s="269">
        <f>IFERROR(INDEX('Inputs (2)'!$D$59:$AL$59,MATCH(Q$7&amp;"",'Inputs (2)'!$D$2:$AL$2,0)),"")</f>
        <v>1839</v>
      </c>
      <c r="R33" s="270">
        <f>IF(COUNT(N33:Q33)=4,SUM(N33:Q33),"")</f>
        <v>7126</v>
      </c>
      <c r="S33" s="269">
        <f>IFERROR(INDEX('Inputs (2)'!$D$59:$AL$59,MATCH(S$7&amp;"",'Inputs (2)'!$D$2:$AL$2,0)),"")</f>
        <v>2234</v>
      </c>
      <c r="T33" s="269">
        <f>IFERROR(INDEX('Inputs (2)'!$D$59:$AL$59,MATCH(T$7&amp;"",'Inputs (2)'!$D$2:$AL$2,0)),"")</f>
        <v>2089</v>
      </c>
      <c r="U33" s="269">
        <f>IFERROR(INDEX('Inputs (2)'!$D$59:$AL$59,MATCH(U$7&amp;"",'Inputs (2)'!$D$2:$AL$2,0)),"")</f>
        <v>2117</v>
      </c>
      <c r="V33" s="269">
        <f>IFERROR(INDEX('Inputs (2)'!$D$59:$AL$59,MATCH(V$7&amp;"",'Inputs (2)'!$D$2:$AL$2,0)),"")</f>
        <v>3085</v>
      </c>
      <c r="W33" s="270">
        <f>IF(COUNT(S33:V33)=4,SUM(S33:V33),"")</f>
        <v>9525</v>
      </c>
      <c r="X33" s="269">
        <f>IFERROR(INDEX('Inputs (2)'!$D$59:$AL$59,MATCH(X$7&amp;"",'Inputs (2)'!$D$2:$AL$2,0)),"")</f>
        <v>3874</v>
      </c>
      <c r="Y33" s="269">
        <f>IFERROR(INDEX('Inputs (2)'!$D$59:$AL$59,MATCH(Y$7&amp;"",'Inputs (2)'!$D$2:$AL$2,0)),"")</f>
        <v>3991</v>
      </c>
      <c r="Z33" s="269">
        <f>IFERROR(INDEX('Inputs (2)'!$D$59:$AL$59,MATCH(Z$7&amp;"",'Inputs (2)'!$D$2:$AL$2,0)),"")</f>
        <v>4020</v>
      </c>
      <c r="AA33" s="269">
        <f>IFERROR(INDEX('Inputs (2)'!$D$59:$AL$59,MATCH(AA$7&amp;"",'Inputs (2)'!$D$2:$AL$2,0)),"")</f>
        <v>4632</v>
      </c>
      <c r="AB33" s="270">
        <f>IF(COUNT(X33:AA33)=4,SUM(X33:AA33),"")</f>
        <v>16517</v>
      </c>
      <c r="AC33" s="269">
        <f>IFERROR(INDEX('Inputs (2)'!$D$59:$AL$59,MATCH(AC$7&amp;"",'Inputs (2)'!$D$2:$AL$2,0)),"")</f>
        <v>4706</v>
      </c>
      <c r="AD33" s="269">
        <f>IFERROR(INDEX('Inputs (2)'!$D$59:$AL$59,MATCH(AD$7&amp;"",'Inputs (2)'!$D$2:$AL$2,0)),"")</f>
        <v>4724</v>
      </c>
      <c r="AE33" s="269">
        <f>IFERROR(INDEX('Inputs (2)'!$D$59:$AL$59,MATCH(AE$7&amp;"",'Inputs (2)'!$D$2:$AL$2,0)),"")</f>
        <v>4877</v>
      </c>
      <c r="AF33" s="269">
        <f>IFERROR(INDEX('Inputs (2)'!$D$59:$AL$59,MATCH(AF$7&amp;"",'Inputs (2)'!$D$2:$AL$2,0)),"")</f>
        <v>5081</v>
      </c>
      <c r="AG33" s="270">
        <f>IF(COUNT(AC33:AF33)=4,SUM(AC33:AF33),"")</f>
        <v>19388</v>
      </c>
      <c r="AH33" s="270">
        <f>IFERROR(INDEX('Inputs (2)'!$D$59:$AL$59,MATCH(AH$7&amp;"",'Inputs (2)'!$D$2:$AL$2,0)),"")</f>
        <v>5202</v>
      </c>
      <c r="AI33" s="270">
        <f>IFERROR(INDEX('Inputs (2)'!$D$59:$AL$59,MATCH(AI$7&amp;"",'Inputs (2)'!$D$2:$AL$2,0)),"")</f>
        <v>5513</v>
      </c>
    </row>
    <row r="34">
      <c r="C34" s="268" t="inlineStr">
        <is>
          <t xml:space="preserve">   Ásia-Pacífico</t>
        </is>
      </c>
      <c r="D34" s="269" t="str">
        <f>IFERROR(INDEX('Inputs (2)'!$D$60:$AL$60,MATCH(D$7&amp;"",'Inputs (2)'!$D$2:$AL$2,0)),"")</f>
        <v/>
      </c>
      <c r="E34" s="269" t="str">
        <f>IFERROR(INDEX('Inputs (2)'!$D$60:$AL$60,MATCH(E$7&amp;"",'Inputs (2)'!$D$2:$AL$2,0)),"")</f>
        <v/>
      </c>
      <c r="F34" s="269" t="str">
        <f>IFERROR(INDEX('Inputs (2)'!$D$60:$AL$60,MATCH(F$7&amp;"",'Inputs (2)'!$D$2:$AL$2,0)),"")</f>
        <v/>
      </c>
      <c r="G34" s="269" t="str">
        <f>IFERROR(INDEX('Inputs (2)'!$D$60:$AL$60,MATCH(G$7&amp;"",'Inputs (2)'!$D$2:$AL$2,0)),"")</f>
        <v/>
      </c>
      <c r="H34" s="270" t="str">
        <f>IF(COUNT(D34:G34)=4,SUM(D34:G34),"")</f>
        <v/>
      </c>
      <c r="I34" s="269">
        <f>IFERROR(INDEX('Inputs (2)'!$D$60:$AL$60,MATCH(I$7&amp;"",'Inputs (2)'!$D$2:$AL$2,0)),"")</f>
        <v>4228</v>
      </c>
      <c r="J34" s="269">
        <f>IFERROR(INDEX('Inputs (2)'!$D$60:$AL$60,MATCH(J$7&amp;"",'Inputs (2)'!$D$2:$AL$2,0)),"")</f>
        <v>4321</v>
      </c>
      <c r="K34" s="269">
        <f>IFERROR(INDEX('Inputs (2)'!$D$60:$AL$60,MATCH(K$7&amp;"",'Inputs (2)'!$D$2:$AL$2,0)),"")</f>
        <v>4918</v>
      </c>
      <c r="L34" s="269">
        <f>IFERROR(INDEX('Inputs (2)'!$D$60:$AL$60,MATCH(L$7&amp;"",'Inputs (2)'!$D$2:$AL$2,0)),"")</f>
        <v>5112</v>
      </c>
      <c r="M34" s="270">
        <f>IF(COUNT(I34:L34)=4,SUM(I34:L34),"")</f>
        <v>18579</v>
      </c>
      <c r="N34" s="269">
        <f>IFERROR(INDEX('Inputs (2)'!$D$60:$AL$60,MATCH(N$7&amp;"",'Inputs (2)'!$D$2:$AL$2,0)),"")</f>
        <v>5385</v>
      </c>
      <c r="O34" s="269">
        <f>IFERROR(INDEX('Inputs (2)'!$D$60:$AL$60,MATCH(O$7&amp;"",'Inputs (2)'!$D$2:$AL$2,0)),"")</f>
        <v>5845</v>
      </c>
      <c r="P34" s="269">
        <f>IFERROR(INDEX('Inputs (2)'!$D$60:$AL$60,MATCH(P$7&amp;"",'Inputs (2)'!$D$2:$AL$2,0)),"")</f>
        <v>6163</v>
      </c>
      <c r="Q34" s="269">
        <f>IFERROR(INDEX('Inputs (2)'!$D$60:$AL$60,MATCH(Q$7&amp;"",'Inputs (2)'!$D$2:$AL$2,0)),"")</f>
        <v>6137</v>
      </c>
      <c r="R34" s="270">
        <f>IF(COUNT(N34:Q34)=4,SUM(N34:Q34),"")</f>
        <v>23530</v>
      </c>
      <c r="S34" s="269">
        <f>IFERROR(INDEX('Inputs (2)'!$D$60:$AL$60,MATCH(S$7&amp;"",'Inputs (2)'!$D$2:$AL$2,0)),"")</f>
        <v>5584</v>
      </c>
      <c r="T34" s="269">
        <f>IFERROR(INDEX('Inputs (2)'!$D$60:$AL$60,MATCH(T$7&amp;"",'Inputs (2)'!$D$2:$AL$2,0)),"")</f>
        <v>5947</v>
      </c>
      <c r="U34" s="269">
        <f>IFERROR(INDEX('Inputs (2)'!$D$60:$AL$60,MATCH(U$7&amp;"",'Inputs (2)'!$D$2:$AL$2,0)),"")</f>
        <v>6252</v>
      </c>
      <c r="V34" s="269">
        <f>IFERROR(INDEX('Inputs (2)'!$D$60:$AL$60,MATCH(V$7&amp;"",'Inputs (2)'!$D$2:$AL$2,0)),"")</f>
        <v>6697</v>
      </c>
      <c r="W34" s="270">
        <f>IF(COUNT(S34:V34)=4,SUM(S34:V34),"")</f>
        <v>24480</v>
      </c>
      <c r="X34" s="269">
        <f>IFERROR(INDEX('Inputs (2)'!$D$60:$AL$60,MATCH(X$7&amp;"",'Inputs (2)'!$D$2:$AL$2,0)),"")</f>
        <v>6754</v>
      </c>
      <c r="Y34" s="269">
        <f>IFERROR(INDEX('Inputs (2)'!$D$60:$AL$60,MATCH(Y$7&amp;"",'Inputs (2)'!$D$2:$AL$2,0)),"")</f>
        <v>7041</v>
      </c>
      <c r="Z34" s="269">
        <f>IFERROR(INDEX('Inputs (2)'!$D$60:$AL$60,MATCH(Z$7&amp;"",'Inputs (2)'!$D$2:$AL$2,0)),"")</f>
        <v>7930</v>
      </c>
      <c r="AA34" s="269">
        <f>IFERROR(INDEX('Inputs (2)'!$D$60:$AL$60,MATCH(AA$7&amp;"",'Inputs (2)'!$D$2:$AL$2,0)),"")</f>
        <v>8032</v>
      </c>
      <c r="AB34" s="270">
        <f>IF(COUNT(X34:AA34)=4,SUM(X34:AA34),"")</f>
        <v>29757</v>
      </c>
      <c r="AC34" s="269">
        <f>IFERROR(INDEX('Inputs (2)'!$D$60:$AL$60,MATCH(AC$7&amp;"",'Inputs (2)'!$D$2:$AL$2,0)),"")</f>
        <v>8100</v>
      </c>
      <c r="AD34" s="269">
        <f>IFERROR(INDEX('Inputs (2)'!$D$60:$AL$60,MATCH(AD$7&amp;"",'Inputs (2)'!$D$2:$AL$2,0)),"")</f>
        <v>8960</v>
      </c>
      <c r="AE34" s="269">
        <f>IFERROR(INDEX('Inputs (2)'!$D$60:$AL$60,MATCH(AE$7&amp;"",'Inputs (2)'!$D$2:$AL$2,0)),"")</f>
        <v>10804</v>
      </c>
      <c r="AF34" s="269">
        <f>IFERROR(INDEX('Inputs (2)'!$D$60:$AL$60,MATCH(AF$7&amp;"",'Inputs (2)'!$D$2:$AL$2,0)),"")</f>
        <v>11615</v>
      </c>
      <c r="AG34" s="270">
        <f>IF(COUNT(AC34:AF34)=4,SUM(AC34:AF34),"")</f>
        <v>39479</v>
      </c>
      <c r="AH34" s="270">
        <f>IFERROR(INDEX('Inputs (2)'!$D$60:$AL$60,MATCH(AH$7&amp;"",'Inputs (2)'!$D$2:$AL$2,0)),"")</f>
        <v>14535</v>
      </c>
      <c r="AI34" s="270">
        <f>IFERROR(INDEX('Inputs (2)'!$D$60:$AL$60,MATCH(AI$7&amp;"",'Inputs (2)'!$D$2:$AL$2,0)),"")</f>
        <v>20944</v>
      </c>
    </row>
    <row r="35">
      <c r="C35" s="268" t="inlineStr">
        <is>
          <t xml:space="preserve">   EMEA</t>
        </is>
      </c>
      <c r="D35" s="269" t="str">
        <f>IFERROR(INDEX('Inputs (2)'!$D$61:$AL$61,MATCH(D$7&amp;"",'Inputs (2)'!$D$2:$AL$2,0)),"")</f>
        <v/>
      </c>
      <c r="E35" s="269" t="str">
        <f>IFERROR(INDEX('Inputs (2)'!$D$61:$AL$61,MATCH(E$7&amp;"",'Inputs (2)'!$D$2:$AL$2,0)),"")</f>
        <v/>
      </c>
      <c r="F35" s="269" t="str">
        <f>IFERROR(INDEX('Inputs (2)'!$D$61:$AL$61,MATCH(F$7&amp;"",'Inputs (2)'!$D$2:$AL$2,0)),"")</f>
        <v/>
      </c>
      <c r="G35" s="269" t="str">
        <f>IFERROR(INDEX('Inputs (2)'!$D$61:$AL$61,MATCH(G$7&amp;"",'Inputs (2)'!$D$2:$AL$2,0)),"")</f>
        <v/>
      </c>
      <c r="H35" s="270" t="str">
        <f>IF(COUNT(D35:G35)=4,SUM(D35:G35),"")</f>
        <v/>
      </c>
      <c r="I35" s="269">
        <f>IFERROR(INDEX('Inputs (2)'!$D$61:$AL$61,MATCH(I$7&amp;"",'Inputs (2)'!$D$2:$AL$2,0)),"")</f>
        <v>861</v>
      </c>
      <c r="J35" s="269">
        <f>IFERROR(INDEX('Inputs (2)'!$D$61:$AL$61,MATCH(J$7&amp;"",'Inputs (2)'!$D$2:$AL$2,0)),"")</f>
        <v>869</v>
      </c>
      <c r="K35" s="269">
        <f>IFERROR(INDEX('Inputs (2)'!$D$61:$AL$61,MATCH(K$7&amp;"",'Inputs (2)'!$D$2:$AL$2,0)),"")</f>
        <v>893</v>
      </c>
      <c r="L35" s="269">
        <f>IFERROR(INDEX('Inputs (2)'!$D$61:$AL$61,MATCH(L$7&amp;"",'Inputs (2)'!$D$2:$AL$2,0)),"")</f>
        <v>937</v>
      </c>
      <c r="M35" s="270">
        <f>IF(COUNT(I35:L35)=4,SUM(I35:L35),"")</f>
        <v>3560</v>
      </c>
      <c r="N35" s="269">
        <f>IFERROR(INDEX('Inputs (2)'!$D$61:$AL$61,MATCH(N$7&amp;"",'Inputs (2)'!$D$2:$AL$2,0)),"")</f>
        <v>906</v>
      </c>
      <c r="O35" s="269">
        <f>IFERROR(INDEX('Inputs (2)'!$D$61:$AL$61,MATCH(O$7&amp;"",'Inputs (2)'!$D$2:$AL$2,0)),"")</f>
        <v>857</v>
      </c>
      <c r="P35" s="269">
        <f>IFERROR(INDEX('Inputs (2)'!$D$61:$AL$61,MATCH(P$7&amp;"",'Inputs (2)'!$D$2:$AL$2,0)),"")</f>
        <v>1054</v>
      </c>
      <c r="Q35" s="269">
        <f>IFERROR(INDEX('Inputs (2)'!$D$61:$AL$61,MATCH(Q$7&amp;"",'Inputs (2)'!$D$2:$AL$2,0)),"")</f>
        <v>939</v>
      </c>
      <c r="R35" s="270">
        <f>IF(COUNT(N35:Q35)=4,SUM(N35:Q35),"")</f>
        <v>3756</v>
      </c>
      <c r="S35" s="269">
        <f>IFERROR(INDEX('Inputs (2)'!$D$61:$AL$61,MATCH(S$7&amp;"",'Inputs (2)'!$D$2:$AL$2,0)),"")</f>
        <v>915</v>
      </c>
      <c r="T35" s="269">
        <f>IFERROR(INDEX('Inputs (2)'!$D$61:$AL$61,MATCH(T$7&amp;"",'Inputs (2)'!$D$2:$AL$2,0)),"")</f>
        <v>840</v>
      </c>
      <c r="U35" s="269">
        <f>IFERROR(INDEX('Inputs (2)'!$D$61:$AL$61,MATCH(U$7&amp;"",'Inputs (2)'!$D$2:$AL$2,0)),"")</f>
        <v>926</v>
      </c>
      <c r="V35" s="269">
        <f>IFERROR(INDEX('Inputs (2)'!$D$61:$AL$61,MATCH(V$7&amp;"",'Inputs (2)'!$D$2:$AL$2,0)),"")</f>
        <v>2179</v>
      </c>
      <c r="W35" s="270">
        <f>IF(COUNT(S35:V35)=4,SUM(S35:V35),"")</f>
        <v>4860</v>
      </c>
      <c r="X35" s="269">
        <f>IFERROR(INDEX('Inputs (2)'!$D$61:$AL$61,MATCH(X$7&amp;"",'Inputs (2)'!$D$2:$AL$2,0)),"")</f>
        <v>1859</v>
      </c>
      <c r="Y35" s="269">
        <f>IFERROR(INDEX('Inputs (2)'!$D$61:$AL$61,MATCH(Y$7&amp;"",'Inputs (2)'!$D$2:$AL$2,0)),"")</f>
        <v>2040</v>
      </c>
      <c r="Z35" s="269">
        <f>IFERROR(INDEX('Inputs (2)'!$D$61:$AL$61,MATCH(Z$7&amp;"",'Inputs (2)'!$D$2:$AL$2,0)),"")</f>
        <v>2104</v>
      </c>
      <c r="AA35" s="269">
        <f>IFERROR(INDEX('Inputs (2)'!$D$61:$AL$61,MATCH(AA$7&amp;"",'Inputs (2)'!$D$2:$AL$2,0)),"")</f>
        <v>2252</v>
      </c>
      <c r="AB35" s="270">
        <f>IF(COUNT(X35:AA35)=4,SUM(X35:AA35),"")</f>
        <v>8255</v>
      </c>
      <c r="AC35" s="269">
        <f>IFERROR(INDEX('Inputs (2)'!$D$61:$AL$61,MATCH(AC$7&amp;"",'Inputs (2)'!$D$2:$AL$2,0)),"")</f>
        <v>2198</v>
      </c>
      <c r="AD35" s="269">
        <f>IFERROR(INDEX('Inputs (2)'!$D$61:$AL$61,MATCH(AD$7&amp;"",'Inputs (2)'!$D$2:$AL$2,0)),"")</f>
        <v>2268</v>
      </c>
      <c r="AE35" s="269">
        <f>IFERROR(INDEX('Inputs (2)'!$D$61:$AL$61,MATCH(AE$7&amp;"",'Inputs (2)'!$D$2:$AL$2,0)),"")</f>
        <v>2334</v>
      </c>
      <c r="AF35" s="269">
        <f>IFERROR(INDEX('Inputs (2)'!$D$61:$AL$61,MATCH(AF$7&amp;"",'Inputs (2)'!$D$2:$AL$2,0)),"")</f>
        <v>2615</v>
      </c>
      <c r="AG35" s="270">
        <f>IF(COUNT(AC35:AF35)=4,SUM(AC35:AF35),"")</f>
        <v>9415</v>
      </c>
      <c r="AH35" s="270">
        <f>IFERROR(INDEX('Inputs (2)'!$D$61:$AL$61,MATCH(AH$7&amp;"",'Inputs (2)'!$D$2:$AL$2,0)),"")</f>
        <v>2450</v>
      </c>
      <c r="AI35" s="270">
        <f>IFERROR(INDEX('Inputs (2)'!$D$61:$AL$61,MATCH(AI$7&amp;"",'Inputs (2)'!$D$2:$AL$2,0)),"")</f>
        <v>3134</v>
      </c>
    </row>
    <row r="36"/>
    <row r="37"/>
    <row r="38"/>
    <row r="39"/>
    <row r="40" hidden="1" outlineLevel="1" customFormat="1" s="43">
      <c r="A40" s="36" t="n"/>
      <c r="B40" s="37" t="n"/>
      <c r="C40" s="45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  <c r="CU40" s="39" t="n"/>
      <c r="CV40" s="39" t="n"/>
      <c r="CW40" s="39" t="n"/>
      <c r="CX40" s="39" t="n"/>
      <c r="CY40" s="39" t="n"/>
    </row>
    <row r="41" hidden="1" outlineLevel="1" customFormat="1" s="43">
      <c r="A41" s="36" t="n"/>
      <c r="B41" s="37" t="n"/>
      <c r="C41" s="45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  <c r="CU41" s="39" t="n"/>
      <c r="CV41" s="39" t="n"/>
      <c r="CW41" s="39" t="n"/>
      <c r="CX41" s="39" t="n"/>
      <c r="CY41" s="39" t="n"/>
    </row>
    <row r="42" collapsed="1">
      <c r="C42" s="13" t="inlineStr">
        <is>
          <t>COGS (cash)</t>
        </is>
      </c>
      <c r="D42" s="46" t="n"/>
      <c r="E42" s="46" t="n"/>
      <c r="F42" s="46" t="n"/>
      <c r="G42" s="46" t="n"/>
      <c r="H42" s="12" t="n"/>
      <c r="I42" s="46">
        <f>'Inputs (2)'!D5</f>
        <v>-2553</v>
      </c>
      <c r="J42" s="46">
        <f>'Inputs (2)'!E5</f>
        <v>-2581</v>
      </c>
      <c r="K42" s="46">
        <f>'Inputs (2)'!F5</f>
        <v>-2769</v>
      </c>
      <c r="L42" s="46">
        <f>'Inputs (2)'!G5</f>
        <v>-2657</v>
      </c>
      <c r="M42" s="12">
        <f>'Inputs (2)'!H5</f>
        <v>-10560</v>
      </c>
      <c r="N42" s="46">
        <f>'Inputs (2)'!I5</f>
        <v>-2664</v>
      </c>
      <c r="O42" s="46">
        <f>'Inputs (2)'!J5</f>
        <v>-2783</v>
      </c>
      <c r="P42" s="46">
        <f>'Inputs (2)'!K5</f>
        <v>-3004</v>
      </c>
      <c r="Q42" s="46">
        <f>'Inputs (2)'!L5</f>
        <v>-2911</v>
      </c>
      <c r="R42" s="12">
        <f>'Inputs (2)'!M5</f>
        <v>-11362</v>
      </c>
      <c r="S42" s="46">
        <f>'Inputs (2)'!N5</f>
        <v>-2618</v>
      </c>
      <c r="T42" s="46">
        <f>'Inputs (2)'!O5</f>
        <v>-2712</v>
      </c>
      <c r="U42" s="46">
        <f>'Inputs (2)'!P5</f>
        <v>-2888</v>
      </c>
      <c r="V42" s="46">
        <f>'Inputs (2)'!Q5</f>
        <v>-4586</v>
      </c>
      <c r="W42" s="12">
        <f>'Inputs (2)'!R5</f>
        <v>-12804</v>
      </c>
      <c r="X42" s="46">
        <f>'Inputs (2)'!S5</f>
        <v>-4711</v>
      </c>
      <c r="Y42" s="46">
        <f>'Inputs (2)'!T5</f>
        <v>-4716</v>
      </c>
      <c r="Z42" s="46">
        <f>'Inputs (2)'!U5</f>
        <v>-5052</v>
      </c>
      <c r="AA42" s="46">
        <f>'Inputs (2)'!V5</f>
        <v>-4771</v>
      </c>
      <c r="AB42" s="12">
        <f>'Inputs (2)'!W5</f>
        <v>-19250</v>
      </c>
      <c r="AC42" s="46">
        <f>'Inputs (2)'!X5</f>
        <v>-4807</v>
      </c>
      <c r="AD42" s="46">
        <f>'Inputs (2)'!Y5</f>
        <v>-5249</v>
      </c>
      <c r="AE42" s="46">
        <f>'Inputs (2)'!Z5</f>
        <v>-5766</v>
      </c>
      <c r="AF42" s="46">
        <f>'Inputs (2)'!AA5</f>
        <v>-6154</v>
      </c>
      <c r="AG42" s="12">
        <f>'Inputs (2)'!AB5</f>
        <v>-21976</v>
      </c>
      <c r="AH42" s="12">
        <f>'Inputs (2)'!AC5</f>
        <v>-6772</v>
      </c>
      <c r="AI42" s="12">
        <f>'Inputs (2)'!AD5</f>
        <v>-9135</v>
      </c>
      <c r="AJ42" s="12">
        <f>-(1-AJ43)*AJ15</f>
        <v>-7930.90245674374</v>
      </c>
      <c r="AK42" s="12">
        <f>-(1-AK43)*AK15</f>
        <v>-8501.45197569683</v>
      </c>
      <c r="AL42" s="12">
        <f>SUM(AH42:AK42)</f>
        <v>-32339.3544324406</v>
      </c>
      <c r="AM42" s="12">
        <f>-(1-AM43)*AM15</f>
        <v>-9767.57884028717</v>
      </c>
      <c r="AN42" s="12">
        <f>-(1-AN43)*AN15</f>
        <v>-13027.1071106025</v>
      </c>
      <c r="AO42" s="12">
        <f>-(1-AO43)*AO15</f>
        <v>-11013.5396716383</v>
      </c>
      <c r="AP42" s="12">
        <f>-(1-AP43)*AP15</f>
        <v>-11805.8542658344</v>
      </c>
      <c r="AQ42" s="12">
        <f>SUM(AM42:AP42)</f>
        <v>-45614.0798883624</v>
      </c>
      <c r="AR42" s="12">
        <f>-(1-AR43)*AR15</f>
        <v>-13515.2700544324</v>
      </c>
      <c r="AS42" s="12">
        <f>-(1-AS43)*AS15</f>
        <v>-18025.4363447383</v>
      </c>
      <c r="AT42" s="12">
        <f>-(1-AT43)*AT15</f>
        <v>-15239.2896286077</v>
      </c>
      <c r="AU42" s="12">
        <f>-(1-AU43)*AU15</f>
        <v>-16335.6048858198</v>
      </c>
      <c r="AV42" s="12">
        <f>SUM(AR42:AU42)</f>
        <v>-63115.6009135983</v>
      </c>
      <c r="AW42" s="12">
        <f>-(1-AW43)*AW15</f>
        <v>-18633.324623348</v>
      </c>
      <c r="AX42" s="12">
        <f>-(1-AX43)*AX15</f>
        <v>-24851.4314206287</v>
      </c>
      <c r="AY42" s="12">
        <f>-(1-AY43)*AY15</f>
        <v>-21010.2076788278</v>
      </c>
      <c r="AZ42" s="12">
        <f>-(1-AZ43)*AZ15</f>
        <v>-22521.6830688784</v>
      </c>
      <c r="BA42" s="12">
        <f>SUM(AW42:AZ42)</f>
        <v>-87016.6467916829</v>
      </c>
      <c r="BB42" s="12">
        <f>-(1-BB43)*BB15</f>
        <v>-25596.3523521404</v>
      </c>
      <c r="BC42" s="12">
        <f>-(1-BC43)*BC15</f>
        <v>-34138.08367297</v>
      </c>
      <c r="BD42" s="12">
        <f>-(1-BD43)*BD15</f>
        <v>-28861.4452659224</v>
      </c>
      <c r="BE42" s="12">
        <f>-(1-BE43)*BE15</f>
        <v>-30937.7390802236</v>
      </c>
      <c r="BF42" s="12">
        <f>SUM(BB42:BE42)</f>
        <v>-119533.620371256</v>
      </c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2" t="n"/>
      <c r="CY42" s="12" t="n"/>
    </row>
    <row r="43" hidden="1" outlineLevel="1" customFormat="1" s="3">
      <c r="C43" s="47" t="inlineStr">
        <is>
          <t>% Gross Margin</t>
        </is>
      </c>
      <c r="D43" s="48" t="n"/>
      <c r="E43" s="48" t="n"/>
      <c r="F43" s="48" t="n"/>
      <c r="G43" s="48" t="n"/>
      <c r="H43" s="48" t="n"/>
      <c r="I43" s="48">
        <f>IFERROR((I15+I42)/I$15,"")</f>
        <v>0.613767019667171</v>
      </c>
      <c r="J43" s="48">
        <f>IFERROR((J15+J42)/J$15,"")</f>
        <v>0.619209206255533</v>
      </c>
      <c r="K43" s="48">
        <f>IFERROR((K15+K42)/K$15,"")</f>
        <v>0.626164439044147</v>
      </c>
      <c r="L43" s="48">
        <f>IFERROR((L15+L42)/L$15,"")</f>
        <v>0.655203737347522</v>
      </c>
      <c r="M43" s="48">
        <f>IFERROR((M15+M42)/M$15,"")</f>
        <v>0.629486684677731</v>
      </c>
      <c r="N43" s="48">
        <f>IFERROR((N15+N42)/N$15,"")</f>
        <v>0.671232876712329</v>
      </c>
      <c r="O43" s="48">
        <f>IFERROR((O15+O42)/O$15,"")</f>
        <v>0.671195652173913</v>
      </c>
      <c r="P43" s="48">
        <f>IFERROR((P15+P42)/P$15,"")</f>
        <v>0.663605823068309</v>
      </c>
      <c r="Q43" s="48">
        <f>IFERROR((Q15+Q42)/Q$15,"")</f>
        <v>0.673471676948962</v>
      </c>
      <c r="R43" s="48">
        <f>IFERROR((R15+R42)/R$15,"")</f>
        <v>0.669824479832617</v>
      </c>
      <c r="S43" s="48">
        <f>IFERROR((S15+S42)/S$15,"")</f>
        <v>0.700217565555937</v>
      </c>
      <c r="T43" s="48">
        <f>IFERROR((T15+T42)/T$15,"")</f>
        <v>0.694456962595764</v>
      </c>
      <c r="U43" s="48">
        <f>IFERROR((U15+U42)/U$15,"")</f>
        <v>0.689295320064551</v>
      </c>
      <c r="V43" s="48">
        <f>IFERROR((V15+V42)/V$15,"")</f>
        <v>0.616587241869409</v>
      </c>
      <c r="W43" s="48">
        <f>IFERROR((W15+W42)/W$15,"")</f>
        <v>0.670551910459282</v>
      </c>
      <c r="X43" s="48">
        <f>IFERROR((X15+X42)/X$15,"")</f>
        <v>0.622727636742212</v>
      </c>
      <c r="Y43" s="48">
        <f>IFERROR((Y15+Y42)/Y$15,"")</f>
        <v>0.639228886168911</v>
      </c>
      <c r="Z43" s="48">
        <f>IFERROR((Z15+Z42)/Z$15,"")</f>
        <v>0.640529386651487</v>
      </c>
      <c r="AA43" s="48">
        <f>IFERROR((AA15+AA42)/AA$15,"")</f>
        <v>0.680142129257174</v>
      </c>
      <c r="AB43" s="48">
        <f>IFERROR((AB15+AB42)/AB$15,"")</f>
        <v>0.646976838012801</v>
      </c>
      <c r="AC43" s="48">
        <f>IFERROR((AC15+AC42)/AC$15,"")</f>
        <v>0.679618768328446</v>
      </c>
      <c r="AD43" s="48">
        <f>IFERROR((AD15+AD42)/AD$15,"")</f>
        <v>0.67095035105316</v>
      </c>
      <c r="AE43" s="48">
        <f>IFERROR((AE15+AE42)/AE$15,"")</f>
        <v>0.679933388842631</v>
      </c>
      <c r="AF43" s="41">
        <f>IFERROR((AF15+AF42)/AF$15,"")</f>
        <v>0.681321526591062</v>
      </c>
      <c r="AG43" s="48">
        <f>IFERROR((AG15+AG42)/AG$15,"")</f>
        <v>0.678158226179667</v>
      </c>
      <c r="AH43" s="49">
        <f>IFERROR((AH15+AH42)/AH$15,"")</f>
        <v>0.69477622030919</v>
      </c>
      <c r="AI43" s="49">
        <f>IFERROR((AI15+AI42)/AI$15,"")</f>
        <v>0.691291270994559</v>
      </c>
      <c r="AJ43" s="49">
        <f>Control!$B$19</f>
        <v>0.682981921019841</v>
      </c>
      <c r="AK43" s="49">
        <f>Control!$B$19</f>
        <v>0.682981921019841</v>
      </c>
      <c r="AL43" s="48">
        <f>IFERROR((AL15+AL42)/AL$15,"")</f>
        <v>0.68788059574619</v>
      </c>
      <c r="AM43" s="49">
        <f>Control!$C$19</f>
        <v>0.682981921019841</v>
      </c>
      <c r="AN43" s="49">
        <f>Control!$C$19</f>
        <v>0.682981921019841</v>
      </c>
      <c r="AO43" s="49">
        <f>Control!$C$19</f>
        <v>0.682981921019841</v>
      </c>
      <c r="AP43" s="49">
        <f>Control!$C$19</f>
        <v>0.682981921019841</v>
      </c>
      <c r="AQ43" s="48">
        <f>IFERROR((AQ15+AQ42)/AQ$15,"")</f>
        <v>0.682981921019841</v>
      </c>
      <c r="AR43" s="49">
        <f>Control!$D$19</f>
        <v>0.682981921019841</v>
      </c>
      <c r="AS43" s="49">
        <f>Control!$D$19</f>
        <v>0.682981921019841</v>
      </c>
      <c r="AT43" s="49">
        <f>Control!$D$19</f>
        <v>0.682981921019841</v>
      </c>
      <c r="AU43" s="49">
        <f>Control!$D$19</f>
        <v>0.682981921019841</v>
      </c>
      <c r="AV43" s="48">
        <f>IFERROR((AV15+AV42)/AV$15,"")</f>
        <v>0.682981921019841</v>
      </c>
      <c r="AW43" s="49">
        <f>Control!$E$19</f>
        <v>0.682981921019841</v>
      </c>
      <c r="AX43" s="49">
        <f>Control!$E$19</f>
        <v>0.682981921019841</v>
      </c>
      <c r="AY43" s="49">
        <f>Control!$E$19</f>
        <v>0.682981921019841</v>
      </c>
      <c r="AZ43" s="49">
        <f>Control!$E$19</f>
        <v>0.682981921019841</v>
      </c>
      <c r="BA43" s="48">
        <f>IFERROR((BA15+BA42)/BA$15,"")</f>
        <v>0.682981921019841</v>
      </c>
      <c r="BB43" s="49">
        <f>Control!$F$19</f>
        <v>0.682981921019841</v>
      </c>
      <c r="BC43" s="49">
        <f>Control!$F$19</f>
        <v>0.682981921019841</v>
      </c>
      <c r="BD43" s="49">
        <f>Control!$F$19</f>
        <v>0.682981921019841</v>
      </c>
      <c r="BE43" s="49">
        <f>Control!$F$19</f>
        <v>0.682981921019841</v>
      </c>
      <c r="BF43" s="48">
        <f>IFERROR((BF15+BF42)/BF$15,"")</f>
        <v>0.682981921019841</v>
      </c>
      <c r="BG43" s="49" t="n"/>
      <c r="BH43" s="49" t="n"/>
      <c r="BI43" s="49" t="n"/>
      <c r="BJ43" s="49" t="n"/>
      <c r="BK43" s="48" t="n"/>
      <c r="BL43" s="49" t="n"/>
      <c r="BM43" s="49" t="n"/>
      <c r="BN43" s="49" t="n"/>
      <c r="BO43" s="49" t="n"/>
      <c r="BP43" s="48" t="n"/>
      <c r="BQ43" s="49" t="n"/>
      <c r="BR43" s="49" t="n"/>
      <c r="BS43" s="49" t="n"/>
      <c r="BT43" s="49" t="n"/>
      <c r="BU43" s="48" t="n"/>
      <c r="BV43" s="49" t="n"/>
      <c r="BW43" s="49" t="n"/>
      <c r="BX43" s="49" t="n"/>
      <c r="BY43" s="49" t="n"/>
      <c r="BZ43" s="48" t="n"/>
      <c r="CA43" s="49" t="n"/>
      <c r="CB43" s="49" t="n"/>
      <c r="CC43" s="49" t="n"/>
      <c r="CD43" s="49" t="n"/>
      <c r="CE43" s="48" t="n"/>
      <c r="CF43" s="49" t="n"/>
      <c r="CG43" s="49" t="n"/>
      <c r="CH43" s="49" t="n"/>
      <c r="CI43" s="49" t="n"/>
      <c r="CJ43" s="48" t="n"/>
      <c r="CK43" s="49" t="n"/>
      <c r="CL43" s="49" t="n"/>
      <c r="CM43" s="49" t="n"/>
      <c r="CN43" s="49" t="n"/>
      <c r="CO43" s="48" t="n"/>
      <c r="CP43" s="49" t="n"/>
      <c r="CQ43" s="49" t="n"/>
      <c r="CR43" s="49" t="n"/>
      <c r="CS43" s="49" t="n"/>
      <c r="CT43" s="48" t="n"/>
      <c r="CU43" s="49" t="n"/>
      <c r="CV43" s="49" t="n"/>
      <c r="CW43" s="49" t="n"/>
      <c r="CX43" s="49" t="n"/>
      <c r="CY43" s="48" t="n"/>
    </row>
    <row r="44" hidden="1" outlineLevel="1"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  <c r="AJ44" s="50" t="n"/>
      <c r="AK44" s="50" t="n"/>
      <c r="AL44" s="50" t="n"/>
      <c r="AM44" s="50" t="n"/>
      <c r="AN44" s="50" t="n"/>
      <c r="AO44" s="50" t="n"/>
      <c r="AP44" s="50" t="n"/>
      <c r="AQ44" s="50" t="n"/>
      <c r="AR44" s="50" t="n"/>
      <c r="AS44" s="50" t="n"/>
      <c r="AT44" s="50" t="n"/>
      <c r="AU44" s="50" t="n"/>
      <c r="AV44" s="50" t="n"/>
      <c r="AW44" s="50" t="n"/>
      <c r="AX44" s="50" t="n"/>
      <c r="AY44" s="50" t="n"/>
      <c r="AZ44" s="50" t="n"/>
      <c r="BA44" s="50" t="n"/>
      <c r="BB44" s="50" t="n"/>
      <c r="BC44" s="50" t="n"/>
      <c r="BD44" s="50" t="n"/>
      <c r="BE44" s="50" t="n"/>
      <c r="BF44" s="50" t="n"/>
      <c r="BG44" s="50" t="n"/>
      <c r="BH44" s="50" t="n"/>
      <c r="BI44" s="50" t="n"/>
      <c r="BJ44" s="50" t="n"/>
      <c r="BK44" s="50" t="n"/>
      <c r="BL44" s="50" t="n"/>
      <c r="BM44" s="50" t="n"/>
      <c r="BN44" s="50" t="n"/>
      <c r="BO44" s="50" t="n"/>
      <c r="BP44" s="50" t="n"/>
      <c r="BQ44" s="50" t="n"/>
      <c r="BR44" s="50" t="n"/>
      <c r="BS44" s="50" t="n"/>
      <c r="BT44" s="50" t="n"/>
      <c r="BU44" s="50" t="n"/>
      <c r="BV44" s="50" t="n"/>
      <c r="BW44" s="50" t="n"/>
      <c r="BX44" s="50" t="n"/>
      <c r="BY44" s="50" t="n"/>
      <c r="BZ44" s="50" t="n"/>
      <c r="CA44" s="50" t="n"/>
      <c r="CB44" s="50" t="n"/>
      <c r="CC44" s="50" t="n"/>
      <c r="CD44" s="50" t="n"/>
      <c r="CE44" s="50" t="n"/>
      <c r="CF44" s="50" t="n"/>
      <c r="CG44" s="50" t="n"/>
      <c r="CH44" s="50" t="n"/>
      <c r="CI44" s="50" t="n"/>
      <c r="CJ44" s="50" t="n"/>
      <c r="CK44" s="50" t="n"/>
      <c r="CL44" s="50" t="n"/>
      <c r="CM44" s="50" t="n"/>
      <c r="CN44" s="50" t="n"/>
      <c r="CO44" s="50" t="n"/>
      <c r="CP44" s="50" t="n"/>
      <c r="CQ44" s="50" t="n"/>
      <c r="CR44" s="50" t="n"/>
      <c r="CS44" s="50" t="n"/>
      <c r="CT44" s="50" t="n"/>
      <c r="CU44" s="50" t="n"/>
      <c r="CV44" s="50" t="n"/>
      <c r="CW44" s="50" t="n"/>
      <c r="CX44" s="50" t="n"/>
      <c r="CY44" s="50" t="n"/>
    </row>
    <row r="45" hidden="1" outlineLevel="1"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</row>
    <row r="46" collapsed="1">
      <c r="C46" s="13" t="inlineStr">
        <is>
          <t>SG&amp;A and Other (cash)</t>
        </is>
      </c>
      <c r="D46" s="46" t="n"/>
      <c r="E46" s="46" t="n"/>
      <c r="F46" s="46" t="n"/>
      <c r="G46" s="46" t="n"/>
      <c r="H46" s="12" t="n"/>
      <c r="I46" s="46">
        <f>'Inputs (2)'!D6</f>
        <v>-578</v>
      </c>
      <c r="J46" s="46">
        <f>'Inputs (2)'!E6</f>
        <v>-568</v>
      </c>
      <c r="K46" s="46">
        <f>'Inputs (2)'!F6</f>
        <v>-556</v>
      </c>
      <c r="L46" s="46">
        <f>'Inputs (2)'!G6</f>
        <v>-654</v>
      </c>
      <c r="M46" s="12">
        <f>'Inputs (2)'!H6</f>
        <v>-2356</v>
      </c>
      <c r="N46" s="46">
        <f>'Inputs (2)'!I6</f>
        <v>-781</v>
      </c>
      <c r="O46" s="46">
        <f>'Inputs (2)'!J6</f>
        <v>-727</v>
      </c>
      <c r="P46" s="46">
        <f>'Inputs (2)'!K6</f>
        <v>-724</v>
      </c>
      <c r="Q46" s="46">
        <f>'Inputs (2)'!L6</f>
        <v>-869</v>
      </c>
      <c r="R46" s="12">
        <f>'Inputs (2)'!M6</f>
        <v>-3101</v>
      </c>
      <c r="S46" s="46">
        <f>'Inputs (2)'!N6</f>
        <v>-1168</v>
      </c>
      <c r="T46" s="46">
        <f>'Inputs (2)'!O6</f>
        <v>-1376</v>
      </c>
      <c r="U46" s="46">
        <f>'Inputs (2)'!P6</f>
        <v>-1235</v>
      </c>
      <c r="V46" s="46">
        <f>'Inputs (2)'!Q6</f>
        <v>-2947</v>
      </c>
      <c r="W46" s="12">
        <f>'Inputs (2)'!R6</f>
        <v>-6726</v>
      </c>
      <c r="X46" s="46">
        <f>'Inputs (2)'!S6</f>
        <v>-2281</v>
      </c>
      <c r="Y46" s="46">
        <f>'Inputs (2)'!T6</f>
        <v>-2044</v>
      </c>
      <c r="Z46" s="46">
        <f>'Inputs (2)'!U6</f>
        <v>-1764</v>
      </c>
      <c r="AA46" s="46">
        <f>'Inputs (2)'!V6</f>
        <v>-1711</v>
      </c>
      <c r="AB46" s="12">
        <f>'Inputs (2)'!W6</f>
        <v>-7800</v>
      </c>
      <c r="AC46" s="46">
        <f>'Inputs (2)'!X6</f>
        <v>-2237</v>
      </c>
      <c r="AD46" s="46">
        <f>'Inputs (2)'!Y6</f>
        <v>-2648</v>
      </c>
      <c r="AE46" s="46">
        <f>'Inputs (2)'!Z6</f>
        <v>-2508</v>
      </c>
      <c r="AF46" s="46">
        <f>'Inputs (2)'!AA6</f>
        <v>-2441</v>
      </c>
      <c r="AG46" s="12">
        <f>'Inputs (2)'!AB6</f>
        <v>-9834</v>
      </c>
      <c r="AH46" s="12">
        <f>'Inputs (2)'!AC6</f>
        <v>-2497</v>
      </c>
      <c r="AI46" s="12">
        <f>'Inputs (2)'!AD6</f>
        <v>-2324</v>
      </c>
      <c r="AJ46" s="12">
        <f>-AJ15*AJ47</f>
        <v>-3218.02116500441</v>
      </c>
      <c r="AK46" s="12">
        <f>-AK15*AK47</f>
        <v>-3449.52576838191</v>
      </c>
      <c r="AL46" s="12">
        <f>SUM(AH46:AK46)</f>
        <v>-11488.5469333863</v>
      </c>
      <c r="AM46" s="12">
        <f>-AM15*AM47</f>
        <v>-3963.26592217335</v>
      </c>
      <c r="AN46" s="12">
        <f>-AN15*AN47</f>
        <v>-5285.84314702445</v>
      </c>
      <c r="AO46" s="12">
        <f>-AO15*AO47</f>
        <v>-4468.82356178913</v>
      </c>
      <c r="AP46" s="12">
        <f>-AP15*AP47</f>
        <v>-4790.31095207938</v>
      </c>
      <c r="AQ46" s="12">
        <f>SUM(AM46:AP46)</f>
        <v>-18508.2435830663</v>
      </c>
      <c r="AR46" s="12">
        <f>-AR15*AR47</f>
        <v>-5483.91880030395</v>
      </c>
      <c r="AS46" s="12">
        <f>-AS15*AS47</f>
        <v>-7313.95146796747</v>
      </c>
      <c r="AT46" s="12">
        <f>-AT15*AT47</f>
        <v>-6183.45224039318</v>
      </c>
      <c r="AU46" s="12">
        <f>-AU15*AU47</f>
        <v>-6628.29010348225</v>
      </c>
      <c r="AV46" s="12">
        <f>SUM(AR46:AU46)</f>
        <v>-25609.6126121469</v>
      </c>
      <c r="AW46" s="12">
        <f>-AW15*AW47</f>
        <v>-7560.60654375402</v>
      </c>
      <c r="AX46" s="12">
        <f>-AX15*AX47</f>
        <v>-10083.6484534288</v>
      </c>
      <c r="AY46" s="12">
        <f>-AY15*AY47</f>
        <v>-8525.04407416023</v>
      </c>
      <c r="AZ46" s="12">
        <f>-AZ15*AZ47</f>
        <v>-9138.33617075261</v>
      </c>
      <c r="BA46" s="12">
        <f>SUM(AW46:AZ46)</f>
        <v>-35307.6352420957</v>
      </c>
      <c r="BB46" s="12">
        <f>-BB15*BB47</f>
        <v>-10385.9055215158</v>
      </c>
      <c r="BC46" s="12">
        <f>-BC15*BC47</f>
        <v>-13851.7749261808</v>
      </c>
      <c r="BD46" s="12">
        <f>-BD15*BD47</f>
        <v>-11710.7406407931</v>
      </c>
      <c r="BE46" s="12">
        <f>-BE15*BE47</f>
        <v>-12553.2119075412</v>
      </c>
      <c r="BF46" s="12">
        <f>SUM(BB46:BE46)</f>
        <v>-48501.632996031</v>
      </c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</row>
    <row r="47" hidden="1" outlineLevel="1">
      <c r="C47" s="38" t="inlineStr">
        <is>
          <t>% SG&amp;A and Other Margin</t>
        </is>
      </c>
      <c r="D47" s="51" t="n"/>
      <c r="E47" s="51" t="n"/>
      <c r="F47" s="51" t="n"/>
      <c r="G47" s="51" t="n"/>
      <c r="H47" s="51" t="n"/>
      <c r="I47" s="51">
        <f>IFERROR(-(I46/I$15),"")</f>
        <v>0.0874432677760968</v>
      </c>
      <c r="J47" s="51">
        <f>IFERROR(-(J46/J$15),"")</f>
        <v>0.0838005311301269</v>
      </c>
      <c r="K47" s="51">
        <f>IFERROR(-(K46/K$15),"")</f>
        <v>0.075064128527069</v>
      </c>
      <c r="L47" s="51">
        <f>IFERROR(-(L46/L$15),"")</f>
        <v>0.0848689332987283</v>
      </c>
      <c r="M47" s="51">
        <f>IFERROR(-(M46/M$15),"")</f>
        <v>0.0826637661836427</v>
      </c>
      <c r="N47" s="51">
        <f>IFERROR(-(N46/N$15),"")</f>
        <v>0.0963840552881649</v>
      </c>
      <c r="O47" s="51">
        <f>IFERROR(-(O46/O$15),"")</f>
        <v>0.0858931947069943</v>
      </c>
      <c r="P47" s="51">
        <f>IFERROR(-(P46/P$15),"")</f>
        <v>0.0810750279955207</v>
      </c>
      <c r="Q47" s="51">
        <f>IFERROR(-(Q46/Q$15),"")</f>
        <v>0.0974761637689288</v>
      </c>
      <c r="R47" s="51">
        <f>IFERROR(-(R46/R$15),"")</f>
        <v>0.0901139137510171</v>
      </c>
      <c r="S47" s="51">
        <f>IFERROR(-(S46/S$15),"")</f>
        <v>0.133745562807741</v>
      </c>
      <c r="T47" s="51">
        <f>IFERROR(-(T46/T$15),"")</f>
        <v>0.155024785939612</v>
      </c>
      <c r="U47" s="51">
        <f>IFERROR(-(U46/U$15),"")</f>
        <v>0.132867132867133</v>
      </c>
      <c r="V47" s="51">
        <f>IFERROR(-(V46/V$15),"")</f>
        <v>0.246384081598529</v>
      </c>
      <c r="W47" s="51">
        <f>IFERROR(-(W46/W$15),"")</f>
        <v>0.17306059436511</v>
      </c>
      <c r="X47" s="51">
        <f>IFERROR(-(X46/X$15),"")</f>
        <v>0.182669976775847</v>
      </c>
      <c r="Y47" s="51">
        <f>IFERROR(-(Y46/Y$15),"")</f>
        <v>0.156364749082007</v>
      </c>
      <c r="Z47" s="51">
        <f>IFERROR(-(Z46/Z$15),"")</f>
        <v>0.125515867368721</v>
      </c>
      <c r="AA47" s="51">
        <f>IFERROR(-(AA46/AA$15),"")</f>
        <v>0.114709037275409</v>
      </c>
      <c r="AB47" s="51">
        <f>IFERROR(-(AB46/AB$15),"")</f>
        <v>0.143043151350657</v>
      </c>
      <c r="AC47" s="51">
        <f>IFERROR(-(AC46/AC$15),"")</f>
        <v>0.149093575046654</v>
      </c>
      <c r="AD47" s="51">
        <f>IFERROR(-(AD46/AD$15),"")</f>
        <v>0.165997993981946</v>
      </c>
      <c r="AE47" s="51">
        <f>IFERROR(-(AE46/AE$15),"")</f>
        <v>0.139217318900916</v>
      </c>
      <c r="AF47" s="41">
        <f>IFERROR(-(AF46/AF$15),"")</f>
        <v>0.126404639842577</v>
      </c>
      <c r="AG47" s="51">
        <f>IFERROR(-(AG46/AG$15),"")</f>
        <v>0.144020386046103</v>
      </c>
      <c r="AH47" s="52">
        <f>IFERROR(-(AH46/AH$15),"")</f>
        <v>0.112543381259296</v>
      </c>
      <c r="AI47" s="52">
        <f>IFERROR(-(AI46/AI$15),"")</f>
        <v>0.0785373931262884</v>
      </c>
      <c r="AJ47" s="52">
        <f>Control!$B$20</f>
        <v>0.128632383692946</v>
      </c>
      <c r="AK47" s="52">
        <f>Control!$B$20</f>
        <v>0.128632383692946</v>
      </c>
      <c r="AL47" s="51">
        <f>IFERROR(-(AL46/AL$15),"")</f>
        <v>0.110880334116795</v>
      </c>
      <c r="AM47" s="52">
        <f>Control!$C$20</f>
        <v>0.128632383692946</v>
      </c>
      <c r="AN47" s="52">
        <f>Control!$C$20</f>
        <v>0.128632383692946</v>
      </c>
      <c r="AO47" s="52">
        <f>Control!$C$20</f>
        <v>0.128632383692946</v>
      </c>
      <c r="AP47" s="52">
        <f>Control!$C$20</f>
        <v>0.128632383692946</v>
      </c>
      <c r="AQ47" s="51">
        <f>IFERROR(-(AQ46/AQ$15),"")</f>
        <v>0.128632383692946</v>
      </c>
      <c r="AR47" s="52">
        <f>Control!$D$20</f>
        <v>0.128632383692946</v>
      </c>
      <c r="AS47" s="52">
        <f>Control!$D$20</f>
        <v>0.128632383692946</v>
      </c>
      <c r="AT47" s="52">
        <f>Control!$D$20</f>
        <v>0.128632383692946</v>
      </c>
      <c r="AU47" s="52">
        <f>Control!$D$20</f>
        <v>0.128632383692946</v>
      </c>
      <c r="AV47" s="51">
        <f>IFERROR(-(AV46/AV$15),"")</f>
        <v>0.128632383692946</v>
      </c>
      <c r="AW47" s="52">
        <f>Control!$E$20</f>
        <v>0.128632383692946</v>
      </c>
      <c r="AX47" s="52">
        <f>Control!$E$20</f>
        <v>0.128632383692946</v>
      </c>
      <c r="AY47" s="52">
        <f>Control!$E$20</f>
        <v>0.128632383692946</v>
      </c>
      <c r="AZ47" s="52">
        <f>Control!$E$20</f>
        <v>0.128632383692946</v>
      </c>
      <c r="BA47" s="51">
        <f>IFERROR(-(BA46/BA$15),"")</f>
        <v>0.128632383692946</v>
      </c>
      <c r="BB47" s="52">
        <f>Control!$F$20</f>
        <v>0.128632383692946</v>
      </c>
      <c r="BC47" s="52">
        <f>Control!$F$20</f>
        <v>0.128632383692946</v>
      </c>
      <c r="BD47" s="52">
        <f>Control!$F$20</f>
        <v>0.128632383692946</v>
      </c>
      <c r="BE47" s="52">
        <f>Control!$F$20</f>
        <v>0.128632383692946</v>
      </c>
      <c r="BF47" s="51">
        <f>IFERROR(-(BF46/BF$15),"")</f>
        <v>0.128632383692946</v>
      </c>
      <c r="BG47" s="52" t="n"/>
      <c r="BH47" s="52" t="n"/>
      <c r="BI47" s="52" t="n"/>
      <c r="BJ47" s="52" t="n"/>
      <c r="BK47" s="51" t="n"/>
      <c r="BL47" s="52" t="n"/>
      <c r="BM47" s="52" t="n"/>
      <c r="BN47" s="52" t="n"/>
      <c r="BO47" s="52" t="n"/>
      <c r="BP47" s="51" t="n"/>
      <c r="BQ47" s="52" t="n"/>
      <c r="BR47" s="52" t="n"/>
      <c r="BS47" s="52" t="n"/>
      <c r="BT47" s="52" t="n"/>
      <c r="BU47" s="51" t="n"/>
      <c r="BV47" s="52" t="n"/>
      <c r="BW47" s="52" t="n"/>
      <c r="BX47" s="52" t="n"/>
      <c r="BY47" s="52" t="n"/>
      <c r="BZ47" s="51" t="n"/>
      <c r="CA47" s="52" t="n"/>
      <c r="CB47" s="52" t="n"/>
      <c r="CC47" s="52" t="n"/>
      <c r="CD47" s="52" t="n"/>
      <c r="CE47" s="51" t="n"/>
      <c r="CF47" s="52" t="n"/>
      <c r="CG47" s="52" t="n"/>
      <c r="CH47" s="52" t="n"/>
      <c r="CI47" s="52" t="n"/>
      <c r="CJ47" s="51" t="n"/>
      <c r="CK47" s="52" t="n"/>
      <c r="CL47" s="52" t="n"/>
      <c r="CM47" s="52" t="n"/>
      <c r="CN47" s="52" t="n"/>
      <c r="CO47" s="51" t="n"/>
      <c r="CP47" s="52" t="n"/>
      <c r="CQ47" s="52" t="n"/>
      <c r="CR47" s="52" t="n"/>
      <c r="CS47" s="52" t="n"/>
      <c r="CT47" s="51" t="n"/>
      <c r="CU47" s="52" t="n"/>
      <c r="CV47" s="52" t="n"/>
      <c r="CW47" s="52" t="n"/>
      <c r="CX47" s="52" t="n"/>
      <c r="CY47" s="51" t="n"/>
    </row>
    <row r="48" hidden="1" outlineLevel="1"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</row>
    <row r="49" hidden="1" outlineLevel="1">
      <c r="C49" s="50" t="inlineStr">
        <is>
          <t>Com Vendas</t>
        </is>
      </c>
      <c r="D49" s="11" t="n"/>
      <c r="E49" s="11" t="n"/>
      <c r="F49" s="11" t="n"/>
      <c r="G49" s="11" t="n"/>
      <c r="H49" s="50" t="n"/>
      <c r="I49" s="11" t="n"/>
      <c r="J49" s="11" t="n"/>
      <c r="K49" s="11" t="n"/>
      <c r="L49" s="11" t="n"/>
      <c r="M49" s="50" t="n"/>
      <c r="N49" s="11" t="n"/>
      <c r="O49" s="11" t="n"/>
      <c r="P49" s="11" t="n"/>
      <c r="Q49" s="11" t="n"/>
      <c r="R49" s="50" t="n"/>
      <c r="S49" s="11" t="n"/>
      <c r="T49" s="11" t="n"/>
      <c r="U49" s="11" t="n"/>
      <c r="V49" s="11" t="n"/>
      <c r="W49" s="50" t="n"/>
      <c r="X49" s="11" t="n"/>
      <c r="Y49" s="11" t="n"/>
      <c r="Z49" s="11" t="n"/>
      <c r="AA49" s="11" t="n"/>
      <c r="AB49" s="50" t="n"/>
      <c r="AC49" s="11" t="n"/>
      <c r="AD49" s="11" t="n"/>
      <c r="AE49" s="11" t="n"/>
      <c r="AF49" s="11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</row>
    <row r="50" hidden="1" outlineLevel="1">
      <c r="C50" s="50" t="inlineStr">
        <is>
          <t>Gerais &amp; Administrativas</t>
        </is>
      </c>
      <c r="D50" s="11" t="n"/>
      <c r="E50" s="11" t="n"/>
      <c r="F50" s="11" t="n"/>
      <c r="G50" s="11" t="n"/>
      <c r="H50" s="50" t="n"/>
      <c r="I50" s="11" t="n"/>
      <c r="J50" s="11" t="n"/>
      <c r="K50" s="11" t="n"/>
      <c r="L50" s="11" t="n"/>
      <c r="M50" s="50" t="n"/>
      <c r="N50" s="11" t="n"/>
      <c r="O50" s="11" t="n"/>
      <c r="P50" s="11" t="n"/>
      <c r="Q50" s="11" t="n"/>
      <c r="R50" s="50" t="n"/>
      <c r="S50" s="11" t="n"/>
      <c r="T50" s="11" t="n"/>
      <c r="U50" s="11" t="n"/>
      <c r="V50" s="11" t="n"/>
      <c r="W50" s="50" t="n"/>
      <c r="X50" s="11" t="n"/>
      <c r="Y50" s="11" t="n"/>
      <c r="Z50" s="11" t="n"/>
      <c r="AA50" s="11" t="n"/>
      <c r="AB50" s="50" t="n"/>
      <c r="AC50" s="11" t="n"/>
      <c r="AD50" s="11" t="n"/>
      <c r="AE50" s="11" t="n"/>
      <c r="AF50" s="11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</row>
    <row r="51" hidden="1" outlineLevel="1">
      <c r="C51" s="50" t="inlineStr">
        <is>
          <t>Outras Receitas (Despesas) Operacionais, Líquidas</t>
        </is>
      </c>
      <c r="D51" s="11" t="n"/>
      <c r="E51" s="11" t="n"/>
      <c r="F51" s="11" t="n"/>
      <c r="G51" s="11" t="n"/>
      <c r="H51" s="50" t="n"/>
      <c r="I51" s="11" t="n"/>
      <c r="J51" s="11" t="n"/>
      <c r="K51" s="11" t="n"/>
      <c r="L51" s="11" t="n"/>
      <c r="M51" s="50" t="n"/>
      <c r="N51" s="11" t="n"/>
      <c r="O51" s="11" t="n"/>
      <c r="P51" s="11" t="n"/>
      <c r="Q51" s="11" t="n"/>
      <c r="R51" s="50" t="n"/>
      <c r="S51" s="11" t="n"/>
      <c r="T51" s="11" t="n"/>
      <c r="U51" s="11" t="n"/>
      <c r="V51" s="11" t="n"/>
      <c r="W51" s="50" t="n"/>
      <c r="X51" s="11" t="n"/>
      <c r="Y51" s="11" t="n"/>
      <c r="Z51" s="11" t="n"/>
      <c r="AA51" s="11" t="n"/>
      <c r="AB51" s="50" t="n"/>
      <c r="AC51" s="11" t="n"/>
      <c r="AD51" s="11" t="n"/>
      <c r="AE51" s="11" t="n"/>
      <c r="AF51" s="11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</row>
    <row r="52" hidden="1" outlineLevel="1"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50" t="n"/>
      <c r="BE52" s="50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  <c r="BW52" s="50" t="n"/>
      <c r="BX52" s="50" t="n"/>
      <c r="BY52" s="50" t="n"/>
      <c r="BZ52" s="50" t="n"/>
      <c r="CA52" s="50" t="n"/>
      <c r="CB52" s="50" t="n"/>
      <c r="CC52" s="50" t="n"/>
      <c r="CD52" s="50" t="n"/>
      <c r="CE52" s="50" t="n"/>
      <c r="CF52" s="50" t="n"/>
      <c r="CG52" s="50" t="n"/>
      <c r="CH52" s="50" t="n"/>
      <c r="CI52" s="50" t="n"/>
      <c r="CJ52" s="50" t="n"/>
      <c r="CK52" s="50" t="n"/>
      <c r="CL52" s="50" t="n"/>
      <c r="CM52" s="50" t="n"/>
      <c r="CN52" s="50" t="n"/>
      <c r="CO52" s="50" t="n"/>
      <c r="CP52" s="50" t="n"/>
      <c r="CQ52" s="50" t="n"/>
      <c r="CR52" s="50" t="n"/>
      <c r="CS52" s="50" t="n"/>
      <c r="CT52" s="50" t="n"/>
      <c r="CU52" s="50" t="n"/>
      <c r="CV52" s="50" t="n"/>
      <c r="CW52" s="50" t="n"/>
      <c r="CX52" s="50" t="n"/>
      <c r="CY52" s="50" t="n"/>
    </row>
    <row r="53" hidden="1" outlineLevel="1">
      <c r="C53" s="50" t="inlineStr">
        <is>
          <t>Com Vendas (%)</t>
        </is>
      </c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  <c r="AV53" s="50" t="n"/>
      <c r="AW53" s="50" t="n"/>
      <c r="AX53" s="50" t="n"/>
      <c r="AY53" s="50" t="n"/>
      <c r="AZ53" s="50" t="n"/>
      <c r="BA53" s="50" t="n"/>
      <c r="BB53" s="50" t="n"/>
      <c r="BC53" s="50" t="n"/>
      <c r="BD53" s="50" t="n"/>
      <c r="BE53" s="50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50" t="n"/>
      <c r="BP53" s="50" t="n"/>
      <c r="BQ53" s="50" t="n"/>
      <c r="BR53" s="50" t="n"/>
      <c r="BS53" s="50" t="n"/>
      <c r="BT53" s="50" t="n"/>
      <c r="BU53" s="50" t="n"/>
      <c r="BV53" s="50" t="n"/>
      <c r="BW53" s="50" t="n"/>
      <c r="BX53" s="50" t="n"/>
      <c r="BY53" s="50" t="n"/>
      <c r="BZ53" s="50" t="n"/>
      <c r="CA53" s="50" t="n"/>
      <c r="CB53" s="50" t="n"/>
      <c r="CC53" s="50" t="n"/>
      <c r="CD53" s="50" t="n"/>
      <c r="CE53" s="50" t="n"/>
      <c r="CF53" s="50" t="n"/>
      <c r="CG53" s="50" t="n"/>
      <c r="CH53" s="50" t="n"/>
      <c r="CI53" s="50" t="n"/>
      <c r="CJ53" s="50" t="n"/>
      <c r="CK53" s="50" t="n"/>
      <c r="CL53" s="50" t="n"/>
      <c r="CM53" s="50" t="n"/>
      <c r="CN53" s="50" t="n"/>
      <c r="CO53" s="50" t="n"/>
      <c r="CP53" s="50" t="n"/>
      <c r="CQ53" s="50" t="n"/>
      <c r="CR53" s="50" t="n"/>
      <c r="CS53" s="50" t="n"/>
      <c r="CT53" s="50" t="n"/>
      <c r="CU53" s="50" t="n"/>
      <c r="CV53" s="50" t="n"/>
      <c r="CW53" s="50" t="n"/>
      <c r="CX53" s="50" t="n"/>
      <c r="CY53" s="50" t="n"/>
    </row>
    <row r="54" hidden="1" outlineLevel="1">
      <c r="C54" s="50" t="inlineStr">
        <is>
          <t>Gerais &amp; Administrativas (%)</t>
        </is>
      </c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50" t="n"/>
      <c r="BE54" s="50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  <c r="BW54" s="50" t="n"/>
      <c r="BX54" s="50" t="n"/>
      <c r="BY54" s="50" t="n"/>
      <c r="BZ54" s="50" t="n"/>
      <c r="CA54" s="50" t="n"/>
      <c r="CB54" s="50" t="n"/>
      <c r="CC54" s="50" t="n"/>
      <c r="CD54" s="50" t="n"/>
      <c r="CE54" s="50" t="n"/>
      <c r="CF54" s="50" t="n"/>
      <c r="CG54" s="50" t="n"/>
      <c r="CH54" s="50" t="n"/>
      <c r="CI54" s="50" t="n"/>
      <c r="CJ54" s="50" t="n"/>
      <c r="CK54" s="50" t="n"/>
      <c r="CL54" s="50" t="n"/>
      <c r="CM54" s="50" t="n"/>
      <c r="CN54" s="50" t="n"/>
      <c r="CO54" s="50" t="n"/>
      <c r="CP54" s="50" t="n"/>
      <c r="CQ54" s="50" t="n"/>
      <c r="CR54" s="50" t="n"/>
      <c r="CS54" s="50" t="n"/>
      <c r="CT54" s="50" t="n"/>
      <c r="CU54" s="50" t="n"/>
      <c r="CV54" s="50" t="n"/>
      <c r="CW54" s="50" t="n"/>
      <c r="CX54" s="50" t="n"/>
      <c r="CY54" s="50" t="n"/>
    </row>
    <row r="55" hidden="1" outlineLevel="1">
      <c r="C55" s="50" t="inlineStr">
        <is>
          <t>Outras Receitas (Despesas) Operacionais, Líquidas (%)</t>
        </is>
      </c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  <c r="AV55" s="50" t="n"/>
      <c r="AW55" s="50" t="n"/>
      <c r="AX55" s="50" t="n"/>
      <c r="AY55" s="50" t="n"/>
      <c r="AZ55" s="50" t="n"/>
      <c r="BA55" s="50" t="n"/>
      <c r="BB55" s="50" t="n"/>
      <c r="BC55" s="50" t="n"/>
      <c r="BD55" s="50" t="n"/>
      <c r="BE55" s="50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50" t="n"/>
      <c r="BP55" s="50" t="n"/>
      <c r="BQ55" s="50" t="n"/>
      <c r="BR55" s="50" t="n"/>
      <c r="BS55" s="50" t="n"/>
      <c r="BT55" s="50" t="n"/>
      <c r="BU55" s="50" t="n"/>
      <c r="BV55" s="50" t="n"/>
      <c r="BW55" s="50" t="n"/>
      <c r="BX55" s="50" t="n"/>
      <c r="BY55" s="50" t="n"/>
      <c r="BZ55" s="50" t="n"/>
      <c r="CA55" s="50" t="n"/>
      <c r="CB55" s="50" t="n"/>
      <c r="CC55" s="50" t="n"/>
      <c r="CD55" s="50" t="n"/>
      <c r="CE55" s="50" t="n"/>
      <c r="CF55" s="50" t="n"/>
      <c r="CG55" s="50" t="n"/>
      <c r="CH55" s="50" t="n"/>
      <c r="CI55" s="50" t="n"/>
      <c r="CJ55" s="50" t="n"/>
      <c r="CK55" s="50" t="n"/>
      <c r="CL55" s="50" t="n"/>
      <c r="CM55" s="50" t="n"/>
      <c r="CN55" s="50" t="n"/>
      <c r="CO55" s="50" t="n"/>
      <c r="CP55" s="50" t="n"/>
      <c r="CQ55" s="50" t="n"/>
      <c r="CR55" s="50" t="n"/>
      <c r="CS55" s="50" t="n"/>
      <c r="CT55" s="50" t="n"/>
      <c r="CU55" s="50" t="n"/>
      <c r="CV55" s="50" t="n"/>
      <c r="CW55" s="50" t="n"/>
      <c r="CX55" s="50" t="n"/>
      <c r="CY55" s="50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collapsed="1" customFormat="1" s="32">
      <c r="A57" s="30" t="n"/>
      <c r="B57" s="3" t="n"/>
      <c r="C57" s="33" t="inlineStr">
        <is>
          <t>EBITDA</t>
        </is>
      </c>
      <c r="D57" s="35" t="n"/>
      <c r="E57" s="35" t="n"/>
      <c r="F57" s="35" t="n"/>
      <c r="G57" s="35" t="n"/>
      <c r="H57" s="35" t="n"/>
      <c r="I57" s="35">
        <f>SUM(I15,I42,I46)</f>
        <v>3479</v>
      </c>
      <c r="J57" s="35">
        <f>SUM(J15,J42,J46)</f>
        <v>3629</v>
      </c>
      <c r="K57" s="35">
        <f>SUM(K15,K42,K46)</f>
        <v>4082</v>
      </c>
      <c r="L57" s="35">
        <f>SUM(L15,L42,L46)</f>
        <v>4395</v>
      </c>
      <c r="M57" s="35">
        <f>SUM(I57:L57)</f>
        <v>15585</v>
      </c>
      <c r="N57" s="35">
        <f>SUM(N15,N42,N46)</f>
        <v>4658</v>
      </c>
      <c r="O57" s="35">
        <f>SUM(O15,O42,O46)</f>
        <v>4954</v>
      </c>
      <c r="P57" s="35">
        <f>SUM(P15,P42,P46)</f>
        <v>5202</v>
      </c>
      <c r="Q57" s="35">
        <f>SUM(Q15,Q42,Q46)</f>
        <v>5135</v>
      </c>
      <c r="R57" s="35">
        <f>SUM(N57:Q57)</f>
        <v>19949</v>
      </c>
      <c r="S57" s="35">
        <f>SUM(S15,S42,S46)</f>
        <v>4947</v>
      </c>
      <c r="T57" s="35">
        <f>SUM(T15,T42,T46)</f>
        <v>4788</v>
      </c>
      <c r="U57" s="35">
        <f>SUM(U15,U42,U46)</f>
        <v>5172</v>
      </c>
      <c r="V57" s="35">
        <f>SUM(V15,V42,V46)</f>
        <v>4428</v>
      </c>
      <c r="W57" s="35">
        <f>SUM(S57:V57)</f>
        <v>19335</v>
      </c>
      <c r="X57" s="35">
        <f>SUM(X15,X42,X46)</f>
        <v>5495</v>
      </c>
      <c r="Y57" s="35">
        <f>SUM(Y15,Y42,Y46)</f>
        <v>6312</v>
      </c>
      <c r="Z57" s="35">
        <f>SUM(Z15,Z42,Z46)</f>
        <v>7238</v>
      </c>
      <c r="AA57" s="35">
        <f>SUM(AA15,AA42,AA46)</f>
        <v>8434</v>
      </c>
      <c r="AB57" s="35">
        <f>SUM(X57:AA57)</f>
        <v>27479</v>
      </c>
      <c r="AC57" s="35">
        <f>SUM(AC15,AC42,AC46)</f>
        <v>7960</v>
      </c>
      <c r="AD57" s="35">
        <f>SUM(AD15,AD42,AD46)</f>
        <v>8055</v>
      </c>
      <c r="AE57" s="35">
        <f>SUM(AE15,AE42,AE46)</f>
        <v>9741</v>
      </c>
      <c r="AF57" s="35">
        <f>SUM(AF15,AF42,AF46)</f>
        <v>10716</v>
      </c>
      <c r="AG57" s="35">
        <f>SUM(AC57:AF57)</f>
        <v>36472</v>
      </c>
      <c r="AH57" s="35">
        <f>SUM(AH15,AH42,AH46)</f>
        <v>12918</v>
      </c>
      <c r="AI57" s="35">
        <f>SUM(AI15,AI42,AI46)</f>
        <v>18132</v>
      </c>
      <c r="AJ57" s="35">
        <f>SUM(AJ15,AJ42,AJ46)</f>
        <v>13868.2693479945</v>
      </c>
      <c r="AK57" s="35">
        <f>SUM(AK15,AK42,AK46)</f>
        <v>14865.9533377253</v>
      </c>
      <c r="AL57" s="35">
        <f>SUM(AH57:AK57)</f>
        <v>59784.2226857198</v>
      </c>
      <c r="AM57" s="35">
        <f>SUM(AM15,AM42,AM46)</f>
        <v>17079.9495988872</v>
      </c>
      <c r="AN57" s="35">
        <f>SUM(AN15,AN42,AN46)</f>
        <v>22779.6812809606</v>
      </c>
      <c r="AO57" s="35">
        <f>SUM(AO15,AO42,AO46)</f>
        <v>19258.6827885176</v>
      </c>
      <c r="AP57" s="35">
        <f>SUM(AP15,AP42,AP46)</f>
        <v>20644.1533904559</v>
      </c>
      <c r="AQ57" s="35">
        <f>SUM(AM57:AP57)</f>
        <v>79762.4670588213</v>
      </c>
      <c r="AR57" s="35">
        <f>SUM(AR15,AR42,AR46)</f>
        <v>23633.3010584913</v>
      </c>
      <c r="AS57" s="35">
        <f>SUM(AS15,AS42,AS46)</f>
        <v>31519.9446352285</v>
      </c>
      <c r="AT57" s="35">
        <f>SUM(AT15,AT42,AT46)</f>
        <v>26647.9854460855</v>
      </c>
      <c r="AU57" s="35">
        <f>SUM(AU15,AU42,AU46)</f>
        <v>28565.0428503667</v>
      </c>
      <c r="AV57" s="35">
        <f>SUM(AR57:AU57)</f>
        <v>110366.273990172</v>
      </c>
      <c r="AW57" s="35">
        <f>SUM(AW15,AW42,AW46)</f>
        <v>32582.9205610109</v>
      </c>
      <c r="AX57" s="35">
        <f>SUM(AX15,AX42,AX46)</f>
        <v>43456.1320737762</v>
      </c>
      <c r="AY57" s="35">
        <f>SUM(AY15,AY42,AY46)</f>
        <v>36739.226177158</v>
      </c>
      <c r="AZ57" s="35">
        <f>SUM(AZ15,AZ42,AZ46)</f>
        <v>39382.2479437745</v>
      </c>
      <c r="BA57" s="35">
        <f>SUM(AW57:AZ57)</f>
        <v>152160.52675572</v>
      </c>
      <c r="BB57" s="35">
        <f>SUM(BB15,BB42,BB46)</f>
        <v>44758.7283643633</v>
      </c>
      <c r="BC57" s="35">
        <f>SUM(BC15,BC42,BC46)</f>
        <v>59695.115654657</v>
      </c>
      <c r="BD57" s="35">
        <f>SUM(BD15,BD42,BD46)</f>
        <v>50468.1905878022</v>
      </c>
      <c r="BE57" s="35">
        <f>SUM(BE15,BE42,BE46)</f>
        <v>54098.8747399972</v>
      </c>
      <c r="BF57" s="35">
        <f>SUM(BB57:BE57)</f>
        <v>209020.90934682</v>
      </c>
      <c r="BG57" s="35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5" t="n"/>
      <c r="BW57" s="35" t="n"/>
      <c r="BX57" s="35" t="n"/>
      <c r="BY57" s="35" t="n"/>
      <c r="BZ57" s="35" t="n"/>
      <c r="CA57" s="35" t="n"/>
      <c r="CB57" s="35" t="n"/>
      <c r="CC57" s="35" t="n"/>
      <c r="CD57" s="35" t="n"/>
      <c r="CE57" s="35" t="n"/>
      <c r="CF57" s="35" t="n"/>
      <c r="CG57" s="35" t="n"/>
      <c r="CH57" s="35" t="n"/>
      <c r="CI57" s="35" t="n"/>
      <c r="CJ57" s="35" t="n"/>
      <c r="CK57" s="35" t="n"/>
      <c r="CL57" s="35" t="n"/>
      <c r="CM57" s="35" t="n"/>
      <c r="CN57" s="35" t="n"/>
      <c r="CO57" s="35" t="n"/>
      <c r="CP57" s="35" t="n"/>
      <c r="CQ57" s="35" t="n"/>
      <c r="CR57" s="35" t="n"/>
      <c r="CS57" s="35" t="n"/>
      <c r="CT57" s="35" t="n"/>
      <c r="CU57" s="35" t="n"/>
      <c r="CV57" s="35" t="n"/>
      <c r="CW57" s="35" t="n"/>
      <c r="CX57" s="35" t="n"/>
      <c r="CY57" s="35" t="n"/>
    </row>
    <row r="58" ht="13.5" customHeight="1">
      <c r="C58" s="13" t="inlineStr">
        <is>
          <t>D&amp;A</t>
        </is>
      </c>
      <c r="D58" s="46" t="n"/>
      <c r="E58" s="46" t="n"/>
      <c r="F58" s="46" t="n"/>
      <c r="G58" s="46" t="n"/>
      <c r="H58" s="12" t="n"/>
      <c r="I58" s="46">
        <f>'Inputs (2)'!D7</f>
        <v>-1504</v>
      </c>
      <c r="J58" s="46">
        <f>'Inputs (2)'!E7</f>
        <v>-1503</v>
      </c>
      <c r="K58" s="46">
        <f>'Inputs (2)'!F7</f>
        <v>-1501</v>
      </c>
      <c r="L58" s="46">
        <f>'Inputs (2)'!G7</f>
        <v>-1287</v>
      </c>
      <c r="M58" s="12">
        <f>'Inputs (2)'!H7</f>
        <v>-5795</v>
      </c>
      <c r="N58" s="46">
        <f>'Inputs (2)'!I7</f>
        <v>-1264</v>
      </c>
      <c r="O58" s="46">
        <f>'Inputs (2)'!J7</f>
        <v>-1217</v>
      </c>
      <c r="P58" s="46">
        <f>'Inputs (2)'!K7</f>
        <v>-1216</v>
      </c>
      <c r="Q58" s="46">
        <f>'Inputs (2)'!L7</f>
        <v>-1032</v>
      </c>
      <c r="R58" s="12">
        <f>'Inputs (2)'!M7</f>
        <v>-4729</v>
      </c>
      <c r="S58" s="46">
        <f>'Inputs (2)'!N7</f>
        <v>-939</v>
      </c>
      <c r="T58" s="46">
        <f>'Inputs (2)'!O7</f>
        <v>-932</v>
      </c>
      <c r="U58" s="46">
        <f>'Inputs (2)'!P7</f>
        <v>-932</v>
      </c>
      <c r="V58" s="46">
        <f>'Inputs (2)'!Q7</f>
        <v>-2345</v>
      </c>
      <c r="W58" s="12">
        <f>'Inputs (2)'!R7</f>
        <v>-5148</v>
      </c>
      <c r="X58" s="46">
        <f>'Inputs (2)'!S7</f>
        <v>-2530</v>
      </c>
      <c r="Y58" s="46">
        <f>'Inputs (2)'!T7</f>
        <v>-2524</v>
      </c>
      <c r="Z58" s="46">
        <f>'Inputs (2)'!U7</f>
        <v>-2611</v>
      </c>
      <c r="AA58" s="46">
        <f>'Inputs (2)'!V7</f>
        <v>-2174</v>
      </c>
      <c r="AB58" s="12">
        <f>'Inputs (2)'!W7</f>
        <v>-9839</v>
      </c>
      <c r="AC58" s="46">
        <f>'Inputs (2)'!X7</f>
        <v>-2131</v>
      </c>
      <c r="AD58" s="46">
        <f>'Inputs (2)'!Y7</f>
        <v>-2168</v>
      </c>
      <c r="AE58" s="46">
        <f>'Inputs (2)'!Z7</f>
        <v>-2233</v>
      </c>
      <c r="AF58" s="46">
        <f>'Inputs (2)'!AA7</f>
        <v>-2153</v>
      </c>
      <c r="AG58" s="12">
        <f>'Inputs (2)'!AB7</f>
        <v>-8685</v>
      </c>
      <c r="AH58" s="12">
        <f>'Inputs (2)'!AC7</f>
        <v>-2130</v>
      </c>
      <c r="AI58" s="12">
        <f>'Inputs (2)'!AD7</f>
        <v>-2177</v>
      </c>
      <c r="AJ58" s="12">
        <f>-AJ59*AJ15</f>
        <v>-2847.58810860545</v>
      </c>
      <c r="AK58" s="12">
        <f>-AK59*AK15</f>
        <v>-3052.44373939938</v>
      </c>
      <c r="AL58" s="12">
        <f>SUM(AH58:AK58)</f>
        <v>-10207.0318480048</v>
      </c>
      <c r="AM58" s="12">
        <f>-AM59*AM15</f>
        <v>-3507.04620403159</v>
      </c>
      <c r="AN58" s="12">
        <f>-AN59*AN15</f>
        <v>-4677.37883551173</v>
      </c>
      <c r="AO58" s="12">
        <f>-AO59*AO15</f>
        <v>-3954.40806057879</v>
      </c>
      <c r="AP58" s="12">
        <f>-AP59*AP15</f>
        <v>-4238.8883740126</v>
      </c>
      <c r="AQ58" s="12">
        <f>SUM(AM58:AP58)</f>
        <v>-16377.7214741347</v>
      </c>
      <c r="AR58" s="12">
        <f>-AR59*AR15</f>
        <v>-4852.65359163106</v>
      </c>
      <c r="AS58" s="12">
        <f>-AS59*AS15</f>
        <v>-6472.02742281312</v>
      </c>
      <c r="AT58" s="12">
        <f>-AT59*AT15</f>
        <v>-5471.66229400769</v>
      </c>
      <c r="AU58" s="12">
        <f>-AU59*AU15</f>
        <v>-5865.29395279393</v>
      </c>
      <c r="AV58" s="12">
        <f>SUM(AR58:AU58)</f>
        <v>-22661.6372612458</v>
      </c>
      <c r="AW58" s="12">
        <f>-AW59*AW15</f>
        <v>-6690.28952387546</v>
      </c>
      <c r="AX58" s="12">
        <f>-AX59*AX15</f>
        <v>-8922.89887325906</v>
      </c>
      <c r="AY58" s="12">
        <f>-AY59*AY15</f>
        <v>-7543.70866012709</v>
      </c>
      <c r="AZ58" s="12">
        <f>-AZ59*AZ15</f>
        <v>-8086.40343800801</v>
      </c>
      <c r="BA58" s="12">
        <f>SUM(AW58:AZ58)</f>
        <v>-31243.3004952696</v>
      </c>
      <c r="BB58" s="12">
        <f>-BB59*BB15</f>
        <v>-9190.36250655846</v>
      </c>
      <c r="BC58" s="12">
        <f>-BC59*BC15</f>
        <v>-12257.2685325448</v>
      </c>
      <c r="BD58" s="12">
        <f>-BD59*BD15</f>
        <v>-10362.6931215784</v>
      </c>
      <c r="BE58" s="12">
        <f>-BE59*BE15</f>
        <v>-11108.185782448</v>
      </c>
      <c r="BF58" s="12">
        <f>SUM(BB58:BE58)</f>
        <v>-42918.5099431297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 customFormat="1" s="56">
      <c r="A59" s="53" t="n"/>
      <c r="B59" s="53" t="n"/>
      <c r="C59" s="54" t="inlineStr">
        <is>
          <t>% of Revenue</t>
        </is>
      </c>
      <c r="D59" s="53" t="n"/>
      <c r="E59" s="53" t="n"/>
      <c r="F59" s="53" t="n"/>
      <c r="G59" s="53" t="n"/>
      <c r="H59" s="53" t="n"/>
      <c r="I59" s="53">
        <f>IFERROR(-I58/I15,"")</f>
        <v>0.227534039334342</v>
      </c>
      <c r="J59" s="53">
        <f>IFERROR(-J58/J15,"")</f>
        <v>0.221746827972853</v>
      </c>
      <c r="K59" s="53">
        <f>IFERROR(-K58/K15,"")</f>
        <v>0.202646145538005</v>
      </c>
      <c r="L59" s="53">
        <f>IFERROR(-L58/L15,"")</f>
        <v>0.167012717363094</v>
      </c>
      <c r="M59" s="53" t="n"/>
      <c r="N59" s="53">
        <f>IFERROR(-N58/N15,"")</f>
        <v>0.155991608046403</v>
      </c>
      <c r="O59" s="53">
        <f>IFERROR(-O58/O15,"")</f>
        <v>0.143785444234405</v>
      </c>
      <c r="P59" s="53">
        <f>IFERROR(-P58/P15,"")</f>
        <v>0.136170212765957</v>
      </c>
      <c r="Q59" s="53">
        <f>IFERROR(-Q58/Q15,"")</f>
        <v>0.1157599551318</v>
      </c>
      <c r="R59" s="53" t="n"/>
      <c r="S59" s="53">
        <f>IFERROR(-S58/S15,"")</f>
        <v>0.107523187907935</v>
      </c>
      <c r="T59" s="53">
        <f>IFERROR(-T58/T15,"")</f>
        <v>0.105002253267238</v>
      </c>
      <c r="U59" s="53">
        <f>IFERROR(-U58/U15,"")</f>
        <v>0.100268961807423</v>
      </c>
      <c r="V59" s="53">
        <f>IFERROR(-V58/V15,"")</f>
        <v>0.196053841652036</v>
      </c>
      <c r="W59" s="53" t="n"/>
      <c r="X59" s="53">
        <f>IFERROR(-X58/X15,"")</f>
        <v>0.20261071514375</v>
      </c>
      <c r="Y59" s="53">
        <f>IFERROR(-Y58/Y15,"")</f>
        <v>0.193084455324357</v>
      </c>
      <c r="Z59" s="53">
        <f>IFERROR(-Z58/Z15,"")</f>
        <v>0.185783406859257</v>
      </c>
      <c r="AA59" s="53">
        <f>IFERROR(-AA58/AA15,"")</f>
        <v>0.145749530705283</v>
      </c>
      <c r="AB59" s="53" t="n"/>
      <c r="AC59" s="53">
        <f>IFERROR(-AC58/AC15,"")</f>
        <v>0.142028792322047</v>
      </c>
      <c r="AD59" s="53">
        <f>IFERROR(-AD58/AD15,"")</f>
        <v>0.135907723169509</v>
      </c>
      <c r="AE59" s="53">
        <f>IFERROR(-AE58/AE15,"")</f>
        <v>0.123952262003886</v>
      </c>
      <c r="AF59" s="55">
        <f>IFERROR(-AF58/AF15,"")</f>
        <v>0.111490860131531</v>
      </c>
      <c r="AG59" s="53" t="n"/>
      <c r="AH59" s="55">
        <f>IFERROR(-AH58/AH15,"")</f>
        <v>0.096002163429035</v>
      </c>
      <c r="AI59" s="55">
        <f>IFERROR(-AI58/AI15,"")</f>
        <v>0.0735696664526376</v>
      </c>
      <c r="AJ59" s="55">
        <f>Control!$B$21</f>
        <v>0.113825244584774</v>
      </c>
      <c r="AK59" s="55">
        <f>Control!$B$21</f>
        <v>0.113825244584774</v>
      </c>
      <c r="AL59" s="53" t="n"/>
      <c r="AM59" s="55">
        <f>Control!$C$21</f>
        <v>0.113825244584774</v>
      </c>
      <c r="AN59" s="55">
        <f>Control!$C$21</f>
        <v>0.113825244584774</v>
      </c>
      <c r="AO59" s="55">
        <f>Control!$C$21</f>
        <v>0.113825244584774</v>
      </c>
      <c r="AP59" s="55">
        <f>Control!$C$21</f>
        <v>0.113825244584774</v>
      </c>
      <c r="AQ59" s="53" t="n"/>
      <c r="AR59" s="55">
        <f>Control!$D$21</f>
        <v>0.113825244584774</v>
      </c>
      <c r="AS59" s="55">
        <f>Control!$D$21</f>
        <v>0.113825244584774</v>
      </c>
      <c r="AT59" s="55">
        <f>Control!$D$21</f>
        <v>0.113825244584774</v>
      </c>
      <c r="AU59" s="55">
        <f>Control!$D$21</f>
        <v>0.113825244584774</v>
      </c>
      <c r="AV59" s="53" t="n"/>
      <c r="AW59" s="55">
        <f>Control!$E$21</f>
        <v>0.113825244584774</v>
      </c>
      <c r="AX59" s="55">
        <f>Control!$E$21</f>
        <v>0.113825244584774</v>
      </c>
      <c r="AY59" s="55">
        <f>Control!$E$21</f>
        <v>0.113825244584774</v>
      </c>
      <c r="AZ59" s="55">
        <f>Control!$E$21</f>
        <v>0.113825244584774</v>
      </c>
      <c r="BA59" s="53" t="n"/>
      <c r="BB59" s="55">
        <f>Control!$F$21</f>
        <v>0.113825244584774</v>
      </c>
      <c r="BC59" s="55">
        <f>Control!$F$21</f>
        <v>0.113825244584774</v>
      </c>
      <c r="BD59" s="55">
        <f>Control!$F$21</f>
        <v>0.113825244584774</v>
      </c>
      <c r="BE59" s="55">
        <f>Control!$F$21</f>
        <v>0.113825244584774</v>
      </c>
      <c r="BF59" s="53" t="n"/>
      <c r="BG59" s="55" t="n"/>
      <c r="BH59" s="55" t="n"/>
      <c r="BI59" s="55" t="n"/>
      <c r="BJ59" s="55" t="n"/>
      <c r="BK59" s="53" t="n"/>
      <c r="BL59" s="55" t="n"/>
      <c r="BM59" s="55" t="n"/>
      <c r="BN59" s="55" t="n"/>
      <c r="BO59" s="55" t="n"/>
      <c r="BP59" s="53" t="n"/>
      <c r="BQ59" s="55" t="n"/>
      <c r="BR59" s="55" t="n"/>
      <c r="BS59" s="55" t="n"/>
      <c r="BT59" s="55" t="n"/>
      <c r="BU59" s="53" t="n"/>
      <c r="BV59" s="55" t="n"/>
      <c r="BW59" s="55" t="n"/>
      <c r="BX59" s="55" t="n"/>
      <c r="BY59" s="55" t="n"/>
      <c r="BZ59" s="53" t="n"/>
      <c r="CA59" s="55" t="n"/>
      <c r="CB59" s="55" t="n"/>
      <c r="CC59" s="55" t="n"/>
      <c r="CD59" s="55" t="n"/>
      <c r="CE59" s="53" t="n"/>
      <c r="CF59" s="55" t="n"/>
      <c r="CG59" s="55" t="n"/>
      <c r="CH59" s="55" t="n"/>
      <c r="CI59" s="55" t="n"/>
      <c r="CJ59" s="53" t="n"/>
      <c r="CK59" s="55" t="n"/>
      <c r="CL59" s="55" t="n"/>
      <c r="CM59" s="55" t="n"/>
      <c r="CN59" s="55" t="n"/>
      <c r="CO59" s="53" t="n"/>
      <c r="CP59" s="55" t="n"/>
      <c r="CQ59" s="55" t="n"/>
      <c r="CR59" s="55" t="n"/>
      <c r="CS59" s="55" t="n"/>
      <c r="CT59" s="53" t="n"/>
      <c r="CU59" s="55" t="n"/>
      <c r="CV59" s="55" t="n"/>
      <c r="CW59" s="55" t="n"/>
      <c r="CX59" s="55" t="n"/>
      <c r="CY59" s="53" t="n"/>
    </row>
    <row r="60" hidden="1" outlineLevel="1">
      <c r="C60" s="50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collapsed="1" customFormat="1" s="32">
      <c r="A61" s="30" t="n"/>
      <c r="B61" s="3" t="n"/>
      <c r="C61" s="33" t="inlineStr">
        <is>
          <t>Operating Profit - EBIT</t>
        </is>
      </c>
      <c r="D61" s="35" t="n"/>
      <c r="E61" s="35" t="n"/>
      <c r="F61" s="35" t="n"/>
      <c r="G61" s="35" t="n"/>
      <c r="H61" s="35" t="n"/>
      <c r="I61" s="35">
        <f>SUM(I57,I58)</f>
        <v>1975</v>
      </c>
      <c r="J61" s="35">
        <f>SUM(J57,J58)</f>
        <v>2126</v>
      </c>
      <c r="K61" s="35">
        <f>SUM(K57,K58)</f>
        <v>2581</v>
      </c>
      <c r="L61" s="35">
        <f>SUM(L57,L58)</f>
        <v>3108</v>
      </c>
      <c r="M61" s="35">
        <f>SUM(I61:L61)</f>
        <v>9790</v>
      </c>
      <c r="N61" s="35">
        <f>SUM(N57,N58)</f>
        <v>3394</v>
      </c>
      <c r="O61" s="35">
        <f>SUM(O57,O58)</f>
        <v>3737</v>
      </c>
      <c r="P61" s="35">
        <f>SUM(P57,P58)</f>
        <v>3986</v>
      </c>
      <c r="Q61" s="35">
        <f>SUM(Q57,Q58)</f>
        <v>4103</v>
      </c>
      <c r="R61" s="35">
        <f>SUM(N61:Q61)</f>
        <v>15220</v>
      </c>
      <c r="S61" s="35">
        <f>SUM(S57,S58)</f>
        <v>4008</v>
      </c>
      <c r="T61" s="35">
        <f>SUM(T57,T58)</f>
        <v>3856</v>
      </c>
      <c r="U61" s="35">
        <f>SUM(U57,U58)</f>
        <v>4240</v>
      </c>
      <c r="V61" s="35">
        <f>SUM(V57,V58)</f>
        <v>2083</v>
      </c>
      <c r="W61" s="35">
        <f>SUM(S61:V61)</f>
        <v>14187</v>
      </c>
      <c r="X61" s="35">
        <f>SUM(X57,X58)</f>
        <v>2965</v>
      </c>
      <c r="Y61" s="35">
        <f>SUM(Y57,Y58)</f>
        <v>3788</v>
      </c>
      <c r="Z61" s="35">
        <f>SUM(Z57,Z58)</f>
        <v>4627</v>
      </c>
      <c r="AA61" s="35">
        <f>SUM(AA57,AA58)</f>
        <v>6260</v>
      </c>
      <c r="AB61" s="35">
        <f>SUM(X61:AA61)</f>
        <v>17640</v>
      </c>
      <c r="AC61" s="35">
        <f>SUM(AC57,AC58)</f>
        <v>5829</v>
      </c>
      <c r="AD61" s="35">
        <f>SUM(AD57,AD58)</f>
        <v>5887</v>
      </c>
      <c r="AE61" s="35">
        <f>SUM(AE57,AE58)</f>
        <v>7508</v>
      </c>
      <c r="AF61" s="35">
        <f>SUM(AF57,AF58)</f>
        <v>8563</v>
      </c>
      <c r="AG61" s="35">
        <f>SUM(AC61:AF61)</f>
        <v>27787</v>
      </c>
      <c r="AH61" s="35">
        <f>SUM(AH57,AH58)</f>
        <v>10788</v>
      </c>
      <c r="AI61" s="35">
        <f>SUM(AI57,AI58)</f>
        <v>15955</v>
      </c>
      <c r="AJ61" s="35">
        <f>SUM(AJ57,AJ58)</f>
        <v>11020.681239389</v>
      </c>
      <c r="AK61" s="35">
        <f>SUM(AK57,AK58)</f>
        <v>11813.5095983259</v>
      </c>
      <c r="AL61" s="35">
        <f>SUM(AL57,AL58)</f>
        <v>49577.1908377149</v>
      </c>
      <c r="AM61" s="35">
        <f>SUM(AM57,AM58)</f>
        <v>13572.9033948556</v>
      </c>
      <c r="AN61" s="35">
        <f>SUM(AN57,AN58)</f>
        <v>18102.3024454488</v>
      </c>
      <c r="AO61" s="35">
        <f>SUM(AO57,AO58)</f>
        <v>15304.2747279388</v>
      </c>
      <c r="AP61" s="35">
        <f>SUM(AP57,AP58)</f>
        <v>16405.2650164433</v>
      </c>
      <c r="AQ61" s="35">
        <f>SUM(AQ57,AQ58)</f>
        <v>63384.7455846866</v>
      </c>
      <c r="AR61" s="35">
        <f>SUM(AR57,AR58)</f>
        <v>18780.6474668602</v>
      </c>
      <c r="AS61" s="35">
        <f>SUM(AS57,AS58)</f>
        <v>25047.9172124154</v>
      </c>
      <c r="AT61" s="35">
        <f>SUM(AT57,AT58)</f>
        <v>21176.3231520778</v>
      </c>
      <c r="AU61" s="35">
        <f>SUM(AU57,AU58)</f>
        <v>22699.7488975728</v>
      </c>
      <c r="AV61" s="35">
        <f>SUM(AV57,AV58)</f>
        <v>87704.6367289262</v>
      </c>
      <c r="AW61" s="35">
        <f>SUM(AW57,AW58)</f>
        <v>25892.6310371354</v>
      </c>
      <c r="AX61" s="35">
        <f>SUM(AX57,AX58)</f>
        <v>34533.2332005172</v>
      </c>
      <c r="AY61" s="35">
        <f>SUM(AY57,AY58)</f>
        <v>29195.5175170309</v>
      </c>
      <c r="AZ61" s="35">
        <f>SUM(AZ57,AZ58)</f>
        <v>31295.8445057665</v>
      </c>
      <c r="BA61" s="35">
        <f>SUM(BA57,BA58)</f>
        <v>120917.22626045</v>
      </c>
      <c r="BB61" s="35">
        <f>SUM(BB57,BB58)</f>
        <v>35568.3658578048</v>
      </c>
      <c r="BC61" s="35">
        <f>SUM(BC57,BC58)</f>
        <v>47437.8471221122</v>
      </c>
      <c r="BD61" s="35">
        <f>SUM(BD57,BD58)</f>
        <v>40105.4974662238</v>
      </c>
      <c r="BE61" s="35">
        <f>SUM(BE57,BE58)</f>
        <v>42990.6889575492</v>
      </c>
      <c r="BF61" s="35">
        <f>SUM(BF57,BF58)</f>
        <v>166102.39940369</v>
      </c>
      <c r="BG61" s="35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5" t="n"/>
      <c r="BW61" s="35" t="n"/>
      <c r="BX61" s="35" t="n"/>
      <c r="BY61" s="35" t="n"/>
      <c r="BZ61" s="35" t="n"/>
      <c r="CA61" s="35" t="n"/>
      <c r="CB61" s="35" t="n"/>
      <c r="CC61" s="35" t="n"/>
      <c r="CD61" s="35" t="n"/>
      <c r="CE61" s="35" t="n"/>
      <c r="CF61" s="35" t="n"/>
      <c r="CG61" s="35" t="n"/>
      <c r="CH61" s="35" t="n"/>
      <c r="CI61" s="35" t="n"/>
      <c r="CJ61" s="35" t="n"/>
      <c r="CK61" s="35" t="n"/>
      <c r="CL61" s="35" t="n"/>
      <c r="CM61" s="35" t="n"/>
      <c r="CN61" s="35" t="n"/>
      <c r="CO61" s="35" t="n"/>
      <c r="CP61" s="35" t="n"/>
      <c r="CQ61" s="35" t="n"/>
      <c r="CR61" s="35" t="n"/>
      <c r="CS61" s="35" t="n"/>
      <c r="CT61" s="35" t="n"/>
      <c r="CU61" s="35" t="n"/>
      <c r="CV61" s="35" t="n"/>
      <c r="CW61" s="35" t="n"/>
      <c r="CX61" s="35" t="n"/>
      <c r="CY61" s="35" t="n"/>
    </row>
    <row r="62">
      <c r="C62" s="14" t="inlineStr">
        <is>
          <t>Interest Expense</t>
        </is>
      </c>
      <c r="D62" s="46" t="n"/>
      <c r="E62" s="46" t="n"/>
      <c r="F62" s="46" t="n"/>
      <c r="G62" s="46" t="n"/>
      <c r="H62" s="12" t="n"/>
      <c r="I62" s="46">
        <f>'Inputs (2)'!D8</f>
        <v>-466</v>
      </c>
      <c r="J62" s="46">
        <f>'Inputs (2)'!E8</f>
        <v>-415</v>
      </c>
      <c r="K62" s="46">
        <f>'Inputs (2)'!F8</f>
        <v>-434</v>
      </c>
      <c r="L62" s="46">
        <f>'Inputs (2)'!G8</f>
        <v>-407</v>
      </c>
      <c r="M62" s="12">
        <f>'Inputs (2)'!H8</f>
        <v>-1722</v>
      </c>
      <c r="N62" s="46">
        <f>'Inputs (2)'!I8</f>
        <v>-518</v>
      </c>
      <c r="O62" s="46">
        <f>'Inputs (2)'!J8</f>
        <v>-406</v>
      </c>
      <c r="P62" s="46">
        <f>'Inputs (2)'!K8</f>
        <v>-406</v>
      </c>
      <c r="Q62" s="46">
        <f>'Inputs (2)'!L8</f>
        <v>-406</v>
      </c>
      <c r="R62" s="12">
        <f>'Inputs (2)'!M8</f>
        <v>-1736</v>
      </c>
      <c r="S62" s="46">
        <f>'Inputs (2)'!N8</f>
        <v>-405</v>
      </c>
      <c r="T62" s="46">
        <f>'Inputs (2)'!O8</f>
        <v>-406</v>
      </c>
      <c r="U62" s="46">
        <f>'Inputs (2)'!P8</f>
        <v>-405</v>
      </c>
      <c r="V62" s="46">
        <f>'Inputs (2)'!Q8</f>
        <v>-926</v>
      </c>
      <c r="W62" s="12">
        <f>'Inputs (2)'!R8</f>
        <v>-2142</v>
      </c>
      <c r="X62" s="46">
        <f>'Inputs (2)'!S8</f>
        <v>-1047</v>
      </c>
      <c r="Y62" s="46">
        <f>'Inputs (2)'!T8</f>
        <v>-1064</v>
      </c>
      <c r="Z62" s="46">
        <f>'Inputs (2)'!U8</f>
        <v>-916</v>
      </c>
      <c r="AA62" s="46">
        <f>'Inputs (2)'!V8</f>
        <v>-873</v>
      </c>
      <c r="AB62" s="12">
        <f>'Inputs (2)'!W8</f>
        <v>-3900</v>
      </c>
      <c r="AC62" s="46">
        <f>'Inputs (2)'!X8</f>
        <v>-769</v>
      </c>
      <c r="AD62" s="46">
        <f>'Inputs (2)'!Y8</f>
        <v>-807</v>
      </c>
      <c r="AE62" s="46">
        <f>'Inputs (2)'!Z8</f>
        <v>-761</v>
      </c>
      <c r="AF62" s="46">
        <f>'Inputs (2)'!AA8</f>
        <v>-801</v>
      </c>
      <c r="AG62" s="12">
        <f>'Inputs (2)'!AB8</f>
        <v>-3138</v>
      </c>
      <c r="AH62" s="12">
        <f>'Inputs (2)'!AC8</f>
        <v>-776</v>
      </c>
      <c r="AI62" s="12">
        <f>'Inputs (2)'!AD8</f>
        <v>-778</v>
      </c>
      <c r="AJ62" s="12" t="str">
        <f>IF(Control!$E$9="","",-AI80*Control!$E$9/4)</f>
        <v/>
      </c>
      <c r="AK62" s="12" t="str">
        <f>IF(Control!$E$9="","",-AJ80*Control!$E$9/4)</f>
        <v/>
      </c>
      <c r="AL62" s="12">
        <f>SUM(AH62:AK62)</f>
        <v>-1554</v>
      </c>
      <c r="AM62" s="12" t="str">
        <f>IF(Control!$E$9="","",-AL80*Control!$E$9/4)</f>
        <v/>
      </c>
      <c r="AN62" s="12" t="str">
        <f>IF(Control!$E$9="","",-AM80*Control!$E$9/4)</f>
        <v/>
      </c>
      <c r="AO62" s="12" t="str">
        <f>IF(Control!$E$9="","",-AN80*Control!$E$9/4)</f>
        <v/>
      </c>
      <c r="AP62" s="12" t="str">
        <f>IF(Control!$E$9="","",-AO80*Control!$E$9/4)</f>
        <v/>
      </c>
      <c r="AQ62" s="12">
        <f>SUM(AM62:AP62)</f>
        <v>0</v>
      </c>
      <c r="AR62" s="12" t="str">
        <f>IF(Control!$E$9="","",-AQ80*Control!$E$9/4)</f>
        <v/>
      </c>
      <c r="AS62" s="12" t="str">
        <f>IF(Control!$E$9="","",-AR80*Control!$E$9/4)</f>
        <v/>
      </c>
      <c r="AT62" s="12" t="str">
        <f>IF(Control!$E$9="","",-AS80*Control!$E$9/4)</f>
        <v/>
      </c>
      <c r="AU62" s="12" t="str">
        <f>IF(Control!$E$9="","",-AT80*Control!$E$9/4)</f>
        <v/>
      </c>
      <c r="AV62" s="12">
        <f>SUM(AR62:AU62)</f>
        <v>0</v>
      </c>
      <c r="AW62" s="12" t="str">
        <f>IF(Control!$E$9="","",-AV80*Control!$E$9/4)</f>
        <v/>
      </c>
      <c r="AX62" s="12" t="str">
        <f>IF(Control!$E$9="","",-AW80*Control!$E$9/4)</f>
        <v/>
      </c>
      <c r="AY62" s="12" t="str">
        <f>IF(Control!$E$9="","",-AX80*Control!$E$9/4)</f>
        <v/>
      </c>
      <c r="AZ62" s="12" t="str">
        <f>IF(Control!$E$9="","",-AY80*Control!$E$9/4)</f>
        <v/>
      </c>
      <c r="BA62" s="12">
        <f>SUM(AW62:AZ62)</f>
        <v>0</v>
      </c>
      <c r="BB62" s="12" t="str">
        <f>IF(Control!$E$9="","",-BA80*Control!$E$9/4)</f>
        <v/>
      </c>
      <c r="BC62" s="12" t="str">
        <f>IF(Control!$E$9="","",-BB80*Control!$E$9/4)</f>
        <v/>
      </c>
      <c r="BD62" s="12" t="str">
        <f>IF(Control!$E$9="","",-BC80*Control!$E$9/4)</f>
        <v/>
      </c>
      <c r="BE62" s="12" t="str">
        <f>IF(Control!$E$9="","",-BD80*Control!$E$9/4)</f>
        <v/>
      </c>
      <c r="BF62" s="12">
        <f>SUM(BB62:BE62)</f>
        <v>0</v>
      </c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</row>
    <row r="63" hidden="1" outlineLevel="1">
      <c r="C63" s="50" t="inlineStr">
        <is>
          <t>% of Debt</t>
        </is>
      </c>
      <c r="D63" s="53" t="n"/>
      <c r="E63" s="53" t="n"/>
      <c r="F63" s="53" t="n"/>
      <c r="G63" s="53" t="n"/>
      <c r="H63" s="12" t="n"/>
      <c r="I63" s="53">
        <f>IFERROR(-I62/SUM(I200+I205),"")</f>
        <v>0.0115238142341362</v>
      </c>
      <c r="J63" s="53">
        <f>IFERROR(-J62/SUM(J200+J205),"")</f>
        <v>0.0102578045826433</v>
      </c>
      <c r="K63" s="53">
        <f>IFERROR(-K62/SUM(K200+K205),"")</f>
        <v>0.0109237352126856</v>
      </c>
      <c r="L63" s="53">
        <f>IFERROR(-L62/SUM(L200+L205),"")</f>
        <v>0.0103024933552715</v>
      </c>
      <c r="M63" s="12" t="n"/>
      <c r="N63" s="53">
        <f>IFERROR(-N62/SUM(N200+N205),"")</f>
        <v>0.0131252217098262</v>
      </c>
      <c r="O63" s="53">
        <f>IFERROR(-O62/SUM(O200+O205),"")</f>
        <v>0.0102797822509178</v>
      </c>
      <c r="P63" s="53">
        <f>IFERROR(-P62/SUM(P200+P205),"")</f>
        <v>0.0102745792736935</v>
      </c>
      <c r="Q63" s="53">
        <f>IFERROR(-Q62/SUM(Q200+Q205),"")</f>
        <v>0.0103355226312306</v>
      </c>
      <c r="R63" s="12" t="n"/>
      <c r="S63" s="53">
        <f>IFERROR(-S62/SUM(S200+S205),"")</f>
        <v>0.0103024598712828</v>
      </c>
      <c r="T63" s="53">
        <f>IFERROR(-T62/SUM(T200+T205),"")</f>
        <v>0.0103200223685214</v>
      </c>
      <c r="U63" s="53">
        <f>IFERROR(-U62/SUM(U200+U205),"")</f>
        <v>0.0103239950036962</v>
      </c>
      <c r="V63" s="53">
        <f>IFERROR(-V62/SUM(V200+V205),"")</f>
        <v>0.0122001027654445</v>
      </c>
      <c r="W63" s="12" t="n"/>
      <c r="X63" s="53">
        <f>IFERROR(-X62/SUM(X200+X205),"")</f>
        <v>0.0141455901426719</v>
      </c>
      <c r="Y63" s="53">
        <f>IFERROR(-Y62/SUM(Y200+Y205),"")</f>
        <v>0.0152089080747295</v>
      </c>
      <c r="Z63" s="53">
        <f>IFERROR(-Z62/SUM(Z200+Z205),"")</f>
        <v>0.013557114525057</v>
      </c>
      <c r="AA63" s="53">
        <f>IFERROR(-AA62/SUM(AA200+AA205),"")</f>
        <v>0.0131122425990177</v>
      </c>
      <c r="AB63" s="12" t="n"/>
      <c r="AC63" s="53">
        <f>IFERROR(-AC62/SUM(AC200+AC205),"")</f>
        <v>0.011429505662733</v>
      </c>
      <c r="AD63" s="53">
        <f>IFERROR(-AD62/SUM(AD200+AD205),"")</f>
        <v>0.0125644179420511</v>
      </c>
      <c r="AE63" s="53">
        <f>IFERROR(-AE62/SUM(AE200+AE205),"")</f>
        <v>0.0116832473593712</v>
      </c>
      <c r="AF63" s="55">
        <f>IFERROR(-AF62/SUM(AF200+AF205),"")</f>
        <v>0.0121258912757164</v>
      </c>
      <c r="AG63" s="12" t="n"/>
      <c r="AH63" s="11">
        <f>IFERROR(-AH62/SUM(AH200+AH205),"")</f>
        <v>0.0119555671961422</v>
      </c>
      <c r="AI63" s="11">
        <f>IFERROR(-AI62/SUM(AI200+AI205),"")</f>
        <v>0.0130934549554856</v>
      </c>
      <c r="AJ63" s="11" t="str">
        <f>IFERROR(Control!$E$9,0)</f>
        <v/>
      </c>
      <c r="AK63" s="11" t="str">
        <f>IFERROR(Control!$E$9,0)</f>
        <v/>
      </c>
      <c r="AL63" s="12" t="n"/>
      <c r="AM63" s="11" t="str">
        <f>IFERROR(Control!$E$9,0)</f>
        <v/>
      </c>
      <c r="AN63" s="11" t="str">
        <f>IFERROR(Control!$E$9,0)</f>
        <v/>
      </c>
      <c r="AO63" s="11" t="str">
        <f>IFERROR(Control!$E$9,0)</f>
        <v/>
      </c>
      <c r="AP63" s="11" t="str">
        <f>IFERROR(Control!$E$9,0)</f>
        <v/>
      </c>
      <c r="AQ63" s="12" t="n"/>
      <c r="AR63" s="11" t="str">
        <f>IFERROR(Control!$E$9,0)</f>
        <v/>
      </c>
      <c r="AS63" s="11" t="str">
        <f>IFERROR(Control!$E$9,0)</f>
        <v/>
      </c>
      <c r="AT63" s="11" t="str">
        <f>IFERROR(Control!$E$9,0)</f>
        <v/>
      </c>
      <c r="AU63" s="11" t="str">
        <f>IFERROR(Control!$E$9,0)</f>
        <v/>
      </c>
      <c r="AV63" s="12" t="n"/>
      <c r="AW63" s="11" t="str">
        <f>IFERROR(Control!$E$9,0)</f>
        <v/>
      </c>
      <c r="AX63" s="11" t="str">
        <f>IFERROR(Control!$E$9,0)</f>
        <v/>
      </c>
      <c r="AY63" s="11" t="str">
        <f>IFERROR(Control!$E$9,0)</f>
        <v/>
      </c>
      <c r="AZ63" s="11" t="str">
        <f>IFERROR(Control!$E$9,0)</f>
        <v/>
      </c>
      <c r="BA63" s="12" t="n"/>
      <c r="BB63" s="11" t="str">
        <f>IFERROR(Control!$E$9,0)</f>
        <v/>
      </c>
      <c r="BC63" s="11" t="str">
        <f>IFERROR(Control!$E$9,0)</f>
        <v/>
      </c>
      <c r="BD63" s="11" t="str">
        <f>IFERROR(Control!$E$9,0)</f>
        <v/>
      </c>
      <c r="BE63" s="11" t="str">
        <f>IFERROR(Control!$E$9,0)</f>
        <v/>
      </c>
      <c r="BF63" s="12" t="n"/>
      <c r="BG63" s="11" t="n"/>
      <c r="BH63" s="11" t="n"/>
      <c r="BI63" s="11" t="n"/>
      <c r="BJ63" s="11" t="n"/>
      <c r="BK63" s="12" t="n"/>
      <c r="BL63" s="11" t="n"/>
      <c r="BM63" s="11" t="n"/>
      <c r="BN63" s="11" t="n"/>
      <c r="BO63" s="11" t="n"/>
      <c r="BP63" s="12" t="n"/>
      <c r="BQ63" s="11" t="n"/>
      <c r="BR63" s="11" t="n"/>
      <c r="BS63" s="11" t="n"/>
      <c r="BT63" s="11" t="n"/>
      <c r="BU63" s="12" t="n"/>
      <c r="BV63" s="11" t="n"/>
      <c r="BW63" s="11" t="n"/>
      <c r="BX63" s="11" t="n"/>
      <c r="BY63" s="11" t="n"/>
      <c r="BZ63" s="12" t="n"/>
      <c r="CA63" s="11" t="n"/>
      <c r="CB63" s="11" t="n"/>
      <c r="CC63" s="11" t="n"/>
      <c r="CD63" s="11" t="n"/>
      <c r="CE63" s="12" t="n"/>
      <c r="CF63" s="11" t="n"/>
      <c r="CG63" s="11" t="n"/>
      <c r="CH63" s="11" t="n"/>
      <c r="CI63" s="11" t="n"/>
      <c r="CJ63" s="12" t="n"/>
      <c r="CK63" s="11" t="n"/>
      <c r="CL63" s="11" t="n"/>
      <c r="CM63" s="11" t="n"/>
      <c r="CN63" s="11" t="n"/>
      <c r="CO63" s="12" t="n"/>
      <c r="CP63" s="11" t="n"/>
      <c r="CQ63" s="11" t="n"/>
      <c r="CR63" s="11" t="n"/>
      <c r="CS63" s="11" t="n"/>
      <c r="CT63" s="12" t="n"/>
      <c r="CU63" s="11" t="n"/>
      <c r="CV63" s="11" t="n"/>
      <c r="CW63" s="11" t="n"/>
      <c r="CX63" s="11" t="n"/>
      <c r="CY63" s="12" t="n"/>
    </row>
    <row r="64" hidden="1" outlineLevel="1">
      <c r="C64" s="50" t="inlineStr">
        <is>
          <t>%CDI</t>
        </is>
      </c>
      <c r="D64" s="11" t="n"/>
      <c r="E64" s="11" t="n"/>
      <c r="F64" s="11" t="n"/>
      <c r="G64" s="11" t="n"/>
      <c r="H64" s="12" t="n"/>
      <c r="I64" s="11" t="n"/>
      <c r="J64" s="11" t="n"/>
      <c r="K64" s="11" t="n"/>
      <c r="L64" s="11" t="n"/>
      <c r="M64" s="12" t="n"/>
      <c r="N64" s="11" t="n"/>
      <c r="O64" s="11" t="n"/>
      <c r="P64" s="11" t="n"/>
      <c r="Q64" s="11" t="n"/>
      <c r="R64" s="12" t="n"/>
      <c r="S64" s="11" t="n"/>
      <c r="T64" s="11" t="n"/>
      <c r="U64" s="11" t="n"/>
      <c r="V64" s="11" t="n"/>
      <c r="W64" s="12" t="n"/>
      <c r="X64" s="11" t="n"/>
      <c r="Y64" s="11" t="n"/>
      <c r="Z64" s="11" t="n"/>
      <c r="AA64" s="11" t="n"/>
      <c r="AB64" s="12" t="n"/>
      <c r="AC64" s="11" t="n"/>
      <c r="AD64" s="11" t="n"/>
      <c r="AE64" s="11" t="n"/>
      <c r="AF64" s="11" t="n"/>
      <c r="AG64" s="12" t="n"/>
      <c r="AH64" s="11" t="n"/>
      <c r="AI64" s="11" t="n"/>
      <c r="AJ64" s="11" t="n"/>
      <c r="AK64" s="11" t="n"/>
      <c r="AL64" s="12" t="n"/>
      <c r="AM64" s="11" t="n"/>
      <c r="AN64" s="11" t="n"/>
      <c r="AO64" s="11" t="n"/>
      <c r="AP64" s="11" t="n"/>
      <c r="AQ64" s="12" t="n"/>
      <c r="AR64" s="11" t="n"/>
      <c r="AS64" s="11" t="n"/>
      <c r="AT64" s="11" t="n"/>
      <c r="AU64" s="11" t="n"/>
      <c r="AV64" s="12" t="n"/>
      <c r="AW64" s="11" t="n"/>
      <c r="AX64" s="11" t="n"/>
      <c r="AY64" s="11" t="n"/>
      <c r="AZ64" s="11" t="n"/>
      <c r="BA64" s="12" t="n"/>
      <c r="BB64" s="11" t="n"/>
      <c r="BC64" s="11" t="n"/>
      <c r="BD64" s="11" t="n"/>
      <c r="BE64" s="11" t="n"/>
      <c r="BF64" s="12" t="n"/>
      <c r="BG64" s="11" t="n"/>
      <c r="BH64" s="11" t="n"/>
      <c r="BI64" s="11" t="n"/>
      <c r="BJ64" s="11" t="n"/>
      <c r="BK64" s="12" t="n"/>
      <c r="BL64" s="11" t="n"/>
      <c r="BM64" s="11" t="n"/>
      <c r="BN64" s="11" t="n"/>
      <c r="BO64" s="11" t="n"/>
      <c r="BP64" s="12" t="n"/>
      <c r="BQ64" s="11" t="n"/>
      <c r="BR64" s="11" t="n"/>
      <c r="BS64" s="11" t="n"/>
      <c r="BT64" s="11" t="n"/>
      <c r="BU64" s="12" t="n"/>
      <c r="BV64" s="11" t="n"/>
      <c r="BW64" s="11" t="n"/>
      <c r="BX64" s="11" t="n"/>
      <c r="BY64" s="11" t="n"/>
      <c r="BZ64" s="12" t="n"/>
      <c r="CA64" s="11" t="n"/>
      <c r="CB64" s="11" t="n"/>
      <c r="CC64" s="11" t="n"/>
      <c r="CD64" s="11" t="n"/>
      <c r="CE64" s="12" t="n"/>
      <c r="CF64" s="11" t="n"/>
      <c r="CG64" s="11" t="n"/>
      <c r="CH64" s="11" t="n"/>
      <c r="CI64" s="11" t="n"/>
      <c r="CJ64" s="12" t="n"/>
      <c r="CK64" s="11" t="n"/>
      <c r="CL64" s="11" t="n"/>
      <c r="CM64" s="11" t="n"/>
      <c r="CN64" s="11" t="n"/>
      <c r="CO64" s="12" t="n"/>
      <c r="CP64" s="11" t="n"/>
      <c r="CQ64" s="11" t="n"/>
      <c r="CR64" s="11" t="n"/>
      <c r="CS64" s="11" t="n"/>
      <c r="CT64" s="12" t="n"/>
      <c r="CU64" s="11" t="n"/>
      <c r="CV64" s="11" t="n"/>
      <c r="CW64" s="11" t="n"/>
      <c r="CX64" s="11" t="n"/>
      <c r="CY64" s="12" t="n"/>
    </row>
    <row r="65" hidden="1" outlineLevel="1">
      <c r="C65" s="57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inlineStr">
        <is>
          <t>RECEITA FINANCEIRA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inlineStr">
        <is>
          <t>DESPESA FINANCEIRA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inlineStr">
        <is>
          <t>OUTROS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Cash and equivalents (inc. investment securities)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inlineStr">
        <is>
          <t>Interest on cash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inlineStr">
        <is>
          <t>Average interest rate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% CDI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Current portion of long-term debt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inlineStr">
        <is>
          <t>Short term debt (Revolving credit facility)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Long term debt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Convertible debt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Total debt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Interest expense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Average interest rate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Stake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PRE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CDI+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Spread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PRE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CDI+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RECEITAS FINANCEIRAS - Rendimentos de aplicações financeiras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RECEITAS FINANCEIRAS - Variação cambial ativa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RECEITAS FINANCEIRAS - Atualização de contas a pagar por aquisição de empresas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RECEITAS FINANCEIRAS - Resultado positivo com instrumentos derivativos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RECEITAS FINANCEIRAS - Descontos obtidos de fornecedores por antecipação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RECEITAS FINANCEIRAS - Atualização monetária sobre Exclusão ICMS da base de PIS/COFINS (nota explicativa nº 7)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RECEITAS FINANCEIRAS - Outras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DESPESAS FINANCEIRAS - Encargos sobre empréstimos, financiamentos e debêntures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DESPESAS FINANCEIRAS - Variação cambial passiva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DESPESAS FINANCEIRAS - Resultado negativo com instrumentos derivativos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DESPESAS FINANCEIRAS - Juros sobre arrendamento - IFRS16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DESPESAS FINANCEIRAS - Despesas bancárias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DESPESAS FINANCEIRAS - Despesas com obtenção de empréstimos e financiamentos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DESPESAS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DESPESAS FINANCEIRAS - Outras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CHECK [EX IFRS-16]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collapsed="1">
      <c r="C111" s="14" t="inlineStr">
        <is>
          <t>Nonoperating Income / (Loss)</t>
        </is>
      </c>
      <c r="D111" s="46" t="n"/>
      <c r="E111" s="46" t="n"/>
      <c r="F111" s="46" t="n"/>
      <c r="G111" s="46" t="n"/>
      <c r="H111" s="12" t="n"/>
      <c r="I111" s="46">
        <f>'Inputs (2)'!D9</f>
        <v>-23</v>
      </c>
      <c r="J111" s="46">
        <f>'Inputs (2)'!E9</f>
        <v>15</v>
      </c>
      <c r="K111" s="46">
        <f>'Inputs (2)'!F9</f>
        <v>22</v>
      </c>
      <c r="L111" s="46">
        <f>'Inputs (2)'!G9</f>
        <v>-14</v>
      </c>
      <c r="M111" s="12">
        <f>'Inputs (2)'!H9</f>
        <v>0</v>
      </c>
      <c r="N111" s="46">
        <f>'Inputs (2)'!I9</f>
        <v>-86</v>
      </c>
      <c r="O111" s="46">
        <f>'Inputs (2)'!J9</f>
        <v>6</v>
      </c>
      <c r="P111" s="46">
        <f>'Inputs (2)'!K9</f>
        <v>40</v>
      </c>
      <c r="Q111" s="46">
        <f>'Inputs (2)'!L9</f>
        <v>143</v>
      </c>
      <c r="R111" s="12">
        <f>'Inputs (2)'!M9</f>
        <v>103</v>
      </c>
      <c r="S111" s="46">
        <f>'Inputs (2)'!N9</f>
        <v>113</v>
      </c>
      <c r="T111" s="46">
        <f>'Inputs (2)'!O9</f>
        <v>124</v>
      </c>
      <c r="U111" s="46">
        <f>'Inputs (2)'!P9</f>
        <v>132</v>
      </c>
      <c r="V111" s="46">
        <f>'Inputs (2)'!Q9</f>
        <v>185</v>
      </c>
      <c r="W111" s="12">
        <f>'Inputs (2)'!R9</f>
        <v>554</v>
      </c>
      <c r="X111" s="46">
        <f>'Inputs (2)'!S9</f>
        <v>87</v>
      </c>
      <c r="Y111" s="46">
        <f>'Inputs (2)'!T9</f>
        <v>82</v>
      </c>
      <c r="Z111" s="46">
        <f>'Inputs (2)'!U9</f>
        <v>52</v>
      </c>
      <c r="AA111" s="46">
        <f>'Inputs (2)'!V9</f>
        <v>103</v>
      </c>
      <c r="AB111" s="12">
        <f>'Inputs (2)'!W9</f>
        <v>324</v>
      </c>
      <c r="AC111" s="46">
        <f>'Inputs (2)'!X9</f>
        <v>25</v>
      </c>
      <c r="AD111" s="46">
        <f>'Inputs (2)'!Y9</f>
        <v>205</v>
      </c>
      <c r="AE111" s="46">
        <f>'Inputs (2)'!Z9</f>
        <v>122</v>
      </c>
      <c r="AF111" s="46">
        <f>'Inputs (2)'!AA9</f>
        <v>433</v>
      </c>
      <c r="AG111" s="12">
        <f>'Inputs (2)'!AB9</f>
        <v>785</v>
      </c>
      <c r="AH111" s="12">
        <f>'Inputs (2)'!AC9</f>
        <v>118</v>
      </c>
      <c r="AI111" s="12">
        <f>'Inputs (2)'!AD9</f>
        <v>98</v>
      </c>
      <c r="AJ111" s="12">
        <f>AJ15*Control!$B$23</f>
        <v>208.580794292124</v>
      </c>
      <c r="AK111" s="12">
        <f>AK15*Control!$B$23</f>
        <v>223.586107053855</v>
      </c>
      <c r="AL111" s="12">
        <f>SUM(AH111:AK111)</f>
        <v>648.166901345979</v>
      </c>
      <c r="AM111" s="12">
        <f>AM15*Control!$C$23</f>
        <v>256.88493383066</v>
      </c>
      <c r="AN111" s="12">
        <f>AN15*Control!$C$23</f>
        <v>342.609729886108</v>
      </c>
      <c r="AO111" s="12">
        <f>AO15*Control!$C$23</f>
        <v>289.653398866958</v>
      </c>
      <c r="AP111" s="12">
        <f>AP15*Control!$C$23</f>
        <v>310.491078852058</v>
      </c>
      <c r="AQ111" s="12">
        <f>SUM(AM111:AP111)</f>
        <v>1199.63914143578</v>
      </c>
      <c r="AR111" s="12">
        <f>AR15*Control!$D$23</f>
        <v>355.448295878235</v>
      </c>
      <c r="AS111" s="12">
        <f>AS15*Control!$D$23</f>
        <v>474.064565886909</v>
      </c>
      <c r="AT111" s="12">
        <f>AT15*Control!$D$23</f>
        <v>400.789588892233</v>
      </c>
      <c r="AU111" s="12">
        <f>AU15*Control!$D$23</f>
        <v>429.622411939934</v>
      </c>
      <c r="AV111" s="12">
        <f>SUM(AR111:AU111)</f>
        <v>1659.92486259731</v>
      </c>
      <c r="AW111" s="12">
        <f>AW15*Control!$E$23</f>
        <v>490.051878892562</v>
      </c>
      <c r="AX111" s="12">
        <f>AX15*Control!$E$23</f>
        <v>653.586566381656</v>
      </c>
      <c r="AY111" s="12">
        <f>AY15*Control!$E$23</f>
        <v>552.563321739765</v>
      </c>
      <c r="AZ111" s="12">
        <f>AZ15*Control!$E$23</f>
        <v>592.314754710885</v>
      </c>
      <c r="BA111" s="12">
        <f>SUM(AW111:AZ111)</f>
        <v>2288.51652172487</v>
      </c>
      <c r="BB111" s="12">
        <f>BB15*Control!$F$23</f>
        <v>673.177804633162</v>
      </c>
      <c r="BC111" s="12">
        <f>BC15*Control!$F$23</f>
        <v>897.823248609542</v>
      </c>
      <c r="BD111" s="12">
        <f>BD15*Control!$F$23</f>
        <v>759.048949450377</v>
      </c>
      <c r="BE111" s="12">
        <f>BE15*Control!$F$23</f>
        <v>813.654968794684</v>
      </c>
      <c r="BF111" s="12">
        <f>SUM(BB111:BE111)</f>
        <v>3143.70497148777</v>
      </c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0" t="inlineStr">
        <is>
          <t>Resultado Não Recorrente</t>
        </is>
      </c>
      <c r="D113" s="11" t="n"/>
      <c r="E113" s="11" t="n"/>
      <c r="F113" s="11" t="n"/>
      <c r="G113" s="11" t="n"/>
      <c r="H113" s="12" t="n"/>
      <c r="I113" s="11" t="n"/>
      <c r="J113" s="11" t="n"/>
      <c r="K113" s="11" t="n"/>
      <c r="L113" s="11" t="n"/>
      <c r="M113" s="12" t="n"/>
      <c r="N113" s="11" t="n"/>
      <c r="O113" s="11" t="n"/>
      <c r="P113" s="11" t="n"/>
      <c r="Q113" s="11" t="n"/>
      <c r="R113" s="12" t="n"/>
      <c r="S113" s="11" t="n"/>
      <c r="T113" s="11" t="n"/>
      <c r="U113" s="11" t="n"/>
      <c r="V113" s="11" t="n"/>
      <c r="W113" s="12" t="n"/>
      <c r="X113" s="11" t="n"/>
      <c r="Y113" s="11" t="n"/>
      <c r="Z113" s="11" t="n"/>
      <c r="AA113" s="11" t="n"/>
      <c r="AB113" s="12" t="n"/>
      <c r="AC113" s="11" t="n"/>
      <c r="AD113" s="11" t="n"/>
      <c r="AE113" s="11" t="n"/>
      <c r="AF113" s="11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0" t="inlineStr">
        <is>
          <t>Plano de Opção de Compra de Ações</t>
        </is>
      </c>
      <c r="D114" s="11" t="n"/>
      <c r="E114" s="11" t="n"/>
      <c r="F114" s="11" t="n"/>
      <c r="G114" s="11" t="n"/>
      <c r="H114" s="12" t="n"/>
      <c r="I114" s="11" t="n"/>
      <c r="J114" s="11" t="n"/>
      <c r="K114" s="11" t="n"/>
      <c r="L114" s="11" t="n"/>
      <c r="M114" s="12" t="n"/>
      <c r="N114" s="11" t="n"/>
      <c r="O114" s="11" t="n"/>
      <c r="P114" s="11" t="n"/>
      <c r="Q114" s="11" t="n"/>
      <c r="R114" s="12" t="n"/>
      <c r="S114" s="11" t="n"/>
      <c r="T114" s="11" t="n"/>
      <c r="U114" s="11" t="n"/>
      <c r="V114" s="11" t="n"/>
      <c r="W114" s="12" t="n"/>
      <c r="X114" s="11" t="n"/>
      <c r="Y114" s="11" t="n"/>
      <c r="Z114" s="11" t="n"/>
      <c r="AA114" s="11" t="n"/>
      <c r="AB114" s="12" t="n"/>
      <c r="AC114" s="11" t="n"/>
      <c r="AD114" s="11" t="n"/>
      <c r="AE114" s="11" t="n"/>
      <c r="AF114" s="11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0" t="inlineStr">
        <is>
          <t>Baixa Imobilizado</t>
        </is>
      </c>
      <c r="D115" s="11" t="n"/>
      <c r="E115" s="11" t="n"/>
      <c r="F115" s="11" t="n"/>
      <c r="G115" s="11" t="n"/>
      <c r="H115" s="12" t="n"/>
      <c r="I115" s="11" t="n"/>
      <c r="J115" s="11" t="n"/>
      <c r="K115" s="11" t="n"/>
      <c r="L115" s="11" t="n"/>
      <c r="M115" s="12" t="n"/>
      <c r="N115" s="11" t="n"/>
      <c r="O115" s="11" t="n"/>
      <c r="P115" s="11" t="n"/>
      <c r="Q115" s="11" t="n"/>
      <c r="R115" s="12" t="n"/>
      <c r="S115" s="11" t="n"/>
      <c r="T115" s="11" t="n"/>
      <c r="U115" s="11" t="n"/>
      <c r="V115" s="11" t="n"/>
      <c r="W115" s="12" t="n"/>
      <c r="X115" s="11" t="n"/>
      <c r="Y115" s="11" t="n"/>
      <c r="Z115" s="11" t="n"/>
      <c r="AA115" s="11" t="n"/>
      <c r="AB115" s="12" t="n"/>
      <c r="AC115" s="11" t="n"/>
      <c r="AD115" s="11" t="n"/>
      <c r="AE115" s="11" t="n"/>
      <c r="AF115" s="11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collapsed="1" customFormat="1" s="32">
      <c r="A118" s="30" t="n"/>
      <c r="B118" s="3" t="n"/>
      <c r="C118" s="33" t="inlineStr">
        <is>
          <t>Pretax Income - EBT</t>
        </is>
      </c>
      <c r="D118" s="35" t="n"/>
      <c r="E118" s="35" t="n"/>
      <c r="F118" s="35" t="n"/>
      <c r="G118" s="35" t="n"/>
      <c r="H118" s="35" t="n"/>
      <c r="I118" s="35">
        <f>SUM(I61,I62,I111)</f>
        <v>1486</v>
      </c>
      <c r="J118" s="35">
        <f>SUM(J61,J62,J111)</f>
        <v>1726</v>
      </c>
      <c r="K118" s="35">
        <f>SUM(K61,K62,K111)</f>
        <v>2169</v>
      </c>
      <c r="L118" s="35">
        <f>SUM(L61,L62,L111)</f>
        <v>2687</v>
      </c>
      <c r="M118" s="35">
        <f>SUM(I118:L118)</f>
        <v>8068</v>
      </c>
      <c r="N118" s="35">
        <f>SUM(N61,N62,N111)</f>
        <v>2790</v>
      </c>
      <c r="O118" s="35">
        <f>SUM(O61,O62,O111)</f>
        <v>3337</v>
      </c>
      <c r="P118" s="35">
        <f>SUM(P61,P62,P111)</f>
        <v>3620</v>
      </c>
      <c r="Q118" s="35">
        <f>SUM(Q61,Q62,Q111)</f>
        <v>3840</v>
      </c>
      <c r="R118" s="35">
        <f>SUM(N118:Q118)</f>
        <v>13587</v>
      </c>
      <c r="S118" s="35">
        <f>SUM(S61,S62,S111)</f>
        <v>3716</v>
      </c>
      <c r="T118" s="35">
        <f>SUM(T61,T62,T111)</f>
        <v>3574</v>
      </c>
      <c r="U118" s="35">
        <f>SUM(U61,U62,U111)</f>
        <v>3967</v>
      </c>
      <c r="V118" s="35">
        <f>SUM(V61,V62,V111)</f>
        <v>1342</v>
      </c>
      <c r="W118" s="35">
        <f>SUM(S118:V118)</f>
        <v>12599</v>
      </c>
      <c r="X118" s="35">
        <f>SUM(X61,X62,X111)</f>
        <v>2005</v>
      </c>
      <c r="Y118" s="35">
        <f>SUM(Y61,Y62,Y111)</f>
        <v>2806</v>
      </c>
      <c r="Z118" s="35">
        <f>SUM(Z61,Z62,Z111)</f>
        <v>3763</v>
      </c>
      <c r="AA118" s="35">
        <f>SUM(AA61,AA62,AA111)</f>
        <v>5490</v>
      </c>
      <c r="AB118" s="35">
        <f>SUM(X118:AA118)</f>
        <v>14064</v>
      </c>
      <c r="AC118" s="35">
        <f>SUM(AC61,AC62,AC111)</f>
        <v>5085</v>
      </c>
      <c r="AD118" s="35">
        <f>SUM(AD61,AD62,AD111)</f>
        <v>5285</v>
      </c>
      <c r="AE118" s="35">
        <f>SUM(AE61,AE62,AE111)</f>
        <v>6869</v>
      </c>
      <c r="AF118" s="35">
        <f>SUM(AF61,AF62,AF111)</f>
        <v>8195</v>
      </c>
      <c r="AG118" s="35">
        <f>SUM(AC118:AF118)</f>
        <v>25434</v>
      </c>
      <c r="AH118" s="35">
        <f>SUM(AH61,AH62,AH111)</f>
        <v>10130</v>
      </c>
      <c r="AI118" s="35">
        <f>SUM(AI61,AI62,AI111)</f>
        <v>15275</v>
      </c>
      <c r="AJ118" s="35">
        <f>SUM(AJ61,AJ62,AJ111:AJ116)</f>
        <v>11229.2620336811</v>
      </c>
      <c r="AK118" s="35">
        <f>SUM(AK61,AK62,AK111:AK116)</f>
        <v>12037.0957053798</v>
      </c>
      <c r="AL118" s="35">
        <f>SUM(AH118:AK118)</f>
        <v>48671.3577390609</v>
      </c>
      <c r="AM118" s="35">
        <f>SUM(AM61,AM62,AM111:AM116)</f>
        <v>13829.7883286863</v>
      </c>
      <c r="AN118" s="35">
        <f>SUM(AN61,AN62,AN111:AN116)</f>
        <v>18444.9121753349</v>
      </c>
      <c r="AO118" s="35">
        <f>SUM(AO61,AO62,AO111:AO116)</f>
        <v>15593.9281268058</v>
      </c>
      <c r="AP118" s="35">
        <f>SUM(AP61,AP62,AP111:AP116)</f>
        <v>16715.7560952954</v>
      </c>
      <c r="AQ118" s="35">
        <f>SUM(AM118:AP118)</f>
        <v>64584.3847261223</v>
      </c>
      <c r="AR118" s="35">
        <f>SUM(AR61,AR62,AR111:AR116)</f>
        <v>19136.0957627384</v>
      </c>
      <c r="AS118" s="35">
        <f>SUM(AS61,AS62,AS111:AS116)</f>
        <v>25521.9817783023</v>
      </c>
      <c r="AT118" s="35">
        <f>SUM(AT61,AT62,AT111:AT116)</f>
        <v>21577.11274097</v>
      </c>
      <c r="AU118" s="35">
        <f>SUM(AU61,AU62,AU111:AU116)</f>
        <v>23129.3713095127</v>
      </c>
      <c r="AV118" s="35">
        <f>SUM(AR118:AU118)</f>
        <v>89364.5615915235</v>
      </c>
      <c r="AW118" s="35">
        <f>SUM(AW61,AW62,AW111:AW116)</f>
        <v>26382.682916028</v>
      </c>
      <c r="AX118" s="35">
        <f>SUM(AX61,AX62,AX111:AX116)</f>
        <v>35186.8197668988</v>
      </c>
      <c r="AY118" s="35">
        <f>SUM(AY61,AY62,AY111:AY116)</f>
        <v>29748.0808387706</v>
      </c>
      <c r="AZ118" s="35">
        <f>SUM(AZ61,AZ62,AZ111:AZ116)</f>
        <v>31888.1592604774</v>
      </c>
      <c r="BA118" s="35">
        <f>SUM(AW118:AZ118)</f>
        <v>123205.742782175</v>
      </c>
      <c r="BB118" s="35">
        <f>SUM(BB61,BB62,BB111:BB116)</f>
        <v>36241.543662438</v>
      </c>
      <c r="BC118" s="35">
        <f>SUM(BC61,BC62,BC111:BC116)</f>
        <v>48335.6703707217</v>
      </c>
      <c r="BD118" s="35">
        <f>SUM(BD61,BD62,BD111:BD116)</f>
        <v>40864.5464156742</v>
      </c>
      <c r="BE118" s="35">
        <f>SUM(BE61,BE62,BE111:BE116)</f>
        <v>43804.3439263439</v>
      </c>
      <c r="BF118" s="35">
        <f>SUM(BB118:BE118)</f>
        <v>169246.104375178</v>
      </c>
      <c r="BG118" s="35" t="n"/>
      <c r="BH118" s="35" t="n"/>
      <c r="BI118" s="35" t="n"/>
      <c r="BJ118" s="35" t="n"/>
      <c r="BK118" s="35" t="n"/>
      <c r="BL118" s="35" t="n"/>
      <c r="BM118" s="35" t="n"/>
      <c r="BN118" s="35" t="n"/>
      <c r="BO118" s="35" t="n"/>
      <c r="BP118" s="35" t="n"/>
      <c r="BQ118" s="35" t="n"/>
      <c r="BR118" s="35" t="n"/>
      <c r="BS118" s="35" t="n"/>
      <c r="BT118" s="35" t="n"/>
      <c r="BU118" s="35" t="n"/>
      <c r="BV118" s="35" t="n"/>
      <c r="BW118" s="35" t="n"/>
      <c r="BX118" s="35" t="n"/>
      <c r="BY118" s="35" t="n"/>
      <c r="BZ118" s="35" t="n"/>
      <c r="CA118" s="35" t="n"/>
      <c r="CB118" s="35" t="n"/>
      <c r="CC118" s="35" t="n"/>
      <c r="CD118" s="35" t="n"/>
      <c r="CE118" s="35" t="n"/>
      <c r="CF118" s="35" t="n"/>
      <c r="CG118" s="35" t="n"/>
      <c r="CH118" s="35" t="n"/>
      <c r="CI118" s="35" t="n"/>
      <c r="CJ118" s="35" t="n"/>
      <c r="CK118" s="35" t="n"/>
      <c r="CL118" s="35" t="n"/>
      <c r="CM118" s="35" t="n"/>
      <c r="CN118" s="35" t="n"/>
      <c r="CO118" s="35" t="n"/>
      <c r="CP118" s="35" t="n"/>
      <c r="CQ118" s="35" t="n"/>
      <c r="CR118" s="35" t="n"/>
      <c r="CS118" s="35" t="n"/>
      <c r="CT118" s="35" t="n"/>
      <c r="CU118" s="35" t="n"/>
      <c r="CV118" s="35" t="n"/>
      <c r="CW118" s="35" t="n"/>
      <c r="CX118" s="35" t="n"/>
      <c r="CY118" s="35" t="n"/>
    </row>
    <row r="119">
      <c r="C119" s="14" t="inlineStr">
        <is>
          <t>Taxes</t>
        </is>
      </c>
      <c r="D119" s="46" t="n"/>
      <c r="E119" s="46" t="n"/>
      <c r="F119" s="46" t="n"/>
      <c r="G119" s="46" t="n"/>
      <c r="H119" s="12" t="n"/>
      <c r="I119" s="46">
        <f>'Inputs (2)'!D10</f>
        <v>7</v>
      </c>
      <c r="J119" s="46">
        <f>'Inputs (2)'!E10</f>
        <v>150</v>
      </c>
      <c r="K119" s="46">
        <f>'Inputs (2)'!F10</f>
        <v>-180</v>
      </c>
      <c r="L119" s="46">
        <f>'Inputs (2)'!G10</f>
        <v>-215</v>
      </c>
      <c r="M119" s="12">
        <f>'Inputs (2)'!H10</f>
        <v>-238</v>
      </c>
      <c r="N119" s="46">
        <f>'Inputs (2)'!I10</f>
        <v>-200</v>
      </c>
      <c r="O119" s="46">
        <f>'Inputs (2)'!J10</f>
        <v>-263</v>
      </c>
      <c r="P119" s="46">
        <f>'Inputs (2)'!K10</f>
        <v>-261</v>
      </c>
      <c r="Q119" s="46">
        <f>'Inputs (2)'!L10</f>
        <v>-66</v>
      </c>
      <c r="R119" s="12">
        <f>'Inputs (2)'!M10</f>
        <v>-790</v>
      </c>
      <c r="S119" s="46">
        <f>'Inputs (2)'!N10</f>
        <v>-235</v>
      </c>
      <c r="T119" s="46">
        <f>'Inputs (2)'!O10</f>
        <v>-271</v>
      </c>
      <c r="U119" s="46">
        <f>'Inputs (2)'!P10</f>
        <v>-443</v>
      </c>
      <c r="V119" s="46">
        <f>'Inputs (2)'!Q10</f>
        <v>-68</v>
      </c>
      <c r="W119" s="12">
        <f>'Inputs (2)'!R10</f>
        <v>-1017</v>
      </c>
      <c r="X119" s="46">
        <f>'Inputs (2)'!S10</f>
        <v>116</v>
      </c>
      <c r="Y119" s="46">
        <f>'Inputs (2)'!T10</f>
        <v>-4238</v>
      </c>
      <c r="Z119" s="46">
        <f>'Inputs (2)'!U10</f>
        <v>442</v>
      </c>
      <c r="AA119" s="46">
        <f>'Inputs (2)'!V10</f>
        <v>13</v>
      </c>
      <c r="AB119" s="12">
        <f>'Inputs (2)'!W10</f>
        <v>-3667</v>
      </c>
      <c r="AC119" s="46">
        <f>'Inputs (2)'!X10</f>
        <v>-120</v>
      </c>
      <c r="AD119" s="46">
        <f>'Inputs (2)'!Y10</f>
        <v>-1145</v>
      </c>
      <c r="AE119" s="46">
        <f>'Inputs (2)'!Z10</f>
        <v>1649</v>
      </c>
      <c r="AF119" s="46">
        <f>'Inputs (2)'!AA10</f>
        <v>-846</v>
      </c>
      <c r="AG119" s="12">
        <f>'Inputs (2)'!AB10</f>
        <v>-462</v>
      </c>
      <c r="AH119" s="12">
        <f>'Inputs (2)'!AC10</f>
        <v>-820</v>
      </c>
      <c r="AI119" s="12">
        <f>'Inputs (2)'!AD10</f>
        <v>-2187</v>
      </c>
      <c r="AJ119" s="12">
        <f>-AJ118*AJ120</f>
        <v>-613.009428703737</v>
      </c>
      <c r="AK119" s="12">
        <f>-AK118*AK120</f>
        <v>-657.109357629635</v>
      </c>
      <c r="AL119" s="12">
        <f>SUM(AH119:AK119)</f>
        <v>-4277.11878633337</v>
      </c>
      <c r="AM119" s="12">
        <f>-AM118*AM120</f>
        <v>-754.973088795438</v>
      </c>
      <c r="AN119" s="12">
        <f>-AN118*AN120</f>
        <v>-1006.91434941839</v>
      </c>
      <c r="AO119" s="12">
        <f>-AO118*AO120</f>
        <v>-851.278111027093</v>
      </c>
      <c r="AP119" s="12">
        <f>-AP118*AP120</f>
        <v>-912.519100862847</v>
      </c>
      <c r="AQ119" s="12">
        <f>SUM(AM119:AP119)</f>
        <v>-3525.68465010377</v>
      </c>
      <c r="AR119" s="12">
        <f>-AR118*AR120</f>
        <v>-1044.64630854204</v>
      </c>
      <c r="AS119" s="12">
        <f>-AS118*AS120</f>
        <v>-1393.25410898578</v>
      </c>
      <c r="AT119" s="12">
        <f>-AT118*AT120</f>
        <v>-1177.90229800899</v>
      </c>
      <c r="AU119" s="12">
        <f>-AU118*AU120</f>
        <v>-1262.64064817384</v>
      </c>
      <c r="AV119" s="12">
        <f>SUM(AR119:AU119)</f>
        <v>-4878.44336371065</v>
      </c>
      <c r="AW119" s="12">
        <f>-AW118*AW120</f>
        <v>-1440.24009178139</v>
      </c>
      <c r="AX119" s="12">
        <f>-AX118*AX120</f>
        <v>-1920.86106981129</v>
      </c>
      <c r="AY119" s="12">
        <f>-AY118*AY120</f>
        <v>-1623.95836746089</v>
      </c>
      <c r="AZ119" s="12">
        <f>-AZ118*AZ120</f>
        <v>-1740.78601354634</v>
      </c>
      <c r="BA119" s="12">
        <f>SUM(AW119:AZ119)</f>
        <v>-6725.8455425999</v>
      </c>
      <c r="BB119" s="12">
        <f>-BB118*BB120</f>
        <v>-1978.43882431602</v>
      </c>
      <c r="BC119" s="12">
        <f>-BC118*BC120</f>
        <v>-2638.66152478187</v>
      </c>
      <c r="BD119" s="12">
        <f>-BD118*BD120</f>
        <v>-2230.81019726617</v>
      </c>
      <c r="BE119" s="12">
        <f>-BE118*BE120</f>
        <v>-2391.29479430514</v>
      </c>
      <c r="BF119" s="12">
        <f>SUM(BB119:BE119)</f>
        <v>-9239.20534066921</v>
      </c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% ETR</t>
        </is>
      </c>
      <c r="D120" s="53" t="n"/>
      <c r="E120" s="53" t="n"/>
      <c r="F120" s="53" t="n"/>
      <c r="G120" s="53" t="n"/>
      <c r="H120" s="53" t="n"/>
      <c r="I120" s="53">
        <f>IFERROR(-I119/I118,"")</f>
        <v>-0.00471063257065949</v>
      </c>
      <c r="J120" s="53">
        <f>IFERROR(-J119/J118,"")</f>
        <v>-0.0869061413673233</v>
      </c>
      <c r="K120" s="53">
        <f>IFERROR(-K119/K118,"")</f>
        <v>0.0829875518672199</v>
      </c>
      <c r="L120" s="53">
        <f>IFERROR(-L119/L118,"")</f>
        <v>0.0800148864905099</v>
      </c>
      <c r="M120" s="53">
        <f>IFERROR(-M119/M118,"")</f>
        <v>0.0294992563212692</v>
      </c>
      <c r="N120" s="53">
        <f>IFERROR(-N119/N118,"")</f>
        <v>0.0716845878136201</v>
      </c>
      <c r="O120" s="53">
        <f>IFERROR(-O119/O118,"")</f>
        <v>0.0788133053640995</v>
      </c>
      <c r="P120" s="53">
        <f>IFERROR(-P119/P118,"")</f>
        <v>0.0720994475138122</v>
      </c>
      <c r="Q120" s="53">
        <f>IFERROR(-Q119/Q118,"")</f>
        <v>0.0171875</v>
      </c>
      <c r="R120" s="53">
        <f>IFERROR(-R119/R118,"")</f>
        <v>0.0581438139397954</v>
      </c>
      <c r="S120" s="53">
        <f>IFERROR(-S119/S118,"")</f>
        <v>0.0632400430570506</v>
      </c>
      <c r="T120" s="53">
        <f>IFERROR(-T119/T118,"")</f>
        <v>0.0758254057078903</v>
      </c>
      <c r="U120" s="53">
        <f>IFERROR(-U119/U118,"")</f>
        <v>0.111671288127048</v>
      </c>
      <c r="V120" s="53">
        <f>IFERROR(-V119/V118,"")</f>
        <v>0.0506706408345753</v>
      </c>
      <c r="W120" s="53">
        <f>IFERROR(-W119/W118,"")</f>
        <v>0.0807206921184221</v>
      </c>
      <c r="X120" s="53">
        <f>IFERROR(-X119/X118,"")</f>
        <v>-0.05785536159601</v>
      </c>
      <c r="Y120" s="53">
        <f>IFERROR(-Y119/Y118,"")</f>
        <v>1.51033499643621</v>
      </c>
      <c r="Z120" s="53">
        <f>IFERROR(-Z119/Z118,"")</f>
        <v>-0.117459473824077</v>
      </c>
      <c r="AA120" s="53">
        <f>IFERROR(-AA119/AA118,"")</f>
        <v>-0.00236794171220401</v>
      </c>
      <c r="AB120" s="53">
        <f>IFERROR(-AB119/AB118,"")</f>
        <v>0.260736632536974</v>
      </c>
      <c r="AC120" s="53">
        <f>IFERROR(-AC119/AC118,"")</f>
        <v>0.0235988200589971</v>
      </c>
      <c r="AD120" s="53">
        <f>IFERROR(-AD119/AD118,"")</f>
        <v>0.216650898770104</v>
      </c>
      <c r="AE120" s="53">
        <f>IFERROR(-AE119/AE118,"")</f>
        <v>-0.240064055903334</v>
      </c>
      <c r="AF120" s="41">
        <f>IFERROR(-AF119/AF118,"")</f>
        <v>0.103233679072605</v>
      </c>
      <c r="AG120" s="53">
        <f>IFERROR(-AG119/AG118,"")</f>
        <v>0.0181646614767634</v>
      </c>
      <c r="AH120" s="41">
        <f>IFERROR(-AH119/AH118,"")</f>
        <v>0.0809476801579467</v>
      </c>
      <c r="AI120" s="41">
        <f>IFERROR(-AI119/AI118,"")</f>
        <v>0.143175122749591</v>
      </c>
      <c r="AJ120" s="41">
        <f>Control!$B$22</f>
        <v>0.0545903574843183</v>
      </c>
      <c r="AK120" s="41">
        <f>Control!$B$22</f>
        <v>0.0545903574843183</v>
      </c>
      <c r="AL120" s="53">
        <f>IFERROR(-AL119/AL118,"")</f>
        <v>0.0878775317767804</v>
      </c>
      <c r="AM120" s="41">
        <f>Control!$C$22</f>
        <v>0.0545903574843183</v>
      </c>
      <c r="AN120" s="41">
        <f>Control!$C$22</f>
        <v>0.0545903574843183</v>
      </c>
      <c r="AO120" s="41">
        <f>Control!$C$22</f>
        <v>0.0545903574843183</v>
      </c>
      <c r="AP120" s="41">
        <f>Control!$C$22</f>
        <v>0.0545903574843183</v>
      </c>
      <c r="AQ120" s="53">
        <f>IFERROR(-AQ119/AQ118,"")</f>
        <v>0.0545903574843183</v>
      </c>
      <c r="AR120" s="41">
        <f>Control!$D$22</f>
        <v>0.0545903574843183</v>
      </c>
      <c r="AS120" s="41">
        <f>Control!$D$22</f>
        <v>0.0545903574843183</v>
      </c>
      <c r="AT120" s="41">
        <f>Control!$D$22</f>
        <v>0.0545903574843183</v>
      </c>
      <c r="AU120" s="41">
        <f>Control!$D$22</f>
        <v>0.0545903574843183</v>
      </c>
      <c r="AV120" s="53">
        <f>IFERROR(-AV119/AV118,"")</f>
        <v>0.0545903574843183</v>
      </c>
      <c r="AW120" s="41">
        <f>Control!$E$22</f>
        <v>0.0545903574843183</v>
      </c>
      <c r="AX120" s="41">
        <f>Control!$E$22</f>
        <v>0.0545903574843183</v>
      </c>
      <c r="AY120" s="41">
        <f>Control!$E$22</f>
        <v>0.0545903574843183</v>
      </c>
      <c r="AZ120" s="41">
        <f>Control!$E$22</f>
        <v>0.0545903574843183</v>
      </c>
      <c r="BA120" s="53">
        <f>IFERROR(-BA119/BA118,"")</f>
        <v>0.0545903574843183</v>
      </c>
      <c r="BB120" s="41">
        <f>Control!$F$22</f>
        <v>0.0545903574843183</v>
      </c>
      <c r="BC120" s="41">
        <f>Control!$F$22</f>
        <v>0.0545903574843183</v>
      </c>
      <c r="BD120" s="41">
        <f>Control!$F$22</f>
        <v>0.0545903574843183</v>
      </c>
      <c r="BE120" s="41">
        <f>Control!$F$22</f>
        <v>0.0545903574843183</v>
      </c>
      <c r="BF120" s="53">
        <f>IFERROR(-BF119/BF118,"")</f>
        <v>0.0545903574843183</v>
      </c>
      <c r="BG120" s="41" t="n"/>
      <c r="BH120" s="41" t="n"/>
      <c r="BI120" s="41" t="n"/>
      <c r="BJ120" s="41" t="n"/>
      <c r="BK120" s="53" t="n"/>
      <c r="BL120" s="41" t="n"/>
      <c r="BM120" s="41" t="n"/>
      <c r="BN120" s="41" t="n"/>
      <c r="BO120" s="41" t="n"/>
      <c r="BP120" s="53" t="n"/>
      <c r="BQ120" s="41" t="n"/>
      <c r="BR120" s="41" t="n"/>
      <c r="BS120" s="41" t="n"/>
      <c r="BT120" s="41" t="n"/>
      <c r="BU120" s="53" t="n"/>
      <c r="BV120" s="41" t="n"/>
      <c r="BW120" s="41" t="n"/>
      <c r="BX120" s="41" t="n"/>
      <c r="BY120" s="41" t="n"/>
      <c r="BZ120" s="53" t="n"/>
      <c r="CA120" s="41" t="n"/>
      <c r="CB120" s="41" t="n"/>
      <c r="CC120" s="41" t="n"/>
      <c r="CD120" s="41" t="n"/>
      <c r="CE120" s="53" t="n"/>
      <c r="CF120" s="41" t="n"/>
      <c r="CG120" s="41" t="n"/>
      <c r="CH120" s="41" t="n"/>
      <c r="CI120" s="41" t="n"/>
      <c r="CJ120" s="53" t="n"/>
      <c r="CK120" s="41" t="n"/>
      <c r="CL120" s="41" t="n"/>
      <c r="CM120" s="41" t="n"/>
      <c r="CN120" s="41" t="n"/>
      <c r="CO120" s="53" t="n"/>
      <c r="CP120" s="41" t="n"/>
      <c r="CQ120" s="41" t="n"/>
      <c r="CR120" s="41" t="n"/>
      <c r="CS120" s="41" t="n"/>
      <c r="CT120" s="53" t="n"/>
      <c r="CU120" s="41" t="n"/>
      <c r="CV120" s="41" t="n"/>
      <c r="CW120" s="41" t="n"/>
      <c r="CX120" s="41" t="n"/>
      <c r="CY120" s="53" t="n"/>
    </row>
    <row r="121" hidden="1" outlineLevel="1">
      <c r="C121" s="57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Equity in Income of Affiliates, after tax (enter as +)</t>
        </is>
      </c>
      <c r="D123" s="46" t="n"/>
      <c r="E123" s="46" t="n"/>
      <c r="F123" s="46" t="n"/>
      <c r="G123" s="46" t="n"/>
      <c r="H123" s="12" t="n"/>
      <c r="I123" s="46">
        <f>'Inputs (2)'!D11</f>
        <v>-76</v>
      </c>
      <c r="J123" s="46">
        <f>'Inputs (2)'!E11</f>
        <v>-74</v>
      </c>
      <c r="K123" s="46">
        <f>'Inputs (2)'!F11</f>
        <v>-75</v>
      </c>
      <c r="L123" s="46">
        <f>'Inputs (2)'!G11</f>
        <v>-74</v>
      </c>
      <c r="M123" s="12">
        <f>'Inputs (2)'!H11</f>
        <v>-299</v>
      </c>
      <c r="N123" s="46">
        <f>'Inputs (2)'!I11</f>
        <v>-75</v>
      </c>
      <c r="O123" s="46">
        <f>'Inputs (2)'!J11</f>
        <v>-75</v>
      </c>
      <c r="P123" s="46">
        <f>'Inputs (2)'!K11</f>
        <v>224</v>
      </c>
      <c r="Q123" s="46">
        <f>'Inputs (2)'!L11</f>
        <v>0</v>
      </c>
      <c r="R123" s="12">
        <f>'Inputs (2)'!M11</f>
        <v>74</v>
      </c>
      <c r="S123" s="46">
        <f>'Inputs (2)'!N11</f>
        <v>0</v>
      </c>
      <c r="T123" s="46">
        <f>'Inputs (2)'!O11</f>
        <v>0</v>
      </c>
      <c r="U123" s="46">
        <f>'Inputs (2)'!P11</f>
        <v>0</v>
      </c>
      <c r="V123" s="46">
        <f>'Inputs (2)'!Q11</f>
        <v>51</v>
      </c>
      <c r="W123" s="12">
        <f>'Inputs (2)'!R11</f>
        <v>51</v>
      </c>
      <c r="X123" s="46">
        <f>'Inputs (2)'!S11</f>
        <v>0</v>
      </c>
      <c r="Y123" s="46">
        <f>'Inputs (2)'!T11</f>
        <v>-443</v>
      </c>
      <c r="Z123" s="46">
        <f>'Inputs (2)'!U11</f>
        <v>119</v>
      </c>
      <c r="AA123" s="46">
        <f>'Inputs (2)'!V11</f>
        <v>0</v>
      </c>
      <c r="AB123" s="12">
        <f>'Inputs (2)'!W11</f>
        <v>-324</v>
      </c>
      <c r="AC123" s="46">
        <f>'Inputs (2)'!X11</f>
        <v>0</v>
      </c>
      <c r="AD123" s="46">
        <f>'Inputs (2)'!Y11</f>
        <v>0</v>
      </c>
      <c r="AE123" s="46">
        <f>'Inputs (2)'!Z11</f>
        <v>0</v>
      </c>
      <c r="AF123" s="46">
        <f>'Inputs (2)'!AA11</f>
        <v>0</v>
      </c>
      <c r="AG123" s="12">
        <f>'Inputs (2)'!AB11</f>
        <v>0</v>
      </c>
      <c r="AH123" s="12">
        <f>'Inputs (2)'!AC11</f>
        <v>0</v>
      </c>
      <c r="AI123" s="12">
        <f>'Inputs (2)'!AD11</f>
        <v>0</v>
      </c>
      <c r="AJ123" s="12">
        <f>0</f>
        <v>0</v>
      </c>
      <c r="AK123" s="12">
        <f>0</f>
        <v>0</v>
      </c>
      <c r="AL123" s="12">
        <f>SUM(AH123:AK123)</f>
        <v>0</v>
      </c>
      <c r="AM123" s="12">
        <f>0</f>
        <v>0</v>
      </c>
      <c r="AN123" s="12">
        <f>0</f>
        <v>0</v>
      </c>
      <c r="AO123" s="12">
        <f>0</f>
        <v>0</v>
      </c>
      <c r="AP123" s="12">
        <f>0</f>
        <v>0</v>
      </c>
      <c r="AQ123" s="12">
        <f>SUM(AM123:AP123)</f>
        <v>0</v>
      </c>
      <c r="AR123" s="12">
        <f>0</f>
        <v>0</v>
      </c>
      <c r="AS123" s="12">
        <f>0</f>
        <v>0</v>
      </c>
      <c r="AT123" s="12">
        <f>0</f>
        <v>0</v>
      </c>
      <c r="AU123" s="12">
        <f>0</f>
        <v>0</v>
      </c>
      <c r="AV123" s="12">
        <f>SUM(AR123:AU123)</f>
        <v>0</v>
      </c>
      <c r="AW123" s="12">
        <f>0</f>
        <v>0</v>
      </c>
      <c r="AX123" s="12">
        <f>0</f>
        <v>0</v>
      </c>
      <c r="AY123" s="12">
        <f>0</f>
        <v>0</v>
      </c>
      <c r="AZ123" s="12">
        <f>0</f>
        <v>0</v>
      </c>
      <c r="BA123" s="12">
        <f>SUM(AW123:AZ123)</f>
        <v>0</v>
      </c>
      <c r="BB123" s="12">
        <f>0</f>
        <v>0</v>
      </c>
      <c r="BC123" s="12">
        <f>0</f>
        <v>0</v>
      </c>
      <c r="BD123" s="12">
        <f>0</f>
        <v>0</v>
      </c>
      <c r="BE123" s="12">
        <f>0</f>
        <v>0</v>
      </c>
      <c r="BF123" s="12">
        <f>SUM(BB123:BE123)</f>
        <v>0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>
      <c r="C124" s="14" t="inlineStr">
        <is>
          <t>Minority Interest Expense, after tax (enter as - )</t>
        </is>
      </c>
      <c r="D124" s="46" t="n"/>
      <c r="E124" s="46" t="n"/>
      <c r="F124" s="46" t="n"/>
      <c r="G124" s="46" t="n"/>
      <c r="H124" s="12" t="n"/>
      <c r="I124" s="46">
        <f>'Inputs (2)'!D12</f>
        <v>0</v>
      </c>
      <c r="J124" s="46">
        <f>'Inputs (2)'!E12</f>
        <v>0</v>
      </c>
      <c r="K124" s="46">
        <f>'Inputs (2)'!F12</f>
        <v>0</v>
      </c>
      <c r="L124" s="46">
        <f>'Inputs (2)'!G12</f>
        <v>0</v>
      </c>
      <c r="M124" s="12">
        <f>'Inputs (2)'!H12</f>
        <v>0</v>
      </c>
      <c r="N124" s="46">
        <f>'Inputs (2)'!I12</f>
        <v>0</v>
      </c>
      <c r="O124" s="46">
        <f>'Inputs (2)'!J12</f>
        <v>0</v>
      </c>
      <c r="P124" s="46">
        <f>'Inputs (2)'!K12</f>
        <v>0</v>
      </c>
      <c r="Q124" s="46">
        <f>'Inputs (2)'!L12</f>
        <v>0</v>
      </c>
      <c r="R124" s="12">
        <f>'Inputs (2)'!M12</f>
        <v>0</v>
      </c>
      <c r="S124" s="46">
        <f>'Inputs (2)'!N12</f>
        <v>0</v>
      </c>
      <c r="T124" s="46">
        <f>'Inputs (2)'!O12</f>
        <v>0</v>
      </c>
      <c r="U124" s="46">
        <f>'Inputs (2)'!P12</f>
        <v>0</v>
      </c>
      <c r="V124" s="46">
        <f>'Inputs (2)'!Q12</f>
        <v>0</v>
      </c>
      <c r="W124" s="12">
        <f>'Inputs (2)'!R12</f>
        <v>0</v>
      </c>
      <c r="X124" s="46">
        <f>'Inputs (2)'!S12</f>
        <v>0</v>
      </c>
      <c r="Y124" s="46">
        <f>'Inputs (2)'!T12</f>
        <v>0</v>
      </c>
      <c r="Z124" s="46">
        <f>'Inputs (2)'!U12</f>
        <v>0</v>
      </c>
      <c r="AA124" s="46">
        <f>'Inputs (2)'!V12</f>
        <v>0</v>
      </c>
      <c r="AB124" s="12">
        <f>'Inputs (2)'!W12</f>
        <v>0</v>
      </c>
      <c r="AC124" s="46">
        <f>'Inputs (2)'!X12</f>
        <v>0</v>
      </c>
      <c r="AD124" s="46">
        <f>'Inputs (2)'!Y12</f>
        <v>0</v>
      </c>
      <c r="AE124" s="46">
        <f>'Inputs (2)'!Z12</f>
        <v>0</v>
      </c>
      <c r="AF124" s="46">
        <f>'Inputs (2)'!AA12</f>
        <v>0</v>
      </c>
      <c r="AG124" s="12">
        <f>'Inputs (2)'!AB12</f>
        <v>0</v>
      </c>
      <c r="AH124" s="12">
        <f>'Inputs (2)'!AC12</f>
        <v>0</v>
      </c>
      <c r="AI124" s="12">
        <f>'Inputs (2)'!AD12</f>
        <v>0</v>
      </c>
      <c r="AJ124" s="12">
        <f>0</f>
        <v>0</v>
      </c>
      <c r="AK124" s="12">
        <f>0</f>
        <v>0</v>
      </c>
      <c r="AL124" s="12">
        <f>SUM(AH124:AK124)</f>
        <v>0</v>
      </c>
      <c r="AM124" s="12">
        <f>0</f>
        <v>0</v>
      </c>
      <c r="AN124" s="12">
        <f>0</f>
        <v>0</v>
      </c>
      <c r="AO124" s="12">
        <f>0</f>
        <v>0</v>
      </c>
      <c r="AP124" s="12">
        <f>0</f>
        <v>0</v>
      </c>
      <c r="AQ124" s="12">
        <f>SUM(AM124:AP124)</f>
        <v>0</v>
      </c>
      <c r="AR124" s="12">
        <f>0</f>
        <v>0</v>
      </c>
      <c r="AS124" s="12">
        <f>0</f>
        <v>0</v>
      </c>
      <c r="AT124" s="12">
        <f>0</f>
        <v>0</v>
      </c>
      <c r="AU124" s="12">
        <f>0</f>
        <v>0</v>
      </c>
      <c r="AV124" s="12">
        <f>SUM(AR124:AU124)</f>
        <v>0</v>
      </c>
      <c r="AW124" s="12">
        <f>0</f>
        <v>0</v>
      </c>
      <c r="AX124" s="12">
        <f>0</f>
        <v>0</v>
      </c>
      <c r="AY124" s="12">
        <f>0</f>
        <v>0</v>
      </c>
      <c r="AZ124" s="12">
        <f>0</f>
        <v>0</v>
      </c>
      <c r="BA124" s="12">
        <f>SUM(AW124:AZ124)</f>
        <v>0</v>
      </c>
      <c r="BB124" s="12">
        <f>0</f>
        <v>0</v>
      </c>
      <c r="BC124" s="12">
        <f>0</f>
        <v>0</v>
      </c>
      <c r="BD124" s="12">
        <f>0</f>
        <v>0</v>
      </c>
      <c r="BE124" s="12">
        <f>0</f>
        <v>0</v>
      </c>
      <c r="BF124" s="12">
        <f>SUM(BB124:BE124)</f>
        <v>0</v>
      </c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customFormat="1" s="32">
      <c r="A125" s="30" t="n"/>
      <c r="B125" s="3" t="n"/>
      <c r="C125" s="33" t="inlineStr">
        <is>
          <t>Net Income</t>
        </is>
      </c>
      <c r="D125" s="35" t="n"/>
      <c r="E125" s="35" t="n"/>
      <c r="F125" s="35" t="n"/>
      <c r="G125" s="35" t="n"/>
      <c r="H125" s="35" t="n"/>
      <c r="I125" s="35">
        <f>SUM(I118,I119,I123,I124)</f>
        <v>1417</v>
      </c>
      <c r="J125" s="35">
        <f>SUM(J118,J119,J123,J124)</f>
        <v>1802</v>
      </c>
      <c r="K125" s="35">
        <f>SUM(K118,K119,K123,K124)</f>
        <v>1914</v>
      </c>
      <c r="L125" s="35">
        <f>SUM(L118,L119,L123,L124)</f>
        <v>2398</v>
      </c>
      <c r="M125" s="35">
        <f>SUM(I125:L125)</f>
        <v>7531</v>
      </c>
      <c r="N125" s="35">
        <f>SUM(N118,N119,N123,N124)</f>
        <v>2515</v>
      </c>
      <c r="O125" s="35">
        <f>SUM(O118,O119,O123,O124)</f>
        <v>2999</v>
      </c>
      <c r="P125" s="35">
        <f>SUM(P118,P119,P123,P124)</f>
        <v>3583</v>
      </c>
      <c r="Q125" s="35">
        <f>SUM(Q118,Q119,Q123,Q124)</f>
        <v>3774</v>
      </c>
      <c r="R125" s="35">
        <f>SUM(N125:Q125)</f>
        <v>12871</v>
      </c>
      <c r="S125" s="35">
        <f>SUM(S118,S119,S123,S124)</f>
        <v>3481</v>
      </c>
      <c r="T125" s="35">
        <f>SUM(T118,T119,T123,T124)</f>
        <v>3303</v>
      </c>
      <c r="U125" s="35">
        <f>SUM(U118,U119,U123,U124)</f>
        <v>3524</v>
      </c>
      <c r="V125" s="35">
        <f>SUM(V118,V119,V123,V124)</f>
        <v>1325</v>
      </c>
      <c r="W125" s="35">
        <f>SUM(S125:V125)</f>
        <v>11633</v>
      </c>
      <c r="X125" s="35">
        <f>SUM(X118,X119,X123,X124)</f>
        <v>2121</v>
      </c>
      <c r="Y125" s="35">
        <f>SUM(Y118,Y119,Y123,Y124)</f>
        <v>-1875</v>
      </c>
      <c r="Z125" s="35">
        <f>SUM(Z118,Z119,Z123,Z124)</f>
        <v>4324</v>
      </c>
      <c r="AA125" s="35">
        <f>SUM(AA118,AA119,AA123,AA124)</f>
        <v>5503</v>
      </c>
      <c r="AB125" s="35">
        <f>SUM(X125:AA125)</f>
        <v>10073</v>
      </c>
      <c r="AC125" s="35">
        <f>SUM(AC118,AC119,AC123,AC124)</f>
        <v>4965</v>
      </c>
      <c r="AD125" s="35">
        <f>SUM(AD118,AD119,AD123,AD124)</f>
        <v>4140</v>
      </c>
      <c r="AE125" s="35">
        <f>SUM(AE118,AE119,AE123,AE124)</f>
        <v>8518</v>
      </c>
      <c r="AF125" s="35">
        <f>SUM(AF118,AF119,AF123,AF124)</f>
        <v>7349</v>
      </c>
      <c r="AG125" s="35">
        <f>SUM(AC125:AF125)</f>
        <v>24972</v>
      </c>
      <c r="AH125" s="35">
        <f>SUM(AH118,AH119,AH123,AH124)</f>
        <v>9310</v>
      </c>
      <c r="AI125" s="35">
        <f>SUM(AI118,AI119,AI123,AI124)</f>
        <v>13088</v>
      </c>
      <c r="AJ125" s="35">
        <f>SUM(AJ118,AJ119,AJ123,AJ124)</f>
        <v>10616.2526049774</v>
      </c>
      <c r="AK125" s="35">
        <f>SUM(AK118,AK119,AK123,AK124)</f>
        <v>11379.9863477501</v>
      </c>
      <c r="AL125" s="35">
        <f>SUM(AH125:AK125)</f>
        <v>44394.2389527276</v>
      </c>
      <c r="AM125" s="35">
        <f>SUM(AM118,AM119,AM123,AM124)</f>
        <v>13074.8152398909</v>
      </c>
      <c r="AN125" s="35">
        <f>SUM(AN118,AN119,AN123,AN124)</f>
        <v>17437.9978259165</v>
      </c>
      <c r="AO125" s="35">
        <f>SUM(AO118,AO119,AO123,AO124)</f>
        <v>14742.6500157787</v>
      </c>
      <c r="AP125" s="35">
        <f>SUM(AP118,AP119,AP123,AP124)</f>
        <v>15803.2369944325</v>
      </c>
      <c r="AQ125" s="35">
        <f>SUM(AM125:AP125)</f>
        <v>61058.7000760186</v>
      </c>
      <c r="AR125" s="35">
        <f>SUM(AR118,AR119,AR123,AR124)</f>
        <v>18091.4494541964</v>
      </c>
      <c r="AS125" s="35">
        <f>SUM(AS118,AS119,AS123,AS124)</f>
        <v>24128.7276693165</v>
      </c>
      <c r="AT125" s="35">
        <f>SUM(AT118,AT119,AT123,AT124)</f>
        <v>20399.210442961</v>
      </c>
      <c r="AU125" s="35">
        <f>SUM(AU118,AU119,AU123,AU124)</f>
        <v>21866.7306613389</v>
      </c>
      <c r="AV125" s="35">
        <f>SUM(AR125:AU125)</f>
        <v>84486.1182278128</v>
      </c>
      <c r="AW125" s="35">
        <f>SUM(AW118,AW119,AW123,AW124)</f>
        <v>24942.4428242466</v>
      </c>
      <c r="AX125" s="35">
        <f>SUM(AX118,AX119,AX123,AX124)</f>
        <v>33265.9586970875</v>
      </c>
      <c r="AY125" s="35">
        <f>SUM(AY118,AY119,AY123,AY124)</f>
        <v>28124.1224713097</v>
      </c>
      <c r="AZ125" s="35">
        <f>SUM(AZ118,AZ119,AZ123,AZ124)</f>
        <v>30147.373246931</v>
      </c>
      <c r="BA125" s="35">
        <f>SUM(AW125:AZ125)</f>
        <v>116479.897239575</v>
      </c>
      <c r="BB125" s="35">
        <f>SUM(BB118,BB119,BB123,BB124)</f>
        <v>34263.104838122</v>
      </c>
      <c r="BC125" s="35">
        <f>SUM(BC118,BC119,BC123,BC124)</f>
        <v>45697.0088459398</v>
      </c>
      <c r="BD125" s="35">
        <f>SUM(BD118,BD119,BD123,BD124)</f>
        <v>38633.736218408</v>
      </c>
      <c r="BE125" s="35">
        <f>SUM(BE118,BE119,BE123,BE124)</f>
        <v>41413.0491320387</v>
      </c>
      <c r="BF125" s="35">
        <f>SUM(BB125:BE125)</f>
        <v>160006.899034509</v>
      </c>
      <c r="BG125" s="35" t="n"/>
      <c r="BH125" s="35" t="n"/>
      <c r="BI125" s="35" t="n"/>
      <c r="BJ125" s="35" t="n"/>
      <c r="BK125" s="35" t="n"/>
      <c r="BL125" s="35" t="n"/>
      <c r="BM125" s="35" t="n"/>
      <c r="BN125" s="35" t="n"/>
      <c r="BO125" s="35" t="n"/>
      <c r="BP125" s="35" t="n"/>
      <c r="BQ125" s="35" t="n"/>
      <c r="BR125" s="35" t="n"/>
      <c r="BS125" s="35" t="n"/>
      <c r="BT125" s="35" t="n"/>
      <c r="BU125" s="35" t="n"/>
      <c r="BV125" s="35" t="n"/>
      <c r="BW125" s="35" t="n"/>
      <c r="BX125" s="35" t="n"/>
      <c r="BY125" s="35" t="n"/>
      <c r="BZ125" s="35" t="n"/>
      <c r="CA125" s="35" t="n"/>
      <c r="CB125" s="35" t="n"/>
      <c r="CC125" s="35" t="n"/>
      <c r="CD125" s="35" t="n"/>
      <c r="CE125" s="35" t="n"/>
      <c r="CF125" s="35" t="n"/>
      <c r="CG125" s="35" t="n"/>
      <c r="CH125" s="35" t="n"/>
      <c r="CI125" s="35" t="n"/>
      <c r="CJ125" s="35" t="n"/>
      <c r="CK125" s="35" t="n"/>
      <c r="CL125" s="35" t="n"/>
      <c r="CM125" s="35" t="n"/>
      <c r="CN125" s="35" t="n"/>
      <c r="CO125" s="35" t="n"/>
      <c r="CP125" s="35" t="n"/>
      <c r="CQ125" s="35" t="n"/>
      <c r="CR125" s="35" t="n"/>
      <c r="CS125" s="35" t="n"/>
      <c r="CT125" s="35" t="n"/>
      <c r="CU125" s="35" t="n"/>
      <c r="CV125" s="35" t="n"/>
      <c r="CW125" s="35" t="n"/>
      <c r="CX125" s="35" t="n"/>
      <c r="CY125" s="35" t="n"/>
    </row>
    <row r="126">
      <c r="C126" s="13" t="inlineStr">
        <is>
          <t>Common Dividends</t>
        </is>
      </c>
      <c r="D126" s="46" t="n"/>
      <c r="E126" s="46" t="n"/>
      <c r="F126" s="46" t="n"/>
      <c r="G126" s="46" t="n"/>
      <c r="H126" s="12" t="n"/>
      <c r="I126" s="46">
        <f>'Inputs (2)'!D13</f>
        <v>-1477</v>
      </c>
      <c r="J126" s="46">
        <f>'Inputs (2)'!E13</f>
        <v>-1482</v>
      </c>
      <c r="K126" s="46">
        <f>'Inputs (2)'!F13</f>
        <v>-1561</v>
      </c>
      <c r="L126" s="46">
        <f>'Inputs (2)'!G13</f>
        <v>-1764</v>
      </c>
      <c r="M126" s="12">
        <f>'Inputs (2)'!H13</f>
        <v>-6284</v>
      </c>
      <c r="N126" s="46">
        <f>'Inputs (2)'!I13</f>
        <v>-1676</v>
      </c>
      <c r="O126" s="46">
        <f>'Inputs (2)'!J13</f>
        <v>-1661</v>
      </c>
      <c r="P126" s="46">
        <f>'Inputs (2)'!K13</f>
        <v>-1782</v>
      </c>
      <c r="Q126" s="46">
        <f>'Inputs (2)'!L13</f>
        <v>-1926</v>
      </c>
      <c r="R126" s="12">
        <f>'Inputs (2)'!M13</f>
        <v>-7045</v>
      </c>
      <c r="S126" s="46">
        <f>'Inputs (2)'!N13</f>
        <v>-1914</v>
      </c>
      <c r="T126" s="46">
        <f>'Inputs (2)'!O13</f>
        <v>-1901</v>
      </c>
      <c r="U126" s="46">
        <f>'Inputs (2)'!P13</f>
        <v>-1904</v>
      </c>
      <c r="V126" s="46">
        <f>'Inputs (2)'!Q13</f>
        <v>-2435</v>
      </c>
      <c r="W126" s="12">
        <f>'Inputs (2)'!R13</f>
        <v>-8154</v>
      </c>
      <c r="X126" s="46">
        <f>'Inputs (2)'!S13</f>
        <v>-2443</v>
      </c>
      <c r="Y126" s="46">
        <f>'Inputs (2)'!T13</f>
        <v>-2452</v>
      </c>
      <c r="Z126" s="46">
        <f>'Inputs (2)'!U13</f>
        <v>-2484</v>
      </c>
      <c r="AA126" s="46">
        <f>'Inputs (2)'!V13</f>
        <v>-2774</v>
      </c>
      <c r="AB126" s="12">
        <f>'Inputs (2)'!W13</f>
        <v>-10153</v>
      </c>
      <c r="AC126" s="46">
        <f>'Inputs (2)'!X13</f>
        <v>-2785</v>
      </c>
      <c r="AD126" s="46">
        <f>'Inputs (2)'!Y13</f>
        <v>-2786</v>
      </c>
      <c r="AE126" s="46">
        <f>'Inputs (2)'!Z13</f>
        <v>-2797</v>
      </c>
      <c r="AF126" s="46">
        <f>'Inputs (2)'!AA13</f>
        <v>-3086</v>
      </c>
      <c r="AG126" s="12">
        <f>'Inputs (2)'!AB13</f>
        <v>-11454</v>
      </c>
      <c r="AH126" s="12">
        <f>'Inputs (2)'!AC13</f>
        <v>-3092</v>
      </c>
      <c r="AI126" s="12">
        <f>'Inputs (2)'!AD13</f>
        <v>-3103</v>
      </c>
      <c r="AJ126" s="12">
        <f>-MAX(0,AJ125)*Control!$E$15</f>
        <v>0</v>
      </c>
      <c r="AK126" s="12">
        <f>-MAX(0,AK125)*Control!$E$15</f>
        <v>0</v>
      </c>
      <c r="AL126" s="12">
        <f>SUM(AH126:AK126)</f>
        <v>-6195</v>
      </c>
      <c r="AM126" s="12">
        <f>-MAX(0,AM125)*Control!$E$15</f>
        <v>0</v>
      </c>
      <c r="AN126" s="12">
        <f>-MAX(0,AN125)*Control!$E$15</f>
        <v>0</v>
      </c>
      <c r="AO126" s="12">
        <f>-MAX(0,AO125)*Control!$E$15</f>
        <v>0</v>
      </c>
      <c r="AP126" s="12">
        <f>-MAX(0,AP125)*Control!$E$15</f>
        <v>0</v>
      </c>
      <c r="AQ126" s="12">
        <f>SUM(AM126:AP126)</f>
        <v>0</v>
      </c>
      <c r="AR126" s="12">
        <f>-MAX(0,AR125)*Control!$E$15</f>
        <v>0</v>
      </c>
      <c r="AS126" s="12">
        <f>-MAX(0,AS125)*Control!$E$15</f>
        <v>0</v>
      </c>
      <c r="AT126" s="12">
        <f>-MAX(0,AT125)*Control!$E$15</f>
        <v>0</v>
      </c>
      <c r="AU126" s="12">
        <f>-MAX(0,AU125)*Control!$E$15</f>
        <v>0</v>
      </c>
      <c r="AV126" s="12">
        <f>SUM(AR126:AU126)</f>
        <v>0</v>
      </c>
      <c r="AW126" s="12">
        <f>-MAX(0,AW125)*Control!$E$15</f>
        <v>0</v>
      </c>
      <c r="AX126" s="12">
        <f>-MAX(0,AX125)*Control!$E$15</f>
        <v>0</v>
      </c>
      <c r="AY126" s="12">
        <f>-MAX(0,AY125)*Control!$E$15</f>
        <v>0</v>
      </c>
      <c r="AZ126" s="12">
        <f>-MAX(0,AZ125)*Control!$E$15</f>
        <v>0</v>
      </c>
      <c r="BA126" s="12">
        <f>SUM(AW126:AZ126)</f>
        <v>0</v>
      </c>
      <c r="BB126" s="12">
        <f>-MAX(0,BB125)*Control!$E$15</f>
        <v>0</v>
      </c>
      <c r="BC126" s="12">
        <f>-MAX(0,BC125)*Control!$E$15</f>
        <v>0</v>
      </c>
      <c r="BD126" s="12">
        <f>-MAX(0,BD125)*Control!$E$15</f>
        <v>0</v>
      </c>
      <c r="BE126" s="12">
        <f>-MAX(0,BE125)*Control!$E$15</f>
        <v>0</v>
      </c>
      <c r="BF126" s="12">
        <f>SUM(BB126:BE126)</f>
        <v>0</v>
      </c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% DVD Payout</t>
        </is>
      </c>
      <c r="D127" s="58" t="n"/>
      <c r="E127" s="58" t="n"/>
      <c r="F127" s="58" t="n"/>
      <c r="G127" s="58" t="n"/>
      <c r="H127" s="58" t="n"/>
      <c r="I127" s="58">
        <f>IF(I125=0,"",-I126/I125)</f>
        <v>1.04234297812279</v>
      </c>
      <c r="J127" s="58">
        <f>IF(J125=0,"",-J126/J125)</f>
        <v>0.822419533851276</v>
      </c>
      <c r="K127" s="58">
        <f>IF(K125=0,"",-K126/K125)</f>
        <v>0.815569487983281</v>
      </c>
      <c r="L127" s="58">
        <f>IF(L125=0,"",-L126/L125)</f>
        <v>0.735613010842369</v>
      </c>
      <c r="M127" s="58">
        <f>IF(M125=0,"",-M126/M125)</f>
        <v>0.834417740007967</v>
      </c>
      <c r="N127" s="58">
        <f>IF(N125=0,"",-N126/N125)</f>
        <v>0.666401590457256</v>
      </c>
      <c r="O127" s="58">
        <f>IF(O125=0,"",-O126/O125)</f>
        <v>0.553851283761254</v>
      </c>
      <c r="P127" s="58">
        <f>IF(P125=0,"",-P126/P125)</f>
        <v>0.497348590566564</v>
      </c>
      <c r="Q127" s="58">
        <f>IF(Q125=0,"",-Q126/Q125)</f>
        <v>0.51033386327504</v>
      </c>
      <c r="R127" s="58">
        <f>IF(R125=0,"",-R126/R125)</f>
        <v>0.547354517908476</v>
      </c>
      <c r="S127" s="58">
        <f>IF(S125=0,"",-S126/S125)</f>
        <v>0.549841999425452</v>
      </c>
      <c r="T127" s="58">
        <f>IF(T125=0,"",-T126/T125)</f>
        <v>0.575537390251287</v>
      </c>
      <c r="U127" s="58">
        <f>IF(U125=0,"",-U126/U125)</f>
        <v>0.540295119182747</v>
      </c>
      <c r="V127" s="58">
        <f>IF(V125=0,"",-V126/V125)</f>
        <v>1.8377358490566</v>
      </c>
      <c r="W127" s="58">
        <f>IF(W125=0,"",-W126/W125)</f>
        <v>0.700936989598556</v>
      </c>
      <c r="X127" s="58">
        <f>IF(X125=0,"",-X126/X125)</f>
        <v>1.15181518151815</v>
      </c>
      <c r="Y127" s="58">
        <f>IF(Y125=0,"",-Y126/Y125)</f>
        <v>-1.30773333333333</v>
      </c>
      <c r="Z127" s="58">
        <f>IF(Z125=0,"",-Z126/Z125)</f>
        <v>0.574468085106383</v>
      </c>
      <c r="AA127" s="58">
        <f>IF(AA125=0,"",-AA126/AA125)</f>
        <v>0.504088678902417</v>
      </c>
      <c r="AB127" s="58">
        <f>IF(AB125=0,"",-AB126/AB125)</f>
        <v>1.00794202323042</v>
      </c>
      <c r="AC127" s="58">
        <f>IF(AC125=0,"",-AC126/AC125)</f>
        <v>0.560926485397784</v>
      </c>
      <c r="AD127" s="58">
        <f>IF(AD125=0,"",-AD126/AD125)</f>
        <v>0.672946859903382</v>
      </c>
      <c r="AE127" s="58">
        <f>IF(AE125=0,"",-AE126/AE125)</f>
        <v>0.328363465602254</v>
      </c>
      <c r="AF127" s="41">
        <f>IF(AF125=0,"",-AF126/AF125)</f>
        <v>0.419921077697646</v>
      </c>
      <c r="AG127" s="12">
        <f>IF(AG125=0,"",-AG126/AG125)</f>
        <v>0.458673714560308</v>
      </c>
      <c r="AH127" s="41">
        <f>IF(AH125=0,"",-AH126/AH125)</f>
        <v>0.332116004296455</v>
      </c>
      <c r="AI127" s="41">
        <f>IF(AI125=0,"",-AI126/AI125)</f>
        <v>0.237087408312958</v>
      </c>
      <c r="AJ127" s="41">
        <f>IF(AJ125=0,"",-AJ126/AJ125)</f>
        <v>0</v>
      </c>
      <c r="AK127" s="41">
        <f>IF(AK125=0,"",-AK126/AK125)</f>
        <v>0</v>
      </c>
      <c r="AL127" s="12">
        <f>IF(AL125=0,"",-AL126/AL125)</f>
        <v>0.139545133470959</v>
      </c>
      <c r="AM127" s="41">
        <f>IF(AM125=0,"",-AM126/AM125)</f>
        <v>0</v>
      </c>
      <c r="AN127" s="41">
        <f>IF(AN125=0,"",-AN126/AN125)</f>
        <v>0</v>
      </c>
      <c r="AO127" s="41">
        <f>IF(AO125=0,"",-AO126/AO125)</f>
        <v>0</v>
      </c>
      <c r="AP127" s="41">
        <f>IF(AP125=0,"",-AP126/AP125)</f>
        <v>0</v>
      </c>
      <c r="AQ127" s="12">
        <f>IF(AQ125=0,"",-AQ126/AQ125)</f>
        <v>0</v>
      </c>
      <c r="AR127" s="41">
        <f>IF(AR125=0,"",-AR126/AR125)</f>
        <v>0</v>
      </c>
      <c r="AS127" s="41">
        <f>IF(AS125=0,"",-AS126/AS125)</f>
        <v>0</v>
      </c>
      <c r="AT127" s="41">
        <f>IF(AT125=0,"",-AT126/AT125)</f>
        <v>0</v>
      </c>
      <c r="AU127" s="41">
        <f>IF(AU125=0,"",-AU126/AU125)</f>
        <v>0</v>
      </c>
      <c r="AV127" s="12">
        <f>IF(AV125=0,"",-AV126/AV125)</f>
        <v>0</v>
      </c>
      <c r="AW127" s="41">
        <f>IF(AW125=0,"",-AW126/AW125)</f>
        <v>0</v>
      </c>
      <c r="AX127" s="41">
        <f>IF(AX125=0,"",-AX126/AX125)</f>
        <v>0</v>
      </c>
      <c r="AY127" s="41">
        <f>IF(AY125=0,"",-AY126/AY125)</f>
        <v>0</v>
      </c>
      <c r="AZ127" s="41">
        <f>IF(AZ125=0,"",-AZ126/AZ125)</f>
        <v>0</v>
      </c>
      <c r="BA127" s="12">
        <f>IF(BA125=0,"",-BA126/BA125)</f>
        <v>0</v>
      </c>
      <c r="BB127" s="41">
        <f>IF(BB125=0,"",-BB126/BB125)</f>
        <v>0</v>
      </c>
      <c r="BC127" s="41">
        <f>IF(BC125=0,"",-BC126/BC125)</f>
        <v>0</v>
      </c>
      <c r="BD127" s="41">
        <f>IF(BD125=0,"",-BD126/BD125)</f>
        <v>0</v>
      </c>
      <c r="BE127" s="41">
        <f>IF(BE125=0,"",-BE126/BE125)</f>
        <v>0</v>
      </c>
      <c r="BF127" s="12">
        <f>IF(BF125=0,"",-BF126/BF125)</f>
        <v>0</v>
      </c>
      <c r="BG127" s="41" t="n"/>
      <c r="BH127" s="41" t="n"/>
      <c r="BI127" s="41" t="n"/>
      <c r="BJ127" s="41" t="n"/>
      <c r="BK127" s="12" t="n"/>
      <c r="BL127" s="41" t="n"/>
      <c r="BM127" s="41" t="n"/>
      <c r="BN127" s="41" t="n"/>
      <c r="BO127" s="41" t="n"/>
      <c r="BP127" s="12" t="n"/>
      <c r="BQ127" s="41" t="n"/>
      <c r="BR127" s="41" t="n"/>
      <c r="BS127" s="41" t="n"/>
      <c r="BT127" s="41" t="n"/>
      <c r="BU127" s="12" t="n"/>
      <c r="BV127" s="41" t="n"/>
      <c r="BW127" s="41" t="n"/>
      <c r="BX127" s="41" t="n"/>
      <c r="BY127" s="41" t="n"/>
      <c r="BZ127" s="12" t="n"/>
      <c r="CA127" s="41" t="n"/>
      <c r="CB127" s="41" t="n"/>
      <c r="CC127" s="41" t="n"/>
      <c r="CD127" s="41" t="n"/>
      <c r="CE127" s="12" t="n"/>
      <c r="CF127" s="41" t="n"/>
      <c r="CG127" s="41" t="n"/>
      <c r="CH127" s="41" t="n"/>
      <c r="CI127" s="41" t="n"/>
      <c r="CJ127" s="12" t="n"/>
      <c r="CK127" s="41" t="n"/>
      <c r="CL127" s="41" t="n"/>
      <c r="CM127" s="41" t="n"/>
      <c r="CN127" s="41" t="n"/>
      <c r="CO127" s="12" t="n"/>
      <c r="CP127" s="41" t="n"/>
      <c r="CQ127" s="41" t="n"/>
      <c r="CR127" s="41" t="n"/>
      <c r="CS127" s="41" t="n"/>
      <c r="CT127" s="12" t="n"/>
      <c r="CU127" s="41" t="n"/>
      <c r="CV127" s="41" t="n"/>
      <c r="CW127" s="41" t="n"/>
      <c r="CX127" s="41" t="n"/>
      <c r="CY127" s="12" t="n"/>
    </row>
    <row r="128" hidden="1" outlineLevel="1">
      <c r="C128" s="18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18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collapsed="1" ht="11.25" customHeight="1">
      <c r="C130" s="31" t="inlineStr">
        <is>
          <t>Balance Sheet</t>
        </is>
      </c>
      <c r="D130" s="31" t="n"/>
      <c r="E130" s="31" t="n"/>
      <c r="F130" s="31" t="n"/>
      <c r="G130" s="31" t="n"/>
      <c r="H130" s="31" t="n"/>
      <c r="I130" s="31" t="str">
        <f>I13</f>
        <v>1Q21</v>
      </c>
      <c r="J130" s="31" t="str">
        <f>J13</f>
        <v>2Q21</v>
      </c>
      <c r="K130" s="31" t="str">
        <f>K13</f>
        <v>3Q21</v>
      </c>
      <c r="L130" s="31" t="str">
        <f>L13</f>
        <v>4Q21</v>
      </c>
      <c r="M130" s="31">
        <f>M13</f>
        <v>2021</v>
      </c>
      <c r="N130" s="31" t="str">
        <f>N13</f>
        <v>1Q22</v>
      </c>
      <c r="O130" s="31" t="str">
        <f>O13</f>
        <v>2Q22</v>
      </c>
      <c r="P130" s="31" t="str">
        <f>P13</f>
        <v>3Q22</v>
      </c>
      <c r="Q130" s="31" t="str">
        <f>Q13</f>
        <v>4Q22</v>
      </c>
      <c r="R130" s="31">
        <f>R13</f>
        <v>2022</v>
      </c>
      <c r="S130" s="31" t="str">
        <f>S13</f>
        <v>1Q23</v>
      </c>
      <c r="T130" s="31" t="str">
        <f>T13</f>
        <v>2Q23</v>
      </c>
      <c r="U130" s="31" t="str">
        <f>U13</f>
        <v>3Q23</v>
      </c>
      <c r="V130" s="31" t="str">
        <f>V13</f>
        <v>4Q23</v>
      </c>
      <c r="W130" s="31">
        <f>W13</f>
        <v>2023</v>
      </c>
      <c r="X130" s="31" t="str">
        <f>X13</f>
        <v>1Q24</v>
      </c>
      <c r="Y130" s="31" t="str">
        <f>Y13</f>
        <v>2Q24</v>
      </c>
      <c r="Z130" s="31" t="str">
        <f>Z13</f>
        <v>3Q24</v>
      </c>
      <c r="AA130" s="31" t="str">
        <f>AA13</f>
        <v>4Q24</v>
      </c>
      <c r="AB130" s="31">
        <f>AB13</f>
        <v>2024</v>
      </c>
      <c r="AC130" s="31" t="str">
        <f>AC13</f>
        <v>1Q25</v>
      </c>
      <c r="AD130" s="31" t="str">
        <f>AD13</f>
        <v>2Q25</v>
      </c>
      <c r="AE130" s="31" t="str">
        <f>AE13</f>
        <v>3Q25</v>
      </c>
      <c r="AF130" s="31" t="str">
        <f>AF13</f>
        <v>4Q25</v>
      </c>
      <c r="AG130" s="31">
        <f>AG13</f>
        <v>2025</v>
      </c>
      <c r="AH130" s="31" t="str">
        <f>AH13</f>
        <v>1Q26</v>
      </c>
      <c r="AI130" s="31" t="str">
        <f>AI13</f>
        <v>2Q26</v>
      </c>
      <c r="AJ130" s="31" t="str">
        <f>AJ13</f>
        <v>3Q26</v>
      </c>
      <c r="AK130" s="31" t="str">
        <f>AK13</f>
        <v>4Q26</v>
      </c>
      <c r="AL130" s="31">
        <f>AL13</f>
        <v>2026</v>
      </c>
      <c r="AM130" s="31" t="str">
        <f>AM13</f>
        <v>1Q27</v>
      </c>
      <c r="AN130" s="31" t="str">
        <f>AN13</f>
        <v>2Q27</v>
      </c>
      <c r="AO130" s="31" t="str">
        <f>AO13</f>
        <v>3Q27</v>
      </c>
      <c r="AP130" s="31" t="str">
        <f>AP13</f>
        <v>4Q27</v>
      </c>
      <c r="AQ130" s="31">
        <f>AQ13</f>
        <v>2027</v>
      </c>
      <c r="AR130" s="31" t="str">
        <f>AR13</f>
        <v>1Q28</v>
      </c>
      <c r="AS130" s="31" t="str">
        <f>AS13</f>
        <v>2Q28</v>
      </c>
      <c r="AT130" s="31" t="str">
        <f>AT13</f>
        <v>3Q28</v>
      </c>
      <c r="AU130" s="31" t="str">
        <f>AU13</f>
        <v>4Q28</v>
      </c>
      <c r="AV130" s="31">
        <f>AV13</f>
        <v>2028</v>
      </c>
      <c r="AW130" s="31" t="str">
        <f>AW13</f>
        <v>1Q29</v>
      </c>
      <c r="AX130" s="31" t="str">
        <f>AX13</f>
        <v>2Q29</v>
      </c>
      <c r="AY130" s="31" t="str">
        <f>AY13</f>
        <v>3Q29</v>
      </c>
      <c r="AZ130" s="31" t="str">
        <f>AZ13</f>
        <v>4Q29</v>
      </c>
      <c r="BA130" s="31">
        <f>BA13</f>
        <v>2029</v>
      </c>
      <c r="BB130" s="31" t="str">
        <f>BB13</f>
        <v>1Q30</v>
      </c>
      <c r="BC130" s="31" t="str">
        <f>BC13</f>
        <v>2Q30</v>
      </c>
      <c r="BD130" s="31" t="str">
        <f>BD13</f>
        <v>3Q30</v>
      </c>
      <c r="BE130" s="31" t="str">
        <f>BE13</f>
        <v>4Q30</v>
      </c>
      <c r="BF130" s="31">
        <f>BF13</f>
        <v>2030</v>
      </c>
      <c r="BG130" s="31" t="n"/>
      <c r="BH130" s="31" t="n"/>
      <c r="BI130" s="31" t="n"/>
      <c r="BJ130" s="31" t="n"/>
      <c r="BK130" s="31" t="n"/>
      <c r="BL130" s="31" t="n"/>
      <c r="BM130" s="31" t="n"/>
      <c r="BN130" s="31" t="n"/>
      <c r="BO130" s="31" t="n"/>
      <c r="BP130" s="31" t="n"/>
      <c r="BQ130" s="31" t="n"/>
      <c r="BR130" s="31" t="n"/>
      <c r="BS130" s="31" t="n"/>
      <c r="BT130" s="31" t="n"/>
      <c r="BU130" s="31" t="n"/>
      <c r="BV130" s="31" t="n"/>
      <c r="BW130" s="31" t="n"/>
      <c r="BX130" s="31" t="n"/>
      <c r="BY130" s="31" t="n"/>
      <c r="BZ130" s="31" t="n"/>
      <c r="CA130" s="31" t="n"/>
      <c r="CB130" s="31" t="n"/>
      <c r="CC130" s="31" t="n"/>
      <c r="CD130" s="31" t="n"/>
      <c r="CE130" s="31" t="n"/>
      <c r="CF130" s="31" t="n"/>
      <c r="CG130" s="31" t="n"/>
      <c r="CH130" s="31" t="n"/>
      <c r="CI130" s="31" t="n"/>
      <c r="CJ130" s="31" t="n"/>
      <c r="CK130" s="31" t="n"/>
      <c r="CL130" s="31" t="n"/>
      <c r="CM130" s="31" t="n"/>
      <c r="CN130" s="31" t="n"/>
      <c r="CO130" s="31" t="n"/>
      <c r="CP130" s="31" t="n"/>
      <c r="CQ130" s="31" t="n"/>
      <c r="CR130" s="31" t="n"/>
      <c r="CS130" s="31" t="n"/>
      <c r="CT130" s="31" t="n"/>
      <c r="CU130" s="31" t="n"/>
      <c r="CV130" s="31" t="n"/>
      <c r="CW130" s="31" t="n"/>
      <c r="CX130" s="31" t="n"/>
      <c r="CY130" s="31" t="n"/>
    </row>
    <row r="131">
      <c r="C131" s="18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>
      <c r="C132" s="13" t="inlineStr">
        <is>
          <t>Cash and equivalents (inc. investment securities)</t>
        </is>
      </c>
      <c r="D132" s="46" t="n"/>
      <c r="E132" s="46" t="n"/>
      <c r="F132" s="46" t="n"/>
      <c r="G132" s="46" t="n"/>
      <c r="H132" s="12" t="n"/>
      <c r="I132" s="46">
        <f>'Inputs (2)'!D15</f>
        <v>9518</v>
      </c>
      <c r="J132" s="46">
        <f>'Inputs (2)'!E15</f>
        <v>11105</v>
      </c>
      <c r="K132" s="46">
        <f>'Inputs (2)'!F15</f>
        <v>12163</v>
      </c>
      <c r="L132" s="46">
        <f>'Inputs (2)'!G15</f>
        <v>10219</v>
      </c>
      <c r="M132" s="12">
        <f>'Inputs (2)'!H15</f>
        <v>10219</v>
      </c>
      <c r="N132" s="46">
        <f>'Inputs (2)'!I15</f>
        <v>9005</v>
      </c>
      <c r="O132" s="46">
        <f>'Inputs (2)'!J15</f>
        <v>9977</v>
      </c>
      <c r="P132" s="46">
        <f>'Inputs (2)'!K15</f>
        <v>12416</v>
      </c>
      <c r="Q132" s="46">
        <f>'Inputs (2)'!L15</f>
        <v>12647</v>
      </c>
      <c r="R132" s="12">
        <f>'Inputs (2)'!M15</f>
        <v>12647</v>
      </c>
      <c r="S132" s="46">
        <f>'Inputs (2)'!N15</f>
        <v>11553</v>
      </c>
      <c r="T132" s="46">
        <f>'Inputs (2)'!O15</f>
        <v>12055</v>
      </c>
      <c r="U132" s="46">
        <f>'Inputs (2)'!P15</f>
        <v>14189</v>
      </c>
      <c r="V132" s="46">
        <f>'Inputs (2)'!Q15</f>
        <v>11864</v>
      </c>
      <c r="W132" s="12">
        <f>'Inputs (2)'!R15</f>
        <v>11864</v>
      </c>
      <c r="X132" s="46">
        <f>'Inputs (2)'!S15</f>
        <v>9809</v>
      </c>
      <c r="Y132" s="46">
        <f>'Inputs (2)'!T15</f>
        <v>9952</v>
      </c>
      <c r="Z132" s="46">
        <f>'Inputs (2)'!U15</f>
        <v>9348</v>
      </c>
      <c r="AA132" s="46">
        <f>'Inputs (2)'!V15</f>
        <v>9307</v>
      </c>
      <c r="AB132" s="12">
        <f>'Inputs (2)'!W15</f>
        <v>9307</v>
      </c>
      <c r="AC132" s="46">
        <f>'Inputs (2)'!X15</f>
        <v>9472</v>
      </c>
      <c r="AD132" s="46">
        <f>'Inputs (2)'!Y15</f>
        <v>10718</v>
      </c>
      <c r="AE132" s="46">
        <f>'Inputs (2)'!Z15</f>
        <v>16178</v>
      </c>
      <c r="AF132" s="46">
        <f>'Inputs (2)'!AA15</f>
        <v>14174</v>
      </c>
      <c r="AG132" s="12">
        <f>'Inputs (2)'!AB15</f>
        <v>14174</v>
      </c>
      <c r="AH132" s="12">
        <f>'Inputs (2)'!AC15</f>
        <v>19628</v>
      </c>
      <c r="AI132" s="12">
        <f>'Inputs (2)'!AD15</f>
        <v>23975</v>
      </c>
      <c r="AJ132" s="12">
        <f>AJ261-SUM(AJ133,AJ137,AJ141,AJ142,AJ143,AJ149,AJ154,AJ164,AJ167,AJ168,AJ177)</f>
        <v>37652.1804347076</v>
      </c>
      <c r="AK132" s="12">
        <f>AK261-SUM(AK133,AK137,AK141,AK142,AK143,AK149,AK154,AK164,AK167,AK168,AK177)</f>
        <v>48998.3658734391</v>
      </c>
      <c r="AL132" s="12">
        <f>AK132</f>
        <v>48998.3658734391</v>
      </c>
      <c r="AM132" s="12">
        <f>AM261-SUM(AM133,AM137,AM141,AM142,AM143,AM149,AM154,AM164,AM167,AM168,AM177)</f>
        <v>61002.6692444932</v>
      </c>
      <c r="AN132" s="12">
        <f>AN261-SUM(AN133,AN137,AN141,AN142,AN143,AN149,AN154,AN164,AN167,AN168,AN177)</f>
        <v>75285.5126728948</v>
      </c>
      <c r="AO132" s="12">
        <f>AO261-SUM(AO133,AO137,AO141,AO142,AO143,AO149,AO154,AO164,AO167,AO168,AO177)</f>
        <v>95399.7918210882</v>
      </c>
      <c r="AP132" s="12">
        <f>AP261-SUM(AP133,AP137,AP141,AP142,AP143,AP149,AP154,AP164,AP167,AP168,AP177)</f>
        <v>113050.304334992</v>
      </c>
      <c r="AQ132" s="12">
        <f>AP132</f>
        <v>113050.304334992</v>
      </c>
      <c r="AR132" s="12">
        <f>AR261-SUM(AR133,AR137,AR141,AR142,AR143,AR149,AR154,AR164,AR167,AR168,AR177)</f>
        <v>132530.599120369</v>
      </c>
      <c r="AS132" s="12">
        <f>AS261-SUM(AS133,AS137,AS141,AS142,AS143,AS149,AS154,AS164,AS167,AS168,AS177)</f>
        <v>155633.612344217</v>
      </c>
      <c r="AT132" s="12">
        <f>AT261-SUM(AT133,AT137,AT141,AT142,AT143,AT149,AT154,AT164,AT167,AT168,AT177)</f>
        <v>188387.506050116</v>
      </c>
      <c r="AU132" s="12">
        <f>AU261-SUM(AU133,AU137,AU141,AU142,AU143,AU149,AU154,AU164,AU167,AU168,AU177)</f>
        <v>219605.775829623</v>
      </c>
      <c r="AV132" s="12">
        <f>AU132</f>
        <v>219605.775829623</v>
      </c>
      <c r="AW132" s="12">
        <f>AW261-SUM(AW133,AW137,AW141,AW142,AW143,AW149,AW154,AW164,AW167,AW168,AW177)</f>
        <v>255519.686105818</v>
      </c>
      <c r="AX132" s="12">
        <f>AX261-SUM(AX133,AX137,AX141,AX142,AX143,AX149,AX154,AX164,AX167,AX168,AX177)</f>
        <v>300446.5187871</v>
      </c>
      <c r="AY132" s="12">
        <f>AY261-SUM(AY133,AY137,AY141,AY142,AY143,AY149,AY154,AY164,AY167,AY168,AY177)</f>
        <v>363163.039687416</v>
      </c>
      <c r="AZ132" s="12">
        <f>AZ261-SUM(AZ133,AZ137,AZ141,AZ142,AZ143,AZ149,AZ154,AZ164,AZ167,AZ168,AZ177)</f>
        <v>430357.144407916</v>
      </c>
      <c r="BA132" s="12">
        <f>AZ132</f>
        <v>430357.144407916</v>
      </c>
      <c r="BB132" s="12">
        <f>BB261-SUM(BB133,BB137,BB141,BB142,BB143,BB149,BB154,BB164,BB167,BB168,BB177)</f>
        <v>512670.295006106</v>
      </c>
      <c r="BC132" s="12">
        <f>BC261-SUM(BC133,BC137,BC141,BC142,BC143,BC149,BC154,BC164,BC167,BC168,BC177)</f>
        <v>619418.824187101</v>
      </c>
      <c r="BD132" s="12">
        <f>BD261-SUM(BD133,BD137,BD141,BD142,BD143,BD149,BD154,BD164,BD167,BD168,BD177)</f>
        <v>767291.128039886</v>
      </c>
      <c r="BE132" s="12">
        <f>BE261-SUM(BE133,BE137,BE141,BE142,BE143,BE149,BE154,BE164,BE167,BE168,BE177)</f>
        <v>944182.236717464</v>
      </c>
      <c r="BF132" s="12">
        <f>BE132</f>
        <v>944182.236717464</v>
      </c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>
      <c r="C133" s="14" t="inlineStr">
        <is>
          <t>Accounts receivable</t>
        </is>
      </c>
      <c r="D133" s="46" t="n"/>
      <c r="E133" s="46" t="n"/>
      <c r="F133" s="46" t="n"/>
      <c r="G133" s="46" t="n"/>
      <c r="H133" s="12" t="n"/>
      <c r="I133" s="46">
        <f>'Inputs (2)'!D16</f>
        <v>2425</v>
      </c>
      <c r="J133" s="46">
        <f>'Inputs (2)'!E16</f>
        <v>2234</v>
      </c>
      <c r="K133" s="46">
        <f>'Inputs (2)'!F16</f>
        <v>2071</v>
      </c>
      <c r="L133" s="46">
        <f>'Inputs (2)'!G16</f>
        <v>2539</v>
      </c>
      <c r="M133" s="12">
        <f>'Inputs (2)'!H16</f>
        <v>2539</v>
      </c>
      <c r="N133" s="46">
        <f>'Inputs (2)'!I16</f>
        <v>3083</v>
      </c>
      <c r="O133" s="46">
        <f>'Inputs (2)'!J16</f>
        <v>2708</v>
      </c>
      <c r="P133" s="46">
        <f>'Inputs (2)'!K16</f>
        <v>2958</v>
      </c>
      <c r="Q133" s="46">
        <f>'Inputs (2)'!L16</f>
        <v>3234</v>
      </c>
      <c r="R133" s="12">
        <f>'Inputs (2)'!M16</f>
        <v>3234</v>
      </c>
      <c r="S133" s="46">
        <f>'Inputs (2)'!N16</f>
        <v>3031</v>
      </c>
      <c r="T133" s="46">
        <f>'Inputs (2)'!O16</f>
        <v>2914</v>
      </c>
      <c r="U133" s="46">
        <f>'Inputs (2)'!P16</f>
        <v>3154</v>
      </c>
      <c r="V133" s="46">
        <f>'Inputs (2)'!Q16</f>
        <v>4969</v>
      </c>
      <c r="W133" s="12">
        <f>'Inputs (2)'!R16</f>
        <v>4969</v>
      </c>
      <c r="X133" s="46">
        <f>'Inputs (2)'!S16</f>
        <v>5500</v>
      </c>
      <c r="Y133" s="46">
        <f>'Inputs (2)'!T16</f>
        <v>4665</v>
      </c>
      <c r="Z133" s="46">
        <f>'Inputs (2)'!U16</f>
        <v>4416</v>
      </c>
      <c r="AA133" s="46">
        <f>'Inputs (2)'!V16</f>
        <v>4955</v>
      </c>
      <c r="AB133" s="12">
        <f>'Inputs (2)'!W16</f>
        <v>4955</v>
      </c>
      <c r="AC133" s="46">
        <f>'Inputs (2)'!X16</f>
        <v>5563</v>
      </c>
      <c r="AD133" s="46">
        <f>'Inputs (2)'!Y16</f>
        <v>6494</v>
      </c>
      <c r="AE133" s="46">
        <f>'Inputs (2)'!Z16</f>
        <v>7145</v>
      </c>
      <c r="AF133" s="46">
        <f>'Inputs (2)'!AA16</f>
        <v>8460</v>
      </c>
      <c r="AG133" s="12">
        <f>'Inputs (2)'!AB16</f>
        <v>8460</v>
      </c>
      <c r="AH133" s="12">
        <f>'Inputs (2)'!AC16</f>
        <v>10830</v>
      </c>
      <c r="AI133" s="12">
        <f>'Inputs (2)'!AD16</f>
        <v>13707</v>
      </c>
      <c r="AJ133" s="12">
        <f>(AJ134/(AJ$5-AI$5))*AJ$15</f>
        <v>10573.0065828029</v>
      </c>
      <c r="AK133" s="12">
        <f>(AK134/(AK$5-AJ$5))*AK$15</f>
        <v>11333.6292045798</v>
      </c>
      <c r="AL133" s="12">
        <f>AK133</f>
        <v>11333.6292045798</v>
      </c>
      <c r="AM133" s="12">
        <f>(AM134/(AM$5-AL$5))*AM$15</f>
        <v>13310.9219655494</v>
      </c>
      <c r="AN133" s="12">
        <f>(AN134/(AN$5-AM$5))*AN$15</f>
        <v>17557.8087105911</v>
      </c>
      <c r="AO133" s="12">
        <f>(AO134/(AO$5-AN$5))*AO$15</f>
        <v>14682.5948349896</v>
      </c>
      <c r="AP133" s="12">
        <f>(AP134/(AP$5-AO$5))*AP$15</f>
        <v>15738.8614409372</v>
      </c>
      <c r="AQ133" s="12">
        <f>AP133</f>
        <v>15738.8614409372</v>
      </c>
      <c r="AR133" s="12">
        <f>(AR134/(AR$5-AQ$5))*AR$15</f>
        <v>18215.7499952213</v>
      </c>
      <c r="AS133" s="12">
        <f>(AS134/(AS$5-AR$5))*AS$15</f>
        <v>24294.5084107177</v>
      </c>
      <c r="AT133" s="12">
        <f>(AT134/(AT$5-AS$5))*AT$15</f>
        <v>20316.112881139</v>
      </c>
      <c r="AU133" s="12">
        <f>(AU134/(AU$5-AT$5))*AU$15</f>
        <v>21777.655056768</v>
      </c>
      <c r="AV133" s="12">
        <f>AU133</f>
        <v>21777.655056768</v>
      </c>
      <c r="AW133" s="12">
        <f>(AW134/(AW$5-AV$5))*AW$15</f>
        <v>25392.8567228071</v>
      </c>
      <c r="AX133" s="12">
        <f>(AX134/(AX$5-AW$5))*AX$15</f>
        <v>33494.5184194154</v>
      </c>
      <c r="AY133" s="12">
        <f>(AY134/(AY$5-AX$5))*AY$15</f>
        <v>28009.5569584786</v>
      </c>
      <c r="AZ133" s="12">
        <f>(AZ134/(AZ$5-AY$5))*AZ$15</f>
        <v>30024.5658853833</v>
      </c>
      <c r="BA133" s="12">
        <f>AZ133</f>
        <v>30024.5658853833</v>
      </c>
      <c r="BB133" s="12">
        <f>(BB134/(BB$5-BA$5))*BB$15</f>
        <v>34881.8324718053</v>
      </c>
      <c r="BC133" s="12">
        <f>(BC134/(BC$5-BB$5))*BC$15</f>
        <v>46010.9783229101</v>
      </c>
      <c r="BD133" s="12">
        <f>(BD134/(BD$5-BC$5))*BD$15</f>
        <v>38476.3590839939</v>
      </c>
      <c r="BE133" s="12">
        <f>(BE134/(BE$5-BD$5))*BE$15</f>
        <v>41244.3502787126</v>
      </c>
      <c r="BF133" s="12">
        <f>BE133</f>
        <v>41244.3502787126</v>
      </c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inlineStr">
        <is>
          <t>DSO</t>
        </is>
      </c>
      <c r="D134" s="12" t="n"/>
      <c r="E134" s="12" t="n"/>
      <c r="F134" s="12" t="n"/>
      <c r="G134" s="12" t="n"/>
      <c r="H134" s="12" t="n"/>
      <c r="I134" s="12">
        <f>IFERROR((I133/I$15)*(I$5-H$5),"")</f>
        <v>33.018154311649</v>
      </c>
      <c r="J134" s="12">
        <f>IFERROR((J133/J$15)*(J$5-I$5),"")</f>
        <v>29.9932133372676</v>
      </c>
      <c r="K134" s="12">
        <f>IFERROR((K133/K$15)*(K$5-J$5),"")</f>
        <v>25.7232347779128</v>
      </c>
      <c r="L134" s="12">
        <f>IFERROR((L133/L$15)*(L$5-K$5),"")</f>
        <v>30.3124837788736</v>
      </c>
      <c r="M134" s="12" t="n"/>
      <c r="N134" s="12">
        <f>IFERROR((N133/N$15)*(N$5-M$5),"")</f>
        <v>34.2428730099963</v>
      </c>
      <c r="O134" s="12">
        <f>IFERROR((O133/O$15)*(O$5-N$5),"")</f>
        <v>29.1148393194707</v>
      </c>
      <c r="P134" s="12">
        <f>IFERROR((P133/P$15)*(P$5-O$5),"")</f>
        <v>30.4743561030235</v>
      </c>
      <c r="Q134" s="12">
        <f>IFERROR((Q133/Q$15)*(Q$5-P$5),"")</f>
        <v>33.373864273696</v>
      </c>
      <c r="R134" s="12" t="n"/>
      <c r="S134" s="12">
        <f>IFERROR((S133/S$15)*(S$5-R$5),"")</f>
        <v>31.2366884232223</v>
      </c>
      <c r="T134" s="12">
        <f>IFERROR((T133/T$15)*(T$5-S$5),"")</f>
        <v>29.8753943217666</v>
      </c>
      <c r="U134" s="12">
        <f>IFERROR((U133/U$15)*(U$5-T$5),"")</f>
        <v>31.217643894567</v>
      </c>
      <c r="V134" s="12">
        <f>IFERROR((V133/V$15)*(V$5-U$5),"")</f>
        <v>38.2198812808294</v>
      </c>
      <c r="W134" s="12" t="n"/>
      <c r="X134" s="12">
        <f>IFERROR((X133/X$15)*(X$5-W$5),"")</f>
        <v>40.0816849523504</v>
      </c>
      <c r="Y134" s="12">
        <f>IFERROR((Y133/Y$15)*(Y$5-X$5),"")</f>
        <v>32.4751376988984</v>
      </c>
      <c r="Z134" s="12">
        <f>IFERROR((Z133/Z$15)*(Z$5-Y$5),"")</f>
        <v>28.9079265689483</v>
      </c>
      <c r="AA134" s="12">
        <f>IFERROR((AA133/AA$15)*(AA$5-Z$5),"")</f>
        <v>30.56181281845</v>
      </c>
      <c r="AB134" s="12" t="n"/>
      <c r="AC134" s="12">
        <f>IFERROR((AC133/AC$15)*(AC$5-AB$5),"")</f>
        <v>33.3691015729139</v>
      </c>
      <c r="AD134" s="12">
        <f>IFERROR((AD133/AD$15)*(AD$5-AC$5),"")</f>
        <v>37.0457622868606</v>
      </c>
      <c r="AE134" s="12">
        <f>IFERROR((AE133/AE$15)*(AE$5-AD$5),"")</f>
        <v>36.488481820705</v>
      </c>
      <c r="AF134" s="11">
        <f>IFERROR((AF133/AF$15)*(AF$5-AE$5),"")</f>
        <v>40.3044896691005</v>
      </c>
      <c r="AG134" s="12" t="n"/>
      <c r="AH134" s="11">
        <f>IFERROR((AH133/AH$15)*(AH$5-AG$5),"")</f>
        <v>43.9311308423852</v>
      </c>
      <c r="AI134" s="11">
        <f>IFERROR((AI133/AI$15)*(AI$5-AH$5),"")</f>
        <v>42.152580176405</v>
      </c>
      <c r="AJ134" s="11">
        <f>Control!$B$25</f>
        <v>38.8819243947284</v>
      </c>
      <c r="AK134" s="11">
        <f>Control!$B$25</f>
        <v>38.8819243947284</v>
      </c>
      <c r="AL134" s="12" t="n"/>
      <c r="AM134" s="11">
        <f>Control!$C$25</f>
        <v>38.8819243947284</v>
      </c>
      <c r="AN134" s="11">
        <f>Control!$C$25</f>
        <v>38.8819243947284</v>
      </c>
      <c r="AO134" s="11">
        <f>Control!$C$25</f>
        <v>38.8819243947284</v>
      </c>
      <c r="AP134" s="11">
        <f>Control!$C$25</f>
        <v>38.8819243947284</v>
      </c>
      <c r="AQ134" s="12" t="n"/>
      <c r="AR134" s="11">
        <f>Control!$D$25</f>
        <v>38.8819243947284</v>
      </c>
      <c r="AS134" s="11">
        <f>Control!$D$25</f>
        <v>38.8819243947284</v>
      </c>
      <c r="AT134" s="11">
        <f>Control!$D$25</f>
        <v>38.8819243947284</v>
      </c>
      <c r="AU134" s="11">
        <f>Control!$D$25</f>
        <v>38.8819243947284</v>
      </c>
      <c r="AV134" s="12" t="n"/>
      <c r="AW134" s="11">
        <f>Control!$E$25</f>
        <v>38.8819243947284</v>
      </c>
      <c r="AX134" s="11">
        <f>Control!$E$25</f>
        <v>38.8819243947284</v>
      </c>
      <c r="AY134" s="11">
        <f>Control!$E$25</f>
        <v>38.8819243947284</v>
      </c>
      <c r="AZ134" s="11">
        <f>Control!$E$25</f>
        <v>38.8819243947284</v>
      </c>
      <c r="BA134" s="12" t="n"/>
      <c r="BB134" s="11">
        <f>Control!$F$25</f>
        <v>38.8819243947284</v>
      </c>
      <c r="BC134" s="11">
        <f>Control!$F$25</f>
        <v>38.8819243947284</v>
      </c>
      <c r="BD134" s="11">
        <f>Control!$F$25</f>
        <v>38.8819243947284</v>
      </c>
      <c r="BE134" s="11">
        <f>Control!$F$25</f>
        <v>38.8819243947284</v>
      </c>
      <c r="BF134" s="12" t="n"/>
      <c r="BG134" s="11" t="n"/>
      <c r="BH134" s="11" t="n"/>
      <c r="BI134" s="11" t="n"/>
      <c r="BJ134" s="11" t="n"/>
      <c r="BK134" s="12" t="n"/>
      <c r="BL134" s="11" t="n"/>
      <c r="BM134" s="11" t="n"/>
      <c r="BN134" s="11" t="n"/>
      <c r="BO134" s="11" t="n"/>
      <c r="BP134" s="12" t="n"/>
      <c r="BQ134" s="11" t="n"/>
      <c r="BR134" s="11" t="n"/>
      <c r="BS134" s="11" t="n"/>
      <c r="BT134" s="11" t="n"/>
      <c r="BU134" s="12" t="n"/>
      <c r="BV134" s="11" t="n"/>
      <c r="BW134" s="11" t="n"/>
      <c r="BX134" s="11" t="n"/>
      <c r="BY134" s="11" t="n"/>
      <c r="BZ134" s="12" t="n"/>
      <c r="CA134" s="11" t="n"/>
      <c r="CB134" s="11" t="n"/>
      <c r="CC134" s="11" t="n"/>
      <c r="CD134" s="11" t="n"/>
      <c r="CE134" s="12" t="n"/>
      <c r="CF134" s="11" t="n"/>
      <c r="CG134" s="11" t="n"/>
      <c r="CH134" s="11" t="n"/>
      <c r="CI134" s="11" t="n"/>
      <c r="CJ134" s="12" t="n"/>
      <c r="CK134" s="11" t="n"/>
      <c r="CL134" s="11" t="n"/>
      <c r="CM134" s="11" t="n"/>
      <c r="CN134" s="11" t="n"/>
      <c r="CO134" s="12" t="n"/>
      <c r="CP134" s="11" t="n"/>
      <c r="CQ134" s="11" t="n"/>
      <c r="CR134" s="11" t="n"/>
      <c r="CS134" s="11" t="n"/>
      <c r="CT134" s="12" t="n"/>
      <c r="CU134" s="11" t="n"/>
      <c r="CV134" s="11" t="n"/>
      <c r="CW134" s="11" t="n"/>
      <c r="CX134" s="11" t="n"/>
      <c r="CY134" s="12" t="n"/>
    </row>
    <row r="135" hidden="1" outlineLevel="1">
      <c r="C135" s="57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hidden="1" outlineLevel="1">
      <c r="C136" s="57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ollapsed="1">
      <c r="C137" s="14" t="inlineStr">
        <is>
          <t>Inventories</t>
        </is>
      </c>
      <c r="D137" s="46" t="n"/>
      <c r="E137" s="46" t="n"/>
      <c r="F137" s="46" t="n"/>
      <c r="G137" s="46" t="n"/>
      <c r="H137" s="12" t="n"/>
      <c r="I137" s="46">
        <f>'Inputs (2)'!D17</f>
        <v>1004</v>
      </c>
      <c r="J137" s="46">
        <f>'Inputs (2)'!E17</f>
        <v>1160</v>
      </c>
      <c r="K137" s="46">
        <f>'Inputs (2)'!F17</f>
        <v>1297</v>
      </c>
      <c r="L137" s="46">
        <f>'Inputs (2)'!G17</f>
        <v>1520</v>
      </c>
      <c r="M137" s="12">
        <f>'Inputs (2)'!H17</f>
        <v>1520</v>
      </c>
      <c r="N137" s="46">
        <f>'Inputs (2)'!I17</f>
        <v>1668</v>
      </c>
      <c r="O137" s="46">
        <f>'Inputs (2)'!J17</f>
        <v>1838</v>
      </c>
      <c r="P137" s="46">
        <f>'Inputs (2)'!K17</f>
        <v>1925</v>
      </c>
      <c r="Q137" s="46">
        <f>'Inputs (2)'!L17</f>
        <v>1899</v>
      </c>
      <c r="R137" s="12">
        <f>'Inputs (2)'!M17</f>
        <v>1899</v>
      </c>
      <c r="S137" s="46">
        <f>'Inputs (2)'!N17</f>
        <v>1886</v>
      </c>
      <c r="T137" s="46">
        <f>'Inputs (2)'!O17</f>
        <v>1842</v>
      </c>
      <c r="U137" s="46">
        <f>'Inputs (2)'!P17</f>
        <v>1898</v>
      </c>
      <c r="V137" s="46">
        <f>'Inputs (2)'!Q17</f>
        <v>1920</v>
      </c>
      <c r="W137" s="12">
        <f>'Inputs (2)'!R17</f>
        <v>1920</v>
      </c>
      <c r="X137" s="46">
        <f>'Inputs (2)'!S17</f>
        <v>1842</v>
      </c>
      <c r="Y137" s="46">
        <f>'Inputs (2)'!T17</f>
        <v>1894</v>
      </c>
      <c r="Z137" s="46">
        <f>'Inputs (2)'!U17</f>
        <v>1760</v>
      </c>
      <c r="AA137" s="46">
        <f>'Inputs (2)'!V17</f>
        <v>1908</v>
      </c>
      <c r="AB137" s="12">
        <f>'Inputs (2)'!W17</f>
        <v>1908</v>
      </c>
      <c r="AC137" s="46">
        <f>'Inputs (2)'!X17</f>
        <v>2017</v>
      </c>
      <c r="AD137" s="46">
        <f>'Inputs (2)'!Y17</f>
        <v>2180</v>
      </c>
      <c r="AE137" s="46">
        <f>'Inputs (2)'!Z17</f>
        <v>2270</v>
      </c>
      <c r="AF137" s="46">
        <f>'Inputs (2)'!AA17</f>
        <v>2962</v>
      </c>
      <c r="AG137" s="12">
        <f>'Inputs (2)'!AB17</f>
        <v>2962</v>
      </c>
      <c r="AH137" s="12">
        <f>'Inputs (2)'!AC17</f>
        <v>4328</v>
      </c>
      <c r="AI137" s="12">
        <f>'Inputs (2)'!AD17</f>
        <v>4523</v>
      </c>
      <c r="AJ137" s="12">
        <f>(AJ138/(AJ$5-AI$5))*-AJ$42</f>
        <v>3715.93604607498</v>
      </c>
      <c r="AK137" s="12">
        <f>(AK138/(AK$5-AJ$5))*-AK$42</f>
        <v>3983.26067087171</v>
      </c>
      <c r="AL137" s="12">
        <f>AK137</f>
        <v>3983.26067087171</v>
      </c>
      <c r="AM137" s="12">
        <f>(AM138/(AM$5-AL$5))*-AM$42</f>
        <v>4678.19010145399</v>
      </c>
      <c r="AN137" s="12">
        <f>(AN138/(AN$5-AM$5))*-AN$42</f>
        <v>6170.77968946832</v>
      </c>
      <c r="AO137" s="12">
        <f>(AO138/(AO$5-AN$5))*-AO$42</f>
        <v>5160.27139205552</v>
      </c>
      <c r="AP137" s="12">
        <f>(AP138/(AP$5-AO$5))*-AP$42</f>
        <v>5531.50157379873</v>
      </c>
      <c r="AQ137" s="12">
        <f>AP137</f>
        <v>5531.50157379873</v>
      </c>
      <c r="AR137" s="12">
        <f>(AR138/(AR$5-AQ$5))*-AR$42</f>
        <v>6402.01644474802</v>
      </c>
      <c r="AS137" s="12">
        <f>(AS138/(AS$5-AR$5))*-AS$42</f>
        <v>8538.42649373681</v>
      </c>
      <c r="AT137" s="12">
        <f>(AT138/(AT$5-AS$5))*-AT$42</f>
        <v>7140.19948629785</v>
      </c>
      <c r="AU137" s="12">
        <f>(AU138/(AU$5-AT$5))*-AU$42</f>
        <v>7653.86579405484</v>
      </c>
      <c r="AV137" s="12">
        <f>AU137</f>
        <v>7653.86579405484</v>
      </c>
      <c r="AW137" s="12">
        <f>(AW138/(AW$5-AV$5))*-AW$42</f>
        <v>8924.44650158182</v>
      </c>
      <c r="AX137" s="12">
        <f>(AX138/(AX$5-AW$5))*-AX$42</f>
        <v>11771.8160265851</v>
      </c>
      <c r="AY137" s="12">
        <f>(AY138/(AY$5-AX$5))*-AY$42</f>
        <v>9844.09888724474</v>
      </c>
      <c r="AZ137" s="12">
        <f>(AZ138/(AZ$5-AY$5))*-AZ$42</f>
        <v>10552.2838529882</v>
      </c>
      <c r="BA137" s="12">
        <f>AZ137</f>
        <v>10552.2838529882</v>
      </c>
      <c r="BB137" s="12">
        <f>(BB138/(BB$5-BA$5))*-BB$42</f>
        <v>12259.3944891661</v>
      </c>
      <c r="BC137" s="12">
        <f>(BC138/(BC$5-BB$5))*-BC$42</f>
        <v>16170.7884627035</v>
      </c>
      <c r="BD137" s="12">
        <f>(BD138/(BD$5-BC$5))*-BD$42</f>
        <v>13522.7088456078</v>
      </c>
      <c r="BE137" s="12">
        <f>(BE138/(BE$5-BD$5))*-BE$42</f>
        <v>14495.5331955333</v>
      </c>
      <c r="BF137" s="12">
        <f>BE137</f>
        <v>14495.5331955333</v>
      </c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7" t="inlineStr">
        <is>
          <t>DIO</t>
        </is>
      </c>
      <c r="D138" s="12" t="n"/>
      <c r="E138" s="12" t="n"/>
      <c r="F138" s="12" t="n"/>
      <c r="G138" s="12" t="n"/>
      <c r="H138" s="12" t="n"/>
      <c r="I138" s="12">
        <f>IFERROR(((I137/I$42)*(I$5-H$5))*-1,"")</f>
        <v>35.3936545240893</v>
      </c>
      <c r="J138" s="12">
        <f>IFERROR(((J137/J$42)*(J$5-I$5))*-1,"")</f>
        <v>40.8988764044944</v>
      </c>
      <c r="K138" s="12">
        <f>IFERROR(((K137/K$42)*(K$5-J$5))*-1,"")</f>
        <v>43.0928132899964</v>
      </c>
      <c r="L138" s="12">
        <f>IFERROR(((L137/L$42)*(L$5-K$5))*-1,"")</f>
        <v>52.6307866014302</v>
      </c>
      <c r="M138" s="12" t="n"/>
      <c r="N138" s="12">
        <f>IFERROR(((N137/N$42)*(N$5-M$5))*-1,"")</f>
        <v>56.3513513513514</v>
      </c>
      <c r="O138" s="12">
        <f>IFERROR(((O137/O$42)*(O$5-N$5))*-1,"")</f>
        <v>60.099892202659</v>
      </c>
      <c r="P138" s="12">
        <f>IFERROR(((P137/P$42)*(P$5-O$5))*-1,"")</f>
        <v>58.9547270306258</v>
      </c>
      <c r="Q138" s="12">
        <f>IFERROR(((Q137/Q$42)*(Q$5-P$5))*-1,"")</f>
        <v>60.0164891789763</v>
      </c>
      <c r="R138" s="12" t="n"/>
      <c r="S138" s="12">
        <f>IFERROR(((S137/S$42)*(S$5-R$5))*-1,"")</f>
        <v>64.8357524828113</v>
      </c>
      <c r="T138" s="12">
        <f>IFERROR(((T137/T$42)*(T$5-S$5))*-1,"")</f>
        <v>61.8075221238938</v>
      </c>
      <c r="U138" s="12">
        <f>IFERROR(((U137/U$42)*(U$5-T$5))*-1,"")</f>
        <v>60.4626038781163</v>
      </c>
      <c r="V138" s="12">
        <f>IFERROR(((V137/V$42)*(V$5-U$5))*-1,"")</f>
        <v>38.517226341038</v>
      </c>
      <c r="W138" s="12" t="n"/>
      <c r="X138" s="12">
        <f>IFERROR(((X137/X$42)*(X$5-W$5))*-1,"")</f>
        <v>35.5809806835067</v>
      </c>
      <c r="Y138" s="12">
        <f>IFERROR(((Y137/Y$42)*(Y$5-X$5))*-1,"")</f>
        <v>36.5466497031383</v>
      </c>
      <c r="Z138" s="12">
        <f>IFERROR(((Z137/Z$42)*(Z$5-Y$5))*-1,"")</f>
        <v>32.0506730007918</v>
      </c>
      <c r="AA138" s="12">
        <f>IFERROR(((AA137/AA$42)*(AA$5-Z$5))*-1,"")</f>
        <v>36.7922867323412</v>
      </c>
      <c r="AB138" s="12" t="n"/>
      <c r="AC138" s="12">
        <f>IFERROR(((AC137/AC$42)*(AC$5-AB$5))*-1,"")</f>
        <v>37.7636779696276</v>
      </c>
      <c r="AD138" s="12">
        <f>IFERROR(((AD137/AD$42)*(AD$5-AC$5))*-1,"")</f>
        <v>37.7938654981901</v>
      </c>
      <c r="AE138" s="12">
        <f>IFERROR(((AE137/AE$42)*(AE$5-AD$5))*-1,"")</f>
        <v>36.2192160943462</v>
      </c>
      <c r="AF138" s="11">
        <f>IFERROR(((AF137/AF$42)*(AF$5-AE$5))*-1,"")</f>
        <v>44.2807929801755</v>
      </c>
      <c r="AG138" s="12" t="n"/>
      <c r="AH138" s="11">
        <f>IFERROR(((AH137/AH$42)*(AH$5-AG$5))*-1,"")</f>
        <v>57.5191966922623</v>
      </c>
      <c r="AI138" s="11">
        <f>IFERROR(((AI137/AI$42)*(AI$5-AH$5))*-1,"")</f>
        <v>45.0567049808429</v>
      </c>
      <c r="AJ138" s="11">
        <f>Control!$B$26</f>
        <v>43.1055757025741</v>
      </c>
      <c r="AK138" s="11">
        <f>Control!$B$26</f>
        <v>43.1055757025741</v>
      </c>
      <c r="AL138" s="12" t="n"/>
      <c r="AM138" s="11">
        <f>Control!$C$26</f>
        <v>43.1055757025741</v>
      </c>
      <c r="AN138" s="11">
        <f>Control!$C$26</f>
        <v>43.1055757025741</v>
      </c>
      <c r="AO138" s="11">
        <f>Control!$C$26</f>
        <v>43.1055757025741</v>
      </c>
      <c r="AP138" s="11">
        <f>Control!$C$26</f>
        <v>43.1055757025741</v>
      </c>
      <c r="AQ138" s="12" t="n"/>
      <c r="AR138" s="11">
        <f>Control!$D$26</f>
        <v>43.1055757025741</v>
      </c>
      <c r="AS138" s="11">
        <f>Control!$D$26</f>
        <v>43.1055757025741</v>
      </c>
      <c r="AT138" s="11">
        <f>Control!$D$26</f>
        <v>43.1055757025741</v>
      </c>
      <c r="AU138" s="11">
        <f>Control!$D$26</f>
        <v>43.1055757025741</v>
      </c>
      <c r="AV138" s="12" t="n"/>
      <c r="AW138" s="11">
        <f>Control!$E$26</f>
        <v>43.1055757025741</v>
      </c>
      <c r="AX138" s="11">
        <f>Control!$E$26</f>
        <v>43.1055757025741</v>
      </c>
      <c r="AY138" s="11">
        <f>Control!$E$26</f>
        <v>43.1055757025741</v>
      </c>
      <c r="AZ138" s="11">
        <f>Control!$E$26</f>
        <v>43.1055757025741</v>
      </c>
      <c r="BA138" s="12" t="n"/>
      <c r="BB138" s="11">
        <f>Control!$F$26</f>
        <v>43.1055757025741</v>
      </c>
      <c r="BC138" s="11">
        <f>Control!$F$26</f>
        <v>43.1055757025741</v>
      </c>
      <c r="BD138" s="11">
        <f>Control!$F$26</f>
        <v>43.1055757025741</v>
      </c>
      <c r="BE138" s="11">
        <f>Control!$F$26</f>
        <v>43.1055757025741</v>
      </c>
      <c r="BF138" s="12" t="n"/>
      <c r="BG138" s="11" t="n"/>
      <c r="BH138" s="11" t="n"/>
      <c r="BI138" s="11" t="n"/>
      <c r="BJ138" s="11" t="n"/>
      <c r="BK138" s="12" t="n"/>
      <c r="BL138" s="11" t="n"/>
      <c r="BM138" s="11" t="n"/>
      <c r="BN138" s="11" t="n"/>
      <c r="BO138" s="11" t="n"/>
      <c r="BP138" s="12" t="n"/>
      <c r="BQ138" s="11" t="n"/>
      <c r="BR138" s="11" t="n"/>
      <c r="BS138" s="11" t="n"/>
      <c r="BT138" s="11" t="n"/>
      <c r="BU138" s="12" t="n"/>
      <c r="BV138" s="11" t="n"/>
      <c r="BW138" s="11" t="n"/>
      <c r="BX138" s="11" t="n"/>
      <c r="BY138" s="11" t="n"/>
      <c r="BZ138" s="12" t="n"/>
      <c r="CA138" s="11" t="n"/>
      <c r="CB138" s="11" t="n"/>
      <c r="CC138" s="11" t="n"/>
      <c r="CD138" s="11" t="n"/>
      <c r="CE138" s="12" t="n"/>
      <c r="CF138" s="11" t="n"/>
      <c r="CG138" s="11" t="n"/>
      <c r="CH138" s="11" t="n"/>
      <c r="CI138" s="11" t="n"/>
      <c r="CJ138" s="12" t="n"/>
      <c r="CK138" s="11" t="n"/>
      <c r="CL138" s="11" t="n"/>
      <c r="CM138" s="11" t="n"/>
      <c r="CN138" s="11" t="n"/>
      <c r="CO138" s="12" t="n"/>
      <c r="CP138" s="11" t="n"/>
      <c r="CQ138" s="11" t="n"/>
      <c r="CR138" s="11" t="n"/>
      <c r="CS138" s="11" t="n"/>
      <c r="CT138" s="12" t="n"/>
      <c r="CU138" s="11" t="n"/>
      <c r="CV138" s="11" t="n"/>
      <c r="CW138" s="11" t="n"/>
      <c r="CX138" s="11" t="n"/>
      <c r="CY138" s="12" t="n"/>
    </row>
    <row r="139" hidden="1" outlineLevel="1">
      <c r="C139" s="57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collapsed="1">
      <c r="C141" s="14" t="inlineStr">
        <is>
          <t>Deferred income taxes</t>
        </is>
      </c>
      <c r="D141" s="46" t="n"/>
      <c r="E141" s="46" t="n"/>
      <c r="F141" s="46" t="n"/>
      <c r="G141" s="46" t="n"/>
      <c r="H141" s="12" t="n"/>
      <c r="I141" s="46">
        <f>'Inputs (2)'!D18</f>
        <v>0</v>
      </c>
      <c r="J141" s="46">
        <f>'Inputs (2)'!E18</f>
        <v>0</v>
      </c>
      <c r="K141" s="46">
        <f>'Inputs (2)'!F18</f>
        <v>0</v>
      </c>
      <c r="L141" s="46">
        <f>'Inputs (2)'!G18</f>
        <v>0</v>
      </c>
      <c r="M141" s="12">
        <f>'Inputs (2)'!H18</f>
        <v>0</v>
      </c>
      <c r="N141" s="46">
        <f>'Inputs (2)'!I18</f>
        <v>0</v>
      </c>
      <c r="O141" s="46">
        <f>'Inputs (2)'!J18</f>
        <v>0</v>
      </c>
      <c r="P141" s="46">
        <f>'Inputs (2)'!K18</f>
        <v>0</v>
      </c>
      <c r="Q141" s="46">
        <f>'Inputs (2)'!L18</f>
        <v>0</v>
      </c>
      <c r="R141" s="12">
        <f>'Inputs (2)'!M18</f>
        <v>0</v>
      </c>
      <c r="S141" s="46">
        <f>'Inputs (2)'!N18</f>
        <v>0</v>
      </c>
      <c r="T141" s="46">
        <f>'Inputs (2)'!O18</f>
        <v>0</v>
      </c>
      <c r="U141" s="46">
        <f>'Inputs (2)'!P18</f>
        <v>0</v>
      </c>
      <c r="V141" s="46">
        <f>'Inputs (2)'!Q18</f>
        <v>0</v>
      </c>
      <c r="W141" s="12">
        <f>'Inputs (2)'!R18</f>
        <v>0</v>
      </c>
      <c r="X141" s="46">
        <f>'Inputs (2)'!S18</f>
        <v>0</v>
      </c>
      <c r="Y141" s="46">
        <f>'Inputs (2)'!T18</f>
        <v>0</v>
      </c>
      <c r="Z141" s="46">
        <f>'Inputs (2)'!U18</f>
        <v>0</v>
      </c>
      <c r="AA141" s="46">
        <f>'Inputs (2)'!V18</f>
        <v>0</v>
      </c>
      <c r="AB141" s="12">
        <f>'Inputs (2)'!W18</f>
        <v>0</v>
      </c>
      <c r="AC141" s="46">
        <f>'Inputs (2)'!X18</f>
        <v>0</v>
      </c>
      <c r="AD141" s="46">
        <f>'Inputs (2)'!Y18</f>
        <v>0</v>
      </c>
      <c r="AE141" s="46">
        <f>'Inputs (2)'!Z18</f>
        <v>0</v>
      </c>
      <c r="AF141" s="46">
        <f>'Inputs (2)'!AA18</f>
        <v>0</v>
      </c>
      <c r="AG141" s="12">
        <f>'Inputs (2)'!AB18</f>
        <v>0</v>
      </c>
      <c r="AH141" s="12">
        <f>'Inputs (2)'!AC18</f>
        <v>0</v>
      </c>
      <c r="AI141" s="12">
        <f>'Inputs (2)'!AD18</f>
        <v>0</v>
      </c>
      <c r="AJ141" s="12">
        <f>AI141</f>
        <v>0</v>
      </c>
      <c r="AK141" s="12">
        <f>AJ141</f>
        <v>0</v>
      </c>
      <c r="AL141" s="12">
        <f>AK141</f>
        <v>0</v>
      </c>
      <c r="AM141" s="12">
        <f>AL141</f>
        <v>0</v>
      </c>
      <c r="AN141" s="12">
        <f>AM141</f>
        <v>0</v>
      </c>
      <c r="AO141" s="12">
        <f>AN141</f>
        <v>0</v>
      </c>
      <c r="AP141" s="12">
        <f>AO141</f>
        <v>0</v>
      </c>
      <c r="AQ141" s="12">
        <f>AP141</f>
        <v>0</v>
      </c>
      <c r="AR141" s="12">
        <f>AQ141</f>
        <v>0</v>
      </c>
      <c r="AS141" s="12">
        <f>AR141</f>
        <v>0</v>
      </c>
      <c r="AT141" s="12">
        <f>AS141</f>
        <v>0</v>
      </c>
      <c r="AU141" s="12">
        <f>AT141</f>
        <v>0</v>
      </c>
      <c r="AV141" s="12">
        <f>AU141</f>
        <v>0</v>
      </c>
      <c r="AW141" s="12">
        <f>AV141</f>
        <v>0</v>
      </c>
      <c r="AX141" s="12">
        <f>AW141</f>
        <v>0</v>
      </c>
      <c r="AY141" s="12">
        <f>AX141</f>
        <v>0</v>
      </c>
      <c r="AZ141" s="12">
        <f>AY141</f>
        <v>0</v>
      </c>
      <c r="BA141" s="12">
        <f>AZ141</f>
        <v>0</v>
      </c>
      <c r="BB141" s="12">
        <f>BA141</f>
        <v>0</v>
      </c>
      <c r="BC141" s="12">
        <f>BB141</f>
        <v>0</v>
      </c>
      <c r="BD141" s="12">
        <f>BC141</f>
        <v>0</v>
      </c>
      <c r="BE141" s="12">
        <f>BD141</f>
        <v>0</v>
      </c>
      <c r="BF141" s="12">
        <f>BE141</f>
        <v>0</v>
      </c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>
      <c r="C142" s="14" t="inlineStr">
        <is>
          <t>Prepaid expenses</t>
        </is>
      </c>
      <c r="D142" s="46" t="n"/>
      <c r="E142" s="46" t="n"/>
      <c r="F142" s="46" t="n"/>
      <c r="G142" s="46" t="n"/>
      <c r="H142" s="12" t="n"/>
      <c r="I142" s="46">
        <f>'Inputs (2)'!D19</f>
        <v>0</v>
      </c>
      <c r="J142" s="46">
        <f>'Inputs (2)'!E19</f>
        <v>0</v>
      </c>
      <c r="K142" s="46">
        <f>'Inputs (2)'!F19</f>
        <v>0</v>
      </c>
      <c r="L142" s="46">
        <f>'Inputs (2)'!G19</f>
        <v>0</v>
      </c>
      <c r="M142" s="12">
        <f>'Inputs (2)'!H19</f>
        <v>0</v>
      </c>
      <c r="N142" s="46">
        <f>'Inputs (2)'!I19</f>
        <v>0</v>
      </c>
      <c r="O142" s="46">
        <f>'Inputs (2)'!J19</f>
        <v>0</v>
      </c>
      <c r="P142" s="46">
        <f>'Inputs (2)'!K19</f>
        <v>0</v>
      </c>
      <c r="Q142" s="46">
        <f>'Inputs (2)'!L19</f>
        <v>0</v>
      </c>
      <c r="R142" s="12">
        <f>'Inputs (2)'!M19</f>
        <v>0</v>
      </c>
      <c r="S142" s="46">
        <f>'Inputs (2)'!N19</f>
        <v>0</v>
      </c>
      <c r="T142" s="46">
        <f>'Inputs (2)'!O19</f>
        <v>0</v>
      </c>
      <c r="U142" s="46">
        <f>'Inputs (2)'!P19</f>
        <v>0</v>
      </c>
      <c r="V142" s="46">
        <f>'Inputs (2)'!Q19</f>
        <v>0</v>
      </c>
      <c r="W142" s="12">
        <f>'Inputs (2)'!R19</f>
        <v>0</v>
      </c>
      <c r="X142" s="46">
        <f>'Inputs (2)'!S19</f>
        <v>0</v>
      </c>
      <c r="Y142" s="46">
        <f>'Inputs (2)'!T19</f>
        <v>0</v>
      </c>
      <c r="Z142" s="46">
        <f>'Inputs (2)'!U19</f>
        <v>0</v>
      </c>
      <c r="AA142" s="46">
        <f>'Inputs (2)'!V19</f>
        <v>0</v>
      </c>
      <c r="AB142" s="12">
        <f>'Inputs (2)'!W19</f>
        <v>0</v>
      </c>
      <c r="AC142" s="46">
        <f>'Inputs (2)'!X19</f>
        <v>0</v>
      </c>
      <c r="AD142" s="46">
        <f>'Inputs (2)'!Y19</f>
        <v>0</v>
      </c>
      <c r="AE142" s="46">
        <f>'Inputs (2)'!Z19</f>
        <v>0</v>
      </c>
      <c r="AF142" s="46">
        <f>'Inputs (2)'!AA19</f>
        <v>0</v>
      </c>
      <c r="AG142" s="12">
        <f>'Inputs (2)'!AB19</f>
        <v>0</v>
      </c>
      <c r="AH142" s="12">
        <f>'Inputs (2)'!AC19</f>
        <v>0</v>
      </c>
      <c r="AI142" s="12">
        <f>'Inputs (2)'!AD19</f>
        <v>0</v>
      </c>
      <c r="AJ142" s="12">
        <f>AI142</f>
        <v>0</v>
      </c>
      <c r="AK142" s="12">
        <f>AJ142</f>
        <v>0</v>
      </c>
      <c r="AL142" s="12">
        <f>AK142</f>
        <v>0</v>
      </c>
      <c r="AM142" s="12">
        <f>AL142</f>
        <v>0</v>
      </c>
      <c r="AN142" s="12">
        <f>AM142</f>
        <v>0</v>
      </c>
      <c r="AO142" s="12">
        <f>AN142</f>
        <v>0</v>
      </c>
      <c r="AP142" s="12">
        <f>AO142</f>
        <v>0</v>
      </c>
      <c r="AQ142" s="12">
        <f>AP142</f>
        <v>0</v>
      </c>
      <c r="AR142" s="12">
        <f>AQ142</f>
        <v>0</v>
      </c>
      <c r="AS142" s="12">
        <f>AR142</f>
        <v>0</v>
      </c>
      <c r="AT142" s="12">
        <f>AS142</f>
        <v>0</v>
      </c>
      <c r="AU142" s="12">
        <f>AT142</f>
        <v>0</v>
      </c>
      <c r="AV142" s="12">
        <f>AU142</f>
        <v>0</v>
      </c>
      <c r="AW142" s="12">
        <f>AV142</f>
        <v>0</v>
      </c>
      <c r="AX142" s="12">
        <f>AW142</f>
        <v>0</v>
      </c>
      <c r="AY142" s="12">
        <f>AX142</f>
        <v>0</v>
      </c>
      <c r="AZ142" s="12">
        <f>AY142</f>
        <v>0</v>
      </c>
      <c r="BA142" s="12">
        <f>AZ142</f>
        <v>0</v>
      </c>
      <c r="BB142" s="12">
        <f>BA142</f>
        <v>0</v>
      </c>
      <c r="BC142" s="12">
        <f>BB142</f>
        <v>0</v>
      </c>
      <c r="BD142" s="12">
        <f>BC142</f>
        <v>0</v>
      </c>
      <c r="BE142" s="12">
        <f>BD142</f>
        <v>0</v>
      </c>
      <c r="BF142" s="12">
        <f>BE142</f>
        <v>0</v>
      </c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>
      <c r="C143" s="14" t="inlineStr">
        <is>
          <t>Other current assets</t>
        </is>
      </c>
      <c r="D143" s="46" t="n"/>
      <c r="E143" s="46" t="n"/>
      <c r="F143" s="46" t="n"/>
      <c r="G143" s="46" t="n"/>
      <c r="H143" s="12" t="n"/>
      <c r="I143" s="46">
        <f>'Inputs (2)'!D20</f>
        <v>1298</v>
      </c>
      <c r="J143" s="46">
        <f>'Inputs (2)'!E20</f>
        <v>1137</v>
      </c>
      <c r="K143" s="46">
        <f>'Inputs (2)'!F20</f>
        <v>1055</v>
      </c>
      <c r="L143" s="46">
        <f>'Inputs (2)'!G20</f>
        <v>1063</v>
      </c>
      <c r="M143" s="12">
        <f>'Inputs (2)'!H20</f>
        <v>1063</v>
      </c>
      <c r="N143" s="46">
        <f>'Inputs (2)'!I20</f>
        <v>1054</v>
      </c>
      <c r="O143" s="46">
        <f>'Inputs (2)'!J20</f>
        <v>1038</v>
      </c>
      <c r="P143" s="46">
        <f>'Inputs (2)'!K20</f>
        <v>1205</v>
      </c>
      <c r="Q143" s="46">
        <f>'Inputs (2)'!L20</f>
        <v>1056</v>
      </c>
      <c r="R143" s="12">
        <f>'Inputs (2)'!M20</f>
        <v>1056</v>
      </c>
      <c r="S143" s="46">
        <f>'Inputs (2)'!N20</f>
        <v>1401</v>
      </c>
      <c r="T143" s="46">
        <f>'Inputs (2)'!O20</f>
        <v>1522</v>
      </c>
      <c r="U143" s="46">
        <f>'Inputs (2)'!P20</f>
        <v>1606</v>
      </c>
      <c r="V143" s="46">
        <f>'Inputs (2)'!Q20</f>
        <v>8439</v>
      </c>
      <c r="W143" s="12">
        <f>'Inputs (2)'!R20</f>
        <v>8439</v>
      </c>
      <c r="X143" s="46">
        <f>'Inputs (2)'!S20</f>
        <v>8151</v>
      </c>
      <c r="Y143" s="46">
        <f>'Inputs (2)'!T20</f>
        <v>3436</v>
      </c>
      <c r="Z143" s="46">
        <f>'Inputs (2)'!U20</f>
        <v>4071</v>
      </c>
      <c r="AA143" s="46">
        <f>'Inputs (2)'!V20</f>
        <v>4820</v>
      </c>
      <c r="AB143" s="12">
        <f>'Inputs (2)'!W20</f>
        <v>4820</v>
      </c>
      <c r="AC143" s="46">
        <f>'Inputs (2)'!X20</f>
        <v>5129</v>
      </c>
      <c r="AD143" s="46">
        <f>'Inputs (2)'!Y20</f>
        <v>5606</v>
      </c>
      <c r="AE143" s="46">
        <f>'Inputs (2)'!Z20</f>
        <v>5980</v>
      </c>
      <c r="AF143" s="46">
        <f>'Inputs (2)'!AA20</f>
        <v>6466</v>
      </c>
      <c r="AG143" s="12">
        <f>'Inputs (2)'!AB20</f>
        <v>6466</v>
      </c>
      <c r="AH143" s="12">
        <f>'Inputs (2)'!AC20</f>
        <v>7427</v>
      </c>
      <c r="AI143" s="12">
        <f>'Inputs (2)'!AD20</f>
        <v>9968</v>
      </c>
      <c r="AJ143" s="12">
        <f>AI143</f>
        <v>9968</v>
      </c>
      <c r="AK143" s="12">
        <f>AJ143</f>
        <v>9968</v>
      </c>
      <c r="AL143" s="12">
        <f>AK143</f>
        <v>9968</v>
      </c>
      <c r="AM143" s="12">
        <f>AL143</f>
        <v>9968</v>
      </c>
      <c r="AN143" s="12">
        <f>AM143</f>
        <v>9968</v>
      </c>
      <c r="AO143" s="12">
        <f>AN143</f>
        <v>9968</v>
      </c>
      <c r="AP143" s="12">
        <f>AO143</f>
        <v>9968</v>
      </c>
      <c r="AQ143" s="12">
        <f>AP143</f>
        <v>9968</v>
      </c>
      <c r="AR143" s="12">
        <f>AQ143</f>
        <v>9968</v>
      </c>
      <c r="AS143" s="12">
        <f>AR143</f>
        <v>9968</v>
      </c>
      <c r="AT143" s="12">
        <f>AS143</f>
        <v>9968</v>
      </c>
      <c r="AU143" s="12">
        <f>AT143</f>
        <v>9968</v>
      </c>
      <c r="AV143" s="12">
        <f>AU143</f>
        <v>9968</v>
      </c>
      <c r="AW143" s="12">
        <f>AV143</f>
        <v>9968</v>
      </c>
      <c r="AX143" s="12">
        <f>AW143</f>
        <v>9968</v>
      </c>
      <c r="AY143" s="12">
        <f>AX143</f>
        <v>9968</v>
      </c>
      <c r="AZ143" s="12">
        <f>AY143</f>
        <v>9968</v>
      </c>
      <c r="BA143" s="12">
        <f>AZ143</f>
        <v>9968</v>
      </c>
      <c r="BB143" s="12">
        <f>BA143</f>
        <v>9968</v>
      </c>
      <c r="BC143" s="12">
        <f>BB143</f>
        <v>9968</v>
      </c>
      <c r="BD143" s="12">
        <f>BC143</f>
        <v>9968</v>
      </c>
      <c r="BE143" s="12">
        <f>BD143</f>
        <v>9968</v>
      </c>
      <c r="BF143" s="12">
        <f>BE143</f>
        <v>9968</v>
      </c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hidden="1" outlineLevel="1">
      <c r="C144" s="59" t="inlineStr">
        <is>
          <t>%(Var.)</t>
        </is>
      </c>
      <c r="D144" s="12" t="n"/>
      <c r="E144" s="40" t="n"/>
      <c r="F144" s="40" t="n"/>
      <c r="G144" s="40" t="n"/>
      <c r="H144" s="12" t="n"/>
      <c r="I144" s="40" t="str">
        <f>""</f>
        <v/>
      </c>
      <c r="J144" s="40">
        <f>IFERROR(IF(I143=0,"",J143/I143-1),"")</f>
        <v>-0.124036979969183</v>
      </c>
      <c r="K144" s="40">
        <f>IFERROR(IF(J143=0,"",K143/J143-1),"")</f>
        <v>-0.0721196130167107</v>
      </c>
      <c r="L144" s="40">
        <f>IFERROR(IF(K143=0,"",L143/K143-1),"")</f>
        <v>0.00758293838862567</v>
      </c>
      <c r="M144" s="12">
        <f>IFERROR(IF(L143=0,"",M143/L143-1),"")</f>
        <v>0</v>
      </c>
      <c r="N144" s="40">
        <f>IFERROR(IF(M143=0,"",N143/M143-1),"")</f>
        <v>-0.0084666039510819</v>
      </c>
      <c r="O144" s="40">
        <f>IFERROR(IF(N143=0,"",O143/N143-1),"")</f>
        <v>-0.0151802656546489</v>
      </c>
      <c r="P144" s="40">
        <f>IFERROR(IF(O143=0,"",P143/O143-1),"")</f>
        <v>0.160886319845857</v>
      </c>
      <c r="Q144" s="40">
        <f>IFERROR(IF(P143=0,"",Q143/P143-1),"")</f>
        <v>-0.123651452282158</v>
      </c>
      <c r="R144" s="12">
        <f>IFERROR(IF(Q143=0,"",R143/Q143-1),"")</f>
        <v>0</v>
      </c>
      <c r="S144" s="40">
        <f>IFERROR(IF(R143=0,"",S143/R143-1),"")</f>
        <v>0.326704545454545</v>
      </c>
      <c r="T144" s="40">
        <f>IFERROR(IF(S143=0,"",T143/S143-1),"")</f>
        <v>0.0863668807994289</v>
      </c>
      <c r="U144" s="40">
        <f>IFERROR(IF(T143=0,"",U143/T143-1),"")</f>
        <v>0.0551905387647831</v>
      </c>
      <c r="V144" s="40">
        <f>IFERROR(IF(U143=0,"",V143/U143-1),"")</f>
        <v>4.2546699875467</v>
      </c>
      <c r="W144" s="12">
        <f>IFERROR(IF(V143=0,"",W143/V143-1),"")</f>
        <v>0</v>
      </c>
      <c r="X144" s="40">
        <f>IFERROR(IF(W143=0,"",X143/W143-1),"")</f>
        <v>-0.0341272662637754</v>
      </c>
      <c r="Y144" s="40">
        <f>IFERROR(IF(X143=0,"",Y143/X143-1),"")</f>
        <v>-0.57845663108821</v>
      </c>
      <c r="Z144" s="40">
        <f>IFERROR(IF(Y143=0,"",Z143/Y143-1),"")</f>
        <v>0.184807916181607</v>
      </c>
      <c r="AA144" s="40">
        <f>IFERROR(IF(Z143=0,"",AA143/Z143-1),"")</f>
        <v>0.183984279046917</v>
      </c>
      <c r="AB144" s="12">
        <f>IFERROR(IF(AA143=0,"",AB143/AA143-1),"")</f>
        <v>0</v>
      </c>
      <c r="AC144" s="40">
        <f>IFERROR(IF(AB143=0,"",AC143/AB143-1),"")</f>
        <v>0.0641078838174274</v>
      </c>
      <c r="AD144" s="40">
        <f>IFERROR(IF(AC143=0,"",AD143/AC143-1),"")</f>
        <v>0.0930005849093392</v>
      </c>
      <c r="AE144" s="40">
        <f>IFERROR(IF(AD143=0,"",AE143/AD143-1),"")</f>
        <v>0.0667142347484837</v>
      </c>
      <c r="AF144" s="55">
        <f>IFERROR(IF(AE143=0,"",AF143/AE143-1),"")</f>
        <v>0.0812709030100334</v>
      </c>
      <c r="AG144" s="12">
        <f>IFERROR(IF(AF143=0,"",AG143/AF143-1),"")</f>
        <v>0</v>
      </c>
      <c r="AH144" s="12">
        <f>IFERROR(IF(AG143=0,"",AH143/AG143-1),"")</f>
        <v>0.148623569440149</v>
      </c>
      <c r="AI144" s="12">
        <f>IFERROR(IF(AH143=0,"",AI143/AH143-1),"")</f>
        <v>0.342130065975495</v>
      </c>
      <c r="AJ144" s="12">
        <f>IFERROR(IF(AI143=0,"",AJ143/AI143-1),"")</f>
        <v>0</v>
      </c>
      <c r="AK144" s="12">
        <f>IFERROR(IF(AJ143=0,"",AK143/AJ143-1),"")</f>
        <v>0</v>
      </c>
      <c r="AL144" s="12">
        <f>IFERROR(IF(AK143=0,"",AL143/AK143-1),"")</f>
        <v>0</v>
      </c>
      <c r="AM144" s="12">
        <f>IFERROR(IF(AL143=0,"",AM143/AL143-1),"")</f>
        <v>0</v>
      </c>
      <c r="AN144" s="12">
        <f>IFERROR(IF(AM143=0,"",AN143/AM143-1),"")</f>
        <v>0</v>
      </c>
      <c r="AO144" s="12">
        <f>IFERROR(IF(AN143=0,"",AO143/AN143-1),"")</f>
        <v>0</v>
      </c>
      <c r="AP144" s="12">
        <f>IFERROR(IF(AO143=0,"",AP143/AO143-1),"")</f>
        <v>0</v>
      </c>
      <c r="AQ144" s="12">
        <f>IFERROR(IF(AP143=0,"",AQ143/AP143-1),"")</f>
        <v>0</v>
      </c>
      <c r="AR144" s="12">
        <f>IFERROR(IF(AQ143=0,"",AR143/AQ143-1),"")</f>
        <v>0</v>
      </c>
      <c r="AS144" s="12">
        <f>IFERROR(IF(AR143=0,"",AS143/AR143-1),"")</f>
        <v>0</v>
      </c>
      <c r="AT144" s="12">
        <f>IFERROR(IF(AS143=0,"",AT143/AS143-1),"")</f>
        <v>0</v>
      </c>
      <c r="AU144" s="12">
        <f>IFERROR(IF(AT143=0,"",AU143/AT143-1),"")</f>
        <v>0</v>
      </c>
      <c r="AV144" s="12">
        <f>IFERROR(IF(AU143=0,"",AV143/AU143-1),"")</f>
        <v>0</v>
      </c>
      <c r="AW144" s="12">
        <f>IFERROR(IF(AV143=0,"",AW143/AV143-1),"")</f>
        <v>0</v>
      </c>
      <c r="AX144" s="12">
        <f>IFERROR(IF(AW143=0,"",AX143/AW143-1),"")</f>
        <v>0</v>
      </c>
      <c r="AY144" s="12">
        <f>IFERROR(IF(AX143=0,"",AY143/AX143-1),"")</f>
        <v>0</v>
      </c>
      <c r="AZ144" s="12">
        <f>IFERROR(IF(AY143=0,"",AZ143/AY143-1),"")</f>
        <v>0</v>
      </c>
      <c r="BA144" s="12">
        <f>IFERROR(IF(AZ143=0,"",BA143/AZ143-1),"")</f>
        <v>0</v>
      </c>
      <c r="BB144" s="12">
        <f>IFERROR(IF(BA143=0,"",BB143/BA143-1),"")</f>
        <v>0</v>
      </c>
      <c r="BC144" s="12">
        <f>IFERROR(IF(BB143=0,"",BC143/BB143-1),"")</f>
        <v>0</v>
      </c>
      <c r="BD144" s="12">
        <f>IFERROR(IF(BC143=0,"",BD143/BC143-1),"")</f>
        <v>0</v>
      </c>
      <c r="BE144" s="12">
        <f>IFERROR(IF(BD143=0,"",BE143/BD143-1),"")</f>
        <v>0</v>
      </c>
      <c r="BF144" s="12">
        <f>IFERROR(IF(BE143=0,"",BF143/BE143-1),"")</f>
        <v>0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7" t="n"/>
      <c r="D145" s="12" t="n"/>
      <c r="E145" s="40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60" t="inlineStr">
        <is>
          <t xml:space="preserve">Impostos e Contribuições a Recuperar </t>
        </is>
      </c>
      <c r="D146" s="11" t="n"/>
      <c r="E146" s="11" t="n"/>
      <c r="F146" s="11" t="n"/>
      <c r="G146" s="11" t="n"/>
      <c r="H146" s="12" t="n"/>
      <c r="I146" s="11" t="n"/>
      <c r="J146" s="11" t="n"/>
      <c r="K146" s="11" t="n"/>
      <c r="L146" s="11" t="n"/>
      <c r="M146" s="12" t="n"/>
      <c r="N146" s="11" t="n"/>
      <c r="O146" s="11" t="n"/>
      <c r="P146" s="11" t="n"/>
      <c r="Q146" s="11" t="n"/>
      <c r="R146" s="12" t="n"/>
      <c r="S146" s="11" t="n"/>
      <c r="T146" s="11" t="n"/>
      <c r="U146" s="11" t="n"/>
      <c r="V146" s="11" t="n"/>
      <c r="W146" s="12" t="n"/>
      <c r="X146" s="11" t="n"/>
      <c r="Y146" s="11" t="n"/>
      <c r="Z146" s="11" t="n"/>
      <c r="AA146" s="11" t="n"/>
      <c r="AB146" s="12" t="n"/>
      <c r="AC146" s="11" t="n"/>
      <c r="AD146" s="11" t="n"/>
      <c r="AE146" s="11" t="n"/>
      <c r="AF146" s="11" t="n"/>
      <c r="AG146" s="12">
        <f>AF146</f>
        <v>0</v>
      </c>
      <c r="AH146" s="61">
        <f>IFERROR(AG146*AH15/AG15,"")</f>
        <v>0</v>
      </c>
      <c r="AI146" s="61">
        <f>IFERROR(AH146*AI15/AH15,"")</f>
        <v>0</v>
      </c>
      <c r="AJ146" s="61">
        <f>IFERROR(AI146*AJ15/AI15,"")</f>
        <v>0</v>
      </c>
      <c r="AK146" s="61">
        <f>IFERROR(AJ146*AK15/AJ15,"")</f>
        <v>0</v>
      </c>
      <c r="AL146" s="12">
        <f>IFERROR(AK146,"")</f>
        <v>0</v>
      </c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hidden="1" outlineLevel="1">
      <c r="C147" s="60" t="inlineStr">
        <is>
          <t>Outros Créditos</t>
        </is>
      </c>
      <c r="D147" s="11" t="n"/>
      <c r="E147" s="11" t="n"/>
      <c r="F147" s="11" t="n"/>
      <c r="G147" s="11" t="n"/>
      <c r="H147" s="12" t="n"/>
      <c r="I147" s="11" t="n"/>
      <c r="J147" s="11" t="n"/>
      <c r="K147" s="11" t="n"/>
      <c r="L147" s="11" t="n"/>
      <c r="M147" s="12" t="n"/>
      <c r="N147" s="11" t="n"/>
      <c r="O147" s="11" t="n"/>
      <c r="P147" s="11" t="n"/>
      <c r="Q147" s="11" t="n"/>
      <c r="R147" s="12" t="n"/>
      <c r="S147" s="11" t="n"/>
      <c r="T147" s="11" t="n"/>
      <c r="U147" s="11" t="n"/>
      <c r="V147" s="11" t="n"/>
      <c r="W147" s="12" t="n"/>
      <c r="X147" s="11" t="n"/>
      <c r="Y147" s="11" t="n"/>
      <c r="Z147" s="11" t="n"/>
      <c r="AA147" s="11" t="n"/>
      <c r="AB147" s="12" t="n"/>
      <c r="AC147" s="11" t="n"/>
      <c r="AD147" s="11" t="n"/>
      <c r="AE147" s="11" t="n"/>
      <c r="AF147" s="11" t="n"/>
      <c r="AG147" s="12">
        <f>AF147</f>
        <v>0</v>
      </c>
      <c r="AH147" s="12">
        <f>AG147</f>
        <v>0</v>
      </c>
      <c r="AI147" s="12">
        <f>AH147</f>
        <v>0</v>
      </c>
      <c r="AJ147" s="12">
        <f>AI147</f>
        <v>0</v>
      </c>
      <c r="AK147" s="12">
        <f>AJ147</f>
        <v>0</v>
      </c>
      <c r="AL147" s="12">
        <f>AK147</f>
        <v>0</v>
      </c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Equity in affiliates</t>
        </is>
      </c>
      <c r="D149" s="46" t="n"/>
      <c r="E149" s="46" t="n"/>
      <c r="F149" s="46" t="n"/>
      <c r="G149" s="46" t="n"/>
      <c r="H149" s="12" t="n"/>
      <c r="I149" s="46">
        <f>'Inputs (2)'!D21</f>
        <v>0</v>
      </c>
      <c r="J149" s="46">
        <f>'Inputs (2)'!E21</f>
        <v>0</v>
      </c>
      <c r="K149" s="46">
        <f>'Inputs (2)'!F21</f>
        <v>0</v>
      </c>
      <c r="L149" s="46">
        <f>'Inputs (2)'!G21</f>
        <v>0</v>
      </c>
      <c r="M149" s="12">
        <f>'Inputs (2)'!H21</f>
        <v>0</v>
      </c>
      <c r="N149" s="46">
        <f>'Inputs (2)'!I21</f>
        <v>0</v>
      </c>
      <c r="O149" s="46">
        <f>'Inputs (2)'!J21</f>
        <v>0</v>
      </c>
      <c r="P149" s="46">
        <f>'Inputs (2)'!K21</f>
        <v>0</v>
      </c>
      <c r="Q149" s="46">
        <f>'Inputs (2)'!L21</f>
        <v>0</v>
      </c>
      <c r="R149" s="12">
        <f>'Inputs (2)'!M21</f>
        <v>0</v>
      </c>
      <c r="S149" s="46">
        <f>'Inputs (2)'!N21</f>
        <v>0</v>
      </c>
      <c r="T149" s="46">
        <f>'Inputs (2)'!O21</f>
        <v>0</v>
      </c>
      <c r="U149" s="46">
        <f>'Inputs (2)'!P21</f>
        <v>0</v>
      </c>
      <c r="V149" s="46">
        <f>'Inputs (2)'!Q21</f>
        <v>0</v>
      </c>
      <c r="W149" s="12">
        <f>'Inputs (2)'!R21</f>
        <v>0</v>
      </c>
      <c r="X149" s="46">
        <f>'Inputs (2)'!S21</f>
        <v>0</v>
      </c>
      <c r="Y149" s="46">
        <f>'Inputs (2)'!T21</f>
        <v>0</v>
      </c>
      <c r="Z149" s="46">
        <f>'Inputs (2)'!U21</f>
        <v>0</v>
      </c>
      <c r="AA149" s="46">
        <f>'Inputs (2)'!V21</f>
        <v>0</v>
      </c>
      <c r="AB149" s="12">
        <f>'Inputs (2)'!W21</f>
        <v>0</v>
      </c>
      <c r="AC149" s="46">
        <f>'Inputs (2)'!X21</f>
        <v>0</v>
      </c>
      <c r="AD149" s="46">
        <f>'Inputs (2)'!Y21</f>
        <v>0</v>
      </c>
      <c r="AE149" s="46">
        <f>'Inputs (2)'!Z21</f>
        <v>0</v>
      </c>
      <c r="AF149" s="46">
        <f>'Inputs (2)'!AA21</f>
        <v>0</v>
      </c>
      <c r="AG149" s="12">
        <f>'Inputs (2)'!AB21</f>
        <v>0</v>
      </c>
      <c r="AH149" s="12">
        <f>'Inputs (2)'!AC21</f>
        <v>0</v>
      </c>
      <c r="AI149" s="12">
        <f>'Inputs (2)'!AD21</f>
        <v>0</v>
      </c>
      <c r="AJ149" s="12">
        <f>AI149+AJ123</f>
        <v>0</v>
      </c>
      <c r="AK149" s="12">
        <f>AJ149+AK123</f>
        <v>0</v>
      </c>
      <c r="AL149" s="12">
        <f>AK149</f>
        <v>0</v>
      </c>
      <c r="AM149" s="12">
        <f>AL149+AM123</f>
        <v>0</v>
      </c>
      <c r="AN149" s="12">
        <f>AM149+AN123</f>
        <v>0</v>
      </c>
      <c r="AO149" s="12">
        <f>AN149+AO123</f>
        <v>0</v>
      </c>
      <c r="AP149" s="12">
        <f>AO149+AP123</f>
        <v>0</v>
      </c>
      <c r="AQ149" s="12">
        <f>AP149</f>
        <v>0</v>
      </c>
      <c r="AR149" s="12">
        <f>AQ149+AR123</f>
        <v>0</v>
      </c>
      <c r="AS149" s="12">
        <f>AR149+AS123</f>
        <v>0</v>
      </c>
      <c r="AT149" s="12">
        <f>AS149+AT123</f>
        <v>0</v>
      </c>
      <c r="AU149" s="12">
        <f>AT149+AU123</f>
        <v>0</v>
      </c>
      <c r="AV149" s="12">
        <f>AU149</f>
        <v>0</v>
      </c>
      <c r="AW149" s="12">
        <f>AV149+AW123</f>
        <v>0</v>
      </c>
      <c r="AX149" s="12">
        <f>AW149+AX123</f>
        <v>0</v>
      </c>
      <c r="AY149" s="12">
        <f>AX149+AY123</f>
        <v>0</v>
      </c>
      <c r="AZ149" s="12">
        <f>AY149+AZ123</f>
        <v>0</v>
      </c>
      <c r="BA149" s="12">
        <f>AZ149</f>
        <v>0</v>
      </c>
      <c r="BB149" s="12">
        <f>BA149+BB123</f>
        <v>0</v>
      </c>
      <c r="BC149" s="12">
        <f>BB149+BC123</f>
        <v>0</v>
      </c>
      <c r="BD149" s="12">
        <f>BC149+BD123</f>
        <v>0</v>
      </c>
      <c r="BE149" s="12">
        <f>BD149+BE123</f>
        <v>0</v>
      </c>
      <c r="BF149" s="12">
        <f>BE149</f>
        <v>0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7" t="inlineStr">
        <is>
          <t>Equity in Income - % YoY</t>
        </is>
      </c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>
        <f>IF(I123=0,0,N123/I123-1)</f>
        <v>-0.0131578947368421</v>
      </c>
      <c r="O151" s="12">
        <f>IF(J123=0,0,O123/J123-1)</f>
        <v>0.0135135135135136</v>
      </c>
      <c r="P151" s="12">
        <f>IF(K123=0,0,P123/K123-1)</f>
        <v>-3.98666666666667</v>
      </c>
      <c r="Q151" s="12">
        <f>IF(L123=0,0,Q123/L123-1)</f>
        <v>-1</v>
      </c>
      <c r="R151" s="12" t="n"/>
      <c r="S151" s="12">
        <f>IF(N123=0,0,S123/N123-1)</f>
        <v>-1</v>
      </c>
      <c r="T151" s="12">
        <f>IF(O123=0,0,T123/O123-1)</f>
        <v>-1</v>
      </c>
      <c r="U151" s="12">
        <f>IF(P123=0,0,U123/P123-1)</f>
        <v>-1</v>
      </c>
      <c r="V151" s="12">
        <f>IF(Q123=0,0,V123/Q123-1)</f>
        <v>0</v>
      </c>
      <c r="W151" s="12" t="n"/>
      <c r="X151" s="12">
        <f>IF(S123=0,0,X123/S123-1)</f>
        <v>0</v>
      </c>
      <c r="Y151" s="12">
        <f>IF(T123=0,0,Y123/T123-1)</f>
        <v>0</v>
      </c>
      <c r="Z151" s="12">
        <f>IF(U123=0,0,Z123/U123-1)</f>
        <v>0</v>
      </c>
      <c r="AA151" s="12">
        <f>IF(V123=0,0,AA123/V123-1)</f>
        <v>-1</v>
      </c>
      <c r="AB151" s="12" t="n"/>
      <c r="AC151" s="12">
        <f>IF(X123=0,0,AC123/X123-1)</f>
        <v>0</v>
      </c>
      <c r="AD151" s="12">
        <f>IF(Y123=0,0,AD123/Y123-1)</f>
        <v>-1</v>
      </c>
      <c r="AE151" s="12">
        <f>IF(Z123=0,0,AE123/Z123-1)</f>
        <v>-1</v>
      </c>
      <c r="AF151" s="12">
        <f>IF(AA123=0,0,AF123/AA123-1)</f>
        <v>0</v>
      </c>
      <c r="AG151" s="12" t="n"/>
      <c r="AH151" s="11">
        <f>IF(AC123=0,0,AH123/AC123-1)</f>
        <v>0</v>
      </c>
      <c r="AI151" s="11">
        <f>IF(AD123=0,0,AI123/AD123-1)</f>
        <v>0</v>
      </c>
      <c r="AJ151" s="11" t="n"/>
      <c r="AK151" s="11" t="n"/>
      <c r="AL151" s="12" t="n"/>
      <c r="AM151" s="11" t="n"/>
      <c r="AN151" s="11" t="n"/>
      <c r="AO151" s="11" t="n"/>
      <c r="AP151" s="11" t="n"/>
      <c r="AQ151" s="12" t="n"/>
      <c r="AR151" s="11" t="n"/>
      <c r="AS151" s="11" t="n"/>
      <c r="AT151" s="11" t="n"/>
      <c r="AU151" s="11" t="n"/>
      <c r="AV151" s="12" t="n"/>
      <c r="AW151" s="11" t="n"/>
      <c r="AX151" s="11" t="n"/>
      <c r="AY151" s="11" t="n"/>
      <c r="AZ151" s="11" t="n"/>
      <c r="BA151" s="12" t="n"/>
      <c r="BB151" s="11" t="n"/>
      <c r="BC151" s="11" t="n"/>
      <c r="BD151" s="11" t="n"/>
      <c r="BE151" s="11" t="n"/>
      <c r="BF151" s="12" t="n"/>
      <c r="BG151" s="11" t="n"/>
      <c r="BH151" s="11" t="n"/>
      <c r="BI151" s="11" t="n"/>
      <c r="BJ151" s="11" t="n"/>
      <c r="BK151" s="12" t="n"/>
      <c r="BL151" s="11" t="n"/>
      <c r="BM151" s="11" t="n"/>
      <c r="BN151" s="11" t="n"/>
      <c r="BO151" s="11" t="n"/>
      <c r="BP151" s="12" t="n"/>
      <c r="BQ151" s="11" t="n"/>
      <c r="BR151" s="11" t="n"/>
      <c r="BS151" s="11" t="n"/>
      <c r="BT151" s="11" t="n"/>
      <c r="BU151" s="12" t="n"/>
      <c r="BV151" s="11" t="n"/>
      <c r="BW151" s="11" t="n"/>
      <c r="BX151" s="11" t="n"/>
      <c r="BY151" s="11" t="n"/>
      <c r="BZ151" s="12" t="n"/>
      <c r="CA151" s="11" t="n"/>
      <c r="CB151" s="11" t="n"/>
      <c r="CC151" s="11" t="n"/>
      <c r="CD151" s="11" t="n"/>
      <c r="CE151" s="12" t="n"/>
      <c r="CF151" s="11" t="n"/>
      <c r="CG151" s="11" t="n"/>
      <c r="CH151" s="11" t="n"/>
      <c r="CI151" s="11" t="n"/>
      <c r="CJ151" s="12" t="n"/>
      <c r="CK151" s="11" t="n"/>
      <c r="CL151" s="11" t="n"/>
      <c r="CM151" s="11" t="n"/>
      <c r="CN151" s="11" t="n"/>
      <c r="CO151" s="12" t="n"/>
      <c r="CP151" s="11" t="n"/>
      <c r="CQ151" s="11" t="n"/>
      <c r="CR151" s="11" t="n"/>
      <c r="CS151" s="11" t="n"/>
      <c r="CT151" s="12" t="n"/>
      <c r="CU151" s="11" t="n"/>
      <c r="CV151" s="11" t="n"/>
      <c r="CW151" s="11" t="n"/>
      <c r="CX151" s="11" t="n"/>
      <c r="CY151" s="12" t="n"/>
    </row>
    <row r="152" hidden="1" outlineLevel="1">
      <c r="C152" s="57" t="inlineStr">
        <is>
          <t>Dividends (enter as -)</t>
        </is>
      </c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1" t="n"/>
      <c r="AI152" s="11" t="n"/>
      <c r="AJ152" s="11" t="n"/>
      <c r="AK152" s="11" t="n"/>
      <c r="AL152" s="12" t="n"/>
      <c r="AM152" s="11" t="n"/>
      <c r="AN152" s="11" t="n"/>
      <c r="AO152" s="11" t="n"/>
      <c r="AP152" s="11" t="n"/>
      <c r="AQ152" s="12" t="n"/>
      <c r="AR152" s="11" t="n"/>
      <c r="AS152" s="11" t="n"/>
      <c r="AT152" s="11" t="n"/>
      <c r="AU152" s="11" t="n"/>
      <c r="AV152" s="12" t="n"/>
      <c r="AW152" s="11" t="n"/>
      <c r="AX152" s="11" t="n"/>
      <c r="AY152" s="11" t="n"/>
      <c r="AZ152" s="11" t="n"/>
      <c r="BA152" s="12" t="n"/>
      <c r="BB152" s="11" t="n"/>
      <c r="BC152" s="11" t="n"/>
      <c r="BD152" s="11" t="n"/>
      <c r="BE152" s="11" t="n"/>
      <c r="BF152" s="12" t="n"/>
      <c r="BG152" s="11" t="n"/>
      <c r="BH152" s="11" t="n"/>
      <c r="BI152" s="11" t="n"/>
      <c r="BJ152" s="11" t="n"/>
      <c r="BK152" s="12" t="n"/>
      <c r="BL152" s="11" t="n"/>
      <c r="BM152" s="11" t="n"/>
      <c r="BN152" s="11" t="n"/>
      <c r="BO152" s="11" t="n"/>
      <c r="BP152" s="12" t="n"/>
      <c r="BQ152" s="11" t="n"/>
      <c r="BR152" s="11" t="n"/>
      <c r="BS152" s="11" t="n"/>
      <c r="BT152" s="11" t="n"/>
      <c r="BU152" s="12" t="n"/>
      <c r="BV152" s="11" t="n"/>
      <c r="BW152" s="11" t="n"/>
      <c r="BX152" s="11" t="n"/>
      <c r="BY152" s="11" t="n"/>
      <c r="BZ152" s="12" t="n"/>
      <c r="CA152" s="11" t="n"/>
      <c r="CB152" s="11" t="n"/>
      <c r="CC152" s="11" t="n"/>
      <c r="CD152" s="11" t="n"/>
      <c r="CE152" s="12" t="n"/>
      <c r="CF152" s="11" t="n"/>
      <c r="CG152" s="11" t="n"/>
      <c r="CH152" s="11" t="n"/>
      <c r="CI152" s="11" t="n"/>
      <c r="CJ152" s="12" t="n"/>
      <c r="CK152" s="11" t="n"/>
      <c r="CL152" s="11" t="n"/>
      <c r="CM152" s="11" t="n"/>
      <c r="CN152" s="11" t="n"/>
      <c r="CO152" s="12" t="n"/>
      <c r="CP152" s="11" t="n"/>
      <c r="CQ152" s="11" t="n"/>
      <c r="CR152" s="11" t="n"/>
      <c r="CS152" s="11" t="n"/>
      <c r="CT152" s="12" t="n"/>
      <c r="CU152" s="11" t="n"/>
      <c r="CV152" s="11" t="n"/>
      <c r="CW152" s="11" t="n"/>
      <c r="CX152" s="11" t="n"/>
      <c r="CY152" s="12" t="n"/>
    </row>
    <row r="153" hidden="1" outlineLevel="1">
      <c r="C153" s="57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collapsed="1">
      <c r="C154" s="14" t="inlineStr">
        <is>
          <t>PP&amp;E</t>
        </is>
      </c>
      <c r="D154" s="46" t="n"/>
      <c r="E154" s="46" t="n"/>
      <c r="F154" s="46" t="n"/>
      <c r="G154" s="46" t="n"/>
      <c r="H154" s="12" t="n"/>
      <c r="I154" s="46">
        <f>'Inputs (2)'!D22</f>
        <v>2416</v>
      </c>
      <c r="J154" s="46">
        <f>'Inputs (2)'!E22</f>
        <v>2370</v>
      </c>
      <c r="K154" s="46">
        <f>'Inputs (2)'!F22</f>
        <v>2348</v>
      </c>
      <c r="L154" s="46">
        <f>'Inputs (2)'!G22</f>
        <v>2303</v>
      </c>
      <c r="M154" s="12">
        <f>'Inputs (2)'!H22</f>
        <v>2303</v>
      </c>
      <c r="N154" s="46">
        <f>'Inputs (2)'!I22</f>
        <v>2262</v>
      </c>
      <c r="O154" s="46">
        <f>'Inputs (2)'!J22</f>
        <v>2250</v>
      </c>
      <c r="P154" s="46">
        <f>'Inputs (2)'!K22</f>
        <v>2223</v>
      </c>
      <c r="Q154" s="46">
        <f>'Inputs (2)'!L22</f>
        <v>2201</v>
      </c>
      <c r="R154" s="12">
        <f>'Inputs (2)'!M22</f>
        <v>2201</v>
      </c>
      <c r="S154" s="46">
        <f>'Inputs (2)'!N22</f>
        <v>2209</v>
      </c>
      <c r="T154" s="46">
        <f>'Inputs (2)'!O22</f>
        <v>2180</v>
      </c>
      <c r="U154" s="46">
        <f>'Inputs (2)'!P22</f>
        <v>2154</v>
      </c>
      <c r="V154" s="46">
        <f>'Inputs (2)'!Q22</f>
        <v>2662</v>
      </c>
      <c r="W154" s="12">
        <f>'Inputs (2)'!R22</f>
        <v>2662</v>
      </c>
      <c r="X154" s="46">
        <f>'Inputs (2)'!S22</f>
        <v>2668</v>
      </c>
      <c r="Y154" s="46">
        <f>'Inputs (2)'!T22</f>
        <v>2602</v>
      </c>
      <c r="Z154" s="46">
        <f>'Inputs (2)'!U22</f>
        <v>2521</v>
      </c>
      <c r="AA154" s="46">
        <f>'Inputs (2)'!V22</f>
        <v>2465</v>
      </c>
      <c r="AB154" s="12">
        <f>'Inputs (2)'!W22</f>
        <v>2465</v>
      </c>
      <c r="AC154" s="46">
        <f>'Inputs (2)'!X22</f>
        <v>2462</v>
      </c>
      <c r="AD154" s="46">
        <f>'Inputs (2)'!Y22</f>
        <v>2451</v>
      </c>
      <c r="AE154" s="46">
        <f>'Inputs (2)'!Z22</f>
        <v>2530</v>
      </c>
      <c r="AF154" s="46">
        <f>'Inputs (2)'!AA22</f>
        <v>2599</v>
      </c>
      <c r="AG154" s="12">
        <f>'Inputs (2)'!AB22</f>
        <v>2599</v>
      </c>
      <c r="AH154" s="12">
        <f>'Inputs (2)'!AC22</f>
        <v>2788</v>
      </c>
      <c r="AI154" s="12">
        <f>'Inputs (2)'!AD22</f>
        <v>3144</v>
      </c>
      <c r="AJ154" s="12">
        <f>AJ159</f>
        <v>3145.07127078278</v>
      </c>
      <c r="AK154" s="12">
        <f>AK159</f>
        <v>3146.2196088392</v>
      </c>
      <c r="AL154" s="12">
        <f>AK154</f>
        <v>3146.2196088392</v>
      </c>
      <c r="AM154" s="12">
        <f>AM159</f>
        <v>3147.53896964174</v>
      </c>
      <c r="AN154" s="12">
        <f>AN159</f>
        <v>3149.29861292419</v>
      </c>
      <c r="AO154" s="12">
        <f>AO159</f>
        <v>3150.78627253539</v>
      </c>
      <c r="AP154" s="12">
        <f>AP159</f>
        <v>3152.38095445334</v>
      </c>
      <c r="AQ154" s="12">
        <f>AP154</f>
        <v>3152.38095445334</v>
      </c>
      <c r="AR154" s="12">
        <f>AR159</f>
        <v>3154.20653659985</v>
      </c>
      <c r="AS154" s="12">
        <f>AS159</f>
        <v>3156.64133180864</v>
      </c>
      <c r="AT154" s="12">
        <f>AT159</f>
        <v>3158.69978679766</v>
      </c>
      <c r="AU154" s="12">
        <f>AU159</f>
        <v>3160.90632714143</v>
      </c>
      <c r="AV154" s="12">
        <f>AU154</f>
        <v>3160.90632714143</v>
      </c>
      <c r="AW154" s="12">
        <f>AW159</f>
        <v>3163.42323317628</v>
      </c>
      <c r="AX154" s="12">
        <f>AX159</f>
        <v>3166.78005322753</v>
      </c>
      <c r="AY154" s="12">
        <f>AY159</f>
        <v>3169.61801797988</v>
      </c>
      <c r="AZ154" s="12">
        <f>AZ159</f>
        <v>3172.66014605829</v>
      </c>
      <c r="BA154" s="12">
        <f>AZ154</f>
        <v>3172.66014605829</v>
      </c>
      <c r="BB154" s="12">
        <f>BB159</f>
        <v>3176.1175866926</v>
      </c>
      <c r="BC154" s="12">
        <f>BC159</f>
        <v>3180.72880613687</v>
      </c>
      <c r="BD154" s="12">
        <f>BD159</f>
        <v>3184.62728089822</v>
      </c>
      <c r="BE154" s="12">
        <f>BE159</f>
        <v>3188.80621212866</v>
      </c>
      <c r="BF154" s="12">
        <f>BE154</f>
        <v>3188.80621212866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hidden="1" outlineLevel="1">
      <c r="C155" s="57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Capital expenditures</t>
        </is>
      </c>
      <c r="D156" s="12" t="n"/>
      <c r="E156" s="12" t="n"/>
      <c r="F156" s="12" t="n"/>
      <c r="G156" s="12" t="n"/>
      <c r="H156" s="12" t="n"/>
      <c r="I156" s="12" t="n"/>
      <c r="J156" s="12">
        <f>J154-I154-J58</f>
        <v>1457</v>
      </c>
      <c r="K156" s="12">
        <f>K154-J154-K58</f>
        <v>1479</v>
      </c>
      <c r="L156" s="12">
        <f>L154-K154-L58</f>
        <v>1242</v>
      </c>
      <c r="M156" s="12" t="n"/>
      <c r="N156" s="12">
        <f>N154-M154-N58</f>
        <v>1223</v>
      </c>
      <c r="O156" s="12">
        <f>O154-N154-O58</f>
        <v>1205</v>
      </c>
      <c r="P156" s="12">
        <f>P154-O154-P58</f>
        <v>1189</v>
      </c>
      <c r="Q156" s="12">
        <f>Q154-P154-Q58</f>
        <v>1010</v>
      </c>
      <c r="R156" s="12" t="n"/>
      <c r="S156" s="12">
        <f>S154-R154-S58</f>
        <v>947</v>
      </c>
      <c r="T156" s="12">
        <f>T154-S154-T58</f>
        <v>903</v>
      </c>
      <c r="U156" s="12">
        <f>U154-T154-U58</f>
        <v>906</v>
      </c>
      <c r="V156" s="12">
        <f>V154-U154-V58</f>
        <v>2853</v>
      </c>
      <c r="W156" s="12" t="n"/>
      <c r="X156" s="12">
        <f>X154-W154-X58</f>
        <v>2536</v>
      </c>
      <c r="Y156" s="12">
        <f>Y154-X154-Y58</f>
        <v>2458</v>
      </c>
      <c r="Z156" s="12">
        <f>Z154-Y154-Z58</f>
        <v>2530</v>
      </c>
      <c r="AA156" s="12">
        <f>AA154-Z154-AA58</f>
        <v>2118</v>
      </c>
      <c r="AB156" s="12" t="n"/>
      <c r="AC156" s="12">
        <f>AC154-AB154-AC58</f>
        <v>2128</v>
      </c>
      <c r="AD156" s="12">
        <f>AD154-AC154-AD58</f>
        <v>2157</v>
      </c>
      <c r="AE156" s="12">
        <f>AE154-AD154-AE58</f>
        <v>2312</v>
      </c>
      <c r="AF156" s="11">
        <f>AF154-AE154-AF58</f>
        <v>2222</v>
      </c>
      <c r="AG156" s="12">
        <f>SUM(AC156:AF156)</f>
        <v>8819</v>
      </c>
      <c r="AH156" s="11">
        <f>AH154-AG154-AH58</f>
        <v>2319</v>
      </c>
      <c r="AI156" s="11">
        <f>AI154-AH154-AI58</f>
        <v>2533</v>
      </c>
      <c r="AJ156" s="11">
        <f>AJ15*Control!$B$24</f>
        <v>2848.65937938823</v>
      </c>
      <c r="AK156" s="11">
        <f>AK15*Control!$B$24</f>
        <v>3053.5920774558</v>
      </c>
      <c r="AL156" s="12" t="n"/>
      <c r="AM156" s="11">
        <f>AM15*Control!$C$24</f>
        <v>3508.36556483412</v>
      </c>
      <c r="AN156" s="11">
        <f>AN15*Control!$C$24</f>
        <v>4679.13847879418</v>
      </c>
      <c r="AO156" s="11">
        <f>AO15*Control!$C$24</f>
        <v>3955.89572018999</v>
      </c>
      <c r="AP156" s="11">
        <f>AP15*Control!$C$24</f>
        <v>4240.48305593055</v>
      </c>
      <c r="AQ156" s="12" t="n"/>
      <c r="AR156" s="11">
        <f>AR15*Control!$D$24</f>
        <v>4854.47917377757</v>
      </c>
      <c r="AS156" s="11">
        <f>AS15*Control!$D$24</f>
        <v>6474.46221802191</v>
      </c>
      <c r="AT156" s="11">
        <f>AT15*Control!$D$24</f>
        <v>5473.72074899672</v>
      </c>
      <c r="AU156" s="11">
        <f>AU15*Control!$D$24</f>
        <v>5867.5004931377</v>
      </c>
      <c r="AV156" s="12" t="n"/>
      <c r="AW156" s="11">
        <f>AW15*Control!$E$24</f>
        <v>6692.8064299103</v>
      </c>
      <c r="AX156" s="11">
        <f>AX15*Control!$E$24</f>
        <v>8926.25569331031</v>
      </c>
      <c r="AY156" s="11">
        <f>AY15*Control!$E$24</f>
        <v>7546.54662487944</v>
      </c>
      <c r="AZ156" s="11">
        <f>AZ15*Control!$E$24</f>
        <v>8089.44556608642</v>
      </c>
      <c r="BA156" s="12" t="n"/>
      <c r="BB156" s="11">
        <f>BB15*Control!$F$24</f>
        <v>9193.81994719277</v>
      </c>
      <c r="BC156" s="11">
        <f>BC15*Control!$F$24</f>
        <v>12261.8797519891</v>
      </c>
      <c r="BD156" s="11">
        <f>BD15*Control!$F$24</f>
        <v>10366.5915963398</v>
      </c>
      <c r="BE156" s="11">
        <f>BE15*Control!$F$24</f>
        <v>11112.3647136784</v>
      </c>
      <c r="BF156" s="12" t="n"/>
      <c r="BG156" s="11" t="n"/>
      <c r="BH156" s="11" t="n"/>
      <c r="BI156" s="11" t="n"/>
      <c r="BJ156" s="11" t="n"/>
      <c r="BK156" s="12" t="n"/>
      <c r="BL156" s="11" t="n"/>
      <c r="BM156" s="11" t="n"/>
      <c r="BN156" s="11" t="n"/>
      <c r="BO156" s="11" t="n"/>
      <c r="BP156" s="12" t="n"/>
      <c r="BQ156" s="11" t="n"/>
      <c r="BR156" s="11" t="n"/>
      <c r="BS156" s="11" t="n"/>
      <c r="BT156" s="11" t="n"/>
      <c r="BU156" s="12" t="n"/>
      <c r="BV156" s="11" t="n"/>
      <c r="BW156" s="11" t="n"/>
      <c r="BX156" s="11" t="n"/>
      <c r="BY156" s="11" t="n"/>
      <c r="BZ156" s="12" t="n"/>
      <c r="CA156" s="11" t="n"/>
      <c r="CB156" s="11" t="n"/>
      <c r="CC156" s="11" t="n"/>
      <c r="CD156" s="11" t="n"/>
      <c r="CE156" s="12" t="n"/>
      <c r="CF156" s="11" t="n"/>
      <c r="CG156" s="11" t="n"/>
      <c r="CH156" s="11" t="n"/>
      <c r="CI156" s="11" t="n"/>
      <c r="CJ156" s="12" t="n"/>
      <c r="CK156" s="11" t="n"/>
      <c r="CL156" s="11" t="n"/>
      <c r="CM156" s="11" t="n"/>
      <c r="CN156" s="11" t="n"/>
      <c r="CO156" s="12" t="n"/>
      <c r="CP156" s="11" t="n"/>
      <c r="CQ156" s="11" t="n"/>
      <c r="CR156" s="11" t="n"/>
      <c r="CS156" s="11" t="n"/>
      <c r="CT156" s="12" t="n"/>
      <c r="CU156" s="11" t="n"/>
      <c r="CV156" s="11" t="n"/>
      <c r="CW156" s="11" t="n"/>
      <c r="CX156" s="11" t="n"/>
      <c r="CY156" s="12" t="n"/>
    </row>
    <row r="157" hidden="1" outlineLevel="1">
      <c r="C157" s="57" t="inlineStr">
        <is>
          <t>Recurring asset sales (enter as -)</t>
        </is>
      </c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>
        <f>SUM(I157:L157)</f>
        <v>0</v>
      </c>
      <c r="N157" s="12" t="n"/>
      <c r="O157" s="12" t="n"/>
      <c r="P157" s="12" t="n"/>
      <c r="Q157" s="12" t="n"/>
      <c r="R157" s="12">
        <f>SUM(N157:Q157)</f>
        <v>0</v>
      </c>
      <c r="S157" s="12" t="n"/>
      <c r="T157" s="12" t="n"/>
      <c r="U157" s="12" t="n"/>
      <c r="V157" s="12" t="n"/>
      <c r="W157" s="12">
        <f>SUM(S157:V157)</f>
        <v>0</v>
      </c>
      <c r="X157" s="12" t="n"/>
      <c r="Y157" s="12" t="n"/>
      <c r="Z157" s="12" t="n"/>
      <c r="AA157" s="12" t="n"/>
      <c r="AB157" s="12">
        <f>SUM(X157:AA157)</f>
        <v>0</v>
      </c>
      <c r="AC157" s="12" t="n"/>
      <c r="AD157" s="12" t="n"/>
      <c r="AE157" s="12" t="n"/>
      <c r="AF157" s="11" t="n"/>
      <c r="AG157" s="12">
        <f>SUM(AC157:AF157)</f>
        <v>0</v>
      </c>
      <c r="AH157" s="11" t="n"/>
      <c r="AI157" s="11" t="n"/>
      <c r="AJ157" s="11">
        <f>0</f>
        <v>0</v>
      </c>
      <c r="AK157" s="11">
        <f>0</f>
        <v>0</v>
      </c>
      <c r="AL157" s="12" t="n"/>
      <c r="AM157" s="11">
        <f>0</f>
        <v>0</v>
      </c>
      <c r="AN157" s="11">
        <f>0</f>
        <v>0</v>
      </c>
      <c r="AO157" s="11">
        <f>0</f>
        <v>0</v>
      </c>
      <c r="AP157" s="11">
        <f>0</f>
        <v>0</v>
      </c>
      <c r="AQ157" s="12" t="n"/>
      <c r="AR157" s="11">
        <f>0</f>
        <v>0</v>
      </c>
      <c r="AS157" s="11">
        <f>0</f>
        <v>0</v>
      </c>
      <c r="AT157" s="11">
        <f>0</f>
        <v>0</v>
      </c>
      <c r="AU157" s="11">
        <f>0</f>
        <v>0</v>
      </c>
      <c r="AV157" s="12" t="n"/>
      <c r="AW157" s="11">
        <f>0</f>
        <v>0</v>
      </c>
      <c r="AX157" s="11">
        <f>0</f>
        <v>0</v>
      </c>
      <c r="AY157" s="11">
        <f>0</f>
        <v>0</v>
      </c>
      <c r="AZ157" s="11">
        <f>0</f>
        <v>0</v>
      </c>
      <c r="BA157" s="12" t="n"/>
      <c r="BB157" s="11">
        <f>0</f>
        <v>0</v>
      </c>
      <c r="BC157" s="11">
        <f>0</f>
        <v>0</v>
      </c>
      <c r="BD157" s="11">
        <f>0</f>
        <v>0</v>
      </c>
      <c r="BE157" s="11">
        <f>0</f>
        <v>0</v>
      </c>
      <c r="BF157" s="12" t="n"/>
      <c r="BG157" s="11" t="n"/>
      <c r="BH157" s="11" t="n"/>
      <c r="BI157" s="11" t="n"/>
      <c r="BJ157" s="11" t="n"/>
      <c r="BK157" s="12" t="n"/>
      <c r="BL157" s="11" t="n"/>
      <c r="BM157" s="11" t="n"/>
      <c r="BN157" s="11" t="n"/>
      <c r="BO157" s="11" t="n"/>
      <c r="BP157" s="12" t="n"/>
      <c r="BQ157" s="11" t="n"/>
      <c r="BR157" s="11" t="n"/>
      <c r="BS157" s="11" t="n"/>
      <c r="BT157" s="11" t="n"/>
      <c r="BU157" s="12" t="n"/>
      <c r="BV157" s="11" t="n"/>
      <c r="BW157" s="11" t="n"/>
      <c r="BX157" s="11" t="n"/>
      <c r="BY157" s="11" t="n"/>
      <c r="BZ157" s="12" t="n"/>
      <c r="CA157" s="11" t="n"/>
      <c r="CB157" s="11" t="n"/>
      <c r="CC157" s="11" t="n"/>
      <c r="CD157" s="11" t="n"/>
      <c r="CE157" s="12" t="n"/>
      <c r="CF157" s="11" t="n"/>
      <c r="CG157" s="11" t="n"/>
      <c r="CH157" s="11" t="n"/>
      <c r="CI157" s="11" t="n"/>
      <c r="CJ157" s="12" t="n"/>
      <c r="CK157" s="11" t="n"/>
      <c r="CL157" s="11" t="n"/>
      <c r="CM157" s="11" t="n"/>
      <c r="CN157" s="11" t="n"/>
      <c r="CO157" s="12" t="n"/>
      <c r="CP157" s="11" t="n"/>
      <c r="CQ157" s="11" t="n"/>
      <c r="CR157" s="11" t="n"/>
      <c r="CS157" s="11" t="n"/>
      <c r="CT157" s="12" t="n"/>
      <c r="CU157" s="11" t="n"/>
      <c r="CV157" s="11" t="n"/>
      <c r="CW157" s="11" t="n"/>
      <c r="CX157" s="11" t="n"/>
      <c r="CY157" s="12" t="n"/>
    </row>
    <row r="158" hidden="1" outlineLevel="1">
      <c r="C158" s="57" t="inlineStr">
        <is>
          <t>Depreciation</t>
        </is>
      </c>
      <c r="D158" s="12" t="n"/>
      <c r="E158" s="12" t="n"/>
      <c r="F158" s="12" t="n"/>
      <c r="G158" s="12" t="n"/>
      <c r="H158" s="12" t="n"/>
      <c r="I158" s="12">
        <f>I58</f>
        <v>-1504</v>
      </c>
      <c r="J158" s="12">
        <f>J58</f>
        <v>-1503</v>
      </c>
      <c r="K158" s="12">
        <f>K58</f>
        <v>-1501</v>
      </c>
      <c r="L158" s="12">
        <f>L58</f>
        <v>-1287</v>
      </c>
      <c r="M158" s="12" t="n"/>
      <c r="N158" s="12">
        <f>N58</f>
        <v>-1264</v>
      </c>
      <c r="O158" s="12">
        <f>O58</f>
        <v>-1217</v>
      </c>
      <c r="P158" s="12">
        <f>P58</f>
        <v>-1216</v>
      </c>
      <c r="Q158" s="12">
        <f>Q58</f>
        <v>-1032</v>
      </c>
      <c r="R158" s="12" t="n"/>
      <c r="S158" s="12">
        <f>S58</f>
        <v>-939</v>
      </c>
      <c r="T158" s="12">
        <f>T58</f>
        <v>-932</v>
      </c>
      <c r="U158" s="12">
        <f>U58</f>
        <v>-932</v>
      </c>
      <c r="V158" s="12">
        <f>V58</f>
        <v>-2345</v>
      </c>
      <c r="W158" s="12" t="n"/>
      <c r="X158" s="12">
        <f>X58</f>
        <v>-2530</v>
      </c>
      <c r="Y158" s="12">
        <f>Y58</f>
        <v>-2524</v>
      </c>
      <c r="Z158" s="12">
        <f>Z58</f>
        <v>-2611</v>
      </c>
      <c r="AA158" s="12">
        <f>AA58</f>
        <v>-2174</v>
      </c>
      <c r="AB158" s="12" t="n"/>
      <c r="AC158" s="12">
        <f>AC58</f>
        <v>-2131</v>
      </c>
      <c r="AD158" s="12">
        <f>AD58</f>
        <v>-2168</v>
      </c>
      <c r="AE158" s="12">
        <f>AE58</f>
        <v>-2233</v>
      </c>
      <c r="AF158" s="12">
        <f>AF58</f>
        <v>-2153</v>
      </c>
      <c r="AG158" s="12" t="n"/>
      <c r="AH158" s="12">
        <f>AH58</f>
        <v>-2130</v>
      </c>
      <c r="AI158" s="12">
        <f>AI58</f>
        <v>-2177</v>
      </c>
      <c r="AJ158" s="12">
        <f>AJ58</f>
        <v>-2847.58810860545</v>
      </c>
      <c r="AK158" s="12">
        <f>AK58</f>
        <v>-3052.44373939938</v>
      </c>
      <c r="AL158" s="12" t="n"/>
      <c r="AM158" s="12">
        <f>AM58</f>
        <v>-3507.04620403159</v>
      </c>
      <c r="AN158" s="12">
        <f>AN58</f>
        <v>-4677.37883551173</v>
      </c>
      <c r="AO158" s="12">
        <f>AO58</f>
        <v>-3954.40806057879</v>
      </c>
      <c r="AP158" s="12">
        <f>AP58</f>
        <v>-4238.8883740126</v>
      </c>
      <c r="AQ158" s="12" t="n"/>
      <c r="AR158" s="12">
        <f>AR58</f>
        <v>-4852.65359163106</v>
      </c>
      <c r="AS158" s="12">
        <f>AS58</f>
        <v>-6472.02742281312</v>
      </c>
      <c r="AT158" s="12">
        <f>AT58</f>
        <v>-5471.66229400769</v>
      </c>
      <c r="AU158" s="12">
        <f>AU58</f>
        <v>-5865.29395279393</v>
      </c>
      <c r="AV158" s="12" t="n"/>
      <c r="AW158" s="12">
        <f>AW58</f>
        <v>-6690.28952387546</v>
      </c>
      <c r="AX158" s="12">
        <f>AX58</f>
        <v>-8922.89887325906</v>
      </c>
      <c r="AY158" s="12">
        <f>AY58</f>
        <v>-7543.70866012709</v>
      </c>
      <c r="AZ158" s="12">
        <f>AZ58</f>
        <v>-8086.40343800801</v>
      </c>
      <c r="BA158" s="12" t="n"/>
      <c r="BB158" s="12">
        <f>BB58</f>
        <v>-9190.36250655846</v>
      </c>
      <c r="BC158" s="12">
        <f>BC58</f>
        <v>-12257.2685325448</v>
      </c>
      <c r="BD158" s="12">
        <f>BD58</f>
        <v>-10362.6931215784</v>
      </c>
      <c r="BE158" s="12">
        <f>BE58</f>
        <v>-11108.185782448</v>
      </c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57" t="inlineStr">
        <is>
          <t>PP&amp;E</t>
        </is>
      </c>
      <c r="D159" s="12" t="n"/>
      <c r="E159" s="12" t="n"/>
      <c r="F159" s="12" t="n"/>
      <c r="G159" s="12" t="n"/>
      <c r="H159" s="12" t="n"/>
      <c r="I159" s="12">
        <f>I154</f>
        <v>2416</v>
      </c>
      <c r="J159" s="12">
        <f>J154</f>
        <v>2370</v>
      </c>
      <c r="K159" s="12">
        <f>K154</f>
        <v>2348</v>
      </c>
      <c r="L159" s="12">
        <f>L154</f>
        <v>2303</v>
      </c>
      <c r="M159" s="12" t="n"/>
      <c r="N159" s="12">
        <f>N154</f>
        <v>2262</v>
      </c>
      <c r="O159" s="12">
        <f>O154</f>
        <v>2250</v>
      </c>
      <c r="P159" s="12">
        <f>P154</f>
        <v>2223</v>
      </c>
      <c r="Q159" s="12">
        <f>Q154</f>
        <v>2201</v>
      </c>
      <c r="R159" s="12" t="n"/>
      <c r="S159" s="12">
        <f>S154</f>
        <v>2209</v>
      </c>
      <c r="T159" s="12">
        <f>T154</f>
        <v>2180</v>
      </c>
      <c r="U159" s="12">
        <f>U154</f>
        <v>2154</v>
      </c>
      <c r="V159" s="12">
        <f>V154</f>
        <v>2662</v>
      </c>
      <c r="W159" s="12" t="n"/>
      <c r="X159" s="12">
        <f>X154</f>
        <v>2668</v>
      </c>
      <c r="Y159" s="12">
        <f>Y154</f>
        <v>2602</v>
      </c>
      <c r="Z159" s="12">
        <f>Z154</f>
        <v>2521</v>
      </c>
      <c r="AA159" s="12">
        <f>Y159+SUM(AA156:AA158)</f>
        <v>2546</v>
      </c>
      <c r="AB159" s="12" t="n"/>
      <c r="AC159" s="12">
        <f>AC154</f>
        <v>2462</v>
      </c>
      <c r="AD159" s="12">
        <f>AD154</f>
        <v>2451</v>
      </c>
      <c r="AE159" s="12">
        <f>AE154</f>
        <v>2530</v>
      </c>
      <c r="AF159" s="12">
        <f>AF154</f>
        <v>2599</v>
      </c>
      <c r="AG159" s="12" t="n"/>
      <c r="AH159" s="12">
        <f>AH154</f>
        <v>2788</v>
      </c>
      <c r="AI159" s="12">
        <f>AI154</f>
        <v>3144</v>
      </c>
      <c r="AJ159" s="12">
        <f>AI159+SUM(AJ156:AJ158)</f>
        <v>3145.07127078278</v>
      </c>
      <c r="AK159" s="12">
        <f>AJ159+SUM(AK156:AK158)</f>
        <v>3146.2196088392</v>
      </c>
      <c r="AL159" s="12" t="n"/>
      <c r="AM159" s="12">
        <f>AK159+SUM(AM156:AM158)</f>
        <v>3147.53896964174</v>
      </c>
      <c r="AN159" s="12">
        <f>AM159+SUM(AN156:AN158)</f>
        <v>3149.29861292419</v>
      </c>
      <c r="AO159" s="12">
        <f>AN159+SUM(AO156:AO158)</f>
        <v>3150.78627253539</v>
      </c>
      <c r="AP159" s="12">
        <f>AO159+SUM(AP156:AP158)</f>
        <v>3152.38095445334</v>
      </c>
      <c r="AQ159" s="12" t="n"/>
      <c r="AR159" s="12">
        <f>AP159+SUM(AR156:AR158)</f>
        <v>3154.20653659985</v>
      </c>
      <c r="AS159" s="12">
        <f>AR159+SUM(AS156:AS158)</f>
        <v>3156.64133180864</v>
      </c>
      <c r="AT159" s="12">
        <f>AS159+SUM(AT156:AT158)</f>
        <v>3158.69978679766</v>
      </c>
      <c r="AU159" s="12">
        <f>AT159+SUM(AU156:AU158)</f>
        <v>3160.90632714143</v>
      </c>
      <c r="AV159" s="12" t="n"/>
      <c r="AW159" s="12">
        <f>AU159+SUM(AW156:AW158)</f>
        <v>3163.42323317628</v>
      </c>
      <c r="AX159" s="12">
        <f>AW159+SUM(AX156:AX158)</f>
        <v>3166.78005322753</v>
      </c>
      <c r="AY159" s="12">
        <f>AX159+SUM(AY156:AY158)</f>
        <v>3169.61801797988</v>
      </c>
      <c r="AZ159" s="12">
        <f>AY159+SUM(AZ156:AZ158)</f>
        <v>3172.66014605829</v>
      </c>
      <c r="BA159" s="12" t="n"/>
      <c r="BB159" s="12">
        <f>AZ159+SUM(BB156:BB158)</f>
        <v>3176.1175866926</v>
      </c>
      <c r="BC159" s="12">
        <f>BB159+SUM(BC156:BC158)</f>
        <v>3180.72880613687</v>
      </c>
      <c r="BD159" s="12">
        <f>BC159+SUM(BD156:BD158)</f>
        <v>3184.62728089822</v>
      </c>
      <c r="BE159" s="12">
        <f>BD159+SUM(BE156:BE158)</f>
        <v>3188.80621212866</v>
      </c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>
        <f>IF(AJ15=0,"",AJ156/AJ15)</f>
        <v>0.113868065967016</v>
      </c>
      <c r="AK160" s="12">
        <f>IF(AK15=0,"",AK156/AK15)</f>
        <v>0.113868065967016</v>
      </c>
      <c r="AL160" s="12" t="n"/>
      <c r="AM160" s="12">
        <f>IF(AM15=0,"",AM156/AM15)</f>
        <v>0.113868065967016</v>
      </c>
      <c r="AN160" s="12">
        <f>IF(AN15=0,"",AN156/AN15)</f>
        <v>0.113868065967016</v>
      </c>
      <c r="AO160" s="12">
        <f>IF(AO15=0,"",AO156/AO15)</f>
        <v>0.113868065967016</v>
      </c>
      <c r="AP160" s="12">
        <f>IF(AP15=0,"",AP156/AP15)</f>
        <v>0.113868065967017</v>
      </c>
      <c r="AQ160" s="12" t="n"/>
      <c r="AR160" s="12">
        <f>IF(AR15=0,"",AR156/AR15)</f>
        <v>0.113868065967017</v>
      </c>
      <c r="AS160" s="12">
        <f>IF(AS15=0,"",AS156/AS15)</f>
        <v>0.113868065967016</v>
      </c>
      <c r="AT160" s="12">
        <f>IF(AT15=0,"",AT156/AT15)</f>
        <v>0.113868065967016</v>
      </c>
      <c r="AU160" s="12">
        <f>IF(AU15=0,"",AU156/AU15)</f>
        <v>0.113868065967016</v>
      </c>
      <c r="AV160" s="12" t="n"/>
      <c r="AW160" s="12">
        <f>IF(AW15=0,"",AW156/AW15)</f>
        <v>0.113868065967016</v>
      </c>
      <c r="AX160" s="12">
        <f>IF(AX15=0,"",AX156/AX15)</f>
        <v>0.113868065967016</v>
      </c>
      <c r="AY160" s="12">
        <f>IF(AY15=0,"",AY156/AY15)</f>
        <v>0.113868065967016</v>
      </c>
      <c r="AZ160" s="12">
        <f>IF(AZ15=0,"",AZ156/AZ15)</f>
        <v>0.113868065967016</v>
      </c>
      <c r="BA160" s="12" t="n"/>
      <c r="BB160" s="12">
        <f>IF(BB15=0,"",BB156/BB15)</f>
        <v>0.113868065967016</v>
      </c>
      <c r="BC160" s="12">
        <f>IF(BC15=0,"",BC156/BC15)</f>
        <v>0.113868065967016</v>
      </c>
      <c r="BD160" s="12">
        <f>IF(BD15=0,"",BD156/BD15)</f>
        <v>0.113868065967017</v>
      </c>
      <c r="BE160" s="12">
        <f>IF(BE15=0,"",BE156/BE15)</f>
        <v>0.113868065967016</v>
      </c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inlineStr">
        <is>
          <t>Capital expenditures (% Net Revenues)</t>
        </is>
      </c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58">
        <f>IFERROR(AF156/AF15,"")</f>
        <v>0.115063953187303</v>
      </c>
      <c r="AG161" s="58">
        <f>IFERROR(AG156/AG15,"")</f>
        <v>0.129155560762719</v>
      </c>
      <c r="AH161" s="58">
        <f>IFERROR(AH156/AH15,"")</f>
        <v>0.104520665254428</v>
      </c>
      <c r="AI161" s="58">
        <f>IFERROR(AI156/AI15,"")</f>
        <v>0.0856003514582137</v>
      </c>
      <c r="AJ161" s="58">
        <f>IFERROR(AJ156/AJ15,"")</f>
        <v>0.113868065967016</v>
      </c>
      <c r="AK161" s="58">
        <f>IFERROR(AK156/AK15,"")</f>
        <v>0.113868065967016</v>
      </c>
      <c r="AL161" s="58">
        <f>IFERROR(AL156/AL15,"")</f>
        <v>0</v>
      </c>
      <c r="AM161" s="58">
        <f>IFERROR(AM156/AM15,"")</f>
        <v>0.113868065967016</v>
      </c>
      <c r="AN161" s="58">
        <f>IFERROR(AN156/AN15,"")</f>
        <v>0.113868065967016</v>
      </c>
      <c r="AO161" s="58">
        <f>IFERROR(AO156/AO15,"")</f>
        <v>0.113868065967016</v>
      </c>
      <c r="AP161" s="58">
        <f>IFERROR(AP156/AP15,"")</f>
        <v>0.113868065967017</v>
      </c>
      <c r="AQ161" s="58">
        <f>IFERROR(AQ156/AQ15,"")</f>
        <v>0</v>
      </c>
      <c r="AR161" s="58">
        <f>IFERROR(AR156/AR15,"")</f>
        <v>0.113868065967017</v>
      </c>
      <c r="AS161" s="58">
        <f>IFERROR(AS156/AS15,"")</f>
        <v>0.113868065967016</v>
      </c>
      <c r="AT161" s="58">
        <f>IFERROR(AT156/AT15,"")</f>
        <v>0.113868065967016</v>
      </c>
      <c r="AU161" s="58">
        <f>IFERROR(AU156/AU15,"")</f>
        <v>0.113868065967016</v>
      </c>
      <c r="AV161" s="58">
        <f>IFERROR(AV156/AV15,"")</f>
        <v>0</v>
      </c>
      <c r="AW161" s="58">
        <f>IFERROR(AW156/AW15,"")</f>
        <v>0.113868065967016</v>
      </c>
      <c r="AX161" s="58">
        <f>IFERROR(AX156/AX15,"")</f>
        <v>0.113868065967016</v>
      </c>
      <c r="AY161" s="58">
        <f>IFERROR(AY156/AY15,"")</f>
        <v>0.113868065967016</v>
      </c>
      <c r="AZ161" s="58">
        <f>IFERROR(AZ156/AZ15,"")</f>
        <v>0.113868065967016</v>
      </c>
      <c r="BA161" s="58">
        <f>IFERROR(BA156/BA15,"")</f>
        <v>0</v>
      </c>
      <c r="BB161" s="58">
        <f>IFERROR(BB156/BB15,"")</f>
        <v>0.113868065967016</v>
      </c>
      <c r="BC161" s="58">
        <f>IFERROR(BC156/BC15,"")</f>
        <v>0.113868065967016</v>
      </c>
      <c r="BD161" s="58">
        <f>IFERROR(BD156/BD15,"")</f>
        <v>0.113868065967017</v>
      </c>
      <c r="BE161" s="58">
        <f>IFERROR(BE156/BE15,"")</f>
        <v>0.113868065967016</v>
      </c>
      <c r="BF161" s="58">
        <f>IFERROR(BF156/BF15,"")</f>
        <v>0</v>
      </c>
      <c r="BG161" s="58" t="n"/>
      <c r="BH161" s="58" t="n"/>
      <c r="BI161" s="58" t="n"/>
      <c r="BJ161" s="58" t="n"/>
      <c r="BK161" s="58" t="n"/>
      <c r="BL161" s="58" t="n"/>
      <c r="BM161" s="58" t="n"/>
      <c r="BN161" s="58" t="n"/>
      <c r="BO161" s="58" t="n"/>
      <c r="BP161" s="58" t="n"/>
      <c r="BQ161" s="58" t="n"/>
      <c r="BR161" s="58" t="n"/>
      <c r="BS161" s="58" t="n"/>
      <c r="BT161" s="58" t="n"/>
      <c r="BU161" s="58" t="n"/>
      <c r="BV161" s="58" t="n"/>
      <c r="BW161" s="58" t="n"/>
      <c r="BX161" s="58" t="n"/>
      <c r="BY161" s="58" t="n"/>
      <c r="BZ161" s="58" t="n"/>
      <c r="CA161" s="58" t="n"/>
      <c r="CB161" s="58" t="n"/>
      <c r="CC161" s="58" t="n"/>
      <c r="CD161" s="58" t="n"/>
      <c r="CE161" s="58" t="n"/>
      <c r="CF161" s="58" t="n"/>
      <c r="CG161" s="58" t="n"/>
      <c r="CH161" s="58" t="n"/>
      <c r="CI161" s="58" t="n"/>
      <c r="CJ161" s="58" t="n"/>
      <c r="CK161" s="58" t="n"/>
      <c r="CL161" s="58" t="n"/>
      <c r="CM161" s="58" t="n"/>
      <c r="CN161" s="58" t="n"/>
      <c r="CO161" s="58" t="n"/>
      <c r="CP161" s="58" t="n"/>
      <c r="CQ161" s="58" t="n"/>
      <c r="CR161" s="58" t="n"/>
      <c r="CS161" s="58" t="n"/>
      <c r="CT161" s="58" t="n"/>
      <c r="CU161" s="58" t="n"/>
      <c r="CV161" s="58" t="n"/>
      <c r="CW161" s="58" t="n"/>
      <c r="CX161" s="58" t="n"/>
      <c r="CY161" s="58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collapsed="1">
      <c r="C164" s="14" t="inlineStr">
        <is>
          <t>Right-of-use-assets</t>
        </is>
      </c>
      <c r="D164" s="46" t="n"/>
      <c r="E164" s="46" t="n"/>
      <c r="F164" s="46" t="n"/>
      <c r="G164" s="46" t="n"/>
      <c r="H164" s="12" t="n"/>
      <c r="I164" s="46">
        <f>'Inputs (2)'!D23</f>
        <v>0</v>
      </c>
      <c r="J164" s="46">
        <f>'Inputs (2)'!E23</f>
        <v>0</v>
      </c>
      <c r="K164" s="46">
        <f>'Inputs (2)'!F23</f>
        <v>0</v>
      </c>
      <c r="L164" s="46">
        <f>'Inputs (2)'!G23</f>
        <v>0</v>
      </c>
      <c r="M164" s="12">
        <f>'Inputs (2)'!H23</f>
        <v>0</v>
      </c>
      <c r="N164" s="46">
        <f>'Inputs (2)'!I23</f>
        <v>0</v>
      </c>
      <c r="O164" s="46">
        <f>'Inputs (2)'!J23</f>
        <v>0</v>
      </c>
      <c r="P164" s="46">
        <f>'Inputs (2)'!K23</f>
        <v>0</v>
      </c>
      <c r="Q164" s="46">
        <f>'Inputs (2)'!L23</f>
        <v>0</v>
      </c>
      <c r="R164" s="12">
        <f>'Inputs (2)'!M23</f>
        <v>0</v>
      </c>
      <c r="S164" s="46">
        <f>'Inputs (2)'!N23</f>
        <v>0</v>
      </c>
      <c r="T164" s="46">
        <f>'Inputs (2)'!O23</f>
        <v>0</v>
      </c>
      <c r="U164" s="46">
        <f>'Inputs (2)'!P23</f>
        <v>0</v>
      </c>
      <c r="V164" s="46">
        <f>'Inputs (2)'!Q23</f>
        <v>0</v>
      </c>
      <c r="W164" s="12">
        <f>'Inputs (2)'!R23</f>
        <v>0</v>
      </c>
      <c r="X164" s="46">
        <f>'Inputs (2)'!S23</f>
        <v>0</v>
      </c>
      <c r="Y164" s="46">
        <f>'Inputs (2)'!T23</f>
        <v>0</v>
      </c>
      <c r="Z164" s="46">
        <f>'Inputs (2)'!U23</f>
        <v>0</v>
      </c>
      <c r="AA164" s="46">
        <f>'Inputs (2)'!V23</f>
        <v>0</v>
      </c>
      <c r="AB164" s="12">
        <f>'Inputs (2)'!W23</f>
        <v>0</v>
      </c>
      <c r="AC164" s="46">
        <f>'Inputs (2)'!X23</f>
        <v>0</v>
      </c>
      <c r="AD164" s="46">
        <f>'Inputs (2)'!Y23</f>
        <v>0</v>
      </c>
      <c r="AE164" s="46">
        <f>'Inputs (2)'!Z23</f>
        <v>0</v>
      </c>
      <c r="AF164" s="46">
        <f>'Inputs (2)'!AA23</f>
        <v>0</v>
      </c>
      <c r="AG164" s="12">
        <f>'Inputs (2)'!AB23</f>
        <v>0</v>
      </c>
      <c r="AH164" s="12">
        <f>'Inputs (2)'!AC23</f>
        <v>0</v>
      </c>
      <c r="AI164" s="12">
        <f>'Inputs (2)'!AD23</f>
        <v>0</v>
      </c>
      <c r="AJ164" s="12">
        <f>AI164</f>
        <v>0</v>
      </c>
      <c r="AK164" s="12">
        <f>AJ164</f>
        <v>0</v>
      </c>
      <c r="AL164" s="12">
        <f>AK164</f>
        <v>0</v>
      </c>
      <c r="AM164" s="12">
        <f>AL164</f>
        <v>0</v>
      </c>
      <c r="AN164" s="12">
        <f>AM164</f>
        <v>0</v>
      </c>
      <c r="AO164" s="12">
        <f>AN164</f>
        <v>0</v>
      </c>
      <c r="AP164" s="12">
        <f>AO164</f>
        <v>0</v>
      </c>
      <c r="AQ164" s="12">
        <f>AP164</f>
        <v>0</v>
      </c>
      <c r="AR164" s="12">
        <f>AQ164</f>
        <v>0</v>
      </c>
      <c r="AS164" s="12">
        <f>AR164</f>
        <v>0</v>
      </c>
      <c r="AT164" s="12">
        <f>AS164</f>
        <v>0</v>
      </c>
      <c r="AU164" s="12">
        <f>AT164</f>
        <v>0</v>
      </c>
      <c r="AV164" s="12">
        <f>AU164</f>
        <v>0</v>
      </c>
      <c r="AW164" s="12">
        <f>AV164</f>
        <v>0</v>
      </c>
      <c r="AX164" s="12">
        <f>AW164</f>
        <v>0</v>
      </c>
      <c r="AY164" s="12">
        <f>AX164</f>
        <v>0</v>
      </c>
      <c r="AZ164" s="12">
        <f>AY164</f>
        <v>0</v>
      </c>
      <c r="BA164" s="12">
        <f>AZ164</f>
        <v>0</v>
      </c>
      <c r="BB164" s="12">
        <f>BA164</f>
        <v>0</v>
      </c>
      <c r="BC164" s="12">
        <f>BB164</f>
        <v>0</v>
      </c>
      <c r="BD164" s="12">
        <f>BC164</f>
        <v>0</v>
      </c>
      <c r="BE164" s="12">
        <f>BD164</f>
        <v>0</v>
      </c>
      <c r="BF164" s="12">
        <f>BE164</f>
        <v>0</v>
      </c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hidden="1" outlineLevel="1">
      <c r="C165" s="59" t="inlineStr">
        <is>
          <t>%(Var.)</t>
        </is>
      </c>
      <c r="D165" s="12" t="n"/>
      <c r="E165" s="40" t="n"/>
      <c r="F165" s="40" t="n"/>
      <c r="G165" s="40" t="n"/>
      <c r="H165" s="12" t="n"/>
      <c r="I165" s="40" t="str">
        <f>""</f>
        <v/>
      </c>
      <c r="J165" s="40" t="str">
        <f>IFERROR(IF(I164=0,"",J164/I164-1),"")</f>
        <v/>
      </c>
      <c r="K165" s="40" t="str">
        <f>IFERROR(IF(J164=0,"",K164/J164-1),"")</f>
        <v/>
      </c>
      <c r="L165" s="40" t="str">
        <f>IFERROR(IF(K164=0,"",L164/K164-1),"")</f>
        <v/>
      </c>
      <c r="M165" s="12" t="str">
        <f>IFERROR(IF(L164=0,"",M164/L164-1),"")</f>
        <v/>
      </c>
      <c r="N165" s="40" t="str">
        <f>IFERROR(IF(M164=0,"",N164/M164-1),"")</f>
        <v/>
      </c>
      <c r="O165" s="40" t="str">
        <f>IFERROR(IF(N164=0,"",O164/N164-1),"")</f>
        <v/>
      </c>
      <c r="P165" s="40" t="str">
        <f>IFERROR(IF(O164=0,"",P164/O164-1),"")</f>
        <v/>
      </c>
      <c r="Q165" s="40" t="str">
        <f>IFERROR(IF(P164=0,"",Q164/P164-1),"")</f>
        <v/>
      </c>
      <c r="R165" s="12" t="str">
        <f>IFERROR(IF(Q164=0,"",R164/Q164-1),"")</f>
        <v/>
      </c>
      <c r="S165" s="40" t="str">
        <f>IFERROR(IF(R164=0,"",S164/R164-1),"")</f>
        <v/>
      </c>
      <c r="T165" s="40" t="str">
        <f>IFERROR(IF(S164=0,"",T164/S164-1),"")</f>
        <v/>
      </c>
      <c r="U165" s="40" t="str">
        <f>IFERROR(IF(T164=0,"",U164/T164-1),"")</f>
        <v/>
      </c>
      <c r="V165" s="40" t="str">
        <f>IFERROR(IF(U164=0,"",V164/U164-1),"")</f>
        <v/>
      </c>
      <c r="W165" s="12" t="str">
        <f>IFERROR(IF(V164=0,"",W164/V164-1),"")</f>
        <v/>
      </c>
      <c r="X165" s="40" t="str">
        <f>IFERROR(IF(W164=0,"",X164/W164-1),"")</f>
        <v/>
      </c>
      <c r="Y165" s="40" t="str">
        <f>IFERROR(IF(X164=0,"",Y164/X164-1),"")</f>
        <v/>
      </c>
      <c r="Z165" s="40" t="str">
        <f>IFERROR(IF(Y164=0,"",Z164/Y164-1),"")</f>
        <v/>
      </c>
      <c r="AA165" s="40" t="str">
        <f>IFERROR(IF(Z164=0,"",AA164/Z164-1),"")</f>
        <v/>
      </c>
      <c r="AB165" s="12" t="str">
        <f>IFERROR(IF(AA164=0,"",AB164/AA164-1),"")</f>
        <v/>
      </c>
      <c r="AC165" s="40" t="str">
        <f>IFERROR(IF(AB164=0,"",AC164/AB164-1),"")</f>
        <v/>
      </c>
      <c r="AD165" s="40" t="str">
        <f>IFERROR(IF(AC164=0,"",AD164/AC164-1),"")</f>
        <v/>
      </c>
      <c r="AE165" s="40" t="str">
        <f>IFERROR(IF(AD164=0,"",AE164/AD164-1),"")</f>
        <v/>
      </c>
      <c r="AF165" s="55" t="str">
        <f>IFERROR(IF(AE164=0,"",AF164/AE164-1),"")</f>
        <v/>
      </c>
      <c r="AG165" s="12" t="str">
        <f>IFERROR(IF(AF164=0,"",AG164/AF164-1),"")</f>
        <v/>
      </c>
      <c r="AH165" s="55" t="str">
        <f>IFERROR(IF(AG164=0,"",AH164/AG164-1),"")</f>
        <v/>
      </c>
      <c r="AI165" s="55" t="str">
        <f>IFERROR(IF(AH164=0,"",AI164/AH164-1),"")</f>
        <v/>
      </c>
      <c r="AJ165" s="55" t="str">
        <f>IFERROR(IF(AI164=0,"",AJ164/AI164-1),"")</f>
        <v/>
      </c>
      <c r="AK165" s="55" t="str">
        <f>IFERROR(IF(AJ164=0,"",AK164/AJ164-1),"")</f>
        <v/>
      </c>
      <c r="AL165" s="12" t="str">
        <f>IFERROR(IF(AK164=0,"",AL164/AK164-1),"")</f>
        <v/>
      </c>
      <c r="AM165" s="55" t="str">
        <f>IFERROR(IF(AL164=0,"",AM164/AL164-1),"")</f>
        <v/>
      </c>
      <c r="AN165" s="55" t="str">
        <f>IFERROR(IF(AM164=0,"",AN164/AM164-1),"")</f>
        <v/>
      </c>
      <c r="AO165" s="55" t="str">
        <f>IFERROR(IF(AN164=0,"",AO164/AN164-1),"")</f>
        <v/>
      </c>
      <c r="AP165" s="55" t="str">
        <f>IFERROR(IF(AO164=0,"",AP164/AO164-1),"")</f>
        <v/>
      </c>
      <c r="AQ165" s="12" t="str">
        <f>IFERROR(IF(AP164=0,"",AQ164/AP164-1),"")</f>
        <v/>
      </c>
      <c r="AR165" s="55" t="str">
        <f>IFERROR(IF(AQ164=0,"",AR164/AQ164-1),"")</f>
        <v/>
      </c>
      <c r="AS165" s="55" t="str">
        <f>IFERROR(IF(AR164=0,"",AS164/AR164-1),"")</f>
        <v/>
      </c>
      <c r="AT165" s="55" t="str">
        <f>IFERROR(IF(AS164=0,"",AT164/AS164-1),"")</f>
        <v/>
      </c>
      <c r="AU165" s="55" t="str">
        <f>IFERROR(IF(AT164=0,"",AU164/AT164-1),"")</f>
        <v/>
      </c>
      <c r="AV165" s="12" t="str">
        <f>IFERROR(IF(AU164=0,"",AV164/AU164-1),"")</f>
        <v/>
      </c>
      <c r="AW165" s="55" t="str">
        <f>IFERROR(IF(AV164=0,"",AW164/AV164-1),"")</f>
        <v/>
      </c>
      <c r="AX165" s="55" t="str">
        <f>IFERROR(IF(AW164=0,"",AX164/AW164-1),"")</f>
        <v/>
      </c>
      <c r="AY165" s="55" t="str">
        <f>IFERROR(IF(AX164=0,"",AY164/AX164-1),"")</f>
        <v/>
      </c>
      <c r="AZ165" s="55" t="str">
        <f>IFERROR(IF(AY164=0,"",AZ164/AY164-1),"")</f>
        <v/>
      </c>
      <c r="BA165" s="12" t="str">
        <f>IFERROR(IF(AZ164=0,"",BA164/AZ164-1),"")</f>
        <v/>
      </c>
      <c r="BB165" s="55" t="str">
        <f>IFERROR(IF(BA164=0,"",BB164/BA164-1),"")</f>
        <v/>
      </c>
      <c r="BC165" s="55" t="str">
        <f>IFERROR(IF(BB164=0,"",BC164/BB164-1),"")</f>
        <v/>
      </c>
      <c r="BD165" s="55" t="str">
        <f>IFERROR(IF(BC164=0,"",BD164/BC164-1),"")</f>
        <v/>
      </c>
      <c r="BE165" s="55" t="str">
        <f>IFERROR(IF(BD164=0,"",BE164/BD164-1),"")</f>
        <v/>
      </c>
      <c r="BF165" s="12" t="str">
        <f>IFERROR(IF(BE164=0,"",BF164/BE164-1),"")</f>
        <v/>
      </c>
      <c r="BG165" s="55" t="n"/>
      <c r="BH165" s="55" t="n"/>
      <c r="BI165" s="55" t="n"/>
      <c r="BJ165" s="55" t="n"/>
      <c r="BK165" s="12" t="n"/>
      <c r="BL165" s="55" t="n"/>
      <c r="BM165" s="55" t="n"/>
      <c r="BN165" s="55" t="n"/>
      <c r="BO165" s="55" t="n"/>
      <c r="BP165" s="12" t="n"/>
      <c r="BQ165" s="55" t="n"/>
      <c r="BR165" s="55" t="n"/>
      <c r="BS165" s="55" t="n"/>
      <c r="BT165" s="55" t="n"/>
      <c r="BU165" s="12" t="n"/>
      <c r="BV165" s="55" t="n"/>
      <c r="BW165" s="55" t="n"/>
      <c r="BX165" s="55" t="n"/>
      <c r="BY165" s="55" t="n"/>
      <c r="BZ165" s="12" t="n"/>
      <c r="CA165" s="55" t="n"/>
      <c r="CB165" s="55" t="n"/>
      <c r="CC165" s="55" t="n"/>
      <c r="CD165" s="55" t="n"/>
      <c r="CE165" s="12" t="n"/>
      <c r="CF165" s="55" t="n"/>
      <c r="CG165" s="55" t="n"/>
      <c r="CH165" s="55" t="n"/>
      <c r="CI165" s="55" t="n"/>
      <c r="CJ165" s="12" t="n"/>
      <c r="CK165" s="55" t="n"/>
      <c r="CL165" s="55" t="n"/>
      <c r="CM165" s="55" t="n"/>
      <c r="CN165" s="55" t="n"/>
      <c r="CO165" s="12" t="n"/>
      <c r="CP165" s="55" t="n"/>
      <c r="CQ165" s="55" t="n"/>
      <c r="CR165" s="55" t="n"/>
      <c r="CS165" s="55" t="n"/>
      <c r="CT165" s="12" t="n"/>
      <c r="CU165" s="55" t="n"/>
      <c r="CV165" s="55" t="n"/>
      <c r="CW165" s="55" t="n"/>
      <c r="CX165" s="55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collapsed="1">
      <c r="C167" s="14" t="inlineStr">
        <is>
          <t>Goodwill</t>
        </is>
      </c>
      <c r="D167" s="46" t="n"/>
      <c r="E167" s="46" t="n"/>
      <c r="F167" s="46" t="n"/>
      <c r="G167" s="46" t="n"/>
      <c r="H167" s="12" t="n"/>
      <c r="I167" s="46">
        <f>'Inputs (2)'!D24</f>
        <v>43457</v>
      </c>
      <c r="J167" s="46">
        <f>'Inputs (2)'!E24</f>
        <v>43457</v>
      </c>
      <c r="K167" s="46">
        <f>'Inputs (2)'!F24</f>
        <v>43450</v>
      </c>
      <c r="L167" s="46">
        <f>'Inputs (2)'!G24</f>
        <v>43450</v>
      </c>
      <c r="M167" s="12">
        <f>'Inputs (2)'!H24</f>
        <v>43450</v>
      </c>
      <c r="N167" s="46">
        <f>'Inputs (2)'!I24</f>
        <v>43603</v>
      </c>
      <c r="O167" s="46">
        <f>'Inputs (2)'!J24</f>
        <v>43608</v>
      </c>
      <c r="P167" s="46">
        <f>'Inputs (2)'!K24</f>
        <v>43614</v>
      </c>
      <c r="Q167" s="46">
        <f>'Inputs (2)'!L24</f>
        <v>43614</v>
      </c>
      <c r="R167" s="12">
        <f>'Inputs (2)'!M24</f>
        <v>43614</v>
      </c>
      <c r="S167" s="46">
        <f>'Inputs (2)'!N24</f>
        <v>43614</v>
      </c>
      <c r="T167" s="46">
        <f>'Inputs (2)'!O24</f>
        <v>43619</v>
      </c>
      <c r="U167" s="46">
        <f>'Inputs (2)'!P24</f>
        <v>43653</v>
      </c>
      <c r="V167" s="46">
        <f>'Inputs (2)'!Q24</f>
        <v>97586</v>
      </c>
      <c r="W167" s="12">
        <f>'Inputs (2)'!R24</f>
        <v>97586</v>
      </c>
      <c r="X167" s="46">
        <f>'Inputs (2)'!S24</f>
        <v>97873</v>
      </c>
      <c r="Y167" s="46">
        <f>'Inputs (2)'!T24</f>
        <v>97873</v>
      </c>
      <c r="Z167" s="46">
        <f>'Inputs (2)'!U24</f>
        <v>97873</v>
      </c>
      <c r="AA167" s="46">
        <f>'Inputs (2)'!V24</f>
        <v>97871</v>
      </c>
      <c r="AB167" s="12">
        <f>'Inputs (2)'!W24</f>
        <v>97871</v>
      </c>
      <c r="AC167" s="46">
        <f>'Inputs (2)'!X24</f>
        <v>97801</v>
      </c>
      <c r="AD167" s="46">
        <f>'Inputs (2)'!Y24</f>
        <v>97801</v>
      </c>
      <c r="AE167" s="46">
        <f>'Inputs (2)'!Z24</f>
        <v>97801</v>
      </c>
      <c r="AF167" s="46">
        <f>'Inputs (2)'!AA24</f>
        <v>97801</v>
      </c>
      <c r="AG167" s="12">
        <f>'Inputs (2)'!AB24</f>
        <v>97801</v>
      </c>
      <c r="AH167" s="12">
        <f>'Inputs (2)'!AC24</f>
        <v>97801</v>
      </c>
      <c r="AI167" s="12">
        <f>'Inputs (2)'!AD24</f>
        <v>97801</v>
      </c>
      <c r="AJ167" s="12">
        <f>AI167</f>
        <v>97801</v>
      </c>
      <c r="AK167" s="12">
        <f>AJ167</f>
        <v>97801</v>
      </c>
      <c r="AL167" s="12">
        <f>AK167</f>
        <v>97801</v>
      </c>
      <c r="AM167" s="12">
        <f>AL167</f>
        <v>97801</v>
      </c>
      <c r="AN167" s="12">
        <f>AM167</f>
        <v>97801</v>
      </c>
      <c r="AO167" s="12">
        <f>AN167</f>
        <v>97801</v>
      </c>
      <c r="AP167" s="12">
        <f>AO167</f>
        <v>97801</v>
      </c>
      <c r="AQ167" s="12">
        <f>AP167</f>
        <v>97801</v>
      </c>
      <c r="AR167" s="12">
        <f>AQ167</f>
        <v>97801</v>
      </c>
      <c r="AS167" s="12">
        <f>AR167</f>
        <v>97801</v>
      </c>
      <c r="AT167" s="12">
        <f>AS167</f>
        <v>97801</v>
      </c>
      <c r="AU167" s="12">
        <f>AT167</f>
        <v>97801</v>
      </c>
      <c r="AV167" s="12">
        <f>AU167</f>
        <v>97801</v>
      </c>
      <c r="AW167" s="12">
        <f>AV167</f>
        <v>97801</v>
      </c>
      <c r="AX167" s="12">
        <f>AW167</f>
        <v>97801</v>
      </c>
      <c r="AY167" s="12">
        <f>AX167</f>
        <v>97801</v>
      </c>
      <c r="AZ167" s="12">
        <f>AY167</f>
        <v>97801</v>
      </c>
      <c r="BA167" s="12">
        <f>AZ167</f>
        <v>97801</v>
      </c>
      <c r="BB167" s="12">
        <f>BA167</f>
        <v>97801</v>
      </c>
      <c r="BC167" s="12">
        <f>BB167</f>
        <v>97801</v>
      </c>
      <c r="BD167" s="12">
        <f>BC167</f>
        <v>97801</v>
      </c>
      <c r="BE167" s="12">
        <f>BD167</f>
        <v>97801</v>
      </c>
      <c r="BF167" s="12">
        <f>BE167</f>
        <v>97801</v>
      </c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>
      <c r="C168" s="14" t="inlineStr">
        <is>
          <t>Intangibles</t>
        </is>
      </c>
      <c r="D168" s="46" t="n"/>
      <c r="E168" s="46" t="n"/>
      <c r="F168" s="46" t="n"/>
      <c r="G168" s="46" t="n"/>
      <c r="H168" s="12" t="n"/>
      <c r="I168" s="46">
        <f>'Inputs (2)'!D25</f>
        <v>14068</v>
      </c>
      <c r="J168" s="46">
        <f>'Inputs (2)'!E25</f>
        <v>12719</v>
      </c>
      <c r="K168" s="46">
        <f>'Inputs (2)'!F25</f>
        <v>11374</v>
      </c>
      <c r="L168" s="46">
        <f>'Inputs (2)'!G25</f>
        <v>10244</v>
      </c>
      <c r="M168" s="12">
        <f>'Inputs (2)'!H25</f>
        <v>10244</v>
      </c>
      <c r="N168" s="46">
        <f>'Inputs (2)'!I25</f>
        <v>9241</v>
      </c>
      <c r="O168" s="46">
        <f>'Inputs (2)'!J25</f>
        <v>8174</v>
      </c>
      <c r="P168" s="46">
        <f>'Inputs (2)'!K25</f>
        <v>7111</v>
      </c>
      <c r="Q168" s="46">
        <f>'Inputs (2)'!L25</f>
        <v>6225</v>
      </c>
      <c r="R168" s="12">
        <f>'Inputs (2)'!M25</f>
        <v>6225</v>
      </c>
      <c r="S168" s="46">
        <f>'Inputs (2)'!N25</f>
        <v>5434</v>
      </c>
      <c r="T168" s="46">
        <f>'Inputs (2)'!O25</f>
        <v>4654</v>
      </c>
      <c r="U168" s="46">
        <f>'Inputs (2)'!P25</f>
        <v>3867</v>
      </c>
      <c r="V168" s="46">
        <f>'Inputs (2)'!Q25</f>
        <v>47185</v>
      </c>
      <c r="W168" s="12">
        <f>'Inputs (2)'!R25</f>
        <v>47185</v>
      </c>
      <c r="X168" s="46">
        <f>'Inputs (2)'!S25</f>
        <v>45407</v>
      </c>
      <c r="Y168" s="46">
        <f>'Inputs (2)'!T25</f>
        <v>43034</v>
      </c>
      <c r="Z168" s="46">
        <f>'Inputs (2)'!U25</f>
        <v>40583</v>
      </c>
      <c r="AA168" s="46">
        <f>'Inputs (2)'!V25</f>
        <v>38583</v>
      </c>
      <c r="AB168" s="12">
        <f>'Inputs (2)'!W25</f>
        <v>38583</v>
      </c>
      <c r="AC168" s="46">
        <f>'Inputs (2)'!X25</f>
        <v>36393</v>
      </c>
      <c r="AD168" s="46">
        <f>'Inputs (2)'!Y25</f>
        <v>34344</v>
      </c>
      <c r="AE168" s="46">
        <f>'Inputs (2)'!Z25</f>
        <v>32273</v>
      </c>
      <c r="AF168" s="46">
        <f>'Inputs (2)'!AA25</f>
        <v>30302</v>
      </c>
      <c r="AG168" s="12">
        <f>'Inputs (2)'!AB25</f>
        <v>30302</v>
      </c>
      <c r="AH168" s="12">
        <f>'Inputs (2)'!AC25</f>
        <v>28333</v>
      </c>
      <c r="AI168" s="12">
        <f>'Inputs (2)'!AD25</f>
        <v>26325</v>
      </c>
      <c r="AJ168" s="12">
        <f>AI168</f>
        <v>26325</v>
      </c>
      <c r="AK168" s="12">
        <f>AJ168</f>
        <v>26325</v>
      </c>
      <c r="AL168" s="12">
        <f>AK168</f>
        <v>26325</v>
      </c>
      <c r="AM168" s="16">
        <f>AL168</f>
        <v>26325</v>
      </c>
      <c r="AN168" s="12">
        <f>AM168</f>
        <v>26325</v>
      </c>
      <c r="AO168" s="12">
        <f>AN168</f>
        <v>26325</v>
      </c>
      <c r="AP168" s="12">
        <f>AO168</f>
        <v>26325</v>
      </c>
      <c r="AQ168" s="12">
        <f>AP168</f>
        <v>26325</v>
      </c>
      <c r="AR168" s="16">
        <f>AQ168</f>
        <v>26325</v>
      </c>
      <c r="AS168" s="12">
        <f>AR168</f>
        <v>26325</v>
      </c>
      <c r="AT168" s="12">
        <f>AS168</f>
        <v>26325</v>
      </c>
      <c r="AU168" s="12">
        <f>AT168</f>
        <v>26325</v>
      </c>
      <c r="AV168" s="12">
        <f>AU168</f>
        <v>26325</v>
      </c>
      <c r="AW168" s="16">
        <f>AV168</f>
        <v>26325</v>
      </c>
      <c r="AX168" s="12">
        <f>AW168</f>
        <v>26325</v>
      </c>
      <c r="AY168" s="12">
        <f>AX168</f>
        <v>26325</v>
      </c>
      <c r="AZ168" s="12">
        <f>AY168</f>
        <v>26325</v>
      </c>
      <c r="BA168" s="12">
        <f>AZ168</f>
        <v>26325</v>
      </c>
      <c r="BB168" s="16">
        <f>BA168</f>
        <v>26325</v>
      </c>
      <c r="BC168" s="12">
        <f>BB168</f>
        <v>26325</v>
      </c>
      <c r="BD168" s="12">
        <f>BC168</f>
        <v>26325</v>
      </c>
      <c r="BE168" s="12">
        <f>BD168</f>
        <v>26325</v>
      </c>
      <c r="BF168" s="12">
        <f>BE168</f>
        <v>26325</v>
      </c>
      <c r="BH168" s="12" t="n"/>
      <c r="BI168" s="12" t="n"/>
      <c r="BJ168" s="12" t="n"/>
      <c r="BK168" s="12" t="n"/>
      <c r="BM168" s="12" t="n"/>
      <c r="BN168" s="12" t="n"/>
      <c r="BO168" s="12" t="n"/>
      <c r="BP168" s="12" t="n"/>
      <c r="BR168" s="12" t="n"/>
      <c r="BS168" s="12" t="n"/>
      <c r="BT168" s="12" t="n"/>
      <c r="BU168" s="12" t="n"/>
      <c r="BW168" s="12" t="n"/>
      <c r="BX168" s="12" t="n"/>
      <c r="BY168" s="12" t="n"/>
      <c r="BZ168" s="12" t="n"/>
      <c r="CB168" s="12" t="n"/>
      <c r="CC168" s="12" t="n"/>
      <c r="CD168" s="12" t="n"/>
      <c r="CE168" s="12" t="n"/>
      <c r="CG168" s="12" t="n"/>
      <c r="CH168" s="12" t="n"/>
      <c r="CI168" s="12" t="n"/>
      <c r="CJ168" s="12" t="n"/>
      <c r="CL168" s="12" t="n"/>
      <c r="CM168" s="12" t="n"/>
      <c r="CN168" s="12" t="n"/>
      <c r="CO168" s="12" t="n"/>
      <c r="CQ168" s="12" t="n"/>
      <c r="CR168" s="12" t="n"/>
      <c r="CS168" s="12" t="n"/>
      <c r="CT168" s="12" t="n"/>
      <c r="CV168" s="12" t="n"/>
      <c r="CW168" s="12" t="n"/>
      <c r="CX168" s="12" t="n"/>
      <c r="CY168" s="12" t="n"/>
    </row>
    <row r="169" hidden="1" outlineLevel="1">
      <c r="C169" s="57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inlineStr">
        <is>
          <t>Purchase of intangible assets</t>
        </is>
      </c>
      <c r="D170" s="12" t="n"/>
      <c r="E170" s="12" t="n"/>
      <c r="F170" s="12" t="n"/>
      <c r="G170" s="12" t="n"/>
      <c r="H170" s="12" t="n"/>
      <c r="I170" s="12" t="str">
        <f>IF(COUNT(H168)=0,"",I168-H168-I72)</f>
        <v/>
      </c>
      <c r="J170" s="12">
        <f>J168-I168-J72</f>
        <v>-1349</v>
      </c>
      <c r="K170" s="12">
        <f>K168-J168-K72</f>
        <v>-1345</v>
      </c>
      <c r="L170" s="12">
        <f>L168-K168-L72</f>
        <v>-1130</v>
      </c>
      <c r="M170" s="12" t="n"/>
      <c r="N170" s="12">
        <f>N168-M168-N72</f>
        <v>-1003</v>
      </c>
      <c r="O170" s="12">
        <f>O168-N168-O72</f>
        <v>-1067</v>
      </c>
      <c r="P170" s="12">
        <f>P168-O168-P72</f>
        <v>-1063</v>
      </c>
      <c r="Q170" s="12">
        <f>Q168-P168-Q72</f>
        <v>-886</v>
      </c>
      <c r="R170" s="12" t="n"/>
      <c r="S170" s="12">
        <f>S168-R168-S72</f>
        <v>-791</v>
      </c>
      <c r="T170" s="12">
        <f>T168-S168-T72</f>
        <v>-780</v>
      </c>
      <c r="U170" s="12">
        <f>U168-T168-U72</f>
        <v>-787</v>
      </c>
      <c r="V170" s="12">
        <f>V168-U168-V72</f>
        <v>43318</v>
      </c>
      <c r="W170" s="12" t="n"/>
      <c r="X170" s="12">
        <f>X168-W168-X72</f>
        <v>-1778</v>
      </c>
      <c r="Y170" s="12">
        <f>Y168-X168-Y72</f>
        <v>-2373</v>
      </c>
      <c r="Z170" s="12">
        <f>Z168-Y168-Z72</f>
        <v>-2451</v>
      </c>
      <c r="AA170" s="12">
        <f>AA168-Z168-AA72</f>
        <v>-2000</v>
      </c>
      <c r="AB170" s="12" t="n"/>
      <c r="AC170" s="12">
        <f>AC168-AB168-AC72</f>
        <v>-2190</v>
      </c>
      <c r="AD170" s="12">
        <f>AD168-AC168-AD72</f>
        <v>-2049</v>
      </c>
      <c r="AE170" s="12">
        <f>AE168-AD168-AE72</f>
        <v>-2071</v>
      </c>
      <c r="AF170" s="12">
        <f>AF168-AE168-AF72</f>
        <v>-1971</v>
      </c>
      <c r="AG170" s="12" t="n"/>
      <c r="AH170" s="11">
        <f>AH168-AG168-AH72</f>
        <v>-1969</v>
      </c>
      <c r="AI170" s="11">
        <f>AI168-AH168-AI72</f>
        <v>-2008</v>
      </c>
      <c r="AJ170" s="11" t="n"/>
      <c r="AK170" s="11" t="n"/>
      <c r="AL170" s="12" t="n"/>
      <c r="AM170" s="11" t="n"/>
      <c r="AN170" s="11" t="n"/>
      <c r="AO170" s="11" t="n"/>
      <c r="AP170" s="11" t="n"/>
      <c r="AQ170" s="12" t="n"/>
      <c r="AR170" s="11" t="n"/>
      <c r="AS170" s="11" t="n"/>
      <c r="AT170" s="11" t="n"/>
      <c r="AU170" s="11" t="n"/>
      <c r="AV170" s="12" t="n"/>
      <c r="AW170" s="11" t="n"/>
      <c r="AX170" s="11" t="n"/>
      <c r="AY170" s="11" t="n"/>
      <c r="AZ170" s="11" t="n"/>
      <c r="BA170" s="12" t="n"/>
      <c r="BB170" s="11" t="n"/>
      <c r="BC170" s="11" t="n"/>
      <c r="BD170" s="11" t="n"/>
      <c r="BE170" s="11" t="n"/>
      <c r="BF170" s="12" t="n"/>
      <c r="BG170" s="11" t="n"/>
      <c r="BH170" s="11" t="n"/>
      <c r="BI170" s="11" t="n"/>
      <c r="BJ170" s="11" t="n"/>
      <c r="BK170" s="12" t="n"/>
      <c r="BL170" s="11" t="n"/>
      <c r="BM170" s="11" t="n"/>
      <c r="BN170" s="11" t="n"/>
      <c r="BO170" s="11" t="n"/>
      <c r="BP170" s="12" t="n"/>
      <c r="BQ170" s="11" t="n"/>
      <c r="BR170" s="11" t="n"/>
      <c r="BS170" s="11" t="n"/>
      <c r="BT170" s="11" t="n"/>
      <c r="BU170" s="12" t="n"/>
      <c r="BV170" s="11" t="n"/>
      <c r="BW170" s="11" t="n"/>
      <c r="BX170" s="11" t="n"/>
      <c r="BY170" s="11" t="n"/>
      <c r="BZ170" s="12" t="n"/>
      <c r="CA170" s="11" t="n"/>
      <c r="CB170" s="11" t="n"/>
      <c r="CC170" s="11" t="n"/>
      <c r="CD170" s="11" t="n"/>
      <c r="CE170" s="12" t="n"/>
      <c r="CF170" s="11" t="n"/>
      <c r="CG170" s="11" t="n"/>
      <c r="CH170" s="11" t="n"/>
      <c r="CI170" s="11" t="n"/>
      <c r="CJ170" s="12" t="n"/>
      <c r="CK170" s="11" t="n"/>
      <c r="CL170" s="11" t="n"/>
      <c r="CM170" s="11" t="n"/>
      <c r="CN170" s="11" t="n"/>
      <c r="CO170" s="12" t="n"/>
      <c r="CP170" s="11" t="n"/>
      <c r="CQ170" s="11" t="n"/>
      <c r="CR170" s="11" t="n"/>
      <c r="CS170" s="11" t="n"/>
      <c r="CT170" s="12" t="n"/>
      <c r="CU170" s="11" t="n"/>
      <c r="CV170" s="11" t="n"/>
      <c r="CW170" s="11" t="n"/>
      <c r="CX170" s="11" t="n"/>
      <c r="CY170" s="12" t="n"/>
    </row>
    <row r="171" hidden="1" outlineLevel="1">
      <c r="C171" s="57" t="inlineStr">
        <is>
          <t>Amortization (enter as -)</t>
        </is>
      </c>
      <c r="D171" s="12" t="n"/>
      <c r="E171" s="12" t="n"/>
      <c r="F171" s="12" t="n"/>
      <c r="G171" s="12" t="n"/>
      <c r="H171" s="12" t="n"/>
      <c r="I171" s="12">
        <f>I71</f>
        <v>0</v>
      </c>
      <c r="J171" s="12">
        <f>J71</f>
        <v>0</v>
      </c>
      <c r="K171" s="12">
        <f>K71</f>
        <v>0</v>
      </c>
      <c r="L171" s="12">
        <f>L71</f>
        <v>0</v>
      </c>
      <c r="M171" s="12" t="n"/>
      <c r="N171" s="12">
        <f>N71</f>
        <v>0</v>
      </c>
      <c r="O171" s="12">
        <f>O71</f>
        <v>0</v>
      </c>
      <c r="P171" s="12">
        <f>P71</f>
        <v>0</v>
      </c>
      <c r="Q171" s="12">
        <f>Q71</f>
        <v>0</v>
      </c>
      <c r="R171" s="12" t="n"/>
      <c r="S171" s="12">
        <f>S71</f>
        <v>0</v>
      </c>
      <c r="T171" s="12">
        <f>T71</f>
        <v>0</v>
      </c>
      <c r="U171" s="12">
        <f>U71</f>
        <v>0</v>
      </c>
      <c r="V171" s="12">
        <f>V71</f>
        <v>0</v>
      </c>
      <c r="W171" s="12" t="n"/>
      <c r="X171" s="12">
        <f>X71</f>
        <v>0</v>
      </c>
      <c r="Y171" s="12">
        <f>Y71</f>
        <v>0</v>
      </c>
      <c r="Z171" s="12">
        <f>Z71</f>
        <v>0</v>
      </c>
      <c r="AA171" s="12">
        <f>AA71</f>
        <v>0</v>
      </c>
      <c r="AB171" s="12" t="n"/>
      <c r="AC171" s="12">
        <f>AC71</f>
        <v>0</v>
      </c>
      <c r="AD171" s="12">
        <f>AD71</f>
        <v>0</v>
      </c>
      <c r="AE171" s="12">
        <f>AE71</f>
        <v>0</v>
      </c>
      <c r="AF171" s="12">
        <f>AF71</f>
        <v>0</v>
      </c>
      <c r="AG171" s="12" t="n"/>
      <c r="AH171" s="12">
        <f>AH71</f>
        <v>0</v>
      </c>
      <c r="AI171" s="11">
        <f>AI71</f>
        <v>0</v>
      </c>
      <c r="AJ171" s="11" t="n"/>
      <c r="AK171" s="11" t="n"/>
      <c r="AL171" s="12" t="n"/>
      <c r="AM171" s="11" t="n"/>
      <c r="AN171" s="11" t="n"/>
      <c r="AO171" s="11" t="n"/>
      <c r="AP171" s="11" t="n"/>
      <c r="AQ171" s="12" t="n"/>
      <c r="AR171" s="11" t="n"/>
      <c r="AS171" s="11" t="n"/>
      <c r="AT171" s="11" t="n"/>
      <c r="AU171" s="11" t="n"/>
      <c r="AV171" s="12" t="n"/>
      <c r="AW171" s="11" t="n"/>
      <c r="AX171" s="11" t="n"/>
      <c r="AY171" s="11" t="n"/>
      <c r="AZ171" s="11" t="n"/>
      <c r="BA171" s="12" t="n"/>
      <c r="BB171" s="11" t="n"/>
      <c r="BC171" s="11" t="n"/>
      <c r="BD171" s="11" t="n"/>
      <c r="BE171" s="11" t="n"/>
      <c r="BF171" s="12" t="n"/>
      <c r="BG171" s="11" t="n"/>
      <c r="BH171" s="11" t="n"/>
      <c r="BI171" s="11" t="n"/>
      <c r="BJ171" s="11" t="n"/>
      <c r="BK171" s="12" t="n"/>
      <c r="BL171" s="11" t="n"/>
      <c r="BM171" s="11" t="n"/>
      <c r="BN171" s="11" t="n"/>
      <c r="BO171" s="11" t="n"/>
      <c r="BP171" s="12" t="n"/>
      <c r="BQ171" s="11" t="n"/>
      <c r="BR171" s="11" t="n"/>
      <c r="BS171" s="11" t="n"/>
      <c r="BT171" s="11" t="n"/>
      <c r="BU171" s="12" t="n"/>
      <c r="BV171" s="11" t="n"/>
      <c r="BW171" s="11" t="n"/>
      <c r="BX171" s="11" t="n"/>
      <c r="BY171" s="11" t="n"/>
      <c r="BZ171" s="12" t="n"/>
      <c r="CA171" s="11" t="n"/>
      <c r="CB171" s="11" t="n"/>
      <c r="CC171" s="11" t="n"/>
      <c r="CD171" s="11" t="n"/>
      <c r="CE171" s="12" t="n"/>
      <c r="CF171" s="11" t="n"/>
      <c r="CG171" s="11" t="n"/>
      <c r="CH171" s="11" t="n"/>
      <c r="CI171" s="11" t="n"/>
      <c r="CJ171" s="12" t="n"/>
      <c r="CK171" s="11" t="n"/>
      <c r="CL171" s="11" t="n"/>
      <c r="CM171" s="11" t="n"/>
      <c r="CN171" s="11" t="n"/>
      <c r="CO171" s="12" t="n"/>
      <c r="CP171" s="11" t="n"/>
      <c r="CQ171" s="11" t="n"/>
      <c r="CR171" s="11" t="n"/>
      <c r="CS171" s="11" t="n"/>
      <c r="CT171" s="12" t="n"/>
      <c r="CU171" s="11" t="n"/>
      <c r="CV171" s="11" t="n"/>
      <c r="CW171" s="11" t="n"/>
      <c r="CX171" s="11" t="n"/>
      <c r="CY171" s="12" t="n"/>
    </row>
    <row r="172" hidden="1" outlineLevel="1">
      <c r="C172" s="57" t="inlineStr">
        <is>
          <t>Intangibles</t>
        </is>
      </c>
      <c r="D172" s="12" t="n"/>
      <c r="E172" s="12" t="n"/>
      <c r="F172" s="12" t="n"/>
      <c r="G172" s="12" t="n"/>
      <c r="H172" s="12" t="n"/>
      <c r="I172" s="12">
        <f>I168</f>
        <v>14068</v>
      </c>
      <c r="J172" s="12">
        <f>J168</f>
        <v>12719</v>
      </c>
      <c r="K172" s="12">
        <f>K168</f>
        <v>11374</v>
      </c>
      <c r="L172" s="12">
        <f>L168</f>
        <v>10244</v>
      </c>
      <c r="M172" s="12">
        <f>M168</f>
        <v>10244</v>
      </c>
      <c r="N172" s="12">
        <f>N168</f>
        <v>9241</v>
      </c>
      <c r="O172" s="12">
        <f>O168</f>
        <v>8174</v>
      </c>
      <c r="P172" s="12">
        <f>P168</f>
        <v>7111</v>
      </c>
      <c r="Q172" s="12">
        <f>Q168</f>
        <v>6225</v>
      </c>
      <c r="R172" s="12">
        <f>R168</f>
        <v>6225</v>
      </c>
      <c r="S172" s="12">
        <f>S168</f>
        <v>5434</v>
      </c>
      <c r="T172" s="12">
        <f>T168</f>
        <v>4654</v>
      </c>
      <c r="U172" s="12">
        <f>U168</f>
        <v>3867</v>
      </c>
      <c r="V172" s="12">
        <f>V168</f>
        <v>47185</v>
      </c>
      <c r="W172" s="12">
        <f>W168</f>
        <v>47185</v>
      </c>
      <c r="X172" s="12">
        <f>X168</f>
        <v>45407</v>
      </c>
      <c r="Y172" s="12">
        <f>Y168</f>
        <v>43034</v>
      </c>
      <c r="Z172" s="12">
        <f>Z168</f>
        <v>40583</v>
      </c>
      <c r="AA172" s="12">
        <f>AA168</f>
        <v>38583</v>
      </c>
      <c r="AB172" s="12">
        <f>AB168</f>
        <v>38583</v>
      </c>
      <c r="AC172" s="12">
        <f>AC168</f>
        <v>36393</v>
      </c>
      <c r="AD172" s="12">
        <f>AD168</f>
        <v>34344</v>
      </c>
      <c r="AE172" s="12">
        <f>AE168</f>
        <v>32273</v>
      </c>
      <c r="AF172" s="12">
        <f>AF168</f>
        <v>30302</v>
      </c>
      <c r="AG172" s="12">
        <f>AG168</f>
        <v>30302</v>
      </c>
      <c r="AH172" s="12">
        <f>AH168</f>
        <v>28333</v>
      </c>
      <c r="AI172" s="12">
        <f>AI168</f>
        <v>26325</v>
      </c>
      <c r="AJ172" s="12">
        <f>AJ168</f>
        <v>26325</v>
      </c>
      <c r="AK172" s="12">
        <f>AK168</f>
        <v>26325</v>
      </c>
      <c r="AL172" s="12" t="n"/>
      <c r="AM172" s="12">
        <f>AM168</f>
        <v>26325</v>
      </c>
      <c r="AN172" s="12">
        <f>AN168</f>
        <v>26325</v>
      </c>
      <c r="AO172" s="12">
        <f>AO168</f>
        <v>26325</v>
      </c>
      <c r="AP172" s="12">
        <f>AP168</f>
        <v>26325</v>
      </c>
      <c r="AQ172" s="12" t="n"/>
      <c r="AR172" s="12">
        <f>AR168</f>
        <v>26325</v>
      </c>
      <c r="AS172" s="12">
        <f>AS168</f>
        <v>26325</v>
      </c>
      <c r="AT172" s="12">
        <f>AT168</f>
        <v>26325</v>
      </c>
      <c r="AU172" s="12">
        <f>AU168</f>
        <v>26325</v>
      </c>
      <c r="AV172" s="12" t="n"/>
      <c r="AW172" s="12">
        <f>AW168</f>
        <v>26325</v>
      </c>
      <c r="AX172" s="12">
        <f>AX168</f>
        <v>26325</v>
      </c>
      <c r="AY172" s="12">
        <f>AY168</f>
        <v>26325</v>
      </c>
      <c r="AZ172" s="12">
        <f>AZ168</f>
        <v>26325</v>
      </c>
      <c r="BA172" s="12" t="n"/>
      <c r="BB172" s="12">
        <f>BB168</f>
        <v>26325</v>
      </c>
      <c r="BC172" s="12">
        <f>BC168</f>
        <v>26325</v>
      </c>
      <c r="BD172" s="12">
        <f>BD168</f>
        <v>26325</v>
      </c>
      <c r="BE172" s="12">
        <f>BE168</f>
        <v>26325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inlineStr">
        <is>
          <t>Definir % do D&amp;A No PPE and Intagibles</t>
        </is>
      </c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hidden="1" outlineLevel="1">
      <c r="C176" s="57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collapsed="1">
      <c r="C177" s="14" t="inlineStr">
        <is>
          <t>Other non-current assets</t>
        </is>
      </c>
      <c r="D177" s="46" t="n"/>
      <c r="E177" s="46" t="n"/>
      <c r="F177" s="46" t="n"/>
      <c r="G177" s="46" t="n"/>
      <c r="H177" s="12" t="n"/>
      <c r="I177" s="46">
        <f>'Inputs (2)'!D26</f>
        <v>1338</v>
      </c>
      <c r="J177" s="46">
        <f>'Inputs (2)'!E26</f>
        <v>1698</v>
      </c>
      <c r="K177" s="46">
        <f>'Inputs (2)'!F26</f>
        <v>1812</v>
      </c>
      <c r="L177" s="46">
        <f>'Inputs (2)'!G26</f>
        <v>1886</v>
      </c>
      <c r="M177" s="12">
        <f>'Inputs (2)'!H26</f>
        <v>1886</v>
      </c>
      <c r="N177" s="46">
        <f>'Inputs (2)'!I26</f>
        <v>1803</v>
      </c>
      <c r="O177" s="46">
        <f>'Inputs (2)'!J26</f>
        <v>1733</v>
      </c>
      <c r="P177" s="46">
        <f>'Inputs (2)'!K26</f>
        <v>1797</v>
      </c>
      <c r="Q177" s="46">
        <f>'Inputs (2)'!L26</f>
        <v>2100</v>
      </c>
      <c r="R177" s="12">
        <f>'Inputs (2)'!M26</f>
        <v>2100</v>
      </c>
      <c r="S177" s="46">
        <f>'Inputs (2)'!N26</f>
        <v>2539</v>
      </c>
      <c r="T177" s="46">
        <f>'Inputs (2)'!O26</f>
        <v>2809</v>
      </c>
      <c r="U177" s="46">
        <f>'Inputs (2)'!P26</f>
        <v>2340</v>
      </c>
      <c r="V177" s="46">
        <f>'Inputs (2)'!Q26</f>
        <v>3245</v>
      </c>
      <c r="W177" s="12">
        <f>'Inputs (2)'!R26</f>
        <v>3245</v>
      </c>
      <c r="X177" s="46">
        <f>'Inputs (2)'!S26</f>
        <v>3961</v>
      </c>
      <c r="Y177" s="46">
        <f>'Inputs (2)'!T26</f>
        <v>4510</v>
      </c>
      <c r="Z177" s="46">
        <f>'Inputs (2)'!U26</f>
        <v>5073</v>
      </c>
      <c r="AA177" s="46">
        <f>'Inputs (2)'!V26</f>
        <v>5449</v>
      </c>
      <c r="AB177" s="12">
        <f>'Inputs (2)'!W26</f>
        <v>5449</v>
      </c>
      <c r="AC177" s="46">
        <f>'Inputs (2)'!X26</f>
        <v>5793</v>
      </c>
      <c r="AD177" s="46">
        <f>'Inputs (2)'!Y26</f>
        <v>6027</v>
      </c>
      <c r="AE177" s="46">
        <f>'Inputs (2)'!Z26</f>
        <v>6915</v>
      </c>
      <c r="AF177" s="46">
        <f>'Inputs (2)'!AA26</f>
        <v>7139</v>
      </c>
      <c r="AG177" s="12">
        <f>'Inputs (2)'!AB26</f>
        <v>7139</v>
      </c>
      <c r="AH177" s="12">
        <f>'Inputs (2)'!AC26</f>
        <v>8023</v>
      </c>
      <c r="AI177" s="12">
        <f>'Inputs (2)'!AD26</f>
        <v>8705</v>
      </c>
      <c r="AJ177" s="12">
        <f>AI177</f>
        <v>8705</v>
      </c>
      <c r="AK177" s="12">
        <f>AJ177</f>
        <v>8705</v>
      </c>
      <c r="AL177" s="12">
        <f>AK177</f>
        <v>8705</v>
      </c>
      <c r="AM177" s="12">
        <f>AL177</f>
        <v>8705</v>
      </c>
      <c r="AN177" s="12">
        <f>AM177</f>
        <v>8705</v>
      </c>
      <c r="AO177" s="12">
        <f>AN177</f>
        <v>8705</v>
      </c>
      <c r="AP177" s="12">
        <f>AO177</f>
        <v>8705</v>
      </c>
      <c r="AQ177" s="12">
        <f>AP177</f>
        <v>8705</v>
      </c>
      <c r="AR177" s="12">
        <f>AQ177</f>
        <v>8705</v>
      </c>
      <c r="AS177" s="12">
        <f>AR177</f>
        <v>8705</v>
      </c>
      <c r="AT177" s="12">
        <f>AS177</f>
        <v>8705</v>
      </c>
      <c r="AU177" s="12">
        <f>AT177</f>
        <v>8705</v>
      </c>
      <c r="AV177" s="12">
        <f>AU177</f>
        <v>8705</v>
      </c>
      <c r="AW177" s="12">
        <f>AV177</f>
        <v>8705</v>
      </c>
      <c r="AX177" s="12">
        <f>AW177</f>
        <v>8705</v>
      </c>
      <c r="AY177" s="12">
        <f>AX177</f>
        <v>8705</v>
      </c>
      <c r="AZ177" s="12">
        <f>AY177</f>
        <v>8705</v>
      </c>
      <c r="BA177" s="12">
        <f>AZ177</f>
        <v>8705</v>
      </c>
      <c r="BB177" s="12">
        <f>BA177</f>
        <v>8705</v>
      </c>
      <c r="BC177" s="12">
        <f>BB177</f>
        <v>8705</v>
      </c>
      <c r="BD177" s="12">
        <f>BC177</f>
        <v>8705</v>
      </c>
      <c r="BE177" s="12">
        <f>BD177</f>
        <v>8705</v>
      </c>
      <c r="BF177" s="12">
        <f>BE177</f>
        <v>8705</v>
      </c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hidden="1" outlineLevel="1">
      <c r="C178" s="59" t="inlineStr">
        <is>
          <t>%(Var.)</t>
        </is>
      </c>
      <c r="D178" s="12" t="n"/>
      <c r="E178" s="40" t="n"/>
      <c r="F178" s="40" t="n"/>
      <c r="G178" s="40" t="n"/>
      <c r="H178" s="12" t="n"/>
      <c r="I178" s="40" t="str">
        <f>""</f>
        <v/>
      </c>
      <c r="J178" s="40">
        <f>IF(I177=0,"",J177/I177-1)</f>
        <v>0.269058295964126</v>
      </c>
      <c r="K178" s="40">
        <f>IF(J177=0,"",K177/J177-1)</f>
        <v>0.0671378091872792</v>
      </c>
      <c r="L178" s="40">
        <f>IF(K177=0,"",L177/K177-1)</f>
        <v>0.0408388520971303</v>
      </c>
      <c r="M178" s="12">
        <f>IF(L177=0,"",M177/L177-1)</f>
        <v>0</v>
      </c>
      <c r="N178" s="40">
        <f>IF(M177=0,"",N177/M177-1)</f>
        <v>-0.0440084835630965</v>
      </c>
      <c r="O178" s="40">
        <f>IF(N177=0,"",O177/N177-1)</f>
        <v>-0.0388241819190238</v>
      </c>
      <c r="P178" s="40">
        <f>IF(O177=0,"",P177/O177-1)</f>
        <v>0.0369301788805541</v>
      </c>
      <c r="Q178" s="40">
        <f>IF(P177=0,"",Q177/P177-1)</f>
        <v>0.168614357262104</v>
      </c>
      <c r="R178" s="12">
        <f>IF(Q177=0,"",R177/Q177-1)</f>
        <v>0</v>
      </c>
      <c r="S178" s="40">
        <f>IF(R177=0,"",S177/R177-1)</f>
        <v>0.209047619047619</v>
      </c>
      <c r="T178" s="40">
        <f>IF(S177=0,"",T177/S177-1)</f>
        <v>0.106341079165026</v>
      </c>
      <c r="U178" s="40">
        <f>IF(T177=0,"",U177/T177-1)</f>
        <v>-0.166963332146671</v>
      </c>
      <c r="V178" s="40">
        <f>IF(U177=0,"",V177/U177-1)</f>
        <v>0.386752136752137</v>
      </c>
      <c r="W178" s="12">
        <f>IF(V177=0,"",W177/V177-1)</f>
        <v>0</v>
      </c>
      <c r="X178" s="40">
        <f>IF(W177=0,"",X177/W177-1)</f>
        <v>0.220647149460709</v>
      </c>
      <c r="Y178" s="40">
        <f>IF(X177=0,"",Y177/X177-1)</f>
        <v>0.138601363292098</v>
      </c>
      <c r="Z178" s="40">
        <f>IF(Y177=0,"",Z177/Y177-1)</f>
        <v>0.124833702882483</v>
      </c>
      <c r="AA178" s="40">
        <f>IF(Z177=0,"",AA177/Z177-1)</f>
        <v>0.0741178789670807</v>
      </c>
      <c r="AB178" s="12">
        <f>IF(AA177=0,"",AB177/AA177-1)</f>
        <v>0</v>
      </c>
      <c r="AC178" s="40">
        <f>IF(AB177=0,"",AC177/AB177-1)</f>
        <v>0.0631308496971921</v>
      </c>
      <c r="AD178" s="40">
        <f>IF(AC177=0,"",AD177/AC177-1)</f>
        <v>0.0403935784567582</v>
      </c>
      <c r="AE178" s="40">
        <f>IF(AD177=0,"",AE177/AD177-1)</f>
        <v>0.147336983573917</v>
      </c>
      <c r="AF178" s="55">
        <f>IF(AE177=0,"",AF177/AE177-1)</f>
        <v>0.0323933477946494</v>
      </c>
      <c r="AG178" s="12">
        <f>IF(AF177=0,"",AG177/AF177-1)</f>
        <v>0</v>
      </c>
      <c r="AH178" s="55">
        <f>IF(AG177=0,"",AH177/AG177-1)</f>
        <v>0.123826866507914</v>
      </c>
      <c r="AI178" s="55">
        <f>IF(AH177=0,"",AI177/AH177-1)</f>
        <v>0.0850056088744859</v>
      </c>
      <c r="AJ178" s="55">
        <f>IF(AI177=0,"",AJ177/AI177-1)</f>
        <v>0</v>
      </c>
      <c r="AK178" s="55">
        <f>IF(AJ177=0,"",AK177/AJ177-1)</f>
        <v>0</v>
      </c>
      <c r="AL178" s="12">
        <f>IF(AK177=0,"",AL177/AK177-1)</f>
        <v>0</v>
      </c>
      <c r="AM178" s="55">
        <f>IF(AL177=0,"",AM177/AL177-1)</f>
        <v>0</v>
      </c>
      <c r="AN178" s="55">
        <f>IF(AM177=0,"",AN177/AM177-1)</f>
        <v>0</v>
      </c>
      <c r="AO178" s="55">
        <f>IF(AN177=0,"",AO177/AN177-1)</f>
        <v>0</v>
      </c>
      <c r="AP178" s="55">
        <f>IF(AO177=0,"",AP177/AO177-1)</f>
        <v>0</v>
      </c>
      <c r="AQ178" s="12">
        <f>IF(AP177=0,"",AQ177/AP177-1)</f>
        <v>0</v>
      </c>
      <c r="AR178" s="55">
        <f>IF(AQ177=0,"",AR177/AQ177-1)</f>
        <v>0</v>
      </c>
      <c r="AS178" s="55">
        <f>IF(AR177=0,"",AS177/AR177-1)</f>
        <v>0</v>
      </c>
      <c r="AT178" s="55">
        <f>IF(AS177=0,"",AT177/AS177-1)</f>
        <v>0</v>
      </c>
      <c r="AU178" s="55">
        <f>IF(AT177=0,"",AU177/AT177-1)</f>
        <v>0</v>
      </c>
      <c r="AV178" s="12">
        <f>IF(AU177=0,"",AV177/AU177-1)</f>
        <v>0</v>
      </c>
      <c r="AW178" s="55">
        <f>IF(AV177=0,"",AW177/AV177-1)</f>
        <v>0</v>
      </c>
      <c r="AX178" s="55">
        <f>IF(AW177=0,"",AX177/AW177-1)</f>
        <v>0</v>
      </c>
      <c r="AY178" s="55">
        <f>IF(AX177=0,"",AY177/AX177-1)</f>
        <v>0</v>
      </c>
      <c r="AZ178" s="55">
        <f>IF(AY177=0,"",AZ177/AY177-1)</f>
        <v>0</v>
      </c>
      <c r="BA178" s="12">
        <f>IF(AZ177=0,"",BA177/AZ177-1)</f>
        <v>0</v>
      </c>
      <c r="BB178" s="55">
        <f>IF(BA177=0,"",BB177/BA177-1)</f>
        <v>0</v>
      </c>
      <c r="BC178" s="55">
        <f>IF(BB177=0,"",BC177/BB177-1)</f>
        <v>0</v>
      </c>
      <c r="BD178" s="55">
        <f>IF(BC177=0,"",BD177/BC177-1)</f>
        <v>0</v>
      </c>
      <c r="BE178" s="55">
        <f>IF(BD177=0,"",BE177/BD177-1)</f>
        <v>0</v>
      </c>
      <c r="BF178" s="12">
        <f>IF(BE177=0,"",BF177/BE177-1)</f>
        <v>0</v>
      </c>
      <c r="BG178" s="55" t="n"/>
      <c r="BH178" s="55" t="n"/>
      <c r="BI178" s="55" t="n"/>
      <c r="BJ178" s="55" t="n"/>
      <c r="BK178" s="12" t="n"/>
      <c r="BL178" s="55" t="n"/>
      <c r="BM178" s="55" t="n"/>
      <c r="BN178" s="55" t="n"/>
      <c r="BO178" s="55" t="n"/>
      <c r="BP178" s="12" t="n"/>
      <c r="BQ178" s="55" t="n"/>
      <c r="BR178" s="55" t="n"/>
      <c r="BS178" s="55" t="n"/>
      <c r="BT178" s="55" t="n"/>
      <c r="BU178" s="12" t="n"/>
      <c r="BV178" s="55" t="n"/>
      <c r="BW178" s="55" t="n"/>
      <c r="BX178" s="55" t="n"/>
      <c r="BY178" s="55" t="n"/>
      <c r="BZ178" s="12" t="n"/>
      <c r="CA178" s="55" t="n"/>
      <c r="CB178" s="55" t="n"/>
      <c r="CC178" s="55" t="n"/>
      <c r="CD178" s="55" t="n"/>
      <c r="CE178" s="12" t="n"/>
      <c r="CF178" s="55" t="n"/>
      <c r="CG178" s="55" t="n"/>
      <c r="CH178" s="55" t="n"/>
      <c r="CI178" s="55" t="n"/>
      <c r="CJ178" s="12" t="n"/>
      <c r="CK178" s="55" t="n"/>
      <c r="CL178" s="55" t="n"/>
      <c r="CM178" s="55" t="n"/>
      <c r="CN178" s="55" t="n"/>
      <c r="CO178" s="12" t="n"/>
      <c r="CP178" s="55" t="n"/>
      <c r="CQ178" s="55" t="n"/>
      <c r="CR178" s="55" t="n"/>
      <c r="CS178" s="55" t="n"/>
      <c r="CT178" s="12" t="n"/>
      <c r="CU178" s="55" t="n"/>
      <c r="CV178" s="55" t="n"/>
      <c r="CW178" s="55" t="n"/>
      <c r="CX178" s="55" t="n"/>
      <c r="CY178" s="12" t="n"/>
    </row>
    <row r="179" hidden="1" outlineLevel="1">
      <c r="C179" s="57" t="n"/>
      <c r="D179" s="12" t="n"/>
      <c r="E179" s="40" t="n"/>
      <c r="F179" s="40" t="n"/>
      <c r="G179" s="40" t="n"/>
      <c r="H179" s="12" t="n"/>
      <c r="I179" s="40" t="n"/>
      <c r="J179" s="40" t="n"/>
      <c r="K179" s="40" t="n"/>
      <c r="L179" s="40" t="n"/>
      <c r="M179" s="12" t="n"/>
      <c r="N179" s="40" t="n"/>
      <c r="O179" s="40" t="n"/>
      <c r="P179" s="40" t="n"/>
      <c r="Q179" s="40" t="n"/>
      <c r="R179" s="12" t="n"/>
      <c r="S179" s="40" t="n"/>
      <c r="T179" s="40" t="n"/>
      <c r="U179" s="40" t="n"/>
      <c r="V179" s="40" t="n"/>
      <c r="W179" s="12" t="n"/>
      <c r="X179" s="40" t="n"/>
      <c r="Y179" s="40" t="n"/>
      <c r="Z179" s="40" t="n"/>
      <c r="AA179" s="40" t="n"/>
      <c r="AB179" s="12" t="n"/>
      <c r="AC179" s="40" t="n"/>
      <c r="AD179" s="40" t="n"/>
      <c r="AE179" s="40" t="n"/>
      <c r="AF179" s="55" t="n"/>
      <c r="AG179" s="12" t="n"/>
      <c r="AH179" s="55" t="n"/>
      <c r="AI179" s="55" t="n"/>
      <c r="AJ179" s="55" t="n"/>
      <c r="AK179" s="55" t="n"/>
      <c r="AL179" s="12" t="n"/>
      <c r="AM179" s="55" t="n"/>
      <c r="AN179" s="55" t="n"/>
      <c r="AO179" s="55" t="n"/>
      <c r="AP179" s="55" t="n"/>
      <c r="AQ179" s="12" t="n"/>
      <c r="AR179" s="55" t="n"/>
      <c r="AS179" s="55" t="n"/>
      <c r="AT179" s="55" t="n"/>
      <c r="AU179" s="55" t="n"/>
      <c r="AV179" s="12" t="n"/>
      <c r="AW179" s="55" t="n"/>
      <c r="AX179" s="55" t="n"/>
      <c r="AY179" s="55" t="n"/>
      <c r="AZ179" s="55" t="n"/>
      <c r="BA179" s="12" t="n"/>
      <c r="BB179" s="55" t="n"/>
      <c r="BC179" s="55" t="n"/>
      <c r="BD179" s="55" t="n"/>
      <c r="BE179" s="55" t="n"/>
      <c r="BF179" s="12" t="n"/>
      <c r="BG179" s="55" t="n"/>
      <c r="BH179" s="55" t="n"/>
      <c r="BI179" s="55" t="n"/>
      <c r="BJ179" s="55" t="n"/>
      <c r="BK179" s="12" t="n"/>
      <c r="BL179" s="55" t="n"/>
      <c r="BM179" s="55" t="n"/>
      <c r="BN179" s="55" t="n"/>
      <c r="BO179" s="55" t="n"/>
      <c r="BP179" s="12" t="n"/>
      <c r="BQ179" s="55" t="n"/>
      <c r="BR179" s="55" t="n"/>
      <c r="BS179" s="55" t="n"/>
      <c r="BT179" s="55" t="n"/>
      <c r="BU179" s="12" t="n"/>
      <c r="BV179" s="55" t="n"/>
      <c r="BW179" s="55" t="n"/>
      <c r="BX179" s="55" t="n"/>
      <c r="BY179" s="55" t="n"/>
      <c r="BZ179" s="12" t="n"/>
      <c r="CA179" s="55" t="n"/>
      <c r="CB179" s="55" t="n"/>
      <c r="CC179" s="55" t="n"/>
      <c r="CD179" s="55" t="n"/>
      <c r="CE179" s="12" t="n"/>
      <c r="CF179" s="55" t="n"/>
      <c r="CG179" s="55" t="n"/>
      <c r="CH179" s="55" t="n"/>
      <c r="CI179" s="55" t="n"/>
      <c r="CJ179" s="12" t="n"/>
      <c r="CK179" s="55" t="n"/>
      <c r="CL179" s="55" t="n"/>
      <c r="CM179" s="55" t="n"/>
      <c r="CN179" s="55" t="n"/>
      <c r="CO179" s="12" t="n"/>
      <c r="CP179" s="55" t="n"/>
      <c r="CQ179" s="55" t="n"/>
      <c r="CR179" s="55" t="n"/>
      <c r="CS179" s="55" t="n"/>
      <c r="CT179" s="12" t="n"/>
      <c r="CU179" s="55" t="n"/>
      <c r="CV179" s="55" t="n"/>
      <c r="CW179" s="55" t="n"/>
      <c r="CX179" s="55" t="n"/>
      <c r="CY179" s="12" t="n"/>
    </row>
    <row r="180" hidden="1" outlineLevel="1">
      <c r="C180" s="60" t="inlineStr">
        <is>
          <t>Outros Créditos - LP</t>
        </is>
      </c>
      <c r="D180" s="11" t="n"/>
      <c r="E180" s="11" t="n"/>
      <c r="F180" s="11" t="n"/>
      <c r="G180" s="11" t="n"/>
      <c r="H180" s="12" t="n"/>
      <c r="I180" s="11" t="n"/>
      <c r="J180" s="11" t="n"/>
      <c r="K180" s="11" t="n"/>
      <c r="L180" s="11" t="n"/>
      <c r="M180" s="12" t="n"/>
      <c r="N180" s="11" t="n"/>
      <c r="O180" s="11" t="n"/>
      <c r="P180" s="11" t="n"/>
      <c r="Q180" s="11" t="n"/>
      <c r="R180" s="12" t="n"/>
      <c r="S180" s="11" t="n"/>
      <c r="T180" s="11" t="n"/>
      <c r="U180" s="11" t="n"/>
      <c r="V180" s="11" t="n"/>
      <c r="W180" s="12" t="n"/>
      <c r="X180" s="11" t="n"/>
      <c r="Y180" s="11" t="n"/>
      <c r="Z180" s="11" t="n"/>
      <c r="AA180" s="11" t="n"/>
      <c r="AB180" s="12" t="n"/>
      <c r="AC180" s="11" t="n"/>
      <c r="AD180" s="11" t="n"/>
      <c r="AE180" s="11" t="n"/>
      <c r="AF180" s="11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60" t="inlineStr">
        <is>
          <t xml:space="preserve">Impostos e Contribuições a Recuperar </t>
        </is>
      </c>
      <c r="D181" s="11" t="n"/>
      <c r="E181" s="11" t="n"/>
      <c r="F181" s="11" t="n"/>
      <c r="G181" s="11" t="n"/>
      <c r="H181" s="12" t="n"/>
      <c r="I181" s="11" t="n"/>
      <c r="J181" s="11" t="n"/>
      <c r="K181" s="11" t="n"/>
      <c r="L181" s="11" t="n"/>
      <c r="M181" s="12" t="n"/>
      <c r="N181" s="11" t="n"/>
      <c r="O181" s="11" t="n"/>
      <c r="P181" s="11" t="n"/>
      <c r="Q181" s="11" t="n"/>
      <c r="R181" s="12" t="n"/>
      <c r="S181" s="11" t="n"/>
      <c r="T181" s="11" t="n"/>
      <c r="U181" s="11" t="n"/>
      <c r="V181" s="11" t="n"/>
      <c r="W181" s="12" t="n"/>
      <c r="X181" s="11" t="n"/>
      <c r="Y181" s="11" t="n"/>
      <c r="Z181" s="11" t="n"/>
      <c r="AA181" s="11" t="n"/>
      <c r="AB181" s="12" t="n"/>
      <c r="AC181" s="11" t="n"/>
      <c r="AD181" s="11" t="n"/>
      <c r="AE181" s="11" t="n"/>
      <c r="AF181" s="11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60" t="inlineStr">
        <is>
          <t xml:space="preserve">Imposto de Renda e Contribuição Social Diferidos </t>
        </is>
      </c>
      <c r="D182" s="11" t="n"/>
      <c r="E182" s="11" t="n"/>
      <c r="F182" s="11" t="n"/>
      <c r="G182" s="11" t="n"/>
      <c r="H182" s="12" t="n"/>
      <c r="I182" s="11" t="n"/>
      <c r="J182" s="11" t="n"/>
      <c r="K182" s="11" t="n"/>
      <c r="L182" s="11" t="n"/>
      <c r="M182" s="12" t="n"/>
      <c r="N182" s="11" t="n"/>
      <c r="O182" s="11" t="n"/>
      <c r="P182" s="11" t="n"/>
      <c r="Q182" s="11" t="n"/>
      <c r="R182" s="12" t="n"/>
      <c r="S182" s="11" t="n"/>
      <c r="T182" s="11" t="n"/>
      <c r="U182" s="11" t="n"/>
      <c r="V182" s="11" t="n"/>
      <c r="W182" s="12" t="n"/>
      <c r="X182" s="11" t="n"/>
      <c r="Y182" s="11" t="n"/>
      <c r="Z182" s="11" t="n"/>
      <c r="AA182" s="11" t="n"/>
      <c r="AB182" s="12" t="n"/>
      <c r="AC182" s="11" t="n"/>
      <c r="AD182" s="11" t="n"/>
      <c r="AE182" s="11" t="n"/>
      <c r="AF182" s="11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hidden="1" outlineLevel="1">
      <c r="C183" s="60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collapsed="1" customFormat="1" s="32">
      <c r="A185" s="30" t="n"/>
      <c r="B185" s="3" t="n"/>
      <c r="C185" s="33" t="inlineStr">
        <is>
          <t>Total Assets</t>
        </is>
      </c>
      <c r="D185" s="35" t="n"/>
      <c r="E185" s="35" t="n"/>
      <c r="F185" s="35" t="n"/>
      <c r="G185" s="35" t="n"/>
      <c r="H185" s="35" t="n"/>
      <c r="I185" s="35">
        <f>SUM(I132,I133,I137,I141,I142,I143,I149,I154,I164,I167,I168,I177)</f>
        <v>75524</v>
      </c>
      <c r="J185" s="35">
        <f>SUM(J132,J133,J137,J141,J142,J143,J149,J154,J164,J167,J168,J177)</f>
        <v>75880</v>
      </c>
      <c r="K185" s="35">
        <f>SUM(K132,K133,K137,K141,K142,K143,K149,K154,K164,K167,K168,K177)</f>
        <v>75570</v>
      </c>
      <c r="L185" s="35">
        <f>SUM(L132,L133,L137,L141,L142,L143,L149,L154,L164,L167,L168,L177)</f>
        <v>73224</v>
      </c>
      <c r="M185" s="35">
        <f>SUM(M132,M133,M137,M141,M142,M143,M149,M154,M164,M167,M168,M177)</f>
        <v>73224</v>
      </c>
      <c r="N185" s="35">
        <f>SUM(N132,N133,N137,N141,N142,N143,N149,N154,N164,N167,N168,N177)</f>
        <v>71719</v>
      </c>
      <c r="O185" s="35">
        <f>SUM(O132,O133,O137,O141,O142,O143,O149,O154,O164,O167,O168,O177)</f>
        <v>71326</v>
      </c>
      <c r="P185" s="35">
        <f>SUM(P132,P133,P137,P141,P142,P143,P149,P154,P164,P167,P168,P177)</f>
        <v>73249</v>
      </c>
      <c r="Q185" s="35">
        <f>SUM(Q132,Q133,Q137,Q141,Q142,Q143,Q149,Q154,Q164,Q167,Q168,Q177)</f>
        <v>72976</v>
      </c>
      <c r="R185" s="35">
        <f>SUM(R132,R133,R137,R141,R142,R143,R149,R154,R164,R167,R168,R177)</f>
        <v>72976</v>
      </c>
      <c r="S185" s="35">
        <f>SUM(S132,S133,S137,S141,S142,S143,S149,S154,S164,S167,S168,S177)</f>
        <v>71667</v>
      </c>
      <c r="T185" s="35">
        <f>SUM(T132,T133,T137,T141,T142,T143,T149,T154,T164,T167,T168,T177)</f>
        <v>71595</v>
      </c>
      <c r="U185" s="35">
        <f>SUM(U132,U133,U137,U141,U142,U143,U149,U154,U164,U167,U168,U177)</f>
        <v>72861</v>
      </c>
      <c r="V185" s="35">
        <f>SUM(V132,V133,V137,V141,V142,V143,V149,V154,V164,V167,V168,V177)</f>
        <v>177870</v>
      </c>
      <c r="W185" s="35">
        <f>SUM(W132,W133,W137,W141,W142,W143,W149,W154,W164,W167,W168,W177)</f>
        <v>177870</v>
      </c>
      <c r="X185" s="35">
        <f>SUM(X132,X133,X137,X141,X142,X143,X149,X154,X164,X167,X168,X177)</f>
        <v>175211</v>
      </c>
      <c r="Y185" s="35">
        <f>SUM(Y132,Y133,Y137,Y141,Y142,Y143,Y149,Y154,Y164,Y167,Y168,Y177)</f>
        <v>167966</v>
      </c>
      <c r="Z185" s="35">
        <f>SUM(Z132,Z133,Z137,Z141,Z142,Z143,Z149,Z154,Z164,Z167,Z168,Z177)</f>
        <v>165645</v>
      </c>
      <c r="AA185" s="35">
        <f>SUM(AA132,AA133,AA137,AA141,AA142,AA143,AA149,AA154,AA164,AA167,AA168,AA177)</f>
        <v>165358</v>
      </c>
      <c r="AB185" s="35">
        <f>SUM(AB132,AB133,AB137,AB141,AB142,AB143,AB149,AB154,AB164,AB167,AB168,AB177)</f>
        <v>165358</v>
      </c>
      <c r="AC185" s="35">
        <f>SUM(AC132,AC133,AC137,AC141,AC142,AC143,AC149,AC154,AC164,AC167,AC168,AC177)</f>
        <v>164630</v>
      </c>
      <c r="AD185" s="35">
        <f>SUM(AD132,AD133,AD137,AD141,AD142,AD143,AD149,AD154,AD164,AD167,AD168,AD177)</f>
        <v>165621</v>
      </c>
      <c r="AE185" s="35">
        <f>SUM(AE132,AE133,AE137,AE141,AE142,AE143,AE149,AE154,AE164,AE167,AE168,AE177)</f>
        <v>171092</v>
      </c>
      <c r="AF185" s="35">
        <f>SUM(AF132,AF133,AF137,AF141,AF142,AF143,AF149,AF154,AF164,AF167,AF168,AF177)</f>
        <v>169903</v>
      </c>
      <c r="AG185" s="35">
        <f>SUM(AG132,AG133,AG137,AG141,AG142,AG143,AG149,AG154,AG164,AG167,AG168,AG177)</f>
        <v>169903</v>
      </c>
      <c r="AH185" s="35">
        <f>SUM(AH132,AH133,AH137,AH141,AH142,AH143,AH149,AH154,AH164,AH167,AH168,AH177)</f>
        <v>179158</v>
      </c>
      <c r="AI185" s="35">
        <f>SUM(AI132,AI133,AI137,AI141,AI142,AI143,AI149,AI154,AI164,AI167,AI168,AI177)</f>
        <v>188148</v>
      </c>
      <c r="AJ185" s="35">
        <f>SUM(AJ132,AJ133,AJ137,AJ141,AJ142,AJ143,AJ149,AJ154,AJ164,AJ167,AJ168,AJ177)</f>
        <v>197885.194334368</v>
      </c>
      <c r="AK185" s="35">
        <f>SUM(AK132,AK133,AK137,AK141,AK142,AK143,AK149,AK154,AK164,AK167,AK168,AK177)</f>
        <v>210260.47535773</v>
      </c>
      <c r="AL185" s="35">
        <f>SUM(AL132,AL133,AL137,AL141,AL142,AL143,AL149,AL154,AL164,AL167,AL168,AL177)</f>
        <v>210260.47535773</v>
      </c>
      <c r="AM185" s="35">
        <f>SUM(AM132,AM133,AM137,AM141,AM142,AM143,AM149,AM154,AM164,AM167,AM168,AM177)</f>
        <v>224938.320281138</v>
      </c>
      <c r="AN185" s="35">
        <f>SUM(AN132,AN133,AN137,AN141,AN142,AN143,AN149,AN154,AN164,AN167,AN168,AN177)</f>
        <v>244962.399685878</v>
      </c>
      <c r="AO185" s="35">
        <f>SUM(AO132,AO133,AO137,AO141,AO142,AO143,AO149,AO154,AO164,AO167,AO168,AO177)</f>
        <v>261192.444320669</v>
      </c>
      <c r="AP185" s="35">
        <f>SUM(AP132,AP133,AP137,AP141,AP142,AP143,AP149,AP154,AP164,AP167,AP168,AP177)</f>
        <v>280272.048304182</v>
      </c>
      <c r="AQ185" s="35">
        <f>SUM(AQ132,AQ133,AQ137,AQ141,AQ142,AQ143,AQ149,AQ154,AQ164,AQ167,AQ168,AQ177)</f>
        <v>280272.048304182</v>
      </c>
      <c r="AR185" s="35">
        <f>SUM(AR132,AR133,AR137,AR141,AR142,AR143,AR149,AR154,AR164,AR167,AR168,AR177)</f>
        <v>303101.572096938</v>
      </c>
      <c r="AS185" s="35">
        <f>SUM(AS132,AS133,AS137,AS141,AS142,AS143,AS149,AS154,AS164,AS167,AS168,AS177)</f>
        <v>334422.18858048</v>
      </c>
      <c r="AT185" s="35">
        <f>SUM(AT132,AT133,AT137,AT141,AT142,AT143,AT149,AT154,AT164,AT167,AT168,AT177)</f>
        <v>361801.51820435</v>
      </c>
      <c r="AU185" s="35">
        <f>SUM(AU132,AU133,AU137,AU141,AU142,AU143,AU149,AU154,AU164,AU167,AU168,AU177)</f>
        <v>394997.203007587</v>
      </c>
      <c r="AV185" s="35">
        <f>SUM(AV132,AV133,AV137,AV141,AV142,AV143,AV149,AV154,AV164,AV167,AV168,AV177)</f>
        <v>394997.203007587</v>
      </c>
      <c r="AW185" s="35">
        <f>SUM(AW132,AW133,AW137,AW141,AW142,AW143,AW149,AW154,AW164,AW167,AW168,AW177)</f>
        <v>435799.412563383</v>
      </c>
      <c r="AX185" s="35">
        <f>SUM(AX132,AX133,AX137,AX141,AX142,AX143,AX149,AX154,AX164,AX167,AX168,AX177)</f>
        <v>491678.633286328</v>
      </c>
      <c r="AY185" s="35">
        <f>SUM(AY132,AY133,AY137,AY141,AY142,AY143,AY149,AY154,AY164,AY167,AY168,AY177)</f>
        <v>546985.313551119</v>
      </c>
      <c r="AZ185" s="35">
        <f>SUM(AZ132,AZ133,AZ137,AZ141,AZ142,AZ143,AZ149,AZ154,AZ164,AZ167,AZ168,AZ177)</f>
        <v>616905.654292346</v>
      </c>
      <c r="BA185" s="35">
        <f>SUM(BA132,BA133,BA137,BA141,BA142,BA143,BA149,BA154,BA164,BA167,BA168,BA177)</f>
        <v>616905.654292346</v>
      </c>
      <c r="BB185" s="35">
        <f>SUM(BB132,BB133,BB137,BB141,BB142,BB143,BB149,BB154,BB164,BB167,BB168,BB177)</f>
        <v>705786.63955377</v>
      </c>
      <c r="BC185" s="35">
        <f>SUM(BC132,BC133,BC137,BC141,BC142,BC143,BC149,BC154,BC164,BC167,BC168,BC177)</f>
        <v>827580.319778852</v>
      </c>
      <c r="BD185" s="35">
        <f>SUM(BD132,BD133,BD137,BD141,BD142,BD143,BD149,BD154,BD164,BD167,BD168,BD177)</f>
        <v>965273.823250386</v>
      </c>
      <c r="BE185" s="35">
        <f>SUM(BE132,BE133,BE137,BE141,BE142,BE143,BE149,BE154,BE164,BE167,BE168,BE177)</f>
        <v>1145909.92640384</v>
      </c>
      <c r="BF185" s="35">
        <f>SUM(BF132,BF133,BF137,BF141,BF142,BF143,BF149,BF154,BF164,BF167,BF168,BF177)</f>
        <v>1145909.92640384</v>
      </c>
      <c r="BG185" s="35" t="n"/>
      <c r="BH185" s="35" t="n"/>
      <c r="BI185" s="35" t="n"/>
      <c r="BJ185" s="35" t="n"/>
      <c r="BK185" s="35" t="n"/>
      <c r="BL185" s="35" t="n"/>
      <c r="BM185" s="35" t="n"/>
      <c r="BN185" s="35" t="n"/>
      <c r="BO185" s="35" t="n"/>
      <c r="BP185" s="35" t="n"/>
      <c r="BQ185" s="35" t="n"/>
      <c r="BR185" s="35" t="n"/>
      <c r="BS185" s="35" t="n"/>
      <c r="BT185" s="35" t="n"/>
      <c r="BU185" s="35" t="n"/>
      <c r="BV185" s="35" t="n"/>
      <c r="BW185" s="35" t="n"/>
      <c r="BX185" s="35" t="n"/>
      <c r="BY185" s="35" t="n"/>
      <c r="BZ185" s="35" t="n"/>
      <c r="CA185" s="35" t="n"/>
      <c r="CB185" s="35" t="n"/>
      <c r="CC185" s="35" t="n"/>
      <c r="CD185" s="35" t="n"/>
      <c r="CE185" s="35" t="n"/>
      <c r="CF185" s="35" t="n"/>
      <c r="CG185" s="35" t="n"/>
      <c r="CH185" s="35" t="n"/>
      <c r="CI185" s="35" t="n"/>
      <c r="CJ185" s="35" t="n"/>
      <c r="CK185" s="35" t="n"/>
      <c r="CL185" s="35" t="n"/>
      <c r="CM185" s="35" t="n"/>
      <c r="CN185" s="35" t="n"/>
      <c r="CO185" s="35" t="n"/>
      <c r="CP185" s="35" t="n"/>
      <c r="CQ185" s="35" t="n"/>
      <c r="CR185" s="35" t="n"/>
      <c r="CS185" s="35" t="n"/>
      <c r="CT185" s="35" t="n"/>
      <c r="CU185" s="35" t="n"/>
      <c r="CV185" s="35" t="n"/>
      <c r="CW185" s="35" t="n"/>
      <c r="CX185" s="35" t="n"/>
      <c r="CY185" s="35" t="n"/>
    </row>
    <row r="186">
      <c r="C186" s="14" t="inlineStr">
        <is>
          <t>Accounts payable</t>
        </is>
      </c>
      <c r="D186" s="46" t="n"/>
      <c r="E186" s="46" t="n"/>
      <c r="F186" s="46" t="n"/>
      <c r="G186" s="46" t="n"/>
      <c r="H186" s="12" t="n"/>
      <c r="I186" s="46">
        <f>'Inputs (2)'!D28</f>
        <v>830</v>
      </c>
      <c r="J186" s="46">
        <f>'Inputs (2)'!E28</f>
        <v>968</v>
      </c>
      <c r="K186" s="46">
        <f>'Inputs (2)'!F28</f>
        <v>1086</v>
      </c>
      <c r="L186" s="46">
        <f>'Inputs (2)'!G28</f>
        <v>1078</v>
      </c>
      <c r="M186" s="12">
        <f>'Inputs (2)'!H28</f>
        <v>1078</v>
      </c>
      <c r="N186" s="46">
        <f>'Inputs (2)'!I28</f>
        <v>1069</v>
      </c>
      <c r="O186" s="46">
        <f>'Inputs (2)'!J28</f>
        <v>712</v>
      </c>
      <c r="P186" s="46">
        <f>'Inputs (2)'!K28</f>
        <v>998</v>
      </c>
      <c r="Q186" s="46">
        <f>'Inputs (2)'!L28</f>
        <v>923</v>
      </c>
      <c r="R186" s="12">
        <f>'Inputs (2)'!M28</f>
        <v>923</v>
      </c>
      <c r="S186" s="46">
        <f>'Inputs (2)'!N28</f>
        <v>831</v>
      </c>
      <c r="T186" s="46">
        <f>'Inputs (2)'!O28</f>
        <v>992</v>
      </c>
      <c r="U186" s="46">
        <f>'Inputs (2)'!P28</f>
        <v>1210</v>
      </c>
      <c r="V186" s="46">
        <f>'Inputs (2)'!Q28</f>
        <v>1496</v>
      </c>
      <c r="W186" s="12">
        <f>'Inputs (2)'!R28</f>
        <v>1496</v>
      </c>
      <c r="X186" s="46">
        <f>'Inputs (2)'!S28</f>
        <v>1441</v>
      </c>
      <c r="Y186" s="46">
        <f>'Inputs (2)'!T28</f>
        <v>1757</v>
      </c>
      <c r="Z186" s="46">
        <f>'Inputs (2)'!U28</f>
        <v>1662</v>
      </c>
      <c r="AA186" s="46">
        <f>'Inputs (2)'!V28</f>
        <v>1905</v>
      </c>
      <c r="AB186" s="12">
        <f>'Inputs (2)'!W28</f>
        <v>1905</v>
      </c>
      <c r="AC186" s="46">
        <f>'Inputs (2)'!X28</f>
        <v>1297</v>
      </c>
      <c r="AD186" s="46">
        <f>'Inputs (2)'!Y28</f>
        <v>1432</v>
      </c>
      <c r="AE186" s="46">
        <f>'Inputs (2)'!Z28</f>
        <v>1560</v>
      </c>
      <c r="AF186" s="46">
        <f>'Inputs (2)'!AA28</f>
        <v>2112</v>
      </c>
      <c r="AG186" s="12">
        <f>'Inputs (2)'!AB28</f>
        <v>2112</v>
      </c>
      <c r="AH186" s="12">
        <f>'Inputs (2)'!AC28</f>
        <v>2337</v>
      </c>
      <c r="AI186" s="12">
        <f>'Inputs (2)'!AD28</f>
        <v>4000</v>
      </c>
      <c r="AJ186" s="12">
        <f>(AJ187/(AJ$5-AI$5))*-AJ$42</f>
        <v>2535.57938620827</v>
      </c>
      <c r="AK186" s="12">
        <f>(AK187/(AK$5-AJ$5))*-AK$42</f>
        <v>2717.98909392551</v>
      </c>
      <c r="AL186" s="12">
        <f>AK186</f>
        <v>2717.98909392551</v>
      </c>
      <c r="AM186" s="12">
        <f>(AM187/(AM$5-AL$5))*-AM$42</f>
        <v>3192.17614052849</v>
      </c>
      <c r="AN186" s="12">
        <f>(AN187/(AN$5-AM$5))*-AN$42</f>
        <v>4210.64883341452</v>
      </c>
      <c r="AO186" s="12">
        <f>(AO187/(AO$5-AN$5))*-AO$42</f>
        <v>3521.12566166383</v>
      </c>
      <c r="AP186" s="12">
        <f>(AP187/(AP$5-AO$5))*-AP$42</f>
        <v>3774.43561767362</v>
      </c>
      <c r="AQ186" s="12">
        <f>AP186</f>
        <v>3774.43561767362</v>
      </c>
      <c r="AR186" s="12">
        <f>(AR187/(AR$5-AQ$5))*-AR$42</f>
        <v>4368.43388212121</v>
      </c>
      <c r="AS186" s="12">
        <f>(AS187/(AS$5-AR$5))*-AS$42</f>
        <v>5826.21927281059</v>
      </c>
      <c r="AT186" s="12">
        <f>(AT187/(AT$5-AS$5))*-AT$42</f>
        <v>4872.1351515172</v>
      </c>
      <c r="AU186" s="12">
        <f>(AU187/(AU$5-AT$5))*-AU$42</f>
        <v>5222.63679772127</v>
      </c>
      <c r="AV186" s="12">
        <f>AU186</f>
        <v>5222.63679772127</v>
      </c>
      <c r="AW186" s="12">
        <f>(AW187/(AW$5-AV$5))*-AW$42</f>
        <v>6089.62110815424</v>
      </c>
      <c r="AX186" s="12">
        <f>(AX187/(AX$5-AW$5))*-AX$42</f>
        <v>8032.53169192003</v>
      </c>
      <c r="AY186" s="12">
        <f>(AY187/(AY$5-AX$5))*-AY$42</f>
        <v>6717.14849362343</v>
      </c>
      <c r="AZ186" s="12">
        <f>(AZ187/(AZ$5-AY$5))*-AZ$42</f>
        <v>7200.38049183248</v>
      </c>
      <c r="BA186" s="12">
        <f>AZ186</f>
        <v>7200.38049183248</v>
      </c>
      <c r="BB186" s="12">
        <f>(BB187/(BB$5-BA$5))*-BB$42</f>
        <v>8365.23222377805</v>
      </c>
      <c r="BC186" s="12">
        <f>(BC187/(BC$5-BB$5))*-BC$42</f>
        <v>11034.1828751533</v>
      </c>
      <c r="BD186" s="12">
        <f>(BD187/(BD$5-BC$5))*-BD$42</f>
        <v>9227.25831916203</v>
      </c>
      <c r="BE186" s="12">
        <f>(BE187/(BE$5-BD$5))*-BE$42</f>
        <v>9891.06774362132</v>
      </c>
      <c r="BF186" s="12">
        <f>BE186</f>
        <v>9891.06774362132</v>
      </c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inlineStr">
        <is>
          <t>DPO</t>
        </is>
      </c>
      <c r="D187" s="12" t="n"/>
      <c r="E187" s="12" t="n"/>
      <c r="F187" s="12" t="n"/>
      <c r="G187" s="12" t="n"/>
      <c r="H187" s="12" t="n"/>
      <c r="I187" s="12">
        <f>IFERROR(-(I186/I$42)*(I$5-H$5),"")</f>
        <v>29.2596944770858</v>
      </c>
      <c r="J187" s="12">
        <f>IFERROR(-(J186/J$42)*(J$5-I$5),"")</f>
        <v>34.1294072065091</v>
      </c>
      <c r="K187" s="12">
        <f>IFERROR(-(K186/K$42)*(K$5-J$5),"")</f>
        <v>36.0823401950163</v>
      </c>
      <c r="L187" s="12">
        <f>IFERROR(-(L186/L$42)*(L$5-K$5),"")</f>
        <v>37.3263078660143</v>
      </c>
      <c r="M187" s="12" t="n"/>
      <c r="N187" s="12">
        <f>IFERROR(-(N186/N$42)*(N$5-M$5),"")</f>
        <v>36.1148648648649</v>
      </c>
      <c r="O187" s="12">
        <f>IFERROR(-(O186/O$42)*(O$5-N$5),"")</f>
        <v>23.2813510600072</v>
      </c>
      <c r="P187" s="12">
        <f>IFERROR(-(P186/P$42)*(P$5-O$5),"")</f>
        <v>30.5645805592543</v>
      </c>
      <c r="Q187" s="12">
        <f>IFERROR(-(Q186/Q$42)*(Q$5-P$5),"")</f>
        <v>29.1707317073171</v>
      </c>
      <c r="R187" s="12" t="n"/>
      <c r="S187" s="12">
        <f>IFERROR(-(S186/S$42)*(S$5-R$5),"")</f>
        <v>28.5676088617265</v>
      </c>
      <c r="T187" s="12">
        <f>IFERROR(-(T186/T$42)*(T$5-S$5),"")</f>
        <v>33.2861356932153</v>
      </c>
      <c r="U187" s="12">
        <f>IFERROR(-(U186/U$42)*(U$5-T$5),"")</f>
        <v>38.5457063711911</v>
      </c>
      <c r="V187" s="12">
        <f>IFERROR(-(V186/V$42)*(V$5-U$5),"")</f>
        <v>30.0113388573921</v>
      </c>
      <c r="W187" s="12" t="n"/>
      <c r="X187" s="12">
        <f>IFERROR(-(X186/X$42)*(X$5-W$5),"")</f>
        <v>27.8350668647845</v>
      </c>
      <c r="Y187" s="12">
        <f>IFERROR(-(Y186/Y$42)*(Y$5-X$5),"")</f>
        <v>33.9030958439355</v>
      </c>
      <c r="Z187" s="12">
        <f>IFERROR(-(Z186/Z$42)*(Z$5-Y$5),"")</f>
        <v>30.2660332541568</v>
      </c>
      <c r="AA187" s="12">
        <f>IFERROR(-(AA186/AA$42)*(AA$5-Z$5),"")</f>
        <v>36.7344372249004</v>
      </c>
      <c r="AB187" s="12" t="n"/>
      <c r="AC187" s="12">
        <f>IFERROR(-(AC186/AC$42)*(AC$5-AB$5),"")</f>
        <v>24.2833368004993</v>
      </c>
      <c r="AD187" s="12">
        <f>IFERROR(-(AD186/AD$42)*(AD$5-AC$5),"")</f>
        <v>24.826062107068</v>
      </c>
      <c r="AE187" s="12">
        <f>IFERROR(-(AE186/AE$42)*(AE$5-AD$5),"")</f>
        <v>24.8907388137357</v>
      </c>
      <c r="AF187" s="11">
        <f>IFERROR(-(AF186/AF$42)*(AF$5-AE$5),"")</f>
        <v>31.5736106597335</v>
      </c>
      <c r="AG187" s="12" t="n"/>
      <c r="AH187" s="11">
        <f>IFERROR(-(AH186/AH$42)*(AH$5-AG$5),"")</f>
        <v>31.0587714116952</v>
      </c>
      <c r="AI187" s="11">
        <f>IFERROR(-(AI186/AI$42)*(AI$5-AH$5),"")</f>
        <v>39.8467432950192</v>
      </c>
      <c r="AJ187" s="11">
        <f>Control!$B$27</f>
        <v>29.4132105146251</v>
      </c>
      <c r="AK187" s="11">
        <f>Control!$B$27</f>
        <v>29.4132105146251</v>
      </c>
      <c r="AL187" s="12" t="n"/>
      <c r="AM187" s="11">
        <f>Control!$C$27</f>
        <v>29.4132105146251</v>
      </c>
      <c r="AN187" s="11">
        <f>Control!$C$27</f>
        <v>29.4132105146251</v>
      </c>
      <c r="AO187" s="11">
        <f>Control!$C$27</f>
        <v>29.4132105146251</v>
      </c>
      <c r="AP187" s="11">
        <f>Control!$C$27</f>
        <v>29.4132105146251</v>
      </c>
      <c r="AQ187" s="12" t="n"/>
      <c r="AR187" s="11">
        <f>Control!$D$27</f>
        <v>29.4132105146251</v>
      </c>
      <c r="AS187" s="11">
        <f>Control!$D$27</f>
        <v>29.4132105146251</v>
      </c>
      <c r="AT187" s="11">
        <f>Control!$D$27</f>
        <v>29.4132105146251</v>
      </c>
      <c r="AU187" s="11">
        <f>Control!$D$27</f>
        <v>29.4132105146251</v>
      </c>
      <c r="AV187" s="12" t="n"/>
      <c r="AW187" s="11">
        <f>Control!$E$27</f>
        <v>29.4132105146251</v>
      </c>
      <c r="AX187" s="11">
        <f>Control!$E$27</f>
        <v>29.4132105146251</v>
      </c>
      <c r="AY187" s="11">
        <f>Control!$E$27</f>
        <v>29.4132105146251</v>
      </c>
      <c r="AZ187" s="11">
        <f>Control!$E$27</f>
        <v>29.4132105146251</v>
      </c>
      <c r="BA187" s="12" t="n"/>
      <c r="BB187" s="11">
        <f>Control!$F$27</f>
        <v>29.4132105146251</v>
      </c>
      <c r="BC187" s="11">
        <f>Control!$F$27</f>
        <v>29.4132105146251</v>
      </c>
      <c r="BD187" s="11">
        <f>Control!$F$27</f>
        <v>29.4132105146251</v>
      </c>
      <c r="BE187" s="11">
        <f>Control!$F$27</f>
        <v>29.4132105146251</v>
      </c>
      <c r="BF187" s="12" t="n"/>
      <c r="BG187" s="11" t="n"/>
      <c r="BH187" s="11" t="n"/>
      <c r="BI187" s="11" t="n"/>
      <c r="BJ187" s="11" t="n"/>
      <c r="BK187" s="12" t="n"/>
      <c r="BL187" s="11" t="n"/>
      <c r="BM187" s="11" t="n"/>
      <c r="BN187" s="11" t="n"/>
      <c r="BO187" s="11" t="n"/>
      <c r="BP187" s="12" t="n"/>
      <c r="BQ187" s="11" t="n"/>
      <c r="BR187" s="11" t="n"/>
      <c r="BS187" s="11" t="n"/>
      <c r="BT187" s="11" t="n"/>
      <c r="BU187" s="12" t="n"/>
      <c r="BV187" s="11" t="n"/>
      <c r="BW187" s="11" t="n"/>
      <c r="BX187" s="11" t="n"/>
      <c r="BY187" s="11" t="n"/>
      <c r="BZ187" s="12" t="n"/>
      <c r="CA187" s="11" t="n"/>
      <c r="CB187" s="11" t="n"/>
      <c r="CC187" s="11" t="n"/>
      <c r="CD187" s="11" t="n"/>
      <c r="CE187" s="12" t="n"/>
      <c r="CF187" s="11" t="n"/>
      <c r="CG187" s="11" t="n"/>
      <c r="CH187" s="11" t="n"/>
      <c r="CI187" s="11" t="n"/>
      <c r="CJ187" s="12" t="n"/>
      <c r="CK187" s="11" t="n"/>
      <c r="CL187" s="11" t="n"/>
      <c r="CM187" s="11" t="n"/>
      <c r="CN187" s="11" t="n"/>
      <c r="CO187" s="12" t="n"/>
      <c r="CP187" s="11" t="n"/>
      <c r="CQ187" s="11" t="n"/>
      <c r="CR187" s="11" t="n"/>
      <c r="CS187" s="11" t="n"/>
      <c r="CT187" s="12" t="n"/>
      <c r="CU187" s="11" t="n"/>
      <c r="CV187" s="11" t="n"/>
      <c r="CW187" s="11" t="n"/>
      <c r="CX187" s="11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7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collapsed="1">
      <c r="C190" s="14" t="inlineStr">
        <is>
          <t>Accrued expenses</t>
        </is>
      </c>
      <c r="D190" s="46" t="n"/>
      <c r="E190" s="46" t="n"/>
      <c r="F190" s="46" t="n"/>
      <c r="G190" s="46" t="n"/>
      <c r="H190" s="12" t="n"/>
      <c r="I190" s="46">
        <f>'Inputs (2)'!D29</f>
        <v>639</v>
      </c>
      <c r="J190" s="46">
        <f>'Inputs (2)'!E29</f>
        <v>893</v>
      </c>
      <c r="K190" s="46">
        <f>'Inputs (2)'!F29</f>
        <v>1066</v>
      </c>
      <c r="L190" s="46">
        <f>'Inputs (2)'!G29</f>
        <v>531</v>
      </c>
      <c r="M190" s="12">
        <f>'Inputs (2)'!H29</f>
        <v>531</v>
      </c>
      <c r="N190" s="46">
        <f>'Inputs (2)'!I29</f>
        <v>751</v>
      </c>
      <c r="O190" s="46">
        <f>'Inputs (2)'!J29</f>
        <v>1079</v>
      </c>
      <c r="P190" s="46">
        <f>'Inputs (2)'!K29</f>
        <v>1202</v>
      </c>
      <c r="Q190" s="46">
        <f>'Inputs (2)'!L29</f>
        <v>536</v>
      </c>
      <c r="R190" s="12">
        <f>'Inputs (2)'!M29</f>
        <v>536</v>
      </c>
      <c r="S190" s="46">
        <f>'Inputs (2)'!N29</f>
        <v>634</v>
      </c>
      <c r="T190" s="46">
        <f>'Inputs (2)'!O29</f>
        <v>831</v>
      </c>
      <c r="U190" s="46">
        <f>'Inputs (2)'!P29</f>
        <v>935</v>
      </c>
      <c r="V190" s="46">
        <f>'Inputs (2)'!Q29</f>
        <v>1128</v>
      </c>
      <c r="W190" s="12">
        <f>'Inputs (2)'!R29</f>
        <v>1128</v>
      </c>
      <c r="X190" s="46">
        <f>'Inputs (2)'!S29</f>
        <v>1385</v>
      </c>
      <c r="Y190" s="46">
        <f>'Inputs (2)'!T29</f>
        <v>1725</v>
      </c>
      <c r="Z190" s="46">
        <f>'Inputs (2)'!U29</f>
        <v>1971</v>
      </c>
      <c r="AA190" s="46">
        <f>'Inputs (2)'!V29</f>
        <v>922</v>
      </c>
      <c r="AB190" s="12">
        <f>'Inputs (2)'!W29</f>
        <v>922</v>
      </c>
      <c r="AC190" s="46">
        <f>'Inputs (2)'!X29</f>
        <v>1266</v>
      </c>
      <c r="AD190" s="46">
        <f>'Inputs (2)'!Y29</f>
        <v>1719</v>
      </c>
      <c r="AE190" s="46">
        <f>'Inputs (2)'!Z29</f>
        <v>2129</v>
      </c>
      <c r="AF190" s="46">
        <f>'Inputs (2)'!AA29</f>
        <v>864</v>
      </c>
      <c r="AG190" s="12">
        <f>'Inputs (2)'!AB29</f>
        <v>864</v>
      </c>
      <c r="AH190" s="12">
        <f>'Inputs (2)'!AC29</f>
        <v>1134</v>
      </c>
      <c r="AI190" s="12">
        <f>'Inputs (2)'!AD29</f>
        <v>1506</v>
      </c>
      <c r="AJ190" s="12">
        <f>AI190*(1+AJ16)</f>
        <v>2091.36234318248</v>
      </c>
      <c r="AK190" s="12">
        <f>AJ190*(1+AK16)</f>
        <v>2904.24731107684</v>
      </c>
      <c r="AL190" s="12">
        <f>AK190</f>
        <v>2904.24731107684</v>
      </c>
      <c r="AM190" s="12">
        <f>AL190*(1+AM16)</f>
        <v>4033.08994799141</v>
      </c>
      <c r="AN190" s="12">
        <f>AM190*(1+AN16)</f>
        <v>5600.69883392897</v>
      </c>
      <c r="AO190" s="12">
        <f>AN190*(1+AO16)</f>
        <v>7777.61662469129</v>
      </c>
      <c r="AP190" s="12">
        <f>AO190*(1+AP16)</f>
        <v>10800.6736577619</v>
      </c>
      <c r="AQ190" s="12">
        <f>AP190</f>
        <v>10800.6736577619</v>
      </c>
      <c r="AR190" s="12">
        <f>AQ190*(1+AR16)</f>
        <v>14944.7497318746</v>
      </c>
      <c r="AS190" s="12">
        <f>AR190*(1+AS16)</f>
        <v>20678.8531554104</v>
      </c>
      <c r="AT190" s="12">
        <f>AS190*(1+AT16)</f>
        <v>28613.0564576131</v>
      </c>
      <c r="AU190" s="12">
        <f>AT190*(1+AU16)</f>
        <v>39591.5089533071</v>
      </c>
      <c r="AV190" s="12">
        <f>AU190</f>
        <v>39591.5089533071</v>
      </c>
      <c r="AW190" s="12">
        <f>AV190*(1+AW16)</f>
        <v>54584.2913744234</v>
      </c>
      <c r="AX190" s="12">
        <f>AW190*(1+AX16)</f>
        <v>75254.6428165143</v>
      </c>
      <c r="AY190" s="12">
        <f>AX190*(1+AY16)</f>
        <v>103752.583808293</v>
      </c>
      <c r="AZ190" s="12">
        <f>AY190*(1+AZ16)</f>
        <v>143042.31930438</v>
      </c>
      <c r="BA190" s="12">
        <f>AZ190</f>
        <v>143042.31930438</v>
      </c>
      <c r="BB190" s="12">
        <f>BA190*(1+BB16)</f>
        <v>196495.347995736</v>
      </c>
      <c r="BC190" s="12">
        <f>BB190*(1+BC16)</f>
        <v>269923.068723503</v>
      </c>
      <c r="BD190" s="12">
        <f>BC190*(1+BD16)</f>
        <v>370789.76053262</v>
      </c>
      <c r="BE190" s="12">
        <f>BD190*(1+BE16)</f>
        <v>509349.005129575</v>
      </c>
      <c r="BF190" s="12">
        <f>BE190</f>
        <v>509349.005129575</v>
      </c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hidden="1" outlineLevel="1">
      <c r="C191" s="59" t="inlineStr">
        <is>
          <t>%(Var.)</t>
        </is>
      </c>
      <c r="D191" s="12" t="n"/>
      <c r="E191" s="40" t="n"/>
      <c r="F191" s="40" t="n"/>
      <c r="G191" s="40" t="n"/>
      <c r="H191" s="12" t="n"/>
      <c r="I191" s="40" t="str">
        <f>""</f>
        <v/>
      </c>
      <c r="J191" s="40">
        <f>IFERROR(IF(I190=0,"",J190/I190-1),"")</f>
        <v>0.397496087636933</v>
      </c>
      <c r="K191" s="40">
        <f>IFERROR(IF(J190=0,"",K190/J190-1),"")</f>
        <v>0.193729003359463</v>
      </c>
      <c r="L191" s="40">
        <f>IFERROR(IF(K190=0,"",L190/K190-1),"")</f>
        <v>-0.50187617260788</v>
      </c>
      <c r="M191" s="12">
        <f>IF(L190=0,"",M190/L190-1)</f>
        <v>0</v>
      </c>
      <c r="N191" s="40">
        <f>IFERROR(IF(M190=0,"",N190/M190-1),"")</f>
        <v>0.414312617702448</v>
      </c>
      <c r="O191" s="40">
        <f>IFERROR(IF(N190=0,"",O190/N190-1),"")</f>
        <v>0.436750998668442</v>
      </c>
      <c r="P191" s="40">
        <f>IFERROR(IF(O190=0,"",P190/O190-1),"")</f>
        <v>0.113994439295644</v>
      </c>
      <c r="Q191" s="40">
        <f>IFERROR(IF(P190=0,"",Q190/P190-1),"")</f>
        <v>-0.554076539101498</v>
      </c>
      <c r="R191" s="12">
        <f>IF(Q190=0,"",R190/Q190-1)</f>
        <v>0</v>
      </c>
      <c r="S191" s="40">
        <f>IFERROR(IF(R190=0,"",S190/R190-1),"")</f>
        <v>0.182835820895522</v>
      </c>
      <c r="T191" s="40">
        <f>IFERROR(IF(S190=0,"",T190/S190-1),"")</f>
        <v>0.310725552050473</v>
      </c>
      <c r="U191" s="40">
        <f>IFERROR(IF(T190=0,"",U190/T190-1),"")</f>
        <v>0.125150421179302</v>
      </c>
      <c r="V191" s="40">
        <f>IFERROR(IF(U190=0,"",V190/U190-1),"")</f>
        <v>0.206417112299465</v>
      </c>
      <c r="W191" s="12">
        <f>IF(V190=0,"",W190/V190-1)</f>
        <v>0</v>
      </c>
      <c r="X191" s="40">
        <f>IFERROR(IF(W190=0,"",X190/W190-1),"")</f>
        <v>0.227836879432624</v>
      </c>
      <c r="Y191" s="40">
        <f>IFERROR(IF(X190=0,"",Y190/X190-1),"")</f>
        <v>0.245487364620939</v>
      </c>
      <c r="Z191" s="40">
        <f>IFERROR(IF(Y190=0,"",Z190/Y190-1),"")</f>
        <v>0.142608695652174</v>
      </c>
      <c r="AA191" s="40">
        <f>IFERROR(IF(Z190=0,"",AA190/Z190-1),"")</f>
        <v>-0.532217148655505</v>
      </c>
      <c r="AB191" s="12">
        <f>IF(AA190=0,"",AB190/AA190-1)</f>
        <v>0</v>
      </c>
      <c r="AC191" s="40">
        <f>IFERROR(IF(AB190=0,"",AC190/AB190-1),"")</f>
        <v>0.373101952277657</v>
      </c>
      <c r="AD191" s="40">
        <f>IFERROR(IF(AC190=0,"",AD190/AC190-1),"")</f>
        <v>0.35781990521327</v>
      </c>
      <c r="AE191" s="40">
        <f>IFERROR(IF(AD190=0,"",AE190/AD190-1),"")</f>
        <v>0.238510762070971</v>
      </c>
      <c r="AF191" s="55">
        <f>IFERROR(IF(AE190=0,"",AF190/AE190-1),"")</f>
        <v>-0.594175669328323</v>
      </c>
      <c r="AG191" s="12">
        <f>IF(AF190=0,"",AG190/AF190-1)</f>
        <v>0</v>
      </c>
      <c r="AH191" s="55">
        <f>IFERROR(IF(AG190=0,"",AH190/AG190-1),"")</f>
        <v>0.3125</v>
      </c>
      <c r="AI191" s="55">
        <f>IFERROR(IF(AH190=0,"",AI190/AH190-1),"")</f>
        <v>0.328042328042328</v>
      </c>
      <c r="AJ191" s="55">
        <f>IFERROR(IF(AI190=0,"",AJ190/AI190-1),"")</f>
        <v>0.388686814862205</v>
      </c>
      <c r="AK191" s="55">
        <f>IF(AJ190=0,"",AK190/AJ190-1)</f>
        <v>0.388686814862205</v>
      </c>
      <c r="AL191" s="12">
        <f>IF(AK190=0,"",AL190/AK190-1)</f>
        <v>0</v>
      </c>
      <c r="AM191" s="55">
        <f>IF(AL190=0,"",AM190/AL190-1)</f>
        <v>0.388686814862205</v>
      </c>
      <c r="AN191" s="55">
        <f>IF(AM190=0,"",AN190/AM190-1)</f>
        <v>0.388686814862205</v>
      </c>
      <c r="AO191" s="55">
        <f>IF(AN190=0,"",AO190/AN190-1)</f>
        <v>0.388686814862205</v>
      </c>
      <c r="AP191" s="55">
        <f>IF(AO190=0,"",AP190/AO190-1)</f>
        <v>0.388686814862205</v>
      </c>
      <c r="AQ191" s="12">
        <f>IF(AP190=0,"",AQ190/AP190-1)</f>
        <v>0</v>
      </c>
      <c r="AR191" s="55">
        <f>IF(AQ190=0,"",AR190/AQ190-1)</f>
        <v>0.383686814862205</v>
      </c>
      <c r="AS191" s="55">
        <f>IF(AR190=0,"",AS190/AR190-1)</f>
        <v>0.383686814862205</v>
      </c>
      <c r="AT191" s="55">
        <f>IF(AS190=0,"",AT190/AS190-1)</f>
        <v>0.383686814862205</v>
      </c>
      <c r="AU191" s="55">
        <f>IF(AT190=0,"",AU190/AT190-1)</f>
        <v>0.383686814862205</v>
      </c>
      <c r="AV191" s="12">
        <f>IF(AU190=0,"",AV190/AU190-1)</f>
        <v>0</v>
      </c>
      <c r="AW191" s="55">
        <f>IF(AV190=0,"",AW190/AV190-1)</f>
        <v>0.378686814862205</v>
      </c>
      <c r="AX191" s="55">
        <f>IF(AW190=0,"",AX190/AW190-1)</f>
        <v>0.378686814862205</v>
      </c>
      <c r="AY191" s="55">
        <f>IF(AX190=0,"",AY190/AX190-1)</f>
        <v>0.378686814862205</v>
      </c>
      <c r="AZ191" s="55">
        <f>IF(AY190=0,"",AZ190/AY190-1)</f>
        <v>0.378686814862205</v>
      </c>
      <c r="BA191" s="12">
        <f>IF(AZ190=0,"",BA190/AZ190-1)</f>
        <v>0</v>
      </c>
      <c r="BB191" s="55">
        <f>IF(BA190=0,"",BB190/BA190-1)</f>
        <v>0.373686814862205</v>
      </c>
      <c r="BC191" s="55">
        <f>IF(BB190=0,"",BC190/BB190-1)</f>
        <v>0.373686814862205</v>
      </c>
      <c r="BD191" s="55">
        <f>IF(BC190=0,"",BD190/BC190-1)</f>
        <v>0.373686814862205</v>
      </c>
      <c r="BE191" s="55">
        <f>IF(BD190=0,"",BE190/BD190-1)</f>
        <v>0.373686814862205</v>
      </c>
      <c r="BF191" s="12">
        <f>IF(BE190=0,"",BF190/BE190-1)</f>
        <v>0</v>
      </c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collapsed="1">
      <c r="C192" s="14" t="inlineStr">
        <is>
          <t>Taxes payable</t>
        </is>
      </c>
      <c r="D192" s="46" t="n"/>
      <c r="E192" s="46" t="n"/>
      <c r="F192" s="46" t="n"/>
      <c r="G192" s="46" t="n"/>
      <c r="H192" s="12" t="n"/>
      <c r="I192" s="46">
        <f>'Inputs (2)'!D30</f>
        <v>0</v>
      </c>
      <c r="J192" s="46">
        <f>'Inputs (2)'!E30</f>
        <v>0</v>
      </c>
      <c r="K192" s="46">
        <f>'Inputs (2)'!F30</f>
        <v>0</v>
      </c>
      <c r="L192" s="46">
        <f>'Inputs (2)'!G30</f>
        <v>0</v>
      </c>
      <c r="M192" s="12">
        <f>'Inputs (2)'!H30</f>
        <v>0</v>
      </c>
      <c r="N192" s="46">
        <f>'Inputs (2)'!I30</f>
        <v>0</v>
      </c>
      <c r="O192" s="46">
        <f>'Inputs (2)'!J30</f>
        <v>0</v>
      </c>
      <c r="P192" s="46">
        <f>'Inputs (2)'!K30</f>
        <v>0</v>
      </c>
      <c r="Q192" s="46">
        <f>'Inputs (2)'!L30</f>
        <v>0</v>
      </c>
      <c r="R192" s="12">
        <f>'Inputs (2)'!M30</f>
        <v>0</v>
      </c>
      <c r="S192" s="46">
        <f>'Inputs (2)'!N30</f>
        <v>0</v>
      </c>
      <c r="T192" s="46">
        <f>'Inputs (2)'!O30</f>
        <v>0</v>
      </c>
      <c r="U192" s="46">
        <f>'Inputs (2)'!P30</f>
        <v>0</v>
      </c>
      <c r="V192" s="46">
        <f>'Inputs (2)'!Q30</f>
        <v>0</v>
      </c>
      <c r="W192" s="12">
        <f>'Inputs (2)'!R30</f>
        <v>0</v>
      </c>
      <c r="X192" s="46">
        <f>'Inputs (2)'!S30</f>
        <v>0</v>
      </c>
      <c r="Y192" s="46">
        <f>'Inputs (2)'!T30</f>
        <v>0</v>
      </c>
      <c r="Z192" s="46">
        <f>'Inputs (2)'!U30</f>
        <v>0</v>
      </c>
      <c r="AA192" s="46">
        <f>'Inputs (2)'!V30</f>
        <v>0</v>
      </c>
      <c r="AB192" s="12">
        <f>'Inputs (2)'!W30</f>
        <v>0</v>
      </c>
      <c r="AC192" s="46">
        <f>'Inputs (2)'!X30</f>
        <v>0</v>
      </c>
      <c r="AD192" s="46">
        <f>'Inputs (2)'!Y30</f>
        <v>0</v>
      </c>
      <c r="AE192" s="46">
        <f>'Inputs (2)'!Z30</f>
        <v>0</v>
      </c>
      <c r="AF192" s="46">
        <f>'Inputs (2)'!AA30</f>
        <v>0</v>
      </c>
      <c r="AG192" s="12">
        <f>'Inputs (2)'!AB30</f>
        <v>0</v>
      </c>
      <c r="AH192" s="12">
        <f>'Inputs (2)'!AC30</f>
        <v>0</v>
      </c>
      <c r="AI192" s="12">
        <f>'Inputs (2)'!AD30</f>
        <v>0</v>
      </c>
      <c r="AJ192" s="12">
        <f>AI192*(1+AJ16)</f>
        <v>0</v>
      </c>
      <c r="AK192" s="12">
        <f>AJ192*(1+AK16)</f>
        <v>0</v>
      </c>
      <c r="AL192" s="12">
        <f>AK192</f>
        <v>0</v>
      </c>
      <c r="AM192" s="12">
        <f>AL192*(1+AM16)</f>
        <v>0</v>
      </c>
      <c r="AN192" s="12">
        <f>AM192*(1+AN16)</f>
        <v>0</v>
      </c>
      <c r="AO192" s="12">
        <f>AN192*(1+AO16)</f>
        <v>0</v>
      </c>
      <c r="AP192" s="12">
        <f>AO192*(1+AP16)</f>
        <v>0</v>
      </c>
      <c r="AQ192" s="12">
        <f>AP192</f>
        <v>0</v>
      </c>
      <c r="AR192" s="12">
        <f>AQ192*(1+AR16)</f>
        <v>0</v>
      </c>
      <c r="AS192" s="12">
        <f>AR192*(1+AS16)</f>
        <v>0</v>
      </c>
      <c r="AT192" s="12">
        <f>AS192*(1+AT16)</f>
        <v>0</v>
      </c>
      <c r="AU192" s="12">
        <f>AT192*(1+AU16)</f>
        <v>0</v>
      </c>
      <c r="AV192" s="12">
        <f>AU192</f>
        <v>0</v>
      </c>
      <c r="AW192" s="12">
        <f>AV192*(1+AW16)</f>
        <v>0</v>
      </c>
      <c r="AX192" s="12">
        <f>AW192*(1+AX16)</f>
        <v>0</v>
      </c>
      <c r="AY192" s="12">
        <f>AX192*(1+AY16)</f>
        <v>0</v>
      </c>
      <c r="AZ192" s="12">
        <f>AY192*(1+AZ16)</f>
        <v>0</v>
      </c>
      <c r="BA192" s="12">
        <f>AZ192</f>
        <v>0</v>
      </c>
      <c r="BB192" s="12">
        <f>BA192*(1+BB16)</f>
        <v>0</v>
      </c>
      <c r="BC192" s="12">
        <f>BB192*(1+BC16)</f>
        <v>0</v>
      </c>
      <c r="BD192" s="12">
        <f>BC192*(1+BD16)</f>
        <v>0</v>
      </c>
      <c r="BE192" s="12">
        <f>BD192*(1+BE16)</f>
        <v>0</v>
      </c>
      <c r="BF192" s="12">
        <f>BE192</f>
        <v>0</v>
      </c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>
      <c r="C193" s="14" t="inlineStr">
        <is>
          <t>Other current liabilities (non-debt)</t>
        </is>
      </c>
      <c r="D193" s="46" t="n"/>
      <c r="E193" s="46" t="n"/>
      <c r="F193" s="46" t="n"/>
      <c r="G193" s="46" t="n"/>
      <c r="H193" s="12" t="n"/>
      <c r="I193" s="46">
        <f>'Inputs (2)'!D31</f>
        <v>4689</v>
      </c>
      <c r="J193" s="46">
        <f>'Inputs (2)'!E31</f>
        <v>4361</v>
      </c>
      <c r="K193" s="46">
        <f>'Inputs (2)'!F31</f>
        <v>3839</v>
      </c>
      <c r="L193" s="46">
        <f>'Inputs (2)'!G31</f>
        <v>4378</v>
      </c>
      <c r="M193" s="12">
        <f>'Inputs (2)'!H31</f>
        <v>4378</v>
      </c>
      <c r="N193" s="46">
        <f>'Inputs (2)'!I31</f>
        <v>4788</v>
      </c>
      <c r="O193" s="46">
        <f>'Inputs (2)'!J31</f>
        <v>4607</v>
      </c>
      <c r="P193" s="46">
        <f>'Inputs (2)'!K31</f>
        <v>4412</v>
      </c>
      <c r="Q193" s="46">
        <f>'Inputs (2)'!L31</f>
        <v>4909</v>
      </c>
      <c r="R193" s="12">
        <f>'Inputs (2)'!M31</f>
        <v>4909</v>
      </c>
      <c r="S193" s="46">
        <f>'Inputs (2)'!N31</f>
        <v>4929</v>
      </c>
      <c r="T193" s="46">
        <f>'Inputs (2)'!O31</f>
        <v>4403</v>
      </c>
      <c r="U193" s="46">
        <f>'Inputs (2)'!P31</f>
        <v>3652</v>
      </c>
      <c r="V193" s="46">
        <f>'Inputs (2)'!Q31</f>
        <v>15312</v>
      </c>
      <c r="W193" s="12">
        <f>'Inputs (2)'!R31</f>
        <v>15312</v>
      </c>
      <c r="X193" s="46">
        <f>'Inputs (2)'!S31</f>
        <v>14919</v>
      </c>
      <c r="Y193" s="46">
        <f>'Inputs (2)'!T31</f>
        <v>12578</v>
      </c>
      <c r="Z193" s="46">
        <f>'Inputs (2)'!U31</f>
        <v>11793</v>
      </c>
      <c r="AA193" s="46">
        <f>'Inputs (2)'!V31</f>
        <v>12430</v>
      </c>
      <c r="AB193" s="12">
        <f>'Inputs (2)'!W31</f>
        <v>12430</v>
      </c>
      <c r="AC193" s="46">
        <f>'Inputs (2)'!X31</f>
        <v>12503</v>
      </c>
      <c r="AD193" s="46">
        <f>'Inputs (2)'!Y31</f>
        <v>12154</v>
      </c>
      <c r="AE193" s="46">
        <f>'Inputs (2)'!Z31</f>
        <v>11673</v>
      </c>
      <c r="AF193" s="46">
        <f>'Inputs (2)'!AA31</f>
        <v>11631</v>
      </c>
      <c r="AG193" s="12">
        <f>'Inputs (2)'!AB31</f>
        <v>11631</v>
      </c>
      <c r="AH193" s="12">
        <f>'Inputs (2)'!AC31</f>
        <v>13139</v>
      </c>
      <c r="AI193" s="12">
        <f>'Inputs (2)'!AD31</f>
        <v>13080</v>
      </c>
      <c r="AJ193" s="12">
        <f>AI193</f>
        <v>13080</v>
      </c>
      <c r="AK193" s="12">
        <f>AJ193</f>
        <v>13080</v>
      </c>
      <c r="AL193" s="12">
        <f>AK193</f>
        <v>13080</v>
      </c>
      <c r="AM193" s="12">
        <f>AL193</f>
        <v>13080</v>
      </c>
      <c r="AN193" s="12">
        <f>AM193</f>
        <v>13080</v>
      </c>
      <c r="AO193" s="12">
        <f>AN193</f>
        <v>13080</v>
      </c>
      <c r="AP193" s="12">
        <f>AO193</f>
        <v>13080</v>
      </c>
      <c r="AQ193" s="12">
        <f>AP193</f>
        <v>13080</v>
      </c>
      <c r="AR193" s="12">
        <f>AQ193</f>
        <v>13080</v>
      </c>
      <c r="AS193" s="12">
        <f>AR193</f>
        <v>13080</v>
      </c>
      <c r="AT193" s="12">
        <f>AS193</f>
        <v>13080</v>
      </c>
      <c r="AU193" s="12">
        <f>AT193</f>
        <v>13080</v>
      </c>
      <c r="AV193" s="12">
        <f>AU193</f>
        <v>13080</v>
      </c>
      <c r="AW193" s="12">
        <f>AV193</f>
        <v>13080</v>
      </c>
      <c r="AX193" s="12">
        <f>AW193</f>
        <v>13080</v>
      </c>
      <c r="AY193" s="12">
        <f>AX193</f>
        <v>13080</v>
      </c>
      <c r="AZ193" s="12">
        <f>AY193</f>
        <v>13080</v>
      </c>
      <c r="BA193" s="12">
        <f>AZ193</f>
        <v>13080</v>
      </c>
      <c r="BB193" s="12">
        <f>BA193</f>
        <v>13080</v>
      </c>
      <c r="BC193" s="12">
        <f>BB193</f>
        <v>13080</v>
      </c>
      <c r="BD193" s="12">
        <f>BC193</f>
        <v>13080</v>
      </c>
      <c r="BE193" s="12">
        <f>BD193</f>
        <v>13080</v>
      </c>
      <c r="BF193" s="12">
        <f>BE193</f>
        <v>13080</v>
      </c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59" t="inlineStr">
        <is>
          <t>%(Var.)</t>
        </is>
      </c>
      <c r="D194" s="12" t="n"/>
      <c r="E194" s="40" t="n"/>
      <c r="F194" s="40" t="n"/>
      <c r="G194" s="40" t="n"/>
      <c r="H194" s="12" t="n"/>
      <c r="I194" s="40" t="str">
        <f>""</f>
        <v/>
      </c>
      <c r="J194" s="40">
        <f>IFERROR(IF(I193=0,"",J193/I193-1),"")</f>
        <v>-0.0699509490296438</v>
      </c>
      <c r="K194" s="40">
        <f>IFERROR(IF(J193=0,"",K193/J193-1),"")</f>
        <v>-0.119697317129099</v>
      </c>
      <c r="L194" s="40">
        <f>IFERROR(IF(K193=0,"",L193/K193-1),"")</f>
        <v>0.140401146131805</v>
      </c>
      <c r="M194" s="12">
        <f>IF(L193=0,"",M193/L193-1)</f>
        <v>0</v>
      </c>
      <c r="N194" s="40">
        <f>IFERROR(IF(M193=0,"",N193/M193-1),"")</f>
        <v>0.0936500685244404</v>
      </c>
      <c r="O194" s="40">
        <f>IFERROR(IF(N193=0,"",O193/N193-1),"")</f>
        <v>-0.0378028404344194</v>
      </c>
      <c r="P194" s="40">
        <f>IFERROR(IF(O193=0,"",P193/O193-1),"")</f>
        <v>-0.0423268938571739</v>
      </c>
      <c r="Q194" s="40">
        <f>IFERROR(IF(P193=0,"",Q193/P193-1),"")</f>
        <v>0.112647325475975</v>
      </c>
      <c r="R194" s="12">
        <f>IF(Q193=0,"",R193/Q193-1)</f>
        <v>0</v>
      </c>
      <c r="S194" s="40">
        <f>IFERROR(IF(R193=0,"",S193/R193-1),"")</f>
        <v>0.00407414952128748</v>
      </c>
      <c r="T194" s="40">
        <f>IFERROR(IF(S193=0,"",T193/S193-1),"")</f>
        <v>-0.106715358084804</v>
      </c>
      <c r="U194" s="40">
        <f>IFERROR(IF(T193=0,"",U193/T193-1),"")</f>
        <v>-0.1705655235067</v>
      </c>
      <c r="V194" s="40">
        <f>IFERROR(IF(U193=0,"",V193/U193-1),"")</f>
        <v>3.19277108433735</v>
      </c>
      <c r="W194" s="12">
        <f>IF(V193=0,"",W193/V193-1)</f>
        <v>0</v>
      </c>
      <c r="X194" s="40">
        <f>IFERROR(IF(W193=0,"",X193/W193-1),"")</f>
        <v>-0.025666144200627</v>
      </c>
      <c r="Y194" s="40">
        <f>IFERROR(IF(X193=0,"",Y193/X193-1),"")</f>
        <v>-0.156914002278973</v>
      </c>
      <c r="Z194" s="40">
        <f>IFERROR(IF(Y193=0,"",Z193/Y193-1),"")</f>
        <v>-0.0624105581173478</v>
      </c>
      <c r="AA194" s="40">
        <f>IFERROR(IF(Z193=0,"",AA193/Z193-1),"")</f>
        <v>0.0540150936996524</v>
      </c>
      <c r="AB194" s="12">
        <f>IF(AA193=0,"",AB193/AA193-1)</f>
        <v>0</v>
      </c>
      <c r="AC194" s="40">
        <f>IFERROR(IF(AB193=0,"",AC193/AB193-1),"")</f>
        <v>0.00587288817377307</v>
      </c>
      <c r="AD194" s="40">
        <f>IFERROR(IF(AC193=0,"",AD193/AC193-1),"")</f>
        <v>-0.0279133008078061</v>
      </c>
      <c r="AE194" s="40">
        <f>IFERROR(IF(AD193=0,"",AE193/AD193-1),"")</f>
        <v>-0.0395754484120454</v>
      </c>
      <c r="AF194" s="55">
        <f>IFERROR(IF(AE193=0,"",AF193/AE193-1),"")</f>
        <v>-0.00359804677460807</v>
      </c>
      <c r="AG194" s="12">
        <f>IF(AF193=0,"",AG193/AF193-1)</f>
        <v>0</v>
      </c>
      <c r="AH194" s="55">
        <f>IFERROR(IF(AG193=0,"",AH193/AG193-1),"")</f>
        <v>0.129653512165764</v>
      </c>
      <c r="AI194" s="55">
        <f>IFERROR(IF(AH193=0,"",AI193/AH193-1),"")</f>
        <v>-0.00449044828373546</v>
      </c>
      <c r="AJ194" s="55">
        <f>IFERROR(IF(AI193=0,"",AJ193/AI193-1),"")</f>
        <v>0</v>
      </c>
      <c r="AK194" s="55">
        <f>IFERROR(IF(AJ193=0,"",AK193/AJ193-1),"")</f>
        <v>0</v>
      </c>
      <c r="AL194" s="12">
        <f>IFERROR(IF(AK193=0,"",AL193/AK193-1),"")</f>
        <v>0</v>
      </c>
      <c r="AM194" s="55">
        <f>IFERROR(IF(AL193=0,"",AM193/AL193-1),"")</f>
        <v>0</v>
      </c>
      <c r="AN194" s="55">
        <f>IFERROR(IF(AM193=0,"",AN193/AM193-1),"")</f>
        <v>0</v>
      </c>
      <c r="AO194" s="55">
        <f>IFERROR(IF(AN193=0,"",AO193/AN193-1),"")</f>
        <v>0</v>
      </c>
      <c r="AP194" s="55">
        <f>IFERROR(IF(AO193=0,"",AP193/AO193-1),"")</f>
        <v>0</v>
      </c>
      <c r="AQ194" s="12">
        <f>IFERROR(IF(AP193=0,"",AQ193/AP193-1),"")</f>
        <v>0</v>
      </c>
      <c r="AR194" s="55">
        <f>IFERROR(IF(AQ193=0,"",AR193/AQ193-1),"")</f>
        <v>0</v>
      </c>
      <c r="AS194" s="55">
        <f>IFERROR(IF(AR193=0,"",AS193/AR193-1),"")</f>
        <v>0</v>
      </c>
      <c r="AT194" s="55">
        <f>IFERROR(IF(AS193=0,"",AT193/AS193-1),"")</f>
        <v>0</v>
      </c>
      <c r="AU194" s="55">
        <f>IFERROR(IF(AT193=0,"",AU193/AT193-1),"")</f>
        <v>0</v>
      </c>
      <c r="AV194" s="12">
        <f>IFERROR(IF(AU193=0,"",AV193/AU193-1),"")</f>
        <v>0</v>
      </c>
      <c r="AW194" s="55">
        <f>IFERROR(IF(AV193=0,"",AW193/AV193-1),"")</f>
        <v>0</v>
      </c>
      <c r="AX194" s="55">
        <f>IFERROR(IF(AW193=0,"",AX193/AW193-1),"")</f>
        <v>0</v>
      </c>
      <c r="AY194" s="55">
        <f>IFERROR(IF(AX193=0,"",AY193/AX193-1),"")</f>
        <v>0</v>
      </c>
      <c r="AZ194" s="55">
        <f>IFERROR(IF(AY193=0,"",AZ193/AY193-1),"")</f>
        <v>0</v>
      </c>
      <c r="BA194" s="12">
        <f>IFERROR(IF(AZ193=0,"",BA193/AZ193-1),"")</f>
        <v>0</v>
      </c>
      <c r="BB194" s="55">
        <f>IFERROR(IF(BA193=0,"",BB193/BA193-1),"")</f>
        <v>0</v>
      </c>
      <c r="BC194" s="55">
        <f>IFERROR(IF(BB193=0,"",BC193/BB193-1),"")</f>
        <v>0</v>
      </c>
      <c r="BD194" s="55">
        <f>IFERROR(IF(BC193=0,"",BD193/BC193-1),"")</f>
        <v>0</v>
      </c>
      <c r="BE194" s="55">
        <f>IFERROR(IF(BD193=0,"",BE193/BD193-1),"")</f>
        <v>0</v>
      </c>
      <c r="BF194" s="12">
        <f>IFERROR(IF(BE193=0,"",BF193/BE193-1),"")</f>
        <v>0</v>
      </c>
      <c r="BG194" s="55" t="n"/>
      <c r="BH194" s="55" t="n"/>
      <c r="BI194" s="55" t="n"/>
      <c r="BJ194" s="55" t="n"/>
      <c r="BK194" s="12" t="n"/>
      <c r="BL194" s="55" t="n"/>
      <c r="BM194" s="55" t="n"/>
      <c r="BN194" s="55" t="n"/>
      <c r="BO194" s="55" t="n"/>
      <c r="BP194" s="12" t="n"/>
      <c r="BQ194" s="55" t="n"/>
      <c r="BR194" s="55" t="n"/>
      <c r="BS194" s="55" t="n"/>
      <c r="BT194" s="55" t="n"/>
      <c r="BU194" s="12" t="n"/>
      <c r="BV194" s="55" t="n"/>
      <c r="BW194" s="55" t="n"/>
      <c r="BX194" s="55" t="n"/>
      <c r="BY194" s="55" t="n"/>
      <c r="BZ194" s="12" t="n"/>
      <c r="CA194" s="55" t="n"/>
      <c r="CB194" s="55" t="n"/>
      <c r="CC194" s="55" t="n"/>
      <c r="CD194" s="55" t="n"/>
      <c r="CE194" s="12" t="n"/>
      <c r="CF194" s="55" t="n"/>
      <c r="CG194" s="55" t="n"/>
      <c r="CH194" s="55" t="n"/>
      <c r="CI194" s="55" t="n"/>
      <c r="CJ194" s="12" t="n"/>
      <c r="CK194" s="55" t="n"/>
      <c r="CL194" s="55" t="n"/>
      <c r="CM194" s="55" t="n"/>
      <c r="CN194" s="55" t="n"/>
      <c r="CO194" s="12" t="n"/>
      <c r="CP194" s="55" t="n"/>
      <c r="CQ194" s="55" t="n"/>
      <c r="CR194" s="55" t="n"/>
      <c r="CS194" s="55" t="n"/>
      <c r="CT194" s="12" t="n"/>
      <c r="CU194" s="55" t="n"/>
      <c r="CV194" s="55" t="n"/>
      <c r="CW194" s="55" t="n"/>
      <c r="CX194" s="55" t="n"/>
      <c r="CY194" s="12" t="n"/>
    </row>
    <row r="195" hidden="1" outlineLevel="1">
      <c r="C195" s="57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inlineStr">
        <is>
          <t xml:space="preserve">Dividendos a Pagar </t>
        </is>
      </c>
      <c r="D196" s="11" t="n"/>
      <c r="E196" s="11" t="n"/>
      <c r="F196" s="11" t="n"/>
      <c r="G196" s="11" t="n"/>
      <c r="H196" s="12" t="n"/>
      <c r="I196" s="11" t="n"/>
      <c r="J196" s="11" t="n"/>
      <c r="K196" s="11" t="n"/>
      <c r="L196" s="11" t="n"/>
      <c r="M196" s="12" t="n"/>
      <c r="N196" s="11" t="n"/>
      <c r="O196" s="11" t="n"/>
      <c r="P196" s="11" t="n"/>
      <c r="Q196" s="11" t="n"/>
      <c r="R196" s="12" t="n"/>
      <c r="S196" s="11" t="n"/>
      <c r="T196" s="11" t="n"/>
      <c r="U196" s="11" t="n"/>
      <c r="V196" s="11" t="n"/>
      <c r="W196" s="12" t="n"/>
      <c r="X196" s="11" t="n"/>
      <c r="Y196" s="11" t="n"/>
      <c r="Z196" s="11" t="n"/>
      <c r="AA196" s="11" t="n"/>
      <c r="AB196" s="12" t="n"/>
      <c r="AC196" s="11" t="n"/>
      <c r="AD196" s="11" t="n"/>
      <c r="AE196" s="11" t="n"/>
      <c r="AF196" s="11" t="n"/>
      <c r="AG196" s="12" t="n"/>
      <c r="AH196" s="11" t="n"/>
      <c r="AI196" s="11" t="n"/>
      <c r="AJ196" s="11" t="n"/>
      <c r="AK196" s="11" t="n"/>
      <c r="AL196" s="12" t="n"/>
      <c r="AM196" s="11" t="n"/>
      <c r="AN196" s="11" t="n"/>
      <c r="AO196" s="11" t="n"/>
      <c r="AP196" s="11" t="n"/>
      <c r="AQ196" s="12" t="n"/>
      <c r="AR196" s="11" t="n"/>
      <c r="AS196" s="11" t="n"/>
      <c r="AT196" s="11" t="n"/>
      <c r="AU196" s="11" t="n"/>
      <c r="AV196" s="12" t="n"/>
      <c r="AW196" s="11" t="n"/>
      <c r="AX196" s="11" t="n"/>
      <c r="AY196" s="11" t="n"/>
      <c r="AZ196" s="11" t="n"/>
      <c r="BA196" s="12" t="n"/>
      <c r="BB196" s="11" t="n"/>
      <c r="BC196" s="11" t="n"/>
      <c r="BD196" s="11" t="n"/>
      <c r="BE196" s="11" t="n"/>
      <c r="BF196" s="12" t="n"/>
      <c r="BG196" s="11" t="n"/>
      <c r="BH196" s="11" t="n"/>
      <c r="BI196" s="11" t="n"/>
      <c r="BJ196" s="11" t="n"/>
      <c r="BK196" s="12" t="n"/>
      <c r="BL196" s="11" t="n"/>
      <c r="BM196" s="11" t="n"/>
      <c r="BN196" s="11" t="n"/>
      <c r="BO196" s="11" t="n"/>
      <c r="BP196" s="12" t="n"/>
      <c r="BQ196" s="11" t="n"/>
      <c r="BR196" s="11" t="n"/>
      <c r="BS196" s="11" t="n"/>
      <c r="BT196" s="11" t="n"/>
      <c r="BU196" s="12" t="n"/>
      <c r="BV196" s="11" t="n"/>
      <c r="BW196" s="11" t="n"/>
      <c r="BX196" s="11" t="n"/>
      <c r="BY196" s="11" t="n"/>
      <c r="BZ196" s="12" t="n"/>
      <c r="CA196" s="11" t="n"/>
      <c r="CB196" s="11" t="n"/>
      <c r="CC196" s="11" t="n"/>
      <c r="CD196" s="11" t="n"/>
      <c r="CE196" s="12" t="n"/>
      <c r="CF196" s="11" t="n"/>
      <c r="CG196" s="11" t="n"/>
      <c r="CH196" s="11" t="n"/>
      <c r="CI196" s="11" t="n"/>
      <c r="CJ196" s="12" t="n"/>
      <c r="CK196" s="11" t="n"/>
      <c r="CL196" s="11" t="n"/>
      <c r="CM196" s="11" t="n"/>
      <c r="CN196" s="11" t="n"/>
      <c r="CO196" s="12" t="n"/>
      <c r="CP196" s="11" t="n"/>
      <c r="CQ196" s="11" t="n"/>
      <c r="CR196" s="11" t="n"/>
      <c r="CS196" s="11" t="n"/>
      <c r="CT196" s="12" t="n"/>
      <c r="CU196" s="11" t="n"/>
      <c r="CV196" s="11" t="n"/>
      <c r="CW196" s="11" t="n"/>
      <c r="CX196" s="11" t="n"/>
      <c r="CY196" s="12" t="n"/>
    </row>
    <row r="197" hidden="1" outlineLevel="1">
      <c r="C197" s="57" t="inlineStr">
        <is>
          <t>Contas a pagar pela aquisição de controladas</t>
        </is>
      </c>
      <c r="D197" s="11" t="n"/>
      <c r="E197" s="11" t="n"/>
      <c r="F197" s="11" t="n"/>
      <c r="G197" s="11" t="n"/>
      <c r="H197" s="12" t="n"/>
      <c r="I197" s="11" t="n"/>
      <c r="J197" s="11" t="n"/>
      <c r="K197" s="11" t="n"/>
      <c r="L197" s="11" t="n"/>
      <c r="M197" s="12" t="n"/>
      <c r="N197" s="11" t="n"/>
      <c r="O197" s="11" t="n"/>
      <c r="P197" s="11" t="n"/>
      <c r="Q197" s="11" t="n"/>
      <c r="R197" s="12" t="n"/>
      <c r="S197" s="11" t="n"/>
      <c r="T197" s="11" t="n"/>
      <c r="U197" s="11" t="n"/>
      <c r="V197" s="11" t="n"/>
      <c r="W197" s="12" t="n"/>
      <c r="X197" s="11" t="n"/>
      <c r="Y197" s="11" t="n"/>
      <c r="Z197" s="11" t="n"/>
      <c r="AA197" s="11" t="n"/>
      <c r="AB197" s="12" t="n"/>
      <c r="AC197" s="11" t="n"/>
      <c r="AD197" s="11" t="n"/>
      <c r="AE197" s="11" t="n"/>
      <c r="AF197" s="11" t="n"/>
      <c r="AG197" s="12" t="n"/>
      <c r="AH197" s="11" t="n"/>
      <c r="AI197" s="11" t="n"/>
      <c r="AJ197" s="11" t="n"/>
      <c r="AK197" s="11" t="n"/>
      <c r="AL197" s="12" t="n"/>
      <c r="AM197" s="11" t="n"/>
      <c r="AN197" s="11" t="n"/>
      <c r="AO197" s="11" t="n"/>
      <c r="AP197" s="11" t="n"/>
      <c r="AQ197" s="12" t="n"/>
      <c r="AR197" s="11" t="n"/>
      <c r="AS197" s="11" t="n"/>
      <c r="AT197" s="11" t="n"/>
      <c r="AU197" s="11" t="n"/>
      <c r="AV197" s="12" t="n"/>
      <c r="AW197" s="11" t="n"/>
      <c r="AX197" s="11" t="n"/>
      <c r="AY197" s="11" t="n"/>
      <c r="AZ197" s="11" t="n"/>
      <c r="BA197" s="12" t="n"/>
      <c r="BB197" s="11" t="n"/>
      <c r="BC197" s="11" t="n"/>
      <c r="BD197" s="11" t="n"/>
      <c r="BE197" s="11" t="n"/>
      <c r="BF197" s="12" t="n"/>
      <c r="BG197" s="11" t="n"/>
      <c r="BH197" s="11" t="n"/>
      <c r="BI197" s="11" t="n"/>
      <c r="BJ197" s="11" t="n"/>
      <c r="BK197" s="12" t="n"/>
      <c r="BL197" s="11" t="n"/>
      <c r="BM197" s="11" t="n"/>
      <c r="BN197" s="11" t="n"/>
      <c r="BO197" s="11" t="n"/>
      <c r="BP197" s="12" t="n"/>
      <c r="BQ197" s="11" t="n"/>
      <c r="BR197" s="11" t="n"/>
      <c r="BS197" s="11" t="n"/>
      <c r="BT197" s="11" t="n"/>
      <c r="BU197" s="12" t="n"/>
      <c r="BV197" s="11" t="n"/>
      <c r="BW197" s="11" t="n"/>
      <c r="BX197" s="11" t="n"/>
      <c r="BY197" s="11" t="n"/>
      <c r="BZ197" s="12" t="n"/>
      <c r="CA197" s="11" t="n"/>
      <c r="CB197" s="11" t="n"/>
      <c r="CC197" s="11" t="n"/>
      <c r="CD197" s="11" t="n"/>
      <c r="CE197" s="12" t="n"/>
      <c r="CF197" s="11" t="n"/>
      <c r="CG197" s="11" t="n"/>
      <c r="CH197" s="11" t="n"/>
      <c r="CI197" s="11" t="n"/>
      <c r="CJ197" s="12" t="n"/>
      <c r="CK197" s="11" t="n"/>
      <c r="CL197" s="11" t="n"/>
      <c r="CM197" s="11" t="n"/>
      <c r="CN197" s="11" t="n"/>
      <c r="CO197" s="12" t="n"/>
      <c r="CP197" s="11" t="n"/>
      <c r="CQ197" s="11" t="n"/>
      <c r="CR197" s="11" t="n"/>
      <c r="CS197" s="11" t="n"/>
      <c r="CT197" s="12" t="n"/>
      <c r="CU197" s="11" t="n"/>
      <c r="CV197" s="11" t="n"/>
      <c r="CW197" s="11" t="n"/>
      <c r="CX197" s="11" t="n"/>
      <c r="CY197" s="12" t="n"/>
    </row>
    <row r="198" hidden="1" outlineLevel="1">
      <c r="C198" s="57" t="inlineStr">
        <is>
          <t>Outros</t>
        </is>
      </c>
      <c r="D198" s="11" t="n"/>
      <c r="E198" s="11" t="n"/>
      <c r="F198" s="11" t="n"/>
      <c r="G198" s="11" t="n"/>
      <c r="H198" s="12" t="n"/>
      <c r="I198" s="11" t="n"/>
      <c r="J198" s="11" t="n"/>
      <c r="K198" s="11" t="n"/>
      <c r="L198" s="11" t="n"/>
      <c r="M198" s="12" t="n"/>
      <c r="N198" s="11" t="n"/>
      <c r="O198" s="11" t="n"/>
      <c r="P198" s="11" t="n"/>
      <c r="Q198" s="11" t="n"/>
      <c r="R198" s="12" t="n"/>
      <c r="S198" s="11" t="n"/>
      <c r="T198" s="11" t="n"/>
      <c r="U198" s="11" t="n"/>
      <c r="V198" s="11" t="n"/>
      <c r="W198" s="12" t="n"/>
      <c r="X198" s="11" t="n"/>
      <c r="Y198" s="11" t="n"/>
      <c r="Z198" s="11" t="n"/>
      <c r="AA198" s="11" t="n"/>
      <c r="AB198" s="12" t="n"/>
      <c r="AC198" s="11" t="n"/>
      <c r="AD198" s="11" t="n"/>
      <c r="AE198" s="11" t="n"/>
      <c r="AF198" s="11" t="n"/>
      <c r="AG198" s="12" t="n"/>
      <c r="AH198" s="11" t="n"/>
      <c r="AI198" s="11" t="n"/>
      <c r="AJ198" s="11" t="n"/>
      <c r="AK198" s="11" t="n"/>
      <c r="AL198" s="12" t="n"/>
      <c r="AM198" s="11" t="n"/>
      <c r="AN198" s="11" t="n"/>
      <c r="AO198" s="11" t="n"/>
      <c r="AP198" s="11" t="n"/>
      <c r="AQ198" s="12" t="n"/>
      <c r="AR198" s="11" t="n"/>
      <c r="AS198" s="11" t="n"/>
      <c r="AT198" s="11" t="n"/>
      <c r="AU198" s="11" t="n"/>
      <c r="AV198" s="12" t="n"/>
      <c r="AW198" s="11" t="n"/>
      <c r="AX198" s="11" t="n"/>
      <c r="AY198" s="11" t="n"/>
      <c r="AZ198" s="11" t="n"/>
      <c r="BA198" s="12" t="n"/>
      <c r="BB198" s="11" t="n"/>
      <c r="BC198" s="11" t="n"/>
      <c r="BD198" s="11" t="n"/>
      <c r="BE198" s="11" t="n"/>
      <c r="BF198" s="12" t="n"/>
      <c r="BG198" s="11" t="n"/>
      <c r="BH198" s="11" t="n"/>
      <c r="BI198" s="11" t="n"/>
      <c r="BJ198" s="11" t="n"/>
      <c r="BK198" s="12" t="n"/>
      <c r="BL198" s="11" t="n"/>
      <c r="BM198" s="11" t="n"/>
      <c r="BN198" s="11" t="n"/>
      <c r="BO198" s="11" t="n"/>
      <c r="BP198" s="12" t="n"/>
      <c r="BQ198" s="11" t="n"/>
      <c r="BR198" s="11" t="n"/>
      <c r="BS198" s="11" t="n"/>
      <c r="BT198" s="11" t="n"/>
      <c r="BU198" s="12" t="n"/>
      <c r="BV198" s="11" t="n"/>
      <c r="BW198" s="11" t="n"/>
      <c r="BX198" s="11" t="n"/>
      <c r="BY198" s="11" t="n"/>
      <c r="BZ198" s="12" t="n"/>
      <c r="CA198" s="11" t="n"/>
      <c r="CB198" s="11" t="n"/>
      <c r="CC198" s="11" t="n"/>
      <c r="CD198" s="11" t="n"/>
      <c r="CE198" s="12" t="n"/>
      <c r="CF198" s="11" t="n"/>
      <c r="CG198" s="11" t="n"/>
      <c r="CH198" s="11" t="n"/>
      <c r="CI198" s="11" t="n"/>
      <c r="CJ198" s="12" t="n"/>
      <c r="CK198" s="11" t="n"/>
      <c r="CL198" s="11" t="n"/>
      <c r="CM198" s="11" t="n"/>
      <c r="CN198" s="11" t="n"/>
      <c r="CO198" s="12" t="n"/>
      <c r="CP198" s="11" t="n"/>
      <c r="CQ198" s="11" t="n"/>
      <c r="CR198" s="11" t="n"/>
      <c r="CS198" s="11" t="n"/>
      <c r="CT198" s="12" t="n"/>
      <c r="CU198" s="11" t="n"/>
      <c r="CV198" s="11" t="n"/>
      <c r="CW198" s="11" t="n"/>
      <c r="CX198" s="11" t="n"/>
      <c r="CY198" s="12" t="n"/>
    </row>
    <row r="199" hidden="1" outlineLevel="1">
      <c r="C199" s="57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collapsed="1">
      <c r="C200" s="14" t="inlineStr">
        <is>
          <t>Current portion of long-term debt</t>
        </is>
      </c>
      <c r="D200" s="46" t="n"/>
      <c r="E200" s="46" t="n"/>
      <c r="F200" s="46" t="n"/>
      <c r="G200" s="46" t="n"/>
      <c r="H200" s="12" t="n"/>
      <c r="I200" s="46">
        <f>'Inputs (2)'!D32</f>
        <v>278</v>
      </c>
      <c r="J200" s="46">
        <f>'Inputs (2)'!E32</f>
        <v>279</v>
      </c>
      <c r="K200" s="46">
        <f>'Inputs (2)'!F32</f>
        <v>290</v>
      </c>
      <c r="L200" s="46">
        <f>'Inputs (2)'!G32</f>
        <v>300</v>
      </c>
      <c r="M200" s="12">
        <f>'Inputs (2)'!H32</f>
        <v>300</v>
      </c>
      <c r="N200" s="46">
        <f>'Inputs (2)'!I32</f>
        <v>302</v>
      </c>
      <c r="O200" s="46">
        <f>'Inputs (2)'!J32</f>
        <v>304</v>
      </c>
      <c r="P200" s="46">
        <f>'Inputs (2)'!K32</f>
        <v>440</v>
      </c>
      <c r="Q200" s="46">
        <f>'Inputs (2)'!L32</f>
        <v>1115</v>
      </c>
      <c r="R200" s="12">
        <f>'Inputs (2)'!M32</f>
        <v>1115</v>
      </c>
      <c r="S200" s="46">
        <f>'Inputs (2)'!N32</f>
        <v>1117</v>
      </c>
      <c r="T200" s="46">
        <f>'Inputs (2)'!O32</f>
        <v>1119</v>
      </c>
      <c r="U200" s="46">
        <f>'Inputs (2)'!P32</f>
        <v>1608</v>
      </c>
      <c r="V200" s="46">
        <f>'Inputs (2)'!Q32</f>
        <v>2433</v>
      </c>
      <c r="W200" s="12">
        <f>'Inputs (2)'!R32</f>
        <v>2433</v>
      </c>
      <c r="X200" s="46">
        <f>'Inputs (2)'!S32</f>
        <v>2426</v>
      </c>
      <c r="Y200" s="46">
        <f>'Inputs (2)'!T32</f>
        <v>3161</v>
      </c>
      <c r="Z200" s="46">
        <f>'Inputs (2)'!U32</f>
        <v>1271</v>
      </c>
      <c r="AA200" s="46">
        <f>'Inputs (2)'!V32</f>
        <v>5653</v>
      </c>
      <c r="AB200" s="12">
        <f>'Inputs (2)'!W32</f>
        <v>5653</v>
      </c>
      <c r="AC200" s="46">
        <f>'Inputs (2)'!X32</f>
        <v>5531</v>
      </c>
      <c r="AD200" s="46">
        <f>'Inputs (2)'!Y32</f>
        <v>1399</v>
      </c>
      <c r="AE200" s="46">
        <f>'Inputs (2)'!Z32</f>
        <v>3152</v>
      </c>
      <c r="AF200" s="46">
        <f>'Inputs (2)'!AA32</f>
        <v>2252</v>
      </c>
      <c r="AG200" s="12">
        <f>'Inputs (2)'!AB32</f>
        <v>2252</v>
      </c>
      <c r="AH200" s="12">
        <f>'Inputs (2)'!AC32</f>
        <v>2252</v>
      </c>
      <c r="AI200" s="12">
        <f>'Inputs (2)'!AD32</f>
        <v>2252</v>
      </c>
      <c r="AJ200" s="12">
        <f>AI200</f>
        <v>2252</v>
      </c>
      <c r="AK200" s="12">
        <f>AJ200</f>
        <v>2252</v>
      </c>
      <c r="AL200" s="12">
        <f>AK200</f>
        <v>2252</v>
      </c>
      <c r="AM200" s="12">
        <f>AL200</f>
        <v>2252</v>
      </c>
      <c r="AN200" s="12">
        <f>AM200</f>
        <v>2252</v>
      </c>
      <c r="AO200" s="12">
        <f>AN200</f>
        <v>2252</v>
      </c>
      <c r="AP200" s="12">
        <f>AO200</f>
        <v>2252</v>
      </c>
      <c r="AQ200" s="12">
        <f>AP200</f>
        <v>2252</v>
      </c>
      <c r="AR200" s="12">
        <f>AQ200</f>
        <v>2252</v>
      </c>
      <c r="AS200" s="12">
        <f>AR200</f>
        <v>2252</v>
      </c>
      <c r="AT200" s="12">
        <f>AS200</f>
        <v>2252</v>
      </c>
      <c r="AU200" s="12">
        <f>AT200</f>
        <v>2252</v>
      </c>
      <c r="AV200" s="12">
        <f>AU200</f>
        <v>2252</v>
      </c>
      <c r="AW200" s="12">
        <f>AV200</f>
        <v>2252</v>
      </c>
      <c r="AX200" s="12">
        <f>AW200</f>
        <v>2252</v>
      </c>
      <c r="AY200" s="12">
        <f>AX200</f>
        <v>2252</v>
      </c>
      <c r="AZ200" s="12">
        <f>AY200</f>
        <v>2252</v>
      </c>
      <c r="BA200" s="12">
        <f>AZ200</f>
        <v>2252</v>
      </c>
      <c r="BB200" s="12">
        <f>BA200</f>
        <v>2252</v>
      </c>
      <c r="BC200" s="12">
        <f>BB200</f>
        <v>2252</v>
      </c>
      <c r="BD200" s="12">
        <f>BC200</f>
        <v>2252</v>
      </c>
      <c r="BE200" s="12">
        <f>BD200</f>
        <v>2252</v>
      </c>
      <c r="BF200" s="12">
        <f>BE200</f>
        <v>2252</v>
      </c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>
      <c r="C201" s="14" t="inlineStr">
        <is>
          <t>Short term debt (Revolving credit facility)</t>
        </is>
      </c>
      <c r="D201" s="46" t="n"/>
      <c r="E201" s="46" t="n"/>
      <c r="F201" s="46" t="n"/>
      <c r="G201" s="46" t="n"/>
      <c r="H201" s="12" t="n"/>
      <c r="I201" s="46">
        <f>'Inputs (2)'!D33</f>
        <v>0</v>
      </c>
      <c r="J201" s="46">
        <f>'Inputs (2)'!E33</f>
        <v>0</v>
      </c>
      <c r="K201" s="46">
        <f>'Inputs (2)'!F33</f>
        <v>0</v>
      </c>
      <c r="L201" s="46">
        <f>'Inputs (2)'!G33</f>
        <v>0</v>
      </c>
      <c r="M201" s="12">
        <f>'Inputs (2)'!H33</f>
        <v>0</v>
      </c>
      <c r="N201" s="46">
        <f>'Inputs (2)'!I33</f>
        <v>0</v>
      </c>
      <c r="O201" s="46">
        <f>'Inputs (2)'!J33</f>
        <v>0</v>
      </c>
      <c r="P201" s="46">
        <f>'Inputs (2)'!K33</f>
        <v>0</v>
      </c>
      <c r="Q201" s="46">
        <f>'Inputs (2)'!L33</f>
        <v>0</v>
      </c>
      <c r="R201" s="12">
        <f>'Inputs (2)'!M33</f>
        <v>0</v>
      </c>
      <c r="S201" s="46">
        <f>'Inputs (2)'!N33</f>
        <v>0</v>
      </c>
      <c r="T201" s="46">
        <f>'Inputs (2)'!O33</f>
        <v>0</v>
      </c>
      <c r="U201" s="46">
        <f>'Inputs (2)'!P33</f>
        <v>0</v>
      </c>
      <c r="V201" s="46">
        <f>'Inputs (2)'!Q33</f>
        <v>0</v>
      </c>
      <c r="W201" s="12">
        <f>'Inputs (2)'!R33</f>
        <v>0</v>
      </c>
      <c r="X201" s="46">
        <f>'Inputs (2)'!S33</f>
        <v>0</v>
      </c>
      <c r="Y201" s="46">
        <f>'Inputs (2)'!T33</f>
        <v>0</v>
      </c>
      <c r="Z201" s="46">
        <f>'Inputs (2)'!U33</f>
        <v>0</v>
      </c>
      <c r="AA201" s="46">
        <f>'Inputs (2)'!V33</f>
        <v>0</v>
      </c>
      <c r="AB201" s="12">
        <f>'Inputs (2)'!W33</f>
        <v>0</v>
      </c>
      <c r="AC201" s="46">
        <f>'Inputs (2)'!X33</f>
        <v>0</v>
      </c>
      <c r="AD201" s="46">
        <f>'Inputs (2)'!Y33</f>
        <v>0</v>
      </c>
      <c r="AE201" s="46">
        <f>'Inputs (2)'!Z33</f>
        <v>0</v>
      </c>
      <c r="AF201" s="46">
        <f>'Inputs (2)'!AA33</f>
        <v>0</v>
      </c>
      <c r="AG201" s="12">
        <f>'Inputs (2)'!AB33</f>
        <v>0</v>
      </c>
      <c r="AH201" s="12">
        <f>'Inputs (2)'!AC33</f>
        <v>0</v>
      </c>
      <c r="AI201" s="12">
        <f>'Inputs (2)'!AD33</f>
        <v>0</v>
      </c>
      <c r="AJ201" s="12">
        <f>AI201</f>
        <v>0</v>
      </c>
      <c r="AK201" s="12">
        <f>AJ201</f>
        <v>0</v>
      </c>
      <c r="AL201" s="12">
        <f>AK201</f>
        <v>0</v>
      </c>
      <c r="AM201" s="12">
        <f>AL201</f>
        <v>0</v>
      </c>
      <c r="AN201" s="12">
        <f>AM201</f>
        <v>0</v>
      </c>
      <c r="AO201" s="12">
        <f>AN201</f>
        <v>0</v>
      </c>
      <c r="AP201" s="12">
        <f>AO201</f>
        <v>0</v>
      </c>
      <c r="AQ201" s="12">
        <f>AP201</f>
        <v>0</v>
      </c>
      <c r="AR201" s="12">
        <f>AQ201</f>
        <v>0</v>
      </c>
      <c r="AS201" s="12">
        <f>AR201</f>
        <v>0</v>
      </c>
      <c r="AT201" s="12">
        <f>AS201</f>
        <v>0</v>
      </c>
      <c r="AU201" s="12">
        <f>AT201</f>
        <v>0</v>
      </c>
      <c r="AV201" s="12">
        <f>AU201</f>
        <v>0</v>
      </c>
      <c r="AW201" s="12">
        <f>AV201</f>
        <v>0</v>
      </c>
      <c r="AX201" s="12">
        <f>AW201</f>
        <v>0</v>
      </c>
      <c r="AY201" s="12">
        <f>AX201</f>
        <v>0</v>
      </c>
      <c r="AZ201" s="12">
        <f>AY201</f>
        <v>0</v>
      </c>
      <c r="BA201" s="12">
        <f>AZ201</f>
        <v>0</v>
      </c>
      <c r="BB201" s="12">
        <f>BA201</f>
        <v>0</v>
      </c>
      <c r="BC201" s="12">
        <f>BB201</f>
        <v>0</v>
      </c>
      <c r="BD201" s="12">
        <f>BC201</f>
        <v>0</v>
      </c>
      <c r="BE201" s="12">
        <f>BD201</f>
        <v>0</v>
      </c>
      <c r="BF201" s="12">
        <f>BE201</f>
        <v>0</v>
      </c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>
      <c r="C202" s="14" t="inlineStr">
        <is>
          <t>Short term operating leases</t>
        </is>
      </c>
      <c r="D202" s="46" t="n"/>
      <c r="E202" s="46" t="n"/>
      <c r="F202" s="46" t="n"/>
      <c r="G202" s="46" t="n"/>
      <c r="H202" s="12" t="n"/>
      <c r="I202" s="46">
        <f>'Inputs (2)'!D34</f>
        <v>0</v>
      </c>
      <c r="J202" s="46">
        <f>'Inputs (2)'!E34</f>
        <v>0</v>
      </c>
      <c r="K202" s="46">
        <f>'Inputs (2)'!F34</f>
        <v>0</v>
      </c>
      <c r="L202" s="46">
        <f>'Inputs (2)'!G34</f>
        <v>0</v>
      </c>
      <c r="M202" s="12">
        <f>'Inputs (2)'!H34</f>
        <v>0</v>
      </c>
      <c r="N202" s="46">
        <f>'Inputs (2)'!I34</f>
        <v>0</v>
      </c>
      <c r="O202" s="46">
        <f>'Inputs (2)'!J34</f>
        <v>0</v>
      </c>
      <c r="P202" s="46">
        <f>'Inputs (2)'!K34</f>
        <v>0</v>
      </c>
      <c r="Q202" s="46">
        <f>'Inputs (2)'!L34</f>
        <v>0</v>
      </c>
      <c r="R202" s="12">
        <f>'Inputs (2)'!M34</f>
        <v>0</v>
      </c>
      <c r="S202" s="46">
        <f>'Inputs (2)'!N34</f>
        <v>0</v>
      </c>
      <c r="T202" s="46">
        <f>'Inputs (2)'!O34</f>
        <v>0</v>
      </c>
      <c r="U202" s="46">
        <f>'Inputs (2)'!P34</f>
        <v>0</v>
      </c>
      <c r="V202" s="46">
        <f>'Inputs (2)'!Q34</f>
        <v>0</v>
      </c>
      <c r="W202" s="12">
        <f>'Inputs (2)'!R34</f>
        <v>0</v>
      </c>
      <c r="X202" s="46">
        <f>'Inputs (2)'!S34</f>
        <v>0</v>
      </c>
      <c r="Y202" s="46">
        <f>'Inputs (2)'!T34</f>
        <v>0</v>
      </c>
      <c r="Z202" s="46">
        <f>'Inputs (2)'!U34</f>
        <v>0</v>
      </c>
      <c r="AA202" s="46">
        <f>'Inputs (2)'!V34</f>
        <v>0</v>
      </c>
      <c r="AB202" s="12">
        <f>'Inputs (2)'!W34</f>
        <v>0</v>
      </c>
      <c r="AC202" s="46">
        <f>'Inputs (2)'!X34</f>
        <v>0</v>
      </c>
      <c r="AD202" s="46">
        <f>'Inputs (2)'!Y34</f>
        <v>0</v>
      </c>
      <c r="AE202" s="46">
        <f>'Inputs (2)'!Z34</f>
        <v>0</v>
      </c>
      <c r="AF202" s="46">
        <f>'Inputs (2)'!AA34</f>
        <v>0</v>
      </c>
      <c r="AG202" s="12">
        <f>'Inputs (2)'!AB34</f>
        <v>0</v>
      </c>
      <c r="AH202" s="12">
        <f>'Inputs (2)'!AC34</f>
        <v>0</v>
      </c>
      <c r="AI202" s="12">
        <f>'Inputs (2)'!AD34</f>
        <v>0</v>
      </c>
      <c r="AJ202" s="12">
        <f>AI202</f>
        <v>0</v>
      </c>
      <c r="AK202" s="12">
        <f>AJ202</f>
        <v>0</v>
      </c>
      <c r="AL202" s="12">
        <f>AK202</f>
        <v>0</v>
      </c>
      <c r="AM202" s="12">
        <f>AL202</f>
        <v>0</v>
      </c>
      <c r="AN202" s="12">
        <f>AM202</f>
        <v>0</v>
      </c>
      <c r="AO202" s="12">
        <f>AN202</f>
        <v>0</v>
      </c>
      <c r="AP202" s="12">
        <f>AO202</f>
        <v>0</v>
      </c>
      <c r="AQ202" s="12">
        <f>AP202</f>
        <v>0</v>
      </c>
      <c r="AR202" s="12">
        <f>AQ202</f>
        <v>0</v>
      </c>
      <c r="AS202" s="12">
        <f>AR202</f>
        <v>0</v>
      </c>
      <c r="AT202" s="12">
        <f>AS202</f>
        <v>0</v>
      </c>
      <c r="AU202" s="12">
        <f>AT202</f>
        <v>0</v>
      </c>
      <c r="AV202" s="12">
        <f>AU202</f>
        <v>0</v>
      </c>
      <c r="AW202" s="12">
        <f>AV202</f>
        <v>0</v>
      </c>
      <c r="AX202" s="12">
        <f>AW202</f>
        <v>0</v>
      </c>
      <c r="AY202" s="12">
        <f>AX202</f>
        <v>0</v>
      </c>
      <c r="AZ202" s="12">
        <f>AY202</f>
        <v>0</v>
      </c>
      <c r="BA202" s="12">
        <f>AZ202</f>
        <v>0</v>
      </c>
      <c r="BB202" s="12">
        <f>BA202</f>
        <v>0</v>
      </c>
      <c r="BC202" s="12">
        <f>BB202</f>
        <v>0</v>
      </c>
      <c r="BD202" s="12">
        <f>BC202</f>
        <v>0</v>
      </c>
      <c r="BE202" s="12">
        <f>BD202</f>
        <v>0</v>
      </c>
      <c r="BF202" s="12">
        <f>BE202</f>
        <v>0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 t="str">
        <f>IFERROR(IF(I202=0,"",J202/I202-1),"")</f>
        <v/>
      </c>
      <c r="K203" s="40" t="str">
        <f>IFERROR(IF(J202=0,"",K202/J202-1),"")</f>
        <v/>
      </c>
      <c r="L203" s="40" t="str">
        <f>IFERROR(IF(K202=0,"",L202/K202-1),"")</f>
        <v/>
      </c>
      <c r="M203" s="12" t="str">
        <f>IF(L202=0,"",M202/L202-1)</f>
        <v/>
      </c>
      <c r="N203" s="40" t="str">
        <f>IFERROR(IF(M202=0,"",N202/M202-1),"")</f>
        <v/>
      </c>
      <c r="O203" s="40" t="str">
        <f>IFERROR(IF(N202=0,"",O202/N202-1),"")</f>
        <v/>
      </c>
      <c r="P203" s="40" t="str">
        <f>IFERROR(IF(O202=0,"",P202/O202-1),"")</f>
        <v/>
      </c>
      <c r="Q203" s="40" t="str">
        <f>IFERROR(IF(P202=0,"",Q202/P202-1),"")</f>
        <v/>
      </c>
      <c r="R203" s="12" t="str">
        <f>IF(Q202=0,"",R202/Q202-1)</f>
        <v/>
      </c>
      <c r="S203" s="40" t="str">
        <f>IFERROR(IF(R202=0,"",S202/R202-1),"")</f>
        <v/>
      </c>
      <c r="T203" s="40" t="str">
        <f>IFERROR(IF(S202=0,"",T202/S202-1),"")</f>
        <v/>
      </c>
      <c r="U203" s="40" t="str">
        <f>IFERROR(IF(T202=0,"",U202/T202-1),"")</f>
        <v/>
      </c>
      <c r="V203" s="40" t="str">
        <f>IFERROR(IF(U202=0,"",V202/U202-1),"")</f>
        <v/>
      </c>
      <c r="W203" s="12" t="str">
        <f>IF(V202=0,"",W202/V202-1)</f>
        <v/>
      </c>
      <c r="X203" s="40" t="str">
        <f>IFERROR(IF(W202=0,"",X202/W202-1),"")</f>
        <v/>
      </c>
      <c r="Y203" s="40" t="str">
        <f>IFERROR(IF(X202=0,"",Y202/X202-1),"")</f>
        <v/>
      </c>
      <c r="Z203" s="40" t="str">
        <f>IFERROR(IF(Y202=0,"",Z202/Y202-1),"")</f>
        <v/>
      </c>
      <c r="AA203" s="40" t="str">
        <f>IFERROR(IF(Z202=0,"",AA202/Z202-1),"")</f>
        <v/>
      </c>
      <c r="AB203" s="12" t="str">
        <f>IF(AA202=0,"",AB202/AA202-1)</f>
        <v/>
      </c>
      <c r="AC203" s="40" t="str">
        <f>IFERROR(IF(AB202=0,"",AC202/AB202-1),"")</f>
        <v/>
      </c>
      <c r="AD203" s="40" t="str">
        <f>IFERROR(IF(AC202=0,"",AD202/AC202-1),"")</f>
        <v/>
      </c>
      <c r="AE203" s="40" t="str">
        <f>IFERROR(IF(AD202=0,"",AE202/AD202-1),"")</f>
        <v/>
      </c>
      <c r="AF203" s="11" t="str">
        <f>IFERROR(IF(AE202=0,"",AF202/AE202-1),"")</f>
        <v/>
      </c>
      <c r="AG203" s="12" t="str">
        <f>IF(AF202=0,"",AG202/AF202-1)</f>
        <v/>
      </c>
      <c r="AH203" s="11" t="str">
        <f>IFERROR(IF(AG202=0,"",AH202/AG202-1),"")</f>
        <v/>
      </c>
      <c r="AI203" s="11" t="str">
        <f>IFERROR(IF(AH202=0,"",AI202/AH202-1),"")</f>
        <v/>
      </c>
      <c r="AJ203" s="11" t="str">
        <f>IFERROR(IF(AI202=0,"",AJ202/AI202-1),"")</f>
        <v/>
      </c>
      <c r="AK203" s="11" t="str">
        <f>IFERROR(IF(AJ202=0,"",AK202/AJ202-1),"")</f>
        <v/>
      </c>
      <c r="AL203" s="12" t="str">
        <f>IFERROR(IF(AK202=0,"",AL202/AK202-1),"")</f>
        <v/>
      </c>
      <c r="AM203" s="11" t="str">
        <f>IFERROR(IF(AL202=0,"",AM202/AL202-1),"")</f>
        <v/>
      </c>
      <c r="AN203" s="11" t="str">
        <f>IFERROR(IF(AM202=0,"",AN202/AM202-1),"")</f>
        <v/>
      </c>
      <c r="AO203" s="11" t="str">
        <f>IFERROR(IF(AN202=0,"",AO202/AN202-1),"")</f>
        <v/>
      </c>
      <c r="AP203" s="11" t="str">
        <f>IFERROR(IF(AO202=0,"",AP202/AO202-1),"")</f>
        <v/>
      </c>
      <c r="AQ203" s="12" t="str">
        <f>IFERROR(IF(AP202=0,"",AQ202/AP202-1),"")</f>
        <v/>
      </c>
      <c r="AR203" s="11" t="str">
        <f>IFERROR(IF(AQ202=0,"",AR202/AQ202-1),"")</f>
        <v/>
      </c>
      <c r="AS203" s="11" t="str">
        <f>IFERROR(IF(AR202=0,"",AS202/AR202-1),"")</f>
        <v/>
      </c>
      <c r="AT203" s="11" t="str">
        <f>IFERROR(IF(AS202=0,"",AT202/AS202-1),"")</f>
        <v/>
      </c>
      <c r="AU203" s="11" t="str">
        <f>IFERROR(IF(AT202=0,"",AU202/AT202-1),"")</f>
        <v/>
      </c>
      <c r="AV203" s="12" t="str">
        <f>IFERROR(IF(AU202=0,"",AV202/AU202-1),"")</f>
        <v/>
      </c>
      <c r="AW203" s="11" t="str">
        <f>IFERROR(IF(AV202=0,"",AW202/AV202-1),"")</f>
        <v/>
      </c>
      <c r="AX203" s="11" t="str">
        <f>IFERROR(IF(AW202=0,"",AX202/AW202-1),"")</f>
        <v/>
      </c>
      <c r="AY203" s="11" t="str">
        <f>IFERROR(IF(AX202=0,"",AY202/AX202-1),"")</f>
        <v/>
      </c>
      <c r="AZ203" s="11" t="str">
        <f>IFERROR(IF(AY202=0,"",AZ202/AY202-1),"")</f>
        <v/>
      </c>
      <c r="BA203" s="12" t="str">
        <f>IFERROR(IF(AZ202=0,"",BA202/AZ202-1),"")</f>
        <v/>
      </c>
      <c r="BB203" s="11" t="str">
        <f>IFERROR(IF(BA202=0,"",BB202/BA202-1),"")</f>
        <v/>
      </c>
      <c r="BC203" s="11" t="str">
        <f>IFERROR(IF(BB202=0,"",BC202/BB202-1),"")</f>
        <v/>
      </c>
      <c r="BD203" s="11" t="str">
        <f>IFERROR(IF(BC202=0,"",BD202/BC202-1),"")</f>
        <v/>
      </c>
      <c r="BE203" s="11" t="str">
        <f>IFERROR(IF(BD202=0,"",BE202/BD202-1),"")</f>
        <v/>
      </c>
      <c r="BF203" s="12" t="str">
        <f>IFERROR(IF(BE202=0,"",BF202/BE202-1),"")</f>
        <v/>
      </c>
      <c r="BG203" s="11" t="n"/>
      <c r="BH203" s="11" t="n"/>
      <c r="BI203" s="11" t="n"/>
      <c r="BJ203" s="11" t="n"/>
      <c r="BK203" s="12" t="n"/>
      <c r="BL203" s="11" t="n"/>
      <c r="BM203" s="11" t="n"/>
      <c r="BN203" s="11" t="n"/>
      <c r="BO203" s="11" t="n"/>
      <c r="BP203" s="12" t="n"/>
      <c r="BQ203" s="11" t="n"/>
      <c r="BR203" s="11" t="n"/>
      <c r="BS203" s="11" t="n"/>
      <c r="BT203" s="11" t="n"/>
      <c r="BU203" s="12" t="n"/>
      <c r="BV203" s="11" t="n"/>
      <c r="BW203" s="11" t="n"/>
      <c r="BX203" s="11" t="n"/>
      <c r="BY203" s="11" t="n"/>
      <c r="BZ203" s="12" t="n"/>
      <c r="CA203" s="11" t="n"/>
      <c r="CB203" s="11" t="n"/>
      <c r="CC203" s="11" t="n"/>
      <c r="CD203" s="11" t="n"/>
      <c r="CE203" s="12" t="n"/>
      <c r="CF203" s="11" t="n"/>
      <c r="CG203" s="11" t="n"/>
      <c r="CH203" s="11" t="n"/>
      <c r="CI203" s="11" t="n"/>
      <c r="CJ203" s="12" t="n"/>
      <c r="CK203" s="11" t="n"/>
      <c r="CL203" s="11" t="n"/>
      <c r="CM203" s="11" t="n"/>
      <c r="CN203" s="11" t="n"/>
      <c r="CO203" s="12" t="n"/>
      <c r="CP203" s="11" t="n"/>
      <c r="CQ203" s="11" t="n"/>
      <c r="CR203" s="11" t="n"/>
      <c r="CS203" s="11" t="n"/>
      <c r="CT203" s="12" t="n"/>
      <c r="CU203" s="11" t="n"/>
      <c r="CV203" s="11" t="n"/>
      <c r="CW203" s="11" t="n"/>
      <c r="CX203" s="11" t="n"/>
      <c r="CY203" s="12" t="n"/>
    </row>
    <row r="204" hidden="1" outlineLevel="1">
      <c r="C204" s="57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collapsed="1">
      <c r="C205" s="14" t="inlineStr">
        <is>
          <t>Long term debt</t>
        </is>
      </c>
      <c r="D205" s="46" t="n"/>
      <c r="E205" s="46" t="n"/>
      <c r="F205" s="46" t="n"/>
      <c r="G205" s="46" t="n"/>
      <c r="H205" s="12" t="n"/>
      <c r="I205" s="46">
        <f>'Inputs (2)'!D35</f>
        <v>40160</v>
      </c>
      <c r="J205" s="46">
        <f>'Inputs (2)'!E35</f>
        <v>40178</v>
      </c>
      <c r="K205" s="46">
        <f>'Inputs (2)'!F35</f>
        <v>39440</v>
      </c>
      <c r="L205" s="46">
        <f>'Inputs (2)'!G35</f>
        <v>39205</v>
      </c>
      <c r="M205" s="12">
        <f>'Inputs (2)'!H35</f>
        <v>39205</v>
      </c>
      <c r="N205" s="46">
        <f>'Inputs (2)'!I35</f>
        <v>39164</v>
      </c>
      <c r="O205" s="46">
        <f>'Inputs (2)'!J35</f>
        <v>39191</v>
      </c>
      <c r="P205" s="46">
        <f>'Inputs (2)'!K35</f>
        <v>39075</v>
      </c>
      <c r="Q205" s="46">
        <f>'Inputs (2)'!L35</f>
        <v>38167</v>
      </c>
      <c r="R205" s="12">
        <f>'Inputs (2)'!M35</f>
        <v>38167</v>
      </c>
      <c r="S205" s="46">
        <f>'Inputs (2)'!N35</f>
        <v>38194</v>
      </c>
      <c r="T205" s="46">
        <f>'Inputs (2)'!O35</f>
        <v>38222</v>
      </c>
      <c r="U205" s="46">
        <f>'Inputs (2)'!P35</f>
        <v>37621</v>
      </c>
      <c r="V205" s="46">
        <f>'Inputs (2)'!Q35</f>
        <v>73468</v>
      </c>
      <c r="W205" s="12">
        <f>'Inputs (2)'!R35</f>
        <v>73468</v>
      </c>
      <c r="X205" s="46">
        <f>'Inputs (2)'!S35</f>
        <v>71590</v>
      </c>
      <c r="Y205" s="46">
        <f>'Inputs (2)'!T35</f>
        <v>66798</v>
      </c>
      <c r="Z205" s="46">
        <f>'Inputs (2)'!U35</f>
        <v>66295</v>
      </c>
      <c r="AA205" s="46">
        <f>'Inputs (2)'!V35</f>
        <v>60926</v>
      </c>
      <c r="AB205" s="12">
        <f>'Inputs (2)'!W35</f>
        <v>60926</v>
      </c>
      <c r="AC205" s="46">
        <f>'Inputs (2)'!X35</f>
        <v>61751</v>
      </c>
      <c r="AD205" s="46">
        <f>'Inputs (2)'!Y35</f>
        <v>62830</v>
      </c>
      <c r="AE205" s="46">
        <f>'Inputs (2)'!Z35</f>
        <v>61984</v>
      </c>
      <c r="AF205" s="46">
        <f>'Inputs (2)'!AA35</f>
        <v>63805</v>
      </c>
      <c r="AG205" s="12">
        <f>'Inputs (2)'!AB35</f>
        <v>63805</v>
      </c>
      <c r="AH205" s="12">
        <f>'Inputs (2)'!AC35</f>
        <v>62655</v>
      </c>
      <c r="AI205" s="12">
        <f>'Inputs (2)'!AD35</f>
        <v>57167</v>
      </c>
      <c r="AJ205" s="12">
        <f>AJ211</f>
        <v>57167</v>
      </c>
      <c r="AK205" s="12">
        <f>AK211</f>
        <v>57167</v>
      </c>
      <c r="AL205" s="12">
        <f>AK205</f>
        <v>57167</v>
      </c>
      <c r="AM205" s="12">
        <f>AM211</f>
        <v>57167</v>
      </c>
      <c r="AN205" s="12">
        <f>AN211</f>
        <v>57167</v>
      </c>
      <c r="AO205" s="12">
        <f>AO211</f>
        <v>57167</v>
      </c>
      <c r="AP205" s="12">
        <f>AP211</f>
        <v>57167</v>
      </c>
      <c r="AQ205" s="12">
        <f>AP205</f>
        <v>57167</v>
      </c>
      <c r="AR205" s="12">
        <f>AR211</f>
        <v>57167</v>
      </c>
      <c r="AS205" s="12">
        <f>AS211</f>
        <v>57167</v>
      </c>
      <c r="AT205" s="12">
        <f>AT211</f>
        <v>57167</v>
      </c>
      <c r="AU205" s="12">
        <f>AU211</f>
        <v>57167</v>
      </c>
      <c r="AV205" s="12">
        <f>AU205</f>
        <v>57167</v>
      </c>
      <c r="AW205" s="12">
        <f>AW211</f>
        <v>57167</v>
      </c>
      <c r="AX205" s="12">
        <f>AX211</f>
        <v>57167</v>
      </c>
      <c r="AY205" s="12">
        <f>AY211</f>
        <v>57167</v>
      </c>
      <c r="AZ205" s="12">
        <f>AZ211</f>
        <v>57167</v>
      </c>
      <c r="BA205" s="12">
        <f>AZ205</f>
        <v>57167</v>
      </c>
      <c r="BB205" s="12">
        <f>BB211</f>
        <v>57167</v>
      </c>
      <c r="BC205" s="12">
        <f>BC211</f>
        <v>57167</v>
      </c>
      <c r="BD205" s="12">
        <f>BD211</f>
        <v>57167</v>
      </c>
      <c r="BE205" s="12">
        <f>BE211</f>
        <v>57167</v>
      </c>
      <c r="BF205" s="12">
        <f>BE205</f>
        <v>57167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7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inlineStr">
        <is>
          <t>Current portion of LTD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>
        <f>AF200</f>
        <v>2252</v>
      </c>
      <c r="AI207" s="62" t="n"/>
      <c r="AJ207" s="62" t="n"/>
      <c r="AK207" s="62" t="n"/>
      <c r="AL207" s="12" t="n"/>
      <c r="AM207" s="12">
        <f>AK200</f>
        <v>2252</v>
      </c>
      <c r="AN207" s="62" t="n"/>
      <c r="AO207" s="62" t="n"/>
      <c r="AP207" s="62" t="n"/>
      <c r="AQ207" s="12" t="n"/>
      <c r="AR207" s="12">
        <f>AP200</f>
        <v>2252</v>
      </c>
      <c r="AS207" s="62" t="n"/>
      <c r="AT207" s="62" t="n"/>
      <c r="AU207" s="62" t="n"/>
      <c r="AV207" s="12" t="n"/>
      <c r="AW207" s="12">
        <f>AU200</f>
        <v>2252</v>
      </c>
      <c r="AX207" s="62" t="n"/>
      <c r="AY207" s="62" t="n"/>
      <c r="AZ207" s="62" t="n"/>
      <c r="BA207" s="12" t="n"/>
      <c r="BB207" s="12">
        <f>AZ200</f>
        <v>2252</v>
      </c>
      <c r="BC207" s="62" t="n"/>
      <c r="BD207" s="62" t="n"/>
      <c r="BE207" s="62" t="n"/>
      <c r="BF207" s="12" t="n"/>
      <c r="BG207" s="12" t="n"/>
      <c r="BH207" s="62" t="n"/>
      <c r="BI207" s="62" t="n"/>
      <c r="BJ207" s="62" t="n"/>
      <c r="BK207" s="12" t="n"/>
      <c r="BL207" s="12" t="n"/>
      <c r="BM207" s="62" t="n"/>
      <c r="BN207" s="62" t="n"/>
      <c r="BO207" s="62" t="n"/>
      <c r="BP207" s="12" t="n"/>
      <c r="BQ207" s="12" t="n"/>
      <c r="BR207" s="62" t="n"/>
      <c r="BS207" s="62" t="n"/>
      <c r="BT207" s="62" t="n"/>
      <c r="BU207" s="12" t="n"/>
      <c r="BV207" s="12" t="n"/>
      <c r="BW207" s="62" t="n"/>
      <c r="BX207" s="62" t="n"/>
      <c r="BY207" s="62" t="n"/>
      <c r="BZ207" s="12" t="n"/>
      <c r="CA207" s="12" t="n"/>
      <c r="CB207" s="62" t="n"/>
      <c r="CC207" s="62" t="n"/>
      <c r="CD207" s="62" t="n"/>
      <c r="CE207" s="12" t="n"/>
      <c r="CF207" s="12" t="n"/>
      <c r="CG207" s="62" t="n"/>
      <c r="CH207" s="62" t="n"/>
      <c r="CI207" s="62" t="n"/>
      <c r="CJ207" s="12" t="n"/>
      <c r="CK207" s="12" t="n"/>
      <c r="CL207" s="62" t="n"/>
      <c r="CM207" s="62" t="n"/>
      <c r="CN207" s="62" t="n"/>
      <c r="CO207" s="12" t="n"/>
      <c r="CP207" s="12" t="n"/>
      <c r="CQ207" s="62" t="n"/>
      <c r="CR207" s="62" t="n"/>
      <c r="CS207" s="62" t="n"/>
      <c r="CT207" s="12" t="n"/>
      <c r="CU207" s="12" t="n"/>
      <c r="CV207" s="62" t="n"/>
      <c r="CW207" s="62" t="n"/>
      <c r="CX207" s="62" t="n"/>
      <c r="CY207" s="12" t="n"/>
    </row>
    <row r="208" hidden="1" outlineLevel="1">
      <c r="C208" s="57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hidden="1" outlineLevel="1">
      <c r="C209" s="57" t="inlineStr">
        <is>
          <t>Reclassification of LTD to CP of LTD</t>
        </is>
      </c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>
        <f>-AI207</f>
        <v>0</v>
      </c>
      <c r="AJ209" s="12">
        <f>-AJ207</f>
        <v>0</v>
      </c>
      <c r="AK209" s="12">
        <f>-AK207</f>
        <v>0</v>
      </c>
      <c r="AL209" s="12" t="n"/>
      <c r="AM209" s="12" t="n"/>
      <c r="AN209" s="12">
        <f>-AN207</f>
        <v>0</v>
      </c>
      <c r="AO209" s="12">
        <f>-AO207</f>
        <v>0</v>
      </c>
      <c r="AP209" s="12">
        <f>-AP207</f>
        <v>0</v>
      </c>
      <c r="AQ209" s="12" t="n"/>
      <c r="AR209" s="12" t="n"/>
      <c r="AS209" s="12">
        <f>-AS207</f>
        <v>0</v>
      </c>
      <c r="AT209" s="12">
        <f>-AT207</f>
        <v>0</v>
      </c>
      <c r="AU209" s="12">
        <f>-AU207</f>
        <v>0</v>
      </c>
      <c r="AV209" s="12" t="n"/>
      <c r="AW209" s="12" t="n"/>
      <c r="AX209" s="12">
        <f>-AX207</f>
        <v>0</v>
      </c>
      <c r="AY209" s="12">
        <f>-AY207</f>
        <v>0</v>
      </c>
      <c r="AZ209" s="12">
        <f>-AZ207</f>
        <v>0</v>
      </c>
      <c r="BA209" s="12" t="n"/>
      <c r="BB209" s="12" t="n"/>
      <c r="BC209" s="12">
        <f>-BC207</f>
        <v>0</v>
      </c>
      <c r="BD209" s="12">
        <f>-BD207</f>
        <v>0</v>
      </c>
      <c r="BE209" s="12">
        <f>-BE207</f>
        <v>0</v>
      </c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7" t="inlineStr">
        <is>
          <t>Discretionary (paydown)/borrowing of long term debt</t>
        </is>
      </c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62" t="n"/>
      <c r="AI210" s="62" t="n"/>
      <c r="AJ210" s="62" t="n"/>
      <c r="AK210" s="62" t="n"/>
      <c r="AL210" s="12" t="n"/>
      <c r="AM210" s="62" t="n"/>
      <c r="AN210" s="62" t="n"/>
      <c r="AO210" s="62" t="n"/>
      <c r="AP210" s="62" t="n"/>
      <c r="AQ210" s="12" t="n"/>
      <c r="AR210" s="62" t="n"/>
      <c r="AS210" s="62" t="n"/>
      <c r="AT210" s="62" t="n"/>
      <c r="AU210" s="62" t="n"/>
      <c r="AV210" s="12" t="n"/>
      <c r="AW210" s="62" t="n"/>
      <c r="AX210" s="62" t="n"/>
      <c r="AY210" s="62" t="n"/>
      <c r="AZ210" s="62" t="n"/>
      <c r="BA210" s="12" t="n"/>
      <c r="BB210" s="62" t="n"/>
      <c r="BC210" s="62" t="n"/>
      <c r="BD210" s="62" t="n"/>
      <c r="BE210" s="62" t="n"/>
      <c r="BF210" s="12" t="n"/>
      <c r="BG210" s="62" t="n"/>
      <c r="BH210" s="62" t="n"/>
      <c r="BI210" s="62" t="n"/>
      <c r="BJ210" s="62" t="n"/>
      <c r="BK210" s="12" t="n"/>
      <c r="BL210" s="62" t="n"/>
      <c r="BM210" s="62" t="n"/>
      <c r="BN210" s="62" t="n"/>
      <c r="BO210" s="62" t="n"/>
      <c r="BP210" s="12" t="n"/>
      <c r="BQ210" s="62" t="n"/>
      <c r="BR210" s="62" t="n"/>
      <c r="BS210" s="62" t="n"/>
      <c r="BT210" s="62" t="n"/>
      <c r="BU210" s="12" t="n"/>
      <c r="BV210" s="62" t="n"/>
      <c r="BW210" s="62" t="n"/>
      <c r="BX210" s="62" t="n"/>
      <c r="BY210" s="62" t="n"/>
      <c r="BZ210" s="12" t="n"/>
      <c r="CA210" s="62" t="n"/>
      <c r="CB210" s="62" t="n"/>
      <c r="CC210" s="62" t="n"/>
      <c r="CD210" s="62" t="n"/>
      <c r="CE210" s="12" t="n"/>
      <c r="CF210" s="62" t="n"/>
      <c r="CG210" s="62" t="n"/>
      <c r="CH210" s="62" t="n"/>
      <c r="CI210" s="62" t="n"/>
      <c r="CJ210" s="12" t="n"/>
      <c r="CK210" s="62" t="n"/>
      <c r="CL210" s="62" t="n"/>
      <c r="CM210" s="62" t="n"/>
      <c r="CN210" s="62" t="n"/>
      <c r="CO210" s="12" t="n"/>
      <c r="CP210" s="62" t="n"/>
      <c r="CQ210" s="62" t="n"/>
      <c r="CR210" s="62" t="n"/>
      <c r="CS210" s="62" t="n"/>
      <c r="CT210" s="12" t="n"/>
      <c r="CU210" s="62" t="n"/>
      <c r="CV210" s="62" t="n"/>
      <c r="CW210" s="62" t="n"/>
      <c r="CX210" s="62" t="n"/>
      <c r="CY210" s="12" t="n"/>
    </row>
    <row r="211" hidden="1" outlineLevel="1">
      <c r="C211" s="57" t="inlineStr">
        <is>
          <t>Long term debt</t>
        </is>
      </c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>
        <f>AH205</f>
        <v>62655</v>
      </c>
      <c r="AI211" s="12">
        <f>AI205</f>
        <v>57167</v>
      </c>
      <c r="AJ211" s="12">
        <f>AI211+SUM(AJ209:AJ210)</f>
        <v>57167</v>
      </c>
      <c r="AK211" s="12">
        <f>AJ211+SUM(AK209:AK210)</f>
        <v>57167</v>
      </c>
      <c r="AL211" s="12" t="n"/>
      <c r="AM211" s="12">
        <f>AK211+SUM(AM209:AM210)</f>
        <v>57167</v>
      </c>
      <c r="AN211" s="12">
        <f>AM211+SUM(AN209:AN210)</f>
        <v>57167</v>
      </c>
      <c r="AO211" s="12">
        <f>AN211+SUM(AO209:AO210)</f>
        <v>57167</v>
      </c>
      <c r="AP211" s="12">
        <f>AO211+SUM(AP209:AP210)</f>
        <v>57167</v>
      </c>
      <c r="AQ211" s="12" t="n"/>
      <c r="AR211" s="12">
        <f>AP211+SUM(AR209:AR210)</f>
        <v>57167</v>
      </c>
      <c r="AS211" s="12">
        <f>AR211+SUM(AS209:AS210)</f>
        <v>57167</v>
      </c>
      <c r="AT211" s="12">
        <f>AS211+SUM(AT209:AT210)</f>
        <v>57167</v>
      </c>
      <c r="AU211" s="12">
        <f>AT211+SUM(AU209:AU210)</f>
        <v>57167</v>
      </c>
      <c r="AV211" s="12" t="n"/>
      <c r="AW211" s="12">
        <f>AU211+SUM(AW209:AW210)</f>
        <v>57167</v>
      </c>
      <c r="AX211" s="12">
        <f>AW211+SUM(AX209:AX210)</f>
        <v>57167</v>
      </c>
      <c r="AY211" s="12">
        <f>AX211+SUM(AY209:AY210)</f>
        <v>57167</v>
      </c>
      <c r="AZ211" s="12">
        <f>AY211+SUM(AZ209:AZ210)</f>
        <v>57167</v>
      </c>
      <c r="BA211" s="12" t="n"/>
      <c r="BB211" s="12">
        <f>AZ211+SUM(BB209:BB210)</f>
        <v>57167</v>
      </c>
      <c r="BC211" s="12">
        <f>BB211+SUM(BC209:BC210)</f>
        <v>57167</v>
      </c>
      <c r="BD211" s="12">
        <f>BC211+SUM(BD209:BD210)</f>
        <v>57167</v>
      </c>
      <c r="BE211" s="12">
        <f>BD211+SUM(BE209:BE210)</f>
        <v>57167</v>
      </c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7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 hidden="1" outlineLevel="1">
      <c r="C213" s="57" t="inlineStr">
        <is>
          <t>Discretionary (paydown)/borrowing of convertible debt</t>
        </is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62" t="n"/>
      <c r="AI213" s="62" t="n"/>
      <c r="AJ213" s="62" t="n"/>
      <c r="AK213" s="62" t="n"/>
      <c r="AL213" s="12" t="n"/>
      <c r="AM213" s="62" t="n"/>
      <c r="AN213" s="62" t="n"/>
      <c r="AO213" s="62" t="n"/>
      <c r="AP213" s="62" t="n"/>
      <c r="AQ213" s="12" t="n"/>
      <c r="AR213" s="62" t="n"/>
      <c r="AS213" s="62" t="n"/>
      <c r="AT213" s="62" t="n"/>
      <c r="AU213" s="62" t="n"/>
      <c r="AV213" s="12" t="n"/>
      <c r="AW213" s="62" t="n"/>
      <c r="AX213" s="62" t="n"/>
      <c r="AY213" s="62" t="n"/>
      <c r="AZ213" s="62" t="n"/>
      <c r="BA213" s="12" t="n"/>
      <c r="BB213" s="62" t="n"/>
      <c r="BC213" s="62" t="n"/>
      <c r="BD213" s="62" t="n"/>
      <c r="BE213" s="62" t="n"/>
      <c r="BF213" s="12" t="n"/>
      <c r="BG213" s="62" t="n"/>
      <c r="BH213" s="62" t="n"/>
      <c r="BI213" s="62" t="n"/>
      <c r="BJ213" s="62" t="n"/>
      <c r="BK213" s="12" t="n"/>
      <c r="BL213" s="62" t="n"/>
      <c r="BM213" s="62" t="n"/>
      <c r="BN213" s="62" t="n"/>
      <c r="BO213" s="62" t="n"/>
      <c r="BP213" s="12" t="n"/>
      <c r="BQ213" s="62" t="n"/>
      <c r="BR213" s="62" t="n"/>
      <c r="BS213" s="62" t="n"/>
      <c r="BT213" s="62" t="n"/>
      <c r="BU213" s="12" t="n"/>
      <c r="BV213" s="62" t="n"/>
      <c r="BW213" s="62" t="n"/>
      <c r="BX213" s="62" t="n"/>
      <c r="BY213" s="62" t="n"/>
      <c r="BZ213" s="12" t="n"/>
      <c r="CA213" s="62" t="n"/>
      <c r="CB213" s="62" t="n"/>
      <c r="CC213" s="62" t="n"/>
      <c r="CD213" s="62" t="n"/>
      <c r="CE213" s="12" t="n"/>
      <c r="CF213" s="62" t="n"/>
      <c r="CG213" s="62" t="n"/>
      <c r="CH213" s="62" t="n"/>
      <c r="CI213" s="62" t="n"/>
      <c r="CJ213" s="12" t="n"/>
      <c r="CK213" s="62" t="n"/>
      <c r="CL213" s="62" t="n"/>
      <c r="CM213" s="62" t="n"/>
      <c r="CN213" s="62" t="n"/>
      <c r="CO213" s="12" t="n"/>
      <c r="CP213" s="62" t="n"/>
      <c r="CQ213" s="62" t="n"/>
      <c r="CR213" s="62" t="n"/>
      <c r="CS213" s="62" t="n"/>
      <c r="CT213" s="12" t="n"/>
      <c r="CU213" s="62" t="n"/>
      <c r="CV213" s="62" t="n"/>
      <c r="CW213" s="62" t="n"/>
      <c r="CX213" s="62" t="n"/>
      <c r="CY213" s="12" t="n"/>
    </row>
    <row r="214" hidden="1" outlineLevel="1">
      <c r="C214" s="57" t="inlineStr">
        <is>
          <t>Convertible debt</t>
        </is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>
        <f>AH226</f>
        <v>0</v>
      </c>
      <c r="AI214" s="12">
        <f>AH214+SUM(AI213)</f>
        <v>0</v>
      </c>
      <c r="AJ214" s="12">
        <f>AI214+SUM(AJ213)</f>
        <v>0</v>
      </c>
      <c r="AK214" s="12">
        <f>AJ214+SUM(AK213)</f>
        <v>0</v>
      </c>
      <c r="AL214" s="12" t="n"/>
      <c r="AM214" s="12">
        <f>AM226</f>
        <v>0</v>
      </c>
      <c r="AN214" s="12">
        <f>AM214+SUM(AN213)</f>
        <v>0</v>
      </c>
      <c r="AO214" s="12">
        <f>AN214+SUM(AO213)</f>
        <v>0</v>
      </c>
      <c r="AP214" s="12">
        <f>AO214+SUM(AP213)</f>
        <v>0</v>
      </c>
      <c r="AQ214" s="12" t="n"/>
      <c r="AR214" s="12">
        <f>AR226</f>
        <v>0</v>
      </c>
      <c r="AS214" s="12">
        <f>AR214+SUM(AS213)</f>
        <v>0</v>
      </c>
      <c r="AT214" s="12">
        <f>AS214+SUM(AT213)</f>
        <v>0</v>
      </c>
      <c r="AU214" s="12">
        <f>AT214+SUM(AU213)</f>
        <v>0</v>
      </c>
      <c r="AV214" s="12" t="n"/>
      <c r="AW214" s="12">
        <f>AW226</f>
        <v>0</v>
      </c>
      <c r="AX214" s="12">
        <f>AW214+SUM(AX213)</f>
        <v>0</v>
      </c>
      <c r="AY214" s="12">
        <f>AX214+SUM(AY213)</f>
        <v>0</v>
      </c>
      <c r="AZ214" s="12">
        <f>AY214+SUM(AZ213)</f>
        <v>0</v>
      </c>
      <c r="BA214" s="12" t="n"/>
      <c r="BB214" s="12">
        <f>BB226</f>
        <v>0</v>
      </c>
      <c r="BC214" s="12">
        <f>BB214+SUM(BC213)</f>
        <v>0</v>
      </c>
      <c r="BD214" s="12">
        <f>BC214+SUM(BD213)</f>
        <v>0</v>
      </c>
      <c r="BE214" s="12">
        <f>BD214+SUM(BE213)</f>
        <v>0</v>
      </c>
      <c r="BF214" s="12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7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I215" s="12" t="n"/>
      <c r="AJ215" s="12" t="n"/>
      <c r="AK215" s="12" t="n"/>
      <c r="AL215" s="12" t="n"/>
      <c r="AN215" s="12" t="n"/>
      <c r="AO215" s="12" t="n"/>
      <c r="AP215" s="12" t="n"/>
      <c r="AQ215" s="12" t="n"/>
      <c r="AS215" s="12" t="n"/>
      <c r="AT215" s="12" t="n"/>
      <c r="AU215" s="12" t="n"/>
      <c r="AV215" s="12" t="n"/>
      <c r="AX215" s="12" t="n"/>
      <c r="AY215" s="12" t="n"/>
      <c r="AZ215" s="12" t="n"/>
      <c r="BA215" s="12" t="n"/>
      <c r="BC215" s="12" t="n"/>
      <c r="BD215" s="12" t="n"/>
      <c r="BE215" s="12" t="n"/>
      <c r="BF215" s="12" t="n"/>
      <c r="BH215" s="12" t="n"/>
      <c r="BI215" s="12" t="n"/>
      <c r="BJ215" s="12" t="n"/>
      <c r="BK215" s="12" t="n"/>
      <c r="BM215" s="12" t="n"/>
      <c r="BN215" s="12" t="n"/>
      <c r="BO215" s="12" t="n"/>
      <c r="BP215" s="12" t="n"/>
      <c r="BR215" s="12" t="n"/>
      <c r="BS215" s="12" t="n"/>
      <c r="BT215" s="12" t="n"/>
      <c r="BU215" s="12" t="n"/>
      <c r="BW215" s="12" t="n"/>
      <c r="BX215" s="12" t="n"/>
      <c r="BY215" s="12" t="n"/>
      <c r="BZ215" s="12" t="n"/>
      <c r="CB215" s="12" t="n"/>
      <c r="CC215" s="12" t="n"/>
      <c r="CD215" s="12" t="n"/>
      <c r="CE215" s="12" t="n"/>
      <c r="CG215" s="12" t="n"/>
      <c r="CH215" s="12" t="n"/>
      <c r="CI215" s="12" t="n"/>
      <c r="CJ215" s="12" t="n"/>
      <c r="CL215" s="12" t="n"/>
      <c r="CM215" s="12" t="n"/>
      <c r="CN215" s="12" t="n"/>
      <c r="CO215" s="12" t="n"/>
      <c r="CQ215" s="12" t="n"/>
      <c r="CR215" s="12" t="n"/>
      <c r="CS215" s="12" t="n"/>
      <c r="CT215" s="12" t="n"/>
      <c r="CV215" s="12" t="n"/>
      <c r="CW215" s="12" t="n"/>
      <c r="CX215" s="12" t="n"/>
      <c r="CY215" s="12" t="n"/>
    </row>
    <row r="216" hidden="1" outlineLevel="1">
      <c r="C216" s="57" t="inlineStr">
        <is>
          <t>Calculation of short term debt</t>
        </is>
      </c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inlineStr">
        <is>
          <t>Cash @ beginning of the period (end of last period)</t>
        </is>
      </c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63">
        <f>AG132</f>
        <v>14174</v>
      </c>
      <c r="AI217" s="12" t="n"/>
      <c r="AJ217" s="12" t="n"/>
      <c r="AK217" s="12" t="n"/>
      <c r="AL217" s="12" t="n"/>
      <c r="AM217" s="63">
        <f>AL132</f>
        <v>48998.3658734391</v>
      </c>
      <c r="AN217" s="12" t="n"/>
      <c r="AO217" s="12" t="n"/>
      <c r="AP217" s="12" t="n"/>
      <c r="AQ217" s="12" t="n"/>
      <c r="AR217" s="63">
        <f>AQ132</f>
        <v>113050.304334992</v>
      </c>
      <c r="AS217" s="12" t="n"/>
      <c r="AT217" s="12" t="n"/>
      <c r="AU217" s="12" t="n"/>
      <c r="AV217" s="12" t="n"/>
      <c r="AW217" s="63">
        <f>AV132</f>
        <v>219605.775829623</v>
      </c>
      <c r="AX217" s="12" t="n"/>
      <c r="AY217" s="12" t="n"/>
      <c r="AZ217" s="12" t="n"/>
      <c r="BA217" s="12" t="n"/>
      <c r="BB217" s="63">
        <f>BA132</f>
        <v>430357.144407916</v>
      </c>
      <c r="BC217" s="12" t="n"/>
      <c r="BD217" s="12" t="n"/>
      <c r="BE217" s="12" t="n"/>
      <c r="BF217" s="12" t="n"/>
      <c r="BG217" s="63" t="n"/>
      <c r="BH217" s="12" t="n"/>
      <c r="BI217" s="12" t="n"/>
      <c r="BJ217" s="12" t="n"/>
      <c r="BK217" s="12" t="n"/>
      <c r="BL217" s="63" t="n"/>
      <c r="BM217" s="12" t="n"/>
      <c r="BN217" s="12" t="n"/>
      <c r="BO217" s="12" t="n"/>
      <c r="BP217" s="12" t="n"/>
      <c r="BQ217" s="63" t="n"/>
      <c r="BR217" s="12" t="n"/>
      <c r="BS217" s="12" t="n"/>
      <c r="BT217" s="12" t="n"/>
      <c r="BU217" s="12" t="n"/>
      <c r="BV217" s="63" t="n"/>
      <c r="BW217" s="12" t="n"/>
      <c r="BX217" s="12" t="n"/>
      <c r="BY217" s="12" t="n"/>
      <c r="BZ217" s="12" t="n"/>
      <c r="CA217" s="63" t="n"/>
      <c r="CB217" s="12" t="n"/>
      <c r="CC217" s="12" t="n"/>
      <c r="CD217" s="12" t="n"/>
      <c r="CE217" s="12" t="n"/>
      <c r="CF217" s="63" t="n"/>
      <c r="CG217" s="12" t="n"/>
      <c r="CH217" s="12" t="n"/>
      <c r="CI217" s="12" t="n"/>
      <c r="CJ217" s="12" t="n"/>
      <c r="CK217" s="63" t="n"/>
      <c r="CL217" s="12" t="n"/>
      <c r="CM217" s="12" t="n"/>
      <c r="CN217" s="12" t="n"/>
      <c r="CO217" s="12" t="n"/>
      <c r="CP217" s="63" t="n"/>
      <c r="CQ217" s="12" t="n"/>
      <c r="CR217" s="12" t="n"/>
      <c r="CS217" s="12" t="n"/>
      <c r="CT217" s="12" t="n"/>
      <c r="CU217" s="63" t="n"/>
      <c r="CV217" s="12" t="n"/>
      <c r="CW217" s="12" t="n"/>
      <c r="CX217" s="12" t="n"/>
      <c r="CY217" s="12" t="n"/>
    </row>
    <row r="218" hidden="1" outlineLevel="1">
      <c r="C218" s="57" t="inlineStr">
        <is>
          <t>Plus: Free cash flows prior to debt during period</t>
        </is>
      </c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inlineStr">
        <is>
          <t>% of sales</t>
        </is>
      </c>
      <c r="AH218" s="64">
        <f>(AH280+AH287)+SUM(AH290:AH296)</f>
        <v>-1792</v>
      </c>
      <c r="AI218" s="64">
        <f>(AI280+AI287)+SUM(AI290:AI296)</f>
        <v>-1268</v>
      </c>
      <c r="AJ218" s="64">
        <f>(AJ280+AJ287)+SUM(AJ290:AJ296)</f>
        <v>0</v>
      </c>
      <c r="AK218" s="64">
        <f>(AK280+AK287)+SUM(AK290:AK296)</f>
        <v>0</v>
      </c>
      <c r="AL218" s="12" t="n"/>
      <c r="AM218" s="64">
        <f>(AM280+AM287)+SUM(AM290:AM296)</f>
        <v>0</v>
      </c>
      <c r="AN218" s="64">
        <f>(AN280+AN287)+SUM(AN290:AN296)</f>
        <v>0</v>
      </c>
      <c r="AO218" s="64">
        <f>(AO280+AO287)+SUM(AO290:AO296)</f>
        <v>0</v>
      </c>
      <c r="AP218" s="64">
        <f>(AP280+AP287)+SUM(AP290:AP296)</f>
        <v>0</v>
      </c>
      <c r="AQ218" s="12" t="n"/>
      <c r="AR218" s="64">
        <f>(AR280+AR287)+SUM(AR290:AR296)</f>
        <v>0</v>
      </c>
      <c r="AS218" s="64">
        <f>(AS280+AS287)+SUM(AS290:AS296)</f>
        <v>0</v>
      </c>
      <c r="AT218" s="64">
        <f>(AT280+AT287)+SUM(AT290:AT296)</f>
        <v>0</v>
      </c>
      <c r="AU218" s="64">
        <f>(AU280+AU287)+SUM(AU290:AU296)</f>
        <v>0</v>
      </c>
      <c r="AV218" s="12" t="n"/>
      <c r="AW218" s="64">
        <f>(AW280+AW287)+SUM(AW290:AW296)</f>
        <v>0</v>
      </c>
      <c r="AX218" s="64">
        <f>(AX280+AX287)+SUM(AX290:AX296)</f>
        <v>0</v>
      </c>
      <c r="AY218" s="64">
        <f>(AY280+AY287)+SUM(AY290:AY296)</f>
        <v>0</v>
      </c>
      <c r="AZ218" s="64">
        <f>(AZ280+AZ287)+SUM(AZ290:AZ296)</f>
        <v>0</v>
      </c>
      <c r="BA218" s="12" t="n"/>
      <c r="BB218" s="64">
        <f>(BB280+BB287)+SUM(BB290:BB296)</f>
        <v>0</v>
      </c>
      <c r="BC218" s="64">
        <f>(BC280+BC287)+SUM(BC290:BC296)</f>
        <v>0</v>
      </c>
      <c r="BD218" s="64">
        <f>(BD280+BD287)+SUM(BD290:BD296)</f>
        <v>0</v>
      </c>
      <c r="BE218" s="64">
        <f>(BE280+BE287)+SUM(BE290:BE296)</f>
        <v>0</v>
      </c>
      <c r="BF218" s="12" t="n"/>
      <c r="BG218" s="64" t="n"/>
      <c r="BH218" s="64" t="n"/>
      <c r="BI218" s="64" t="n"/>
      <c r="BJ218" s="64" t="n"/>
      <c r="BK218" s="12" t="n"/>
      <c r="BL218" s="64" t="n"/>
      <c r="BM218" s="64" t="n"/>
      <c r="BN218" s="64" t="n"/>
      <c r="BO218" s="64" t="n"/>
      <c r="BP218" s="12" t="n"/>
      <c r="BQ218" s="64" t="n"/>
      <c r="BR218" s="64" t="n"/>
      <c r="BS218" s="64" t="n"/>
      <c r="BT218" s="64" t="n"/>
      <c r="BU218" s="12" t="n"/>
      <c r="BV218" s="64" t="n"/>
      <c r="BW218" s="64" t="n"/>
      <c r="BX218" s="64" t="n"/>
      <c r="BY218" s="64" t="n"/>
      <c r="BZ218" s="12" t="n"/>
      <c r="CA218" s="64" t="n"/>
      <c r="CB218" s="64" t="n"/>
      <c r="CC218" s="64" t="n"/>
      <c r="CD218" s="64" t="n"/>
      <c r="CE218" s="12" t="n"/>
      <c r="CF218" s="64" t="n"/>
      <c r="CG218" s="64" t="n"/>
      <c r="CH218" s="64" t="n"/>
      <c r="CI218" s="64" t="n"/>
      <c r="CJ218" s="12" t="n"/>
      <c r="CK218" s="64" t="n"/>
      <c r="CL218" s="64" t="n"/>
      <c r="CM218" s="64" t="n"/>
      <c r="CN218" s="64" t="n"/>
      <c r="CO218" s="12" t="n"/>
      <c r="CP218" s="64" t="n"/>
      <c r="CQ218" s="64" t="n"/>
      <c r="CR218" s="64" t="n"/>
      <c r="CS218" s="64" t="n"/>
      <c r="CT218" s="12" t="n"/>
      <c r="CU218" s="64" t="n"/>
      <c r="CV218" s="64" t="n"/>
      <c r="CW218" s="64" t="n"/>
      <c r="CX218" s="64" t="n"/>
      <c r="CY218" s="12" t="n"/>
    </row>
    <row r="219" hidden="1" outlineLevel="1">
      <c r="C219" s="57" t="inlineStr">
        <is>
          <t>Less: Minimum cash balance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52" t="n"/>
      <c r="AH219" s="12">
        <f>($AG$219*AH15)</f>
        <v>0</v>
      </c>
      <c r="AI219" s="12">
        <f>($AG$219*AI15)</f>
        <v>0</v>
      </c>
      <c r="AJ219" s="12">
        <f>($AG$219*AJ15)</f>
        <v>0</v>
      </c>
      <c r="AK219" s="12">
        <f>($AG$219*AK15)</f>
        <v>0</v>
      </c>
      <c r="AL219" s="12" t="n"/>
      <c r="AM219" s="12">
        <f>($AG$219*AM15)</f>
        <v>0</v>
      </c>
      <c r="AN219" s="12">
        <f>($AG$219*AN15)</f>
        <v>0</v>
      </c>
      <c r="AO219" s="12">
        <f>($AG$219*AO15)</f>
        <v>0</v>
      </c>
      <c r="AP219" s="12">
        <f>($AG$219*AP15)</f>
        <v>0</v>
      </c>
      <c r="AQ219" s="12" t="n"/>
      <c r="AR219" s="12">
        <f>($AG$219*AR15)</f>
        <v>0</v>
      </c>
      <c r="AS219" s="12">
        <f>($AG$219*AS15)</f>
        <v>0</v>
      </c>
      <c r="AT219" s="12">
        <f>($AG$219*AT15)</f>
        <v>0</v>
      </c>
      <c r="AU219" s="12">
        <f>($AG$219*AU15)</f>
        <v>0</v>
      </c>
      <c r="AV219" s="12" t="n"/>
      <c r="AW219" s="12">
        <f>($AG$219*AW15)</f>
        <v>0</v>
      </c>
      <c r="AX219" s="12">
        <f>($AG$219*AX15)</f>
        <v>0</v>
      </c>
      <c r="AY219" s="12">
        <f>($AG$219*AY15)</f>
        <v>0</v>
      </c>
      <c r="AZ219" s="12">
        <f>($AG$219*AZ15)</f>
        <v>0</v>
      </c>
      <c r="BA219" s="12" t="n"/>
      <c r="BB219" s="12">
        <f>($AG$219*BB15)</f>
        <v>0</v>
      </c>
      <c r="BC219" s="12">
        <f>($AG$219*BC15)</f>
        <v>0</v>
      </c>
      <c r="BD219" s="12">
        <f>($AG$219*BD15)</f>
        <v>0</v>
      </c>
      <c r="BE219" s="12">
        <f>($AG$219*BE15)</f>
        <v>0</v>
      </c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inlineStr">
        <is>
          <t>Total cash available / (debt required) for short term debt paydown</t>
        </is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3">
        <f>AH217+AH218-AH219-AF207+AH209+AH213</f>
        <v>12382</v>
      </c>
      <c r="AI220" s="3">
        <f>AI217+AI218-AI219-AG207+AI209+AI213</f>
        <v>-1268</v>
      </c>
      <c r="AJ220" s="3">
        <f>AJ217+AJ218-AJ219-AH207+AJ209+AJ213</f>
        <v>-2252</v>
      </c>
      <c r="AK220" s="3">
        <f>AK217+AK218-AK219-AI207+AK209+AK213</f>
        <v>0</v>
      </c>
      <c r="AL220" s="12" t="n"/>
      <c r="AM220" s="3">
        <f>AM217+AM218-AM219-AK207+AM209+AM213</f>
        <v>48998.3658734391</v>
      </c>
      <c r="AN220" s="3">
        <f>AN217+AN218-AN219-AL207+AN209+AN213</f>
        <v>0</v>
      </c>
      <c r="AO220" s="3">
        <f>AO217+AO218-AO219-AM207+AO209+AO213</f>
        <v>-2252</v>
      </c>
      <c r="AP220" s="3">
        <f>AP217+AP218-AP219-AN207+AP209+AP213</f>
        <v>0</v>
      </c>
      <c r="AQ220" s="12" t="n"/>
      <c r="AR220" s="3">
        <f>AR217+AR218-AR219-AP207+AR209+AR213</f>
        <v>113050.304334992</v>
      </c>
      <c r="AS220" s="3">
        <f>AS217+AS218-AS219-AQ207+AS209+AS213</f>
        <v>0</v>
      </c>
      <c r="AT220" s="3">
        <f>AT217+AT218-AT219-AR207+AT209+AT213</f>
        <v>-2252</v>
      </c>
      <c r="AU220" s="3">
        <f>AU217+AU218-AU219-AS207+AU209+AU213</f>
        <v>0</v>
      </c>
      <c r="AV220" s="12" t="n"/>
      <c r="AW220" s="3">
        <f>AW217+AW218-AW219-AU207+AW209+AW213</f>
        <v>219605.775829623</v>
      </c>
      <c r="AX220" s="3">
        <f>AX217+AX218-AX219-AV207+AX209+AX213</f>
        <v>0</v>
      </c>
      <c r="AY220" s="3">
        <f>AY217+AY218-AY219-AW207+AY209+AY213</f>
        <v>-2252</v>
      </c>
      <c r="AZ220" s="3">
        <f>AZ217+AZ218-AZ219-AX207+AZ209+AZ213</f>
        <v>0</v>
      </c>
      <c r="BA220" s="12" t="n"/>
      <c r="BB220" s="3">
        <f>BB217+BB218-BB219-AZ207+BB209+BB213</f>
        <v>430357.144407916</v>
      </c>
      <c r="BC220" s="3">
        <f>BC217+BC218-BC219-BA207+BC209+BC213</f>
        <v>0</v>
      </c>
      <c r="BD220" s="3">
        <f>BD217+BD218-BD219-BB207+BD209+BD213</f>
        <v>-2252</v>
      </c>
      <c r="BE220" s="3">
        <f>BE217+BE218-BE219-BC207+BE209+BE213</f>
        <v>0</v>
      </c>
      <c r="BF220" s="12" t="n"/>
      <c r="BG220" s="3" t="n"/>
      <c r="BH220" s="3" t="n"/>
      <c r="BI220" s="3" t="n"/>
      <c r="BJ220" s="3" t="n"/>
      <c r="BK220" s="12" t="n"/>
      <c r="BL220" s="3" t="n"/>
      <c r="BM220" s="3" t="n"/>
      <c r="BN220" s="3" t="n"/>
      <c r="BO220" s="3" t="n"/>
      <c r="BP220" s="12" t="n"/>
      <c r="BQ220" s="3" t="n"/>
      <c r="BR220" s="3" t="n"/>
      <c r="BS220" s="3" t="n"/>
      <c r="BT220" s="3" t="n"/>
      <c r="BU220" s="12" t="n"/>
      <c r="BV220" s="3" t="n"/>
      <c r="BW220" s="3" t="n"/>
      <c r="BX220" s="3" t="n"/>
      <c r="BY220" s="3" t="n"/>
      <c r="BZ220" s="12" t="n"/>
      <c r="CA220" s="3" t="n"/>
      <c r="CB220" s="3" t="n"/>
      <c r="CC220" s="3" t="n"/>
      <c r="CD220" s="3" t="n"/>
      <c r="CE220" s="12" t="n"/>
      <c r="CF220" s="3" t="n"/>
      <c r="CG220" s="3" t="n"/>
      <c r="CH220" s="3" t="n"/>
      <c r="CI220" s="3" t="n"/>
      <c r="CJ220" s="12" t="n"/>
      <c r="CK220" s="3" t="n"/>
      <c r="CL220" s="3" t="n"/>
      <c r="CM220" s="3" t="n"/>
      <c r="CN220" s="3" t="n"/>
      <c r="CO220" s="12" t="n"/>
      <c r="CP220" s="3" t="n"/>
      <c r="CQ220" s="3" t="n"/>
      <c r="CR220" s="3" t="n"/>
      <c r="CS220" s="3" t="n"/>
      <c r="CT220" s="12" t="n"/>
      <c r="CU220" s="3" t="n"/>
      <c r="CV220" s="3" t="n"/>
      <c r="CW220" s="3" t="n"/>
      <c r="CX220" s="3" t="n"/>
      <c r="CY220" s="12" t="n"/>
    </row>
    <row r="221" hidden="1" outlineLevel="1">
      <c r="C221" s="57" t="inlineStr">
        <is>
          <t>Short term debt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>
        <f>AH201</f>
        <v>0</v>
      </c>
      <c r="AI221" s="12">
        <f>MAX(0,AH221-AI220)</f>
        <v>1268</v>
      </c>
      <c r="AJ221" s="12">
        <f>MAX(0,AI221-AJ220)</f>
        <v>3520</v>
      </c>
      <c r="AK221" s="12">
        <f>MAX(0,AJ221-AK220)</f>
        <v>3520</v>
      </c>
      <c r="AL221" s="12" t="n"/>
      <c r="AM221" s="12">
        <f>AM201</f>
        <v>0</v>
      </c>
      <c r="AN221" s="12">
        <f>MAX(0,AM221-AN220)</f>
        <v>0</v>
      </c>
      <c r="AO221" s="12">
        <f>MAX(0,AN221-AO220)</f>
        <v>2252</v>
      </c>
      <c r="AP221" s="12">
        <f>MAX(0,AO221-AP220)</f>
        <v>2252</v>
      </c>
      <c r="AQ221" s="12" t="n"/>
      <c r="AR221" s="12">
        <f>AR201</f>
        <v>0</v>
      </c>
      <c r="AS221" s="12">
        <f>MAX(0,AR221-AS220)</f>
        <v>0</v>
      </c>
      <c r="AT221" s="12">
        <f>MAX(0,AS221-AT220)</f>
        <v>2252</v>
      </c>
      <c r="AU221" s="12">
        <f>MAX(0,AT221-AU220)</f>
        <v>2252</v>
      </c>
      <c r="AV221" s="12" t="n"/>
      <c r="AW221" s="12">
        <f>AW201</f>
        <v>0</v>
      </c>
      <c r="AX221" s="12">
        <f>MAX(0,AW221-AX220)</f>
        <v>0</v>
      </c>
      <c r="AY221" s="12">
        <f>MAX(0,AX221-AY220)</f>
        <v>2252</v>
      </c>
      <c r="AZ221" s="12">
        <f>MAX(0,AY221-AZ220)</f>
        <v>2252</v>
      </c>
      <c r="BA221" s="12" t="n"/>
      <c r="BB221" s="12">
        <f>BB201</f>
        <v>0</v>
      </c>
      <c r="BC221" s="12">
        <f>MAX(0,BB221-BC220)</f>
        <v>0</v>
      </c>
      <c r="BD221" s="12">
        <f>MAX(0,BC221-BD220)</f>
        <v>2252</v>
      </c>
      <c r="BE221" s="12">
        <f>MAX(0,BD221-BE220)</f>
        <v>2252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collapsed="1">
      <c r="C223" s="14" t="inlineStr">
        <is>
          <t>Long term operating leases</t>
        </is>
      </c>
      <c r="D223" s="46" t="n"/>
      <c r="E223" s="46" t="n"/>
      <c r="F223" s="46" t="n"/>
      <c r="G223" s="46" t="n"/>
      <c r="H223" s="12" t="n"/>
      <c r="I223" s="46">
        <f>'Inputs (2)'!D36</f>
        <v>0</v>
      </c>
      <c r="J223" s="46">
        <f>'Inputs (2)'!E36</f>
        <v>0</v>
      </c>
      <c r="K223" s="46">
        <f>'Inputs (2)'!F36</f>
        <v>0</v>
      </c>
      <c r="L223" s="46">
        <f>'Inputs (2)'!G36</f>
        <v>0</v>
      </c>
      <c r="M223" s="12">
        <f>'Inputs (2)'!H36</f>
        <v>0</v>
      </c>
      <c r="N223" s="46">
        <f>'Inputs (2)'!I36</f>
        <v>0</v>
      </c>
      <c r="O223" s="46">
        <f>'Inputs (2)'!J36</f>
        <v>0</v>
      </c>
      <c r="P223" s="46">
        <f>'Inputs (2)'!K36</f>
        <v>0</v>
      </c>
      <c r="Q223" s="46">
        <f>'Inputs (2)'!L36</f>
        <v>0</v>
      </c>
      <c r="R223" s="12">
        <f>'Inputs (2)'!M36</f>
        <v>0</v>
      </c>
      <c r="S223" s="46">
        <f>'Inputs (2)'!N36</f>
        <v>0</v>
      </c>
      <c r="T223" s="46">
        <f>'Inputs (2)'!O36</f>
        <v>0</v>
      </c>
      <c r="U223" s="46">
        <f>'Inputs (2)'!P36</f>
        <v>0</v>
      </c>
      <c r="V223" s="46">
        <f>'Inputs (2)'!Q36</f>
        <v>0</v>
      </c>
      <c r="W223" s="12">
        <f>'Inputs (2)'!R36</f>
        <v>0</v>
      </c>
      <c r="X223" s="46">
        <f>'Inputs (2)'!S36</f>
        <v>0</v>
      </c>
      <c r="Y223" s="46">
        <f>'Inputs (2)'!T36</f>
        <v>0</v>
      </c>
      <c r="Z223" s="46">
        <f>'Inputs (2)'!U36</f>
        <v>0</v>
      </c>
      <c r="AA223" s="46">
        <f>'Inputs (2)'!V36</f>
        <v>0</v>
      </c>
      <c r="AB223" s="12">
        <f>'Inputs (2)'!W36</f>
        <v>0</v>
      </c>
      <c r="AC223" s="46">
        <f>'Inputs (2)'!X36</f>
        <v>0</v>
      </c>
      <c r="AD223" s="46">
        <f>'Inputs (2)'!Y36</f>
        <v>0</v>
      </c>
      <c r="AE223" s="46">
        <f>'Inputs (2)'!Z36</f>
        <v>0</v>
      </c>
      <c r="AF223" s="46">
        <f>'Inputs (2)'!AA36</f>
        <v>0</v>
      </c>
      <c r="AG223" s="12">
        <f>'Inputs (2)'!AB36</f>
        <v>0</v>
      </c>
      <c r="AH223" s="12">
        <f>'Inputs (2)'!AC36</f>
        <v>0</v>
      </c>
      <c r="AI223" s="12">
        <f>'Inputs (2)'!AD36</f>
        <v>0</v>
      </c>
      <c r="AJ223" s="12">
        <f>AI223</f>
        <v>0</v>
      </c>
      <c r="AK223" s="12">
        <f>AJ223</f>
        <v>0</v>
      </c>
      <c r="AL223" s="12">
        <f>AK223</f>
        <v>0</v>
      </c>
      <c r="AM223" s="12">
        <f>AL223</f>
        <v>0</v>
      </c>
      <c r="AN223" s="12">
        <f>AM223</f>
        <v>0</v>
      </c>
      <c r="AO223" s="12">
        <f>AN223</f>
        <v>0</v>
      </c>
      <c r="AP223" s="12">
        <f>AO223</f>
        <v>0</v>
      </c>
      <c r="AQ223" s="12">
        <f>AP223</f>
        <v>0</v>
      </c>
      <c r="AR223" s="12">
        <f>AQ223</f>
        <v>0</v>
      </c>
      <c r="AS223" s="12">
        <f>AR223</f>
        <v>0</v>
      </c>
      <c r="AT223" s="12">
        <f>AS223</f>
        <v>0</v>
      </c>
      <c r="AU223" s="12">
        <f>AT223</f>
        <v>0</v>
      </c>
      <c r="AV223" s="12">
        <f>AU223</f>
        <v>0</v>
      </c>
      <c r="AW223" s="12">
        <f>AV223</f>
        <v>0</v>
      </c>
      <c r="AX223" s="12">
        <f>AW223</f>
        <v>0</v>
      </c>
      <c r="AY223" s="12">
        <f>AX223</f>
        <v>0</v>
      </c>
      <c r="AZ223" s="12">
        <f>AY223</f>
        <v>0</v>
      </c>
      <c r="BA223" s="12">
        <f>AZ223</f>
        <v>0</v>
      </c>
      <c r="BB223" s="12">
        <f>BA223</f>
        <v>0</v>
      </c>
      <c r="BC223" s="12">
        <f>BB223</f>
        <v>0</v>
      </c>
      <c r="BD223" s="12">
        <f>BC223</f>
        <v>0</v>
      </c>
      <c r="BE223" s="12">
        <f>BD223</f>
        <v>0</v>
      </c>
      <c r="BF223" s="12">
        <f>BE223</f>
        <v>0</v>
      </c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9" t="inlineStr">
        <is>
          <t>%(Var.)</t>
        </is>
      </c>
      <c r="D224" s="12" t="n"/>
      <c r="E224" s="40" t="n"/>
      <c r="F224" s="40" t="n"/>
      <c r="G224" s="40" t="n"/>
      <c r="H224" s="12" t="n"/>
      <c r="I224" s="40" t="str">
        <f>""</f>
        <v/>
      </c>
      <c r="J224" s="40" t="str">
        <f>IFERROR(IF(I223=0,"",J223/I223-1),"")</f>
        <v/>
      </c>
      <c r="K224" s="40" t="str">
        <f>IFERROR(IF(J223=0,"",K223/J223-1),"")</f>
        <v/>
      </c>
      <c r="L224" s="40" t="str">
        <f>IFERROR(IF(K223=0,"",L223/K223-1),"")</f>
        <v/>
      </c>
      <c r="M224" s="12" t="str">
        <f>IF(L223=0,"",M223/L223-1)</f>
        <v/>
      </c>
      <c r="N224" s="40" t="str">
        <f>IFERROR(IF(M223=0,"",N223/M223-1),"")</f>
        <v/>
      </c>
      <c r="O224" s="40" t="str">
        <f>IFERROR(IF(N223=0,"",O223/N223-1),"")</f>
        <v/>
      </c>
      <c r="P224" s="40" t="str">
        <f>IFERROR(IF(O223=0,"",P223/O223-1),"")</f>
        <v/>
      </c>
      <c r="Q224" s="40" t="str">
        <f>IFERROR(IF(P223=0,"",Q223/P223-1),"")</f>
        <v/>
      </c>
      <c r="R224" s="12" t="str">
        <f>IF(Q223=0,"",R223/Q223-1)</f>
        <v/>
      </c>
      <c r="S224" s="40" t="str">
        <f>IFERROR(IF(R223=0,"",S223/R223-1),"")</f>
        <v/>
      </c>
      <c r="T224" s="40" t="str">
        <f>IFERROR(IF(S223=0,"",T223/S223-1),"")</f>
        <v/>
      </c>
      <c r="U224" s="40" t="str">
        <f>IFERROR(IF(T223=0,"",U223/T223-1),"")</f>
        <v/>
      </c>
      <c r="V224" s="40" t="str">
        <f>IFERROR(IF(U223=0,"",V223/U223-1),"")</f>
        <v/>
      </c>
      <c r="W224" s="12" t="str">
        <f>IF(V223=0,"",W223/V223-1)</f>
        <v/>
      </c>
      <c r="X224" s="40" t="str">
        <f>IFERROR(IF(W223=0,"",X223/W223-1),"")</f>
        <v/>
      </c>
      <c r="Y224" s="40" t="str">
        <f>IFERROR(IF(X223=0,"",Y223/X223-1),"")</f>
        <v/>
      </c>
      <c r="Z224" s="40" t="str">
        <f>IFERROR(IF(Y223=0,"",Z223/Y223-1),"")</f>
        <v/>
      </c>
      <c r="AA224" s="40" t="str">
        <f>IFERROR(IF(Z223=0,"",AA223/Z223-1),"")</f>
        <v/>
      </c>
      <c r="AB224" s="12" t="str">
        <f>IF(AA223=0,"",AB223/AA223-1)</f>
        <v/>
      </c>
      <c r="AC224" s="40" t="str">
        <f>IFERROR(IF(AB223=0,"",AC223/AB223-1),"")</f>
        <v/>
      </c>
      <c r="AD224" s="40" t="str">
        <f>IFERROR(IF(AC223=0,"",AD223/AC223-1),"")</f>
        <v/>
      </c>
      <c r="AE224" s="40" t="str">
        <f>IFERROR(IF(AD223=0,"",AE223/AD223-1),"")</f>
        <v/>
      </c>
      <c r="AF224" s="41" t="str">
        <f>IFERROR(IF(AE223=0,"",AF223/AE223-1),"")</f>
        <v/>
      </c>
      <c r="AG224" s="12" t="str">
        <f>IF(AF223=0,"",AG223/AF223-1)</f>
        <v/>
      </c>
      <c r="AH224" s="11" t="str">
        <f>IFERROR(IF(AG223=0,"",AH223/AG223-1),"")</f>
        <v/>
      </c>
      <c r="AI224" s="11" t="str">
        <f>IFERROR(IF(AH223=0,"",AI223/AH223-1),"")</f>
        <v/>
      </c>
      <c r="AJ224" s="11" t="str">
        <f>IFERROR(IF(AI223=0,"",AJ223/AI223-1),"")</f>
        <v/>
      </c>
      <c r="AK224" s="11" t="str">
        <f>IFERROR(IF(AJ223=0,"",AK223/AJ223-1),"")</f>
        <v/>
      </c>
      <c r="AL224" s="12" t="str">
        <f>IFERROR(IF(AK223=0,"",AL223/AK223-1),"")</f>
        <v/>
      </c>
      <c r="AM224" s="11" t="str">
        <f>IFERROR(IF(AL223=0,"",AM223/AL223-1),"")</f>
        <v/>
      </c>
      <c r="AN224" s="11" t="str">
        <f>IFERROR(IF(AM223=0,"",AN223/AM223-1),"")</f>
        <v/>
      </c>
      <c r="AO224" s="11" t="str">
        <f>IFERROR(IF(AN223=0,"",AO223/AN223-1),"")</f>
        <v/>
      </c>
      <c r="AP224" s="11" t="str">
        <f>IFERROR(IF(AO223=0,"",AP223/AO223-1),"")</f>
        <v/>
      </c>
      <c r="AQ224" s="12" t="str">
        <f>IFERROR(IF(AP223=0,"",AQ223/AP223-1),"")</f>
        <v/>
      </c>
      <c r="AR224" s="11" t="str">
        <f>IFERROR(IF(AQ223=0,"",AR223/AQ223-1),"")</f>
        <v/>
      </c>
      <c r="AS224" s="11" t="str">
        <f>IFERROR(IF(AR223=0,"",AS223/AR223-1),"")</f>
        <v/>
      </c>
      <c r="AT224" s="11" t="str">
        <f>IFERROR(IF(AS223=0,"",AT223/AS223-1),"")</f>
        <v/>
      </c>
      <c r="AU224" s="11" t="str">
        <f>IFERROR(IF(AT223=0,"",AU223/AT223-1),"")</f>
        <v/>
      </c>
      <c r="AV224" s="12" t="str">
        <f>IFERROR(IF(AU223=0,"",AV223/AU223-1),"")</f>
        <v/>
      </c>
      <c r="AW224" s="11" t="str">
        <f>IFERROR(IF(AV223=0,"",AW223/AV223-1),"")</f>
        <v/>
      </c>
      <c r="AX224" s="11" t="str">
        <f>IFERROR(IF(AW223=0,"",AX223/AW223-1),"")</f>
        <v/>
      </c>
      <c r="AY224" s="11" t="str">
        <f>IFERROR(IF(AX223=0,"",AY223/AX223-1),"")</f>
        <v/>
      </c>
      <c r="AZ224" s="11" t="str">
        <f>IFERROR(IF(AY223=0,"",AZ223/AY223-1),"")</f>
        <v/>
      </c>
      <c r="BA224" s="12" t="str">
        <f>IFERROR(IF(AZ223=0,"",BA223/AZ223-1),"")</f>
        <v/>
      </c>
      <c r="BB224" s="11" t="str">
        <f>IFERROR(IF(BA223=0,"",BB223/BA223-1),"")</f>
        <v/>
      </c>
      <c r="BC224" s="11" t="str">
        <f>IFERROR(IF(BB223=0,"",BC223/BB223-1),"")</f>
        <v/>
      </c>
      <c r="BD224" s="11" t="str">
        <f>IFERROR(IF(BC223=0,"",BD223/BC223-1),"")</f>
        <v/>
      </c>
      <c r="BE224" s="11" t="str">
        <f>IFERROR(IF(BD223=0,"",BE223/BD223-1),"")</f>
        <v/>
      </c>
      <c r="BF224" s="12" t="str">
        <f>IFERROR(IF(BE223=0,"",BF223/BE223-1),"")</f>
        <v/>
      </c>
      <c r="BG224" s="11" t="n"/>
      <c r="BH224" s="11" t="n"/>
      <c r="BI224" s="11" t="n"/>
      <c r="BJ224" s="11" t="n"/>
      <c r="BK224" s="12" t="n"/>
      <c r="BL224" s="11" t="n"/>
      <c r="BM224" s="11" t="n"/>
      <c r="BN224" s="11" t="n"/>
      <c r="BO224" s="11" t="n"/>
      <c r="BP224" s="12" t="n"/>
      <c r="BQ224" s="11" t="n"/>
      <c r="BR224" s="11" t="n"/>
      <c r="BS224" s="11" t="n"/>
      <c r="BT224" s="11" t="n"/>
      <c r="BU224" s="12" t="n"/>
      <c r="BV224" s="11" t="n"/>
      <c r="BW224" s="11" t="n"/>
      <c r="BX224" s="11" t="n"/>
      <c r="BY224" s="11" t="n"/>
      <c r="BZ224" s="12" t="n"/>
      <c r="CA224" s="11" t="n"/>
      <c r="CB224" s="11" t="n"/>
      <c r="CC224" s="11" t="n"/>
      <c r="CD224" s="11" t="n"/>
      <c r="CE224" s="12" t="n"/>
      <c r="CF224" s="11" t="n"/>
      <c r="CG224" s="11" t="n"/>
      <c r="CH224" s="11" t="n"/>
      <c r="CI224" s="11" t="n"/>
      <c r="CJ224" s="12" t="n"/>
      <c r="CK224" s="11" t="n"/>
      <c r="CL224" s="11" t="n"/>
      <c r="CM224" s="11" t="n"/>
      <c r="CN224" s="11" t="n"/>
      <c r="CO224" s="12" t="n"/>
      <c r="CP224" s="11" t="n"/>
      <c r="CQ224" s="11" t="n"/>
      <c r="CR224" s="11" t="n"/>
      <c r="CS224" s="11" t="n"/>
      <c r="CT224" s="12" t="n"/>
      <c r="CU224" s="11" t="n"/>
      <c r="CV224" s="11" t="n"/>
      <c r="CW224" s="11" t="n"/>
      <c r="CX224" s="11" t="n"/>
      <c r="CY224" s="12" t="n"/>
    </row>
    <row r="225" hidden="1" outlineLevel="1">
      <c r="C225" s="57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 collapsed="1">
      <c r="C226" s="14" t="inlineStr">
        <is>
          <t>Convertible debt</t>
        </is>
      </c>
      <c r="D226" s="46" t="n"/>
      <c r="E226" s="46" t="n"/>
      <c r="F226" s="46" t="n"/>
      <c r="G226" s="46" t="n"/>
      <c r="H226" s="12" t="n"/>
      <c r="I226" s="46">
        <f>'Inputs (2)'!D37</f>
        <v>0</v>
      </c>
      <c r="J226" s="46">
        <f>'Inputs (2)'!E37</f>
        <v>0</v>
      </c>
      <c r="K226" s="46">
        <f>'Inputs (2)'!F37</f>
        <v>0</v>
      </c>
      <c r="L226" s="46">
        <f>'Inputs (2)'!G37</f>
        <v>0</v>
      </c>
      <c r="M226" s="12">
        <f>'Inputs (2)'!H37</f>
        <v>0</v>
      </c>
      <c r="N226" s="46">
        <f>'Inputs (2)'!I37</f>
        <v>0</v>
      </c>
      <c r="O226" s="46">
        <f>'Inputs (2)'!J37</f>
        <v>0</v>
      </c>
      <c r="P226" s="46">
        <f>'Inputs (2)'!K37</f>
        <v>0</v>
      </c>
      <c r="Q226" s="46">
        <f>'Inputs (2)'!L37</f>
        <v>0</v>
      </c>
      <c r="R226" s="12">
        <f>'Inputs (2)'!M37</f>
        <v>0</v>
      </c>
      <c r="S226" s="46">
        <f>'Inputs (2)'!N37</f>
        <v>0</v>
      </c>
      <c r="T226" s="46">
        <f>'Inputs (2)'!O37</f>
        <v>0</v>
      </c>
      <c r="U226" s="46">
        <f>'Inputs (2)'!P37</f>
        <v>0</v>
      </c>
      <c r="V226" s="46">
        <f>'Inputs (2)'!Q37</f>
        <v>0</v>
      </c>
      <c r="W226" s="12">
        <f>'Inputs (2)'!R37</f>
        <v>0</v>
      </c>
      <c r="X226" s="46">
        <f>'Inputs (2)'!S37</f>
        <v>0</v>
      </c>
      <c r="Y226" s="46">
        <f>'Inputs (2)'!T37</f>
        <v>0</v>
      </c>
      <c r="Z226" s="46">
        <f>'Inputs (2)'!U37</f>
        <v>0</v>
      </c>
      <c r="AA226" s="46">
        <f>'Inputs (2)'!V37</f>
        <v>0</v>
      </c>
      <c r="AB226" s="12">
        <f>'Inputs (2)'!W37</f>
        <v>0</v>
      </c>
      <c r="AC226" s="46">
        <f>'Inputs (2)'!X37</f>
        <v>0</v>
      </c>
      <c r="AD226" s="46">
        <f>'Inputs (2)'!Y37</f>
        <v>0</v>
      </c>
      <c r="AE226" s="46">
        <f>'Inputs (2)'!Z37</f>
        <v>0</v>
      </c>
      <c r="AF226" s="46">
        <f>'Inputs (2)'!AA37</f>
        <v>0</v>
      </c>
      <c r="AG226" s="12">
        <f>'Inputs (2)'!AB37</f>
        <v>0</v>
      </c>
      <c r="AH226" s="12">
        <f>'Inputs (2)'!AC37</f>
        <v>0</v>
      </c>
      <c r="AI226" s="12">
        <f>'Inputs (2)'!AD37</f>
        <v>0</v>
      </c>
      <c r="AJ226" s="12">
        <f>AI226</f>
        <v>0</v>
      </c>
      <c r="AK226" s="12">
        <f>AJ226</f>
        <v>0</v>
      </c>
      <c r="AL226" s="12">
        <f>AK226</f>
        <v>0</v>
      </c>
      <c r="AM226" s="12">
        <f>AL226</f>
        <v>0</v>
      </c>
      <c r="AN226" s="12">
        <f>AM226</f>
        <v>0</v>
      </c>
      <c r="AO226" s="12">
        <f>AN226</f>
        <v>0</v>
      </c>
      <c r="AP226" s="12">
        <f>AO226</f>
        <v>0</v>
      </c>
      <c r="AQ226" s="12">
        <f>AP226</f>
        <v>0</v>
      </c>
      <c r="AR226" s="12">
        <f>AQ226</f>
        <v>0</v>
      </c>
      <c r="AS226" s="12">
        <f>AR226</f>
        <v>0</v>
      </c>
      <c r="AT226" s="12">
        <f>AS226</f>
        <v>0</v>
      </c>
      <c r="AU226" s="12">
        <f>AT226</f>
        <v>0</v>
      </c>
      <c r="AV226" s="12">
        <f>AU226</f>
        <v>0</v>
      </c>
      <c r="AW226" s="12">
        <f>AV226</f>
        <v>0</v>
      </c>
      <c r="AX226" s="12">
        <f>AW226</f>
        <v>0</v>
      </c>
      <c r="AY226" s="12">
        <f>AX226</f>
        <v>0</v>
      </c>
      <c r="AZ226" s="12">
        <f>AY226</f>
        <v>0</v>
      </c>
      <c r="BA226" s="12">
        <f>AZ226</f>
        <v>0</v>
      </c>
      <c r="BB226" s="12">
        <f>BA226</f>
        <v>0</v>
      </c>
      <c r="BC226" s="12">
        <f>BB226</f>
        <v>0</v>
      </c>
      <c r="BD226" s="12">
        <f>BC226</f>
        <v>0</v>
      </c>
      <c r="BE226" s="12">
        <f>BD226</f>
        <v>0</v>
      </c>
      <c r="BF226" s="12">
        <f>BE226</f>
        <v>0</v>
      </c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>
      <c r="C227" s="14" t="inlineStr">
        <is>
          <t>Deferred income taxes</t>
        </is>
      </c>
      <c r="D227" s="46" t="n"/>
      <c r="E227" s="46" t="n"/>
      <c r="F227" s="46" t="n"/>
      <c r="G227" s="46" t="n"/>
      <c r="H227" s="12" t="n"/>
      <c r="I227" s="46">
        <f>'Inputs (2)'!D38</f>
        <v>0</v>
      </c>
      <c r="J227" s="46">
        <f>'Inputs (2)'!E38</f>
        <v>0</v>
      </c>
      <c r="K227" s="46">
        <f>'Inputs (2)'!F38</f>
        <v>0</v>
      </c>
      <c r="L227" s="46">
        <f>'Inputs (2)'!G38</f>
        <v>0</v>
      </c>
      <c r="M227" s="12">
        <f>'Inputs (2)'!H38</f>
        <v>0</v>
      </c>
      <c r="N227" s="46">
        <f>'Inputs (2)'!I38</f>
        <v>0</v>
      </c>
      <c r="O227" s="46">
        <f>'Inputs (2)'!J38</f>
        <v>0</v>
      </c>
      <c r="P227" s="46">
        <f>'Inputs (2)'!K38</f>
        <v>0</v>
      </c>
      <c r="Q227" s="46">
        <f>'Inputs (2)'!L38</f>
        <v>0</v>
      </c>
      <c r="R227" s="12">
        <f>'Inputs (2)'!M38</f>
        <v>0</v>
      </c>
      <c r="S227" s="46">
        <f>'Inputs (2)'!N38</f>
        <v>0</v>
      </c>
      <c r="T227" s="46">
        <f>'Inputs (2)'!O38</f>
        <v>0</v>
      </c>
      <c r="U227" s="46">
        <f>'Inputs (2)'!P38</f>
        <v>0</v>
      </c>
      <c r="V227" s="46">
        <f>'Inputs (2)'!Q38</f>
        <v>0</v>
      </c>
      <c r="W227" s="12">
        <f>'Inputs (2)'!R38</f>
        <v>0</v>
      </c>
      <c r="X227" s="46">
        <f>'Inputs (2)'!S38</f>
        <v>0</v>
      </c>
      <c r="Y227" s="46">
        <f>'Inputs (2)'!T38</f>
        <v>0</v>
      </c>
      <c r="Z227" s="46">
        <f>'Inputs (2)'!U38</f>
        <v>0</v>
      </c>
      <c r="AA227" s="46">
        <f>'Inputs (2)'!V38</f>
        <v>0</v>
      </c>
      <c r="AB227" s="12">
        <f>'Inputs (2)'!W38</f>
        <v>0</v>
      </c>
      <c r="AC227" s="46">
        <f>'Inputs (2)'!X38</f>
        <v>0</v>
      </c>
      <c r="AD227" s="46">
        <f>'Inputs (2)'!Y38</f>
        <v>0</v>
      </c>
      <c r="AE227" s="46">
        <f>'Inputs (2)'!Z38</f>
        <v>0</v>
      </c>
      <c r="AF227" s="46">
        <f>'Inputs (2)'!AA38</f>
        <v>0</v>
      </c>
      <c r="AG227" s="12">
        <f>'Inputs (2)'!AB38</f>
        <v>0</v>
      </c>
      <c r="AH227" s="12">
        <f>'Inputs (2)'!AC38</f>
        <v>0</v>
      </c>
      <c r="AI227" s="12">
        <f>'Inputs (2)'!AD38</f>
        <v>0</v>
      </c>
      <c r="AJ227" s="12">
        <f>AI227</f>
        <v>0</v>
      </c>
      <c r="AK227" s="12">
        <f>AJ227</f>
        <v>0</v>
      </c>
      <c r="AL227" s="12">
        <f>AK227</f>
        <v>0</v>
      </c>
      <c r="AM227" s="12">
        <f>AL227</f>
        <v>0</v>
      </c>
      <c r="AN227" s="12">
        <f>AM227</f>
        <v>0</v>
      </c>
      <c r="AO227" s="12">
        <f>AN227</f>
        <v>0</v>
      </c>
      <c r="AP227" s="12">
        <f>AO227</f>
        <v>0</v>
      </c>
      <c r="AQ227" s="12">
        <f>AP227</f>
        <v>0</v>
      </c>
      <c r="AR227" s="12">
        <f>AQ227</f>
        <v>0</v>
      </c>
      <c r="AS227" s="12">
        <f>AR227</f>
        <v>0</v>
      </c>
      <c r="AT227" s="12">
        <f>AS227</f>
        <v>0</v>
      </c>
      <c r="AU227" s="12">
        <f>AT227</f>
        <v>0</v>
      </c>
      <c r="AV227" s="12">
        <f>AU227</f>
        <v>0</v>
      </c>
      <c r="AW227" s="12">
        <f>AV227</f>
        <v>0</v>
      </c>
      <c r="AX227" s="12">
        <f>AW227</f>
        <v>0</v>
      </c>
      <c r="AY227" s="12">
        <f>AX227</f>
        <v>0</v>
      </c>
      <c r="AZ227" s="12">
        <f>AY227</f>
        <v>0</v>
      </c>
      <c r="BA227" s="12">
        <f>AZ227</f>
        <v>0</v>
      </c>
      <c r="BB227" s="12">
        <f>BA227</f>
        <v>0</v>
      </c>
      <c r="BC227" s="12">
        <f>BB227</f>
        <v>0</v>
      </c>
      <c r="BD227" s="12">
        <f>BC227</f>
        <v>0</v>
      </c>
      <c r="BE227" s="12">
        <f>BD227</f>
        <v>0</v>
      </c>
      <c r="BF227" s="12">
        <f>BE227</f>
        <v>0</v>
      </c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>
      <c r="C228" s="14" t="inlineStr">
        <is>
          <t>Other non-current liabilities</t>
        </is>
      </c>
      <c r="D228" s="46" t="n"/>
      <c r="E228" s="46" t="n"/>
      <c r="F228" s="46" t="n"/>
      <c r="G228" s="46" t="n"/>
      <c r="H228" s="12" t="n"/>
      <c r="I228" s="46">
        <f>'Inputs (2)'!D39</f>
        <v>4962</v>
      </c>
      <c r="J228" s="46">
        <f>'Inputs (2)'!E39</f>
        <v>4834</v>
      </c>
      <c r="K228" s="46">
        <f>'Inputs (2)'!F39</f>
        <v>4860</v>
      </c>
      <c r="L228" s="46">
        <f>'Inputs (2)'!G39</f>
        <v>4738</v>
      </c>
      <c r="M228" s="12">
        <f>'Inputs (2)'!H39</f>
        <v>4738</v>
      </c>
      <c r="N228" s="46">
        <f>'Inputs (2)'!I39</f>
        <v>4655</v>
      </c>
      <c r="O228" s="46">
        <f>'Inputs (2)'!J39</f>
        <v>4530</v>
      </c>
      <c r="P228" s="46">
        <f>'Inputs (2)'!K39</f>
        <v>4413</v>
      </c>
      <c r="Q228" s="46">
        <f>'Inputs (2)'!L39</f>
        <v>4016</v>
      </c>
      <c r="R228" s="12">
        <f>'Inputs (2)'!M39</f>
        <v>4016</v>
      </c>
      <c r="S228" s="46">
        <f>'Inputs (2)'!N39</f>
        <v>3955</v>
      </c>
      <c r="T228" s="46">
        <f>'Inputs (2)'!O39</f>
        <v>3949</v>
      </c>
      <c r="U228" s="46">
        <f>'Inputs (2)'!P39</f>
        <v>3847</v>
      </c>
      <c r="V228" s="46">
        <f>'Inputs (2)'!Q39</f>
        <v>13749</v>
      </c>
      <c r="W228" s="12">
        <f>'Inputs (2)'!R39</f>
        <v>13749</v>
      </c>
      <c r="X228" s="46">
        <f>'Inputs (2)'!S39</f>
        <v>13489</v>
      </c>
      <c r="Y228" s="46">
        <f>'Inputs (2)'!T39</f>
        <v>16296</v>
      </c>
      <c r="Z228" s="46">
        <f>'Inputs (2)'!U39</f>
        <v>14975</v>
      </c>
      <c r="AA228" s="46">
        <f>'Inputs (2)'!V39</f>
        <v>13733</v>
      </c>
      <c r="AB228" s="12">
        <f>'Inputs (2)'!W39</f>
        <v>13733</v>
      </c>
      <c r="AC228" s="46">
        <f>'Inputs (2)'!X39</f>
        <v>12696</v>
      </c>
      <c r="AD228" s="46">
        <f>'Inputs (2)'!Y39</f>
        <v>12810</v>
      </c>
      <c r="AE228" s="46">
        <f>'Inputs (2)'!Z39</f>
        <v>9302</v>
      </c>
      <c r="AF228" s="46">
        <f>'Inputs (2)'!AA39</f>
        <v>9367</v>
      </c>
      <c r="AG228" s="12">
        <f>'Inputs (2)'!AB39</f>
        <v>9367</v>
      </c>
      <c r="AH228" s="12">
        <f>'Inputs (2)'!AC39</f>
        <v>9950</v>
      </c>
      <c r="AI228" s="12">
        <f>'Inputs (2)'!AD39</f>
        <v>10453</v>
      </c>
      <c r="AJ228" s="12">
        <f>AI228</f>
        <v>10453</v>
      </c>
      <c r="AK228" s="12">
        <f>AJ228</f>
        <v>10453</v>
      </c>
      <c r="AL228" s="12">
        <f>AK228</f>
        <v>10453</v>
      </c>
      <c r="AM228" s="12">
        <f>AL228</f>
        <v>10453</v>
      </c>
      <c r="AN228" s="12">
        <f>AM228</f>
        <v>10453</v>
      </c>
      <c r="AO228" s="12">
        <f>AN228</f>
        <v>10453</v>
      </c>
      <c r="AP228" s="12">
        <f>AO228</f>
        <v>10453</v>
      </c>
      <c r="AQ228" s="12">
        <f>AP228</f>
        <v>10453</v>
      </c>
      <c r="AR228" s="12">
        <f>AQ228</f>
        <v>10453</v>
      </c>
      <c r="AS228" s="12">
        <f>AR228</f>
        <v>10453</v>
      </c>
      <c r="AT228" s="12">
        <f>AS228</f>
        <v>10453</v>
      </c>
      <c r="AU228" s="12">
        <f>AT228</f>
        <v>10453</v>
      </c>
      <c r="AV228" s="12">
        <f>AU228</f>
        <v>10453</v>
      </c>
      <c r="AW228" s="12">
        <f>AV228</f>
        <v>10453</v>
      </c>
      <c r="AX228" s="12">
        <f>AW228</f>
        <v>10453</v>
      </c>
      <c r="AY228" s="12">
        <f>AX228</f>
        <v>10453</v>
      </c>
      <c r="AZ228" s="12">
        <f>AY228</f>
        <v>10453</v>
      </c>
      <c r="BA228" s="12">
        <f>AZ228</f>
        <v>10453</v>
      </c>
      <c r="BB228" s="12">
        <f>BA228</f>
        <v>10453</v>
      </c>
      <c r="BC228" s="12">
        <f>BB228</f>
        <v>10453</v>
      </c>
      <c r="BD228" s="12">
        <f>BC228</f>
        <v>10453</v>
      </c>
      <c r="BE228" s="12">
        <f>BD228</f>
        <v>10453</v>
      </c>
      <c r="BF228" s="12">
        <f>BE228</f>
        <v>10453</v>
      </c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 ht="12" customHeight="1">
      <c r="C229" s="59" t="inlineStr">
        <is>
          <t>%(Var.)</t>
        </is>
      </c>
      <c r="D229" s="12" t="n"/>
      <c r="E229" s="40" t="n"/>
      <c r="F229" s="40" t="n"/>
      <c r="G229" s="40" t="n"/>
      <c r="H229" s="12" t="n"/>
      <c r="I229" s="40" t="str">
        <f>""</f>
        <v/>
      </c>
      <c r="J229" s="40">
        <f>IF(I228=0,"",J228/I228-1)</f>
        <v>-0.0257960499798469</v>
      </c>
      <c r="K229" s="40">
        <f>IF(J228=0,"",K228/J228-1)</f>
        <v>0.00537856847331408</v>
      </c>
      <c r="L229" s="40">
        <f>IF(K228=0,"",L228/K228-1)</f>
        <v>-0.0251028806584362</v>
      </c>
      <c r="M229" s="12">
        <f>IF(L228=0,"",M228/L228-1)</f>
        <v>0</v>
      </c>
      <c r="N229" s="40">
        <f>IF(M228=0,"",N228/M228-1)</f>
        <v>-0.0175179400590967</v>
      </c>
      <c r="O229" s="40">
        <f>IF(N228=0,"",O228/N228-1)</f>
        <v>-0.0268528464017186</v>
      </c>
      <c r="P229" s="40">
        <f>IF(O228=0,"",P228/O228-1)</f>
        <v>-0.0258278145695364</v>
      </c>
      <c r="Q229" s="40">
        <f>IF(P228=0,"",Q228/P228-1)</f>
        <v>-0.0899614774529799</v>
      </c>
      <c r="R229" s="12">
        <f>IF(Q228=0,"",R228/Q228-1)</f>
        <v>0</v>
      </c>
      <c r="S229" s="40">
        <f>IF(R228=0,"",S228/R228-1)</f>
        <v>-0.0151892430278885</v>
      </c>
      <c r="T229" s="40">
        <f>IF(S228=0,"",T228/S228-1)</f>
        <v>-0.00151706700379262</v>
      </c>
      <c r="U229" s="40">
        <f>IF(T228=0,"",U228/T228-1)</f>
        <v>-0.0258293238794631</v>
      </c>
      <c r="V229" s="40">
        <f>IF(U228=0,"",V228/U228-1)</f>
        <v>2.57395373017936</v>
      </c>
      <c r="W229" s="12">
        <f>IF(V228=0,"",W228/V228-1)</f>
        <v>0</v>
      </c>
      <c r="X229" s="40">
        <f>IF(W228=0,"",X228/W228-1)</f>
        <v>-0.0189104662157248</v>
      </c>
      <c r="Y229" s="40">
        <f>IF(X228=0,"",Y228/X228-1)</f>
        <v>0.208095485210171</v>
      </c>
      <c r="Z229" s="40">
        <f>IF(Y228=0,"",Z228/Y228-1)</f>
        <v>-0.0810628375061365</v>
      </c>
      <c r="AA229" s="40">
        <f>IF(Z228=0,"",AA228/Z228-1)</f>
        <v>-0.0829382303839733</v>
      </c>
      <c r="AB229" s="12">
        <f>IF(AA228=0,"",AB228/AA228-1)</f>
        <v>0</v>
      </c>
      <c r="AC229" s="40">
        <f>IF(AB228=0,"",AC228/AB228-1)</f>
        <v>-0.0755115415422705</v>
      </c>
      <c r="AD229" s="40">
        <f>IF(AC228=0,"",AD228/AC228-1)</f>
        <v>0.00897920604914937</v>
      </c>
      <c r="AE229" s="40">
        <f>IF(AD228=0,"",AE228/AD228-1)</f>
        <v>-0.273848555815769</v>
      </c>
      <c r="AF229" s="41">
        <f>IF(AE228=0,"",AF228/AE228-1)</f>
        <v>0.00698774457106</v>
      </c>
      <c r="AG229" s="12">
        <f>IF(AF228=0,"",AG228/AF228-1)</f>
        <v>0</v>
      </c>
      <c r="AH229" s="41">
        <f>IF(AG228=0,"",AH228/AG228-1)</f>
        <v>0.0622397779438455</v>
      </c>
      <c r="AI229" s="41">
        <f>IF(AH228=0,"",AI228/AH228-1)</f>
        <v>0.0505527638190955</v>
      </c>
      <c r="AJ229" s="41">
        <f>IF(AI228=0,"",AJ228/AI228-1)</f>
        <v>0</v>
      </c>
      <c r="AK229" s="41">
        <f>IF(AJ228=0,"",AK228/AJ228-1)</f>
        <v>0</v>
      </c>
      <c r="AL229" s="12">
        <f>IF(AK228=0,"",AL228/AK228-1)</f>
        <v>0</v>
      </c>
      <c r="AM229" s="41">
        <f>IF(AL228=0,"",AM228/AL228-1)</f>
        <v>0</v>
      </c>
      <c r="AN229" s="41">
        <f>IF(AM228=0,"",AN228/AM228-1)</f>
        <v>0</v>
      </c>
      <c r="AO229" s="41">
        <f>IF(AN228=0,"",AO228/AN228-1)</f>
        <v>0</v>
      </c>
      <c r="AP229" s="41">
        <f>IF(AO228=0,"",AP228/AO228-1)</f>
        <v>0</v>
      </c>
      <c r="AQ229" s="12">
        <f>IF(AP228=0,"",AQ228/AP228-1)</f>
        <v>0</v>
      </c>
      <c r="AR229" s="41">
        <f>IF(AQ228=0,"",AR228/AQ228-1)</f>
        <v>0</v>
      </c>
      <c r="AS229" s="41">
        <f>IF(AR228=0,"",AS228/AR228-1)</f>
        <v>0</v>
      </c>
      <c r="AT229" s="41">
        <f>IF(AS228=0,"",AT228/AS228-1)</f>
        <v>0</v>
      </c>
      <c r="AU229" s="41">
        <f>IF(AT228=0,"",AU228/AT228-1)</f>
        <v>0</v>
      </c>
      <c r="AV229" s="12">
        <f>IF(AU228=0,"",AV228/AU228-1)</f>
        <v>0</v>
      </c>
      <c r="AW229" s="41">
        <f>IF(AV228=0,"",AW228/AV228-1)</f>
        <v>0</v>
      </c>
      <c r="AX229" s="41">
        <f>IF(AW228=0,"",AX228/AW228-1)</f>
        <v>0</v>
      </c>
      <c r="AY229" s="41">
        <f>IF(AX228=0,"",AY228/AX228-1)</f>
        <v>0</v>
      </c>
      <c r="AZ229" s="41">
        <f>IF(AY228=0,"",AZ228/AY228-1)</f>
        <v>0</v>
      </c>
      <c r="BA229" s="12">
        <f>IF(AZ228=0,"",BA228/AZ228-1)</f>
        <v>0</v>
      </c>
      <c r="BB229" s="41">
        <f>IF(BA228=0,"",BB228/BA228-1)</f>
        <v>0</v>
      </c>
      <c r="BC229" s="41">
        <f>IF(BB228=0,"",BC228/BB228-1)</f>
        <v>0</v>
      </c>
      <c r="BD229" s="41">
        <f>IF(BC228=0,"",BD228/BC228-1)</f>
        <v>0</v>
      </c>
      <c r="BE229" s="41">
        <f>IF(BD228=0,"",BE228/BD228-1)</f>
        <v>0</v>
      </c>
      <c r="BF229" s="12">
        <f>IF(BE228=0,"",BF228/BE228-1)</f>
        <v>0</v>
      </c>
      <c r="BG229" s="41" t="n"/>
      <c r="BH229" s="41" t="n"/>
      <c r="BI229" s="41" t="n"/>
      <c r="BJ229" s="41" t="n"/>
      <c r="BK229" s="12" t="n"/>
      <c r="BL229" s="41" t="n"/>
      <c r="BM229" s="41" t="n"/>
      <c r="BN229" s="41" t="n"/>
      <c r="BO229" s="41" t="n"/>
      <c r="BP229" s="12" t="n"/>
      <c r="BQ229" s="41" t="n"/>
      <c r="BR229" s="41" t="n"/>
      <c r="BS229" s="41" t="n"/>
      <c r="BT229" s="41" t="n"/>
      <c r="BU229" s="12" t="n"/>
      <c r="BV229" s="41" t="n"/>
      <c r="BW229" s="41" t="n"/>
      <c r="BX229" s="41" t="n"/>
      <c r="BY229" s="41" t="n"/>
      <c r="BZ229" s="12" t="n"/>
      <c r="CA229" s="41" t="n"/>
      <c r="CB229" s="41" t="n"/>
      <c r="CC229" s="41" t="n"/>
      <c r="CD229" s="41" t="n"/>
      <c r="CE229" s="12" t="n"/>
      <c r="CF229" s="41" t="n"/>
      <c r="CG229" s="41" t="n"/>
      <c r="CH229" s="41" t="n"/>
      <c r="CI229" s="41" t="n"/>
      <c r="CJ229" s="12" t="n"/>
      <c r="CK229" s="41" t="n"/>
      <c r="CL229" s="41" t="n"/>
      <c r="CM229" s="41" t="n"/>
      <c r="CN229" s="41" t="n"/>
      <c r="CO229" s="12" t="n"/>
      <c r="CP229" s="41" t="n"/>
      <c r="CQ229" s="41" t="n"/>
      <c r="CR229" s="41" t="n"/>
      <c r="CS229" s="41" t="n"/>
      <c r="CT229" s="12" t="n"/>
      <c r="CU229" s="41" t="n"/>
      <c r="CV229" s="41" t="n"/>
      <c r="CW229" s="41" t="n"/>
      <c r="CX229" s="41" t="n"/>
      <c r="CY229" s="12" t="n"/>
    </row>
    <row r="230" hidden="1" outlineLevel="1" ht="12" customHeight="1">
      <c r="C230" s="59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>Contas a pagar pela aquisição de controladas</t>
        </is>
      </c>
      <c r="D231" s="11" t="n"/>
      <c r="E231" s="11" t="n"/>
      <c r="F231" s="11" t="n"/>
      <c r="G231" s="11" t="n"/>
      <c r="H231" s="12" t="n"/>
      <c r="I231" s="11" t="n"/>
      <c r="J231" s="11" t="n"/>
      <c r="K231" s="11" t="n"/>
      <c r="L231" s="11" t="n"/>
      <c r="M231" s="12" t="n"/>
      <c r="N231" s="11" t="n"/>
      <c r="O231" s="11" t="n"/>
      <c r="P231" s="11" t="n"/>
      <c r="Q231" s="11" t="n"/>
      <c r="R231" s="12" t="n"/>
      <c r="S231" s="11" t="n"/>
      <c r="T231" s="11" t="n"/>
      <c r="U231" s="11" t="n"/>
      <c r="V231" s="11" t="n"/>
      <c r="W231" s="12" t="n"/>
      <c r="X231" s="11" t="n"/>
      <c r="Y231" s="11" t="n"/>
      <c r="Z231" s="11" t="n"/>
      <c r="AA231" s="11" t="n"/>
      <c r="AB231" s="12" t="n"/>
      <c r="AC231" s="11" t="n"/>
      <c r="AD231" s="11" t="n"/>
      <c r="AE231" s="11" t="n"/>
      <c r="AF231" s="11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 xml:space="preserve">Outras Obrigações </t>
        </is>
      </c>
      <c r="D232" s="11" t="n"/>
      <c r="E232" s="11" t="n"/>
      <c r="F232" s="11" t="n"/>
      <c r="G232" s="11" t="n"/>
      <c r="H232" s="12" t="n"/>
      <c r="I232" s="11" t="n"/>
      <c r="J232" s="11" t="n"/>
      <c r="K232" s="11" t="n"/>
      <c r="L232" s="11" t="n"/>
      <c r="M232" s="12" t="n"/>
      <c r="N232" s="11" t="n"/>
      <c r="O232" s="11" t="n"/>
      <c r="P232" s="11" t="n"/>
      <c r="Q232" s="11" t="n"/>
      <c r="R232" s="12" t="n"/>
      <c r="S232" s="11" t="n"/>
      <c r="T232" s="11" t="n"/>
      <c r="U232" s="11" t="n"/>
      <c r="V232" s="11" t="n"/>
      <c r="W232" s="12" t="n"/>
      <c r="X232" s="11" t="n"/>
      <c r="Y232" s="11" t="n"/>
      <c r="Z232" s="11" t="n"/>
      <c r="AA232" s="11" t="n"/>
      <c r="AB232" s="12" t="n"/>
      <c r="AC232" s="11" t="n"/>
      <c r="AD232" s="11" t="n"/>
      <c r="AE232" s="11" t="n"/>
      <c r="AF232" s="11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hidden="1" outlineLevel="1">
      <c r="C233" s="57" t="inlineStr">
        <is>
          <t xml:space="preserve">Provisão de Risco Cíveis, Trabalhistas e Tributários </t>
        </is>
      </c>
      <c r="D233" s="11" t="n"/>
      <c r="E233" s="11" t="n"/>
      <c r="F233" s="11" t="n"/>
      <c r="G233" s="11" t="n"/>
      <c r="H233" s="12" t="n"/>
      <c r="I233" s="11" t="n"/>
      <c r="J233" s="11" t="n"/>
      <c r="K233" s="11" t="n"/>
      <c r="L233" s="11" t="n"/>
      <c r="M233" s="12" t="n"/>
      <c r="N233" s="11" t="n"/>
      <c r="O233" s="11" t="n"/>
      <c r="P233" s="11" t="n"/>
      <c r="Q233" s="11" t="n"/>
      <c r="R233" s="12" t="n"/>
      <c r="S233" s="11" t="n"/>
      <c r="T233" s="11" t="n"/>
      <c r="U233" s="11" t="n"/>
      <c r="V233" s="11" t="n"/>
      <c r="W233" s="12" t="n"/>
      <c r="X233" s="11" t="n"/>
      <c r="Y233" s="11" t="n"/>
      <c r="Z233" s="11" t="n"/>
      <c r="AA233" s="11" t="n"/>
      <c r="AB233" s="12" t="n"/>
      <c r="AC233" s="11" t="n"/>
      <c r="AD233" s="11" t="n"/>
      <c r="AE233" s="11" t="n"/>
      <c r="AF233" s="11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 customFormat="1" s="32">
      <c r="A235" s="30" t="n"/>
      <c r="B235" s="30" t="n"/>
      <c r="C235" s="65" t="inlineStr">
        <is>
          <t>Total Liabilities</t>
        </is>
      </c>
      <c r="D235" s="35" t="n"/>
      <c r="E235" s="35" t="n"/>
      <c r="F235" s="35" t="n"/>
      <c r="G235" s="35" t="n"/>
      <c r="H235" s="35" t="n"/>
      <c r="I235" s="35">
        <f>SUM(I186+I190+I192+I193+I200+I201+I202+I205+I223+I226+I227+I228)</f>
        <v>51558</v>
      </c>
      <c r="J235" s="35">
        <f>SUM(J186+J190+J192+J193+J200+J201+J202+J205+J223+J226+J227+J228)</f>
        <v>51513</v>
      </c>
      <c r="K235" s="35">
        <f>SUM(K186+K190+K192+K193+K200+K201+K202+K205+K223+K226+K227+K228)</f>
        <v>50581</v>
      </c>
      <c r="L235" s="35">
        <f>SUM(L186+L190+L192+L193+L200+L201+L202+L205+L223+L226+L227+L228)</f>
        <v>50230</v>
      </c>
      <c r="M235" s="35">
        <f>SUM(M186,M190,M192,M193,M200,M201,M205,M202,M223,M226,M227,M228)</f>
        <v>50230</v>
      </c>
      <c r="N235" s="35">
        <f>SUM(N186+N190+N192+N193+N200+N201+N202+N205+N223+N226+N227+N228)</f>
        <v>50729</v>
      </c>
      <c r="O235" s="35">
        <f>SUM(O186+O190+O192+O193+O200+O201+O202+O205+O223+O226+O227+O228)</f>
        <v>50423</v>
      </c>
      <c r="P235" s="35">
        <f>SUM(P186+P190+P192+P193+P200+P201+P202+P205+P223+P226+P227+P228)</f>
        <v>50540</v>
      </c>
      <c r="Q235" s="35">
        <f>SUM(Q186+Q190+Q192+Q193+Q200+Q201+Q202+Q205+Q223+Q226+Q227+Q228)</f>
        <v>49666</v>
      </c>
      <c r="R235" s="35">
        <f>SUM(R186,R190,R192,R193,R200,R201,R205,R202,R223,R226,R227,R228)</f>
        <v>49666</v>
      </c>
      <c r="S235" s="35">
        <f>SUM(S186+S190+S192+S193+S200+S201+S202+S205+S223+S226+S227+S228)</f>
        <v>49660</v>
      </c>
      <c r="T235" s="35">
        <f>SUM(T186+T190+T192+T193+T200+T201+T202+T205+T223+T226+T227+T228)</f>
        <v>49516</v>
      </c>
      <c r="U235" s="35">
        <f>SUM(U186+U190+U192+U193+U200+U201+U202+U205+U223+U226+U227+U228)</f>
        <v>48873</v>
      </c>
      <c r="V235" s="35">
        <f>SUM(V186+V190+V192+V193+V200+V201+V202+V205+V223+V226+V227+V228)</f>
        <v>107586</v>
      </c>
      <c r="W235" s="35">
        <f>SUM(W186,W190,W192,W193,W200,W201,W205,W202,W223,W226,W227,W228)</f>
        <v>107586</v>
      </c>
      <c r="X235" s="35">
        <f>SUM(X186+X190+X192+X193+X200+X201+X202+X205+X223+X226+X227+X228)</f>
        <v>105250</v>
      </c>
      <c r="Y235" s="35">
        <f>SUM(Y186+Y190+Y192+Y193+Y200+Y201+Y202+Y205+Y223+Y226+Y227+Y228)</f>
        <v>102315</v>
      </c>
      <c r="Z235" s="35">
        <f>SUM(Z186+Z190+Z192+Z193+Z200+Z201+Z202+Z205+Z223+Z226+Z227+Z228)</f>
        <v>97967</v>
      </c>
      <c r="AA235" s="35">
        <f>SUM(AA186+AA190+AA192+AA193+AA200+AA201+AA202+AA205+AA223+AA226+AA227+AA228)</f>
        <v>95569</v>
      </c>
      <c r="AB235" s="35">
        <f>SUM(AB186,AB190,AB192,AB193,AB200,AB201,AB205,AB202,AB223,AB226,AB227,AB228)</f>
        <v>95569</v>
      </c>
      <c r="AC235" s="35">
        <f>SUM(AC186+AC190+AC192+AC193+AC200+AC201+AC202+AC205+AC223+AC226+AC227+AC228)</f>
        <v>95044</v>
      </c>
      <c r="AD235" s="35">
        <f>SUM(AD186+AD190+AD192+AD193+AD200+AD201+AD202+AD205+AD223+AD226+AD227+AD228)</f>
        <v>92344</v>
      </c>
      <c r="AE235" s="35">
        <f>SUM(AE186+AE190+AE192+AE193+AE200+AE201+AE202+AE205+AE223+AE226+AE227+AE228)</f>
        <v>89800</v>
      </c>
      <c r="AF235" s="35">
        <f>SUM(AF186+AF190+AF192+AF193+AF200+AF201+AF202+AF205+AF223+AF226+AF227+AF228)</f>
        <v>90031</v>
      </c>
      <c r="AG235" s="35">
        <f>SUM(AG186,AG190,AG192,AG193,AG200,AG201,AG205,AG202,AG223,AG226,AG227,AG228)</f>
        <v>90031</v>
      </c>
      <c r="AH235" s="35">
        <f>SUM(AH186+AH190+AH192+AH193+AH200+AH201+AH202+AH205+AH223+AH226+AH227+AH228)</f>
        <v>91467</v>
      </c>
      <c r="AI235" s="35">
        <f>SUM(AI186+AI190+AI192+AI193+AI200+AI201+AI202+AI205+AI223+AI226+AI227+AI228)</f>
        <v>88458</v>
      </c>
      <c r="AJ235" s="35">
        <f>SUM(AJ186+AJ190+AJ192+AJ193+AJ200+AJ201+AJ202+AJ205+AJ223+AJ226+AJ227+AJ228)</f>
        <v>87578.9417293908</v>
      </c>
      <c r="AK235" s="35">
        <f>SUM(AK186+AK190+AK192+AK193+AK200+AK201+AK202+AK205+AK223+AK226+AK227+AK228)</f>
        <v>88574.2364050023</v>
      </c>
      <c r="AL235" s="35">
        <f>SUM(AL186,AL190,AL192,AL193,AL200,AL201,AL205,AL202,AL223,AL226,AL227,AL228)</f>
        <v>88574.2364050024</v>
      </c>
      <c r="AM235" s="35">
        <f>SUM(AM186+AM190+AM192+AM193+AM200+AM201+AM202+AM205+AM223+AM226+AM227+AM228)</f>
        <v>90177.2660885199</v>
      </c>
      <c r="AN235" s="35">
        <f>SUM(AN186+AN190+AN192+AN193+AN200+AN201+AN202+AN205+AN223+AN226+AN227+AN228)</f>
        <v>92763.3476673435</v>
      </c>
      <c r="AO235" s="35">
        <f>SUM(AO186+AO190+AO192+AO193+AO200+AO201+AO202+AO205+AO223+AO226+AO227+AO228)</f>
        <v>94250.7422863551</v>
      </c>
      <c r="AP235" s="35">
        <f>SUM(AP186+AP190+AP192+AP193+AP200+AP201+AP202+AP205+AP223+AP226+AP227+AP228)</f>
        <v>97527.1092754355</v>
      </c>
      <c r="AQ235" s="35">
        <f>SUM(AQ186,AQ190,AQ192,AQ193,AQ200,AQ201,AQ205,AQ202,AQ223,AQ226,AQ227,AQ228)</f>
        <v>97527.1092754355</v>
      </c>
      <c r="AR235" s="35">
        <f>SUM(AR186+AR190+AR192+AR193+AR200+AR201+AR202+AR205+AR223+AR226+AR227+AR228)</f>
        <v>102265.183613996</v>
      </c>
      <c r="AS235" s="35">
        <f>SUM(AS186+AS190+AS192+AS193+AS200+AS201+AS202+AS205+AS223+AS226+AS227+AS228)</f>
        <v>109457.072428221</v>
      </c>
      <c r="AT235" s="35">
        <f>SUM(AT186+AT190+AT192+AT193+AT200+AT201+AT202+AT205+AT223+AT226+AT227+AT228)</f>
        <v>116437.19160913</v>
      </c>
      <c r="AU235" s="35">
        <f>SUM(AU186+AU190+AU192+AU193+AU200+AU201+AU202+AU205+AU223+AU226+AU227+AU228)</f>
        <v>127766.145751028</v>
      </c>
      <c r="AV235" s="35">
        <f>SUM(AV186,AV190,AV192,AV193,AV200,AV201,AV205,AV202,AV223,AV226,AV227,AV228)</f>
        <v>127766.145751028</v>
      </c>
      <c r="AW235" s="35">
        <f>SUM(AW186+AW190+AW192+AW193+AW200+AW201+AW202+AW205+AW223+AW226+AW227+AW228)</f>
        <v>143625.912482578</v>
      </c>
      <c r="AX235" s="35">
        <f>SUM(AX186+AX190+AX192+AX193+AX200+AX201+AX202+AX205+AX223+AX226+AX227+AX228)</f>
        <v>166239.174508434</v>
      </c>
      <c r="AY235" s="35">
        <f>SUM(AY186+AY190+AY192+AY193+AY200+AY201+AY202+AY205+AY223+AY226+AY227+AY228)</f>
        <v>193421.732301917</v>
      </c>
      <c r="AZ235" s="35">
        <f>SUM(AZ186+AZ190+AZ192+AZ193+AZ200+AZ201+AZ202+AZ205+AZ223+AZ226+AZ227+AZ228)</f>
        <v>233194.699796212</v>
      </c>
      <c r="BA235" s="35">
        <f>SUM(BA186,BA190,BA192,BA193,BA200,BA201,BA205,BA202,BA223,BA226,BA227,BA228)</f>
        <v>233194.699796212</v>
      </c>
      <c r="BB235" s="35">
        <f>SUM(BB186+BB190+BB192+BB193+BB200+BB201+BB202+BB205+BB223+BB226+BB227+BB228)</f>
        <v>287812.580219514</v>
      </c>
      <c r="BC235" s="35">
        <f>SUM(BC186+BC190+BC192+BC193+BC200+BC201+BC202+BC205+BC223+BC226+BC227+BC228)</f>
        <v>363909.251598656</v>
      </c>
      <c r="BD235" s="35">
        <f>SUM(BD186+BD190+BD192+BD193+BD200+BD201+BD202+BD205+BD223+BD226+BD227+BD228)</f>
        <v>462969.018851782</v>
      </c>
      <c r="BE235" s="35">
        <f>SUM(BE186+BE190+BE192+BE193+BE200+BE201+BE202+BE205+BE223+BE226+BE227+BE228)</f>
        <v>602192.072873196</v>
      </c>
      <c r="BF235" s="35">
        <f>SUM(BF186,BF190,BF192,BF193,BF200,BF201,BF205,BF202,BF223,BF226,BF227,BF228)</f>
        <v>602192.072873196</v>
      </c>
      <c r="BG235" s="35" t="n"/>
      <c r="BH235" s="35" t="n"/>
      <c r="BI235" s="35" t="n"/>
      <c r="BJ235" s="35" t="n"/>
      <c r="BK235" s="35" t="n"/>
      <c r="BL235" s="35" t="n"/>
      <c r="BM235" s="35" t="n"/>
      <c r="BN235" s="35" t="n"/>
      <c r="BO235" s="35" t="n"/>
      <c r="BP235" s="35" t="n"/>
      <c r="BQ235" s="35" t="n"/>
      <c r="BR235" s="35" t="n"/>
      <c r="BS235" s="35" t="n"/>
      <c r="BT235" s="35" t="n"/>
      <c r="BU235" s="35" t="n"/>
      <c r="BV235" s="35" t="n"/>
      <c r="BW235" s="35" t="n"/>
      <c r="BX235" s="35" t="n"/>
      <c r="BY235" s="35" t="n"/>
      <c r="BZ235" s="35" t="n"/>
      <c r="CA235" s="35" t="n"/>
      <c r="CB235" s="35" t="n"/>
      <c r="CC235" s="35" t="n"/>
      <c r="CD235" s="35" t="n"/>
      <c r="CE235" s="35" t="n"/>
      <c r="CF235" s="35" t="n"/>
      <c r="CG235" s="35" t="n"/>
      <c r="CH235" s="35" t="n"/>
      <c r="CI235" s="35" t="n"/>
      <c r="CJ235" s="35" t="n"/>
      <c r="CK235" s="35" t="n"/>
      <c r="CL235" s="35" t="n"/>
      <c r="CM235" s="35" t="n"/>
      <c r="CN235" s="35" t="n"/>
      <c r="CO235" s="35" t="n"/>
      <c r="CP235" s="35" t="n"/>
      <c r="CQ235" s="35" t="n"/>
      <c r="CR235" s="35" t="n"/>
      <c r="CS235" s="35" t="n"/>
      <c r="CT235" s="35" t="n"/>
      <c r="CU235" s="35" t="n"/>
      <c r="CV235" s="35" t="n"/>
      <c r="CW235" s="35" t="n"/>
      <c r="CX235" s="35" t="n"/>
      <c r="CY235" s="35" t="n"/>
    </row>
    <row r="236">
      <c r="C236" s="14" t="inlineStr">
        <is>
          <t>Minority interest</t>
        </is>
      </c>
      <c r="D236" s="46" t="n"/>
      <c r="E236" s="46" t="n"/>
      <c r="F236" s="46" t="n"/>
      <c r="G236" s="46" t="n"/>
      <c r="H236" s="12" t="n"/>
      <c r="I236" s="46">
        <f>'Inputs (2)'!D41</f>
        <v>0</v>
      </c>
      <c r="J236" s="46">
        <f>'Inputs (2)'!E41</f>
        <v>0</v>
      </c>
      <c r="K236" s="46">
        <f>'Inputs (2)'!F41</f>
        <v>0</v>
      </c>
      <c r="L236" s="46">
        <f>'Inputs (2)'!G41</f>
        <v>0</v>
      </c>
      <c r="M236" s="12">
        <f>'Inputs (2)'!H41</f>
        <v>0</v>
      </c>
      <c r="N236" s="46">
        <f>'Inputs (2)'!I41</f>
        <v>0</v>
      </c>
      <c r="O236" s="46">
        <f>'Inputs (2)'!J41</f>
        <v>0</v>
      </c>
      <c r="P236" s="46">
        <f>'Inputs (2)'!K41</f>
        <v>0</v>
      </c>
      <c r="Q236" s="46">
        <f>'Inputs (2)'!L41</f>
        <v>0</v>
      </c>
      <c r="R236" s="12">
        <f>'Inputs (2)'!M41</f>
        <v>0</v>
      </c>
      <c r="S236" s="46">
        <f>'Inputs (2)'!N41</f>
        <v>0</v>
      </c>
      <c r="T236" s="46">
        <f>'Inputs (2)'!O41</f>
        <v>0</v>
      </c>
      <c r="U236" s="46">
        <f>'Inputs (2)'!P41</f>
        <v>0</v>
      </c>
      <c r="V236" s="46">
        <f>'Inputs (2)'!Q41</f>
        <v>0</v>
      </c>
      <c r="W236" s="12">
        <f>'Inputs (2)'!R41</f>
        <v>0</v>
      </c>
      <c r="X236" s="46">
        <f>'Inputs (2)'!S41</f>
        <v>0</v>
      </c>
      <c r="Y236" s="46">
        <f>'Inputs (2)'!T41</f>
        <v>0</v>
      </c>
      <c r="Z236" s="46">
        <f>'Inputs (2)'!U41</f>
        <v>0</v>
      </c>
      <c r="AA236" s="46">
        <f>'Inputs (2)'!V41</f>
        <v>0</v>
      </c>
      <c r="AB236" s="12">
        <f>'Inputs (2)'!W41</f>
        <v>0</v>
      </c>
      <c r="AC236" s="46">
        <f>'Inputs (2)'!X41</f>
        <v>0</v>
      </c>
      <c r="AD236" s="46">
        <f>'Inputs (2)'!Y41</f>
        <v>0</v>
      </c>
      <c r="AE236" s="46">
        <f>'Inputs (2)'!Z41</f>
        <v>0</v>
      </c>
      <c r="AF236" s="46">
        <f>'Inputs (2)'!AA41</f>
        <v>0</v>
      </c>
      <c r="AG236" s="12">
        <f>'Inputs (2)'!AB41</f>
        <v>0</v>
      </c>
      <c r="AH236" s="12">
        <f>'Inputs (2)'!AC41</f>
        <v>0</v>
      </c>
      <c r="AI236" s="12">
        <f>'Inputs (2)'!AD41</f>
        <v>0</v>
      </c>
      <c r="AJ236" s="12">
        <f>AI236</f>
        <v>0</v>
      </c>
      <c r="AK236" s="12">
        <f>AJ236</f>
        <v>0</v>
      </c>
      <c r="AL236" s="12">
        <f>AK236</f>
        <v>0</v>
      </c>
      <c r="AM236" s="12">
        <f>AL236</f>
        <v>0</v>
      </c>
      <c r="AN236" s="12">
        <f>AM236</f>
        <v>0</v>
      </c>
      <c r="AO236" s="12">
        <f>AN236</f>
        <v>0</v>
      </c>
      <c r="AP236" s="12">
        <f>AO236</f>
        <v>0</v>
      </c>
      <c r="AQ236" s="12">
        <f>AP236</f>
        <v>0</v>
      </c>
      <c r="AR236" s="12">
        <f>AQ236</f>
        <v>0</v>
      </c>
      <c r="AS236" s="12">
        <f>AR236</f>
        <v>0</v>
      </c>
      <c r="AT236" s="12">
        <f>AS236</f>
        <v>0</v>
      </c>
      <c r="AU236" s="12">
        <f>AT236</f>
        <v>0</v>
      </c>
      <c r="AV236" s="12">
        <f>AU236</f>
        <v>0</v>
      </c>
      <c r="AW236" s="12">
        <f>AV236</f>
        <v>0</v>
      </c>
      <c r="AX236" s="12">
        <f>AW236</f>
        <v>0</v>
      </c>
      <c r="AY236" s="12">
        <f>AX236</f>
        <v>0</v>
      </c>
      <c r="AZ236" s="12">
        <f>AY236</f>
        <v>0</v>
      </c>
      <c r="BA236" s="12">
        <f>AZ236</f>
        <v>0</v>
      </c>
      <c r="BB236" s="12">
        <f>BA236</f>
        <v>0</v>
      </c>
      <c r="BC236" s="12">
        <f>BB236</f>
        <v>0</v>
      </c>
      <c r="BD236" s="12">
        <f>BC236</f>
        <v>0</v>
      </c>
      <c r="BE236" s="12">
        <f>BD236</f>
        <v>0</v>
      </c>
      <c r="BF236" s="12">
        <f>BE236</f>
        <v>0</v>
      </c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  <c r="CU236" s="12" t="n"/>
      <c r="CV236" s="12" t="n"/>
      <c r="CW236" s="12" t="n"/>
      <c r="CX236" s="12" t="n"/>
      <c r="CY236" s="12" t="n"/>
    </row>
    <row r="237" hidden="1" outlineLevel="1" customFormat="1" s="66">
      <c r="A237" s="37" t="n"/>
      <c r="B237" s="37" t="n"/>
      <c r="C237" s="59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  <c r="CY237" s="42" t="n"/>
    </row>
    <row r="238" hidden="1" outlineLevel="1" customFormat="1" s="66">
      <c r="A238" s="37" t="n"/>
      <c r="B238" s="37" t="n"/>
      <c r="C238" s="57" t="inlineStr">
        <is>
          <t>Minority Interest Expense - % YoY</t>
        </is>
      </c>
      <c r="D238" s="42" t="n"/>
      <c r="E238" s="58" t="n"/>
      <c r="F238" s="42" t="n"/>
      <c r="G238" s="42" t="n"/>
      <c r="H238" s="58" t="n"/>
      <c r="I238" s="42" t="n"/>
      <c r="J238" s="58">
        <f>IF(I123=0,0,J123/I123-1)</f>
        <v>-0.0263157894736842</v>
      </c>
      <c r="K238" s="42" t="n"/>
      <c r="L238" s="42" t="n"/>
      <c r="M238" s="58" t="n"/>
      <c r="N238" s="58">
        <f>IF(I123=0,0,N123/I123-1)</f>
        <v>-0.0131578947368421</v>
      </c>
      <c r="O238" s="58">
        <f>IF(J123=0,0,O123/J123-1)</f>
        <v>0.0135135135135136</v>
      </c>
      <c r="P238" s="58">
        <f>IF(K123=0,0,P123/K123-1)</f>
        <v>-3.98666666666667</v>
      </c>
      <c r="Q238" s="58">
        <f>IF(L123=0,0,Q123/L123-1)</f>
        <v>-1</v>
      </c>
      <c r="R238" s="58" t="n"/>
      <c r="S238" s="58">
        <f>IF(N123=0,0,S123/N123-1)</f>
        <v>-1</v>
      </c>
      <c r="T238" s="58">
        <f>IF(O123=0,0,T123/O123-1)</f>
        <v>-1</v>
      </c>
      <c r="U238" s="58">
        <f>IF(P123=0,0,U123/P123-1)</f>
        <v>-1</v>
      </c>
      <c r="V238" s="58">
        <f>IF(Q123=0,0,V123/Q123-1)</f>
        <v>0</v>
      </c>
      <c r="W238" s="58">
        <f>IF(R124=0,0,W124/R124-1)</f>
        <v>0</v>
      </c>
      <c r="X238" s="58">
        <f>IF(S123=0,0,X123/S123-1)</f>
        <v>0</v>
      </c>
      <c r="Y238" s="58">
        <f>IF(T123=0,0,Y123/T123-1)</f>
        <v>0</v>
      </c>
      <c r="Z238" s="58">
        <f>IF(U123=0,0,Z123/U123-1)</f>
        <v>0</v>
      </c>
      <c r="AA238" s="58">
        <f>IF(V123=0,0,AA123/V123-1)</f>
        <v>-1</v>
      </c>
      <c r="AB238" s="58">
        <f>IF(W124=0,0,AB124/W124-1)</f>
        <v>0</v>
      </c>
      <c r="AC238" s="58">
        <f>IF(X123=0,0,AC123/X123-1)</f>
        <v>0</v>
      </c>
      <c r="AD238" s="58">
        <f>IF(Y123=0,0,AD123/Y123-1)</f>
        <v>-1</v>
      </c>
      <c r="AE238" s="58">
        <f>IF(Z123=0,0,AE123/Z123-1)</f>
        <v>-1</v>
      </c>
      <c r="AF238" s="58">
        <f>IF(AA123=0,0,AF123/AA123-1)</f>
        <v>0</v>
      </c>
      <c r="AG238" s="58">
        <f>IF(AB124=0,0,AG124/AB124-1)</f>
        <v>0</v>
      </c>
      <c r="AH238" s="62">
        <f>IF(AC123=0,0,AH123/AC123-1)</f>
        <v>0</v>
      </c>
      <c r="AI238" s="62">
        <f>IF(AD123=0,0,AI123/AD123-1)</f>
        <v>0</v>
      </c>
      <c r="AJ238" s="62" t="n"/>
      <c r="AK238" s="62" t="n"/>
      <c r="AL238" s="58">
        <f>IF(AG124=0,0,AL124/AG124-1)</f>
        <v>0</v>
      </c>
      <c r="AM238" s="62" t="n"/>
      <c r="AN238" s="62" t="n"/>
      <c r="AO238" s="62" t="n"/>
      <c r="AP238" s="62" t="n"/>
      <c r="AQ238" s="58">
        <f>IF(AL124=0,0,AQ124/AL124-1)</f>
        <v>0</v>
      </c>
      <c r="AR238" s="62" t="n"/>
      <c r="AS238" s="62" t="n"/>
      <c r="AT238" s="62" t="n"/>
      <c r="AU238" s="62" t="n"/>
      <c r="AV238" s="58">
        <f>IF(AQ124=0,0,AV124/AQ124-1)</f>
        <v>0</v>
      </c>
      <c r="AW238" s="62" t="n"/>
      <c r="AX238" s="62" t="n"/>
      <c r="AY238" s="62" t="n"/>
      <c r="AZ238" s="62" t="n"/>
      <c r="BA238" s="58">
        <f>IF(AV124=0,0,BA124/AV124-1)</f>
        <v>0</v>
      </c>
      <c r="BB238" s="62" t="n"/>
      <c r="BC238" s="62" t="n"/>
      <c r="BD238" s="62" t="n"/>
      <c r="BE238" s="62" t="n"/>
      <c r="BF238" s="58">
        <f>IF(BA124=0,0,BF124/BA124-1)</f>
        <v>0</v>
      </c>
      <c r="BG238" s="62" t="n"/>
      <c r="BH238" s="62" t="n"/>
      <c r="BI238" s="62" t="n"/>
      <c r="BJ238" s="62" t="n"/>
      <c r="BK238" s="58" t="n"/>
      <c r="BL238" s="62" t="n"/>
      <c r="BM238" s="62" t="n"/>
      <c r="BN238" s="62" t="n"/>
      <c r="BO238" s="62" t="n"/>
      <c r="BP238" s="58" t="n"/>
      <c r="BQ238" s="62" t="n"/>
      <c r="BR238" s="62" t="n"/>
      <c r="BS238" s="62" t="n"/>
      <c r="BT238" s="62" t="n"/>
      <c r="BU238" s="58" t="n"/>
      <c r="BV238" s="62" t="n"/>
      <c r="BW238" s="62" t="n"/>
      <c r="BX238" s="62" t="n"/>
      <c r="BY238" s="62" t="n"/>
      <c r="BZ238" s="58" t="n"/>
      <c r="CA238" s="62" t="n"/>
      <c r="CB238" s="62" t="n"/>
      <c r="CC238" s="62" t="n"/>
      <c r="CD238" s="62" t="n"/>
      <c r="CE238" s="58" t="n"/>
      <c r="CF238" s="62" t="n"/>
      <c r="CG238" s="62" t="n"/>
      <c r="CH238" s="62" t="n"/>
      <c r="CI238" s="62" t="n"/>
      <c r="CJ238" s="58" t="n"/>
      <c r="CK238" s="62" t="n"/>
      <c r="CL238" s="62" t="n"/>
      <c r="CM238" s="62" t="n"/>
      <c r="CN238" s="62" t="n"/>
      <c r="CO238" s="58" t="n"/>
      <c r="CP238" s="62" t="n"/>
      <c r="CQ238" s="62" t="n"/>
      <c r="CR238" s="62" t="n"/>
      <c r="CS238" s="62" t="n"/>
      <c r="CT238" s="58" t="n"/>
      <c r="CU238" s="62" t="n"/>
      <c r="CV238" s="62" t="n"/>
      <c r="CW238" s="62" t="n"/>
      <c r="CX238" s="62" t="n"/>
      <c r="CY238" s="58" t="n"/>
    </row>
    <row r="239" hidden="1" outlineLevel="1" customFormat="1" s="66">
      <c r="A239" s="37" t="n"/>
      <c r="B239" s="37" t="n"/>
      <c r="C239" s="57" t="inlineStr">
        <is>
          <t>Dividends (enter as -)</t>
        </is>
      </c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62" t="n"/>
      <c r="AI239" s="62" t="n"/>
      <c r="AJ239" s="62" t="n"/>
      <c r="AK239" s="62" t="n"/>
      <c r="AL239" s="42" t="n"/>
      <c r="AM239" s="62" t="n"/>
      <c r="AN239" s="62" t="n"/>
      <c r="AO239" s="62" t="n"/>
      <c r="AP239" s="62" t="n"/>
      <c r="AQ239" s="42" t="n"/>
      <c r="AR239" s="62" t="n"/>
      <c r="AS239" s="62" t="n"/>
      <c r="AT239" s="62" t="n"/>
      <c r="AU239" s="62" t="n"/>
      <c r="AV239" s="42" t="n"/>
      <c r="AW239" s="62" t="n"/>
      <c r="AX239" s="62" t="n"/>
      <c r="AY239" s="62" t="n"/>
      <c r="AZ239" s="62" t="n"/>
      <c r="BA239" s="42" t="n"/>
      <c r="BB239" s="62" t="n"/>
      <c r="BC239" s="62" t="n"/>
      <c r="BD239" s="62" t="n"/>
      <c r="BE239" s="62" t="n"/>
      <c r="BF239" s="42" t="n"/>
      <c r="BG239" s="62" t="n"/>
      <c r="BH239" s="62" t="n"/>
      <c r="BI239" s="62" t="n"/>
      <c r="BJ239" s="62" t="n"/>
      <c r="BK239" s="42" t="n"/>
      <c r="BL239" s="62" t="n"/>
      <c r="BM239" s="62" t="n"/>
      <c r="BN239" s="62" t="n"/>
      <c r="BO239" s="62" t="n"/>
      <c r="BP239" s="42" t="n"/>
      <c r="BQ239" s="62" t="n"/>
      <c r="BR239" s="62" t="n"/>
      <c r="BS239" s="62" t="n"/>
      <c r="BT239" s="62" t="n"/>
      <c r="BU239" s="42" t="n"/>
      <c r="BV239" s="62" t="n"/>
      <c r="BW239" s="62" t="n"/>
      <c r="BX239" s="62" t="n"/>
      <c r="BY239" s="62" t="n"/>
      <c r="BZ239" s="42" t="n"/>
      <c r="CA239" s="62" t="n"/>
      <c r="CB239" s="62" t="n"/>
      <c r="CC239" s="62" t="n"/>
      <c r="CD239" s="62" t="n"/>
      <c r="CE239" s="42" t="n"/>
      <c r="CF239" s="62" t="n"/>
      <c r="CG239" s="62" t="n"/>
      <c r="CH239" s="62" t="n"/>
      <c r="CI239" s="62" t="n"/>
      <c r="CJ239" s="42" t="n"/>
      <c r="CK239" s="62" t="n"/>
      <c r="CL239" s="62" t="n"/>
      <c r="CM239" s="62" t="n"/>
      <c r="CN239" s="62" t="n"/>
      <c r="CO239" s="42" t="n"/>
      <c r="CP239" s="62" t="n"/>
      <c r="CQ239" s="62" t="n"/>
      <c r="CR239" s="62" t="n"/>
      <c r="CS239" s="62" t="n"/>
      <c r="CT239" s="42" t="n"/>
      <c r="CU239" s="62" t="n"/>
      <c r="CV239" s="62" t="n"/>
      <c r="CW239" s="62" t="n"/>
      <c r="CX239" s="62" t="n"/>
      <c r="CY239" s="42" t="n"/>
    </row>
    <row r="240" hidden="1" outlineLevel="1" customFormat="1" s="66">
      <c r="A240" s="37" t="n"/>
      <c r="B240" s="37" t="n"/>
      <c r="C240" s="59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  <c r="CY240" s="42" t="n"/>
    </row>
    <row r="241" collapsed="1">
      <c r="C241" s="14" t="inlineStr">
        <is>
          <t>Convertible Preferred Stock</t>
        </is>
      </c>
      <c r="D241" s="46" t="n"/>
      <c r="E241" s="46" t="n"/>
      <c r="F241" s="46" t="n"/>
      <c r="G241" s="46" t="n"/>
      <c r="H241" s="12" t="n"/>
      <c r="I241" s="46">
        <f>'Inputs (2)'!D42</f>
        <v>0</v>
      </c>
      <c r="J241" s="46">
        <f>'Inputs (2)'!E42</f>
        <v>0</v>
      </c>
      <c r="K241" s="46">
        <f>'Inputs (2)'!F42</f>
        <v>0</v>
      </c>
      <c r="L241" s="46">
        <f>'Inputs (2)'!G42</f>
        <v>0</v>
      </c>
      <c r="M241" s="12">
        <f>'Inputs (2)'!H42</f>
        <v>0</v>
      </c>
      <c r="N241" s="46">
        <f>'Inputs (2)'!I42</f>
        <v>0</v>
      </c>
      <c r="O241" s="46">
        <f>'Inputs (2)'!J42</f>
        <v>0</v>
      </c>
      <c r="P241" s="46">
        <f>'Inputs (2)'!K42</f>
        <v>0</v>
      </c>
      <c r="Q241" s="46">
        <f>'Inputs (2)'!L42</f>
        <v>0</v>
      </c>
      <c r="R241" s="12">
        <f>'Inputs (2)'!M42</f>
        <v>0</v>
      </c>
      <c r="S241" s="46">
        <f>'Inputs (2)'!N42</f>
        <v>0</v>
      </c>
      <c r="T241" s="46">
        <f>'Inputs (2)'!O42</f>
        <v>0</v>
      </c>
      <c r="U241" s="46">
        <f>'Inputs (2)'!P42</f>
        <v>0</v>
      </c>
      <c r="V241" s="46">
        <f>'Inputs (2)'!Q42</f>
        <v>0</v>
      </c>
      <c r="W241" s="12">
        <f>'Inputs (2)'!R42</f>
        <v>0</v>
      </c>
      <c r="X241" s="46">
        <f>'Inputs (2)'!S42</f>
        <v>0</v>
      </c>
      <c r="Y241" s="46">
        <f>'Inputs (2)'!T42</f>
        <v>0</v>
      </c>
      <c r="Z241" s="46">
        <f>'Inputs (2)'!U42</f>
        <v>0</v>
      </c>
      <c r="AA241" s="46">
        <f>'Inputs (2)'!V42</f>
        <v>0</v>
      </c>
      <c r="AB241" s="12">
        <f>'Inputs (2)'!W42</f>
        <v>0</v>
      </c>
      <c r="AC241" s="46">
        <f>'Inputs (2)'!X42</f>
        <v>0</v>
      </c>
      <c r="AD241" s="46">
        <f>'Inputs (2)'!Y42</f>
        <v>0</v>
      </c>
      <c r="AE241" s="46">
        <f>'Inputs (2)'!Z42</f>
        <v>0</v>
      </c>
      <c r="AF241" s="46">
        <f>'Inputs (2)'!AA42</f>
        <v>0</v>
      </c>
      <c r="AG241" s="12">
        <f>'Inputs (2)'!AB42</f>
        <v>0</v>
      </c>
      <c r="AH241" s="12">
        <f>'Inputs (2)'!AC42</f>
        <v>0</v>
      </c>
      <c r="AI241" s="12">
        <f>'Inputs (2)'!AD42</f>
        <v>0</v>
      </c>
      <c r="AJ241" s="12">
        <f>AI241</f>
        <v>0</v>
      </c>
      <c r="AK241" s="12">
        <f>AJ241</f>
        <v>0</v>
      </c>
      <c r="AL241" s="12">
        <f>AK241</f>
        <v>0</v>
      </c>
      <c r="AM241" s="12">
        <f>AL241</f>
        <v>0</v>
      </c>
      <c r="AN241" s="12">
        <f>AM241</f>
        <v>0</v>
      </c>
      <c r="AO241" s="12">
        <f>AN241</f>
        <v>0</v>
      </c>
      <c r="AP241" s="12">
        <f>AO241</f>
        <v>0</v>
      </c>
      <c r="AQ241" s="12">
        <f>AP241</f>
        <v>0</v>
      </c>
      <c r="AR241" s="12">
        <f>AQ241</f>
        <v>0</v>
      </c>
      <c r="AS241" s="12">
        <f>AR241</f>
        <v>0</v>
      </c>
      <c r="AT241" s="12">
        <f>AS241</f>
        <v>0</v>
      </c>
      <c r="AU241" s="12">
        <f>AT241</f>
        <v>0</v>
      </c>
      <c r="AV241" s="12">
        <f>AU241</f>
        <v>0</v>
      </c>
      <c r="AW241" s="12">
        <f>AV241</f>
        <v>0</v>
      </c>
      <c r="AX241" s="12">
        <f>AW241</f>
        <v>0</v>
      </c>
      <c r="AY241" s="12">
        <f>AX241</f>
        <v>0</v>
      </c>
      <c r="AZ241" s="12">
        <f>AY241</f>
        <v>0</v>
      </c>
      <c r="BA241" s="12">
        <f>AZ241</f>
        <v>0</v>
      </c>
      <c r="BB241" s="12">
        <f>BA241</f>
        <v>0</v>
      </c>
      <c r="BC241" s="12">
        <f>BB241</f>
        <v>0</v>
      </c>
      <c r="BD241" s="12">
        <f>BC241</f>
        <v>0</v>
      </c>
      <c r="BE241" s="12">
        <f>BD241</f>
        <v>0</v>
      </c>
      <c r="BF241" s="12">
        <f>BE241</f>
        <v>0</v>
      </c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>
      <c r="C242" s="13" t="inlineStr">
        <is>
          <t>Common Stock and APIC</t>
        </is>
      </c>
      <c r="D242" s="46" t="n"/>
      <c r="E242" s="46" t="n"/>
      <c r="F242" s="46" t="n"/>
      <c r="G242" s="46" t="n"/>
      <c r="H242" s="12" t="n"/>
      <c r="I242" s="46">
        <f>'Inputs (2)'!D43</f>
        <v>24045</v>
      </c>
      <c r="J242" s="46">
        <f>'Inputs (2)'!E43</f>
        <v>24126</v>
      </c>
      <c r="K242" s="46">
        <f>'Inputs (2)'!F43</f>
        <v>24330</v>
      </c>
      <c r="L242" s="46">
        <f>'Inputs (2)'!G43</f>
        <v>23083</v>
      </c>
      <c r="M242" s="12">
        <f>'Inputs (2)'!H43</f>
        <v>23083</v>
      </c>
      <c r="N242" s="46">
        <f>'Inputs (2)'!I43</f>
        <v>21078</v>
      </c>
      <c r="O242" s="46">
        <f>'Inputs (2)'!J43</f>
        <v>20990</v>
      </c>
      <c r="P242" s="46">
        <f>'Inputs (2)'!K43</f>
        <v>21159</v>
      </c>
      <c r="Q242" s="46">
        <f>'Inputs (2)'!L43</f>
        <v>21119</v>
      </c>
      <c r="R242" s="12">
        <f>'Inputs (2)'!M43</f>
        <v>21119</v>
      </c>
      <c r="S242" s="46">
        <f>'Inputs (2)'!N43</f>
        <v>20826</v>
      </c>
      <c r="T242" s="46">
        <f>'Inputs (2)'!O43</f>
        <v>20855</v>
      </c>
      <c r="U242" s="46">
        <f>'Inputs (2)'!P43</f>
        <v>21099</v>
      </c>
      <c r="V242" s="46">
        <f>'Inputs (2)'!Q43</f>
        <v>70077</v>
      </c>
      <c r="W242" s="12">
        <f>'Inputs (2)'!R43</f>
        <v>70077</v>
      </c>
      <c r="X242" s="46">
        <f>'Inputs (2)'!S43</f>
        <v>69754</v>
      </c>
      <c r="Y242" s="46">
        <f>'Inputs (2)'!T43</f>
        <v>67318</v>
      </c>
      <c r="Z242" s="46">
        <f>'Inputs (2)'!U43</f>
        <v>67471</v>
      </c>
      <c r="AA242" s="46">
        <f>'Inputs (2)'!V43</f>
        <v>66853</v>
      </c>
      <c r="AB242" s="12">
        <f>'Inputs (2)'!W43</f>
        <v>66853</v>
      </c>
      <c r="AC242" s="46">
        <f>'Inputs (2)'!X43</f>
        <v>66694</v>
      </c>
      <c r="AD242" s="46">
        <f>'Inputs (2)'!Y43</f>
        <v>69016</v>
      </c>
      <c r="AE242" s="46">
        <f>'Inputs (2)'!Z43</f>
        <v>71313</v>
      </c>
      <c r="AF242" s="46">
        <f>'Inputs (2)'!AA43</f>
        <v>73140</v>
      </c>
      <c r="AG242" s="12">
        <f>'Inputs (2)'!AB43</f>
        <v>73140</v>
      </c>
      <c r="AH242" s="12">
        <f>'Inputs (2)'!AC43</f>
        <v>75317</v>
      </c>
      <c r="AI242" s="12">
        <f>'Inputs (2)'!AD43</f>
        <v>77335</v>
      </c>
      <c r="AJ242" s="12">
        <f>AI242+AJ246</f>
        <v>77335</v>
      </c>
      <c r="AK242" s="12">
        <f>AJ242+AK246</f>
        <v>77335</v>
      </c>
      <c r="AL242" s="12">
        <f>AK242</f>
        <v>77335</v>
      </c>
      <c r="AM242" s="12">
        <f>AL242+AM246</f>
        <v>77335</v>
      </c>
      <c r="AN242" s="12">
        <f>AM242+AN246</f>
        <v>77335</v>
      </c>
      <c r="AO242" s="12">
        <f>AN242+AO246</f>
        <v>77335</v>
      </c>
      <c r="AP242" s="12">
        <f>AO242+AP246</f>
        <v>77335</v>
      </c>
      <c r="AQ242" s="12">
        <f>AP242</f>
        <v>77335</v>
      </c>
      <c r="AR242" s="12">
        <f>AQ242+AR246</f>
        <v>77335</v>
      </c>
      <c r="AS242" s="12">
        <f>AR242+AS246</f>
        <v>77335</v>
      </c>
      <c r="AT242" s="12">
        <f>AS242+AT246</f>
        <v>77335</v>
      </c>
      <c r="AU242" s="12">
        <f>AT242+AU246</f>
        <v>77335</v>
      </c>
      <c r="AV242" s="12">
        <f>AU242</f>
        <v>77335</v>
      </c>
      <c r="AW242" s="12">
        <f>AV242+AW246</f>
        <v>77335</v>
      </c>
      <c r="AX242" s="12">
        <f>AW242+AX246</f>
        <v>77335</v>
      </c>
      <c r="AY242" s="12">
        <f>AX242+AY246</f>
        <v>77335</v>
      </c>
      <c r="AZ242" s="12">
        <f>AY242+AZ246</f>
        <v>77335</v>
      </c>
      <c r="BA242" s="12">
        <f>AZ242</f>
        <v>77335</v>
      </c>
      <c r="BB242" s="12">
        <f>BA242+BB246</f>
        <v>77335</v>
      </c>
      <c r="BC242" s="12">
        <f>BB242+BC246</f>
        <v>77335</v>
      </c>
      <c r="BD242" s="12">
        <f>BC242+BD246</f>
        <v>77335</v>
      </c>
      <c r="BE242" s="12">
        <f>BD242+BE246</f>
        <v>77335</v>
      </c>
      <c r="BF242" s="12">
        <f>BE242</f>
        <v>77335</v>
      </c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 customFormat="1" s="66">
      <c r="A243" s="37" t="n"/>
      <c r="B243" s="37" t="n"/>
      <c r="C243" s="67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  <c r="CY243" s="42" t="n"/>
    </row>
    <row r="244" hidden="1" outlineLevel="1" customFormat="1" s="66">
      <c r="A244" s="37" t="n"/>
      <c r="B244" s="37" t="n"/>
      <c r="C244" s="67" t="inlineStr">
        <is>
          <t>Diluted Shares outstanding</t>
        </is>
      </c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  <c r="CY244" s="42" t="n"/>
    </row>
    <row r="245" hidden="1" outlineLevel="1" customFormat="1" s="66">
      <c r="A245" s="37" t="n"/>
      <c r="B245" s="37" t="n"/>
      <c r="C245" s="67" t="inlineStr">
        <is>
          <t>Treasury share $ repurchases</t>
        </is>
      </c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11" t="n"/>
      <c r="AI245" s="11" t="n"/>
      <c r="AJ245" s="11" t="n"/>
      <c r="AK245" s="11" t="n"/>
      <c r="AL245" s="42" t="n"/>
      <c r="AM245" s="11" t="n"/>
      <c r="AN245" s="11" t="n"/>
      <c r="AO245" s="11" t="n"/>
      <c r="AP245" s="11" t="n"/>
      <c r="AQ245" s="42" t="n"/>
      <c r="AR245" s="11" t="n"/>
      <c r="AS245" s="11" t="n"/>
      <c r="AT245" s="11" t="n"/>
      <c r="AU245" s="11" t="n"/>
      <c r="AV245" s="42" t="n"/>
      <c r="AW245" s="11" t="n"/>
      <c r="AX245" s="11" t="n"/>
      <c r="AY245" s="11" t="n"/>
      <c r="AZ245" s="11" t="n"/>
      <c r="BA245" s="42" t="n"/>
      <c r="BB245" s="11" t="n"/>
      <c r="BC245" s="11" t="n"/>
      <c r="BD245" s="11" t="n"/>
      <c r="BE245" s="11" t="n"/>
      <c r="BF245" s="42" t="n"/>
      <c r="BG245" s="11" t="n"/>
      <c r="BH245" s="11" t="n"/>
      <c r="BI245" s="11" t="n"/>
      <c r="BJ245" s="11" t="n"/>
      <c r="BK245" s="42" t="n"/>
      <c r="BL245" s="11" t="n"/>
      <c r="BM245" s="11" t="n"/>
      <c r="BN245" s="11" t="n"/>
      <c r="BO245" s="11" t="n"/>
      <c r="BP245" s="42" t="n"/>
      <c r="BQ245" s="11" t="n"/>
      <c r="BR245" s="11" t="n"/>
      <c r="BS245" s="11" t="n"/>
      <c r="BT245" s="11" t="n"/>
      <c r="BU245" s="42" t="n"/>
      <c r="BV245" s="11" t="n"/>
      <c r="BW245" s="11" t="n"/>
      <c r="BX245" s="11" t="n"/>
      <c r="BY245" s="11" t="n"/>
      <c r="BZ245" s="42" t="n"/>
      <c r="CA245" s="11" t="n"/>
      <c r="CB245" s="11" t="n"/>
      <c r="CC245" s="11" t="n"/>
      <c r="CD245" s="11" t="n"/>
      <c r="CE245" s="42" t="n"/>
      <c r="CF245" s="11" t="n"/>
      <c r="CG245" s="11" t="n"/>
      <c r="CH245" s="11" t="n"/>
      <c r="CI245" s="11" t="n"/>
      <c r="CJ245" s="42" t="n"/>
      <c r="CK245" s="11" t="n"/>
      <c r="CL245" s="11" t="n"/>
      <c r="CM245" s="11" t="n"/>
      <c r="CN245" s="11" t="n"/>
      <c r="CO245" s="42" t="n"/>
      <c r="CP245" s="11" t="n"/>
      <c r="CQ245" s="11" t="n"/>
      <c r="CR245" s="11" t="n"/>
      <c r="CS245" s="11" t="n"/>
      <c r="CT245" s="42" t="n"/>
      <c r="CU245" s="11" t="n"/>
      <c r="CV245" s="11" t="n"/>
      <c r="CW245" s="11" t="n"/>
      <c r="CX245" s="11" t="n"/>
      <c r="CY245" s="42" t="n"/>
    </row>
    <row r="246" hidden="1" outlineLevel="1" customFormat="1" s="66">
      <c r="A246" s="37" t="n"/>
      <c r="B246" s="37" t="n"/>
      <c r="C246" s="67" t="inlineStr">
        <is>
          <t>Value of shares issued</t>
        </is>
      </c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11" t="n"/>
      <c r="AI246" s="11" t="n"/>
      <c r="AJ246" s="11" t="n"/>
      <c r="AK246" s="11" t="n"/>
      <c r="AL246" s="42" t="n"/>
      <c r="AM246" s="11" t="n"/>
      <c r="AN246" s="11" t="n"/>
      <c r="AO246" s="11" t="n"/>
      <c r="AP246" s="11" t="n"/>
      <c r="AQ246" s="42" t="n"/>
      <c r="AR246" s="11" t="n"/>
      <c r="AS246" s="11" t="n"/>
      <c r="AT246" s="11" t="n"/>
      <c r="AU246" s="11" t="n"/>
      <c r="AV246" s="42" t="n"/>
      <c r="AW246" s="11" t="n"/>
      <c r="AX246" s="11" t="n"/>
      <c r="AY246" s="11" t="n"/>
      <c r="AZ246" s="11" t="n"/>
      <c r="BA246" s="42" t="n"/>
      <c r="BB246" s="11" t="n"/>
      <c r="BC246" s="11" t="n"/>
      <c r="BD246" s="11" t="n"/>
      <c r="BE246" s="11" t="n"/>
      <c r="BF246" s="42" t="n"/>
      <c r="BG246" s="11" t="n"/>
      <c r="BH246" s="11" t="n"/>
      <c r="BI246" s="11" t="n"/>
      <c r="BJ246" s="11" t="n"/>
      <c r="BK246" s="42" t="n"/>
      <c r="BL246" s="11" t="n"/>
      <c r="BM246" s="11" t="n"/>
      <c r="BN246" s="11" t="n"/>
      <c r="BO246" s="11" t="n"/>
      <c r="BP246" s="42" t="n"/>
      <c r="BQ246" s="11" t="n"/>
      <c r="BR246" s="11" t="n"/>
      <c r="BS246" s="11" t="n"/>
      <c r="BT246" s="11" t="n"/>
      <c r="BU246" s="42" t="n"/>
      <c r="BV246" s="11" t="n"/>
      <c r="BW246" s="11" t="n"/>
      <c r="BX246" s="11" t="n"/>
      <c r="BY246" s="11" t="n"/>
      <c r="BZ246" s="42" t="n"/>
      <c r="CA246" s="11" t="n"/>
      <c r="CB246" s="11" t="n"/>
      <c r="CC246" s="11" t="n"/>
      <c r="CD246" s="11" t="n"/>
      <c r="CE246" s="42" t="n"/>
      <c r="CF246" s="11" t="n"/>
      <c r="CG246" s="11" t="n"/>
      <c r="CH246" s="11" t="n"/>
      <c r="CI246" s="11" t="n"/>
      <c r="CJ246" s="42" t="n"/>
      <c r="CK246" s="11" t="n"/>
      <c r="CL246" s="11" t="n"/>
      <c r="CM246" s="11" t="n"/>
      <c r="CN246" s="11" t="n"/>
      <c r="CO246" s="42" t="n"/>
      <c r="CP246" s="11" t="n"/>
      <c r="CQ246" s="11" t="n"/>
      <c r="CR246" s="11" t="n"/>
      <c r="CS246" s="11" t="n"/>
      <c r="CT246" s="42" t="n"/>
      <c r="CU246" s="11" t="n"/>
      <c r="CV246" s="11" t="n"/>
      <c r="CW246" s="11" t="n"/>
      <c r="CX246" s="11" t="n"/>
      <c r="CY246" s="42" t="n"/>
    </row>
    <row r="247" hidden="1" outlineLevel="1" customFormat="1" s="66">
      <c r="A247" s="37" t="n"/>
      <c r="B247" s="37" t="n"/>
      <c r="C247" s="67" t="inlineStr">
        <is>
          <t>Expected average share price</t>
        </is>
      </c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68">
        <f>AF247*(1+AH248)</f>
        <v>0</v>
      </c>
      <c r="AI247" s="68">
        <f>AH247*(1+AI248)</f>
        <v>0</v>
      </c>
      <c r="AJ247" s="68">
        <f>AH247*(1+AJ248)</f>
        <v>0</v>
      </c>
      <c r="AK247" s="68">
        <f>AJ247*(1+AK248)</f>
        <v>0</v>
      </c>
      <c r="AL247" s="42" t="n"/>
      <c r="AM247" s="68">
        <f>AK247*(1+AM248)</f>
        <v>0</v>
      </c>
      <c r="AN247" s="68">
        <f>AM247*(1+AN248)</f>
        <v>0</v>
      </c>
      <c r="AO247" s="68">
        <f>AM247*(1+AO248)</f>
        <v>0</v>
      </c>
      <c r="AP247" s="68">
        <f>AO247*(1+AP248)</f>
        <v>0</v>
      </c>
      <c r="AQ247" s="42" t="n"/>
      <c r="AR247" s="68">
        <f>AP247*(1+AR248)</f>
        <v>0</v>
      </c>
      <c r="AS247" s="68">
        <f>AR247*(1+AS248)</f>
        <v>0</v>
      </c>
      <c r="AT247" s="68">
        <f>AR247*(1+AT248)</f>
        <v>0</v>
      </c>
      <c r="AU247" s="68">
        <f>AT247*(1+AU248)</f>
        <v>0</v>
      </c>
      <c r="AV247" s="42" t="n"/>
      <c r="AW247" s="68">
        <f>AU247*(1+AW248)</f>
        <v>0</v>
      </c>
      <c r="AX247" s="68">
        <f>AW247*(1+AX248)</f>
        <v>0</v>
      </c>
      <c r="AY247" s="68">
        <f>AW247*(1+AY248)</f>
        <v>0</v>
      </c>
      <c r="AZ247" s="68">
        <f>AY247*(1+AZ248)</f>
        <v>0</v>
      </c>
      <c r="BA247" s="42" t="n"/>
      <c r="BB247" s="68">
        <f>AZ247*(1+BB248)</f>
        <v>0</v>
      </c>
      <c r="BC247" s="68">
        <f>BB247*(1+BC248)</f>
        <v>0</v>
      </c>
      <c r="BD247" s="68">
        <f>BB247*(1+BD248)</f>
        <v>0</v>
      </c>
      <c r="BE247" s="68">
        <f>BD247*(1+BE248)</f>
        <v>0</v>
      </c>
      <c r="BF247" s="42" t="n"/>
      <c r="BG247" s="68" t="n"/>
      <c r="BH247" s="68" t="n"/>
      <c r="BI247" s="68" t="n"/>
      <c r="BJ247" s="68" t="n"/>
      <c r="BK247" s="42" t="n"/>
      <c r="BL247" s="68" t="n"/>
      <c r="BM247" s="68" t="n"/>
      <c r="BN247" s="68" t="n"/>
      <c r="BO247" s="68" t="n"/>
      <c r="BP247" s="42" t="n"/>
      <c r="BQ247" s="68" t="n"/>
      <c r="BR247" s="68" t="n"/>
      <c r="BS247" s="68" t="n"/>
      <c r="BT247" s="68" t="n"/>
      <c r="BU247" s="42" t="n"/>
      <c r="BV247" s="68" t="n"/>
      <c r="BW247" s="68" t="n"/>
      <c r="BX247" s="68" t="n"/>
      <c r="BY247" s="68" t="n"/>
      <c r="BZ247" s="42" t="n"/>
      <c r="CA247" s="68" t="n"/>
      <c r="CB247" s="68" t="n"/>
      <c r="CC247" s="68" t="n"/>
      <c r="CD247" s="68" t="n"/>
      <c r="CE247" s="42" t="n"/>
      <c r="CF247" s="68" t="n"/>
      <c r="CG247" s="68" t="n"/>
      <c r="CH247" s="68" t="n"/>
      <c r="CI247" s="68" t="n"/>
      <c r="CJ247" s="42" t="n"/>
      <c r="CK247" s="68" t="n"/>
      <c r="CL247" s="68" t="n"/>
      <c r="CM247" s="68" t="n"/>
      <c r="CN247" s="68" t="n"/>
      <c r="CO247" s="42" t="n"/>
      <c r="CP247" s="68" t="n"/>
      <c r="CQ247" s="68" t="n"/>
      <c r="CR247" s="68" t="n"/>
      <c r="CS247" s="68" t="n"/>
      <c r="CT247" s="42" t="n"/>
      <c r="CU247" s="68" t="n"/>
      <c r="CV247" s="68" t="n"/>
      <c r="CW247" s="68" t="n"/>
      <c r="CX247" s="68" t="n"/>
      <c r="CY247" s="42" t="n"/>
    </row>
    <row r="248" hidden="1" outlineLevel="1" customFormat="1" s="66">
      <c r="A248" s="37" t="n"/>
      <c r="B248" s="37" t="n"/>
      <c r="C248" s="67" t="inlineStr">
        <is>
          <t>Consensus EPS growth</t>
        </is>
      </c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58">
        <f>$AL$253</f>
        <v>0</v>
      </c>
      <c r="AI248" s="58">
        <f>$AL$253</f>
        <v>0</v>
      </c>
      <c r="AJ248" s="58">
        <f>$AL$253</f>
        <v>0</v>
      </c>
      <c r="AK248" s="58">
        <f>$AL$253</f>
        <v>0</v>
      </c>
      <c r="AL248" s="42" t="n"/>
      <c r="AM248" s="58">
        <f>$AL$253</f>
        <v>0</v>
      </c>
      <c r="AN248" s="58">
        <f>$AL$253</f>
        <v>0</v>
      </c>
      <c r="AO248" s="58">
        <f>$AL$253</f>
        <v>0</v>
      </c>
      <c r="AP248" s="58">
        <f>$AL$253</f>
        <v>0</v>
      </c>
      <c r="AQ248" s="42" t="n"/>
      <c r="AR248" s="58">
        <f>$AL$253</f>
        <v>0</v>
      </c>
      <c r="AS248" s="58">
        <f>$AL$253</f>
        <v>0</v>
      </c>
      <c r="AT248" s="58">
        <f>$AL$253</f>
        <v>0</v>
      </c>
      <c r="AU248" s="58">
        <f>$AL$253</f>
        <v>0</v>
      </c>
      <c r="AV248" s="42" t="n"/>
      <c r="AW248" s="58">
        <f>$AL$253</f>
        <v>0</v>
      </c>
      <c r="AX248" s="58">
        <f>$AL$253</f>
        <v>0</v>
      </c>
      <c r="AY248" s="58">
        <f>$AL$253</f>
        <v>0</v>
      </c>
      <c r="AZ248" s="58">
        <f>$AL$253</f>
        <v>0</v>
      </c>
      <c r="BA248" s="42" t="n"/>
      <c r="BB248" s="58">
        <f>$AL$253</f>
        <v>0</v>
      </c>
      <c r="BC248" s="58">
        <f>$AL$253</f>
        <v>0</v>
      </c>
      <c r="BD248" s="58">
        <f>$AL$253</f>
        <v>0</v>
      </c>
      <c r="BE248" s="58">
        <f>$AL$253</f>
        <v>0</v>
      </c>
      <c r="BF248" s="42" t="n"/>
      <c r="BG248" s="58" t="n"/>
      <c r="BH248" s="58" t="n"/>
      <c r="BI248" s="58" t="n"/>
      <c r="BJ248" s="58" t="n"/>
      <c r="BK248" s="42" t="n"/>
      <c r="BL248" s="58" t="n"/>
      <c r="BM248" s="58" t="n"/>
      <c r="BN248" s="58" t="n"/>
      <c r="BO248" s="58" t="n"/>
      <c r="BP248" s="42" t="n"/>
      <c r="BQ248" s="58" t="n"/>
      <c r="BR248" s="58" t="n"/>
      <c r="BS248" s="58" t="n"/>
      <c r="BT248" s="58" t="n"/>
      <c r="BU248" s="42" t="n"/>
      <c r="BV248" s="58" t="n"/>
      <c r="BW248" s="58" t="n"/>
      <c r="BX248" s="58" t="n"/>
      <c r="BY248" s="58" t="n"/>
      <c r="BZ248" s="42" t="n"/>
      <c r="CA248" s="58" t="n"/>
      <c r="CB248" s="58" t="n"/>
      <c r="CC248" s="58" t="n"/>
      <c r="CD248" s="58" t="n"/>
      <c r="CE248" s="42" t="n"/>
      <c r="CF248" s="58" t="n"/>
      <c r="CG248" s="58" t="n"/>
      <c r="CH248" s="58" t="n"/>
      <c r="CI248" s="58" t="n"/>
      <c r="CJ248" s="42" t="n"/>
      <c r="CK248" s="58" t="n"/>
      <c r="CL248" s="58" t="n"/>
      <c r="CM248" s="58" t="n"/>
      <c r="CN248" s="58" t="n"/>
      <c r="CO248" s="42" t="n"/>
      <c r="CP248" s="58" t="n"/>
      <c r="CQ248" s="58" t="n"/>
      <c r="CR248" s="58" t="n"/>
      <c r="CS248" s="58" t="n"/>
      <c r="CT248" s="42" t="n"/>
      <c r="CU248" s="58" t="n"/>
      <c r="CV248" s="58" t="n"/>
      <c r="CW248" s="58" t="n"/>
      <c r="CX248" s="58" t="n"/>
      <c r="CY248" s="42" t="n"/>
    </row>
    <row r="249" hidden="1" outlineLevel="1" customFormat="1" s="66">
      <c r="A249" s="37" t="n"/>
      <c r="B249" s="37" t="n"/>
      <c r="C249" s="67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12" t="n"/>
      <c r="AI249" s="12" t="n"/>
      <c r="AJ249" s="12" t="n"/>
      <c r="AK249" s="12" t="n"/>
      <c r="AL249" s="42" t="n"/>
      <c r="AM249" s="12" t="n"/>
      <c r="AN249" s="12" t="n"/>
      <c r="AO249" s="12" t="n"/>
      <c r="AP249" s="12" t="n"/>
      <c r="AQ249" s="42" t="n"/>
      <c r="AR249" s="12" t="n"/>
      <c r="AS249" s="12" t="n"/>
      <c r="AT249" s="12" t="n"/>
      <c r="AU249" s="12" t="n"/>
      <c r="AV249" s="42" t="n"/>
      <c r="AW249" s="12" t="n"/>
      <c r="AX249" s="12" t="n"/>
      <c r="AY249" s="12" t="n"/>
      <c r="AZ249" s="12" t="n"/>
      <c r="BA249" s="42" t="n"/>
      <c r="BB249" s="12" t="n"/>
      <c r="BC249" s="12" t="n"/>
      <c r="BD249" s="12" t="n"/>
      <c r="BE249" s="12" t="n"/>
      <c r="BF249" s="42" t="n"/>
      <c r="BG249" s="12" t="n"/>
      <c r="BH249" s="12" t="n"/>
      <c r="BI249" s="12" t="n"/>
      <c r="BJ249" s="12" t="n"/>
      <c r="BK249" s="42" t="n"/>
      <c r="BL249" s="12" t="n"/>
      <c r="BM249" s="12" t="n"/>
      <c r="BN249" s="12" t="n"/>
      <c r="BO249" s="12" t="n"/>
      <c r="BP249" s="42" t="n"/>
      <c r="BQ249" s="12" t="n"/>
      <c r="BR249" s="12" t="n"/>
      <c r="BS249" s="12" t="n"/>
      <c r="BT249" s="12" t="n"/>
      <c r="BU249" s="42" t="n"/>
      <c r="BV249" s="12" t="n"/>
      <c r="BW249" s="12" t="n"/>
      <c r="BX249" s="12" t="n"/>
      <c r="BY249" s="12" t="n"/>
      <c r="BZ249" s="42" t="n"/>
      <c r="CA249" s="12" t="n"/>
      <c r="CB249" s="12" t="n"/>
      <c r="CC249" s="12" t="n"/>
      <c r="CD249" s="12" t="n"/>
      <c r="CE249" s="42" t="n"/>
      <c r="CF249" s="12" t="n"/>
      <c r="CG249" s="12" t="n"/>
      <c r="CH249" s="12" t="n"/>
      <c r="CI249" s="12" t="n"/>
      <c r="CJ249" s="42" t="n"/>
      <c r="CK249" s="12" t="n"/>
      <c r="CL249" s="12" t="n"/>
      <c r="CM249" s="12" t="n"/>
      <c r="CN249" s="12" t="n"/>
      <c r="CO249" s="42" t="n"/>
      <c r="CP249" s="12" t="n"/>
      <c r="CQ249" s="12" t="n"/>
      <c r="CR249" s="12" t="n"/>
      <c r="CS249" s="12" t="n"/>
      <c r="CT249" s="42" t="n"/>
      <c r="CU249" s="12" t="n"/>
      <c r="CV249" s="12" t="n"/>
      <c r="CW249" s="12" t="n"/>
      <c r="CX249" s="12" t="n"/>
      <c r="CY249" s="42" t="n"/>
    </row>
    <row r="250" hidden="1" outlineLevel="1" customFormat="1" s="66">
      <c r="A250" s="37" t="n"/>
      <c r="B250" s="37" t="n"/>
      <c r="C250" s="67" t="inlineStr">
        <is>
          <t>Shares repurchased</t>
        </is>
      </c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69" t="str">
        <f>IFERROR(-AH245/AH247,"")</f>
        <v/>
      </c>
      <c r="AI250" s="69" t="str">
        <f>IFERROR(-AI245/AI247,"")</f>
        <v/>
      </c>
      <c r="AJ250" s="69" t="str">
        <f>IFERROR(-AJ245/AJ247,"")</f>
        <v/>
      </c>
      <c r="AK250" s="69" t="str">
        <f>IFERROR(-AK245/AK247,"")</f>
        <v/>
      </c>
      <c r="AL250" s="42" t="n"/>
      <c r="AM250" s="69" t="str">
        <f>IFERROR(-AM245/AM247,"")</f>
        <v/>
      </c>
      <c r="AN250" s="69" t="str">
        <f>IFERROR(-AN245/AN247,"")</f>
        <v/>
      </c>
      <c r="AO250" s="69" t="str">
        <f>IFERROR(-AO245/AO247,"")</f>
        <v/>
      </c>
      <c r="AP250" s="69" t="str">
        <f>IFERROR(-AP245/AP247,"")</f>
        <v/>
      </c>
      <c r="AQ250" s="42" t="n"/>
      <c r="AR250" s="69" t="str">
        <f>IFERROR(-AR245/AR247,"")</f>
        <v/>
      </c>
      <c r="AS250" s="69" t="str">
        <f>IFERROR(-AS245/AS247,"")</f>
        <v/>
      </c>
      <c r="AT250" s="69" t="str">
        <f>IFERROR(-AT245/AT247,"")</f>
        <v/>
      </c>
      <c r="AU250" s="69" t="str">
        <f>IFERROR(-AU245/AU247,"")</f>
        <v/>
      </c>
      <c r="AV250" s="42" t="n"/>
      <c r="AW250" s="69" t="str">
        <f>IFERROR(-AW245/AW247,"")</f>
        <v/>
      </c>
      <c r="AX250" s="69" t="str">
        <f>IFERROR(-AX245/AX247,"")</f>
        <v/>
      </c>
      <c r="AY250" s="69" t="str">
        <f>IFERROR(-AY245/AY247,"")</f>
        <v/>
      </c>
      <c r="AZ250" s="69" t="str">
        <f>IFERROR(-AZ245/AZ247,"")</f>
        <v/>
      </c>
      <c r="BA250" s="42" t="n"/>
      <c r="BB250" s="69" t="str">
        <f>IFERROR(-BB245/BB247,"")</f>
        <v/>
      </c>
      <c r="BC250" s="69" t="str">
        <f>IFERROR(-BC245/BC247,"")</f>
        <v/>
      </c>
      <c r="BD250" s="69" t="str">
        <f>IFERROR(-BD245/BD247,"")</f>
        <v/>
      </c>
      <c r="BE250" s="69" t="str">
        <f>IFERROR(-BE245/BE247,"")</f>
        <v/>
      </c>
      <c r="BF250" s="42" t="n"/>
      <c r="BG250" s="69" t="n"/>
      <c r="BH250" s="69" t="n"/>
      <c r="BI250" s="69" t="n"/>
      <c r="BJ250" s="69" t="n"/>
      <c r="BK250" s="42" t="n"/>
      <c r="BL250" s="69" t="n"/>
      <c r="BM250" s="69" t="n"/>
      <c r="BN250" s="69" t="n"/>
      <c r="BO250" s="69" t="n"/>
      <c r="BP250" s="42" t="n"/>
      <c r="BQ250" s="69" t="n"/>
      <c r="BR250" s="69" t="n"/>
      <c r="BS250" s="69" t="n"/>
      <c r="BT250" s="69" t="n"/>
      <c r="BU250" s="42" t="n"/>
      <c r="BV250" s="69" t="n"/>
      <c r="BW250" s="69" t="n"/>
      <c r="BX250" s="69" t="n"/>
      <c r="BY250" s="69" t="n"/>
      <c r="BZ250" s="42" t="n"/>
      <c r="CA250" s="69" t="n"/>
      <c r="CB250" s="69" t="n"/>
      <c r="CC250" s="69" t="n"/>
      <c r="CD250" s="69" t="n"/>
      <c r="CE250" s="42" t="n"/>
      <c r="CF250" s="69" t="n"/>
      <c r="CG250" s="69" t="n"/>
      <c r="CH250" s="69" t="n"/>
      <c r="CI250" s="69" t="n"/>
      <c r="CJ250" s="42" t="n"/>
      <c r="CK250" s="69" t="n"/>
      <c r="CL250" s="69" t="n"/>
      <c r="CM250" s="69" t="n"/>
      <c r="CN250" s="69" t="n"/>
      <c r="CO250" s="42" t="n"/>
      <c r="CP250" s="69" t="n"/>
      <c r="CQ250" s="69" t="n"/>
      <c r="CR250" s="69" t="n"/>
      <c r="CS250" s="69" t="n"/>
      <c r="CT250" s="42" t="n"/>
      <c r="CU250" s="69" t="n"/>
      <c r="CV250" s="69" t="n"/>
      <c r="CW250" s="69" t="n"/>
      <c r="CX250" s="69" t="n"/>
      <c r="CY250" s="42" t="n"/>
    </row>
    <row r="251" hidden="1" outlineLevel="1" customFormat="1" s="66">
      <c r="A251" s="37" t="n"/>
      <c r="B251" s="37" t="n"/>
      <c r="C251" s="67" t="inlineStr">
        <is>
          <t>Shares issued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9" t="n"/>
      <c r="AG251" s="42" t="n"/>
      <c r="AH251" s="69" t="str">
        <f>IFERROR(AH246/AH247,"")</f>
        <v/>
      </c>
      <c r="AI251" s="69" t="str">
        <f>IFERROR(AI246/AI247,"")</f>
        <v/>
      </c>
      <c r="AJ251" s="69" t="str">
        <f>IFERROR(AJ246/AJ247,"")</f>
        <v/>
      </c>
      <c r="AK251" s="69" t="str">
        <f>IFERROR(AK246/AK247,"")</f>
        <v/>
      </c>
      <c r="AL251" s="42" t="n"/>
      <c r="AM251" s="69" t="str">
        <f>IFERROR(AM246/AM247,"")</f>
        <v/>
      </c>
      <c r="AN251" s="69" t="str">
        <f>IFERROR(AN246/AN247,"")</f>
        <v/>
      </c>
      <c r="AO251" s="69" t="str">
        <f>IFERROR(AO246/AO247,"")</f>
        <v/>
      </c>
      <c r="AP251" s="69" t="str">
        <f>IFERROR(AP246/AP247,"")</f>
        <v/>
      </c>
      <c r="AQ251" s="42" t="n"/>
      <c r="AR251" s="69" t="str">
        <f>IFERROR(AR246/AR247,"")</f>
        <v/>
      </c>
      <c r="AS251" s="69" t="str">
        <f>IFERROR(AS246/AS247,"")</f>
        <v/>
      </c>
      <c r="AT251" s="69" t="str">
        <f>IFERROR(AT246/AT247,"")</f>
        <v/>
      </c>
      <c r="AU251" s="69" t="str">
        <f>IFERROR(AU246/AU247,"")</f>
        <v/>
      </c>
      <c r="AV251" s="42" t="n"/>
      <c r="AW251" s="69" t="str">
        <f>IFERROR(AW246/AW247,"")</f>
        <v/>
      </c>
      <c r="AX251" s="69" t="str">
        <f>IFERROR(AX246/AX247,"")</f>
        <v/>
      </c>
      <c r="AY251" s="69" t="str">
        <f>IFERROR(AY246/AY247,"")</f>
        <v/>
      </c>
      <c r="AZ251" s="69" t="str">
        <f>IFERROR(AZ246/AZ247,"")</f>
        <v/>
      </c>
      <c r="BA251" s="42" t="n"/>
      <c r="BB251" s="69" t="str">
        <f>IFERROR(BB246/BB247,"")</f>
        <v/>
      </c>
      <c r="BC251" s="69" t="str">
        <f>IFERROR(BC246/BC247,"")</f>
        <v/>
      </c>
      <c r="BD251" s="69" t="str">
        <f>IFERROR(BD246/BD247,"")</f>
        <v/>
      </c>
      <c r="BE251" s="69" t="str">
        <f>IFERROR(BE246/BE247,"")</f>
        <v/>
      </c>
      <c r="BF251" s="42" t="n"/>
      <c r="BG251" s="69" t="n"/>
      <c r="BH251" s="69" t="n"/>
      <c r="BI251" s="69" t="n"/>
      <c r="BJ251" s="69" t="n"/>
      <c r="BK251" s="42" t="n"/>
      <c r="BL251" s="69" t="n"/>
      <c r="BM251" s="69" t="n"/>
      <c r="BN251" s="69" t="n"/>
      <c r="BO251" s="69" t="n"/>
      <c r="BP251" s="42" t="n"/>
      <c r="BQ251" s="69" t="n"/>
      <c r="BR251" s="69" t="n"/>
      <c r="BS251" s="69" t="n"/>
      <c r="BT251" s="69" t="n"/>
      <c r="BU251" s="42" t="n"/>
      <c r="BV251" s="69" t="n"/>
      <c r="BW251" s="69" t="n"/>
      <c r="BX251" s="69" t="n"/>
      <c r="BY251" s="69" t="n"/>
      <c r="BZ251" s="42" t="n"/>
      <c r="CA251" s="69" t="n"/>
      <c r="CB251" s="69" t="n"/>
      <c r="CC251" s="69" t="n"/>
      <c r="CD251" s="69" t="n"/>
      <c r="CE251" s="42" t="n"/>
      <c r="CF251" s="69" t="n"/>
      <c r="CG251" s="69" t="n"/>
      <c r="CH251" s="69" t="n"/>
      <c r="CI251" s="69" t="n"/>
      <c r="CJ251" s="42" t="n"/>
      <c r="CK251" s="69" t="n"/>
      <c r="CL251" s="69" t="n"/>
      <c r="CM251" s="69" t="n"/>
      <c r="CN251" s="69" t="n"/>
      <c r="CO251" s="42" t="n"/>
      <c r="CP251" s="69" t="n"/>
      <c r="CQ251" s="69" t="n"/>
      <c r="CR251" s="69" t="n"/>
      <c r="CS251" s="69" t="n"/>
      <c r="CT251" s="42" t="n"/>
      <c r="CU251" s="69" t="n"/>
      <c r="CV251" s="69" t="n"/>
      <c r="CW251" s="69" t="n"/>
      <c r="CX251" s="69" t="n"/>
      <c r="CY251" s="42" t="n"/>
    </row>
    <row r="252" hidden="1" outlineLevel="1" customFormat="1" s="66">
      <c r="A252" s="37" t="n"/>
      <c r="B252" s="37" t="n"/>
      <c r="C252" s="67" t="inlineStr">
        <is>
          <t>End of period basic shares outstanding</t>
        </is>
      </c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3" t="str">
        <f>IFERROR(AG252+AH251-AH250,"")</f>
        <v/>
      </c>
      <c r="AI252" s="3" t="str">
        <f>IFERROR(AH252+AI251-AI250,"")</f>
        <v/>
      </c>
      <c r="AJ252" s="69" t="str">
        <f>IFERROR(AH252+AJ251-AJ250,"")</f>
        <v/>
      </c>
      <c r="AK252" s="69" t="str">
        <f>IFERROR(AJ252+AK251-AK250,"")</f>
        <v/>
      </c>
      <c r="AL252" s="42" t="n"/>
      <c r="AM252" s="3" t="str">
        <f>IFERROR(AK252+AM251-AM250,"")</f>
        <v/>
      </c>
      <c r="AN252" s="3" t="str">
        <f>IFERROR(AM252+AN251-AN250,"")</f>
        <v/>
      </c>
      <c r="AO252" s="69" t="str">
        <f>IFERROR(AM252+AO251-AO250,"")</f>
        <v/>
      </c>
      <c r="AP252" s="69" t="str">
        <f>IFERROR(AO252+AP251-AP250,"")</f>
        <v/>
      </c>
      <c r="AQ252" s="42" t="n"/>
      <c r="AR252" s="3" t="str">
        <f>IFERROR(AP252+AR251-AR250,"")</f>
        <v/>
      </c>
      <c r="AS252" s="3" t="str">
        <f>IFERROR(AR252+AS251-AS250,"")</f>
        <v/>
      </c>
      <c r="AT252" s="69" t="str">
        <f>IFERROR(AR252+AT251-AT250,"")</f>
        <v/>
      </c>
      <c r="AU252" s="69" t="str">
        <f>IFERROR(AT252+AU251-AU250,"")</f>
        <v/>
      </c>
      <c r="AV252" s="42" t="n"/>
      <c r="AW252" s="3" t="str">
        <f>IFERROR(AU252+AW251-AW250,"")</f>
        <v/>
      </c>
      <c r="AX252" s="3" t="str">
        <f>IFERROR(AW252+AX251-AX250,"")</f>
        <v/>
      </c>
      <c r="AY252" s="69" t="str">
        <f>IFERROR(AW252+AY251-AY250,"")</f>
        <v/>
      </c>
      <c r="AZ252" s="69" t="str">
        <f>IFERROR(AY252+AZ251-AZ250,"")</f>
        <v/>
      </c>
      <c r="BA252" s="42" t="n"/>
      <c r="BB252" s="3" t="str">
        <f>IFERROR(AZ252+BB251-BB250,"")</f>
        <v/>
      </c>
      <c r="BC252" s="3" t="str">
        <f>IFERROR(BB252+BC251-BC250,"")</f>
        <v/>
      </c>
      <c r="BD252" s="69" t="str">
        <f>IFERROR(BB252+BD251-BD250,"")</f>
        <v/>
      </c>
      <c r="BE252" s="69" t="str">
        <f>IFERROR(BD252+BE251-BE250,"")</f>
        <v/>
      </c>
      <c r="BF252" s="42" t="n"/>
      <c r="BG252" s="3" t="n"/>
      <c r="BH252" s="3" t="n"/>
      <c r="BI252" s="69" t="n"/>
      <c r="BJ252" s="69" t="n"/>
      <c r="BK252" s="42" t="n"/>
      <c r="BL252" s="3" t="n"/>
      <c r="BM252" s="3" t="n"/>
      <c r="BN252" s="69" t="n"/>
      <c r="BO252" s="69" t="n"/>
      <c r="BP252" s="42" t="n"/>
      <c r="BQ252" s="3" t="n"/>
      <c r="BR252" s="3" t="n"/>
      <c r="BS252" s="69" t="n"/>
      <c r="BT252" s="69" t="n"/>
      <c r="BU252" s="42" t="n"/>
      <c r="BV252" s="3" t="n"/>
      <c r="BW252" s="3" t="n"/>
      <c r="BX252" s="69" t="n"/>
      <c r="BY252" s="69" t="n"/>
      <c r="BZ252" s="42" t="n"/>
      <c r="CA252" s="3" t="n"/>
      <c r="CB252" s="3" t="n"/>
      <c r="CC252" s="69" t="n"/>
      <c r="CD252" s="69" t="n"/>
      <c r="CE252" s="42" t="n"/>
      <c r="CF252" s="3" t="n"/>
      <c r="CG252" s="3" t="n"/>
      <c r="CH252" s="69" t="n"/>
      <c r="CI252" s="69" t="n"/>
      <c r="CJ252" s="42" t="n"/>
      <c r="CK252" s="3" t="n"/>
      <c r="CL252" s="3" t="n"/>
      <c r="CM252" s="69" t="n"/>
      <c r="CN252" s="69" t="n"/>
      <c r="CO252" s="42" t="n"/>
      <c r="CP252" s="3" t="n"/>
      <c r="CQ252" s="3" t="n"/>
      <c r="CR252" s="69" t="n"/>
      <c r="CS252" s="69" t="n"/>
      <c r="CT252" s="42" t="n"/>
      <c r="CU252" s="3" t="n"/>
      <c r="CV252" s="3" t="n"/>
      <c r="CW252" s="69" t="n"/>
      <c r="CX252" s="69" t="n"/>
      <c r="CY252" s="42" t="n"/>
    </row>
    <row r="253" hidden="1" outlineLevel="1" customFormat="1" s="66">
      <c r="A253" s="37" t="n"/>
      <c r="B253" s="37" t="n"/>
      <c r="C253" s="67" t="inlineStr">
        <is>
          <t>Weighted average basic shares outstanding</t>
        </is>
      </c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69" t="str">
        <f>IFERROR(AVERAGE(AG252,AH252),"")</f>
        <v/>
      </c>
      <c r="AI253" s="69" t="str">
        <f>IFERROR(AVERAGE(AH252,AI252),"")</f>
        <v/>
      </c>
      <c r="AJ253" s="69" t="str">
        <f>IFERROR(AVERAGE(AH252,AJ252),"")</f>
        <v/>
      </c>
      <c r="AK253" s="69" t="str">
        <f>IFERROR(AVERAGE(AJ252,AK252),"")</f>
        <v/>
      </c>
      <c r="AL253" s="42" t="n"/>
      <c r="AM253" s="69" t="str">
        <f>IFERROR(AVERAGE(AL252,AM252),"")</f>
        <v/>
      </c>
      <c r="AN253" s="69" t="str">
        <f>IFERROR(AVERAGE(AM252,AN252),"")</f>
        <v/>
      </c>
      <c r="AO253" s="69" t="str">
        <f>IFERROR(AVERAGE(AM252,AO252),"")</f>
        <v/>
      </c>
      <c r="AP253" s="69" t="str">
        <f>IFERROR(AVERAGE(AO252,AP252),"")</f>
        <v/>
      </c>
      <c r="AQ253" s="42" t="n"/>
      <c r="AR253" s="69" t="str">
        <f>IFERROR(AVERAGE(AQ252,AR252),"")</f>
        <v/>
      </c>
      <c r="AS253" s="69" t="str">
        <f>IFERROR(AVERAGE(AR252,AS252),"")</f>
        <v/>
      </c>
      <c r="AT253" s="69" t="str">
        <f>IFERROR(AVERAGE(AR252,AT252),"")</f>
        <v/>
      </c>
      <c r="AU253" s="69" t="str">
        <f>IFERROR(AVERAGE(AT252,AU252),"")</f>
        <v/>
      </c>
      <c r="AV253" s="42" t="n"/>
      <c r="AW253" s="69" t="str">
        <f>IFERROR(AVERAGE(AV252,AW252),"")</f>
        <v/>
      </c>
      <c r="AX253" s="69" t="str">
        <f>IFERROR(AVERAGE(AW252,AX252),"")</f>
        <v/>
      </c>
      <c r="AY253" s="69" t="str">
        <f>IFERROR(AVERAGE(AW252,AY252),"")</f>
        <v/>
      </c>
      <c r="AZ253" s="69" t="str">
        <f>IFERROR(AVERAGE(AY252,AZ252),"")</f>
        <v/>
      </c>
      <c r="BA253" s="42" t="n"/>
      <c r="BB253" s="69" t="str">
        <f>IFERROR(AVERAGE(BA252,BB252),"")</f>
        <v/>
      </c>
      <c r="BC253" s="69" t="str">
        <f>IFERROR(AVERAGE(BB252,BC252),"")</f>
        <v/>
      </c>
      <c r="BD253" s="69" t="str">
        <f>IFERROR(AVERAGE(BB252,BD252),"")</f>
        <v/>
      </c>
      <c r="BE253" s="69" t="str">
        <f>IFERROR(AVERAGE(BD252,BE252),"")</f>
        <v/>
      </c>
      <c r="BF253" s="42" t="n"/>
      <c r="BG253" s="69" t="n"/>
      <c r="BH253" s="69" t="n"/>
      <c r="BI253" s="69" t="n"/>
      <c r="BJ253" s="69" t="n"/>
      <c r="BK253" s="42" t="n"/>
      <c r="BL253" s="69" t="n"/>
      <c r="BM253" s="69" t="n"/>
      <c r="BN253" s="69" t="n"/>
      <c r="BO253" s="69" t="n"/>
      <c r="BP253" s="42" t="n"/>
      <c r="BQ253" s="69" t="n"/>
      <c r="BR253" s="69" t="n"/>
      <c r="BS253" s="69" t="n"/>
      <c r="BT253" s="69" t="n"/>
      <c r="BU253" s="42" t="n"/>
      <c r="BV253" s="69" t="n"/>
      <c r="BW253" s="69" t="n"/>
      <c r="BX253" s="69" t="n"/>
      <c r="BY253" s="69" t="n"/>
      <c r="BZ253" s="42" t="n"/>
      <c r="CA253" s="69" t="n"/>
      <c r="CB253" s="69" t="n"/>
      <c r="CC253" s="69" t="n"/>
      <c r="CD253" s="69" t="n"/>
      <c r="CE253" s="42" t="n"/>
      <c r="CF253" s="69" t="n"/>
      <c r="CG253" s="69" t="n"/>
      <c r="CH253" s="69" t="n"/>
      <c r="CI253" s="69" t="n"/>
      <c r="CJ253" s="42" t="n"/>
      <c r="CK253" s="69" t="n"/>
      <c r="CL253" s="69" t="n"/>
      <c r="CM253" s="69" t="n"/>
      <c r="CN253" s="69" t="n"/>
      <c r="CO253" s="42" t="n"/>
      <c r="CP253" s="69" t="n"/>
      <c r="CQ253" s="69" t="n"/>
      <c r="CR253" s="69" t="n"/>
      <c r="CS253" s="69" t="n"/>
      <c r="CT253" s="42" t="n"/>
      <c r="CU253" s="69" t="n"/>
      <c r="CV253" s="69" t="n"/>
      <c r="CW253" s="69" t="n"/>
      <c r="CX253" s="69" t="n"/>
      <c r="CY253" s="42" t="n"/>
    </row>
    <row r="254" hidden="1" outlineLevel="1" customFormat="1" s="66">
      <c r="A254" s="37" t="n"/>
      <c r="B254" s="37" t="n"/>
      <c r="C254" s="67" t="n"/>
      <c r="D254" s="42" t="n"/>
      <c r="E254" s="42" t="n"/>
      <c r="F254" s="42" t="n"/>
      <c r="G254" s="42" t="n"/>
      <c r="H254" s="12" t="n"/>
      <c r="I254" s="42" t="n"/>
      <c r="J254" s="42" t="n"/>
      <c r="K254" s="42" t="n"/>
      <c r="L254" s="42" t="n"/>
      <c r="M254" s="12" t="n"/>
      <c r="N254" s="42" t="n"/>
      <c r="O254" s="42" t="n"/>
      <c r="P254" s="42" t="n"/>
      <c r="Q254" s="42" t="n"/>
      <c r="R254" s="12" t="n"/>
      <c r="S254" s="42" t="n"/>
      <c r="T254" s="42" t="n"/>
      <c r="U254" s="42" t="n"/>
      <c r="V254" s="42" t="n"/>
      <c r="W254" s="12" t="n"/>
      <c r="X254" s="42" t="n"/>
      <c r="Y254" s="42" t="n"/>
      <c r="Z254" s="42" t="n"/>
      <c r="AA254" s="42" t="n"/>
      <c r="AB254" s="12" t="n"/>
      <c r="AC254" s="42" t="n"/>
      <c r="AD254" s="42" t="n"/>
      <c r="AE254" s="42" t="n"/>
      <c r="AF254" s="42" t="n"/>
      <c r="AG254" s="12" t="n"/>
      <c r="AH254" s="42" t="n"/>
      <c r="AI254" s="42" t="n"/>
      <c r="AJ254" s="42" t="n"/>
      <c r="AK254" s="42" t="n"/>
      <c r="AL254" s="12" t="n"/>
      <c r="AM254" s="42" t="n"/>
      <c r="AN254" s="42" t="n"/>
      <c r="AO254" s="42" t="n"/>
      <c r="AP254" s="42" t="n"/>
      <c r="AQ254" s="12" t="n"/>
      <c r="AR254" s="42" t="n"/>
      <c r="AS254" s="42" t="n"/>
      <c r="AT254" s="42" t="n"/>
      <c r="AU254" s="42" t="n"/>
      <c r="AV254" s="12" t="n"/>
      <c r="AW254" s="42" t="n"/>
      <c r="AX254" s="42" t="n"/>
      <c r="AY254" s="42" t="n"/>
      <c r="AZ254" s="42" t="n"/>
      <c r="BA254" s="12" t="n"/>
      <c r="BB254" s="42" t="n"/>
      <c r="BC254" s="42" t="n"/>
      <c r="BD254" s="42" t="n"/>
      <c r="BE254" s="42" t="n"/>
      <c r="BF254" s="12" t="n"/>
      <c r="BG254" s="42" t="n"/>
      <c r="BH254" s="42" t="n"/>
      <c r="BI254" s="42" t="n"/>
      <c r="BJ254" s="42" t="n"/>
      <c r="BK254" s="12" t="n"/>
      <c r="BL254" s="42" t="n"/>
      <c r="BM254" s="42" t="n"/>
      <c r="BN254" s="42" t="n"/>
      <c r="BO254" s="42" t="n"/>
      <c r="BP254" s="12" t="n"/>
      <c r="BQ254" s="42" t="n"/>
      <c r="BR254" s="42" t="n"/>
      <c r="BS254" s="42" t="n"/>
      <c r="BT254" s="42" t="n"/>
      <c r="BU254" s="12" t="n"/>
      <c r="BV254" s="42" t="n"/>
      <c r="BW254" s="42" t="n"/>
      <c r="BX254" s="42" t="n"/>
      <c r="BY254" s="42" t="n"/>
      <c r="BZ254" s="12" t="n"/>
      <c r="CA254" s="42" t="n"/>
      <c r="CB254" s="42" t="n"/>
      <c r="CC254" s="42" t="n"/>
      <c r="CD254" s="42" t="n"/>
      <c r="CE254" s="12" t="n"/>
      <c r="CF254" s="42" t="n"/>
      <c r="CG254" s="42" t="n"/>
      <c r="CH254" s="42" t="n"/>
      <c r="CI254" s="42" t="n"/>
      <c r="CJ254" s="12" t="n"/>
      <c r="CK254" s="42" t="n"/>
      <c r="CL254" s="42" t="n"/>
      <c r="CM254" s="42" t="n"/>
      <c r="CN254" s="42" t="n"/>
      <c r="CO254" s="12" t="n"/>
      <c r="CP254" s="42" t="n"/>
      <c r="CQ254" s="42" t="n"/>
      <c r="CR254" s="42" t="n"/>
      <c r="CS254" s="42" t="n"/>
      <c r="CT254" s="12" t="n"/>
      <c r="CU254" s="42" t="n"/>
      <c r="CV254" s="42" t="n"/>
      <c r="CW254" s="42" t="n"/>
      <c r="CX254" s="42" t="n"/>
      <c r="CY254" s="12" t="n"/>
    </row>
    <row r="255" collapsed="1">
      <c r="C255" s="14" t="inlineStr">
        <is>
          <t>Treasury stock (contra account)</t>
        </is>
      </c>
      <c r="D255" s="46" t="n"/>
      <c r="E255" s="46" t="n"/>
      <c r="F255" s="46" t="n"/>
      <c r="G255" s="46" t="n"/>
      <c r="H255" s="12" t="n"/>
      <c r="I255" s="46">
        <f>'Inputs (2)'!D44</f>
        <v>0</v>
      </c>
      <c r="J255" s="46">
        <f>'Inputs (2)'!E44</f>
        <v>0</v>
      </c>
      <c r="K255" s="46">
        <f>'Inputs (2)'!F44</f>
        <v>0</v>
      </c>
      <c r="L255" s="46">
        <f>'Inputs (2)'!G44</f>
        <v>0</v>
      </c>
      <c r="M255" s="12">
        <f>'Inputs (2)'!H44</f>
        <v>0</v>
      </c>
      <c r="N255" s="46">
        <f>'Inputs (2)'!I44</f>
        <v>0</v>
      </c>
      <c r="O255" s="46">
        <f>'Inputs (2)'!J44</f>
        <v>0</v>
      </c>
      <c r="P255" s="46">
        <f>'Inputs (2)'!K44</f>
        <v>0</v>
      </c>
      <c r="Q255" s="46">
        <f>'Inputs (2)'!L44</f>
        <v>0</v>
      </c>
      <c r="R255" s="12">
        <f>'Inputs (2)'!M44</f>
        <v>0</v>
      </c>
      <c r="S255" s="46">
        <f>'Inputs (2)'!N44</f>
        <v>0</v>
      </c>
      <c r="T255" s="46">
        <f>'Inputs (2)'!O44</f>
        <v>0</v>
      </c>
      <c r="U255" s="46">
        <f>'Inputs (2)'!P44</f>
        <v>0</v>
      </c>
      <c r="V255" s="46">
        <f>'Inputs (2)'!Q44</f>
        <v>0</v>
      </c>
      <c r="W255" s="12">
        <f>'Inputs (2)'!R44</f>
        <v>0</v>
      </c>
      <c r="X255" s="46">
        <f>'Inputs (2)'!S44</f>
        <v>0</v>
      </c>
      <c r="Y255" s="46">
        <f>'Inputs (2)'!T44</f>
        <v>0</v>
      </c>
      <c r="Z255" s="46">
        <f>'Inputs (2)'!U44</f>
        <v>0</v>
      </c>
      <c r="AA255" s="46">
        <f>'Inputs (2)'!V44</f>
        <v>0</v>
      </c>
      <c r="AB255" s="12">
        <f>'Inputs (2)'!W44</f>
        <v>0</v>
      </c>
      <c r="AC255" s="46">
        <f>'Inputs (2)'!X44</f>
        <v>0</v>
      </c>
      <c r="AD255" s="46">
        <f>'Inputs (2)'!Y44</f>
        <v>0</v>
      </c>
      <c r="AE255" s="46">
        <f>'Inputs (2)'!Z44</f>
        <v>0</v>
      </c>
      <c r="AF255" s="46">
        <f>'Inputs (2)'!AA44</f>
        <v>0</v>
      </c>
      <c r="AG255" s="12">
        <f>'Inputs (2)'!AB44</f>
        <v>0</v>
      </c>
      <c r="AH255" s="12">
        <f>'Inputs (2)'!AC44</f>
        <v>0</v>
      </c>
      <c r="AI255" s="12">
        <f>'Inputs (2)'!AD44</f>
        <v>0</v>
      </c>
      <c r="AJ255" s="12">
        <f>AI255</f>
        <v>0</v>
      </c>
      <c r="AK255" s="12">
        <f>AJ255</f>
        <v>0</v>
      </c>
      <c r="AL255" s="12">
        <f>AK255</f>
        <v>0</v>
      </c>
      <c r="AM255" s="12">
        <f>AL255</f>
        <v>0</v>
      </c>
      <c r="AN255" s="12">
        <f>AM255</f>
        <v>0</v>
      </c>
      <c r="AO255" s="12">
        <f>AN255</f>
        <v>0</v>
      </c>
      <c r="AP255" s="12">
        <f>AO255</f>
        <v>0</v>
      </c>
      <c r="AQ255" s="12">
        <f>AP255</f>
        <v>0</v>
      </c>
      <c r="AR255" s="12">
        <f>AQ255</f>
        <v>0</v>
      </c>
      <c r="AS255" s="12">
        <f>AR255</f>
        <v>0</v>
      </c>
      <c r="AT255" s="12">
        <f>AS255</f>
        <v>0</v>
      </c>
      <c r="AU255" s="12">
        <f>AT255</f>
        <v>0</v>
      </c>
      <c r="AV255" s="12">
        <f>AU255</f>
        <v>0</v>
      </c>
      <c r="AW255" s="12">
        <f>AV255</f>
        <v>0</v>
      </c>
      <c r="AX255" s="12">
        <f>AW255</f>
        <v>0</v>
      </c>
      <c r="AY255" s="12">
        <f>AX255</f>
        <v>0</v>
      </c>
      <c r="AZ255" s="12">
        <f>AY255</f>
        <v>0</v>
      </c>
      <c r="BA255" s="12">
        <f>AZ255</f>
        <v>0</v>
      </c>
      <c r="BB255" s="12">
        <f>BA255</f>
        <v>0</v>
      </c>
      <c r="BC255" s="12">
        <f>BB255</f>
        <v>0</v>
      </c>
      <c r="BD255" s="12">
        <f>BC255</f>
        <v>0</v>
      </c>
      <c r="BE255" s="12">
        <f>BD255</f>
        <v>0</v>
      </c>
      <c r="BF255" s="12">
        <f>BE255</f>
        <v>0</v>
      </c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>
      <c r="C256" s="14" t="inlineStr">
        <is>
          <t>Comprehensive (accumulated) loss</t>
        </is>
      </c>
      <c r="D256" s="46" t="n"/>
      <c r="E256" s="46" t="n"/>
      <c r="F256" s="46" t="n"/>
      <c r="G256" s="46" t="n"/>
      <c r="H256" s="12" t="n"/>
      <c r="I256" s="46">
        <f>'Inputs (2)'!D45</f>
        <v>-106</v>
      </c>
      <c r="J256" s="46">
        <f>'Inputs (2)'!E45</f>
        <v>-106</v>
      </c>
      <c r="K256" s="46">
        <f>'Inputs (2)'!F45</f>
        <v>-116</v>
      </c>
      <c r="L256" s="46">
        <f>'Inputs (2)'!G45</f>
        <v>-115</v>
      </c>
      <c r="M256" s="12">
        <f>'Inputs (2)'!H45</f>
        <v>-115</v>
      </c>
      <c r="N256" s="46">
        <f>'Inputs (2)'!I45</f>
        <v>-115</v>
      </c>
      <c r="O256" s="46">
        <f>'Inputs (2)'!J45</f>
        <v>-114</v>
      </c>
      <c r="P256" s="46">
        <f>'Inputs (2)'!K45</f>
        <v>-54</v>
      </c>
      <c r="Q256" s="46">
        <f>'Inputs (2)'!L45</f>
        <v>-180</v>
      </c>
      <c r="R256" s="12">
        <f>'Inputs (2)'!M45</f>
        <v>-180</v>
      </c>
      <c r="S256" s="46">
        <f>'Inputs (2)'!N45</f>
        <v>-182</v>
      </c>
      <c r="T256" s="46">
        <f>'Inputs (2)'!O45</f>
        <v>46</v>
      </c>
      <c r="U256" s="46">
        <f>'Inputs (2)'!P45</f>
        <v>207</v>
      </c>
      <c r="V256" s="46">
        <f>'Inputs (2)'!Q45</f>
        <v>207</v>
      </c>
      <c r="W256" s="12">
        <f>'Inputs (2)'!R45</f>
        <v>207</v>
      </c>
      <c r="X256" s="46">
        <f>'Inputs (2)'!S45</f>
        <v>207</v>
      </c>
      <c r="Y256" s="46">
        <f>'Inputs (2)'!T45</f>
        <v>208</v>
      </c>
      <c r="Z256" s="46">
        <f>'Inputs (2)'!U45</f>
        <v>207</v>
      </c>
      <c r="AA256" s="46">
        <f>'Inputs (2)'!V45</f>
        <v>207</v>
      </c>
      <c r="AB256" s="12">
        <f>'Inputs (2)'!W45</f>
        <v>207</v>
      </c>
      <c r="AC256" s="46">
        <f>'Inputs (2)'!X45</f>
        <v>206</v>
      </c>
      <c r="AD256" s="46">
        <f>'Inputs (2)'!Y45</f>
        <v>221</v>
      </c>
      <c r="AE256" s="46">
        <f>'Inputs (2)'!Z45</f>
        <v>218</v>
      </c>
      <c r="AF256" s="46">
        <f>'Inputs (2)'!AA45</f>
        <v>212</v>
      </c>
      <c r="AG256" s="12">
        <f>'Inputs (2)'!AB45</f>
        <v>212</v>
      </c>
      <c r="AH256" s="12">
        <f>'Inputs (2)'!AC45</f>
        <v>208</v>
      </c>
      <c r="AI256" s="12">
        <f>'Inputs (2)'!AD45</f>
        <v>204</v>
      </c>
      <c r="AJ256" s="12">
        <f>AI256</f>
        <v>204</v>
      </c>
      <c r="AK256" s="12">
        <f>AJ256</f>
        <v>204</v>
      </c>
      <c r="AL256" s="12">
        <f>AK256</f>
        <v>204</v>
      </c>
      <c r="AM256" s="12">
        <f>AL256</f>
        <v>204</v>
      </c>
      <c r="AN256" s="12">
        <f>AM256</f>
        <v>204</v>
      </c>
      <c r="AO256" s="12">
        <f>AN256</f>
        <v>204</v>
      </c>
      <c r="AP256" s="12">
        <f>AO256</f>
        <v>204</v>
      </c>
      <c r="AQ256" s="12">
        <f>AP256</f>
        <v>204</v>
      </c>
      <c r="AR256" s="12">
        <f>AQ256</f>
        <v>204</v>
      </c>
      <c r="AS256" s="12">
        <f>AR256</f>
        <v>204</v>
      </c>
      <c r="AT256" s="12">
        <f>AS256</f>
        <v>204</v>
      </c>
      <c r="AU256" s="12">
        <f>AT256</f>
        <v>204</v>
      </c>
      <c r="AV256" s="12">
        <f>AU256</f>
        <v>204</v>
      </c>
      <c r="AW256" s="12">
        <f>AV256</f>
        <v>204</v>
      </c>
      <c r="AX256" s="12">
        <f>AW256</f>
        <v>204</v>
      </c>
      <c r="AY256" s="12">
        <f>AX256</f>
        <v>204</v>
      </c>
      <c r="AZ256" s="12">
        <f>AY256</f>
        <v>204</v>
      </c>
      <c r="BA256" s="12">
        <f>AZ256</f>
        <v>204</v>
      </c>
      <c r="BB256" s="12">
        <f>BA256</f>
        <v>204</v>
      </c>
      <c r="BC256" s="12">
        <f>BB256</f>
        <v>204</v>
      </c>
      <c r="BD256" s="12">
        <f>BC256</f>
        <v>204</v>
      </c>
      <c r="BE256" s="12">
        <f>BD256</f>
        <v>204</v>
      </c>
      <c r="BF256" s="12">
        <f>BE256</f>
        <v>204</v>
      </c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  <c r="CU256" s="12" t="n"/>
      <c r="CV256" s="12" t="n"/>
      <c r="CW256" s="12" t="n"/>
      <c r="CX256" s="12" t="n"/>
      <c r="CY256" s="12" t="n"/>
    </row>
    <row r="257">
      <c r="C257" s="14" t="inlineStr">
        <is>
          <t>Other equity account</t>
        </is>
      </c>
      <c r="D257" s="46" t="n"/>
      <c r="E257" s="46" t="n"/>
      <c r="F257" s="46" t="n"/>
      <c r="G257" s="46" t="n"/>
      <c r="H257" s="12" t="n"/>
      <c r="I257" s="46">
        <f>'Inputs (2)'!D46</f>
        <v>27</v>
      </c>
      <c r="J257" s="46">
        <f>'Inputs (2)'!E46</f>
        <v>27</v>
      </c>
      <c r="K257" s="46">
        <f>'Inputs (2)'!F46</f>
        <v>27</v>
      </c>
      <c r="L257" s="46">
        <f>'Inputs (2)'!G46</f>
        <v>26</v>
      </c>
      <c r="M257" s="12">
        <f>'Inputs (2)'!H46</f>
        <v>26</v>
      </c>
      <c r="N257" s="46">
        <f>'Inputs (2)'!I46</f>
        <v>27</v>
      </c>
      <c r="O257" s="46">
        <f>'Inputs (2)'!J46</f>
        <v>27</v>
      </c>
      <c r="P257" s="46">
        <f>'Inputs (2)'!K46</f>
        <v>0</v>
      </c>
      <c r="Q257" s="46">
        <f>'Inputs (2)'!L46</f>
        <v>0</v>
      </c>
      <c r="R257" s="12">
        <f>'Inputs (2)'!M46</f>
        <v>0</v>
      </c>
      <c r="S257" s="46">
        <f>'Inputs (2)'!N46</f>
        <v>0</v>
      </c>
      <c r="T257" s="46">
        <f>'Inputs (2)'!O46</f>
        <v>0</v>
      </c>
      <c r="U257" s="46">
        <f>'Inputs (2)'!P46</f>
        <v>0</v>
      </c>
      <c r="V257" s="46">
        <f>'Inputs (2)'!Q46</f>
        <v>0</v>
      </c>
      <c r="W257" s="12">
        <f>'Inputs (2)'!R46</f>
        <v>0</v>
      </c>
      <c r="X257" s="46">
        <f>'Inputs (2)'!S46</f>
        <v>0</v>
      </c>
      <c r="Y257" s="46">
        <f>'Inputs (2)'!T46</f>
        <v>0</v>
      </c>
      <c r="Z257" s="46">
        <f>'Inputs (2)'!U46</f>
        <v>0</v>
      </c>
      <c r="AA257" s="46">
        <f>'Inputs (2)'!V46</f>
        <v>0</v>
      </c>
      <c r="AB257" s="12">
        <f>'Inputs (2)'!W46</f>
        <v>0</v>
      </c>
      <c r="AC257" s="46">
        <f>'Inputs (2)'!X46</f>
        <v>0</v>
      </c>
      <c r="AD257" s="46">
        <f>'Inputs (2)'!Y46</f>
        <v>0</v>
      </c>
      <c r="AE257" s="46">
        <f>'Inputs (2)'!Z46</f>
        <v>0</v>
      </c>
      <c r="AF257" s="46">
        <f>'Inputs (2)'!AA46</f>
        <v>0</v>
      </c>
      <c r="AG257" s="12">
        <f>'Inputs (2)'!AB46</f>
        <v>0</v>
      </c>
      <c r="AH257" s="12">
        <f>'Inputs (2)'!AC46</f>
        <v>0</v>
      </c>
      <c r="AI257" s="12">
        <f>'Inputs (2)'!AD46</f>
        <v>0</v>
      </c>
      <c r="AJ257" s="12">
        <f>AI257</f>
        <v>0</v>
      </c>
      <c r="AK257" s="12">
        <f>AJ257</f>
        <v>0</v>
      </c>
      <c r="AL257" s="12">
        <f>AK257</f>
        <v>0</v>
      </c>
      <c r="AM257" s="12">
        <f>AL257</f>
        <v>0</v>
      </c>
      <c r="AN257" s="12">
        <f>AM257</f>
        <v>0</v>
      </c>
      <c r="AO257" s="12">
        <f>AN257</f>
        <v>0</v>
      </c>
      <c r="AP257" s="12">
        <f>AO257</f>
        <v>0</v>
      </c>
      <c r="AQ257" s="12">
        <f>AP257</f>
        <v>0</v>
      </c>
      <c r="AR257" s="12">
        <f>AQ257</f>
        <v>0</v>
      </c>
      <c r="AS257" s="12">
        <f>AR257</f>
        <v>0</v>
      </c>
      <c r="AT257" s="12">
        <f>AS257</f>
        <v>0</v>
      </c>
      <c r="AU257" s="12">
        <f>AT257</f>
        <v>0</v>
      </c>
      <c r="AV257" s="12">
        <f>AU257</f>
        <v>0</v>
      </c>
      <c r="AW257" s="12">
        <f>AV257</f>
        <v>0</v>
      </c>
      <c r="AX257" s="12">
        <f>AW257</f>
        <v>0</v>
      </c>
      <c r="AY257" s="12">
        <f>AX257</f>
        <v>0</v>
      </c>
      <c r="AZ257" s="12">
        <f>AY257</f>
        <v>0</v>
      </c>
      <c r="BA257" s="12">
        <f>AZ257</f>
        <v>0</v>
      </c>
      <c r="BB257" s="12">
        <f>BA257</f>
        <v>0</v>
      </c>
      <c r="BC257" s="12">
        <f>BB257</f>
        <v>0</v>
      </c>
      <c r="BD257" s="12">
        <f>BC257</f>
        <v>0</v>
      </c>
      <c r="BE257" s="12">
        <f>BD257</f>
        <v>0</v>
      </c>
      <c r="BF257" s="12">
        <f>BE257</f>
        <v>0</v>
      </c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  <c r="CN257" s="12" t="n"/>
      <c r="CO257" s="12" t="n"/>
      <c r="CP257" s="12" t="n"/>
      <c r="CQ257" s="12" t="n"/>
      <c r="CR257" s="12" t="n"/>
      <c r="CS257" s="12" t="n"/>
      <c r="CT257" s="12" t="n"/>
      <c r="CU257" s="12" t="n"/>
      <c r="CV257" s="12" t="n"/>
      <c r="CW257" s="12" t="n"/>
      <c r="CX257" s="12" t="n"/>
      <c r="CY257" s="12" t="n"/>
    </row>
    <row r="258">
      <c r="C258" s="15" t="inlineStr">
        <is>
          <t>Retained earnings</t>
        </is>
      </c>
      <c r="D258" s="46" t="n"/>
      <c r="E258" s="46" t="n"/>
      <c r="F258" s="46" t="n"/>
      <c r="G258" s="46" t="n"/>
      <c r="H258" s="12" t="n"/>
      <c r="I258" s="46">
        <f>'Inputs (2)'!D47</f>
        <v>0</v>
      </c>
      <c r="J258" s="46">
        <f>'Inputs (2)'!E47</f>
        <v>320</v>
      </c>
      <c r="K258" s="46">
        <f>'Inputs (2)'!F47</f>
        <v>748</v>
      </c>
      <c r="L258" s="46">
        <f>'Inputs (2)'!G47</f>
        <v>0</v>
      </c>
      <c r="M258" s="12">
        <f>'Inputs (2)'!H47</f>
        <v>0</v>
      </c>
      <c r="N258" s="46">
        <f>'Inputs (2)'!I47</f>
        <v>0</v>
      </c>
      <c r="O258" s="46">
        <f>'Inputs (2)'!J47</f>
        <v>0</v>
      </c>
      <c r="P258" s="46">
        <f>'Inputs (2)'!K47</f>
        <v>1604</v>
      </c>
      <c r="Q258" s="46">
        <f>'Inputs (2)'!L47</f>
        <v>2371</v>
      </c>
      <c r="R258" s="12">
        <f>'Inputs (2)'!M47</f>
        <v>2371</v>
      </c>
      <c r="S258" s="46">
        <f>'Inputs (2)'!N47</f>
        <v>1363</v>
      </c>
      <c r="T258" s="46">
        <f>'Inputs (2)'!O47</f>
        <v>1178</v>
      </c>
      <c r="U258" s="46">
        <f>'Inputs (2)'!P47</f>
        <v>2682</v>
      </c>
      <c r="V258" s="46">
        <f>'Inputs (2)'!Q47</f>
        <v>0</v>
      </c>
      <c r="W258" s="12">
        <f>'Inputs (2)'!R47</f>
        <v>0</v>
      </c>
      <c r="X258" s="46">
        <f>'Inputs (2)'!S47</f>
        <v>0</v>
      </c>
      <c r="Y258" s="46">
        <f>'Inputs (2)'!T47</f>
        <v>-1875</v>
      </c>
      <c r="Z258" s="46">
        <f>'Inputs (2)'!U47</f>
        <v>0</v>
      </c>
      <c r="AA258" s="46">
        <f>'Inputs (2)'!V47</f>
        <v>2729</v>
      </c>
      <c r="AB258" s="12">
        <f>'Inputs (2)'!W47</f>
        <v>2729</v>
      </c>
      <c r="AC258" s="46">
        <f>'Inputs (2)'!X47</f>
        <v>2686</v>
      </c>
      <c r="AD258" s="46">
        <f>'Inputs (2)'!Y47</f>
        <v>4040</v>
      </c>
      <c r="AE258" s="46">
        <f>'Inputs (2)'!Z47</f>
        <v>9761</v>
      </c>
      <c r="AF258" s="46">
        <f>'Inputs (2)'!AA47</f>
        <v>6520</v>
      </c>
      <c r="AG258" s="12">
        <f>'Inputs (2)'!AB47</f>
        <v>6520</v>
      </c>
      <c r="AH258" s="12">
        <f>'Inputs (2)'!AC47</f>
        <v>12166</v>
      </c>
      <c r="AI258" s="12">
        <f>'Inputs (2)'!AD47</f>
        <v>22151</v>
      </c>
      <c r="AJ258" s="12">
        <f>AI258+AJ125+AJ126</f>
        <v>32767.2526049774</v>
      </c>
      <c r="AK258" s="12">
        <f>AJ258+AK125+AK126</f>
        <v>44147.2389527276</v>
      </c>
      <c r="AL258" s="12">
        <f>AK258</f>
        <v>44147.2389527276</v>
      </c>
      <c r="AM258" s="12">
        <f>AL258+AM125+AM126</f>
        <v>57222.0541926184</v>
      </c>
      <c r="AN258" s="12">
        <f>AM258+AN125+AN126</f>
        <v>74660.052018535</v>
      </c>
      <c r="AO258" s="12">
        <f>AN258+AO125+AO126</f>
        <v>89402.7020343136</v>
      </c>
      <c r="AP258" s="12">
        <f>AO258+AP125+AP126</f>
        <v>105205.939028746</v>
      </c>
      <c r="AQ258" s="12">
        <f>AP258</f>
        <v>105205.939028746</v>
      </c>
      <c r="AR258" s="12">
        <f>AQ258+AR125+AR126</f>
        <v>123297.388482943</v>
      </c>
      <c r="AS258" s="12">
        <f>AR258+AS125+AS126</f>
        <v>147426.116152259</v>
      </c>
      <c r="AT258" s="12">
        <f>AS258+AT125+AT126</f>
        <v>167825.32659522</v>
      </c>
      <c r="AU258" s="12">
        <f>AT258+AU125+AU126</f>
        <v>189692.057256559</v>
      </c>
      <c r="AV258" s="12">
        <f>AU258</f>
        <v>189692.057256559</v>
      </c>
      <c r="AW258" s="12">
        <f>AV258+AW125+AW126</f>
        <v>214634.500080806</v>
      </c>
      <c r="AX258" s="12">
        <f>AW258+AX125+AX126</f>
        <v>247900.458777893</v>
      </c>
      <c r="AY258" s="12">
        <f>AX258+AY125+AY126</f>
        <v>276024.581249203</v>
      </c>
      <c r="AZ258" s="12">
        <f>AY258+AZ125+AZ126</f>
        <v>306171.954496134</v>
      </c>
      <c r="BA258" s="12">
        <f>AZ258</f>
        <v>306171.954496134</v>
      </c>
      <c r="BB258" s="12">
        <f>BA258+BB125+BB126</f>
        <v>340435.059334256</v>
      </c>
      <c r="BC258" s="12">
        <f>BB258+BC125+BC126</f>
        <v>386132.068180196</v>
      </c>
      <c r="BD258" s="12">
        <f>BC258+BD125+BD126</f>
        <v>424765.804398604</v>
      </c>
      <c r="BE258" s="12">
        <f>BD258+BE125+BE126</f>
        <v>466178.853530642</v>
      </c>
      <c r="BF258" s="12">
        <f>BE258</f>
        <v>466178.853530642</v>
      </c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  <c r="CU258" s="12" t="n"/>
      <c r="CV258" s="12" t="n"/>
      <c r="CW258" s="12" t="n"/>
      <c r="CX258" s="12" t="n"/>
      <c r="CY258" s="12" t="n"/>
    </row>
    <row r="259" customFormat="1" s="32">
      <c r="A259" s="30" t="inlineStr">
        <is>
          <t xml:space="preserve"> </t>
        </is>
      </c>
      <c r="B259" s="30" t="n"/>
      <c r="C259" s="65" t="inlineStr">
        <is>
          <t>Total Shareholders' Equity</t>
        </is>
      </c>
      <c r="D259" s="35" t="n"/>
      <c r="E259" s="35" t="n"/>
      <c r="F259" s="35" t="n"/>
      <c r="G259" s="35" t="n"/>
      <c r="H259" s="35" t="n"/>
      <c r="I259" s="35">
        <f>SUM(I236+I241+I242+I255+I256+I257+I258)</f>
        <v>23966</v>
      </c>
      <c r="J259" s="35">
        <f>SUM(J236+J241+J242+J255+J256+J257+J258)</f>
        <v>24367</v>
      </c>
      <c r="K259" s="35">
        <f>SUM(K236+K241+K242+K255+K256+K257+K258)</f>
        <v>24989</v>
      </c>
      <c r="L259" s="35">
        <f>SUM(L236+L241+L242+L255+L256+L257+L258)</f>
        <v>22994</v>
      </c>
      <c r="M259" s="35">
        <f>SUM(M236,M241,M242,M255,M256,M257,M258)</f>
        <v>22994</v>
      </c>
      <c r="N259" s="35">
        <f>SUM(N236+N241+N242+N255+N256+N257+N258)</f>
        <v>20990</v>
      </c>
      <c r="O259" s="35">
        <f>SUM(O236+O241+O242+O255+O256+O257+O258)</f>
        <v>20903</v>
      </c>
      <c r="P259" s="35">
        <f>SUM(P236+P241+P242+P255+P256+P257+P258)</f>
        <v>22709</v>
      </c>
      <c r="Q259" s="35">
        <f>SUM(Q236+Q241+Q242+Q255+Q256+Q257+Q258)</f>
        <v>23310</v>
      </c>
      <c r="R259" s="35">
        <f>SUM(R236,R241,R242,R255,R256,R257,R258)</f>
        <v>23310</v>
      </c>
      <c r="S259" s="35">
        <f>SUM(S236+S241+S242+S255+S256+S257+S258)</f>
        <v>22007</v>
      </c>
      <c r="T259" s="35">
        <f>SUM(T236+T241+T242+T255+T256+T257+T258)</f>
        <v>22079</v>
      </c>
      <c r="U259" s="35">
        <f>SUM(U236+U241+U242+U255+U256+U257+U258)</f>
        <v>23988</v>
      </c>
      <c r="V259" s="35">
        <f>SUM(V236+V241+V242+V255+V256+V257+V258)</f>
        <v>70284</v>
      </c>
      <c r="W259" s="35">
        <f>SUM(W236,W241,W242,W255,W256,W257,W258)</f>
        <v>70284</v>
      </c>
      <c r="X259" s="35">
        <f>SUM(X236+X241+X242+X255+X256+X257+X258)</f>
        <v>69961</v>
      </c>
      <c r="Y259" s="35">
        <f>SUM(Y236+Y241+Y242+Y255+Y256+Y257+Y258)</f>
        <v>65651</v>
      </c>
      <c r="Z259" s="35">
        <f>SUM(Z236+Z241+Z242+Z255+Z256+Z257+Z258)</f>
        <v>67678</v>
      </c>
      <c r="AA259" s="35">
        <f>SUM(AA236+AA241+AA242+AA255+AA256+AA257+AA258)</f>
        <v>69789</v>
      </c>
      <c r="AB259" s="35">
        <f>SUM(AB236,AB241,AB242,AB255,AB256,AB257,AB258)</f>
        <v>69789</v>
      </c>
      <c r="AC259" s="35">
        <f>SUM(AC236+AC241+AC242+AC255+AC256+AC257+AC258)</f>
        <v>69586</v>
      </c>
      <c r="AD259" s="35">
        <f>SUM(AD236+AD241+AD242+AD255+AD256+AD257+AD258)</f>
        <v>73277</v>
      </c>
      <c r="AE259" s="35">
        <f>SUM(AE236+AE241+AE242+AE255+AE256+AE257+AE258)</f>
        <v>81292</v>
      </c>
      <c r="AF259" s="35">
        <f>SUM(AF236+AF241+AF242+AF255+AF256+AF257+AF258)</f>
        <v>79872</v>
      </c>
      <c r="AG259" s="35">
        <f>SUM(AG236,AG241,AG242,AG255,AG256,AG257,AG258)</f>
        <v>79872</v>
      </c>
      <c r="AH259" s="35">
        <f>SUM(AH236+AH241+AH242+AH255+AH256+AH257+AH258)</f>
        <v>87691</v>
      </c>
      <c r="AI259" s="35">
        <f>SUM(AI236+AI241+AI242+AI255+AI256+AI257+AI258)</f>
        <v>99690</v>
      </c>
      <c r="AJ259" s="35">
        <f>SUM(AJ236+AJ241+AJ242+AJ255+AJ256+AJ257+AJ258)</f>
        <v>110306.252604977</v>
      </c>
      <c r="AK259" s="35">
        <f>SUM(AK236+AK241+AK242+AK255+AK256+AK257+AK258)</f>
        <v>121686.238952728</v>
      </c>
      <c r="AL259" s="35">
        <f>SUM(AL236,AL241,AL242,AL255,AL256,AL257,AL258)</f>
        <v>121686.238952728</v>
      </c>
      <c r="AM259" s="35">
        <f>SUM(AM236+AM241+AM242+AM255+AM256+AM257+AM258)</f>
        <v>134761.054192618</v>
      </c>
      <c r="AN259" s="35">
        <f>SUM(AN236+AN241+AN242+AN255+AN256+AN257+AN258)</f>
        <v>152199.052018535</v>
      </c>
      <c r="AO259" s="35">
        <f>SUM(AO236+AO241+AO242+AO255+AO256+AO257+AO258)</f>
        <v>166941.702034314</v>
      </c>
      <c r="AP259" s="35">
        <f>SUM(AP236+AP241+AP242+AP255+AP256+AP257+AP258)</f>
        <v>182744.939028746</v>
      </c>
      <c r="AQ259" s="35">
        <f>SUM(AQ236,AQ241,AQ242,AQ255,AQ256,AQ257,AQ258)</f>
        <v>182744.939028746</v>
      </c>
      <c r="AR259" s="35">
        <f>SUM(AR236+AR241+AR242+AR255+AR256+AR257+AR258)</f>
        <v>200836.388482943</v>
      </c>
      <c r="AS259" s="35">
        <f>SUM(AS236+AS241+AS242+AS255+AS256+AS257+AS258)</f>
        <v>224965.116152259</v>
      </c>
      <c r="AT259" s="35">
        <f>SUM(AT236+AT241+AT242+AT255+AT256+AT257+AT258)</f>
        <v>245364.32659522</v>
      </c>
      <c r="AU259" s="35">
        <f>SUM(AU236+AU241+AU242+AU255+AU256+AU257+AU258)</f>
        <v>267231.057256559</v>
      </c>
      <c r="AV259" s="35">
        <f>SUM(AV236,AV241,AV242,AV255,AV256,AV257,AV258)</f>
        <v>267231.057256559</v>
      </c>
      <c r="AW259" s="35">
        <f>SUM(AW236+AW241+AW242+AW255+AW256+AW257+AW258)</f>
        <v>292173.500080806</v>
      </c>
      <c r="AX259" s="35">
        <f>SUM(AX236+AX241+AX242+AX255+AX256+AX257+AX258)</f>
        <v>325439.458777893</v>
      </c>
      <c r="AY259" s="35">
        <f>SUM(AY236+AY241+AY242+AY255+AY256+AY257+AY258)</f>
        <v>353563.581249203</v>
      </c>
      <c r="AZ259" s="35">
        <f>SUM(AZ236+AZ241+AZ242+AZ255+AZ256+AZ257+AZ258)</f>
        <v>383710.954496134</v>
      </c>
      <c r="BA259" s="35">
        <f>SUM(BA236,BA241,BA242,BA255,BA256,BA257,BA258)</f>
        <v>383710.954496134</v>
      </c>
      <c r="BB259" s="35">
        <f>SUM(BB236+BB241+BB242+BB255+BB256+BB257+BB258)</f>
        <v>417974.059334256</v>
      </c>
      <c r="BC259" s="35">
        <f>SUM(BC236+BC241+BC242+BC255+BC256+BC257+BC258)</f>
        <v>463671.068180196</v>
      </c>
      <c r="BD259" s="35">
        <f>SUM(BD236+BD241+BD242+BD255+BD256+BD257+BD258)</f>
        <v>502304.804398604</v>
      </c>
      <c r="BE259" s="35">
        <f>SUM(BE236+BE241+BE242+BE255+BE256+BE257+BE258)</f>
        <v>543717.853530642</v>
      </c>
      <c r="BF259" s="35">
        <f>SUM(BF236,BF241,BF242,BF255,BF256,BF257,BF258)</f>
        <v>543717.853530642</v>
      </c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  <c r="CX259" s="35" t="n"/>
      <c r="CY259" s="35" t="n"/>
    </row>
    <row r="260">
      <c r="C260" s="10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customFormat="1" s="32">
      <c r="A261" s="30" t="n"/>
      <c r="B261" s="3" t="n"/>
      <c r="C261" s="33" t="inlineStr">
        <is>
          <t>Total Liabilities + Shareholders' Equity</t>
        </is>
      </c>
      <c r="D261" s="35" t="n"/>
      <c r="E261" s="35" t="n"/>
      <c r="F261" s="35" t="n"/>
      <c r="G261" s="35" t="n"/>
      <c r="H261" s="35" t="n"/>
      <c r="I261" s="35">
        <f>I259+I235</f>
        <v>75524</v>
      </c>
      <c r="J261" s="35">
        <f>J259+J235</f>
        <v>75880</v>
      </c>
      <c r="K261" s="35">
        <f>K259+K235</f>
        <v>75570</v>
      </c>
      <c r="L261" s="35">
        <f>L259+L235</f>
        <v>73224</v>
      </c>
      <c r="M261" s="35">
        <f>M259+M235</f>
        <v>73224</v>
      </c>
      <c r="N261" s="35">
        <f>N259+N235</f>
        <v>71719</v>
      </c>
      <c r="O261" s="35">
        <f>O259+O235</f>
        <v>71326</v>
      </c>
      <c r="P261" s="35">
        <f>P259+P235</f>
        <v>73249</v>
      </c>
      <c r="Q261" s="35">
        <f>Q259+Q235</f>
        <v>72976</v>
      </c>
      <c r="R261" s="35">
        <f>R259+R235</f>
        <v>72976</v>
      </c>
      <c r="S261" s="35">
        <f>S259+S235</f>
        <v>71667</v>
      </c>
      <c r="T261" s="35">
        <f>T259+T235</f>
        <v>71595</v>
      </c>
      <c r="U261" s="35">
        <f>U259+U235</f>
        <v>72861</v>
      </c>
      <c r="V261" s="35">
        <f>V259+V235</f>
        <v>177870</v>
      </c>
      <c r="W261" s="35">
        <f>W259+W235</f>
        <v>177870</v>
      </c>
      <c r="X261" s="35">
        <f>X259+X235</f>
        <v>175211</v>
      </c>
      <c r="Y261" s="35">
        <f>Y259+Y235</f>
        <v>167966</v>
      </c>
      <c r="Z261" s="35">
        <f>Z259+Z235</f>
        <v>165645</v>
      </c>
      <c r="AA261" s="35">
        <f>AA259+AA235</f>
        <v>165358</v>
      </c>
      <c r="AB261" s="35">
        <f>AB259+AB235</f>
        <v>165358</v>
      </c>
      <c r="AC261" s="35">
        <f>AC259+AC235</f>
        <v>164630</v>
      </c>
      <c r="AD261" s="35">
        <f>AD259+AD235</f>
        <v>165621</v>
      </c>
      <c r="AE261" s="35">
        <f>AE259+AE235</f>
        <v>171092</v>
      </c>
      <c r="AF261" s="35">
        <f>AF259+AF235</f>
        <v>169903</v>
      </c>
      <c r="AG261" s="35">
        <f>AG259+AG235</f>
        <v>169903</v>
      </c>
      <c r="AH261" s="35">
        <f>AH259+AH235</f>
        <v>179158</v>
      </c>
      <c r="AI261" s="35">
        <f>AI259+AI235</f>
        <v>188148</v>
      </c>
      <c r="AJ261" s="35">
        <f>AJ259+AJ235</f>
        <v>197885.194334368</v>
      </c>
      <c r="AK261" s="35">
        <f>AK259+AK235</f>
        <v>210260.47535773</v>
      </c>
      <c r="AL261" s="35">
        <f>AL259+AL235</f>
        <v>210260.47535773</v>
      </c>
      <c r="AM261" s="35">
        <f>AM259+AM235</f>
        <v>224938.320281138</v>
      </c>
      <c r="AN261" s="35">
        <f>AN259+AN235</f>
        <v>244962.399685878</v>
      </c>
      <c r="AO261" s="35">
        <f>AO259+AO235</f>
        <v>261192.444320669</v>
      </c>
      <c r="AP261" s="35">
        <f>AP259+AP235</f>
        <v>280272.048304182</v>
      </c>
      <c r="AQ261" s="35">
        <f>AQ259+AQ235</f>
        <v>280272.048304182</v>
      </c>
      <c r="AR261" s="35">
        <f>AR259+AR235</f>
        <v>303101.572096938</v>
      </c>
      <c r="AS261" s="35">
        <f>AS259+AS235</f>
        <v>334422.18858048</v>
      </c>
      <c r="AT261" s="35">
        <f>AT259+AT235</f>
        <v>361801.51820435</v>
      </c>
      <c r="AU261" s="35">
        <f>AU259+AU235</f>
        <v>394997.203007587</v>
      </c>
      <c r="AV261" s="35">
        <f>AV259+AV235</f>
        <v>394997.203007587</v>
      </c>
      <c r="AW261" s="35">
        <f>AW259+AW235</f>
        <v>435799.412563383</v>
      </c>
      <c r="AX261" s="35">
        <f>AX259+AX235</f>
        <v>491678.633286328</v>
      </c>
      <c r="AY261" s="35">
        <f>AY259+AY235</f>
        <v>546985.313551119</v>
      </c>
      <c r="AZ261" s="35">
        <f>AZ259+AZ235</f>
        <v>616905.654292346</v>
      </c>
      <c r="BA261" s="35">
        <f>BA259+BA235</f>
        <v>616905.654292346</v>
      </c>
      <c r="BB261" s="35">
        <f>BB259+BB235</f>
        <v>705786.63955377</v>
      </c>
      <c r="BC261" s="35">
        <f>BC259+BC235</f>
        <v>827580.319778852</v>
      </c>
      <c r="BD261" s="35">
        <f>BD259+BD235</f>
        <v>965273.823250386</v>
      </c>
      <c r="BE261" s="35">
        <f>BE259+BE235</f>
        <v>1145909.92640384</v>
      </c>
      <c r="BF261" s="35">
        <f>BF259+BF235</f>
        <v>1145909.92640384</v>
      </c>
      <c r="BG261" s="35" t="n"/>
      <c r="BH261" s="35" t="n"/>
      <c r="BI261" s="35" t="n"/>
      <c r="BJ261" s="35" t="n"/>
      <c r="BK261" s="35" t="n"/>
      <c r="BL261" s="35" t="n"/>
      <c r="BM261" s="35" t="n"/>
      <c r="BN261" s="35" t="n"/>
      <c r="BO261" s="35" t="n"/>
      <c r="BP261" s="35" t="n"/>
      <c r="BQ261" s="35" t="n"/>
      <c r="BR261" s="35" t="n"/>
      <c r="BS261" s="35" t="n"/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5" t="n"/>
      <c r="CC261" s="35" t="n"/>
      <c r="CD261" s="35" t="n"/>
      <c r="CE261" s="35" t="n"/>
      <c r="CF261" s="35" t="n"/>
      <c r="CG261" s="35" t="n"/>
      <c r="CH261" s="35" t="n"/>
      <c r="CI261" s="35" t="n"/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5" t="n"/>
      <c r="CS261" s="35" t="n"/>
      <c r="CT261" s="35" t="n"/>
      <c r="CU261" s="35" t="n"/>
      <c r="CV261" s="35" t="n"/>
      <c r="CW261" s="35" t="n"/>
      <c r="CX261" s="35" t="n"/>
      <c r="CY261" s="35" t="n"/>
    </row>
    <row r="262">
      <c r="C262" s="18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  <c r="CU262" s="3" t="n"/>
      <c r="CV262" s="3" t="n"/>
      <c r="CW262" s="3" t="n"/>
      <c r="CX262" s="3" t="n"/>
      <c r="CY262" s="3" t="n"/>
    </row>
    <row r="263" customFormat="1" s="32">
      <c r="A263" s="30" t="n"/>
      <c r="B263" s="30" t="n"/>
      <c r="C263" s="31" t="inlineStr">
        <is>
          <t>Cash Flow Statement</t>
        </is>
      </c>
      <c r="D263" s="70" t="n"/>
      <c r="E263" s="70" t="n"/>
      <c r="F263" s="70" t="n"/>
      <c r="G263" s="70" t="n"/>
      <c r="H263" s="70" t="n"/>
      <c r="I263" s="70" t="str">
        <f>I130</f>
        <v>1Q21</v>
      </c>
      <c r="J263" s="70" t="str">
        <f>J130</f>
        <v>2Q21</v>
      </c>
      <c r="K263" s="70" t="str">
        <f>K130</f>
        <v>3Q21</v>
      </c>
      <c r="L263" s="70" t="str">
        <f>L130</f>
        <v>4Q21</v>
      </c>
      <c r="M263" s="70">
        <f>M130</f>
        <v>2021</v>
      </c>
      <c r="N263" s="70" t="str">
        <f>N130</f>
        <v>1Q22</v>
      </c>
      <c r="O263" s="70" t="str">
        <f>O130</f>
        <v>2Q22</v>
      </c>
      <c r="P263" s="70" t="str">
        <f>P130</f>
        <v>3Q22</v>
      </c>
      <c r="Q263" s="70" t="str">
        <f>Q130</f>
        <v>4Q22</v>
      </c>
      <c r="R263" s="70">
        <f>R130</f>
        <v>2022</v>
      </c>
      <c r="S263" s="70" t="str">
        <f>S130</f>
        <v>1Q23</v>
      </c>
      <c r="T263" s="70" t="str">
        <f>T130</f>
        <v>2Q23</v>
      </c>
      <c r="U263" s="70" t="str">
        <f>U130</f>
        <v>3Q23</v>
      </c>
      <c r="V263" s="70" t="str">
        <f>V130</f>
        <v>4Q23</v>
      </c>
      <c r="W263" s="70">
        <f>W130</f>
        <v>2023</v>
      </c>
      <c r="X263" s="70" t="str">
        <f>X130</f>
        <v>1Q24</v>
      </c>
      <c r="Y263" s="70" t="str">
        <f>Y130</f>
        <v>2Q24</v>
      </c>
      <c r="Z263" s="70" t="str">
        <f>Z130</f>
        <v>3Q24</v>
      </c>
      <c r="AA263" s="70" t="str">
        <f>AA130</f>
        <v>4Q24</v>
      </c>
      <c r="AB263" s="70">
        <f>AB130</f>
        <v>2024</v>
      </c>
      <c r="AC263" s="70" t="str">
        <f>AC130</f>
        <v>1Q25</v>
      </c>
      <c r="AD263" s="70" t="str">
        <f>AD130</f>
        <v>2Q25</v>
      </c>
      <c r="AE263" s="70" t="str">
        <f>AE130</f>
        <v>3Q25</v>
      </c>
      <c r="AF263" s="70" t="str">
        <f>AF130</f>
        <v>4Q25</v>
      </c>
      <c r="AG263" s="70">
        <f>AG130</f>
        <v>2025</v>
      </c>
      <c r="AH263" s="70" t="str">
        <f>AH130</f>
        <v>1Q26</v>
      </c>
      <c r="AI263" s="70" t="str">
        <f>AI130</f>
        <v>2Q26</v>
      </c>
      <c r="AJ263" s="70" t="str">
        <f>AJ130</f>
        <v>3Q26</v>
      </c>
      <c r="AK263" s="70" t="str">
        <f>AK130</f>
        <v>4Q26</v>
      </c>
      <c r="AL263" s="70">
        <f>AL130</f>
        <v>2026</v>
      </c>
      <c r="AM263" s="70" t="str">
        <f>AM130</f>
        <v>1Q27</v>
      </c>
      <c r="AN263" s="70" t="str">
        <f>AN130</f>
        <v>2Q27</v>
      </c>
      <c r="AO263" s="70" t="str">
        <f>AO130</f>
        <v>3Q27</v>
      </c>
      <c r="AP263" s="70" t="str">
        <f>AP130</f>
        <v>4Q27</v>
      </c>
      <c r="AQ263" s="70">
        <f>AQ130</f>
        <v>2027</v>
      </c>
      <c r="AR263" s="70" t="str">
        <f>AR130</f>
        <v>1Q28</v>
      </c>
      <c r="AS263" s="70" t="str">
        <f>AS130</f>
        <v>2Q28</v>
      </c>
      <c r="AT263" s="70" t="str">
        <f>AT130</f>
        <v>3Q28</v>
      </c>
      <c r="AU263" s="70" t="str">
        <f>AU130</f>
        <v>4Q28</v>
      </c>
      <c r="AV263" s="70">
        <f>AV130</f>
        <v>2028</v>
      </c>
      <c r="AW263" s="70" t="str">
        <f>AW130</f>
        <v>1Q29</v>
      </c>
      <c r="AX263" s="70" t="str">
        <f>AX130</f>
        <v>2Q29</v>
      </c>
      <c r="AY263" s="70" t="str">
        <f>AY130</f>
        <v>3Q29</v>
      </c>
      <c r="AZ263" s="70" t="str">
        <f>AZ130</f>
        <v>4Q29</v>
      </c>
      <c r="BA263" s="70">
        <f>BA130</f>
        <v>2029</v>
      </c>
      <c r="BB263" s="70" t="str">
        <f>BB130</f>
        <v>1Q30</v>
      </c>
      <c r="BC263" s="70" t="str">
        <f>BC130</f>
        <v>2Q30</v>
      </c>
      <c r="BD263" s="70" t="str">
        <f>BD130</f>
        <v>3Q30</v>
      </c>
      <c r="BE263" s="70" t="str">
        <f>BE130</f>
        <v>4Q30</v>
      </c>
      <c r="BF263" s="70">
        <f>BF130</f>
        <v>2030</v>
      </c>
      <c r="BG263" s="70" t="n"/>
      <c r="BH263" s="70" t="n"/>
      <c r="BI263" s="70" t="n"/>
      <c r="BJ263" s="70" t="n"/>
      <c r="BK263" s="70" t="n"/>
      <c r="BL263" s="70" t="n"/>
      <c r="BM263" s="70" t="n"/>
      <c r="BN263" s="70" t="n"/>
      <c r="BO263" s="70" t="n"/>
      <c r="BP263" s="70" t="n"/>
      <c r="BQ263" s="70" t="n"/>
      <c r="BR263" s="70" t="n"/>
      <c r="BS263" s="70" t="n"/>
      <c r="BT263" s="70" t="n"/>
      <c r="BU263" s="70" t="n"/>
      <c r="BV263" s="70" t="n"/>
      <c r="BW263" s="70" t="n"/>
      <c r="BX263" s="70" t="n"/>
      <c r="BY263" s="70" t="n"/>
      <c r="BZ263" s="70" t="n"/>
      <c r="CA263" s="70" t="n"/>
      <c r="CB263" s="70" t="n"/>
      <c r="CC263" s="70" t="n"/>
      <c r="CD263" s="70" t="n"/>
      <c r="CE263" s="70" t="n"/>
      <c r="CF263" s="70" t="n"/>
      <c r="CG263" s="70" t="n"/>
      <c r="CH263" s="70" t="n"/>
      <c r="CI263" s="70" t="n"/>
      <c r="CJ263" s="70" t="n"/>
      <c r="CK263" s="70" t="n"/>
      <c r="CL263" s="70" t="n"/>
      <c r="CM263" s="70" t="n"/>
      <c r="CN263" s="70" t="n"/>
      <c r="CO263" s="70" t="n"/>
      <c r="CP263" s="70" t="n"/>
      <c r="CQ263" s="70" t="n"/>
      <c r="CR263" s="70" t="n"/>
      <c r="CS263" s="70" t="n"/>
      <c r="CT263" s="70" t="n"/>
      <c r="CU263" s="70" t="n"/>
      <c r="CV263" s="70" t="n"/>
      <c r="CW263" s="70" t="n"/>
      <c r="CX263" s="70" t="n"/>
      <c r="CY263" s="70" t="n"/>
    </row>
    <row r="264">
      <c r="C264" s="18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  <c r="CU264" s="3" t="n"/>
      <c r="CV264" s="3" t="n"/>
      <c r="CW264" s="3" t="n"/>
      <c r="CX264" s="3" t="n"/>
      <c r="CY264" s="3" t="n"/>
    </row>
    <row r="265">
      <c r="C265" s="10" t="inlineStr">
        <is>
          <t>Net Income</t>
        </is>
      </c>
      <c r="D265" s="12" t="n"/>
      <c r="E265" s="12" t="n"/>
      <c r="F265" s="12" t="n"/>
      <c r="G265" s="12" t="n"/>
      <c r="H265" s="12" t="n"/>
      <c r="I265" s="12" t="n"/>
      <c r="J265" s="12">
        <f>J125</f>
        <v>1802</v>
      </c>
      <c r="K265" s="12">
        <f>K125</f>
        <v>1914</v>
      </c>
      <c r="L265" s="12">
        <f>L125</f>
        <v>2398</v>
      </c>
      <c r="M265" s="12" t="n"/>
      <c r="N265" s="12">
        <f>N125</f>
        <v>2515</v>
      </c>
      <c r="O265" s="12">
        <f>O125</f>
        <v>2999</v>
      </c>
      <c r="P265" s="12">
        <f>P125</f>
        <v>3583</v>
      </c>
      <c r="Q265" s="12">
        <f>Q125</f>
        <v>3774</v>
      </c>
      <c r="R265" s="12">
        <f>SUM(N265:Q265)</f>
        <v>12871</v>
      </c>
      <c r="S265" s="12">
        <f>S125</f>
        <v>3481</v>
      </c>
      <c r="T265" s="12">
        <f>T125</f>
        <v>3303</v>
      </c>
      <c r="U265" s="12">
        <f>U125</f>
        <v>3524</v>
      </c>
      <c r="V265" s="12">
        <f>V125</f>
        <v>1325</v>
      </c>
      <c r="W265" s="12">
        <f>SUM(S265:V265)</f>
        <v>11633</v>
      </c>
      <c r="X265" s="12">
        <f>X125</f>
        <v>2121</v>
      </c>
      <c r="Y265" s="12">
        <f>Y125</f>
        <v>-1875</v>
      </c>
      <c r="Z265" s="12">
        <f>Z125</f>
        <v>4324</v>
      </c>
      <c r="AA265" s="12">
        <f>AA125</f>
        <v>5503</v>
      </c>
      <c r="AB265" s="12">
        <f>SUM(X265:AA265)</f>
        <v>10073</v>
      </c>
      <c r="AC265" s="12">
        <f>AC125</f>
        <v>4965</v>
      </c>
      <c r="AD265" s="12">
        <f>AD125</f>
        <v>4140</v>
      </c>
      <c r="AE265" s="12">
        <f>AE125</f>
        <v>8518</v>
      </c>
      <c r="AF265" s="12">
        <f>AF125</f>
        <v>7349</v>
      </c>
      <c r="AG265" s="12">
        <f>SUM(AC265:AF265)</f>
        <v>24972</v>
      </c>
      <c r="AH265" s="12">
        <f>AH125</f>
        <v>9310</v>
      </c>
      <c r="AI265" s="12">
        <f>AI125</f>
        <v>13088</v>
      </c>
      <c r="AJ265" s="12">
        <f>AJ125</f>
        <v>10616.2526049774</v>
      </c>
      <c r="AK265" s="12">
        <f>AK125</f>
        <v>11379.9863477501</v>
      </c>
      <c r="AL265" s="12">
        <f>SUM(AH265:AK265)</f>
        <v>44394.2389527276</v>
      </c>
      <c r="AM265" s="12">
        <f>AM125</f>
        <v>13074.8152398909</v>
      </c>
      <c r="AN265" s="12">
        <f>AN125</f>
        <v>17437.9978259165</v>
      </c>
      <c r="AO265" s="12">
        <f>AO125</f>
        <v>14742.6500157787</v>
      </c>
      <c r="AP265" s="12">
        <f>AP125</f>
        <v>15803.2369944325</v>
      </c>
      <c r="AQ265" s="12">
        <f>SUM(AM265:AP265)</f>
        <v>61058.7000760186</v>
      </c>
      <c r="AR265" s="12">
        <f>AR125</f>
        <v>18091.4494541964</v>
      </c>
      <c r="AS265" s="12">
        <f>AS125</f>
        <v>24128.7276693165</v>
      </c>
      <c r="AT265" s="12">
        <f>AT125</f>
        <v>20399.210442961</v>
      </c>
      <c r="AU265" s="12">
        <f>AU125</f>
        <v>21866.7306613389</v>
      </c>
      <c r="AV265" s="12">
        <f>SUM(AR265:AU265)</f>
        <v>84486.1182278128</v>
      </c>
      <c r="AW265" s="12">
        <f>AW125</f>
        <v>24942.4428242466</v>
      </c>
      <c r="AX265" s="12">
        <f>AX125</f>
        <v>33265.9586970875</v>
      </c>
      <c r="AY265" s="12">
        <f>AY125</f>
        <v>28124.1224713097</v>
      </c>
      <c r="AZ265" s="12">
        <f>AZ125</f>
        <v>30147.373246931</v>
      </c>
      <c r="BA265" s="12">
        <f>SUM(AW265:AZ265)</f>
        <v>116479.897239575</v>
      </c>
      <c r="BB265" s="12">
        <f>BB125</f>
        <v>34263.104838122</v>
      </c>
      <c r="BC265" s="12">
        <f>BC125</f>
        <v>45697.0088459398</v>
      </c>
      <c r="BD265" s="12">
        <f>BD125</f>
        <v>38633.736218408</v>
      </c>
      <c r="BE265" s="12">
        <f>BE125</f>
        <v>41413.0491320387</v>
      </c>
      <c r="BF265" s="12">
        <f>SUM(BB265:BE265)</f>
        <v>160006.899034509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>
      <c r="C266" s="10" t="inlineStr">
        <is>
          <t>Depreciation &amp; amortization</t>
        </is>
      </c>
      <c r="D266" s="12" t="n"/>
      <c r="E266" s="12" t="n"/>
      <c r="F266" s="12" t="n"/>
      <c r="G266" s="12" t="n"/>
      <c r="H266" s="12" t="n"/>
      <c r="I266" s="12" t="n"/>
      <c r="J266" s="12">
        <f>-J58</f>
        <v>1503</v>
      </c>
      <c r="K266" s="12">
        <f>-K58</f>
        <v>1501</v>
      </c>
      <c r="L266" s="12">
        <f>-L58</f>
        <v>1287</v>
      </c>
      <c r="M266" s="12" t="n"/>
      <c r="N266" s="12">
        <f>-N58</f>
        <v>1264</v>
      </c>
      <c r="O266" s="12">
        <f>-O58</f>
        <v>1217</v>
      </c>
      <c r="P266" s="12">
        <f>-P58</f>
        <v>1216</v>
      </c>
      <c r="Q266" s="12">
        <f>-Q58</f>
        <v>1032</v>
      </c>
      <c r="R266" s="12">
        <f>SUM(N266:Q266)</f>
        <v>4729</v>
      </c>
      <c r="S266" s="12">
        <f>-S58</f>
        <v>939</v>
      </c>
      <c r="T266" s="12">
        <f>-T58</f>
        <v>932</v>
      </c>
      <c r="U266" s="12">
        <f>-U58</f>
        <v>932</v>
      </c>
      <c r="V266" s="12">
        <f>-V58</f>
        <v>2345</v>
      </c>
      <c r="W266" s="12">
        <f>SUM(S266:V266)</f>
        <v>5148</v>
      </c>
      <c r="X266" s="12">
        <f>-X58</f>
        <v>2530</v>
      </c>
      <c r="Y266" s="12">
        <f>-Y58</f>
        <v>2524</v>
      </c>
      <c r="Z266" s="12">
        <f>-Z58</f>
        <v>2611</v>
      </c>
      <c r="AA266" s="12">
        <f>-AA58</f>
        <v>2174</v>
      </c>
      <c r="AB266" s="12">
        <f>SUM(X266:AA266)</f>
        <v>9839</v>
      </c>
      <c r="AC266" s="12">
        <f>-AC58</f>
        <v>2131</v>
      </c>
      <c r="AD266" s="12">
        <f>-AD58</f>
        <v>2168</v>
      </c>
      <c r="AE266" s="12">
        <f>-AE58</f>
        <v>2233</v>
      </c>
      <c r="AF266" s="12">
        <f>-AF58</f>
        <v>2153</v>
      </c>
      <c r="AG266" s="12">
        <f>SUM(AC266:AF266)</f>
        <v>8685</v>
      </c>
      <c r="AH266" s="12">
        <f>-AH58</f>
        <v>2130</v>
      </c>
      <c r="AI266" s="12">
        <f>-AI58</f>
        <v>2177</v>
      </c>
      <c r="AJ266" s="12">
        <f>-AJ58</f>
        <v>2847.58810860545</v>
      </c>
      <c r="AK266" s="12">
        <f>-AK58</f>
        <v>3052.44373939938</v>
      </c>
      <c r="AL266" s="12">
        <f>SUM(AH266:AK266)</f>
        <v>10207.0318480048</v>
      </c>
      <c r="AM266" s="12">
        <f>-AM58</f>
        <v>3507.04620403159</v>
      </c>
      <c r="AN266" s="12">
        <f>-AN58</f>
        <v>4677.37883551173</v>
      </c>
      <c r="AO266" s="12">
        <f>-AO58</f>
        <v>3954.40806057879</v>
      </c>
      <c r="AP266" s="12">
        <f>-AP58</f>
        <v>4238.8883740126</v>
      </c>
      <c r="AQ266" s="12">
        <f>SUM(AM266:AP266)</f>
        <v>16377.7214741347</v>
      </c>
      <c r="AR266" s="12">
        <f>-AR58</f>
        <v>4852.65359163106</v>
      </c>
      <c r="AS266" s="12">
        <f>-AS58</f>
        <v>6472.02742281312</v>
      </c>
      <c r="AT266" s="12">
        <f>-AT58</f>
        <v>5471.66229400769</v>
      </c>
      <c r="AU266" s="12">
        <f>-AU58</f>
        <v>5865.29395279393</v>
      </c>
      <c r="AV266" s="12">
        <f>SUM(AR266:AU266)</f>
        <v>22661.6372612458</v>
      </c>
      <c r="AW266" s="12">
        <f>-AW58</f>
        <v>6690.28952387546</v>
      </c>
      <c r="AX266" s="12">
        <f>-AX58</f>
        <v>8922.89887325906</v>
      </c>
      <c r="AY266" s="12">
        <f>-AY58</f>
        <v>7543.70866012709</v>
      </c>
      <c r="AZ266" s="12">
        <f>-AZ58</f>
        <v>8086.40343800801</v>
      </c>
      <c r="BA266" s="12">
        <f>SUM(AW266:AZ266)</f>
        <v>31243.3004952696</v>
      </c>
      <c r="BB266" s="12">
        <f>-BB58</f>
        <v>9190.36250655846</v>
      </c>
      <c r="BC266" s="12">
        <f>-BC58</f>
        <v>12257.2685325448</v>
      </c>
      <c r="BD266" s="12">
        <f>-BD58</f>
        <v>10362.6931215784</v>
      </c>
      <c r="BE266" s="12">
        <f>-BE58</f>
        <v>11108.185782448</v>
      </c>
      <c r="BF266" s="12">
        <f>SUM(BB266:BE266)</f>
        <v>42918.5099431297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>
      <c r="C267" s="10" t="inlineStr">
        <is>
          <t xml:space="preserve">Changes in working capital </t>
        </is>
      </c>
      <c r="D267" s="12" t="n"/>
      <c r="E267" s="12" t="n"/>
      <c r="F267" s="12" t="n"/>
      <c r="G267" s="12" t="n"/>
      <c r="H267" s="12" t="n"/>
      <c r="I267" s="12" t="n"/>
      <c r="J267" s="12">
        <f>SUM(J268:J277)</f>
        <v>260</v>
      </c>
      <c r="K267" s="12">
        <f>SUM(K268:K277)</f>
        <v>-123</v>
      </c>
      <c r="L267" s="12">
        <f>SUM(L268:L277)</f>
        <v>-703</v>
      </c>
      <c r="M267" s="12" t="n"/>
      <c r="N267" s="12">
        <f>SUM(N268:N277)</f>
        <v>-62</v>
      </c>
      <c r="O267" s="12">
        <f>SUM(O268:O277)</f>
        <v>11</v>
      </c>
      <c r="P267" s="12">
        <f>SUM(P268:P277)</f>
        <v>-290</v>
      </c>
      <c r="Q267" s="12">
        <f>SUM(Q268:Q277)</f>
        <v>-345</v>
      </c>
      <c r="R267" s="12">
        <f>SUM(N267:Q267)</f>
        <v>-686</v>
      </c>
      <c r="S267" s="12">
        <f>SUM(S268:S277)</f>
        <v>-103</v>
      </c>
      <c r="T267" s="12">
        <f>SUM(T268:T277)</f>
        <v>-128</v>
      </c>
      <c r="U267" s="12">
        <f>SUM(U268:U277)</f>
        <v>-809</v>
      </c>
      <c r="V267" s="12">
        <f>SUM(V268:V277)</f>
        <v>3469</v>
      </c>
      <c r="W267" s="12">
        <f>SUM(S267:V267)</f>
        <v>2429</v>
      </c>
      <c r="X267" s="12">
        <f>SUM(X268:X277)</f>
        <v>-356</v>
      </c>
      <c r="Y267" s="12">
        <f>SUM(Y268:Y277)</f>
        <v>3813</v>
      </c>
      <c r="Z267" s="12">
        <f>SUM(Z268:Z277)</f>
        <v>-886</v>
      </c>
      <c r="AA267" s="12">
        <f>SUM(AA268:AA277)</f>
        <v>-1605</v>
      </c>
      <c r="AB267" s="12">
        <f>SUM(X267:AA267)</f>
        <v>966</v>
      </c>
      <c r="AC267" s="12">
        <f>SUM(AC268:AC277)</f>
        <v>-1217</v>
      </c>
      <c r="AD267" s="12">
        <f>SUM(AD268:AD277)</f>
        <v>-1332</v>
      </c>
      <c r="AE267" s="12">
        <f>SUM(AE268:AE277)</f>
        <v>-1058</v>
      </c>
      <c r="AF267" s="12">
        <f>SUM(AF268:AF277)</f>
        <v>-3248</v>
      </c>
      <c r="AG267" s="12">
        <f>SUM(AC267:AF267)</f>
        <v>-6855</v>
      </c>
      <c r="AH267" s="12">
        <f>SUM(AH268:AH277)</f>
        <v>-2694</v>
      </c>
      <c r="AI267" s="12">
        <f>SUM(AI268:AI277)</f>
        <v>-3637</v>
      </c>
      <c r="AJ267" s="12">
        <f>SUM(AJ268:AJ277)</f>
        <v>3061.99910051293</v>
      </c>
      <c r="AK267" s="12">
        <f>SUM(AK268:AK277)</f>
        <v>-32.6525709621387</v>
      </c>
      <c r="AL267" s="12">
        <f>SUM(AH267:AK267)</f>
        <v>-3301.65347044921</v>
      </c>
      <c r="AM267" s="12">
        <f>SUM(AM268:AM277)</f>
        <v>-1069.19250803426</v>
      </c>
      <c r="AN267" s="12">
        <f>SUM(AN268:AN277)</f>
        <v>-3153.39475423244</v>
      </c>
      <c r="AO267" s="12">
        <f>SUM(AO268:AO277)</f>
        <v>5373.11679202591</v>
      </c>
      <c r="AP267" s="12">
        <f>SUM(AP268:AP277)</f>
        <v>1848.87020138953</v>
      </c>
      <c r="AQ267" s="12">
        <f>SUM(AM267:AP267)</f>
        <v>2999.39973114874</v>
      </c>
      <c r="AR267" s="12">
        <f>SUM(AR268:AR277)</f>
        <v>1390.67091332704</v>
      </c>
      <c r="AS267" s="12">
        <f>SUM(AS268:AS277)</f>
        <v>-1023.27965026002</v>
      </c>
      <c r="AT267" s="12">
        <f>SUM(AT268:AT277)</f>
        <v>12356.7417179269</v>
      </c>
      <c r="AU267" s="12">
        <f>SUM(AU268:AU277)</f>
        <v>9353.74565851211</v>
      </c>
      <c r="AV267" s="12">
        <f>SUM(AR267:AU267)</f>
        <v>22077.878639506</v>
      </c>
      <c r="AW267" s="12">
        <f>SUM(AW268:AW277)</f>
        <v>10973.9843579832</v>
      </c>
      <c r="AX267" s="12">
        <f>SUM(AX268:AX277)</f>
        <v>11664.2308042452</v>
      </c>
      <c r="AY267" s="12">
        <f>SUM(AY268:AY277)</f>
        <v>34595.2363937592</v>
      </c>
      <c r="AZ267" s="12">
        <f>SUM(AZ268:AZ277)</f>
        <v>37049.7736016473</v>
      </c>
      <c r="BA267" s="12">
        <f>SUM(AW267:AZ267)</f>
        <v>94283.225157635</v>
      </c>
      <c r="BB267" s="12">
        <f>SUM(BB268:BB277)</f>
        <v>48053.5032007018</v>
      </c>
      <c r="BC267" s="12">
        <f>SUM(BC268:BC277)</f>
        <v>61056.1315545</v>
      </c>
      <c r="BD267" s="12">
        <f>SUM(BD268:BD277)</f>
        <v>109242.466109138</v>
      </c>
      <c r="BE267" s="12">
        <f>SUM(BE268:BE277)</f>
        <v>135482.23847677</v>
      </c>
      <c r="BF267" s="12">
        <f>SUM(BB267:BE267)</f>
        <v>353834.33934111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 hidden="1" outlineLevel="1">
      <c r="C268" s="10" t="inlineStr">
        <is>
          <t>Accounts receivable</t>
        </is>
      </c>
      <c r="D268" s="12" t="n"/>
      <c r="E268" s="12" t="n"/>
      <c r="F268" s="12" t="n"/>
      <c r="G268" s="12" t="n"/>
      <c r="H268" s="12" t="n"/>
      <c r="I268" s="12" t="n"/>
      <c r="J268" s="12">
        <f>(J133-I133)*-1</f>
        <v>191</v>
      </c>
      <c r="K268" s="12">
        <f>(K133-J133)*-1</f>
        <v>163</v>
      </c>
      <c r="L268" s="12">
        <f>(L133-K133)*-1</f>
        <v>-468</v>
      </c>
      <c r="M268" s="12" t="n"/>
      <c r="N268" s="12">
        <f>(N133-M133)*-1</f>
        <v>-544</v>
      </c>
      <c r="O268" s="12">
        <f>(O133-N133)*-1</f>
        <v>375</v>
      </c>
      <c r="P268" s="12">
        <f>(P133-O133)*-1</f>
        <v>-250</v>
      </c>
      <c r="Q268" s="12">
        <f>(Q133-P133)*-1</f>
        <v>-276</v>
      </c>
      <c r="R268" s="12">
        <f>SUM(N268:Q268)</f>
        <v>-695</v>
      </c>
      <c r="S268" s="12">
        <f>(S133-R133)*-1</f>
        <v>203</v>
      </c>
      <c r="T268" s="12">
        <f>(T133-S133)*-1</f>
        <v>117</v>
      </c>
      <c r="U268" s="12">
        <f>(U133-T133)*-1</f>
        <v>-240</v>
      </c>
      <c r="V268" s="12">
        <f>(V133-U133)*-1</f>
        <v>-1815</v>
      </c>
      <c r="W268" s="12">
        <f>SUM(S268:V268)</f>
        <v>-1735</v>
      </c>
      <c r="X268" s="12">
        <f>(X133-W133)*-1</f>
        <v>-531</v>
      </c>
      <c r="Y268" s="12">
        <f>(Y133-X133)*-1</f>
        <v>835</v>
      </c>
      <c r="Z268" s="12">
        <f>(Z133-Y133)*-1</f>
        <v>249</v>
      </c>
      <c r="AA268" s="12">
        <f>(AA133-Z133)*-1</f>
        <v>-539</v>
      </c>
      <c r="AB268" s="12">
        <f>SUM(X268:AA268)</f>
        <v>14</v>
      </c>
      <c r="AC268" s="12">
        <f>(AC133-AB133)*-1</f>
        <v>-608</v>
      </c>
      <c r="AD268" s="12">
        <f>(AD133-AC133)*-1</f>
        <v>-931</v>
      </c>
      <c r="AE268" s="12">
        <f>(AE133-AD133)*-1</f>
        <v>-651</v>
      </c>
      <c r="AF268" s="12">
        <f>(AF133-AE133)*-1</f>
        <v>-1315</v>
      </c>
      <c r="AG268" s="12">
        <f>SUM(AC268:AF268)</f>
        <v>-3505</v>
      </c>
      <c r="AH268" s="12">
        <f>(AH133-AG133)*-1</f>
        <v>-2370</v>
      </c>
      <c r="AI268" s="12">
        <f>(AI133-AH133)*-1</f>
        <v>-2877</v>
      </c>
      <c r="AJ268" s="12">
        <f>(AJ133-AI133)*-1</f>
        <v>3133.99341719715</v>
      </c>
      <c r="AK268" s="12">
        <f>(AK133-AJ133)*-1</f>
        <v>-760.622621776991</v>
      </c>
      <c r="AL268" s="12">
        <f>SUM(AH268:AK268)</f>
        <v>-2873.62920457984</v>
      </c>
      <c r="AM268" s="12">
        <f>(AM133-AL133)*-1</f>
        <v>-1977.29276096955</v>
      </c>
      <c r="AN268" s="12">
        <f>(AN133-AM133)*-1</f>
        <v>-4246.8867450417</v>
      </c>
      <c r="AO268" s="12">
        <f>(AO133-AN133)*-1</f>
        <v>2875.21387560148</v>
      </c>
      <c r="AP268" s="12">
        <f>(AP133-AO133)*-1</f>
        <v>-1056.26660594763</v>
      </c>
      <c r="AQ268" s="12">
        <f>SUM(AM268:AP268)</f>
        <v>-4405.2322363574</v>
      </c>
      <c r="AR268" s="12">
        <f>(AR133-AQ133)*-1</f>
        <v>-2476.88855428403</v>
      </c>
      <c r="AS268" s="12">
        <f>(AS133-AR133)*-1</f>
        <v>-6078.75841549639</v>
      </c>
      <c r="AT268" s="12">
        <f>(AT133-AS133)*-1</f>
        <v>3978.39552957863</v>
      </c>
      <c r="AU268" s="12">
        <f>(AU133-AT133)*-1</f>
        <v>-1461.54217562899</v>
      </c>
      <c r="AV268" s="12">
        <f>SUM(AR268:AU268)</f>
        <v>-6038.79361583078</v>
      </c>
      <c r="AW268" s="12">
        <f>(AW133-AV133)*-1</f>
        <v>-3615.20166603912</v>
      </c>
      <c r="AX268" s="12">
        <f>(AX133-AW133)*-1</f>
        <v>-8101.66169660823</v>
      </c>
      <c r="AY268" s="12">
        <f>(AY133-AX133)*-1</f>
        <v>5484.96146093679</v>
      </c>
      <c r="AZ268" s="12">
        <f>(AZ133-AY133)*-1</f>
        <v>-2015.00892690471</v>
      </c>
      <c r="BA268" s="12">
        <f>SUM(AW268:AZ268)</f>
        <v>-8246.91082861527</v>
      </c>
      <c r="BB268" s="12">
        <f>(BB133-BA133)*-1</f>
        <v>-4857.26658642198</v>
      </c>
      <c r="BC268" s="12">
        <f>(BC133-BB133)*-1</f>
        <v>-11129.1458511049</v>
      </c>
      <c r="BD268" s="12">
        <f>(BD133-BC133)*-1</f>
        <v>7534.6192389162</v>
      </c>
      <c r="BE268" s="12">
        <f>(BE133-BD133)*-1</f>
        <v>-2767.99119471863</v>
      </c>
      <c r="BF268" s="12">
        <f>SUM(BB268:BE268)</f>
        <v>-11219.7843933293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 hidden="1" outlineLevel="1">
      <c r="C269" s="10" t="inlineStr">
        <is>
          <t>Inventories</t>
        </is>
      </c>
      <c r="D269" s="12" t="n"/>
      <c r="E269" s="12" t="n"/>
      <c r="F269" s="12" t="n"/>
      <c r="G269" s="12" t="n"/>
      <c r="H269" s="12" t="n"/>
      <c r="I269" s="12" t="n"/>
      <c r="J269" s="12">
        <f>(J137-I137)*-1</f>
        <v>-156</v>
      </c>
      <c r="K269" s="12">
        <f>(K137-J137)*-1</f>
        <v>-137</v>
      </c>
      <c r="L269" s="12">
        <f>(L137-K137)*-1</f>
        <v>-223</v>
      </c>
      <c r="M269" s="12" t="n"/>
      <c r="N269" s="12">
        <f>(N137-M137)*-1</f>
        <v>-148</v>
      </c>
      <c r="O269" s="12">
        <f>(O137-N137)*-1</f>
        <v>-170</v>
      </c>
      <c r="P269" s="12">
        <f>(P137-O137)*-1</f>
        <v>-87</v>
      </c>
      <c r="Q269" s="12">
        <f>(Q137-P137)*-1</f>
        <v>26</v>
      </c>
      <c r="R269" s="12">
        <f>SUM(N269:Q269)</f>
        <v>-379</v>
      </c>
      <c r="S269" s="12">
        <f>(S137-R137)*-1</f>
        <v>13</v>
      </c>
      <c r="T269" s="12">
        <f>(T137-S137)*-1</f>
        <v>44</v>
      </c>
      <c r="U269" s="12">
        <f>(U137-T137)*-1</f>
        <v>-56</v>
      </c>
      <c r="V269" s="12">
        <f>(V137-U137)*-1</f>
        <v>-22</v>
      </c>
      <c r="W269" s="12">
        <f>SUM(S269:V269)</f>
        <v>-21</v>
      </c>
      <c r="X269" s="12">
        <f>(X137-W137)*-1</f>
        <v>78</v>
      </c>
      <c r="Y269" s="12">
        <f>(Y137-X137)*-1</f>
        <v>-52</v>
      </c>
      <c r="Z269" s="12">
        <f>(Z137-Y137)*-1</f>
        <v>134</v>
      </c>
      <c r="AA269" s="12">
        <f>(AA137-Z137)*-1</f>
        <v>-148</v>
      </c>
      <c r="AB269" s="12">
        <f>SUM(X269:AA269)</f>
        <v>12</v>
      </c>
      <c r="AC269" s="12">
        <f>(AC137-AB137)*-1</f>
        <v>-109</v>
      </c>
      <c r="AD269" s="12">
        <f>(AD137-AC137)*-1</f>
        <v>-163</v>
      </c>
      <c r="AE269" s="12">
        <f>(AE137-AD137)*-1</f>
        <v>-90</v>
      </c>
      <c r="AF269" s="12">
        <f>(AF137-AE137)*-1</f>
        <v>-692</v>
      </c>
      <c r="AG269" s="12">
        <f>SUM(AC269:AF269)</f>
        <v>-1054</v>
      </c>
      <c r="AH269" s="12">
        <f>(AH137-AG137)*-1</f>
        <v>-1366</v>
      </c>
      <c r="AI269" s="12">
        <f>(AI137-AH137)*-1</f>
        <v>-195</v>
      </c>
      <c r="AJ269" s="12">
        <f>(AJ137-AI137)*-1</f>
        <v>807.063953925021</v>
      </c>
      <c r="AK269" s="12">
        <f>(AK137-AJ137)*-1</f>
        <v>-267.324624796735</v>
      </c>
      <c r="AL269" s="12">
        <f>SUM(AH269:AK269)</f>
        <v>-1021.26067087171</v>
      </c>
      <c r="AM269" s="12">
        <f>(AM137-AL137)*-1</f>
        <v>-694.92943058228</v>
      </c>
      <c r="AN269" s="12">
        <f>(AN137-AM137)*-1</f>
        <v>-1492.58958801433</v>
      </c>
      <c r="AO269" s="12">
        <f>(AO137-AN137)*-1</f>
        <v>1010.5082974128</v>
      </c>
      <c r="AP269" s="12">
        <f>(AP137-AO137)*-1</f>
        <v>-371.230181743212</v>
      </c>
      <c r="AQ269" s="12">
        <f>SUM(AM269:AP269)</f>
        <v>-1548.24090292702</v>
      </c>
      <c r="AR269" s="12">
        <f>(AR137-AQ137)*-1</f>
        <v>-870.514870949286</v>
      </c>
      <c r="AS269" s="12">
        <f>(AS137-AR137)*-1</f>
        <v>-2136.41004898879</v>
      </c>
      <c r="AT269" s="12">
        <f>(AT137-AS137)*-1</f>
        <v>1398.22700743895</v>
      </c>
      <c r="AU269" s="12">
        <f>(AU137-AT137)*-1</f>
        <v>-513.666307756982</v>
      </c>
      <c r="AV269" s="12">
        <f>SUM(AR269:AU269)</f>
        <v>-2122.36422025611</v>
      </c>
      <c r="AW269" s="12">
        <f>(AW137-AV137)*-1</f>
        <v>-1270.58070752698</v>
      </c>
      <c r="AX269" s="12">
        <f>(AX137-AW137)*-1</f>
        <v>-2847.36952500324</v>
      </c>
      <c r="AY269" s="12">
        <f>(AY137-AX137)*-1</f>
        <v>1927.71713934032</v>
      </c>
      <c r="AZ269" s="12">
        <f>(AZ137-AY137)*-1</f>
        <v>-708.184965743503</v>
      </c>
      <c r="BA269" s="12">
        <f>SUM(AW269:AZ269)</f>
        <v>-2898.41805893341</v>
      </c>
      <c r="BB269" s="12">
        <f>(BB137-BA137)*-1</f>
        <v>-1707.11063617783</v>
      </c>
      <c r="BC269" s="12">
        <f>(BC137-BB137)*-1</f>
        <v>-3911.39397353741</v>
      </c>
      <c r="BD269" s="12">
        <f>(BD137-BC137)*-1</f>
        <v>2648.07961709569</v>
      </c>
      <c r="BE269" s="12">
        <f>(BE137-BD137)*-1</f>
        <v>-972.82434992549</v>
      </c>
      <c r="BF269" s="12">
        <f>SUM(BB269:BE269)</f>
        <v>-3943.24934254505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 hidden="1" outlineLevel="1">
      <c r="C270" s="10" t="inlineStr">
        <is>
          <t>Deferred income taxes</t>
        </is>
      </c>
      <c r="D270" s="12" t="n"/>
      <c r="E270" s="12" t="n"/>
      <c r="F270" s="12" t="n"/>
      <c r="G270" s="12" t="n"/>
      <c r="H270" s="12" t="n"/>
      <c r="I270" s="12" t="n"/>
      <c r="J270" s="12">
        <f>(J141-I141)*-1</f>
        <v>0</v>
      </c>
      <c r="K270" s="12">
        <f>(K141-J141)*-1</f>
        <v>0</v>
      </c>
      <c r="L270" s="12">
        <f>(L141-K141)*-1</f>
        <v>0</v>
      </c>
      <c r="M270" s="12" t="n"/>
      <c r="N270" s="12">
        <f>(N141-M141)*-1</f>
        <v>0</v>
      </c>
      <c r="O270" s="12">
        <f>(O141-N141)*-1</f>
        <v>0</v>
      </c>
      <c r="P270" s="12">
        <f>(P141-O141)*-1</f>
        <v>0</v>
      </c>
      <c r="Q270" s="12">
        <f>(Q141-P141)*-1</f>
        <v>0</v>
      </c>
      <c r="R270" s="12">
        <f>SUM(N270:Q270)</f>
        <v>0</v>
      </c>
      <c r="S270" s="12">
        <f>(S141-R141)*-1</f>
        <v>0</v>
      </c>
      <c r="T270" s="12">
        <f>(T141-S141)*-1</f>
        <v>0</v>
      </c>
      <c r="U270" s="12">
        <f>(U141-T141)*-1</f>
        <v>0</v>
      </c>
      <c r="V270" s="12">
        <f>(V141-U141)*-1</f>
        <v>0</v>
      </c>
      <c r="W270" s="12">
        <f>SUM(S270:V270)</f>
        <v>0</v>
      </c>
      <c r="X270" s="12">
        <f>(X141-W141)*-1</f>
        <v>0</v>
      </c>
      <c r="Y270" s="12">
        <f>(Y141-X141)*-1</f>
        <v>0</v>
      </c>
      <c r="Z270" s="12">
        <f>(Z141-Y141)*-1</f>
        <v>0</v>
      </c>
      <c r="AA270" s="12">
        <f>(AA141-Z141)*-1</f>
        <v>0</v>
      </c>
      <c r="AB270" s="12">
        <f>SUM(X270:AA270)</f>
        <v>0</v>
      </c>
      <c r="AC270" s="12">
        <f>(AC141-AB141)*-1</f>
        <v>0</v>
      </c>
      <c r="AD270" s="12">
        <f>(AD141-AC141)*-1</f>
        <v>0</v>
      </c>
      <c r="AE270" s="12">
        <f>(AE141-AD141)*-1</f>
        <v>0</v>
      </c>
      <c r="AF270" s="12">
        <f>(AF141-AE141)*-1</f>
        <v>0</v>
      </c>
      <c r="AG270" s="12">
        <f>SUM(AC270:AF270)</f>
        <v>0</v>
      </c>
      <c r="AH270" s="12">
        <f>(AH141-AG141)*-1</f>
        <v>0</v>
      </c>
      <c r="AI270" s="12">
        <f>(AI141-AH141)*-1</f>
        <v>0</v>
      </c>
      <c r="AJ270" s="12">
        <f>(AJ141-AI141)*-1</f>
        <v>0</v>
      </c>
      <c r="AK270" s="12">
        <f>(AK141-AJ141)*-1</f>
        <v>0</v>
      </c>
      <c r="AL270" s="12">
        <f>SUM(AH270:AK270)</f>
        <v>0</v>
      </c>
      <c r="AM270" s="12">
        <f>(AM141-AL141)*-1</f>
        <v>0</v>
      </c>
      <c r="AN270" s="12">
        <f>(AN141-AM141)*-1</f>
        <v>0</v>
      </c>
      <c r="AO270" s="12">
        <f>(AO141-AN141)*-1</f>
        <v>0</v>
      </c>
      <c r="AP270" s="12">
        <f>(AP141-AO141)*-1</f>
        <v>0</v>
      </c>
      <c r="AQ270" s="12">
        <f>SUM(AM270:AP270)</f>
        <v>0</v>
      </c>
      <c r="AR270" s="12">
        <f>(AR141-AQ141)*-1</f>
        <v>0</v>
      </c>
      <c r="AS270" s="12">
        <f>(AS141-AR141)*-1</f>
        <v>0</v>
      </c>
      <c r="AT270" s="12">
        <f>(AT141-AS141)*-1</f>
        <v>0</v>
      </c>
      <c r="AU270" s="12">
        <f>(AU141-AT141)*-1</f>
        <v>0</v>
      </c>
      <c r="AV270" s="12">
        <f>SUM(AR270:AU270)</f>
        <v>0</v>
      </c>
      <c r="AW270" s="12">
        <f>(AW141-AV141)*-1</f>
        <v>0</v>
      </c>
      <c r="AX270" s="12">
        <f>(AX141-AW141)*-1</f>
        <v>0</v>
      </c>
      <c r="AY270" s="12">
        <f>(AY141-AX141)*-1</f>
        <v>0</v>
      </c>
      <c r="AZ270" s="12">
        <f>(AZ141-AY141)*-1</f>
        <v>0</v>
      </c>
      <c r="BA270" s="12">
        <f>SUM(AW270:AZ270)</f>
        <v>0</v>
      </c>
      <c r="BB270" s="12">
        <f>(BB141-BA141)*-1</f>
        <v>0</v>
      </c>
      <c r="BC270" s="12">
        <f>(BC141-BB141)*-1</f>
        <v>0</v>
      </c>
      <c r="BD270" s="12">
        <f>(BD141-BC141)*-1</f>
        <v>0</v>
      </c>
      <c r="BE270" s="12">
        <f>(BE141-BD141)*-1</f>
        <v>0</v>
      </c>
      <c r="BF270" s="12">
        <f>SUM(BB270:BE270)</f>
        <v>0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hidden="1" outlineLevel="1">
      <c r="C271" s="10" t="inlineStr">
        <is>
          <t>Prepaid expenses</t>
        </is>
      </c>
      <c r="D271" s="12" t="n"/>
      <c r="E271" s="12" t="n"/>
      <c r="F271" s="12" t="n"/>
      <c r="G271" s="12" t="n"/>
      <c r="H271" s="12" t="n"/>
      <c r="I271" s="12" t="n"/>
      <c r="J271" s="12">
        <f>(J142-I142)*-1</f>
        <v>0</v>
      </c>
      <c r="K271" s="12">
        <f>(K142-J142)*-1</f>
        <v>0</v>
      </c>
      <c r="L271" s="12">
        <f>(L142-K142)*-1</f>
        <v>0</v>
      </c>
      <c r="M271" s="12" t="n"/>
      <c r="N271" s="12">
        <f>(N142-M142)*-1</f>
        <v>0</v>
      </c>
      <c r="O271" s="12">
        <f>(O142-N142)*-1</f>
        <v>0</v>
      </c>
      <c r="P271" s="12">
        <f>(P142-O142)*-1</f>
        <v>0</v>
      </c>
      <c r="Q271" s="12">
        <f>(Q142-P142)*-1</f>
        <v>0</v>
      </c>
      <c r="R271" s="12">
        <f>SUM(N271:Q271)</f>
        <v>0</v>
      </c>
      <c r="S271" s="12">
        <f>(S142-R142)*-1</f>
        <v>0</v>
      </c>
      <c r="T271" s="12">
        <f>(T142-S142)*-1</f>
        <v>0</v>
      </c>
      <c r="U271" s="12">
        <f>(U142-T142)*-1</f>
        <v>0</v>
      </c>
      <c r="V271" s="12">
        <f>(V142-U142)*-1</f>
        <v>0</v>
      </c>
      <c r="W271" s="12">
        <f>SUM(S271:V271)</f>
        <v>0</v>
      </c>
      <c r="X271" s="12">
        <f>(X142-W142)*-1</f>
        <v>0</v>
      </c>
      <c r="Y271" s="12">
        <f>(Y142-X142)*-1</f>
        <v>0</v>
      </c>
      <c r="Z271" s="12">
        <f>(Z142-Y142)*-1</f>
        <v>0</v>
      </c>
      <c r="AA271" s="12">
        <f>(AA142-Z142)*-1</f>
        <v>0</v>
      </c>
      <c r="AB271" s="12">
        <f>SUM(X271:AA271)</f>
        <v>0</v>
      </c>
      <c r="AC271" s="12">
        <f>(AC142-AB142)*-1</f>
        <v>0</v>
      </c>
      <c r="AD271" s="12">
        <f>(AD142-AC142)*-1</f>
        <v>0</v>
      </c>
      <c r="AE271" s="12">
        <f>(AE142-AD142)*-1</f>
        <v>0</v>
      </c>
      <c r="AF271" s="12">
        <f>(AF142-AE142)*-1</f>
        <v>0</v>
      </c>
      <c r="AG271" s="12">
        <f>SUM(AC271:AF271)</f>
        <v>0</v>
      </c>
      <c r="AH271" s="12">
        <f>(AH142-AG142)*-1</f>
        <v>0</v>
      </c>
      <c r="AI271" s="12">
        <f>(AI142-AH142)*-1</f>
        <v>0</v>
      </c>
      <c r="AJ271" s="12">
        <f>(AJ142-AI142)*-1</f>
        <v>0</v>
      </c>
      <c r="AK271" s="12">
        <f>(AK142-AJ142)*-1</f>
        <v>0</v>
      </c>
      <c r="AL271" s="12">
        <f>SUM(AH271:AK271)</f>
        <v>0</v>
      </c>
      <c r="AM271" s="12">
        <f>(AM142-AL142)*-1</f>
        <v>0</v>
      </c>
      <c r="AN271" s="12">
        <f>(AN142-AM142)*-1</f>
        <v>0</v>
      </c>
      <c r="AO271" s="12">
        <f>(AO142-AN142)*-1</f>
        <v>0</v>
      </c>
      <c r="AP271" s="12">
        <f>(AP142-AO142)*-1</f>
        <v>0</v>
      </c>
      <c r="AQ271" s="12">
        <f>SUM(AM271:AP271)</f>
        <v>0</v>
      </c>
      <c r="AR271" s="12">
        <f>(AR142-AQ142)*-1</f>
        <v>0</v>
      </c>
      <c r="AS271" s="12">
        <f>(AS142-AR142)*-1</f>
        <v>0</v>
      </c>
      <c r="AT271" s="12">
        <f>(AT142-AS142)*-1</f>
        <v>0</v>
      </c>
      <c r="AU271" s="12">
        <f>(AU142-AT142)*-1</f>
        <v>0</v>
      </c>
      <c r="AV271" s="12">
        <f>SUM(AR271:AU271)</f>
        <v>0</v>
      </c>
      <c r="AW271" s="12">
        <f>(AW142-AV142)*-1</f>
        <v>0</v>
      </c>
      <c r="AX271" s="12">
        <f>(AX142-AW142)*-1</f>
        <v>0</v>
      </c>
      <c r="AY271" s="12">
        <f>(AY142-AX142)*-1</f>
        <v>0</v>
      </c>
      <c r="AZ271" s="12">
        <f>(AZ142-AY142)*-1</f>
        <v>0</v>
      </c>
      <c r="BA271" s="12">
        <f>SUM(AW271:AZ271)</f>
        <v>0</v>
      </c>
      <c r="BB271" s="12">
        <f>(BB142-BA142)*-1</f>
        <v>0</v>
      </c>
      <c r="BC271" s="12">
        <f>(BC142-BB142)*-1</f>
        <v>0</v>
      </c>
      <c r="BD271" s="12">
        <f>(BD142-BC142)*-1</f>
        <v>0</v>
      </c>
      <c r="BE271" s="12">
        <f>(BE142-BD142)*-1</f>
        <v>0</v>
      </c>
      <c r="BF271" s="12">
        <f>SUM(BB271:BE271)</f>
        <v>0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 hidden="1" outlineLevel="1">
      <c r="C272" s="10" t="inlineStr">
        <is>
          <t>Other current assets</t>
        </is>
      </c>
      <c r="D272" s="12" t="n"/>
      <c r="E272" s="12" t="n"/>
      <c r="F272" s="12" t="n"/>
      <c r="G272" s="12" t="n"/>
      <c r="H272" s="12" t="n"/>
      <c r="I272" s="12" t="n"/>
      <c r="J272" s="12">
        <f>(J143-I143)*-1</f>
        <v>161</v>
      </c>
      <c r="K272" s="12">
        <f>(K143-J143)*-1</f>
        <v>82</v>
      </c>
      <c r="L272" s="12">
        <f>(L143-K143)*-1</f>
        <v>-8</v>
      </c>
      <c r="M272" s="12" t="n"/>
      <c r="N272" s="12">
        <f>(N143-M143)*-1</f>
        <v>9</v>
      </c>
      <c r="O272" s="12">
        <f>(O143-N143)*-1</f>
        <v>16</v>
      </c>
      <c r="P272" s="12">
        <f>(P143-O143)*-1</f>
        <v>-167</v>
      </c>
      <c r="Q272" s="12">
        <f>(Q143-P143)*-1</f>
        <v>149</v>
      </c>
      <c r="R272" s="12">
        <f>SUM(N272:Q272)</f>
        <v>7</v>
      </c>
      <c r="S272" s="12">
        <f>(S143-R143)*-1</f>
        <v>-345</v>
      </c>
      <c r="T272" s="12">
        <f>(T143-S143)*-1</f>
        <v>-121</v>
      </c>
      <c r="U272" s="12">
        <f>(U143-T143)*-1</f>
        <v>-84</v>
      </c>
      <c r="V272" s="12">
        <f>(V143-U143)*-1</f>
        <v>-6833</v>
      </c>
      <c r="W272" s="12">
        <f>SUM(S272:V272)</f>
        <v>-7383</v>
      </c>
      <c r="X272" s="12">
        <f>(X143-W143)*-1</f>
        <v>288</v>
      </c>
      <c r="Y272" s="12">
        <f>(Y143-X143)*-1</f>
        <v>4715</v>
      </c>
      <c r="Z272" s="12">
        <f>(Z143-Y143)*-1</f>
        <v>-635</v>
      </c>
      <c r="AA272" s="12">
        <f>(AA143-Z143)*-1</f>
        <v>-749</v>
      </c>
      <c r="AB272" s="12">
        <f>SUM(X272:AA272)</f>
        <v>3619</v>
      </c>
      <c r="AC272" s="12">
        <f>(AC143-AB143)*-1</f>
        <v>-309</v>
      </c>
      <c r="AD272" s="12">
        <f>(AD143-AC143)*-1</f>
        <v>-477</v>
      </c>
      <c r="AE272" s="12">
        <f>(AE143-AD143)*-1</f>
        <v>-374</v>
      </c>
      <c r="AF272" s="12">
        <f>(AF143-AE143)*-1</f>
        <v>-486</v>
      </c>
      <c r="AG272" s="12">
        <f>SUM(AC272:AF272)</f>
        <v>-1646</v>
      </c>
      <c r="AH272" s="12">
        <f>(AH143-AG143)*-1</f>
        <v>-961</v>
      </c>
      <c r="AI272" s="12">
        <f>(AI143-AH143)*-1</f>
        <v>-2541</v>
      </c>
      <c r="AJ272" s="12">
        <f>(AJ143-AI143)*-1</f>
        <v>0</v>
      </c>
      <c r="AK272" s="12">
        <f>(AK143-AJ143)*-1</f>
        <v>0</v>
      </c>
      <c r="AL272" s="12">
        <f>SUM(AH272:AK272)</f>
        <v>-3502</v>
      </c>
      <c r="AM272" s="12">
        <f>(AM143-AL143)*-1</f>
        <v>0</v>
      </c>
      <c r="AN272" s="12">
        <f>(AN143-AM143)*-1</f>
        <v>0</v>
      </c>
      <c r="AO272" s="12">
        <f>(AO143-AN143)*-1</f>
        <v>0</v>
      </c>
      <c r="AP272" s="12">
        <f>(AP143-AO143)*-1</f>
        <v>0</v>
      </c>
      <c r="AQ272" s="12">
        <f>SUM(AM272:AP272)</f>
        <v>0</v>
      </c>
      <c r="AR272" s="12">
        <f>(AR143-AQ143)*-1</f>
        <v>0</v>
      </c>
      <c r="AS272" s="12">
        <f>(AS143-AR143)*-1</f>
        <v>0</v>
      </c>
      <c r="AT272" s="12">
        <f>(AT143-AS143)*-1</f>
        <v>0</v>
      </c>
      <c r="AU272" s="12">
        <f>(AU143-AT143)*-1</f>
        <v>0</v>
      </c>
      <c r="AV272" s="12">
        <f>SUM(AR272:AU272)</f>
        <v>0</v>
      </c>
      <c r="AW272" s="12">
        <f>(AW143-AV143)*-1</f>
        <v>0</v>
      </c>
      <c r="AX272" s="12">
        <f>(AX143-AW143)*-1</f>
        <v>0</v>
      </c>
      <c r="AY272" s="12">
        <f>(AY143-AX143)*-1</f>
        <v>0</v>
      </c>
      <c r="AZ272" s="12">
        <f>(AZ143-AY143)*-1</f>
        <v>0</v>
      </c>
      <c r="BA272" s="12">
        <f>SUM(AW272:AZ272)</f>
        <v>0</v>
      </c>
      <c r="BB272" s="12">
        <f>(BB143-BA143)*-1</f>
        <v>0</v>
      </c>
      <c r="BC272" s="12">
        <f>(BC143-BB143)*-1</f>
        <v>0</v>
      </c>
      <c r="BD272" s="12">
        <f>(BD143-BC143)*-1</f>
        <v>0</v>
      </c>
      <c r="BE272" s="12">
        <f>(BE143-BD143)*-1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hidden="1" outlineLevel="1">
      <c r="C273" s="10" t="inlineStr">
        <is>
          <t>Accounts payable</t>
        </is>
      </c>
      <c r="D273" s="12" t="n"/>
      <c r="E273" s="12" t="n"/>
      <c r="F273" s="12" t="n"/>
      <c r="G273" s="12" t="n"/>
      <c r="H273" s="12" t="n"/>
      <c r="I273" s="12" t="n"/>
      <c r="J273" s="12">
        <f>J186-I186</f>
        <v>138</v>
      </c>
      <c r="K273" s="12">
        <f>K186-J186</f>
        <v>118</v>
      </c>
      <c r="L273" s="12">
        <f>L186-K186</f>
        <v>-8</v>
      </c>
      <c r="M273" s="12" t="n"/>
      <c r="N273" s="12">
        <f>N186-M186</f>
        <v>-9</v>
      </c>
      <c r="O273" s="12">
        <f>O186-N186</f>
        <v>-357</v>
      </c>
      <c r="P273" s="12">
        <f>P186-O186</f>
        <v>286</v>
      </c>
      <c r="Q273" s="12">
        <f>Q186-P186</f>
        <v>-75</v>
      </c>
      <c r="R273" s="12">
        <f>SUM(N273:Q273)</f>
        <v>-155</v>
      </c>
      <c r="S273" s="12">
        <f>S186-R186</f>
        <v>-92</v>
      </c>
      <c r="T273" s="12">
        <f>T186-S186</f>
        <v>161</v>
      </c>
      <c r="U273" s="12">
        <f>U186-T186</f>
        <v>218</v>
      </c>
      <c r="V273" s="12">
        <f>V186-U186</f>
        <v>286</v>
      </c>
      <c r="W273" s="12">
        <f>SUM(S273:V273)</f>
        <v>573</v>
      </c>
      <c r="X273" s="12">
        <f>X186-W186</f>
        <v>-55</v>
      </c>
      <c r="Y273" s="12">
        <f>Y186-X186</f>
        <v>316</v>
      </c>
      <c r="Z273" s="12">
        <f>Z186-Y186</f>
        <v>-95</v>
      </c>
      <c r="AA273" s="12">
        <f>AA186-Z186</f>
        <v>243</v>
      </c>
      <c r="AB273" s="12">
        <f>SUM(X273:AA273)</f>
        <v>409</v>
      </c>
      <c r="AC273" s="12">
        <f>AC186-AB186</f>
        <v>-608</v>
      </c>
      <c r="AD273" s="12">
        <f>AD186-AC186</f>
        <v>135</v>
      </c>
      <c r="AE273" s="12">
        <f>AE186-AD186</f>
        <v>128</v>
      </c>
      <c r="AF273" s="12">
        <f>AF186-AE186</f>
        <v>552</v>
      </c>
      <c r="AG273" s="12">
        <f>SUM(AC273:AF273)</f>
        <v>207</v>
      </c>
      <c r="AH273" s="12">
        <f>AH186-AG186</f>
        <v>225</v>
      </c>
      <c r="AI273" s="12">
        <f>AI186-AH186</f>
        <v>1663</v>
      </c>
      <c r="AJ273" s="12">
        <f>AJ186-AI186</f>
        <v>-1464.42061379173</v>
      </c>
      <c r="AK273" s="12">
        <f>AK186-AJ186</f>
        <v>182.409707717231</v>
      </c>
      <c r="AL273" s="12">
        <f>SUM(AH273:AK273)</f>
        <v>605.989093925506</v>
      </c>
      <c r="AM273" s="12">
        <f>AM186-AL186</f>
        <v>474.187046602989</v>
      </c>
      <c r="AN273" s="12">
        <f>AN186-AM186</f>
        <v>1018.47269288602</v>
      </c>
      <c r="AO273" s="12">
        <f>AO186-AN186</f>
        <v>-689.523171750686</v>
      </c>
      <c r="AP273" s="12">
        <f>AP186-AO186</f>
        <v>253.309956009788</v>
      </c>
      <c r="AQ273" s="12">
        <f>SUM(AM273:AP273)</f>
        <v>1056.44652374811</v>
      </c>
      <c r="AR273" s="12">
        <f>AR186-AQ186</f>
        <v>593.998264447587</v>
      </c>
      <c r="AS273" s="12">
        <f>AS186-AR186</f>
        <v>1457.78539068939</v>
      </c>
      <c r="AT273" s="12">
        <f>AT186-AS186</f>
        <v>-954.084121293393</v>
      </c>
      <c r="AU273" s="12">
        <f>AU186-AT186</f>
        <v>350.501646204069</v>
      </c>
      <c r="AV273" s="12">
        <f>SUM(AR273:AU273)</f>
        <v>1448.20118004765</v>
      </c>
      <c r="AW273" s="12">
        <f>AW186-AV186</f>
        <v>866.984310432972</v>
      </c>
      <c r="AX273" s="12">
        <f>AX186-AW186</f>
        <v>1942.91058376578</v>
      </c>
      <c r="AY273" s="12">
        <f>AY186-AX186</f>
        <v>-1315.38319829659</v>
      </c>
      <c r="AZ273" s="12">
        <f>AZ186-AY186</f>
        <v>483.231998209048</v>
      </c>
      <c r="BA273" s="12">
        <f>SUM(AW273:AZ273)</f>
        <v>1977.74369411121</v>
      </c>
      <c r="BB273" s="12">
        <f>BB186-BA186</f>
        <v>1164.85173194557</v>
      </c>
      <c r="BC273" s="12">
        <f>BC186-BB186</f>
        <v>2668.95065137529</v>
      </c>
      <c r="BD273" s="12">
        <f>BD186-BC186</f>
        <v>-1806.92455599131</v>
      </c>
      <c r="BE273" s="12">
        <f>BE186-BD186</f>
        <v>663.809424459283</v>
      </c>
      <c r="BF273" s="12">
        <f>SUM(BB273:BE273)</f>
        <v>2690.68725178884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 hidden="1" outlineLevel="1">
      <c r="C274" s="10" t="inlineStr">
        <is>
          <t>Accrued expenses</t>
        </is>
      </c>
      <c r="D274" s="12" t="n"/>
      <c r="E274" s="12" t="n"/>
      <c r="F274" s="12" t="n"/>
      <c r="G274" s="12" t="n"/>
      <c r="H274" s="12" t="n"/>
      <c r="I274" s="12" t="n"/>
      <c r="J274" s="12">
        <f>J190-I190</f>
        <v>254</v>
      </c>
      <c r="K274" s="12">
        <f>K190-J190</f>
        <v>173</v>
      </c>
      <c r="L274" s="12">
        <f>L190-K190</f>
        <v>-535</v>
      </c>
      <c r="M274" s="12" t="n"/>
      <c r="N274" s="12">
        <f>N190-M190</f>
        <v>220</v>
      </c>
      <c r="O274" s="12">
        <f>O190-N190</f>
        <v>328</v>
      </c>
      <c r="P274" s="12">
        <f>P190-O190</f>
        <v>123</v>
      </c>
      <c r="Q274" s="12">
        <f>Q190-P190</f>
        <v>-666</v>
      </c>
      <c r="R274" s="12">
        <f>SUM(N274:Q274)</f>
        <v>5</v>
      </c>
      <c r="S274" s="12">
        <f>S190-R190</f>
        <v>98</v>
      </c>
      <c r="T274" s="12">
        <f>T190-S190</f>
        <v>197</v>
      </c>
      <c r="U274" s="12">
        <f>U190-T190</f>
        <v>104</v>
      </c>
      <c r="V274" s="12">
        <f>V190-U190</f>
        <v>193</v>
      </c>
      <c r="W274" s="12">
        <f>SUM(S274:V274)</f>
        <v>592</v>
      </c>
      <c r="X274" s="12">
        <f>X190-W190</f>
        <v>257</v>
      </c>
      <c r="Y274" s="12">
        <f>Y190-X190</f>
        <v>340</v>
      </c>
      <c r="Z274" s="12">
        <f>Z190-Y190</f>
        <v>246</v>
      </c>
      <c r="AA274" s="12">
        <f>AA190-Z190</f>
        <v>-1049</v>
      </c>
      <c r="AB274" s="12">
        <f>SUM(X274:AA274)</f>
        <v>-206</v>
      </c>
      <c r="AC274" s="12">
        <f>AC190-AB190</f>
        <v>344</v>
      </c>
      <c r="AD274" s="12">
        <f>AD190-AC190</f>
        <v>453</v>
      </c>
      <c r="AE274" s="12">
        <f>AE190-AD190</f>
        <v>410</v>
      </c>
      <c r="AF274" s="12">
        <f>AF190-AE190</f>
        <v>-1265</v>
      </c>
      <c r="AG274" s="12">
        <f>SUM(AC274:AF274)</f>
        <v>-58</v>
      </c>
      <c r="AH274" s="12">
        <f>AH190-AG190</f>
        <v>270</v>
      </c>
      <c r="AI274" s="12">
        <f>AI190-AH190</f>
        <v>372</v>
      </c>
      <c r="AJ274" s="12">
        <f>AJ190-AI190</f>
        <v>585.36234318248</v>
      </c>
      <c r="AK274" s="12">
        <f>AK190-AJ190</f>
        <v>812.884967894355</v>
      </c>
      <c r="AL274" s="12">
        <f>SUM(AH274:AK274)</f>
        <v>2040.24731107684</v>
      </c>
      <c r="AM274" s="12">
        <f>AM190-AL190</f>
        <v>1128.84263691458</v>
      </c>
      <c r="AN274" s="12">
        <f>AN190-AM190</f>
        <v>1567.60888593756</v>
      </c>
      <c r="AO274" s="12">
        <f>AO190-AN190</f>
        <v>2176.91779076232</v>
      </c>
      <c r="AP274" s="12">
        <f>AP190-AO190</f>
        <v>3023.05703307059</v>
      </c>
      <c r="AQ274" s="12">
        <f>SUM(AM274:AP274)</f>
        <v>7896.42634668504</v>
      </c>
      <c r="AR274" s="12">
        <f>AR190-AQ190</f>
        <v>4144.07607411277</v>
      </c>
      <c r="AS274" s="12">
        <f>AS190-AR190</f>
        <v>5734.10342353577</v>
      </c>
      <c r="AT274" s="12">
        <f>AT190-AS190</f>
        <v>7934.20330220268</v>
      </c>
      <c r="AU274" s="12">
        <f>AU190-AT190</f>
        <v>10978.452495694</v>
      </c>
      <c r="AV274" s="12">
        <f>SUM(AR274:AU274)</f>
        <v>28790.8352955452</v>
      </c>
      <c r="AW274" s="12">
        <f>AW190-AV190</f>
        <v>14992.7824211163</v>
      </c>
      <c r="AX274" s="12">
        <f>AX190-AW190</f>
        <v>20670.3514420909</v>
      </c>
      <c r="AY274" s="12">
        <f>AY190-AX190</f>
        <v>28497.9409917787</v>
      </c>
      <c r="AZ274" s="12">
        <f>AZ190-AY190</f>
        <v>39289.7354960865</v>
      </c>
      <c r="BA274" s="12">
        <f>SUM(AW274:AZ274)</f>
        <v>103450.810351072</v>
      </c>
      <c r="BB274" s="12">
        <f>BB190-BA190</f>
        <v>53453.028691356</v>
      </c>
      <c r="BC274" s="12">
        <f>BC190-BB190</f>
        <v>73427.720727767</v>
      </c>
      <c r="BD274" s="12">
        <f>BD190-BC190</f>
        <v>100866.691809118</v>
      </c>
      <c r="BE274" s="12">
        <f>BE190-BD190</f>
        <v>138559.244596955</v>
      </c>
      <c r="BF274" s="12">
        <f>SUM(BB274:BE274)</f>
        <v>366306.685825195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 hidden="1" outlineLevel="1">
      <c r="C275" s="10" t="inlineStr">
        <is>
          <t>Taxes payable</t>
        </is>
      </c>
      <c r="D275" s="12" t="n"/>
      <c r="E275" s="12" t="n"/>
      <c r="F275" s="12" t="n"/>
      <c r="G275" s="12" t="n"/>
      <c r="H275" s="12" t="n"/>
      <c r="I275" s="12" t="n"/>
      <c r="J275" s="12">
        <f>J192-I192</f>
        <v>0</v>
      </c>
      <c r="K275" s="12">
        <f>K192-J192</f>
        <v>0</v>
      </c>
      <c r="L275" s="12">
        <f>L192-K192</f>
        <v>0</v>
      </c>
      <c r="M275" s="12" t="n"/>
      <c r="N275" s="12">
        <f>N192-M192</f>
        <v>0</v>
      </c>
      <c r="O275" s="12">
        <f>O192-N192</f>
        <v>0</v>
      </c>
      <c r="P275" s="12">
        <f>P192-O192</f>
        <v>0</v>
      </c>
      <c r="Q275" s="12">
        <f>Q192-P192</f>
        <v>0</v>
      </c>
      <c r="R275" s="12">
        <f>SUM(N275:Q275)</f>
        <v>0</v>
      </c>
      <c r="S275" s="12">
        <f>S192-R192</f>
        <v>0</v>
      </c>
      <c r="T275" s="12">
        <f>T192-S192</f>
        <v>0</v>
      </c>
      <c r="U275" s="12">
        <f>U192-T192</f>
        <v>0</v>
      </c>
      <c r="V275" s="12">
        <f>V192-U192</f>
        <v>0</v>
      </c>
      <c r="W275" s="12">
        <f>SUM(S275:V275)</f>
        <v>0</v>
      </c>
      <c r="X275" s="12">
        <f>X192-W192</f>
        <v>0</v>
      </c>
      <c r="Y275" s="12">
        <f>Y192-X192</f>
        <v>0</v>
      </c>
      <c r="Z275" s="12">
        <f>Z192-Y192</f>
        <v>0</v>
      </c>
      <c r="AA275" s="12">
        <f>AA192-Z192</f>
        <v>0</v>
      </c>
      <c r="AB275" s="12">
        <f>SUM(X275:AA275)</f>
        <v>0</v>
      </c>
      <c r="AC275" s="12">
        <f>AC192-AB192</f>
        <v>0</v>
      </c>
      <c r="AD275" s="12">
        <f>AD192-AC192</f>
        <v>0</v>
      </c>
      <c r="AE275" s="12">
        <f>AE192-AD192</f>
        <v>0</v>
      </c>
      <c r="AF275" s="12">
        <f>AF192-AE192</f>
        <v>0</v>
      </c>
      <c r="AG275" s="12">
        <f>SUM(AC275:AF275)</f>
        <v>0</v>
      </c>
      <c r="AH275" s="12">
        <f>AH192-AG192</f>
        <v>0</v>
      </c>
      <c r="AI275" s="12">
        <f>AI192-AH192</f>
        <v>0</v>
      </c>
      <c r="AJ275" s="12">
        <f>AJ192-AI192</f>
        <v>0</v>
      </c>
      <c r="AK275" s="12">
        <f>AK192-AJ192</f>
        <v>0</v>
      </c>
      <c r="AL275" s="12">
        <f>SUM(AH275:AK275)</f>
        <v>0</v>
      </c>
      <c r="AM275" s="12">
        <f>AM192-AL192</f>
        <v>0</v>
      </c>
      <c r="AN275" s="12">
        <f>AN192-AM192</f>
        <v>0</v>
      </c>
      <c r="AO275" s="12">
        <f>AO192-AN192</f>
        <v>0</v>
      </c>
      <c r="AP275" s="12">
        <f>AP192-AO192</f>
        <v>0</v>
      </c>
      <c r="AQ275" s="12">
        <f>SUM(AM275:AP275)</f>
        <v>0</v>
      </c>
      <c r="AR275" s="12">
        <f>AR192-AQ192</f>
        <v>0</v>
      </c>
      <c r="AS275" s="12">
        <f>AS192-AR192</f>
        <v>0</v>
      </c>
      <c r="AT275" s="12">
        <f>AT192-AS192</f>
        <v>0</v>
      </c>
      <c r="AU275" s="12">
        <f>AU192-AT192</f>
        <v>0</v>
      </c>
      <c r="AV275" s="12">
        <f>SUM(AR275:AU275)</f>
        <v>0</v>
      </c>
      <c r="AW275" s="12">
        <f>AW192-AV192</f>
        <v>0</v>
      </c>
      <c r="AX275" s="12">
        <f>AX192-AW192</f>
        <v>0</v>
      </c>
      <c r="AY275" s="12">
        <f>AY192-AX192</f>
        <v>0</v>
      </c>
      <c r="AZ275" s="12">
        <f>AZ192-AY192</f>
        <v>0</v>
      </c>
      <c r="BA275" s="12">
        <f>SUM(AW275:AZ275)</f>
        <v>0</v>
      </c>
      <c r="BB275" s="12">
        <f>BB192-BA192</f>
        <v>0</v>
      </c>
      <c r="BC275" s="12">
        <f>BC192-BB192</f>
        <v>0</v>
      </c>
      <c r="BD275" s="12">
        <f>BD192-BC192</f>
        <v>0</v>
      </c>
      <c r="BE275" s="12">
        <f>BE192-BD192</f>
        <v>0</v>
      </c>
      <c r="BF275" s="12">
        <f>SUM(BB275:BE275)</f>
        <v>0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 hidden="1" outlineLevel="1">
      <c r="C276" s="10" t="inlineStr">
        <is>
          <t>Other current liabilities (non-debt)</t>
        </is>
      </c>
      <c r="D276" s="12" t="n"/>
      <c r="E276" s="12" t="n"/>
      <c r="F276" s="12" t="n"/>
      <c r="G276" s="12" t="n"/>
      <c r="H276" s="12" t="n"/>
      <c r="I276" s="12" t="n"/>
      <c r="J276" s="12">
        <f>J193-I193</f>
        <v>-328</v>
      </c>
      <c r="K276" s="12">
        <f>K193-J193</f>
        <v>-522</v>
      </c>
      <c r="L276" s="12">
        <f>L193-K193</f>
        <v>539</v>
      </c>
      <c r="M276" s="12" t="n"/>
      <c r="N276" s="12">
        <f>N193-M193</f>
        <v>410</v>
      </c>
      <c r="O276" s="12">
        <f>O193-N193</f>
        <v>-181</v>
      </c>
      <c r="P276" s="12">
        <f>P193-O193</f>
        <v>-195</v>
      </c>
      <c r="Q276" s="12">
        <f>Q193-P193</f>
        <v>497</v>
      </c>
      <c r="R276" s="12">
        <f>SUM(N276:Q276)</f>
        <v>531</v>
      </c>
      <c r="S276" s="12">
        <f>S193-R193</f>
        <v>20</v>
      </c>
      <c r="T276" s="12">
        <f>T193-S193</f>
        <v>-526</v>
      </c>
      <c r="U276" s="12">
        <f>U193-T193</f>
        <v>-751</v>
      </c>
      <c r="V276" s="12">
        <f>V193-U193</f>
        <v>11660</v>
      </c>
      <c r="W276" s="12">
        <f>SUM(S276:V276)</f>
        <v>10403</v>
      </c>
      <c r="X276" s="12">
        <f>X193-W193</f>
        <v>-393</v>
      </c>
      <c r="Y276" s="12">
        <f>Y193-X193</f>
        <v>-2341</v>
      </c>
      <c r="Z276" s="12">
        <f>Z193-Y193</f>
        <v>-785</v>
      </c>
      <c r="AA276" s="12">
        <f>AA193-Z193</f>
        <v>637</v>
      </c>
      <c r="AB276" s="12">
        <f>SUM(X276:AA276)</f>
        <v>-2882</v>
      </c>
      <c r="AC276" s="12">
        <f>AC193-AB193</f>
        <v>73</v>
      </c>
      <c r="AD276" s="12">
        <f>AD193-AC193</f>
        <v>-349</v>
      </c>
      <c r="AE276" s="12">
        <f>AE193-AD193</f>
        <v>-481</v>
      </c>
      <c r="AF276" s="12">
        <f>AF193-AE193</f>
        <v>-42</v>
      </c>
      <c r="AG276" s="12">
        <f>SUM(AC276:AF276)</f>
        <v>-799</v>
      </c>
      <c r="AH276" s="12">
        <f>AH193-AG193</f>
        <v>1508</v>
      </c>
      <c r="AI276" s="12">
        <f>AI193-AH193</f>
        <v>-59</v>
      </c>
      <c r="AJ276" s="12">
        <f>AJ193-AI193</f>
        <v>0</v>
      </c>
      <c r="AK276" s="12">
        <f>AK193-AJ193</f>
        <v>0</v>
      </c>
      <c r="AL276" s="12">
        <f>SUM(AH276:AK276)</f>
        <v>1449</v>
      </c>
      <c r="AM276" s="12">
        <f>AM193-AL193</f>
        <v>0</v>
      </c>
      <c r="AN276" s="12">
        <f>AN193-AM193</f>
        <v>0</v>
      </c>
      <c r="AO276" s="12">
        <f>AO193-AN193</f>
        <v>0</v>
      </c>
      <c r="AP276" s="12">
        <f>AP193-AO193</f>
        <v>0</v>
      </c>
      <c r="AQ276" s="12">
        <f>SUM(AM276:AP276)</f>
        <v>0</v>
      </c>
      <c r="AR276" s="12">
        <f>AR193-AQ193</f>
        <v>0</v>
      </c>
      <c r="AS276" s="12">
        <f>AS193-AR193</f>
        <v>0</v>
      </c>
      <c r="AT276" s="12">
        <f>AT193-AS193</f>
        <v>0</v>
      </c>
      <c r="AU276" s="12">
        <f>AU193-AT193</f>
        <v>0</v>
      </c>
      <c r="AV276" s="12">
        <f>SUM(AR276:AU276)</f>
        <v>0</v>
      </c>
      <c r="AW276" s="12">
        <f>AW193-AV193</f>
        <v>0</v>
      </c>
      <c r="AX276" s="12">
        <f>AX193-AW193</f>
        <v>0</v>
      </c>
      <c r="AY276" s="12">
        <f>AY193-AX193</f>
        <v>0</v>
      </c>
      <c r="AZ276" s="12">
        <f>AZ193-AY193</f>
        <v>0</v>
      </c>
      <c r="BA276" s="12">
        <f>SUM(AW276:AZ276)</f>
        <v>0</v>
      </c>
      <c r="BB276" s="12">
        <f>BB193-BA193</f>
        <v>0</v>
      </c>
      <c r="BC276" s="12">
        <f>BC193-BB193</f>
        <v>0</v>
      </c>
      <c r="BD276" s="12">
        <f>BD193-BC193</f>
        <v>0</v>
      </c>
      <c r="BE276" s="12">
        <f>BE193-BD193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 hidden="1" outlineLevel="1">
      <c r="C277" s="10" t="inlineStr">
        <is>
          <t>Deferred income taxes</t>
        </is>
      </c>
      <c r="D277" s="12" t="n"/>
      <c r="E277" s="12" t="n"/>
      <c r="F277" s="12" t="n"/>
      <c r="G277" s="12" t="n"/>
      <c r="H277" s="12" t="n"/>
      <c r="I277" s="12" t="n"/>
      <c r="J277" s="12">
        <f>J227-I227</f>
        <v>0</v>
      </c>
      <c r="K277" s="12">
        <f>K227-J227</f>
        <v>0</v>
      </c>
      <c r="L277" s="12">
        <f>L227-K227</f>
        <v>0</v>
      </c>
      <c r="M277" s="12" t="n"/>
      <c r="N277" s="12">
        <f>N227-M227</f>
        <v>0</v>
      </c>
      <c r="O277" s="12">
        <f>O227-N227</f>
        <v>0</v>
      </c>
      <c r="P277" s="12">
        <f>P227-O227</f>
        <v>0</v>
      </c>
      <c r="Q277" s="12">
        <f>Q227-P227</f>
        <v>0</v>
      </c>
      <c r="R277" s="12">
        <f>SUM(N277:Q277)</f>
        <v>0</v>
      </c>
      <c r="S277" s="12">
        <f>S227-R227</f>
        <v>0</v>
      </c>
      <c r="T277" s="12">
        <f>T227-S227</f>
        <v>0</v>
      </c>
      <c r="U277" s="12">
        <f>U227-T227</f>
        <v>0</v>
      </c>
      <c r="V277" s="12">
        <f>V227-U227</f>
        <v>0</v>
      </c>
      <c r="W277" s="12">
        <f>SUM(S277:V277)</f>
        <v>0</v>
      </c>
      <c r="X277" s="12">
        <f>X227-W227</f>
        <v>0</v>
      </c>
      <c r="Y277" s="12">
        <f>Y227-X227</f>
        <v>0</v>
      </c>
      <c r="Z277" s="12">
        <f>Z227-Y227</f>
        <v>0</v>
      </c>
      <c r="AA277" s="12">
        <f>AA227-Z227</f>
        <v>0</v>
      </c>
      <c r="AB277" s="12">
        <f>SUM(X277:AA277)</f>
        <v>0</v>
      </c>
      <c r="AC277" s="12">
        <f>AC227-AB227</f>
        <v>0</v>
      </c>
      <c r="AD277" s="12">
        <f>AD227-AC227</f>
        <v>0</v>
      </c>
      <c r="AE277" s="12">
        <f>AE227-AD227</f>
        <v>0</v>
      </c>
      <c r="AF277" s="12">
        <f>AF227-AE227</f>
        <v>0</v>
      </c>
      <c r="AG277" s="12">
        <f>SUM(AC277:AF277)</f>
        <v>0</v>
      </c>
      <c r="AH277" s="12">
        <f>AH227-AG227</f>
        <v>0</v>
      </c>
      <c r="AI277" s="12">
        <f>AI227-AH227</f>
        <v>0</v>
      </c>
      <c r="AJ277" s="12">
        <f>AJ227-AI227</f>
        <v>0</v>
      </c>
      <c r="AK277" s="12">
        <f>AK227-AJ227</f>
        <v>0</v>
      </c>
      <c r="AL277" s="12">
        <f>SUM(AH277:AK277)</f>
        <v>0</v>
      </c>
      <c r="AM277" s="12">
        <f>AM227-AL227</f>
        <v>0</v>
      </c>
      <c r="AN277" s="12">
        <f>AN227-AM227</f>
        <v>0</v>
      </c>
      <c r="AO277" s="12">
        <f>AO227-AN227</f>
        <v>0</v>
      </c>
      <c r="AP277" s="12">
        <f>AP227-AO227</f>
        <v>0</v>
      </c>
      <c r="AQ277" s="12">
        <f>SUM(AM277:AP277)</f>
        <v>0</v>
      </c>
      <c r="AR277" s="12">
        <f>AR227-AQ227</f>
        <v>0</v>
      </c>
      <c r="AS277" s="12">
        <f>AS227-AR227</f>
        <v>0</v>
      </c>
      <c r="AT277" s="12">
        <f>AT227-AS227</f>
        <v>0</v>
      </c>
      <c r="AU277" s="12">
        <f>AU227-AT227</f>
        <v>0</v>
      </c>
      <c r="AV277" s="12">
        <f>SUM(AR277:AU277)</f>
        <v>0</v>
      </c>
      <c r="AW277" s="12">
        <f>AW227-AV227</f>
        <v>0</v>
      </c>
      <c r="AX277" s="12">
        <f>AX227-AW227</f>
        <v>0</v>
      </c>
      <c r="AY277" s="12">
        <f>AY227-AX227</f>
        <v>0</v>
      </c>
      <c r="AZ277" s="12">
        <f>AZ227-AY227</f>
        <v>0</v>
      </c>
      <c r="BA277" s="12">
        <f>SUM(AW277:AZ277)</f>
        <v>0</v>
      </c>
      <c r="BB277" s="12">
        <f>BB227-BA227</f>
        <v>0</v>
      </c>
      <c r="BC277" s="12">
        <f>BC227-BB227</f>
        <v>0</v>
      </c>
      <c r="BD277" s="12">
        <f>BD227-BC227</f>
        <v>0</v>
      </c>
      <c r="BE277" s="12">
        <f>BE227-BD227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 collapsed="1">
      <c r="C278" s="10" t="inlineStr">
        <is>
          <t>Equity income in affiliates</t>
        </is>
      </c>
      <c r="D278" s="12" t="n"/>
      <c r="E278" s="12" t="n"/>
      <c r="F278" s="12" t="n"/>
      <c r="G278" s="12" t="n"/>
      <c r="H278" s="12" t="n"/>
      <c r="I278" s="12" t="n"/>
      <c r="J278" s="12">
        <f>(J149-I149)*-1</f>
        <v>0</v>
      </c>
      <c r="K278" s="12">
        <f>(K149-J149)*-1</f>
        <v>0</v>
      </c>
      <c r="L278" s="12">
        <f>(L149-K149)*-1</f>
        <v>0</v>
      </c>
      <c r="M278" s="12" t="n"/>
      <c r="N278" s="12">
        <f>(N149-M149)*-1</f>
        <v>0</v>
      </c>
      <c r="O278" s="12">
        <f>(O149-N149)*-1</f>
        <v>0</v>
      </c>
      <c r="P278" s="12">
        <f>(P149-O149)*-1</f>
        <v>0</v>
      </c>
      <c r="Q278" s="12">
        <f>(Q149-P149)*-1</f>
        <v>0</v>
      </c>
      <c r="R278" s="12">
        <f>SUM(N278:Q278)</f>
        <v>0</v>
      </c>
      <c r="S278" s="12">
        <f>(S149-R149)*-1</f>
        <v>0</v>
      </c>
      <c r="T278" s="12">
        <f>(T149-S149)*-1</f>
        <v>0</v>
      </c>
      <c r="U278" s="12">
        <f>(U149-T149)*-1</f>
        <v>0</v>
      </c>
      <c r="V278" s="12">
        <f>(V149-U149)*-1</f>
        <v>0</v>
      </c>
      <c r="W278" s="12">
        <f>SUM(S278:V278)</f>
        <v>0</v>
      </c>
      <c r="X278" s="12">
        <f>(X149-W149)*-1</f>
        <v>0</v>
      </c>
      <c r="Y278" s="12">
        <f>(Y149-X149)*-1</f>
        <v>0</v>
      </c>
      <c r="Z278" s="12">
        <f>(Z149-Y149)*-1</f>
        <v>0</v>
      </c>
      <c r="AA278" s="12">
        <f>(AA149-Z149)*-1</f>
        <v>0</v>
      </c>
      <c r="AB278" s="12">
        <f>SUM(X278:AA278)</f>
        <v>0</v>
      </c>
      <c r="AC278" s="12">
        <f>(AC149-AB149)*-1</f>
        <v>0</v>
      </c>
      <c r="AD278" s="12">
        <f>(AD149-AC149)*-1</f>
        <v>0</v>
      </c>
      <c r="AE278" s="12">
        <f>(AE149-AD149)*-1</f>
        <v>0</v>
      </c>
      <c r="AF278" s="12">
        <f>(AF149-AE149)*-1</f>
        <v>0</v>
      </c>
      <c r="AG278" s="12">
        <f>SUM(AC278:AF278)</f>
        <v>0</v>
      </c>
      <c r="AH278" s="12">
        <f>(AH149-AG149)*-1</f>
        <v>0</v>
      </c>
      <c r="AI278" s="12">
        <f>(AI149-AH149)*-1</f>
        <v>0</v>
      </c>
      <c r="AJ278" s="12">
        <f>(AJ149-AI149)*-1</f>
        <v>0</v>
      </c>
      <c r="AK278" s="12">
        <f>(AK149-AJ149)*-1</f>
        <v>0</v>
      </c>
      <c r="AL278" s="12">
        <f>SUM(AH278:AK278)</f>
        <v>0</v>
      </c>
      <c r="AM278" s="12">
        <f>(AM149-AL149)*-1</f>
        <v>0</v>
      </c>
      <c r="AN278" s="12">
        <f>(AN149-AM149)*-1</f>
        <v>0</v>
      </c>
      <c r="AO278" s="12">
        <f>(AO149-AN149)*-1</f>
        <v>0</v>
      </c>
      <c r="AP278" s="12">
        <f>(AP149-AO149)*-1</f>
        <v>0</v>
      </c>
      <c r="AQ278" s="12">
        <f>SUM(AM278:AP278)</f>
        <v>0</v>
      </c>
      <c r="AR278" s="12">
        <f>(AR149-AQ149)*-1</f>
        <v>0</v>
      </c>
      <c r="AS278" s="12">
        <f>(AS149-AR149)*-1</f>
        <v>0</v>
      </c>
      <c r="AT278" s="12">
        <f>(AT149-AS149)*-1</f>
        <v>0</v>
      </c>
      <c r="AU278" s="12">
        <f>(AU149-AT149)*-1</f>
        <v>0</v>
      </c>
      <c r="AV278" s="12">
        <f>SUM(AR278:AU278)</f>
        <v>0</v>
      </c>
      <c r="AW278" s="12">
        <f>(AW149-AV149)*-1</f>
        <v>0</v>
      </c>
      <c r="AX278" s="12">
        <f>(AX149-AW149)*-1</f>
        <v>0</v>
      </c>
      <c r="AY278" s="12">
        <f>(AY149-AX149)*-1</f>
        <v>0</v>
      </c>
      <c r="AZ278" s="12">
        <f>(AZ149-AY149)*-1</f>
        <v>0</v>
      </c>
      <c r="BA278" s="12">
        <f>SUM(AW278:AZ278)</f>
        <v>0</v>
      </c>
      <c r="BB278" s="12">
        <f>(BB149-BA149)*-1</f>
        <v>0</v>
      </c>
      <c r="BC278" s="12">
        <f>(BC149-BB149)*-1</f>
        <v>0</v>
      </c>
      <c r="BD278" s="12">
        <f>(BD149-BC149)*-1</f>
        <v>0</v>
      </c>
      <c r="BE278" s="12">
        <f>(BE149-BD149)*-1</f>
        <v>0</v>
      </c>
      <c r="BF278" s="12">
        <f>SUM(BB278:BE278)</f>
        <v>0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>Dividends received from affiliates</t>
        </is>
      </c>
      <c r="D279" s="12" t="n"/>
      <c r="E279" s="12" t="n"/>
      <c r="F279" s="12" t="n"/>
      <c r="G279" s="12" t="n"/>
      <c r="H279" s="12" t="n"/>
      <c r="I279" s="12" t="n"/>
      <c r="J279" s="12">
        <f>-J152</f>
        <v>0</v>
      </c>
      <c r="K279" s="12">
        <f>-K152</f>
        <v>0</v>
      </c>
      <c r="L279" s="12">
        <f>-L152</f>
        <v>0</v>
      </c>
      <c r="M279" s="12" t="n"/>
      <c r="N279" s="12">
        <f>-N152</f>
        <v>0</v>
      </c>
      <c r="O279" s="12">
        <f>-O152</f>
        <v>0</v>
      </c>
      <c r="P279" s="12">
        <f>-P152</f>
        <v>0</v>
      </c>
      <c r="Q279" s="12">
        <f>-Q152</f>
        <v>0</v>
      </c>
      <c r="R279" s="12">
        <f>SUM(N279:Q279)</f>
        <v>0</v>
      </c>
      <c r="S279" s="12">
        <f>-S152</f>
        <v>0</v>
      </c>
      <c r="T279" s="12">
        <f>-T152</f>
        <v>0</v>
      </c>
      <c r="U279" s="12">
        <f>-U152</f>
        <v>0</v>
      </c>
      <c r="V279" s="12">
        <f>-V152</f>
        <v>0</v>
      </c>
      <c r="W279" s="12">
        <f>SUM(S279:V279)</f>
        <v>0</v>
      </c>
      <c r="X279" s="12">
        <f>-X152</f>
        <v>0</v>
      </c>
      <c r="Y279" s="12">
        <f>-Y152</f>
        <v>0</v>
      </c>
      <c r="Z279" s="12">
        <f>-Z152</f>
        <v>0</v>
      </c>
      <c r="AA279" s="12">
        <f>-AA152</f>
        <v>0</v>
      </c>
      <c r="AB279" s="12">
        <f>SUM(X279:AA279)</f>
        <v>0</v>
      </c>
      <c r="AC279" s="12">
        <f>-AC152</f>
        <v>0</v>
      </c>
      <c r="AD279" s="12">
        <f>-AD152</f>
        <v>0</v>
      </c>
      <c r="AE279" s="12">
        <f>-AE152</f>
        <v>0</v>
      </c>
      <c r="AF279" s="12">
        <f>-AF152</f>
        <v>0</v>
      </c>
      <c r="AG279" s="12">
        <f>SUM(AC279:AF279)</f>
        <v>0</v>
      </c>
      <c r="AH279" s="12">
        <f>-AH152</f>
        <v>0</v>
      </c>
      <c r="AI279" s="12">
        <f>-AI152</f>
        <v>0</v>
      </c>
      <c r="AJ279" s="12">
        <f>-AJ152</f>
        <v>0</v>
      </c>
      <c r="AK279" s="12">
        <f>-AK152</f>
        <v>0</v>
      </c>
      <c r="AL279" s="12">
        <f>SUM(AH279:AK279)</f>
        <v>0</v>
      </c>
      <c r="AM279" s="12">
        <f>-AM152</f>
        <v>0</v>
      </c>
      <c r="AN279" s="12">
        <f>-AN152</f>
        <v>0</v>
      </c>
      <c r="AO279" s="12">
        <f>-AO152</f>
        <v>0</v>
      </c>
      <c r="AP279" s="12">
        <f>-AP152</f>
        <v>0</v>
      </c>
      <c r="AQ279" s="12">
        <f>SUM(AM279:AP279)</f>
        <v>0</v>
      </c>
      <c r="AR279" s="12">
        <f>-AR152</f>
        <v>0</v>
      </c>
      <c r="AS279" s="12">
        <f>-AS152</f>
        <v>0</v>
      </c>
      <c r="AT279" s="12">
        <f>-AT152</f>
        <v>0</v>
      </c>
      <c r="AU279" s="12">
        <f>-AU152</f>
        <v>0</v>
      </c>
      <c r="AV279" s="12">
        <f>SUM(AR279:AU279)</f>
        <v>0</v>
      </c>
      <c r="AW279" s="12">
        <f>-AW152</f>
        <v>0</v>
      </c>
      <c r="AX279" s="12">
        <f>-AX152</f>
        <v>0</v>
      </c>
      <c r="AY279" s="12">
        <f>-AY152</f>
        <v>0</v>
      </c>
      <c r="AZ279" s="12">
        <f>-AZ152</f>
        <v>0</v>
      </c>
      <c r="BA279" s="12">
        <f>SUM(AW279:AZ279)</f>
        <v>0</v>
      </c>
      <c r="BB279" s="12">
        <f>-BB152</f>
        <v>0</v>
      </c>
      <c r="BC279" s="12">
        <f>-BC152</f>
        <v>0</v>
      </c>
      <c r="BD279" s="12">
        <f>-BD152</f>
        <v>0</v>
      </c>
      <c r="BE279" s="12">
        <f>-BE152</f>
        <v>0</v>
      </c>
      <c r="BF279" s="12">
        <f>SUM(BB279:BE279)</f>
        <v>0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71" t="inlineStr">
        <is>
          <t>Minority interest expense</t>
        </is>
      </c>
      <c r="D280" s="12" t="n"/>
      <c r="E280" s="12" t="n"/>
      <c r="F280" s="12" t="n"/>
      <c r="G280" s="12" t="n"/>
      <c r="H280" s="12" t="n"/>
      <c r="I280" s="12" t="n"/>
      <c r="J280" s="12">
        <f>-J124</f>
        <v>0</v>
      </c>
      <c r="K280" s="12">
        <f>-K124</f>
        <v>0</v>
      </c>
      <c r="L280" s="12">
        <f>-L124</f>
        <v>0</v>
      </c>
      <c r="M280" s="12" t="n"/>
      <c r="N280" s="12">
        <f>-N124</f>
        <v>0</v>
      </c>
      <c r="O280" s="12">
        <f>-O124</f>
        <v>0</v>
      </c>
      <c r="P280" s="12">
        <f>-P124</f>
        <v>0</v>
      </c>
      <c r="Q280" s="12">
        <f>-Q124</f>
        <v>0</v>
      </c>
      <c r="R280" s="12">
        <f>SUM(N280:Q280)</f>
        <v>0</v>
      </c>
      <c r="S280" s="12">
        <f>-S124</f>
        <v>0</v>
      </c>
      <c r="T280" s="12">
        <f>-T124</f>
        <v>0</v>
      </c>
      <c r="U280" s="12">
        <f>-U124</f>
        <v>0</v>
      </c>
      <c r="V280" s="12">
        <f>-V124</f>
        <v>0</v>
      </c>
      <c r="W280" s="12">
        <f>SUM(S280:V280)</f>
        <v>0</v>
      </c>
      <c r="X280" s="12">
        <f>-X124</f>
        <v>0</v>
      </c>
      <c r="Y280" s="12">
        <f>-Y124</f>
        <v>0</v>
      </c>
      <c r="Z280" s="12">
        <f>-Z124</f>
        <v>0</v>
      </c>
      <c r="AA280" s="12">
        <f>-AA124</f>
        <v>0</v>
      </c>
      <c r="AB280" s="12">
        <f>SUM(X280:AA280)</f>
        <v>0</v>
      </c>
      <c r="AC280" s="12">
        <f>-AC124</f>
        <v>0</v>
      </c>
      <c r="AD280" s="12">
        <f>-AD124</f>
        <v>0</v>
      </c>
      <c r="AE280" s="12">
        <f>-AE124</f>
        <v>0</v>
      </c>
      <c r="AF280" s="12">
        <f>-AF124</f>
        <v>0</v>
      </c>
      <c r="AG280" s="12">
        <f>SUM(AC280:AF280)</f>
        <v>0</v>
      </c>
      <c r="AH280" s="12">
        <f>-AH124</f>
        <v>0</v>
      </c>
      <c r="AI280" s="12">
        <f>-AI124</f>
        <v>0</v>
      </c>
      <c r="AJ280" s="12">
        <f>-AJ124</f>
        <v>0</v>
      </c>
      <c r="AK280" s="12">
        <f>-AK124</f>
        <v>0</v>
      </c>
      <c r="AL280" s="12">
        <f>SUM(AH280:AK280)</f>
        <v>0</v>
      </c>
      <c r="AM280" s="12">
        <f>-AM124</f>
        <v>0</v>
      </c>
      <c r="AN280" s="12">
        <f>-AN124</f>
        <v>0</v>
      </c>
      <c r="AO280" s="12">
        <f>-AO124</f>
        <v>0</v>
      </c>
      <c r="AP280" s="12">
        <f>-AP124</f>
        <v>0</v>
      </c>
      <c r="AQ280" s="12">
        <f>SUM(AM280:AP280)</f>
        <v>0</v>
      </c>
      <c r="AR280" s="12">
        <f>-AR124</f>
        <v>0</v>
      </c>
      <c r="AS280" s="12">
        <f>-AS124</f>
        <v>0</v>
      </c>
      <c r="AT280" s="12">
        <f>-AT124</f>
        <v>0</v>
      </c>
      <c r="AU280" s="12">
        <f>-AU124</f>
        <v>0</v>
      </c>
      <c r="AV280" s="12">
        <f>SUM(AR280:AU280)</f>
        <v>0</v>
      </c>
      <c r="AW280" s="12">
        <f>-AW124</f>
        <v>0</v>
      </c>
      <c r="AX280" s="12">
        <f>-AX124</f>
        <v>0</v>
      </c>
      <c r="AY280" s="12">
        <f>-AY124</f>
        <v>0</v>
      </c>
      <c r="AZ280" s="12">
        <f>-AZ124</f>
        <v>0</v>
      </c>
      <c r="BA280" s="12">
        <f>SUM(AW280:AZ280)</f>
        <v>0</v>
      </c>
      <c r="BB280" s="12">
        <f>-BB124</f>
        <v>0</v>
      </c>
      <c r="BC280" s="12">
        <f>-BC124</f>
        <v>0</v>
      </c>
      <c r="BD280" s="12">
        <f>-BD124</f>
        <v>0</v>
      </c>
      <c r="BE280" s="12">
        <f>-BE124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4" t="inlineStr">
        <is>
          <t>Cash from operations</t>
        </is>
      </c>
      <c r="D281" s="12" t="n"/>
      <c r="E281" s="12" t="n"/>
      <c r="F281" s="12" t="n"/>
      <c r="G281" s="12" t="n"/>
      <c r="H281" s="12" t="n"/>
      <c r="I281" s="12" t="n"/>
      <c r="J281" s="12">
        <f>SUM(J265,J266,J267,J278,J279,J280)</f>
        <v>3565</v>
      </c>
      <c r="K281" s="12">
        <f>SUM(K265,K266,K267,K278,K279,K280)</f>
        <v>3292</v>
      </c>
      <c r="L281" s="12">
        <f>SUM(L265,L266,L267,L278,L279,L280)</f>
        <v>2982</v>
      </c>
      <c r="M281" s="12" t="n"/>
      <c r="N281" s="12">
        <f>SUM(N265,N266,N267,N278,N279,N280)</f>
        <v>3717</v>
      </c>
      <c r="O281" s="12">
        <f>SUM(O265,O266,O267,O278,O279,O280)</f>
        <v>4227</v>
      </c>
      <c r="P281" s="12">
        <f>SUM(P265,P266,P267,P278,P279,P280)</f>
        <v>4509</v>
      </c>
      <c r="Q281" s="12">
        <f>SUM(Q265,Q266,Q267,Q278,Q279,Q280)</f>
        <v>4461</v>
      </c>
      <c r="R281" s="12">
        <f>SUM(R265,R266,R267,R278,R279,R280)</f>
        <v>16914</v>
      </c>
      <c r="S281" s="12">
        <f>SUM(S265,S266,S267,S278,S279,S280)</f>
        <v>4317</v>
      </c>
      <c r="T281" s="12">
        <f>SUM(T265,T266,T267,T278,T279,T280)</f>
        <v>4107</v>
      </c>
      <c r="U281" s="12">
        <f>SUM(U265,U266,U267,U278,U279,U280)</f>
        <v>3647</v>
      </c>
      <c r="V281" s="12">
        <f>SUM(V265,V266,V267,V278,V279,V280)</f>
        <v>7139</v>
      </c>
      <c r="W281" s="12">
        <f>SUM(W265,W266,W267,W278,W279,W280)</f>
        <v>19210</v>
      </c>
      <c r="X281" s="12">
        <f>SUM(X265,X266,X267,X278,X279,X280)</f>
        <v>4295</v>
      </c>
      <c r="Y281" s="12">
        <f>SUM(Y265,Y266,Y267,Y278,Y279,Y280)</f>
        <v>4462</v>
      </c>
      <c r="Z281" s="12">
        <f>SUM(Z265,Z266,Z267,Z278,Z279,Z280)</f>
        <v>6049</v>
      </c>
      <c r="AA281" s="12">
        <f>SUM(AA265,AA266,AA267,AA278,AA279,AA280)</f>
        <v>6072</v>
      </c>
      <c r="AB281" s="12">
        <f>SUM(AB265,AB266,AB267,AB278,AB279,AB280)</f>
        <v>20878</v>
      </c>
      <c r="AC281" s="12">
        <f>SUM(AC265,AC266,AC267,AC278,AC279,AC280)</f>
        <v>5879</v>
      </c>
      <c r="AD281" s="12">
        <f>SUM(AD265,AD266,AD267,AD278,AD279,AD280)</f>
        <v>4976</v>
      </c>
      <c r="AE281" s="12">
        <f>SUM(AE265,AE266,AE267,AE278,AE279,AE280)</f>
        <v>9693</v>
      </c>
      <c r="AF281" s="12">
        <f>SUM(AF265,AF266,AF267,AF278,AF279,AF280)</f>
        <v>6254</v>
      </c>
      <c r="AG281" s="12">
        <f>SUM(AG265,AG266,AG267,AG278,AG279,AG280)</f>
        <v>26802</v>
      </c>
      <c r="AH281" s="12">
        <f>SUM(AH265,AH266,AH267,AH278,AH279,AH280)</f>
        <v>8746</v>
      </c>
      <c r="AI281" s="12">
        <f>SUM(AI265,AI266,AI267,AI278,AI279,AI280)</f>
        <v>11628</v>
      </c>
      <c r="AJ281" s="12">
        <f>SUM(AJ265,AJ266,AJ267,AJ278,AJ279,AJ280)</f>
        <v>16525.8398140958</v>
      </c>
      <c r="AK281" s="12">
        <f>SUM(AK265,AK266,AK267,AK278,AK279,AK280)</f>
        <v>14399.7775161874</v>
      </c>
      <c r="AL281" s="12">
        <f>SUM(AL265,AL266,AL267,AL278,AL279,AL280)</f>
        <v>51299.6173302832</v>
      </c>
      <c r="AM281" s="12">
        <f>SUM(AM265,AM266,AM267,AM278,AM279,AM280)</f>
        <v>15512.6689358882</v>
      </c>
      <c r="AN281" s="12">
        <f>SUM(AN265,AN266,AN267,AN278,AN279,AN280)</f>
        <v>18961.9819071958</v>
      </c>
      <c r="AO281" s="12">
        <f>SUM(AO265,AO266,AO267,AO278,AO279,AO280)</f>
        <v>24070.1748683834</v>
      </c>
      <c r="AP281" s="12">
        <f>SUM(AP265,AP266,AP267,AP278,AP279,AP280)</f>
        <v>21890.9955698347</v>
      </c>
      <c r="AQ281" s="12">
        <f>SUM(AQ265,AQ266,AQ267,AQ278,AQ279,AQ280)</f>
        <v>80435.821281302</v>
      </c>
      <c r="AR281" s="12">
        <f>SUM(AR265,AR266,AR267,AR278,AR279,AR280)</f>
        <v>24334.7739591545</v>
      </c>
      <c r="AS281" s="12">
        <f>SUM(AS265,AS266,AS267,AS278,AS279,AS280)</f>
        <v>29577.4754418696</v>
      </c>
      <c r="AT281" s="12">
        <f>SUM(AT265,AT266,AT267,AT278,AT279,AT280)</f>
        <v>38227.6144548956</v>
      </c>
      <c r="AU281" s="12">
        <f>SUM(AU265,AU266,AU267,AU278,AU279,AU280)</f>
        <v>37085.7702726449</v>
      </c>
      <c r="AV281" s="12">
        <f>SUM(AV265,AV266,AV267,AV278,AV279,AV280)</f>
        <v>129225.634128565</v>
      </c>
      <c r="AW281" s="12">
        <f>SUM(AW265,AW266,AW267,AW278,AW279,AW280)</f>
        <v>42606.7167061052</v>
      </c>
      <c r="AX281" s="12">
        <f>SUM(AX265,AX266,AX267,AX278,AX279,AX280)</f>
        <v>53853.0883745918</v>
      </c>
      <c r="AY281" s="12">
        <f>SUM(AY265,AY266,AY267,AY278,AY279,AY280)</f>
        <v>70263.0675251961</v>
      </c>
      <c r="AZ281" s="12">
        <f>SUM(AZ265,AZ266,AZ267,AZ278,AZ279,AZ280)</f>
        <v>75283.5502865863</v>
      </c>
      <c r="BA281" s="12">
        <f>SUM(BA265,BA266,BA267,BA278,BA279,BA280)</f>
        <v>242006.422892479</v>
      </c>
      <c r="BB281" s="12">
        <f>SUM(BB265,BB266,BB267,BB278,BB279,BB280)</f>
        <v>91506.9705453822</v>
      </c>
      <c r="BC281" s="12">
        <f>SUM(BC265,BC266,BC267,BC278,BC279,BC280)</f>
        <v>119010.408932985</v>
      </c>
      <c r="BD281" s="12">
        <f>SUM(BD265,BD266,BD267,BD278,BD279,BD280)</f>
        <v>158238.895449125</v>
      </c>
      <c r="BE281" s="12">
        <f>SUM(BE265,BE266,BE267,BE278,BE279,BE280)</f>
        <v>188003.473391256</v>
      </c>
      <c r="BF281" s="12">
        <f>SUM(BF265,BF266,BF267,BF278,BF279,BF280)</f>
        <v>556759.748318748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4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>
      <c r="C283" s="10" t="inlineStr">
        <is>
          <t>Purchase of fixed assets (capital expenditures)</t>
        </is>
      </c>
      <c r="D283" s="12" t="n"/>
      <c r="E283" s="12" t="n"/>
      <c r="F283" s="12" t="n"/>
      <c r="G283" s="12" t="n"/>
      <c r="H283" s="12" t="n"/>
      <c r="I283" s="12" t="n"/>
      <c r="J283" s="12">
        <f>-J156</f>
        <v>-1457</v>
      </c>
      <c r="K283" s="12">
        <f>-K156</f>
        <v>-1479</v>
      </c>
      <c r="L283" s="12">
        <f>-L156</f>
        <v>-1242</v>
      </c>
      <c r="M283" s="12" t="n"/>
      <c r="N283" s="12">
        <f>-N156</f>
        <v>-1223</v>
      </c>
      <c r="O283" s="12">
        <f>-O156</f>
        <v>-1205</v>
      </c>
      <c r="P283" s="12">
        <f>-P156</f>
        <v>-1189</v>
      </c>
      <c r="Q283" s="12">
        <f>-Q156</f>
        <v>-1010</v>
      </c>
      <c r="R283" s="12">
        <f>SUM(N283:Q283)</f>
        <v>-4627</v>
      </c>
      <c r="S283" s="12">
        <f>-S156</f>
        <v>-947</v>
      </c>
      <c r="T283" s="12">
        <f>-T156</f>
        <v>-903</v>
      </c>
      <c r="U283" s="12">
        <f>-U156</f>
        <v>-906</v>
      </c>
      <c r="V283" s="12">
        <f>-V156</f>
        <v>-2853</v>
      </c>
      <c r="W283" s="12">
        <f>SUM(S283:V283)</f>
        <v>-5609</v>
      </c>
      <c r="X283" s="12">
        <f>-X156</f>
        <v>-2536</v>
      </c>
      <c r="Y283" s="12">
        <f>-Y156</f>
        <v>-2458</v>
      </c>
      <c r="Z283" s="12">
        <f>-Z156</f>
        <v>-2530</v>
      </c>
      <c r="AA283" s="12">
        <f>-AA156</f>
        <v>-2118</v>
      </c>
      <c r="AB283" s="12">
        <f>SUM(X283:AA283)</f>
        <v>-9642</v>
      </c>
      <c r="AC283" s="12">
        <f>-AC156</f>
        <v>-2128</v>
      </c>
      <c r="AD283" s="12">
        <f>-AD156</f>
        <v>-2157</v>
      </c>
      <c r="AE283" s="12">
        <f>-AE156</f>
        <v>-2312</v>
      </c>
      <c r="AF283" s="12">
        <f>-AF156</f>
        <v>-2222</v>
      </c>
      <c r="AG283" s="12">
        <f>SUM(AC283:AF283)</f>
        <v>-8819</v>
      </c>
      <c r="AH283" s="12">
        <f>-AH156</f>
        <v>-2319</v>
      </c>
      <c r="AI283" s="12">
        <f>-AI156</f>
        <v>-2533</v>
      </c>
      <c r="AJ283" s="12">
        <f>-AJ156</f>
        <v>-2848.65937938823</v>
      </c>
      <c r="AK283" s="12">
        <f>-AK156</f>
        <v>-3053.5920774558</v>
      </c>
      <c r="AL283" s="12">
        <f>SUM(AH283:AK283)</f>
        <v>-10754.251456844</v>
      </c>
      <c r="AM283" s="12">
        <f>-AM156</f>
        <v>-3508.36556483412</v>
      </c>
      <c r="AN283" s="12">
        <f>-AN156</f>
        <v>-4679.13847879418</v>
      </c>
      <c r="AO283" s="12">
        <f>-AO156</f>
        <v>-3955.89572018999</v>
      </c>
      <c r="AP283" s="12">
        <f>-AP156</f>
        <v>-4240.48305593055</v>
      </c>
      <c r="AQ283" s="12">
        <f>SUM(AM283:AP283)</f>
        <v>-16383.8828197489</v>
      </c>
      <c r="AR283" s="12">
        <f>-AR156</f>
        <v>-4854.47917377757</v>
      </c>
      <c r="AS283" s="12">
        <f>-AS156</f>
        <v>-6474.46221802191</v>
      </c>
      <c r="AT283" s="12">
        <f>-AT156</f>
        <v>-5473.72074899672</v>
      </c>
      <c r="AU283" s="12">
        <f>-AU156</f>
        <v>-5867.5004931377</v>
      </c>
      <c r="AV283" s="12">
        <f>SUM(AR283:AU283)</f>
        <v>-22670.1626339339</v>
      </c>
      <c r="AW283" s="12">
        <f>-AW156</f>
        <v>-6692.8064299103</v>
      </c>
      <c r="AX283" s="12">
        <f>-AX156</f>
        <v>-8926.25569331031</v>
      </c>
      <c r="AY283" s="12">
        <f>-AY156</f>
        <v>-7546.54662487944</v>
      </c>
      <c r="AZ283" s="12">
        <f>-AZ156</f>
        <v>-8089.44556608642</v>
      </c>
      <c r="BA283" s="12">
        <f>SUM(AW283:AZ283)</f>
        <v>-31255.0543141865</v>
      </c>
      <c r="BB283" s="12">
        <f>-BB156</f>
        <v>-9193.81994719277</v>
      </c>
      <c r="BC283" s="12">
        <f>-BC156</f>
        <v>-12261.8797519891</v>
      </c>
      <c r="BD283" s="12">
        <f>-BD156</f>
        <v>-10366.5915963398</v>
      </c>
      <c r="BE283" s="12">
        <f>-BE156</f>
        <v>-11112.3647136784</v>
      </c>
      <c r="BF283" s="12">
        <f>SUM(BB283:BE283)</f>
        <v>-42934.6560092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>
      <c r="C284" s="10" t="inlineStr">
        <is>
          <t>Proceeds from sale of fixed assets</t>
        </is>
      </c>
      <c r="D284" s="12" t="n"/>
      <c r="E284" s="12" t="n"/>
      <c r="F284" s="12" t="n"/>
      <c r="G284" s="12" t="n"/>
      <c r="H284" s="12" t="n"/>
      <c r="I284" s="12" t="n"/>
      <c r="J284" s="12">
        <f>-J157</f>
        <v>0</v>
      </c>
      <c r="K284" s="12">
        <f>-K157</f>
        <v>0</v>
      </c>
      <c r="L284" s="12">
        <f>-L157</f>
        <v>0</v>
      </c>
      <c r="M284" s="12" t="n"/>
      <c r="N284" s="12">
        <f>-N157</f>
        <v>0</v>
      </c>
      <c r="O284" s="12">
        <f>-O157</f>
        <v>0</v>
      </c>
      <c r="P284" s="12">
        <f>-P157</f>
        <v>0</v>
      </c>
      <c r="Q284" s="12">
        <f>-Q157</f>
        <v>0</v>
      </c>
      <c r="R284" s="12">
        <f>SUM(N284:Q284)</f>
        <v>0</v>
      </c>
      <c r="S284" s="12">
        <f>-S157</f>
        <v>0</v>
      </c>
      <c r="T284" s="12">
        <f>-T157</f>
        <v>0</v>
      </c>
      <c r="U284" s="12">
        <f>-U157</f>
        <v>0</v>
      </c>
      <c r="V284" s="12">
        <f>-V157</f>
        <v>0</v>
      </c>
      <c r="W284" s="12">
        <f>SUM(S284:V284)</f>
        <v>0</v>
      </c>
      <c r="X284" s="12">
        <f>-X157</f>
        <v>0</v>
      </c>
      <c r="Y284" s="12">
        <f>-Y157</f>
        <v>0</v>
      </c>
      <c r="Z284" s="12">
        <f>-Z157</f>
        <v>0</v>
      </c>
      <c r="AA284" s="12">
        <f>-AA157</f>
        <v>0</v>
      </c>
      <c r="AB284" s="12">
        <f>SUM(X284:AA284)</f>
        <v>0</v>
      </c>
      <c r="AC284" s="12">
        <f>-AC157</f>
        <v>0</v>
      </c>
      <c r="AD284" s="12">
        <f>-AD157</f>
        <v>0</v>
      </c>
      <c r="AE284" s="12">
        <f>-AE157</f>
        <v>0</v>
      </c>
      <c r="AF284" s="12">
        <f>-AF157</f>
        <v>0</v>
      </c>
      <c r="AG284" s="12">
        <f>SUM(AC284:AF284)</f>
        <v>0</v>
      </c>
      <c r="AH284" s="12">
        <f>-AH157</f>
        <v>0</v>
      </c>
      <c r="AI284" s="12">
        <f>-AI157</f>
        <v>0</v>
      </c>
      <c r="AJ284" s="12">
        <f>-AJ157</f>
        <v>0</v>
      </c>
      <c r="AK284" s="12">
        <f>-AK157</f>
        <v>0</v>
      </c>
      <c r="AL284" s="12">
        <f>SUM(AH284:AK284)</f>
        <v>0</v>
      </c>
      <c r="AM284" s="12">
        <f>-AM157</f>
        <v>0</v>
      </c>
      <c r="AN284" s="12">
        <f>-AN157</f>
        <v>0</v>
      </c>
      <c r="AO284" s="12">
        <f>-AO157</f>
        <v>0</v>
      </c>
      <c r="AP284" s="12">
        <f>-AP157</f>
        <v>0</v>
      </c>
      <c r="AQ284" s="12">
        <f>SUM(AM284:AP284)</f>
        <v>0</v>
      </c>
      <c r="AR284" s="12">
        <f>-AR157</f>
        <v>0</v>
      </c>
      <c r="AS284" s="12">
        <f>-AS157</f>
        <v>0</v>
      </c>
      <c r="AT284" s="12">
        <f>-AT157</f>
        <v>0</v>
      </c>
      <c r="AU284" s="12">
        <f>-AU157</f>
        <v>0</v>
      </c>
      <c r="AV284" s="12">
        <f>SUM(AR284:AU284)</f>
        <v>0</v>
      </c>
      <c r="AW284" s="12">
        <f>-AW157</f>
        <v>0</v>
      </c>
      <c r="AX284" s="12">
        <f>-AX157</f>
        <v>0</v>
      </c>
      <c r="AY284" s="12">
        <f>-AY157</f>
        <v>0</v>
      </c>
      <c r="AZ284" s="12">
        <f>-AZ157</f>
        <v>0</v>
      </c>
      <c r="BA284" s="12">
        <f>SUM(AW284:AZ284)</f>
        <v>0</v>
      </c>
      <c r="BB284" s="12">
        <f>-BB157</f>
        <v>0</v>
      </c>
      <c r="BC284" s="12">
        <f>-BC157</f>
        <v>0</v>
      </c>
      <c r="BD284" s="12">
        <f>-BD157</f>
        <v>0</v>
      </c>
      <c r="BE284" s="12">
        <f>-BE157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0" t="inlineStr">
        <is>
          <t>Var.Right-of-use-assets</t>
        </is>
      </c>
      <c r="D285" s="12" t="n"/>
      <c r="E285" s="12" t="n"/>
      <c r="F285" s="12" t="n"/>
      <c r="G285" s="12" t="n"/>
      <c r="H285" s="12" t="n"/>
      <c r="I285" s="12" t="n"/>
      <c r="J285" s="12">
        <f>(J164-I164)*-1</f>
        <v>0</v>
      </c>
      <c r="K285" s="12">
        <f>(K164-J164)*-1</f>
        <v>0</v>
      </c>
      <c r="L285" s="12">
        <f>(L164-K164)*-1</f>
        <v>0</v>
      </c>
      <c r="M285" s="12" t="n"/>
      <c r="N285" s="12">
        <f>(N164-M164)*-1</f>
        <v>0</v>
      </c>
      <c r="O285" s="12">
        <f>(O164-N164)*-1</f>
        <v>0</v>
      </c>
      <c r="P285" s="12">
        <f>(P164-O164)*-1</f>
        <v>0</v>
      </c>
      <c r="Q285" s="12">
        <f>(Q164-P164)*-1</f>
        <v>0</v>
      </c>
      <c r="R285" s="12">
        <f>SUM(N285:Q285)</f>
        <v>0</v>
      </c>
      <c r="S285" s="12">
        <f>(S164-R164)*-1</f>
        <v>0</v>
      </c>
      <c r="T285" s="12">
        <f>(T164-S164)*-1</f>
        <v>0</v>
      </c>
      <c r="U285" s="12">
        <f>(U164-T164)*-1</f>
        <v>0</v>
      </c>
      <c r="V285" s="12">
        <f>(V164-U164)*-1</f>
        <v>0</v>
      </c>
      <c r="W285" s="12">
        <f>SUM(S285:V285)</f>
        <v>0</v>
      </c>
      <c r="X285" s="12">
        <f>(X164-W164)*-1</f>
        <v>0</v>
      </c>
      <c r="Y285" s="12">
        <f>(Y164-X164)*-1</f>
        <v>0</v>
      </c>
      <c r="Z285" s="12">
        <f>(Z164-Y164)*-1</f>
        <v>0</v>
      </c>
      <c r="AA285" s="12">
        <f>(AA164-Z164)*-1</f>
        <v>0</v>
      </c>
      <c r="AB285" s="12">
        <f>SUM(X285:AA285)</f>
        <v>0</v>
      </c>
      <c r="AC285" s="12">
        <f>(AC164-AB164)*-1</f>
        <v>0</v>
      </c>
      <c r="AD285" s="12">
        <f>(AD164-AC164)*-1</f>
        <v>0</v>
      </c>
      <c r="AE285" s="12">
        <f>(AE164-AD164)*-1</f>
        <v>0</v>
      </c>
      <c r="AF285" s="12">
        <f>(AF164-AE164)*-1</f>
        <v>0</v>
      </c>
      <c r="AG285" s="12">
        <f>SUM(AC285:AF285)</f>
        <v>0</v>
      </c>
      <c r="AH285" s="12">
        <f>(AH164-AG164)*-1</f>
        <v>0</v>
      </c>
      <c r="AI285" s="12">
        <f>(AI164-AH164)*-1</f>
        <v>0</v>
      </c>
      <c r="AJ285" s="12">
        <f>(AJ164-AI164)*-1</f>
        <v>0</v>
      </c>
      <c r="AK285" s="12">
        <f>(AK164-AJ164)*-1</f>
        <v>0</v>
      </c>
      <c r="AL285" s="12">
        <f>SUM(AH285:AK285)</f>
        <v>0</v>
      </c>
      <c r="AM285" s="12">
        <f>(AM164-AL164)*-1</f>
        <v>0</v>
      </c>
      <c r="AN285" s="12">
        <f>(AN164-AM164)*-1</f>
        <v>0</v>
      </c>
      <c r="AO285" s="12">
        <f>(AO164-AN164)*-1</f>
        <v>0</v>
      </c>
      <c r="AP285" s="12">
        <f>(AP164-AO164)*-1</f>
        <v>0</v>
      </c>
      <c r="AQ285" s="12">
        <f>SUM(AM285:AP285)</f>
        <v>0</v>
      </c>
      <c r="AR285" s="12">
        <f>(AR164-AQ164)*-1</f>
        <v>0</v>
      </c>
      <c r="AS285" s="12">
        <f>(AS164-AR164)*-1</f>
        <v>0</v>
      </c>
      <c r="AT285" s="12">
        <f>(AT164-AS164)*-1</f>
        <v>0</v>
      </c>
      <c r="AU285" s="12">
        <f>(AU164-AT164)*-1</f>
        <v>0</v>
      </c>
      <c r="AV285" s="12">
        <f>SUM(AR285:AU285)</f>
        <v>0</v>
      </c>
      <c r="AW285" s="12">
        <f>(AW164-AV164)*-1</f>
        <v>0</v>
      </c>
      <c r="AX285" s="12">
        <f>(AX164-AW164)*-1</f>
        <v>0</v>
      </c>
      <c r="AY285" s="12">
        <f>(AY164-AX164)*-1</f>
        <v>0</v>
      </c>
      <c r="AZ285" s="12">
        <f>(AZ164-AY164)*-1</f>
        <v>0</v>
      </c>
      <c r="BA285" s="12">
        <f>SUM(AW285:AZ285)</f>
        <v>0</v>
      </c>
      <c r="BB285" s="12">
        <f>(BB164-BA164)*-1</f>
        <v>0</v>
      </c>
      <c r="BC285" s="12">
        <f>(BC164-BB164)*-1</f>
        <v>0</v>
      </c>
      <c r="BD285" s="12">
        <f>(BD164-BC164)*-1</f>
        <v>0</v>
      </c>
      <c r="BE285" s="12">
        <f>(BE164-BD164)*-1</f>
        <v>0</v>
      </c>
      <c r="BF285" s="12">
        <f>SUM(BB285:BE285)</f>
        <v>0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  <c r="CZ285" s="12" t="n"/>
      <c r="DA285" s="12" t="n"/>
      <c r="DB285" s="12" t="n"/>
      <c r="DC285" s="12" t="n"/>
    </row>
    <row r="286">
      <c r="C286" s="10" t="inlineStr">
        <is>
          <t>Purchases of intangible assets</t>
        </is>
      </c>
      <c r="D286" s="12" t="n"/>
      <c r="E286" s="12" t="n"/>
      <c r="F286" s="12" t="n"/>
      <c r="G286" s="12" t="n"/>
      <c r="H286" s="12" t="n"/>
      <c r="I286" s="12" t="n"/>
      <c r="J286" s="12">
        <f>((J168-I168)*-1)+((J167-I167)*-1)</f>
        <v>1349</v>
      </c>
      <c r="K286" s="12">
        <f>((K168-J168)*-1)+((K167-J167)*-1)</f>
        <v>1352</v>
      </c>
      <c r="L286" s="12">
        <f>((L168-K168)*-1)+((L167-K167)*-1)</f>
        <v>1130</v>
      </c>
      <c r="M286" s="12" t="n"/>
      <c r="N286" s="12">
        <f>((N168-M168)*-1)+((N167-M167)*-1)</f>
        <v>850</v>
      </c>
      <c r="O286" s="12">
        <f>((O168-N168)*-1)+((O167-N167)*-1)</f>
        <v>1062</v>
      </c>
      <c r="P286" s="12">
        <f>((P168-O168)*-1)+((P167-O167)*-1)</f>
        <v>1057</v>
      </c>
      <c r="Q286" s="12">
        <f>((Q168-P168)*-1)+((Q167-P167)*-1)</f>
        <v>886</v>
      </c>
      <c r="R286" s="12">
        <f>SUM(N286:Q286)</f>
        <v>3855</v>
      </c>
      <c r="S286" s="12">
        <f>((S168-R168)*-1)+((S167-R167)*-1)</f>
        <v>791</v>
      </c>
      <c r="T286" s="12">
        <f>((T168-S168)*-1)+((T167-S167)*-1)</f>
        <v>775</v>
      </c>
      <c r="U286" s="12">
        <f>((U168-T168)*-1)+((U167-T167)*-1)</f>
        <v>753</v>
      </c>
      <c r="V286" s="12">
        <f>((V168-U168)*-1)+((V167-U167)*-1)</f>
        <v>-97251</v>
      </c>
      <c r="W286" s="12">
        <f>SUM(S286:V286)</f>
        <v>-94932</v>
      </c>
      <c r="X286" s="12">
        <f>((X168-W168)*-1)+((X167-W167)*-1)</f>
        <v>1491</v>
      </c>
      <c r="Y286" s="12">
        <f>((Y168-X168)*-1)+((Y167-X167)*-1)</f>
        <v>2373</v>
      </c>
      <c r="Z286" s="12">
        <f>((Z168-Y168)*-1)+((Z167-Y167)*-1)</f>
        <v>2451</v>
      </c>
      <c r="AA286" s="12">
        <f>((AA168-Z168)*-1)+((AA167-Z167)*-1)</f>
        <v>2002</v>
      </c>
      <c r="AB286" s="12">
        <f>SUM(X286:AA286)</f>
        <v>8317</v>
      </c>
      <c r="AC286" s="12">
        <f>((AC168-AB168)*-1)+((AC167-AB167)*-1)</f>
        <v>2260</v>
      </c>
      <c r="AD286" s="12">
        <f>((AD168-AC168)*-1)+((AD167-AC167)*-1)</f>
        <v>2049</v>
      </c>
      <c r="AE286" s="12">
        <f>((AE168-AD168)*-1)+((AE167-AD167)*-1)</f>
        <v>2071</v>
      </c>
      <c r="AF286" s="12">
        <f>((AF168-AE168)*-1)+((AF167-AE167)*-1)</f>
        <v>1971</v>
      </c>
      <c r="AG286" s="12">
        <f>SUM(AC286:AF286)</f>
        <v>8351</v>
      </c>
      <c r="AH286" s="12">
        <f>((AH168-AG168)*-1)+((AH167-AG167)*-1)</f>
        <v>1969</v>
      </c>
      <c r="AI286" s="12">
        <f>((AI168-AH168)*-1)+((AI167-AH167)*-1)</f>
        <v>2008</v>
      </c>
      <c r="AJ286" s="12">
        <f>((AJ168-AI168)*-1)+((AJ167-AI167)*-1)</f>
        <v>0</v>
      </c>
      <c r="AK286" s="12">
        <f>((AK168-AJ168)*-1)+((AK167-AJ167)*-1)</f>
        <v>0</v>
      </c>
      <c r="AL286" s="12">
        <f>SUM(AH286:AK286)</f>
        <v>3977</v>
      </c>
      <c r="AM286" s="12">
        <f>((AM168-AL168)*-1)+((AM167-AL167)*-1)</f>
        <v>0</v>
      </c>
      <c r="AN286" s="12">
        <f>((AN168-AM168)*-1)+((AN167-AM167)*-1)</f>
        <v>0</v>
      </c>
      <c r="AO286" s="12">
        <f>((AO168-AN168)*-1)+((AO167-AN167)*-1)</f>
        <v>0</v>
      </c>
      <c r="AP286" s="12">
        <f>((AP168-AO168)*-1)+((AP167-AO167)*-1)</f>
        <v>0</v>
      </c>
      <c r="AQ286" s="12">
        <f>SUM(AM286:AP286)</f>
        <v>0</v>
      </c>
      <c r="AR286" s="12">
        <f>((AR168-AQ168)*-1)+((AR167-AQ167)*-1)</f>
        <v>0</v>
      </c>
      <c r="AS286" s="12">
        <f>((AS168-AR168)*-1)+((AS167-AR167)*-1)</f>
        <v>0</v>
      </c>
      <c r="AT286" s="12">
        <f>((AT168-AS168)*-1)+((AT167-AS167)*-1)</f>
        <v>0</v>
      </c>
      <c r="AU286" s="12">
        <f>((AU168-AT168)*-1)+((AU167-AT167)*-1)</f>
        <v>0</v>
      </c>
      <c r="AV286" s="12">
        <f>SUM(AR286:AU286)</f>
        <v>0</v>
      </c>
      <c r="AW286" s="12">
        <f>((AW168-AV168)*-1)+((AW167-AV167)*-1)</f>
        <v>0</v>
      </c>
      <c r="AX286" s="12">
        <f>((AX168-AW168)*-1)+((AX167-AW167)*-1)</f>
        <v>0</v>
      </c>
      <c r="AY286" s="12">
        <f>((AY168-AX168)*-1)+((AY167-AX167)*-1)</f>
        <v>0</v>
      </c>
      <c r="AZ286" s="12">
        <f>((AZ168-AY168)*-1)+((AZ167-AY167)*-1)</f>
        <v>0</v>
      </c>
      <c r="BA286" s="12">
        <f>SUM(AW286:AZ286)</f>
        <v>0</v>
      </c>
      <c r="BB286" s="12">
        <f>((BB168-BA168)*-1)+((BB167-BA167)*-1)</f>
        <v>0</v>
      </c>
      <c r="BC286" s="12">
        <f>((BC168-BB168)*-1)+((BC167-BB167)*-1)</f>
        <v>0</v>
      </c>
      <c r="BD286" s="12">
        <f>((BD168-BC168)*-1)+((BD167-BC167)*-1)</f>
        <v>0</v>
      </c>
      <c r="BE286" s="12">
        <f>((BE168-BD168)*-1)+((BE167-BD167)*-1)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  <c r="CZ286" s="12" t="n"/>
      <c r="DA286" s="12" t="n"/>
      <c r="DB286" s="12" t="n"/>
      <c r="DC286" s="12" t="n"/>
    </row>
    <row r="287">
      <c r="C287" s="71" t="inlineStr">
        <is>
          <t>Purchases/Proceeds from other long-term assets</t>
        </is>
      </c>
      <c r="D287" s="12" t="n"/>
      <c r="E287" s="12" t="n"/>
      <c r="F287" s="12" t="n"/>
      <c r="G287" s="12" t="n"/>
      <c r="H287" s="12" t="n"/>
      <c r="I287" s="12" t="n"/>
      <c r="J287" s="12">
        <f>((J177-I177)*-1)+(J228-I228)</f>
        <v>-488</v>
      </c>
      <c r="K287" s="12">
        <f>((K177-J177)*-1)+(K228-J228)</f>
        <v>-88</v>
      </c>
      <c r="L287" s="12">
        <f>((L177-K177)*-1)+(L228-K228)</f>
        <v>-196</v>
      </c>
      <c r="M287" s="12" t="n"/>
      <c r="N287" s="12">
        <f>((N177-M177)*-1)+(N228-M228)</f>
        <v>0</v>
      </c>
      <c r="O287" s="12">
        <f>((O177-N177)*-1)+(O228-N228)</f>
        <v>-55</v>
      </c>
      <c r="P287" s="12">
        <f>((P177-O177)*-1)+(P228-O228)</f>
        <v>-181</v>
      </c>
      <c r="Q287" s="12">
        <f>((Q177-P177)*-1)+(Q228-P228)</f>
        <v>-700</v>
      </c>
      <c r="R287" s="12">
        <f>SUM(N287:Q287)</f>
        <v>-936</v>
      </c>
      <c r="S287" s="12">
        <f>((S177-R177)*-1)+(S228-R228)</f>
        <v>-500</v>
      </c>
      <c r="T287" s="12">
        <f>((T177-S177)*-1)+(T228-S228)</f>
        <v>-276</v>
      </c>
      <c r="U287" s="12">
        <f>((U177-T177)*-1)+(U228-T228)</f>
        <v>367</v>
      </c>
      <c r="V287" s="12">
        <f>((V177-U177)*-1)+(V228-U228)</f>
        <v>8997</v>
      </c>
      <c r="W287" s="12">
        <f>SUM(S287:V287)</f>
        <v>8588</v>
      </c>
      <c r="X287" s="12">
        <f>((X177-W177)*-1)+(X228-W228)</f>
        <v>-976</v>
      </c>
      <c r="Y287" s="12">
        <f>((Y177-X177)*-1)+(Y228-X228)</f>
        <v>2258</v>
      </c>
      <c r="Z287" s="12">
        <f>((Z177-Y177)*-1)+(Z228-Y228)</f>
        <v>-1884</v>
      </c>
      <c r="AA287" s="12">
        <f>((AA177-Z177)*-1)+(AA228-Z228)</f>
        <v>-1618</v>
      </c>
      <c r="AB287" s="12">
        <f>SUM(X287:AA287)</f>
        <v>-2220</v>
      </c>
      <c r="AC287" s="12">
        <f>((AC177-AB177)*-1)+(AC228-AB228)</f>
        <v>-1381</v>
      </c>
      <c r="AD287" s="12">
        <f>((AD177-AC177)*-1)+(AD228-AC228)</f>
        <v>-120</v>
      </c>
      <c r="AE287" s="12">
        <f>((AE177-AD177)*-1)+(AE228-AD228)</f>
        <v>-4396</v>
      </c>
      <c r="AF287" s="12">
        <f>((AF177-AE177)*-1)+(AF228-AE228)</f>
        <v>-159</v>
      </c>
      <c r="AG287" s="12">
        <f>SUM(AC287:AF287)</f>
        <v>-6056</v>
      </c>
      <c r="AH287" s="12">
        <f>((AH177-AG177)*-1)+(AH228-AG228)</f>
        <v>-301</v>
      </c>
      <c r="AI287" s="12">
        <f>((AI177-AH177)*-1)+(AI228-AH228)</f>
        <v>-179</v>
      </c>
      <c r="AJ287" s="12">
        <f>((AJ177-AI177)*-1)+(AJ228-AI228)</f>
        <v>0</v>
      </c>
      <c r="AK287" s="12">
        <f>((AK177-AJ177)*-1)+(AK228-AJ228)</f>
        <v>0</v>
      </c>
      <c r="AL287" s="12">
        <f>SUM(AH287:AK287)</f>
        <v>-480</v>
      </c>
      <c r="AM287" s="12">
        <f>((AM177-AL177)*-1)+(AM228-AL228)</f>
        <v>0</v>
      </c>
      <c r="AN287" s="12">
        <f>((AN177-AM177)*-1)+(AN228-AM228)</f>
        <v>0</v>
      </c>
      <c r="AO287" s="12">
        <f>((AO177-AN177)*-1)+(AO228-AN228)</f>
        <v>0</v>
      </c>
      <c r="AP287" s="12">
        <f>((AP177-AO177)*-1)+(AP228-AO228)</f>
        <v>0</v>
      </c>
      <c r="AQ287" s="12">
        <f>SUM(AM287:AP287)</f>
        <v>0</v>
      </c>
      <c r="AR287" s="12">
        <f>((AR177-AQ177)*-1)+(AR228-AQ228)</f>
        <v>0</v>
      </c>
      <c r="AS287" s="12">
        <f>((AS177-AR177)*-1)+(AS228-AR228)</f>
        <v>0</v>
      </c>
      <c r="AT287" s="12">
        <f>((AT177-AS177)*-1)+(AT228-AS228)</f>
        <v>0</v>
      </c>
      <c r="AU287" s="12">
        <f>((AU177-AT177)*-1)+(AU228-AT228)</f>
        <v>0</v>
      </c>
      <c r="AV287" s="12">
        <f>SUM(AR287:AU287)</f>
        <v>0</v>
      </c>
      <c r="AW287" s="12">
        <f>((AW177-AV177)*-1)+(AW228-AV228)</f>
        <v>0</v>
      </c>
      <c r="AX287" s="12">
        <f>((AX177-AW177)*-1)+(AX228-AW228)</f>
        <v>0</v>
      </c>
      <c r="AY287" s="12">
        <f>((AY177-AX177)*-1)+(AY228-AX228)</f>
        <v>0</v>
      </c>
      <c r="AZ287" s="12">
        <f>((AZ177-AY177)*-1)+(AZ228-AY228)</f>
        <v>0</v>
      </c>
      <c r="BA287" s="12">
        <f>SUM(AW287:AZ287)</f>
        <v>0</v>
      </c>
      <c r="BB287" s="12">
        <f>((BB177-BA177)*-1)+(BB228-BA228)</f>
        <v>0</v>
      </c>
      <c r="BC287" s="12">
        <f>((BC177-BB177)*-1)+(BC228-BB228)</f>
        <v>0</v>
      </c>
      <c r="BD287" s="12">
        <f>((BD177-BC177)*-1)+(BD228-BC228)</f>
        <v>0</v>
      </c>
      <c r="BE287" s="12">
        <f>((BE177-BD177)*-1)+(BE228-BD228)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Cash from investing</t>
        </is>
      </c>
      <c r="D288" s="12" t="n"/>
      <c r="E288" s="12" t="n"/>
      <c r="F288" s="12" t="n"/>
      <c r="G288" s="12" t="n"/>
      <c r="H288" s="12" t="n"/>
      <c r="I288" s="12" t="n"/>
      <c r="J288" s="12">
        <f>SUM(J283,J284,J286,J287,J285)</f>
        <v>-596</v>
      </c>
      <c r="K288" s="12">
        <f>SUM(K283,K284,K286,K287,K285)</f>
        <v>-215</v>
      </c>
      <c r="L288" s="12">
        <f>SUM(L283,L284,L286,L287,L285)</f>
        <v>-308</v>
      </c>
      <c r="M288" s="12" t="n"/>
      <c r="N288" s="12">
        <f>SUM(N283,N284,N286,N287,N285)</f>
        <v>-373</v>
      </c>
      <c r="O288" s="12">
        <f>SUM(O283,O284,O286,O287,O285)</f>
        <v>-198</v>
      </c>
      <c r="P288" s="12">
        <f>SUM(P283,P284,P286,P287,P285)</f>
        <v>-313</v>
      </c>
      <c r="Q288" s="12">
        <f>SUM(Q283,Q284,Q286,Q287,Q285)</f>
        <v>-824</v>
      </c>
      <c r="R288" s="12">
        <f>SUM(R283,R284,R286,R287)</f>
        <v>-1708</v>
      </c>
      <c r="S288" s="12">
        <f>SUM(S283,S284,S286,S287,S285)</f>
        <v>-656</v>
      </c>
      <c r="T288" s="12">
        <f>SUM(T283,T284,T286,T287,T285)</f>
        <v>-404</v>
      </c>
      <c r="U288" s="12">
        <f>SUM(U283,U284,U286,U287,U285)</f>
        <v>214</v>
      </c>
      <c r="V288" s="12">
        <f>SUM(V283,V284,V286,V287,V285)</f>
        <v>-91107</v>
      </c>
      <c r="W288" s="12">
        <f>SUM(W283,W284,W286,W287)</f>
        <v>-91953</v>
      </c>
      <c r="X288" s="12">
        <f>SUM(X283,X284,X286,X287,X285)</f>
        <v>-2021</v>
      </c>
      <c r="Y288" s="12">
        <f>SUM(Y283,Y284,Y286,Y287,Y285)</f>
        <v>2173</v>
      </c>
      <c r="Z288" s="12">
        <f>SUM(Z283,Z284,Z286,Z287,Z285)</f>
        <v>-1963</v>
      </c>
      <c r="AA288" s="12">
        <f>SUM(AA283,AA284,AA286,AA287,AA285)</f>
        <v>-1734</v>
      </c>
      <c r="AB288" s="12">
        <f>SUM(AB283,AB284,AB286,AB287)</f>
        <v>-3545</v>
      </c>
      <c r="AC288" s="12">
        <f>SUM(AC283,AC284,AC286,AC287,AC285)</f>
        <v>-1249</v>
      </c>
      <c r="AD288" s="12">
        <f>SUM(AD283,AD284,AD286,AD287,AD285)</f>
        <v>-228</v>
      </c>
      <c r="AE288" s="12">
        <f>SUM(AE283,AE284,AE286,AE287,AE285)</f>
        <v>-4637</v>
      </c>
      <c r="AF288" s="12">
        <f>SUM(AF283,AF284,AF286,AF287,AF285)</f>
        <v>-410</v>
      </c>
      <c r="AG288" s="12">
        <f>SUM(AG283,AG284,AG286,AG287)</f>
        <v>-6524</v>
      </c>
      <c r="AH288" s="12">
        <f>SUM(AH283,AH284,AH286,AH287,AH285)</f>
        <v>-651</v>
      </c>
      <c r="AI288" s="12">
        <f>SUM(AI283,AI284,AI286,AI287,AI285)</f>
        <v>-704</v>
      </c>
      <c r="AJ288" s="12">
        <f>SUM(AJ283,AJ284,AJ286,AJ287,AJ285)</f>
        <v>-2848.65937938823</v>
      </c>
      <c r="AK288" s="12">
        <f>SUM(AK283,AK284,AK286,AK287,AK285)</f>
        <v>-3053.5920774558</v>
      </c>
      <c r="AL288" s="12">
        <f>SUM(AL283,AL284,AL286,AL287)</f>
        <v>-7257.25145684403</v>
      </c>
      <c r="AM288" s="12">
        <f>SUM(AM283,AM284,AM286,AM287,AM285)</f>
        <v>-3508.36556483412</v>
      </c>
      <c r="AN288" s="12">
        <f>SUM(AN283,AN284,AN286,AN287,AN285)</f>
        <v>-4679.13847879418</v>
      </c>
      <c r="AO288" s="12">
        <f>SUM(AO283,AO284,AO286,AO287,AO285)</f>
        <v>-3955.89572018999</v>
      </c>
      <c r="AP288" s="12">
        <f>SUM(AP283,AP284,AP286,AP287,AP285)</f>
        <v>-4240.48305593055</v>
      </c>
      <c r="AQ288" s="12">
        <f>SUM(AQ283,AQ284,AQ286,AQ287)</f>
        <v>-16383.8828197489</v>
      </c>
      <c r="AR288" s="12">
        <f>SUM(AR283,AR284,AR286,AR287,AR285)</f>
        <v>-4854.47917377757</v>
      </c>
      <c r="AS288" s="12">
        <f>SUM(AS283,AS284,AS286,AS287,AS285)</f>
        <v>-6474.46221802191</v>
      </c>
      <c r="AT288" s="12">
        <f>SUM(AT283,AT284,AT286,AT287,AT285)</f>
        <v>-5473.72074899672</v>
      </c>
      <c r="AU288" s="12">
        <f>SUM(AU283,AU284,AU286,AU287,AU285)</f>
        <v>-5867.5004931377</v>
      </c>
      <c r="AV288" s="12">
        <f>SUM(AV283,AV284,AV286,AV287)</f>
        <v>-22670.1626339339</v>
      </c>
      <c r="AW288" s="12">
        <f>SUM(AW283,AW284,AW286,AW287,AW285)</f>
        <v>-6692.8064299103</v>
      </c>
      <c r="AX288" s="12">
        <f>SUM(AX283,AX284,AX286,AX287,AX285)</f>
        <v>-8926.25569331031</v>
      </c>
      <c r="AY288" s="12">
        <f>SUM(AY283,AY284,AY286,AY287,AY285)</f>
        <v>-7546.54662487944</v>
      </c>
      <c r="AZ288" s="12">
        <f>SUM(AZ283,AZ284,AZ286,AZ287,AZ285)</f>
        <v>-8089.44556608642</v>
      </c>
      <c r="BA288" s="12">
        <f>SUM(BA283,BA284,BA286,BA287)</f>
        <v>-31255.0543141865</v>
      </c>
      <c r="BB288" s="12">
        <f>SUM(BB283,BB284,BB286,BB287,BB285)</f>
        <v>-9193.81994719277</v>
      </c>
      <c r="BC288" s="12">
        <f>SUM(BC283,BC284,BC286,BC287,BC285)</f>
        <v>-12261.8797519891</v>
      </c>
      <c r="BD288" s="12">
        <f>SUM(BD283,BD284,BD286,BD287,BD285)</f>
        <v>-10366.5915963398</v>
      </c>
      <c r="BE288" s="12">
        <f>SUM(BE283,BE284,BE286,BE287,BE285)</f>
        <v>-11112.3647136784</v>
      </c>
      <c r="BF288" s="12">
        <f>SUM(BF283,BF284,BF286,BF287)</f>
        <v>-42934.6560092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14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4" t="inlineStr">
        <is>
          <t>Convertible preferred stock</t>
        </is>
      </c>
      <c r="D290" s="12" t="n"/>
      <c r="E290" s="12" t="n"/>
      <c r="F290" s="12" t="n"/>
      <c r="G290" s="12" t="n"/>
      <c r="H290" s="12" t="n"/>
      <c r="I290" s="12" t="n"/>
      <c r="J290" s="12">
        <f>J241-I241</f>
        <v>0</v>
      </c>
      <c r="K290" s="12">
        <f>K241-J241</f>
        <v>0</v>
      </c>
      <c r="L290" s="12">
        <f>L241-K241</f>
        <v>0</v>
      </c>
      <c r="M290" s="12" t="n"/>
      <c r="N290" s="12">
        <f>N241-M241</f>
        <v>0</v>
      </c>
      <c r="O290" s="12">
        <f>O241-N241</f>
        <v>0</v>
      </c>
      <c r="P290" s="12">
        <f>P241-O241</f>
        <v>0</v>
      </c>
      <c r="Q290" s="12">
        <f>Q241-P241</f>
        <v>0</v>
      </c>
      <c r="R290" s="12">
        <f>SUM(N290:Q290)</f>
        <v>0</v>
      </c>
      <c r="S290" s="12">
        <f>S241-R241</f>
        <v>0</v>
      </c>
      <c r="T290" s="12">
        <f>T241-S241</f>
        <v>0</v>
      </c>
      <c r="U290" s="12">
        <f>U241-T241</f>
        <v>0</v>
      </c>
      <c r="V290" s="12">
        <f>V241-U241</f>
        <v>0</v>
      </c>
      <c r="W290" s="12">
        <f>SUM(S290:V290)</f>
        <v>0</v>
      </c>
      <c r="X290" s="12">
        <f>X241-W241</f>
        <v>0</v>
      </c>
      <c r="Y290" s="12">
        <f>Y241-X241</f>
        <v>0</v>
      </c>
      <c r="Z290" s="12">
        <f>Z241-Y241</f>
        <v>0</v>
      </c>
      <c r="AA290" s="12">
        <f>AA241-Z241</f>
        <v>0</v>
      </c>
      <c r="AB290" s="12">
        <f>SUM(X290:AA290)</f>
        <v>0</v>
      </c>
      <c r="AC290" s="12">
        <f>AC241-AB241</f>
        <v>0</v>
      </c>
      <c r="AD290" s="12">
        <f>AD241-AC241</f>
        <v>0</v>
      </c>
      <c r="AE290" s="12">
        <f>AE241-AD241</f>
        <v>0</v>
      </c>
      <c r="AF290" s="12">
        <f>AF241-AE241</f>
        <v>0</v>
      </c>
      <c r="AG290" s="12">
        <f>SUM(AC290:AF290)</f>
        <v>0</v>
      </c>
      <c r="AH290" s="12">
        <f>AH241-AG241</f>
        <v>0</v>
      </c>
      <c r="AI290" s="12">
        <f>AI241-AH241</f>
        <v>0</v>
      </c>
      <c r="AJ290" s="12">
        <f>AJ241-AI241</f>
        <v>0</v>
      </c>
      <c r="AK290" s="12">
        <f>AK241-AJ241</f>
        <v>0</v>
      </c>
      <c r="AL290" s="12">
        <f>SUM(AH290:AK290)</f>
        <v>0</v>
      </c>
      <c r="AM290" s="12">
        <f>AM241-AL241</f>
        <v>0</v>
      </c>
      <c r="AN290" s="12">
        <f>AN241-AM241</f>
        <v>0</v>
      </c>
      <c r="AO290" s="12">
        <f>AO241-AN241</f>
        <v>0</v>
      </c>
      <c r="AP290" s="12">
        <f>AP241-AO241</f>
        <v>0</v>
      </c>
      <c r="AQ290" s="12">
        <f>SUM(AM290:AP290)</f>
        <v>0</v>
      </c>
      <c r="AR290" s="12">
        <f>AR241-AQ241</f>
        <v>0</v>
      </c>
      <c r="AS290" s="12">
        <f>AS241-AR241</f>
        <v>0</v>
      </c>
      <c r="AT290" s="12">
        <f>AT241-AS241</f>
        <v>0</v>
      </c>
      <c r="AU290" s="12">
        <f>AU241-AT241</f>
        <v>0</v>
      </c>
      <c r="AV290" s="12">
        <f>SUM(AR290:AU290)</f>
        <v>0</v>
      </c>
      <c r="AW290" s="12">
        <f>AW241-AV241</f>
        <v>0</v>
      </c>
      <c r="AX290" s="12">
        <f>AX241-AW241</f>
        <v>0</v>
      </c>
      <c r="AY290" s="12">
        <f>AY241-AX241</f>
        <v>0</v>
      </c>
      <c r="AZ290" s="12">
        <f>AZ241-AY241</f>
        <v>0</v>
      </c>
      <c r="BA290" s="12">
        <f>SUM(AW290:AZ290)</f>
        <v>0</v>
      </c>
      <c r="BB290" s="12">
        <f>BB241-BA241</f>
        <v>0</v>
      </c>
      <c r="BC290" s="12">
        <f>BC241-BB241</f>
        <v>0</v>
      </c>
      <c r="BD290" s="12">
        <f>BD241-BC241</f>
        <v>0</v>
      </c>
      <c r="BE290" s="12">
        <f>BE241-BD241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4" t="inlineStr">
        <is>
          <t>Common stock and APIC</t>
        </is>
      </c>
      <c r="D291" s="12" t="n"/>
      <c r="E291" s="12" t="n"/>
      <c r="F291" s="12" t="n"/>
      <c r="G291" s="12" t="n"/>
      <c r="H291" s="12" t="n"/>
      <c r="I291" s="12" t="n"/>
      <c r="J291" s="12">
        <f>J242-I242</f>
        <v>81</v>
      </c>
      <c r="K291" s="12">
        <f>K242-J242</f>
        <v>204</v>
      </c>
      <c r="L291" s="12">
        <f>L242-K242</f>
        <v>-1247</v>
      </c>
      <c r="M291" s="12" t="n"/>
      <c r="N291" s="12">
        <f>N242-M242</f>
        <v>-2005</v>
      </c>
      <c r="O291" s="12">
        <f>O242-N242</f>
        <v>-88</v>
      </c>
      <c r="P291" s="12">
        <f>P242-O242</f>
        <v>169</v>
      </c>
      <c r="Q291" s="12">
        <f>Q242-P242</f>
        <v>-40</v>
      </c>
      <c r="R291" s="12">
        <f>SUM(N291:Q291)</f>
        <v>-1964</v>
      </c>
      <c r="S291" s="12">
        <f>S242-R242</f>
        <v>-293</v>
      </c>
      <c r="T291" s="12">
        <f>T242-S242</f>
        <v>29</v>
      </c>
      <c r="U291" s="12">
        <f>U242-T242</f>
        <v>244</v>
      </c>
      <c r="V291" s="12">
        <f>V242-U242</f>
        <v>48978</v>
      </c>
      <c r="W291" s="12">
        <f>SUM(S291:V291)</f>
        <v>48958</v>
      </c>
      <c r="X291" s="12">
        <f>X242-W242</f>
        <v>-323</v>
      </c>
      <c r="Y291" s="12">
        <f>Y242-X242</f>
        <v>-2436</v>
      </c>
      <c r="Z291" s="12">
        <f>Z242-Y242</f>
        <v>153</v>
      </c>
      <c r="AA291" s="12">
        <f>AA242-Z242</f>
        <v>-618</v>
      </c>
      <c r="AB291" s="12">
        <f>SUM(X291:AA291)</f>
        <v>-3224</v>
      </c>
      <c r="AC291" s="12">
        <f>AC242-AB242</f>
        <v>-159</v>
      </c>
      <c r="AD291" s="12">
        <f>AD242-AC242</f>
        <v>2322</v>
      </c>
      <c r="AE291" s="12">
        <f>AE242-AD242</f>
        <v>2297</v>
      </c>
      <c r="AF291" s="12">
        <f>AF242-AE242</f>
        <v>1827</v>
      </c>
      <c r="AG291" s="12">
        <f>SUM(AC291:AF291)</f>
        <v>6287</v>
      </c>
      <c r="AH291" s="12">
        <f>AH242-AG242</f>
        <v>2177</v>
      </c>
      <c r="AI291" s="12">
        <f>AI242-AH242</f>
        <v>2018</v>
      </c>
      <c r="AJ291" s="12">
        <f>AJ242-AI242</f>
        <v>0</v>
      </c>
      <c r="AK291" s="12">
        <f>AK242-AJ242</f>
        <v>0</v>
      </c>
      <c r="AL291" s="12">
        <f>SUM(AH291:AK291)</f>
        <v>4195</v>
      </c>
      <c r="AM291" s="12">
        <f>AM242-AL242</f>
        <v>0</v>
      </c>
      <c r="AN291" s="12">
        <f>AN242-AM242</f>
        <v>0</v>
      </c>
      <c r="AO291" s="12">
        <f>AO242-AN242</f>
        <v>0</v>
      </c>
      <c r="AP291" s="12">
        <f>AP242-AO242</f>
        <v>0</v>
      </c>
      <c r="AQ291" s="12">
        <f>SUM(AM291:AP291)</f>
        <v>0</v>
      </c>
      <c r="AR291" s="12">
        <f>AR242-AQ242</f>
        <v>0</v>
      </c>
      <c r="AS291" s="12">
        <f>AS242-AR242</f>
        <v>0</v>
      </c>
      <c r="AT291" s="12">
        <f>AT242-AS242</f>
        <v>0</v>
      </c>
      <c r="AU291" s="12">
        <f>AU242-AT242</f>
        <v>0</v>
      </c>
      <c r="AV291" s="12">
        <f>SUM(AR291:AU291)</f>
        <v>0</v>
      </c>
      <c r="AW291" s="12">
        <f>AW242-AV242</f>
        <v>0</v>
      </c>
      <c r="AX291" s="12">
        <f>AX242-AW242</f>
        <v>0</v>
      </c>
      <c r="AY291" s="12">
        <f>AY242-AX242</f>
        <v>0</v>
      </c>
      <c r="AZ291" s="12">
        <f>AZ242-AY242</f>
        <v>0</v>
      </c>
      <c r="BA291" s="12">
        <f>SUM(AW291:AZ291)</f>
        <v>0</v>
      </c>
      <c r="BB291" s="12">
        <f>BB242-BA242</f>
        <v>0</v>
      </c>
      <c r="BC291" s="12">
        <f>BC242-BB242</f>
        <v>0</v>
      </c>
      <c r="BD291" s="12">
        <f>BD242-BC242</f>
        <v>0</v>
      </c>
      <c r="BE291" s="12">
        <f>BE242-BD242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14" t="inlineStr">
        <is>
          <t>Treasury stock repurchases</t>
        </is>
      </c>
      <c r="D292" s="12" t="n"/>
      <c r="E292" s="12" t="n"/>
      <c r="F292" s="12" t="n"/>
      <c r="G292" s="12" t="n"/>
      <c r="H292" s="12" t="n"/>
      <c r="I292" s="12" t="n"/>
      <c r="J292" s="12">
        <f>J255-I255</f>
        <v>0</v>
      </c>
      <c r="K292" s="12">
        <f>K255-J255</f>
        <v>0</v>
      </c>
      <c r="L292" s="12">
        <f>L255-K255</f>
        <v>0</v>
      </c>
      <c r="M292" s="12" t="n"/>
      <c r="N292" s="12">
        <f>N255-M255</f>
        <v>0</v>
      </c>
      <c r="O292" s="12">
        <f>O255-N255</f>
        <v>0</v>
      </c>
      <c r="P292" s="12">
        <f>P255-O255</f>
        <v>0</v>
      </c>
      <c r="Q292" s="12">
        <f>Q255-P255</f>
        <v>0</v>
      </c>
      <c r="R292" s="12">
        <f>SUM(N292:Q292)</f>
        <v>0</v>
      </c>
      <c r="S292" s="12">
        <f>S255-R255</f>
        <v>0</v>
      </c>
      <c r="T292" s="12">
        <f>T255-S255</f>
        <v>0</v>
      </c>
      <c r="U292" s="12">
        <f>U255-T255</f>
        <v>0</v>
      </c>
      <c r="V292" s="12">
        <f>V255-U255</f>
        <v>0</v>
      </c>
      <c r="W292" s="12">
        <f>SUM(S292:V292)</f>
        <v>0</v>
      </c>
      <c r="X292" s="12">
        <f>X255-W255</f>
        <v>0</v>
      </c>
      <c r="Y292" s="12">
        <f>Y255-X255</f>
        <v>0</v>
      </c>
      <c r="Z292" s="12">
        <f>Z255-Y255</f>
        <v>0</v>
      </c>
      <c r="AA292" s="12">
        <f>AA255-Z255</f>
        <v>0</v>
      </c>
      <c r="AB292" s="12">
        <f>SUM(X292:AA292)</f>
        <v>0</v>
      </c>
      <c r="AC292" s="12">
        <f>AC255-AB255</f>
        <v>0</v>
      </c>
      <c r="AD292" s="12">
        <f>AD255-AC255</f>
        <v>0</v>
      </c>
      <c r="AE292" s="12">
        <f>AE255-AD255</f>
        <v>0</v>
      </c>
      <c r="AF292" s="12">
        <f>AF255-AE255</f>
        <v>0</v>
      </c>
      <c r="AG292" s="12">
        <f>SUM(AC292:AF292)</f>
        <v>0</v>
      </c>
      <c r="AH292" s="12">
        <f>AH255-AG255</f>
        <v>0</v>
      </c>
      <c r="AI292" s="12">
        <f>AI255-AH255</f>
        <v>0</v>
      </c>
      <c r="AJ292" s="12">
        <f>AJ255-AI255</f>
        <v>0</v>
      </c>
      <c r="AK292" s="12">
        <f>AK255-AJ255</f>
        <v>0</v>
      </c>
      <c r="AL292" s="12">
        <f>SUM(AH292:AK292)</f>
        <v>0</v>
      </c>
      <c r="AM292" s="12">
        <f>AM255-AL255</f>
        <v>0</v>
      </c>
      <c r="AN292" s="12">
        <f>AN255-AM255</f>
        <v>0</v>
      </c>
      <c r="AO292" s="12">
        <f>AO255-AN255</f>
        <v>0</v>
      </c>
      <c r="AP292" s="12">
        <f>AP255-AO255</f>
        <v>0</v>
      </c>
      <c r="AQ292" s="12">
        <f>SUM(AM292:AP292)</f>
        <v>0</v>
      </c>
      <c r="AR292" s="12">
        <f>AR255-AQ255</f>
        <v>0</v>
      </c>
      <c r="AS292" s="12">
        <f>AS255-AR255</f>
        <v>0</v>
      </c>
      <c r="AT292" s="12">
        <f>AT255-AS255</f>
        <v>0</v>
      </c>
      <c r="AU292" s="12">
        <f>AU255-AT255</f>
        <v>0</v>
      </c>
      <c r="AV292" s="12">
        <f>SUM(AR292:AU292)</f>
        <v>0</v>
      </c>
      <c r="AW292" s="12">
        <f>AW255-AV255</f>
        <v>0</v>
      </c>
      <c r="AX292" s="12">
        <f>AX255-AW255</f>
        <v>0</v>
      </c>
      <c r="AY292" s="12">
        <f>AY255-AX255</f>
        <v>0</v>
      </c>
      <c r="AZ292" s="12">
        <f>AZ255-AY255</f>
        <v>0</v>
      </c>
      <c r="BA292" s="12">
        <f>SUM(AW292:AZ292)</f>
        <v>0</v>
      </c>
      <c r="BB292" s="12">
        <f>BB255-BA255</f>
        <v>0</v>
      </c>
      <c r="BC292" s="12">
        <f>BC255-BB255</f>
        <v>0</v>
      </c>
      <c r="BD292" s="12">
        <f>BD255-BC255</f>
        <v>0</v>
      </c>
      <c r="BE292" s="12">
        <f>BE255-BD255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Comprehensive accumulated loss</t>
        </is>
      </c>
      <c r="D293" s="12" t="n"/>
      <c r="E293" s="12" t="n"/>
      <c r="F293" s="12" t="n"/>
      <c r="G293" s="12" t="n"/>
      <c r="H293" s="12" t="n"/>
      <c r="I293" s="12" t="n"/>
      <c r="J293" s="12">
        <f>J256-I256</f>
        <v>0</v>
      </c>
      <c r="K293" s="12">
        <f>K256-J256</f>
        <v>-10</v>
      </c>
      <c r="L293" s="12">
        <f>L256-K256</f>
        <v>1</v>
      </c>
      <c r="M293" s="12" t="n"/>
      <c r="N293" s="12">
        <f>N256-M256</f>
        <v>0</v>
      </c>
      <c r="O293" s="12">
        <f>O256-N256</f>
        <v>1</v>
      </c>
      <c r="P293" s="12">
        <f>P256-O256</f>
        <v>60</v>
      </c>
      <c r="Q293" s="12">
        <f>Q256-P256</f>
        <v>-126</v>
      </c>
      <c r="R293" s="12">
        <f>SUM(N293:Q293)</f>
        <v>-65</v>
      </c>
      <c r="S293" s="12">
        <f>S256-R256</f>
        <v>-2</v>
      </c>
      <c r="T293" s="12">
        <f>T256-S256</f>
        <v>228</v>
      </c>
      <c r="U293" s="12">
        <f>U256-T256</f>
        <v>161</v>
      </c>
      <c r="V293" s="12">
        <f>V256-U256</f>
        <v>0</v>
      </c>
      <c r="W293" s="12">
        <f>SUM(S293:V293)</f>
        <v>387</v>
      </c>
      <c r="X293" s="12">
        <f>X256-W256</f>
        <v>0</v>
      </c>
      <c r="Y293" s="12">
        <f>Y256-X256</f>
        <v>1</v>
      </c>
      <c r="Z293" s="12">
        <f>Z256-Y256</f>
        <v>-1</v>
      </c>
      <c r="AA293" s="12">
        <f>AA256-Z256</f>
        <v>0</v>
      </c>
      <c r="AB293" s="12">
        <f>SUM(X293:AA293)</f>
        <v>0</v>
      </c>
      <c r="AC293" s="12">
        <f>AC256-AB256</f>
        <v>-1</v>
      </c>
      <c r="AD293" s="12">
        <f>AD256-AC256</f>
        <v>15</v>
      </c>
      <c r="AE293" s="12">
        <f>AE256-AD256</f>
        <v>-3</v>
      </c>
      <c r="AF293" s="12">
        <f>AF256-AE256</f>
        <v>-6</v>
      </c>
      <c r="AG293" s="12">
        <f>SUM(AC293:AF293)</f>
        <v>5</v>
      </c>
      <c r="AH293" s="12">
        <f>AH256-AG256</f>
        <v>-4</v>
      </c>
      <c r="AI293" s="12">
        <f>AI256-AH256</f>
        <v>-4</v>
      </c>
      <c r="AJ293" s="12">
        <f>AJ256-AI256</f>
        <v>0</v>
      </c>
      <c r="AK293" s="12">
        <f>AK256-AJ256</f>
        <v>0</v>
      </c>
      <c r="AL293" s="12">
        <f>SUM(AH293:AK293)</f>
        <v>-8</v>
      </c>
      <c r="AM293" s="12">
        <f>AM256-AL256</f>
        <v>0</v>
      </c>
      <c r="AN293" s="12">
        <f>AN256-AM256</f>
        <v>0</v>
      </c>
      <c r="AO293" s="12">
        <f>AO256-AN256</f>
        <v>0</v>
      </c>
      <c r="AP293" s="12">
        <f>AP256-AO256</f>
        <v>0</v>
      </c>
      <c r="AQ293" s="12">
        <f>SUM(AM293:AP293)</f>
        <v>0</v>
      </c>
      <c r="AR293" s="12">
        <f>AR256-AQ256</f>
        <v>0</v>
      </c>
      <c r="AS293" s="12">
        <f>AS256-AR256</f>
        <v>0</v>
      </c>
      <c r="AT293" s="12">
        <f>AT256-AS256</f>
        <v>0</v>
      </c>
      <c r="AU293" s="12">
        <f>AU256-AT256</f>
        <v>0</v>
      </c>
      <c r="AV293" s="12">
        <f>SUM(AR293:AU293)</f>
        <v>0</v>
      </c>
      <c r="AW293" s="12">
        <f>AW256-AV256</f>
        <v>0</v>
      </c>
      <c r="AX293" s="12">
        <f>AX256-AW256</f>
        <v>0</v>
      </c>
      <c r="AY293" s="12">
        <f>AY256-AX256</f>
        <v>0</v>
      </c>
      <c r="AZ293" s="12">
        <f>AZ256-AY256</f>
        <v>0</v>
      </c>
      <c r="BA293" s="12">
        <f>SUM(AW293:AZ293)</f>
        <v>0</v>
      </c>
      <c r="BB293" s="12">
        <f>BB256-BA256</f>
        <v>0</v>
      </c>
      <c r="BC293" s="12">
        <f>BC256-BB256</f>
        <v>0</v>
      </c>
      <c r="BD293" s="12">
        <f>BD256-BC256</f>
        <v>0</v>
      </c>
      <c r="BE293" s="12">
        <f>BE256-BD256</f>
        <v>0</v>
      </c>
      <c r="BF293" s="12">
        <f>SUM(BB293:BE293)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inlineStr">
        <is>
          <t>Other equity account</t>
        </is>
      </c>
      <c r="D294" s="12" t="n"/>
      <c r="E294" s="12" t="n"/>
      <c r="F294" s="12" t="n"/>
      <c r="G294" s="12" t="n"/>
      <c r="H294" s="12" t="n"/>
      <c r="I294" s="12" t="n"/>
      <c r="J294" s="12">
        <f>J257-I257</f>
        <v>0</v>
      </c>
      <c r="K294" s="12">
        <f>K257-J257</f>
        <v>0</v>
      </c>
      <c r="L294" s="12">
        <f>L257-K257</f>
        <v>-1</v>
      </c>
      <c r="M294" s="12" t="n"/>
      <c r="N294" s="12">
        <f>N257-M257</f>
        <v>1</v>
      </c>
      <c r="O294" s="12">
        <f>O257-N257</f>
        <v>0</v>
      </c>
      <c r="P294" s="12">
        <f>P257-O257</f>
        <v>-27</v>
      </c>
      <c r="Q294" s="12">
        <f>Q257-P257</f>
        <v>0</v>
      </c>
      <c r="R294" s="12">
        <f>SUM(N294:Q294)</f>
        <v>-26</v>
      </c>
      <c r="S294" s="12">
        <f>S257-R257</f>
        <v>0</v>
      </c>
      <c r="T294" s="12">
        <f>T257-S257</f>
        <v>0</v>
      </c>
      <c r="U294" s="12">
        <f>U257-T257</f>
        <v>0</v>
      </c>
      <c r="V294" s="12">
        <f>V257-U257</f>
        <v>0</v>
      </c>
      <c r="W294" s="12">
        <f>SUM(S294:V294)</f>
        <v>0</v>
      </c>
      <c r="X294" s="12">
        <f>X257-W257</f>
        <v>0</v>
      </c>
      <c r="Y294" s="12">
        <f>Y257-X257</f>
        <v>0</v>
      </c>
      <c r="Z294" s="12">
        <f>Z257-Y257</f>
        <v>0</v>
      </c>
      <c r="AA294" s="12">
        <f>AA257-Z257</f>
        <v>0</v>
      </c>
      <c r="AB294" s="12">
        <f>SUM(X294:AA294)</f>
        <v>0</v>
      </c>
      <c r="AC294" s="12">
        <f>AC257-AB257</f>
        <v>0</v>
      </c>
      <c r="AD294" s="12">
        <f>AD257-AC257</f>
        <v>0</v>
      </c>
      <c r="AE294" s="12">
        <f>AE257-AD257</f>
        <v>0</v>
      </c>
      <c r="AF294" s="12">
        <f>AF257-AE257</f>
        <v>0</v>
      </c>
      <c r="AG294" s="12">
        <f>SUM(AC294:AF294)</f>
        <v>0</v>
      </c>
      <c r="AH294" s="12">
        <f>AH257-AG257</f>
        <v>0</v>
      </c>
      <c r="AI294" s="12">
        <f>AI257-AH257</f>
        <v>0</v>
      </c>
      <c r="AJ294" s="12">
        <f>AJ257-AI257</f>
        <v>0</v>
      </c>
      <c r="AK294" s="12">
        <f>AK257-AJ257</f>
        <v>0</v>
      </c>
      <c r="AL294" s="12">
        <f>SUM(AH294:AK294)</f>
        <v>0</v>
      </c>
      <c r="AM294" s="12">
        <f>AM257-AL257</f>
        <v>0</v>
      </c>
      <c r="AN294" s="12">
        <f>AN257-AM257</f>
        <v>0</v>
      </c>
      <c r="AO294" s="12">
        <f>AO257-AN257</f>
        <v>0</v>
      </c>
      <c r="AP294" s="12">
        <f>AP257-AO257</f>
        <v>0</v>
      </c>
      <c r="AQ294" s="12">
        <f>SUM(AM294:AP294)</f>
        <v>0</v>
      </c>
      <c r="AR294" s="12">
        <f>AR257-AQ257</f>
        <v>0</v>
      </c>
      <c r="AS294" s="12">
        <f>AS257-AR257</f>
        <v>0</v>
      </c>
      <c r="AT294" s="12">
        <f>AT257-AS257</f>
        <v>0</v>
      </c>
      <c r="AU294" s="12">
        <f>AU257-AT257</f>
        <v>0</v>
      </c>
      <c r="AV294" s="12">
        <f>SUM(AR294:AU294)</f>
        <v>0</v>
      </c>
      <c r="AW294" s="12">
        <f>AW257-AV257</f>
        <v>0</v>
      </c>
      <c r="AX294" s="12">
        <f>AX257-AW257</f>
        <v>0</v>
      </c>
      <c r="AY294" s="12">
        <f>AY257-AX257</f>
        <v>0</v>
      </c>
      <c r="AZ294" s="12">
        <f>AZ257-AY257</f>
        <v>0</v>
      </c>
      <c r="BA294" s="12">
        <f>SUM(AW294:AZ294)</f>
        <v>0</v>
      </c>
      <c r="BB294" s="12">
        <f>BB257-BA257</f>
        <v>0</v>
      </c>
      <c r="BC294" s="12">
        <f>BC257-BB257</f>
        <v>0</v>
      </c>
      <c r="BD294" s="12">
        <f>BD257-BC257</f>
        <v>0</v>
      </c>
      <c r="BE294" s="12">
        <f>BE257-BD257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Common and preferred dividends</t>
        </is>
      </c>
      <c r="D295" s="12" t="n"/>
      <c r="E295" s="12" t="n"/>
      <c r="F295" s="12" t="n"/>
      <c r="G295" s="12" t="n"/>
      <c r="H295" s="12" t="n"/>
      <c r="I295" s="12" t="n"/>
      <c r="J295" s="12">
        <f>(J258-I258)-J265</f>
        <v>-1482</v>
      </c>
      <c r="K295" s="12">
        <f>(K258-J258)-K265</f>
        <v>-1486</v>
      </c>
      <c r="L295" s="12">
        <f>(L258-K258)-L265</f>
        <v>-3146</v>
      </c>
      <c r="M295" s="12" t="n"/>
      <c r="N295" s="12">
        <f>(N258-M258)-N265</f>
        <v>-2515</v>
      </c>
      <c r="O295" s="12">
        <f>(O258-N258)-O265</f>
        <v>-2999</v>
      </c>
      <c r="P295" s="12">
        <f>(P258-O258)-P265</f>
        <v>-1979</v>
      </c>
      <c r="Q295" s="12">
        <f>(Q258-P258)-Q265</f>
        <v>-3007</v>
      </c>
      <c r="R295" s="12">
        <f>SUM(N295:Q295)</f>
        <v>-10500</v>
      </c>
      <c r="S295" s="12">
        <f>(S258-R258)-S265</f>
        <v>-4489</v>
      </c>
      <c r="T295" s="12">
        <f>(T258-S258)-T265</f>
        <v>-3488</v>
      </c>
      <c r="U295" s="12">
        <f>(U258-T258)-U265</f>
        <v>-2020</v>
      </c>
      <c r="V295" s="12">
        <f>(V258-U258)-V265</f>
        <v>-4007</v>
      </c>
      <c r="W295" s="12">
        <f>SUM(S295:V295)</f>
        <v>-14004</v>
      </c>
      <c r="X295" s="12">
        <f>(X258-W258)-X265</f>
        <v>-2121</v>
      </c>
      <c r="Y295" s="12">
        <f>(Y258-X258)-Y265</f>
        <v>0</v>
      </c>
      <c r="Z295" s="12">
        <f>(Z258-Y258)-Z265</f>
        <v>-2449</v>
      </c>
      <c r="AA295" s="12">
        <f>(AA258-Z258)-AA265</f>
        <v>-2774</v>
      </c>
      <c r="AB295" s="12">
        <f>SUM(X295:AA295)</f>
        <v>-7344</v>
      </c>
      <c r="AC295" s="12">
        <f>(AC258-AB258)-AC265</f>
        <v>-5008</v>
      </c>
      <c r="AD295" s="12">
        <f>(AD258-AC258)-AD265</f>
        <v>-2786</v>
      </c>
      <c r="AE295" s="12">
        <f>(AE258-AD258)-AE265</f>
        <v>-2797</v>
      </c>
      <c r="AF295" s="12">
        <f>(AF258-AE258)-AF265</f>
        <v>-10590</v>
      </c>
      <c r="AG295" s="12">
        <f>SUM(AC295:AF295)</f>
        <v>-21181</v>
      </c>
      <c r="AH295" s="12">
        <f>(AH258-AG258)-AH265</f>
        <v>-3664</v>
      </c>
      <c r="AI295" s="12">
        <f>(AI258-AH258)-AI265</f>
        <v>-3103</v>
      </c>
      <c r="AJ295" s="12">
        <f>(AJ258-AI258)-AJ265</f>
        <v>0</v>
      </c>
      <c r="AK295" s="12">
        <f>(AK258-AJ258)-AK265</f>
        <v>0</v>
      </c>
      <c r="AL295" s="12">
        <f>SUM(AH295:AK295)</f>
        <v>-6767</v>
      </c>
      <c r="AM295" s="12">
        <f>(AM258-AL258)-AM265</f>
        <v>0</v>
      </c>
      <c r="AN295" s="12">
        <f>(AN258-AM258)-AN265</f>
        <v>0</v>
      </c>
      <c r="AO295" s="12">
        <f>(AO258-AN258)-AO265</f>
        <v>0</v>
      </c>
      <c r="AP295" s="12">
        <f>(AP258-AO258)-AP265</f>
        <v>0</v>
      </c>
      <c r="AQ295" s="12">
        <f>SUM(AM295:AP295)</f>
        <v>0</v>
      </c>
      <c r="AR295" s="12">
        <f>(AR258-AQ258)-AR265</f>
        <v>0</v>
      </c>
      <c r="AS295" s="12">
        <f>(AS258-AR258)-AS265</f>
        <v>0</v>
      </c>
      <c r="AT295" s="12">
        <f>(AT258-AS258)-AT265</f>
        <v>0</v>
      </c>
      <c r="AU295" s="12">
        <f>(AU258-AT258)-AU265</f>
        <v>0</v>
      </c>
      <c r="AV295" s="12">
        <f>SUM(AR295:AU295)</f>
        <v>0</v>
      </c>
      <c r="AW295" s="12">
        <f>(AW258-AV258)-AW265</f>
        <v>0</v>
      </c>
      <c r="AX295" s="12">
        <f>(AX258-AW258)-AX265</f>
        <v>0</v>
      </c>
      <c r="AY295" s="12">
        <f>(AY258-AX258)-AY265</f>
        <v>0</v>
      </c>
      <c r="AZ295" s="12">
        <f>(AZ258-AY258)-AZ265</f>
        <v>0</v>
      </c>
      <c r="BA295" s="12">
        <f>SUM(AW295:AZ295)</f>
        <v>0</v>
      </c>
      <c r="BB295" s="12">
        <f>(BB258-BA258)-BB265</f>
        <v>0</v>
      </c>
      <c r="BC295" s="12">
        <f>(BC258-BB258)-BC265</f>
        <v>0</v>
      </c>
      <c r="BD295" s="12">
        <f>(BD258-BC258)-BD265</f>
        <v>0</v>
      </c>
      <c r="BE295" s="12">
        <f>(BE258-BD258)-BE265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4" t="inlineStr">
        <is>
          <t>Dividends to minority interests</t>
        </is>
      </c>
      <c r="D296" s="12" t="n"/>
      <c r="E296" s="12" t="n"/>
      <c r="F296" s="12" t="n"/>
      <c r="G296" s="12" t="n"/>
      <c r="H296" s="12" t="n"/>
      <c r="I296" s="12" t="n"/>
      <c r="J296" s="12">
        <f>(J236-I236)+J124</f>
        <v>0</v>
      </c>
      <c r="K296" s="12">
        <f>(K236-J236)+K124</f>
        <v>0</v>
      </c>
      <c r="L296" s="12">
        <f>(L236-K236)+L124</f>
        <v>0</v>
      </c>
      <c r="M296" s="12" t="n"/>
      <c r="N296" s="12">
        <f>(N236-M236)+N124</f>
        <v>0</v>
      </c>
      <c r="O296" s="12">
        <f>(O236-N236)+O124</f>
        <v>0</v>
      </c>
      <c r="P296" s="12">
        <f>(P236-O236)+P124</f>
        <v>0</v>
      </c>
      <c r="Q296" s="12">
        <f>(Q236-P236)+Q124</f>
        <v>0</v>
      </c>
      <c r="R296" s="12">
        <f>SUM(N296:Q296)</f>
        <v>0</v>
      </c>
      <c r="S296" s="12">
        <f>(S236-R236)+S124</f>
        <v>0</v>
      </c>
      <c r="T296" s="12">
        <f>(T236-S236)+T124</f>
        <v>0</v>
      </c>
      <c r="U296" s="12">
        <f>(U236-T236)+U124</f>
        <v>0</v>
      </c>
      <c r="V296" s="12">
        <f>(V236-U236)+V124</f>
        <v>0</v>
      </c>
      <c r="W296" s="12">
        <f>SUM(S296:V296)</f>
        <v>0</v>
      </c>
      <c r="X296" s="12">
        <f>(X236-W236)+X124</f>
        <v>0</v>
      </c>
      <c r="Y296" s="12">
        <f>(Y236-X236)+Y124</f>
        <v>0</v>
      </c>
      <c r="Z296" s="12">
        <f>(Z236-Y236)+Z124</f>
        <v>0</v>
      </c>
      <c r="AA296" s="12">
        <f>(AA236-Z236)+AA124</f>
        <v>0</v>
      </c>
      <c r="AB296" s="12">
        <f>SUM(X296:AA296)</f>
        <v>0</v>
      </c>
      <c r="AC296" s="12">
        <f>(AC236-AB236)+AC124</f>
        <v>0</v>
      </c>
      <c r="AD296" s="12">
        <f>(AD236-AC236)+AD124</f>
        <v>0</v>
      </c>
      <c r="AE296" s="12">
        <f>(AE236-AD236)+AE124</f>
        <v>0</v>
      </c>
      <c r="AF296" s="12">
        <f>(AF236-AE236)+AF124</f>
        <v>0</v>
      </c>
      <c r="AG296" s="12">
        <f>SUM(AC296:AF296)</f>
        <v>0</v>
      </c>
      <c r="AH296" s="12">
        <f>(AH236-AG236)+AH124</f>
        <v>0</v>
      </c>
      <c r="AI296" s="12">
        <f>(AI236-AH236)+AI124</f>
        <v>0</v>
      </c>
      <c r="AJ296" s="12">
        <f>(AJ236-AI236)+AJ124</f>
        <v>0</v>
      </c>
      <c r="AK296" s="12">
        <f>(AK236-AJ236)+AK124</f>
        <v>0</v>
      </c>
      <c r="AL296" s="12">
        <f>SUM(AH296:AK296)</f>
        <v>0</v>
      </c>
      <c r="AM296" s="12">
        <f>(AM236-AL236)+AM124</f>
        <v>0</v>
      </c>
      <c r="AN296" s="12">
        <f>(AN236-AM236)+AN124</f>
        <v>0</v>
      </c>
      <c r="AO296" s="12">
        <f>(AO236-AN236)+AO124</f>
        <v>0</v>
      </c>
      <c r="AP296" s="12">
        <f>(AP236-AO236)+AP124</f>
        <v>0</v>
      </c>
      <c r="AQ296" s="12">
        <f>SUM(AM296:AP296)</f>
        <v>0</v>
      </c>
      <c r="AR296" s="12">
        <f>(AR236-AQ236)+AR124</f>
        <v>0</v>
      </c>
      <c r="AS296" s="12">
        <f>(AS236-AR236)+AS124</f>
        <v>0</v>
      </c>
      <c r="AT296" s="12">
        <f>(AT236-AS236)+AT124</f>
        <v>0</v>
      </c>
      <c r="AU296" s="12">
        <f>(AU236-AT236)+AU124</f>
        <v>0</v>
      </c>
      <c r="AV296" s="12">
        <f>SUM(AR296:AU296)</f>
        <v>0</v>
      </c>
      <c r="AW296" s="12">
        <f>(AW236-AV236)+AW124</f>
        <v>0</v>
      </c>
      <c r="AX296" s="12">
        <f>(AX236-AW236)+AX124</f>
        <v>0</v>
      </c>
      <c r="AY296" s="12">
        <f>(AY236-AX236)+AY124</f>
        <v>0</v>
      </c>
      <c r="AZ296" s="12">
        <f>(AZ236-AY236)+AZ124</f>
        <v>0</v>
      </c>
      <c r="BA296" s="12">
        <f>SUM(AW296:AZ296)</f>
        <v>0</v>
      </c>
      <c r="BB296" s="12">
        <f>(BB236-BA236)+BB124</f>
        <v>0</v>
      </c>
      <c r="BC296" s="12">
        <f>(BC236-BB236)+BC124</f>
        <v>0</v>
      </c>
      <c r="BD296" s="12">
        <f>(BD236-BC236)+BD124</f>
        <v>0</v>
      </c>
      <c r="BE296" s="12">
        <f>(BE236-BD236)+BE124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5" t="inlineStr">
        <is>
          <t>Increases / (decreases) in debt</t>
        </is>
      </c>
      <c r="D297" s="12" t="n"/>
      <c r="E297" s="12" t="n"/>
      <c r="F297" s="12" t="n"/>
      <c r="G297" s="12" t="n"/>
      <c r="H297" s="12" t="n"/>
      <c r="I297" s="12" t="n"/>
      <c r="J297" s="12">
        <f>SUM(J200:J202,J205,J226,J223)-SUM(I200:I202,I205,I226,I223)</f>
        <v>19</v>
      </c>
      <c r="K297" s="12">
        <f>SUM(K200:K202,K205,K226,K223)-SUM(J200:J202,J205,J226,J223)</f>
        <v>-727</v>
      </c>
      <c r="L297" s="12">
        <f>SUM(L200:L202,L205,L226,L223)-SUM(K200:K202,K205,K226,K223)</f>
        <v>-225</v>
      </c>
      <c r="M297" s="12" t="n"/>
      <c r="N297" s="12">
        <f>SUM(N200:N202,N205,N226,N223)-SUM(M200:M202,M205,M226,M223)</f>
        <v>-39</v>
      </c>
      <c r="O297" s="12">
        <f>SUM(O200:O202,O205,O226,O223)-SUM(N200:N202,N205,N226,N223)</f>
        <v>29</v>
      </c>
      <c r="P297" s="12">
        <f>SUM(P200:P202,P205,P226,P223)-SUM(O200:O202,O205,O226,O223)</f>
        <v>20</v>
      </c>
      <c r="Q297" s="12">
        <f>SUM(Q200:Q202,Q205,Q226,Q223)-SUM(P200:P202,P205,P226,P223)</f>
        <v>-233</v>
      </c>
      <c r="R297" s="12">
        <f>SUM(N297:Q297)</f>
        <v>-223</v>
      </c>
      <c r="S297" s="12">
        <f>SUM(S200:S202,S205,S226,S223)-SUM(R200:R202,R205,R226,R223)</f>
        <v>29</v>
      </c>
      <c r="T297" s="12">
        <f>SUM(T200:T202,T205,T226,T223)-SUM(S200:S202,S205,S226,S223)</f>
        <v>30</v>
      </c>
      <c r="U297" s="12">
        <f>SUM(U200:U202,U205,U226,U223)-SUM(T200:T202,T205,T226,T223)</f>
        <v>-112</v>
      </c>
      <c r="V297" s="12">
        <f>SUM(V200:V202,V205,V226,V223)-SUM(U200:U202,U205,U226,U223)</f>
        <v>36672</v>
      </c>
      <c r="W297" s="12">
        <f>SUM(S297:V297)</f>
        <v>36619</v>
      </c>
      <c r="X297" s="12">
        <f>SUM(X200:X202,X205,X226,X223)-SUM(W200:W202,W205,W226,W223)</f>
        <v>-1885</v>
      </c>
      <c r="Y297" s="12">
        <f>SUM(Y200:Y202,Y205,Y226,Y223)-SUM(X200:X202,X205,X226,X223)</f>
        <v>-4057</v>
      </c>
      <c r="Z297" s="12">
        <f>SUM(Z200:Z202,Z205,Z226,Z223)-SUM(Y200:Y202,Y205,Y226,Y223)</f>
        <v>-2393</v>
      </c>
      <c r="AA297" s="12">
        <f>SUM(AA200:AA202,AA205,AA226,AA223)-SUM(Z200:Z202,Z205,Z226,Z223)</f>
        <v>-987</v>
      </c>
      <c r="AB297" s="12">
        <f>SUM(X297:AA297)</f>
        <v>-9322</v>
      </c>
      <c r="AC297" s="12">
        <f>SUM(AC200:AC202,AC205,AC226,AC223)-SUM(AB200:AB202,AB205,AB226,AB223)</f>
        <v>703</v>
      </c>
      <c r="AD297" s="12">
        <f>SUM(AD200:AD202,AD205,AD226,AD223)-SUM(AC200:AC202,AC205,AC226,AC223)</f>
        <v>-3053</v>
      </c>
      <c r="AE297" s="12">
        <f>SUM(AE200:AE202,AE205,AE226,AE223)-SUM(AD200:AD202,AD205,AD226,AD223)</f>
        <v>907</v>
      </c>
      <c r="AF297" s="12">
        <f>SUM(AF200:AF202,AF205,AF226,AF223)-SUM(AE200:AE202,AE205,AE226,AE223)</f>
        <v>921</v>
      </c>
      <c r="AG297" s="12">
        <f>SUM(AC297:AF297)</f>
        <v>-522</v>
      </c>
      <c r="AH297" s="12">
        <f>SUM(AH200:AH202,AH205,AH226,AH223)-SUM(AG200:AG202,AG205,AG226,AG223)</f>
        <v>-1150</v>
      </c>
      <c r="AI297" s="12">
        <f>SUM(AI200:AI202,AI205,AI226,AI223)-SUM(AH200:AH202,AH205,AH226,AH223)</f>
        <v>-5488</v>
      </c>
      <c r="AJ297" s="12">
        <f>SUM(AJ200:AJ202,AJ205,AJ226,AJ223)-SUM(AI200:AI202,AI205,AI226,AI223)</f>
        <v>0</v>
      </c>
      <c r="AK297" s="12">
        <f>SUM(AK200:AK202,AK205,AK226,AK223)-SUM(AJ200:AJ202,AJ205,AJ226,AJ223)</f>
        <v>0</v>
      </c>
      <c r="AL297" s="12">
        <f>SUM(AH297:AK297)</f>
        <v>-6638</v>
      </c>
      <c r="AM297" s="12">
        <f>SUM(AM200:AM202,AM205,AM226,AM223)-SUM(AL200:AL202,AL205,AL226,AL223)</f>
        <v>0</v>
      </c>
      <c r="AN297" s="12">
        <f>SUM(AN200:AN202,AN205,AN226,AN223)-SUM(AM200:AM202,AM205,AM226,AM223)</f>
        <v>0</v>
      </c>
      <c r="AO297" s="12">
        <f>SUM(AO200:AO202,AO205,AO226,AO223)-SUM(AN200:AN202,AN205,AN226,AN223)</f>
        <v>0</v>
      </c>
      <c r="AP297" s="12">
        <f>SUM(AP200:AP202,AP205,AP226,AP223)-SUM(AO200:AO202,AO205,AO226,AO223)</f>
        <v>0</v>
      </c>
      <c r="AQ297" s="12">
        <f>SUM(AM297:AP297)</f>
        <v>0</v>
      </c>
      <c r="AR297" s="12">
        <f>SUM(AR200:AR202,AR205,AR226,AR223)-SUM(AQ200:AQ202,AQ205,AQ226,AQ223)</f>
        <v>0</v>
      </c>
      <c r="AS297" s="12">
        <f>SUM(AS200:AS202,AS205,AS226,AS223)-SUM(AR200:AR202,AR205,AR226,AR223)</f>
        <v>0</v>
      </c>
      <c r="AT297" s="12">
        <f>SUM(AT200:AT202,AT205,AT226,AT223)-SUM(AS200:AS202,AS205,AS226,AS223)</f>
        <v>0</v>
      </c>
      <c r="AU297" s="12">
        <f>SUM(AU200:AU202,AU205,AU226,AU223)-SUM(AT200:AT202,AT205,AT226,AT223)</f>
        <v>0</v>
      </c>
      <c r="AV297" s="12">
        <f>SUM(AR297:AU297)</f>
        <v>0</v>
      </c>
      <c r="AW297" s="12">
        <f>SUM(AW200:AW202,AW205,AW226,AW223)-SUM(AV200:AV202,AV205,AV226,AV223)</f>
        <v>0</v>
      </c>
      <c r="AX297" s="12">
        <f>SUM(AX200:AX202,AX205,AX226,AX223)-SUM(AW200:AW202,AW205,AW226,AW223)</f>
        <v>0</v>
      </c>
      <c r="AY297" s="12">
        <f>SUM(AY200:AY202,AY205,AY226,AY223)-SUM(AX200:AX202,AX205,AX226,AX223)</f>
        <v>0</v>
      </c>
      <c r="AZ297" s="12">
        <f>SUM(AZ200:AZ202,AZ205,AZ226,AZ223)-SUM(AY200:AY202,AY205,AY226,AY223)</f>
        <v>0</v>
      </c>
      <c r="BA297" s="12">
        <f>SUM(AW297:AZ297)</f>
        <v>0</v>
      </c>
      <c r="BB297" s="12">
        <f>SUM(BB200:BB202,BB205,BB226,BB223)-SUM(BA200:BA202,BA205,BA226,BA223)</f>
        <v>0</v>
      </c>
      <c r="BC297" s="12">
        <f>SUM(BC200:BC202,BC205,BC226,BC223)-SUM(BB200:BB202,BB205,BB226,BB223)</f>
        <v>0</v>
      </c>
      <c r="BD297" s="12">
        <f>SUM(BD200:BD202,BD205,BD226,BD223)-SUM(BC200:BC202,BC205,BC226,BC223)</f>
        <v>0</v>
      </c>
      <c r="BE297" s="12">
        <f>SUM(BE200:BE202,BE205,BE226,BE223)-SUM(BD200:BD202,BD205,BD226,BD223)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4" t="inlineStr">
        <is>
          <t>Cash from financing</t>
        </is>
      </c>
      <c r="D298" s="12" t="n"/>
      <c r="E298" s="12" t="n"/>
      <c r="F298" s="12" t="n"/>
      <c r="G298" s="12" t="n"/>
      <c r="H298" s="12" t="n"/>
      <c r="I298" s="12" t="n"/>
      <c r="J298" s="12">
        <f>SUM(J290,J291,J292,J293,J294,J295,J296,J297)</f>
        <v>-1382</v>
      </c>
      <c r="K298" s="12">
        <f>SUM(K290,K291,K292,K293,K294,K295,K296,K297)</f>
        <v>-2019</v>
      </c>
      <c r="L298" s="12">
        <f>SUM(L290,L291,L292,L293,L294,L295,L296,L297)</f>
        <v>-4618</v>
      </c>
      <c r="M298" s="12" t="n"/>
      <c r="N298" s="12">
        <f>SUM(N290,N291,N292,N293,N294,N295,N296,N297)</f>
        <v>-4558</v>
      </c>
      <c r="O298" s="12">
        <f>SUM(O290,O291,O292,O293,O294,O295,O296,O297)</f>
        <v>-3057</v>
      </c>
      <c r="P298" s="12">
        <f>SUM(P290,P291,P292,P293,P294,P295,P296,P297)</f>
        <v>-1757</v>
      </c>
      <c r="Q298" s="12">
        <f>SUM(Q290,Q291,Q292,Q293,Q294,Q295,Q296,Q297)</f>
        <v>-3406</v>
      </c>
      <c r="R298" s="12">
        <f>SUM(R290,R291,R292,R293,R294,R295,R296,R297)</f>
        <v>-12778</v>
      </c>
      <c r="S298" s="12">
        <f>SUM(S290,S291,S292,S293,S294,S295,S296,S297)</f>
        <v>-4755</v>
      </c>
      <c r="T298" s="12">
        <f>SUM(T290,T291,T292,T293,T294,T295,T296,T297)</f>
        <v>-3201</v>
      </c>
      <c r="U298" s="12">
        <f>SUM(U290,U291,U292,U293,U294,U295,U296,U297)</f>
        <v>-1727</v>
      </c>
      <c r="V298" s="12">
        <f>SUM(V290,V291,V292,V293,V294,V295,V296,V297)</f>
        <v>81643</v>
      </c>
      <c r="W298" s="12">
        <f>SUM(W290,W291,W292,W293,W294,W295,W296,W297)</f>
        <v>71960</v>
      </c>
      <c r="X298" s="12">
        <f>SUM(X290,X291,X292,X293,X294,X295,X296,X297)</f>
        <v>-4329</v>
      </c>
      <c r="Y298" s="12">
        <f>SUM(Y290,Y291,Y292,Y293,Y294,Y295,Y296,Y297)</f>
        <v>-6492</v>
      </c>
      <c r="Z298" s="12">
        <f>SUM(Z290,Z291,Z292,Z293,Z294,Z295,Z296,Z297)</f>
        <v>-4690</v>
      </c>
      <c r="AA298" s="12">
        <f>SUM(AA290,AA291,AA292,AA293,AA294,AA295,AA296,AA297)</f>
        <v>-4379</v>
      </c>
      <c r="AB298" s="12">
        <f>SUM(AB290,AB291,AB292,AB293,AB294,AB295,AB296,AB297)</f>
        <v>-19890</v>
      </c>
      <c r="AC298" s="12">
        <f>SUM(AC290,AC291,AC292,AC293,AC294,AC295,AC296,AC297)</f>
        <v>-4465</v>
      </c>
      <c r="AD298" s="12">
        <f>SUM(AD290,AD291,AD292,AD293,AD294,AD295,AD296,AD297)</f>
        <v>-3502</v>
      </c>
      <c r="AE298" s="12">
        <f>SUM(AE290,AE291,AE292,AE293,AE294,AE295,AE296,AE297)</f>
        <v>404</v>
      </c>
      <c r="AF298" s="12">
        <f>SUM(AF290,AF291,AF292,AF293,AF294,AF295,AF296,AF297)</f>
        <v>-7848</v>
      </c>
      <c r="AG298" s="12">
        <f>SUM(AG290,AG291,AG292,AG293,AG294,AG295,AG296,AG297)</f>
        <v>-15411</v>
      </c>
      <c r="AH298" s="12">
        <f>SUM(AH290,AH291,AH292,AH293,AH294,AH295,AH296,AH297)</f>
        <v>-2641</v>
      </c>
      <c r="AI298" s="12">
        <f>SUM(AI290,AI291,AI292,AI293,AI294,AI295,AI296,AI297)</f>
        <v>-6577</v>
      </c>
      <c r="AJ298" s="12">
        <f>SUM(AJ290,AJ291,AJ292,AJ293,AJ294,AJ295,AJ296,AJ297)</f>
        <v>0</v>
      </c>
      <c r="AK298" s="12">
        <f>SUM(AK290,AK291,AK292,AK293,AK294,AK295,AK296,AK297)</f>
        <v>0</v>
      </c>
      <c r="AL298" s="12">
        <f>SUM(AL290,AL291,AL292,AL293,AL294,AL295,AL296,AL297)</f>
        <v>-9218</v>
      </c>
      <c r="AM298" s="12">
        <f>SUM(AM290,AM291,AM292,AM293,AM294,AM295,AM296,AM297)</f>
        <v>0</v>
      </c>
      <c r="AN298" s="12">
        <f>SUM(AN290,AN291,AN292,AN293,AN294,AN295,AN296,AN297)</f>
        <v>0</v>
      </c>
      <c r="AO298" s="12">
        <f>SUM(AO290,AO291,AO292,AO293,AO294,AO295,AO296,AO297)</f>
        <v>0</v>
      </c>
      <c r="AP298" s="12">
        <f>SUM(AP290,AP291,AP292,AP293,AP294,AP295,AP296,AP297)</f>
        <v>0</v>
      </c>
      <c r="AQ298" s="12">
        <f>SUM(AQ290,AQ291,AQ292,AQ293,AQ294,AQ295,AQ296,AQ297)</f>
        <v>0</v>
      </c>
      <c r="AR298" s="12">
        <f>SUM(AR290,AR291,AR292,AR293,AR294,AR295,AR296,AR297)</f>
        <v>0</v>
      </c>
      <c r="AS298" s="12">
        <f>SUM(AS290,AS291,AS292,AS293,AS294,AS295,AS296,AS297)</f>
        <v>0</v>
      </c>
      <c r="AT298" s="12">
        <f>SUM(AT290,AT291,AT292,AT293,AT294,AT295,AT296,AT297)</f>
        <v>0</v>
      </c>
      <c r="AU298" s="12">
        <f>SUM(AU290,AU291,AU292,AU293,AU294,AU295,AU296,AU297)</f>
        <v>0</v>
      </c>
      <c r="AV298" s="12">
        <f>SUM(AV290,AV291,AV292,AV293,AV294,AV295,AV296,AV297)</f>
        <v>0</v>
      </c>
      <c r="AW298" s="12">
        <f>SUM(AW290,AW291,AW292,AW293,AW294,AW295,AW296,AW297)</f>
        <v>0</v>
      </c>
      <c r="AX298" s="12">
        <f>SUM(AX290,AX291,AX292,AX293,AX294,AX295,AX296,AX297)</f>
        <v>0</v>
      </c>
      <c r="AY298" s="12">
        <f>SUM(AY290,AY291,AY292,AY293,AY294,AY295,AY296,AY297)</f>
        <v>0</v>
      </c>
      <c r="AZ298" s="12">
        <f>SUM(AZ290,AZ291,AZ292,AZ293,AZ294,AZ295,AZ296,AZ297)</f>
        <v>0</v>
      </c>
      <c r="BA298" s="12">
        <f>SUM(BA290,BA291,BA292,BA293,BA294,BA295,BA296,BA297)</f>
        <v>0</v>
      </c>
      <c r="BB298" s="12">
        <f>SUM(BB290,BB291,BB292,BB293,BB294,BB295,BB296,BB297)</f>
        <v>0</v>
      </c>
      <c r="BC298" s="12">
        <f>SUM(BC290,BC291,BC292,BC293,BC294,BC295,BC296,BC297)</f>
        <v>0</v>
      </c>
      <c r="BD298" s="12">
        <f>SUM(BD290,BD291,BD292,BD293,BD294,BD295,BD296,BD297)</f>
        <v>0</v>
      </c>
      <c r="BE298" s="12">
        <f>SUM(BE290,BE291,BE292,BE293,BE294,BE295,BE296,BE297)</f>
        <v>0</v>
      </c>
      <c r="BF298" s="12">
        <f>SUM(BF290,BF291,BF292,BF293,BF294,BF295,BF296,BF297)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Others / cash reconciliation plug</t>
        </is>
      </c>
      <c r="D300" s="12" t="n"/>
      <c r="E300" s="12" t="n"/>
      <c r="F300" s="12" t="n"/>
      <c r="G300" s="12" t="n"/>
      <c r="H300" s="12" t="n"/>
      <c r="I300" s="12" t="n"/>
      <c r="J300" s="12">
        <f>J132-I132-SUM(J281,J288,J298)</f>
        <v>0</v>
      </c>
      <c r="K300" s="12">
        <f>K132-J132-SUM(K281,K288,K298)</f>
        <v>0</v>
      </c>
      <c r="L300" s="12">
        <f>L132-K132-SUM(L281,L288,L298)</f>
        <v>0</v>
      </c>
      <c r="M300" s="12" t="n"/>
      <c r="N300" s="12">
        <f>N132-M132-SUM(N281,N288,N298)</f>
        <v>0</v>
      </c>
      <c r="O300" s="12">
        <f>O132-N132-SUM(O281,O288,O298)</f>
        <v>0</v>
      </c>
      <c r="P300" s="12">
        <f>P132-O132-SUM(P281,P288,P298)</f>
        <v>0</v>
      </c>
      <c r="Q300" s="12">
        <f>Q132-P132-SUM(Q281,Q288,Q298)</f>
        <v>0</v>
      </c>
      <c r="R300" s="12">
        <f>SUM(N300:Q300)</f>
        <v>0</v>
      </c>
      <c r="S300" s="12">
        <f>S132-R132-SUM(S281,S288,S298)</f>
        <v>0</v>
      </c>
      <c r="T300" s="12">
        <f>T132-S132-SUM(T281,T288,T298)</f>
        <v>0</v>
      </c>
      <c r="U300" s="12">
        <f>U132-T132-SUM(U281,U288,U298)</f>
        <v>0</v>
      </c>
      <c r="V300" s="12">
        <f>V132-U132-SUM(V281,V288,V298)</f>
        <v>0</v>
      </c>
      <c r="W300" s="12">
        <f>SUM(S300:V300)</f>
        <v>0</v>
      </c>
      <c r="X300" s="12">
        <f>X132-W132-SUM(X281,X288,X298)</f>
        <v>0</v>
      </c>
      <c r="Y300" s="12">
        <f>Y132-X132-SUM(Y281,Y288,Y298)</f>
        <v>0</v>
      </c>
      <c r="Z300" s="12">
        <f>Z132-Y132-SUM(Z281,Z288,Z298)</f>
        <v>0</v>
      </c>
      <c r="AA300" s="12">
        <f>AA132-Z132-SUM(AA281,AA288,AA298)</f>
        <v>0</v>
      </c>
      <c r="AB300" s="12">
        <f>SUM(X300:AA300)</f>
        <v>0</v>
      </c>
      <c r="AC300" s="12">
        <f>AC132-AB132-SUM(AC281,AC288,AC298)</f>
        <v>0</v>
      </c>
      <c r="AD300" s="12">
        <f>AD132-AC132-SUM(AD281,AD288,AD298)</f>
        <v>0</v>
      </c>
      <c r="AE300" s="12">
        <f>AE132-AD132-SUM(AE281,AE288,AE298)</f>
        <v>0</v>
      </c>
      <c r="AF300" s="12">
        <f>AF132-AE132-SUM(AF281,AF288,AF298)</f>
        <v>0</v>
      </c>
      <c r="AG300" s="12">
        <f>SUM(AC300:AF300)</f>
        <v>0</v>
      </c>
      <c r="AH300" s="12">
        <f>AH132-AG132-SUM(AH281,AH288,AH298)</f>
        <v>0</v>
      </c>
      <c r="AI300" s="12">
        <f>AI132-AH132-SUM(AI281,AI288,AI298)</f>
        <v>0</v>
      </c>
      <c r="AJ300" s="12">
        <f>AJ132-AI132-SUM(AJ281,AJ288,AJ298)</f>
        <v>0</v>
      </c>
      <c r="AK300" s="12">
        <f>AK132-AJ132-SUM(AK281,AK288,AK298)</f>
        <v>0</v>
      </c>
      <c r="AL300" s="12">
        <f>SUM(AH300:AK300)</f>
        <v>0</v>
      </c>
      <c r="AM300" s="12">
        <f>AM132-AL132-SUM(AM281,AM288,AM298)</f>
        <v>0</v>
      </c>
      <c r="AN300" s="12">
        <f>AN132-AM132-SUM(AN281,AN288,AN298)</f>
        <v>0</v>
      </c>
      <c r="AO300" s="12">
        <f>AO132-AN132-SUM(AO281,AO288,AO298)</f>
        <v>0</v>
      </c>
      <c r="AP300" s="12">
        <f>AP132-AO132-SUM(AP281,AP288,AP298)</f>
        <v>0</v>
      </c>
      <c r="AQ300" s="12">
        <f>SUM(AM300:AP300)</f>
        <v>0</v>
      </c>
      <c r="AR300" s="12">
        <f>AR132-AQ132-SUM(AR281,AR288,AR298)</f>
        <v>0</v>
      </c>
      <c r="AS300" s="12">
        <f>AS132-AR132-SUM(AS281,AS288,AS298)</f>
        <v>0</v>
      </c>
      <c r="AT300" s="12">
        <f>AT132-AS132-SUM(AT281,AT288,AT298)</f>
        <v>0</v>
      </c>
      <c r="AU300" s="12">
        <f>AU132-AT132-SUM(AU281,AU288,AU298)</f>
        <v>0</v>
      </c>
      <c r="AV300" s="12">
        <f>SUM(AR300:AU300)</f>
        <v>0</v>
      </c>
      <c r="AW300" s="12">
        <f>AW132-AV132-SUM(AW281,AW288,AW298)</f>
        <v>0</v>
      </c>
      <c r="AX300" s="12">
        <f>AX132-AW132-SUM(AX281,AX288,AX298)</f>
        <v>0</v>
      </c>
      <c r="AY300" s="12">
        <f>AY132-AX132-SUM(AY281,AY288,AY298)</f>
        <v>0</v>
      </c>
      <c r="AZ300" s="12">
        <f>AZ132-AY132-SUM(AZ281,AZ288,AZ298)</f>
        <v>0</v>
      </c>
      <c r="BA300" s="12">
        <f>SUM(AW300:AZ300)</f>
        <v>0</v>
      </c>
      <c r="BB300" s="12">
        <f>BB132-BA132-SUM(BB281,BB288,BB298)</f>
        <v>0</v>
      </c>
      <c r="BC300" s="12">
        <f>BC132-BB132-SUM(BC281,BC288,BC298)</f>
        <v>0</v>
      </c>
      <c r="BD300" s="12">
        <f>BD132-BC132-SUM(BD281,BD288,BD298)</f>
        <v>0</v>
      </c>
      <c r="BE300" s="12">
        <f>BE132-BD132-SUM(BE281,BE288,BE298)</f>
        <v>0</v>
      </c>
      <c r="BF300" s="12">
        <f>SUM(BB300:BE300)</f>
        <v>0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Total increase/decrease of cash</t>
        </is>
      </c>
      <c r="D302" s="12" t="n"/>
      <c r="E302" s="12" t="n"/>
      <c r="F302" s="12" t="n"/>
      <c r="G302" s="12" t="n"/>
      <c r="H302" s="12" t="n"/>
      <c r="I302" s="12" t="n"/>
      <c r="J302" s="12">
        <f>SUM(J281,J288,J298,J300)</f>
        <v>1587</v>
      </c>
      <c r="K302" s="12">
        <f>SUM(K281,K288,K298,K300)</f>
        <v>1058</v>
      </c>
      <c r="L302" s="12">
        <f>SUM(L281,L288,L298,L300)</f>
        <v>-1944</v>
      </c>
      <c r="M302" s="12" t="n"/>
      <c r="N302" s="12">
        <f>SUM(N281,N288,N298,N300)</f>
        <v>-1214</v>
      </c>
      <c r="O302" s="12">
        <f>SUM(O281,O288,O298,O300)</f>
        <v>972</v>
      </c>
      <c r="P302" s="12">
        <f>SUM(P281,P288,P298,P300)</f>
        <v>2439</v>
      </c>
      <c r="Q302" s="12">
        <f>SUM(Q281,Q288,Q298,Q300)</f>
        <v>231</v>
      </c>
      <c r="R302" s="12">
        <f>SUM(N302:Q302)</f>
        <v>2428</v>
      </c>
      <c r="S302" s="12">
        <f>SUM(S281,S288,S298,S300)</f>
        <v>-1094</v>
      </c>
      <c r="T302" s="12">
        <f>SUM(T281,T288,T298,T300)</f>
        <v>502</v>
      </c>
      <c r="U302" s="12">
        <f>SUM(U281,U288,U298,U300)</f>
        <v>2134</v>
      </c>
      <c r="V302" s="12">
        <f>SUM(V281,V288,V298,V300)</f>
        <v>-2325</v>
      </c>
      <c r="W302" s="12">
        <f>SUM(S302:V302)</f>
        <v>-783</v>
      </c>
      <c r="X302" s="12">
        <f>SUM(X281,X288,X298,X300)</f>
        <v>-2055</v>
      </c>
      <c r="Y302" s="12">
        <f>SUM(Y281,Y288,Y298,Y300)</f>
        <v>143</v>
      </c>
      <c r="Z302" s="12">
        <f>SUM(Z281,Z288,Z298,Z300)</f>
        <v>-604</v>
      </c>
      <c r="AA302" s="12">
        <f>SUM(AA281,AA288,AA298,AA300)</f>
        <v>-41</v>
      </c>
      <c r="AB302" s="12">
        <f>SUM(X302:AA302)</f>
        <v>-2557</v>
      </c>
      <c r="AC302" s="12">
        <f>SUM(AC281,AC288,AC298,AC300)</f>
        <v>165</v>
      </c>
      <c r="AD302" s="12">
        <f>SUM(AD281,AD288,AD298,AD300)</f>
        <v>1246</v>
      </c>
      <c r="AE302" s="12">
        <f>SUM(AE281,AE288,AE298,AE300)</f>
        <v>5460</v>
      </c>
      <c r="AF302" s="12">
        <f>SUM(AF281,AF288,AF298,AF300)</f>
        <v>-2004</v>
      </c>
      <c r="AG302" s="12">
        <f>SUM(AC302:AF302)</f>
        <v>4867</v>
      </c>
      <c r="AH302" s="12">
        <f>SUM(AH281,AH288,AH298,AH300)</f>
        <v>5454</v>
      </c>
      <c r="AI302" s="12">
        <f>SUM(AI281,AI288,AI298,AI300)</f>
        <v>4347</v>
      </c>
      <c r="AJ302" s="12">
        <f>SUM(AJ281,AJ288,AJ298,AJ300)</f>
        <v>13677.1804347076</v>
      </c>
      <c r="AK302" s="12">
        <f>SUM(AK281,AK288,AK298,AK300)</f>
        <v>11346.1854387316</v>
      </c>
      <c r="AL302" s="12">
        <f>SUM(AH302:AK302)</f>
        <v>34824.3658734391</v>
      </c>
      <c r="AM302" s="12">
        <f>SUM(AM281,AM288,AM298,AM300)</f>
        <v>12004.3033710541</v>
      </c>
      <c r="AN302" s="12">
        <f>SUM(AN281,AN288,AN298,AN300)</f>
        <v>14282.8434284017</v>
      </c>
      <c r="AO302" s="12">
        <f>SUM(AO281,AO288,AO298,AO300)</f>
        <v>20114.2791481934</v>
      </c>
      <c r="AP302" s="12">
        <f>SUM(AP281,AP288,AP298,AP300)</f>
        <v>17650.5125139041</v>
      </c>
      <c r="AQ302" s="12">
        <f>SUM(AM302:AP302)</f>
        <v>64051.9384615532</v>
      </c>
      <c r="AR302" s="12">
        <f>SUM(AR281,AR288,AR298,AR300)</f>
        <v>19480.2947853769</v>
      </c>
      <c r="AS302" s="12">
        <f>SUM(AS281,AS288,AS298,AS300)</f>
        <v>23103.0132238477</v>
      </c>
      <c r="AT302" s="12">
        <f>SUM(AT281,AT288,AT298,AT300)</f>
        <v>32753.8937058989</v>
      </c>
      <c r="AU302" s="12">
        <f>SUM(AU281,AU288,AU298,AU300)</f>
        <v>31218.2697795072</v>
      </c>
      <c r="AV302" s="12">
        <f>SUM(AR302:AU302)</f>
        <v>106555.471494631</v>
      </c>
      <c r="AW302" s="12">
        <f>SUM(AW281,AW288,AW298,AW300)</f>
        <v>35913.910276195</v>
      </c>
      <c r="AX302" s="12">
        <f>SUM(AX281,AX288,AX298,AX300)</f>
        <v>44926.8326812815</v>
      </c>
      <c r="AY302" s="12">
        <f>SUM(AY281,AY288,AY298,AY300)</f>
        <v>62716.5209003166</v>
      </c>
      <c r="AZ302" s="12">
        <f>SUM(AZ281,AZ288,AZ298,AZ300)</f>
        <v>67194.1047204999</v>
      </c>
      <c r="BA302" s="12">
        <f>SUM(AW302:AZ302)</f>
        <v>210751.368578293</v>
      </c>
      <c r="BB302" s="12">
        <f>SUM(BB281,BB288,BB298,BB300)</f>
        <v>82313.1505981894</v>
      </c>
      <c r="BC302" s="12">
        <f>SUM(BC281,BC288,BC298,BC300)</f>
        <v>106748.529180996</v>
      </c>
      <c r="BD302" s="12">
        <f>SUM(BD281,BD288,BD298,BD300)</f>
        <v>147872.303852785</v>
      </c>
      <c r="BE302" s="12">
        <f>SUM(BE281,BE288,BE298,BE300)</f>
        <v>176891.108677578</v>
      </c>
      <c r="BF302" s="12">
        <f>SUM(BB302:BE302)</f>
        <v>513825.092309548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4" t="inlineStr">
        <is>
          <t>Check</t>
        </is>
      </c>
      <c r="E303" s="72" t="n"/>
      <c r="F303" s="72" t="n"/>
      <c r="G303" s="72" t="n"/>
      <c r="I303" s="72" t="str">
        <f>""</f>
        <v/>
      </c>
      <c r="J303" s="72">
        <f>J132-I132-J302</f>
        <v>0</v>
      </c>
      <c r="K303" s="72">
        <f>K132-J132-K302</f>
        <v>0</v>
      </c>
      <c r="L303" s="72">
        <f>L132-K132-L302</f>
        <v>0</v>
      </c>
      <c r="M303" s="4" t="str">
        <f>""</f>
        <v/>
      </c>
      <c r="N303" s="72">
        <f>N132-M132-N302</f>
        <v>0</v>
      </c>
      <c r="O303" s="72">
        <f>O132-N132-O302</f>
        <v>0</v>
      </c>
      <c r="P303" s="72">
        <f>P132-O132-P302</f>
        <v>0</v>
      </c>
      <c r="Q303" s="72">
        <f>Q132-P132-Q302</f>
        <v>0</v>
      </c>
      <c r="R303" s="4">
        <f>R132-M132-R302</f>
        <v>0</v>
      </c>
      <c r="S303" s="72">
        <f>S132-R132-S302</f>
        <v>0</v>
      </c>
      <c r="T303" s="72">
        <f>T132-S132-T302</f>
        <v>0</v>
      </c>
      <c r="U303" s="72">
        <f>U132-T132-U302</f>
        <v>0</v>
      </c>
      <c r="V303" s="72">
        <f>V132-U132-V302</f>
        <v>0</v>
      </c>
      <c r="W303" s="4">
        <f>W132-R132-W302</f>
        <v>0</v>
      </c>
      <c r="X303" s="72">
        <f>X132-W132-X302</f>
        <v>0</v>
      </c>
      <c r="Y303" s="72">
        <f>Y132-X132-Y302</f>
        <v>0</v>
      </c>
      <c r="Z303" s="72">
        <f>Z132-Y132-Z302</f>
        <v>0</v>
      </c>
      <c r="AA303" s="72">
        <f>AA132-Z132-AA302</f>
        <v>0</v>
      </c>
      <c r="AB303" s="4">
        <f>AB132-W132-AB302</f>
        <v>0</v>
      </c>
      <c r="AC303" s="72">
        <f>AC132-AB132-AC302</f>
        <v>0</v>
      </c>
      <c r="AD303" s="72">
        <f>AD132-AC132-AD302</f>
        <v>0</v>
      </c>
      <c r="AE303" s="72">
        <f>AE132-AD132-AE302</f>
        <v>0</v>
      </c>
      <c r="AF303" s="72">
        <f>AF132-AE132-AF302</f>
        <v>0</v>
      </c>
      <c r="AG303" s="4">
        <f>AG132-AB132-AG302</f>
        <v>0</v>
      </c>
      <c r="AH303" s="72">
        <f>AH132-AG132-AH302</f>
        <v>0</v>
      </c>
      <c r="AI303" s="72">
        <f>AI132-AH132-AI302</f>
        <v>0</v>
      </c>
      <c r="AJ303" s="72">
        <f>AJ132-AI132-AJ302</f>
        <v>0</v>
      </c>
      <c r="AK303" s="72">
        <f>AK132-AJ132-AK302</f>
        <v>0</v>
      </c>
      <c r="AL303" s="4">
        <f>AL132-AG132-AL302</f>
        <v>0</v>
      </c>
      <c r="AM303" s="72">
        <f>AM132-AL132-AM302</f>
        <v>0</v>
      </c>
      <c r="AN303" s="72">
        <f>AN132-AM132-AN302</f>
        <v>0</v>
      </c>
      <c r="AO303" s="72">
        <f>AO132-AN132-AO302</f>
        <v>0</v>
      </c>
      <c r="AP303" s="72">
        <f>AP132-AO132-AP302</f>
        <v>0</v>
      </c>
      <c r="AQ303" s="4">
        <f>AQ132-AL132-AQ302</f>
        <v>0</v>
      </c>
      <c r="AR303" s="72">
        <f>AR132-AQ132-AR302</f>
        <v>0</v>
      </c>
      <c r="AS303" s="72">
        <f>AS132-AR132-AS302</f>
        <v>0</v>
      </c>
      <c r="AT303" s="72">
        <f>AT132-AS132-AT302</f>
        <v>0</v>
      </c>
      <c r="AU303" s="72">
        <f>AU132-AT132-AU302</f>
        <v>0</v>
      </c>
      <c r="AV303" s="4">
        <f>AV132-AQ132-AV302</f>
        <v>0</v>
      </c>
      <c r="AW303" s="72">
        <f>AW132-AV132-AW302</f>
        <v>0</v>
      </c>
      <c r="AX303" s="72">
        <f>AX132-AW132-AX302</f>
        <v>0</v>
      </c>
      <c r="AY303" s="72">
        <f>AY132-AX132-AY302</f>
        <v>0</v>
      </c>
      <c r="AZ303" s="72">
        <f>AZ132-AY132-AZ302</f>
        <v>0</v>
      </c>
      <c r="BA303" s="4">
        <f>BA132-AV132-BA302</f>
        <v>0</v>
      </c>
      <c r="BB303" s="72">
        <f>BB132-BA132-BB302</f>
        <v>0</v>
      </c>
      <c r="BC303" s="72">
        <f>BC132-BB132-BC302</f>
        <v>0</v>
      </c>
      <c r="BD303" s="72">
        <f>BD132-BC132-BD302</f>
        <v>0</v>
      </c>
      <c r="BE303" s="72">
        <f>BE132-BD132-BE302</f>
        <v>0</v>
      </c>
      <c r="BF303" s="4">
        <f>BF132-BA132-BF302</f>
        <v>0</v>
      </c>
      <c r="BG303" s="72" t="n"/>
      <c r="BH303" s="72" t="n"/>
      <c r="BI303" s="72" t="n"/>
      <c r="BJ303" s="72" t="n"/>
      <c r="BL303" s="72" t="n"/>
      <c r="BM303" s="72" t="n"/>
      <c r="BN303" s="72" t="n"/>
      <c r="BO303" s="72" t="n"/>
      <c r="BQ303" s="72" t="n"/>
      <c r="BR303" s="72" t="n"/>
      <c r="BS303" s="72" t="n"/>
      <c r="BT303" s="72" t="n"/>
      <c r="BV303" s="72" t="n"/>
      <c r="BW303" s="72" t="n"/>
      <c r="BX303" s="72" t="n"/>
      <c r="BY303" s="72" t="n"/>
      <c r="CA303" s="72" t="n"/>
      <c r="CB303" s="72" t="n"/>
      <c r="CC303" s="72" t="n"/>
      <c r="CD303" s="72" t="n"/>
      <c r="CF303" s="72" t="n"/>
      <c r="CG303" s="72" t="n"/>
      <c r="CH303" s="72" t="n"/>
      <c r="CI303" s="72" t="n"/>
      <c r="CK303" s="72" t="n"/>
      <c r="CL303" s="72" t="n"/>
      <c r="CM303" s="72" t="n"/>
      <c r="CN303" s="72" t="n"/>
      <c r="CP303" s="72" t="n"/>
      <c r="CQ303" s="72" t="n"/>
      <c r="CR303" s="72" t="n"/>
      <c r="CS303" s="72" t="n"/>
      <c r="CU303" s="72" t="n"/>
      <c r="CV303" s="72" t="n"/>
      <c r="CW303" s="72" t="n"/>
      <c r="CX303" s="72" t="n"/>
    </row>
    <row r="304"/>
    <row r="305">
      <c r="C305" s="73" t="inlineStr">
        <is>
          <t>Ratio Analysis</t>
        </is>
      </c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  <c r="AM305" s="73" t="n"/>
      <c r="AN305" s="73" t="n"/>
      <c r="AO305" s="73" t="n"/>
      <c r="AP305" s="73" t="n"/>
      <c r="AQ305" s="73" t="n"/>
      <c r="AR305" s="73" t="n"/>
      <c r="AS305" s="73" t="n"/>
      <c r="AT305" s="73" t="n"/>
      <c r="AU305" s="73" t="n"/>
      <c r="AV305" s="73" t="n"/>
      <c r="AW305" s="73" t="n"/>
      <c r="AX305" s="73" t="n"/>
      <c r="AY305" s="73" t="n"/>
      <c r="AZ305" s="73" t="n"/>
      <c r="BA305" s="73" t="n"/>
      <c r="BB305" s="73" t="n"/>
      <c r="BC305" s="73" t="n"/>
      <c r="BD305" s="73" t="n"/>
      <c r="BE305" s="73" t="n"/>
      <c r="BF305" s="73" t="n"/>
      <c r="BG305" s="73" t="n"/>
      <c r="BH305" s="73" t="n"/>
      <c r="BI305" s="73" t="n"/>
      <c r="BJ305" s="73" t="n"/>
      <c r="BK305" s="73" t="n"/>
      <c r="BL305" s="73" t="n"/>
      <c r="BM305" s="73" t="n"/>
      <c r="BN305" s="73" t="n"/>
      <c r="BO305" s="73" t="n"/>
      <c r="BP305" s="73" t="n"/>
      <c r="BQ305" s="73" t="n"/>
      <c r="BR305" s="73" t="n"/>
      <c r="BS305" s="73" t="n"/>
      <c r="BT305" s="73" t="n"/>
      <c r="BU305" s="73" t="n"/>
      <c r="BV305" s="73" t="n"/>
      <c r="BW305" s="73" t="n"/>
      <c r="BX305" s="73" t="n"/>
      <c r="BY305" s="73" t="n"/>
      <c r="BZ305" s="73" t="n"/>
      <c r="CA305" s="73" t="n"/>
      <c r="CB305" s="73" t="n"/>
      <c r="CC305" s="73" t="n"/>
      <c r="CD305" s="73" t="n"/>
      <c r="CE305" s="73" t="n"/>
      <c r="CF305" s="73" t="n"/>
      <c r="CG305" s="73" t="n"/>
      <c r="CH305" s="73" t="n"/>
      <c r="CI305" s="73" t="n"/>
      <c r="CJ305" s="73" t="n"/>
      <c r="CK305" s="73" t="n"/>
      <c r="CL305" s="73" t="n"/>
      <c r="CM305" s="73" t="n"/>
      <c r="CN305" s="73" t="n"/>
      <c r="CO305" s="73" t="n"/>
      <c r="CP305" s="73" t="n"/>
      <c r="CQ305" s="73" t="n"/>
      <c r="CR305" s="73" t="n"/>
      <c r="CS305" s="73" t="n"/>
      <c r="CT305" s="73" t="n"/>
      <c r="CU305" s="73" t="n"/>
      <c r="CV305" s="73" t="n"/>
      <c r="CW305" s="73" t="n"/>
      <c r="CX305" s="73" t="n"/>
      <c r="CY305" s="73" t="n"/>
    </row>
    <row r="306"/>
    <row r="307" customFormat="1" s="74">
      <c r="C307" s="74" t="inlineStr">
        <is>
          <t>YEAR</t>
        </is>
      </c>
      <c r="D307">
        <f>IFERROR(D263,"")</f>
        <v>0</v>
      </c>
      <c r="E307" s="75">
        <f>IFERROR(E263,"")</f>
        <v>0</v>
      </c>
      <c r="F307" s="75">
        <f>IFERROR(F263,"")</f>
        <v>0</v>
      </c>
      <c r="G307" s="75">
        <f>IFERROR(G263,"")</f>
        <v>0</v>
      </c>
      <c r="H307" s="75">
        <f>IFERROR(H263,"")</f>
        <v>0</v>
      </c>
      <c r="I307" s="75" t="str">
        <f>IFERROR(I263,"")</f>
        <v>1Q21</v>
      </c>
      <c r="J307" s="75" t="str">
        <f>IFERROR(J263,"")</f>
        <v>2Q21</v>
      </c>
      <c r="K307" s="75" t="str">
        <f>IFERROR(K263,"")</f>
        <v>3Q21</v>
      </c>
      <c r="L307" s="75" t="str">
        <f>IFERROR(L263,"")</f>
        <v>4Q21</v>
      </c>
      <c r="M307" s="75">
        <f>IFERROR(M263,"")</f>
        <v>2021</v>
      </c>
      <c r="N307" s="75" t="str">
        <f>IFERROR(N263,"")</f>
        <v>1Q22</v>
      </c>
      <c r="O307" s="75" t="str">
        <f>IFERROR(O263,"")</f>
        <v>2Q22</v>
      </c>
      <c r="P307" s="75" t="str">
        <f>IFERROR(P263,"")</f>
        <v>3Q22</v>
      </c>
      <c r="Q307" s="75" t="str">
        <f>IFERROR(Q263,"")</f>
        <v>4Q22</v>
      </c>
      <c r="R307" s="75">
        <f>IFERROR(R263,"")</f>
        <v>2022</v>
      </c>
      <c r="S307" s="75" t="str">
        <f>IFERROR(S263,"")</f>
        <v>1Q23</v>
      </c>
      <c r="T307" s="75" t="str">
        <f>IFERROR(T263,"")</f>
        <v>2Q23</v>
      </c>
      <c r="U307" s="75" t="str">
        <f>IFERROR(U263,"")</f>
        <v>3Q23</v>
      </c>
      <c r="V307" s="75" t="str">
        <f>IFERROR(V263,"")</f>
        <v>4Q23</v>
      </c>
      <c r="W307" s="75">
        <f>IFERROR(W263,"")</f>
        <v>2023</v>
      </c>
      <c r="X307" s="75" t="str">
        <f>IFERROR(X263,"")</f>
        <v>1Q24</v>
      </c>
      <c r="Y307" s="75" t="str">
        <f>IFERROR(Y263,"")</f>
        <v>2Q24</v>
      </c>
      <c r="Z307" s="75" t="str">
        <f>IFERROR(Z263,"")</f>
        <v>3Q24</v>
      </c>
      <c r="AA307" s="75" t="str">
        <f>IFERROR(AA263,"")</f>
        <v>4Q24</v>
      </c>
      <c r="AB307" s="75">
        <f>IFERROR(AB263,"")</f>
        <v>2024</v>
      </c>
      <c r="AC307" s="75" t="str">
        <f>IFERROR(AC263,"")</f>
        <v>1Q25</v>
      </c>
      <c r="AD307" s="75" t="str">
        <f>IFERROR(AD263,"")</f>
        <v>2Q25</v>
      </c>
      <c r="AE307" s="75" t="str">
        <f>IFERROR(AE263,"")</f>
        <v>3Q25</v>
      </c>
      <c r="AF307" s="75" t="str">
        <f>IFERROR(AF263,"")</f>
        <v>4Q25</v>
      </c>
      <c r="AG307" s="75">
        <f>IFERROR(AG263,"")</f>
        <v>2025</v>
      </c>
      <c r="AH307" s="75" t="str">
        <f>IFERROR(AH263,"")</f>
        <v>1Q26</v>
      </c>
      <c r="AI307" s="75" t="str">
        <f>IFERROR(AI263,"")</f>
        <v>2Q26</v>
      </c>
      <c r="AJ307" s="75" t="str">
        <f>IFERROR(AJ263,"")</f>
        <v>3Q26</v>
      </c>
      <c r="AK307" s="75" t="str">
        <f>IFERROR(AK263,"")</f>
        <v>4Q26</v>
      </c>
      <c r="AL307" s="75">
        <f>IFERROR(AL263,"")</f>
        <v>2026</v>
      </c>
      <c r="AM307" s="75" t="str">
        <f>IFERROR(AM263,"")</f>
        <v>1Q27</v>
      </c>
      <c r="AN307" s="75" t="str">
        <f>IFERROR(AN263,"")</f>
        <v>2Q27</v>
      </c>
      <c r="AO307" s="75" t="str">
        <f>IFERROR(AO263,"")</f>
        <v>3Q27</v>
      </c>
      <c r="AP307" s="75" t="str">
        <f>IFERROR(AP263,"")</f>
        <v>4Q27</v>
      </c>
      <c r="AQ307" s="75">
        <f>IFERROR(AQ263,"")</f>
        <v>2027</v>
      </c>
      <c r="AR307" s="75" t="str">
        <f>IFERROR(AR263,"")</f>
        <v>1Q28</v>
      </c>
      <c r="AS307" s="75" t="str">
        <f>IFERROR(AS263,"")</f>
        <v>2Q28</v>
      </c>
      <c r="AT307" s="75" t="str">
        <f>IFERROR(AT263,"")</f>
        <v>3Q28</v>
      </c>
      <c r="AU307" s="75" t="str">
        <f>IFERROR(AU263,"")</f>
        <v>4Q28</v>
      </c>
      <c r="AV307" s="75">
        <f>IFERROR(AV263,"")</f>
        <v>2028</v>
      </c>
      <c r="AW307" s="75" t="str">
        <f>IFERROR(AW263,"")</f>
        <v>1Q29</v>
      </c>
      <c r="AX307" s="75" t="str">
        <f>IFERROR(AX263,"")</f>
        <v>2Q29</v>
      </c>
      <c r="AY307" s="75" t="str">
        <f>IFERROR(AY263,"")</f>
        <v>3Q29</v>
      </c>
      <c r="AZ307" s="75" t="str">
        <f>IFERROR(AZ263,"")</f>
        <v>4Q29</v>
      </c>
      <c r="BA307" s="75">
        <f>IFERROR(BA263,"")</f>
        <v>2029</v>
      </c>
      <c r="BB307" s="75" t="str">
        <f>IFERROR(BB263,"")</f>
        <v>1Q30</v>
      </c>
      <c r="BC307" s="75" t="str">
        <f>IFERROR(BC263,"")</f>
        <v>2Q30</v>
      </c>
      <c r="BD307" s="75" t="str">
        <f>IFERROR(BD263,"")</f>
        <v>3Q30</v>
      </c>
      <c r="BE307" s="75" t="str">
        <f>IFERROR(BE263,"")</f>
        <v>4Q30</v>
      </c>
      <c r="BF307" s="75">
        <f>IFERROR(BF263,"")</f>
        <v>2030</v>
      </c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</row>
    <row r="308" customFormat="1" s="77">
      <c r="A308" s="76" t="n"/>
      <c r="B308" s="76" t="n"/>
      <c r="C308" s="74" t="inlineStr">
        <is>
          <t>GROWTH &amp; MARGINS</t>
        </is>
      </c>
    </row>
    <row r="309" customFormat="1" s="77">
      <c r="A309" s="76" t="n"/>
      <c r="B309" s="76" t="n"/>
      <c r="C309" s="77" t="inlineStr">
        <is>
          <t>NET REVENUE GROWTH (YoY)</t>
        </is>
      </c>
      <c r="E309" s="78" t="str">
        <f>IFERROR(E15/D15-1,"")</f>
        <v/>
      </c>
      <c r="F309" s="78" t="str">
        <f>IFERROR(F15/E15-1,"")</f>
        <v/>
      </c>
      <c r="G309" s="78" t="str">
        <f>IFERROR(G15/F15-1,"")</f>
        <v/>
      </c>
      <c r="H309" s="257" t="str">
        <f>""</f>
        <v/>
      </c>
      <c r="I309" s="257" t="str">
        <f>""</f>
        <v/>
      </c>
      <c r="J309" s="257" t="str">
        <f>""</f>
        <v/>
      </c>
      <c r="K309" s="257" t="str">
        <f>""</f>
        <v/>
      </c>
      <c r="L309" s="257" t="str">
        <f>""</f>
        <v/>
      </c>
      <c r="M309" s="257" t="str">
        <f>IFERROR(IF(AND(ISNUMBER(M15),ISNUMBER(H15),H15&lt;&gt;0),M15/H15-1,""),"")</f>
        <v/>
      </c>
      <c r="N309" s="257">
        <f>IFERROR(IF(AND(ISNUMBER(N15),ISNUMBER(I15),I15&lt;&gt;0),N15/I15-1,""),"")</f>
        <v>0.225869894099849</v>
      </c>
      <c r="O309" s="257">
        <f>IFERROR(IF(AND(ISNUMBER(O15),ISNUMBER(J15),J15&lt;&gt;0),O15/J15-1,""),"")</f>
        <v>0.248745942755975</v>
      </c>
      <c r="P309" s="257">
        <f>IFERROR(IF(AND(ISNUMBER(P15),ISNUMBER(K15),K15&lt;&gt;0),P15/K15-1,""),"")</f>
        <v>0.205616308896989</v>
      </c>
      <c r="Q309" s="257">
        <f>IFERROR(IF(AND(ISNUMBER(Q15),ISNUMBER(L15),L15&lt;&gt;0),Q15/L15-1,""),"")</f>
        <v>0.156890734492603</v>
      </c>
      <c r="R309" s="257">
        <f>IFERROR(IF(AND(ISNUMBER(R15),ISNUMBER(M15),M15&lt;&gt;0),R15/M15-1,""),"")</f>
        <v>0.207396231711168</v>
      </c>
      <c r="S309" s="257">
        <f>IFERROR(IF(AND(ISNUMBER(S15),ISNUMBER(N15),N15&lt;&gt;0),S15/N15-1,""),"")</f>
        <v>0.0777489818585708</v>
      </c>
      <c r="T309" s="257">
        <f>IFERROR(IF(AND(ISNUMBER(T15),ISNUMBER(O15),O15&lt;&gt;0),T15/O15-1,""),"")</f>
        <v>0.0486767485822306</v>
      </c>
      <c r="U309" s="257">
        <f>IFERROR(IF(AND(ISNUMBER(U15),ISNUMBER(P15),P15&lt;&gt;0),U15/P15-1,""),"")</f>
        <v>0.0408734602463605</v>
      </c>
      <c r="V309" s="257">
        <f>IFERROR(IF(AND(ISNUMBER(V15),ISNUMBER(Q15),Q15&lt;&gt;0),V15/Q15-1,""),"")</f>
        <v>0.341671340437465</v>
      </c>
      <c r="W309" s="257">
        <f>IFERROR(IF(AND(ISNUMBER(W15),ISNUMBER(R15),R15&lt;&gt;0),W15/R15-1,""),"")</f>
        <v>0.129402533999768</v>
      </c>
      <c r="X309" s="257">
        <f>IFERROR(IF(AND(ISNUMBER(X15),ISNUMBER(S15),S15&lt;&gt;0),X15/S15-1,""),"")</f>
        <v>0.429863735257071</v>
      </c>
      <c r="Y309" s="257">
        <f>IFERROR(IF(AND(ISNUMBER(Y15),ISNUMBER(T15),T15&lt;&gt;0),Y15/T15-1,""),"")</f>
        <v>0.472735466426318</v>
      </c>
      <c r="Z309" s="257">
        <f>IFERROR(IF(AND(ISNUMBER(Z15),ISNUMBER(U15),U15&lt;&gt;0),Z15/U15-1,""),"")</f>
        <v>0.511995696611081</v>
      </c>
      <c r="AA309" s="257">
        <f>IFERROR(IF(AND(ISNUMBER(AA15),ISNUMBER(V15),V15&lt;&gt;0),AA15/V15-1,""),"")</f>
        <v>0.247052921996489</v>
      </c>
      <c r="AB309" s="257">
        <f>IFERROR(IF(AND(ISNUMBER(AB15),ISNUMBER(W15),W15&lt;&gt;0),AB15/W15-1,""),"")</f>
        <v>0.403036150778335</v>
      </c>
      <c r="AC309" s="257">
        <f>IFERROR(IF(AND(ISNUMBER(AC15),ISNUMBER(X15),X15&lt;&gt;0),AC15/X15-1,""),"")</f>
        <v>0.201569632417715</v>
      </c>
      <c r="AD309" s="257">
        <f>IFERROR(IF(AND(ISNUMBER(AD15),ISNUMBER(Y15),Y15&lt;&gt;0),AD15/Y15-1,""),"")</f>
        <v>0.2203182374541</v>
      </c>
      <c r="AE309" s="257">
        <f>IFERROR(IF(AND(ISNUMBER(AE15),ISNUMBER(Z15),Z15&lt;&gt;0),AE15/Z15-1,""),"")</f>
        <v>0.281841468621033</v>
      </c>
      <c r="AF309" s="257">
        <f>IFERROR(IF(AND(ISNUMBER(AF15),ISNUMBER(AA15),AA15&lt;&gt;0),AF15/AA15-1,""),"")</f>
        <v>0.294650040225261</v>
      </c>
      <c r="AG309" s="257">
        <f>IFERROR(IF(AND(ISNUMBER(AG15),ISNUMBER(AB15),AB15&lt;&gt;0),AG15/AB15-1,""),"")</f>
        <v>0.252214418016101</v>
      </c>
      <c r="AH309" s="257">
        <f>IFERROR(IF(AND(ISNUMBER(AH15),ISNUMBER(AC15),AC15&lt;&gt;0),AH15/AC15-1,""),"")</f>
        <v>0.478739002932551</v>
      </c>
      <c r="AI309" s="257">
        <f>IFERROR(IF(AND(ISNUMBER(AI15),ISNUMBER(AD15),AD15&lt;&gt;0),AI15/AD15-1,""),"")</f>
        <v>0.855002507522568</v>
      </c>
      <c r="AJ309" s="257">
        <f>IFERROR(IF(AND(ISNUMBER(AJ15),ISNUMBER(AE15),AE15&lt;&gt;0),AJ15/AE15-1,""),"")</f>
        <v>0.388686814862205</v>
      </c>
      <c r="AK309" s="257">
        <f>IFERROR(IF(AND(ISNUMBER(AK15),ISNUMBER(AF15),AF15&lt;&gt;0),AK15/AF15-1,""),"")</f>
        <v>0.388686814862205</v>
      </c>
      <c r="AL309" s="257">
        <f>IFERROR(IF(AND(ISNUMBER(AL15),ISNUMBER(AG15),AG15&lt;&gt;0),AL15/AG15-1,""),"")</f>
        <v>0.517414897799517</v>
      </c>
      <c r="AM309" s="257">
        <f>IFERROR(IF(AND(ISNUMBER(AM15),ISNUMBER(AH15),AH15&lt;&gt;0),AM15/AH15-1,""),"")</f>
        <v>0.388686814862205</v>
      </c>
      <c r="AN309" s="257">
        <f>IFERROR(IF(AND(ISNUMBER(AN15),ISNUMBER(AI15),AI15&lt;&gt;0),AN15/AI15-1,""),"")</f>
        <v>0.388686814862205</v>
      </c>
      <c r="AO309" s="257">
        <f>IFERROR(IF(AND(ISNUMBER(AO15),ISNUMBER(AJ15),AJ15&lt;&gt;0),AO15/AJ15-1,""),"")</f>
        <v>0.388686814862204</v>
      </c>
      <c r="AP309" s="257">
        <f>IFERROR(IF(AND(ISNUMBER(AP15),ISNUMBER(AK15),AK15&lt;&gt;0),AP15/AK15-1,""),"")</f>
        <v>0.388686814862204</v>
      </c>
      <c r="AQ309" s="257">
        <f>IFERROR(IF(AND(ISNUMBER(AQ15),ISNUMBER(AL15),AL15&lt;&gt;0),AQ15/AL15-1,""),"")</f>
        <v>0.388686814862205</v>
      </c>
      <c r="AR309" s="257">
        <f>IFERROR(IF(AND(ISNUMBER(AR15),ISNUMBER(AM15),AM15&lt;&gt;0),AR15/AM15-1,""),"")</f>
        <v>0.383686814862205</v>
      </c>
      <c r="AS309" s="257">
        <f>IFERROR(IF(AND(ISNUMBER(AS15),ISNUMBER(AN15),AN15&lt;&gt;0),AS15/AN15-1,""),"")</f>
        <v>0.383686814862205</v>
      </c>
      <c r="AT309" s="257">
        <f>IFERROR(IF(AND(ISNUMBER(AT15),ISNUMBER(AO15),AO15&lt;&gt;0),AT15/AO15-1,""),"")</f>
        <v>0.383686814862205</v>
      </c>
      <c r="AU309" s="257">
        <f>IFERROR(IF(AND(ISNUMBER(AU15),ISNUMBER(AP15),AP15&lt;&gt;0),AU15/AP15-1,""),"")</f>
        <v>0.383686814862205</v>
      </c>
      <c r="AV309" s="257">
        <f>IFERROR(IF(AND(ISNUMBER(AV15),ISNUMBER(AQ15),AQ15&lt;&gt;0),AV15/AQ15-1,""),"")</f>
        <v>0.383686814862205</v>
      </c>
      <c r="AW309" s="257">
        <f>IFERROR(IF(AND(ISNUMBER(AW15),ISNUMBER(AR15),AR15&lt;&gt;0),AW15/AR15-1,""),"")</f>
        <v>0.378686814862205</v>
      </c>
      <c r="AX309" s="257">
        <f>IFERROR(IF(AND(ISNUMBER(AX15),ISNUMBER(AS15),AS15&lt;&gt;0),AX15/AS15-1,""),"")</f>
        <v>0.378686814862205</v>
      </c>
      <c r="AY309" s="257">
        <f>IFERROR(IF(AND(ISNUMBER(AY15),ISNUMBER(AT15),AT15&lt;&gt;0),AY15/AT15-1,""),"")</f>
        <v>0.378686814862205</v>
      </c>
      <c r="AZ309" s="257">
        <f>IFERROR(IF(AND(ISNUMBER(AZ15),ISNUMBER(AU15),AU15&lt;&gt;0),AZ15/AU15-1,""),"")</f>
        <v>0.378686814862205</v>
      </c>
      <c r="BA309" s="257">
        <f>IFERROR(IF(AND(ISNUMBER(BA15),ISNUMBER(AV15),AV15&lt;&gt;0),BA15/AV15-1,""),"")</f>
        <v>0.378686814862204</v>
      </c>
      <c r="BB309" s="257">
        <f>IFERROR(IF(AND(ISNUMBER(BB15),ISNUMBER(AW15),AW15&lt;&gt;0),BB15/AW15-1,""),"")</f>
        <v>0.373686814862205</v>
      </c>
      <c r="BC309" s="257">
        <f>IFERROR(IF(AND(ISNUMBER(BC15),ISNUMBER(AX15),AX15&lt;&gt;0),BC15/AX15-1,""),"")</f>
        <v>0.373686814862205</v>
      </c>
      <c r="BD309" s="257">
        <f>IFERROR(IF(AND(ISNUMBER(BD15),ISNUMBER(AY15),AY15&lt;&gt;0),BD15/AY15-1,""),"")</f>
        <v>0.373686814862205</v>
      </c>
      <c r="BE309" s="257">
        <f>IFERROR(IF(AND(ISNUMBER(BE15),ISNUMBER(AZ15),AZ15&lt;&gt;0),BE15/AZ15-1,""),"")</f>
        <v>0.373686814862205</v>
      </c>
      <c r="BF309" s="257">
        <f>IFERROR(IF(AND(ISNUMBER(BF15),ISNUMBER(BA15),BA15&lt;&gt;0),BF15/BA15-1,""),"")</f>
        <v>0.373686814862205</v>
      </c>
      <c r="BG309" s="79" t="n"/>
      <c r="BH309" s="79" t="n"/>
      <c r="BI309" s="79" t="n"/>
      <c r="BJ309" s="79" t="n"/>
      <c r="BK309" s="78" t="n"/>
      <c r="BL309" s="79" t="n"/>
      <c r="BM309" s="79" t="n"/>
      <c r="BN309" s="79" t="n"/>
      <c r="BO309" s="79" t="n"/>
      <c r="BP309" s="78" t="n"/>
      <c r="BQ309" s="79" t="n"/>
      <c r="BR309" s="79" t="n"/>
      <c r="BS309" s="79" t="n"/>
      <c r="BT309" s="79" t="n"/>
      <c r="BU309" s="78" t="n"/>
      <c r="BV309" s="79" t="n"/>
      <c r="BW309" s="79" t="n"/>
      <c r="BX309" s="79" t="n"/>
      <c r="BY309" s="79" t="n"/>
      <c r="BZ309" s="78" t="n"/>
      <c r="CA309" s="79" t="n"/>
      <c r="CB309" s="79" t="n"/>
      <c r="CC309" s="79" t="n"/>
      <c r="CD309" s="79" t="n"/>
      <c r="CE309" s="78" t="n"/>
      <c r="CF309" s="79" t="n"/>
      <c r="CG309" s="79" t="n"/>
      <c r="CH309" s="79" t="n"/>
      <c r="CI309" s="79" t="n"/>
      <c r="CJ309" s="78" t="n"/>
      <c r="CK309" s="79" t="n"/>
      <c r="CL309" s="79" t="n"/>
      <c r="CM309" s="79" t="n"/>
      <c r="CN309" s="79" t="n"/>
      <c r="CO309" s="78" t="n"/>
      <c r="CP309" s="79" t="n"/>
      <c r="CQ309" s="79" t="n"/>
      <c r="CR309" s="79" t="n"/>
      <c r="CS309" s="79" t="n"/>
      <c r="CT309" s="78" t="n"/>
      <c r="CU309" s="79" t="n"/>
      <c r="CV309" s="79" t="n"/>
      <c r="CW309" s="79" t="n"/>
      <c r="CX309" s="79" t="n"/>
      <c r="CY309" s="78" t="n"/>
    </row>
    <row r="310" customFormat="1" s="77">
      <c r="A310" s="76" t="n"/>
      <c r="B310" s="76" t="n"/>
      <c r="C310" s="77" t="inlineStr">
        <is>
          <t>GROSS MARGIN</t>
        </is>
      </c>
      <c r="D310" s="79" t="str">
        <f>IFERROR(SUM(D15,D42)/D15,"")</f>
        <v/>
      </c>
      <c r="E310" s="79" t="str">
        <f>IFERROR(SUM(E15,E42)/E15,"")</f>
        <v/>
      </c>
      <c r="F310" s="79" t="str">
        <f>IFERROR(SUM(F15,F42)/F15,"")</f>
        <v/>
      </c>
      <c r="G310" s="79" t="str">
        <f>IFERROR(SUM(G15,G42)/G15,"")</f>
        <v/>
      </c>
      <c r="H310" s="258" t="str">
        <f>IFERROR(IF(N(H15)&lt;&gt;0,(H15+H42)/H15,""),"")</f>
        <v/>
      </c>
      <c r="I310" s="258">
        <f>IFERROR(IF(N(I15)&lt;&gt;0,(I15+I42)/I15,""),"")</f>
        <v>0.613767019667171</v>
      </c>
      <c r="J310" s="258">
        <f>IFERROR(IF(N(J15)&lt;&gt;0,(J15+J42)/J15,""),"")</f>
        <v>0.619209206255533</v>
      </c>
      <c r="K310" s="258">
        <f>IFERROR(IF(N(K15)&lt;&gt;0,(K15+K42)/K15,""),"")</f>
        <v>0.626164439044147</v>
      </c>
      <c r="L310" s="258">
        <f>IFERROR(IF(N(L15)&lt;&gt;0,(L15+L42)/L15,""),"")</f>
        <v>0.655203737347522</v>
      </c>
      <c r="M310" s="258">
        <f>IFERROR(IF(N(M15)&lt;&gt;0,(M15+M42)/M15,""),"")</f>
        <v>0.629486684677731</v>
      </c>
      <c r="N310" s="258">
        <f>IFERROR(IF(N(N15)&lt;&gt;0,(N15+N42)/N15,""),"")</f>
        <v>0.671232876712329</v>
      </c>
      <c r="O310" s="258">
        <f>IFERROR(IF(N(O15)&lt;&gt;0,(O15+O42)/O15,""),"")</f>
        <v>0.671195652173913</v>
      </c>
      <c r="P310" s="258">
        <f>IFERROR(IF(N(P15)&lt;&gt;0,(P15+P42)/P15,""),"")</f>
        <v>0.663605823068309</v>
      </c>
      <c r="Q310" s="258">
        <f>IFERROR(IF(N(Q15)&lt;&gt;0,(Q15+Q42)/Q15,""),"")</f>
        <v>0.673471676948962</v>
      </c>
      <c r="R310" s="258">
        <f>IFERROR(IF(N(R15)&lt;&gt;0,(R15+R42)/R15,""),"")</f>
        <v>0.669824479832617</v>
      </c>
      <c r="S310" s="258">
        <f>IFERROR(IF(N(S15)&lt;&gt;0,(S15+S42)/S15,""),"")</f>
        <v>0.700217565555937</v>
      </c>
      <c r="T310" s="258">
        <f>IFERROR(IF(N(T15)&lt;&gt;0,(T15+T42)/T15,""),"")</f>
        <v>0.694456962595764</v>
      </c>
      <c r="U310" s="258">
        <f>IFERROR(IF(N(U15)&lt;&gt;0,(U15+U42)/U15,""),"")</f>
        <v>0.689295320064551</v>
      </c>
      <c r="V310" s="258">
        <f>IFERROR(IF(N(V15)&lt;&gt;0,(V15+V42)/V15,""),"")</f>
        <v>0.616587241869409</v>
      </c>
      <c r="W310" s="258">
        <f>IFERROR(IF(N(W15)&lt;&gt;0,(W15+W42)/W15,""),"")</f>
        <v>0.670551910459282</v>
      </c>
      <c r="X310" s="258">
        <f>IFERROR(IF(N(X15)&lt;&gt;0,(X15+X42)/X15,""),"")</f>
        <v>0.622727636742212</v>
      </c>
      <c r="Y310" s="258">
        <f>IFERROR(IF(N(Y15)&lt;&gt;0,(Y15+Y42)/Y15,""),"")</f>
        <v>0.639228886168911</v>
      </c>
      <c r="Z310" s="258">
        <f>IFERROR(IF(N(Z15)&lt;&gt;0,(Z15+Z42)/Z15,""),"")</f>
        <v>0.640529386651487</v>
      </c>
      <c r="AA310" s="258">
        <f>IFERROR(IF(N(AA15)&lt;&gt;0,(AA15+AA42)/AA15,""),"")</f>
        <v>0.680142129257174</v>
      </c>
      <c r="AB310" s="258">
        <f>IFERROR(IF(N(AB15)&lt;&gt;0,(AB15+AB42)/AB15,""),"")</f>
        <v>0.646976838012801</v>
      </c>
      <c r="AC310" s="258">
        <f>IFERROR(IF(N(AC15)&lt;&gt;0,(AC15+AC42)/AC15,""),"")</f>
        <v>0.679618768328446</v>
      </c>
      <c r="AD310" s="258">
        <f>IFERROR(IF(N(AD15)&lt;&gt;0,(AD15+AD42)/AD15,""),"")</f>
        <v>0.67095035105316</v>
      </c>
      <c r="AE310" s="258">
        <f>IFERROR(IF(N(AE15)&lt;&gt;0,(AE15+AE42)/AE15,""),"")</f>
        <v>0.679933388842631</v>
      </c>
      <c r="AF310" s="258">
        <f>IFERROR(IF(N(AF15)&lt;&gt;0,(AF15+AF42)/AF15,""),"")</f>
        <v>0.681321526591062</v>
      </c>
      <c r="AG310" s="258">
        <f>IFERROR(IF(N(AG15)&lt;&gt;0,(AG15+AG42)/AG15,""),"")</f>
        <v>0.678158226179667</v>
      </c>
      <c r="AH310" s="258">
        <f>IFERROR(IF(N(AH15)&lt;&gt;0,(AH15+AH42)/AH15,""),"")</f>
        <v>0.69477622030919</v>
      </c>
      <c r="AI310" s="258">
        <f>IFERROR(IF(N(AI15)&lt;&gt;0,(AI15+AI42)/AI15,""),"")</f>
        <v>0.691291270994559</v>
      </c>
      <c r="AJ310" s="258">
        <f>IFERROR(IF(N(AJ15)&lt;&gt;0,(AJ15+AJ42)/AJ15,""),"")</f>
        <v>0.682981921019841</v>
      </c>
      <c r="AK310" s="258">
        <f>IFERROR(IF(N(AK15)&lt;&gt;0,(AK15+AK42)/AK15,""),"")</f>
        <v>0.682981921019841</v>
      </c>
      <c r="AL310" s="258">
        <f>IFERROR(IF(N(AL15)&lt;&gt;0,(AL15+AL42)/AL15,""),"")</f>
        <v>0.68788059574619</v>
      </c>
      <c r="AM310" s="258">
        <f>IFERROR(IF(N(AM15)&lt;&gt;0,(AM15+AM42)/AM15,""),"")</f>
        <v>0.682981921019841</v>
      </c>
      <c r="AN310" s="258">
        <f>IFERROR(IF(N(AN15)&lt;&gt;0,(AN15+AN42)/AN15,""),"")</f>
        <v>0.682981921019841</v>
      </c>
      <c r="AO310" s="258">
        <f>IFERROR(IF(N(AO15)&lt;&gt;0,(AO15+AO42)/AO15,""),"")</f>
        <v>0.682981921019841</v>
      </c>
      <c r="AP310" s="258">
        <f>IFERROR(IF(N(AP15)&lt;&gt;0,(AP15+AP42)/AP15,""),"")</f>
        <v>0.682981921019841</v>
      </c>
      <c r="AQ310" s="258">
        <f>IFERROR(IF(N(AQ15)&lt;&gt;0,(AQ15+AQ42)/AQ15,""),"")</f>
        <v>0.682981921019841</v>
      </c>
      <c r="AR310" s="258">
        <f>IFERROR(IF(N(AR15)&lt;&gt;0,(AR15+AR42)/AR15,""),"")</f>
        <v>0.682981921019841</v>
      </c>
      <c r="AS310" s="258">
        <f>IFERROR(IF(N(AS15)&lt;&gt;0,(AS15+AS42)/AS15,""),"")</f>
        <v>0.682981921019841</v>
      </c>
      <c r="AT310" s="258">
        <f>IFERROR(IF(N(AT15)&lt;&gt;0,(AT15+AT42)/AT15,""),"")</f>
        <v>0.682981921019841</v>
      </c>
      <c r="AU310" s="258">
        <f>IFERROR(IF(N(AU15)&lt;&gt;0,(AU15+AU42)/AU15,""),"")</f>
        <v>0.682981921019841</v>
      </c>
      <c r="AV310" s="258">
        <f>IFERROR(IF(N(AV15)&lt;&gt;0,(AV15+AV42)/AV15,""),"")</f>
        <v>0.682981921019841</v>
      </c>
      <c r="AW310" s="258">
        <f>IFERROR(IF(N(AW15)&lt;&gt;0,(AW15+AW42)/AW15,""),"")</f>
        <v>0.682981921019841</v>
      </c>
      <c r="AX310" s="258">
        <f>IFERROR(IF(N(AX15)&lt;&gt;0,(AX15+AX42)/AX15,""),"")</f>
        <v>0.682981921019841</v>
      </c>
      <c r="AY310" s="258">
        <f>IFERROR(IF(N(AY15)&lt;&gt;0,(AY15+AY42)/AY15,""),"")</f>
        <v>0.682981921019841</v>
      </c>
      <c r="AZ310" s="258">
        <f>IFERROR(IF(N(AZ15)&lt;&gt;0,(AZ15+AZ42)/AZ15,""),"")</f>
        <v>0.682981921019841</v>
      </c>
      <c r="BA310" s="258">
        <f>IFERROR(IF(N(BA15)&lt;&gt;0,(BA15+BA42)/BA15,""),"")</f>
        <v>0.682981921019841</v>
      </c>
      <c r="BB310" s="258">
        <f>IFERROR(IF(N(BB15)&lt;&gt;0,(BB15+BB42)/BB15,""),"")</f>
        <v>0.682981921019841</v>
      </c>
      <c r="BC310" s="258">
        <f>IFERROR(IF(N(BC15)&lt;&gt;0,(BC15+BC42)/BC15,""),"")</f>
        <v>0.682981921019841</v>
      </c>
      <c r="BD310" s="258">
        <f>IFERROR(IF(N(BD15)&lt;&gt;0,(BD15+BD42)/BD15,""),"")</f>
        <v>0.682981921019841</v>
      </c>
      <c r="BE310" s="258">
        <f>IFERROR(IF(N(BE15)&lt;&gt;0,(BE15+BE42)/BE15,""),"")</f>
        <v>0.682981921019841</v>
      </c>
      <c r="BF310" s="258">
        <f>IFERROR(IF(N(BF15)&lt;&gt;0,(BF15+BF42)/BF15,""),"")</f>
        <v>0.682981921019841</v>
      </c>
      <c r="BG310" s="80" t="n"/>
      <c r="BH310" s="80" t="n"/>
      <c r="BI310" s="80" t="n"/>
      <c r="BJ310" s="80" t="n"/>
      <c r="BL310" s="80" t="n"/>
      <c r="BM310" s="80" t="n"/>
      <c r="BN310" s="80" t="n"/>
      <c r="BO310" s="80" t="n"/>
      <c r="BQ310" s="80" t="n"/>
      <c r="BR310" s="80" t="n"/>
      <c r="BS310" s="80" t="n"/>
      <c r="BT310" s="80" t="n"/>
      <c r="BV310" s="80" t="n"/>
      <c r="BW310" s="80" t="n"/>
      <c r="BX310" s="80" t="n"/>
      <c r="BY310" s="80" t="n"/>
      <c r="CA310" s="80" t="n"/>
      <c r="CB310" s="80" t="n"/>
      <c r="CC310" s="80" t="n"/>
      <c r="CD310" s="80" t="n"/>
      <c r="CF310" s="80" t="n"/>
      <c r="CG310" s="80" t="n"/>
      <c r="CH310" s="80" t="n"/>
      <c r="CI310" s="80" t="n"/>
      <c r="CK310" s="80" t="n"/>
      <c r="CL310" s="80" t="n"/>
      <c r="CM310" s="80" t="n"/>
      <c r="CN310" s="80" t="n"/>
      <c r="CP310" s="80" t="n"/>
      <c r="CQ310" s="80" t="n"/>
      <c r="CR310" s="80" t="n"/>
      <c r="CS310" s="80" t="n"/>
      <c r="CU310" s="80" t="n"/>
      <c r="CV310" s="80" t="n"/>
      <c r="CW310" s="80" t="n"/>
      <c r="CX310" s="80" t="n"/>
    </row>
    <row r="311" customFormat="1" s="77">
      <c r="A311" s="76" t="n"/>
      <c r="B311" s="76" t="n"/>
      <c r="C311" s="77" t="inlineStr">
        <is>
          <t>EBIT MARGIN</t>
        </is>
      </c>
      <c r="D311" s="78" t="str">
        <f>IFERROR((D61/D15),"")</f>
        <v/>
      </c>
      <c r="E311" s="78" t="str">
        <f>IFERROR((E61/E15),"")</f>
        <v/>
      </c>
      <c r="F311" s="78" t="str">
        <f>IFERROR((F61/F15),"")</f>
        <v/>
      </c>
      <c r="G311" s="78" t="str">
        <f>IFERROR((G61/G15),"")</f>
        <v/>
      </c>
      <c r="H311" s="258" t="str">
        <f>IFERROR(IF(N(H15)&lt;&gt;0,H61/H15,""),"")</f>
        <v/>
      </c>
      <c r="I311" s="257">
        <f>IFERROR(IF(N(I15)&lt;&gt;0,I61/I15,""),"")</f>
        <v>0.298789712556732</v>
      </c>
      <c r="J311" s="257">
        <f>IFERROR(IF(N(J15)&lt;&gt;0,J61/J15,""),"")</f>
        <v>0.313661847152552</v>
      </c>
      <c r="K311" s="257">
        <f>IFERROR(IF(N(K15)&lt;&gt;0,K61/K15,""),"")</f>
        <v>0.348454164979074</v>
      </c>
      <c r="L311" s="257">
        <f>IFERROR(IF(N(L15)&lt;&gt;0,L61/L15,""),"")</f>
        <v>0.403322086685699</v>
      </c>
      <c r="M311" s="258">
        <f>IFERROR(IF(N(M15)&lt;&gt;0,M61/M15,""),"")</f>
        <v>0.343496719413354</v>
      </c>
      <c r="N311" s="257">
        <f>IFERROR(IF(N(N15)&lt;&gt;0,N61/N15,""),"")</f>
        <v>0.418857213377761</v>
      </c>
      <c r="O311" s="257">
        <f>IFERROR(IF(N(O15)&lt;&gt;0,O61/O15,""),"")</f>
        <v>0.441517013232514</v>
      </c>
      <c r="P311" s="257">
        <f>IFERROR(IF(N(P15)&lt;&gt;0,P61/P15,""),"")</f>
        <v>0.446360582306831</v>
      </c>
      <c r="Q311" s="257">
        <f>IFERROR(IF(N(Q15)&lt;&gt;0,Q61/Q15,""),"")</f>
        <v>0.460235558048233</v>
      </c>
      <c r="R311" s="258">
        <f>IFERROR(IF(N(R15)&lt;&gt;0,R61/R15,""),"")</f>
        <v>0.442287574102057</v>
      </c>
      <c r="S311" s="257">
        <f>IFERROR(IF(N(S15)&lt;&gt;0,S61/S15,""),"")</f>
        <v>0.458948814840261</v>
      </c>
      <c r="T311" s="257">
        <f>IFERROR(IF(N(T15)&lt;&gt;0,T61/T15,""),"")</f>
        <v>0.434429923388914</v>
      </c>
      <c r="U311" s="257">
        <f>IFERROR(IF(N(U15)&lt;&gt;0,U61/U15,""),"")</f>
        <v>0.456159225389995</v>
      </c>
      <c r="V311" s="257">
        <f>IFERROR(IF(N(V15)&lt;&gt;0,V61/V15,""),"")</f>
        <v>0.174149318618845</v>
      </c>
      <c r="W311" s="258">
        <f>IFERROR(IF(N(W15)&lt;&gt;0,W61/W15,""),"")</f>
        <v>0.365032805866461</v>
      </c>
      <c r="X311" s="257">
        <f>IFERROR(IF(N(X15)&lt;&gt;0,X61/X15,""),"")</f>
        <v>0.237446944822616</v>
      </c>
      <c r="Y311" s="257">
        <f>IFERROR(IF(N(Y15)&lt;&gt;0,Y61/Y15,""),"")</f>
        <v>0.289779681762546</v>
      </c>
      <c r="Z311" s="257">
        <f>IFERROR(IF(N(Z15)&lt;&gt;0,Z61/Z15,""),"")</f>
        <v>0.329230112423509</v>
      </c>
      <c r="AA311" s="257">
        <f>IFERROR(IF(N(AA15)&lt;&gt;0,AA61/AA15,""),"")</f>
        <v>0.419683561276482</v>
      </c>
      <c r="AB311" s="258">
        <f>IFERROR(IF(N(AB15)&lt;&gt;0,AB61/AB15,""),"")</f>
        <v>0.323497588439179</v>
      </c>
      <c r="AC311" s="257">
        <f>IFERROR(IF(N(AC15)&lt;&gt;0,AC61/AC15,""),"")</f>
        <v>0.388496400959744</v>
      </c>
      <c r="AD311" s="257">
        <f>IFERROR(IF(N(AD15)&lt;&gt;0,AD61/AD15,""),"")</f>
        <v>0.369044633901705</v>
      </c>
      <c r="AE311" s="257">
        <f>IFERROR(IF(N(AE15)&lt;&gt;0,AE61/AE15,""),"")</f>
        <v>0.41676380793783</v>
      </c>
      <c r="AF311" s="257">
        <f>IFERROR(IF(N(AF15)&lt;&gt;0,AF61/AF15,""),"")</f>
        <v>0.443426026616954</v>
      </c>
      <c r="AG311" s="258">
        <f>IFERROR(IF(N(AG15)&lt;&gt;0,AG61/AG15,""),"")</f>
        <v>0.406944729211212</v>
      </c>
      <c r="AH311" s="257">
        <f>IFERROR(IF(N(AH15)&lt;&gt;0,AH61/AH15,""),"")</f>
        <v>0.486230675620859</v>
      </c>
      <c r="AI311" s="257">
        <f>IFERROR(IF(N(AI15)&lt;&gt;0,AI61/AI15,""),"")</f>
        <v>0.539184211415633</v>
      </c>
      <c r="AJ311" s="257">
        <f>IFERROR(IF(N(AJ15)&lt;&gt;0,AJ61/AJ15,""),"")</f>
        <v>0.440524292742121</v>
      </c>
      <c r="AK311" s="257">
        <f>IFERROR(IF(N(AK15)&lt;&gt;0,AK61/AK15,""),"")</f>
        <v>0.440524292742121</v>
      </c>
      <c r="AL311" s="258">
        <f>IFERROR(IF(N(AL15)&lt;&gt;0,AL61/AL15,""),"")</f>
        <v>0.4784883168021</v>
      </c>
      <c r="AM311" s="257">
        <f>IFERROR(IF(N(AM15)&lt;&gt;0,AM61/AM15,""),"")</f>
        <v>0.440524292742121</v>
      </c>
      <c r="AN311" s="257">
        <f>IFERROR(IF(N(AN15)&lt;&gt;0,AN61/AN15,""),"")</f>
        <v>0.440524292742121</v>
      </c>
      <c r="AO311" s="257">
        <f>IFERROR(IF(N(AO15)&lt;&gt;0,AO61/AO15,""),"")</f>
        <v>0.440524292742121</v>
      </c>
      <c r="AP311" s="257">
        <f>IFERROR(IF(N(AP15)&lt;&gt;0,AP61/AP15,""),"")</f>
        <v>0.440524292742121</v>
      </c>
      <c r="AQ311" s="258">
        <f>IFERROR(IF(N(AQ15)&lt;&gt;0,AQ61/AQ15,""),"")</f>
        <v>0.440524292742121</v>
      </c>
      <c r="AR311" s="257">
        <f>IFERROR(IF(N(AR15)&lt;&gt;0,AR61/AR15,""),"")</f>
        <v>0.440524292742121</v>
      </c>
      <c r="AS311" s="257">
        <f>IFERROR(IF(N(AS15)&lt;&gt;0,AS61/AS15,""),"")</f>
        <v>0.440524292742121</v>
      </c>
      <c r="AT311" s="257">
        <f>IFERROR(IF(N(AT15)&lt;&gt;0,AT61/AT15,""),"")</f>
        <v>0.440524292742121</v>
      </c>
      <c r="AU311" s="257">
        <f>IFERROR(IF(N(AU15)&lt;&gt;0,AU61/AU15,""),"")</f>
        <v>0.440524292742121</v>
      </c>
      <c r="AV311" s="258">
        <f>IFERROR(IF(N(AV15)&lt;&gt;0,AV61/AV15,""),"")</f>
        <v>0.440524292742121</v>
      </c>
      <c r="AW311" s="257">
        <f>IFERROR(IF(N(AW15)&lt;&gt;0,AW61/AW15,""),"")</f>
        <v>0.440524292742121</v>
      </c>
      <c r="AX311" s="257">
        <f>IFERROR(IF(N(AX15)&lt;&gt;0,AX61/AX15,""),"")</f>
        <v>0.440524292742121</v>
      </c>
      <c r="AY311" s="257">
        <f>IFERROR(IF(N(AY15)&lt;&gt;0,AY61/AY15,""),"")</f>
        <v>0.440524292742121</v>
      </c>
      <c r="AZ311" s="257">
        <f>IFERROR(IF(N(AZ15)&lt;&gt;0,AZ61/AZ15,""),"")</f>
        <v>0.440524292742121</v>
      </c>
      <c r="BA311" s="258">
        <f>IFERROR(IF(N(BA15)&lt;&gt;0,BA61/BA15,""),"")</f>
        <v>0.440524292742121</v>
      </c>
      <c r="BB311" s="257">
        <f>IFERROR(IF(N(BB15)&lt;&gt;0,BB61/BB15,""),"")</f>
        <v>0.440524292742121</v>
      </c>
      <c r="BC311" s="257">
        <f>IFERROR(IF(N(BC15)&lt;&gt;0,BC61/BC15,""),"")</f>
        <v>0.440524292742121</v>
      </c>
      <c r="BD311" s="257">
        <f>IFERROR(IF(N(BD15)&lt;&gt;0,BD61/BD15,""),"")</f>
        <v>0.440524292742121</v>
      </c>
      <c r="BE311" s="257">
        <f>IFERROR(IF(N(BE15)&lt;&gt;0,BE61/BE15,""),"")</f>
        <v>0.440524292742121</v>
      </c>
      <c r="BF311" s="258">
        <f>IFERROR(IF(N(BF15)&lt;&gt;0,BF61/BF15,""),"")</f>
        <v>0.440524292742121</v>
      </c>
      <c r="BG311" s="81" t="n"/>
      <c r="BH311" s="81" t="n"/>
      <c r="BI311" s="81" t="n"/>
      <c r="BJ311" s="81" t="n"/>
      <c r="BL311" s="81" t="n"/>
      <c r="BM311" s="81" t="n"/>
      <c r="BN311" s="81" t="n"/>
      <c r="BO311" s="81" t="n"/>
      <c r="BQ311" s="81" t="n"/>
      <c r="BR311" s="81" t="n"/>
      <c r="BS311" s="81" t="n"/>
      <c r="BT311" s="81" t="n"/>
      <c r="BV311" s="81" t="n"/>
      <c r="BW311" s="81" t="n"/>
      <c r="BX311" s="81" t="n"/>
      <c r="BY311" s="81" t="n"/>
      <c r="CA311" s="81" t="n"/>
      <c r="CB311" s="81" t="n"/>
      <c r="CC311" s="81" t="n"/>
      <c r="CD311" s="81" t="n"/>
      <c r="CF311" s="81" t="n"/>
      <c r="CG311" s="81" t="n"/>
      <c r="CH311" s="81" t="n"/>
      <c r="CI311" s="81" t="n"/>
      <c r="CK311" s="81" t="n"/>
      <c r="CL311" s="81" t="n"/>
      <c r="CM311" s="81" t="n"/>
      <c r="CN311" s="81" t="n"/>
      <c r="CP311" s="81" t="n"/>
      <c r="CQ311" s="81" t="n"/>
      <c r="CR311" s="81" t="n"/>
      <c r="CS311" s="81" t="n"/>
      <c r="CU311" s="81" t="n"/>
      <c r="CV311" s="81" t="n"/>
      <c r="CW311" s="81" t="n"/>
      <c r="CX311" s="81" t="n"/>
    </row>
    <row r="312" customFormat="1" s="77">
      <c r="A312" s="76" t="n"/>
      <c r="B312" s="76" t="n"/>
      <c r="C312" s="77" t="inlineStr">
        <is>
          <t>EBITDA MARGIN</t>
        </is>
      </c>
      <c r="D312" s="78" t="str">
        <f>IFERROR(D57/D15,"")</f>
        <v/>
      </c>
      <c r="E312" s="78" t="str">
        <f>IFERROR(E57/E15,"")</f>
        <v/>
      </c>
      <c r="F312" s="78" t="str">
        <f>IFERROR(F57/F15,"")</f>
        <v/>
      </c>
      <c r="G312" s="78" t="str">
        <f>IFERROR(G57/G15,"")</f>
        <v/>
      </c>
      <c r="H312" s="258" t="str">
        <f>IFERROR(IF(N(H15)&lt;&gt;0,H57/H15,""),"")</f>
        <v/>
      </c>
      <c r="I312" s="257">
        <f>IFERROR(IF(N(I15)&lt;&gt;0,I57/I15,""),"")</f>
        <v>0.526323751891074</v>
      </c>
      <c r="J312" s="257">
        <f>IFERROR(IF(N(J15)&lt;&gt;0,J57/J15,""),"")</f>
        <v>0.535408675125406</v>
      </c>
      <c r="K312" s="257">
        <f>IFERROR(IF(N(K15)&lt;&gt;0,K57/K15,""),"")</f>
        <v>0.551100310517078</v>
      </c>
      <c r="L312" s="257">
        <f>IFERROR(IF(N(L15)&lt;&gt;0,L57/L15,""),"")</f>
        <v>0.570334804048793</v>
      </c>
      <c r="M312" s="258">
        <f>IFERROR(IF(N(M15)&lt;&gt;0,M57/M15,""),"")</f>
        <v>0.546822918494088</v>
      </c>
      <c r="N312" s="257">
        <f>IFERROR(IF(N(N15)&lt;&gt;0,N57/N15,""),"")</f>
        <v>0.574848821424164</v>
      </c>
      <c r="O312" s="257">
        <f>IFERROR(IF(N(O15)&lt;&gt;0,O57/O15,""),"")</f>
        <v>0.585302457466919</v>
      </c>
      <c r="P312" s="257">
        <f>IFERROR(IF(N(P15)&lt;&gt;0,P57/P15,""),"")</f>
        <v>0.582530795072788</v>
      </c>
      <c r="Q312" s="257">
        <f>IFERROR(IF(N(Q15)&lt;&gt;0,Q57/Q15,""),"")</f>
        <v>0.575995513180034</v>
      </c>
      <c r="R312" s="258">
        <f>IFERROR(IF(N(R15)&lt;&gt;0,R57/R15,""),"")</f>
        <v>0.579710566081599</v>
      </c>
      <c r="S312" s="257">
        <f>IFERROR(IF(N(S15)&lt;&gt;0,S57/S15,""),"")</f>
        <v>0.566472002748197</v>
      </c>
      <c r="T312" s="257">
        <f>IFERROR(IF(N(T15)&lt;&gt;0,T57/T15,""),"")</f>
        <v>0.539432176656151</v>
      </c>
      <c r="U312" s="257">
        <f>IFERROR(IF(N(U15)&lt;&gt;0,U57/U15,""),"")</f>
        <v>0.556428187197418</v>
      </c>
      <c r="V312" s="257">
        <f>IFERROR(IF(N(V15)&lt;&gt;0,V57/V15,""),"")</f>
        <v>0.37020316027088</v>
      </c>
      <c r="W312" s="258">
        <f>IFERROR(IF(N(W15)&lt;&gt;0,W57/W15,""),"")</f>
        <v>0.497491316094172</v>
      </c>
      <c r="X312" s="257">
        <f>IFERROR(IF(N(X15)&lt;&gt;0,X57/X15,""),"")</f>
        <v>0.440057659966365</v>
      </c>
      <c r="Y312" s="257">
        <f>IFERROR(IF(N(Y15)&lt;&gt;0,Y57/Y15,""),"")</f>
        <v>0.482864137086903</v>
      </c>
      <c r="Z312" s="257">
        <f>IFERROR(IF(N(Z15)&lt;&gt;0,Z57/Z15,""),"")</f>
        <v>0.515013519282767</v>
      </c>
      <c r="AA312" s="257">
        <f>IFERROR(IF(N(AA15)&lt;&gt;0,AA57/AA15,""),"")</f>
        <v>0.565433091981765</v>
      </c>
      <c r="AB312" s="258">
        <f>IFERROR(IF(N(AB15)&lt;&gt;0,AB57/AB15,""),"")</f>
        <v>0.503933686662143</v>
      </c>
      <c r="AC312" s="257">
        <f>IFERROR(IF(N(AC15)&lt;&gt;0,AC57/AC15,""),"")</f>
        <v>0.530525193281792</v>
      </c>
      <c r="AD312" s="257">
        <f>IFERROR(IF(N(AD15)&lt;&gt;0,AD57/AD15,""),"")</f>
        <v>0.504952357071214</v>
      </c>
      <c r="AE312" s="257">
        <f>IFERROR(IF(N(AE15)&lt;&gt;0,AE57/AE15,""),"")</f>
        <v>0.540716069941715</v>
      </c>
      <c r="AF312" s="257">
        <f>IFERROR(IF(N(AF15)&lt;&gt;0,AF57/AF15,""),"")</f>
        <v>0.554916886748485</v>
      </c>
      <c r="AG312" s="258">
        <f>IFERROR(IF(N(AG15)&lt;&gt;0,AG57/AG15,""),"")</f>
        <v>0.534137840133564</v>
      </c>
      <c r="AH312" s="257">
        <f>IFERROR(IF(N(AH15)&lt;&gt;0,AH57/AH15,""),"")</f>
        <v>0.582232839049894</v>
      </c>
      <c r="AI312" s="257">
        <f>IFERROR(IF(N(AI15)&lt;&gt;0,AI57/AI15,""),"")</f>
        <v>0.612753877868271</v>
      </c>
      <c r="AJ312" s="257">
        <f>IFERROR(IF(N(AJ15)&lt;&gt;0,AJ57/AJ15,""),"")</f>
        <v>0.554349537326895</v>
      </c>
      <c r="AK312" s="257">
        <f>IFERROR(IF(N(AK15)&lt;&gt;0,AK57/AK15,""),"")</f>
        <v>0.554349537326895</v>
      </c>
      <c r="AL312" s="258">
        <f>IFERROR(IF(N(AL15)&lt;&gt;0,AL57/AL15,""),"")</f>
        <v>0.577000261629395</v>
      </c>
      <c r="AM312" s="257">
        <f>IFERROR(IF(N(AM15)&lt;&gt;0,AM57/AM15,""),"")</f>
        <v>0.554349537326895</v>
      </c>
      <c r="AN312" s="257">
        <f>IFERROR(IF(N(AN15)&lt;&gt;0,AN57/AN15,""),"")</f>
        <v>0.554349537326895</v>
      </c>
      <c r="AO312" s="257">
        <f>IFERROR(IF(N(AO15)&lt;&gt;0,AO57/AO15,""),"")</f>
        <v>0.554349537326895</v>
      </c>
      <c r="AP312" s="257">
        <f>IFERROR(IF(N(AP15)&lt;&gt;0,AP57/AP15,""),"")</f>
        <v>0.554349537326895</v>
      </c>
      <c r="AQ312" s="258">
        <f>IFERROR(IF(N(AQ15)&lt;&gt;0,AQ57/AQ15,""),"")</f>
        <v>0.554349537326895</v>
      </c>
      <c r="AR312" s="257">
        <f>IFERROR(IF(N(AR15)&lt;&gt;0,AR57/AR15,""),"")</f>
        <v>0.554349537326895</v>
      </c>
      <c r="AS312" s="257">
        <f>IFERROR(IF(N(AS15)&lt;&gt;0,AS57/AS15,""),"")</f>
        <v>0.554349537326895</v>
      </c>
      <c r="AT312" s="257">
        <f>IFERROR(IF(N(AT15)&lt;&gt;0,AT57/AT15,""),"")</f>
        <v>0.554349537326895</v>
      </c>
      <c r="AU312" s="257">
        <f>IFERROR(IF(N(AU15)&lt;&gt;0,AU57/AU15,""),"")</f>
        <v>0.554349537326895</v>
      </c>
      <c r="AV312" s="258">
        <f>IFERROR(IF(N(AV15)&lt;&gt;0,AV57/AV15,""),"")</f>
        <v>0.554349537326895</v>
      </c>
      <c r="AW312" s="257">
        <f>IFERROR(IF(N(AW15)&lt;&gt;0,AW57/AW15,""),"")</f>
        <v>0.554349537326895</v>
      </c>
      <c r="AX312" s="257">
        <f>IFERROR(IF(N(AX15)&lt;&gt;0,AX57/AX15,""),"")</f>
        <v>0.554349537326895</v>
      </c>
      <c r="AY312" s="257">
        <f>IFERROR(IF(N(AY15)&lt;&gt;0,AY57/AY15,""),"")</f>
        <v>0.554349537326895</v>
      </c>
      <c r="AZ312" s="257">
        <f>IFERROR(IF(N(AZ15)&lt;&gt;0,AZ57/AZ15,""),"")</f>
        <v>0.554349537326895</v>
      </c>
      <c r="BA312" s="258">
        <f>IFERROR(IF(N(BA15)&lt;&gt;0,BA57/BA15,""),"")</f>
        <v>0.554349537326895</v>
      </c>
      <c r="BB312" s="257">
        <f>IFERROR(IF(N(BB15)&lt;&gt;0,BB57/BB15,""),"")</f>
        <v>0.554349537326895</v>
      </c>
      <c r="BC312" s="257">
        <f>IFERROR(IF(N(BC15)&lt;&gt;0,BC57/BC15,""),"")</f>
        <v>0.554349537326895</v>
      </c>
      <c r="BD312" s="257">
        <f>IFERROR(IF(N(BD15)&lt;&gt;0,BD57/BD15,""),"")</f>
        <v>0.554349537326895</v>
      </c>
      <c r="BE312" s="257">
        <f>IFERROR(IF(N(BE15)&lt;&gt;0,BE57/BE15,""),"")</f>
        <v>0.554349537326895</v>
      </c>
      <c r="BF312" s="258">
        <f>IFERROR(IF(N(BF15)&lt;&gt;0,BF57/BF15,""),"")</f>
        <v>0.554349537326895</v>
      </c>
      <c r="BG312" s="81" t="n"/>
      <c r="BH312" s="81" t="n"/>
      <c r="BI312" s="81" t="n"/>
      <c r="BJ312" s="81" t="n"/>
      <c r="BL312" s="81" t="n"/>
      <c r="BM312" s="81" t="n"/>
      <c r="BN312" s="81" t="n"/>
      <c r="BO312" s="81" t="n"/>
      <c r="BQ312" s="81" t="n"/>
      <c r="BR312" s="81" t="n"/>
      <c r="BS312" s="81" t="n"/>
      <c r="BT312" s="81" t="n"/>
      <c r="BV312" s="81" t="n"/>
      <c r="BW312" s="81" t="n"/>
      <c r="BX312" s="81" t="n"/>
      <c r="BY312" s="81" t="n"/>
      <c r="CA312" s="81" t="n"/>
      <c r="CB312" s="81" t="n"/>
      <c r="CC312" s="81" t="n"/>
      <c r="CD312" s="81" t="n"/>
      <c r="CF312" s="81" t="n"/>
      <c r="CG312" s="81" t="n"/>
      <c r="CH312" s="81" t="n"/>
      <c r="CI312" s="81" t="n"/>
      <c r="CK312" s="81" t="n"/>
      <c r="CL312" s="81" t="n"/>
      <c r="CM312" s="81" t="n"/>
      <c r="CN312" s="81" t="n"/>
      <c r="CP312" s="81" t="n"/>
      <c r="CQ312" s="81" t="n"/>
      <c r="CR312" s="81" t="n"/>
      <c r="CS312" s="81" t="n"/>
      <c r="CU312" s="81" t="n"/>
      <c r="CV312" s="81" t="n"/>
      <c r="CW312" s="81" t="n"/>
      <c r="CX312" s="81" t="n"/>
    </row>
    <row r="313" customFormat="1" s="77">
      <c r="A313" s="76" t="n"/>
      <c r="B313" s="76" t="n"/>
      <c r="C313" s="77" t="inlineStr">
        <is>
          <t>ETR</t>
        </is>
      </c>
      <c r="D313" s="78" t="str">
        <f>IFERROR(-D119/D118,"")</f>
        <v/>
      </c>
      <c r="E313" s="78" t="str">
        <f>IFERROR(-E119/E118,"")</f>
        <v/>
      </c>
      <c r="F313" s="78" t="str">
        <f>IFERROR(-F119/F118,"")</f>
        <v/>
      </c>
      <c r="G313" s="78" t="str">
        <f>IFERROR(-G119/G118,"")</f>
        <v/>
      </c>
      <c r="H313" s="258" t="str">
        <f>IFERROR(IF(N(H118)&lt;&gt;0,-H119/H118,""),"")</f>
        <v/>
      </c>
      <c r="I313" s="257">
        <f>IFERROR(IF(N(I118)&lt;&gt;0,-I119/I118,""),"")</f>
        <v>-0.00471063257065949</v>
      </c>
      <c r="J313" s="257">
        <f>IFERROR(IF(N(J118)&lt;&gt;0,-J119/J118,""),"")</f>
        <v>-0.0869061413673233</v>
      </c>
      <c r="K313" s="257">
        <f>IFERROR(IF(N(K118)&lt;&gt;0,-K119/K118,""),"")</f>
        <v>0.0829875518672199</v>
      </c>
      <c r="L313" s="257">
        <f>IFERROR(IF(N(L118)&lt;&gt;0,-L119/L118,""),"")</f>
        <v>0.0800148864905099</v>
      </c>
      <c r="M313" s="258">
        <f>IFERROR(IF(N(M118)&lt;&gt;0,-M119/M118,""),"")</f>
        <v>0.0294992563212692</v>
      </c>
      <c r="N313" s="257">
        <f>IFERROR(IF(N(N118)&lt;&gt;0,-N119/N118,""),"")</f>
        <v>0.0716845878136201</v>
      </c>
      <c r="O313" s="257">
        <f>IFERROR(IF(N(O118)&lt;&gt;0,-O119/O118,""),"")</f>
        <v>0.0788133053640995</v>
      </c>
      <c r="P313" s="257">
        <f>IFERROR(IF(N(P118)&lt;&gt;0,-P119/P118,""),"")</f>
        <v>0.0720994475138122</v>
      </c>
      <c r="Q313" s="257">
        <f>IFERROR(IF(N(Q118)&lt;&gt;0,-Q119/Q118,""),"")</f>
        <v>0.0171875</v>
      </c>
      <c r="R313" s="258">
        <f>IFERROR(IF(N(R118)&lt;&gt;0,-R119/R118,""),"")</f>
        <v>0.0581438139397954</v>
      </c>
      <c r="S313" s="257">
        <f>IFERROR(IF(N(S118)&lt;&gt;0,-S119/S118,""),"")</f>
        <v>0.0632400430570506</v>
      </c>
      <c r="T313" s="257">
        <f>IFERROR(IF(N(T118)&lt;&gt;0,-T119/T118,""),"")</f>
        <v>0.0758254057078903</v>
      </c>
      <c r="U313" s="257">
        <f>IFERROR(IF(N(U118)&lt;&gt;0,-U119/U118,""),"")</f>
        <v>0.111671288127048</v>
      </c>
      <c r="V313" s="257">
        <f>IFERROR(IF(N(V118)&lt;&gt;0,-V119/V118,""),"")</f>
        <v>0.0506706408345753</v>
      </c>
      <c r="W313" s="258">
        <f>IFERROR(IF(N(W118)&lt;&gt;0,-W119/W118,""),"")</f>
        <v>0.0807206921184221</v>
      </c>
      <c r="X313" s="257">
        <f>IFERROR(IF(N(X118)&lt;&gt;0,-X119/X118,""),"")</f>
        <v>-0.05785536159601</v>
      </c>
      <c r="Y313" s="257">
        <f>IFERROR(IF(N(Y118)&lt;&gt;0,-Y119/Y118,""),"")</f>
        <v>1.51033499643621</v>
      </c>
      <c r="Z313" s="257">
        <f>IFERROR(IF(N(Z118)&lt;&gt;0,-Z119/Z118,""),"")</f>
        <v>-0.117459473824077</v>
      </c>
      <c r="AA313" s="257">
        <f>IFERROR(IF(N(AA118)&lt;&gt;0,-AA119/AA118,""),"")</f>
        <v>-0.00236794171220401</v>
      </c>
      <c r="AB313" s="258">
        <f>IFERROR(IF(N(AB118)&lt;&gt;0,-AB119/AB118,""),"")</f>
        <v>0.260736632536974</v>
      </c>
      <c r="AC313" s="257">
        <f>IFERROR(IF(N(AC118)&lt;&gt;0,-AC119/AC118,""),"")</f>
        <v>0.0235988200589971</v>
      </c>
      <c r="AD313" s="257">
        <f>IFERROR(IF(N(AD118)&lt;&gt;0,-AD119/AD118,""),"")</f>
        <v>0.216650898770104</v>
      </c>
      <c r="AE313" s="257">
        <f>IFERROR(IF(N(AE118)&lt;&gt;0,-AE119/AE118,""),"")</f>
        <v>-0.240064055903334</v>
      </c>
      <c r="AF313" s="257">
        <f>IFERROR(IF(N(AF118)&lt;&gt;0,-AF119/AF118,""),"")</f>
        <v>0.103233679072605</v>
      </c>
      <c r="AG313" s="258">
        <f>IFERROR(IF(N(AG118)&lt;&gt;0,-AG119/AG118,""),"")</f>
        <v>0.0181646614767634</v>
      </c>
      <c r="AH313" s="257">
        <f>IFERROR(IF(N(AH118)&lt;&gt;0,-AH119/AH118,""),"")</f>
        <v>0.0809476801579467</v>
      </c>
      <c r="AI313" s="257">
        <f>IFERROR(IF(N(AI118)&lt;&gt;0,-AI119/AI118,""),"")</f>
        <v>0.143175122749591</v>
      </c>
      <c r="AJ313" s="257">
        <f>IFERROR(IF(N(AJ118)&lt;&gt;0,-AJ119/AJ118,""),"")</f>
        <v>0.0545903574843183</v>
      </c>
      <c r="AK313" s="257">
        <f>IFERROR(IF(N(AK118)&lt;&gt;0,-AK119/AK118,""),"")</f>
        <v>0.0545903574843184</v>
      </c>
      <c r="AL313" s="258">
        <f>IFERROR(IF(N(AL118)&lt;&gt;0,-AL119/AL118,""),"")</f>
        <v>0.0878775317767804</v>
      </c>
      <c r="AM313" s="257">
        <f>IFERROR(IF(N(AM118)&lt;&gt;0,-AM119/AM118,""),"")</f>
        <v>0.0545903574843183</v>
      </c>
      <c r="AN313" s="257">
        <f>IFERROR(IF(N(AN118)&lt;&gt;0,-AN119/AN118,""),"")</f>
        <v>0.0545903574843183</v>
      </c>
      <c r="AO313" s="257">
        <f>IFERROR(IF(N(AO118)&lt;&gt;0,-AO119/AO118,""),"")</f>
        <v>0.0545903574843183</v>
      </c>
      <c r="AP313" s="257">
        <f>IFERROR(IF(N(AP118)&lt;&gt;0,-AP119/AP118,""),"")</f>
        <v>0.0545903574843183</v>
      </c>
      <c r="AQ313" s="258">
        <f>IFERROR(IF(N(AQ118)&lt;&gt;0,-AQ119/AQ118,""),"")</f>
        <v>0.0545903574843183</v>
      </c>
      <c r="AR313" s="257">
        <f>IFERROR(IF(N(AR118)&lt;&gt;0,-AR119/AR118,""),"")</f>
        <v>0.0545903574843183</v>
      </c>
      <c r="AS313" s="257">
        <f>IFERROR(IF(N(AS118)&lt;&gt;0,-AS119/AS118,""),"")</f>
        <v>0.0545903574843183</v>
      </c>
      <c r="AT313" s="257">
        <f>IFERROR(IF(N(AT118)&lt;&gt;0,-AT119/AT118,""),"")</f>
        <v>0.0545903574843183</v>
      </c>
      <c r="AU313" s="257">
        <f>IFERROR(IF(N(AU118)&lt;&gt;0,-AU119/AU118,""),"")</f>
        <v>0.0545903574843183</v>
      </c>
      <c r="AV313" s="258">
        <f>IFERROR(IF(N(AV118)&lt;&gt;0,-AV119/AV118,""),"")</f>
        <v>0.0545903574843183</v>
      </c>
      <c r="AW313" s="257">
        <f>IFERROR(IF(N(AW118)&lt;&gt;0,-AW119/AW118,""),"")</f>
        <v>0.0545903574843183</v>
      </c>
      <c r="AX313" s="257">
        <f>IFERROR(IF(N(AX118)&lt;&gt;0,-AX119/AX118,""),"")</f>
        <v>0.0545903574843183</v>
      </c>
      <c r="AY313" s="257">
        <f>IFERROR(IF(N(AY118)&lt;&gt;0,-AY119/AY118,""),"")</f>
        <v>0.0545903574843183</v>
      </c>
      <c r="AZ313" s="257">
        <f>IFERROR(IF(N(AZ118)&lt;&gt;0,-AZ119/AZ118,""),"")</f>
        <v>0.0545903574843183</v>
      </c>
      <c r="BA313" s="258">
        <f>IFERROR(IF(N(BA118)&lt;&gt;0,-BA119/BA118,""),"")</f>
        <v>0.0545903574843183</v>
      </c>
      <c r="BB313" s="257">
        <f>IFERROR(IF(N(BB118)&lt;&gt;0,-BB119/BB118,""),"")</f>
        <v>0.0545903574843183</v>
      </c>
      <c r="BC313" s="257">
        <f>IFERROR(IF(N(BC118)&lt;&gt;0,-BC119/BC118,""),"")</f>
        <v>0.0545903574843183</v>
      </c>
      <c r="BD313" s="257">
        <f>IFERROR(IF(N(BD118)&lt;&gt;0,-BD119/BD118,""),"")</f>
        <v>0.0545903574843183</v>
      </c>
      <c r="BE313" s="257">
        <f>IFERROR(IF(N(BE118)&lt;&gt;0,-BE119/BE118,""),"")</f>
        <v>0.0545903574843183</v>
      </c>
      <c r="BF313" s="258">
        <f>IFERROR(IF(N(BF118)&lt;&gt;0,-BF119/BF118,""),"")</f>
        <v>0.0545903574843183</v>
      </c>
      <c r="BG313" s="81" t="n"/>
      <c r="BH313" s="81" t="n"/>
      <c r="BI313" s="81" t="n"/>
      <c r="BJ313" s="81" t="n"/>
      <c r="BL313" s="81" t="n"/>
      <c r="BM313" s="81" t="n"/>
      <c r="BN313" s="81" t="n"/>
      <c r="BO313" s="81" t="n"/>
      <c r="BQ313" s="81" t="n"/>
      <c r="BR313" s="81" t="n"/>
      <c r="BS313" s="81" t="n"/>
      <c r="BT313" s="81" t="n"/>
      <c r="BV313" s="81" t="n"/>
      <c r="BW313" s="81" t="n"/>
      <c r="BX313" s="81" t="n"/>
      <c r="BY313" s="81" t="n"/>
      <c r="CA313" s="81" t="n"/>
      <c r="CB313" s="81" t="n"/>
      <c r="CC313" s="81" t="n"/>
      <c r="CD313" s="81" t="n"/>
      <c r="CF313" s="81" t="n"/>
      <c r="CG313" s="81" t="n"/>
      <c r="CH313" s="81" t="n"/>
      <c r="CI313" s="81" t="n"/>
      <c r="CK313" s="81" t="n"/>
      <c r="CL313" s="81" t="n"/>
      <c r="CM313" s="81" t="n"/>
      <c r="CN313" s="81" t="n"/>
      <c r="CP313" s="81" t="n"/>
      <c r="CQ313" s="81" t="n"/>
      <c r="CR313" s="81" t="n"/>
      <c r="CS313" s="81" t="n"/>
      <c r="CU313" s="81" t="n"/>
      <c r="CV313" s="81" t="n"/>
      <c r="CW313" s="81" t="n"/>
      <c r="CX313" s="81" t="n"/>
    </row>
    <row r="314" customFormat="1" s="77">
      <c r="A314" s="76" t="n"/>
      <c r="B314" s="76" t="n"/>
    </row>
    <row r="315" customFormat="1" s="77">
      <c r="A315" s="76" t="n"/>
      <c r="B315" s="76" t="n"/>
      <c r="C315" s="74" t="inlineStr">
        <is>
          <t>CAPITAL STRUCTURE</t>
        </is>
      </c>
    </row>
    <row r="316" customFormat="1" s="77">
      <c r="A316" s="76" t="n"/>
      <c r="B316" s="76" t="n"/>
      <c r="C316" s="77" t="inlineStr">
        <is>
          <t>TOTAL DEBT / EQUITY (BOOK VALUE)</t>
        </is>
      </c>
      <c r="H316" s="262" t="str">
        <f>IFERROR(IF(N(H259)&lt;&gt;0,(N(H200)+N(H201)+N(H202)+N(H205)+N(H223)+N(H226))/H259,""),"")</f>
        <v/>
      </c>
      <c r="I316" s="262">
        <f>IFERROR(IF(N(I259)&lt;&gt;0,(N(I200)+N(I201)+N(I202)+N(I205)+N(I223)+N(I226))/I259,""),"")</f>
        <v>1.68730701827589</v>
      </c>
      <c r="J316" s="262">
        <f>IFERROR(IF(N(J259)&lt;&gt;0,(N(J200)+N(J201)+N(J202)+N(J205)+N(J223)+N(J226))/J259,""),"")</f>
        <v>1.66031928427792</v>
      </c>
      <c r="K316" s="262">
        <f>IFERROR(IF(N(K259)&lt;&gt;0,(N(K200)+N(K201)+N(K202)+N(K205)+N(K223)+N(K226))/K259,""),"")</f>
        <v>1.58989955580455</v>
      </c>
      <c r="L316" s="262">
        <f>IFERROR(IF(N(L259)&lt;&gt;0,(N(L200)+N(L201)+N(L202)+N(L205)+N(L223)+N(L226))/L259,""),"")</f>
        <v>1.71805688440463</v>
      </c>
      <c r="M316" s="262">
        <f>IFERROR(IF(N(M259)&lt;&gt;0,(N(M200)+N(M201)+N(M202)+N(M205)+N(M223)+N(M226))/M259,""),"")</f>
        <v>1.71805688440463</v>
      </c>
      <c r="N316" s="262">
        <f>IFERROR(IF(N(N259)&lt;&gt;0,(N(N200)+N(N201)+N(N202)+N(N205)+N(N223)+N(N226))/N259,""),"")</f>
        <v>1.88022868032396</v>
      </c>
      <c r="O316" s="262">
        <f>IFERROR(IF(N(O259)&lt;&gt;0,(N(O200)+N(O201)+N(O202)+N(O205)+N(O223)+N(O226))/O259,""),"")</f>
        <v>1.88944170693202</v>
      </c>
      <c r="P316" s="262">
        <f>IFERROR(IF(N(P259)&lt;&gt;0,(N(P200)+N(P201)+N(P202)+N(P205)+N(P223)+N(P226))/P259,""),"")</f>
        <v>1.74005900744198</v>
      </c>
      <c r="Q316" s="262">
        <f>IFERROR(IF(N(Q259)&lt;&gt;0,(N(Q200)+N(Q201)+N(Q202)+N(Q205)+N(Q223)+N(Q226))/Q259,""),"")</f>
        <v>1.68519948519949</v>
      </c>
      <c r="R316" s="262">
        <f>IFERROR(IF(N(R259)&lt;&gt;0,(N(R200)+N(R201)+N(R202)+N(R205)+N(R223)+N(R226))/R259,""),"")</f>
        <v>1.68519948519949</v>
      </c>
      <c r="S316" s="262">
        <f>IFERROR(IF(N(S259)&lt;&gt;0,(N(S200)+N(S201)+N(S202)+N(S205)+N(S223)+N(S226))/S259,""),"")</f>
        <v>1.78629526968692</v>
      </c>
      <c r="T316" s="262">
        <f>IFERROR(IF(N(T259)&lt;&gt;0,(N(T200)+N(T201)+N(T202)+N(T205)+N(T223)+N(T226))/T259,""),"")</f>
        <v>1.78182888717786</v>
      </c>
      <c r="U316" s="262">
        <f>IFERROR(IF(N(U259)&lt;&gt;0,(N(U200)+N(U201)+N(U202)+N(U205)+N(U223)+N(U226))/U259,""),"")</f>
        <v>1.63535934633984</v>
      </c>
      <c r="V316" s="262">
        <f>IFERROR(IF(N(V259)&lt;&gt;0,(N(V200)+N(V201)+N(V202)+N(V205)+N(V223)+N(V226))/V259,""),"")</f>
        <v>1.0799186159012</v>
      </c>
      <c r="W316" s="262">
        <f>IFERROR(IF(N(W259)&lt;&gt;0,(N(W200)+N(W201)+N(W202)+N(W205)+N(W223)+N(W226))/W259,""),"")</f>
        <v>1.0799186159012</v>
      </c>
      <c r="X316" s="262">
        <f>IFERROR(IF(N(X259)&lt;&gt;0,(N(X200)+N(X201)+N(X202)+N(X205)+N(X223)+N(X226))/X259,""),"")</f>
        <v>1.05796086390989</v>
      </c>
      <c r="Y316" s="262">
        <f>IFERROR(IF(N(Y259)&lt;&gt;0,(N(Y200)+N(Y201)+N(Y202)+N(Y205)+N(Y223)+N(Y226))/Y259,""),"")</f>
        <v>1.06561971637903</v>
      </c>
      <c r="Z316" s="262">
        <f>IFERROR(IF(N(Z259)&lt;&gt;0,(N(Z200)+N(Z201)+N(Z202)+N(Z205)+N(Z223)+N(Z226))/Z259,""),"")</f>
        <v>0.998345104760779</v>
      </c>
      <c r="AA316" s="262">
        <f>IFERROR(IF(N(AA259)&lt;&gt;0,(N(AA200)+N(AA201)+N(AA202)+N(AA205)+N(AA223)+N(AA226))/AA259,""),"")</f>
        <v>0.954004212698276</v>
      </c>
      <c r="AB316" s="262">
        <f>IFERROR(IF(N(AB259)&lt;&gt;0,(N(AB200)+N(AB201)+N(AB202)+N(AB205)+N(AB223)+N(AB226))/AB259,""),"")</f>
        <v>0.954004212698276</v>
      </c>
      <c r="AC316" s="262">
        <f>IFERROR(IF(N(AC259)&lt;&gt;0,(N(AC200)+N(AC201)+N(AC202)+N(AC205)+N(AC223)+N(AC226))/AC259,""),"")</f>
        <v>0.966889891644871</v>
      </c>
      <c r="AD316" s="262">
        <f>IFERROR(IF(N(AD259)&lt;&gt;0,(N(AD200)+N(AD201)+N(AD202)+N(AD205)+N(AD223)+N(AD226))/AD259,""),"")</f>
        <v>0.876523329284769</v>
      </c>
      <c r="AE316" s="262">
        <f>IFERROR(IF(N(AE259)&lt;&gt;0,(N(AE200)+N(AE201)+N(AE202)+N(AE205)+N(AE223)+N(AE226))/AE259,""),"")</f>
        <v>0.80125965654677</v>
      </c>
      <c r="AF316" s="262">
        <f>IFERROR(IF(N(AF259)&lt;&gt;0,(N(AF200)+N(AF201)+N(AF202)+N(AF205)+N(AF223)+N(AF226))/AF259,""),"")</f>
        <v>0.827035757211538</v>
      </c>
      <c r="AG316" s="262">
        <f>IFERROR(IF(N(AG259)&lt;&gt;0,(N(AG200)+N(AG201)+N(AG202)+N(AG205)+N(AG223)+N(AG226))/AG259,""),"")</f>
        <v>0.827035757211538</v>
      </c>
      <c r="AH316" s="262">
        <f>IFERROR(IF(N(AH259)&lt;&gt;0,(N(AH200)+N(AH201)+N(AH202)+N(AH205)+N(AH223)+N(AH226))/AH259,""),"")</f>
        <v>0.740178581610428</v>
      </c>
      <c r="AI316" s="262">
        <f>IFERROR(IF(N(AI259)&lt;&gt;0,(N(AI200)+N(AI201)+N(AI202)+N(AI205)+N(AI223)+N(AI226))/AI259,""),"")</f>
        <v>0.59603771692246</v>
      </c>
      <c r="AJ316" s="262">
        <f>IFERROR(IF(N(AJ259)&lt;&gt;0,(N(AJ200)+N(AJ201)+N(AJ202)+N(AJ205)+N(AJ223)+N(AJ226))/AJ259,""),"")</f>
        <v>0.538672999914049</v>
      </c>
      <c r="AK316" s="262">
        <f>IFERROR(IF(N(AK259)&lt;&gt;0,(N(AK200)+N(AK201)+N(AK202)+N(AK205)+N(AK223)+N(AK226))/AK259,""),"")</f>
        <v>0.488296791086484</v>
      </c>
      <c r="AL316" s="262">
        <f>IFERROR(IF(N(AL259)&lt;&gt;0,(N(AL200)+N(AL201)+N(AL202)+N(AL205)+N(AL223)+N(AL226))/AL259,""),"")</f>
        <v>0.488296791086484</v>
      </c>
      <c r="AM316" s="262">
        <f>IFERROR(IF(N(AM259)&lt;&gt;0,(N(AM200)+N(AM201)+N(AM202)+N(AM205)+N(AM223)+N(AM226))/AM259,""),"")</f>
        <v>0.440921157496071</v>
      </c>
      <c r="AN316" s="262">
        <f>IFERROR(IF(N(AN259)&lt;&gt;0,(N(AN200)+N(AN201)+N(AN202)+N(AN205)+N(AN223)+N(AN226))/AN259,""),"")</f>
        <v>0.390403220072382</v>
      </c>
      <c r="AO316" s="262">
        <f>IFERROR(IF(N(AO259)&lt;&gt;0,(N(AO200)+N(AO201)+N(AO202)+N(AO205)+N(AO223)+N(AO226))/AO259,""),"")</f>
        <v>0.355926645505189</v>
      </c>
      <c r="AP316" s="262">
        <f>IFERROR(IF(N(AP259)&lt;&gt;0,(N(AP200)+N(AP201)+N(AP202)+N(AP205)+N(AP223)+N(AP226))/AP259,""),"")</f>
        <v>0.325147171329616</v>
      </c>
      <c r="AQ316" s="262">
        <f>IFERROR(IF(N(AQ259)&lt;&gt;0,(N(AQ200)+N(AQ201)+N(AQ202)+N(AQ205)+N(AQ223)+N(AQ226))/AQ259,""),"")</f>
        <v>0.325147171329616</v>
      </c>
      <c r="AR316" s="262">
        <f>IFERROR(IF(N(AR259)&lt;&gt;0,(N(AR200)+N(AR201)+N(AR202)+N(AR205)+N(AR223)+N(AR226))/AR259,""),"")</f>
        <v>0.295857739968505</v>
      </c>
      <c r="AS316" s="262">
        <f>IFERROR(IF(N(AS259)&lt;&gt;0,(N(AS200)+N(AS201)+N(AS202)+N(AS205)+N(AS223)+N(AS226))/AS259,""),"")</f>
        <v>0.264125394266836</v>
      </c>
      <c r="AT316" s="262">
        <f>IFERROR(IF(N(AT259)&lt;&gt;0,(N(AT200)+N(AT201)+N(AT202)+N(AT205)+N(AT223)+N(AT226))/AT259,""),"")</f>
        <v>0.242166417688029</v>
      </c>
      <c r="AU316" s="262">
        <f>IFERROR(IF(N(AU259)&lt;&gt;0,(N(AU200)+N(AU201)+N(AU202)+N(AU205)+N(AU223)+N(AU226))/AU259,""),"")</f>
        <v>0.22235065268987</v>
      </c>
      <c r="AV316" s="262">
        <f>IFERROR(IF(N(AV259)&lt;&gt;0,(N(AV200)+N(AV201)+N(AV202)+N(AV205)+N(AV223)+N(AV226))/AV259,""),"")</f>
        <v>0.22235065268987</v>
      </c>
      <c r="AW316" s="262">
        <f>IFERROR(IF(N(AW259)&lt;&gt;0,(N(AW200)+N(AW201)+N(AW202)+N(AW205)+N(AW223)+N(AW226))/AW259,""),"")</f>
        <v>0.203368888634892</v>
      </c>
      <c r="AX316" s="262">
        <f>IFERROR(IF(N(AX259)&lt;&gt;0,(N(AX200)+N(AX201)+N(AX202)+N(AX205)+N(AX223)+N(AX226))/AX259,""),"")</f>
        <v>0.182580810031867</v>
      </c>
      <c r="AY316" s="262">
        <f>IFERROR(IF(N(AY259)&lt;&gt;0,(N(AY200)+N(AY201)+N(AY202)+N(AY205)+N(AY223)+N(AY226))/AY259,""),"")</f>
        <v>0.168057467316238</v>
      </c>
      <c r="AZ316" s="262">
        <f>IFERROR(IF(N(AZ259)&lt;&gt;0,(N(AZ200)+N(AZ201)+N(AZ202)+N(AZ205)+N(AZ223)+N(AZ226))/AZ259,""),"")</f>
        <v>0.15485354093689</v>
      </c>
      <c r="BA316" s="262">
        <f>IFERROR(IF(N(BA259)&lt;&gt;0,(N(BA200)+N(BA201)+N(BA202)+N(BA205)+N(BA223)+N(BA226))/BA259,""),"")</f>
        <v>0.15485354093689</v>
      </c>
      <c r="BB316" s="262">
        <f>IFERROR(IF(N(BB259)&lt;&gt;0,(N(BB200)+N(BB201)+N(BB202)+N(BB205)+N(BB223)+N(BB226))/BB259,""),"")</f>
        <v>0.142159539983515</v>
      </c>
      <c r="BC316" s="262">
        <f>IFERROR(IF(N(BC259)&lt;&gt;0,(N(BC200)+N(BC201)+N(BC202)+N(BC205)+N(BC223)+N(BC226))/BC259,""),"")</f>
        <v>0.128149035119241</v>
      </c>
      <c r="BD316" s="262">
        <f>IFERROR(IF(N(BD259)&lt;&gt;0,(N(BD200)+N(BD201)+N(BD202)+N(BD205)+N(BD223)+N(BD226))/BD259,""),"")</f>
        <v>0.118292716851755</v>
      </c>
      <c r="BE316" s="262">
        <f>IFERROR(IF(N(BE259)&lt;&gt;0,(N(BE200)+N(BE201)+N(BE202)+N(BE205)+N(BE223)+N(BE226))/BE259,""),"")</f>
        <v>0.109282782631031</v>
      </c>
      <c r="BF316" s="262">
        <f>IFERROR(IF(N(BF259)&lt;&gt;0,(N(BF200)+N(BF201)+N(BF202)+N(BF205)+N(BF223)+N(BF226))/BF259,""),"")</f>
        <v>0.109282782631031</v>
      </c>
    </row>
    <row r="317" customFormat="1" s="77">
      <c r="A317" s="76" t="n"/>
      <c r="B317" s="76" t="n"/>
      <c r="C317" s="77" t="inlineStr">
        <is>
          <t>NET DEBT / (NET DEBT + EQUITY) (BOOK VALUE)</t>
        </is>
      </c>
      <c r="H317" s="258" t="str">
        <f>IFERROR(IF(((N(H200)+N(H201)+N(H202)+N(H205)+N(H223)+N(H226))-N(H132)+N(H259))&lt;&gt;0,((N(H200)+N(H201)+N(H202)+N(H205)+N(H223)+N(H226))-N(H132))/((N(H200)+N(H201)+N(H202)+N(H205)+N(H223)+N(H226))-N(H132)+H259),""),"")</f>
        <v/>
      </c>
      <c r="I317" s="258">
        <f>IFERROR(IF(((N(I200)+N(I201)+N(I202)+N(I205)+N(I223)+N(I226))-N(I132)+N(I259))&lt;&gt;0,((N(I200)+N(I201)+N(I202)+N(I205)+N(I223)+N(I226))-N(I132))/((N(I200)+N(I201)+N(I202)+N(I205)+N(I223)+N(I226))-N(I132)+I259),""),"")</f>
        <v>0.563349488029734</v>
      </c>
      <c r="J317" s="258">
        <f>IFERROR(IF(((N(J200)+N(J201)+N(J202)+N(J205)+N(J223)+N(J226))-N(J132)+N(J259))&lt;&gt;0,((N(J200)+N(J201)+N(J202)+N(J205)+N(J223)+N(J226))-N(J132))/((N(J200)+N(J201)+N(J202)+N(J205)+N(J223)+N(J226))-N(J132)+J259),""),"")</f>
        <v>0.546398853292131</v>
      </c>
      <c r="K317" s="258">
        <f>IFERROR(IF(((N(K200)+N(K201)+N(K202)+N(K205)+N(K223)+N(K226))-N(K132)+N(K259))&lt;&gt;0,((N(K200)+N(K201)+N(K202)+N(K205)+N(K223)+N(K226))-N(K132))/((N(K200)+N(K201)+N(K202)+N(K205)+N(K223)+N(K226))-N(K132)+K259),""),"")</f>
        <v>0.524526219651419</v>
      </c>
      <c r="L317" s="258">
        <f>IFERROR(IF(((N(L200)+N(L201)+N(L202)+N(L205)+N(L223)+N(L226))-N(L132)+N(L259))&lt;&gt;0,((N(L200)+N(L201)+N(L202)+N(L205)+N(L223)+N(L226))-N(L132))/((N(L200)+N(L201)+N(L202)+N(L205)+N(L223)+N(L226))-N(L132)+L259),""),"")</f>
        <v>0.56017597551645</v>
      </c>
      <c r="M317" s="258">
        <f>IFERROR(IF(((N(M200)+N(M201)+N(M202)+N(M205)+N(M223)+N(M226))-N(M132)+N(M259))&lt;&gt;0,((N(M200)+N(M201)+N(M202)+N(M205)+N(M223)+N(M226))-N(M132))/((N(M200)+N(M201)+N(M202)+N(M205)+N(M223)+N(M226))-N(M132)+M259),""),"")</f>
        <v>0.56017597551645</v>
      </c>
      <c r="N317" s="258">
        <f>IFERROR(IF(((N(N200)+N(N201)+N(N202)+N(N205)+N(N223)+N(N226))-N(N132)+N(N259))&lt;&gt;0,((N(N200)+N(N201)+N(N202)+N(N205)+N(N223)+N(N226))-N(N132))/((N(N200)+N(N201)+N(N202)+N(N205)+N(N223)+N(N226))-N(N132)+N259),""),"")</f>
        <v>0.592039027424151</v>
      </c>
      <c r="O317" s="258">
        <f>IFERROR(IF(((N(O200)+N(O201)+N(O202)+N(O205)+N(O223)+N(O226))-N(O132)+N(O259))&lt;&gt;0,((N(O200)+N(O201)+N(O202)+N(O205)+N(O223)+N(O226))-N(O132))/((N(O200)+N(O201)+N(O202)+N(O205)+N(O223)+N(O226))-N(O132)+O259),""),"")</f>
        <v>0.585430673727217</v>
      </c>
      <c r="P317" s="258">
        <f>IFERROR(IF(((N(P200)+N(P201)+N(P202)+N(P205)+N(P223)+N(P226))-N(P132)+N(P259))&lt;&gt;0,((N(P200)+N(P201)+N(P202)+N(P205)+N(P223)+N(P226))-N(P132))/((N(P200)+N(P201)+N(P202)+N(P205)+N(P223)+N(P226))-N(P132)+P259),""),"")</f>
        <v>0.544069225827176</v>
      </c>
      <c r="Q317" s="258">
        <f>IFERROR(IF(((N(Q200)+N(Q201)+N(Q202)+N(Q205)+N(Q223)+N(Q226))-N(Q132)+N(Q259))&lt;&gt;0,((N(Q200)+N(Q201)+N(Q202)+N(Q205)+N(Q223)+N(Q226))-N(Q132))/((N(Q200)+N(Q201)+N(Q202)+N(Q205)+N(Q223)+N(Q226))-N(Q132)+Q259),""),"")</f>
        <v>0.533286615276804</v>
      </c>
      <c r="R317" s="258">
        <f>IFERROR(IF(((N(R200)+N(R201)+N(R202)+N(R205)+N(R223)+N(R226))-N(R132)+N(R259))&lt;&gt;0,((N(R200)+N(R201)+N(R202)+N(R205)+N(R223)+N(R226))-N(R132))/((N(R200)+N(R201)+N(R202)+N(R205)+N(R223)+N(R226))-N(R132)+R259),""),"")</f>
        <v>0.533286615276804</v>
      </c>
      <c r="S317" s="258">
        <f>IFERROR(IF(((N(S200)+N(S201)+N(S202)+N(S205)+N(S223)+N(S226))-N(S132)+N(S259))&lt;&gt;0,((N(S200)+N(S201)+N(S202)+N(S205)+N(S223)+N(S226))-N(S132))/((N(S200)+N(S201)+N(S202)+N(S205)+N(S223)+N(S226))-N(S132)+S259),""),"")</f>
        <v>0.557781573394956</v>
      </c>
      <c r="T317" s="258">
        <f>IFERROR(IF(((N(T200)+N(T201)+N(T202)+N(T205)+N(T223)+N(T226))-N(T132)+N(T259))&lt;&gt;0,((N(T200)+N(T201)+N(T202)+N(T205)+N(T223)+N(T226))-N(T132))/((N(T200)+N(T201)+N(T202)+N(T205)+N(T223)+N(T226))-N(T132)+T259),""),"")</f>
        <v>0.5527397954016</v>
      </c>
      <c r="U317" s="258">
        <f>IFERROR(IF(((N(U200)+N(U201)+N(U202)+N(U205)+N(U223)+N(U226))-N(U132)+N(U259))&lt;&gt;0,((N(U200)+N(U201)+N(U202)+N(U205)+N(U223)+N(U226))-N(U132))/((N(U200)+N(U201)+N(U202)+N(U205)+N(U223)+N(U226))-N(U132)+U259),""),"")</f>
        <v>0.510728563269968</v>
      </c>
      <c r="V317" s="258">
        <f>IFERROR(IF(((N(V200)+N(V201)+N(V202)+N(V205)+N(V223)+N(V226))-N(V132)+N(V259))&lt;&gt;0,((N(V200)+N(V201)+N(V202)+N(V205)+N(V223)+N(V226))-N(V132))/((N(V200)+N(V201)+N(V202)+N(V205)+N(V223)+N(V226))-N(V132)+V259),""),"")</f>
        <v>0.476746003975551</v>
      </c>
      <c r="W317" s="258">
        <f>IFERROR(IF(((N(W200)+N(W201)+N(W202)+N(W205)+N(W223)+N(W226))-N(W132)+N(W259))&lt;&gt;0,((N(W200)+N(W201)+N(W202)+N(W205)+N(W223)+N(W226))-N(W132))/((N(W200)+N(W201)+N(W202)+N(W205)+N(W223)+N(W226))-N(W132)+W259),""),"")</f>
        <v>0.476746003975551</v>
      </c>
      <c r="X317" s="258">
        <f>IFERROR(IF(((N(X200)+N(X201)+N(X202)+N(X205)+N(X223)+N(X226))-N(X132)+N(X259))&lt;&gt;0,((N(X200)+N(X201)+N(X202)+N(X205)+N(X223)+N(X226))-N(X132))/((N(X200)+N(X201)+N(X202)+N(X205)+N(X223)+N(X226))-N(X132)+X259),""),"")</f>
        <v>0.478556734839902</v>
      </c>
      <c r="Y317" s="258">
        <f>IFERROR(IF(((N(Y200)+N(Y201)+N(Y202)+N(Y205)+N(Y223)+N(Y226))-N(Y132)+N(Y259))&lt;&gt;0,((N(Y200)+N(Y201)+N(Y202)+N(Y205)+N(Y223)+N(Y226))-N(Y132))/((N(Y200)+N(Y201)+N(Y202)+N(Y205)+N(Y223)+N(Y226))-N(Y132)+Y259),""),"")</f>
        <v>0.477542217765681</v>
      </c>
      <c r="Z317" s="258">
        <f>IFERROR(IF(((N(Z200)+N(Z201)+N(Z202)+N(Z205)+N(Z223)+N(Z226))-N(Z132)+N(Z259))&lt;&gt;0,((N(Z200)+N(Z201)+N(Z202)+N(Z205)+N(Z223)+N(Z226))-N(Z132))/((N(Z200)+N(Z201)+N(Z202)+N(Z205)+N(Z223)+N(Z226))-N(Z132)+Z259),""),"")</f>
        <v>0.462429306729364</v>
      </c>
      <c r="AA317" s="258">
        <f>IFERROR(IF(((N(AA200)+N(AA201)+N(AA202)+N(AA205)+N(AA223)+N(AA226))-N(AA132)+N(AA259))&lt;&gt;0,((N(AA200)+N(AA201)+N(AA202)+N(AA205)+N(AA223)+N(AA226))-N(AA132))/((N(AA200)+N(AA201)+N(AA202)+N(AA205)+N(AA223)+N(AA226))-N(AA132)+AA259),""),"")</f>
        <v>0.450744130771834</v>
      </c>
      <c r="AB317" s="258">
        <f>IFERROR(IF(((N(AB200)+N(AB201)+N(AB202)+N(AB205)+N(AB223)+N(AB226))-N(AB132)+N(AB259))&lt;&gt;0,((N(AB200)+N(AB201)+N(AB202)+N(AB205)+N(AB223)+N(AB226))-N(AB132))/((N(AB200)+N(AB201)+N(AB202)+N(AB205)+N(AB223)+N(AB226))-N(AB132)+AB259),""),"")</f>
        <v>0.450744130771834</v>
      </c>
      <c r="AC317" s="258">
        <f>IFERROR(IF(((N(AC200)+N(AC201)+N(AC202)+N(AC205)+N(AC223)+N(AC226))-N(AC132)+N(AC259))&lt;&gt;0,((N(AC200)+N(AC201)+N(AC202)+N(AC205)+N(AC223)+N(AC226))-N(AC132))/((N(AC200)+N(AC201)+N(AC202)+N(AC205)+N(AC223)+N(AC226))-N(AC132)+AC259),""),"")</f>
        <v>0.453781908380169</v>
      </c>
      <c r="AD317" s="258">
        <f>IFERROR(IF(((N(AD200)+N(AD201)+N(AD202)+N(AD205)+N(AD223)+N(AD226))-N(AD132)+N(AD259))&lt;&gt;0,((N(AD200)+N(AD201)+N(AD202)+N(AD205)+N(AD223)+N(AD226))-N(AD132))/((N(AD200)+N(AD201)+N(AD202)+N(AD205)+N(AD223)+N(AD226))-N(AD132)+AD259),""),"")</f>
        <v>0.422050982742846</v>
      </c>
      <c r="AE317" s="258">
        <f>IFERROR(IF(((N(AE200)+N(AE201)+N(AE202)+N(AE205)+N(AE223)+N(AE226))-N(AE132)+N(AE259))&lt;&gt;0,((N(AE200)+N(AE201)+N(AE202)+N(AE205)+N(AE223)+N(AE226))-N(AE132))/((N(AE200)+N(AE201)+N(AE202)+N(AE205)+N(AE223)+N(AE226))-N(AE132)+AE259),""),"")</f>
        <v>0.375877159309021</v>
      </c>
      <c r="AF317" s="258">
        <f>IFERROR(IF(((N(AF200)+N(AF201)+N(AF202)+N(AF205)+N(AF223)+N(AF226))-N(AF132)+N(AF259))&lt;&gt;0,((N(AF200)+N(AF201)+N(AF202)+N(AF205)+N(AF223)+N(AF226))-N(AF132))/((N(AF200)+N(AF201)+N(AF202)+N(AF205)+N(AF223)+N(AF226))-N(AF132)+AF259),""),"")</f>
        <v>0.393783917118895</v>
      </c>
      <c r="AG317" s="258">
        <f>IFERROR(IF(((N(AG200)+N(AG201)+N(AG202)+N(AG205)+N(AG223)+N(AG226))-N(AG132)+N(AG259))&lt;&gt;0,((N(AG200)+N(AG201)+N(AG202)+N(AG205)+N(AG223)+N(AG226))-N(AG132))/((N(AG200)+N(AG201)+N(AG202)+N(AG205)+N(AG223)+N(AG226))-N(AG132)+AG259),""),"")</f>
        <v>0.393783917118895</v>
      </c>
      <c r="AH317" s="258">
        <f>IFERROR(IF(((N(AH200)+N(AH201)+N(AH202)+N(AH205)+N(AH223)+N(AH226))-N(AH132)+N(AH259))&lt;&gt;0,((N(AH200)+N(AH201)+N(AH202)+N(AH205)+N(AH223)+N(AH226))-N(AH132))/((N(AH200)+N(AH201)+N(AH202)+N(AH205)+N(AH223)+N(AH226))-N(AH132)+AH259),""),"")</f>
        <v>0.34052041813943</v>
      </c>
      <c r="AI317" s="258">
        <f>IFERROR(IF(((N(AI200)+N(AI201)+N(AI202)+N(AI205)+N(AI223)+N(AI226))-N(AI132)+N(AI259))&lt;&gt;0,((N(AI200)+N(AI201)+N(AI202)+N(AI205)+N(AI223)+N(AI226))-N(AI132))/((N(AI200)+N(AI201)+N(AI202)+N(AI205)+N(AI223)+N(AI226))-N(AI132)+AI259),""),"")</f>
        <v>0.262287803217547</v>
      </c>
      <c r="AJ317" s="258">
        <f>IFERROR(IF(((N(AJ200)+N(AJ201)+N(AJ202)+N(AJ205)+N(AJ223)+N(AJ226))-N(AJ132)+N(AJ259))&lt;&gt;0,((N(AJ200)+N(AJ201)+N(AJ202)+N(AJ205)+N(AJ223)+N(AJ226))-N(AJ132))/((N(AJ200)+N(AJ201)+N(AJ202)+N(AJ205)+N(AJ223)+N(AJ226))-N(AJ132)+AJ259),""),"")</f>
        <v>0.164808913790015</v>
      </c>
      <c r="AK317" s="258">
        <f>IFERROR(IF(((N(AK200)+N(AK201)+N(AK202)+N(AK205)+N(AK223)+N(AK226))-N(AK132)+N(AK259))&lt;&gt;0,((N(AK200)+N(AK201)+N(AK202)+N(AK205)+N(AK223)+N(AK226))-N(AK132))/((N(AK200)+N(AK201)+N(AK202)+N(AK205)+N(AK223)+N(AK226))-N(AK132)+AK259),""),"")</f>
        <v>0.0788803328976425</v>
      </c>
      <c r="AL317" s="258">
        <f>IFERROR(IF(((N(AL200)+N(AL201)+N(AL202)+N(AL205)+N(AL223)+N(AL226))-N(AL132)+N(AL259))&lt;&gt;0,((N(AL200)+N(AL201)+N(AL202)+N(AL205)+N(AL223)+N(AL226))-N(AL132))/((N(AL200)+N(AL201)+N(AL202)+N(AL205)+N(AL223)+N(AL226))-N(AL132)+AL259),""),"")</f>
        <v>0.0788803328976425</v>
      </c>
      <c r="AM317" s="258">
        <f>IFERROR(IF(((N(AM200)+N(AM201)+N(AM202)+N(AM205)+N(AM223)+N(AM226))-N(AM132)+N(AM259))&lt;&gt;0,((N(AM200)+N(AM201)+N(AM202)+N(AM205)+N(AM223)+N(AM226))-N(AM132))/((N(AM200)+N(AM201)+N(AM202)+N(AM205)+N(AM223)+N(AM226))-N(AM132)+AM259),""),"")</f>
        <v>-0.0118914277008073</v>
      </c>
      <c r="AN317" s="258">
        <f>IFERROR(IF(((N(AN200)+N(AN201)+N(AN202)+N(AN205)+N(AN223)+N(AN226))-N(AN132)+N(AN259))&lt;&gt;0,((N(AN200)+N(AN201)+N(AN202)+N(AN205)+N(AN223)+N(AN226))-N(AN132))/((N(AN200)+N(AN201)+N(AN202)+N(AN205)+N(AN223)+N(AN226))-N(AN132)+AN259),""),"")</f>
        <v>-0.11638096634193</v>
      </c>
      <c r="AO317" s="258">
        <f>IFERROR(IF(((N(AO200)+N(AO201)+N(AO202)+N(AO205)+N(AO223)+N(AO226))-N(AO132)+N(AO259))&lt;&gt;0,((N(AO200)+N(AO201)+N(AO202)+N(AO205)+N(AO223)+N(AO226))-N(AO132))/((N(AO200)+N(AO201)+N(AO202)+N(AO205)+N(AO223)+N(AO226))-N(AO132)+AO259),""),"")</f>
        <v>-0.274744515462711</v>
      </c>
      <c r="AP317" s="258">
        <f>IFERROR(IF(((N(AP200)+N(AP201)+N(AP202)+N(AP205)+N(AP223)+N(AP226))-N(AP132)+N(AP259))&lt;&gt;0,((N(AP200)+N(AP201)+N(AP202)+N(AP205)+N(AP223)+N(AP226))-N(AP132))/((N(AP200)+N(AP201)+N(AP202)+N(AP205)+N(AP223)+N(AP226))-N(AP132)+AP259),""),"")</f>
        <v>-0.415380640954002</v>
      </c>
      <c r="AQ317" s="258">
        <f>IFERROR(IF(((N(AQ200)+N(AQ201)+N(AQ202)+N(AQ205)+N(AQ223)+N(AQ226))-N(AQ132)+N(AQ259))&lt;&gt;0,((N(AQ200)+N(AQ201)+N(AQ202)+N(AQ205)+N(AQ223)+N(AQ226))-N(AQ132))/((N(AQ200)+N(AQ201)+N(AQ202)+N(AQ205)+N(AQ223)+N(AQ226))-N(AQ132)+AQ259),""),"")</f>
        <v>-0.415380640954002</v>
      </c>
      <c r="AR317" s="258">
        <f>IFERROR(IF(((N(AR200)+N(AR201)+N(AR202)+N(AR205)+N(AR223)+N(AR226))-N(AR132)+N(AR259))&lt;&gt;0,((N(AR200)+N(AR201)+N(AR202)+N(AR205)+N(AR223)+N(AR226))-N(AR132))/((N(AR200)+N(AR201)+N(AR202)+N(AR205)+N(AR223)+N(AR226))-N(AR132)+AR259),""),"")</f>
        <v>-0.572415108180972</v>
      </c>
      <c r="AS317" s="258">
        <f>IFERROR(IF(((N(AS200)+N(AS201)+N(AS202)+N(AS205)+N(AS223)+N(AS226))-N(AS132)+N(AS259))&lt;&gt;0,((N(AS200)+N(AS201)+N(AS202)+N(AS205)+N(AS223)+N(AS226))-N(AS132))/((N(AS200)+N(AS201)+N(AS202)+N(AS205)+N(AS223)+N(AS226))-N(AS132)+AS259),""),"")</f>
        <v>-0.747295035735675</v>
      </c>
      <c r="AT317" s="258">
        <f>IFERROR(IF(((N(AT200)+N(AT201)+N(AT202)+N(AT205)+N(AT223)+N(AT226))-N(AT132)+N(AT259))&lt;&gt;0,((N(AT200)+N(AT201)+N(AT202)+N(AT205)+N(AT223)+N(AT226))-N(AT132))/((N(AT200)+N(AT201)+N(AT202)+N(AT205)+N(AT223)+N(AT226))-N(AT132)+AT259),""),"")</f>
        <v>-1.10801664051279</v>
      </c>
      <c r="AU317" s="258">
        <f>IFERROR(IF(((N(AU200)+N(AU201)+N(AU202)+N(AU205)+N(AU223)+N(AU226))-N(AU132)+N(AU259))&lt;&gt;0,((N(AU200)+N(AU201)+N(AU202)+N(AU205)+N(AU223)+N(AU226))-N(AU132))/((N(AU200)+N(AU201)+N(AU202)+N(AU205)+N(AU223)+N(AU226))-N(AU132)+AU259),""),"")</f>
        <v>-1.49645337139247</v>
      </c>
      <c r="AV317" s="258">
        <f>IFERROR(IF(((N(AV200)+N(AV201)+N(AV202)+N(AV205)+N(AV223)+N(AV226))-N(AV132)+N(AV259))&lt;&gt;0,((N(AV200)+N(AV201)+N(AV202)+N(AV205)+N(AV223)+N(AV226))-N(AV132))/((N(AV200)+N(AV201)+N(AV202)+N(AV205)+N(AV223)+N(AV226))-N(AV132)+AV259),""),"")</f>
        <v>-1.49645337139247</v>
      </c>
      <c r="AW317" s="258">
        <f>IFERROR(IF(((N(AW200)+N(AW201)+N(AW202)+N(AW205)+N(AW223)+N(AW226))-N(AW132)+N(AW259))&lt;&gt;0,((N(AW200)+N(AW201)+N(AW202)+N(AW205)+N(AW223)+N(AW226))-N(AW132))/((N(AW200)+N(AW201)+N(AW202)+N(AW205)+N(AW223)+N(AW226))-N(AW132)+AW259),""),"")</f>
        <v>-2.04116729792959</v>
      </c>
      <c r="AX317" s="258">
        <f>IFERROR(IF(((N(AX200)+N(AX201)+N(AX202)+N(AX205)+N(AX223)+N(AX226))-N(AX132)+N(AX259))&lt;&gt;0,((N(AX200)+N(AX201)+N(AX202)+N(AX205)+N(AX223)+N(AX226))-N(AX132))/((N(AX200)+N(AX201)+N(AX202)+N(AX205)+N(AX223)+N(AX226))-N(AX132)+AX259),""),"")</f>
        <v>-2.85537234203345</v>
      </c>
      <c r="AY317" s="258">
        <f>IFERROR(IF(((N(AY200)+N(AY201)+N(AY202)+N(AY205)+N(AY223)+N(AY226))-N(AY132)+N(AY259))&lt;&gt;0,((N(AY200)+N(AY201)+N(AY202)+N(AY205)+N(AY223)+N(AY226))-N(AY132))/((N(AY200)+N(AY201)+N(AY202)+N(AY205)+N(AY223)+N(AY226))-N(AY132)+AY259),""),"")</f>
        <v>-6.09688548239067</v>
      </c>
      <c r="AZ317" s="258">
        <f>IFERROR(IF(((N(AZ200)+N(AZ201)+N(AZ202)+N(AZ205)+N(AZ223)+N(AZ226))-N(AZ132)+N(AZ259))&lt;&gt;0,((N(AZ200)+N(AZ201)+N(AZ202)+N(AZ205)+N(AZ223)+N(AZ226))-N(AZ132))/((N(AZ200)+N(AZ201)+N(AZ202)+N(AZ205)+N(AZ223)+N(AZ226))-N(AZ132)+AZ259),""),"")</f>
        <v>-29.0412322618095</v>
      </c>
      <c r="BA317" s="258">
        <f>IFERROR(IF(((N(BA200)+N(BA201)+N(BA202)+N(BA205)+N(BA223)+N(BA226))-N(BA132)+N(BA259))&lt;&gt;0,((N(BA200)+N(BA201)+N(BA202)+N(BA205)+N(BA223)+N(BA226))-N(BA132))/((N(BA200)+N(BA201)+N(BA202)+N(BA205)+N(BA223)+N(BA226))-N(BA132)+BA259),""),"")</f>
        <v>-29.0412322618095</v>
      </c>
      <c r="BB317" s="258">
        <f>IFERROR(IF(((N(BB200)+N(BB201)+N(BB202)+N(BB205)+N(BB223)+N(BB226))-N(BB132)+N(BB259))&lt;&gt;0,((N(BB200)+N(BB201)+N(BB202)+N(BB205)+N(BB223)+N(BB226))-N(BB132))/((N(BB200)+N(BB201)+N(BB202)+N(BB205)+N(BB223)+N(BB226))-N(BB132)+BB259),""),"")</f>
        <v>12.8482656413974</v>
      </c>
      <c r="BC317" s="258">
        <f>IFERROR(IF(((N(BC200)+N(BC201)+N(BC202)+N(BC205)+N(BC223)+N(BC226))-N(BC132)+N(BC259))&lt;&gt;0,((N(BC200)+N(BC201)+N(BC202)+N(BC205)+N(BC223)+N(BC226))-N(BC132))/((N(BC200)+N(BC201)+N(BC202)+N(BC205)+N(BC223)+N(BC226))-N(BC132)+BC259),""),"")</f>
        <v>5.81342319158526</v>
      </c>
      <c r="BD317" s="258">
        <f>IFERROR(IF(((N(BD200)+N(BD201)+N(BD202)+N(BD205)+N(BD223)+N(BD226))-N(BD132)+N(BD259))&lt;&gt;0,((N(BD200)+N(BD201)+N(BD202)+N(BD205)+N(BD223)+N(BD226))-N(BD132))/((N(BD200)+N(BD201)+N(BD202)+N(BD205)+N(BD223)+N(BD226))-N(BD132)+BD259),""),"")</f>
        <v>3.44350510334576</v>
      </c>
      <c r="BE317" s="258">
        <f>IFERROR(IF(((N(BE200)+N(BE201)+N(BE202)+N(BE205)+N(BE223)+N(BE226))-N(BE132)+N(BE259))&lt;&gt;0,((N(BE200)+N(BE201)+N(BE202)+N(BE205)+N(BE223)+N(BE226))-N(BE132))/((N(BE200)+N(BE201)+N(BE202)+N(BE205)+N(BE223)+N(BE226))-N(BE132)+BE259),""),"")</f>
        <v>2.59426833006796</v>
      </c>
      <c r="BF317" s="258">
        <f>IFERROR(IF(((N(BF200)+N(BF201)+N(BF202)+N(BF205)+N(BF223)+N(BF226))-N(BF132)+N(BF259))&lt;&gt;0,((N(BF200)+N(BF201)+N(BF202)+N(BF205)+N(BF223)+N(BF226))-N(BF132))/((N(BF200)+N(BF201)+N(BF202)+N(BF205)+N(BF223)+N(BF226))-N(BF132)+BF259),""),"")</f>
        <v>2.59426833006796</v>
      </c>
    </row>
    <row r="318" customFormat="1" s="77">
      <c r="A318" s="76" t="n"/>
      <c r="B318" s="76" t="n"/>
    </row>
    <row r="319" customFormat="1" s="77">
      <c r="A319" s="76" t="n"/>
      <c r="B319" s="76" t="n"/>
      <c r="C319" s="74" t="inlineStr">
        <is>
          <t>FINANCIAL RISK RATIOS</t>
        </is>
      </c>
    </row>
    <row r="320" customFormat="1" s="77">
      <c r="A320" s="76" t="n"/>
      <c r="B320" s="76" t="n"/>
      <c r="C320" s="77" t="inlineStr">
        <is>
          <t>EBITDA / TOTAL INTEREST (LTM)</t>
        </is>
      </c>
      <c r="D320" s="82" t="str">
        <f>IFERROR(D57/-D62,"")</f>
        <v/>
      </c>
      <c r="E320" s="82" t="str">
        <f>IFERROR(E57/-E62,"")</f>
        <v/>
      </c>
      <c r="F320" s="82" t="str">
        <f>IFERROR(F57/-F62,"")</f>
        <v/>
      </c>
      <c r="G320" s="82" t="str">
        <f>IFERROR(G57/-G62,"")</f>
        <v/>
      </c>
      <c r="H320" s="262" t="str">
        <f>IFERROR(IF(AND(COUNT(H57)=1,(H62)&lt;&gt;0),(H57)/-(H62),""),"")</f>
        <v/>
      </c>
      <c r="I320" s="262" t="str">
        <f>""</f>
        <v/>
      </c>
      <c r="J320" s="262" t="str">
        <f>""</f>
        <v/>
      </c>
      <c r="K320" s="262" t="str">
        <f>""</f>
        <v/>
      </c>
      <c r="L320" s="262">
        <f>IFERROR(IF(AND(COUNT(I57,J57,K57,L57)=4,(I62+J62+K62+L62)&lt;&gt;0),(I57+J57+K57+L57)/-(I62+J62+K62+L62),""),"")</f>
        <v>9.05052264808362</v>
      </c>
      <c r="M320" s="262">
        <f>IFERROR(IF(AND(COUNT(I57,J57,K57,L57)=4,(I62+J62+K62+L62)&lt;&gt;0),(I57+J57+K57+L57)/-(I62+J62+K62+L62),""),"")</f>
        <v>9.05052264808362</v>
      </c>
      <c r="N320" s="262">
        <f>IFERROR(IF(AND(COUNT(J57,K57,L57,N57)=4,(J62+K62+L62+N62)&lt;&gt;0),(J57+K57+L57+N57)/-(J62+K62+L62+N62),""),"")</f>
        <v>9.44983089064262</v>
      </c>
      <c r="O320" s="262">
        <f>IFERROR(IF(AND(COUNT(K57,L57,N57,O57)=4,(K62+L62+N62+O62)&lt;&gt;0),(K57+L57+N57+O57)/-(K62+L62+N62+O62),""),"")</f>
        <v>10.2487252124646</v>
      </c>
      <c r="P320" s="262">
        <f>IFERROR(IF(AND(COUNT(L57,N57,O57,P57)=4,(L62+N62+O62+P62)&lt;&gt;0),(L57+N57+O57+P57)/-(L62+N62+O62+P62),""),"")</f>
        <v>11.0587219343696</v>
      </c>
      <c r="Q320" s="262">
        <f>IFERROR(IF(AND(COUNT(N57,O57,P57,Q57)=4,(N62+O62+P62+Q62)&lt;&gt;0),(N57+O57+P57+Q57)/-(N62+O62+P62+Q62),""),"")</f>
        <v>11.4913594470046</v>
      </c>
      <c r="R320" s="262">
        <f>IFERROR(IF(AND(COUNT(N57,O57,P57,Q57)=4,(N62+O62+P62+Q62)&lt;&gt;0),(N57+O57+P57+Q57)/-(N62+O62+P62+Q62),""),"")</f>
        <v>11.4913594470046</v>
      </c>
      <c r="S320" s="262">
        <f>IFERROR(IF(AND(COUNT(O57,P57,Q57,S57)=4,(O62+P62+Q62+S62)&lt;&gt;0),(O57+P57+Q57+S57)/-(O62+P62+Q62+S62),""),"")</f>
        <v>12.4695009242144</v>
      </c>
      <c r="T320" s="262">
        <f>IFERROR(IF(AND(COUNT(P57,Q57,S57,T57)=4,(P62+Q62+S62+T62)&lt;&gt;0),(P57+Q57+S57+T57)/-(P62+Q62+S62+T62),""),"")</f>
        <v>12.3672211953173</v>
      </c>
      <c r="U320" s="262">
        <f>IFERROR(IF(AND(COUNT(Q57,S57,T57,U57)=4,(Q62+S62+T62+U62)&lt;&gt;0),(Q57+S57+T57+U57)/-(Q62+S62+T62+U62),""),"")</f>
        <v>12.3563501849568</v>
      </c>
      <c r="V320" s="262">
        <f>IFERROR(IF(AND(COUNT(S57,T57,U57,V57)=4,(S62+T62+U62+V62)&lt;&gt;0),(S57+T57+U57+V57)/-(S62+T62+U62+V62),""),"")</f>
        <v>9.0266106442577</v>
      </c>
      <c r="W320" s="262">
        <f>IFERROR(IF(AND(COUNT(S57,T57,U57,V57)=4,(S62+T62+U62+V62)&lt;&gt;0),(S57+T57+U57+V57)/-(S62+T62+U62+V62),""),"")</f>
        <v>9.0266106442577</v>
      </c>
      <c r="X320" s="262">
        <f>IFERROR(IF(AND(COUNT(T57,U57,V57,X57)=4,(T62+U62+V62+X62)&lt;&gt;0),(T57+U57+V57+X57)/-(T62+U62+V62+X62),""),"")</f>
        <v>7.14188218390805</v>
      </c>
      <c r="Y320" s="262">
        <f>IFERROR(IF(AND(COUNT(U57,V57,X57,Y57)=4,(U62+V62+X62+Y62)&lt;&gt;0),(U57+V57+X57+Y57)/-(U62+V62+X62+Y62),""),"")</f>
        <v>6.21934921557234</v>
      </c>
      <c r="Z320" s="262">
        <f>IFERROR(IF(AND(COUNT(V57,X57,Y57,Z57)=4,(V62+X62+Y62+Z62)&lt;&gt;0),(V57+X57+Y57+Z57)/-(V62+X62+Y62+Z62),""),"")</f>
        <v>5.93802175562864</v>
      </c>
      <c r="AA320" s="262">
        <f>IFERROR(IF(AND(COUNT(X57,Y57,Z57,AA57)=4,(X62+Y62+Z62+AA62)&lt;&gt;0),(X57+Y57+Z57+AA57)/-(X62+Y62+Z62+AA62),""),"")</f>
        <v>7.04589743589744</v>
      </c>
      <c r="AB320" s="262">
        <f>IFERROR(IF(AND(COUNT(X57,Y57,Z57,AA57)=4,(X62+Y62+Z62+AA62)&lt;&gt;0),(X57+Y57+Z57+AA57)/-(X62+Y62+Z62+AA62),""),"")</f>
        <v>7.04589743589744</v>
      </c>
      <c r="AC320" s="262">
        <f>IFERROR(IF(AND(COUNT(Y57,Z57,AA57,AC57)=4,(Y62+Z62+AA62+AC62)&lt;&gt;0),(Y57+Z57+AA57+AC57)/-(Y62+Z62+AA62+AC62),""),"")</f>
        <v>8.26725565985643</v>
      </c>
      <c r="AD320" s="262">
        <f>IFERROR(IF(AND(COUNT(Z57,AA57,AC57,AD57)=4,(Z62+AA62+AC62+AD62)&lt;&gt;0),(Z57+AA57+AC57+AD57)/-(Z62+AA62+AC62+AD62),""),"")</f>
        <v>9.41664190193165</v>
      </c>
      <c r="AE320" s="262">
        <f>IFERROR(IF(AND(COUNT(AA57,AC57,AD57,AE57)=4,(AA62+AC62+AD62+AE62)&lt;&gt;0),(AA57+AC57+AD57+AE57)/-(AA62+AC62+AD62+AE62),""),"")</f>
        <v>10.6510903426791</v>
      </c>
      <c r="AF320" s="262">
        <f>IFERROR(IF(AND(COUNT(AB57,AD57,AE57,AF57)=4,(AB62+AD62+AE62+AF62)&lt;&gt;0),(AB57+AD57+AE57+AF57)/-(AB62+AD62+AE62+AF62),""),"")</f>
        <v>8.93140851810496</v>
      </c>
      <c r="AG320" s="262">
        <f>IFERROR(IF(AND(COUNT(AC57,AD57,AE57,AF57)=4,(AC62+AD62+AE62+AF62)&lt;&gt;0),(AC57+AD57+AE57+AF57)/-(AC62+AD62+AE62+AF62),""),"")</f>
        <v>11.6226896112173</v>
      </c>
      <c r="AH320" s="262">
        <f>IFERROR(IF(AND(COUNT(AD57,AF57,AG57,AH57)=4,(AD62+AF62+AG62+AH62)&lt;&gt;0),(AD57+AF57+AG57+AH57)/-(AD62+AF62+AG62+AH62),""),"")</f>
        <v>12.3435349511047</v>
      </c>
      <c r="AI320" s="262">
        <f>IFERROR(IF(AND(COUNT(AE57,AG57,AH57,AI57)=4,(AE62+AG62+AH62+AI62)&lt;&gt;0),(AE57+AG57+AH57+AI57)/-(AE62+AG62+AH62+AI62),""),"")</f>
        <v>14.1688978543921</v>
      </c>
      <c r="AJ320" s="262" t="str">
        <f>IFERROR(IF(AND(COUNT(AF57,AH57,AI57,AJ57)=4,(AF62+AH62+AI62+AJ62)&lt;&gt;0),(AF57+AH57+AI57+AJ57)/-(AF62+AH62+AI62+AJ62),""),"")</f>
        <v/>
      </c>
      <c r="AK320" s="262" t="str">
        <f>IFERROR(IF(AND(COUNT(AH57,AI57,AJ57,AK57)=4,(AH62+AI62+AJ62+AK62)&lt;&gt;0),(AH57+AI57+AJ57+AK57)/-(AH62+AI62+AJ62+AK62),""),"")</f>
        <v/>
      </c>
      <c r="AL320" s="262" t="str">
        <f>IFERROR(IF(AND(COUNT(AH57,AI57,AJ57,AK57)=4,(AH62+AI62+AJ62+AK62)&lt;&gt;0),(AH57+AI57+AJ57+AK57)/-(AH62+AI62+AJ62+AK62),""),"")</f>
        <v/>
      </c>
      <c r="AM320" s="262" t="str">
        <f>IFERROR(IF(AND(COUNT(AI57,AJ57,AK57,AM57)=4,(AI62+AJ62+AK62+AM62)&lt;&gt;0),(AI57+AJ57+AK57+AM57)/-(AI62+AJ62+AK62+AM62),""),"")</f>
        <v/>
      </c>
      <c r="AN320" s="262" t="str">
        <f>IFERROR(IF(AND(COUNT(AJ57,AK57,AM57,AN57)=4,(AJ62+AK62+AM62+AN62)&lt;&gt;0),(AJ57+AK57+AM57+AN57)/-(AJ62+AK62+AM62+AN62),""),"")</f>
        <v/>
      </c>
      <c r="AO320" s="262" t="str">
        <f>IFERROR(IF(AND(COUNT(AK57,AM57,AN57,AO57)=4,(AK62+AM62+AN62+AO62)&lt;&gt;0),(AK57+AM57+AN57+AO57)/-(AK62+AM62+AN62+AO62),""),"")</f>
        <v/>
      </c>
      <c r="AP320" s="262" t="str">
        <f>IFERROR(IF(AND(COUNT(AM57,AN57,AO57,AP57)=4,(AM62+AN62+AO62+AP62)&lt;&gt;0),(AM57+AN57+AO57+AP57)/-(AM62+AN62+AO62+AP62),""),"")</f>
        <v/>
      </c>
      <c r="AQ320" s="262" t="str">
        <f>IFERROR(IF(AND(COUNT(AM57,AN57,AO57,AP57)=4,(AM62+AN62+AO62+AP62)&lt;&gt;0),(AM57+AN57+AO57+AP57)/-(AM62+AN62+AO62+AP62),""),"")</f>
        <v/>
      </c>
      <c r="AR320" s="262" t="str">
        <f>IFERROR(IF(AND(COUNT(AN57,AO57,AP57,AR57)=4,(AN62+AO62+AP62+AR62)&lt;&gt;0),(AN57+AO57+AP57+AR57)/-(AN62+AO62+AP62+AR62),""),"")</f>
        <v/>
      </c>
      <c r="AS320" s="262" t="str">
        <f>IFERROR(IF(AND(COUNT(AO57,AP57,AR57,AS57)=4,(AO62+AP62+AR62+AS62)&lt;&gt;0),(AO57+AP57+AR57+AS57)/-(AO62+AP62+AR62+AS62),""),"")</f>
        <v/>
      </c>
      <c r="AT320" s="262" t="str">
        <f>IFERROR(IF(AND(COUNT(AP57,AR57,AS57,AT57)=4,(AP62+AR62+AS62+AT62)&lt;&gt;0),(AP57+AR57+AS57+AT57)/-(AP62+AR62+AS62+AT62),""),"")</f>
        <v/>
      </c>
      <c r="AU320" s="262" t="str">
        <f>IFERROR(IF(AND(COUNT(AR57,AS57,AT57,AU57)=4,(AR62+AS62+AT62+AU62)&lt;&gt;0),(AR57+AS57+AT57+AU57)/-(AR62+AS62+AT62+AU62),""),"")</f>
        <v/>
      </c>
      <c r="AV320" s="262" t="str">
        <f>IFERROR(IF(AND(COUNT(AR57,AS57,AT57,AU57)=4,(AR62+AS62+AT62+AU62)&lt;&gt;0),(AR57+AS57+AT57+AU57)/-(AR62+AS62+AT62+AU62),""),"")</f>
        <v/>
      </c>
      <c r="AW320" s="262" t="str">
        <f>IFERROR(IF(AND(COUNT(AS57,AT57,AU57,AW57)=4,(AS62+AT62+AU62+AW62)&lt;&gt;0),(AS57+AT57+AU57+AW57)/-(AS62+AT62+AU62+AW62),""),"")</f>
        <v/>
      </c>
      <c r="AX320" s="262" t="str">
        <f>IFERROR(IF(AND(COUNT(AT57,AU57,AW57,AX57)=4,(AT62+AU62+AW62+AX62)&lt;&gt;0),(AT57+AU57+AW57+AX57)/-(AT62+AU62+AW62+AX62),""),"")</f>
        <v/>
      </c>
      <c r="AY320" s="262" t="str">
        <f>IFERROR(IF(AND(COUNT(AU57,AW57,AX57,AY57)=4,(AU62+AW62+AX62+AY62)&lt;&gt;0),(AU57+AW57+AX57+AY57)/-(AU62+AW62+AX62+AY62),""),"")</f>
        <v/>
      </c>
      <c r="AZ320" s="262" t="str">
        <f>IFERROR(IF(AND(COUNT(AW57,AX57,AY57,AZ57)=4,(AW62+AX62+AY62+AZ62)&lt;&gt;0),(AW57+AX57+AY57+AZ57)/-(AW62+AX62+AY62+AZ62),""),"")</f>
        <v/>
      </c>
      <c r="BA320" s="262" t="str">
        <f>IFERROR(IF(AND(COUNT(AW57,AX57,AY57,AZ57)=4,(AW62+AX62+AY62+AZ62)&lt;&gt;0),(AW57+AX57+AY57+AZ57)/-(AW62+AX62+AY62+AZ62),""),"")</f>
        <v/>
      </c>
      <c r="BB320" s="262" t="str">
        <f>IFERROR(IF(AND(COUNT(AX57,AY57,AZ57,BB57)=4,(AX62+AY62+AZ62+BB62)&lt;&gt;0),(AX57+AY57+AZ57+BB57)/-(AX62+AY62+AZ62+BB62),""),"")</f>
        <v/>
      </c>
      <c r="BC320" s="262" t="str">
        <f>IFERROR(IF(AND(COUNT(AY57,AZ57,BB57,BC57)=4,(AY62+AZ62+BB62+BC62)&lt;&gt;0),(AY57+AZ57+BB57+BC57)/-(AY62+AZ62+BB62+BC62),""),"")</f>
        <v/>
      </c>
      <c r="BD320" s="262" t="str">
        <f>IFERROR(IF(AND(COUNT(AZ57,BB57,BC57,BD57)=4,(AZ62+BB62+BC62+BD62)&lt;&gt;0),(AZ57+BB57+BC57+BD57)/-(AZ62+BB62+BC62+BD62),""),"")</f>
        <v/>
      </c>
      <c r="BE320" s="262" t="str">
        <f>IFERROR(IF(AND(COUNT(BB57,BC57,BD57,BE57)=4,(BB62+BC62+BD62+BE62)&lt;&gt;0),(BB57+BC57+BD57+BE57)/-(BB62+BC62+BD62+BE62),""),"")</f>
        <v/>
      </c>
      <c r="BF320" s="262" t="str">
        <f>IFERROR(IF(AND(COUNT(BB57,BC57,BD57,BE57)=4,(BB62+BC62+BD62+BE62)&lt;&gt;0),(BB57+BC57+BD57+BE57)/-(BB62+BC62+BD62+BE62),""),"")</f>
        <v/>
      </c>
      <c r="BG320" s="82" t="n"/>
      <c r="BH320" s="82" t="n"/>
      <c r="BI320" s="82" t="n"/>
      <c r="BJ320" s="82" t="n"/>
      <c r="BL320" s="82" t="n"/>
      <c r="BM320" s="82" t="n"/>
      <c r="BN320" s="82" t="n"/>
      <c r="BO320" s="82" t="n"/>
      <c r="BQ320" s="82" t="n"/>
      <c r="BR320" s="82" t="n"/>
      <c r="BS320" s="82" t="n"/>
      <c r="BT320" s="82" t="n"/>
      <c r="BV320" s="82" t="n"/>
      <c r="BW320" s="82" t="n"/>
      <c r="BX320" s="82" t="n"/>
      <c r="BY320" s="82" t="n"/>
      <c r="CA320" s="82" t="n"/>
      <c r="CB320" s="82" t="n"/>
      <c r="CC320" s="82" t="n"/>
      <c r="CD320" s="82" t="n"/>
      <c r="CF320" s="82" t="n"/>
      <c r="CG320" s="82" t="n"/>
      <c r="CH320" s="82" t="n"/>
      <c r="CI320" s="82" t="n"/>
      <c r="CK320" s="82" t="n"/>
      <c r="CL320" s="82" t="n"/>
      <c r="CM320" s="82" t="n"/>
      <c r="CN320" s="82" t="n"/>
      <c r="CP320" s="82" t="n"/>
      <c r="CQ320" s="82" t="n"/>
      <c r="CR320" s="82" t="n"/>
      <c r="CS320" s="82" t="n"/>
      <c r="CU320" s="82" t="n"/>
      <c r="CV320" s="82" t="n"/>
      <c r="CW320" s="82" t="n"/>
      <c r="CX320" s="82" t="n"/>
    </row>
    <row r="321" customFormat="1" s="77">
      <c r="A321" s="76" t="n"/>
      <c r="B321" s="76" t="n"/>
      <c r="C321" s="77" t="inlineStr">
        <is>
          <t>(EBITDA - CAPEX) / TOTAL INTEREST (LTM)</t>
        </is>
      </c>
      <c r="D321" s="82" t="str">
        <f>IFERROR((D57-D156)/-D62,"")</f>
        <v/>
      </c>
      <c r="E321" s="82" t="str">
        <f>IFERROR((E57-E156)/-E62,"")</f>
        <v/>
      </c>
      <c r="F321" s="82" t="str">
        <f>IFERROR((F57-F156)/-F62,"")</f>
        <v/>
      </c>
      <c r="G321" s="82" t="str">
        <f>IFERROR((G57-G156)/-G62,"")</f>
        <v/>
      </c>
      <c r="H321" s="262" t="str">
        <f>IFERROR(IF(AND(COUNT(H57)=1,(H62)&lt;&gt;0),((H57)-(H156))/-(H62),""),"")</f>
        <v/>
      </c>
      <c r="I321" s="262" t="str">
        <f>""</f>
        <v/>
      </c>
      <c r="J321" s="262" t="str">
        <f>""</f>
        <v/>
      </c>
      <c r="K321" s="262" t="str">
        <f>""</f>
        <v/>
      </c>
      <c r="L321" s="262">
        <f>IFERROR(IF(AND(COUNT(I57,J57,K57,L57)=4,(I62+J62+K62+L62)&lt;&gt;0),((I57+J57+K57+L57)-(I156+J156+K156+L156))/-(I62+J62+K62+L62),""),"")</f>
        <v>6.62427409988386</v>
      </c>
      <c r="M321" s="262">
        <f>IFERROR(IF(AND(COUNT(I57,J57,K57,L57)=4,(I62+J62+K62+L62)&lt;&gt;0),((I57+J57+K57+L57)-(I156+J156+K156+L156))/-(I62+J62+K62+L62),""),"")</f>
        <v>6.62427409988386</v>
      </c>
      <c r="N321" s="262">
        <f>IFERROR(IF(AND(COUNT(J57,K57,L57,N57)=4,(J62+K62+L62+N62)&lt;&gt;0),((J57+K57+L57+N57)-(J156+K156+L156+N156))/-(J62+K62+L62+N62),""),"")</f>
        <v>6.40529875986471</v>
      </c>
      <c r="O321" s="262">
        <f>IFERROR(IF(AND(COUNT(K57,L57,N57,O57)=4,(K62+L62+N62+O62)&lt;&gt;0),((K57+L57+N57+O57)-(K156+L156+N156+O156))/-(K62+L62+N62+O62),""),"")</f>
        <v>7.3314447592068</v>
      </c>
      <c r="P321" s="262">
        <f>IFERROR(IF(AND(COUNT(L57,N57,O57,P57)=4,(L62+N62+O62+P62)&lt;&gt;0),((L57+N57+O57+P57)-(L156+N156+O156+P156))/-(L62+N62+O62+P62),""),"")</f>
        <v>8.26137017846862</v>
      </c>
      <c r="Q321" s="262">
        <f>IFERROR(IF(AND(COUNT(N57,O57,P57,Q57)=4,(N62+O62+P62+Q62)&lt;&gt;0),((N57+O57+P57+Q57)-(N156+O156+P156+Q156))/-(N62+O62+P62+Q62),""),"")</f>
        <v>8.82603686635945</v>
      </c>
      <c r="R321" s="262">
        <f>IFERROR(IF(AND(COUNT(N57,O57,P57,Q57)=4,(N62+O62+P62+Q62)&lt;&gt;0),((N57+O57+P57+Q57)-(N156+O156+P156+Q156))/-(N62+O62+P62+Q62),""),"")</f>
        <v>8.82603686635945</v>
      </c>
      <c r="S321" s="262">
        <f>IFERROR(IF(AND(COUNT(O57,P57,Q57,S57)=4,(O62+P62+Q62+S62)&lt;&gt;0),((O57+P57+Q57+S57)-(O156+P156+Q156+S156))/-(O62+P62+Q62+S62),""),"")</f>
        <v>9.788662969809</v>
      </c>
      <c r="T321" s="262">
        <f>IFERROR(IF(AND(COUNT(P57,Q57,S57,T57)=4,(P62+Q62+S62+T62)&lt;&gt;0),((P57+Q57+S57+T57)-(P156+Q156+S156+T156))/-(P62+Q62+S62+T62),""),"")</f>
        <v>9.8724584103512</v>
      </c>
      <c r="U321" s="262">
        <f>IFERROR(IF(AND(COUNT(Q57,S57,T57,U57)=4,(Q62+S62+T62+U62)&lt;&gt;0),((Q57+S57+T57+U57)-(Q156+S156+T156+U156))/-(Q62+S62+T62+U62),""),"")</f>
        <v>10.0345252774353</v>
      </c>
      <c r="V321" s="262">
        <f>IFERROR(IF(AND(COUNT(S57,T57,U57,V57)=4,(S62+T62+U62+V62)&lt;&gt;0),((S57+T57+U57+V57)-(S156+T156+U156+V156))/-(S62+T62+U62+V62),""),"")</f>
        <v>6.40802987861811</v>
      </c>
      <c r="W321" s="262">
        <f>IFERROR(IF(AND(COUNT(S57,T57,U57,V57)=4,(S62+T62+U62+V62)&lt;&gt;0),((S57+T57+U57+V57)-(S156+T156+U156+V156))/-(S62+T62+U62+V62),""),"")</f>
        <v>6.40802987861811</v>
      </c>
      <c r="X321" s="262">
        <f>IFERROR(IF(AND(COUNT(T57,U57,V57,X57)=4,(T62+U62+V62+X62)&lt;&gt;0),((T57+U57+V57+X57)-(T156+U156+V156+X156))/-(T62+U62+V62+X62),""),"")</f>
        <v>4.55639367816092</v>
      </c>
      <c r="Y321" s="262">
        <f>IFERROR(IF(AND(COUNT(U57,V57,X57,Y57)=4,(U62+V62+X62+Y62)&lt;&gt;0),((U57+V57+X57+Y57)-(U156+V156+X156+Y156))/-(U62+V62+X62+Y62),""),"")</f>
        <v>3.67635095874492</v>
      </c>
      <c r="Z321" s="262">
        <f>IFERROR(IF(AND(COUNT(V57,X57,Y57,Z57)=4,(V62+X62+Y62+Z62)&lt;&gt;0),((V57+X57+Y57+Z57)-(V156+X156+Y156+Z156))/-(V62+X62+Y62+Z62),""),"")</f>
        <v>3.31292689096888</v>
      </c>
      <c r="AA321" s="262">
        <f>IFERROR(IF(AND(COUNT(X57,Y57,Z57,AA57)=4,(X62+Y62+Z62+AA62)&lt;&gt;0),((X57+Y57+Z57+AA57)-(X156+Y156+Z156+AA156))/-(X62+Y62+Z62+AA62),""),"")</f>
        <v>4.57358974358974</v>
      </c>
      <c r="AB321" s="262">
        <f>IFERROR(IF(AND(COUNT(X57,Y57,Z57,AA57)=4,(X62+Y62+Z62+AA62)&lt;&gt;0),((X57+Y57+Z57+AA57)-(X156+Y156+Z156+AA156))/-(X62+Y62+Z62+AA62),""),"")</f>
        <v>4.57358974358974</v>
      </c>
      <c r="AC321" s="262">
        <f>IFERROR(IF(AND(COUNT(Y57,Z57,AA57,AC57)=4,(Y62+Z62+AA62+AC62)&lt;&gt;0),((Y57+Z57+AA57+AC57)-(Y156+Z156+AA156+AC156))/-(Y62+Z62+AA62+AC62),""),"")</f>
        <v>5.71783545002761</v>
      </c>
      <c r="AD321" s="262">
        <f>IFERROR(IF(AND(COUNT(Z57,AA57,AC57,AD57)=4,(Z62+AA62+AC62+AD62)&lt;&gt;0),((Z57+AA57+AC57+AD57)-(Z156+AA156+AC156+AD156))/-(Z62+AA62+AC62+AD62),""),"")</f>
        <v>6.76196136701337</v>
      </c>
      <c r="AE321" s="262">
        <f>IFERROR(IF(AND(COUNT(AA57,AC57,AD57,AE57)=4,(AA62+AC62+AD62+AE62)&lt;&gt;0),((AA57+AC57+AD57+AE57)-(AA156+AC156+AD156+AE156))/-(AA62+AC62+AD62+AE62),""),"")</f>
        <v>7.93613707165109</v>
      </c>
      <c r="AF321" s="262">
        <f>IFERROR(IF(AND(COUNT(AB57,AD57,AE57,AF57)=4,(AB62+AD62+AE62+AF62)&lt;&gt;0),((AB57+AD57+AE57+AF57)-(AB156+AD156+AE156+AF156))/-(AB62+AD62+AE62+AF62),""),"")</f>
        <v>7.86409315680332</v>
      </c>
      <c r="AG321" s="262">
        <f>IFERROR(IF(AND(COUNT(AC57,AD57,AE57,AF57)=4,(AC62+AD62+AE62+AF62)&lt;&gt;0),((AC57+AD57+AE57+AF57)-(AC156+AD156+AE156+AF156))/-(AC62+AD62+AE62+AF62),""),"")</f>
        <v>8.81230082855322</v>
      </c>
      <c r="AH321" s="262">
        <f>IFERROR(IF(AND(COUNT(AD57,AF57,AG57,AH57)=4,(AD62+AF62+AG62+AH62)&lt;&gt;0),((AD57+AF57+AG57+AH57)-(AD156+AF156+AG156+AH156))/-(AD62+AF62+AG62+AH62),""),"")</f>
        <v>9.53350235421949</v>
      </c>
      <c r="AI321" s="262">
        <f>IFERROR(IF(AND(COUNT(AE57,AG57,AH57,AI57)=4,(AE62+AG62+AH62+AI62)&lt;&gt;0),((AE57+AG57+AH57+AI57)-(AE156+AG156+AH156+AI156))/-(AE62+AG62+AH62+AI62),""),"")</f>
        <v>11.2378507243719</v>
      </c>
      <c r="AJ321" s="262" t="str">
        <f>IFERROR(IF(AND(COUNT(AF57,AH57,AI57,AJ57)=4,(AF62+AH62+AI62+AJ62)&lt;&gt;0),((AF57+AH57+AI57+AJ57)-(AF156+AH156+AI156+AJ156))/-(AF62+AH62+AI62+AJ62),""),"")</f>
        <v/>
      </c>
      <c r="AK321" s="262" t="str">
        <f>IFERROR(IF(AND(COUNT(AH57,AI57,AJ57,AK57)=4,(AH62+AI62+AJ62+AK62)&lt;&gt;0),((AH57+AI57+AJ57+AK57)-(AH156+AI156+AJ156+AK156))/-(AH62+AI62+AJ62+AK62),""),"")</f>
        <v/>
      </c>
      <c r="AL321" s="262" t="str">
        <f>IFERROR(IF(AND(COUNT(AH57,AI57,AJ57,AK57)=4,(AH62+AI62+AJ62+AK62)&lt;&gt;0),((AH57+AI57+AJ57+AK57)-(AH156+AI156+AJ156+AK156))/-(AH62+AI62+AJ62+AK62),""),"")</f>
        <v/>
      </c>
      <c r="AM321" s="262" t="str">
        <f>IFERROR(IF(AND(COUNT(AI57,AJ57,AK57,AM57)=4,(AI62+AJ62+AK62+AM62)&lt;&gt;0),((AI57+AJ57+AK57+AM57)-(AI156+AJ156+AK156+AM156))/-(AI62+AJ62+AK62+AM62),""),"")</f>
        <v/>
      </c>
      <c r="AN321" s="262" t="str">
        <f>IFERROR(IF(AND(COUNT(AJ57,AK57,AM57,AN57)=4,(AJ62+AK62+AM62+AN62)&lt;&gt;0),((AJ57+AK57+AM57+AN57)-(AJ156+AK156+AM156+AN156))/-(AJ62+AK62+AM62+AN62),""),"")</f>
        <v/>
      </c>
      <c r="AO321" s="262" t="str">
        <f>IFERROR(IF(AND(COUNT(AK57,AM57,AN57,AO57)=4,(AK62+AM62+AN62+AO62)&lt;&gt;0),((AK57+AM57+AN57+AO57)-(AK156+AM156+AN156+AO156))/-(AK62+AM62+AN62+AO62),""),"")</f>
        <v/>
      </c>
      <c r="AP321" s="262" t="str">
        <f>IFERROR(IF(AND(COUNT(AM57,AN57,AO57,AP57)=4,(AM62+AN62+AO62+AP62)&lt;&gt;0),((AM57+AN57+AO57+AP57)-(AM156+AN156+AO156+AP156))/-(AM62+AN62+AO62+AP62),""),"")</f>
        <v/>
      </c>
      <c r="AQ321" s="262" t="str">
        <f>IFERROR(IF(AND(COUNT(AM57,AN57,AO57,AP57)=4,(AM62+AN62+AO62+AP62)&lt;&gt;0),((AM57+AN57+AO57+AP57)-(AM156+AN156+AO156+AP156))/-(AM62+AN62+AO62+AP62),""),"")</f>
        <v/>
      </c>
      <c r="AR321" s="262" t="str">
        <f>IFERROR(IF(AND(COUNT(AN57,AO57,AP57,AR57)=4,(AN62+AO62+AP62+AR62)&lt;&gt;0),((AN57+AO57+AP57+AR57)-(AN156+AO156+AP156+AR156))/-(AN62+AO62+AP62+AR62),""),"")</f>
        <v/>
      </c>
      <c r="AS321" s="262" t="str">
        <f>IFERROR(IF(AND(COUNT(AO57,AP57,AR57,AS57)=4,(AO62+AP62+AR62+AS62)&lt;&gt;0),((AO57+AP57+AR57+AS57)-(AO156+AP156+AR156+AS156))/-(AO62+AP62+AR62+AS62),""),"")</f>
        <v/>
      </c>
      <c r="AT321" s="262" t="str">
        <f>IFERROR(IF(AND(COUNT(AP57,AR57,AS57,AT57)=4,(AP62+AR62+AS62+AT62)&lt;&gt;0),((AP57+AR57+AS57+AT57)-(AP156+AR156+AS156+AT156))/-(AP62+AR62+AS62+AT62),""),"")</f>
        <v/>
      </c>
      <c r="AU321" s="262" t="str">
        <f>IFERROR(IF(AND(COUNT(AR57,AS57,AT57,AU57)=4,(AR62+AS62+AT62+AU62)&lt;&gt;0),((AR57+AS57+AT57+AU57)-(AR156+AS156+AT156+AU156))/-(AR62+AS62+AT62+AU62),""),"")</f>
        <v/>
      </c>
      <c r="AV321" s="262" t="str">
        <f>IFERROR(IF(AND(COUNT(AR57,AS57,AT57,AU57)=4,(AR62+AS62+AT62+AU62)&lt;&gt;0),((AR57+AS57+AT57+AU57)-(AR156+AS156+AT156+AU156))/-(AR62+AS62+AT62+AU62),""),"")</f>
        <v/>
      </c>
      <c r="AW321" s="262" t="str">
        <f>IFERROR(IF(AND(COUNT(AS57,AT57,AU57,AW57)=4,(AS62+AT62+AU62+AW62)&lt;&gt;0),((AS57+AT57+AU57+AW57)-(AS156+AT156+AU156+AW156))/-(AS62+AT62+AU62+AW62),""),"")</f>
        <v/>
      </c>
      <c r="AX321" s="262" t="str">
        <f>IFERROR(IF(AND(COUNT(AT57,AU57,AW57,AX57)=4,(AT62+AU62+AW62+AX62)&lt;&gt;0),((AT57+AU57+AW57+AX57)-(AT156+AU156+AW156+AX156))/-(AT62+AU62+AW62+AX62),""),"")</f>
        <v/>
      </c>
      <c r="AY321" s="262" t="str">
        <f>IFERROR(IF(AND(COUNT(AU57,AW57,AX57,AY57)=4,(AU62+AW62+AX62+AY62)&lt;&gt;0),((AU57+AW57+AX57+AY57)-(AU156+AW156+AX156+AY156))/-(AU62+AW62+AX62+AY62),""),"")</f>
        <v/>
      </c>
      <c r="AZ321" s="262" t="str">
        <f>IFERROR(IF(AND(COUNT(AW57,AX57,AY57,AZ57)=4,(AW62+AX62+AY62+AZ62)&lt;&gt;0),((AW57+AX57+AY57+AZ57)-(AW156+AX156+AY156+AZ156))/-(AW62+AX62+AY62+AZ62),""),"")</f>
        <v/>
      </c>
      <c r="BA321" s="262" t="str">
        <f>IFERROR(IF(AND(COUNT(AW57,AX57,AY57,AZ57)=4,(AW62+AX62+AY62+AZ62)&lt;&gt;0),((AW57+AX57+AY57+AZ57)-(AW156+AX156+AY156+AZ156))/-(AW62+AX62+AY62+AZ62),""),"")</f>
        <v/>
      </c>
      <c r="BB321" s="262" t="str">
        <f>IFERROR(IF(AND(COUNT(AX57,AY57,AZ57,BB57)=4,(AX62+AY62+AZ62+BB62)&lt;&gt;0),((AX57+AY57+AZ57+BB57)-(AX156+AY156+AZ156+BB156))/-(AX62+AY62+AZ62+BB62),""),"")</f>
        <v/>
      </c>
      <c r="BC321" s="262" t="str">
        <f>IFERROR(IF(AND(COUNT(AY57,AZ57,BB57,BC57)=4,(AY62+AZ62+BB62+BC62)&lt;&gt;0),((AY57+AZ57+BB57+BC57)-(AY156+AZ156+BB156+BC156))/-(AY62+AZ62+BB62+BC62),""),"")</f>
        <v/>
      </c>
      <c r="BD321" s="262" t="str">
        <f>IFERROR(IF(AND(COUNT(AZ57,BB57,BC57,BD57)=4,(AZ62+BB62+BC62+BD62)&lt;&gt;0),((AZ57+BB57+BC57+BD57)-(AZ156+BB156+BC156+BD156))/-(AZ62+BB62+BC62+BD62),""),"")</f>
        <v/>
      </c>
      <c r="BE321" s="262" t="str">
        <f>IFERROR(IF(AND(COUNT(BB57,BC57,BD57,BE57)=4,(BB62+BC62+BD62+BE62)&lt;&gt;0),((BB57+BC57+BD57+BE57)-(BB156+BC156+BD156+BE156))/-(BB62+BC62+BD62+BE62),""),"")</f>
        <v/>
      </c>
      <c r="BF321" s="262" t="str">
        <f>IFERROR(IF(AND(COUNT(BB57,BC57,BD57,BE57)=4,(BB62+BC62+BD62+BE62)&lt;&gt;0),((BB57+BC57+BD57+BE57)-(BB156+BC156+BD156+BE156))/-(BB62+BC62+BD62+BE62),""),"")</f>
        <v/>
      </c>
      <c r="BG321" s="82" t="n"/>
      <c r="BH321" s="82" t="n"/>
      <c r="BI321" s="82" t="n"/>
      <c r="BJ321" s="82" t="n"/>
      <c r="BL321" s="82" t="n"/>
      <c r="BM321" s="82" t="n"/>
      <c r="BN321" s="82" t="n"/>
      <c r="BO321" s="82" t="n"/>
      <c r="BQ321" s="82" t="n"/>
      <c r="BR321" s="82" t="n"/>
      <c r="BS321" s="82" t="n"/>
      <c r="BT321" s="82" t="n"/>
      <c r="BV321" s="82" t="n"/>
      <c r="BW321" s="82" t="n"/>
      <c r="BX321" s="82" t="n"/>
      <c r="BY321" s="82" t="n"/>
      <c r="CA321" s="82" t="n"/>
      <c r="CB321" s="82" t="n"/>
      <c r="CC321" s="82" t="n"/>
      <c r="CD321" s="82" t="n"/>
      <c r="CF321" s="82" t="n"/>
      <c r="CG321" s="82" t="n"/>
      <c r="CH321" s="82" t="n"/>
      <c r="CI321" s="82" t="n"/>
      <c r="CK321" s="82" t="n"/>
      <c r="CL321" s="82" t="n"/>
      <c r="CM321" s="82" t="n"/>
      <c r="CN321" s="82" t="n"/>
      <c r="CP321" s="82" t="n"/>
      <c r="CQ321" s="82" t="n"/>
      <c r="CR321" s="82" t="n"/>
      <c r="CS321" s="82" t="n"/>
      <c r="CU321" s="82" t="n"/>
      <c r="CV321" s="82" t="n"/>
      <c r="CW321" s="82" t="n"/>
      <c r="CX321" s="82" t="n"/>
    </row>
    <row r="322" customFormat="1" s="77">
      <c r="A322" s="76" t="n"/>
      <c r="B322" s="76" t="n"/>
      <c r="C322" s="77" t="inlineStr">
        <is>
          <t>TOTAL DEBT / EBITDA (LTM)</t>
        </is>
      </c>
      <c r="D322" s="82" t="str">
        <f>IFERROR(SUM(D200,D201,D202,D205,D223,D226)/D57,"")</f>
        <v/>
      </c>
      <c r="E322" s="82" t="str">
        <f>IFERROR(SUM(E200,E201,E202,E205,E223,E226)/E57,"")</f>
        <v/>
      </c>
      <c r="F322" s="82" t="str">
        <f>IFERROR(SUM(F200,F201,F202,F205,F223,F226)/F57,"")</f>
        <v/>
      </c>
      <c r="G322" s="82" t="str">
        <f>IFERROR(SUM(G200,G201,G202,G205,G223,G226)/G57,"")</f>
        <v/>
      </c>
      <c r="H322" s="262" t="str">
        <f>IFERROR(IF(AND(COUNT(H57)=1,(H57)&lt;&gt;0),(N(H200)+N(H201)+N(H202)+N(H205)+N(H223)+N(H226))/(H57),""),"")</f>
        <v/>
      </c>
      <c r="I322" s="262" t="str">
        <f>""</f>
        <v/>
      </c>
      <c r="J322" s="262" t="str">
        <f>""</f>
        <v/>
      </c>
      <c r="K322" s="262" t="str">
        <f>""</f>
        <v/>
      </c>
      <c r="L322" s="262">
        <f>IFERROR(IF(AND(COUNT(I57,J57,K57,L57)=4,(I57+J57+K57+L57)&lt;&gt;0),(N(L200)+N(L201)+N(L202)+N(L205)+N(L223)+N(L226))/(I57+J57+K57+L57),""),"")</f>
        <v>2.53480911132499</v>
      </c>
      <c r="M322" s="262">
        <f>IFERROR(IF(AND(COUNT(I57,J57,K57,L57)=4,(I57+J57+K57+L57)&lt;&gt;0),(N(M200)+N(M201)+N(M202)+N(M205)+N(M223)+N(M226))/(I57+J57+K57+L57),""),"")</f>
        <v>2.53480911132499</v>
      </c>
      <c r="N322" s="262">
        <f>IFERROR(IF(AND(COUNT(J57,K57,L57,N57)=4,(J57+K57+L57+N57)&lt;&gt;0),(N(N200)+N(N201)+N(N202)+N(N205)+N(N223)+N(N226))/(J57+K57+L57+N57),""),"")</f>
        <v>2.35421140539251</v>
      </c>
      <c r="O322" s="262">
        <f>IFERROR(IF(AND(COUNT(K57,L57,N57,O57)=4,(K57+L57+N57+O57)&lt;&gt;0),(N(O200)+N(O201)+N(O202)+N(O205)+N(O223)+N(O226))/(K57+L57+N57+O57),""),"")</f>
        <v>2.18337110951407</v>
      </c>
      <c r="P322" s="262">
        <f>IFERROR(IF(AND(COUNT(L57,N57,O57,P57)=4,(L57+N57+O57+P57)&lt;&gt;0),(N(P200)+N(P201)+N(P202)+N(P205)+N(P223)+N(P226))/(L57+N57+O57+P57),""),"")</f>
        <v>2.05710864698839</v>
      </c>
      <c r="Q322" s="262">
        <f>IFERROR(IF(AND(COUNT(N57,O57,P57,Q57)=4,(N57+O57+P57+Q57)&lt;&gt;0),(N(Q200)+N(Q201)+N(Q202)+N(Q205)+N(Q223)+N(Q226))/(N57+O57+P57+Q57),""),"")</f>
        <v>1.96912125921099</v>
      </c>
      <c r="R322" s="262">
        <f>IFERROR(IF(AND(COUNT(N57,O57,P57,Q57)=4,(N57+O57+P57+Q57)&lt;&gt;0),(N(R200)+N(R201)+N(R202)+N(R205)+N(R223)+N(R226))/(N57+O57+P57+Q57),""),"")</f>
        <v>1.96912125921099</v>
      </c>
      <c r="S322" s="262">
        <f>IFERROR(IF(AND(COUNT(O57,P57,Q57,S57)=4,(O57+P57+Q57+S57)&lt;&gt;0),(N(S200)+N(S201)+N(S202)+N(S205)+N(S223)+N(S226))/(O57+P57+Q57+S57),""),"")</f>
        <v>1.94243502322364</v>
      </c>
      <c r="T322" s="262">
        <f>IFERROR(IF(AND(COUNT(P57,Q57,S57,T57)=4,(P57+Q57+S57+T57)&lt;&gt;0),(N(T200)+N(T201)+N(T202)+N(T205)+N(T223)+N(T226))/(P57+Q57+S57+T57),""),"")</f>
        <v>1.95999402152252</v>
      </c>
      <c r="U322" s="262">
        <f>IFERROR(IF(AND(COUNT(Q57,S57,T57,U57)=4,(Q57+S57+T57+U57)&lt;&gt;0),(N(U200)+N(U201)+N(U202)+N(U205)+N(U223)+N(U226))/(Q57+S57+T57+U57),""),"")</f>
        <v>1.95733958686758</v>
      </c>
      <c r="V322" s="262">
        <f>IFERROR(IF(AND(COUNT(S57,T57,U57,V57)=4,(S57+T57+U57+V57)&lt;&gt;0),(N(V200)+N(V201)+N(V202)+N(V205)+N(V223)+N(V226))/(S57+T57+U57+V57),""),"")</f>
        <v>3.92557538143264</v>
      </c>
      <c r="W322" s="262">
        <f>IFERROR(IF(AND(COUNT(S57,T57,U57,V57)=4,(S57+T57+U57+V57)&lt;&gt;0),(N(W200)+N(W201)+N(W202)+N(W205)+N(W223)+N(W226))/(S57+T57+U57+V57),""),"")</f>
        <v>3.92557538143264</v>
      </c>
      <c r="X322" s="262">
        <f>IFERROR(IF(AND(COUNT(T57,U57,V57,X57)=4,(T57+U57+V57+X57)&lt;&gt;0),(N(X200)+N(X201)+N(X202)+N(X205)+N(X223)+N(X226))/(T57+U57+V57+X57),""),"")</f>
        <v>3.72257707589398</v>
      </c>
      <c r="Y322" s="262">
        <f>IFERROR(IF(AND(COUNT(U57,V57,X57,Y57)=4,(U57+V57+X57+Y57)&lt;&gt;0),(N(Y200)+N(Y201)+N(Y202)+N(Y205)+N(Y223)+N(Y226))/(U57+V57+X57+Y57),""),"")</f>
        <v>3.26804316345121</v>
      </c>
      <c r="Z322" s="262">
        <f>IFERROR(IF(AND(COUNT(V57,X57,Y57,Z57)=4,(V57+X57+Y57+Z57)&lt;&gt;0),(N(Z200)+N(Z201)+N(Z202)+N(Z205)+N(Z223)+N(Z226))/(V57+X57+Y57+Z57),""),"")</f>
        <v>2.87845609849614</v>
      </c>
      <c r="AA322" s="262">
        <f>IFERROR(IF(AND(COUNT(X57,Y57,Z57,AA57)=4,(X57+Y57+Z57+AA57)&lt;&gt;0),(N(AA200)+N(AA201)+N(AA202)+N(AA205)+N(AA223)+N(AA226))/(X57+Y57+Z57+AA57),""),"")</f>
        <v>2.42290476363769</v>
      </c>
      <c r="AB322" s="262">
        <f>IFERROR(IF(AND(COUNT(X57,Y57,Z57,AA57)=4,(X57+Y57+Z57+AA57)&lt;&gt;0),(N(AB200)+N(AB201)+N(AB202)+N(AB205)+N(AB223)+N(AB226))/(X57+Y57+Z57+AA57),""),"")</f>
        <v>2.42290476363769</v>
      </c>
      <c r="AC322" s="262">
        <f>IFERROR(IF(AND(COUNT(Y57,Z57,AA57,AC57)=4,(Y57+Z57+AA57+AC57)&lt;&gt;0),(N(AC200)+N(AC201)+N(AC202)+N(AC205)+N(AC223)+N(AC226))/(Y57+Z57+AA57+AC57),""),"")</f>
        <v>2.24692759818328</v>
      </c>
      <c r="AD322" s="262">
        <f>IFERROR(IF(AND(COUNT(Z57,AA57,AC57,AD57)=4,(Z57+AA57+AC57+AD57)&lt;&gt;0),(N(AD200)+N(AD201)+N(AD202)+N(AD205)+N(AD223)+N(AD226))/(Z57+AA57+AC57+AD57),""),"")</f>
        <v>2.02698267428283</v>
      </c>
      <c r="AE322" s="262">
        <f>IFERROR(IF(AND(COUNT(AA57,AC57,AD57,AE57)=4,(AA57+AC57+AD57+AE57)&lt;&gt;0),(N(AE200)+N(AE201)+N(AE202)+N(AE205)+N(AE223)+N(AE226))/(AA57+AC57+AD57+AE57),""),"")</f>
        <v>1.9051184556888</v>
      </c>
      <c r="AF322" s="262">
        <f>IFERROR(IF(AND(COUNT(AB57,AD57,AE57,AF57)=4,(AB57+AD57+AE57+AF57)&lt;&gt;0),(N(AF200)+N(AF201)+N(AF202)+N(AF205)+N(AF223)+N(AF226))/(AB57+AD57+AE57+AF57),""),"")</f>
        <v>1.17977889303638</v>
      </c>
      <c r="AG322" s="262">
        <f>IFERROR(IF(AND(COUNT(AC57,AD57,AE57,AF57)=4,(AC57+AD57+AE57+AF57)&lt;&gt;0),(N(AG200)+N(AG201)+N(AG202)+N(AG205)+N(AG223)+N(AG226))/(AC57+AD57+AE57+AF57),""),"")</f>
        <v>1.81117021276596</v>
      </c>
      <c r="AH322" s="262">
        <f>IFERROR(IF(AND(COUNT(AD57,AF57,AG57,AH57)=4,(AD57+AF57+AG57+AH57)&lt;&gt;0),(N(AH200)+N(AH201)+N(AH202)+N(AH205)+N(AH223)+N(AH226))/(AD57+AF57+AG57+AH57),""),"")</f>
        <v>0.952260090080838</v>
      </c>
      <c r="AI322" s="262">
        <f>IFERROR(IF(AND(COUNT(AE57,AG57,AH57,AI57)=4,(AE57+AG57+AH57+AI57)&lt;&gt;0),(N(AI200)+N(AI201)+N(AI202)+N(AI205)+N(AI223)+N(AI226))/(AE57+AG57+AH57+AI57),""),"")</f>
        <v>0.769048574349948</v>
      </c>
      <c r="AJ322" s="262">
        <f>IFERROR(IF(AND(COUNT(AF57,AH57,AI57,AJ57)=4,(AF57+AH57+AI57+AJ57)&lt;&gt;0),(N(AJ200)+N(AJ201)+N(AJ202)+N(AJ205)+N(AJ223)+N(AJ226))/(AF57+AH57+AI57+AJ57),""),"")</f>
        <v>1.06802876529809</v>
      </c>
      <c r="AK322" s="262">
        <f>IFERROR(IF(AND(COUNT(AH57,AI57,AJ57,AK57)=4,(AH57+AI57+AJ57+AK57)&lt;&gt;0),(N(AK200)+N(AK201)+N(AK202)+N(AK205)+N(AK223)+N(AK226))/(AH57+AI57+AJ57+AK57),""),"")</f>
        <v>0.993890985458827</v>
      </c>
      <c r="AL322" s="262">
        <f>IFERROR(IF(AND(COUNT(AH57,AI57,AJ57,AK57)=4,(AH57+AI57+AJ57+AK57)&lt;&gt;0),(N(AL200)+N(AL201)+N(AL202)+N(AL205)+N(AL223)+N(AL226))/(AH57+AI57+AJ57+AK57),""),"")</f>
        <v>0.993890985458827</v>
      </c>
      <c r="AM322" s="262">
        <f>IFERROR(IF(AND(COUNT(AI57,AJ57,AK57,AM57)=4,(AI57+AJ57+AK57+AM57)&lt;&gt;0),(N(AM200)+N(AM201)+N(AM202)+N(AM205)+N(AM223)+N(AM226))/(AI57+AJ57+AK57+AM57),""),"")</f>
        <v>0.929203388993202</v>
      </c>
      <c r="AN322" s="262">
        <f>IFERROR(IF(AND(COUNT(AJ57,AK57,AM57,AN57)=4,(AJ57+AK57+AM57+AN57)&lt;&gt;0),(N(AN200)+N(AN201)+N(AN202)+N(AN205)+N(AN223)+N(AN226))/(AJ57+AK57+AM57+AN57),""),"")</f>
        <v>0.866243794616416</v>
      </c>
      <c r="AO322" s="262">
        <f>IFERROR(IF(AND(COUNT(AK57,AM57,AN57,AO57)=4,(AK57+AM57+AN57+AO57)&lt;&gt;0),(N(AO200)+N(AO201)+N(AO202)+N(AO205)+N(AO223)+N(AO226))/(AK57+AM57+AN57+AO57),""),"")</f>
        <v>0.803130211388164</v>
      </c>
      <c r="AP322" s="262">
        <f>IFERROR(IF(AND(COUNT(AM57,AN57,AO57,AP57)=4,(AM57+AN57+AO57+AP57)&lt;&gt;0),(N(AP200)+N(AP201)+N(AP202)+N(AP205)+N(AP223)+N(AP226))/(AM57+AN57+AO57+AP57),""),"")</f>
        <v>0.744949375201511</v>
      </c>
      <c r="AQ322" s="262">
        <f>IFERROR(IF(AND(COUNT(AM57,AN57,AO57,AP57)=4,(AM57+AN57+AO57+AP57)&lt;&gt;0),(N(AQ200)+N(AQ201)+N(AQ202)+N(AQ205)+N(AQ223)+N(AQ226))/(AM57+AN57+AO57+AP57),""),"")</f>
        <v>0.744949375201511</v>
      </c>
      <c r="AR322" s="262">
        <f>IFERROR(IF(AND(COUNT(AN57,AO57,AP57,AR57)=4,(AN57+AO57+AP57+AR57)&lt;&gt;0),(N(AR200)+N(AR201)+N(AR202)+N(AR205)+N(AR223)+N(AR226))/(AN57+AO57+AP57+AR57),""),"")</f>
        <v>0.688390622019256</v>
      </c>
      <c r="AS322" s="262">
        <f>IFERROR(IF(AND(COUNT(AO57,AP57,AR57,AS57)=4,(AO57+AP57+AR57+AS57)&lt;&gt;0),(N(AS200)+N(AS201)+N(AS202)+N(AS205)+N(AS223)+N(AS226))/(AO57+AP57+AR57+AS57),""),"")</f>
        <v>0.625094142630229</v>
      </c>
      <c r="AT322" s="262">
        <f>IFERROR(IF(AND(COUNT(AP57,AR57,AS57,AT57)=4,(AP57+AR57+AS57+AT57)&lt;&gt;0),(N(AT200)+N(AT201)+N(AT202)+N(AT205)+N(AT223)+N(AT226))/(AP57+AR57+AS57+AT57),""),"")</f>
        <v>0.58000660813029</v>
      </c>
      <c r="AU322" s="262">
        <f>IFERROR(IF(AND(COUNT(AR57,AS57,AT57,AU57)=4,(AR57+AS57+AT57+AU57)&lt;&gt;0),(N(AU200)+N(AU201)+N(AU202)+N(AU205)+N(AU223)+N(AU226))/(AR57+AS57+AT57+AU57),""),"")</f>
        <v>0.538380049011089</v>
      </c>
      <c r="AV322" s="262">
        <f>IFERROR(IF(AND(COUNT(AR57,AS57,AT57,AU57)=4,(AR57+AS57+AT57+AU57)&lt;&gt;0),(N(AV200)+N(AV201)+N(AV202)+N(AV205)+N(AV223)+N(AV226))/(AR57+AS57+AT57+AU57),""),"")</f>
        <v>0.538380049011089</v>
      </c>
      <c r="AW322" s="262">
        <f>IFERROR(IF(AND(COUNT(AS57,AT57,AU57,AW57)=4,(AS57+AT57+AU57+AW57)&lt;&gt;0),(N(AW200)+N(AW201)+N(AW202)+N(AW205)+N(AW223)+N(AW226))/(AS57+AT57+AU57+AW57),""),"")</f>
        <v>0.497997360289973</v>
      </c>
      <c r="AX322" s="262">
        <f>IFERROR(IF(AND(COUNT(AT57,AU57,AW57,AX57)=4,(AT57+AU57+AW57+AX57)&lt;&gt;0),(N(AX200)+N(AX201)+N(AX202)+N(AX205)+N(AX223)+N(AX226))/(AT57+AU57+AW57+AX57),""),"")</f>
        <v>0.452709012904173</v>
      </c>
      <c r="AY322" s="262">
        <f>IFERROR(IF(AND(COUNT(AU57,AW57,AX57,AY57)=4,(AU57+AW57+AX57+AY57)&lt;&gt;0),(N(AY200)+N(AY201)+N(AY202)+N(AY205)+N(AY223)+N(AY226))/(AU57+AW57+AX57+AY57),""),"")</f>
        <v>0.420387743129173</v>
      </c>
      <c r="AZ322" s="262">
        <f>IFERROR(IF(AND(COUNT(AW57,AX57,AY57,AZ57)=4,(AW57+AX57+AY57+AZ57)&lt;&gt;0),(N(AZ200)+N(AZ201)+N(AZ202)+N(AZ205)+N(AZ223)+N(AZ226))/(AW57+AX57+AY57+AZ57),""),"")</f>
        <v>0.390502065594134</v>
      </c>
      <c r="BA322" s="262">
        <f>IFERROR(IF(AND(COUNT(AW57,AX57,AY57,AZ57)=4,(AW57+AX57+AY57+AZ57)&lt;&gt;0),(N(BA200)+N(BA201)+N(BA202)+N(BA205)+N(BA223)+N(BA226))/(AW57+AX57+AY57+AZ57),""),"")</f>
        <v>0.390502065594134</v>
      </c>
      <c r="BB322" s="262">
        <f>IFERROR(IF(AND(COUNT(AX57,AY57,AZ57,BB57)=4,(AX57+AY57+AZ57+BB57)&lt;&gt;0),(N(BB200)+N(BB201)+N(BB202)+N(BB205)+N(BB223)+N(BB226))/(AX57+AY57+AZ57+BB57),""),"")</f>
        <v>0.361569461552286</v>
      </c>
      <c r="BC322" s="262">
        <f>IFERROR(IF(AND(COUNT(AY57,AZ57,BB57,BC57)=4,(AY57+AZ57+BB57+BC57)&lt;&gt;0),(N(BC200)+N(BC201)+N(BC202)+N(BC205)+N(BC223)+N(BC226))/(AY57+AZ57+BB57+BC57),""),"")</f>
        <v>0.329053829792774</v>
      </c>
      <c r="BD322" s="262">
        <f>IFERROR(IF(AND(COUNT(AZ57,BB57,BC57,BD57)=4,(AZ57+BB57+BC57+BD57)&lt;&gt;0),(N(BD200)+N(BD201)+N(BD202)+N(BD205)+N(BD223)+N(BD226))/(AZ57+BB57+BC57+BD57),""),"")</f>
        <v>0.305803861963399</v>
      </c>
      <c r="BE322" s="262">
        <f>IFERROR(IF(AND(COUNT(BB57,BC57,BD57,BE57)=4,(BB57+BC57+BD57+BE57)&lt;&gt;0),(N(BE200)+N(BE201)+N(BE202)+N(BE205)+N(BE223)+N(BE226))/(BB57+BC57+BD57+BE57),""),"")</f>
        <v>0.284272995394009</v>
      </c>
      <c r="BF322" s="262">
        <f>IFERROR(IF(AND(COUNT(BB57,BC57,BD57,BE57)=4,(BB57+BC57+BD57+BE57)&lt;&gt;0),(N(BF200)+N(BF201)+N(BF202)+N(BF205)+N(BF223)+N(BF226))/(BB57+BC57+BD57+BE57),""),"")</f>
        <v>0.284272995394009</v>
      </c>
      <c r="BG322" s="82" t="n"/>
      <c r="BH322" s="82" t="n"/>
      <c r="BI322" s="82" t="n"/>
      <c r="BJ322" s="82" t="n"/>
      <c r="BL322" s="82" t="n"/>
      <c r="BM322" s="82" t="n"/>
      <c r="BN322" s="82" t="n"/>
      <c r="BO322" s="82" t="n"/>
      <c r="BQ322" s="82" t="n"/>
      <c r="BR322" s="82" t="n"/>
      <c r="BS322" s="82" t="n"/>
      <c r="BT322" s="82" t="n"/>
      <c r="BV322" s="82" t="n"/>
      <c r="BW322" s="82" t="n"/>
      <c r="BX322" s="82" t="n"/>
      <c r="BY322" s="82" t="n"/>
      <c r="CA322" s="82" t="n"/>
      <c r="CB322" s="82" t="n"/>
      <c r="CC322" s="82" t="n"/>
      <c r="CD322" s="82" t="n"/>
      <c r="CF322" s="82" t="n"/>
      <c r="CG322" s="82" t="n"/>
      <c r="CH322" s="82" t="n"/>
      <c r="CI322" s="82" t="n"/>
      <c r="CK322" s="82" t="n"/>
      <c r="CL322" s="82" t="n"/>
      <c r="CM322" s="82" t="n"/>
      <c r="CN322" s="82" t="n"/>
      <c r="CP322" s="82" t="n"/>
      <c r="CQ322" s="82" t="n"/>
      <c r="CR322" s="82" t="n"/>
      <c r="CS322" s="82" t="n"/>
      <c r="CU322" s="82" t="n"/>
      <c r="CV322" s="82" t="n"/>
      <c r="CW322" s="82" t="n"/>
      <c r="CX322" s="82" t="n"/>
    </row>
    <row r="323" customFormat="1" s="77">
      <c r="A323" s="76" t="n"/>
      <c r="B323" s="76" t="n"/>
      <c r="C323" s="77" t="inlineStr">
        <is>
          <t>TOTAL DEBT / TOTAL CAPITALIZATION</t>
        </is>
      </c>
      <c r="D323" s="80" t="str">
        <f>IFERROR(SUM(D200+D201+D202+D205+D223+D226)/(SUM(D200+D201+D202+D205+D223+D226)+D259),"")</f>
        <v/>
      </c>
      <c r="E323" s="80" t="str">
        <f>IFERROR(SUM(E200+E201+E202+E205+E223+E226)/(SUM(E200+E201+E202+E205+E223+E226)+E259),"")</f>
        <v/>
      </c>
      <c r="F323" s="80" t="str">
        <f>IFERROR(SUM(F200+F201+F202+F205+F223+F226)/(SUM(F200+F201+F202+F205+F223+F226)+F259),"")</f>
        <v/>
      </c>
      <c r="G323" s="80" t="str">
        <f>IFERROR(SUM(G200+G201+G202+G205+G223+G226)/(SUM(G200+G201+G202+G205+G223+G226)+G259),"")</f>
        <v/>
      </c>
      <c r="H323" s="258" t="str">
        <f>IFERROR(IF(((N(H200)+N(H201)+N(H202)+N(H205)+N(H223)+N(H226))+N(H259))&lt;&gt;0,(N(H200)+N(H201)+N(H202)+N(H205)+N(H223)+N(H226))/((N(H200)+N(H201)+N(H202)+N(H205)+N(H223)+N(H226))+H259),""),"")</f>
        <v/>
      </c>
      <c r="I323" s="258">
        <f>IFERROR(IF(((N(I200)+N(I201)+N(I202)+N(I205)+N(I223)+N(I226))+N(I259))&lt;&gt;0,(N(I200)+N(I201)+N(I202)+N(I205)+N(I223)+N(I226))/((N(I200)+N(I201)+N(I202)+N(I205)+N(I223)+N(I226))+I259),""),"")</f>
        <v>0.627880255884728</v>
      </c>
      <c r="J323" s="258">
        <f>IFERROR(IF(((N(J200)+N(J201)+N(J202)+N(J205)+N(J223)+N(J226))+N(J259))&lt;&gt;0,(N(J200)+N(J201)+N(J202)+N(J205)+N(J223)+N(J226))/((N(J200)+N(J201)+N(J202)+N(J205)+N(J223)+N(J226))+J259),""),"")</f>
        <v>0.624105269653215</v>
      </c>
      <c r="K323" s="258">
        <f>IFERROR(IF(((N(K200)+N(K201)+N(K202)+N(K205)+N(K223)+N(K226))+N(K259))&lt;&gt;0,(N(K200)+N(K201)+N(K202)+N(K205)+N(K223)+N(K226))/((N(K200)+N(K201)+N(K202)+N(K205)+N(K223)+N(K226))+K259),""),"")</f>
        <v>0.613884639750305</v>
      </c>
      <c r="L323" s="258">
        <f>IFERROR(IF(((N(L200)+N(L201)+N(L202)+N(L205)+N(L223)+N(L226))+N(L259))&lt;&gt;0,(N(L200)+N(L201)+N(L202)+N(L205)+N(L223)+N(L226))/((N(L200)+N(L201)+N(L202)+N(L205)+N(L223)+N(L226))+L259),""),"")</f>
        <v>0.632090113441815</v>
      </c>
      <c r="M323" s="258">
        <f>IFERROR(IF(((N(M200)+N(M201)+N(M202)+N(M205)+N(M223)+N(M226))+N(M259))&lt;&gt;0,(N(M200)+N(M201)+N(M202)+N(M205)+N(M223)+N(M226))/((N(M200)+N(M201)+N(M202)+N(M205)+N(M223)+N(M226))+M259),""),"")</f>
        <v>0.632090113441815</v>
      </c>
      <c r="N323" s="258">
        <f>IFERROR(IF(((N(N200)+N(N201)+N(N202)+N(N205)+N(N223)+N(N226))+N(N259))&lt;&gt;0,(N(N200)+N(N201)+N(N202)+N(N205)+N(N223)+N(N226))/((N(N200)+N(N201)+N(N202)+N(N205)+N(N223)+N(N226))+N259),""),"")</f>
        <v>0.652805346036787</v>
      </c>
      <c r="O323" s="258">
        <f>IFERROR(IF(((N(O200)+N(O201)+N(O202)+N(O205)+N(O223)+N(O226))+N(O259))&lt;&gt;0,(N(O200)+N(O201)+N(O202)+N(O205)+N(O223)+N(O226))/((N(O200)+N(O201)+N(O202)+N(O205)+N(O223)+N(O226))+O259),""),"")</f>
        <v>0.653912381204676</v>
      </c>
      <c r="P323" s="258">
        <f>IFERROR(IF(((N(P200)+N(P201)+N(P202)+N(P205)+N(P223)+N(P226))+N(P259))&lt;&gt;0,(N(P200)+N(P201)+N(P202)+N(P205)+N(P223)+N(P226))/((N(P200)+N(P201)+N(P202)+N(P205)+N(P223)+N(P226))+P259),""),"")</f>
        <v>0.635044355875546</v>
      </c>
      <c r="Q323" s="258">
        <f>IFERROR(IF(((N(Q200)+N(Q201)+N(Q202)+N(Q205)+N(Q223)+N(Q226))+N(Q259))&lt;&gt;0,(N(Q200)+N(Q201)+N(Q202)+N(Q205)+N(Q223)+N(Q226))/((N(Q200)+N(Q201)+N(Q202)+N(Q205)+N(Q223)+N(Q226))+Q259),""),"")</f>
        <v>0.627588190184049</v>
      </c>
      <c r="R323" s="258">
        <f>IFERROR(IF(((N(R200)+N(R201)+N(R202)+N(R205)+N(R223)+N(R226))+N(R259))&lt;&gt;0,(N(R200)+N(R201)+N(R202)+N(R205)+N(R223)+N(R226))/((N(R200)+N(R201)+N(R202)+N(R205)+N(R223)+N(R226))+R259),""),"")</f>
        <v>0.627588190184049</v>
      </c>
      <c r="S323" s="258">
        <f>IFERROR(IF(((N(S200)+N(S201)+N(S202)+N(S205)+N(S223)+N(S226))+N(S259))&lt;&gt;0,(N(S200)+N(S201)+N(S202)+N(S205)+N(S223)+N(S226))/((N(S200)+N(S201)+N(S202)+N(S205)+N(S223)+N(S226))+S259),""),"")</f>
        <v>0.641100492514433</v>
      </c>
      <c r="T323" s="258">
        <f>IFERROR(IF(((N(T200)+N(T201)+N(T202)+N(T205)+N(T223)+N(T226))+N(T259))&lt;&gt;0,(N(T200)+N(T201)+N(T202)+N(T205)+N(T223)+N(T226))/((N(T200)+N(T201)+N(T202)+N(T205)+N(T223)+N(T226))+T259),""),"")</f>
        <v>0.640524259198958</v>
      </c>
      <c r="U323" s="258">
        <f>IFERROR(IF(((N(U200)+N(U201)+N(U202)+N(U205)+N(U223)+N(U226))+N(U259))&lt;&gt;0,(N(U200)+N(U201)+N(U202)+N(U205)+N(U223)+N(U226))/((N(U200)+N(U201)+N(U202)+N(U205)+N(U223)+N(U226))+U259),""),"")</f>
        <v>0.620545106537798</v>
      </c>
      <c r="V323" s="258">
        <f>IFERROR(IF(((N(V200)+N(V201)+N(V202)+N(V205)+N(V223)+N(V226))+N(V259))&lt;&gt;0,(N(V200)+N(V201)+N(V202)+N(V205)+N(V223)+N(V226))/((N(V200)+N(V201)+N(V202)+N(V205)+N(V223)+N(V226))+V259),""),"")</f>
        <v>0.519211957451175</v>
      </c>
      <c r="W323" s="258">
        <f>IFERROR(IF(((N(W200)+N(W201)+N(W202)+N(W205)+N(W223)+N(W226))+N(W259))&lt;&gt;0,(N(W200)+N(W201)+N(W202)+N(W205)+N(W223)+N(W226))/((N(W200)+N(W201)+N(W202)+N(W205)+N(W223)+N(W226))+W259),""),"")</f>
        <v>0.519211957451175</v>
      </c>
      <c r="X323" s="258">
        <f>IFERROR(IF(((N(X200)+N(X201)+N(X202)+N(X205)+N(X223)+N(X226))+N(X259))&lt;&gt;0,(N(X200)+N(X201)+N(X202)+N(X205)+N(X223)+N(X226))/((N(X200)+N(X201)+N(X202)+N(X205)+N(X223)+N(X226))+X259),""),"")</f>
        <v>0.514082110337068</v>
      </c>
      <c r="Y323" s="258">
        <f>IFERROR(IF(((N(Y200)+N(Y201)+N(Y202)+N(Y205)+N(Y223)+N(Y226))+N(Y259))&lt;&gt;0,(N(Y200)+N(Y201)+N(Y202)+N(Y205)+N(Y223)+N(Y226))/((N(Y200)+N(Y201)+N(Y202)+N(Y205)+N(Y223)+N(Y226))+Y259),""),"")</f>
        <v>0.515883784381683</v>
      </c>
      <c r="Z323" s="258">
        <f>IFERROR(IF(((N(Z200)+N(Z201)+N(Z202)+N(Z205)+N(Z223)+N(Z226))+N(Z259))&lt;&gt;0,(N(Z200)+N(Z201)+N(Z202)+N(Z205)+N(Z223)+N(Z226))/((N(Z200)+N(Z201)+N(Z202)+N(Z205)+N(Z223)+N(Z226))+Z259),""),"")</f>
        <v>0.499585933571914</v>
      </c>
      <c r="AA323" s="258">
        <f>IFERROR(IF(((N(AA200)+N(AA201)+N(AA202)+N(AA205)+N(AA223)+N(AA226))+N(AA259))&lt;&gt;0,(N(AA200)+N(AA201)+N(AA202)+N(AA205)+N(AA223)+N(AA226))/((N(AA200)+N(AA201)+N(AA202)+N(AA205)+N(AA223)+N(AA226))+AA259),""),"")</f>
        <v>0.488230376627948</v>
      </c>
      <c r="AB323" s="258">
        <f>IFERROR(IF(((N(AB200)+N(AB201)+N(AB202)+N(AB205)+N(AB223)+N(AB226))+N(AB259))&lt;&gt;0,(N(AB200)+N(AB201)+N(AB202)+N(AB205)+N(AB223)+N(AB226))/((N(AB200)+N(AB201)+N(AB202)+N(AB205)+N(AB223)+N(AB226))+AB259),""),"")</f>
        <v>0.488230376627948</v>
      </c>
      <c r="AC323" s="258">
        <f>IFERROR(IF(((N(AC200)+N(AC201)+N(AC202)+N(AC205)+N(AC223)+N(AC226))+N(AC259))&lt;&gt;0,(N(AC200)+N(AC201)+N(AC202)+N(AC205)+N(AC223)+N(AC226))/((N(AC200)+N(AC201)+N(AC202)+N(AC205)+N(AC223)+N(AC226))+AC259),""),"")</f>
        <v>0.491583131192098</v>
      </c>
      <c r="AD323" s="258">
        <f>IFERROR(IF(((N(AD200)+N(AD201)+N(AD202)+N(AD205)+N(AD223)+N(AD226))+N(AD259))&lt;&gt;0,(N(AD200)+N(AD201)+N(AD202)+N(AD205)+N(AD223)+N(AD226))/((N(AD200)+N(AD201)+N(AD202)+N(AD205)+N(AD223)+N(AD226))+AD259),""),"")</f>
        <v>0.467099617471238</v>
      </c>
      <c r="AE323" s="258">
        <f>IFERROR(IF(((N(AE200)+N(AE201)+N(AE202)+N(AE205)+N(AE223)+N(AE226))+N(AE259))&lt;&gt;0,(N(AE200)+N(AE201)+N(AE202)+N(AE205)+N(AE223)+N(AE226))/((N(AE200)+N(AE201)+N(AE202)+N(AE205)+N(AE223)+N(AE226))+AE259),""),"")</f>
        <v>0.44483295544568</v>
      </c>
      <c r="AF323" s="258">
        <f>IFERROR(IF(((N(AF200)+N(AF201)+N(AF202)+N(AF205)+N(AF223)+N(AF226))+N(AF259))&lt;&gt;0,(N(AF200)+N(AF201)+N(AF202)+N(AF205)+N(AF223)+N(AF226))/((N(AF200)+N(AF201)+N(AF202)+N(AF205)+N(AF223)+N(AF226))+AF259),""),"")</f>
        <v>0.452665337253048</v>
      </c>
      <c r="AG323" s="258">
        <f>IFERROR(IF(((N(AG200)+N(AG201)+N(AG202)+N(AG205)+N(AG223)+N(AG226))+N(AG259))&lt;&gt;0,(N(AG200)+N(AG201)+N(AG202)+N(AG205)+N(AG223)+N(AG226))/((N(AG200)+N(AG201)+N(AG202)+N(AG205)+N(AG223)+N(AG226))+AG259),""),"")</f>
        <v>0.452665337253048</v>
      </c>
      <c r="AH323" s="258">
        <f>IFERROR(IF(((N(AH200)+N(AH201)+N(AH202)+N(AH205)+N(AH223)+N(AH226))+N(AH259))&lt;&gt;0,(N(AH200)+N(AH201)+N(AH202)+N(AH205)+N(AH223)+N(AH226))/((N(AH200)+N(AH201)+N(AH202)+N(AH205)+N(AH223)+N(AH226))+AH259),""),"")</f>
        <v>0.425346334814349</v>
      </c>
      <c r="AI323" s="258">
        <f>IFERROR(IF(((N(AI200)+N(AI201)+N(AI202)+N(AI205)+N(AI223)+N(AI226))+N(AI259))&lt;&gt;0,(N(AI200)+N(AI201)+N(AI202)+N(AI205)+N(AI223)+N(AI226))/((N(AI200)+N(AI201)+N(AI202)+N(AI205)+N(AI223)+N(AI226))+AI259),""),"")</f>
        <v>0.373448390725855</v>
      </c>
      <c r="AJ323" s="258">
        <f>IFERROR(IF(((N(AJ200)+N(AJ201)+N(AJ202)+N(AJ205)+N(AJ223)+N(AJ226))+N(AJ259))&lt;&gt;0,(N(AJ200)+N(AJ201)+N(AJ202)+N(AJ205)+N(AJ223)+N(AJ226))/((N(AJ200)+N(AJ201)+N(AJ202)+N(AJ205)+N(AJ223)+N(AJ226))+AJ259),""),"")</f>
        <v>0.350089330185257</v>
      </c>
      <c r="AK323" s="258">
        <f>IFERROR(IF(((N(AK200)+N(AK201)+N(AK202)+N(AK205)+N(AK223)+N(AK226))+N(AK259))&lt;&gt;0,(N(AK200)+N(AK201)+N(AK202)+N(AK205)+N(AK223)+N(AK226))/((N(AK200)+N(AK201)+N(AK202)+N(AK205)+N(AK223)+N(AK226))+AK259),""),"")</f>
        <v>0.328091005779848</v>
      </c>
      <c r="AL323" s="258">
        <f>IFERROR(IF(((N(AL200)+N(AL201)+N(AL202)+N(AL205)+N(AL223)+N(AL226))+N(AL259))&lt;&gt;0,(N(AL200)+N(AL201)+N(AL202)+N(AL205)+N(AL223)+N(AL226))/((N(AL200)+N(AL201)+N(AL202)+N(AL205)+N(AL223)+N(AL226))+AL259),""),"")</f>
        <v>0.328091005779848</v>
      </c>
      <c r="AM323" s="258">
        <f>IFERROR(IF(((N(AM200)+N(AM201)+N(AM202)+N(AM205)+N(AM223)+N(AM226))+N(AM259))&lt;&gt;0,(N(AM200)+N(AM201)+N(AM202)+N(AM205)+N(AM223)+N(AM226))/((N(AM200)+N(AM201)+N(AM202)+N(AM205)+N(AM223)+N(AM226))+AM259),""),"")</f>
        <v>0.305999502611421</v>
      </c>
      <c r="AN323" s="258">
        <f>IFERROR(IF(((N(AN200)+N(AN201)+N(AN202)+N(AN205)+N(AN223)+N(AN226))+N(AN259))&lt;&gt;0,(N(AN200)+N(AN201)+N(AN202)+N(AN205)+N(AN223)+N(AN226))/((N(AN200)+N(AN201)+N(AN202)+N(AN205)+N(AN223)+N(AN226))+AN259),""),"")</f>
        <v>0.280784174285829</v>
      </c>
      <c r="AO323" s="258">
        <f>IFERROR(IF(((N(AO200)+N(AO201)+N(AO202)+N(AO205)+N(AO223)+N(AO226))+N(AO259))&lt;&gt;0,(N(AO200)+N(AO201)+N(AO202)+N(AO205)+N(AO223)+N(AO226))/((N(AO200)+N(AO201)+N(AO202)+N(AO205)+N(AO223)+N(AO226))+AO259),""),"")</f>
        <v>0.262496977019416</v>
      </c>
      <c r="AP323" s="258">
        <f>IFERROR(IF(((N(AP200)+N(AP201)+N(AP202)+N(AP205)+N(AP223)+N(AP226))+N(AP259))&lt;&gt;0,(N(AP200)+N(AP201)+N(AP202)+N(AP205)+N(AP223)+N(AP226))/((N(AP200)+N(AP201)+N(AP202)+N(AP205)+N(AP223)+N(AP226))+AP259),""),"")</f>
        <v>0.245366838011941</v>
      </c>
      <c r="AQ323" s="258">
        <f>IFERROR(IF(((N(AQ200)+N(AQ201)+N(AQ202)+N(AQ205)+N(AQ223)+N(AQ226))+N(AQ259))&lt;&gt;0,(N(AQ200)+N(AQ201)+N(AQ202)+N(AQ205)+N(AQ223)+N(AQ226))/((N(AQ200)+N(AQ201)+N(AQ202)+N(AQ205)+N(AQ223)+N(AQ226))+AQ259),""),"")</f>
        <v>0.245366838011941</v>
      </c>
      <c r="AR323" s="258">
        <f>IFERROR(IF(((N(AR200)+N(AR201)+N(AR202)+N(AR205)+N(AR223)+N(AR226))+N(AR259))&lt;&gt;0,(N(AR200)+N(AR201)+N(AR202)+N(AR205)+N(AR223)+N(AR226))/((N(AR200)+N(AR201)+N(AR202)+N(AR205)+N(AR223)+N(AR226))+AR259),""),"")</f>
        <v>0.228310354480497</v>
      </c>
      <c r="AS323" s="258">
        <f>IFERROR(IF(((N(AS200)+N(AS201)+N(AS202)+N(AS205)+N(AS223)+N(AS226))+N(AS259))&lt;&gt;0,(N(AS200)+N(AS201)+N(AS202)+N(AS205)+N(AS223)+N(AS226))/((N(AS200)+N(AS201)+N(AS202)+N(AS205)+N(AS223)+N(AS226))+AS259),""),"")</f>
        <v>0.208939236142806</v>
      </c>
      <c r="AT323" s="258">
        <f>IFERROR(IF(((N(AT200)+N(AT201)+N(AT202)+N(AT205)+N(AT223)+N(AT226))+N(AT259))&lt;&gt;0,(N(AT200)+N(AT201)+N(AT202)+N(AT205)+N(AT223)+N(AT226))/((N(AT200)+N(AT201)+N(AT202)+N(AT205)+N(AT223)+N(AT226))+AT259),""),"")</f>
        <v>0.194954890294619</v>
      </c>
      <c r="AU323" s="258">
        <f>IFERROR(IF(((N(AU200)+N(AU201)+N(AU202)+N(AU205)+N(AU223)+N(AU226))+N(AU259))&lt;&gt;0,(N(AU200)+N(AU201)+N(AU202)+N(AU205)+N(AU223)+N(AU226))/((N(AU200)+N(AU201)+N(AU202)+N(AU205)+N(AU223)+N(AU226))+AU259),""),"")</f>
        <v>0.181904146899723</v>
      </c>
      <c r="AV323" s="258">
        <f>IFERROR(IF(((N(AV200)+N(AV201)+N(AV202)+N(AV205)+N(AV223)+N(AV226))+N(AV259))&lt;&gt;0,(N(AV200)+N(AV201)+N(AV202)+N(AV205)+N(AV223)+N(AV226))/((N(AV200)+N(AV201)+N(AV202)+N(AV205)+N(AV223)+N(AV226))+AV259),""),"")</f>
        <v>0.181904146899723</v>
      </c>
      <c r="AW323" s="258">
        <f>IFERROR(IF(((N(AW200)+N(AW201)+N(AW202)+N(AW205)+N(AW223)+N(AW226))+N(AW259))&lt;&gt;0,(N(AW200)+N(AW201)+N(AW202)+N(AW205)+N(AW223)+N(AW226))/((N(AW200)+N(AW201)+N(AW202)+N(AW205)+N(AW223)+N(AW226))+AW259),""),"")</f>
        <v>0.168999623104429</v>
      </c>
      <c r="AX323" s="258">
        <f>IFERROR(IF(((N(AX200)+N(AX201)+N(AX202)+N(AX205)+N(AX223)+N(AX226))+N(AX259))&lt;&gt;0,(N(AX200)+N(AX201)+N(AX202)+N(AX205)+N(AX223)+N(AX226))/((N(AX200)+N(AX201)+N(AX202)+N(AX205)+N(AX223)+N(AX226))+AX259),""),"")</f>
        <v>0.154391825474444</v>
      </c>
      <c r="AY323" s="258">
        <f>IFERROR(IF(((N(AY200)+N(AY201)+N(AY202)+N(AY205)+N(AY223)+N(AY226))+N(AY259))&lt;&gt;0,(N(AY200)+N(AY201)+N(AY202)+N(AY205)+N(AY223)+N(AY226))/((N(AY200)+N(AY201)+N(AY202)+N(AY205)+N(AY223)+N(AY226))+AY259),""),"")</f>
        <v>0.143877738911572</v>
      </c>
      <c r="AZ323" s="258">
        <f>IFERROR(IF(((N(AZ200)+N(AZ201)+N(AZ202)+N(AZ205)+N(AZ223)+N(AZ226))+N(AZ259))&lt;&gt;0,(N(AZ200)+N(AZ201)+N(AZ202)+N(AZ205)+N(AZ223)+N(AZ226))/((N(AZ200)+N(AZ201)+N(AZ202)+N(AZ205)+N(AZ223)+N(AZ226))+AZ259),""),"")</f>
        <v>0.134089332930704</v>
      </c>
      <c r="BA323" s="258">
        <f>IFERROR(IF(((N(BA200)+N(BA201)+N(BA202)+N(BA205)+N(BA223)+N(BA226))+N(BA259))&lt;&gt;0,(N(BA200)+N(BA201)+N(BA202)+N(BA205)+N(BA223)+N(BA226))/((N(BA200)+N(BA201)+N(BA202)+N(BA205)+N(BA223)+N(BA226))+BA259),""),"")</f>
        <v>0.134089332930704</v>
      </c>
      <c r="BB323" s="258">
        <f>IFERROR(IF(((N(BB200)+N(BB201)+N(BB202)+N(BB205)+N(BB223)+N(BB226))+N(BB259))&lt;&gt;0,(N(BB200)+N(BB201)+N(BB202)+N(BB205)+N(BB223)+N(BB226))/((N(BB200)+N(BB201)+N(BB202)+N(BB205)+N(BB223)+N(BB226))+BB259),""),"")</f>
        <v>0.124465571583429</v>
      </c>
      <c r="BC323" s="258">
        <f>IFERROR(IF(((N(BC200)+N(BC201)+N(BC202)+N(BC205)+N(BC223)+N(BC226))+N(BC259))&lt;&gt;0,(N(BC200)+N(BC201)+N(BC202)+N(BC205)+N(BC223)+N(BC226))/((N(BC200)+N(BC201)+N(BC202)+N(BC205)+N(BC223)+N(BC226))+BC259),""),"")</f>
        <v>0.113592292445383</v>
      </c>
      <c r="BD323" s="258">
        <f>IFERROR(IF(((N(BD200)+N(BD201)+N(BD202)+N(BD205)+N(BD223)+N(BD226))+N(BD259))&lt;&gt;0,(N(BD200)+N(BD201)+N(BD202)+N(BD205)+N(BD223)+N(BD226))/((N(BD200)+N(BD201)+N(BD202)+N(BD205)+N(BD223)+N(BD226))+BD259),""),"")</f>
        <v>0.105779743594124</v>
      </c>
      <c r="BE323" s="258">
        <f>IFERROR(IF(((N(BE200)+N(BE201)+N(BE202)+N(BE205)+N(BE223)+N(BE226))+N(BE259))&lt;&gt;0,(N(BE200)+N(BE201)+N(BE202)+N(BE205)+N(BE223)+N(BE226))/((N(BE200)+N(BE201)+N(BE202)+N(BE205)+N(BE223)+N(BE226))+BE259),""),"")</f>
        <v>0.0985166130243461</v>
      </c>
      <c r="BF323" s="258">
        <f>IFERROR(IF(((N(BF200)+N(BF201)+N(BF202)+N(BF205)+N(BF223)+N(BF226))+N(BF259))&lt;&gt;0,(N(BF200)+N(BF201)+N(BF202)+N(BF205)+N(BF223)+N(BF226))/((N(BF200)+N(BF201)+N(BF202)+N(BF205)+N(BF223)+N(BF226))+BF259),""),"")</f>
        <v>0.0985166130243461</v>
      </c>
      <c r="BG323" s="80" t="n"/>
      <c r="BH323" s="80" t="n"/>
      <c r="BI323" s="80" t="n"/>
      <c r="BJ323" s="80" t="n"/>
      <c r="BL323" s="80" t="n"/>
      <c r="BM323" s="80" t="n"/>
      <c r="BN323" s="80" t="n"/>
      <c r="BO323" s="80" t="n"/>
      <c r="BQ323" s="80" t="n"/>
      <c r="BR323" s="80" t="n"/>
      <c r="BS323" s="80" t="n"/>
      <c r="BT323" s="80" t="n"/>
      <c r="BV323" s="80" t="n"/>
      <c r="BW323" s="80" t="n"/>
      <c r="BX323" s="80" t="n"/>
      <c r="BY323" s="80" t="n"/>
      <c r="CA323" s="80" t="n"/>
      <c r="CB323" s="80" t="n"/>
      <c r="CC323" s="80" t="n"/>
      <c r="CD323" s="80" t="n"/>
      <c r="CF323" s="80" t="n"/>
      <c r="CG323" s="80" t="n"/>
      <c r="CH323" s="80" t="n"/>
      <c r="CI323" s="80" t="n"/>
      <c r="CK323" s="80" t="n"/>
      <c r="CL323" s="80" t="n"/>
      <c r="CM323" s="80" t="n"/>
      <c r="CN323" s="80" t="n"/>
      <c r="CP323" s="80" t="n"/>
      <c r="CQ323" s="80" t="n"/>
      <c r="CR323" s="80" t="n"/>
      <c r="CS323" s="80" t="n"/>
      <c r="CU323" s="80" t="n"/>
      <c r="CV323" s="80" t="n"/>
      <c r="CW323" s="80" t="n"/>
      <c r="CX323" s="80" t="n"/>
    </row>
    <row r="324" customFormat="1" s="77">
      <c r="A324" s="76" t="n"/>
      <c r="B324" s="76" t="n"/>
      <c r="C324" s="77" t="inlineStr">
        <is>
          <t>NET DEBT / EBITDA (LTM)</t>
        </is>
      </c>
      <c r="D324" s="82" t="str">
        <f>IFERROR(SUM((D200+D201+D202+D205+D223)-D132)/(D57*4),"")</f>
        <v/>
      </c>
      <c r="E324" s="82" t="str">
        <f>IFERROR(SUM((E200+E201+E202+E205+E223)-E132)/(E57*4),"")</f>
        <v/>
      </c>
      <c r="F324" s="82" t="str">
        <f>IFERROR(SUM((F200+F201+F202+F205+F223)-F132)/(F57*4),"")</f>
        <v/>
      </c>
      <c r="G324" s="82" t="str">
        <f>IFERROR(SUM((G200+G201+G202+G205+G223)-G132)/(G57*4),"")</f>
        <v/>
      </c>
      <c r="H324" s="262" t="str">
        <f>IFERROR(IF(AND(COUNT(H57)=1,(H57)&lt;&gt;0),((N(H200)+N(H201)+N(H202)+N(H205)+N(H223)+N(H226))-N(H132))/(H57),""),"")</f>
        <v/>
      </c>
      <c r="I324" s="262" t="str">
        <f>""</f>
        <v/>
      </c>
      <c r="J324" s="262" t="str">
        <f>""</f>
        <v/>
      </c>
      <c r="K324" s="262" t="str">
        <f>""</f>
        <v/>
      </c>
      <c r="L324" s="262">
        <f>IFERROR(IF(AND(COUNT(I57,J57,K57,L57)=4,(I57+J57+K57+L57)&lt;&gt;0),((N(L200)+N(L201)+N(L202)+N(L205)+N(L223)+N(L226))-N(L132))/(I57+J57+K57+L57),""),"")</f>
        <v>1.879114533205</v>
      </c>
      <c r="M324" s="262">
        <f>IFERROR(IF(AND(COUNT(I57,J57,K57,L57)=4,(I57+J57+K57+L57)&lt;&gt;0),((N(M200)+N(M201)+N(M202)+N(M205)+N(M223)+N(M226))-N(M132))/(I57+J57+K57+L57),""),"")</f>
        <v>1.879114533205</v>
      </c>
      <c r="N324" s="262">
        <f>IFERROR(IF(AND(COUNT(J57,K57,L57,N57)=4,(J57+K57+L57+N57)&lt;&gt;0),((N(N200)+N(N201)+N(N202)+N(N205)+N(N223)+N(N226))-N(N132))/(J57+K57+L57+N57),""),"")</f>
        <v>1.81704843712718</v>
      </c>
      <c r="O324" s="262">
        <f>IFERROR(IF(AND(COUNT(K57,L57,N57,O57)=4,(K57+L57+N57+O57)&lt;&gt;0),((N(O200)+N(O201)+N(O202)+N(O205)+N(O223)+N(O226))-N(O132))/(K57+L57+N57+O57),""),"")</f>
        <v>1.63182044336337</v>
      </c>
      <c r="P324" s="262">
        <f>IFERROR(IF(AND(COUNT(L57,N57,O57,P57)=4,(L57+N57+O57+P57)&lt;&gt;0),((N(P200)+N(P201)+N(P202)+N(P205)+N(P223)+N(P226))-N(P132))/(L57+N57+O57+P57),""),"")</f>
        <v>1.41074496329845</v>
      </c>
      <c r="Q324" s="262">
        <f>IFERROR(IF(AND(COUNT(N57,O57,P57,Q57)=4,(N57+O57+P57+Q57)&lt;&gt;0),((N(Q200)+N(Q201)+N(Q202)+N(Q205)+N(Q223)+N(Q226))-N(Q132))/(N57+O57+P57+Q57),""),"")</f>
        <v>1.33515464434307</v>
      </c>
      <c r="R324" s="262">
        <f>IFERROR(IF(AND(COUNT(N57,O57,P57,Q57)=4,(N57+O57+P57+Q57)&lt;&gt;0),((N(R200)+N(R201)+N(R202)+N(R205)+N(R223)+N(R226))-N(R132))/(N57+O57+P57+Q57),""),"")</f>
        <v>1.33515464434307</v>
      </c>
      <c r="S324" s="262">
        <f>IFERROR(IF(AND(COUNT(O57,P57,Q57,S57)=4,(O57+P57+Q57+S57)&lt;&gt;0),((N(S200)+N(S201)+N(S202)+N(S205)+N(S223)+N(S226))-N(S132))/(O57+P57+Q57+S57),""),"")</f>
        <v>1.37157821919162</v>
      </c>
      <c r="T324" s="262">
        <f>IFERROR(IF(AND(COUNT(P57,Q57,S57,T57)=4,(P57+Q57+S57+T57)&lt;&gt;0),((N(T200)+N(T201)+N(T202)+N(T205)+N(T223)+N(T226))-N(T132))/(P57+Q57+S57+T57),""),"")</f>
        <v>1.35940613790355</v>
      </c>
      <c r="U324" s="262">
        <f>IFERROR(IF(AND(COUNT(Q57,S57,T57,U57)=4,(Q57+S57+T57+U57)&lt;&gt;0),((N(U200)+N(U201)+N(U202)+N(U205)+N(U223)+N(U226))-N(U132))/(Q57+S57+T57+U57),""),"")</f>
        <v>1.24937630974953</v>
      </c>
      <c r="V324" s="262">
        <f>IFERROR(IF(AND(COUNT(S57,T57,U57,V57)=4,(S57+T57+U57+V57)&lt;&gt;0),((N(V200)+N(V201)+N(V202)+N(V205)+N(V223)+N(V226))-N(V132))/(S57+T57+U57+V57),""),"")</f>
        <v>3.31197310576674</v>
      </c>
      <c r="W324" s="262">
        <f>IFERROR(IF(AND(COUNT(S57,T57,U57,V57)=4,(S57+T57+U57+V57)&lt;&gt;0),((N(W200)+N(W201)+N(W202)+N(W205)+N(W223)+N(W226))-N(W132))/(S57+T57+U57+V57),""),"")</f>
        <v>3.31197310576674</v>
      </c>
      <c r="X324" s="262">
        <f>IFERROR(IF(AND(COUNT(T57,U57,V57,X57)=4,(T57+U57+V57+X57)&lt;&gt;0),((N(X200)+N(X201)+N(X202)+N(X205)+N(X223)+N(X226))-N(X132))/(T57+U57+V57+X57),""),"")</f>
        <v>3.22924106020218</v>
      </c>
      <c r="Y324" s="262">
        <f>IFERROR(IF(AND(COUNT(U57,V57,X57,Y57)=4,(U57+V57+X57+Y57)&lt;&gt;0),((N(Y200)+N(Y201)+N(Y202)+N(Y205)+N(Y223)+N(Y226))-N(Y132))/(U57+V57+X57+Y57),""),"")</f>
        <v>2.80314850282618</v>
      </c>
      <c r="Z324" s="262">
        <f>IFERROR(IF(AND(COUNT(V57,X57,Y57,Z57)=4,(V57+X57+Y57+Z57)&lt;&gt;0),((N(Z200)+N(Z201)+N(Z202)+N(Z205)+N(Z223)+N(Z226))-N(Z132))/(V57+X57+Y57+Z57),""),"")</f>
        <v>2.48021130660759</v>
      </c>
      <c r="AA324" s="262">
        <f>IFERROR(IF(AND(COUNT(X57,Y57,Z57,AA57)=4,(X57+Y57+Z57+AA57)&lt;&gt;0),((N(AA200)+N(AA201)+N(AA202)+N(AA205)+N(AA223)+N(AA226))-N(AA132))/(X57+Y57+Z57+AA57),""),"")</f>
        <v>2.0842097601805</v>
      </c>
      <c r="AB324" s="262">
        <f>IFERROR(IF(AND(COUNT(X57,Y57,Z57,AA57)=4,(X57+Y57+Z57+AA57)&lt;&gt;0),((N(AB200)+N(AB201)+N(AB202)+N(AB205)+N(AB223)+N(AB226))-N(AB132))/(X57+Y57+Z57+AA57),""),"")</f>
        <v>2.0842097601805</v>
      </c>
      <c r="AC324" s="262">
        <f>IFERROR(IF(AND(COUNT(Y57,Z57,AA57,AC57)=4,(Y57+Z57+AA57+AC57)&lt;&gt;0),((N(AC200)+N(AC201)+N(AC202)+N(AC205)+N(AC223)+N(AC226))-N(AC132))/(Y57+Z57+AA57+AC57),""),"")</f>
        <v>1.93060379374833</v>
      </c>
      <c r="AD324" s="262">
        <f>IFERROR(IF(AND(COUNT(Z57,AA57,AC57,AD57)=4,(Z57+AA57+AC57+AD57)&lt;&gt;0),((N(AD200)+N(AD201)+N(AD202)+N(AD205)+N(AD223)+N(AD226))-N(AD132))/(Z57+AA57+AC57+AD57),""),"")</f>
        <v>1.68873670590463</v>
      </c>
      <c r="AE324" s="262">
        <f>IFERROR(IF(AND(COUNT(AA57,AC57,AD57,AE57)=4,(AA57+AC57+AD57+AE57)&lt;&gt;0),((N(AE200)+N(AE201)+N(AE202)+N(AE205)+N(AE223)+N(AE226))-N(AE132))/(AA57+AC57+AD57+AE57),""),"")</f>
        <v>1.4319391634981</v>
      </c>
      <c r="AF324" s="262">
        <f>IFERROR(IF(AND(COUNT(AB57,AD57,AE57,AF57)=4,(AB57+AD57+AE57+AF57)&lt;&gt;0),((N(AF200)+N(AF201)+N(AF202)+N(AF205)+N(AF223)+N(AF226))-N(AF132))/(AB57+AD57+AE57+AF57),""),"")</f>
        <v>0.926631065706989</v>
      </c>
      <c r="AG324" s="262">
        <f>IFERROR(IF(AND(COUNT(AC57,AD57,AE57,AF57)=4,(AC57+AD57+AE57+AF57)&lt;&gt;0),((N(AG200)+N(AG201)+N(AG202)+N(AG205)+N(AG223)+N(AG226))-N(AG132))/(AC57+AD57+AE57+AF57),""),"")</f>
        <v>1.42254332090371</v>
      </c>
      <c r="AH324" s="262">
        <f>IFERROR(IF(AND(COUNT(AD57,AF57,AG57,AH57)=4,(AD57+AF57+AG57+AH57)&lt;&gt;0),((N(AH200)+N(AH201)+N(AH202)+N(AH205)+N(AH223)+N(AH226))-N(AH132))/(AD57+AF57+AG57+AH57),""),"")</f>
        <v>0.664294831355174</v>
      </c>
      <c r="AI324" s="262">
        <f>IFERROR(IF(AND(COUNT(AE57,AG57,AH57,AI57)=4,(AE57+AG57+AH57+AI57)&lt;&gt;0),((N(AI200)+N(AI201)+N(AI202)+N(AI205)+N(AI223)+N(AI226))-N(AI132))/(AE57+AG57+AH57+AI57),""),"")</f>
        <v>0.458744806699196</v>
      </c>
      <c r="AJ324" s="262">
        <f>IFERROR(IF(AND(COUNT(AF57,AH57,AI57,AJ57)=4,(AF57+AH57+AI57+AJ57)&lt;&gt;0),((N(AJ200)+N(AJ201)+N(AJ202)+N(AJ205)+N(AJ223)+N(AJ226))-N(AJ132))/(AF57+AH57+AI57+AJ57),""),"")</f>
        <v>0.391248412541201</v>
      </c>
      <c r="AK324" s="262">
        <f>IFERROR(IF(AND(COUNT(AH57,AI57,AJ57,AK57)=4,(AH57+AI57+AJ57+AK57)&lt;&gt;0),((N(AK200)+N(AK201)+N(AK202)+N(AK205)+N(AK223)+N(AK226))-N(AK132))/(AH57+AI57+AJ57+AK57),""),"")</f>
        <v>0.174304083225121</v>
      </c>
      <c r="AL324" s="262">
        <f>IFERROR(IF(AND(COUNT(AH57,AI57,AJ57,AK57)=4,(AH57+AI57+AJ57+AK57)&lt;&gt;0),((N(AL200)+N(AL201)+N(AL202)+N(AL205)+N(AL223)+N(AL226))-N(AL132))/(AH57+AI57+AJ57+AK57),""),"")</f>
        <v>0.174304083225121</v>
      </c>
      <c r="AM324" s="262">
        <f>IFERROR(IF(AND(COUNT(AI57,AJ57,AK57,AM57)=4,(AI57+AJ57+AK57+AM57)&lt;&gt;0),((N(AM200)+N(AM201)+N(AM202)+N(AM205)+N(AM223)+N(AM226))-N(AM132))/(AI57+AJ57+AK57+AM57),""),"")</f>
        <v>-0.0247656613040845</v>
      </c>
      <c r="AN324" s="262">
        <f>IFERROR(IF(AND(COUNT(AJ57,AK57,AM57,AN57)=4,(AJ57+AK57+AM57+AN57)&lt;&gt;0),((N(AN200)+N(AN201)+N(AN202)+N(AN205)+N(AN223)+N(AN226))-N(AN132))/(AJ57+AK57+AM57+AN57),""),"")</f>
        <v>-0.231310997241587</v>
      </c>
      <c r="AO324" s="262">
        <f>IFERROR(IF(AND(COUNT(AK57,AM57,AN57,AO57)=4,(AK57+AM57+AN57+AO57)&lt;&gt;0),((N(AO200)+N(AO201)+N(AO202)+N(AO205)+N(AO223)+N(AO226))-N(AO132))/(AK57+AM57+AN57+AO57),""),"")</f>
        <v>-0.486330314229188</v>
      </c>
      <c r="AP324" s="262">
        <f>IFERROR(IF(AND(COUNT(AM57,AN57,AO57,AP57)=4,(AM57+AN57+AO57+AP57)&lt;&gt;0),((N(AP200)+N(AP201)+N(AP202)+N(AP205)+N(AP223)+N(AP226))-N(AP132))/(AM57+AN57+AO57+AP57),""),"")</f>
        <v>-0.672387732132728</v>
      </c>
      <c r="AQ324" s="262">
        <f>IFERROR(IF(AND(COUNT(AM57,AN57,AO57,AP57)=4,(AM57+AN57+AO57+AP57)&lt;&gt;0),((N(AQ200)+N(AQ201)+N(AQ202)+N(AQ205)+N(AQ223)+N(AQ226))-N(AQ132))/(AM57+AN57+AO57+AP57),""),"")</f>
        <v>-0.672387732132728</v>
      </c>
      <c r="AR324" s="262">
        <f>IFERROR(IF(AND(COUNT(AN57,AO57,AP57,AR57)=4,(AN57+AO57+AP57+AR57)&lt;&gt;0),((N(AR200)+N(AR201)+N(AR202)+N(AR205)+N(AR223)+N(AR226))-N(AR132))/(AN57+AO57+AP57+AR57),""),"")</f>
        <v>-0.84702433893693</v>
      </c>
      <c r="AS324" s="262">
        <f>IFERROR(IF(AND(COUNT(AO57,AP57,AR57,AS57)=4,(AO57+AP57+AR57+AS57)&lt;&gt;0),((N(AS200)+N(AS201)+N(AS202)+N(AS205)+N(AS223)+N(AS226))-N(AS132))/(AO57+AP57+AR57+AS57),""),"")</f>
        <v>-1.01218786266696</v>
      </c>
      <c r="AT324" s="262">
        <f>IFERROR(IF(AND(COUNT(AP57,AR57,AS57,AT57)=4,(AP57+AR57+AS57+AT57)&lt;&gt;0),((N(AT200)+N(AT201)+N(AT202)+N(AT205)+N(AT223)+N(AT226))-N(AT132))/(AP57+AR57+AS57+AT57),""),"")</f>
        <v>-1.258900111913</v>
      </c>
      <c r="AU324" s="262">
        <f>IFERROR(IF(AND(COUNT(AR57,AS57,AT57,AU57)=4,(AR57+AS57+AT57+AU57)&lt;&gt;0),((N(AU200)+N(AU201)+N(AU202)+N(AU205)+N(AU223)+N(AU226))-N(AU132))/(AR57+AS57+AT57+AU57),""),"")</f>
        <v>-1.45141056264967</v>
      </c>
      <c r="AV324" s="262">
        <f>IFERROR(IF(AND(COUNT(AR57,AS57,AT57,AU57)=4,(AR57+AS57+AT57+AU57)&lt;&gt;0),((N(AV200)+N(AV201)+N(AV202)+N(AV205)+N(AV223)+N(AV226))-N(AV132))/(AR57+AS57+AT57+AU57),""),"")</f>
        <v>-1.45141056264967</v>
      </c>
      <c r="AW324" s="262">
        <f>IFERROR(IF(AND(COUNT(AS57,AT57,AU57,AW57)=4,(AS57+AT57+AU57+AW57)&lt;&gt;0),((N(AW200)+N(AW201)+N(AW202)+N(AW205)+N(AW223)+N(AW226))-N(AW132))/(AS57+AT57+AU57+AW57),""),"")</f>
        <v>-1.6435420325443</v>
      </c>
      <c r="AX324" s="262">
        <f>IFERROR(IF(AND(COUNT(AT57,AU57,AW57,AX57)=4,(AT57+AU57+AW57+AX57)&lt;&gt;0),((N(AX200)+N(AX201)+N(AX202)+N(AX205)+N(AX223)+N(AX226))-N(AX132))/(AT57+AU57+AW57+AX57),""),"")</f>
        <v>-1.83637102800198</v>
      </c>
      <c r="AY324" s="262">
        <f>IFERROR(IF(AND(COUNT(AU57,AW57,AX57,AY57)=4,(AU57+AW57+AX57+AY57)&lt;&gt;0),((N(AY200)+N(AY201)+N(AY202)+N(AY205)+N(AY223)+N(AY226))-N(AY132))/(AU57+AW57+AX57+AY57),""),"")</f>
        <v>-2.14898048323147</v>
      </c>
      <c r="AZ324" s="262">
        <f>IFERROR(IF(AND(COUNT(AW57,AX57,AY57,AZ57)=4,(AW57+AX57+AY57+AZ57)&lt;&gt;0),((N(AZ200)+N(AZ201)+N(AZ202)+N(AZ205)+N(AZ223)+N(AZ226))-N(AZ132))/(AW57+AX57+AY57+AZ57),""),"")</f>
        <v>-2.43780796713083</v>
      </c>
      <c r="BA324" s="262">
        <f>IFERROR(IF(AND(COUNT(AW57,AX57,AY57,AZ57)=4,(AW57+AX57+AY57+AZ57)&lt;&gt;0),((N(BA200)+N(BA201)+N(BA202)+N(BA205)+N(BA223)+N(BA226))-N(BA132))/(AW57+AX57+AY57+AZ57),""),"")</f>
        <v>-2.43780796713083</v>
      </c>
      <c r="BB324" s="262">
        <f>IFERROR(IF(AND(COUNT(AX57,AY57,AZ57,BB57)=4,(AX57+AY57+AZ57+BB57)&lt;&gt;0),((N(BB200)+N(BB201)+N(BB202)+N(BB205)+N(BB223)+N(BB226))-N(BB132))/(AX57+AY57+AZ57+BB57),""),"")</f>
        <v>-2.75807109987098</v>
      </c>
      <c r="BC324" s="262">
        <f>IFERROR(IF(AND(COUNT(AY57,AZ57,BB57,BC57)=4,(AY57+AZ57+BB57+BC57)&lt;&gt;0),((N(BC200)+N(BC201)+N(BC202)+N(BC205)+N(BC223)+N(BC226))-N(BC132))/(AY57+AZ57+BB57+BC57),""),"")</f>
        <v>-3.10119804830182</v>
      </c>
      <c r="BD324" s="262">
        <f>IFERROR(IF(AND(COUNT(AZ57,BB57,BC57,BD57)=4,(AZ57+BB57+BC57+BD57)&lt;&gt;0),((N(BD200)+N(BD201)+N(BD202)+N(BD205)+N(BD223)+N(BD226))-N(BD132))/(AZ57+BB57+BC57+BD57),""),"")</f>
        <v>-3.64311130330108</v>
      </c>
      <c r="BE324" s="262">
        <f>IFERROR(IF(AND(COUNT(BB57,BC57,BD57,BE57)=4,(BB57+BC57+BD57+BE57)&lt;&gt;0),((N(BE200)+N(BE201)+N(BE202)+N(BE205)+N(BE223)+N(BE226))-N(BE132))/(BB57+BC57+BD57+BE57),""),"")</f>
        <v>-4.23289344344691</v>
      </c>
      <c r="BF324" s="262">
        <f>IFERROR(IF(AND(COUNT(BB57,BC57,BD57,BE57)=4,(BB57+BC57+BD57+BE57)&lt;&gt;0),((N(BF200)+N(BF201)+N(BF202)+N(BF205)+N(BF223)+N(BF226))-N(BF132))/(BB57+BC57+BD57+BE57),""),"")</f>
        <v>-4.23289344344691</v>
      </c>
      <c r="BG324" s="82" t="n"/>
      <c r="BH324" s="82" t="n"/>
      <c r="BI324" s="82" t="n"/>
      <c r="BJ324" s="82" t="n"/>
      <c r="BL324" s="82" t="n"/>
      <c r="BM324" s="82" t="n"/>
      <c r="BN324" s="82" t="n"/>
      <c r="BO324" s="82" t="n"/>
      <c r="BQ324" s="82" t="n"/>
      <c r="BR324" s="82" t="n"/>
      <c r="BS324" s="82" t="n"/>
      <c r="BT324" s="82" t="n"/>
      <c r="BV324" s="82" t="n"/>
      <c r="BW324" s="82" t="n"/>
      <c r="BX324" s="82" t="n"/>
      <c r="BY324" s="82" t="n"/>
      <c r="CA324" s="82" t="n"/>
      <c r="CB324" s="82" t="n"/>
      <c r="CC324" s="82" t="n"/>
      <c r="CD324" s="82" t="n"/>
      <c r="CF324" s="82" t="n"/>
      <c r="CG324" s="82" t="n"/>
      <c r="CH324" s="82" t="n"/>
      <c r="CI324" s="82" t="n"/>
      <c r="CK324" s="82" t="n"/>
      <c r="CL324" s="82" t="n"/>
      <c r="CM324" s="82" t="n"/>
      <c r="CN324" s="82" t="n"/>
      <c r="CP324" s="82" t="n"/>
      <c r="CQ324" s="82" t="n"/>
      <c r="CR324" s="82" t="n"/>
      <c r="CS324" s="82" t="n"/>
      <c r="CU324" s="82" t="n"/>
      <c r="CV324" s="82" t="n"/>
      <c r="CW324" s="82" t="n"/>
      <c r="CX324" s="82" t="n"/>
    </row>
    <row r="325" customFormat="1" s="77">
      <c r="A325" s="76" t="n"/>
      <c r="B325" s="76" t="n"/>
      <c r="C325" s="83" t="inlineStr">
        <is>
          <t>NET DEBT (EX IFRS 16.) / EBITDA (LTM)</t>
        </is>
      </c>
      <c r="D325" s="82" t="str">
        <f>IFERROR(SUM((D200+D201+D205)-D132)/(D57*4),"")</f>
        <v/>
      </c>
      <c r="E325" s="82" t="str">
        <f>IFERROR(SUM((E200+E201+E205)-E132)/(E57*4),"")</f>
        <v/>
      </c>
      <c r="F325" s="82" t="str">
        <f>IFERROR(SUM((F200+F201+F205)-F132)/(F57*4),"")</f>
        <v/>
      </c>
      <c r="G325" s="82" t="str">
        <f>IFERROR(SUM((G200+G201+G205)-G132)/(G57*4),"")</f>
        <v/>
      </c>
      <c r="H325" s="262" t="str">
        <f>IFERROR(IF(AND(COUNT(H57)=1,(H57)&lt;&gt;0),((N(H200)+N(H201)+N(H205)+N(H226))-N(H132))/(H57),""),"")</f>
        <v/>
      </c>
      <c r="I325" s="262" t="str">
        <f>""</f>
        <v/>
      </c>
      <c r="J325" s="262" t="str">
        <f>""</f>
        <v/>
      </c>
      <c r="K325" s="262" t="str">
        <f>""</f>
        <v/>
      </c>
      <c r="L325" s="262">
        <f>IFERROR(IF(AND(COUNT(I57,J57,K57,L57)=4,(I57+J57+K57+L57)&lt;&gt;0),((N(L200)+N(L201)+N(L205)+N(L226))-N(L132))/(I57+J57+K57+L57),""),"")</f>
        <v>1.879114533205</v>
      </c>
      <c r="M325" s="262">
        <f>IFERROR(IF(AND(COUNT(I57,J57,K57,L57)=4,(I57+J57+K57+L57)&lt;&gt;0),((N(M200)+N(M201)+N(M205)+N(M226))-N(M132))/(I57+J57+K57+L57),""),"")</f>
        <v>1.879114533205</v>
      </c>
      <c r="N325" s="262">
        <f>IFERROR(IF(AND(COUNT(J57,K57,L57,N57)=4,(J57+K57+L57+N57)&lt;&gt;0),((N(N200)+N(N201)+N(N205)+N(N226))-N(N132))/(J57+K57+L57+N57),""),"")</f>
        <v>1.81704843712718</v>
      </c>
      <c r="O325" s="262">
        <f>IFERROR(IF(AND(COUNT(K57,L57,N57,O57)=4,(K57+L57+N57+O57)&lt;&gt;0),((N(O200)+N(O201)+N(O205)+N(O226))-N(O132))/(K57+L57+N57+O57),""),"")</f>
        <v>1.63182044336337</v>
      </c>
      <c r="P325" s="262">
        <f>IFERROR(IF(AND(COUNT(L57,N57,O57,P57)=4,(L57+N57+O57+P57)&lt;&gt;0),((N(P200)+N(P201)+N(P205)+N(P226))-N(P132))/(L57+N57+O57+P57),""),"")</f>
        <v>1.41074496329845</v>
      </c>
      <c r="Q325" s="262">
        <f>IFERROR(IF(AND(COUNT(N57,O57,P57,Q57)=4,(N57+O57+P57+Q57)&lt;&gt;0),((N(Q200)+N(Q201)+N(Q205)+N(Q226))-N(Q132))/(N57+O57+P57+Q57),""),"")</f>
        <v>1.33515464434307</v>
      </c>
      <c r="R325" s="262">
        <f>IFERROR(IF(AND(COUNT(N57,O57,P57,Q57)=4,(N57+O57+P57+Q57)&lt;&gt;0),((N(R200)+N(R201)+N(R205)+N(R226))-N(R132))/(N57+O57+P57+Q57),""),"")</f>
        <v>1.33515464434307</v>
      </c>
      <c r="S325" s="262">
        <f>IFERROR(IF(AND(COUNT(O57,P57,Q57,S57)=4,(O57+P57+Q57+S57)&lt;&gt;0),((N(S200)+N(S201)+N(S205)+N(S226))-N(S132))/(O57+P57+Q57+S57),""),"")</f>
        <v>1.37157821919162</v>
      </c>
      <c r="T325" s="262">
        <f>IFERROR(IF(AND(COUNT(P57,Q57,S57,T57)=4,(P57+Q57+S57+T57)&lt;&gt;0),((N(T200)+N(T201)+N(T205)+N(T226))-N(T132))/(P57+Q57+S57+T57),""),"")</f>
        <v>1.35940613790355</v>
      </c>
      <c r="U325" s="262">
        <f>IFERROR(IF(AND(COUNT(Q57,S57,T57,U57)=4,(Q57+S57+T57+U57)&lt;&gt;0),((N(U200)+N(U201)+N(U205)+N(U226))-N(U132))/(Q57+S57+T57+U57),""),"")</f>
        <v>1.24937630974953</v>
      </c>
      <c r="V325" s="262">
        <f>IFERROR(IF(AND(COUNT(S57,T57,U57,V57)=4,(S57+T57+U57+V57)&lt;&gt;0),((N(V200)+N(V201)+N(V205)+N(V226))-N(V132))/(S57+T57+U57+V57),""),"")</f>
        <v>3.31197310576674</v>
      </c>
      <c r="W325" s="262">
        <f>IFERROR(IF(AND(COUNT(S57,T57,U57,V57)=4,(S57+T57+U57+V57)&lt;&gt;0),((N(W200)+N(W201)+N(W205)+N(W226))-N(W132))/(S57+T57+U57+V57),""),"")</f>
        <v>3.31197310576674</v>
      </c>
      <c r="X325" s="262">
        <f>IFERROR(IF(AND(COUNT(T57,U57,V57,X57)=4,(T57+U57+V57+X57)&lt;&gt;0),((N(X200)+N(X201)+N(X205)+N(X226))-N(X132))/(T57+U57+V57+X57),""),"")</f>
        <v>3.22924106020218</v>
      </c>
      <c r="Y325" s="262">
        <f>IFERROR(IF(AND(COUNT(U57,V57,X57,Y57)=4,(U57+V57+X57+Y57)&lt;&gt;0),((N(Y200)+N(Y201)+N(Y205)+N(Y226))-N(Y132))/(U57+V57+X57+Y57),""),"")</f>
        <v>2.80314850282618</v>
      </c>
      <c r="Z325" s="262">
        <f>IFERROR(IF(AND(COUNT(V57,X57,Y57,Z57)=4,(V57+X57+Y57+Z57)&lt;&gt;0),((N(Z200)+N(Z201)+N(Z205)+N(Z226))-N(Z132))/(V57+X57+Y57+Z57),""),"")</f>
        <v>2.48021130660759</v>
      </c>
      <c r="AA325" s="262">
        <f>IFERROR(IF(AND(COUNT(X57,Y57,Z57,AA57)=4,(X57+Y57+Z57+AA57)&lt;&gt;0),((N(AA200)+N(AA201)+N(AA205)+N(AA226))-N(AA132))/(X57+Y57+Z57+AA57),""),"")</f>
        <v>2.0842097601805</v>
      </c>
      <c r="AB325" s="262">
        <f>IFERROR(IF(AND(COUNT(X57,Y57,Z57,AA57)=4,(X57+Y57+Z57+AA57)&lt;&gt;0),((N(AB200)+N(AB201)+N(AB205)+N(AB226))-N(AB132))/(X57+Y57+Z57+AA57),""),"")</f>
        <v>2.0842097601805</v>
      </c>
      <c r="AC325" s="262">
        <f>IFERROR(IF(AND(COUNT(Y57,Z57,AA57,AC57)=4,(Y57+Z57+AA57+AC57)&lt;&gt;0),((N(AC200)+N(AC201)+N(AC205)+N(AC226))-N(AC132))/(Y57+Z57+AA57+AC57),""),"")</f>
        <v>1.93060379374833</v>
      </c>
      <c r="AD325" s="262">
        <f>IFERROR(IF(AND(COUNT(Z57,AA57,AC57,AD57)=4,(Z57+AA57+AC57+AD57)&lt;&gt;0),((N(AD200)+N(AD201)+N(AD205)+N(AD226))-N(AD132))/(Z57+AA57+AC57+AD57),""),"")</f>
        <v>1.68873670590463</v>
      </c>
      <c r="AE325" s="262">
        <f>IFERROR(IF(AND(COUNT(AA57,AC57,AD57,AE57)=4,(AA57+AC57+AD57+AE57)&lt;&gt;0),((N(AE200)+N(AE201)+N(AE205)+N(AE226))-N(AE132))/(AA57+AC57+AD57+AE57),""),"")</f>
        <v>1.4319391634981</v>
      </c>
      <c r="AF325" s="262">
        <f>IFERROR(IF(AND(COUNT(AB57,AD57,AE57,AF57)=4,(AB57+AD57+AE57+AF57)&lt;&gt;0),((N(AF200)+N(AF201)+N(AF205)+N(AF226))-N(AF132))/(AB57+AD57+AE57+AF57),""),"")</f>
        <v>0.926631065706989</v>
      </c>
      <c r="AG325" s="262">
        <f>IFERROR(IF(AND(COUNT(AC57,AD57,AE57,AF57)=4,(AC57+AD57+AE57+AF57)&lt;&gt;0),((N(AG200)+N(AG201)+N(AG205)+N(AG226))-N(AG132))/(AC57+AD57+AE57+AF57),""),"")</f>
        <v>1.42254332090371</v>
      </c>
      <c r="AH325" s="262">
        <f>IFERROR(IF(AND(COUNT(AD57,AF57,AG57,AH57)=4,(AD57+AF57+AG57+AH57)&lt;&gt;0),((N(AH200)+N(AH201)+N(AH205)+N(AH226))-N(AH132))/(AD57+AF57+AG57+AH57),""),"")</f>
        <v>0.664294831355174</v>
      </c>
      <c r="AI325" s="262">
        <f>IFERROR(IF(AND(COUNT(AE57,AG57,AH57,AI57)=4,(AE57+AG57+AH57+AI57)&lt;&gt;0),((N(AI200)+N(AI201)+N(AI205)+N(AI226))-N(AI132))/(AE57+AG57+AH57+AI57),""),"")</f>
        <v>0.458744806699196</v>
      </c>
      <c r="AJ325" s="262">
        <f>IFERROR(IF(AND(COUNT(AF57,AH57,AI57,AJ57)=4,(AF57+AH57+AI57+AJ57)&lt;&gt;0),((N(AJ200)+N(AJ201)+N(AJ205)+N(AJ226))-N(AJ132))/(AF57+AH57+AI57+AJ57),""),"")</f>
        <v>0.391248412541201</v>
      </c>
      <c r="AK325" s="262">
        <f>IFERROR(IF(AND(COUNT(AH57,AI57,AJ57,AK57)=4,(AH57+AI57+AJ57+AK57)&lt;&gt;0),((N(AK200)+N(AK201)+N(AK205)+N(AK226))-N(AK132))/(AH57+AI57+AJ57+AK57),""),"")</f>
        <v>0.174304083225121</v>
      </c>
      <c r="AL325" s="262">
        <f>IFERROR(IF(AND(COUNT(AH57,AI57,AJ57,AK57)=4,(AH57+AI57+AJ57+AK57)&lt;&gt;0),((N(AL200)+N(AL201)+N(AL205)+N(AL226))-N(AL132))/(AH57+AI57+AJ57+AK57),""),"")</f>
        <v>0.174304083225121</v>
      </c>
      <c r="AM325" s="262">
        <f>IFERROR(IF(AND(COUNT(AI57,AJ57,AK57,AM57)=4,(AI57+AJ57+AK57+AM57)&lt;&gt;0),((N(AM200)+N(AM201)+N(AM205)+N(AM226))-N(AM132))/(AI57+AJ57+AK57+AM57),""),"")</f>
        <v>-0.0247656613040845</v>
      </c>
      <c r="AN325" s="262">
        <f>IFERROR(IF(AND(COUNT(AJ57,AK57,AM57,AN57)=4,(AJ57+AK57+AM57+AN57)&lt;&gt;0),((N(AN200)+N(AN201)+N(AN205)+N(AN226))-N(AN132))/(AJ57+AK57+AM57+AN57),""),"")</f>
        <v>-0.231310997241587</v>
      </c>
      <c r="AO325" s="262">
        <f>IFERROR(IF(AND(COUNT(AK57,AM57,AN57,AO57)=4,(AK57+AM57+AN57+AO57)&lt;&gt;0),((N(AO200)+N(AO201)+N(AO205)+N(AO226))-N(AO132))/(AK57+AM57+AN57+AO57),""),"")</f>
        <v>-0.486330314229188</v>
      </c>
      <c r="AP325" s="262">
        <f>IFERROR(IF(AND(COUNT(AM57,AN57,AO57,AP57)=4,(AM57+AN57+AO57+AP57)&lt;&gt;0),((N(AP200)+N(AP201)+N(AP205)+N(AP226))-N(AP132))/(AM57+AN57+AO57+AP57),""),"")</f>
        <v>-0.672387732132728</v>
      </c>
      <c r="AQ325" s="262">
        <f>IFERROR(IF(AND(COUNT(AM57,AN57,AO57,AP57)=4,(AM57+AN57+AO57+AP57)&lt;&gt;0),((N(AQ200)+N(AQ201)+N(AQ205)+N(AQ226))-N(AQ132))/(AM57+AN57+AO57+AP57),""),"")</f>
        <v>-0.672387732132728</v>
      </c>
      <c r="AR325" s="262">
        <f>IFERROR(IF(AND(COUNT(AN57,AO57,AP57,AR57)=4,(AN57+AO57+AP57+AR57)&lt;&gt;0),((N(AR200)+N(AR201)+N(AR205)+N(AR226))-N(AR132))/(AN57+AO57+AP57+AR57),""),"")</f>
        <v>-0.84702433893693</v>
      </c>
      <c r="AS325" s="262">
        <f>IFERROR(IF(AND(COUNT(AO57,AP57,AR57,AS57)=4,(AO57+AP57+AR57+AS57)&lt;&gt;0),((N(AS200)+N(AS201)+N(AS205)+N(AS226))-N(AS132))/(AO57+AP57+AR57+AS57),""),"")</f>
        <v>-1.01218786266696</v>
      </c>
      <c r="AT325" s="262">
        <f>IFERROR(IF(AND(COUNT(AP57,AR57,AS57,AT57)=4,(AP57+AR57+AS57+AT57)&lt;&gt;0),((N(AT200)+N(AT201)+N(AT205)+N(AT226))-N(AT132))/(AP57+AR57+AS57+AT57),""),"")</f>
        <v>-1.258900111913</v>
      </c>
      <c r="AU325" s="262">
        <f>IFERROR(IF(AND(COUNT(AR57,AS57,AT57,AU57)=4,(AR57+AS57+AT57+AU57)&lt;&gt;0),((N(AU200)+N(AU201)+N(AU205)+N(AU226))-N(AU132))/(AR57+AS57+AT57+AU57),""),"")</f>
        <v>-1.45141056264967</v>
      </c>
      <c r="AV325" s="262">
        <f>IFERROR(IF(AND(COUNT(AR57,AS57,AT57,AU57)=4,(AR57+AS57+AT57+AU57)&lt;&gt;0),((N(AV200)+N(AV201)+N(AV205)+N(AV226))-N(AV132))/(AR57+AS57+AT57+AU57),""),"")</f>
        <v>-1.45141056264967</v>
      </c>
      <c r="AW325" s="262">
        <f>IFERROR(IF(AND(COUNT(AS57,AT57,AU57,AW57)=4,(AS57+AT57+AU57+AW57)&lt;&gt;0),((N(AW200)+N(AW201)+N(AW205)+N(AW226))-N(AW132))/(AS57+AT57+AU57+AW57),""),"")</f>
        <v>-1.6435420325443</v>
      </c>
      <c r="AX325" s="262">
        <f>IFERROR(IF(AND(COUNT(AT57,AU57,AW57,AX57)=4,(AT57+AU57+AW57+AX57)&lt;&gt;0),((N(AX200)+N(AX201)+N(AX205)+N(AX226))-N(AX132))/(AT57+AU57+AW57+AX57),""),"")</f>
        <v>-1.83637102800198</v>
      </c>
      <c r="AY325" s="262">
        <f>IFERROR(IF(AND(COUNT(AU57,AW57,AX57,AY57)=4,(AU57+AW57+AX57+AY57)&lt;&gt;0),((N(AY200)+N(AY201)+N(AY205)+N(AY226))-N(AY132))/(AU57+AW57+AX57+AY57),""),"")</f>
        <v>-2.14898048323147</v>
      </c>
      <c r="AZ325" s="262">
        <f>IFERROR(IF(AND(COUNT(AW57,AX57,AY57,AZ57)=4,(AW57+AX57+AY57+AZ57)&lt;&gt;0),((N(AZ200)+N(AZ201)+N(AZ205)+N(AZ226))-N(AZ132))/(AW57+AX57+AY57+AZ57),""),"")</f>
        <v>-2.43780796713083</v>
      </c>
      <c r="BA325" s="262">
        <f>IFERROR(IF(AND(COUNT(AW57,AX57,AY57,AZ57)=4,(AW57+AX57+AY57+AZ57)&lt;&gt;0),((N(BA200)+N(BA201)+N(BA205)+N(BA226))-N(BA132))/(AW57+AX57+AY57+AZ57),""),"")</f>
        <v>-2.43780796713083</v>
      </c>
      <c r="BB325" s="262">
        <f>IFERROR(IF(AND(COUNT(AX57,AY57,AZ57,BB57)=4,(AX57+AY57+AZ57+BB57)&lt;&gt;0),((N(BB200)+N(BB201)+N(BB205)+N(BB226))-N(BB132))/(AX57+AY57+AZ57+BB57),""),"")</f>
        <v>-2.75807109987098</v>
      </c>
      <c r="BC325" s="262">
        <f>IFERROR(IF(AND(COUNT(AY57,AZ57,BB57,BC57)=4,(AY57+AZ57+BB57+BC57)&lt;&gt;0),((N(BC200)+N(BC201)+N(BC205)+N(BC226))-N(BC132))/(AY57+AZ57+BB57+BC57),""),"")</f>
        <v>-3.10119804830182</v>
      </c>
      <c r="BD325" s="262">
        <f>IFERROR(IF(AND(COUNT(AZ57,BB57,BC57,BD57)=4,(AZ57+BB57+BC57+BD57)&lt;&gt;0),((N(BD200)+N(BD201)+N(BD205)+N(BD226))-N(BD132))/(AZ57+BB57+BC57+BD57),""),"")</f>
        <v>-3.64311130330108</v>
      </c>
      <c r="BE325" s="262">
        <f>IFERROR(IF(AND(COUNT(BB57,BC57,BD57,BE57)=4,(BB57+BC57+BD57+BE57)&lt;&gt;0),((N(BE200)+N(BE201)+N(BE205)+N(BE226))-N(BE132))/(BB57+BC57+BD57+BE57),""),"")</f>
        <v>-4.23289344344691</v>
      </c>
      <c r="BF325" s="262">
        <f>IFERROR(IF(AND(COUNT(BB57,BC57,BD57,BE57)=4,(BB57+BC57+BD57+BE57)&lt;&gt;0),((N(BF200)+N(BF201)+N(BF205)+N(BF226))-N(BF132))/(BB57+BC57+BD57+BE57),""),"")</f>
        <v>-4.23289344344691</v>
      </c>
      <c r="BG325" s="82" t="n"/>
      <c r="BH325" s="82" t="n"/>
      <c r="BI325" s="82" t="n"/>
      <c r="BJ325" s="82" t="n"/>
      <c r="BL325" s="82" t="n"/>
      <c r="BM325" s="82" t="n"/>
      <c r="BN325" s="82" t="n"/>
      <c r="BO325" s="82" t="n"/>
      <c r="BQ325" s="82" t="n"/>
      <c r="BR325" s="82" t="n"/>
      <c r="BS325" s="82" t="n"/>
      <c r="BT325" s="82" t="n"/>
      <c r="BV325" s="82" t="n"/>
      <c r="BW325" s="82" t="n"/>
      <c r="BX325" s="82" t="n"/>
      <c r="BY325" s="82" t="n"/>
      <c r="CA325" s="82" t="n"/>
      <c r="CB325" s="82" t="n"/>
      <c r="CC325" s="82" t="n"/>
      <c r="CD325" s="82" t="n"/>
      <c r="CF325" s="82" t="n"/>
      <c r="CG325" s="82" t="n"/>
      <c r="CH325" s="82" t="n"/>
      <c r="CI325" s="82" t="n"/>
      <c r="CK325" s="82" t="n"/>
      <c r="CL325" s="82" t="n"/>
      <c r="CM325" s="82" t="n"/>
      <c r="CN325" s="82" t="n"/>
      <c r="CP325" s="82" t="n"/>
      <c r="CQ325" s="82" t="n"/>
      <c r="CR325" s="82" t="n"/>
      <c r="CS325" s="82" t="n"/>
      <c r="CU325" s="82" t="n"/>
      <c r="CV325" s="82" t="n"/>
      <c r="CW325" s="82" t="n"/>
      <c r="CX325" s="82" t="n"/>
    </row>
    <row r="326" customFormat="1" s="77">
      <c r="A326" s="76" t="n"/>
      <c r="B326" s="76" t="n"/>
      <c r="C326" s="77" t="inlineStr">
        <is>
          <t>INTEREST COVERAGE (EBIT / INTEREST, LTM)</t>
        </is>
      </c>
      <c r="D326" s="82" t="str">
        <f>IFERROR(D61/-D62,"")</f>
        <v/>
      </c>
      <c r="E326" s="82" t="str">
        <f>IFERROR(E61/-E62,"")</f>
        <v/>
      </c>
      <c r="F326" s="82" t="str">
        <f>IFERROR(F61/-F62,"")</f>
        <v/>
      </c>
      <c r="G326" s="82" t="str">
        <f>IFERROR(G61/-G62,"")</f>
        <v/>
      </c>
      <c r="H326" s="262" t="str">
        <f>IFERROR(IF(AND(COUNT(H61)=1,(H62)&lt;&gt;0),(H61)/-(H62),""),"")</f>
        <v/>
      </c>
      <c r="I326" s="262" t="str">
        <f>""</f>
        <v/>
      </c>
      <c r="J326" s="262" t="str">
        <f>""</f>
        <v/>
      </c>
      <c r="K326" s="262" t="str">
        <f>""</f>
        <v/>
      </c>
      <c r="L326" s="262">
        <f>IFERROR(IF(AND(COUNT(I61,J61,K61,L61)=4,(I62+J62+K62+L62)&lt;&gt;0),(I61+J61+K61+L61)/-(I62+J62+K62+L62),""),"")</f>
        <v>5.68524970963995</v>
      </c>
      <c r="M326" s="262">
        <f>IFERROR(IF(AND(COUNT(I61,J61,K61,L61)=4,(I62+J62+K62+L62)&lt;&gt;0),(I61+J61+K61+L61)/-(I62+J62+K62+L62),""),"")</f>
        <v>5.68524970963995</v>
      </c>
      <c r="N326" s="262">
        <f>IFERROR(IF(AND(COUNT(J61,K61,L61,N61)=4,(J62+K62+L62+N62)&lt;&gt;0),(J61+K61+L61+N61)/-(J62+K62+L62+N62),""),"")</f>
        <v>6.3184892897407</v>
      </c>
      <c r="O326" s="262">
        <f>IFERROR(IF(AND(COUNT(K61,L61,N61,O61)=4,(K62+L62+N62+O62)&lt;&gt;0),(K61+L61+N61+O61)/-(K62+L62+N62+O62),""),"")</f>
        <v>7.26345609065156</v>
      </c>
      <c r="P326" s="262">
        <f>IFERROR(IF(AND(COUNT(L61,N61,O61,P61)=4,(L62+N62+O62+P62)&lt;&gt;0),(L61+N61+O61+P61)/-(L62+N62+O62+P62),""),"")</f>
        <v>8.18940702360391</v>
      </c>
      <c r="Q326" s="262">
        <f>IFERROR(IF(AND(COUNT(N61,O61,P61,Q61)=4,(N62+O62+P62+Q62)&lt;&gt;0),(N61+O61+P61+Q61)/-(N62+O62+P62+Q62),""),"")</f>
        <v>8.76728110599078</v>
      </c>
      <c r="R326" s="262">
        <f>IFERROR(IF(AND(COUNT(N61,O61,P61,Q61)=4,(N62+O62+P62+Q62)&lt;&gt;0),(N61+O61+P61+Q61)/-(N62+O62+P62+Q62),""),"")</f>
        <v>8.76728110599078</v>
      </c>
      <c r="S326" s="262">
        <f>IFERROR(IF(AND(COUNT(O61,P61,Q61,S61)=4,(O62+P62+Q62+S62)&lt;&gt;0),(O61+P61+Q61+S61)/-(O62+P62+Q62+S62),""),"")</f>
        <v>9.75600739371534</v>
      </c>
      <c r="T326" s="262">
        <f>IFERROR(IF(AND(COUNT(P61,Q61,S61,T61)=4,(P62+Q62+S62+T62)&lt;&gt;0),(P61+Q61+S61+T61)/-(P62+Q62+S62+T62),""),"")</f>
        <v>9.82932840418977</v>
      </c>
      <c r="U326" s="262">
        <f>IFERROR(IF(AND(COUNT(Q61,S61,T61,U61)=4,(Q62+S62+T62+U62)&lt;&gt;0),(Q61+S61+T61+U61)/-(Q62+S62+T62+U62),""),"")</f>
        <v>9.99198520345253</v>
      </c>
      <c r="V326" s="262">
        <f>IFERROR(IF(AND(COUNT(S61,T61,U61,V61)=4,(S62+T62+U62+V62)&lt;&gt;0),(S61+T61+U61+V61)/-(S62+T62+U62+V62),""),"")</f>
        <v>6.62324929971989</v>
      </c>
      <c r="W326" s="262">
        <f>IFERROR(IF(AND(COUNT(S61,T61,U61,V61)=4,(S62+T62+U62+V62)&lt;&gt;0),(S61+T61+U61+V61)/-(S62+T62+U62+V62),""),"")</f>
        <v>6.62324929971989</v>
      </c>
      <c r="X326" s="262">
        <f>IFERROR(IF(AND(COUNT(T61,U61,V61,X61)=4,(T62+U62+V62+X62)&lt;&gt;0),(T61+U61+V61+X61)/-(T62+U62+V62+X62),""),"")</f>
        <v>4.72126436781609</v>
      </c>
      <c r="Y326" s="262">
        <f>IFERROR(IF(AND(COUNT(U61,V61,X61,Y61)=4,(U62+V62+X62+Y62)&lt;&gt;0),(U61+V61+X61+Y61)/-(U62+V62+X62+Y62),""),"")</f>
        <v>3.79895409645555</v>
      </c>
      <c r="Z326" s="262">
        <f>IFERROR(IF(AND(COUNT(V61,X61,Y61,Z61)=4,(V62+X62+Y62+Z62)&lt;&gt;0),(V61+X61+Y61+Z61)/-(V62+X62+Y62+Z62),""),"")</f>
        <v>3.40576777131293</v>
      </c>
      <c r="AA326" s="262">
        <f>IFERROR(IF(AND(COUNT(X61,Y61,Z61,AA61)=4,(X62+Y62+Z62+AA62)&lt;&gt;0),(X61+Y61+Z61+AA61)/-(X62+Y62+Z62+AA62),""),"")</f>
        <v>4.52307692307692</v>
      </c>
      <c r="AB326" s="262">
        <f>IFERROR(IF(AND(COUNT(X61,Y61,Z61,AA61)=4,(X62+Y62+Z62+AA62)&lt;&gt;0),(X61+Y61+Z61+AA61)/-(X62+Y62+Z62+AA62),""),"")</f>
        <v>4.52307692307692</v>
      </c>
      <c r="AC326" s="262">
        <f>IFERROR(IF(AND(COUNT(Y61,Z61,AA61,AC61)=4,(Y62+Z62+AA62+AC62)&lt;&gt;0),(Y61+Z61+AA61+AC61)/-(Y62+Z62+AA62+AC62),""),"")</f>
        <v>5.66096079514081</v>
      </c>
      <c r="AD326" s="262">
        <f>IFERROR(IF(AND(COUNT(Z61,AA61,AC61,AD61)=4,(Z62+AA62+AC62+AD62)&lt;&gt;0),(Z61+AA61+AC61+AD61)/-(Z62+AA62+AC62+AD62),""),"")</f>
        <v>6.71708766716196</v>
      </c>
      <c r="AE326" s="262">
        <f>IFERROR(IF(AND(COUNT(AA61,AC61,AD61,AE61)=4,(AA62+AC62+AD62+AE62)&lt;&gt;0),(AA61+AC61+AD61+AE61)/-(AA62+AC62+AD62+AE62),""),"")</f>
        <v>7.93894080996885</v>
      </c>
      <c r="AF326" s="262">
        <f>IFERROR(IF(AND(COUNT(AB61,AD61,AE61,AF61)=4,(AB62+AD62+AE62+AF62)&lt;&gt;0),(AB61+AD61+AE61+AF61)/-(AB62+AD62+AE62+AF62),""),"")</f>
        <v>6.31647790716223</v>
      </c>
      <c r="AG326" s="262">
        <f>IFERROR(IF(AND(COUNT(AC61,AD61,AE61,AF61)=4,(AC62+AD62+AE62+AF62)&lt;&gt;0),(AC61+AD61+AE61+AF61)/-(AC62+AD62+AE62+AF62),""),"")</f>
        <v>8.85500318674315</v>
      </c>
      <c r="AH326" s="262">
        <f>IFERROR(IF(AND(COUNT(AD61,AF61,AG61,AH61)=4,(AD62+AF62+AG62+AH62)&lt;&gt;0),(AD61+AF61+AG61+AH61)/-(AD62+AF62+AG62+AH62),""),"")</f>
        <v>9.60249909453097</v>
      </c>
      <c r="AI326" s="262">
        <f>IFERROR(IF(AND(COUNT(AE61,AG61,AH61,AI61)=4,(AE62+AG62+AH62+AI62)&lt;&gt;0),(AE61+AG61+AH61+AI61)/-(AE62+AG62+AH62+AI62),""),"")</f>
        <v>11.3768567760866</v>
      </c>
      <c r="AJ326" s="262" t="str">
        <f>IFERROR(IF(AND(COUNT(AF61,AH61,AI61,AJ61)=4,(AF62+AH62+AI62+AJ62)&lt;&gt;0),(AF61+AH61+AI61+AJ61)/-(AF62+AH62+AI62+AJ62),""),"")</f>
        <v/>
      </c>
      <c r="AK326" s="262" t="str">
        <f>IFERROR(IF(AND(COUNT(AH61,AI61,AJ61,AK61)=4,(AH62+AI62+AJ62+AK62)&lt;&gt;0),(AH61+AI61+AJ61+AK61)/-(AH62+AI62+AJ62+AK62),""),"")</f>
        <v/>
      </c>
      <c r="AL326" s="262" t="str">
        <f>IFERROR(IF(AND(COUNT(AH61,AI61,AJ61,AK61)=4,(AH62+AI62+AJ62+AK62)&lt;&gt;0),(AH61+AI61+AJ61+AK61)/-(AH62+AI62+AJ62+AK62),""),"")</f>
        <v/>
      </c>
      <c r="AM326" s="262" t="str">
        <f>IFERROR(IF(AND(COUNT(AI61,AJ61,AK61,AM61)=4,(AI62+AJ62+AK62+AM62)&lt;&gt;0),(AI61+AJ61+AK61+AM61)/-(AI62+AJ62+AK62+AM62),""),"")</f>
        <v/>
      </c>
      <c r="AN326" s="262" t="str">
        <f>IFERROR(IF(AND(COUNT(AJ61,AK61,AM61,AN61)=4,(AJ62+AK62+AM62+AN62)&lt;&gt;0),(AJ61+AK61+AM61+AN61)/-(AJ62+AK62+AM62+AN62),""),"")</f>
        <v/>
      </c>
      <c r="AO326" s="262" t="str">
        <f>IFERROR(IF(AND(COUNT(AK61,AM61,AN61,AO61)=4,(AK62+AM62+AN62+AO62)&lt;&gt;0),(AK61+AM61+AN61+AO61)/-(AK62+AM62+AN62+AO62),""),"")</f>
        <v/>
      </c>
      <c r="AP326" s="262" t="str">
        <f>IFERROR(IF(AND(COUNT(AM61,AN61,AO61,AP61)=4,(AM62+AN62+AO62+AP62)&lt;&gt;0),(AM61+AN61+AO61+AP61)/-(AM62+AN62+AO62+AP62),""),"")</f>
        <v/>
      </c>
      <c r="AQ326" s="262" t="str">
        <f>IFERROR(IF(AND(COUNT(AM61,AN61,AO61,AP61)=4,(AM62+AN62+AO62+AP62)&lt;&gt;0),(AM61+AN61+AO61+AP61)/-(AM62+AN62+AO62+AP62),""),"")</f>
        <v/>
      </c>
      <c r="AR326" s="262" t="str">
        <f>IFERROR(IF(AND(COUNT(AN61,AO61,AP61,AR61)=4,(AN62+AO62+AP62+AR62)&lt;&gt;0),(AN61+AO61+AP61+AR61)/-(AN62+AO62+AP62+AR62),""),"")</f>
        <v/>
      </c>
      <c r="AS326" s="262" t="str">
        <f>IFERROR(IF(AND(COUNT(AO61,AP61,AR61,AS61)=4,(AO62+AP62+AR62+AS62)&lt;&gt;0),(AO61+AP61+AR61+AS61)/-(AO62+AP62+AR62+AS62),""),"")</f>
        <v/>
      </c>
      <c r="AT326" s="262" t="str">
        <f>IFERROR(IF(AND(COUNT(AP61,AR61,AS61,AT61)=4,(AP62+AR62+AS62+AT62)&lt;&gt;0),(AP61+AR61+AS61+AT61)/-(AP62+AR62+AS62+AT62),""),"")</f>
        <v/>
      </c>
      <c r="AU326" s="262" t="str">
        <f>IFERROR(IF(AND(COUNT(AR61,AS61,AT61,AU61)=4,(AR62+AS62+AT62+AU62)&lt;&gt;0),(AR61+AS61+AT61+AU61)/-(AR62+AS62+AT62+AU62),""),"")</f>
        <v/>
      </c>
      <c r="AV326" s="262" t="str">
        <f>IFERROR(IF(AND(COUNT(AR61,AS61,AT61,AU61)=4,(AR62+AS62+AT62+AU62)&lt;&gt;0),(AR61+AS61+AT61+AU61)/-(AR62+AS62+AT62+AU62),""),"")</f>
        <v/>
      </c>
      <c r="AW326" s="262" t="str">
        <f>IFERROR(IF(AND(COUNT(AS61,AT61,AU61,AW61)=4,(AS62+AT62+AU62+AW62)&lt;&gt;0),(AS61+AT61+AU61+AW61)/-(AS62+AT62+AU62+AW62),""),"")</f>
        <v/>
      </c>
      <c r="AX326" s="262" t="str">
        <f>IFERROR(IF(AND(COUNT(AT61,AU61,AW61,AX61)=4,(AT62+AU62+AW62+AX62)&lt;&gt;0),(AT61+AU61+AW61+AX61)/-(AT62+AU62+AW62+AX62),""),"")</f>
        <v/>
      </c>
      <c r="AY326" s="262" t="str">
        <f>IFERROR(IF(AND(COUNT(AU61,AW61,AX61,AY61)=4,(AU62+AW62+AX62+AY62)&lt;&gt;0),(AU61+AW61+AX61+AY61)/-(AU62+AW62+AX62+AY62),""),"")</f>
        <v/>
      </c>
      <c r="AZ326" s="262" t="str">
        <f>IFERROR(IF(AND(COUNT(AW61,AX61,AY61,AZ61)=4,(AW62+AX62+AY62+AZ62)&lt;&gt;0),(AW61+AX61+AY61+AZ61)/-(AW62+AX62+AY62+AZ62),""),"")</f>
        <v/>
      </c>
      <c r="BA326" s="262" t="str">
        <f>IFERROR(IF(AND(COUNT(AW61,AX61,AY61,AZ61)=4,(AW62+AX62+AY62+AZ62)&lt;&gt;0),(AW61+AX61+AY61+AZ61)/-(AW62+AX62+AY62+AZ62),""),"")</f>
        <v/>
      </c>
      <c r="BB326" s="262" t="str">
        <f>IFERROR(IF(AND(COUNT(AX61,AY61,AZ61,BB61)=4,(AX62+AY62+AZ62+BB62)&lt;&gt;0),(AX61+AY61+AZ61+BB61)/-(AX62+AY62+AZ62+BB62),""),"")</f>
        <v/>
      </c>
      <c r="BC326" s="262" t="str">
        <f>IFERROR(IF(AND(COUNT(AY61,AZ61,BB61,BC61)=4,(AY62+AZ62+BB62+BC62)&lt;&gt;0),(AY61+AZ61+BB61+BC61)/-(AY62+AZ62+BB62+BC62),""),"")</f>
        <v/>
      </c>
      <c r="BD326" s="262" t="str">
        <f>IFERROR(IF(AND(COUNT(AZ61,BB61,BC61,BD61)=4,(AZ62+BB62+BC62+BD62)&lt;&gt;0),(AZ61+BB61+BC61+BD61)/-(AZ62+BB62+BC62+BD62),""),"")</f>
        <v/>
      </c>
      <c r="BE326" s="262" t="str">
        <f>IFERROR(IF(AND(COUNT(BB61,BC61,BD61,BE61)=4,(BB62+BC62+BD62+BE62)&lt;&gt;0),(BB61+BC61+BD61+BE61)/-(BB62+BC62+BD62+BE62),""),"")</f>
        <v/>
      </c>
      <c r="BF326" s="262" t="str">
        <f>IFERROR(IF(AND(COUNT(BB61,BC61,BD61,BE61)=4,(BB62+BC62+BD62+BE62)&lt;&gt;0),(BB61+BC61+BD61+BE61)/-(BB62+BC62+BD62+BE62),""),"")</f>
        <v/>
      </c>
      <c r="BG326" s="82" t="n"/>
      <c r="BH326" s="82" t="n"/>
      <c r="BI326" s="82" t="n"/>
      <c r="BJ326" s="82" t="n"/>
      <c r="BL326" s="82" t="n"/>
      <c r="BM326" s="82" t="n"/>
      <c r="BN326" s="82" t="n"/>
      <c r="BO326" s="82" t="n"/>
      <c r="BQ326" s="82" t="n"/>
      <c r="BR326" s="82" t="n"/>
      <c r="BS326" s="82" t="n"/>
      <c r="BT326" s="82" t="n"/>
      <c r="BV326" s="82" t="n"/>
      <c r="BW326" s="82" t="n"/>
      <c r="BX326" s="82" t="n"/>
      <c r="BY326" s="82" t="n"/>
      <c r="CA326" s="82" t="n"/>
      <c r="CB326" s="82" t="n"/>
      <c r="CC326" s="82" t="n"/>
      <c r="CD326" s="82" t="n"/>
      <c r="CF326" s="82" t="n"/>
      <c r="CG326" s="82" t="n"/>
      <c r="CH326" s="82" t="n"/>
      <c r="CI326" s="82" t="n"/>
      <c r="CK326" s="82" t="n"/>
      <c r="CL326" s="82" t="n"/>
      <c r="CM326" s="82" t="n"/>
      <c r="CN326" s="82" t="n"/>
      <c r="CP326" s="82" t="n"/>
      <c r="CQ326" s="82" t="n"/>
      <c r="CR326" s="82" t="n"/>
      <c r="CS326" s="82" t="n"/>
      <c r="CU326" s="82" t="n"/>
      <c r="CV326" s="82" t="n"/>
      <c r="CW326" s="82" t="n"/>
      <c r="CX326" s="82" t="n"/>
    </row>
    <row r="327" customFormat="1" s="77">
      <c r="A327" s="76" t="n"/>
      <c r="B327" s="76" t="n"/>
    </row>
    <row r="328" customFormat="1" s="77">
      <c r="A328" s="76" t="n"/>
      <c r="B328" s="76" t="n"/>
      <c r="C328" s="74" t="inlineStr">
        <is>
          <t>INTERNAL LIQUIDITY</t>
        </is>
      </c>
    </row>
    <row r="329" customFormat="1" s="77">
      <c r="A329" s="76" t="n"/>
      <c r="B329" s="76" t="n"/>
      <c r="C329" s="77" t="inlineStr">
        <is>
          <t>CURRENT RATIO</t>
        </is>
      </c>
      <c r="D329" s="82" t="str">
        <f>IFERROR(SUM(D132,D133,D137,D141,D142,D143)/SUM(D186,D190,D192,D193),"")</f>
        <v/>
      </c>
      <c r="E329" s="82" t="str">
        <f>IFERROR(SUM(E132,E133,E137,E141,E142,E143)/SUM(E186,E190,E192,E193),"")</f>
        <v/>
      </c>
      <c r="F329" s="82" t="str">
        <f>IFERROR(SUM(F132,F133,F137,F141,F142,F143)/SUM(F186,F190,F192,F193),"")</f>
        <v/>
      </c>
      <c r="G329" s="82" t="str">
        <f>IFERROR(SUM(G132,G133,G137,G141,G142,G143)/SUM(G186,G190,G192,G193),"")</f>
        <v/>
      </c>
      <c r="H329" s="262" t="str">
        <f>IFERROR(IF((N(H186)+N(H190)+N(H192)+N(H193)+N(H200)+N(H201)+N(H202))&lt;&gt;0,(N(H132)+(N(H133)+N(H137)+N(H141)+N(H142)+N(H143)))/(N(H186)+N(H190)+N(H192)+N(H193)+N(H200)+N(H201)+N(H202)),""),"")</f>
        <v/>
      </c>
      <c r="I329" s="262">
        <f>IFERROR(IF((N(I186)+N(I190)+N(I192)+N(I193)+N(I200)+N(I201)+N(I202))&lt;&gt;0,(N(I132)+(N(I133)+N(I137)+N(I141)+N(I142)+N(I143)))/(N(I186)+N(I190)+N(I192)+N(I193)+N(I200)+N(I201)+N(I202)),""),"")</f>
        <v>2.2133312616532</v>
      </c>
      <c r="J329" s="262">
        <f>IFERROR(IF((N(J186)+N(J190)+N(J192)+N(J193)+N(J200)+N(J201)+N(J202))&lt;&gt;0,(N(J132)+(N(J133)+N(J137)+N(J141)+N(J142)+N(J143)))/(N(J186)+N(J190)+N(J192)+N(J193)+N(J200)+N(J201)+N(J202)),""),"")</f>
        <v>2.40516843562529</v>
      </c>
      <c r="K329" s="262">
        <f>IFERROR(IF((N(K186)+N(K190)+N(K192)+N(K193)+N(K200)+N(K201)+N(K202))&lt;&gt;0,(N(K132)+(N(K133)+N(K137)+N(K141)+N(K142)+N(K143)))/(N(K186)+N(K190)+N(K192)+N(K193)+N(K200)+N(K201)+N(K202)),""),"")</f>
        <v>2.64066231491801</v>
      </c>
      <c r="L329" s="262">
        <f>IFERROR(IF((N(L186)+N(L190)+N(L192)+N(L193)+N(L200)+N(L201)+N(L202))&lt;&gt;0,(N(L132)+(N(L133)+N(L137)+N(L141)+N(L142)+N(L143)))/(N(L186)+N(L190)+N(L192)+N(L193)+N(L200)+N(L201)+N(L202)),""),"")</f>
        <v>2.44011452202959</v>
      </c>
      <c r="M329" s="262">
        <f>IFERROR(IF((N(M186)+N(M190)+N(M192)+N(M193)+N(M200)+N(M201)+N(M202))&lt;&gt;0,(N(M132)+(N(M133)+N(M137)+N(M141)+N(M142)+N(M143)))/(N(M186)+N(M190)+N(M192)+N(M193)+N(M200)+N(M201)+N(M202)),""),"")</f>
        <v>2.44011452202959</v>
      </c>
      <c r="N329" s="262">
        <f>IFERROR(IF((N(N186)+N(N190)+N(N192)+N(N193)+N(N200)+N(N201)+N(N202))&lt;&gt;0,(N(N132)+(N(N133)+N(N137)+N(N141)+N(N142)+N(N143)))/(N(N186)+N(N190)+N(N192)+N(N193)+N(N200)+N(N201)+N(N202)),""),"")</f>
        <v>2.14327062228654</v>
      </c>
      <c r="O329" s="262">
        <f>IFERROR(IF((N(O186)+N(O190)+N(O192)+N(O193)+N(O200)+N(O201)+N(O202))&lt;&gt;0,(N(O132)+(N(O133)+N(O137)+N(O141)+N(O142)+N(O143)))/(N(O186)+N(O190)+N(O192)+N(O193)+N(O200)+N(O201)+N(O202)),""),"")</f>
        <v>2.3218442256043</v>
      </c>
      <c r="P329" s="262">
        <f>IFERROR(IF((N(P186)+N(P190)+N(P192)+N(P193)+N(P200)+N(P201)+N(P202))&lt;&gt;0,(N(P132)+(N(P133)+N(P137)+N(P141)+N(P142)+N(P143)))/(N(P186)+N(P190)+N(P192)+N(P193)+N(P200)+N(P201)+N(P202)),""),"")</f>
        <v>2.62393647192286</v>
      </c>
      <c r="Q329" s="262">
        <f>IFERROR(IF((N(Q186)+N(Q190)+N(Q192)+N(Q193)+N(Q200)+N(Q201)+N(Q202))&lt;&gt;0,(N(Q132)+(N(Q133)+N(Q137)+N(Q141)+N(Q142)+N(Q143)))/(N(Q186)+N(Q190)+N(Q192)+N(Q193)+N(Q200)+N(Q201)+N(Q202)),""),"")</f>
        <v>2.51717225711613</v>
      </c>
      <c r="R329" s="262">
        <f>IFERROR(IF((N(R186)+N(R190)+N(R192)+N(R193)+N(R200)+N(R201)+N(R202))&lt;&gt;0,(N(R132)+(N(R133)+N(R137)+N(R141)+N(R142)+N(R143)))/(N(R186)+N(R190)+N(R192)+N(R193)+N(R200)+N(R201)+N(R202)),""),"")</f>
        <v>2.51717225711613</v>
      </c>
      <c r="S329" s="262">
        <f>IFERROR(IF((N(S186)+N(S190)+N(S192)+N(S193)+N(S200)+N(S201)+N(S202))&lt;&gt;0,(N(S132)+(N(S133)+N(S137)+N(S141)+N(S142)+N(S143)))/(N(S186)+N(S190)+N(S192)+N(S193)+N(S200)+N(S201)+N(S202)),""),"")</f>
        <v>2.37931034482759</v>
      </c>
      <c r="T329" s="262">
        <f>IFERROR(IF((N(T186)+N(T190)+N(T192)+N(T193)+N(T200)+N(T201)+N(T202))&lt;&gt;0,(N(T132)+(N(T133)+N(T137)+N(T141)+N(T142)+N(T143)))/(N(T186)+N(T190)+N(T192)+N(T193)+N(T200)+N(T201)+N(T202)),""),"")</f>
        <v>2.49598366235534</v>
      </c>
      <c r="U329" s="262">
        <f>IFERROR(IF((N(U186)+N(U190)+N(U192)+N(U193)+N(U200)+N(U201)+N(U202))&lt;&gt;0,(N(U132)+(N(U133)+N(U137)+N(U141)+N(U142)+N(U143)))/(N(U186)+N(U190)+N(U192)+N(U193)+N(U200)+N(U201)+N(U202)),""),"")</f>
        <v>2.81525995948683</v>
      </c>
      <c r="V329" s="262">
        <f>IFERROR(IF((N(V186)+N(V190)+N(V192)+N(V193)+N(V200)+N(V201)+N(V202))&lt;&gt;0,(N(V132)+(N(V133)+N(V137)+N(V141)+N(V142)+N(V143)))/(N(V186)+N(V190)+N(V192)+N(V193)+N(V200)+N(V201)+N(V202)),""),"")</f>
        <v>1.33496980705975</v>
      </c>
      <c r="W329" s="262">
        <f>IFERROR(IF((N(W186)+N(W190)+N(W192)+N(W193)+N(W200)+N(W201)+N(W202))&lt;&gt;0,(N(W132)+(N(W133)+N(W137)+N(W141)+N(W142)+N(W143)))/(N(W186)+N(W190)+N(W192)+N(W193)+N(W200)+N(W201)+N(W202)),""),"")</f>
        <v>1.33496980705975</v>
      </c>
      <c r="X329" s="262">
        <f>IFERROR(IF((N(X186)+N(X190)+N(X192)+N(X193)+N(X200)+N(X201)+N(X202))&lt;&gt;0,(N(X132)+(N(X133)+N(X137)+N(X141)+N(X142)+N(X143)))/(N(X186)+N(X190)+N(X192)+N(X193)+N(X200)+N(X201)+N(X202)),""),"")</f>
        <v>1.25437509295523</v>
      </c>
      <c r="Y329" s="262">
        <f>IFERROR(IF((N(Y186)+N(Y190)+N(Y192)+N(Y193)+N(Y200)+N(Y201)+N(Y202))&lt;&gt;0,(N(Y132)+(N(Y133)+N(Y137)+N(Y141)+N(Y142)+N(Y143)))/(N(Y186)+N(Y190)+N(Y192)+N(Y193)+N(Y200)+N(Y201)+N(Y202)),""),"")</f>
        <v>1.03777118776338</v>
      </c>
      <c r="Z329" s="262">
        <f>IFERROR(IF((N(Z186)+N(Z190)+N(Z192)+N(Z193)+N(Z200)+N(Z201)+N(Z202))&lt;&gt;0,(N(Z132)+(N(Z133)+N(Z137)+N(Z141)+N(Z142)+N(Z143)))/(N(Z186)+N(Z190)+N(Z192)+N(Z193)+N(Z200)+N(Z201)+N(Z202)),""),"")</f>
        <v>1.17356411331377</v>
      </c>
      <c r="AA329" s="262">
        <f>IFERROR(IF((N(AA186)+N(AA190)+N(AA192)+N(AA193)+N(AA200)+N(AA201)+N(AA202))&lt;&gt;0,(N(AA132)+(N(AA133)+N(AA137)+N(AA141)+N(AA142)+N(AA143)))/(N(AA186)+N(AA190)+N(AA192)+N(AA193)+N(AA200)+N(AA201)+N(AA202)),""),"")</f>
        <v>1.00382592061215</v>
      </c>
      <c r="AB329" s="262">
        <f>IFERROR(IF((N(AB186)+N(AB190)+N(AB192)+N(AB193)+N(AB200)+N(AB201)+N(AB202))&lt;&gt;0,(N(AB132)+(N(AB133)+N(AB137)+N(AB141)+N(AB142)+N(AB143)))/(N(AB186)+N(AB190)+N(AB192)+N(AB193)+N(AB200)+N(AB201)+N(AB202)),""),"")</f>
        <v>1.00382592061215</v>
      </c>
      <c r="AC329" s="262">
        <f>IFERROR(IF((N(AC186)+N(AC190)+N(AC192)+N(AC193)+N(AC200)+N(AC201)+N(AC202))&lt;&gt;0,(N(AC132)+(N(AC133)+N(AC137)+N(AC141)+N(AC142)+N(AC143)))/(N(AC186)+N(AC190)+N(AC192)+N(AC193)+N(AC200)+N(AC201)+N(AC202)),""),"")</f>
        <v>1.07690440355392</v>
      </c>
      <c r="AD329" s="262">
        <f>IFERROR(IF((N(AD186)+N(AD190)+N(AD192)+N(AD193)+N(AD200)+N(AD201)+N(AD202))&lt;&gt;0,(N(AD132)+(N(AD133)+N(AD137)+N(AD141)+N(AD142)+N(AD143)))/(N(AD186)+N(AD190)+N(AD192)+N(AD193)+N(AD200)+N(AD201)+N(AD202)),""),"")</f>
        <v>1.49652777777778</v>
      </c>
      <c r="AE329" s="262">
        <f>IFERROR(IF((N(AE186)+N(AE190)+N(AE192)+N(AE193)+N(AE200)+N(AE201)+N(AE202))&lt;&gt;0,(N(AE132)+(N(AE133)+N(AE137)+N(AE141)+N(AE142)+N(AE143)))/(N(AE186)+N(AE190)+N(AE192)+N(AE193)+N(AE200)+N(AE201)+N(AE202)),""),"")</f>
        <v>1.7053581073782</v>
      </c>
      <c r="AF329" s="262">
        <f>IFERROR(IF((N(AF186)+N(AF190)+N(AF192)+N(AF193)+N(AF200)+N(AF201)+N(AF202))&lt;&gt;0,(N(AF132)+(N(AF133)+N(AF137)+N(AF141)+N(AF142)+N(AF143)))/(N(AF186)+N(AF190)+N(AF192)+N(AF193)+N(AF200)+N(AF201)+N(AF202)),""),"")</f>
        <v>1.90177353342428</v>
      </c>
      <c r="AG329" s="262">
        <f>IFERROR(IF((N(AG186)+N(AG190)+N(AG192)+N(AG193)+N(AG200)+N(AG201)+N(AG202))&lt;&gt;0,(N(AG132)+(N(AG133)+N(AG137)+N(AG141)+N(AG142)+N(AG143)))/(N(AG186)+N(AG190)+N(AG192)+N(AG193)+N(AG200)+N(AG201)+N(AG202)),""),"")</f>
        <v>1.90177353342428</v>
      </c>
      <c r="AH329" s="262">
        <f>IFERROR(IF((N(AH186)+N(AH190)+N(AH192)+N(AH193)+N(AH200)+N(AH201)+N(AH202))&lt;&gt;0,(N(AH132)+(N(AH133)+N(AH137)+N(AH141)+N(AH142)+N(AH143)))/(N(AH186)+N(AH190)+N(AH192)+N(AH193)+N(AH200)+N(AH201)+N(AH202)),""),"")</f>
        <v>2.23799172940303</v>
      </c>
      <c r="AI329" s="262">
        <f>IFERROR(IF((N(AI186)+N(AI190)+N(AI192)+N(AI193)+N(AI200)+N(AI201)+N(AI202))&lt;&gt;0,(N(AI132)+(N(AI133)+N(AI137)+N(AI141)+N(AI142)+N(AI143)))/(N(AI186)+N(AI190)+N(AI192)+N(AI193)+N(AI200)+N(AI201)+N(AI202)),""),"")</f>
        <v>2.50374316153182</v>
      </c>
      <c r="AJ329" s="262">
        <f>IFERROR(IF((N(AJ186)+N(AJ190)+N(AJ192)+N(AJ193)+N(AJ200)+N(AJ201)+N(AJ202))&lt;&gt;0,(N(AJ132)+(N(AJ133)+N(AJ137)+N(AJ141)+N(AJ142)+N(AJ143)))/(N(AJ186)+N(AJ190)+N(AJ192)+N(AJ193)+N(AJ200)+N(AJ201)+N(AJ202)),""),"")</f>
        <v>3.10182392949324</v>
      </c>
      <c r="AK329" s="262">
        <f>IFERROR(IF((N(AK186)+N(AK190)+N(AK192)+N(AK193)+N(AK200)+N(AK201)+N(AK202))&lt;&gt;0,(N(AK132)+(N(AK133)+N(AK137)+N(AK141)+N(AK142)+N(AK143)))/(N(AK186)+N(AK190)+N(AK192)+N(AK193)+N(AK200)+N(AK201)+N(AK202)),""),"")</f>
        <v>3.54502327420327</v>
      </c>
      <c r="AL329" s="262">
        <f>IFERROR(IF((N(AL186)+N(AL190)+N(AL192)+N(AL193)+N(AL200)+N(AL201)+N(AL202))&lt;&gt;0,(N(AL132)+(N(AL133)+N(AL137)+N(AL141)+N(AL142)+N(AL143)))/(N(AL186)+N(AL190)+N(AL192)+N(AL193)+N(AL200)+N(AL201)+N(AL202)),""),"")</f>
        <v>3.54502327420327</v>
      </c>
      <c r="AM329" s="262">
        <f>IFERROR(IF((N(AM186)+N(AM190)+N(AM192)+N(AM193)+N(AM200)+N(AM201)+N(AM202))&lt;&gt;0,(N(AM132)+(N(AM133)+N(AM137)+N(AM141)+N(AM142)+N(AM143)))/(N(AM186)+N(AM190)+N(AM192)+N(AM193)+N(AM200)+N(AM201)+N(AM202)),""),"")</f>
        <v>3.94373063483837</v>
      </c>
      <c r="AN329" s="262">
        <f>IFERROR(IF((N(AN186)+N(AN190)+N(AN192)+N(AN193)+N(AN200)+N(AN201)+N(AN202))&lt;&gt;0,(N(AN132)+(N(AN133)+N(AN137)+N(AN141)+N(AN142)+N(AN143)))/(N(AN186)+N(AN190)+N(AN192)+N(AN193)+N(AN200)+N(AN201)+N(AN202)),""),"")</f>
        <v>4.33443082101997</v>
      </c>
      <c r="AO329" s="262">
        <f>IFERROR(IF((N(AO186)+N(AO190)+N(AO192)+N(AO193)+N(AO200)+N(AO201)+N(AO202))&lt;&gt;0,(N(AO132)+(N(AO133)+N(AO137)+N(AO141)+N(AO142)+N(AO143)))/(N(AO186)+N(AO190)+N(AO192)+N(AO193)+N(AO200)+N(AO201)+N(AO202)),""),"")</f>
        <v>4.70173368439257</v>
      </c>
      <c r="AP329" s="262">
        <f>IFERROR(IF((N(AP186)+N(AP190)+N(AP192)+N(AP193)+N(AP200)+N(AP201)+N(AP202))&lt;&gt;0,(N(AP132)+(N(AP133)+N(AP137)+N(AP141)+N(AP142)+N(AP143)))/(N(AP186)+N(AP190)+N(AP192)+N(AP193)+N(AP200)+N(AP201)+N(AP202)),""),"")</f>
        <v>4.82456080996906</v>
      </c>
      <c r="AQ329" s="262">
        <f>IFERROR(IF((N(AQ186)+N(AQ190)+N(AQ192)+N(AQ193)+N(AQ200)+N(AQ201)+N(AQ202))&lt;&gt;0,(N(AQ132)+(N(AQ133)+N(AQ137)+N(AQ141)+N(AQ142)+N(AQ143)))/(N(AQ186)+N(AQ190)+N(AQ192)+N(AQ193)+N(AQ200)+N(AQ201)+N(AQ202)),""),"")</f>
        <v>4.82456080996906</v>
      </c>
      <c r="AR329" s="262">
        <f>IFERROR(IF((N(AR186)+N(AR190)+N(AR192)+N(AR193)+N(AR200)+N(AR201)+N(AR202))&lt;&gt;0,(N(AR132)+(N(AR133)+N(AR137)+N(AR141)+N(AR142)+N(AR143)))/(N(AR186)+N(AR190)+N(AR192)+N(AR193)+N(AR200)+N(AR201)+N(AR202)),""),"")</f>
        <v>4.82365362592067</v>
      </c>
      <c r="AS329" s="262">
        <f>IFERROR(IF((N(AS186)+N(AS190)+N(AS192)+N(AS193)+N(AS200)+N(AS201)+N(AS202))&lt;&gt;0,(N(AS132)+(N(AS133)+N(AS137)+N(AS141)+N(AS142)+N(AS143)))/(N(AS186)+N(AS190)+N(AS192)+N(AS193)+N(AS200)+N(AS201)+N(AS202)),""),"")</f>
        <v>4.74303137699516</v>
      </c>
      <c r="AT329" s="262">
        <f>IFERROR(IF((N(AT186)+N(AT190)+N(AT192)+N(AT193)+N(AT200)+N(AT201)+N(AT202))&lt;&gt;0,(N(AT132)+(N(AT133)+N(AT137)+N(AT141)+N(AT142)+N(AT143)))/(N(AT186)+N(AT190)+N(AT192)+N(AT193)+N(AT200)+N(AT201)+N(AT202)),""),"")</f>
        <v>4.6256618001622</v>
      </c>
      <c r="AU329" s="262">
        <f>IFERROR(IF((N(AU186)+N(AU190)+N(AU192)+N(AU193)+N(AU200)+N(AU201)+N(AU202))&lt;&gt;0,(N(AU132)+(N(AU133)+N(AU137)+N(AU141)+N(AU142)+N(AU143)))/(N(AU186)+N(AU190)+N(AU192)+N(AU193)+N(AU200)+N(AU201)+N(AU202)),""),"")</f>
        <v>4.30626590359728</v>
      </c>
      <c r="AV329" s="262">
        <f>IFERROR(IF((N(AV186)+N(AV190)+N(AV192)+N(AV193)+N(AV200)+N(AV201)+N(AV202))&lt;&gt;0,(N(AV132)+(N(AV133)+N(AV137)+N(AV141)+N(AV142)+N(AV143)))/(N(AV186)+N(AV190)+N(AV192)+N(AV193)+N(AV200)+N(AV201)+N(AV202)),""),"")</f>
        <v>4.30626590359728</v>
      </c>
      <c r="AW329" s="262">
        <f>IFERROR(IF((N(AW186)+N(AW190)+N(AW192)+N(AW193)+N(AW200)+N(AW201)+N(AW202))&lt;&gt;0,(N(AW132)+(N(AW133)+N(AW137)+N(AW141)+N(AW142)+N(AW143)))/(N(AW186)+N(AW190)+N(AW192)+N(AW193)+N(AW200)+N(AW201)+N(AW202)),""),"")</f>
        <v>3.94449562590186</v>
      </c>
      <c r="AX329" s="262">
        <f>IFERROR(IF((N(AX186)+N(AX190)+N(AX192)+N(AX193)+N(AX200)+N(AX201)+N(AX202))&lt;&gt;0,(N(AX132)+(N(AX133)+N(AX137)+N(AX141)+N(AX142)+N(AX143)))/(N(AX186)+N(AX190)+N(AX192)+N(AX193)+N(AX200)+N(AX201)+N(AX202)),""),"")</f>
        <v>3.60660951590789</v>
      </c>
      <c r="AY329" s="262">
        <f>IFERROR(IF((N(AY186)+N(AY190)+N(AY192)+N(AY193)+N(AY200)+N(AY201)+N(AY202))&lt;&gt;0,(N(AY132)+(N(AY133)+N(AY137)+N(AY141)+N(AY142)+N(AY143)))/(N(AY186)+N(AY190)+N(AY192)+N(AY193)+N(AY200)+N(AY201)+N(AY202)),""),"")</f>
        <v>3.26692397642666</v>
      </c>
      <c r="AZ329" s="262">
        <f>IFERROR(IF((N(AZ186)+N(AZ190)+N(AZ192)+N(AZ193)+N(AZ200)+N(AZ201)+N(AZ202))&lt;&gt;0,(N(AZ132)+(N(AZ133)+N(AZ137)+N(AZ141)+N(AZ142)+N(AZ143)))/(N(AZ186)+N(AZ190)+N(AZ192)+N(AZ193)+N(AZ200)+N(AZ201)+N(AZ202)),""),"")</f>
        <v>2.90444128685227</v>
      </c>
      <c r="BA329" s="262">
        <f>IFERROR(IF((N(BA186)+N(BA190)+N(BA192)+N(BA193)+N(BA200)+N(BA201)+N(BA202))&lt;&gt;0,(N(BA132)+(N(BA133)+N(BA137)+N(BA141)+N(BA142)+N(BA143)))/(N(BA186)+N(BA190)+N(BA192)+N(BA193)+N(BA200)+N(BA201)+N(BA202)),""),"")</f>
        <v>2.90444128685227</v>
      </c>
      <c r="BB329" s="262">
        <f>IFERROR(IF((N(BB186)+N(BB190)+N(BB192)+N(BB193)+N(BB200)+N(BB201)+N(BB202))&lt;&gt;0,(N(BB132)+(N(BB133)+N(BB137)+N(BB141)+N(BB142)+N(BB143)))/(N(BB186)+N(BB190)+N(BB192)+N(BB193)+N(BB200)+N(BB201)+N(BB202)),""),"")</f>
        <v>2.58764178792516</v>
      </c>
      <c r="BC329" s="262">
        <f>IFERROR(IF((N(BC186)+N(BC190)+N(BC192)+N(BC193)+N(BC200)+N(BC201)+N(BC202))&lt;&gt;0,(N(BC132)+(N(BC133)+N(BC137)+N(BC141)+N(BC142)+N(BC143)))/(N(BC186)+N(BC190)+N(BC192)+N(BC193)+N(BC200)+N(BC201)+N(BC202)),""),"")</f>
        <v>2.33409948974285</v>
      </c>
      <c r="BD329" s="262">
        <f>IFERROR(IF((N(BD186)+N(BD190)+N(BD192)+N(BD193)+N(BD200)+N(BD201)+N(BD202))&lt;&gt;0,(N(BD132)+(N(BD133)+N(BD137)+N(BD141)+N(BD142)+N(BD143)))/(N(BD186)+N(BD190)+N(BD192)+N(BD193)+N(BD200)+N(BD201)+N(BD202)),""),"")</f>
        <v>2.09753447315467</v>
      </c>
      <c r="BE329" s="262">
        <f>IFERROR(IF((N(BE186)+N(BE190)+N(BE192)+N(BE193)+N(BE200)+N(BE201)+N(BE202))&lt;&gt;0,(N(BE132)+(N(BE133)+N(BE137)+N(BE141)+N(BE142)+N(BE143)))/(N(BE186)+N(BE190)+N(BE192)+N(BE193)+N(BE200)+N(BE201)+N(BE202)),""),"")</f>
        <v>1.88915615206719</v>
      </c>
      <c r="BF329" s="262">
        <f>IFERROR(IF((N(BF186)+N(BF190)+N(BF192)+N(BF193)+N(BF200)+N(BF201)+N(BF202))&lt;&gt;0,(N(BF132)+(N(BF133)+N(BF137)+N(BF141)+N(BF142)+N(BF143)))/(N(BF186)+N(BF190)+N(BF192)+N(BF193)+N(BF200)+N(BF201)+N(BF202)),""),"")</f>
        <v>1.88915615206719</v>
      </c>
      <c r="BG329" s="82" t="n"/>
      <c r="BH329" s="82" t="n"/>
      <c r="BI329" s="82" t="n"/>
      <c r="BJ329" s="82" t="n"/>
      <c r="BL329" s="82" t="n"/>
      <c r="BM329" s="82" t="n"/>
      <c r="BN329" s="82" t="n"/>
      <c r="BO329" s="82" t="n"/>
      <c r="BQ329" s="82" t="n"/>
      <c r="BR329" s="82" t="n"/>
      <c r="BS329" s="82" t="n"/>
      <c r="BT329" s="82" t="n"/>
      <c r="BV329" s="82" t="n"/>
      <c r="BW329" s="82" t="n"/>
      <c r="BX329" s="82" t="n"/>
      <c r="BY329" s="82" t="n"/>
      <c r="CA329" s="82" t="n"/>
      <c r="CB329" s="82" t="n"/>
      <c r="CC329" s="82" t="n"/>
      <c r="CD329" s="82" t="n"/>
      <c r="CF329" s="82" t="n"/>
      <c r="CG329" s="82" t="n"/>
      <c r="CH329" s="82" t="n"/>
      <c r="CI329" s="82" t="n"/>
      <c r="CK329" s="82" t="n"/>
      <c r="CL329" s="82" t="n"/>
      <c r="CM329" s="82" t="n"/>
      <c r="CN329" s="82" t="n"/>
      <c r="CP329" s="82" t="n"/>
      <c r="CQ329" s="82" t="n"/>
      <c r="CR329" s="82" t="n"/>
      <c r="CS329" s="82" t="n"/>
      <c r="CU329" s="82" t="n"/>
      <c r="CV329" s="82" t="n"/>
      <c r="CW329" s="82" t="n"/>
      <c r="CX329" s="82" t="n"/>
    </row>
    <row r="330" customFormat="1" s="77">
      <c r="A330" s="76" t="n"/>
      <c r="B330" s="76" t="n"/>
      <c r="C330" s="77" t="inlineStr">
        <is>
          <t>CASH RATIO</t>
        </is>
      </c>
      <c r="D330" s="82" t="str">
        <f>IFERROR(SUM(D132)/SUM(D186,D190,D192,D193),"")</f>
        <v/>
      </c>
      <c r="E330" s="82" t="str">
        <f>IFERROR(SUM(E132)/SUM(E186,E190,E192,E193),"")</f>
        <v/>
      </c>
      <c r="F330" s="82" t="str">
        <f>IFERROR(SUM(F132)/SUM(F186,F190,F192,F193),"")</f>
        <v/>
      </c>
      <c r="G330" s="82" t="str">
        <f>IFERROR(SUM(G132)/SUM(G186,G190,G192,G193),"")</f>
        <v/>
      </c>
      <c r="H330" s="262" t="str">
        <f>IFERROR(IF((N(H186)+N(H190)+N(H192)+N(H193)+N(H200)+N(H201)+N(H202))&lt;&gt;0,N(H132)/(N(H186)+N(H190)+N(H192)+N(H193)+N(H200)+N(H201)+N(H202)),""),"")</f>
        <v/>
      </c>
      <c r="I330" s="262">
        <f>IFERROR(IF((N(I186)+N(I190)+N(I192)+N(I193)+N(I200)+N(I201)+N(I202))&lt;&gt;0,N(I132)/(N(I186)+N(I190)+N(I192)+N(I193)+N(I200)+N(I201)+N(I202)),""),"")</f>
        <v>1.47886886264761</v>
      </c>
      <c r="J330" s="262">
        <f>IFERROR(IF((N(J186)+N(J190)+N(J192)+N(J193)+N(J200)+N(J201)+N(J202))&lt;&gt;0,N(J132)/(N(J186)+N(J190)+N(J192)+N(J193)+N(J200)+N(J201)+N(J202)),""),"")</f>
        <v>1.70819873865559</v>
      </c>
      <c r="K330" s="262">
        <f>IFERROR(IF((N(K186)+N(K190)+N(K192)+N(K193)+N(K200)+N(K201)+N(K202))&lt;&gt;0,N(K132)/(N(K186)+N(K190)+N(K192)+N(K193)+N(K200)+N(K201)+N(K202)),""),"")</f>
        <v>1.93647508358542</v>
      </c>
      <c r="L330" s="262">
        <f>IFERROR(IF((N(L186)+N(L190)+N(L192)+N(L193)+N(L200)+N(L201)+N(L202))&lt;&gt;0,N(L132)/(N(L186)+N(L190)+N(L192)+N(L193)+N(L200)+N(L201)+N(L202)),""),"")</f>
        <v>1.62541752823286</v>
      </c>
      <c r="M330" s="262">
        <f>IFERROR(IF((N(M186)+N(M190)+N(M192)+N(M193)+N(M200)+N(M201)+N(M202))&lt;&gt;0,N(M132)/(N(M186)+N(M190)+N(M192)+N(M193)+N(M200)+N(M201)+N(M202)),""),"")</f>
        <v>1.62541752823286</v>
      </c>
      <c r="N330" s="262">
        <f>IFERROR(IF((N(N186)+N(N190)+N(N192)+N(N193)+N(N200)+N(N201)+N(N202))&lt;&gt;0,N(N132)/(N(N186)+N(N190)+N(N192)+N(N193)+N(N200)+N(N201)+N(N202)),""),"")</f>
        <v>1.30318379160637</v>
      </c>
      <c r="O330" s="262">
        <f>IFERROR(IF((N(O186)+N(O190)+N(O192)+N(O193)+N(O200)+N(O201)+N(O202))&lt;&gt;0,N(O132)/(N(O186)+N(O190)+N(O192)+N(O193)+N(O200)+N(O201)+N(O202)),""),"")</f>
        <v>1.48866010146225</v>
      </c>
      <c r="P330" s="262">
        <f>IFERROR(IF((N(P186)+N(P190)+N(P192)+N(P193)+N(P200)+N(P201)+N(P202))&lt;&gt;0,N(P132)/(N(P186)+N(P190)+N(P192)+N(P193)+N(P200)+N(P201)+N(P202)),""),"")</f>
        <v>1.76063528077141</v>
      </c>
      <c r="Q330" s="262">
        <f>IFERROR(IF((N(Q186)+N(Q190)+N(Q192)+N(Q193)+N(Q200)+N(Q201)+N(Q202))&lt;&gt;0,N(Q132)/(N(Q186)+N(Q190)+N(Q192)+N(Q193)+N(Q200)+N(Q201)+N(Q202)),""),"")</f>
        <v>1.69009755445677</v>
      </c>
      <c r="R330" s="262">
        <f>IFERROR(IF((N(R186)+N(R190)+N(R192)+N(R193)+N(R200)+N(R201)+N(R202))&lt;&gt;0,N(R132)/(N(R186)+N(R190)+N(R192)+N(R193)+N(R200)+N(R201)+N(R202)),""),"")</f>
        <v>1.69009755445677</v>
      </c>
      <c r="S330" s="262">
        <f>IFERROR(IF((N(S186)+N(S190)+N(S192)+N(S193)+N(S200)+N(S201)+N(S202))&lt;&gt;0,N(S132)/(N(S186)+N(S190)+N(S192)+N(S193)+N(S200)+N(S201)+N(S202)),""),"")</f>
        <v>1.53814405538543</v>
      </c>
      <c r="T330" s="262">
        <f>IFERROR(IF((N(T186)+N(T190)+N(T192)+N(T193)+N(T200)+N(T201)+N(T202))&lt;&gt;0,N(T132)/(N(T186)+N(T190)+N(T192)+N(T193)+N(T200)+N(T201)+N(T202)),""),"")</f>
        <v>1.64125255275698</v>
      </c>
      <c r="U330" s="262">
        <f>IFERROR(IF((N(U186)+N(U190)+N(U192)+N(U193)+N(U200)+N(U201)+N(U202))&lt;&gt;0,N(U132)/(N(U186)+N(U190)+N(U192)+N(U193)+N(U200)+N(U201)+N(U202)),""),"")</f>
        <v>1.91613774476705</v>
      </c>
      <c r="V330" s="262">
        <f>IFERROR(IF((N(V186)+N(V190)+N(V192)+N(V193)+N(V200)+N(V201)+N(V202))&lt;&gt;0,N(V132)/(N(V186)+N(V190)+N(V192)+N(V193)+N(V200)+N(V201)+N(V202)),""),"")</f>
        <v>0.582453728705386</v>
      </c>
      <c r="W330" s="262">
        <f>IFERROR(IF((N(W186)+N(W190)+N(W192)+N(W193)+N(W200)+N(W201)+N(W202))&lt;&gt;0,N(W132)/(N(W186)+N(W190)+N(W192)+N(W193)+N(W200)+N(W201)+N(W202)),""),"")</f>
        <v>0.582453728705386</v>
      </c>
      <c r="X330" s="262">
        <f>IFERROR(IF((N(X186)+N(X190)+N(X192)+N(X193)+N(X200)+N(X201)+N(X202))&lt;&gt;0,N(X132)/(N(X186)+N(X190)+N(X192)+N(X193)+N(X200)+N(X201)+N(X202)),""),"")</f>
        <v>0.486292201675673</v>
      </c>
      <c r="Y330" s="262">
        <f>IFERROR(IF((N(Y186)+N(Y190)+N(Y192)+N(Y193)+N(Y200)+N(Y201)+N(Y202))&lt;&gt;0,N(Y132)/(N(Y186)+N(Y190)+N(Y192)+N(Y193)+N(Y200)+N(Y201)+N(Y202)),""),"")</f>
        <v>0.51776702564903</v>
      </c>
      <c r="Z330" s="262">
        <f>IFERROR(IF((N(Z186)+N(Z190)+N(Z192)+N(Z193)+N(Z200)+N(Z201)+N(Z202))&lt;&gt;0,N(Z132)/(N(Z186)+N(Z190)+N(Z192)+N(Z193)+N(Z200)+N(Z201)+N(Z202)),""),"")</f>
        <v>0.559861052883752</v>
      </c>
      <c r="AA330" s="262">
        <f>IFERROR(IF((N(AA186)+N(AA190)+N(AA192)+N(AA193)+N(AA200)+N(AA201)+N(AA202))&lt;&gt;0,N(AA132)/(N(AA186)+N(AA190)+N(AA192)+N(AA193)+N(AA200)+N(AA201)+N(AA202)),""),"")</f>
        <v>0.445098039215686</v>
      </c>
      <c r="AB330" s="262">
        <f>IFERROR(IF((N(AB186)+N(AB190)+N(AB192)+N(AB193)+N(AB200)+N(AB201)+N(AB202))&lt;&gt;0,N(AB132)/(N(AB186)+N(AB190)+N(AB192)+N(AB193)+N(AB200)+N(AB201)+N(AB202)),""),"")</f>
        <v>0.445098039215686</v>
      </c>
      <c r="AC330" s="262">
        <f>IFERROR(IF((N(AC186)+N(AC190)+N(AC192)+N(AC193)+N(AC200)+N(AC201)+N(AC202))&lt;&gt;0,N(AC132)/(N(AC186)+N(AC190)+N(AC192)+N(AC193)+N(AC200)+N(AC201)+N(AC202)),""),"")</f>
        <v>0.459872797009273</v>
      </c>
      <c r="AD330" s="262">
        <f>IFERROR(IF((N(AD186)+N(AD190)+N(AD192)+N(AD193)+N(AD200)+N(AD201)+N(AD202))&lt;&gt;0,N(AD132)/(N(AD186)+N(AD190)+N(AD192)+N(AD193)+N(AD200)+N(AD201)+N(AD202)),""),"")</f>
        <v>0.641642720306513</v>
      </c>
      <c r="AE330" s="262">
        <f>IFERROR(IF((N(AE186)+N(AE190)+N(AE192)+N(AE193)+N(AE200)+N(AE201)+N(AE202))&lt;&gt;0,N(AE132)/(N(AE186)+N(AE190)+N(AE192)+N(AE193)+N(AE200)+N(AE201)+N(AE202)),""),"")</f>
        <v>0.873825213352058</v>
      </c>
      <c r="AF330" s="262">
        <f>IFERROR(IF((N(AF186)+N(AF190)+N(AF192)+N(AF193)+N(AF200)+N(AF201)+N(AF202))&lt;&gt;0,N(AF132)/(N(AF186)+N(AF190)+N(AF192)+N(AF193)+N(AF200)+N(AF201)+N(AF202)),""),"")</f>
        <v>0.840737884809301</v>
      </c>
      <c r="AG330" s="262">
        <f>IFERROR(IF((N(AG186)+N(AG190)+N(AG192)+N(AG193)+N(AG200)+N(AG201)+N(AG202))&lt;&gt;0,N(AG132)/(N(AG186)+N(AG190)+N(AG192)+N(AG193)+N(AG200)+N(AG201)+N(AG202)),""),"")</f>
        <v>0.840737884809301</v>
      </c>
      <c r="AH330" s="262">
        <f>IFERROR(IF((N(AH186)+N(AH190)+N(AH192)+N(AH193)+N(AH200)+N(AH201)+N(AH202))&lt;&gt;0,N(AH132)/(N(AH186)+N(AH190)+N(AH192)+N(AH193)+N(AH200)+N(AH201)+N(AH202)),""),"")</f>
        <v>1.04061075177606</v>
      </c>
      <c r="AI330" s="262">
        <f>IFERROR(IF((N(AI186)+N(AI190)+N(AI192)+N(AI193)+N(AI200)+N(AI201)+N(AI202))&lt;&gt;0,N(AI132)/(N(AI186)+N(AI190)+N(AI192)+N(AI193)+N(AI200)+N(AI201)+N(AI202)),""),"")</f>
        <v>1.15054227852961</v>
      </c>
      <c r="AJ330" s="262">
        <f>IFERROR(IF((N(AJ186)+N(AJ190)+N(AJ192)+N(AJ193)+N(AJ200)+N(AJ201)+N(AJ202))&lt;&gt;0,N(AJ132)/(N(AJ186)+N(AJ190)+N(AJ192)+N(AJ193)+N(AJ200)+N(AJ201)+N(AJ202)),""),"")</f>
        <v>1.88648180575939</v>
      </c>
      <c r="AK330" s="262">
        <f>IFERROR(IF((N(AK186)+N(AK190)+N(AK192)+N(AK193)+N(AK200)+N(AK201)+N(AK202))&lt;&gt;0,N(AK132)/(N(AK186)+N(AK190)+N(AK192)+N(AK193)+N(AK200)+N(AK201)+N(AK202)),""),"")</f>
        <v>2.33835129691206</v>
      </c>
      <c r="AL330" s="262">
        <f>IFERROR(IF((N(AL186)+N(AL190)+N(AL192)+N(AL193)+N(AL200)+N(AL201)+N(AL202))&lt;&gt;0,N(AL132)/(N(AL186)+N(AL190)+N(AL192)+N(AL193)+N(AL200)+N(AL201)+N(AL202)),""),"")</f>
        <v>2.33835129691206</v>
      </c>
      <c r="AM330" s="262">
        <f>IFERROR(IF((N(AM186)+N(AM190)+N(AM192)+N(AM193)+N(AM200)+N(AM201)+N(AM202))&lt;&gt;0,N(AM132)/(N(AM186)+N(AM190)+N(AM192)+N(AM193)+N(AM200)+N(AM201)+N(AM202)),""),"")</f>
        <v>2.70434675040427</v>
      </c>
      <c r="AN330" s="262">
        <f>IFERROR(IF((N(AN186)+N(AN190)+N(AN192)+N(AN193)+N(AN200)+N(AN201)+N(AN202))&lt;&gt;0,N(AN132)/(N(AN186)+N(AN190)+N(AN192)+N(AN193)+N(AN200)+N(AN201)+N(AN202)),""),"")</f>
        <v>2.99425174678218</v>
      </c>
      <c r="AO330" s="262">
        <f>IFERROR(IF((N(AO186)+N(AO190)+N(AO192)+N(AO193)+N(AO200)+N(AO201)+N(AO202))&lt;&gt;0,N(AO132)/(N(AO186)+N(AO190)+N(AO192)+N(AO193)+N(AO200)+N(AO201)+N(AO202)),""),"")</f>
        <v>3.58231816429573</v>
      </c>
      <c r="AP330" s="262">
        <f>IFERROR(IF((N(AP186)+N(AP190)+N(AP192)+N(AP193)+N(AP200)+N(AP201)+N(AP202))&lt;&gt;0,N(AP132)/(N(AP186)+N(AP190)+N(AP192)+N(AP193)+N(AP200)+N(AP201)+N(AP202)),""),"")</f>
        <v>3.78004785731155</v>
      </c>
      <c r="AQ330" s="262">
        <f>IFERROR(IF((N(AQ186)+N(AQ190)+N(AQ192)+N(AQ193)+N(AQ200)+N(AQ201)+N(AQ202))&lt;&gt;0,N(AQ132)/(N(AQ186)+N(AQ190)+N(AQ192)+N(AQ193)+N(AQ200)+N(AQ201)+N(AQ202)),""),"")</f>
        <v>3.78004785731155</v>
      </c>
      <c r="AR330" s="262">
        <f>IFERROR(IF((N(AR186)+N(AR190)+N(AR192)+N(AR193)+N(AR200)+N(AR201)+N(AR202))&lt;&gt;0,N(AR132)/(N(AR186)+N(AR190)+N(AR192)+N(AR193)+N(AR200)+N(AR201)+N(AR202)),""),"")</f>
        <v>3.82536864566739</v>
      </c>
      <c r="AS330" s="262">
        <f>IFERROR(IF((N(AS186)+N(AS190)+N(AS192)+N(AS193)+N(AS200)+N(AS201)+N(AS202))&lt;&gt;0,N(AS132)/(N(AS186)+N(AS190)+N(AS192)+N(AS193)+N(AS200)+N(AS201)+N(AS202)),""),"")</f>
        <v>3.71999289891123</v>
      </c>
      <c r="AT330" s="262">
        <f>IFERROR(IF((N(AT186)+N(AT190)+N(AT192)+N(AT193)+N(AT200)+N(AT201)+N(AT202))&lt;&gt;0,N(AT132)/(N(AT186)+N(AT190)+N(AT192)+N(AT193)+N(AT200)+N(AT201)+N(AT202)),""),"")</f>
        <v>3.8590402241591</v>
      </c>
      <c r="AU330" s="262">
        <f>IFERROR(IF((N(AU186)+N(AU190)+N(AU192)+N(AU193)+N(AU200)+N(AU201)+N(AU202))&lt;&gt;0,N(AU132)/(N(AU186)+N(AU190)+N(AU192)+N(AU193)+N(AU200)+N(AU201)+N(AU202)),""),"")</f>
        <v>3.65120280090214</v>
      </c>
      <c r="AV330" s="262">
        <f>IFERROR(IF((N(AV186)+N(AV190)+N(AV192)+N(AV193)+N(AV200)+N(AV201)+N(AV202))&lt;&gt;0,N(AV132)/(N(AV186)+N(AV190)+N(AV192)+N(AV193)+N(AV200)+N(AV201)+N(AV202)),""),"")</f>
        <v>3.65120280090214</v>
      </c>
      <c r="AW330" s="262">
        <f>IFERROR(IF((N(AW186)+N(AW190)+N(AW192)+N(AW193)+N(AW200)+N(AW201)+N(AW202))&lt;&gt;0,N(AW132)/(N(AW186)+N(AW190)+N(AW192)+N(AW193)+N(AW200)+N(AW201)+N(AW202)),""),"")</f>
        <v>3.36183959589182</v>
      </c>
      <c r="AX330" s="262">
        <f>IFERROR(IF((N(AX186)+N(AX190)+N(AX192)+N(AX193)+N(AX200)+N(AX201)+N(AX202))&lt;&gt;0,N(AX132)/(N(AX186)+N(AX190)+N(AX192)+N(AX193)+N(AX200)+N(AX201)+N(AX202)),""),"")</f>
        <v>3.04653248503316</v>
      </c>
      <c r="AY330" s="262">
        <f>IFERROR(IF((N(AY186)+N(AY190)+N(AY192)+N(AY193)+N(AY200)+N(AY201)+N(AY202))&lt;&gt;0,N(AY132)/(N(AY186)+N(AY190)+N(AY192)+N(AY193)+N(AY200)+N(AY201)+N(AY202)),""),"")</f>
        <v>2.88678886246055</v>
      </c>
      <c r="AZ330" s="262">
        <f>IFERROR(IF((N(AZ186)+N(AZ190)+N(AZ192)+N(AZ193)+N(AZ200)+N(AZ201)+N(AZ202))&lt;&gt;0,N(AZ132)/(N(AZ186)+N(AZ190)+N(AZ192)+N(AZ193)+N(AZ200)+N(AZ201)+N(AZ202)),""),"")</f>
        <v>2.59917212555781</v>
      </c>
      <c r="BA330" s="262">
        <f>IFERROR(IF((N(BA186)+N(BA190)+N(BA192)+N(BA193)+N(BA200)+N(BA201)+N(BA202))&lt;&gt;0,N(BA132)/(N(BA186)+N(BA190)+N(BA192)+N(BA193)+N(BA200)+N(BA201)+N(BA202)),""),"")</f>
        <v>2.59917212555781</v>
      </c>
      <c r="BB330" s="262">
        <f>IFERROR(IF((N(BB186)+N(BB190)+N(BB192)+N(BB193)+N(BB200)+N(BB201)+N(BB202))&lt;&gt;0,N(BB132)/(N(BB186)+N(BB190)+N(BB192)+N(BB193)+N(BB200)+N(BB201)+N(BB202)),""),"")</f>
        <v>2.32828142753501</v>
      </c>
      <c r="BC330" s="262">
        <f>IFERROR(IF((N(BC186)+N(BC190)+N(BC192)+N(BC193)+N(BC200)+N(BC201)+N(BC202))&lt;&gt;0,N(BC132)/(N(BC186)+N(BC190)+N(BC192)+N(BC193)+N(BC200)+N(BC201)+N(BC202)),""),"")</f>
        <v>2.09058823715329</v>
      </c>
      <c r="BD330" s="262">
        <f>IFERROR(IF((N(BD186)+N(BD190)+N(BD192)+N(BD193)+N(BD200)+N(BD201)+N(BD202))&lt;&gt;0,N(BD132)/(N(BD186)+N(BD190)+N(BD192)+N(BD193)+N(BD200)+N(BD201)+N(BD202)),""),"")</f>
        <v>1.94079431452326</v>
      </c>
      <c r="BE330" s="262">
        <f>IFERROR(IF((N(BE186)+N(BE190)+N(BE192)+N(BE193)+N(BE200)+N(BE201)+N(BE202))&lt;&gt;0,N(BE132)/(N(BE186)+N(BE190)+N(BE192)+N(BE193)+N(BE200)+N(BE201)+N(BE202)),""),"")</f>
        <v>1.76623936159387</v>
      </c>
      <c r="BF330" s="262">
        <f>IFERROR(IF((N(BF186)+N(BF190)+N(BF192)+N(BF193)+N(BF200)+N(BF201)+N(BF202))&lt;&gt;0,N(BF132)/(N(BF186)+N(BF190)+N(BF192)+N(BF193)+N(BF200)+N(BF201)+N(BF202)),""),"")</f>
        <v>1.76623936159387</v>
      </c>
      <c r="BG330" s="82" t="n"/>
      <c r="BH330" s="82" t="n"/>
      <c r="BI330" s="82" t="n"/>
      <c r="BJ330" s="82" t="n"/>
      <c r="BL330" s="82" t="n"/>
      <c r="BM330" s="82" t="n"/>
      <c r="BN330" s="82" t="n"/>
      <c r="BO330" s="82" t="n"/>
      <c r="BQ330" s="82" t="n"/>
      <c r="BR330" s="82" t="n"/>
      <c r="BS330" s="82" t="n"/>
      <c r="BT330" s="82" t="n"/>
      <c r="BV330" s="82" t="n"/>
      <c r="BW330" s="82" t="n"/>
      <c r="BX330" s="82" t="n"/>
      <c r="BY330" s="82" t="n"/>
      <c r="CA330" s="82" t="n"/>
      <c r="CB330" s="82" t="n"/>
      <c r="CC330" s="82" t="n"/>
      <c r="CD330" s="82" t="n"/>
      <c r="CF330" s="82" t="n"/>
      <c r="CG330" s="82" t="n"/>
      <c r="CH330" s="82" t="n"/>
      <c r="CI330" s="82" t="n"/>
      <c r="CK330" s="82" t="n"/>
      <c r="CL330" s="82" t="n"/>
      <c r="CM330" s="82" t="n"/>
      <c r="CN330" s="82" t="n"/>
      <c r="CP330" s="82" t="n"/>
      <c r="CQ330" s="82" t="n"/>
      <c r="CR330" s="82" t="n"/>
      <c r="CS330" s="82" t="n"/>
      <c r="CU330" s="82" t="n"/>
      <c r="CV330" s="82" t="n"/>
      <c r="CW330" s="82" t="n"/>
      <c r="CX330" s="82" t="n"/>
    </row>
    <row r="331" customFormat="1" s="77">
      <c r="A331" s="76" t="n"/>
      <c r="B331" s="76" t="n"/>
    </row>
    <row r="332" customFormat="1" s="77">
      <c r="A332" s="76" t="n"/>
      <c r="B332" s="76" t="n"/>
      <c r="C332" s="74" t="inlineStr">
        <is>
          <t>OPERATING EFFICIENCY</t>
        </is>
      </c>
    </row>
    <row r="333" customFormat="1" s="84">
      <c r="A333" s="81" t="n"/>
      <c r="B333" s="81" t="n"/>
      <c r="C333" s="84" t="inlineStr">
        <is>
          <t>RETURN ON CAPITAL (ROIC) - LTM</t>
        </is>
      </c>
      <c r="D333" t="str">
        <f>IFERROR(D335/D338,"")</f>
        <v/>
      </c>
      <c r="E333" t="str">
        <f>IFERROR(E335/E338,"")</f>
        <v/>
      </c>
      <c r="F333" t="str">
        <f>IFERROR(F335/F338,"")</f>
        <v/>
      </c>
      <c r="G333" t="str">
        <f>IFERROR(G335/G338,"")</f>
        <v/>
      </c>
      <c r="H333" s="257" t="str">
        <f>IFERROR(IF(AND(COUNT(H335)=1,N(H338)&lt;&gt;0),(H335)/H338,""),"")</f>
        <v/>
      </c>
      <c r="I333" s="257" t="str">
        <f>""</f>
        <v/>
      </c>
      <c r="J333" s="257" t="str">
        <f>""</f>
        <v/>
      </c>
      <c r="K333" s="257" t="str">
        <f>""</f>
        <v/>
      </c>
      <c r="L333" s="257">
        <f>IFERROR(IF(AND(COUNT(I335,J335,K335,L335)=4,N(L338)&lt;&gt;0),(I335+J335+K335+L335)/L338,""),"")</f>
        <v>0.178407093753217</v>
      </c>
      <c r="M333" s="257">
        <f>IFERROR(IF(AND(COUNT(I335,J335,K335,L335)=4,N(M338)&lt;&gt;0),(I335+J335+K335+L335)/M338,""),"")</f>
        <v>0.178407093753217</v>
      </c>
      <c r="N333" s="257">
        <f>IFERROR(IF(AND(COUNT(J335,K335,L335,N335)=4,N(N338)&lt;&gt;0),(J335+K335+L335+N335)/N338,""),"")</f>
        <v>0.204132579937781</v>
      </c>
      <c r="O333" s="257">
        <f>IFERROR(IF(AND(COUNT(K335,L335,N335,O335)=4,N(O338)&lt;&gt;0),(K335+L335+N335+O335)/O338,""),"")</f>
        <v>0.234412249821168</v>
      </c>
      <c r="P333" s="257">
        <f>IFERROR(IF(AND(COUNT(L335,N335,O335,P335)=4,N(P338)&lt;&gt;0),(L335+N335+O335+P335)/P338,""),"")</f>
        <v>0.264035948478405</v>
      </c>
      <c r="Q333" s="257">
        <f>IFERROR(IF(AND(COUNT(N335,O335,P335,Q335)=4,N(Q338)&lt;&gt;0),(N335+O335+P335+Q335)/Q338,""),"")</f>
        <v>0.28680085046601</v>
      </c>
      <c r="R333" s="257">
        <f>IFERROR(IF(AND(COUNT(N335,O335,P335,Q335)=4,N(R338)&lt;&gt;0),(N335+O335+P335+Q335)/R338,""),"")</f>
        <v>0.28680085046601</v>
      </c>
      <c r="S333" s="257">
        <f>IFERROR(IF(AND(COUNT(O335,P335,Q335,S335)=4,N(S338)&lt;&gt;0),(O335+P335+Q335+S335)/S338,""),"")</f>
        <v>0.299971865266586</v>
      </c>
      <c r="T333" s="257">
        <f>IFERROR(IF(AND(COUNT(P335,Q335,S335,T335)=4,N(T338)&lt;&gt;0),(P335+Q335+S335+T335)/T338,""),"")</f>
        <v>0.304856526541632</v>
      </c>
      <c r="U333" s="257">
        <f>IFERROR(IF(AND(COUNT(Q335,S335,T335,U335)=4,N(U338)&lt;&gt;0),(Q335+S335+T335+U335)/U338,""),"")</f>
        <v>0.308336961916844</v>
      </c>
      <c r="V333" s="257">
        <f>IFERROR(IF(AND(COUNT(S335,T335,U335,V335)=4,N(V338)&lt;&gt;0),(S335+T335+U335+V335)/V338,""),"")</f>
        <v>0.0972455381995415</v>
      </c>
      <c r="W333" s="257">
        <f>IFERROR(IF(AND(COUNT(S335,T335,U335,V335)=4,N(W338)&lt;&gt;0),(S335+T335+U335+V335)/W338,""),"")</f>
        <v>0.0972455381995415</v>
      </c>
      <c r="X333" s="257">
        <f>IFERROR(IF(AND(COUNT(T335,U335,V335,X335)=4,N(X338)&lt;&gt;0),(T335+U335+V335+X335)/X338,""),"")</f>
        <v>0.0914717669568993</v>
      </c>
      <c r="Y333" s="257">
        <f>IFERROR(IF(AND(COUNT(U335,V335,X335,Y335)=4,N(Y338)&lt;&gt;0),(U335+V335+X335+Y335)/Y338,""),"")</f>
        <v>0.0693069028114636</v>
      </c>
      <c r="Z333" s="257">
        <f>IFERROR(IF(AND(COUNT(V335,X335,Y335,Z335)=4,N(Z338)&lt;&gt;0),(V335+X335+Y335+Z335)/Z338,""),"")</f>
        <v>0.0760107791759991</v>
      </c>
      <c r="AA333" s="257">
        <f>IFERROR(IF(AND(COUNT(X335,Y335,Z335,AA335)=4,N(AA338)&lt;&gt;0),(X335+Y335+Z335+AA335)/AA338,""),"")</f>
        <v>0.109018502923793</v>
      </c>
      <c r="AB333" s="257">
        <f>IFERROR(IF(AND(COUNT(X335,Y335,Z335,AA335)=4,N(AB338)&lt;&gt;0),(X335+Y335+Z335+AA335)/AB338,""),"")</f>
        <v>0.109018502923793</v>
      </c>
      <c r="AC333" s="257">
        <f>IFERROR(IF(AND(COUNT(Y335,Z335,AA335,AC335)=4,N(AC338)&lt;&gt;0),(Y335+Z335+AA335+AC335)/AC338,""),"")</f>
        <v>0.130133147648875</v>
      </c>
      <c r="AD333" s="257">
        <f>IFERROR(IF(AND(COUNT(Z335,AA335,AC335,AD335)=4,N(AD338)&lt;&gt;0),(Z335+AA335+AC335+AD335)/AD338,""),"")</f>
        <v>0.167129528321422</v>
      </c>
      <c r="AE333" s="257">
        <f>IFERROR(IF(AND(COUNT(AA335,AC335,AD335,AE335)=4,N(AE338)&lt;&gt;0),(AA335+AC335+AD335+AE335)/AE338,""),"")</f>
        <v>0.184806285119513</v>
      </c>
      <c r="AF333" s="257">
        <f>IFERROR(IF(AND(COUNT(AB335,AD335,AE335,AF335)=4,N(AF338)&lt;&gt;0),(AB335+AD335+AE335+AF335)/AF338,""),"")</f>
        <v>0.249244369982843</v>
      </c>
      <c r="AG333" s="257">
        <f>IFERROR(IF(AND(COUNT(AC335,AD335,AE335,AF335)=4,N(AG338)&lt;&gt;0),(AC335+AD335+AE335+AF335)/AG338,""),"")</f>
        <v>0.193465361033113</v>
      </c>
      <c r="AH333" s="257">
        <f>IFERROR(IF(AND(COUNT(AD335,AF335,AG335,AH335)=4,N(AH338)&lt;&gt;0),(AD335+AF335+AG335+AH335)/AH338,""),"")</f>
        <v>0.372171024614898</v>
      </c>
      <c r="AI333" s="257">
        <f>IFERROR(IF(AND(COUNT(AE335,AG335,AH335,AI335)=4,N(AI338)&lt;&gt;0),(AE335+AG335+AH335+AI335)/AI338,""),"")</f>
        <v>0.431983334279541</v>
      </c>
      <c r="AJ333" s="257">
        <f>IFERROR(IF(AND(COUNT(AF335,AH335,AI335,AJ335)=4,N(AJ338)&lt;&gt;0),(AF335+AH335+AI335+AJ335)/AJ338,""),"")</f>
        <v>0.31560896536244</v>
      </c>
      <c r="AK333" s="257">
        <f>IFERROR(IF(AND(COUNT(AH335,AI335,AJ335,AK335)=4,N(AK338)&lt;&gt;0),(AH335+AI335+AJ335+AK335)/AK338,""),"")</f>
        <v>0.341943159254804</v>
      </c>
      <c r="AL333" s="257">
        <f>IFERROR(IF(AND(COUNT(AH335,AI335,AJ335,AK335)=4,N(AL338)&lt;&gt;0),(AH335+AI335+AJ335+AK335)/AL338,""),"")</f>
        <v>0.341943159254804</v>
      </c>
      <c r="AM333" s="257">
        <f>IFERROR(IF(AND(COUNT(AI335,AJ335,AK335,AM335)=4,N(AM338)&lt;&gt;0),(AI335+AJ335+AK335+AM335)/AM338,""),"")</f>
        <v>0.361099287831125</v>
      </c>
      <c r="AN333" s="257">
        <f>IFERROR(IF(AND(COUNT(AJ335,AK335,AM335,AN335)=4,N(AN338)&lt;&gt;0),(AJ335+AK335+AM335+AN335)/AN338,""),"")</f>
        <v>0.378000068615019</v>
      </c>
      <c r="AO333" s="257">
        <f>IFERROR(IF(AND(COUNT(AK335,AM335,AN335,AO335)=4,N(AO338)&lt;&gt;0),(AK335+AM335+AN335+AO335)/AO338,""),"")</f>
        <v>0.424427867256767</v>
      </c>
      <c r="AP333" s="257">
        <f>IFERROR(IF(AND(COUNT(AM335,AN335,AO335,AP335)=4,N(AP338)&lt;&gt;0),(AM335+AN335+AO335+AP335)/AP338,""),"")</f>
        <v>0.464122552248658</v>
      </c>
      <c r="AQ333" s="257">
        <f>IFERROR(IF(AND(COUNT(AM335,AN335,AO335,AP335)=4,N(AQ338)&lt;&gt;0),(AM335+AN335+AO335+AP335)/AQ338,""),"")</f>
        <v>0.464122552248658</v>
      </c>
      <c r="AR333" s="257">
        <f>IFERROR(IF(AND(COUNT(AN335,AO335,AP335,AR335)=4,N(AR338)&lt;&gt;0),(AN335+AO335+AP335+AR335)/AR338,""),"")</f>
        <v>0.507716641767233</v>
      </c>
      <c r="AS333" s="257">
        <f>IFERROR(IF(AND(COUNT(AO335,AP335,AR335,AS335)=4,N(AS338)&lt;&gt;0),(AO335+AP335+AR335+AS335)/AS338,""),"")</f>
        <v>0.55467318718967</v>
      </c>
      <c r="AT333" s="257">
        <f>IFERROR(IF(AND(COUNT(AP335,AR335,AS335,AT335)=4,N(AT338)&lt;&gt;0),(AP335+AR335+AS335+AT335)/AT338,""),"")</f>
        <v>0.661243188462747</v>
      </c>
      <c r="AU333" s="257">
        <f>IFERROR(IF(AND(COUNT(AR335,AS335,AT335,AU335)=4,N(AU338)&lt;&gt;0),(AR335+AS335+AT335+AU335)/AU338,""),"")</f>
        <v>0.7746028853812</v>
      </c>
      <c r="AV333" s="257">
        <f>IFERROR(IF(AND(COUNT(AR335,AS335,AT335,AU335)=4,N(AV338)&lt;&gt;0),(AR335+AS335+AT335+AU335)/AV338,""),"")</f>
        <v>0.7746028853812</v>
      </c>
      <c r="AW333" s="257">
        <f>IFERROR(IF(AND(COUNT(AS335,AT335,AU335,AW335)=4,N(AW338)&lt;&gt;0),(AS335+AT335+AU335+AW335)/AW338,""),"")</f>
        <v>0.933048001747413</v>
      </c>
      <c r="AX333" s="257">
        <f>IFERROR(IF(AND(COUNT(AT335,AU335,AW335,AX335)=4,N(AX338)&lt;&gt;0),(AT335+AU335+AW335+AX335)/AX338,""),"")</f>
        <v>1.16817663839769</v>
      </c>
      <c r="AY333" s="257">
        <f>IFERROR(IF(AND(COUNT(AU335,AW335,AX335,AY335)=4,N(AY338)&lt;&gt;0),(AU335+AW335+AX335+AY335)/AY338,""),"")</f>
        <v>2.13148247952481</v>
      </c>
      <c r="AZ333" s="257">
        <f>IFERROR(IF(AND(COUNT(AW335,AX335,AY335,AZ335)=4,N(AZ338)&lt;&gt;0),(AW335+AX335+AY335+AZ335)/AZ338,""),"")</f>
        <v>8.9499734876924</v>
      </c>
      <c r="BA333" s="257">
        <f>IFERROR(IF(AND(COUNT(AW335,AX335,AY335,AZ335)=4,N(BA338)&lt;&gt;0),(AW335+AX335+AY335+AZ335)/BA338,""),"")</f>
        <v>8.9499734876924</v>
      </c>
      <c r="BB333" s="257">
        <f>IFERROR(IF(AND(COUNT(AX335,AY335,AZ335,BB335)=4,N(BB338)&lt;&gt;0),(AX335+AY335+AZ335+BB335)/BB338,""),"")</f>
        <v>-3.49981630644848</v>
      </c>
      <c r="BC333" s="257">
        <f>IFERROR(IF(AND(COUNT(AY335,AZ335,BB335,BC335)=4,N(BC338)&lt;&gt;0),(AY335+AZ335+BB335+BC335)/BC338,""),"")</f>
        <v>-1.40834364221893</v>
      </c>
      <c r="BD333" s="257">
        <f>IFERROR(IF(AND(COUNT(AZ335,BB335,BC335,BD335)=4,N(BD338)&lt;&gt;0),(AZ335+BB335+BC335+BD335)/BD338,""),"")</f>
        <v>-0.710124492273575</v>
      </c>
      <c r="BE333" s="257">
        <f>IFERROR(IF(AND(COUNT(BB335,BC335,BD335,BE335)=4,N(BE338)&lt;&gt;0),(BB335+BC335+BD335+BE335)/BE338,""),"")</f>
        <v>-0.460451358625246</v>
      </c>
      <c r="BF333" s="257">
        <f>IFERROR(IF(AND(COUNT(BB335,BC335,BD335,BE335)=4,N(BF338)&lt;&gt;0),(BB335+BC335+BD335+BE335)/BF338,""),"")</f>
        <v>-0.460451358625246</v>
      </c>
      <c r="BG333" s="81" t="n"/>
      <c r="BH333" s="81" t="n"/>
      <c r="BI333" s="81" t="n"/>
      <c r="BJ333" s="81" t="n"/>
      <c r="BL333" s="81" t="n"/>
      <c r="BM333" s="81" t="n"/>
      <c r="BN333" s="81" t="n"/>
      <c r="BO333" s="81" t="n"/>
      <c r="BQ333" s="81" t="n"/>
      <c r="BR333" s="81" t="n"/>
      <c r="BS333" s="81" t="n"/>
      <c r="BT333" s="81" t="n"/>
      <c r="BV333" s="81" t="n"/>
      <c r="BW333" s="81" t="n"/>
      <c r="BX333" s="81" t="n"/>
      <c r="BY333" s="81" t="n"/>
      <c r="CA333" s="81" t="n"/>
      <c r="CB333" s="81" t="n"/>
      <c r="CC333" s="81" t="n"/>
      <c r="CD333" s="81" t="n"/>
      <c r="CF333" s="81" t="n"/>
      <c r="CG333" s="81" t="n"/>
      <c r="CH333" s="81" t="n"/>
      <c r="CI333" s="81" t="n"/>
      <c r="CK333" s="81" t="n"/>
      <c r="CL333" s="81" t="n"/>
      <c r="CM333" s="81" t="n"/>
      <c r="CN333" s="81" t="n"/>
      <c r="CP333" s="81" t="n"/>
      <c r="CQ333" s="81" t="n"/>
      <c r="CR333" s="81" t="n"/>
      <c r="CS333" s="81" t="n"/>
      <c r="CU333" s="81" t="n"/>
      <c r="CV333" s="81" t="n"/>
      <c r="CW333" s="81" t="n"/>
      <c r="CX333" s="81" t="n"/>
    </row>
    <row r="334" customFormat="1" s="84">
      <c r="A334" s="81" t="n"/>
      <c r="B334" s="81" t="n"/>
      <c r="C334" s="84" t="inlineStr">
        <is>
          <t>RETURN ON CAPITAL (ROIC) - EX GOODWILL - LTM</t>
        </is>
      </c>
      <c r="D334" t="str">
        <f>IFERROR(D335/D339,"")</f>
        <v/>
      </c>
      <c r="E334" t="str">
        <f>IFERROR(E335/E339,"")</f>
        <v/>
      </c>
      <c r="F334" t="str">
        <f>IFERROR(F335/F339,"")</f>
        <v/>
      </c>
      <c r="G334" t="str">
        <f>IFERROR(G335/G339,"")</f>
        <v/>
      </c>
      <c r="H334" s="257" t="str">
        <f>IFERROR(IF(AND(COUNT(H335)=1,N(H339)&lt;&gt;0),(H335)/H339,""),"")</f>
        <v/>
      </c>
      <c r="I334" s="257" t="str">
        <f>""</f>
        <v/>
      </c>
      <c r="J334" s="257" t="str">
        <f>""</f>
        <v/>
      </c>
      <c r="K334" s="257" t="str">
        <f>""</f>
        <v/>
      </c>
      <c r="L334" s="257">
        <f>IFERROR(IF(AND(COUNT(I335,J335,K335,L335)=4,N(L339)&lt;&gt;0),(I335+J335+K335+L335)/L339,""),"")</f>
        <v>1.05629930480387</v>
      </c>
      <c r="M334" s="257">
        <f>IFERROR(IF(AND(COUNT(I335,J335,K335,L335)=4,N(M339)&lt;&gt;0),(I335+J335+K335+L335)/M339,""),"")</f>
        <v>1.05629930480387</v>
      </c>
      <c r="N334" s="257">
        <f>IFERROR(IF(AND(COUNT(J335,K335,L335,N335)=4,N(N339)&lt;&gt;0),(J335+K335+L335+N335)/N339,""),"")</f>
        <v>1.33828050081279</v>
      </c>
      <c r="O334" s="257">
        <f>IFERROR(IF(AND(COUNT(K335,L335,N335,O335)=4,N(O339)&lt;&gt;0),(K335+L335+N335+O335)/O339,""),"")</f>
        <v>1.73481580041584</v>
      </c>
      <c r="P334" s="257">
        <f>IFERROR(IF(AND(COUNT(L335,N335,O335,P335)=4,N(P339)&lt;&gt;0),(L335+N335+O335+P335)/P339,""),"")</f>
        <v>2.12320027798069</v>
      </c>
      <c r="Q334" s="257">
        <f>IFERROR(IF(AND(COUNT(N335,O335,P335,Q335)=4,N(Q339)&lt;&gt;0),(N335+O335+P335+Q335)/Q339,""),"")</f>
        <v>2.26256017635838</v>
      </c>
      <c r="R334" s="257">
        <f>IFERROR(IF(AND(COUNT(N335,O335,P335,Q335)=4,N(R339)&lt;&gt;0),(N335+O335+P335+Q335)/R339,""),"")</f>
        <v>2.26256017635838</v>
      </c>
      <c r="S334" s="257">
        <f>IFERROR(IF(AND(COUNT(O335,P335,Q335,S335)=4,N(S339)&lt;&gt;0),(O335+P335+Q335+S335)/S339,""),"")</f>
        <v>2.42693868882973</v>
      </c>
      <c r="T334" s="257">
        <f>IFERROR(IF(AND(COUNT(P335,Q335,S335,T335)=4,N(T339)&lt;&gt;0),(P335+Q335+S335+T335)/T339,""),"")</f>
        <v>2.61908152327317</v>
      </c>
      <c r="U334" s="257">
        <f>IFERROR(IF(AND(COUNT(Q335,S335,T335,U335)=4,N(U339)&lt;&gt;0),(Q335+S335+T335+U335)/U339,""),"")</f>
        <v>2.81249201281098</v>
      </c>
      <c r="V334" s="257">
        <f>IFERROR(IF(AND(COUNT(S335,T335,U335,V335)=4,N(V339)&lt;&gt;0),(S335+T335+U335+V335)/V339,""),"")</f>
        <v>0.355576914019344</v>
      </c>
      <c r="W334" s="257">
        <f>IFERROR(IF(AND(COUNT(S335,T335,U335,V335)=4,N(W339)&lt;&gt;0),(S335+T335+U335+V335)/W339,""),"")</f>
        <v>0.355576914019344</v>
      </c>
      <c r="X334" s="257">
        <f>IFERROR(IF(AND(COUNT(T335,U335,V335,X335)=4,N(X339)&lt;&gt;0),(T335+U335+V335+X335)/X339,""),"")</f>
        <v>0.338134289270513</v>
      </c>
      <c r="Y334" s="257">
        <f>IFERROR(IF(AND(COUNT(U335,V335,X335,Y335)=4,N(Y339)&lt;&gt;0),(U335+V335+X335+Y335)/Y339,""),"")</f>
        <v>0.31344130982483</v>
      </c>
      <c r="Z334" s="257">
        <f>IFERROR(IF(AND(COUNT(V335,X335,Y335,Z335)=4,N(Z339)&lt;&gt;0),(V335+X335+Y335+Z335)/Z339,""),"")</f>
        <v>0.341485674451043</v>
      </c>
      <c r="AA334" s="257">
        <f>IFERROR(IF(AND(COUNT(X335,Y335,Z335,AA335)=4,N(AA339)&lt;&gt;0),(X335+Y335+Z335+AA335)/AA339,""),"")</f>
        <v>0.474546077423775</v>
      </c>
      <c r="AB334" s="257">
        <f>IFERROR(IF(AND(COUNT(X335,Y335,Z335,AA335)=4,N(AB339)&lt;&gt;0),(X335+Y335+Z335+AA335)/AB339,""),"")</f>
        <v>0.474546077423775</v>
      </c>
      <c r="AC334" s="257">
        <f>IFERROR(IF(AND(COUNT(Y335,Z335,AA335,AC335)=4,N(AC339)&lt;&gt;0),(Y335+Z335+AA335+AC335)/AC339,""),"")</f>
        <v>0.560177140661467</v>
      </c>
      <c r="AD334" s="257">
        <f>IFERROR(IF(AND(COUNT(Z335,AA335,AC335,AD335)=4,N(AD339)&lt;&gt;0),(Z335+AA335+AC335+AD335)/AD339,""),"")</f>
        <v>0.731017995543399</v>
      </c>
      <c r="AE334" s="257">
        <f>IFERROR(IF(AND(COUNT(AA335,AC335,AD335,AE335)=4,N(AE339)&lt;&gt;0),(AA335+AC335+AD335+AE335)/AE339,""),"")</f>
        <v>0.74181079961837</v>
      </c>
      <c r="AF334" s="257">
        <f>IFERROR(IF(AND(COUNT(AB335,AD335,AE335,AF335)=4,N(AF339)&lt;&gt;0),(AB335+AD335+AE335+AF335)/AF339,""),"")</f>
        <v>0.967167107471563</v>
      </c>
      <c r="AG334" s="257">
        <f>IFERROR(IF(AND(COUNT(AC335,AD335,AE335,AF335)=4,N(AG339)&lt;&gt;0),(AC335+AD335+AE335+AF335)/AG339,""),"")</f>
        <v>0.750722408049649</v>
      </c>
      <c r="AH334" s="257">
        <f>IFERROR(IF(AND(COUNT(AD335,AF335,AG335,AH335)=4,N(AH339)&lt;&gt;0),(AD335+AF335+AG335+AH335)/AH339,""),"")</f>
        <v>1.40713643103423</v>
      </c>
      <c r="AI334" s="257">
        <f>IFERROR(IF(AND(COUNT(AE335,AG335,AH335,AI335)=4,N(AI339)&lt;&gt;0),(AE335+AG335+AH335+AI335)/AI339,""),"")</f>
        <v>1.56364706545232</v>
      </c>
      <c r="AJ334" s="257">
        <f>IFERROR(IF(AND(COUNT(AF335,AH335,AI335,AJ335)=4,N(AJ339)&lt;&gt;0),(AF335+AH335+AI335+AJ335)/AJ339,""),"")</f>
        <v>1.21625110535502</v>
      </c>
      <c r="AK334" s="257">
        <f>IFERROR(IF(AND(COUNT(AH335,AI335,AJ335,AK335)=4,N(AK339)&lt;&gt;0),(AH335+AI335+AJ335+AK335)/AK339,""),"")</f>
        <v>1.31677282882731</v>
      </c>
      <c r="AL334" s="257">
        <f>IFERROR(IF(AND(COUNT(AH335,AI335,AJ335,AK335)=4,N(AL339)&lt;&gt;0),(AH335+AI335+AJ335+AK335)/AL339,""),"")</f>
        <v>1.31677282882731</v>
      </c>
      <c r="AM334" s="257">
        <f>IFERROR(IF(AND(COUNT(AI335,AJ335,AK335,AM335)=4,N(AM339)&lt;&gt;0),(AI335+AJ335+AK335+AM335)/AM339,""),"")</f>
        <v>1.35938872585476</v>
      </c>
      <c r="AN334" s="257">
        <f>IFERROR(IF(AND(COUNT(AJ335,AK335,AM335,AN335)=4,N(AN339)&lt;&gt;0),(AJ335+AK335+AM335+AN335)/AN339,""),"")</f>
        <v>1.33744226424068</v>
      </c>
      <c r="AO334" s="257">
        <f>IFERROR(IF(AND(COUNT(AK335,AM335,AN335,AO335)=4,N(AO339)&lt;&gt;0),(AK335+AM335+AN335+AO335)/AO339,""),"")</f>
        <v>1.67622467788334</v>
      </c>
      <c r="AP334" s="257">
        <f>IFERROR(IF(AND(COUNT(AM335,AN335,AO335,AP335)=4,N(AP339)&lt;&gt;0),(AM335+AN335+AO335+AP335)/AP339,""),"")</f>
        <v>1.91374984092666</v>
      </c>
      <c r="AQ334" s="257">
        <f>IFERROR(IF(AND(COUNT(AM335,AN335,AO335,AP335)=4,N(AQ339)&lt;&gt;0),(AM335+AN335+AO335+AP335)/AQ339,""),"")</f>
        <v>1.91374984092666</v>
      </c>
      <c r="AR334" s="257">
        <f>IFERROR(IF(AND(COUNT(AN335,AO335,AP335,AR335)=4,N(AR339)&lt;&gt;0),(AN335+AO335+AP335+AR335)/AR339,""),"")</f>
        <v>2.1671052532772</v>
      </c>
      <c r="AS334" s="257">
        <f>IFERROR(IF(AND(COUNT(AO335,AP335,AR335,AS335)=4,N(AS339)&lt;&gt;0),(AO335+AP335+AR335+AS335)/AS339,""),"")</f>
        <v>2.3074506377361</v>
      </c>
      <c r="AT334" s="257">
        <f>IFERROR(IF(AND(COUNT(AP335,AR335,AS335,AT335)=4,N(AT339)&lt;&gt;0),(AP335+AR335+AS335+AT335)/AT339,""),"")</f>
        <v>4.13910654928297</v>
      </c>
      <c r="AU334" s="257">
        <f>IFERROR(IF(AND(COUNT(AR335,AS335,AT335,AU335)=4,N(AU339)&lt;&gt;0),(AR335+AS335+AT335+AU335)/AU339,""),"")</f>
        <v>8.97049493865168</v>
      </c>
      <c r="AV334" s="257">
        <f>IFERROR(IF(AND(COUNT(AR335,AS335,AT335,AU335)=4,N(AV339)&lt;&gt;0),(AR335+AS335+AT335+AU335)/AV339,""),"")</f>
        <v>8.97049493865168</v>
      </c>
      <c r="AW334" s="257">
        <f>IFERROR(IF(AND(COUNT(AS335,AT335,AU335,AW335)=4,N(AW339)&lt;&gt;0),(AS335+AT335+AU335+AW335)/AW339,""),"")</f>
        <v>-51.8697326585366</v>
      </c>
      <c r="AX334" s="257">
        <f>IFERROR(IF(AND(COUNT(AT335,AU335,AW335,AX335)=4,N(AX339)&lt;&gt;0),(AT335+AU335+AW335+AX335)/AX339,""),"")</f>
        <v>-7.364822939868</v>
      </c>
      <c r="AY334" s="257">
        <f>IFERROR(IF(AND(COUNT(AU335,AW335,AX335,AY335)=4,N(AY339)&lt;&gt;0),(AU335+AW335+AX335+AY335)/AY339,""),"")</f>
        <v>-2.21313572853666</v>
      </c>
      <c r="AZ334" s="257">
        <f>IFERROR(IF(AND(COUNT(AW335,AX335,AY335,AZ335)=4,N(AZ339)&lt;&gt;0),(AW335+AX335+AY335+AZ335)/AZ339,""),"")</f>
        <v>-1.34445190202784</v>
      </c>
      <c r="BA334" s="257">
        <f>IFERROR(IF(AND(COUNT(AW335,AX335,AY335,AZ335)=4,N(BA339)&lt;&gt;0),(AW335+AX335+AY335+AZ335)/BA339,""),"")</f>
        <v>-1.34445190202784</v>
      </c>
      <c r="BB334" s="257">
        <f>IFERROR(IF(AND(COUNT(AX335,AY335,AZ335,BB335)=4,N(BB339)&lt;&gt;0),(AX335+AY335+AZ335+BB335)/BB339,""),"")</f>
        <v>-0.927753843650348</v>
      </c>
      <c r="BC334" s="257">
        <f>IFERROR(IF(AND(COUNT(AY335,AZ335,BB335,BC335)=4,N(BC339)&lt;&gt;0),(AY335+AZ335+BB335+BC335)/BC339,""),"")</f>
        <v>-0.69883151287924</v>
      </c>
      <c r="BD334" s="257">
        <f>IFERROR(IF(AND(COUNT(AZ335,BB335,BC335,BD335)=4,N(BD339)&lt;&gt;0),(AZ335+BB335+BC335+BD335)/BD339,""),"")</f>
        <v>-0.481191937169469</v>
      </c>
      <c r="BE334" s="257">
        <f>IFERROR(IF(AND(COUNT(BB335,BC335,BD335,BE335)=4,N(BE339)&lt;&gt;0),(BB335+BC335+BD335+BE335)/BE339,""),"")</f>
        <v>-0.357835488812467</v>
      </c>
      <c r="BF334" s="257">
        <f>IFERROR(IF(AND(COUNT(BB335,BC335,BD335,BE335)=4,N(BF339)&lt;&gt;0),(BB335+BC335+BD335+BE335)/BF339,""),"")</f>
        <v>-0.357835488812467</v>
      </c>
      <c r="BG334" s="81" t="n"/>
      <c r="BH334" s="81" t="n"/>
      <c r="BI334" s="81" t="n"/>
      <c r="BJ334" s="81" t="n"/>
      <c r="BL334" s="81" t="n"/>
      <c r="BM334" s="81" t="n"/>
      <c r="BN334" s="81" t="n"/>
      <c r="BO334" s="81" t="n"/>
      <c r="BQ334" s="81" t="n"/>
      <c r="BR334" s="81" t="n"/>
      <c r="BS334" s="81" t="n"/>
      <c r="BT334" s="81" t="n"/>
      <c r="BV334" s="81" t="n"/>
      <c r="BW334" s="81" t="n"/>
      <c r="BX334" s="81" t="n"/>
      <c r="BY334" s="81" t="n"/>
      <c r="CA334" s="81" t="n"/>
      <c r="CB334" s="81" t="n"/>
      <c r="CC334" s="81" t="n"/>
      <c r="CD334" s="81" t="n"/>
      <c r="CF334" s="81" t="n"/>
      <c r="CG334" s="81" t="n"/>
      <c r="CH334" s="81" t="n"/>
      <c r="CI334" s="81" t="n"/>
      <c r="CK334" s="81" t="n"/>
      <c r="CL334" s="81" t="n"/>
      <c r="CM334" s="81" t="n"/>
      <c r="CN334" s="81" t="n"/>
      <c r="CP334" s="81" t="n"/>
      <c r="CQ334" s="81" t="n"/>
      <c r="CR334" s="81" t="n"/>
      <c r="CS334" s="81" t="n"/>
      <c r="CU334" s="81" t="n"/>
      <c r="CV334" s="81" t="n"/>
      <c r="CW334" s="81" t="n"/>
      <c r="CX334" s="81" t="n"/>
    </row>
    <row r="335" customFormat="1" s="77">
      <c r="A335" s="76" t="n"/>
      <c r="B335" s="76" t="n"/>
      <c r="C335" s="77" t="inlineStr">
        <is>
          <t>NOPLAT</t>
        </is>
      </c>
      <c r="D335">
        <f>IFERROR(D336*(1-D337),"")</f>
        <v>0</v>
      </c>
      <c r="E335">
        <f>IFERROR(E336*(1-E337),"")</f>
        <v>0</v>
      </c>
      <c r="F335">
        <f>IFERROR(F336*(1-F337),"")</f>
        <v>0</v>
      </c>
      <c r="G335">
        <f>IFERROR(G336*(1-G337),"")</f>
        <v>0</v>
      </c>
      <c r="H335" s="263">
        <f>IFERROR(H336*(1-N(H337)),0)</f>
        <v>0</v>
      </c>
      <c r="I335" s="263">
        <f>IFERROR(I336*(1-N(I337)),0)</f>
        <v>1975</v>
      </c>
      <c r="J335" s="263">
        <f>IFERROR(J336*(1-N(J337)),0)</f>
        <v>2126</v>
      </c>
      <c r="K335" s="263">
        <f>IFERROR(K336*(1-N(K337)),0)</f>
        <v>2366.80912863071</v>
      </c>
      <c r="L335" s="263">
        <f>IFERROR(L336*(1-N(L337)),0)</f>
        <v>2859.3137327875</v>
      </c>
      <c r="M335" s="263">
        <f>IFERROR(M336*(1-N(M337)),0)</f>
        <v>9501.20228061477</v>
      </c>
      <c r="N335" s="263">
        <f>IFERROR(N336*(1-N(N337)),0)</f>
        <v>3150.70250896057</v>
      </c>
      <c r="O335" s="263">
        <f>IFERROR(O336*(1-N(O337)),0)</f>
        <v>3442.47467785436</v>
      </c>
      <c r="P335" s="263">
        <f>IFERROR(P336*(1-N(P337)),0)</f>
        <v>3698.61160220995</v>
      </c>
      <c r="Q335" s="263">
        <f>IFERROR(Q336*(1-N(Q337)),0)</f>
        <v>4032.4796875</v>
      </c>
      <c r="R335" s="263">
        <f>IFERROR(R336*(1-N(R337)),0)</f>
        <v>14335.0511518363</v>
      </c>
      <c r="S335" s="263">
        <f>IFERROR(S336*(1-N(S337)),0)</f>
        <v>3754.53390742734</v>
      </c>
      <c r="T335" s="263">
        <f>IFERROR(T336*(1-N(T337)),0)</f>
        <v>3563.61723559038</v>
      </c>
      <c r="U335" s="263">
        <f>IFERROR(U336*(1-N(U337)),0)</f>
        <v>3766.51373834132</v>
      </c>
      <c r="V335" s="263">
        <f>IFERROR(V336*(1-N(V337)),0)</f>
        <v>1977.45305514158</v>
      </c>
      <c r="W335" s="263">
        <f>IFERROR(W336*(1-N(W337)),0)</f>
        <v>13041.8155409159</v>
      </c>
      <c r="X335" s="263">
        <f>IFERROR(X336*(1-N(X337)),0)</f>
        <v>2965</v>
      </c>
      <c r="Y335" s="263">
        <f>IFERROR(Y336*(1-N(Y337)),0)</f>
        <v>0</v>
      </c>
      <c r="Z335" s="263">
        <f>IFERROR(Z336*(1-N(Z337)),0)</f>
        <v>4627</v>
      </c>
      <c r="AA335" s="263">
        <f>IFERROR(AA336*(1-N(AA337)),0)</f>
        <v>6260</v>
      </c>
      <c r="AB335" s="263">
        <f>IFERROR(AB336*(1-N(AB337)),0)</f>
        <v>13040.6058020478</v>
      </c>
      <c r="AC335" s="263">
        <f>IFERROR(AC336*(1-N(AC337)),0)</f>
        <v>5691.44247787611</v>
      </c>
      <c r="AD335" s="263">
        <f>IFERROR(AD336*(1-N(AD337)),0)</f>
        <v>4611.5761589404</v>
      </c>
      <c r="AE335" s="263">
        <f>IFERROR(AE336*(1-N(AE337)),0)</f>
        <v>7508</v>
      </c>
      <c r="AF335" s="263">
        <f>IFERROR(AF336*(1-N(AF337)),0)</f>
        <v>7679.01000610128</v>
      </c>
      <c r="AG335" s="263">
        <f>IFERROR(AG336*(1-N(AG337)),0)</f>
        <v>27282.2585515452</v>
      </c>
      <c r="AH335" s="263">
        <f>IFERROR(AH336*(1-N(AH337)),0)</f>
        <v>9914.73642645607</v>
      </c>
      <c r="AI335" s="263">
        <f>IFERROR(AI336*(1-N(AI337)),0)</f>
        <v>13670.6409165303</v>
      </c>
      <c r="AJ335" s="263">
        <f>IFERROR(AJ336*(1-N(AJ337)),0)</f>
        <v>10419.0583108101</v>
      </c>
      <c r="AK335" s="263">
        <f>IFERROR(AK336*(1-N(AK337)),0)</f>
        <v>11168.6058862089</v>
      </c>
      <c r="AL335" s="263">
        <f>IFERROR(AL336*(1-N(AL337)),0)</f>
        <v>45220.4696744701</v>
      </c>
      <c r="AM335" s="263">
        <f>IFERROR(AM336*(1-N(AM337)),0)</f>
        <v>12831.9537464303</v>
      </c>
      <c r="AN335" s="263">
        <f>IFERROR(AN336*(1-N(AN337)),0)</f>
        <v>17114.0912836625</v>
      </c>
      <c r="AO335" s="263">
        <f>IFERROR(AO336*(1-N(AO337)),0)</f>
        <v>14468.8088995024</v>
      </c>
      <c r="AP335" s="263">
        <f>IFERROR(AP336*(1-N(AP337)),0)</f>
        <v>15509.6957345707</v>
      </c>
      <c r="AQ335" s="263">
        <f>IFERROR(AQ336*(1-N(AQ337)),0)</f>
        <v>59924.549664166</v>
      </c>
      <c r="AR335" s="263">
        <f>IFERROR(AR336*(1-N(AR337)),0)</f>
        <v>17755.4052078573</v>
      </c>
      <c r="AS335" s="263">
        <f>IFERROR(AS336*(1-N(AS337)),0)</f>
        <v>23680.542457552</v>
      </c>
      <c r="AT335" s="263">
        <f>IFERROR(AT336*(1-N(AT337)),0)</f>
        <v>20020.3001010024</v>
      </c>
      <c r="AU335" s="263">
        <f>IFERROR(AU336*(1-N(AU337)),0)</f>
        <v>21460.56149045</v>
      </c>
      <c r="AV335" s="263">
        <f>IFERROR(AV336*(1-N(AV337)),0)</f>
        <v>82916.8092568618</v>
      </c>
      <c r="AW335" s="263">
        <f>IFERROR(AW336*(1-N(AW337)),0)</f>
        <v>24479.1430526086</v>
      </c>
      <c r="AX335" s="263">
        <f>IFERROR(AX336*(1-N(AX337)),0)</f>
        <v>32648.0516550116</v>
      </c>
      <c r="AY335" s="263">
        <f>IFERROR(AY336*(1-N(AY337)),0)</f>
        <v>27601.7237788365</v>
      </c>
      <c r="AZ335" s="263">
        <f>IFERROR(AZ336*(1-N(AZ337)),0)</f>
        <v>29587.393166423</v>
      </c>
      <c r="BA335" s="263">
        <f>IFERROR(BA336*(1-N(BA337)),0)</f>
        <v>114316.31165288</v>
      </c>
      <c r="BB335" s="263">
        <f>IFERROR(BB336*(1-N(BB337)),0)</f>
        <v>33626.6760504942</v>
      </c>
      <c r="BC335" s="263">
        <f>IFERROR(BC336*(1-N(BC337)),0)</f>
        <v>44848.1980894296</v>
      </c>
      <c r="BD335" s="263">
        <f>IFERROR(BD336*(1-N(BD337)),0)</f>
        <v>37916.1240224562</v>
      </c>
      <c r="BE335" s="263">
        <f>IFERROR(BE336*(1-N(BE337)),0)</f>
        <v>40643.8118788594</v>
      </c>
      <c r="BF335" s="263">
        <f>IFERROR(BF336*(1-N(BF337)),0)</f>
        <v>157034.81004124</v>
      </c>
      <c r="BG335" s="85" t="n"/>
      <c r="BH335" s="76" t="n"/>
      <c r="BI335" s="76" t="n"/>
      <c r="BJ335" s="76" t="n"/>
      <c r="BL335" s="85" t="n"/>
      <c r="BM335" s="76" t="n"/>
      <c r="BN335" s="76" t="n"/>
      <c r="BO335" s="76" t="n"/>
      <c r="BQ335" s="85" t="n"/>
      <c r="BR335" s="76" t="n"/>
      <c r="BS335" s="76" t="n"/>
      <c r="BT335" s="76" t="n"/>
      <c r="BV335" s="85" t="n"/>
      <c r="BW335" s="76" t="n"/>
      <c r="BX335" s="76" t="n"/>
      <c r="BY335" s="76" t="n"/>
      <c r="CA335" s="85" t="n"/>
      <c r="CB335" s="76" t="n"/>
      <c r="CC335" s="76" t="n"/>
      <c r="CD335" s="76" t="n"/>
      <c r="CF335" s="85" t="n"/>
      <c r="CG335" s="76" t="n"/>
      <c r="CH335" s="76" t="n"/>
      <c r="CI335" s="76" t="n"/>
      <c r="CK335" s="85" t="n"/>
      <c r="CL335" s="76" t="n"/>
      <c r="CM335" s="76" t="n"/>
      <c r="CN335" s="76" t="n"/>
      <c r="CP335" s="85" t="n"/>
      <c r="CQ335" s="76" t="n"/>
      <c r="CR335" s="76" t="n"/>
      <c r="CS335" s="76" t="n"/>
      <c r="CU335" s="85" t="n"/>
      <c r="CV335" s="76" t="n"/>
      <c r="CW335" s="76" t="n"/>
      <c r="CX335" s="76" t="n"/>
    </row>
    <row r="336" customFormat="1" s="77">
      <c r="A336" s="76" t="n"/>
      <c r="B336" s="76" t="n"/>
      <c r="C336" s="77" t="inlineStr">
        <is>
          <t>EBIT</t>
        </is>
      </c>
      <c r="D336" s="86">
        <f>IFERROR(D118,"")</f>
        <v>0</v>
      </c>
      <c r="E336" s="86">
        <f>IFERROR(E118,"")</f>
        <v>0</v>
      </c>
      <c r="F336" s="86">
        <f>IFERROR(F118,"")</f>
        <v>0</v>
      </c>
      <c r="G336" s="86">
        <f>IFERROR(G118,"")</f>
        <v>0</v>
      </c>
      <c r="H336" s="263">
        <f>IFERROR(H61,0)</f>
        <v>0</v>
      </c>
      <c r="I336" s="263">
        <f>IFERROR(I61,0)</f>
        <v>1975</v>
      </c>
      <c r="J336" s="263">
        <f>IFERROR(J61,0)</f>
        <v>2126</v>
      </c>
      <c r="K336" s="263">
        <f>IFERROR(K61,0)</f>
        <v>2581</v>
      </c>
      <c r="L336" s="263">
        <f>IFERROR(L61,0)</f>
        <v>3108</v>
      </c>
      <c r="M336" s="263">
        <f>IFERROR(M61,0)</f>
        <v>9790</v>
      </c>
      <c r="N336" s="263">
        <f>IFERROR(N61,0)</f>
        <v>3394</v>
      </c>
      <c r="O336" s="263">
        <f>IFERROR(O61,0)</f>
        <v>3737</v>
      </c>
      <c r="P336" s="263">
        <f>IFERROR(P61,0)</f>
        <v>3986</v>
      </c>
      <c r="Q336" s="263">
        <f>IFERROR(Q61,0)</f>
        <v>4103</v>
      </c>
      <c r="R336" s="263">
        <f>IFERROR(R61,0)</f>
        <v>15220</v>
      </c>
      <c r="S336" s="263">
        <f>IFERROR(S61,0)</f>
        <v>4008</v>
      </c>
      <c r="T336" s="263">
        <f>IFERROR(T61,0)</f>
        <v>3856</v>
      </c>
      <c r="U336" s="263">
        <f>IFERROR(U61,0)</f>
        <v>4240</v>
      </c>
      <c r="V336" s="263">
        <f>IFERROR(V61,0)</f>
        <v>2083</v>
      </c>
      <c r="W336" s="263">
        <f>IFERROR(W61,0)</f>
        <v>14187</v>
      </c>
      <c r="X336" s="263">
        <f>IFERROR(X61,0)</f>
        <v>2965</v>
      </c>
      <c r="Y336" s="263">
        <f>IFERROR(Y61,0)</f>
        <v>3788</v>
      </c>
      <c r="Z336" s="263">
        <f>IFERROR(Z61,0)</f>
        <v>4627</v>
      </c>
      <c r="AA336" s="263">
        <f>IFERROR(AA61,0)</f>
        <v>6260</v>
      </c>
      <c r="AB336" s="263">
        <f>IFERROR(AB61,0)</f>
        <v>17640</v>
      </c>
      <c r="AC336" s="263">
        <f>IFERROR(AC61,0)</f>
        <v>5829</v>
      </c>
      <c r="AD336" s="263">
        <f>IFERROR(AD61,0)</f>
        <v>5887</v>
      </c>
      <c r="AE336" s="263">
        <f>IFERROR(AE61,0)</f>
        <v>7508</v>
      </c>
      <c r="AF336" s="263">
        <f>IFERROR(AF61,0)</f>
        <v>8563</v>
      </c>
      <c r="AG336" s="263">
        <f>IFERROR(AG61,0)</f>
        <v>27787</v>
      </c>
      <c r="AH336" s="263">
        <f>IFERROR(AH61,0)</f>
        <v>10788</v>
      </c>
      <c r="AI336" s="263">
        <f>IFERROR(AI61,0)</f>
        <v>15955</v>
      </c>
      <c r="AJ336" s="263">
        <f>IFERROR(AJ61,0)</f>
        <v>11020.681239389</v>
      </c>
      <c r="AK336" s="263">
        <f>IFERROR(AK61,0)</f>
        <v>11813.5095983259</v>
      </c>
      <c r="AL336" s="263">
        <f>IFERROR(AL61,0)</f>
        <v>49577.1908377149</v>
      </c>
      <c r="AM336" s="263">
        <f>IFERROR(AM61,0)</f>
        <v>13572.9033948556</v>
      </c>
      <c r="AN336" s="263">
        <f>IFERROR(AN61,0)</f>
        <v>18102.3024454488</v>
      </c>
      <c r="AO336" s="263">
        <f>IFERROR(AO61,0)</f>
        <v>15304.2747279388</v>
      </c>
      <c r="AP336" s="263">
        <f>IFERROR(AP61,0)</f>
        <v>16405.2650164433</v>
      </c>
      <c r="AQ336" s="263">
        <f>IFERROR(AQ61,0)</f>
        <v>63384.7455846866</v>
      </c>
      <c r="AR336" s="263">
        <f>IFERROR(AR61,0)</f>
        <v>18780.6474668602</v>
      </c>
      <c r="AS336" s="263">
        <f>IFERROR(AS61,0)</f>
        <v>25047.9172124154</v>
      </c>
      <c r="AT336" s="263">
        <f>IFERROR(AT61,0)</f>
        <v>21176.3231520778</v>
      </c>
      <c r="AU336" s="263">
        <f>IFERROR(AU61,0)</f>
        <v>22699.7488975728</v>
      </c>
      <c r="AV336" s="263">
        <f>IFERROR(AV61,0)</f>
        <v>87704.6367289262</v>
      </c>
      <c r="AW336" s="263">
        <f>IFERROR(AW61,0)</f>
        <v>25892.6310371354</v>
      </c>
      <c r="AX336" s="263">
        <f>IFERROR(AX61,0)</f>
        <v>34533.2332005172</v>
      </c>
      <c r="AY336" s="263">
        <f>IFERROR(AY61,0)</f>
        <v>29195.5175170309</v>
      </c>
      <c r="AZ336" s="263">
        <f>IFERROR(AZ61,0)</f>
        <v>31295.8445057665</v>
      </c>
      <c r="BA336" s="263">
        <f>IFERROR(BA61,0)</f>
        <v>120917.22626045</v>
      </c>
      <c r="BB336" s="263">
        <f>IFERROR(BB61,0)</f>
        <v>35568.3658578048</v>
      </c>
      <c r="BC336" s="263">
        <f>IFERROR(BC61,0)</f>
        <v>47437.8471221122</v>
      </c>
      <c r="BD336" s="263">
        <f>IFERROR(BD61,0)</f>
        <v>40105.4974662238</v>
      </c>
      <c r="BE336" s="263">
        <f>IFERROR(BE61,0)</f>
        <v>42990.6889575492</v>
      </c>
      <c r="BF336" s="263">
        <f>IFERROR(BF61,0)</f>
        <v>166102.39940369</v>
      </c>
      <c r="BG336" s="63" t="n"/>
      <c r="BH336" s="63" t="n"/>
      <c r="BI336" s="63" t="n"/>
      <c r="BJ336" s="63" t="n"/>
      <c r="BL336" s="63" t="n"/>
      <c r="BM336" s="63" t="n"/>
      <c r="BN336" s="63" t="n"/>
      <c r="BO336" s="63" t="n"/>
      <c r="BQ336" s="63" t="n"/>
      <c r="BR336" s="63" t="n"/>
      <c r="BS336" s="63" t="n"/>
      <c r="BT336" s="63" t="n"/>
      <c r="BV336" s="63" t="n"/>
      <c r="BW336" s="63" t="n"/>
      <c r="BX336" s="63" t="n"/>
      <c r="BY336" s="63" t="n"/>
      <c r="CA336" s="63" t="n"/>
      <c r="CB336" s="63" t="n"/>
      <c r="CC336" s="63" t="n"/>
      <c r="CD336" s="63" t="n"/>
      <c r="CF336" s="63" t="n"/>
      <c r="CG336" s="63" t="n"/>
      <c r="CH336" s="63" t="n"/>
      <c r="CI336" s="63" t="n"/>
      <c r="CK336" s="63" t="n"/>
      <c r="CL336" s="63" t="n"/>
      <c r="CM336" s="63" t="n"/>
      <c r="CN336" s="63" t="n"/>
      <c r="CP336" s="63" t="n"/>
      <c r="CQ336" s="63" t="n"/>
      <c r="CR336" s="63" t="n"/>
      <c r="CS336" s="63" t="n"/>
      <c r="CU336" s="63" t="n"/>
      <c r="CV336" s="63" t="n"/>
      <c r="CW336" s="63" t="n"/>
      <c r="CX336" s="63" t="n"/>
    </row>
    <row r="337" customFormat="1" s="77">
      <c r="A337" s="76" t="n"/>
      <c r="B337" s="76" t="n"/>
      <c r="C337" s="77" t="inlineStr">
        <is>
          <t>ETR (LIMITED TO 0%-100%)</t>
        </is>
      </c>
      <c r="D337" s="87">
        <f>IFERROR(D120,"")</f>
        <v>0</v>
      </c>
      <c r="E337" s="87">
        <f>IFERROR(E120,"")</f>
        <v>0</v>
      </c>
      <c r="F337" s="87">
        <f>IFERROR(F120,"")</f>
        <v>0</v>
      </c>
      <c r="G337" s="87">
        <f>IFERROR(G120,"")</f>
        <v>0</v>
      </c>
      <c r="H337" s="258" t="str">
        <f>IFERROR(IF(N(H118)&lt;&gt;0,MAX(0,MIN(1,-H119/H118)),""),"")</f>
        <v/>
      </c>
      <c r="I337" s="258">
        <f>IFERROR(IF(N(I118)&lt;&gt;0,MAX(0,MIN(1,-I119/I118)),""),"")</f>
        <v>0</v>
      </c>
      <c r="J337" s="258">
        <f>IFERROR(IF(N(J118)&lt;&gt;0,MAX(0,MIN(1,-J119/J118)),""),"")</f>
        <v>0</v>
      </c>
      <c r="K337" s="258">
        <f>IFERROR(IF(N(K118)&lt;&gt;0,MAX(0,MIN(1,-K119/K118)),""),"")</f>
        <v>0.0829875518672199</v>
      </c>
      <c r="L337" s="258">
        <f>IFERROR(IF(N(L118)&lt;&gt;0,MAX(0,MIN(1,-L119/L118)),""),"")</f>
        <v>0.0800148864905099</v>
      </c>
      <c r="M337" s="258">
        <f>IFERROR(IF(N(M118)&lt;&gt;0,MAX(0,MIN(1,-M119/M118)),""),"")</f>
        <v>0.0294992563212692</v>
      </c>
      <c r="N337" s="258">
        <f>IFERROR(IF(N(N118)&lt;&gt;0,MAX(0,MIN(1,-N119/N118)),""),"")</f>
        <v>0.0716845878136201</v>
      </c>
      <c r="O337" s="258">
        <f>IFERROR(IF(N(O118)&lt;&gt;0,MAX(0,MIN(1,-O119/O118)),""),"")</f>
        <v>0.0788133053640995</v>
      </c>
      <c r="P337" s="258">
        <f>IFERROR(IF(N(P118)&lt;&gt;0,MAX(0,MIN(1,-P119/P118)),""),"")</f>
        <v>0.0720994475138122</v>
      </c>
      <c r="Q337" s="258">
        <f>IFERROR(IF(N(Q118)&lt;&gt;0,MAX(0,MIN(1,-Q119/Q118)),""),"")</f>
        <v>0.0171875</v>
      </c>
      <c r="R337" s="258">
        <f>IFERROR(IF(N(R118)&lt;&gt;0,MAX(0,MIN(1,-R119/R118)),""),"")</f>
        <v>0.0581438139397954</v>
      </c>
      <c r="S337" s="258">
        <f>IFERROR(IF(N(S118)&lt;&gt;0,MAX(0,MIN(1,-S119/S118)),""),"")</f>
        <v>0.0632400430570506</v>
      </c>
      <c r="T337" s="258">
        <f>IFERROR(IF(N(T118)&lt;&gt;0,MAX(0,MIN(1,-T119/T118)),""),"")</f>
        <v>0.0758254057078903</v>
      </c>
      <c r="U337" s="258">
        <f>IFERROR(IF(N(U118)&lt;&gt;0,MAX(0,MIN(1,-U119/U118)),""),"")</f>
        <v>0.111671288127048</v>
      </c>
      <c r="V337" s="258">
        <f>IFERROR(IF(N(V118)&lt;&gt;0,MAX(0,MIN(1,-V119/V118)),""),"")</f>
        <v>0.0506706408345753</v>
      </c>
      <c r="W337" s="258">
        <f>IFERROR(IF(N(W118)&lt;&gt;0,MAX(0,MIN(1,-W119/W118)),""),"")</f>
        <v>0.0807206921184221</v>
      </c>
      <c r="X337" s="258">
        <f>IFERROR(IF(N(X118)&lt;&gt;0,MAX(0,MIN(1,-X119/X118)),""),"")</f>
        <v>0</v>
      </c>
      <c r="Y337" s="258">
        <f>IFERROR(IF(N(Y118)&lt;&gt;0,MAX(0,MIN(1,-Y119/Y118)),""),"")</f>
        <v>1</v>
      </c>
      <c r="Z337" s="258">
        <f>IFERROR(IF(N(Z118)&lt;&gt;0,MAX(0,MIN(1,-Z119/Z118)),""),"")</f>
        <v>0</v>
      </c>
      <c r="AA337" s="258">
        <f>IFERROR(IF(N(AA118)&lt;&gt;0,MAX(0,MIN(1,-AA119/AA118)),""),"")</f>
        <v>0</v>
      </c>
      <c r="AB337" s="258">
        <f>IFERROR(IF(N(AB118)&lt;&gt;0,MAX(0,MIN(1,-AB119/AB118)),""),"")</f>
        <v>0.260736632536974</v>
      </c>
      <c r="AC337" s="258">
        <f>IFERROR(IF(N(AC118)&lt;&gt;0,MAX(0,MIN(1,-AC119/AC118)),""),"")</f>
        <v>0.0235988200589971</v>
      </c>
      <c r="AD337" s="258">
        <f>IFERROR(IF(N(AD118)&lt;&gt;0,MAX(0,MIN(1,-AD119/AD118)),""),"")</f>
        <v>0.216650898770104</v>
      </c>
      <c r="AE337" s="258">
        <f>IFERROR(IF(N(AE118)&lt;&gt;0,MAX(0,MIN(1,-AE119/AE118)),""),"")</f>
        <v>0</v>
      </c>
      <c r="AF337" s="258">
        <f>IFERROR(IF(N(AF118)&lt;&gt;0,MAX(0,MIN(1,-AF119/AF118)),""),"")</f>
        <v>0.103233679072605</v>
      </c>
      <c r="AG337" s="258">
        <f>IFERROR(IF(N(AG118)&lt;&gt;0,MAX(0,MIN(1,-AG119/AG118)),""),"")</f>
        <v>0.0181646614767634</v>
      </c>
      <c r="AH337" s="258">
        <f>IFERROR(IF(N(AH118)&lt;&gt;0,MAX(0,MIN(1,-AH119/AH118)),""),"")</f>
        <v>0.0809476801579467</v>
      </c>
      <c r="AI337" s="258">
        <f>IFERROR(IF(N(AI118)&lt;&gt;0,MAX(0,MIN(1,-AI119/AI118)),""),"")</f>
        <v>0.143175122749591</v>
      </c>
      <c r="AJ337" s="258">
        <f>IFERROR(IF(N(AJ118)&lt;&gt;0,MAX(0,MIN(1,-AJ119/AJ118)),""),"")</f>
        <v>0.0545903574843183</v>
      </c>
      <c r="AK337" s="258">
        <f>IFERROR(IF(N(AK118)&lt;&gt;0,MAX(0,MIN(1,-AK119/AK118)),""),"")</f>
        <v>0.0545903574843184</v>
      </c>
      <c r="AL337" s="258">
        <f>IFERROR(IF(N(AL118)&lt;&gt;0,MAX(0,MIN(1,-AL119/AL118)),""),"")</f>
        <v>0.0878775317767804</v>
      </c>
      <c r="AM337" s="258">
        <f>IFERROR(IF(N(AM118)&lt;&gt;0,MAX(0,MIN(1,-AM119/AM118)),""),"")</f>
        <v>0.0545903574843183</v>
      </c>
      <c r="AN337" s="258">
        <f>IFERROR(IF(N(AN118)&lt;&gt;0,MAX(0,MIN(1,-AN119/AN118)),""),"")</f>
        <v>0.0545903574843183</v>
      </c>
      <c r="AO337" s="258">
        <f>IFERROR(IF(N(AO118)&lt;&gt;0,MAX(0,MIN(1,-AO119/AO118)),""),"")</f>
        <v>0.0545903574843183</v>
      </c>
      <c r="AP337" s="258">
        <f>IFERROR(IF(N(AP118)&lt;&gt;0,MAX(0,MIN(1,-AP119/AP118)),""),"")</f>
        <v>0.0545903574843183</v>
      </c>
      <c r="AQ337" s="258">
        <f>IFERROR(IF(N(AQ118)&lt;&gt;0,MAX(0,MIN(1,-AQ119/AQ118)),""),"")</f>
        <v>0.0545903574843183</v>
      </c>
      <c r="AR337" s="258">
        <f>IFERROR(IF(N(AR118)&lt;&gt;0,MAX(0,MIN(1,-AR119/AR118)),""),"")</f>
        <v>0.0545903574843183</v>
      </c>
      <c r="AS337" s="258">
        <f>IFERROR(IF(N(AS118)&lt;&gt;0,MAX(0,MIN(1,-AS119/AS118)),""),"")</f>
        <v>0.0545903574843183</v>
      </c>
      <c r="AT337" s="258">
        <f>IFERROR(IF(N(AT118)&lt;&gt;0,MAX(0,MIN(1,-AT119/AT118)),""),"")</f>
        <v>0.0545903574843183</v>
      </c>
      <c r="AU337" s="258">
        <f>IFERROR(IF(N(AU118)&lt;&gt;0,MAX(0,MIN(1,-AU119/AU118)),""),"")</f>
        <v>0.0545903574843183</v>
      </c>
      <c r="AV337" s="258">
        <f>IFERROR(IF(N(AV118)&lt;&gt;0,MAX(0,MIN(1,-AV119/AV118)),""),"")</f>
        <v>0.0545903574843183</v>
      </c>
      <c r="AW337" s="258">
        <f>IFERROR(IF(N(AW118)&lt;&gt;0,MAX(0,MIN(1,-AW119/AW118)),""),"")</f>
        <v>0.0545903574843183</v>
      </c>
      <c r="AX337" s="258">
        <f>IFERROR(IF(N(AX118)&lt;&gt;0,MAX(0,MIN(1,-AX119/AX118)),""),"")</f>
        <v>0.0545903574843183</v>
      </c>
      <c r="AY337" s="258">
        <f>IFERROR(IF(N(AY118)&lt;&gt;0,MAX(0,MIN(1,-AY119/AY118)),""),"")</f>
        <v>0.0545903574843183</v>
      </c>
      <c r="AZ337" s="258">
        <f>IFERROR(IF(N(AZ118)&lt;&gt;0,MAX(0,MIN(1,-AZ119/AZ118)),""),"")</f>
        <v>0.0545903574843183</v>
      </c>
      <c r="BA337" s="258">
        <f>IFERROR(IF(N(BA118)&lt;&gt;0,MAX(0,MIN(1,-BA119/BA118)),""),"")</f>
        <v>0.0545903574843183</v>
      </c>
      <c r="BB337" s="258">
        <f>IFERROR(IF(N(BB118)&lt;&gt;0,MAX(0,MIN(1,-BB119/BB118)),""),"")</f>
        <v>0.0545903574843183</v>
      </c>
      <c r="BC337" s="258">
        <f>IFERROR(IF(N(BC118)&lt;&gt;0,MAX(0,MIN(1,-BC119/BC118)),""),"")</f>
        <v>0.0545903574843183</v>
      </c>
      <c r="BD337" s="258">
        <f>IFERROR(IF(N(BD118)&lt;&gt;0,MAX(0,MIN(1,-BD119/BD118)),""),"")</f>
        <v>0.0545903574843183</v>
      </c>
      <c r="BE337" s="258">
        <f>IFERROR(IF(N(BE118)&lt;&gt;0,MAX(0,MIN(1,-BE119/BE118)),""),"")</f>
        <v>0.0545903574843183</v>
      </c>
      <c r="BF337" s="258">
        <f>IFERROR(IF(N(BF118)&lt;&gt;0,MAX(0,MIN(1,-BF119/BF118)),""),"")</f>
        <v>0.0545903574843183</v>
      </c>
      <c r="BG337" s="88" t="n"/>
      <c r="BH337" s="88" t="n"/>
      <c r="BI337" s="88" t="n"/>
      <c r="BJ337" s="88" t="n"/>
      <c r="BL337" s="88" t="n"/>
      <c r="BM337" s="88" t="n"/>
      <c r="BN337" s="88" t="n"/>
      <c r="BO337" s="88" t="n"/>
      <c r="BQ337" s="88" t="n"/>
      <c r="BR337" s="88" t="n"/>
      <c r="BS337" s="88" t="n"/>
      <c r="BT337" s="88" t="n"/>
      <c r="BV337" s="88" t="n"/>
      <c r="BW337" s="88" t="n"/>
      <c r="BX337" s="88" t="n"/>
      <c r="BY337" s="88" t="n"/>
      <c r="CA337" s="88" t="n"/>
      <c r="CB337" s="88" t="n"/>
      <c r="CC337" s="88" t="n"/>
      <c r="CD337" s="88" t="n"/>
      <c r="CF337" s="88" t="n"/>
      <c r="CG337" s="88" t="n"/>
      <c r="CH337" s="88" t="n"/>
      <c r="CI337" s="88" t="n"/>
      <c r="CK337" s="88" t="n"/>
      <c r="CL337" s="88" t="n"/>
      <c r="CM337" s="88" t="n"/>
      <c r="CN337" s="88" t="n"/>
      <c r="CP337" s="88" t="n"/>
      <c r="CQ337" s="88" t="n"/>
      <c r="CR337" s="88" t="n"/>
      <c r="CS337" s="88" t="n"/>
      <c r="CU337" s="88" t="n"/>
      <c r="CV337" s="88" t="n"/>
      <c r="CW337" s="88" t="n"/>
      <c r="CX337" s="88" t="n"/>
    </row>
    <row r="338" customFormat="1" s="77">
      <c r="A338" s="76" t="n"/>
      <c r="B338" s="76" t="n"/>
      <c r="C338" s="77" t="inlineStr">
        <is>
          <t>INVESTED CAPITAL</t>
        </is>
      </c>
      <c r="D338" s="86">
        <f>IFERROR(D341-D342+D343,"")</f>
        <v>0</v>
      </c>
      <c r="E338" s="86">
        <f>IFERROR(E341-E342+E343,"")</f>
        <v>0</v>
      </c>
      <c r="F338" s="86">
        <f>IFERROR(F341-F342+F343,"")</f>
        <v>0</v>
      </c>
      <c r="G338" s="86">
        <f>IFERROR(G341-G342+G343,"")</f>
        <v>0</v>
      </c>
      <c r="H338" s="263">
        <f>IFERROR(H340+H343,0)</f>
        <v>0</v>
      </c>
      <c r="I338" s="263">
        <f>IFERROR(I340+I343,0)</f>
        <v>54886</v>
      </c>
      <c r="J338" s="263">
        <f>IFERROR(J340+J343,0)</f>
        <v>53719</v>
      </c>
      <c r="K338" s="263">
        <f>IFERROR(K340+K343,0)</f>
        <v>52556</v>
      </c>
      <c r="L338" s="263">
        <f>IFERROR(L340+L343,0)</f>
        <v>52280</v>
      </c>
      <c r="M338" s="263">
        <f>IFERROR(M340+M343,0)</f>
        <v>52280</v>
      </c>
      <c r="N338" s="263">
        <f>IFERROR(N340+N343,0)</f>
        <v>51451</v>
      </c>
      <c r="O338" s="263">
        <f>IFERROR(O340+O343,0)</f>
        <v>50421</v>
      </c>
      <c r="P338" s="263">
        <f>IFERROR(P340+P343,0)</f>
        <v>49808</v>
      </c>
      <c r="Q338" s="263">
        <f>IFERROR(Q340+Q343,0)</f>
        <v>49945</v>
      </c>
      <c r="R338" s="263">
        <f>IFERROR(R340+R343,0)</f>
        <v>49945</v>
      </c>
      <c r="S338" s="263">
        <f>IFERROR(S340+S343,0)</f>
        <v>49765</v>
      </c>
      <c r="T338" s="263">
        <f>IFERROR(T340+T343,0)</f>
        <v>49365</v>
      </c>
      <c r="U338" s="263">
        <f>IFERROR(U340+U343,0)</f>
        <v>49028</v>
      </c>
      <c r="V338" s="263">
        <f>IFERROR(V340+V343,0)</f>
        <v>134321</v>
      </c>
      <c r="W338" s="263">
        <f>IFERROR(W340+W343,0)</f>
        <v>134321</v>
      </c>
      <c r="X338" s="263">
        <f>IFERROR(X340+X343,0)</f>
        <v>134168</v>
      </c>
      <c r="Y338" s="263">
        <f>IFERROR(Y340+Y343,0)</f>
        <v>125658</v>
      </c>
      <c r="Z338" s="263">
        <f>IFERROR(Z340+Z343,0)</f>
        <v>125896</v>
      </c>
      <c r="AA338" s="263">
        <f>IFERROR(AA340+AA343,0)</f>
        <v>127061</v>
      </c>
      <c r="AB338" s="263">
        <f>IFERROR(AB340+AB343,0)</f>
        <v>127061</v>
      </c>
      <c r="AC338" s="263">
        <f>IFERROR(AC340+AC343,0)</f>
        <v>127396</v>
      </c>
      <c r="AD338" s="263">
        <f>IFERROR(AD340+AD343,0)</f>
        <v>126788</v>
      </c>
      <c r="AE338" s="263">
        <f>IFERROR(AE340+AE343,0)</f>
        <v>130250</v>
      </c>
      <c r="AF338" s="263">
        <f>IFERROR(AF340+AF343,0)</f>
        <v>131755</v>
      </c>
      <c r="AG338" s="263">
        <f>IFERROR(AG340+AG343,0)</f>
        <v>131755</v>
      </c>
      <c r="AH338" s="263">
        <f>IFERROR(AH340+AH343,0)</f>
        <v>132970</v>
      </c>
      <c r="AI338" s="263">
        <f>IFERROR(AI340+AI343,0)</f>
        <v>135134</v>
      </c>
      <c r="AJ338" s="263">
        <f>IFERROR(AJ340+AJ343,0)</f>
        <v>132073.07217027</v>
      </c>
      <c r="AK338" s="263">
        <f>IFERROR(AK340+AK343,0)</f>
        <v>132106.873079288</v>
      </c>
      <c r="AL338" s="263">
        <f>IFERROR(AL340+AL343,0)</f>
        <v>132106.873079288</v>
      </c>
      <c r="AM338" s="263">
        <f>IFERROR(AM340+AM343,0)</f>
        <v>133177.384948125</v>
      </c>
      <c r="AN338" s="263">
        <f>IFERROR(AN340+AN343,0)</f>
        <v>136332.53934564</v>
      </c>
      <c r="AO338" s="263">
        <f>IFERROR(AO340+AO343,0)</f>
        <v>130960.910213225</v>
      </c>
      <c r="AP338" s="263">
        <f>IFERROR(AP340+AP343,0)</f>
        <v>129113.634693754</v>
      </c>
      <c r="AQ338" s="263">
        <f>IFERROR(AQ340+AQ343,0)</f>
        <v>129113.634693754</v>
      </c>
      <c r="AR338" s="263">
        <f>IFERROR(AR340+AR343,0)</f>
        <v>127724.789362573</v>
      </c>
      <c r="AS338" s="263">
        <f>IFERROR(AS340+AS343,0)</f>
        <v>128750.503808042</v>
      </c>
      <c r="AT338" s="263">
        <f>IFERROR(AT340+AT343,0)</f>
        <v>116395.820545104</v>
      </c>
      <c r="AU338" s="263">
        <f>IFERROR(AU340+AU343,0)</f>
        <v>107044.281426936</v>
      </c>
      <c r="AV338" s="263">
        <f>IFERROR(AV340+AV343,0)</f>
        <v>107044.281426936</v>
      </c>
      <c r="AW338" s="263">
        <f>IFERROR(AW340+AW343,0)</f>
        <v>96072.8139749876</v>
      </c>
      <c r="AX338" s="263">
        <f>IFERROR(AX340+AX343,0)</f>
        <v>84411.9399907936</v>
      </c>
      <c r="AY338" s="263">
        <f>IFERROR(AY340+AY343,0)</f>
        <v>49819.5415617867</v>
      </c>
      <c r="AZ338" s="263">
        <f>IFERROR(AZ340+AZ343,0)</f>
        <v>12772.8100882178</v>
      </c>
      <c r="BA338" s="263">
        <f>IFERROR(BA340+BA343,0)</f>
        <v>12772.8100882178</v>
      </c>
      <c r="BB338" s="263">
        <f>IFERROR(BB340+BB343,0)</f>
        <v>-35277.2356718497</v>
      </c>
      <c r="BC338" s="263">
        <f>IFERROR(BC340+BC343,0)</f>
        <v>-96328.7560069053</v>
      </c>
      <c r="BD338" s="263">
        <f>IFERROR(BD340+BD343,0)</f>
        <v>-205567.323641282</v>
      </c>
      <c r="BE338" s="263">
        <f>IFERROR(BE340+BE343,0)</f>
        <v>-341045.383186821</v>
      </c>
      <c r="BF338" s="263">
        <f>IFERROR(BF340+BF343,0)</f>
        <v>-341045.383186821</v>
      </c>
      <c r="BG338" s="63" t="n"/>
      <c r="BH338" s="63" t="n"/>
      <c r="BI338" s="63" t="n"/>
      <c r="BJ338" s="63" t="n"/>
      <c r="BL338" s="63" t="n"/>
      <c r="BM338" s="63" t="n"/>
      <c r="BN338" s="63" t="n"/>
      <c r="BO338" s="63" t="n"/>
      <c r="BQ338" s="63" t="n"/>
      <c r="BR338" s="63" t="n"/>
      <c r="BS338" s="63" t="n"/>
      <c r="BT338" s="63" t="n"/>
      <c r="BV338" s="63" t="n"/>
      <c r="BW338" s="63" t="n"/>
      <c r="BX338" s="63" t="n"/>
      <c r="BY338" s="63" t="n"/>
      <c r="CA338" s="63" t="n"/>
      <c r="CB338" s="63" t="n"/>
      <c r="CC338" s="63" t="n"/>
      <c r="CD338" s="63" t="n"/>
      <c r="CF338" s="63" t="n"/>
      <c r="CG338" s="63" t="n"/>
      <c r="CH338" s="63" t="n"/>
      <c r="CI338" s="63" t="n"/>
      <c r="CK338" s="63" t="n"/>
      <c r="CL338" s="63" t="n"/>
      <c r="CM338" s="63" t="n"/>
      <c r="CN338" s="63" t="n"/>
      <c r="CP338" s="63" t="n"/>
      <c r="CQ338" s="63" t="n"/>
      <c r="CR338" s="63" t="n"/>
      <c r="CS338" s="63" t="n"/>
      <c r="CU338" s="63" t="n"/>
      <c r="CV338" s="63" t="n"/>
      <c r="CW338" s="63" t="n"/>
      <c r="CX338" s="63" t="n"/>
    </row>
    <row r="339" customFormat="1" s="77">
      <c r="A339" s="76" t="n"/>
      <c r="B339" s="76" t="n"/>
      <c r="C339" s="77" t="inlineStr">
        <is>
          <t>INVESTED CAPITAL - EX GOODWILL</t>
        </is>
      </c>
      <c r="D339" s="89">
        <f>IFERROR(D338-D167,"")</f>
        <v>0</v>
      </c>
      <c r="E339" s="89">
        <f>IFERROR(E338-E167,"")</f>
        <v>0</v>
      </c>
      <c r="F339" s="89">
        <f>IFERROR(F338-F167,"")</f>
        <v>0</v>
      </c>
      <c r="G339" s="89">
        <f>IFERROR(G338-G167,"")</f>
        <v>0</v>
      </c>
      <c r="H339" s="263">
        <f>IFERROR(H338-N(H167),0)</f>
        <v>0</v>
      </c>
      <c r="I339" s="263">
        <f>IFERROR(I338-N(I167),0)</f>
        <v>11429</v>
      </c>
      <c r="J339" s="263">
        <f>IFERROR(J338-N(J167),0)</f>
        <v>10262</v>
      </c>
      <c r="K339" s="263">
        <f>IFERROR(K338-N(K167),0)</f>
        <v>9106</v>
      </c>
      <c r="L339" s="263">
        <f>IFERROR(L338-N(L167),0)</f>
        <v>8830</v>
      </c>
      <c r="M339" s="263">
        <f>IFERROR(M338-N(M167),0)</f>
        <v>8830</v>
      </c>
      <c r="N339" s="263">
        <f>IFERROR(N338-N(N167),0)</f>
        <v>7848</v>
      </c>
      <c r="O339" s="263">
        <f>IFERROR(O338-N(O167),0)</f>
        <v>6813</v>
      </c>
      <c r="P339" s="263">
        <f>IFERROR(P338-N(P167),0)</f>
        <v>6194</v>
      </c>
      <c r="Q339" s="263">
        <f>IFERROR(Q338-N(Q167),0)</f>
        <v>6331</v>
      </c>
      <c r="R339" s="263">
        <f>IFERROR(R338-N(R167),0)</f>
        <v>6331</v>
      </c>
      <c r="S339" s="263">
        <f>IFERROR(S338-N(S167),0)</f>
        <v>6151</v>
      </c>
      <c r="T339" s="263">
        <f>IFERROR(T338-N(T167),0)</f>
        <v>5746</v>
      </c>
      <c r="U339" s="263">
        <f>IFERROR(U338-N(U167),0)</f>
        <v>5375</v>
      </c>
      <c r="V339" s="263">
        <f>IFERROR(V338-N(V167),0)</f>
        <v>36735</v>
      </c>
      <c r="W339" s="263">
        <f>IFERROR(W338-N(W167),0)</f>
        <v>36735</v>
      </c>
      <c r="X339" s="263">
        <f>IFERROR(X338-N(X167),0)</f>
        <v>36295</v>
      </c>
      <c r="Y339" s="263">
        <f>IFERROR(Y338-N(Y167),0)</f>
        <v>27785</v>
      </c>
      <c r="Z339" s="263">
        <f>IFERROR(Z338-N(Z167),0)</f>
        <v>28023</v>
      </c>
      <c r="AA339" s="263">
        <f>IFERROR(AA338-N(AA167),0)</f>
        <v>29190</v>
      </c>
      <c r="AB339" s="263">
        <f>IFERROR(AB338-N(AB167),0)</f>
        <v>29190</v>
      </c>
      <c r="AC339" s="263">
        <f>IFERROR(AC338-N(AC167),0)</f>
        <v>29595</v>
      </c>
      <c r="AD339" s="263">
        <f>IFERROR(AD338-N(AD167),0)</f>
        <v>28987</v>
      </c>
      <c r="AE339" s="263">
        <f>IFERROR(AE338-N(AE167),0)</f>
        <v>32449</v>
      </c>
      <c r="AF339" s="263">
        <f>IFERROR(AF338-N(AF167),0)</f>
        <v>33954</v>
      </c>
      <c r="AG339" s="263">
        <f>IFERROR(AG338-N(AG167),0)</f>
        <v>33954</v>
      </c>
      <c r="AH339" s="263">
        <f>IFERROR(AH338-N(AH167),0)</f>
        <v>35169</v>
      </c>
      <c r="AI339" s="263">
        <f>IFERROR(AI338-N(AI167),0)</f>
        <v>37333</v>
      </c>
      <c r="AJ339" s="263">
        <f>IFERROR(AJ338-N(AJ167),0)</f>
        <v>34272.0721702699</v>
      </c>
      <c r="AK339" s="263">
        <f>IFERROR(AK338-N(AK167),0)</f>
        <v>34305.8730792884</v>
      </c>
      <c r="AL339" s="263">
        <f>IFERROR(AL338-N(AL167),0)</f>
        <v>34305.8730792884</v>
      </c>
      <c r="AM339" s="263">
        <f>IFERROR(AM338-N(AM167),0)</f>
        <v>35376.3849481252</v>
      </c>
      <c r="AN339" s="263">
        <f>IFERROR(AN338-N(AN167),0)</f>
        <v>38531.5393456401</v>
      </c>
      <c r="AO339" s="263">
        <f>IFERROR(AO338-N(AO167),0)</f>
        <v>33159.9102132254</v>
      </c>
      <c r="AP339" s="263">
        <f>IFERROR(AP338-N(AP167),0)</f>
        <v>31312.6346937538</v>
      </c>
      <c r="AQ339" s="263">
        <f>IFERROR(AQ338-N(AQ167),0)</f>
        <v>31312.6346937538</v>
      </c>
      <c r="AR339" s="263">
        <f>IFERROR(AR338-N(AR167),0)</f>
        <v>29923.7893625733</v>
      </c>
      <c r="AS339" s="263">
        <f>IFERROR(AS338-N(AS167),0)</f>
        <v>30949.5038080421</v>
      </c>
      <c r="AT339" s="263">
        <f>IFERROR(AT338-N(AT167),0)</f>
        <v>18594.8205451042</v>
      </c>
      <c r="AU339" s="263">
        <f>IFERROR(AU338-N(AU167),0)</f>
        <v>9243.28142693592</v>
      </c>
      <c r="AV339" s="263">
        <f>IFERROR(AV338-N(AV167),0)</f>
        <v>9243.28142693592</v>
      </c>
      <c r="AW339" s="263">
        <f>IFERROR(AW338-N(AW167),0)</f>
        <v>-1728.18602501242</v>
      </c>
      <c r="AX339" s="263">
        <f>IFERROR(AX338-N(AX167),0)</f>
        <v>-13389.0600092064</v>
      </c>
      <c r="AY339" s="263">
        <f>IFERROR(AY338-N(AY167),0)</f>
        <v>-47981.4584382133</v>
      </c>
      <c r="AZ339" s="263">
        <f>IFERROR(AZ338-N(AZ167),0)</f>
        <v>-85028.1899117822</v>
      </c>
      <c r="BA339" s="263">
        <f>IFERROR(BA338-N(BA167),0)</f>
        <v>-85028.1899117822</v>
      </c>
      <c r="BB339" s="263">
        <f>IFERROR(BB338-N(BB167),0)</f>
        <v>-133078.23567185</v>
      </c>
      <c r="BC339" s="263">
        <f>IFERROR(BC338-N(BC167),0)</f>
        <v>-194129.756006905</v>
      </c>
      <c r="BD339" s="263">
        <f>IFERROR(BD338-N(BD167),0)</f>
        <v>-303368.323641282</v>
      </c>
      <c r="BE339" s="263">
        <f>IFERROR(BE338-N(BE167),0)</f>
        <v>-438846.383186821</v>
      </c>
      <c r="BF339" s="263">
        <f>IFERROR(BF338-N(BF167),0)</f>
        <v>-438846.383186821</v>
      </c>
      <c r="BG339" s="90" t="n"/>
      <c r="BH339" s="90" t="n"/>
      <c r="BI339" s="90" t="n"/>
      <c r="BJ339" s="90" t="n"/>
      <c r="BL339" s="90" t="n"/>
      <c r="BM339" s="90" t="n"/>
      <c r="BN339" s="90" t="n"/>
      <c r="BO339" s="90" t="n"/>
      <c r="BQ339" s="90" t="n"/>
      <c r="BR339" s="90" t="n"/>
      <c r="BS339" s="90" t="n"/>
      <c r="BT339" s="90" t="n"/>
      <c r="BV339" s="90" t="n"/>
      <c r="BW339" s="90" t="n"/>
      <c r="BX339" s="90" t="n"/>
      <c r="BY339" s="90" t="n"/>
      <c r="CA339" s="90" t="n"/>
      <c r="CB339" s="90" t="n"/>
      <c r="CC339" s="90" t="n"/>
      <c r="CD339" s="90" t="n"/>
      <c r="CF339" s="90" t="n"/>
      <c r="CG339" s="90" t="n"/>
      <c r="CH339" s="90" t="n"/>
      <c r="CI339" s="90" t="n"/>
      <c r="CK339" s="90" t="n"/>
      <c r="CL339" s="90" t="n"/>
      <c r="CM339" s="90" t="n"/>
      <c r="CN339" s="90" t="n"/>
      <c r="CP339" s="90" t="n"/>
      <c r="CQ339" s="90" t="n"/>
      <c r="CR339" s="90" t="n"/>
      <c r="CS339" s="90" t="n"/>
      <c r="CU339" s="90" t="n"/>
      <c r="CV339" s="90" t="n"/>
      <c r="CW339" s="90" t="n"/>
      <c r="CX339" s="90" t="n"/>
    </row>
    <row r="340" customFormat="1" s="77">
      <c r="A340" s="76" t="n"/>
      <c r="B340" s="76" t="n"/>
      <c r="C340" s="77" t="inlineStr">
        <is>
          <t>OPERATING WORKING CAPITAL</t>
        </is>
      </c>
      <c r="D340" s="91">
        <f>IFERROR(D341-D342,"")</f>
        <v>0</v>
      </c>
      <c r="E340" s="91">
        <f>IFERROR(E341-E342,"")</f>
        <v>0</v>
      </c>
      <c r="F340" s="91">
        <f>IFERROR(F341-F342,"")</f>
        <v>0</v>
      </c>
      <c r="G340" s="91">
        <f>IFERROR(G341-G342,"")</f>
        <v>0</v>
      </c>
      <c r="H340" s="263">
        <f>IFERROR(H341-H342,0)</f>
        <v>0</v>
      </c>
      <c r="I340" s="263">
        <f>IFERROR(I341-I342,0)</f>
        <v>-1431</v>
      </c>
      <c r="J340" s="263">
        <f>IFERROR(J341-J342,0)</f>
        <v>-1691</v>
      </c>
      <c r="K340" s="263">
        <f>IFERROR(K341-K342,0)</f>
        <v>-1568</v>
      </c>
      <c r="L340" s="263">
        <f>IFERROR(L341-L342,0)</f>
        <v>-865</v>
      </c>
      <c r="M340" s="263">
        <f>IFERROR(M341-M342,0)</f>
        <v>-865</v>
      </c>
      <c r="N340" s="263">
        <f>IFERROR(N341-N342,0)</f>
        <v>-803</v>
      </c>
      <c r="O340" s="263">
        <f>IFERROR(O341-O342,0)</f>
        <v>-814</v>
      </c>
      <c r="P340" s="263">
        <f>IFERROR(P341-P342,0)</f>
        <v>-524</v>
      </c>
      <c r="Q340" s="263">
        <f>IFERROR(Q341-Q342,0)</f>
        <v>-179</v>
      </c>
      <c r="R340" s="263">
        <f>IFERROR(R341-R342,0)</f>
        <v>-179</v>
      </c>
      <c r="S340" s="263">
        <f>IFERROR(S341-S342,0)</f>
        <v>-76</v>
      </c>
      <c r="T340" s="263">
        <f>IFERROR(T341-T342,0)</f>
        <v>52</v>
      </c>
      <c r="U340" s="263">
        <f>IFERROR(U341-U342,0)</f>
        <v>861</v>
      </c>
      <c r="V340" s="263">
        <f>IFERROR(V341-V342,0)</f>
        <v>-2608</v>
      </c>
      <c r="W340" s="263">
        <f>IFERROR(W341-W342,0)</f>
        <v>-2608</v>
      </c>
      <c r="X340" s="263">
        <f>IFERROR(X341-X342,0)</f>
        <v>-2252</v>
      </c>
      <c r="Y340" s="263">
        <f>IFERROR(Y341-Y342,0)</f>
        <v>-6065</v>
      </c>
      <c r="Z340" s="263">
        <f>IFERROR(Z341-Z342,0)</f>
        <v>-5179</v>
      </c>
      <c r="AA340" s="263">
        <f>IFERROR(AA341-AA342,0)</f>
        <v>-3574</v>
      </c>
      <c r="AB340" s="263">
        <f>IFERROR(AB341-AB342,0)</f>
        <v>-3574</v>
      </c>
      <c r="AC340" s="263">
        <f>IFERROR(AC341-AC342,0)</f>
        <v>-2357</v>
      </c>
      <c r="AD340" s="263">
        <f>IFERROR(AD341-AD342,0)</f>
        <v>-1025</v>
      </c>
      <c r="AE340" s="263">
        <f>IFERROR(AE341-AE342,0)</f>
        <v>33</v>
      </c>
      <c r="AF340" s="263">
        <f>IFERROR(AF341-AF342,0)</f>
        <v>3281</v>
      </c>
      <c r="AG340" s="263">
        <f>IFERROR(AG341-AG342,0)</f>
        <v>3281</v>
      </c>
      <c r="AH340" s="263">
        <f>IFERROR(AH341-AH342,0)</f>
        <v>5975</v>
      </c>
      <c r="AI340" s="263">
        <f>IFERROR(AI341-AI342,0)</f>
        <v>9612</v>
      </c>
      <c r="AJ340" s="263">
        <f>IFERROR(AJ341-AJ342,0)</f>
        <v>6550.00089948707</v>
      </c>
      <c r="AK340" s="263">
        <f>IFERROR(AK341-AK342,0)</f>
        <v>6582.65347044922</v>
      </c>
      <c r="AL340" s="263">
        <f>IFERROR(AL341-AL342,0)</f>
        <v>6582.65347044922</v>
      </c>
      <c r="AM340" s="263">
        <f>IFERROR(AM341-AM342,0)</f>
        <v>7651.84597848348</v>
      </c>
      <c r="AN340" s="263">
        <f>IFERROR(AN341-AN342,0)</f>
        <v>10805.2407327159</v>
      </c>
      <c r="AO340" s="263">
        <f>IFERROR(AO341-AO342,0)</f>
        <v>5432.12394069001</v>
      </c>
      <c r="AP340" s="263">
        <f>IFERROR(AP341-AP342,0)</f>
        <v>3583.25373930048</v>
      </c>
      <c r="AQ340" s="263">
        <f>IFERROR(AQ341-AQ342,0)</f>
        <v>3583.25373930048</v>
      </c>
      <c r="AR340" s="263">
        <f>IFERROR(AR341-AR342,0)</f>
        <v>2192.58282597344</v>
      </c>
      <c r="AS340" s="263">
        <f>IFERROR(AS341-AS342,0)</f>
        <v>3215.86247623345</v>
      </c>
      <c r="AT340" s="263">
        <f>IFERROR(AT341-AT342,0)</f>
        <v>-9140.87924169341</v>
      </c>
      <c r="AU340" s="263">
        <f>IFERROR(AU341-AU342,0)</f>
        <v>-18494.6249002055</v>
      </c>
      <c r="AV340" s="263">
        <f>IFERROR(AV341-AV342,0)</f>
        <v>-18494.6249002055</v>
      </c>
      <c r="AW340" s="263">
        <f>IFERROR(AW341-AW342,0)</f>
        <v>-29468.6092581887</v>
      </c>
      <c r="AX340" s="263">
        <f>IFERROR(AX341-AX342,0)</f>
        <v>-41132.8400624339</v>
      </c>
      <c r="AY340" s="263">
        <f>IFERROR(AY341-AY342,0)</f>
        <v>-75728.0764561932</v>
      </c>
      <c r="AZ340" s="263">
        <f>IFERROR(AZ341-AZ342,0)</f>
        <v>-112777.85005784</v>
      </c>
      <c r="BA340" s="263">
        <f>IFERROR(BA341-BA342,0)</f>
        <v>-112777.85005784</v>
      </c>
      <c r="BB340" s="263">
        <f>IFERROR(BB341-BB342,0)</f>
        <v>-160831.353258542</v>
      </c>
      <c r="BC340" s="263">
        <f>IFERROR(BC341-BC342,0)</f>
        <v>-221887.484813042</v>
      </c>
      <c r="BD340" s="263">
        <f>IFERROR(BD341-BD342,0)</f>
        <v>-331129.95092218</v>
      </c>
      <c r="BE340" s="263">
        <f>IFERROR(BE341-BE342,0)</f>
        <v>-466612.18939895</v>
      </c>
      <c r="BF340" s="263">
        <f>IFERROR(BF341-BF342,0)</f>
        <v>-466612.18939895</v>
      </c>
      <c r="BG340" s="63" t="n"/>
      <c r="BH340" s="63" t="n"/>
      <c r="BI340" s="63" t="n"/>
      <c r="BJ340" s="63" t="n"/>
      <c r="BL340" s="63" t="n"/>
      <c r="BM340" s="63" t="n"/>
      <c r="BN340" s="63" t="n"/>
      <c r="BO340" s="63" t="n"/>
      <c r="BQ340" s="63" t="n"/>
      <c r="BR340" s="63" t="n"/>
      <c r="BS340" s="63" t="n"/>
      <c r="BT340" s="63" t="n"/>
      <c r="BV340" s="63" t="n"/>
      <c r="BW340" s="63" t="n"/>
      <c r="BX340" s="63" t="n"/>
      <c r="BY340" s="63" t="n"/>
      <c r="CA340" s="63" t="n"/>
      <c r="CB340" s="63" t="n"/>
      <c r="CC340" s="63" t="n"/>
      <c r="CD340" s="63" t="n"/>
      <c r="CF340" s="63" t="n"/>
      <c r="CG340" s="63" t="n"/>
      <c r="CH340" s="63" t="n"/>
      <c r="CI340" s="63" t="n"/>
      <c r="CK340" s="63" t="n"/>
      <c r="CL340" s="63" t="n"/>
      <c r="CM340" s="63" t="n"/>
      <c r="CN340" s="63" t="n"/>
      <c r="CP340" s="63" t="n"/>
      <c r="CQ340" s="63" t="n"/>
      <c r="CR340" s="63" t="n"/>
      <c r="CS340" s="63" t="n"/>
      <c r="CU340" s="63" t="n"/>
      <c r="CV340" s="63" t="n"/>
      <c r="CW340" s="63" t="n"/>
      <c r="CX340" s="63" t="n"/>
    </row>
    <row r="341" customFormat="1" s="77">
      <c r="A341" s="76" t="n"/>
      <c r="B341" s="76" t="n"/>
      <c r="C341" s="77" t="inlineStr">
        <is>
          <t>CURRENT ASSETS (OPERATING, EX CASH)</t>
        </is>
      </c>
      <c r="D341" s="89">
        <f>IFERROR(D133+D137+D141+D142+D143,"")</f>
        <v>0</v>
      </c>
      <c r="E341" s="89">
        <f>IFERROR(E133+E137+E141+E142+E143,"")</f>
        <v>0</v>
      </c>
      <c r="F341" s="89">
        <f>IFERROR(F133+F137+F141+F142+F143,"")</f>
        <v>0</v>
      </c>
      <c r="G341" s="89">
        <f>IFERROR(G133+G137+G141+G142+G143,"")</f>
        <v>0</v>
      </c>
      <c r="H341" s="263">
        <f>IFERROR((N(H133)+N(H137)+N(H141)+N(H142)+N(H143)),0)</f>
        <v>0</v>
      </c>
      <c r="I341" s="263">
        <f>IFERROR((N(I133)+N(I137)+N(I141)+N(I142)+N(I143)),0)</f>
        <v>4727</v>
      </c>
      <c r="J341" s="263">
        <f>IFERROR((N(J133)+N(J137)+N(J141)+N(J142)+N(J143)),0)</f>
        <v>4531</v>
      </c>
      <c r="K341" s="263">
        <f>IFERROR((N(K133)+N(K137)+N(K141)+N(K142)+N(K143)),0)</f>
        <v>4423</v>
      </c>
      <c r="L341" s="263">
        <f>IFERROR((N(L133)+N(L137)+N(L141)+N(L142)+N(L143)),0)</f>
        <v>5122</v>
      </c>
      <c r="M341" s="263">
        <f>IFERROR((N(M133)+N(M137)+N(M141)+N(M142)+N(M143)),0)</f>
        <v>5122</v>
      </c>
      <c r="N341" s="263">
        <f>IFERROR((N(N133)+N(N137)+N(N141)+N(N142)+N(N143)),0)</f>
        <v>5805</v>
      </c>
      <c r="O341" s="263">
        <f>IFERROR((N(O133)+N(O137)+N(O141)+N(O142)+N(O143)),0)</f>
        <v>5584</v>
      </c>
      <c r="P341" s="263">
        <f>IFERROR((N(P133)+N(P137)+N(P141)+N(P142)+N(P143)),0)</f>
        <v>6088</v>
      </c>
      <c r="Q341" s="263">
        <f>IFERROR((N(Q133)+N(Q137)+N(Q141)+N(Q142)+N(Q143)),0)</f>
        <v>6189</v>
      </c>
      <c r="R341" s="263">
        <f>IFERROR((N(R133)+N(R137)+N(R141)+N(R142)+N(R143)),0)</f>
        <v>6189</v>
      </c>
      <c r="S341" s="263">
        <f>IFERROR((N(S133)+N(S137)+N(S141)+N(S142)+N(S143)),0)</f>
        <v>6318</v>
      </c>
      <c r="T341" s="263">
        <f>IFERROR((N(T133)+N(T137)+N(T141)+N(T142)+N(T143)),0)</f>
        <v>6278</v>
      </c>
      <c r="U341" s="263">
        <f>IFERROR((N(U133)+N(U137)+N(U141)+N(U142)+N(U143)),0)</f>
        <v>6658</v>
      </c>
      <c r="V341" s="263">
        <f>IFERROR((N(V133)+N(V137)+N(V141)+N(V142)+N(V143)),0)</f>
        <v>15328</v>
      </c>
      <c r="W341" s="263">
        <f>IFERROR((N(W133)+N(W137)+N(W141)+N(W142)+N(W143)),0)</f>
        <v>15328</v>
      </c>
      <c r="X341" s="263">
        <f>IFERROR((N(X133)+N(X137)+N(X141)+N(X142)+N(X143)),0)</f>
        <v>15493</v>
      </c>
      <c r="Y341" s="263">
        <f>IFERROR((N(Y133)+N(Y137)+N(Y141)+N(Y142)+N(Y143)),0)</f>
        <v>9995</v>
      </c>
      <c r="Z341" s="263">
        <f>IFERROR((N(Z133)+N(Z137)+N(Z141)+N(Z142)+N(Z143)),0)</f>
        <v>10247</v>
      </c>
      <c r="AA341" s="263">
        <f>IFERROR((N(AA133)+N(AA137)+N(AA141)+N(AA142)+N(AA143)),0)</f>
        <v>11683</v>
      </c>
      <c r="AB341" s="263">
        <f>IFERROR((N(AB133)+N(AB137)+N(AB141)+N(AB142)+N(AB143)),0)</f>
        <v>11683</v>
      </c>
      <c r="AC341" s="263">
        <f>IFERROR((N(AC133)+N(AC137)+N(AC141)+N(AC142)+N(AC143)),0)</f>
        <v>12709</v>
      </c>
      <c r="AD341" s="263">
        <f>IFERROR((N(AD133)+N(AD137)+N(AD141)+N(AD142)+N(AD143)),0)</f>
        <v>14280</v>
      </c>
      <c r="AE341" s="263">
        <f>IFERROR((N(AE133)+N(AE137)+N(AE141)+N(AE142)+N(AE143)),0)</f>
        <v>15395</v>
      </c>
      <c r="AF341" s="263">
        <f>IFERROR((N(AF133)+N(AF137)+N(AF141)+N(AF142)+N(AF143)),0)</f>
        <v>17888</v>
      </c>
      <c r="AG341" s="263">
        <f>IFERROR((N(AG133)+N(AG137)+N(AG141)+N(AG142)+N(AG143)),0)</f>
        <v>17888</v>
      </c>
      <c r="AH341" s="263">
        <f>IFERROR((N(AH133)+N(AH137)+N(AH141)+N(AH142)+N(AH143)),0)</f>
        <v>22585</v>
      </c>
      <c r="AI341" s="263">
        <f>IFERROR((N(AI133)+N(AI137)+N(AI141)+N(AI142)+N(AI143)),0)</f>
        <v>28198</v>
      </c>
      <c r="AJ341" s="263">
        <f>IFERROR((N(AJ133)+N(AJ137)+N(AJ141)+N(AJ142)+N(AJ143)),0)</f>
        <v>24256.9426288778</v>
      </c>
      <c r="AK341" s="263">
        <f>IFERROR((N(AK133)+N(AK137)+N(AK141)+N(AK142)+N(AK143)),0)</f>
        <v>25284.8898754516</v>
      </c>
      <c r="AL341" s="263">
        <f>IFERROR((N(AL133)+N(AL137)+N(AL141)+N(AL142)+N(AL143)),0)</f>
        <v>25284.8898754516</v>
      </c>
      <c r="AM341" s="263">
        <f>IFERROR((N(AM133)+N(AM137)+N(AM141)+N(AM142)+N(AM143)),0)</f>
        <v>27957.1120670034</v>
      </c>
      <c r="AN341" s="263">
        <f>IFERROR((N(AN133)+N(AN137)+N(AN141)+N(AN142)+N(AN143)),0)</f>
        <v>33696.5884000594</v>
      </c>
      <c r="AO341" s="263">
        <f>IFERROR((N(AO133)+N(AO137)+N(AO141)+N(AO142)+N(AO143)),0)</f>
        <v>29810.8662270451</v>
      </c>
      <c r="AP341" s="263">
        <f>IFERROR((N(AP133)+N(AP137)+N(AP141)+N(AP142)+N(AP143)),0)</f>
        <v>31238.363014736</v>
      </c>
      <c r="AQ341" s="263">
        <f>IFERROR((N(AQ133)+N(AQ137)+N(AQ141)+N(AQ142)+N(AQ143)),0)</f>
        <v>31238.363014736</v>
      </c>
      <c r="AR341" s="263">
        <f>IFERROR((N(AR133)+N(AR137)+N(AR141)+N(AR142)+N(AR143)),0)</f>
        <v>34585.7664399693</v>
      </c>
      <c r="AS341" s="263">
        <f>IFERROR((N(AS133)+N(AS137)+N(AS141)+N(AS142)+N(AS143)),0)</f>
        <v>42800.9349044545</v>
      </c>
      <c r="AT341" s="263">
        <f>IFERROR((N(AT133)+N(AT137)+N(AT141)+N(AT142)+N(AT143)),0)</f>
        <v>37424.3123674369</v>
      </c>
      <c r="AU341" s="263">
        <f>IFERROR((N(AU133)+N(AU137)+N(AU141)+N(AU142)+N(AU143)),0)</f>
        <v>39399.5208508229</v>
      </c>
      <c r="AV341" s="263">
        <f>IFERROR((N(AV133)+N(AV137)+N(AV141)+N(AV142)+N(AV143)),0)</f>
        <v>39399.5208508229</v>
      </c>
      <c r="AW341" s="263">
        <f>IFERROR((N(AW133)+N(AW137)+N(AW141)+N(AW142)+N(AW143)),0)</f>
        <v>44285.303224389</v>
      </c>
      <c r="AX341" s="263">
        <f>IFERROR((N(AX133)+N(AX137)+N(AX141)+N(AX142)+N(AX143)),0)</f>
        <v>55234.3344460004</v>
      </c>
      <c r="AY341" s="263">
        <f>IFERROR((N(AY133)+N(AY137)+N(AY141)+N(AY142)+N(AY143)),0)</f>
        <v>47821.6558457233</v>
      </c>
      <c r="AZ341" s="263">
        <f>IFERROR((N(AZ133)+N(AZ137)+N(AZ141)+N(AZ142)+N(AZ143)),0)</f>
        <v>50544.8497383715</v>
      </c>
      <c r="BA341" s="263">
        <f>IFERROR((N(BA133)+N(BA137)+N(BA141)+N(BA142)+N(BA143)),0)</f>
        <v>50544.8497383715</v>
      </c>
      <c r="BB341" s="263">
        <f>IFERROR((N(BB133)+N(BB137)+N(BB141)+N(BB142)+N(BB143)),0)</f>
        <v>57109.2269609713</v>
      </c>
      <c r="BC341" s="263">
        <f>IFERROR((N(BC133)+N(BC137)+N(BC141)+N(BC142)+N(BC143)),0)</f>
        <v>72149.7667856136</v>
      </c>
      <c r="BD341" s="263">
        <f>IFERROR((N(BD133)+N(BD137)+N(BD141)+N(BD142)+N(BD143)),0)</f>
        <v>61967.0679296017</v>
      </c>
      <c r="BE341" s="263">
        <f>IFERROR((N(BE133)+N(BE137)+N(BE141)+N(BE142)+N(BE143)),0)</f>
        <v>65707.8834742459</v>
      </c>
      <c r="BF341" s="263">
        <f>IFERROR((N(BF133)+N(BF137)+N(BF141)+N(BF142)+N(BF143)),0)</f>
        <v>65707.8834742459</v>
      </c>
      <c r="BG341" s="90" t="n"/>
      <c r="BH341" s="90" t="n"/>
      <c r="BI341" s="90" t="n"/>
      <c r="BJ341" s="90" t="n"/>
      <c r="BL341" s="90" t="n"/>
      <c r="BM341" s="90" t="n"/>
      <c r="BN341" s="90" t="n"/>
      <c r="BO341" s="90" t="n"/>
      <c r="BQ341" s="90" t="n"/>
      <c r="BR341" s="90" t="n"/>
      <c r="BS341" s="90" t="n"/>
      <c r="BT341" s="90" t="n"/>
      <c r="BV341" s="90" t="n"/>
      <c r="BW341" s="90" t="n"/>
      <c r="BX341" s="90" t="n"/>
      <c r="BY341" s="90" t="n"/>
      <c r="CA341" s="90" t="n"/>
      <c r="CB341" s="90" t="n"/>
      <c r="CC341" s="90" t="n"/>
      <c r="CD341" s="90" t="n"/>
      <c r="CF341" s="90" t="n"/>
      <c r="CG341" s="90" t="n"/>
      <c r="CH341" s="90" t="n"/>
      <c r="CI341" s="90" t="n"/>
      <c r="CK341" s="90" t="n"/>
      <c r="CL341" s="90" t="n"/>
      <c r="CM341" s="90" t="n"/>
      <c r="CN341" s="90" t="n"/>
      <c r="CP341" s="90" t="n"/>
      <c r="CQ341" s="90" t="n"/>
      <c r="CR341" s="90" t="n"/>
      <c r="CS341" s="90" t="n"/>
      <c r="CU341" s="90" t="n"/>
      <c r="CV341" s="90" t="n"/>
      <c r="CW341" s="90" t="n"/>
      <c r="CX341" s="90" t="n"/>
    </row>
    <row r="342" customFormat="1" s="77">
      <c r="A342" s="76" t="n"/>
      <c r="B342" s="76" t="n"/>
      <c r="C342" s="77" t="inlineStr">
        <is>
          <t>CURRENT LIABILITIES (OPERATING, EX DEBT)</t>
        </is>
      </c>
      <c r="D342" s="89">
        <f>IFERROR(D186+D190+D192+D193,"")</f>
        <v>0</v>
      </c>
      <c r="E342" s="89">
        <f>IFERROR(E186+E190+E192+E193,"")</f>
        <v>0</v>
      </c>
      <c r="F342" s="89">
        <f>IFERROR(F186+F190+F192+F193,"")</f>
        <v>0</v>
      </c>
      <c r="G342" s="89">
        <f>IFERROR(G186+G190+G192+G193,"")</f>
        <v>0</v>
      </c>
      <c r="H342" s="263">
        <f>IFERROR((N(H186)+N(H190)+N(H192)+N(H193)),0)</f>
        <v>0</v>
      </c>
      <c r="I342" s="263">
        <f>IFERROR((N(I186)+N(I190)+N(I192)+N(I193)),0)</f>
        <v>6158</v>
      </c>
      <c r="J342" s="263">
        <f>IFERROR((N(J186)+N(J190)+N(J192)+N(J193)),0)</f>
        <v>6222</v>
      </c>
      <c r="K342" s="263">
        <f>IFERROR((N(K186)+N(K190)+N(K192)+N(K193)),0)</f>
        <v>5991</v>
      </c>
      <c r="L342" s="263">
        <f>IFERROR((N(L186)+N(L190)+N(L192)+N(L193)),0)</f>
        <v>5987</v>
      </c>
      <c r="M342" s="263">
        <f>IFERROR((N(M186)+N(M190)+N(M192)+N(M193)),0)</f>
        <v>5987</v>
      </c>
      <c r="N342" s="263">
        <f>IFERROR((N(N186)+N(N190)+N(N192)+N(N193)),0)</f>
        <v>6608</v>
      </c>
      <c r="O342" s="263">
        <f>IFERROR((N(O186)+N(O190)+N(O192)+N(O193)),0)</f>
        <v>6398</v>
      </c>
      <c r="P342" s="263">
        <f>IFERROR((N(P186)+N(P190)+N(P192)+N(P193)),0)</f>
        <v>6612</v>
      </c>
      <c r="Q342" s="263">
        <f>IFERROR((N(Q186)+N(Q190)+N(Q192)+N(Q193)),0)</f>
        <v>6368</v>
      </c>
      <c r="R342" s="263">
        <f>IFERROR((N(R186)+N(R190)+N(R192)+N(R193)),0)</f>
        <v>6368</v>
      </c>
      <c r="S342" s="263">
        <f>IFERROR((N(S186)+N(S190)+N(S192)+N(S193)),0)</f>
        <v>6394</v>
      </c>
      <c r="T342" s="263">
        <f>IFERROR((N(T186)+N(T190)+N(T192)+N(T193)),0)</f>
        <v>6226</v>
      </c>
      <c r="U342" s="263">
        <f>IFERROR((N(U186)+N(U190)+N(U192)+N(U193)),0)</f>
        <v>5797</v>
      </c>
      <c r="V342" s="263">
        <f>IFERROR((N(V186)+N(V190)+N(V192)+N(V193)),0)</f>
        <v>17936</v>
      </c>
      <c r="W342" s="263">
        <f>IFERROR((N(W186)+N(W190)+N(W192)+N(W193)),0)</f>
        <v>17936</v>
      </c>
      <c r="X342" s="263">
        <f>IFERROR((N(X186)+N(X190)+N(X192)+N(X193)),0)</f>
        <v>17745</v>
      </c>
      <c r="Y342" s="263">
        <f>IFERROR((N(Y186)+N(Y190)+N(Y192)+N(Y193)),0)</f>
        <v>16060</v>
      </c>
      <c r="Z342" s="263">
        <f>IFERROR((N(Z186)+N(Z190)+N(Z192)+N(Z193)),0)</f>
        <v>15426</v>
      </c>
      <c r="AA342" s="263">
        <f>IFERROR((N(AA186)+N(AA190)+N(AA192)+N(AA193)),0)</f>
        <v>15257</v>
      </c>
      <c r="AB342" s="263">
        <f>IFERROR((N(AB186)+N(AB190)+N(AB192)+N(AB193)),0)</f>
        <v>15257</v>
      </c>
      <c r="AC342" s="263">
        <f>IFERROR((N(AC186)+N(AC190)+N(AC192)+N(AC193)),0)</f>
        <v>15066</v>
      </c>
      <c r="AD342" s="263">
        <f>IFERROR((N(AD186)+N(AD190)+N(AD192)+N(AD193)),0)</f>
        <v>15305</v>
      </c>
      <c r="AE342" s="263">
        <f>IFERROR((N(AE186)+N(AE190)+N(AE192)+N(AE193)),0)</f>
        <v>15362</v>
      </c>
      <c r="AF342" s="263">
        <f>IFERROR((N(AF186)+N(AF190)+N(AF192)+N(AF193)),0)</f>
        <v>14607</v>
      </c>
      <c r="AG342" s="263">
        <f>IFERROR((N(AG186)+N(AG190)+N(AG192)+N(AG193)),0)</f>
        <v>14607</v>
      </c>
      <c r="AH342" s="263">
        <f>IFERROR((N(AH186)+N(AH190)+N(AH192)+N(AH193)),0)</f>
        <v>16610</v>
      </c>
      <c r="AI342" s="263">
        <f>IFERROR((N(AI186)+N(AI190)+N(AI192)+N(AI193)),0)</f>
        <v>18586</v>
      </c>
      <c r="AJ342" s="263">
        <f>IFERROR((N(AJ186)+N(AJ190)+N(AJ192)+N(AJ193)),0)</f>
        <v>17706.9417293908</v>
      </c>
      <c r="AK342" s="263">
        <f>IFERROR((N(AK186)+N(AK190)+N(AK192)+N(AK193)),0)</f>
        <v>18702.2364050023</v>
      </c>
      <c r="AL342" s="263">
        <f>IFERROR((N(AL186)+N(AL190)+N(AL192)+N(AL193)),0)</f>
        <v>18702.2364050023</v>
      </c>
      <c r="AM342" s="263">
        <f>IFERROR((N(AM186)+N(AM190)+N(AM192)+N(AM193)),0)</f>
        <v>20305.2660885199</v>
      </c>
      <c r="AN342" s="263">
        <f>IFERROR((N(AN186)+N(AN190)+N(AN192)+N(AN193)),0)</f>
        <v>22891.3476673435</v>
      </c>
      <c r="AO342" s="263">
        <f>IFERROR((N(AO186)+N(AO190)+N(AO192)+N(AO193)),0)</f>
        <v>24378.7422863551</v>
      </c>
      <c r="AP342" s="263">
        <f>IFERROR((N(AP186)+N(AP190)+N(AP192)+N(AP193)),0)</f>
        <v>27655.1092754355</v>
      </c>
      <c r="AQ342" s="263">
        <f>IFERROR((N(AQ186)+N(AQ190)+N(AQ192)+N(AQ193)),0)</f>
        <v>27655.1092754355</v>
      </c>
      <c r="AR342" s="263">
        <f>IFERROR((N(AR186)+N(AR190)+N(AR192)+N(AR193)),0)</f>
        <v>32393.1836139959</v>
      </c>
      <c r="AS342" s="263">
        <f>IFERROR((N(AS186)+N(AS190)+N(AS192)+N(AS193)),0)</f>
        <v>39585.072428221</v>
      </c>
      <c r="AT342" s="263">
        <f>IFERROR((N(AT186)+N(AT190)+N(AT192)+N(AT193)),0)</f>
        <v>46565.1916091303</v>
      </c>
      <c r="AU342" s="263">
        <f>IFERROR((N(AU186)+N(AU190)+N(AU192)+N(AU193)),0)</f>
        <v>57894.1457510284</v>
      </c>
      <c r="AV342" s="263">
        <f>IFERROR((N(AV186)+N(AV190)+N(AV192)+N(AV193)),0)</f>
        <v>57894.1457510284</v>
      </c>
      <c r="AW342" s="263">
        <f>IFERROR((N(AW186)+N(AW190)+N(AW192)+N(AW193)),0)</f>
        <v>73753.9124825777</v>
      </c>
      <c r="AX342" s="263">
        <f>IFERROR((N(AX186)+N(AX190)+N(AX192)+N(AX193)),0)</f>
        <v>96367.1745084344</v>
      </c>
      <c r="AY342" s="263">
        <f>IFERROR((N(AY186)+N(AY190)+N(AY192)+N(AY193)),0)</f>
        <v>123549.732301916</v>
      </c>
      <c r="AZ342" s="263">
        <f>IFERROR((N(AZ186)+N(AZ190)+N(AZ192)+N(AZ193)),0)</f>
        <v>163322.699796212</v>
      </c>
      <c r="BA342" s="263">
        <f>IFERROR((N(BA186)+N(BA190)+N(BA192)+N(BA193)),0)</f>
        <v>163322.699796212</v>
      </c>
      <c r="BB342" s="263">
        <f>IFERROR((N(BB186)+N(BB190)+N(BB192)+N(BB193)),0)</f>
        <v>217940.580219514</v>
      </c>
      <c r="BC342" s="263">
        <f>IFERROR((N(BC186)+N(BC190)+N(BC192)+N(BC193)),0)</f>
        <v>294037.251598656</v>
      </c>
      <c r="BD342" s="263">
        <f>IFERROR((N(BD186)+N(BD190)+N(BD192)+N(BD193)),0)</f>
        <v>393097.018851782</v>
      </c>
      <c r="BE342" s="263">
        <f>IFERROR((N(BE186)+N(BE190)+N(BE192)+N(BE193)),0)</f>
        <v>532320.072873196</v>
      </c>
      <c r="BF342" s="263">
        <f>IFERROR((N(BF186)+N(BF190)+N(BF192)+N(BF193)),0)</f>
        <v>532320.072873196</v>
      </c>
      <c r="BG342" s="90" t="n"/>
      <c r="BH342" s="90" t="n"/>
      <c r="BI342" s="90" t="n"/>
      <c r="BJ342" s="90" t="n"/>
      <c r="BL342" s="90" t="n"/>
      <c r="BM342" s="90" t="n"/>
      <c r="BN342" s="90" t="n"/>
      <c r="BO342" s="90" t="n"/>
      <c r="BQ342" s="90" t="n"/>
      <c r="BR342" s="90" t="n"/>
      <c r="BS342" s="90" t="n"/>
      <c r="BT342" s="90" t="n"/>
      <c r="BV342" s="90" t="n"/>
      <c r="BW342" s="90" t="n"/>
      <c r="BX342" s="90" t="n"/>
      <c r="BY342" s="90" t="n"/>
      <c r="CA342" s="90" t="n"/>
      <c r="CB342" s="90" t="n"/>
      <c r="CC342" s="90" t="n"/>
      <c r="CD342" s="90" t="n"/>
      <c r="CF342" s="90" t="n"/>
      <c r="CG342" s="90" t="n"/>
      <c r="CH342" s="90" t="n"/>
      <c r="CI342" s="90" t="n"/>
      <c r="CK342" s="90" t="n"/>
      <c r="CL342" s="90" t="n"/>
      <c r="CM342" s="90" t="n"/>
      <c r="CN342" s="90" t="n"/>
      <c r="CP342" s="90" t="n"/>
      <c r="CQ342" s="90" t="n"/>
      <c r="CR342" s="90" t="n"/>
      <c r="CS342" s="90" t="n"/>
      <c r="CU342" s="90" t="n"/>
      <c r="CV342" s="90" t="n"/>
      <c r="CW342" s="90" t="n"/>
      <c r="CX342" s="90" t="n"/>
    </row>
    <row r="343" customFormat="1" s="77">
      <c r="A343" s="76" t="n"/>
      <c r="B343" s="76" t="n"/>
      <c r="C343" s="77" t="inlineStr">
        <is>
          <t>FIXED ASSETS</t>
        </is>
      </c>
      <c r="D343" s="89">
        <f>IFERROR(D154+D164+D167+D168+D177-D228,"")</f>
        <v>0</v>
      </c>
      <c r="E343" s="89">
        <f>IFERROR(E154+E164+E167+E168+E177-E228,"")</f>
        <v>0</v>
      </c>
      <c r="F343" s="89">
        <f>IFERROR(F154+F164+F167+F168+F177-F228,"")</f>
        <v>0</v>
      </c>
      <c r="G343" s="89">
        <f>IFERROR(G154+G164+G167+G168+G177-G228,"")</f>
        <v>0</v>
      </c>
      <c r="H343" s="263">
        <f>IFERROR((N(H154)+N(H164)+N(H167)+N(H168)+N(H177))-N(H228),0)</f>
        <v>0</v>
      </c>
      <c r="I343" s="263">
        <f>IFERROR((N(I154)+N(I164)+N(I167)+N(I168)+N(I177))-N(I228),0)</f>
        <v>56317</v>
      </c>
      <c r="J343" s="263">
        <f>IFERROR((N(J154)+N(J164)+N(J167)+N(J168)+N(J177))-N(J228),0)</f>
        <v>55410</v>
      </c>
      <c r="K343" s="263">
        <f>IFERROR((N(K154)+N(K164)+N(K167)+N(K168)+N(K177))-N(K228),0)</f>
        <v>54124</v>
      </c>
      <c r="L343" s="263">
        <f>IFERROR((N(L154)+N(L164)+N(L167)+N(L168)+N(L177))-N(L228),0)</f>
        <v>53145</v>
      </c>
      <c r="M343" s="263">
        <f>IFERROR((N(M154)+N(M164)+N(M167)+N(M168)+N(M177))-N(M228),0)</f>
        <v>53145</v>
      </c>
      <c r="N343" s="263">
        <f>IFERROR((N(N154)+N(N164)+N(N167)+N(N168)+N(N177))-N(N228),0)</f>
        <v>52254</v>
      </c>
      <c r="O343" s="263">
        <f>IFERROR((N(O154)+N(O164)+N(O167)+N(O168)+N(O177))-N(O228),0)</f>
        <v>51235</v>
      </c>
      <c r="P343" s="263">
        <f>IFERROR((N(P154)+N(P164)+N(P167)+N(P168)+N(P177))-N(P228),0)</f>
        <v>50332</v>
      </c>
      <c r="Q343" s="263">
        <f>IFERROR((N(Q154)+N(Q164)+N(Q167)+N(Q168)+N(Q177))-N(Q228),0)</f>
        <v>50124</v>
      </c>
      <c r="R343" s="263">
        <f>IFERROR((N(R154)+N(R164)+N(R167)+N(R168)+N(R177))-N(R228),0)</f>
        <v>50124</v>
      </c>
      <c r="S343" s="263">
        <f>IFERROR((N(S154)+N(S164)+N(S167)+N(S168)+N(S177))-N(S228),0)</f>
        <v>49841</v>
      </c>
      <c r="T343" s="263">
        <f>IFERROR((N(T154)+N(T164)+N(T167)+N(T168)+N(T177))-N(T228),0)</f>
        <v>49313</v>
      </c>
      <c r="U343" s="263">
        <f>IFERROR((N(U154)+N(U164)+N(U167)+N(U168)+N(U177))-N(U228),0)</f>
        <v>48167</v>
      </c>
      <c r="V343" s="263">
        <f>IFERROR((N(V154)+N(V164)+N(V167)+N(V168)+N(V177))-N(V228),0)</f>
        <v>136929</v>
      </c>
      <c r="W343" s="263">
        <f>IFERROR((N(W154)+N(W164)+N(W167)+N(W168)+N(W177))-N(W228),0)</f>
        <v>136929</v>
      </c>
      <c r="X343" s="263">
        <f>IFERROR((N(X154)+N(X164)+N(X167)+N(X168)+N(X177))-N(X228),0)</f>
        <v>136420</v>
      </c>
      <c r="Y343" s="263">
        <f>IFERROR((N(Y154)+N(Y164)+N(Y167)+N(Y168)+N(Y177))-N(Y228),0)</f>
        <v>131723</v>
      </c>
      <c r="Z343" s="263">
        <f>IFERROR((N(Z154)+N(Z164)+N(Z167)+N(Z168)+N(Z177))-N(Z228),0)</f>
        <v>131075</v>
      </c>
      <c r="AA343" s="263">
        <f>IFERROR((N(AA154)+N(AA164)+N(AA167)+N(AA168)+N(AA177))-N(AA228),0)</f>
        <v>130635</v>
      </c>
      <c r="AB343" s="263">
        <f>IFERROR((N(AB154)+N(AB164)+N(AB167)+N(AB168)+N(AB177))-N(AB228),0)</f>
        <v>130635</v>
      </c>
      <c r="AC343" s="263">
        <f>IFERROR((N(AC154)+N(AC164)+N(AC167)+N(AC168)+N(AC177))-N(AC228),0)</f>
        <v>129753</v>
      </c>
      <c r="AD343" s="263">
        <f>IFERROR((N(AD154)+N(AD164)+N(AD167)+N(AD168)+N(AD177))-N(AD228),0)</f>
        <v>127813</v>
      </c>
      <c r="AE343" s="263">
        <f>IFERROR((N(AE154)+N(AE164)+N(AE167)+N(AE168)+N(AE177))-N(AE228),0)</f>
        <v>130217</v>
      </c>
      <c r="AF343" s="263">
        <f>IFERROR((N(AF154)+N(AF164)+N(AF167)+N(AF168)+N(AF177))-N(AF228),0)</f>
        <v>128474</v>
      </c>
      <c r="AG343" s="263">
        <f>IFERROR((N(AG154)+N(AG164)+N(AG167)+N(AG168)+N(AG177))-N(AG228),0)</f>
        <v>128474</v>
      </c>
      <c r="AH343" s="263">
        <f>IFERROR((N(AH154)+N(AH164)+N(AH167)+N(AH168)+N(AH177))-N(AH228),0)</f>
        <v>126995</v>
      </c>
      <c r="AI343" s="263">
        <f>IFERROR((N(AI154)+N(AI164)+N(AI167)+N(AI168)+N(AI177))-N(AI228),0)</f>
        <v>125522</v>
      </c>
      <c r="AJ343" s="263">
        <f>IFERROR((N(AJ154)+N(AJ164)+N(AJ167)+N(AJ168)+N(AJ177))-N(AJ228),0)</f>
        <v>125523.071270783</v>
      </c>
      <c r="AK343" s="263">
        <f>IFERROR((N(AK154)+N(AK164)+N(AK167)+N(AK168)+N(AK177))-N(AK228),0)</f>
        <v>125524.219608839</v>
      </c>
      <c r="AL343" s="263">
        <f>IFERROR((N(AL154)+N(AL164)+N(AL167)+N(AL168)+N(AL177))-N(AL228),0)</f>
        <v>125524.219608839</v>
      </c>
      <c r="AM343" s="263">
        <f>IFERROR((N(AM154)+N(AM164)+N(AM167)+N(AM168)+N(AM177))-N(AM228),0)</f>
        <v>125525.538969642</v>
      </c>
      <c r="AN343" s="263">
        <f>IFERROR((N(AN154)+N(AN164)+N(AN167)+N(AN168)+N(AN177))-N(AN228),0)</f>
        <v>125527.298612924</v>
      </c>
      <c r="AO343" s="263">
        <f>IFERROR((N(AO154)+N(AO164)+N(AO167)+N(AO168)+N(AO177))-N(AO228),0)</f>
        <v>125528.786272535</v>
      </c>
      <c r="AP343" s="263">
        <f>IFERROR((N(AP154)+N(AP164)+N(AP167)+N(AP168)+N(AP177))-N(AP228),0)</f>
        <v>125530.380954453</v>
      </c>
      <c r="AQ343" s="263">
        <f>IFERROR((N(AQ154)+N(AQ164)+N(AQ167)+N(AQ168)+N(AQ177))-N(AQ228),0)</f>
        <v>125530.380954453</v>
      </c>
      <c r="AR343" s="263">
        <f>IFERROR((N(AR154)+N(AR164)+N(AR167)+N(AR168)+N(AR177))-N(AR228),0)</f>
        <v>125532.2065366</v>
      </c>
      <c r="AS343" s="263">
        <f>IFERROR((N(AS154)+N(AS164)+N(AS167)+N(AS168)+N(AS177))-N(AS228),0)</f>
        <v>125534.641331809</v>
      </c>
      <c r="AT343" s="263">
        <f>IFERROR((N(AT154)+N(AT164)+N(AT167)+N(AT168)+N(AT177))-N(AT228),0)</f>
        <v>125536.699786798</v>
      </c>
      <c r="AU343" s="263">
        <f>IFERROR((N(AU154)+N(AU164)+N(AU167)+N(AU168)+N(AU177))-N(AU228),0)</f>
        <v>125538.906327141</v>
      </c>
      <c r="AV343" s="263">
        <f>IFERROR((N(AV154)+N(AV164)+N(AV167)+N(AV168)+N(AV177))-N(AV228),0)</f>
        <v>125538.906327141</v>
      </c>
      <c r="AW343" s="263">
        <f>IFERROR((N(AW154)+N(AW164)+N(AW167)+N(AW168)+N(AW177))-N(AW228),0)</f>
        <v>125541.423233176</v>
      </c>
      <c r="AX343" s="263">
        <f>IFERROR((N(AX154)+N(AX164)+N(AX167)+N(AX168)+N(AX177))-N(AX228),0)</f>
        <v>125544.780053228</v>
      </c>
      <c r="AY343" s="263">
        <f>IFERROR((N(AY154)+N(AY164)+N(AY167)+N(AY168)+N(AY177))-N(AY228),0)</f>
        <v>125547.61801798</v>
      </c>
      <c r="AZ343" s="263">
        <f>IFERROR((N(AZ154)+N(AZ164)+N(AZ167)+N(AZ168)+N(AZ177))-N(AZ228),0)</f>
        <v>125550.660146058</v>
      </c>
      <c r="BA343" s="263">
        <f>IFERROR((N(BA154)+N(BA164)+N(BA167)+N(BA168)+N(BA177))-N(BA228),0)</f>
        <v>125550.660146058</v>
      </c>
      <c r="BB343" s="263">
        <f>IFERROR((N(BB154)+N(BB164)+N(BB167)+N(BB168)+N(BB177))-N(BB228),0)</f>
        <v>125554.117586693</v>
      </c>
      <c r="BC343" s="263">
        <f>IFERROR((N(BC154)+N(BC164)+N(BC167)+N(BC168)+N(BC177))-N(BC228),0)</f>
        <v>125558.728806137</v>
      </c>
      <c r="BD343" s="263">
        <f>IFERROR((N(BD154)+N(BD164)+N(BD167)+N(BD168)+N(BD177))-N(BD228),0)</f>
        <v>125562.627280898</v>
      </c>
      <c r="BE343" s="263">
        <f>IFERROR((N(BE154)+N(BE164)+N(BE167)+N(BE168)+N(BE177))-N(BE228),0)</f>
        <v>125566.806212129</v>
      </c>
      <c r="BF343" s="263">
        <f>IFERROR((N(BF154)+N(BF164)+N(BF167)+N(BF168)+N(BF177))-N(BF228),0)</f>
        <v>125566.806212129</v>
      </c>
      <c r="BG343" s="90" t="n"/>
      <c r="BH343" s="90" t="n"/>
      <c r="BI343" s="90" t="n"/>
      <c r="BJ343" s="90" t="n"/>
      <c r="BL343" s="90" t="n"/>
      <c r="BM343" s="90" t="n"/>
      <c r="BN343" s="90" t="n"/>
      <c r="BO343" s="90" t="n"/>
      <c r="BQ343" s="90" t="n"/>
      <c r="BR343" s="90" t="n"/>
      <c r="BS343" s="90" t="n"/>
      <c r="BT343" s="90" t="n"/>
      <c r="BV343" s="90" t="n"/>
      <c r="BW343" s="90" t="n"/>
      <c r="BX343" s="90" t="n"/>
      <c r="BY343" s="90" t="n"/>
      <c r="CA343" s="90" t="n"/>
      <c r="CB343" s="90" t="n"/>
      <c r="CC343" s="90" t="n"/>
      <c r="CD343" s="90" t="n"/>
      <c r="CF343" s="90" t="n"/>
      <c r="CG343" s="90" t="n"/>
      <c r="CH343" s="90" t="n"/>
      <c r="CI343" s="90" t="n"/>
      <c r="CK343" s="90" t="n"/>
      <c r="CL343" s="90" t="n"/>
      <c r="CM343" s="90" t="n"/>
      <c r="CN343" s="90" t="n"/>
      <c r="CP343" s="90" t="n"/>
      <c r="CQ343" s="90" t="n"/>
      <c r="CR343" s="90" t="n"/>
      <c r="CS343" s="90" t="n"/>
      <c r="CU343" s="90" t="n"/>
      <c r="CV343" s="90" t="n"/>
      <c r="CW343" s="90" t="n"/>
      <c r="CX343" s="90" t="n"/>
    </row>
    <row r="344" customFormat="1" s="77">
      <c r="A344" s="76" t="n"/>
      <c r="B344" s="76" t="n"/>
    </row>
    <row r="345" customFormat="1" s="77">
      <c r="A345" s="76" t="n"/>
      <c r="B345" s="76" t="n"/>
    </row>
    <row r="346" customFormat="1" s="77">
      <c r="A346" s="76" t="n"/>
      <c r="B346" s="76" t="n"/>
    </row>
    <row r="347" customFormat="1" s="77">
      <c r="A347" s="76" t="n"/>
      <c r="B347" s="76" t="n"/>
    </row>
    <row r="348" customFormat="1" s="77">
      <c r="A348" s="76" t="n"/>
      <c r="B348" s="76" t="n"/>
    </row>
    <row r="349" customFormat="1" s="77">
      <c r="A349" s="76" t="n"/>
      <c r="B349" s="76" t="n"/>
    </row>
    <row r="350" customFormat="1" s="77">
      <c r="A350" s="76" t="n"/>
      <c r="B350" s="76" t="n"/>
    </row>
    <row r="351" customFormat="1" s="77">
      <c r="A351" s="76" t="n"/>
      <c r="B351" s="76" t="n"/>
      <c r="C351" s="74" t="inlineStr">
        <is>
          <t>DUPONT ANALYSIS</t>
        </is>
      </c>
    </row>
    <row r="352" customFormat="1" s="77">
      <c r="A352" s="76" t="n"/>
      <c r="B352" s="76" t="n"/>
      <c r="C352" s="77" t="inlineStr">
        <is>
          <t>NET PROFIT MARGIN (LTM)</t>
        </is>
      </c>
      <c r="D352" s="84" t="str">
        <f>IFERROR(D125/D15,"")</f>
        <v/>
      </c>
      <c r="E352" s="84" t="str">
        <f>IFERROR(E125/E15,"")</f>
        <v/>
      </c>
      <c r="F352" s="84" t="str">
        <f>IFERROR(F125/F15,"")</f>
        <v/>
      </c>
      <c r="G352" s="84" t="str">
        <f>IFERROR(G125/G15,"")</f>
        <v/>
      </c>
      <c r="H352" s="258" t="str">
        <f>IFERROR(IF(AND(COUNT(H125)=1,(H15)&lt;&gt;0),(H125)/(H15),""),"")</f>
        <v/>
      </c>
      <c r="I352" s="257" t="str">
        <f>""</f>
        <v/>
      </c>
      <c r="J352" s="257" t="str">
        <f>""</f>
        <v/>
      </c>
      <c r="K352" s="257" t="str">
        <f>""</f>
        <v/>
      </c>
      <c r="L352" s="257">
        <f>IFERROR(IF(AND(COUNT(I125,J125,K125,L125)=4,(I15+J15+K15+L15)&lt;&gt;0),(I125+J125+K125+L125)/(I15+J15+K15+L15),""),"")</f>
        <v>0.264236342584471</v>
      </c>
      <c r="M352" s="258">
        <f>IFERROR(IF(AND(COUNT(I125,J125,K125,L125)=4,(I15+J15+K15+L15)&lt;&gt;0),(I125+J125+K125+L125)/(I15+J15+K15+L15),""),"")</f>
        <v>0.264236342584471</v>
      </c>
      <c r="N352" s="257">
        <f>IFERROR(IF(AND(COUNT(J125,K125,L125,N125)=4,(J15+K15+L15+N15)&lt;&gt;0),(J125+K125+L125+N125)/(J15+K15+L15+N15),""),"")</f>
        <v>0.287690871507635</v>
      </c>
      <c r="O352" s="257">
        <f>IFERROR(IF(AND(COUNT(K125,L125,N125,O125)=4,(K15+L15+N15+O15)&lt;&gt;0),(K125+L125+N125+O125)/(K15+L15+N15+O15),""),"")</f>
        <v>0.310164141414141</v>
      </c>
      <c r="P352" s="257">
        <f>IFERROR(IF(AND(COUNT(L125,N125,O125,P125)=4,(L15+N15+O15+P15)&lt;&gt;0),(L125+N125+O125+P125)/(L15+N15+O15+P15),""),"")</f>
        <v>0.346203656296118</v>
      </c>
      <c r="Q352" s="257">
        <f>IFERROR(IF(AND(COUNT(N125,O125,P125,Q125)=4,(N15+O15+P15+Q15)&lt;&gt;0),(N125+O125+P125+Q125)/(N15+O15+P15+Q15),""),"")</f>
        <v>0.37402650238289</v>
      </c>
      <c r="R352" s="258">
        <f>IFERROR(IF(AND(COUNT(N125,O125,P125,Q125)=4,(N15+O15+P15+Q15)&lt;&gt;0),(N125+O125+P125+Q125)/(N15+O15+P15+Q15),""),"")</f>
        <v>0.37402650238289</v>
      </c>
      <c r="S352" s="257">
        <f>IFERROR(IF(AND(COUNT(O125,P125,Q125,S125)=4,(O15+P15+Q15+S15)&lt;&gt;0),(O125+P125+Q125+S125)/(O15+P15+Q15+S15),""),"")</f>
        <v>0.394869014325666</v>
      </c>
      <c r="T352" s="257">
        <f>IFERROR(IF(AND(COUNT(P125,Q125,S125,T125)=4,(P15+Q15+S15+T15)&lt;&gt;0),(P125+Q125+S125+T125)/(P15+Q15+S15+T15),""),"")</f>
        <v>0.398854854177244</v>
      </c>
      <c r="U352" s="257">
        <f>IFERROR(IF(AND(COUNT(Q125,S125,T125,U125)=4,(Q15+S15+T15+U15)&lt;&gt;0),(Q125+S125+T125+U125)/(Q15+S15+T15+U15),""),"")</f>
        <v>0.393143303833161</v>
      </c>
      <c r="V352" s="257">
        <f>IFERROR(IF(AND(COUNT(S125,T125,U125,V125)=4,(S15+T15+U15+V15)&lt;&gt;0),(S125+T125+U125+V125)/(S15+T15+U15+V15),""),"")</f>
        <v>0.299318152579442</v>
      </c>
      <c r="W352" s="258">
        <f>IFERROR(IF(AND(COUNT(S125,T125,U125,V125)=4,(S15+T15+U15+V15)&lt;&gt;0),(S125+T125+U125+V125)/(S15+T15+U15+V15),""),"")</f>
        <v>0.299318152579442</v>
      </c>
      <c r="X352" s="257">
        <f>IFERROR(IF(AND(COUNT(T125,U125,V125,X125)=4,(T15+U15+V15+X15)&lt;&gt;0),(T125+U125+V125+X125)/(T15+U15+V15+X15),""),"")</f>
        <v>0.241042727422042</v>
      </c>
      <c r="Y352" s="257">
        <f>IFERROR(IF(AND(COUNT(U125,V125,X125,Y125)=4,(U15+V15+X15+Y15)&lt;&gt;0),(U125+V125+X125+Y125)/(U15+V15+X15+Y15),""),"")</f>
        <v>0.108832639111396</v>
      </c>
      <c r="Z352" s="257">
        <f>IFERROR(IF(AND(COUNT(V125,X125,Y125,Z125)=4,(V15+X15+Y15+Z15)&lt;&gt;0),(V125+X125+Y125+Z125)/(V15+X15+Y15+Z15),""),"")</f>
        <v>0.11430177996665</v>
      </c>
      <c r="AA352" s="257">
        <f>IFERROR(IF(AND(COUNT(X125,Y125,Z125,AA125)=4,(X15+Y15+Z15+AA15)&lt;&gt;0),(X125+Y125+Z125+AA125)/(X15+Y15+Z15+AA15),""),"")</f>
        <v>0.184727392763484</v>
      </c>
      <c r="AB352" s="258">
        <f>IFERROR(IF(AND(COUNT(X125,Y125,Z125,AA125)=4,(X15+Y15+Z15+AA15)&lt;&gt;0),(X125+Y125+Z125+AA125)/(X15+Y15+Z15+AA15),""),"")</f>
        <v>0.184727392763484</v>
      </c>
      <c r="AC352" s="257">
        <f>IFERROR(IF(AND(COUNT(Y125,Z125,AA125,AC125)=4,(Y15+Z15+AA15+AC15)&lt;&gt;0),(Y125+Z125+AA125+AC125)/(Y15+Z15+AA15+AC15),""),"")</f>
        <v>0.226431301055289</v>
      </c>
      <c r="AD352" s="257">
        <f>IFERROR(IF(AND(COUNT(Z125,AA125,AC125,AD125)=4,(Z15+AA15+AC15+AD15)&lt;&gt;0),(Z125+AA125+AC125+AD125)/(Z15+AA15+AC15+AD15),""),"")</f>
        <v>0.315922971665054</v>
      </c>
      <c r="AE352" s="257">
        <f>IFERROR(IF(AND(COUNT(AA125,AC125,AD125,AE125)=4,(AA15+AC15+AD15+AE15)&lt;&gt;0),(AA125+AC125+AD125+AE125)/(AA15+AC15+AD15+AE15),""),"")</f>
        <v>0.361982876015465</v>
      </c>
      <c r="AF352" s="257">
        <f>IFERROR(IF(AND(COUNT(AB125,AD125,AE125,AF125)=4,(AB15+AD15+AE15+AF15)&lt;&gt;0),(AB125+AD125+AE125+AF125)/(AB15+AD15+AE15+AF15),""),"")</f>
        <v>0.279017132468207</v>
      </c>
      <c r="AG352" s="258">
        <f>IFERROR(IF(AND(COUNT(AC125,AD125,AE125,AF125)=4,(AC15+AD15+AE15+AF15)&lt;&gt;0),(AC125+AD125+AE125+AF125)/(AC15+AD15+AE15+AF15),""),"")</f>
        <v>0.365718637415424</v>
      </c>
      <c r="AH352" s="257">
        <f>IFERROR(IF(AND(COUNT(AD125,AF125,AG125,AH125)=4,(AD15+AF15+AG15+AH15)&lt;&gt;0),(AD125+AF125+AG125+AH125)/(AD15+AF15+AG15+AH15),""),"")</f>
        <v>0.364036203989438</v>
      </c>
      <c r="AI352" s="257">
        <f>IFERROR(IF(AND(COUNT(AE125,AG125,AH125,AI125)=4,(AE15+AG15+AH15+AI15)&lt;&gt;0),(AE125+AG125+AH125+AI125)/(AE15+AG15+AH15+AI15),""),"")</f>
        <v>0.404765525982256</v>
      </c>
      <c r="AJ352" s="257">
        <f>IFERROR(IF(AND(COUNT(AF125,AH125,AI125,AJ125)=4,(AF15+AH15+AI15+AJ15)&lt;&gt;0),(AF125+AH125+AI125+AJ125)/(AF15+AH15+AI15+AJ15),""),"")</f>
        <v>0.419985969246385</v>
      </c>
      <c r="AK352" s="257">
        <f>IFERROR(IF(AND(COUNT(AH125,AI125,AJ125,AK125)=4,(AH15+AI15+AJ15+AK15)&lt;&gt;0),(AH125+AI125+AJ125+AK125)/(AH15+AI15+AJ15+AK15),""),"")</f>
        <v>0.42846567772939</v>
      </c>
      <c r="AL352" s="258">
        <f>IFERROR(IF(AND(COUNT(AH125,AI125,AJ125,AK125)=4,(AH15+AI15+AJ15+AK15)&lt;&gt;0),(AH125+AI125+AJ125+AK125)/(AH15+AI15+AJ15+AK15),""),"")</f>
        <v>0.42846567772939</v>
      </c>
      <c r="AM352" s="257">
        <f>IFERROR(IF(AND(COUNT(AI125,AJ125,AK125,AM125)=4,(AI15+AJ15+AK15+AM15)&lt;&gt;0),(AI125+AJ125+AK125+AM125)/(AI15+AJ15+AK15+AM15),""),"")</f>
        <v>0.429087718741254</v>
      </c>
      <c r="AN352" s="257">
        <f>IFERROR(IF(AND(COUNT(AJ125,AK125,AM125,AN125)=4,(AJ15+AK15+AM15+AN15)&lt;&gt;0),(AJ125+AK125+AM125+AN125)/(AJ15+AK15+AM15+AN15),""),"")</f>
        <v>0.424358265046657</v>
      </c>
      <c r="AO352" s="257">
        <f>IFERROR(IF(AND(COUNT(AK125,AM125,AN125,AO125)=4,(AK15+AM15+AN15+AO15)&lt;&gt;0),(AK125+AM125+AN125+AO125)/(AK15+AM15+AN15+AO15),""),"")</f>
        <v>0.424358265046657</v>
      </c>
      <c r="AP352" s="257">
        <f>IFERROR(IF(AND(COUNT(AM125,AN125,AO125,AP125)=4,(AM15+AN15+AO15+AP15)&lt;&gt;0),(AM125+AN125+AO125+AP125)/(AM15+AN15+AO15+AP15),""),"")</f>
        <v>0.424358265046657</v>
      </c>
      <c r="AQ352" s="258">
        <f>IFERROR(IF(AND(COUNT(AM125,AN125,AO125,AP125)=4,(AM15+AN15+AO15+AP15)&lt;&gt;0),(AM125+AN125+AO125+AP125)/(AM15+AN15+AO15+AP15),""),"")</f>
        <v>0.424358265046657</v>
      </c>
      <c r="AR352" s="257">
        <f>IFERROR(IF(AND(COUNT(AN125,AO125,AP125,AR125)=4,(AN15+AO15+AP15+AR15)&lt;&gt;0),(AN125+AO125+AP125+AR125)/(AN15+AO15+AP15+AR15),""),"")</f>
        <v>0.424358265046657</v>
      </c>
      <c r="AS352" s="257">
        <f>IFERROR(IF(AND(COUNT(AO125,AP125,AR125,AS125)=4,(AO15+AP15+AR15+AS15)&lt;&gt;0),(AO125+AP125+AR125+AS125)/(AO15+AP15+AR15+AS15),""),"")</f>
        <v>0.424358265046657</v>
      </c>
      <c r="AT352" s="257">
        <f>IFERROR(IF(AND(COUNT(AP125,AR125,AS125,AT125)=4,(AP15+AR15+AS15+AT15)&lt;&gt;0),(AP125+AR125+AS125+AT125)/(AP15+AR15+AS15+AT15),""),"")</f>
        <v>0.424358265046657</v>
      </c>
      <c r="AU352" s="257">
        <f>IFERROR(IF(AND(COUNT(AR125,AS125,AT125,AU125)=4,(AR15+AS15+AT15+AU15)&lt;&gt;0),(AR125+AS125+AT125+AU125)/(AR15+AS15+AT15+AU15),""),"")</f>
        <v>0.424358265046657</v>
      </c>
      <c r="AV352" s="258">
        <f>IFERROR(IF(AND(COUNT(AR125,AS125,AT125,AU125)=4,(AR15+AS15+AT15+AU15)&lt;&gt;0),(AR125+AS125+AT125+AU125)/(AR15+AS15+AT15+AU15),""),"")</f>
        <v>0.424358265046657</v>
      </c>
      <c r="AW352" s="257">
        <f>IFERROR(IF(AND(COUNT(AS125,AT125,AU125,AW125)=4,(AS15+AT15+AU15+AW15)&lt;&gt;0),(AS125+AT125+AU125+AW125)/(AS15+AT15+AU15+AW15),""),"")</f>
        <v>0.424358265046657</v>
      </c>
      <c r="AX352" s="257">
        <f>IFERROR(IF(AND(COUNT(AT125,AU125,AW125,AX125)=4,(AT15+AU15+AW15+AX15)&lt;&gt;0),(AT125+AU125+AW125+AX125)/(AT15+AU15+AW15+AX15),""),"")</f>
        <v>0.424358265046657</v>
      </c>
      <c r="AY352" s="257">
        <f>IFERROR(IF(AND(COUNT(AU125,AW125,AX125,AY125)=4,(AU15+AW15+AX15+AY15)&lt;&gt;0),(AU125+AW125+AX125+AY125)/(AU15+AW15+AX15+AY15),""),"")</f>
        <v>0.424358265046657</v>
      </c>
      <c r="AZ352" s="257">
        <f>IFERROR(IF(AND(COUNT(AW125,AX125,AY125,AZ125)=4,(AW15+AX15+AY15+AZ15)&lt;&gt;0),(AW125+AX125+AY125+AZ125)/(AW15+AX15+AY15+AZ15),""),"")</f>
        <v>0.424358265046657</v>
      </c>
      <c r="BA352" s="258">
        <f>IFERROR(IF(AND(COUNT(AW125,AX125,AY125,AZ125)=4,(AW15+AX15+AY15+AZ15)&lt;&gt;0),(AW125+AX125+AY125+AZ125)/(AW15+AX15+AY15+AZ15),""),"")</f>
        <v>0.424358265046657</v>
      </c>
      <c r="BB352" s="257">
        <f>IFERROR(IF(AND(COUNT(AX125,AY125,AZ125,BB125)=4,(AX15+AY15+AZ15+BB15)&lt;&gt;0),(AX125+AY125+AZ125+BB125)/(AX15+AY15+AZ15+BB15),""),"")</f>
        <v>0.424358265046657</v>
      </c>
      <c r="BC352" s="257">
        <f>IFERROR(IF(AND(COUNT(AY125,AZ125,BB125,BC125)=4,(AY15+AZ15+BB15+BC15)&lt;&gt;0),(AY125+AZ125+BB125+BC125)/(AY15+AZ15+BB15+BC15),""),"")</f>
        <v>0.424358265046657</v>
      </c>
      <c r="BD352" s="257">
        <f>IFERROR(IF(AND(COUNT(AZ125,BB125,BC125,BD125)=4,(AZ15+BB15+BC15+BD15)&lt;&gt;0),(AZ125+BB125+BC125+BD125)/(AZ15+BB15+BC15+BD15),""),"")</f>
        <v>0.424358265046657</v>
      </c>
      <c r="BE352" s="257">
        <f>IFERROR(IF(AND(COUNT(BB125,BC125,BD125,BE125)=4,(BB15+BC15+BD15+BE15)&lt;&gt;0),(BB125+BC125+BD125+BE125)/(BB15+BC15+BD15+BE15),""),"")</f>
        <v>0.424358265046657</v>
      </c>
      <c r="BF352" s="258">
        <f>IFERROR(IF(AND(COUNT(BB125,BC125,BD125,BE125)=4,(BB15+BC15+BD15+BE15)&lt;&gt;0),(BB125+BC125+BD125+BE125)/(BB15+BC15+BD15+BE15),""),"")</f>
        <v>0.424358265046657</v>
      </c>
      <c r="BG352" s="81" t="n"/>
      <c r="BH352" s="81" t="n"/>
      <c r="BI352" s="81" t="n"/>
      <c r="BJ352" s="81" t="n"/>
      <c r="BL352" s="81" t="n"/>
      <c r="BM352" s="81" t="n"/>
      <c r="BN352" s="81" t="n"/>
      <c r="BO352" s="81" t="n"/>
      <c r="BQ352" s="81" t="n"/>
      <c r="BR352" s="81" t="n"/>
      <c r="BS352" s="81" t="n"/>
      <c r="BT352" s="81" t="n"/>
      <c r="BV352" s="81" t="n"/>
      <c r="BW352" s="81" t="n"/>
      <c r="BX352" s="81" t="n"/>
      <c r="BY352" s="81" t="n"/>
      <c r="CA352" s="81" t="n"/>
      <c r="CB352" s="81" t="n"/>
      <c r="CC352" s="81" t="n"/>
      <c r="CD352" s="81" t="n"/>
      <c r="CF352" s="81" t="n"/>
      <c r="CG352" s="81" t="n"/>
      <c r="CH352" s="81" t="n"/>
      <c r="CI352" s="81" t="n"/>
      <c r="CK352" s="81" t="n"/>
      <c r="CL352" s="81" t="n"/>
      <c r="CM352" s="81" t="n"/>
      <c r="CN352" s="81" t="n"/>
      <c r="CP352" s="81" t="n"/>
      <c r="CQ352" s="81" t="n"/>
      <c r="CR352" s="81" t="n"/>
      <c r="CS352" s="81" t="n"/>
      <c r="CU352" s="81" t="n"/>
      <c r="CV352" s="81" t="n"/>
      <c r="CW352" s="81" t="n"/>
      <c r="CX352" s="81" t="n"/>
    </row>
    <row r="353" customFormat="1" s="77">
      <c r="A353" s="76" t="n"/>
      <c r="B353" s="76" t="n"/>
      <c r="C353" s="77" t="inlineStr">
        <is>
          <t>ASSET TURNOVER (LTM REVENUE / ASSETS)</t>
        </is>
      </c>
      <c r="D353" s="84" t="str">
        <f>IFERROR(D15/D185,"")</f>
        <v/>
      </c>
      <c r="E353" s="84" t="str">
        <f>IFERROR(E15/E185,"")</f>
        <v/>
      </c>
      <c r="F353" s="84" t="str">
        <f>IFERROR(F15/F185,"")</f>
        <v/>
      </c>
      <c r="G353" s="84" t="str">
        <f>IFERROR(G15/G185,"")</f>
        <v/>
      </c>
      <c r="H353" s="262" t="str">
        <f>IFERROR(IF(AND(COUNT(H15)=1,N(H185)&lt;&gt;0),(H15)/H185,""),"")</f>
        <v/>
      </c>
      <c r="I353" s="264" t="str">
        <f>""</f>
        <v/>
      </c>
      <c r="J353" s="264" t="str">
        <f>""</f>
        <v/>
      </c>
      <c r="K353" s="264" t="str">
        <f>""</f>
        <v/>
      </c>
      <c r="L353" s="264">
        <f>IFERROR(IF(AND(COUNT(I15,J15,K15,L15)=4,N(L185)&lt;&gt;0),(I15+J15+K15+L15)/L185,""),"")</f>
        <v>0.389230307003168</v>
      </c>
      <c r="M353" s="262">
        <f>IFERROR(IF(AND(COUNT(I15,J15,K15,L15)=4,N(M185)&lt;&gt;0),(I15+J15+K15+L15)/M185,""),"")</f>
        <v>0.389230307003168</v>
      </c>
      <c r="N353" s="264">
        <f>IFERROR(IF(AND(COUNT(J15,K15,L15,N15)=4,N(N185)&lt;&gt;0),(J15+K15+L15+N15)/N185,""),"")</f>
        <v>0.41821553563212</v>
      </c>
      <c r="O353" s="264">
        <f>IFERROR(IF(AND(COUNT(K15,L15,N15,O15)=4,N(O185)&lt;&gt;0),(K15+L15+N15+O15)/O185,""),"")</f>
        <v>0.444157810616045</v>
      </c>
      <c r="P353" s="264">
        <f>IFERROR(IF(AND(COUNT(L15,N15,O15,P15)=4,N(P185)&lt;&gt;0),(L15+N15+O15+P15)/P185,""),"")</f>
        <v>0.45328946470259</v>
      </c>
      <c r="Q353" s="264">
        <f>IFERROR(IF(AND(COUNT(N15,O15,P15,Q15)=4,N(Q185)&lt;&gt;0),(N15+O15+P15+Q15)/Q185,""),"")</f>
        <v>0.471552291164218</v>
      </c>
      <c r="R353" s="262">
        <f>IFERROR(IF(AND(COUNT(N15,O15,P15,Q15)=4,N(R185)&lt;&gt;0),(N15+O15+P15+Q15)/R185,""),"")</f>
        <v>0.471552291164218</v>
      </c>
      <c r="S353" s="264">
        <f>IFERROR(IF(AND(COUNT(O15,P15,Q15,S15)=4,N(S185)&lt;&gt;0),(O15+P15+Q15+S15)/S185,""),"")</f>
        <v>0.488955865321557</v>
      </c>
      <c r="T353" s="264">
        <f>IFERROR(IF(AND(COUNT(P15,Q15,S15,T15)=4,N(T185)&lt;&gt;0),(P15+Q15+S15+T15)/T185,""),"")</f>
        <v>0.495202178923109</v>
      </c>
      <c r="U353" s="264">
        <f>IFERROR(IF(AND(COUNT(Q15,S15,T15,U15)=4,N(U185)&lt;&gt;0),(Q15+S15+T15+U15)/U185,""),"")</f>
        <v>0.491607307064136</v>
      </c>
      <c r="V353" s="264">
        <f>IFERROR(IF(AND(COUNT(S15,T15,U15,V15)=4,N(V185)&lt;&gt;0),(S15+T15+U15+V15)/V185,""),"")</f>
        <v>0.218502276943835</v>
      </c>
      <c r="W353" s="262">
        <f>IFERROR(IF(AND(COUNT(S15,T15,U15,V15)=4,N(W185)&lt;&gt;0),(S15+T15+U15+V15)/W185,""),"")</f>
        <v>0.218502276943835</v>
      </c>
      <c r="X353" s="264">
        <f>IFERROR(IF(AND(COUNT(T15,U15,V15,X15)=4,N(X185)&lt;&gt;0),(T15+U15+V15+X15)/X185,""),"")</f>
        <v>0.243243860259915</v>
      </c>
      <c r="Y353" s="264">
        <f>IFERROR(IF(AND(COUNT(U15,V15,X15,Y15)=4,N(Y185)&lt;&gt;0),(U15+V15+X15+Y15)/Y185,""),"")</f>
        <v>0.278717121322172</v>
      </c>
      <c r="Z353" s="264">
        <f>IFERROR(IF(AND(COUNT(V15,X15,Y15,Z15)=4,N(Z185)&lt;&gt;0),(V15+X15+Y15+Z15)/Z185,""),"")</f>
        <v>0.311352591385191</v>
      </c>
      <c r="AA353" s="264">
        <f>IFERROR(IF(AND(COUNT(X15,Y15,Z15,AA15)=4,N(AA185)&lt;&gt;0),(X15+Y15+Z15+AA15)/AA185,""),"")</f>
        <v>0.32976330144293</v>
      </c>
      <c r="AB353" s="262">
        <f>IFERROR(IF(AND(COUNT(X15,Y15,Z15,AA15)=4,N(AB185)&lt;&gt;0),(X15+Y15+Z15+AA15)/AB185,""),"")</f>
        <v>0.32976330144293</v>
      </c>
      <c r="AC353" s="264">
        <f>IFERROR(IF(AND(COUNT(Y15,Z15,AA15,AC15)=4,N(AC185)&lt;&gt;0),(Y15+Z15+AA15+AC15)/AC185,""),"")</f>
        <v>0.346510356557128</v>
      </c>
      <c r="AD353" s="264">
        <f>IFERROR(IF(AND(COUNT(Z15,AA15,AC15,AD15)=4,N(AD185)&lt;&gt;0),(Z15+AA15+AC15+AD15)/AD185,""),"")</f>
        <v>0.361826096932152</v>
      </c>
      <c r="AE353" s="264">
        <f>IFERROR(IF(AND(COUNT(AA15,AC15,AD15,AE15)=4,N(AE185)&lt;&gt;0),(AA15+AC15+AD15+AE15)/AE185,""),"")</f>
        <v>0.373407289645337</v>
      </c>
      <c r="AF353" s="264">
        <f>IFERROR(IF(AND(COUNT(AB15,AD15,AE15,AF15)=4,N(AF185)&lt;&gt;0),(AB15+AD15+AE15+AF15)/AF185,""),"")</f>
        <v>0.634520873674979</v>
      </c>
      <c r="AG353" s="262">
        <f>IFERROR(IF(AND(COUNT(AC15,AD15,AE15,AF15)=4,N(AG185)&lt;&gt;0),(AC15+AD15+AE15+AF15)/AG185,""),"")</f>
        <v>0.401888136171816</v>
      </c>
      <c r="AH353" s="264">
        <f>IFERROR(IF(AND(COUNT(AD15,AF15,AG15,AH15)=4,N(AH185)&lt;&gt;0),(AD15+AF15+AG15+AH15)/AH185,""),"")</f>
        <v>0.701793947242099</v>
      </c>
      <c r="AI353" s="264">
        <f>IFERROR(IF(AND(COUNT(AE15,AG15,AH15,AI15)=4,N(AI185)&lt;&gt;0),(AE15+AG15+AH15+AI15)/AI185,""),"")</f>
        <v>0.733863766821864</v>
      </c>
      <c r="AJ353" s="264">
        <f>IFERROR(IF(AND(COUNT(AF15,AH15,AI15,AJ15)=4,N(AJ185)&lt;&gt;0),(AF15+AH15+AI15+AJ15)/AJ185,""),"")</f>
        <v>0.48566641528194</v>
      </c>
      <c r="AK353" s="264">
        <f>IFERROR(IF(AND(COUNT(AH15,AI15,AJ15,AK15)=4,N(AK185)&lt;&gt;0),(AH15+AI15+AJ15+AK15)/AK185,""),"")</f>
        <v>0.492779843074475</v>
      </c>
      <c r="AL353" s="262">
        <f>IFERROR(IF(AND(COUNT(AH15,AI15,AJ15,AK15)=4,N(AL185)&lt;&gt;0),(AH15+AI15+AJ15+AK15)/AL185,""),"")</f>
        <v>0.492779843074475</v>
      </c>
      <c r="AM353" s="264">
        <f>IFERROR(IF(AND(COUNT(AI15,AJ15,AK15,AM15)=4,N(AM185)&lt;&gt;0),(AI15+AJ15+AK15+AM15)/AM185,""),"")</f>
        <v>0.498963085847786</v>
      </c>
      <c r="AN353" s="264">
        <f>IFERROR(IF(AND(COUNT(AJ15,AK15,AM15,AN15)=4,N(AN185)&lt;&gt;0),(AJ15+AK15+AM15+AN15)/AN185,""),"")</f>
        <v>0.505128746738903</v>
      </c>
      <c r="AO353" s="264">
        <f>IFERROR(IF(AND(COUNT(AK15,AM15,AN15,AO15)=4,N(AO185)&lt;&gt;0),(AK15+AM15+AN15+AO15)/AO185,""),"")</f>
        <v>0.510969616103567</v>
      </c>
      <c r="AP353" s="264">
        <f>IFERROR(IF(AND(COUNT(AM15,AN15,AO15,AP15)=4,N(AP185)&lt;&gt;0),(AM15+AN15+AO15+AP15)/AP185,""),"")</f>
        <v>0.513375455743238</v>
      </c>
      <c r="AQ353" s="262">
        <f>IFERROR(IF(AND(COUNT(AM15,AN15,AO15,AP15)=4,N(AQ185)&lt;&gt;0),(AM15+AN15+AO15+AP15)/AQ185,""),"")</f>
        <v>0.513375455743238</v>
      </c>
      <c r="AR353" s="264">
        <f>IFERROR(IF(AND(COUNT(AN15,AO15,AP15,AR15)=4,N(AR185)&lt;&gt;0),(AN15+AO15+AP15+AR15)/AR185,""),"")</f>
        <v>0.513710585546985</v>
      </c>
      <c r="AS353" s="264">
        <f>IFERROR(IF(AND(COUNT(AO15,AP15,AR15,AS15)=4,N(AS185)&lt;&gt;0),(AO15+AP15+AR15+AS15)/AS185,""),"")</f>
        <v>0.512744646876835</v>
      </c>
      <c r="AT353" s="264">
        <f>IFERROR(IF(AND(COUNT(AP15,AR15,AS15,AT15)=4,N(AT185)&lt;&gt;0),(AP15+AR15+AS15+AT15)/AT185,""),"")</f>
        <v>0.510785220586717</v>
      </c>
      <c r="AU353" s="264">
        <f>IFERROR(IF(AND(COUNT(AR15,AS15,AT15,AU15)=4,N(AU185)&lt;&gt;0),(AR15+AS15+AT15+AU15)/AU185,""),"")</f>
        <v>0.50403265137068</v>
      </c>
      <c r="AV353" s="262">
        <f>IFERROR(IF(AND(COUNT(AR15,AS15,AT15,AU15)=4,N(AV185)&lt;&gt;0),(AR15+AS15+AT15+AU15)/AV185,""),"")</f>
        <v>0.50403265137068</v>
      </c>
      <c r="AW353" s="264">
        <f>IFERROR(IF(AND(COUNT(AS15,AT15,AU15,AW15)=4,N(AW185)&lt;&gt;0),(AS15+AT15+AU15+AW15)/AW185,""),"")</f>
        <v>0.493887424181643</v>
      </c>
      <c r="AX353" s="264">
        <f>IFERROR(IF(AND(COUNT(AT15,AU15,AW15,AX15)=4,N(AX185)&lt;&gt;0),(AT15+AU15+AW15+AX15)/AX185,""),"")</f>
        <v>0.481549761982073</v>
      </c>
      <c r="AY353" s="264">
        <f>IFERROR(IF(AND(COUNT(AU15,AW15,AX15,AY15)=4,N(AY185)&lt;&gt;0),(AU15+AW15+AX15+AY15)/AY185,""),"")</f>
        <v>0.466139534515917</v>
      </c>
      <c r="AZ353" s="264">
        <f>IFERROR(IF(AND(COUNT(AW15,AX15,AY15,AZ15)=4,N(AZ185)&lt;&gt;0),(AW15+AX15+AY15+AZ15)/AZ185,""),"")</f>
        <v>0.444938066104063</v>
      </c>
      <c r="BA353" s="262">
        <f>IFERROR(IF(AND(COUNT(AW15,AX15,AY15,AZ15)=4,N(BA185)&lt;&gt;0),(AW15+AX15+AY15+AZ15)/BA185,""),"")</f>
        <v>0.444938066104063</v>
      </c>
      <c r="BB353" s="264">
        <f>IFERROR(IF(AND(COUNT(AX15,AY15,AZ15,BB15)=4,N(BB185)&lt;&gt;0),(AX15+AY15+AZ15+BB15)/BB185,""),"")</f>
        <v>0.42002628937101</v>
      </c>
      <c r="BC353" s="264">
        <f>IFERROR(IF(AND(COUNT(AY15,AZ15,BB15,BC15)=4,N(BC185)&lt;&gt;0),(AY15+AZ15+BB15+BC15)/BC185,""),"")</f>
        <v>0.393608569247302</v>
      </c>
      <c r="BD353" s="264">
        <f>IFERROR(IF(AND(COUNT(AZ15,BB15,BC15,BD15)=4,N(BD185)&lt;&gt;0),(AZ15+BB15+BC15+BD15)/BD185,""),"")</f>
        <v>0.363118314955932</v>
      </c>
      <c r="BE353" s="264">
        <f>IFERROR(IF(AND(COUNT(BB15,BC15,BD15,BE15)=4,N(BE185)&lt;&gt;0),(BB15+BC15+BD15+BE15)/BE185,""),"")</f>
        <v>0.329045201569557</v>
      </c>
      <c r="BF353" s="262">
        <f>IFERROR(IF(AND(COUNT(BB15,BC15,BD15,BE15)=4,N(BF185)&lt;&gt;0),(BB15+BC15+BD15+BE15)/BF185,""),"")</f>
        <v>0.329045201569557</v>
      </c>
      <c r="BG353" s="81" t="n"/>
      <c r="BH353" s="81" t="n"/>
      <c r="BI353" s="81" t="n"/>
      <c r="BJ353" s="81" t="n"/>
      <c r="BL353" s="81" t="n"/>
      <c r="BM353" s="81" t="n"/>
      <c r="BN353" s="81" t="n"/>
      <c r="BO353" s="81" t="n"/>
      <c r="BQ353" s="81" t="n"/>
      <c r="BR353" s="81" t="n"/>
      <c r="BS353" s="81" t="n"/>
      <c r="BT353" s="81" t="n"/>
      <c r="BV353" s="81" t="n"/>
      <c r="BW353" s="81" t="n"/>
      <c r="BX353" s="81" t="n"/>
      <c r="BY353" s="81" t="n"/>
      <c r="CA353" s="81" t="n"/>
      <c r="CB353" s="81" t="n"/>
      <c r="CC353" s="81" t="n"/>
      <c r="CD353" s="81" t="n"/>
      <c r="CF353" s="81" t="n"/>
      <c r="CG353" s="81" t="n"/>
      <c r="CH353" s="81" t="n"/>
      <c r="CI353" s="81" t="n"/>
      <c r="CK353" s="81" t="n"/>
      <c r="CL353" s="81" t="n"/>
      <c r="CM353" s="81" t="n"/>
      <c r="CN353" s="81" t="n"/>
      <c r="CP353" s="81" t="n"/>
      <c r="CQ353" s="81" t="n"/>
      <c r="CR353" s="81" t="n"/>
      <c r="CS353" s="81" t="n"/>
      <c r="CU353" s="81" t="n"/>
      <c r="CV353" s="81" t="n"/>
      <c r="CW353" s="81" t="n"/>
      <c r="CX353" s="81" t="n"/>
    </row>
    <row r="354" customFormat="1" s="77">
      <c r="A354" s="76" t="n"/>
      <c r="B354" s="76" t="n"/>
      <c r="C354" s="77" t="inlineStr">
        <is>
          <t>EQUITY MULTIPLIER (ASSETS / EQUITY)</t>
        </is>
      </c>
      <c r="D354" s="84" t="str">
        <f>IFERROR(D185/D259,"")</f>
        <v/>
      </c>
      <c r="E354" s="84" t="str">
        <f>IFERROR(E185/E259,"")</f>
        <v/>
      </c>
      <c r="F354" s="84" t="str">
        <f>IFERROR(F185/F259,"")</f>
        <v/>
      </c>
      <c r="G354" s="84" t="str">
        <f>IFERROR(G185/G259,"")</f>
        <v/>
      </c>
      <c r="H354" s="262" t="str">
        <f>IFERROR(IF(N(H259)&lt;&gt;0,H185/H259,""),"")</f>
        <v/>
      </c>
      <c r="I354" s="264">
        <f>IFERROR(IF(N(I259)&lt;&gt;0,I185/I259,""),"")</f>
        <v>3.15129767170158</v>
      </c>
      <c r="J354" s="264">
        <f>IFERROR(IF(N(J259)&lt;&gt;0,J185/J259,""),"")</f>
        <v>3.11404768744614</v>
      </c>
      <c r="K354" s="264">
        <f>IFERROR(IF(N(K259)&lt;&gt;0,K185/K259,""),"")</f>
        <v>3.02413061747169</v>
      </c>
      <c r="L354" s="264">
        <f>IFERROR(IF(N(L259)&lt;&gt;0,L185/L259,""),"")</f>
        <v>3.18448290858485</v>
      </c>
      <c r="M354" s="262">
        <f>IFERROR(IF(N(M259)&lt;&gt;0,M185/M259,""),"")</f>
        <v>3.18448290858485</v>
      </c>
      <c r="N354" s="264">
        <f>IFERROR(IF(N(N259)&lt;&gt;0,N185/N259,""),"")</f>
        <v>3.41681753215817</v>
      </c>
      <c r="O354" s="264">
        <f>IFERROR(IF(N(O259)&lt;&gt;0,O185/O259,""),"")</f>
        <v>3.41223747787399</v>
      </c>
      <c r="P354" s="264">
        <f>IFERROR(IF(N(P259)&lt;&gt;0,P185/P259,""),"")</f>
        <v>3.2255493416707</v>
      </c>
      <c r="Q354" s="264">
        <f>IFERROR(IF(N(Q259)&lt;&gt;0,Q185/Q259,""),"")</f>
        <v>3.13067353067353</v>
      </c>
      <c r="R354" s="262">
        <f>IFERROR(IF(N(R259)&lt;&gt;0,R185/R259,""),"")</f>
        <v>3.13067353067353</v>
      </c>
      <c r="S354" s="264">
        <f>IFERROR(IF(N(S259)&lt;&gt;0,S185/S259,""),"")</f>
        <v>3.25655473258509</v>
      </c>
      <c r="T354" s="264">
        <f>IFERROR(IF(N(T259)&lt;&gt;0,T185/T259,""),"")</f>
        <v>3.2426740341501</v>
      </c>
      <c r="U354" s="264">
        <f>IFERROR(IF(N(U259)&lt;&gt;0,U185/U259,""),"")</f>
        <v>3.03739369684842</v>
      </c>
      <c r="V354" s="264">
        <f>IFERROR(IF(N(V259)&lt;&gt;0,V185/V259,""),"")</f>
        <v>2.53073245688919</v>
      </c>
      <c r="W354" s="262">
        <f>IFERROR(IF(N(W259)&lt;&gt;0,W185/W259,""),"")</f>
        <v>2.53073245688919</v>
      </c>
      <c r="X354" s="264">
        <f>IFERROR(IF(N(X259)&lt;&gt;0,X185/X259,""),"")</f>
        <v>2.50440959963408</v>
      </c>
      <c r="Y354" s="264">
        <f>IFERROR(IF(N(Y259)&lt;&gt;0,Y185/Y259,""),"")</f>
        <v>2.55846826400207</v>
      </c>
      <c r="Z354" s="264">
        <f>IFERROR(IF(N(Z259)&lt;&gt;0,Z185/Z259,""),"")</f>
        <v>2.44754573125683</v>
      </c>
      <c r="AA354" s="264">
        <f>IFERROR(IF(N(AA259)&lt;&gt;0,AA185/AA259,""),"")</f>
        <v>2.36939918898394</v>
      </c>
      <c r="AB354" s="262">
        <f>IFERROR(IF(N(AB259)&lt;&gt;0,AB185/AB259,""),"")</f>
        <v>2.36939918898394</v>
      </c>
      <c r="AC354" s="264">
        <f>IFERROR(IF(N(AC259)&lt;&gt;0,AC185/AC259,""),"")</f>
        <v>2.36584945247607</v>
      </c>
      <c r="AD354" s="264">
        <f>IFERROR(IF(N(AD259)&lt;&gt;0,AD185/AD259,""),"")</f>
        <v>2.2602044297665</v>
      </c>
      <c r="AE354" s="264">
        <f>IFERROR(IF(N(AE259)&lt;&gt;0,AE185/AE259,""),"")</f>
        <v>2.10465974511637</v>
      </c>
      <c r="AF354" s="264">
        <f>IFERROR(IF(N(AF259)&lt;&gt;0,AF185/AF259,""),"")</f>
        <v>2.12719100560897</v>
      </c>
      <c r="AG354" s="262">
        <f>IFERROR(IF(N(AG259)&lt;&gt;0,AG185/AG259,""),"")</f>
        <v>2.12719100560897</v>
      </c>
      <c r="AH354" s="264">
        <f>IFERROR(IF(N(AH259)&lt;&gt;0,AH185/AH259,""),"")</f>
        <v>2.04306029124996</v>
      </c>
      <c r="AI354" s="264">
        <f>IFERROR(IF(N(AI259)&lt;&gt;0,AI185/AI259,""),"")</f>
        <v>1.88733072524827</v>
      </c>
      <c r="AJ354" s="264">
        <f>IFERROR(IF(N(AJ259)&lt;&gt;0,AJ185/AJ259,""),"")</f>
        <v>1.79396171713877</v>
      </c>
      <c r="AK354" s="264">
        <f>IFERROR(IF(N(AK259)&lt;&gt;0,AK185/AK259,""),"")</f>
        <v>1.72789032816941</v>
      </c>
      <c r="AL354" s="262">
        <f>IFERROR(IF(N(AL259)&lt;&gt;0,AL185/AL259,""),"")</f>
        <v>1.72789032816941</v>
      </c>
      <c r="AM354" s="264">
        <f>IFERROR(IF(N(AM259)&lt;&gt;0,AM185/AM259,""),"")</f>
        <v>1.66916414856496</v>
      </c>
      <c r="AN354" s="264">
        <f>IFERROR(IF(N(AN259)&lt;&gt;0,AN185/AN259,""),"")</f>
        <v>1.60948702660807</v>
      </c>
      <c r="AO354" s="264">
        <f>IFERROR(IF(N(AO259)&lt;&gt;0,AO185/AO259,""),"")</f>
        <v>1.56457278881093</v>
      </c>
      <c r="AP354" s="264">
        <f>IFERROR(IF(N(AP259)&lt;&gt;0,AP185/AP259,""),"")</f>
        <v>1.53367885203154</v>
      </c>
      <c r="AQ354" s="262">
        <f>IFERROR(IF(N(AQ259)&lt;&gt;0,AQ185/AQ259,""),"")</f>
        <v>1.53367885203154</v>
      </c>
      <c r="AR354" s="264">
        <f>IFERROR(IF(N(AR259)&lt;&gt;0,AR185/AR259,""),"")</f>
        <v>1.50919648768072</v>
      </c>
      <c r="AS354" s="264">
        <f>IFERROR(IF(N(AS259)&lt;&gt;0,AS185/AS259,""),"")</f>
        <v>1.48655131204493</v>
      </c>
      <c r="AT354" s="264">
        <f>IFERROR(IF(N(AT259)&lt;&gt;0,AT185/AT259,""),"")</f>
        <v>1.47454816771803</v>
      </c>
      <c r="AU354" s="264">
        <f>IFERROR(IF(N(AU259)&lt;&gt;0,AU185/AU259,""),"")</f>
        <v>1.47811114120753</v>
      </c>
      <c r="AV354" s="262">
        <f>IFERROR(IF(N(AV259)&lt;&gt;0,AV185/AV259,""),"")</f>
        <v>1.47811114120753</v>
      </c>
      <c r="AW354" s="264">
        <f>IFERROR(IF(N(AW259)&lt;&gt;0,AW185/AW259,""),"")</f>
        <v>1.49157747859698</v>
      </c>
      <c r="AX354" s="264">
        <f>IFERROR(IF(N(AX259)&lt;&gt;0,AX185/AX259,""),"")</f>
        <v>1.51081443882897</v>
      </c>
      <c r="AY354" s="264">
        <f>IFERROR(IF(N(AY259)&lt;&gt;0,AY185/AY259,""),"")</f>
        <v>1.54706350585805</v>
      </c>
      <c r="AZ354" s="264">
        <f>IFERROR(IF(N(AZ259)&lt;&gt;0,AZ185/AZ259,""),"")</f>
        <v>1.60773532020327</v>
      </c>
      <c r="BA354" s="262">
        <f>IFERROR(IF(N(BA259)&lt;&gt;0,BA185/BA259,""),"")</f>
        <v>1.60773532020327</v>
      </c>
      <c r="BB354" s="264">
        <f>IFERROR(IF(N(BB259)&lt;&gt;0,BB185/BB259,""),"")</f>
        <v>1.68858957581707</v>
      </c>
      <c r="BC354" s="264">
        <f>IFERROR(IF(N(BC259)&lt;&gt;0,BC185/BC259,""),"")</f>
        <v>1.7848435595236</v>
      </c>
      <c r="BD354" s="264">
        <f>IFERROR(IF(N(BD259)&lt;&gt;0,BD185/BD259,""),"")</f>
        <v>1.92168941009052</v>
      </c>
      <c r="BE354" s="264">
        <f>IFERROR(IF(N(BE259)&lt;&gt;0,BE185/BE259,""),"")</f>
        <v>2.10754515225654</v>
      </c>
      <c r="BF354" s="262">
        <f>IFERROR(IF(N(BF259)&lt;&gt;0,BF185/BF259,""),"")</f>
        <v>2.10754515225654</v>
      </c>
      <c r="BG354" s="81" t="n"/>
      <c r="BH354" s="81" t="n"/>
      <c r="BI354" s="81" t="n"/>
      <c r="BJ354" s="81" t="n"/>
      <c r="BL354" s="81" t="n"/>
      <c r="BM354" s="81" t="n"/>
      <c r="BN354" s="81" t="n"/>
      <c r="BO354" s="81" t="n"/>
      <c r="BQ354" s="81" t="n"/>
      <c r="BR354" s="81" t="n"/>
      <c r="BS354" s="81" t="n"/>
      <c r="BT354" s="81" t="n"/>
      <c r="BV354" s="81" t="n"/>
      <c r="BW354" s="81" t="n"/>
      <c r="BX354" s="81" t="n"/>
      <c r="BY354" s="81" t="n"/>
      <c r="CA354" s="81" t="n"/>
      <c r="CB354" s="81" t="n"/>
      <c r="CC354" s="81" t="n"/>
      <c r="CD354" s="81" t="n"/>
      <c r="CF354" s="81" t="n"/>
      <c r="CG354" s="81" t="n"/>
      <c r="CH354" s="81" t="n"/>
      <c r="CI354" s="81" t="n"/>
      <c r="CK354" s="81" t="n"/>
      <c r="CL354" s="81" t="n"/>
      <c r="CM354" s="81" t="n"/>
      <c r="CN354" s="81" t="n"/>
      <c r="CP354" s="81" t="n"/>
      <c r="CQ354" s="81" t="n"/>
      <c r="CR354" s="81" t="n"/>
      <c r="CS354" s="81" t="n"/>
      <c r="CU354" s="81" t="n"/>
      <c r="CV354" s="81" t="n"/>
      <c r="CW354" s="81" t="n"/>
      <c r="CX354" s="81" t="n"/>
    </row>
    <row r="355" customFormat="1" s="77">
      <c r="A355" s="76" t="n"/>
      <c r="B355" s="76" t="n"/>
      <c r="C355" s="77" t="inlineStr">
        <is>
          <t>ROE - DUPONT</t>
        </is>
      </c>
      <c r="D355" s="84">
        <f>IFERROR(PRODUCT(D352:D354),"")</f>
        <v>0</v>
      </c>
      <c r="E355" s="84">
        <f>IFERROR(PRODUCT(E352:E354),"")</f>
        <v>0</v>
      </c>
      <c r="F355" s="84">
        <f>IFERROR(PRODUCT(F352:F354),"")</f>
        <v>0</v>
      </c>
      <c r="G355" s="84">
        <f>IFERROR(PRODUCT(G352:G354),"")</f>
        <v>0</v>
      </c>
      <c r="H355" s="258" t="str">
        <f>IFERROR(IF(COUNT(H352,H353,H354)=3,H352*H353*H354,""),"")</f>
        <v/>
      </c>
      <c r="I355" s="257" t="str">
        <f>IFERROR(IF(COUNT(I352,I353,I354)=3,I352*I353*I354,""),"")</f>
        <v/>
      </c>
      <c r="J355" s="257" t="str">
        <f>IFERROR(IF(COUNT(J352,J353,J354)=3,J352*J353*J354,""),"")</f>
        <v/>
      </c>
      <c r="K355" s="257" t="str">
        <f>IFERROR(IF(COUNT(K352,K353,K354)=3,K352*K353*K354,""),"")</f>
        <v/>
      </c>
      <c r="L355" s="257">
        <f>IFERROR(IF(COUNT(L352,L353,L354)=3,L352*L353*L354,""),"")</f>
        <v>0.327520222666783</v>
      </c>
      <c r="M355" s="258">
        <f>IFERROR(IF(COUNT(M352,M353,M354)=3,M352*M353*M354,""),"")</f>
        <v>0.327520222666783</v>
      </c>
      <c r="N355" s="257">
        <f>IFERROR(IF(COUNT(N352,N353,N354)=3,N352*N353*N354,""),"")</f>
        <v>0.411100524059076</v>
      </c>
      <c r="O355" s="257">
        <f>IFERROR(IF(COUNT(O352,O353,O354)=3,O352*O353*O354,""),"")</f>
        <v>0.470076065636512</v>
      </c>
      <c r="P355" s="257">
        <f>IFERROR(IF(COUNT(P352,P353,P354)=3,P352*P353*P354,""),"")</f>
        <v>0.506186974327359</v>
      </c>
      <c r="Q355" s="257">
        <f>IFERROR(IF(COUNT(Q352,Q353,Q354)=3,Q352*Q353*Q354,""),"")</f>
        <v>0.552166452166452</v>
      </c>
      <c r="R355" s="258">
        <f>IFERROR(IF(COUNT(R352,R353,R354)=3,R352*R353*R354,""),"")</f>
        <v>0.552166452166452</v>
      </c>
      <c r="S355" s="257">
        <f>IFERROR(IF(COUNT(S352,S353,S354)=3,S352*S353*S354,""),"")</f>
        <v>0.628754487208616</v>
      </c>
      <c r="T355" s="257">
        <f>IFERROR(IF(COUNT(T352,T353,T354)=3,T352*T353*T354,""),"")</f>
        <v>0.640472847502151</v>
      </c>
      <c r="U355" s="257">
        <f>IFERROR(IF(COUNT(U352,U353,U354)=3,U352*U353*U354,""),"")</f>
        <v>0.58704352176088</v>
      </c>
      <c r="V355" s="257">
        <f>IFERROR(IF(COUNT(V352,V353,V354)=3,V352*V353*V354,""),"")</f>
        <v>0.165514199533322</v>
      </c>
      <c r="W355" s="258">
        <f>IFERROR(IF(COUNT(W352,W353,W354)=3,W352*W353*W354,""),"")</f>
        <v>0.165514199533322</v>
      </c>
      <c r="X355" s="257">
        <f>IFERROR(IF(COUNT(X352,X353,X354)=3,X352*X353*X354,""),"")</f>
        <v>0.14683895313103</v>
      </c>
      <c r="Y355" s="257">
        <f>IFERROR(IF(COUNT(Y352,Y353,Y354)=3,Y352*Y353*Y354,""),"")</f>
        <v>0.0776073479459567</v>
      </c>
      <c r="Z355" s="257">
        <f>IFERROR(IF(COUNT(Z352,Z353,Z354)=3,Z352*Z353*Z354,""),"")</f>
        <v>0.0871036378143562</v>
      </c>
      <c r="AA355" s="257">
        <f>IFERROR(IF(COUNT(AA352,AA353,AA354)=3,AA352*AA353*AA354,""),"")</f>
        <v>0.144335067130923</v>
      </c>
      <c r="AB355" s="258">
        <f>IFERROR(IF(COUNT(AB352,AB353,AB354)=3,AB352*AB353*AB354,""),"")</f>
        <v>0.144335067130923</v>
      </c>
      <c r="AC355" s="257">
        <f>IFERROR(IF(COUNT(AC352,AC353,AC354)=3,AC352*AC353*AC354,""),"")</f>
        <v>0.185626419107292</v>
      </c>
      <c r="AD355" s="257">
        <f>IFERROR(IF(COUNT(AD352,AD353,AD354)=3,AD352*AD353*AD354,""),"")</f>
        <v>0.258362105435539</v>
      </c>
      <c r="AE355" s="257">
        <f>IFERROR(IF(COUNT(AE352,AE353,AE354)=3,AE352*AE353*AE354,""),"")</f>
        <v>0.284480637701127</v>
      </c>
      <c r="AF355" s="257">
        <f>IFERROR(IF(COUNT(AF352,AF353,AF354)=3,AF352*AF353*AF354,""),"")</f>
        <v>0.376602564102564</v>
      </c>
      <c r="AG355" s="258">
        <f>IFERROR(IF(COUNT(AG352,AG353,AG354)=3,AG352*AG353*AG354,""),"")</f>
        <v>0.312650240384615</v>
      </c>
      <c r="AH355" s="257">
        <f>IFERROR(IF(COUNT(AH352,AH353,AH354)=3,AH352*AH353*AH354,""),"")</f>
        <v>0.521957783580983</v>
      </c>
      <c r="AI355" s="257">
        <f>IFERROR(IF(COUNT(AI352,AI353,AI354)=3,AI352*AI353*AI354,""),"")</f>
        <v>0.560617915538168</v>
      </c>
      <c r="AJ355" s="257">
        <f>IFERROR(IF(COUNT(AJ352,AJ353,AJ354)=3,AJ352*AJ353*AJ354,""),"")</f>
        <v>0.365919897120647</v>
      </c>
      <c r="AK355" s="257">
        <f>IFERROR(IF(COUNT(AK352,AK353,AK354)=3,AK352*AK353*AK354,""),"")</f>
        <v>0.364825466994454</v>
      </c>
      <c r="AL355" s="258">
        <f>IFERROR(IF(COUNT(AL352,AL353,AL354)=3,AL352*AL353*AL354,""),"")</f>
        <v>0.364825466994454</v>
      </c>
      <c r="AM355" s="257">
        <f>IFERROR(IF(COUNT(AM352,AM353,AM354)=3,AM352*AM353*AM354,""),"")</f>
        <v>0.357366261945258</v>
      </c>
      <c r="AN355" s="257">
        <f>IFERROR(IF(COUNT(AN352,AN353,AN354)=3,AN352*AN353*AN354,""),"")</f>
        <v>0.345002490634044</v>
      </c>
      <c r="AO355" s="257">
        <f>IFERROR(IF(COUNT(AO352,AO353,AO354)=3,AO352*AO353*AO354,""),"")</f>
        <v>0.339252857369905</v>
      </c>
      <c r="AP355" s="257">
        <f>IFERROR(IF(COUNT(AP352,AP353,AP354)=3,AP352*AP353*AP354,""),"")</f>
        <v>0.334119786849002</v>
      </c>
      <c r="AQ355" s="258">
        <f>IFERROR(IF(COUNT(AQ352,AQ353,AQ354)=3,AQ352*AQ353*AQ354,""),"")</f>
        <v>0.334119786849002</v>
      </c>
      <c r="AR355" s="257">
        <f>IFERROR(IF(COUNT(AR352,AR353,AR354)=3,AR352*AR353*AR354,""),"")</f>
        <v>0.32900080901393</v>
      </c>
      <c r="AS355" s="257">
        <f>IFERROR(IF(COUNT(AS352,AS353,AS354)=3,AS352*AS353*AS354,""),"")</f>
        <v>0.323454877708574</v>
      </c>
      <c r="AT355" s="257">
        <f>IFERROR(IF(COUNT(AT352,AT353,AT354)=3,AT352*AT353*AT354,""),"")</f>
        <v>0.319617059452497</v>
      </c>
      <c r="AU355" s="257">
        <f>IFERROR(IF(COUNT(AU352,AU353,AU354)=3,AU352*AU353*AU354,""),"")</f>
        <v>0.316153814961338</v>
      </c>
      <c r="AV355" s="258">
        <f>IFERROR(IF(COUNT(AV352,AV353,AV354)=3,AV352*AV353*AV354,""),"")</f>
        <v>0.316153814961338</v>
      </c>
      <c r="AW355" s="257">
        <f>IFERROR(IF(COUNT(AW352,AW353,AW354)=3,AW352*AW353*AW354,""),"")</f>
        <v>0.312612579760321</v>
      </c>
      <c r="AX355" s="257">
        <f>IFERROR(IF(COUNT(AX352,AX353,AX354)=3,AX352*AX353*AX354,""),"")</f>
        <v>0.308734358774257</v>
      </c>
      <c r="AY355" s="257">
        <f>IFERROR(IF(COUNT(AY352,AY353,AY354)=3,AY352*AY353*AY354,""),"")</f>
        <v>0.306024886023882</v>
      </c>
      <c r="AZ355" s="257">
        <f>IFERROR(IF(COUNT(AZ352,AZ353,AZ354)=3,AZ352*AZ353*AZ354,""),"")</f>
        <v>0.303561563397452</v>
      </c>
      <c r="BA355" s="258">
        <f>IFERROR(IF(COUNT(BA352,BA353,BA354)=3,BA352*BA353*BA354,""),"")</f>
        <v>0.303561563397452</v>
      </c>
      <c r="BB355" s="257">
        <f>IFERROR(IF(COUNT(BB352,BB353,BB354)=3,BB352*BB353*BB354,""),"")</f>
        <v>0.300976954057445</v>
      </c>
      <c r="BC355" s="257">
        <f>IFERROR(IF(COUNT(BC352,BC353,BC354)=3,BC352*BC353*BC354,""),"")</f>
        <v>0.298124293035644</v>
      </c>
      <c r="BD355" s="257">
        <f>IFERROR(IF(COUNT(BD352,BD353,BD354)=3,BD352*BD353*BD354,""),"")</f>
        <v>0.296117460647196</v>
      </c>
      <c r="BE355" s="257">
        <f>IFERROR(IF(COUNT(BE352,BE353,BE354)=3,BE352*BE353*BE354,""),"")</f>
        <v>0.294282959434752</v>
      </c>
      <c r="BF355" s="258">
        <f>IFERROR(IF(COUNT(BF352,BF353,BF354)=3,BF352*BF353*BF354,""),"")</f>
        <v>0.294282959434752</v>
      </c>
      <c r="BG355" s="81" t="n"/>
      <c r="BH355" s="81" t="n"/>
      <c r="BI355" s="81" t="n"/>
      <c r="BJ355" s="81" t="n"/>
      <c r="BL355" s="81" t="n"/>
      <c r="BM355" s="81" t="n"/>
      <c r="BN355" s="81" t="n"/>
      <c r="BO355" s="81" t="n"/>
      <c r="BQ355" s="81" t="n"/>
      <c r="BR355" s="81" t="n"/>
      <c r="BS355" s="81" t="n"/>
      <c r="BT355" s="81" t="n"/>
      <c r="BV355" s="81" t="n"/>
      <c r="BW355" s="81" t="n"/>
      <c r="BX355" s="81" t="n"/>
      <c r="BY355" s="81" t="n"/>
      <c r="CA355" s="81" t="n"/>
      <c r="CB355" s="81" t="n"/>
      <c r="CC355" s="81" t="n"/>
      <c r="CD355" s="81" t="n"/>
      <c r="CF355" s="81" t="n"/>
      <c r="CG355" s="81" t="n"/>
      <c r="CH355" s="81" t="n"/>
      <c r="CI355" s="81" t="n"/>
      <c r="CK355" s="81" t="n"/>
      <c r="CL355" s="81" t="n"/>
      <c r="CM355" s="81" t="n"/>
      <c r="CN355" s="81" t="n"/>
      <c r="CP355" s="81" t="n"/>
      <c r="CQ355" s="81" t="n"/>
      <c r="CR355" s="81" t="n"/>
      <c r="CS355" s="81" t="n"/>
      <c r="CU355" s="81" t="n"/>
      <c r="CV355" s="81" t="n"/>
      <c r="CW355" s="81" t="n"/>
      <c r="CX355" s="81" t="n"/>
    </row>
    <row r="356" customFormat="1" s="77">
      <c r="A356" s="76" t="n"/>
      <c r="B356" s="76" t="n"/>
      <c r="C356" s="77" t="inlineStr">
        <is>
          <t>ROE (LTM)</t>
        </is>
      </c>
      <c r="D356" s="84" t="str">
        <f>IFERROR(D125/D259,"")</f>
        <v/>
      </c>
      <c r="E356" s="84" t="str">
        <f>IFERROR(E125/E259,"")</f>
        <v/>
      </c>
      <c r="F356" s="84" t="str">
        <f>IFERROR(F125/F259,"")</f>
        <v/>
      </c>
      <c r="G356" s="84" t="str">
        <f>IFERROR(G125/G259,"")</f>
        <v/>
      </c>
      <c r="H356" s="258" t="str">
        <f>IFERROR(IF(AND(COUNT(H125)=1,N(H259)&lt;&gt;0),(H125)/H259,""),"")</f>
        <v/>
      </c>
      <c r="I356" s="257" t="str">
        <f>""</f>
        <v/>
      </c>
      <c r="J356" s="257" t="str">
        <f>""</f>
        <v/>
      </c>
      <c r="K356" s="257" t="str">
        <f>""</f>
        <v/>
      </c>
      <c r="L356" s="257">
        <f>IFERROR(IF(AND(COUNT(I125,J125,K125,L125)=4,N(L259)&lt;&gt;0),(I125+J125+K125+L125)/L259,""),"")</f>
        <v>0.327520222666783</v>
      </c>
      <c r="M356" s="258">
        <f>IFERROR(IF(AND(COUNT(I125,J125,K125,L125)=4,N(M259)&lt;&gt;0),(I125+J125+K125+L125)/M259,""),"")</f>
        <v>0.327520222666783</v>
      </c>
      <c r="N356" s="257">
        <f>IFERROR(IF(AND(COUNT(J125,K125,L125,N125)=4,N(N259)&lt;&gt;0),(J125+K125+L125+N125)/N259,""),"")</f>
        <v>0.411100524059076</v>
      </c>
      <c r="O356" s="257">
        <f>IFERROR(IF(AND(COUNT(K125,L125,N125,O125)=4,N(O259)&lt;&gt;0),(K125+L125+N125+O125)/O259,""),"")</f>
        <v>0.470076065636512</v>
      </c>
      <c r="P356" s="257">
        <f>IFERROR(IF(AND(COUNT(L125,N125,O125,P125)=4,N(P259)&lt;&gt;0),(L125+N125+O125+P125)/P259,""),"")</f>
        <v>0.506186974327359</v>
      </c>
      <c r="Q356" s="257">
        <f>IFERROR(IF(AND(COUNT(N125,O125,P125,Q125)=4,N(Q259)&lt;&gt;0),(N125+O125+P125+Q125)/Q259,""),"")</f>
        <v>0.552166452166452</v>
      </c>
      <c r="R356" s="258">
        <f>IFERROR(IF(AND(COUNT(N125,O125,P125,Q125)=4,N(R259)&lt;&gt;0),(N125+O125+P125+Q125)/R259,""),"")</f>
        <v>0.552166452166452</v>
      </c>
      <c r="S356" s="257">
        <f>IFERROR(IF(AND(COUNT(O125,P125,Q125,S125)=4,N(S259)&lt;&gt;0),(O125+P125+Q125+S125)/S259,""),"")</f>
        <v>0.628754487208616</v>
      </c>
      <c r="T356" s="257">
        <f>IFERROR(IF(AND(COUNT(P125,Q125,S125,T125)=4,N(T259)&lt;&gt;0),(P125+Q125+S125+T125)/T259,""),"")</f>
        <v>0.640472847502151</v>
      </c>
      <c r="U356" s="257">
        <f>IFERROR(IF(AND(COUNT(Q125,S125,T125,U125)=4,N(U259)&lt;&gt;0),(Q125+S125+T125+U125)/U259,""),"")</f>
        <v>0.587043521760881</v>
      </c>
      <c r="V356" s="257">
        <f>IFERROR(IF(AND(COUNT(S125,T125,U125,V125)=4,N(V259)&lt;&gt;0),(S125+T125+U125+V125)/V259,""),"")</f>
        <v>0.165514199533322</v>
      </c>
      <c r="W356" s="258">
        <f>IFERROR(IF(AND(COUNT(S125,T125,U125,V125)=4,N(W259)&lt;&gt;0),(S125+T125+U125+V125)/W259,""),"")</f>
        <v>0.165514199533322</v>
      </c>
      <c r="X356" s="257">
        <f>IFERROR(IF(AND(COUNT(T125,U125,V125,X125)=4,N(X259)&lt;&gt;0),(T125+U125+V125+X125)/X259,""),"")</f>
        <v>0.14683895313103</v>
      </c>
      <c r="Y356" s="257">
        <f>IFERROR(IF(AND(COUNT(U125,V125,X125,Y125)=4,N(Y259)&lt;&gt;0),(U125+V125+X125+Y125)/Y259,""),"")</f>
        <v>0.0776073479459567</v>
      </c>
      <c r="Z356" s="257">
        <f>IFERROR(IF(AND(COUNT(V125,X125,Y125,Z125)=4,N(Z259)&lt;&gt;0),(V125+X125+Y125+Z125)/Z259,""),"")</f>
        <v>0.0871036378143562</v>
      </c>
      <c r="AA356" s="257">
        <f>IFERROR(IF(AND(COUNT(X125,Y125,Z125,AA125)=4,N(AA259)&lt;&gt;0),(X125+Y125+Z125+AA125)/AA259,""),"")</f>
        <v>0.144335067130923</v>
      </c>
      <c r="AB356" s="258">
        <f>IFERROR(IF(AND(COUNT(X125,Y125,Z125,AA125)=4,N(AB259)&lt;&gt;0),(X125+Y125+Z125+AA125)/AB259,""),"")</f>
        <v>0.144335067130923</v>
      </c>
      <c r="AC356" s="257">
        <f>IFERROR(IF(AND(COUNT(Y125,Z125,AA125,AC125)=4,N(AC259)&lt;&gt;0),(Y125+Z125+AA125+AC125)/AC259,""),"")</f>
        <v>0.185626419107292</v>
      </c>
      <c r="AD356" s="257">
        <f>IFERROR(IF(AND(COUNT(Z125,AA125,AC125,AD125)=4,N(AD259)&lt;&gt;0),(Z125+AA125+AC125+AD125)/AD259,""),"")</f>
        <v>0.258362105435539</v>
      </c>
      <c r="AE356" s="257">
        <f>IFERROR(IF(AND(COUNT(AA125,AC125,AD125,AE125)=4,N(AE259)&lt;&gt;0),(AA125+AC125+AD125+AE125)/AE259,""),"")</f>
        <v>0.284480637701127</v>
      </c>
      <c r="AF356" s="257">
        <f>IFERROR(IF(AND(COUNT(AB125,AD125,AE125,AF125)=4,N(AF259)&lt;&gt;0),(AB125+AD125+AE125+AF125)/AF259,""),"")</f>
        <v>0.376602564102564</v>
      </c>
      <c r="AG356" s="258">
        <f>IFERROR(IF(AND(COUNT(AC125,AD125,AE125,AF125)=4,N(AG259)&lt;&gt;0),(AC125+AD125+AE125+AF125)/AG259,""),"")</f>
        <v>0.312650240384615</v>
      </c>
      <c r="AH356" s="257">
        <f>IFERROR(IF(AND(COUNT(AD125,AF125,AG125,AH125)=4,N(AH259)&lt;&gt;0),(AD125+AF125+AG125+AH125)/AH259,""),"")</f>
        <v>0.521957783580983</v>
      </c>
      <c r="AI356" s="257">
        <f>IFERROR(IF(AND(COUNT(AE125,AG125,AH125,AI125)=4,N(AI259)&lt;&gt;0),(AE125+AG125+AH125+AI125)/AI259,""),"")</f>
        <v>0.560617915538168</v>
      </c>
      <c r="AJ356" s="257">
        <f>IFERROR(IF(AND(COUNT(AF125,AH125,AI125,AJ125)=4,N(AJ259)&lt;&gt;0),(AF125+AH125+AI125+AJ125)/AJ259,""),"")</f>
        <v>0.365919897120647</v>
      </c>
      <c r="AK356" s="257">
        <f>IFERROR(IF(AND(COUNT(AH125,AI125,AJ125,AK125)=4,N(AK259)&lt;&gt;0),(AH125+AI125+AJ125+AK125)/AK259,""),"")</f>
        <v>0.364825466994454</v>
      </c>
      <c r="AL356" s="258">
        <f>IFERROR(IF(AND(COUNT(AH125,AI125,AJ125,AK125)=4,N(AL259)&lt;&gt;0),(AH125+AI125+AJ125+AK125)/AL259,""),"")</f>
        <v>0.364825466994454</v>
      </c>
      <c r="AM356" s="257">
        <f>IFERROR(IF(AND(COUNT(AI125,AJ125,AK125,AM125)=4,N(AM259)&lt;&gt;0),(AI125+AJ125+AK125+AM125)/AM259,""),"")</f>
        <v>0.357366261945258</v>
      </c>
      <c r="AN356" s="257">
        <f>IFERROR(IF(AND(COUNT(AJ125,AK125,AM125,AN125)=4,N(AN259)&lt;&gt;0),(AJ125+AK125+AM125+AN125)/AN259,""),"")</f>
        <v>0.345002490634044</v>
      </c>
      <c r="AO356" s="257">
        <f>IFERROR(IF(AND(COUNT(AK125,AM125,AN125,AO125)=4,N(AO259)&lt;&gt;0),(AK125+AM125+AN125+AO125)/AO259,""),"")</f>
        <v>0.339252857369905</v>
      </c>
      <c r="AP356" s="257">
        <f>IFERROR(IF(AND(COUNT(AM125,AN125,AO125,AP125)=4,N(AP259)&lt;&gt;0),(AM125+AN125+AO125+AP125)/AP259,""),"")</f>
        <v>0.334119786849002</v>
      </c>
      <c r="AQ356" s="258">
        <f>IFERROR(IF(AND(COUNT(AM125,AN125,AO125,AP125)=4,N(AQ259)&lt;&gt;0),(AM125+AN125+AO125+AP125)/AQ259,""),"")</f>
        <v>0.334119786849002</v>
      </c>
      <c r="AR356" s="257">
        <f>IFERROR(IF(AND(COUNT(AN125,AO125,AP125,AR125)=4,N(AR259)&lt;&gt;0),(AN125+AO125+AP125+AR125)/AR259,""),"")</f>
        <v>0.32900080901393</v>
      </c>
      <c r="AS356" s="257">
        <f>IFERROR(IF(AND(COUNT(AO125,AP125,AR125,AS125)=4,N(AS259)&lt;&gt;0),(AO125+AP125+AR125+AS125)/AS259,""),"")</f>
        <v>0.323454877708574</v>
      </c>
      <c r="AT356" s="257">
        <f>IFERROR(IF(AND(COUNT(AP125,AR125,AS125,AT125)=4,N(AT259)&lt;&gt;0),(AP125+AR125+AS125+AT125)/AT259,""),"")</f>
        <v>0.319617059452497</v>
      </c>
      <c r="AU356" s="257">
        <f>IFERROR(IF(AND(COUNT(AR125,AS125,AT125,AU125)=4,N(AU259)&lt;&gt;0),(AR125+AS125+AT125+AU125)/AU259,""),"")</f>
        <v>0.316153814961338</v>
      </c>
      <c r="AV356" s="258">
        <f>IFERROR(IF(AND(COUNT(AR125,AS125,AT125,AU125)=4,N(AV259)&lt;&gt;0),(AR125+AS125+AT125+AU125)/AV259,""),"")</f>
        <v>0.316153814961338</v>
      </c>
      <c r="AW356" s="257">
        <f>IFERROR(IF(AND(COUNT(AS125,AT125,AU125,AW125)=4,N(AW259)&lt;&gt;0),(AS125+AT125+AU125+AW125)/AW259,""),"")</f>
        <v>0.312612579760321</v>
      </c>
      <c r="AX356" s="257">
        <f>IFERROR(IF(AND(COUNT(AT125,AU125,AW125,AX125)=4,N(AX259)&lt;&gt;0),(AT125+AU125+AW125+AX125)/AX259,""),"")</f>
        <v>0.308734358774257</v>
      </c>
      <c r="AY356" s="257">
        <f>IFERROR(IF(AND(COUNT(AU125,AW125,AX125,AY125)=4,N(AY259)&lt;&gt;0),(AU125+AW125+AX125+AY125)/AY259,""),"")</f>
        <v>0.306024886023882</v>
      </c>
      <c r="AZ356" s="257">
        <f>IFERROR(IF(AND(COUNT(AW125,AX125,AY125,AZ125)=4,N(AZ259)&lt;&gt;0),(AW125+AX125+AY125+AZ125)/AZ259,""),"")</f>
        <v>0.303561563397452</v>
      </c>
      <c r="BA356" s="258">
        <f>IFERROR(IF(AND(COUNT(AW125,AX125,AY125,AZ125)=4,N(BA259)&lt;&gt;0),(AW125+AX125+AY125+AZ125)/BA259,""),"")</f>
        <v>0.303561563397452</v>
      </c>
      <c r="BB356" s="257">
        <f>IFERROR(IF(AND(COUNT(AX125,AY125,AZ125,BB125)=4,N(BB259)&lt;&gt;0),(AX125+AY125+AZ125+BB125)/BB259,""),"")</f>
        <v>0.300976954057445</v>
      </c>
      <c r="BC356" s="257">
        <f>IFERROR(IF(AND(COUNT(AY125,AZ125,BB125,BC125)=4,N(BC259)&lt;&gt;0),(AY125+AZ125+BB125+BC125)/BC259,""),"")</f>
        <v>0.298124293035644</v>
      </c>
      <c r="BD356" s="257">
        <f>IFERROR(IF(AND(COUNT(AZ125,BB125,BC125,BD125)=4,N(BD259)&lt;&gt;0),(AZ125+BB125+BC125+BD125)/BD259,""),"")</f>
        <v>0.296117460647196</v>
      </c>
      <c r="BE356" s="257">
        <f>IFERROR(IF(AND(COUNT(BB125,BC125,BD125,BE125)=4,N(BE259)&lt;&gt;0),(BB125+BC125+BD125+BE125)/BE259,""),"")</f>
        <v>0.294282959434752</v>
      </c>
      <c r="BF356" s="258">
        <f>IFERROR(IF(AND(COUNT(BB125,BC125,BD125,BE125)=4,N(BF259)&lt;&gt;0),(BB125+BC125+BD125+BE125)/BF259,""),"")</f>
        <v>0.294282959434752</v>
      </c>
      <c r="BG356" s="81" t="n"/>
      <c r="BH356" s="81" t="n"/>
      <c r="BI356" s="81" t="n"/>
      <c r="BJ356" s="81" t="n"/>
      <c r="BL356" s="81" t="n"/>
      <c r="BM356" s="81" t="n"/>
      <c r="BN356" s="81" t="n"/>
      <c r="BO356" s="81" t="n"/>
      <c r="BQ356" s="81" t="n"/>
      <c r="BR356" s="81" t="n"/>
      <c r="BS356" s="81" t="n"/>
      <c r="BT356" s="81" t="n"/>
      <c r="BV356" s="81" t="n"/>
      <c r="BW356" s="81" t="n"/>
      <c r="BX356" s="81" t="n"/>
      <c r="BY356" s="81" t="n"/>
      <c r="CA356" s="81" t="n"/>
      <c r="CB356" s="81" t="n"/>
      <c r="CC356" s="81" t="n"/>
      <c r="CD356" s="81" t="n"/>
      <c r="CF356" s="81" t="n"/>
      <c r="CG356" s="81" t="n"/>
      <c r="CH356" s="81" t="n"/>
      <c r="CI356" s="81" t="n"/>
      <c r="CK356" s="81" t="n"/>
      <c r="CL356" s="81" t="n"/>
      <c r="CM356" s="81" t="n"/>
      <c r="CN356" s="81" t="n"/>
      <c r="CP356" s="81" t="n"/>
      <c r="CQ356" s="81" t="n"/>
      <c r="CR356" s="81" t="n"/>
      <c r="CS356" s="81" t="n"/>
      <c r="CU356" s="81" t="n"/>
      <c r="CV356" s="81" t="n"/>
      <c r="CW356" s="81" t="n"/>
      <c r="CX356" s="81" t="n"/>
    </row>
    <row r="357"/>
    <row r="358">
      <c r="C358" s="73" t="inlineStr">
        <is>
          <t>Scenario Analysis</t>
        </is>
      </c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  <c r="AM358" s="73" t="n"/>
      <c r="AN358" s="73" t="n"/>
      <c r="AO358" s="73" t="n"/>
      <c r="AP358" s="73" t="n"/>
      <c r="AQ358" s="73" t="n"/>
      <c r="AR358" s="73" t="n"/>
      <c r="AS358" s="73" t="n"/>
      <c r="AT358" s="73" t="n"/>
      <c r="AU358" s="73" t="n"/>
      <c r="AV358" s="73" t="n"/>
      <c r="AW358" s="73" t="n"/>
      <c r="AX358" s="73" t="n"/>
      <c r="AY358" s="73" t="n"/>
      <c r="AZ358" s="73" t="n"/>
      <c r="BA358" s="73" t="n"/>
      <c r="BB358" s="73" t="n"/>
      <c r="BC358" s="73" t="n"/>
      <c r="BD358" s="73" t="n"/>
      <c r="BE358" s="73" t="n"/>
      <c r="BF358" s="73" t="n"/>
      <c r="BG358" s="73" t="n"/>
      <c r="BH358" s="73" t="n"/>
      <c r="BI358" s="73" t="n"/>
      <c r="BJ358" s="73" t="n"/>
      <c r="BK358" s="73" t="n"/>
      <c r="BL358" s="73" t="n"/>
      <c r="BM358" s="73" t="n"/>
      <c r="BN358" s="73" t="n"/>
      <c r="BO358" s="73" t="n"/>
      <c r="BP358" s="73" t="n"/>
      <c r="BQ358" s="73" t="n"/>
      <c r="BR358" s="73" t="n"/>
      <c r="BS358" s="73" t="n"/>
      <c r="BT358" s="73" t="n"/>
      <c r="BU358" s="73" t="n"/>
      <c r="BV358" s="73" t="n"/>
      <c r="BW358" s="73" t="n"/>
      <c r="BX358" s="73" t="n"/>
      <c r="BY358" s="73" t="n"/>
      <c r="BZ358" s="73" t="n"/>
      <c r="CA358" s="73" t="n"/>
      <c r="CB358" s="73" t="n"/>
      <c r="CC358" s="73" t="n"/>
      <c r="CD358" s="73" t="n"/>
      <c r="CE358" s="73" t="n"/>
      <c r="CF358" s="73" t="n"/>
      <c r="CG358" s="73" t="n"/>
      <c r="CH358" s="73" t="n"/>
      <c r="CI358" s="73" t="n"/>
      <c r="CJ358" s="73" t="n"/>
      <c r="CK358" s="73" t="n"/>
      <c r="CL358" s="73" t="n"/>
      <c r="CM358" s="73" t="n"/>
      <c r="CN358" s="73" t="n"/>
      <c r="CO358" s="73" t="n"/>
      <c r="CP358" s="73" t="n"/>
      <c r="CQ358" s="73" t="n"/>
      <c r="CR358" s="73" t="n"/>
      <c r="CS358" s="73" t="n"/>
      <c r="CT358" s="73" t="n"/>
      <c r="CU358" s="73" t="n"/>
      <c r="CV358" s="73" t="n"/>
      <c r="CW358" s="73" t="n"/>
      <c r="CX358" s="73" t="n"/>
      <c r="CY358" s="73" t="n"/>
    </row>
    <row r="359"/>
    <row r="360"/>
    <row r="361">
      <c r="C361" s="4" t="inlineStr">
        <is>
          <t>Bull case</t>
        </is>
      </c>
    </row>
    <row r="362">
      <c r="C362" s="4" t="inlineStr">
        <is>
          <t>Base case</t>
        </is>
      </c>
    </row>
    <row r="363">
      <c r="C363" s="4" t="inlineStr">
        <is>
          <t>Bear case</t>
        </is>
      </c>
    </row>
    <row r="364"/>
    <row r="365"/>
    <row r="366">
      <c r="C366" s="4" t="inlineStr">
        <is>
          <t>Bull case</t>
        </is>
      </c>
    </row>
    <row r="367">
      <c r="C367" s="4" t="inlineStr">
        <is>
          <t>Base case</t>
        </is>
      </c>
    </row>
    <row r="368">
      <c r="C368" s="4" t="inlineStr">
        <is>
          <t>Bear case</t>
        </is>
      </c>
    </row>
    <row r="369"/>
    <row r="370"/>
    <row r="371">
      <c r="C371" s="4" t="inlineStr">
        <is>
          <t>% Gross Margin</t>
        </is>
      </c>
    </row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5"/>
    <row r="376"/>
    <row r="377">
      <c r="C377" s="4" t="inlineStr">
        <is>
          <t>Capital expenditures</t>
        </is>
      </c>
    </row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03:G303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03:L303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03:Q303">
    <cfRule type="cellIs" priority="22" operator="notEqual" dxfId="0">
      <formula>0</formula>
    </cfRule>
  </conditionalFormatting>
  <conditionalFormatting sqref="S303:V303">
    <cfRule type="cellIs" priority="21" operator="notEqual" dxfId="0">
      <formula>0</formula>
    </cfRule>
  </conditionalFormatting>
  <conditionalFormatting sqref="X303:AA303">
    <cfRule type="cellIs" priority="20" operator="notEqual" dxfId="0">
      <formula>0</formula>
    </cfRule>
  </conditionalFormatting>
  <conditionalFormatting sqref="AC303:AF303">
    <cfRule type="cellIs" priority="19" operator="notEqual" dxfId="0">
      <formula>0</formula>
    </cfRule>
  </conditionalFormatting>
  <conditionalFormatting sqref="AH303:AK303">
    <cfRule type="cellIs" priority="15" operator="notEqual" dxfId="0">
      <formula>0</formula>
    </cfRule>
  </conditionalFormatting>
  <conditionalFormatting sqref="AM303:AP303">
    <cfRule type="cellIs" priority="14" operator="notEqual" dxfId="0">
      <formula>0</formula>
    </cfRule>
  </conditionalFormatting>
  <conditionalFormatting sqref="AR303:AU303">
    <cfRule type="cellIs" priority="13" operator="notEqual" dxfId="0">
      <formula>0</formula>
    </cfRule>
  </conditionalFormatting>
  <conditionalFormatting sqref="AW303:AZ303">
    <cfRule type="cellIs" priority="12" operator="notEqual" dxfId="0">
      <formula>0</formula>
    </cfRule>
  </conditionalFormatting>
  <conditionalFormatting sqref="BB303:BE303">
    <cfRule type="cellIs" priority="11" operator="notEqual" dxfId="0">
      <formula>0</formula>
    </cfRule>
  </conditionalFormatting>
  <conditionalFormatting sqref="BG303:BJ303">
    <cfRule type="cellIs" priority="10" operator="notEqual" dxfId="0">
      <formula>0</formula>
    </cfRule>
  </conditionalFormatting>
  <conditionalFormatting sqref="BL303:BO303">
    <cfRule type="cellIs" priority="9" operator="notEqual" dxfId="0">
      <formula>0</formula>
    </cfRule>
  </conditionalFormatting>
  <conditionalFormatting sqref="BQ303:BT303">
    <cfRule type="cellIs" priority="8" operator="notEqual" dxfId="0">
      <formula>0</formula>
    </cfRule>
  </conditionalFormatting>
  <conditionalFormatting sqref="BV303:BY303">
    <cfRule type="cellIs" priority="7" operator="notEqual" dxfId="0">
      <formula>0</formula>
    </cfRule>
  </conditionalFormatting>
  <conditionalFormatting sqref="CA303:CD303">
    <cfRule type="cellIs" priority="6" operator="notEqual" dxfId="0">
      <formula>0</formula>
    </cfRule>
  </conditionalFormatting>
  <conditionalFormatting sqref="CF303:CI303">
    <cfRule type="cellIs" priority="5" operator="notEqual" dxfId="0">
      <formula>0</formula>
    </cfRule>
  </conditionalFormatting>
  <conditionalFormatting sqref="CK303:CN303">
    <cfRule type="cellIs" priority="4" operator="notEqual" dxfId="0">
      <formula>0</formula>
    </cfRule>
  </conditionalFormatting>
  <conditionalFormatting sqref="CP303:CS303">
    <cfRule type="cellIs" priority="3" operator="notEqual" dxfId="0">
      <formula>0</formula>
    </cfRule>
  </conditionalFormatting>
  <conditionalFormatting sqref="CU303:CX303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AVGO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38865</v>
      </c>
      <c r="E18" s="113">
        <f>IFERROR(Model!AB15,"")</f>
        <v>54529</v>
      </c>
      <c r="F18" s="113">
        <f>IFERROR(Model!AG15,"")</f>
        <v>68282</v>
      </c>
      <c r="G18" s="113">
        <f>IFERROR(Model!AL15,"")</f>
        <v>103612.124051547</v>
      </c>
      <c r="H18" s="113">
        <f>IFERROR(Model!AQ15,"")</f>
        <v>143884.79053025</v>
      </c>
      <c r="I18" s="113">
        <f>IFERROR(Model!AV15,"")</f>
        <v>199091.487515917</v>
      </c>
      <c r="J18" s="113">
        <f>IFERROR(Model!BA15,"")</f>
        <v>274484.808789498</v>
      </c>
      <c r="K18" s="113">
        <f>IFERROR(Model!BF15,"")</f>
        <v>377056.162714107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0.403036150778335</v>
      </c>
      <c r="F19" s="117">
        <f>IFERROR(IF(E18=0,"",F18/E18-1),"")</f>
        <v>0.252214418016101</v>
      </c>
      <c r="G19" s="117">
        <f>IFERROR(IF(F18=0,"",G18/F18-1),"")</f>
        <v>0.517414897799517</v>
      </c>
      <c r="H19" s="117">
        <f>IFERROR(IF(G18=0,"",H18/G18-1),"")</f>
        <v>0.388686814862205</v>
      </c>
      <c r="I19" s="117">
        <f>IFERROR(IF(H18=0,"",I18/H18-1),"")</f>
        <v>0.383686814862205</v>
      </c>
      <c r="J19" s="117">
        <f>IFERROR(IF(I18=0,"",J18/I18-1),"")</f>
        <v>0.378686814862204</v>
      </c>
      <c r="K19" s="117">
        <f>IFERROR(IF(J18=0,"",K18/J18-1),"")</f>
        <v>0.373686814862205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IFERROR(Model!W57,"")</f>
        <v>19335</v>
      </c>
      <c r="E20" s="113">
        <f>IFERROR(Model!AB57,"")</f>
        <v>27479</v>
      </c>
      <c r="F20" s="113">
        <f>IFERROR(Model!AG57,"")</f>
        <v>36472</v>
      </c>
      <c r="G20" s="113">
        <f>IFERROR(Model!AL57,"")</f>
        <v>59784.2226857198</v>
      </c>
      <c r="H20" s="113">
        <f>IFERROR(Model!AQ57,"")</f>
        <v>79762.4670588213</v>
      </c>
      <c r="I20" s="113">
        <f>IFERROR(Model!AV57,"")</f>
        <v>110366.273990172</v>
      </c>
      <c r="J20" s="113">
        <f>IFERROR(Model!BA57,"")</f>
        <v>152160.52675572</v>
      </c>
      <c r="K20" s="113">
        <f>IFERROR(Model!BF57,"")</f>
        <v>209020.90934682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0.497491316094172</v>
      </c>
      <c r="E21" s="122">
        <f>IFERROR(IF(E18=0,"",E20/E18),"")</f>
        <v>0.503933686662143</v>
      </c>
      <c r="F21" s="122">
        <f>IFERROR(IF(F18=0,"",F20/F18),"")</f>
        <v>0.534137840133564</v>
      </c>
      <c r="G21" s="122">
        <f>IFERROR(IF(G18=0,"",G20/G18),"")</f>
        <v>0.577000261629395</v>
      </c>
      <c r="H21" s="122">
        <f>IFERROR(IF(H18=0,"",H20/H18),"")</f>
        <v>0.554349537326895</v>
      </c>
      <c r="I21" s="122">
        <f>IFERROR(IF(I18=0,"",I20/I18),"")</f>
        <v>0.554349537326895</v>
      </c>
      <c r="J21" s="122">
        <f>IFERROR(IF(J18=0,"",J20/J18),"")</f>
        <v>0.554349537326895</v>
      </c>
      <c r="K21" s="122">
        <f>IFERROR(IF(K18=0,"",K20/K18),"")</f>
        <v>0.554349537326895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IFERROR(Model!W61,"")</f>
        <v>14187</v>
      </c>
      <c r="E22" s="113">
        <f>IFERROR(Model!AB61,"")</f>
        <v>17640</v>
      </c>
      <c r="F22" s="113">
        <f>IFERROR(Model!AG61,"")</f>
        <v>27787</v>
      </c>
      <c r="G22" s="113">
        <f>IFERROR(Model!AL61,"")</f>
        <v>49577.1908377149</v>
      </c>
      <c r="H22" s="113">
        <f>IFERROR(Model!AQ61,"")</f>
        <v>63384.7455846866</v>
      </c>
      <c r="I22" s="113">
        <f>IFERROR(Model!AV61,"")</f>
        <v>87704.6367289262</v>
      </c>
      <c r="J22" s="113">
        <f>IFERROR(Model!BA61,"")</f>
        <v>120917.22626045</v>
      </c>
      <c r="K22" s="113">
        <f>IFERROR(Model!BF61,"")</f>
        <v>166102.39940369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0.365032805866461</v>
      </c>
      <c r="E23" s="122">
        <f>IFERROR(IF(E18=0,"",E22/E18),"")</f>
        <v>0.323497588439179</v>
      </c>
      <c r="F23" s="122">
        <f>IFERROR(IF(F18=0,"",F22/F18),"")</f>
        <v>0.406944729211212</v>
      </c>
      <c r="G23" s="122">
        <f>IFERROR(IF(G18=0,"",G22/G18),"")</f>
        <v>0.4784883168021</v>
      </c>
      <c r="H23" s="122">
        <f>IFERROR(IF(H18=0,"",H22/H18),"")</f>
        <v>0.440524292742121</v>
      </c>
      <c r="I23" s="122">
        <f>IFERROR(IF(I18=0,"",I22/I18),"")</f>
        <v>0.440524292742121</v>
      </c>
      <c r="J23" s="122">
        <f>IFERROR(IF(J18=0,"",J22/J18),"")</f>
        <v>0.440524292742121</v>
      </c>
      <c r="K23" s="122">
        <f>IFERROR(IF(K18=0,"",K22/K18),"")</f>
        <v>0.440524292742121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IFERROR(Model!W120,"")</f>
        <v>0.0807206921184221</v>
      </c>
      <c r="E24" s="125">
        <f>IFERROR(Model!AB120,"")</f>
        <v>0.260736632536974</v>
      </c>
      <c r="F24" s="125">
        <f>IFERROR(Model!AG120,"")</f>
        <v>0.0181646614767634</v>
      </c>
      <c r="G24" s="125">
        <f>IFERROR(Model!AL120,"")</f>
        <v>0.0878775317767804</v>
      </c>
      <c r="H24" s="125">
        <f>IFERROR(Model!AQ120,"")</f>
        <v>0.0545903574843183</v>
      </c>
      <c r="I24" s="125">
        <f>IFERROR(Model!AV120,"")</f>
        <v>0.0545903574843183</v>
      </c>
      <c r="J24" s="125">
        <f>IFERROR(Model!BA120,"")</f>
        <v>0.0545903574843183</v>
      </c>
      <c r="K24" s="125">
        <f>IFERROR(Model!BF120,"")</f>
        <v>0.0545903574843183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13041.8155409159</v>
      </c>
      <c r="E25" s="127">
        <f>IFERROR(E22*(1-E24),"")</f>
        <v>13040.6058020478</v>
      </c>
      <c r="F25" s="127">
        <f>IFERROR(F22*(1-F24),"")</f>
        <v>27282.2585515452</v>
      </c>
      <c r="G25" s="127">
        <f>IFERROR(G22*(1-G24),"")</f>
        <v>45220.4696744701</v>
      </c>
      <c r="H25" s="127">
        <f>IFERROR(H22*(1-H24),"")</f>
        <v>59924.549664166</v>
      </c>
      <c r="I25" s="127">
        <f>IFERROR(I22*(1-I24),"")</f>
        <v>82916.8092568618</v>
      </c>
      <c r="J25" s="127">
        <f>IFERROR(J22*(1-J24),"")</f>
        <v>114316.31165288</v>
      </c>
      <c r="K25" s="127">
        <f>IFERROR(K22*(1-K24),"")</f>
        <v>157034.81004124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IFERROR(-Model!W58,"")</f>
        <v>5148</v>
      </c>
      <c r="E26" s="130">
        <f>IFERROR(-Model!AB58,"")</f>
        <v>9839</v>
      </c>
      <c r="F26" s="130">
        <f>IFERROR(-Model!AG58,"")</f>
        <v>8685</v>
      </c>
      <c r="G26" s="130">
        <f>IFERROR(-Model!AL58,"")</f>
        <v>10207.0318480048</v>
      </c>
      <c r="H26" s="130">
        <f>IFERROR(-Model!AQ58,"")</f>
        <v>16377.7214741347</v>
      </c>
      <c r="I26" s="130">
        <f>IFERROR(-Model!AV58,"")</f>
        <v>22661.6372612458</v>
      </c>
      <c r="J26" s="130">
        <f>IFERROR(-Model!BA58,"")</f>
        <v>31243.3004952696</v>
      </c>
      <c r="K26" s="130">
        <f>IFERROR(-Model!BF58,"")</f>
        <v>42918.5099431297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IFERROR(Model!W267,"")</f>
        <v>2429</v>
      </c>
      <c r="E27" s="133">
        <f>IFERROR(Model!AB267,"")</f>
        <v>966</v>
      </c>
      <c r="F27" s="133">
        <f>IFERROR(Model!AG267,"")</f>
        <v>-6855</v>
      </c>
      <c r="G27" s="133">
        <f>IFERROR(Model!AL267,"")</f>
        <v>-3301.65347044921</v>
      </c>
      <c r="H27" s="133">
        <f>IFERROR(Model!AQ267,"")</f>
        <v>2999.39973114874</v>
      </c>
      <c r="I27" s="133">
        <f>IFERROR(Model!AV267,"")</f>
        <v>22077.878639506</v>
      </c>
      <c r="J27" s="133">
        <f>IFERROR(Model!BA267,"")</f>
        <v>94283.225157635</v>
      </c>
      <c r="K27" s="133">
        <f>IFERROR(Model!BF267,"")</f>
        <v>353834.33934111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IFERROR(Model!W268,"")</f>
        <v>-1735</v>
      </c>
      <c r="E28" s="136">
        <f>IFERROR(Model!AB268,"")</f>
        <v>14</v>
      </c>
      <c r="F28" s="136">
        <f>IFERROR(Model!AG268,"")</f>
        <v>-3505</v>
      </c>
      <c r="G28" s="136">
        <f>IFERROR(Model!AL268,"")</f>
        <v>-2873.62920457984</v>
      </c>
      <c r="H28" s="136">
        <f>IFERROR(Model!AQ268,"")</f>
        <v>-4405.2322363574</v>
      </c>
      <c r="I28" s="136">
        <f>IFERROR(Model!AV268,"")</f>
        <v>-6038.79361583078</v>
      </c>
      <c r="J28" s="136">
        <f>IFERROR(Model!BA268,"")</f>
        <v>-8246.91082861527</v>
      </c>
      <c r="K28" s="136">
        <f>IFERROR(Model!BF268,"")</f>
        <v>-11219.7843933293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IFERROR(Model!W269,"")</f>
        <v>-21</v>
      </c>
      <c r="E29" s="136">
        <f>IFERROR(Model!AB269,"")</f>
        <v>12</v>
      </c>
      <c r="F29" s="136">
        <f>IFERROR(Model!AG269,"")</f>
        <v>-1054</v>
      </c>
      <c r="G29" s="136">
        <f>IFERROR(Model!AL269,"")</f>
        <v>-1021.26067087171</v>
      </c>
      <c r="H29" s="136">
        <f>IFERROR(Model!AQ269,"")</f>
        <v>-1548.24090292702</v>
      </c>
      <c r="I29" s="136">
        <f>IFERROR(Model!AV269,"")</f>
        <v>-2122.36422025611</v>
      </c>
      <c r="J29" s="136">
        <f>IFERROR(Model!BA269,"")</f>
        <v>-2898.41805893341</v>
      </c>
      <c r="K29" s="136">
        <f>IFERROR(Model!BF269,"")</f>
        <v>-3943.24934254505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IFERROR(Model!W270,"")</f>
        <v>0</v>
      </c>
      <c r="E30" s="136">
        <f>IFERROR(Model!AB270,"")</f>
        <v>0</v>
      </c>
      <c r="F30" s="136">
        <f>IFERROR(Model!AG270,"")</f>
        <v>0</v>
      </c>
      <c r="G30" s="136">
        <f>IFERROR(Model!AL270,"")</f>
        <v>0</v>
      </c>
      <c r="H30" s="136">
        <f>IFERROR(Model!AQ270,"")</f>
        <v>0</v>
      </c>
      <c r="I30" s="136">
        <f>IFERROR(Model!AV270,"")</f>
        <v>0</v>
      </c>
      <c r="J30" s="136">
        <f>IFERROR(Model!BA270,"")</f>
        <v>0</v>
      </c>
      <c r="K30" s="136">
        <f>IFERROR(Model!BF270,"")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IFERROR(Model!W271,"")</f>
        <v>0</v>
      </c>
      <c r="E31" s="136">
        <f>IFERROR(Model!AB271,"")</f>
        <v>0</v>
      </c>
      <c r="F31" s="136">
        <f>IFERROR(Model!AG271,"")</f>
        <v>0</v>
      </c>
      <c r="G31" s="136">
        <f>IFERROR(Model!AL271,"")</f>
        <v>0</v>
      </c>
      <c r="H31" s="136">
        <f>IFERROR(Model!AQ271,"")</f>
        <v>0</v>
      </c>
      <c r="I31" s="136">
        <f>IFERROR(Model!AV271,"")</f>
        <v>0</v>
      </c>
      <c r="J31" s="136">
        <f>IFERROR(Model!BA271,"")</f>
        <v>0</v>
      </c>
      <c r="K31" s="136">
        <f>IFERROR(Model!BF271,"")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IFERROR(Model!W272,"")</f>
        <v>-7383</v>
      </c>
      <c r="E32" s="136">
        <f>IFERROR(Model!AB272,"")</f>
        <v>3619</v>
      </c>
      <c r="F32" s="136">
        <f>IFERROR(Model!AG272,"")</f>
        <v>-1646</v>
      </c>
      <c r="G32" s="136">
        <f>IFERROR(Model!AL272,"")</f>
        <v>-3502</v>
      </c>
      <c r="H32" s="136">
        <f>IFERROR(Model!AQ272,"")</f>
        <v>0</v>
      </c>
      <c r="I32" s="136">
        <f>IFERROR(Model!AV272,"")</f>
        <v>0</v>
      </c>
      <c r="J32" s="136">
        <f>IFERROR(Model!BA272,"")</f>
        <v>0</v>
      </c>
      <c r="K32" s="136">
        <f>IFERROR(Model!BF272,"")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IFERROR(Model!W273,"")</f>
        <v>573</v>
      </c>
      <c r="E33" s="136">
        <f>IFERROR(Model!AB273,"")</f>
        <v>409</v>
      </c>
      <c r="F33" s="136">
        <f>IFERROR(Model!AG273,"")</f>
        <v>207</v>
      </c>
      <c r="G33" s="136">
        <f>IFERROR(Model!AL273,"")</f>
        <v>605.989093925506</v>
      </c>
      <c r="H33" s="136">
        <f>IFERROR(Model!AQ273,"")</f>
        <v>1056.44652374811</v>
      </c>
      <c r="I33" s="136">
        <f>IFERROR(Model!AV273,"")</f>
        <v>1448.20118004765</v>
      </c>
      <c r="J33" s="136">
        <f>IFERROR(Model!BA273,"")</f>
        <v>1977.74369411121</v>
      </c>
      <c r="K33" s="136">
        <f>IFERROR(Model!BF273,"")</f>
        <v>2690.68725178884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IFERROR(Model!W274,"")</f>
        <v>592</v>
      </c>
      <c r="E34" s="136">
        <f>IFERROR(Model!AB274,"")</f>
        <v>-206</v>
      </c>
      <c r="F34" s="136">
        <f>IFERROR(Model!AG274,"")</f>
        <v>-58</v>
      </c>
      <c r="G34" s="136">
        <f>IFERROR(Model!AL274,"")</f>
        <v>2040.24731107684</v>
      </c>
      <c r="H34" s="136">
        <f>IFERROR(Model!AQ274,"")</f>
        <v>7896.42634668504</v>
      </c>
      <c r="I34" s="136">
        <f>IFERROR(Model!AV274,"")</f>
        <v>28790.8352955452</v>
      </c>
      <c r="J34" s="136">
        <f>IFERROR(Model!BA274,"")</f>
        <v>103450.810351072</v>
      </c>
      <c r="K34" s="136">
        <f>IFERROR(Model!BF274,"")</f>
        <v>366306.685825195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IFERROR(Model!W275,"")</f>
        <v>0</v>
      </c>
      <c r="E35" s="136">
        <f>IFERROR(Model!AB275,"")</f>
        <v>0</v>
      </c>
      <c r="F35" s="136">
        <f>IFERROR(Model!AG275,"")</f>
        <v>0</v>
      </c>
      <c r="G35" s="136">
        <f>IFERROR(Model!AL275,"")</f>
        <v>0</v>
      </c>
      <c r="H35" s="136">
        <f>IFERROR(Model!AQ275,"")</f>
        <v>0</v>
      </c>
      <c r="I35" s="136">
        <f>IFERROR(Model!AV275,"")</f>
        <v>0</v>
      </c>
      <c r="J35" s="136">
        <f>IFERROR(Model!BA275,"")</f>
        <v>0</v>
      </c>
      <c r="K35" s="136">
        <f>IFERROR(Model!BF275,"")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IFERROR(Model!W276,"")</f>
        <v>10403</v>
      </c>
      <c r="E36" s="136">
        <f>IFERROR(Model!AB276,"")</f>
        <v>-2882</v>
      </c>
      <c r="F36" s="136">
        <f>IFERROR(Model!AG276,"")</f>
        <v>-799</v>
      </c>
      <c r="G36" s="136">
        <f>IFERROR(Model!AL276,"")</f>
        <v>1449</v>
      </c>
      <c r="H36" s="136">
        <f>IFERROR(Model!AQ276,"")</f>
        <v>0</v>
      </c>
      <c r="I36" s="136">
        <f>IFERROR(Model!AV276,"")</f>
        <v>0</v>
      </c>
      <c r="J36" s="136">
        <f>IFERROR(Model!BA276,"")</f>
        <v>0</v>
      </c>
      <c r="K36" s="136">
        <f>IFERROR(Model!BF276,"")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IFERROR(Model!W277,"")</f>
        <v>0</v>
      </c>
      <c r="E37" s="136">
        <f>IFERROR(Model!AB277,"")</f>
        <v>0</v>
      </c>
      <c r="F37" s="136">
        <f>IFERROR(Model!AG277,"")</f>
        <v>0</v>
      </c>
      <c r="G37" s="136">
        <f>IFERROR(Model!AL277,"")</f>
        <v>0</v>
      </c>
      <c r="H37" s="136">
        <f>IFERROR(Model!AQ277,"")</f>
        <v>0</v>
      </c>
      <c r="I37" s="136">
        <f>IFERROR(Model!AV277,"")</f>
        <v>0</v>
      </c>
      <c r="J37" s="136">
        <f>IFERROR(Model!BA277,"")</f>
        <v>0</v>
      </c>
      <c r="K37" s="136">
        <f>IFERROR(Model!BF277,"")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IFERROR((Model!W177-Model!R177)*-1,"")</f>
        <v>-1145</v>
      </c>
      <c r="E38" s="136">
        <f>IFERROR((Model!AB177-Model!W177)*-1,"")</f>
        <v>-2204</v>
      </c>
      <c r="F38" s="136">
        <f>IFERROR((Model!AG177-Model!AB177)*-1,"")</f>
        <v>-1690</v>
      </c>
      <c r="G38" s="136">
        <f>IFERROR((Model!AL177-Model!AG177)*-1,"")</f>
        <v>-1566</v>
      </c>
      <c r="H38" s="136">
        <f>IFERROR((Model!AQ177-Model!AL177)*-1,"")</f>
        <v>0</v>
      </c>
      <c r="I38" s="136">
        <f>IFERROR((Model!AV177-Model!AQ177)*-1,"")</f>
        <v>0</v>
      </c>
      <c r="J38" s="136">
        <f>IFERROR((Model!BA177-Model!AV177)*-1,"")</f>
        <v>0</v>
      </c>
      <c r="K38" s="136">
        <f>IFERROR((Model!BF177-Model!BA177)*-1,"")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IFERROR(Model!W228-Model!R228,"")</f>
        <v>9733</v>
      </c>
      <c r="E39" s="136">
        <f>IFERROR(Model!AB228-Model!W228,"")</f>
        <v>-16</v>
      </c>
      <c r="F39" s="136">
        <f>IFERROR(Model!AG228-Model!AB228,"")</f>
        <v>-4366</v>
      </c>
      <c r="G39" s="136">
        <f>IFERROR(Model!AL228-Model!AG228,"")</f>
        <v>1086</v>
      </c>
      <c r="H39" s="136">
        <f>IFERROR(Model!AQ228-Model!AL228,"")</f>
        <v>0</v>
      </c>
      <c r="I39" s="136">
        <f>IFERROR(Model!AV228-Model!AQ228,"")</f>
        <v>0</v>
      </c>
      <c r="J39" s="136">
        <f>IFERROR(Model!BA228-Model!AV228,"")</f>
        <v>0</v>
      </c>
      <c r="K39" s="136">
        <f>IFERROR(Model!BF228-Model!BA228,"")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IFERROR(Model!W283,"")</f>
        <v>-5609</v>
      </c>
      <c r="E40" s="136">
        <f>IFERROR(Model!AB283,"")</f>
        <v>-9642</v>
      </c>
      <c r="F40" s="136">
        <f>IFERROR(Model!AG283,"")</f>
        <v>-8819</v>
      </c>
      <c r="G40" s="136">
        <f>IFERROR(Model!AL283,"")</f>
        <v>-10754.251456844</v>
      </c>
      <c r="H40" s="136">
        <f>IFERROR(Model!AQ283,"")</f>
        <v>-16383.8828197489</v>
      </c>
      <c r="I40" s="136">
        <f>IFERROR(Model!AV283,"")</f>
        <v>-22670.1626339339</v>
      </c>
      <c r="J40" s="136">
        <f>IFERROR(Model!BA283,"")</f>
        <v>-31255.0543141865</v>
      </c>
      <c r="K40" s="136">
        <f>IFERROR(Model!BF283,"")</f>
        <v>-42934.6560092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1968</v>
      </c>
      <c r="E44" s="133">
        <f>IFERROR(SUM(E27,E40:E42,E26),"")</f>
        <v>1163</v>
      </c>
      <c r="F44" s="133">
        <f>IFERROR(SUM(F27,F40:F42,F26),"")</f>
        <v>-6989</v>
      </c>
      <c r="G44" s="133">
        <f>IFERROR(SUM(G27,G40:G42,G26),"")</f>
        <v>-3848.87307928841</v>
      </c>
      <c r="H44" s="133">
        <f>IFERROR(SUM(H27,H40:H42,H26),"")</f>
        <v>2993.2383855346</v>
      </c>
      <c r="I44" s="133">
        <f>IFERROR(SUM(I27,I40:I42,I26),"")</f>
        <v>22069.3532668179</v>
      </c>
      <c r="J44" s="133">
        <f>IFERROR(SUM(J27,J40:J42,J26),"")</f>
        <v>94271.4713387181</v>
      </c>
      <c r="K44" s="133">
        <f>IFERROR(SUM(K27,K40:K42,K26),"")</f>
        <v>353818.193275039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IFERROR(Model!W338,"")</f>
        <v>134321</v>
      </c>
      <c r="E46" s="136">
        <f>IFERROR(Model!AB338,"")</f>
        <v>127061</v>
      </c>
      <c r="F46" s="136">
        <f>IFERROR(Model!AG338,"")</f>
        <v>131755</v>
      </c>
      <c r="G46" s="136">
        <f>IFERROR(Model!AL338,"")</f>
        <v>132106.873079288</v>
      </c>
      <c r="H46" s="136">
        <f>IFERROR(Model!AQ338,"")</f>
        <v>129113.634693754</v>
      </c>
      <c r="I46" s="136">
        <f>IFERROR(Model!AV338,"")</f>
        <v>107044.281426936</v>
      </c>
      <c r="J46" s="136">
        <f>IFERROR(Model!BA338,"")</f>
        <v>12772.8100882178</v>
      </c>
      <c r="K46" s="136">
        <f>IFERROR(Model!BF338,"")</f>
        <v>-341045.383186821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IFERROR(Model!W339,"")</f>
        <v>36735</v>
      </c>
      <c r="E47" s="136">
        <f>IFERROR(Model!AB339,"")</f>
        <v>29190</v>
      </c>
      <c r="F47" s="136">
        <f>IFERROR(Model!AG339,"")</f>
        <v>33954</v>
      </c>
      <c r="G47" s="136">
        <f>IFERROR(Model!AL339,"")</f>
        <v>34305.8730792884</v>
      </c>
      <c r="H47" s="136">
        <f>IFERROR(Model!AQ339,"")</f>
        <v>31312.6346937538</v>
      </c>
      <c r="I47" s="136">
        <f>IFERROR(Model!AV339,"")</f>
        <v>9243.28142693592</v>
      </c>
      <c r="J47" s="136">
        <f>IFERROR(Model!BA339,"")</f>
        <v>-85028.1899117822</v>
      </c>
      <c r="K47" s="136">
        <f>IFERROR(Model!BF339,"")</f>
        <v>-438846.383186821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3.45609159912518</v>
      </c>
      <c r="E48" s="122">
        <f>IFERROR(IF(E18=0,"",E46/E18),"")</f>
        <v>2.33015459663665</v>
      </c>
      <c r="F48" s="122">
        <f>IFERROR(IF(F18=0,"",F46/F18),"")</f>
        <v>1.92957148296769</v>
      </c>
      <c r="G48" s="122">
        <f>IFERROR(IF(G18=0,"",G46/G18),"")</f>
        <v>1.27501365586874</v>
      </c>
      <c r="H48" s="122">
        <f>IFERROR(IF(H18=0,"",H46/H18),"")</f>
        <v>0.897340394477687</v>
      </c>
      <c r="I48" s="122">
        <f>IFERROR(IF(I18=0,"",I46/I18),"")</f>
        <v>0.5376637784093</v>
      </c>
      <c r="J48" s="122">
        <f>IFERROR(IF(J18=0,"",J46/J18),"")</f>
        <v>0.0465337595349886</v>
      </c>
      <c r="K48" s="122">
        <f>IFERROR(IF(K18=0,"",K46/K18),"")</f>
        <v>-0.904494918560475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0.0970943898639524</v>
      </c>
      <c r="E50" s="150">
        <f>IFERROR(IF(E46=0,"",E25/E46),"")</f>
        <v>0.102632639457015</v>
      </c>
      <c r="F50" s="150">
        <f>IFERROR(IF(F46=0,"",F25/F46),"")</f>
        <v>0.207068107863422</v>
      </c>
      <c r="G50" s="150">
        <f>IFERROR(IF(G46=0,"",G25/G46),"")</f>
        <v>0.342302172630561</v>
      </c>
      <c r="H50" s="150">
        <f>IFERROR(IF(H46=0,"",H25/H46),"")</f>
        <v>0.464122552248658</v>
      </c>
      <c r="I50" s="150">
        <f>IFERROR(IF(I46=0,"",I25/I46),"")</f>
        <v>0.7746028853812</v>
      </c>
      <c r="J50" s="150">
        <f>IFERROR(IF(J46=0,"",J25/J46),"")</f>
        <v>8.9499734876924</v>
      </c>
      <c r="K50" s="150">
        <f>IFERROR(IF(K46=0,"",K25/K46),"")</f>
        <v>-0.460451358625246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0.289344182964689</v>
      </c>
      <c r="E51" s="154">
        <f>IFERROR(IF(E46=0,"",E18/E46),"")</f>
        <v>0.429156074641314</v>
      </c>
      <c r="F51" s="154">
        <f>IFERROR(IF(F46=0,"",F18/F46),"")</f>
        <v>0.518249781791962</v>
      </c>
      <c r="G51" s="154">
        <f>IFERROR(IF(G46=0,"",G18/G46),"")</f>
        <v>0.784305325199548</v>
      </c>
      <c r="H51" s="154">
        <f>IFERROR(IF(H46=0,"",H18/H46),"")</f>
        <v>1.11440430649739</v>
      </c>
      <c r="I51" s="154">
        <f>IFERROR(IF(I46=0,"",I18/I46),"")</f>
        <v>1.8598983977655</v>
      </c>
      <c r="J51" s="154">
        <f>IFERROR(IF(J46=0,"",J18/J46),"")</f>
        <v>21.4897745205414</v>
      </c>
      <c r="K51" s="154">
        <f>IFERROR(IF(K46=0,"",K18/K46),"")</f>
        <v>-1.10558940628602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15009.8155409159</v>
      </c>
      <c r="E53" s="155">
        <f>IFERROR(E25+E44,"")</f>
        <v>14203.6058020478</v>
      </c>
      <c r="F53" s="155">
        <f>IFERROR(F25+F44,"")</f>
        <v>20293.2585515452</v>
      </c>
      <c r="G53" s="156">
        <f>IFERROR(G25+G44,"")</f>
        <v>41371.5965951817</v>
      </c>
      <c r="H53" s="155">
        <f>IFERROR(H25+H44,"")</f>
        <v>62917.7880497005</v>
      </c>
      <c r="I53" s="155">
        <f>IFERROR(I25+I44,"")</f>
        <v>104986.16252368</v>
      </c>
      <c r="J53" s="155">
        <f>IFERROR(J25+J44,"")</f>
        <v>208587.782991598</v>
      </c>
      <c r="K53" s="155">
        <f>IFERROR(K25+K44,"")</f>
        <v>510853.003316279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-0.460451358625246</v>
      </c>
      <c r="E64" s="157" t="inlineStr">
        <is>
          <t>Current portion of long-term debt</t>
        </is>
      </c>
      <c r="H64" s="137">
        <f>IFERROR(INDEX(Model!$I$200:$BF$200,1,MATCH(Control!$B$7,Model!$I$5:$BF$5,0)),"")</f>
        <v>2252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IFERROR(INDEX(Model!$I$201:$BF$201,1,MATCH(Control!$B$7,Model!$I$5:$BF$5,0)),"")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IFERROR(INDEX(Model!$I$205:$BF$205,1,MATCH(Control!$B$7,Model!$I$5:$BF$5,0)),"")</f>
        <v>57167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IFERROR(INDEX(Model!$I$226:$BF$226,1,MATCH(Control!$B$7,Model!$I$5:$BF$5,0)),"")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IFERROR(INDEX(Model!$I$236:$BF$236,1,MATCH(Control!$B$7,Model!$I$5:$BF$5,0)),"")</f>
        <v>0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IFERROR(INDEX(Model!$I$241:$BF$241,1,MATCH(Control!$B$7,Model!$I$5:$BF$5,0)),"")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IFERROR(INDEX(Model!$I$202:$BF$202,1,MATCH(Control!$B$7,Model!$I$5:$BF$5,0)),"")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IFERROR(INDEX(Model!$I$223:$BF$223,1,MATCH(Control!$B$7,Model!$I$5:$BF$5,0)),"")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IFERROR(-INDEX(Model!$I$132:$BF$132,1,MATCH(Control!$B$7,Model!$I$5:$BF$5,0)),"")</f>
        <v>-23975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209020.90934682</v>
      </c>
      <c r="E73" s="157" t="inlineStr">
        <is>
          <t>Less: Equity investments</t>
        </is>
      </c>
      <c r="H73" s="137">
        <f>IFERROR(-INDEX(Model!$I$149:$BF$149,1,MATCH(Control!$B$7,Model!$I$5:$BF$5,0)),"")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35444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35444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35444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AVGO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Broadcom Inc.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AVGO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IFERROR(-Model!AG62/AVERAGE(Model!AB80,Model!AG80),"")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0.388686814862205</v>
      </c>
      <c r="C18" s="247">
        <f>IF(B18="","",B18)</f>
        <v>0.388686814862205</v>
      </c>
      <c r="D18" s="247">
        <f>IF(C18="","",MAX(0,C18-0.5%))</f>
        <v>0.383686814862205</v>
      </c>
      <c r="E18" s="247">
        <f>IF(D18="","",MAX(0,D18-0.5%))</f>
        <v>0.378686814862205</v>
      </c>
      <c r="F18" s="247">
        <f>IF(E18="","",MAX(0,E18-0.5%))</f>
        <v>0.373686814862205</v>
      </c>
    </row>
    <row r="19" ht="15" customHeight="1">
      <c r="A19" t="inlineStr">
        <is>
          <t>Gross margin</t>
        </is>
      </c>
      <c r="B19" s="247">
        <f>IFERROR(AVERAGE(Model!AC43:AF43,Model!AH43:AI43),"")</f>
        <v>0.682981921019841</v>
      </c>
      <c r="C19" s="247">
        <f>IF(B19="","",B19)</f>
        <v>0.682981921019841</v>
      </c>
      <c r="D19" s="247">
        <f>IF(C19="","",C19)</f>
        <v>0.682981921019841</v>
      </c>
      <c r="E19" s="247">
        <f>IF(D19="","",D19)</f>
        <v>0.682981921019841</v>
      </c>
      <c r="F19" s="247">
        <f>IF(E19="","",E19)</f>
        <v>0.682981921019841</v>
      </c>
    </row>
    <row r="20" ht="15" customHeight="1">
      <c r="A20" t="inlineStr">
        <is>
          <t>SG&amp;A / Revenue</t>
        </is>
      </c>
      <c r="B20" s="247">
        <f>IFERROR(AVERAGE(Model!AC47:AF47,Model!AH47:AI47),"")</f>
        <v>0.128632383692946</v>
      </c>
      <c r="C20" s="247">
        <f>IF(B20="","",B20)</f>
        <v>0.128632383692946</v>
      </c>
      <c r="D20" s="247">
        <f>IF(C20="","",C20)</f>
        <v>0.128632383692946</v>
      </c>
      <c r="E20" s="247">
        <f>IF(D20="","",D20)</f>
        <v>0.128632383692946</v>
      </c>
      <c r="F20" s="247">
        <f>IF(E20="","",E20)</f>
        <v>0.128632383692946</v>
      </c>
    </row>
    <row r="21" ht="15" customHeight="1">
      <c r="A21" t="inlineStr">
        <is>
          <t>D&amp;A / Revenue</t>
        </is>
      </c>
      <c r="B21" s="247">
        <f>IFERROR(AVERAGE(Model!AC59:AF59,Model!AH59:AI59),"")</f>
        <v>0.113825244584774</v>
      </c>
      <c r="C21" s="247">
        <f>IF(B21="","",B21)</f>
        <v>0.113825244584774</v>
      </c>
      <c r="D21" s="247">
        <f>IF(C21="","",C21)</f>
        <v>0.113825244584774</v>
      </c>
      <c r="E21" s="247">
        <f>IF(D21="","",D21)</f>
        <v>0.113825244584774</v>
      </c>
      <c r="F21" s="247">
        <f>IF(E21="","",E21)</f>
        <v>0.113825244584774</v>
      </c>
    </row>
    <row r="22" ht="15" customHeight="1">
      <c r="A22" t="inlineStr">
        <is>
          <t>Effective tax rate</t>
        </is>
      </c>
      <c r="B22" s="247">
        <f>IFERROR(AVERAGE(Model!AC120:AF120,Model!AH120:AI120),"")</f>
        <v>0.0545903574843183</v>
      </c>
      <c r="C22" s="247">
        <f>IF(B22="","",B22)</f>
        <v>0.0545903574843183</v>
      </c>
      <c r="D22" s="247">
        <f>IF(C22="","",C22)</f>
        <v>0.0545903574843183</v>
      </c>
      <c r="E22" s="247">
        <f>IF(D22="","",D22)</f>
        <v>0.0545903574843183</v>
      </c>
      <c r="F22" s="247">
        <f>IF(E22="","",E22)</f>
        <v>0.0545903574843183</v>
      </c>
    </row>
    <row r="23" ht="15" customHeight="1">
      <c r="A23" t="inlineStr">
        <is>
          <t>Financial income / Revenue</t>
        </is>
      </c>
      <c r="B23" s="247">
        <f>IFERROR(AVERAGE(Model!AC111:AF111,Model!AH111:AI111)/AVERAGE(Model!AC15:AF15,Model!AH15:AI15),"")</f>
        <v>0.00833749791770781</v>
      </c>
      <c r="C23" s="247">
        <f>IF(B23="","",B23)</f>
        <v>0.00833749791770781</v>
      </c>
      <c r="D23" s="247">
        <f>IF(C23="","",C23)</f>
        <v>0.00833749791770781</v>
      </c>
      <c r="E23" s="247">
        <f>IF(D23="","",D23)</f>
        <v>0.00833749791770781</v>
      </c>
      <c r="F23" s="247">
        <f>IF(E23="","",E23)</f>
        <v>0.00833749791770781</v>
      </c>
    </row>
    <row r="24" ht="15" customHeight="1">
      <c r="A24" t="inlineStr">
        <is>
          <t>Capex / Revenue</t>
        </is>
      </c>
      <c r="B24" s="247">
        <f>IFERROR(-AVERAGE(Model!AC283:AF283,Model!AH283:AI283)/AVERAGE(Model!AC15:AF15,Model!AH15:AI15),"")</f>
        <v>0.113868065967016</v>
      </c>
      <c r="C24" s="247">
        <f>IF(B24="","",B24)</f>
        <v>0.113868065967016</v>
      </c>
      <c r="D24" s="247">
        <f>IF(C24="","",C24)</f>
        <v>0.113868065967016</v>
      </c>
      <c r="E24" s="247">
        <f>IF(D24="","",D24)</f>
        <v>0.113868065967016</v>
      </c>
      <c r="F24" s="247">
        <f>IF(E24="","",E24)</f>
        <v>0.113868065967016</v>
      </c>
    </row>
    <row r="25" ht="15" customHeight="1">
      <c r="A25" t="inlineStr">
        <is>
          <t>DSO</t>
        </is>
      </c>
      <c r="B25" s="249">
        <f>IFERROR(AVERAGE(Model!AC134:AF134,Model!AH134:AI134),0)</f>
        <v>38.8819243947284</v>
      </c>
      <c r="C25" s="249">
        <f>IF(B25="","",B25)</f>
        <v>38.8819243947284</v>
      </c>
      <c r="D25" s="249">
        <f>IF(C25="","",C25)</f>
        <v>38.8819243947284</v>
      </c>
      <c r="E25" s="249">
        <f>IF(D25="","",D25)</f>
        <v>38.8819243947284</v>
      </c>
      <c r="F25" s="249">
        <f>IF(E25="","",E25)</f>
        <v>38.8819243947284</v>
      </c>
    </row>
    <row r="26" ht="15" customHeight="1">
      <c r="A26" t="inlineStr">
        <is>
          <t>DIO</t>
        </is>
      </c>
      <c r="B26" s="249">
        <f>IFERROR(AVERAGE(Model!AC138:AF138,Model!AH138:AI138),0)</f>
        <v>43.1055757025741</v>
      </c>
      <c r="C26" s="249">
        <f>IF(B26="","",B26)</f>
        <v>43.1055757025741</v>
      </c>
      <c r="D26" s="249">
        <f>IF(C26="","",C26)</f>
        <v>43.1055757025741</v>
      </c>
      <c r="E26" s="249">
        <f>IF(D26="","",D26)</f>
        <v>43.1055757025741</v>
      </c>
      <c r="F26" s="249">
        <f>IF(E26="","",E26)</f>
        <v>43.1055757025741</v>
      </c>
    </row>
    <row r="27" ht="15" customHeight="1">
      <c r="A27" t="inlineStr">
        <is>
          <t>DPO</t>
        </is>
      </c>
      <c r="B27" s="249">
        <f>IFERROR(AVERAGE(Model!AC187:AF187,Model!AH187:AI187),0)</f>
        <v>29.4132105146251</v>
      </c>
      <c r="C27" s="249">
        <f>IF(B27="","",B27)</f>
        <v>29.4132105146251</v>
      </c>
      <c r="D27" s="249">
        <f>IF(C27="","",C27)</f>
        <v>29.4132105146251</v>
      </c>
      <c r="E27" s="249">
        <f>IF(D27="","",D27)</f>
        <v>29.4132105146251</v>
      </c>
      <c r="F27" s="249">
        <f>IF(E27="","",E27)</f>
        <v>29.4132105146251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Broadcom Inc. (AVGO, CIK 1730168) - fonte: SEC EDGAR XBRL (instâncias dos 10-Q/10-K). Moeda: USD. Brutos em USD unidades (fator 0,000001 -&gt; milhões). Colunas = trimestres-CALENDÁRIO (cada fechamento vai para o fim de trimestre mais próximo); ano fisc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2026-10-16T15:36:05Z</dcterms:modified>
  <cp:lastModifiedBy>Lucas Nascimento</cp:lastModifiedBy>
  <cp:revision>0</cp:revision>
</cp:coreProperties>
</file>